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6180" yWindow="-28800" windowWidth="51200" windowHeight="28800" tabRatio="600" firstSheet="0" activeTab="0" autoFilterDateGrouping="1"/>
  </bookViews>
  <sheets>
    <sheet xmlns:r="http://schemas.openxmlformats.org/officeDocument/2006/relationships" name="PORTS SUMMARY" sheetId="1" state="visible" r:id="rId1"/>
    <sheet xmlns:r="http://schemas.openxmlformats.org/officeDocument/2006/relationships" name="POD 2 SUMMARY" sheetId="2" state="visible" r:id="rId2"/>
    <sheet xmlns:r="http://schemas.openxmlformats.org/officeDocument/2006/relationships" name="CONCENTRATED" sheetId="3" state="visible" r:id="rId3"/>
    <sheet xmlns:r="http://schemas.openxmlformats.org/officeDocument/2006/relationships" name="L3OUTS" sheetId="4" state="visible" r:id="rId4"/>
    <sheet xmlns:r="http://schemas.openxmlformats.org/officeDocument/2006/relationships" name="PG" sheetId="5" state="visible" r:id="rId5"/>
    <sheet xmlns:r="http://schemas.openxmlformats.org/officeDocument/2006/relationships" name="LEAF_INFO" sheetId="6" state="visible" r:id="rId6"/>
    <sheet xmlns:r="http://schemas.openxmlformats.org/officeDocument/2006/relationships" name="VPCs" sheetId="7" state="visible" r:id="rId7"/>
    <sheet xmlns:r="http://schemas.openxmlformats.org/officeDocument/2006/relationships" name="VPC" sheetId="8" state="visible" r:id="rId8"/>
    <sheet xmlns:r="http://schemas.openxmlformats.org/officeDocument/2006/relationships" name="PORTs" sheetId="9" state="visible" r:id="rId9"/>
    <sheet xmlns:r="http://schemas.openxmlformats.org/officeDocument/2006/relationships" name="Statics" sheetId="10" state="visible" r:id="rId10"/>
    <sheet xmlns:r="http://schemas.openxmlformats.org/officeDocument/2006/relationships" name="PORTS_" sheetId="11" state="visible" r:id="rId11"/>
  </sheets>
  <definedNames>
    <definedName name="_xlnm._FilterDatabase" localSheetId="3" hidden="1">'L3OUTS'!$A$1:$H$79</definedName>
    <definedName name="_xlnm._FilterDatabase" localSheetId="4" hidden="1">'PG'!$A$1:$H$10175</definedName>
    <definedName name="_xlnm._FilterDatabase" localSheetId="7" hidden="1">'VPC'!$A$1:$B$275</definedName>
    <definedName name="_xlnm._FilterDatabase" localSheetId="9" hidden="1">'Statics'!$A$1:$J$17629</definedName>
  </definedNames>
  <calcPr calcId="191029" fullCalcOnLoad="1"/>
  <pivotCaches>
    <pivotCache xmlns:r="http://schemas.openxmlformats.org/officeDocument/2006/relationships" cacheId="70" r:id="rId12"/>
    <pivotCache xmlns:r="http://schemas.openxmlformats.org/officeDocument/2006/relationships" cacheId="21" r:id="rId13"/>
  </pivotCaches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sz val="8"/>
      <scheme val="minor"/>
    </font>
    <font>
      <name val="Aptos Narrow"/>
      <family val="2"/>
      <b val="1"/>
      <color rgb="FFFFFFFF"/>
      <sz val="12"/>
      <scheme val="minor"/>
    </font>
  </fonts>
  <fills count="5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156082"/>
        <bgColor rgb="FF156082"/>
      </patternFill>
    </fill>
  </fills>
  <borders count="18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2" pivotButton="0" quotePrefix="0" xfId="0"/>
    <xf numFmtId="0" fontId="1" fillId="2" borderId="2" pivotButton="0" quotePrefix="0" xfId="0"/>
    <xf numFmtId="0" fontId="0" fillId="0" borderId="4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6" pivotButton="0" quotePrefix="0" xfId="0"/>
    <xf numFmtId="0" fontId="1" fillId="2" borderId="8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/>
    </xf>
    <xf numFmtId="0" fontId="3" fillId="4" borderId="7" applyAlignment="1" pivotButton="0" quotePrefix="0" xfId="0">
      <alignment horizontal="center" vertical="center"/>
    </xf>
    <xf numFmtId="0" fontId="0" fillId="3" borderId="2" pivotButton="0" quotePrefix="0" xfId="0"/>
    <xf numFmtId="0" fontId="1" fillId="2" borderId="0" pivotButton="0" quotePrefix="0" xfId="0"/>
    <xf numFmtId="0" fontId="1" fillId="2" borderId="8" applyAlignment="1" pivotButton="0" quotePrefix="0" xfId="0">
      <alignment horizontal="center"/>
    </xf>
    <xf numFmtId="0" fontId="1" fillId="2" borderId="9" applyAlignment="1" pivotButton="0" quotePrefix="0" xfId="0">
      <alignment horizontal="center"/>
    </xf>
    <xf numFmtId="0" fontId="1" fillId="2" borderId="10" applyAlignment="1" pivotButton="0" quotePrefix="0" xfId="0">
      <alignment horizontal="center"/>
    </xf>
    <xf numFmtId="0" fontId="1" fillId="2" borderId="11" applyAlignment="1" pivotButton="0" quotePrefix="0" xfId="0">
      <alignment horizontal="center"/>
    </xf>
    <xf numFmtId="0" fontId="1" fillId="2" borderId="12" applyAlignment="1" pivotButton="0" quotePrefix="0" xfId="0">
      <alignment horizontal="center"/>
    </xf>
    <xf numFmtId="0" fontId="1" fillId="2" borderId="13" applyAlignment="1" pivotButton="0" quotePrefix="0" xfId="0">
      <alignment horizontal="center"/>
    </xf>
    <xf numFmtId="0" fontId="1" fillId="2" borderId="8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1" fillId="2" borderId="1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pivotButton="0" quotePrefix="0" xfId="0"/>
    <xf numFmtId="0" fontId="1" fillId="0" borderId="2" pivotButton="0" quotePrefix="0" xfId="0"/>
    <xf numFmtId="0" fontId="0" fillId="0" borderId="2" pivotButton="0" quotePrefix="0" xfId="0"/>
    <xf numFmtId="0" fontId="0" fillId="0" borderId="4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0" borderId="3" pivotButton="0" quotePrefix="0" xfId="0"/>
    <xf numFmtId="0" fontId="1" fillId="0" borderId="8" applyAlignment="1" pivotButton="0" quotePrefix="0" xfId="0">
      <alignment horizontal="center" vertical="center"/>
    </xf>
    <xf numFmtId="0" fontId="0" fillId="0" borderId="5" pivotButton="0" quotePrefix="0" xfId="0"/>
    <xf numFmtId="0" fontId="1" fillId="2" borderId="7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1" fillId="2" borderId="16" applyAlignment="1" pivotButton="0" quotePrefix="0" xfId="0">
      <alignment horizontal="center"/>
    </xf>
    <xf numFmtId="0" fontId="0" fillId="0" borderId="12" pivotButton="0" quotePrefix="0" xfId="0"/>
    <xf numFmtId="0" fontId="0" fillId="0" borderId="13" pivotButton="0" quotePrefix="0" xfId="0"/>
  </cellXfs>
  <cellStyles count="1">
    <cellStyle name="Normal" xfId="0" builtinId="0"/>
  </cellStyles>
  <dxfs count="85"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  <border outline="0">
        <left style="thin">
          <color theme="4"/>
        </left>
        <right/>
        <top style="thin">
          <color theme="4"/>
        </top>
        <bottom/>
      </border>
    </dxf>
    <dxf>
      <border outline="0">
        <left/>
        <right/>
        <top style="thin">
          <color theme="4"/>
        </top>
        <bottom/>
      </border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name val="Aptos Narrow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>
          <bgColor auto="1"/>
        </patternFill>
      </fill>
      <border outline="0">
        <left/>
        <right/>
        <top style="thin">
          <color theme="4"/>
        </top>
        <bottom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0" formatCode="General"/>
      <border outline="0">
        <left/>
        <right/>
        <top style="thin">
          <color theme="4"/>
        </top>
        <bottom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>
          <bgColor auto="1"/>
        </patternFill>
      </fill>
      <border outline="0">
        <left/>
        <right/>
        <top style="thin">
          <color theme="4"/>
        </top>
        <bottom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>
          <bgColor auto="1"/>
        </patternFill>
      </fill>
      <border outline="0">
        <left/>
        <right/>
        <top style="thin">
          <color theme="4"/>
        </top>
        <bottom/>
      </border>
    </dxf>
    <dxf>
      <numFmt numFmtId="0" formatCode="General"/>
      <fill>
        <patternFill>
          <bgColor auto="1"/>
        </patternFill>
      </fill>
    </dxf>
    <dxf>
      <font>
        <name val="Aptos Narrow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>
          <fgColor indexed="64"/>
          <bgColor auto="1"/>
        </patternFill>
      </fill>
      <border outline="0">
        <left/>
        <right/>
        <top style="thin">
          <color theme="4"/>
        </top>
        <bottom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>
          <fgColor indexed="64"/>
          <bgColor auto="1"/>
        </patternFill>
      </fill>
      <border outline="0">
        <left/>
        <right/>
        <top style="thin">
          <color theme="4"/>
        </top>
        <bottom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>
          <fgColor indexed="64"/>
          <bgColor auto="1"/>
        </patternFill>
      </fill>
      <border outline="0">
        <left/>
        <right/>
        <top style="thin">
          <color theme="4"/>
        </top>
        <bottom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0" formatCode="General"/>
      <border outline="0">
        <left/>
        <right/>
        <top style="thin">
          <color theme="4"/>
        </top>
        <bottom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0" formatCode="General"/>
    </dxf>
    <dxf>
      <numFmt numFmtId="0" formatCode="General"/>
      <border>
        <left/>
        <right/>
        <top style="thin">
          <color theme="4"/>
        </top>
        <bottom/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/>
        <right style="thin">
          <color theme="4"/>
        </right>
        <top style="thin">
          <color theme="4"/>
        </top>
        <bottom/>
        <vertical/>
        <horizontal/>
      </border>
    </dxf>
    <dxf>
      <border>
        <left/>
        <right/>
        <top style="thin">
          <color theme="4"/>
        </top>
        <bottom/>
        <vertical/>
        <horizontal/>
      </border>
    </dxf>
    <dxf>
      <border>
        <left/>
        <right/>
        <top style="thin">
          <color theme="4"/>
        </top>
        <bottom/>
        <vertical/>
        <horizontal/>
      </border>
    </dxf>
    <dxf>
      <border>
        <left/>
        <right/>
        <top style="thin">
          <color theme="4"/>
        </top>
        <bottom/>
        <vertical/>
        <horizontal/>
      </border>
    </dxf>
    <dxf>
      <numFmt numFmtId="0" formatCode="General"/>
      <border>
        <left/>
        <right/>
        <top style="thin">
          <color theme="4"/>
        </top>
        <bottom/>
        <vertical/>
        <horizontal/>
      </border>
    </dxf>
    <dxf>
      <border>
        <left/>
        <right/>
        <top style="thin">
          <color theme="4"/>
        </top>
        <bottom/>
        <vertical/>
        <horizontal/>
      </border>
    </dxf>
    <dxf>
      <numFmt numFmtId="0" formatCode="General"/>
      <border>
        <left/>
        <right/>
        <top style="thin">
          <color theme="4"/>
        </top>
        <bottom/>
        <vertical/>
        <horizontal/>
      </border>
    </dxf>
    <dxf>
      <numFmt numFmtId="0" formatCode="General"/>
      <border>
        <left/>
        <right/>
        <top style="thin">
          <color theme="4"/>
        </top>
        <bottom/>
        <vertical/>
        <horizontal/>
      </border>
    </dxf>
    <dxf>
      <border>
        <left/>
        <right/>
        <top style="thin">
          <color theme="4"/>
        </top>
        <bottom/>
        <vertical/>
        <horizontal/>
      </border>
    </dxf>
    <dxf>
      <border>
        <left/>
        <right/>
        <top style="thin">
          <color theme="4"/>
        </top>
        <bottom/>
        <vertical/>
        <horizontal/>
      </border>
    </dxf>
    <dxf>
      <border>
        <left/>
        <right/>
        <top style="thin">
          <color theme="4"/>
        </top>
        <bottom/>
        <vertical/>
        <horizontal/>
      </border>
    </dxf>
    <dxf>
      <border>
        <left/>
        <right/>
        <top style="thin">
          <color theme="4"/>
        </top>
        <bottom/>
        <vertical/>
        <horizontal/>
      </border>
    </dxf>
    <dxf>
      <numFmt numFmtId="0" formatCode="General"/>
      <border>
        <left/>
        <right/>
        <top style="thin">
          <color theme="4"/>
        </top>
        <bottom/>
        <vertical/>
        <horizontal/>
      </border>
    </dxf>
    <dxf>
      <numFmt numFmtId="0" formatCode="General"/>
      <border>
        <left/>
        <right/>
        <top style="thin">
          <color theme="4"/>
        </top>
        <bottom/>
        <vertical/>
        <horizontal/>
      </border>
    </dxf>
    <dxf>
      <numFmt numFmtId="0" formatCode="General"/>
      <border>
        <left/>
        <right/>
        <top style="thin">
          <color theme="4"/>
        </top>
        <bottom/>
        <vertical/>
        <horizontal/>
      </border>
    </dxf>
    <dxf>
      <numFmt numFmtId="0" formatCode="General"/>
      <border>
        <left/>
        <right/>
        <top style="thin">
          <color theme="4"/>
        </top>
        <bottom/>
        <vertical/>
        <horizontal/>
      </border>
    </dxf>
    <dxf>
      <border>
        <bottom style="medium">
          <color indexed="64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2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center"/>
      <border outline="0">
        <left/>
        <right/>
        <top/>
        <bottom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0" formatCode="General"/>
      <border>
        <left/>
        <right/>
        <top style="thin">
          <color theme="4"/>
        </top>
        <bottom/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0" formatCode="General"/>
      <border>
        <left/>
        <right/>
        <top style="thin">
          <color theme="4"/>
        </top>
        <bottom/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0" formatCode="General"/>
    </dxf>
    <dxf>
      <font>
        <name val="Aptos Narrow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0" formatCode="General"/>
    </dxf>
    <dxf>
      <font>
        <name val="Aptos Narrow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0" formatCode="General"/>
    </dxf>
    <dxf>
      <font>
        <name val="Aptos Narrow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0" formatCode="General"/>
    </dxf>
    <dxf>
      <font>
        <name val="Aptos Narrow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0" formatCode="General"/>
      <border>
        <left/>
        <right/>
        <top style="thin">
          <color theme="4"/>
        </top>
        <bottom/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0" formatCode="General"/>
    </dxf>
    <dxf>
      <border outline="0">
        <right style="thin">
          <color theme="4"/>
        </right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2"/>
        <vertAlign val="baseline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pivotCacheDefinition" Target="/xl/pivotCache/pivotCacheDefinition1.xml" Id="rId12"/><Relationship Type="http://schemas.openxmlformats.org/officeDocument/2006/relationships/pivotCacheDefinition" Target="/xl/pivotCache/pivotCacheDefinition2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Jesús Arellano" refreshedDate="45965.55820671297" createdVersion="8" refreshedVersion="8" minRefreshableVersion="3" recordCount="18132" r:id="rId1">
  <cacheSource type="worksheet">
    <worksheetSource name="Table5"/>
  </cacheSource>
  <cacheFields count="18">
    <cacheField name="NODE" uniqueList="1" numFmtId="0" sqlType="0" hierarchy="0" level="0" databaseField="1">
      <sharedItems count="0" containsInteger="1" containsNumber="1" containsSemiMixedTypes="0" containsString="0" minValue="101" maxValue="903"/>
    </cacheField>
    <cacheField name="POD" uniqueList="1" numFmtId="0" sqlType="0" hierarchy="0" level="0" databaseField="1">
      <sharedItems count="3" containsInteger="1" containsNumber="1" containsSemiMixedTypes="0" containsString="0" minValue="1" maxValue="3">
        <n v="1"/>
        <n v="2"/>
        <n v="3"/>
      </sharedItems>
    </cacheField>
    <cacheField name="HOSTNAME" uniqueList="1" numFmtId="0" sqlType="0" hierarchy="0" level="0" databaseField="1">
      <sharedItems count="281">
        <s v="9LF_IXT1_10918_03"/>
        <s v="9LF_IXT1_11418_02"/>
        <s v="9LF_IXT1_20219_02"/>
        <s v="9LF_IXT1_10112_01"/>
        <s v="9LF_IXT1_20819_01"/>
        <s v="9LF_IXT1_11318_02"/>
        <s v="9LF_IXT1_10918_04"/>
        <s v="9LF_IXT2_10118_01"/>
        <s v="9LF_IXT2_20117_01"/>
        <s v="9LF_IXT2_11710_01"/>
        <s v="9LF_IXT2_11709_01"/>
        <s v="9LF_IXT1_10718_02"/>
        <s v="9LF_IXT1_20114_01"/>
        <s v="9LF_IXT1_10718_03"/>
        <s v="9SP_IXT1_10112_01"/>
        <s v="9LF_IXT3_20519_01"/>
        <s v="9LF_IXT3_20619_01"/>
        <s v="9SP_IXT1_20114_01"/>
        <s v="9LF_IXT2_20517_05"/>
        <s v="9LF_IXT2_20517_06"/>
        <s v="9LF_IXT2_21417_04"/>
        <s v="9LF_IXT2_11418_04"/>
        <s v="9LF_IXT3_20218_01"/>
        <s v="9LF_IXT3_20214_01"/>
        <s v="9SP_IXT2_20117_01"/>
        <s v="9LF_IXT3_20216_01"/>
        <s v="9LF_IXT2_11418_03"/>
        <s v="9LF_IXT2_11718_01"/>
        <s v="9LF_IXT2_11418_02"/>
        <s v="9LF_IXT2_20817_03"/>
        <s v="9LF_IXT2_21417_02"/>
        <s v="9LF_IXT2_20817_04"/>
        <s v="9LF_IXT3_10209_01"/>
        <s v="9LF_IXT3_10216_01"/>
        <s v="9LF_IXT3_20118_01"/>
        <s v="9LF_IXT3_20112_01"/>
        <s v="9LF_IXT2_11418_01"/>
        <s v="9LF_IXT3_10215_01"/>
        <s v="9LF_IXT3_20113_01"/>
        <s v="9LF_IXT3_10111_01"/>
        <s v="9LF_IXT2_11718_02"/>
        <s v="9LF_IXT2_21410_01"/>
        <s v="9LF_IXT2_21411_01"/>
        <s v="9LF_IXT3_10109_01"/>
        <s v="9LF_IXT2_21417_01"/>
        <s v="9LF_IXT2_21417_03"/>
        <s v="9LF_IXT3_10116_01"/>
        <s v="9LF_IXT3_10316_01"/>
        <s v="9LF_IXT3_10317_01"/>
        <s v="9LF_IXT2_20518_02"/>
        <s v="9SP_IXT2_10118_01"/>
        <s v="9LF_IXT3_10308_01"/>
        <s v="9LF_IXT3_10311_01"/>
        <s v="9LF_IXT3_10417_01"/>
        <s v="9LF_IXT3_20212_01"/>
        <s v="9LF_IXT3_10418_01"/>
        <s v="9LF_IXT3_10106_01"/>
        <s v="9LF_IXT3_10414_01"/>
        <s v="9LF_IXT3_10108_01"/>
        <s v="9LF_IXT3_10104_01"/>
        <s v="9LF_IXT3_10409_01"/>
        <s v="9LF_IXT3_20419_01"/>
        <s v="9LF_IXT3_10217_02"/>
        <s v="9LF_IXT3_10407_02"/>
        <s v="9LF_IXT3_20316_01"/>
        <s v="9LF_IXT3_20818_01"/>
        <s v="9LF_IXT3_10407_01"/>
        <s v="9LF_IXT3_20318_01"/>
        <s v="9LF_IXT3_20207_01"/>
        <s v="9LF_IXT3_20305_01"/>
        <s v="9LF_IXT3_10812_02"/>
        <s v="9LF_IXT3_20506_01"/>
        <s v="9LF_IXT3_20505_01"/>
        <s v="9LF_IXT3_10412_01"/>
        <s v="9LF_IXT3_11018_04"/>
        <s v="9LF_IXT3_10918_04"/>
        <s v="9LF_IXT3_10211_02"/>
        <s v="9LF_IXT3_10918_06"/>
        <s v="9LF_IXT3_21019_05"/>
        <s v="9LF_IXT3_10504_01"/>
        <s v="9LF_IXT3_21019_01"/>
        <s v="9LF_IXT3_10918_09"/>
        <s v="9LF_IXT3_10918_10"/>
        <s v="9LF_IXT3_10918_08"/>
        <s v="9LF_IXT3_20919_05"/>
        <s v="9LF_IXT3_10918_11"/>
        <s v="9LF_IXT3_10918_07"/>
        <s v="9LF_IXT3_11418_07"/>
        <s v="9LF_IXT3_21419_02"/>
        <s v="9LF_IXT3_20919_03"/>
        <s v="9LF_IXT3_20919_01"/>
        <s v="9LF_IXT3_11418_06"/>
        <s v="9LF_IXT3_21019_04"/>
        <s v="9LF_IXT3_11318_03"/>
        <s v="9LF_IXT3_11318_07"/>
        <s v="9LF_IXT3_21419_04"/>
        <s v="9LF_IXT3_21319_05"/>
        <s v="9LF_IXT3_11018_10"/>
        <s v="9LF_IXT3_11418_05"/>
        <s v="9LF_IXT3_21019_03"/>
        <s v="9LF_IXT3_11318_05"/>
        <s v="9LF_IXT3_11318_06"/>
        <s v="9LF_IXT3_21319_04"/>
        <s v="9LF_IXT3_20919_06"/>
        <s v="9LF_IXT3_21419_03"/>
        <s v="9LF_IXT3_10103_01"/>
        <s v="9LF_IXT3_10211_01"/>
        <s v="9LF_IXT3_10213_01"/>
        <s v="9LF_IXT3_10217_01"/>
        <s v="9LF_IXT3_10118_02"/>
        <s v="9LF_IXT3_10416_01"/>
        <s v="9LF_IXT3_10112_01"/>
        <s v="9LF_IXT3_10118_01"/>
        <s v="9LF_IXT3_10307_02"/>
        <s v="9LF_IXT3_10703_01"/>
        <s v="9LF_IXT3_10514_01"/>
        <s v="9LF_IXT3_11318_01"/>
        <s v="9LF_IXT3_20217_01"/>
        <s v="9LF_IXT3_10215_02"/>
        <s v="9LF_IXT3_10117_01"/>
        <s v="9LF_IXT3_20213_01"/>
        <s v="9LF_IXT3_20210_01"/>
        <s v="9LF_IXT3_10204_01"/>
        <s v="9LF_IXT3_10318_01"/>
        <s v="9LF_IXT3_20119_01"/>
        <s v="9LF_IXT3_10212_01"/>
        <s v="9LF_IXT2_20518_01"/>
        <s v="9LF_IXT3_10117_02"/>
        <s v="9LF_IXT3_10803_01"/>
        <s v="9LF_IXT3_10313_01"/>
        <s v="9LF_IXT3_20116_01"/>
        <s v="9LF_IXT3_10312_01"/>
        <s v="9LF_IXT3_10216_02"/>
        <s v="9LF_IXT3_20412_01"/>
        <s v="9LF_IXT3_10411_01"/>
        <s v="9LF_IXT3_10403_01"/>
        <s v="9LF_IXT3_10209_02"/>
        <s v="9LF_IXT3_10507_01"/>
        <s v="9LF_IXT3_20313_01"/>
        <s v="9LF_IXT3_20110_01"/>
        <s v="9LF_IXT3_20115_01"/>
        <s v="9LF_IXT3_10206_01"/>
        <s v="9LF_IXT3_20319_01"/>
        <s v="9LF_IXT3_20310_01"/>
        <s v="9LF_IXT3_20104_01"/>
        <s v="9LF_IXT3_20413_01"/>
        <s v="9LF_IXT3_20713_01"/>
        <s v="9LF_IXT3_10605_01"/>
        <s v="9LF_IXT3_20410_01"/>
        <s v="9LF_IXT3_10406_01"/>
        <s v="9LF_IXT3_20307_01"/>
        <s v="9LF_IXT3_20712_01"/>
        <s v="9LF_IXT3_10307_01"/>
        <s v="9LF_IXT3_20407_01"/>
        <s v="9LF_IXT3_10611_01"/>
        <s v="9LF_IXT3_20109_01"/>
        <s v="9LF_IXT3_20418_01"/>
        <s v="9LF_IXT3_10813_02"/>
        <s v="9LF_IXT3_10213_02"/>
        <s v="9LF_IXT3_20105_01"/>
        <s v="9LF_IXT3_20816_01"/>
        <s v="9LF_IXT3_20715_01"/>
        <s v="9LF_IXT3_11418_01"/>
        <s v="9LF_IXT3_11018_01"/>
        <s v="9LF_IXT3_10212_02"/>
        <s v="9LF_IXT3_10918_05"/>
        <s v="9LF_IXT3_10607_01"/>
        <s v="9LF_IXT3_20208_01"/>
        <s v="9LF_IXT3_20314_01"/>
        <s v="9LF_IXT3_11318_02"/>
        <s v="9LF_IXT3_20715_02"/>
        <s v="9LF_IXT3_20416_01"/>
        <s v="9LF_IXT3_10817_01"/>
        <s v="9LF_IXT3_20107_01"/>
        <s v="9LF_IXT3_10609_01"/>
        <s v="9LF_IXT3_20414_01"/>
        <s v="9LF_IXT3_20409_01"/>
        <s v="9LF_IXT3_11018_06"/>
        <s v="9LF_IXT3_10506_01"/>
        <s v="9LF_IXT3_20309_01"/>
        <s v="9LF_IXT3_11018_07"/>
        <s v="9LF_IXT3_10918_02"/>
        <s v="9LF_IXT3_11418_03"/>
        <s v="9LF_IXT3_10918_01"/>
        <s v="9LF_IXT3_11018_05"/>
        <s v="9LF_IXT3_10510_01"/>
        <s v="9LF_IXT3_10513_01"/>
        <s v="9LF_IXT3_11018_03"/>
        <s v="9LF_IXT3_20919_04"/>
        <s v="9LF_IXT3_21419_05"/>
        <s v="9LF_IXT3_11318_04"/>
        <s v="9LF_IXT3_11418_02"/>
        <s v="9LF_IXT3_10604_01"/>
        <s v="9LF_IXT3_20919_02"/>
        <s v="9LF_IXT3_11018_02"/>
        <s v="9LF_IXT3_11018_09"/>
        <s v="9LF_IXT3_21319_01"/>
        <s v="9LF_IXT3_11018_12"/>
        <s v="9LF_IXT3_21319_02"/>
        <s v="9LF_IXT3_11418_04"/>
        <s v="9LF_IXT3_10918_03"/>
        <s v="9LF_IXT3_10918_12"/>
        <s v="9LF_IXT3_21319_03"/>
        <s v="9LF_IXT3_11018_08"/>
        <s v="9LF_IXT3_20814_01"/>
        <s v="9LF_IXT1_10218_04"/>
        <s v="9LF_IXT1_11118_02"/>
        <s v="9LF_IXT1_10218_03"/>
        <s v="9LF_IXT1_20619_02"/>
        <s v="9LF_IXT3_20919_07"/>
        <s v="9LF_IXT3_10517_01"/>
        <s v="9LF_IXT1_10518_01"/>
        <s v="9LF_IXT1_10918_01"/>
        <s v="9LF_IXT1_10418_01"/>
        <s v="9LF_IXT1_10618_01"/>
        <s v="9LF_IXT1_10918_02"/>
        <s v="9LF_IXT1_11018_01"/>
        <s v="9LF_IXT1_11518_01"/>
        <s v="9LF_IXT1_11218_01"/>
        <s v="9LF_IXT1_20719_01"/>
        <s v="9LF_IXT3_21019_02"/>
        <s v="9LF_IXT3_11018_11"/>
        <s v="9LF_IXT1_10718_01"/>
        <s v="9LF_IXT1_21019_01"/>
        <s v="9LF_IXT2_10518_01"/>
        <s v="9LF_IXT1_21519_01"/>
        <s v="9LF_IXT2_11118_02"/>
        <s v="9LF_IXT1_21719_01"/>
        <s v="9LF_IXT1_20419_01"/>
        <s v="9LF_IXT1_21619_01"/>
        <s v="9LF_IXT2_20517_03"/>
        <s v="9LF_IXT2_11118_03"/>
        <s v="9LF_IXT2_10818_03"/>
        <s v="9LF_IXT1_10218_01"/>
        <s v="9LF_IXT3_21419_01"/>
        <s v="9LF_IXT3_21019_06"/>
        <s v="9LF_IXT3_21019_07"/>
        <s v="9LF_IXT1_11418_01"/>
        <s v="9LF_IXT1_20619_01"/>
        <s v="9LF_IXT2_20217_03"/>
        <s v="9LF_IXT2_10218_02"/>
        <s v="9LF_IXT1_21419_01"/>
        <s v="9LF_IXT1_21119_01"/>
        <s v="9LF_IXT2_10818_04"/>
        <s v="9LF_IXT1_20319_01"/>
        <s v="9LF_IXT1_11218_02"/>
        <s v="9LF_IXT1_20519_02"/>
        <s v="9LF_IXT1_10218_02"/>
        <s v="9LF_IXT2_21117_02"/>
        <s v="9LF_IXT2_20217_02"/>
        <s v="9LF_IXT2_20217_06"/>
        <s v="9LF_IXT2_20517_01"/>
        <s v="9LF_IXT2_20517_02"/>
        <s v="9LF_IXT2_10818_02"/>
        <s v="9LF_IXT2_10218_01"/>
        <s v="9LF_IXT1_11618_01"/>
        <s v="9LF_IXT1_21219_01"/>
        <s v="9LF_IXT1_10818_01"/>
        <s v="9LF_IXT1_11018_02"/>
        <s v="9LF_IXT1_10318_01"/>
        <s v="9LF_IXT1_11718_01"/>
        <s v="9LF_IXT2_11118_04"/>
        <s v="9LF_IXT1_20219_01"/>
        <s v="9LF_IXT2_20817_02"/>
        <s v="9LF_IXT2_11118_01"/>
        <s v="9LF_IXT1_20519_01"/>
        <s v="9LF_IXT2_10518_02"/>
        <s v="9LF_IXT2_20517_04"/>
        <s v="9LF_IXT2_21117_01"/>
        <s v="9LF_IXT2_20217_04"/>
        <s v="9LF_IXT1_20919_01"/>
        <s v="9LF_IXT2_10818_01"/>
        <s v="9LF_IXT1_11118_01"/>
        <s v="9LF_IXT2_20217_05"/>
        <s v="9LF_IXT1_11318_01"/>
        <s v="9LF_IXT2_20217_01"/>
        <s v="9LF_IXT1_21319_01"/>
        <s v="9LF_IXT2_20817_01"/>
        <s v="9SP_IXT3_20819_01"/>
        <s v="9SP_IXT3_10818_01"/>
        <e v="#N/A" u="1"/>
      </sharedItems>
    </cacheField>
    <cacheField name="PORT" uniqueList="1" numFmtId="0" sqlType="0" hierarchy="0" level="0" databaseField="1">
      <sharedItems count="0"/>
    </cacheField>
    <cacheField name="Admin State" uniqueList="1" numFmtId="0" sqlType="0" hierarchy="0" level="0" databaseField="1">
      <sharedItems count="2">
        <s v="up"/>
        <s v="down"/>
      </sharedItems>
    </cacheField>
    <cacheField name="Operational State" uniqueList="1" numFmtId="0" sqlType="0" hierarchy="0" level="0" databaseField="1">
      <sharedItems count="3">
        <s v="up"/>
        <s v="down"/>
        <s v="Breake-Out port"/>
      </sharedItems>
    </cacheField>
    <cacheField name="Reason" uniqueList="1" numFmtId="0" sqlType="0" hierarchy="0" level="0" databaseField="1">
      <sharedItems count="10">
        <s v="none"/>
        <s v="link-not-connected"/>
        <s v="admin-down"/>
        <s v="sfp-missing"/>
        <s v="hot-standby-in-bundle"/>
        <s v="suspended-due-to-no-lacp-pdus"/>
        <s v="suspended"/>
        <s v="vpc-peer-link-down"/>
        <s v="bpdu-guard-err-disable"/>
        <e v="#N/A"/>
      </sharedItems>
    </cacheField>
    <cacheField name="Description" uniqueList="1" numFmtId="0" sqlType="0" hierarchy="0" level="0" databaseField="1">
      <sharedItems count="0" containsBlank="1"/>
    </cacheField>
    <cacheField name="MODEL" uniqueList="1" numFmtId="0" sqlType="0" hierarchy="0" level="0" databaseField="1">
      <sharedItems count="8">
        <s v=" N9K-C93180YC-FX"/>
        <s v=" N9K-C93108TC-FX"/>
        <s v="  N9K-C9336C-FX2"/>
        <s v="       N9K-C9504"/>
        <s v="N9K-C93180YC-FX3"/>
        <s v=" N9K-C9348GC-FXP"/>
        <s v="    N9K-C93120TX"/>
        <s v="       N9K-C9516"/>
      </sharedItems>
    </cacheField>
    <cacheField name="VPC" uniqueList="1" numFmtId="0" sqlType="0" hierarchy="0" level="0" databaseField="1">
      <sharedItems count="0"/>
    </cacheField>
    <cacheField name="VPC2" uniqueList="1" numFmtId="0" sqlType="0" hierarchy="0" level="0" databaseField="1">
      <sharedItems count="0"/>
    </cacheField>
    <cacheField name="ID" uniqueList="1" numFmtId="0" sqlType="0" hierarchy="0" level="0" databaseField="1">
      <sharedItems count="0" containsInteger="1" containsNumber="1" containsSemiMixedTypes="0" containsString="0" minValue="101" maxValue="903"/>
    </cacheField>
    <cacheField name="PG" uniqueList="1" numFmtId="0" sqlType="0" hierarchy="0" level="0" databaseField="1">
      <sharedItems count="0"/>
    </cacheField>
    <cacheField name="ISEL" uniqueList="1" numFmtId="0" sqlType="0" hierarchy="0" level="0" databaseField="1">
      <sharedItems count="0"/>
    </cacheField>
    <cacheField name="STATIC PORT" uniqueList="1" numFmtId="0" sqlType="0" hierarchy="0" level="0" databaseField="1">
      <sharedItems count="0" containsInteger="1" containsNumber="1" containsSemiMixedTypes="0" containsString="0" minValue="0" maxValue="169"/>
    </cacheField>
    <cacheField name="L3OUT" uniqueList="1" numFmtId="0" sqlType="0" hierarchy="0" level="0" databaseField="1">
      <sharedItems count="0"/>
    </cacheField>
    <cacheField name="STATIC PORT P/LEAF" uniqueList="1" numFmtId="0" sqlType="0" hierarchy="0" level="0" databaseField="1">
      <sharedItems count="0" containsInteger="1" containsNumber="1" containsSemiMixedTypes="0" containsString="0" minValue="0" maxValue="288"/>
    </cacheField>
    <cacheField name="PORTS P/LEAF" uniqueList="1" numFmtId="0" sqlType="0" hierarchy="0" level="0" databaseField="1">
      <sharedItems count="0" containsBlank="1" containsInteger="1" containsMixedTypes="1" containsNumber="1" minValue="42" maxValue="96"/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Jesús Arellano" refreshedDate="45838.72328981481" createdVersion="8" refreshedVersion="8" minRefreshableVersion="3" recordCount="18522" r:id="rId1">
  <cacheSource type="worksheet">
    <worksheetSource name="Table6[[node]:[MODEL]]"/>
  </cacheSource>
  <cacheFields count="9">
    <cacheField name="node" uniqueList="1" numFmtId="0" sqlType="0" hierarchy="0" level="0" databaseField="1">
      <sharedItems count="0" containsInteger="1" containsNumber="1" containsSemiMixedTypes="0" containsString="0" minValue="101" maxValue="903"/>
    </cacheField>
    <cacheField name="port" uniqueList="1" numFmtId="0" sqlType="0" hierarchy="0" level="0" databaseField="1">
      <sharedItems count="278">
        <s v="eth1/33"/>
        <s v="eth1/34"/>
        <s v="eth1/35"/>
        <s v="eth1/36"/>
        <s v="eth1/37"/>
        <s v="eth1/38"/>
        <s v="eth1/39"/>
        <s v="eth1/40"/>
        <s v="eth1/41"/>
        <s v="eth1/42"/>
        <s v="eth1/43"/>
        <s v="eth1/44"/>
        <s v="eth1/45"/>
        <s v="eth1/46"/>
        <s v="eth1/47"/>
        <s v="eth1/48"/>
        <s v="eth1/49"/>
        <s v="eth1/50"/>
        <s v="eth1/51"/>
        <s v="eth1/52"/>
        <s v="eth1/53"/>
        <s v="eth1/54"/>
        <s v="eth1/1"/>
        <s v="eth1/2"/>
        <s v="eth1/3"/>
        <s v="eth1/4"/>
        <s v="eth1/5"/>
        <s v="eth1/6"/>
        <s v="eth1/7"/>
        <s v="eth1/8"/>
        <s v="eth1/9"/>
        <s v="eth1/10"/>
        <s v="eth1/11"/>
        <s v="eth1/12"/>
        <s v="eth1/13"/>
        <s v="eth1/14"/>
        <s v="eth1/15"/>
        <s v="eth1/16"/>
        <s v="eth1/17"/>
        <s v="eth1/18"/>
        <s v="eth1/19"/>
        <s v="eth1/20"/>
        <s v="eth1/21"/>
        <s v="eth1/22"/>
        <s v="eth1/23"/>
        <s v="eth1/24"/>
        <s v="eth1/25"/>
        <s v="eth1/26"/>
        <s v="eth1/27"/>
        <s v="eth1/28"/>
        <s v="eth1/29"/>
        <s v="eth1/30"/>
        <s v="eth1/31"/>
        <s v="eth1/32"/>
        <s v="eth2/1"/>
        <s v="eth2/2"/>
        <s v="eth2/3"/>
        <s v="eth2/4"/>
        <s v="eth2/5"/>
        <s v="eth2/6"/>
        <s v="eth2/7"/>
        <s v="eth2/8"/>
        <s v="eth2/9"/>
        <s v="eth2/10"/>
        <s v="eth2/11"/>
        <s v="eth2/12"/>
        <s v="eth2/13"/>
        <s v="eth2/14"/>
        <s v="eth2/15"/>
        <s v="eth2/16"/>
        <s v="eth2/17"/>
        <s v="eth2/18"/>
        <s v="eth2/19"/>
        <s v="eth2/20"/>
        <s v="eth2/21"/>
        <s v="eth2/22"/>
        <s v="eth2/23"/>
        <s v="eth2/24"/>
        <s v="eth2/25"/>
        <s v="eth2/26"/>
        <s v="eth2/27"/>
        <s v="eth2/28"/>
        <s v="eth2/29"/>
        <s v="eth2/30"/>
        <s v="eth2/31"/>
        <s v="eth2/32"/>
        <s v="eth1/6/1"/>
        <s v="eth1/6/2"/>
        <s v="eth1/6/3"/>
        <s v="eth1/6/4"/>
        <s v="eth1/7/1"/>
        <s v="eth1/7/2"/>
        <s v="eth1/7/3"/>
        <s v="eth1/7/4"/>
        <s v="eth1/30/1"/>
        <s v="eth1/30/2"/>
        <s v="eth1/30/3"/>
        <s v="eth1/30/4"/>
        <s v="eth1/97"/>
        <s v="eth1/98"/>
        <s v="eth1/99"/>
        <s v="eth1/100"/>
        <s v="eth1/101"/>
        <s v="eth1/102"/>
        <s v="eth1/55"/>
        <s v="eth1/56"/>
        <s v="eth1/57"/>
        <s v="eth1/58"/>
        <s v="eth1/59"/>
        <s v="eth1/60"/>
        <s v="eth1/61"/>
        <s v="eth1/62"/>
        <s v="eth1/63"/>
        <s v="eth1/64"/>
        <s v="eth1/65"/>
        <s v="eth1/66"/>
        <s v="eth1/67"/>
        <s v="eth1/68"/>
        <s v="eth1/69"/>
        <s v="eth1/70"/>
        <s v="eth1/71"/>
        <s v="eth1/72"/>
        <s v="eth1/73"/>
        <s v="eth1/74"/>
        <s v="eth1/75"/>
        <s v="eth1/76"/>
        <s v="eth1/77"/>
        <s v="eth1/78"/>
        <s v="eth1/79"/>
        <s v="eth1/80"/>
        <s v="eth1/81"/>
        <s v="eth1/82"/>
        <s v="eth1/83"/>
        <s v="eth1/84"/>
        <s v="eth1/85"/>
        <s v="eth1/86"/>
        <s v="eth1/87"/>
        <s v="eth1/88"/>
        <s v="eth1/89"/>
        <s v="eth1/90"/>
        <s v="eth1/91"/>
        <s v="eth1/92"/>
        <s v="eth1/93"/>
        <s v="eth1/94"/>
        <s v="eth1/95"/>
        <s v="eth1/96"/>
        <s v="eth6/33"/>
        <s v="eth6/34"/>
        <s v="eth6/35"/>
        <s v="eth6/36"/>
        <s v="eth3/1"/>
        <s v="eth3/2"/>
        <s v="eth3/3"/>
        <s v="eth3/4"/>
        <s v="eth3/5"/>
        <s v="eth3/6"/>
        <s v="eth3/7"/>
        <s v="eth3/8"/>
        <s v="eth3/9"/>
        <s v="eth3/10"/>
        <s v="eth3/11"/>
        <s v="eth3/12"/>
        <s v="eth3/13"/>
        <s v="eth3/14"/>
        <s v="eth3/15"/>
        <s v="eth3/16"/>
        <s v="eth3/17"/>
        <s v="eth3/18"/>
        <s v="eth3/19"/>
        <s v="eth3/20"/>
        <s v="eth3/21"/>
        <s v="eth3/22"/>
        <s v="eth3/23"/>
        <s v="eth3/24"/>
        <s v="eth3/25"/>
        <s v="eth3/26"/>
        <s v="eth3/27"/>
        <s v="eth3/28"/>
        <s v="eth3/29"/>
        <s v="eth3/30"/>
        <s v="eth3/31"/>
        <s v="eth3/32"/>
        <s v="eth4/1"/>
        <s v="eth4/2"/>
        <s v="eth4/3"/>
        <s v="eth4/4"/>
        <s v="eth4/5"/>
        <s v="eth4/6"/>
        <s v="eth4/7"/>
        <s v="eth4/8"/>
        <s v="eth4/9"/>
        <s v="eth4/10"/>
        <s v="eth4/11"/>
        <s v="eth4/12"/>
        <s v="eth4/13"/>
        <s v="eth4/14"/>
        <s v="eth4/15"/>
        <s v="eth4/16"/>
        <s v="eth4/17"/>
        <s v="eth4/18"/>
        <s v="eth4/19"/>
        <s v="eth4/20"/>
        <s v="eth4/21"/>
        <s v="eth4/22"/>
        <s v="eth4/23"/>
        <s v="eth4/24"/>
        <s v="eth4/25"/>
        <s v="eth4/26"/>
        <s v="eth4/27"/>
        <s v="eth4/28"/>
        <s v="eth4/29"/>
        <s v="eth4/30"/>
        <s v="eth4/31"/>
        <s v="eth4/32"/>
        <s v="eth5/1"/>
        <s v="eth5/2"/>
        <s v="eth5/3"/>
        <s v="eth5/4"/>
        <s v="eth5/5"/>
        <s v="eth5/6"/>
        <s v="eth5/7"/>
        <s v="eth5/8"/>
        <s v="eth5/9"/>
        <s v="eth5/10"/>
        <s v="eth5/11"/>
        <s v="eth5/12"/>
        <s v="eth5/13"/>
        <s v="eth5/14"/>
        <s v="eth5/15"/>
        <s v="eth5/16"/>
        <s v="eth5/17"/>
        <s v="eth5/18"/>
        <s v="eth5/19"/>
        <s v="eth5/20"/>
        <s v="eth5/21"/>
        <s v="eth5/22"/>
        <s v="eth5/23"/>
        <s v="eth5/24"/>
        <s v="eth5/25"/>
        <s v="eth5/26"/>
        <s v="eth5/27"/>
        <s v="eth5/28"/>
        <s v="eth5/29"/>
        <s v="eth5/30"/>
        <s v="eth5/31"/>
        <s v="eth5/32"/>
        <s v="eth6/1"/>
        <s v="eth6/2"/>
        <s v="eth6/3"/>
        <s v="eth6/4"/>
        <s v="eth6/5"/>
        <s v="eth6/6"/>
        <s v="eth6/7"/>
        <s v="eth6/8"/>
        <s v="eth6/9"/>
        <s v="eth6/10"/>
        <s v="eth6/11"/>
        <s v="eth6/12"/>
        <s v="eth6/13"/>
        <s v="eth6/14"/>
        <s v="eth6/15"/>
        <s v="eth6/16"/>
        <s v="eth6/17"/>
        <s v="eth6/18"/>
        <s v="eth6/19"/>
        <s v="eth6/20"/>
        <s v="eth6/21"/>
        <s v="eth6/22"/>
        <s v="eth6/23"/>
        <s v="eth6/24"/>
        <s v="eth6/25"/>
        <s v="eth6/26"/>
        <s v="eth6/27"/>
        <s v="eth6/28"/>
        <s v="eth6/29"/>
        <s v="eth6/30"/>
        <s v="eth6/31"/>
        <s v="eth6/32"/>
      </sharedItems>
    </cacheField>
    <cacheField name="duplex" uniqueList="1" numFmtId="0" sqlType="0" hierarchy="0" level="0" databaseField="1">
      <sharedItems count="0"/>
    </cacheField>
    <cacheField name="oper speed" uniqueList="1" numFmtId="0" sqlType="0" hierarchy="0" level="0" databaseField="1">
      <sharedItems count="7">
        <s v="10G"/>
        <s v="25G"/>
        <s v="40G"/>
        <s v="100G"/>
        <s v="auto"/>
        <s v="1G"/>
        <s v="100M"/>
      </sharedItems>
    </cacheField>
    <cacheField name="oper state" uniqueList="1" numFmtId="0" sqlType="0" hierarchy="0" level="0" databaseField="1">
      <sharedItems count="2">
        <s v="up"/>
        <s v="down"/>
      </sharedItems>
    </cacheField>
    <cacheField name="oper st qual" uniqueList="1" numFmtId="0" sqlType="0" hierarchy="0" level="0" databaseField="1">
      <sharedItems count="0"/>
    </cacheField>
    <cacheField name="pod" uniqueList="1" numFmtId="0" sqlType="0" hierarchy="0" level="0" databaseField="1">
      <sharedItems count="3" containsInteger="1" containsNumber="1" containsSemiMixedTypes="0" containsString="0" minValue="1" maxValue="3">
        <n v="1"/>
        <n v="2"/>
        <n v="3"/>
      </sharedItems>
    </cacheField>
    <cacheField name="dn" uniqueList="1" numFmtId="0" sqlType="0" hierarchy="0" level="0" databaseField="1">
      <sharedItems count="0"/>
    </cacheField>
    <cacheField name="MODEL" uniqueList="1" numFmtId="0" sqlType="0" hierarchy="0" level="0" databaseField="1">
      <sharedItems count="8">
        <s v=" N9K-C93180YC-FX"/>
        <s v=" N9K-C93108TC-FX"/>
        <s v="       N9K-C9504"/>
        <s v="  N9K-C9336C-FX2"/>
        <s v=" N9K-C9348GC-FXP"/>
        <s v="N9K-C93180YC-FX3"/>
        <s v="    N9K-C93120TX"/>
        <s v="       N9K-C9516"/>
      </sharedItems>
    </cacheField>
  </cacheFields>
</pivotCacheDefinition>
</file>

<file path=xl/pivotCache/pivotCacheRecords1.xml><?xml version="1.0" encoding="utf-8"?>
<pivotCacheRecords xmlns="http://schemas.openxmlformats.org/spreadsheetml/2006/main" count="18132">
  <r>
    <n v="128"/>
    <x v="0"/>
    <x v="0"/>
    <s v="eth1/1"/>
    <x v="0"/>
    <x v="0"/>
    <x v="0"/>
    <s v="HUECOS DC_S1"/>
    <x v="0"/>
    <b v="0"/>
    <s v="No está en VPC"/>
    <n v="128"/>
    <s v="INTPG_VPC_128_1.1-6_129_1.1-6"/>
    <s v="ISEL-1.1"/>
    <n v="1"/>
    <s v="NO TIENE L3OUT"/>
    <n v="0"/>
    <m/>
  </r>
  <r>
    <n v="123"/>
    <x v="0"/>
    <x v="1"/>
    <s v="eth1/1"/>
    <x v="0"/>
    <x v="0"/>
    <x v="0"/>
    <s v="DASHBD02.19.8"/>
    <x v="1"/>
    <b v="0"/>
    <s v="No está en VPC"/>
    <n v="123"/>
    <s v="INTPG_ACC_123_1.1"/>
    <s v="ISEL-1.1"/>
    <n v="1"/>
    <s v="NO TIENE L3OUT"/>
    <n v="20"/>
    <n v="54"/>
  </r>
  <r>
    <n v="152"/>
    <x v="0"/>
    <x v="2"/>
    <s v="eth1/1"/>
    <x v="0"/>
    <x v="0"/>
    <x v="0"/>
    <s v="DASHBOARD"/>
    <x v="1"/>
    <b v="0"/>
    <s v="No está en VPC"/>
    <n v="152"/>
    <s v="INTPG_ACC_152_1.1"/>
    <s v="ISEL-1.1"/>
    <n v="1"/>
    <s v="NO TIENE L3OUT"/>
    <n v="38"/>
    <n v="54"/>
  </r>
  <r>
    <n v="101"/>
    <x v="0"/>
    <x v="3"/>
    <s v="eth1/1"/>
    <x v="0"/>
    <x v="0"/>
    <x v="0"/>
    <s v="TO-ITHFDEVYCWPAP01"/>
    <x v="0"/>
    <b v="0"/>
    <s v="No está en VPC"/>
    <n v="101"/>
    <s v="INTPG_VPC_101_1.1_150_1.1"/>
    <s v="ISEL-1.1"/>
    <n v="2"/>
    <s v="NO TIENE L3OUT"/>
    <n v="114"/>
    <n v="54"/>
  </r>
  <r>
    <n v="160"/>
    <x v="0"/>
    <x v="4"/>
    <s v="eth1/1"/>
    <x v="0"/>
    <x v="1"/>
    <x v="1"/>
    <s v="CONVERGENT_AND_CHARGING_VSP_2"/>
    <x v="1"/>
    <b v="0"/>
    <s v="No está en VPC"/>
    <n v="160"/>
    <s v="INTPG_ACC_160_1.1"/>
    <s v="ISEL-1.1"/>
    <n v="1"/>
    <s v="NO TIENE L3OUT"/>
    <n v="68"/>
    <n v="54"/>
  </r>
  <r>
    <n v="121"/>
    <x v="0"/>
    <x v="5"/>
    <s v="eth1/1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1"/>
    <x v="0"/>
    <x v="0"/>
    <x v="0"/>
    <s v="HUECOS DC_S1"/>
    <x v="0"/>
    <b v="0"/>
    <s v="No está en VPC"/>
    <n v="129"/>
    <s v="INTPG_VPC_128_1.1-6_129_1.1-6"/>
    <s v="ISEL-1.1"/>
    <n v="1"/>
    <s v="NO TIENE L3OUT"/>
    <n v="0"/>
    <n v="54"/>
  </r>
  <r>
    <n v="401"/>
    <x v="1"/>
    <x v="7"/>
    <s v="eth1/1"/>
    <x v="0"/>
    <x v="0"/>
    <x v="0"/>
    <s v="M10-ACTIVO1"/>
    <x v="0"/>
    <b v="0"/>
    <s v="No está en VPC"/>
    <n v="401"/>
    <s v="INTPG_ACC_401_1.1"/>
    <s v="ISEL-1.1"/>
    <n v="4"/>
    <s v="NO TIENE L3OUT"/>
    <n v="40"/>
    <n v="54"/>
  </r>
  <r>
    <n v="402"/>
    <x v="1"/>
    <x v="8"/>
    <s v="eth1/1"/>
    <x v="1"/>
    <x v="1"/>
    <x v="2"/>
    <s v="M10-PASIVO1"/>
    <x v="0"/>
    <b v="0"/>
    <s v="No está en VPC"/>
    <n v="402"/>
    <s v="INTPG_ACC_402_1.1"/>
    <s v="ISEL-1.1"/>
    <n v="2"/>
    <s v="NO TIENE L3OUT"/>
    <n v="36"/>
    <n v="54"/>
  </r>
  <r>
    <n v="447"/>
    <x v="1"/>
    <x v="9"/>
    <s v="eth1/1"/>
    <x v="0"/>
    <x v="0"/>
    <x v="0"/>
    <s v="YB_PRODUCCION_ETH-TRUNK_1"/>
    <x v="2"/>
    <b v="0"/>
    <s v="No está en VPC"/>
    <n v="447"/>
    <s v="INTPG_VPC_445_1.1_447_1.1"/>
    <s v="ISEL-1.1"/>
    <n v="1"/>
    <s v="NO TIENE L3OUT"/>
    <n v="16"/>
    <n v="42"/>
  </r>
  <r>
    <n v="445"/>
    <x v="1"/>
    <x v="10"/>
    <s v="eth1/1"/>
    <x v="0"/>
    <x v="0"/>
    <x v="0"/>
    <s v="YB_PRODUCCION_ETH-TRUNK_1"/>
    <x v="2"/>
    <b v="0"/>
    <s v="No está en VPC"/>
    <n v="445"/>
    <s v="INTPG_VPC_445_1.1_447_1.1"/>
    <s v="ISEL-1.1"/>
    <n v="1"/>
    <s v="NO TIENE L3OUT"/>
    <n v="16"/>
    <n v="42"/>
  </r>
  <r>
    <n v="130"/>
    <x v="0"/>
    <x v="11"/>
    <s v="eth1/1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1"/>
    <x v="0"/>
    <x v="0"/>
    <x v="0"/>
    <s v="TO-ITHFDEVYCWPAP01"/>
    <x v="0"/>
    <b v="0"/>
    <s v="No está en VPC"/>
    <n v="150"/>
    <s v="INTPG_VPC_101_1.1_150_1.1"/>
    <s v="ISEL-1.1"/>
    <n v="2"/>
    <s v="NO TIENE L3OUT"/>
    <n v="118"/>
    <n v="54"/>
  </r>
  <r>
    <n v="131"/>
    <x v="0"/>
    <x v="13"/>
    <s v="eth1/1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1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1"/>
    <x v="0"/>
    <x v="0"/>
    <x v="0"/>
    <s v="TelcelCloudStack:ithhwtcs01en01:2X 40G P1"/>
    <x v="2"/>
    <b v="0"/>
    <s v="No está en VPC"/>
    <n v="758"/>
    <s v="INTPG_VPC_758_1.1-2_759_1.1-2"/>
    <s v="ISEL-1.1"/>
    <n v="124"/>
    <s v="NO TIENE L3OUT"/>
    <n v="0"/>
    <n v="42"/>
  </r>
  <r>
    <n v="759"/>
    <x v="2"/>
    <x v="16"/>
    <s v="eth1/1"/>
    <x v="0"/>
    <x v="0"/>
    <x v="0"/>
    <s v="TelcelCloudStack:ithhwtcs01en01:3X 40G P1"/>
    <x v="2"/>
    <b v="0"/>
    <s v="No está en VPC"/>
    <n v="759"/>
    <s v="INTPG_VPC_758_1.1-2_759_1.1-2"/>
    <s v="ISEL-1.1"/>
    <n v="124"/>
    <s v="NO TIENE L3OUT"/>
    <n v="0"/>
    <n v="42"/>
  </r>
  <r>
    <n v="302"/>
    <x v="0"/>
    <x v="17"/>
    <s v="eth1/1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1"/>
    <x v="0"/>
    <x v="0"/>
    <x v="0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1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1"/>
    <x v="0"/>
    <x v="0"/>
    <x v="0"/>
    <s v="HUECOS DC_S2"/>
    <x v="0"/>
    <b v="0"/>
    <s v="No está en VPC"/>
    <n v="452"/>
    <s v="INTPG_VPC_450_1.1-6_452_1.1-6"/>
    <s v="ISEL-1.1"/>
    <n v="1"/>
    <s v="NO TIENE L3OUT"/>
    <n v="0"/>
    <n v="54"/>
  </r>
  <r>
    <n v="450"/>
    <x v="1"/>
    <x v="21"/>
    <s v="eth1/1"/>
    <x v="0"/>
    <x v="0"/>
    <x v="0"/>
    <s v="HUECOS DC_S2"/>
    <x v="0"/>
    <b v="0"/>
    <s v="No está en VPC"/>
    <n v="450"/>
    <s v="INTPG_VPC_450_1.1-6_452_1.1-6"/>
    <s v="ISEL-1.1"/>
    <n v="1"/>
    <s v="NO TIENE L3OUT"/>
    <n v="0"/>
    <n v="54"/>
  </r>
  <r>
    <n v="727"/>
    <x v="2"/>
    <x v="22"/>
    <s v="eth1/1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1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1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1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1"/>
    <x v="0"/>
    <x v="0"/>
    <x v="0"/>
    <s v="HUAWEI_CLOUD_FASE2_LAG1"/>
    <x v="0"/>
    <b v="0"/>
    <s v="No está en VPC"/>
    <n v="431"/>
    <s v="INTPG_VPC_431_1.1-2_448_1.1-2"/>
    <s v="ISEL-1.1"/>
    <n v="46"/>
    <s v="NO TIENE L3OUT"/>
    <n v="46"/>
    <n v="54"/>
  </r>
  <r>
    <n v="433"/>
    <x v="1"/>
    <x v="27"/>
    <s v="eth1/1"/>
    <x v="0"/>
    <x v="1"/>
    <x v="1"/>
    <s v="Firewall_Fortinet_Mgmt"/>
    <x v="1"/>
    <b v="0"/>
    <s v="No está en VPC"/>
    <n v="433"/>
    <s v="INTPG_ACC_433_1.1"/>
    <s v="ISEL-1.1"/>
    <n v="1"/>
    <s v="NO TIENE L3OUT"/>
    <n v="42"/>
    <n v="54"/>
  </r>
  <r>
    <n v="429"/>
    <x v="1"/>
    <x v="28"/>
    <s v="eth1/1"/>
    <x v="0"/>
    <x v="0"/>
    <x v="0"/>
    <s v="RKN_1.5__2248_1.1_Prt-37_SECUNDARIO"/>
    <x v="1"/>
    <b v="0"/>
    <s v="No está en VPC"/>
    <n v="429"/>
    <s v="INTPG_ACC_429_1.1"/>
    <s v="ISEL-1.1"/>
    <n v="1"/>
    <s v="NO TIENE L3OUT"/>
    <n v="8"/>
    <n v="54"/>
  </r>
  <r>
    <n v="432"/>
    <x v="1"/>
    <x v="29"/>
    <s v="eth1/1"/>
    <x v="0"/>
    <x v="0"/>
    <x v="0"/>
    <s v="SSO"/>
    <x v="1"/>
    <b v="0"/>
    <s v="No está en VPC"/>
    <n v="432"/>
    <s v="INTPG_ACC_432_1.1"/>
    <s v="ISEL-1.1"/>
    <n v="1"/>
    <s v="NO TIENE L3OUT"/>
    <n v="54"/>
    <n v="54"/>
  </r>
  <r>
    <n v="442"/>
    <x v="1"/>
    <x v="30"/>
    <s v="eth1/1"/>
    <x v="0"/>
    <x v="0"/>
    <x v="0"/>
    <s v="CONECTIVIDAD_HUAWEI_CLOUD_SALA_2_gestion_client_LAG"/>
    <x v="1"/>
    <b v="0"/>
    <s v="No está en VPC"/>
    <n v="442"/>
    <s v="INTPG_VPC_440_1.1-2_442_1.1-2"/>
    <s v="ISEL-1.1"/>
    <n v="2"/>
    <s v="NO TIENE L3OUT"/>
    <n v="18"/>
    <n v="54"/>
  </r>
  <r>
    <n v="434"/>
    <x v="1"/>
    <x v="31"/>
    <s v="eth1/1"/>
    <x v="0"/>
    <x v="0"/>
    <x v="0"/>
    <s v="TO-sfdacd10-MGT"/>
    <x v="1"/>
    <b v="0"/>
    <s v="No está en VPC"/>
    <n v="434"/>
    <s v="INTPG_ACC_434_1.1"/>
    <s v="ISEL-1.1"/>
    <n v="1"/>
    <s v="NO TIENE L3OUT"/>
    <n v="34"/>
    <n v="54"/>
  </r>
  <r>
    <n v="707"/>
    <x v="2"/>
    <x v="32"/>
    <s v="eth1/1"/>
    <x v="0"/>
    <x v="0"/>
    <x v="0"/>
    <s v="CEM:ITHCEMG2DAT01:LOM P1"/>
    <x v="0"/>
    <b v="0"/>
    <s v="No está en VPC"/>
    <n v="707"/>
    <s v="INTPG_ACC_707_1.1"/>
    <s v="ISEL-1.1"/>
    <n v="1"/>
    <s v="NO TIENE L3OUT"/>
    <n v="54"/>
    <n v="54"/>
  </r>
  <r>
    <n v="712"/>
    <x v="2"/>
    <x v="33"/>
    <s v="eth1/1"/>
    <x v="0"/>
    <x v="0"/>
    <x v="0"/>
    <s v="CEM:ITHCEMB2DAT01:LOM P1"/>
    <x v="0"/>
    <b v="0"/>
    <s v="No está en VPC"/>
    <n v="712"/>
    <s v="INTPG_ACC_712_1.1"/>
    <s v="ISEL-1.1"/>
    <n v="1"/>
    <s v="NO TIENE L3OUT"/>
    <n v="32"/>
    <n v="54"/>
  </r>
  <r>
    <n v="719"/>
    <x v="2"/>
    <x v="34"/>
    <s v="eth1/1"/>
    <x v="0"/>
    <x v="0"/>
    <x v="0"/>
    <m/>
    <x v="0"/>
    <b v="0"/>
    <s v="No está en VPC"/>
    <n v="719"/>
    <s v="INTPG-VPC_HDD07_719_1.1_720_1.2"/>
    <s v="ISEL-1.1"/>
    <n v="0"/>
    <s v="NO TIENE L3OUT"/>
    <n v="0"/>
    <n v="54"/>
  </r>
  <r>
    <n v="715"/>
    <x v="2"/>
    <x v="35"/>
    <s v="eth1/1"/>
    <x v="0"/>
    <x v="0"/>
    <x v="0"/>
    <m/>
    <x v="0"/>
    <b v="0"/>
    <s v="No está en VPC"/>
    <n v="715"/>
    <s v="INTPG-VPC_HDD48_715_1.1_716_1.2"/>
    <s v="ISEL-1.1"/>
    <n v="1"/>
    <s v="NO TIENE L3OUT"/>
    <n v="0"/>
    <n v="54"/>
  </r>
  <r>
    <n v="427"/>
    <x v="1"/>
    <x v="36"/>
    <s v="eth1/1"/>
    <x v="0"/>
    <x v="0"/>
    <x v="0"/>
    <s v="FASE_1.5_REDKNEE_produccion_5_client_LAG"/>
    <x v="1"/>
    <b v="0"/>
    <s v="No está en VPC"/>
    <n v="427"/>
    <s v="INTPG_VPC_427_1.1_429_1.4"/>
    <s v="ISEL-1.1"/>
    <n v="1"/>
    <s v="NO TIENE L3OUT"/>
    <n v="10"/>
    <n v="54"/>
  </r>
  <r>
    <n v="711"/>
    <x v="2"/>
    <x v="37"/>
    <s v="eth1/1"/>
    <x v="0"/>
    <x v="0"/>
    <x v="0"/>
    <s v="CEM:ITHCEMC2DAT01:LOM P1"/>
    <x v="0"/>
    <b v="0"/>
    <s v="No está en VPC"/>
    <n v="711"/>
    <s v="INTPG_ACC_711_1.1"/>
    <s v="ISEL-1.1"/>
    <n v="1"/>
    <s v="NO TIENE L3OUT"/>
    <n v="16"/>
    <n v="54"/>
  </r>
  <r>
    <n v="716"/>
    <x v="2"/>
    <x v="38"/>
    <s v="eth1/1"/>
    <x v="0"/>
    <x v="0"/>
    <x v="0"/>
    <m/>
    <x v="0"/>
    <b v="0"/>
    <s v="No está en VPC"/>
    <n v="716"/>
    <s v="INTPG-VPC_HDD39_716_1.1_715_1.2"/>
    <s v="ISEL-1.1"/>
    <n v="1"/>
    <s v="NO TIENE L3OUT"/>
    <n v="0"/>
    <n v="54"/>
  </r>
  <r>
    <n v="702"/>
    <x v="2"/>
    <x v="39"/>
    <s v="eth1/1"/>
    <x v="0"/>
    <x v="0"/>
    <x v="0"/>
    <m/>
    <x v="0"/>
    <b v="0"/>
    <s v="No está en VPC"/>
    <n v="702"/>
    <s v="INTPG_VPC_702_1.1_701_1.2"/>
    <s v="ISEL-1.1"/>
    <n v="1"/>
    <s v="NO TIENE L3OUT"/>
    <n v="0"/>
    <n v="54"/>
  </r>
  <r>
    <n v="435"/>
    <x v="1"/>
    <x v="40"/>
    <s v="eth1/1"/>
    <x v="0"/>
    <x v="1"/>
    <x v="1"/>
    <s v="Firewall_Fortinet"/>
    <x v="1"/>
    <b v="0"/>
    <s v="No está en VPC"/>
    <n v="435"/>
    <s v="INTPG_ACC_435_1.1"/>
    <s v="ISEL-1.1"/>
    <n v="1"/>
    <s v="NO TIENE L3OUT"/>
    <n v="34"/>
    <n v="54"/>
  </r>
  <r>
    <n v="446"/>
    <x v="1"/>
    <x v="41"/>
    <s v="eth1/1"/>
    <x v="0"/>
    <x v="0"/>
    <x v="0"/>
    <s v="TO-ITHFHPNBURBKP03"/>
    <x v="0"/>
    <b v="0"/>
    <s v="No está en VPC"/>
    <n v="446"/>
    <s v="INTPG_VPC_444_1.1_446_1.1"/>
    <s v="ISEL-1.1"/>
    <n v="1"/>
    <s v="NO TIENE L3OUT"/>
    <n v="198"/>
    <n v="54"/>
  </r>
  <r>
    <n v="444"/>
    <x v="1"/>
    <x v="42"/>
    <s v="eth1/1"/>
    <x v="0"/>
    <x v="1"/>
    <x v="4"/>
    <s v="TO-ITHFHPNBURBKP03"/>
    <x v="0"/>
    <b v="0"/>
    <s v="No está en VPC"/>
    <n v="444"/>
    <s v="INTPG_VPC_444_1.1_446_1.1"/>
    <s v="ISEL-1.1"/>
    <n v="1"/>
    <s v="NO TIENE L3OUT"/>
    <n v="234"/>
    <n v="54"/>
  </r>
  <r>
    <n v="701"/>
    <x v="2"/>
    <x v="43"/>
    <s v="eth1/1"/>
    <x v="0"/>
    <x v="0"/>
    <x v="0"/>
    <m/>
    <x v="0"/>
    <b v="0"/>
    <s v="No está en VPC"/>
    <n v="701"/>
    <s v="INTPG_VPC_701_1.1_702_1.2"/>
    <s v="ISEL-1.1"/>
    <n v="1"/>
    <s v="NO TIENE L3OUT"/>
    <n v="0"/>
    <n v="54"/>
  </r>
  <r>
    <n v="440"/>
    <x v="1"/>
    <x v="44"/>
    <s v="eth1/1"/>
    <x v="0"/>
    <x v="0"/>
    <x v="0"/>
    <s v="CONECTIVIDAD_HUAWEI_CLOUD_SALA_2_gestion_client_LAG"/>
    <x v="1"/>
    <b v="0"/>
    <s v="No está en VPC"/>
    <n v="440"/>
    <s v="INTPG_VPC_440_1.1-2_442_1.1-2"/>
    <s v="ISEL-1.1"/>
    <n v="2"/>
    <s v="NO TIENE L3OUT"/>
    <n v="22"/>
    <n v="54"/>
  </r>
  <r>
    <n v="448"/>
    <x v="1"/>
    <x v="45"/>
    <s v="eth1/1"/>
    <x v="0"/>
    <x v="0"/>
    <x v="0"/>
    <s v="HUAWEI_CLOUD_FASE2_LAG1"/>
    <x v="0"/>
    <b v="0"/>
    <s v="No está en VPC"/>
    <n v="448"/>
    <s v="INTPG_VPC_431_1.1-2_448_1.1-2"/>
    <s v="ISEL-1.1"/>
    <n v="46"/>
    <s v="NO TIENE L3OUT"/>
    <n v="46"/>
    <n v="54"/>
  </r>
  <r>
    <n v="704"/>
    <x v="2"/>
    <x v="46"/>
    <s v="eth1/1"/>
    <x v="0"/>
    <x v="0"/>
    <x v="0"/>
    <m/>
    <x v="0"/>
    <b v="0"/>
    <s v="No está en VPC"/>
    <n v="704"/>
    <s v="INTPG_VPC_704_1.1_703_1.2"/>
    <s v="ISEL-1.1"/>
    <n v="1"/>
    <s v="NO TIENE L3OUT"/>
    <n v="0"/>
    <n v="54"/>
  </r>
  <r>
    <n v="729"/>
    <x v="2"/>
    <x v="47"/>
    <s v="eth1/1"/>
    <x v="0"/>
    <x v="0"/>
    <x v="0"/>
    <s v="eth-trunk-22"/>
    <x v="0"/>
    <b v="0"/>
    <s v="No está en VPC"/>
    <n v="729"/>
    <s v="INTPG_VPC_728_1.1_4_729_1.1_4"/>
    <s v="ISEL-1.1"/>
    <n v="11"/>
    <s v="NO TIENE L3OUT"/>
    <n v="4"/>
    <n v="54"/>
  </r>
  <r>
    <n v="728"/>
    <x v="2"/>
    <x v="48"/>
    <s v="eth1/1"/>
    <x v="0"/>
    <x v="0"/>
    <x v="0"/>
    <s v="eth-trunk-22"/>
    <x v="0"/>
    <b v="0"/>
    <s v="No está en VPC"/>
    <n v="728"/>
    <s v="INTPG_VPC_728_1.1_4_729_1.1_4"/>
    <s v="ISEL-1.1"/>
    <n v="11"/>
    <s v="NO TIENE L3OUT"/>
    <n v="2"/>
    <n v="54"/>
  </r>
  <r>
    <n v="456"/>
    <x v="1"/>
    <x v="49"/>
    <s v="eth1/1"/>
    <x v="0"/>
    <x v="0"/>
    <x v="0"/>
    <s v="HACIA_CSI-A-OSCP-F4-05_SECUNDARIO"/>
    <x v="4"/>
    <b v="0"/>
    <s v="No está en VPC"/>
    <n v="456"/>
    <s v="INTPG_VPC_454_1.1_456_1.1"/>
    <s v="ISEL-1.1"/>
    <n v="2"/>
    <s v="NO TIENE L3OUT"/>
    <n v="4"/>
    <n v="54"/>
  </r>
  <r>
    <n v="603"/>
    <x v="1"/>
    <x v="50"/>
    <s v="eth1/1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1"/>
    <x v="0"/>
    <x v="0"/>
    <x v="0"/>
    <s v="CRM, CBS:ITHHWBESRK11CH1:E1-10GE 1"/>
    <x v="0"/>
    <b v="0"/>
    <s v="No está en VPC"/>
    <n v="746"/>
    <s v="INTPG_VPC_745_1.1_4_746_1.1_4"/>
    <s v="ISEL-1.1"/>
    <n v="13"/>
    <s v="NO TIENE L3OUT"/>
    <n v="0"/>
    <n v="54"/>
  </r>
  <r>
    <n v="745"/>
    <x v="2"/>
    <x v="52"/>
    <s v="eth1/1"/>
    <x v="0"/>
    <x v="0"/>
    <x v="0"/>
    <s v="CRM, CBS:PR-R11-F08:E1-10GE 2"/>
    <x v="0"/>
    <b v="0"/>
    <s v="No está en VPC"/>
    <n v="745"/>
    <s v="INTPG_VPC_745_1.1_4_746_1.1_4"/>
    <s v="ISEL-1.1"/>
    <n v="13"/>
    <s v="NO TIENE L3OUT"/>
    <n v="0"/>
    <n v="54"/>
  </r>
  <r>
    <n v="730"/>
    <x v="2"/>
    <x v="53"/>
    <s v="eth1/1"/>
    <x v="0"/>
    <x v="0"/>
    <x v="0"/>
    <s v="eth-trunk-2"/>
    <x v="0"/>
    <b v="0"/>
    <s v="No está en VPC"/>
    <n v="730"/>
    <s v="INTPG_VPC_730_1.1_4_731_1.1_4"/>
    <s v="ISEL-1.1"/>
    <n v="11"/>
    <s v="NO TIENE L3OUT"/>
    <n v="36"/>
    <n v="54"/>
  </r>
  <r>
    <n v="722"/>
    <x v="2"/>
    <x v="54"/>
    <s v="eth1/1"/>
    <x v="0"/>
    <x v="0"/>
    <x v="0"/>
    <m/>
    <x v="0"/>
    <b v="0"/>
    <s v="No está en VPC"/>
    <n v="722"/>
    <s v="INTPG-VPC_HDD133_722_1.1_723_1.2"/>
    <s v="ISEL-1.1"/>
    <n v="1"/>
    <s v="NO TIENE L3OUT"/>
    <n v="0"/>
    <n v="54"/>
  </r>
  <r>
    <n v="733"/>
    <x v="2"/>
    <x v="55"/>
    <s v="eth1/1"/>
    <x v="0"/>
    <x v="0"/>
    <x v="0"/>
    <s v="eth-trunk 12 fase 2 bes"/>
    <x v="0"/>
    <b v="0"/>
    <s v="No está en VPC"/>
    <n v="733"/>
    <s v="INTPG_VPC_732_1.1_4_733_1.1_4"/>
    <s v="ISEL-1.1"/>
    <n v="9"/>
    <s v="NO TIENE L3OUT"/>
    <n v="0"/>
    <n v="54"/>
  </r>
  <r>
    <n v="755"/>
    <x v="2"/>
    <x v="56"/>
    <s v="eth1/1"/>
    <x v="0"/>
    <x v="0"/>
    <x v="0"/>
    <s v="OSS F1:ithenmr06e2r9a:Bay1/X1"/>
    <x v="0"/>
    <b v="0"/>
    <s v="No está en VPC"/>
    <n v="755"/>
    <s v="INTPG_PC_755_1.1-2"/>
    <s v="ISEL-1.1"/>
    <n v="8"/>
    <s v="NO TIENE L3OUT"/>
    <n v="52"/>
    <n v="54"/>
  </r>
  <r>
    <n v="748"/>
    <x v="2"/>
    <x v="57"/>
    <s v="eth1/1"/>
    <x v="0"/>
    <x v="0"/>
    <x v="0"/>
    <s v="trunk11 Bes-Production"/>
    <x v="0"/>
    <b v="0"/>
    <s v="No está en VPC"/>
    <n v="748"/>
    <s v="INTPG_VPC_748_1.1_4_749_1.1_4"/>
    <s v="ISEL-1.1"/>
    <n v="14"/>
    <s v="NO TIENE L3OUT"/>
    <n v="2"/>
    <n v="54"/>
  </r>
  <r>
    <n v="756"/>
    <x v="2"/>
    <x v="58"/>
    <s v="eth1/1"/>
    <x v="0"/>
    <x v="0"/>
    <x v="0"/>
    <s v="OSS F1:ithenmr08bl01nas1r9a:PORT 1"/>
    <x v="0"/>
    <b v="0"/>
    <s v="No está en VPC"/>
    <n v="756"/>
    <s v="INTPG_PC_756_1.1-4"/>
    <s v="ISEL-1.1"/>
    <n v="1"/>
    <s v="NO TIENE L3OUT"/>
    <n v="64"/>
    <n v="54"/>
  </r>
  <r>
    <n v="754"/>
    <x v="2"/>
    <x v="59"/>
    <s v="eth1/1"/>
    <x v="0"/>
    <x v="0"/>
    <x v="0"/>
    <s v="OSS F1:ithenmr04bl03lms1r9b:PORT 1"/>
    <x v="0"/>
    <b v="0"/>
    <s v="No está en VPC"/>
    <n v="754"/>
    <s v="INTPG_ACC_754_1.1"/>
    <s v="ISEL-1.1"/>
    <n v="1"/>
    <s v="NO TIENE L3OUT"/>
    <n v="62"/>
    <n v="54"/>
  </r>
  <r>
    <n v="751"/>
    <x v="2"/>
    <x v="60"/>
    <s v="eth1/1"/>
    <x v="0"/>
    <x v="0"/>
    <x v="0"/>
    <s v="trunk15 Bes-Production"/>
    <x v="0"/>
    <b v="0"/>
    <s v="No está en VPC"/>
    <n v="751"/>
    <s v="INTPG_VPC_750_1.1_4_751_1.1_4"/>
    <s v="ISEL-1.1"/>
    <n v="14"/>
    <s v="NO TIENE L3OUT"/>
    <n v="0"/>
    <n v="54"/>
  </r>
  <r>
    <n v="769"/>
    <x v="2"/>
    <x v="61"/>
    <s v="eth1/1"/>
    <x v="0"/>
    <x v="0"/>
    <x v="0"/>
    <s v="Portchannel_3_R1"/>
    <x v="0"/>
    <b v="0"/>
    <s v="No está en VPC"/>
    <n v="769"/>
    <s v="INTPG_PC_769_1.1-2"/>
    <s v="ISEL-1.1"/>
    <n v="8"/>
    <s v="NO TIENE L3OUT"/>
    <n v="60"/>
    <n v="54"/>
  </r>
  <r>
    <n v="742"/>
    <x v="2"/>
    <x v="62"/>
    <s v="eth1/1"/>
    <x v="0"/>
    <x v="1"/>
    <x v="1"/>
    <s v="CEM:ITHCEMA2DAT01:LOM P3"/>
    <x v="5"/>
    <b v="0"/>
    <s v="No está en VPC"/>
    <n v="742"/>
    <s v="INTPG_ACC_742_1.1"/>
    <s v="ISEL-1.1"/>
    <n v="1"/>
    <s v="NO TIENE L3OUT"/>
    <n v="64"/>
    <n v="54"/>
  </r>
  <r>
    <n v="763"/>
    <x v="2"/>
    <x v="63"/>
    <s v="eth1/1"/>
    <x v="0"/>
    <x v="0"/>
    <x v="0"/>
    <s v="PAAS:ithhwoscopap001:LOM PORT 3"/>
    <x v="0"/>
    <b v="0"/>
    <s v="No está en VPC"/>
    <n v="763"/>
    <s v="INTPG_VPC_762_1.1_763_1.1"/>
    <s v="ISEL-1.1"/>
    <n v="1"/>
    <s v="NO TIENE L3OUT"/>
    <n v="2"/>
    <n v="54"/>
  </r>
  <r>
    <n v="766"/>
    <x v="2"/>
    <x v="64"/>
    <s v="eth1/1"/>
    <x v="0"/>
    <x v="0"/>
    <x v="0"/>
    <s v="Portchannel_1_R6B"/>
    <x v="0"/>
    <b v="0"/>
    <s v="No está en VPC"/>
    <n v="766"/>
    <s v="INTPG_PC_766_1.1-4"/>
    <s v="ISEL-1.1"/>
    <n v="2"/>
    <s v="NO TIENE L3OUT"/>
    <n v="58"/>
    <n v="54"/>
  </r>
  <r>
    <n v="760"/>
    <x v="2"/>
    <x v="65"/>
    <s v="eth1/1"/>
    <x v="0"/>
    <x v="1"/>
    <x v="1"/>
    <m/>
    <x v="0"/>
    <b v="0"/>
    <s v="No está en VPC"/>
    <n v="760"/>
    <s v="INTPG_VPC_760_1.1-4_761_1.1-4"/>
    <s v="ISEL-1.1"/>
    <n v="0"/>
    <s v="L3OUT-EXACLOUD"/>
    <n v="0"/>
    <n v="54"/>
  </r>
  <r>
    <n v="752"/>
    <x v="2"/>
    <x v="66"/>
    <s v="eth1/1"/>
    <x v="0"/>
    <x v="0"/>
    <x v="0"/>
    <s v="PAAS:ithhwosstpap009:LOM PORT 3"/>
    <x v="0"/>
    <b v="0"/>
    <s v="No está en VPC"/>
    <n v="752"/>
    <s v="INTPG_VPC_747_1.1_752_1.1"/>
    <s v="ISEL-1.1"/>
    <n v="25"/>
    <s v="NO TIENE L3OUT"/>
    <n v="0"/>
    <n v="54"/>
  </r>
  <r>
    <n v="765"/>
    <x v="2"/>
    <x v="67"/>
    <s v="eth1/1"/>
    <x v="0"/>
    <x v="0"/>
    <x v="0"/>
    <s v="Portchannel_6_R6A"/>
    <x v="0"/>
    <b v="0"/>
    <s v="No está en VPC"/>
    <n v="765"/>
    <s v="INTPG_PC_765_1.1-4"/>
    <s v="ISEL-1.1"/>
    <n v="1"/>
    <s v="NO TIENE L3OUT"/>
    <n v="60"/>
    <n v="54"/>
  </r>
  <r>
    <n v="778"/>
    <x v="2"/>
    <x v="68"/>
    <s v="eth1/1"/>
    <x v="0"/>
    <x v="0"/>
    <x v="0"/>
    <s v="ENIQ F1:itheniqr07enclr2:BAY1/X1"/>
    <x v="0"/>
    <b v="0"/>
    <s v="No está en VPC"/>
    <n v="778"/>
    <s v="INTPG_PC_778_1.1-2"/>
    <s v="ISEL-1.1"/>
    <n v="3"/>
    <s v="NO TIENE L3OUT"/>
    <n v="26"/>
    <n v="54"/>
  </r>
  <r>
    <n v="780"/>
    <x v="2"/>
    <x v="69"/>
    <s v="eth1/1"/>
    <x v="0"/>
    <x v="0"/>
    <x v="0"/>
    <s v="LACP_VC1_ENIQ1"/>
    <x v="0"/>
    <b v="0"/>
    <s v="No está en VPC"/>
    <n v="780"/>
    <s v="INTPG_PC_780_1.1-2"/>
    <s v="ISEL-1.1"/>
    <n v="3"/>
    <s v="NO TIENE L3OUT"/>
    <n v="26"/>
    <n v="54"/>
  </r>
  <r>
    <n v="812"/>
    <x v="2"/>
    <x v="70"/>
    <s v="eth1/1"/>
    <x v="0"/>
    <x v="0"/>
    <x v="0"/>
    <s v="POWER_STORE_NAS_NODO_B"/>
    <x v="1"/>
    <b v="0"/>
    <s v="No está en VPC"/>
    <n v="812"/>
    <s v="INTPG_VPC_812_1.1_813_1.1"/>
    <s v="ISEL-1.1"/>
    <n v="11"/>
    <s v="NO TIENE L3OUT"/>
    <n v="0"/>
    <n v="54"/>
  </r>
  <r>
    <n v="796"/>
    <x v="2"/>
    <x v="71"/>
    <s v="eth1/1"/>
    <x v="0"/>
    <x v="0"/>
    <x v="0"/>
    <s v="ITHFHWTSHNLCN01_VMs-01_Taishan_IT"/>
    <x v="0"/>
    <b v="0"/>
    <s v="No está en VPC"/>
    <n v="796"/>
    <s v="INTPG_VPC_795_1.1_796_1.1"/>
    <s v="ISEL-1.1"/>
    <n v="14"/>
    <s v="NO TIENE L3OUT"/>
    <n v="18"/>
    <n v="54"/>
  </r>
  <r>
    <n v="795"/>
    <x v="2"/>
    <x v="72"/>
    <s v="eth1/1"/>
    <x v="0"/>
    <x v="0"/>
    <x v="0"/>
    <s v="ITHFHWTSHNLCN01_VMs-01_Taishan_IT"/>
    <x v="0"/>
    <b v="0"/>
    <s v="No está en VPC"/>
    <n v="795"/>
    <s v="INTPG_VPC_795_1.1_796_1.1"/>
    <s v="ISEL-1.1"/>
    <n v="14"/>
    <s v="NO TIENE L3OUT"/>
    <n v="18"/>
    <n v="54"/>
  </r>
  <r>
    <n v="749"/>
    <x v="2"/>
    <x v="73"/>
    <s v="eth1/1"/>
    <x v="0"/>
    <x v="0"/>
    <x v="0"/>
    <s v="trunk11 Bes-Production"/>
    <x v="0"/>
    <b v="0"/>
    <s v="No está en VPC"/>
    <n v="749"/>
    <s v="INTPG_VPC_748_1.1_4_749_1.1_4"/>
    <s v="ISEL-1.1"/>
    <n v="14"/>
    <s v="NO TIENE L3OUT"/>
    <n v="4"/>
    <n v="54"/>
  </r>
  <r>
    <n v="824"/>
    <x v="2"/>
    <x v="74"/>
    <s v="eth1/1"/>
    <x v="0"/>
    <x v="0"/>
    <x v="0"/>
    <s v="LINK_TO_ITHFHWCBSPSWR40 /Slot7.2 /Redundante"/>
    <x v="0"/>
    <b v="0"/>
    <s v="No está en VPC"/>
    <n v="824"/>
    <s v="INTPG_VPC_819_1.1_824_1.1"/>
    <s v="ISEL-1.1"/>
    <n v="2"/>
    <s v="NO TIENE L3OUT"/>
    <n v="70"/>
    <n v="54"/>
  </r>
  <r>
    <n v="819"/>
    <x v="2"/>
    <x v="75"/>
    <s v="eth1/1"/>
    <x v="0"/>
    <x v="0"/>
    <x v="0"/>
    <s v="LINK_TO_ITHFHWCBSPSWR40 /Slot5.2 /Principal"/>
    <x v="0"/>
    <b v="0"/>
    <s v="No está en VPC"/>
    <n v="819"/>
    <s v="INTPG_VPC_819_1.1_824_1.1"/>
    <s v="ISEL-1.1"/>
    <n v="2"/>
    <s v="NO TIENE L3OUT"/>
    <n v="70"/>
    <n v="54"/>
  </r>
  <r>
    <n v="737"/>
    <x v="2"/>
    <x v="76"/>
    <s v="eth1/1"/>
    <x v="0"/>
    <x v="0"/>
    <x v="0"/>
    <s v="CEM:ITHCEMF2DAT01:LOM P3"/>
    <x v="5"/>
    <b v="0"/>
    <s v="No está en VPC"/>
    <n v="737"/>
    <s v="INTPG_ACC_737_1.1"/>
    <s v="ISEL-1.1"/>
    <n v="1"/>
    <s v="NO TIENE L3OUT"/>
    <n v="72"/>
    <n v="54"/>
  </r>
  <r>
    <n v="844"/>
    <x v="2"/>
    <x v="77"/>
    <s v="eth1/1"/>
    <x v="0"/>
    <x v="0"/>
    <x v="0"/>
    <s v="LINK_TO_ITHFHWCRMPLCN101 / Slot1.1_6 / Principal"/>
    <x v="0"/>
    <b v="0"/>
    <s v="No está en VPC"/>
    <n v="844"/>
    <s v="INTPG_ACC_844_1.1"/>
    <s v="ISEL-1.1"/>
    <n v="6"/>
    <s v="NO TIENE L3OUT"/>
    <n v="282"/>
    <n v="54"/>
  </r>
  <r>
    <n v="843"/>
    <x v="2"/>
    <x v="78"/>
    <s v="eth1/1"/>
    <x v="0"/>
    <x v="0"/>
    <x v="0"/>
    <s v="LINK_To_ITHFHWCBSPSHD24 / Slot7.2_24 / Redundante"/>
    <x v="0"/>
    <b v="0"/>
    <s v="No está en VPC"/>
    <n v="843"/>
    <s v="INTPG_VPC_838_1.1_843_1.1"/>
    <s v="ISEL-1.1"/>
    <n v="1"/>
    <s v="NO TIENE L3OUT"/>
    <n v="38"/>
    <n v="54"/>
  </r>
  <r>
    <n v="797"/>
    <x v="2"/>
    <x v="79"/>
    <s v="eth1/1"/>
    <x v="0"/>
    <x v="0"/>
    <x v="0"/>
    <s v="TO-HMS_03-MSP"/>
    <x v="0"/>
    <b v="0"/>
    <s v="No está en VPC"/>
    <n v="797"/>
    <s v="INTPG_ACC_797_1.1"/>
    <s v="ISEL-1.1"/>
    <n v="1"/>
    <s v="NO TIENE L3OUT"/>
    <n v="48"/>
    <n v="54"/>
  </r>
  <r>
    <n v="839"/>
    <x v="2"/>
    <x v="80"/>
    <s v="eth1/1"/>
    <x v="0"/>
    <x v="0"/>
    <x v="0"/>
    <s v="LINK_TO_ITHFHWCBSPSHD43 / Slot7.1_4 / Redundante"/>
    <x v="0"/>
    <b v="0"/>
    <s v="No está en VPC"/>
    <n v="839"/>
    <s v="INTPG_VPC_834_1.1_839_1.1"/>
    <s v="ISEL-1.1"/>
    <n v="2"/>
    <s v="NO TIENE L3OUT"/>
    <n v="0"/>
    <n v="54"/>
  </r>
  <r>
    <n v="847"/>
    <x v="2"/>
    <x v="81"/>
    <s v="eth1/1"/>
    <x v="0"/>
    <x v="0"/>
    <x v="0"/>
    <s v="LINK_TO_ITHFHWCRMPSBDA05 / Slot1.1_4 / Principal"/>
    <x v="0"/>
    <b v="0"/>
    <s v="No está en VPC"/>
    <n v="847"/>
    <s v="INTPG_VPC_847_1.1_854_1.1"/>
    <s v="ISEL-1.1"/>
    <n v="6"/>
    <s v="NO TIENE L3OUT"/>
    <n v="204"/>
    <n v="54"/>
  </r>
  <r>
    <n v="848"/>
    <x v="2"/>
    <x v="82"/>
    <s v="eth1/1"/>
    <x v="0"/>
    <x v="0"/>
    <x v="0"/>
    <s v="LINK_TO_ITHFHWCRMPLCN154 / Slot7.3_10 / Redundante"/>
    <x v="0"/>
    <b v="0"/>
    <s v="No está en VPC"/>
    <n v="848"/>
    <s v="INTPG_ACC_848_1.1"/>
    <s v="ISEL-1.1"/>
    <n v="1"/>
    <s v="NO TIENE L3OUT"/>
    <n v="254"/>
    <n v="54"/>
  </r>
  <r>
    <n v="846"/>
    <x v="2"/>
    <x v="83"/>
    <s v="eth1/1"/>
    <x v="0"/>
    <x v="0"/>
    <x v="0"/>
    <s v="VPC_2DCRMP_BDP05_2"/>
    <x v="0"/>
    <b v="0"/>
    <s v="No está en VPC"/>
    <n v="846"/>
    <s v="INTPG_VPC_846_1.1_853_1.1"/>
    <s v="ISEL-1.1"/>
    <n v="2"/>
    <s v="NO TIENE L3OUT"/>
    <n v="242"/>
    <n v="54"/>
  </r>
  <r>
    <n v="838"/>
    <x v="2"/>
    <x v="84"/>
    <s v="eth1/1"/>
    <x v="0"/>
    <x v="0"/>
    <x v="0"/>
    <s v="LINK_To_ITHFHWCBSPSHD24 / Slot1.2_24 / Principal"/>
    <x v="0"/>
    <b v="0"/>
    <s v="No está en VPC"/>
    <n v="838"/>
    <s v="INTPG_VPC_838_1.1_843_1.1"/>
    <s v="ISEL-1.1"/>
    <n v="1"/>
    <s v="NO TIENE L3OUT"/>
    <n v="38"/>
    <n v="54"/>
  </r>
  <r>
    <n v="849"/>
    <x v="2"/>
    <x v="85"/>
    <s v="eth1/1"/>
    <x v="0"/>
    <x v="0"/>
    <x v="0"/>
    <s v="VPC_2DCRMP_BDA11_3"/>
    <x v="0"/>
    <b v="0"/>
    <s v="No está en VPC"/>
    <n v="849"/>
    <s v="INTPG_VPC_856_1.1_849_1.1"/>
    <s v="ISEL-1.1"/>
    <n v="1"/>
    <s v="NO TIENE L3OUT"/>
    <n v="286"/>
    <n v="54"/>
  </r>
  <r>
    <n v="845"/>
    <x v="2"/>
    <x v="86"/>
    <s v="eth1/1"/>
    <x v="0"/>
    <x v="0"/>
    <x v="0"/>
    <s v="LINK_TO_ITHFHWCRMPLCN116 / Slot1.2_36 / Principal"/>
    <x v="0"/>
    <b v="0"/>
    <s v="No está en VPC"/>
    <n v="845"/>
    <s v="INTPG_ACC_845_1.1"/>
    <s v="ISEL-1.1"/>
    <n v="2"/>
    <s v="NO TIENE L3OUT"/>
    <n v="258"/>
    <n v="54"/>
  </r>
  <r>
    <n v="873"/>
    <x v="2"/>
    <x v="87"/>
    <s v="eth1/1"/>
    <x v="0"/>
    <x v="0"/>
    <x v="0"/>
    <s v="TO_ITHFHWCRMDLCN53_Principal"/>
    <x v="0"/>
    <b v="0"/>
    <s v="No está en VPC"/>
    <n v="873"/>
    <s v="INTPG_ACC_873_1.1"/>
    <s v="ISEL-1.1"/>
    <n v="2"/>
    <s v="NO TIENE L3OUT"/>
    <n v="248"/>
    <n v="54"/>
  </r>
  <r>
    <n v="864"/>
    <x v="2"/>
    <x v="88"/>
    <s v="eth1/1"/>
    <x v="0"/>
    <x v="0"/>
    <x v="0"/>
    <s v="To_VPC_2DCBSD_HD31_1"/>
    <x v="0"/>
    <b v="0"/>
    <s v="No está en VPC"/>
    <n v="864"/>
    <s v="INTPG_VPC_859_1.1_864_1.1"/>
    <s v="ISEL-1.1"/>
    <n v="2"/>
    <s v="NO TIENE L3OUT"/>
    <n v="0"/>
    <n v="54"/>
  </r>
  <r>
    <n v="836"/>
    <x v="2"/>
    <x v="89"/>
    <s v="eth1/1"/>
    <x v="0"/>
    <x v="0"/>
    <x v="0"/>
    <s v="LINK_TO_ITHFHWCBSPSUSBD31 / Slot1.3_4 / Principal"/>
    <x v="0"/>
    <b v="0"/>
    <s v="No está en VPC"/>
    <n v="836"/>
    <s v="INTPG_VPC_836_1.1_841_1.1"/>
    <s v="ISEL-1.1"/>
    <n v="1"/>
    <s v="NO TIENE L3OUT"/>
    <n v="0"/>
    <n v="54"/>
  </r>
  <r>
    <n v="834"/>
    <x v="2"/>
    <x v="90"/>
    <s v="eth1/1"/>
    <x v="0"/>
    <x v="0"/>
    <x v="0"/>
    <s v="LINK_TO_ITHFHWCBSPSHD43 / Slot1.1_4 / Principal"/>
    <x v="0"/>
    <b v="0"/>
    <s v="No está en VPC"/>
    <n v="834"/>
    <s v="INTPG_VPC_834_1.1_839_1.1"/>
    <s v="ISEL-1.1"/>
    <n v="2"/>
    <s v="NO TIENE L3OUT"/>
    <n v="0"/>
    <n v="54"/>
  </r>
  <r>
    <n v="872"/>
    <x v="2"/>
    <x v="91"/>
    <s v="eth1/1"/>
    <x v="0"/>
    <x v="0"/>
    <x v="0"/>
    <s v="To_ITHFHWCRMDLCN69_Principal"/>
    <x v="0"/>
    <b v="0"/>
    <s v="No está en VPC"/>
    <n v="872"/>
    <s v="INTPG_ACC_872_1.1"/>
    <s v="ISEL-1.1"/>
    <n v="2"/>
    <s v="NO TIENE L3OUT"/>
    <n v="288"/>
    <n v="54"/>
  </r>
  <r>
    <n v="842"/>
    <x v="2"/>
    <x v="92"/>
    <s v="eth1/1"/>
    <x v="0"/>
    <x v="0"/>
    <x v="0"/>
    <s v="LINK_TO_ITHFHWCBSPSHD30 / Slot7.3_24 / Redundante"/>
    <x v="0"/>
    <b v="0"/>
    <s v="No está en VPC"/>
    <n v="842"/>
    <s v="INTPG_VPC_837_1.1_842_1.1"/>
    <s v="ISEL-1.1"/>
    <n v="1"/>
    <s v="NO TIENE L3OUT"/>
    <n v="8"/>
    <n v="54"/>
  </r>
  <r>
    <n v="828"/>
    <x v="2"/>
    <x v="93"/>
    <s v="eth1/1"/>
    <x v="0"/>
    <x v="0"/>
    <x v="0"/>
    <s v="LINK_TO_ITHFHWCBSDSWR32 /Slot5.2 /Principal"/>
    <x v="0"/>
    <b v="0"/>
    <s v="No está en VPC"/>
    <n v="828"/>
    <s v="INTPG_VPC_828_1.1_832_1.1"/>
    <s v="ISEL-1.1"/>
    <n v="2"/>
    <s v="NO TIENE L3OUT"/>
    <n v="192"/>
    <n v="54"/>
  </r>
  <r>
    <n v="870"/>
    <x v="2"/>
    <x v="94"/>
    <s v="eth1/1"/>
    <x v="0"/>
    <x v="0"/>
    <x v="0"/>
    <s v="TO_ITHFHWCRMDLCN53_Redundante"/>
    <x v="0"/>
    <b v="0"/>
    <s v="No está en VPC"/>
    <n v="870"/>
    <s v="INTPG_ACC_870_1.1"/>
    <s v="ISEL-1.1"/>
    <n v="2"/>
    <s v="NO TIENE L3OUT"/>
    <n v="248"/>
    <n v="54"/>
  </r>
  <r>
    <n v="866"/>
    <x v="2"/>
    <x v="95"/>
    <s v="eth1/1"/>
    <x v="0"/>
    <x v="0"/>
    <x v="0"/>
    <s v="To_VPC_2DCBSD_WR42_1"/>
    <x v="0"/>
    <b v="0"/>
    <s v="No está en VPC"/>
    <n v="866"/>
    <s v="INTPG_VPC_861_1.1_866_1.1"/>
    <s v="ISEL-1.1"/>
    <n v="2"/>
    <s v="NO TIENE L3OUT"/>
    <n v="8"/>
    <n v="54"/>
  </r>
  <r>
    <n v="862"/>
    <x v="2"/>
    <x v="96"/>
    <s v="eth1/1"/>
    <x v="0"/>
    <x v="0"/>
    <x v="0"/>
    <s v="To_VPC_2DCBSD_WR37_3"/>
    <x v="0"/>
    <b v="0"/>
    <s v="No está en VPC"/>
    <n v="862"/>
    <s v="INTPG_VPC_862_1.1_867_1.1"/>
    <s v="ISEL-1.1"/>
    <n v="1"/>
    <s v="NO TIENE L3OUT"/>
    <n v="44"/>
    <n v="54"/>
  </r>
  <r>
    <n v="855"/>
    <x v="2"/>
    <x v="97"/>
    <s v="eth1/1"/>
    <x v="0"/>
    <x v="0"/>
    <x v="0"/>
    <s v="LINK_TO_ITHFHWCRMPLCN154 / Slot1.3_10 / Principal"/>
    <x v="0"/>
    <b v="0"/>
    <s v="No está en VPC"/>
    <n v="855"/>
    <s v="INTPG_ACC_855_1.1"/>
    <s v="ISEL-1.1"/>
    <n v="1"/>
    <s v="NO TIENE L3OUT"/>
    <n v="254"/>
    <n v="54"/>
  </r>
  <r>
    <n v="871"/>
    <x v="2"/>
    <x v="98"/>
    <s v="eth1/1"/>
    <x v="0"/>
    <x v="0"/>
    <x v="0"/>
    <s v="TO_ITHFHWCRMDLCN81_Principal"/>
    <x v="0"/>
    <b v="0"/>
    <s v="No está en VPC"/>
    <n v="871"/>
    <s v="INTPG_ACC_871_1.1"/>
    <s v="ISEL-1.1"/>
    <n v="6"/>
    <s v="NO TIENE L3OUT"/>
    <n v="246"/>
    <n v="54"/>
  </r>
  <r>
    <n v="841"/>
    <x v="2"/>
    <x v="99"/>
    <s v="eth1/1"/>
    <x v="0"/>
    <x v="0"/>
    <x v="0"/>
    <s v="LINK_TO_ITHFHWCBSPSUSBD31 / Slot7.3_4 / Redundante"/>
    <x v="0"/>
    <b v="0"/>
    <s v="No está en VPC"/>
    <n v="841"/>
    <s v="INTPG_VPC_836_1.1_841_1.1"/>
    <s v="ISEL-1.1"/>
    <n v="1"/>
    <s v="NO TIENE L3OUT"/>
    <n v="0"/>
    <n v="54"/>
  </r>
  <r>
    <n v="868"/>
    <x v="2"/>
    <x v="100"/>
    <s v="eth1/1"/>
    <x v="0"/>
    <x v="0"/>
    <x v="0"/>
    <s v="TO_ITHFHWCRMDLCN81_Redundante"/>
    <x v="0"/>
    <b v="0"/>
    <s v="No está en VPC"/>
    <n v="868"/>
    <s v="INTPG_ACC_868_1.1"/>
    <s v="ISEL-1.1"/>
    <n v="6"/>
    <s v="NO TIENE L3OUT"/>
    <n v="246"/>
    <n v="54"/>
  </r>
  <r>
    <n v="869"/>
    <x v="2"/>
    <x v="101"/>
    <s v="eth1/1"/>
    <x v="0"/>
    <x v="0"/>
    <x v="0"/>
    <s v="To_ITHFHWCRMDLCN69_Redundante"/>
    <x v="0"/>
    <b v="0"/>
    <s v="No está en VPC"/>
    <n v="869"/>
    <s v="INTPG_ACC_869_1.1"/>
    <s v="ISEL-1.1"/>
    <n v="2"/>
    <s v="NO TIENE L3OUT"/>
    <n v="288"/>
    <n v="54"/>
  </r>
  <r>
    <n v="861"/>
    <x v="2"/>
    <x v="102"/>
    <s v="eth1/1"/>
    <x v="0"/>
    <x v="0"/>
    <x v="0"/>
    <s v="To_VPC_2DCBSD_WR42_1"/>
    <x v="0"/>
    <b v="0"/>
    <s v="No está en VPC"/>
    <n v="861"/>
    <s v="INTPG_VPC_861_1.1_866_1.1"/>
    <s v="ISEL-1.1"/>
    <n v="2"/>
    <s v="NO TIENE L3OUT"/>
    <n v="8"/>
    <n v="54"/>
  </r>
  <r>
    <n v="874"/>
    <x v="2"/>
    <x v="103"/>
    <s v="eth1/1"/>
    <x v="0"/>
    <x v="0"/>
    <x v="0"/>
    <s v="LINK_TO_ITHFHWSEQLHDPS70 / Slot 5 PTO 1 / Redundante"/>
    <x v="4"/>
    <b v="0"/>
    <s v="No está en VPC"/>
    <n v="874"/>
    <s v="INTPG_ACC_874_1.1"/>
    <s v="ISEL-1.1"/>
    <n v="1"/>
    <s v="NO TIENE L3OUT"/>
    <n v="92"/>
    <n v="54"/>
  </r>
  <r>
    <n v="865"/>
    <x v="2"/>
    <x v="104"/>
    <s v="eth1/1"/>
    <x v="0"/>
    <x v="0"/>
    <x v="0"/>
    <s v="To_VPC_2DCBSD_WR52_1"/>
    <x v="0"/>
    <b v="0"/>
    <s v="No está en VPC"/>
    <n v="865"/>
    <s v="INTPG_VPC_860_1.1_865_1.1"/>
    <s v="ISEL-1.1"/>
    <n v="2"/>
    <s v="NO TIENE L3OUT"/>
    <n v="0"/>
    <n v="54"/>
  </r>
  <r>
    <n v="753"/>
    <x v="2"/>
    <x v="105"/>
    <s v="eth1/1"/>
    <x v="0"/>
    <x v="0"/>
    <x v="0"/>
    <s v="OSS F1:ithenmr03bl01nas1r9c:PORT 1"/>
    <x v="0"/>
    <b v="0"/>
    <s v="No está en VPC"/>
    <n v="753"/>
    <s v="INTPG_PC_753_1.1-4"/>
    <s v="ISEL-1.1"/>
    <n v="1"/>
    <s v="NO TIENE L3OUT"/>
    <n v="62"/>
    <n v="54"/>
  </r>
  <r>
    <n v="708"/>
    <x v="2"/>
    <x v="106"/>
    <s v="eth1/1"/>
    <x v="0"/>
    <x v="1"/>
    <x v="5"/>
    <s v="CEM:ITHCEMF2DAT01:LOM P1"/>
    <x v="0"/>
    <b v="0"/>
    <s v="No está en VPC"/>
    <n v="708"/>
    <s v="INTPG_VPC_708_1.1_709_1.2"/>
    <s v="ISEL-1.1"/>
    <n v="1"/>
    <s v="NO TIENE L3OUT"/>
    <n v="0"/>
    <n v="54"/>
  </r>
  <r>
    <n v="710"/>
    <x v="2"/>
    <x v="107"/>
    <s v="eth1/1"/>
    <x v="0"/>
    <x v="1"/>
    <x v="5"/>
    <s v="CEM:ITHCEMD2DAT01:LOM P1"/>
    <x v="0"/>
    <b v="0"/>
    <s v="No está en VPC"/>
    <n v="710"/>
    <s v="INTPG_VPC_710_1.1_711_1.2"/>
    <s v="ISEL-1.1"/>
    <n v="1"/>
    <s v="NO TIENE L3OUT"/>
    <n v="16"/>
    <n v="54"/>
  </r>
  <r>
    <n v="713"/>
    <x v="2"/>
    <x v="108"/>
    <s v="eth1/1"/>
    <x v="0"/>
    <x v="0"/>
    <x v="0"/>
    <s v="CEM:ITHCEMA2DAT01:LOM P1"/>
    <x v="0"/>
    <b v="0"/>
    <s v="No está en VPC"/>
    <n v="713"/>
    <s v="INTPG_ACC_713_1.1"/>
    <s v="ISEL-1.1"/>
    <n v="1"/>
    <s v="NO TIENE L3OUT"/>
    <n v="32"/>
    <n v="54"/>
  </r>
  <r>
    <n v="735"/>
    <x v="2"/>
    <x v="109"/>
    <s v="eth1/1"/>
    <x v="0"/>
    <x v="1"/>
    <x v="1"/>
    <s v="CEM:ITHCEMA1DAT01:LOM P3"/>
    <x v="5"/>
    <b v="0"/>
    <s v="No está en VPC"/>
    <n v="735"/>
    <s v="INTPG_ACC_735_1.1"/>
    <s v="ISEL-1.1"/>
    <n v="1"/>
    <s v="NO TIENE L3OUT"/>
    <n v="34"/>
    <n v="54"/>
  </r>
  <r>
    <n v="731"/>
    <x v="2"/>
    <x v="110"/>
    <s v="eth1/1"/>
    <x v="0"/>
    <x v="0"/>
    <x v="0"/>
    <s v="eth-trunk-2"/>
    <x v="0"/>
    <b v="0"/>
    <s v="No está en VPC"/>
    <n v="731"/>
    <s v="INTPG_VPC_730_1.1_4_731_1.1_4"/>
    <s v="ISEL-1.1"/>
    <n v="11"/>
    <s v="NO TIENE L3OUT"/>
    <n v="38"/>
    <n v="54"/>
  </r>
  <r>
    <n v="703"/>
    <x v="2"/>
    <x v="111"/>
    <s v="eth1/1"/>
    <x v="0"/>
    <x v="0"/>
    <x v="0"/>
    <m/>
    <x v="0"/>
    <b v="0"/>
    <s v="No está en VPC"/>
    <n v="703"/>
    <s v="INTPG_VPC_703_1.1_704_1.2"/>
    <s v="ISEL-1.1"/>
    <n v="1"/>
    <s v="NO TIENE L3OUT"/>
    <n v="2"/>
    <n v="54"/>
  </r>
  <r>
    <n v="706"/>
    <x v="2"/>
    <x v="112"/>
    <s v="eth1/1"/>
    <x v="0"/>
    <x v="0"/>
    <x v="0"/>
    <s v="CEM:ITHCEMA1DAT01:LOM P1"/>
    <x v="0"/>
    <b v="0"/>
    <s v="No está en VPC"/>
    <n v="706"/>
    <s v="INTPG_ACC_706_1.1"/>
    <s v="ISEL-1.1"/>
    <n v="1"/>
    <s v="NO TIENE L3OUT"/>
    <n v="16"/>
    <n v="54"/>
  </r>
  <r>
    <n v="762"/>
    <x v="2"/>
    <x v="113"/>
    <s v="eth1/1"/>
    <x v="0"/>
    <x v="0"/>
    <x v="0"/>
    <s v="PAAS:ithhwoscopap001:FlexIO.1"/>
    <x v="0"/>
    <b v="0"/>
    <s v="No está en VPC"/>
    <n v="762"/>
    <s v="INTPG_VPC_762_1.1_763_1.1"/>
    <s v="ISEL-1.1"/>
    <n v="1"/>
    <s v="NO TIENE L3OUT"/>
    <n v="0"/>
    <n v="54"/>
  </r>
  <r>
    <n v="814"/>
    <x v="2"/>
    <x v="114"/>
    <s v="eth1/1"/>
    <x v="0"/>
    <x v="0"/>
    <x v="0"/>
    <s v="LINK_TO_9S_BESPR_IXTLA3_1/40GE.3/Principal"/>
    <x v="2"/>
    <b v="0"/>
    <s v="No está en VPC"/>
    <n v="814"/>
    <s v="INTPG_VPC_814_1.1-2_815_1.1-2"/>
    <s v="ISEL-1.1"/>
    <n v="20"/>
    <s v="NO TIENE L3OUT"/>
    <n v="0"/>
    <n v="42"/>
  </r>
  <r>
    <n v="878"/>
    <x v="2"/>
    <x v="115"/>
    <s v="eth1/1"/>
    <x v="0"/>
    <x v="0"/>
    <x v="0"/>
    <s v="HACIA_CSI-A-OSCP-F4-09_PRINCIPAL"/>
    <x v="4"/>
    <b v="0"/>
    <s v="No está en VPC"/>
    <n v="878"/>
    <s v="INTPG_VPC_878_1.1_879_1.1"/>
    <s v="ISEL-1.1"/>
    <n v="2"/>
    <s v="NO TIENE L3OUT"/>
    <n v="0"/>
    <n v="54"/>
  </r>
  <r>
    <n v="826"/>
    <x v="2"/>
    <x v="116"/>
    <s v="eth1/1"/>
    <x v="0"/>
    <x v="0"/>
    <x v="0"/>
    <s v="LINK_TO_ITHFHWCBSDSUSBD04 /Slot5.2 /Principal"/>
    <x v="0"/>
    <b v="0"/>
    <s v="No está en VPC"/>
    <n v="826"/>
    <s v="INTPG_VPC_826_1.1_830_1.1"/>
    <s v="ISEL-1.1"/>
    <n v="2"/>
    <s v="NO TIENE L3OUT"/>
    <n v="12"/>
    <n v="54"/>
  </r>
  <r>
    <n v="726"/>
    <x v="2"/>
    <x v="117"/>
    <s v="eth1/1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1"/>
    <x v="0"/>
    <x v="1"/>
    <x v="1"/>
    <s v="CEM:ITHCEMC2DAT01:LOM P3"/>
    <x v="5"/>
    <b v="0"/>
    <s v="No está en VPC"/>
    <n v="740"/>
    <s v="INTPG_ACC_740_1.1"/>
    <s v="ISEL-1.1"/>
    <n v="1"/>
    <s v="NO TIENE L3OUT"/>
    <n v="72"/>
    <n v="54"/>
  </r>
  <r>
    <n v="705"/>
    <x v="2"/>
    <x v="119"/>
    <s v="eth1/1"/>
    <x v="0"/>
    <x v="0"/>
    <x v="0"/>
    <s v="CEM:ITHOIDB1SVR01:LOM  P2"/>
    <x v="0"/>
    <b v="0"/>
    <s v="No está en VPC"/>
    <n v="705"/>
    <s v="INTPG_VPC_705_1.1_706_1.2"/>
    <s v="ISEL-1.1"/>
    <n v="2"/>
    <s v="NO TIENE L3OUT"/>
    <n v="16"/>
    <n v="54"/>
  </r>
  <r>
    <n v="723"/>
    <x v="2"/>
    <x v="120"/>
    <s v="eth1/1"/>
    <x v="0"/>
    <x v="1"/>
    <x v="5"/>
    <m/>
    <x v="0"/>
    <b v="0"/>
    <s v="No está en VPC"/>
    <n v="723"/>
    <s v="INTPG-VPC_HDD120_723_1.1_722_1.2"/>
    <s v="ISEL-1.1"/>
    <n v="1"/>
    <s v="NO TIENE L3OUT"/>
    <n v="0"/>
    <n v="54"/>
  </r>
  <r>
    <n v="721"/>
    <x v="2"/>
    <x v="121"/>
    <s v="eth1/1"/>
    <x v="0"/>
    <x v="0"/>
    <x v="0"/>
    <s v="TO-ITHFHWVRALCN10"/>
    <x v="0"/>
    <b v="0"/>
    <s v="No está en VPC"/>
    <n v="721"/>
    <s v="INTPG_VPC_714_1.2_721_1.1"/>
    <s v="ISEL-1.1"/>
    <n v="108"/>
    <s v="NO TIENE L3OUT"/>
    <n v="20"/>
    <n v="54"/>
  </r>
  <r>
    <n v="788"/>
    <x v="2"/>
    <x v="122"/>
    <s v="eth1/1"/>
    <x v="0"/>
    <x v="0"/>
    <x v="0"/>
    <s v="U2020:ITHHWUMT06SW03:10GE1/0/41"/>
    <x v="0"/>
    <b v="0"/>
    <s v="No está en VPC"/>
    <n v="788"/>
    <s v="INTPG_VPC_788_1.1-2_789_1.1-2"/>
    <s v="ISEL-1.1"/>
    <n v="1"/>
    <s v="NO TIENE L3OUT"/>
    <n v="4"/>
    <n v="54"/>
  </r>
  <r>
    <n v="732"/>
    <x v="2"/>
    <x v="123"/>
    <s v="eth1/1"/>
    <x v="0"/>
    <x v="0"/>
    <x v="0"/>
    <s v="eth-trunk 12 fase 2 bes"/>
    <x v="0"/>
    <b v="0"/>
    <s v="No está en VPC"/>
    <n v="732"/>
    <s v="INTPG_VPC_732_1.1_4_733_1.1_4"/>
    <s v="ISEL-1.1"/>
    <n v="9"/>
    <s v="NO TIENE L3OUT"/>
    <n v="0"/>
    <n v="54"/>
  </r>
  <r>
    <n v="720"/>
    <x v="2"/>
    <x v="124"/>
    <s v="eth1/1"/>
    <x v="0"/>
    <x v="1"/>
    <x v="5"/>
    <m/>
    <x v="0"/>
    <b v="0"/>
    <s v="No está en VPC"/>
    <n v="720"/>
    <s v="INTPG-VPC_HDD02_720_1.1_719_1.2"/>
    <s v="ISEL-1.1"/>
    <n v="0"/>
    <s v="NO TIENE L3OUT"/>
    <n v="0"/>
    <n v="54"/>
  </r>
  <r>
    <n v="709"/>
    <x v="2"/>
    <x v="125"/>
    <s v="eth1/1"/>
    <x v="0"/>
    <x v="1"/>
    <x v="5"/>
    <s v="CEM:ITHCEME2DAT01:LOM P1"/>
    <x v="0"/>
    <b v="0"/>
    <s v="No está en VPC"/>
    <n v="709"/>
    <s v="INTPG_VPC_708_1.2_709_1.1"/>
    <s v="ISEL-1.1"/>
    <n v="1"/>
    <s v="NO TIENE L3OUT"/>
    <n v="0"/>
    <n v="54"/>
  </r>
  <r>
    <n v="454"/>
    <x v="1"/>
    <x v="126"/>
    <s v="eth1/1"/>
    <x v="0"/>
    <x v="0"/>
    <x v="0"/>
    <s v="HACIA_CSI-A-OSCP-F4-05_PRINCIPAL"/>
    <x v="4"/>
    <b v="0"/>
    <s v="No está en VPC"/>
    <n v="454"/>
    <s v="INTPG_VPC_454_1.1_456_1.1"/>
    <s v="ISEL-1.1"/>
    <n v="2"/>
    <s v="NO TIENE L3OUT"/>
    <n v="4"/>
    <n v="54"/>
  </r>
  <r>
    <n v="734"/>
    <x v="2"/>
    <x v="127"/>
    <s v="eth1/1"/>
    <x v="0"/>
    <x v="0"/>
    <x v="0"/>
    <s v="ITHCEMA1APP19"/>
    <x v="5"/>
    <b v="0"/>
    <s v="No está en VPC"/>
    <n v="734"/>
    <s v="INTPG_ACC_734_1.1"/>
    <s v="ISEL-1.1"/>
    <n v="1"/>
    <s v="NO TIENE L3OUT"/>
    <n v="32"/>
    <n v="54"/>
  </r>
  <r>
    <n v="815"/>
    <x v="2"/>
    <x v="128"/>
    <s v="eth1/1"/>
    <x v="0"/>
    <x v="0"/>
    <x v="0"/>
    <s v="LINK_TO_9S_BESPR_IXTLA3_2/40GE.3/Redundante"/>
    <x v="2"/>
    <b v="0"/>
    <s v="No está en VPC"/>
    <n v="815"/>
    <s v="INTPG_VPC_814_1.1-2_815_1.1-2"/>
    <s v="ISEL-1.1"/>
    <n v="20"/>
    <s v="NO TIENE L3OUT"/>
    <n v="0"/>
    <n v="42"/>
  </r>
  <r>
    <n v="743"/>
    <x v="2"/>
    <x v="129"/>
    <s v="eth1/1"/>
    <x v="0"/>
    <x v="0"/>
    <x v="0"/>
    <s v="trunk19 Bes-Production"/>
    <x v="0"/>
    <b v="0"/>
    <s v="No está en VPC"/>
    <n v="743"/>
    <s v="INTPG_VPC_743_1.1_4_744_1.1_4"/>
    <s v="ISEL-1.1"/>
    <n v="13"/>
    <s v="NO TIENE L3OUT"/>
    <n v="4"/>
    <n v="54"/>
  </r>
  <r>
    <n v="718"/>
    <x v="2"/>
    <x v="130"/>
    <s v="eth1/1"/>
    <x v="0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1"/>
    <x v="0"/>
    <x v="0"/>
    <x v="0"/>
    <s v="trunk19 Bes-Production"/>
    <x v="0"/>
    <b v="0"/>
    <s v="No está en VPC"/>
    <n v="744"/>
    <s v="INTPG_VPC_743_1.1_4_744_1.1_4"/>
    <s v="ISEL-1.1"/>
    <n v="13"/>
    <s v="NO TIENE L3OUT"/>
    <n v="4"/>
    <n v="54"/>
  </r>
  <r>
    <n v="741"/>
    <x v="2"/>
    <x v="132"/>
    <s v="eth1/1"/>
    <x v="0"/>
    <x v="1"/>
    <x v="1"/>
    <s v="CEM:ITHCEMB2DAT01:LOM P3"/>
    <x v="5"/>
    <b v="0"/>
    <s v="No está en VPC"/>
    <n v="741"/>
    <s v="INTPG_ACC_741_1.1"/>
    <s v="ISEL-1.1"/>
    <n v="1"/>
    <s v="NO TIENE L3OUT"/>
    <n v="62"/>
    <n v="54"/>
  </r>
  <r>
    <n v="787"/>
    <x v="2"/>
    <x v="133"/>
    <s v="eth1/1"/>
    <x v="0"/>
    <x v="0"/>
    <x v="0"/>
    <s v="ENIQ F2:itheniqr16e1r4a:BAY1/X1"/>
    <x v="0"/>
    <b v="0"/>
    <s v="No está en VPC"/>
    <n v="787"/>
    <s v="INTPG_PC_787_1.1-2"/>
    <s v="ISEL-1.1"/>
    <n v="3"/>
    <s v="NO TIENE L3OUT"/>
    <n v="26"/>
    <n v="54"/>
  </r>
  <r>
    <n v="750"/>
    <x v="2"/>
    <x v="134"/>
    <s v="eth1/1"/>
    <x v="0"/>
    <x v="0"/>
    <x v="0"/>
    <s v="trunk15 Bes-Production"/>
    <x v="0"/>
    <b v="0"/>
    <s v="No está en VPC"/>
    <n v="750"/>
    <s v="INTPG_VPC_750_1.1_4_751_1.1_4"/>
    <s v="ISEL-1.1"/>
    <n v="14"/>
    <s v="NO TIENE L3OUT"/>
    <n v="2"/>
    <n v="54"/>
  </r>
  <r>
    <n v="792"/>
    <x v="2"/>
    <x v="135"/>
    <s v="eth1/1"/>
    <x v="0"/>
    <x v="1"/>
    <x v="3"/>
    <s v="CRM, CBS:Testbed-R03-RH2288-BKP01:10GE 1"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1"/>
    <x v="0"/>
    <x v="0"/>
    <x v="0"/>
    <s v="CEM:ITHCEMG2DAT01:LOM  P2"/>
    <x v="0"/>
    <b v="0"/>
    <s v="No está en VPC"/>
    <n v="736"/>
    <s v="INTPG_ACC_736_1.1"/>
    <s v="ISEL-1.1"/>
    <n v="1"/>
    <s v="NO TIENE L3OUT"/>
    <n v="48"/>
    <n v="54"/>
  </r>
  <r>
    <n v="799"/>
    <x v="2"/>
    <x v="137"/>
    <s v="eth1/1"/>
    <x v="0"/>
    <x v="0"/>
    <x v="0"/>
    <s v="TO-IMC_PS15-MSP"/>
    <x v="0"/>
    <b v="0"/>
    <s v="No está en VPC"/>
    <n v="799"/>
    <s v="INTPG_ACC_799_1.1"/>
    <s v="ISEL-1.1"/>
    <n v="1"/>
    <s v="NO TIENE L3OUT"/>
    <n v="52"/>
    <n v="54"/>
  </r>
  <r>
    <n v="768"/>
    <x v="2"/>
    <x v="138"/>
    <s v="eth1/1"/>
    <x v="0"/>
    <x v="0"/>
    <x v="0"/>
    <s v="Portchannel_6_R3"/>
    <x v="0"/>
    <b v="0"/>
    <s v="No está en VPC"/>
    <n v="768"/>
    <s v="INTPG_PC_768_1.1-4"/>
    <s v="ISEL-1.1"/>
    <n v="1"/>
    <s v="NO TIENE L3OUT"/>
    <n v="62"/>
    <n v="54"/>
  </r>
  <r>
    <n v="714"/>
    <x v="2"/>
    <x v="139"/>
    <s v="eth1/1"/>
    <x v="0"/>
    <x v="0"/>
    <x v="0"/>
    <m/>
    <x v="0"/>
    <b v="0"/>
    <s v="No está en VPC"/>
    <n v="714"/>
    <s v="INTPG-VPC_HDD60_714_1.1_721_1.2"/>
    <s v="ISEL-1.1"/>
    <n v="2"/>
    <s v="NO TIENE L3OUT"/>
    <n v="20"/>
    <n v="54"/>
  </r>
  <r>
    <n v="717"/>
    <x v="2"/>
    <x v="140"/>
    <s v="eth1/1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1"/>
    <x v="0"/>
    <x v="0"/>
    <x v="0"/>
    <s v="U2020:ITHHWUMT06SW04:10GE2/0/41"/>
    <x v="0"/>
    <b v="0"/>
    <s v="No está en VPC"/>
    <n v="789"/>
    <s v="INTPG_VPC_788_1.1-2_789_1.1-2"/>
    <s v="ISEL-1.1"/>
    <n v="1"/>
    <s v="NO TIENE L3OUT"/>
    <n v="0"/>
    <n v="54"/>
  </r>
  <r>
    <n v="764"/>
    <x v="2"/>
    <x v="142"/>
    <s v="eth1/1"/>
    <x v="0"/>
    <x v="0"/>
    <x v="0"/>
    <s v="Portchannel_6_R1"/>
    <x v="0"/>
    <b v="0"/>
    <s v="No está en VPC"/>
    <n v="764"/>
    <s v="INTPG_PC_764_1.1-4"/>
    <s v="ISEL-1.1"/>
    <n v="1"/>
    <s v="NO TIENE L3OUT"/>
    <n v="62"/>
    <n v="54"/>
  </r>
  <r>
    <n v="783"/>
    <x v="2"/>
    <x v="143"/>
    <s v="eth1/1"/>
    <x v="0"/>
    <x v="0"/>
    <x v="0"/>
    <s v="LACP_VC1_ENIQ9A"/>
    <x v="0"/>
    <b v="0"/>
    <s v="No está en VPC"/>
    <n v="783"/>
    <s v="INTPG_PC_783_1.1-2"/>
    <s v="ISEL-1.1"/>
    <n v="3"/>
    <s v="NO TIENE L3OUT"/>
    <n v="26"/>
    <n v="54"/>
  </r>
  <r>
    <n v="774"/>
    <x v="2"/>
    <x v="144"/>
    <s v="eth1/1"/>
    <x v="0"/>
    <x v="0"/>
    <x v="0"/>
    <s v="PAAS:ithhwoscopap016:GE /Pto 1"/>
    <x v="0"/>
    <b v="0"/>
    <s v="No está en VPC"/>
    <n v="774"/>
    <s v="INTPG_VPC_774_1.1_775_1.2"/>
    <s v="ISEL-1.1"/>
    <n v="24"/>
    <s v="NO TIENE L3OUT"/>
    <n v="0"/>
    <n v="54"/>
  </r>
  <r>
    <n v="773"/>
    <x v="2"/>
    <x v="145"/>
    <s v="eth1/1"/>
    <x v="0"/>
    <x v="0"/>
    <x v="0"/>
    <s v="Portchannel_3_R2"/>
    <x v="0"/>
    <b v="0"/>
    <s v="No está en VPC"/>
    <n v="773"/>
    <s v="INTPG_PC_773_1.1-2"/>
    <s v="ISEL-1.1"/>
    <n v="8"/>
    <s v="NO TIENE L3OUT"/>
    <n v="78"/>
    <n v="54"/>
  </r>
  <r>
    <n v="794"/>
    <x v="2"/>
    <x v="146"/>
    <s v="eth1/1"/>
    <x v="0"/>
    <x v="0"/>
    <x v="0"/>
    <s v="DESC"/>
    <x v="0"/>
    <b v="0"/>
    <s v="No está en VPC"/>
    <n v="794"/>
    <s v="INTPG_VPC_793_1.1_3_794_1.1_3"/>
    <s v="ISEL-1.1"/>
    <n v="1"/>
    <s v="NO TIENE L3OUT"/>
    <n v="12"/>
    <n v="54"/>
  </r>
  <r>
    <n v="803"/>
    <x v="2"/>
    <x v="147"/>
    <s v="eth1/1"/>
    <x v="0"/>
    <x v="0"/>
    <x v="0"/>
    <s v="TO-HDPS_27-MSP"/>
    <x v="0"/>
    <b v="0"/>
    <s v="No está en VPC"/>
    <n v="803"/>
    <s v="INTPG_ACC_803_1.1"/>
    <s v="ISEL-1.1"/>
    <n v="1"/>
    <s v="NO TIENE L3OUT"/>
    <n v="48"/>
    <n v="54"/>
  </r>
  <r>
    <n v="786"/>
    <x v="2"/>
    <x v="148"/>
    <s v="eth1/1"/>
    <x v="0"/>
    <x v="0"/>
    <x v="0"/>
    <s v="ENIQ F2:itheniqr14e1r4b:BAY1/X1"/>
    <x v="0"/>
    <b v="0"/>
    <s v="No está en VPC"/>
    <n v="786"/>
    <s v="INTPG_PC_786_1.1-2"/>
    <s v="ISEL-1.1"/>
    <n v="3"/>
    <s v="NO TIENE L3OUT"/>
    <n v="26"/>
    <n v="54"/>
  </r>
  <r>
    <n v="757"/>
    <x v="2"/>
    <x v="149"/>
    <s v="eth1/1"/>
    <x v="0"/>
    <x v="1"/>
    <x v="3"/>
    <s v="CRM, CBS:ITHHWTBRK12BCK01:10GE 2"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1"/>
    <x v="0"/>
    <x v="0"/>
    <x v="0"/>
    <s v="LACP_VC1_ENIQ9C"/>
    <x v="0"/>
    <b v="0"/>
    <s v="No está en VPC"/>
    <n v="781"/>
    <s v="INTPG_PC_781_1.1-2"/>
    <s v="ISEL-1.1"/>
    <n v="3"/>
    <s v="NO TIENE L3OUT"/>
    <n v="26"/>
    <n v="54"/>
  </r>
  <r>
    <n v="793"/>
    <x v="2"/>
    <x v="151"/>
    <s v="eth1/1"/>
    <x v="0"/>
    <x v="1"/>
    <x v="1"/>
    <s v="DESC"/>
    <x v="0"/>
    <b v="0"/>
    <s v="No está en VPC"/>
    <n v="793"/>
    <s v="INTPG_VPC_793_1.1_3_794_1.1_3"/>
    <s v="ISEL-1.1"/>
    <n v="1"/>
    <s v="NO TIENE L3OUT"/>
    <n v="12"/>
    <n v="54"/>
  </r>
  <r>
    <n v="747"/>
    <x v="2"/>
    <x v="152"/>
    <s v="eth1/1"/>
    <x v="0"/>
    <x v="0"/>
    <x v="0"/>
    <s v="PAAS:ithhwoscopap001:LOM PORT 1"/>
    <x v="0"/>
    <b v="0"/>
    <s v="No está en VPC"/>
    <n v="747"/>
    <s v="INTPG_VPC_747_1.1_752_1.1"/>
    <s v="ISEL-1.1"/>
    <n v="25"/>
    <s v="NO TIENE L3OUT"/>
    <n v="0"/>
    <n v="54"/>
  </r>
  <r>
    <n v="784"/>
    <x v="2"/>
    <x v="153"/>
    <s v="eth1/1"/>
    <x v="0"/>
    <x v="0"/>
    <x v="0"/>
    <s v="ENIQ F2:itheniqr12e1r6b:BAY1/X1"/>
    <x v="0"/>
    <b v="0"/>
    <s v="No está en VPC"/>
    <n v="784"/>
    <s v="INTPG_PC_784_1.1-2"/>
    <s v="ISEL-1.1"/>
    <n v="3"/>
    <s v="NO TIENE L3OUT"/>
    <n v="26"/>
    <n v="54"/>
  </r>
  <r>
    <n v="806"/>
    <x v="2"/>
    <x v="154"/>
    <s v="eth1/1"/>
    <x v="0"/>
    <x v="0"/>
    <x v="0"/>
    <s v="TO-HDPS_51-MSP"/>
    <x v="0"/>
    <b v="0"/>
    <s v="No está en VPC"/>
    <n v="806"/>
    <s v="INTPG_ACC_806_1.1"/>
    <s v="ISEL-1.1"/>
    <n v="1"/>
    <s v="NO TIENE L3OUT"/>
    <n v="44"/>
    <n v="54"/>
  </r>
  <r>
    <n v="777"/>
    <x v="2"/>
    <x v="155"/>
    <s v="eth1/1"/>
    <x v="0"/>
    <x v="0"/>
    <x v="0"/>
    <s v="PAAS:ithhwoscopap020:GE /Pto 1"/>
    <x v="0"/>
    <b v="0"/>
    <s v="No está en VPC"/>
    <n v="777"/>
    <s v="INTPG_VPC_776_1.2_777_1.1"/>
    <s v="ISEL-1.1"/>
    <n v="24"/>
    <s v="NO TIENE L3OUT"/>
    <n v="0"/>
    <n v="54"/>
  </r>
  <r>
    <n v="770"/>
    <x v="2"/>
    <x v="156"/>
    <s v="eth1/1"/>
    <x v="0"/>
    <x v="0"/>
    <x v="0"/>
    <s v="Portchannel_1_R4A"/>
    <x v="0"/>
    <b v="0"/>
    <s v="No está en VPC"/>
    <n v="770"/>
    <s v="INTPG_PC_770_1.1-4"/>
    <s v="ISEL-1.1"/>
    <n v="2"/>
    <s v="NO TIENE L3OUT"/>
    <n v="60"/>
    <n v="54"/>
  </r>
  <r>
    <n v="813"/>
    <x v="2"/>
    <x v="157"/>
    <s v="eth1/1"/>
    <x v="0"/>
    <x v="0"/>
    <x v="0"/>
    <s v="POWER_STORE_NAS_NODO_B"/>
    <x v="1"/>
    <b v="0"/>
    <s v="No está en VPC"/>
    <n v="813"/>
    <s v="INTPG_VPC_812_1.1_813_1.1"/>
    <s v="ISEL-1.1"/>
    <n v="11"/>
    <s v="NO TIENE L3OUT"/>
    <n v="0"/>
    <n v="54"/>
  </r>
  <r>
    <n v="739"/>
    <x v="2"/>
    <x v="158"/>
    <s v="eth1/1"/>
    <x v="0"/>
    <x v="0"/>
    <x v="0"/>
    <s v="CEM:ITHCEMD2DAT01:LOM P3"/>
    <x v="5"/>
    <b v="0"/>
    <s v="No está en VPC"/>
    <n v="739"/>
    <s v="INTPG_ACC_739_1.1"/>
    <s v="ISEL-1.1"/>
    <n v="1"/>
    <s v="NO TIENE L3OUT"/>
    <n v="72"/>
    <n v="54"/>
  </r>
  <r>
    <n v="775"/>
    <x v="2"/>
    <x v="159"/>
    <s v="eth1/1"/>
    <x v="0"/>
    <x v="0"/>
    <x v="0"/>
    <s v="PAAS:ithhwoscopap018:GE /Pto 1"/>
    <x v="0"/>
    <b v="0"/>
    <s v="No está en VPC"/>
    <n v="775"/>
    <s v="INTPG_VPC_774_1.3_775_1.1"/>
    <s v="ISEL-1.1"/>
    <n v="24"/>
    <s v="NO TIENE L3OUT"/>
    <n v="0"/>
    <n v="54"/>
  </r>
  <r>
    <n v="791"/>
    <x v="2"/>
    <x v="160"/>
    <s v="eth1/1"/>
    <x v="0"/>
    <x v="0"/>
    <x v="0"/>
    <s v="LAGU2020R5"/>
    <x v="0"/>
    <b v="0"/>
    <s v="No está en VPC"/>
    <n v="791"/>
    <s v="INTPG_VPC_790_1.2_4_791_1.1_3"/>
    <s v="ISEL-1.1"/>
    <n v="1"/>
    <s v="NO TIENE L3OUT"/>
    <n v="20"/>
    <n v="54"/>
  </r>
  <r>
    <n v="808"/>
    <x v="2"/>
    <x v="161"/>
    <s v="eth1/1"/>
    <x v="0"/>
    <x v="0"/>
    <x v="0"/>
    <s v="HUECOS DC_S3"/>
    <x v="0"/>
    <b v="0"/>
    <s v="No está en VPC"/>
    <n v="808"/>
    <s v="INTPG_VPC_808_1.1-6_809_1.1-6"/>
    <s v="ISEL-1.1"/>
    <n v="1"/>
    <s v="NO TIENE L3OUT"/>
    <n v="0"/>
    <n v="54"/>
  </r>
  <r>
    <n v="830"/>
    <x v="2"/>
    <x v="162"/>
    <s v="eth1/1"/>
    <x v="0"/>
    <x v="0"/>
    <x v="0"/>
    <s v="LINK_TO_ITHFHWCBSDSUSBD04 /Slot7.2 /Redundante"/>
    <x v="0"/>
    <b v="0"/>
    <s v="No está en VPC"/>
    <n v="830"/>
    <s v="INTPG_VPC_826_1.1_830_1.1"/>
    <s v="ISEL-1.1"/>
    <n v="2"/>
    <s v="NO TIENE L3OUT"/>
    <n v="12"/>
    <n v="54"/>
  </r>
  <r>
    <n v="821"/>
    <x v="2"/>
    <x v="163"/>
    <s v="eth1/1"/>
    <x v="0"/>
    <x v="0"/>
    <x v="0"/>
    <s v="LINK_TO_ITHFHWCBSPSUSBD07 /Slot7.2 /Redundante"/>
    <x v="0"/>
    <b v="0"/>
    <s v="No está en VPC"/>
    <n v="821"/>
    <s v="INTPG_VPC_816_1.1_821_1.1"/>
    <s v="ISEL-1.1"/>
    <n v="2"/>
    <s v="NO TIENE L3OUT"/>
    <n v="0"/>
    <n v="54"/>
  </r>
  <r>
    <n v="738"/>
    <x v="2"/>
    <x v="164"/>
    <s v="eth1/1"/>
    <x v="0"/>
    <x v="0"/>
    <x v="0"/>
    <s v="CEM:ITHCEME2DAT01:LOM P3"/>
    <x v="5"/>
    <b v="0"/>
    <s v="No está en VPC"/>
    <n v="738"/>
    <s v="INTPG_ACC_738_1.1"/>
    <s v="ISEL-1.1"/>
    <n v="1"/>
    <s v="NO TIENE L3OUT"/>
    <n v="72"/>
    <n v="54"/>
  </r>
  <r>
    <n v="820"/>
    <x v="2"/>
    <x v="165"/>
    <s v="eth1/1"/>
    <x v="0"/>
    <x v="0"/>
    <x v="0"/>
    <s v="LINK_TO_ITHHWD6K60015DKC01 /CtrlA_IOM0.P1 /Redundante"/>
    <x v="0"/>
    <b v="0"/>
    <s v="No está en VPC"/>
    <n v="820"/>
    <s v="INTPG_ACC_820_1.1"/>
    <s v="ISEL-1.1"/>
    <n v="1"/>
    <s v="NO TIENE L3OUT"/>
    <n v="72"/>
    <n v="54"/>
  </r>
  <r>
    <n v="804"/>
    <x v="2"/>
    <x v="166"/>
    <s v="eth1/1"/>
    <x v="0"/>
    <x v="0"/>
    <x v="0"/>
    <s v="TO-HDPS_27-MSP"/>
    <x v="0"/>
    <b v="0"/>
    <s v="No está en VPC"/>
    <n v="804"/>
    <s v="INTPG_ACC_804_1.1"/>
    <s v="ISEL-1.1"/>
    <n v="1"/>
    <s v="NO TIENE L3OUT"/>
    <n v="48"/>
    <n v="54"/>
  </r>
  <r>
    <n v="779"/>
    <x v="2"/>
    <x v="167"/>
    <s v="eth1/1"/>
    <x v="0"/>
    <x v="0"/>
    <x v="0"/>
    <s v="ENIQ F1:itheniqr08enclr3:BAY1/X1"/>
    <x v="0"/>
    <b v="0"/>
    <s v="No está en VPC"/>
    <n v="779"/>
    <s v="INTPG_PC_779_1.1-2"/>
    <s v="ISEL-1.1"/>
    <n v="3"/>
    <s v="NO TIENE L3OUT"/>
    <n v="30"/>
    <n v="54"/>
  </r>
  <r>
    <n v="767"/>
    <x v="2"/>
    <x v="168"/>
    <s v="eth1/1"/>
    <x v="0"/>
    <x v="0"/>
    <x v="0"/>
    <s v="Portchannel_3_R3"/>
    <x v="0"/>
    <b v="0"/>
    <s v="No está en VPC"/>
    <n v="767"/>
    <s v="INTPG_PC_767_1.1-2"/>
    <s v="ISEL-1.1"/>
    <n v="8"/>
    <s v="NO TIENE L3OUT"/>
    <n v="60"/>
    <n v="54"/>
  </r>
  <r>
    <n v="827"/>
    <x v="2"/>
    <x v="169"/>
    <s v="eth1/1"/>
    <x v="0"/>
    <x v="0"/>
    <x v="0"/>
    <s v="LINK_TO_ITHFHWCBSDSWR22 /Slot5.2 /Principal"/>
    <x v="0"/>
    <b v="0"/>
    <s v="No está en VPC"/>
    <n v="827"/>
    <s v="INTPG_VPC_827_1.1_831_1.1"/>
    <s v="ISEL-1.1"/>
    <n v="2"/>
    <s v="NO TIENE L3OUT"/>
    <n v="14"/>
    <n v="54"/>
  </r>
  <r>
    <n v="809"/>
    <x v="2"/>
    <x v="170"/>
    <s v="eth1/1"/>
    <x v="0"/>
    <x v="0"/>
    <x v="0"/>
    <s v="HUECOS DC_S3"/>
    <x v="0"/>
    <b v="0"/>
    <s v="No está en VPC"/>
    <n v="809"/>
    <s v="INTPG_VPC_808_1.1-6_809_1.1-6"/>
    <s v="ISEL-1.1"/>
    <n v="1"/>
    <s v="NO TIENE L3OUT"/>
    <n v="0"/>
    <n v="54"/>
  </r>
  <r>
    <n v="771"/>
    <x v="2"/>
    <x v="171"/>
    <s v="eth1/1"/>
    <x v="0"/>
    <x v="0"/>
    <x v="0"/>
    <s v="Portchannel_6_R6B"/>
    <x v="0"/>
    <b v="0"/>
    <s v="No está en VPC"/>
    <n v="771"/>
    <s v="INTPG_PC_771_1.1-4"/>
    <s v="ISEL-1.1"/>
    <n v="2"/>
    <s v="NO TIENE L3OUT"/>
    <n v="62"/>
    <n v="54"/>
  </r>
  <r>
    <n v="761"/>
    <x v="2"/>
    <x v="172"/>
    <s v="eth1/1"/>
    <x v="0"/>
    <x v="1"/>
    <x v="1"/>
    <m/>
    <x v="0"/>
    <b v="0"/>
    <s v="No está en VPC"/>
    <n v="761"/>
    <s v="INTPG_VPC_760_1.1-4_761_1.1-4"/>
    <s v="ISEL-1.1"/>
    <n v="0"/>
    <s v="L3OUT-EXACLOUD"/>
    <n v="0"/>
    <n v="54"/>
  </r>
  <r>
    <n v="776"/>
    <x v="2"/>
    <x v="173"/>
    <s v="eth1/1"/>
    <x v="0"/>
    <x v="0"/>
    <x v="0"/>
    <s v="PAAS:ithhwoscopap019:GE /Pto 1"/>
    <x v="0"/>
    <b v="0"/>
    <s v="No está en VPC"/>
    <n v="776"/>
    <s v="INTPG_VPC_776_1.1_777_1.2"/>
    <s v="ISEL-1.1"/>
    <n v="24"/>
    <s v="NO TIENE L3OUT"/>
    <n v="0"/>
    <n v="54"/>
  </r>
  <r>
    <n v="805"/>
    <x v="2"/>
    <x v="174"/>
    <s v="eth1/1"/>
    <x v="0"/>
    <x v="0"/>
    <x v="0"/>
    <s v="TO-HDPS_51-MSP"/>
    <x v="0"/>
    <b v="0"/>
    <s v="No está en VPC"/>
    <n v="805"/>
    <s v="INTPG_ACC_805_1.1"/>
    <s v="ISEL-1.1"/>
    <n v="1"/>
    <s v="NO TIENE L3OUT"/>
    <n v="44"/>
    <n v="54"/>
  </r>
  <r>
    <n v="772"/>
    <x v="2"/>
    <x v="175"/>
    <s v="eth1/1"/>
    <x v="0"/>
    <x v="0"/>
    <x v="0"/>
    <s v="Portchannel_6_R2"/>
    <x v="0"/>
    <b v="0"/>
    <s v="No está en VPC"/>
    <n v="772"/>
    <s v="INTPG_PC_772_1.1-4"/>
    <s v="ISEL-1.1"/>
    <n v="1"/>
    <s v="NO TIENE L3OUT"/>
    <n v="82"/>
    <n v="54"/>
  </r>
  <r>
    <n v="785"/>
    <x v="2"/>
    <x v="176"/>
    <s v="eth1/1"/>
    <x v="0"/>
    <x v="0"/>
    <x v="0"/>
    <s v="ENIQ F2:itheniqr13e1r6a:BAY1/X1"/>
    <x v="0"/>
    <b v="0"/>
    <s v="No está en VPC"/>
    <n v="785"/>
    <s v="INTPG_PC_785_1.1-2"/>
    <s v="ISEL-1.1"/>
    <n v="3"/>
    <s v="NO TIENE L3OUT"/>
    <n v="32"/>
    <n v="54"/>
  </r>
  <r>
    <n v="851"/>
    <x v="2"/>
    <x v="177"/>
    <s v="eth1/1"/>
    <x v="0"/>
    <x v="0"/>
    <x v="0"/>
    <s v="LINK_TO_ITHFHWCRMPLCN101 / Slot7.1_6 / Redundante"/>
    <x v="0"/>
    <b v="0"/>
    <s v="No está en VPC"/>
    <n v="851"/>
    <s v="INTPG_ACC_851_1.1"/>
    <s v="ISEL-1.1"/>
    <n v="6"/>
    <s v="NO TIENE L3OUT"/>
    <n v="282"/>
    <n v="54"/>
  </r>
  <r>
    <n v="798"/>
    <x v="2"/>
    <x v="178"/>
    <s v="eth1/1"/>
    <x v="0"/>
    <x v="0"/>
    <x v="0"/>
    <s v="TO-IMC_PS15-MSP"/>
    <x v="0"/>
    <b v="0"/>
    <s v="No está en VPC"/>
    <n v="798"/>
    <s v="INTPG_ACC_798_1.1"/>
    <s v="ISEL-1.1"/>
    <n v="1"/>
    <s v="NO TIENE L3OUT"/>
    <n v="52"/>
    <n v="54"/>
  </r>
  <r>
    <n v="782"/>
    <x v="2"/>
    <x v="179"/>
    <s v="eth1/1"/>
    <x v="0"/>
    <x v="0"/>
    <x v="0"/>
    <s v="LACP_VC1_ENIQ9B"/>
    <x v="0"/>
    <b v="0"/>
    <s v="No está en VPC"/>
    <n v="782"/>
    <s v="INTPG_PC_782_1.1-2"/>
    <s v="ISEL-1.1"/>
    <n v="3"/>
    <s v="NO TIENE L3OUT"/>
    <n v="32"/>
    <n v="54"/>
  </r>
  <r>
    <n v="852"/>
    <x v="2"/>
    <x v="180"/>
    <s v="eth1/1"/>
    <x v="0"/>
    <x v="0"/>
    <x v="0"/>
    <s v="LINK_TO_ITHFHWCRMPLCN116 / Slot7.2_36 / Redundante"/>
    <x v="0"/>
    <b v="0"/>
    <s v="No está en VPC"/>
    <n v="852"/>
    <s v="INTPG_ACC_852_1.1"/>
    <s v="ISEL-1.1"/>
    <n v="2"/>
    <s v="NO TIENE L3OUT"/>
    <n v="258"/>
    <n v="54"/>
  </r>
  <r>
    <n v="817"/>
    <x v="2"/>
    <x v="181"/>
    <s v="eth1/1"/>
    <x v="0"/>
    <x v="0"/>
    <x v="0"/>
    <s v="LINK_TO_ITHFHWCBSPSWR22 /Slot5.2 /Principal"/>
    <x v="0"/>
    <b v="0"/>
    <s v="No está en VPC"/>
    <n v="817"/>
    <s v="INTPG_VPC_817_1.1_822_1.1"/>
    <s v="ISEL-1.1"/>
    <n v="2"/>
    <s v="NO TIENE L3OUT"/>
    <n v="0"/>
    <n v="54"/>
  </r>
  <r>
    <n v="832"/>
    <x v="2"/>
    <x v="182"/>
    <s v="eth1/1"/>
    <x v="0"/>
    <x v="0"/>
    <x v="0"/>
    <s v="LINK_TO_ITHFHWCBSDSWR32 /Slot7.2 /Redundante"/>
    <x v="0"/>
    <b v="0"/>
    <s v="No está en VPC"/>
    <n v="832"/>
    <s v="INTPG_VPC_828_1.1_832_1.1"/>
    <s v="ISEL-1.1"/>
    <n v="2"/>
    <s v="NO TIENE L3OUT"/>
    <n v="192"/>
    <n v="54"/>
  </r>
  <r>
    <n v="816"/>
    <x v="2"/>
    <x v="183"/>
    <s v="eth1/1"/>
    <x v="0"/>
    <x v="0"/>
    <x v="0"/>
    <s v="LINK_TO_ITHFHWCBSPSUSBD07 /Slot5.2 /Principal"/>
    <x v="0"/>
    <b v="0"/>
    <s v="No está en VPC"/>
    <n v="816"/>
    <s v="INTPG_VPC_816_1.1_821_1.1"/>
    <s v="ISEL-1.1"/>
    <n v="2"/>
    <s v="NO TIENE L3OUT"/>
    <n v="0"/>
    <n v="54"/>
  </r>
  <r>
    <n v="825"/>
    <x v="2"/>
    <x v="184"/>
    <s v="eth1/1"/>
    <x v="0"/>
    <x v="0"/>
    <x v="0"/>
    <s v="LINK_TO_ITHHWD6K60015DKC01 /CtrlA_IOM0.P0 /Principal"/>
    <x v="0"/>
    <b v="0"/>
    <s v="No está en VPC"/>
    <n v="825"/>
    <s v="INTPG_ACC_825_1.1"/>
    <s v="ISEL-1.1"/>
    <n v="1"/>
    <s v="NO TIENE L3OUT"/>
    <n v="72"/>
    <n v="54"/>
  </r>
  <r>
    <n v="800"/>
    <x v="2"/>
    <x v="185"/>
    <s v="eth1/1"/>
    <x v="0"/>
    <x v="0"/>
    <x v="0"/>
    <s v="TO-ITHFHWSEQLCAS10-MSP"/>
    <x v="0"/>
    <b v="0"/>
    <s v="No está en VPC"/>
    <n v="800"/>
    <s v="INTPG_ACC_800_1.1"/>
    <s v="ISEL-1.1"/>
    <n v="1"/>
    <s v="NO TIENE L3OUT"/>
    <n v="78"/>
    <n v="54"/>
  </r>
  <r>
    <n v="801"/>
    <x v="2"/>
    <x v="186"/>
    <s v="eth1/1"/>
    <x v="0"/>
    <x v="0"/>
    <x v="0"/>
    <s v="TO-ITHFHWSEQLCAS10-MSP"/>
    <x v="0"/>
    <b v="0"/>
    <s v="No está en VPC"/>
    <n v="801"/>
    <s v="INTPG_ACC_801_1.1"/>
    <s v="ISEL-1.1"/>
    <n v="1"/>
    <s v="NO TIENE L3OUT"/>
    <n v="78"/>
    <n v="54"/>
  </r>
  <r>
    <n v="823"/>
    <x v="2"/>
    <x v="187"/>
    <s v="eth1/1"/>
    <x v="0"/>
    <x v="0"/>
    <x v="0"/>
    <s v="LINK_TO_ITHFHWCBSPSWR30 /Slot7.2 /Redundante"/>
    <x v="0"/>
    <b v="0"/>
    <s v="No está en VPC"/>
    <n v="823"/>
    <s v="INTPG_VPC_818_1.1_823_1.1"/>
    <s v="ISEL-1.1"/>
    <n v="2"/>
    <s v="NO TIENE L3OUT"/>
    <n v="8"/>
    <n v="54"/>
  </r>
  <r>
    <n v="837"/>
    <x v="2"/>
    <x v="188"/>
    <s v="eth1/1"/>
    <x v="0"/>
    <x v="0"/>
    <x v="0"/>
    <s v="LINK_TO_ITHFHWCBSPSHD30 / Slot1.3_24 / Principal"/>
    <x v="0"/>
    <b v="0"/>
    <s v="No está en VPC"/>
    <n v="837"/>
    <s v="INTPG_VPC_837_1.1_842_1.1"/>
    <s v="ISEL-1.1"/>
    <n v="1"/>
    <s v="NO TIENE L3OUT"/>
    <n v="8"/>
    <n v="54"/>
  </r>
  <r>
    <n v="867"/>
    <x v="2"/>
    <x v="189"/>
    <s v="eth1/1"/>
    <x v="0"/>
    <x v="0"/>
    <x v="0"/>
    <s v="To_VPC_2DCBSD_WR37_3"/>
    <x v="0"/>
    <b v="0"/>
    <s v="No está en VPC"/>
    <n v="867"/>
    <s v="INTPG_VPC_862_1.1_867_1.1"/>
    <s v="ISEL-1.1"/>
    <n v="1"/>
    <s v="NO TIENE L3OUT"/>
    <n v="44"/>
    <n v="54"/>
  </r>
  <r>
    <n v="829"/>
    <x v="2"/>
    <x v="190"/>
    <s v="eth1/1"/>
    <x v="0"/>
    <x v="0"/>
    <x v="0"/>
    <s v="LINK_TO_ITHFHWCRMDLCN28 /Slot7.2 /Redundante"/>
    <x v="0"/>
    <b v="0"/>
    <s v="No está en VPC"/>
    <n v="829"/>
    <s v="INTPG_ACC_829_1.1"/>
    <s v="ISEL-1.1"/>
    <n v="5"/>
    <s v="NO TIENE L3OUT"/>
    <n v="224"/>
    <n v="54"/>
  </r>
  <r>
    <n v="831"/>
    <x v="2"/>
    <x v="191"/>
    <s v="eth1/1"/>
    <x v="0"/>
    <x v="0"/>
    <x v="0"/>
    <s v="LINK_TO_ITHFHWCBSDSWR22 /Slot7.2 /Redundante"/>
    <x v="0"/>
    <b v="0"/>
    <s v="No está en VPC"/>
    <n v="831"/>
    <s v="INTPG_VPC_827_1.1_831_1.1"/>
    <s v="ISEL-1.1"/>
    <n v="2"/>
    <s v="NO TIENE L3OUT"/>
    <n v="14"/>
    <n v="54"/>
  </r>
  <r>
    <n v="802"/>
    <x v="2"/>
    <x v="192"/>
    <s v="eth1/1"/>
    <x v="0"/>
    <x v="0"/>
    <x v="0"/>
    <s v="TO-HMS_03-MSP"/>
    <x v="0"/>
    <b v="0"/>
    <s v="No está en VPC"/>
    <n v="802"/>
    <s v="INTPG_ACC_802_1.1"/>
    <s v="ISEL-1.1"/>
    <n v="1"/>
    <s v="NO TIENE L3OUT"/>
    <n v="48"/>
    <n v="54"/>
  </r>
  <r>
    <n v="835"/>
    <x v="2"/>
    <x v="193"/>
    <s v="eth1/1"/>
    <x v="0"/>
    <x v="0"/>
    <x v="0"/>
    <s v="LINK_TO_ITHFHWCBSPSUSBD36 / Slot1.1_8 / Principal"/>
    <x v="0"/>
    <b v="0"/>
    <s v="No está en VPC"/>
    <n v="835"/>
    <s v="INTPG_VPC_835_1.1_840_1.1"/>
    <s v="ISEL-1.1"/>
    <n v="2"/>
    <s v="NO TIENE L3OUT"/>
    <n v="8"/>
    <n v="54"/>
  </r>
  <r>
    <n v="822"/>
    <x v="2"/>
    <x v="194"/>
    <s v="eth1/1"/>
    <x v="0"/>
    <x v="0"/>
    <x v="0"/>
    <s v="LINK_TO_ITHFHWCBSPSWR22 /Slot7.2 /Redundante"/>
    <x v="0"/>
    <b v="0"/>
    <s v="No está en VPC"/>
    <n v="822"/>
    <s v="INTPG_VPC_817_1.1_822_1.1"/>
    <s v="ISEL-1.1"/>
    <n v="2"/>
    <s v="NO TIENE L3OUT"/>
    <n v="0"/>
    <n v="54"/>
  </r>
  <r>
    <n v="854"/>
    <x v="2"/>
    <x v="195"/>
    <s v="eth1/1"/>
    <x v="0"/>
    <x v="0"/>
    <x v="0"/>
    <s v="LINK_TO_ITHFHWCRMPSBDA05 / Slot7.1_4 / Redundante"/>
    <x v="0"/>
    <b v="0"/>
    <s v="No está en VPC"/>
    <n v="854"/>
    <s v="INTPG_VPC_847_1.1_854_1.1"/>
    <s v="ISEL-1.1"/>
    <n v="6"/>
    <s v="NO TIENE L3OUT"/>
    <n v="204"/>
    <n v="54"/>
  </r>
  <r>
    <n v="858"/>
    <x v="2"/>
    <x v="196"/>
    <s v="eth1/1"/>
    <x v="0"/>
    <x v="0"/>
    <x v="0"/>
    <s v="To_VPC_2DCBSD_HD37_1"/>
    <x v="0"/>
    <b v="0"/>
    <s v="No está en VPC"/>
    <n v="858"/>
    <s v="INTPG_VPC_858_1.1_863_1.1"/>
    <s v="ISEL-1.1"/>
    <n v="2"/>
    <s v="NO TIENE L3OUT"/>
    <n v="8"/>
    <n v="54"/>
  </r>
  <r>
    <n v="857"/>
    <x v="2"/>
    <x v="197"/>
    <s v="eth1/1"/>
    <x v="0"/>
    <x v="0"/>
    <x v="0"/>
    <s v="LINK_TO_ITHFHWCRMPLCN150 / Slot1.3_34 / Principal"/>
    <x v="0"/>
    <b v="0"/>
    <s v="No está en VPC"/>
    <n v="857"/>
    <s v="INTPG_ACC_857_1.1"/>
    <s v="ISEL-1.1"/>
    <n v="1"/>
    <s v="NO TIENE L3OUT"/>
    <n v="288"/>
    <n v="54"/>
  </r>
  <r>
    <n v="859"/>
    <x v="2"/>
    <x v="198"/>
    <s v="eth1/1"/>
    <x v="0"/>
    <x v="0"/>
    <x v="0"/>
    <s v="To_VPC_2DCBSD_HD31_1"/>
    <x v="0"/>
    <b v="0"/>
    <s v="No está en VPC"/>
    <n v="859"/>
    <s v="INTPG_VPC_859_1.1_864_1.1"/>
    <s v="ISEL-1.1"/>
    <n v="2"/>
    <s v="NO TIENE L3OUT"/>
    <n v="0"/>
    <n v="54"/>
  </r>
  <r>
    <n v="833"/>
    <x v="2"/>
    <x v="199"/>
    <s v="eth1/1"/>
    <x v="0"/>
    <x v="0"/>
    <x v="0"/>
    <s v="LINK_TO_ITHFHWCRMDLCN28 /Slot5.2 /Principal"/>
    <x v="0"/>
    <b v="0"/>
    <s v="No está en VPC"/>
    <n v="833"/>
    <s v="INTPG_ACC_833_1.1"/>
    <s v="ISEL-1.1"/>
    <n v="5"/>
    <s v="NO TIENE L3OUT"/>
    <n v="224"/>
    <n v="54"/>
  </r>
  <r>
    <n v="818"/>
    <x v="2"/>
    <x v="200"/>
    <s v="eth1/1"/>
    <x v="0"/>
    <x v="0"/>
    <x v="0"/>
    <s v="LINK_TO_ITHFHWCBSPSWR30 /Slot5.2 /Principal"/>
    <x v="0"/>
    <b v="0"/>
    <s v="No está en VPC"/>
    <n v="818"/>
    <s v="INTPG_VPC_818_1.1_823_1.1"/>
    <s v="ISEL-1.1"/>
    <n v="2"/>
    <s v="NO TIENE L3OUT"/>
    <n v="8"/>
    <n v="54"/>
  </r>
  <r>
    <n v="850"/>
    <x v="2"/>
    <x v="201"/>
    <s v="eth1/1"/>
    <x v="0"/>
    <x v="0"/>
    <x v="0"/>
    <s v="LINK_TO_ITHFHWCRMPLCN150 / Slot7.3_34 / Redundante"/>
    <x v="0"/>
    <b v="0"/>
    <s v="No está en VPC"/>
    <n v="850"/>
    <s v="INTPG_ACC_850_1.1"/>
    <s v="ISEL-1.1"/>
    <n v="1"/>
    <s v="NO TIENE L3OUT"/>
    <n v="288"/>
    <n v="54"/>
  </r>
  <r>
    <n v="860"/>
    <x v="2"/>
    <x v="202"/>
    <s v="eth1/1"/>
    <x v="0"/>
    <x v="0"/>
    <x v="0"/>
    <s v="To_VPC_2DCBSD_WR52_1"/>
    <x v="0"/>
    <b v="0"/>
    <s v="No está en VPC"/>
    <n v="860"/>
    <s v="INTPG_VPC_860_1.1_865_1.1"/>
    <s v="ISEL-1.1"/>
    <n v="2"/>
    <s v="NO TIENE L3OUT"/>
    <n v="0"/>
    <n v="54"/>
  </r>
  <r>
    <n v="853"/>
    <x v="2"/>
    <x v="203"/>
    <s v="eth1/1"/>
    <x v="0"/>
    <x v="0"/>
    <x v="0"/>
    <s v="VPC_2DCRMP_BDP05_2"/>
    <x v="0"/>
    <b v="0"/>
    <s v="No está en VPC"/>
    <n v="853"/>
    <s v="INTPG_VPC_846_1.1_853_1.1"/>
    <s v="ISEL-1.1"/>
    <n v="2"/>
    <s v="NO TIENE L3OUT"/>
    <n v="242"/>
    <n v="54"/>
  </r>
  <r>
    <n v="790"/>
    <x v="2"/>
    <x v="204"/>
    <s v="eth1/1"/>
    <x v="0"/>
    <x v="0"/>
    <x v="0"/>
    <s v="LAGU2020R8"/>
    <x v="0"/>
    <b v="0"/>
    <s v="No está en VPC"/>
    <n v="790"/>
    <s v="INTPG_VPC_790_1.1_3_791_1.2_4"/>
    <s v="ISEL-1.1"/>
    <n v="1"/>
    <s v="NO TIENE L3OUT"/>
    <n v="20"/>
    <n v="54"/>
  </r>
  <r>
    <n v="105"/>
    <x v="0"/>
    <x v="205"/>
    <s v="eth1/1"/>
    <x v="0"/>
    <x v="1"/>
    <x v="1"/>
    <s v="DESC"/>
    <x v="6"/>
    <b v="0"/>
    <s v="No está en VPC"/>
    <n v="105"/>
    <s v="INTPG_PC_105_1.1-4_32-35"/>
    <s v="ISEL-1.1"/>
    <n v="17"/>
    <s v="NO TIENE L3OUT"/>
    <n v="106"/>
    <n v="96"/>
  </r>
  <r>
    <n v="117"/>
    <x v="0"/>
    <x v="206"/>
    <s v="eth1/1"/>
    <x v="0"/>
    <x v="0"/>
    <x v="0"/>
    <s v="TO-LENOVOSR530"/>
    <x v="6"/>
    <b v="0"/>
    <s v="No está en VPC"/>
    <n v="117"/>
    <s v="INTPG_ACC_117_1.1"/>
    <s v="ISEL-1.1"/>
    <n v="1"/>
    <s v="NO TIENE L3OUT"/>
    <n v="4"/>
    <n v="96"/>
  </r>
  <r>
    <n v="104"/>
    <x v="0"/>
    <x v="207"/>
    <s v="eth1/1"/>
    <x v="0"/>
    <x v="1"/>
    <x v="1"/>
    <s v="SFLDI"/>
    <x v="6"/>
    <b v="0"/>
    <s v="No está en VPC"/>
    <n v="104"/>
    <s v="INTPG_ACC_104_1.1"/>
    <s v="ISEL-1.1"/>
    <n v="1"/>
    <s v="NO TIENE L3OUT"/>
    <n v="194"/>
    <n v="96"/>
  </r>
  <r>
    <n v="158"/>
    <x v="0"/>
    <x v="208"/>
    <s v="eth1/1"/>
    <x v="0"/>
    <x v="0"/>
    <x v="0"/>
    <s v="ARIESO_GEOLOCALIZACION"/>
    <x v="6"/>
    <b v="0"/>
    <s v="No está en VPC"/>
    <n v="158"/>
    <s v="INTPG_ACC_158_1.1"/>
    <s v="ISEL-1.1"/>
    <n v="1"/>
    <s v="NO TIENE L3OUT"/>
    <n v="30"/>
    <n v="96"/>
  </r>
  <r>
    <n v="875"/>
    <x v="2"/>
    <x v="209"/>
    <s v="eth1/1"/>
    <x v="0"/>
    <x v="0"/>
    <x v="0"/>
    <s v="A_ITHFHWSEQLDSS02_Redundante"/>
    <x v="4"/>
    <b v="0"/>
    <s v="No está en VPC"/>
    <n v="875"/>
    <s v="INTPG_ACC_875_1.1"/>
    <s v="ISEL-1.1"/>
    <n v="1"/>
    <s v="NO TIENE L3OUT"/>
    <n v="2"/>
    <n v="54"/>
  </r>
  <r>
    <n v="879"/>
    <x v="2"/>
    <x v="210"/>
    <s v="eth1/1"/>
    <x v="0"/>
    <x v="0"/>
    <x v="0"/>
    <s v="HACIA_CSI-A-OSCP-F4-09_PRINCIPAL"/>
    <x v="4"/>
    <b v="0"/>
    <s v="No está en VPC"/>
    <n v="879"/>
    <s v="INTPG_VPC_878_1.1_879_1.1"/>
    <s v="ISEL-1.1"/>
    <n v="2"/>
    <s v="NO TIENE L3OUT"/>
    <n v="0"/>
    <n v="54"/>
  </r>
  <r>
    <n v="108"/>
    <x v="0"/>
    <x v="211"/>
    <s v="eth1/1"/>
    <x v="0"/>
    <x v="0"/>
    <x v="0"/>
    <m/>
    <x v="6"/>
    <b v="0"/>
    <s v="No está en VPC"/>
    <n v="108"/>
    <s v="INTPG_ACC_108_1.1"/>
    <s v="ISEL-1.1"/>
    <n v="1"/>
    <s v="NO TIENE L3OUT"/>
    <n v="126"/>
    <n v="96"/>
  </r>
  <r>
    <n v="112"/>
    <x v="0"/>
    <x v="212"/>
    <s v="eth1/1"/>
    <x v="0"/>
    <x v="0"/>
    <x v="0"/>
    <s v="CFD"/>
    <x v="6"/>
    <b v="0"/>
    <s v="No está en VPC"/>
    <n v="112"/>
    <s v="INTPG_ACC_112_1.1"/>
    <s v="ISEL-1.1"/>
    <n v="1"/>
    <s v="NO TIENE L3OUT"/>
    <n v="144"/>
    <n v="96"/>
  </r>
  <r>
    <n v="107"/>
    <x v="0"/>
    <x v="213"/>
    <s v="eth1/1"/>
    <x v="0"/>
    <x v="0"/>
    <x v="0"/>
    <m/>
    <x v="6"/>
    <b v="0"/>
    <s v="No está en VPC"/>
    <n v="107"/>
    <s v="INTPG_ACC_107_1.1"/>
    <s v="ISEL-1.1"/>
    <n v="1"/>
    <s v="NO TIENE L3OUT"/>
    <n v="118"/>
    <n v="96"/>
  </r>
  <r>
    <n v="109"/>
    <x v="0"/>
    <x v="214"/>
    <s v="eth1/1"/>
    <x v="0"/>
    <x v="0"/>
    <x v="0"/>
    <m/>
    <x v="6"/>
    <b v="0"/>
    <s v="No está en VPC"/>
    <n v="109"/>
    <s v="INTPG_ACC_109_1.1"/>
    <s v="ISEL-1.1"/>
    <n v="1"/>
    <s v="NO TIENE L3OUT"/>
    <n v="126"/>
    <n v="96"/>
  </r>
  <r>
    <n v="113"/>
    <x v="0"/>
    <x v="215"/>
    <s v="eth1/1"/>
    <x v="0"/>
    <x v="1"/>
    <x v="1"/>
    <s v="SAPCC"/>
    <x v="6"/>
    <b v="0"/>
    <s v="No está en VPC"/>
    <n v="113"/>
    <s v="INTPG_ACC_113_1.1"/>
    <s v="ISEL-1.1"/>
    <n v="1"/>
    <s v="NO TIENE L3OUT"/>
    <n v="52"/>
    <n v="96"/>
  </r>
  <r>
    <n v="114"/>
    <x v="0"/>
    <x v="216"/>
    <s v="eth1/1"/>
    <x v="0"/>
    <x v="0"/>
    <x v="0"/>
    <s v="CFD"/>
    <x v="6"/>
    <b v="0"/>
    <s v="No está en VPC"/>
    <n v="114"/>
    <s v="INTPG_ACC_114_1.1"/>
    <s v="ISEL-1.1"/>
    <n v="1"/>
    <s v="NO TIENE L3OUT"/>
    <n v="144"/>
    <n v="96"/>
  </r>
  <r>
    <n v="124"/>
    <x v="0"/>
    <x v="217"/>
    <s v="eth1/1"/>
    <x v="0"/>
    <x v="0"/>
    <x v="0"/>
    <s v="GSM_OSS_MTY"/>
    <x v="6"/>
    <b v="0"/>
    <s v="No está en VPC"/>
    <n v="124"/>
    <s v="INTPG_VPC_124_1.1_125_1.10"/>
    <s v="ISEL-1.1"/>
    <n v="10"/>
    <s v="NO TIENE L3OUT"/>
    <n v="80"/>
    <n v="96"/>
  </r>
  <r>
    <n v="118"/>
    <x v="0"/>
    <x v="218"/>
    <s v="eth1/1"/>
    <x v="1"/>
    <x v="1"/>
    <x v="2"/>
    <s v="UXWEPD38"/>
    <x v="6"/>
    <b v="0"/>
    <s v="No está en VPC"/>
    <n v="118"/>
    <s v="INTPG_ACC_118_1.1"/>
    <s v="ISEL-1.1"/>
    <n v="1"/>
    <s v="NO TIENE L3OUT"/>
    <n v="180"/>
    <n v="96"/>
  </r>
  <r>
    <n v="159"/>
    <x v="0"/>
    <x v="219"/>
    <s v="eth1/1"/>
    <x v="0"/>
    <x v="1"/>
    <x v="1"/>
    <s v="Sys_Bay_V40k"/>
    <x v="6"/>
    <b v="0"/>
    <s v="No está en VPC"/>
    <n v="159"/>
    <s v="INTPG_ACC_159_1.1"/>
    <s v="ISEL-1.1"/>
    <n v="1"/>
    <s v="NO TIENE L3OUT"/>
    <n v="72"/>
    <n v="96"/>
  </r>
  <r>
    <n v="840"/>
    <x v="2"/>
    <x v="220"/>
    <s v="eth1/1"/>
    <x v="0"/>
    <x v="0"/>
    <x v="0"/>
    <s v="LINK_TO_ITHFHWCBSPSUSBD36 / Slot7.1_8 / Redundante"/>
    <x v="0"/>
    <b v="0"/>
    <s v="No está en VPC"/>
    <n v="840"/>
    <s v="INTPG_VPC_835_1.1_840_1.1"/>
    <s v="ISEL-1.1"/>
    <n v="2"/>
    <s v="NO TIENE L3OUT"/>
    <n v="8"/>
    <n v="54"/>
  </r>
  <r>
    <n v="856"/>
    <x v="2"/>
    <x v="221"/>
    <s v="eth1/1"/>
    <x v="0"/>
    <x v="0"/>
    <x v="0"/>
    <s v="VPC_2DCRMP_BDA11_3"/>
    <x v="0"/>
    <b v="0"/>
    <s v="No está en VPC"/>
    <n v="856"/>
    <s v="INTPG_VPC_856_1.1_849_1.1"/>
    <s v="ISEL-1.1"/>
    <n v="1"/>
    <s v="NO TIENE L3OUT"/>
    <n v="286"/>
    <n v="54"/>
  </r>
  <r>
    <n v="110"/>
    <x v="0"/>
    <x v="222"/>
    <s v="eth1/1"/>
    <x v="0"/>
    <x v="0"/>
    <x v="0"/>
    <s v="OCUDR_1"/>
    <x v="6"/>
    <b v="0"/>
    <s v="No está en VPC"/>
    <n v="110"/>
    <s v="INTPG_ACC_110_1.1"/>
    <s v="ISEL-1.1"/>
    <n v="1"/>
    <s v="NO TIENE L3OUT"/>
    <n v="102"/>
    <n v="96"/>
  </r>
  <r>
    <n v="163"/>
    <x v="0"/>
    <x v="223"/>
    <s v="eth1/1"/>
    <x v="0"/>
    <x v="0"/>
    <x v="0"/>
    <m/>
    <x v="6"/>
    <b v="0"/>
    <s v="No está en VPC"/>
    <n v="163"/>
    <s v="INTPG_PC_163_1.1-8"/>
    <s v="ISEL-1.1"/>
    <n v="1"/>
    <s v="NO TIENE L3OUT"/>
    <n v="140"/>
    <n v="96"/>
  </r>
  <r>
    <n v="407"/>
    <x v="1"/>
    <x v="224"/>
    <s v="eth1/1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1"/>
    <x v="0"/>
    <x v="1"/>
    <x v="1"/>
    <s v="GSM_OSS_GDL"/>
    <x v="6"/>
    <b v="0"/>
    <s v="No está en VPC"/>
    <n v="171"/>
    <s v="INTPG_VPC_171_1.1_70_172_1.1_46"/>
    <s v="ISEL-1.1"/>
    <n v="10"/>
    <s v="NO TIENE L3OUT"/>
    <n v="114"/>
    <n v="96"/>
  </r>
  <r>
    <n v="421"/>
    <x v="1"/>
    <x v="226"/>
    <s v="eth1/1"/>
    <x v="0"/>
    <x v="0"/>
    <x v="0"/>
    <s v="Prime-UCS-CLU2-A_client_LAG1_CISCOPRIME"/>
    <x v="6"/>
    <b v="0"/>
    <s v="No está en VPC"/>
    <n v="421"/>
    <s v="INTPG_VPC_419_1.1_421_1.1"/>
    <s v="ISEL-1.1"/>
    <n v="3"/>
    <s v="NO TIENE L3OUT"/>
    <n v="72"/>
    <n v="96"/>
  </r>
  <r>
    <n v="173"/>
    <x v="0"/>
    <x v="227"/>
    <s v="eth1/1"/>
    <x v="1"/>
    <x v="1"/>
    <x v="2"/>
    <s v="HUB_SMS_SVA"/>
    <x v="6"/>
    <b v="0"/>
    <s v="No está en VPC"/>
    <n v="173"/>
    <s v="INTPG_VPC_126_1.1-2_173_1.1-2"/>
    <s v="ISEL-1.1"/>
    <n v="3"/>
    <s v="NO TIENE L3OUT"/>
    <n v="66"/>
    <n v="96"/>
  </r>
  <r>
    <n v="154"/>
    <x v="0"/>
    <x v="228"/>
    <s v="eth1/1"/>
    <x v="0"/>
    <x v="0"/>
    <x v="0"/>
    <s v="Precios DEUR"/>
    <x v="6"/>
    <b v="0"/>
    <s v="No está en VPC"/>
    <n v="154"/>
    <s v="INTPG_ACC_154_1.1"/>
    <s v="ISEL-1.1"/>
    <n v="1"/>
    <s v="NO TIENE L3OUT"/>
    <n v="62"/>
    <n v="96"/>
  </r>
  <r>
    <n v="172"/>
    <x v="0"/>
    <x v="229"/>
    <s v="eth1/1"/>
    <x v="0"/>
    <x v="1"/>
    <x v="1"/>
    <s v="GSM_OSS_GDL"/>
    <x v="6"/>
    <b v="0"/>
    <s v="No está en VPC"/>
    <n v="172"/>
    <s v="INTPG_VPC_171_1.1_70_172_1.1_46"/>
    <s v="ISEL-1.1"/>
    <n v="10"/>
    <s v="NO TIENE L3OUT"/>
    <n v="104"/>
    <n v="96"/>
  </r>
  <r>
    <n v="420"/>
    <x v="1"/>
    <x v="230"/>
    <s v="eth1/1"/>
    <x v="0"/>
    <x v="0"/>
    <x v="0"/>
    <s v="junos_space1"/>
    <x v="6"/>
    <b v="0"/>
    <s v="No está en VPC"/>
    <n v="420"/>
    <s v="INTPG_ACC_420_1.1"/>
    <s v="ISEL-1.1"/>
    <n v="1"/>
    <s v="NO TIENE L3OUT"/>
    <n v="158"/>
    <n v="96"/>
  </r>
  <r>
    <n v="423"/>
    <x v="1"/>
    <x v="231"/>
    <s v="eth1/1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1"/>
    <x v="0"/>
    <x v="0"/>
    <x v="0"/>
    <s v="TO-SERVICE AVAILABILITY1-REDUNDANTE"/>
    <x v="6"/>
    <b v="0"/>
    <s v="No está en VPC"/>
    <n v="415"/>
    <s v="INTPG_ACC_415_1.1"/>
    <s v="ISEL-1.1"/>
    <n v="1"/>
    <s v="NO TIENE L3OUT"/>
    <n v="52"/>
    <n v="96"/>
  </r>
  <r>
    <n v="102"/>
    <x v="0"/>
    <x v="233"/>
    <s v="eth1/1"/>
    <x v="0"/>
    <x v="1"/>
    <x v="1"/>
    <m/>
    <x v="6"/>
    <b v="0"/>
    <s v="No está en VPC"/>
    <n v="102"/>
    <s v="NO EXISTE PG"/>
    <s v="NO EXISTE ISEL"/>
    <n v="0"/>
    <s v="NO TIENE L3OUT"/>
    <n v="228"/>
    <n v="96"/>
  </r>
  <r>
    <n v="863"/>
    <x v="2"/>
    <x v="234"/>
    <s v="eth1/1"/>
    <x v="0"/>
    <x v="0"/>
    <x v="0"/>
    <s v="To_VPC_2DCBSD_HD37_1"/>
    <x v="0"/>
    <b v="0"/>
    <s v="No está en VPC"/>
    <n v="863"/>
    <s v="INTPG_VPC_858_1.1_863_1.1"/>
    <s v="ISEL-1.1"/>
    <n v="2"/>
    <s v="NO TIENE L3OUT"/>
    <n v="8"/>
    <n v="54"/>
  </r>
  <r>
    <n v="876"/>
    <x v="2"/>
    <x v="235"/>
    <s v="eth1/1"/>
    <x v="0"/>
    <x v="0"/>
    <x v="0"/>
    <s v="LINK_TO_ITHFHWSEQLHDPS70 / Slot 4 PTO 1 / Principal"/>
    <x v="4"/>
    <b v="0"/>
    <s v="No está en VPC"/>
    <n v="876"/>
    <s v="INTPG_ACC_876_1.1"/>
    <s v="ISEL-1.1"/>
    <n v="1"/>
    <s v="NO TIENE L3OUT"/>
    <n v="92"/>
    <n v="54"/>
  </r>
  <r>
    <n v="877"/>
    <x v="2"/>
    <x v="236"/>
    <s v="eth1/1"/>
    <x v="0"/>
    <x v="0"/>
    <x v="0"/>
    <s v="A_ITHFHWSEQLDSS02_Principal"/>
    <x v="4"/>
    <b v="0"/>
    <s v="No está en VPC"/>
    <n v="877"/>
    <s v="INTPG_ACC_877_1.1"/>
    <s v="ISEL-1.1"/>
    <n v="1"/>
    <s v="NO TIENE L3OUT"/>
    <n v="2"/>
    <n v="54"/>
  </r>
  <r>
    <n v="122"/>
    <x v="0"/>
    <x v="237"/>
    <s v="eth1/1"/>
    <x v="0"/>
    <x v="0"/>
    <x v="0"/>
    <s v="RACK1-NZTF24"/>
    <x v="6"/>
    <b v="0"/>
    <s v="No está en VPC"/>
    <n v="122"/>
    <s v="INTPG_ACC_122_1.1"/>
    <s v="ISEL-1.1"/>
    <n v="1"/>
    <s v="NO TIENE L3OUT"/>
    <n v="148"/>
    <n v="96"/>
  </r>
  <r>
    <n v="157"/>
    <x v="0"/>
    <x v="238"/>
    <s v="eth1/1"/>
    <x v="0"/>
    <x v="0"/>
    <x v="0"/>
    <m/>
    <x v="6"/>
    <b v="0"/>
    <s v="No está en VPC"/>
    <n v="157"/>
    <s v="INTPG_ACC_157_1.1"/>
    <s v="ISEL-1.1"/>
    <n v="1"/>
    <s v="NO TIENE L3OUT"/>
    <n v="202"/>
    <n v="96"/>
  </r>
  <r>
    <n v="408"/>
    <x v="1"/>
    <x v="239"/>
    <s v="eth1/1"/>
    <x v="1"/>
    <x v="1"/>
    <x v="2"/>
    <m/>
    <x v="6"/>
    <b v="0"/>
    <s v="No está en VPC"/>
    <n v="408"/>
    <s v="NO EXISTE PG"/>
    <s v="NO EXISTE ISEL"/>
    <n v="0"/>
    <s v="NO TIENE L3OUT"/>
    <n v="152"/>
    <n v="96"/>
  </r>
  <r>
    <n v="405"/>
    <x v="1"/>
    <x v="240"/>
    <s v="eth1/1"/>
    <x v="0"/>
    <x v="0"/>
    <x v="0"/>
    <s v="IXT_ARIESO4_LDR1"/>
    <x v="6"/>
    <b v="0"/>
    <s v="No está en VPC"/>
    <n v="405"/>
    <s v="INTPG_ACC_405_1.1"/>
    <s v="ISEL-1.1"/>
    <n v="1"/>
    <s v="NO TIENE L3OUT"/>
    <n v="138"/>
    <n v="96"/>
  </r>
  <r>
    <n v="169"/>
    <x v="0"/>
    <x v="241"/>
    <s v="eth1/1"/>
    <x v="1"/>
    <x v="1"/>
    <x v="2"/>
    <s v="RBT"/>
    <x v="6"/>
    <b v="0"/>
    <s v="No está en VPC"/>
    <n v="169"/>
    <s v="INTPG_VPC_167_1.2-3_169_1.1-2"/>
    <s v="ISEL-1.1"/>
    <n v="3"/>
    <s v="NO TIENE L3OUT"/>
    <n v="76"/>
    <n v="96"/>
  </r>
  <r>
    <n v="165"/>
    <x v="0"/>
    <x v="242"/>
    <s v="eth1/1"/>
    <x v="0"/>
    <x v="1"/>
    <x v="1"/>
    <s v="TAGMA_SUPERDOME_VSP3"/>
    <x v="6"/>
    <b v="0"/>
    <s v="No está en VPC"/>
    <n v="165"/>
    <s v="INTPG_ACC_165_1.1"/>
    <s v="ISEL-1.1"/>
    <n v="1"/>
    <s v="NO TIENE L3OUT"/>
    <n v="86"/>
    <n v="96"/>
  </r>
  <r>
    <n v="417"/>
    <x v="1"/>
    <x v="243"/>
    <s v="eth1/1"/>
    <x v="0"/>
    <x v="0"/>
    <x v="0"/>
    <s v="To-uxingemc4"/>
    <x v="6"/>
    <b v="0"/>
    <s v="No está en VPC"/>
    <n v="417"/>
    <s v="INTPG_ACC_417_1.1"/>
    <s v="ISEL-1.1"/>
    <n v="1"/>
    <s v="NO TIENE L3OUT"/>
    <n v="56"/>
    <n v="96"/>
  </r>
  <r>
    <n v="153"/>
    <x v="0"/>
    <x v="244"/>
    <s v="eth1/1"/>
    <x v="0"/>
    <x v="1"/>
    <x v="1"/>
    <s v="SEGURIDAD OPERATIVA"/>
    <x v="6"/>
    <b v="0"/>
    <s v="No está en VPC"/>
    <n v="153"/>
    <s v="INTPG_ACC_153_1.1"/>
    <s v="ISEL-1.1"/>
    <n v="1"/>
    <s v="NO TIENE L3OUT"/>
    <n v="42"/>
    <n v="96"/>
  </r>
  <r>
    <n v="119"/>
    <x v="0"/>
    <x v="245"/>
    <s v="eth1/1"/>
    <x v="1"/>
    <x v="1"/>
    <x v="2"/>
    <s v="DESC"/>
    <x v="6"/>
    <b v="0"/>
    <s v="No está en VPC"/>
    <n v="119"/>
    <s v="INTPG_PC_119_1.1-4_17-20"/>
    <s v="ISEL-1.1"/>
    <n v="31"/>
    <s v="NO TIENE L3OUT"/>
    <n v="70"/>
    <n v="96"/>
  </r>
  <r>
    <n v="156"/>
    <x v="0"/>
    <x v="246"/>
    <s v="eth1/1"/>
    <x v="0"/>
    <x v="0"/>
    <x v="0"/>
    <s v="ARIESO_GEOLOCALIZACION"/>
    <x v="6"/>
    <b v="0"/>
    <s v="No está en VPC"/>
    <n v="156"/>
    <s v="INTPG_ACC_156_1.1"/>
    <s v="ISEL-1.1"/>
    <n v="1"/>
    <s v="NO TIENE L3OUT"/>
    <n v="40"/>
    <n v="96"/>
  </r>
  <r>
    <n v="103"/>
    <x v="0"/>
    <x v="247"/>
    <s v="eth1/1"/>
    <x v="0"/>
    <x v="1"/>
    <x v="1"/>
    <s v="EHEALTH:ehealthp04:NET0"/>
    <x v="6"/>
    <b v="0"/>
    <s v="No está en VPC"/>
    <n v="103"/>
    <s v="INTPG_ACC_103_1.1"/>
    <s v="ISEL-1.1"/>
    <n v="1"/>
    <s v="NO TIENE L3OUT"/>
    <n v="70"/>
    <n v="96"/>
  </r>
  <r>
    <n v="438"/>
    <x v="1"/>
    <x v="248"/>
    <s v="eth1/1"/>
    <x v="0"/>
    <x v="0"/>
    <x v="0"/>
    <s v="uxdomaine"/>
    <x v="6"/>
    <b v="0"/>
    <s v="No está en VPC"/>
    <n v="438"/>
    <s v="INTPG_ACC_438_1.1"/>
    <s v="ISEL-1.1"/>
    <n v="1"/>
    <s v="NO TIENE L3OUT"/>
    <n v="170"/>
    <n v="96"/>
  </r>
  <r>
    <n v="406"/>
    <x v="1"/>
    <x v="249"/>
    <s v="eth1/1"/>
    <x v="0"/>
    <x v="0"/>
    <x v="0"/>
    <s v="Lag2_SMT"/>
    <x v="6"/>
    <b v="0"/>
    <s v="No está en VPC"/>
    <n v="406"/>
    <s v="INTPG_PC_406_1.1-2"/>
    <s v="ISEL-1.1"/>
    <n v="3"/>
    <s v="NO TIENE L3OUT"/>
    <n v="82"/>
    <n v="96"/>
  </r>
  <r>
    <n v="414"/>
    <x v="1"/>
    <x v="250"/>
    <s v="eth1/1"/>
    <x v="0"/>
    <x v="0"/>
    <x v="0"/>
    <s v="ITHRTCD3SSW2"/>
    <x v="6"/>
    <b v="0"/>
    <s v="No está en VPC"/>
    <n v="414"/>
    <s v="INTPG_ACC_414_1.1"/>
    <s v="ISEL-1.1"/>
    <n v="1"/>
    <s v="NO TIENE L3OUT"/>
    <n v="144"/>
    <n v="96"/>
  </r>
  <r>
    <n v="416"/>
    <x v="1"/>
    <x v="251"/>
    <s v="eth1/1"/>
    <x v="0"/>
    <x v="0"/>
    <x v="0"/>
    <s v="ITHRTC4AEN2VC1"/>
    <x v="6"/>
    <b v="0"/>
    <s v="No está en VPC"/>
    <n v="416"/>
    <s v="INTPG_VPC_416_1.1_418_1.1"/>
    <s v="ISEL-1.1"/>
    <n v="1"/>
    <s v="NO TIENE L3OUT"/>
    <n v="110"/>
    <n v="96"/>
  </r>
  <r>
    <n v="418"/>
    <x v="1"/>
    <x v="252"/>
    <s v="eth1/1"/>
    <x v="0"/>
    <x v="0"/>
    <x v="0"/>
    <s v="ITHRTC4AEN2VC1"/>
    <x v="6"/>
    <b v="0"/>
    <s v="No está en VPC"/>
    <n v="418"/>
    <s v="INTPG_VPC_416_1.1_418_1.1"/>
    <s v="ISEL-1.1"/>
    <n v="1"/>
    <s v="NO TIENE L3OUT"/>
    <n v="152"/>
    <n v="96"/>
  </r>
  <r>
    <n v="413"/>
    <x v="1"/>
    <x v="253"/>
    <s v="eth1/1"/>
    <x v="0"/>
    <x v="0"/>
    <x v="0"/>
    <s v="ECOSS"/>
    <x v="6"/>
    <b v="0"/>
    <s v="No está en VPC"/>
    <n v="413"/>
    <s v="INTPG_VPC_411_1.1-2_413_1.1-2"/>
    <s v="ISEL-1.1"/>
    <n v="6"/>
    <s v="NO TIENE L3OUT"/>
    <n v="126"/>
    <n v="96"/>
  </r>
  <r>
    <n v="403"/>
    <x v="1"/>
    <x v="254"/>
    <s v="eth1/1"/>
    <x v="0"/>
    <x v="0"/>
    <x v="0"/>
    <s v="IXT_ARIESO4_LDR1"/>
    <x v="6"/>
    <b v="0"/>
    <s v="No está en VPC"/>
    <n v="403"/>
    <s v="INTPG_ACC_403_1.1"/>
    <s v="ISEL-1.1"/>
    <n v="1"/>
    <s v="NO TIENE L3OUT"/>
    <n v="150"/>
    <n v="96"/>
  </r>
  <r>
    <n v="125"/>
    <x v="0"/>
    <x v="255"/>
    <s v="eth1/1"/>
    <x v="0"/>
    <x v="1"/>
    <x v="1"/>
    <s v="OSSDD890 Rack1"/>
    <x v="6"/>
    <b v="0"/>
    <s v="No está en VPC"/>
    <n v="125"/>
    <s v="INTPG_ACC_125_1.1"/>
    <s v="ISEL-1.1"/>
    <n v="1"/>
    <s v="NO TIENE L3OUT"/>
    <n v="72"/>
    <n v="96"/>
  </r>
  <r>
    <n v="166"/>
    <x v="0"/>
    <x v="256"/>
    <s v="eth1/1"/>
    <x v="0"/>
    <x v="1"/>
    <x v="1"/>
    <s v="ANTES_PTO_1.6_NOMINA"/>
    <x v="6"/>
    <b v="0"/>
    <s v="No está en VPC"/>
    <n v="166"/>
    <s v="INTPG_ACC_166_1.1"/>
    <s v="ISEL-1.1"/>
    <n v="0"/>
    <s v="NO TIENE L3OUT"/>
    <n v="84"/>
    <n v="96"/>
  </r>
  <r>
    <n v="111"/>
    <x v="0"/>
    <x v="257"/>
    <s v="eth1/1"/>
    <x v="0"/>
    <x v="0"/>
    <x v="0"/>
    <s v="OCUDR_1"/>
    <x v="6"/>
    <b v="0"/>
    <s v="No está en VPC"/>
    <n v="111"/>
    <s v="INTPG_ACC_111_1.1"/>
    <s v="ISEL-1.1"/>
    <n v="1"/>
    <s v="NO TIENE L3OUT"/>
    <n v="58"/>
    <n v="96"/>
  </r>
  <r>
    <n v="115"/>
    <x v="0"/>
    <x v="258"/>
    <s v="eth1/1"/>
    <x v="0"/>
    <x v="0"/>
    <x v="0"/>
    <s v="ASAP"/>
    <x v="6"/>
    <b v="0"/>
    <s v="No está en VPC"/>
    <n v="115"/>
    <s v="INTPG_ACC_115_1.1"/>
    <s v="ISEL-1.1"/>
    <n v="1"/>
    <s v="NO TIENE L3OUT"/>
    <n v="42"/>
    <n v="96"/>
  </r>
  <r>
    <n v="106"/>
    <x v="0"/>
    <x v="259"/>
    <s v="eth1/1"/>
    <x v="0"/>
    <x v="0"/>
    <x v="0"/>
    <m/>
    <x v="6"/>
    <b v="0"/>
    <s v="No está en VPC"/>
    <n v="106"/>
    <s v="INTPG_ACC_106_1.1"/>
    <s v="ISEL-1.1"/>
    <n v="1"/>
    <s v="NO TIENE L3OUT"/>
    <n v="122"/>
    <n v="96"/>
  </r>
  <r>
    <n v="126"/>
    <x v="0"/>
    <x v="260"/>
    <s v="eth1/1"/>
    <x v="0"/>
    <x v="0"/>
    <x v="0"/>
    <s v="HUB_SMS_SVA"/>
    <x v="6"/>
    <b v="0"/>
    <s v="No está en VPC"/>
    <n v="126"/>
    <s v="INTPG_VPC_126_1.1-2_173_1.1-2"/>
    <s v="ISEL-1.1"/>
    <n v="3"/>
    <s v="NO TIENE L3OUT"/>
    <n v="54"/>
    <n v="96"/>
  </r>
  <r>
    <n v="425"/>
    <x v="1"/>
    <x v="261"/>
    <s v="eth1/1"/>
    <x v="0"/>
    <x v="0"/>
    <x v="0"/>
    <s v="VTA_uxvta081_Net3"/>
    <x v="6"/>
    <b v="0"/>
    <s v="No está en VPC"/>
    <n v="425"/>
    <s v="INTPG_ACC_425_1.1"/>
    <s v="ISEL-1.1"/>
    <n v="1"/>
    <s v="NO TIENE L3OUT"/>
    <n v="86"/>
    <n v="96"/>
  </r>
  <r>
    <n v="151"/>
    <x v="0"/>
    <x v="262"/>
    <s v="eth1/1"/>
    <x v="0"/>
    <x v="0"/>
    <x v="0"/>
    <s v="Gesti\u00f3n de los sistemas electromec\u00e1nicos de Ixtlahuaca"/>
    <x v="6"/>
    <b v="0"/>
    <s v="No está en VPC"/>
    <n v="151"/>
    <s v="INTPG_ACC_151_1.1"/>
    <s v="ISEL-1.1"/>
    <n v="1"/>
    <s v="NO TIENE L3OUT"/>
    <n v="86"/>
    <n v="96"/>
  </r>
  <r>
    <n v="430"/>
    <x v="1"/>
    <x v="263"/>
    <s v="eth1/1"/>
    <x v="0"/>
    <x v="0"/>
    <x v="0"/>
    <s v="DOC1_1"/>
    <x v="6"/>
    <b v="0"/>
    <s v="No está en VPC"/>
    <n v="430"/>
    <s v="INTPG_VPC_428_1.1_430_1.1"/>
    <s v="ISEL-1.1"/>
    <n v="1"/>
    <s v="NO TIENE L3OUT"/>
    <n v="86"/>
    <n v="96"/>
  </r>
  <r>
    <n v="419"/>
    <x v="1"/>
    <x v="264"/>
    <s v="eth1/1"/>
    <x v="0"/>
    <x v="0"/>
    <x v="0"/>
    <s v="Prime-UCS-CLU2-A_client_LAG1_CISCOPRIME"/>
    <x v="6"/>
    <b v="0"/>
    <s v="No está en VPC"/>
    <n v="419"/>
    <s v="INTPG_VPC_419_1.1_421_1.1"/>
    <s v="ISEL-1.1"/>
    <n v="3"/>
    <s v="NO TIENE L3OUT"/>
    <n v="70"/>
    <n v="96"/>
  </r>
  <r>
    <n v="155"/>
    <x v="0"/>
    <x v="265"/>
    <s v="eth1/1"/>
    <x v="0"/>
    <x v="0"/>
    <x v="0"/>
    <s v="UXINGE"/>
    <x v="6"/>
    <b v="0"/>
    <s v="No está en VPC"/>
    <n v="155"/>
    <s v="INTPG_ACC_155_1.1"/>
    <s v="ISEL-1.1"/>
    <n v="1"/>
    <s v="NO TIENE L3OUT"/>
    <n v="198"/>
    <n v="96"/>
  </r>
  <r>
    <n v="409"/>
    <x v="1"/>
    <x v="266"/>
    <s v="eth1/1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1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1"/>
    <x v="0"/>
    <x v="0"/>
    <x v="0"/>
    <s v="uxdomaine"/>
    <x v="6"/>
    <b v="0"/>
    <s v="No está en VPC"/>
    <n v="436"/>
    <s v="INTPG_ACC_436_1.1"/>
    <s v="ISEL-1.1"/>
    <n v="1"/>
    <s v="NO TIENE L3OUT"/>
    <n v="172"/>
    <n v="96"/>
  </r>
  <r>
    <n v="410"/>
    <x v="1"/>
    <x v="269"/>
    <s v="eth1/1"/>
    <x v="0"/>
    <x v="0"/>
    <x v="0"/>
    <s v="9UCS-IXTLA-WEBEX-SERV3"/>
    <x v="6"/>
    <b v="0"/>
    <s v="No está en VPC"/>
    <n v="410"/>
    <s v="INTPG_ACC_410_1.1"/>
    <s v="ISEL-1.1"/>
    <n v="1"/>
    <s v="NO TIENE L3OUT"/>
    <n v="178"/>
    <n v="96"/>
  </r>
  <r>
    <n v="161"/>
    <x v="0"/>
    <x v="270"/>
    <s v="eth1/1"/>
    <x v="0"/>
    <x v="1"/>
    <x v="1"/>
    <s v="Storage"/>
    <x v="6"/>
    <b v="0"/>
    <s v="No está en VPC"/>
    <n v="161"/>
    <s v="INTPG_ACC_161_1.1"/>
    <s v="ISEL-1.1"/>
    <n v="1"/>
    <s v="NO TIENE L3OUT"/>
    <n v="102"/>
    <n v="96"/>
  </r>
  <r>
    <n v="411"/>
    <x v="1"/>
    <x v="271"/>
    <s v="eth1/1"/>
    <x v="0"/>
    <x v="0"/>
    <x v="0"/>
    <s v="ECOSS"/>
    <x v="6"/>
    <b v="0"/>
    <s v="No está en VPC"/>
    <n v="411"/>
    <s v="INTPG_VPC_411_1.1-2_413_1.1-2"/>
    <s v="ISEL-1.1"/>
    <n v="6"/>
    <s v="NO TIENE L3OUT"/>
    <n v="96"/>
    <n v="96"/>
  </r>
  <r>
    <n v="116"/>
    <x v="0"/>
    <x v="272"/>
    <s v="eth1/1"/>
    <x v="1"/>
    <x v="1"/>
    <x v="2"/>
    <s v="UXWEPD38"/>
    <x v="6"/>
    <b v="0"/>
    <s v="No está en VPC"/>
    <n v="116"/>
    <s v="INTPG_ACC_116_1.1"/>
    <s v="ISEL-1.1"/>
    <n v="0"/>
    <s v="NO TIENE L3OUT"/>
    <n v="148"/>
    <n v="96"/>
  </r>
  <r>
    <n v="412"/>
    <x v="1"/>
    <x v="273"/>
    <s v="eth1/1"/>
    <x v="0"/>
    <x v="0"/>
    <x v="0"/>
    <s v="uxhdr01b_ilo"/>
    <x v="6"/>
    <b v="0"/>
    <s v="No está en VPC"/>
    <n v="412"/>
    <s v="INTPG_ACC_412_1.1"/>
    <s v="ISEL-1.1"/>
    <n v="1"/>
    <s v="NO TIENE L3OUT"/>
    <n v="126"/>
    <n v="96"/>
  </r>
  <r>
    <n v="120"/>
    <x v="0"/>
    <x v="274"/>
    <s v="eth1/1"/>
    <x v="0"/>
    <x v="0"/>
    <x v="0"/>
    <s v="RACK1-NZTF24"/>
    <x v="6"/>
    <b v="0"/>
    <s v="No está en VPC"/>
    <n v="120"/>
    <s v="INTPG_ACC_120_1.1"/>
    <s v="ISEL-1.1"/>
    <n v="1"/>
    <s v="NO TIENE L3OUT"/>
    <n v="158"/>
    <n v="96"/>
  </r>
  <r>
    <n v="404"/>
    <x v="1"/>
    <x v="275"/>
    <s v="eth1/1"/>
    <x v="1"/>
    <x v="1"/>
    <x v="2"/>
    <s v="Lag1_SMT"/>
    <x v="6"/>
    <b v="0"/>
    <s v="No está en VPC"/>
    <n v="404"/>
    <s v="INTPG_PC_404_1.1-2"/>
    <s v="ISEL-1.1"/>
    <n v="1"/>
    <s v="NO TIENE L3OUT"/>
    <n v="92"/>
    <n v="96"/>
  </r>
  <r>
    <n v="167"/>
    <x v="0"/>
    <x v="276"/>
    <s v="eth1/1"/>
    <x v="0"/>
    <x v="0"/>
    <x v="0"/>
    <s v="RBT"/>
    <x v="6"/>
    <b v="0"/>
    <s v="No está en VPC"/>
    <n v="167"/>
    <s v="INTPG_VPC_167_1.1_33_169_1.3_24"/>
    <s v="ISEL-1.1"/>
    <n v="3"/>
    <s v="NO TIENE L3OUT"/>
    <n v="68"/>
    <n v="96"/>
  </r>
  <r>
    <n v="428"/>
    <x v="1"/>
    <x v="277"/>
    <s v="eth1/1"/>
    <x v="0"/>
    <x v="0"/>
    <x v="0"/>
    <s v="DOC1_1"/>
    <x v="6"/>
    <b v="0"/>
    <s v="No está en VPC"/>
    <n v="428"/>
    <s v="INTPG_VPC_428_1.1_430_1.1"/>
    <s v="ISEL-1.1"/>
    <n v="1"/>
    <s v="NO TIENE L3OUT"/>
    <n v="102"/>
    <n v="96"/>
  </r>
  <r>
    <n v="903"/>
    <x v="2"/>
    <x v="278"/>
    <s v="eth1/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10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10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10"/>
    <x v="0"/>
    <x v="0"/>
    <x v="0"/>
    <s v="ETLI-SACI"/>
    <x v="1"/>
    <b v="0"/>
    <s v="No está en VPC"/>
    <n v="152"/>
    <s v="INTPG_ACC_152_1.10"/>
    <s v="ISEL-1.10"/>
    <n v="1"/>
    <s v="NO TIENE L3OUT"/>
    <n v="38"/>
    <n v="54"/>
  </r>
  <r>
    <n v="101"/>
    <x v="0"/>
    <x v="3"/>
    <s v="eth1/10"/>
    <x v="0"/>
    <x v="0"/>
    <x v="0"/>
    <s v="DESC"/>
    <x v="0"/>
    <b v="0"/>
    <s v="No está en VPC"/>
    <n v="101"/>
    <s v="INTPG_PC_101_1.9-10"/>
    <s v="ISEL-1.10"/>
    <n v="1"/>
    <s v="NO TIENE L3OUT"/>
    <n v="114"/>
    <n v="54"/>
  </r>
  <r>
    <n v="160"/>
    <x v="0"/>
    <x v="4"/>
    <s v="eth1/10"/>
    <x v="1"/>
    <x v="1"/>
    <x v="2"/>
    <m/>
    <x v="1"/>
    <b v="0"/>
    <s v="No está en VPC"/>
    <n v="160"/>
    <s v="INTPG_ACC_160_1.10"/>
    <s v="ISEL-1.10"/>
    <n v="0"/>
    <s v="NO TIENE L3OUT"/>
    <n v="68"/>
    <n v="54"/>
  </r>
  <r>
    <n v="121"/>
    <x v="0"/>
    <x v="5"/>
    <s v="eth1/10"/>
    <x v="0"/>
    <x v="0"/>
    <x v="0"/>
    <m/>
    <x v="1"/>
    <b v="0"/>
    <s v="No está en VPC"/>
    <n v="121"/>
    <s v="INTPG_ACC_121_1.10"/>
    <s v="ISEL-1.10"/>
    <n v="0"/>
    <s v="NO TIENE L3OUT"/>
    <n v="14"/>
    <n v="54"/>
  </r>
  <r>
    <n v="129"/>
    <x v="0"/>
    <x v="6"/>
    <s v="eth1/10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10"/>
    <x v="0"/>
    <x v="0"/>
    <x v="0"/>
    <s v="ithbda2a_pto0_PRINCIPAL"/>
    <x v="0"/>
    <b v="0"/>
    <s v="No está en VPC"/>
    <n v="401"/>
    <s v="INTPG_ACC_401_1.10"/>
    <s v="ISEL-1.10"/>
    <n v="1"/>
    <s v="NO TIENE L3OUT"/>
    <n v="40"/>
    <n v="54"/>
  </r>
  <r>
    <n v="402"/>
    <x v="1"/>
    <x v="8"/>
    <s v="eth1/10"/>
    <x v="0"/>
    <x v="0"/>
    <x v="0"/>
    <s v="ithbda2b_pto0_SECUNDARIO"/>
    <x v="0"/>
    <b v="0"/>
    <s v="No está en VPC"/>
    <n v="402"/>
    <s v="INTPG_ACC_402_1.10"/>
    <s v="ISEL-1.10"/>
    <n v="1"/>
    <s v="NO TIENE L3OUT"/>
    <n v="36"/>
    <n v="54"/>
  </r>
  <r>
    <n v="447"/>
    <x v="1"/>
    <x v="9"/>
    <s v="eth1/10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10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10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10"/>
    <x v="0"/>
    <x v="0"/>
    <x v="0"/>
    <s v="DESC"/>
    <x v="0"/>
    <b v="0"/>
    <s v="No está en VPC"/>
    <n v="150"/>
    <s v="INTPG_PC_150_1.9-10"/>
    <s v="ISEL-1.10"/>
    <n v="1"/>
    <s v="NO TIENE L3OUT"/>
    <n v="118"/>
    <n v="54"/>
  </r>
  <r>
    <n v="131"/>
    <x v="0"/>
    <x v="13"/>
    <s v="eth1/10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10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10"/>
    <x v="0"/>
    <x v="0"/>
    <x v="0"/>
    <s v="vTMIP-LAG02"/>
    <x v="2"/>
    <b v="0"/>
    <s v="No está en VPC"/>
    <n v="758"/>
    <s v="INTPG_VPC_758_1.10_759_1.10"/>
    <s v="ISEL-1.10"/>
    <n v="9"/>
    <s v="NO TIENE L3OUT"/>
    <n v="0"/>
    <n v="42"/>
  </r>
  <r>
    <n v="759"/>
    <x v="2"/>
    <x v="16"/>
    <s v="eth1/10"/>
    <x v="0"/>
    <x v="0"/>
    <x v="0"/>
    <s v="vTMIP-LAG02"/>
    <x v="2"/>
    <b v="0"/>
    <s v="No está en VPC"/>
    <n v="759"/>
    <s v="INTPG_VPC_758_1.10_759_1.10"/>
    <s v="ISEL-1.10"/>
    <n v="9"/>
    <s v="NO TIENE L3OUT"/>
    <n v="0"/>
    <n v="42"/>
  </r>
  <r>
    <n v="302"/>
    <x v="0"/>
    <x v="17"/>
    <s v="eth1/10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10"/>
    <x v="0"/>
    <x v="0"/>
    <x v="0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10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10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10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10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10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10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10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10"/>
    <x v="0"/>
    <x v="1"/>
    <x v="3"/>
    <s v="VBLOCK2"/>
    <x v="0"/>
    <b v="0"/>
    <s v="No está en VPC"/>
    <n v="431"/>
    <s v="INTPG_VPC_431_1.9-10_448_1.9-10"/>
    <s v="ISEL-1.10"/>
    <n v="10"/>
    <s v="NO TIENE L3OUT"/>
    <n v="46"/>
    <n v="54"/>
  </r>
  <r>
    <n v="433"/>
    <x v="1"/>
    <x v="27"/>
    <s v="eth1/10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10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10"/>
    <x v="0"/>
    <x v="0"/>
    <x v="0"/>
    <s v="SSO"/>
    <x v="1"/>
    <b v="0"/>
    <s v="No está en VPC"/>
    <n v="432"/>
    <s v="INTPG_ACC_432_1.10"/>
    <s v="ISEL-1.10"/>
    <n v="1"/>
    <s v="NO TIENE L3OUT"/>
    <n v="54"/>
    <n v="54"/>
  </r>
  <r>
    <n v="442"/>
    <x v="1"/>
    <x v="30"/>
    <s v="eth1/10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10"/>
    <x v="0"/>
    <x v="0"/>
    <x v="0"/>
    <s v="TO-sfovhd02-NET 1"/>
    <x v="1"/>
    <b v="0"/>
    <s v="No está en VPC"/>
    <n v="434"/>
    <s v="INTPG_ACC_434_1.10"/>
    <s v="ISEL-1.10"/>
    <n v="1"/>
    <s v="NO TIENE L3OUT"/>
    <n v="34"/>
    <n v="54"/>
  </r>
  <r>
    <n v="707"/>
    <x v="2"/>
    <x v="32"/>
    <s v="eth1/10"/>
    <x v="0"/>
    <x v="1"/>
    <x v="3"/>
    <s v="CEM:ITHCEMG2DAT05:LOM P3"/>
    <x v="0"/>
    <b v="0"/>
    <s v="No está en VPC"/>
    <n v="707"/>
    <s v="INTPG_ACC_707_1.10"/>
    <s v="ISEL-1.10"/>
    <n v="1"/>
    <s v="NO TIENE L3OUT"/>
    <n v="54"/>
    <n v="54"/>
  </r>
  <r>
    <n v="712"/>
    <x v="2"/>
    <x v="33"/>
    <s v="eth1/10"/>
    <x v="0"/>
    <x v="0"/>
    <x v="0"/>
    <s v="CEM:ITHCEMA2DAT05:LOM  P2"/>
    <x v="0"/>
    <b v="0"/>
    <s v="No está en VPC"/>
    <n v="712"/>
    <s v="INTPG_ACC_712_1.10"/>
    <s v="ISEL-1.10"/>
    <n v="1"/>
    <s v="NO TIENE L3OUT"/>
    <n v="32"/>
    <n v="54"/>
  </r>
  <r>
    <n v="719"/>
    <x v="2"/>
    <x v="34"/>
    <s v="eth1/10"/>
    <x v="0"/>
    <x v="1"/>
    <x v="1"/>
    <m/>
    <x v="0"/>
    <b v="0"/>
    <s v="No está en VPC"/>
    <n v="719"/>
    <s v="INTPG-VPC_MGN01_720_1.9_719_1.10"/>
    <s v="ISEL-1.10"/>
    <n v="1"/>
    <s v="NO TIENE L3OUT"/>
    <n v="0"/>
    <n v="54"/>
  </r>
  <r>
    <n v="715"/>
    <x v="2"/>
    <x v="35"/>
    <s v="eth1/10"/>
    <x v="0"/>
    <x v="0"/>
    <x v="0"/>
    <m/>
    <x v="0"/>
    <b v="0"/>
    <s v="No está en VPC"/>
    <n v="715"/>
    <s v="INTPG-VPC_HDD35_716_1.9_715_1.10"/>
    <s v="ISEL-1.10"/>
    <n v="1"/>
    <s v="NO TIENE L3OUT"/>
    <n v="0"/>
    <n v="54"/>
  </r>
  <r>
    <n v="427"/>
    <x v="1"/>
    <x v="36"/>
    <s v="eth1/10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10"/>
    <x v="0"/>
    <x v="1"/>
    <x v="5"/>
    <s v="CEM:ITHCEMD2DAT05:LOM  P2"/>
    <x v="0"/>
    <b v="0"/>
    <s v="No está en VPC"/>
    <n v="711"/>
    <s v="INTPG_VPC_710_1.9_711_1.10"/>
    <s v="ISEL-1.10"/>
    <n v="1"/>
    <s v="NO TIENE L3OUT"/>
    <n v="16"/>
    <n v="54"/>
  </r>
  <r>
    <n v="716"/>
    <x v="2"/>
    <x v="38"/>
    <s v="eth1/10"/>
    <x v="0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10"/>
    <x v="0"/>
    <x v="0"/>
    <x v="0"/>
    <m/>
    <x v="0"/>
    <b v="0"/>
    <s v="No está en VPC"/>
    <n v="702"/>
    <s v="INTPG_VPC_701_1.9_702_1.10"/>
    <s v="ISEL-1.10"/>
    <n v="1"/>
    <s v="NO TIENE L3OUT"/>
    <n v="0"/>
    <n v="54"/>
  </r>
  <r>
    <n v="435"/>
    <x v="1"/>
    <x v="40"/>
    <s v="eth1/10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10"/>
    <x v="0"/>
    <x v="0"/>
    <x v="0"/>
    <s v="TO-ITHFHPNBURBKP07"/>
    <x v="0"/>
    <b v="0"/>
    <s v="No está en VPC"/>
    <n v="446"/>
    <s v="INTPG_VPC_444_1.9_446_1.10"/>
    <s v="ISEL-1.10"/>
    <n v="1"/>
    <s v="NO TIENE L3OUT"/>
    <n v="198"/>
    <n v="54"/>
  </r>
  <r>
    <n v="444"/>
    <x v="1"/>
    <x v="42"/>
    <s v="eth1/10"/>
    <x v="0"/>
    <x v="0"/>
    <x v="0"/>
    <m/>
    <x v="0"/>
    <b v="0"/>
    <s v="No está en VPC"/>
    <n v="444"/>
    <s v="INTPG_ACC_444_1.10"/>
    <s v="ISEL-1.10"/>
    <n v="9"/>
    <s v="NO TIENE L3OUT"/>
    <n v="234"/>
    <n v="54"/>
  </r>
  <r>
    <n v="701"/>
    <x v="2"/>
    <x v="43"/>
    <s v="eth1/10"/>
    <x v="0"/>
    <x v="0"/>
    <x v="0"/>
    <m/>
    <x v="0"/>
    <b v="0"/>
    <s v="No está en VPC"/>
    <n v="701"/>
    <s v="INTPG_VPC_702_1.9_701_1.10"/>
    <s v="ISEL-1.10"/>
    <n v="1"/>
    <s v="NO TIENE L3OUT"/>
    <n v="0"/>
    <n v="54"/>
  </r>
  <r>
    <n v="440"/>
    <x v="1"/>
    <x v="44"/>
    <s v="eth1/10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10"/>
    <x v="0"/>
    <x v="1"/>
    <x v="3"/>
    <s v="VBLOCK2"/>
    <x v="0"/>
    <b v="0"/>
    <s v="No está en VPC"/>
    <n v="448"/>
    <s v="INTPG_VPC_431_1.9-10_448_1.9-10"/>
    <s v="ISEL-1.10"/>
    <n v="10"/>
    <s v="NO TIENE L3OUT"/>
    <n v="46"/>
    <n v="54"/>
  </r>
  <r>
    <n v="704"/>
    <x v="2"/>
    <x v="46"/>
    <s v="eth1/10"/>
    <x v="0"/>
    <x v="0"/>
    <x v="0"/>
    <m/>
    <x v="0"/>
    <b v="0"/>
    <s v="No está en VPC"/>
    <n v="704"/>
    <s v="INTPG_VPC_703_1.9_704_1.10"/>
    <s v="ISEL-1.10"/>
    <n v="1"/>
    <s v="NO TIENE L3OUT"/>
    <n v="0"/>
    <n v="54"/>
  </r>
  <r>
    <n v="729"/>
    <x v="2"/>
    <x v="47"/>
    <s v="eth1/10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10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10"/>
    <x v="0"/>
    <x v="0"/>
    <x v="0"/>
    <s v="HACIA_MGMT-OSCP-F4-06_SECUNDARIO"/>
    <x v="4"/>
    <b v="0"/>
    <s v="No está en VPC"/>
    <n v="456"/>
    <s v="INTPG_VPC_454_1.10_456_1.10"/>
    <s v="ISEL-1.10"/>
    <n v="1"/>
    <s v="NO TIENE L3OUT"/>
    <n v="4"/>
    <n v="54"/>
  </r>
  <r>
    <n v="603"/>
    <x v="1"/>
    <x v="50"/>
    <s v="eth1/10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10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10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10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10"/>
    <x v="0"/>
    <x v="0"/>
    <x v="0"/>
    <m/>
    <x v="0"/>
    <b v="0"/>
    <s v="No está en VPC"/>
    <n v="722"/>
    <s v="INTPG-VPC_HDD116_723_1.9_722_1.10"/>
    <s v="ISEL-1.10"/>
    <n v="1"/>
    <s v="NO TIENE L3OUT"/>
    <n v="0"/>
    <n v="54"/>
  </r>
  <r>
    <n v="733"/>
    <x v="2"/>
    <x v="55"/>
    <s v="eth1/10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10"/>
    <x v="0"/>
    <x v="0"/>
    <x v="0"/>
    <s v="OSS F1:ithenmr08bl02nas2r9a:PORT 2"/>
    <x v="0"/>
    <b v="0"/>
    <s v="No está en VPC"/>
    <n v="755"/>
    <s v="INTPG_PC_755_1.9-12"/>
    <s v="ISEL-1.10"/>
    <n v="1"/>
    <s v="NO TIENE L3OUT"/>
    <n v="52"/>
    <n v="54"/>
  </r>
  <r>
    <n v="748"/>
    <x v="2"/>
    <x v="57"/>
    <s v="eth1/10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10"/>
    <x v="0"/>
    <x v="0"/>
    <x v="0"/>
    <s v="OSS F1:ithenmr08bl04ombsr9a:PORT 2"/>
    <x v="0"/>
    <b v="0"/>
    <s v="No está en VPC"/>
    <n v="756"/>
    <s v="INTPG_PC_756_1.9-12"/>
    <s v="ISEL-1.10"/>
    <n v="2"/>
    <s v="NO TIENE L3OUT"/>
    <n v="64"/>
    <n v="54"/>
  </r>
  <r>
    <n v="754"/>
    <x v="2"/>
    <x v="59"/>
    <s v="eth1/10"/>
    <x v="0"/>
    <x v="0"/>
    <x v="0"/>
    <s v="OSS F1:ithenmr04e2r9b:Bay1/X2"/>
    <x v="0"/>
    <b v="0"/>
    <s v="No está en VPC"/>
    <n v="754"/>
    <s v="INTPG_PC_754_1.9-10"/>
    <s v="ISEL-1.10"/>
    <n v="8"/>
    <s v="NO TIENE L3OUT"/>
    <n v="62"/>
    <n v="54"/>
  </r>
  <r>
    <n v="751"/>
    <x v="2"/>
    <x v="60"/>
    <s v="eth1/10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10"/>
    <x v="0"/>
    <x v="0"/>
    <x v="0"/>
    <s v="Portchannel_2_R4A"/>
    <x v="0"/>
    <b v="0"/>
    <s v="No está en VPC"/>
    <n v="769"/>
    <s v="INTPG_PC_769_1.9-10"/>
    <s v="ISEL-1.10"/>
    <n v="8"/>
    <s v="NO TIENE L3OUT"/>
    <n v="60"/>
    <n v="54"/>
  </r>
  <r>
    <n v="742"/>
    <x v="2"/>
    <x v="62"/>
    <s v="eth1/10"/>
    <x v="0"/>
    <x v="1"/>
    <x v="1"/>
    <s v="CEM:ITHCEMB2DAT05:FLEXIO P1"/>
    <x v="5"/>
    <b v="0"/>
    <s v="No está en VPC"/>
    <n v="742"/>
    <s v="INTPG_ACC_742_1.10"/>
    <s v="ISEL-1.10"/>
    <n v="1"/>
    <s v="NO TIENE L3OUT"/>
    <n v="64"/>
    <n v="54"/>
  </r>
  <r>
    <n v="763"/>
    <x v="2"/>
    <x v="63"/>
    <s v="eth1/10"/>
    <x v="0"/>
    <x v="0"/>
    <x v="0"/>
    <s v="PAAS:ithhwoscopap010:LOM PORT 3"/>
    <x v="0"/>
    <b v="0"/>
    <s v="No está en VPC"/>
    <n v="763"/>
    <s v="INTPG_VPC_762_1.10_763_1.10"/>
    <s v="ISEL-1.10"/>
    <n v="15"/>
    <s v="NO TIENE L3OUT"/>
    <n v="2"/>
    <n v="54"/>
  </r>
  <r>
    <n v="766"/>
    <x v="2"/>
    <x v="64"/>
    <s v="eth1/10"/>
    <x v="0"/>
    <x v="0"/>
    <x v="0"/>
    <s v="Portchannel_7_R6A"/>
    <x v="0"/>
    <b v="0"/>
    <s v="No está en VPC"/>
    <n v="766"/>
    <s v="INTPG_PC_766_1.9-12"/>
    <s v="ISEL-1.10"/>
    <n v="1"/>
    <s v="NO TIENE L3OUT"/>
    <n v="58"/>
    <n v="54"/>
  </r>
  <r>
    <n v="760"/>
    <x v="2"/>
    <x v="65"/>
    <s v="eth1/10"/>
    <x v="0"/>
    <x v="1"/>
    <x v="1"/>
    <m/>
    <x v="0"/>
    <b v="0"/>
    <s v="No está en VPC"/>
    <n v="760"/>
    <s v="INTPG_VPC_760_1.9-12_761_1.9-12"/>
    <s v="ISEL-1.10"/>
    <n v="0"/>
    <s v="L3OUT-EXACLOUD"/>
    <n v="0"/>
    <n v="54"/>
  </r>
  <r>
    <n v="752"/>
    <x v="2"/>
    <x v="66"/>
    <s v="eth1/10"/>
    <x v="0"/>
    <x v="0"/>
    <x v="0"/>
    <s v="PAAS:ithhwosstpap001:Slot6.1"/>
    <x v="0"/>
    <b v="0"/>
    <s v="No está en VPC"/>
    <n v="752"/>
    <s v="INTPG_VPC_747_1.10_752_1.10"/>
    <s v="ISEL-1.10"/>
    <n v="25"/>
    <s v="NO TIENE L3OUT"/>
    <n v="0"/>
    <n v="54"/>
  </r>
  <r>
    <n v="765"/>
    <x v="2"/>
    <x v="67"/>
    <s v="eth1/10"/>
    <x v="0"/>
    <x v="0"/>
    <x v="0"/>
    <s v="Portchannel_1_R6A"/>
    <x v="0"/>
    <b v="0"/>
    <s v="No está en VPC"/>
    <n v="765"/>
    <s v="INTPG_PC_765_1.7-10"/>
    <s v="ISEL-1.10"/>
    <n v="2"/>
    <s v="NO TIENE L3OUT"/>
    <n v="60"/>
    <n v="54"/>
  </r>
  <r>
    <n v="778"/>
    <x v="2"/>
    <x v="68"/>
    <s v="eth1/10"/>
    <x v="0"/>
    <x v="0"/>
    <x v="0"/>
    <s v="ENIQ F1:itheniqr07ombsr2:Slot 2/1"/>
    <x v="0"/>
    <b v="0"/>
    <s v="No está en VPC"/>
    <n v="778"/>
    <s v="INTPG_PC_778_1.7-10"/>
    <s v="ISEL-1.10"/>
    <n v="2"/>
    <s v="NO TIENE L3OUT"/>
    <n v="26"/>
    <n v="54"/>
  </r>
  <r>
    <n v="780"/>
    <x v="2"/>
    <x v="69"/>
    <s v="eth1/10"/>
    <x v="0"/>
    <x v="0"/>
    <x v="0"/>
    <s v="LACP_OMBS_ENIQ1"/>
    <x v="0"/>
    <b v="0"/>
    <s v="No está en VPC"/>
    <n v="780"/>
    <s v="INTPG_PC_780_1.7-10"/>
    <s v="ISEL-1.10"/>
    <n v="2"/>
    <s v="NO TIENE L3OUT"/>
    <n v="26"/>
    <n v="54"/>
  </r>
  <r>
    <n v="812"/>
    <x v="2"/>
    <x v="70"/>
    <s v="eth1/10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10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10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10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10"/>
    <x v="0"/>
    <x v="0"/>
    <x v="0"/>
    <s v="LINK_TO_ITHFHWCMVWPMA08 /Slot6.2 /Redundante"/>
    <x v="0"/>
    <b v="0"/>
    <s v="No está en VPC"/>
    <n v="824"/>
    <s v="INTPG_ACC_824_1.10"/>
    <s v="ISEL-1.10"/>
    <n v="1"/>
    <s v="NO TIENE L3OUT"/>
    <n v="70"/>
    <n v="54"/>
  </r>
  <r>
    <n v="819"/>
    <x v="2"/>
    <x v="75"/>
    <s v="eth1/10"/>
    <x v="0"/>
    <x v="0"/>
    <x v="0"/>
    <s v="LINK_TO_ITHFHWCMVWPMA08 /Slot4.2 /Principal"/>
    <x v="0"/>
    <b v="0"/>
    <s v="No está en VPC"/>
    <n v="819"/>
    <s v="INTPG_ACC_819_1.10"/>
    <s v="ISEL-1.10"/>
    <n v="1"/>
    <s v="NO TIENE L3OUT"/>
    <n v="70"/>
    <n v="54"/>
  </r>
  <r>
    <n v="737"/>
    <x v="2"/>
    <x v="76"/>
    <s v="eth1/10"/>
    <x v="0"/>
    <x v="0"/>
    <x v="0"/>
    <s v="CEM:ITHCEME2DAT05:FLEXIO P1"/>
    <x v="5"/>
    <b v="0"/>
    <s v="No está en VPC"/>
    <n v="737"/>
    <s v="INTPG_ACC_737_1.10"/>
    <s v="ISEL-1.10"/>
    <n v="1"/>
    <s v="NO TIENE L3OUT"/>
    <n v="72"/>
    <n v="54"/>
  </r>
  <r>
    <n v="844"/>
    <x v="2"/>
    <x v="77"/>
    <s v="eth1/10"/>
    <x v="0"/>
    <x v="0"/>
    <x v="0"/>
    <s v="LINK_TO_ITHFHWCRMPLCN104 / Slot1.1_12 / Principal"/>
    <x v="0"/>
    <b v="0"/>
    <s v="No está en VPC"/>
    <n v="844"/>
    <s v="INTPG_ACC_844_1.10"/>
    <s v="ISEL-1.10"/>
    <n v="6"/>
    <s v="NO TIENE L3OUT"/>
    <n v="282"/>
    <n v="54"/>
  </r>
  <r>
    <n v="843"/>
    <x v="2"/>
    <x v="78"/>
    <s v="eth1/10"/>
    <x v="0"/>
    <x v="0"/>
    <x v="0"/>
    <s v="LINK_To_ITHFHWCBSPSUSBD25 / Slot7.2_6 / Redundante"/>
    <x v="0"/>
    <b v="0"/>
    <s v="No está en VPC"/>
    <n v="843"/>
    <s v="INTPG_VPC_838_1.10_843_1.10"/>
    <s v="ISEL-1.10"/>
    <n v="1"/>
    <s v="NO TIENE L3OUT"/>
    <n v="38"/>
    <n v="54"/>
  </r>
  <r>
    <n v="797"/>
    <x v="2"/>
    <x v="79"/>
    <s v="eth1/10"/>
    <x v="0"/>
    <x v="0"/>
    <x v="0"/>
    <s v="TO-HDPS_12-MSP"/>
    <x v="0"/>
    <b v="0"/>
    <s v="No está en VPC"/>
    <n v="797"/>
    <s v="INTPG_ACC_797_1.10"/>
    <s v="ISEL-1.10"/>
    <n v="1"/>
    <s v="NO TIENE L3OUT"/>
    <n v="48"/>
    <n v="54"/>
  </r>
  <r>
    <n v="839"/>
    <x v="2"/>
    <x v="80"/>
    <s v="eth1/10"/>
    <x v="0"/>
    <x v="0"/>
    <x v="0"/>
    <s v="LINK_TO_ITHFHWCBSPSWR61 / Slot7.1_10 / Redundante"/>
    <x v="0"/>
    <b v="0"/>
    <s v="No está en VPC"/>
    <n v="839"/>
    <s v="INTPG_VPC_834_1.10_839_1.10"/>
    <s v="ISEL-1.10"/>
    <n v="2"/>
    <s v="NO TIENE L3OUT"/>
    <n v="0"/>
    <n v="54"/>
  </r>
  <r>
    <n v="847"/>
    <x v="2"/>
    <x v="81"/>
    <s v="eth1/10"/>
    <x v="0"/>
    <x v="0"/>
    <x v="0"/>
    <s v="LINK_TO_ITHHWD6KV65100018DKC01 / CTMB_IOM1.P0_34 / Principal"/>
    <x v="0"/>
    <b v="0"/>
    <s v="No está en VPC"/>
    <n v="847"/>
    <s v="INTPG_ACC_847_1.10"/>
    <s v="ISEL-1.10"/>
    <n v="1"/>
    <s v="NO TIENE L3OUT"/>
    <n v="204"/>
    <n v="54"/>
  </r>
  <r>
    <n v="848"/>
    <x v="2"/>
    <x v="82"/>
    <s v="eth1/10"/>
    <x v="0"/>
    <x v="0"/>
    <x v="0"/>
    <s v="LINK_TO_ITHFHWCRMPLCN157 / Slot7.3_16 / Redundante"/>
    <x v="0"/>
    <b v="0"/>
    <s v="No está en VPC"/>
    <n v="848"/>
    <s v="INTPG_ACC_848_1.10"/>
    <s v="ISEL-1.10"/>
    <n v="1"/>
    <s v="NO TIENE L3OUT"/>
    <n v="254"/>
    <n v="54"/>
  </r>
  <r>
    <n v="846"/>
    <x v="2"/>
    <x v="83"/>
    <s v="eth1/10"/>
    <x v="0"/>
    <x v="0"/>
    <x v="0"/>
    <s v="LINK_TO_ITHFHWCRMPLCN75 / Slot1.1_8 / Principal"/>
    <x v="0"/>
    <b v="0"/>
    <s v="No está en VPC"/>
    <n v="846"/>
    <s v="INTPG_ACC_846_1.10"/>
    <s v="ISEL-1.10"/>
    <n v="6"/>
    <s v="NO TIENE L3OUT"/>
    <n v="242"/>
    <n v="54"/>
  </r>
  <r>
    <n v="838"/>
    <x v="2"/>
    <x v="84"/>
    <s v="eth1/10"/>
    <x v="0"/>
    <x v="0"/>
    <x v="0"/>
    <s v="LINK_To_ITHFHWCBSPSUSBD25 / Slot1.2_6 / Principal"/>
    <x v="0"/>
    <b v="0"/>
    <s v="No está en VPC"/>
    <n v="838"/>
    <s v="INTPG_VPC_838_1.10_843_1.10"/>
    <s v="ISEL-1.10"/>
    <n v="1"/>
    <s v="NO TIENE L3OUT"/>
    <n v="38"/>
    <n v="54"/>
  </r>
  <r>
    <n v="849"/>
    <x v="2"/>
    <x v="85"/>
    <s v="eth1/10"/>
    <x v="0"/>
    <x v="0"/>
    <x v="0"/>
    <s v="LINK_TO_ITHFHWCRMPLCN137 / Slot7.3_8 / Redundante"/>
    <x v="0"/>
    <b v="0"/>
    <s v="No está en VPC"/>
    <n v="849"/>
    <s v="INTPG_ACC_849_1.10"/>
    <s v="ISEL-1.10"/>
    <n v="1"/>
    <s v="NO TIENE L3OUT"/>
    <n v="286"/>
    <n v="54"/>
  </r>
  <r>
    <n v="845"/>
    <x v="2"/>
    <x v="86"/>
    <s v="eth1/10"/>
    <x v="0"/>
    <x v="0"/>
    <x v="0"/>
    <s v="LINK_TO_ITHFHWCRMPLCN100 / Slot1.2_32 / Principal"/>
    <x v="0"/>
    <b v="0"/>
    <s v="No está en VPC"/>
    <n v="845"/>
    <s v="INTPG_ACC_845_1.10"/>
    <s v="ISEL-1.10"/>
    <n v="2"/>
    <s v="NO TIENE L3OUT"/>
    <n v="258"/>
    <n v="54"/>
  </r>
  <r>
    <n v="873"/>
    <x v="2"/>
    <x v="87"/>
    <s v="eth1/10"/>
    <x v="0"/>
    <x v="0"/>
    <x v="0"/>
    <s v="TO_ITHFHWCRMDLCN56_Principal"/>
    <x v="0"/>
    <b v="0"/>
    <s v="No está en VPC"/>
    <n v="873"/>
    <s v="INTPG_ACC_873_1.10"/>
    <s v="ISEL-1.10"/>
    <n v="2"/>
    <s v="NO TIENE L3OUT"/>
    <n v="248"/>
    <n v="54"/>
  </r>
  <r>
    <n v="864"/>
    <x v="2"/>
    <x v="88"/>
    <s v="eth1/10"/>
    <x v="0"/>
    <x v="0"/>
    <x v="0"/>
    <s v="To_VPC_2DCBSD_HD34_1"/>
    <x v="0"/>
    <b v="0"/>
    <s v="No está en VPC"/>
    <n v="864"/>
    <s v="INTPG_VPC_859_1.10_864_1.10"/>
    <s v="ISEL-1.10"/>
    <n v="2"/>
    <s v="NO TIENE L3OUT"/>
    <n v="0"/>
    <n v="54"/>
  </r>
  <r>
    <n v="836"/>
    <x v="2"/>
    <x v="89"/>
    <s v="eth1/10"/>
    <x v="0"/>
    <x v="0"/>
    <x v="0"/>
    <s v="LINK_TO_ITHFHWCBSPSUSBD37 / Slot1.3_10 / Principal"/>
    <x v="0"/>
    <b v="0"/>
    <s v="No está en VPC"/>
    <n v="836"/>
    <s v="INTPG_VPC_836_1.10_841_1.10"/>
    <s v="ISEL-1.10"/>
    <n v="1"/>
    <s v="NO TIENE L3OUT"/>
    <n v="0"/>
    <n v="54"/>
  </r>
  <r>
    <n v="834"/>
    <x v="2"/>
    <x v="90"/>
    <s v="eth1/10"/>
    <x v="0"/>
    <x v="0"/>
    <x v="0"/>
    <s v="LINK_TO_ITHFHWCBSPSWR61 / Slot1.1_10 / Principal"/>
    <x v="0"/>
    <b v="0"/>
    <s v="No está en VPC"/>
    <n v="834"/>
    <s v="INTPG_VPC_834_1.10_839_1.10"/>
    <s v="ISEL-1.10"/>
    <n v="2"/>
    <s v="NO TIENE L3OUT"/>
    <n v="0"/>
    <n v="54"/>
  </r>
  <r>
    <n v="872"/>
    <x v="2"/>
    <x v="91"/>
    <s v="eth1/10"/>
    <x v="0"/>
    <x v="0"/>
    <x v="0"/>
    <s v="To_ITHFHWCRMDLCN72_Principal"/>
    <x v="0"/>
    <b v="0"/>
    <s v="No está en VPC"/>
    <n v="872"/>
    <s v="INTPG_ACC_872_1.10"/>
    <s v="ISEL-1.10"/>
    <n v="2"/>
    <s v="NO TIENE L3OUT"/>
    <n v="288"/>
    <n v="54"/>
  </r>
  <r>
    <n v="842"/>
    <x v="2"/>
    <x v="92"/>
    <s v="eth1/10"/>
    <x v="0"/>
    <x v="0"/>
    <x v="0"/>
    <s v="LINK_TO_ITHFHWCBSPSUSBD26 / Slot7.3_6 / Redundante"/>
    <x v="0"/>
    <b v="0"/>
    <s v="No está en VPC"/>
    <n v="842"/>
    <s v="INTPG_VPC_837_1.10_842_1.10"/>
    <s v="ISEL-1.10"/>
    <n v="1"/>
    <s v="NO TIENE L3OUT"/>
    <n v="8"/>
    <n v="54"/>
  </r>
  <r>
    <n v="828"/>
    <x v="2"/>
    <x v="93"/>
    <s v="eth1/10"/>
    <x v="0"/>
    <x v="0"/>
    <x v="0"/>
    <s v="LINK_TO_ITHHWD6KV60014DKC01 /CtrlA_IOM0.P0 /Principal"/>
    <x v="0"/>
    <b v="0"/>
    <s v="No está en VPC"/>
    <n v="828"/>
    <s v="INTPG_ACC_828_1.10"/>
    <s v="ISEL-1.10"/>
    <n v="1"/>
    <s v="NO TIENE L3OUT"/>
    <n v="192"/>
    <n v="54"/>
  </r>
  <r>
    <n v="870"/>
    <x v="2"/>
    <x v="94"/>
    <s v="eth1/10"/>
    <x v="0"/>
    <x v="0"/>
    <x v="0"/>
    <s v="TO_ITHFHWCRMDLCN56_Redundante"/>
    <x v="0"/>
    <b v="0"/>
    <s v="No está en VPC"/>
    <n v="870"/>
    <s v="INTPG_ACC_870_1.10"/>
    <s v="ISEL-1.10"/>
    <n v="2"/>
    <s v="NO TIENE L3OUT"/>
    <n v="248"/>
    <n v="54"/>
  </r>
  <r>
    <n v="866"/>
    <x v="2"/>
    <x v="95"/>
    <s v="eth1/10"/>
    <x v="0"/>
    <x v="0"/>
    <x v="0"/>
    <s v="To_VPC_2DCBSD_HD19_3"/>
    <x v="0"/>
    <b v="0"/>
    <s v="No está en VPC"/>
    <n v="866"/>
    <s v="INTPG_VPC_861_1.10_866_1.10"/>
    <s v="ISEL-1.10"/>
    <n v="1"/>
    <s v="NO TIENE L3OUT"/>
    <n v="8"/>
    <n v="54"/>
  </r>
  <r>
    <n v="862"/>
    <x v="2"/>
    <x v="96"/>
    <s v="eth1/10"/>
    <x v="0"/>
    <x v="0"/>
    <x v="0"/>
    <s v="TO-ITHFSUEXG2XCN01_PCI8.P1"/>
    <x v="0"/>
    <b v="0"/>
    <s v="No está en VPC"/>
    <n v="862"/>
    <s v="INTPG_ACC_862_1.10"/>
    <s v="ISEL-1.10"/>
    <n v="2"/>
    <s v="NO TIENE L3OUT"/>
    <n v="44"/>
    <n v="54"/>
  </r>
  <r>
    <n v="855"/>
    <x v="2"/>
    <x v="97"/>
    <s v="eth1/10"/>
    <x v="0"/>
    <x v="0"/>
    <x v="0"/>
    <s v="LINK_TO_ITHFHWCRMPLCN157 / Slot1.3_16 / Principal"/>
    <x v="0"/>
    <b v="0"/>
    <s v="No está en VPC"/>
    <n v="855"/>
    <s v="INTPG_ACC_855_1.10"/>
    <s v="ISEL-1.10"/>
    <n v="1"/>
    <s v="NO TIENE L3OUT"/>
    <n v="254"/>
    <n v="54"/>
  </r>
  <r>
    <n v="871"/>
    <x v="2"/>
    <x v="98"/>
    <s v="eth1/10"/>
    <x v="0"/>
    <x v="0"/>
    <x v="0"/>
    <s v="TO_ITHFHWCRMDLCN84_Principal"/>
    <x v="0"/>
    <b v="0"/>
    <s v="No está en VPC"/>
    <n v="871"/>
    <s v="INTPG_ACC_871_1.10"/>
    <s v="ISEL-1.10"/>
    <n v="6"/>
    <s v="NO TIENE L3OUT"/>
    <n v="246"/>
    <n v="54"/>
  </r>
  <r>
    <n v="841"/>
    <x v="2"/>
    <x v="99"/>
    <s v="eth1/10"/>
    <x v="0"/>
    <x v="0"/>
    <x v="0"/>
    <s v="LINK_TO_ITHFHWCBSPSUSBD37 / Slot7.3_10 / Redundante"/>
    <x v="0"/>
    <b v="0"/>
    <s v="No está en VPC"/>
    <n v="841"/>
    <s v="INTPG_VPC_836_1.10_841_1.10"/>
    <s v="ISEL-1.10"/>
    <n v="1"/>
    <s v="NO TIENE L3OUT"/>
    <n v="0"/>
    <n v="54"/>
  </r>
  <r>
    <n v="868"/>
    <x v="2"/>
    <x v="100"/>
    <s v="eth1/10"/>
    <x v="0"/>
    <x v="0"/>
    <x v="0"/>
    <s v="TO_ITHFHWCRMDLCN84_Redundante"/>
    <x v="0"/>
    <b v="0"/>
    <s v="No está en VPC"/>
    <n v="868"/>
    <s v="INTPG_ACC_868_1.10"/>
    <s v="ISEL-1.10"/>
    <n v="6"/>
    <s v="NO TIENE L3OUT"/>
    <n v="246"/>
    <n v="54"/>
  </r>
  <r>
    <n v="869"/>
    <x v="2"/>
    <x v="101"/>
    <s v="eth1/10"/>
    <x v="0"/>
    <x v="0"/>
    <x v="0"/>
    <s v="To_ITHFHWCRMDLCN72_Redundante"/>
    <x v="0"/>
    <b v="0"/>
    <s v="No está en VPC"/>
    <n v="869"/>
    <s v="INTPG_ACC_869_1.10"/>
    <s v="ISEL-1.10"/>
    <n v="2"/>
    <s v="NO TIENE L3OUT"/>
    <n v="288"/>
    <n v="54"/>
  </r>
  <r>
    <n v="861"/>
    <x v="2"/>
    <x v="102"/>
    <s v="eth1/10"/>
    <x v="0"/>
    <x v="0"/>
    <x v="0"/>
    <s v="To_VPC_2DCBSD_HD19_3"/>
    <x v="0"/>
    <b v="0"/>
    <s v="No está en VPC"/>
    <n v="861"/>
    <s v="INTPG_VPC_861_1.10_866_1.10"/>
    <s v="ISEL-1.10"/>
    <n v="1"/>
    <s v="NO TIENE L3OUT"/>
    <n v="8"/>
    <n v="54"/>
  </r>
  <r>
    <n v="874"/>
    <x v="2"/>
    <x v="103"/>
    <s v="eth1/10"/>
    <x v="0"/>
    <x v="0"/>
    <x v="0"/>
    <s v="LINK_TO_ITHFHWSEQLCAS33 (GMR 1) / Slot 5 PTO 1 / Redundante"/>
    <x v="4"/>
    <b v="0"/>
    <s v="No está en VPC"/>
    <n v="874"/>
    <s v="INTPG_ACC_874_1.10"/>
    <s v="ISEL-1.10"/>
    <n v="1"/>
    <s v="NO TIENE L3OUT"/>
    <n v="92"/>
    <n v="54"/>
  </r>
  <r>
    <n v="865"/>
    <x v="2"/>
    <x v="104"/>
    <s v="eth1/10"/>
    <x v="0"/>
    <x v="0"/>
    <x v="0"/>
    <s v="To_VPC_2DCBSD_HD26_1"/>
    <x v="0"/>
    <b v="0"/>
    <s v="No está en VPC"/>
    <n v="865"/>
    <s v="INTPG_VPC_860_1.10_865_1.10"/>
    <s v="ISEL-1.10"/>
    <n v="2"/>
    <s v="NO TIENE L3OUT"/>
    <n v="0"/>
    <n v="54"/>
  </r>
  <r>
    <n v="753"/>
    <x v="2"/>
    <x v="105"/>
    <s v="eth1/10"/>
    <x v="0"/>
    <x v="1"/>
    <x v="1"/>
    <s v="OSS F1:ithenmr03bl04ombsr9c:PORT 2"/>
    <x v="0"/>
    <b v="0"/>
    <s v="No está en VPC"/>
    <n v="753"/>
    <s v="INTPG_PC_753_1.9-12"/>
    <s v="ISEL-1.10"/>
    <n v="2"/>
    <s v="NO TIENE L3OUT"/>
    <n v="62"/>
    <n v="54"/>
  </r>
  <r>
    <n v="708"/>
    <x v="2"/>
    <x v="106"/>
    <s v="eth1/10"/>
    <x v="0"/>
    <x v="1"/>
    <x v="5"/>
    <s v="CEM:ITHCEME2DAT05:LOM  P2"/>
    <x v="0"/>
    <b v="0"/>
    <s v="No está en VPC"/>
    <n v="708"/>
    <s v="INTPG_VPC_708_1.10_709_1.9"/>
    <s v="ISEL-1.10"/>
    <n v="1"/>
    <s v="NO TIENE L3OUT"/>
    <n v="0"/>
    <n v="54"/>
  </r>
  <r>
    <n v="710"/>
    <x v="2"/>
    <x v="107"/>
    <s v="eth1/10"/>
    <x v="0"/>
    <x v="0"/>
    <x v="0"/>
    <s v="CEM:ITHCEMC2DAT05:LOM  P2"/>
    <x v="0"/>
    <b v="0"/>
    <s v="No está en VPC"/>
    <n v="710"/>
    <s v="INTPG_ACC_710_1.10"/>
    <s v="ISEL-1.10"/>
    <n v="1"/>
    <s v="NO TIENE L3OUT"/>
    <n v="16"/>
    <n v="54"/>
  </r>
  <r>
    <n v="713"/>
    <x v="2"/>
    <x v="108"/>
    <s v="eth1/10"/>
    <x v="0"/>
    <x v="0"/>
    <x v="0"/>
    <s v="CEM:ITHCEMB2DAT05:LOM  P2"/>
    <x v="0"/>
    <b v="0"/>
    <s v="No está en VPC"/>
    <n v="713"/>
    <s v="INTPG_ACC_713_1.10"/>
    <s v="ISEL-1.10"/>
    <n v="1"/>
    <s v="NO TIENE L3OUT"/>
    <n v="32"/>
    <n v="54"/>
  </r>
  <r>
    <n v="735"/>
    <x v="2"/>
    <x v="109"/>
    <s v="eth1/10"/>
    <x v="0"/>
    <x v="1"/>
    <x v="1"/>
    <s v="CEM_HADOOP"/>
    <x v="5"/>
    <b v="0"/>
    <s v="No está en VPC"/>
    <n v="735"/>
    <s v="INTPG_ACC_735_1.10"/>
    <s v="ISEL-1.10"/>
    <n v="1"/>
    <s v="NO TIENE L3OUT"/>
    <n v="34"/>
    <n v="54"/>
  </r>
  <r>
    <n v="731"/>
    <x v="2"/>
    <x v="110"/>
    <s v="eth1/10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10"/>
    <x v="0"/>
    <x v="0"/>
    <x v="0"/>
    <m/>
    <x v="0"/>
    <b v="0"/>
    <s v="No está en VPC"/>
    <n v="703"/>
    <s v="INTPG_VPC_704_1.9_703_1.10"/>
    <s v="ISEL-1.10"/>
    <n v="1"/>
    <s v="NO TIENE L3OUT"/>
    <n v="2"/>
    <n v="54"/>
  </r>
  <r>
    <n v="706"/>
    <x v="2"/>
    <x v="112"/>
    <s v="eth1/10"/>
    <x v="0"/>
    <x v="0"/>
    <x v="0"/>
    <m/>
    <x v="0"/>
    <b v="0"/>
    <s v="No está en VPC"/>
    <n v="706"/>
    <s v="INTPG_VPC_705_1.9_706_1.10"/>
    <s v="ISEL-1.10"/>
    <n v="2"/>
    <s v="NO TIENE L3OUT"/>
    <n v="16"/>
    <n v="54"/>
  </r>
  <r>
    <n v="762"/>
    <x v="2"/>
    <x v="113"/>
    <s v="eth1/10"/>
    <x v="0"/>
    <x v="0"/>
    <x v="0"/>
    <s v="PAAS:ithhwoscopap010:FlexIO.1"/>
    <x v="0"/>
    <b v="0"/>
    <s v="No está en VPC"/>
    <n v="762"/>
    <s v="INTPG_VPC_762_1.10_763_1.10"/>
    <s v="ISEL-1.10"/>
    <n v="15"/>
    <s v="NO TIENE L3OUT"/>
    <n v="0"/>
    <n v="54"/>
  </r>
  <r>
    <n v="814"/>
    <x v="2"/>
    <x v="114"/>
    <s v="eth1/10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10"/>
    <x v="0"/>
    <x v="0"/>
    <x v="0"/>
    <s v="HACIA_MGMT-OSCP-F4-10_PRINCIPAL"/>
    <x v="4"/>
    <b v="0"/>
    <s v="No está en VPC"/>
    <n v="878"/>
    <s v="INTPG_VPC_878_1.10_879_1.10"/>
    <s v="ISEL-1.10"/>
    <n v="1"/>
    <s v="NO TIENE L3OUT"/>
    <n v="0"/>
    <n v="54"/>
  </r>
  <r>
    <n v="826"/>
    <x v="2"/>
    <x v="116"/>
    <s v="eth1/10"/>
    <x v="0"/>
    <x v="0"/>
    <x v="0"/>
    <s v="LINK_TO_ITHFHWCBSDSUSBD07 /Slot5.2 /Principal"/>
    <x v="0"/>
    <b v="0"/>
    <s v="No está en VPC"/>
    <n v="826"/>
    <s v="INTPG_VPC_826_1.10_830_1.10"/>
    <s v="ISEL-1.10"/>
    <n v="2"/>
    <s v="NO TIENE L3OUT"/>
    <n v="12"/>
    <n v="54"/>
  </r>
  <r>
    <n v="726"/>
    <x v="2"/>
    <x v="117"/>
    <s v="eth1/10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10"/>
    <x v="0"/>
    <x v="0"/>
    <x v="0"/>
    <s v="CEM:ITHCEMD2DAT05:FLEXIO P1"/>
    <x v="5"/>
    <b v="0"/>
    <s v="No está en VPC"/>
    <n v="740"/>
    <s v="INTPG_ACC_740_1.10"/>
    <s v="ISEL-1.10"/>
    <n v="1"/>
    <s v="NO TIENE L3OUT"/>
    <n v="72"/>
    <n v="54"/>
  </r>
  <r>
    <n v="705"/>
    <x v="2"/>
    <x v="119"/>
    <s v="eth1/10"/>
    <x v="0"/>
    <x v="0"/>
    <x v="0"/>
    <s v="ITHCEMA1DAT05-LOM-P2"/>
    <x v="0"/>
    <b v="0"/>
    <s v="No está en VPC"/>
    <n v="705"/>
    <s v="INTPG_ACC_705_1.10"/>
    <s v="ISEL-1.10"/>
    <n v="1"/>
    <s v="NO TIENE L3OUT"/>
    <n v="16"/>
    <n v="54"/>
  </r>
  <r>
    <n v="723"/>
    <x v="2"/>
    <x v="120"/>
    <s v="eth1/10"/>
    <x v="0"/>
    <x v="1"/>
    <x v="1"/>
    <m/>
    <x v="0"/>
    <b v="0"/>
    <s v="No está en VPC"/>
    <n v="723"/>
    <s v="INTPG-VPC_HDD129_722_1.9_723_1.10"/>
    <s v="ISEL-1.10"/>
    <n v="1"/>
    <s v="NO TIENE L3OUT"/>
    <n v="0"/>
    <n v="54"/>
  </r>
  <r>
    <n v="721"/>
    <x v="2"/>
    <x v="121"/>
    <s v="eth1/10"/>
    <x v="0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10"/>
    <x v="0"/>
    <x v="0"/>
    <x v="0"/>
    <s v="TO-ITHFHPMEDIRAP05-Principal"/>
    <x v="0"/>
    <b v="0"/>
    <s v="No está en VPC"/>
    <n v="788"/>
    <s v="INTPG_ACC_788_1.10"/>
    <s v="ISEL-1.10"/>
    <n v="1"/>
    <s v="NO TIENE L3OUT"/>
    <n v="4"/>
    <n v="54"/>
  </r>
  <r>
    <n v="732"/>
    <x v="2"/>
    <x v="123"/>
    <s v="eth1/10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10"/>
    <x v="0"/>
    <x v="0"/>
    <x v="0"/>
    <m/>
    <x v="0"/>
    <b v="0"/>
    <s v="No está en VPC"/>
    <n v="720"/>
    <s v="INTPG-VPC_HDD03_719_1.9_720_1.10"/>
    <s v="ISEL-1.10"/>
    <n v="1"/>
    <s v="NO TIENE L3OUT"/>
    <n v="0"/>
    <n v="54"/>
  </r>
  <r>
    <n v="709"/>
    <x v="2"/>
    <x v="125"/>
    <s v="eth1/10"/>
    <x v="0"/>
    <x v="1"/>
    <x v="5"/>
    <s v="CEM:ITHCEMF2DAT05:LOM  P2"/>
    <x v="0"/>
    <b v="0"/>
    <s v="No está en VPC"/>
    <n v="709"/>
    <s v="INTPG_VPC_708_1.9_709_1.10"/>
    <s v="ISEL-1.10"/>
    <n v="1"/>
    <s v="NO TIENE L3OUT"/>
    <n v="0"/>
    <n v="54"/>
  </r>
  <r>
    <n v="454"/>
    <x v="1"/>
    <x v="126"/>
    <s v="eth1/10"/>
    <x v="0"/>
    <x v="0"/>
    <x v="0"/>
    <s v="HACIA_MGMT-OSCP-F4-06_PRINCIPAL"/>
    <x v="4"/>
    <b v="0"/>
    <s v="No está en VPC"/>
    <n v="454"/>
    <s v="INTPG_VPC_454_1.10_456_1.10"/>
    <s v="ISEL-1.10"/>
    <n v="1"/>
    <s v="NO TIENE L3OUT"/>
    <n v="4"/>
    <n v="54"/>
  </r>
  <r>
    <n v="734"/>
    <x v="2"/>
    <x v="127"/>
    <s v="eth1/10"/>
    <x v="0"/>
    <x v="1"/>
    <x v="1"/>
    <s v="CEM:ITHCEMA1DAT05:FLEXIO P1"/>
    <x v="5"/>
    <b v="0"/>
    <s v="No está en VPC"/>
    <n v="734"/>
    <s v="INTPG_ACC_734_1.10"/>
    <s v="ISEL-1.10"/>
    <n v="1"/>
    <s v="NO TIENE L3OUT"/>
    <n v="32"/>
    <n v="54"/>
  </r>
  <r>
    <n v="815"/>
    <x v="2"/>
    <x v="128"/>
    <s v="eth1/10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10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10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10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10"/>
    <x v="0"/>
    <x v="1"/>
    <x v="1"/>
    <s v="CEM:ITHCEMA2DAT05:FLEXIO P1"/>
    <x v="5"/>
    <b v="0"/>
    <s v="No está en VPC"/>
    <n v="741"/>
    <s v="INTPG_ACC_741_1.10"/>
    <s v="ISEL-1.10"/>
    <n v="1"/>
    <s v="NO TIENE L3OUT"/>
    <n v="62"/>
    <n v="54"/>
  </r>
  <r>
    <n v="787"/>
    <x v="2"/>
    <x v="133"/>
    <s v="eth1/10"/>
    <x v="0"/>
    <x v="0"/>
    <x v="0"/>
    <s v="ENIQ F2:itheniqr16bl03ombsr4a:Slot 2/1"/>
    <x v="0"/>
    <b v="0"/>
    <s v="No está en VPC"/>
    <n v="787"/>
    <s v="INTPG_PC_787_1.7-10"/>
    <s v="ISEL-1.10"/>
    <n v="2"/>
    <s v="NO TIENE L3OUT"/>
    <n v="26"/>
    <n v="54"/>
  </r>
  <r>
    <n v="750"/>
    <x v="2"/>
    <x v="134"/>
    <s v="eth1/10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10"/>
    <x v="0"/>
    <x v="0"/>
    <x v="0"/>
    <s v="CRM, CBS:PR-R10-F07:E4-10GE 2"/>
    <x v="0"/>
    <b v="0"/>
    <s v="No está en VPC"/>
    <n v="792"/>
    <s v="INTPG_VPC_757_1.7_10_792_1.7_10"/>
    <s v="ISEL-1.10"/>
    <n v="13"/>
    <s v="NO TIENE L3OUT"/>
    <n v="0"/>
    <n v="54"/>
  </r>
  <r>
    <n v="736"/>
    <x v="2"/>
    <x v="136"/>
    <s v="eth1/10"/>
    <x v="0"/>
    <x v="1"/>
    <x v="3"/>
    <s v="CEM:ITHCEMG2DAT05:SLOT1 P1"/>
    <x v="0"/>
    <b v="0"/>
    <s v="No está en VPC"/>
    <n v="736"/>
    <s v="INTPG_ACC_736_1.10"/>
    <s v="ISEL-1.10"/>
    <n v="0"/>
    <s v="NO TIENE L3OUT"/>
    <n v="48"/>
    <n v="54"/>
  </r>
  <r>
    <n v="799"/>
    <x v="2"/>
    <x v="137"/>
    <s v="eth1/10"/>
    <x v="0"/>
    <x v="0"/>
    <x v="0"/>
    <s v="TO-IMC_PS24-MSP"/>
    <x v="0"/>
    <b v="0"/>
    <s v="No está en VPC"/>
    <n v="799"/>
    <s v="INTPG_ACC_799_1.10"/>
    <s v="ISEL-1.10"/>
    <n v="1"/>
    <s v="NO TIENE L3OUT"/>
    <n v="52"/>
    <n v="54"/>
  </r>
  <r>
    <n v="768"/>
    <x v="2"/>
    <x v="138"/>
    <s v="eth1/10"/>
    <x v="0"/>
    <x v="0"/>
    <x v="0"/>
    <s v="Portchannel_1_R3"/>
    <x v="0"/>
    <b v="0"/>
    <s v="No está en VPC"/>
    <n v="768"/>
    <s v="INTPG_PC_768_1.7-10"/>
    <s v="ISEL-1.10"/>
    <n v="2"/>
    <s v="NO TIENE L3OUT"/>
    <n v="62"/>
    <n v="54"/>
  </r>
  <r>
    <n v="714"/>
    <x v="2"/>
    <x v="139"/>
    <s v="eth1/10"/>
    <x v="0"/>
    <x v="0"/>
    <x v="0"/>
    <s v="TO-ITHFHWVRALCN06"/>
    <x v="0"/>
    <b v="0"/>
    <s v="No está en VPC"/>
    <n v="714"/>
    <s v="INTPG_VPC_714_1.10_721_1.9"/>
    <s v="ISEL-1.10"/>
    <n v="108"/>
    <s v="NO TIENE L3OUT"/>
    <n v="20"/>
    <n v="54"/>
  </r>
  <r>
    <n v="717"/>
    <x v="2"/>
    <x v="140"/>
    <s v="eth1/10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10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10"/>
    <x v="0"/>
    <x v="0"/>
    <x v="0"/>
    <s v="Portchannel_1_R1"/>
    <x v="0"/>
    <b v="0"/>
    <s v="No está en VPC"/>
    <n v="764"/>
    <s v="INTPG_PC_764_1.7-10"/>
    <s v="ISEL-1.10"/>
    <n v="2"/>
    <s v="NO TIENE L3OUT"/>
    <n v="62"/>
    <n v="54"/>
  </r>
  <r>
    <n v="783"/>
    <x v="2"/>
    <x v="143"/>
    <s v="eth1/10"/>
    <x v="0"/>
    <x v="0"/>
    <x v="0"/>
    <s v="LACP_OMBS_ENIQ9A"/>
    <x v="0"/>
    <b v="0"/>
    <s v="No está en VPC"/>
    <n v="783"/>
    <s v="INTPG_PC_783_1.7-10"/>
    <s v="ISEL-1.10"/>
    <n v="2"/>
    <s v="NO TIENE L3OUT"/>
    <n v="26"/>
    <n v="54"/>
  </r>
  <r>
    <n v="774"/>
    <x v="2"/>
    <x v="144"/>
    <s v="eth1/10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10"/>
    <x v="0"/>
    <x v="0"/>
    <x v="0"/>
    <s v="Portchannel_4_R2"/>
    <x v="0"/>
    <b v="0"/>
    <s v="No está en VPC"/>
    <n v="773"/>
    <s v="INTPG_PC_773_1.9-10"/>
    <s v="ISEL-1.10"/>
    <n v="8"/>
    <s v="NO TIENE L3OUT"/>
    <n v="78"/>
    <n v="54"/>
  </r>
  <r>
    <n v="794"/>
    <x v="2"/>
    <x v="146"/>
    <s v="eth1/10"/>
    <x v="0"/>
    <x v="0"/>
    <x v="0"/>
    <s v="TO-ITHSTOBKPDDC2-PRINCIPAL_DATA DOMAIN"/>
    <x v="0"/>
    <b v="0"/>
    <s v="No está en VPC"/>
    <n v="794"/>
    <s v="INTPG_ACC_794_1.10"/>
    <s v="ISEL-1.10"/>
    <n v="1"/>
    <s v="NO TIENE L3OUT"/>
    <n v="12"/>
    <n v="54"/>
  </r>
  <r>
    <n v="803"/>
    <x v="2"/>
    <x v="147"/>
    <s v="eth1/10"/>
    <x v="0"/>
    <x v="0"/>
    <x v="0"/>
    <s v="TO-HDPS_36-MSP"/>
    <x v="0"/>
    <b v="0"/>
    <s v="No está en VPC"/>
    <n v="803"/>
    <s v="INTPG_ACC_803_1.10"/>
    <s v="ISEL-1.10"/>
    <n v="1"/>
    <s v="NO TIENE L3OUT"/>
    <n v="48"/>
    <n v="54"/>
  </r>
  <r>
    <n v="786"/>
    <x v="2"/>
    <x v="148"/>
    <s v="eth1/10"/>
    <x v="0"/>
    <x v="0"/>
    <x v="0"/>
    <s v="ENIQ F2:itheniqr14bl03ombsr4b:Slot 2/1"/>
    <x v="0"/>
    <b v="0"/>
    <s v="No está en VPC"/>
    <n v="786"/>
    <s v="INTPG_PC_786_1.7-10"/>
    <s v="ISEL-1.10"/>
    <n v="2"/>
    <s v="NO TIENE L3OUT"/>
    <n v="26"/>
    <n v="54"/>
  </r>
  <r>
    <n v="757"/>
    <x v="2"/>
    <x v="149"/>
    <s v="eth1/10"/>
    <x v="0"/>
    <x v="0"/>
    <x v="0"/>
    <s v="CRM, CBS:ITHHWBESRK10CH1:E4-10GE 1"/>
    <x v="0"/>
    <b v="0"/>
    <s v="No está en VPC"/>
    <n v="757"/>
    <s v="INTPG_VPC_757_1.7_10_792_1.7_10"/>
    <s v="ISEL-1.10"/>
    <n v="13"/>
    <s v="NO TIENE L3OUT"/>
    <n v="0"/>
    <n v="54"/>
  </r>
  <r>
    <n v="781"/>
    <x v="2"/>
    <x v="150"/>
    <s v="eth1/10"/>
    <x v="0"/>
    <x v="0"/>
    <x v="0"/>
    <s v="LACP_OMBS_ENIQ9C"/>
    <x v="0"/>
    <b v="0"/>
    <s v="No está en VPC"/>
    <n v="781"/>
    <s v="INTPG_PC_781_1.7-10"/>
    <s v="ISEL-1.10"/>
    <n v="2"/>
    <s v="NO TIENE L3OUT"/>
    <n v="26"/>
    <n v="54"/>
  </r>
  <r>
    <n v="793"/>
    <x v="2"/>
    <x v="151"/>
    <s v="eth1/10"/>
    <x v="0"/>
    <x v="0"/>
    <x v="0"/>
    <s v="TO-ITHSTOBKPDDC2-REDUNDANTE_DATA DOMAIN"/>
    <x v="0"/>
    <b v="0"/>
    <s v="No está en VPC"/>
    <n v="793"/>
    <s v="INTPG_ACC_793_1.10"/>
    <s v="ISEL-1.10"/>
    <n v="1"/>
    <s v="NO TIENE L3OUT"/>
    <n v="12"/>
    <n v="54"/>
  </r>
  <r>
    <n v="747"/>
    <x v="2"/>
    <x v="152"/>
    <s v="eth1/10"/>
    <x v="0"/>
    <x v="0"/>
    <x v="0"/>
    <s v="PAAS:ithhwoscopap010:LOM PORT 1"/>
    <x v="0"/>
    <b v="0"/>
    <s v="No está en VPC"/>
    <n v="747"/>
    <s v="INTPG_VPC_747_1.10_752_1.10"/>
    <s v="ISEL-1.10"/>
    <n v="25"/>
    <s v="NO TIENE L3OUT"/>
    <n v="0"/>
    <n v="54"/>
  </r>
  <r>
    <n v="784"/>
    <x v="2"/>
    <x v="153"/>
    <s v="eth1/10"/>
    <x v="0"/>
    <x v="1"/>
    <x v="1"/>
    <s v="ENIQ F2:itheniqr12bl03ombsr6b:Slot 2/1"/>
    <x v="0"/>
    <b v="0"/>
    <s v="No está en VPC"/>
    <n v="784"/>
    <s v="INTPG_PC_784_1.7-10"/>
    <s v="ISEL-1.10"/>
    <n v="2"/>
    <s v="NO TIENE L3OUT"/>
    <n v="26"/>
    <n v="54"/>
  </r>
  <r>
    <n v="806"/>
    <x v="2"/>
    <x v="154"/>
    <s v="eth1/10"/>
    <x v="0"/>
    <x v="0"/>
    <x v="0"/>
    <s v="TO-HDPS_60-MSP"/>
    <x v="0"/>
    <b v="0"/>
    <s v="No está en VPC"/>
    <n v="806"/>
    <s v="INTPG_ACC_806_1.10"/>
    <s v="ISEL-1.10"/>
    <n v="1"/>
    <s v="NO TIENE L3OUT"/>
    <n v="44"/>
    <n v="54"/>
  </r>
  <r>
    <n v="777"/>
    <x v="2"/>
    <x v="155"/>
    <s v="eth1/10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10"/>
    <x v="0"/>
    <x v="0"/>
    <x v="0"/>
    <s v="Portchannel_7_R4B"/>
    <x v="0"/>
    <b v="0"/>
    <s v="No está en VPC"/>
    <n v="770"/>
    <s v="INTPG_PC_770_1.9-12"/>
    <s v="ISEL-1.10"/>
    <n v="1"/>
    <s v="NO TIENE L3OUT"/>
    <n v="60"/>
    <n v="54"/>
  </r>
  <r>
    <n v="813"/>
    <x v="2"/>
    <x v="157"/>
    <s v="eth1/10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10"/>
    <x v="0"/>
    <x v="1"/>
    <x v="1"/>
    <s v="CEM:ITHCEMC2DAT05:FLEXIO P1"/>
    <x v="5"/>
    <b v="0"/>
    <s v="No está en VPC"/>
    <n v="739"/>
    <s v="INTPG_ACC_739_1.10"/>
    <s v="ISEL-1.10"/>
    <n v="1"/>
    <s v="NO TIENE L3OUT"/>
    <n v="72"/>
    <n v="54"/>
  </r>
  <r>
    <n v="775"/>
    <x v="2"/>
    <x v="159"/>
    <s v="eth1/10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10"/>
    <x v="0"/>
    <x v="0"/>
    <x v="0"/>
    <s v="LINK_TO_VPCB_NAS_ITHEMCPS5200TWPT3 / Nodo B INT 0.3 / Redundante"/>
    <x v="0"/>
    <b v="0"/>
    <s v="No está en VPC"/>
    <n v="791"/>
    <s v="INTPG_VPC_790_1.10_791_1.10"/>
    <s v="ISEL-1.10"/>
    <n v="3"/>
    <s v="NO TIENE L3OUT"/>
    <n v="20"/>
    <n v="54"/>
  </r>
  <r>
    <n v="808"/>
    <x v="2"/>
    <x v="161"/>
    <s v="eth1/10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10"/>
    <x v="0"/>
    <x v="0"/>
    <x v="0"/>
    <s v="LINK_TO_ITHFHWCBSDSUSBD07 /Slot7.2 /Redundante"/>
    <x v="0"/>
    <b v="0"/>
    <s v="No está en VPC"/>
    <n v="830"/>
    <s v="INTPG_VPC_826_1.10_830_1.10"/>
    <s v="ISEL-1.10"/>
    <n v="2"/>
    <s v="NO TIENE L3OUT"/>
    <n v="12"/>
    <n v="54"/>
  </r>
  <r>
    <n v="821"/>
    <x v="2"/>
    <x v="163"/>
    <s v="eth1/10"/>
    <x v="0"/>
    <x v="0"/>
    <x v="0"/>
    <s v="LINK_TO_ITHFHWCBSPSUSBD13 /Slot7.2 /Redundante"/>
    <x v="0"/>
    <b v="0"/>
    <s v="No está en VPC"/>
    <n v="821"/>
    <s v="INTPG_VPC_816_1.10_821_1.10"/>
    <s v="ISEL-1.10"/>
    <n v="2"/>
    <s v="NO TIENE L3OUT"/>
    <n v="0"/>
    <n v="54"/>
  </r>
  <r>
    <n v="738"/>
    <x v="2"/>
    <x v="164"/>
    <s v="eth1/10"/>
    <x v="0"/>
    <x v="0"/>
    <x v="0"/>
    <s v="CEM:ITHCEMF2DAT05:FLEXIO P1"/>
    <x v="5"/>
    <b v="0"/>
    <s v="No está en VPC"/>
    <n v="738"/>
    <s v="INTPG_ACC_738_1.10"/>
    <s v="ISEL-1.10"/>
    <n v="1"/>
    <s v="NO TIENE L3OUT"/>
    <n v="72"/>
    <n v="54"/>
  </r>
  <r>
    <n v="820"/>
    <x v="2"/>
    <x v="165"/>
    <s v="eth1/10"/>
    <x v="0"/>
    <x v="0"/>
    <x v="0"/>
    <s v="LINK_TO_ITHHWCRMPEN02 /X3-10GE 4 /Redundante"/>
    <x v="0"/>
    <b v="0"/>
    <s v="No está en VPC"/>
    <n v="820"/>
    <s v="INTPG_VPC_820_1.7-8_10-11_825_1.7-8_10-11"/>
    <s v="ISEL-1.10"/>
    <n v="1"/>
    <s v="NO TIENE L3OUT"/>
    <n v="72"/>
    <n v="54"/>
  </r>
  <r>
    <n v="804"/>
    <x v="2"/>
    <x v="166"/>
    <s v="eth1/10"/>
    <x v="0"/>
    <x v="0"/>
    <x v="0"/>
    <s v="TO-HDPS_36-MSP"/>
    <x v="0"/>
    <b v="0"/>
    <s v="No está en VPC"/>
    <n v="804"/>
    <s v="INTPG_ACC_804_1.10"/>
    <s v="ISEL-1.10"/>
    <n v="1"/>
    <s v="NO TIENE L3OUT"/>
    <n v="48"/>
    <n v="54"/>
  </r>
  <r>
    <n v="779"/>
    <x v="2"/>
    <x v="167"/>
    <s v="eth1/10"/>
    <x v="0"/>
    <x v="0"/>
    <x v="0"/>
    <s v="ENIQ F1:itheniqr08ombsr3:Slot 2/1"/>
    <x v="0"/>
    <b v="0"/>
    <s v="No está en VPC"/>
    <n v="779"/>
    <s v="INTPG_PC_779_1.7-10"/>
    <s v="ISEL-1.10"/>
    <n v="2"/>
    <s v="NO TIENE L3OUT"/>
    <n v="30"/>
    <n v="54"/>
  </r>
  <r>
    <n v="767"/>
    <x v="2"/>
    <x v="168"/>
    <s v="eth1/10"/>
    <x v="0"/>
    <x v="0"/>
    <x v="0"/>
    <s v="Portchannel_2_R6B"/>
    <x v="0"/>
    <b v="0"/>
    <s v="No está en VPC"/>
    <n v="767"/>
    <s v="INTPG_PC_767_1.9-10"/>
    <s v="ISEL-1.10"/>
    <n v="8"/>
    <s v="NO TIENE L3OUT"/>
    <n v="60"/>
    <n v="54"/>
  </r>
  <r>
    <n v="827"/>
    <x v="2"/>
    <x v="169"/>
    <s v="eth1/10"/>
    <x v="0"/>
    <x v="0"/>
    <x v="0"/>
    <s v="LINK_TO_ITHFHWCBSDSUSBD08 /Slot4.2 /Principal"/>
    <x v="0"/>
    <b v="0"/>
    <s v="No está en VPC"/>
    <n v="827"/>
    <s v="INTPG_VPC_827_1.10_831_1.10"/>
    <s v="ISEL-1.10"/>
    <n v="1"/>
    <s v="NO TIENE L3OUT"/>
    <n v="14"/>
    <n v="54"/>
  </r>
  <r>
    <n v="809"/>
    <x v="2"/>
    <x v="170"/>
    <s v="eth1/10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10"/>
    <x v="0"/>
    <x v="0"/>
    <x v="0"/>
    <s v="Portchannel_1_R4B"/>
    <x v="0"/>
    <b v="0"/>
    <s v="No está en VPC"/>
    <n v="771"/>
    <s v="INTPG_PC_771_1.7-10"/>
    <s v="ISEL-1.10"/>
    <n v="2"/>
    <s v="NO TIENE L3OUT"/>
    <n v="62"/>
    <n v="54"/>
  </r>
  <r>
    <n v="761"/>
    <x v="2"/>
    <x v="172"/>
    <s v="eth1/10"/>
    <x v="0"/>
    <x v="1"/>
    <x v="1"/>
    <m/>
    <x v="0"/>
    <b v="0"/>
    <s v="No está en VPC"/>
    <n v="761"/>
    <s v="INTPG_VPC_760_1.9-12_761_1.9-12"/>
    <s v="ISEL-1.10"/>
    <n v="0"/>
    <s v="L3OUT-EXACLOUD"/>
    <n v="0"/>
    <n v="54"/>
  </r>
  <r>
    <n v="776"/>
    <x v="2"/>
    <x v="173"/>
    <s v="eth1/10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10"/>
    <x v="0"/>
    <x v="0"/>
    <x v="0"/>
    <s v="TO-HDPS_60-MSP"/>
    <x v="0"/>
    <b v="0"/>
    <s v="No está en VPC"/>
    <n v="805"/>
    <s v="INTPG_ACC_805_1.10"/>
    <s v="ISEL-1.10"/>
    <n v="1"/>
    <s v="NO TIENE L3OUT"/>
    <n v="44"/>
    <n v="54"/>
  </r>
  <r>
    <n v="772"/>
    <x v="2"/>
    <x v="175"/>
    <s v="eth1/10"/>
    <x v="0"/>
    <x v="0"/>
    <x v="0"/>
    <s v="Portchannel_1_R2"/>
    <x v="0"/>
    <b v="0"/>
    <s v="No está en VPC"/>
    <n v="772"/>
    <s v="INTPG_PC_772_1.7-10"/>
    <s v="ISEL-1.10"/>
    <n v="2"/>
    <s v="NO TIENE L3OUT"/>
    <n v="82"/>
    <n v="54"/>
  </r>
  <r>
    <n v="785"/>
    <x v="2"/>
    <x v="176"/>
    <s v="eth1/10"/>
    <x v="0"/>
    <x v="0"/>
    <x v="0"/>
    <s v="ENIQ F2:itheniqr13bl03ombsr6a:Slot 2/1"/>
    <x v="0"/>
    <b v="0"/>
    <s v="No está en VPC"/>
    <n v="785"/>
    <s v="INTPG_PC_785_1.7-10"/>
    <s v="ISEL-1.10"/>
    <n v="2"/>
    <s v="NO TIENE L3OUT"/>
    <n v="32"/>
    <n v="54"/>
  </r>
  <r>
    <n v="851"/>
    <x v="2"/>
    <x v="177"/>
    <s v="eth1/10"/>
    <x v="0"/>
    <x v="0"/>
    <x v="0"/>
    <s v="LINK_TO_ITHFHWCRMPLCN104 / Slot7.1_12 / Redundante"/>
    <x v="0"/>
    <b v="0"/>
    <s v="No está en VPC"/>
    <n v="851"/>
    <s v="INTPG_ACC_851_1.10"/>
    <s v="ISEL-1.10"/>
    <n v="6"/>
    <s v="NO TIENE L3OUT"/>
    <n v="282"/>
    <n v="54"/>
  </r>
  <r>
    <n v="798"/>
    <x v="2"/>
    <x v="178"/>
    <s v="eth1/10"/>
    <x v="0"/>
    <x v="0"/>
    <x v="0"/>
    <s v="TO-IMC_PS24-MSP"/>
    <x v="0"/>
    <b v="0"/>
    <s v="No está en VPC"/>
    <n v="798"/>
    <s v="INTPG_ACC_798_1.10"/>
    <s v="ISEL-1.10"/>
    <n v="1"/>
    <s v="NO TIENE L3OUT"/>
    <n v="52"/>
    <n v="54"/>
  </r>
  <r>
    <n v="782"/>
    <x v="2"/>
    <x v="179"/>
    <s v="eth1/10"/>
    <x v="0"/>
    <x v="0"/>
    <x v="0"/>
    <s v="LACP_OMBS_ENIQ9B"/>
    <x v="0"/>
    <b v="0"/>
    <s v="No está en VPC"/>
    <n v="782"/>
    <s v="INTPG_PC_782_1.7-10"/>
    <s v="ISEL-1.10"/>
    <n v="2"/>
    <s v="NO TIENE L3OUT"/>
    <n v="32"/>
    <n v="54"/>
  </r>
  <r>
    <n v="852"/>
    <x v="2"/>
    <x v="180"/>
    <s v="eth1/10"/>
    <x v="0"/>
    <x v="0"/>
    <x v="0"/>
    <s v="LINK_TO_ITHFHWCRMPLCN100 / Slot7.2_32 / Redundante"/>
    <x v="0"/>
    <b v="0"/>
    <s v="No está en VPC"/>
    <n v="852"/>
    <s v="INTPG_ACC_852_1.10"/>
    <s v="ISEL-1.10"/>
    <n v="2"/>
    <s v="NO TIENE L3OUT"/>
    <n v="258"/>
    <n v="54"/>
  </r>
  <r>
    <n v="817"/>
    <x v="2"/>
    <x v="181"/>
    <s v="eth1/10"/>
    <x v="0"/>
    <x v="0"/>
    <x v="0"/>
    <s v="LINK_TO_ITHFHWCBSPSUSBD08 /Slot5.2 /Principal"/>
    <x v="0"/>
    <b v="0"/>
    <s v="No está en VPC"/>
    <n v="817"/>
    <s v="INTPG_VPC_817_1.10_822_1.10"/>
    <s v="ISEL-1.10"/>
    <n v="2"/>
    <s v="NO TIENE L3OUT"/>
    <n v="0"/>
    <n v="54"/>
  </r>
  <r>
    <n v="832"/>
    <x v="2"/>
    <x v="182"/>
    <s v="eth1/10"/>
    <x v="0"/>
    <x v="0"/>
    <x v="0"/>
    <s v="LINK_TO_ITHHWD6KV60014DKC01 /CtrlA_IOM0.P1 /Redundante"/>
    <x v="0"/>
    <b v="0"/>
    <s v="No está en VPC"/>
    <n v="832"/>
    <s v="INTPG_ACC_832_1.10"/>
    <s v="ISEL-1.10"/>
    <n v="1"/>
    <s v="NO TIENE L3OUT"/>
    <n v="192"/>
    <n v="54"/>
  </r>
  <r>
    <n v="816"/>
    <x v="2"/>
    <x v="183"/>
    <s v="eth1/10"/>
    <x v="0"/>
    <x v="0"/>
    <x v="0"/>
    <s v="LINK_TO_ITHFHWCBSPSUSBD13 /Slot5.2 /Principal"/>
    <x v="0"/>
    <b v="0"/>
    <s v="No está en VPC"/>
    <n v="816"/>
    <s v="INTPG_VPC_816_1.10_821_1.10"/>
    <s v="ISEL-1.10"/>
    <n v="2"/>
    <s v="NO TIENE L3OUT"/>
    <n v="0"/>
    <n v="54"/>
  </r>
  <r>
    <n v="825"/>
    <x v="2"/>
    <x v="184"/>
    <s v="eth1/10"/>
    <x v="0"/>
    <x v="0"/>
    <x v="0"/>
    <s v="LINK_TO_ITHHWCRMPEN02 /X3-10GE 3 /Principal"/>
    <x v="0"/>
    <b v="0"/>
    <s v="No está en VPC"/>
    <n v="825"/>
    <s v="INTPG_VPC_820_1.7-8_10-11_825_1.7-8_10-11"/>
    <s v="ISEL-1.10"/>
    <n v="1"/>
    <s v="NO TIENE L3OUT"/>
    <n v="72"/>
    <n v="54"/>
  </r>
  <r>
    <n v="800"/>
    <x v="2"/>
    <x v="185"/>
    <s v="eth1/10"/>
    <x v="0"/>
    <x v="0"/>
    <x v="0"/>
    <s v="TO-CEPS_06-MSP"/>
    <x v="0"/>
    <b v="0"/>
    <s v="No está en VPC"/>
    <n v="800"/>
    <s v="INTPG_ACC_800_1.10"/>
    <s v="ISEL-1.10"/>
    <n v="1"/>
    <s v="NO TIENE L3OUT"/>
    <n v="78"/>
    <n v="54"/>
  </r>
  <r>
    <n v="801"/>
    <x v="2"/>
    <x v="186"/>
    <s v="eth1/10"/>
    <x v="0"/>
    <x v="0"/>
    <x v="0"/>
    <s v="TO-CEPS_06-MSP"/>
    <x v="0"/>
    <b v="0"/>
    <s v="No está en VPC"/>
    <n v="801"/>
    <s v="INTPG_ACC_801_1.10"/>
    <s v="ISEL-1.10"/>
    <n v="1"/>
    <s v="NO TIENE L3OUT"/>
    <n v="78"/>
    <n v="54"/>
  </r>
  <r>
    <n v="823"/>
    <x v="2"/>
    <x v="187"/>
    <s v="eth1/10"/>
    <x v="0"/>
    <x v="0"/>
    <x v="0"/>
    <s v="TRANSFORMA PHASE 2C PR"/>
    <x v="0"/>
    <b v="0"/>
    <s v="No está en VPC"/>
    <n v="823"/>
    <s v="INTPG_ACC_823_1.10"/>
    <s v="ISEL-1.10"/>
    <n v="1"/>
    <s v="NO TIENE L3OUT"/>
    <n v="8"/>
    <n v="54"/>
  </r>
  <r>
    <n v="837"/>
    <x v="2"/>
    <x v="188"/>
    <s v="eth1/10"/>
    <x v="0"/>
    <x v="0"/>
    <x v="0"/>
    <s v="LINK_TO_ITHFHWCBSPSUSBD26 / Slot1.3_6 / Principal"/>
    <x v="0"/>
    <b v="0"/>
    <s v="No está en VPC"/>
    <n v="837"/>
    <s v="INTPG_VPC_837_1.10_842_1.10"/>
    <s v="ISEL-1.10"/>
    <n v="1"/>
    <s v="NO TIENE L3OUT"/>
    <n v="8"/>
    <n v="54"/>
  </r>
  <r>
    <n v="867"/>
    <x v="2"/>
    <x v="189"/>
    <s v="eth1/10"/>
    <x v="0"/>
    <x v="0"/>
    <x v="0"/>
    <s v="TO-ITHFSUEXG2XCN01_PCI8.P2"/>
    <x v="0"/>
    <b v="0"/>
    <s v="No está en VPC"/>
    <n v="867"/>
    <s v="INTPG_ACC_867_1.10"/>
    <s v="ISEL-1.10"/>
    <n v="2"/>
    <s v="NO TIENE L3OUT"/>
    <n v="44"/>
    <n v="54"/>
  </r>
  <r>
    <n v="829"/>
    <x v="2"/>
    <x v="190"/>
    <s v="eth1/10"/>
    <x v="0"/>
    <x v="0"/>
    <x v="0"/>
    <s v="LINK_TO_ITHFHWCRMDLCN31 /Slot7.2 /Redundante"/>
    <x v="0"/>
    <b v="0"/>
    <s v="No está en VPC"/>
    <n v="829"/>
    <s v="INTPG_ACC_829_1.10"/>
    <s v="ISEL-1.10"/>
    <n v="5"/>
    <s v="NO TIENE L3OUT"/>
    <n v="224"/>
    <n v="54"/>
  </r>
  <r>
    <n v="831"/>
    <x v="2"/>
    <x v="191"/>
    <s v="eth1/10"/>
    <x v="0"/>
    <x v="0"/>
    <x v="0"/>
    <s v="LINK_TO_ITHFHWCBSDSUSBD08 /Slot6.2 /Redundante"/>
    <x v="0"/>
    <b v="0"/>
    <s v="No está en VPC"/>
    <n v="831"/>
    <s v="INTPG_VPC_827_1.10_831_1.10"/>
    <s v="ISEL-1.10"/>
    <n v="1"/>
    <s v="NO TIENE L3OUT"/>
    <n v="14"/>
    <n v="54"/>
  </r>
  <r>
    <n v="802"/>
    <x v="2"/>
    <x v="192"/>
    <s v="eth1/10"/>
    <x v="0"/>
    <x v="0"/>
    <x v="0"/>
    <s v="TO-HDPS_12-MSP"/>
    <x v="0"/>
    <b v="0"/>
    <s v="No está en VPC"/>
    <n v="802"/>
    <s v="INTPG_ACC_802_1.10"/>
    <s v="ISEL-1.10"/>
    <n v="1"/>
    <s v="NO TIENE L3OUT"/>
    <n v="48"/>
    <n v="54"/>
  </r>
  <r>
    <n v="835"/>
    <x v="2"/>
    <x v="193"/>
    <s v="eth1/10"/>
    <x v="0"/>
    <x v="0"/>
    <x v="0"/>
    <s v="LINK_TO_ITHFHWCBSPSWR57 / Slot1.1_26 / Principal"/>
    <x v="0"/>
    <b v="0"/>
    <s v="No está en VPC"/>
    <n v="835"/>
    <s v="INTPG_VPC_835_1.10_840_1.10"/>
    <s v="ISEL-1.10"/>
    <n v="2"/>
    <s v="NO TIENE L3OUT"/>
    <n v="8"/>
    <n v="54"/>
  </r>
  <r>
    <n v="822"/>
    <x v="2"/>
    <x v="194"/>
    <s v="eth1/10"/>
    <x v="0"/>
    <x v="0"/>
    <x v="0"/>
    <s v="LINK_TO_ITHFHWCBSPSUSBD08 /Slot7.2 /Redundante"/>
    <x v="0"/>
    <b v="0"/>
    <s v="No está en VPC"/>
    <n v="822"/>
    <s v="INTPG_VPC_817_1.10_822_1.10"/>
    <s v="ISEL-1.10"/>
    <n v="2"/>
    <s v="NO TIENE L3OUT"/>
    <n v="0"/>
    <n v="54"/>
  </r>
  <r>
    <n v="854"/>
    <x v="2"/>
    <x v="195"/>
    <s v="eth1/10"/>
    <x v="0"/>
    <x v="0"/>
    <x v="0"/>
    <s v="LINK_TO_ITHHWD6KV65100018DKC01 / CTMB_IOM1.P1_34 / Redundante"/>
    <x v="0"/>
    <b v="0"/>
    <s v="No está en VPC"/>
    <n v="854"/>
    <s v="INTPG_ACC_854_1.10"/>
    <s v="ISEL-1.10"/>
    <n v="1"/>
    <s v="NO TIENE L3OUT"/>
    <n v="204"/>
    <n v="54"/>
  </r>
  <r>
    <n v="858"/>
    <x v="2"/>
    <x v="196"/>
    <s v="eth1/10"/>
    <x v="0"/>
    <x v="0"/>
    <x v="0"/>
    <s v="To_VPC_2DCBSD_HD40_1"/>
    <x v="0"/>
    <b v="0"/>
    <s v="No está en VPC"/>
    <n v="858"/>
    <s v="INTPG_VPC_858_1.10_863_1.10"/>
    <s v="ISEL-1.10"/>
    <n v="2"/>
    <s v="NO TIENE L3OUT"/>
    <n v="8"/>
    <n v="54"/>
  </r>
  <r>
    <n v="857"/>
    <x v="2"/>
    <x v="197"/>
    <s v="eth1/10"/>
    <x v="0"/>
    <x v="0"/>
    <x v="0"/>
    <s v="LINKT_TO_ITHFHWCRMPLCN118 / Slot1.3_6 / Principal"/>
    <x v="0"/>
    <b v="0"/>
    <s v="No está en VPC"/>
    <n v="857"/>
    <s v="INTPG_ACC_857_1.10"/>
    <s v="ISEL-1.10"/>
    <n v="1"/>
    <s v="NO TIENE L3OUT"/>
    <n v="288"/>
    <n v="54"/>
  </r>
  <r>
    <n v="859"/>
    <x v="2"/>
    <x v="198"/>
    <s v="eth1/10"/>
    <x v="0"/>
    <x v="0"/>
    <x v="0"/>
    <s v="To_VPC_2DCBSD_HD34_1"/>
    <x v="0"/>
    <b v="0"/>
    <s v="No está en VPC"/>
    <n v="859"/>
    <s v="INTPG_VPC_859_1.10_864_1.10"/>
    <s v="ISEL-1.10"/>
    <n v="2"/>
    <s v="NO TIENE L3OUT"/>
    <n v="0"/>
    <n v="54"/>
  </r>
  <r>
    <n v="833"/>
    <x v="2"/>
    <x v="199"/>
    <s v="eth1/10"/>
    <x v="0"/>
    <x v="0"/>
    <x v="0"/>
    <s v="LINK_TO_ITHFHWCRMDLCN31 /Slot5.2 /Principal"/>
    <x v="0"/>
    <b v="0"/>
    <s v="No está en VPC"/>
    <n v="833"/>
    <s v="INTPG_ACC_833_1.10"/>
    <s v="ISEL-1.10"/>
    <n v="5"/>
    <s v="NO TIENE L3OUT"/>
    <n v="224"/>
    <n v="54"/>
  </r>
  <r>
    <n v="818"/>
    <x v="2"/>
    <x v="200"/>
    <s v="eth1/10"/>
    <x v="0"/>
    <x v="0"/>
    <x v="0"/>
    <s v="TRANSFORMA PHASE 2C PR"/>
    <x v="0"/>
    <b v="0"/>
    <s v="No está en VPC"/>
    <n v="818"/>
    <s v="INTPG_ACC_818_1.10"/>
    <s v="ISEL-1.10"/>
    <n v="1"/>
    <s v="NO TIENE L3OUT"/>
    <n v="8"/>
    <n v="54"/>
  </r>
  <r>
    <n v="850"/>
    <x v="2"/>
    <x v="201"/>
    <s v="eth1/10"/>
    <x v="0"/>
    <x v="0"/>
    <x v="0"/>
    <s v="LINKT_TO_ITHFHWCRMPLCN118 / Slot7.3_6 / Redundante"/>
    <x v="0"/>
    <b v="0"/>
    <s v="No está en VPC"/>
    <n v="850"/>
    <s v="INTPG_ACC_850_1.10"/>
    <s v="ISEL-1.10"/>
    <n v="1"/>
    <s v="NO TIENE L3OUT"/>
    <n v="288"/>
    <n v="54"/>
  </r>
  <r>
    <n v="860"/>
    <x v="2"/>
    <x v="202"/>
    <s v="eth1/10"/>
    <x v="0"/>
    <x v="0"/>
    <x v="0"/>
    <s v="To_VPC_2DCBSD_HD26_1"/>
    <x v="0"/>
    <b v="0"/>
    <s v="No está en VPC"/>
    <n v="860"/>
    <s v="INTPG_VPC_860_1.10_865_1.10"/>
    <s v="ISEL-1.10"/>
    <n v="2"/>
    <s v="NO TIENE L3OUT"/>
    <n v="0"/>
    <n v="54"/>
  </r>
  <r>
    <n v="853"/>
    <x v="2"/>
    <x v="203"/>
    <s v="eth1/10"/>
    <x v="0"/>
    <x v="0"/>
    <x v="0"/>
    <s v="LINK_TO_ITHFHWCRMPLCN75 / Slot7.1_8 / Redundante"/>
    <x v="0"/>
    <b v="0"/>
    <s v="No está en VPC"/>
    <n v="853"/>
    <s v="INTPG_ACC_853_1.10"/>
    <s v="ISEL-1.10"/>
    <n v="6"/>
    <s v="NO TIENE L3OUT"/>
    <n v="242"/>
    <n v="54"/>
  </r>
  <r>
    <n v="790"/>
    <x v="2"/>
    <x v="204"/>
    <s v="eth1/10"/>
    <x v="0"/>
    <x v="0"/>
    <x v="0"/>
    <s v="LINK_TO_VPCB_NAS_ITHEMCPS5200TWPT3 / Nodo B INT 0.2 / Principal"/>
    <x v="0"/>
    <b v="0"/>
    <s v="No está en VPC"/>
    <n v="790"/>
    <s v="INTPG_VPC_790_1.10_791_1.10"/>
    <s v="ISEL-1.10"/>
    <n v="3"/>
    <s v="NO TIENE L3OUT"/>
    <n v="20"/>
    <n v="54"/>
  </r>
  <r>
    <n v="105"/>
    <x v="0"/>
    <x v="205"/>
    <s v="eth1/10"/>
    <x v="0"/>
    <x v="1"/>
    <x v="1"/>
    <s v="DESC"/>
    <x v="6"/>
    <b v="0"/>
    <s v="No está en VPC"/>
    <n v="105"/>
    <s v="INTPG_PC_105_1.6-12_38"/>
    <s v="ISEL-1.10"/>
    <n v="17"/>
    <s v="NO TIENE L3OUT"/>
    <n v="106"/>
    <n v="96"/>
  </r>
  <r>
    <n v="117"/>
    <x v="0"/>
    <x v="206"/>
    <s v="eth1/10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10"/>
    <x v="0"/>
    <x v="1"/>
    <x v="1"/>
    <s v="SFLDI"/>
    <x v="6"/>
    <b v="0"/>
    <s v="No está en VPC"/>
    <n v="104"/>
    <s v="INTPG_ACC_104_1.10"/>
    <s v="ISEL-1.10"/>
    <n v="1"/>
    <s v="NO TIENE L3OUT"/>
    <n v="194"/>
    <n v="96"/>
  </r>
  <r>
    <n v="158"/>
    <x v="0"/>
    <x v="208"/>
    <s v="eth1/10"/>
    <x v="0"/>
    <x v="0"/>
    <x v="0"/>
    <s v="DCX1500 B"/>
    <x v="6"/>
    <b v="0"/>
    <s v="No está en VPC"/>
    <n v="158"/>
    <s v="INTPG_ACC_158_1.10"/>
    <s v="ISEL-1.10"/>
    <n v="1"/>
    <s v="NO TIENE L3OUT"/>
    <n v="30"/>
    <n v="96"/>
  </r>
  <r>
    <n v="875"/>
    <x v="2"/>
    <x v="209"/>
    <s v="eth1/10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10"/>
    <x v="0"/>
    <x v="0"/>
    <x v="0"/>
    <s v="HACIA_MGMT-OSCP-F4-10_PRINCIPAL"/>
    <x v="4"/>
    <b v="0"/>
    <s v="No está en VPC"/>
    <n v="879"/>
    <s v="INTPG_VPC_878_1.10_879_1.10"/>
    <s v="ISEL-1.10"/>
    <n v="1"/>
    <s v="NO TIENE L3OUT"/>
    <n v="0"/>
    <n v="54"/>
  </r>
  <r>
    <n v="108"/>
    <x v="0"/>
    <x v="211"/>
    <s v="eth1/10"/>
    <x v="0"/>
    <x v="0"/>
    <x v="0"/>
    <s v="ZSMART"/>
    <x v="6"/>
    <b v="0"/>
    <s v="No está en VPC"/>
    <n v="108"/>
    <s v="INTPG_ACC_108_1.10"/>
    <s v="ISEL-1.10"/>
    <n v="1"/>
    <s v="NO TIENE L3OUT"/>
    <n v="126"/>
    <n v="96"/>
  </r>
  <r>
    <n v="112"/>
    <x v="0"/>
    <x v="212"/>
    <s v="eth1/10"/>
    <x v="0"/>
    <x v="1"/>
    <x v="1"/>
    <s v="MARCACIONES"/>
    <x v="6"/>
    <b v="0"/>
    <s v="No está en VPC"/>
    <n v="112"/>
    <s v="INTPG_ACC_112_1.10"/>
    <s v="ISEL-1.10"/>
    <n v="1"/>
    <s v="NO TIENE L3OUT"/>
    <n v="144"/>
    <n v="96"/>
  </r>
  <r>
    <n v="107"/>
    <x v="0"/>
    <x v="213"/>
    <s v="eth1/10"/>
    <x v="0"/>
    <x v="0"/>
    <x v="0"/>
    <s v="COGNOS"/>
    <x v="6"/>
    <b v="0"/>
    <s v="No está en VPC"/>
    <n v="107"/>
    <s v="INTPG_ACC_107_1.10"/>
    <s v="ISEL-1.10"/>
    <n v="1"/>
    <s v="NO TIENE L3OUT"/>
    <n v="118"/>
    <n v="96"/>
  </r>
  <r>
    <n v="109"/>
    <x v="0"/>
    <x v="214"/>
    <s v="eth1/10"/>
    <x v="0"/>
    <x v="1"/>
    <x v="1"/>
    <s v="ZSMART"/>
    <x v="6"/>
    <b v="0"/>
    <s v="No está en VPC"/>
    <n v="109"/>
    <s v="INTPG_ACC_109_1.10"/>
    <s v="ISEL-1.10"/>
    <n v="1"/>
    <s v="NO TIENE L3OUT"/>
    <n v="126"/>
    <n v="96"/>
  </r>
  <r>
    <n v="113"/>
    <x v="0"/>
    <x v="215"/>
    <s v="eth1/10"/>
    <x v="0"/>
    <x v="0"/>
    <x v="0"/>
    <s v="VYCAN"/>
    <x v="6"/>
    <b v="0"/>
    <s v="No está en VPC"/>
    <n v="113"/>
    <s v="INTPG_ACC_113_1.10"/>
    <s v="ISEL-1.10"/>
    <n v="1"/>
    <s v="NO TIENE L3OUT"/>
    <n v="52"/>
    <n v="96"/>
  </r>
  <r>
    <n v="114"/>
    <x v="0"/>
    <x v="216"/>
    <s v="eth1/10"/>
    <x v="0"/>
    <x v="0"/>
    <x v="0"/>
    <s v="BD FOLIOS"/>
    <x v="6"/>
    <b v="0"/>
    <s v="No está en VPC"/>
    <n v="114"/>
    <s v="INTPG_ACC_114_1.10"/>
    <s v="ISEL-1.10"/>
    <n v="1"/>
    <s v="NO TIENE L3OUT"/>
    <n v="144"/>
    <n v="96"/>
  </r>
  <r>
    <n v="124"/>
    <x v="0"/>
    <x v="217"/>
    <s v="eth1/10"/>
    <x v="1"/>
    <x v="1"/>
    <x v="2"/>
    <s v="GSM_OSS_TIJ"/>
    <x v="6"/>
    <b v="0"/>
    <s v="No está en VPC"/>
    <n v="124"/>
    <s v="INTPG_ACC_124_1.10"/>
    <s v="ISEL-1.10"/>
    <n v="1"/>
    <s v="NO TIENE L3OUT"/>
    <n v="80"/>
    <n v="96"/>
  </r>
  <r>
    <n v="118"/>
    <x v="0"/>
    <x v="218"/>
    <s v="eth1/10"/>
    <x v="0"/>
    <x v="1"/>
    <x v="1"/>
    <s v="COBROS NAVEGACION"/>
    <x v="6"/>
    <b v="0"/>
    <s v="No está en VPC"/>
    <n v="118"/>
    <s v="INTPG_ACC_118_1.10"/>
    <s v="ISEL-1.10"/>
    <n v="1"/>
    <s v="NO TIENE L3OUT"/>
    <n v="180"/>
    <n v="96"/>
  </r>
  <r>
    <n v="159"/>
    <x v="0"/>
    <x v="219"/>
    <s v="eth1/10"/>
    <x v="0"/>
    <x v="1"/>
    <x v="1"/>
    <s v="ArrobaDOC Y CF"/>
    <x v="6"/>
    <b v="0"/>
    <s v="No está en VPC"/>
    <n v="159"/>
    <s v="INTPG_ACC_159_1.10"/>
    <s v="ISEL-1.10"/>
    <n v="1"/>
    <s v="NO TIENE L3OUT"/>
    <n v="72"/>
    <n v="96"/>
  </r>
  <r>
    <n v="840"/>
    <x v="2"/>
    <x v="220"/>
    <s v="eth1/10"/>
    <x v="0"/>
    <x v="0"/>
    <x v="0"/>
    <s v="LINK_TO_ITHFHWCBSPSWR57 / Slot7.1_26 / Redundante"/>
    <x v="0"/>
    <b v="0"/>
    <s v="No está en VPC"/>
    <n v="840"/>
    <s v="INTPG_VPC_835_1.10_840_1.10"/>
    <s v="ISEL-1.10"/>
    <n v="2"/>
    <s v="NO TIENE L3OUT"/>
    <n v="8"/>
    <n v="54"/>
  </r>
  <r>
    <n v="856"/>
    <x v="2"/>
    <x v="221"/>
    <s v="eth1/10"/>
    <x v="0"/>
    <x v="0"/>
    <x v="0"/>
    <s v="LINK_TO_ITHFHWCRMPLCN137 / Slot1.3_8 / Principal"/>
    <x v="0"/>
    <b v="0"/>
    <s v="No está en VPC"/>
    <n v="856"/>
    <s v="INTPG_ACC_856_1.10"/>
    <s v="ISEL-1.10"/>
    <n v="1"/>
    <s v="NO TIENE L3OUT"/>
    <n v="286"/>
    <n v="54"/>
  </r>
  <r>
    <n v="110"/>
    <x v="0"/>
    <x v="222"/>
    <s v="eth1/10"/>
    <x v="0"/>
    <x v="0"/>
    <x v="0"/>
    <s v="BANCA MOVIL: Notificaciones"/>
    <x v="6"/>
    <b v="0"/>
    <s v="No está en VPC"/>
    <n v="110"/>
    <s v="INTPG_ACC_110_1.10"/>
    <s v="ISEL-1.10"/>
    <n v="1"/>
    <s v="NO TIENE L3OUT"/>
    <n v="102"/>
    <n v="96"/>
  </r>
  <r>
    <n v="163"/>
    <x v="0"/>
    <x v="223"/>
    <s v="eth1/10"/>
    <x v="0"/>
    <x v="0"/>
    <x v="0"/>
    <s v="DESC"/>
    <x v="6"/>
    <b v="0"/>
    <s v="No está en VPC"/>
    <n v="163"/>
    <s v="INTPG_PC_163_1.9-11"/>
    <s v="ISEL-1.10"/>
    <n v="0"/>
    <s v="NO TIENE L3OUT"/>
    <n v="140"/>
    <n v="96"/>
  </r>
  <r>
    <n v="407"/>
    <x v="1"/>
    <x v="224"/>
    <s v="eth1/10"/>
    <x v="0"/>
    <x v="0"/>
    <x v="0"/>
    <s v="RLR2ARI04_ilo"/>
    <x v="6"/>
    <b v="0"/>
    <s v="No está en VPC"/>
    <n v="407"/>
    <s v="INTPG_ACC_407_1.10"/>
    <s v="ISEL-1.10"/>
    <n v="1"/>
    <s v="NO TIENE L3OUT"/>
    <n v="122"/>
    <n v="96"/>
  </r>
  <r>
    <n v="171"/>
    <x v="0"/>
    <x v="225"/>
    <s v="eth1/10"/>
    <x v="0"/>
    <x v="0"/>
    <x v="0"/>
    <s v="OSS 3G 12.2 DATOS "/>
    <x v="6"/>
    <b v="0"/>
    <s v="No está en VPC"/>
    <n v="171"/>
    <s v="INTPG_ACC_171_1.10"/>
    <s v="ISEL-1.10"/>
    <n v="1"/>
    <s v="NO TIENE L3OUT"/>
    <n v="114"/>
    <n v="96"/>
  </r>
  <r>
    <n v="421"/>
    <x v="1"/>
    <x v="226"/>
    <s v="eth1/10"/>
    <x v="0"/>
    <x v="0"/>
    <x v="0"/>
    <s v="Portal_Cautivo_f5em02"/>
    <x v="6"/>
    <b v="0"/>
    <s v="No está en VPC"/>
    <n v="421"/>
    <s v="INTPG_VPC_419_1.10_421_1.10"/>
    <s v="ISEL-1.10"/>
    <n v="1"/>
    <s v="NO TIENE L3OUT"/>
    <n v="72"/>
    <n v="96"/>
  </r>
  <r>
    <n v="173"/>
    <x v="0"/>
    <x v="227"/>
    <s v="eth1/10"/>
    <x v="0"/>
    <x v="0"/>
    <x v="0"/>
    <s v="U2000_IPRAN"/>
    <x v="6"/>
    <b v="0"/>
    <s v="No está en VPC"/>
    <n v="173"/>
    <s v="INTPG_ACC_173_1.10"/>
    <s v="ISEL-1.10"/>
    <n v="1"/>
    <s v="NO TIENE L3OUT"/>
    <n v="66"/>
    <n v="96"/>
  </r>
  <r>
    <n v="154"/>
    <x v="0"/>
    <x v="228"/>
    <s v="eth1/10"/>
    <x v="0"/>
    <x v="0"/>
    <x v="0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10"/>
    <x v="0"/>
    <x v="1"/>
    <x v="1"/>
    <s v="OSS 3G 12.2 DATOS "/>
    <x v="6"/>
    <b v="0"/>
    <s v="No está en VPC"/>
    <n v="172"/>
    <s v="INTPG_ACC_172_1.10"/>
    <s v="ISEL-1.10"/>
    <n v="1"/>
    <s v="NO TIENE L3OUT"/>
    <n v="104"/>
    <n v="96"/>
  </r>
  <r>
    <n v="420"/>
    <x v="1"/>
    <x v="230"/>
    <s v="eth1/10"/>
    <x v="0"/>
    <x v="0"/>
    <x v="0"/>
    <s v="PORTAB2"/>
    <x v="6"/>
    <b v="0"/>
    <s v="No está en VPC"/>
    <n v="420"/>
    <s v="INTPG_ACC_420_1.10"/>
    <s v="ISEL-1.10"/>
    <n v="1"/>
    <s v="NO TIENE L3OUT"/>
    <n v="158"/>
    <n v="96"/>
  </r>
  <r>
    <n v="423"/>
    <x v="1"/>
    <x v="231"/>
    <s v="eth1/10"/>
    <x v="0"/>
    <x v="0"/>
    <x v="0"/>
    <s v="ITHPA03_ILO_IPMP-Activa"/>
    <x v="6"/>
    <b v="0"/>
    <s v="No está en VPC"/>
    <n v="423"/>
    <s v="INTPG_ACC_423_1.10"/>
    <s v="ISEL-1.10"/>
    <n v="1"/>
    <s v="NO TIENE L3OUT"/>
    <n v="86"/>
    <n v="96"/>
  </r>
  <r>
    <n v="415"/>
    <x v="1"/>
    <x v="232"/>
    <s v="eth1/10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10"/>
    <x v="0"/>
    <x v="1"/>
    <x v="1"/>
    <s v="SFLDI:RLDISTG02:1"/>
    <x v="6"/>
    <b v="0"/>
    <s v="No está en VPC"/>
    <n v="102"/>
    <s v="INTPG_ACC_102_1.10"/>
    <s v="ISEL-1.10"/>
    <n v="1"/>
    <s v="NO TIENE L3OUT"/>
    <n v="228"/>
    <n v="96"/>
  </r>
  <r>
    <n v="863"/>
    <x v="2"/>
    <x v="234"/>
    <s v="eth1/10"/>
    <x v="0"/>
    <x v="0"/>
    <x v="0"/>
    <s v="To_VPC_2DCBSD_HD40_1"/>
    <x v="0"/>
    <b v="0"/>
    <s v="No está en VPC"/>
    <n v="863"/>
    <s v="INTPG_VPC_858_1.10_863_1.10"/>
    <s v="ISEL-1.10"/>
    <n v="2"/>
    <s v="NO TIENE L3OUT"/>
    <n v="8"/>
    <n v="54"/>
  </r>
  <r>
    <n v="876"/>
    <x v="2"/>
    <x v="235"/>
    <s v="eth1/10"/>
    <x v="0"/>
    <x v="0"/>
    <x v="0"/>
    <s v="LINK_TO_ITHFHWSEQLCAS33 (GMR 1) / Slot 4 PTO 1 / Principal"/>
    <x v="4"/>
    <b v="0"/>
    <s v="No está en VPC"/>
    <n v="876"/>
    <s v="INTPG_ACC_876_1.10"/>
    <s v="ISEL-1.10"/>
    <n v="1"/>
    <s v="NO TIENE L3OUT"/>
    <n v="92"/>
    <n v="54"/>
  </r>
  <r>
    <n v="877"/>
    <x v="2"/>
    <x v="236"/>
    <s v="eth1/10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10"/>
    <x v="0"/>
    <x v="0"/>
    <x v="0"/>
    <s v="DESC"/>
    <x v="6"/>
    <b v="0"/>
    <s v="No está en VPC"/>
    <n v="122"/>
    <s v="INTPG_PC_122_1.10-14"/>
    <s v="ISEL-1.10"/>
    <n v="1"/>
    <s v="NO TIENE L3OUT"/>
    <n v="148"/>
    <n v="96"/>
  </r>
  <r>
    <n v="157"/>
    <x v="0"/>
    <x v="238"/>
    <s v="eth1/10"/>
    <x v="0"/>
    <x v="0"/>
    <x v="0"/>
    <s v="COBROS NAVEGACION"/>
    <x v="6"/>
    <b v="0"/>
    <s v="No está en VPC"/>
    <n v="157"/>
    <s v="INTPG_ACC_157_1.10"/>
    <s v="ISEL-1.10"/>
    <n v="1"/>
    <s v="NO TIENE L3OUT"/>
    <n v="202"/>
    <n v="96"/>
  </r>
  <r>
    <n v="408"/>
    <x v="1"/>
    <x v="239"/>
    <s v="eth1/10"/>
    <x v="0"/>
    <x v="0"/>
    <x v="0"/>
    <s v="RESPAL_CS5_ASAP8"/>
    <x v="6"/>
    <b v="0"/>
    <s v="No está en VPC"/>
    <n v="408"/>
    <s v="INTPG_ACC_408_1.10"/>
    <s v="ISEL-1.10"/>
    <n v="1"/>
    <s v="NO TIENE L3OUT"/>
    <n v="152"/>
    <n v="96"/>
  </r>
  <r>
    <n v="405"/>
    <x v="1"/>
    <x v="240"/>
    <s v="eth1/10"/>
    <x v="0"/>
    <x v="0"/>
    <x v="0"/>
    <s v="IXT_ARIESO4_BD1"/>
    <x v="6"/>
    <b v="0"/>
    <s v="No está en VPC"/>
    <n v="405"/>
    <s v="INTPG_ACC_405_1.10"/>
    <s v="ISEL-1.10"/>
    <n v="1"/>
    <s v="NO TIENE L3OUT"/>
    <n v="138"/>
    <n v="96"/>
  </r>
  <r>
    <n v="169"/>
    <x v="0"/>
    <x v="241"/>
    <s v="eth1/10"/>
    <x v="0"/>
    <x v="0"/>
    <x v="0"/>
    <s v="LINKDOWN_HACIA_UCS_9UCS-IXTLA-SERV4"/>
    <x v="6"/>
    <b v="0"/>
    <s v="No está en VPC"/>
    <n v="169"/>
    <s v="INTPG_ACC_169_1.10"/>
    <s v="ISEL-1.10"/>
    <n v="1"/>
    <s v="NO TIENE L3OUT"/>
    <n v="76"/>
    <n v="96"/>
  </r>
  <r>
    <n v="165"/>
    <x v="0"/>
    <x v="242"/>
    <s v="eth1/10"/>
    <x v="0"/>
    <x v="0"/>
    <x v="0"/>
    <s v="Nomina"/>
    <x v="6"/>
    <b v="0"/>
    <s v="No está en VPC"/>
    <n v="165"/>
    <s v="INTPG_ACC_165_1.10"/>
    <s v="ISEL-1.10"/>
    <n v="1"/>
    <s v="NO TIENE L3OUT"/>
    <n v="86"/>
    <n v="96"/>
  </r>
  <r>
    <n v="417"/>
    <x v="1"/>
    <x v="243"/>
    <s v="eth1/10"/>
    <x v="0"/>
    <x v="1"/>
    <x v="1"/>
    <s v="ECOSS"/>
    <x v="6"/>
    <b v="0"/>
    <s v="No está en VPC"/>
    <n v="417"/>
    <s v="INTPG_ACC_417_1.10"/>
    <s v="ISEL-1.10"/>
    <n v="1"/>
    <s v="NO TIENE L3OUT"/>
    <n v="56"/>
    <n v="96"/>
  </r>
  <r>
    <n v="153"/>
    <x v="0"/>
    <x v="244"/>
    <s v="eth1/10"/>
    <x v="0"/>
    <x v="0"/>
    <x v="0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10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10"/>
    <x v="0"/>
    <x v="0"/>
    <x v="0"/>
    <s v="ARIESO_GEOLOCALIZACION"/>
    <x v="6"/>
    <b v="0"/>
    <s v="No está en VPC"/>
    <n v="156"/>
    <s v="INTPG_ACC_156_1.10"/>
    <s v="ISEL-1.10"/>
    <n v="1"/>
    <s v="NO TIENE L3OUT"/>
    <n v="40"/>
    <n v="96"/>
  </r>
  <r>
    <n v="103"/>
    <x v="0"/>
    <x v="247"/>
    <s v="eth1/10"/>
    <x v="0"/>
    <x v="1"/>
    <x v="1"/>
    <s v="CAMPANAS 01-02:uxcamp02:en0"/>
    <x v="6"/>
    <b v="0"/>
    <s v="No está en VPC"/>
    <n v="103"/>
    <s v="INTPG_ACC_103_1.10"/>
    <s v="ISEL-1.10"/>
    <n v="1"/>
    <s v="NO TIENE L3OUT"/>
    <n v="70"/>
    <n v="96"/>
  </r>
  <r>
    <n v="438"/>
    <x v="1"/>
    <x v="248"/>
    <s v="eth1/10"/>
    <x v="0"/>
    <x v="0"/>
    <x v="0"/>
    <s v="uxdxdb04(RENACE)"/>
    <x v="6"/>
    <b v="0"/>
    <s v="No está en VPC"/>
    <n v="438"/>
    <s v="INTPG_ACC_438_1.10"/>
    <s v="ISEL-1.10"/>
    <n v="1"/>
    <s v="NO TIENE L3OUT"/>
    <n v="170"/>
    <n v="96"/>
  </r>
  <r>
    <n v="406"/>
    <x v="1"/>
    <x v="249"/>
    <s v="eth1/10"/>
    <x v="0"/>
    <x v="0"/>
    <x v="0"/>
    <s v="DESC"/>
    <x v="6"/>
    <b v="0"/>
    <s v="No está en VPC"/>
    <n v="406"/>
    <s v="INTPG_PC_406_1.9-10"/>
    <s v="ISEL-1.10"/>
    <n v="1"/>
    <s v="NO TIENE L3OUT"/>
    <n v="82"/>
    <n v="96"/>
  </r>
  <r>
    <n v="414"/>
    <x v="1"/>
    <x v="250"/>
    <s v="eth1/10"/>
    <x v="0"/>
    <x v="0"/>
    <x v="0"/>
    <s v="9UCS-IXTLA-WEBEX-SERV1"/>
    <x v="6"/>
    <b v="0"/>
    <s v="No está en VPC"/>
    <n v="414"/>
    <s v="INTPG_ACC_414_1.10"/>
    <s v="ISEL-1.10"/>
    <n v="1"/>
    <s v="NO TIENE L3OUT"/>
    <n v="144"/>
    <n v="96"/>
  </r>
  <r>
    <n v="416"/>
    <x v="1"/>
    <x v="251"/>
    <s v="eth1/10"/>
    <x v="0"/>
    <x v="0"/>
    <x v="0"/>
    <s v="sfmedp52-MEDVOZ_CLIENT8"/>
    <x v="6"/>
    <b v="0"/>
    <s v="No está en VPC"/>
    <n v="416"/>
    <s v="INTPG_VPC_416_1.10_418_1.10"/>
    <s v="ISEL-1.10"/>
    <n v="1"/>
    <s v="NO TIENE L3OUT"/>
    <n v="110"/>
    <n v="96"/>
  </r>
  <r>
    <n v="418"/>
    <x v="1"/>
    <x v="252"/>
    <s v="eth1/10"/>
    <x v="0"/>
    <x v="0"/>
    <x v="0"/>
    <s v="sfmedp52-MEDVOZ_CLIENT8"/>
    <x v="6"/>
    <b v="0"/>
    <s v="No está en VPC"/>
    <n v="418"/>
    <s v="INTPG_VPC_416_1.10_418_1.10"/>
    <s v="ISEL-1.10"/>
    <n v="1"/>
    <s v="NO TIENE L3OUT"/>
    <n v="152"/>
    <n v="96"/>
  </r>
  <r>
    <n v="413"/>
    <x v="1"/>
    <x v="253"/>
    <s v="eth1/10"/>
    <x v="0"/>
    <x v="0"/>
    <x v="0"/>
    <s v="DESC"/>
    <x v="6"/>
    <b v="0"/>
    <s v="No está en VPC"/>
    <n v="413"/>
    <s v="INTPG_PC_413_1.9-12"/>
    <s v="ISEL-1.10"/>
    <n v="1"/>
    <s v="NO TIENE L3OUT"/>
    <n v="126"/>
    <n v="96"/>
  </r>
  <r>
    <n v="403"/>
    <x v="1"/>
    <x v="254"/>
    <s v="eth1/10"/>
    <x v="0"/>
    <x v="0"/>
    <x v="0"/>
    <s v="IXT_ARIESO4_BD1"/>
    <x v="6"/>
    <b v="0"/>
    <s v="No está en VPC"/>
    <n v="403"/>
    <s v="INTPG_ACC_403_1.10"/>
    <s v="ISEL-1.10"/>
    <n v="1"/>
    <s v="NO TIENE L3OUT"/>
    <n v="150"/>
    <n v="96"/>
  </r>
  <r>
    <n v="125"/>
    <x v="0"/>
    <x v="255"/>
    <s v="eth1/10"/>
    <x v="0"/>
    <x v="0"/>
    <x v="0"/>
    <s v="GSM_OSS_MTY"/>
    <x v="6"/>
    <b v="0"/>
    <s v="No está en VPC"/>
    <n v="125"/>
    <s v="INTPG_VPC_124_1.1_125_1.10"/>
    <s v="ISEL-1.10"/>
    <n v="10"/>
    <s v="NO TIENE L3OUT"/>
    <n v="72"/>
    <n v="96"/>
  </r>
  <r>
    <n v="166"/>
    <x v="0"/>
    <x v="256"/>
    <s v="eth1/10"/>
    <x v="0"/>
    <x v="1"/>
    <x v="1"/>
    <s v="UXDAT012 "/>
    <x v="6"/>
    <b v="0"/>
    <s v="No está en VPC"/>
    <n v="166"/>
    <s v="INTPG_ACC_166_1.10"/>
    <s v="ISEL-1.10"/>
    <n v="1"/>
    <s v="NO TIENE L3OUT"/>
    <n v="84"/>
    <n v="96"/>
  </r>
  <r>
    <n v="111"/>
    <x v="0"/>
    <x v="257"/>
    <s v="eth1/10"/>
    <x v="1"/>
    <x v="1"/>
    <x v="2"/>
    <s v="SUN6900_E25K"/>
    <x v="6"/>
    <b v="0"/>
    <s v="No está en VPC"/>
    <n v="111"/>
    <s v="INTPG_ACC_111_1.10"/>
    <s v="ISEL-1.10"/>
    <n v="0"/>
    <s v="NO TIENE L3OUT"/>
    <n v="58"/>
    <n v="96"/>
  </r>
  <r>
    <n v="115"/>
    <x v="0"/>
    <x v="258"/>
    <s v="eth1/10"/>
    <x v="0"/>
    <x v="0"/>
    <x v="0"/>
    <s v="VYCAN"/>
    <x v="6"/>
    <b v="0"/>
    <s v="No está en VPC"/>
    <n v="115"/>
    <s v="INTPG_ACC_115_1.10"/>
    <s v="ISEL-1.10"/>
    <n v="1"/>
    <s v="NO TIENE L3OUT"/>
    <n v="42"/>
    <n v="96"/>
  </r>
  <r>
    <n v="106"/>
    <x v="0"/>
    <x v="259"/>
    <s v="eth1/10"/>
    <x v="0"/>
    <x v="0"/>
    <x v="0"/>
    <s v="EVOLVING"/>
    <x v="6"/>
    <b v="0"/>
    <s v="No está en VPC"/>
    <n v="106"/>
    <s v="INTPG_ACC_106_1.10"/>
    <s v="ISEL-1.10"/>
    <n v="3"/>
    <s v="NO TIENE L3OUT"/>
    <n v="122"/>
    <n v="96"/>
  </r>
  <r>
    <n v="126"/>
    <x v="0"/>
    <x v="260"/>
    <s v="eth1/10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10"/>
    <x v="0"/>
    <x v="1"/>
    <x v="1"/>
    <s v="VTA_F5_eth3"/>
    <x v="6"/>
    <b v="0"/>
    <s v="No está en VPC"/>
    <n v="425"/>
    <s v="INTPG_ACC_425_1.10"/>
    <s v="ISEL-1.10"/>
    <n v="1"/>
    <s v="NO TIENE L3OUT"/>
    <n v="86"/>
    <n v="96"/>
  </r>
  <r>
    <n v="151"/>
    <x v="0"/>
    <x v="262"/>
    <s v="eth1/10"/>
    <x v="0"/>
    <x v="1"/>
    <x v="1"/>
    <s v="OSS MEX GSM M"/>
    <x v="6"/>
    <b v="0"/>
    <s v="No está en VPC"/>
    <n v="151"/>
    <s v="INTPG_ACC_151_1.10"/>
    <s v="ISEL-1.10"/>
    <n v="1"/>
    <s v="NO TIENE L3OUT"/>
    <n v="86"/>
    <n v="96"/>
  </r>
  <r>
    <n v="430"/>
    <x v="1"/>
    <x v="263"/>
    <s v="eth1/10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10"/>
    <x v="0"/>
    <x v="0"/>
    <x v="0"/>
    <s v="Portal_Cautivo_f5em02"/>
    <x v="6"/>
    <b v="0"/>
    <s v="No está en VPC"/>
    <n v="419"/>
    <s v="INTPG_VPC_419_1.10_421_1.10"/>
    <s v="ISEL-1.10"/>
    <n v="1"/>
    <s v="NO TIENE L3OUT"/>
    <n v="70"/>
    <n v="96"/>
  </r>
  <r>
    <n v="155"/>
    <x v="0"/>
    <x v="265"/>
    <s v="eth1/10"/>
    <x v="0"/>
    <x v="0"/>
    <x v="0"/>
    <s v="Circulo Azul M5000"/>
    <x v="6"/>
    <b v="0"/>
    <s v="No está en VPC"/>
    <n v="155"/>
    <s v="INTPG_ACC_155_1.10"/>
    <s v="ISEL-1.10"/>
    <n v="1"/>
    <s v="NO TIENE L3OUT"/>
    <n v="198"/>
    <n v="96"/>
  </r>
  <r>
    <n v="409"/>
    <x v="1"/>
    <x v="266"/>
    <s v="eth1/10"/>
    <x v="0"/>
    <x v="0"/>
    <x v="0"/>
    <s v="RLR2ARI09_ilo"/>
    <x v="6"/>
    <b v="0"/>
    <s v="No está en VPC"/>
    <n v="409"/>
    <s v="INTPG_ACC_409_1.10"/>
    <s v="ISEL-1.10"/>
    <n v="1"/>
    <s v="NO TIENE L3OUT"/>
    <n v="128"/>
    <n v="96"/>
  </r>
  <r>
    <n v="422"/>
    <x v="1"/>
    <x v="267"/>
    <s v="eth1/10"/>
    <x v="0"/>
    <x v="0"/>
    <x v="0"/>
    <s v="B6200D_MGMT_2"/>
    <x v="6"/>
    <b v="0"/>
    <s v="No está en VPC"/>
    <n v="422"/>
    <s v="INTPG_ACC_422_1.10"/>
    <s v="ISEL-1.10"/>
    <n v="1"/>
    <s v="NO TIENE L3OUT"/>
    <n v="182"/>
    <n v="96"/>
  </r>
  <r>
    <n v="436"/>
    <x v="1"/>
    <x v="268"/>
    <s v="eth1/10"/>
    <x v="0"/>
    <x v="0"/>
    <x v="0"/>
    <s v="uxdxdb04(RENACE)"/>
    <x v="6"/>
    <b v="0"/>
    <s v="No está en VPC"/>
    <n v="436"/>
    <s v="INTPG_ACC_436_1.10"/>
    <s v="ISEL-1.10"/>
    <n v="1"/>
    <s v="NO TIENE L3OUT"/>
    <n v="172"/>
    <n v="96"/>
  </r>
  <r>
    <n v="410"/>
    <x v="1"/>
    <x v="269"/>
    <s v="eth1/10"/>
    <x v="0"/>
    <x v="0"/>
    <x v="0"/>
    <s v="NEC Femtocel NMS"/>
    <x v="6"/>
    <b v="0"/>
    <s v="No está en VPC"/>
    <n v="410"/>
    <s v="INTPG_ACC_410_1.10"/>
    <s v="ISEL-1.10"/>
    <n v="1"/>
    <s v="NO TIENE L3OUT"/>
    <n v="178"/>
    <n v="96"/>
  </r>
  <r>
    <n v="161"/>
    <x v="0"/>
    <x v="270"/>
    <s v="eth1/10"/>
    <x v="0"/>
    <x v="0"/>
    <x v="0"/>
    <m/>
    <x v="6"/>
    <b v="0"/>
    <s v="No está en VPC"/>
    <n v="161"/>
    <s v="INTPG_PC_161_1.15-10"/>
    <s v="ISEL-1.10"/>
    <n v="1"/>
    <s v="NO TIENE L3OUT"/>
    <n v="102"/>
    <n v="96"/>
  </r>
  <r>
    <n v="411"/>
    <x v="1"/>
    <x v="271"/>
    <s v="eth1/10"/>
    <x v="0"/>
    <x v="0"/>
    <x v="0"/>
    <s v="DESC"/>
    <x v="6"/>
    <b v="0"/>
    <s v="No está en VPC"/>
    <n v="411"/>
    <s v="INTPG_PC_411_1.9-12"/>
    <s v="ISEL-1.10"/>
    <n v="1"/>
    <s v="NO TIENE L3OUT"/>
    <n v="96"/>
    <n v="96"/>
  </r>
  <r>
    <n v="116"/>
    <x v="0"/>
    <x v="272"/>
    <s v="eth1/10"/>
    <x v="0"/>
    <x v="0"/>
    <x v="0"/>
    <s v="COBROS NAVEGACION"/>
    <x v="6"/>
    <b v="0"/>
    <s v="No está en VPC"/>
    <n v="116"/>
    <s v="INTPG_ACC_116_1.10"/>
    <s v="ISEL-1.10"/>
    <n v="1"/>
    <s v="NO TIENE L3OUT"/>
    <n v="148"/>
    <n v="96"/>
  </r>
  <r>
    <n v="412"/>
    <x v="1"/>
    <x v="273"/>
    <s v="eth1/10"/>
    <x v="0"/>
    <x v="1"/>
    <x v="1"/>
    <s v="Suspend2"/>
    <x v="6"/>
    <b v="0"/>
    <s v="No está en VPC"/>
    <n v="412"/>
    <s v="INTPG_ACC_412_1.10"/>
    <s v="ISEL-1.10"/>
    <n v="1"/>
    <s v="NO TIENE L3OUT"/>
    <n v="126"/>
    <n v="96"/>
  </r>
  <r>
    <n v="120"/>
    <x v="0"/>
    <x v="274"/>
    <s v="eth1/10"/>
    <x v="1"/>
    <x v="1"/>
    <x v="2"/>
    <s v="DESC"/>
    <x v="6"/>
    <b v="0"/>
    <s v="No está en VPC"/>
    <n v="120"/>
    <s v="INTPG_PC_120_1.10-14"/>
    <s v="ISEL-1.10"/>
    <n v="1"/>
    <s v="NO TIENE L3OUT"/>
    <n v="158"/>
    <n v="96"/>
  </r>
  <r>
    <n v="404"/>
    <x v="1"/>
    <x v="275"/>
    <s v="eth1/10"/>
    <x v="0"/>
    <x v="0"/>
    <x v="0"/>
    <s v="DESC"/>
    <x v="6"/>
    <b v="0"/>
    <s v="No está en VPC"/>
    <n v="404"/>
    <s v="INTPG_PC_404_1.9-10"/>
    <s v="ISEL-1.10"/>
    <n v="1"/>
    <s v="NO TIENE L3OUT"/>
    <n v="92"/>
    <n v="96"/>
  </r>
  <r>
    <n v="167"/>
    <x v="0"/>
    <x v="276"/>
    <s v="eth1/10"/>
    <x v="0"/>
    <x v="0"/>
    <x v="0"/>
    <s v="TO-ITHFDENBURBKP01(IXTFDLBKP6RAP)-REDUNDANTE"/>
    <x v="6"/>
    <b v="0"/>
    <s v="No está en VPC"/>
    <n v="167"/>
    <s v="INTPG_ACC_167_1.10"/>
    <s v="ISEL-1.10"/>
    <n v="1"/>
    <s v="NO TIENE L3OUT"/>
    <n v="68"/>
    <n v="96"/>
  </r>
  <r>
    <n v="428"/>
    <x v="1"/>
    <x v="277"/>
    <s v="eth1/10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903"/>
    <x v="2"/>
    <x v="278"/>
    <s v="eth1/10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10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11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11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11"/>
    <x v="0"/>
    <x v="0"/>
    <x v="0"/>
    <s v="IXTPA2LE"/>
    <x v="1"/>
    <b v="0"/>
    <s v="No está en VPC"/>
    <n v="152"/>
    <s v="INTPG_ACC_152_1.11"/>
    <s v="ISEL-1.11"/>
    <n v="1"/>
    <s v="NO TIENE L3OUT"/>
    <n v="38"/>
    <n v="54"/>
  </r>
  <r>
    <n v="101"/>
    <x v="0"/>
    <x v="3"/>
    <s v="eth1/11"/>
    <x v="1"/>
    <x v="1"/>
    <x v="2"/>
    <s v="MSP_PROBES_Rack_2"/>
    <x v="0"/>
    <b v="0"/>
    <s v="No está en VPC"/>
    <n v="101"/>
    <s v="INTPG_VPC_101_1.11_150_1.11"/>
    <s v="ISEL-1.11"/>
    <n v="1"/>
    <s v="NO TIENE L3OUT"/>
    <n v="114"/>
    <n v="54"/>
  </r>
  <r>
    <n v="160"/>
    <x v="0"/>
    <x v="4"/>
    <s v="eth1/11"/>
    <x v="0"/>
    <x v="1"/>
    <x v="1"/>
    <s v="ArrobaDOC Y CF"/>
    <x v="1"/>
    <b v="0"/>
    <s v="No está en VPC"/>
    <n v="160"/>
    <s v="INTPG_ACC_160_1.11"/>
    <s v="ISEL-1.11"/>
    <n v="1"/>
    <s v="NO TIENE L3OUT"/>
    <n v="68"/>
    <n v="54"/>
  </r>
  <r>
    <n v="121"/>
    <x v="0"/>
    <x v="5"/>
    <s v="eth1/11"/>
    <x v="0"/>
    <x v="1"/>
    <x v="1"/>
    <s v="TEMIP_MGMT1"/>
    <x v="1"/>
    <b v="0"/>
    <s v="No está en VPC"/>
    <n v="121"/>
    <s v="INTPG_ACC_121_1.11"/>
    <s v="ISEL-1.11"/>
    <n v="1"/>
    <s v="NO TIENE L3OUT"/>
    <n v="14"/>
    <n v="54"/>
  </r>
  <r>
    <n v="129"/>
    <x v="0"/>
    <x v="6"/>
    <s v="eth1/11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11"/>
    <x v="0"/>
    <x v="0"/>
    <x v="0"/>
    <s v="TO-ITHFHPSMEPRAP02"/>
    <x v="0"/>
    <b v="0"/>
    <s v="No está en VPC"/>
    <n v="401"/>
    <s v="INTPG_VPC_401_1.11_402_1.11"/>
    <s v="ISEL-1.11"/>
    <n v="3"/>
    <s v="NO TIENE L3OUT"/>
    <n v="40"/>
    <n v="54"/>
  </r>
  <r>
    <n v="402"/>
    <x v="1"/>
    <x v="8"/>
    <s v="eth1/11"/>
    <x v="0"/>
    <x v="0"/>
    <x v="0"/>
    <s v="TO-ITHFHPSMEPRAP02"/>
    <x v="0"/>
    <b v="0"/>
    <s v="No está en VPC"/>
    <n v="402"/>
    <s v="INTPG_VPC_401_1.11_402_1.11"/>
    <s v="ISEL-1.11"/>
    <n v="3"/>
    <s v="NO TIENE L3OUT"/>
    <n v="36"/>
    <n v="54"/>
  </r>
  <r>
    <n v="447"/>
    <x v="1"/>
    <x v="9"/>
    <s v="eth1/11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11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11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11"/>
    <x v="1"/>
    <x v="1"/>
    <x v="2"/>
    <s v="MSP_PROBES_Rack_2"/>
    <x v="0"/>
    <b v="0"/>
    <s v="No está en VPC"/>
    <n v="150"/>
    <s v="INTPG_VPC_101_1.11_150_1.11"/>
    <s v="ISEL-1.11"/>
    <n v="1"/>
    <s v="NO TIENE L3OUT"/>
    <n v="118"/>
    <n v="54"/>
  </r>
  <r>
    <n v="131"/>
    <x v="0"/>
    <x v="13"/>
    <s v="eth1/11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11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11"/>
    <x v="0"/>
    <x v="0"/>
    <x v="0"/>
    <s v="GRLK LAG 01"/>
    <x v="2"/>
    <b v="0"/>
    <s v="No está en VPC"/>
    <n v="758"/>
    <s v="INTPG_VPC_758_1.11_759_1.11"/>
    <s v="ISEL-1.11"/>
    <n v="89"/>
    <s v="NO TIENE L3OUT"/>
    <n v="0"/>
    <n v="42"/>
  </r>
  <r>
    <n v="759"/>
    <x v="2"/>
    <x v="16"/>
    <s v="eth1/11"/>
    <x v="0"/>
    <x v="0"/>
    <x v="0"/>
    <s v="GRLK LAG 01"/>
    <x v="2"/>
    <b v="0"/>
    <s v="No está en VPC"/>
    <n v="759"/>
    <s v="INTPG_VPC_758_1.11_759_1.11"/>
    <s v="ISEL-1.11"/>
    <n v="89"/>
    <s v="NO TIENE L3OUT"/>
    <n v="0"/>
    <n v="42"/>
  </r>
  <r>
    <n v="302"/>
    <x v="0"/>
    <x v="17"/>
    <s v="eth1/11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11"/>
    <x v="0"/>
    <x v="0"/>
    <x v="0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11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11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11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11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11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11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11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11"/>
    <x v="0"/>
    <x v="0"/>
    <x v="0"/>
    <s v="Monitoreo_VOLTE_produccion_client_LAG"/>
    <x v="0"/>
    <b v="0"/>
    <s v="No está en VPC"/>
    <n v="431"/>
    <s v="INTPG_VPC_431_1.11_448_1.11"/>
    <s v="ISEL-1.11"/>
    <n v="4"/>
    <s v="NO TIENE L3OUT"/>
    <n v="46"/>
    <n v="54"/>
  </r>
  <r>
    <n v="433"/>
    <x v="1"/>
    <x v="27"/>
    <s v="eth1/11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11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11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11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11"/>
    <x v="0"/>
    <x v="0"/>
    <x v="0"/>
    <s v="TO-uxidmbd-NET1"/>
    <x v="1"/>
    <b v="0"/>
    <s v="No está en VPC"/>
    <n v="434"/>
    <s v="INTPG_ACC_434_1.11"/>
    <s v="ISEL-1.11"/>
    <n v="1"/>
    <s v="NO TIENE L3OUT"/>
    <n v="34"/>
    <n v="54"/>
  </r>
  <r>
    <n v="707"/>
    <x v="2"/>
    <x v="32"/>
    <s v="eth1/11"/>
    <x v="0"/>
    <x v="0"/>
    <x v="0"/>
    <s v="CEM:ITHCEMG2DAT06:LOM P1"/>
    <x v="0"/>
    <b v="0"/>
    <s v="No está en VPC"/>
    <n v="707"/>
    <s v="INTPG_ACC_707_1.11"/>
    <s v="ISEL-1.11"/>
    <n v="1"/>
    <s v="NO TIENE L3OUT"/>
    <n v="54"/>
    <n v="54"/>
  </r>
  <r>
    <n v="712"/>
    <x v="2"/>
    <x v="33"/>
    <s v="eth1/11"/>
    <x v="0"/>
    <x v="0"/>
    <x v="0"/>
    <s v="CEM:ITHCEMB2DAT06:LOM P1"/>
    <x v="0"/>
    <b v="0"/>
    <s v="No está en VPC"/>
    <n v="712"/>
    <s v="INTPG_ACC_712_1.11"/>
    <s v="ISEL-1.11"/>
    <n v="1"/>
    <s v="NO TIENE L3OUT"/>
    <n v="32"/>
    <n v="54"/>
  </r>
  <r>
    <n v="719"/>
    <x v="2"/>
    <x v="34"/>
    <s v="eth1/11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11"/>
    <x v="0"/>
    <x v="0"/>
    <x v="0"/>
    <m/>
    <x v="0"/>
    <b v="0"/>
    <s v="No está en VPC"/>
    <n v="715"/>
    <s v="INTPG-VPC_HDD43_715_1.11_716_1.12"/>
    <s v="ISEL-1.11"/>
    <n v="1"/>
    <s v="NO TIENE L3OUT"/>
    <n v="0"/>
    <n v="54"/>
  </r>
  <r>
    <n v="427"/>
    <x v="1"/>
    <x v="36"/>
    <s v="eth1/11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11"/>
    <x v="0"/>
    <x v="0"/>
    <x v="0"/>
    <s v="CEM:ITHCEMC2DAT06:LOM P1"/>
    <x v="0"/>
    <b v="0"/>
    <s v="No está en VPC"/>
    <n v="711"/>
    <s v="INTPG_ACC_711_1.11"/>
    <s v="ISEL-1.11"/>
    <n v="1"/>
    <s v="NO TIENE L3OUT"/>
    <n v="16"/>
    <n v="54"/>
  </r>
  <r>
    <n v="716"/>
    <x v="2"/>
    <x v="38"/>
    <s v="eth1/11"/>
    <x v="0"/>
    <x v="0"/>
    <x v="0"/>
    <m/>
    <x v="0"/>
    <b v="0"/>
    <s v="No está en VPC"/>
    <n v="716"/>
    <s v="INTPG-VPC_HDD34_716_1.11_715_1.12"/>
    <s v="ISEL-1.11"/>
    <n v="1"/>
    <s v="NO TIENE L3OUT"/>
    <n v="0"/>
    <n v="54"/>
  </r>
  <r>
    <n v="702"/>
    <x v="2"/>
    <x v="39"/>
    <s v="eth1/11"/>
    <x v="0"/>
    <x v="0"/>
    <x v="0"/>
    <m/>
    <x v="0"/>
    <b v="0"/>
    <s v="No está en VPC"/>
    <n v="702"/>
    <s v="INTPG_VPC_702_1.11_701_1.12"/>
    <s v="ISEL-1.11"/>
    <n v="1"/>
    <s v="NO TIENE L3OUT"/>
    <n v="0"/>
    <n v="54"/>
  </r>
  <r>
    <n v="435"/>
    <x v="1"/>
    <x v="40"/>
    <s v="eth1/11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11"/>
    <x v="0"/>
    <x v="0"/>
    <x v="0"/>
    <m/>
    <x v="0"/>
    <b v="0"/>
    <s v="No está en VPC"/>
    <n v="446"/>
    <s v="INTPG_ACC_446_1.11"/>
    <s v="ISEL-1.11"/>
    <n v="9"/>
    <s v="NO TIENE L3OUT"/>
    <n v="198"/>
    <n v="54"/>
  </r>
  <r>
    <n v="444"/>
    <x v="1"/>
    <x v="42"/>
    <s v="eth1/11"/>
    <x v="0"/>
    <x v="0"/>
    <x v="0"/>
    <s v="TO-ITHFHPNBURBKP08"/>
    <x v="0"/>
    <b v="0"/>
    <s v="No está en VPC"/>
    <n v="444"/>
    <s v="INTPG_VPC_444_1.11_446_1.12"/>
    <s v="ISEL-1.11"/>
    <n v="1"/>
    <s v="NO TIENE L3OUT"/>
    <n v="234"/>
    <n v="54"/>
  </r>
  <r>
    <n v="701"/>
    <x v="2"/>
    <x v="43"/>
    <s v="eth1/11"/>
    <x v="0"/>
    <x v="0"/>
    <x v="0"/>
    <m/>
    <x v="0"/>
    <b v="0"/>
    <s v="No está en VPC"/>
    <n v="701"/>
    <s v="INTPG_VPC_701_1.11_702_1.12"/>
    <s v="ISEL-1.11"/>
    <n v="2"/>
    <s v="NO TIENE L3OUT"/>
    <n v="0"/>
    <n v="54"/>
  </r>
  <r>
    <n v="440"/>
    <x v="1"/>
    <x v="44"/>
    <s v="eth1/11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11"/>
    <x v="0"/>
    <x v="0"/>
    <x v="0"/>
    <s v="Monitoreo_VOLTE_produccion_client_LAG"/>
    <x v="0"/>
    <b v="0"/>
    <s v="No está en VPC"/>
    <n v="448"/>
    <s v="INTPG_VPC_431_1.11_448_1.11"/>
    <s v="ISEL-1.11"/>
    <n v="4"/>
    <s v="NO TIENE L3OUT"/>
    <n v="46"/>
    <n v="54"/>
  </r>
  <r>
    <n v="704"/>
    <x v="2"/>
    <x v="46"/>
    <s v="eth1/11"/>
    <x v="0"/>
    <x v="1"/>
    <x v="5"/>
    <m/>
    <x v="0"/>
    <b v="0"/>
    <s v="No está en VPC"/>
    <n v="704"/>
    <s v="INTPG_VPC_704_1.11_703_1.12"/>
    <s v="ISEL-1.11"/>
    <n v="1"/>
    <s v="NO TIENE L3OUT"/>
    <n v="0"/>
    <n v="54"/>
  </r>
  <r>
    <n v="729"/>
    <x v="2"/>
    <x v="47"/>
    <s v="eth1/11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11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11"/>
    <x v="0"/>
    <x v="0"/>
    <x v="0"/>
    <s v="HACIA_MGMT-OSCP-F4-07_SECUNDARIO"/>
    <x v="4"/>
    <b v="0"/>
    <s v="No está en VPC"/>
    <n v="456"/>
    <s v="INTPG_VPC_454_1.11_456_1.11"/>
    <s v="ISEL-1.11"/>
    <n v="1"/>
    <s v="NO TIENE L3OUT"/>
    <n v="4"/>
    <n v="54"/>
  </r>
  <r>
    <n v="603"/>
    <x v="1"/>
    <x v="50"/>
    <s v="eth1/11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11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11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11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11"/>
    <x v="0"/>
    <x v="0"/>
    <x v="0"/>
    <m/>
    <x v="0"/>
    <b v="0"/>
    <s v="No está en VPC"/>
    <n v="722"/>
    <s v="INTPG-VPC_HDD128_722_1.11_723_1.12"/>
    <s v="ISEL-1.11"/>
    <n v="1"/>
    <s v="NO TIENE L3OUT"/>
    <n v="0"/>
    <n v="54"/>
  </r>
  <r>
    <n v="733"/>
    <x v="2"/>
    <x v="55"/>
    <s v="eth1/11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11"/>
    <x v="0"/>
    <x v="0"/>
    <x v="0"/>
    <s v="OSS F1:ithenmr08bl02nas2r9a:PCIe3 Slot 1/1"/>
    <x v="0"/>
    <b v="0"/>
    <s v="No está en VPC"/>
    <n v="755"/>
    <s v="INTPG_PC_755_1.9-12"/>
    <s v="ISEL-1.11"/>
    <n v="1"/>
    <s v="NO TIENE L3OUT"/>
    <n v="52"/>
    <n v="54"/>
  </r>
  <r>
    <n v="748"/>
    <x v="2"/>
    <x v="57"/>
    <s v="eth1/11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11"/>
    <x v="0"/>
    <x v="0"/>
    <x v="0"/>
    <s v="OSS F1:ithenmr08bl04ombsr9a:PCIe3 Slot 1/1"/>
    <x v="0"/>
    <b v="0"/>
    <s v="No está en VPC"/>
    <n v="756"/>
    <s v="INTPG_PC_756_1.9-12"/>
    <s v="ISEL-1.11"/>
    <n v="2"/>
    <s v="NO TIENE L3OUT"/>
    <n v="64"/>
    <n v="54"/>
  </r>
  <r>
    <n v="754"/>
    <x v="2"/>
    <x v="59"/>
    <s v="eth1/11"/>
    <x v="0"/>
    <x v="0"/>
    <x v="0"/>
    <s v="OSS F1:ithenmr04e1r9c:Bay1/X1"/>
    <x v="0"/>
    <b v="0"/>
    <s v="No está en VPC"/>
    <n v="754"/>
    <s v="INTPG_PC_754_1.11-12"/>
    <s v="ISEL-1.11"/>
    <n v="8"/>
    <s v="NO TIENE L3OUT"/>
    <n v="62"/>
    <n v="54"/>
  </r>
  <r>
    <n v="751"/>
    <x v="2"/>
    <x v="60"/>
    <s v="eth1/11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11"/>
    <x v="0"/>
    <x v="0"/>
    <x v="0"/>
    <s v="Portchannel_7_R1"/>
    <x v="0"/>
    <b v="0"/>
    <s v="No está en VPC"/>
    <n v="769"/>
    <s v="INTPG_PC_769_1.11-14"/>
    <s v="ISEL-1.11"/>
    <n v="1"/>
    <s v="NO TIENE L3OUT"/>
    <n v="60"/>
    <n v="54"/>
  </r>
  <r>
    <n v="742"/>
    <x v="2"/>
    <x v="62"/>
    <s v="eth1/11"/>
    <x v="0"/>
    <x v="1"/>
    <x v="1"/>
    <s v="CEM:ITHCEMA2DAT06:LOM P3"/>
    <x v="5"/>
    <b v="0"/>
    <s v="No está en VPC"/>
    <n v="742"/>
    <s v="INTPG_ACC_742_1.11"/>
    <s v="ISEL-1.11"/>
    <n v="1"/>
    <s v="NO TIENE L3OUT"/>
    <n v="64"/>
    <n v="54"/>
  </r>
  <r>
    <n v="763"/>
    <x v="2"/>
    <x v="63"/>
    <s v="eth1/11"/>
    <x v="0"/>
    <x v="0"/>
    <x v="0"/>
    <s v="PAAS:ithhwoscopap011:LOM PORT 3"/>
    <x v="0"/>
    <b v="0"/>
    <s v="No está en VPC"/>
    <n v="763"/>
    <s v="INTPG_VPC_762_1.11_763_1.11"/>
    <s v="ISEL-1.11"/>
    <n v="15"/>
    <s v="NO TIENE L3OUT"/>
    <n v="2"/>
    <n v="54"/>
  </r>
  <r>
    <n v="766"/>
    <x v="2"/>
    <x v="64"/>
    <s v="eth1/11"/>
    <x v="0"/>
    <x v="0"/>
    <x v="0"/>
    <s v="Portchannel_7_R6A"/>
    <x v="0"/>
    <b v="0"/>
    <s v="No está en VPC"/>
    <n v="766"/>
    <s v="INTPG_PC_766_1.9-12"/>
    <s v="ISEL-1.11"/>
    <n v="1"/>
    <s v="NO TIENE L3OUT"/>
    <n v="58"/>
    <n v="54"/>
  </r>
  <r>
    <n v="760"/>
    <x v="2"/>
    <x v="65"/>
    <s v="eth1/11"/>
    <x v="0"/>
    <x v="1"/>
    <x v="1"/>
    <m/>
    <x v="0"/>
    <b v="0"/>
    <s v="No está en VPC"/>
    <n v="760"/>
    <s v="INTPG_VPC_760_1.9-12_761_1.9-12"/>
    <s v="ISEL-1.11"/>
    <n v="0"/>
    <s v="L3OUT-EXACLOUD"/>
    <n v="0"/>
    <n v="54"/>
  </r>
  <r>
    <n v="752"/>
    <x v="2"/>
    <x v="66"/>
    <s v="eth1/11"/>
    <x v="0"/>
    <x v="0"/>
    <x v="0"/>
    <s v="PAAS:ithhwosstpap002:Slot6.1"/>
    <x v="0"/>
    <b v="0"/>
    <s v="No está en VPC"/>
    <n v="752"/>
    <s v="INTPG_VPC_747_1.11_752_1.11"/>
    <s v="ISEL-1.11"/>
    <n v="25"/>
    <s v="NO TIENE L3OUT"/>
    <n v="0"/>
    <n v="54"/>
  </r>
  <r>
    <n v="765"/>
    <x v="2"/>
    <x v="67"/>
    <s v="eth1/11"/>
    <x v="0"/>
    <x v="0"/>
    <x v="0"/>
    <s v="Portchannel_3_R6A"/>
    <x v="0"/>
    <b v="0"/>
    <s v="No está en VPC"/>
    <n v="765"/>
    <s v="INTPG_PC_765_1.11-12"/>
    <s v="ISEL-1.11"/>
    <n v="8"/>
    <s v="NO TIENE L3OUT"/>
    <n v="60"/>
    <n v="54"/>
  </r>
  <r>
    <n v="778"/>
    <x v="2"/>
    <x v="68"/>
    <s v="eth1/11"/>
    <x v="0"/>
    <x v="0"/>
    <x v="0"/>
    <s v="ENIQ F1:itheniqr07mwsr2:Slot 2/2"/>
    <x v="0"/>
    <b v="0"/>
    <s v="No está en VPC"/>
    <n v="778"/>
    <s v="INTPG_ACC_778_1.11"/>
    <s v="ISEL-1.11"/>
    <n v="1"/>
    <s v="NO TIENE L3OUT"/>
    <n v="26"/>
    <n v="54"/>
  </r>
  <r>
    <n v="780"/>
    <x v="2"/>
    <x v="69"/>
    <s v="eth1/11"/>
    <x v="0"/>
    <x v="0"/>
    <x v="0"/>
    <s v="itheniqr04bl04mws1r1"/>
    <x v="0"/>
    <b v="0"/>
    <s v="No está en VPC"/>
    <n v="780"/>
    <s v="INTPG_ACC_780_1.11"/>
    <s v="ISEL-1.11"/>
    <n v="1"/>
    <s v="NO TIENE L3OUT"/>
    <n v="26"/>
    <n v="54"/>
  </r>
  <r>
    <n v="812"/>
    <x v="2"/>
    <x v="70"/>
    <s v="eth1/11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11"/>
    <x v="0"/>
    <x v="0"/>
    <x v="0"/>
    <s v="ITHFHWTSHNLCN06_VMs-06_Taishan_IT"/>
    <x v="0"/>
    <b v="0"/>
    <s v="No está en VPC"/>
    <n v="796"/>
    <s v="INTPG_VPC_795_1.11_796_1.11"/>
    <s v="ISEL-1.11"/>
    <n v="14"/>
    <s v="NO TIENE L3OUT"/>
    <n v="18"/>
    <n v="54"/>
  </r>
  <r>
    <n v="795"/>
    <x v="2"/>
    <x v="72"/>
    <s v="eth1/11"/>
    <x v="0"/>
    <x v="0"/>
    <x v="0"/>
    <s v="ITHFHWTSHNLCN06_VMs-06_Taishan_IT"/>
    <x v="0"/>
    <b v="0"/>
    <s v="No está en VPC"/>
    <n v="795"/>
    <s v="INTPG_VPC_795_1.11_796_1.11"/>
    <s v="ISEL-1.11"/>
    <n v="14"/>
    <s v="NO TIENE L3OUT"/>
    <n v="18"/>
    <n v="54"/>
  </r>
  <r>
    <n v="749"/>
    <x v="2"/>
    <x v="73"/>
    <s v="eth1/11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11"/>
    <x v="0"/>
    <x v="0"/>
    <x v="0"/>
    <s v="LINK_TO_ITHFHWCMVWPMA09 /Slot7.2 /Redundante"/>
    <x v="0"/>
    <b v="0"/>
    <s v="No está en VPC"/>
    <n v="824"/>
    <s v="INTPG_ACC_824_1.11"/>
    <s v="ISEL-1.11"/>
    <n v="1"/>
    <s v="NO TIENE L3OUT"/>
    <n v="70"/>
    <n v="54"/>
  </r>
  <r>
    <n v="819"/>
    <x v="2"/>
    <x v="75"/>
    <s v="eth1/11"/>
    <x v="0"/>
    <x v="0"/>
    <x v="0"/>
    <s v="LINK_TO_ITHFHWCMVWPMA09 /Slot5.2 /Principal"/>
    <x v="0"/>
    <b v="0"/>
    <s v="No está en VPC"/>
    <n v="819"/>
    <s v="INTPG_ACC_819_1.11"/>
    <s v="ISEL-1.11"/>
    <n v="1"/>
    <s v="NO TIENE L3OUT"/>
    <n v="70"/>
    <n v="54"/>
  </r>
  <r>
    <n v="737"/>
    <x v="2"/>
    <x v="76"/>
    <s v="eth1/11"/>
    <x v="0"/>
    <x v="0"/>
    <x v="0"/>
    <s v="CEM:ITHCEMF2DAT06:LOM P3"/>
    <x v="5"/>
    <b v="0"/>
    <s v="No está en VPC"/>
    <n v="737"/>
    <s v="INTPG_ACC_737_1.11"/>
    <s v="ISEL-1.11"/>
    <n v="1"/>
    <s v="NO TIENE L3OUT"/>
    <n v="72"/>
    <n v="54"/>
  </r>
  <r>
    <n v="844"/>
    <x v="2"/>
    <x v="77"/>
    <s v="eth1/11"/>
    <x v="0"/>
    <x v="0"/>
    <x v="0"/>
    <s v="LINK_TO_ITHFHWCRMPLCN104 / Slot1.2_12 / Principal"/>
    <x v="0"/>
    <b v="0"/>
    <s v="No está en VPC"/>
    <n v="844"/>
    <s v="INTPG_ACC_844_1.11"/>
    <s v="ISEL-1.11"/>
    <n v="2"/>
    <s v="NO TIENE L3OUT"/>
    <n v="282"/>
    <n v="54"/>
  </r>
  <r>
    <n v="843"/>
    <x v="2"/>
    <x v="78"/>
    <s v="eth1/11"/>
    <x v="0"/>
    <x v="0"/>
    <x v="0"/>
    <s v="LINK_To_ITHFHWCBSPSUSBD25 / Slot7.3_6 / Redundante"/>
    <x v="0"/>
    <b v="0"/>
    <s v="No está en VPC"/>
    <n v="843"/>
    <s v="INTPG_VPC_838_1.11_843_1.11"/>
    <s v="ISEL-1.11"/>
    <n v="1"/>
    <s v="NO TIENE L3OUT"/>
    <n v="38"/>
    <n v="54"/>
  </r>
  <r>
    <n v="797"/>
    <x v="2"/>
    <x v="79"/>
    <s v="eth1/11"/>
    <x v="0"/>
    <x v="0"/>
    <x v="0"/>
    <s v="TO-HDPS_13-MSP"/>
    <x v="0"/>
    <b v="0"/>
    <s v="No está en VPC"/>
    <n v="797"/>
    <s v="INTPG_ACC_797_1.11"/>
    <s v="ISEL-1.11"/>
    <n v="1"/>
    <s v="NO TIENE L3OUT"/>
    <n v="48"/>
    <n v="54"/>
  </r>
  <r>
    <n v="839"/>
    <x v="2"/>
    <x v="80"/>
    <s v="eth1/11"/>
    <x v="0"/>
    <x v="0"/>
    <x v="0"/>
    <s v="LINK_TO_ITHFHWCBSPSWR61 / Slot7.2_10 / Redundante"/>
    <x v="0"/>
    <b v="0"/>
    <s v="No está en VPC"/>
    <n v="839"/>
    <s v="INTPG_VPC_834_1.11_839_1.11"/>
    <s v="ISEL-1.11"/>
    <n v="1"/>
    <s v="NO TIENE L3OUT"/>
    <n v="0"/>
    <n v="54"/>
  </r>
  <r>
    <n v="847"/>
    <x v="2"/>
    <x v="81"/>
    <s v="eth1/11"/>
    <x v="0"/>
    <x v="0"/>
    <x v="0"/>
    <s v="LINK_TO_ITHFHWCRMPLCN169 / Slot7.1_8 / Redundante"/>
    <x v="0"/>
    <b v="0"/>
    <s v="No está en VPC"/>
    <n v="847"/>
    <s v="INTPG_ACC_847_1.11"/>
    <s v="ISEL-1.11"/>
    <n v="6"/>
    <s v="NO TIENE L3OUT"/>
    <n v="204"/>
    <n v="54"/>
  </r>
  <r>
    <n v="848"/>
    <x v="2"/>
    <x v="82"/>
    <s v="eth1/11"/>
    <x v="0"/>
    <x v="0"/>
    <x v="0"/>
    <s v="LINK_TO_ITHFHWCRMPLCN158 / Slot7.1_18 / Redundante"/>
    <x v="0"/>
    <b v="0"/>
    <s v="No está en VPC"/>
    <n v="848"/>
    <s v="INTPG_ACC_848_1.11"/>
    <s v="ISEL-1.11"/>
    <n v="6"/>
    <s v="NO TIENE L3OUT"/>
    <n v="254"/>
    <n v="54"/>
  </r>
  <r>
    <n v="846"/>
    <x v="2"/>
    <x v="83"/>
    <s v="eth1/11"/>
    <x v="0"/>
    <x v="0"/>
    <x v="0"/>
    <s v="LINK_TO_ITHFHWCRMPLCN75 / Slot1.2_8 / Principal"/>
    <x v="0"/>
    <b v="0"/>
    <s v="No está en VPC"/>
    <n v="846"/>
    <s v="INTPG_ACC_846_1.11"/>
    <s v="ISEL-1.11"/>
    <n v="2"/>
    <s v="NO TIENE L3OUT"/>
    <n v="242"/>
    <n v="54"/>
  </r>
  <r>
    <n v="838"/>
    <x v="2"/>
    <x v="84"/>
    <s v="eth1/11"/>
    <x v="0"/>
    <x v="0"/>
    <x v="0"/>
    <s v="LINK_To_ITHFHWCBSPSUSBD25 / Slot1.3_6 / Principal"/>
    <x v="0"/>
    <b v="0"/>
    <s v="No está en VPC"/>
    <n v="838"/>
    <s v="INTPG_VPC_838_1.11_843_1.11"/>
    <s v="ISEL-1.11"/>
    <n v="1"/>
    <s v="NO TIENE L3OUT"/>
    <n v="38"/>
    <n v="54"/>
  </r>
  <r>
    <n v="849"/>
    <x v="2"/>
    <x v="85"/>
    <s v="eth1/11"/>
    <x v="0"/>
    <x v="0"/>
    <x v="0"/>
    <s v="LINK_TO_ITHFHWCRMPLCN138 / Slot7.1_10 / Redundante"/>
    <x v="0"/>
    <b v="0"/>
    <s v="No está en VPC"/>
    <n v="849"/>
    <s v="INTPG_ACC_849_1.11"/>
    <s v="ISEL-1.11"/>
    <n v="6"/>
    <s v="NO TIENE L3OUT"/>
    <n v="286"/>
    <n v="54"/>
  </r>
  <r>
    <n v="845"/>
    <x v="2"/>
    <x v="86"/>
    <s v="eth1/11"/>
    <x v="0"/>
    <x v="0"/>
    <x v="0"/>
    <s v="LINK_TO_ITHFHWCRMPLCN100 / Slot1.3_32 / Principal"/>
    <x v="0"/>
    <b v="0"/>
    <s v="No está en VPC"/>
    <n v="845"/>
    <s v="INTPG_ACC_845_1.11"/>
    <s v="ISEL-1.11"/>
    <n v="1"/>
    <s v="NO TIENE L3OUT"/>
    <n v="258"/>
    <n v="54"/>
  </r>
  <r>
    <n v="873"/>
    <x v="2"/>
    <x v="87"/>
    <s v="eth1/11"/>
    <x v="0"/>
    <x v="0"/>
    <x v="0"/>
    <s v="TO_ITHFHWCRMDLCN56_Principal"/>
    <x v="0"/>
    <b v="0"/>
    <s v="No está en VPC"/>
    <n v="873"/>
    <s v="INTPG_ACC_873_1.11"/>
    <s v="ISEL-1.11"/>
    <n v="1"/>
    <s v="NO TIENE L3OUT"/>
    <n v="248"/>
    <n v="54"/>
  </r>
  <r>
    <n v="864"/>
    <x v="2"/>
    <x v="88"/>
    <s v="eth1/11"/>
    <x v="0"/>
    <x v="0"/>
    <x v="0"/>
    <s v="To_VPC_2DCBSD_HD34_2"/>
    <x v="0"/>
    <b v="0"/>
    <s v="No está en VPC"/>
    <n v="864"/>
    <s v="INTPG_VPC_859_1.11_864_1.11"/>
    <s v="ISEL-1.11"/>
    <n v="1"/>
    <s v="NO TIENE L3OUT"/>
    <n v="0"/>
    <n v="54"/>
  </r>
  <r>
    <n v="836"/>
    <x v="2"/>
    <x v="89"/>
    <s v="eth1/11"/>
    <x v="0"/>
    <x v="0"/>
    <x v="0"/>
    <s v="LINK_TO_ITHFHWCBSPSWR49 / Slot1.1_26 / Principal"/>
    <x v="0"/>
    <b v="0"/>
    <s v="No está en VPC"/>
    <n v="836"/>
    <s v="INTPG_VPC_836_1.11_841_1.11"/>
    <s v="ISEL-1.11"/>
    <n v="2"/>
    <s v="NO TIENE L3OUT"/>
    <n v="0"/>
    <n v="54"/>
  </r>
  <r>
    <n v="834"/>
    <x v="2"/>
    <x v="90"/>
    <s v="eth1/11"/>
    <x v="0"/>
    <x v="0"/>
    <x v="0"/>
    <s v="LINK_TO_ITHFHWCBSPSWR61 / Slot1.2_10 / Principal"/>
    <x v="0"/>
    <b v="0"/>
    <s v="No está en VPC"/>
    <n v="834"/>
    <s v="INTPG_VPC_834_1.11_839_1.11"/>
    <s v="ISEL-1.11"/>
    <n v="1"/>
    <s v="NO TIENE L3OUT"/>
    <n v="0"/>
    <n v="54"/>
  </r>
  <r>
    <n v="872"/>
    <x v="2"/>
    <x v="91"/>
    <s v="eth1/11"/>
    <x v="0"/>
    <x v="0"/>
    <x v="0"/>
    <s v="To_ITHFHWCRMDLCN72_Principal"/>
    <x v="0"/>
    <b v="0"/>
    <s v="No está en VPC"/>
    <n v="872"/>
    <s v="INTPG_ACC_872_1.11"/>
    <s v="ISEL-1.11"/>
    <n v="1"/>
    <s v="NO TIENE L3OUT"/>
    <n v="288"/>
    <n v="54"/>
  </r>
  <r>
    <n v="842"/>
    <x v="2"/>
    <x v="92"/>
    <s v="eth1/11"/>
    <x v="0"/>
    <x v="0"/>
    <x v="0"/>
    <s v="LINK_TO_ITHFHWCBSPSUSBD28 / Slot7.1_8 / Redundante"/>
    <x v="0"/>
    <b v="0"/>
    <s v="No está en VPC"/>
    <n v="842"/>
    <s v="INTPG_VPC_837_1.11_842_1.11"/>
    <s v="ISEL-1.11"/>
    <n v="2"/>
    <s v="NO TIENE L3OUT"/>
    <n v="8"/>
    <n v="54"/>
  </r>
  <r>
    <n v="828"/>
    <x v="2"/>
    <x v="93"/>
    <s v="eth1/11"/>
    <x v="0"/>
    <x v="0"/>
    <x v="0"/>
    <s v="LINK_TO_ITHHWD6KV60014DKC01 /CtrlA_IOM1.P0 /Principal"/>
    <x v="0"/>
    <b v="0"/>
    <s v="No está en VPC"/>
    <n v="828"/>
    <s v="INTPG_ACC_828_1.11"/>
    <s v="ISEL-1.11"/>
    <n v="1"/>
    <s v="NO TIENE L3OUT"/>
    <n v="192"/>
    <n v="54"/>
  </r>
  <r>
    <n v="870"/>
    <x v="2"/>
    <x v="94"/>
    <s v="eth1/11"/>
    <x v="0"/>
    <x v="0"/>
    <x v="0"/>
    <s v="TO_ITHFHWCRMDLCN56_Redundante"/>
    <x v="0"/>
    <b v="0"/>
    <s v="No está en VPC"/>
    <n v="870"/>
    <s v="INTPG_ACC_870_1.11"/>
    <s v="ISEL-1.11"/>
    <n v="1"/>
    <s v="NO TIENE L3OUT"/>
    <n v="248"/>
    <n v="54"/>
  </r>
  <r>
    <n v="866"/>
    <x v="2"/>
    <x v="95"/>
    <s v="eth1/11"/>
    <x v="0"/>
    <x v="0"/>
    <x v="0"/>
    <s v="To_VPC_2DCBSD_HD20_1"/>
    <x v="0"/>
    <b v="0"/>
    <s v="No está en VPC"/>
    <n v="866"/>
    <s v="INTPG_VPC_861_1.11_866_1.11"/>
    <s v="ISEL-1.11"/>
    <n v="2"/>
    <s v="NO TIENE L3OUT"/>
    <n v="8"/>
    <n v="54"/>
  </r>
  <r>
    <n v="862"/>
    <x v="2"/>
    <x v="96"/>
    <s v="eth1/11"/>
    <x v="0"/>
    <x v="0"/>
    <x v="0"/>
    <s v="TO-ITHFSUEXG2XCN02_PCI3.P1"/>
    <x v="0"/>
    <b v="0"/>
    <s v="No está en VPC"/>
    <n v="862"/>
    <s v="INTPG_ACC_862_1.11"/>
    <s v="ISEL-1.11"/>
    <n v="2"/>
    <s v="NO TIENE L3OUT"/>
    <n v="44"/>
    <n v="54"/>
  </r>
  <r>
    <n v="855"/>
    <x v="2"/>
    <x v="97"/>
    <s v="eth1/11"/>
    <x v="0"/>
    <x v="0"/>
    <x v="0"/>
    <s v="LINK_TO_ITHFHWCRMPLCN158 / Slot1.1_18 / Principal"/>
    <x v="0"/>
    <b v="0"/>
    <s v="No está en VPC"/>
    <n v="855"/>
    <s v="INTPG_ACC_855_1.11"/>
    <s v="ISEL-1.11"/>
    <n v="6"/>
    <s v="NO TIENE L3OUT"/>
    <n v="254"/>
    <n v="54"/>
  </r>
  <r>
    <n v="871"/>
    <x v="2"/>
    <x v="98"/>
    <s v="eth1/11"/>
    <x v="0"/>
    <x v="0"/>
    <x v="0"/>
    <s v="TO_ITHFHWCRMDLCN84_Principal"/>
    <x v="0"/>
    <b v="0"/>
    <s v="No está en VPC"/>
    <n v="871"/>
    <s v="INTPG_ACC_871_1.11"/>
    <s v="ISEL-1.11"/>
    <n v="2"/>
    <s v="NO TIENE L3OUT"/>
    <n v="246"/>
    <n v="54"/>
  </r>
  <r>
    <n v="841"/>
    <x v="2"/>
    <x v="99"/>
    <s v="eth1/11"/>
    <x v="0"/>
    <x v="0"/>
    <x v="0"/>
    <s v="LINK_TO_ITHFHWCBSPSWR49 / Slot7.1_26 / Redundante"/>
    <x v="0"/>
    <b v="0"/>
    <s v="No está en VPC"/>
    <n v="841"/>
    <s v="INTPG_VPC_836_1.11_841_1.11"/>
    <s v="ISEL-1.11"/>
    <n v="2"/>
    <s v="NO TIENE L3OUT"/>
    <n v="0"/>
    <n v="54"/>
  </r>
  <r>
    <n v="868"/>
    <x v="2"/>
    <x v="100"/>
    <s v="eth1/11"/>
    <x v="0"/>
    <x v="0"/>
    <x v="0"/>
    <s v="TO_ITHFHWCRMDLCN84_Redundante"/>
    <x v="0"/>
    <b v="0"/>
    <s v="No está en VPC"/>
    <n v="868"/>
    <s v="INTPG_ACC_868_1.11"/>
    <s v="ISEL-1.11"/>
    <n v="2"/>
    <s v="NO TIENE L3OUT"/>
    <n v="246"/>
    <n v="54"/>
  </r>
  <r>
    <n v="869"/>
    <x v="2"/>
    <x v="101"/>
    <s v="eth1/11"/>
    <x v="0"/>
    <x v="0"/>
    <x v="0"/>
    <s v="To_ITHFHWCRMDLCN72_Redundante"/>
    <x v="0"/>
    <b v="0"/>
    <s v="No está en VPC"/>
    <n v="869"/>
    <s v="INTPG_ACC_869_1.11"/>
    <s v="ISEL-1.11"/>
    <n v="1"/>
    <s v="NO TIENE L3OUT"/>
    <n v="288"/>
    <n v="54"/>
  </r>
  <r>
    <n v="861"/>
    <x v="2"/>
    <x v="102"/>
    <s v="eth1/11"/>
    <x v="0"/>
    <x v="0"/>
    <x v="0"/>
    <s v="To_VPC_2DCBSD_HD20_1"/>
    <x v="0"/>
    <b v="0"/>
    <s v="No está en VPC"/>
    <n v="861"/>
    <s v="INTPG_VPC_861_1.11_866_1.11"/>
    <s v="ISEL-1.11"/>
    <n v="2"/>
    <s v="NO TIENE L3OUT"/>
    <n v="8"/>
    <n v="54"/>
  </r>
  <r>
    <n v="874"/>
    <x v="2"/>
    <x v="103"/>
    <s v="eth1/11"/>
    <x v="0"/>
    <x v="0"/>
    <x v="0"/>
    <s v="LINK_TO_ITHFHWSEQLCAS34 (GMR 2) / Slot 5 PTO 1 / Redundante"/>
    <x v="4"/>
    <b v="0"/>
    <s v="No está en VPC"/>
    <n v="874"/>
    <s v="INTPG_ACC_874_1.11"/>
    <s v="ISEL-1.11"/>
    <n v="1"/>
    <s v="NO TIENE L3OUT"/>
    <n v="92"/>
    <n v="54"/>
  </r>
  <r>
    <n v="865"/>
    <x v="2"/>
    <x v="104"/>
    <s v="eth1/11"/>
    <x v="0"/>
    <x v="0"/>
    <x v="0"/>
    <s v="To_VPC_2DCBSD_HD26_2"/>
    <x v="0"/>
    <b v="0"/>
    <s v="No está en VPC"/>
    <n v="865"/>
    <s v="INTPG_VPC_860_1.11_865_1.11"/>
    <s v="ISEL-1.11"/>
    <n v="1"/>
    <s v="NO TIENE L3OUT"/>
    <n v="0"/>
    <n v="54"/>
  </r>
  <r>
    <n v="753"/>
    <x v="2"/>
    <x v="105"/>
    <s v="eth1/11"/>
    <x v="0"/>
    <x v="0"/>
    <x v="0"/>
    <s v="OSS F1:ithenmr03bl04ombsr9c:PCIe3 Slot 1/1"/>
    <x v="0"/>
    <b v="0"/>
    <s v="No está en VPC"/>
    <n v="753"/>
    <s v="INTPG_PC_753_1.9-12"/>
    <s v="ISEL-1.11"/>
    <n v="2"/>
    <s v="NO TIENE L3OUT"/>
    <n v="62"/>
    <n v="54"/>
  </r>
  <r>
    <n v="708"/>
    <x v="2"/>
    <x v="106"/>
    <s v="eth1/11"/>
    <x v="0"/>
    <x v="1"/>
    <x v="5"/>
    <s v="CEM:ITHCEMF2DAT06:LOM P1"/>
    <x v="0"/>
    <b v="0"/>
    <s v="No está en VPC"/>
    <n v="708"/>
    <s v="INTPG_VPC_708_1.11_709_1.12"/>
    <s v="ISEL-1.11"/>
    <n v="1"/>
    <s v="NO TIENE L3OUT"/>
    <n v="0"/>
    <n v="54"/>
  </r>
  <r>
    <n v="710"/>
    <x v="2"/>
    <x v="107"/>
    <s v="eth1/11"/>
    <x v="0"/>
    <x v="1"/>
    <x v="5"/>
    <s v="CEM:ITHCEMD2DAT06:LOM P1"/>
    <x v="0"/>
    <b v="0"/>
    <s v="No está en VPC"/>
    <n v="710"/>
    <s v="INTPG_VPC_710_1.11_711_1.12"/>
    <s v="ISEL-1.11"/>
    <n v="1"/>
    <s v="NO TIENE L3OUT"/>
    <n v="16"/>
    <n v="54"/>
  </r>
  <r>
    <n v="713"/>
    <x v="2"/>
    <x v="108"/>
    <s v="eth1/11"/>
    <x v="0"/>
    <x v="0"/>
    <x v="0"/>
    <s v="CEM:ITHCEMA2DAT06:LOM P1"/>
    <x v="0"/>
    <b v="0"/>
    <s v="No está en VPC"/>
    <n v="713"/>
    <s v="INTPG_ACC_713_1.11"/>
    <s v="ISEL-1.11"/>
    <n v="1"/>
    <s v="NO TIENE L3OUT"/>
    <n v="32"/>
    <n v="54"/>
  </r>
  <r>
    <n v="735"/>
    <x v="2"/>
    <x v="109"/>
    <s v="eth1/11"/>
    <x v="0"/>
    <x v="1"/>
    <x v="1"/>
    <s v="CEM:ITHCEMA1DAT06:LOM P3"/>
    <x v="5"/>
    <b v="0"/>
    <s v="No está en VPC"/>
    <n v="735"/>
    <s v="INTPG_ACC_735_1.11"/>
    <s v="ISEL-1.11"/>
    <n v="1"/>
    <s v="NO TIENE L3OUT"/>
    <n v="34"/>
    <n v="54"/>
  </r>
  <r>
    <n v="731"/>
    <x v="2"/>
    <x v="110"/>
    <s v="eth1/11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11"/>
    <x v="0"/>
    <x v="1"/>
    <x v="5"/>
    <m/>
    <x v="0"/>
    <b v="0"/>
    <s v="No está en VPC"/>
    <n v="703"/>
    <s v="INTPG_VPC_703_1.11_704_1.12"/>
    <s v="ISEL-1.11"/>
    <n v="1"/>
    <s v="NO TIENE L3OUT"/>
    <n v="2"/>
    <n v="54"/>
  </r>
  <r>
    <n v="706"/>
    <x v="2"/>
    <x v="112"/>
    <s v="eth1/11"/>
    <x v="0"/>
    <x v="0"/>
    <x v="0"/>
    <s v="CEM:ITHCEMA1DAT06:LOM  P1"/>
    <x v="0"/>
    <b v="0"/>
    <s v="No está en VPC"/>
    <n v="706"/>
    <s v="INTPG_ACC_706_1.11"/>
    <s v="ISEL-1.11"/>
    <n v="1"/>
    <s v="NO TIENE L3OUT"/>
    <n v="16"/>
    <n v="54"/>
  </r>
  <r>
    <n v="762"/>
    <x v="2"/>
    <x v="113"/>
    <s v="eth1/11"/>
    <x v="0"/>
    <x v="0"/>
    <x v="0"/>
    <s v="PAAS:ithhwoscopap011:FlexIO.1"/>
    <x v="0"/>
    <b v="0"/>
    <s v="No está en VPC"/>
    <n v="762"/>
    <s v="INTPG_VPC_762_1.11_763_1.11"/>
    <s v="ISEL-1.11"/>
    <n v="15"/>
    <s v="NO TIENE L3OUT"/>
    <n v="0"/>
    <n v="54"/>
  </r>
  <r>
    <n v="814"/>
    <x v="2"/>
    <x v="114"/>
    <s v="eth1/11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11"/>
    <x v="0"/>
    <x v="0"/>
    <x v="0"/>
    <s v="HACIA_MGMT-OSCP-F4-11_PRINCIPAL"/>
    <x v="4"/>
    <b v="0"/>
    <s v="No está en VPC"/>
    <n v="878"/>
    <s v="INTPG_VPC_878_1.11_879_1.11"/>
    <s v="ISEL-1.11"/>
    <n v="1"/>
    <s v="NO TIENE L3OUT"/>
    <n v="0"/>
    <n v="54"/>
  </r>
  <r>
    <n v="826"/>
    <x v="2"/>
    <x v="116"/>
    <s v="eth1/11"/>
    <x v="0"/>
    <x v="0"/>
    <x v="0"/>
    <s v="LINK_TO_ITHFHWCBSDSUSBD07 /10GE.1 /Principal"/>
    <x v="0"/>
    <b v="0"/>
    <s v="No está en VPC"/>
    <n v="826"/>
    <s v="INTPG_VPC_826_1.11_830_1.11"/>
    <s v="ISEL-1.11"/>
    <n v="1"/>
    <s v="NO TIENE L3OUT"/>
    <n v="12"/>
    <n v="54"/>
  </r>
  <r>
    <n v="726"/>
    <x v="2"/>
    <x v="117"/>
    <s v="eth1/11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11"/>
    <x v="0"/>
    <x v="1"/>
    <x v="1"/>
    <s v="CEM:ITHCEMC2DAT06:LOM P3"/>
    <x v="5"/>
    <b v="0"/>
    <s v="No está en VPC"/>
    <n v="740"/>
    <s v="INTPG_ACC_740_1.11"/>
    <s v="ISEL-1.11"/>
    <n v="1"/>
    <s v="NO TIENE L3OUT"/>
    <n v="72"/>
    <n v="54"/>
  </r>
  <r>
    <n v="705"/>
    <x v="2"/>
    <x v="119"/>
    <s v="eth1/11"/>
    <x v="0"/>
    <x v="0"/>
    <x v="0"/>
    <s v="CEM:ITHOIDB1SVR06:LOM  P2"/>
    <x v="0"/>
    <b v="0"/>
    <s v="No está en VPC"/>
    <n v="705"/>
    <s v="INTPG_VPC_705_1.11_706_1.12"/>
    <s v="ISEL-1.11"/>
    <n v="2"/>
    <s v="NO TIENE L3OUT"/>
    <n v="16"/>
    <n v="54"/>
  </r>
  <r>
    <n v="723"/>
    <x v="2"/>
    <x v="120"/>
    <s v="eth1/11"/>
    <x v="0"/>
    <x v="1"/>
    <x v="5"/>
    <m/>
    <x v="0"/>
    <b v="0"/>
    <s v="No está en VPC"/>
    <n v="723"/>
    <s v="INTPG-VPC_HDD115_723_1.11_722_1.12"/>
    <s v="ISEL-1.11"/>
    <n v="1"/>
    <s v="NO TIENE L3OUT"/>
    <n v="0"/>
    <n v="54"/>
  </r>
  <r>
    <n v="721"/>
    <x v="2"/>
    <x v="121"/>
    <s v="eth1/11"/>
    <x v="0"/>
    <x v="0"/>
    <x v="0"/>
    <s v="TO-ITHFHWVRALCN05"/>
    <x v="0"/>
    <b v="0"/>
    <s v="No está en VPC"/>
    <n v="721"/>
    <s v="INTPG_VPC_714_1.12_721_1.11"/>
    <s v="ISEL-1.11"/>
    <n v="108"/>
    <s v="NO TIENE L3OUT"/>
    <n v="20"/>
    <n v="54"/>
  </r>
  <r>
    <n v="788"/>
    <x v="2"/>
    <x v="122"/>
    <s v="eth1/11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11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11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11"/>
    <x v="0"/>
    <x v="1"/>
    <x v="5"/>
    <s v="CEM:ITHCEME2DAT06:LOM P1"/>
    <x v="0"/>
    <b v="0"/>
    <s v="No está en VPC"/>
    <n v="709"/>
    <s v="INTPG_VPC_708_1.12_709_1.11"/>
    <s v="ISEL-1.11"/>
    <n v="1"/>
    <s v="NO TIENE L3OUT"/>
    <n v="0"/>
    <n v="54"/>
  </r>
  <r>
    <n v="454"/>
    <x v="1"/>
    <x v="126"/>
    <s v="eth1/11"/>
    <x v="0"/>
    <x v="0"/>
    <x v="0"/>
    <s v="HACIA_MGMT-OSCP-F4-07_PRINCIPAL"/>
    <x v="4"/>
    <b v="0"/>
    <s v="No está en VPC"/>
    <n v="454"/>
    <s v="INTPG_VPC_454_1.11_456_1.11"/>
    <s v="ISEL-1.11"/>
    <n v="1"/>
    <s v="NO TIENE L3OUT"/>
    <n v="4"/>
    <n v="54"/>
  </r>
  <r>
    <n v="734"/>
    <x v="2"/>
    <x v="127"/>
    <s v="eth1/11"/>
    <x v="0"/>
    <x v="1"/>
    <x v="1"/>
    <s v="CEM_HADOOP"/>
    <x v="5"/>
    <b v="0"/>
    <s v="No está en VPC"/>
    <n v="734"/>
    <s v="INTPG_ACC_734_1.11"/>
    <s v="ISEL-1.11"/>
    <n v="1"/>
    <s v="NO TIENE L3OUT"/>
    <n v="32"/>
    <n v="54"/>
  </r>
  <r>
    <n v="815"/>
    <x v="2"/>
    <x v="128"/>
    <s v="eth1/11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11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11"/>
    <x v="0"/>
    <x v="0"/>
    <x v="0"/>
    <m/>
    <x v="0"/>
    <b v="0"/>
    <s v="No está en VPC"/>
    <n v="718"/>
    <s v="INTPG-VPC_HDD12_718_1.11_717_1.12"/>
    <s v="ISEL-1.11"/>
    <n v="1"/>
    <s v="NO TIENE L3OUT"/>
    <n v="0"/>
    <n v="54"/>
  </r>
  <r>
    <n v="744"/>
    <x v="2"/>
    <x v="131"/>
    <s v="eth1/11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11"/>
    <x v="0"/>
    <x v="1"/>
    <x v="1"/>
    <s v="CEM:ITHCEMB2DAT06:LOM P3"/>
    <x v="5"/>
    <b v="0"/>
    <s v="No está en VPC"/>
    <n v="741"/>
    <s v="INTPG_ACC_741_1.11"/>
    <s v="ISEL-1.11"/>
    <n v="1"/>
    <s v="NO TIENE L3OUT"/>
    <n v="62"/>
    <n v="54"/>
  </r>
  <r>
    <n v="787"/>
    <x v="2"/>
    <x v="133"/>
    <s v="eth1/11"/>
    <x v="0"/>
    <x v="0"/>
    <x v="0"/>
    <s v="ENIQ F2:itheniqr16bl04mws1r4a:Slot 2/2"/>
    <x v="0"/>
    <b v="0"/>
    <s v="No está en VPC"/>
    <n v="787"/>
    <s v="INTPG_ACC_787_1.11"/>
    <s v="ISEL-1.11"/>
    <n v="1"/>
    <s v="NO TIENE L3OUT"/>
    <n v="26"/>
    <n v="54"/>
  </r>
  <r>
    <n v="750"/>
    <x v="2"/>
    <x v="134"/>
    <s v="eth1/11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11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11"/>
    <x v="0"/>
    <x v="0"/>
    <x v="0"/>
    <s v="CEM:ITHCEMG2DAT06:LOM  P2"/>
    <x v="0"/>
    <b v="0"/>
    <s v="No está en VPC"/>
    <n v="736"/>
    <s v="INTPG_ACC_736_1.11"/>
    <s v="ISEL-1.11"/>
    <n v="1"/>
    <s v="NO TIENE L3OUT"/>
    <n v="48"/>
    <n v="54"/>
  </r>
  <r>
    <n v="799"/>
    <x v="2"/>
    <x v="137"/>
    <s v="eth1/11"/>
    <x v="0"/>
    <x v="0"/>
    <x v="0"/>
    <s v="TO-IMC_PS25-MSP"/>
    <x v="0"/>
    <b v="0"/>
    <s v="No está en VPC"/>
    <n v="799"/>
    <s v="INTPG_ACC_799_1.11"/>
    <s v="ISEL-1.11"/>
    <n v="1"/>
    <s v="NO TIENE L3OUT"/>
    <n v="52"/>
    <n v="54"/>
  </r>
  <r>
    <n v="768"/>
    <x v="2"/>
    <x v="138"/>
    <s v="eth1/11"/>
    <x v="0"/>
    <x v="0"/>
    <x v="0"/>
    <s v="Portchannel_2_R3"/>
    <x v="0"/>
    <b v="0"/>
    <s v="No está en VPC"/>
    <n v="768"/>
    <s v="INTPG_PC_768_1.11-12"/>
    <s v="ISEL-1.11"/>
    <n v="8"/>
    <s v="NO TIENE L3OUT"/>
    <n v="62"/>
    <n v="54"/>
  </r>
  <r>
    <n v="714"/>
    <x v="2"/>
    <x v="139"/>
    <s v="eth1/11"/>
    <x v="0"/>
    <x v="0"/>
    <x v="0"/>
    <m/>
    <x v="0"/>
    <b v="0"/>
    <s v="No está en VPC"/>
    <n v="714"/>
    <s v="INTPG-VPC_HDD55_714_1.11_721_1.12"/>
    <s v="ISEL-1.11"/>
    <n v="2"/>
    <s v="NO TIENE L3OUT"/>
    <n v="20"/>
    <n v="54"/>
  </r>
  <r>
    <n v="717"/>
    <x v="2"/>
    <x v="140"/>
    <s v="eth1/11"/>
    <x v="0"/>
    <x v="0"/>
    <x v="0"/>
    <m/>
    <x v="0"/>
    <b v="0"/>
    <s v="No está en VPC"/>
    <n v="717"/>
    <s v="INTPG-VPC_HDD22_717_1.11_718_1.12"/>
    <s v="ISEL-1.11"/>
    <n v="1"/>
    <s v="NO TIENE L3OUT"/>
    <n v="0"/>
    <n v="54"/>
  </r>
  <r>
    <n v="789"/>
    <x v="2"/>
    <x v="141"/>
    <s v="eth1/11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11"/>
    <x v="0"/>
    <x v="0"/>
    <x v="0"/>
    <s v="Portchannel_2_R1"/>
    <x v="0"/>
    <b v="0"/>
    <s v="No está en VPC"/>
    <n v="764"/>
    <s v="INTPG_PC_764_1.11-12"/>
    <s v="ISEL-1.11"/>
    <n v="8"/>
    <s v="NO TIENE L3OUT"/>
    <n v="62"/>
    <n v="54"/>
  </r>
  <r>
    <n v="783"/>
    <x v="2"/>
    <x v="143"/>
    <s v="eth1/11"/>
    <x v="0"/>
    <x v="0"/>
    <x v="0"/>
    <s v="itheniqr09bl04mws1r9a"/>
    <x v="0"/>
    <b v="0"/>
    <s v="No está en VPC"/>
    <n v="783"/>
    <s v="INTPG_ACC_783_1.11"/>
    <s v="ISEL-1.11"/>
    <n v="1"/>
    <s v="NO TIENE L3OUT"/>
    <n v="26"/>
    <n v="54"/>
  </r>
  <r>
    <n v="774"/>
    <x v="2"/>
    <x v="144"/>
    <s v="eth1/11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11"/>
    <x v="0"/>
    <x v="0"/>
    <x v="0"/>
    <s v="TO-ITHFF5IOTUPLB01"/>
    <x v="0"/>
    <b v="0"/>
    <s v="No está en VPC"/>
    <n v="773"/>
    <s v="INTPG_VPC_772_1.15_773_1.11"/>
    <s v="ISEL-1.11"/>
    <n v="4"/>
    <s v="NO TIENE L3OUT"/>
    <n v="78"/>
    <n v="54"/>
  </r>
  <r>
    <n v="794"/>
    <x v="2"/>
    <x v="146"/>
    <s v="eth1/11"/>
    <x v="0"/>
    <x v="0"/>
    <x v="0"/>
    <s v="DESC"/>
    <x v="0"/>
    <b v="0"/>
    <s v="No está en VPC"/>
    <n v="794"/>
    <s v="INTPG_VPC_793_1.9_11_794_1.9_11"/>
    <s v="ISEL-1.11"/>
    <n v="1"/>
    <s v="NO TIENE L3OUT"/>
    <n v="12"/>
    <n v="54"/>
  </r>
  <r>
    <n v="803"/>
    <x v="2"/>
    <x v="147"/>
    <s v="eth1/11"/>
    <x v="0"/>
    <x v="1"/>
    <x v="1"/>
    <s v="TO-HDPS_37-MSP"/>
    <x v="0"/>
    <b v="0"/>
    <s v="No está en VPC"/>
    <n v="803"/>
    <s v="INTPG_ACC_803_1.11"/>
    <s v="ISEL-1.11"/>
    <n v="1"/>
    <s v="NO TIENE L3OUT"/>
    <n v="48"/>
    <n v="54"/>
  </r>
  <r>
    <n v="786"/>
    <x v="2"/>
    <x v="148"/>
    <s v="eth1/11"/>
    <x v="0"/>
    <x v="0"/>
    <x v="0"/>
    <s v="ENIQ F2:itheniqr14bl04mws1r4b:Slot 2/2"/>
    <x v="0"/>
    <b v="0"/>
    <s v="No está en VPC"/>
    <n v="786"/>
    <s v="INTPG_ACC_786_1.11"/>
    <s v="ISEL-1.11"/>
    <n v="1"/>
    <s v="NO TIENE L3OUT"/>
    <n v="26"/>
    <n v="54"/>
  </r>
  <r>
    <n v="757"/>
    <x v="2"/>
    <x v="149"/>
    <s v="eth1/11"/>
    <x v="0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11"/>
    <x v="0"/>
    <x v="0"/>
    <x v="0"/>
    <s v="itheniqr07bl04mws1r9c"/>
    <x v="0"/>
    <b v="0"/>
    <s v="No está en VPC"/>
    <n v="781"/>
    <s v="INTPG_ACC_781_1.11"/>
    <s v="ISEL-1.11"/>
    <n v="1"/>
    <s v="NO TIENE L3OUT"/>
    <n v="26"/>
    <n v="54"/>
  </r>
  <r>
    <n v="793"/>
    <x v="2"/>
    <x v="151"/>
    <s v="eth1/11"/>
    <x v="0"/>
    <x v="0"/>
    <x v="0"/>
    <s v="DESC"/>
    <x v="0"/>
    <b v="0"/>
    <s v="No está en VPC"/>
    <n v="793"/>
    <s v="INTPG_VPC_793_1.9_11_794_1.9_11"/>
    <s v="ISEL-1.11"/>
    <n v="1"/>
    <s v="NO TIENE L3OUT"/>
    <n v="12"/>
    <n v="54"/>
  </r>
  <r>
    <n v="747"/>
    <x v="2"/>
    <x v="152"/>
    <s v="eth1/11"/>
    <x v="0"/>
    <x v="0"/>
    <x v="0"/>
    <s v="PAAS:ithhwoscopap011:LOM PORT 1"/>
    <x v="0"/>
    <b v="0"/>
    <s v="No está en VPC"/>
    <n v="747"/>
    <s v="INTPG_VPC_747_1.11_752_1.11"/>
    <s v="ISEL-1.11"/>
    <n v="25"/>
    <s v="NO TIENE L3OUT"/>
    <n v="0"/>
    <n v="54"/>
  </r>
  <r>
    <n v="784"/>
    <x v="2"/>
    <x v="153"/>
    <s v="eth1/11"/>
    <x v="0"/>
    <x v="0"/>
    <x v="0"/>
    <s v="ENIQ F2:itheniqr12bl04mws1r6b:Slot 2/2"/>
    <x v="0"/>
    <b v="0"/>
    <s v="No está en VPC"/>
    <n v="784"/>
    <s v="INTPG_ACC_784_1.11"/>
    <s v="ISEL-1.11"/>
    <n v="1"/>
    <s v="NO TIENE L3OUT"/>
    <n v="26"/>
    <n v="54"/>
  </r>
  <r>
    <n v="806"/>
    <x v="2"/>
    <x v="154"/>
    <s v="eth1/11"/>
    <x v="0"/>
    <x v="0"/>
    <x v="0"/>
    <s v="TO-HDPS_61-MSP"/>
    <x v="0"/>
    <b v="0"/>
    <s v="No está en VPC"/>
    <n v="806"/>
    <s v="INTPG_ACC_806_1.11"/>
    <s v="ISEL-1.11"/>
    <n v="1"/>
    <s v="NO TIENE L3OUT"/>
    <n v="44"/>
    <n v="54"/>
  </r>
  <r>
    <n v="777"/>
    <x v="2"/>
    <x v="155"/>
    <s v="eth1/11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11"/>
    <x v="0"/>
    <x v="0"/>
    <x v="0"/>
    <s v="Portchannel_7_R4B"/>
    <x v="0"/>
    <b v="0"/>
    <s v="No está en VPC"/>
    <n v="770"/>
    <s v="INTPG_PC_770_1.9-12"/>
    <s v="ISEL-1.11"/>
    <n v="1"/>
    <s v="NO TIENE L3OUT"/>
    <n v="60"/>
    <n v="54"/>
  </r>
  <r>
    <n v="813"/>
    <x v="2"/>
    <x v="157"/>
    <s v="eth1/11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11"/>
    <x v="0"/>
    <x v="0"/>
    <x v="0"/>
    <s v="CEM:ITHCEMD2DAT06:LOM P3"/>
    <x v="5"/>
    <b v="0"/>
    <s v="No está en VPC"/>
    <n v="739"/>
    <s v="INTPG_ACC_739_1.11"/>
    <s v="ISEL-1.11"/>
    <n v="1"/>
    <s v="NO TIENE L3OUT"/>
    <n v="72"/>
    <n v="54"/>
  </r>
  <r>
    <n v="775"/>
    <x v="2"/>
    <x v="159"/>
    <s v="eth1/11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11"/>
    <x v="0"/>
    <x v="0"/>
    <x v="0"/>
    <s v="LINK_TO_VPCA_NAS_ITHEMCPS5200TWPT3 / Nodo A INT 0.3 / Redundante"/>
    <x v="0"/>
    <b v="0"/>
    <s v="No está en VPC"/>
    <n v="791"/>
    <s v="INTPG_VPC_790_1.11_791_1.11"/>
    <s v="ISEL-1.11"/>
    <n v="3"/>
    <s v="NO TIENE L3OUT"/>
    <n v="20"/>
    <n v="54"/>
  </r>
  <r>
    <n v="808"/>
    <x v="2"/>
    <x v="161"/>
    <s v="eth1/11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11"/>
    <x v="0"/>
    <x v="0"/>
    <x v="0"/>
    <s v="LINK_TO_ITHFHWCBSDSUSBD07 /Slot5.1 /Redundante"/>
    <x v="0"/>
    <b v="0"/>
    <s v="No está en VPC"/>
    <n v="830"/>
    <s v="INTPG_VPC_826_1.11_830_1.11"/>
    <s v="ISEL-1.11"/>
    <n v="1"/>
    <s v="NO TIENE L3OUT"/>
    <n v="12"/>
    <n v="54"/>
  </r>
  <r>
    <n v="821"/>
    <x v="2"/>
    <x v="163"/>
    <s v="eth1/11"/>
    <x v="0"/>
    <x v="0"/>
    <x v="0"/>
    <s v="LINK_TO_ITHFHWCBSPSUSBD13 /Slot5.1 /Redundante"/>
    <x v="0"/>
    <b v="0"/>
    <s v="No está en VPC"/>
    <n v="821"/>
    <s v="INTPG_VPC_816_1.11_821_1.11"/>
    <s v="ISEL-1.11"/>
    <n v="1"/>
    <s v="NO TIENE L3OUT"/>
    <n v="0"/>
    <n v="54"/>
  </r>
  <r>
    <n v="738"/>
    <x v="2"/>
    <x v="164"/>
    <s v="eth1/11"/>
    <x v="0"/>
    <x v="0"/>
    <x v="0"/>
    <s v="CEM:ITHCEME2DAT06:LOM P3"/>
    <x v="5"/>
    <b v="0"/>
    <s v="No está en VPC"/>
    <n v="738"/>
    <s v="INTPG_ACC_738_1.11"/>
    <s v="ISEL-1.11"/>
    <n v="1"/>
    <s v="NO TIENE L3OUT"/>
    <n v="72"/>
    <n v="54"/>
  </r>
  <r>
    <n v="820"/>
    <x v="2"/>
    <x v="165"/>
    <s v="eth1/11"/>
    <x v="0"/>
    <x v="0"/>
    <x v="0"/>
    <s v="LINK_TO_ITHHWCRMPEN02 /X3-10GE 6 /Redundante"/>
    <x v="0"/>
    <b v="0"/>
    <s v="No está en VPC"/>
    <n v="820"/>
    <s v="INTPG_VPC_820_1.7-8_10-11_825_1.7-8_10-11"/>
    <s v="ISEL-1.11"/>
    <n v="1"/>
    <s v="NO TIENE L3OUT"/>
    <n v="72"/>
    <n v="54"/>
  </r>
  <r>
    <n v="804"/>
    <x v="2"/>
    <x v="166"/>
    <s v="eth1/11"/>
    <x v="0"/>
    <x v="0"/>
    <x v="0"/>
    <s v="TO-HDPS_37-MSP"/>
    <x v="0"/>
    <b v="0"/>
    <s v="No está en VPC"/>
    <n v="804"/>
    <s v="INTPG_ACC_804_1.11"/>
    <s v="ISEL-1.11"/>
    <n v="1"/>
    <s v="NO TIENE L3OUT"/>
    <n v="48"/>
    <n v="54"/>
  </r>
  <r>
    <n v="779"/>
    <x v="2"/>
    <x v="167"/>
    <s v="eth1/11"/>
    <x v="0"/>
    <x v="0"/>
    <x v="0"/>
    <s v="ENIQ F1:itheniqr08mwsr3:Slot 2/2"/>
    <x v="0"/>
    <b v="0"/>
    <s v="No está en VPC"/>
    <n v="779"/>
    <s v="INTPG_ACC_779_1.11"/>
    <s v="ISEL-1.11"/>
    <n v="1"/>
    <s v="NO TIENE L3OUT"/>
    <n v="30"/>
    <n v="54"/>
  </r>
  <r>
    <n v="767"/>
    <x v="2"/>
    <x v="168"/>
    <s v="eth1/11"/>
    <x v="0"/>
    <x v="0"/>
    <x v="0"/>
    <s v="Portchannel_7_R3"/>
    <x v="0"/>
    <b v="0"/>
    <s v="No está en VPC"/>
    <n v="767"/>
    <s v="INTPG_PC_767_1.11-14"/>
    <s v="ISEL-1.11"/>
    <n v="1"/>
    <s v="NO TIENE L3OUT"/>
    <n v="60"/>
    <n v="54"/>
  </r>
  <r>
    <n v="827"/>
    <x v="2"/>
    <x v="169"/>
    <s v="eth1/11"/>
    <x v="0"/>
    <x v="0"/>
    <x v="0"/>
    <s v="LINK_TO_ITHFHWCBSDSUSBD09 /Slot5.2 /Principal"/>
    <x v="0"/>
    <b v="0"/>
    <s v="No está en VPC"/>
    <n v="827"/>
    <s v="INTPG_VPC_827_1.11_831_1.11"/>
    <s v="ISEL-1.11"/>
    <n v="2"/>
    <s v="NO TIENE L3OUT"/>
    <n v="14"/>
    <n v="54"/>
  </r>
  <r>
    <n v="809"/>
    <x v="2"/>
    <x v="170"/>
    <s v="eth1/11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11"/>
    <x v="0"/>
    <x v="0"/>
    <x v="0"/>
    <s v="Portchannel_3_R4B"/>
    <x v="0"/>
    <b v="0"/>
    <s v="No está en VPC"/>
    <n v="771"/>
    <s v="INTPG_PC_771_1.11-12"/>
    <s v="ISEL-1.11"/>
    <n v="8"/>
    <s v="NO TIENE L3OUT"/>
    <n v="62"/>
    <n v="54"/>
  </r>
  <r>
    <n v="761"/>
    <x v="2"/>
    <x v="172"/>
    <s v="eth1/11"/>
    <x v="0"/>
    <x v="1"/>
    <x v="1"/>
    <m/>
    <x v="0"/>
    <b v="0"/>
    <s v="No está en VPC"/>
    <n v="761"/>
    <s v="INTPG_VPC_760_1.9-12_761_1.9-12"/>
    <s v="ISEL-1.11"/>
    <n v="0"/>
    <s v="L3OUT-EXACLOUD"/>
    <n v="0"/>
    <n v="54"/>
  </r>
  <r>
    <n v="776"/>
    <x v="2"/>
    <x v="173"/>
    <s v="eth1/11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11"/>
    <x v="0"/>
    <x v="0"/>
    <x v="0"/>
    <s v="TO-HDPS_61-MSP"/>
    <x v="0"/>
    <b v="0"/>
    <s v="No está en VPC"/>
    <n v="805"/>
    <s v="INTPG_ACC_805_1.11"/>
    <s v="ISEL-1.11"/>
    <n v="1"/>
    <s v="NO TIENE L3OUT"/>
    <n v="44"/>
    <n v="54"/>
  </r>
  <r>
    <n v="772"/>
    <x v="2"/>
    <x v="175"/>
    <s v="eth1/11"/>
    <x v="0"/>
    <x v="0"/>
    <x v="0"/>
    <s v="Portchannel_2_R2"/>
    <x v="0"/>
    <b v="0"/>
    <s v="No está en VPC"/>
    <n v="772"/>
    <s v="INTPG_PC_772_1.11-12"/>
    <s v="ISEL-1.11"/>
    <n v="8"/>
    <s v="NO TIENE L3OUT"/>
    <n v="82"/>
    <n v="54"/>
  </r>
  <r>
    <n v="785"/>
    <x v="2"/>
    <x v="176"/>
    <s v="eth1/11"/>
    <x v="0"/>
    <x v="0"/>
    <x v="0"/>
    <s v="ENIQ F2:itheniqr13bl04mws1r6a:Slot 2/2"/>
    <x v="0"/>
    <b v="0"/>
    <s v="No está en VPC"/>
    <n v="785"/>
    <s v="INTPG_ACC_785_1.11"/>
    <s v="ISEL-1.11"/>
    <n v="1"/>
    <s v="NO TIENE L3OUT"/>
    <n v="32"/>
    <n v="54"/>
  </r>
  <r>
    <n v="851"/>
    <x v="2"/>
    <x v="177"/>
    <s v="eth1/11"/>
    <x v="0"/>
    <x v="0"/>
    <x v="0"/>
    <s v="LINK_TO_ITHFHWCRMPLCN104 / Slot7.2_12 / Redundante"/>
    <x v="0"/>
    <b v="0"/>
    <s v="No está en VPC"/>
    <n v="851"/>
    <s v="INTPG_ACC_851_1.11"/>
    <s v="ISEL-1.11"/>
    <n v="2"/>
    <s v="NO TIENE L3OUT"/>
    <n v="282"/>
    <n v="54"/>
  </r>
  <r>
    <n v="798"/>
    <x v="2"/>
    <x v="178"/>
    <s v="eth1/11"/>
    <x v="0"/>
    <x v="0"/>
    <x v="0"/>
    <s v="TO-IMC_PS25-MSP"/>
    <x v="0"/>
    <b v="0"/>
    <s v="No está en VPC"/>
    <n v="798"/>
    <s v="INTPG_ACC_798_1.11"/>
    <s v="ISEL-1.11"/>
    <n v="1"/>
    <s v="NO TIENE L3OUT"/>
    <n v="52"/>
    <n v="54"/>
  </r>
  <r>
    <n v="782"/>
    <x v="2"/>
    <x v="179"/>
    <s v="eth1/11"/>
    <x v="0"/>
    <x v="0"/>
    <x v="0"/>
    <s v="itheniqr08bl04mws1r9b"/>
    <x v="0"/>
    <b v="0"/>
    <s v="No está en VPC"/>
    <n v="782"/>
    <s v="INTPG_ACC_782_1.11"/>
    <s v="ISEL-1.11"/>
    <n v="1"/>
    <s v="NO TIENE L3OUT"/>
    <n v="32"/>
    <n v="54"/>
  </r>
  <r>
    <n v="852"/>
    <x v="2"/>
    <x v="180"/>
    <s v="eth1/11"/>
    <x v="0"/>
    <x v="0"/>
    <x v="0"/>
    <s v="LINK_TO_ITHFHWCRMPLCN100 / Slot7.3_32 / Redundante"/>
    <x v="0"/>
    <b v="0"/>
    <s v="No está en VPC"/>
    <n v="852"/>
    <s v="INTPG_ACC_852_1.11"/>
    <s v="ISEL-1.11"/>
    <n v="1"/>
    <s v="NO TIENE L3OUT"/>
    <n v="258"/>
    <n v="54"/>
  </r>
  <r>
    <n v="817"/>
    <x v="2"/>
    <x v="181"/>
    <s v="eth1/11"/>
    <x v="0"/>
    <x v="0"/>
    <x v="0"/>
    <s v="LINK_TO_ITHFHWCBSPSUSBD08 /10GE.1 /Principal"/>
    <x v="0"/>
    <b v="0"/>
    <s v="No está en VPC"/>
    <n v="817"/>
    <s v="INTPG_VPC_817_1.11_822_1.11"/>
    <s v="ISEL-1.11"/>
    <n v="1"/>
    <s v="NO TIENE L3OUT"/>
    <n v="0"/>
    <n v="54"/>
  </r>
  <r>
    <n v="832"/>
    <x v="2"/>
    <x v="182"/>
    <s v="eth1/11"/>
    <x v="0"/>
    <x v="0"/>
    <x v="0"/>
    <s v="LINK_TO_ITHHWD6KV60014DKC01 /CtrlA_IOM1.P1 /Redundante"/>
    <x v="0"/>
    <b v="0"/>
    <s v="No está en VPC"/>
    <n v="832"/>
    <s v="INTPG_ACC_832_1.11"/>
    <s v="ISEL-1.11"/>
    <n v="1"/>
    <s v="NO TIENE L3OUT"/>
    <n v="192"/>
    <n v="54"/>
  </r>
  <r>
    <n v="816"/>
    <x v="2"/>
    <x v="183"/>
    <s v="eth1/11"/>
    <x v="0"/>
    <x v="0"/>
    <x v="0"/>
    <s v="LINK_TO_ITHFHWCBSPSUSBD13 /10GE.1 /Principal"/>
    <x v="0"/>
    <b v="0"/>
    <s v="No está en VPC"/>
    <n v="816"/>
    <s v="INTPG_VPC_816_1.11_821_1.11"/>
    <s v="ISEL-1.11"/>
    <n v="1"/>
    <s v="NO TIENE L3OUT"/>
    <n v="0"/>
    <n v="54"/>
  </r>
  <r>
    <n v="825"/>
    <x v="2"/>
    <x v="184"/>
    <s v="eth1/11"/>
    <x v="0"/>
    <x v="0"/>
    <x v="0"/>
    <s v="LINK_TO_ITHHWCRMPEN02 /X3-10GE 5 /Principal"/>
    <x v="0"/>
    <b v="0"/>
    <s v="No está en VPC"/>
    <n v="825"/>
    <s v="INTPG_VPC_820_1.7-8_10-11_825_1.7-8_10-11"/>
    <s v="ISEL-1.11"/>
    <n v="1"/>
    <s v="NO TIENE L3OUT"/>
    <n v="72"/>
    <n v="54"/>
  </r>
  <r>
    <n v="800"/>
    <x v="2"/>
    <x v="185"/>
    <s v="eth1/11"/>
    <x v="0"/>
    <x v="0"/>
    <x v="0"/>
    <s v="TO-CEPS_07-MSP"/>
    <x v="0"/>
    <b v="0"/>
    <s v="No está en VPC"/>
    <n v="800"/>
    <s v="INTPG_ACC_800_1.11"/>
    <s v="ISEL-1.11"/>
    <n v="1"/>
    <s v="NO TIENE L3OUT"/>
    <n v="78"/>
    <n v="54"/>
  </r>
  <r>
    <n v="801"/>
    <x v="2"/>
    <x v="186"/>
    <s v="eth1/11"/>
    <x v="0"/>
    <x v="0"/>
    <x v="0"/>
    <s v="TO-CEPS_07-MSP"/>
    <x v="0"/>
    <b v="0"/>
    <s v="No está en VPC"/>
    <n v="801"/>
    <s v="INTPG_ACC_801_1.11"/>
    <s v="ISEL-1.11"/>
    <n v="1"/>
    <s v="NO TIENE L3OUT"/>
    <n v="78"/>
    <n v="54"/>
  </r>
  <r>
    <n v="823"/>
    <x v="2"/>
    <x v="187"/>
    <s v="eth1/11"/>
    <x v="0"/>
    <x v="0"/>
    <x v="0"/>
    <s v="LINK_TO_ITHFHWCBSPSUSBD15 /Slot7.2 /Redundante"/>
    <x v="0"/>
    <b v="0"/>
    <s v="No está en VPC"/>
    <n v="823"/>
    <s v="INTPG_VPC_818_1.11_823_1.11"/>
    <s v="ISEL-1.11"/>
    <n v="2"/>
    <s v="NO TIENE L3OUT"/>
    <n v="8"/>
    <n v="54"/>
  </r>
  <r>
    <n v="837"/>
    <x v="2"/>
    <x v="188"/>
    <s v="eth1/11"/>
    <x v="0"/>
    <x v="0"/>
    <x v="0"/>
    <s v="LINK_TO_ITHFHWCBSPSUSBD28 / Slot1.1_8 / Principal"/>
    <x v="0"/>
    <b v="0"/>
    <s v="No está en VPC"/>
    <n v="837"/>
    <s v="INTPG_VPC_837_1.11_842_1.11"/>
    <s v="ISEL-1.11"/>
    <n v="2"/>
    <s v="NO TIENE L3OUT"/>
    <n v="8"/>
    <n v="54"/>
  </r>
  <r>
    <n v="867"/>
    <x v="2"/>
    <x v="189"/>
    <s v="eth1/11"/>
    <x v="0"/>
    <x v="0"/>
    <x v="0"/>
    <s v="TO-ITHFSUEXG2XCN02_PCI3.P2"/>
    <x v="0"/>
    <b v="0"/>
    <s v="No está en VPC"/>
    <n v="867"/>
    <s v="INTPG_ACC_867_1.11"/>
    <s v="ISEL-1.11"/>
    <n v="2"/>
    <s v="NO TIENE L3OUT"/>
    <n v="44"/>
    <n v="54"/>
  </r>
  <r>
    <n v="829"/>
    <x v="2"/>
    <x v="190"/>
    <s v="eth1/11"/>
    <x v="0"/>
    <x v="0"/>
    <x v="0"/>
    <s v="LINK_TO_ITHFHWCRMDLCN31 /Slot5.1 /Redundante"/>
    <x v="0"/>
    <b v="0"/>
    <s v="No está en VPC"/>
    <n v="829"/>
    <s v="INTPG_ACC_829_1.11"/>
    <s v="ISEL-1.11"/>
    <n v="2"/>
    <s v="NO TIENE L3OUT"/>
    <n v="224"/>
    <n v="54"/>
  </r>
  <r>
    <n v="831"/>
    <x v="2"/>
    <x v="191"/>
    <s v="eth1/11"/>
    <x v="0"/>
    <x v="0"/>
    <x v="0"/>
    <s v="LINK_TO_ITHFHWCBSDSUSBD09 /Slot7.2 /Redundante"/>
    <x v="0"/>
    <b v="0"/>
    <s v="No está en VPC"/>
    <n v="831"/>
    <s v="INTPG_VPC_827_1.11_831_1.11"/>
    <s v="ISEL-1.11"/>
    <n v="2"/>
    <s v="NO TIENE L3OUT"/>
    <n v="14"/>
    <n v="54"/>
  </r>
  <r>
    <n v="802"/>
    <x v="2"/>
    <x v="192"/>
    <s v="eth1/11"/>
    <x v="0"/>
    <x v="0"/>
    <x v="0"/>
    <s v="TO-HDPS_13-MSP"/>
    <x v="0"/>
    <b v="0"/>
    <s v="No está en VPC"/>
    <n v="802"/>
    <s v="INTPG_ACC_802_1.11"/>
    <s v="ISEL-1.11"/>
    <n v="1"/>
    <s v="NO TIENE L3OUT"/>
    <n v="48"/>
    <n v="54"/>
  </r>
  <r>
    <n v="835"/>
    <x v="2"/>
    <x v="193"/>
    <s v="eth1/11"/>
    <x v="0"/>
    <x v="0"/>
    <x v="0"/>
    <s v="LINK_TO_ITHFHWCBSPSWR57 / Slot1.2_26 / Principal"/>
    <x v="0"/>
    <b v="0"/>
    <s v="No está en VPC"/>
    <n v="835"/>
    <s v="INTPG_VPC_835_1.11_840_1.11"/>
    <s v="ISEL-1.11"/>
    <n v="1"/>
    <s v="NO TIENE L3OUT"/>
    <n v="8"/>
    <n v="54"/>
  </r>
  <r>
    <n v="822"/>
    <x v="2"/>
    <x v="194"/>
    <s v="eth1/11"/>
    <x v="0"/>
    <x v="0"/>
    <x v="0"/>
    <s v="LINK_TO_ITHFHWCBSPSUSBD08 /Slot5.1 /Redundante"/>
    <x v="0"/>
    <b v="0"/>
    <s v="No está en VPC"/>
    <n v="822"/>
    <s v="INTPG_VPC_817_1.11_822_1.11"/>
    <s v="ISEL-1.11"/>
    <n v="1"/>
    <s v="NO TIENE L3OUT"/>
    <n v="0"/>
    <n v="54"/>
  </r>
  <r>
    <n v="854"/>
    <x v="2"/>
    <x v="195"/>
    <s v="eth1/11"/>
    <x v="0"/>
    <x v="0"/>
    <x v="0"/>
    <s v="LINK_TO_ITHFHWCRMPLCN169 / Slot1.1_8 / Principal"/>
    <x v="0"/>
    <b v="0"/>
    <s v="No está en VPC"/>
    <n v="854"/>
    <s v="INTPG_ACC_854_1.11"/>
    <s v="ISEL-1.11"/>
    <n v="6"/>
    <s v="NO TIENE L3OUT"/>
    <n v="204"/>
    <n v="54"/>
  </r>
  <r>
    <n v="858"/>
    <x v="2"/>
    <x v="196"/>
    <s v="eth1/11"/>
    <x v="0"/>
    <x v="0"/>
    <x v="0"/>
    <s v="To_VPC_2DCBSD_HD40_2"/>
    <x v="0"/>
    <b v="0"/>
    <s v="No está en VPC"/>
    <n v="858"/>
    <s v="INTPG_VPC_858_1.11_863_1.11"/>
    <s v="ISEL-1.11"/>
    <n v="1"/>
    <s v="NO TIENE L3OUT"/>
    <n v="8"/>
    <n v="54"/>
  </r>
  <r>
    <n v="857"/>
    <x v="2"/>
    <x v="197"/>
    <s v="eth1/11"/>
    <x v="0"/>
    <x v="0"/>
    <x v="0"/>
    <s v="LINKT_TO_ITHFHWCRMPLCN119 / Slot1.1_8 / Principal"/>
    <x v="0"/>
    <b v="0"/>
    <s v="No está en VPC"/>
    <n v="857"/>
    <s v="INTPG_ACC_857_1.11"/>
    <s v="ISEL-1.11"/>
    <n v="6"/>
    <s v="NO TIENE L3OUT"/>
    <n v="288"/>
    <n v="54"/>
  </r>
  <r>
    <n v="859"/>
    <x v="2"/>
    <x v="198"/>
    <s v="eth1/11"/>
    <x v="0"/>
    <x v="0"/>
    <x v="0"/>
    <s v="To_VPC_2DCBSD_HD34_2"/>
    <x v="0"/>
    <b v="0"/>
    <s v="No está en VPC"/>
    <n v="859"/>
    <s v="INTPG_VPC_859_1.11_864_1.11"/>
    <s v="ISEL-1.11"/>
    <n v="1"/>
    <s v="NO TIENE L3OUT"/>
    <n v="0"/>
    <n v="54"/>
  </r>
  <r>
    <n v="833"/>
    <x v="2"/>
    <x v="199"/>
    <s v="eth1/11"/>
    <x v="0"/>
    <x v="0"/>
    <x v="0"/>
    <s v="LINK_TO_ITHFHWCRMDLCN31 /10GE.1 /Principal"/>
    <x v="0"/>
    <b v="0"/>
    <s v="No está en VPC"/>
    <n v="833"/>
    <s v="INTPG_ACC_833_1.11"/>
    <s v="ISEL-1.11"/>
    <n v="2"/>
    <s v="NO TIENE L3OUT"/>
    <n v="224"/>
    <n v="54"/>
  </r>
  <r>
    <n v="818"/>
    <x v="2"/>
    <x v="200"/>
    <s v="eth1/11"/>
    <x v="0"/>
    <x v="0"/>
    <x v="0"/>
    <s v="LINK_TO_ITHFHWCBSPSUSBD15 /Slot5.2 /Principal"/>
    <x v="0"/>
    <b v="0"/>
    <s v="No está en VPC"/>
    <n v="818"/>
    <s v="INTPG_VPC_818_1.11_823_1.11"/>
    <s v="ISEL-1.11"/>
    <n v="2"/>
    <s v="NO TIENE L3OUT"/>
    <n v="8"/>
    <n v="54"/>
  </r>
  <r>
    <n v="850"/>
    <x v="2"/>
    <x v="201"/>
    <s v="eth1/11"/>
    <x v="0"/>
    <x v="0"/>
    <x v="0"/>
    <s v="LINKT_TO_ITHFHWCRMPLCN119 / Slot7.1_8 / Redundante"/>
    <x v="0"/>
    <b v="0"/>
    <s v="No está en VPC"/>
    <n v="850"/>
    <s v="INTPG_ACC_850_1.11"/>
    <s v="ISEL-1.11"/>
    <n v="6"/>
    <s v="NO TIENE L3OUT"/>
    <n v="288"/>
    <n v="54"/>
  </r>
  <r>
    <n v="860"/>
    <x v="2"/>
    <x v="202"/>
    <s v="eth1/11"/>
    <x v="0"/>
    <x v="0"/>
    <x v="0"/>
    <s v="To_VPC_2DCBSD_HD26_2"/>
    <x v="0"/>
    <b v="0"/>
    <s v="No está en VPC"/>
    <n v="860"/>
    <s v="INTPG_VPC_860_1.11_865_1.11"/>
    <s v="ISEL-1.11"/>
    <n v="1"/>
    <s v="NO TIENE L3OUT"/>
    <n v="0"/>
    <n v="54"/>
  </r>
  <r>
    <n v="853"/>
    <x v="2"/>
    <x v="203"/>
    <s v="eth1/11"/>
    <x v="0"/>
    <x v="0"/>
    <x v="0"/>
    <s v="LINK_TO_ITHFHWCRMPLCN75 / Slot7.2_8 / Redundante"/>
    <x v="0"/>
    <b v="0"/>
    <s v="No está en VPC"/>
    <n v="853"/>
    <s v="INTPG_ACC_853_1.11"/>
    <s v="ISEL-1.11"/>
    <n v="2"/>
    <s v="NO TIENE L3OUT"/>
    <n v="242"/>
    <n v="54"/>
  </r>
  <r>
    <n v="790"/>
    <x v="2"/>
    <x v="204"/>
    <s v="eth1/11"/>
    <x v="0"/>
    <x v="0"/>
    <x v="0"/>
    <s v="LINK_TO_VPCA_NAS_ITHEMCPS5200TWPT3 / Nodo A INT 0.2 / Principal"/>
    <x v="0"/>
    <b v="0"/>
    <s v="No está en VPC"/>
    <n v="790"/>
    <s v="INTPG_VPC_790_1.11_791_1.11"/>
    <s v="ISEL-1.11"/>
    <n v="3"/>
    <s v="NO TIENE L3OUT"/>
    <n v="20"/>
    <n v="54"/>
  </r>
  <r>
    <n v="105"/>
    <x v="0"/>
    <x v="205"/>
    <s v="eth1/11"/>
    <x v="0"/>
    <x v="1"/>
    <x v="1"/>
    <s v="DESC"/>
    <x v="6"/>
    <b v="0"/>
    <s v="No está en VPC"/>
    <n v="105"/>
    <s v="INTPG_PC_105_1.6-12_38"/>
    <s v="ISEL-1.11"/>
    <n v="17"/>
    <s v="NO TIENE L3OUT"/>
    <n v="106"/>
    <n v="96"/>
  </r>
  <r>
    <n v="117"/>
    <x v="0"/>
    <x v="206"/>
    <s v="eth1/11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11"/>
    <x v="0"/>
    <x v="1"/>
    <x v="1"/>
    <s v="SFLDI"/>
    <x v="6"/>
    <b v="0"/>
    <s v="No está en VPC"/>
    <n v="104"/>
    <s v="INTPG_ACC_104_1.11"/>
    <s v="ISEL-1.11"/>
    <n v="1"/>
    <s v="NO TIENE L3OUT"/>
    <n v="194"/>
    <n v="96"/>
  </r>
  <r>
    <n v="158"/>
    <x v="0"/>
    <x v="208"/>
    <s v="eth1/11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11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11"/>
    <x v="0"/>
    <x v="0"/>
    <x v="0"/>
    <s v="HACIA_MGMT-OSCP-F4-11_PRINCIPAL"/>
    <x v="4"/>
    <b v="0"/>
    <s v="No está en VPC"/>
    <n v="879"/>
    <s v="INTPG_VPC_878_1.11_879_1.11"/>
    <s v="ISEL-1.11"/>
    <n v="1"/>
    <s v="NO TIENE L3OUT"/>
    <n v="0"/>
    <n v="54"/>
  </r>
  <r>
    <n v="108"/>
    <x v="0"/>
    <x v="211"/>
    <s v="eth1/11"/>
    <x v="0"/>
    <x v="0"/>
    <x v="0"/>
    <s v="IXT01PP, IXT02PP, IXT05PP"/>
    <x v="6"/>
    <b v="0"/>
    <s v="No está en VPC"/>
    <n v="108"/>
    <s v="INTPG_ACC_108_1.11"/>
    <s v="ISEL-1.11"/>
    <n v="1"/>
    <s v="NO TIENE L3OUT"/>
    <n v="126"/>
    <n v="96"/>
  </r>
  <r>
    <n v="112"/>
    <x v="0"/>
    <x v="212"/>
    <s v="eth1/11"/>
    <x v="0"/>
    <x v="0"/>
    <x v="0"/>
    <s v="TO-ITHFHPNBURBKP01-PRINCIPAL"/>
    <x v="6"/>
    <b v="0"/>
    <s v="No está en VPC"/>
    <n v="112"/>
    <s v="INTPG_ACC_112_1.11"/>
    <s v="ISEL-1.11"/>
    <n v="1"/>
    <s v="NO TIENE L3OUT"/>
    <n v="144"/>
    <n v="96"/>
  </r>
  <r>
    <n v="107"/>
    <x v="0"/>
    <x v="213"/>
    <s v="eth1/11"/>
    <x v="0"/>
    <x v="0"/>
    <x v="0"/>
    <s v="PLATAFORMA NUMERACION "/>
    <x v="6"/>
    <b v="0"/>
    <s v="No está en VPC"/>
    <n v="107"/>
    <s v="INTPG_ACC_107_1.11"/>
    <s v="ISEL-1.11"/>
    <n v="1"/>
    <s v="NO TIENE L3OUT"/>
    <n v="118"/>
    <n v="96"/>
  </r>
  <r>
    <n v="109"/>
    <x v="0"/>
    <x v="214"/>
    <s v="eth1/11"/>
    <x v="0"/>
    <x v="0"/>
    <x v="0"/>
    <s v="ZSMART"/>
    <x v="6"/>
    <b v="0"/>
    <s v="No está en VPC"/>
    <n v="109"/>
    <s v="INTPG_ACC_109_1.11"/>
    <s v="ISEL-1.11"/>
    <n v="1"/>
    <s v="NO TIENE L3OUT"/>
    <n v="126"/>
    <n v="96"/>
  </r>
  <r>
    <n v="113"/>
    <x v="0"/>
    <x v="215"/>
    <s v="eth1/11"/>
    <x v="0"/>
    <x v="0"/>
    <x v="0"/>
    <s v="VYCAN"/>
    <x v="6"/>
    <b v="0"/>
    <s v="No está en VPC"/>
    <n v="113"/>
    <s v="INTPG_ACC_113_1.11"/>
    <s v="ISEL-1.11"/>
    <n v="1"/>
    <s v="NO TIENE L3OUT"/>
    <n v="52"/>
    <n v="96"/>
  </r>
  <r>
    <n v="114"/>
    <x v="0"/>
    <x v="216"/>
    <s v="eth1/11"/>
    <x v="0"/>
    <x v="1"/>
    <x v="1"/>
    <s v="SECAM"/>
    <x v="6"/>
    <b v="0"/>
    <s v="No está en VPC"/>
    <n v="114"/>
    <s v="INTPG_ACC_114_1.11"/>
    <s v="ISEL-1.11"/>
    <n v="1"/>
    <s v="NO TIENE L3OUT"/>
    <n v="144"/>
    <n v="96"/>
  </r>
  <r>
    <n v="124"/>
    <x v="0"/>
    <x v="217"/>
    <s v="eth1/11"/>
    <x v="0"/>
    <x v="1"/>
    <x v="1"/>
    <s v="GSM_ENIQ_TIJ"/>
    <x v="6"/>
    <b v="0"/>
    <s v="No está en VPC"/>
    <n v="124"/>
    <s v="INTPG_VPC_124_1.11_125_1.16"/>
    <s v="ISEL-1.11"/>
    <n v="10"/>
    <s v="NO TIENE L3OUT"/>
    <n v="80"/>
    <n v="96"/>
  </r>
  <r>
    <n v="118"/>
    <x v="0"/>
    <x v="218"/>
    <s v="eth1/11"/>
    <x v="1"/>
    <x v="1"/>
    <x v="2"/>
    <s v="COBROS NAVEGACION"/>
    <x v="6"/>
    <b v="0"/>
    <s v="No está en VPC"/>
    <n v="118"/>
    <s v="INTPG_ACC_118_1.11"/>
    <s v="ISEL-1.11"/>
    <n v="1"/>
    <s v="NO TIENE L3OUT"/>
    <n v="180"/>
    <n v="96"/>
  </r>
  <r>
    <n v="159"/>
    <x v="0"/>
    <x v="219"/>
    <s v="eth1/11"/>
    <x v="0"/>
    <x v="0"/>
    <x v="0"/>
    <s v="ArrobaDOC Y CF"/>
    <x v="6"/>
    <b v="0"/>
    <s v="No está en VPC"/>
    <n v="159"/>
    <s v="INTPG_ACC_159_1.11"/>
    <s v="ISEL-1.11"/>
    <n v="1"/>
    <s v="NO TIENE L3OUT"/>
    <n v="72"/>
    <n v="96"/>
  </r>
  <r>
    <n v="840"/>
    <x v="2"/>
    <x v="220"/>
    <s v="eth1/11"/>
    <x v="0"/>
    <x v="0"/>
    <x v="0"/>
    <s v="LINK_TO_ITHFHWCBSPSWR57 / Slot7.2_26 / Redundante"/>
    <x v="0"/>
    <b v="0"/>
    <s v="No está en VPC"/>
    <n v="840"/>
    <s v="INTPG_VPC_835_1.11_840_1.11"/>
    <s v="ISEL-1.11"/>
    <n v="1"/>
    <s v="NO TIENE L3OUT"/>
    <n v="8"/>
    <n v="54"/>
  </r>
  <r>
    <n v="856"/>
    <x v="2"/>
    <x v="221"/>
    <s v="eth1/11"/>
    <x v="0"/>
    <x v="0"/>
    <x v="0"/>
    <s v="LINK_TO_ITHFHWCRMPLCN138 / Slot1.1_10 / Principal"/>
    <x v="0"/>
    <b v="0"/>
    <s v="No está en VPC"/>
    <n v="856"/>
    <s v="INTPG_ACC_856_1.11"/>
    <s v="ISEL-1.11"/>
    <n v="6"/>
    <s v="NO TIENE L3OUT"/>
    <n v="286"/>
    <n v="54"/>
  </r>
  <r>
    <n v="110"/>
    <x v="0"/>
    <x v="222"/>
    <s v="eth1/11"/>
    <x v="1"/>
    <x v="1"/>
    <x v="2"/>
    <s v="BANCA MOVIL: Notificaciones"/>
    <x v="6"/>
    <b v="0"/>
    <s v="No está en VPC"/>
    <n v="110"/>
    <s v="INTPG_ACC_110_1.11"/>
    <s v="ISEL-1.11"/>
    <n v="0"/>
    <s v="NO TIENE L3OUT"/>
    <n v="102"/>
    <n v="96"/>
  </r>
  <r>
    <n v="163"/>
    <x v="0"/>
    <x v="223"/>
    <s v="eth1/11"/>
    <x v="0"/>
    <x v="0"/>
    <x v="0"/>
    <s v="DESC"/>
    <x v="6"/>
    <b v="0"/>
    <s v="No está en VPC"/>
    <n v="163"/>
    <s v="INTPG_PC_163_1.9-11"/>
    <s v="ISEL-1.11"/>
    <n v="0"/>
    <s v="NO TIENE L3OUT"/>
    <n v="140"/>
    <n v="96"/>
  </r>
  <r>
    <n v="407"/>
    <x v="1"/>
    <x v="224"/>
    <s v="eth1/11"/>
    <x v="0"/>
    <x v="0"/>
    <x v="0"/>
    <s v="RLR2ARI05_ilo"/>
    <x v="6"/>
    <b v="0"/>
    <s v="No está en VPC"/>
    <n v="407"/>
    <s v="INTPG_ACC_407_1.11"/>
    <s v="ISEL-1.11"/>
    <n v="1"/>
    <s v="NO TIENE L3OUT"/>
    <n v="122"/>
    <n v="96"/>
  </r>
  <r>
    <n v="171"/>
    <x v="0"/>
    <x v="225"/>
    <s v="eth1/11"/>
    <x v="0"/>
    <x v="0"/>
    <x v="0"/>
    <s v="OSS3GMX_CLIENT1"/>
    <x v="6"/>
    <b v="0"/>
    <s v="No está en VPC"/>
    <n v="171"/>
    <s v="INTPG_VPC_171_1.4_11_172_1.4_13"/>
    <s v="ISEL-1.11"/>
    <n v="10"/>
    <s v="NO TIENE L3OUT"/>
    <n v="114"/>
    <n v="96"/>
  </r>
  <r>
    <n v="421"/>
    <x v="1"/>
    <x v="226"/>
    <s v="eth1/11"/>
    <x v="0"/>
    <x v="0"/>
    <x v="0"/>
    <s v="VBLOCK3"/>
    <x v="6"/>
    <b v="0"/>
    <s v="No está en VPC"/>
    <n v="421"/>
    <s v="INTPG_VPC_419_1.11-12_421_1.11-12"/>
    <s v="ISEL-1.11"/>
    <n v="3"/>
    <s v="NO TIENE L3OUT"/>
    <n v="72"/>
    <n v="96"/>
  </r>
  <r>
    <n v="173"/>
    <x v="0"/>
    <x v="227"/>
    <s v="eth1/11"/>
    <x v="0"/>
    <x v="1"/>
    <x v="1"/>
    <s v="ENIQ"/>
    <x v="6"/>
    <b v="0"/>
    <s v="No está en VPC"/>
    <n v="173"/>
    <s v="INTPG_ACC_173_1.11"/>
    <s v="ISEL-1.11"/>
    <n v="1"/>
    <s v="NO TIENE L3OUT"/>
    <n v="66"/>
    <n v="96"/>
  </r>
  <r>
    <n v="154"/>
    <x v="0"/>
    <x v="228"/>
    <s v="eth1/11"/>
    <x v="0"/>
    <x v="0"/>
    <x v="0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11"/>
    <x v="0"/>
    <x v="0"/>
    <x v="0"/>
    <m/>
    <x v="6"/>
    <b v="0"/>
    <s v="No está en VPC"/>
    <n v="172"/>
    <s v="INTPG_ACC_172_1.11"/>
    <s v="ISEL-1.11"/>
    <n v="1"/>
    <s v="NO TIENE L3OUT"/>
    <n v="104"/>
    <n v="96"/>
  </r>
  <r>
    <n v="420"/>
    <x v="1"/>
    <x v="230"/>
    <s v="eth1/11"/>
    <x v="0"/>
    <x v="1"/>
    <x v="1"/>
    <s v="PORTAB_ILOM"/>
    <x v="6"/>
    <b v="0"/>
    <s v="No está en VPC"/>
    <n v="420"/>
    <s v="INTPG_ACC_420_1.11"/>
    <s v="ISEL-1.11"/>
    <n v="1"/>
    <s v="NO TIENE L3OUT"/>
    <n v="158"/>
    <n v="96"/>
  </r>
  <r>
    <n v="423"/>
    <x v="1"/>
    <x v="231"/>
    <s v="eth1/11"/>
    <x v="0"/>
    <x v="0"/>
    <x v="0"/>
    <s v="ITHPA03_eth0_IPMP-Activa"/>
    <x v="6"/>
    <b v="0"/>
    <s v="No está en VPC"/>
    <n v="423"/>
    <s v="INTPG_ACC_423_1.11"/>
    <s v="ISEL-1.11"/>
    <n v="1"/>
    <s v="NO TIENE L3OUT"/>
    <n v="86"/>
    <n v="96"/>
  </r>
  <r>
    <n v="415"/>
    <x v="1"/>
    <x v="232"/>
    <s v="eth1/11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11"/>
    <x v="0"/>
    <x v="0"/>
    <x v="0"/>
    <s v="SFLDI:RLDIWEB04:1"/>
    <x v="6"/>
    <b v="0"/>
    <s v="No está en VPC"/>
    <n v="102"/>
    <s v="INTPG_ACC_102_1.11"/>
    <s v="ISEL-1.11"/>
    <n v="1"/>
    <s v="NO TIENE L3OUT"/>
    <n v="228"/>
    <n v="96"/>
  </r>
  <r>
    <n v="863"/>
    <x v="2"/>
    <x v="234"/>
    <s v="eth1/11"/>
    <x v="0"/>
    <x v="0"/>
    <x v="0"/>
    <s v="To_VPC_2DCBSD_HD40_2"/>
    <x v="0"/>
    <b v="0"/>
    <s v="No está en VPC"/>
    <n v="863"/>
    <s v="INTPG_VPC_858_1.11_863_1.11"/>
    <s v="ISEL-1.11"/>
    <n v="1"/>
    <s v="NO TIENE L3OUT"/>
    <n v="8"/>
    <n v="54"/>
  </r>
  <r>
    <n v="876"/>
    <x v="2"/>
    <x v="235"/>
    <s v="eth1/11"/>
    <x v="0"/>
    <x v="0"/>
    <x v="0"/>
    <s v="LINK_TO_ITHFHWSEQLCAS34 (GMR 2) / Slot 4 PTO 1 / Principal"/>
    <x v="4"/>
    <b v="0"/>
    <s v="No está en VPC"/>
    <n v="876"/>
    <s v="INTPG_ACC_876_1.11"/>
    <s v="ISEL-1.11"/>
    <n v="1"/>
    <s v="NO TIENE L3OUT"/>
    <n v="92"/>
    <n v="54"/>
  </r>
  <r>
    <n v="877"/>
    <x v="2"/>
    <x v="236"/>
    <s v="eth1/11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11"/>
    <x v="0"/>
    <x v="0"/>
    <x v="0"/>
    <s v="DESC"/>
    <x v="6"/>
    <b v="0"/>
    <s v="No está en VPC"/>
    <n v="122"/>
    <s v="INTPG_PC_122_1.10-14"/>
    <s v="ISEL-1.11"/>
    <n v="1"/>
    <s v="NO TIENE L3OUT"/>
    <n v="148"/>
    <n v="96"/>
  </r>
  <r>
    <n v="157"/>
    <x v="0"/>
    <x v="238"/>
    <s v="eth1/11"/>
    <x v="0"/>
    <x v="0"/>
    <x v="0"/>
    <s v="COBROS NAVEGACION"/>
    <x v="6"/>
    <b v="0"/>
    <s v="No está en VPC"/>
    <n v="157"/>
    <s v="INTPG_ACC_157_1.11"/>
    <s v="ISEL-1.11"/>
    <n v="1"/>
    <s v="NO TIENE L3OUT"/>
    <n v="202"/>
    <n v="96"/>
  </r>
  <r>
    <n v="408"/>
    <x v="1"/>
    <x v="239"/>
    <s v="eth1/11"/>
    <x v="0"/>
    <x v="0"/>
    <x v="0"/>
    <s v="RESPAL_CS5_ASAP8"/>
    <x v="6"/>
    <b v="0"/>
    <s v="No está en VPC"/>
    <n v="408"/>
    <s v="INTPG_ACC_408_1.11"/>
    <s v="ISEL-1.11"/>
    <n v="1"/>
    <s v="NO TIENE L3OUT"/>
    <n v="152"/>
    <n v="96"/>
  </r>
  <r>
    <n v="405"/>
    <x v="1"/>
    <x v="240"/>
    <s v="eth1/11"/>
    <x v="0"/>
    <x v="0"/>
    <x v="0"/>
    <s v="XL5 RLR5ARI01 iLO"/>
    <x v="6"/>
    <b v="0"/>
    <s v="No está en VPC"/>
    <n v="405"/>
    <s v="INTPG_ACC_405_1.11"/>
    <s v="ISEL-1.11"/>
    <n v="1"/>
    <s v="NO TIENE L3OUT"/>
    <n v="138"/>
    <n v="96"/>
  </r>
  <r>
    <n v="169"/>
    <x v="0"/>
    <x v="241"/>
    <s v="eth1/11"/>
    <x v="0"/>
    <x v="0"/>
    <x v="0"/>
    <s v="CIMC_HACIA_UCS_9UCS-IXTLA-SERV3"/>
    <x v="6"/>
    <b v="0"/>
    <s v="No está en VPC"/>
    <n v="169"/>
    <s v="INTPG_ACC_169_1.11"/>
    <s v="ISEL-1.11"/>
    <n v="1"/>
    <s v="NO TIENE L3OUT"/>
    <n v="76"/>
    <n v="96"/>
  </r>
  <r>
    <n v="165"/>
    <x v="0"/>
    <x v="242"/>
    <s v="eth1/11"/>
    <x v="0"/>
    <x v="1"/>
    <x v="1"/>
    <s v="Nomina"/>
    <x v="6"/>
    <b v="0"/>
    <s v="No está en VPC"/>
    <n v="165"/>
    <s v="INTPG_ACC_165_1.11"/>
    <s v="ISEL-1.11"/>
    <n v="1"/>
    <s v="NO TIENE L3OUT"/>
    <n v="86"/>
    <n v="96"/>
  </r>
  <r>
    <n v="417"/>
    <x v="1"/>
    <x v="243"/>
    <s v="eth1/11"/>
    <x v="0"/>
    <x v="0"/>
    <x v="0"/>
    <s v="IXTSRM1"/>
    <x v="6"/>
    <b v="0"/>
    <s v="No está en VPC"/>
    <n v="417"/>
    <s v="INTPG_ACC_417_1.11"/>
    <s v="ISEL-1.11"/>
    <n v="1"/>
    <s v="NO TIENE L3OUT"/>
    <n v="56"/>
    <n v="96"/>
  </r>
  <r>
    <n v="153"/>
    <x v="0"/>
    <x v="244"/>
    <s v="eth1/11"/>
    <x v="0"/>
    <x v="0"/>
    <x v="0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11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11"/>
    <x v="1"/>
    <x v="1"/>
    <x v="2"/>
    <s v="RED CRICKET"/>
    <x v="6"/>
    <b v="0"/>
    <s v="No está en VPC"/>
    <n v="156"/>
    <s v="INTPG_ACC_156_1.11"/>
    <s v="ISEL-1.11"/>
    <n v="1"/>
    <s v="NO TIENE L3OUT"/>
    <n v="40"/>
    <n v="96"/>
  </r>
  <r>
    <n v="103"/>
    <x v="0"/>
    <x v="247"/>
    <s v="eth1/11"/>
    <x v="0"/>
    <x v="1"/>
    <x v="1"/>
    <s v="CAMPANAS 01-02:uxcamp01:ent0"/>
    <x v="6"/>
    <b v="0"/>
    <s v="No está en VPC"/>
    <n v="103"/>
    <s v="INTPG_ACC_103_1.11"/>
    <s v="ISEL-1.11"/>
    <n v="1"/>
    <s v="NO TIENE L3OUT"/>
    <n v="70"/>
    <n v="96"/>
  </r>
  <r>
    <n v="438"/>
    <x v="1"/>
    <x v="248"/>
    <s v="eth1/11"/>
    <x v="0"/>
    <x v="0"/>
    <x v="0"/>
    <s v="uxdxsw1(RENACE)"/>
    <x v="6"/>
    <b v="0"/>
    <s v="No está en VPC"/>
    <n v="438"/>
    <s v="INTPG_ACC_438_1.11"/>
    <s v="ISEL-1.11"/>
    <n v="1"/>
    <s v="NO TIENE L3OUT"/>
    <n v="170"/>
    <n v="96"/>
  </r>
  <r>
    <n v="406"/>
    <x v="1"/>
    <x v="249"/>
    <s v="eth1/11"/>
    <x v="0"/>
    <x v="0"/>
    <x v="0"/>
    <s v="DESC"/>
    <x v="6"/>
    <b v="0"/>
    <s v="No está en VPC"/>
    <n v="406"/>
    <s v="INTPG_PC_406_1.11-12"/>
    <s v="ISEL-1.11"/>
    <n v="1"/>
    <s v="NO TIENE L3OUT"/>
    <n v="82"/>
    <n v="96"/>
  </r>
  <r>
    <n v="414"/>
    <x v="1"/>
    <x v="250"/>
    <s v="eth1/11"/>
    <x v="0"/>
    <x v="0"/>
    <x v="0"/>
    <s v="9UCS-IXTLA-WEBEX-SERV2"/>
    <x v="6"/>
    <b v="0"/>
    <s v="No está en VPC"/>
    <n v="414"/>
    <s v="INTPG_ACC_414_1.11"/>
    <s v="ISEL-1.11"/>
    <n v="1"/>
    <s v="NO TIENE L3OUT"/>
    <n v="144"/>
    <n v="96"/>
  </r>
  <r>
    <n v="416"/>
    <x v="1"/>
    <x v="251"/>
    <s v="eth1/11"/>
    <x v="0"/>
    <x v="0"/>
    <x v="0"/>
    <s v="sfmedp54-MEDVOZ_CLIENT9"/>
    <x v="6"/>
    <b v="0"/>
    <s v="No está en VPC"/>
    <n v="416"/>
    <s v="INTPG_VPC_416_1.11_418_1.11"/>
    <s v="ISEL-1.11"/>
    <n v="1"/>
    <s v="NO TIENE L3OUT"/>
    <n v="110"/>
    <n v="96"/>
  </r>
  <r>
    <n v="418"/>
    <x v="1"/>
    <x v="252"/>
    <s v="eth1/11"/>
    <x v="0"/>
    <x v="0"/>
    <x v="0"/>
    <s v="sfmedp54-MEDVOZ_CLIENT9"/>
    <x v="6"/>
    <b v="0"/>
    <s v="No está en VPC"/>
    <n v="418"/>
    <s v="INTPG_VPC_416_1.11_418_1.11"/>
    <s v="ISEL-1.11"/>
    <n v="1"/>
    <s v="NO TIENE L3OUT"/>
    <n v="152"/>
    <n v="96"/>
  </r>
  <r>
    <n v="413"/>
    <x v="1"/>
    <x v="253"/>
    <s v="eth1/11"/>
    <x v="0"/>
    <x v="0"/>
    <x v="0"/>
    <s v="DESC"/>
    <x v="6"/>
    <b v="0"/>
    <s v="No está en VPC"/>
    <n v="413"/>
    <s v="INTPG_PC_413_1.9-12"/>
    <s v="ISEL-1.11"/>
    <n v="1"/>
    <s v="NO TIENE L3OUT"/>
    <n v="126"/>
    <n v="96"/>
  </r>
  <r>
    <n v="403"/>
    <x v="1"/>
    <x v="254"/>
    <s v="eth1/11"/>
    <x v="0"/>
    <x v="0"/>
    <x v="0"/>
    <s v="XL5 RLR5ARI01"/>
    <x v="6"/>
    <b v="0"/>
    <s v="No está en VPC"/>
    <n v="403"/>
    <s v="INTPG_ACC_403_1.11"/>
    <s v="ISEL-1.11"/>
    <n v="1"/>
    <s v="NO TIENE L3OUT"/>
    <n v="150"/>
    <n v="96"/>
  </r>
  <r>
    <n v="125"/>
    <x v="0"/>
    <x v="255"/>
    <s v="eth1/11"/>
    <x v="0"/>
    <x v="0"/>
    <x v="0"/>
    <s v="GSM_OSS_MTY"/>
    <x v="6"/>
    <b v="0"/>
    <s v="No está en VPC"/>
    <n v="125"/>
    <s v="INTPG_ACC_125_1.11"/>
    <s v="ISEL-1.11"/>
    <n v="1"/>
    <s v="NO TIENE L3OUT"/>
    <n v="72"/>
    <n v="96"/>
  </r>
  <r>
    <n v="166"/>
    <x v="0"/>
    <x v="256"/>
    <s v="eth1/11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11"/>
    <x v="1"/>
    <x v="1"/>
    <x v="2"/>
    <s v="SUN6900_E25K"/>
    <x v="6"/>
    <b v="0"/>
    <s v="No está en VPC"/>
    <n v="111"/>
    <s v="INTPG_ACC_111_1.11"/>
    <s v="ISEL-1.11"/>
    <n v="0"/>
    <s v="NO TIENE L3OUT"/>
    <n v="58"/>
    <n v="96"/>
  </r>
  <r>
    <n v="115"/>
    <x v="0"/>
    <x v="258"/>
    <s v="eth1/11"/>
    <x v="0"/>
    <x v="1"/>
    <x v="1"/>
    <s v="ENCLOSURES VMTLCLAMX2"/>
    <x v="6"/>
    <b v="0"/>
    <s v="No está en VPC"/>
    <n v="115"/>
    <s v="INTPG_ACC_115_1.11"/>
    <s v="ISEL-1.11"/>
    <n v="1"/>
    <s v="NO TIENE L3OUT"/>
    <n v="42"/>
    <n v="96"/>
  </r>
  <r>
    <n v="106"/>
    <x v="0"/>
    <x v="259"/>
    <s v="eth1/11"/>
    <x v="0"/>
    <x v="0"/>
    <x v="0"/>
    <s v="PLATAFORMA NUMERACION "/>
    <x v="6"/>
    <b v="0"/>
    <s v="No está en VPC"/>
    <n v="106"/>
    <s v="INTPG_ACC_106_1.11"/>
    <s v="ISEL-1.11"/>
    <n v="1"/>
    <s v="NO TIENE L3OUT"/>
    <n v="122"/>
    <n v="96"/>
  </r>
  <r>
    <n v="126"/>
    <x v="0"/>
    <x v="260"/>
    <s v="eth1/11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11"/>
    <x v="0"/>
    <x v="1"/>
    <x v="1"/>
    <s v="VTA_F5_2_eth3"/>
    <x v="6"/>
    <b v="0"/>
    <s v="No está en VPC"/>
    <n v="425"/>
    <s v="INTPG_ACC_425_1.11"/>
    <s v="ISEL-1.11"/>
    <n v="1"/>
    <s v="NO TIENE L3OUT"/>
    <n v="86"/>
    <n v="96"/>
  </r>
  <r>
    <n v="151"/>
    <x v="0"/>
    <x v="262"/>
    <s v="eth1/11"/>
    <x v="0"/>
    <x v="0"/>
    <x v="0"/>
    <s v="DASHBOARD"/>
    <x v="6"/>
    <b v="0"/>
    <s v="No está en VPC"/>
    <n v="151"/>
    <s v="INTPG_ACC_151_1.11"/>
    <s v="ISEL-1.11"/>
    <n v="1"/>
    <s v="NO TIENE L3OUT"/>
    <n v="86"/>
    <n v="96"/>
  </r>
  <r>
    <n v="430"/>
    <x v="1"/>
    <x v="263"/>
    <s v="eth1/11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11"/>
    <x v="0"/>
    <x v="0"/>
    <x v="0"/>
    <s v="VBLOCK3"/>
    <x v="6"/>
    <b v="0"/>
    <s v="No está en VPC"/>
    <n v="419"/>
    <s v="INTPG_VPC_419_1.11-12_421_1.11-12"/>
    <s v="ISEL-1.11"/>
    <n v="3"/>
    <s v="NO TIENE L3OUT"/>
    <n v="70"/>
    <n v="96"/>
  </r>
  <r>
    <n v="155"/>
    <x v="0"/>
    <x v="265"/>
    <s v="eth1/11"/>
    <x v="1"/>
    <x v="1"/>
    <x v="2"/>
    <s v="Circulo Azul M5000"/>
    <x v="6"/>
    <b v="0"/>
    <s v="No está en VPC"/>
    <n v="155"/>
    <s v="INTPG_ACC_155_1.11"/>
    <s v="ISEL-1.11"/>
    <n v="1"/>
    <s v="NO TIENE L3OUT"/>
    <n v="198"/>
    <n v="96"/>
  </r>
  <r>
    <n v="409"/>
    <x v="1"/>
    <x v="266"/>
    <s v="eth1/11"/>
    <x v="0"/>
    <x v="1"/>
    <x v="1"/>
    <s v="VBLOCK2_CLNT"/>
    <x v="6"/>
    <b v="0"/>
    <s v="No está en VPC"/>
    <n v="409"/>
    <s v="INTPG_VPC_407_1.12_409_1.11"/>
    <s v="ISEL-1.11"/>
    <n v="3"/>
    <s v="NO TIENE L3OUT"/>
    <n v="128"/>
    <n v="96"/>
  </r>
  <r>
    <n v="422"/>
    <x v="1"/>
    <x v="267"/>
    <s v="eth1/11"/>
    <x v="0"/>
    <x v="0"/>
    <x v="0"/>
    <s v="B6200A_DT_2"/>
    <x v="6"/>
    <b v="0"/>
    <s v="No está en VPC"/>
    <n v="422"/>
    <s v="INTPG_ACC_422_1.11"/>
    <s v="ISEL-1.11"/>
    <n v="1"/>
    <s v="NO TIENE L3OUT"/>
    <n v="182"/>
    <n v="96"/>
  </r>
  <r>
    <n v="436"/>
    <x v="1"/>
    <x v="268"/>
    <s v="eth1/11"/>
    <x v="0"/>
    <x v="0"/>
    <x v="0"/>
    <s v="uxdxpdu1(RENACE)"/>
    <x v="6"/>
    <b v="0"/>
    <s v="No está en VPC"/>
    <n v="436"/>
    <s v="INTPG_ACC_436_1.11"/>
    <s v="ISEL-1.11"/>
    <n v="1"/>
    <s v="NO TIENE L3OUT"/>
    <n v="172"/>
    <n v="96"/>
  </r>
  <r>
    <n v="410"/>
    <x v="1"/>
    <x v="269"/>
    <s v="eth1/11"/>
    <x v="1"/>
    <x v="1"/>
    <x v="2"/>
    <m/>
    <x v="6"/>
    <b v="0"/>
    <s v="No está en VPC"/>
    <n v="410"/>
    <s v="NO EXISTE PG"/>
    <s v="NO EXISTE ISEL"/>
    <n v="0"/>
    <s v="NO TIENE L3OUT"/>
    <n v="178"/>
    <n v="96"/>
  </r>
  <r>
    <n v="161"/>
    <x v="0"/>
    <x v="270"/>
    <s v="eth1/11"/>
    <x v="0"/>
    <x v="0"/>
    <x v="0"/>
    <s v="DESC"/>
    <x v="6"/>
    <b v="0"/>
    <s v="No está en VPC"/>
    <n v="161"/>
    <s v="INTPG_PC_161_1.9_11_13"/>
    <s v="ISEL-1.11"/>
    <n v="1"/>
    <s v="NO TIENE L3OUT"/>
    <n v="102"/>
    <n v="96"/>
  </r>
  <r>
    <n v="411"/>
    <x v="1"/>
    <x v="271"/>
    <s v="eth1/11"/>
    <x v="0"/>
    <x v="0"/>
    <x v="0"/>
    <s v="DESC"/>
    <x v="6"/>
    <b v="0"/>
    <s v="No está en VPC"/>
    <n v="411"/>
    <s v="INTPG_PC_411_1.9-12"/>
    <s v="ISEL-1.11"/>
    <n v="1"/>
    <s v="NO TIENE L3OUT"/>
    <n v="96"/>
    <n v="96"/>
  </r>
  <r>
    <n v="116"/>
    <x v="0"/>
    <x v="272"/>
    <s v="eth1/11"/>
    <x v="0"/>
    <x v="0"/>
    <x v="0"/>
    <s v="COBROS NAVEGACION"/>
    <x v="6"/>
    <b v="0"/>
    <s v="No está en VPC"/>
    <n v="116"/>
    <s v="INTPG_ACC_116_1.11"/>
    <s v="ISEL-1.11"/>
    <n v="1"/>
    <s v="NO TIENE L3OUT"/>
    <n v="148"/>
    <n v="96"/>
  </r>
  <r>
    <n v="412"/>
    <x v="1"/>
    <x v="273"/>
    <s v="eth1/11"/>
    <x v="0"/>
    <x v="1"/>
    <x v="1"/>
    <s v="Suspend4"/>
    <x v="6"/>
    <b v="0"/>
    <s v="No está en VPC"/>
    <n v="412"/>
    <s v="INTPG_ACC_412_1.11"/>
    <s v="ISEL-1.11"/>
    <n v="1"/>
    <s v="NO TIENE L3OUT"/>
    <n v="126"/>
    <n v="96"/>
  </r>
  <r>
    <n v="120"/>
    <x v="0"/>
    <x v="274"/>
    <s v="eth1/11"/>
    <x v="1"/>
    <x v="1"/>
    <x v="2"/>
    <s v="DESC"/>
    <x v="6"/>
    <b v="0"/>
    <s v="No está en VPC"/>
    <n v="120"/>
    <s v="INTPG_PC_120_1.10-14"/>
    <s v="ISEL-1.11"/>
    <n v="1"/>
    <s v="NO TIENE L3OUT"/>
    <n v="158"/>
    <n v="96"/>
  </r>
  <r>
    <n v="404"/>
    <x v="1"/>
    <x v="275"/>
    <s v="eth1/11"/>
    <x v="0"/>
    <x v="0"/>
    <x v="0"/>
    <s v="DESC"/>
    <x v="6"/>
    <b v="0"/>
    <s v="No está en VPC"/>
    <n v="404"/>
    <s v="INTPG_PC_404_1.11-12"/>
    <s v="ISEL-1.11"/>
    <n v="1"/>
    <s v="NO TIENE L3OUT"/>
    <n v="92"/>
    <n v="96"/>
  </r>
  <r>
    <n v="167"/>
    <x v="0"/>
    <x v="276"/>
    <s v="eth1/11"/>
    <x v="0"/>
    <x v="0"/>
    <x v="0"/>
    <s v="LINKDOWN_HACIA_UCS_9UCS-IXTLA-SERV1"/>
    <x v="6"/>
    <b v="0"/>
    <s v="No está en VPC"/>
    <n v="167"/>
    <s v="INTPG_ACC_167_1.11"/>
    <s v="ISEL-1.11"/>
    <n v="1"/>
    <s v="NO TIENE L3OUT"/>
    <n v="68"/>
    <n v="96"/>
  </r>
  <r>
    <n v="428"/>
    <x v="1"/>
    <x v="277"/>
    <s v="eth1/11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903"/>
    <x v="2"/>
    <x v="278"/>
    <s v="eth1/1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1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12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12"/>
    <x v="0"/>
    <x v="0"/>
    <x v="0"/>
    <m/>
    <x v="1"/>
    <b v="0"/>
    <s v="No está en VPC"/>
    <n v="123"/>
    <s v="INTPG_ACC_123_1.12"/>
    <s v="ISEL-1.12"/>
    <n v="1"/>
    <s v="NO TIENE L3OUT"/>
    <n v="20"/>
    <n v="54"/>
  </r>
  <r>
    <n v="152"/>
    <x v="0"/>
    <x v="2"/>
    <s v="eth1/12"/>
    <x v="0"/>
    <x v="0"/>
    <x v="0"/>
    <s v="IXTPA2LS"/>
    <x v="1"/>
    <b v="0"/>
    <s v="No está en VPC"/>
    <n v="152"/>
    <s v="INTPG_ACC_152_1.12"/>
    <s v="ISEL-1.12"/>
    <n v="1"/>
    <s v="NO TIENE L3OUT"/>
    <n v="38"/>
    <n v="54"/>
  </r>
  <r>
    <n v="101"/>
    <x v="0"/>
    <x v="3"/>
    <s v="eth1/12"/>
    <x v="0"/>
    <x v="0"/>
    <x v="0"/>
    <s v="MSP_PROBES_Rack_2"/>
    <x v="0"/>
    <b v="0"/>
    <s v="No está en VPC"/>
    <n v="101"/>
    <s v="INTPG_VPC_101_1.12_150_1.12"/>
    <s v="ISEL-1.12"/>
    <n v="2"/>
    <s v="NO TIENE L3OUT"/>
    <n v="114"/>
    <n v="54"/>
  </r>
  <r>
    <n v="160"/>
    <x v="0"/>
    <x v="4"/>
    <s v="eth1/12"/>
    <x v="0"/>
    <x v="0"/>
    <x v="0"/>
    <s v="ArrobaDOC Y CF"/>
    <x v="1"/>
    <b v="0"/>
    <s v="No está en VPC"/>
    <n v="160"/>
    <s v="INTPG_ACC_160_1.12"/>
    <s v="ISEL-1.12"/>
    <n v="1"/>
    <s v="NO TIENE L3OUT"/>
    <n v="68"/>
    <n v="54"/>
  </r>
  <r>
    <n v="121"/>
    <x v="0"/>
    <x v="5"/>
    <s v="eth1/12"/>
    <x v="0"/>
    <x v="1"/>
    <x v="1"/>
    <s v="TEMIP_MGMT3"/>
    <x v="1"/>
    <b v="0"/>
    <s v="No está en VPC"/>
    <n v="121"/>
    <s v="INTPG_ACC_121_1.12"/>
    <s v="ISEL-1.12"/>
    <n v="1"/>
    <s v="NO TIENE L3OUT"/>
    <n v="14"/>
    <n v="54"/>
  </r>
  <r>
    <n v="129"/>
    <x v="0"/>
    <x v="6"/>
    <s v="eth1/12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12"/>
    <x v="0"/>
    <x v="1"/>
    <x v="3"/>
    <m/>
    <x v="0"/>
    <b v="0"/>
    <s v="No está en VPC"/>
    <n v="401"/>
    <s v="NO EXISTE PG"/>
    <s v="NO EXISTE ISEL"/>
    <n v="0"/>
    <s v="NO TIENE L3OUT"/>
    <n v="40"/>
    <n v="54"/>
  </r>
  <r>
    <n v="402"/>
    <x v="1"/>
    <x v="8"/>
    <s v="eth1/12"/>
    <x v="0"/>
    <x v="1"/>
    <x v="3"/>
    <m/>
    <x v="0"/>
    <b v="0"/>
    <s v="No está en VPC"/>
    <n v="402"/>
    <s v="NO EXISTE PG"/>
    <s v="NO EXISTE ISEL"/>
    <n v="0"/>
    <s v="NO TIENE L3OUT"/>
    <n v="36"/>
    <n v="54"/>
  </r>
  <r>
    <n v="447"/>
    <x v="1"/>
    <x v="9"/>
    <s v="eth1/12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12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12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12"/>
    <x v="0"/>
    <x v="0"/>
    <x v="0"/>
    <s v="MSP_PROBES_Rack_2"/>
    <x v="0"/>
    <b v="0"/>
    <s v="No está en VPC"/>
    <n v="150"/>
    <s v="INTPG_VPC_101_1.12_150_1.12"/>
    <s v="ISEL-1.12"/>
    <n v="2"/>
    <s v="NO TIENE L3OUT"/>
    <n v="118"/>
    <n v="54"/>
  </r>
  <r>
    <n v="131"/>
    <x v="0"/>
    <x v="13"/>
    <s v="eth1/12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12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12"/>
    <x v="0"/>
    <x v="0"/>
    <x v="0"/>
    <s v="GRLK LAG 02"/>
    <x v="2"/>
    <b v="0"/>
    <s v="No está en VPC"/>
    <n v="758"/>
    <s v="INTPG_VPC_758_1.12_759_1.12"/>
    <s v="ISEL-1.12"/>
    <n v="90"/>
    <s v="NO TIENE L3OUT"/>
    <n v="0"/>
    <n v="42"/>
  </r>
  <r>
    <n v="759"/>
    <x v="2"/>
    <x v="16"/>
    <s v="eth1/12"/>
    <x v="0"/>
    <x v="0"/>
    <x v="0"/>
    <s v="GRLK LAG 02"/>
    <x v="2"/>
    <b v="0"/>
    <s v="No está en VPC"/>
    <n v="759"/>
    <s v="INTPG_VPC_758_1.12_759_1.12"/>
    <s v="ISEL-1.12"/>
    <n v="90"/>
    <s v="NO TIENE L3OUT"/>
    <n v="0"/>
    <n v="42"/>
  </r>
  <r>
    <n v="302"/>
    <x v="0"/>
    <x v="17"/>
    <s v="eth1/12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12"/>
    <x v="0"/>
    <x v="0"/>
    <x v="0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12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12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12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12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12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12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12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12"/>
    <x v="0"/>
    <x v="0"/>
    <x v="0"/>
    <s v="TO-CONECTIVIDAD_HUAWEI_CLOUD_SALA_2_produccion_client_LAG"/>
    <x v="0"/>
    <b v="0"/>
    <s v="No está en VPC"/>
    <n v="431"/>
    <s v="INTPG_VPC_431_1.12-13_448_1.12-13"/>
    <s v="ISEL-1.12"/>
    <n v="52"/>
    <s v="NO TIENE L3OUT"/>
    <n v="46"/>
    <n v="54"/>
  </r>
  <r>
    <n v="433"/>
    <x v="1"/>
    <x v="27"/>
    <s v="eth1/12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12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12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12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12"/>
    <x v="0"/>
    <x v="0"/>
    <x v="0"/>
    <s v="TO-uxidmbd-NET1"/>
    <x v="1"/>
    <b v="0"/>
    <s v="No está en VPC"/>
    <n v="434"/>
    <s v="INTPG_ACC_434_1.12"/>
    <s v="ISEL-1.12"/>
    <n v="1"/>
    <s v="NO TIENE L3OUT"/>
    <n v="34"/>
    <n v="54"/>
  </r>
  <r>
    <n v="707"/>
    <x v="2"/>
    <x v="32"/>
    <s v="eth1/12"/>
    <x v="0"/>
    <x v="1"/>
    <x v="3"/>
    <s v="CEM:ITHCEMG2DAT06:LOM P3"/>
    <x v="0"/>
    <b v="0"/>
    <s v="No está en VPC"/>
    <n v="707"/>
    <s v="INTPG_ACC_707_1.12"/>
    <s v="ISEL-1.12"/>
    <n v="1"/>
    <s v="NO TIENE L3OUT"/>
    <n v="54"/>
    <n v="54"/>
  </r>
  <r>
    <n v="712"/>
    <x v="2"/>
    <x v="33"/>
    <s v="eth1/12"/>
    <x v="0"/>
    <x v="0"/>
    <x v="0"/>
    <s v="CEM:ITHCEMA2DAT06:LOM  P2"/>
    <x v="0"/>
    <b v="0"/>
    <s v="No está en VPC"/>
    <n v="712"/>
    <s v="INTPG_ACC_712_1.12"/>
    <s v="ISEL-1.12"/>
    <n v="1"/>
    <s v="NO TIENE L3OUT"/>
    <n v="32"/>
    <n v="54"/>
  </r>
  <r>
    <n v="719"/>
    <x v="2"/>
    <x v="34"/>
    <s v="eth1/12"/>
    <x v="0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12"/>
    <x v="0"/>
    <x v="0"/>
    <x v="0"/>
    <m/>
    <x v="0"/>
    <b v="0"/>
    <s v="No está en VPC"/>
    <n v="715"/>
    <s v="INTPG-VPC_HDD34_716_1.11_715_1.12"/>
    <s v="ISEL-1.12"/>
    <n v="1"/>
    <s v="NO TIENE L3OUT"/>
    <n v="0"/>
    <n v="54"/>
  </r>
  <r>
    <n v="427"/>
    <x v="1"/>
    <x v="36"/>
    <s v="eth1/12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12"/>
    <x v="0"/>
    <x v="1"/>
    <x v="5"/>
    <s v="CEM:ITHCEMD2DAT06:LOM  P2"/>
    <x v="0"/>
    <b v="0"/>
    <s v="No está en VPC"/>
    <n v="711"/>
    <s v="INTPG_VPC_710_1.11_711_1.12"/>
    <s v="ISEL-1.12"/>
    <n v="1"/>
    <s v="NO TIENE L3OUT"/>
    <n v="16"/>
    <n v="54"/>
  </r>
  <r>
    <n v="716"/>
    <x v="2"/>
    <x v="38"/>
    <s v="eth1/12"/>
    <x v="0"/>
    <x v="0"/>
    <x v="0"/>
    <m/>
    <x v="0"/>
    <b v="0"/>
    <s v="No está en VPC"/>
    <n v="716"/>
    <s v="INTPG-VPC_HDD43_715_1.11_716_1.12"/>
    <s v="ISEL-1.12"/>
    <n v="1"/>
    <s v="NO TIENE L3OUT"/>
    <n v="0"/>
    <n v="54"/>
  </r>
  <r>
    <n v="702"/>
    <x v="2"/>
    <x v="39"/>
    <s v="eth1/12"/>
    <x v="0"/>
    <x v="0"/>
    <x v="0"/>
    <m/>
    <x v="0"/>
    <b v="0"/>
    <s v="No está en VPC"/>
    <n v="702"/>
    <s v="INTPG_VPC_701_1.11_702_1.12"/>
    <s v="ISEL-1.12"/>
    <n v="2"/>
    <s v="NO TIENE L3OUT"/>
    <n v="0"/>
    <n v="54"/>
  </r>
  <r>
    <n v="435"/>
    <x v="1"/>
    <x v="40"/>
    <s v="eth1/12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12"/>
    <x v="0"/>
    <x v="0"/>
    <x v="0"/>
    <s v="TO-ITHFHPNBURBKP08"/>
    <x v="0"/>
    <b v="0"/>
    <s v="No está en VPC"/>
    <n v="446"/>
    <s v="INTPG_VPC_444_1.11_446_1.12"/>
    <s v="ISEL-1.12"/>
    <n v="1"/>
    <s v="NO TIENE L3OUT"/>
    <n v="198"/>
    <n v="54"/>
  </r>
  <r>
    <n v="444"/>
    <x v="1"/>
    <x v="42"/>
    <s v="eth1/12"/>
    <x v="0"/>
    <x v="0"/>
    <x v="0"/>
    <m/>
    <x v="0"/>
    <b v="0"/>
    <s v="No está en VPC"/>
    <n v="444"/>
    <s v="INTPG_ACC_444_1.12"/>
    <s v="ISEL-1.12"/>
    <n v="9"/>
    <s v="NO TIENE L3OUT"/>
    <n v="234"/>
    <n v="54"/>
  </r>
  <r>
    <n v="701"/>
    <x v="2"/>
    <x v="43"/>
    <s v="eth1/12"/>
    <x v="0"/>
    <x v="0"/>
    <x v="0"/>
    <m/>
    <x v="0"/>
    <b v="0"/>
    <s v="No está en VPC"/>
    <n v="701"/>
    <s v="INTPG_VPC_702_1.11_701_1.12"/>
    <s v="ISEL-1.12"/>
    <n v="1"/>
    <s v="NO TIENE L3OUT"/>
    <n v="0"/>
    <n v="54"/>
  </r>
  <r>
    <n v="440"/>
    <x v="1"/>
    <x v="44"/>
    <s v="eth1/12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12"/>
    <x v="0"/>
    <x v="0"/>
    <x v="0"/>
    <s v="TO-CONECTIVIDAD_HUAWEI_CLOUD_SALA_2_produccion_client_LAG"/>
    <x v="0"/>
    <b v="0"/>
    <s v="No está en VPC"/>
    <n v="448"/>
    <s v="INTPG_VPC_431_1.12-13_448_1.12-13"/>
    <s v="ISEL-1.12"/>
    <n v="52"/>
    <s v="NO TIENE L3OUT"/>
    <n v="46"/>
    <n v="54"/>
  </r>
  <r>
    <n v="704"/>
    <x v="2"/>
    <x v="46"/>
    <s v="eth1/12"/>
    <x v="0"/>
    <x v="0"/>
    <x v="0"/>
    <m/>
    <x v="0"/>
    <b v="0"/>
    <s v="No está en VPC"/>
    <n v="704"/>
    <s v="INTPG_VPC_703_1.11_704_1.12"/>
    <s v="ISEL-1.12"/>
    <n v="1"/>
    <s v="NO TIENE L3OUT"/>
    <n v="0"/>
    <n v="54"/>
  </r>
  <r>
    <n v="729"/>
    <x v="2"/>
    <x v="47"/>
    <s v="eth1/12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12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12"/>
    <x v="0"/>
    <x v="0"/>
    <x v="0"/>
    <s v="HACIA_MGMT-OSCP-F4-08_SECUNDARIO"/>
    <x v="4"/>
    <b v="0"/>
    <s v="No está en VPC"/>
    <n v="456"/>
    <s v="INTPG_VPC_454_1.12_456_1.12"/>
    <s v="ISEL-1.12"/>
    <n v="1"/>
    <s v="NO TIENE L3OUT"/>
    <n v="4"/>
    <n v="54"/>
  </r>
  <r>
    <n v="603"/>
    <x v="1"/>
    <x v="50"/>
    <s v="eth1/12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12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12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12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12"/>
    <x v="0"/>
    <x v="1"/>
    <x v="1"/>
    <m/>
    <x v="0"/>
    <b v="0"/>
    <s v="No está en VPC"/>
    <n v="722"/>
    <s v="INTPG-VPC_HDD115_723_1.11_722_1.12"/>
    <s v="ISEL-1.12"/>
    <n v="1"/>
    <s v="NO TIENE L3OUT"/>
    <n v="0"/>
    <n v="54"/>
  </r>
  <r>
    <n v="733"/>
    <x v="2"/>
    <x v="55"/>
    <s v="eth1/12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12"/>
    <x v="0"/>
    <x v="0"/>
    <x v="0"/>
    <s v="OSS F1:ithenmr08bl02nas2r9a:PCIe3 Slot 1/2"/>
    <x v="0"/>
    <b v="0"/>
    <s v="No está en VPC"/>
    <n v="755"/>
    <s v="INTPG_PC_755_1.9-12"/>
    <s v="ISEL-1.12"/>
    <n v="1"/>
    <s v="NO TIENE L3OUT"/>
    <n v="52"/>
    <n v="54"/>
  </r>
  <r>
    <n v="748"/>
    <x v="2"/>
    <x v="57"/>
    <s v="eth1/12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12"/>
    <x v="0"/>
    <x v="0"/>
    <x v="0"/>
    <s v="OSS F1:ithenmr08bl04ombsr9a:PCIe3 Slot 1/2"/>
    <x v="0"/>
    <b v="0"/>
    <s v="No está en VPC"/>
    <n v="756"/>
    <s v="INTPG_PC_756_1.9-12"/>
    <s v="ISEL-1.12"/>
    <n v="2"/>
    <s v="NO TIENE L3OUT"/>
    <n v="64"/>
    <n v="54"/>
  </r>
  <r>
    <n v="754"/>
    <x v="2"/>
    <x v="59"/>
    <s v="eth1/12"/>
    <x v="0"/>
    <x v="0"/>
    <x v="0"/>
    <s v="OSS F1:ithenmr04e1r9c:Bay1/X2"/>
    <x v="0"/>
    <b v="0"/>
    <s v="No está en VPC"/>
    <n v="754"/>
    <s v="INTPG_PC_754_1.11-12"/>
    <s v="ISEL-1.12"/>
    <n v="8"/>
    <s v="NO TIENE L3OUT"/>
    <n v="62"/>
    <n v="54"/>
  </r>
  <r>
    <n v="751"/>
    <x v="2"/>
    <x v="60"/>
    <s v="eth1/12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12"/>
    <x v="0"/>
    <x v="0"/>
    <x v="0"/>
    <s v="Portchannel_7_R1"/>
    <x v="0"/>
    <b v="0"/>
    <s v="No está en VPC"/>
    <n v="769"/>
    <s v="INTPG_PC_769_1.11-14"/>
    <s v="ISEL-1.12"/>
    <n v="1"/>
    <s v="NO TIENE L3OUT"/>
    <n v="60"/>
    <n v="54"/>
  </r>
  <r>
    <n v="742"/>
    <x v="2"/>
    <x v="62"/>
    <s v="eth1/12"/>
    <x v="0"/>
    <x v="1"/>
    <x v="1"/>
    <s v="CEM:ITHCEMB2DAT06:FLEXIO P1"/>
    <x v="5"/>
    <b v="0"/>
    <s v="No está en VPC"/>
    <n v="742"/>
    <s v="INTPG_ACC_742_1.12"/>
    <s v="ISEL-1.12"/>
    <n v="1"/>
    <s v="NO TIENE L3OUT"/>
    <n v="64"/>
    <n v="54"/>
  </r>
  <r>
    <n v="763"/>
    <x v="2"/>
    <x v="63"/>
    <s v="eth1/12"/>
    <x v="0"/>
    <x v="0"/>
    <x v="0"/>
    <s v="PAAS:ithhwoscopap012:LOM PORT 3"/>
    <x v="0"/>
    <b v="0"/>
    <s v="No está en VPC"/>
    <n v="763"/>
    <s v="INTPG_VPC_762_1.12_763_1.12"/>
    <s v="ISEL-1.12"/>
    <n v="15"/>
    <s v="NO TIENE L3OUT"/>
    <n v="2"/>
    <n v="54"/>
  </r>
  <r>
    <n v="766"/>
    <x v="2"/>
    <x v="64"/>
    <s v="eth1/12"/>
    <x v="0"/>
    <x v="0"/>
    <x v="0"/>
    <s v="Portchannel_7_R6A"/>
    <x v="0"/>
    <b v="0"/>
    <s v="No está en VPC"/>
    <n v="766"/>
    <s v="INTPG_PC_766_1.9-12"/>
    <s v="ISEL-1.12"/>
    <n v="1"/>
    <s v="NO TIENE L3OUT"/>
    <n v="58"/>
    <n v="54"/>
  </r>
  <r>
    <n v="760"/>
    <x v="2"/>
    <x v="65"/>
    <s v="eth1/12"/>
    <x v="0"/>
    <x v="1"/>
    <x v="1"/>
    <m/>
    <x v="0"/>
    <b v="0"/>
    <s v="No está en VPC"/>
    <n v="760"/>
    <s v="INTPG_VPC_760_1.9-12_761_1.9-12"/>
    <s v="ISEL-1.12"/>
    <n v="0"/>
    <s v="L3OUT-EXACLOUD"/>
    <n v="0"/>
    <n v="54"/>
  </r>
  <r>
    <n v="752"/>
    <x v="2"/>
    <x v="66"/>
    <s v="eth1/12"/>
    <x v="0"/>
    <x v="0"/>
    <x v="0"/>
    <s v="PAAS:ithhwosstpap003:Slot6.1"/>
    <x v="0"/>
    <b v="0"/>
    <s v="No está en VPC"/>
    <n v="752"/>
    <s v="INTPG_VPC_747_1.12_752_1.12"/>
    <s v="ISEL-1.12"/>
    <n v="25"/>
    <s v="NO TIENE L3OUT"/>
    <n v="0"/>
    <n v="54"/>
  </r>
  <r>
    <n v="765"/>
    <x v="2"/>
    <x v="67"/>
    <s v="eth1/12"/>
    <x v="0"/>
    <x v="0"/>
    <x v="0"/>
    <s v="Portchannel_3_R6A"/>
    <x v="0"/>
    <b v="0"/>
    <s v="No está en VPC"/>
    <n v="765"/>
    <s v="INTPG_PC_765_1.11-12"/>
    <s v="ISEL-1.12"/>
    <n v="8"/>
    <s v="NO TIENE L3OUT"/>
    <n v="60"/>
    <n v="54"/>
  </r>
  <r>
    <n v="778"/>
    <x v="2"/>
    <x v="68"/>
    <s v="eth1/12"/>
    <x v="0"/>
    <x v="0"/>
    <x v="0"/>
    <s v="ENIQ F1:itheniqr07mwsr2:Slot 2/1"/>
    <x v="0"/>
    <b v="0"/>
    <s v="No está en VPC"/>
    <n v="778"/>
    <s v="INTPG_ACC_778_1.12"/>
    <s v="ISEL-1.12"/>
    <n v="1"/>
    <s v="NO TIENE L3OUT"/>
    <n v="26"/>
    <n v="54"/>
  </r>
  <r>
    <n v="780"/>
    <x v="2"/>
    <x v="69"/>
    <s v="eth1/12"/>
    <x v="0"/>
    <x v="0"/>
    <x v="0"/>
    <s v="itheniqr04bl04mws1r1"/>
    <x v="0"/>
    <b v="0"/>
    <s v="No está en VPC"/>
    <n v="780"/>
    <s v="INTPG_ACC_780_1.12"/>
    <s v="ISEL-1.12"/>
    <n v="1"/>
    <s v="NO TIENE L3OUT"/>
    <n v="26"/>
    <n v="54"/>
  </r>
  <r>
    <n v="812"/>
    <x v="2"/>
    <x v="70"/>
    <s v="eth1/12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12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12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12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12"/>
    <x v="0"/>
    <x v="0"/>
    <x v="0"/>
    <s v="LINK_TO_ITHFHWCMVWPMA09 /Slot5.1 /Redundante"/>
    <x v="0"/>
    <b v="0"/>
    <s v="No está en VPC"/>
    <n v="824"/>
    <s v="INTPG_ACC_824_1.12"/>
    <s v="ISEL-1.12"/>
    <n v="1"/>
    <s v="NO TIENE L3OUT"/>
    <n v="70"/>
    <n v="54"/>
  </r>
  <r>
    <n v="819"/>
    <x v="2"/>
    <x v="75"/>
    <s v="eth1/12"/>
    <x v="0"/>
    <x v="0"/>
    <x v="0"/>
    <s v="LINK_TO_ITHFHWCMVWPMA09 /10GE.1 /Principal"/>
    <x v="0"/>
    <b v="0"/>
    <s v="No está en VPC"/>
    <n v="819"/>
    <s v="INTPG_ACC_819_1.12"/>
    <s v="ISEL-1.12"/>
    <n v="1"/>
    <s v="NO TIENE L3OUT"/>
    <n v="70"/>
    <n v="54"/>
  </r>
  <r>
    <n v="737"/>
    <x v="2"/>
    <x v="76"/>
    <s v="eth1/12"/>
    <x v="0"/>
    <x v="0"/>
    <x v="0"/>
    <s v="CEM:ITHCEME2DAT06:FLEXIO P1"/>
    <x v="5"/>
    <b v="0"/>
    <s v="No está en VPC"/>
    <n v="737"/>
    <s v="INTPG_ACC_737_1.12"/>
    <s v="ISEL-1.12"/>
    <n v="1"/>
    <s v="NO TIENE L3OUT"/>
    <n v="72"/>
    <n v="54"/>
  </r>
  <r>
    <n v="844"/>
    <x v="2"/>
    <x v="77"/>
    <s v="eth1/12"/>
    <x v="0"/>
    <x v="0"/>
    <x v="0"/>
    <s v="LINK_TO_ITHFHWCRMPLCN104 / Slot1.3_12 / Principal"/>
    <x v="0"/>
    <b v="0"/>
    <s v="No está en VPC"/>
    <n v="844"/>
    <s v="INTPG_ACC_844_1.12"/>
    <s v="ISEL-1.12"/>
    <n v="1"/>
    <s v="NO TIENE L3OUT"/>
    <n v="282"/>
    <n v="54"/>
  </r>
  <r>
    <n v="843"/>
    <x v="2"/>
    <x v="78"/>
    <s v="eth1/12"/>
    <x v="0"/>
    <x v="0"/>
    <x v="0"/>
    <s v="LINK_To_ITHFHWCBSPSUSBD27 / Slot7.1_8 / Redundante"/>
    <x v="0"/>
    <b v="0"/>
    <s v="No está en VPC"/>
    <n v="843"/>
    <s v="INTPG_VPC_838_1.12_843_1.12"/>
    <s v="ISEL-1.12"/>
    <n v="2"/>
    <s v="NO TIENE L3OUT"/>
    <n v="38"/>
    <n v="54"/>
  </r>
  <r>
    <n v="797"/>
    <x v="2"/>
    <x v="79"/>
    <s v="eth1/12"/>
    <x v="0"/>
    <x v="0"/>
    <x v="0"/>
    <s v="TO-HDPS_14-MSP"/>
    <x v="0"/>
    <b v="0"/>
    <s v="No está en VPC"/>
    <n v="797"/>
    <s v="INTPG_ACC_797_1.12"/>
    <s v="ISEL-1.12"/>
    <n v="1"/>
    <s v="NO TIENE L3OUT"/>
    <n v="48"/>
    <n v="54"/>
  </r>
  <r>
    <n v="839"/>
    <x v="2"/>
    <x v="80"/>
    <s v="eth1/12"/>
    <x v="0"/>
    <x v="0"/>
    <x v="0"/>
    <s v="LINK_TO_ITHFHWCBSPSWR61 / Slot7.3_10 / Redundante"/>
    <x v="0"/>
    <b v="0"/>
    <s v="No está en VPC"/>
    <n v="839"/>
    <s v="INTPG_VPC_834_1.12_839_1.12"/>
    <s v="ISEL-1.12"/>
    <n v="1"/>
    <s v="NO TIENE L3OUT"/>
    <n v="0"/>
    <n v="54"/>
  </r>
  <r>
    <n v="847"/>
    <x v="2"/>
    <x v="81"/>
    <s v="eth1/12"/>
    <x v="0"/>
    <x v="0"/>
    <x v="0"/>
    <s v="LINK_TO_ITHFHWCRMPLCN169 / Slot7.2_8 / Redundante"/>
    <x v="0"/>
    <b v="0"/>
    <s v="No está en VPC"/>
    <n v="847"/>
    <s v="INTPG_ACC_847_1.12"/>
    <s v="ISEL-1.12"/>
    <n v="2"/>
    <s v="NO TIENE L3OUT"/>
    <n v="204"/>
    <n v="54"/>
  </r>
  <r>
    <n v="848"/>
    <x v="2"/>
    <x v="82"/>
    <s v="eth1/12"/>
    <x v="0"/>
    <x v="0"/>
    <x v="0"/>
    <s v="LINK_TO_ITHFHWCRMPLCN158 / Slot7.2_18 / Redundante"/>
    <x v="0"/>
    <b v="0"/>
    <s v="No está en VPC"/>
    <n v="848"/>
    <s v="INTPG_ACC_848_1.12"/>
    <s v="ISEL-1.12"/>
    <n v="2"/>
    <s v="NO TIENE L3OUT"/>
    <n v="254"/>
    <n v="54"/>
  </r>
  <r>
    <n v="846"/>
    <x v="2"/>
    <x v="83"/>
    <s v="eth1/12"/>
    <x v="0"/>
    <x v="0"/>
    <x v="0"/>
    <s v="LINK_TO_ITHFHWCRMPLCN75 / Slot1.3_8 / Principal"/>
    <x v="0"/>
    <b v="0"/>
    <s v="No está en VPC"/>
    <n v="846"/>
    <s v="INTPG_ACC_846_1.12"/>
    <s v="ISEL-1.12"/>
    <n v="1"/>
    <s v="NO TIENE L3OUT"/>
    <n v="242"/>
    <n v="54"/>
  </r>
  <r>
    <n v="838"/>
    <x v="2"/>
    <x v="84"/>
    <s v="eth1/12"/>
    <x v="0"/>
    <x v="0"/>
    <x v="0"/>
    <s v="LINK_To_ITHFHWCBSPSUSBD27 / Slot1.1_8 / Principal"/>
    <x v="0"/>
    <b v="0"/>
    <s v="No está en VPC"/>
    <n v="838"/>
    <s v="INTPG_VPC_838_1.12_843_1.12"/>
    <s v="ISEL-1.12"/>
    <n v="2"/>
    <s v="NO TIENE L3OUT"/>
    <n v="38"/>
    <n v="54"/>
  </r>
  <r>
    <n v="849"/>
    <x v="2"/>
    <x v="85"/>
    <s v="eth1/12"/>
    <x v="0"/>
    <x v="0"/>
    <x v="0"/>
    <s v="LINK_TO_ITHFHWCRMPLCN138 / Slot7.2_10 / Redundante"/>
    <x v="0"/>
    <b v="0"/>
    <s v="No está en VPC"/>
    <n v="849"/>
    <s v="INTPG_ACC_849_1.12"/>
    <s v="ISEL-1.12"/>
    <n v="2"/>
    <s v="NO TIENE L3OUT"/>
    <n v="286"/>
    <n v="54"/>
  </r>
  <r>
    <n v="845"/>
    <x v="2"/>
    <x v="86"/>
    <s v="eth1/12"/>
    <x v="0"/>
    <x v="0"/>
    <x v="0"/>
    <s v="LINK_TO_ITHFHWCRMPLCN88 / Slot1.1_8 / Principal"/>
    <x v="0"/>
    <b v="0"/>
    <s v="No está en VPC"/>
    <n v="845"/>
    <s v="INTPG_ACC_845_1.12"/>
    <s v="ISEL-1.12"/>
    <n v="6"/>
    <s v="NO TIENE L3OUT"/>
    <n v="258"/>
    <n v="54"/>
  </r>
  <r>
    <n v="873"/>
    <x v="2"/>
    <x v="87"/>
    <s v="eth1/12"/>
    <x v="0"/>
    <x v="0"/>
    <x v="0"/>
    <s v="TO_ITHFHWCRMDLCN57_Principal"/>
    <x v="0"/>
    <b v="0"/>
    <s v="No está en VPC"/>
    <n v="873"/>
    <s v="INTPG_ACC_873_1.12"/>
    <s v="ISEL-1.12"/>
    <n v="6"/>
    <s v="NO TIENE L3OUT"/>
    <n v="248"/>
    <n v="54"/>
  </r>
  <r>
    <n v="864"/>
    <x v="2"/>
    <x v="88"/>
    <s v="eth1/12"/>
    <x v="0"/>
    <x v="0"/>
    <x v="0"/>
    <s v="To_VPC_2DCBSD_HD34_3"/>
    <x v="0"/>
    <b v="0"/>
    <s v="No está en VPC"/>
    <n v="864"/>
    <s v="INTPG_VPC_859_1.12_864_1.12"/>
    <s v="ISEL-1.12"/>
    <n v="1"/>
    <s v="NO TIENE L3OUT"/>
    <n v="0"/>
    <n v="54"/>
  </r>
  <r>
    <n v="836"/>
    <x v="2"/>
    <x v="89"/>
    <s v="eth1/12"/>
    <x v="0"/>
    <x v="0"/>
    <x v="0"/>
    <s v="LINK_TO_ITHFHWCBSPSWR49 / Slot1.2_26 / Principal"/>
    <x v="0"/>
    <b v="0"/>
    <s v="No está en VPC"/>
    <n v="836"/>
    <s v="INTPG_VPC_836_1.12_841_1.12"/>
    <s v="ISEL-1.12"/>
    <n v="1"/>
    <s v="NO TIENE L3OUT"/>
    <n v="0"/>
    <n v="54"/>
  </r>
  <r>
    <n v="834"/>
    <x v="2"/>
    <x v="90"/>
    <s v="eth1/12"/>
    <x v="0"/>
    <x v="0"/>
    <x v="0"/>
    <s v="LINK_TO_ITHFHWCBSPSWR61 / Slot1.3_10 / Principal"/>
    <x v="0"/>
    <b v="0"/>
    <s v="No está en VPC"/>
    <n v="834"/>
    <s v="INTPG_VPC_834_1.12_839_1.12"/>
    <s v="ISEL-1.12"/>
    <n v="1"/>
    <s v="NO TIENE L3OUT"/>
    <n v="0"/>
    <n v="54"/>
  </r>
  <r>
    <n v="872"/>
    <x v="2"/>
    <x v="91"/>
    <s v="eth1/12"/>
    <x v="0"/>
    <x v="0"/>
    <x v="0"/>
    <s v="To_ITHFHWCRMDLCN73_Principal"/>
    <x v="0"/>
    <b v="0"/>
    <s v="No está en VPC"/>
    <n v="872"/>
    <s v="INTPG_ACC_872_1.12"/>
    <s v="ISEL-1.12"/>
    <n v="6"/>
    <s v="NO TIENE L3OUT"/>
    <n v="288"/>
    <n v="54"/>
  </r>
  <r>
    <n v="842"/>
    <x v="2"/>
    <x v="92"/>
    <s v="eth1/12"/>
    <x v="0"/>
    <x v="0"/>
    <x v="0"/>
    <s v="LINK_TO_ITHFHWCBSPSUSBD28 / Slot7.2_8 / Redundante"/>
    <x v="0"/>
    <b v="0"/>
    <s v="No está en VPC"/>
    <n v="842"/>
    <s v="INTPG_VPC_837_1.12_842_1.12"/>
    <s v="ISEL-1.12"/>
    <n v="1"/>
    <s v="NO TIENE L3OUT"/>
    <n v="8"/>
    <n v="54"/>
  </r>
  <r>
    <n v="828"/>
    <x v="2"/>
    <x v="93"/>
    <s v="eth1/12"/>
    <x v="0"/>
    <x v="0"/>
    <x v="0"/>
    <s v="LINK_TO_ITHHWD6KV60014DKC01 /CtrlB_IOM0.P0 /Principal"/>
    <x v="0"/>
    <b v="0"/>
    <s v="No está en VPC"/>
    <n v="828"/>
    <s v="INTPG_ACC_828_1.12"/>
    <s v="ISEL-1.12"/>
    <n v="1"/>
    <s v="NO TIENE L3OUT"/>
    <n v="192"/>
    <n v="54"/>
  </r>
  <r>
    <n v="870"/>
    <x v="2"/>
    <x v="94"/>
    <s v="eth1/12"/>
    <x v="0"/>
    <x v="0"/>
    <x v="0"/>
    <s v="TO_ITHFHWCRMDLCN57_Redundante"/>
    <x v="0"/>
    <b v="0"/>
    <s v="No está en VPC"/>
    <n v="870"/>
    <s v="INTPG_ACC_870_1.12"/>
    <s v="ISEL-1.12"/>
    <n v="6"/>
    <s v="NO TIENE L3OUT"/>
    <n v="248"/>
    <n v="54"/>
  </r>
  <r>
    <n v="866"/>
    <x v="2"/>
    <x v="95"/>
    <s v="eth1/12"/>
    <x v="0"/>
    <x v="0"/>
    <x v="0"/>
    <s v="To_VPC_2DCBSD_HD20_2"/>
    <x v="0"/>
    <b v="0"/>
    <s v="No está en VPC"/>
    <n v="866"/>
    <s v="INTPG_VPC_861_1.12_866_1.12"/>
    <s v="ISEL-1.12"/>
    <n v="1"/>
    <s v="NO TIENE L3OUT"/>
    <n v="8"/>
    <n v="54"/>
  </r>
  <r>
    <n v="862"/>
    <x v="2"/>
    <x v="96"/>
    <s v="eth1/12"/>
    <x v="0"/>
    <x v="0"/>
    <x v="0"/>
    <s v="TO-ITHFSUEXG2XCN02_PCI8.P1"/>
    <x v="0"/>
    <b v="0"/>
    <s v="No está en VPC"/>
    <n v="862"/>
    <s v="INTPG_ACC_862_1.12"/>
    <s v="ISEL-1.12"/>
    <n v="2"/>
    <s v="NO TIENE L3OUT"/>
    <n v="44"/>
    <n v="54"/>
  </r>
  <r>
    <n v="855"/>
    <x v="2"/>
    <x v="97"/>
    <s v="eth1/12"/>
    <x v="0"/>
    <x v="0"/>
    <x v="0"/>
    <s v="LINK_TO_ITHFHWCRMPLCN158 / Slot1.2_18 / Principal"/>
    <x v="0"/>
    <b v="0"/>
    <s v="No está en VPC"/>
    <n v="855"/>
    <s v="INTPG_ACC_855_1.12"/>
    <s v="ISEL-1.12"/>
    <n v="2"/>
    <s v="NO TIENE L3OUT"/>
    <n v="254"/>
    <n v="54"/>
  </r>
  <r>
    <n v="871"/>
    <x v="2"/>
    <x v="98"/>
    <s v="eth1/12"/>
    <x v="0"/>
    <x v="0"/>
    <x v="0"/>
    <s v="TO_ITHFHWCRMDLCN84_Principal"/>
    <x v="0"/>
    <b v="0"/>
    <s v="No está en VPC"/>
    <n v="871"/>
    <s v="INTPG_ACC_871_1.12"/>
    <s v="ISEL-1.12"/>
    <n v="1"/>
    <s v="NO TIENE L3OUT"/>
    <n v="246"/>
    <n v="54"/>
  </r>
  <r>
    <n v="841"/>
    <x v="2"/>
    <x v="99"/>
    <s v="eth1/12"/>
    <x v="0"/>
    <x v="0"/>
    <x v="0"/>
    <s v="LINK_TO_ITHFHWCBSPSWR49 / Slot7.2_26 / Redundante"/>
    <x v="0"/>
    <b v="0"/>
    <s v="No está en VPC"/>
    <n v="841"/>
    <s v="INTPG_VPC_836_1.12_841_1.12"/>
    <s v="ISEL-1.12"/>
    <n v="1"/>
    <s v="NO TIENE L3OUT"/>
    <n v="0"/>
    <n v="54"/>
  </r>
  <r>
    <n v="868"/>
    <x v="2"/>
    <x v="100"/>
    <s v="eth1/12"/>
    <x v="0"/>
    <x v="0"/>
    <x v="0"/>
    <s v="TO_ITHFHWCRMDLCN84_Redundante"/>
    <x v="0"/>
    <b v="0"/>
    <s v="No está en VPC"/>
    <n v="868"/>
    <s v="INTPG_ACC_868_1.12"/>
    <s v="ISEL-1.12"/>
    <n v="1"/>
    <s v="NO TIENE L3OUT"/>
    <n v="246"/>
    <n v="54"/>
  </r>
  <r>
    <n v="869"/>
    <x v="2"/>
    <x v="101"/>
    <s v="eth1/12"/>
    <x v="0"/>
    <x v="0"/>
    <x v="0"/>
    <s v="To_ITHFHWCRMDLCN73_Redundante"/>
    <x v="0"/>
    <b v="0"/>
    <s v="No está en VPC"/>
    <n v="869"/>
    <s v="INTPG_ACC_869_1.12"/>
    <s v="ISEL-1.12"/>
    <n v="6"/>
    <s v="NO TIENE L3OUT"/>
    <n v="288"/>
    <n v="54"/>
  </r>
  <r>
    <n v="861"/>
    <x v="2"/>
    <x v="102"/>
    <s v="eth1/12"/>
    <x v="0"/>
    <x v="0"/>
    <x v="0"/>
    <s v="To_VPC_2DCBSD_HD20_2"/>
    <x v="0"/>
    <b v="0"/>
    <s v="No está en VPC"/>
    <n v="861"/>
    <s v="INTPG_VPC_861_1.12_866_1.12"/>
    <s v="ISEL-1.12"/>
    <n v="1"/>
    <s v="NO TIENE L3OUT"/>
    <n v="8"/>
    <n v="54"/>
  </r>
  <r>
    <n v="874"/>
    <x v="2"/>
    <x v="103"/>
    <s v="eth1/12"/>
    <x v="0"/>
    <x v="0"/>
    <x v="0"/>
    <s v="LINK_TO_ITHFHWSEQLCAS35 (GMR 3) / Slot 5 PTO 1 / Redundante"/>
    <x v="4"/>
    <b v="0"/>
    <s v="No está en VPC"/>
    <n v="874"/>
    <s v="INTPG_ACC_874_1.12"/>
    <s v="ISEL-1.12"/>
    <n v="1"/>
    <s v="NO TIENE L3OUT"/>
    <n v="92"/>
    <n v="54"/>
  </r>
  <r>
    <n v="865"/>
    <x v="2"/>
    <x v="104"/>
    <s v="eth1/12"/>
    <x v="0"/>
    <x v="0"/>
    <x v="0"/>
    <s v="To_VPC_2DCBSD_HD26_3"/>
    <x v="0"/>
    <b v="0"/>
    <s v="No está en VPC"/>
    <n v="865"/>
    <s v="INTPG_VPC_860_1.12_865_1.12"/>
    <s v="ISEL-1.12"/>
    <n v="1"/>
    <s v="NO TIENE L3OUT"/>
    <n v="0"/>
    <n v="54"/>
  </r>
  <r>
    <n v="753"/>
    <x v="2"/>
    <x v="105"/>
    <s v="eth1/12"/>
    <x v="0"/>
    <x v="0"/>
    <x v="0"/>
    <s v="OSS F1:ithenmr03bl04ombsr9c:PCIe3 Slot 1/2"/>
    <x v="0"/>
    <b v="0"/>
    <s v="No está en VPC"/>
    <n v="753"/>
    <s v="INTPG_PC_753_1.9-12"/>
    <s v="ISEL-1.12"/>
    <n v="2"/>
    <s v="NO TIENE L3OUT"/>
    <n v="62"/>
    <n v="54"/>
  </r>
  <r>
    <n v="708"/>
    <x v="2"/>
    <x v="106"/>
    <s v="eth1/12"/>
    <x v="0"/>
    <x v="1"/>
    <x v="1"/>
    <s v="CEM:ITHCEME2DAT06:LOM  P2"/>
    <x v="0"/>
    <b v="0"/>
    <s v="No está en VPC"/>
    <n v="708"/>
    <s v="INTPG_VPC_708_1.12_709_1.11"/>
    <s v="ISEL-1.12"/>
    <n v="1"/>
    <s v="NO TIENE L3OUT"/>
    <n v="0"/>
    <n v="54"/>
  </r>
  <r>
    <n v="710"/>
    <x v="2"/>
    <x v="107"/>
    <s v="eth1/12"/>
    <x v="0"/>
    <x v="0"/>
    <x v="0"/>
    <s v="CEM:ITHCEMC2DAT06:LOM  P2"/>
    <x v="0"/>
    <b v="0"/>
    <s v="No está en VPC"/>
    <n v="710"/>
    <s v="INTPG_ACC_710_1.12"/>
    <s v="ISEL-1.12"/>
    <n v="1"/>
    <s v="NO TIENE L3OUT"/>
    <n v="16"/>
    <n v="54"/>
  </r>
  <r>
    <n v="713"/>
    <x v="2"/>
    <x v="108"/>
    <s v="eth1/12"/>
    <x v="0"/>
    <x v="0"/>
    <x v="0"/>
    <s v="CEM:ITHCEMB2DAT06:LOM  P2"/>
    <x v="0"/>
    <b v="0"/>
    <s v="No está en VPC"/>
    <n v="713"/>
    <s v="INTPG_ACC_713_1.12"/>
    <s v="ISEL-1.12"/>
    <n v="1"/>
    <s v="NO TIENE L3OUT"/>
    <n v="32"/>
    <n v="54"/>
  </r>
  <r>
    <n v="735"/>
    <x v="2"/>
    <x v="109"/>
    <s v="eth1/12"/>
    <x v="0"/>
    <x v="1"/>
    <x v="1"/>
    <s v="ixtamws2"/>
    <x v="5"/>
    <b v="0"/>
    <s v="No está en VPC"/>
    <n v="735"/>
    <s v="INTPG_ACC_735_1.12"/>
    <s v="ISEL-1.12"/>
    <n v="1"/>
    <s v="NO TIENE L3OUT"/>
    <n v="34"/>
    <n v="54"/>
  </r>
  <r>
    <n v="731"/>
    <x v="2"/>
    <x v="110"/>
    <s v="eth1/12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12"/>
    <x v="0"/>
    <x v="0"/>
    <x v="0"/>
    <m/>
    <x v="0"/>
    <b v="0"/>
    <s v="No está en VPC"/>
    <n v="703"/>
    <s v="INTPG_VPC_704_1.11_703_1.12"/>
    <s v="ISEL-1.12"/>
    <n v="1"/>
    <s v="NO TIENE L3OUT"/>
    <n v="2"/>
    <n v="54"/>
  </r>
  <r>
    <n v="706"/>
    <x v="2"/>
    <x v="112"/>
    <s v="eth1/12"/>
    <x v="0"/>
    <x v="0"/>
    <x v="0"/>
    <m/>
    <x v="0"/>
    <b v="0"/>
    <s v="No está en VPC"/>
    <n v="706"/>
    <s v="INTPG_VPC_705_1.11_706_1.12"/>
    <s v="ISEL-1.12"/>
    <n v="2"/>
    <s v="NO TIENE L3OUT"/>
    <n v="16"/>
    <n v="54"/>
  </r>
  <r>
    <n v="762"/>
    <x v="2"/>
    <x v="113"/>
    <s v="eth1/12"/>
    <x v="0"/>
    <x v="0"/>
    <x v="0"/>
    <s v="PAAS:ithhwoscopap012:FlexIO.1"/>
    <x v="0"/>
    <b v="0"/>
    <s v="No está en VPC"/>
    <n v="762"/>
    <s v="INTPG_VPC_762_1.12_763_1.12"/>
    <s v="ISEL-1.12"/>
    <n v="15"/>
    <s v="NO TIENE L3OUT"/>
    <n v="0"/>
    <n v="54"/>
  </r>
  <r>
    <n v="814"/>
    <x v="2"/>
    <x v="114"/>
    <s v="eth1/12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12"/>
    <x v="0"/>
    <x v="0"/>
    <x v="0"/>
    <s v="HACIA_MGMT-OSCP-F4-12_PRINCIPAL"/>
    <x v="4"/>
    <b v="0"/>
    <s v="No está en VPC"/>
    <n v="878"/>
    <s v="INTPG_VPC_878_1.12_879_1.12"/>
    <s v="ISEL-1.12"/>
    <n v="1"/>
    <s v="NO TIENE L3OUT"/>
    <n v="0"/>
    <n v="54"/>
  </r>
  <r>
    <n v="826"/>
    <x v="2"/>
    <x v="116"/>
    <s v="eth1/12"/>
    <x v="0"/>
    <x v="0"/>
    <x v="0"/>
    <s v="LINK_TO_ITHFHWCBSDSUSBD07 /Slot4.2 /Principal"/>
    <x v="0"/>
    <b v="0"/>
    <s v="No está en VPC"/>
    <n v="826"/>
    <s v="INTPG_VPC_826_1.12_830_1.12"/>
    <s v="ISEL-1.12"/>
    <n v="1"/>
    <s v="NO TIENE L3OUT"/>
    <n v="12"/>
    <n v="54"/>
  </r>
  <r>
    <n v="726"/>
    <x v="2"/>
    <x v="117"/>
    <s v="eth1/12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12"/>
    <x v="0"/>
    <x v="0"/>
    <x v="0"/>
    <s v="CEM:ITHCEMD2DAT06:FLEXIO P1"/>
    <x v="5"/>
    <b v="0"/>
    <s v="No está en VPC"/>
    <n v="740"/>
    <s v="INTPG_ACC_740_1.12"/>
    <s v="ISEL-1.12"/>
    <n v="1"/>
    <s v="NO TIENE L3OUT"/>
    <n v="72"/>
    <n v="54"/>
  </r>
  <r>
    <n v="705"/>
    <x v="2"/>
    <x v="119"/>
    <s v="eth1/12"/>
    <x v="0"/>
    <x v="0"/>
    <x v="0"/>
    <s v="ITHCEMA1DAT06-LOM-P2"/>
    <x v="0"/>
    <b v="0"/>
    <s v="No está en VPC"/>
    <n v="705"/>
    <s v="INTPG_ACC_705_1.12"/>
    <s v="ISEL-1.12"/>
    <n v="1"/>
    <s v="NO TIENE L3OUT"/>
    <n v="16"/>
    <n v="54"/>
  </r>
  <r>
    <n v="723"/>
    <x v="2"/>
    <x v="120"/>
    <s v="eth1/12"/>
    <x v="0"/>
    <x v="0"/>
    <x v="0"/>
    <m/>
    <x v="0"/>
    <b v="0"/>
    <s v="No está en VPC"/>
    <n v="723"/>
    <s v="INTPG-VPC_HDD128_722_1.11_723_1.12"/>
    <s v="ISEL-1.12"/>
    <n v="1"/>
    <s v="NO TIENE L3OUT"/>
    <n v="0"/>
    <n v="54"/>
  </r>
  <r>
    <n v="721"/>
    <x v="2"/>
    <x v="121"/>
    <s v="eth1/12"/>
    <x v="0"/>
    <x v="0"/>
    <x v="0"/>
    <m/>
    <x v="0"/>
    <b v="0"/>
    <s v="No está en VPC"/>
    <n v="721"/>
    <s v="INTPG-VPC_HDD55_714_1.11_721_1.12"/>
    <s v="ISEL-1.12"/>
    <n v="2"/>
    <s v="NO TIENE L3OUT"/>
    <n v="20"/>
    <n v="54"/>
  </r>
  <r>
    <n v="788"/>
    <x v="2"/>
    <x v="122"/>
    <s v="eth1/12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12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12"/>
    <x v="0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12"/>
    <x v="0"/>
    <x v="1"/>
    <x v="5"/>
    <s v="CEM:ITHCEMF2DAT06:LOM  P2"/>
    <x v="0"/>
    <b v="0"/>
    <s v="No está en VPC"/>
    <n v="709"/>
    <s v="INTPG_VPC_708_1.11_709_1.12"/>
    <s v="ISEL-1.12"/>
    <n v="1"/>
    <s v="NO TIENE L3OUT"/>
    <n v="0"/>
    <n v="54"/>
  </r>
  <r>
    <n v="454"/>
    <x v="1"/>
    <x v="126"/>
    <s v="eth1/12"/>
    <x v="0"/>
    <x v="0"/>
    <x v="0"/>
    <s v="HACIA_MGMT-OSCP-F4-08_PRINCIPAL"/>
    <x v="4"/>
    <b v="0"/>
    <s v="No está en VPC"/>
    <n v="454"/>
    <s v="INTPG_VPC_454_1.12_456_1.12"/>
    <s v="ISEL-1.12"/>
    <n v="1"/>
    <s v="NO TIENE L3OUT"/>
    <n v="4"/>
    <n v="54"/>
  </r>
  <r>
    <n v="734"/>
    <x v="2"/>
    <x v="127"/>
    <s v="eth1/12"/>
    <x v="0"/>
    <x v="1"/>
    <x v="1"/>
    <s v="CEM:ITHCEMA1DAT06:FLEXIO P1"/>
    <x v="5"/>
    <b v="0"/>
    <s v="No está en VPC"/>
    <n v="734"/>
    <s v="INTPG_ACC_734_1.12"/>
    <s v="ISEL-1.12"/>
    <n v="1"/>
    <s v="NO TIENE L3OUT"/>
    <n v="32"/>
    <n v="54"/>
  </r>
  <r>
    <n v="815"/>
    <x v="2"/>
    <x v="128"/>
    <s v="eth1/12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12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12"/>
    <x v="0"/>
    <x v="0"/>
    <x v="0"/>
    <m/>
    <x v="0"/>
    <b v="0"/>
    <s v="No está en VPC"/>
    <n v="718"/>
    <s v="INTPG-VPC_HDD22_717_1.11_718_1.12"/>
    <s v="ISEL-1.12"/>
    <n v="1"/>
    <s v="NO TIENE L3OUT"/>
    <n v="0"/>
    <n v="54"/>
  </r>
  <r>
    <n v="744"/>
    <x v="2"/>
    <x v="131"/>
    <s v="eth1/12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12"/>
    <x v="0"/>
    <x v="1"/>
    <x v="1"/>
    <s v="CEM:ITHCEMA2DAT06:FLEXIO P1"/>
    <x v="5"/>
    <b v="0"/>
    <s v="No está en VPC"/>
    <n v="741"/>
    <s v="INTPG_ACC_741_1.12"/>
    <s v="ISEL-1.12"/>
    <n v="1"/>
    <s v="NO TIENE L3OUT"/>
    <n v="62"/>
    <n v="54"/>
  </r>
  <r>
    <n v="787"/>
    <x v="2"/>
    <x v="133"/>
    <s v="eth1/12"/>
    <x v="0"/>
    <x v="0"/>
    <x v="0"/>
    <s v="ENIQ F2:itheniqr16bl04mws1r4a:Slot 2/1"/>
    <x v="0"/>
    <b v="0"/>
    <s v="No está en VPC"/>
    <n v="787"/>
    <s v="INTPG_ACC_787_1.12"/>
    <s v="ISEL-1.12"/>
    <n v="1"/>
    <s v="NO TIENE L3OUT"/>
    <n v="26"/>
    <n v="54"/>
  </r>
  <r>
    <n v="750"/>
    <x v="2"/>
    <x v="134"/>
    <s v="eth1/12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12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12"/>
    <x v="0"/>
    <x v="1"/>
    <x v="3"/>
    <s v="CEM:ITHCEMG2DAT06:SLOT1 P1"/>
    <x v="0"/>
    <b v="0"/>
    <s v="No está en VPC"/>
    <n v="736"/>
    <s v="INTPG_ACC_736_1.12"/>
    <s v="ISEL-1.12"/>
    <n v="1"/>
    <s v="NO TIENE L3OUT"/>
    <n v="48"/>
    <n v="54"/>
  </r>
  <r>
    <n v="799"/>
    <x v="2"/>
    <x v="137"/>
    <s v="eth1/12"/>
    <x v="0"/>
    <x v="0"/>
    <x v="0"/>
    <s v="TO-HMS_01-MSP"/>
    <x v="0"/>
    <b v="0"/>
    <s v="No está en VPC"/>
    <n v="799"/>
    <s v="INTPG_ACC_799_1.12"/>
    <s v="ISEL-1.12"/>
    <n v="1"/>
    <s v="NO TIENE L3OUT"/>
    <n v="52"/>
    <n v="54"/>
  </r>
  <r>
    <n v="768"/>
    <x v="2"/>
    <x v="138"/>
    <s v="eth1/12"/>
    <x v="0"/>
    <x v="0"/>
    <x v="0"/>
    <s v="Portchannel_2_R3"/>
    <x v="0"/>
    <b v="0"/>
    <s v="No está en VPC"/>
    <n v="768"/>
    <s v="INTPG_PC_768_1.11-12"/>
    <s v="ISEL-1.12"/>
    <n v="8"/>
    <s v="NO TIENE L3OUT"/>
    <n v="62"/>
    <n v="54"/>
  </r>
  <r>
    <n v="714"/>
    <x v="2"/>
    <x v="139"/>
    <s v="eth1/12"/>
    <x v="0"/>
    <x v="0"/>
    <x v="0"/>
    <s v="TO-ITHFHWVRALCN05"/>
    <x v="0"/>
    <b v="0"/>
    <s v="No está en VPC"/>
    <n v="714"/>
    <s v="INTPG_VPC_714_1.12_721_1.11"/>
    <s v="ISEL-1.12"/>
    <n v="108"/>
    <s v="NO TIENE L3OUT"/>
    <n v="20"/>
    <n v="54"/>
  </r>
  <r>
    <n v="717"/>
    <x v="2"/>
    <x v="140"/>
    <s v="eth1/12"/>
    <x v="0"/>
    <x v="0"/>
    <x v="0"/>
    <m/>
    <x v="0"/>
    <b v="0"/>
    <s v="No está en VPC"/>
    <n v="717"/>
    <s v="INTPG-VPC_HDD12_718_1.11_717_1.12"/>
    <s v="ISEL-1.12"/>
    <n v="1"/>
    <s v="NO TIENE L3OUT"/>
    <n v="0"/>
    <n v="54"/>
  </r>
  <r>
    <n v="789"/>
    <x v="2"/>
    <x v="141"/>
    <s v="eth1/12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12"/>
    <x v="0"/>
    <x v="0"/>
    <x v="0"/>
    <s v="Portchannel_2_R1"/>
    <x v="0"/>
    <b v="0"/>
    <s v="No está en VPC"/>
    <n v="764"/>
    <s v="INTPG_PC_764_1.11-12"/>
    <s v="ISEL-1.12"/>
    <n v="8"/>
    <s v="NO TIENE L3OUT"/>
    <n v="62"/>
    <n v="54"/>
  </r>
  <r>
    <n v="783"/>
    <x v="2"/>
    <x v="143"/>
    <s v="eth1/12"/>
    <x v="0"/>
    <x v="0"/>
    <x v="0"/>
    <s v="itheniqr09bl04mws1r9a"/>
    <x v="0"/>
    <b v="0"/>
    <s v="No está en VPC"/>
    <n v="783"/>
    <s v="INTPG_ACC_783_1.12"/>
    <s v="ISEL-1.12"/>
    <n v="1"/>
    <s v="NO TIENE L3OUT"/>
    <n v="26"/>
    <n v="54"/>
  </r>
  <r>
    <n v="774"/>
    <x v="2"/>
    <x v="144"/>
    <s v="eth1/12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12"/>
    <x v="0"/>
    <x v="0"/>
    <x v="0"/>
    <s v="TO-ITHFF5IOTUPLB02"/>
    <x v="0"/>
    <b v="0"/>
    <s v="No está en VPC"/>
    <n v="773"/>
    <s v="INTPG_VPC_772_1.16_773_1.12"/>
    <s v="ISEL-1.12"/>
    <n v="4"/>
    <s v="NO TIENE L3OUT"/>
    <n v="78"/>
    <n v="54"/>
  </r>
  <r>
    <n v="794"/>
    <x v="2"/>
    <x v="146"/>
    <s v="eth1/12"/>
    <x v="0"/>
    <x v="0"/>
    <x v="0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12"/>
    <x v="0"/>
    <x v="0"/>
    <x v="0"/>
    <s v="TO-HDPS_38-MSP"/>
    <x v="0"/>
    <b v="0"/>
    <s v="No está en VPC"/>
    <n v="803"/>
    <s v="INTPG_ACC_803_1.12"/>
    <s v="ISEL-1.12"/>
    <n v="1"/>
    <s v="NO TIENE L3OUT"/>
    <n v="48"/>
    <n v="54"/>
  </r>
  <r>
    <n v="786"/>
    <x v="2"/>
    <x v="148"/>
    <s v="eth1/12"/>
    <x v="0"/>
    <x v="0"/>
    <x v="0"/>
    <s v="ENIQ F2:itheniqr14bl04mws1r4b:Slot 2/1"/>
    <x v="0"/>
    <b v="0"/>
    <s v="No está en VPC"/>
    <n v="786"/>
    <s v="INTPG_ACC_786_1.12"/>
    <s v="ISEL-1.12"/>
    <n v="1"/>
    <s v="NO TIENE L3OUT"/>
    <n v="26"/>
    <n v="54"/>
  </r>
  <r>
    <n v="757"/>
    <x v="2"/>
    <x v="149"/>
    <s v="eth1/12"/>
    <x v="0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12"/>
    <x v="0"/>
    <x v="0"/>
    <x v="0"/>
    <s v="itheniqr07bl04mws1r9c"/>
    <x v="0"/>
    <b v="0"/>
    <s v="No está en VPC"/>
    <n v="781"/>
    <s v="INTPG_ACC_781_1.12"/>
    <s v="ISEL-1.12"/>
    <n v="1"/>
    <s v="NO TIENE L3OUT"/>
    <n v="26"/>
    <n v="54"/>
  </r>
  <r>
    <n v="793"/>
    <x v="2"/>
    <x v="151"/>
    <s v="eth1/12"/>
    <x v="0"/>
    <x v="0"/>
    <x v="0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12"/>
    <x v="0"/>
    <x v="0"/>
    <x v="0"/>
    <s v="PAAS:ithhwoscopap012:LOM PORT 1"/>
    <x v="0"/>
    <b v="0"/>
    <s v="No está en VPC"/>
    <n v="747"/>
    <s v="INTPG_VPC_747_1.12_752_1.12"/>
    <s v="ISEL-1.12"/>
    <n v="25"/>
    <s v="NO TIENE L3OUT"/>
    <n v="0"/>
    <n v="54"/>
  </r>
  <r>
    <n v="784"/>
    <x v="2"/>
    <x v="153"/>
    <s v="eth1/12"/>
    <x v="0"/>
    <x v="0"/>
    <x v="0"/>
    <s v="ENIQ F2:itheniqr12bl04mws1r6b:Slot 2/1"/>
    <x v="0"/>
    <b v="0"/>
    <s v="No está en VPC"/>
    <n v="784"/>
    <s v="INTPG_ACC_784_1.12"/>
    <s v="ISEL-1.12"/>
    <n v="1"/>
    <s v="NO TIENE L3OUT"/>
    <n v="26"/>
    <n v="54"/>
  </r>
  <r>
    <n v="806"/>
    <x v="2"/>
    <x v="154"/>
    <s v="eth1/12"/>
    <x v="0"/>
    <x v="0"/>
    <x v="0"/>
    <s v="TO-HDPS_62-MSP"/>
    <x v="0"/>
    <b v="0"/>
    <s v="No está en VPC"/>
    <n v="806"/>
    <s v="INTPG_ACC_806_1.12"/>
    <s v="ISEL-1.12"/>
    <n v="1"/>
    <s v="NO TIENE L3OUT"/>
    <n v="44"/>
    <n v="54"/>
  </r>
  <r>
    <n v="777"/>
    <x v="2"/>
    <x v="155"/>
    <s v="eth1/12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12"/>
    <x v="0"/>
    <x v="0"/>
    <x v="0"/>
    <s v="Portchannel_7_R4B"/>
    <x v="0"/>
    <b v="0"/>
    <s v="No está en VPC"/>
    <n v="770"/>
    <s v="INTPG_PC_770_1.9-12"/>
    <s v="ISEL-1.12"/>
    <n v="1"/>
    <s v="NO TIENE L3OUT"/>
    <n v="60"/>
    <n v="54"/>
  </r>
  <r>
    <n v="813"/>
    <x v="2"/>
    <x v="157"/>
    <s v="eth1/12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12"/>
    <x v="0"/>
    <x v="1"/>
    <x v="1"/>
    <s v="CEM:ITHCEMC2DAT06:FLEXIO P1"/>
    <x v="5"/>
    <b v="0"/>
    <s v="No está en VPC"/>
    <n v="739"/>
    <s v="INTPG_ACC_739_1.12"/>
    <s v="ISEL-1.12"/>
    <n v="1"/>
    <s v="NO TIENE L3OUT"/>
    <n v="72"/>
    <n v="54"/>
  </r>
  <r>
    <n v="775"/>
    <x v="2"/>
    <x v="159"/>
    <s v="eth1/12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12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12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12"/>
    <x v="0"/>
    <x v="0"/>
    <x v="0"/>
    <s v="LINK_TO_ITHFHWCBSDSUSBD07 /Slot6.2 /Redundante"/>
    <x v="0"/>
    <b v="0"/>
    <s v="No está en VPC"/>
    <n v="830"/>
    <s v="INTPG_VPC_826_1.12_830_1.12"/>
    <s v="ISEL-1.12"/>
    <n v="1"/>
    <s v="NO TIENE L3OUT"/>
    <n v="12"/>
    <n v="54"/>
  </r>
  <r>
    <n v="821"/>
    <x v="2"/>
    <x v="163"/>
    <s v="eth1/12"/>
    <x v="0"/>
    <x v="0"/>
    <x v="0"/>
    <s v="LINK_TO_ITHFHWCBSPSUSBD13 /Slot6.2 /Redundante"/>
    <x v="0"/>
    <b v="0"/>
    <s v="No está en VPC"/>
    <n v="821"/>
    <s v="INTPG_VPC_816_1.12_821_1.12"/>
    <s v="ISEL-1.12"/>
    <n v="1"/>
    <s v="NO TIENE L3OUT"/>
    <n v="0"/>
    <n v="54"/>
  </r>
  <r>
    <n v="738"/>
    <x v="2"/>
    <x v="164"/>
    <s v="eth1/12"/>
    <x v="0"/>
    <x v="0"/>
    <x v="0"/>
    <s v="CEM:ITHCEMF2DAT06:FLEXIO P1"/>
    <x v="5"/>
    <b v="0"/>
    <s v="No está en VPC"/>
    <n v="738"/>
    <s v="INTPG_ACC_738_1.12"/>
    <s v="ISEL-1.12"/>
    <n v="1"/>
    <s v="NO TIENE L3OUT"/>
    <n v="72"/>
    <n v="54"/>
  </r>
  <r>
    <n v="820"/>
    <x v="2"/>
    <x v="165"/>
    <s v="eth1/12"/>
    <x v="0"/>
    <x v="0"/>
    <x v="0"/>
    <s v="LINK_TO_ITHHWCRMPEN02 /E4-10GE 2 /Redundante"/>
    <x v="0"/>
    <b v="0"/>
    <s v="No está en VPC"/>
    <n v="820"/>
    <s v="INTPG_VPC_820_1.5_12_825_1.5_12"/>
    <s v="ISEL-1.12"/>
    <n v="9"/>
    <s v="NO TIENE L3OUT"/>
    <n v="72"/>
    <n v="54"/>
  </r>
  <r>
    <n v="804"/>
    <x v="2"/>
    <x v="166"/>
    <s v="eth1/12"/>
    <x v="0"/>
    <x v="0"/>
    <x v="0"/>
    <s v="TO-HDPS_38-MSP"/>
    <x v="0"/>
    <b v="0"/>
    <s v="No está en VPC"/>
    <n v="804"/>
    <s v="INTPG_ACC_804_1.12"/>
    <s v="ISEL-1.12"/>
    <n v="1"/>
    <s v="NO TIENE L3OUT"/>
    <n v="48"/>
    <n v="54"/>
  </r>
  <r>
    <n v="779"/>
    <x v="2"/>
    <x v="167"/>
    <s v="eth1/12"/>
    <x v="0"/>
    <x v="0"/>
    <x v="0"/>
    <s v="ENIQ F1:itheniqr08mwsr3:Slot 2/1"/>
    <x v="0"/>
    <b v="0"/>
    <s v="No está en VPC"/>
    <n v="779"/>
    <s v="INTPG_ACC_779_1.12"/>
    <s v="ISEL-1.12"/>
    <n v="1"/>
    <s v="NO TIENE L3OUT"/>
    <n v="30"/>
    <n v="54"/>
  </r>
  <r>
    <n v="767"/>
    <x v="2"/>
    <x v="168"/>
    <s v="eth1/12"/>
    <x v="0"/>
    <x v="0"/>
    <x v="0"/>
    <s v="Portchannel_7_R3"/>
    <x v="0"/>
    <b v="0"/>
    <s v="No está en VPC"/>
    <n v="767"/>
    <s v="INTPG_PC_767_1.11-14"/>
    <s v="ISEL-1.12"/>
    <n v="1"/>
    <s v="NO TIENE L3OUT"/>
    <n v="60"/>
    <n v="54"/>
  </r>
  <r>
    <n v="827"/>
    <x v="2"/>
    <x v="169"/>
    <s v="eth1/12"/>
    <x v="0"/>
    <x v="0"/>
    <x v="0"/>
    <s v="LINK_TO_ITHFHWCBSDSUSBD09 /10GE.1 /Principal"/>
    <x v="0"/>
    <b v="0"/>
    <s v="No está en VPC"/>
    <n v="827"/>
    <s v="INTPG_VPC_827_1.12_831_1.12"/>
    <s v="ISEL-1.12"/>
    <n v="1"/>
    <s v="NO TIENE L3OUT"/>
    <n v="14"/>
    <n v="54"/>
  </r>
  <r>
    <n v="809"/>
    <x v="2"/>
    <x v="170"/>
    <s v="eth1/12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12"/>
    <x v="0"/>
    <x v="0"/>
    <x v="0"/>
    <s v="Portchannel_3_R4B"/>
    <x v="0"/>
    <b v="0"/>
    <s v="No está en VPC"/>
    <n v="771"/>
    <s v="INTPG_PC_771_1.11-12"/>
    <s v="ISEL-1.12"/>
    <n v="8"/>
    <s v="NO TIENE L3OUT"/>
    <n v="62"/>
    <n v="54"/>
  </r>
  <r>
    <n v="761"/>
    <x v="2"/>
    <x v="172"/>
    <s v="eth1/12"/>
    <x v="0"/>
    <x v="1"/>
    <x v="1"/>
    <m/>
    <x v="0"/>
    <b v="0"/>
    <s v="No está en VPC"/>
    <n v="761"/>
    <s v="INTPG_VPC_760_1.9-12_761_1.9-12"/>
    <s v="ISEL-1.12"/>
    <n v="0"/>
    <s v="L3OUT-EXACLOUD"/>
    <n v="0"/>
    <n v="54"/>
  </r>
  <r>
    <n v="776"/>
    <x v="2"/>
    <x v="173"/>
    <s v="eth1/12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12"/>
    <x v="0"/>
    <x v="0"/>
    <x v="0"/>
    <s v="TO-HDPS_62-MSP"/>
    <x v="0"/>
    <b v="0"/>
    <s v="No está en VPC"/>
    <n v="805"/>
    <s v="INTPG_ACC_805_1.12"/>
    <s v="ISEL-1.12"/>
    <n v="1"/>
    <s v="NO TIENE L3OUT"/>
    <n v="44"/>
    <n v="54"/>
  </r>
  <r>
    <n v="772"/>
    <x v="2"/>
    <x v="175"/>
    <s v="eth1/12"/>
    <x v="0"/>
    <x v="0"/>
    <x v="0"/>
    <s v="Portchannel_2_R2"/>
    <x v="0"/>
    <b v="0"/>
    <s v="No está en VPC"/>
    <n v="772"/>
    <s v="INTPG_PC_772_1.11-12"/>
    <s v="ISEL-1.12"/>
    <n v="8"/>
    <s v="NO TIENE L3OUT"/>
    <n v="82"/>
    <n v="54"/>
  </r>
  <r>
    <n v="785"/>
    <x v="2"/>
    <x v="176"/>
    <s v="eth1/12"/>
    <x v="0"/>
    <x v="0"/>
    <x v="0"/>
    <s v="ENIQ F2:itheniqr13bl04mws1r6a:Slot 2/1"/>
    <x v="0"/>
    <b v="0"/>
    <s v="No está en VPC"/>
    <n v="785"/>
    <s v="INTPG_ACC_785_1.12"/>
    <s v="ISEL-1.12"/>
    <n v="1"/>
    <s v="NO TIENE L3OUT"/>
    <n v="32"/>
    <n v="54"/>
  </r>
  <r>
    <n v="851"/>
    <x v="2"/>
    <x v="177"/>
    <s v="eth1/12"/>
    <x v="0"/>
    <x v="0"/>
    <x v="0"/>
    <s v="LINK_TO_ITHFHWCRMPLCN104 / Slot7.3_12 / Redundante"/>
    <x v="0"/>
    <b v="0"/>
    <s v="No está en VPC"/>
    <n v="851"/>
    <s v="INTPG_ACC_851_1.12"/>
    <s v="ISEL-1.12"/>
    <n v="1"/>
    <s v="NO TIENE L3OUT"/>
    <n v="282"/>
    <n v="54"/>
  </r>
  <r>
    <n v="798"/>
    <x v="2"/>
    <x v="178"/>
    <s v="eth1/12"/>
    <x v="0"/>
    <x v="0"/>
    <x v="0"/>
    <s v="TO-HMS_01-MSP"/>
    <x v="0"/>
    <b v="0"/>
    <s v="No está en VPC"/>
    <n v="798"/>
    <s v="INTPG_ACC_798_1.12"/>
    <s v="ISEL-1.12"/>
    <n v="1"/>
    <s v="NO TIENE L3OUT"/>
    <n v="52"/>
    <n v="54"/>
  </r>
  <r>
    <n v="782"/>
    <x v="2"/>
    <x v="179"/>
    <s v="eth1/12"/>
    <x v="0"/>
    <x v="0"/>
    <x v="0"/>
    <s v="itheniqr08bl04mws1r9b"/>
    <x v="0"/>
    <b v="0"/>
    <s v="No está en VPC"/>
    <n v="782"/>
    <s v="INTPG_ACC_782_1.12"/>
    <s v="ISEL-1.12"/>
    <n v="1"/>
    <s v="NO TIENE L3OUT"/>
    <n v="32"/>
    <n v="54"/>
  </r>
  <r>
    <n v="852"/>
    <x v="2"/>
    <x v="180"/>
    <s v="eth1/12"/>
    <x v="0"/>
    <x v="0"/>
    <x v="0"/>
    <s v="LINK_TO_ITHFHWCRMPLCN88 / Slot7.1_8 / Redundante"/>
    <x v="0"/>
    <b v="0"/>
    <s v="No está en VPC"/>
    <n v="852"/>
    <s v="INTPG_ACC_852_1.12"/>
    <s v="ISEL-1.12"/>
    <n v="6"/>
    <s v="NO TIENE L3OUT"/>
    <n v="258"/>
    <n v="54"/>
  </r>
  <r>
    <n v="817"/>
    <x v="2"/>
    <x v="181"/>
    <s v="eth1/12"/>
    <x v="0"/>
    <x v="0"/>
    <x v="0"/>
    <s v="LINK_TO_ITHFHWCBSPSUSBD08 /Slot4.2 /Principal"/>
    <x v="0"/>
    <b v="0"/>
    <s v="No está en VPC"/>
    <n v="817"/>
    <s v="INTPG_VPC_817_1.12_822_1.12"/>
    <s v="ISEL-1.12"/>
    <n v="1"/>
    <s v="NO TIENE L3OUT"/>
    <n v="0"/>
    <n v="54"/>
  </r>
  <r>
    <n v="832"/>
    <x v="2"/>
    <x v="182"/>
    <s v="eth1/12"/>
    <x v="0"/>
    <x v="0"/>
    <x v="0"/>
    <s v="LINK_TO_ITHHWD6KV60014DKC01 /CtrlB_IOM0.P1 /Redundante"/>
    <x v="0"/>
    <b v="0"/>
    <s v="No está en VPC"/>
    <n v="832"/>
    <s v="INTPG_ACC_832_1.12"/>
    <s v="ISEL-1.12"/>
    <n v="1"/>
    <s v="NO TIENE L3OUT"/>
    <n v="192"/>
    <n v="54"/>
  </r>
  <r>
    <n v="816"/>
    <x v="2"/>
    <x v="183"/>
    <s v="eth1/12"/>
    <x v="0"/>
    <x v="0"/>
    <x v="0"/>
    <s v="LINK_TO_ITHFHWCBSPSUSBD13 /Slot4.2 /Principal"/>
    <x v="0"/>
    <b v="0"/>
    <s v="No está en VPC"/>
    <n v="816"/>
    <s v="INTPG_VPC_816_1.12_821_1.12"/>
    <s v="ISEL-1.12"/>
    <n v="1"/>
    <s v="NO TIENE L3OUT"/>
    <n v="0"/>
    <n v="54"/>
  </r>
  <r>
    <n v="825"/>
    <x v="2"/>
    <x v="184"/>
    <s v="eth1/12"/>
    <x v="0"/>
    <x v="0"/>
    <x v="0"/>
    <s v="LINK_TO_ITHHWCRMPEN02 /E4-10GE 1 /Principal"/>
    <x v="0"/>
    <b v="0"/>
    <s v="No está en VPC"/>
    <n v="825"/>
    <s v="INTPG_VPC_820_1.5_12_825_1.5_12"/>
    <s v="ISEL-1.12"/>
    <n v="9"/>
    <s v="NO TIENE L3OUT"/>
    <n v="72"/>
    <n v="54"/>
  </r>
  <r>
    <n v="800"/>
    <x v="2"/>
    <x v="185"/>
    <s v="eth1/12"/>
    <x v="0"/>
    <x v="0"/>
    <x v="0"/>
    <s v="TO-CEPS_08-MSP"/>
    <x v="0"/>
    <b v="0"/>
    <s v="No está en VPC"/>
    <n v="800"/>
    <s v="INTPG_ACC_800_1.12"/>
    <s v="ISEL-1.12"/>
    <n v="1"/>
    <s v="NO TIENE L3OUT"/>
    <n v="78"/>
    <n v="54"/>
  </r>
  <r>
    <n v="801"/>
    <x v="2"/>
    <x v="186"/>
    <s v="eth1/12"/>
    <x v="0"/>
    <x v="0"/>
    <x v="0"/>
    <s v="TO-CEPS_08-MSP"/>
    <x v="0"/>
    <b v="0"/>
    <s v="No está en VPC"/>
    <n v="801"/>
    <s v="INTPG_ACC_801_1.12"/>
    <s v="ISEL-1.12"/>
    <n v="1"/>
    <s v="NO TIENE L3OUT"/>
    <n v="78"/>
    <n v="54"/>
  </r>
  <r>
    <n v="823"/>
    <x v="2"/>
    <x v="187"/>
    <s v="eth1/12"/>
    <x v="0"/>
    <x v="0"/>
    <x v="0"/>
    <s v="LINK_TO_ITHFHWCBSPSUSBD15 /Slot5.1 /Redundante"/>
    <x v="0"/>
    <b v="0"/>
    <s v="No está en VPC"/>
    <n v="823"/>
    <s v="INTPG_VPC_818_1.12_823_1.12"/>
    <s v="ISEL-1.12"/>
    <n v="1"/>
    <s v="NO TIENE L3OUT"/>
    <n v="8"/>
    <n v="54"/>
  </r>
  <r>
    <n v="837"/>
    <x v="2"/>
    <x v="188"/>
    <s v="eth1/12"/>
    <x v="0"/>
    <x v="0"/>
    <x v="0"/>
    <s v="LINK_TO_ITHFHWCBSPSUSBD28 / Slot1.2_8 / Principal"/>
    <x v="0"/>
    <b v="0"/>
    <s v="No está en VPC"/>
    <n v="837"/>
    <s v="INTPG_VPC_837_1.12_842_1.12"/>
    <s v="ISEL-1.12"/>
    <n v="1"/>
    <s v="NO TIENE L3OUT"/>
    <n v="8"/>
    <n v="54"/>
  </r>
  <r>
    <n v="867"/>
    <x v="2"/>
    <x v="189"/>
    <s v="eth1/12"/>
    <x v="0"/>
    <x v="0"/>
    <x v="0"/>
    <s v="TO-ITHFSUEXG2XCN02_PCI8.P2"/>
    <x v="0"/>
    <b v="0"/>
    <s v="No está en VPC"/>
    <n v="867"/>
    <s v="INTPG_ACC_867_1.12"/>
    <s v="ISEL-1.12"/>
    <n v="2"/>
    <s v="NO TIENE L3OUT"/>
    <n v="44"/>
    <n v="54"/>
  </r>
  <r>
    <n v="829"/>
    <x v="2"/>
    <x v="190"/>
    <s v="eth1/12"/>
    <x v="0"/>
    <x v="0"/>
    <x v="0"/>
    <s v="LINK_TO_ITHFHWCRMDLCN31 /Slot6.2 /Redundante"/>
    <x v="0"/>
    <b v="0"/>
    <s v="No está en VPC"/>
    <n v="829"/>
    <s v="INTPG_ACC_829_1.12"/>
    <s v="ISEL-1.12"/>
    <n v="1"/>
    <s v="NO TIENE L3OUT"/>
    <n v="224"/>
    <n v="54"/>
  </r>
  <r>
    <n v="831"/>
    <x v="2"/>
    <x v="191"/>
    <s v="eth1/12"/>
    <x v="0"/>
    <x v="0"/>
    <x v="0"/>
    <s v="LINK_TO_ITHFHWCBSDSUSBD09 /Slot5.1 /Redundante"/>
    <x v="0"/>
    <b v="0"/>
    <s v="No está en VPC"/>
    <n v="831"/>
    <s v="INTPG_VPC_827_1.12_831_1.12"/>
    <s v="ISEL-1.12"/>
    <n v="1"/>
    <s v="NO TIENE L3OUT"/>
    <n v="14"/>
    <n v="54"/>
  </r>
  <r>
    <n v="802"/>
    <x v="2"/>
    <x v="192"/>
    <s v="eth1/12"/>
    <x v="0"/>
    <x v="0"/>
    <x v="0"/>
    <s v="TO-HDPS_14-MSP"/>
    <x v="0"/>
    <b v="0"/>
    <s v="No está en VPC"/>
    <n v="802"/>
    <s v="INTPG_ACC_802_1.12"/>
    <s v="ISEL-1.12"/>
    <n v="1"/>
    <s v="NO TIENE L3OUT"/>
    <n v="48"/>
    <n v="54"/>
  </r>
  <r>
    <n v="835"/>
    <x v="2"/>
    <x v="193"/>
    <s v="eth1/12"/>
    <x v="0"/>
    <x v="0"/>
    <x v="0"/>
    <s v="LINK_TO_ITHFHWCBSPSWR57 / Slot1.3_26 / Principal"/>
    <x v="0"/>
    <b v="0"/>
    <s v="No está en VPC"/>
    <n v="835"/>
    <s v="INTPG_VPC_835_1.12_840_1.12"/>
    <s v="ISEL-1.12"/>
    <n v="1"/>
    <s v="NO TIENE L3OUT"/>
    <n v="8"/>
    <n v="54"/>
  </r>
  <r>
    <n v="822"/>
    <x v="2"/>
    <x v="194"/>
    <s v="eth1/12"/>
    <x v="0"/>
    <x v="0"/>
    <x v="0"/>
    <s v="LINK_TO_ITHFHWCBSPSUSBD08 /Slot6.2 /Redundante"/>
    <x v="0"/>
    <b v="0"/>
    <s v="No está en VPC"/>
    <n v="822"/>
    <s v="INTPG_VPC_817_1.12_822_1.12"/>
    <s v="ISEL-1.12"/>
    <n v="1"/>
    <s v="NO TIENE L3OUT"/>
    <n v="0"/>
    <n v="54"/>
  </r>
  <r>
    <n v="854"/>
    <x v="2"/>
    <x v="195"/>
    <s v="eth1/12"/>
    <x v="0"/>
    <x v="0"/>
    <x v="0"/>
    <s v="LINK_TO_ITHFHWCRMPLCN169 / Slot1.2_8 / Principal"/>
    <x v="0"/>
    <b v="0"/>
    <s v="No está en VPC"/>
    <n v="854"/>
    <s v="INTPG_ACC_854_1.12"/>
    <s v="ISEL-1.12"/>
    <n v="2"/>
    <s v="NO TIENE L3OUT"/>
    <n v="204"/>
    <n v="54"/>
  </r>
  <r>
    <n v="858"/>
    <x v="2"/>
    <x v="196"/>
    <s v="eth1/12"/>
    <x v="0"/>
    <x v="0"/>
    <x v="0"/>
    <s v="To_VPC_2DCBSD_HD40_3"/>
    <x v="0"/>
    <b v="0"/>
    <s v="No está en VPC"/>
    <n v="858"/>
    <s v="INTPG_VPC_858_1.12_863_1.12"/>
    <s v="ISEL-1.12"/>
    <n v="1"/>
    <s v="NO TIENE L3OUT"/>
    <n v="8"/>
    <n v="54"/>
  </r>
  <r>
    <n v="857"/>
    <x v="2"/>
    <x v="197"/>
    <s v="eth1/12"/>
    <x v="0"/>
    <x v="0"/>
    <x v="0"/>
    <s v="LINKT_TO_ITHFHWCRMPLCN119 / Slot1.2_8 / Principal"/>
    <x v="0"/>
    <b v="0"/>
    <s v="No está en VPC"/>
    <n v="857"/>
    <s v="INTPG_ACC_857_1.12"/>
    <s v="ISEL-1.12"/>
    <n v="2"/>
    <s v="NO TIENE L3OUT"/>
    <n v="288"/>
    <n v="54"/>
  </r>
  <r>
    <n v="859"/>
    <x v="2"/>
    <x v="198"/>
    <s v="eth1/12"/>
    <x v="0"/>
    <x v="0"/>
    <x v="0"/>
    <s v="To_VPC_2DCBSD_HD34_3"/>
    <x v="0"/>
    <b v="0"/>
    <s v="No está en VPC"/>
    <n v="859"/>
    <s v="INTPG_VPC_859_1.12_864_1.12"/>
    <s v="ISEL-1.12"/>
    <n v="1"/>
    <s v="NO TIENE L3OUT"/>
    <n v="0"/>
    <n v="54"/>
  </r>
  <r>
    <n v="833"/>
    <x v="2"/>
    <x v="199"/>
    <s v="eth1/12"/>
    <x v="0"/>
    <x v="0"/>
    <x v="0"/>
    <s v="LINK_TO_ITHFHWCRMDLCN31 /Slot4.2 /Principal"/>
    <x v="0"/>
    <b v="0"/>
    <s v="No está en VPC"/>
    <n v="833"/>
    <s v="INTPG_ACC_833_1.12"/>
    <s v="ISEL-1.12"/>
    <n v="1"/>
    <s v="NO TIENE L3OUT"/>
    <n v="224"/>
    <n v="54"/>
  </r>
  <r>
    <n v="818"/>
    <x v="2"/>
    <x v="200"/>
    <s v="eth1/12"/>
    <x v="0"/>
    <x v="0"/>
    <x v="0"/>
    <s v="LINK_TO_ITHFHWCBSPSUSBD15 /10GE.1 /Principal"/>
    <x v="0"/>
    <b v="0"/>
    <s v="No está en VPC"/>
    <n v="818"/>
    <s v="INTPG_VPC_818_1.12_823_1.12"/>
    <s v="ISEL-1.12"/>
    <n v="1"/>
    <s v="NO TIENE L3OUT"/>
    <n v="8"/>
    <n v="54"/>
  </r>
  <r>
    <n v="850"/>
    <x v="2"/>
    <x v="201"/>
    <s v="eth1/12"/>
    <x v="0"/>
    <x v="0"/>
    <x v="0"/>
    <s v="LINKT_TO_ITHFHWCRMPLCN119 / Slot7.2_8 / Redundante"/>
    <x v="0"/>
    <b v="0"/>
    <s v="No está en VPC"/>
    <n v="850"/>
    <s v="INTPG_ACC_850_1.12"/>
    <s v="ISEL-1.12"/>
    <n v="2"/>
    <s v="NO TIENE L3OUT"/>
    <n v="288"/>
    <n v="54"/>
  </r>
  <r>
    <n v="860"/>
    <x v="2"/>
    <x v="202"/>
    <s v="eth1/12"/>
    <x v="0"/>
    <x v="0"/>
    <x v="0"/>
    <s v="To_VPC_2DCBSD_HD26_3"/>
    <x v="0"/>
    <b v="0"/>
    <s v="No está en VPC"/>
    <n v="860"/>
    <s v="INTPG_VPC_860_1.12_865_1.12"/>
    <s v="ISEL-1.12"/>
    <n v="1"/>
    <s v="NO TIENE L3OUT"/>
    <n v="0"/>
    <n v="54"/>
  </r>
  <r>
    <n v="853"/>
    <x v="2"/>
    <x v="203"/>
    <s v="eth1/12"/>
    <x v="0"/>
    <x v="0"/>
    <x v="0"/>
    <s v="LINK_TO_ITHFHWCRMPLCN75 / Slot7.3_8 / Redundante"/>
    <x v="0"/>
    <b v="0"/>
    <s v="No está en VPC"/>
    <n v="853"/>
    <s v="INTPG_ACC_853_1.12"/>
    <s v="ISEL-1.12"/>
    <n v="1"/>
    <s v="NO TIENE L3OUT"/>
    <n v="242"/>
    <n v="54"/>
  </r>
  <r>
    <n v="790"/>
    <x v="2"/>
    <x v="204"/>
    <s v="eth1/12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12"/>
    <x v="0"/>
    <x v="1"/>
    <x v="1"/>
    <s v="DESC"/>
    <x v="6"/>
    <b v="0"/>
    <s v="No está en VPC"/>
    <n v="105"/>
    <s v="INTPG_PC_105_1.6-12_38"/>
    <s v="ISEL-1.12"/>
    <n v="17"/>
    <s v="NO TIENE L3OUT"/>
    <n v="106"/>
    <n v="96"/>
  </r>
  <r>
    <n v="117"/>
    <x v="0"/>
    <x v="206"/>
    <s v="eth1/12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12"/>
    <x v="0"/>
    <x v="1"/>
    <x v="1"/>
    <s v="SFLDI"/>
    <x v="6"/>
    <b v="0"/>
    <s v="No está en VPC"/>
    <n v="104"/>
    <s v="INTPG_ACC_104_1.12"/>
    <s v="ISEL-1.12"/>
    <n v="1"/>
    <s v="NO TIENE L3OUT"/>
    <n v="194"/>
    <n v="96"/>
  </r>
  <r>
    <n v="158"/>
    <x v="0"/>
    <x v="208"/>
    <s v="eth1/12"/>
    <x v="0"/>
    <x v="0"/>
    <x v="0"/>
    <s v="CIRCULO AZUL"/>
    <x v="6"/>
    <b v="0"/>
    <s v="No está en VPC"/>
    <n v="158"/>
    <s v="INTPG_ACC_158_1.12"/>
    <s v="ISEL-1.12"/>
    <n v="1"/>
    <s v="NO TIENE L3OUT"/>
    <n v="30"/>
    <n v="96"/>
  </r>
  <r>
    <n v="875"/>
    <x v="2"/>
    <x v="209"/>
    <s v="eth1/12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12"/>
    <x v="0"/>
    <x v="0"/>
    <x v="0"/>
    <s v="HACIA_MGMT-OSCP-F4-12_PRINCIPAL"/>
    <x v="4"/>
    <b v="0"/>
    <s v="No está en VPC"/>
    <n v="879"/>
    <s v="INTPG_VPC_878_1.12_879_1.12"/>
    <s v="ISEL-1.12"/>
    <n v="1"/>
    <s v="NO TIENE L3OUT"/>
    <n v="0"/>
    <n v="54"/>
  </r>
  <r>
    <n v="108"/>
    <x v="0"/>
    <x v="211"/>
    <s v="eth1/12"/>
    <x v="1"/>
    <x v="1"/>
    <x v="2"/>
    <s v="sttsm01"/>
    <x v="6"/>
    <b v="0"/>
    <s v="No está en VPC"/>
    <n v="108"/>
    <s v="INTPG_ACC_108_1.12"/>
    <s v="ISEL-1.12"/>
    <n v="1"/>
    <s v="NO TIENE L3OUT"/>
    <n v="126"/>
    <n v="96"/>
  </r>
  <r>
    <n v="112"/>
    <x v="0"/>
    <x v="212"/>
    <s v="eth1/12"/>
    <x v="0"/>
    <x v="0"/>
    <x v="0"/>
    <s v="TO-ITHFHPNBURBKP01-PRINCIPAL"/>
    <x v="6"/>
    <b v="0"/>
    <s v="No está en VPC"/>
    <n v="112"/>
    <s v="INTPG_ACC_112_1.12"/>
    <s v="ISEL-1.12"/>
    <n v="1"/>
    <s v="NO TIENE L3OUT"/>
    <n v="144"/>
    <n v="96"/>
  </r>
  <r>
    <n v="107"/>
    <x v="0"/>
    <x v="213"/>
    <s v="eth1/12"/>
    <x v="0"/>
    <x v="0"/>
    <x v="0"/>
    <s v="PLATAFORMA NUMERACION "/>
    <x v="6"/>
    <b v="0"/>
    <s v="No está en VPC"/>
    <n v="107"/>
    <s v="INTPG_ACC_107_1.12"/>
    <s v="ISEL-1.12"/>
    <n v="3"/>
    <s v="NO TIENE L3OUT"/>
    <n v="118"/>
    <n v="96"/>
  </r>
  <r>
    <n v="109"/>
    <x v="0"/>
    <x v="214"/>
    <s v="eth1/12"/>
    <x v="1"/>
    <x v="1"/>
    <x v="2"/>
    <s v="sttsm01"/>
    <x v="6"/>
    <b v="0"/>
    <s v="No está en VPC"/>
    <n v="109"/>
    <s v="INTPG_ACC_109_1.12"/>
    <s v="ISEL-1.12"/>
    <n v="1"/>
    <s v="NO TIENE L3OUT"/>
    <n v="126"/>
    <n v="96"/>
  </r>
  <r>
    <n v="113"/>
    <x v="0"/>
    <x v="215"/>
    <s v="eth1/12"/>
    <x v="0"/>
    <x v="0"/>
    <x v="0"/>
    <s v="VYCAN"/>
    <x v="6"/>
    <b v="0"/>
    <s v="No está en VPC"/>
    <n v="113"/>
    <s v="INTPG_ACC_113_1.12"/>
    <s v="ISEL-1.12"/>
    <n v="1"/>
    <s v="NO TIENE L3OUT"/>
    <n v="52"/>
    <n v="96"/>
  </r>
  <r>
    <n v="114"/>
    <x v="0"/>
    <x v="216"/>
    <s v="eth1/12"/>
    <x v="0"/>
    <x v="0"/>
    <x v="0"/>
    <s v="APROVISIONAMIENTO DE SERVICIOS"/>
    <x v="6"/>
    <b v="0"/>
    <s v="No está en VPC"/>
    <n v="114"/>
    <s v="INTPG_ACC_114_1.12"/>
    <s v="ISEL-1.12"/>
    <n v="1"/>
    <s v="NO TIENE L3OUT"/>
    <n v="144"/>
    <n v="96"/>
  </r>
  <r>
    <n v="124"/>
    <x v="0"/>
    <x v="217"/>
    <s v="eth1/12"/>
    <x v="0"/>
    <x v="1"/>
    <x v="1"/>
    <s v="GSM_ENIQ_TIJ"/>
    <x v="6"/>
    <b v="0"/>
    <s v="No está en VPC"/>
    <n v="124"/>
    <s v="INTPG_ACC_124_1.12"/>
    <s v="ISEL-1.12"/>
    <n v="1"/>
    <s v="NO TIENE L3OUT"/>
    <n v="80"/>
    <n v="96"/>
  </r>
  <r>
    <n v="118"/>
    <x v="0"/>
    <x v="218"/>
    <s v="eth1/12"/>
    <x v="1"/>
    <x v="1"/>
    <x v="2"/>
    <s v="COBROS NAVEGACION"/>
    <x v="6"/>
    <b v="0"/>
    <s v="No está en VPC"/>
    <n v="118"/>
    <s v="INTPG_ACC_118_1.12"/>
    <s v="ISEL-1.12"/>
    <n v="1"/>
    <s v="NO TIENE L3OUT"/>
    <n v="180"/>
    <n v="96"/>
  </r>
  <r>
    <n v="159"/>
    <x v="0"/>
    <x v="219"/>
    <s v="eth1/12"/>
    <x v="1"/>
    <x v="1"/>
    <x v="2"/>
    <m/>
    <x v="6"/>
    <b v="0"/>
    <s v="No está en VPC"/>
    <n v="159"/>
    <s v="INTPG_ACC_159_1.12"/>
    <s v="ISEL-1.12"/>
    <n v="0"/>
    <s v="NO TIENE L3OUT"/>
    <n v="72"/>
    <n v="96"/>
  </r>
  <r>
    <n v="840"/>
    <x v="2"/>
    <x v="220"/>
    <s v="eth1/12"/>
    <x v="0"/>
    <x v="0"/>
    <x v="0"/>
    <s v="LINK_TO_ITHFHWCBSPSWR57 / Slot7.3_26 / Redundante"/>
    <x v="0"/>
    <b v="0"/>
    <s v="No está en VPC"/>
    <n v="840"/>
    <s v="INTPG_VPC_835_1.12_840_1.12"/>
    <s v="ISEL-1.12"/>
    <n v="1"/>
    <s v="NO TIENE L3OUT"/>
    <n v="8"/>
    <n v="54"/>
  </r>
  <r>
    <n v="856"/>
    <x v="2"/>
    <x v="221"/>
    <s v="eth1/12"/>
    <x v="0"/>
    <x v="0"/>
    <x v="0"/>
    <s v="LINK_TO_ITHFHWCRMPLCN138 / Slot1.2_10 / Principal"/>
    <x v="0"/>
    <b v="0"/>
    <s v="No está en VPC"/>
    <n v="856"/>
    <s v="INTPG_ACC_856_1.12"/>
    <s v="ISEL-1.12"/>
    <n v="2"/>
    <s v="NO TIENE L3OUT"/>
    <n v="286"/>
    <n v="54"/>
  </r>
  <r>
    <n v="110"/>
    <x v="0"/>
    <x v="222"/>
    <s v="eth1/12"/>
    <x v="0"/>
    <x v="0"/>
    <x v="0"/>
    <m/>
    <x v="6"/>
    <b v="0"/>
    <s v="No está en VPC"/>
    <n v="110"/>
    <s v="INTPG_ACC_110_1.12"/>
    <s v="ISEL-1.12"/>
    <n v="1"/>
    <s v="NO TIENE L3OUT"/>
    <n v="102"/>
    <n v="96"/>
  </r>
  <r>
    <n v="163"/>
    <x v="0"/>
    <x v="223"/>
    <s v="eth1/12"/>
    <x v="0"/>
    <x v="0"/>
    <x v="0"/>
    <s v="IBM SICOD"/>
    <x v="6"/>
    <b v="0"/>
    <s v="No está en VPC"/>
    <n v="163"/>
    <s v="INTPG_ACC_163_1.12"/>
    <s v="ISEL-1.12"/>
    <n v="1"/>
    <s v="NO TIENE L3OUT"/>
    <n v="140"/>
    <n v="96"/>
  </r>
  <r>
    <n v="407"/>
    <x v="1"/>
    <x v="224"/>
    <s v="eth1/12"/>
    <x v="0"/>
    <x v="1"/>
    <x v="1"/>
    <s v="VBLOCK2_CLNT"/>
    <x v="6"/>
    <b v="0"/>
    <s v="No está en VPC"/>
    <n v="407"/>
    <s v="INTPG_VPC_407_1.12_409_1.11"/>
    <s v="ISEL-1.12"/>
    <n v="3"/>
    <s v="NO TIENE L3OUT"/>
    <n v="122"/>
    <n v="96"/>
  </r>
  <r>
    <n v="171"/>
    <x v="0"/>
    <x v="225"/>
    <s v="eth1/12"/>
    <x v="0"/>
    <x v="0"/>
    <x v="0"/>
    <m/>
    <x v="6"/>
    <b v="0"/>
    <s v="No está en VPC"/>
    <n v="171"/>
    <s v="INTPG_ACC_171_1.12"/>
    <s v="ISEL-1.12"/>
    <n v="1"/>
    <s v="NO TIENE L3OUT"/>
    <n v="114"/>
    <n v="96"/>
  </r>
  <r>
    <n v="421"/>
    <x v="1"/>
    <x v="226"/>
    <s v="eth1/12"/>
    <x v="0"/>
    <x v="0"/>
    <x v="0"/>
    <s v="VBLOCK3"/>
    <x v="6"/>
    <b v="0"/>
    <s v="No está en VPC"/>
    <n v="421"/>
    <s v="INTPG_VPC_419_1.11-12_421_1.11-12"/>
    <s v="ISEL-1.12"/>
    <n v="3"/>
    <s v="NO TIENE L3OUT"/>
    <n v="72"/>
    <n v="96"/>
  </r>
  <r>
    <n v="173"/>
    <x v="0"/>
    <x v="227"/>
    <s v="eth1/12"/>
    <x v="0"/>
    <x v="0"/>
    <x v="0"/>
    <s v="ENIQ"/>
    <x v="6"/>
    <b v="0"/>
    <s v="No está en VPC"/>
    <n v="173"/>
    <s v="INTPG_ACC_173_1.12"/>
    <s v="ISEL-1.12"/>
    <n v="1"/>
    <s v="NO TIENE L3OUT"/>
    <n v="66"/>
    <n v="96"/>
  </r>
  <r>
    <n v="154"/>
    <x v="0"/>
    <x v="228"/>
    <s v="eth1/12"/>
    <x v="0"/>
    <x v="0"/>
    <x v="0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12"/>
    <x v="1"/>
    <x v="1"/>
    <x v="2"/>
    <m/>
    <x v="6"/>
    <b v="0"/>
    <s v="No está en VPC"/>
    <n v="172"/>
    <s v="INTPG_ACC_172_1.12"/>
    <s v="ISEL-1.12"/>
    <n v="0"/>
    <s v="NO TIENE L3OUT"/>
    <n v="104"/>
    <n v="96"/>
  </r>
  <r>
    <n v="420"/>
    <x v="1"/>
    <x v="230"/>
    <s v="eth1/12"/>
    <x v="0"/>
    <x v="1"/>
    <x v="1"/>
    <s v="PORTABILIDAD_uxgsm10_Eth2"/>
    <x v="6"/>
    <b v="0"/>
    <s v="No está en VPC"/>
    <n v="420"/>
    <s v="INTPG_ACC_420_1.12"/>
    <s v="ISEL-1.12"/>
    <n v="1"/>
    <s v="NO TIENE L3OUT"/>
    <n v="158"/>
    <n v="96"/>
  </r>
  <r>
    <n v="423"/>
    <x v="1"/>
    <x v="231"/>
    <s v="eth1/12"/>
    <x v="0"/>
    <x v="0"/>
    <x v="0"/>
    <s v="ITHPA04_ILO_IPMP-Activa"/>
    <x v="6"/>
    <b v="0"/>
    <s v="No está en VPC"/>
    <n v="423"/>
    <s v="INTPG_ACC_423_1.12"/>
    <s v="ISEL-1.12"/>
    <n v="1"/>
    <s v="NO TIENE L3OUT"/>
    <n v="86"/>
    <n v="96"/>
  </r>
  <r>
    <n v="415"/>
    <x v="1"/>
    <x v="232"/>
    <s v="eth1/12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12"/>
    <x v="0"/>
    <x v="1"/>
    <x v="1"/>
    <s v="SFLDI"/>
    <x v="6"/>
    <b v="0"/>
    <s v="No está en VPC"/>
    <n v="102"/>
    <s v="INTPG_ACC_102_1.12"/>
    <s v="ISEL-1.12"/>
    <n v="1"/>
    <s v="NO TIENE L3OUT"/>
    <n v="228"/>
    <n v="96"/>
  </r>
  <r>
    <n v="863"/>
    <x v="2"/>
    <x v="234"/>
    <s v="eth1/12"/>
    <x v="0"/>
    <x v="0"/>
    <x v="0"/>
    <s v="To_VPC_2DCBSD_HD40_3"/>
    <x v="0"/>
    <b v="0"/>
    <s v="No está en VPC"/>
    <n v="863"/>
    <s v="INTPG_VPC_858_1.12_863_1.12"/>
    <s v="ISEL-1.12"/>
    <n v="1"/>
    <s v="NO TIENE L3OUT"/>
    <n v="8"/>
    <n v="54"/>
  </r>
  <r>
    <n v="876"/>
    <x v="2"/>
    <x v="235"/>
    <s v="eth1/12"/>
    <x v="0"/>
    <x v="0"/>
    <x v="0"/>
    <s v="LINK_TO_ITHFHWSEQLCAS35 (GMR 3) / Slot 4 PTO 1 / Principal"/>
    <x v="4"/>
    <b v="0"/>
    <s v="No está en VPC"/>
    <n v="876"/>
    <s v="INTPG_ACC_876_1.12"/>
    <s v="ISEL-1.12"/>
    <n v="1"/>
    <s v="NO TIENE L3OUT"/>
    <n v="92"/>
    <n v="54"/>
  </r>
  <r>
    <n v="877"/>
    <x v="2"/>
    <x v="236"/>
    <s v="eth1/12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12"/>
    <x v="0"/>
    <x v="0"/>
    <x v="0"/>
    <s v="DESC"/>
    <x v="6"/>
    <b v="0"/>
    <s v="No está en VPC"/>
    <n v="122"/>
    <s v="INTPG_PC_122_1.10-14"/>
    <s v="ISEL-1.12"/>
    <n v="1"/>
    <s v="NO TIENE L3OUT"/>
    <n v="148"/>
    <n v="96"/>
  </r>
  <r>
    <n v="157"/>
    <x v="0"/>
    <x v="238"/>
    <s v="eth1/12"/>
    <x v="0"/>
    <x v="0"/>
    <x v="0"/>
    <s v="COBROS NAVEGACION"/>
    <x v="6"/>
    <b v="0"/>
    <s v="No está en VPC"/>
    <n v="157"/>
    <s v="INTPG_ACC_157_1.12"/>
    <s v="ISEL-1.12"/>
    <n v="1"/>
    <s v="NO TIENE L3OUT"/>
    <n v="202"/>
    <n v="96"/>
  </r>
  <r>
    <n v="408"/>
    <x v="1"/>
    <x v="239"/>
    <s v="eth1/12"/>
    <x v="0"/>
    <x v="0"/>
    <x v="0"/>
    <s v="RESPAL_CS5_ASAP8"/>
    <x v="6"/>
    <b v="0"/>
    <s v="No está en VPC"/>
    <n v="408"/>
    <s v="INTPG_ACC_408_1.12"/>
    <s v="ISEL-1.12"/>
    <n v="1"/>
    <s v="NO TIENE L3OUT"/>
    <n v="152"/>
    <n v="96"/>
  </r>
  <r>
    <n v="405"/>
    <x v="1"/>
    <x v="240"/>
    <s v="eth1/12"/>
    <x v="0"/>
    <x v="0"/>
    <x v="0"/>
    <s v="XL5 RLR5ARI02  iLO"/>
    <x v="6"/>
    <b v="0"/>
    <s v="No está en VPC"/>
    <n v="405"/>
    <s v="INTPG_ACC_405_1.12"/>
    <s v="ISEL-1.12"/>
    <n v="1"/>
    <s v="NO TIENE L3OUT"/>
    <n v="138"/>
    <n v="96"/>
  </r>
  <r>
    <n v="169"/>
    <x v="0"/>
    <x v="241"/>
    <s v="eth1/12"/>
    <x v="0"/>
    <x v="0"/>
    <x v="0"/>
    <s v="CIMC_HACIA_UCS_9UCS-IXTLA-SERV4"/>
    <x v="6"/>
    <b v="0"/>
    <s v="No está en VPC"/>
    <n v="169"/>
    <s v="INTPG_ACC_169_1.12"/>
    <s v="ISEL-1.12"/>
    <n v="1"/>
    <s v="NO TIENE L3OUT"/>
    <n v="76"/>
    <n v="96"/>
  </r>
  <r>
    <n v="165"/>
    <x v="0"/>
    <x v="242"/>
    <s v="eth1/12"/>
    <x v="0"/>
    <x v="0"/>
    <x v="0"/>
    <s v="Nomina"/>
    <x v="6"/>
    <b v="0"/>
    <s v="No está en VPC"/>
    <n v="165"/>
    <s v="INTPG_ACC_165_1.12"/>
    <s v="ISEL-1.12"/>
    <n v="1"/>
    <s v="NO TIENE L3OUT"/>
    <n v="86"/>
    <n v="96"/>
  </r>
  <r>
    <n v="417"/>
    <x v="1"/>
    <x v="243"/>
    <s v="eth1/12"/>
    <x v="0"/>
    <x v="0"/>
    <x v="0"/>
    <s v="IXTSRM1_VM1"/>
    <x v="6"/>
    <b v="0"/>
    <s v="No está en VPC"/>
    <n v="417"/>
    <s v="INTPG_ACC_417_1.12"/>
    <s v="ISEL-1.12"/>
    <n v="1"/>
    <s v="NO TIENE L3OUT"/>
    <n v="56"/>
    <n v="96"/>
  </r>
  <r>
    <n v="153"/>
    <x v="0"/>
    <x v="244"/>
    <s v="eth1/12"/>
    <x v="0"/>
    <x v="0"/>
    <x v="0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12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12"/>
    <x v="0"/>
    <x v="0"/>
    <x v="0"/>
    <s v="ARIESO_GEOLOCALIZACION"/>
    <x v="6"/>
    <b v="0"/>
    <s v="No está en VPC"/>
    <n v="156"/>
    <s v="INTPG_ACC_156_1.12"/>
    <s v="ISEL-1.12"/>
    <n v="2"/>
    <s v="NO TIENE L3OUT"/>
    <n v="40"/>
    <n v="96"/>
  </r>
  <r>
    <n v="103"/>
    <x v="0"/>
    <x v="247"/>
    <s v="eth1/12"/>
    <x v="0"/>
    <x v="1"/>
    <x v="1"/>
    <s v="CAMPANAS 01-02:uxtsmmdr:"/>
    <x v="6"/>
    <b v="0"/>
    <s v="No está en VPC"/>
    <n v="103"/>
    <s v="INTPG_ACC_103_1.12"/>
    <s v="ISEL-1.12"/>
    <n v="1"/>
    <s v="NO TIENE L3OUT"/>
    <n v="70"/>
    <n v="96"/>
  </r>
  <r>
    <n v="438"/>
    <x v="1"/>
    <x v="248"/>
    <s v="eth1/12"/>
    <x v="0"/>
    <x v="0"/>
    <x v="0"/>
    <s v="uxdxsw2(RENACE)"/>
    <x v="6"/>
    <b v="0"/>
    <s v="No está en VPC"/>
    <n v="438"/>
    <s v="INTPG_ACC_438_1.12"/>
    <s v="ISEL-1.12"/>
    <n v="1"/>
    <s v="NO TIENE L3OUT"/>
    <n v="170"/>
    <n v="96"/>
  </r>
  <r>
    <n v="406"/>
    <x v="1"/>
    <x v="249"/>
    <s v="eth1/12"/>
    <x v="0"/>
    <x v="0"/>
    <x v="0"/>
    <s v="DESC"/>
    <x v="6"/>
    <b v="0"/>
    <s v="No está en VPC"/>
    <n v="406"/>
    <s v="INTPG_PC_406_1.11-12"/>
    <s v="ISEL-1.12"/>
    <n v="1"/>
    <s v="NO TIENE L3OUT"/>
    <n v="82"/>
    <n v="96"/>
  </r>
  <r>
    <n v="414"/>
    <x v="1"/>
    <x v="250"/>
    <s v="eth1/12"/>
    <x v="0"/>
    <x v="0"/>
    <x v="0"/>
    <s v="9UCS-IXTLA-WEBEX-SERV3"/>
    <x v="6"/>
    <b v="0"/>
    <s v="No está en VPC"/>
    <n v="414"/>
    <s v="INTPG_ACC_414_1.12"/>
    <s v="ISEL-1.12"/>
    <n v="1"/>
    <s v="NO TIENE L3OUT"/>
    <n v="144"/>
    <n v="96"/>
  </r>
  <r>
    <n v="416"/>
    <x v="1"/>
    <x v="251"/>
    <s v="eth1/12"/>
    <x v="0"/>
    <x v="0"/>
    <x v="0"/>
    <s v="sfmedp60-MEDVOZ_CLIENT10"/>
    <x v="6"/>
    <b v="0"/>
    <s v="No está en VPC"/>
    <n v="416"/>
    <s v="INTPG_VPC_416_1.12_418_1.12"/>
    <s v="ISEL-1.12"/>
    <n v="1"/>
    <s v="NO TIENE L3OUT"/>
    <n v="110"/>
    <n v="96"/>
  </r>
  <r>
    <n v="418"/>
    <x v="1"/>
    <x v="252"/>
    <s v="eth1/12"/>
    <x v="0"/>
    <x v="0"/>
    <x v="0"/>
    <s v="sfmedp60-MEDVOZ_CLIENT10"/>
    <x v="6"/>
    <b v="0"/>
    <s v="No está en VPC"/>
    <n v="418"/>
    <s v="INTPG_VPC_416_1.12_418_1.12"/>
    <s v="ISEL-1.12"/>
    <n v="1"/>
    <s v="NO TIENE L3OUT"/>
    <n v="152"/>
    <n v="96"/>
  </r>
  <r>
    <n v="413"/>
    <x v="1"/>
    <x v="253"/>
    <s v="eth1/12"/>
    <x v="0"/>
    <x v="0"/>
    <x v="0"/>
    <s v="DESC"/>
    <x v="6"/>
    <b v="0"/>
    <s v="No está en VPC"/>
    <n v="413"/>
    <s v="INTPG_PC_413_1.9-12"/>
    <s v="ISEL-1.12"/>
    <n v="1"/>
    <s v="NO TIENE L3OUT"/>
    <n v="126"/>
    <n v="96"/>
  </r>
  <r>
    <n v="403"/>
    <x v="1"/>
    <x v="254"/>
    <s v="eth1/12"/>
    <x v="0"/>
    <x v="0"/>
    <x v="0"/>
    <s v="XL5 RLR5ARI02"/>
    <x v="6"/>
    <b v="0"/>
    <s v="No está en VPC"/>
    <n v="403"/>
    <s v="INTPG_ACC_403_1.12"/>
    <s v="ISEL-1.12"/>
    <n v="1"/>
    <s v="NO TIENE L3OUT"/>
    <n v="150"/>
    <n v="96"/>
  </r>
  <r>
    <n v="125"/>
    <x v="0"/>
    <x v="255"/>
    <s v="eth1/12"/>
    <x v="0"/>
    <x v="0"/>
    <x v="0"/>
    <s v="GSM_ENIQ_MTY"/>
    <x v="6"/>
    <b v="0"/>
    <s v="No está en VPC"/>
    <n v="125"/>
    <s v="INTPG_VPC_124_1.7_125_1.12"/>
    <s v="ISEL-1.12"/>
    <n v="10"/>
    <s v="NO TIENE L3OUT"/>
    <n v="72"/>
    <n v="96"/>
  </r>
  <r>
    <n v="166"/>
    <x v="0"/>
    <x v="256"/>
    <s v="eth1/12"/>
    <x v="0"/>
    <x v="0"/>
    <x v="0"/>
    <s v="UXLDAP_1"/>
    <x v="6"/>
    <b v="0"/>
    <s v="No está en VPC"/>
    <n v="166"/>
    <s v="INTPG_ACC_166_1.12"/>
    <s v="ISEL-1.12"/>
    <n v="1"/>
    <s v="NO TIENE L3OUT"/>
    <n v="84"/>
    <n v="96"/>
  </r>
  <r>
    <n v="111"/>
    <x v="0"/>
    <x v="257"/>
    <s v="eth1/12"/>
    <x v="0"/>
    <x v="0"/>
    <x v="0"/>
    <s v="RENACE"/>
    <x v="6"/>
    <b v="0"/>
    <s v="No está en VPC"/>
    <n v="111"/>
    <s v="INTPG_ACC_111_1.12"/>
    <s v="ISEL-1.12"/>
    <n v="1"/>
    <s v="NO TIENE L3OUT"/>
    <n v="58"/>
    <n v="96"/>
  </r>
  <r>
    <n v="115"/>
    <x v="0"/>
    <x v="258"/>
    <s v="eth1/12"/>
    <x v="0"/>
    <x v="0"/>
    <x v="0"/>
    <s v="TO-ITHFERNTCTRIS01-Redundante"/>
    <x v="6"/>
    <b v="0"/>
    <s v="No está en VPC"/>
    <n v="115"/>
    <s v="INTPG_ACC_115_1.12"/>
    <s v="ISEL-1.12"/>
    <n v="1"/>
    <s v="NO TIENE L3OUT"/>
    <n v="42"/>
    <n v="96"/>
  </r>
  <r>
    <n v="106"/>
    <x v="0"/>
    <x v="259"/>
    <s v="eth1/12"/>
    <x v="0"/>
    <x v="0"/>
    <x v="0"/>
    <s v="TRIAL COPS_SON "/>
    <x v="6"/>
    <b v="0"/>
    <s v="No está en VPC"/>
    <n v="106"/>
    <s v="INTPG_ACC_106_1.12"/>
    <s v="ISEL-1.12"/>
    <n v="1"/>
    <s v="NO TIENE L3OUT"/>
    <n v="122"/>
    <n v="96"/>
  </r>
  <r>
    <n v="126"/>
    <x v="0"/>
    <x v="260"/>
    <s v="eth1/12"/>
    <x v="0"/>
    <x v="0"/>
    <x v="0"/>
    <s v="CISCO ANA 01 EHEALTH"/>
    <x v="6"/>
    <b v="0"/>
    <s v="No está en VPC"/>
    <n v="126"/>
    <s v="INTPG_ACC_126_1.12"/>
    <s v="ISEL-1.12"/>
    <n v="1"/>
    <s v="NO TIENE L3OUT"/>
    <n v="54"/>
    <n v="96"/>
  </r>
  <r>
    <n v="425"/>
    <x v="1"/>
    <x v="261"/>
    <s v="eth1/12"/>
    <x v="0"/>
    <x v="0"/>
    <x v="0"/>
    <s v="PortalCautivo2_f5em01_mgmt"/>
    <x v="6"/>
    <b v="0"/>
    <s v="No está en VPC"/>
    <n v="425"/>
    <s v="INTPG_ACC_425_1.12"/>
    <s v="ISEL-1.12"/>
    <n v="1"/>
    <s v="NO TIENE L3OUT"/>
    <n v="86"/>
    <n v="96"/>
  </r>
  <r>
    <n v="151"/>
    <x v="0"/>
    <x v="262"/>
    <s v="eth1/12"/>
    <x v="0"/>
    <x v="0"/>
    <x v="0"/>
    <s v="DASHBOARD"/>
    <x v="6"/>
    <b v="0"/>
    <s v="No está en VPC"/>
    <n v="151"/>
    <s v="INTPG_ACC_151_1.12"/>
    <s v="ISEL-1.12"/>
    <n v="1"/>
    <s v="NO TIENE L3OUT"/>
    <n v="86"/>
    <n v="96"/>
  </r>
  <r>
    <n v="430"/>
    <x v="1"/>
    <x v="263"/>
    <s v="eth1/12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12"/>
    <x v="0"/>
    <x v="0"/>
    <x v="0"/>
    <s v="VBLOCK3"/>
    <x v="6"/>
    <b v="0"/>
    <s v="No está en VPC"/>
    <n v="419"/>
    <s v="INTPG_VPC_419_1.11-12_421_1.11-12"/>
    <s v="ISEL-1.12"/>
    <n v="3"/>
    <s v="NO TIENE L3OUT"/>
    <n v="70"/>
    <n v="96"/>
  </r>
  <r>
    <n v="155"/>
    <x v="0"/>
    <x v="265"/>
    <s v="eth1/12"/>
    <x v="0"/>
    <x v="0"/>
    <x v="0"/>
    <s v="Provider -1"/>
    <x v="6"/>
    <b v="0"/>
    <s v="No está en VPC"/>
    <n v="155"/>
    <s v="INTPG_ACC_155_1.12"/>
    <s v="ISEL-1.12"/>
    <n v="1"/>
    <s v="NO TIENE L3OUT"/>
    <n v="198"/>
    <n v="96"/>
  </r>
  <r>
    <n v="409"/>
    <x v="1"/>
    <x v="266"/>
    <s v="eth1/12"/>
    <x v="0"/>
    <x v="0"/>
    <x v="0"/>
    <s v="ITHHPGRLKEN11_FLM2 MGMT"/>
    <x v="6"/>
    <b v="0"/>
    <s v="No está en VPC"/>
    <n v="409"/>
    <s v="INTPG_ACC_409_1.12"/>
    <s v="ISEL-1.12"/>
    <n v="1"/>
    <s v="NO TIENE L3OUT"/>
    <n v="128"/>
    <n v="96"/>
  </r>
  <r>
    <n v="422"/>
    <x v="1"/>
    <x v="267"/>
    <s v="eth1/12"/>
    <x v="0"/>
    <x v="0"/>
    <x v="0"/>
    <s v="B6200B_DT_2"/>
    <x v="6"/>
    <b v="0"/>
    <s v="No está en VPC"/>
    <n v="422"/>
    <s v="INTPG_ACC_422_1.12"/>
    <s v="ISEL-1.12"/>
    <n v="1"/>
    <s v="NO TIENE L3OUT"/>
    <n v="182"/>
    <n v="96"/>
  </r>
  <r>
    <n v="436"/>
    <x v="1"/>
    <x v="268"/>
    <s v="eth1/12"/>
    <x v="0"/>
    <x v="0"/>
    <x v="0"/>
    <s v="ZFS_RANECE_ILOM-A"/>
    <x v="6"/>
    <b v="0"/>
    <s v="No está en VPC"/>
    <n v="436"/>
    <s v="INTPG_ACC_436_1.12"/>
    <s v="ISEL-1.12"/>
    <n v="1"/>
    <s v="NO TIENE L3OUT"/>
    <n v="172"/>
    <n v="96"/>
  </r>
  <r>
    <n v="410"/>
    <x v="1"/>
    <x v="269"/>
    <s v="eth1/12"/>
    <x v="1"/>
    <x v="1"/>
    <x v="2"/>
    <m/>
    <x v="6"/>
    <b v="0"/>
    <s v="No está en VPC"/>
    <n v="410"/>
    <s v="NO EXISTE PG"/>
    <s v="NO EXISTE ISEL"/>
    <n v="0"/>
    <s v="NO TIENE L3OUT"/>
    <n v="178"/>
    <n v="96"/>
  </r>
  <r>
    <n v="161"/>
    <x v="0"/>
    <x v="270"/>
    <s v="eth1/12"/>
    <x v="0"/>
    <x v="0"/>
    <x v="0"/>
    <m/>
    <x v="6"/>
    <b v="0"/>
    <s v="No está en VPC"/>
    <n v="161"/>
    <s v="INTPG_PC_161_1.14-12"/>
    <s v="ISEL-1.12"/>
    <n v="1"/>
    <s v="NO TIENE L3OUT"/>
    <n v="102"/>
    <n v="96"/>
  </r>
  <r>
    <n v="411"/>
    <x v="1"/>
    <x v="271"/>
    <s v="eth1/12"/>
    <x v="0"/>
    <x v="0"/>
    <x v="0"/>
    <s v="DESC"/>
    <x v="6"/>
    <b v="0"/>
    <s v="No está en VPC"/>
    <n v="411"/>
    <s v="INTPG_PC_411_1.9-12"/>
    <s v="ISEL-1.12"/>
    <n v="1"/>
    <s v="NO TIENE L3OUT"/>
    <n v="96"/>
    <n v="96"/>
  </r>
  <r>
    <n v="116"/>
    <x v="0"/>
    <x v="272"/>
    <s v="eth1/12"/>
    <x v="0"/>
    <x v="1"/>
    <x v="1"/>
    <s v="COBROS NAVEGACION"/>
    <x v="6"/>
    <b v="0"/>
    <s v="No está en VPC"/>
    <n v="116"/>
    <s v="INTPG_ACC_116_1.12"/>
    <s v="ISEL-1.12"/>
    <n v="1"/>
    <s v="NO TIENE L3OUT"/>
    <n v="148"/>
    <n v="96"/>
  </r>
  <r>
    <n v="412"/>
    <x v="1"/>
    <x v="273"/>
    <s v="eth1/12"/>
    <x v="0"/>
    <x v="1"/>
    <x v="1"/>
    <s v="Suspend6"/>
    <x v="6"/>
    <b v="0"/>
    <s v="No está en VPC"/>
    <n v="412"/>
    <s v="INTPG_ACC_412_1.12"/>
    <s v="ISEL-1.12"/>
    <n v="1"/>
    <s v="NO TIENE L3OUT"/>
    <n v="126"/>
    <n v="96"/>
  </r>
  <r>
    <n v="120"/>
    <x v="0"/>
    <x v="274"/>
    <s v="eth1/12"/>
    <x v="1"/>
    <x v="1"/>
    <x v="2"/>
    <s v="DESC"/>
    <x v="6"/>
    <b v="0"/>
    <s v="No está en VPC"/>
    <n v="120"/>
    <s v="INTPG_PC_120_1.10-14"/>
    <s v="ISEL-1.12"/>
    <n v="1"/>
    <s v="NO TIENE L3OUT"/>
    <n v="158"/>
    <n v="96"/>
  </r>
  <r>
    <n v="404"/>
    <x v="1"/>
    <x v="275"/>
    <s v="eth1/12"/>
    <x v="0"/>
    <x v="0"/>
    <x v="0"/>
    <s v="DESC"/>
    <x v="6"/>
    <b v="0"/>
    <s v="No está en VPC"/>
    <n v="404"/>
    <s v="INTPG_PC_404_1.11-12"/>
    <s v="ISEL-1.12"/>
    <n v="1"/>
    <s v="NO TIENE L3OUT"/>
    <n v="92"/>
    <n v="96"/>
  </r>
  <r>
    <n v="167"/>
    <x v="0"/>
    <x v="276"/>
    <s v="eth1/12"/>
    <x v="0"/>
    <x v="0"/>
    <x v="0"/>
    <s v="LINKDOWN_HACIA_UCS_9UCS-IXTLA-SERV1"/>
    <x v="6"/>
    <b v="0"/>
    <s v="No está en VPC"/>
    <n v="167"/>
    <s v="INTPG_ACC_167_1.12"/>
    <s v="ISEL-1.12"/>
    <n v="1"/>
    <s v="NO TIENE L3OUT"/>
    <n v="68"/>
    <n v="96"/>
  </r>
  <r>
    <n v="428"/>
    <x v="1"/>
    <x v="277"/>
    <s v="eth1/12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903"/>
    <x v="2"/>
    <x v="278"/>
    <s v="eth1/1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1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13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13"/>
    <x v="0"/>
    <x v="0"/>
    <x v="0"/>
    <m/>
    <x v="1"/>
    <b v="0"/>
    <s v="No está en VPC"/>
    <n v="123"/>
    <s v="INTPG_ACC_123_1.13"/>
    <s v="ISEL-1.13"/>
    <n v="1"/>
    <s v="NO TIENE L3OUT"/>
    <n v="20"/>
    <n v="54"/>
  </r>
  <r>
    <n v="152"/>
    <x v="0"/>
    <x v="2"/>
    <s v="eth1/13"/>
    <x v="0"/>
    <x v="0"/>
    <x v="0"/>
    <s v="IXTPA2PC"/>
    <x v="1"/>
    <b v="0"/>
    <s v="No está en VPC"/>
    <n v="152"/>
    <s v="INTPG_ACC_152_1.13"/>
    <s v="ISEL-1.13"/>
    <n v="1"/>
    <s v="NO TIENE L3OUT"/>
    <n v="38"/>
    <n v="54"/>
  </r>
  <r>
    <n v="101"/>
    <x v="0"/>
    <x v="3"/>
    <s v="eth1/13"/>
    <x v="0"/>
    <x v="0"/>
    <x v="0"/>
    <s v="ENIQ_4G_MEX_1"/>
    <x v="0"/>
    <b v="0"/>
    <s v="No está en VPC"/>
    <n v="101"/>
    <s v="INTPG_VPC_101_1.13_150_1.13"/>
    <s v="ISEL-1.13"/>
    <n v="1"/>
    <s v="NO TIENE L3OUT"/>
    <n v="114"/>
    <n v="54"/>
  </r>
  <r>
    <n v="160"/>
    <x v="0"/>
    <x v="4"/>
    <s v="eth1/13"/>
    <x v="0"/>
    <x v="0"/>
    <x v="0"/>
    <s v="ArrobaDOC Y CF"/>
    <x v="1"/>
    <b v="0"/>
    <s v="No está en VPC"/>
    <n v="160"/>
    <s v="INTPG_ACC_160_1.13"/>
    <s v="ISEL-1.13"/>
    <n v="1"/>
    <s v="NO TIENE L3OUT"/>
    <n v="68"/>
    <n v="54"/>
  </r>
  <r>
    <n v="121"/>
    <x v="0"/>
    <x v="5"/>
    <s v="eth1/13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13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13"/>
    <x v="0"/>
    <x v="0"/>
    <x v="0"/>
    <s v="CEMOD1"/>
    <x v="0"/>
    <b v="0"/>
    <s v="No está en VPC"/>
    <n v="401"/>
    <s v="INTPG_VPC_401_1.13_16_402_1.13_16"/>
    <s v="ISEL-1.13"/>
    <n v="2"/>
    <s v="NO TIENE L3OUT"/>
    <n v="40"/>
    <n v="54"/>
  </r>
  <r>
    <n v="402"/>
    <x v="1"/>
    <x v="8"/>
    <s v="eth1/13"/>
    <x v="0"/>
    <x v="0"/>
    <x v="0"/>
    <s v="CEMOD1"/>
    <x v="0"/>
    <b v="0"/>
    <s v="No está en VPC"/>
    <n v="402"/>
    <s v="INTPG_VPC_401_1.13_16_402_1.13_16"/>
    <s v="ISEL-1.13"/>
    <n v="2"/>
    <s v="NO TIENE L3OUT"/>
    <n v="36"/>
    <n v="54"/>
  </r>
  <r>
    <n v="447"/>
    <x v="1"/>
    <x v="9"/>
    <s v="eth1/13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13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13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13"/>
    <x v="0"/>
    <x v="0"/>
    <x v="0"/>
    <s v="ENIQ_4G_MEX_1"/>
    <x v="0"/>
    <b v="0"/>
    <s v="No está en VPC"/>
    <n v="150"/>
    <s v="INTPG_VPC_101_1.13_150_1.13"/>
    <s v="ISEL-1.13"/>
    <n v="1"/>
    <s v="NO TIENE L3OUT"/>
    <n v="118"/>
    <n v="54"/>
  </r>
  <r>
    <n v="131"/>
    <x v="0"/>
    <x v="13"/>
    <s v="eth1/13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13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13"/>
    <x v="0"/>
    <x v="0"/>
    <x v="0"/>
    <s v="GRLK LAG 03"/>
    <x v="2"/>
    <b v="0"/>
    <s v="No está en VPC"/>
    <n v="758"/>
    <s v="INTPG_VPC_758_1.13_759_1.13"/>
    <s v="ISEL-1.13"/>
    <n v="89"/>
    <s v="NO TIENE L3OUT"/>
    <n v="0"/>
    <n v="42"/>
  </r>
  <r>
    <n v="759"/>
    <x v="2"/>
    <x v="16"/>
    <s v="eth1/13"/>
    <x v="0"/>
    <x v="0"/>
    <x v="0"/>
    <s v="GRLK LAG 03"/>
    <x v="2"/>
    <b v="0"/>
    <s v="No está en VPC"/>
    <n v="759"/>
    <s v="INTPG_VPC_758_1.13_759_1.13"/>
    <s v="ISEL-1.13"/>
    <n v="89"/>
    <s v="NO TIENE L3OUT"/>
    <n v="0"/>
    <n v="42"/>
  </r>
  <r>
    <n v="302"/>
    <x v="0"/>
    <x v="17"/>
    <s v="eth1/13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13"/>
    <x v="0"/>
    <x v="0"/>
    <x v="0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13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13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13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13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13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13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13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13"/>
    <x v="0"/>
    <x v="0"/>
    <x v="0"/>
    <s v="TO-CONECTIVIDAD_HUAWEI_CLOUD_SALA_2_produccion_client_LAG"/>
    <x v="0"/>
    <b v="0"/>
    <s v="No está en VPC"/>
    <n v="431"/>
    <s v="INTPG_VPC_431_1.12-13_448_1.12-13"/>
    <s v="ISEL-1.13"/>
    <n v="52"/>
    <s v="NO TIENE L3OUT"/>
    <n v="46"/>
    <n v="54"/>
  </r>
  <r>
    <n v="433"/>
    <x v="1"/>
    <x v="27"/>
    <s v="eth1/13"/>
    <x v="0"/>
    <x v="0"/>
    <x v="0"/>
    <s v="TO-ITHPSFAX50R3006ECHS0-PRINCIPAL"/>
    <x v="1"/>
    <b v="0"/>
    <s v="No está en VPC"/>
    <n v="433"/>
    <s v="INTPG_ACC_433_1.13"/>
    <s v="ISEL-1.13"/>
    <n v="1"/>
    <s v="NO TIENE L3OUT"/>
    <n v="42"/>
    <n v="54"/>
  </r>
  <r>
    <n v="429"/>
    <x v="1"/>
    <x v="28"/>
    <s v="eth1/13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13"/>
    <x v="1"/>
    <x v="1"/>
    <x v="2"/>
    <s v="SNS2224-1_MGMT_RHEV_HUAWEI"/>
    <x v="1"/>
    <b v="0"/>
    <s v="No está en VPC"/>
    <n v="432"/>
    <s v="INTPG_ACC_432_1.13"/>
    <s v="ISEL-1.13"/>
    <n v="0"/>
    <s v="NO TIENE L3OUT"/>
    <n v="54"/>
    <n v="54"/>
  </r>
  <r>
    <n v="442"/>
    <x v="1"/>
    <x v="30"/>
    <s v="eth1/13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13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13"/>
    <x v="0"/>
    <x v="0"/>
    <x v="0"/>
    <s v="CEM:ITHCEMG2DAT07:LOM P1"/>
    <x v="0"/>
    <b v="0"/>
    <s v="No está en VPC"/>
    <n v="707"/>
    <s v="INTPG_ACC_707_1.13"/>
    <s v="ISEL-1.13"/>
    <n v="1"/>
    <s v="NO TIENE L3OUT"/>
    <n v="54"/>
    <n v="54"/>
  </r>
  <r>
    <n v="712"/>
    <x v="2"/>
    <x v="33"/>
    <s v="eth1/13"/>
    <x v="0"/>
    <x v="0"/>
    <x v="0"/>
    <s v="CEM:ITHCEMB2DAT07:LOM P1"/>
    <x v="0"/>
    <b v="0"/>
    <s v="No está en VPC"/>
    <n v="712"/>
    <s v="INTPG_ACC_712_1.13"/>
    <s v="ISEL-1.13"/>
    <n v="1"/>
    <s v="NO TIENE L3OUT"/>
    <n v="32"/>
    <n v="54"/>
  </r>
  <r>
    <n v="719"/>
    <x v="2"/>
    <x v="34"/>
    <s v="eth1/13"/>
    <x v="0"/>
    <x v="0"/>
    <x v="0"/>
    <m/>
    <x v="0"/>
    <b v="0"/>
    <s v="No está en VPC"/>
    <n v="719"/>
    <s v="INTPG-VPC_MGN02_719_1.13_720_1.14"/>
    <s v="ISEL-1.13"/>
    <n v="1"/>
    <s v="NO TIENE L3OUT"/>
    <n v="0"/>
    <n v="54"/>
  </r>
  <r>
    <n v="715"/>
    <x v="2"/>
    <x v="35"/>
    <s v="eth1/13"/>
    <x v="0"/>
    <x v="0"/>
    <x v="0"/>
    <m/>
    <x v="0"/>
    <b v="0"/>
    <s v="No está en VPC"/>
    <n v="715"/>
    <s v="INTPG-VPC_HDD42_715_1.13_716_1.14"/>
    <s v="ISEL-1.13"/>
    <n v="1"/>
    <s v="NO TIENE L3OUT"/>
    <n v="0"/>
    <n v="54"/>
  </r>
  <r>
    <n v="427"/>
    <x v="1"/>
    <x v="36"/>
    <s v="eth1/13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13"/>
    <x v="0"/>
    <x v="0"/>
    <x v="0"/>
    <s v="CEM:ITHCEMC2DAT07:LOM P1"/>
    <x v="0"/>
    <b v="0"/>
    <s v="No está en VPC"/>
    <n v="711"/>
    <s v="INTPG_ACC_711_1.13"/>
    <s v="ISEL-1.13"/>
    <n v="1"/>
    <s v="NO TIENE L3OUT"/>
    <n v="16"/>
    <n v="54"/>
  </r>
  <r>
    <n v="716"/>
    <x v="2"/>
    <x v="38"/>
    <s v="eth1/13"/>
    <x v="0"/>
    <x v="0"/>
    <x v="0"/>
    <m/>
    <x v="0"/>
    <b v="0"/>
    <s v="No está en VPC"/>
    <n v="716"/>
    <s v="INTPG-VPC_HDD33_716_1.13_715_1.14"/>
    <s v="ISEL-1.13"/>
    <n v="1"/>
    <s v="NO TIENE L3OUT"/>
    <n v="0"/>
    <n v="54"/>
  </r>
  <r>
    <n v="702"/>
    <x v="2"/>
    <x v="39"/>
    <s v="eth1/13"/>
    <x v="0"/>
    <x v="0"/>
    <x v="0"/>
    <m/>
    <x v="0"/>
    <b v="0"/>
    <s v="No está en VPC"/>
    <n v="702"/>
    <s v="INTPG_VPC_702_1.13_701_1.14"/>
    <s v="ISEL-1.13"/>
    <n v="1"/>
    <s v="NO TIENE L3OUT"/>
    <n v="0"/>
    <n v="54"/>
  </r>
  <r>
    <n v="435"/>
    <x v="1"/>
    <x v="40"/>
    <s v="eth1/13"/>
    <x v="0"/>
    <x v="0"/>
    <x v="0"/>
    <s v="TO-ITHPSFAX50R3006ECHS0-REDUNDANTE"/>
    <x v="1"/>
    <b v="0"/>
    <s v="No está en VPC"/>
    <n v="435"/>
    <s v="INTPG_ACC_435_1.13"/>
    <s v="ISEL-1.13"/>
    <n v="1"/>
    <s v="NO TIENE L3OUT"/>
    <n v="34"/>
    <n v="54"/>
  </r>
  <r>
    <n v="446"/>
    <x v="1"/>
    <x v="41"/>
    <s v="eth1/13"/>
    <x v="0"/>
    <x v="0"/>
    <x v="0"/>
    <s v="TO-ithhwhccsv04"/>
    <x v="0"/>
    <b v="0"/>
    <s v="No está en VPC"/>
    <n v="446"/>
    <s v="INTPG_VPC_444_1.13-14_446_1.13-14"/>
    <s v="ISEL-1.13"/>
    <n v="10"/>
    <s v="NO TIENE L3OUT"/>
    <n v="198"/>
    <n v="54"/>
  </r>
  <r>
    <n v="444"/>
    <x v="1"/>
    <x v="42"/>
    <s v="eth1/13"/>
    <x v="0"/>
    <x v="0"/>
    <x v="0"/>
    <s v="TO-ithhwhccsv04"/>
    <x v="0"/>
    <b v="0"/>
    <s v="No está en VPC"/>
    <n v="444"/>
    <s v="INTPG_VPC_444_1.13-14_446_1.13-14"/>
    <s v="ISEL-1.13"/>
    <n v="10"/>
    <s v="NO TIENE L3OUT"/>
    <n v="234"/>
    <n v="54"/>
  </r>
  <r>
    <n v="701"/>
    <x v="2"/>
    <x v="43"/>
    <s v="eth1/13"/>
    <x v="0"/>
    <x v="0"/>
    <x v="0"/>
    <m/>
    <x v="0"/>
    <b v="0"/>
    <s v="No está en VPC"/>
    <n v="701"/>
    <s v="INTPG_VPC_701_1.13_702_1.14"/>
    <s v="ISEL-1.13"/>
    <n v="2"/>
    <s v="NO TIENE L3OUT"/>
    <n v="0"/>
    <n v="54"/>
  </r>
  <r>
    <n v="440"/>
    <x v="1"/>
    <x v="44"/>
    <s v="eth1/13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13"/>
    <x v="0"/>
    <x v="0"/>
    <x v="0"/>
    <s v="TO-CONECTIVIDAD_HUAWEI_CLOUD_SALA_2_produccion_client_LAG"/>
    <x v="0"/>
    <b v="0"/>
    <s v="No está en VPC"/>
    <n v="448"/>
    <s v="INTPG_VPC_431_1.12-13_448_1.12-13"/>
    <s v="ISEL-1.13"/>
    <n v="52"/>
    <s v="NO TIENE L3OUT"/>
    <n v="46"/>
    <n v="54"/>
  </r>
  <r>
    <n v="704"/>
    <x v="2"/>
    <x v="46"/>
    <s v="eth1/13"/>
    <x v="0"/>
    <x v="0"/>
    <x v="0"/>
    <m/>
    <x v="0"/>
    <b v="0"/>
    <s v="No está en VPC"/>
    <n v="704"/>
    <s v="INTPG_VPC_704_1.13_703_1.14"/>
    <s v="ISEL-1.13"/>
    <n v="1"/>
    <s v="NO TIENE L3OUT"/>
    <n v="0"/>
    <n v="54"/>
  </r>
  <r>
    <n v="729"/>
    <x v="2"/>
    <x v="47"/>
    <s v="eth1/13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13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13"/>
    <x v="0"/>
    <x v="0"/>
    <x v="0"/>
    <s v="HACIA_CSI-A-OSCP-F4-01_SECUNDARIO"/>
    <x v="4"/>
    <b v="0"/>
    <s v="No está en VPC"/>
    <n v="456"/>
    <s v="INTPG_VPC_454_1.13_456_1.13"/>
    <s v="ISEL-1.13"/>
    <n v="2"/>
    <s v="NO TIENE L3OUT"/>
    <n v="4"/>
    <n v="54"/>
  </r>
  <r>
    <n v="603"/>
    <x v="1"/>
    <x v="50"/>
    <s v="eth1/13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13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13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13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13"/>
    <x v="0"/>
    <x v="0"/>
    <x v="0"/>
    <m/>
    <x v="0"/>
    <b v="0"/>
    <s v="No está en VPC"/>
    <n v="722"/>
    <s v="INTPG-VPC_HDD127_722_1.13_723_1.14"/>
    <s v="ISEL-1.13"/>
    <n v="1"/>
    <s v="NO TIENE L3OUT"/>
    <n v="0"/>
    <n v="54"/>
  </r>
  <r>
    <n v="733"/>
    <x v="2"/>
    <x v="55"/>
    <s v="eth1/13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13"/>
    <x v="0"/>
    <x v="0"/>
    <x v="0"/>
    <s v="OSS F1:ithenmr08e1r9a:Bay2/X1"/>
    <x v="0"/>
    <b v="0"/>
    <s v="No está en VPC"/>
    <n v="755"/>
    <s v="INTPG_PC_755_1.13-14"/>
    <s v="ISEL-1.13"/>
    <n v="8"/>
    <s v="NO TIENE L3OUT"/>
    <n v="52"/>
    <n v="54"/>
  </r>
  <r>
    <n v="748"/>
    <x v="2"/>
    <x v="57"/>
    <s v="eth1/13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13"/>
    <x v="0"/>
    <x v="0"/>
    <x v="0"/>
    <s v="OSS F1:ithenmr08e1r9a:Bay1/X1"/>
    <x v="0"/>
    <b v="0"/>
    <s v="No está en VPC"/>
    <n v="756"/>
    <s v="INTPG_PC_756_1.13-14"/>
    <s v="ISEL-1.13"/>
    <n v="8"/>
    <s v="NO TIENE L3OUT"/>
    <n v="64"/>
    <n v="54"/>
  </r>
  <r>
    <n v="754"/>
    <x v="2"/>
    <x v="59"/>
    <s v="eth1/13"/>
    <x v="0"/>
    <x v="0"/>
    <x v="0"/>
    <s v="OSS F1:ithenmnasr9c:PORT 1"/>
    <x v="0"/>
    <b v="0"/>
    <s v="No está en VPC"/>
    <n v="754"/>
    <s v="INTPG_PC_754_1.13-16"/>
    <s v="ISEL-1.13"/>
    <n v="1"/>
    <s v="NO TIENE L3OUT"/>
    <n v="62"/>
    <n v="54"/>
  </r>
  <r>
    <n v="751"/>
    <x v="2"/>
    <x v="60"/>
    <s v="eth1/13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13"/>
    <x v="0"/>
    <x v="0"/>
    <x v="0"/>
    <s v="Portchannel_7_R1"/>
    <x v="0"/>
    <b v="0"/>
    <s v="No está en VPC"/>
    <n v="769"/>
    <s v="INTPG_PC_769_1.11-14"/>
    <s v="ISEL-1.13"/>
    <n v="1"/>
    <s v="NO TIENE L3OUT"/>
    <n v="60"/>
    <n v="54"/>
  </r>
  <r>
    <n v="742"/>
    <x v="2"/>
    <x v="62"/>
    <s v="eth1/13"/>
    <x v="0"/>
    <x v="1"/>
    <x v="1"/>
    <s v="CEM:ITHCEMA2DAT07:LOM P3"/>
    <x v="5"/>
    <b v="0"/>
    <s v="No está en VPC"/>
    <n v="742"/>
    <s v="INTPG_ACC_742_1.13"/>
    <s v="ISEL-1.13"/>
    <n v="1"/>
    <s v="NO TIENE L3OUT"/>
    <n v="64"/>
    <n v="54"/>
  </r>
  <r>
    <n v="763"/>
    <x v="2"/>
    <x v="63"/>
    <s v="eth1/13"/>
    <x v="0"/>
    <x v="0"/>
    <x v="0"/>
    <s v="PAAS:ithhwoscopap013:LOM PORT 3"/>
    <x v="0"/>
    <b v="0"/>
    <s v="No está en VPC"/>
    <n v="763"/>
    <s v="INTPG_VPC_762_1.13_763_1.13"/>
    <s v="ISEL-1.13"/>
    <n v="15"/>
    <s v="NO TIENE L3OUT"/>
    <n v="2"/>
    <n v="54"/>
  </r>
  <r>
    <n v="766"/>
    <x v="2"/>
    <x v="64"/>
    <s v="eth1/13"/>
    <x v="0"/>
    <x v="0"/>
    <x v="0"/>
    <s v="OSS_ENM"/>
    <x v="0"/>
    <b v="0"/>
    <s v="No está en VPC"/>
    <n v="766"/>
    <s v="INTPG_ACC_766_1.13"/>
    <s v="ISEL-1.13"/>
    <n v="1"/>
    <s v="NO TIENE L3OUT"/>
    <n v="58"/>
    <n v="54"/>
  </r>
  <r>
    <n v="760"/>
    <x v="2"/>
    <x v="65"/>
    <s v="eth1/13"/>
    <x v="0"/>
    <x v="1"/>
    <x v="1"/>
    <m/>
    <x v="0"/>
    <b v="0"/>
    <s v="No está en VPC"/>
    <n v="760"/>
    <s v="INTPG_VPC_760_1.13-16_761_1.13-16"/>
    <s v="ISEL-1.13"/>
    <n v="0"/>
    <s v="L3OUT-EXACLOUD"/>
    <n v="0"/>
    <n v="54"/>
  </r>
  <r>
    <n v="752"/>
    <x v="2"/>
    <x v="66"/>
    <s v="eth1/13"/>
    <x v="0"/>
    <x v="0"/>
    <x v="0"/>
    <s v="PAAS:ithhwosstpap004:Slot6.1"/>
    <x v="0"/>
    <b v="0"/>
    <s v="No está en VPC"/>
    <n v="752"/>
    <s v="INTPG_VPC_747_1.13_752_1.13"/>
    <s v="ISEL-1.13"/>
    <n v="25"/>
    <s v="NO TIENE L3OUT"/>
    <n v="0"/>
    <n v="54"/>
  </r>
  <r>
    <n v="765"/>
    <x v="2"/>
    <x v="67"/>
    <s v="eth1/13"/>
    <x v="0"/>
    <x v="0"/>
    <x v="0"/>
    <s v="Portchannel_7_R6B"/>
    <x v="0"/>
    <b v="0"/>
    <s v="No está en VPC"/>
    <n v="765"/>
    <s v="INTPG_PC_765_1.13-16"/>
    <s v="ISEL-1.13"/>
    <n v="1"/>
    <s v="NO TIENE L3OUT"/>
    <n v="60"/>
    <n v="54"/>
  </r>
  <r>
    <n v="778"/>
    <x v="2"/>
    <x v="68"/>
    <s v="eth1/13"/>
    <x v="0"/>
    <x v="0"/>
    <x v="0"/>
    <s v="ENIQ F1:itheniqr07mwsr2:LOM PORT 1"/>
    <x v="0"/>
    <b v="0"/>
    <s v="No está en VPC"/>
    <n v="778"/>
    <s v="INTPG_ACC_778_1.13"/>
    <s v="ISEL-1.13"/>
    <n v="1"/>
    <s v="NO TIENE L3OUT"/>
    <n v="26"/>
    <n v="54"/>
  </r>
  <r>
    <n v="780"/>
    <x v="2"/>
    <x v="69"/>
    <s v="eth1/13"/>
    <x v="0"/>
    <x v="0"/>
    <x v="0"/>
    <s v="itheniqr04bl04mws1r1"/>
    <x v="0"/>
    <b v="0"/>
    <s v="No está en VPC"/>
    <n v="780"/>
    <s v="INTPG_ACC_780_1.13"/>
    <s v="ISEL-1.13"/>
    <n v="1"/>
    <s v="NO TIENE L3OUT"/>
    <n v="26"/>
    <n v="54"/>
  </r>
  <r>
    <n v="812"/>
    <x v="2"/>
    <x v="70"/>
    <s v="eth1/13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13"/>
    <x v="0"/>
    <x v="0"/>
    <x v="0"/>
    <s v="ITHFHWTSHNLCN07_VMs-07_Taishan_IT"/>
    <x v="0"/>
    <b v="0"/>
    <s v="No está en VPC"/>
    <n v="796"/>
    <s v="INTPG_VPC_795_1.13_796_1.13"/>
    <s v="ISEL-1.13"/>
    <n v="14"/>
    <s v="NO TIENE L3OUT"/>
    <n v="18"/>
    <n v="54"/>
  </r>
  <r>
    <n v="795"/>
    <x v="2"/>
    <x v="72"/>
    <s v="eth1/13"/>
    <x v="0"/>
    <x v="0"/>
    <x v="0"/>
    <s v="ITHFHWTSHNLCN07_VMs-07_Taishan_IT"/>
    <x v="0"/>
    <b v="0"/>
    <s v="No está en VPC"/>
    <n v="795"/>
    <s v="INTPG_VPC_795_1.13_796_1.13"/>
    <s v="ISEL-1.13"/>
    <n v="14"/>
    <s v="NO TIENE L3OUT"/>
    <n v="18"/>
    <n v="54"/>
  </r>
  <r>
    <n v="749"/>
    <x v="2"/>
    <x v="73"/>
    <s v="eth1/13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13"/>
    <x v="0"/>
    <x v="0"/>
    <x v="0"/>
    <s v="LINK_TO_ITHFHWCMVWPMA09 /Slot6.2 /Redundante"/>
    <x v="0"/>
    <b v="0"/>
    <s v="No está en VPC"/>
    <n v="824"/>
    <s v="INTPG_ACC_824_1.13"/>
    <s v="ISEL-1.13"/>
    <n v="1"/>
    <s v="NO TIENE L3OUT"/>
    <n v="70"/>
    <n v="54"/>
  </r>
  <r>
    <n v="819"/>
    <x v="2"/>
    <x v="75"/>
    <s v="eth1/13"/>
    <x v="0"/>
    <x v="0"/>
    <x v="0"/>
    <s v="LINK_TO_ITHFHWCMVWPMA09 /Slot4.2 /Principal"/>
    <x v="0"/>
    <b v="0"/>
    <s v="No está en VPC"/>
    <n v="819"/>
    <s v="INTPG_ACC_819_1.13"/>
    <s v="ISEL-1.13"/>
    <n v="1"/>
    <s v="NO TIENE L3OUT"/>
    <n v="70"/>
    <n v="54"/>
  </r>
  <r>
    <n v="737"/>
    <x v="2"/>
    <x v="76"/>
    <s v="eth1/13"/>
    <x v="0"/>
    <x v="0"/>
    <x v="0"/>
    <s v="CEM:ITHCEMF2DAT07:LOM P3"/>
    <x v="5"/>
    <b v="0"/>
    <s v="No está en VPC"/>
    <n v="737"/>
    <s v="INTPG_ACC_737_1.13"/>
    <s v="ISEL-1.13"/>
    <n v="1"/>
    <s v="NO TIENE L3OUT"/>
    <n v="72"/>
    <n v="54"/>
  </r>
  <r>
    <n v="844"/>
    <x v="2"/>
    <x v="77"/>
    <s v="eth1/13"/>
    <x v="0"/>
    <x v="0"/>
    <x v="0"/>
    <s v="LINK_TO_ITHFHWCRMPLCN105 / Slot1.1_14 / Principal"/>
    <x v="0"/>
    <b v="0"/>
    <s v="No está en VPC"/>
    <n v="844"/>
    <s v="INTPG_ACC_844_1.13"/>
    <s v="ISEL-1.13"/>
    <n v="6"/>
    <s v="NO TIENE L3OUT"/>
    <n v="282"/>
    <n v="54"/>
  </r>
  <r>
    <n v="843"/>
    <x v="2"/>
    <x v="78"/>
    <s v="eth1/13"/>
    <x v="0"/>
    <x v="0"/>
    <x v="0"/>
    <s v="LINK_To_ITHFHWCBSPSUSBD27 / Slot7.2_8 / Redundante"/>
    <x v="0"/>
    <b v="0"/>
    <s v="No está en VPC"/>
    <n v="843"/>
    <s v="INTPG_VPC_838_1.13_843_1.13"/>
    <s v="ISEL-1.13"/>
    <n v="1"/>
    <s v="NO TIENE L3OUT"/>
    <n v="38"/>
    <n v="54"/>
  </r>
  <r>
    <n v="797"/>
    <x v="2"/>
    <x v="79"/>
    <s v="eth1/13"/>
    <x v="0"/>
    <x v="0"/>
    <x v="0"/>
    <s v="TO-HDPS_15-MSP"/>
    <x v="0"/>
    <b v="0"/>
    <s v="No está en VPC"/>
    <n v="797"/>
    <s v="INTPG_ACC_797_1.13"/>
    <s v="ISEL-1.13"/>
    <n v="1"/>
    <s v="NO TIENE L3OUT"/>
    <n v="48"/>
    <n v="54"/>
  </r>
  <r>
    <n v="839"/>
    <x v="2"/>
    <x v="80"/>
    <s v="eth1/13"/>
    <x v="0"/>
    <x v="0"/>
    <x v="0"/>
    <s v="LINK_TO_ITHFHWCBSPSWR62 / Slot7.1_12 / Redundante"/>
    <x v="0"/>
    <b v="0"/>
    <s v="No está en VPC"/>
    <n v="839"/>
    <s v="INTPG_VPC_834_1.13_839_1.13"/>
    <s v="ISEL-1.13"/>
    <n v="2"/>
    <s v="NO TIENE L3OUT"/>
    <n v="0"/>
    <n v="54"/>
  </r>
  <r>
    <n v="847"/>
    <x v="2"/>
    <x v="81"/>
    <s v="eth1/13"/>
    <x v="0"/>
    <x v="0"/>
    <x v="0"/>
    <s v="LINK_TO_ITHFHWCRMPLCN169 / Slot7.3_8 / Redundante"/>
    <x v="0"/>
    <b v="0"/>
    <s v="No está en VPC"/>
    <n v="847"/>
    <s v="INTPG_ACC_847_1.13"/>
    <s v="ISEL-1.13"/>
    <n v="1"/>
    <s v="NO TIENE L3OUT"/>
    <n v="204"/>
    <n v="54"/>
  </r>
  <r>
    <n v="848"/>
    <x v="2"/>
    <x v="82"/>
    <s v="eth1/13"/>
    <x v="0"/>
    <x v="0"/>
    <x v="0"/>
    <s v="LINK_TO_ITHFHWCRMPLCN158 / Slot7.3_18 / Redundante"/>
    <x v="0"/>
    <b v="0"/>
    <s v="No está en VPC"/>
    <n v="848"/>
    <s v="INTPG_ACC_848_1.13"/>
    <s v="ISEL-1.13"/>
    <n v="1"/>
    <s v="NO TIENE L3OUT"/>
    <n v="254"/>
    <n v="54"/>
  </r>
  <r>
    <n v="846"/>
    <x v="2"/>
    <x v="83"/>
    <s v="eth1/13"/>
    <x v="0"/>
    <x v="0"/>
    <x v="0"/>
    <s v="LINK_TO_ITHFHWCRMPLCN76 / Slot1.1_10 / Principal"/>
    <x v="0"/>
    <b v="0"/>
    <s v="No está en VPC"/>
    <n v="846"/>
    <s v="INTPG_ACC_846_1.13"/>
    <s v="ISEL-1.13"/>
    <n v="6"/>
    <s v="NO TIENE L3OUT"/>
    <n v="242"/>
    <n v="54"/>
  </r>
  <r>
    <n v="838"/>
    <x v="2"/>
    <x v="84"/>
    <s v="eth1/13"/>
    <x v="0"/>
    <x v="0"/>
    <x v="0"/>
    <s v="LINK_To_ITHFHWCBSPSUSBD27 / Slot1.2_8 / Principal"/>
    <x v="0"/>
    <b v="0"/>
    <s v="No está en VPC"/>
    <n v="838"/>
    <s v="INTPG_VPC_838_1.13_843_1.13"/>
    <s v="ISEL-1.13"/>
    <n v="1"/>
    <s v="NO TIENE L3OUT"/>
    <n v="38"/>
    <n v="54"/>
  </r>
  <r>
    <n v="849"/>
    <x v="2"/>
    <x v="85"/>
    <s v="eth1/13"/>
    <x v="0"/>
    <x v="0"/>
    <x v="0"/>
    <s v="LINK_TO_ITHFHWCRMPLCN138 / Slot7.3_10 / Redundante"/>
    <x v="0"/>
    <b v="0"/>
    <s v="No está en VPC"/>
    <n v="849"/>
    <s v="INTPG_ACC_849_1.13"/>
    <s v="ISEL-1.13"/>
    <n v="1"/>
    <s v="NO TIENE L3OUT"/>
    <n v="286"/>
    <n v="54"/>
  </r>
  <r>
    <n v="845"/>
    <x v="2"/>
    <x v="86"/>
    <s v="eth1/13"/>
    <x v="0"/>
    <x v="0"/>
    <x v="0"/>
    <s v="LINK_TO_ITHFHWCRMPLCN88 / Slot1.2_8 / Principal"/>
    <x v="0"/>
    <b v="0"/>
    <s v="No está en VPC"/>
    <n v="845"/>
    <s v="INTPG_ACC_845_1.13"/>
    <s v="ISEL-1.13"/>
    <n v="2"/>
    <s v="NO TIENE L3OUT"/>
    <n v="258"/>
    <n v="54"/>
  </r>
  <r>
    <n v="873"/>
    <x v="2"/>
    <x v="87"/>
    <s v="eth1/13"/>
    <x v="0"/>
    <x v="0"/>
    <x v="0"/>
    <s v="TO_ITHFHWCRMDLCN57_Principal"/>
    <x v="0"/>
    <b v="0"/>
    <s v="No está en VPC"/>
    <n v="873"/>
    <s v="INTPG_ACC_873_1.13"/>
    <s v="ISEL-1.13"/>
    <n v="2"/>
    <s v="NO TIENE L3OUT"/>
    <n v="248"/>
    <n v="54"/>
  </r>
  <r>
    <n v="864"/>
    <x v="2"/>
    <x v="88"/>
    <s v="eth1/13"/>
    <x v="0"/>
    <x v="0"/>
    <x v="0"/>
    <s v="To_VPC_2DCBSD_HD35_1"/>
    <x v="0"/>
    <b v="0"/>
    <s v="No está en VPC"/>
    <n v="864"/>
    <s v="INTPG_VPC_859_1.13_864_1.13"/>
    <s v="ISEL-1.13"/>
    <n v="2"/>
    <s v="NO TIENE L3OUT"/>
    <n v="0"/>
    <n v="54"/>
  </r>
  <r>
    <n v="836"/>
    <x v="2"/>
    <x v="89"/>
    <s v="eth1/13"/>
    <x v="0"/>
    <x v="0"/>
    <x v="0"/>
    <s v="LINK_TO_ITHFHWCBSPSWR49 / Slot1.3_26 / Principal"/>
    <x v="0"/>
    <b v="0"/>
    <s v="No está en VPC"/>
    <n v="836"/>
    <s v="INTPG_VPC_836_1.13_841_1.13"/>
    <s v="ISEL-1.13"/>
    <n v="1"/>
    <s v="NO TIENE L3OUT"/>
    <n v="0"/>
    <n v="54"/>
  </r>
  <r>
    <n v="834"/>
    <x v="2"/>
    <x v="90"/>
    <s v="eth1/13"/>
    <x v="0"/>
    <x v="0"/>
    <x v="0"/>
    <s v="LINK_TO_ITHFHWCBSPSWR62 / Slot1.1_12 / Principal"/>
    <x v="0"/>
    <b v="0"/>
    <s v="No está en VPC"/>
    <n v="834"/>
    <s v="INTPG_VPC_834_1.13_839_1.13"/>
    <s v="ISEL-1.13"/>
    <n v="2"/>
    <s v="NO TIENE L3OUT"/>
    <n v="0"/>
    <n v="54"/>
  </r>
  <r>
    <n v="872"/>
    <x v="2"/>
    <x v="91"/>
    <s v="eth1/13"/>
    <x v="0"/>
    <x v="0"/>
    <x v="0"/>
    <s v="To_ITHFHWCRMDLCN73_Principal"/>
    <x v="0"/>
    <b v="0"/>
    <s v="No está en VPC"/>
    <n v="872"/>
    <s v="INTPG_ACC_872_1.13"/>
    <s v="ISEL-1.13"/>
    <n v="2"/>
    <s v="NO TIENE L3OUT"/>
    <n v="288"/>
    <n v="54"/>
  </r>
  <r>
    <n v="842"/>
    <x v="2"/>
    <x v="92"/>
    <s v="eth1/13"/>
    <x v="0"/>
    <x v="0"/>
    <x v="0"/>
    <s v="LINK_TO_ITHFHWCBSPSUSBD28 / Slot7.3_8 / Redundante"/>
    <x v="0"/>
    <b v="0"/>
    <s v="No está en VPC"/>
    <n v="842"/>
    <s v="INTPG_VPC_837_1.13_842_1.13"/>
    <s v="ISEL-1.13"/>
    <n v="1"/>
    <s v="NO TIENE L3OUT"/>
    <n v="8"/>
    <n v="54"/>
  </r>
  <r>
    <n v="828"/>
    <x v="2"/>
    <x v="93"/>
    <s v="eth1/13"/>
    <x v="0"/>
    <x v="0"/>
    <x v="0"/>
    <s v="LINK_TO_ITHHWD6KV60014DKC01 /CtrlB_IOM1.P0 /Principal"/>
    <x v="0"/>
    <b v="0"/>
    <s v="No está en VPC"/>
    <n v="828"/>
    <s v="INTPG_ACC_828_1.13"/>
    <s v="ISEL-1.13"/>
    <n v="1"/>
    <s v="NO TIENE L3OUT"/>
    <n v="192"/>
    <n v="54"/>
  </r>
  <r>
    <n v="870"/>
    <x v="2"/>
    <x v="94"/>
    <s v="eth1/13"/>
    <x v="0"/>
    <x v="0"/>
    <x v="0"/>
    <s v="TO_ITHFHWCRMDLCN57_Redundante"/>
    <x v="0"/>
    <b v="0"/>
    <s v="No está en VPC"/>
    <n v="870"/>
    <s v="INTPG_ACC_870_1.13"/>
    <s v="ISEL-1.13"/>
    <n v="2"/>
    <s v="NO TIENE L3OUT"/>
    <n v="248"/>
    <n v="54"/>
  </r>
  <r>
    <n v="866"/>
    <x v="2"/>
    <x v="95"/>
    <s v="eth1/13"/>
    <x v="0"/>
    <x v="0"/>
    <x v="0"/>
    <s v="To_VPC_2DCBSD_HD20_3"/>
    <x v="0"/>
    <b v="0"/>
    <s v="No está en VPC"/>
    <n v="866"/>
    <s v="INTPG_VPC_861_1.13_866_1.13"/>
    <s v="ISEL-1.13"/>
    <n v="1"/>
    <s v="NO TIENE L3OUT"/>
    <n v="8"/>
    <n v="54"/>
  </r>
  <r>
    <n v="862"/>
    <x v="2"/>
    <x v="96"/>
    <s v="eth1/13"/>
    <x v="0"/>
    <x v="0"/>
    <x v="0"/>
    <s v="TO-ITHFSUEXG2XCN03_PCI3.P1"/>
    <x v="0"/>
    <b v="0"/>
    <s v="No está en VPC"/>
    <n v="862"/>
    <s v="INTPG_ACC_862_1.13"/>
    <s v="ISEL-1.13"/>
    <n v="2"/>
    <s v="NO TIENE L3OUT"/>
    <n v="44"/>
    <n v="54"/>
  </r>
  <r>
    <n v="855"/>
    <x v="2"/>
    <x v="97"/>
    <s v="eth1/13"/>
    <x v="0"/>
    <x v="0"/>
    <x v="0"/>
    <s v="LINK_TO_ITHFHWCRMPLCN158 / Slot1.3_18 / Principal"/>
    <x v="0"/>
    <b v="0"/>
    <s v="No está en VPC"/>
    <n v="855"/>
    <s v="INTPG_ACC_855_1.13"/>
    <s v="ISEL-1.13"/>
    <n v="1"/>
    <s v="NO TIENE L3OUT"/>
    <n v="254"/>
    <n v="54"/>
  </r>
  <r>
    <n v="871"/>
    <x v="2"/>
    <x v="98"/>
    <s v="eth1/13"/>
    <x v="0"/>
    <x v="0"/>
    <x v="0"/>
    <s v="TO_ITHFHWCRMDLCN85_Principal"/>
    <x v="0"/>
    <b v="0"/>
    <s v="No está en VPC"/>
    <n v="871"/>
    <s v="INTPG_ACC_871_1.13"/>
    <s v="ISEL-1.13"/>
    <n v="6"/>
    <s v="NO TIENE L3OUT"/>
    <n v="246"/>
    <n v="54"/>
  </r>
  <r>
    <n v="841"/>
    <x v="2"/>
    <x v="99"/>
    <s v="eth1/13"/>
    <x v="0"/>
    <x v="0"/>
    <x v="0"/>
    <s v="LINK_TO_ITHFHWCBSPSWR49 / Slot7.3_26 / Redundante"/>
    <x v="0"/>
    <b v="0"/>
    <s v="No está en VPC"/>
    <n v="841"/>
    <s v="INTPG_VPC_836_1.13_841_1.13"/>
    <s v="ISEL-1.13"/>
    <n v="1"/>
    <s v="NO TIENE L3OUT"/>
    <n v="0"/>
    <n v="54"/>
  </r>
  <r>
    <n v="868"/>
    <x v="2"/>
    <x v="100"/>
    <s v="eth1/13"/>
    <x v="0"/>
    <x v="0"/>
    <x v="0"/>
    <s v="TO_ITHFHWCRMDLCN85_Redundante"/>
    <x v="0"/>
    <b v="0"/>
    <s v="No está en VPC"/>
    <n v="868"/>
    <s v="INTPG_ACC_868_1.13"/>
    <s v="ISEL-1.13"/>
    <n v="6"/>
    <s v="NO TIENE L3OUT"/>
    <n v="246"/>
    <n v="54"/>
  </r>
  <r>
    <n v="869"/>
    <x v="2"/>
    <x v="101"/>
    <s v="eth1/13"/>
    <x v="0"/>
    <x v="0"/>
    <x v="0"/>
    <s v="To_ITHFHWCRMDLCN73_Redundante"/>
    <x v="0"/>
    <b v="0"/>
    <s v="No está en VPC"/>
    <n v="869"/>
    <s v="INTPG_ACC_869_1.13"/>
    <s v="ISEL-1.13"/>
    <n v="2"/>
    <s v="NO TIENE L3OUT"/>
    <n v="288"/>
    <n v="54"/>
  </r>
  <r>
    <n v="861"/>
    <x v="2"/>
    <x v="102"/>
    <s v="eth1/13"/>
    <x v="0"/>
    <x v="0"/>
    <x v="0"/>
    <s v="To_VPC_2DCBSD_HD20_3"/>
    <x v="0"/>
    <b v="0"/>
    <s v="No está en VPC"/>
    <n v="861"/>
    <s v="INTPG_VPC_861_1.13_866_1.13"/>
    <s v="ISEL-1.13"/>
    <n v="1"/>
    <s v="NO TIENE L3OUT"/>
    <n v="8"/>
    <n v="54"/>
  </r>
  <r>
    <n v="874"/>
    <x v="2"/>
    <x v="103"/>
    <s v="eth1/13"/>
    <x v="0"/>
    <x v="0"/>
    <x v="0"/>
    <s v="LINK_TO_ITHFHWSEQLIMPS24 / Slot 5 PTO 1 / Redundante"/>
    <x v="4"/>
    <b v="0"/>
    <s v="No está en VPC"/>
    <n v="874"/>
    <s v="INTPG_ACC_874_1.13"/>
    <s v="ISEL-1.13"/>
    <n v="1"/>
    <s v="NO TIENE L3OUT"/>
    <n v="92"/>
    <n v="54"/>
  </r>
  <r>
    <n v="865"/>
    <x v="2"/>
    <x v="104"/>
    <s v="eth1/13"/>
    <x v="0"/>
    <x v="0"/>
    <x v="0"/>
    <s v="To_VPC_2DCBSD_HD27_1"/>
    <x v="0"/>
    <b v="0"/>
    <s v="No está en VPC"/>
    <n v="865"/>
    <s v="INTPG_VPC_860_1.13_865_1.13"/>
    <s v="ISEL-1.13"/>
    <n v="2"/>
    <s v="NO TIENE L3OUT"/>
    <n v="0"/>
    <n v="54"/>
  </r>
  <r>
    <n v="753"/>
    <x v="2"/>
    <x v="105"/>
    <s v="eth1/13"/>
    <x v="0"/>
    <x v="0"/>
    <x v="0"/>
    <s v="OSS F1:ithenmr03e2r9c:Bay1/X1"/>
    <x v="0"/>
    <b v="0"/>
    <s v="No está en VPC"/>
    <n v="753"/>
    <s v="INTPG_PC_753_1.13-14"/>
    <s v="ISEL-1.13"/>
    <n v="8"/>
    <s v="NO TIENE L3OUT"/>
    <n v="62"/>
    <n v="54"/>
  </r>
  <r>
    <n v="708"/>
    <x v="2"/>
    <x v="106"/>
    <s v="eth1/13"/>
    <x v="0"/>
    <x v="1"/>
    <x v="5"/>
    <s v="CEM:ITHCEMF2DAT07:LOM P1"/>
    <x v="0"/>
    <b v="0"/>
    <s v="No está en VPC"/>
    <n v="708"/>
    <s v="INTPG_VPC_708_1.13_709_1.14"/>
    <s v="ISEL-1.13"/>
    <n v="1"/>
    <s v="NO TIENE L3OUT"/>
    <n v="0"/>
    <n v="54"/>
  </r>
  <r>
    <n v="710"/>
    <x v="2"/>
    <x v="107"/>
    <s v="eth1/13"/>
    <x v="0"/>
    <x v="1"/>
    <x v="5"/>
    <s v="CEM:ITHCEMD2DAT07:LOM P1"/>
    <x v="0"/>
    <b v="0"/>
    <s v="No está en VPC"/>
    <n v="710"/>
    <s v="INTPG_VPC_710_1.13_711_1.14"/>
    <s v="ISEL-1.13"/>
    <n v="1"/>
    <s v="NO TIENE L3OUT"/>
    <n v="16"/>
    <n v="54"/>
  </r>
  <r>
    <n v="713"/>
    <x v="2"/>
    <x v="108"/>
    <s v="eth1/13"/>
    <x v="0"/>
    <x v="0"/>
    <x v="0"/>
    <s v="CEM:ITHCEMA2DAT07:LOM P1"/>
    <x v="0"/>
    <b v="0"/>
    <s v="No está en VPC"/>
    <n v="713"/>
    <s v="INTPG_ACC_713_1.13"/>
    <s v="ISEL-1.13"/>
    <n v="1"/>
    <s v="NO TIENE L3OUT"/>
    <n v="32"/>
    <n v="54"/>
  </r>
  <r>
    <n v="735"/>
    <x v="2"/>
    <x v="109"/>
    <s v="eth1/13"/>
    <x v="0"/>
    <x v="1"/>
    <x v="1"/>
    <s v="CEM:ITHCEMA1DAT07:LOM P3"/>
    <x v="5"/>
    <b v="0"/>
    <s v="No está en VPC"/>
    <n v="735"/>
    <s v="INTPG_ACC_735_1.13"/>
    <s v="ISEL-1.13"/>
    <n v="1"/>
    <s v="NO TIENE L3OUT"/>
    <n v="34"/>
    <n v="54"/>
  </r>
  <r>
    <n v="731"/>
    <x v="2"/>
    <x v="110"/>
    <s v="eth1/13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13"/>
    <x v="0"/>
    <x v="0"/>
    <x v="0"/>
    <m/>
    <x v="0"/>
    <b v="0"/>
    <s v="No está en VPC"/>
    <n v="703"/>
    <s v="INTPG_VPC_703_1.13_704_1.14"/>
    <s v="ISEL-1.13"/>
    <n v="2"/>
    <s v="NO TIENE L3OUT"/>
    <n v="2"/>
    <n v="54"/>
  </r>
  <r>
    <n v="706"/>
    <x v="2"/>
    <x v="112"/>
    <s v="eth1/13"/>
    <x v="0"/>
    <x v="0"/>
    <x v="0"/>
    <s v="CEM:ITHCEMA1DAT07:LOM  P1"/>
    <x v="0"/>
    <b v="0"/>
    <s v="No está en VPC"/>
    <n v="706"/>
    <s v="INTPG_ACC_706_1.13"/>
    <s v="ISEL-1.13"/>
    <n v="1"/>
    <s v="NO TIENE L3OUT"/>
    <n v="16"/>
    <n v="54"/>
  </r>
  <r>
    <n v="762"/>
    <x v="2"/>
    <x v="113"/>
    <s v="eth1/13"/>
    <x v="0"/>
    <x v="0"/>
    <x v="0"/>
    <s v="PAAS:ithhwoscopap013:FlexIO.1"/>
    <x v="0"/>
    <b v="0"/>
    <s v="No está en VPC"/>
    <n v="762"/>
    <s v="INTPG_VPC_762_1.13_763_1.13"/>
    <s v="ISEL-1.13"/>
    <n v="15"/>
    <s v="NO TIENE L3OUT"/>
    <n v="0"/>
    <n v="54"/>
  </r>
  <r>
    <n v="814"/>
    <x v="2"/>
    <x v="114"/>
    <s v="eth1/13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13"/>
    <x v="0"/>
    <x v="0"/>
    <x v="0"/>
    <s v="HACIA_CSI-A-OSCP-F4-13_SECUNDARIO"/>
    <x v="4"/>
    <b v="0"/>
    <s v="No está en VPC"/>
    <n v="878"/>
    <s v="INTPG_VPC_878_1.13_879_1.13"/>
    <s v="ISEL-1.13"/>
    <n v="2"/>
    <s v="NO TIENE L3OUT"/>
    <n v="0"/>
    <n v="54"/>
  </r>
  <r>
    <n v="826"/>
    <x v="2"/>
    <x v="116"/>
    <s v="eth1/13"/>
    <x v="0"/>
    <x v="0"/>
    <x v="0"/>
    <s v="LINK_TO_ITHFHWCBSDSHD14 /Slot5.2 /Principal"/>
    <x v="0"/>
    <b v="0"/>
    <s v="No está en VPC"/>
    <n v="826"/>
    <s v="INTPG_VPC_826_1.13_830_1.13"/>
    <s v="ISEL-1.13"/>
    <n v="2"/>
    <s v="NO TIENE L3OUT"/>
    <n v="12"/>
    <n v="54"/>
  </r>
  <r>
    <n v="726"/>
    <x v="2"/>
    <x v="117"/>
    <s v="eth1/13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13"/>
    <x v="0"/>
    <x v="1"/>
    <x v="1"/>
    <s v="CEM:ITHCEMC2DAT07:LOM P3"/>
    <x v="5"/>
    <b v="0"/>
    <s v="No está en VPC"/>
    <n v="740"/>
    <s v="INTPG_ACC_740_1.13"/>
    <s v="ISEL-1.13"/>
    <n v="1"/>
    <s v="NO TIENE L3OUT"/>
    <n v="72"/>
    <n v="54"/>
  </r>
  <r>
    <n v="705"/>
    <x v="2"/>
    <x v="119"/>
    <s v="eth1/13"/>
    <x v="0"/>
    <x v="0"/>
    <x v="0"/>
    <s v="CEM:ITHOIDB1SVR07:LOM  P2"/>
    <x v="0"/>
    <b v="0"/>
    <s v="No está en VPC"/>
    <n v="705"/>
    <s v="INTPG_VPC_705_1.13_706_1.14"/>
    <s v="ISEL-1.13"/>
    <n v="2"/>
    <s v="NO TIENE L3OUT"/>
    <n v="16"/>
    <n v="54"/>
  </r>
  <r>
    <n v="723"/>
    <x v="2"/>
    <x v="120"/>
    <s v="eth1/13"/>
    <x v="0"/>
    <x v="0"/>
    <x v="0"/>
    <m/>
    <x v="0"/>
    <b v="0"/>
    <s v="No está en VPC"/>
    <n v="723"/>
    <s v="INTPG-VPC_HDD114_723_1.13_722_1.14"/>
    <s v="ISEL-1.13"/>
    <n v="1"/>
    <s v="NO TIENE L3OUT"/>
    <n v="0"/>
    <n v="54"/>
  </r>
  <r>
    <n v="721"/>
    <x v="2"/>
    <x v="121"/>
    <s v="eth1/13"/>
    <x v="0"/>
    <x v="0"/>
    <x v="0"/>
    <s v="TO-ITHFHWVRALCN04"/>
    <x v="0"/>
    <b v="0"/>
    <s v="No está en VPC"/>
    <n v="721"/>
    <s v="INTPG_VPC_714_1.14_721_1.13"/>
    <s v="ISEL-1.13"/>
    <n v="108"/>
    <s v="NO TIENE L3OUT"/>
    <n v="20"/>
    <n v="54"/>
  </r>
  <r>
    <n v="788"/>
    <x v="2"/>
    <x v="122"/>
    <s v="eth1/13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13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13"/>
    <x v="0"/>
    <x v="0"/>
    <x v="0"/>
    <m/>
    <x v="0"/>
    <b v="0"/>
    <s v="No está en VPC"/>
    <n v="720"/>
    <s v="INTPG-VPC_PAP01_720_1.13_719_1.14"/>
    <s v="ISEL-1.13"/>
    <n v="1"/>
    <s v="NO TIENE L3OUT"/>
    <n v="0"/>
    <n v="54"/>
  </r>
  <r>
    <n v="709"/>
    <x v="2"/>
    <x v="125"/>
    <s v="eth1/13"/>
    <x v="0"/>
    <x v="1"/>
    <x v="5"/>
    <s v="CEM:ITHCEME2DAT07:LOM P1"/>
    <x v="0"/>
    <b v="0"/>
    <s v="No está en VPC"/>
    <n v="709"/>
    <s v="INTPG_VPC_708_1.14_709_1.13"/>
    <s v="ISEL-1.13"/>
    <n v="1"/>
    <s v="NO TIENE L3OUT"/>
    <n v="0"/>
    <n v="54"/>
  </r>
  <r>
    <n v="454"/>
    <x v="1"/>
    <x v="126"/>
    <s v="eth1/13"/>
    <x v="0"/>
    <x v="0"/>
    <x v="0"/>
    <s v="HACIA_CSI-A-OSCP-F4-01_PRINCIPAL"/>
    <x v="4"/>
    <b v="0"/>
    <s v="No está en VPC"/>
    <n v="454"/>
    <s v="INTPG_VPC_454_1.13_456_1.13"/>
    <s v="ISEL-1.13"/>
    <n v="2"/>
    <s v="NO TIENE L3OUT"/>
    <n v="4"/>
    <n v="54"/>
  </r>
  <r>
    <n v="734"/>
    <x v="2"/>
    <x v="127"/>
    <s v="eth1/13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13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13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13"/>
    <x v="0"/>
    <x v="0"/>
    <x v="0"/>
    <m/>
    <x v="0"/>
    <b v="0"/>
    <s v="No está en VPC"/>
    <n v="718"/>
    <s v="INTPG-VPC_HDD11_718_1.13_717_1.14"/>
    <s v="ISEL-1.13"/>
    <n v="1"/>
    <s v="NO TIENE L3OUT"/>
    <n v="0"/>
    <n v="54"/>
  </r>
  <r>
    <n v="744"/>
    <x v="2"/>
    <x v="131"/>
    <s v="eth1/13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13"/>
    <x v="0"/>
    <x v="1"/>
    <x v="1"/>
    <s v="CEM:ITHCEMB2DAT07:LOM P3"/>
    <x v="5"/>
    <b v="0"/>
    <s v="No está en VPC"/>
    <n v="741"/>
    <s v="INTPG_ACC_741_1.13"/>
    <s v="ISEL-1.13"/>
    <n v="1"/>
    <s v="NO TIENE L3OUT"/>
    <n v="62"/>
    <n v="54"/>
  </r>
  <r>
    <n v="787"/>
    <x v="2"/>
    <x v="133"/>
    <s v="eth1/13"/>
    <x v="0"/>
    <x v="0"/>
    <x v="0"/>
    <s v="ENIQ F2:itheniqr16bl04mws1r4a:LOM PORT 1"/>
    <x v="0"/>
    <b v="0"/>
    <s v="No está en VPC"/>
    <n v="787"/>
    <s v="INTPG_ACC_787_1.13"/>
    <s v="ISEL-1.13"/>
    <n v="1"/>
    <s v="NO TIENE L3OUT"/>
    <n v="26"/>
    <n v="54"/>
  </r>
  <r>
    <n v="750"/>
    <x v="2"/>
    <x v="134"/>
    <s v="eth1/13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13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13"/>
    <x v="0"/>
    <x v="0"/>
    <x v="0"/>
    <s v="CEM:ITHCEMG2DAT07:LOM  P2"/>
    <x v="0"/>
    <b v="0"/>
    <s v="No está en VPC"/>
    <n v="736"/>
    <s v="INTPG_ACC_736_1.13"/>
    <s v="ISEL-1.13"/>
    <n v="1"/>
    <s v="NO TIENE L3OUT"/>
    <n v="48"/>
    <n v="54"/>
  </r>
  <r>
    <n v="799"/>
    <x v="2"/>
    <x v="137"/>
    <s v="eth1/13"/>
    <x v="0"/>
    <x v="0"/>
    <x v="0"/>
    <s v="TO-HMS_02-MSP"/>
    <x v="0"/>
    <b v="0"/>
    <s v="No está en VPC"/>
    <n v="799"/>
    <s v="INTPG_ACC_799_1.13"/>
    <s v="ISEL-1.13"/>
    <n v="1"/>
    <s v="NO TIENE L3OUT"/>
    <n v="52"/>
    <n v="54"/>
  </r>
  <r>
    <n v="768"/>
    <x v="2"/>
    <x v="138"/>
    <s v="eth1/13"/>
    <x v="0"/>
    <x v="0"/>
    <x v="0"/>
    <s v="Portchannel_5_R3"/>
    <x v="0"/>
    <b v="0"/>
    <s v="No está en VPC"/>
    <n v="768"/>
    <s v="INTPG_PC_768_1.13-14"/>
    <s v="ISEL-1.13"/>
    <n v="8"/>
    <s v="NO TIENE L3OUT"/>
    <n v="62"/>
    <n v="54"/>
  </r>
  <r>
    <n v="714"/>
    <x v="2"/>
    <x v="139"/>
    <s v="eth1/13"/>
    <x v="0"/>
    <x v="0"/>
    <x v="0"/>
    <s v="ITHORNG1DAT07_LOM P1"/>
    <x v="0"/>
    <b v="0"/>
    <s v="No está en VPC"/>
    <n v="714"/>
    <s v="INTPG_ACC_714_1.13"/>
    <s v="ISEL-1.13"/>
    <n v="2"/>
    <s v="NO TIENE L3OUT"/>
    <n v="20"/>
    <n v="54"/>
  </r>
  <r>
    <n v="717"/>
    <x v="2"/>
    <x v="140"/>
    <s v="eth1/13"/>
    <x v="0"/>
    <x v="0"/>
    <x v="0"/>
    <m/>
    <x v="0"/>
    <b v="0"/>
    <s v="No está en VPC"/>
    <n v="717"/>
    <s v="INTPG-VPC_HDD21_717_1.13_718_1.14"/>
    <s v="ISEL-1.13"/>
    <n v="1"/>
    <s v="NO TIENE L3OUT"/>
    <n v="0"/>
    <n v="54"/>
  </r>
  <r>
    <n v="789"/>
    <x v="2"/>
    <x v="141"/>
    <s v="eth1/13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13"/>
    <x v="0"/>
    <x v="0"/>
    <x v="0"/>
    <s v="Portchannel_5_R1"/>
    <x v="0"/>
    <b v="0"/>
    <s v="No está en VPC"/>
    <n v="764"/>
    <s v="INTPG_PC_764_1.13-14"/>
    <s v="ISEL-1.13"/>
    <n v="8"/>
    <s v="NO TIENE L3OUT"/>
    <n v="62"/>
    <n v="54"/>
  </r>
  <r>
    <n v="783"/>
    <x v="2"/>
    <x v="143"/>
    <s v="eth1/13"/>
    <x v="0"/>
    <x v="0"/>
    <x v="0"/>
    <s v="itheniqr09bl04mws1r9a"/>
    <x v="0"/>
    <b v="0"/>
    <s v="No está en VPC"/>
    <n v="783"/>
    <s v="INTPG_ACC_783_1.13"/>
    <s v="ISEL-1.13"/>
    <n v="1"/>
    <s v="NO TIENE L3OUT"/>
    <n v="26"/>
    <n v="54"/>
  </r>
  <r>
    <n v="774"/>
    <x v="2"/>
    <x v="144"/>
    <s v="eth1/13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13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13"/>
    <x v="0"/>
    <x v="0"/>
    <x v="0"/>
    <s v="DESC"/>
    <x v="0"/>
    <b v="0"/>
    <s v="No está en VPC"/>
    <n v="794"/>
    <s v="INTPG_VPC_793_1.13_15_794_1.13_15"/>
    <s v="ISEL-1.13"/>
    <n v="1"/>
    <s v="NO TIENE L3OUT"/>
    <n v="12"/>
    <n v="54"/>
  </r>
  <r>
    <n v="803"/>
    <x v="2"/>
    <x v="147"/>
    <s v="eth1/13"/>
    <x v="0"/>
    <x v="0"/>
    <x v="0"/>
    <s v="TO-HDPS_39-MSP"/>
    <x v="0"/>
    <b v="0"/>
    <s v="No está en VPC"/>
    <n v="803"/>
    <s v="INTPG_ACC_803_1.13"/>
    <s v="ISEL-1.13"/>
    <n v="1"/>
    <s v="NO TIENE L3OUT"/>
    <n v="48"/>
    <n v="54"/>
  </r>
  <r>
    <n v="786"/>
    <x v="2"/>
    <x v="148"/>
    <s v="eth1/13"/>
    <x v="0"/>
    <x v="0"/>
    <x v="0"/>
    <s v="ENIQ F2:itheniqr14bl04mws1r4b:LOM PORT 1"/>
    <x v="0"/>
    <b v="0"/>
    <s v="No está en VPC"/>
    <n v="786"/>
    <s v="INTPG_ACC_786_1.13"/>
    <s v="ISEL-1.13"/>
    <n v="1"/>
    <s v="NO TIENE L3OUT"/>
    <n v="26"/>
    <n v="54"/>
  </r>
  <r>
    <n v="757"/>
    <x v="2"/>
    <x v="149"/>
    <s v="eth1/13"/>
    <x v="0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13"/>
    <x v="0"/>
    <x v="0"/>
    <x v="0"/>
    <s v="itheniqr07bl04mws1r9c"/>
    <x v="0"/>
    <b v="0"/>
    <s v="No está en VPC"/>
    <n v="781"/>
    <s v="INTPG_ACC_781_1.13"/>
    <s v="ISEL-1.13"/>
    <n v="1"/>
    <s v="NO TIENE L3OUT"/>
    <n v="26"/>
    <n v="54"/>
  </r>
  <r>
    <n v="793"/>
    <x v="2"/>
    <x v="151"/>
    <s v="eth1/13"/>
    <x v="0"/>
    <x v="0"/>
    <x v="0"/>
    <s v="DESC"/>
    <x v="0"/>
    <b v="0"/>
    <s v="No está en VPC"/>
    <n v="793"/>
    <s v="INTPG_VPC_793_1.13_15_794_1.13_15"/>
    <s v="ISEL-1.13"/>
    <n v="1"/>
    <s v="NO TIENE L3OUT"/>
    <n v="12"/>
    <n v="54"/>
  </r>
  <r>
    <n v="747"/>
    <x v="2"/>
    <x v="152"/>
    <s v="eth1/13"/>
    <x v="0"/>
    <x v="0"/>
    <x v="0"/>
    <s v="PAAS:ithhwoscopap013:LOM PORT 1"/>
    <x v="0"/>
    <b v="0"/>
    <s v="No está en VPC"/>
    <n v="747"/>
    <s v="INTPG_VPC_747_1.13_752_1.13"/>
    <s v="ISEL-1.13"/>
    <n v="25"/>
    <s v="NO TIENE L3OUT"/>
    <n v="0"/>
    <n v="54"/>
  </r>
  <r>
    <n v="784"/>
    <x v="2"/>
    <x v="153"/>
    <s v="eth1/13"/>
    <x v="0"/>
    <x v="0"/>
    <x v="0"/>
    <s v="ENIQ F2:itheniqr12bl04mws1r6b:LOM PORT 1"/>
    <x v="0"/>
    <b v="0"/>
    <s v="No está en VPC"/>
    <n v="784"/>
    <s v="INTPG_ACC_784_1.13"/>
    <s v="ISEL-1.13"/>
    <n v="1"/>
    <s v="NO TIENE L3OUT"/>
    <n v="26"/>
    <n v="54"/>
  </r>
  <r>
    <n v="806"/>
    <x v="2"/>
    <x v="154"/>
    <s v="eth1/13"/>
    <x v="0"/>
    <x v="0"/>
    <x v="0"/>
    <s v="TO-HDPS_63-MSP"/>
    <x v="0"/>
    <b v="0"/>
    <s v="No está en VPC"/>
    <n v="806"/>
    <s v="INTPG_ACC_806_1.13"/>
    <s v="ISEL-1.13"/>
    <n v="1"/>
    <s v="NO TIENE L3OUT"/>
    <n v="44"/>
    <n v="54"/>
  </r>
  <r>
    <n v="777"/>
    <x v="2"/>
    <x v="155"/>
    <s v="eth1/13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13"/>
    <x v="0"/>
    <x v="0"/>
    <x v="0"/>
    <s v="OSS_ENM"/>
    <x v="0"/>
    <b v="0"/>
    <s v="No está en VPC"/>
    <n v="770"/>
    <s v="INTPG_ACC_770_1.13"/>
    <s v="ISEL-1.13"/>
    <n v="1"/>
    <s v="NO TIENE L3OUT"/>
    <n v="60"/>
    <n v="54"/>
  </r>
  <r>
    <n v="813"/>
    <x v="2"/>
    <x v="157"/>
    <s v="eth1/13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13"/>
    <x v="0"/>
    <x v="0"/>
    <x v="0"/>
    <s v="CEM:ITHCEMD2DAT07:LOM P3"/>
    <x v="5"/>
    <b v="0"/>
    <s v="No está en VPC"/>
    <n v="739"/>
    <s v="INTPG_ACC_739_1.13"/>
    <s v="ISEL-1.13"/>
    <n v="1"/>
    <s v="NO TIENE L3OUT"/>
    <n v="72"/>
    <n v="54"/>
  </r>
  <r>
    <n v="775"/>
    <x v="2"/>
    <x v="159"/>
    <s v="eth1/13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13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13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13"/>
    <x v="0"/>
    <x v="0"/>
    <x v="0"/>
    <s v="LINK_TO_ITHFHWCBSDSHD14 /Slot7.2 /Redundante"/>
    <x v="0"/>
    <b v="0"/>
    <s v="No está en VPC"/>
    <n v="830"/>
    <s v="INTPG_VPC_826_1.13_830_1.13"/>
    <s v="ISEL-1.13"/>
    <n v="2"/>
    <s v="NO TIENE L3OUT"/>
    <n v="12"/>
    <n v="54"/>
  </r>
  <r>
    <n v="821"/>
    <x v="2"/>
    <x v="163"/>
    <s v="eth1/13"/>
    <x v="0"/>
    <x v="0"/>
    <x v="0"/>
    <s v="LINK_TO_ITHFHWCBSPSHD14 /Slot7.2 /Redundante"/>
    <x v="0"/>
    <b v="0"/>
    <s v="No está en VPC"/>
    <n v="821"/>
    <s v="INTPG_VPC_816_1.13_821_1.13"/>
    <s v="ISEL-1.13"/>
    <n v="2"/>
    <s v="NO TIENE L3OUT"/>
    <n v="0"/>
    <n v="54"/>
  </r>
  <r>
    <n v="738"/>
    <x v="2"/>
    <x v="164"/>
    <s v="eth1/13"/>
    <x v="0"/>
    <x v="0"/>
    <x v="0"/>
    <s v="CEM:ITHCEME2DAT07:LOM P3"/>
    <x v="5"/>
    <b v="0"/>
    <s v="No está en VPC"/>
    <n v="738"/>
    <s v="INTPG_ACC_738_1.13"/>
    <s v="ISEL-1.13"/>
    <n v="1"/>
    <s v="NO TIENE L3OUT"/>
    <n v="72"/>
    <n v="54"/>
  </r>
  <r>
    <n v="820"/>
    <x v="2"/>
    <x v="165"/>
    <s v="eth1/13"/>
    <x v="0"/>
    <x v="0"/>
    <x v="0"/>
    <s v="LINK_TO_ITHHWCRMPEN03 /E1-10GE 2 /Redundante"/>
    <x v="0"/>
    <b v="0"/>
    <s v="No está en VPC"/>
    <n v="820"/>
    <s v="INTPG_VPC_820_1.13_20_825_1.13_20"/>
    <s v="ISEL-1.13"/>
    <n v="9"/>
    <s v="NO TIENE L3OUT"/>
    <n v="72"/>
    <n v="54"/>
  </r>
  <r>
    <n v="804"/>
    <x v="2"/>
    <x v="166"/>
    <s v="eth1/13"/>
    <x v="0"/>
    <x v="0"/>
    <x v="0"/>
    <s v="TO-HDPS_39-MSP"/>
    <x v="0"/>
    <b v="0"/>
    <s v="No está en VPC"/>
    <n v="804"/>
    <s v="INTPG_ACC_804_1.13"/>
    <s v="ISEL-1.13"/>
    <n v="1"/>
    <s v="NO TIENE L3OUT"/>
    <n v="48"/>
    <n v="54"/>
  </r>
  <r>
    <n v="779"/>
    <x v="2"/>
    <x v="167"/>
    <s v="eth1/13"/>
    <x v="0"/>
    <x v="0"/>
    <x v="0"/>
    <s v="ENIQ F1:itheniqr08mwsr3:LOM PORT 1"/>
    <x v="0"/>
    <b v="0"/>
    <s v="No está en VPC"/>
    <n v="779"/>
    <s v="INTPG_ACC_779_1.13"/>
    <s v="ISEL-1.13"/>
    <n v="1"/>
    <s v="NO TIENE L3OUT"/>
    <n v="30"/>
    <n v="54"/>
  </r>
  <r>
    <n v="767"/>
    <x v="2"/>
    <x v="168"/>
    <s v="eth1/13"/>
    <x v="0"/>
    <x v="0"/>
    <x v="0"/>
    <s v="Portchannel_7_R3"/>
    <x v="0"/>
    <b v="0"/>
    <s v="No está en VPC"/>
    <n v="767"/>
    <s v="INTPG_PC_767_1.11-14"/>
    <s v="ISEL-1.13"/>
    <n v="1"/>
    <s v="NO TIENE L3OUT"/>
    <n v="60"/>
    <n v="54"/>
  </r>
  <r>
    <n v="827"/>
    <x v="2"/>
    <x v="169"/>
    <s v="eth1/13"/>
    <x v="0"/>
    <x v="0"/>
    <x v="0"/>
    <s v="LINK_TO_ITHFHWCBSDSUSBD09 /Slot4.2 /Principal"/>
    <x v="0"/>
    <b v="0"/>
    <s v="No está en VPC"/>
    <n v="827"/>
    <s v="INTPG_VPC_827_1.13_831_1.13"/>
    <s v="ISEL-1.13"/>
    <n v="1"/>
    <s v="NO TIENE L3OUT"/>
    <n v="14"/>
    <n v="54"/>
  </r>
  <r>
    <n v="809"/>
    <x v="2"/>
    <x v="170"/>
    <s v="eth1/13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13"/>
    <x v="0"/>
    <x v="0"/>
    <x v="0"/>
    <s v="Portchannel_7_R4A"/>
    <x v="0"/>
    <b v="0"/>
    <s v="No está en VPC"/>
    <n v="771"/>
    <s v="INTPG_PC_771_1.13-16"/>
    <s v="ISEL-1.13"/>
    <n v="1"/>
    <s v="NO TIENE L3OUT"/>
    <n v="62"/>
    <n v="54"/>
  </r>
  <r>
    <n v="761"/>
    <x v="2"/>
    <x v="172"/>
    <s v="eth1/13"/>
    <x v="0"/>
    <x v="1"/>
    <x v="1"/>
    <m/>
    <x v="0"/>
    <b v="0"/>
    <s v="No está en VPC"/>
    <n v="761"/>
    <s v="INTPG_VPC_760_1.13-16_761_1.13-16"/>
    <s v="ISEL-1.13"/>
    <n v="0"/>
    <s v="L3OUT-EXACLOUD"/>
    <n v="0"/>
    <n v="54"/>
  </r>
  <r>
    <n v="776"/>
    <x v="2"/>
    <x v="173"/>
    <s v="eth1/13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13"/>
    <x v="0"/>
    <x v="0"/>
    <x v="0"/>
    <s v="TO-HDPS_63-MSP"/>
    <x v="0"/>
    <b v="0"/>
    <s v="No está en VPC"/>
    <n v="805"/>
    <s v="INTPG_ACC_805_1.13"/>
    <s v="ISEL-1.13"/>
    <n v="1"/>
    <s v="NO TIENE L3OUT"/>
    <n v="44"/>
    <n v="54"/>
  </r>
  <r>
    <n v="772"/>
    <x v="2"/>
    <x v="175"/>
    <s v="eth1/13"/>
    <x v="0"/>
    <x v="0"/>
    <x v="0"/>
    <s v="Portchannel_5_R2"/>
    <x v="0"/>
    <b v="0"/>
    <s v="No está en VPC"/>
    <n v="772"/>
    <s v="INTPG_PC_772_1.13-14"/>
    <s v="ISEL-1.13"/>
    <n v="8"/>
    <s v="NO TIENE L3OUT"/>
    <n v="82"/>
    <n v="54"/>
  </r>
  <r>
    <n v="785"/>
    <x v="2"/>
    <x v="176"/>
    <s v="eth1/13"/>
    <x v="0"/>
    <x v="0"/>
    <x v="0"/>
    <s v="ENIQ F2:itheniqr13bl04mws1r6a:LOM PORT 1"/>
    <x v="0"/>
    <b v="0"/>
    <s v="No está en VPC"/>
    <n v="785"/>
    <s v="INTPG_ACC_785_1.13"/>
    <s v="ISEL-1.13"/>
    <n v="1"/>
    <s v="NO TIENE L3OUT"/>
    <n v="32"/>
    <n v="54"/>
  </r>
  <r>
    <n v="851"/>
    <x v="2"/>
    <x v="177"/>
    <s v="eth1/13"/>
    <x v="0"/>
    <x v="0"/>
    <x v="0"/>
    <s v="LINK_TO_ITHFHWCRMPLCN105 / Slot7.1_14 / Redundante"/>
    <x v="0"/>
    <b v="0"/>
    <s v="No está en VPC"/>
    <n v="851"/>
    <s v="INTPG_ACC_851_1.13"/>
    <s v="ISEL-1.13"/>
    <n v="6"/>
    <s v="NO TIENE L3OUT"/>
    <n v="282"/>
    <n v="54"/>
  </r>
  <r>
    <n v="798"/>
    <x v="2"/>
    <x v="178"/>
    <s v="eth1/13"/>
    <x v="0"/>
    <x v="0"/>
    <x v="0"/>
    <s v="TO-HMS_02-MSP"/>
    <x v="0"/>
    <b v="0"/>
    <s v="No está en VPC"/>
    <n v="798"/>
    <s v="INTPG_ACC_798_1.13"/>
    <s v="ISEL-1.13"/>
    <n v="1"/>
    <s v="NO TIENE L3OUT"/>
    <n v="52"/>
    <n v="54"/>
  </r>
  <r>
    <n v="782"/>
    <x v="2"/>
    <x v="179"/>
    <s v="eth1/13"/>
    <x v="0"/>
    <x v="0"/>
    <x v="0"/>
    <s v="itheniqr08bl04mws1r9b"/>
    <x v="0"/>
    <b v="0"/>
    <s v="No está en VPC"/>
    <n v="782"/>
    <s v="INTPG_ACC_782_1.13"/>
    <s v="ISEL-1.13"/>
    <n v="1"/>
    <s v="NO TIENE L3OUT"/>
    <n v="32"/>
    <n v="54"/>
  </r>
  <r>
    <n v="852"/>
    <x v="2"/>
    <x v="180"/>
    <s v="eth1/13"/>
    <x v="0"/>
    <x v="0"/>
    <x v="0"/>
    <s v="LINK_TO_ITHFHWCRMPLCN88 / Slot7.2_8 / Redundante"/>
    <x v="0"/>
    <b v="0"/>
    <s v="No está en VPC"/>
    <n v="852"/>
    <s v="INTPG_ACC_852_1.13"/>
    <s v="ISEL-1.13"/>
    <n v="2"/>
    <s v="NO TIENE L3OUT"/>
    <n v="258"/>
    <n v="54"/>
  </r>
  <r>
    <n v="817"/>
    <x v="2"/>
    <x v="181"/>
    <s v="eth1/13"/>
    <x v="0"/>
    <x v="0"/>
    <x v="0"/>
    <s v="LINK_TO_ITHFHWCBSPSUSBD10 /Slot5.2 /Principal"/>
    <x v="0"/>
    <b v="0"/>
    <s v="No está en VPC"/>
    <n v="817"/>
    <s v="INTPG_VPC_817_1.13_822_1.13"/>
    <s v="ISEL-1.13"/>
    <n v="2"/>
    <s v="NO TIENE L3OUT"/>
    <n v="0"/>
    <n v="54"/>
  </r>
  <r>
    <n v="832"/>
    <x v="2"/>
    <x v="182"/>
    <s v="eth1/13"/>
    <x v="0"/>
    <x v="0"/>
    <x v="0"/>
    <s v="LINK_TO_ITHHWD6KV60014DKC01 /CtrlB_IOM1.P1 /Redundante"/>
    <x v="0"/>
    <b v="0"/>
    <s v="No está en VPC"/>
    <n v="832"/>
    <s v="INTPG_ACC_832_1.13"/>
    <s v="ISEL-1.13"/>
    <n v="1"/>
    <s v="NO TIENE L3OUT"/>
    <n v="192"/>
    <n v="54"/>
  </r>
  <r>
    <n v="816"/>
    <x v="2"/>
    <x v="183"/>
    <s v="eth1/13"/>
    <x v="0"/>
    <x v="0"/>
    <x v="0"/>
    <s v="LINK_TO_ITHFHWCBSPSHD14 /Slot5.2 /Principal"/>
    <x v="0"/>
    <b v="0"/>
    <s v="No está en VPC"/>
    <n v="816"/>
    <s v="INTPG_VPC_816_1.13_821_1.13"/>
    <s v="ISEL-1.13"/>
    <n v="2"/>
    <s v="NO TIENE L3OUT"/>
    <n v="0"/>
    <n v="54"/>
  </r>
  <r>
    <n v="825"/>
    <x v="2"/>
    <x v="184"/>
    <s v="eth1/13"/>
    <x v="0"/>
    <x v="0"/>
    <x v="0"/>
    <s v="LINK_TO_ITHHWCRMPEN03 /E1-10GE 1 /Principal"/>
    <x v="0"/>
    <b v="0"/>
    <s v="No está en VPC"/>
    <n v="825"/>
    <s v="INTPG_VPC_820_1.13_20_825_1.13_20"/>
    <s v="ISEL-1.13"/>
    <n v="9"/>
    <s v="NO TIENE L3OUT"/>
    <n v="72"/>
    <n v="54"/>
  </r>
  <r>
    <n v="800"/>
    <x v="2"/>
    <x v="185"/>
    <s v="eth1/13"/>
    <x v="0"/>
    <x v="0"/>
    <x v="0"/>
    <s v="TO-CEPS_09-MSP"/>
    <x v="0"/>
    <b v="0"/>
    <s v="No está en VPC"/>
    <n v="800"/>
    <s v="INTPG_ACC_800_1.13"/>
    <s v="ISEL-1.13"/>
    <n v="1"/>
    <s v="NO TIENE L3OUT"/>
    <n v="78"/>
    <n v="54"/>
  </r>
  <r>
    <n v="801"/>
    <x v="2"/>
    <x v="186"/>
    <s v="eth1/13"/>
    <x v="0"/>
    <x v="0"/>
    <x v="0"/>
    <s v="TO-CEPS_09-MSP"/>
    <x v="0"/>
    <b v="0"/>
    <s v="No está en VPC"/>
    <n v="801"/>
    <s v="INTPG_ACC_801_1.13"/>
    <s v="ISEL-1.13"/>
    <n v="1"/>
    <s v="NO TIENE L3OUT"/>
    <n v="78"/>
    <n v="54"/>
  </r>
  <r>
    <n v="823"/>
    <x v="2"/>
    <x v="187"/>
    <s v="eth1/13"/>
    <x v="0"/>
    <x v="0"/>
    <x v="0"/>
    <s v="LINK_TO_ITHFHWCBSPSUSBD15 /Slot6.2 /Redundante"/>
    <x v="0"/>
    <b v="0"/>
    <s v="No está en VPC"/>
    <n v="823"/>
    <s v="INTPG_VPC_818_1.13_823_1.13"/>
    <s v="ISEL-1.13"/>
    <n v="1"/>
    <s v="NO TIENE L3OUT"/>
    <n v="8"/>
    <n v="54"/>
  </r>
  <r>
    <n v="837"/>
    <x v="2"/>
    <x v="188"/>
    <s v="eth1/13"/>
    <x v="0"/>
    <x v="0"/>
    <x v="0"/>
    <s v="LINK_TO_ITHFHWCBSPSUSBD28 / Slot1.3_8 / Principal"/>
    <x v="0"/>
    <b v="0"/>
    <s v="No está en VPC"/>
    <n v="837"/>
    <s v="INTPG_VPC_837_1.13_842_1.13"/>
    <s v="ISEL-1.13"/>
    <n v="1"/>
    <s v="NO TIENE L3OUT"/>
    <n v="8"/>
    <n v="54"/>
  </r>
  <r>
    <n v="867"/>
    <x v="2"/>
    <x v="189"/>
    <s v="eth1/13"/>
    <x v="0"/>
    <x v="0"/>
    <x v="0"/>
    <s v="TO-ITHFSUEXG2XCN03_PCI3.P2"/>
    <x v="0"/>
    <b v="0"/>
    <s v="No está en VPC"/>
    <n v="867"/>
    <s v="INTPG_ACC_867_1.13"/>
    <s v="ISEL-1.13"/>
    <n v="2"/>
    <s v="NO TIENE L3OUT"/>
    <n v="44"/>
    <n v="54"/>
  </r>
  <r>
    <n v="829"/>
    <x v="2"/>
    <x v="190"/>
    <s v="eth1/13"/>
    <x v="0"/>
    <x v="0"/>
    <x v="0"/>
    <s v="LINK_TO_ITHFHWCRMDLCN32 /Slot7.2 /Redundante"/>
    <x v="0"/>
    <b v="0"/>
    <s v="No está en VPC"/>
    <n v="829"/>
    <s v="INTPG_ACC_829_1.13"/>
    <s v="ISEL-1.13"/>
    <n v="5"/>
    <s v="NO TIENE L3OUT"/>
    <n v="224"/>
    <n v="54"/>
  </r>
  <r>
    <n v="831"/>
    <x v="2"/>
    <x v="191"/>
    <s v="eth1/13"/>
    <x v="0"/>
    <x v="0"/>
    <x v="0"/>
    <s v="LINK_TO_ITHFHWCBSDSUSBD09 /Slot6.2 /Redundante"/>
    <x v="0"/>
    <b v="0"/>
    <s v="No está en VPC"/>
    <n v="831"/>
    <s v="INTPG_VPC_827_1.13_831_1.13"/>
    <s v="ISEL-1.13"/>
    <n v="1"/>
    <s v="NO TIENE L3OUT"/>
    <n v="14"/>
    <n v="54"/>
  </r>
  <r>
    <n v="802"/>
    <x v="2"/>
    <x v="192"/>
    <s v="eth1/13"/>
    <x v="0"/>
    <x v="0"/>
    <x v="0"/>
    <s v="TO-HDPS_15-MSP"/>
    <x v="0"/>
    <b v="0"/>
    <s v="No está en VPC"/>
    <n v="802"/>
    <s v="INTPG_ACC_802_1.13"/>
    <s v="ISEL-1.13"/>
    <n v="1"/>
    <s v="NO TIENE L3OUT"/>
    <n v="48"/>
    <n v="54"/>
  </r>
  <r>
    <n v="835"/>
    <x v="2"/>
    <x v="193"/>
    <s v="eth1/13"/>
    <x v="0"/>
    <x v="0"/>
    <x v="0"/>
    <s v="LINK_TO_ITHFHWCBSPSWR58 / Slot1.1_28 / Principal"/>
    <x v="0"/>
    <b v="0"/>
    <s v="No está en VPC"/>
    <n v="835"/>
    <s v="INTPG_VPC_835_1.13_840_1.13"/>
    <s v="ISEL-1.13"/>
    <n v="2"/>
    <s v="NO TIENE L3OUT"/>
    <n v="8"/>
    <n v="54"/>
  </r>
  <r>
    <n v="822"/>
    <x v="2"/>
    <x v="194"/>
    <s v="eth1/13"/>
    <x v="0"/>
    <x v="0"/>
    <x v="0"/>
    <s v="LINK_TO_ITHFHWCBSPSUSBD10 /Slot7.2 /Redundante"/>
    <x v="0"/>
    <b v="0"/>
    <s v="No está en VPC"/>
    <n v="822"/>
    <s v="INTPG_VPC_817_1.13_822_1.13"/>
    <s v="ISEL-1.13"/>
    <n v="2"/>
    <s v="NO TIENE L3OUT"/>
    <n v="0"/>
    <n v="54"/>
  </r>
  <r>
    <n v="854"/>
    <x v="2"/>
    <x v="195"/>
    <s v="eth1/13"/>
    <x v="0"/>
    <x v="0"/>
    <x v="0"/>
    <s v="LINK_TO_ITHFHWCRMPLCN169 / Slot1.3_8 / Principal"/>
    <x v="0"/>
    <b v="0"/>
    <s v="No está en VPC"/>
    <n v="854"/>
    <s v="INTPG_ACC_854_1.13"/>
    <s v="ISEL-1.13"/>
    <n v="1"/>
    <s v="NO TIENE L3OUT"/>
    <n v="204"/>
    <n v="54"/>
  </r>
  <r>
    <n v="858"/>
    <x v="2"/>
    <x v="196"/>
    <s v="eth1/13"/>
    <x v="0"/>
    <x v="0"/>
    <x v="0"/>
    <s v="To_VPC_2DCBSD_HD41_1"/>
    <x v="0"/>
    <b v="0"/>
    <s v="No está en VPC"/>
    <n v="858"/>
    <s v="INTPG_VPC_858_1.13_863_1.13"/>
    <s v="ISEL-1.13"/>
    <n v="2"/>
    <s v="NO TIENE L3OUT"/>
    <n v="8"/>
    <n v="54"/>
  </r>
  <r>
    <n v="857"/>
    <x v="2"/>
    <x v="197"/>
    <s v="eth1/13"/>
    <x v="0"/>
    <x v="0"/>
    <x v="0"/>
    <s v="LINKT_TO_ITHFHWCRMPLCN119 / Slot1.3_8 / Principal"/>
    <x v="0"/>
    <b v="0"/>
    <s v="No está en VPC"/>
    <n v="857"/>
    <s v="INTPG_ACC_857_1.13"/>
    <s v="ISEL-1.13"/>
    <n v="1"/>
    <s v="NO TIENE L3OUT"/>
    <n v="288"/>
    <n v="54"/>
  </r>
  <r>
    <n v="859"/>
    <x v="2"/>
    <x v="198"/>
    <s v="eth1/13"/>
    <x v="0"/>
    <x v="0"/>
    <x v="0"/>
    <s v="To_VPC_2DCBSD_HD35_1"/>
    <x v="0"/>
    <b v="0"/>
    <s v="No está en VPC"/>
    <n v="859"/>
    <s v="INTPG_VPC_859_1.13_864_1.13"/>
    <s v="ISEL-1.13"/>
    <n v="2"/>
    <s v="NO TIENE L3OUT"/>
    <n v="0"/>
    <n v="54"/>
  </r>
  <r>
    <n v="833"/>
    <x v="2"/>
    <x v="199"/>
    <s v="eth1/13"/>
    <x v="0"/>
    <x v="0"/>
    <x v="0"/>
    <s v="LINK_TO_ITHFHWCRMDLCN32 /Slot5.2 /Principal"/>
    <x v="0"/>
    <b v="0"/>
    <s v="No está en VPC"/>
    <n v="833"/>
    <s v="INTPG_ACC_833_1.13"/>
    <s v="ISEL-1.13"/>
    <n v="5"/>
    <s v="NO TIENE L3OUT"/>
    <n v="224"/>
    <n v="54"/>
  </r>
  <r>
    <n v="818"/>
    <x v="2"/>
    <x v="200"/>
    <s v="eth1/13"/>
    <x v="0"/>
    <x v="0"/>
    <x v="0"/>
    <s v="LINK_TO_ITHFHWCBSPSUSBD15 /Slot4.2 /Principal"/>
    <x v="0"/>
    <b v="0"/>
    <s v="No está en VPC"/>
    <n v="818"/>
    <s v="INTPG_VPC_818_1.13_823_1.13"/>
    <s v="ISEL-1.13"/>
    <n v="1"/>
    <s v="NO TIENE L3OUT"/>
    <n v="8"/>
    <n v="54"/>
  </r>
  <r>
    <n v="850"/>
    <x v="2"/>
    <x v="201"/>
    <s v="eth1/13"/>
    <x v="0"/>
    <x v="0"/>
    <x v="0"/>
    <s v="LINKT_TO_ITHFHWCRMPLCN119 / Slot7.3_8 / Redundante"/>
    <x v="0"/>
    <b v="0"/>
    <s v="No está en VPC"/>
    <n v="850"/>
    <s v="INTPG_ACC_850_1.13"/>
    <s v="ISEL-1.13"/>
    <n v="1"/>
    <s v="NO TIENE L3OUT"/>
    <n v="288"/>
    <n v="54"/>
  </r>
  <r>
    <n v="860"/>
    <x v="2"/>
    <x v="202"/>
    <s v="eth1/13"/>
    <x v="0"/>
    <x v="0"/>
    <x v="0"/>
    <s v="To_VPC_2DCBSD_HD27_1"/>
    <x v="0"/>
    <b v="0"/>
    <s v="No está en VPC"/>
    <n v="860"/>
    <s v="INTPG_VPC_860_1.13_865_1.13"/>
    <s v="ISEL-1.13"/>
    <n v="2"/>
    <s v="NO TIENE L3OUT"/>
    <n v="0"/>
    <n v="54"/>
  </r>
  <r>
    <n v="853"/>
    <x v="2"/>
    <x v="203"/>
    <s v="eth1/13"/>
    <x v="0"/>
    <x v="0"/>
    <x v="0"/>
    <s v="LINK_TO_ITHFHWCRMPLCN76 / Slot7.1_10 / Redundante"/>
    <x v="0"/>
    <b v="0"/>
    <s v="No está en VPC"/>
    <n v="853"/>
    <s v="INTPG_ACC_853_1.13"/>
    <s v="ISEL-1.13"/>
    <n v="6"/>
    <s v="NO TIENE L3OUT"/>
    <n v="242"/>
    <n v="54"/>
  </r>
  <r>
    <n v="790"/>
    <x v="2"/>
    <x v="204"/>
    <s v="eth1/13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13"/>
    <x v="0"/>
    <x v="0"/>
    <x v="0"/>
    <s v="NETEZZA"/>
    <x v="6"/>
    <b v="0"/>
    <s v="No está en VPC"/>
    <n v="105"/>
    <s v="INTPG_ACC_105_1.13"/>
    <s v="ISEL-1.13"/>
    <n v="1"/>
    <s v="NO TIENE L3OUT"/>
    <n v="106"/>
    <n v="96"/>
  </r>
  <r>
    <n v="117"/>
    <x v="0"/>
    <x v="206"/>
    <s v="eth1/13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13"/>
    <x v="0"/>
    <x v="1"/>
    <x v="1"/>
    <s v="SFLDI"/>
    <x v="6"/>
    <b v="0"/>
    <s v="No está en VPC"/>
    <n v="104"/>
    <s v="INTPG_ACC_104_1.13"/>
    <s v="ISEL-1.13"/>
    <n v="1"/>
    <s v="NO TIENE L3OUT"/>
    <n v="194"/>
    <n v="96"/>
  </r>
  <r>
    <n v="158"/>
    <x v="0"/>
    <x v="208"/>
    <s v="eth1/13"/>
    <x v="0"/>
    <x v="0"/>
    <x v="0"/>
    <s v="CIRCULO AZUL"/>
    <x v="6"/>
    <b v="0"/>
    <s v="No está en VPC"/>
    <n v="158"/>
    <s v="INTPG_ACC_158_1.13"/>
    <s v="ISEL-1.13"/>
    <n v="1"/>
    <s v="NO TIENE L3OUT"/>
    <n v="30"/>
    <n v="96"/>
  </r>
  <r>
    <n v="875"/>
    <x v="2"/>
    <x v="209"/>
    <s v="eth1/13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13"/>
    <x v="0"/>
    <x v="0"/>
    <x v="0"/>
    <s v="HACIA_CSI-A-OSCP-F4-13_SECUNDARIO"/>
    <x v="4"/>
    <b v="0"/>
    <s v="No está en VPC"/>
    <n v="879"/>
    <s v="INTPG_VPC_878_1.13_879_1.13"/>
    <s v="ISEL-1.13"/>
    <n v="2"/>
    <s v="NO TIENE L3OUT"/>
    <n v="0"/>
    <n v="54"/>
  </r>
  <r>
    <n v="108"/>
    <x v="0"/>
    <x v="211"/>
    <s v="eth1/13"/>
    <x v="0"/>
    <x v="0"/>
    <x v="0"/>
    <s v="IXT01PP, IXT02PP, IXT05PP"/>
    <x v="6"/>
    <b v="0"/>
    <s v="No está en VPC"/>
    <n v="108"/>
    <s v="INTPG_ACC_108_1.13"/>
    <s v="ISEL-1.13"/>
    <n v="1"/>
    <s v="NO TIENE L3OUT"/>
    <n v="126"/>
    <n v="96"/>
  </r>
  <r>
    <n v="112"/>
    <x v="0"/>
    <x v="212"/>
    <s v="eth1/13"/>
    <x v="0"/>
    <x v="0"/>
    <x v="0"/>
    <s v="MUDANZA SERV NEZA"/>
    <x v="6"/>
    <b v="0"/>
    <s v="No está en VPC"/>
    <n v="112"/>
    <s v="INTPG_ACC_112_1.13"/>
    <s v="ISEL-1.13"/>
    <n v="1"/>
    <s v="NO TIENE L3OUT"/>
    <n v="144"/>
    <n v="96"/>
  </r>
  <r>
    <n v="107"/>
    <x v="0"/>
    <x v="213"/>
    <s v="eth1/13"/>
    <x v="0"/>
    <x v="0"/>
    <x v="0"/>
    <s v="PLATAFORMA NUMERACION "/>
    <x v="6"/>
    <b v="0"/>
    <s v="No está en VPC"/>
    <n v="107"/>
    <s v="INTPG_ACC_107_1.13"/>
    <s v="ISEL-1.13"/>
    <n v="1"/>
    <s v="NO TIENE L3OUT"/>
    <n v="118"/>
    <n v="96"/>
  </r>
  <r>
    <n v="109"/>
    <x v="0"/>
    <x v="214"/>
    <s v="eth1/13"/>
    <x v="0"/>
    <x v="0"/>
    <x v="0"/>
    <s v="TELLABS"/>
    <x v="6"/>
    <b v="0"/>
    <s v="No está en VPC"/>
    <n v="109"/>
    <s v="INTPG_ACC_109_1.13"/>
    <s v="ISEL-1.13"/>
    <n v="1"/>
    <s v="NO TIENE L3OUT"/>
    <n v="126"/>
    <n v="96"/>
  </r>
  <r>
    <n v="113"/>
    <x v="0"/>
    <x v="215"/>
    <s v="eth1/13"/>
    <x v="0"/>
    <x v="0"/>
    <x v="0"/>
    <s v="VYCAN"/>
    <x v="6"/>
    <b v="0"/>
    <s v="No está en VPC"/>
    <n v="113"/>
    <s v="INTPG_ACC_113_1.13"/>
    <s v="ISEL-1.13"/>
    <n v="1"/>
    <s v="NO TIENE L3OUT"/>
    <n v="52"/>
    <n v="96"/>
  </r>
  <r>
    <n v="114"/>
    <x v="0"/>
    <x v="216"/>
    <s v="eth1/13"/>
    <x v="1"/>
    <x v="1"/>
    <x v="2"/>
    <s v="APROVISIONAMIENTO DE SERVICIOS"/>
    <x v="6"/>
    <b v="0"/>
    <s v="No está en VPC"/>
    <n v="114"/>
    <s v="INTPG_ACC_114_1.13"/>
    <s v="ISEL-1.13"/>
    <n v="0"/>
    <s v="NO TIENE L3OUT"/>
    <n v="144"/>
    <n v="96"/>
  </r>
  <r>
    <n v="124"/>
    <x v="0"/>
    <x v="217"/>
    <s v="eth1/13"/>
    <x v="0"/>
    <x v="0"/>
    <x v="0"/>
    <s v="OSSDD890 Rack1"/>
    <x v="6"/>
    <b v="0"/>
    <s v="No está en VPC"/>
    <n v="124"/>
    <s v="INTPG_ACC_124_1.13"/>
    <s v="ISEL-1.13"/>
    <n v="1"/>
    <s v="NO TIENE L3OUT"/>
    <n v="80"/>
    <n v="96"/>
  </r>
  <r>
    <n v="118"/>
    <x v="0"/>
    <x v="218"/>
    <s v="eth1/13"/>
    <x v="1"/>
    <x v="1"/>
    <x v="2"/>
    <s v="COBROS NAVEGACION"/>
    <x v="6"/>
    <b v="0"/>
    <s v="No está en VPC"/>
    <n v="118"/>
    <s v="INTPG_ACC_118_1.13"/>
    <s v="ISEL-1.13"/>
    <n v="1"/>
    <s v="NO TIENE L3OUT"/>
    <n v="180"/>
    <n v="96"/>
  </r>
  <r>
    <n v="159"/>
    <x v="0"/>
    <x v="219"/>
    <s v="eth1/13"/>
    <x v="0"/>
    <x v="0"/>
    <x v="0"/>
    <m/>
    <x v="6"/>
    <b v="0"/>
    <s v="No está en VPC"/>
    <n v="159"/>
    <s v="INTPG_ACC_159_1.13"/>
    <s v="ISEL-1.13"/>
    <n v="1"/>
    <s v="NO TIENE L3OUT"/>
    <n v="72"/>
    <n v="96"/>
  </r>
  <r>
    <n v="840"/>
    <x v="2"/>
    <x v="220"/>
    <s v="eth1/13"/>
    <x v="0"/>
    <x v="0"/>
    <x v="0"/>
    <s v="LINK_TO_ITHFHWCBSPSWR58 / Slot7.1_28 / Redundante"/>
    <x v="0"/>
    <b v="0"/>
    <s v="No está en VPC"/>
    <n v="840"/>
    <s v="INTPG_VPC_835_1.13_840_1.13"/>
    <s v="ISEL-1.13"/>
    <n v="2"/>
    <s v="NO TIENE L3OUT"/>
    <n v="8"/>
    <n v="54"/>
  </r>
  <r>
    <n v="856"/>
    <x v="2"/>
    <x v="221"/>
    <s v="eth1/13"/>
    <x v="0"/>
    <x v="0"/>
    <x v="0"/>
    <s v="LINK_TO_ITHFHWCRMPLCN138 / Slot1.3_10 / Principal"/>
    <x v="0"/>
    <b v="0"/>
    <s v="No está en VPC"/>
    <n v="856"/>
    <s v="INTPG_ACC_856_1.13"/>
    <s v="ISEL-1.13"/>
    <n v="1"/>
    <s v="NO TIENE L3OUT"/>
    <n v="286"/>
    <n v="54"/>
  </r>
  <r>
    <n v="110"/>
    <x v="0"/>
    <x v="222"/>
    <s v="eth1/13"/>
    <x v="1"/>
    <x v="1"/>
    <x v="2"/>
    <m/>
    <x v="6"/>
    <b v="0"/>
    <s v="No está en VPC"/>
    <n v="110"/>
    <s v="INTPG_ACC_110_1.13"/>
    <s v="ISEL-1.13"/>
    <n v="0"/>
    <s v="NO TIENE L3OUT"/>
    <n v="102"/>
    <n v="96"/>
  </r>
  <r>
    <n v="163"/>
    <x v="0"/>
    <x v="223"/>
    <s v="eth1/13"/>
    <x v="1"/>
    <x v="1"/>
    <x v="2"/>
    <s v="IBM SICOD"/>
    <x v="6"/>
    <b v="0"/>
    <s v="No está en VPC"/>
    <n v="163"/>
    <s v="INTPG_ACC_163_1.13"/>
    <s v="ISEL-1.13"/>
    <n v="0"/>
    <s v="NO TIENE L3OUT"/>
    <n v="140"/>
    <n v="96"/>
  </r>
  <r>
    <n v="407"/>
    <x v="1"/>
    <x v="224"/>
    <s v="eth1/13"/>
    <x v="0"/>
    <x v="0"/>
    <x v="0"/>
    <s v="ITHHPGRLKEN11_FLM1 MGMT"/>
    <x v="6"/>
    <b v="0"/>
    <s v="No está en VPC"/>
    <n v="407"/>
    <s v="INTPG_ACC_407_1.13"/>
    <s v="ISEL-1.13"/>
    <n v="1"/>
    <s v="NO TIENE L3OUT"/>
    <n v="122"/>
    <n v="96"/>
  </r>
  <r>
    <n v="171"/>
    <x v="0"/>
    <x v="225"/>
    <s v="eth1/13"/>
    <x v="0"/>
    <x v="0"/>
    <x v="0"/>
    <m/>
    <x v="6"/>
    <b v="0"/>
    <s v="No está en VPC"/>
    <n v="171"/>
    <s v="INTPG_ACC_171_1.13"/>
    <s v="ISEL-1.13"/>
    <n v="1"/>
    <s v="NO TIENE L3OUT"/>
    <n v="114"/>
    <n v="96"/>
  </r>
  <r>
    <n v="421"/>
    <x v="1"/>
    <x v="226"/>
    <s v="eth1/13"/>
    <x v="0"/>
    <x v="1"/>
    <x v="4"/>
    <s v="VMS_HW_CONTROL"/>
    <x v="6"/>
    <b v="0"/>
    <s v="No está en VPC"/>
    <n v="421"/>
    <s v="INTPG_VPC_419_1.13_421_1.13"/>
    <s v="ISEL-1.13"/>
    <n v="1"/>
    <s v="NO TIENE L3OUT"/>
    <n v="72"/>
    <n v="96"/>
  </r>
  <r>
    <n v="173"/>
    <x v="0"/>
    <x v="227"/>
    <s v="eth1/13"/>
    <x v="0"/>
    <x v="1"/>
    <x v="1"/>
    <s v="ENIQ"/>
    <x v="6"/>
    <b v="0"/>
    <s v="No está en VPC"/>
    <n v="173"/>
    <s v="INTPG_ACC_173_1.13"/>
    <s v="ISEL-1.13"/>
    <n v="1"/>
    <s v="NO TIENE L3OUT"/>
    <n v="66"/>
    <n v="96"/>
  </r>
  <r>
    <n v="154"/>
    <x v="0"/>
    <x v="228"/>
    <s v="eth1/13"/>
    <x v="0"/>
    <x v="0"/>
    <x v="0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13"/>
    <x v="0"/>
    <x v="0"/>
    <x v="0"/>
    <s v="OSS3GMX_CLIENT1"/>
    <x v="6"/>
    <b v="0"/>
    <s v="No está en VPC"/>
    <n v="172"/>
    <s v="INTPG_VPC_171_1.4_11_172_1.4_13"/>
    <s v="ISEL-1.13"/>
    <n v="10"/>
    <s v="NO TIENE L3OUT"/>
    <n v="104"/>
    <n v="96"/>
  </r>
  <r>
    <n v="420"/>
    <x v="1"/>
    <x v="230"/>
    <s v="eth1/13"/>
    <x v="0"/>
    <x v="1"/>
    <x v="1"/>
    <s v="PORTABILIDAD_uxgsm10_Eth1"/>
    <x v="6"/>
    <b v="0"/>
    <s v="No está en VPC"/>
    <n v="420"/>
    <s v="INTPG_ACC_420_1.13"/>
    <s v="ISEL-1.13"/>
    <n v="1"/>
    <s v="NO TIENE L3OUT"/>
    <n v="158"/>
    <n v="96"/>
  </r>
  <r>
    <n v="423"/>
    <x v="1"/>
    <x v="231"/>
    <s v="eth1/13"/>
    <x v="0"/>
    <x v="0"/>
    <x v="0"/>
    <s v="ITHPA04_eth0_IPMP-Activa"/>
    <x v="6"/>
    <b v="0"/>
    <s v="No está en VPC"/>
    <n v="423"/>
    <s v="INTPG_ACC_423_1.13"/>
    <s v="ISEL-1.13"/>
    <n v="1"/>
    <s v="NO TIENE L3OUT"/>
    <n v="86"/>
    <n v="96"/>
  </r>
  <r>
    <n v="415"/>
    <x v="1"/>
    <x v="232"/>
    <s v="eth1/13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13"/>
    <x v="0"/>
    <x v="1"/>
    <x v="1"/>
    <s v="SFLDI"/>
    <x v="6"/>
    <b v="0"/>
    <s v="No está en VPC"/>
    <n v="102"/>
    <s v="INTPG_ACC_102_1.13"/>
    <s v="ISEL-1.13"/>
    <n v="1"/>
    <s v="NO TIENE L3OUT"/>
    <n v="228"/>
    <n v="96"/>
  </r>
  <r>
    <n v="863"/>
    <x v="2"/>
    <x v="234"/>
    <s v="eth1/13"/>
    <x v="0"/>
    <x v="0"/>
    <x v="0"/>
    <s v="To_VPC_2DCBSD_HD41_1"/>
    <x v="0"/>
    <b v="0"/>
    <s v="No está en VPC"/>
    <n v="863"/>
    <s v="INTPG_VPC_858_1.13_863_1.13"/>
    <s v="ISEL-1.13"/>
    <n v="2"/>
    <s v="NO TIENE L3OUT"/>
    <n v="8"/>
    <n v="54"/>
  </r>
  <r>
    <n v="876"/>
    <x v="2"/>
    <x v="235"/>
    <s v="eth1/13"/>
    <x v="0"/>
    <x v="0"/>
    <x v="0"/>
    <s v="LINK_TO_ITHFHWSEQLIMPS24 / Slot 4 PTO 1 / Principal"/>
    <x v="4"/>
    <b v="0"/>
    <s v="No está en VPC"/>
    <n v="876"/>
    <s v="INTPG_ACC_876_1.13"/>
    <s v="ISEL-1.13"/>
    <n v="1"/>
    <s v="NO TIENE L3OUT"/>
    <n v="92"/>
    <n v="54"/>
  </r>
  <r>
    <n v="877"/>
    <x v="2"/>
    <x v="236"/>
    <s v="eth1/13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13"/>
    <x v="0"/>
    <x v="0"/>
    <x v="0"/>
    <s v="DESC"/>
    <x v="6"/>
    <b v="0"/>
    <s v="No está en VPC"/>
    <n v="122"/>
    <s v="INTPG_PC_122_1.10-14"/>
    <s v="ISEL-1.13"/>
    <n v="1"/>
    <s v="NO TIENE L3OUT"/>
    <n v="148"/>
    <n v="96"/>
  </r>
  <r>
    <n v="157"/>
    <x v="0"/>
    <x v="238"/>
    <s v="eth1/13"/>
    <x v="0"/>
    <x v="0"/>
    <x v="0"/>
    <s v="COBROS NAVEGACION"/>
    <x v="6"/>
    <b v="0"/>
    <s v="No está en VPC"/>
    <n v="157"/>
    <s v="INTPG_ACC_157_1.13"/>
    <s v="ISEL-1.13"/>
    <n v="1"/>
    <s v="NO TIENE L3OUT"/>
    <n v="202"/>
    <n v="96"/>
  </r>
  <r>
    <n v="408"/>
    <x v="1"/>
    <x v="239"/>
    <s v="eth1/13"/>
    <x v="0"/>
    <x v="0"/>
    <x v="0"/>
    <s v="RESPAL_CS5_ASAP8"/>
    <x v="6"/>
    <b v="0"/>
    <s v="No está en VPC"/>
    <n v="408"/>
    <s v="INTPG_ACC_408_1.13"/>
    <s v="ISEL-1.13"/>
    <n v="1"/>
    <s v="NO TIENE L3OUT"/>
    <n v="152"/>
    <n v="96"/>
  </r>
  <r>
    <n v="405"/>
    <x v="1"/>
    <x v="240"/>
    <s v="eth1/13"/>
    <x v="0"/>
    <x v="0"/>
    <x v="0"/>
    <s v="XL5 RLR5ARI03 iLO"/>
    <x v="6"/>
    <b v="0"/>
    <s v="No está en VPC"/>
    <n v="405"/>
    <s v="INTPG_ACC_405_1.13"/>
    <s v="ISEL-1.13"/>
    <n v="1"/>
    <s v="NO TIENE L3OUT"/>
    <n v="138"/>
    <n v="96"/>
  </r>
  <r>
    <n v="169"/>
    <x v="0"/>
    <x v="241"/>
    <s v="eth1/13"/>
    <x v="0"/>
    <x v="0"/>
    <x v="0"/>
    <s v="LINKDOWN_HACIA_UCS_9UCS-GEO-IXTLA-SERV2"/>
    <x v="6"/>
    <b v="0"/>
    <s v="No está en VPC"/>
    <n v="169"/>
    <s v="INTPG_ACC_169_1.13"/>
    <s v="ISEL-1.13"/>
    <n v="1"/>
    <s v="NO TIENE L3OUT"/>
    <n v="76"/>
    <n v="96"/>
  </r>
  <r>
    <n v="165"/>
    <x v="0"/>
    <x v="242"/>
    <s v="eth1/13"/>
    <x v="0"/>
    <x v="0"/>
    <x v="0"/>
    <s v="Desarrollo Datamart"/>
    <x v="6"/>
    <b v="0"/>
    <s v="No está en VPC"/>
    <n v="165"/>
    <s v="INTPG_ACC_165_1.13"/>
    <s v="ISEL-1.13"/>
    <n v="1"/>
    <s v="NO TIENE L3OUT"/>
    <n v="86"/>
    <n v="96"/>
  </r>
  <r>
    <n v="417"/>
    <x v="1"/>
    <x v="243"/>
    <s v="eth1/13"/>
    <x v="0"/>
    <x v="0"/>
    <x v="0"/>
    <s v="IXTSRM1_VM2"/>
    <x v="6"/>
    <b v="0"/>
    <s v="No está en VPC"/>
    <n v="417"/>
    <s v="INTPG_ACC_417_1.13"/>
    <s v="ISEL-1.13"/>
    <n v="1"/>
    <s v="NO TIENE L3OUT"/>
    <n v="56"/>
    <n v="96"/>
  </r>
  <r>
    <n v="153"/>
    <x v="0"/>
    <x v="244"/>
    <s v="eth1/13"/>
    <x v="0"/>
    <x v="0"/>
    <x v="0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13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13"/>
    <x v="0"/>
    <x v="0"/>
    <x v="0"/>
    <s v="ARIESO_GEOLOCALIZACION"/>
    <x v="6"/>
    <b v="0"/>
    <s v="No está en VPC"/>
    <n v="156"/>
    <s v="INTPG_ACC_156_1.13"/>
    <s v="ISEL-1.13"/>
    <n v="2"/>
    <s v="NO TIENE L3OUT"/>
    <n v="40"/>
    <n v="96"/>
  </r>
  <r>
    <n v="103"/>
    <x v="0"/>
    <x v="247"/>
    <s v="eth1/13"/>
    <x v="0"/>
    <x v="1"/>
    <x v="1"/>
    <s v="CAMPANAS 01-02:uxobie03:ent0 "/>
    <x v="6"/>
    <b v="0"/>
    <s v="No está en VPC"/>
    <n v="103"/>
    <s v="INTPG_ACC_103_1.13"/>
    <s v="ISEL-1.13"/>
    <n v="1"/>
    <s v="NO TIENE L3OUT"/>
    <n v="70"/>
    <n v="96"/>
  </r>
  <r>
    <n v="438"/>
    <x v="1"/>
    <x v="248"/>
    <s v="eth1/13"/>
    <x v="0"/>
    <x v="0"/>
    <x v="0"/>
    <s v="ZFS_RANECE_ILOM-B"/>
    <x v="6"/>
    <b v="0"/>
    <s v="No está en VPC"/>
    <n v="438"/>
    <s v="INTPG_ACC_438_1.13"/>
    <s v="ISEL-1.13"/>
    <n v="1"/>
    <s v="NO TIENE L3OUT"/>
    <n v="170"/>
    <n v="96"/>
  </r>
  <r>
    <n v="406"/>
    <x v="1"/>
    <x v="249"/>
    <s v="eth1/13"/>
    <x v="0"/>
    <x v="0"/>
    <x v="0"/>
    <s v="ITHRTC31VC1"/>
    <x v="6"/>
    <b v="0"/>
    <s v="No está en VPC"/>
    <n v="406"/>
    <s v="INTPG_VPC_404_1.13_406_1.13"/>
    <s v="ISEL-1.13"/>
    <n v="1"/>
    <s v="NO TIENE L3OUT"/>
    <n v="82"/>
    <n v="96"/>
  </r>
  <r>
    <n v="414"/>
    <x v="1"/>
    <x v="250"/>
    <s v="eth1/13"/>
    <x v="0"/>
    <x v="0"/>
    <x v="0"/>
    <s v="9UCS-IXTLA-WEBEX-SERV4"/>
    <x v="6"/>
    <b v="0"/>
    <s v="No está en VPC"/>
    <n v="414"/>
    <s v="INTPG_ACC_414_1.13"/>
    <s v="ISEL-1.13"/>
    <n v="1"/>
    <s v="NO TIENE L3OUT"/>
    <n v="144"/>
    <n v="96"/>
  </r>
  <r>
    <n v="416"/>
    <x v="1"/>
    <x v="251"/>
    <s v="eth1/13"/>
    <x v="0"/>
    <x v="1"/>
    <x v="5"/>
    <s v="sfmedp62-MEDVOZ_CLIENT11"/>
    <x v="6"/>
    <b v="0"/>
    <s v="No está en VPC"/>
    <n v="416"/>
    <s v="INTPG_VPC_416_1.13_418_1.13"/>
    <s v="ISEL-1.13"/>
    <n v="1"/>
    <s v="NO TIENE L3OUT"/>
    <n v="110"/>
    <n v="96"/>
  </r>
  <r>
    <n v="418"/>
    <x v="1"/>
    <x v="252"/>
    <s v="eth1/13"/>
    <x v="0"/>
    <x v="1"/>
    <x v="5"/>
    <s v="sfmedp62-MEDVOZ_CLIENT11"/>
    <x v="6"/>
    <b v="0"/>
    <s v="No está en VPC"/>
    <n v="418"/>
    <s v="INTPG_VPC_416_1.13_418_1.13"/>
    <s v="ISEL-1.13"/>
    <n v="1"/>
    <s v="NO TIENE L3OUT"/>
    <n v="152"/>
    <n v="96"/>
  </r>
  <r>
    <n v="413"/>
    <x v="1"/>
    <x v="253"/>
    <s v="eth1/13"/>
    <x v="0"/>
    <x v="0"/>
    <x v="0"/>
    <m/>
    <x v="6"/>
    <b v="0"/>
    <s v="No está en VPC"/>
    <n v="413"/>
    <s v="INTPG_ACC_413_1.13"/>
    <s v="ISEL-1.13"/>
    <n v="2"/>
    <s v="NO TIENE L3OUT"/>
    <n v="126"/>
    <n v="96"/>
  </r>
  <r>
    <n v="403"/>
    <x v="1"/>
    <x v="254"/>
    <s v="eth1/13"/>
    <x v="0"/>
    <x v="0"/>
    <x v="0"/>
    <s v="XL5 RLR5ARI03"/>
    <x v="6"/>
    <b v="0"/>
    <s v="No está en VPC"/>
    <n v="403"/>
    <s v="INTPG_ACC_403_1.13"/>
    <s v="ISEL-1.13"/>
    <n v="1"/>
    <s v="NO TIENE L3OUT"/>
    <n v="150"/>
    <n v="96"/>
  </r>
  <r>
    <n v="125"/>
    <x v="0"/>
    <x v="255"/>
    <s v="eth1/13"/>
    <x v="0"/>
    <x v="1"/>
    <x v="1"/>
    <s v="GSM_ENIQ_MTY"/>
    <x v="6"/>
    <b v="0"/>
    <s v="No está en VPC"/>
    <n v="125"/>
    <s v="INTPG_ACC_125_1.13"/>
    <s v="ISEL-1.13"/>
    <n v="1"/>
    <s v="NO TIENE L3OUT"/>
    <n v="72"/>
    <n v="96"/>
  </r>
  <r>
    <n v="166"/>
    <x v="0"/>
    <x v="256"/>
    <s v="eth1/13"/>
    <x v="0"/>
    <x v="0"/>
    <x v="0"/>
    <s v="UXLDAP"/>
    <x v="6"/>
    <b v="0"/>
    <s v="No está en VPC"/>
    <n v="166"/>
    <s v="INTPG_ACC_166_1.13"/>
    <s v="ISEL-1.13"/>
    <n v="1"/>
    <s v="NO TIENE L3OUT"/>
    <n v="84"/>
    <n v="96"/>
  </r>
  <r>
    <n v="111"/>
    <x v="0"/>
    <x v="257"/>
    <s v="eth1/13"/>
    <x v="0"/>
    <x v="0"/>
    <x v="0"/>
    <s v="RENACE"/>
    <x v="6"/>
    <b v="0"/>
    <s v="No está en VPC"/>
    <n v="111"/>
    <s v="INTPG_ACC_111_1.13"/>
    <s v="ISEL-1.13"/>
    <n v="1"/>
    <s v="NO TIENE L3OUT"/>
    <n v="58"/>
    <n v="96"/>
  </r>
  <r>
    <n v="115"/>
    <x v="0"/>
    <x v="258"/>
    <s v="eth1/13"/>
    <x v="0"/>
    <x v="0"/>
    <x v="0"/>
    <s v="TO-ITHFERNTCTRIS02-Redundante"/>
    <x v="6"/>
    <b v="0"/>
    <s v="No está en VPC"/>
    <n v="115"/>
    <s v="INTPG_ACC_115_1.13"/>
    <s v="ISEL-1.13"/>
    <n v="1"/>
    <s v="NO TIENE L3OUT"/>
    <n v="42"/>
    <n v="96"/>
  </r>
  <r>
    <n v="106"/>
    <x v="0"/>
    <x v="259"/>
    <s v="eth1/13"/>
    <x v="0"/>
    <x v="0"/>
    <x v="0"/>
    <m/>
    <x v="6"/>
    <b v="0"/>
    <s v="No está en VPC"/>
    <n v="106"/>
    <s v="INTPG_ACC_106_1.13"/>
    <s v="ISEL-1.13"/>
    <n v="1"/>
    <s v="NO TIENE L3OUT"/>
    <n v="122"/>
    <n v="96"/>
  </r>
  <r>
    <n v="126"/>
    <x v="0"/>
    <x v="260"/>
    <s v="eth1/13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13"/>
    <x v="0"/>
    <x v="0"/>
    <x v="0"/>
    <s v="PortalCautivo2_f5gwt01_mgmt"/>
    <x v="6"/>
    <b v="0"/>
    <s v="No está en VPC"/>
    <n v="425"/>
    <s v="INTPG_ACC_425_1.13"/>
    <s v="ISEL-1.13"/>
    <n v="1"/>
    <s v="NO TIENE L3OUT"/>
    <n v="86"/>
    <n v="96"/>
  </r>
  <r>
    <n v="151"/>
    <x v="0"/>
    <x v="262"/>
    <s v="eth1/13"/>
    <x v="0"/>
    <x v="0"/>
    <x v="0"/>
    <s v="DASHBOARD"/>
    <x v="6"/>
    <b v="0"/>
    <s v="No está en VPC"/>
    <n v="151"/>
    <s v="INTPG_ACC_151_1.13"/>
    <s v="ISEL-1.13"/>
    <n v="1"/>
    <s v="NO TIENE L3OUT"/>
    <n v="86"/>
    <n v="96"/>
  </r>
  <r>
    <n v="430"/>
    <x v="1"/>
    <x v="263"/>
    <s v="eth1/13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13"/>
    <x v="0"/>
    <x v="0"/>
    <x v="0"/>
    <s v="VMS_HW_CONTROL"/>
    <x v="6"/>
    <b v="0"/>
    <s v="No está en VPC"/>
    <n v="419"/>
    <s v="INTPG_VPC_419_1.13_421_1.13"/>
    <s v="ISEL-1.13"/>
    <n v="1"/>
    <s v="NO TIENE L3OUT"/>
    <n v="70"/>
    <n v="96"/>
  </r>
  <r>
    <n v="155"/>
    <x v="0"/>
    <x v="265"/>
    <s v="eth1/13"/>
    <x v="0"/>
    <x v="0"/>
    <x v="0"/>
    <s v="COBROS NAVEGACION"/>
    <x v="6"/>
    <b v="0"/>
    <s v="No está en VPC"/>
    <n v="155"/>
    <s v="INTPG_ACC_155_1.13"/>
    <s v="ISEL-1.13"/>
    <n v="1"/>
    <s v="NO TIENE L3OUT"/>
    <n v="198"/>
    <n v="96"/>
  </r>
  <r>
    <n v="409"/>
    <x v="1"/>
    <x v="266"/>
    <s v="eth1/13"/>
    <x v="0"/>
    <x v="0"/>
    <x v="0"/>
    <s v="ITHHPGRLKEN12_ICM3 Q1"/>
    <x v="6"/>
    <b v="0"/>
    <s v="No está en VPC"/>
    <n v="409"/>
    <s v="INTPG_ACC_409_1.13"/>
    <s v="ISEL-1.13"/>
    <n v="1"/>
    <s v="NO TIENE L3OUT"/>
    <n v="128"/>
    <n v="96"/>
  </r>
  <r>
    <n v="422"/>
    <x v="1"/>
    <x v="267"/>
    <s v="eth1/13"/>
    <x v="0"/>
    <x v="0"/>
    <x v="0"/>
    <s v="B6200C_DT_2"/>
    <x v="6"/>
    <b v="0"/>
    <s v="No está en VPC"/>
    <n v="422"/>
    <s v="INTPG_ACC_422_1.13"/>
    <s v="ISEL-1.13"/>
    <n v="1"/>
    <s v="NO TIENE L3OUT"/>
    <n v="182"/>
    <n v="96"/>
  </r>
  <r>
    <n v="436"/>
    <x v="1"/>
    <x v="268"/>
    <s v="eth1/13"/>
    <x v="0"/>
    <x v="0"/>
    <x v="0"/>
    <s v="ZFS_RANECE_MGMT_A-01"/>
    <x v="6"/>
    <b v="0"/>
    <s v="No está en VPC"/>
    <n v="436"/>
    <s v="INTPG_ACC_436_1.13"/>
    <s v="ISEL-1.13"/>
    <n v="1"/>
    <s v="NO TIENE L3OUT"/>
    <n v="172"/>
    <n v="96"/>
  </r>
  <r>
    <n v="410"/>
    <x v="1"/>
    <x v="269"/>
    <s v="eth1/13"/>
    <x v="0"/>
    <x v="0"/>
    <x v="0"/>
    <s v="UTP_ZFS_CAMPANAS"/>
    <x v="6"/>
    <b v="0"/>
    <s v="No está en VPC"/>
    <n v="410"/>
    <s v="INTPG_ACC_410_1.13"/>
    <s v="ISEL-1.13"/>
    <n v="1"/>
    <s v="NO TIENE L3OUT"/>
    <n v="178"/>
    <n v="96"/>
  </r>
  <r>
    <n v="161"/>
    <x v="0"/>
    <x v="270"/>
    <s v="eth1/13"/>
    <x v="0"/>
    <x v="0"/>
    <x v="0"/>
    <s v="DESC"/>
    <x v="6"/>
    <b v="0"/>
    <s v="No está en VPC"/>
    <n v="161"/>
    <s v="INTPG_PC_161_1.9_11_13"/>
    <s v="ISEL-1.13"/>
    <n v="1"/>
    <s v="NO TIENE L3OUT"/>
    <n v="102"/>
    <n v="96"/>
  </r>
  <r>
    <n v="411"/>
    <x v="1"/>
    <x v="271"/>
    <s v="eth1/13"/>
    <x v="0"/>
    <x v="0"/>
    <x v="0"/>
    <s v="GESTOR"/>
    <x v="6"/>
    <b v="0"/>
    <s v="No está en VPC"/>
    <n v="411"/>
    <s v="INTPG_ACC_411_1.13"/>
    <s v="ISEL-1.13"/>
    <n v="1"/>
    <s v="NO TIENE L3OUT"/>
    <n v="96"/>
    <n v="96"/>
  </r>
  <r>
    <n v="116"/>
    <x v="0"/>
    <x v="272"/>
    <s v="eth1/13"/>
    <x v="0"/>
    <x v="1"/>
    <x v="1"/>
    <s v="COBROS NAVEGACION"/>
    <x v="6"/>
    <b v="0"/>
    <s v="No está en VPC"/>
    <n v="116"/>
    <s v="INTPG_ACC_116_1.13"/>
    <s v="ISEL-1.13"/>
    <n v="1"/>
    <s v="NO TIENE L3OUT"/>
    <n v="148"/>
    <n v="96"/>
  </r>
  <r>
    <n v="412"/>
    <x v="1"/>
    <x v="273"/>
    <s v="eth1/13"/>
    <x v="0"/>
    <x v="0"/>
    <x v="0"/>
    <s v="RESPAL_CS5_ASAP8"/>
    <x v="6"/>
    <b v="0"/>
    <s v="No está en VPC"/>
    <n v="412"/>
    <s v="INTPG_ACC_412_1.13"/>
    <s v="ISEL-1.13"/>
    <n v="1"/>
    <s v="NO TIENE L3OUT"/>
    <n v="126"/>
    <n v="96"/>
  </r>
  <r>
    <n v="120"/>
    <x v="0"/>
    <x v="274"/>
    <s v="eth1/13"/>
    <x v="1"/>
    <x v="1"/>
    <x v="2"/>
    <s v="DESC"/>
    <x v="6"/>
    <b v="0"/>
    <s v="No está en VPC"/>
    <n v="120"/>
    <s v="INTPG_PC_120_1.10-14"/>
    <s v="ISEL-1.13"/>
    <n v="1"/>
    <s v="NO TIENE L3OUT"/>
    <n v="158"/>
    <n v="96"/>
  </r>
  <r>
    <n v="404"/>
    <x v="1"/>
    <x v="275"/>
    <s v="eth1/13"/>
    <x v="0"/>
    <x v="0"/>
    <x v="0"/>
    <s v="ITHRTC31VC1"/>
    <x v="6"/>
    <b v="0"/>
    <s v="No está en VPC"/>
    <n v="404"/>
    <s v="INTPG_VPC_404_1.13_406_1.13"/>
    <s v="ISEL-1.13"/>
    <n v="1"/>
    <s v="NO TIENE L3OUT"/>
    <n v="92"/>
    <n v="96"/>
  </r>
  <r>
    <n v="167"/>
    <x v="0"/>
    <x v="276"/>
    <s v="eth1/13"/>
    <x v="0"/>
    <x v="0"/>
    <x v="0"/>
    <s v="LINKDOWN_HACIA_UCS_9UCS-IXTLA-SERV2"/>
    <x v="6"/>
    <b v="0"/>
    <s v="No está en VPC"/>
    <n v="167"/>
    <s v="INTPG_ACC_167_1.13"/>
    <s v="ISEL-1.13"/>
    <n v="1"/>
    <s v="NO TIENE L3OUT"/>
    <n v="68"/>
    <n v="96"/>
  </r>
  <r>
    <n v="428"/>
    <x v="1"/>
    <x v="277"/>
    <s v="eth1/13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903"/>
    <x v="2"/>
    <x v="278"/>
    <s v="eth1/1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1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14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14"/>
    <x v="1"/>
    <x v="1"/>
    <x v="2"/>
    <m/>
    <x v="1"/>
    <b v="0"/>
    <s v="No está en VPC"/>
    <n v="123"/>
    <s v="INTPG_ACC_123_1.14"/>
    <s v="ISEL-1.14"/>
    <n v="0"/>
    <s v="NO TIENE L3OUT"/>
    <n v="20"/>
    <n v="54"/>
  </r>
  <r>
    <n v="152"/>
    <x v="0"/>
    <x v="2"/>
    <s v="eth1/14"/>
    <x v="0"/>
    <x v="0"/>
    <x v="0"/>
    <s v="IXTPA3LE"/>
    <x v="1"/>
    <b v="0"/>
    <s v="No está en VPC"/>
    <n v="152"/>
    <s v="INTPG_ACC_152_1.14"/>
    <s v="ISEL-1.14"/>
    <n v="1"/>
    <s v="NO TIENE L3OUT"/>
    <n v="38"/>
    <n v="54"/>
  </r>
  <r>
    <n v="101"/>
    <x v="0"/>
    <x v="3"/>
    <s v="eth1/14"/>
    <x v="0"/>
    <x v="1"/>
    <x v="4"/>
    <s v="ENIQ_4G_MEX_2"/>
    <x v="0"/>
    <b v="0"/>
    <s v="No está en VPC"/>
    <n v="101"/>
    <s v="INTPG_VPC_101_1.14_150_1.14"/>
    <s v="ISEL-1.14"/>
    <n v="1"/>
    <s v="NO TIENE L3OUT"/>
    <n v="114"/>
    <n v="54"/>
  </r>
  <r>
    <n v="160"/>
    <x v="0"/>
    <x v="4"/>
    <s v="eth1/14"/>
    <x v="0"/>
    <x v="0"/>
    <x v="0"/>
    <m/>
    <x v="1"/>
    <b v="0"/>
    <s v="No está en VPC"/>
    <n v="160"/>
    <s v="INTPG_ACC_160_1.14"/>
    <s v="ISEL-1.14"/>
    <n v="1"/>
    <s v="NO TIENE L3OUT"/>
    <n v="68"/>
    <n v="54"/>
  </r>
  <r>
    <n v="121"/>
    <x v="0"/>
    <x v="5"/>
    <s v="eth1/14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14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14"/>
    <x v="0"/>
    <x v="0"/>
    <x v="0"/>
    <s v="M10-ACTIVO1"/>
    <x v="0"/>
    <b v="0"/>
    <s v="No está en VPC"/>
    <n v="401"/>
    <s v="INTPG_ACC_401_1.14"/>
    <s v="ISEL-1.14"/>
    <n v="4"/>
    <s v="NO TIENE L3OUT"/>
    <n v="40"/>
    <n v="54"/>
  </r>
  <r>
    <n v="402"/>
    <x v="1"/>
    <x v="8"/>
    <s v="eth1/14"/>
    <x v="1"/>
    <x v="1"/>
    <x v="2"/>
    <s v="M10-PASIVO1"/>
    <x v="0"/>
    <b v="0"/>
    <s v="No está en VPC"/>
    <n v="402"/>
    <s v="INTPG_ACC_402_1.14"/>
    <s v="ISEL-1.14"/>
    <n v="2"/>
    <s v="NO TIENE L3OUT"/>
    <n v="36"/>
    <n v="54"/>
  </r>
  <r>
    <n v="447"/>
    <x v="1"/>
    <x v="9"/>
    <s v="eth1/14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14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14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14"/>
    <x v="1"/>
    <x v="1"/>
    <x v="2"/>
    <s v="ENIQ_4G_MEX_2"/>
    <x v="0"/>
    <b v="0"/>
    <s v="No está en VPC"/>
    <n v="150"/>
    <s v="INTPG_VPC_101_1.14_150_1.14"/>
    <s v="ISEL-1.14"/>
    <n v="1"/>
    <s v="NO TIENE L3OUT"/>
    <n v="118"/>
    <n v="54"/>
  </r>
  <r>
    <n v="131"/>
    <x v="0"/>
    <x v="13"/>
    <s v="eth1/14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14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14"/>
    <x v="0"/>
    <x v="0"/>
    <x v="0"/>
    <s v="GRLK LAG 04"/>
    <x v="2"/>
    <b v="0"/>
    <s v="No está en VPC"/>
    <n v="758"/>
    <s v="INTPG_VPC_758_1.14_759_1.14"/>
    <s v="ISEL-1.14"/>
    <n v="89"/>
    <s v="NO TIENE L3OUT"/>
    <n v="0"/>
    <n v="42"/>
  </r>
  <r>
    <n v="759"/>
    <x v="2"/>
    <x v="16"/>
    <s v="eth1/14"/>
    <x v="0"/>
    <x v="0"/>
    <x v="0"/>
    <s v="GRLK LAG 04"/>
    <x v="2"/>
    <b v="0"/>
    <s v="No está en VPC"/>
    <n v="759"/>
    <s v="INTPG_VPC_758_1.14_759_1.14"/>
    <s v="ISEL-1.14"/>
    <n v="89"/>
    <s v="NO TIENE L3OUT"/>
    <n v="0"/>
    <n v="42"/>
  </r>
  <r>
    <n v="302"/>
    <x v="0"/>
    <x v="17"/>
    <s v="eth1/14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14"/>
    <x v="0"/>
    <x v="0"/>
    <x v="0"/>
    <s v="PORTA_EXP1"/>
    <x v="1"/>
    <b v="0"/>
    <s v="No está en VPC"/>
    <n v="424"/>
    <s v="INTPG_ACC_424_1.14"/>
    <s v="ISEL-1.14"/>
    <n v="1"/>
    <s v="NO TIENE L3OUT"/>
    <n v="16"/>
    <n v="54"/>
  </r>
  <r>
    <n v="426"/>
    <x v="1"/>
    <x v="19"/>
    <s v="eth1/14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14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14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14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14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14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14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14"/>
    <x v="0"/>
    <x v="0"/>
    <x v="0"/>
    <s v="INTELIGN_COMERCIAL_LAG5"/>
    <x v="0"/>
    <b v="0"/>
    <s v="No está en VPC"/>
    <n v="431"/>
    <s v="INTPG_VPC_431_1.14_448_1.14"/>
    <s v="ISEL-1.14"/>
    <n v="3"/>
    <s v="NO TIENE L3OUT"/>
    <n v="46"/>
    <n v="54"/>
  </r>
  <r>
    <n v="433"/>
    <x v="1"/>
    <x v="27"/>
    <s v="eth1/14"/>
    <x v="0"/>
    <x v="0"/>
    <x v="0"/>
    <s v="IXT_PM_1_eth1_Primario"/>
    <x v="1"/>
    <b v="0"/>
    <s v="No está en VPC"/>
    <n v="433"/>
    <s v="INTPG_ACC_433_1.14"/>
    <s v="ISEL-1.14"/>
    <n v="1"/>
    <s v="NO TIENE L3OUT"/>
    <n v="42"/>
    <n v="54"/>
  </r>
  <r>
    <n v="429"/>
    <x v="1"/>
    <x v="28"/>
    <s v="eth1/14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14"/>
    <x v="0"/>
    <x v="1"/>
    <x v="1"/>
    <s v="sfrevp02_MGMT_RHEV_HUAWEI"/>
    <x v="1"/>
    <b v="0"/>
    <s v="No está en VPC"/>
    <n v="432"/>
    <s v="INTPG_ACC_432_1.14"/>
    <s v="ISEL-1.14"/>
    <n v="1"/>
    <s v="NO TIENE L3OUT"/>
    <n v="54"/>
    <n v="54"/>
  </r>
  <r>
    <n v="442"/>
    <x v="1"/>
    <x v="30"/>
    <s v="eth1/14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14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14"/>
    <x v="0"/>
    <x v="1"/>
    <x v="3"/>
    <s v="CEM:ITHCEMG2DAT07:LOM P3"/>
    <x v="0"/>
    <b v="0"/>
    <s v="No está en VPC"/>
    <n v="707"/>
    <s v="INTPG_ACC_707_1.14"/>
    <s v="ISEL-1.14"/>
    <n v="1"/>
    <s v="NO TIENE L3OUT"/>
    <n v="54"/>
    <n v="54"/>
  </r>
  <r>
    <n v="712"/>
    <x v="2"/>
    <x v="33"/>
    <s v="eth1/14"/>
    <x v="0"/>
    <x v="0"/>
    <x v="0"/>
    <s v="CEM:ITHCEMA2DAT07:LOM  P2"/>
    <x v="0"/>
    <b v="0"/>
    <s v="No está en VPC"/>
    <n v="712"/>
    <s v="INTPG_ACC_712_1.14"/>
    <s v="ISEL-1.14"/>
    <n v="1"/>
    <s v="NO TIENE L3OUT"/>
    <n v="32"/>
    <n v="54"/>
  </r>
  <r>
    <n v="719"/>
    <x v="2"/>
    <x v="34"/>
    <s v="eth1/14"/>
    <x v="0"/>
    <x v="0"/>
    <x v="0"/>
    <m/>
    <x v="0"/>
    <b v="0"/>
    <s v="No está en VPC"/>
    <n v="719"/>
    <s v="INTPG-VPC_PAP01_720_1.13_719_1.14"/>
    <s v="ISEL-1.14"/>
    <n v="1"/>
    <s v="NO TIENE L3OUT"/>
    <n v="0"/>
    <n v="54"/>
  </r>
  <r>
    <n v="715"/>
    <x v="2"/>
    <x v="35"/>
    <s v="eth1/14"/>
    <x v="0"/>
    <x v="0"/>
    <x v="0"/>
    <m/>
    <x v="0"/>
    <b v="0"/>
    <s v="No está en VPC"/>
    <n v="715"/>
    <s v="INTPG-VPC_HDD33_716_1.13_715_1.14"/>
    <s v="ISEL-1.14"/>
    <n v="1"/>
    <s v="NO TIENE L3OUT"/>
    <n v="0"/>
    <n v="54"/>
  </r>
  <r>
    <n v="427"/>
    <x v="1"/>
    <x v="36"/>
    <s v="eth1/14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14"/>
    <x v="0"/>
    <x v="1"/>
    <x v="5"/>
    <s v="CEM:ITHCEMD2DAT07:LOM  P2"/>
    <x v="0"/>
    <b v="0"/>
    <s v="No está en VPC"/>
    <n v="711"/>
    <s v="INTPG_VPC_710_1.13_711_1.14"/>
    <s v="ISEL-1.14"/>
    <n v="1"/>
    <s v="NO TIENE L3OUT"/>
    <n v="16"/>
    <n v="54"/>
  </r>
  <r>
    <n v="716"/>
    <x v="2"/>
    <x v="38"/>
    <s v="eth1/14"/>
    <x v="0"/>
    <x v="0"/>
    <x v="0"/>
    <m/>
    <x v="0"/>
    <b v="0"/>
    <s v="No está en VPC"/>
    <n v="716"/>
    <s v="INTPG-VPC_HDD42_715_1.13_716_1.14"/>
    <s v="ISEL-1.14"/>
    <n v="1"/>
    <s v="NO TIENE L3OUT"/>
    <n v="0"/>
    <n v="54"/>
  </r>
  <r>
    <n v="702"/>
    <x v="2"/>
    <x v="39"/>
    <s v="eth1/14"/>
    <x v="0"/>
    <x v="0"/>
    <x v="0"/>
    <m/>
    <x v="0"/>
    <b v="0"/>
    <s v="No está en VPC"/>
    <n v="702"/>
    <s v="INTPG_VPC_701_1.13_702_1.14"/>
    <s v="ISEL-1.14"/>
    <n v="2"/>
    <s v="NO TIENE L3OUT"/>
    <n v="0"/>
    <n v="54"/>
  </r>
  <r>
    <n v="435"/>
    <x v="1"/>
    <x v="40"/>
    <s v="eth1/14"/>
    <x v="0"/>
    <x v="0"/>
    <x v="0"/>
    <s v="IXT_PM_1_eth2_Secundario"/>
    <x v="1"/>
    <b v="0"/>
    <s v="No está en VPC"/>
    <n v="435"/>
    <s v="INTPG_ACC_435_1.14"/>
    <s v="ISEL-1.14"/>
    <n v="1"/>
    <s v="NO TIENE L3OUT"/>
    <n v="34"/>
    <n v="54"/>
  </r>
  <r>
    <n v="446"/>
    <x v="1"/>
    <x v="41"/>
    <s v="eth1/14"/>
    <x v="0"/>
    <x v="0"/>
    <x v="0"/>
    <s v="TO-ithhwhccsv04"/>
    <x v="0"/>
    <b v="0"/>
    <s v="No está en VPC"/>
    <n v="446"/>
    <s v="INTPG_VPC_444_1.13-14_446_1.13-14"/>
    <s v="ISEL-1.14"/>
    <n v="10"/>
    <s v="NO TIENE L3OUT"/>
    <n v="198"/>
    <n v="54"/>
  </r>
  <r>
    <n v="444"/>
    <x v="1"/>
    <x v="42"/>
    <s v="eth1/14"/>
    <x v="0"/>
    <x v="0"/>
    <x v="0"/>
    <s v="TO-ithhwhccsv04"/>
    <x v="0"/>
    <b v="0"/>
    <s v="No está en VPC"/>
    <n v="444"/>
    <s v="INTPG_VPC_444_1.13-14_446_1.13-14"/>
    <s v="ISEL-1.14"/>
    <n v="10"/>
    <s v="NO TIENE L3OUT"/>
    <n v="234"/>
    <n v="54"/>
  </r>
  <r>
    <n v="701"/>
    <x v="2"/>
    <x v="43"/>
    <s v="eth1/14"/>
    <x v="0"/>
    <x v="0"/>
    <x v="0"/>
    <m/>
    <x v="0"/>
    <b v="0"/>
    <s v="No está en VPC"/>
    <n v="701"/>
    <s v="INTPG_VPC_702_1.13_701_1.14"/>
    <s v="ISEL-1.14"/>
    <n v="1"/>
    <s v="NO TIENE L3OUT"/>
    <n v="0"/>
    <n v="54"/>
  </r>
  <r>
    <n v="440"/>
    <x v="1"/>
    <x v="44"/>
    <s v="eth1/14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14"/>
    <x v="0"/>
    <x v="0"/>
    <x v="0"/>
    <s v="INTELIGN_COMERCIAL_LAG5"/>
    <x v="0"/>
    <b v="0"/>
    <s v="No está en VPC"/>
    <n v="448"/>
    <s v="INTPG_VPC_431_1.14_448_1.14"/>
    <s v="ISEL-1.14"/>
    <n v="3"/>
    <s v="NO TIENE L3OUT"/>
    <n v="46"/>
    <n v="54"/>
  </r>
  <r>
    <n v="704"/>
    <x v="2"/>
    <x v="46"/>
    <s v="eth1/14"/>
    <x v="0"/>
    <x v="0"/>
    <x v="0"/>
    <m/>
    <x v="0"/>
    <b v="0"/>
    <s v="No está en VPC"/>
    <n v="704"/>
    <s v="INTPG_VPC_703_1.13_704_1.14"/>
    <s v="ISEL-1.14"/>
    <n v="2"/>
    <s v="NO TIENE L3OUT"/>
    <n v="0"/>
    <n v="54"/>
  </r>
  <r>
    <n v="729"/>
    <x v="2"/>
    <x v="47"/>
    <s v="eth1/14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14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14"/>
    <x v="0"/>
    <x v="0"/>
    <x v="0"/>
    <s v="HACIA_CSI-A-OSCP-F4-02_SECUNDARIO"/>
    <x v="4"/>
    <b v="0"/>
    <s v="No está en VPC"/>
    <n v="456"/>
    <s v="INTPG_VPC_454_1.14_456_1.14"/>
    <s v="ISEL-1.14"/>
    <n v="2"/>
    <s v="NO TIENE L3OUT"/>
    <n v="4"/>
    <n v="54"/>
  </r>
  <r>
    <n v="603"/>
    <x v="1"/>
    <x v="50"/>
    <s v="eth1/14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14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14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14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14"/>
    <x v="0"/>
    <x v="0"/>
    <x v="0"/>
    <m/>
    <x v="0"/>
    <b v="0"/>
    <s v="No está en VPC"/>
    <n v="722"/>
    <s v="INTPG-VPC_HDD114_723_1.13_722_1.14"/>
    <s v="ISEL-1.14"/>
    <n v="1"/>
    <s v="NO TIENE L3OUT"/>
    <n v="0"/>
    <n v="54"/>
  </r>
  <r>
    <n v="733"/>
    <x v="2"/>
    <x v="55"/>
    <s v="eth1/14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14"/>
    <x v="0"/>
    <x v="0"/>
    <x v="0"/>
    <s v="OSS F1:ithenmr08e1r9a:4"/>
    <x v="0"/>
    <b v="0"/>
    <s v="No está en VPC"/>
    <n v="755"/>
    <s v="INTPG_PC_755_1.13-14"/>
    <s v="ISEL-1.14"/>
    <n v="8"/>
    <s v="NO TIENE L3OUT"/>
    <n v="52"/>
    <n v="54"/>
  </r>
  <r>
    <n v="748"/>
    <x v="2"/>
    <x v="57"/>
    <s v="eth1/14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14"/>
    <x v="0"/>
    <x v="0"/>
    <x v="0"/>
    <s v="OSS F1:ithenmr08e1r9a:Bay1/X2"/>
    <x v="0"/>
    <b v="0"/>
    <s v="No está en VPC"/>
    <n v="756"/>
    <s v="INTPG_PC_756_1.13-14"/>
    <s v="ISEL-1.14"/>
    <n v="8"/>
    <s v="NO TIENE L3OUT"/>
    <n v="64"/>
    <n v="54"/>
  </r>
  <r>
    <n v="754"/>
    <x v="2"/>
    <x v="59"/>
    <s v="eth1/14"/>
    <x v="0"/>
    <x v="0"/>
    <x v="0"/>
    <s v="OSS F1:ithenmnasr9c:PORT 2"/>
    <x v="0"/>
    <b v="0"/>
    <s v="No está en VPC"/>
    <n v="754"/>
    <s v="INTPG_PC_754_1.13-16"/>
    <s v="ISEL-1.14"/>
    <n v="1"/>
    <s v="NO TIENE L3OUT"/>
    <n v="62"/>
    <n v="54"/>
  </r>
  <r>
    <n v="751"/>
    <x v="2"/>
    <x v="60"/>
    <s v="eth1/14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14"/>
    <x v="0"/>
    <x v="0"/>
    <x v="0"/>
    <s v="Portchannel_7_R1"/>
    <x v="0"/>
    <b v="0"/>
    <s v="No está en VPC"/>
    <n v="769"/>
    <s v="INTPG_PC_769_1.11-14"/>
    <s v="ISEL-1.14"/>
    <n v="1"/>
    <s v="NO TIENE L3OUT"/>
    <n v="60"/>
    <n v="54"/>
  </r>
  <r>
    <n v="742"/>
    <x v="2"/>
    <x v="62"/>
    <s v="eth1/14"/>
    <x v="0"/>
    <x v="1"/>
    <x v="1"/>
    <s v="CEM:ITHCEMB2DAT07:FLEXIO P1"/>
    <x v="5"/>
    <b v="0"/>
    <s v="No está en VPC"/>
    <n v="742"/>
    <s v="INTPG_ACC_742_1.14"/>
    <s v="ISEL-1.14"/>
    <n v="1"/>
    <s v="NO TIENE L3OUT"/>
    <n v="64"/>
    <n v="54"/>
  </r>
  <r>
    <n v="763"/>
    <x v="2"/>
    <x v="63"/>
    <s v="eth1/14"/>
    <x v="0"/>
    <x v="0"/>
    <x v="0"/>
    <s v="PAAS:ithhwoscopap014:FlexIO.1"/>
    <x v="0"/>
    <b v="0"/>
    <s v="No está en VPC"/>
    <n v="763"/>
    <s v="INTPG_VPC_762_1.14_763_1.14"/>
    <s v="ISEL-1.14"/>
    <n v="15"/>
    <s v="NO TIENE L3OUT"/>
    <n v="2"/>
    <n v="54"/>
  </r>
  <r>
    <n v="766"/>
    <x v="2"/>
    <x v="64"/>
    <s v="eth1/14"/>
    <x v="0"/>
    <x v="0"/>
    <x v="0"/>
    <s v="OSS_ENM"/>
    <x v="0"/>
    <b v="0"/>
    <s v="No está en VPC"/>
    <n v="766"/>
    <s v="INTPG_ACC_766_1.14"/>
    <s v="ISEL-1.14"/>
    <n v="1"/>
    <s v="NO TIENE L3OUT"/>
    <n v="58"/>
    <n v="54"/>
  </r>
  <r>
    <n v="760"/>
    <x v="2"/>
    <x v="65"/>
    <s v="eth1/14"/>
    <x v="0"/>
    <x v="1"/>
    <x v="1"/>
    <m/>
    <x v="0"/>
    <b v="0"/>
    <s v="No está en VPC"/>
    <n v="760"/>
    <s v="INTPG_VPC_760_1.13-16_761_1.13-16"/>
    <s v="ISEL-1.14"/>
    <n v="0"/>
    <s v="L3OUT-EXACLOUD"/>
    <n v="0"/>
    <n v="54"/>
  </r>
  <r>
    <n v="752"/>
    <x v="2"/>
    <x v="66"/>
    <s v="eth1/14"/>
    <x v="0"/>
    <x v="0"/>
    <x v="0"/>
    <s v="PAAS:ithhwoscopap014:Slot6.1"/>
    <x v="0"/>
    <b v="0"/>
    <s v="No está en VPC"/>
    <n v="752"/>
    <s v="INTPG_VPC_747_1.14_752_1.14"/>
    <s v="ISEL-1.14"/>
    <n v="25"/>
    <s v="NO TIENE L3OUT"/>
    <n v="0"/>
    <n v="54"/>
  </r>
  <r>
    <n v="765"/>
    <x v="2"/>
    <x v="67"/>
    <s v="eth1/14"/>
    <x v="0"/>
    <x v="0"/>
    <x v="0"/>
    <s v="Portchannel_7_R6B"/>
    <x v="0"/>
    <b v="0"/>
    <s v="No está en VPC"/>
    <n v="765"/>
    <s v="INTPG_PC_765_1.13-16"/>
    <s v="ISEL-1.14"/>
    <n v="1"/>
    <s v="NO TIENE L3OUT"/>
    <n v="60"/>
    <n v="54"/>
  </r>
  <r>
    <n v="778"/>
    <x v="2"/>
    <x v="68"/>
    <s v="eth1/14"/>
    <x v="0"/>
    <x v="0"/>
    <x v="0"/>
    <s v="ENIQ F1:itheniqr08enclr3:BAY2/X1"/>
    <x v="0"/>
    <b v="0"/>
    <s v="No está en VPC"/>
    <n v="778"/>
    <s v="INTPG_PC_778_1.14-15"/>
    <s v="ISEL-1.14"/>
    <n v="3"/>
    <s v="NO TIENE L3OUT"/>
    <n v="26"/>
    <n v="54"/>
  </r>
  <r>
    <n v="780"/>
    <x v="2"/>
    <x v="69"/>
    <s v="eth1/14"/>
    <x v="0"/>
    <x v="0"/>
    <x v="0"/>
    <s v="LACP_VC2_ENIQ9C"/>
    <x v="0"/>
    <b v="0"/>
    <s v="No está en VPC"/>
    <n v="780"/>
    <s v="INTPG_PC_780_1.14-15"/>
    <s v="ISEL-1.14"/>
    <n v="3"/>
    <s v="NO TIENE L3OUT"/>
    <n v="26"/>
    <n v="54"/>
  </r>
  <r>
    <n v="812"/>
    <x v="2"/>
    <x v="70"/>
    <s v="eth1/14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14"/>
    <x v="0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14"/>
    <x v="0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14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14"/>
    <x v="0"/>
    <x v="0"/>
    <x v="0"/>
    <s v="LINK_TO_ITHFHWCMVWPMA10 /Slot7.2 /Redundante"/>
    <x v="0"/>
    <b v="0"/>
    <s v="No está en VPC"/>
    <n v="824"/>
    <s v="INTPG_ACC_824_1.14"/>
    <s v="ISEL-1.14"/>
    <n v="1"/>
    <s v="NO TIENE L3OUT"/>
    <n v="70"/>
    <n v="54"/>
  </r>
  <r>
    <n v="819"/>
    <x v="2"/>
    <x v="75"/>
    <s v="eth1/14"/>
    <x v="0"/>
    <x v="0"/>
    <x v="0"/>
    <s v="LINK_TO_ITHFHWCMVWPMA10 /Slot5.2 /Principal"/>
    <x v="0"/>
    <b v="0"/>
    <s v="No está en VPC"/>
    <n v="819"/>
    <s v="INTPG_ACC_819_1.14"/>
    <s v="ISEL-1.14"/>
    <n v="1"/>
    <s v="NO TIENE L3OUT"/>
    <n v="70"/>
    <n v="54"/>
  </r>
  <r>
    <n v="737"/>
    <x v="2"/>
    <x v="76"/>
    <s v="eth1/14"/>
    <x v="0"/>
    <x v="0"/>
    <x v="0"/>
    <s v="CEM:ITHCEME2DAT07:FLEXIO P1"/>
    <x v="5"/>
    <b v="0"/>
    <s v="No está en VPC"/>
    <n v="737"/>
    <s v="INTPG_ACC_737_1.14"/>
    <s v="ISEL-1.14"/>
    <n v="1"/>
    <s v="NO TIENE L3OUT"/>
    <n v="72"/>
    <n v="54"/>
  </r>
  <r>
    <n v="844"/>
    <x v="2"/>
    <x v="77"/>
    <s v="eth1/14"/>
    <x v="0"/>
    <x v="0"/>
    <x v="0"/>
    <s v="LINK_TO_ITHFHWCRMPLCN105 / Slot1.2_14 / Principal"/>
    <x v="0"/>
    <b v="0"/>
    <s v="No está en VPC"/>
    <n v="844"/>
    <s v="INTPG_ACC_844_1.14"/>
    <s v="ISEL-1.14"/>
    <n v="2"/>
    <s v="NO TIENE L3OUT"/>
    <n v="282"/>
    <n v="54"/>
  </r>
  <r>
    <n v="843"/>
    <x v="2"/>
    <x v="78"/>
    <s v="eth1/14"/>
    <x v="0"/>
    <x v="0"/>
    <x v="0"/>
    <s v="LINK_To_ITHFHWCBSPSUSBD27 / Slot7.3_8 / Redundante"/>
    <x v="0"/>
    <b v="0"/>
    <s v="No está en VPC"/>
    <n v="843"/>
    <s v="INTPG_VPC_838_1.14_843_1.14"/>
    <s v="ISEL-1.14"/>
    <n v="1"/>
    <s v="NO TIENE L3OUT"/>
    <n v="38"/>
    <n v="54"/>
  </r>
  <r>
    <n v="797"/>
    <x v="2"/>
    <x v="79"/>
    <s v="eth1/14"/>
    <x v="0"/>
    <x v="0"/>
    <x v="0"/>
    <s v="TO-HDPS_16-MSP"/>
    <x v="0"/>
    <b v="0"/>
    <s v="No está en VPC"/>
    <n v="797"/>
    <s v="INTPG_ACC_797_1.14"/>
    <s v="ISEL-1.14"/>
    <n v="1"/>
    <s v="NO TIENE L3OUT"/>
    <n v="48"/>
    <n v="54"/>
  </r>
  <r>
    <n v="839"/>
    <x v="2"/>
    <x v="80"/>
    <s v="eth1/14"/>
    <x v="0"/>
    <x v="0"/>
    <x v="0"/>
    <s v="LINK_TO_ITHFHWCBSPSWR62 / Slot7.2_12 / Redundante"/>
    <x v="0"/>
    <b v="0"/>
    <s v="No está en VPC"/>
    <n v="839"/>
    <s v="INTPG_VPC_834_1.14_839_1.14"/>
    <s v="ISEL-1.14"/>
    <n v="1"/>
    <s v="NO TIENE L3OUT"/>
    <n v="0"/>
    <n v="54"/>
  </r>
  <r>
    <n v="847"/>
    <x v="2"/>
    <x v="81"/>
    <s v="eth1/14"/>
    <x v="0"/>
    <x v="0"/>
    <x v="0"/>
    <s v="LINK_TO_ITHFHWCRMPLCN170 / Slot7.1_10 / Redundante"/>
    <x v="0"/>
    <b v="0"/>
    <s v="No está en VPC"/>
    <n v="847"/>
    <s v="INTPG_ACC_847_1.14"/>
    <s v="ISEL-1.14"/>
    <n v="6"/>
    <s v="NO TIENE L3OUT"/>
    <n v="204"/>
    <n v="54"/>
  </r>
  <r>
    <n v="848"/>
    <x v="2"/>
    <x v="82"/>
    <s v="eth1/14"/>
    <x v="0"/>
    <x v="0"/>
    <x v="0"/>
    <s v="LINK_TO_ITHFHWCRMPLCN159 / Slot7.1_20 / Redundante"/>
    <x v="0"/>
    <b v="0"/>
    <s v="No está en VPC"/>
    <n v="848"/>
    <s v="INTPG_ACC_848_1.14"/>
    <s v="ISEL-1.14"/>
    <n v="6"/>
    <s v="NO TIENE L3OUT"/>
    <n v="254"/>
    <n v="54"/>
  </r>
  <r>
    <n v="846"/>
    <x v="2"/>
    <x v="83"/>
    <s v="eth1/14"/>
    <x v="0"/>
    <x v="0"/>
    <x v="0"/>
    <s v="LINK_TO_ITHFHWCRMPLCN76 / Slot1.2_10 / Principal"/>
    <x v="0"/>
    <b v="0"/>
    <s v="No está en VPC"/>
    <n v="846"/>
    <s v="INTPG_ACC_846_1.14"/>
    <s v="ISEL-1.14"/>
    <n v="2"/>
    <s v="NO TIENE L3OUT"/>
    <n v="242"/>
    <n v="54"/>
  </r>
  <r>
    <n v="838"/>
    <x v="2"/>
    <x v="84"/>
    <s v="eth1/14"/>
    <x v="0"/>
    <x v="0"/>
    <x v="0"/>
    <s v="LINK_To_ITHFHWCBSPSUSBD27 / Slot1.3_8 / Principal"/>
    <x v="0"/>
    <b v="0"/>
    <s v="No está en VPC"/>
    <n v="838"/>
    <s v="INTPG_VPC_838_1.14_843_1.14"/>
    <s v="ISEL-1.14"/>
    <n v="1"/>
    <s v="NO TIENE L3OUT"/>
    <n v="38"/>
    <n v="54"/>
  </r>
  <r>
    <n v="849"/>
    <x v="2"/>
    <x v="85"/>
    <s v="eth1/14"/>
    <x v="0"/>
    <x v="0"/>
    <x v="0"/>
    <s v="LINK_TO_ITHFHWCRMPLCN139 / Slot7.1_12 / Redundante"/>
    <x v="0"/>
    <b v="0"/>
    <s v="No está en VPC"/>
    <n v="849"/>
    <s v="INTPG_ACC_849_1.14"/>
    <s v="ISEL-1.14"/>
    <n v="6"/>
    <s v="NO TIENE L3OUT"/>
    <n v="286"/>
    <n v="54"/>
  </r>
  <r>
    <n v="845"/>
    <x v="2"/>
    <x v="86"/>
    <s v="eth1/14"/>
    <x v="0"/>
    <x v="0"/>
    <x v="0"/>
    <s v="LINK_TO_ITHFHWCRMPLCN88 / Slot1.3_8 / Principal"/>
    <x v="0"/>
    <b v="0"/>
    <s v="No está en VPC"/>
    <n v="845"/>
    <s v="INTPG_ACC_845_1.14"/>
    <s v="ISEL-1.14"/>
    <n v="1"/>
    <s v="NO TIENE L3OUT"/>
    <n v="258"/>
    <n v="54"/>
  </r>
  <r>
    <n v="873"/>
    <x v="2"/>
    <x v="87"/>
    <s v="eth1/14"/>
    <x v="0"/>
    <x v="0"/>
    <x v="0"/>
    <s v="TO_ITHFHWCRMDLCN57_Principal"/>
    <x v="0"/>
    <b v="0"/>
    <s v="No está en VPC"/>
    <n v="873"/>
    <s v="INTPG_ACC_873_1.14"/>
    <s v="ISEL-1.14"/>
    <n v="1"/>
    <s v="NO TIENE L3OUT"/>
    <n v="248"/>
    <n v="54"/>
  </r>
  <r>
    <n v="864"/>
    <x v="2"/>
    <x v="88"/>
    <s v="eth1/14"/>
    <x v="0"/>
    <x v="0"/>
    <x v="0"/>
    <s v="To_VPC_2DCBSD_HD35_2"/>
    <x v="0"/>
    <b v="0"/>
    <s v="No está en VPC"/>
    <n v="864"/>
    <s v="INTPG_VPC_859_1.14_864_1.14"/>
    <s v="ISEL-1.14"/>
    <n v="1"/>
    <s v="NO TIENE L3OUT"/>
    <n v="0"/>
    <n v="54"/>
  </r>
  <r>
    <n v="836"/>
    <x v="2"/>
    <x v="89"/>
    <s v="eth1/14"/>
    <x v="0"/>
    <x v="0"/>
    <x v="0"/>
    <s v="LINK_TO_ITHFHWCBSPSWR50 / Slot1.1_28 / Principal"/>
    <x v="0"/>
    <b v="0"/>
    <s v="No está en VPC"/>
    <n v="836"/>
    <s v="INTPG_VPC_836_1.14_841_1.14"/>
    <s v="ISEL-1.14"/>
    <n v="2"/>
    <s v="NO TIENE L3OUT"/>
    <n v="0"/>
    <n v="54"/>
  </r>
  <r>
    <n v="834"/>
    <x v="2"/>
    <x v="90"/>
    <s v="eth1/14"/>
    <x v="0"/>
    <x v="0"/>
    <x v="0"/>
    <s v="LINK_TO_ITHFHWCBSPSWR62 / Slot1.2_12 / Principal"/>
    <x v="0"/>
    <b v="0"/>
    <s v="No está en VPC"/>
    <n v="834"/>
    <s v="INTPG_VPC_834_1.14_839_1.14"/>
    <s v="ISEL-1.14"/>
    <n v="1"/>
    <s v="NO TIENE L3OUT"/>
    <n v="0"/>
    <n v="54"/>
  </r>
  <r>
    <n v="872"/>
    <x v="2"/>
    <x v="91"/>
    <s v="eth1/14"/>
    <x v="0"/>
    <x v="0"/>
    <x v="0"/>
    <s v="To_ITHFHWCRMDLCN73_Principal"/>
    <x v="0"/>
    <b v="0"/>
    <s v="No está en VPC"/>
    <n v="872"/>
    <s v="INTPG_ACC_872_1.14"/>
    <s v="ISEL-1.14"/>
    <n v="1"/>
    <s v="NO TIENE L3OUT"/>
    <n v="288"/>
    <n v="54"/>
  </r>
  <r>
    <n v="842"/>
    <x v="2"/>
    <x v="92"/>
    <s v="eth1/14"/>
    <x v="0"/>
    <x v="0"/>
    <x v="0"/>
    <s v="LINK_TO_ITHFHWCBSPSUSBD30 / Slot7.1_10 / Redundante"/>
    <x v="0"/>
    <b v="0"/>
    <s v="No está en VPC"/>
    <n v="842"/>
    <s v="INTPG_VPC_837_1.14_842_1.14"/>
    <s v="ISEL-1.14"/>
    <n v="2"/>
    <s v="NO TIENE L3OUT"/>
    <n v="8"/>
    <n v="54"/>
  </r>
  <r>
    <n v="828"/>
    <x v="2"/>
    <x v="93"/>
    <s v="eth1/14"/>
    <x v="0"/>
    <x v="0"/>
    <x v="0"/>
    <s v="LINK_TO_ITHFHWCRMDLCN20 /Slot5.2 /Principal"/>
    <x v="0"/>
    <b v="0"/>
    <s v="No está en VPC"/>
    <n v="828"/>
    <s v="INTPG_ACC_828_1.14"/>
    <s v="ISEL-1.14"/>
    <n v="5"/>
    <s v="NO TIENE L3OUT"/>
    <n v="192"/>
    <n v="54"/>
  </r>
  <r>
    <n v="870"/>
    <x v="2"/>
    <x v="94"/>
    <s v="eth1/14"/>
    <x v="0"/>
    <x v="0"/>
    <x v="0"/>
    <s v="TO_ITHFHWCRMDLCN57_Redundante"/>
    <x v="0"/>
    <b v="0"/>
    <s v="No está en VPC"/>
    <n v="870"/>
    <s v="INTPG_ACC_870_1.14"/>
    <s v="ISEL-1.14"/>
    <n v="1"/>
    <s v="NO TIENE L3OUT"/>
    <n v="248"/>
    <n v="54"/>
  </r>
  <r>
    <n v="866"/>
    <x v="2"/>
    <x v="95"/>
    <s v="eth1/14"/>
    <x v="0"/>
    <x v="0"/>
    <x v="0"/>
    <s v="To_VPC_2DCBSD_HD21_1"/>
    <x v="0"/>
    <b v="0"/>
    <s v="No está en VPC"/>
    <n v="866"/>
    <s v="INTPG_VPC_861_1.14_866_1.14"/>
    <s v="ISEL-1.14"/>
    <n v="2"/>
    <s v="NO TIENE L3OUT"/>
    <n v="8"/>
    <n v="54"/>
  </r>
  <r>
    <n v="862"/>
    <x v="2"/>
    <x v="96"/>
    <s v="eth1/14"/>
    <x v="0"/>
    <x v="0"/>
    <x v="0"/>
    <s v="TO-ITHFSUEXG2XCN03_PCI8.P1"/>
    <x v="0"/>
    <b v="0"/>
    <s v="No está en VPC"/>
    <n v="862"/>
    <s v="INTPG_ACC_862_1.14"/>
    <s v="ISEL-1.14"/>
    <n v="2"/>
    <s v="NO TIENE L3OUT"/>
    <n v="44"/>
    <n v="54"/>
  </r>
  <r>
    <n v="855"/>
    <x v="2"/>
    <x v="97"/>
    <s v="eth1/14"/>
    <x v="0"/>
    <x v="0"/>
    <x v="0"/>
    <s v="LINK_TO_ITHFHWCRMPLCN159 / Slot1.1_20 / Principal"/>
    <x v="0"/>
    <b v="0"/>
    <s v="No está en VPC"/>
    <n v="855"/>
    <s v="INTPG_ACC_855_1.14"/>
    <s v="ISEL-1.14"/>
    <n v="6"/>
    <s v="NO TIENE L3OUT"/>
    <n v="254"/>
    <n v="54"/>
  </r>
  <r>
    <n v="871"/>
    <x v="2"/>
    <x v="98"/>
    <s v="eth1/14"/>
    <x v="0"/>
    <x v="0"/>
    <x v="0"/>
    <s v="TO_ITHFHWCRMDLCN85_Principal"/>
    <x v="0"/>
    <b v="0"/>
    <s v="No está en VPC"/>
    <n v="871"/>
    <s v="INTPG_ACC_871_1.14"/>
    <s v="ISEL-1.14"/>
    <n v="2"/>
    <s v="NO TIENE L3OUT"/>
    <n v="246"/>
    <n v="54"/>
  </r>
  <r>
    <n v="841"/>
    <x v="2"/>
    <x v="99"/>
    <s v="eth1/14"/>
    <x v="0"/>
    <x v="0"/>
    <x v="0"/>
    <s v="LINK_TO_ITHFHWCBSPSWR50 / Slot7.1_28 / Redundante"/>
    <x v="0"/>
    <b v="0"/>
    <s v="No está en VPC"/>
    <n v="841"/>
    <s v="INTPG_VPC_836_1.14_841_1.14"/>
    <s v="ISEL-1.14"/>
    <n v="2"/>
    <s v="NO TIENE L3OUT"/>
    <n v="0"/>
    <n v="54"/>
  </r>
  <r>
    <n v="868"/>
    <x v="2"/>
    <x v="100"/>
    <s v="eth1/14"/>
    <x v="0"/>
    <x v="0"/>
    <x v="0"/>
    <s v="TO_ITHFHWCRMDLCN85_Redundante"/>
    <x v="0"/>
    <b v="0"/>
    <s v="No está en VPC"/>
    <n v="868"/>
    <s v="INTPG_ACC_868_1.14"/>
    <s v="ISEL-1.14"/>
    <n v="2"/>
    <s v="NO TIENE L3OUT"/>
    <n v="246"/>
    <n v="54"/>
  </r>
  <r>
    <n v="869"/>
    <x v="2"/>
    <x v="101"/>
    <s v="eth1/14"/>
    <x v="0"/>
    <x v="0"/>
    <x v="0"/>
    <s v="To_ITHFHWCRMDLCN73_Redundante"/>
    <x v="0"/>
    <b v="0"/>
    <s v="No está en VPC"/>
    <n v="869"/>
    <s v="INTPG_ACC_869_1.14"/>
    <s v="ISEL-1.14"/>
    <n v="1"/>
    <s v="NO TIENE L3OUT"/>
    <n v="288"/>
    <n v="54"/>
  </r>
  <r>
    <n v="861"/>
    <x v="2"/>
    <x v="102"/>
    <s v="eth1/14"/>
    <x v="0"/>
    <x v="0"/>
    <x v="0"/>
    <s v="To_VPC_2DCBSD_HD21_1"/>
    <x v="0"/>
    <b v="0"/>
    <s v="No está en VPC"/>
    <n v="861"/>
    <s v="INTPG_VPC_861_1.14_866_1.14"/>
    <s v="ISEL-1.14"/>
    <n v="2"/>
    <s v="NO TIENE L3OUT"/>
    <n v="8"/>
    <n v="54"/>
  </r>
  <r>
    <n v="874"/>
    <x v="2"/>
    <x v="103"/>
    <s v="eth1/14"/>
    <x v="0"/>
    <x v="0"/>
    <x v="0"/>
    <s v="LINK_TO_ITHFHWSEQLIMPS25 / Slot 5 PTO 1 / Redundante"/>
    <x v="4"/>
    <b v="0"/>
    <s v="No está en VPC"/>
    <n v="874"/>
    <s v="INTPG_ACC_874_1.14"/>
    <s v="ISEL-1.14"/>
    <n v="1"/>
    <s v="NO TIENE L3OUT"/>
    <n v="92"/>
    <n v="54"/>
  </r>
  <r>
    <n v="865"/>
    <x v="2"/>
    <x v="104"/>
    <s v="eth1/14"/>
    <x v="0"/>
    <x v="0"/>
    <x v="0"/>
    <s v="To_VPC_2DCBSD_HD27_2"/>
    <x v="0"/>
    <b v="0"/>
    <s v="No está en VPC"/>
    <n v="865"/>
    <s v="INTPG_VPC_860_1.14_865_1.14"/>
    <s v="ISEL-1.14"/>
    <n v="1"/>
    <s v="NO TIENE L3OUT"/>
    <n v="0"/>
    <n v="54"/>
  </r>
  <r>
    <n v="753"/>
    <x v="2"/>
    <x v="105"/>
    <s v="eth1/14"/>
    <x v="0"/>
    <x v="0"/>
    <x v="0"/>
    <s v="OSS F1:ithenmr03e2r9c:Bay1/X2"/>
    <x v="0"/>
    <b v="0"/>
    <s v="No está en VPC"/>
    <n v="753"/>
    <s v="INTPG_PC_753_1.13-14"/>
    <s v="ISEL-1.14"/>
    <n v="8"/>
    <s v="NO TIENE L3OUT"/>
    <n v="62"/>
    <n v="54"/>
  </r>
  <r>
    <n v="708"/>
    <x v="2"/>
    <x v="106"/>
    <s v="eth1/14"/>
    <x v="0"/>
    <x v="1"/>
    <x v="5"/>
    <s v="CEM:ITHCEME2DAT07:LOM  P2"/>
    <x v="0"/>
    <b v="0"/>
    <s v="No está en VPC"/>
    <n v="708"/>
    <s v="INTPG_VPC_708_1.14_709_1.13"/>
    <s v="ISEL-1.14"/>
    <n v="1"/>
    <s v="NO TIENE L3OUT"/>
    <n v="0"/>
    <n v="54"/>
  </r>
  <r>
    <n v="710"/>
    <x v="2"/>
    <x v="107"/>
    <s v="eth1/14"/>
    <x v="0"/>
    <x v="0"/>
    <x v="0"/>
    <s v="CEM:ITHCEMC2DAT07:LOM  P2"/>
    <x v="0"/>
    <b v="0"/>
    <s v="No está en VPC"/>
    <n v="710"/>
    <s v="INTPG_ACC_710_1.14"/>
    <s v="ISEL-1.14"/>
    <n v="1"/>
    <s v="NO TIENE L3OUT"/>
    <n v="16"/>
    <n v="54"/>
  </r>
  <r>
    <n v="713"/>
    <x v="2"/>
    <x v="108"/>
    <s v="eth1/14"/>
    <x v="0"/>
    <x v="0"/>
    <x v="0"/>
    <s v="CEM:ITHCEMB2DAT07:LOM  P2"/>
    <x v="0"/>
    <b v="0"/>
    <s v="No está en VPC"/>
    <n v="713"/>
    <s v="INTPG_ACC_713_1.14"/>
    <s v="ISEL-1.14"/>
    <n v="1"/>
    <s v="NO TIENE L3OUT"/>
    <n v="32"/>
    <n v="54"/>
  </r>
  <r>
    <n v="735"/>
    <x v="2"/>
    <x v="109"/>
    <s v="eth1/14"/>
    <x v="0"/>
    <x v="1"/>
    <x v="1"/>
    <s v="CEM"/>
    <x v="5"/>
    <b v="0"/>
    <s v="No está en VPC"/>
    <n v="735"/>
    <s v="INTPG_ACC_735_1.14"/>
    <s v="ISEL-1.14"/>
    <n v="0"/>
    <s v="NO TIENE L3OUT"/>
    <n v="34"/>
    <n v="54"/>
  </r>
  <r>
    <n v="731"/>
    <x v="2"/>
    <x v="110"/>
    <s v="eth1/14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14"/>
    <x v="0"/>
    <x v="1"/>
    <x v="5"/>
    <m/>
    <x v="0"/>
    <b v="0"/>
    <s v="No está en VPC"/>
    <n v="703"/>
    <s v="INTPG_VPC_704_1.13_703_1.14"/>
    <s v="ISEL-1.14"/>
    <n v="1"/>
    <s v="NO TIENE L3OUT"/>
    <n v="2"/>
    <n v="54"/>
  </r>
  <r>
    <n v="706"/>
    <x v="2"/>
    <x v="112"/>
    <s v="eth1/14"/>
    <x v="0"/>
    <x v="0"/>
    <x v="0"/>
    <m/>
    <x v="0"/>
    <b v="0"/>
    <s v="No está en VPC"/>
    <n v="706"/>
    <s v="INTPG_VPC_705_1.13_706_1.14"/>
    <s v="ISEL-1.14"/>
    <n v="2"/>
    <s v="NO TIENE L3OUT"/>
    <n v="16"/>
    <n v="54"/>
  </r>
  <r>
    <n v="762"/>
    <x v="2"/>
    <x v="113"/>
    <s v="eth1/14"/>
    <x v="0"/>
    <x v="0"/>
    <x v="0"/>
    <s v="PAAS:ithhwoscopap014:LOM PORT 3"/>
    <x v="0"/>
    <b v="0"/>
    <s v="No está en VPC"/>
    <n v="762"/>
    <s v="INTPG_VPC_762_1.14_763_1.14"/>
    <s v="ISEL-1.14"/>
    <n v="15"/>
    <s v="NO TIENE L3OUT"/>
    <n v="0"/>
    <n v="54"/>
  </r>
  <r>
    <n v="814"/>
    <x v="2"/>
    <x v="114"/>
    <s v="eth1/14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14"/>
    <x v="0"/>
    <x v="0"/>
    <x v="0"/>
    <s v="HACIA_CSI-A-OSCP-F4-14_SECUNDARIO"/>
    <x v="4"/>
    <b v="0"/>
    <s v="No está en VPC"/>
    <n v="878"/>
    <s v="INTPG_VPC_878_1.14_879_1.14"/>
    <s v="ISEL-1.14"/>
    <n v="2"/>
    <s v="NO TIENE L3OUT"/>
    <n v="0"/>
    <n v="54"/>
  </r>
  <r>
    <n v="826"/>
    <x v="2"/>
    <x v="116"/>
    <s v="eth1/14"/>
    <x v="0"/>
    <x v="0"/>
    <x v="0"/>
    <s v="LINK_TO_ITHFHWCBSDSHD14 /10GE.1 /Principal"/>
    <x v="0"/>
    <b v="0"/>
    <s v="No está en VPC"/>
    <n v="826"/>
    <s v="INTPG_VPC_826_1.14_830_1.14"/>
    <s v="ISEL-1.14"/>
    <n v="1"/>
    <s v="NO TIENE L3OUT"/>
    <n v="12"/>
    <n v="54"/>
  </r>
  <r>
    <n v="726"/>
    <x v="2"/>
    <x v="117"/>
    <s v="eth1/14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14"/>
    <x v="0"/>
    <x v="0"/>
    <x v="0"/>
    <s v="CEM:ITHCEMD2DAT07:FLEXIO P1"/>
    <x v="5"/>
    <b v="0"/>
    <s v="No está en VPC"/>
    <n v="740"/>
    <s v="INTPG_ACC_740_1.14"/>
    <s v="ISEL-1.14"/>
    <n v="1"/>
    <s v="NO TIENE L3OUT"/>
    <n v="72"/>
    <n v="54"/>
  </r>
  <r>
    <n v="705"/>
    <x v="2"/>
    <x v="119"/>
    <s v="eth1/14"/>
    <x v="0"/>
    <x v="0"/>
    <x v="0"/>
    <s v="ITHCEMA1DAT07-LOM-P2"/>
    <x v="0"/>
    <b v="0"/>
    <s v="No está en VPC"/>
    <n v="705"/>
    <s v="INTPG_ACC_705_1.14"/>
    <s v="ISEL-1.14"/>
    <n v="1"/>
    <s v="NO TIENE L3OUT"/>
    <n v="16"/>
    <n v="54"/>
  </r>
  <r>
    <n v="723"/>
    <x v="2"/>
    <x v="120"/>
    <s v="eth1/14"/>
    <x v="0"/>
    <x v="0"/>
    <x v="0"/>
    <m/>
    <x v="0"/>
    <b v="0"/>
    <s v="No está en VPC"/>
    <n v="723"/>
    <s v="INTPG-VPC_HDD127_722_1.13_723_1.14"/>
    <s v="ISEL-1.14"/>
    <n v="1"/>
    <s v="NO TIENE L3OUT"/>
    <n v="0"/>
    <n v="54"/>
  </r>
  <r>
    <n v="721"/>
    <x v="2"/>
    <x v="121"/>
    <s v="eth1/14"/>
    <x v="0"/>
    <x v="0"/>
    <x v="0"/>
    <s v="ITHORNG1DAT09_SLOT 4 P1"/>
    <x v="0"/>
    <b v="0"/>
    <s v="No está en VPC"/>
    <n v="721"/>
    <s v="INTPG_ACC_721_1.14"/>
    <s v="ISEL-1.14"/>
    <n v="2"/>
    <s v="NO TIENE L3OUT"/>
    <n v="20"/>
    <n v="54"/>
  </r>
  <r>
    <n v="788"/>
    <x v="2"/>
    <x v="122"/>
    <s v="eth1/14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14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14"/>
    <x v="0"/>
    <x v="1"/>
    <x v="1"/>
    <m/>
    <x v="0"/>
    <b v="0"/>
    <s v="No está en VPC"/>
    <n v="720"/>
    <s v="INTPG-VPC_MGN02_719_1.13_720_1.14"/>
    <s v="ISEL-1.14"/>
    <n v="1"/>
    <s v="NO TIENE L3OUT"/>
    <n v="0"/>
    <n v="54"/>
  </r>
  <r>
    <n v="709"/>
    <x v="2"/>
    <x v="125"/>
    <s v="eth1/14"/>
    <x v="0"/>
    <x v="1"/>
    <x v="5"/>
    <s v="CEM:ITHCEMF2DAT07:LOM  P2"/>
    <x v="0"/>
    <b v="0"/>
    <s v="No está en VPC"/>
    <n v="709"/>
    <s v="INTPG_VPC_708_1.13_709_1.14"/>
    <s v="ISEL-1.14"/>
    <n v="1"/>
    <s v="NO TIENE L3OUT"/>
    <n v="0"/>
    <n v="54"/>
  </r>
  <r>
    <n v="454"/>
    <x v="1"/>
    <x v="126"/>
    <s v="eth1/14"/>
    <x v="0"/>
    <x v="0"/>
    <x v="0"/>
    <s v="HACIA_CSI-A-OSCP-F4-02_PRINCIPAL"/>
    <x v="4"/>
    <b v="0"/>
    <s v="No está en VPC"/>
    <n v="454"/>
    <s v="INTPG_VPC_454_1.14_456_1.14"/>
    <s v="ISEL-1.14"/>
    <n v="2"/>
    <s v="NO TIENE L3OUT"/>
    <n v="4"/>
    <n v="54"/>
  </r>
  <r>
    <n v="734"/>
    <x v="2"/>
    <x v="127"/>
    <s v="eth1/14"/>
    <x v="0"/>
    <x v="1"/>
    <x v="1"/>
    <s v="CEM:ITHCEMA1DAT07:FLEXIO P1"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14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14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14"/>
    <x v="0"/>
    <x v="0"/>
    <x v="0"/>
    <m/>
    <x v="0"/>
    <b v="0"/>
    <s v="No está en VPC"/>
    <n v="718"/>
    <s v="INTPG-VPC_HDD21_717_1.13_718_1.14"/>
    <s v="ISEL-1.14"/>
    <n v="1"/>
    <s v="NO TIENE L3OUT"/>
    <n v="0"/>
    <n v="54"/>
  </r>
  <r>
    <n v="744"/>
    <x v="2"/>
    <x v="131"/>
    <s v="eth1/14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14"/>
    <x v="0"/>
    <x v="1"/>
    <x v="1"/>
    <s v="CEM:ITHCEMA2DAT07:FLEXIO P1"/>
    <x v="5"/>
    <b v="0"/>
    <s v="No está en VPC"/>
    <n v="741"/>
    <s v="INTPG_ACC_741_1.14"/>
    <s v="ISEL-1.14"/>
    <n v="1"/>
    <s v="NO TIENE L3OUT"/>
    <n v="62"/>
    <n v="54"/>
  </r>
  <r>
    <n v="787"/>
    <x v="2"/>
    <x v="133"/>
    <s v="eth1/14"/>
    <x v="0"/>
    <x v="0"/>
    <x v="0"/>
    <s v="ENIQ F2:itheniqr14e1r4b:BAY2/X1"/>
    <x v="0"/>
    <b v="0"/>
    <s v="No está en VPC"/>
    <n v="787"/>
    <s v="INTPG_PC_787_1.14-15"/>
    <s v="ISEL-1.14"/>
    <n v="3"/>
    <s v="NO TIENE L3OUT"/>
    <n v="26"/>
    <n v="54"/>
  </r>
  <r>
    <n v="750"/>
    <x v="2"/>
    <x v="134"/>
    <s v="eth1/14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14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14"/>
    <x v="0"/>
    <x v="1"/>
    <x v="3"/>
    <s v="CEM:ITHCEMG2DAT07:SLOT1 P1"/>
    <x v="0"/>
    <b v="0"/>
    <s v="No está en VPC"/>
    <n v="736"/>
    <s v="INTPG_ACC_736_1.14"/>
    <s v="ISEL-1.14"/>
    <n v="1"/>
    <s v="NO TIENE L3OUT"/>
    <n v="48"/>
    <n v="54"/>
  </r>
  <r>
    <n v="799"/>
    <x v="2"/>
    <x v="137"/>
    <s v="eth1/14"/>
    <x v="0"/>
    <x v="0"/>
    <x v="0"/>
    <s v="TO-IMC_PS02-MSP"/>
    <x v="0"/>
    <b v="0"/>
    <s v="No está en VPC"/>
    <n v="799"/>
    <s v="INTPG_ACC_799_1.14"/>
    <s v="ISEL-1.14"/>
    <n v="1"/>
    <s v="NO TIENE L3OUT"/>
    <n v="52"/>
    <n v="54"/>
  </r>
  <r>
    <n v="768"/>
    <x v="2"/>
    <x v="138"/>
    <s v="eth1/14"/>
    <x v="0"/>
    <x v="0"/>
    <x v="0"/>
    <s v="Portchannel_5_R3"/>
    <x v="0"/>
    <b v="0"/>
    <s v="No está en VPC"/>
    <n v="768"/>
    <s v="INTPG_PC_768_1.13-14"/>
    <s v="ISEL-1.14"/>
    <n v="8"/>
    <s v="NO TIENE L3OUT"/>
    <n v="62"/>
    <n v="54"/>
  </r>
  <r>
    <n v="714"/>
    <x v="2"/>
    <x v="139"/>
    <s v="eth1/14"/>
    <x v="0"/>
    <x v="0"/>
    <x v="0"/>
    <s v="TO-ITHFHWVRALCN04"/>
    <x v="0"/>
    <b v="0"/>
    <s v="No está en VPC"/>
    <n v="714"/>
    <s v="INTPG_VPC_714_1.14_721_1.13"/>
    <s v="ISEL-1.14"/>
    <n v="108"/>
    <s v="NO TIENE L3OUT"/>
    <n v="20"/>
    <n v="54"/>
  </r>
  <r>
    <n v="717"/>
    <x v="2"/>
    <x v="140"/>
    <s v="eth1/14"/>
    <x v="0"/>
    <x v="0"/>
    <x v="0"/>
    <m/>
    <x v="0"/>
    <b v="0"/>
    <s v="No está en VPC"/>
    <n v="717"/>
    <s v="INTPG-VPC_HDD11_718_1.13_717_1.14"/>
    <s v="ISEL-1.14"/>
    <n v="1"/>
    <s v="NO TIENE L3OUT"/>
    <n v="0"/>
    <n v="54"/>
  </r>
  <r>
    <n v="789"/>
    <x v="2"/>
    <x v="141"/>
    <s v="eth1/14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14"/>
    <x v="0"/>
    <x v="0"/>
    <x v="0"/>
    <s v="Portchannel_5_R1"/>
    <x v="0"/>
    <b v="0"/>
    <s v="No está en VPC"/>
    <n v="764"/>
    <s v="INTPG_PC_764_1.13-14"/>
    <s v="ISEL-1.14"/>
    <n v="8"/>
    <s v="NO TIENE L3OUT"/>
    <n v="62"/>
    <n v="54"/>
  </r>
  <r>
    <n v="783"/>
    <x v="2"/>
    <x v="143"/>
    <s v="eth1/14"/>
    <x v="0"/>
    <x v="0"/>
    <x v="0"/>
    <s v="LACP_VC2_ENIQ9B"/>
    <x v="0"/>
    <b v="0"/>
    <s v="No está en VPC"/>
    <n v="783"/>
    <s v="INTPG_PC_783_1.14-15"/>
    <s v="ISEL-1.14"/>
    <n v="3"/>
    <s v="NO TIENE L3OUT"/>
    <n v="26"/>
    <n v="54"/>
  </r>
  <r>
    <n v="774"/>
    <x v="2"/>
    <x v="144"/>
    <s v="eth1/14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14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14"/>
    <x v="0"/>
    <x v="0"/>
    <x v="0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14"/>
    <x v="0"/>
    <x v="0"/>
    <x v="0"/>
    <s v="TO-HDPS_40-MSP"/>
    <x v="0"/>
    <b v="0"/>
    <s v="No está en VPC"/>
    <n v="803"/>
    <s v="INTPG_ACC_803_1.14"/>
    <s v="ISEL-1.14"/>
    <n v="1"/>
    <s v="NO TIENE L3OUT"/>
    <n v="48"/>
    <n v="54"/>
  </r>
  <r>
    <n v="786"/>
    <x v="2"/>
    <x v="148"/>
    <s v="eth1/14"/>
    <x v="0"/>
    <x v="0"/>
    <x v="0"/>
    <s v="ENIQ F2:itheniqr16e1r4a:BAY2/X1"/>
    <x v="0"/>
    <b v="0"/>
    <s v="No está en VPC"/>
    <n v="786"/>
    <s v="INTPG_PC_786_1.14-15"/>
    <s v="ISEL-1.14"/>
    <n v="3"/>
    <s v="NO TIENE L3OUT"/>
    <n v="26"/>
    <n v="54"/>
  </r>
  <r>
    <n v="757"/>
    <x v="2"/>
    <x v="149"/>
    <s v="eth1/14"/>
    <x v="0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14"/>
    <x v="0"/>
    <x v="0"/>
    <x v="0"/>
    <s v="LACP_VC2_ENIQ1"/>
    <x v="0"/>
    <b v="0"/>
    <s v="No está en VPC"/>
    <n v="781"/>
    <s v="INTPG_PC_781_1.14-15"/>
    <s v="ISEL-1.14"/>
    <n v="3"/>
    <s v="NO TIENE L3OUT"/>
    <n v="26"/>
    <n v="54"/>
  </r>
  <r>
    <n v="793"/>
    <x v="2"/>
    <x v="151"/>
    <s v="eth1/14"/>
    <x v="0"/>
    <x v="0"/>
    <x v="0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14"/>
    <x v="0"/>
    <x v="0"/>
    <x v="0"/>
    <s v="PAAS:ithhwoscopap014:Slot4.1"/>
    <x v="0"/>
    <b v="0"/>
    <s v="No está en VPC"/>
    <n v="747"/>
    <s v="INTPG_VPC_747_1.14_752_1.14"/>
    <s v="ISEL-1.14"/>
    <n v="25"/>
    <s v="NO TIENE L3OUT"/>
    <n v="0"/>
    <n v="54"/>
  </r>
  <r>
    <n v="784"/>
    <x v="2"/>
    <x v="153"/>
    <s v="eth1/14"/>
    <x v="0"/>
    <x v="0"/>
    <x v="0"/>
    <s v="ENIQ F2:itheniqr13e1r6a:BAY2/X1"/>
    <x v="0"/>
    <b v="0"/>
    <s v="No está en VPC"/>
    <n v="784"/>
    <s v="INTPG_PC_784_1.14-15"/>
    <s v="ISEL-1.14"/>
    <n v="3"/>
    <s v="NO TIENE L3OUT"/>
    <n v="26"/>
    <n v="54"/>
  </r>
  <r>
    <n v="806"/>
    <x v="2"/>
    <x v="154"/>
    <s v="eth1/14"/>
    <x v="0"/>
    <x v="0"/>
    <x v="0"/>
    <s v="TO-HDPS_64-MSP"/>
    <x v="0"/>
    <b v="0"/>
    <s v="No está en VPC"/>
    <n v="806"/>
    <s v="INTPG_ACC_806_1.14"/>
    <s v="ISEL-1.14"/>
    <n v="1"/>
    <s v="NO TIENE L3OUT"/>
    <n v="44"/>
    <n v="54"/>
  </r>
  <r>
    <n v="777"/>
    <x v="2"/>
    <x v="155"/>
    <s v="eth1/14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14"/>
    <x v="0"/>
    <x v="0"/>
    <x v="0"/>
    <s v="OSS_ENM"/>
    <x v="0"/>
    <b v="0"/>
    <s v="No está en VPC"/>
    <n v="770"/>
    <s v="INTPG_ACC_770_1.14"/>
    <s v="ISEL-1.14"/>
    <n v="1"/>
    <s v="NO TIENE L3OUT"/>
    <n v="60"/>
    <n v="54"/>
  </r>
  <r>
    <n v="813"/>
    <x v="2"/>
    <x v="157"/>
    <s v="eth1/14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14"/>
    <x v="0"/>
    <x v="1"/>
    <x v="1"/>
    <s v="CEM:ITHCEMC2DAT07:FLEXIO P1"/>
    <x v="5"/>
    <b v="0"/>
    <s v="No está en VPC"/>
    <n v="739"/>
    <s v="INTPG_ACC_739_1.14"/>
    <s v="ISEL-1.14"/>
    <n v="1"/>
    <s v="NO TIENE L3OUT"/>
    <n v="72"/>
    <n v="54"/>
  </r>
  <r>
    <n v="775"/>
    <x v="2"/>
    <x v="159"/>
    <s v="eth1/14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14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14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14"/>
    <x v="0"/>
    <x v="0"/>
    <x v="0"/>
    <s v="LINK_TO_ITHFHWCBSDSHD14 /Slot5.1 /Redundante"/>
    <x v="0"/>
    <b v="0"/>
    <s v="No está en VPC"/>
    <n v="830"/>
    <s v="INTPG_VPC_826_1.14_830_1.14"/>
    <s v="ISEL-1.14"/>
    <n v="1"/>
    <s v="NO TIENE L3OUT"/>
    <n v="12"/>
    <n v="54"/>
  </r>
  <r>
    <n v="821"/>
    <x v="2"/>
    <x v="163"/>
    <s v="eth1/14"/>
    <x v="0"/>
    <x v="0"/>
    <x v="0"/>
    <s v="LINK_TO_ITHFHWCBSPSHD14 /Slot5.1 /Redundante"/>
    <x v="0"/>
    <b v="0"/>
    <s v="No está en VPC"/>
    <n v="821"/>
    <s v="INTPG_VPC_816_1.14_821_1.14"/>
    <s v="ISEL-1.14"/>
    <n v="1"/>
    <s v="NO TIENE L3OUT"/>
    <n v="0"/>
    <n v="54"/>
  </r>
  <r>
    <n v="738"/>
    <x v="2"/>
    <x v="164"/>
    <s v="eth1/14"/>
    <x v="0"/>
    <x v="0"/>
    <x v="0"/>
    <s v="CEM:ITHCEMF2DAT07:FLEXIO P1"/>
    <x v="5"/>
    <b v="0"/>
    <s v="No está en VPC"/>
    <n v="738"/>
    <s v="INTPG_ACC_738_1.14"/>
    <s v="ISEL-1.14"/>
    <n v="1"/>
    <s v="NO TIENE L3OUT"/>
    <n v="72"/>
    <n v="54"/>
  </r>
  <r>
    <n v="820"/>
    <x v="2"/>
    <x v="165"/>
    <s v="eth1/14"/>
    <x v="0"/>
    <x v="0"/>
    <x v="0"/>
    <s v="LINK_TO_ITHHWCRMPEN03 /X2-10GE 2 /Redundante"/>
    <x v="0"/>
    <b v="0"/>
    <s v="No está en VPC"/>
    <n v="820"/>
    <s v="INTPG_VPC_820_1.14_17_825_1.14_17"/>
    <s v="ISEL-1.14"/>
    <n v="4"/>
    <s v="NO TIENE L3OUT"/>
    <n v="72"/>
    <n v="54"/>
  </r>
  <r>
    <n v="804"/>
    <x v="2"/>
    <x v="166"/>
    <s v="eth1/14"/>
    <x v="0"/>
    <x v="0"/>
    <x v="0"/>
    <s v="TO-HDPS_40-MSP"/>
    <x v="0"/>
    <b v="0"/>
    <s v="No está en VPC"/>
    <n v="804"/>
    <s v="INTPG_ACC_804_1.14"/>
    <s v="ISEL-1.14"/>
    <n v="1"/>
    <s v="NO TIENE L3OUT"/>
    <n v="48"/>
    <n v="54"/>
  </r>
  <r>
    <n v="779"/>
    <x v="2"/>
    <x v="167"/>
    <s v="eth1/14"/>
    <x v="0"/>
    <x v="0"/>
    <x v="0"/>
    <s v="ENIQ F1:itheniqr07enclr2:BAY2/X1"/>
    <x v="0"/>
    <b v="0"/>
    <s v="No está en VPC"/>
    <n v="779"/>
    <s v="INTPG_PC_779_1.14-15"/>
    <s v="ISEL-1.14"/>
    <n v="3"/>
    <s v="NO TIENE L3OUT"/>
    <n v="30"/>
    <n v="54"/>
  </r>
  <r>
    <n v="767"/>
    <x v="2"/>
    <x v="168"/>
    <s v="eth1/14"/>
    <x v="0"/>
    <x v="0"/>
    <x v="0"/>
    <s v="Portchannel_7_R3"/>
    <x v="0"/>
    <b v="0"/>
    <s v="No está en VPC"/>
    <n v="767"/>
    <s v="INTPG_PC_767_1.11-14"/>
    <s v="ISEL-1.14"/>
    <n v="1"/>
    <s v="NO TIENE L3OUT"/>
    <n v="60"/>
    <n v="54"/>
  </r>
  <r>
    <n v="827"/>
    <x v="2"/>
    <x v="169"/>
    <s v="eth1/14"/>
    <x v="0"/>
    <x v="0"/>
    <x v="0"/>
    <s v="LINK_TO_ITHFHWCBSDSUSBD10 /Slot5.2 /Principal"/>
    <x v="0"/>
    <b v="0"/>
    <s v="No está en VPC"/>
    <n v="827"/>
    <s v="INTPG_VPC_827_1.14_831_1.14"/>
    <s v="ISEL-1.14"/>
    <n v="2"/>
    <s v="NO TIENE L3OUT"/>
    <n v="14"/>
    <n v="54"/>
  </r>
  <r>
    <n v="809"/>
    <x v="2"/>
    <x v="170"/>
    <s v="eth1/14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14"/>
    <x v="0"/>
    <x v="0"/>
    <x v="0"/>
    <s v="Portchannel_7_R4A"/>
    <x v="0"/>
    <b v="0"/>
    <s v="No está en VPC"/>
    <n v="771"/>
    <s v="INTPG_PC_771_1.13-16"/>
    <s v="ISEL-1.14"/>
    <n v="1"/>
    <s v="NO TIENE L3OUT"/>
    <n v="62"/>
    <n v="54"/>
  </r>
  <r>
    <n v="761"/>
    <x v="2"/>
    <x v="172"/>
    <s v="eth1/14"/>
    <x v="0"/>
    <x v="1"/>
    <x v="1"/>
    <m/>
    <x v="0"/>
    <b v="0"/>
    <s v="No está en VPC"/>
    <n v="761"/>
    <s v="INTPG_VPC_760_1.13-16_761_1.13-16"/>
    <s v="ISEL-1.14"/>
    <n v="0"/>
    <s v="L3OUT-EXACLOUD"/>
    <n v="0"/>
    <n v="54"/>
  </r>
  <r>
    <n v="776"/>
    <x v="2"/>
    <x v="173"/>
    <s v="eth1/14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14"/>
    <x v="0"/>
    <x v="0"/>
    <x v="0"/>
    <s v="TO-HDPS_64-MSP"/>
    <x v="0"/>
    <b v="0"/>
    <s v="No está en VPC"/>
    <n v="805"/>
    <s v="INTPG_ACC_805_1.14"/>
    <s v="ISEL-1.14"/>
    <n v="1"/>
    <s v="NO TIENE L3OUT"/>
    <n v="44"/>
    <n v="54"/>
  </r>
  <r>
    <n v="772"/>
    <x v="2"/>
    <x v="175"/>
    <s v="eth1/14"/>
    <x v="0"/>
    <x v="0"/>
    <x v="0"/>
    <s v="Portchannel_5_R2"/>
    <x v="0"/>
    <b v="0"/>
    <s v="No está en VPC"/>
    <n v="772"/>
    <s v="INTPG_PC_772_1.13-14"/>
    <s v="ISEL-1.14"/>
    <n v="8"/>
    <s v="NO TIENE L3OUT"/>
    <n v="82"/>
    <n v="54"/>
  </r>
  <r>
    <n v="785"/>
    <x v="2"/>
    <x v="176"/>
    <s v="eth1/14"/>
    <x v="0"/>
    <x v="0"/>
    <x v="0"/>
    <s v="ENIQ F2:itheniqr12e1r6b:BAY2/X1"/>
    <x v="0"/>
    <b v="0"/>
    <s v="No está en VPC"/>
    <n v="785"/>
    <s v="INTPG_PC_785_1.14-15"/>
    <s v="ISEL-1.14"/>
    <n v="3"/>
    <s v="NO TIENE L3OUT"/>
    <n v="32"/>
    <n v="54"/>
  </r>
  <r>
    <n v="851"/>
    <x v="2"/>
    <x v="177"/>
    <s v="eth1/14"/>
    <x v="0"/>
    <x v="0"/>
    <x v="0"/>
    <s v="LINK_TO_ITHFHWCRMPLCN105 / Slot7.2_14 / Redundante"/>
    <x v="0"/>
    <b v="0"/>
    <s v="No está en VPC"/>
    <n v="851"/>
    <s v="INTPG_ACC_851_1.14"/>
    <s v="ISEL-1.14"/>
    <n v="2"/>
    <s v="NO TIENE L3OUT"/>
    <n v="282"/>
    <n v="54"/>
  </r>
  <r>
    <n v="798"/>
    <x v="2"/>
    <x v="178"/>
    <s v="eth1/14"/>
    <x v="0"/>
    <x v="0"/>
    <x v="0"/>
    <s v="TO-IMC_PS02-MSP"/>
    <x v="0"/>
    <b v="0"/>
    <s v="No está en VPC"/>
    <n v="798"/>
    <s v="INTPG_ACC_798_1.14"/>
    <s v="ISEL-1.14"/>
    <n v="1"/>
    <s v="NO TIENE L3OUT"/>
    <n v="52"/>
    <n v="54"/>
  </r>
  <r>
    <n v="782"/>
    <x v="2"/>
    <x v="179"/>
    <s v="eth1/14"/>
    <x v="0"/>
    <x v="0"/>
    <x v="0"/>
    <s v="LACP_VC2_ENIQ9A"/>
    <x v="0"/>
    <b v="0"/>
    <s v="No está en VPC"/>
    <n v="782"/>
    <s v="INTPG_PC_782_1.14-15"/>
    <s v="ISEL-1.14"/>
    <n v="3"/>
    <s v="NO TIENE L3OUT"/>
    <n v="32"/>
    <n v="54"/>
  </r>
  <r>
    <n v="852"/>
    <x v="2"/>
    <x v="180"/>
    <s v="eth1/14"/>
    <x v="0"/>
    <x v="0"/>
    <x v="0"/>
    <s v="LINK_TO_ITHFHWCRMPLCN88 / Slot7.3_8 / Redundante"/>
    <x v="0"/>
    <b v="0"/>
    <s v="No está en VPC"/>
    <n v="852"/>
    <s v="INTPG_ACC_852_1.14"/>
    <s v="ISEL-1.14"/>
    <n v="1"/>
    <s v="NO TIENE L3OUT"/>
    <n v="258"/>
    <n v="54"/>
  </r>
  <r>
    <n v="817"/>
    <x v="2"/>
    <x v="181"/>
    <s v="eth1/14"/>
    <x v="0"/>
    <x v="0"/>
    <x v="0"/>
    <s v="LINK_TO_ITHFHWCBSPSUSBD10 /10GE.1 /Principal"/>
    <x v="0"/>
    <b v="0"/>
    <s v="No está en VPC"/>
    <n v="817"/>
    <s v="INTPG_VPC_817_1.14_822_1.14"/>
    <s v="ISEL-1.14"/>
    <n v="1"/>
    <s v="NO TIENE L3OUT"/>
    <n v="0"/>
    <n v="54"/>
  </r>
  <r>
    <n v="832"/>
    <x v="2"/>
    <x v="182"/>
    <s v="eth1/14"/>
    <x v="0"/>
    <x v="0"/>
    <x v="0"/>
    <s v="LINK_TO_ITHFHWCRMDLCN20 /Slot7.2 /Redundante"/>
    <x v="0"/>
    <b v="0"/>
    <s v="No está en VPC"/>
    <n v="832"/>
    <s v="INTPG_ACC_832_1.14"/>
    <s v="ISEL-1.14"/>
    <n v="5"/>
    <s v="NO TIENE L3OUT"/>
    <n v="192"/>
    <n v="54"/>
  </r>
  <r>
    <n v="816"/>
    <x v="2"/>
    <x v="183"/>
    <s v="eth1/14"/>
    <x v="0"/>
    <x v="0"/>
    <x v="0"/>
    <s v="LINK_TO_ITHFHWCBSPSHD14 /10GE.1 /Principal"/>
    <x v="0"/>
    <b v="0"/>
    <s v="No está en VPC"/>
    <n v="816"/>
    <s v="INTPG_VPC_816_1.14_821_1.14"/>
    <s v="ISEL-1.14"/>
    <n v="1"/>
    <s v="NO TIENE L3OUT"/>
    <n v="0"/>
    <n v="54"/>
  </r>
  <r>
    <n v="825"/>
    <x v="2"/>
    <x v="184"/>
    <s v="eth1/14"/>
    <x v="0"/>
    <x v="0"/>
    <x v="0"/>
    <s v="LINK_TO_ITHHWCRMPEN03 /X2-10GE 1 /Principal"/>
    <x v="0"/>
    <b v="0"/>
    <s v="No está en VPC"/>
    <n v="825"/>
    <s v="INTPG_VPC_820_1.14_17_825_1.14_17"/>
    <s v="ISEL-1.14"/>
    <n v="4"/>
    <s v="NO TIENE L3OUT"/>
    <n v="72"/>
    <n v="54"/>
  </r>
  <r>
    <n v="800"/>
    <x v="2"/>
    <x v="185"/>
    <s v="eth1/14"/>
    <x v="0"/>
    <x v="0"/>
    <x v="0"/>
    <s v="TO-IMC_PS01-MSP"/>
    <x v="0"/>
    <b v="0"/>
    <s v="No está en VPC"/>
    <n v="800"/>
    <s v="INTPG_ACC_800_1.14"/>
    <s v="ISEL-1.14"/>
    <n v="1"/>
    <s v="NO TIENE L3OUT"/>
    <n v="78"/>
    <n v="54"/>
  </r>
  <r>
    <n v="801"/>
    <x v="2"/>
    <x v="186"/>
    <s v="eth1/14"/>
    <x v="0"/>
    <x v="0"/>
    <x v="0"/>
    <s v="TO-IMC_PS01-MSP"/>
    <x v="0"/>
    <b v="0"/>
    <s v="No está en VPC"/>
    <n v="801"/>
    <s v="INTPG_ACC_801_1.14"/>
    <s v="ISEL-1.14"/>
    <n v="1"/>
    <s v="NO TIENE L3OUT"/>
    <n v="78"/>
    <n v="54"/>
  </r>
  <r>
    <n v="823"/>
    <x v="2"/>
    <x v="187"/>
    <s v="eth1/14"/>
    <x v="0"/>
    <x v="0"/>
    <x v="0"/>
    <s v="LINK_TO_ITHFHWCBSPSUSBD17 /Slot7.2 /Redundante"/>
    <x v="0"/>
    <b v="0"/>
    <s v="No está en VPC"/>
    <n v="823"/>
    <s v="INTPG_VPC_818_1.14_823_1.14"/>
    <s v="ISEL-1.14"/>
    <n v="2"/>
    <s v="NO TIENE L3OUT"/>
    <n v="8"/>
    <n v="54"/>
  </r>
  <r>
    <n v="837"/>
    <x v="2"/>
    <x v="188"/>
    <s v="eth1/14"/>
    <x v="0"/>
    <x v="0"/>
    <x v="0"/>
    <s v="LINK_TO_ITHFHWCBSPSUSBD30 / Slot1.1_10 / Principal"/>
    <x v="0"/>
    <b v="0"/>
    <s v="No está en VPC"/>
    <n v="837"/>
    <s v="INTPG_VPC_837_1.14_842_1.14"/>
    <s v="ISEL-1.14"/>
    <n v="2"/>
    <s v="NO TIENE L3OUT"/>
    <n v="8"/>
    <n v="54"/>
  </r>
  <r>
    <n v="867"/>
    <x v="2"/>
    <x v="189"/>
    <s v="eth1/14"/>
    <x v="0"/>
    <x v="0"/>
    <x v="0"/>
    <s v="TO-ITHFSUEXG2XCN03_PCI8.P2"/>
    <x v="0"/>
    <b v="0"/>
    <s v="No está en VPC"/>
    <n v="867"/>
    <s v="INTPG_ACC_867_1.14"/>
    <s v="ISEL-1.14"/>
    <n v="2"/>
    <s v="NO TIENE L3OUT"/>
    <n v="44"/>
    <n v="54"/>
  </r>
  <r>
    <n v="829"/>
    <x v="2"/>
    <x v="190"/>
    <s v="eth1/14"/>
    <x v="0"/>
    <x v="0"/>
    <x v="0"/>
    <s v="LINK_TO_ITHFHWCRMDLCN32 /Slot5.1 /Redundante"/>
    <x v="0"/>
    <b v="0"/>
    <s v="No está en VPC"/>
    <n v="829"/>
    <s v="INTPG_ACC_829_1.14"/>
    <s v="ISEL-1.14"/>
    <n v="2"/>
    <s v="NO TIENE L3OUT"/>
    <n v="224"/>
    <n v="54"/>
  </r>
  <r>
    <n v="831"/>
    <x v="2"/>
    <x v="191"/>
    <s v="eth1/14"/>
    <x v="0"/>
    <x v="0"/>
    <x v="0"/>
    <s v="LINK_TO_ITHFHWCBSDSUSBD10 /Slot7.2 /Redundante"/>
    <x v="0"/>
    <b v="0"/>
    <s v="No está en VPC"/>
    <n v="831"/>
    <s v="INTPG_VPC_827_1.14_831_1.14"/>
    <s v="ISEL-1.14"/>
    <n v="2"/>
    <s v="NO TIENE L3OUT"/>
    <n v="14"/>
    <n v="54"/>
  </r>
  <r>
    <n v="802"/>
    <x v="2"/>
    <x v="192"/>
    <s v="eth1/14"/>
    <x v="0"/>
    <x v="0"/>
    <x v="0"/>
    <s v="TO-HDPS_16-MSP"/>
    <x v="0"/>
    <b v="0"/>
    <s v="No está en VPC"/>
    <n v="802"/>
    <s v="INTPG_ACC_802_1.14"/>
    <s v="ISEL-1.14"/>
    <n v="1"/>
    <s v="NO TIENE L3OUT"/>
    <n v="48"/>
    <n v="54"/>
  </r>
  <r>
    <n v="835"/>
    <x v="2"/>
    <x v="193"/>
    <s v="eth1/14"/>
    <x v="0"/>
    <x v="0"/>
    <x v="0"/>
    <s v="LINK_TO_ITHFHWCBSPSWR58 / Slot1.2_28 / Principal"/>
    <x v="0"/>
    <b v="0"/>
    <s v="No está en VPC"/>
    <n v="835"/>
    <s v="INTPG_VPC_835_1.14_840_1.14"/>
    <s v="ISEL-1.14"/>
    <n v="1"/>
    <s v="NO TIENE L3OUT"/>
    <n v="8"/>
    <n v="54"/>
  </r>
  <r>
    <n v="822"/>
    <x v="2"/>
    <x v="194"/>
    <s v="eth1/14"/>
    <x v="0"/>
    <x v="0"/>
    <x v="0"/>
    <s v="LINK_TO_ITHFHWCBSPSUSBD10 /Slot5.1 /Redundante"/>
    <x v="0"/>
    <b v="0"/>
    <s v="No está en VPC"/>
    <n v="822"/>
    <s v="INTPG_VPC_817_1.14_822_1.14"/>
    <s v="ISEL-1.14"/>
    <n v="1"/>
    <s v="NO TIENE L3OUT"/>
    <n v="0"/>
    <n v="54"/>
  </r>
  <r>
    <n v="854"/>
    <x v="2"/>
    <x v="195"/>
    <s v="eth1/14"/>
    <x v="0"/>
    <x v="0"/>
    <x v="0"/>
    <s v="LINK_TO_ITHFHWCRMPLCN170 / Slot1.1_10 / Principal"/>
    <x v="0"/>
    <b v="0"/>
    <s v="No está en VPC"/>
    <n v="854"/>
    <s v="INTPG_ACC_854_1.14"/>
    <s v="ISEL-1.14"/>
    <n v="6"/>
    <s v="NO TIENE L3OUT"/>
    <n v="204"/>
    <n v="54"/>
  </r>
  <r>
    <n v="858"/>
    <x v="2"/>
    <x v="196"/>
    <s v="eth1/14"/>
    <x v="0"/>
    <x v="0"/>
    <x v="0"/>
    <s v="To_VPC_2DCBSD_HD41_2"/>
    <x v="0"/>
    <b v="0"/>
    <s v="No está en VPC"/>
    <n v="858"/>
    <s v="INTPG_VPC_858_1.14_863_1.14"/>
    <s v="ISEL-1.14"/>
    <n v="1"/>
    <s v="NO TIENE L3OUT"/>
    <n v="8"/>
    <n v="54"/>
  </r>
  <r>
    <n v="857"/>
    <x v="2"/>
    <x v="197"/>
    <s v="eth1/14"/>
    <x v="0"/>
    <x v="0"/>
    <x v="0"/>
    <s v="LINKT_TO_ITHFHWCRMPLCN120 / Slot1.1_10 / Principal"/>
    <x v="0"/>
    <b v="0"/>
    <s v="No está en VPC"/>
    <n v="857"/>
    <s v="INTPG_ACC_857_1.14"/>
    <s v="ISEL-1.14"/>
    <n v="6"/>
    <s v="NO TIENE L3OUT"/>
    <n v="288"/>
    <n v="54"/>
  </r>
  <r>
    <n v="859"/>
    <x v="2"/>
    <x v="198"/>
    <s v="eth1/14"/>
    <x v="0"/>
    <x v="0"/>
    <x v="0"/>
    <s v="To_VPC_2DCBSD_HD35_2"/>
    <x v="0"/>
    <b v="0"/>
    <s v="No está en VPC"/>
    <n v="859"/>
    <s v="INTPG_VPC_859_1.14_864_1.14"/>
    <s v="ISEL-1.14"/>
    <n v="1"/>
    <s v="NO TIENE L3OUT"/>
    <n v="0"/>
    <n v="54"/>
  </r>
  <r>
    <n v="833"/>
    <x v="2"/>
    <x v="199"/>
    <s v="eth1/14"/>
    <x v="0"/>
    <x v="0"/>
    <x v="0"/>
    <s v="LINK_TO_ITHFHWCRMDLCN32 /10GE.1 /Principal"/>
    <x v="0"/>
    <b v="0"/>
    <s v="No está en VPC"/>
    <n v="833"/>
    <s v="INTPG_ACC_833_1.14"/>
    <s v="ISEL-1.14"/>
    <n v="2"/>
    <s v="NO TIENE L3OUT"/>
    <n v="224"/>
    <n v="54"/>
  </r>
  <r>
    <n v="818"/>
    <x v="2"/>
    <x v="200"/>
    <s v="eth1/14"/>
    <x v="0"/>
    <x v="0"/>
    <x v="0"/>
    <s v="LINK_TO_ITHFHWCBSPSUSBD17 /Slot5.2 /Principal"/>
    <x v="0"/>
    <b v="0"/>
    <s v="No está en VPC"/>
    <n v="818"/>
    <s v="INTPG_VPC_818_1.14_823_1.14"/>
    <s v="ISEL-1.14"/>
    <n v="2"/>
    <s v="NO TIENE L3OUT"/>
    <n v="8"/>
    <n v="54"/>
  </r>
  <r>
    <n v="850"/>
    <x v="2"/>
    <x v="201"/>
    <s v="eth1/14"/>
    <x v="0"/>
    <x v="0"/>
    <x v="0"/>
    <s v="LINKT_TO_ITHFHWCRMPLCN120 / Slot7.1_10 / Redundante"/>
    <x v="0"/>
    <b v="0"/>
    <s v="No está en VPC"/>
    <n v="850"/>
    <s v="INTPG_ACC_850_1.14"/>
    <s v="ISEL-1.14"/>
    <n v="6"/>
    <s v="NO TIENE L3OUT"/>
    <n v="288"/>
    <n v="54"/>
  </r>
  <r>
    <n v="860"/>
    <x v="2"/>
    <x v="202"/>
    <s v="eth1/14"/>
    <x v="0"/>
    <x v="0"/>
    <x v="0"/>
    <s v="To_VPC_2DCBSD_HD27_2"/>
    <x v="0"/>
    <b v="0"/>
    <s v="No está en VPC"/>
    <n v="860"/>
    <s v="INTPG_VPC_860_1.14_865_1.14"/>
    <s v="ISEL-1.14"/>
    <n v="1"/>
    <s v="NO TIENE L3OUT"/>
    <n v="0"/>
    <n v="54"/>
  </r>
  <r>
    <n v="853"/>
    <x v="2"/>
    <x v="203"/>
    <s v="eth1/14"/>
    <x v="0"/>
    <x v="0"/>
    <x v="0"/>
    <s v="LINK_TO_ITHFHWCRMPLCN76 / Slot7.2_10 / Redundante"/>
    <x v="0"/>
    <b v="0"/>
    <s v="No está en VPC"/>
    <n v="853"/>
    <s v="INTPG_ACC_853_1.14"/>
    <s v="ISEL-1.14"/>
    <n v="2"/>
    <s v="NO TIENE L3OUT"/>
    <n v="242"/>
    <n v="54"/>
  </r>
  <r>
    <n v="790"/>
    <x v="2"/>
    <x v="204"/>
    <s v="eth1/14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14"/>
    <x v="0"/>
    <x v="0"/>
    <x v="0"/>
    <s v="NETEZZA"/>
    <x v="6"/>
    <b v="0"/>
    <s v="No está en VPC"/>
    <n v="105"/>
    <s v="INTPG_ACC_105_1.14"/>
    <s v="ISEL-1.14"/>
    <n v="1"/>
    <s v="NO TIENE L3OUT"/>
    <n v="106"/>
    <n v="96"/>
  </r>
  <r>
    <n v="117"/>
    <x v="0"/>
    <x v="206"/>
    <s v="eth1/14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14"/>
    <x v="0"/>
    <x v="1"/>
    <x v="1"/>
    <s v="SFLDI"/>
    <x v="6"/>
    <b v="0"/>
    <s v="No está en VPC"/>
    <n v="104"/>
    <s v="INTPG_ACC_104_1.14"/>
    <s v="ISEL-1.14"/>
    <n v="1"/>
    <s v="NO TIENE L3OUT"/>
    <n v="194"/>
    <n v="96"/>
  </r>
  <r>
    <n v="158"/>
    <x v="0"/>
    <x v="208"/>
    <s v="eth1/14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14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14"/>
    <x v="0"/>
    <x v="0"/>
    <x v="0"/>
    <s v="HACIA_CSI-A-OSCP-F4-14_SECUNDARIO"/>
    <x v="4"/>
    <b v="0"/>
    <s v="No está en VPC"/>
    <n v="879"/>
    <s v="INTPG_VPC_878_1.14_879_1.14"/>
    <s v="ISEL-1.14"/>
    <n v="2"/>
    <s v="NO TIENE L3OUT"/>
    <n v="0"/>
    <n v="54"/>
  </r>
  <r>
    <n v="108"/>
    <x v="0"/>
    <x v="211"/>
    <s v="eth1/14"/>
    <x v="0"/>
    <x v="0"/>
    <x v="0"/>
    <s v="sttsm01"/>
    <x v="6"/>
    <b v="0"/>
    <s v="No está en VPC"/>
    <n v="108"/>
    <s v="INTPG_ACC_108_1.14"/>
    <s v="ISEL-1.14"/>
    <n v="1"/>
    <s v="NO TIENE L3OUT"/>
    <n v="126"/>
    <n v="96"/>
  </r>
  <r>
    <n v="112"/>
    <x v="0"/>
    <x v="212"/>
    <s v="eth1/14"/>
    <x v="0"/>
    <x v="1"/>
    <x v="1"/>
    <s v="SECAM"/>
    <x v="6"/>
    <b v="0"/>
    <s v="No está en VPC"/>
    <n v="112"/>
    <s v="INTPG_ACC_112_1.14"/>
    <s v="ISEL-1.14"/>
    <n v="1"/>
    <s v="NO TIENE L3OUT"/>
    <n v="144"/>
    <n v="96"/>
  </r>
  <r>
    <n v="107"/>
    <x v="0"/>
    <x v="213"/>
    <s v="eth1/14"/>
    <x v="0"/>
    <x v="0"/>
    <x v="0"/>
    <s v="TRIAL COPS_SON "/>
    <x v="6"/>
    <b v="0"/>
    <s v="No está en VPC"/>
    <n v="107"/>
    <s v="INTPG_ACC_107_1.14"/>
    <s v="ISEL-1.14"/>
    <n v="1"/>
    <s v="NO TIENE L3OUT"/>
    <n v="118"/>
    <n v="96"/>
  </r>
  <r>
    <n v="109"/>
    <x v="0"/>
    <x v="214"/>
    <s v="eth1/14"/>
    <x v="0"/>
    <x v="0"/>
    <x v="0"/>
    <s v="TELLABS"/>
    <x v="6"/>
    <b v="0"/>
    <s v="No está en VPC"/>
    <n v="109"/>
    <s v="INTPG_ACC_109_1.14"/>
    <s v="ISEL-1.14"/>
    <n v="1"/>
    <s v="NO TIENE L3OUT"/>
    <n v="126"/>
    <n v="96"/>
  </r>
  <r>
    <n v="113"/>
    <x v="0"/>
    <x v="215"/>
    <s v="eth1/14"/>
    <x v="0"/>
    <x v="1"/>
    <x v="1"/>
    <s v="SIMAEC"/>
    <x v="6"/>
    <b v="0"/>
    <s v="No está en VPC"/>
    <n v="113"/>
    <s v="INTPG_ACC_113_1.14"/>
    <s v="ISEL-1.14"/>
    <n v="1"/>
    <s v="NO TIENE L3OUT"/>
    <n v="52"/>
    <n v="96"/>
  </r>
  <r>
    <n v="114"/>
    <x v="0"/>
    <x v="216"/>
    <s v="eth1/14"/>
    <x v="0"/>
    <x v="0"/>
    <x v="0"/>
    <s v="APROVISIONAMIENTO DE SERVICIOS"/>
    <x v="6"/>
    <b v="0"/>
    <s v="No está en VPC"/>
    <n v="114"/>
    <s v="INTPG_ACC_114_1.14"/>
    <s v="ISEL-1.14"/>
    <n v="1"/>
    <s v="NO TIENE L3OUT"/>
    <n v="144"/>
    <n v="96"/>
  </r>
  <r>
    <n v="124"/>
    <x v="0"/>
    <x v="217"/>
    <s v="eth1/14"/>
    <x v="0"/>
    <x v="1"/>
    <x v="1"/>
    <s v="UXSVA (M5000)"/>
    <x v="6"/>
    <b v="0"/>
    <s v="No está en VPC"/>
    <n v="124"/>
    <s v="INTPG_ACC_124_1.14"/>
    <s v="ISEL-1.14"/>
    <n v="1"/>
    <s v="NO TIENE L3OUT"/>
    <n v="80"/>
    <n v="96"/>
  </r>
  <r>
    <n v="118"/>
    <x v="0"/>
    <x v="218"/>
    <s v="eth1/14"/>
    <x v="0"/>
    <x v="1"/>
    <x v="1"/>
    <s v="COBROS NAVEGACION"/>
    <x v="6"/>
    <b v="0"/>
    <s v="No está en VPC"/>
    <n v="118"/>
    <s v="INTPG_ACC_118_1.14"/>
    <s v="ISEL-1.14"/>
    <n v="1"/>
    <s v="NO TIENE L3OUT"/>
    <n v="180"/>
    <n v="96"/>
  </r>
  <r>
    <n v="159"/>
    <x v="0"/>
    <x v="219"/>
    <s v="eth1/14"/>
    <x v="0"/>
    <x v="0"/>
    <x v="0"/>
    <m/>
    <x v="6"/>
    <b v="0"/>
    <s v="No está en VPC"/>
    <n v="159"/>
    <s v="INTPG_ACC_159_1.14"/>
    <s v="ISEL-1.14"/>
    <n v="1"/>
    <s v="NO TIENE L3OUT"/>
    <n v="72"/>
    <n v="96"/>
  </r>
  <r>
    <n v="840"/>
    <x v="2"/>
    <x v="220"/>
    <s v="eth1/14"/>
    <x v="0"/>
    <x v="0"/>
    <x v="0"/>
    <s v="LINK_TO_ITHFHWCBSPSWR58 / Slot7.2_28 / Redundante"/>
    <x v="0"/>
    <b v="0"/>
    <s v="No está en VPC"/>
    <n v="840"/>
    <s v="INTPG_VPC_835_1.14_840_1.14"/>
    <s v="ISEL-1.14"/>
    <n v="1"/>
    <s v="NO TIENE L3OUT"/>
    <n v="8"/>
    <n v="54"/>
  </r>
  <r>
    <n v="856"/>
    <x v="2"/>
    <x v="221"/>
    <s v="eth1/14"/>
    <x v="0"/>
    <x v="0"/>
    <x v="0"/>
    <s v="LINK_TO_ITHFHWCRMPLCN139 / Slot1.1_12 / Principal"/>
    <x v="0"/>
    <b v="0"/>
    <s v="No está en VPC"/>
    <n v="856"/>
    <s v="INTPG_ACC_856_1.14"/>
    <s v="ISEL-1.14"/>
    <n v="6"/>
    <s v="NO TIENE L3OUT"/>
    <n v="286"/>
    <n v="54"/>
  </r>
  <r>
    <n v="110"/>
    <x v="0"/>
    <x v="222"/>
    <s v="eth1/14"/>
    <x v="0"/>
    <x v="0"/>
    <x v="0"/>
    <m/>
    <x v="6"/>
    <b v="0"/>
    <s v="No está en VPC"/>
    <n v="110"/>
    <s v="INTPG_ACC_110_1.14"/>
    <s v="ISEL-1.14"/>
    <n v="1"/>
    <s v="NO TIENE L3OUT"/>
    <n v="102"/>
    <n v="96"/>
  </r>
  <r>
    <n v="163"/>
    <x v="0"/>
    <x v="223"/>
    <s v="eth1/14"/>
    <x v="0"/>
    <x v="0"/>
    <x v="0"/>
    <s v="SICOP"/>
    <x v="6"/>
    <b v="0"/>
    <s v="No está en VPC"/>
    <n v="163"/>
    <s v="INTPG_ACC_163_1.14"/>
    <s v="ISEL-1.14"/>
    <n v="1"/>
    <s v="NO TIENE L3OUT"/>
    <n v="140"/>
    <n v="96"/>
  </r>
  <r>
    <n v="407"/>
    <x v="1"/>
    <x v="224"/>
    <s v="eth1/14"/>
    <x v="0"/>
    <x v="1"/>
    <x v="1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14"/>
    <x v="0"/>
    <x v="0"/>
    <x v="0"/>
    <m/>
    <x v="6"/>
    <b v="0"/>
    <s v="No está en VPC"/>
    <n v="171"/>
    <s v="INTPG_ACC_171_1.14"/>
    <s v="ISEL-1.14"/>
    <n v="1"/>
    <s v="NO TIENE L3OUT"/>
    <n v="114"/>
    <n v="96"/>
  </r>
  <r>
    <n v="421"/>
    <x v="1"/>
    <x v="226"/>
    <s v="eth1/14"/>
    <x v="1"/>
    <x v="1"/>
    <x v="2"/>
    <s v="VMS_HW_OyM"/>
    <x v="6"/>
    <b v="0"/>
    <s v="No está en VPC"/>
    <n v="421"/>
    <s v="INTPG_VPC_419_1.14_421_1.14"/>
    <s v="ISEL-1.14"/>
    <n v="1"/>
    <s v="NO TIENE L3OUT"/>
    <n v="72"/>
    <n v="96"/>
  </r>
  <r>
    <n v="173"/>
    <x v="0"/>
    <x v="227"/>
    <s v="eth1/14"/>
    <x v="0"/>
    <x v="0"/>
    <x v="0"/>
    <s v="ENIQ"/>
    <x v="6"/>
    <b v="0"/>
    <s v="No está en VPC"/>
    <n v="173"/>
    <s v="INTPG_ACC_173_1.14"/>
    <s v="ISEL-1.14"/>
    <n v="1"/>
    <s v="NO TIENE L3OUT"/>
    <n v="66"/>
    <n v="96"/>
  </r>
  <r>
    <n v="154"/>
    <x v="0"/>
    <x v="228"/>
    <s v="eth1/14"/>
    <x v="0"/>
    <x v="0"/>
    <x v="0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14"/>
    <x v="0"/>
    <x v="0"/>
    <x v="0"/>
    <s v="VNX"/>
    <x v="6"/>
    <b v="0"/>
    <s v="No está en VPC"/>
    <n v="172"/>
    <s v="INTPG_ACC_172_1.14"/>
    <s v="ISEL-1.14"/>
    <n v="1"/>
    <s v="NO TIENE L3OUT"/>
    <n v="104"/>
    <n v="96"/>
  </r>
  <r>
    <n v="420"/>
    <x v="1"/>
    <x v="230"/>
    <s v="eth1/14"/>
    <x v="0"/>
    <x v="0"/>
    <x v="0"/>
    <s v="DCX_BKP1"/>
    <x v="6"/>
    <b v="0"/>
    <s v="No está en VPC"/>
    <n v="420"/>
    <s v="INTPG_ACC_420_1.14"/>
    <s v="ISEL-1.14"/>
    <n v="1"/>
    <s v="NO TIENE L3OUT"/>
    <n v="158"/>
    <n v="96"/>
  </r>
  <r>
    <n v="423"/>
    <x v="1"/>
    <x v="231"/>
    <s v="eth1/14"/>
    <x v="0"/>
    <x v="0"/>
    <x v="0"/>
    <s v="ITHVC1_ILO_IPMP-Activa"/>
    <x v="6"/>
    <b v="0"/>
    <s v="No está en VPC"/>
    <n v="423"/>
    <s v="INTPG_ACC_423_1.14"/>
    <s v="ISEL-1.14"/>
    <n v="1"/>
    <s v="NO TIENE L3OUT"/>
    <n v="86"/>
    <n v="96"/>
  </r>
  <r>
    <n v="415"/>
    <x v="1"/>
    <x v="232"/>
    <s v="eth1/14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14"/>
    <x v="0"/>
    <x v="1"/>
    <x v="1"/>
    <s v="SFLDI"/>
    <x v="6"/>
    <b v="0"/>
    <s v="No está en VPC"/>
    <n v="102"/>
    <s v="INTPG_ACC_102_1.14"/>
    <s v="ISEL-1.14"/>
    <n v="1"/>
    <s v="NO TIENE L3OUT"/>
    <n v="228"/>
    <n v="96"/>
  </r>
  <r>
    <n v="863"/>
    <x v="2"/>
    <x v="234"/>
    <s v="eth1/14"/>
    <x v="0"/>
    <x v="0"/>
    <x v="0"/>
    <s v="To_VPC_2DCBSD_HD41_2"/>
    <x v="0"/>
    <b v="0"/>
    <s v="No está en VPC"/>
    <n v="863"/>
    <s v="INTPG_VPC_858_1.14_863_1.14"/>
    <s v="ISEL-1.14"/>
    <n v="1"/>
    <s v="NO TIENE L3OUT"/>
    <n v="8"/>
    <n v="54"/>
  </r>
  <r>
    <n v="876"/>
    <x v="2"/>
    <x v="235"/>
    <s v="eth1/14"/>
    <x v="0"/>
    <x v="0"/>
    <x v="0"/>
    <s v="LINK_TO_ITHFHWSEQLIMPS25 / Slot 4 PTO 1 / Principal"/>
    <x v="4"/>
    <b v="0"/>
    <s v="No está en VPC"/>
    <n v="876"/>
    <s v="INTPG_ACC_876_1.14"/>
    <s v="ISEL-1.14"/>
    <n v="1"/>
    <s v="NO TIENE L3OUT"/>
    <n v="92"/>
    <n v="54"/>
  </r>
  <r>
    <n v="877"/>
    <x v="2"/>
    <x v="236"/>
    <s v="eth1/14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14"/>
    <x v="0"/>
    <x v="0"/>
    <x v="0"/>
    <s v="DESC"/>
    <x v="6"/>
    <b v="0"/>
    <s v="No está en VPC"/>
    <n v="122"/>
    <s v="INTPG_PC_122_1.10-14"/>
    <s v="ISEL-1.14"/>
    <n v="1"/>
    <s v="NO TIENE L3OUT"/>
    <n v="148"/>
    <n v="96"/>
  </r>
  <r>
    <n v="157"/>
    <x v="0"/>
    <x v="238"/>
    <s v="eth1/14"/>
    <x v="0"/>
    <x v="0"/>
    <x v="0"/>
    <s v="COBROS NAVEGACION"/>
    <x v="6"/>
    <b v="0"/>
    <s v="No está en VPC"/>
    <n v="157"/>
    <s v="INTPG_ACC_157_1.14"/>
    <s v="ISEL-1.14"/>
    <n v="1"/>
    <s v="NO TIENE L3OUT"/>
    <n v="202"/>
    <n v="96"/>
  </r>
  <r>
    <n v="408"/>
    <x v="1"/>
    <x v="239"/>
    <s v="eth1/14"/>
    <x v="0"/>
    <x v="0"/>
    <x v="0"/>
    <s v="RESPAL_CS5_ASAP8"/>
    <x v="6"/>
    <b v="0"/>
    <s v="No está en VPC"/>
    <n v="408"/>
    <s v="INTPG_ACC_408_1.14"/>
    <s v="ISEL-1.14"/>
    <n v="1"/>
    <s v="NO TIENE L3OUT"/>
    <n v="152"/>
    <n v="96"/>
  </r>
  <r>
    <n v="405"/>
    <x v="1"/>
    <x v="240"/>
    <s v="eth1/14"/>
    <x v="0"/>
    <x v="0"/>
    <x v="0"/>
    <s v="XL5 RLR5ARI04  iLO"/>
    <x v="6"/>
    <b v="0"/>
    <s v="No está en VPC"/>
    <n v="405"/>
    <s v="INTPG_ACC_405_1.14"/>
    <s v="ISEL-1.14"/>
    <n v="1"/>
    <s v="NO TIENE L3OUT"/>
    <n v="138"/>
    <n v="96"/>
  </r>
  <r>
    <n v="169"/>
    <x v="0"/>
    <x v="241"/>
    <s v="eth1/14"/>
    <x v="0"/>
    <x v="0"/>
    <x v="0"/>
    <m/>
    <x v="6"/>
    <b v="0"/>
    <s v="No está en VPC"/>
    <n v="169"/>
    <s v="INTPG_ACC_169_1.14"/>
    <s v="ISEL-1.14"/>
    <n v="1"/>
    <s v="NO TIENE L3OUT"/>
    <n v="76"/>
    <n v="96"/>
  </r>
  <r>
    <n v="165"/>
    <x v="0"/>
    <x v="242"/>
    <s v="eth1/14"/>
    <x v="0"/>
    <x v="0"/>
    <x v="0"/>
    <s v="UXLDAP"/>
    <x v="6"/>
    <b v="0"/>
    <s v="No está en VPC"/>
    <n v="165"/>
    <s v="INTPG_ACC_165_1.14"/>
    <s v="ISEL-1.14"/>
    <n v="1"/>
    <s v="NO TIENE L3OUT"/>
    <n v="86"/>
    <n v="96"/>
  </r>
  <r>
    <n v="417"/>
    <x v="1"/>
    <x v="243"/>
    <s v="eth1/14"/>
    <x v="0"/>
    <x v="0"/>
    <x v="0"/>
    <s v="IXTSRM1_VM3"/>
    <x v="6"/>
    <b v="0"/>
    <s v="No está en VPC"/>
    <n v="417"/>
    <s v="INTPG_ACC_417_1.14"/>
    <s v="ISEL-1.14"/>
    <n v="1"/>
    <s v="NO TIENE L3OUT"/>
    <n v="56"/>
    <n v="96"/>
  </r>
  <r>
    <n v="153"/>
    <x v="0"/>
    <x v="244"/>
    <s v="eth1/14"/>
    <x v="0"/>
    <x v="0"/>
    <x v="0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14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14"/>
    <x v="0"/>
    <x v="0"/>
    <x v="0"/>
    <s v="VMAX II SYS"/>
    <x v="6"/>
    <b v="0"/>
    <s v="No está en VPC"/>
    <n v="156"/>
    <s v="INTPG_ACC_156_1.14"/>
    <s v="ISEL-1.14"/>
    <n v="1"/>
    <s v="NO TIENE L3OUT"/>
    <n v="40"/>
    <n v="96"/>
  </r>
  <r>
    <n v="103"/>
    <x v="0"/>
    <x v="247"/>
    <s v="eth1/14"/>
    <x v="0"/>
    <x v="0"/>
    <x v="0"/>
    <s v="DATOS LENOVO"/>
    <x v="6"/>
    <b v="0"/>
    <s v="No está en VPC"/>
    <n v="103"/>
    <s v="INTPG_ACC_103_1.14"/>
    <s v="ISEL-1.14"/>
    <n v="1"/>
    <s v="NO TIENE L3OUT"/>
    <n v="70"/>
    <n v="96"/>
  </r>
  <r>
    <n v="438"/>
    <x v="1"/>
    <x v="248"/>
    <s v="eth1/14"/>
    <x v="0"/>
    <x v="0"/>
    <x v="0"/>
    <s v="ZFS_RANECE_MGMT_B-01"/>
    <x v="6"/>
    <b v="0"/>
    <s v="No está en VPC"/>
    <n v="438"/>
    <s v="INTPG_ACC_438_1.14"/>
    <s v="ISEL-1.14"/>
    <n v="1"/>
    <s v="NO TIENE L3OUT"/>
    <n v="170"/>
    <n v="96"/>
  </r>
  <r>
    <n v="406"/>
    <x v="1"/>
    <x v="249"/>
    <s v="eth1/14"/>
    <x v="1"/>
    <x v="1"/>
    <x v="2"/>
    <s v="ITHRTC31VC2"/>
    <x v="6"/>
    <b v="0"/>
    <s v="No está en VPC"/>
    <n v="406"/>
    <s v="INTPG_VPC_404_1.14_406_1.14"/>
    <s v="ISEL-1.14"/>
    <n v="0"/>
    <s v="NO TIENE L3OUT"/>
    <n v="82"/>
    <n v="96"/>
  </r>
  <r>
    <n v="414"/>
    <x v="1"/>
    <x v="250"/>
    <s v="eth1/14"/>
    <x v="0"/>
    <x v="1"/>
    <x v="1"/>
    <s v="9UCS-IXTLA-WEBEX-SERV1"/>
    <x v="6"/>
    <b v="0"/>
    <s v="No está en VPC"/>
    <n v="414"/>
    <s v="INTPG_ACC_414_1.14"/>
    <s v="ISEL-1.14"/>
    <n v="1"/>
    <s v="NO TIENE L3OUT"/>
    <n v="144"/>
    <n v="96"/>
  </r>
  <r>
    <n v="416"/>
    <x v="1"/>
    <x v="251"/>
    <s v="eth1/14"/>
    <x v="0"/>
    <x v="1"/>
    <x v="5"/>
    <s v="sfrepp02-MEDVOZ_CLIENT2"/>
    <x v="6"/>
    <b v="0"/>
    <s v="No está en VPC"/>
    <n v="416"/>
    <s v="INTPG_VPC_416_1.14_418_1.14"/>
    <s v="ISEL-1.14"/>
    <n v="1"/>
    <s v="NO TIENE L3OUT"/>
    <n v="110"/>
    <n v="96"/>
  </r>
  <r>
    <n v="418"/>
    <x v="1"/>
    <x v="252"/>
    <s v="eth1/14"/>
    <x v="0"/>
    <x v="1"/>
    <x v="1"/>
    <s v="sfrepp02-MEDVOZ_CLIENT2"/>
    <x v="6"/>
    <b v="0"/>
    <s v="No está en VPC"/>
    <n v="418"/>
    <s v="INTPG_VPC_416_1.14_418_1.14"/>
    <s v="ISEL-1.14"/>
    <n v="1"/>
    <s v="NO TIENE L3OUT"/>
    <n v="152"/>
    <n v="96"/>
  </r>
  <r>
    <n v="413"/>
    <x v="1"/>
    <x v="253"/>
    <s v="eth1/14"/>
    <x v="0"/>
    <x v="0"/>
    <x v="0"/>
    <s v="lagidmhlapvp06_produccion1"/>
    <x v="6"/>
    <b v="0"/>
    <s v="No está en VPC"/>
    <n v="413"/>
    <s v="INTPG_VPC_411_1.21-24_413_1.14-17"/>
    <s v="ISEL-1.14"/>
    <n v="2"/>
    <s v="NO TIENE L3OUT"/>
    <n v="126"/>
    <n v="96"/>
  </r>
  <r>
    <n v="403"/>
    <x v="1"/>
    <x v="254"/>
    <s v="eth1/14"/>
    <x v="0"/>
    <x v="0"/>
    <x v="0"/>
    <s v="XL5 RLR5ARI04"/>
    <x v="6"/>
    <b v="0"/>
    <s v="No está en VPC"/>
    <n v="403"/>
    <s v="INTPG_ACC_403_1.14"/>
    <s v="ISEL-1.14"/>
    <n v="1"/>
    <s v="NO TIENE L3OUT"/>
    <n v="150"/>
    <n v="96"/>
  </r>
  <r>
    <n v="125"/>
    <x v="0"/>
    <x v="255"/>
    <s v="eth1/14"/>
    <x v="0"/>
    <x v="0"/>
    <x v="0"/>
    <s v="GSM_OSS_TIJ"/>
    <x v="6"/>
    <b v="0"/>
    <s v="No está en VPC"/>
    <n v="125"/>
    <s v="INTPG_VPC_124_1.9_125_1.14"/>
    <s v="ISEL-1.14"/>
    <n v="10"/>
    <s v="NO TIENE L3OUT"/>
    <n v="72"/>
    <n v="96"/>
  </r>
  <r>
    <n v="166"/>
    <x v="0"/>
    <x v="256"/>
    <s v="eth1/14"/>
    <x v="0"/>
    <x v="0"/>
    <x v="0"/>
    <s v="UXLDAP"/>
    <x v="6"/>
    <b v="0"/>
    <s v="No está en VPC"/>
    <n v="166"/>
    <s v="INTPG_ACC_166_1.14"/>
    <s v="ISEL-1.14"/>
    <n v="1"/>
    <s v="NO TIENE L3OUT"/>
    <n v="84"/>
    <n v="96"/>
  </r>
  <r>
    <n v="111"/>
    <x v="0"/>
    <x v="257"/>
    <s v="eth1/14"/>
    <x v="0"/>
    <x v="0"/>
    <x v="0"/>
    <s v="RENACE"/>
    <x v="6"/>
    <b v="0"/>
    <s v="No está en VPC"/>
    <n v="111"/>
    <s v="INTPG_ACC_111_1.14"/>
    <s v="ISEL-1.14"/>
    <n v="1"/>
    <s v="NO TIENE L3OUT"/>
    <n v="58"/>
    <n v="96"/>
  </r>
  <r>
    <n v="115"/>
    <x v="0"/>
    <x v="258"/>
    <s v="eth1/14"/>
    <x v="0"/>
    <x v="0"/>
    <x v="0"/>
    <s v="TO-ITHFDEVYCWPAP01-PRINCIPAL"/>
    <x v="6"/>
    <b v="0"/>
    <s v="No está en VPC"/>
    <n v="115"/>
    <s v="INTPG_ACC_115_1.14"/>
    <s v="ISEL-1.14"/>
    <n v="1"/>
    <s v="NO TIENE L3OUT"/>
    <n v="42"/>
    <n v="96"/>
  </r>
  <r>
    <n v="106"/>
    <x v="0"/>
    <x v="259"/>
    <s v="eth1/14"/>
    <x v="0"/>
    <x v="0"/>
    <x v="0"/>
    <m/>
    <x v="6"/>
    <b v="0"/>
    <s v="No está en VPC"/>
    <n v="106"/>
    <s v="INTPG_ACC_106_1.14"/>
    <s v="ISEL-1.14"/>
    <n v="1"/>
    <s v="NO TIENE L3OUT"/>
    <n v="122"/>
    <n v="96"/>
  </r>
  <r>
    <n v="126"/>
    <x v="0"/>
    <x v="260"/>
    <s v="eth1/14"/>
    <x v="0"/>
    <x v="0"/>
    <x v="0"/>
    <s v="SAN_ENIQ_2"/>
    <x v="6"/>
    <b v="0"/>
    <s v="No está en VPC"/>
    <n v="126"/>
    <s v="INTPG_ACC_126_1.14"/>
    <s v="ISEL-1.14"/>
    <n v="1"/>
    <s v="NO TIENE L3OUT"/>
    <n v="54"/>
    <n v="96"/>
  </r>
  <r>
    <n v="425"/>
    <x v="1"/>
    <x v="261"/>
    <s v="eth1/14"/>
    <x v="0"/>
    <x v="0"/>
    <x v="0"/>
    <s v="PortalCautivo2_captiveqa_xscf0"/>
    <x v="6"/>
    <b v="0"/>
    <s v="No está en VPC"/>
    <n v="425"/>
    <s v="INTPG_ACC_425_1.14"/>
    <s v="ISEL-1.14"/>
    <n v="1"/>
    <s v="NO TIENE L3OUT"/>
    <n v="86"/>
    <n v="96"/>
  </r>
  <r>
    <n v="151"/>
    <x v="0"/>
    <x v="262"/>
    <s v="eth1/14"/>
    <x v="0"/>
    <x v="0"/>
    <x v="0"/>
    <s v="DASHBOARD"/>
    <x v="6"/>
    <b v="0"/>
    <s v="No está en VPC"/>
    <n v="151"/>
    <s v="INTPG_ACC_151_1.14"/>
    <s v="ISEL-1.14"/>
    <n v="1"/>
    <s v="NO TIENE L3OUT"/>
    <n v="86"/>
    <n v="96"/>
  </r>
  <r>
    <n v="430"/>
    <x v="1"/>
    <x v="263"/>
    <s v="eth1/14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14"/>
    <x v="0"/>
    <x v="0"/>
    <x v="0"/>
    <s v="VMS_HW_OyM"/>
    <x v="6"/>
    <b v="0"/>
    <s v="No está en VPC"/>
    <n v="419"/>
    <s v="INTPG_VPC_419_1.14_421_1.14"/>
    <s v="ISEL-1.14"/>
    <n v="1"/>
    <s v="NO TIENE L3OUT"/>
    <n v="70"/>
    <n v="96"/>
  </r>
  <r>
    <n v="155"/>
    <x v="0"/>
    <x v="265"/>
    <s v="eth1/14"/>
    <x v="1"/>
    <x v="1"/>
    <x v="2"/>
    <s v="COBROS NAVEGACION"/>
    <x v="6"/>
    <b v="0"/>
    <s v="No está en VPC"/>
    <n v="155"/>
    <s v="INTPG_ACC_155_1.14"/>
    <s v="ISEL-1.14"/>
    <n v="1"/>
    <s v="NO TIENE L3OUT"/>
    <n v="198"/>
    <n v="96"/>
  </r>
  <r>
    <n v="409"/>
    <x v="1"/>
    <x v="266"/>
    <s v="eth1/14"/>
    <x v="0"/>
    <x v="0"/>
    <x v="0"/>
    <s v="INSIGHTCA6-ilom"/>
    <x v="6"/>
    <b v="0"/>
    <s v="No está en VPC"/>
    <n v="409"/>
    <s v="INTPG_ACC_409_1.14"/>
    <s v="ISEL-1.14"/>
    <n v="1"/>
    <s v="NO TIENE L3OUT"/>
    <n v="128"/>
    <n v="96"/>
  </r>
  <r>
    <n v="422"/>
    <x v="1"/>
    <x v="267"/>
    <s v="eth1/14"/>
    <x v="0"/>
    <x v="0"/>
    <x v="0"/>
    <s v="B6200D_DT_2"/>
    <x v="6"/>
    <b v="0"/>
    <s v="No está en VPC"/>
    <n v="422"/>
    <s v="INTPG_ACC_422_1.14"/>
    <s v="ISEL-1.14"/>
    <n v="1"/>
    <s v="NO TIENE L3OUT"/>
    <n v="182"/>
    <n v="96"/>
  </r>
  <r>
    <n v="436"/>
    <x v="1"/>
    <x v="268"/>
    <s v="eth1/14"/>
    <x v="0"/>
    <x v="0"/>
    <x v="0"/>
    <s v="DWH_SAPBO_ADMIN_Eth1"/>
    <x v="6"/>
    <b v="0"/>
    <s v="No está en VPC"/>
    <n v="436"/>
    <s v="INTPG_ACC_436_1.14"/>
    <s v="ISEL-1.14"/>
    <n v="1"/>
    <s v="NO TIENE L3OUT"/>
    <n v="172"/>
    <n v="96"/>
  </r>
  <r>
    <n v="410"/>
    <x v="1"/>
    <x v="269"/>
    <s v="eth1/14"/>
    <x v="0"/>
    <x v="0"/>
    <x v="0"/>
    <s v="UTP_ZFS_CAMPANAS"/>
    <x v="6"/>
    <b v="0"/>
    <s v="No está en VPC"/>
    <n v="410"/>
    <s v="INTPG_ACC_410_1.14"/>
    <s v="ISEL-1.14"/>
    <n v="1"/>
    <s v="NO TIENE L3OUT"/>
    <n v="178"/>
    <n v="96"/>
  </r>
  <r>
    <n v="161"/>
    <x v="0"/>
    <x v="270"/>
    <s v="eth1/14"/>
    <x v="0"/>
    <x v="0"/>
    <x v="0"/>
    <m/>
    <x v="6"/>
    <b v="0"/>
    <s v="No está en VPC"/>
    <n v="161"/>
    <s v="INTPG_PC_161_1.14-12"/>
    <s v="ISEL-1.14"/>
    <n v="1"/>
    <s v="NO TIENE L3OUT"/>
    <n v="102"/>
    <n v="96"/>
  </r>
  <r>
    <n v="411"/>
    <x v="1"/>
    <x v="271"/>
    <s v="eth1/14"/>
    <x v="0"/>
    <x v="0"/>
    <x v="0"/>
    <s v="GESTOR"/>
    <x v="6"/>
    <b v="0"/>
    <s v="No está en VPC"/>
    <n v="411"/>
    <s v="INTPG_ACC_411_1.14"/>
    <s v="ISEL-1.14"/>
    <n v="1"/>
    <s v="NO TIENE L3OUT"/>
    <n v="96"/>
    <n v="96"/>
  </r>
  <r>
    <n v="116"/>
    <x v="0"/>
    <x v="272"/>
    <s v="eth1/14"/>
    <x v="0"/>
    <x v="1"/>
    <x v="1"/>
    <s v="COBROS NAVEGACION"/>
    <x v="6"/>
    <b v="0"/>
    <s v="No está en VPC"/>
    <n v="116"/>
    <s v="INTPG_ACC_116_1.14"/>
    <s v="ISEL-1.14"/>
    <n v="1"/>
    <s v="NO TIENE L3OUT"/>
    <n v="148"/>
    <n v="96"/>
  </r>
  <r>
    <n v="412"/>
    <x v="1"/>
    <x v="273"/>
    <s v="eth1/14"/>
    <x v="0"/>
    <x v="0"/>
    <x v="0"/>
    <s v="RESPAL_CS5_ASAP8"/>
    <x v="6"/>
    <b v="0"/>
    <s v="No está en VPC"/>
    <n v="412"/>
    <s v="INTPG_ACC_412_1.14"/>
    <s v="ISEL-1.14"/>
    <n v="1"/>
    <s v="NO TIENE L3OUT"/>
    <n v="126"/>
    <n v="96"/>
  </r>
  <r>
    <n v="120"/>
    <x v="0"/>
    <x v="274"/>
    <s v="eth1/14"/>
    <x v="1"/>
    <x v="1"/>
    <x v="2"/>
    <s v="DESC"/>
    <x v="6"/>
    <b v="0"/>
    <s v="No está en VPC"/>
    <n v="120"/>
    <s v="INTPG_PC_120_1.10-14"/>
    <s v="ISEL-1.14"/>
    <n v="1"/>
    <s v="NO TIENE L3OUT"/>
    <n v="158"/>
    <n v="96"/>
  </r>
  <r>
    <n v="404"/>
    <x v="1"/>
    <x v="275"/>
    <s v="eth1/14"/>
    <x v="0"/>
    <x v="0"/>
    <x v="0"/>
    <s v="ITHRTC31VC2"/>
    <x v="6"/>
    <b v="0"/>
    <s v="No está en VPC"/>
    <n v="404"/>
    <s v="INTPG_VPC_404_1.14_406_1.14"/>
    <s v="ISEL-1.14"/>
    <n v="0"/>
    <s v="NO TIENE L3OUT"/>
    <n v="92"/>
    <n v="96"/>
  </r>
  <r>
    <n v="167"/>
    <x v="0"/>
    <x v="276"/>
    <s v="eth1/14"/>
    <x v="0"/>
    <x v="0"/>
    <x v="0"/>
    <s v="LINKDOWN_HACIA_UCS_9UCS-IXTLA-SERV3"/>
    <x v="6"/>
    <b v="0"/>
    <s v="No está en VPC"/>
    <n v="167"/>
    <s v="INTPG_ACC_167_1.14"/>
    <s v="ISEL-1.14"/>
    <n v="1"/>
    <s v="NO TIENE L3OUT"/>
    <n v="68"/>
    <n v="96"/>
  </r>
  <r>
    <n v="428"/>
    <x v="1"/>
    <x v="277"/>
    <s v="eth1/14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903"/>
    <x v="2"/>
    <x v="278"/>
    <s v="eth1/1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1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15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15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15"/>
    <x v="0"/>
    <x v="0"/>
    <x v="0"/>
    <s v="IXTPA3LS"/>
    <x v="1"/>
    <b v="0"/>
    <s v="No está en VPC"/>
    <n v="152"/>
    <s v="INTPG_ACC_152_1.15"/>
    <s v="ISEL-1.15"/>
    <n v="1"/>
    <s v="NO TIENE L3OUT"/>
    <n v="38"/>
    <n v="54"/>
  </r>
  <r>
    <n v="101"/>
    <x v="0"/>
    <x v="3"/>
    <s v="eth1/15"/>
    <x v="0"/>
    <x v="0"/>
    <x v="0"/>
    <m/>
    <x v="0"/>
    <b v="0"/>
    <s v="No está en VPC"/>
    <n v="101"/>
    <s v="INTPG_PC_101_1.15-16"/>
    <s v="ISEL-1.15"/>
    <n v="0"/>
    <s v="L3OUT-IAP-GPRS-GI-CORP"/>
    <n v="114"/>
    <n v="54"/>
  </r>
  <r>
    <n v="160"/>
    <x v="0"/>
    <x v="4"/>
    <s v="eth1/15"/>
    <x v="1"/>
    <x v="1"/>
    <x v="2"/>
    <m/>
    <x v="1"/>
    <b v="0"/>
    <s v="No está en VPC"/>
    <n v="160"/>
    <s v="INTPG_ACC_160_1.15"/>
    <s v="ISEL-1.15"/>
    <n v="0"/>
    <s v="NO TIENE L3OUT"/>
    <n v="68"/>
    <n v="54"/>
  </r>
  <r>
    <n v="121"/>
    <x v="0"/>
    <x v="5"/>
    <s v="eth1/15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15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15"/>
    <x v="0"/>
    <x v="0"/>
    <x v="0"/>
    <s v="BIGDATA1 Primario"/>
    <x v="0"/>
    <b v="0"/>
    <s v="No está en VPC"/>
    <n v="401"/>
    <s v="INTPG_ACC_401_1.15"/>
    <s v="ISEL-1.15"/>
    <n v="1"/>
    <s v="NO TIENE L3OUT"/>
    <n v="40"/>
    <n v="54"/>
  </r>
  <r>
    <n v="402"/>
    <x v="1"/>
    <x v="8"/>
    <s v="eth1/15"/>
    <x v="0"/>
    <x v="0"/>
    <x v="0"/>
    <s v="BIGDATA2 Secundario"/>
    <x v="0"/>
    <b v="0"/>
    <s v="No está en VPC"/>
    <n v="402"/>
    <s v="INTPG_ACC_402_1.15"/>
    <s v="ISEL-1.15"/>
    <n v="1"/>
    <s v="NO TIENE L3OUT"/>
    <n v="36"/>
    <n v="54"/>
  </r>
  <r>
    <n v="447"/>
    <x v="1"/>
    <x v="9"/>
    <s v="eth1/15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15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15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15"/>
    <x v="0"/>
    <x v="0"/>
    <x v="0"/>
    <s v="PO2_TO_ithenm01nas2r91"/>
    <x v="0"/>
    <b v="0"/>
    <s v="No está en VPC"/>
    <n v="150"/>
    <s v="INTPG_PC_150_1.15-16"/>
    <s v="ISEL-1.15"/>
    <n v="0"/>
    <s v="L3OUT-IAP-GPRS-GI-CORP"/>
    <n v="118"/>
    <n v="54"/>
  </r>
  <r>
    <n v="131"/>
    <x v="0"/>
    <x v="13"/>
    <s v="eth1/15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15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15"/>
    <x v="0"/>
    <x v="0"/>
    <x v="0"/>
    <s v="TO-ITHHPGRLKEN01-ITHFYBSOIDLBD01-YELLOWBRICK-ANDROMEDA"/>
    <x v="2"/>
    <b v="0"/>
    <s v="No está en VPC"/>
    <n v="758"/>
    <s v="INTPG_VPC_758_1.15_759_1.15"/>
    <s v="ISEL-1.15"/>
    <n v="1"/>
    <s v="NO TIENE L3OUT"/>
    <n v="0"/>
    <n v="42"/>
  </r>
  <r>
    <n v="759"/>
    <x v="2"/>
    <x v="16"/>
    <s v="eth1/15"/>
    <x v="0"/>
    <x v="0"/>
    <x v="0"/>
    <s v="TO-ITHHPGRLKEN01-ITHFYBSOIDLBD01-YELLOWBRICK-ANDROMEDA"/>
    <x v="2"/>
    <b v="0"/>
    <s v="No está en VPC"/>
    <n v="759"/>
    <s v="INTPG_VPC_758_1.15_759_1.15"/>
    <s v="ISEL-1.15"/>
    <n v="1"/>
    <s v="NO TIENE L3OUT"/>
    <n v="0"/>
    <n v="42"/>
  </r>
  <r>
    <n v="302"/>
    <x v="0"/>
    <x v="17"/>
    <s v="eth1/15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15"/>
    <x v="0"/>
    <x v="1"/>
    <x v="1"/>
    <s v="PORTA_EXP2"/>
    <x v="1"/>
    <b v="0"/>
    <s v="No está en VPC"/>
    <n v="424"/>
    <s v="INTPG_ACC_424_1.15"/>
    <s v="ISEL-1.15"/>
    <n v="1"/>
    <s v="NO TIENE L3OUT"/>
    <n v="16"/>
    <n v="54"/>
  </r>
  <r>
    <n v="426"/>
    <x v="1"/>
    <x v="19"/>
    <s v="eth1/15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15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15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15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15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15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15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15"/>
    <x v="0"/>
    <x v="0"/>
    <x v="0"/>
    <s v="INTELIGN_COMERCIAL_LAG1"/>
    <x v="0"/>
    <b v="0"/>
    <s v="No está en VPC"/>
    <n v="431"/>
    <s v="INTPG_VPC_431_1.15_448_1.15"/>
    <s v="ISEL-1.15"/>
    <n v="3"/>
    <s v="NO TIENE L3OUT"/>
    <n v="46"/>
    <n v="54"/>
  </r>
  <r>
    <n v="433"/>
    <x v="1"/>
    <x v="27"/>
    <s v="eth1/15"/>
    <x v="0"/>
    <x v="0"/>
    <x v="0"/>
    <s v="IXT_PM_2_eth1_Primario"/>
    <x v="1"/>
    <b v="0"/>
    <s v="No está en VPC"/>
    <n v="433"/>
    <s v="INTPG_ACC_433_1.15"/>
    <s v="ISEL-1.15"/>
    <n v="1"/>
    <s v="NO TIENE L3OUT"/>
    <n v="42"/>
    <n v="54"/>
  </r>
  <r>
    <n v="429"/>
    <x v="1"/>
    <x v="28"/>
    <s v="eth1/15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15"/>
    <x v="0"/>
    <x v="1"/>
    <x v="1"/>
    <s v="sfrevp10_MGMT_RHEV_HUAWEI"/>
    <x v="1"/>
    <b v="0"/>
    <s v="No está en VPC"/>
    <n v="432"/>
    <s v="INTPG_ACC_432_1.15"/>
    <s v="ISEL-1.15"/>
    <n v="1"/>
    <s v="NO TIENE L3OUT"/>
    <n v="54"/>
    <n v="54"/>
  </r>
  <r>
    <n v="442"/>
    <x v="1"/>
    <x v="30"/>
    <s v="eth1/15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15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15"/>
    <x v="0"/>
    <x v="0"/>
    <x v="0"/>
    <s v="CEM:ITHCEMG2DAT08:LOM P1"/>
    <x v="0"/>
    <b v="0"/>
    <s v="No está en VPC"/>
    <n v="707"/>
    <s v="INTPG_ACC_707_1.15"/>
    <s v="ISEL-1.15"/>
    <n v="1"/>
    <s v="NO TIENE L3OUT"/>
    <n v="54"/>
    <n v="54"/>
  </r>
  <r>
    <n v="712"/>
    <x v="2"/>
    <x v="33"/>
    <s v="eth1/15"/>
    <x v="0"/>
    <x v="0"/>
    <x v="0"/>
    <s v="CEM:ITHCEMB2DAT08:LOM P1"/>
    <x v="0"/>
    <b v="0"/>
    <s v="No está en VPC"/>
    <n v="712"/>
    <s v="INTPG_ACC_712_1.15"/>
    <s v="ISEL-1.15"/>
    <n v="1"/>
    <s v="NO TIENE L3OUT"/>
    <n v="32"/>
    <n v="54"/>
  </r>
  <r>
    <n v="719"/>
    <x v="2"/>
    <x v="34"/>
    <s v="eth1/15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15"/>
    <x v="0"/>
    <x v="0"/>
    <x v="0"/>
    <m/>
    <x v="0"/>
    <b v="0"/>
    <s v="No está en VPC"/>
    <n v="715"/>
    <s v="INTPG-VPC_HDD41_715_1.15_716_1.16"/>
    <s v="ISEL-1.15"/>
    <n v="1"/>
    <s v="NO TIENE L3OUT"/>
    <n v="0"/>
    <n v="54"/>
  </r>
  <r>
    <n v="427"/>
    <x v="1"/>
    <x v="36"/>
    <s v="eth1/15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15"/>
    <x v="0"/>
    <x v="0"/>
    <x v="0"/>
    <s v="CEM:ITHCEMC2DAT08:LOM P1"/>
    <x v="0"/>
    <b v="0"/>
    <s v="No está en VPC"/>
    <n v="711"/>
    <s v="INTPG_ACC_711_1.15"/>
    <s v="ISEL-1.15"/>
    <n v="1"/>
    <s v="NO TIENE L3OUT"/>
    <n v="16"/>
    <n v="54"/>
  </r>
  <r>
    <n v="716"/>
    <x v="2"/>
    <x v="38"/>
    <s v="eth1/15"/>
    <x v="0"/>
    <x v="0"/>
    <x v="0"/>
    <m/>
    <x v="0"/>
    <b v="0"/>
    <s v="No está en VPC"/>
    <n v="716"/>
    <s v="INTPG-VPC_HDD32_716_1.15_715_1.16"/>
    <s v="ISEL-1.15"/>
    <n v="1"/>
    <s v="NO TIENE L3OUT"/>
    <n v="0"/>
    <n v="54"/>
  </r>
  <r>
    <n v="702"/>
    <x v="2"/>
    <x v="39"/>
    <s v="eth1/15"/>
    <x v="0"/>
    <x v="0"/>
    <x v="0"/>
    <m/>
    <x v="0"/>
    <b v="0"/>
    <s v="No está en VPC"/>
    <n v="702"/>
    <s v="INTPG_VPC_702_1.15_701_1.16"/>
    <s v="ISEL-1.15"/>
    <n v="1"/>
    <s v="NO TIENE L3OUT"/>
    <n v="0"/>
    <n v="54"/>
  </r>
  <r>
    <n v="435"/>
    <x v="1"/>
    <x v="40"/>
    <s v="eth1/15"/>
    <x v="0"/>
    <x v="0"/>
    <x v="0"/>
    <s v="IXT_PM_2_eth2_Secundario"/>
    <x v="1"/>
    <b v="0"/>
    <s v="No está en VPC"/>
    <n v="435"/>
    <s v="INTPG_ACC_435_1.15"/>
    <s v="ISEL-1.15"/>
    <n v="1"/>
    <s v="NO TIENE L3OUT"/>
    <n v="34"/>
    <n v="54"/>
  </r>
  <r>
    <n v="446"/>
    <x v="1"/>
    <x v="41"/>
    <s v="eth1/15"/>
    <x v="0"/>
    <x v="0"/>
    <x v="0"/>
    <m/>
    <x v="0"/>
    <b v="0"/>
    <s v="No está en VPC"/>
    <n v="446"/>
    <s v="INTPG_ACC_446_1.15"/>
    <s v="ISEL-1.15"/>
    <n v="9"/>
    <s v="NO TIENE L3OUT"/>
    <n v="198"/>
    <n v="54"/>
  </r>
  <r>
    <n v="444"/>
    <x v="1"/>
    <x v="42"/>
    <s v="eth1/15"/>
    <x v="0"/>
    <x v="0"/>
    <x v="0"/>
    <s v="TO-ITHFHPNBURBKP09"/>
    <x v="0"/>
    <b v="0"/>
    <s v="No está en VPC"/>
    <n v="444"/>
    <s v="INTPG_VPC_444_1.15_446_1.16"/>
    <s v="ISEL-1.15"/>
    <n v="1"/>
    <s v="NO TIENE L3OUT"/>
    <n v="234"/>
    <n v="54"/>
  </r>
  <r>
    <n v="701"/>
    <x v="2"/>
    <x v="43"/>
    <s v="eth1/15"/>
    <x v="0"/>
    <x v="0"/>
    <x v="0"/>
    <m/>
    <x v="0"/>
    <b v="0"/>
    <s v="No está en VPC"/>
    <n v="701"/>
    <s v="INTPG_VPC_701_1.15_702_1.16"/>
    <s v="ISEL-1.15"/>
    <n v="2"/>
    <s v="NO TIENE L3OUT"/>
    <n v="0"/>
    <n v="54"/>
  </r>
  <r>
    <n v="440"/>
    <x v="1"/>
    <x v="44"/>
    <s v="eth1/15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15"/>
    <x v="0"/>
    <x v="0"/>
    <x v="0"/>
    <s v="INTELIGN_COMERCIAL_LAG1"/>
    <x v="0"/>
    <b v="0"/>
    <s v="No está en VPC"/>
    <n v="448"/>
    <s v="INTPG_VPC_431_1.15_448_1.15"/>
    <s v="ISEL-1.15"/>
    <n v="3"/>
    <s v="NO TIENE L3OUT"/>
    <n v="46"/>
    <n v="54"/>
  </r>
  <r>
    <n v="704"/>
    <x v="2"/>
    <x v="46"/>
    <s v="eth1/15"/>
    <x v="0"/>
    <x v="0"/>
    <x v="0"/>
    <m/>
    <x v="0"/>
    <b v="0"/>
    <s v="No está en VPC"/>
    <n v="704"/>
    <s v="INTPG_VPC_704_1.15_703_1.16"/>
    <s v="ISEL-1.15"/>
    <n v="1"/>
    <s v="NO TIENE L3OUT"/>
    <n v="0"/>
    <n v="54"/>
  </r>
  <r>
    <n v="729"/>
    <x v="2"/>
    <x v="47"/>
    <s v="eth1/15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15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15"/>
    <x v="0"/>
    <x v="0"/>
    <x v="0"/>
    <s v="HACIA_CSI-A-OSCP-F4-03_SECUNDARIO"/>
    <x v="4"/>
    <b v="0"/>
    <s v="No está en VPC"/>
    <n v="456"/>
    <s v="INTPG_VPC_454_1.15_456_1.15"/>
    <s v="ISEL-1.15"/>
    <n v="2"/>
    <s v="NO TIENE L3OUT"/>
    <n v="4"/>
    <n v="54"/>
  </r>
  <r>
    <n v="603"/>
    <x v="1"/>
    <x v="50"/>
    <s v="eth1/15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15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15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15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15"/>
    <x v="0"/>
    <x v="1"/>
    <x v="5"/>
    <m/>
    <x v="0"/>
    <b v="0"/>
    <s v="No está en VPC"/>
    <n v="722"/>
    <s v="INTPG-VPC_HDD126_722_1.15_723_1.16"/>
    <s v="ISEL-1.15"/>
    <n v="1"/>
    <s v="NO TIENE L3OUT"/>
    <n v="0"/>
    <n v="54"/>
  </r>
  <r>
    <n v="733"/>
    <x v="2"/>
    <x v="55"/>
    <s v="eth1/15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15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15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15"/>
    <x v="0"/>
    <x v="0"/>
    <x v="0"/>
    <s v="OSS F1:ithenmr06e2r9a:Bay2/X1"/>
    <x v="0"/>
    <b v="0"/>
    <s v="No está en VPC"/>
    <n v="756"/>
    <s v="INTPG_PC_756_1.15-18"/>
    <s v="ISEL-1.15"/>
    <n v="1"/>
    <s v="NO TIENE L3OUT"/>
    <n v="64"/>
    <n v="54"/>
  </r>
  <r>
    <n v="754"/>
    <x v="2"/>
    <x v="59"/>
    <s v="eth1/15"/>
    <x v="0"/>
    <x v="0"/>
    <x v="0"/>
    <s v="OSS F1:ithenmnasr9c:PCIe3 Slot 1/1"/>
    <x v="0"/>
    <b v="0"/>
    <s v="No está en VPC"/>
    <n v="754"/>
    <s v="INTPG_PC_754_1.13-16"/>
    <s v="ISEL-1.15"/>
    <n v="1"/>
    <s v="NO TIENE L3OUT"/>
    <n v="62"/>
    <n v="54"/>
  </r>
  <r>
    <n v="751"/>
    <x v="2"/>
    <x v="60"/>
    <s v="eth1/15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15"/>
    <x v="0"/>
    <x v="0"/>
    <x v="0"/>
    <s v="OSS_ENM"/>
    <x v="0"/>
    <b v="0"/>
    <s v="No está en VPC"/>
    <n v="769"/>
    <s v="INTPG_ACC_769_1.15"/>
    <s v="ISEL-1.15"/>
    <n v="1"/>
    <s v="NO TIENE L3OUT"/>
    <n v="60"/>
    <n v="54"/>
  </r>
  <r>
    <n v="742"/>
    <x v="2"/>
    <x v="62"/>
    <s v="eth1/15"/>
    <x v="0"/>
    <x v="1"/>
    <x v="1"/>
    <s v="CEM:ITHCEMA2DAT08:LOM P3"/>
    <x v="5"/>
    <b v="0"/>
    <s v="No está en VPC"/>
    <n v="742"/>
    <s v="INTPG_ACC_742_1.15"/>
    <s v="ISEL-1.15"/>
    <n v="1"/>
    <s v="NO TIENE L3OUT"/>
    <n v="64"/>
    <n v="54"/>
  </r>
  <r>
    <n v="763"/>
    <x v="2"/>
    <x v="63"/>
    <s v="eth1/15"/>
    <x v="0"/>
    <x v="0"/>
    <x v="0"/>
    <s v="PAAS:ithhwoscopap015:FlexIO.1"/>
    <x v="0"/>
    <b v="0"/>
    <s v="No está en VPC"/>
    <n v="763"/>
    <s v="INTPG_VPC_762_1.15_763_1.15"/>
    <s v="ISEL-1.15"/>
    <n v="15"/>
    <s v="NO TIENE L3OUT"/>
    <n v="2"/>
    <n v="54"/>
  </r>
  <r>
    <n v="766"/>
    <x v="2"/>
    <x v="64"/>
    <s v="eth1/15"/>
    <x v="0"/>
    <x v="0"/>
    <x v="0"/>
    <s v="Portchannel_5_R6A"/>
    <x v="0"/>
    <b v="0"/>
    <s v="No está en VPC"/>
    <n v="766"/>
    <s v="INTPG_PC_766_1.15-16"/>
    <s v="ISEL-1.15"/>
    <n v="8"/>
    <s v="NO TIENE L3OUT"/>
    <n v="58"/>
    <n v="54"/>
  </r>
  <r>
    <n v="760"/>
    <x v="2"/>
    <x v="65"/>
    <s v="eth1/15"/>
    <x v="0"/>
    <x v="1"/>
    <x v="1"/>
    <m/>
    <x v="0"/>
    <b v="0"/>
    <s v="No está en VPC"/>
    <n v="760"/>
    <s v="INTPG_VPC_760_1.13-16_761_1.13-16"/>
    <s v="ISEL-1.15"/>
    <n v="0"/>
    <s v="L3OUT-EXACLOUD"/>
    <n v="0"/>
    <n v="54"/>
  </r>
  <r>
    <n v="752"/>
    <x v="2"/>
    <x v="66"/>
    <s v="eth1/15"/>
    <x v="0"/>
    <x v="0"/>
    <x v="0"/>
    <s v="PAAS:ithhwoscopap015:Slot6.1"/>
    <x v="0"/>
    <b v="0"/>
    <s v="No está en VPC"/>
    <n v="752"/>
    <s v="INTPG_VPC_747_1.15_752_1.15"/>
    <s v="ISEL-1.15"/>
    <n v="25"/>
    <s v="NO TIENE L3OUT"/>
    <n v="0"/>
    <n v="54"/>
  </r>
  <r>
    <n v="765"/>
    <x v="2"/>
    <x v="67"/>
    <s v="eth1/15"/>
    <x v="0"/>
    <x v="0"/>
    <x v="0"/>
    <s v="Portchannel_7_R6B"/>
    <x v="0"/>
    <b v="0"/>
    <s v="No está en VPC"/>
    <n v="765"/>
    <s v="INTPG_PC_765_1.13-16"/>
    <s v="ISEL-1.15"/>
    <n v="1"/>
    <s v="NO TIENE L3OUT"/>
    <n v="60"/>
    <n v="54"/>
  </r>
  <r>
    <n v="778"/>
    <x v="2"/>
    <x v="68"/>
    <s v="eth1/15"/>
    <x v="0"/>
    <x v="0"/>
    <x v="0"/>
    <s v="ENIQ F1:itheniqr08enclr3:BAY2/X2"/>
    <x v="0"/>
    <b v="0"/>
    <s v="No está en VPC"/>
    <n v="778"/>
    <s v="INTPG_PC_778_1.14-15"/>
    <s v="ISEL-1.15"/>
    <n v="3"/>
    <s v="NO TIENE L3OUT"/>
    <n v="26"/>
    <n v="54"/>
  </r>
  <r>
    <n v="780"/>
    <x v="2"/>
    <x v="69"/>
    <s v="eth1/15"/>
    <x v="0"/>
    <x v="0"/>
    <x v="0"/>
    <s v="LACP_VC2_ENIQ9C"/>
    <x v="0"/>
    <b v="0"/>
    <s v="No está en VPC"/>
    <n v="780"/>
    <s v="INTPG_PC_780_1.14-15"/>
    <s v="ISEL-1.15"/>
    <n v="3"/>
    <s v="NO TIENE L3OUT"/>
    <n v="26"/>
    <n v="54"/>
  </r>
  <r>
    <n v="812"/>
    <x v="2"/>
    <x v="70"/>
    <s v="eth1/15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15"/>
    <x v="0"/>
    <x v="0"/>
    <x v="0"/>
    <s v="TO_ITHFDEOSPVLMT01"/>
    <x v="0"/>
    <b v="0"/>
    <s v="No está en VPC"/>
    <n v="796"/>
    <s v="INTPG_VPC_795_1.15-17_796_1.15-17"/>
    <s v="ISEL-1.15"/>
    <n v="2"/>
    <s v="NO TIENE L3OUT"/>
    <n v="18"/>
    <n v="54"/>
  </r>
  <r>
    <n v="795"/>
    <x v="2"/>
    <x v="72"/>
    <s v="eth1/15"/>
    <x v="0"/>
    <x v="0"/>
    <x v="0"/>
    <s v="TO_ITHFDEOSPVLMT01"/>
    <x v="0"/>
    <b v="0"/>
    <s v="No está en VPC"/>
    <n v="795"/>
    <s v="INTPG_VPC_795_1.15-17_796_1.15-17"/>
    <s v="ISEL-1.15"/>
    <n v="2"/>
    <s v="NO TIENE L3OUT"/>
    <n v="18"/>
    <n v="54"/>
  </r>
  <r>
    <n v="749"/>
    <x v="2"/>
    <x v="73"/>
    <s v="eth1/15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15"/>
    <x v="0"/>
    <x v="0"/>
    <x v="0"/>
    <s v="LINK_TO_ITHFHWCMVWPMA10 /Slot5.1 /Redundante"/>
    <x v="0"/>
    <b v="0"/>
    <s v="No está en VPC"/>
    <n v="824"/>
    <s v="INTPG_ACC_824_1.15"/>
    <s v="ISEL-1.15"/>
    <n v="1"/>
    <s v="NO TIENE L3OUT"/>
    <n v="70"/>
    <n v="54"/>
  </r>
  <r>
    <n v="819"/>
    <x v="2"/>
    <x v="75"/>
    <s v="eth1/15"/>
    <x v="0"/>
    <x v="0"/>
    <x v="0"/>
    <s v="LINK_TO_ITHFHWCMVWPMA10 /10GE.1 /Principal"/>
    <x v="0"/>
    <b v="0"/>
    <s v="No está en VPC"/>
    <n v="819"/>
    <s v="INTPG_ACC_819_1.15"/>
    <s v="ISEL-1.15"/>
    <n v="1"/>
    <s v="NO TIENE L3OUT"/>
    <n v="70"/>
    <n v="54"/>
  </r>
  <r>
    <n v="737"/>
    <x v="2"/>
    <x v="76"/>
    <s v="eth1/15"/>
    <x v="0"/>
    <x v="0"/>
    <x v="0"/>
    <s v="CEM:ITHCEMF2DAT08:LOM P3"/>
    <x v="5"/>
    <b v="0"/>
    <s v="No está en VPC"/>
    <n v="737"/>
    <s v="INTPG_ACC_737_1.15"/>
    <s v="ISEL-1.15"/>
    <n v="1"/>
    <s v="NO TIENE L3OUT"/>
    <n v="72"/>
    <n v="54"/>
  </r>
  <r>
    <n v="844"/>
    <x v="2"/>
    <x v="77"/>
    <s v="eth1/15"/>
    <x v="0"/>
    <x v="0"/>
    <x v="0"/>
    <s v="LINK_TO_ITHFHWCRMPLCN105 / Slot1.3_14 / Principal"/>
    <x v="0"/>
    <b v="0"/>
    <s v="No está en VPC"/>
    <n v="844"/>
    <s v="INTPG_ACC_844_1.15"/>
    <s v="ISEL-1.15"/>
    <n v="1"/>
    <s v="NO TIENE L3OUT"/>
    <n v="282"/>
    <n v="54"/>
  </r>
  <r>
    <n v="843"/>
    <x v="2"/>
    <x v="78"/>
    <s v="eth1/15"/>
    <x v="0"/>
    <x v="0"/>
    <x v="0"/>
    <s v="LINK_To_ITHFHWCBSPSUSBD29 / Slot7.1_10 / Redundante"/>
    <x v="0"/>
    <b v="0"/>
    <s v="No está en VPC"/>
    <n v="843"/>
    <s v="INTPG_VPC_838_1.15_843_1.15"/>
    <s v="ISEL-1.15"/>
    <n v="2"/>
    <s v="NO TIENE L3OUT"/>
    <n v="38"/>
    <n v="54"/>
  </r>
  <r>
    <n v="797"/>
    <x v="2"/>
    <x v="79"/>
    <s v="eth1/15"/>
    <x v="0"/>
    <x v="0"/>
    <x v="0"/>
    <s v="TO-HDPS_17-MSP"/>
    <x v="0"/>
    <b v="0"/>
    <s v="No está en VPC"/>
    <n v="797"/>
    <s v="INTPG_ACC_797_1.15"/>
    <s v="ISEL-1.15"/>
    <n v="1"/>
    <s v="NO TIENE L3OUT"/>
    <n v="48"/>
    <n v="54"/>
  </r>
  <r>
    <n v="839"/>
    <x v="2"/>
    <x v="80"/>
    <s v="eth1/15"/>
    <x v="0"/>
    <x v="0"/>
    <x v="0"/>
    <s v="LINK_TO_ITHFHWCBSPSWR62 / Slot7.3_12 / Redundante"/>
    <x v="0"/>
    <b v="0"/>
    <s v="No está en VPC"/>
    <n v="839"/>
    <s v="INTPG_VPC_834_1.15_839_1.15"/>
    <s v="ISEL-1.15"/>
    <n v="1"/>
    <s v="NO TIENE L3OUT"/>
    <n v="0"/>
    <n v="54"/>
  </r>
  <r>
    <n v="847"/>
    <x v="2"/>
    <x v="81"/>
    <s v="eth1/15"/>
    <x v="0"/>
    <x v="0"/>
    <x v="0"/>
    <s v="LINK_TO_ITHFHWCRMPLCN170 / Slot7.2_10 / Redundante"/>
    <x v="0"/>
    <b v="0"/>
    <s v="No está en VPC"/>
    <n v="847"/>
    <s v="INTPG_ACC_847_1.15"/>
    <s v="ISEL-1.15"/>
    <n v="2"/>
    <s v="NO TIENE L3OUT"/>
    <n v="204"/>
    <n v="54"/>
  </r>
  <r>
    <n v="848"/>
    <x v="2"/>
    <x v="82"/>
    <s v="eth1/15"/>
    <x v="0"/>
    <x v="0"/>
    <x v="0"/>
    <s v="LINK_TO_ITHFHWCRMPLCN159 / Slot7.2_20 / Redundante"/>
    <x v="0"/>
    <b v="0"/>
    <s v="No está en VPC"/>
    <n v="848"/>
    <s v="INTPG_ACC_848_1.15"/>
    <s v="ISEL-1.15"/>
    <n v="2"/>
    <s v="NO TIENE L3OUT"/>
    <n v="254"/>
    <n v="54"/>
  </r>
  <r>
    <n v="846"/>
    <x v="2"/>
    <x v="83"/>
    <s v="eth1/15"/>
    <x v="0"/>
    <x v="0"/>
    <x v="0"/>
    <s v="LINK_TO_ITHFHWCRMPLCN76 / Slot1.3_10 / Principal"/>
    <x v="0"/>
    <b v="0"/>
    <s v="No está en VPC"/>
    <n v="846"/>
    <s v="INTPG_ACC_846_1.15"/>
    <s v="ISEL-1.15"/>
    <n v="1"/>
    <s v="NO TIENE L3OUT"/>
    <n v="242"/>
    <n v="54"/>
  </r>
  <r>
    <n v="838"/>
    <x v="2"/>
    <x v="84"/>
    <s v="eth1/15"/>
    <x v="0"/>
    <x v="0"/>
    <x v="0"/>
    <s v="LINK_To_ITHFHWCBSPSUSBD29 / Slot1.1_10 / Principal"/>
    <x v="0"/>
    <b v="0"/>
    <s v="No está en VPC"/>
    <n v="838"/>
    <s v="INTPG_VPC_838_1.15_843_1.15"/>
    <s v="ISEL-1.15"/>
    <n v="2"/>
    <s v="NO TIENE L3OUT"/>
    <n v="38"/>
    <n v="54"/>
  </r>
  <r>
    <n v="849"/>
    <x v="2"/>
    <x v="85"/>
    <s v="eth1/15"/>
    <x v="0"/>
    <x v="0"/>
    <x v="0"/>
    <s v="LINK_TO_ITHFHWCRMPLCN139 / Slot7.2_12 / Redundante"/>
    <x v="0"/>
    <b v="0"/>
    <s v="No está en VPC"/>
    <n v="849"/>
    <s v="INTPG_ACC_849_1.15"/>
    <s v="ISEL-1.15"/>
    <n v="2"/>
    <s v="NO TIENE L3OUT"/>
    <n v="286"/>
    <n v="54"/>
  </r>
  <r>
    <n v="845"/>
    <x v="2"/>
    <x v="86"/>
    <s v="eth1/15"/>
    <x v="0"/>
    <x v="0"/>
    <x v="0"/>
    <s v="LINK_TO_ITHFHWCRMPLCN89 / Slot1.1_10 / Principal"/>
    <x v="0"/>
    <b v="0"/>
    <s v="No está en VPC"/>
    <n v="845"/>
    <s v="INTPG_ACC_845_1.15"/>
    <s v="ISEL-1.15"/>
    <n v="6"/>
    <s v="NO TIENE L3OUT"/>
    <n v="258"/>
    <n v="54"/>
  </r>
  <r>
    <n v="873"/>
    <x v="2"/>
    <x v="87"/>
    <s v="eth1/15"/>
    <x v="0"/>
    <x v="0"/>
    <x v="0"/>
    <s v="TO_ITHFHWCRMDLCN58_Principal"/>
    <x v="0"/>
    <b v="0"/>
    <s v="No está en VPC"/>
    <n v="873"/>
    <s v="INTPG_ACC_873_1.15"/>
    <s v="ISEL-1.15"/>
    <n v="6"/>
    <s v="NO TIENE L3OUT"/>
    <n v="248"/>
    <n v="54"/>
  </r>
  <r>
    <n v="864"/>
    <x v="2"/>
    <x v="88"/>
    <s v="eth1/15"/>
    <x v="0"/>
    <x v="0"/>
    <x v="0"/>
    <s v="To_VPC_2DCBSD_HD35_3"/>
    <x v="0"/>
    <b v="0"/>
    <s v="No está en VPC"/>
    <n v="864"/>
    <s v="INTPG_VPC_859_1.15_864_1.15"/>
    <s v="ISEL-1.15"/>
    <n v="1"/>
    <s v="NO TIENE L3OUT"/>
    <n v="0"/>
    <n v="54"/>
  </r>
  <r>
    <n v="836"/>
    <x v="2"/>
    <x v="89"/>
    <s v="eth1/15"/>
    <x v="0"/>
    <x v="0"/>
    <x v="0"/>
    <s v="LINK_TO_ITHFHWCBSPSWR50 / Slot1.2_28 / Principal"/>
    <x v="0"/>
    <b v="0"/>
    <s v="No está en VPC"/>
    <n v="836"/>
    <s v="INTPG_VPC_836_1.15_841_1.15"/>
    <s v="ISEL-1.15"/>
    <n v="1"/>
    <s v="NO TIENE L3OUT"/>
    <n v="0"/>
    <n v="54"/>
  </r>
  <r>
    <n v="834"/>
    <x v="2"/>
    <x v="90"/>
    <s v="eth1/15"/>
    <x v="0"/>
    <x v="0"/>
    <x v="0"/>
    <s v="LINK_TO_ITHFHWCBSPSWR62 / Slot1.3_12 / Principal"/>
    <x v="0"/>
    <b v="0"/>
    <s v="No está en VPC"/>
    <n v="834"/>
    <s v="INTPG_VPC_834_1.15_839_1.15"/>
    <s v="ISEL-1.15"/>
    <n v="1"/>
    <s v="NO TIENE L3OUT"/>
    <n v="0"/>
    <n v="54"/>
  </r>
  <r>
    <n v="872"/>
    <x v="2"/>
    <x v="91"/>
    <s v="eth1/15"/>
    <x v="0"/>
    <x v="0"/>
    <x v="0"/>
    <s v="To_ITHFHWCRMDLCN74_Principal"/>
    <x v="0"/>
    <b v="0"/>
    <s v="No está en VPC"/>
    <n v="872"/>
    <s v="INTPG_ACC_872_1.15"/>
    <s v="ISEL-1.15"/>
    <n v="6"/>
    <s v="NO TIENE L3OUT"/>
    <n v="288"/>
    <n v="54"/>
  </r>
  <r>
    <n v="842"/>
    <x v="2"/>
    <x v="92"/>
    <s v="eth1/15"/>
    <x v="0"/>
    <x v="0"/>
    <x v="0"/>
    <s v="LINK_TO_ITHFHWCBSPSUSBD30 / Slot7.2_10 / Redundante"/>
    <x v="0"/>
    <b v="0"/>
    <s v="No está en VPC"/>
    <n v="842"/>
    <s v="INTPG_VPC_837_1.15_842_1.15"/>
    <s v="ISEL-1.15"/>
    <n v="1"/>
    <s v="NO TIENE L3OUT"/>
    <n v="8"/>
    <n v="54"/>
  </r>
  <r>
    <n v="828"/>
    <x v="2"/>
    <x v="93"/>
    <s v="eth1/15"/>
    <x v="0"/>
    <x v="0"/>
    <x v="0"/>
    <s v="LINK_TO_ITHFHWCRMDLCN20 /10GE.1 /Principal"/>
    <x v="0"/>
    <b v="0"/>
    <s v="No está en VPC"/>
    <n v="828"/>
    <s v="INTPG_ACC_828_1.15"/>
    <s v="ISEL-1.15"/>
    <n v="2"/>
    <s v="NO TIENE L3OUT"/>
    <n v="192"/>
    <n v="54"/>
  </r>
  <r>
    <n v="870"/>
    <x v="2"/>
    <x v="94"/>
    <s v="eth1/15"/>
    <x v="0"/>
    <x v="0"/>
    <x v="0"/>
    <s v="TO_ITHFHWCRMDLCN58_Redundante"/>
    <x v="0"/>
    <b v="0"/>
    <s v="No está en VPC"/>
    <n v="870"/>
    <s v="INTPG_ACC_870_1.15"/>
    <s v="ISEL-1.15"/>
    <n v="6"/>
    <s v="NO TIENE L3OUT"/>
    <n v="248"/>
    <n v="54"/>
  </r>
  <r>
    <n v="866"/>
    <x v="2"/>
    <x v="95"/>
    <s v="eth1/15"/>
    <x v="0"/>
    <x v="0"/>
    <x v="0"/>
    <s v="To_VPC_2DCBSD_HD21_2"/>
    <x v="0"/>
    <b v="0"/>
    <s v="No está en VPC"/>
    <n v="866"/>
    <s v="INTPG_VPC_861_1.15_866_1.15"/>
    <s v="ISEL-1.15"/>
    <n v="1"/>
    <s v="NO TIENE L3OUT"/>
    <n v="8"/>
    <n v="54"/>
  </r>
  <r>
    <n v="862"/>
    <x v="2"/>
    <x v="96"/>
    <s v="eth1/15"/>
    <x v="0"/>
    <x v="0"/>
    <x v="0"/>
    <s v="TO-ITHFSUEXG2XCN04_PCI3.P1"/>
    <x v="0"/>
    <b v="0"/>
    <s v="No está en VPC"/>
    <n v="862"/>
    <s v="INTPG_ACC_862_1.15"/>
    <s v="ISEL-1.15"/>
    <n v="2"/>
    <s v="NO TIENE L3OUT"/>
    <n v="44"/>
    <n v="54"/>
  </r>
  <r>
    <n v="855"/>
    <x v="2"/>
    <x v="97"/>
    <s v="eth1/15"/>
    <x v="0"/>
    <x v="0"/>
    <x v="0"/>
    <s v="LINK_TO_ITHFHWCRMPLCN159 / Slot1.2_20 / Principal"/>
    <x v="0"/>
    <b v="0"/>
    <s v="No está en VPC"/>
    <n v="855"/>
    <s v="INTPG_ACC_855_1.15"/>
    <s v="ISEL-1.15"/>
    <n v="2"/>
    <s v="NO TIENE L3OUT"/>
    <n v="254"/>
    <n v="54"/>
  </r>
  <r>
    <n v="871"/>
    <x v="2"/>
    <x v="98"/>
    <s v="eth1/15"/>
    <x v="0"/>
    <x v="0"/>
    <x v="0"/>
    <s v="TO_ITHFHWCRMDLCN85_Principal"/>
    <x v="0"/>
    <b v="0"/>
    <s v="No está en VPC"/>
    <n v="871"/>
    <s v="INTPG_ACC_871_1.15"/>
    <s v="ISEL-1.15"/>
    <n v="1"/>
    <s v="NO TIENE L3OUT"/>
    <n v="246"/>
    <n v="54"/>
  </r>
  <r>
    <n v="841"/>
    <x v="2"/>
    <x v="99"/>
    <s v="eth1/15"/>
    <x v="0"/>
    <x v="0"/>
    <x v="0"/>
    <s v="LINK_TO_ITHFHWCBSPSWR50 / Slot7.2_28 / Redundante"/>
    <x v="0"/>
    <b v="0"/>
    <s v="No está en VPC"/>
    <n v="841"/>
    <s v="INTPG_VPC_836_1.15_841_1.15"/>
    <s v="ISEL-1.15"/>
    <n v="1"/>
    <s v="NO TIENE L3OUT"/>
    <n v="0"/>
    <n v="54"/>
  </r>
  <r>
    <n v="868"/>
    <x v="2"/>
    <x v="100"/>
    <s v="eth1/15"/>
    <x v="0"/>
    <x v="0"/>
    <x v="0"/>
    <s v="TO_ITHFHWCRMDLCN85_Redundante"/>
    <x v="0"/>
    <b v="0"/>
    <s v="No está en VPC"/>
    <n v="868"/>
    <s v="INTPG_ACC_868_1.15"/>
    <s v="ISEL-1.15"/>
    <n v="1"/>
    <s v="NO TIENE L3OUT"/>
    <n v="246"/>
    <n v="54"/>
  </r>
  <r>
    <n v="869"/>
    <x v="2"/>
    <x v="101"/>
    <s v="eth1/15"/>
    <x v="0"/>
    <x v="0"/>
    <x v="0"/>
    <s v="To_ITHFHWCRMDLCN74_Redundante"/>
    <x v="0"/>
    <b v="0"/>
    <s v="No está en VPC"/>
    <n v="869"/>
    <s v="INTPG_ACC_869_1.15"/>
    <s v="ISEL-1.15"/>
    <n v="6"/>
    <s v="NO TIENE L3OUT"/>
    <n v="288"/>
    <n v="54"/>
  </r>
  <r>
    <n v="861"/>
    <x v="2"/>
    <x v="102"/>
    <s v="eth1/15"/>
    <x v="0"/>
    <x v="0"/>
    <x v="0"/>
    <s v="To_VPC_2DCBSD_HD21_2"/>
    <x v="0"/>
    <b v="0"/>
    <s v="No está en VPC"/>
    <n v="861"/>
    <s v="INTPG_VPC_861_1.15_866_1.15"/>
    <s v="ISEL-1.15"/>
    <n v="1"/>
    <s v="NO TIENE L3OUT"/>
    <n v="8"/>
    <n v="54"/>
  </r>
  <r>
    <n v="874"/>
    <x v="2"/>
    <x v="103"/>
    <s v="eth1/15"/>
    <x v="0"/>
    <x v="0"/>
    <x v="0"/>
    <s v="LINK_TO_ITHFHWSEQLIMPS26 / Slot 5 PTO 1 / Redundante"/>
    <x v="4"/>
    <b v="0"/>
    <s v="No está en VPC"/>
    <n v="874"/>
    <s v="INTPG_ACC_874_1.15"/>
    <s v="ISEL-1.15"/>
    <n v="1"/>
    <s v="NO TIENE L3OUT"/>
    <n v="92"/>
    <n v="54"/>
  </r>
  <r>
    <n v="865"/>
    <x v="2"/>
    <x v="104"/>
    <s v="eth1/15"/>
    <x v="0"/>
    <x v="0"/>
    <x v="0"/>
    <s v="To_VPC_2DCBSD_HD27_3"/>
    <x v="0"/>
    <b v="0"/>
    <s v="No está en VPC"/>
    <n v="865"/>
    <s v="INTPG_VPC_860_1.15_865_1.15"/>
    <s v="ISEL-1.15"/>
    <n v="1"/>
    <s v="NO TIENE L3OUT"/>
    <n v="0"/>
    <n v="54"/>
  </r>
  <r>
    <n v="753"/>
    <x v="2"/>
    <x v="105"/>
    <s v="eth1/15"/>
    <x v="0"/>
    <x v="0"/>
    <x v="0"/>
    <s v="OSS F1:ithenmr04e1r9c:Bay2/X1"/>
    <x v="0"/>
    <b v="0"/>
    <s v="No está en VPC"/>
    <n v="753"/>
    <s v="INTPG_PC_753_1.15-16"/>
    <s v="ISEL-1.15"/>
    <n v="8"/>
    <s v="NO TIENE L3OUT"/>
    <n v="62"/>
    <n v="54"/>
  </r>
  <r>
    <n v="708"/>
    <x v="2"/>
    <x v="106"/>
    <s v="eth1/15"/>
    <x v="0"/>
    <x v="1"/>
    <x v="5"/>
    <s v="CEM:ITHCEMF2DAT08:LOM P1"/>
    <x v="0"/>
    <b v="0"/>
    <s v="No está en VPC"/>
    <n v="708"/>
    <s v="INTPG_VPC_708_1.15_709_1.16"/>
    <s v="ISEL-1.15"/>
    <n v="1"/>
    <s v="NO TIENE L3OUT"/>
    <n v="0"/>
    <n v="54"/>
  </r>
  <r>
    <n v="710"/>
    <x v="2"/>
    <x v="107"/>
    <s v="eth1/15"/>
    <x v="0"/>
    <x v="1"/>
    <x v="5"/>
    <s v="CEM:ITHCEMD2DAT08:LOM P1"/>
    <x v="0"/>
    <b v="0"/>
    <s v="No está en VPC"/>
    <n v="710"/>
    <s v="INTPG_VPC_710_1.15_711_1.16"/>
    <s v="ISEL-1.15"/>
    <n v="1"/>
    <s v="NO TIENE L3OUT"/>
    <n v="16"/>
    <n v="54"/>
  </r>
  <r>
    <n v="713"/>
    <x v="2"/>
    <x v="108"/>
    <s v="eth1/15"/>
    <x v="0"/>
    <x v="0"/>
    <x v="0"/>
    <s v="CEM:ITHCEMA2DAT08:LOM P1"/>
    <x v="0"/>
    <b v="0"/>
    <s v="No está en VPC"/>
    <n v="713"/>
    <s v="INTPG_ACC_713_1.15"/>
    <s v="ISEL-1.15"/>
    <n v="1"/>
    <s v="NO TIENE L3OUT"/>
    <n v="32"/>
    <n v="54"/>
  </r>
  <r>
    <n v="735"/>
    <x v="2"/>
    <x v="109"/>
    <s v="eth1/15"/>
    <x v="0"/>
    <x v="1"/>
    <x v="1"/>
    <s v="CEM:ITHCEMA1DAT08:LOM P3"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15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15"/>
    <x v="0"/>
    <x v="0"/>
    <x v="0"/>
    <m/>
    <x v="0"/>
    <b v="0"/>
    <s v="No está en VPC"/>
    <n v="703"/>
    <s v="INTPG_VPC_703_1.15_704_1.16"/>
    <s v="ISEL-1.15"/>
    <n v="1"/>
    <s v="NO TIENE L3OUT"/>
    <n v="2"/>
    <n v="54"/>
  </r>
  <r>
    <n v="706"/>
    <x v="2"/>
    <x v="112"/>
    <s v="eth1/15"/>
    <x v="0"/>
    <x v="0"/>
    <x v="0"/>
    <s v="CEM:ITHCEMA1DAT08:LOM  P1"/>
    <x v="0"/>
    <b v="0"/>
    <s v="No está en VPC"/>
    <n v="706"/>
    <s v="INTPG_ACC_706_1.15"/>
    <s v="ISEL-1.15"/>
    <n v="1"/>
    <s v="NO TIENE L3OUT"/>
    <n v="16"/>
    <n v="54"/>
  </r>
  <r>
    <n v="762"/>
    <x v="2"/>
    <x v="113"/>
    <s v="eth1/15"/>
    <x v="0"/>
    <x v="0"/>
    <x v="0"/>
    <s v="PAAS:ithhwoscopap015:LOM PORT 3"/>
    <x v="0"/>
    <b v="0"/>
    <s v="No está en VPC"/>
    <n v="762"/>
    <s v="INTPG_VPC_762_1.15_763_1.15"/>
    <s v="ISEL-1.15"/>
    <n v="15"/>
    <s v="NO TIENE L3OUT"/>
    <n v="0"/>
    <n v="54"/>
  </r>
  <r>
    <n v="814"/>
    <x v="2"/>
    <x v="114"/>
    <s v="eth1/15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15"/>
    <x v="0"/>
    <x v="0"/>
    <x v="0"/>
    <s v="HACIA_CSI-A-OSCP-F4-15_SECUNDARIO"/>
    <x v="4"/>
    <b v="0"/>
    <s v="No está en VPC"/>
    <n v="878"/>
    <s v="INTPG_VPC_878_1.15_879_1.15"/>
    <s v="ISEL-1.15"/>
    <n v="2"/>
    <s v="NO TIENE L3OUT"/>
    <n v="0"/>
    <n v="54"/>
  </r>
  <r>
    <n v="826"/>
    <x v="2"/>
    <x v="116"/>
    <s v="eth1/15"/>
    <x v="0"/>
    <x v="0"/>
    <x v="0"/>
    <s v="LINK_TO_ITHFHWCBSDSHD14 /Slot4.2 /Principal"/>
    <x v="0"/>
    <b v="0"/>
    <s v="No está en VPC"/>
    <n v="826"/>
    <s v="INTPG_VPC_826_1.15_830_1.15"/>
    <s v="ISEL-1.15"/>
    <n v="1"/>
    <s v="NO TIENE L3OUT"/>
    <n v="12"/>
    <n v="54"/>
  </r>
  <r>
    <n v="726"/>
    <x v="2"/>
    <x v="117"/>
    <s v="eth1/15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15"/>
    <x v="0"/>
    <x v="1"/>
    <x v="1"/>
    <s v="CEM:ITHCEMC2DAT08:LOM P3"/>
    <x v="5"/>
    <b v="0"/>
    <s v="No está en VPC"/>
    <n v="740"/>
    <s v="INTPG_ACC_740_1.15"/>
    <s v="ISEL-1.15"/>
    <n v="1"/>
    <s v="NO TIENE L3OUT"/>
    <n v="72"/>
    <n v="54"/>
  </r>
  <r>
    <n v="705"/>
    <x v="2"/>
    <x v="119"/>
    <s v="eth1/15"/>
    <x v="0"/>
    <x v="0"/>
    <x v="0"/>
    <s v="CEM:ITHOIDB1SVR08:LOM  P2"/>
    <x v="0"/>
    <b v="0"/>
    <s v="No está en VPC"/>
    <n v="705"/>
    <s v="INTPG_VPC_705_1.15_706_1.16"/>
    <s v="ISEL-1.15"/>
    <n v="1"/>
    <s v="NO TIENE L3OUT"/>
    <n v="16"/>
    <n v="54"/>
  </r>
  <r>
    <n v="723"/>
    <x v="2"/>
    <x v="120"/>
    <s v="eth1/15"/>
    <x v="0"/>
    <x v="1"/>
    <x v="5"/>
    <m/>
    <x v="0"/>
    <b v="0"/>
    <s v="No está en VPC"/>
    <n v="723"/>
    <s v="INTPG-VPC_HDD113_723_1.15_722_1.16"/>
    <s v="ISEL-1.15"/>
    <n v="1"/>
    <s v="NO TIENE L3OUT"/>
    <n v="0"/>
    <n v="54"/>
  </r>
  <r>
    <n v="721"/>
    <x v="2"/>
    <x v="121"/>
    <s v="eth1/15"/>
    <x v="0"/>
    <x v="0"/>
    <x v="0"/>
    <s v="TO-ITHFHWVRALCN03"/>
    <x v="0"/>
    <b v="0"/>
    <s v="No está en VPC"/>
    <n v="721"/>
    <s v="INTPG_VPC_714_1.16_721_1.15"/>
    <s v="ISEL-1.15"/>
    <n v="108"/>
    <s v="NO TIENE L3OUT"/>
    <n v="20"/>
    <n v="54"/>
  </r>
  <r>
    <n v="788"/>
    <x v="2"/>
    <x v="122"/>
    <s v="eth1/15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15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15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15"/>
    <x v="0"/>
    <x v="1"/>
    <x v="5"/>
    <s v="CEM:ITHCEME2DAT08:LOM P1"/>
    <x v="0"/>
    <b v="0"/>
    <s v="No está en VPC"/>
    <n v="709"/>
    <s v="INTPG_VPC_708_1.16_709_1.15"/>
    <s v="ISEL-1.15"/>
    <n v="1"/>
    <s v="NO TIENE L3OUT"/>
    <n v="0"/>
    <n v="54"/>
  </r>
  <r>
    <n v="454"/>
    <x v="1"/>
    <x v="126"/>
    <s v="eth1/15"/>
    <x v="0"/>
    <x v="0"/>
    <x v="0"/>
    <s v="HACIA_CSI-A-OSCP-F4-03_PRINCIPAL"/>
    <x v="4"/>
    <b v="0"/>
    <s v="No está en VPC"/>
    <n v="454"/>
    <s v="INTPG_VPC_454_1.15_456_1.15"/>
    <s v="ISEL-1.15"/>
    <n v="2"/>
    <s v="NO TIENE L3OUT"/>
    <n v="4"/>
    <n v="54"/>
  </r>
  <r>
    <n v="734"/>
    <x v="2"/>
    <x v="127"/>
    <s v="eth1/15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15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15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15"/>
    <x v="0"/>
    <x v="0"/>
    <x v="0"/>
    <m/>
    <x v="0"/>
    <b v="0"/>
    <s v="No está en VPC"/>
    <n v="718"/>
    <s v="INTPG-VPC_HDD10_718_1.15_717_1.16"/>
    <s v="ISEL-1.15"/>
    <n v="1"/>
    <s v="NO TIENE L3OUT"/>
    <n v="0"/>
    <n v="54"/>
  </r>
  <r>
    <n v="744"/>
    <x v="2"/>
    <x v="131"/>
    <s v="eth1/15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15"/>
    <x v="0"/>
    <x v="1"/>
    <x v="1"/>
    <s v="CEM:ITHCEMB2DAT08:LOM P3"/>
    <x v="5"/>
    <b v="0"/>
    <s v="No está en VPC"/>
    <n v="741"/>
    <s v="INTPG_ACC_741_1.15"/>
    <s v="ISEL-1.15"/>
    <n v="1"/>
    <s v="NO TIENE L3OUT"/>
    <n v="62"/>
    <n v="54"/>
  </r>
  <r>
    <n v="787"/>
    <x v="2"/>
    <x v="133"/>
    <s v="eth1/15"/>
    <x v="0"/>
    <x v="0"/>
    <x v="0"/>
    <s v="ENIQ F2:itheniqr14e1r4b:BAY2/X2"/>
    <x v="0"/>
    <b v="0"/>
    <s v="No está en VPC"/>
    <n v="787"/>
    <s v="INTPG_PC_787_1.14-15"/>
    <s v="ISEL-1.15"/>
    <n v="3"/>
    <s v="NO TIENE L3OUT"/>
    <n v="26"/>
    <n v="54"/>
  </r>
  <r>
    <n v="750"/>
    <x v="2"/>
    <x v="134"/>
    <s v="eth1/15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15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15"/>
    <x v="0"/>
    <x v="0"/>
    <x v="0"/>
    <s v="CEM:ITHCEMG2DAT08:LOM  P2"/>
    <x v="0"/>
    <b v="0"/>
    <s v="No está en VPC"/>
    <n v="736"/>
    <s v="INTPG_ACC_736_1.15"/>
    <s v="ISEL-1.15"/>
    <n v="1"/>
    <s v="NO TIENE L3OUT"/>
    <n v="48"/>
    <n v="54"/>
  </r>
  <r>
    <n v="799"/>
    <x v="2"/>
    <x v="137"/>
    <s v="eth1/15"/>
    <x v="0"/>
    <x v="0"/>
    <x v="0"/>
    <s v="TO-IMC_PS03-MSP"/>
    <x v="0"/>
    <b v="0"/>
    <s v="No está en VPC"/>
    <n v="799"/>
    <s v="INTPG_ACC_799_1.15"/>
    <s v="ISEL-1.15"/>
    <n v="1"/>
    <s v="NO TIENE L3OUT"/>
    <n v="52"/>
    <n v="54"/>
  </r>
  <r>
    <n v="768"/>
    <x v="2"/>
    <x v="138"/>
    <s v="eth1/15"/>
    <x v="0"/>
    <x v="0"/>
    <x v="0"/>
    <s v="OSS_ENM"/>
    <x v="0"/>
    <b v="0"/>
    <s v="No está en VPC"/>
    <n v="768"/>
    <s v="INTPG_ACC_768_1.15"/>
    <s v="ISEL-1.15"/>
    <n v="1"/>
    <s v="NO TIENE L3OUT"/>
    <n v="62"/>
    <n v="54"/>
  </r>
  <r>
    <n v="714"/>
    <x v="2"/>
    <x v="139"/>
    <s v="eth1/15"/>
    <x v="0"/>
    <x v="0"/>
    <x v="0"/>
    <s v="ITHORNG1DAT07_SLOT 4 P1"/>
    <x v="0"/>
    <b v="0"/>
    <s v="No está en VPC"/>
    <n v="714"/>
    <s v="INTPG_ACC_714_1.15"/>
    <s v="ISEL-1.15"/>
    <n v="2"/>
    <s v="NO TIENE L3OUT"/>
    <n v="20"/>
    <n v="54"/>
  </r>
  <r>
    <n v="717"/>
    <x v="2"/>
    <x v="140"/>
    <s v="eth1/15"/>
    <x v="0"/>
    <x v="0"/>
    <x v="0"/>
    <m/>
    <x v="0"/>
    <b v="0"/>
    <s v="No está en VPC"/>
    <n v="717"/>
    <s v="INTPG-VPC_HDD20_717_1.15_718_1.16"/>
    <s v="ISEL-1.15"/>
    <n v="1"/>
    <s v="NO TIENE L3OUT"/>
    <n v="0"/>
    <n v="54"/>
  </r>
  <r>
    <n v="789"/>
    <x v="2"/>
    <x v="141"/>
    <s v="eth1/15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15"/>
    <x v="0"/>
    <x v="0"/>
    <x v="0"/>
    <s v="OSS_ENM"/>
    <x v="0"/>
    <b v="0"/>
    <s v="No está en VPC"/>
    <n v="764"/>
    <s v="INTPG_ACC_764_1.15"/>
    <s v="ISEL-1.15"/>
    <n v="1"/>
    <s v="NO TIENE L3OUT"/>
    <n v="62"/>
    <n v="54"/>
  </r>
  <r>
    <n v="783"/>
    <x v="2"/>
    <x v="143"/>
    <s v="eth1/15"/>
    <x v="0"/>
    <x v="0"/>
    <x v="0"/>
    <s v="LACP_VC2_ENIQ9B"/>
    <x v="0"/>
    <b v="0"/>
    <s v="No está en VPC"/>
    <n v="783"/>
    <s v="INTPG_PC_783_1.14-15"/>
    <s v="ISEL-1.15"/>
    <n v="3"/>
    <s v="NO TIENE L3OUT"/>
    <n v="26"/>
    <n v="54"/>
  </r>
  <r>
    <n v="774"/>
    <x v="2"/>
    <x v="144"/>
    <s v="eth1/15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15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15"/>
    <x v="0"/>
    <x v="0"/>
    <x v="0"/>
    <s v="DESC"/>
    <x v="0"/>
    <b v="0"/>
    <s v="No está en VPC"/>
    <n v="794"/>
    <s v="INTPG_VPC_793_1.13_15_794_1.13_15"/>
    <s v="ISEL-1.15"/>
    <n v="1"/>
    <s v="NO TIENE L3OUT"/>
    <n v="12"/>
    <n v="54"/>
  </r>
  <r>
    <n v="803"/>
    <x v="2"/>
    <x v="147"/>
    <s v="eth1/15"/>
    <x v="0"/>
    <x v="0"/>
    <x v="0"/>
    <s v="TO-HDPS_41-MSP"/>
    <x v="0"/>
    <b v="0"/>
    <s v="No está en VPC"/>
    <n v="803"/>
    <s v="INTPG_ACC_803_1.15"/>
    <s v="ISEL-1.15"/>
    <n v="1"/>
    <s v="NO TIENE L3OUT"/>
    <n v="48"/>
    <n v="54"/>
  </r>
  <r>
    <n v="786"/>
    <x v="2"/>
    <x v="148"/>
    <s v="eth1/15"/>
    <x v="0"/>
    <x v="0"/>
    <x v="0"/>
    <s v="ENIQ F2:itheniqr16e1r4a:BAY2/X2"/>
    <x v="0"/>
    <b v="0"/>
    <s v="No está en VPC"/>
    <n v="786"/>
    <s v="INTPG_PC_786_1.14-15"/>
    <s v="ISEL-1.15"/>
    <n v="3"/>
    <s v="NO TIENE L3OUT"/>
    <n v="26"/>
    <n v="54"/>
  </r>
  <r>
    <n v="757"/>
    <x v="2"/>
    <x v="149"/>
    <s v="eth1/15"/>
    <x v="0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15"/>
    <x v="0"/>
    <x v="0"/>
    <x v="0"/>
    <s v="LACP_VC2_ENIQ1"/>
    <x v="0"/>
    <b v="0"/>
    <s v="No está en VPC"/>
    <n v="781"/>
    <s v="INTPG_PC_781_1.14-15"/>
    <s v="ISEL-1.15"/>
    <n v="3"/>
    <s v="NO TIENE L3OUT"/>
    <n v="26"/>
    <n v="54"/>
  </r>
  <r>
    <n v="793"/>
    <x v="2"/>
    <x v="151"/>
    <s v="eth1/15"/>
    <x v="0"/>
    <x v="0"/>
    <x v="0"/>
    <s v="DESC"/>
    <x v="0"/>
    <b v="0"/>
    <s v="No está en VPC"/>
    <n v="793"/>
    <s v="INTPG_VPC_793_1.13_15_794_1.13_15"/>
    <s v="ISEL-1.15"/>
    <n v="1"/>
    <s v="NO TIENE L3OUT"/>
    <n v="12"/>
    <n v="54"/>
  </r>
  <r>
    <n v="747"/>
    <x v="2"/>
    <x v="152"/>
    <s v="eth1/15"/>
    <x v="0"/>
    <x v="0"/>
    <x v="0"/>
    <s v="PAAS:ithhwoscopap015:Slot4.1"/>
    <x v="0"/>
    <b v="0"/>
    <s v="No está en VPC"/>
    <n v="747"/>
    <s v="INTPG_VPC_747_1.15_752_1.15"/>
    <s v="ISEL-1.15"/>
    <n v="25"/>
    <s v="NO TIENE L3OUT"/>
    <n v="0"/>
    <n v="54"/>
  </r>
  <r>
    <n v="784"/>
    <x v="2"/>
    <x v="153"/>
    <s v="eth1/15"/>
    <x v="0"/>
    <x v="0"/>
    <x v="0"/>
    <s v="ENIQ F2:itheniqr13e1r6a:BAY2/X2"/>
    <x v="0"/>
    <b v="0"/>
    <s v="No está en VPC"/>
    <n v="784"/>
    <s v="INTPG_PC_784_1.14-15"/>
    <s v="ISEL-1.15"/>
    <n v="3"/>
    <s v="NO TIENE L3OUT"/>
    <n v="26"/>
    <n v="54"/>
  </r>
  <r>
    <n v="806"/>
    <x v="2"/>
    <x v="154"/>
    <s v="eth1/15"/>
    <x v="0"/>
    <x v="0"/>
    <x v="0"/>
    <s v="TO-HDPS_65-MSP"/>
    <x v="0"/>
    <b v="0"/>
    <s v="No está en VPC"/>
    <n v="806"/>
    <s v="INTPG_ACC_806_1.15"/>
    <s v="ISEL-1.15"/>
    <n v="1"/>
    <s v="NO TIENE L3OUT"/>
    <n v="44"/>
    <n v="54"/>
  </r>
  <r>
    <n v="777"/>
    <x v="2"/>
    <x v="155"/>
    <s v="eth1/15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15"/>
    <x v="0"/>
    <x v="0"/>
    <x v="0"/>
    <s v="Portchannel_5_R4B"/>
    <x v="0"/>
    <b v="0"/>
    <s v="No está en VPC"/>
    <n v="770"/>
    <s v="INTPG_PC_770_1.15-16"/>
    <s v="ISEL-1.15"/>
    <n v="9"/>
    <s v="NO TIENE L3OUT"/>
    <n v="60"/>
    <n v="54"/>
  </r>
  <r>
    <n v="813"/>
    <x v="2"/>
    <x v="157"/>
    <s v="eth1/15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15"/>
    <x v="0"/>
    <x v="0"/>
    <x v="0"/>
    <s v="CEM:ITHCEMD2DAT08:LOM P3"/>
    <x v="5"/>
    <b v="0"/>
    <s v="No está en VPC"/>
    <n v="739"/>
    <s v="INTPG_ACC_739_1.15"/>
    <s v="ISEL-1.15"/>
    <n v="1"/>
    <s v="NO TIENE L3OUT"/>
    <n v="72"/>
    <n v="54"/>
  </r>
  <r>
    <n v="775"/>
    <x v="2"/>
    <x v="159"/>
    <s v="eth1/15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15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15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15"/>
    <x v="0"/>
    <x v="0"/>
    <x v="0"/>
    <s v="LINK_TO_ITHFHWCBSDSHD14 /Slot6.2 /Redundante"/>
    <x v="0"/>
    <b v="0"/>
    <s v="No está en VPC"/>
    <n v="830"/>
    <s v="INTPG_VPC_826_1.15_830_1.15"/>
    <s v="ISEL-1.15"/>
    <n v="1"/>
    <s v="NO TIENE L3OUT"/>
    <n v="12"/>
    <n v="54"/>
  </r>
  <r>
    <n v="821"/>
    <x v="2"/>
    <x v="163"/>
    <s v="eth1/15"/>
    <x v="0"/>
    <x v="0"/>
    <x v="0"/>
    <s v="LINK_TO_ITHFHWCBSPSHD14 /Slot6.2 /Redundante"/>
    <x v="0"/>
    <b v="0"/>
    <s v="No está en VPC"/>
    <n v="821"/>
    <s v="INTPG_VPC_816_1.15_821_1.15"/>
    <s v="ISEL-1.15"/>
    <n v="1"/>
    <s v="NO TIENE L3OUT"/>
    <n v="0"/>
    <n v="54"/>
  </r>
  <r>
    <n v="738"/>
    <x v="2"/>
    <x v="164"/>
    <s v="eth1/15"/>
    <x v="0"/>
    <x v="0"/>
    <x v="0"/>
    <s v="CEM:ITHCEME2DAT08:LOM P3"/>
    <x v="5"/>
    <b v="0"/>
    <s v="No está en VPC"/>
    <n v="738"/>
    <s v="INTPG_ACC_738_1.15"/>
    <s v="ISEL-1.15"/>
    <n v="1"/>
    <s v="NO TIENE L3OUT"/>
    <n v="72"/>
    <n v="54"/>
  </r>
  <r>
    <n v="820"/>
    <x v="2"/>
    <x v="165"/>
    <s v="eth1/15"/>
    <x v="0"/>
    <x v="0"/>
    <x v="0"/>
    <s v="LINK_TO_ITHHWCRMPEN03 /X2-10GE 4 /Redundante"/>
    <x v="0"/>
    <b v="0"/>
    <s v="No está en VPC"/>
    <n v="820"/>
    <s v="INTPG_VPC_820_1.15-16_18-19_825_1.1.15-16_18-19"/>
    <s v="ISEL-1.15"/>
    <n v="1"/>
    <s v="NO TIENE L3OUT"/>
    <n v="72"/>
    <n v="54"/>
  </r>
  <r>
    <n v="804"/>
    <x v="2"/>
    <x v="166"/>
    <s v="eth1/15"/>
    <x v="0"/>
    <x v="1"/>
    <x v="1"/>
    <s v="TO-HDPS_41-MSP"/>
    <x v="0"/>
    <b v="0"/>
    <s v="No está en VPC"/>
    <n v="804"/>
    <s v="INTPG_ACC_804_1.15"/>
    <s v="ISEL-1.15"/>
    <n v="1"/>
    <s v="NO TIENE L3OUT"/>
    <n v="48"/>
    <n v="54"/>
  </r>
  <r>
    <n v="779"/>
    <x v="2"/>
    <x v="167"/>
    <s v="eth1/15"/>
    <x v="0"/>
    <x v="0"/>
    <x v="0"/>
    <s v="ENIQ F1:itheniqr07enclr2:BAY2/X2"/>
    <x v="0"/>
    <b v="0"/>
    <s v="No está en VPC"/>
    <n v="779"/>
    <s v="INTPG_PC_779_1.14-15"/>
    <s v="ISEL-1.15"/>
    <n v="3"/>
    <s v="NO TIENE L3OUT"/>
    <n v="30"/>
    <n v="54"/>
  </r>
  <r>
    <n v="767"/>
    <x v="2"/>
    <x v="168"/>
    <s v="eth1/15"/>
    <x v="0"/>
    <x v="0"/>
    <x v="0"/>
    <s v="OSS_ENM"/>
    <x v="0"/>
    <b v="0"/>
    <s v="No está en VPC"/>
    <n v="767"/>
    <s v="INTPG_ACC_767_1.15"/>
    <s v="ISEL-1.15"/>
    <n v="1"/>
    <s v="NO TIENE L3OUT"/>
    <n v="60"/>
    <n v="54"/>
  </r>
  <r>
    <n v="827"/>
    <x v="2"/>
    <x v="169"/>
    <s v="eth1/15"/>
    <x v="0"/>
    <x v="0"/>
    <x v="0"/>
    <s v="LINK_TO_ITHFHWCBSDSUSBD10 /10GE.1 /Principal"/>
    <x v="0"/>
    <b v="0"/>
    <s v="No está en VPC"/>
    <n v="827"/>
    <s v="INTPG_VPC_827_1.15_831_1.15"/>
    <s v="ISEL-1.15"/>
    <n v="1"/>
    <s v="NO TIENE L3OUT"/>
    <n v="14"/>
    <n v="54"/>
  </r>
  <r>
    <n v="809"/>
    <x v="2"/>
    <x v="170"/>
    <s v="eth1/15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15"/>
    <x v="0"/>
    <x v="0"/>
    <x v="0"/>
    <s v="Portchannel_7_R4A"/>
    <x v="0"/>
    <b v="0"/>
    <s v="No está en VPC"/>
    <n v="771"/>
    <s v="INTPG_PC_771_1.13-16"/>
    <s v="ISEL-1.15"/>
    <n v="1"/>
    <s v="NO TIENE L3OUT"/>
    <n v="62"/>
    <n v="54"/>
  </r>
  <r>
    <n v="761"/>
    <x v="2"/>
    <x v="172"/>
    <s v="eth1/15"/>
    <x v="0"/>
    <x v="1"/>
    <x v="1"/>
    <m/>
    <x v="0"/>
    <b v="0"/>
    <s v="No está en VPC"/>
    <n v="761"/>
    <s v="INTPG_VPC_760_1.13-16_761_1.13-16"/>
    <s v="ISEL-1.15"/>
    <n v="0"/>
    <s v="L3OUT-EXACLOUD"/>
    <n v="0"/>
    <n v="54"/>
  </r>
  <r>
    <n v="776"/>
    <x v="2"/>
    <x v="173"/>
    <s v="eth1/15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15"/>
    <x v="0"/>
    <x v="0"/>
    <x v="0"/>
    <s v="TO-HDPS_65-MSP"/>
    <x v="0"/>
    <b v="0"/>
    <s v="No está en VPC"/>
    <n v="805"/>
    <s v="INTPG_ACC_805_1.15"/>
    <s v="ISEL-1.15"/>
    <n v="1"/>
    <s v="NO TIENE L3OUT"/>
    <n v="44"/>
    <n v="54"/>
  </r>
  <r>
    <n v="772"/>
    <x v="2"/>
    <x v="175"/>
    <s v="eth1/15"/>
    <x v="0"/>
    <x v="0"/>
    <x v="0"/>
    <s v="TO-ITHFF5IOTUPLB01"/>
    <x v="0"/>
    <b v="0"/>
    <s v="No está en VPC"/>
    <n v="772"/>
    <s v="INTPG_VPC_772_1.15_773_1.11"/>
    <s v="ISEL-1.15"/>
    <n v="4"/>
    <s v="NO TIENE L3OUT"/>
    <n v="82"/>
    <n v="54"/>
  </r>
  <r>
    <n v="785"/>
    <x v="2"/>
    <x v="176"/>
    <s v="eth1/15"/>
    <x v="0"/>
    <x v="0"/>
    <x v="0"/>
    <s v="ENIQ F2:itheniqr12e1r6b:BAY2/X2"/>
    <x v="0"/>
    <b v="0"/>
    <s v="No está en VPC"/>
    <n v="785"/>
    <s v="INTPG_PC_785_1.14-15"/>
    <s v="ISEL-1.15"/>
    <n v="3"/>
    <s v="NO TIENE L3OUT"/>
    <n v="32"/>
    <n v="54"/>
  </r>
  <r>
    <n v="851"/>
    <x v="2"/>
    <x v="177"/>
    <s v="eth1/15"/>
    <x v="0"/>
    <x v="0"/>
    <x v="0"/>
    <s v="LINK_TO_ITHFHWCRMPLCN105 / Slot7.3_14 / Redundante"/>
    <x v="0"/>
    <b v="0"/>
    <s v="No está en VPC"/>
    <n v="851"/>
    <s v="INTPG_ACC_851_1.15"/>
    <s v="ISEL-1.15"/>
    <n v="1"/>
    <s v="NO TIENE L3OUT"/>
    <n v="282"/>
    <n v="54"/>
  </r>
  <r>
    <n v="798"/>
    <x v="2"/>
    <x v="178"/>
    <s v="eth1/15"/>
    <x v="0"/>
    <x v="0"/>
    <x v="0"/>
    <s v="TO-IMC_PS03-MSP"/>
    <x v="0"/>
    <b v="0"/>
    <s v="No está en VPC"/>
    <n v="798"/>
    <s v="INTPG_ACC_798_1.15"/>
    <s v="ISEL-1.15"/>
    <n v="1"/>
    <s v="NO TIENE L3OUT"/>
    <n v="52"/>
    <n v="54"/>
  </r>
  <r>
    <n v="782"/>
    <x v="2"/>
    <x v="179"/>
    <s v="eth1/15"/>
    <x v="0"/>
    <x v="0"/>
    <x v="0"/>
    <s v="LACP_VC2_ENIQ9A"/>
    <x v="0"/>
    <b v="0"/>
    <s v="No está en VPC"/>
    <n v="782"/>
    <s v="INTPG_PC_782_1.14-15"/>
    <s v="ISEL-1.15"/>
    <n v="3"/>
    <s v="NO TIENE L3OUT"/>
    <n v="32"/>
    <n v="54"/>
  </r>
  <r>
    <n v="852"/>
    <x v="2"/>
    <x v="180"/>
    <s v="eth1/15"/>
    <x v="0"/>
    <x v="0"/>
    <x v="0"/>
    <s v="LINK_TO_ITHFHWCRMPLCN89 / Slot7.1_10 / Redundante"/>
    <x v="0"/>
    <b v="0"/>
    <s v="No está en VPC"/>
    <n v="852"/>
    <s v="INTPG_ACC_852_1.15"/>
    <s v="ISEL-1.15"/>
    <n v="6"/>
    <s v="NO TIENE L3OUT"/>
    <n v="258"/>
    <n v="54"/>
  </r>
  <r>
    <n v="817"/>
    <x v="2"/>
    <x v="181"/>
    <s v="eth1/15"/>
    <x v="0"/>
    <x v="0"/>
    <x v="0"/>
    <s v="LINK_TO_ITHFHWCBSPSUSBD10 /Slot4.2 /Principal"/>
    <x v="0"/>
    <b v="0"/>
    <s v="No está en VPC"/>
    <n v="817"/>
    <s v="INTPG_VPC_817_1.15_822_1.15"/>
    <s v="ISEL-1.15"/>
    <n v="1"/>
    <s v="NO TIENE L3OUT"/>
    <n v="0"/>
    <n v="54"/>
  </r>
  <r>
    <n v="832"/>
    <x v="2"/>
    <x v="182"/>
    <s v="eth1/15"/>
    <x v="0"/>
    <x v="0"/>
    <x v="0"/>
    <s v="LINK_TO_ITHFHWCRMDLCN20 /Slot5.1 /Redundante"/>
    <x v="0"/>
    <b v="0"/>
    <s v="No está en VPC"/>
    <n v="832"/>
    <s v="INTPG_ACC_832_1.15"/>
    <s v="ISEL-1.15"/>
    <n v="2"/>
    <s v="NO TIENE L3OUT"/>
    <n v="192"/>
    <n v="54"/>
  </r>
  <r>
    <n v="816"/>
    <x v="2"/>
    <x v="183"/>
    <s v="eth1/15"/>
    <x v="0"/>
    <x v="0"/>
    <x v="0"/>
    <s v="LINK_TO_ITHFHWCBSPSHD14 /Slot4.2 /Principal"/>
    <x v="0"/>
    <b v="0"/>
    <s v="No está en VPC"/>
    <n v="816"/>
    <s v="INTPG_VPC_816_1.15_821_1.15"/>
    <s v="ISEL-1.15"/>
    <n v="1"/>
    <s v="NO TIENE L3OUT"/>
    <n v="0"/>
    <n v="54"/>
  </r>
  <r>
    <n v="825"/>
    <x v="2"/>
    <x v="184"/>
    <s v="eth1/15"/>
    <x v="0"/>
    <x v="0"/>
    <x v="0"/>
    <s v="LINK_TO_ITHHWCRMPEN03 /X2-10GE 3 /Principal"/>
    <x v="0"/>
    <b v="0"/>
    <s v="No está en VPC"/>
    <n v="825"/>
    <s v="INTPG_VPC_820_1.15-16_18-19_825_1.1.15-16_18-19"/>
    <s v="ISEL-1.15"/>
    <n v="1"/>
    <s v="NO TIENE L3OUT"/>
    <n v="72"/>
    <n v="54"/>
  </r>
  <r>
    <n v="800"/>
    <x v="2"/>
    <x v="185"/>
    <s v="eth1/15"/>
    <x v="0"/>
    <x v="0"/>
    <x v="0"/>
    <s v="TO-DSS_01-MSP"/>
    <x v="0"/>
    <b v="0"/>
    <s v="No está en VPC"/>
    <n v="800"/>
    <s v="INTPG_ACC_800_1.15"/>
    <s v="ISEL-1.15"/>
    <n v="1"/>
    <s v="NO TIENE L3OUT"/>
    <n v="78"/>
    <n v="54"/>
  </r>
  <r>
    <n v="801"/>
    <x v="2"/>
    <x v="186"/>
    <s v="eth1/15"/>
    <x v="0"/>
    <x v="0"/>
    <x v="0"/>
    <s v="TO-DSS_01-MSP"/>
    <x v="0"/>
    <b v="0"/>
    <s v="No está en VPC"/>
    <n v="801"/>
    <s v="INTPG_ACC_801_1.15"/>
    <s v="ISEL-1.15"/>
    <n v="1"/>
    <s v="NO TIENE L3OUT"/>
    <n v="78"/>
    <n v="54"/>
  </r>
  <r>
    <n v="823"/>
    <x v="2"/>
    <x v="187"/>
    <s v="eth1/15"/>
    <x v="0"/>
    <x v="0"/>
    <x v="0"/>
    <s v="LINK_TO_ITHFHWCBSPSUSBD17 /Slot5.1 /Redundante"/>
    <x v="0"/>
    <b v="0"/>
    <s v="No está en VPC"/>
    <n v="823"/>
    <s v="INTPG_VPC_818_1.15_823_1.15"/>
    <s v="ISEL-1.15"/>
    <n v="1"/>
    <s v="NO TIENE L3OUT"/>
    <n v="8"/>
    <n v="54"/>
  </r>
  <r>
    <n v="837"/>
    <x v="2"/>
    <x v="188"/>
    <s v="eth1/15"/>
    <x v="0"/>
    <x v="0"/>
    <x v="0"/>
    <s v="LINK_TO_ITHFHWCBSPSUSBD30 / Slot1.2_10 / Principal"/>
    <x v="0"/>
    <b v="0"/>
    <s v="No está en VPC"/>
    <n v="837"/>
    <s v="INTPG_VPC_837_1.15_842_1.15"/>
    <s v="ISEL-1.15"/>
    <n v="1"/>
    <s v="NO TIENE L3OUT"/>
    <n v="8"/>
    <n v="54"/>
  </r>
  <r>
    <n v="867"/>
    <x v="2"/>
    <x v="189"/>
    <s v="eth1/15"/>
    <x v="0"/>
    <x v="0"/>
    <x v="0"/>
    <s v="TO-ITHFSUEXG2XCN04_PCI3.P2"/>
    <x v="0"/>
    <b v="0"/>
    <s v="No está en VPC"/>
    <n v="867"/>
    <s v="INTPG_ACC_867_1.15"/>
    <s v="ISEL-1.15"/>
    <n v="2"/>
    <s v="NO TIENE L3OUT"/>
    <n v="44"/>
    <n v="54"/>
  </r>
  <r>
    <n v="829"/>
    <x v="2"/>
    <x v="190"/>
    <s v="eth1/15"/>
    <x v="0"/>
    <x v="0"/>
    <x v="0"/>
    <s v="LINK_TO_ITHFHWCRMDLCN32 /Slot6.2 /Redundante"/>
    <x v="0"/>
    <b v="0"/>
    <s v="No está en VPC"/>
    <n v="829"/>
    <s v="INTPG_ACC_829_1.15"/>
    <s v="ISEL-1.15"/>
    <n v="1"/>
    <s v="NO TIENE L3OUT"/>
    <n v="224"/>
    <n v="54"/>
  </r>
  <r>
    <n v="831"/>
    <x v="2"/>
    <x v="191"/>
    <s v="eth1/15"/>
    <x v="0"/>
    <x v="0"/>
    <x v="0"/>
    <s v="LINK_TO_ITHFHWCBSDSUSBD10 /Slot5.1 /Redundante"/>
    <x v="0"/>
    <b v="0"/>
    <s v="No está en VPC"/>
    <n v="831"/>
    <s v="INTPG_VPC_827_1.15_831_1.15"/>
    <s v="ISEL-1.15"/>
    <n v="1"/>
    <s v="NO TIENE L3OUT"/>
    <n v="14"/>
    <n v="54"/>
  </r>
  <r>
    <n v="802"/>
    <x v="2"/>
    <x v="192"/>
    <s v="eth1/15"/>
    <x v="0"/>
    <x v="0"/>
    <x v="0"/>
    <s v="TO-HDPS_17-MSP"/>
    <x v="0"/>
    <b v="0"/>
    <s v="No está en VPC"/>
    <n v="802"/>
    <s v="INTPG_ACC_802_1.15"/>
    <s v="ISEL-1.15"/>
    <n v="1"/>
    <s v="NO TIENE L3OUT"/>
    <n v="48"/>
    <n v="54"/>
  </r>
  <r>
    <n v="835"/>
    <x v="2"/>
    <x v="193"/>
    <s v="eth1/15"/>
    <x v="0"/>
    <x v="0"/>
    <x v="0"/>
    <s v="LINK_TO_ITHFHWCBSPSWR58 / Slot1.3_28 / Principal"/>
    <x v="0"/>
    <b v="0"/>
    <s v="No está en VPC"/>
    <n v="835"/>
    <s v="INTPG_VPC_835_1.15_840_1.15"/>
    <s v="ISEL-1.15"/>
    <n v="1"/>
    <s v="NO TIENE L3OUT"/>
    <n v="8"/>
    <n v="54"/>
  </r>
  <r>
    <n v="822"/>
    <x v="2"/>
    <x v="194"/>
    <s v="eth1/15"/>
    <x v="0"/>
    <x v="0"/>
    <x v="0"/>
    <s v="LINK_TO_ITHFHWCBSPSUSBD10 /Slot6.2 /Redundante"/>
    <x v="0"/>
    <b v="0"/>
    <s v="No está en VPC"/>
    <n v="822"/>
    <s v="INTPG_VPC_817_1.15_822_1.15"/>
    <s v="ISEL-1.15"/>
    <n v="1"/>
    <s v="NO TIENE L3OUT"/>
    <n v="0"/>
    <n v="54"/>
  </r>
  <r>
    <n v="854"/>
    <x v="2"/>
    <x v="195"/>
    <s v="eth1/15"/>
    <x v="0"/>
    <x v="0"/>
    <x v="0"/>
    <s v="LINK_TO_ITHFHWCRMPLCN170 / Slot1.2_10 / Principal"/>
    <x v="0"/>
    <b v="0"/>
    <s v="No está en VPC"/>
    <n v="854"/>
    <s v="INTPG_ACC_854_1.15"/>
    <s v="ISEL-1.15"/>
    <n v="2"/>
    <s v="NO TIENE L3OUT"/>
    <n v="204"/>
    <n v="54"/>
  </r>
  <r>
    <n v="858"/>
    <x v="2"/>
    <x v="196"/>
    <s v="eth1/15"/>
    <x v="0"/>
    <x v="0"/>
    <x v="0"/>
    <s v="To_VPC_2DCBSD_HD41_3"/>
    <x v="0"/>
    <b v="0"/>
    <s v="No está en VPC"/>
    <n v="858"/>
    <s v="INTPG_VPC_858_1.15_863_1.15"/>
    <s v="ISEL-1.15"/>
    <n v="1"/>
    <s v="NO TIENE L3OUT"/>
    <n v="8"/>
    <n v="54"/>
  </r>
  <r>
    <n v="857"/>
    <x v="2"/>
    <x v="197"/>
    <s v="eth1/15"/>
    <x v="0"/>
    <x v="0"/>
    <x v="0"/>
    <s v="LINKT_TO_ITHFHWCRMPLCN120 / Slot1.2_10 / Principal"/>
    <x v="0"/>
    <b v="0"/>
    <s v="No está en VPC"/>
    <n v="857"/>
    <s v="INTPG_ACC_857_1.15"/>
    <s v="ISEL-1.15"/>
    <n v="2"/>
    <s v="NO TIENE L3OUT"/>
    <n v="288"/>
    <n v="54"/>
  </r>
  <r>
    <n v="859"/>
    <x v="2"/>
    <x v="198"/>
    <s v="eth1/15"/>
    <x v="0"/>
    <x v="0"/>
    <x v="0"/>
    <s v="To_VPC_2DCBSD_HD35_3"/>
    <x v="0"/>
    <b v="0"/>
    <s v="No está en VPC"/>
    <n v="859"/>
    <s v="INTPG_VPC_859_1.15_864_1.15"/>
    <s v="ISEL-1.15"/>
    <n v="1"/>
    <s v="NO TIENE L3OUT"/>
    <n v="0"/>
    <n v="54"/>
  </r>
  <r>
    <n v="833"/>
    <x v="2"/>
    <x v="199"/>
    <s v="eth1/15"/>
    <x v="0"/>
    <x v="0"/>
    <x v="0"/>
    <s v="LINK_TO_ITHFHWCRMDLCN32 /Slot4.2 /Principal"/>
    <x v="0"/>
    <b v="0"/>
    <s v="No está en VPC"/>
    <n v="833"/>
    <s v="INTPG_ACC_833_1.15"/>
    <s v="ISEL-1.15"/>
    <n v="1"/>
    <s v="NO TIENE L3OUT"/>
    <n v="224"/>
    <n v="54"/>
  </r>
  <r>
    <n v="818"/>
    <x v="2"/>
    <x v="200"/>
    <s v="eth1/15"/>
    <x v="0"/>
    <x v="0"/>
    <x v="0"/>
    <s v="LINK_TO_ITHFHWCBSPSUSBD17 /10GE.1 /Principal"/>
    <x v="0"/>
    <b v="0"/>
    <s v="No está en VPC"/>
    <n v="818"/>
    <s v="INTPG_VPC_818_1.15_823_1.15"/>
    <s v="ISEL-1.15"/>
    <n v="1"/>
    <s v="NO TIENE L3OUT"/>
    <n v="8"/>
    <n v="54"/>
  </r>
  <r>
    <n v="850"/>
    <x v="2"/>
    <x v="201"/>
    <s v="eth1/15"/>
    <x v="0"/>
    <x v="0"/>
    <x v="0"/>
    <s v="LINKT_TO_ITHFHWCRMPLCN120 / Slot7.2_10 / Redundante"/>
    <x v="0"/>
    <b v="0"/>
    <s v="No está en VPC"/>
    <n v="850"/>
    <s v="INTPG_ACC_850_1.15"/>
    <s v="ISEL-1.15"/>
    <n v="2"/>
    <s v="NO TIENE L3OUT"/>
    <n v="288"/>
    <n v="54"/>
  </r>
  <r>
    <n v="860"/>
    <x v="2"/>
    <x v="202"/>
    <s v="eth1/15"/>
    <x v="0"/>
    <x v="0"/>
    <x v="0"/>
    <s v="To_VPC_2DCBSD_HD27_3"/>
    <x v="0"/>
    <b v="0"/>
    <s v="No está en VPC"/>
    <n v="860"/>
    <s v="INTPG_VPC_860_1.15_865_1.15"/>
    <s v="ISEL-1.15"/>
    <n v="1"/>
    <s v="NO TIENE L3OUT"/>
    <n v="0"/>
    <n v="54"/>
  </r>
  <r>
    <n v="853"/>
    <x v="2"/>
    <x v="203"/>
    <s v="eth1/15"/>
    <x v="0"/>
    <x v="0"/>
    <x v="0"/>
    <s v="LINK_TO_ITHFHWCRMPLCN76 / Slot7.3_10 / Redundante"/>
    <x v="0"/>
    <b v="0"/>
    <s v="No está en VPC"/>
    <n v="853"/>
    <s v="INTPG_ACC_853_1.15"/>
    <s v="ISEL-1.15"/>
    <n v="1"/>
    <s v="NO TIENE L3OUT"/>
    <n v="242"/>
    <n v="54"/>
  </r>
  <r>
    <n v="790"/>
    <x v="2"/>
    <x v="204"/>
    <s v="eth1/15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15"/>
    <x v="0"/>
    <x v="0"/>
    <x v="0"/>
    <s v="NETEZZA"/>
    <x v="6"/>
    <b v="0"/>
    <s v="No está en VPC"/>
    <n v="105"/>
    <s v="INTPG_ACC_105_1.15"/>
    <s v="ISEL-1.15"/>
    <n v="1"/>
    <s v="NO TIENE L3OUT"/>
    <n v="106"/>
    <n v="96"/>
  </r>
  <r>
    <n v="117"/>
    <x v="0"/>
    <x v="206"/>
    <s v="eth1/15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15"/>
    <x v="0"/>
    <x v="1"/>
    <x v="1"/>
    <s v="SFLDI"/>
    <x v="6"/>
    <b v="0"/>
    <s v="No está en VPC"/>
    <n v="104"/>
    <s v="INTPG_ACC_104_1.15"/>
    <s v="ISEL-1.15"/>
    <n v="1"/>
    <s v="NO TIENE L3OUT"/>
    <n v="194"/>
    <n v="96"/>
  </r>
  <r>
    <n v="158"/>
    <x v="0"/>
    <x v="208"/>
    <s v="eth1/15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15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15"/>
    <x v="0"/>
    <x v="0"/>
    <x v="0"/>
    <s v="HACIA_CSI-A-OSCP-F4-15_SECUNDARIO"/>
    <x v="4"/>
    <b v="0"/>
    <s v="No está en VPC"/>
    <n v="879"/>
    <s v="INTPG_VPC_878_1.15_879_1.15"/>
    <s v="ISEL-1.15"/>
    <n v="2"/>
    <s v="NO TIENE L3OUT"/>
    <n v="0"/>
    <n v="54"/>
  </r>
  <r>
    <n v="108"/>
    <x v="0"/>
    <x v="211"/>
    <s v="eth1/15"/>
    <x v="0"/>
    <x v="1"/>
    <x v="1"/>
    <s v="sttsm01"/>
    <x v="6"/>
    <b v="0"/>
    <s v="No está en VPC"/>
    <n v="108"/>
    <s v="INTPG_ACC_108_1.15"/>
    <s v="ISEL-1.15"/>
    <n v="1"/>
    <s v="NO TIENE L3OUT"/>
    <n v="126"/>
    <n v="96"/>
  </r>
  <r>
    <n v="112"/>
    <x v="0"/>
    <x v="212"/>
    <s v="eth1/15"/>
    <x v="0"/>
    <x v="1"/>
    <x v="1"/>
    <s v="SECAM"/>
    <x v="6"/>
    <b v="0"/>
    <s v="No está en VPC"/>
    <n v="112"/>
    <s v="INTPG_ACC_112_1.15"/>
    <s v="ISEL-1.15"/>
    <n v="1"/>
    <s v="NO TIENE L3OUT"/>
    <n v="144"/>
    <n v="96"/>
  </r>
  <r>
    <n v="107"/>
    <x v="0"/>
    <x v="213"/>
    <s v="eth1/15"/>
    <x v="0"/>
    <x v="0"/>
    <x v="0"/>
    <s v="TRIAL COPS_SON "/>
    <x v="6"/>
    <b v="0"/>
    <s v="No está en VPC"/>
    <n v="107"/>
    <s v="INTPG_ACC_107_1.15"/>
    <s v="ISEL-1.15"/>
    <n v="1"/>
    <s v="NO TIENE L3OUT"/>
    <n v="118"/>
    <n v="96"/>
  </r>
  <r>
    <n v="109"/>
    <x v="0"/>
    <x v="214"/>
    <s v="eth1/15"/>
    <x v="0"/>
    <x v="0"/>
    <x v="0"/>
    <s v="TELLABS"/>
    <x v="6"/>
    <b v="0"/>
    <s v="No está en VPC"/>
    <n v="109"/>
    <s v="INTPG_ACC_109_1.15"/>
    <s v="ISEL-1.15"/>
    <n v="1"/>
    <s v="NO TIENE L3OUT"/>
    <n v="126"/>
    <n v="96"/>
  </r>
  <r>
    <n v="113"/>
    <x v="0"/>
    <x v="215"/>
    <s v="eth1/15"/>
    <x v="0"/>
    <x v="1"/>
    <x v="1"/>
    <s v="ENCLOSURES VMTLCLAMX2"/>
    <x v="6"/>
    <b v="0"/>
    <s v="No está en VPC"/>
    <n v="113"/>
    <s v="INTPG_ACC_113_1.15"/>
    <s v="ISEL-1.15"/>
    <n v="1"/>
    <s v="NO TIENE L3OUT"/>
    <n v="52"/>
    <n v="96"/>
  </r>
  <r>
    <n v="114"/>
    <x v="0"/>
    <x v="216"/>
    <s v="eth1/15"/>
    <x v="0"/>
    <x v="0"/>
    <x v="0"/>
    <s v="APROVISIONAMIENTO DE SERVICIOS"/>
    <x v="6"/>
    <b v="0"/>
    <s v="No está en VPC"/>
    <n v="114"/>
    <s v="INTPG_ACC_114_1.15"/>
    <s v="ISEL-1.15"/>
    <n v="1"/>
    <s v="NO TIENE L3OUT"/>
    <n v="144"/>
    <n v="96"/>
  </r>
  <r>
    <n v="124"/>
    <x v="0"/>
    <x v="217"/>
    <s v="eth1/15"/>
    <x v="0"/>
    <x v="1"/>
    <x v="1"/>
    <s v="UXSVA (M5000)"/>
    <x v="6"/>
    <b v="0"/>
    <s v="No está en VPC"/>
    <n v="124"/>
    <s v="INTPG_ACC_124_1.15"/>
    <s v="ISEL-1.15"/>
    <n v="1"/>
    <s v="NO TIENE L3OUT"/>
    <n v="80"/>
    <n v="96"/>
  </r>
  <r>
    <n v="118"/>
    <x v="0"/>
    <x v="218"/>
    <s v="eth1/15"/>
    <x v="0"/>
    <x v="1"/>
    <x v="1"/>
    <s v="COBROS NAVEGACION"/>
    <x v="6"/>
    <b v="0"/>
    <s v="No está en VPC"/>
    <n v="118"/>
    <s v="INTPG_ACC_118_1.15"/>
    <s v="ISEL-1.15"/>
    <n v="1"/>
    <s v="NO TIENE L3OUT"/>
    <n v="180"/>
    <n v="96"/>
  </r>
  <r>
    <n v="159"/>
    <x v="0"/>
    <x v="219"/>
    <s v="eth1/15"/>
    <x v="0"/>
    <x v="0"/>
    <x v="0"/>
    <m/>
    <x v="6"/>
    <b v="0"/>
    <s v="No está en VPC"/>
    <n v="159"/>
    <s v="INTPG_ACC_159_1.15"/>
    <s v="ISEL-1.15"/>
    <n v="1"/>
    <s v="NO TIENE L3OUT"/>
    <n v="72"/>
    <n v="96"/>
  </r>
  <r>
    <n v="840"/>
    <x v="2"/>
    <x v="220"/>
    <s v="eth1/15"/>
    <x v="0"/>
    <x v="0"/>
    <x v="0"/>
    <s v="LINK_TO_ITHFHWCBSPSWR58 / Slot7.3_28 / Redundante"/>
    <x v="0"/>
    <b v="0"/>
    <s v="No está en VPC"/>
    <n v="840"/>
    <s v="INTPG_VPC_835_1.15_840_1.15"/>
    <s v="ISEL-1.15"/>
    <n v="1"/>
    <s v="NO TIENE L3OUT"/>
    <n v="8"/>
    <n v="54"/>
  </r>
  <r>
    <n v="856"/>
    <x v="2"/>
    <x v="221"/>
    <s v="eth1/15"/>
    <x v="0"/>
    <x v="0"/>
    <x v="0"/>
    <s v="LINK_TO_ITHFHWCRMPLCN139 / Slot1.2_12 / Principal"/>
    <x v="0"/>
    <b v="0"/>
    <s v="No está en VPC"/>
    <n v="856"/>
    <s v="INTPG_ACC_856_1.15"/>
    <s v="ISEL-1.15"/>
    <n v="2"/>
    <s v="NO TIENE L3OUT"/>
    <n v="286"/>
    <n v="54"/>
  </r>
  <r>
    <n v="110"/>
    <x v="0"/>
    <x v="222"/>
    <s v="eth1/15"/>
    <x v="0"/>
    <x v="0"/>
    <x v="0"/>
    <s v="DESC"/>
    <x v="6"/>
    <b v="0"/>
    <s v="No está en VPC"/>
    <n v="110"/>
    <s v="INTPG_PC_110_1.15-16_22-23_30"/>
    <s v="ISEL-1.15"/>
    <n v="1"/>
    <s v="NO TIENE L3OUT"/>
    <n v="102"/>
    <n v="96"/>
  </r>
  <r>
    <n v="163"/>
    <x v="0"/>
    <x v="223"/>
    <s v="eth1/15"/>
    <x v="0"/>
    <x v="0"/>
    <x v="0"/>
    <s v="SICOP"/>
    <x v="6"/>
    <b v="0"/>
    <s v="No está en VPC"/>
    <n v="163"/>
    <s v="INTPG_ACC_163_1.15"/>
    <s v="ISEL-1.15"/>
    <n v="1"/>
    <s v="NO TIENE L3OUT"/>
    <n v="140"/>
    <n v="96"/>
  </r>
  <r>
    <n v="407"/>
    <x v="1"/>
    <x v="224"/>
    <s v="eth1/15"/>
    <x v="0"/>
    <x v="0"/>
    <x v="0"/>
    <s v="ITHHPGRLKEN12_ICM2 Q1"/>
    <x v="6"/>
    <b v="0"/>
    <s v="No está en VPC"/>
    <n v="407"/>
    <s v="INTPG_ACC_407_1.15"/>
    <s v="ISEL-1.15"/>
    <n v="1"/>
    <s v="NO TIENE L3OUT"/>
    <n v="122"/>
    <n v="96"/>
  </r>
  <r>
    <n v="171"/>
    <x v="0"/>
    <x v="225"/>
    <s v="eth1/15"/>
    <x v="1"/>
    <x v="1"/>
    <x v="2"/>
    <s v="ENIQ3GMX_CLIENT1"/>
    <x v="6"/>
    <b v="0"/>
    <s v="No está en VPC"/>
    <n v="171"/>
    <s v="INTPG_VPC_171_1.5_15_172_1.5_67"/>
    <s v="ISEL-1.15"/>
    <n v="10"/>
    <s v="NO TIENE L3OUT"/>
    <n v="114"/>
    <n v="96"/>
  </r>
  <r>
    <n v="421"/>
    <x v="1"/>
    <x v="226"/>
    <s v="eth1/15"/>
    <x v="1"/>
    <x v="1"/>
    <x v="2"/>
    <s v="VMS_HW_SERV_DATOS"/>
    <x v="6"/>
    <b v="0"/>
    <s v="No está en VPC"/>
    <n v="421"/>
    <s v="INTPG_VPC_419_1.15_421_1.15"/>
    <s v="ISEL-1.15"/>
    <n v="1"/>
    <s v="NO TIENE L3OUT"/>
    <n v="72"/>
    <n v="96"/>
  </r>
  <r>
    <n v="173"/>
    <x v="0"/>
    <x v="227"/>
    <s v="eth1/15"/>
    <x v="0"/>
    <x v="0"/>
    <x v="0"/>
    <s v="ENIQ"/>
    <x v="6"/>
    <b v="0"/>
    <s v="No está en VPC"/>
    <n v="173"/>
    <s v="INTPG_ACC_173_1.15"/>
    <s v="ISEL-1.15"/>
    <n v="1"/>
    <s v="NO TIENE L3OUT"/>
    <n v="66"/>
    <n v="96"/>
  </r>
  <r>
    <n v="154"/>
    <x v="0"/>
    <x v="228"/>
    <s v="eth1/15"/>
    <x v="0"/>
    <x v="0"/>
    <x v="0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15"/>
    <x v="0"/>
    <x v="1"/>
    <x v="1"/>
    <s v="OSS_3G_12_2_DATOS"/>
    <x v="6"/>
    <b v="0"/>
    <s v="No está en VPC"/>
    <n v="172"/>
    <s v="INTPG_VPC_171_1.6_17_172_1.6_15"/>
    <s v="ISEL-1.15"/>
    <n v="5"/>
    <s v="NO TIENE L3OUT"/>
    <n v="104"/>
    <n v="96"/>
  </r>
  <r>
    <n v="420"/>
    <x v="1"/>
    <x v="230"/>
    <s v="eth1/15"/>
    <x v="0"/>
    <x v="0"/>
    <x v="0"/>
    <s v="DCX_BKP2"/>
    <x v="6"/>
    <b v="0"/>
    <s v="No está en VPC"/>
    <n v="420"/>
    <s v="INTPG_ACC_420_1.15"/>
    <s v="ISEL-1.15"/>
    <n v="1"/>
    <s v="NO TIENE L3OUT"/>
    <n v="158"/>
    <n v="96"/>
  </r>
  <r>
    <n v="423"/>
    <x v="1"/>
    <x v="231"/>
    <s v="eth1/15"/>
    <x v="0"/>
    <x v="0"/>
    <x v="0"/>
    <s v="ITHVC1_eth0_IPMP-Activa"/>
    <x v="6"/>
    <b v="0"/>
    <s v="No está en VPC"/>
    <n v="423"/>
    <s v="INTPG_ACC_423_1.15"/>
    <s v="ISEL-1.15"/>
    <n v="1"/>
    <s v="NO TIENE L3OUT"/>
    <n v="86"/>
    <n v="96"/>
  </r>
  <r>
    <n v="415"/>
    <x v="1"/>
    <x v="232"/>
    <s v="eth1/15"/>
    <x v="0"/>
    <x v="0"/>
    <x v="0"/>
    <s v="TIMEPICTRA-GESTION"/>
    <x v="6"/>
    <b v="0"/>
    <s v="No está en VPC"/>
    <n v="415"/>
    <s v="INTPG_ACC_415_1.15"/>
    <s v="ISEL-1.15"/>
    <n v="1"/>
    <s v="NO TIENE L3OUT"/>
    <n v="52"/>
    <n v="96"/>
  </r>
  <r>
    <n v="102"/>
    <x v="0"/>
    <x v="233"/>
    <s v="eth1/15"/>
    <x v="0"/>
    <x v="1"/>
    <x v="1"/>
    <s v="SFLDI:RLDICDR06:1"/>
    <x v="6"/>
    <b v="0"/>
    <s v="No está en VPC"/>
    <n v="102"/>
    <s v="INTPG_ACC_102_1.15"/>
    <s v="ISEL-1.15"/>
    <n v="1"/>
    <s v="NO TIENE L3OUT"/>
    <n v="228"/>
    <n v="96"/>
  </r>
  <r>
    <n v="863"/>
    <x v="2"/>
    <x v="234"/>
    <s v="eth1/15"/>
    <x v="0"/>
    <x v="0"/>
    <x v="0"/>
    <s v="To_VPC_2DCBSD_HD41_3"/>
    <x v="0"/>
    <b v="0"/>
    <s v="No está en VPC"/>
    <n v="863"/>
    <s v="INTPG_VPC_858_1.15_863_1.15"/>
    <s v="ISEL-1.15"/>
    <n v="1"/>
    <s v="NO TIENE L3OUT"/>
    <n v="8"/>
    <n v="54"/>
  </r>
  <r>
    <n v="876"/>
    <x v="2"/>
    <x v="235"/>
    <s v="eth1/15"/>
    <x v="0"/>
    <x v="0"/>
    <x v="0"/>
    <s v="LINK_TO_ITHFHWSEQLIMPS26 / Slot 4 PTO 1 / Principal"/>
    <x v="4"/>
    <b v="0"/>
    <s v="No está en VPC"/>
    <n v="876"/>
    <s v="INTPG_ACC_876_1.15"/>
    <s v="ISEL-1.15"/>
    <n v="1"/>
    <s v="NO TIENE L3OUT"/>
    <n v="92"/>
    <n v="54"/>
  </r>
  <r>
    <n v="877"/>
    <x v="2"/>
    <x v="236"/>
    <s v="eth1/15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15"/>
    <x v="0"/>
    <x v="0"/>
    <x v="0"/>
    <s v="TEMIPAMX"/>
    <x v="6"/>
    <b v="0"/>
    <s v="No está en VPC"/>
    <n v="122"/>
    <s v="INTPG_ACC_122_1.15"/>
    <s v="ISEL-1.15"/>
    <n v="1"/>
    <s v="NO TIENE L3OUT"/>
    <n v="148"/>
    <n v="96"/>
  </r>
  <r>
    <n v="157"/>
    <x v="0"/>
    <x v="238"/>
    <s v="eth1/15"/>
    <x v="1"/>
    <x v="1"/>
    <x v="2"/>
    <s v="Consolidaci\u00f3n Aplicaciones Prepago"/>
    <x v="6"/>
    <b v="0"/>
    <s v="No está en VPC"/>
    <n v="157"/>
    <s v="INTPG_ACC_157_1.15"/>
    <s v="ISEL-1.15"/>
    <n v="0"/>
    <s v="NO TIENE L3OUT"/>
    <n v="202"/>
    <n v="96"/>
  </r>
  <r>
    <n v="408"/>
    <x v="1"/>
    <x v="239"/>
    <s v="eth1/15"/>
    <x v="0"/>
    <x v="0"/>
    <x v="0"/>
    <s v="RESPAL_CS5_ASAP8"/>
    <x v="6"/>
    <b v="0"/>
    <s v="No está en VPC"/>
    <n v="408"/>
    <s v="INTPG_ACC_408_1.15"/>
    <s v="ISEL-1.15"/>
    <n v="1"/>
    <s v="NO TIENE L3OUT"/>
    <n v="152"/>
    <n v="96"/>
  </r>
  <r>
    <n v="405"/>
    <x v="1"/>
    <x v="240"/>
    <s v="eth1/15"/>
    <x v="0"/>
    <x v="0"/>
    <x v="0"/>
    <s v="XL5 RLR5ARI05 iLO"/>
    <x v="6"/>
    <b v="0"/>
    <s v="No está en VPC"/>
    <n v="405"/>
    <s v="INTPG_ACC_405_1.15"/>
    <s v="ISEL-1.15"/>
    <n v="1"/>
    <s v="NO TIENE L3OUT"/>
    <n v="138"/>
    <n v="96"/>
  </r>
  <r>
    <n v="169"/>
    <x v="0"/>
    <x v="241"/>
    <s v="eth1/15"/>
    <x v="1"/>
    <x v="1"/>
    <x v="2"/>
    <s v="MMSC_WAPGW"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15"/>
    <x v="0"/>
    <x v="0"/>
    <x v="0"/>
    <s v="UXLDAP"/>
    <x v="6"/>
    <b v="0"/>
    <s v="No está en VPC"/>
    <n v="165"/>
    <s v="INTPG_ACC_165_1.15"/>
    <s v="ISEL-1.15"/>
    <n v="1"/>
    <s v="NO TIENE L3OUT"/>
    <n v="86"/>
    <n v="96"/>
  </r>
  <r>
    <n v="417"/>
    <x v="1"/>
    <x v="243"/>
    <s v="eth1/15"/>
    <x v="0"/>
    <x v="0"/>
    <x v="0"/>
    <s v="IXTSRM1_VM4"/>
    <x v="6"/>
    <b v="0"/>
    <s v="No está en VPC"/>
    <n v="417"/>
    <s v="INTPG_ACC_417_1.15"/>
    <s v="ISEL-1.15"/>
    <n v="1"/>
    <s v="NO TIENE L3OUT"/>
    <n v="56"/>
    <n v="96"/>
  </r>
  <r>
    <n v="153"/>
    <x v="0"/>
    <x v="244"/>
    <s v="eth1/15"/>
    <x v="0"/>
    <x v="0"/>
    <x v="0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15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15"/>
    <x v="0"/>
    <x v="0"/>
    <x v="0"/>
    <s v="VMAX II SYS"/>
    <x v="6"/>
    <b v="0"/>
    <s v="No está en VPC"/>
    <n v="156"/>
    <s v="INTPG_ACC_156_1.15"/>
    <s v="ISEL-1.15"/>
    <n v="1"/>
    <s v="NO TIENE L3OUT"/>
    <n v="40"/>
    <n v="96"/>
  </r>
  <r>
    <n v="103"/>
    <x v="0"/>
    <x v="247"/>
    <s v="eth1/15"/>
    <x v="0"/>
    <x v="0"/>
    <x v="0"/>
    <s v="DATOS LENOVO"/>
    <x v="6"/>
    <b v="0"/>
    <s v="No está en VPC"/>
    <n v="103"/>
    <s v="INTPG_ACC_103_1.15"/>
    <s v="ISEL-1.15"/>
    <n v="1"/>
    <s v="NO TIENE L3OUT"/>
    <n v="70"/>
    <n v="96"/>
  </r>
  <r>
    <n v="438"/>
    <x v="1"/>
    <x v="248"/>
    <s v="eth1/15"/>
    <x v="0"/>
    <x v="1"/>
    <x v="5"/>
    <s v="MIGRACION_SAP-BO1"/>
    <x v="6"/>
    <b v="0"/>
    <s v="No está en VPC"/>
    <n v="438"/>
    <s v="INTPG_VPC_436_1.15_438_1.15"/>
    <s v="ISEL-1.15"/>
    <n v="1"/>
    <s v="NO TIENE L3OUT"/>
    <n v="170"/>
    <n v="96"/>
  </r>
  <r>
    <n v="406"/>
    <x v="1"/>
    <x v="249"/>
    <s v="eth1/15"/>
    <x v="0"/>
    <x v="0"/>
    <x v="0"/>
    <s v="ITHRTC32VC1"/>
    <x v="6"/>
    <b v="0"/>
    <s v="No está en VPC"/>
    <n v="406"/>
    <s v="INTPG_VPC_404_1.15_406_1.15"/>
    <s v="ISEL-1.15"/>
    <n v="1"/>
    <s v="NO TIENE L3OUT"/>
    <n v="82"/>
    <n v="96"/>
  </r>
  <r>
    <n v="414"/>
    <x v="1"/>
    <x v="250"/>
    <s v="eth1/15"/>
    <x v="0"/>
    <x v="0"/>
    <x v="0"/>
    <s v="9UCS-IXTLA-WEBEX-SERV2"/>
    <x v="6"/>
    <b v="0"/>
    <s v="No está en VPC"/>
    <n v="414"/>
    <s v="INTPG_ACC_414_1.15"/>
    <s v="ISEL-1.15"/>
    <n v="1"/>
    <s v="NO TIENE L3OUT"/>
    <n v="144"/>
    <n v="96"/>
  </r>
  <r>
    <n v="416"/>
    <x v="1"/>
    <x v="251"/>
    <s v="eth1/15"/>
    <x v="0"/>
    <x v="1"/>
    <x v="5"/>
    <s v="sfroap05-ROAMINGCSG_CLIENT1"/>
    <x v="6"/>
    <b v="0"/>
    <s v="No está en VPC"/>
    <n v="416"/>
    <s v="INTPG_VPC_416_1.15_418_1.15"/>
    <s v="ISEL-1.15"/>
    <n v="1"/>
    <s v="NO TIENE L3OUT"/>
    <n v="110"/>
    <n v="96"/>
  </r>
  <r>
    <n v="418"/>
    <x v="1"/>
    <x v="252"/>
    <s v="eth1/15"/>
    <x v="0"/>
    <x v="1"/>
    <x v="5"/>
    <s v="sfroap05-ROAMINGCSG_CLIENT1"/>
    <x v="6"/>
    <b v="0"/>
    <s v="No está en VPC"/>
    <n v="418"/>
    <s v="INTPG_VPC_416_1.15_418_1.15"/>
    <s v="ISEL-1.15"/>
    <n v="1"/>
    <s v="NO TIENE L3OUT"/>
    <n v="152"/>
    <n v="96"/>
  </r>
  <r>
    <n v="413"/>
    <x v="1"/>
    <x v="253"/>
    <s v="eth1/15"/>
    <x v="0"/>
    <x v="0"/>
    <x v="0"/>
    <s v="lagidmhlapvp06_produccion1"/>
    <x v="6"/>
    <b v="0"/>
    <s v="No está en VPC"/>
    <n v="413"/>
    <s v="INTPG_VPC_411_1.21-24_413_1.14-17"/>
    <s v="ISEL-1.15"/>
    <n v="2"/>
    <s v="NO TIENE L3OUT"/>
    <n v="126"/>
    <n v="96"/>
  </r>
  <r>
    <n v="403"/>
    <x v="1"/>
    <x v="254"/>
    <s v="eth1/15"/>
    <x v="0"/>
    <x v="0"/>
    <x v="0"/>
    <s v="XL5 RLR5ARI05"/>
    <x v="6"/>
    <b v="0"/>
    <s v="No está en VPC"/>
    <n v="403"/>
    <s v="INTPG_ACC_403_1.15"/>
    <s v="ISEL-1.15"/>
    <n v="1"/>
    <s v="NO TIENE L3OUT"/>
    <n v="150"/>
    <n v="96"/>
  </r>
  <r>
    <n v="125"/>
    <x v="0"/>
    <x v="255"/>
    <s v="eth1/15"/>
    <x v="0"/>
    <x v="0"/>
    <x v="0"/>
    <s v="GSM_OSS_TIJ"/>
    <x v="6"/>
    <b v="0"/>
    <s v="No está en VPC"/>
    <n v="125"/>
    <s v="INTPG_ACC_125_1.15"/>
    <s v="ISEL-1.15"/>
    <n v="1"/>
    <s v="NO TIENE L3OUT"/>
    <n v="72"/>
    <n v="96"/>
  </r>
  <r>
    <n v="166"/>
    <x v="0"/>
    <x v="256"/>
    <s v="eth1/15"/>
    <x v="0"/>
    <x v="0"/>
    <x v="0"/>
    <s v="UXLDAP"/>
    <x v="6"/>
    <b v="0"/>
    <s v="No está en VPC"/>
    <n v="166"/>
    <s v="INTPG_ACC_166_1.15"/>
    <s v="ISEL-1.15"/>
    <n v="1"/>
    <s v="NO TIENE L3OUT"/>
    <n v="84"/>
    <n v="96"/>
  </r>
  <r>
    <n v="111"/>
    <x v="0"/>
    <x v="257"/>
    <s v="eth1/15"/>
    <x v="0"/>
    <x v="0"/>
    <x v="0"/>
    <s v="DESC"/>
    <x v="6"/>
    <b v="0"/>
    <s v="No está en VPC"/>
    <n v="111"/>
    <s v="INTPG_PC_111_1.15-16_22-23_30"/>
    <s v="ISEL-1.15"/>
    <n v="1"/>
    <s v="NO TIENE L3OUT"/>
    <n v="58"/>
    <n v="96"/>
  </r>
  <r>
    <n v="115"/>
    <x v="0"/>
    <x v="258"/>
    <s v="eth1/15"/>
    <x v="0"/>
    <x v="0"/>
    <x v="0"/>
    <s v="TO-ITHFDEVYCWPBD01-PRINCIPAL"/>
    <x v="6"/>
    <b v="0"/>
    <s v="No está en VPC"/>
    <n v="115"/>
    <s v="INTPG_ACC_115_1.15"/>
    <s v="ISEL-1.15"/>
    <n v="1"/>
    <s v="NO TIENE L3OUT"/>
    <n v="42"/>
    <n v="96"/>
  </r>
  <r>
    <n v="106"/>
    <x v="0"/>
    <x v="259"/>
    <s v="eth1/15"/>
    <x v="0"/>
    <x v="0"/>
    <x v="0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15"/>
    <x v="0"/>
    <x v="0"/>
    <x v="0"/>
    <s v="SAN_ENIQ_4"/>
    <x v="6"/>
    <b v="0"/>
    <s v="No está en VPC"/>
    <n v="126"/>
    <s v="INTPG_ACC_126_1.15"/>
    <s v="ISEL-1.15"/>
    <n v="1"/>
    <s v="NO TIENE L3OUT"/>
    <n v="54"/>
    <n v="96"/>
  </r>
  <r>
    <n v="425"/>
    <x v="1"/>
    <x v="261"/>
    <s v="eth1/15"/>
    <x v="0"/>
    <x v="0"/>
    <x v="0"/>
    <s v="PortalCautivo2_stpcau02_netmgt"/>
    <x v="6"/>
    <b v="0"/>
    <s v="No está en VPC"/>
    <n v="425"/>
    <s v="INTPG_ACC_425_1.15"/>
    <s v="ISEL-1.15"/>
    <n v="1"/>
    <s v="NO TIENE L3OUT"/>
    <n v="86"/>
    <n v="96"/>
  </r>
  <r>
    <n v="151"/>
    <x v="0"/>
    <x v="262"/>
    <s v="eth1/15"/>
    <x v="0"/>
    <x v="0"/>
    <x v="0"/>
    <s v="DASHBOARD"/>
    <x v="6"/>
    <b v="0"/>
    <s v="No está en VPC"/>
    <n v="151"/>
    <s v="INTPG_ACC_151_1.15"/>
    <s v="ISEL-1.15"/>
    <n v="1"/>
    <s v="NO TIENE L3OUT"/>
    <n v="86"/>
    <n v="96"/>
  </r>
  <r>
    <n v="430"/>
    <x v="1"/>
    <x v="263"/>
    <s v="eth1/15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15"/>
    <x v="0"/>
    <x v="0"/>
    <x v="0"/>
    <s v="VMS_HW_SERV_DATOS"/>
    <x v="6"/>
    <b v="0"/>
    <s v="No está en VPC"/>
    <n v="419"/>
    <s v="INTPG_VPC_419_1.15_421_1.15"/>
    <s v="ISEL-1.15"/>
    <n v="1"/>
    <s v="NO TIENE L3OUT"/>
    <n v="70"/>
    <n v="96"/>
  </r>
  <r>
    <n v="155"/>
    <x v="0"/>
    <x v="265"/>
    <s v="eth1/15"/>
    <x v="0"/>
    <x v="0"/>
    <x v="0"/>
    <s v="COBROS NAVEGACION"/>
    <x v="6"/>
    <b v="0"/>
    <s v="No está en VPC"/>
    <n v="155"/>
    <s v="INTPG_ACC_155_1.15"/>
    <s v="ISEL-1.15"/>
    <n v="1"/>
    <s v="NO TIENE L3OUT"/>
    <n v="198"/>
    <n v="96"/>
  </r>
  <r>
    <n v="409"/>
    <x v="1"/>
    <x v="266"/>
    <s v="eth1/15"/>
    <x v="0"/>
    <x v="0"/>
    <x v="0"/>
    <s v="IXT_SIEU"/>
    <x v="6"/>
    <b v="0"/>
    <s v="No está en VPC"/>
    <n v="409"/>
    <s v="INTPG_ACC_409_1.15"/>
    <s v="ISEL-1.15"/>
    <n v="1"/>
    <s v="NO TIENE L3OUT"/>
    <n v="128"/>
    <n v="96"/>
  </r>
  <r>
    <n v="422"/>
    <x v="1"/>
    <x v="267"/>
    <s v="eth1/15"/>
    <x v="0"/>
    <x v="0"/>
    <x v="0"/>
    <s v="ESL_G3_IO"/>
    <x v="6"/>
    <b v="0"/>
    <s v="No está en VPC"/>
    <n v="422"/>
    <s v="INTPG_ACC_422_1.15"/>
    <s v="ISEL-1.15"/>
    <n v="1"/>
    <s v="NO TIENE L3OUT"/>
    <n v="182"/>
    <n v="96"/>
  </r>
  <r>
    <n v="436"/>
    <x v="1"/>
    <x v="268"/>
    <s v="eth1/15"/>
    <x v="0"/>
    <x v="0"/>
    <x v="0"/>
    <s v="MIGRACION_SAP-BO1"/>
    <x v="6"/>
    <b v="0"/>
    <s v="No está en VPC"/>
    <n v="436"/>
    <s v="INTPG_VPC_436_1.15_438_1.15"/>
    <s v="ISEL-1.15"/>
    <n v="1"/>
    <s v="NO TIENE L3OUT"/>
    <n v="172"/>
    <n v="96"/>
  </r>
  <r>
    <n v="410"/>
    <x v="1"/>
    <x v="269"/>
    <s v="eth1/15"/>
    <x v="0"/>
    <x v="0"/>
    <x v="0"/>
    <s v="NET0"/>
    <x v="6"/>
    <b v="0"/>
    <s v="No está en VPC"/>
    <n v="410"/>
    <s v="INTPG_ACC_410_1.15"/>
    <s v="ISEL-1.15"/>
    <n v="1"/>
    <s v="NO TIENE L3OUT"/>
    <n v="178"/>
    <n v="96"/>
  </r>
  <r>
    <n v="161"/>
    <x v="0"/>
    <x v="270"/>
    <s v="eth1/15"/>
    <x v="0"/>
    <x v="0"/>
    <x v="0"/>
    <m/>
    <x v="6"/>
    <b v="0"/>
    <s v="No está en VPC"/>
    <n v="161"/>
    <s v="INTPG_PC_161_1.15-10"/>
    <s v="ISEL-1.15"/>
    <n v="1"/>
    <s v="NO TIENE L3OUT"/>
    <n v="102"/>
    <n v="96"/>
  </r>
  <r>
    <n v="411"/>
    <x v="1"/>
    <x v="271"/>
    <s v="eth1/15"/>
    <x v="0"/>
    <x v="0"/>
    <x v="0"/>
    <s v="GESTOR"/>
    <x v="6"/>
    <b v="0"/>
    <s v="No está en VPC"/>
    <n v="411"/>
    <s v="INTPG_ACC_411_1.15"/>
    <s v="ISEL-1.15"/>
    <n v="1"/>
    <s v="NO TIENE L3OUT"/>
    <n v="96"/>
    <n v="96"/>
  </r>
  <r>
    <n v="116"/>
    <x v="0"/>
    <x v="272"/>
    <s v="eth1/15"/>
    <x v="0"/>
    <x v="0"/>
    <x v="0"/>
    <s v="COBROS NAVEGACION"/>
    <x v="6"/>
    <b v="0"/>
    <s v="No está en VPC"/>
    <n v="116"/>
    <s v="INTPG_ACC_116_1.15"/>
    <s v="ISEL-1.15"/>
    <n v="1"/>
    <s v="NO TIENE L3OUT"/>
    <n v="148"/>
    <n v="96"/>
  </r>
  <r>
    <n v="412"/>
    <x v="1"/>
    <x v="273"/>
    <s v="eth1/15"/>
    <x v="0"/>
    <x v="0"/>
    <x v="0"/>
    <s v="RESPAL_CS5_ASAP8"/>
    <x v="6"/>
    <b v="0"/>
    <s v="No está en VPC"/>
    <n v="412"/>
    <s v="INTPG_ACC_412_1.15"/>
    <s v="ISEL-1.15"/>
    <n v="1"/>
    <s v="NO TIENE L3OUT"/>
    <n v="126"/>
    <n v="96"/>
  </r>
  <r>
    <n v="120"/>
    <x v="0"/>
    <x v="274"/>
    <s v="eth1/15"/>
    <x v="1"/>
    <x v="1"/>
    <x v="2"/>
    <s v="TEMIPAMX"/>
    <x v="6"/>
    <b v="0"/>
    <s v="No está en VPC"/>
    <n v="120"/>
    <s v="INTPG_ACC_120_1.15"/>
    <s v="ISEL-1.15"/>
    <n v="1"/>
    <s v="NO TIENE L3OUT"/>
    <n v="158"/>
    <n v="96"/>
  </r>
  <r>
    <n v="404"/>
    <x v="1"/>
    <x v="275"/>
    <s v="eth1/15"/>
    <x v="0"/>
    <x v="0"/>
    <x v="0"/>
    <s v="ITHRTC32VC1"/>
    <x v="6"/>
    <b v="0"/>
    <s v="No está en VPC"/>
    <n v="404"/>
    <s v="INTPG_VPC_404_1.15_406_1.15"/>
    <s v="ISEL-1.15"/>
    <n v="1"/>
    <s v="NO TIENE L3OUT"/>
    <n v="92"/>
    <n v="96"/>
  </r>
  <r>
    <n v="167"/>
    <x v="0"/>
    <x v="276"/>
    <s v="eth1/15"/>
    <x v="0"/>
    <x v="0"/>
    <x v="0"/>
    <s v="LINKDOWN_HACIA_UCS_9UCS-IXTLA-SERV4"/>
    <x v="6"/>
    <b v="0"/>
    <s v="No está en VPC"/>
    <n v="167"/>
    <s v="INTPG_ACC_167_1.15"/>
    <s v="ISEL-1.15"/>
    <n v="1"/>
    <s v="NO TIENE L3OUT"/>
    <n v="68"/>
    <n v="96"/>
  </r>
  <r>
    <n v="428"/>
    <x v="1"/>
    <x v="277"/>
    <s v="eth1/15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903"/>
    <x v="2"/>
    <x v="278"/>
    <s v="eth1/1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1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16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16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16"/>
    <x v="0"/>
    <x v="0"/>
    <x v="0"/>
    <s v="IXTPA3PC"/>
    <x v="1"/>
    <b v="0"/>
    <s v="No está en VPC"/>
    <n v="152"/>
    <s v="INTPG_ACC_152_1.16"/>
    <s v="ISEL-1.16"/>
    <n v="1"/>
    <s v="NO TIENE L3OUT"/>
    <n v="38"/>
    <n v="54"/>
  </r>
  <r>
    <n v="101"/>
    <x v="0"/>
    <x v="3"/>
    <s v="eth1/16"/>
    <x v="0"/>
    <x v="0"/>
    <x v="0"/>
    <m/>
    <x v="0"/>
    <b v="0"/>
    <s v="No está en VPC"/>
    <n v="101"/>
    <s v="INTPG_PC_101_1.15-16"/>
    <s v="ISEL-1.16"/>
    <n v="0"/>
    <s v="L3OUT-IAP-GPRS-GI-CORP"/>
    <n v="114"/>
    <n v="54"/>
  </r>
  <r>
    <n v="160"/>
    <x v="0"/>
    <x v="4"/>
    <s v="eth1/16"/>
    <x v="1"/>
    <x v="1"/>
    <x v="2"/>
    <m/>
    <x v="1"/>
    <b v="0"/>
    <s v="No está en VPC"/>
    <n v="160"/>
    <s v="INTPG_ACC_160_1.16"/>
    <s v="ISEL-1.16"/>
    <n v="0"/>
    <s v="NO TIENE L3OUT"/>
    <n v="68"/>
    <n v="54"/>
  </r>
  <r>
    <n v="121"/>
    <x v="0"/>
    <x v="5"/>
    <s v="eth1/16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16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16"/>
    <x v="0"/>
    <x v="0"/>
    <x v="0"/>
    <s v="CEMOD1"/>
    <x v="0"/>
    <b v="0"/>
    <s v="No está en VPC"/>
    <n v="401"/>
    <s v="INTPG_VPC_401_1.13_16_402_1.13_16"/>
    <s v="ISEL-1.16"/>
    <n v="2"/>
    <s v="NO TIENE L3OUT"/>
    <n v="40"/>
    <n v="54"/>
  </r>
  <r>
    <n v="402"/>
    <x v="1"/>
    <x v="8"/>
    <s v="eth1/16"/>
    <x v="0"/>
    <x v="1"/>
    <x v="1"/>
    <s v="CEMOD1"/>
    <x v="0"/>
    <b v="0"/>
    <s v="No está en VPC"/>
    <n v="402"/>
    <s v="INTPG_VPC_401_1.13_16_402_1.13_16"/>
    <s v="ISEL-1.16"/>
    <n v="2"/>
    <s v="NO TIENE L3OUT"/>
    <n v="36"/>
    <n v="54"/>
  </r>
  <r>
    <n v="447"/>
    <x v="1"/>
    <x v="9"/>
    <s v="eth1/16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16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16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16"/>
    <x v="0"/>
    <x v="0"/>
    <x v="0"/>
    <s v="PO2_TO_ithenm01nas2r91"/>
    <x v="0"/>
    <b v="0"/>
    <s v="No está en VPC"/>
    <n v="150"/>
    <s v="INTPG_PC_150_1.15-16"/>
    <s v="ISEL-1.16"/>
    <n v="0"/>
    <s v="L3OUT-IAP-GPRS-GI-CORP"/>
    <n v="118"/>
    <n v="54"/>
  </r>
  <r>
    <n v="131"/>
    <x v="0"/>
    <x v="13"/>
    <s v="eth1/16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16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16"/>
    <x v="0"/>
    <x v="0"/>
    <x v="0"/>
    <s v="TO-ITHHPGRLKEN01-ITHFYBSOIDLBD02-YELLOWBRICK-ANDROMEDA"/>
    <x v="2"/>
    <b v="0"/>
    <s v="No está en VPC"/>
    <n v="758"/>
    <s v="INTPG_VPC_758_1.16_759_1.16"/>
    <s v="ISEL-1.16"/>
    <n v="1"/>
    <s v="NO TIENE L3OUT"/>
    <n v="0"/>
    <n v="42"/>
  </r>
  <r>
    <n v="759"/>
    <x v="2"/>
    <x v="16"/>
    <s v="eth1/16"/>
    <x v="0"/>
    <x v="0"/>
    <x v="0"/>
    <s v="TO-ITHHPGRLKEN01-ITHFYBSOIDLBD02-YELLOWBRICK-ANDROMEDA"/>
    <x v="2"/>
    <b v="0"/>
    <s v="No está en VPC"/>
    <n v="759"/>
    <s v="INTPG_VPC_758_1.16_759_1.16"/>
    <s v="ISEL-1.16"/>
    <n v="1"/>
    <s v="NO TIENE L3OUT"/>
    <n v="0"/>
    <n v="42"/>
  </r>
  <r>
    <n v="302"/>
    <x v="0"/>
    <x v="17"/>
    <s v="eth1/16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16"/>
    <x v="0"/>
    <x v="0"/>
    <x v="0"/>
    <s v="PORTA_EXP_ILOM"/>
    <x v="1"/>
    <b v="0"/>
    <s v="No está en VPC"/>
    <n v="424"/>
    <s v="INTPG_ACC_424_1.16"/>
    <s v="ISEL-1.16"/>
    <n v="1"/>
    <s v="NO TIENE L3OUT"/>
    <n v="16"/>
    <n v="54"/>
  </r>
  <r>
    <n v="426"/>
    <x v="1"/>
    <x v="19"/>
    <s v="eth1/16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16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16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16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16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16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16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16"/>
    <x v="0"/>
    <x v="0"/>
    <x v="0"/>
    <s v="TO- HUAWEI_CLOUD_GAPS_LAG1"/>
    <x v="0"/>
    <b v="0"/>
    <s v="No está en VPC"/>
    <n v="431"/>
    <s v="INTPG_VPC_431_1.16-17_448_1.16-17"/>
    <s v="ISEL-1.16"/>
    <n v="39"/>
    <s v="NO TIENE L3OUT"/>
    <n v="46"/>
    <n v="54"/>
  </r>
  <r>
    <n v="433"/>
    <x v="1"/>
    <x v="27"/>
    <s v="eth1/16"/>
    <x v="0"/>
    <x v="0"/>
    <x v="0"/>
    <s v="IXT_PM_3_eth1_Primario"/>
    <x v="1"/>
    <b v="0"/>
    <s v="No está en VPC"/>
    <n v="433"/>
    <s v="INTPG_ACC_433_1.16"/>
    <s v="ISEL-1.16"/>
    <n v="1"/>
    <s v="NO TIENE L3OUT"/>
    <n v="42"/>
    <n v="54"/>
  </r>
  <r>
    <n v="429"/>
    <x v="1"/>
    <x v="28"/>
    <s v="eth1/16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16"/>
    <x v="0"/>
    <x v="1"/>
    <x v="1"/>
    <s v="s6800t_PTO1_MGMT_RHEV_HUAWEI"/>
    <x v="1"/>
    <b v="0"/>
    <s v="No está en VPC"/>
    <n v="432"/>
    <s v="INTPG_ACC_432_1.16"/>
    <s v="ISEL-1.16"/>
    <n v="1"/>
    <s v="NO TIENE L3OUT"/>
    <n v="54"/>
    <n v="54"/>
  </r>
  <r>
    <n v="442"/>
    <x v="1"/>
    <x v="30"/>
    <s v="eth1/16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16"/>
    <x v="0"/>
    <x v="0"/>
    <x v="0"/>
    <s v="TO-uxidmbd-NET3"/>
    <x v="1"/>
    <b v="0"/>
    <s v="No está en VPC"/>
    <n v="434"/>
    <s v="INTPG_ACC_434_1.16"/>
    <s v="ISEL-1.16"/>
    <n v="1"/>
    <s v="NO TIENE L3OUT"/>
    <n v="34"/>
    <n v="54"/>
  </r>
  <r>
    <n v="707"/>
    <x v="2"/>
    <x v="32"/>
    <s v="eth1/16"/>
    <x v="0"/>
    <x v="1"/>
    <x v="3"/>
    <s v="CEM:ITHCEMG2DAT08:LOM P3"/>
    <x v="0"/>
    <b v="0"/>
    <s v="No está en VPC"/>
    <n v="707"/>
    <s v="INTPG_ACC_707_1.16"/>
    <s v="ISEL-1.16"/>
    <n v="1"/>
    <s v="NO TIENE L3OUT"/>
    <n v="54"/>
    <n v="54"/>
  </r>
  <r>
    <n v="712"/>
    <x v="2"/>
    <x v="33"/>
    <s v="eth1/16"/>
    <x v="0"/>
    <x v="0"/>
    <x v="0"/>
    <s v="CEM:ITHCEMA2DAT08:LOM  P2"/>
    <x v="0"/>
    <b v="0"/>
    <s v="No está en VPC"/>
    <n v="712"/>
    <s v="INTPG_ACC_712_1.16"/>
    <s v="ISEL-1.16"/>
    <n v="1"/>
    <s v="NO TIENE L3OUT"/>
    <n v="32"/>
    <n v="54"/>
  </r>
  <r>
    <n v="719"/>
    <x v="2"/>
    <x v="34"/>
    <s v="eth1/16"/>
    <x v="0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16"/>
    <x v="0"/>
    <x v="0"/>
    <x v="0"/>
    <m/>
    <x v="0"/>
    <b v="0"/>
    <s v="No está en VPC"/>
    <n v="715"/>
    <s v="INTPG-VPC_HDD32_716_1.15_715_1.16"/>
    <s v="ISEL-1.16"/>
    <n v="1"/>
    <s v="NO TIENE L3OUT"/>
    <n v="0"/>
    <n v="54"/>
  </r>
  <r>
    <n v="427"/>
    <x v="1"/>
    <x v="36"/>
    <s v="eth1/16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16"/>
    <x v="0"/>
    <x v="1"/>
    <x v="5"/>
    <s v="CEM:ITHCEMD2DAT08:LOM  P2"/>
    <x v="0"/>
    <b v="0"/>
    <s v="No está en VPC"/>
    <n v="711"/>
    <s v="INTPG_VPC_710_1.15_711_1.16"/>
    <s v="ISEL-1.16"/>
    <n v="1"/>
    <s v="NO TIENE L3OUT"/>
    <n v="16"/>
    <n v="54"/>
  </r>
  <r>
    <n v="716"/>
    <x v="2"/>
    <x v="38"/>
    <s v="eth1/16"/>
    <x v="0"/>
    <x v="0"/>
    <x v="0"/>
    <m/>
    <x v="0"/>
    <b v="0"/>
    <s v="No está en VPC"/>
    <n v="716"/>
    <s v="INTPG-VPC_HDD41_715_1.15_716_1.16"/>
    <s v="ISEL-1.16"/>
    <n v="1"/>
    <s v="NO TIENE L3OUT"/>
    <n v="0"/>
    <n v="54"/>
  </r>
  <r>
    <n v="702"/>
    <x v="2"/>
    <x v="39"/>
    <s v="eth1/16"/>
    <x v="0"/>
    <x v="0"/>
    <x v="0"/>
    <m/>
    <x v="0"/>
    <b v="0"/>
    <s v="No está en VPC"/>
    <n v="702"/>
    <s v="INTPG_VPC_701_1.15_702_1.16"/>
    <s v="ISEL-1.16"/>
    <n v="2"/>
    <s v="NO TIENE L3OUT"/>
    <n v="0"/>
    <n v="54"/>
  </r>
  <r>
    <n v="435"/>
    <x v="1"/>
    <x v="40"/>
    <s v="eth1/16"/>
    <x v="0"/>
    <x v="0"/>
    <x v="0"/>
    <s v="IXT_PM_3_eth2_Secundario"/>
    <x v="1"/>
    <b v="0"/>
    <s v="No está en VPC"/>
    <n v="435"/>
    <s v="INTPG_ACC_435_1.16"/>
    <s v="ISEL-1.16"/>
    <n v="1"/>
    <s v="NO TIENE L3OUT"/>
    <n v="34"/>
    <n v="54"/>
  </r>
  <r>
    <n v="446"/>
    <x v="1"/>
    <x v="41"/>
    <s v="eth1/16"/>
    <x v="0"/>
    <x v="0"/>
    <x v="0"/>
    <s v="TO-ITHFHPNBURBKP09"/>
    <x v="0"/>
    <b v="0"/>
    <s v="No está en VPC"/>
    <n v="446"/>
    <s v="INTPG_VPC_444_1.15_446_1.16"/>
    <s v="ISEL-1.16"/>
    <n v="1"/>
    <s v="NO TIENE L3OUT"/>
    <n v="198"/>
    <n v="54"/>
  </r>
  <r>
    <n v="444"/>
    <x v="1"/>
    <x v="42"/>
    <s v="eth1/16"/>
    <x v="0"/>
    <x v="0"/>
    <x v="0"/>
    <m/>
    <x v="0"/>
    <b v="0"/>
    <s v="No está en VPC"/>
    <n v="444"/>
    <s v="INTPG_ACC_444_1.16"/>
    <s v="ISEL-1.16"/>
    <n v="8"/>
    <s v="NO TIENE L3OUT"/>
    <n v="234"/>
    <n v="54"/>
  </r>
  <r>
    <n v="701"/>
    <x v="2"/>
    <x v="43"/>
    <s v="eth1/16"/>
    <x v="0"/>
    <x v="0"/>
    <x v="0"/>
    <m/>
    <x v="0"/>
    <b v="0"/>
    <s v="No está en VPC"/>
    <n v="701"/>
    <s v="INTPG_VPC_702_1.15_701_1.16"/>
    <s v="ISEL-1.16"/>
    <n v="1"/>
    <s v="NO TIENE L3OUT"/>
    <n v="0"/>
    <n v="54"/>
  </r>
  <r>
    <n v="440"/>
    <x v="1"/>
    <x v="44"/>
    <s v="eth1/16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16"/>
    <x v="0"/>
    <x v="0"/>
    <x v="0"/>
    <s v="TO- HUAWEI_CLOUD_GAPS_LAG1"/>
    <x v="0"/>
    <b v="0"/>
    <s v="No está en VPC"/>
    <n v="448"/>
    <s v="INTPG_VPC_431_1.16-17_448_1.16-17"/>
    <s v="ISEL-1.16"/>
    <n v="39"/>
    <s v="NO TIENE L3OUT"/>
    <n v="46"/>
    <n v="54"/>
  </r>
  <r>
    <n v="704"/>
    <x v="2"/>
    <x v="46"/>
    <s v="eth1/16"/>
    <x v="0"/>
    <x v="0"/>
    <x v="0"/>
    <m/>
    <x v="0"/>
    <b v="0"/>
    <s v="No está en VPC"/>
    <n v="704"/>
    <s v="INTPG_VPC_703_1.15_704_1.16"/>
    <s v="ISEL-1.16"/>
    <n v="1"/>
    <s v="NO TIENE L3OUT"/>
    <n v="0"/>
    <n v="54"/>
  </r>
  <r>
    <n v="729"/>
    <x v="2"/>
    <x v="47"/>
    <s v="eth1/16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16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16"/>
    <x v="0"/>
    <x v="0"/>
    <x v="0"/>
    <s v="HACIA_CSI-A-OSCP-F4-04_SECUNDARIO"/>
    <x v="4"/>
    <b v="0"/>
    <s v="No está en VPC"/>
    <n v="456"/>
    <s v="INTPG_VPC_454_1.16_456_1.16"/>
    <s v="ISEL-1.16"/>
    <n v="2"/>
    <s v="NO TIENE L3OUT"/>
    <n v="4"/>
    <n v="54"/>
  </r>
  <r>
    <n v="603"/>
    <x v="1"/>
    <x v="50"/>
    <s v="eth1/16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16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16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16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16"/>
    <x v="0"/>
    <x v="1"/>
    <x v="1"/>
    <m/>
    <x v="0"/>
    <b v="0"/>
    <s v="No está en VPC"/>
    <n v="722"/>
    <s v="INTPG-VPC_HDD113_723_1.15_722_1.16"/>
    <s v="ISEL-1.16"/>
    <n v="1"/>
    <s v="NO TIENE L3OUT"/>
    <n v="0"/>
    <n v="54"/>
  </r>
  <r>
    <n v="733"/>
    <x v="2"/>
    <x v="55"/>
    <s v="eth1/16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16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16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16"/>
    <x v="0"/>
    <x v="0"/>
    <x v="0"/>
    <s v="OSS F1:ithenmr06e2r9a:Bay2/X2"/>
    <x v="0"/>
    <b v="0"/>
    <s v="No está en VPC"/>
    <n v="756"/>
    <s v="INTPG_PC_756_1.15-18"/>
    <s v="ISEL-1.16"/>
    <n v="1"/>
    <s v="NO TIENE L3OUT"/>
    <n v="64"/>
    <n v="54"/>
  </r>
  <r>
    <n v="754"/>
    <x v="2"/>
    <x v="59"/>
    <s v="eth1/16"/>
    <x v="0"/>
    <x v="0"/>
    <x v="0"/>
    <s v="OSS F1:ithenmnasr9c:PCIe3 Slot 1/2"/>
    <x v="0"/>
    <b v="0"/>
    <s v="No está en VPC"/>
    <n v="754"/>
    <s v="INTPG_PC_754_1.13-16"/>
    <s v="ISEL-1.16"/>
    <n v="1"/>
    <s v="NO TIENE L3OUT"/>
    <n v="62"/>
    <n v="54"/>
  </r>
  <r>
    <n v="751"/>
    <x v="2"/>
    <x v="60"/>
    <s v="eth1/16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16"/>
    <x v="0"/>
    <x v="0"/>
    <x v="0"/>
    <s v="OSS_ENM"/>
    <x v="0"/>
    <b v="0"/>
    <s v="No está en VPC"/>
    <n v="769"/>
    <s v="INTPG_ACC_769_1.16"/>
    <s v="ISEL-1.16"/>
    <n v="1"/>
    <s v="NO TIENE L3OUT"/>
    <n v="60"/>
    <n v="54"/>
  </r>
  <r>
    <n v="742"/>
    <x v="2"/>
    <x v="62"/>
    <s v="eth1/16"/>
    <x v="0"/>
    <x v="1"/>
    <x v="1"/>
    <s v="CEM:ITHCEMB2DAT08:FLEXIO P1"/>
    <x v="5"/>
    <b v="0"/>
    <s v="No está en VPC"/>
    <n v="742"/>
    <s v="INTPG_ACC_742_1.16"/>
    <s v="ISEL-1.16"/>
    <n v="1"/>
    <s v="NO TIENE L3OUT"/>
    <n v="64"/>
    <n v="54"/>
  </r>
  <r>
    <n v="763"/>
    <x v="2"/>
    <x v="63"/>
    <s v="eth1/16"/>
    <x v="0"/>
    <x v="0"/>
    <x v="0"/>
    <s v="PAAS:ithhwosstpap001:FlexIO.1"/>
    <x v="0"/>
    <b v="0"/>
    <s v="No está en VPC"/>
    <n v="763"/>
    <s v="INTPG_VPC_762_1.16_763_1.16"/>
    <s v="ISEL-1.16"/>
    <n v="1"/>
    <s v="NO TIENE L3OUT"/>
    <n v="2"/>
    <n v="54"/>
  </r>
  <r>
    <n v="766"/>
    <x v="2"/>
    <x v="64"/>
    <s v="eth1/16"/>
    <x v="0"/>
    <x v="0"/>
    <x v="0"/>
    <s v="Portchannel_5_R6A"/>
    <x v="0"/>
    <b v="0"/>
    <s v="No está en VPC"/>
    <n v="766"/>
    <s v="INTPG_PC_766_1.15-16"/>
    <s v="ISEL-1.16"/>
    <n v="8"/>
    <s v="NO TIENE L3OUT"/>
    <n v="58"/>
    <n v="54"/>
  </r>
  <r>
    <n v="760"/>
    <x v="2"/>
    <x v="65"/>
    <s v="eth1/16"/>
    <x v="0"/>
    <x v="1"/>
    <x v="1"/>
    <m/>
    <x v="0"/>
    <b v="0"/>
    <s v="No está en VPC"/>
    <n v="760"/>
    <s v="INTPG_VPC_760_1.13-16_761_1.13-16"/>
    <s v="ISEL-1.16"/>
    <n v="0"/>
    <s v="L3OUT-EXACLOUD"/>
    <n v="0"/>
    <n v="54"/>
  </r>
  <r>
    <n v="752"/>
    <x v="2"/>
    <x v="66"/>
    <s v="eth1/16"/>
    <x v="0"/>
    <x v="0"/>
    <x v="0"/>
    <s v="PAAS:ithhwosstpap001:LOM PORT 1"/>
    <x v="0"/>
    <b v="0"/>
    <s v="No está en VPC"/>
    <n v="752"/>
    <s v="INTPG_VPC_747_1.26_752_1.16"/>
    <s v="ISEL-1.16"/>
    <n v="25"/>
    <s v="NO TIENE L3OUT"/>
    <n v="0"/>
    <n v="54"/>
  </r>
  <r>
    <n v="765"/>
    <x v="2"/>
    <x v="67"/>
    <s v="eth1/16"/>
    <x v="0"/>
    <x v="0"/>
    <x v="0"/>
    <s v="Portchannel_7_R6B"/>
    <x v="0"/>
    <b v="0"/>
    <s v="No está en VPC"/>
    <n v="765"/>
    <s v="INTPG_PC_765_1.13-16"/>
    <s v="ISEL-1.16"/>
    <n v="1"/>
    <s v="NO TIENE L3OUT"/>
    <n v="60"/>
    <n v="54"/>
  </r>
  <r>
    <n v="778"/>
    <x v="2"/>
    <x v="68"/>
    <s v="eth1/16"/>
    <x v="0"/>
    <x v="0"/>
    <x v="0"/>
    <s v="ENIQ F1:itheniqr08nas2r3:LOM PORT 1"/>
    <x v="0"/>
    <b v="0"/>
    <s v="No está en VPC"/>
    <n v="778"/>
    <s v="INTPG_PC_778_1.16-19"/>
    <s v="ISEL-1.16"/>
    <n v="1"/>
    <s v="NO TIENE L3OUT"/>
    <n v="26"/>
    <n v="54"/>
  </r>
  <r>
    <n v="780"/>
    <x v="2"/>
    <x v="69"/>
    <s v="eth1/16"/>
    <x v="0"/>
    <x v="0"/>
    <x v="0"/>
    <s v="LACP_NAS2_ENIQ9C"/>
    <x v="0"/>
    <b v="0"/>
    <s v="No está en VPC"/>
    <n v="780"/>
    <s v="INTPG_PC_780_1.16-19"/>
    <s v="ISEL-1.16"/>
    <n v="1"/>
    <s v="NO TIENE L3OUT"/>
    <n v="26"/>
    <n v="54"/>
  </r>
  <r>
    <n v="812"/>
    <x v="2"/>
    <x v="70"/>
    <s v="eth1/16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16"/>
    <x v="0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16"/>
    <x v="0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16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16"/>
    <x v="0"/>
    <x v="0"/>
    <x v="0"/>
    <s v="LINK_TO_ITHFHWCMVWPMA10 /Slot6.2 /Redundante"/>
    <x v="0"/>
    <b v="0"/>
    <s v="No está en VPC"/>
    <n v="824"/>
    <s v="INTPG_ACC_824_1.16"/>
    <s v="ISEL-1.16"/>
    <n v="1"/>
    <s v="NO TIENE L3OUT"/>
    <n v="70"/>
    <n v="54"/>
  </r>
  <r>
    <n v="819"/>
    <x v="2"/>
    <x v="75"/>
    <s v="eth1/16"/>
    <x v="0"/>
    <x v="0"/>
    <x v="0"/>
    <s v="LINK_TO_ITHFHWCMVWPMA10 /Slot4.2 /Principal"/>
    <x v="0"/>
    <b v="0"/>
    <s v="No está en VPC"/>
    <n v="819"/>
    <s v="INTPG_ACC_819_1.16"/>
    <s v="ISEL-1.16"/>
    <n v="1"/>
    <s v="NO TIENE L3OUT"/>
    <n v="70"/>
    <n v="54"/>
  </r>
  <r>
    <n v="737"/>
    <x v="2"/>
    <x v="76"/>
    <s v="eth1/16"/>
    <x v="0"/>
    <x v="0"/>
    <x v="0"/>
    <s v="CEM:ITHCEME2DAT08:FLEXIO P1"/>
    <x v="5"/>
    <b v="0"/>
    <s v="No está en VPC"/>
    <n v="737"/>
    <s v="INTPG_ACC_737_1.16"/>
    <s v="ISEL-1.16"/>
    <n v="1"/>
    <s v="NO TIENE L3OUT"/>
    <n v="72"/>
    <n v="54"/>
  </r>
  <r>
    <n v="844"/>
    <x v="2"/>
    <x v="77"/>
    <s v="eth1/16"/>
    <x v="0"/>
    <x v="0"/>
    <x v="0"/>
    <s v="LINK_TO_ITHFHWCRMPLCN106 / Slot1.1_16 / Principal"/>
    <x v="0"/>
    <b v="0"/>
    <s v="No está en VPC"/>
    <n v="844"/>
    <s v="INTPG_ACC_844_1.16"/>
    <s v="ISEL-1.16"/>
    <n v="6"/>
    <s v="NO TIENE L3OUT"/>
    <n v="282"/>
    <n v="54"/>
  </r>
  <r>
    <n v="843"/>
    <x v="2"/>
    <x v="78"/>
    <s v="eth1/16"/>
    <x v="0"/>
    <x v="0"/>
    <x v="0"/>
    <s v="LINK_To_ITHFHWCBSPSUSBD29 / Slot7.2_10 / Redundante"/>
    <x v="0"/>
    <b v="0"/>
    <s v="No está en VPC"/>
    <n v="843"/>
    <s v="INTPG_VPC_838_1.16_843_1.16"/>
    <s v="ISEL-1.16"/>
    <n v="1"/>
    <s v="NO TIENE L3OUT"/>
    <n v="38"/>
    <n v="54"/>
  </r>
  <r>
    <n v="797"/>
    <x v="2"/>
    <x v="79"/>
    <s v="eth1/16"/>
    <x v="0"/>
    <x v="0"/>
    <x v="0"/>
    <s v="TO-HDPS_18-MSP"/>
    <x v="0"/>
    <b v="0"/>
    <s v="No está en VPC"/>
    <n v="797"/>
    <s v="INTPG_ACC_797_1.16"/>
    <s v="ISEL-1.16"/>
    <n v="1"/>
    <s v="NO TIENE L3OUT"/>
    <n v="48"/>
    <n v="54"/>
  </r>
  <r>
    <n v="839"/>
    <x v="2"/>
    <x v="80"/>
    <s v="eth1/16"/>
    <x v="0"/>
    <x v="0"/>
    <x v="0"/>
    <s v="LINK_TO_ITHFHWCBSPSWR63 / Slot7.1_14 / Redundante"/>
    <x v="0"/>
    <b v="0"/>
    <s v="No está en VPC"/>
    <n v="839"/>
    <s v="INTPG_VPC_834_1.16_839_1.16"/>
    <s v="ISEL-1.16"/>
    <n v="2"/>
    <s v="NO TIENE L3OUT"/>
    <n v="0"/>
    <n v="54"/>
  </r>
  <r>
    <n v="847"/>
    <x v="2"/>
    <x v="81"/>
    <s v="eth1/16"/>
    <x v="0"/>
    <x v="0"/>
    <x v="0"/>
    <s v="LINK_TO_ITHFHWCRMPLCN170 / Slot7.3_10 / Redundante"/>
    <x v="0"/>
    <b v="0"/>
    <s v="No está en VPC"/>
    <n v="847"/>
    <s v="INTPG_ACC_847_1.16"/>
    <s v="ISEL-1.16"/>
    <n v="1"/>
    <s v="NO TIENE L3OUT"/>
    <n v="204"/>
    <n v="54"/>
  </r>
  <r>
    <n v="848"/>
    <x v="2"/>
    <x v="82"/>
    <s v="eth1/16"/>
    <x v="0"/>
    <x v="0"/>
    <x v="0"/>
    <s v="LINK_TO_ITHFHWCRMPLCN159 / Slot7.3_20 / Redundante"/>
    <x v="0"/>
    <b v="0"/>
    <s v="No está en VPC"/>
    <n v="848"/>
    <s v="INTPG_ACC_848_1.16"/>
    <s v="ISEL-1.16"/>
    <n v="1"/>
    <s v="NO TIENE L3OUT"/>
    <n v="254"/>
    <n v="54"/>
  </r>
  <r>
    <n v="846"/>
    <x v="2"/>
    <x v="83"/>
    <s v="eth1/16"/>
    <x v="0"/>
    <x v="0"/>
    <x v="0"/>
    <s v="LINK_TO_ITHFHWCRMPLCN77 / Slot1.1_12 / Principal"/>
    <x v="0"/>
    <b v="0"/>
    <s v="No está en VPC"/>
    <n v="846"/>
    <s v="INTPG_ACC_846_1.16"/>
    <s v="ISEL-1.16"/>
    <n v="6"/>
    <s v="NO TIENE L3OUT"/>
    <n v="242"/>
    <n v="54"/>
  </r>
  <r>
    <n v="838"/>
    <x v="2"/>
    <x v="84"/>
    <s v="eth1/16"/>
    <x v="0"/>
    <x v="0"/>
    <x v="0"/>
    <s v="LINK_To_ITHFHWCBSPSUSBD29 / Slot1.2_10 / Principal"/>
    <x v="0"/>
    <b v="0"/>
    <s v="No está en VPC"/>
    <n v="838"/>
    <s v="INTPG_VPC_838_1.16_843_1.16"/>
    <s v="ISEL-1.16"/>
    <n v="1"/>
    <s v="NO TIENE L3OUT"/>
    <n v="38"/>
    <n v="54"/>
  </r>
  <r>
    <n v="849"/>
    <x v="2"/>
    <x v="85"/>
    <s v="eth1/16"/>
    <x v="0"/>
    <x v="0"/>
    <x v="0"/>
    <s v="LINK_TO_ITHFHWCRMPLCN139 / Slot7.3_12 / Redundante"/>
    <x v="0"/>
    <b v="0"/>
    <s v="No está en VPC"/>
    <n v="849"/>
    <s v="INTPG_ACC_849_1.16"/>
    <s v="ISEL-1.16"/>
    <n v="1"/>
    <s v="NO TIENE L3OUT"/>
    <n v="286"/>
    <n v="54"/>
  </r>
  <r>
    <n v="845"/>
    <x v="2"/>
    <x v="86"/>
    <s v="eth1/16"/>
    <x v="0"/>
    <x v="0"/>
    <x v="0"/>
    <s v="LINK_TO_ITHFHWCRMPLCN89 / Slot1.2_10 / Principal"/>
    <x v="0"/>
    <b v="0"/>
    <s v="No está en VPC"/>
    <n v="845"/>
    <s v="INTPG_ACC_845_1.16"/>
    <s v="ISEL-1.16"/>
    <n v="2"/>
    <s v="NO TIENE L3OUT"/>
    <n v="258"/>
    <n v="54"/>
  </r>
  <r>
    <n v="873"/>
    <x v="2"/>
    <x v="87"/>
    <s v="eth1/16"/>
    <x v="0"/>
    <x v="0"/>
    <x v="0"/>
    <s v="TO_ITHFHWCRMDLCN58_Principal"/>
    <x v="0"/>
    <b v="0"/>
    <s v="No está en VPC"/>
    <n v="873"/>
    <s v="INTPG_ACC_873_1.16"/>
    <s v="ISEL-1.16"/>
    <n v="2"/>
    <s v="NO TIENE L3OUT"/>
    <n v="248"/>
    <n v="54"/>
  </r>
  <r>
    <n v="864"/>
    <x v="2"/>
    <x v="88"/>
    <s v="eth1/16"/>
    <x v="0"/>
    <x v="0"/>
    <x v="0"/>
    <s v="To_VPC_2DCBSD_HD36_1"/>
    <x v="0"/>
    <b v="0"/>
    <s v="No está en VPC"/>
    <n v="864"/>
    <s v="INTPG_VPC_859_1.16_864_1.16"/>
    <s v="ISEL-1.16"/>
    <n v="2"/>
    <s v="NO TIENE L3OUT"/>
    <n v="0"/>
    <n v="54"/>
  </r>
  <r>
    <n v="836"/>
    <x v="2"/>
    <x v="89"/>
    <s v="eth1/16"/>
    <x v="0"/>
    <x v="0"/>
    <x v="0"/>
    <s v="LINK_TO_ITHFHWCBSPSWR50 / Slot1.3_28 / Principal"/>
    <x v="0"/>
    <b v="0"/>
    <s v="No está en VPC"/>
    <n v="836"/>
    <s v="INTPG_VPC_836_1.16_841_1.16"/>
    <s v="ISEL-1.16"/>
    <n v="1"/>
    <s v="NO TIENE L3OUT"/>
    <n v="0"/>
    <n v="54"/>
  </r>
  <r>
    <n v="834"/>
    <x v="2"/>
    <x v="90"/>
    <s v="eth1/16"/>
    <x v="0"/>
    <x v="0"/>
    <x v="0"/>
    <s v="LINK_TO_ITHFHWCBSPSWR63 / Slot1.1_14 / Principal"/>
    <x v="0"/>
    <b v="0"/>
    <s v="No está en VPC"/>
    <n v="834"/>
    <s v="INTPG_VPC_834_1.16_839_1.16"/>
    <s v="ISEL-1.16"/>
    <n v="2"/>
    <s v="NO TIENE L3OUT"/>
    <n v="0"/>
    <n v="54"/>
  </r>
  <r>
    <n v="872"/>
    <x v="2"/>
    <x v="91"/>
    <s v="eth1/16"/>
    <x v="0"/>
    <x v="0"/>
    <x v="0"/>
    <s v="To_ITHFHWCRMDLCN74_Principal"/>
    <x v="0"/>
    <b v="0"/>
    <s v="No está en VPC"/>
    <n v="872"/>
    <s v="INTPG_ACC_872_1.16"/>
    <s v="ISEL-1.16"/>
    <n v="2"/>
    <s v="NO TIENE L3OUT"/>
    <n v="288"/>
    <n v="54"/>
  </r>
  <r>
    <n v="842"/>
    <x v="2"/>
    <x v="92"/>
    <s v="eth1/16"/>
    <x v="0"/>
    <x v="0"/>
    <x v="0"/>
    <s v="LINK_TO_ITHFHWCBSPSUSBD30 / Slot7.3_10 / Redundante"/>
    <x v="0"/>
    <b v="0"/>
    <s v="No está en VPC"/>
    <n v="842"/>
    <s v="INTPG_VPC_837_1.16_842_1.16"/>
    <s v="ISEL-1.16"/>
    <n v="1"/>
    <s v="NO TIENE L3OUT"/>
    <n v="8"/>
    <n v="54"/>
  </r>
  <r>
    <n v="828"/>
    <x v="2"/>
    <x v="93"/>
    <s v="eth1/16"/>
    <x v="0"/>
    <x v="0"/>
    <x v="0"/>
    <s v="LINK_TO_ITHFHWCRMDLCN20 /Slot4.2 /Principal"/>
    <x v="0"/>
    <b v="0"/>
    <s v="No está en VPC"/>
    <n v="828"/>
    <s v="INTPG_ACC_828_1.16"/>
    <s v="ISEL-1.16"/>
    <n v="1"/>
    <s v="NO TIENE L3OUT"/>
    <n v="192"/>
    <n v="54"/>
  </r>
  <r>
    <n v="870"/>
    <x v="2"/>
    <x v="94"/>
    <s v="eth1/16"/>
    <x v="0"/>
    <x v="0"/>
    <x v="0"/>
    <s v="TO_ITHFHWCRMDLCN58_Redundante"/>
    <x v="0"/>
    <b v="0"/>
    <s v="No está en VPC"/>
    <n v="870"/>
    <s v="INTPG_ACC_870_1.16"/>
    <s v="ISEL-1.16"/>
    <n v="2"/>
    <s v="NO TIENE L3OUT"/>
    <n v="248"/>
    <n v="54"/>
  </r>
  <r>
    <n v="866"/>
    <x v="2"/>
    <x v="95"/>
    <s v="eth1/16"/>
    <x v="0"/>
    <x v="0"/>
    <x v="0"/>
    <s v="To_VPC_2DCBSD_HD21_3"/>
    <x v="0"/>
    <b v="0"/>
    <s v="No está en VPC"/>
    <n v="866"/>
    <s v="INTPG_VPC_861_1.16_866_1.16"/>
    <s v="ISEL-1.16"/>
    <n v="1"/>
    <s v="NO TIENE L3OUT"/>
    <n v="8"/>
    <n v="54"/>
  </r>
  <r>
    <n v="862"/>
    <x v="2"/>
    <x v="96"/>
    <s v="eth1/16"/>
    <x v="0"/>
    <x v="0"/>
    <x v="0"/>
    <s v="TO-ITHFSUEXG2XCN04_PCI8.P1"/>
    <x v="0"/>
    <b v="0"/>
    <s v="No está en VPC"/>
    <n v="862"/>
    <s v="INTPG_ACC_862_1.16"/>
    <s v="ISEL-1.16"/>
    <n v="2"/>
    <s v="NO TIENE L3OUT"/>
    <n v="44"/>
    <n v="54"/>
  </r>
  <r>
    <n v="855"/>
    <x v="2"/>
    <x v="97"/>
    <s v="eth1/16"/>
    <x v="0"/>
    <x v="0"/>
    <x v="0"/>
    <s v="LINK_TO_ITHFHWCRMPLCN159 / Slot1.3_20 / Principal"/>
    <x v="0"/>
    <b v="0"/>
    <s v="No está en VPC"/>
    <n v="855"/>
    <s v="INTPG_ACC_855_1.16"/>
    <s v="ISEL-1.16"/>
    <n v="1"/>
    <s v="NO TIENE L3OUT"/>
    <n v="254"/>
    <n v="54"/>
  </r>
  <r>
    <n v="871"/>
    <x v="2"/>
    <x v="98"/>
    <s v="eth1/16"/>
    <x v="0"/>
    <x v="0"/>
    <x v="0"/>
    <s v="TO_ITHFHWCRMDLCN86_Principal"/>
    <x v="0"/>
    <b v="0"/>
    <s v="No está en VPC"/>
    <n v="871"/>
    <s v="INTPG_ACC_871_1.16"/>
    <s v="ISEL-1.16"/>
    <n v="6"/>
    <s v="NO TIENE L3OUT"/>
    <n v="246"/>
    <n v="54"/>
  </r>
  <r>
    <n v="841"/>
    <x v="2"/>
    <x v="99"/>
    <s v="eth1/16"/>
    <x v="0"/>
    <x v="0"/>
    <x v="0"/>
    <s v="LINK_TO_ITHFHWCBSPSWR50 / Slot7.3_28 / Redundante"/>
    <x v="0"/>
    <b v="0"/>
    <s v="No está en VPC"/>
    <n v="841"/>
    <s v="INTPG_VPC_836_1.16_841_1.16"/>
    <s v="ISEL-1.16"/>
    <n v="1"/>
    <s v="NO TIENE L3OUT"/>
    <n v="0"/>
    <n v="54"/>
  </r>
  <r>
    <n v="868"/>
    <x v="2"/>
    <x v="100"/>
    <s v="eth1/16"/>
    <x v="0"/>
    <x v="0"/>
    <x v="0"/>
    <s v="TO_ITHFHWCRMDLCN86_Redundante"/>
    <x v="0"/>
    <b v="0"/>
    <s v="No está en VPC"/>
    <n v="868"/>
    <s v="INTPG_ACC_868_1.16"/>
    <s v="ISEL-1.16"/>
    <n v="6"/>
    <s v="NO TIENE L3OUT"/>
    <n v="246"/>
    <n v="54"/>
  </r>
  <r>
    <n v="869"/>
    <x v="2"/>
    <x v="101"/>
    <s v="eth1/16"/>
    <x v="0"/>
    <x v="0"/>
    <x v="0"/>
    <s v="To_ITHFHWCRMDLCN74_Redundante"/>
    <x v="0"/>
    <b v="0"/>
    <s v="No está en VPC"/>
    <n v="869"/>
    <s v="INTPG_ACC_869_1.16"/>
    <s v="ISEL-1.16"/>
    <n v="2"/>
    <s v="NO TIENE L3OUT"/>
    <n v="288"/>
    <n v="54"/>
  </r>
  <r>
    <n v="861"/>
    <x v="2"/>
    <x v="102"/>
    <s v="eth1/16"/>
    <x v="0"/>
    <x v="0"/>
    <x v="0"/>
    <s v="To_VPC_2DCBSD_HD21_3"/>
    <x v="0"/>
    <b v="0"/>
    <s v="No está en VPC"/>
    <n v="861"/>
    <s v="INTPG_VPC_861_1.16_866_1.16"/>
    <s v="ISEL-1.16"/>
    <n v="1"/>
    <s v="NO TIENE L3OUT"/>
    <n v="8"/>
    <n v="54"/>
  </r>
  <r>
    <n v="874"/>
    <x v="2"/>
    <x v="103"/>
    <s v="eth1/16"/>
    <x v="0"/>
    <x v="0"/>
    <x v="0"/>
    <s v="LINK_TO_ITHFHWSEQLIMPS27 / Slot 5 PTO 1 / Redundante"/>
    <x v="4"/>
    <b v="0"/>
    <s v="No está en VPC"/>
    <n v="874"/>
    <s v="INTPG_ACC_874_1.16"/>
    <s v="ISEL-1.16"/>
    <n v="1"/>
    <s v="NO TIENE L3OUT"/>
    <n v="92"/>
    <n v="54"/>
  </r>
  <r>
    <n v="865"/>
    <x v="2"/>
    <x v="104"/>
    <s v="eth1/16"/>
    <x v="0"/>
    <x v="0"/>
    <x v="0"/>
    <s v="To_VPC_2DCBSD_HD28_1"/>
    <x v="0"/>
    <b v="0"/>
    <s v="No está en VPC"/>
    <n v="865"/>
    <s v="INTPG_VPC_860_1.16_865_1.16"/>
    <s v="ISEL-1.16"/>
    <n v="2"/>
    <s v="NO TIENE L3OUT"/>
    <n v="0"/>
    <n v="54"/>
  </r>
  <r>
    <n v="753"/>
    <x v="2"/>
    <x v="105"/>
    <s v="eth1/16"/>
    <x v="0"/>
    <x v="0"/>
    <x v="0"/>
    <s v="OSS F1:ithenmr04e1r9c:Bay2/X2"/>
    <x v="0"/>
    <b v="0"/>
    <s v="No está en VPC"/>
    <n v="753"/>
    <s v="INTPG_PC_753_1.15-16"/>
    <s v="ISEL-1.16"/>
    <n v="8"/>
    <s v="NO TIENE L3OUT"/>
    <n v="62"/>
    <n v="54"/>
  </r>
  <r>
    <n v="708"/>
    <x v="2"/>
    <x v="106"/>
    <s v="eth1/16"/>
    <x v="0"/>
    <x v="1"/>
    <x v="5"/>
    <s v="CEM:ITHCEME2DAT08:LOM  P2"/>
    <x v="0"/>
    <b v="0"/>
    <s v="No está en VPC"/>
    <n v="708"/>
    <s v="INTPG_VPC_708_1.16_709_1.15"/>
    <s v="ISEL-1.16"/>
    <n v="1"/>
    <s v="NO TIENE L3OUT"/>
    <n v="0"/>
    <n v="54"/>
  </r>
  <r>
    <n v="710"/>
    <x v="2"/>
    <x v="107"/>
    <s v="eth1/16"/>
    <x v="0"/>
    <x v="0"/>
    <x v="0"/>
    <s v="CEM:ITHCEMC2DAT08:LOM  P2"/>
    <x v="0"/>
    <b v="0"/>
    <s v="No está en VPC"/>
    <n v="710"/>
    <s v="INTPG_ACC_710_1.16"/>
    <s v="ISEL-1.16"/>
    <n v="1"/>
    <s v="NO TIENE L3OUT"/>
    <n v="16"/>
    <n v="54"/>
  </r>
  <r>
    <n v="713"/>
    <x v="2"/>
    <x v="108"/>
    <s v="eth1/16"/>
    <x v="0"/>
    <x v="0"/>
    <x v="0"/>
    <s v="CEM:ITHCEMB2DAT08:LOM  P2"/>
    <x v="0"/>
    <b v="0"/>
    <s v="No está en VPC"/>
    <n v="713"/>
    <s v="INTPG_ACC_713_1.16"/>
    <s v="ISEL-1.16"/>
    <n v="1"/>
    <s v="NO TIENE L3OUT"/>
    <n v="32"/>
    <n v="54"/>
  </r>
  <r>
    <n v="735"/>
    <x v="2"/>
    <x v="109"/>
    <s v="eth1/16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16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16"/>
    <x v="0"/>
    <x v="0"/>
    <x v="0"/>
    <m/>
    <x v="0"/>
    <b v="0"/>
    <s v="No está en VPC"/>
    <n v="703"/>
    <s v="INTPG_VPC_704_1.15_703_1.16"/>
    <s v="ISEL-1.16"/>
    <n v="1"/>
    <s v="NO TIENE L3OUT"/>
    <n v="2"/>
    <n v="54"/>
  </r>
  <r>
    <n v="706"/>
    <x v="2"/>
    <x v="112"/>
    <s v="eth1/16"/>
    <x v="0"/>
    <x v="0"/>
    <x v="0"/>
    <m/>
    <x v="0"/>
    <b v="0"/>
    <s v="No está en VPC"/>
    <n v="706"/>
    <s v="INTPG_VPC_705_1.15_706_1.16"/>
    <s v="ISEL-1.16"/>
    <n v="1"/>
    <s v="NO TIENE L3OUT"/>
    <n v="16"/>
    <n v="54"/>
  </r>
  <r>
    <n v="762"/>
    <x v="2"/>
    <x v="113"/>
    <s v="eth1/16"/>
    <x v="0"/>
    <x v="0"/>
    <x v="0"/>
    <s v="PAAS:ithhwosstpap001:LOM PORT 3"/>
    <x v="0"/>
    <b v="0"/>
    <s v="No está en VPC"/>
    <n v="762"/>
    <s v="INTPG_VPC_762_1.16_763_1.16"/>
    <s v="ISEL-1.16"/>
    <n v="1"/>
    <s v="NO TIENE L3OUT"/>
    <n v="0"/>
    <n v="54"/>
  </r>
  <r>
    <n v="814"/>
    <x v="2"/>
    <x v="114"/>
    <s v="eth1/16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16"/>
    <x v="0"/>
    <x v="0"/>
    <x v="0"/>
    <s v="HACIA_CSI-A-OSCP-F4-16_SECUNDARIO"/>
    <x v="4"/>
    <b v="0"/>
    <s v="No está en VPC"/>
    <n v="878"/>
    <s v="INTPG_VPC_878_1.16_879_1.16"/>
    <s v="ISEL-1.16"/>
    <n v="2"/>
    <s v="NO TIENE L3OUT"/>
    <n v="0"/>
    <n v="54"/>
  </r>
  <r>
    <n v="826"/>
    <x v="2"/>
    <x v="116"/>
    <s v="eth1/16"/>
    <x v="0"/>
    <x v="0"/>
    <x v="0"/>
    <s v="LINK_TO_ITHFHWCBSDSHD15 /Slot5.2 /Principal"/>
    <x v="0"/>
    <b v="0"/>
    <s v="No está en VPC"/>
    <n v="826"/>
    <s v="INTPG_VPC_826_1.16_830_1.16"/>
    <s v="ISEL-1.16"/>
    <n v="2"/>
    <s v="NO TIENE L3OUT"/>
    <n v="12"/>
    <n v="54"/>
  </r>
  <r>
    <n v="726"/>
    <x v="2"/>
    <x v="117"/>
    <s v="eth1/16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16"/>
    <x v="0"/>
    <x v="0"/>
    <x v="0"/>
    <s v="CEM:ITHCEMD2DAT08:FLEXIO P1"/>
    <x v="5"/>
    <b v="0"/>
    <s v="No está en VPC"/>
    <n v="740"/>
    <s v="INTPG_ACC_740_1.16"/>
    <s v="ISEL-1.16"/>
    <n v="1"/>
    <s v="NO TIENE L3OUT"/>
    <n v="72"/>
    <n v="54"/>
  </r>
  <r>
    <n v="705"/>
    <x v="2"/>
    <x v="119"/>
    <s v="eth1/16"/>
    <x v="0"/>
    <x v="0"/>
    <x v="0"/>
    <s v="ITHCEMA1DAT08-LOM-P2"/>
    <x v="0"/>
    <b v="0"/>
    <s v="No está en VPC"/>
    <n v="705"/>
    <s v="INTPG_ACC_705_1.16"/>
    <s v="ISEL-1.16"/>
    <n v="1"/>
    <s v="NO TIENE L3OUT"/>
    <n v="16"/>
    <n v="54"/>
  </r>
  <r>
    <n v="723"/>
    <x v="2"/>
    <x v="120"/>
    <s v="eth1/16"/>
    <x v="0"/>
    <x v="1"/>
    <x v="1"/>
    <m/>
    <x v="0"/>
    <b v="0"/>
    <s v="No está en VPC"/>
    <n v="723"/>
    <s v="INTPG-VPC_HDD126_722_1.15_723_1.16"/>
    <s v="ISEL-1.16"/>
    <n v="1"/>
    <s v="NO TIENE L3OUT"/>
    <n v="0"/>
    <n v="54"/>
  </r>
  <r>
    <n v="721"/>
    <x v="2"/>
    <x v="121"/>
    <s v="eth1/16"/>
    <x v="0"/>
    <x v="0"/>
    <x v="0"/>
    <s v="ITHORNG1DAT10_LOM P1"/>
    <x v="0"/>
    <b v="0"/>
    <s v="No está en VPC"/>
    <n v="721"/>
    <s v="INTPG_ACC_721_1.16"/>
    <s v="ISEL-1.16"/>
    <n v="2"/>
    <s v="NO TIENE L3OUT"/>
    <n v="20"/>
    <n v="54"/>
  </r>
  <r>
    <n v="788"/>
    <x v="2"/>
    <x v="122"/>
    <s v="eth1/16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16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16"/>
    <x v="0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16"/>
    <x v="0"/>
    <x v="1"/>
    <x v="5"/>
    <s v="CEM:ITHCEMF2DAT08:LOM  P2"/>
    <x v="0"/>
    <b v="0"/>
    <s v="No está en VPC"/>
    <n v="709"/>
    <s v="INTPG_VPC_708_1.15_709_1.16"/>
    <s v="ISEL-1.16"/>
    <n v="1"/>
    <s v="NO TIENE L3OUT"/>
    <n v="0"/>
    <n v="54"/>
  </r>
  <r>
    <n v="454"/>
    <x v="1"/>
    <x v="126"/>
    <s v="eth1/16"/>
    <x v="0"/>
    <x v="0"/>
    <x v="0"/>
    <s v="HACIA_CSI-A-OSCP-F4-04_PRINCIPAL"/>
    <x v="4"/>
    <b v="0"/>
    <s v="No está en VPC"/>
    <n v="454"/>
    <s v="INTPG_VPC_454_1.16_456_1.16"/>
    <s v="ISEL-1.16"/>
    <n v="2"/>
    <s v="NO TIENE L3OUT"/>
    <n v="4"/>
    <n v="54"/>
  </r>
  <r>
    <n v="734"/>
    <x v="2"/>
    <x v="127"/>
    <s v="eth1/16"/>
    <x v="0"/>
    <x v="1"/>
    <x v="1"/>
    <s v="CEM:ITHCEMA1DAT08:FLEXIO P1"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16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16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16"/>
    <x v="0"/>
    <x v="0"/>
    <x v="0"/>
    <m/>
    <x v="0"/>
    <b v="0"/>
    <s v="No está en VPC"/>
    <n v="718"/>
    <s v="INTPG-VPC_HDD20_717_1.15_718_1.16"/>
    <s v="ISEL-1.16"/>
    <n v="1"/>
    <s v="NO TIENE L3OUT"/>
    <n v="0"/>
    <n v="54"/>
  </r>
  <r>
    <n v="744"/>
    <x v="2"/>
    <x v="131"/>
    <s v="eth1/16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16"/>
    <x v="0"/>
    <x v="1"/>
    <x v="1"/>
    <s v="CEM:ITHCEMA2DAT08:FLEXIO P1"/>
    <x v="5"/>
    <b v="0"/>
    <s v="No está en VPC"/>
    <n v="741"/>
    <s v="INTPG_ACC_741_1.16"/>
    <s v="ISEL-1.16"/>
    <n v="1"/>
    <s v="NO TIENE L3OUT"/>
    <n v="62"/>
    <n v="54"/>
  </r>
  <r>
    <n v="787"/>
    <x v="2"/>
    <x v="133"/>
    <s v="eth1/16"/>
    <x v="0"/>
    <x v="0"/>
    <x v="0"/>
    <s v="ENIQ F2:itheniqr14bl02nas2r4b:LOM PORT 1"/>
    <x v="0"/>
    <b v="0"/>
    <s v="No está en VPC"/>
    <n v="787"/>
    <s v="INTPG_PC_787_1.16-19"/>
    <s v="ISEL-1.16"/>
    <n v="1"/>
    <s v="NO TIENE L3OUT"/>
    <n v="26"/>
    <n v="54"/>
  </r>
  <r>
    <n v="750"/>
    <x v="2"/>
    <x v="134"/>
    <s v="eth1/16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16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16"/>
    <x v="0"/>
    <x v="1"/>
    <x v="3"/>
    <s v="CEM:ITHCEMG2DAT08:FLEXIO P1"/>
    <x v="0"/>
    <b v="0"/>
    <s v="No está en VPC"/>
    <n v="736"/>
    <s v="INTPG_ACC_736_1.16"/>
    <s v="ISEL-1.16"/>
    <n v="1"/>
    <s v="NO TIENE L3OUT"/>
    <n v="48"/>
    <n v="54"/>
  </r>
  <r>
    <n v="799"/>
    <x v="2"/>
    <x v="137"/>
    <s v="eth1/16"/>
    <x v="0"/>
    <x v="0"/>
    <x v="0"/>
    <s v="TO-IMC_PS04-MSP"/>
    <x v="0"/>
    <b v="0"/>
    <s v="No está en VPC"/>
    <n v="799"/>
    <s v="INTPG_ACC_799_1.16"/>
    <s v="ISEL-1.16"/>
    <n v="1"/>
    <s v="NO TIENE L3OUT"/>
    <n v="52"/>
    <n v="54"/>
  </r>
  <r>
    <n v="768"/>
    <x v="2"/>
    <x v="138"/>
    <s v="eth1/16"/>
    <x v="0"/>
    <x v="0"/>
    <x v="0"/>
    <s v="OSS_ENM"/>
    <x v="0"/>
    <b v="0"/>
    <s v="No está en VPC"/>
    <n v="768"/>
    <s v="INTPG_ACC_768_1.16"/>
    <s v="ISEL-1.16"/>
    <n v="1"/>
    <s v="NO TIENE L3OUT"/>
    <n v="62"/>
    <n v="54"/>
  </r>
  <r>
    <n v="714"/>
    <x v="2"/>
    <x v="139"/>
    <s v="eth1/16"/>
    <x v="0"/>
    <x v="0"/>
    <x v="0"/>
    <s v="TO-ITHFHWVRALCN03"/>
    <x v="0"/>
    <b v="0"/>
    <s v="No está en VPC"/>
    <n v="714"/>
    <s v="INTPG_VPC_714_1.16_721_1.15"/>
    <s v="ISEL-1.16"/>
    <n v="108"/>
    <s v="NO TIENE L3OUT"/>
    <n v="20"/>
    <n v="54"/>
  </r>
  <r>
    <n v="717"/>
    <x v="2"/>
    <x v="140"/>
    <s v="eth1/16"/>
    <x v="0"/>
    <x v="0"/>
    <x v="0"/>
    <m/>
    <x v="0"/>
    <b v="0"/>
    <s v="No está en VPC"/>
    <n v="717"/>
    <s v="INTPG-VPC_HDD10_718_1.15_717_1.16"/>
    <s v="ISEL-1.16"/>
    <n v="1"/>
    <s v="NO TIENE L3OUT"/>
    <n v="0"/>
    <n v="54"/>
  </r>
  <r>
    <n v="789"/>
    <x v="2"/>
    <x v="141"/>
    <s v="eth1/16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16"/>
    <x v="0"/>
    <x v="0"/>
    <x v="0"/>
    <s v="OSS_ENM"/>
    <x v="0"/>
    <b v="0"/>
    <s v="No está en VPC"/>
    <n v="764"/>
    <s v="INTPG_ACC_764_1.16"/>
    <s v="ISEL-1.16"/>
    <n v="1"/>
    <s v="NO TIENE L3OUT"/>
    <n v="62"/>
    <n v="54"/>
  </r>
  <r>
    <n v="783"/>
    <x v="2"/>
    <x v="143"/>
    <s v="eth1/16"/>
    <x v="0"/>
    <x v="0"/>
    <x v="0"/>
    <s v="LACP_NAS2_ENIQ9B"/>
    <x v="0"/>
    <b v="0"/>
    <s v="No está en VPC"/>
    <n v="783"/>
    <s v="INTPG_PC_783_1.16-19"/>
    <s v="ISEL-1.16"/>
    <n v="1"/>
    <s v="NO TIENE L3OUT"/>
    <n v="26"/>
    <n v="54"/>
  </r>
  <r>
    <n v="774"/>
    <x v="2"/>
    <x v="144"/>
    <s v="eth1/16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16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16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16"/>
    <x v="0"/>
    <x v="0"/>
    <x v="0"/>
    <s v="TO-HDPS_42-MSP"/>
    <x v="0"/>
    <b v="0"/>
    <s v="No está en VPC"/>
    <n v="803"/>
    <s v="INTPG_ACC_803_1.16"/>
    <s v="ISEL-1.16"/>
    <n v="1"/>
    <s v="NO TIENE L3OUT"/>
    <n v="48"/>
    <n v="54"/>
  </r>
  <r>
    <n v="786"/>
    <x v="2"/>
    <x v="148"/>
    <s v="eth1/16"/>
    <x v="0"/>
    <x v="0"/>
    <x v="0"/>
    <s v="ENIQ F2:itheniqr16bl02nas2r4a:LOM PORT 1"/>
    <x v="0"/>
    <b v="0"/>
    <s v="No está en VPC"/>
    <n v="786"/>
    <s v="INTPG_PC_786_1.16-19"/>
    <s v="ISEL-1.16"/>
    <n v="1"/>
    <s v="NO TIENE L3OUT"/>
    <n v="26"/>
    <n v="54"/>
  </r>
  <r>
    <n v="757"/>
    <x v="2"/>
    <x v="149"/>
    <s v="eth1/16"/>
    <x v="0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16"/>
    <x v="0"/>
    <x v="0"/>
    <x v="0"/>
    <s v="LACP_NAS2_ENIQ1"/>
    <x v="0"/>
    <b v="0"/>
    <s v="No está en VPC"/>
    <n v="781"/>
    <s v="INTPG_PC_781_1.16-19"/>
    <s v="ISEL-1.16"/>
    <n v="1"/>
    <s v="NO TIENE L3OUT"/>
    <n v="26"/>
    <n v="54"/>
  </r>
  <r>
    <n v="793"/>
    <x v="2"/>
    <x v="151"/>
    <s v="eth1/16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16"/>
    <x v="0"/>
    <x v="1"/>
    <x v="3"/>
    <s v="PAAS:ithhwosstpap001:Slot4.1"/>
    <x v="0"/>
    <b v="0"/>
    <s v="No está en VPC"/>
    <n v="747"/>
    <s v="INTPG_VPC_747_1.16_752_1.26"/>
    <s v="ISEL-1.16"/>
    <n v="0"/>
    <s v="NO TIENE L3OUT"/>
    <n v="0"/>
    <n v="54"/>
  </r>
  <r>
    <n v="784"/>
    <x v="2"/>
    <x v="153"/>
    <s v="eth1/16"/>
    <x v="0"/>
    <x v="0"/>
    <x v="0"/>
    <s v="ENIQ F2:itheniqr13bl02nas2r6a:LOM PORT 1"/>
    <x v="0"/>
    <b v="0"/>
    <s v="No está en VPC"/>
    <n v="784"/>
    <s v="INTPG_PC_784_1.16-19"/>
    <s v="ISEL-1.16"/>
    <n v="1"/>
    <s v="NO TIENE L3OUT"/>
    <n v="26"/>
    <n v="54"/>
  </r>
  <r>
    <n v="806"/>
    <x v="2"/>
    <x v="154"/>
    <s v="eth1/16"/>
    <x v="0"/>
    <x v="0"/>
    <x v="0"/>
    <s v="TO-HDPS_66-MSP"/>
    <x v="0"/>
    <b v="0"/>
    <s v="No está en VPC"/>
    <n v="806"/>
    <s v="INTPG_ACC_806_1.16"/>
    <s v="ISEL-1.16"/>
    <n v="1"/>
    <s v="NO TIENE L3OUT"/>
    <n v="44"/>
    <n v="54"/>
  </r>
  <r>
    <n v="777"/>
    <x v="2"/>
    <x v="155"/>
    <s v="eth1/16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16"/>
    <x v="0"/>
    <x v="0"/>
    <x v="0"/>
    <s v="Portchannel_5_R4B"/>
    <x v="0"/>
    <b v="0"/>
    <s v="No está en VPC"/>
    <n v="770"/>
    <s v="INTPG_PC_770_1.15-16"/>
    <s v="ISEL-1.16"/>
    <n v="9"/>
    <s v="NO TIENE L3OUT"/>
    <n v="60"/>
    <n v="54"/>
  </r>
  <r>
    <n v="813"/>
    <x v="2"/>
    <x v="157"/>
    <s v="eth1/16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16"/>
    <x v="0"/>
    <x v="1"/>
    <x v="1"/>
    <s v="CEM:ITHCEMC2DAT08:FLEXIO P1"/>
    <x v="5"/>
    <b v="0"/>
    <s v="No está en VPC"/>
    <n v="739"/>
    <s v="INTPG_ACC_739_1.16"/>
    <s v="ISEL-1.16"/>
    <n v="1"/>
    <s v="NO TIENE L3OUT"/>
    <n v="72"/>
    <n v="54"/>
  </r>
  <r>
    <n v="775"/>
    <x v="2"/>
    <x v="159"/>
    <s v="eth1/16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16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16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16"/>
    <x v="0"/>
    <x v="0"/>
    <x v="0"/>
    <s v="LINK_TO_ITHFHWCBSDSHD15 /Slot7.2 /Redundante"/>
    <x v="0"/>
    <b v="0"/>
    <s v="No está en VPC"/>
    <n v="830"/>
    <s v="INTPG_VPC_826_1.16_830_1.16"/>
    <s v="ISEL-1.16"/>
    <n v="2"/>
    <s v="NO TIENE L3OUT"/>
    <n v="12"/>
    <n v="54"/>
  </r>
  <r>
    <n v="821"/>
    <x v="2"/>
    <x v="163"/>
    <s v="eth1/16"/>
    <x v="0"/>
    <x v="0"/>
    <x v="0"/>
    <s v="LINK_TO_ITHFHWCBSPSHD15 /Slot7.2 /Redundante"/>
    <x v="0"/>
    <b v="0"/>
    <s v="No está en VPC"/>
    <n v="821"/>
    <s v="INTPG_VPC_816_1.16_821_1.16"/>
    <s v="ISEL-1.16"/>
    <n v="2"/>
    <s v="NO TIENE L3OUT"/>
    <n v="0"/>
    <n v="54"/>
  </r>
  <r>
    <n v="738"/>
    <x v="2"/>
    <x v="164"/>
    <s v="eth1/16"/>
    <x v="0"/>
    <x v="0"/>
    <x v="0"/>
    <s v="CEM:ITHCEMF2DAT08:FLEXIO P1"/>
    <x v="5"/>
    <b v="0"/>
    <s v="No está en VPC"/>
    <n v="738"/>
    <s v="INTPG_ACC_738_1.16"/>
    <s v="ISEL-1.16"/>
    <n v="1"/>
    <s v="NO TIENE L3OUT"/>
    <n v="72"/>
    <n v="54"/>
  </r>
  <r>
    <n v="820"/>
    <x v="2"/>
    <x v="165"/>
    <s v="eth1/16"/>
    <x v="0"/>
    <x v="0"/>
    <x v="0"/>
    <s v="LINK_TO_ITHHWCRMPEN03 /X2-10GE 6 /Redundante"/>
    <x v="0"/>
    <b v="0"/>
    <s v="No está en VPC"/>
    <n v="820"/>
    <s v="INTPG_VPC_820_1.15-16_18-19_825_1.1.15-16_18-19"/>
    <s v="ISEL-1.16"/>
    <n v="1"/>
    <s v="NO TIENE L3OUT"/>
    <n v="72"/>
    <n v="54"/>
  </r>
  <r>
    <n v="804"/>
    <x v="2"/>
    <x v="166"/>
    <s v="eth1/16"/>
    <x v="0"/>
    <x v="0"/>
    <x v="0"/>
    <s v="TO-HDPS_42-MSP"/>
    <x v="0"/>
    <b v="0"/>
    <s v="No está en VPC"/>
    <n v="804"/>
    <s v="INTPG_ACC_804_1.16"/>
    <s v="ISEL-1.16"/>
    <n v="1"/>
    <s v="NO TIENE L3OUT"/>
    <n v="48"/>
    <n v="54"/>
  </r>
  <r>
    <n v="779"/>
    <x v="2"/>
    <x v="167"/>
    <s v="eth1/16"/>
    <x v="0"/>
    <x v="0"/>
    <x v="0"/>
    <s v="ENIQ F1:itheniqr07nas2r2:LOM PORT 1"/>
    <x v="0"/>
    <b v="0"/>
    <s v="No está en VPC"/>
    <n v="779"/>
    <s v="INTPG_PC_779_1.16-19"/>
    <s v="ISEL-1.16"/>
    <n v="1"/>
    <s v="NO TIENE L3OUT"/>
    <n v="30"/>
    <n v="54"/>
  </r>
  <r>
    <n v="767"/>
    <x v="2"/>
    <x v="168"/>
    <s v="eth1/16"/>
    <x v="0"/>
    <x v="0"/>
    <x v="0"/>
    <s v="OSS_ENM"/>
    <x v="0"/>
    <b v="0"/>
    <s v="No está en VPC"/>
    <n v="767"/>
    <s v="INTPG_ACC_767_1.16"/>
    <s v="ISEL-1.16"/>
    <n v="1"/>
    <s v="NO TIENE L3OUT"/>
    <n v="60"/>
    <n v="54"/>
  </r>
  <r>
    <n v="827"/>
    <x v="2"/>
    <x v="169"/>
    <s v="eth1/16"/>
    <x v="0"/>
    <x v="0"/>
    <x v="0"/>
    <s v="LINK_TO_ITHFHWCBSDSUSBD10 /Slot4.2 /Principal"/>
    <x v="0"/>
    <b v="0"/>
    <s v="No está en VPC"/>
    <n v="827"/>
    <s v="INTPG_VPC_827_1.16_831_1.16"/>
    <s v="ISEL-1.16"/>
    <n v="1"/>
    <s v="NO TIENE L3OUT"/>
    <n v="14"/>
    <n v="54"/>
  </r>
  <r>
    <n v="809"/>
    <x v="2"/>
    <x v="170"/>
    <s v="eth1/16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16"/>
    <x v="0"/>
    <x v="0"/>
    <x v="0"/>
    <s v="Portchannel_7_R4A"/>
    <x v="0"/>
    <b v="0"/>
    <s v="No está en VPC"/>
    <n v="771"/>
    <s v="INTPG_PC_771_1.13-16"/>
    <s v="ISEL-1.16"/>
    <n v="1"/>
    <s v="NO TIENE L3OUT"/>
    <n v="62"/>
    <n v="54"/>
  </r>
  <r>
    <n v="761"/>
    <x v="2"/>
    <x v="172"/>
    <s v="eth1/16"/>
    <x v="0"/>
    <x v="1"/>
    <x v="1"/>
    <m/>
    <x v="0"/>
    <b v="0"/>
    <s v="No está en VPC"/>
    <n v="761"/>
    <s v="INTPG_VPC_760_1.13-16_761_1.13-16"/>
    <s v="ISEL-1.16"/>
    <n v="0"/>
    <s v="L3OUT-EXACLOUD"/>
    <n v="0"/>
    <n v="54"/>
  </r>
  <r>
    <n v="776"/>
    <x v="2"/>
    <x v="173"/>
    <s v="eth1/16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16"/>
    <x v="0"/>
    <x v="0"/>
    <x v="0"/>
    <s v="TO-HDPS_66-MSP"/>
    <x v="0"/>
    <b v="0"/>
    <s v="No está en VPC"/>
    <n v="805"/>
    <s v="INTPG_ACC_805_1.16"/>
    <s v="ISEL-1.16"/>
    <n v="1"/>
    <s v="NO TIENE L3OUT"/>
    <n v="44"/>
    <n v="54"/>
  </r>
  <r>
    <n v="772"/>
    <x v="2"/>
    <x v="175"/>
    <s v="eth1/16"/>
    <x v="0"/>
    <x v="0"/>
    <x v="0"/>
    <s v="TO-ITHFF5IOTUPLB02"/>
    <x v="0"/>
    <b v="0"/>
    <s v="No está en VPC"/>
    <n v="772"/>
    <s v="INTPG_VPC_772_1.16_773_1.12"/>
    <s v="ISEL-1.16"/>
    <n v="4"/>
    <s v="NO TIENE L3OUT"/>
    <n v="82"/>
    <n v="54"/>
  </r>
  <r>
    <n v="785"/>
    <x v="2"/>
    <x v="176"/>
    <s v="eth1/16"/>
    <x v="0"/>
    <x v="0"/>
    <x v="0"/>
    <s v="ENIQ F2:itheniqr12bl02nas2r6b:LOM PORT 1"/>
    <x v="0"/>
    <b v="0"/>
    <s v="No está en VPC"/>
    <n v="785"/>
    <s v="INTPG_PC_785_1.16-19"/>
    <s v="ISEL-1.16"/>
    <n v="1"/>
    <s v="NO TIENE L3OUT"/>
    <n v="32"/>
    <n v="54"/>
  </r>
  <r>
    <n v="851"/>
    <x v="2"/>
    <x v="177"/>
    <s v="eth1/16"/>
    <x v="0"/>
    <x v="0"/>
    <x v="0"/>
    <s v="LINK_TO_ITHFHWCRMPLCN106 / Slot7.1_16 / Redundante"/>
    <x v="0"/>
    <b v="0"/>
    <s v="No está en VPC"/>
    <n v="851"/>
    <s v="INTPG_ACC_851_1.16"/>
    <s v="ISEL-1.16"/>
    <n v="6"/>
    <s v="NO TIENE L3OUT"/>
    <n v="282"/>
    <n v="54"/>
  </r>
  <r>
    <n v="798"/>
    <x v="2"/>
    <x v="178"/>
    <s v="eth1/16"/>
    <x v="0"/>
    <x v="0"/>
    <x v="0"/>
    <s v="TO-IMC_PS04-MSP"/>
    <x v="0"/>
    <b v="0"/>
    <s v="No está en VPC"/>
    <n v="798"/>
    <s v="INTPG_ACC_798_1.16"/>
    <s v="ISEL-1.16"/>
    <n v="1"/>
    <s v="NO TIENE L3OUT"/>
    <n v="52"/>
    <n v="54"/>
  </r>
  <r>
    <n v="782"/>
    <x v="2"/>
    <x v="179"/>
    <s v="eth1/16"/>
    <x v="0"/>
    <x v="0"/>
    <x v="0"/>
    <s v="LACP_NAS2_ENIQ9A"/>
    <x v="0"/>
    <b v="0"/>
    <s v="No está en VPC"/>
    <n v="782"/>
    <s v="INTPG_PC_782_1.16-19"/>
    <s v="ISEL-1.16"/>
    <n v="1"/>
    <s v="NO TIENE L3OUT"/>
    <n v="32"/>
    <n v="54"/>
  </r>
  <r>
    <n v="852"/>
    <x v="2"/>
    <x v="180"/>
    <s v="eth1/16"/>
    <x v="0"/>
    <x v="0"/>
    <x v="0"/>
    <s v="LINK_TO_ITHFHWCRMPLCN89 / Slot7.2_10 / Redundante"/>
    <x v="0"/>
    <b v="0"/>
    <s v="No está en VPC"/>
    <n v="852"/>
    <s v="INTPG_ACC_852_1.16"/>
    <s v="ISEL-1.16"/>
    <n v="2"/>
    <s v="NO TIENE L3OUT"/>
    <n v="258"/>
    <n v="54"/>
  </r>
  <r>
    <n v="817"/>
    <x v="2"/>
    <x v="181"/>
    <s v="eth1/16"/>
    <x v="0"/>
    <x v="0"/>
    <x v="0"/>
    <s v="LINK_TO_ITHFHWCBSPSUSBD12 /Slot5.2 /Principal"/>
    <x v="0"/>
    <b v="0"/>
    <s v="No está en VPC"/>
    <n v="817"/>
    <s v="INTPG_VPC_817_1.16_822_1.16"/>
    <s v="ISEL-1.16"/>
    <n v="2"/>
    <s v="NO TIENE L3OUT"/>
    <n v="0"/>
    <n v="54"/>
  </r>
  <r>
    <n v="832"/>
    <x v="2"/>
    <x v="182"/>
    <s v="eth1/16"/>
    <x v="0"/>
    <x v="0"/>
    <x v="0"/>
    <s v="LINK_TO_ITHFHWCRMDLCN20 /Slot6.2 /Redundante"/>
    <x v="0"/>
    <b v="0"/>
    <s v="No está en VPC"/>
    <n v="832"/>
    <s v="INTPG_ACC_832_1.16"/>
    <s v="ISEL-1.16"/>
    <n v="1"/>
    <s v="NO TIENE L3OUT"/>
    <n v="192"/>
    <n v="54"/>
  </r>
  <r>
    <n v="816"/>
    <x v="2"/>
    <x v="183"/>
    <s v="eth1/16"/>
    <x v="0"/>
    <x v="0"/>
    <x v="0"/>
    <s v="LINK_TO_ITHFHWCBSPSHD15 /Slot5.2 /Principal"/>
    <x v="0"/>
    <b v="0"/>
    <s v="No está en VPC"/>
    <n v="816"/>
    <s v="INTPG_VPC_816_1.16_821_1.16"/>
    <s v="ISEL-1.16"/>
    <n v="2"/>
    <s v="NO TIENE L3OUT"/>
    <n v="0"/>
    <n v="54"/>
  </r>
  <r>
    <n v="825"/>
    <x v="2"/>
    <x v="184"/>
    <s v="eth1/16"/>
    <x v="0"/>
    <x v="0"/>
    <x v="0"/>
    <s v="LINK_TO_ITHHWCRMPEN03 /X2-10GE 5 /Principal"/>
    <x v="0"/>
    <b v="0"/>
    <s v="No está en VPC"/>
    <n v="825"/>
    <s v="INTPG_VPC_820_1.15-16_18-19_825_1.1.15-16_18-19"/>
    <s v="ISEL-1.16"/>
    <n v="1"/>
    <s v="NO TIENE L3OUT"/>
    <n v="72"/>
    <n v="54"/>
  </r>
  <r>
    <n v="800"/>
    <x v="2"/>
    <x v="185"/>
    <s v="eth1/16"/>
    <x v="0"/>
    <x v="0"/>
    <x v="0"/>
    <s v="TO-WES_01-MSP"/>
    <x v="0"/>
    <b v="0"/>
    <s v="No está en VPC"/>
    <n v="800"/>
    <s v="INTPG_ACC_800_1.16"/>
    <s v="ISEL-1.16"/>
    <n v="1"/>
    <s v="NO TIENE L3OUT"/>
    <n v="78"/>
    <n v="54"/>
  </r>
  <r>
    <n v="801"/>
    <x v="2"/>
    <x v="186"/>
    <s v="eth1/16"/>
    <x v="0"/>
    <x v="1"/>
    <x v="1"/>
    <s v="TO-WES_01-MSP"/>
    <x v="0"/>
    <b v="0"/>
    <s v="No está en VPC"/>
    <n v="801"/>
    <s v="INTPG_ACC_801_1.16"/>
    <s v="ISEL-1.16"/>
    <n v="1"/>
    <s v="NO TIENE L3OUT"/>
    <n v="78"/>
    <n v="54"/>
  </r>
  <r>
    <n v="823"/>
    <x v="2"/>
    <x v="187"/>
    <s v="eth1/16"/>
    <x v="0"/>
    <x v="0"/>
    <x v="0"/>
    <s v="LINK_TO_ITHFHWCBSPSUSBD17 /Slot6.2 /Redundante"/>
    <x v="0"/>
    <b v="0"/>
    <s v="No está en VPC"/>
    <n v="823"/>
    <s v="INTPG_VPC_818_1.16_823_1.16"/>
    <s v="ISEL-1.16"/>
    <n v="1"/>
    <s v="NO TIENE L3OUT"/>
    <n v="8"/>
    <n v="54"/>
  </r>
  <r>
    <n v="837"/>
    <x v="2"/>
    <x v="188"/>
    <s v="eth1/16"/>
    <x v="0"/>
    <x v="0"/>
    <x v="0"/>
    <s v="LINK_TO_ITHFHWCBSPSUSBD30 / Slot1.3_10 / Principal"/>
    <x v="0"/>
    <b v="0"/>
    <s v="No está en VPC"/>
    <n v="837"/>
    <s v="INTPG_VPC_837_1.16_842_1.16"/>
    <s v="ISEL-1.16"/>
    <n v="1"/>
    <s v="NO TIENE L3OUT"/>
    <n v="8"/>
    <n v="54"/>
  </r>
  <r>
    <n v="867"/>
    <x v="2"/>
    <x v="189"/>
    <s v="eth1/16"/>
    <x v="0"/>
    <x v="0"/>
    <x v="0"/>
    <s v="TO-ITHFSUEXG2XCN04_PCI8.P2"/>
    <x v="0"/>
    <b v="0"/>
    <s v="No está en VPC"/>
    <n v="867"/>
    <s v="INTPG_ACC_867_1.16"/>
    <s v="ISEL-1.16"/>
    <n v="2"/>
    <s v="NO TIENE L3OUT"/>
    <n v="44"/>
    <n v="54"/>
  </r>
  <r>
    <n v="829"/>
    <x v="2"/>
    <x v="190"/>
    <s v="eth1/16"/>
    <x v="0"/>
    <x v="0"/>
    <x v="0"/>
    <s v="LINK_TO_ITHFHWCRMDLCN33 /Slot7.2 /Redundante"/>
    <x v="0"/>
    <b v="0"/>
    <s v="No está en VPC"/>
    <n v="829"/>
    <s v="INTPG_ACC_829_1.16"/>
    <s v="ISEL-1.16"/>
    <n v="5"/>
    <s v="NO TIENE L3OUT"/>
    <n v="224"/>
    <n v="54"/>
  </r>
  <r>
    <n v="831"/>
    <x v="2"/>
    <x v="191"/>
    <s v="eth1/16"/>
    <x v="0"/>
    <x v="0"/>
    <x v="0"/>
    <s v="LINK_TO_ITHFHWCBSDSUSBD10 /Slot6.2 /Redundante"/>
    <x v="0"/>
    <b v="0"/>
    <s v="No está en VPC"/>
    <n v="831"/>
    <s v="INTPG_VPC_827_1.16_831_1.16"/>
    <s v="ISEL-1.16"/>
    <n v="1"/>
    <s v="NO TIENE L3OUT"/>
    <n v="14"/>
    <n v="54"/>
  </r>
  <r>
    <n v="802"/>
    <x v="2"/>
    <x v="192"/>
    <s v="eth1/16"/>
    <x v="0"/>
    <x v="0"/>
    <x v="0"/>
    <s v="TO-HDPS_18-MSP"/>
    <x v="0"/>
    <b v="0"/>
    <s v="No está en VPC"/>
    <n v="802"/>
    <s v="INTPG_ACC_802_1.16"/>
    <s v="ISEL-1.16"/>
    <n v="1"/>
    <s v="NO TIENE L3OUT"/>
    <n v="48"/>
    <n v="54"/>
  </r>
  <r>
    <n v="835"/>
    <x v="2"/>
    <x v="193"/>
    <s v="eth1/16"/>
    <x v="0"/>
    <x v="0"/>
    <x v="0"/>
    <s v="LINK_TO_ITHFHWCBSPSWR59 / Slot1.1_30 / Principal"/>
    <x v="0"/>
    <b v="0"/>
    <s v="No está en VPC"/>
    <n v="835"/>
    <s v="INTPG_VPC_835_1.16_840_1.16"/>
    <s v="ISEL-1.16"/>
    <n v="2"/>
    <s v="NO TIENE L3OUT"/>
    <n v="8"/>
    <n v="54"/>
  </r>
  <r>
    <n v="822"/>
    <x v="2"/>
    <x v="194"/>
    <s v="eth1/16"/>
    <x v="0"/>
    <x v="0"/>
    <x v="0"/>
    <s v="LINK_TO_ITHFHWCBSPSUSBD12 /Slot7.2 /Redundante"/>
    <x v="0"/>
    <b v="0"/>
    <s v="No está en VPC"/>
    <n v="822"/>
    <s v="INTPG_VPC_817_1.16_822_1.16"/>
    <s v="ISEL-1.16"/>
    <n v="2"/>
    <s v="NO TIENE L3OUT"/>
    <n v="0"/>
    <n v="54"/>
  </r>
  <r>
    <n v="854"/>
    <x v="2"/>
    <x v="195"/>
    <s v="eth1/16"/>
    <x v="0"/>
    <x v="0"/>
    <x v="0"/>
    <s v="LINK_TO_ITHFHWCRMPLCN170 / Slot1.3_10 / Principal"/>
    <x v="0"/>
    <b v="0"/>
    <s v="No está en VPC"/>
    <n v="854"/>
    <s v="INTPG_ACC_854_1.16"/>
    <s v="ISEL-1.16"/>
    <n v="1"/>
    <s v="NO TIENE L3OUT"/>
    <n v="204"/>
    <n v="54"/>
  </r>
  <r>
    <n v="858"/>
    <x v="2"/>
    <x v="196"/>
    <s v="eth1/16"/>
    <x v="0"/>
    <x v="0"/>
    <x v="0"/>
    <s v="To_VPC_2DCBSD_HD42_1"/>
    <x v="0"/>
    <b v="0"/>
    <s v="No está en VPC"/>
    <n v="858"/>
    <s v="INTPG_VPC_858_1.16_863_1.16"/>
    <s v="ISEL-1.16"/>
    <n v="2"/>
    <s v="NO TIENE L3OUT"/>
    <n v="8"/>
    <n v="54"/>
  </r>
  <r>
    <n v="857"/>
    <x v="2"/>
    <x v="197"/>
    <s v="eth1/16"/>
    <x v="0"/>
    <x v="0"/>
    <x v="0"/>
    <s v="LINKT_TO_ITHFHWCRMPLCN120 / Slot1.3_10 / Principal"/>
    <x v="0"/>
    <b v="0"/>
    <s v="No está en VPC"/>
    <n v="857"/>
    <s v="INTPG_ACC_857_1.16"/>
    <s v="ISEL-1.16"/>
    <n v="1"/>
    <s v="NO TIENE L3OUT"/>
    <n v="288"/>
    <n v="54"/>
  </r>
  <r>
    <n v="859"/>
    <x v="2"/>
    <x v="198"/>
    <s v="eth1/16"/>
    <x v="0"/>
    <x v="0"/>
    <x v="0"/>
    <s v="To_VPC_2DCBSD_HD36_1"/>
    <x v="0"/>
    <b v="0"/>
    <s v="No está en VPC"/>
    <n v="859"/>
    <s v="INTPG_VPC_859_1.16_864_1.16"/>
    <s v="ISEL-1.16"/>
    <n v="2"/>
    <s v="NO TIENE L3OUT"/>
    <n v="0"/>
    <n v="54"/>
  </r>
  <r>
    <n v="833"/>
    <x v="2"/>
    <x v="199"/>
    <s v="eth1/16"/>
    <x v="0"/>
    <x v="0"/>
    <x v="0"/>
    <s v="LINK_TO_ITHFHWCRMDLCN33 /Slot5.2 /Principal"/>
    <x v="0"/>
    <b v="0"/>
    <s v="No está en VPC"/>
    <n v="833"/>
    <s v="INTPG_ACC_833_1.16"/>
    <s v="ISEL-1.16"/>
    <n v="5"/>
    <s v="NO TIENE L3OUT"/>
    <n v="224"/>
    <n v="54"/>
  </r>
  <r>
    <n v="818"/>
    <x v="2"/>
    <x v="200"/>
    <s v="eth1/16"/>
    <x v="0"/>
    <x v="0"/>
    <x v="0"/>
    <s v="LINK_TO_ITHFHWCBSPSUSBD17 /Slot4.2 /Principal"/>
    <x v="0"/>
    <b v="0"/>
    <s v="No está en VPC"/>
    <n v="818"/>
    <s v="INTPG_VPC_818_1.16_823_1.16"/>
    <s v="ISEL-1.16"/>
    <n v="1"/>
    <s v="NO TIENE L3OUT"/>
    <n v="8"/>
    <n v="54"/>
  </r>
  <r>
    <n v="850"/>
    <x v="2"/>
    <x v="201"/>
    <s v="eth1/16"/>
    <x v="0"/>
    <x v="0"/>
    <x v="0"/>
    <s v="LINKT_TO_ITHFHWCRMPLCN120 / Slot7.3_10 / Redundante"/>
    <x v="0"/>
    <b v="0"/>
    <s v="No está en VPC"/>
    <n v="850"/>
    <s v="INTPG_ACC_850_1.16"/>
    <s v="ISEL-1.16"/>
    <n v="1"/>
    <s v="NO TIENE L3OUT"/>
    <n v="288"/>
    <n v="54"/>
  </r>
  <r>
    <n v="860"/>
    <x v="2"/>
    <x v="202"/>
    <s v="eth1/16"/>
    <x v="0"/>
    <x v="0"/>
    <x v="0"/>
    <s v="To_VPC_2DCBSD_HD28_1"/>
    <x v="0"/>
    <b v="0"/>
    <s v="No está en VPC"/>
    <n v="860"/>
    <s v="INTPG_VPC_860_1.16_865_1.16"/>
    <s v="ISEL-1.16"/>
    <n v="2"/>
    <s v="NO TIENE L3OUT"/>
    <n v="0"/>
    <n v="54"/>
  </r>
  <r>
    <n v="853"/>
    <x v="2"/>
    <x v="203"/>
    <s v="eth1/16"/>
    <x v="0"/>
    <x v="0"/>
    <x v="0"/>
    <s v="LINK_TO_ITHFHWCRMPLCN77 / Slot7.1_12 / Redundante"/>
    <x v="0"/>
    <b v="0"/>
    <s v="No está en VPC"/>
    <n v="853"/>
    <s v="INTPG_ACC_853_1.16"/>
    <s v="ISEL-1.16"/>
    <n v="6"/>
    <s v="NO TIENE L3OUT"/>
    <n v="242"/>
    <n v="54"/>
  </r>
  <r>
    <n v="790"/>
    <x v="2"/>
    <x v="204"/>
    <s v="eth1/16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16"/>
    <x v="0"/>
    <x v="0"/>
    <x v="0"/>
    <s v="NETEZZA"/>
    <x v="6"/>
    <b v="0"/>
    <s v="No está en VPC"/>
    <n v="105"/>
    <s v="INTPG_ACC_105_1.16"/>
    <s v="ISEL-1.16"/>
    <n v="1"/>
    <s v="NO TIENE L3OUT"/>
    <n v="106"/>
    <n v="96"/>
  </r>
  <r>
    <n v="117"/>
    <x v="0"/>
    <x v="206"/>
    <s v="eth1/16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16"/>
    <x v="0"/>
    <x v="1"/>
    <x v="1"/>
    <s v="SFLDI"/>
    <x v="6"/>
    <b v="0"/>
    <s v="No está en VPC"/>
    <n v="104"/>
    <s v="INTPG_ACC_104_1.16"/>
    <s v="ISEL-1.16"/>
    <n v="1"/>
    <s v="NO TIENE L3OUT"/>
    <n v="194"/>
    <n v="96"/>
  </r>
  <r>
    <n v="158"/>
    <x v="0"/>
    <x v="208"/>
    <s v="eth1/16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16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16"/>
    <x v="0"/>
    <x v="0"/>
    <x v="0"/>
    <s v="HACIA_CSI-A-OSCP-F4-16_SECUNDARIO"/>
    <x v="4"/>
    <b v="0"/>
    <s v="No está en VPC"/>
    <n v="879"/>
    <s v="INTPG_VPC_878_1.16_879_1.16"/>
    <s v="ISEL-1.16"/>
    <n v="2"/>
    <s v="NO TIENE L3OUT"/>
    <n v="0"/>
    <n v="54"/>
  </r>
  <r>
    <n v="108"/>
    <x v="0"/>
    <x v="211"/>
    <s v="eth1/16"/>
    <x v="0"/>
    <x v="0"/>
    <x v="0"/>
    <s v="TELLABS"/>
    <x v="6"/>
    <b v="0"/>
    <s v="No está en VPC"/>
    <n v="108"/>
    <s v="INTPG_ACC_108_1.16"/>
    <s v="ISEL-1.16"/>
    <n v="1"/>
    <s v="NO TIENE L3OUT"/>
    <n v="126"/>
    <n v="96"/>
  </r>
  <r>
    <n v="112"/>
    <x v="0"/>
    <x v="212"/>
    <s v="eth1/16"/>
    <x v="0"/>
    <x v="0"/>
    <x v="0"/>
    <s v="SECAM"/>
    <x v="6"/>
    <b v="0"/>
    <s v="No está en VPC"/>
    <n v="112"/>
    <s v="INTPG_ACC_112_1.16"/>
    <s v="ISEL-1.16"/>
    <n v="1"/>
    <s v="NO TIENE L3OUT"/>
    <n v="144"/>
    <n v="96"/>
  </r>
  <r>
    <n v="107"/>
    <x v="0"/>
    <x v="213"/>
    <s v="eth1/16"/>
    <x v="0"/>
    <x v="0"/>
    <x v="0"/>
    <m/>
    <x v="6"/>
    <b v="0"/>
    <s v="No está en VPC"/>
    <n v="107"/>
    <s v="INTPG_ACC_107_1.16"/>
    <s v="ISEL-1.16"/>
    <n v="1"/>
    <s v="NO TIENE L3OUT"/>
    <n v="118"/>
    <n v="96"/>
  </r>
  <r>
    <n v="109"/>
    <x v="0"/>
    <x v="214"/>
    <s v="eth1/16"/>
    <x v="0"/>
    <x v="0"/>
    <x v="0"/>
    <s v="TELLABS"/>
    <x v="6"/>
    <b v="0"/>
    <s v="No está en VPC"/>
    <n v="109"/>
    <s v="INTPG_ACC_109_1.16"/>
    <s v="ISEL-1.16"/>
    <n v="1"/>
    <s v="NO TIENE L3OUT"/>
    <n v="126"/>
    <n v="96"/>
  </r>
  <r>
    <n v="113"/>
    <x v="0"/>
    <x v="215"/>
    <s v="eth1/16"/>
    <x v="0"/>
    <x v="0"/>
    <x v="0"/>
    <s v="TO-ITHFERNTCTRIS01-Principal"/>
    <x v="6"/>
    <b v="0"/>
    <s v="No está en VPC"/>
    <n v="113"/>
    <s v="INTPG_ACC_113_1.16"/>
    <s v="ISEL-1.16"/>
    <n v="1"/>
    <s v="NO TIENE L3OUT"/>
    <n v="52"/>
    <n v="96"/>
  </r>
  <r>
    <n v="114"/>
    <x v="0"/>
    <x v="216"/>
    <s v="eth1/16"/>
    <x v="1"/>
    <x v="1"/>
    <x v="2"/>
    <s v="APROVISIONAMIENTO DE SERVICIOS"/>
    <x v="6"/>
    <b v="0"/>
    <s v="No está en VPC"/>
    <n v="114"/>
    <s v="INTPG_ACC_114_1.16"/>
    <s v="ISEL-1.16"/>
    <n v="1"/>
    <s v="NO TIENE L3OUT"/>
    <n v="144"/>
    <n v="96"/>
  </r>
  <r>
    <n v="124"/>
    <x v="0"/>
    <x v="217"/>
    <s v="eth1/16"/>
    <x v="0"/>
    <x v="1"/>
    <x v="1"/>
    <s v="UXSVA (M5000)"/>
    <x v="6"/>
    <b v="0"/>
    <s v="No está en VPC"/>
    <n v="124"/>
    <s v="INTPG_ACC_124_1.16"/>
    <s v="ISEL-1.16"/>
    <n v="1"/>
    <s v="NO TIENE L3OUT"/>
    <n v="80"/>
    <n v="96"/>
  </r>
  <r>
    <n v="118"/>
    <x v="0"/>
    <x v="218"/>
    <s v="eth1/16"/>
    <x v="0"/>
    <x v="1"/>
    <x v="1"/>
    <s v="COBROS NAVEGACION"/>
    <x v="6"/>
    <b v="0"/>
    <s v="No está en VPC"/>
    <n v="118"/>
    <s v="INTPG_ACC_118_1.16"/>
    <s v="ISEL-1.16"/>
    <n v="1"/>
    <s v="NO TIENE L3OUT"/>
    <n v="180"/>
    <n v="96"/>
  </r>
  <r>
    <n v="159"/>
    <x v="0"/>
    <x v="219"/>
    <s v="eth1/16"/>
    <x v="0"/>
    <x v="0"/>
    <x v="0"/>
    <m/>
    <x v="6"/>
    <b v="0"/>
    <s v="No está en VPC"/>
    <n v="159"/>
    <s v="INTPG_ACC_159_1.16"/>
    <s v="ISEL-1.16"/>
    <n v="1"/>
    <s v="NO TIENE L3OUT"/>
    <n v="72"/>
    <n v="96"/>
  </r>
  <r>
    <n v="840"/>
    <x v="2"/>
    <x v="220"/>
    <s v="eth1/16"/>
    <x v="0"/>
    <x v="0"/>
    <x v="0"/>
    <s v="LINK_TO_ITHFHWCBSPSWR59 / Slot7.1_30 / Redundante"/>
    <x v="0"/>
    <b v="0"/>
    <s v="No está en VPC"/>
    <n v="840"/>
    <s v="INTPG_VPC_835_1.16_840_1.16"/>
    <s v="ISEL-1.16"/>
    <n v="2"/>
    <s v="NO TIENE L3OUT"/>
    <n v="8"/>
    <n v="54"/>
  </r>
  <r>
    <n v="856"/>
    <x v="2"/>
    <x v="221"/>
    <s v="eth1/16"/>
    <x v="0"/>
    <x v="0"/>
    <x v="0"/>
    <s v="LINK_TO_ITHFHWCRMPLCN139 / Slot1.3_12 / Principal"/>
    <x v="0"/>
    <b v="0"/>
    <s v="No está en VPC"/>
    <n v="856"/>
    <s v="INTPG_ACC_856_1.16"/>
    <s v="ISEL-1.16"/>
    <n v="1"/>
    <s v="NO TIENE L3OUT"/>
    <n v="286"/>
    <n v="54"/>
  </r>
  <r>
    <n v="110"/>
    <x v="0"/>
    <x v="222"/>
    <s v="eth1/16"/>
    <x v="0"/>
    <x v="0"/>
    <x v="0"/>
    <s v="DESC"/>
    <x v="6"/>
    <b v="0"/>
    <s v="No está en VPC"/>
    <n v="110"/>
    <s v="INTPG_PC_110_1.15-16_22-23_30"/>
    <s v="ISEL-1.16"/>
    <n v="1"/>
    <s v="NO TIENE L3OUT"/>
    <n v="102"/>
    <n v="96"/>
  </r>
  <r>
    <n v="163"/>
    <x v="0"/>
    <x v="223"/>
    <s v="eth1/16"/>
    <x v="0"/>
    <x v="0"/>
    <x v="0"/>
    <s v="SICOP"/>
    <x v="6"/>
    <b v="0"/>
    <s v="No está en VPC"/>
    <n v="163"/>
    <s v="INTPG_ACC_163_1.16"/>
    <s v="ISEL-1.16"/>
    <n v="1"/>
    <s v="NO TIENE L3OUT"/>
    <n v="140"/>
    <n v="96"/>
  </r>
  <r>
    <n v="407"/>
    <x v="1"/>
    <x v="224"/>
    <s v="eth1/16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16"/>
    <x v="0"/>
    <x v="0"/>
    <x v="0"/>
    <s v="Ubicaci\u00f3n f\u00edsica donde se requiere la nueva carga: SITE MODULO 1"/>
    <x v="6"/>
    <b v="0"/>
    <s v="No está en VPC"/>
    <n v="171"/>
    <s v="INTPG_ACC_171_1.16"/>
    <s v="ISEL-1.16"/>
    <n v="1"/>
    <s v="NO TIENE L3OUT"/>
    <n v="114"/>
    <n v="96"/>
  </r>
  <r>
    <n v="421"/>
    <x v="1"/>
    <x v="226"/>
    <s v="eth1/16"/>
    <x v="0"/>
    <x v="1"/>
    <x v="4"/>
    <s v="VMS_HW_SIP"/>
    <x v="6"/>
    <b v="0"/>
    <s v="No está en VPC"/>
    <n v="421"/>
    <s v="INTPG_VPC_419_1.16_421_1.16"/>
    <s v="ISEL-1.16"/>
    <n v="1"/>
    <s v="NO TIENE L3OUT"/>
    <n v="72"/>
    <n v="96"/>
  </r>
  <r>
    <n v="173"/>
    <x v="0"/>
    <x v="227"/>
    <s v="eth1/16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16"/>
    <x v="0"/>
    <x v="0"/>
    <x v="0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16"/>
    <x v="0"/>
    <x v="0"/>
    <x v="0"/>
    <s v="SOP-EAGLE"/>
    <x v="6"/>
    <b v="0"/>
    <s v="No está en VPC"/>
    <n v="172"/>
    <s v="INTPG_ACC_172_1.16"/>
    <s v="ISEL-1.16"/>
    <n v="1"/>
    <s v="NO TIENE L3OUT"/>
    <n v="104"/>
    <n v="96"/>
  </r>
  <r>
    <n v="420"/>
    <x v="1"/>
    <x v="230"/>
    <s v="eth1/16"/>
    <x v="0"/>
    <x v="0"/>
    <x v="0"/>
    <s v="sfmevp01"/>
    <x v="6"/>
    <b v="0"/>
    <s v="No está en VPC"/>
    <n v="420"/>
    <s v="INTPG_ACC_420_1.16"/>
    <s v="ISEL-1.16"/>
    <n v="1"/>
    <s v="NO TIENE L3OUT"/>
    <n v="158"/>
    <n v="96"/>
  </r>
  <r>
    <n v="423"/>
    <x v="1"/>
    <x v="231"/>
    <s v="eth1/16"/>
    <x v="0"/>
    <x v="0"/>
    <x v="0"/>
    <s v="ITHVC2_eth0_IPMP-Activa"/>
    <x v="6"/>
    <b v="0"/>
    <s v="No está en VPC"/>
    <n v="423"/>
    <s v="INTPG_ACC_423_1.16"/>
    <s v="ISEL-1.16"/>
    <n v="1"/>
    <s v="NO TIENE L3OUT"/>
    <n v="86"/>
    <n v="96"/>
  </r>
  <r>
    <n v="415"/>
    <x v="1"/>
    <x v="232"/>
    <s v="eth1/16"/>
    <x v="0"/>
    <x v="0"/>
    <x v="0"/>
    <s v="TIMEPICTRA-CONSOLA"/>
    <x v="6"/>
    <b v="0"/>
    <s v="No está en VPC"/>
    <n v="415"/>
    <s v="INTPG_ACC_415_1.16"/>
    <s v="ISEL-1.16"/>
    <n v="1"/>
    <s v="NO TIENE L3OUT"/>
    <n v="52"/>
    <n v="96"/>
  </r>
  <r>
    <n v="102"/>
    <x v="0"/>
    <x v="233"/>
    <s v="eth1/16"/>
    <x v="0"/>
    <x v="0"/>
    <x v="0"/>
    <s v="SFLDI:RLDICDR04:1"/>
    <x v="6"/>
    <b v="0"/>
    <s v="No está en VPC"/>
    <n v="102"/>
    <s v="INTPG_ACC_102_1.16"/>
    <s v="ISEL-1.16"/>
    <n v="1"/>
    <s v="NO TIENE L3OUT"/>
    <n v="228"/>
    <n v="96"/>
  </r>
  <r>
    <n v="863"/>
    <x v="2"/>
    <x v="234"/>
    <s v="eth1/16"/>
    <x v="0"/>
    <x v="0"/>
    <x v="0"/>
    <s v="To_VPC_2DCBSD_HD42_1"/>
    <x v="0"/>
    <b v="0"/>
    <s v="No está en VPC"/>
    <n v="863"/>
    <s v="INTPG_VPC_858_1.16_863_1.16"/>
    <s v="ISEL-1.16"/>
    <n v="2"/>
    <s v="NO TIENE L3OUT"/>
    <n v="8"/>
    <n v="54"/>
  </r>
  <r>
    <n v="876"/>
    <x v="2"/>
    <x v="235"/>
    <s v="eth1/16"/>
    <x v="0"/>
    <x v="0"/>
    <x v="0"/>
    <s v="LINK_TO_ITHFHWSEQLIMPS27 / Slot 4 PTO 1 / Principal"/>
    <x v="4"/>
    <b v="0"/>
    <s v="No está en VPC"/>
    <n v="876"/>
    <s v="INTPG_ACC_876_1.16"/>
    <s v="ISEL-1.16"/>
    <n v="1"/>
    <s v="NO TIENE L3OUT"/>
    <n v="92"/>
    <n v="54"/>
  </r>
  <r>
    <n v="877"/>
    <x v="2"/>
    <x v="236"/>
    <s v="eth1/16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16"/>
    <x v="0"/>
    <x v="1"/>
    <x v="1"/>
    <s v="ixtamws1"/>
    <x v="6"/>
    <b v="0"/>
    <s v="No está en VPC"/>
    <n v="122"/>
    <s v="INTPG_ACC_122_1.16"/>
    <s v="ISEL-1.16"/>
    <n v="1"/>
    <s v="NO TIENE L3OUT"/>
    <n v="148"/>
    <n v="96"/>
  </r>
  <r>
    <n v="157"/>
    <x v="0"/>
    <x v="238"/>
    <s v="eth1/16"/>
    <x v="1"/>
    <x v="1"/>
    <x v="2"/>
    <s v="Consolidaci\u00f3n Aplicaciones Prepago"/>
    <x v="6"/>
    <b v="0"/>
    <s v="No está en VPC"/>
    <n v="157"/>
    <s v="INTPG_ACC_157_1.16"/>
    <s v="ISEL-1.16"/>
    <n v="0"/>
    <s v="NO TIENE L3OUT"/>
    <n v="202"/>
    <n v="96"/>
  </r>
  <r>
    <n v="408"/>
    <x v="1"/>
    <x v="239"/>
    <s v="eth1/16"/>
    <x v="0"/>
    <x v="0"/>
    <x v="0"/>
    <s v="RESPAL_CS5_ASAP8"/>
    <x v="6"/>
    <b v="0"/>
    <s v="No está en VPC"/>
    <n v="408"/>
    <s v="INTPG_ACC_408_1.16"/>
    <s v="ISEL-1.16"/>
    <n v="1"/>
    <s v="NO TIENE L3OUT"/>
    <n v="152"/>
    <n v="96"/>
  </r>
  <r>
    <n v="405"/>
    <x v="1"/>
    <x v="240"/>
    <s v="eth1/16"/>
    <x v="0"/>
    <x v="0"/>
    <x v="0"/>
    <s v="XL5 RLR5ARI06 iLO"/>
    <x v="6"/>
    <b v="0"/>
    <s v="No está en VPC"/>
    <n v="405"/>
    <s v="INTPG_ACC_405_1.16"/>
    <s v="ISEL-1.16"/>
    <n v="1"/>
    <s v="NO TIENE L3OUT"/>
    <n v="138"/>
    <n v="96"/>
  </r>
  <r>
    <n v="169"/>
    <x v="0"/>
    <x v="241"/>
    <s v="eth1/16"/>
    <x v="1"/>
    <x v="1"/>
    <x v="2"/>
    <s v="MMSC_WAPGW"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16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16"/>
    <x v="0"/>
    <x v="0"/>
    <x v="0"/>
    <s v="IXTSRM2"/>
    <x v="6"/>
    <b v="0"/>
    <s v="No está en VPC"/>
    <n v="417"/>
    <s v="INTPG_ACC_417_1.16"/>
    <s v="ISEL-1.16"/>
    <n v="1"/>
    <s v="NO TIENE L3OUT"/>
    <n v="56"/>
    <n v="96"/>
  </r>
  <r>
    <n v="153"/>
    <x v="0"/>
    <x v="244"/>
    <s v="eth1/16"/>
    <x v="0"/>
    <x v="1"/>
    <x v="1"/>
    <s v="BLOQUEO EMEI"/>
    <x v="6"/>
    <b v="0"/>
    <s v="No está en VPC"/>
    <n v="153"/>
    <s v="INTPG_ACC_153_1.16"/>
    <s v="ISEL-1.16"/>
    <n v="1"/>
    <s v="NO TIENE L3OUT"/>
    <n v="42"/>
    <n v="96"/>
  </r>
  <r>
    <n v="119"/>
    <x v="0"/>
    <x v="245"/>
    <s v="eth1/16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16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16"/>
    <x v="0"/>
    <x v="0"/>
    <x v="0"/>
    <s v="DATOS LENOVO"/>
    <x v="6"/>
    <b v="0"/>
    <s v="No está en VPC"/>
    <n v="103"/>
    <s v="INTPG_ACC_103_1.16"/>
    <s v="ISEL-1.16"/>
    <n v="1"/>
    <s v="NO TIENE L3OUT"/>
    <n v="70"/>
    <n v="96"/>
  </r>
  <r>
    <n v="438"/>
    <x v="1"/>
    <x v="248"/>
    <s v="eth1/16"/>
    <x v="0"/>
    <x v="0"/>
    <x v="0"/>
    <s v="MIGRACION_SAP-BO2"/>
    <x v="6"/>
    <b v="0"/>
    <s v="No está en VPC"/>
    <n v="438"/>
    <s v="INTPG_VPC_436_1.16_438_1.16"/>
    <s v="ISEL-1.16"/>
    <n v="1"/>
    <s v="NO TIENE L3OUT"/>
    <n v="170"/>
    <n v="96"/>
  </r>
  <r>
    <n v="406"/>
    <x v="1"/>
    <x v="249"/>
    <s v="eth1/16"/>
    <x v="0"/>
    <x v="0"/>
    <x v="0"/>
    <s v="ITHRTC32VC2"/>
    <x v="6"/>
    <b v="0"/>
    <s v="No está en VPC"/>
    <n v="406"/>
    <s v="INTPG_VPC_404_1.16_406_1.16"/>
    <s v="ISEL-1.16"/>
    <n v="1"/>
    <s v="NO TIENE L3OUT"/>
    <n v="82"/>
    <n v="96"/>
  </r>
  <r>
    <n v="414"/>
    <x v="1"/>
    <x v="250"/>
    <s v="eth1/16"/>
    <x v="0"/>
    <x v="0"/>
    <x v="0"/>
    <s v="9UCS-IXTLA-WEBEX-SERV3"/>
    <x v="6"/>
    <b v="0"/>
    <s v="No está en VPC"/>
    <n v="414"/>
    <s v="INTPG_ACC_414_1.16"/>
    <s v="ISEL-1.16"/>
    <n v="1"/>
    <s v="NO TIENE L3OUT"/>
    <n v="144"/>
    <n v="96"/>
  </r>
  <r>
    <n v="416"/>
    <x v="1"/>
    <x v="251"/>
    <s v="eth1/16"/>
    <x v="0"/>
    <x v="1"/>
    <x v="5"/>
    <s v="sfroap07-ROAMINGCSG_CLIENT2"/>
    <x v="6"/>
    <b v="0"/>
    <s v="No está en VPC"/>
    <n v="416"/>
    <s v="INTPG_VPC_416_1.16_418_1.16"/>
    <s v="ISEL-1.16"/>
    <n v="1"/>
    <s v="NO TIENE L3OUT"/>
    <n v="110"/>
    <n v="96"/>
  </r>
  <r>
    <n v="418"/>
    <x v="1"/>
    <x v="252"/>
    <s v="eth1/16"/>
    <x v="0"/>
    <x v="1"/>
    <x v="5"/>
    <s v="sfroap07-ROAMINGCSG_CLIENT2"/>
    <x v="6"/>
    <b v="0"/>
    <s v="No está en VPC"/>
    <n v="418"/>
    <s v="INTPG_VPC_416_1.16_418_1.16"/>
    <s v="ISEL-1.16"/>
    <n v="1"/>
    <s v="NO TIENE L3OUT"/>
    <n v="152"/>
    <n v="96"/>
  </r>
  <r>
    <n v="413"/>
    <x v="1"/>
    <x v="253"/>
    <s v="eth1/16"/>
    <x v="0"/>
    <x v="0"/>
    <x v="0"/>
    <s v="lagidmhlapvp06_produccion1"/>
    <x v="6"/>
    <b v="0"/>
    <s v="No está en VPC"/>
    <n v="413"/>
    <s v="INTPG_VPC_411_1.21-24_413_1.14-17"/>
    <s v="ISEL-1.16"/>
    <n v="2"/>
    <s v="NO TIENE L3OUT"/>
    <n v="126"/>
    <n v="96"/>
  </r>
  <r>
    <n v="403"/>
    <x v="1"/>
    <x v="254"/>
    <s v="eth1/16"/>
    <x v="0"/>
    <x v="0"/>
    <x v="0"/>
    <s v="XL5 RLR5ARI06"/>
    <x v="6"/>
    <b v="0"/>
    <s v="No está en VPC"/>
    <n v="403"/>
    <s v="INTPG_ACC_403_1.16"/>
    <s v="ISEL-1.16"/>
    <n v="1"/>
    <s v="NO TIENE L3OUT"/>
    <n v="150"/>
    <n v="96"/>
  </r>
  <r>
    <n v="125"/>
    <x v="0"/>
    <x v="255"/>
    <s v="eth1/16"/>
    <x v="0"/>
    <x v="1"/>
    <x v="1"/>
    <s v="GSM_ENIQ_TIJ"/>
    <x v="6"/>
    <b v="0"/>
    <s v="No está en VPC"/>
    <n v="125"/>
    <s v="INTPG_VPC_124_1.11_125_1.16"/>
    <s v="ISEL-1.16"/>
    <n v="10"/>
    <s v="NO TIENE L3OUT"/>
    <n v="72"/>
    <n v="96"/>
  </r>
  <r>
    <n v="166"/>
    <x v="0"/>
    <x v="256"/>
    <s v="eth1/16"/>
    <x v="0"/>
    <x v="0"/>
    <x v="0"/>
    <s v="UXLDAP"/>
    <x v="6"/>
    <b v="0"/>
    <s v="No está en VPC"/>
    <n v="166"/>
    <s v="INTPG_ACC_166_1.16"/>
    <s v="ISEL-1.16"/>
    <n v="1"/>
    <s v="NO TIENE L3OUT"/>
    <n v="84"/>
    <n v="96"/>
  </r>
  <r>
    <n v="111"/>
    <x v="0"/>
    <x v="257"/>
    <s v="eth1/16"/>
    <x v="0"/>
    <x v="0"/>
    <x v="0"/>
    <s v="DESC"/>
    <x v="6"/>
    <b v="0"/>
    <s v="No está en VPC"/>
    <n v="111"/>
    <s v="INTPG_PC_111_1.15-16_22-23_30"/>
    <s v="ISEL-1.16"/>
    <n v="1"/>
    <s v="NO TIENE L3OUT"/>
    <n v="58"/>
    <n v="96"/>
  </r>
  <r>
    <n v="115"/>
    <x v="0"/>
    <x v="258"/>
    <s v="eth1/16"/>
    <x v="0"/>
    <x v="0"/>
    <x v="0"/>
    <s v="TO-ITHFDEVYCWPBD02-PRINCIPAL"/>
    <x v="6"/>
    <b v="0"/>
    <s v="No está en VPC"/>
    <n v="115"/>
    <s v="INTPG_ACC_115_1.16"/>
    <s v="ISEL-1.16"/>
    <n v="1"/>
    <s v="NO TIENE L3OUT"/>
    <n v="42"/>
    <n v="96"/>
  </r>
  <r>
    <n v="106"/>
    <x v="0"/>
    <x v="259"/>
    <s v="eth1/16"/>
    <x v="0"/>
    <x v="0"/>
    <x v="0"/>
    <s v="CONSOLIDACION_ITHFOCCSLUAP01_PRINCIPAL"/>
    <x v="6"/>
    <b v="0"/>
    <s v="No está en VPC"/>
    <n v="106"/>
    <s v="INTPG_ACC_106_1.16"/>
    <s v="ISEL-1.16"/>
    <n v="1"/>
    <s v="NO TIENE L3OUT"/>
    <n v="122"/>
    <n v="96"/>
  </r>
  <r>
    <n v="126"/>
    <x v="0"/>
    <x v="260"/>
    <s v="eth1/16"/>
    <x v="0"/>
    <x v="0"/>
    <x v="0"/>
    <s v="ENIQ_VNX_5400-2_SPB_2RO"/>
    <x v="6"/>
    <b v="0"/>
    <s v="No está en VPC"/>
    <n v="126"/>
    <s v="INTPG_ACC_126_1.16"/>
    <s v="ISEL-1.16"/>
    <n v="1"/>
    <s v="NO TIENE L3OUT"/>
    <n v="54"/>
    <n v="96"/>
  </r>
  <r>
    <n v="425"/>
    <x v="1"/>
    <x v="261"/>
    <s v="eth1/16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16"/>
    <x v="0"/>
    <x v="0"/>
    <x v="0"/>
    <s v="DASHBOARD"/>
    <x v="6"/>
    <b v="0"/>
    <s v="No está en VPC"/>
    <n v="151"/>
    <s v="INTPG_ACC_151_1.16"/>
    <s v="ISEL-1.16"/>
    <n v="1"/>
    <s v="NO TIENE L3OUT"/>
    <n v="86"/>
    <n v="96"/>
  </r>
  <r>
    <n v="430"/>
    <x v="1"/>
    <x v="263"/>
    <s v="eth1/16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16"/>
    <x v="0"/>
    <x v="0"/>
    <x v="0"/>
    <s v="VMS_HW_SIP"/>
    <x v="6"/>
    <b v="0"/>
    <s v="No está en VPC"/>
    <n v="419"/>
    <s v="INTPG_VPC_419_1.16_421_1.16"/>
    <s v="ISEL-1.16"/>
    <n v="1"/>
    <s v="NO TIENE L3OUT"/>
    <n v="70"/>
    <n v="96"/>
  </r>
  <r>
    <n v="155"/>
    <x v="0"/>
    <x v="265"/>
    <s v="eth1/16"/>
    <x v="0"/>
    <x v="0"/>
    <x v="0"/>
    <s v="COBROS NAVEGACION"/>
    <x v="6"/>
    <b v="0"/>
    <s v="No está en VPC"/>
    <n v="155"/>
    <s v="INTPG_ACC_155_1.16"/>
    <s v="ISEL-1.16"/>
    <n v="1"/>
    <s v="NO TIENE L3OUT"/>
    <n v="198"/>
    <n v="96"/>
  </r>
  <r>
    <n v="409"/>
    <x v="1"/>
    <x v="266"/>
    <s v="eth1/16"/>
    <x v="0"/>
    <x v="1"/>
    <x v="1"/>
    <s v="IXT_SIEU"/>
    <x v="6"/>
    <b v="0"/>
    <s v="No está en VPC"/>
    <n v="409"/>
    <s v="INTPG_ACC_409_1.16"/>
    <s v="ISEL-1.16"/>
    <n v="1"/>
    <s v="NO TIENE L3OUT"/>
    <n v="128"/>
    <n v="96"/>
  </r>
  <r>
    <n v="422"/>
    <x v="1"/>
    <x v="267"/>
    <s v="eth1/16"/>
    <x v="0"/>
    <x v="0"/>
    <x v="0"/>
    <s v="FAZ-FORTINETR9"/>
    <x v="6"/>
    <b v="0"/>
    <s v="No está en VPC"/>
    <n v="422"/>
    <s v="INTPG_ACC_422_1.16"/>
    <s v="ISEL-1.16"/>
    <n v="1"/>
    <s v="NO TIENE L3OUT"/>
    <n v="182"/>
    <n v="96"/>
  </r>
  <r>
    <n v="436"/>
    <x v="1"/>
    <x v="268"/>
    <s v="eth1/16"/>
    <x v="0"/>
    <x v="1"/>
    <x v="5"/>
    <s v="MIGRACION_SAP-BO2"/>
    <x v="6"/>
    <b v="0"/>
    <s v="No está en VPC"/>
    <n v="436"/>
    <s v="INTPG_VPC_436_1.16_438_1.16"/>
    <s v="ISEL-1.16"/>
    <n v="1"/>
    <s v="NO TIENE L3OUT"/>
    <n v="172"/>
    <n v="96"/>
  </r>
  <r>
    <n v="410"/>
    <x v="1"/>
    <x v="269"/>
    <s v="eth1/16"/>
    <x v="0"/>
    <x v="0"/>
    <x v="0"/>
    <s v="NET0"/>
    <x v="6"/>
    <b v="0"/>
    <s v="No está en VPC"/>
    <n v="410"/>
    <s v="INTPG_ACC_410_1.16"/>
    <s v="ISEL-1.16"/>
    <n v="1"/>
    <s v="NO TIENE L3OUT"/>
    <n v="178"/>
    <n v="96"/>
  </r>
  <r>
    <n v="161"/>
    <x v="0"/>
    <x v="270"/>
    <s v="eth1/16"/>
    <x v="0"/>
    <x v="0"/>
    <x v="0"/>
    <s v="SICOP"/>
    <x v="6"/>
    <b v="0"/>
    <s v="No está en VPC"/>
    <n v="161"/>
    <s v="INTPG_ACC_161_1.16"/>
    <s v="ISEL-1.16"/>
    <n v="1"/>
    <s v="NO TIENE L3OUT"/>
    <n v="102"/>
    <n v="96"/>
  </r>
  <r>
    <n v="411"/>
    <x v="1"/>
    <x v="271"/>
    <s v="eth1/16"/>
    <x v="0"/>
    <x v="0"/>
    <x v="0"/>
    <s v="GESTOR"/>
    <x v="6"/>
    <b v="0"/>
    <s v="No está en VPC"/>
    <n v="411"/>
    <s v="INTPG_ACC_411_1.16"/>
    <s v="ISEL-1.16"/>
    <n v="1"/>
    <s v="NO TIENE L3OUT"/>
    <n v="96"/>
    <n v="96"/>
  </r>
  <r>
    <n v="116"/>
    <x v="0"/>
    <x v="272"/>
    <s v="eth1/16"/>
    <x v="0"/>
    <x v="0"/>
    <x v="0"/>
    <s v="COBROS NAVEGACION"/>
    <x v="6"/>
    <b v="0"/>
    <s v="No está en VPC"/>
    <n v="116"/>
    <s v="INTPG_ACC_116_1.16"/>
    <s v="ISEL-1.16"/>
    <n v="1"/>
    <s v="NO TIENE L3OUT"/>
    <n v="148"/>
    <n v="96"/>
  </r>
  <r>
    <n v="412"/>
    <x v="1"/>
    <x v="273"/>
    <s v="eth1/16"/>
    <x v="0"/>
    <x v="0"/>
    <x v="0"/>
    <s v="RESPAL_CS5_ASAP8"/>
    <x v="6"/>
    <b v="0"/>
    <s v="No está en VPC"/>
    <n v="412"/>
    <s v="INTPG_ACC_412_1.16"/>
    <s v="ISEL-1.16"/>
    <n v="1"/>
    <s v="NO TIENE L3OUT"/>
    <n v="126"/>
    <n v="96"/>
  </r>
  <r>
    <n v="120"/>
    <x v="0"/>
    <x v="274"/>
    <s v="eth1/16"/>
    <x v="1"/>
    <x v="1"/>
    <x v="2"/>
    <s v="GESTOR TeMIP AMX"/>
    <x v="6"/>
    <b v="0"/>
    <s v="No está en VPC"/>
    <n v="120"/>
    <s v="INTPG_ACC_120_1.16"/>
    <s v="ISEL-1.16"/>
    <n v="1"/>
    <s v="NO TIENE L3OUT"/>
    <n v="158"/>
    <n v="96"/>
  </r>
  <r>
    <n v="404"/>
    <x v="1"/>
    <x v="275"/>
    <s v="eth1/16"/>
    <x v="0"/>
    <x v="0"/>
    <x v="0"/>
    <s v="ITHRTC32VC2"/>
    <x v="6"/>
    <b v="0"/>
    <s v="No está en VPC"/>
    <n v="404"/>
    <s v="INTPG_VPC_404_1.16_406_1.16"/>
    <s v="ISEL-1.16"/>
    <n v="1"/>
    <s v="NO TIENE L3OUT"/>
    <n v="92"/>
    <n v="96"/>
  </r>
  <r>
    <n v="167"/>
    <x v="0"/>
    <x v="276"/>
    <s v="eth1/16"/>
    <x v="0"/>
    <x v="0"/>
    <x v="0"/>
    <s v="CIMC_HACIA_UCS_9UCS-IXTLA-SERV1"/>
    <x v="6"/>
    <b v="0"/>
    <s v="No está en VPC"/>
    <n v="167"/>
    <s v="INTPG_ACC_167_1.16"/>
    <s v="ISEL-1.16"/>
    <n v="1"/>
    <s v="NO TIENE L3OUT"/>
    <n v="68"/>
    <n v="96"/>
  </r>
  <r>
    <n v="428"/>
    <x v="1"/>
    <x v="277"/>
    <s v="eth1/16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903"/>
    <x v="2"/>
    <x v="278"/>
    <s v="eth1/1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1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17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17"/>
    <x v="0"/>
    <x v="0"/>
    <x v="0"/>
    <m/>
    <x v="1"/>
    <b v="0"/>
    <s v="No está en VPC"/>
    <n v="123"/>
    <s v="INTPG_ACC_123_1.17"/>
    <s v="ISEL-1.17"/>
    <n v="0"/>
    <s v="NO TIENE L3OUT"/>
    <n v="20"/>
    <n v="54"/>
  </r>
  <r>
    <n v="152"/>
    <x v="0"/>
    <x v="2"/>
    <s v="eth1/17"/>
    <x v="0"/>
    <x v="0"/>
    <x v="0"/>
    <s v="DataWharehosue"/>
    <x v="1"/>
    <b v="0"/>
    <s v="No está en VPC"/>
    <n v="152"/>
    <s v="INTPG_ACC_152_1.17"/>
    <s v="ISEL-1.17"/>
    <n v="1"/>
    <s v="NO TIENE L3OUT"/>
    <n v="38"/>
    <n v="54"/>
  </r>
  <r>
    <n v="101"/>
    <x v="0"/>
    <x v="3"/>
    <s v="eth1/17"/>
    <x v="0"/>
    <x v="0"/>
    <x v="0"/>
    <s v="TO-UXF5IXT39K02"/>
    <x v="0"/>
    <b v="0"/>
    <s v="No está en VPC"/>
    <n v="101"/>
    <s v="INTPG_VPC_101_1.17_150_1.17"/>
    <s v="ISEL-1.17"/>
    <n v="2"/>
    <s v="NO TIENE L3OUT"/>
    <n v="114"/>
    <n v="54"/>
  </r>
  <r>
    <n v="160"/>
    <x v="0"/>
    <x v="4"/>
    <s v="eth1/17"/>
    <x v="1"/>
    <x v="1"/>
    <x v="2"/>
    <m/>
    <x v="1"/>
    <b v="0"/>
    <s v="No está en VPC"/>
    <n v="160"/>
    <s v="INTPG_ACC_160_1.17"/>
    <s v="ISEL-1.17"/>
    <n v="0"/>
    <s v="NO TIENE L3OUT"/>
    <n v="68"/>
    <n v="54"/>
  </r>
  <r>
    <n v="121"/>
    <x v="0"/>
    <x v="5"/>
    <s v="eth1/17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17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17"/>
    <x v="0"/>
    <x v="0"/>
    <x v="0"/>
    <s v="M10-ACTIVO2"/>
    <x v="0"/>
    <b v="0"/>
    <s v="No está en VPC"/>
    <n v="401"/>
    <s v="INTPG_ACC_401_1.17"/>
    <s v="ISEL-1.17"/>
    <n v="4"/>
    <s v="NO TIENE L3OUT"/>
    <n v="40"/>
    <n v="54"/>
  </r>
  <r>
    <n v="402"/>
    <x v="1"/>
    <x v="8"/>
    <s v="eth1/17"/>
    <x v="0"/>
    <x v="0"/>
    <x v="0"/>
    <s v="M10-PASIVO2"/>
    <x v="0"/>
    <b v="0"/>
    <s v="No está en VPC"/>
    <n v="402"/>
    <s v="INTPG_ACC_402_1.17"/>
    <s v="ISEL-1.17"/>
    <n v="4"/>
    <s v="NO TIENE L3OUT"/>
    <n v="36"/>
    <n v="54"/>
  </r>
  <r>
    <n v="447"/>
    <x v="1"/>
    <x v="9"/>
    <s v="eth1/17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17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17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17"/>
    <x v="0"/>
    <x v="0"/>
    <x v="0"/>
    <s v="TO-UXF5IXT39K02"/>
    <x v="0"/>
    <b v="0"/>
    <s v="No está en VPC"/>
    <n v="150"/>
    <s v="INTPG_VPC_101_1.17_150_1.17"/>
    <s v="ISEL-1.17"/>
    <n v="2"/>
    <s v="NO TIENE L3OUT"/>
    <n v="118"/>
    <n v="54"/>
  </r>
  <r>
    <n v="131"/>
    <x v="0"/>
    <x v="13"/>
    <s v="eth1/17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17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17"/>
    <x v="0"/>
    <x v="0"/>
    <x v="0"/>
    <s v="TO-ITHHWD6KV60002-NASLACP1-DORADO"/>
    <x v="2"/>
    <b v="0"/>
    <s v="No está en VPC"/>
    <n v="758"/>
    <s v="INTPG_VPC_758_1.17_759_1.17"/>
    <s v="ISEL-1.17"/>
    <n v="15"/>
    <s v="NO TIENE L3OUT"/>
    <n v="0"/>
    <n v="42"/>
  </r>
  <r>
    <n v="759"/>
    <x v="2"/>
    <x v="16"/>
    <s v="eth1/17"/>
    <x v="0"/>
    <x v="0"/>
    <x v="0"/>
    <s v="TO-ITHHWD6KV60002-NASLACP1-DORADO"/>
    <x v="2"/>
    <b v="0"/>
    <s v="No está en VPC"/>
    <n v="759"/>
    <s v="INTPG_VPC_758_1.17_759_1.17"/>
    <s v="ISEL-1.17"/>
    <n v="15"/>
    <s v="NO TIENE L3OUT"/>
    <n v="0"/>
    <n v="42"/>
  </r>
  <r>
    <n v="302"/>
    <x v="0"/>
    <x v="17"/>
    <s v="eth1/17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17"/>
    <x v="0"/>
    <x v="1"/>
    <x v="1"/>
    <s v="PORTAB_EXP1"/>
    <x v="1"/>
    <b v="0"/>
    <s v="No está en VPC"/>
    <n v="424"/>
    <s v="INTPG_ACC_424_1.17"/>
    <s v="ISEL-1.17"/>
    <n v="1"/>
    <s v="NO TIENE L3OUT"/>
    <n v="16"/>
    <n v="54"/>
  </r>
  <r>
    <n v="426"/>
    <x v="1"/>
    <x v="19"/>
    <s v="eth1/17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17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17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17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17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17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17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17"/>
    <x v="0"/>
    <x v="0"/>
    <x v="0"/>
    <s v="TO- HUAWEI_CLOUD_GAPS_LAG1"/>
    <x v="0"/>
    <b v="0"/>
    <s v="No está en VPC"/>
    <n v="431"/>
    <s v="INTPG_VPC_431_1.16-17_448_1.16-17"/>
    <s v="ISEL-1.17"/>
    <n v="39"/>
    <s v="NO TIENE L3OUT"/>
    <n v="46"/>
    <n v="54"/>
  </r>
  <r>
    <n v="433"/>
    <x v="1"/>
    <x v="27"/>
    <s v="eth1/17"/>
    <x v="0"/>
    <x v="0"/>
    <x v="0"/>
    <s v="IXT_PM_1_mgm1_Primario"/>
    <x v="1"/>
    <b v="0"/>
    <s v="No está en VPC"/>
    <n v="433"/>
    <s v="INTPG_ACC_433_1.17"/>
    <s v="ISEL-1.17"/>
    <n v="1"/>
    <s v="NO TIENE L3OUT"/>
    <n v="42"/>
    <n v="54"/>
  </r>
  <r>
    <n v="429"/>
    <x v="1"/>
    <x v="28"/>
    <s v="eth1/17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17"/>
    <x v="0"/>
    <x v="1"/>
    <x v="1"/>
    <s v="SecAnLG_Gb2_01-Aplicativo-IXTSALG_SAS1"/>
    <x v="1"/>
    <b v="0"/>
    <s v="No está en VPC"/>
    <n v="432"/>
    <s v="INTPG_ACC_432_1.17"/>
    <s v="ISEL-1.17"/>
    <n v="1"/>
    <s v="NO TIENE L3OUT"/>
    <n v="54"/>
    <n v="54"/>
  </r>
  <r>
    <n v="442"/>
    <x v="1"/>
    <x v="30"/>
    <s v="eth1/17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17"/>
    <x v="0"/>
    <x v="0"/>
    <x v="0"/>
    <s v="TO_uxidmbd2"/>
    <x v="1"/>
    <b v="0"/>
    <s v="No está en VPC"/>
    <n v="434"/>
    <s v="INTPG_ACC_434_1.17"/>
    <s v="ISEL-1.17"/>
    <n v="1"/>
    <s v="NO TIENE L3OUT"/>
    <n v="34"/>
    <n v="54"/>
  </r>
  <r>
    <n v="707"/>
    <x v="2"/>
    <x v="32"/>
    <s v="eth1/17"/>
    <x v="1"/>
    <x v="1"/>
    <x v="3"/>
    <s v="CEM:ITHCEMG2RTB09:LOM P1"/>
    <x v="0"/>
    <b v="0"/>
    <s v="No está en VPC"/>
    <n v="707"/>
    <s v="INTPG_ACC_707_1.17"/>
    <s v="ISEL-1.17"/>
    <n v="0"/>
    <s v="NO TIENE L3OUT"/>
    <n v="54"/>
    <n v="54"/>
  </r>
  <r>
    <n v="712"/>
    <x v="2"/>
    <x v="33"/>
    <s v="eth1/17"/>
    <x v="0"/>
    <x v="1"/>
    <x v="5"/>
    <s v="CEM:ITHCEMB2AKF09:LOM P1"/>
    <x v="0"/>
    <b v="0"/>
    <s v="No está en VPC"/>
    <n v="712"/>
    <s v="INTPG_VPC_712_1.17_713_1.18"/>
    <s v="ISEL-1.17"/>
    <n v="1"/>
    <s v="NO TIENE L3OUT"/>
    <n v="32"/>
    <n v="54"/>
  </r>
  <r>
    <n v="719"/>
    <x v="2"/>
    <x v="34"/>
    <s v="eth1/17"/>
    <x v="0"/>
    <x v="0"/>
    <x v="0"/>
    <m/>
    <x v="0"/>
    <b v="0"/>
    <s v="No está en VPC"/>
    <n v="719"/>
    <s v="INTPG-VPC_PAP02_719_1.17_720_1.18"/>
    <s v="ISEL-1.17"/>
    <n v="1"/>
    <s v="NO TIENE L3OUT"/>
    <n v="0"/>
    <n v="54"/>
  </r>
  <r>
    <n v="715"/>
    <x v="2"/>
    <x v="35"/>
    <s v="eth1/17"/>
    <x v="0"/>
    <x v="0"/>
    <x v="0"/>
    <m/>
    <x v="0"/>
    <b v="0"/>
    <s v="No está en VPC"/>
    <n v="715"/>
    <s v="INTPG-VPC_HDD40_715_1.17_716_1.18"/>
    <s v="ISEL-1.17"/>
    <n v="1"/>
    <s v="NO TIENE L3OUT"/>
    <n v="0"/>
    <n v="54"/>
  </r>
  <r>
    <n v="427"/>
    <x v="1"/>
    <x v="36"/>
    <s v="eth1/17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17"/>
    <x v="0"/>
    <x v="1"/>
    <x v="5"/>
    <s v="CEM:ITHCEMC2AKF09:LOM P1"/>
    <x v="0"/>
    <b v="0"/>
    <s v="No está en VPC"/>
    <n v="711"/>
    <s v="INTPG_VPC_710_1.18_711_1.17"/>
    <s v="ISEL-1.17"/>
    <n v="1"/>
    <s v="NO TIENE L3OUT"/>
    <n v="16"/>
    <n v="54"/>
  </r>
  <r>
    <n v="716"/>
    <x v="2"/>
    <x v="38"/>
    <s v="eth1/17"/>
    <x v="0"/>
    <x v="0"/>
    <x v="0"/>
    <m/>
    <x v="0"/>
    <b v="0"/>
    <s v="No está en VPC"/>
    <n v="716"/>
    <s v="INTPG-VPC_HDD31_716_1.17_715_1.18"/>
    <s v="ISEL-1.17"/>
    <n v="1"/>
    <s v="NO TIENE L3OUT"/>
    <n v="0"/>
    <n v="54"/>
  </r>
  <r>
    <n v="702"/>
    <x v="2"/>
    <x v="39"/>
    <s v="eth1/17"/>
    <x v="0"/>
    <x v="0"/>
    <x v="0"/>
    <m/>
    <x v="0"/>
    <b v="0"/>
    <s v="No está en VPC"/>
    <n v="702"/>
    <s v="INTPG_VPC_702_1.17_701_1.18"/>
    <s v="ISEL-1.17"/>
    <n v="1"/>
    <s v="NO TIENE L3OUT"/>
    <n v="0"/>
    <n v="54"/>
  </r>
  <r>
    <n v="435"/>
    <x v="1"/>
    <x v="40"/>
    <s v="eth1/17"/>
    <x v="0"/>
    <x v="0"/>
    <x v="0"/>
    <s v="IXT_IS_1_eth1_Secundario"/>
    <x v="1"/>
    <b v="0"/>
    <s v="No está en VPC"/>
    <n v="435"/>
    <s v="INTPG_ACC_435_1.17"/>
    <s v="ISEL-1.17"/>
    <n v="1"/>
    <s v="NO TIENE L3OUT"/>
    <n v="34"/>
    <n v="54"/>
  </r>
  <r>
    <n v="446"/>
    <x v="1"/>
    <x v="41"/>
    <s v="eth1/17"/>
    <x v="0"/>
    <x v="0"/>
    <x v="0"/>
    <m/>
    <x v="0"/>
    <b v="0"/>
    <s v="No está en VPC"/>
    <n v="446"/>
    <s v="INTPG_ACC_446_1.17"/>
    <s v="ISEL-1.17"/>
    <n v="9"/>
    <s v="NO TIENE L3OUT"/>
    <n v="198"/>
    <n v="54"/>
  </r>
  <r>
    <n v="444"/>
    <x v="1"/>
    <x v="42"/>
    <s v="eth1/17"/>
    <x v="0"/>
    <x v="0"/>
    <x v="0"/>
    <s v="TO-ITHFDLMCLWLCN01"/>
    <x v="0"/>
    <b v="0"/>
    <s v="No está en VPC"/>
    <n v="444"/>
    <s v="INTPG_VPC_446_1.18_444_1.17"/>
    <s v="ISEL-1.17"/>
    <n v="3"/>
    <s v="NO TIENE L3OUT"/>
    <n v="234"/>
    <n v="54"/>
  </r>
  <r>
    <n v="701"/>
    <x v="2"/>
    <x v="43"/>
    <s v="eth1/17"/>
    <x v="0"/>
    <x v="0"/>
    <x v="0"/>
    <m/>
    <x v="0"/>
    <b v="0"/>
    <s v="No está en VPC"/>
    <n v="701"/>
    <s v="INTPG_VPC_701_1.17_702_1.18"/>
    <s v="ISEL-1.17"/>
    <n v="2"/>
    <s v="NO TIENE L3OUT"/>
    <n v="0"/>
    <n v="54"/>
  </r>
  <r>
    <n v="440"/>
    <x v="1"/>
    <x v="44"/>
    <s v="eth1/17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17"/>
    <x v="0"/>
    <x v="0"/>
    <x v="0"/>
    <s v="TO- HUAWEI_CLOUD_GAPS_LAG1"/>
    <x v="0"/>
    <b v="0"/>
    <s v="No está en VPC"/>
    <n v="448"/>
    <s v="INTPG_VPC_431_1.16-17_448_1.16-17"/>
    <s v="ISEL-1.17"/>
    <n v="39"/>
    <s v="NO TIENE L3OUT"/>
    <n v="46"/>
    <n v="54"/>
  </r>
  <r>
    <n v="704"/>
    <x v="2"/>
    <x v="46"/>
    <s v="eth1/17"/>
    <x v="0"/>
    <x v="0"/>
    <x v="0"/>
    <m/>
    <x v="0"/>
    <b v="0"/>
    <s v="No está en VPC"/>
    <n v="704"/>
    <s v="INTPG_VPC_704_1.17_703_1.18"/>
    <s v="ISEL-1.17"/>
    <n v="1"/>
    <s v="NO TIENE L3OUT"/>
    <n v="0"/>
    <n v="54"/>
  </r>
  <r>
    <n v="729"/>
    <x v="2"/>
    <x v="47"/>
    <s v="eth1/17"/>
    <x v="0"/>
    <x v="0"/>
    <x v="0"/>
    <s v="Server_Pre-RH2288-BKP02"/>
    <x v="0"/>
    <b v="0"/>
    <s v="No está en VPC"/>
    <n v="729"/>
    <s v="INTPG_ACC_729_1.17"/>
    <s v="ISEL-1.17"/>
    <n v="1"/>
    <s v="NO TIENE L3OUT"/>
    <n v="4"/>
    <n v="54"/>
  </r>
  <r>
    <n v="728"/>
    <x v="2"/>
    <x v="48"/>
    <s v="eth1/17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17"/>
    <x v="0"/>
    <x v="0"/>
    <x v="0"/>
    <s v="HACIA_CSI-B-OSCP-F4-01_SECUNDARIO"/>
    <x v="4"/>
    <b v="0"/>
    <s v="No está en VPC"/>
    <n v="456"/>
    <s v="INTPG_VPC_454_1.17_456_1.17"/>
    <s v="ISEL-1.17"/>
    <n v="2"/>
    <s v="NO TIENE L3OUT"/>
    <n v="4"/>
    <n v="54"/>
  </r>
  <r>
    <n v="603"/>
    <x v="1"/>
    <x v="50"/>
    <s v="eth1/17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17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17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17"/>
    <x v="0"/>
    <x v="0"/>
    <x v="0"/>
    <s v="Server_Pre-R02-CBS-RH2288-01"/>
    <x v="0"/>
    <b v="0"/>
    <s v="No está en VPC"/>
    <n v="730"/>
    <s v="INTPG_ACC_730_1.17"/>
    <s v="ISEL-1.17"/>
    <n v="1"/>
    <s v="NO TIENE L3OUT"/>
    <n v="36"/>
    <n v="54"/>
  </r>
  <r>
    <n v="722"/>
    <x v="2"/>
    <x v="54"/>
    <s v="eth1/17"/>
    <x v="0"/>
    <x v="0"/>
    <x v="0"/>
    <m/>
    <x v="0"/>
    <b v="0"/>
    <s v="No está en VPC"/>
    <n v="722"/>
    <s v="INTPG-VPC_HDD125_722_1.17_723_1.18"/>
    <s v="ISEL-1.17"/>
    <n v="1"/>
    <s v="NO TIENE L3OUT"/>
    <n v="0"/>
    <n v="54"/>
  </r>
  <r>
    <n v="733"/>
    <x v="2"/>
    <x v="55"/>
    <s v="eth1/17"/>
    <x v="0"/>
    <x v="1"/>
    <x v="3"/>
    <m/>
    <x v="0"/>
    <b v="0"/>
    <s v="No está en VPC"/>
    <n v="733"/>
    <s v="INTPG_ACC_733_1.17"/>
    <s v="ISEL-1.17"/>
    <n v="0"/>
    <s v="NO TIENE L3OUT"/>
    <n v="0"/>
    <n v="54"/>
  </r>
  <r>
    <n v="755"/>
    <x v="2"/>
    <x v="56"/>
    <s v="eth1/17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17"/>
    <x v="0"/>
    <x v="0"/>
    <x v="0"/>
    <m/>
    <x v="0"/>
    <b v="0"/>
    <s v="No está en VPC"/>
    <n v="748"/>
    <s v="INTPG_ACC_748_1.17"/>
    <s v="ISEL-1.17"/>
    <n v="0"/>
    <s v="NO TIENE L3OUT"/>
    <n v="2"/>
    <n v="54"/>
  </r>
  <r>
    <n v="756"/>
    <x v="2"/>
    <x v="58"/>
    <s v="eth1/17"/>
    <x v="0"/>
    <x v="0"/>
    <x v="0"/>
    <s v="OSS F1:ithenmr06bl02nas2r9b:PORT 1"/>
    <x v="0"/>
    <b v="0"/>
    <s v="No está en VPC"/>
    <n v="756"/>
    <s v="INTPG_PC_756_1.15-18"/>
    <s v="ISEL-1.17"/>
    <n v="1"/>
    <s v="NO TIENE L3OUT"/>
    <n v="64"/>
    <n v="54"/>
  </r>
  <r>
    <n v="754"/>
    <x v="2"/>
    <x v="59"/>
    <s v="eth1/17"/>
    <x v="0"/>
    <x v="0"/>
    <x v="0"/>
    <s v="OSS F1:enmregion9c:Bay2/X1"/>
    <x v="0"/>
    <b v="0"/>
    <s v="No está en VPC"/>
    <n v="754"/>
    <s v="INTPG_PC_754_1.17_1.19"/>
    <s v="ISEL-1.17"/>
    <n v="8"/>
    <s v="NO TIENE L3OUT"/>
    <n v="62"/>
    <n v="54"/>
  </r>
  <r>
    <n v="751"/>
    <x v="2"/>
    <x v="60"/>
    <s v="eth1/17"/>
    <x v="0"/>
    <x v="0"/>
    <x v="0"/>
    <m/>
    <x v="0"/>
    <b v="0"/>
    <s v="No está en VPC"/>
    <n v="751"/>
    <s v="INTPG_ACC_751_1.17"/>
    <s v="ISEL-1.17"/>
    <n v="0"/>
    <s v="NO TIENE L3OUT"/>
    <n v="0"/>
    <n v="54"/>
  </r>
  <r>
    <n v="769"/>
    <x v="2"/>
    <x v="61"/>
    <s v="eth1/17"/>
    <x v="0"/>
    <x v="0"/>
    <x v="0"/>
    <s v="Portchannel_4_R1"/>
    <x v="0"/>
    <b v="0"/>
    <s v="No está en VPC"/>
    <n v="769"/>
    <s v="INTPG_PC_769_1.17-18"/>
    <s v="ISEL-1.17"/>
    <n v="8"/>
    <s v="NO TIENE L3OUT"/>
    <n v="60"/>
    <n v="54"/>
  </r>
  <r>
    <n v="742"/>
    <x v="2"/>
    <x v="62"/>
    <s v="eth1/17"/>
    <x v="0"/>
    <x v="0"/>
    <x v="0"/>
    <s v="CEM:ITHCEMA2AKF09:LOM P3"/>
    <x v="5"/>
    <b v="0"/>
    <s v="No está en VPC"/>
    <n v="742"/>
    <s v="INTPG_ACC_742_1.17"/>
    <s v="ISEL-1.17"/>
    <n v="1"/>
    <s v="NO TIENE L3OUT"/>
    <n v="64"/>
    <n v="54"/>
  </r>
  <r>
    <n v="763"/>
    <x v="2"/>
    <x v="63"/>
    <s v="eth1/17"/>
    <x v="0"/>
    <x v="0"/>
    <x v="0"/>
    <s v="PAAS:ithhwosstpap002:FlexIO.1"/>
    <x v="0"/>
    <b v="0"/>
    <s v="No está en VPC"/>
    <n v="763"/>
    <s v="INTPG_VPC_762_1.17_763_1.17"/>
    <s v="ISEL-1.17"/>
    <n v="15"/>
    <s v="NO TIENE L3OUT"/>
    <n v="2"/>
    <n v="54"/>
  </r>
  <r>
    <n v="766"/>
    <x v="2"/>
    <x v="64"/>
    <s v="eth1/17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17"/>
    <x v="0"/>
    <x v="1"/>
    <x v="1"/>
    <m/>
    <x v="0"/>
    <b v="0"/>
    <s v="No está en VPC"/>
    <n v="760"/>
    <s v="INTPG_VPC_760_1.17-20_761_1.17-20"/>
    <s v="ISEL-1.17"/>
    <n v="0"/>
    <s v="L3OUT-EXACLOUD"/>
    <n v="0"/>
    <n v="54"/>
  </r>
  <r>
    <n v="752"/>
    <x v="2"/>
    <x v="66"/>
    <s v="eth1/17"/>
    <x v="0"/>
    <x v="0"/>
    <x v="0"/>
    <s v="PAAS:ithhwosstpap002:LOM PORT 1"/>
    <x v="0"/>
    <b v="0"/>
    <s v="No está en VPC"/>
    <n v="752"/>
    <s v="INTPG_VPC_747_1.17_752_1.17"/>
    <s v="ISEL-1.17"/>
    <n v="25"/>
    <s v="NO TIENE L3OUT"/>
    <n v="0"/>
    <n v="54"/>
  </r>
  <r>
    <n v="765"/>
    <x v="2"/>
    <x v="67"/>
    <s v="eth1/17"/>
    <x v="0"/>
    <x v="0"/>
    <x v="0"/>
    <s v="Portchannel_5_R6B"/>
    <x v="0"/>
    <b v="0"/>
    <s v="No está en VPC"/>
    <n v="765"/>
    <s v="INTPG_PC_765_1.17-18"/>
    <s v="ISEL-1.17"/>
    <n v="8"/>
    <s v="NO TIENE L3OUT"/>
    <n v="60"/>
    <n v="54"/>
  </r>
  <r>
    <n v="778"/>
    <x v="2"/>
    <x v="68"/>
    <s v="eth1/17"/>
    <x v="0"/>
    <x v="0"/>
    <x v="0"/>
    <s v="ENIQ F1:itheniqr08nas2r3:LOM PORT 2"/>
    <x v="0"/>
    <b v="0"/>
    <s v="No está en VPC"/>
    <n v="778"/>
    <s v="INTPG_PC_778_1.16-19"/>
    <s v="ISEL-1.17"/>
    <n v="1"/>
    <s v="NO TIENE L3OUT"/>
    <n v="26"/>
    <n v="54"/>
  </r>
  <r>
    <n v="780"/>
    <x v="2"/>
    <x v="69"/>
    <s v="eth1/17"/>
    <x v="0"/>
    <x v="0"/>
    <x v="0"/>
    <s v="LACP_NAS2_ENIQ9C"/>
    <x v="0"/>
    <b v="0"/>
    <s v="No está en VPC"/>
    <n v="780"/>
    <s v="INTPG_PC_780_1.16-19"/>
    <s v="ISEL-1.17"/>
    <n v="1"/>
    <s v="NO TIENE L3OUT"/>
    <n v="26"/>
    <n v="54"/>
  </r>
  <r>
    <n v="812"/>
    <x v="2"/>
    <x v="70"/>
    <s v="eth1/17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17"/>
    <x v="0"/>
    <x v="0"/>
    <x v="0"/>
    <s v="TO_ITHFDEOSPVLMT01"/>
    <x v="0"/>
    <b v="0"/>
    <s v="No está en VPC"/>
    <n v="796"/>
    <s v="INTPG_VPC_795_1.15-17_796_1.15-17"/>
    <s v="ISEL-1.17"/>
    <n v="2"/>
    <s v="NO TIENE L3OUT"/>
    <n v="18"/>
    <n v="54"/>
  </r>
  <r>
    <n v="795"/>
    <x v="2"/>
    <x v="72"/>
    <s v="eth1/17"/>
    <x v="0"/>
    <x v="0"/>
    <x v="0"/>
    <s v="TO_ITHFDEOSPVLMT01"/>
    <x v="0"/>
    <b v="0"/>
    <s v="No está en VPC"/>
    <n v="795"/>
    <s v="INTPG_VPC_795_1.15-17_796_1.15-17"/>
    <s v="ISEL-1.17"/>
    <n v="2"/>
    <s v="NO TIENE L3OUT"/>
    <n v="18"/>
    <n v="54"/>
  </r>
  <r>
    <n v="749"/>
    <x v="2"/>
    <x v="73"/>
    <s v="eth1/17"/>
    <x v="0"/>
    <x v="0"/>
    <x v="0"/>
    <m/>
    <x v="0"/>
    <b v="0"/>
    <s v="No está en VPC"/>
    <n v="749"/>
    <s v="INTPG_ACC_749_1.17"/>
    <s v="ISEL-1.17"/>
    <n v="0"/>
    <s v="NO TIENE L3OUT"/>
    <n v="4"/>
    <n v="54"/>
  </r>
  <r>
    <n v="824"/>
    <x v="2"/>
    <x v="74"/>
    <s v="eth1/17"/>
    <x v="0"/>
    <x v="0"/>
    <x v="0"/>
    <s v="LINK_TO_ITHFHWCMVWPMA11 /Slot7.2 /Redundante"/>
    <x v="0"/>
    <b v="0"/>
    <s v="No está en VPC"/>
    <n v="824"/>
    <s v="INTPG_ACC_824_1.17"/>
    <s v="ISEL-1.17"/>
    <n v="1"/>
    <s v="NO TIENE L3OUT"/>
    <n v="70"/>
    <n v="54"/>
  </r>
  <r>
    <n v="819"/>
    <x v="2"/>
    <x v="75"/>
    <s v="eth1/17"/>
    <x v="0"/>
    <x v="0"/>
    <x v="0"/>
    <s v="LINK_TO_ITHFHWCMVWPMA11 /Slot5.2 /Principal"/>
    <x v="0"/>
    <b v="0"/>
    <s v="No está en VPC"/>
    <n v="819"/>
    <s v="INTPG_ACC_819_1.17"/>
    <s v="ISEL-1.17"/>
    <n v="1"/>
    <s v="NO TIENE L3OUT"/>
    <n v="70"/>
    <n v="54"/>
  </r>
  <r>
    <n v="737"/>
    <x v="2"/>
    <x v="76"/>
    <s v="eth1/17"/>
    <x v="0"/>
    <x v="0"/>
    <x v="0"/>
    <s v="CEM:ITHCEMF2RTB09:LOM P3"/>
    <x v="5"/>
    <b v="0"/>
    <s v="No está en VPC"/>
    <n v="737"/>
    <s v="INTPG_ACC_737_1.17"/>
    <s v="ISEL-1.17"/>
    <n v="1"/>
    <s v="NO TIENE L3OUT"/>
    <n v="72"/>
    <n v="54"/>
  </r>
  <r>
    <n v="844"/>
    <x v="2"/>
    <x v="77"/>
    <s v="eth1/17"/>
    <x v="0"/>
    <x v="0"/>
    <x v="0"/>
    <s v="LINK_TO_ITHFHWCRMPLCN106 / Slot1.2_16 / Principal"/>
    <x v="0"/>
    <b v="0"/>
    <s v="No está en VPC"/>
    <n v="844"/>
    <s v="INTPG_ACC_844_1.17"/>
    <s v="ISEL-1.17"/>
    <n v="2"/>
    <s v="NO TIENE L3OUT"/>
    <n v="282"/>
    <n v="54"/>
  </r>
  <r>
    <n v="843"/>
    <x v="2"/>
    <x v="78"/>
    <s v="eth1/17"/>
    <x v="0"/>
    <x v="0"/>
    <x v="0"/>
    <s v="LINK_To_ITHFHWCBSPSUSBD29 / Slot7.3_10 / Redundante"/>
    <x v="0"/>
    <b v="0"/>
    <s v="No está en VPC"/>
    <n v="843"/>
    <s v="INTPG_VPC_838_1.17_843_1.17"/>
    <s v="ISEL-1.17"/>
    <n v="1"/>
    <s v="NO TIENE L3OUT"/>
    <n v="38"/>
    <n v="54"/>
  </r>
  <r>
    <n v="797"/>
    <x v="2"/>
    <x v="79"/>
    <s v="eth1/17"/>
    <x v="0"/>
    <x v="0"/>
    <x v="0"/>
    <s v="TO-HDPS_19-MSP"/>
    <x v="0"/>
    <b v="0"/>
    <s v="No está en VPC"/>
    <n v="797"/>
    <s v="INTPG_ACC_797_1.17"/>
    <s v="ISEL-1.17"/>
    <n v="1"/>
    <s v="NO TIENE L3OUT"/>
    <n v="48"/>
    <n v="54"/>
  </r>
  <r>
    <n v="839"/>
    <x v="2"/>
    <x v="80"/>
    <s v="eth1/17"/>
    <x v="0"/>
    <x v="0"/>
    <x v="0"/>
    <s v="LINK_TO_ITHFHWCBSPSWR63 / Slot7.2_14 / Redundante"/>
    <x v="0"/>
    <b v="0"/>
    <s v="No está en VPC"/>
    <n v="839"/>
    <s v="INTPG_VPC_834_1.17_839_1.17"/>
    <s v="ISEL-1.17"/>
    <n v="1"/>
    <s v="NO TIENE L3OUT"/>
    <n v="0"/>
    <n v="54"/>
  </r>
  <r>
    <n v="847"/>
    <x v="2"/>
    <x v="81"/>
    <s v="eth1/17"/>
    <x v="0"/>
    <x v="0"/>
    <x v="0"/>
    <s v="LINK_TO_ITHFHWCRMPLCN171 / Slot7.1_12 / Redundante"/>
    <x v="0"/>
    <b v="0"/>
    <s v="No está en VPC"/>
    <n v="847"/>
    <s v="INTPG_ACC_847_1.17"/>
    <s v="ISEL-1.17"/>
    <n v="6"/>
    <s v="NO TIENE L3OUT"/>
    <n v="204"/>
    <n v="54"/>
  </r>
  <r>
    <n v="848"/>
    <x v="2"/>
    <x v="82"/>
    <s v="eth1/17"/>
    <x v="0"/>
    <x v="0"/>
    <x v="0"/>
    <s v="LINK_TO_ITHFHWCRMPLCN160 / Slot7.1_22 / Redundante"/>
    <x v="0"/>
    <b v="0"/>
    <s v="No está en VPC"/>
    <n v="848"/>
    <s v="INTPG_ACC_848_1.17"/>
    <s v="ISEL-1.17"/>
    <n v="6"/>
    <s v="NO TIENE L3OUT"/>
    <n v="254"/>
    <n v="54"/>
  </r>
  <r>
    <n v="846"/>
    <x v="2"/>
    <x v="83"/>
    <s v="eth1/17"/>
    <x v="0"/>
    <x v="0"/>
    <x v="0"/>
    <s v="LINK_TO_ITHFHWCRMPLCN77 / Slot1.2_12 / Principal"/>
    <x v="0"/>
    <b v="0"/>
    <s v="No está en VPC"/>
    <n v="846"/>
    <s v="INTPG_ACC_846_1.17"/>
    <s v="ISEL-1.17"/>
    <n v="2"/>
    <s v="NO TIENE L3OUT"/>
    <n v="242"/>
    <n v="54"/>
  </r>
  <r>
    <n v="838"/>
    <x v="2"/>
    <x v="84"/>
    <s v="eth1/17"/>
    <x v="0"/>
    <x v="0"/>
    <x v="0"/>
    <s v="LINK_To_ITHFHWCBSPSUSBD29 / Slot1.3_10 / Principal"/>
    <x v="0"/>
    <b v="0"/>
    <s v="No está en VPC"/>
    <n v="838"/>
    <s v="INTPG_VPC_838_1.17_843_1.17"/>
    <s v="ISEL-1.17"/>
    <n v="1"/>
    <s v="NO TIENE L3OUT"/>
    <n v="38"/>
    <n v="54"/>
  </r>
  <r>
    <n v="849"/>
    <x v="2"/>
    <x v="85"/>
    <s v="eth1/17"/>
    <x v="0"/>
    <x v="0"/>
    <x v="0"/>
    <s v="LINK_TO_ITHFHWCRMPLCN140 / Slot7.1_14 / Redundante"/>
    <x v="0"/>
    <b v="0"/>
    <s v="No está en VPC"/>
    <n v="849"/>
    <s v="INTPG_ACC_849_1.17"/>
    <s v="ISEL-1.17"/>
    <n v="6"/>
    <s v="NO TIENE L3OUT"/>
    <n v="286"/>
    <n v="54"/>
  </r>
  <r>
    <n v="845"/>
    <x v="2"/>
    <x v="86"/>
    <s v="eth1/17"/>
    <x v="0"/>
    <x v="0"/>
    <x v="0"/>
    <s v="LINK_TO_ITHFHWCRMPLCN89 / Slot1.3_10 / Principal"/>
    <x v="0"/>
    <b v="0"/>
    <s v="No está en VPC"/>
    <n v="845"/>
    <s v="INTPG_ACC_845_1.17"/>
    <s v="ISEL-1.17"/>
    <n v="1"/>
    <s v="NO TIENE L3OUT"/>
    <n v="258"/>
    <n v="54"/>
  </r>
  <r>
    <n v="873"/>
    <x v="2"/>
    <x v="87"/>
    <s v="eth1/17"/>
    <x v="0"/>
    <x v="0"/>
    <x v="0"/>
    <s v="TO_ITHFHWCRMDLCN58_Principal"/>
    <x v="0"/>
    <b v="0"/>
    <s v="No está en VPC"/>
    <n v="873"/>
    <s v="INTPG_ACC_873_1.17"/>
    <s v="ISEL-1.17"/>
    <n v="1"/>
    <s v="NO TIENE L3OUT"/>
    <n v="248"/>
    <n v="54"/>
  </r>
  <r>
    <n v="864"/>
    <x v="2"/>
    <x v="88"/>
    <s v="eth1/17"/>
    <x v="0"/>
    <x v="0"/>
    <x v="0"/>
    <s v="To_VPC_2DCBSD_HD36_2"/>
    <x v="0"/>
    <b v="0"/>
    <s v="No está en VPC"/>
    <n v="864"/>
    <s v="INTPG_VPC_859_1.17_864_1.17"/>
    <s v="ISEL-1.17"/>
    <n v="1"/>
    <s v="NO TIENE L3OUT"/>
    <n v="0"/>
    <n v="54"/>
  </r>
  <r>
    <n v="836"/>
    <x v="2"/>
    <x v="89"/>
    <s v="eth1/17"/>
    <x v="0"/>
    <x v="0"/>
    <x v="0"/>
    <s v="LINK_TO_ITHFHWCBSPSWR51 / Slot1.1_30 / Principal"/>
    <x v="0"/>
    <b v="0"/>
    <s v="No está en VPC"/>
    <n v="836"/>
    <s v="INTPG_VPC_836_1.17_841_1.17"/>
    <s v="ISEL-1.17"/>
    <n v="2"/>
    <s v="NO TIENE L3OUT"/>
    <n v="0"/>
    <n v="54"/>
  </r>
  <r>
    <n v="834"/>
    <x v="2"/>
    <x v="90"/>
    <s v="eth1/17"/>
    <x v="0"/>
    <x v="0"/>
    <x v="0"/>
    <s v="LINK_TO_ITHFHWCBSPSWR63 / Slot1.2_14 / Principal"/>
    <x v="0"/>
    <b v="0"/>
    <s v="No está en VPC"/>
    <n v="834"/>
    <s v="INTPG_VPC_834_1.17_839_1.17"/>
    <s v="ISEL-1.17"/>
    <n v="1"/>
    <s v="NO TIENE L3OUT"/>
    <n v="0"/>
    <n v="54"/>
  </r>
  <r>
    <n v="872"/>
    <x v="2"/>
    <x v="91"/>
    <s v="eth1/17"/>
    <x v="0"/>
    <x v="0"/>
    <x v="0"/>
    <s v="To_ITHFHWCRMDLCN74_Principal"/>
    <x v="0"/>
    <b v="0"/>
    <s v="No está en VPC"/>
    <n v="872"/>
    <s v="INTPG_ACC_872_1.17"/>
    <s v="ISEL-1.17"/>
    <n v="1"/>
    <s v="NO TIENE L3OUT"/>
    <n v="288"/>
    <n v="54"/>
  </r>
  <r>
    <n v="842"/>
    <x v="2"/>
    <x v="92"/>
    <s v="eth1/17"/>
    <x v="0"/>
    <x v="0"/>
    <x v="0"/>
    <s v="LINK_TO_ITHFHWCBSPSWR45 / Slot7.1_26 / Redundante"/>
    <x v="0"/>
    <b v="0"/>
    <s v="No está en VPC"/>
    <n v="842"/>
    <s v="INTPG_VPC_837_1.17_842_1.17"/>
    <s v="ISEL-1.17"/>
    <n v="2"/>
    <s v="NO TIENE L3OUT"/>
    <n v="8"/>
    <n v="54"/>
  </r>
  <r>
    <n v="828"/>
    <x v="2"/>
    <x v="93"/>
    <s v="eth1/17"/>
    <x v="0"/>
    <x v="0"/>
    <x v="0"/>
    <s v="LINK_TO_ITHFHWCRMDLCN21 /Slot5.2 /Principal"/>
    <x v="0"/>
    <b v="0"/>
    <s v="No está en VPC"/>
    <n v="828"/>
    <s v="INTPG_ACC_828_1.17"/>
    <s v="ISEL-1.17"/>
    <n v="5"/>
    <s v="NO TIENE L3OUT"/>
    <n v="192"/>
    <n v="54"/>
  </r>
  <r>
    <n v="870"/>
    <x v="2"/>
    <x v="94"/>
    <s v="eth1/17"/>
    <x v="0"/>
    <x v="0"/>
    <x v="0"/>
    <s v="TO_ITHFHWCRMDLCN58_Redundante"/>
    <x v="0"/>
    <b v="0"/>
    <s v="No está en VPC"/>
    <n v="870"/>
    <s v="INTPG_ACC_870_1.17"/>
    <s v="ISEL-1.17"/>
    <n v="1"/>
    <s v="NO TIENE L3OUT"/>
    <n v="248"/>
    <n v="54"/>
  </r>
  <r>
    <n v="866"/>
    <x v="2"/>
    <x v="95"/>
    <s v="eth1/17"/>
    <x v="0"/>
    <x v="0"/>
    <x v="0"/>
    <s v="To_VPC_2DCBSD_HD22_1"/>
    <x v="0"/>
    <b v="0"/>
    <s v="No está en VPC"/>
    <n v="866"/>
    <s v="INTPG_VPC_861_1.17_866_1.17"/>
    <s v="ISEL-1.17"/>
    <n v="2"/>
    <s v="NO TIENE L3OUT"/>
    <n v="8"/>
    <n v="54"/>
  </r>
  <r>
    <n v="862"/>
    <x v="2"/>
    <x v="96"/>
    <s v="eth1/17"/>
    <x v="0"/>
    <x v="0"/>
    <x v="0"/>
    <s v="TO-ITHFSUEXG2XCP01_PCI6.P1"/>
    <x v="0"/>
    <b v="0"/>
    <s v="No está en VPC"/>
    <n v="862"/>
    <s v="INTPG_ACC_862_1.17"/>
    <s v="ISEL-1.17"/>
    <n v="1"/>
    <s v="NO TIENE L3OUT"/>
    <n v="44"/>
    <n v="54"/>
  </r>
  <r>
    <n v="855"/>
    <x v="2"/>
    <x v="97"/>
    <s v="eth1/17"/>
    <x v="0"/>
    <x v="0"/>
    <x v="0"/>
    <s v="LINK_TO_ITHFHWCRMPLCN160 / Slot1.1_22 / Principal"/>
    <x v="0"/>
    <b v="0"/>
    <s v="No está en VPC"/>
    <n v="855"/>
    <s v="INTPG_ACC_855_1.17"/>
    <s v="ISEL-1.17"/>
    <n v="6"/>
    <s v="NO TIENE L3OUT"/>
    <n v="254"/>
    <n v="54"/>
  </r>
  <r>
    <n v="871"/>
    <x v="2"/>
    <x v="98"/>
    <s v="eth1/17"/>
    <x v="0"/>
    <x v="0"/>
    <x v="0"/>
    <s v="TO_ITHFHWCRMDLCN86_Principal"/>
    <x v="0"/>
    <b v="0"/>
    <s v="No está en VPC"/>
    <n v="871"/>
    <s v="INTPG_ACC_871_1.17"/>
    <s v="ISEL-1.17"/>
    <n v="2"/>
    <s v="NO TIENE L3OUT"/>
    <n v="246"/>
    <n v="54"/>
  </r>
  <r>
    <n v="841"/>
    <x v="2"/>
    <x v="99"/>
    <s v="eth1/17"/>
    <x v="0"/>
    <x v="0"/>
    <x v="0"/>
    <s v="LINK_TO_ITHFHWCBSPSWR51 / Slot7.1_30 / Redundante"/>
    <x v="0"/>
    <b v="0"/>
    <s v="No está en VPC"/>
    <n v="841"/>
    <s v="INTPG_VPC_836_1.17_841_1.17"/>
    <s v="ISEL-1.17"/>
    <n v="2"/>
    <s v="NO TIENE L3OUT"/>
    <n v="0"/>
    <n v="54"/>
  </r>
  <r>
    <n v="868"/>
    <x v="2"/>
    <x v="100"/>
    <s v="eth1/17"/>
    <x v="0"/>
    <x v="0"/>
    <x v="0"/>
    <s v="TO_ITHFHWCRMDLCN86_Redundante"/>
    <x v="0"/>
    <b v="0"/>
    <s v="No está en VPC"/>
    <n v="868"/>
    <s v="INTPG_ACC_868_1.17"/>
    <s v="ISEL-1.17"/>
    <n v="2"/>
    <s v="NO TIENE L3OUT"/>
    <n v="246"/>
    <n v="54"/>
  </r>
  <r>
    <n v="869"/>
    <x v="2"/>
    <x v="101"/>
    <s v="eth1/17"/>
    <x v="0"/>
    <x v="0"/>
    <x v="0"/>
    <s v="To_ITHFHWCRMDLCN74_Redundante"/>
    <x v="0"/>
    <b v="0"/>
    <s v="No está en VPC"/>
    <n v="869"/>
    <s v="INTPG_ACC_869_1.17"/>
    <s v="ISEL-1.17"/>
    <n v="1"/>
    <s v="NO TIENE L3OUT"/>
    <n v="288"/>
    <n v="54"/>
  </r>
  <r>
    <n v="861"/>
    <x v="2"/>
    <x v="102"/>
    <s v="eth1/17"/>
    <x v="0"/>
    <x v="0"/>
    <x v="0"/>
    <s v="To_VPC_2DCBSD_HD22_1"/>
    <x v="0"/>
    <b v="0"/>
    <s v="No está en VPC"/>
    <n v="861"/>
    <s v="INTPG_VPC_861_1.17_866_1.17"/>
    <s v="ISEL-1.17"/>
    <n v="2"/>
    <s v="NO TIENE L3OUT"/>
    <n v="8"/>
    <n v="54"/>
  </r>
  <r>
    <n v="874"/>
    <x v="2"/>
    <x v="103"/>
    <s v="eth1/17"/>
    <x v="0"/>
    <x v="0"/>
    <x v="0"/>
    <s v="LINK_TO_ITHFHWSEQLIMPS28 / Slot 5 PTO 1 / Redundante"/>
    <x v="4"/>
    <b v="0"/>
    <s v="No está en VPC"/>
    <n v="874"/>
    <s v="INTPG_ACC_874_1.17"/>
    <s v="ISEL-1.17"/>
    <n v="1"/>
    <s v="NO TIENE L3OUT"/>
    <n v="92"/>
    <n v="54"/>
  </r>
  <r>
    <n v="865"/>
    <x v="2"/>
    <x v="104"/>
    <s v="eth1/17"/>
    <x v="0"/>
    <x v="0"/>
    <x v="0"/>
    <s v="To_VPC_2DCBSD_HD28_2"/>
    <x v="0"/>
    <b v="0"/>
    <s v="No está en VPC"/>
    <n v="865"/>
    <s v="INTPG_VPC_860_1.17_865_1.17"/>
    <s v="ISEL-1.17"/>
    <n v="1"/>
    <s v="NO TIENE L3OUT"/>
    <n v="0"/>
    <n v="54"/>
  </r>
  <r>
    <n v="753"/>
    <x v="2"/>
    <x v="105"/>
    <s v="eth1/17"/>
    <x v="0"/>
    <x v="0"/>
    <x v="0"/>
    <s v="OSS F1:ithenmr04e2r9b:Bay2/X1"/>
    <x v="0"/>
    <b v="0"/>
    <s v="No está en VPC"/>
    <n v="753"/>
    <s v="INTPG_PC_753_1.17-18"/>
    <s v="ISEL-1.17"/>
    <n v="8"/>
    <s v="NO TIENE L3OUT"/>
    <n v="62"/>
    <n v="54"/>
  </r>
  <r>
    <n v="708"/>
    <x v="2"/>
    <x v="106"/>
    <s v="eth1/17"/>
    <x v="0"/>
    <x v="1"/>
    <x v="5"/>
    <s v="CEM:ITHCEMF2RTB09:LOM P1"/>
    <x v="0"/>
    <b v="0"/>
    <s v="No está en VPC"/>
    <n v="708"/>
    <s v="INTPG_VPC_708_1.17_709_1.18"/>
    <s v="ISEL-1.17"/>
    <n v="1"/>
    <s v="NO TIENE L3OUT"/>
    <n v="0"/>
    <n v="54"/>
  </r>
  <r>
    <n v="710"/>
    <x v="2"/>
    <x v="107"/>
    <s v="eth1/17"/>
    <x v="0"/>
    <x v="1"/>
    <x v="5"/>
    <s v="CEM:ITHCEMD2AKF09:LOM P1"/>
    <x v="0"/>
    <b v="0"/>
    <s v="No está en VPC"/>
    <n v="710"/>
    <s v="INTPG_VPC_710_1.17_711_1.18"/>
    <s v="ISEL-1.17"/>
    <n v="1"/>
    <s v="NO TIENE L3OUT"/>
    <n v="16"/>
    <n v="54"/>
  </r>
  <r>
    <n v="713"/>
    <x v="2"/>
    <x v="108"/>
    <s v="eth1/17"/>
    <x v="0"/>
    <x v="1"/>
    <x v="5"/>
    <s v="CEM:ITHCEMA2ADT09:LOM P1"/>
    <x v="0"/>
    <b v="0"/>
    <s v="No está en VPC"/>
    <n v="713"/>
    <s v="INTPG_VPC_713_1.17_712_1.18"/>
    <s v="ISEL-1.17"/>
    <n v="1"/>
    <s v="NO TIENE L3OUT"/>
    <n v="32"/>
    <n v="54"/>
  </r>
  <r>
    <n v="735"/>
    <x v="2"/>
    <x v="109"/>
    <s v="eth1/17"/>
    <x v="0"/>
    <x v="0"/>
    <x v="0"/>
    <s v="CEM:ITHCEMA1NAM09:LOM P3"/>
    <x v="5"/>
    <b v="0"/>
    <s v="No está en VPC"/>
    <n v="735"/>
    <s v="INTPG_ACC_735_1.17"/>
    <s v="ISEL-1.17"/>
    <n v="1"/>
    <s v="NO TIENE L3OUT"/>
    <n v="34"/>
    <n v="54"/>
  </r>
  <r>
    <n v="731"/>
    <x v="2"/>
    <x v="110"/>
    <s v="eth1/17"/>
    <x v="0"/>
    <x v="0"/>
    <x v="0"/>
    <s v="Server_Pre-R02-CBS-RH2288-01"/>
    <x v="0"/>
    <b v="0"/>
    <s v="No está en VPC"/>
    <n v="731"/>
    <s v="INTPG_ACC_731_1.17"/>
    <s v="ISEL-1.17"/>
    <n v="1"/>
    <s v="NO TIENE L3OUT"/>
    <n v="38"/>
    <n v="54"/>
  </r>
  <r>
    <n v="703"/>
    <x v="2"/>
    <x v="111"/>
    <s v="eth1/17"/>
    <x v="0"/>
    <x v="0"/>
    <x v="0"/>
    <m/>
    <x v="0"/>
    <b v="0"/>
    <s v="No está en VPC"/>
    <n v="703"/>
    <s v="INTPG_VPC_703_1.17_704_1.18"/>
    <s v="ISEL-1.17"/>
    <n v="1"/>
    <s v="NO TIENE L3OUT"/>
    <n v="2"/>
    <n v="54"/>
  </r>
  <r>
    <n v="706"/>
    <x v="2"/>
    <x v="112"/>
    <s v="eth1/17"/>
    <x v="0"/>
    <x v="1"/>
    <x v="5"/>
    <s v="CEM:ITHCEMA1ETL09:LOM  P1"/>
    <x v="0"/>
    <b v="0"/>
    <s v="No está en VPC"/>
    <n v="706"/>
    <s v="INTPG_VPC_706_1.17_705_1.18"/>
    <s v="ISEL-1.17"/>
    <n v="1"/>
    <s v="NO TIENE L3OUT"/>
    <n v="16"/>
    <n v="54"/>
  </r>
  <r>
    <n v="762"/>
    <x v="2"/>
    <x v="113"/>
    <s v="eth1/17"/>
    <x v="0"/>
    <x v="0"/>
    <x v="0"/>
    <s v="PAAS:ithhwosstpap002:LOM PORT 3"/>
    <x v="0"/>
    <b v="0"/>
    <s v="No está en VPC"/>
    <n v="762"/>
    <s v="INTPG_VPC_762_1.17_763_1.17"/>
    <s v="ISEL-1.17"/>
    <n v="15"/>
    <s v="NO TIENE L3OUT"/>
    <n v="0"/>
    <n v="54"/>
  </r>
  <r>
    <n v="814"/>
    <x v="2"/>
    <x v="114"/>
    <s v="eth1/17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17"/>
    <x v="0"/>
    <x v="0"/>
    <x v="0"/>
    <s v="HACIA_CSI-B-OSCP-F4-13_SECUNDARIO"/>
    <x v="4"/>
    <b v="0"/>
    <s v="No está en VPC"/>
    <n v="878"/>
    <s v="INTPG_VPC_878_1.17_879_1.17"/>
    <s v="ISEL-1.17"/>
    <n v="2"/>
    <s v="NO TIENE L3OUT"/>
    <n v="0"/>
    <n v="54"/>
  </r>
  <r>
    <n v="826"/>
    <x v="2"/>
    <x v="116"/>
    <s v="eth1/17"/>
    <x v="0"/>
    <x v="0"/>
    <x v="0"/>
    <s v="LINK_TO_ITHFHWCBSDSHD15 /10GE.1 /Principal"/>
    <x v="0"/>
    <b v="0"/>
    <s v="No está en VPC"/>
    <n v="826"/>
    <s v="INTPG_VPC_826_1.17_830_1.17"/>
    <s v="ISEL-1.17"/>
    <n v="1"/>
    <s v="NO TIENE L3OUT"/>
    <n v="12"/>
    <n v="54"/>
  </r>
  <r>
    <n v="726"/>
    <x v="2"/>
    <x v="117"/>
    <s v="eth1/17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17"/>
    <x v="0"/>
    <x v="0"/>
    <x v="0"/>
    <s v="CEM:ITHCEMC2AKF09:LOM P3"/>
    <x v="5"/>
    <b v="0"/>
    <s v="No está en VPC"/>
    <n v="740"/>
    <s v="INTPG_ACC_740_1.17"/>
    <s v="ISEL-1.17"/>
    <n v="1"/>
    <s v="NO TIENE L3OUT"/>
    <n v="72"/>
    <n v="54"/>
  </r>
  <r>
    <n v="705"/>
    <x v="2"/>
    <x v="119"/>
    <s v="eth1/17"/>
    <x v="0"/>
    <x v="0"/>
    <x v="0"/>
    <s v="CEM:ITHOIDB1SVR09:LOM  P2"/>
    <x v="0"/>
    <b v="0"/>
    <s v="No está en VPC"/>
    <n v="705"/>
    <s v="INTPG_VPC_705_1.17_706_1.18"/>
    <s v="ISEL-1.17"/>
    <n v="1"/>
    <s v="NO TIENE L3OUT"/>
    <n v="16"/>
    <n v="54"/>
  </r>
  <r>
    <n v="723"/>
    <x v="2"/>
    <x v="120"/>
    <s v="eth1/17"/>
    <x v="0"/>
    <x v="1"/>
    <x v="5"/>
    <m/>
    <x v="0"/>
    <b v="0"/>
    <s v="No está en VPC"/>
    <n v="723"/>
    <s v="INTPG-VPC_HDD112_723_1.17_722_1.18"/>
    <s v="ISEL-1.17"/>
    <n v="1"/>
    <s v="NO TIENE L3OUT"/>
    <n v="0"/>
    <n v="54"/>
  </r>
  <r>
    <n v="721"/>
    <x v="2"/>
    <x v="121"/>
    <s v="eth1/17"/>
    <x v="0"/>
    <x v="0"/>
    <x v="0"/>
    <s v="TO-ITHFHWVRALCN02"/>
    <x v="0"/>
    <b v="0"/>
    <s v="No está en VPC"/>
    <n v="721"/>
    <s v="INTPG_VPC_714_1.18_721_1.17"/>
    <s v="ISEL-1.17"/>
    <n v="108"/>
    <s v="NO TIENE L3OUT"/>
    <n v="20"/>
    <n v="54"/>
  </r>
  <r>
    <n v="788"/>
    <x v="2"/>
    <x v="122"/>
    <s v="eth1/17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17"/>
    <x v="0"/>
    <x v="1"/>
    <x v="3"/>
    <m/>
    <x v="0"/>
    <b v="0"/>
    <s v="No está en VPC"/>
    <n v="732"/>
    <s v="INTPG_ACC_732_1.17"/>
    <s v="ISEL-1.17"/>
    <n v="0"/>
    <s v="NO TIENE L3OUT"/>
    <n v="0"/>
    <n v="54"/>
  </r>
  <r>
    <n v="720"/>
    <x v="2"/>
    <x v="124"/>
    <s v="eth1/17"/>
    <x v="0"/>
    <x v="0"/>
    <x v="0"/>
    <m/>
    <x v="0"/>
    <b v="0"/>
    <s v="No está en VPC"/>
    <n v="720"/>
    <s v="INTPG-VPC_CMG01_720_1.17_719_1.18"/>
    <s v="ISEL-1.17"/>
    <n v="1"/>
    <s v="NO TIENE L3OUT"/>
    <n v="0"/>
    <n v="54"/>
  </r>
  <r>
    <n v="709"/>
    <x v="2"/>
    <x v="125"/>
    <s v="eth1/17"/>
    <x v="0"/>
    <x v="1"/>
    <x v="5"/>
    <s v="CEM:ITHCEME2RTB09:LOM P1"/>
    <x v="0"/>
    <b v="0"/>
    <s v="No está en VPC"/>
    <n v="709"/>
    <s v="INTPG_VPC_708_1.18_709_1.17"/>
    <s v="ISEL-1.17"/>
    <n v="1"/>
    <s v="NO TIENE L3OUT"/>
    <n v="0"/>
    <n v="54"/>
  </r>
  <r>
    <n v="454"/>
    <x v="1"/>
    <x v="126"/>
    <s v="eth1/17"/>
    <x v="0"/>
    <x v="0"/>
    <x v="0"/>
    <s v="HACIA_CSI-B-OSCP-F4-01_PRIMARIO"/>
    <x v="4"/>
    <b v="0"/>
    <s v="No está en VPC"/>
    <n v="454"/>
    <s v="INTPG_VPC_454_1.17_456_1.17"/>
    <s v="ISEL-1.17"/>
    <n v="2"/>
    <s v="NO TIENE L3OUT"/>
    <n v="4"/>
    <n v="54"/>
  </r>
  <r>
    <n v="734"/>
    <x v="2"/>
    <x v="127"/>
    <s v="eth1/17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17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17"/>
    <x v="0"/>
    <x v="0"/>
    <x v="0"/>
    <m/>
    <x v="0"/>
    <b v="0"/>
    <s v="No está en VPC"/>
    <n v="743"/>
    <s v="INTPG_PC_743_1.17-18"/>
    <s v="ISEL-1.17"/>
    <n v="2"/>
    <s v="NO TIENE L3OUT"/>
    <n v="4"/>
    <n v="54"/>
  </r>
  <r>
    <n v="718"/>
    <x v="2"/>
    <x v="130"/>
    <s v="eth1/17"/>
    <x v="0"/>
    <x v="0"/>
    <x v="0"/>
    <m/>
    <x v="0"/>
    <b v="0"/>
    <s v="No está en VPC"/>
    <n v="718"/>
    <s v="INTPG-VPC_HDD09_718_1.17_717_1.18"/>
    <s v="ISEL-1.17"/>
    <n v="1"/>
    <s v="NO TIENE L3OUT"/>
    <n v="0"/>
    <n v="54"/>
  </r>
  <r>
    <n v="744"/>
    <x v="2"/>
    <x v="131"/>
    <s v="eth1/17"/>
    <x v="0"/>
    <x v="0"/>
    <x v="0"/>
    <m/>
    <x v="0"/>
    <b v="0"/>
    <s v="No está en VPC"/>
    <n v="744"/>
    <s v="INTPG_PC_744_1.17-18"/>
    <s v="ISEL-1.17"/>
    <n v="2"/>
    <s v="NO TIENE L3OUT"/>
    <n v="4"/>
    <n v="54"/>
  </r>
  <r>
    <n v="741"/>
    <x v="2"/>
    <x v="132"/>
    <s v="eth1/17"/>
    <x v="0"/>
    <x v="0"/>
    <x v="0"/>
    <s v="CEM:ITHCEMB2AKF09:LOM P3"/>
    <x v="5"/>
    <b v="0"/>
    <s v="No está en VPC"/>
    <n v="741"/>
    <s v="INTPG_ACC_741_1.17"/>
    <s v="ISEL-1.17"/>
    <n v="1"/>
    <s v="NO TIENE L3OUT"/>
    <n v="62"/>
    <n v="54"/>
  </r>
  <r>
    <n v="787"/>
    <x v="2"/>
    <x v="133"/>
    <s v="eth1/17"/>
    <x v="0"/>
    <x v="0"/>
    <x v="0"/>
    <s v="ENIQ F2:itheniqr14bl02nas2r4b:LOM PORT 2"/>
    <x v="0"/>
    <b v="0"/>
    <s v="No está en VPC"/>
    <n v="787"/>
    <s v="INTPG_PC_787_1.16-19"/>
    <s v="ISEL-1.17"/>
    <n v="1"/>
    <s v="NO TIENE L3OUT"/>
    <n v="26"/>
    <n v="54"/>
  </r>
  <r>
    <n v="750"/>
    <x v="2"/>
    <x v="134"/>
    <s v="eth1/17"/>
    <x v="0"/>
    <x v="0"/>
    <x v="0"/>
    <m/>
    <x v="0"/>
    <b v="0"/>
    <s v="No está en VPC"/>
    <n v="750"/>
    <s v="INTPG_ACC_750_1.17"/>
    <s v="ISEL-1.17"/>
    <n v="0"/>
    <s v="NO TIENE L3OUT"/>
    <n v="2"/>
    <n v="54"/>
  </r>
  <r>
    <n v="792"/>
    <x v="2"/>
    <x v="135"/>
    <s v="eth1/17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17"/>
    <x v="1"/>
    <x v="1"/>
    <x v="3"/>
    <s v="CEM:ITHCEMG2RTB09:LOM  P2"/>
    <x v="0"/>
    <b v="0"/>
    <s v="No está en VPC"/>
    <n v="736"/>
    <s v="INTPG_ACC_736_1.17"/>
    <s v="ISEL-1.17"/>
    <n v="0"/>
    <s v="NO TIENE L3OUT"/>
    <n v="48"/>
    <n v="54"/>
  </r>
  <r>
    <n v="799"/>
    <x v="2"/>
    <x v="137"/>
    <s v="eth1/17"/>
    <x v="0"/>
    <x v="0"/>
    <x v="0"/>
    <s v="TO-IMC_PS05-MSP"/>
    <x v="0"/>
    <b v="0"/>
    <s v="No está en VPC"/>
    <n v="799"/>
    <s v="INTPG_ACC_799_1.17"/>
    <s v="ISEL-1.17"/>
    <n v="1"/>
    <s v="NO TIENE L3OUT"/>
    <n v="52"/>
    <n v="54"/>
  </r>
  <r>
    <n v="768"/>
    <x v="2"/>
    <x v="138"/>
    <s v="eth1/17"/>
    <x v="0"/>
    <x v="0"/>
    <x v="0"/>
    <s v="Portchannel_4_R6B"/>
    <x v="0"/>
    <b v="0"/>
    <s v="No está en VPC"/>
    <n v="768"/>
    <s v="INTPG_PC_768_1.17-18"/>
    <s v="ISEL-1.17"/>
    <n v="8"/>
    <s v="NO TIENE L3OUT"/>
    <n v="62"/>
    <n v="54"/>
  </r>
  <r>
    <n v="714"/>
    <x v="2"/>
    <x v="139"/>
    <s v="eth1/17"/>
    <x v="0"/>
    <x v="0"/>
    <x v="0"/>
    <s v="ITHORNG1DAT08_LOM P1"/>
    <x v="0"/>
    <b v="0"/>
    <s v="No está en VPC"/>
    <n v="714"/>
    <s v="INTPG_ACC_714_1.17"/>
    <s v="ISEL-1.17"/>
    <n v="2"/>
    <s v="NO TIENE L3OUT"/>
    <n v="20"/>
    <n v="54"/>
  </r>
  <r>
    <n v="717"/>
    <x v="2"/>
    <x v="140"/>
    <s v="eth1/17"/>
    <x v="0"/>
    <x v="0"/>
    <x v="0"/>
    <m/>
    <x v="0"/>
    <b v="0"/>
    <s v="No está en VPC"/>
    <n v="717"/>
    <s v="INTPG-VPC_HDD19_717_1.17_718_1.18"/>
    <s v="ISEL-1.17"/>
    <n v="1"/>
    <s v="NO TIENE L3OUT"/>
    <n v="0"/>
    <n v="54"/>
  </r>
  <r>
    <n v="789"/>
    <x v="2"/>
    <x v="141"/>
    <s v="eth1/17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17"/>
    <x v="0"/>
    <x v="0"/>
    <x v="0"/>
    <s v="Portchannel_4_R4A"/>
    <x v="0"/>
    <b v="0"/>
    <s v="No está en VPC"/>
    <n v="764"/>
    <s v="INTPG_PC_764_1.17-18"/>
    <s v="ISEL-1.17"/>
    <n v="8"/>
    <s v="NO TIENE L3OUT"/>
    <n v="62"/>
    <n v="54"/>
  </r>
  <r>
    <n v="783"/>
    <x v="2"/>
    <x v="143"/>
    <s v="eth1/17"/>
    <x v="0"/>
    <x v="0"/>
    <x v="0"/>
    <s v="LACP_NAS2_ENIQ9B"/>
    <x v="0"/>
    <b v="0"/>
    <s v="No está en VPC"/>
    <n v="783"/>
    <s v="INTPG_PC_783_1.16-19"/>
    <s v="ISEL-1.17"/>
    <n v="1"/>
    <s v="NO TIENE L3OUT"/>
    <n v="26"/>
    <n v="54"/>
  </r>
  <r>
    <n v="774"/>
    <x v="2"/>
    <x v="144"/>
    <s v="eth1/17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17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17"/>
    <x v="0"/>
    <x v="1"/>
    <x v="1"/>
    <s v="DESC"/>
    <x v="0"/>
    <b v="0"/>
    <s v="No está en VPC"/>
    <n v="794"/>
    <s v="INTPG_PC_794_1.17_19_21_23_25_27"/>
    <s v="ISEL-1.17"/>
    <n v="1"/>
    <s v="NO TIENE L3OUT"/>
    <n v="12"/>
    <n v="54"/>
  </r>
  <r>
    <n v="803"/>
    <x v="2"/>
    <x v="147"/>
    <s v="eth1/17"/>
    <x v="0"/>
    <x v="0"/>
    <x v="0"/>
    <s v="TO-HDPS_43-MSP"/>
    <x v="0"/>
    <b v="0"/>
    <s v="No está en VPC"/>
    <n v="803"/>
    <s v="INTPG_ACC_803_1.17"/>
    <s v="ISEL-1.17"/>
    <n v="1"/>
    <s v="NO TIENE L3OUT"/>
    <n v="48"/>
    <n v="54"/>
  </r>
  <r>
    <n v="786"/>
    <x v="2"/>
    <x v="148"/>
    <s v="eth1/17"/>
    <x v="0"/>
    <x v="0"/>
    <x v="0"/>
    <s v="ENIQ F2:itheniqr16bl02nas2r4a:LOM PORT 2"/>
    <x v="0"/>
    <b v="0"/>
    <s v="No está en VPC"/>
    <n v="786"/>
    <s v="INTPG_PC_786_1.16-19"/>
    <s v="ISEL-1.17"/>
    <n v="1"/>
    <s v="NO TIENE L3OUT"/>
    <n v="26"/>
    <n v="54"/>
  </r>
  <r>
    <n v="757"/>
    <x v="2"/>
    <x v="149"/>
    <s v="eth1/17"/>
    <x v="0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17"/>
    <x v="0"/>
    <x v="0"/>
    <x v="0"/>
    <s v="LACP_NAS2_ENIQ1"/>
    <x v="0"/>
    <b v="0"/>
    <s v="No está en VPC"/>
    <n v="781"/>
    <s v="INTPG_PC_781_1.16-19"/>
    <s v="ISEL-1.17"/>
    <n v="1"/>
    <s v="NO TIENE L3OUT"/>
    <n v="26"/>
    <n v="54"/>
  </r>
  <r>
    <n v="793"/>
    <x v="2"/>
    <x v="151"/>
    <s v="eth1/17"/>
    <x v="0"/>
    <x v="0"/>
    <x v="0"/>
    <s v="DESC"/>
    <x v="0"/>
    <b v="0"/>
    <s v="No está en VPC"/>
    <n v="793"/>
    <s v="INTPG_PC_793_1.17_19_21_23_25_27"/>
    <s v="ISEL-1.17"/>
    <n v="1"/>
    <s v="NO TIENE L3OUT"/>
    <n v="12"/>
    <n v="54"/>
  </r>
  <r>
    <n v="747"/>
    <x v="2"/>
    <x v="152"/>
    <s v="eth1/17"/>
    <x v="0"/>
    <x v="0"/>
    <x v="0"/>
    <s v="PAAS:ithhwosstpap002:Slot4.1"/>
    <x v="0"/>
    <b v="0"/>
    <s v="No está en VPC"/>
    <n v="747"/>
    <s v="INTPG_VPC_747_1.17_752_1.17"/>
    <s v="ISEL-1.17"/>
    <n v="25"/>
    <s v="NO TIENE L3OUT"/>
    <n v="0"/>
    <n v="54"/>
  </r>
  <r>
    <n v="784"/>
    <x v="2"/>
    <x v="153"/>
    <s v="eth1/17"/>
    <x v="0"/>
    <x v="0"/>
    <x v="0"/>
    <s v="ENIQ F2:itheniqr13bl02nas2r6a:LOM PORT 2"/>
    <x v="0"/>
    <b v="0"/>
    <s v="No está en VPC"/>
    <n v="784"/>
    <s v="INTPG_PC_784_1.16-19"/>
    <s v="ISEL-1.17"/>
    <n v="1"/>
    <s v="NO TIENE L3OUT"/>
    <n v="26"/>
    <n v="54"/>
  </r>
  <r>
    <n v="806"/>
    <x v="2"/>
    <x v="154"/>
    <s v="eth1/17"/>
    <x v="0"/>
    <x v="0"/>
    <x v="0"/>
    <s v="TO-HDPS_67-MSP"/>
    <x v="0"/>
    <b v="0"/>
    <s v="No está en VPC"/>
    <n v="806"/>
    <s v="INTPG_ACC_806_1.17"/>
    <s v="ISEL-1.17"/>
    <n v="1"/>
    <s v="NO TIENE L3OUT"/>
    <n v="44"/>
    <n v="54"/>
  </r>
  <r>
    <n v="777"/>
    <x v="2"/>
    <x v="155"/>
    <s v="eth1/17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17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17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17"/>
    <x v="0"/>
    <x v="0"/>
    <x v="0"/>
    <s v="CEM:ITHCEMD2AKF09:LOM P3"/>
    <x v="5"/>
    <b v="0"/>
    <s v="No está en VPC"/>
    <n v="739"/>
    <s v="INTPG_ACC_739_1.17"/>
    <s v="ISEL-1.17"/>
    <n v="1"/>
    <s v="NO TIENE L3OUT"/>
    <n v="72"/>
    <n v="54"/>
  </r>
  <r>
    <n v="775"/>
    <x v="2"/>
    <x v="159"/>
    <s v="eth1/17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17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17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17"/>
    <x v="0"/>
    <x v="0"/>
    <x v="0"/>
    <s v="LINK_TO_ITHFHWCBSDSHD15 /Slot5.1 /Redundante"/>
    <x v="0"/>
    <b v="0"/>
    <s v="No está en VPC"/>
    <n v="830"/>
    <s v="INTPG_VPC_826_1.17_830_1.17"/>
    <s v="ISEL-1.17"/>
    <n v="1"/>
    <s v="NO TIENE L3OUT"/>
    <n v="12"/>
    <n v="54"/>
  </r>
  <r>
    <n v="821"/>
    <x v="2"/>
    <x v="163"/>
    <s v="eth1/17"/>
    <x v="0"/>
    <x v="0"/>
    <x v="0"/>
    <s v="LINK_TO_ITHFHWCBSPSHD15 /Slot5.1 /Redundante"/>
    <x v="0"/>
    <b v="0"/>
    <s v="No está en VPC"/>
    <n v="821"/>
    <s v="INTPG_VPC_816_1.17_821_1.17"/>
    <s v="ISEL-1.17"/>
    <n v="1"/>
    <s v="NO TIENE L3OUT"/>
    <n v="0"/>
    <n v="54"/>
  </r>
  <r>
    <n v="738"/>
    <x v="2"/>
    <x v="164"/>
    <s v="eth1/17"/>
    <x v="0"/>
    <x v="0"/>
    <x v="0"/>
    <s v="CEM:ITHCEME2RTB09:LOM P3"/>
    <x v="5"/>
    <b v="0"/>
    <s v="No está en VPC"/>
    <n v="738"/>
    <s v="INTPG_ACC_738_1.17"/>
    <s v="ISEL-1.17"/>
    <n v="1"/>
    <s v="NO TIENE L3OUT"/>
    <n v="72"/>
    <n v="54"/>
  </r>
  <r>
    <n v="820"/>
    <x v="2"/>
    <x v="165"/>
    <s v="eth1/17"/>
    <x v="0"/>
    <x v="0"/>
    <x v="0"/>
    <s v="LINK_TO_ITHHWCRMPEN03 /X3-10GE 2 /Redundante"/>
    <x v="0"/>
    <b v="0"/>
    <s v="No está en VPC"/>
    <n v="820"/>
    <s v="INTPG_VPC_820_1.14_17_825_1.14_17"/>
    <s v="ISEL-1.17"/>
    <n v="4"/>
    <s v="NO TIENE L3OUT"/>
    <n v="72"/>
    <n v="54"/>
  </r>
  <r>
    <n v="804"/>
    <x v="2"/>
    <x v="166"/>
    <s v="eth1/17"/>
    <x v="0"/>
    <x v="0"/>
    <x v="0"/>
    <s v="TO-HDPS_43-MSP"/>
    <x v="0"/>
    <b v="0"/>
    <s v="No está en VPC"/>
    <n v="804"/>
    <s v="INTPG_ACC_804_1.17"/>
    <s v="ISEL-1.17"/>
    <n v="1"/>
    <s v="NO TIENE L3OUT"/>
    <n v="48"/>
    <n v="54"/>
  </r>
  <r>
    <n v="779"/>
    <x v="2"/>
    <x v="167"/>
    <s v="eth1/17"/>
    <x v="0"/>
    <x v="0"/>
    <x v="0"/>
    <s v="ENIQ F1:itheniqr07nas2r2:LOM PORT 2"/>
    <x v="0"/>
    <b v="0"/>
    <s v="No está en VPC"/>
    <n v="779"/>
    <s v="INTPG_PC_779_1.16-19"/>
    <s v="ISEL-1.17"/>
    <n v="1"/>
    <s v="NO TIENE L3OUT"/>
    <n v="30"/>
    <n v="54"/>
  </r>
  <r>
    <n v="767"/>
    <x v="2"/>
    <x v="168"/>
    <s v="eth1/17"/>
    <x v="0"/>
    <x v="0"/>
    <x v="0"/>
    <s v="Portchannel_4_R3"/>
    <x v="0"/>
    <b v="0"/>
    <s v="No está en VPC"/>
    <n v="767"/>
    <s v="INTPG_PC_767_1.17-18"/>
    <s v="ISEL-1.17"/>
    <n v="8"/>
    <s v="NO TIENE L3OUT"/>
    <n v="60"/>
    <n v="54"/>
  </r>
  <r>
    <n v="827"/>
    <x v="2"/>
    <x v="169"/>
    <s v="eth1/17"/>
    <x v="0"/>
    <x v="0"/>
    <x v="0"/>
    <s v="LINK_TO_ITHFHWCBSDSUSBD11 /Slot5.2 /Principal"/>
    <x v="0"/>
    <b v="0"/>
    <s v="No está en VPC"/>
    <n v="827"/>
    <s v="INTPG_VPC_827_1.17_831_1.17"/>
    <s v="ISEL-1.17"/>
    <n v="2"/>
    <s v="NO TIENE L3OUT"/>
    <n v="14"/>
    <n v="54"/>
  </r>
  <r>
    <n v="809"/>
    <x v="2"/>
    <x v="170"/>
    <s v="eth1/17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17"/>
    <x v="0"/>
    <x v="0"/>
    <x v="0"/>
    <s v="Portchannel_5_R4A"/>
    <x v="0"/>
    <b v="0"/>
    <s v="No está en VPC"/>
    <n v="771"/>
    <s v="INTPG_PC_771_1.17-18"/>
    <s v="ISEL-1.17"/>
    <n v="8"/>
    <s v="NO TIENE L3OUT"/>
    <n v="62"/>
    <n v="54"/>
  </r>
  <r>
    <n v="761"/>
    <x v="2"/>
    <x v="172"/>
    <s v="eth1/17"/>
    <x v="0"/>
    <x v="1"/>
    <x v="1"/>
    <m/>
    <x v="0"/>
    <b v="0"/>
    <s v="No está en VPC"/>
    <n v="761"/>
    <s v="INTPG_VPC_760_1.17-20_761_1.17-20"/>
    <s v="ISEL-1.17"/>
    <n v="0"/>
    <s v="L3OUT-EXACLOUD"/>
    <n v="0"/>
    <n v="54"/>
  </r>
  <r>
    <n v="776"/>
    <x v="2"/>
    <x v="173"/>
    <s v="eth1/17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17"/>
    <x v="0"/>
    <x v="0"/>
    <x v="0"/>
    <s v="TO-HDPS_67-MSP"/>
    <x v="0"/>
    <b v="0"/>
    <s v="No está en VPC"/>
    <n v="805"/>
    <s v="INTPG_ACC_805_1.17"/>
    <s v="ISEL-1.17"/>
    <n v="1"/>
    <s v="NO TIENE L3OUT"/>
    <n v="44"/>
    <n v="54"/>
  </r>
  <r>
    <n v="772"/>
    <x v="2"/>
    <x v="175"/>
    <s v="eth1/17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17"/>
    <x v="0"/>
    <x v="0"/>
    <x v="0"/>
    <s v="ENIQ F2:itheniqr12bl02nas2r6b:LOM PORT 2"/>
    <x v="0"/>
    <b v="0"/>
    <s v="No está en VPC"/>
    <n v="785"/>
    <s v="INTPG_PC_785_1.16-19"/>
    <s v="ISEL-1.17"/>
    <n v="1"/>
    <s v="NO TIENE L3OUT"/>
    <n v="32"/>
    <n v="54"/>
  </r>
  <r>
    <n v="851"/>
    <x v="2"/>
    <x v="177"/>
    <s v="eth1/17"/>
    <x v="0"/>
    <x v="0"/>
    <x v="0"/>
    <s v="LINK_TO_ITHFHWCRMPLCN106 / Slot7.2_16 / Redundante"/>
    <x v="0"/>
    <b v="0"/>
    <s v="No está en VPC"/>
    <n v="851"/>
    <s v="INTPG_ACC_851_1.17"/>
    <s v="ISEL-1.17"/>
    <n v="2"/>
    <s v="NO TIENE L3OUT"/>
    <n v="282"/>
    <n v="54"/>
  </r>
  <r>
    <n v="798"/>
    <x v="2"/>
    <x v="178"/>
    <s v="eth1/17"/>
    <x v="0"/>
    <x v="0"/>
    <x v="0"/>
    <s v="TO-IMC_PS05-MSP"/>
    <x v="0"/>
    <b v="0"/>
    <s v="No está en VPC"/>
    <n v="798"/>
    <s v="INTPG_ACC_798_1.17"/>
    <s v="ISEL-1.17"/>
    <n v="1"/>
    <s v="NO TIENE L3OUT"/>
    <n v="52"/>
    <n v="54"/>
  </r>
  <r>
    <n v="782"/>
    <x v="2"/>
    <x v="179"/>
    <s v="eth1/17"/>
    <x v="0"/>
    <x v="0"/>
    <x v="0"/>
    <s v="LACP_NAS2_ENIQ9A"/>
    <x v="0"/>
    <b v="0"/>
    <s v="No está en VPC"/>
    <n v="782"/>
    <s v="INTPG_PC_782_1.16-19"/>
    <s v="ISEL-1.17"/>
    <n v="1"/>
    <s v="NO TIENE L3OUT"/>
    <n v="32"/>
    <n v="54"/>
  </r>
  <r>
    <n v="852"/>
    <x v="2"/>
    <x v="180"/>
    <s v="eth1/17"/>
    <x v="0"/>
    <x v="0"/>
    <x v="0"/>
    <s v="LINK_TO_ITHFHWCRMPLCN89 / Slot7.3_10 / Redundante"/>
    <x v="0"/>
    <b v="0"/>
    <s v="No está en VPC"/>
    <n v="852"/>
    <s v="INTPG_ACC_852_1.17"/>
    <s v="ISEL-1.17"/>
    <n v="1"/>
    <s v="NO TIENE L3OUT"/>
    <n v="258"/>
    <n v="54"/>
  </r>
  <r>
    <n v="817"/>
    <x v="2"/>
    <x v="181"/>
    <s v="eth1/17"/>
    <x v="0"/>
    <x v="0"/>
    <x v="0"/>
    <s v="LINK_TO_ITHFHWCBSPSUSBD12 /10GE.1 /Principal"/>
    <x v="0"/>
    <b v="0"/>
    <s v="No está en VPC"/>
    <n v="817"/>
    <s v="INTPG_VPC_817_1.17_822_1.17"/>
    <s v="ISEL-1.17"/>
    <n v="1"/>
    <s v="NO TIENE L3OUT"/>
    <n v="0"/>
    <n v="54"/>
  </r>
  <r>
    <n v="832"/>
    <x v="2"/>
    <x v="182"/>
    <s v="eth1/17"/>
    <x v="0"/>
    <x v="0"/>
    <x v="0"/>
    <s v="LINK_TO_ITHFHWCRMDLCN21 /Slot7.2 /Redundante"/>
    <x v="0"/>
    <b v="0"/>
    <s v="No está en VPC"/>
    <n v="832"/>
    <s v="INTPG_ACC_832_1.17"/>
    <s v="ISEL-1.17"/>
    <n v="5"/>
    <s v="NO TIENE L3OUT"/>
    <n v="192"/>
    <n v="54"/>
  </r>
  <r>
    <n v="816"/>
    <x v="2"/>
    <x v="183"/>
    <s v="eth1/17"/>
    <x v="0"/>
    <x v="0"/>
    <x v="0"/>
    <s v="LINK_TO_ITHFHWCBSPSHD15 /10GE.1 /Principal"/>
    <x v="0"/>
    <b v="0"/>
    <s v="No está en VPC"/>
    <n v="816"/>
    <s v="INTPG_VPC_816_1.17_821_1.17"/>
    <s v="ISEL-1.17"/>
    <n v="1"/>
    <s v="NO TIENE L3OUT"/>
    <n v="0"/>
    <n v="54"/>
  </r>
  <r>
    <n v="825"/>
    <x v="2"/>
    <x v="184"/>
    <s v="eth1/17"/>
    <x v="0"/>
    <x v="0"/>
    <x v="0"/>
    <s v="LINK_TO_ITHHWCRMPEN03 /X3-10GE 1 /Principal"/>
    <x v="0"/>
    <b v="0"/>
    <s v="No está en VPC"/>
    <n v="825"/>
    <s v="INTPG_VPC_820_1.14_17_825_1.14_17"/>
    <s v="ISEL-1.17"/>
    <n v="4"/>
    <s v="NO TIENE L3OUT"/>
    <n v="72"/>
    <n v="54"/>
  </r>
  <r>
    <n v="800"/>
    <x v="2"/>
    <x v="185"/>
    <s v="eth1/17"/>
    <x v="0"/>
    <x v="0"/>
    <x v="0"/>
    <s v="TO-WES_02-MSP"/>
    <x v="0"/>
    <b v="0"/>
    <s v="No está en VPC"/>
    <n v="800"/>
    <s v="INTPG_ACC_800_1.17"/>
    <s v="ISEL-1.17"/>
    <n v="1"/>
    <s v="NO TIENE L3OUT"/>
    <n v="78"/>
    <n v="54"/>
  </r>
  <r>
    <n v="801"/>
    <x v="2"/>
    <x v="186"/>
    <s v="eth1/17"/>
    <x v="0"/>
    <x v="1"/>
    <x v="1"/>
    <s v="TO-WES_02-MSP"/>
    <x v="0"/>
    <b v="0"/>
    <s v="No está en VPC"/>
    <n v="801"/>
    <s v="INTPG_ACC_801_1.17"/>
    <s v="ISEL-1.17"/>
    <n v="1"/>
    <s v="NO TIENE L3OUT"/>
    <n v="78"/>
    <n v="54"/>
  </r>
  <r>
    <n v="823"/>
    <x v="2"/>
    <x v="187"/>
    <s v="eth1/17"/>
    <x v="0"/>
    <x v="0"/>
    <x v="0"/>
    <s v="LINK_TO_ITHFHWCBSPSUSBD19 /Slot7.2 /Redundante"/>
    <x v="0"/>
    <b v="0"/>
    <s v="No está en VPC"/>
    <n v="823"/>
    <s v="INTPG_VPC_818_1.17_823_1.17"/>
    <s v="ISEL-1.17"/>
    <n v="2"/>
    <s v="NO TIENE L3OUT"/>
    <n v="8"/>
    <n v="54"/>
  </r>
  <r>
    <n v="837"/>
    <x v="2"/>
    <x v="188"/>
    <s v="eth1/17"/>
    <x v="0"/>
    <x v="0"/>
    <x v="0"/>
    <s v="LINK_TO_ITHFHWCBSPSWR45 / Slot1.1_26 / Principal"/>
    <x v="0"/>
    <b v="0"/>
    <s v="No está en VPC"/>
    <n v="837"/>
    <s v="INTPG_VPC_837_1.17_842_1.17"/>
    <s v="ISEL-1.17"/>
    <n v="2"/>
    <s v="NO TIENE L3OUT"/>
    <n v="8"/>
    <n v="54"/>
  </r>
  <r>
    <n v="867"/>
    <x v="2"/>
    <x v="189"/>
    <s v="eth1/17"/>
    <x v="0"/>
    <x v="0"/>
    <x v="0"/>
    <s v="TO-ITHFSUEXG2XCP01_PCI6.P2"/>
    <x v="0"/>
    <b v="0"/>
    <s v="No está en VPC"/>
    <n v="867"/>
    <s v="INTPG_ACC_867_1.17"/>
    <s v="ISEL-1.17"/>
    <n v="1"/>
    <s v="NO TIENE L3OUT"/>
    <n v="44"/>
    <n v="54"/>
  </r>
  <r>
    <n v="829"/>
    <x v="2"/>
    <x v="190"/>
    <s v="eth1/17"/>
    <x v="0"/>
    <x v="0"/>
    <x v="0"/>
    <s v="LINK_TO_ITHFHWCRMDLCN33 /Slot5.1 /Redundante"/>
    <x v="0"/>
    <b v="0"/>
    <s v="No está en VPC"/>
    <n v="829"/>
    <s v="INTPG_ACC_829_1.17"/>
    <s v="ISEL-1.17"/>
    <n v="2"/>
    <s v="NO TIENE L3OUT"/>
    <n v="224"/>
    <n v="54"/>
  </r>
  <r>
    <n v="831"/>
    <x v="2"/>
    <x v="191"/>
    <s v="eth1/17"/>
    <x v="0"/>
    <x v="0"/>
    <x v="0"/>
    <s v="LINK_TO_ITHFHWCBSDSUSBD11 /Slot7.2 /Redundante"/>
    <x v="0"/>
    <b v="0"/>
    <s v="No está en VPC"/>
    <n v="831"/>
    <s v="INTPG_VPC_827_1.17_831_1.17"/>
    <s v="ISEL-1.17"/>
    <n v="2"/>
    <s v="NO TIENE L3OUT"/>
    <n v="14"/>
    <n v="54"/>
  </r>
  <r>
    <n v="802"/>
    <x v="2"/>
    <x v="192"/>
    <s v="eth1/17"/>
    <x v="0"/>
    <x v="0"/>
    <x v="0"/>
    <s v="TO-HDPS_19-MSP"/>
    <x v="0"/>
    <b v="0"/>
    <s v="No está en VPC"/>
    <n v="802"/>
    <s v="INTPG_ACC_802_1.17"/>
    <s v="ISEL-1.17"/>
    <n v="1"/>
    <s v="NO TIENE L3OUT"/>
    <n v="48"/>
    <n v="54"/>
  </r>
  <r>
    <n v="835"/>
    <x v="2"/>
    <x v="193"/>
    <s v="eth1/17"/>
    <x v="0"/>
    <x v="0"/>
    <x v="0"/>
    <s v="LINK_TO_ITHFHWCBSPSWR59 / Slot1.2_30 / Principal"/>
    <x v="0"/>
    <b v="0"/>
    <s v="No está en VPC"/>
    <n v="835"/>
    <s v="INTPG_VPC_835_1.17_840_1.17"/>
    <s v="ISEL-1.17"/>
    <n v="1"/>
    <s v="NO TIENE L3OUT"/>
    <n v="8"/>
    <n v="54"/>
  </r>
  <r>
    <n v="822"/>
    <x v="2"/>
    <x v="194"/>
    <s v="eth1/17"/>
    <x v="0"/>
    <x v="0"/>
    <x v="0"/>
    <s v="LINK_TO_ITHFHWCBSPSUSBD12 /Slot5.1 /Redundante"/>
    <x v="0"/>
    <b v="0"/>
    <s v="No está en VPC"/>
    <n v="822"/>
    <s v="INTPG_VPC_817_1.17_822_1.17"/>
    <s v="ISEL-1.17"/>
    <n v="1"/>
    <s v="NO TIENE L3OUT"/>
    <n v="0"/>
    <n v="54"/>
  </r>
  <r>
    <n v="854"/>
    <x v="2"/>
    <x v="195"/>
    <s v="eth1/17"/>
    <x v="0"/>
    <x v="0"/>
    <x v="0"/>
    <s v="LINK_TO_ITHFHWCRMPLCN171 / Slot1.1_12 / Principal"/>
    <x v="0"/>
    <b v="0"/>
    <s v="No está en VPC"/>
    <n v="854"/>
    <s v="INTPG_ACC_854_1.17"/>
    <s v="ISEL-1.17"/>
    <n v="6"/>
    <s v="NO TIENE L3OUT"/>
    <n v="204"/>
    <n v="54"/>
  </r>
  <r>
    <n v="858"/>
    <x v="2"/>
    <x v="196"/>
    <s v="eth1/17"/>
    <x v="0"/>
    <x v="0"/>
    <x v="0"/>
    <s v="To_VPC_2DCBSD_HD42_2"/>
    <x v="0"/>
    <b v="0"/>
    <s v="No está en VPC"/>
    <n v="858"/>
    <s v="INTPG_VPC_858_1.17_863_1.17"/>
    <s v="ISEL-1.17"/>
    <n v="1"/>
    <s v="NO TIENE L3OUT"/>
    <n v="8"/>
    <n v="54"/>
  </r>
  <r>
    <n v="857"/>
    <x v="2"/>
    <x v="197"/>
    <s v="eth1/17"/>
    <x v="0"/>
    <x v="0"/>
    <x v="0"/>
    <s v="LINKT_TO_ITHFHWCRMPLCN121 / Slot1.1_12 / Principal"/>
    <x v="0"/>
    <b v="0"/>
    <s v="No está en VPC"/>
    <n v="857"/>
    <s v="INTPG_ACC_857_1.17"/>
    <s v="ISEL-1.17"/>
    <n v="6"/>
    <s v="NO TIENE L3OUT"/>
    <n v="288"/>
    <n v="54"/>
  </r>
  <r>
    <n v="859"/>
    <x v="2"/>
    <x v="198"/>
    <s v="eth1/17"/>
    <x v="0"/>
    <x v="0"/>
    <x v="0"/>
    <s v="To_VPC_2DCBSD_HD36_2"/>
    <x v="0"/>
    <b v="0"/>
    <s v="No está en VPC"/>
    <n v="859"/>
    <s v="INTPG_VPC_859_1.17_864_1.17"/>
    <s v="ISEL-1.17"/>
    <n v="1"/>
    <s v="NO TIENE L3OUT"/>
    <n v="0"/>
    <n v="54"/>
  </r>
  <r>
    <n v="833"/>
    <x v="2"/>
    <x v="199"/>
    <s v="eth1/17"/>
    <x v="0"/>
    <x v="0"/>
    <x v="0"/>
    <s v="LINK_TO_ITHFHWCRMDLCN33 /10GE.1 /Principal"/>
    <x v="0"/>
    <b v="0"/>
    <s v="No está en VPC"/>
    <n v="833"/>
    <s v="INTPG_ACC_833_1.17"/>
    <s v="ISEL-1.17"/>
    <n v="2"/>
    <s v="NO TIENE L3OUT"/>
    <n v="224"/>
    <n v="54"/>
  </r>
  <r>
    <n v="818"/>
    <x v="2"/>
    <x v="200"/>
    <s v="eth1/17"/>
    <x v="0"/>
    <x v="0"/>
    <x v="0"/>
    <s v="LINK_TO_ITHFHWCBSPSUSBD19 /Slot5.2 /Principal"/>
    <x v="0"/>
    <b v="0"/>
    <s v="No está en VPC"/>
    <n v="818"/>
    <s v="INTPG_VPC_818_1.17_823_1.17"/>
    <s v="ISEL-1.17"/>
    <n v="2"/>
    <s v="NO TIENE L3OUT"/>
    <n v="8"/>
    <n v="54"/>
  </r>
  <r>
    <n v="850"/>
    <x v="2"/>
    <x v="201"/>
    <s v="eth1/17"/>
    <x v="0"/>
    <x v="0"/>
    <x v="0"/>
    <s v="LINKT_TO_ITHFHWCRMPLCN121 / Slot7.1_12 / Redundante"/>
    <x v="0"/>
    <b v="0"/>
    <s v="No está en VPC"/>
    <n v="850"/>
    <s v="INTPG_ACC_850_1.17"/>
    <s v="ISEL-1.17"/>
    <n v="6"/>
    <s v="NO TIENE L3OUT"/>
    <n v="288"/>
    <n v="54"/>
  </r>
  <r>
    <n v="860"/>
    <x v="2"/>
    <x v="202"/>
    <s v="eth1/17"/>
    <x v="0"/>
    <x v="0"/>
    <x v="0"/>
    <s v="To_VPC_2DCBSD_HD28_2"/>
    <x v="0"/>
    <b v="0"/>
    <s v="No está en VPC"/>
    <n v="860"/>
    <s v="INTPG_VPC_860_1.17_865_1.17"/>
    <s v="ISEL-1.17"/>
    <n v="1"/>
    <s v="NO TIENE L3OUT"/>
    <n v="0"/>
    <n v="54"/>
  </r>
  <r>
    <n v="853"/>
    <x v="2"/>
    <x v="203"/>
    <s v="eth1/17"/>
    <x v="0"/>
    <x v="0"/>
    <x v="0"/>
    <s v="LINK_TO_ITHFHWCRMPLCN77 / Slot7.2_12 / Redundante"/>
    <x v="0"/>
    <b v="0"/>
    <s v="No está en VPC"/>
    <n v="853"/>
    <s v="INTPG_ACC_853_1.17"/>
    <s v="ISEL-1.17"/>
    <n v="2"/>
    <s v="NO TIENE L3OUT"/>
    <n v="242"/>
    <n v="54"/>
  </r>
  <r>
    <n v="790"/>
    <x v="2"/>
    <x v="204"/>
    <s v="eth1/17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17"/>
    <x v="0"/>
    <x v="0"/>
    <x v="0"/>
    <s v="NETEZZA"/>
    <x v="6"/>
    <b v="0"/>
    <s v="No está en VPC"/>
    <n v="105"/>
    <s v="INTPG_ACC_105_1.17"/>
    <s v="ISEL-1.17"/>
    <n v="1"/>
    <s v="NO TIENE L3OUT"/>
    <n v="106"/>
    <n v="96"/>
  </r>
  <r>
    <n v="117"/>
    <x v="0"/>
    <x v="206"/>
    <s v="eth1/17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17"/>
    <x v="0"/>
    <x v="1"/>
    <x v="1"/>
    <s v="SFLDI"/>
    <x v="6"/>
    <b v="0"/>
    <s v="No está en VPC"/>
    <n v="104"/>
    <s v="INTPG_ACC_104_1.17"/>
    <s v="ISEL-1.17"/>
    <n v="1"/>
    <s v="NO TIENE L3OUT"/>
    <n v="194"/>
    <n v="96"/>
  </r>
  <r>
    <n v="158"/>
    <x v="0"/>
    <x v="208"/>
    <s v="eth1/17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17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17"/>
    <x v="0"/>
    <x v="0"/>
    <x v="0"/>
    <s v="HACIA_CSI-B-OSCP-F4-13_SECUNDARIO"/>
    <x v="4"/>
    <b v="0"/>
    <s v="No está en VPC"/>
    <n v="879"/>
    <s v="INTPG_VPC_878_1.17_879_1.17"/>
    <s v="ISEL-1.17"/>
    <n v="2"/>
    <s v="NO TIENE L3OUT"/>
    <n v="0"/>
    <n v="54"/>
  </r>
  <r>
    <n v="108"/>
    <x v="0"/>
    <x v="211"/>
    <s v="eth1/17"/>
    <x v="0"/>
    <x v="0"/>
    <x v="0"/>
    <s v="TELLABS"/>
    <x v="6"/>
    <b v="0"/>
    <s v="No está en VPC"/>
    <n v="108"/>
    <s v="INTPG_ACC_108_1.17"/>
    <s v="ISEL-1.17"/>
    <n v="1"/>
    <s v="NO TIENE L3OUT"/>
    <n v="126"/>
    <n v="96"/>
  </r>
  <r>
    <n v="112"/>
    <x v="0"/>
    <x v="212"/>
    <s v="eth1/17"/>
    <x v="0"/>
    <x v="0"/>
    <x v="0"/>
    <s v="APROVISIONAMIENTO DE SERVICIOS"/>
    <x v="6"/>
    <b v="0"/>
    <s v="No está en VPC"/>
    <n v="112"/>
    <s v="INTPG_ACC_112_1.17"/>
    <s v="ISEL-1.17"/>
    <n v="1"/>
    <s v="NO TIENE L3OUT"/>
    <n v="144"/>
    <n v="96"/>
  </r>
  <r>
    <n v="107"/>
    <x v="0"/>
    <x v="213"/>
    <s v="eth1/17"/>
    <x v="0"/>
    <x v="0"/>
    <x v="0"/>
    <s v="CONSOLIDACION_ITHFOCCSLUAP01_REDUNDANTE"/>
    <x v="6"/>
    <b v="0"/>
    <s v="No está en VPC"/>
    <n v="107"/>
    <s v="INTPG_ACC_107_1.17"/>
    <s v="ISEL-1.17"/>
    <n v="1"/>
    <s v="NO TIENE L3OUT"/>
    <n v="118"/>
    <n v="96"/>
  </r>
  <r>
    <n v="109"/>
    <x v="0"/>
    <x v="214"/>
    <s v="eth1/17"/>
    <x v="0"/>
    <x v="0"/>
    <x v="0"/>
    <s v="TELLABS"/>
    <x v="6"/>
    <b v="0"/>
    <s v="No está en VPC"/>
    <n v="109"/>
    <s v="INTPG_ACC_109_1.17"/>
    <s v="ISEL-1.17"/>
    <n v="1"/>
    <s v="NO TIENE L3OUT"/>
    <n v="126"/>
    <n v="96"/>
  </r>
  <r>
    <n v="113"/>
    <x v="0"/>
    <x v="215"/>
    <s v="eth1/17"/>
    <x v="0"/>
    <x v="0"/>
    <x v="0"/>
    <s v="TO-ITHFERNTCTRIS02-Principal"/>
    <x v="6"/>
    <b v="0"/>
    <s v="No está en VPC"/>
    <n v="113"/>
    <s v="INTPG_ACC_113_1.17"/>
    <s v="ISEL-1.17"/>
    <n v="1"/>
    <s v="NO TIENE L3OUT"/>
    <n v="52"/>
    <n v="96"/>
  </r>
  <r>
    <n v="114"/>
    <x v="0"/>
    <x v="216"/>
    <s v="eth1/17"/>
    <x v="1"/>
    <x v="1"/>
    <x v="2"/>
    <s v="APROVISIONAMIENTO DE SERVICIOS"/>
    <x v="6"/>
    <b v="0"/>
    <s v="No está en VPC"/>
    <n v="114"/>
    <s v="INTPG_ACC_114_1.17"/>
    <s v="ISEL-1.17"/>
    <n v="1"/>
    <s v="NO TIENE L3OUT"/>
    <n v="144"/>
    <n v="96"/>
  </r>
  <r>
    <n v="124"/>
    <x v="0"/>
    <x v="217"/>
    <s v="eth1/17"/>
    <x v="0"/>
    <x v="0"/>
    <x v="0"/>
    <s v="UXSVA (M9000)"/>
    <x v="6"/>
    <b v="0"/>
    <s v="No está en VPC"/>
    <n v="124"/>
    <s v="INTPG_ACC_124_1.17"/>
    <s v="ISEL-1.17"/>
    <n v="1"/>
    <s v="NO TIENE L3OUT"/>
    <n v="80"/>
    <n v="96"/>
  </r>
  <r>
    <n v="118"/>
    <x v="0"/>
    <x v="218"/>
    <s v="eth1/17"/>
    <x v="0"/>
    <x v="0"/>
    <x v="0"/>
    <s v="COBROS NAVEGACION"/>
    <x v="6"/>
    <b v="0"/>
    <s v="No está en VPC"/>
    <n v="118"/>
    <s v="INTPG_ACC_118_1.17"/>
    <s v="ISEL-1.17"/>
    <n v="1"/>
    <s v="NO TIENE L3OUT"/>
    <n v="180"/>
    <n v="96"/>
  </r>
  <r>
    <n v="159"/>
    <x v="0"/>
    <x v="219"/>
    <s v="eth1/17"/>
    <x v="0"/>
    <x v="0"/>
    <x v="0"/>
    <m/>
    <x v="6"/>
    <b v="0"/>
    <s v="No está en VPC"/>
    <n v="159"/>
    <s v="INTPG_ACC_159_1.17"/>
    <s v="ISEL-1.17"/>
    <n v="1"/>
    <s v="NO TIENE L3OUT"/>
    <n v="72"/>
    <n v="96"/>
  </r>
  <r>
    <n v="840"/>
    <x v="2"/>
    <x v="220"/>
    <s v="eth1/17"/>
    <x v="0"/>
    <x v="0"/>
    <x v="0"/>
    <s v="LINK_TO_ITHFHWCBSPSWR59 / Slot7.2_30 / Redundante"/>
    <x v="0"/>
    <b v="0"/>
    <s v="No está en VPC"/>
    <n v="840"/>
    <s v="INTPG_VPC_835_1.17_840_1.17"/>
    <s v="ISEL-1.17"/>
    <n v="1"/>
    <s v="NO TIENE L3OUT"/>
    <n v="8"/>
    <n v="54"/>
  </r>
  <r>
    <n v="856"/>
    <x v="2"/>
    <x v="221"/>
    <s v="eth1/17"/>
    <x v="0"/>
    <x v="0"/>
    <x v="0"/>
    <s v="LINK_TO_ITHFHWCRMPLCN140 / Slot1.1_14 / Principal"/>
    <x v="0"/>
    <b v="0"/>
    <s v="No está en VPC"/>
    <n v="856"/>
    <s v="INTPG_ACC_856_1.17"/>
    <s v="ISEL-1.17"/>
    <n v="6"/>
    <s v="NO TIENE L3OUT"/>
    <n v="286"/>
    <n v="54"/>
  </r>
  <r>
    <n v="110"/>
    <x v="0"/>
    <x v="222"/>
    <s v="eth1/17"/>
    <x v="0"/>
    <x v="0"/>
    <x v="0"/>
    <s v="UXDX-DATOS"/>
    <x v="6"/>
    <b v="0"/>
    <s v="No está en VPC"/>
    <n v="110"/>
    <s v="INTPG_ACC_110_1.17"/>
    <s v="ISEL-1.17"/>
    <n v="1"/>
    <s v="NO TIENE L3OUT"/>
    <n v="102"/>
    <n v="96"/>
  </r>
  <r>
    <n v="163"/>
    <x v="0"/>
    <x v="223"/>
    <s v="eth1/17"/>
    <x v="0"/>
    <x v="0"/>
    <x v="0"/>
    <s v="SICOP"/>
    <x v="6"/>
    <b v="0"/>
    <s v="No está en VPC"/>
    <n v="163"/>
    <s v="INTPG_ACC_163_1.17"/>
    <s v="ISEL-1.17"/>
    <n v="1"/>
    <s v="NO TIENE L3OUT"/>
    <n v="140"/>
    <n v="96"/>
  </r>
  <r>
    <n v="407"/>
    <x v="1"/>
    <x v="224"/>
    <s v="eth1/17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17"/>
    <x v="0"/>
    <x v="1"/>
    <x v="1"/>
    <s v="OSS_3G_12_2_DATOS"/>
    <x v="6"/>
    <b v="0"/>
    <s v="No está en VPC"/>
    <n v="171"/>
    <s v="INTPG_VPC_171_1.6_17_172_1.6_15"/>
    <s v="ISEL-1.17"/>
    <n v="5"/>
    <s v="NO TIENE L3OUT"/>
    <n v="114"/>
    <n v="96"/>
  </r>
  <r>
    <n v="421"/>
    <x v="1"/>
    <x v="226"/>
    <s v="eth1/17"/>
    <x v="0"/>
    <x v="1"/>
    <x v="4"/>
    <s v="VMS_HW_VOZ"/>
    <x v="6"/>
    <b v="0"/>
    <s v="No está en VPC"/>
    <n v="421"/>
    <s v="INTPG_VPC_419_1.17_421_1.17"/>
    <s v="ISEL-1.17"/>
    <n v="1"/>
    <s v="NO TIENE L3OUT"/>
    <n v="72"/>
    <n v="96"/>
  </r>
  <r>
    <n v="173"/>
    <x v="0"/>
    <x v="227"/>
    <s v="eth1/17"/>
    <x v="0"/>
    <x v="0"/>
    <x v="0"/>
    <s v="ENIQ"/>
    <x v="6"/>
    <b v="0"/>
    <s v="No está en VPC"/>
    <n v="173"/>
    <s v="INTPG_ACC_173_1.17"/>
    <s v="ISEL-1.17"/>
    <n v="1"/>
    <s v="NO TIENE L3OUT"/>
    <n v="66"/>
    <n v="96"/>
  </r>
  <r>
    <n v="154"/>
    <x v="0"/>
    <x v="228"/>
    <s v="eth1/17"/>
    <x v="0"/>
    <x v="0"/>
    <x v="0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17"/>
    <x v="0"/>
    <x v="0"/>
    <x v="0"/>
    <s v="SOP-EAGLE"/>
    <x v="6"/>
    <b v="0"/>
    <s v="No está en VPC"/>
    <n v="172"/>
    <s v="INTPG_ACC_172_1.17"/>
    <s v="ISEL-1.17"/>
    <n v="1"/>
    <s v="NO TIENE L3OUT"/>
    <n v="104"/>
    <n v="96"/>
  </r>
  <r>
    <n v="420"/>
    <x v="1"/>
    <x v="230"/>
    <s v="eth1/17"/>
    <x v="0"/>
    <x v="0"/>
    <x v="0"/>
    <s v="sfmevp02"/>
    <x v="6"/>
    <b v="0"/>
    <s v="No está en VPC"/>
    <n v="420"/>
    <s v="INTPG_ACC_420_1.17"/>
    <s v="ISEL-1.17"/>
    <n v="1"/>
    <s v="NO TIENE L3OUT"/>
    <n v="158"/>
    <n v="96"/>
  </r>
  <r>
    <n v="423"/>
    <x v="1"/>
    <x v="231"/>
    <s v="eth1/17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17"/>
    <x v="0"/>
    <x v="0"/>
    <x v="0"/>
    <s v="OCC ITHCC1 GESTION"/>
    <x v="6"/>
    <b v="0"/>
    <s v="No está en VPC"/>
    <n v="415"/>
    <s v="INTPG_ACC_415_1.17"/>
    <s v="ISEL-1.17"/>
    <n v="1"/>
    <s v="NO TIENE L3OUT"/>
    <n v="52"/>
    <n v="96"/>
  </r>
  <r>
    <n v="102"/>
    <x v="0"/>
    <x v="233"/>
    <s v="eth1/17"/>
    <x v="0"/>
    <x v="1"/>
    <x v="1"/>
    <s v="SFLDI:RLDICDR02:1"/>
    <x v="6"/>
    <b v="0"/>
    <s v="No está en VPC"/>
    <n v="102"/>
    <s v="INTPG_ACC_102_1.17"/>
    <s v="ISEL-1.17"/>
    <n v="1"/>
    <s v="NO TIENE L3OUT"/>
    <n v="228"/>
    <n v="96"/>
  </r>
  <r>
    <n v="863"/>
    <x v="2"/>
    <x v="234"/>
    <s v="eth1/17"/>
    <x v="0"/>
    <x v="0"/>
    <x v="0"/>
    <s v="To_VPC_2DCBSD_HD42_2"/>
    <x v="0"/>
    <b v="0"/>
    <s v="No está en VPC"/>
    <n v="863"/>
    <s v="INTPG_VPC_858_1.17_863_1.17"/>
    <s v="ISEL-1.17"/>
    <n v="1"/>
    <s v="NO TIENE L3OUT"/>
    <n v="8"/>
    <n v="54"/>
  </r>
  <r>
    <n v="876"/>
    <x v="2"/>
    <x v="235"/>
    <s v="eth1/17"/>
    <x v="0"/>
    <x v="0"/>
    <x v="0"/>
    <s v="LINK_TO_ITHFHWSEQLIMPS28 / Slot 4 PTO 1 / Principal"/>
    <x v="4"/>
    <b v="0"/>
    <s v="No está en VPC"/>
    <n v="876"/>
    <s v="INTPG_ACC_876_1.17"/>
    <s v="ISEL-1.17"/>
    <n v="1"/>
    <s v="NO TIENE L3OUT"/>
    <n v="92"/>
    <n v="54"/>
  </r>
  <r>
    <n v="877"/>
    <x v="2"/>
    <x v="236"/>
    <s v="eth1/17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17"/>
    <x v="0"/>
    <x v="1"/>
    <x v="1"/>
    <s v="ixtamws2"/>
    <x v="6"/>
    <b v="0"/>
    <s v="No está en VPC"/>
    <n v="122"/>
    <s v="INTPG_ACC_122_1.17"/>
    <s v="ISEL-1.17"/>
    <n v="1"/>
    <s v="NO TIENE L3OUT"/>
    <n v="148"/>
    <n v="96"/>
  </r>
  <r>
    <n v="157"/>
    <x v="0"/>
    <x v="238"/>
    <s v="eth1/17"/>
    <x v="1"/>
    <x v="1"/>
    <x v="2"/>
    <s v="Consolidaci\u00f3n Aplicaciones Prepago"/>
    <x v="6"/>
    <b v="0"/>
    <s v="No está en VPC"/>
    <n v="157"/>
    <s v="INTPG_ACC_157_1.17"/>
    <s v="ISEL-1.17"/>
    <n v="0"/>
    <s v="NO TIENE L3OUT"/>
    <n v="202"/>
    <n v="96"/>
  </r>
  <r>
    <n v="408"/>
    <x v="1"/>
    <x v="239"/>
    <s v="eth1/17"/>
    <x v="0"/>
    <x v="0"/>
    <x v="0"/>
    <s v="UXCA_EXADATA_MGMT"/>
    <x v="6"/>
    <b v="0"/>
    <s v="No está en VPC"/>
    <n v="408"/>
    <s v="INTPG_ACC_408_1.17"/>
    <s v="ISEL-1.17"/>
    <n v="1"/>
    <s v="NO TIENE L3OUT"/>
    <n v="152"/>
    <n v="96"/>
  </r>
  <r>
    <n v="405"/>
    <x v="1"/>
    <x v="240"/>
    <s v="eth1/17"/>
    <x v="0"/>
    <x v="0"/>
    <x v="0"/>
    <s v="XL5 RLR5ARI07 iLO"/>
    <x v="6"/>
    <b v="0"/>
    <s v="No está en VPC"/>
    <n v="405"/>
    <s v="INTPG_ACC_405_1.17"/>
    <s v="ISEL-1.17"/>
    <n v="1"/>
    <s v="NO TIENE L3OUT"/>
    <n v="138"/>
    <n v="96"/>
  </r>
  <r>
    <n v="169"/>
    <x v="0"/>
    <x v="241"/>
    <s v="eth1/17"/>
    <x v="1"/>
    <x v="1"/>
    <x v="2"/>
    <s v="MMSC_WAPGW"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17"/>
    <x v="0"/>
    <x v="1"/>
    <x v="1"/>
    <s v="UXLDAP"/>
    <x v="6"/>
    <b v="0"/>
    <s v="No está en VPC"/>
    <n v="165"/>
    <s v="INTPG_ACC_165_1.17"/>
    <s v="ISEL-1.17"/>
    <n v="1"/>
    <s v="NO TIENE L3OUT"/>
    <n v="86"/>
    <n v="96"/>
  </r>
  <r>
    <n v="417"/>
    <x v="1"/>
    <x v="243"/>
    <s v="eth1/17"/>
    <x v="0"/>
    <x v="0"/>
    <x v="0"/>
    <s v="IXTSRM2_VM1"/>
    <x v="6"/>
    <b v="0"/>
    <s v="No está en VPC"/>
    <n v="417"/>
    <s v="INTPG_ACC_417_1.17"/>
    <s v="ISEL-1.17"/>
    <n v="1"/>
    <s v="NO TIENE L3OUT"/>
    <n v="56"/>
    <n v="96"/>
  </r>
  <r>
    <n v="153"/>
    <x v="0"/>
    <x v="244"/>
    <s v="eth1/17"/>
    <x v="0"/>
    <x v="1"/>
    <x v="1"/>
    <s v="BLOQUEO EMEI"/>
    <x v="6"/>
    <b v="0"/>
    <s v="No está en VPC"/>
    <n v="153"/>
    <s v="INTPG_ACC_153_1.17"/>
    <s v="ISEL-1.17"/>
    <n v="1"/>
    <s v="NO TIENE L3OUT"/>
    <n v="42"/>
    <n v="96"/>
  </r>
  <r>
    <n v="119"/>
    <x v="0"/>
    <x v="245"/>
    <s v="eth1/17"/>
    <x v="1"/>
    <x v="1"/>
    <x v="2"/>
    <s v="DESC"/>
    <x v="6"/>
    <b v="0"/>
    <s v="No está en VPC"/>
    <n v="119"/>
    <s v="INTPG_PC_119_1.1-4_17-20"/>
    <s v="ISEL-1.17"/>
    <n v="31"/>
    <s v="NO TIENE L3OUT"/>
    <n v="70"/>
    <n v="96"/>
  </r>
  <r>
    <n v="156"/>
    <x v="0"/>
    <x v="246"/>
    <s v="eth1/17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17"/>
    <x v="0"/>
    <x v="0"/>
    <x v="0"/>
    <s v="EHEALTH:ehealthp01:ILOM"/>
    <x v="6"/>
    <b v="0"/>
    <s v="No está en VPC"/>
    <n v="103"/>
    <s v="INTPG_ACC_103_1.17"/>
    <s v="ISEL-1.17"/>
    <n v="1"/>
    <s v="NO TIENE L3OUT"/>
    <n v="70"/>
    <n v="96"/>
  </r>
  <r>
    <n v="438"/>
    <x v="1"/>
    <x v="248"/>
    <s v="eth1/17"/>
    <x v="0"/>
    <x v="0"/>
    <x v="0"/>
    <s v="HP_MSA_2040_(ARREGLO)"/>
    <x v="6"/>
    <b v="0"/>
    <s v="No está en VPC"/>
    <n v="438"/>
    <s v="INTPG_ACC_438_1.17"/>
    <s v="ISEL-1.17"/>
    <n v="1"/>
    <s v="NO TIENE L3OUT"/>
    <n v="170"/>
    <n v="96"/>
  </r>
  <r>
    <n v="406"/>
    <x v="1"/>
    <x v="249"/>
    <s v="eth1/17"/>
    <x v="0"/>
    <x v="0"/>
    <x v="0"/>
    <s v="ITHRTC41VC1"/>
    <x v="6"/>
    <b v="0"/>
    <s v="No está en VPC"/>
    <n v="406"/>
    <s v="INTPG_VPC_404_1.17_406_1.17"/>
    <s v="ISEL-1.17"/>
    <n v="1"/>
    <s v="NO TIENE L3OUT"/>
    <n v="82"/>
    <n v="96"/>
  </r>
  <r>
    <n v="414"/>
    <x v="1"/>
    <x v="250"/>
    <s v="eth1/17"/>
    <x v="0"/>
    <x v="0"/>
    <x v="0"/>
    <s v="9UCS-IXTLA-WEBEX-SERV4"/>
    <x v="6"/>
    <b v="0"/>
    <s v="No está en VPC"/>
    <n v="414"/>
    <s v="INTPG_ACC_414_1.17"/>
    <s v="ISEL-1.17"/>
    <n v="2"/>
    <s v="NO TIENE L3OUT"/>
    <n v="144"/>
    <n v="96"/>
  </r>
  <r>
    <n v="416"/>
    <x v="1"/>
    <x v="251"/>
    <s v="eth1/17"/>
    <x v="0"/>
    <x v="0"/>
    <x v="0"/>
    <s v="sftest02-MEDVOZ_CLIENT3"/>
    <x v="6"/>
    <b v="0"/>
    <s v="No está en VPC"/>
    <n v="416"/>
    <s v="INTPG_VPC_416_1.17_418_1.17"/>
    <s v="ISEL-1.17"/>
    <n v="1"/>
    <s v="NO TIENE L3OUT"/>
    <n v="110"/>
    <n v="96"/>
  </r>
  <r>
    <n v="418"/>
    <x v="1"/>
    <x v="252"/>
    <s v="eth1/17"/>
    <x v="0"/>
    <x v="0"/>
    <x v="0"/>
    <s v="sftest02-MEDVOZ_CLIENT3"/>
    <x v="6"/>
    <b v="0"/>
    <s v="No está en VPC"/>
    <n v="418"/>
    <s v="INTPG_VPC_416_1.17_418_1.17"/>
    <s v="ISEL-1.17"/>
    <n v="1"/>
    <s v="NO TIENE L3OUT"/>
    <n v="152"/>
    <n v="96"/>
  </r>
  <r>
    <n v="413"/>
    <x v="1"/>
    <x v="253"/>
    <s v="eth1/17"/>
    <x v="0"/>
    <x v="0"/>
    <x v="0"/>
    <s v="lagidmhlapvp06_produccion1"/>
    <x v="6"/>
    <b v="0"/>
    <s v="No está en VPC"/>
    <n v="413"/>
    <s v="INTPG_VPC_411_1.21-24_413_1.14-17"/>
    <s v="ISEL-1.17"/>
    <n v="2"/>
    <s v="NO TIENE L3OUT"/>
    <n v="126"/>
    <n v="96"/>
  </r>
  <r>
    <n v="403"/>
    <x v="1"/>
    <x v="254"/>
    <s v="eth1/17"/>
    <x v="0"/>
    <x v="0"/>
    <x v="0"/>
    <s v="XL5 RLR5ARI07"/>
    <x v="6"/>
    <b v="0"/>
    <s v="No está en VPC"/>
    <n v="403"/>
    <s v="INTPG_ACC_403_1.17"/>
    <s v="ISEL-1.17"/>
    <n v="1"/>
    <s v="NO TIENE L3OUT"/>
    <n v="150"/>
    <n v="96"/>
  </r>
  <r>
    <n v="125"/>
    <x v="0"/>
    <x v="255"/>
    <s v="eth1/17"/>
    <x v="0"/>
    <x v="1"/>
    <x v="1"/>
    <s v="OSSDD890 Rack1"/>
    <x v="6"/>
    <b v="0"/>
    <s v="No está en VPC"/>
    <n v="125"/>
    <s v="INTPG_ACC_125_1.17"/>
    <s v="ISEL-1.17"/>
    <n v="1"/>
    <s v="NO TIENE L3OUT"/>
    <n v="72"/>
    <n v="96"/>
  </r>
  <r>
    <n v="166"/>
    <x v="0"/>
    <x v="256"/>
    <s v="eth1/17"/>
    <x v="0"/>
    <x v="0"/>
    <x v="0"/>
    <s v="UXLDAP"/>
    <x v="6"/>
    <b v="0"/>
    <s v="No está en VPC"/>
    <n v="166"/>
    <s v="INTPG_ACC_166_1.17"/>
    <s v="ISEL-1.17"/>
    <n v="1"/>
    <s v="NO TIENE L3OUT"/>
    <n v="84"/>
    <n v="96"/>
  </r>
  <r>
    <n v="111"/>
    <x v="0"/>
    <x v="257"/>
    <s v="eth1/17"/>
    <x v="0"/>
    <x v="0"/>
    <x v="0"/>
    <s v="UXDX-DATOS"/>
    <x v="6"/>
    <b v="0"/>
    <s v="No está en VPC"/>
    <n v="111"/>
    <s v="INTPG_ACC_111_1.17"/>
    <s v="ISEL-1.17"/>
    <n v="1"/>
    <s v="NO TIENE L3OUT"/>
    <n v="58"/>
    <n v="96"/>
  </r>
  <r>
    <n v="115"/>
    <x v="0"/>
    <x v="258"/>
    <s v="eth1/17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17"/>
    <x v="0"/>
    <x v="0"/>
    <x v="0"/>
    <m/>
    <x v="6"/>
    <b v="0"/>
    <s v="No está en VPC"/>
    <n v="106"/>
    <s v="INTPG_ACC_106_1.17"/>
    <s v="ISEL-1.17"/>
    <n v="1"/>
    <s v="NO TIENE L3OUT"/>
    <n v="122"/>
    <n v="96"/>
  </r>
  <r>
    <n v="126"/>
    <x v="0"/>
    <x v="260"/>
    <s v="eth1/17"/>
    <x v="0"/>
    <x v="0"/>
    <x v="0"/>
    <s v="ENIQ_VNX_5400-1_SPB_2RO"/>
    <x v="6"/>
    <b v="0"/>
    <s v="No está en VPC"/>
    <n v="126"/>
    <s v="INTPG_ACC_126_1.17"/>
    <s v="ISEL-1.17"/>
    <n v="1"/>
    <s v="NO TIENE L3OUT"/>
    <n v="54"/>
    <n v="96"/>
  </r>
  <r>
    <n v="425"/>
    <x v="1"/>
    <x v="261"/>
    <s v="eth1/17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17"/>
    <x v="0"/>
    <x v="0"/>
    <x v="0"/>
    <s v="NetNumen"/>
    <x v="6"/>
    <b v="0"/>
    <s v="No está en VPC"/>
    <n v="151"/>
    <s v="INTPG_ACC_151_1.17"/>
    <s v="ISEL-1.17"/>
    <n v="1"/>
    <s v="NO TIENE L3OUT"/>
    <n v="86"/>
    <n v="96"/>
  </r>
  <r>
    <n v="430"/>
    <x v="1"/>
    <x v="263"/>
    <s v="eth1/17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17"/>
    <x v="0"/>
    <x v="0"/>
    <x v="0"/>
    <s v="VMS_HW_VOZ"/>
    <x v="6"/>
    <b v="0"/>
    <s v="No está en VPC"/>
    <n v="419"/>
    <s v="INTPG_VPC_419_1.17_421_1.17"/>
    <s v="ISEL-1.17"/>
    <n v="1"/>
    <s v="NO TIENE L3OUT"/>
    <n v="70"/>
    <n v="96"/>
  </r>
  <r>
    <n v="155"/>
    <x v="0"/>
    <x v="265"/>
    <s v="eth1/17"/>
    <x v="0"/>
    <x v="0"/>
    <x v="0"/>
    <s v="COBROS NAVEGACION"/>
    <x v="6"/>
    <b v="0"/>
    <s v="No está en VPC"/>
    <n v="155"/>
    <s v="INTPG_ACC_155_1.17"/>
    <s v="ISEL-1.17"/>
    <n v="1"/>
    <s v="NO TIENE L3OUT"/>
    <n v="198"/>
    <n v="96"/>
  </r>
  <r>
    <n v="409"/>
    <x v="1"/>
    <x v="266"/>
    <s v="eth1/17"/>
    <x v="0"/>
    <x v="0"/>
    <x v="0"/>
    <s v="IXT_SIEU"/>
    <x v="6"/>
    <b v="0"/>
    <s v="No está en VPC"/>
    <n v="409"/>
    <s v="INTPG_ACC_409_1.17"/>
    <s v="ISEL-1.17"/>
    <n v="1"/>
    <s v="NO TIENE L3OUT"/>
    <n v="128"/>
    <n v="96"/>
  </r>
  <r>
    <n v="422"/>
    <x v="1"/>
    <x v="267"/>
    <s v="eth1/17"/>
    <x v="0"/>
    <x v="0"/>
    <x v="0"/>
    <s v="TO-ITHFDEOCP1LWR07-REDUNDANTE"/>
    <x v="6"/>
    <b v="0"/>
    <s v="No está en VPC"/>
    <n v="422"/>
    <s v="INTPG_ACC_422_1.17"/>
    <s v="ISEL-1.17"/>
    <n v="1"/>
    <s v="NO TIENE L3OUT"/>
    <n v="182"/>
    <n v="96"/>
  </r>
  <r>
    <n v="436"/>
    <x v="1"/>
    <x v="268"/>
    <s v="eth1/17"/>
    <x v="0"/>
    <x v="0"/>
    <x v="0"/>
    <s v="HP_MSA_2040_(ARREGLO)"/>
    <x v="6"/>
    <b v="0"/>
    <s v="No está en VPC"/>
    <n v="436"/>
    <s v="INTPG_ACC_436_1.17"/>
    <s v="ISEL-1.17"/>
    <n v="1"/>
    <s v="NO TIENE L3OUT"/>
    <n v="172"/>
    <n v="96"/>
  </r>
  <r>
    <n v="410"/>
    <x v="1"/>
    <x v="269"/>
    <s v="eth1/17"/>
    <x v="0"/>
    <x v="0"/>
    <x v="0"/>
    <s v="ITHMSNUBE1_ITH0"/>
    <x v="6"/>
    <b v="0"/>
    <s v="No está en VPC"/>
    <n v="410"/>
    <s v="INTPG_ACC_410_1.17"/>
    <s v="ISEL-1.17"/>
    <n v="1"/>
    <s v="NO TIENE L3OUT"/>
    <n v="178"/>
    <n v="96"/>
  </r>
  <r>
    <n v="161"/>
    <x v="0"/>
    <x v="270"/>
    <s v="eth1/17"/>
    <x v="0"/>
    <x v="0"/>
    <x v="0"/>
    <s v="SICOP"/>
    <x v="6"/>
    <b v="0"/>
    <s v="No está en VPC"/>
    <n v="161"/>
    <s v="INTPG_ACC_161_1.17"/>
    <s v="ISEL-1.17"/>
    <n v="1"/>
    <s v="NO TIENE L3OUT"/>
    <n v="102"/>
    <n v="96"/>
  </r>
  <r>
    <n v="411"/>
    <x v="1"/>
    <x v="271"/>
    <s v="eth1/17"/>
    <x v="0"/>
    <x v="0"/>
    <x v="0"/>
    <s v="GESTOR"/>
    <x v="6"/>
    <b v="0"/>
    <s v="No está en VPC"/>
    <n v="411"/>
    <s v="INTPG_ACC_411_1.17"/>
    <s v="ISEL-1.17"/>
    <n v="1"/>
    <s v="NO TIENE L3OUT"/>
    <n v="96"/>
    <n v="96"/>
  </r>
  <r>
    <n v="116"/>
    <x v="0"/>
    <x v="272"/>
    <s v="eth1/17"/>
    <x v="0"/>
    <x v="0"/>
    <x v="0"/>
    <s v="COBROS NAVEGACION"/>
    <x v="6"/>
    <b v="0"/>
    <s v="No está en VPC"/>
    <n v="116"/>
    <s v="INTPG_ACC_116_1.17"/>
    <s v="ISEL-1.17"/>
    <n v="1"/>
    <s v="NO TIENE L3OUT"/>
    <n v="148"/>
    <n v="96"/>
  </r>
  <r>
    <n v="412"/>
    <x v="1"/>
    <x v="273"/>
    <s v="eth1/17"/>
    <x v="0"/>
    <x v="0"/>
    <x v="0"/>
    <s v="RESPAL_CS5_ASAP8"/>
    <x v="6"/>
    <b v="0"/>
    <s v="No está en VPC"/>
    <n v="412"/>
    <s v="INTPG_ACC_412_1.17"/>
    <s v="ISEL-1.17"/>
    <n v="1"/>
    <s v="NO TIENE L3OUT"/>
    <n v="126"/>
    <n v="96"/>
  </r>
  <r>
    <n v="120"/>
    <x v="0"/>
    <x v="274"/>
    <s v="eth1/17"/>
    <x v="1"/>
    <x v="1"/>
    <x v="2"/>
    <s v="ixtamws2"/>
    <x v="6"/>
    <b v="0"/>
    <s v="No está en VPC"/>
    <n v="120"/>
    <s v="INTPG_ACC_120_1.17"/>
    <s v="ISEL-1.17"/>
    <n v="1"/>
    <s v="NO TIENE L3OUT"/>
    <n v="158"/>
    <n v="96"/>
  </r>
  <r>
    <n v="404"/>
    <x v="1"/>
    <x v="275"/>
    <s v="eth1/17"/>
    <x v="0"/>
    <x v="0"/>
    <x v="0"/>
    <s v="ITHRTC41VC1"/>
    <x v="6"/>
    <b v="0"/>
    <s v="No está en VPC"/>
    <n v="404"/>
    <s v="INTPG_VPC_404_1.17_406_1.17"/>
    <s v="ISEL-1.17"/>
    <n v="1"/>
    <s v="NO TIENE L3OUT"/>
    <n v="92"/>
    <n v="96"/>
  </r>
  <r>
    <n v="167"/>
    <x v="0"/>
    <x v="276"/>
    <s v="eth1/17"/>
    <x v="0"/>
    <x v="0"/>
    <x v="0"/>
    <s v="CIMC_HACIA_UCS_9UCS-IXTLA-SERV2"/>
    <x v="6"/>
    <b v="0"/>
    <s v="No está en VPC"/>
    <n v="167"/>
    <s v="INTPG_ACC_167_1.17"/>
    <s v="ISEL-1.17"/>
    <n v="1"/>
    <s v="NO TIENE L3OUT"/>
    <n v="68"/>
    <n v="96"/>
  </r>
  <r>
    <n v="428"/>
    <x v="1"/>
    <x v="277"/>
    <s v="eth1/17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903"/>
    <x v="2"/>
    <x v="278"/>
    <s v="eth1/1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1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18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18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18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18"/>
    <x v="0"/>
    <x v="0"/>
    <x v="0"/>
    <s v="TO-ITHFDEVYCWPBD01"/>
    <x v="0"/>
    <b v="0"/>
    <s v="No está en VPC"/>
    <n v="101"/>
    <s v="INTPG_VPC_101_1.18_150_1.18"/>
    <s v="ISEL-1.18"/>
    <n v="1"/>
    <s v="NO TIENE L3OUT"/>
    <n v="114"/>
    <n v="54"/>
  </r>
  <r>
    <n v="160"/>
    <x v="0"/>
    <x v="4"/>
    <s v="eth1/18"/>
    <x v="0"/>
    <x v="0"/>
    <x v="0"/>
    <m/>
    <x v="1"/>
    <b v="0"/>
    <s v="No está en VPC"/>
    <n v="160"/>
    <s v="INTPG_ACC_160_1.18"/>
    <s v="ISEL-1.18"/>
    <n v="1"/>
    <s v="NO TIENE L3OUT"/>
    <n v="68"/>
    <n v="54"/>
  </r>
  <r>
    <n v="121"/>
    <x v="0"/>
    <x v="5"/>
    <s v="eth1/18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18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18"/>
    <x v="0"/>
    <x v="0"/>
    <x v="0"/>
    <s v="MEDIACION_HUAWEI"/>
    <x v="0"/>
    <b v="0"/>
    <s v="No está en VPC"/>
    <n v="401"/>
    <s v="INTPG_VPC_401_1.18_402_1.18"/>
    <s v="ISEL-1.18"/>
    <n v="1"/>
    <s v="NO TIENE L3OUT"/>
    <n v="40"/>
    <n v="54"/>
  </r>
  <r>
    <n v="402"/>
    <x v="1"/>
    <x v="8"/>
    <s v="eth1/18"/>
    <x v="0"/>
    <x v="0"/>
    <x v="0"/>
    <s v="MEDIACION_HUAWEI"/>
    <x v="0"/>
    <b v="0"/>
    <s v="No está en VPC"/>
    <n v="402"/>
    <s v="INTPG_VPC_401_1.18_402_1.18"/>
    <s v="ISEL-1.18"/>
    <n v="1"/>
    <s v="NO TIENE L3OUT"/>
    <n v="36"/>
    <n v="54"/>
  </r>
  <r>
    <n v="447"/>
    <x v="1"/>
    <x v="9"/>
    <s v="eth1/18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18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18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18"/>
    <x v="0"/>
    <x v="0"/>
    <x v="0"/>
    <s v="TO-ITHFDEVYCWPBD01"/>
    <x v="0"/>
    <b v="0"/>
    <s v="No está en VPC"/>
    <n v="150"/>
    <s v="INTPG_VPC_101_1.18_150_1.18"/>
    <s v="ISEL-1.18"/>
    <n v="1"/>
    <s v="NO TIENE L3OUT"/>
    <n v="118"/>
    <n v="54"/>
  </r>
  <r>
    <n v="131"/>
    <x v="0"/>
    <x v="13"/>
    <s v="eth1/18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18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18"/>
    <x v="0"/>
    <x v="0"/>
    <x v="0"/>
    <s v="TO-ITHHWD6KV60002-NASLACP2-DORADO"/>
    <x v="2"/>
    <b v="0"/>
    <s v="No está en VPC"/>
    <n v="758"/>
    <s v="INTPG_VPC_758_1.18_759_1.18"/>
    <s v="ISEL-1.18"/>
    <n v="15"/>
    <s v="NO TIENE L3OUT"/>
    <n v="0"/>
    <n v="42"/>
  </r>
  <r>
    <n v="759"/>
    <x v="2"/>
    <x v="16"/>
    <s v="eth1/18"/>
    <x v="0"/>
    <x v="0"/>
    <x v="0"/>
    <s v="TO-ITHHWD6KV60002-NASLACP2-DORADO"/>
    <x v="2"/>
    <b v="0"/>
    <s v="No está en VPC"/>
    <n v="759"/>
    <s v="INTPG_VPC_758_1.18_759_1.18"/>
    <s v="ISEL-1.18"/>
    <n v="15"/>
    <s v="NO TIENE L3OUT"/>
    <n v="0"/>
    <n v="42"/>
  </r>
  <r>
    <n v="302"/>
    <x v="0"/>
    <x v="17"/>
    <s v="eth1/18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18"/>
    <x v="0"/>
    <x v="0"/>
    <x v="0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18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18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18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18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18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18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18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18"/>
    <x v="0"/>
    <x v="0"/>
    <x v="0"/>
    <s v="ZTE_HADOOP_produccion_client_LAG"/>
    <x v="0"/>
    <b v="0"/>
    <s v="No está en VPC"/>
    <n v="431"/>
    <s v="INTPG_VPC_431_1.18-21_448_1.18-21"/>
    <s v="ISEL-1.18"/>
    <n v="8"/>
    <s v="NO TIENE L3OUT"/>
    <n v="46"/>
    <n v="54"/>
  </r>
  <r>
    <n v="433"/>
    <x v="1"/>
    <x v="27"/>
    <s v="eth1/18"/>
    <x v="0"/>
    <x v="0"/>
    <x v="0"/>
    <s v="IXT_IS_2_eth1_Primario"/>
    <x v="1"/>
    <b v="0"/>
    <s v="No está en VPC"/>
    <n v="433"/>
    <s v="INTPG_ACC_433_1.18"/>
    <s v="ISEL-1.18"/>
    <n v="1"/>
    <s v="NO TIENE L3OUT"/>
    <n v="42"/>
    <n v="54"/>
  </r>
  <r>
    <n v="429"/>
    <x v="1"/>
    <x v="28"/>
    <s v="eth1/18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18"/>
    <x v="0"/>
    <x v="1"/>
    <x v="1"/>
    <s v="SecAnLG_Gb2_02-Correlacionador-IXTSALG_ESA1"/>
    <x v="1"/>
    <b v="0"/>
    <s v="No está en VPC"/>
    <n v="432"/>
    <s v="INTPG_ACC_432_1.18"/>
    <s v="ISEL-1.18"/>
    <n v="1"/>
    <s v="NO TIENE L3OUT"/>
    <n v="54"/>
    <n v="54"/>
  </r>
  <r>
    <n v="442"/>
    <x v="1"/>
    <x v="30"/>
    <s v="eth1/18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18"/>
    <x v="0"/>
    <x v="0"/>
    <x v="0"/>
    <s v="Gestor_SBCs_Secundario"/>
    <x v="1"/>
    <b v="0"/>
    <s v="No está en VPC"/>
    <n v="434"/>
    <s v="INTPG_ACC_434_1.18"/>
    <s v="ISEL-1.18"/>
    <n v="1"/>
    <s v="NO TIENE L3OUT"/>
    <n v="34"/>
    <n v="54"/>
  </r>
  <r>
    <n v="707"/>
    <x v="2"/>
    <x v="32"/>
    <s v="eth1/18"/>
    <x v="0"/>
    <x v="1"/>
    <x v="3"/>
    <s v="CEM:ITHCEMG2RTB09:LOM P3"/>
    <x v="0"/>
    <b v="0"/>
    <s v="No está en VPC"/>
    <n v="707"/>
    <s v="INTPG_ACC_707_1.18"/>
    <s v="ISEL-1.18"/>
    <n v="1"/>
    <s v="NO TIENE L3OUT"/>
    <n v="54"/>
    <n v="54"/>
  </r>
  <r>
    <n v="712"/>
    <x v="2"/>
    <x v="33"/>
    <s v="eth1/18"/>
    <x v="0"/>
    <x v="1"/>
    <x v="5"/>
    <s v="CEM:ITHCEMA2AKF09:LOM  P2"/>
    <x v="0"/>
    <b v="0"/>
    <s v="No está en VPC"/>
    <n v="712"/>
    <s v="INTPG_VPC_713_1.17_712_1.18"/>
    <s v="ISEL-1.18"/>
    <n v="1"/>
    <s v="NO TIENE L3OUT"/>
    <n v="32"/>
    <n v="54"/>
  </r>
  <r>
    <n v="719"/>
    <x v="2"/>
    <x v="34"/>
    <s v="eth1/18"/>
    <x v="0"/>
    <x v="0"/>
    <x v="0"/>
    <m/>
    <x v="0"/>
    <b v="0"/>
    <s v="No está en VPC"/>
    <n v="719"/>
    <s v="INTPG-VPC_CMG01_720_1.17_719_1.18"/>
    <s v="ISEL-1.18"/>
    <n v="1"/>
    <s v="NO TIENE L3OUT"/>
    <n v="0"/>
    <n v="54"/>
  </r>
  <r>
    <n v="715"/>
    <x v="2"/>
    <x v="35"/>
    <s v="eth1/18"/>
    <x v="0"/>
    <x v="0"/>
    <x v="0"/>
    <m/>
    <x v="0"/>
    <b v="0"/>
    <s v="No está en VPC"/>
    <n v="715"/>
    <s v="INTPG-VPC_HDD31_716_1.17_715_1.18"/>
    <s v="ISEL-1.18"/>
    <n v="1"/>
    <s v="NO TIENE L3OUT"/>
    <n v="0"/>
    <n v="54"/>
  </r>
  <r>
    <n v="427"/>
    <x v="1"/>
    <x v="36"/>
    <s v="eth1/18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18"/>
    <x v="0"/>
    <x v="1"/>
    <x v="5"/>
    <s v="CEM:ITHCEMD2AKF09:LOM  P2"/>
    <x v="0"/>
    <b v="0"/>
    <s v="No está en VPC"/>
    <n v="711"/>
    <s v="INTPG_VPC_710_1.17_711_1.18"/>
    <s v="ISEL-1.18"/>
    <n v="1"/>
    <s v="NO TIENE L3OUT"/>
    <n v="16"/>
    <n v="54"/>
  </r>
  <r>
    <n v="716"/>
    <x v="2"/>
    <x v="38"/>
    <s v="eth1/18"/>
    <x v="0"/>
    <x v="0"/>
    <x v="0"/>
    <m/>
    <x v="0"/>
    <b v="0"/>
    <s v="No está en VPC"/>
    <n v="716"/>
    <s v="INTPG-VPC_HDD40_715_1.17_716_1.18"/>
    <s v="ISEL-1.18"/>
    <n v="1"/>
    <s v="NO TIENE L3OUT"/>
    <n v="0"/>
    <n v="54"/>
  </r>
  <r>
    <n v="702"/>
    <x v="2"/>
    <x v="39"/>
    <s v="eth1/18"/>
    <x v="0"/>
    <x v="0"/>
    <x v="0"/>
    <m/>
    <x v="0"/>
    <b v="0"/>
    <s v="No está en VPC"/>
    <n v="702"/>
    <s v="INTPG_VPC_701_1.17_702_1.18"/>
    <s v="ISEL-1.18"/>
    <n v="2"/>
    <s v="NO TIENE L3OUT"/>
    <n v="0"/>
    <n v="54"/>
  </r>
  <r>
    <n v="435"/>
    <x v="1"/>
    <x v="40"/>
    <s v="eth1/18"/>
    <x v="0"/>
    <x v="0"/>
    <x v="0"/>
    <s v="IXT_IS_3_eth1_Secundario"/>
    <x v="1"/>
    <b v="0"/>
    <s v="No está en VPC"/>
    <n v="435"/>
    <s v="INTPG_ACC_435_1.18"/>
    <s v="ISEL-1.18"/>
    <n v="1"/>
    <s v="NO TIENE L3OUT"/>
    <n v="34"/>
    <n v="54"/>
  </r>
  <r>
    <n v="446"/>
    <x v="1"/>
    <x v="41"/>
    <s v="eth1/18"/>
    <x v="0"/>
    <x v="0"/>
    <x v="0"/>
    <s v="TO-ITHFDLMCLWLCN01"/>
    <x v="0"/>
    <b v="0"/>
    <s v="No está en VPC"/>
    <n v="446"/>
    <s v="INTPG_VPC_446_1.18_444_1.17"/>
    <s v="ISEL-1.18"/>
    <n v="3"/>
    <s v="NO TIENE L3OUT"/>
    <n v="198"/>
    <n v="54"/>
  </r>
  <r>
    <n v="444"/>
    <x v="1"/>
    <x v="42"/>
    <s v="eth1/18"/>
    <x v="0"/>
    <x v="0"/>
    <x v="0"/>
    <m/>
    <x v="0"/>
    <b v="0"/>
    <s v="No está en VPC"/>
    <n v="444"/>
    <s v="INTPG_ACC_444_1.18"/>
    <s v="ISEL-1.18"/>
    <n v="9"/>
    <s v="NO TIENE L3OUT"/>
    <n v="234"/>
    <n v="54"/>
  </r>
  <r>
    <n v="701"/>
    <x v="2"/>
    <x v="43"/>
    <s v="eth1/18"/>
    <x v="0"/>
    <x v="0"/>
    <x v="0"/>
    <m/>
    <x v="0"/>
    <b v="0"/>
    <s v="No está en VPC"/>
    <n v="701"/>
    <s v="INTPG_VPC_702_1.17_701_1.18"/>
    <s v="ISEL-1.18"/>
    <n v="1"/>
    <s v="NO TIENE L3OUT"/>
    <n v="0"/>
    <n v="54"/>
  </r>
  <r>
    <n v="440"/>
    <x v="1"/>
    <x v="44"/>
    <s v="eth1/18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18"/>
    <x v="0"/>
    <x v="0"/>
    <x v="0"/>
    <s v="ZTE_HADOOP_produccion_client_LAG"/>
    <x v="0"/>
    <b v="0"/>
    <s v="No está en VPC"/>
    <n v="448"/>
    <s v="INTPG_VPC_431_1.18-21_448_1.18-21"/>
    <s v="ISEL-1.18"/>
    <n v="8"/>
    <s v="NO TIENE L3OUT"/>
    <n v="46"/>
    <n v="54"/>
  </r>
  <r>
    <n v="704"/>
    <x v="2"/>
    <x v="46"/>
    <s v="eth1/18"/>
    <x v="0"/>
    <x v="0"/>
    <x v="0"/>
    <m/>
    <x v="0"/>
    <b v="0"/>
    <s v="No está en VPC"/>
    <n v="704"/>
    <s v="INTPG_VPC_703_1.17_704_1.18"/>
    <s v="ISEL-1.18"/>
    <n v="1"/>
    <s v="NO TIENE L3OUT"/>
    <n v="0"/>
    <n v="54"/>
  </r>
  <r>
    <n v="729"/>
    <x v="2"/>
    <x v="47"/>
    <s v="eth1/18"/>
    <x v="0"/>
    <x v="0"/>
    <x v="0"/>
    <s v="CRM, CBS:PRE-R03-Taishan BCM01:ETH8"/>
    <x v="0"/>
    <b v="0"/>
    <s v="No está en VPC"/>
    <n v="729"/>
    <s v="INTPG_ACC_729_1.18"/>
    <s v="ISEL-1.18"/>
    <n v="1"/>
    <s v="NO TIENE L3OUT"/>
    <n v="4"/>
    <n v="54"/>
  </r>
  <r>
    <n v="728"/>
    <x v="2"/>
    <x v="48"/>
    <s v="eth1/18"/>
    <x v="0"/>
    <x v="0"/>
    <x v="0"/>
    <s v="CRM, CBS:PRE-R03-Taishan BCM01:ETH0"/>
    <x v="0"/>
    <b v="0"/>
    <s v="No está en VPC"/>
    <n v="728"/>
    <s v="INTPG_ACC_728_1.18"/>
    <s v="ISEL-1.18"/>
    <n v="1"/>
    <s v="NO TIENE L3OUT"/>
    <n v="2"/>
    <n v="54"/>
  </r>
  <r>
    <n v="456"/>
    <x v="1"/>
    <x v="49"/>
    <s v="eth1/18"/>
    <x v="0"/>
    <x v="0"/>
    <x v="0"/>
    <s v="HACIA_CSI-B-OSCP-F4-02_SECUNDARIO"/>
    <x v="4"/>
    <b v="0"/>
    <s v="No está en VPC"/>
    <n v="456"/>
    <s v="INTPG_VPC_454_1.18_456_1.18"/>
    <s v="ISEL-1.18"/>
    <n v="2"/>
    <s v="NO TIENE L3OUT"/>
    <n v="4"/>
    <n v="54"/>
  </r>
  <r>
    <n v="603"/>
    <x v="1"/>
    <x v="50"/>
    <s v="eth1/18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18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18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18"/>
    <x v="0"/>
    <x v="0"/>
    <x v="0"/>
    <s v="Server_Pre-R02-CBS-RH2288-02"/>
    <x v="0"/>
    <b v="0"/>
    <s v="No está en VPC"/>
    <n v="730"/>
    <s v="INTPG_ACC_730_1.18"/>
    <s v="ISEL-1.18"/>
    <n v="1"/>
    <s v="NO TIENE L3OUT"/>
    <n v="36"/>
    <n v="54"/>
  </r>
  <r>
    <n v="722"/>
    <x v="2"/>
    <x v="54"/>
    <s v="eth1/18"/>
    <x v="0"/>
    <x v="0"/>
    <x v="0"/>
    <m/>
    <x v="0"/>
    <b v="0"/>
    <s v="No está en VPC"/>
    <n v="722"/>
    <s v="INTPG-VPC_HDD112_723_1.17_722_1.18"/>
    <s v="ISEL-1.18"/>
    <n v="1"/>
    <s v="NO TIENE L3OUT"/>
    <n v="0"/>
    <n v="54"/>
  </r>
  <r>
    <n v="733"/>
    <x v="2"/>
    <x v="55"/>
    <s v="eth1/18"/>
    <x v="0"/>
    <x v="1"/>
    <x v="3"/>
    <m/>
    <x v="0"/>
    <b v="0"/>
    <s v="No está en VPC"/>
    <n v="733"/>
    <s v="INTPG_ACC_733_1.18"/>
    <s v="ISEL-1.18"/>
    <n v="0"/>
    <s v="NO TIENE L3OUT"/>
    <n v="0"/>
    <n v="54"/>
  </r>
  <r>
    <n v="755"/>
    <x v="2"/>
    <x v="56"/>
    <s v="eth1/18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18"/>
    <x v="0"/>
    <x v="0"/>
    <x v="0"/>
    <m/>
    <x v="0"/>
    <b v="0"/>
    <s v="No está en VPC"/>
    <n v="748"/>
    <s v="INTPG_ACC_748_1.18"/>
    <s v="ISEL-1.18"/>
    <n v="0"/>
    <s v="NO TIENE L3OUT"/>
    <n v="2"/>
    <n v="54"/>
  </r>
  <r>
    <n v="756"/>
    <x v="2"/>
    <x v="58"/>
    <s v="eth1/18"/>
    <x v="0"/>
    <x v="0"/>
    <x v="0"/>
    <s v="OSS F1:ithenmr06bl02nas2r9b:PORT 2"/>
    <x v="0"/>
    <b v="0"/>
    <s v="No está en VPC"/>
    <n v="756"/>
    <s v="INTPG_PC_756_1.15-18"/>
    <s v="ISEL-1.18"/>
    <n v="1"/>
    <s v="NO TIENE L3OUT"/>
    <n v="64"/>
    <n v="54"/>
  </r>
  <r>
    <n v="754"/>
    <x v="2"/>
    <x v="59"/>
    <s v="eth1/18"/>
    <x v="0"/>
    <x v="1"/>
    <x v="1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18"/>
    <x v="0"/>
    <x v="0"/>
    <x v="0"/>
    <m/>
    <x v="0"/>
    <b v="0"/>
    <s v="No está en VPC"/>
    <n v="751"/>
    <s v="INTPG_ACC_751_1.18"/>
    <s v="ISEL-1.18"/>
    <n v="0"/>
    <s v="NO TIENE L3OUT"/>
    <n v="0"/>
    <n v="54"/>
  </r>
  <r>
    <n v="769"/>
    <x v="2"/>
    <x v="61"/>
    <s v="eth1/18"/>
    <x v="0"/>
    <x v="0"/>
    <x v="0"/>
    <s v="Portchannel_4_R1"/>
    <x v="0"/>
    <b v="0"/>
    <s v="No está en VPC"/>
    <n v="769"/>
    <s v="INTPG_PC_769_1.17-18"/>
    <s v="ISEL-1.18"/>
    <n v="8"/>
    <s v="NO TIENE L3OUT"/>
    <n v="60"/>
    <n v="54"/>
  </r>
  <r>
    <n v="742"/>
    <x v="2"/>
    <x v="62"/>
    <s v="eth1/18"/>
    <x v="0"/>
    <x v="0"/>
    <x v="0"/>
    <s v="CEM:ITHCEMB2AKF09:SLOT1 P1"/>
    <x v="5"/>
    <b v="0"/>
    <s v="No está en VPC"/>
    <n v="742"/>
    <s v="INTPG_ACC_742_1.18"/>
    <s v="ISEL-1.18"/>
    <n v="1"/>
    <s v="NO TIENE L3OUT"/>
    <n v="64"/>
    <n v="54"/>
  </r>
  <r>
    <n v="763"/>
    <x v="2"/>
    <x v="63"/>
    <s v="eth1/18"/>
    <x v="0"/>
    <x v="0"/>
    <x v="0"/>
    <s v="PAAS:ithhwosstpap003:FlexIO.1"/>
    <x v="0"/>
    <b v="0"/>
    <s v="No está en VPC"/>
    <n v="763"/>
    <s v="INTPG_VPC_762_1.18_763_1.18"/>
    <s v="ISEL-1.18"/>
    <n v="1"/>
    <s v="NO TIENE L3OUT"/>
    <n v="2"/>
    <n v="54"/>
  </r>
  <r>
    <n v="766"/>
    <x v="2"/>
    <x v="64"/>
    <s v="eth1/18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18"/>
    <x v="0"/>
    <x v="1"/>
    <x v="1"/>
    <m/>
    <x v="0"/>
    <b v="0"/>
    <s v="No está en VPC"/>
    <n v="760"/>
    <s v="INTPG_VPC_760_1.17-20_761_1.17-20"/>
    <s v="ISEL-1.18"/>
    <n v="0"/>
    <s v="L3OUT-EXACLOUD"/>
    <n v="0"/>
    <n v="54"/>
  </r>
  <r>
    <n v="752"/>
    <x v="2"/>
    <x v="66"/>
    <s v="eth1/18"/>
    <x v="0"/>
    <x v="0"/>
    <x v="0"/>
    <s v="PAAS:ithhwosstpap003:LOM PORT 1"/>
    <x v="0"/>
    <b v="0"/>
    <s v="No está en VPC"/>
    <n v="752"/>
    <s v="INTPG_VPC_747_1.28_752_1.18"/>
    <s v="ISEL-1.18"/>
    <n v="25"/>
    <s v="NO TIENE L3OUT"/>
    <n v="0"/>
    <n v="54"/>
  </r>
  <r>
    <n v="765"/>
    <x v="2"/>
    <x v="67"/>
    <s v="eth1/18"/>
    <x v="0"/>
    <x v="0"/>
    <x v="0"/>
    <s v="Portchannel_5_R6B"/>
    <x v="0"/>
    <b v="0"/>
    <s v="No está en VPC"/>
    <n v="765"/>
    <s v="INTPG_PC_765_1.17-18"/>
    <s v="ISEL-1.18"/>
    <n v="8"/>
    <s v="NO TIENE L3OUT"/>
    <n v="60"/>
    <n v="54"/>
  </r>
  <r>
    <n v="778"/>
    <x v="2"/>
    <x v="68"/>
    <s v="eth1/18"/>
    <x v="0"/>
    <x v="0"/>
    <x v="0"/>
    <s v="ENIQ F1:itheniqr08nas2r3:Slot 2/2"/>
    <x v="0"/>
    <b v="0"/>
    <s v="No está en VPC"/>
    <n v="778"/>
    <s v="INTPG_PC_778_1.16-19"/>
    <s v="ISEL-1.18"/>
    <n v="1"/>
    <s v="NO TIENE L3OUT"/>
    <n v="26"/>
    <n v="54"/>
  </r>
  <r>
    <n v="780"/>
    <x v="2"/>
    <x v="69"/>
    <s v="eth1/18"/>
    <x v="0"/>
    <x v="0"/>
    <x v="0"/>
    <s v="LACP_NAS2_ENIQ9C"/>
    <x v="0"/>
    <b v="0"/>
    <s v="No está en VPC"/>
    <n v="780"/>
    <s v="INTPG_PC_780_1.16-19"/>
    <s v="ISEL-1.18"/>
    <n v="1"/>
    <s v="NO TIENE L3OUT"/>
    <n v="26"/>
    <n v="54"/>
  </r>
  <r>
    <n v="812"/>
    <x v="2"/>
    <x v="70"/>
    <s v="eth1/18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18"/>
    <x v="0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18"/>
    <x v="0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18"/>
    <x v="0"/>
    <x v="0"/>
    <x v="0"/>
    <m/>
    <x v="0"/>
    <b v="0"/>
    <s v="No está en VPC"/>
    <n v="749"/>
    <s v="INTPG_ACC_749_1.18"/>
    <s v="ISEL-1.18"/>
    <n v="0"/>
    <s v="NO TIENE L3OUT"/>
    <n v="4"/>
    <n v="54"/>
  </r>
  <r>
    <n v="824"/>
    <x v="2"/>
    <x v="74"/>
    <s v="eth1/18"/>
    <x v="0"/>
    <x v="0"/>
    <x v="0"/>
    <s v="LINK_TO_ITHFHWCMVWPMA11 /Slot5.1 /Redundante"/>
    <x v="0"/>
    <b v="0"/>
    <s v="No está en VPC"/>
    <n v="824"/>
    <s v="INTPG_ACC_824_1.18"/>
    <s v="ISEL-1.18"/>
    <n v="1"/>
    <s v="NO TIENE L3OUT"/>
    <n v="70"/>
    <n v="54"/>
  </r>
  <r>
    <n v="819"/>
    <x v="2"/>
    <x v="75"/>
    <s v="eth1/18"/>
    <x v="0"/>
    <x v="0"/>
    <x v="0"/>
    <s v="LINK_TO_ITHFHWCMVWPMA11 /10GE.1 /Principal"/>
    <x v="0"/>
    <b v="0"/>
    <s v="No está en VPC"/>
    <n v="819"/>
    <s v="INTPG_ACC_819_1.18"/>
    <s v="ISEL-1.18"/>
    <n v="1"/>
    <s v="NO TIENE L3OUT"/>
    <n v="70"/>
    <n v="54"/>
  </r>
  <r>
    <n v="737"/>
    <x v="2"/>
    <x v="76"/>
    <s v="eth1/18"/>
    <x v="0"/>
    <x v="0"/>
    <x v="0"/>
    <s v="CEM:ITHCEME2RTB09:SLOT1 P1"/>
    <x v="5"/>
    <b v="0"/>
    <s v="No está en VPC"/>
    <n v="737"/>
    <s v="INTPG_ACC_737_1.18"/>
    <s v="ISEL-1.18"/>
    <n v="1"/>
    <s v="NO TIENE L3OUT"/>
    <n v="72"/>
    <n v="54"/>
  </r>
  <r>
    <n v="844"/>
    <x v="2"/>
    <x v="77"/>
    <s v="eth1/18"/>
    <x v="0"/>
    <x v="0"/>
    <x v="0"/>
    <s v="LINK_TO_ITHFHWCRMPLCN106 / Slot1.3_16 / Principal"/>
    <x v="0"/>
    <b v="0"/>
    <s v="No está en VPC"/>
    <n v="844"/>
    <s v="INTPG_ACC_844_1.18"/>
    <s v="ISEL-1.18"/>
    <n v="1"/>
    <s v="NO TIENE L3OUT"/>
    <n v="282"/>
    <n v="54"/>
  </r>
  <r>
    <n v="843"/>
    <x v="2"/>
    <x v="78"/>
    <s v="eth1/18"/>
    <x v="0"/>
    <x v="0"/>
    <x v="0"/>
    <s v="LINK_To_ITHFHWCBSPSWR41 / Slot7.1_26 / Redundante"/>
    <x v="0"/>
    <b v="0"/>
    <s v="No está en VPC"/>
    <n v="843"/>
    <s v="INTPG_VPC_838_1.18_843_1.18"/>
    <s v="ISEL-1.18"/>
    <n v="2"/>
    <s v="NO TIENE L3OUT"/>
    <n v="38"/>
    <n v="54"/>
  </r>
  <r>
    <n v="797"/>
    <x v="2"/>
    <x v="79"/>
    <s v="eth1/18"/>
    <x v="0"/>
    <x v="0"/>
    <x v="0"/>
    <s v="TO-HDPS_20-MSP"/>
    <x v="0"/>
    <b v="0"/>
    <s v="No está en VPC"/>
    <n v="797"/>
    <s v="INTPG_ACC_797_1.18"/>
    <s v="ISEL-1.18"/>
    <n v="1"/>
    <s v="NO TIENE L3OUT"/>
    <n v="48"/>
    <n v="54"/>
  </r>
  <r>
    <n v="839"/>
    <x v="2"/>
    <x v="80"/>
    <s v="eth1/18"/>
    <x v="0"/>
    <x v="0"/>
    <x v="0"/>
    <s v="LINK_TO_ITHFHWCBSPSWR63 / Slot7.3_14 / Redundante"/>
    <x v="0"/>
    <b v="0"/>
    <s v="No está en VPC"/>
    <n v="839"/>
    <s v="INTPG_VPC_834_1.18_839_1.18"/>
    <s v="ISEL-1.18"/>
    <n v="1"/>
    <s v="NO TIENE L3OUT"/>
    <n v="0"/>
    <n v="54"/>
  </r>
  <r>
    <n v="847"/>
    <x v="2"/>
    <x v="81"/>
    <s v="eth1/18"/>
    <x v="0"/>
    <x v="0"/>
    <x v="0"/>
    <s v="LINK_TO_ITHFHWCRMPLCN171 / Slot7.2_12 / Redundante"/>
    <x v="0"/>
    <b v="0"/>
    <s v="No está en VPC"/>
    <n v="847"/>
    <s v="INTPG_ACC_847_1.18"/>
    <s v="ISEL-1.18"/>
    <n v="2"/>
    <s v="NO TIENE L3OUT"/>
    <n v="204"/>
    <n v="54"/>
  </r>
  <r>
    <n v="848"/>
    <x v="2"/>
    <x v="82"/>
    <s v="eth1/18"/>
    <x v="0"/>
    <x v="0"/>
    <x v="0"/>
    <s v="LINK_TO_ITHFHWCRMPLCN160 / Slot7.2_22 / Redundante"/>
    <x v="0"/>
    <b v="0"/>
    <s v="No está en VPC"/>
    <n v="848"/>
    <s v="INTPG_ACC_848_1.18"/>
    <s v="ISEL-1.18"/>
    <n v="2"/>
    <s v="NO TIENE L3OUT"/>
    <n v="254"/>
    <n v="54"/>
  </r>
  <r>
    <n v="846"/>
    <x v="2"/>
    <x v="83"/>
    <s v="eth1/18"/>
    <x v="0"/>
    <x v="0"/>
    <x v="0"/>
    <s v="LINK_TO_ITHFHWCRMPLCN77 / Slot1.3_12 / Principal"/>
    <x v="0"/>
    <b v="0"/>
    <s v="No está en VPC"/>
    <n v="846"/>
    <s v="INTPG_ACC_846_1.18"/>
    <s v="ISEL-1.18"/>
    <n v="1"/>
    <s v="NO TIENE L3OUT"/>
    <n v="242"/>
    <n v="54"/>
  </r>
  <r>
    <n v="838"/>
    <x v="2"/>
    <x v="84"/>
    <s v="eth1/18"/>
    <x v="0"/>
    <x v="0"/>
    <x v="0"/>
    <s v="LINK_To_ITHFHWCBSPSWR41 / Slot1.1_26 / Principal"/>
    <x v="0"/>
    <b v="0"/>
    <s v="No está en VPC"/>
    <n v="838"/>
    <s v="INTPG_VPC_838_1.18_843_1.18"/>
    <s v="ISEL-1.18"/>
    <n v="2"/>
    <s v="NO TIENE L3OUT"/>
    <n v="38"/>
    <n v="54"/>
  </r>
  <r>
    <n v="849"/>
    <x v="2"/>
    <x v="85"/>
    <s v="eth1/18"/>
    <x v="0"/>
    <x v="0"/>
    <x v="0"/>
    <s v="LINK_TO_ITHFHWCRMPLCN140 / Slot7.2_14 / Redundante"/>
    <x v="0"/>
    <b v="0"/>
    <s v="No está en VPC"/>
    <n v="849"/>
    <s v="INTPG_ACC_849_1.18"/>
    <s v="ISEL-1.18"/>
    <n v="2"/>
    <s v="NO TIENE L3OUT"/>
    <n v="286"/>
    <n v="54"/>
  </r>
  <r>
    <n v="845"/>
    <x v="2"/>
    <x v="86"/>
    <s v="eth1/18"/>
    <x v="0"/>
    <x v="0"/>
    <x v="0"/>
    <s v="LINK_TO_ITHFHWCRMPLCN90 / Slot1.1_12 / Principal"/>
    <x v="0"/>
    <b v="0"/>
    <s v="No está en VPC"/>
    <n v="845"/>
    <s v="INTPG_ACC_845_1.18"/>
    <s v="ISEL-1.18"/>
    <n v="6"/>
    <s v="NO TIENE L3OUT"/>
    <n v="258"/>
    <n v="54"/>
  </r>
  <r>
    <n v="873"/>
    <x v="2"/>
    <x v="87"/>
    <s v="eth1/18"/>
    <x v="0"/>
    <x v="0"/>
    <x v="0"/>
    <s v="TO_ITHFHWCRMDLCN59_Principal"/>
    <x v="0"/>
    <b v="0"/>
    <s v="No está en VPC"/>
    <n v="873"/>
    <s v="INTPG_ACC_873_1.18"/>
    <s v="ISEL-1.18"/>
    <n v="6"/>
    <s v="NO TIENE L3OUT"/>
    <n v="248"/>
    <n v="54"/>
  </r>
  <r>
    <n v="864"/>
    <x v="2"/>
    <x v="88"/>
    <s v="eth1/18"/>
    <x v="0"/>
    <x v="0"/>
    <x v="0"/>
    <s v="To_VPC_2DCBSD_HD36_3"/>
    <x v="0"/>
    <b v="0"/>
    <s v="No está en VPC"/>
    <n v="864"/>
    <s v="INTPG_VPC_859_1.18_864_1.18"/>
    <s v="ISEL-1.18"/>
    <n v="1"/>
    <s v="NO TIENE L3OUT"/>
    <n v="0"/>
    <n v="54"/>
  </r>
  <r>
    <n v="836"/>
    <x v="2"/>
    <x v="89"/>
    <s v="eth1/18"/>
    <x v="0"/>
    <x v="0"/>
    <x v="0"/>
    <s v="LINK_TO_ITHFHWCBSPSWR51 / Slot1.2_30 / Principal"/>
    <x v="0"/>
    <b v="0"/>
    <s v="No está en VPC"/>
    <n v="836"/>
    <s v="INTPG_VPC_836_1.18_841_1.18"/>
    <s v="ISEL-1.18"/>
    <n v="1"/>
    <s v="NO TIENE L3OUT"/>
    <n v="0"/>
    <n v="54"/>
  </r>
  <r>
    <n v="834"/>
    <x v="2"/>
    <x v="90"/>
    <s v="eth1/18"/>
    <x v="0"/>
    <x v="0"/>
    <x v="0"/>
    <s v="LINK_TO_ITHFHWCBSPSWR63 / Slot1.3_14 / Principal"/>
    <x v="0"/>
    <b v="0"/>
    <s v="No está en VPC"/>
    <n v="834"/>
    <s v="INTPG_VPC_834_1.18_839_1.18"/>
    <s v="ISEL-1.18"/>
    <n v="1"/>
    <s v="NO TIENE L3OUT"/>
    <n v="0"/>
    <n v="54"/>
  </r>
  <r>
    <n v="872"/>
    <x v="2"/>
    <x v="91"/>
    <s v="eth1/18"/>
    <x v="0"/>
    <x v="0"/>
    <x v="0"/>
    <s v="To_ITHFHWCRMDLCN75_Principal"/>
    <x v="0"/>
    <b v="0"/>
    <s v="No está en VPC"/>
    <n v="872"/>
    <s v="INTPG_ACC_872_1.18"/>
    <s v="ISEL-1.18"/>
    <n v="6"/>
    <s v="NO TIENE L3OUT"/>
    <n v="288"/>
    <n v="54"/>
  </r>
  <r>
    <n v="842"/>
    <x v="2"/>
    <x v="92"/>
    <s v="eth1/18"/>
    <x v="0"/>
    <x v="0"/>
    <x v="0"/>
    <s v="LINK_TO_ITHFHWCBSPSWR45 / Slot7.2_26 / Redundante"/>
    <x v="0"/>
    <b v="0"/>
    <s v="No está en VPC"/>
    <n v="842"/>
    <s v="INTPG_VPC_837_1.18_842_1.18"/>
    <s v="ISEL-1.18"/>
    <n v="1"/>
    <s v="NO TIENE L3OUT"/>
    <n v="8"/>
    <n v="54"/>
  </r>
  <r>
    <n v="828"/>
    <x v="2"/>
    <x v="93"/>
    <s v="eth1/18"/>
    <x v="0"/>
    <x v="0"/>
    <x v="0"/>
    <s v="LINK_TO_ITHFHWCRMDLCN21 /10GE.1 /Principal"/>
    <x v="0"/>
    <b v="0"/>
    <s v="No está en VPC"/>
    <n v="828"/>
    <s v="INTPG_ACC_828_1.18"/>
    <s v="ISEL-1.18"/>
    <n v="2"/>
    <s v="NO TIENE L3OUT"/>
    <n v="192"/>
    <n v="54"/>
  </r>
  <r>
    <n v="870"/>
    <x v="2"/>
    <x v="94"/>
    <s v="eth1/18"/>
    <x v="0"/>
    <x v="0"/>
    <x v="0"/>
    <s v="TO_ITHFHWCRMDLCN59_Redundante"/>
    <x v="0"/>
    <b v="0"/>
    <s v="No está en VPC"/>
    <n v="870"/>
    <s v="INTPG_ACC_870_1.18"/>
    <s v="ISEL-1.18"/>
    <n v="6"/>
    <s v="NO TIENE L3OUT"/>
    <n v="248"/>
    <n v="54"/>
  </r>
  <r>
    <n v="866"/>
    <x v="2"/>
    <x v="95"/>
    <s v="eth1/18"/>
    <x v="0"/>
    <x v="0"/>
    <x v="0"/>
    <s v="To_VPC_2DCBSD_HD22_2"/>
    <x v="0"/>
    <b v="0"/>
    <s v="No está en VPC"/>
    <n v="866"/>
    <s v="INTPG_VPC_861_1.18_866_1.18"/>
    <s v="ISEL-1.18"/>
    <n v="1"/>
    <s v="NO TIENE L3OUT"/>
    <n v="8"/>
    <n v="54"/>
  </r>
  <r>
    <n v="862"/>
    <x v="2"/>
    <x v="96"/>
    <s v="eth1/18"/>
    <x v="0"/>
    <x v="0"/>
    <x v="0"/>
    <s v="TO-ITHFSUEXG2XCP02_PCI6.P1"/>
    <x v="0"/>
    <b v="0"/>
    <s v="No está en VPC"/>
    <n v="862"/>
    <s v="INTPG_ACC_862_1.18"/>
    <s v="ISEL-1.18"/>
    <n v="1"/>
    <s v="NO TIENE L3OUT"/>
    <n v="44"/>
    <n v="54"/>
  </r>
  <r>
    <n v="855"/>
    <x v="2"/>
    <x v="97"/>
    <s v="eth1/18"/>
    <x v="0"/>
    <x v="0"/>
    <x v="0"/>
    <s v="LINK_TO_ITHFHWCRMPLCN160 / Slot1.2_22 / Principal"/>
    <x v="0"/>
    <b v="0"/>
    <s v="No está en VPC"/>
    <n v="855"/>
    <s v="INTPG_ACC_855_1.18"/>
    <s v="ISEL-1.18"/>
    <n v="2"/>
    <s v="NO TIENE L3OUT"/>
    <n v="254"/>
    <n v="54"/>
  </r>
  <r>
    <n v="871"/>
    <x v="2"/>
    <x v="98"/>
    <s v="eth1/18"/>
    <x v="0"/>
    <x v="0"/>
    <x v="0"/>
    <s v="TO_ITHFHWCRMDLCN86_Principal"/>
    <x v="0"/>
    <b v="0"/>
    <s v="No está en VPC"/>
    <n v="871"/>
    <s v="INTPG_ACC_871_1.18"/>
    <s v="ISEL-1.18"/>
    <n v="1"/>
    <s v="NO TIENE L3OUT"/>
    <n v="246"/>
    <n v="54"/>
  </r>
  <r>
    <n v="841"/>
    <x v="2"/>
    <x v="99"/>
    <s v="eth1/18"/>
    <x v="0"/>
    <x v="0"/>
    <x v="0"/>
    <s v="LINK_TO_ITHFHWCBSPSWR51 / Slot7.2_30 / Redundante"/>
    <x v="0"/>
    <b v="0"/>
    <s v="No está en VPC"/>
    <n v="841"/>
    <s v="INTPG_VPC_836_1.18_841_1.18"/>
    <s v="ISEL-1.18"/>
    <n v="1"/>
    <s v="NO TIENE L3OUT"/>
    <n v="0"/>
    <n v="54"/>
  </r>
  <r>
    <n v="868"/>
    <x v="2"/>
    <x v="100"/>
    <s v="eth1/18"/>
    <x v="0"/>
    <x v="0"/>
    <x v="0"/>
    <s v="TO_ITHFHWCRMDLCN86_Redundante"/>
    <x v="0"/>
    <b v="0"/>
    <s v="No está en VPC"/>
    <n v="868"/>
    <s v="INTPG_ACC_868_1.18"/>
    <s v="ISEL-1.18"/>
    <n v="1"/>
    <s v="NO TIENE L3OUT"/>
    <n v="246"/>
    <n v="54"/>
  </r>
  <r>
    <n v="869"/>
    <x v="2"/>
    <x v="101"/>
    <s v="eth1/18"/>
    <x v="0"/>
    <x v="0"/>
    <x v="0"/>
    <s v="To_ITHFHWCRMDLCN75_Redundante"/>
    <x v="0"/>
    <b v="0"/>
    <s v="No está en VPC"/>
    <n v="869"/>
    <s v="INTPG_ACC_869_1.18"/>
    <s v="ISEL-1.18"/>
    <n v="6"/>
    <s v="NO TIENE L3OUT"/>
    <n v="288"/>
    <n v="54"/>
  </r>
  <r>
    <n v="861"/>
    <x v="2"/>
    <x v="102"/>
    <s v="eth1/18"/>
    <x v="0"/>
    <x v="0"/>
    <x v="0"/>
    <s v="To_VPC_2DCBSD_HD22_2"/>
    <x v="0"/>
    <b v="0"/>
    <s v="No está en VPC"/>
    <n v="861"/>
    <s v="INTPG_VPC_861_1.18_866_1.18"/>
    <s v="ISEL-1.18"/>
    <n v="1"/>
    <s v="NO TIENE L3OUT"/>
    <n v="8"/>
    <n v="54"/>
  </r>
  <r>
    <n v="874"/>
    <x v="2"/>
    <x v="103"/>
    <s v="eth1/18"/>
    <x v="0"/>
    <x v="0"/>
    <x v="0"/>
    <s v="LINK_TO_ITHFHWSEQLIMPS29 / Slot 5 PTO 1 / Redundante"/>
    <x v="4"/>
    <b v="0"/>
    <s v="No está en VPC"/>
    <n v="874"/>
    <s v="INTPG_ACC_874_1.18"/>
    <s v="ISEL-1.18"/>
    <n v="1"/>
    <s v="NO TIENE L3OUT"/>
    <n v="92"/>
    <n v="54"/>
  </r>
  <r>
    <n v="865"/>
    <x v="2"/>
    <x v="104"/>
    <s v="eth1/18"/>
    <x v="0"/>
    <x v="0"/>
    <x v="0"/>
    <s v="To_VPC_2DCBSD_HD28_3"/>
    <x v="0"/>
    <b v="0"/>
    <s v="No está en VPC"/>
    <n v="865"/>
    <s v="INTPG_VPC_860_1.18_865_1.18"/>
    <s v="ISEL-1.18"/>
    <n v="1"/>
    <s v="NO TIENE L3OUT"/>
    <n v="0"/>
    <n v="54"/>
  </r>
  <r>
    <n v="753"/>
    <x v="2"/>
    <x v="105"/>
    <s v="eth1/18"/>
    <x v="0"/>
    <x v="0"/>
    <x v="0"/>
    <s v="OSS F1:ithenmr04e2r9b:Bay2/X2"/>
    <x v="0"/>
    <b v="0"/>
    <s v="No está en VPC"/>
    <n v="753"/>
    <s v="INTPG_PC_753_1.17-18"/>
    <s v="ISEL-1.18"/>
    <n v="8"/>
    <s v="NO TIENE L3OUT"/>
    <n v="62"/>
    <n v="54"/>
  </r>
  <r>
    <n v="708"/>
    <x v="2"/>
    <x v="106"/>
    <s v="eth1/18"/>
    <x v="0"/>
    <x v="1"/>
    <x v="5"/>
    <s v="CEM:ITHCEME2RTB09:LOM  P2"/>
    <x v="0"/>
    <b v="0"/>
    <s v="No está en VPC"/>
    <n v="708"/>
    <s v="INTPG_VPC_708_1.18_709_1.17"/>
    <s v="ISEL-1.18"/>
    <n v="1"/>
    <s v="NO TIENE L3OUT"/>
    <n v="0"/>
    <n v="54"/>
  </r>
  <r>
    <n v="710"/>
    <x v="2"/>
    <x v="107"/>
    <s v="eth1/18"/>
    <x v="0"/>
    <x v="1"/>
    <x v="5"/>
    <s v="CEM:ITHCEMC2AKF09:LOM  P2"/>
    <x v="0"/>
    <b v="0"/>
    <s v="No está en VPC"/>
    <n v="710"/>
    <s v="INTPG_VPC_710_1.18_711_1.17"/>
    <s v="ISEL-1.18"/>
    <n v="1"/>
    <s v="NO TIENE L3OUT"/>
    <n v="16"/>
    <n v="54"/>
  </r>
  <r>
    <n v="713"/>
    <x v="2"/>
    <x v="108"/>
    <s v="eth1/18"/>
    <x v="0"/>
    <x v="1"/>
    <x v="5"/>
    <s v="CEM:ITHCEMB2ADT09:LOM  P2"/>
    <x v="0"/>
    <b v="0"/>
    <s v="No está en VPC"/>
    <n v="713"/>
    <s v="INTPG_VPC_712_1.17_713_1.18"/>
    <s v="ISEL-1.18"/>
    <n v="1"/>
    <s v="NO TIENE L3OUT"/>
    <n v="32"/>
    <n v="54"/>
  </r>
  <r>
    <n v="735"/>
    <x v="2"/>
    <x v="109"/>
    <s v="eth1/18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18"/>
    <x v="0"/>
    <x v="0"/>
    <x v="0"/>
    <s v="Server_Pre-R02-CBS-RH2288-02"/>
    <x v="0"/>
    <b v="0"/>
    <s v="No está en VPC"/>
    <n v="731"/>
    <s v="INTPG_ACC_731_1.18"/>
    <s v="ISEL-1.18"/>
    <n v="1"/>
    <s v="NO TIENE L3OUT"/>
    <n v="38"/>
    <n v="54"/>
  </r>
  <r>
    <n v="703"/>
    <x v="2"/>
    <x v="111"/>
    <s v="eth1/18"/>
    <x v="0"/>
    <x v="0"/>
    <x v="0"/>
    <m/>
    <x v="0"/>
    <b v="0"/>
    <s v="No está en VPC"/>
    <n v="703"/>
    <s v="INTPG_VPC_704_1.17_703_1.18"/>
    <s v="ISEL-1.18"/>
    <n v="1"/>
    <s v="NO TIENE L3OUT"/>
    <n v="2"/>
    <n v="54"/>
  </r>
  <r>
    <n v="706"/>
    <x v="2"/>
    <x v="112"/>
    <s v="eth1/18"/>
    <x v="0"/>
    <x v="0"/>
    <x v="0"/>
    <m/>
    <x v="0"/>
    <b v="0"/>
    <s v="No está en VPC"/>
    <n v="706"/>
    <s v="INTPG_VPC_705_1.17_706_1.18"/>
    <s v="ISEL-1.18"/>
    <n v="1"/>
    <s v="NO TIENE L3OUT"/>
    <n v="16"/>
    <n v="54"/>
  </r>
  <r>
    <n v="762"/>
    <x v="2"/>
    <x v="113"/>
    <s v="eth1/18"/>
    <x v="0"/>
    <x v="0"/>
    <x v="0"/>
    <s v="PAAS:ithhwosstpap003:LOM PORT 3"/>
    <x v="0"/>
    <b v="0"/>
    <s v="No está en VPC"/>
    <n v="762"/>
    <s v="INTPG_VPC_762_1.18_763_1.18"/>
    <s v="ISEL-1.18"/>
    <n v="1"/>
    <s v="NO TIENE L3OUT"/>
    <n v="0"/>
    <n v="54"/>
  </r>
  <r>
    <n v="814"/>
    <x v="2"/>
    <x v="114"/>
    <s v="eth1/18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18"/>
    <x v="0"/>
    <x v="0"/>
    <x v="0"/>
    <s v="HACIA_CSI-B-OSCP-F4-14_SECUNDARIO"/>
    <x v="4"/>
    <b v="0"/>
    <s v="No está en VPC"/>
    <n v="878"/>
    <s v="INTPG_VPC_878_1.18_879_1.18"/>
    <s v="ISEL-1.18"/>
    <n v="2"/>
    <s v="NO TIENE L3OUT"/>
    <n v="0"/>
    <n v="54"/>
  </r>
  <r>
    <n v="826"/>
    <x v="2"/>
    <x v="116"/>
    <s v="eth1/18"/>
    <x v="0"/>
    <x v="0"/>
    <x v="0"/>
    <s v="LINK_TO_ITHFHWCBSDSHD15 /Slot4.2 /Principal"/>
    <x v="0"/>
    <b v="0"/>
    <s v="No está en VPC"/>
    <n v="826"/>
    <s v="INTPG_VPC_826_1.18_830_1.18"/>
    <s v="ISEL-1.18"/>
    <n v="1"/>
    <s v="NO TIENE L3OUT"/>
    <n v="12"/>
    <n v="54"/>
  </r>
  <r>
    <n v="726"/>
    <x v="2"/>
    <x v="117"/>
    <s v="eth1/18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18"/>
    <x v="0"/>
    <x v="0"/>
    <x v="0"/>
    <s v="CEM:ITHCEMD2AKF09:SLOT1 P1"/>
    <x v="5"/>
    <b v="0"/>
    <s v="No está en VPC"/>
    <n v="740"/>
    <s v="INTPG_ACC_740_1.18"/>
    <s v="ISEL-1.18"/>
    <n v="1"/>
    <s v="NO TIENE L3OUT"/>
    <n v="72"/>
    <n v="54"/>
  </r>
  <r>
    <n v="705"/>
    <x v="2"/>
    <x v="119"/>
    <s v="eth1/18"/>
    <x v="0"/>
    <x v="1"/>
    <x v="5"/>
    <m/>
    <x v="0"/>
    <b v="0"/>
    <s v="No está en VPC"/>
    <n v="705"/>
    <s v="INTPG_VPC_706_1.17_705_1.18"/>
    <s v="ISEL-1.18"/>
    <n v="1"/>
    <s v="NO TIENE L3OUT"/>
    <n v="16"/>
    <n v="54"/>
  </r>
  <r>
    <n v="723"/>
    <x v="2"/>
    <x v="120"/>
    <s v="eth1/18"/>
    <x v="0"/>
    <x v="0"/>
    <x v="0"/>
    <m/>
    <x v="0"/>
    <b v="0"/>
    <s v="No está en VPC"/>
    <n v="723"/>
    <s v="INTPG-VPC_HDD125_722_1.17_723_1.18"/>
    <s v="ISEL-1.18"/>
    <n v="1"/>
    <s v="NO TIENE L3OUT"/>
    <n v="0"/>
    <n v="54"/>
  </r>
  <r>
    <n v="721"/>
    <x v="2"/>
    <x v="121"/>
    <s v="eth1/18"/>
    <x v="0"/>
    <x v="0"/>
    <x v="0"/>
    <s v="ITHORNG1DAT10_SLOT 4 P1"/>
    <x v="0"/>
    <b v="0"/>
    <s v="No está en VPC"/>
    <n v="721"/>
    <s v="INTPG_ACC_721_1.18"/>
    <s v="ISEL-1.18"/>
    <n v="2"/>
    <s v="NO TIENE L3OUT"/>
    <n v="20"/>
    <n v="54"/>
  </r>
  <r>
    <n v="788"/>
    <x v="2"/>
    <x v="122"/>
    <s v="eth1/18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18"/>
    <x v="0"/>
    <x v="1"/>
    <x v="3"/>
    <m/>
    <x v="0"/>
    <b v="0"/>
    <s v="No está en VPC"/>
    <n v="732"/>
    <s v="INTPG_ACC_732_1.18"/>
    <s v="ISEL-1.18"/>
    <n v="0"/>
    <s v="NO TIENE L3OUT"/>
    <n v="0"/>
    <n v="54"/>
  </r>
  <r>
    <n v="720"/>
    <x v="2"/>
    <x v="124"/>
    <s v="eth1/18"/>
    <x v="0"/>
    <x v="0"/>
    <x v="0"/>
    <m/>
    <x v="0"/>
    <b v="0"/>
    <s v="No está en VPC"/>
    <n v="720"/>
    <s v="INTPG-VPC_PAP02_719_1.17_720_1.18"/>
    <s v="ISEL-1.18"/>
    <n v="1"/>
    <s v="NO TIENE L3OUT"/>
    <n v="0"/>
    <n v="54"/>
  </r>
  <r>
    <n v="709"/>
    <x v="2"/>
    <x v="125"/>
    <s v="eth1/18"/>
    <x v="0"/>
    <x v="1"/>
    <x v="5"/>
    <s v="CEM:ITHCEMF2RTB09:LOM  P2"/>
    <x v="0"/>
    <b v="0"/>
    <s v="No está en VPC"/>
    <n v="709"/>
    <s v="INTPG_VPC_708_1.17_709_1.18"/>
    <s v="ISEL-1.18"/>
    <n v="1"/>
    <s v="NO TIENE L3OUT"/>
    <n v="0"/>
    <n v="54"/>
  </r>
  <r>
    <n v="454"/>
    <x v="1"/>
    <x v="126"/>
    <s v="eth1/18"/>
    <x v="0"/>
    <x v="0"/>
    <x v="0"/>
    <s v="HACIA_CSI-B-OSCP-F4-02_PRIMARIO"/>
    <x v="4"/>
    <b v="0"/>
    <s v="No está en VPC"/>
    <n v="454"/>
    <s v="INTPG_VPC_454_1.18_456_1.18"/>
    <s v="ISEL-1.18"/>
    <n v="2"/>
    <s v="NO TIENE L3OUT"/>
    <n v="4"/>
    <n v="54"/>
  </r>
  <r>
    <n v="734"/>
    <x v="2"/>
    <x v="127"/>
    <s v="eth1/18"/>
    <x v="0"/>
    <x v="0"/>
    <x v="0"/>
    <s v="CEM:ITHCEMA1NAM09:SLOT1 P1"/>
    <x v="5"/>
    <b v="0"/>
    <s v="No está en VPC"/>
    <n v="734"/>
    <s v="INTPG_ACC_734_1.18"/>
    <s v="ISEL-1.18"/>
    <n v="1"/>
    <s v="NO TIENE L3OUT"/>
    <n v="32"/>
    <n v="54"/>
  </r>
  <r>
    <n v="815"/>
    <x v="2"/>
    <x v="128"/>
    <s v="eth1/18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18"/>
    <x v="0"/>
    <x v="0"/>
    <x v="0"/>
    <m/>
    <x v="0"/>
    <b v="0"/>
    <s v="No está en VPC"/>
    <n v="743"/>
    <s v="INTPG_PC_743_1.17-18"/>
    <s v="ISEL-1.18"/>
    <n v="2"/>
    <s v="NO TIENE L3OUT"/>
    <n v="4"/>
    <n v="54"/>
  </r>
  <r>
    <n v="718"/>
    <x v="2"/>
    <x v="130"/>
    <s v="eth1/18"/>
    <x v="0"/>
    <x v="0"/>
    <x v="0"/>
    <m/>
    <x v="0"/>
    <b v="0"/>
    <s v="No está en VPC"/>
    <n v="718"/>
    <s v="INTPG-VPC_HDD19_717_1.17_718_1.18"/>
    <s v="ISEL-1.18"/>
    <n v="1"/>
    <s v="NO TIENE L3OUT"/>
    <n v="0"/>
    <n v="54"/>
  </r>
  <r>
    <n v="744"/>
    <x v="2"/>
    <x v="131"/>
    <s v="eth1/18"/>
    <x v="0"/>
    <x v="0"/>
    <x v="0"/>
    <m/>
    <x v="0"/>
    <b v="0"/>
    <s v="No está en VPC"/>
    <n v="744"/>
    <s v="INTPG_PC_744_1.17-18"/>
    <s v="ISEL-1.18"/>
    <n v="2"/>
    <s v="NO TIENE L3OUT"/>
    <n v="4"/>
    <n v="54"/>
  </r>
  <r>
    <n v="741"/>
    <x v="2"/>
    <x v="132"/>
    <s v="eth1/18"/>
    <x v="0"/>
    <x v="0"/>
    <x v="0"/>
    <s v="CEM:ITHCEMA2AKF09:SLOT1 P1"/>
    <x v="5"/>
    <b v="0"/>
    <s v="No está en VPC"/>
    <n v="741"/>
    <s v="INTPG_ACC_741_1.18"/>
    <s v="ISEL-1.18"/>
    <n v="1"/>
    <s v="NO TIENE L3OUT"/>
    <n v="62"/>
    <n v="54"/>
  </r>
  <r>
    <n v="787"/>
    <x v="2"/>
    <x v="133"/>
    <s v="eth1/18"/>
    <x v="0"/>
    <x v="0"/>
    <x v="0"/>
    <s v="ENIQ F2:itheniqr14bl02nas2r4b:Slot 2/2"/>
    <x v="0"/>
    <b v="0"/>
    <s v="No está en VPC"/>
    <n v="787"/>
    <s v="INTPG_PC_787_1.16-19"/>
    <s v="ISEL-1.18"/>
    <n v="1"/>
    <s v="NO TIENE L3OUT"/>
    <n v="26"/>
    <n v="54"/>
  </r>
  <r>
    <n v="750"/>
    <x v="2"/>
    <x v="134"/>
    <s v="eth1/18"/>
    <x v="0"/>
    <x v="0"/>
    <x v="0"/>
    <m/>
    <x v="0"/>
    <b v="0"/>
    <s v="No está en VPC"/>
    <n v="750"/>
    <s v="INTPG_ACC_750_1.18"/>
    <s v="ISEL-1.18"/>
    <n v="0"/>
    <s v="NO TIENE L3OUT"/>
    <n v="2"/>
    <n v="54"/>
  </r>
  <r>
    <n v="792"/>
    <x v="2"/>
    <x v="135"/>
    <s v="eth1/18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18"/>
    <x v="0"/>
    <x v="1"/>
    <x v="3"/>
    <s v="CEM:ITHCEMG2RTB09:SLOT1 P1"/>
    <x v="0"/>
    <b v="0"/>
    <s v="No está en VPC"/>
    <n v="736"/>
    <s v="INTPG_ACC_736_1.18"/>
    <s v="ISEL-1.18"/>
    <n v="1"/>
    <s v="NO TIENE L3OUT"/>
    <n v="48"/>
    <n v="54"/>
  </r>
  <r>
    <n v="799"/>
    <x v="2"/>
    <x v="137"/>
    <s v="eth1/18"/>
    <x v="0"/>
    <x v="0"/>
    <x v="0"/>
    <s v="TO-IMC_PS06-MSP"/>
    <x v="0"/>
    <b v="0"/>
    <s v="No está en VPC"/>
    <n v="799"/>
    <s v="INTPG_ACC_799_1.18"/>
    <s v="ISEL-1.18"/>
    <n v="1"/>
    <s v="NO TIENE L3OUT"/>
    <n v="52"/>
    <n v="54"/>
  </r>
  <r>
    <n v="768"/>
    <x v="2"/>
    <x v="138"/>
    <s v="eth1/18"/>
    <x v="0"/>
    <x v="0"/>
    <x v="0"/>
    <s v="Portchannel_4_R6B"/>
    <x v="0"/>
    <b v="0"/>
    <s v="No está en VPC"/>
    <n v="768"/>
    <s v="INTPG_PC_768_1.17-18"/>
    <s v="ISEL-1.18"/>
    <n v="8"/>
    <s v="NO TIENE L3OUT"/>
    <n v="62"/>
    <n v="54"/>
  </r>
  <r>
    <n v="714"/>
    <x v="2"/>
    <x v="139"/>
    <s v="eth1/18"/>
    <x v="0"/>
    <x v="0"/>
    <x v="0"/>
    <s v="TO-ITHFHWVRALCN02"/>
    <x v="0"/>
    <b v="0"/>
    <s v="No está en VPC"/>
    <n v="714"/>
    <s v="INTPG_VPC_714_1.18_721_1.17"/>
    <s v="ISEL-1.18"/>
    <n v="108"/>
    <s v="NO TIENE L3OUT"/>
    <n v="20"/>
    <n v="54"/>
  </r>
  <r>
    <n v="717"/>
    <x v="2"/>
    <x v="140"/>
    <s v="eth1/18"/>
    <x v="0"/>
    <x v="0"/>
    <x v="0"/>
    <m/>
    <x v="0"/>
    <b v="0"/>
    <s v="No está en VPC"/>
    <n v="717"/>
    <s v="INTPG-VPC_HDD09_718_1.17_717_1.18"/>
    <s v="ISEL-1.18"/>
    <n v="1"/>
    <s v="NO TIENE L3OUT"/>
    <n v="0"/>
    <n v="54"/>
  </r>
  <r>
    <n v="789"/>
    <x v="2"/>
    <x v="141"/>
    <s v="eth1/18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18"/>
    <x v="0"/>
    <x v="0"/>
    <x v="0"/>
    <s v="Portchannel_4_R4A"/>
    <x v="0"/>
    <b v="0"/>
    <s v="No está en VPC"/>
    <n v="764"/>
    <s v="INTPG_PC_764_1.17-18"/>
    <s v="ISEL-1.18"/>
    <n v="8"/>
    <s v="NO TIENE L3OUT"/>
    <n v="62"/>
    <n v="54"/>
  </r>
  <r>
    <n v="783"/>
    <x v="2"/>
    <x v="143"/>
    <s v="eth1/18"/>
    <x v="0"/>
    <x v="0"/>
    <x v="0"/>
    <s v="LACP_NAS2_ENIQ9B"/>
    <x v="0"/>
    <b v="0"/>
    <s v="No está en VPC"/>
    <n v="783"/>
    <s v="INTPG_PC_783_1.16-19"/>
    <s v="ISEL-1.18"/>
    <n v="1"/>
    <s v="NO TIENE L3OUT"/>
    <n v="26"/>
    <n v="54"/>
  </r>
  <r>
    <n v="774"/>
    <x v="2"/>
    <x v="144"/>
    <s v="eth1/18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18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18"/>
    <x v="0"/>
    <x v="0"/>
    <x v="0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18"/>
    <x v="0"/>
    <x v="0"/>
    <x v="0"/>
    <s v="TO-HDPS_44-MSP"/>
    <x v="0"/>
    <b v="0"/>
    <s v="No está en VPC"/>
    <n v="803"/>
    <s v="INTPG_ACC_803_1.18"/>
    <s v="ISEL-1.18"/>
    <n v="1"/>
    <s v="NO TIENE L3OUT"/>
    <n v="48"/>
    <n v="54"/>
  </r>
  <r>
    <n v="786"/>
    <x v="2"/>
    <x v="148"/>
    <s v="eth1/18"/>
    <x v="0"/>
    <x v="0"/>
    <x v="0"/>
    <s v="ENIQ F2:itheniqr16bl02nas2r4a:Slot 2/2"/>
    <x v="0"/>
    <b v="0"/>
    <s v="No está en VPC"/>
    <n v="786"/>
    <s v="INTPG_PC_786_1.16-19"/>
    <s v="ISEL-1.18"/>
    <n v="1"/>
    <s v="NO TIENE L3OUT"/>
    <n v="26"/>
    <n v="54"/>
  </r>
  <r>
    <n v="757"/>
    <x v="2"/>
    <x v="149"/>
    <s v="eth1/18"/>
    <x v="0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18"/>
    <x v="0"/>
    <x v="0"/>
    <x v="0"/>
    <s v="LACP_NAS2_ENIQ1"/>
    <x v="0"/>
    <b v="0"/>
    <s v="No está en VPC"/>
    <n v="781"/>
    <s v="INTPG_PC_781_1.16-19"/>
    <s v="ISEL-1.18"/>
    <n v="1"/>
    <s v="NO TIENE L3OUT"/>
    <n v="26"/>
    <n v="54"/>
  </r>
  <r>
    <n v="793"/>
    <x v="2"/>
    <x v="151"/>
    <s v="eth1/18"/>
    <x v="0"/>
    <x v="0"/>
    <x v="0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18"/>
    <x v="0"/>
    <x v="1"/>
    <x v="3"/>
    <s v="PAAS:ithhwosstpap003:Slot4.1"/>
    <x v="0"/>
    <b v="0"/>
    <s v="No está en VPC"/>
    <n v="747"/>
    <s v="INTPG_VPC_747_1.18_752_1.28"/>
    <s v="ISEL-1.18"/>
    <n v="0"/>
    <s v="NO TIENE L3OUT"/>
    <n v="0"/>
    <n v="54"/>
  </r>
  <r>
    <n v="784"/>
    <x v="2"/>
    <x v="153"/>
    <s v="eth1/18"/>
    <x v="0"/>
    <x v="0"/>
    <x v="0"/>
    <s v="ENIQ F2:itheniqr13bl02nas2r6a:Slot 2/2"/>
    <x v="0"/>
    <b v="0"/>
    <s v="No está en VPC"/>
    <n v="784"/>
    <s v="INTPG_PC_784_1.16-19"/>
    <s v="ISEL-1.18"/>
    <n v="1"/>
    <s v="NO TIENE L3OUT"/>
    <n v="26"/>
    <n v="54"/>
  </r>
  <r>
    <n v="806"/>
    <x v="2"/>
    <x v="154"/>
    <s v="eth1/18"/>
    <x v="0"/>
    <x v="0"/>
    <x v="0"/>
    <s v="TO-HDPS_68-MSP"/>
    <x v="0"/>
    <b v="0"/>
    <s v="No está en VPC"/>
    <n v="806"/>
    <s v="INTPG_ACC_806_1.18"/>
    <s v="ISEL-1.18"/>
    <n v="1"/>
    <s v="NO TIENE L3OUT"/>
    <n v="44"/>
    <n v="54"/>
  </r>
  <r>
    <n v="777"/>
    <x v="2"/>
    <x v="155"/>
    <s v="eth1/18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18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18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18"/>
    <x v="0"/>
    <x v="0"/>
    <x v="0"/>
    <s v="CEM:ITHCEMC2AKF09:SLOT1 P1"/>
    <x v="5"/>
    <b v="0"/>
    <s v="No está en VPC"/>
    <n v="739"/>
    <s v="INTPG_ACC_739_1.18"/>
    <s v="ISEL-1.18"/>
    <n v="1"/>
    <s v="NO TIENE L3OUT"/>
    <n v="72"/>
    <n v="54"/>
  </r>
  <r>
    <n v="775"/>
    <x v="2"/>
    <x v="159"/>
    <s v="eth1/18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18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18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18"/>
    <x v="0"/>
    <x v="0"/>
    <x v="0"/>
    <s v="LINK_TO_ITHFHWCBSDSHD15 /Slot6.2 /Redundante"/>
    <x v="0"/>
    <b v="0"/>
    <s v="No está en VPC"/>
    <n v="830"/>
    <s v="INTPG_VPC_826_1.18_830_1.18"/>
    <s v="ISEL-1.18"/>
    <n v="1"/>
    <s v="NO TIENE L3OUT"/>
    <n v="12"/>
    <n v="54"/>
  </r>
  <r>
    <n v="821"/>
    <x v="2"/>
    <x v="163"/>
    <s v="eth1/18"/>
    <x v="0"/>
    <x v="0"/>
    <x v="0"/>
    <s v="LINK_TO_ITHFHWCBSPSHD15 /Slot6.2 /Redundante"/>
    <x v="0"/>
    <b v="0"/>
    <s v="No está en VPC"/>
    <n v="821"/>
    <s v="INTPG_VPC_816_1.18_821_1.18"/>
    <s v="ISEL-1.18"/>
    <n v="1"/>
    <s v="NO TIENE L3OUT"/>
    <n v="0"/>
    <n v="54"/>
  </r>
  <r>
    <n v="738"/>
    <x v="2"/>
    <x v="164"/>
    <s v="eth1/18"/>
    <x v="0"/>
    <x v="0"/>
    <x v="0"/>
    <s v="CEM:ITHCEMF2RTB09:SLOT1 P1"/>
    <x v="5"/>
    <b v="0"/>
    <s v="No está en VPC"/>
    <n v="738"/>
    <s v="INTPG_ACC_738_1.18"/>
    <s v="ISEL-1.18"/>
    <n v="1"/>
    <s v="NO TIENE L3OUT"/>
    <n v="72"/>
    <n v="54"/>
  </r>
  <r>
    <n v="820"/>
    <x v="2"/>
    <x v="165"/>
    <s v="eth1/18"/>
    <x v="0"/>
    <x v="0"/>
    <x v="0"/>
    <s v="LINK_TO_ITHHWCRMPEN03 /X3-10GE 4 /Redundante"/>
    <x v="0"/>
    <b v="0"/>
    <s v="No está en VPC"/>
    <n v="820"/>
    <s v="INTPG_VPC_820_1.15-16_18-19_825_1.1.15-16_18-19"/>
    <s v="ISEL-1.18"/>
    <n v="1"/>
    <s v="NO TIENE L3OUT"/>
    <n v="72"/>
    <n v="54"/>
  </r>
  <r>
    <n v="804"/>
    <x v="2"/>
    <x v="166"/>
    <s v="eth1/18"/>
    <x v="0"/>
    <x v="0"/>
    <x v="0"/>
    <s v="TO-HDPS_44-MSP"/>
    <x v="0"/>
    <b v="0"/>
    <s v="No está en VPC"/>
    <n v="804"/>
    <s v="INTPG_ACC_804_1.18"/>
    <s v="ISEL-1.18"/>
    <n v="1"/>
    <s v="NO TIENE L3OUT"/>
    <n v="48"/>
    <n v="54"/>
  </r>
  <r>
    <n v="779"/>
    <x v="2"/>
    <x v="167"/>
    <s v="eth1/18"/>
    <x v="0"/>
    <x v="0"/>
    <x v="0"/>
    <s v="ENIQ F1:itheniqr07nas2r2:Slot 2/2"/>
    <x v="0"/>
    <b v="0"/>
    <s v="No está en VPC"/>
    <n v="779"/>
    <s v="INTPG_PC_779_1.16-19"/>
    <s v="ISEL-1.18"/>
    <n v="1"/>
    <s v="NO TIENE L3OUT"/>
    <n v="30"/>
    <n v="54"/>
  </r>
  <r>
    <n v="767"/>
    <x v="2"/>
    <x v="168"/>
    <s v="eth1/18"/>
    <x v="0"/>
    <x v="0"/>
    <x v="0"/>
    <s v="Portchannel_4_R3"/>
    <x v="0"/>
    <b v="0"/>
    <s v="No está en VPC"/>
    <n v="767"/>
    <s v="INTPG_PC_767_1.17-18"/>
    <s v="ISEL-1.18"/>
    <n v="8"/>
    <s v="NO TIENE L3OUT"/>
    <n v="60"/>
    <n v="54"/>
  </r>
  <r>
    <n v="827"/>
    <x v="2"/>
    <x v="169"/>
    <s v="eth1/18"/>
    <x v="0"/>
    <x v="0"/>
    <x v="0"/>
    <s v="LINK_TO_ITHFHWCBSDSUSBD11 /10GE.1 /Principal"/>
    <x v="0"/>
    <b v="0"/>
    <s v="No está en VPC"/>
    <n v="827"/>
    <s v="INTPG_VPC_827_1.18_831_1.18"/>
    <s v="ISEL-1.18"/>
    <n v="1"/>
    <s v="NO TIENE L3OUT"/>
    <n v="14"/>
    <n v="54"/>
  </r>
  <r>
    <n v="809"/>
    <x v="2"/>
    <x v="170"/>
    <s v="eth1/18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18"/>
    <x v="0"/>
    <x v="0"/>
    <x v="0"/>
    <s v="Portchannel_5_R4A"/>
    <x v="0"/>
    <b v="0"/>
    <s v="No está en VPC"/>
    <n v="771"/>
    <s v="INTPG_PC_771_1.17-18"/>
    <s v="ISEL-1.18"/>
    <n v="8"/>
    <s v="NO TIENE L3OUT"/>
    <n v="62"/>
    <n v="54"/>
  </r>
  <r>
    <n v="761"/>
    <x v="2"/>
    <x v="172"/>
    <s v="eth1/18"/>
    <x v="0"/>
    <x v="1"/>
    <x v="1"/>
    <m/>
    <x v="0"/>
    <b v="0"/>
    <s v="No está en VPC"/>
    <n v="761"/>
    <s v="INTPG_VPC_760_1.17-20_761_1.17-20"/>
    <s v="ISEL-1.18"/>
    <n v="0"/>
    <s v="L3OUT-EXACLOUD"/>
    <n v="0"/>
    <n v="54"/>
  </r>
  <r>
    <n v="776"/>
    <x v="2"/>
    <x v="173"/>
    <s v="eth1/18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18"/>
    <x v="0"/>
    <x v="0"/>
    <x v="0"/>
    <s v="TO-HDPS_68-MSP"/>
    <x v="0"/>
    <b v="0"/>
    <s v="No está en VPC"/>
    <n v="805"/>
    <s v="INTPG_ACC_805_1.18"/>
    <s v="ISEL-1.18"/>
    <n v="1"/>
    <s v="NO TIENE L3OUT"/>
    <n v="44"/>
    <n v="54"/>
  </r>
  <r>
    <n v="772"/>
    <x v="2"/>
    <x v="175"/>
    <s v="eth1/18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18"/>
    <x v="0"/>
    <x v="0"/>
    <x v="0"/>
    <s v="ENIQ F2:itheniqr12bl02nas2r6b:Slot 2/2"/>
    <x v="0"/>
    <b v="0"/>
    <s v="No está en VPC"/>
    <n v="785"/>
    <s v="INTPG_PC_785_1.16-19"/>
    <s v="ISEL-1.18"/>
    <n v="1"/>
    <s v="NO TIENE L3OUT"/>
    <n v="32"/>
    <n v="54"/>
  </r>
  <r>
    <n v="851"/>
    <x v="2"/>
    <x v="177"/>
    <s v="eth1/18"/>
    <x v="0"/>
    <x v="0"/>
    <x v="0"/>
    <s v="LINK_TO_ITHFHWCRMPLCN106 / Slot7.3_16 / Redundante"/>
    <x v="0"/>
    <b v="0"/>
    <s v="No está en VPC"/>
    <n v="851"/>
    <s v="INTPG_ACC_851_1.18"/>
    <s v="ISEL-1.18"/>
    <n v="1"/>
    <s v="NO TIENE L3OUT"/>
    <n v="282"/>
    <n v="54"/>
  </r>
  <r>
    <n v="798"/>
    <x v="2"/>
    <x v="178"/>
    <s v="eth1/18"/>
    <x v="0"/>
    <x v="0"/>
    <x v="0"/>
    <s v="TO-IMC_PS06-MSP"/>
    <x v="0"/>
    <b v="0"/>
    <s v="No está en VPC"/>
    <n v="798"/>
    <s v="INTPG_ACC_798_1.18"/>
    <s v="ISEL-1.18"/>
    <n v="1"/>
    <s v="NO TIENE L3OUT"/>
    <n v="52"/>
    <n v="54"/>
  </r>
  <r>
    <n v="782"/>
    <x v="2"/>
    <x v="179"/>
    <s v="eth1/18"/>
    <x v="0"/>
    <x v="0"/>
    <x v="0"/>
    <s v="LACP_NAS2_ENIQ9A"/>
    <x v="0"/>
    <b v="0"/>
    <s v="No está en VPC"/>
    <n v="782"/>
    <s v="INTPG_PC_782_1.16-19"/>
    <s v="ISEL-1.18"/>
    <n v="1"/>
    <s v="NO TIENE L3OUT"/>
    <n v="32"/>
    <n v="54"/>
  </r>
  <r>
    <n v="852"/>
    <x v="2"/>
    <x v="180"/>
    <s v="eth1/18"/>
    <x v="0"/>
    <x v="0"/>
    <x v="0"/>
    <s v="LINK_TO_ITHFHWCRMPLCN90 / Slot7.1_12 / Redundante"/>
    <x v="0"/>
    <b v="0"/>
    <s v="No está en VPC"/>
    <n v="852"/>
    <s v="INTPG_ACC_852_1.18"/>
    <s v="ISEL-1.18"/>
    <n v="6"/>
    <s v="NO TIENE L3OUT"/>
    <n v="258"/>
    <n v="54"/>
  </r>
  <r>
    <n v="817"/>
    <x v="2"/>
    <x v="181"/>
    <s v="eth1/18"/>
    <x v="0"/>
    <x v="0"/>
    <x v="0"/>
    <s v="LINK_TO_ITHFHWCBSPSUSBD12 /Slot4.2 /Principal"/>
    <x v="0"/>
    <b v="0"/>
    <s v="No está en VPC"/>
    <n v="817"/>
    <s v="INTPG_VPC_817_1.18_822_1.18"/>
    <s v="ISEL-1.18"/>
    <n v="1"/>
    <s v="NO TIENE L3OUT"/>
    <n v="0"/>
    <n v="54"/>
  </r>
  <r>
    <n v="832"/>
    <x v="2"/>
    <x v="182"/>
    <s v="eth1/18"/>
    <x v="0"/>
    <x v="0"/>
    <x v="0"/>
    <s v="LINK_TO_ITHFHWCRMDLCN21 /Slot5.1 /Redundante"/>
    <x v="0"/>
    <b v="0"/>
    <s v="No está en VPC"/>
    <n v="832"/>
    <s v="INTPG_ACC_832_1.18"/>
    <s v="ISEL-1.18"/>
    <n v="2"/>
    <s v="NO TIENE L3OUT"/>
    <n v="192"/>
    <n v="54"/>
  </r>
  <r>
    <n v="816"/>
    <x v="2"/>
    <x v="183"/>
    <s v="eth1/18"/>
    <x v="0"/>
    <x v="0"/>
    <x v="0"/>
    <s v="LINK_TO_ITHFHWCBSPSHD15 /Slot4.2 /Principal"/>
    <x v="0"/>
    <b v="0"/>
    <s v="No está en VPC"/>
    <n v="816"/>
    <s v="INTPG_VPC_816_1.18_821_1.18"/>
    <s v="ISEL-1.18"/>
    <n v="1"/>
    <s v="NO TIENE L3OUT"/>
    <n v="0"/>
    <n v="54"/>
  </r>
  <r>
    <n v="825"/>
    <x v="2"/>
    <x v="184"/>
    <s v="eth1/18"/>
    <x v="0"/>
    <x v="0"/>
    <x v="0"/>
    <s v="LINK_TO_ITHHWCRMPEN03 /X3-10GE 3 /Principal"/>
    <x v="0"/>
    <b v="0"/>
    <s v="No está en VPC"/>
    <n v="825"/>
    <s v="INTPG_VPC_820_1.15-16_18-19_825_1.1.15-16_18-19"/>
    <s v="ISEL-1.18"/>
    <n v="1"/>
    <s v="NO TIENE L3OUT"/>
    <n v="72"/>
    <n v="54"/>
  </r>
  <r>
    <n v="800"/>
    <x v="2"/>
    <x v="185"/>
    <s v="eth1/18"/>
    <x v="0"/>
    <x v="0"/>
    <x v="0"/>
    <s v="TO-SCHS_01-MSP"/>
    <x v="0"/>
    <b v="0"/>
    <s v="No está en VPC"/>
    <n v="800"/>
    <s v="INTPG_ACC_800_1.18"/>
    <s v="ISEL-1.18"/>
    <n v="1"/>
    <s v="NO TIENE L3OUT"/>
    <n v="78"/>
    <n v="54"/>
  </r>
  <r>
    <n v="801"/>
    <x v="2"/>
    <x v="186"/>
    <s v="eth1/18"/>
    <x v="0"/>
    <x v="0"/>
    <x v="0"/>
    <s v="TO-SCHS_01-MSP"/>
    <x v="0"/>
    <b v="0"/>
    <s v="No está en VPC"/>
    <n v="801"/>
    <s v="INTPG_ACC_801_1.18"/>
    <s v="ISEL-1.18"/>
    <n v="1"/>
    <s v="NO TIENE L3OUT"/>
    <n v="78"/>
    <n v="54"/>
  </r>
  <r>
    <n v="823"/>
    <x v="2"/>
    <x v="187"/>
    <s v="eth1/18"/>
    <x v="0"/>
    <x v="0"/>
    <x v="0"/>
    <s v="LINK_TO_ITHFHWCBSPSUSBD19 /Slot5.1 /Redundante"/>
    <x v="0"/>
    <b v="0"/>
    <s v="No está en VPC"/>
    <n v="823"/>
    <s v="INTPG_VPC_818_1.18_823_1.18"/>
    <s v="ISEL-1.18"/>
    <n v="1"/>
    <s v="NO TIENE L3OUT"/>
    <n v="8"/>
    <n v="54"/>
  </r>
  <r>
    <n v="837"/>
    <x v="2"/>
    <x v="188"/>
    <s v="eth1/18"/>
    <x v="0"/>
    <x v="0"/>
    <x v="0"/>
    <s v="LINK_TO_ITHFHWCBSPSWR45 / Slot1.2_26 / Principal"/>
    <x v="0"/>
    <b v="0"/>
    <s v="No está en VPC"/>
    <n v="837"/>
    <s v="INTPG_VPC_837_1.18_842_1.18"/>
    <s v="ISEL-1.18"/>
    <n v="1"/>
    <s v="NO TIENE L3OUT"/>
    <n v="8"/>
    <n v="54"/>
  </r>
  <r>
    <n v="867"/>
    <x v="2"/>
    <x v="189"/>
    <s v="eth1/18"/>
    <x v="0"/>
    <x v="0"/>
    <x v="0"/>
    <s v="TO-ITHFSUEXG2XCP02_PCI6.P2"/>
    <x v="0"/>
    <b v="0"/>
    <s v="No está en VPC"/>
    <n v="867"/>
    <s v="INTPG_ACC_867_1.18"/>
    <s v="ISEL-1.18"/>
    <n v="1"/>
    <s v="NO TIENE L3OUT"/>
    <n v="44"/>
    <n v="54"/>
  </r>
  <r>
    <n v="829"/>
    <x v="2"/>
    <x v="190"/>
    <s v="eth1/18"/>
    <x v="0"/>
    <x v="0"/>
    <x v="0"/>
    <s v="LINK_TO_ITHFHWCRMDLCN33 /Slot6.2 /Redundante"/>
    <x v="0"/>
    <b v="0"/>
    <s v="No está en VPC"/>
    <n v="829"/>
    <s v="INTPG_ACC_829_1.18"/>
    <s v="ISEL-1.18"/>
    <n v="1"/>
    <s v="NO TIENE L3OUT"/>
    <n v="224"/>
    <n v="54"/>
  </r>
  <r>
    <n v="831"/>
    <x v="2"/>
    <x v="191"/>
    <s v="eth1/18"/>
    <x v="0"/>
    <x v="0"/>
    <x v="0"/>
    <s v="LINK_TO_ITHFHWCBSDSUSBD11 /Slot5.1 /Redundante"/>
    <x v="0"/>
    <b v="0"/>
    <s v="No está en VPC"/>
    <n v="831"/>
    <s v="INTPG_VPC_827_1.18_831_1.18"/>
    <s v="ISEL-1.18"/>
    <n v="1"/>
    <s v="NO TIENE L3OUT"/>
    <n v="14"/>
    <n v="54"/>
  </r>
  <r>
    <n v="802"/>
    <x v="2"/>
    <x v="192"/>
    <s v="eth1/18"/>
    <x v="0"/>
    <x v="0"/>
    <x v="0"/>
    <s v="TO-HDPS_20-MSP"/>
    <x v="0"/>
    <b v="0"/>
    <s v="No está en VPC"/>
    <n v="802"/>
    <s v="INTPG_ACC_802_1.18"/>
    <s v="ISEL-1.18"/>
    <n v="1"/>
    <s v="NO TIENE L3OUT"/>
    <n v="48"/>
    <n v="54"/>
  </r>
  <r>
    <n v="835"/>
    <x v="2"/>
    <x v="193"/>
    <s v="eth1/18"/>
    <x v="0"/>
    <x v="0"/>
    <x v="0"/>
    <s v="LINK_TO_ITHFHWCBSPSWR59 / Slot1.3_30 / Principal"/>
    <x v="0"/>
    <b v="0"/>
    <s v="No está en VPC"/>
    <n v="835"/>
    <s v="INTPG_VPC_835_1.18_840_1.18"/>
    <s v="ISEL-1.18"/>
    <n v="1"/>
    <s v="NO TIENE L3OUT"/>
    <n v="8"/>
    <n v="54"/>
  </r>
  <r>
    <n v="822"/>
    <x v="2"/>
    <x v="194"/>
    <s v="eth1/18"/>
    <x v="0"/>
    <x v="0"/>
    <x v="0"/>
    <s v="LINK_TO_ITHFHWCBSPSUSBD12 /Slot6.2 /Redundante"/>
    <x v="0"/>
    <b v="0"/>
    <s v="No está en VPC"/>
    <n v="822"/>
    <s v="INTPG_VPC_817_1.18_822_1.18"/>
    <s v="ISEL-1.18"/>
    <n v="1"/>
    <s v="NO TIENE L3OUT"/>
    <n v="0"/>
    <n v="54"/>
  </r>
  <r>
    <n v="854"/>
    <x v="2"/>
    <x v="195"/>
    <s v="eth1/18"/>
    <x v="0"/>
    <x v="0"/>
    <x v="0"/>
    <s v="LINK_TO_ITHFHWCRMPLCN171 / Slot1.2_12 / Principal"/>
    <x v="0"/>
    <b v="0"/>
    <s v="No está en VPC"/>
    <n v="854"/>
    <s v="INTPG_ACC_854_1.18"/>
    <s v="ISEL-1.18"/>
    <n v="2"/>
    <s v="NO TIENE L3OUT"/>
    <n v="204"/>
    <n v="54"/>
  </r>
  <r>
    <n v="858"/>
    <x v="2"/>
    <x v="196"/>
    <s v="eth1/18"/>
    <x v="0"/>
    <x v="0"/>
    <x v="0"/>
    <s v="To_VPC_2DCBSD_HD42_3"/>
    <x v="0"/>
    <b v="0"/>
    <s v="No está en VPC"/>
    <n v="858"/>
    <s v="INTPG_VPC_858_1.18_863_1.18"/>
    <s v="ISEL-1.18"/>
    <n v="1"/>
    <s v="NO TIENE L3OUT"/>
    <n v="8"/>
    <n v="54"/>
  </r>
  <r>
    <n v="857"/>
    <x v="2"/>
    <x v="197"/>
    <s v="eth1/18"/>
    <x v="0"/>
    <x v="0"/>
    <x v="0"/>
    <s v="LINKT_TO_ITHFHWCRMPLCN121 / Slot1.2_12 / Principal"/>
    <x v="0"/>
    <b v="0"/>
    <s v="No está en VPC"/>
    <n v="857"/>
    <s v="INTPG_ACC_857_1.18"/>
    <s v="ISEL-1.18"/>
    <n v="2"/>
    <s v="NO TIENE L3OUT"/>
    <n v="288"/>
    <n v="54"/>
  </r>
  <r>
    <n v="859"/>
    <x v="2"/>
    <x v="198"/>
    <s v="eth1/18"/>
    <x v="0"/>
    <x v="0"/>
    <x v="0"/>
    <s v="To_VPC_2DCBSD_HD36_3"/>
    <x v="0"/>
    <b v="0"/>
    <s v="No está en VPC"/>
    <n v="859"/>
    <s v="INTPG_VPC_859_1.18_864_1.18"/>
    <s v="ISEL-1.18"/>
    <n v="1"/>
    <s v="NO TIENE L3OUT"/>
    <n v="0"/>
    <n v="54"/>
  </r>
  <r>
    <n v="833"/>
    <x v="2"/>
    <x v="199"/>
    <s v="eth1/18"/>
    <x v="0"/>
    <x v="0"/>
    <x v="0"/>
    <s v="LINK_TO_ITHFHWCRMDLCN33 /Slot4.2 /Principal"/>
    <x v="0"/>
    <b v="0"/>
    <s v="No está en VPC"/>
    <n v="833"/>
    <s v="INTPG_ACC_833_1.18"/>
    <s v="ISEL-1.18"/>
    <n v="1"/>
    <s v="NO TIENE L3OUT"/>
    <n v="224"/>
    <n v="54"/>
  </r>
  <r>
    <n v="818"/>
    <x v="2"/>
    <x v="200"/>
    <s v="eth1/18"/>
    <x v="0"/>
    <x v="0"/>
    <x v="0"/>
    <s v="LINK_TO_ITHFHWCBSPSUSBD19 /10GE.1 /Principal"/>
    <x v="0"/>
    <b v="0"/>
    <s v="No está en VPC"/>
    <n v="818"/>
    <s v="INTPG_VPC_818_1.18_823_1.18"/>
    <s v="ISEL-1.18"/>
    <n v="1"/>
    <s v="NO TIENE L3OUT"/>
    <n v="8"/>
    <n v="54"/>
  </r>
  <r>
    <n v="850"/>
    <x v="2"/>
    <x v="201"/>
    <s v="eth1/18"/>
    <x v="0"/>
    <x v="0"/>
    <x v="0"/>
    <s v="LINKT_TO_ITHFHWCRMPLCN121 / Slot7.2_12 / Redundante"/>
    <x v="0"/>
    <b v="0"/>
    <s v="No está en VPC"/>
    <n v="850"/>
    <s v="INTPG_ACC_850_1.18"/>
    <s v="ISEL-1.18"/>
    <n v="2"/>
    <s v="NO TIENE L3OUT"/>
    <n v="288"/>
    <n v="54"/>
  </r>
  <r>
    <n v="860"/>
    <x v="2"/>
    <x v="202"/>
    <s v="eth1/18"/>
    <x v="0"/>
    <x v="0"/>
    <x v="0"/>
    <s v="To_VPC_2DCBSD_HD28_3"/>
    <x v="0"/>
    <b v="0"/>
    <s v="No está en VPC"/>
    <n v="860"/>
    <s v="INTPG_VPC_860_1.18_865_1.18"/>
    <s v="ISEL-1.18"/>
    <n v="1"/>
    <s v="NO TIENE L3OUT"/>
    <n v="0"/>
    <n v="54"/>
  </r>
  <r>
    <n v="853"/>
    <x v="2"/>
    <x v="203"/>
    <s v="eth1/18"/>
    <x v="0"/>
    <x v="0"/>
    <x v="0"/>
    <s v="LINK_TO_ITHFHWCRMPLCN77 / Slot7.3_12 / Redundante"/>
    <x v="0"/>
    <b v="0"/>
    <s v="No está en VPC"/>
    <n v="853"/>
    <s v="INTPG_ACC_853_1.18"/>
    <s v="ISEL-1.18"/>
    <n v="1"/>
    <s v="NO TIENE L3OUT"/>
    <n v="242"/>
    <n v="54"/>
  </r>
  <r>
    <n v="790"/>
    <x v="2"/>
    <x v="204"/>
    <s v="eth1/18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18"/>
    <x v="0"/>
    <x v="0"/>
    <x v="0"/>
    <s v="NETEZZA"/>
    <x v="6"/>
    <b v="0"/>
    <s v="No está en VPC"/>
    <n v="105"/>
    <s v="INTPG_ACC_105_1.18"/>
    <s v="ISEL-1.18"/>
    <n v="1"/>
    <s v="NO TIENE L3OUT"/>
    <n v="106"/>
    <n v="96"/>
  </r>
  <r>
    <n v="117"/>
    <x v="0"/>
    <x v="206"/>
    <s v="eth1/18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18"/>
    <x v="0"/>
    <x v="1"/>
    <x v="1"/>
    <s v="SFLDI"/>
    <x v="6"/>
    <b v="0"/>
    <s v="No está en VPC"/>
    <n v="104"/>
    <s v="INTPG_ACC_104_1.18"/>
    <s v="ISEL-1.18"/>
    <n v="1"/>
    <s v="NO TIENE L3OUT"/>
    <n v="194"/>
    <n v="96"/>
  </r>
  <r>
    <n v="158"/>
    <x v="0"/>
    <x v="208"/>
    <s v="eth1/18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18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18"/>
    <x v="0"/>
    <x v="0"/>
    <x v="0"/>
    <s v="HACIA_CSI-B-OSCP-F4-14_SECUNDARIO"/>
    <x v="4"/>
    <b v="0"/>
    <s v="No está en VPC"/>
    <n v="879"/>
    <s v="INTPG_VPC_878_1.18_879_1.18"/>
    <s v="ISEL-1.18"/>
    <n v="2"/>
    <s v="NO TIENE L3OUT"/>
    <n v="0"/>
    <n v="54"/>
  </r>
  <r>
    <n v="108"/>
    <x v="0"/>
    <x v="211"/>
    <s v="eth1/18"/>
    <x v="0"/>
    <x v="0"/>
    <x v="0"/>
    <s v="TELLABS"/>
    <x v="6"/>
    <b v="0"/>
    <s v="No está en VPC"/>
    <n v="108"/>
    <s v="INTPG_ACC_108_1.18"/>
    <s v="ISEL-1.18"/>
    <n v="1"/>
    <s v="NO TIENE L3OUT"/>
    <n v="126"/>
    <n v="96"/>
  </r>
  <r>
    <n v="112"/>
    <x v="0"/>
    <x v="212"/>
    <s v="eth1/18"/>
    <x v="1"/>
    <x v="1"/>
    <x v="2"/>
    <s v="APROVISIONAMIENTO DE SERVICIOS"/>
    <x v="6"/>
    <b v="0"/>
    <s v="No está en VPC"/>
    <n v="112"/>
    <s v="INTPG_ACC_112_1.18"/>
    <s v="ISEL-1.18"/>
    <n v="1"/>
    <s v="NO TIENE L3OUT"/>
    <n v="144"/>
    <n v="96"/>
  </r>
  <r>
    <n v="107"/>
    <x v="0"/>
    <x v="213"/>
    <s v="eth1/18"/>
    <x v="0"/>
    <x v="0"/>
    <x v="0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18"/>
    <x v="0"/>
    <x v="0"/>
    <x v="0"/>
    <s v="TELLABS"/>
    <x v="6"/>
    <b v="0"/>
    <s v="No está en VPC"/>
    <n v="109"/>
    <s v="INTPG_ACC_109_1.18"/>
    <s v="ISEL-1.18"/>
    <n v="1"/>
    <s v="NO TIENE L3OUT"/>
    <n v="126"/>
    <n v="96"/>
  </r>
  <r>
    <n v="113"/>
    <x v="0"/>
    <x v="215"/>
    <s v="eth1/18"/>
    <x v="0"/>
    <x v="0"/>
    <x v="0"/>
    <s v="TO-ITHFERNTCTLPFS01-Principal"/>
    <x v="6"/>
    <b v="0"/>
    <s v="No está en VPC"/>
    <n v="113"/>
    <s v="INTPG_ACC_113_1.18"/>
    <s v="ISEL-1.18"/>
    <n v="1"/>
    <s v="NO TIENE L3OUT"/>
    <n v="52"/>
    <n v="96"/>
  </r>
  <r>
    <n v="114"/>
    <x v="0"/>
    <x v="216"/>
    <s v="eth1/18"/>
    <x v="0"/>
    <x v="0"/>
    <x v="0"/>
    <s v="APROVISIONAMIENTO DE SERVICIOS"/>
    <x v="6"/>
    <b v="0"/>
    <s v="No está en VPC"/>
    <n v="114"/>
    <s v="INTPG_ACC_114_1.18"/>
    <s v="ISEL-1.18"/>
    <n v="1"/>
    <s v="NO TIENE L3OUT"/>
    <n v="144"/>
    <n v="96"/>
  </r>
  <r>
    <n v="124"/>
    <x v="0"/>
    <x v="217"/>
    <s v="eth1/18"/>
    <x v="0"/>
    <x v="0"/>
    <x v="0"/>
    <s v="UXSVA (M9000)"/>
    <x v="6"/>
    <b v="0"/>
    <s v="No está en VPC"/>
    <n v="124"/>
    <s v="INTPG_ACC_124_1.18"/>
    <s v="ISEL-1.18"/>
    <n v="1"/>
    <s v="NO TIENE L3OUT"/>
    <n v="80"/>
    <n v="96"/>
  </r>
  <r>
    <n v="118"/>
    <x v="0"/>
    <x v="218"/>
    <s v="eth1/18"/>
    <x v="0"/>
    <x v="0"/>
    <x v="0"/>
    <s v="COBROS NAVEGACION"/>
    <x v="6"/>
    <b v="0"/>
    <s v="No está en VPC"/>
    <n v="118"/>
    <s v="INTPG_ACC_118_1.18"/>
    <s v="ISEL-1.18"/>
    <n v="1"/>
    <s v="NO TIENE L3OUT"/>
    <n v="180"/>
    <n v="96"/>
  </r>
  <r>
    <n v="159"/>
    <x v="0"/>
    <x v="219"/>
    <s v="eth1/18"/>
    <x v="0"/>
    <x v="0"/>
    <x v="0"/>
    <m/>
    <x v="6"/>
    <b v="0"/>
    <s v="No está en VPC"/>
    <n v="159"/>
    <s v="INTPG_ACC_159_1.18"/>
    <s v="ISEL-1.18"/>
    <n v="1"/>
    <s v="NO TIENE L3OUT"/>
    <n v="72"/>
    <n v="96"/>
  </r>
  <r>
    <n v="840"/>
    <x v="2"/>
    <x v="220"/>
    <s v="eth1/18"/>
    <x v="0"/>
    <x v="0"/>
    <x v="0"/>
    <s v="LINK_TO_ITHFHWCBSPSWR59 / Slot7.3_30 / Redundante"/>
    <x v="0"/>
    <b v="0"/>
    <s v="No está en VPC"/>
    <n v="840"/>
    <s v="INTPG_VPC_835_1.18_840_1.18"/>
    <s v="ISEL-1.18"/>
    <n v="1"/>
    <s v="NO TIENE L3OUT"/>
    <n v="8"/>
    <n v="54"/>
  </r>
  <r>
    <n v="856"/>
    <x v="2"/>
    <x v="221"/>
    <s v="eth1/18"/>
    <x v="0"/>
    <x v="0"/>
    <x v="0"/>
    <s v="LINK_TO_ITHFHWCRMPLCN140 / Slot1.2_14 / Principal"/>
    <x v="0"/>
    <b v="0"/>
    <s v="No está en VPC"/>
    <n v="856"/>
    <s v="INTPG_ACC_856_1.18"/>
    <s v="ISEL-1.18"/>
    <n v="2"/>
    <s v="NO TIENE L3OUT"/>
    <n v="286"/>
    <n v="54"/>
  </r>
  <r>
    <n v="110"/>
    <x v="0"/>
    <x v="222"/>
    <s v="eth1/18"/>
    <x v="1"/>
    <x v="1"/>
    <x v="2"/>
    <s v="UXDX-DATOS"/>
    <x v="6"/>
    <b v="0"/>
    <s v="No está en VPC"/>
    <n v="110"/>
    <s v="INTPG_ACC_110_1.18"/>
    <s v="ISEL-1.18"/>
    <n v="0"/>
    <s v="NO TIENE L3OUT"/>
    <n v="102"/>
    <n v="96"/>
  </r>
  <r>
    <n v="163"/>
    <x v="0"/>
    <x v="223"/>
    <s v="eth1/18"/>
    <x v="0"/>
    <x v="0"/>
    <x v="0"/>
    <s v="SICOP"/>
    <x v="6"/>
    <b v="0"/>
    <s v="No está en VPC"/>
    <n v="163"/>
    <s v="INTPG_ACC_163_1.18"/>
    <s v="ISEL-1.18"/>
    <n v="1"/>
    <s v="NO TIENE L3OUT"/>
    <n v="140"/>
    <n v="96"/>
  </r>
  <r>
    <n v="407"/>
    <x v="1"/>
    <x v="224"/>
    <s v="eth1/18"/>
    <x v="0"/>
    <x v="0"/>
    <x v="0"/>
    <s v="IXT_SIEU"/>
    <x v="6"/>
    <b v="0"/>
    <s v="No está en VPC"/>
    <n v="407"/>
    <s v="INTPG_ACC_407_1.18"/>
    <s v="ISEL-1.18"/>
    <n v="1"/>
    <s v="NO TIENE L3OUT"/>
    <n v="122"/>
    <n v="96"/>
  </r>
  <r>
    <n v="171"/>
    <x v="0"/>
    <x v="225"/>
    <s v="eth1/18"/>
    <x v="0"/>
    <x v="1"/>
    <x v="1"/>
    <s v="Mnemonico Remedy: SIXFIC (oss)"/>
    <x v="6"/>
    <b v="0"/>
    <s v="No está en VPC"/>
    <n v="171"/>
    <s v="INTPG_ACC_171_1.18"/>
    <s v="ISEL-1.18"/>
    <n v="1"/>
    <s v="NO TIENE L3OUT"/>
    <n v="114"/>
    <n v="96"/>
  </r>
  <r>
    <n v="421"/>
    <x v="1"/>
    <x v="226"/>
    <s v="eth1/18"/>
    <x v="0"/>
    <x v="0"/>
    <x v="0"/>
    <s v="HP Proliant DL380p(f)"/>
    <x v="6"/>
    <b v="0"/>
    <s v="No está en VPC"/>
    <n v="421"/>
    <s v="INTPG_ACC_421_1.18"/>
    <s v="ISEL-1.18"/>
    <n v="1"/>
    <s v="NO TIENE L3OUT"/>
    <n v="72"/>
    <n v="96"/>
  </r>
  <r>
    <n v="173"/>
    <x v="0"/>
    <x v="227"/>
    <s v="eth1/18"/>
    <x v="0"/>
    <x v="0"/>
    <x v="0"/>
    <s v="ENIQ"/>
    <x v="6"/>
    <b v="0"/>
    <s v="No está en VPC"/>
    <n v="173"/>
    <s v="INTPG_ACC_173_1.18"/>
    <s v="ISEL-1.18"/>
    <n v="1"/>
    <s v="NO TIENE L3OUT"/>
    <n v="66"/>
    <n v="96"/>
  </r>
  <r>
    <n v="154"/>
    <x v="0"/>
    <x v="228"/>
    <s v="eth1/18"/>
    <x v="0"/>
    <x v="1"/>
    <x v="1"/>
    <s v="BLOQUEO EMEI"/>
    <x v="6"/>
    <b v="0"/>
    <s v="No está en VPC"/>
    <n v="154"/>
    <s v="INTPG_ACC_154_1.18"/>
    <s v="ISEL-1.18"/>
    <n v="1"/>
    <s v="NO TIENE L3OUT"/>
    <n v="62"/>
    <n v="96"/>
  </r>
  <r>
    <n v="172"/>
    <x v="0"/>
    <x v="229"/>
    <s v="eth1/18"/>
    <x v="0"/>
    <x v="0"/>
    <x v="0"/>
    <s v="SOP-EAGLE"/>
    <x v="6"/>
    <b v="0"/>
    <s v="No está en VPC"/>
    <n v="172"/>
    <s v="INTPG_ACC_172_1.18"/>
    <s v="ISEL-1.18"/>
    <n v="1"/>
    <s v="NO TIENE L3OUT"/>
    <n v="104"/>
    <n v="96"/>
  </r>
  <r>
    <n v="420"/>
    <x v="1"/>
    <x v="230"/>
    <s v="eth1/18"/>
    <x v="0"/>
    <x v="0"/>
    <x v="0"/>
    <s v="sfmevp03"/>
    <x v="6"/>
    <b v="0"/>
    <s v="No está en VPC"/>
    <n v="420"/>
    <s v="INTPG_ACC_420_1.18"/>
    <s v="ISEL-1.18"/>
    <n v="1"/>
    <s v="NO TIENE L3OUT"/>
    <n v="158"/>
    <n v="96"/>
  </r>
  <r>
    <n v="423"/>
    <x v="1"/>
    <x v="231"/>
    <s v="eth1/18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18"/>
    <x v="0"/>
    <x v="0"/>
    <x v="0"/>
    <s v="OCC ITHCC1 TRAFICO GY-RO"/>
    <x v="6"/>
    <b v="0"/>
    <s v="No está en VPC"/>
    <n v="415"/>
    <s v="INTPG_ACC_415_1.18"/>
    <s v="ISEL-1.18"/>
    <n v="1"/>
    <s v="NO TIENE L3OUT"/>
    <n v="52"/>
    <n v="96"/>
  </r>
  <r>
    <n v="102"/>
    <x v="0"/>
    <x v="233"/>
    <s v="eth1/18"/>
    <x v="0"/>
    <x v="1"/>
    <x v="1"/>
    <s v="SFLDI:RLDICRS01:1"/>
    <x v="6"/>
    <b v="0"/>
    <s v="No está en VPC"/>
    <n v="102"/>
    <s v="INTPG_ACC_102_1.18"/>
    <s v="ISEL-1.18"/>
    <n v="1"/>
    <s v="NO TIENE L3OUT"/>
    <n v="228"/>
    <n v="96"/>
  </r>
  <r>
    <n v="863"/>
    <x v="2"/>
    <x v="234"/>
    <s v="eth1/18"/>
    <x v="0"/>
    <x v="0"/>
    <x v="0"/>
    <s v="To_VPC_2DCBSD_HD42_3"/>
    <x v="0"/>
    <b v="0"/>
    <s v="No está en VPC"/>
    <n v="863"/>
    <s v="INTPG_VPC_858_1.18_863_1.18"/>
    <s v="ISEL-1.18"/>
    <n v="1"/>
    <s v="NO TIENE L3OUT"/>
    <n v="8"/>
    <n v="54"/>
  </r>
  <r>
    <n v="876"/>
    <x v="2"/>
    <x v="235"/>
    <s v="eth1/18"/>
    <x v="0"/>
    <x v="0"/>
    <x v="0"/>
    <s v="LINK_TO_ITHFHWSEQLIMPS29 / Slot 4 PTO 1 / Principal"/>
    <x v="4"/>
    <b v="0"/>
    <s v="No está en VPC"/>
    <n v="876"/>
    <s v="INTPG_ACC_876_1.18"/>
    <s v="ISEL-1.18"/>
    <n v="1"/>
    <s v="NO TIENE L3OUT"/>
    <n v="92"/>
    <n v="54"/>
  </r>
  <r>
    <n v="877"/>
    <x v="2"/>
    <x v="236"/>
    <s v="eth1/18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18"/>
    <x v="0"/>
    <x v="1"/>
    <x v="1"/>
    <s v="TEMIP_MGMT1"/>
    <x v="6"/>
    <b v="0"/>
    <s v="No está en VPC"/>
    <n v="122"/>
    <s v="INTPG_ACC_122_1.18"/>
    <s v="ISEL-1.18"/>
    <n v="0"/>
    <s v="NO TIENE L3OUT"/>
    <n v="148"/>
    <n v="96"/>
  </r>
  <r>
    <n v="157"/>
    <x v="0"/>
    <x v="238"/>
    <s v="eth1/18"/>
    <x v="0"/>
    <x v="0"/>
    <x v="0"/>
    <s v="Cons. Prepago M8000"/>
    <x v="6"/>
    <b v="0"/>
    <s v="No está en VPC"/>
    <n v="157"/>
    <s v="INTPG_ACC_157_1.18"/>
    <s v="ISEL-1.18"/>
    <n v="1"/>
    <s v="NO TIENE L3OUT"/>
    <n v="202"/>
    <n v="96"/>
  </r>
  <r>
    <n v="408"/>
    <x v="1"/>
    <x v="239"/>
    <s v="eth1/18"/>
    <x v="0"/>
    <x v="1"/>
    <x v="1"/>
    <s v="UXCA_EXADATA"/>
    <x v="6"/>
    <b v="0"/>
    <s v="No está en VPC"/>
    <n v="408"/>
    <s v="INTPG_ACC_408_1.18"/>
    <s v="ISEL-1.18"/>
    <n v="1"/>
    <s v="NO TIENE L3OUT"/>
    <n v="152"/>
    <n v="96"/>
  </r>
  <r>
    <n v="405"/>
    <x v="1"/>
    <x v="240"/>
    <s v="eth1/18"/>
    <x v="0"/>
    <x v="0"/>
    <x v="0"/>
    <s v="XL5 RLR5ARI08 iLO"/>
    <x v="6"/>
    <b v="0"/>
    <s v="No está en VPC"/>
    <n v="405"/>
    <s v="INTPG_ACC_405_1.18"/>
    <s v="ISEL-1.18"/>
    <n v="1"/>
    <s v="NO TIENE L3OUT"/>
    <n v="138"/>
    <n v="96"/>
  </r>
  <r>
    <n v="169"/>
    <x v="0"/>
    <x v="241"/>
    <s v="eth1/18"/>
    <x v="0"/>
    <x v="0"/>
    <x v="0"/>
    <s v="HUAWEI_VMS_VVM_Datos"/>
    <x v="6"/>
    <b v="0"/>
    <s v="No está en VPC"/>
    <n v="169"/>
    <s v="INTPG_VPC_167_1.25_169_1.18"/>
    <s v="ISEL-1.18"/>
    <n v="2"/>
    <s v="NO TIENE L3OUT"/>
    <n v="76"/>
    <n v="96"/>
  </r>
  <r>
    <n v="165"/>
    <x v="0"/>
    <x v="242"/>
    <s v="eth1/18"/>
    <x v="0"/>
    <x v="0"/>
    <x v="0"/>
    <s v="UXLDAP"/>
    <x v="6"/>
    <b v="0"/>
    <s v="No está en VPC"/>
    <n v="165"/>
    <s v="INTPG_ACC_165_1.18"/>
    <s v="ISEL-1.18"/>
    <n v="1"/>
    <s v="NO TIENE L3OUT"/>
    <n v="86"/>
    <n v="96"/>
  </r>
  <r>
    <n v="417"/>
    <x v="1"/>
    <x v="243"/>
    <s v="eth1/18"/>
    <x v="0"/>
    <x v="0"/>
    <x v="0"/>
    <s v="IXTSRM2_VM2"/>
    <x v="6"/>
    <b v="0"/>
    <s v="No está en VPC"/>
    <n v="417"/>
    <s v="INTPG_ACC_417_1.18"/>
    <s v="ISEL-1.18"/>
    <n v="1"/>
    <s v="NO TIENE L3OUT"/>
    <n v="56"/>
    <n v="96"/>
  </r>
  <r>
    <n v="153"/>
    <x v="0"/>
    <x v="244"/>
    <s v="eth1/18"/>
    <x v="0"/>
    <x v="0"/>
    <x v="0"/>
    <s v="CHARGING SYSTEM"/>
    <x v="6"/>
    <b v="0"/>
    <s v="No está en VPC"/>
    <n v="153"/>
    <s v="INTPG_ACC_153_1.18"/>
    <s v="ISEL-1.18"/>
    <n v="1"/>
    <s v="NO TIENE L3OUT"/>
    <n v="42"/>
    <n v="96"/>
  </r>
  <r>
    <n v="119"/>
    <x v="0"/>
    <x v="245"/>
    <s v="eth1/18"/>
    <x v="1"/>
    <x v="1"/>
    <x v="2"/>
    <s v="DESC"/>
    <x v="6"/>
    <b v="0"/>
    <s v="No está en VPC"/>
    <n v="119"/>
    <s v="INTPG_PC_119_1.1-4_17-20"/>
    <s v="ISEL-1.18"/>
    <n v="31"/>
    <s v="NO TIENE L3OUT"/>
    <n v="70"/>
    <n v="96"/>
  </r>
  <r>
    <n v="156"/>
    <x v="0"/>
    <x v="246"/>
    <s v="eth1/18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18"/>
    <x v="0"/>
    <x v="0"/>
    <x v="0"/>
    <s v="EHEALTH:ehealthp02:ILOM"/>
    <x v="6"/>
    <b v="0"/>
    <s v="No está en VPC"/>
    <n v="103"/>
    <s v="INTPG_ACC_103_1.18"/>
    <s v="ISEL-1.18"/>
    <n v="1"/>
    <s v="NO TIENE L3OUT"/>
    <n v="70"/>
    <n v="96"/>
  </r>
  <r>
    <n v="438"/>
    <x v="1"/>
    <x v="248"/>
    <s v="eth1/18"/>
    <x v="0"/>
    <x v="0"/>
    <x v="0"/>
    <s v="HP_Proliant_DL380p(a)"/>
    <x v="6"/>
    <b v="0"/>
    <s v="No está en VPC"/>
    <n v="438"/>
    <s v="INTPG_ACC_438_1.18"/>
    <s v="ISEL-1.18"/>
    <n v="1"/>
    <s v="NO TIENE L3OUT"/>
    <n v="170"/>
    <n v="96"/>
  </r>
  <r>
    <n v="406"/>
    <x v="1"/>
    <x v="249"/>
    <s v="eth1/18"/>
    <x v="0"/>
    <x v="0"/>
    <x v="0"/>
    <s v="ITHRTC41VC2"/>
    <x v="6"/>
    <b v="0"/>
    <s v="No está en VPC"/>
    <n v="406"/>
    <s v="INTPG_VPC_404_1.18_406_1.18"/>
    <s v="ISEL-1.18"/>
    <n v="1"/>
    <s v="NO TIENE L3OUT"/>
    <n v="82"/>
    <n v="96"/>
  </r>
  <r>
    <n v="414"/>
    <x v="1"/>
    <x v="250"/>
    <s v="eth1/18"/>
    <x v="0"/>
    <x v="0"/>
    <x v="0"/>
    <s v="NEC Femtocel NMS"/>
    <x v="6"/>
    <b v="0"/>
    <s v="No está en VPC"/>
    <n v="414"/>
    <s v="INTPG_ACC_414_1.18"/>
    <s v="ISEL-1.18"/>
    <n v="1"/>
    <s v="NO TIENE L3OUT"/>
    <n v="144"/>
    <n v="96"/>
  </r>
  <r>
    <n v="416"/>
    <x v="1"/>
    <x v="251"/>
    <s v="eth1/18"/>
    <x v="0"/>
    <x v="0"/>
    <x v="0"/>
    <s v="TO-ITHFHPSMEPRAP02_ILO"/>
    <x v="6"/>
    <b v="0"/>
    <s v="No está en VPC"/>
    <n v="416"/>
    <s v="INTPG_ACC_416_1.18"/>
    <s v="ISEL-1.18"/>
    <n v="1"/>
    <s v="NO TIENE L3OUT"/>
    <n v="110"/>
    <n v="96"/>
  </r>
  <r>
    <n v="418"/>
    <x v="1"/>
    <x v="252"/>
    <s v="eth1/18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18"/>
    <x v="0"/>
    <x v="0"/>
    <x v="0"/>
    <m/>
    <x v="6"/>
    <b v="0"/>
    <s v="No está en VPC"/>
    <n v="413"/>
    <s v="INTPG_ACC_413_1.18"/>
    <s v="ISEL-1.18"/>
    <n v="2"/>
    <s v="NO TIENE L3OUT"/>
    <n v="126"/>
    <n v="96"/>
  </r>
  <r>
    <n v="403"/>
    <x v="1"/>
    <x v="254"/>
    <s v="eth1/18"/>
    <x v="0"/>
    <x v="0"/>
    <x v="0"/>
    <s v="XL5 RLR5ARI08"/>
    <x v="6"/>
    <b v="0"/>
    <s v="No está en VPC"/>
    <n v="403"/>
    <s v="INTPG_ACC_403_1.18"/>
    <s v="ISEL-1.18"/>
    <n v="1"/>
    <s v="NO TIENE L3OUT"/>
    <n v="150"/>
    <n v="96"/>
  </r>
  <r>
    <n v="125"/>
    <x v="0"/>
    <x v="255"/>
    <s v="eth1/18"/>
    <x v="1"/>
    <x v="1"/>
    <x v="2"/>
    <s v="UXSVA (M5000)"/>
    <x v="6"/>
    <b v="0"/>
    <s v="No está en VPC"/>
    <n v="125"/>
    <s v="INTPG_ACC_125_1.18"/>
    <s v="ISEL-1.18"/>
    <n v="0"/>
    <s v="NO TIENE L3OUT"/>
    <n v="72"/>
    <n v="96"/>
  </r>
  <r>
    <n v="166"/>
    <x v="0"/>
    <x v="256"/>
    <s v="eth1/18"/>
    <x v="0"/>
    <x v="0"/>
    <x v="0"/>
    <s v="UXLDAP"/>
    <x v="6"/>
    <b v="0"/>
    <s v="No está en VPC"/>
    <n v="166"/>
    <s v="INTPG_ACC_166_1.18"/>
    <s v="ISEL-1.18"/>
    <n v="1"/>
    <s v="NO TIENE L3OUT"/>
    <n v="84"/>
    <n v="96"/>
  </r>
  <r>
    <n v="111"/>
    <x v="0"/>
    <x v="257"/>
    <s v="eth1/18"/>
    <x v="0"/>
    <x v="0"/>
    <x v="0"/>
    <s v="UXDX-DATOS"/>
    <x v="6"/>
    <b v="0"/>
    <s v="No está en VPC"/>
    <n v="111"/>
    <s v="INTPG_ACC_111_1.18"/>
    <s v="ISEL-1.18"/>
    <n v="1"/>
    <s v="NO TIENE L3OUT"/>
    <n v="58"/>
    <n v="96"/>
  </r>
  <r>
    <n v="115"/>
    <x v="0"/>
    <x v="258"/>
    <s v="eth1/18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18"/>
    <x v="1"/>
    <x v="1"/>
    <x v="2"/>
    <m/>
    <x v="6"/>
    <b v="0"/>
    <s v="No está en VPC"/>
    <n v="106"/>
    <s v="INTPG_ACC_106_1.18"/>
    <s v="ISEL-1.18"/>
    <n v="1"/>
    <s v="NO TIENE L3OUT"/>
    <n v="122"/>
    <n v="96"/>
  </r>
  <r>
    <n v="126"/>
    <x v="0"/>
    <x v="260"/>
    <s v="eth1/18"/>
    <x v="0"/>
    <x v="0"/>
    <x v="0"/>
    <s v="ENIQ"/>
    <x v="6"/>
    <b v="0"/>
    <s v="No está en VPC"/>
    <n v="126"/>
    <s v="INTPG_ACC_126_1.18"/>
    <s v="ISEL-1.18"/>
    <n v="1"/>
    <s v="NO TIENE L3OUT"/>
    <n v="54"/>
    <n v="96"/>
  </r>
  <r>
    <n v="425"/>
    <x v="1"/>
    <x v="261"/>
    <s v="eth1/18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18"/>
    <x v="0"/>
    <x v="1"/>
    <x v="1"/>
    <s v="HUAWEI"/>
    <x v="6"/>
    <b v="0"/>
    <s v="No está en VPC"/>
    <n v="151"/>
    <s v="INTPG_ACC_151_1.18"/>
    <s v="ISEL-1.18"/>
    <n v="1"/>
    <s v="NO TIENE L3OUT"/>
    <n v="86"/>
    <n v="96"/>
  </r>
  <r>
    <n v="430"/>
    <x v="1"/>
    <x v="263"/>
    <s v="eth1/18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18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18"/>
    <x v="0"/>
    <x v="0"/>
    <x v="0"/>
    <s v="COBROS NAVEGACION"/>
    <x v="6"/>
    <b v="0"/>
    <s v="No está en VPC"/>
    <n v="155"/>
    <s v="INTPG_ACC_155_1.18"/>
    <s v="ISEL-1.18"/>
    <n v="1"/>
    <s v="NO TIENE L3OUT"/>
    <n v="198"/>
    <n v="96"/>
  </r>
  <r>
    <n v="409"/>
    <x v="1"/>
    <x v="266"/>
    <s v="eth1/18"/>
    <x v="0"/>
    <x v="1"/>
    <x v="1"/>
    <s v="IXT_SIEU"/>
    <x v="6"/>
    <b v="0"/>
    <s v="No está en VPC"/>
    <n v="409"/>
    <s v="INTPG_ACC_409_1.18"/>
    <s v="ISEL-1.18"/>
    <n v="1"/>
    <s v="NO TIENE L3OUT"/>
    <n v="128"/>
    <n v="96"/>
  </r>
  <r>
    <n v="422"/>
    <x v="1"/>
    <x v="267"/>
    <s v="eth1/18"/>
    <x v="0"/>
    <x v="0"/>
    <x v="0"/>
    <s v="TO-ITHFDEOCP1LWR06-REDUNDANTE"/>
    <x v="6"/>
    <b v="0"/>
    <s v="No está en VPC"/>
    <n v="422"/>
    <s v="INTPG_ACC_422_1.18"/>
    <s v="ISEL-1.18"/>
    <n v="1"/>
    <s v="NO TIENE L3OUT"/>
    <n v="182"/>
    <n v="96"/>
  </r>
  <r>
    <n v="436"/>
    <x v="1"/>
    <x v="268"/>
    <s v="eth1/18"/>
    <x v="0"/>
    <x v="0"/>
    <x v="0"/>
    <s v="HP_Proliant_DL380p(a)"/>
    <x v="6"/>
    <b v="0"/>
    <s v="No está en VPC"/>
    <n v="436"/>
    <s v="INTPG_ACC_436_1.18"/>
    <s v="ISEL-1.18"/>
    <n v="1"/>
    <s v="NO TIENE L3OUT"/>
    <n v="172"/>
    <n v="96"/>
  </r>
  <r>
    <n v="410"/>
    <x v="1"/>
    <x v="269"/>
    <s v="eth1/18"/>
    <x v="0"/>
    <x v="0"/>
    <x v="0"/>
    <s v="ITHMSVB2_ITH2"/>
    <x v="6"/>
    <b v="0"/>
    <s v="No está en VPC"/>
    <n v="410"/>
    <s v="INTPG_ACC_410_1.18"/>
    <s v="ISEL-1.18"/>
    <n v="1"/>
    <s v="NO TIENE L3OUT"/>
    <n v="178"/>
    <n v="96"/>
  </r>
  <r>
    <n v="161"/>
    <x v="0"/>
    <x v="270"/>
    <s v="eth1/18"/>
    <x v="1"/>
    <x v="1"/>
    <x v="2"/>
    <s v="SICOP"/>
    <x v="6"/>
    <b v="0"/>
    <s v="No está en VPC"/>
    <n v="161"/>
    <s v="INTPG_ACC_161_1.18"/>
    <s v="ISEL-1.18"/>
    <n v="0"/>
    <s v="NO TIENE L3OUT"/>
    <n v="102"/>
    <n v="96"/>
  </r>
  <r>
    <n v="411"/>
    <x v="1"/>
    <x v="271"/>
    <s v="eth1/18"/>
    <x v="0"/>
    <x v="0"/>
    <x v="0"/>
    <s v="GESTOR"/>
    <x v="6"/>
    <b v="0"/>
    <s v="No está en VPC"/>
    <n v="411"/>
    <s v="INTPG_ACC_411_1.18"/>
    <s v="ISEL-1.18"/>
    <n v="2"/>
    <s v="NO TIENE L3OUT"/>
    <n v="96"/>
    <n v="96"/>
  </r>
  <r>
    <n v="116"/>
    <x v="0"/>
    <x v="272"/>
    <s v="eth1/18"/>
    <x v="0"/>
    <x v="0"/>
    <x v="0"/>
    <s v="COBROS NAVEGACION"/>
    <x v="6"/>
    <b v="0"/>
    <s v="No está en VPC"/>
    <n v="116"/>
    <s v="INTPG_ACC_116_1.18"/>
    <s v="ISEL-1.18"/>
    <n v="1"/>
    <s v="NO TIENE L3OUT"/>
    <n v="148"/>
    <n v="96"/>
  </r>
  <r>
    <n v="412"/>
    <x v="1"/>
    <x v="273"/>
    <s v="eth1/18"/>
    <x v="0"/>
    <x v="0"/>
    <x v="0"/>
    <s v="RESPAL_CS5_ASAP8"/>
    <x v="6"/>
    <b v="0"/>
    <s v="No está en VPC"/>
    <n v="412"/>
    <s v="INTPG_ACC_412_1.18"/>
    <s v="ISEL-1.18"/>
    <n v="1"/>
    <s v="NO TIENE L3OUT"/>
    <n v="126"/>
    <n v="96"/>
  </r>
  <r>
    <n v="120"/>
    <x v="0"/>
    <x v="274"/>
    <s v="eth1/18"/>
    <x v="0"/>
    <x v="1"/>
    <x v="1"/>
    <s v="TEMIP_MGMT1"/>
    <x v="6"/>
    <b v="0"/>
    <s v="No está en VPC"/>
    <n v="120"/>
    <s v="INTPG_ACC_120_1.18"/>
    <s v="ISEL-1.18"/>
    <n v="1"/>
    <s v="NO TIENE L3OUT"/>
    <n v="158"/>
    <n v="96"/>
  </r>
  <r>
    <n v="404"/>
    <x v="1"/>
    <x v="275"/>
    <s v="eth1/18"/>
    <x v="0"/>
    <x v="0"/>
    <x v="0"/>
    <s v="ITHRTC41VC2"/>
    <x v="6"/>
    <b v="0"/>
    <s v="No está en VPC"/>
    <n v="404"/>
    <s v="INTPG_VPC_404_1.18_406_1.18"/>
    <s v="ISEL-1.18"/>
    <n v="1"/>
    <s v="NO TIENE L3OUT"/>
    <n v="92"/>
    <n v="96"/>
  </r>
  <r>
    <n v="167"/>
    <x v="0"/>
    <x v="276"/>
    <s v="eth1/18"/>
    <x v="0"/>
    <x v="0"/>
    <x v="0"/>
    <s v="LINKDOWN_HACIA_UCS_9UCS-IXTLA-SERV2"/>
    <x v="6"/>
    <b v="0"/>
    <s v="No está en VPC"/>
    <n v="167"/>
    <s v="INTPG_ACC_167_1.18"/>
    <s v="ISEL-1.18"/>
    <n v="1"/>
    <s v="NO TIENE L3OUT"/>
    <n v="68"/>
    <n v="96"/>
  </r>
  <r>
    <n v="428"/>
    <x v="1"/>
    <x v="277"/>
    <s v="eth1/18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903"/>
    <x v="2"/>
    <x v="278"/>
    <s v="eth1/1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1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19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19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19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19"/>
    <x v="1"/>
    <x v="1"/>
    <x v="3"/>
    <m/>
    <x v="0"/>
    <b v="0"/>
    <s v="No está en VPC"/>
    <n v="101"/>
    <s v="NO EXISTE PG"/>
    <s v="NO EXISTE ISEL"/>
    <n v="0"/>
    <s v="NO TIENE L3OUT"/>
    <n v="114"/>
    <n v="54"/>
  </r>
  <r>
    <n v="160"/>
    <x v="0"/>
    <x v="4"/>
    <s v="eth1/19"/>
    <x v="1"/>
    <x v="1"/>
    <x v="2"/>
    <m/>
    <x v="1"/>
    <b v="0"/>
    <s v="No está en VPC"/>
    <n v="160"/>
    <s v="INTPG_ACC_160_1.19"/>
    <s v="ISEL-1.19"/>
    <n v="1"/>
    <s v="NO TIENE L3OUT"/>
    <n v="68"/>
    <n v="54"/>
  </r>
  <r>
    <n v="121"/>
    <x v="0"/>
    <x v="5"/>
    <s v="eth1/19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19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19"/>
    <x v="0"/>
    <x v="0"/>
    <x v="0"/>
    <s v="MEDIACION_HUAWEI"/>
    <x v="0"/>
    <b v="0"/>
    <s v="No está en VPC"/>
    <n v="401"/>
    <s v="INTPG_VPC_401_1.19_402_1.19"/>
    <s v="ISEL-1.19"/>
    <n v="1"/>
    <s v="NO TIENE L3OUT"/>
    <n v="40"/>
    <n v="54"/>
  </r>
  <r>
    <n v="402"/>
    <x v="1"/>
    <x v="8"/>
    <s v="eth1/19"/>
    <x v="0"/>
    <x v="0"/>
    <x v="0"/>
    <s v="MEDIACION_HUAWEI"/>
    <x v="0"/>
    <b v="0"/>
    <s v="No está en VPC"/>
    <n v="402"/>
    <s v="INTPG_VPC_401_1.19_402_1.19"/>
    <s v="ISEL-1.19"/>
    <n v="1"/>
    <s v="NO TIENE L3OUT"/>
    <n v="36"/>
    <n v="54"/>
  </r>
  <r>
    <n v="447"/>
    <x v="1"/>
    <x v="9"/>
    <s v="eth1/19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19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19"/>
    <x v="0"/>
    <x v="0"/>
    <x v="0"/>
    <s v="LINK_HACIA_APIC"/>
    <x v="0"/>
    <b v="0"/>
    <s v="No está en VPC"/>
    <n v="130"/>
    <s v="INTPG_ACC_APIC6_130_1.19"/>
    <s v="ISEL-1.19"/>
    <n v="0"/>
    <s v="NO TIENE L3OUT"/>
    <n v="128"/>
    <n v="54"/>
  </r>
  <r>
    <n v="150"/>
    <x v="0"/>
    <x v="12"/>
    <s v="eth1/19"/>
    <x v="0"/>
    <x v="0"/>
    <x v="0"/>
    <s v="ITHEMCDD69004197"/>
    <x v="0"/>
    <b v="0"/>
    <s v="No está en VPC"/>
    <n v="150"/>
    <s v="INTPG_ACC_150_1.19"/>
    <s v="ISEL-1.19"/>
    <n v="1"/>
    <s v="NO TIENE L3OUT"/>
    <n v="118"/>
    <n v="54"/>
  </r>
  <r>
    <n v="131"/>
    <x v="0"/>
    <x v="13"/>
    <s v="eth1/19"/>
    <x v="0"/>
    <x v="0"/>
    <x v="0"/>
    <s v="LINK_HACIA_APIC"/>
    <x v="0"/>
    <b v="0"/>
    <s v="No está en VPC"/>
    <n v="131"/>
    <s v="INTPG_ACC_APIC6_131_1.19"/>
    <s v="ISEL-1.19"/>
    <n v="0"/>
    <s v="NO TIENE L3OUT"/>
    <n v="126"/>
    <n v="54"/>
  </r>
  <r>
    <n v="303"/>
    <x v="0"/>
    <x v="14"/>
    <s v="eth1/19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19"/>
    <x v="0"/>
    <x v="0"/>
    <x v="0"/>
    <s v="GRLK-EN03-LAG01"/>
    <x v="2"/>
    <b v="0"/>
    <s v="No está en VPC"/>
    <n v="758"/>
    <s v="INTPG_VPC_758_1.19_759_1.19"/>
    <s v="ISEL-1.19"/>
    <n v="145"/>
    <s v="NO TIENE L3OUT"/>
    <n v="0"/>
    <n v="42"/>
  </r>
  <r>
    <n v="759"/>
    <x v="2"/>
    <x v="16"/>
    <s v="eth1/19"/>
    <x v="0"/>
    <x v="0"/>
    <x v="0"/>
    <s v="GRLK-EN03-LAG01"/>
    <x v="2"/>
    <b v="0"/>
    <s v="No está en VPC"/>
    <n v="759"/>
    <s v="INTPG_VPC_758_1.19_759_1.19"/>
    <s v="ISEL-1.19"/>
    <n v="145"/>
    <s v="NO TIENE L3OUT"/>
    <n v="0"/>
    <n v="42"/>
  </r>
  <r>
    <n v="302"/>
    <x v="0"/>
    <x v="17"/>
    <s v="eth1/19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19"/>
    <x v="0"/>
    <x v="0"/>
    <x v="0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19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19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19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19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19"/>
    <x v="0"/>
    <x v="1"/>
    <x v="5"/>
    <m/>
    <x v="0"/>
    <b v="0"/>
    <s v="No está en VPC"/>
    <n v="724"/>
    <s v="INTPG-VPC_HDD99_724_1.19_725_1.20"/>
    <s v="ISEL-1.19"/>
    <n v="1"/>
    <s v="NO TIENE L3OUT"/>
    <n v="0"/>
    <n v="54"/>
  </r>
  <r>
    <n v="602"/>
    <x v="1"/>
    <x v="24"/>
    <s v="eth1/19"/>
    <x v="0"/>
    <x v="1"/>
    <x v="3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19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19"/>
    <x v="0"/>
    <x v="0"/>
    <x v="0"/>
    <s v="ZTE_HADOOP_produccion_client_LAG"/>
    <x v="0"/>
    <b v="0"/>
    <s v="No está en VPC"/>
    <n v="431"/>
    <s v="INTPG_VPC_431_1.18-21_448_1.18-21"/>
    <s v="ISEL-1.19"/>
    <n v="8"/>
    <s v="NO TIENE L3OUT"/>
    <n v="46"/>
    <n v="54"/>
  </r>
  <r>
    <n v="433"/>
    <x v="1"/>
    <x v="27"/>
    <s v="eth1/19"/>
    <x v="0"/>
    <x v="0"/>
    <x v="0"/>
    <s v="ITHDWCOP1DW01_IDRAC"/>
    <x v="1"/>
    <b v="0"/>
    <s v="No está en VPC"/>
    <n v="433"/>
    <s v="INTPG_ACC_433_1.19"/>
    <s v="ISEL-1.19"/>
    <n v="1"/>
    <s v="NO TIENE L3OUT"/>
    <n v="42"/>
    <n v="54"/>
  </r>
  <r>
    <n v="429"/>
    <x v="1"/>
    <x v="28"/>
    <s v="eth1/19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19"/>
    <x v="0"/>
    <x v="1"/>
    <x v="1"/>
    <s v="SecAnLG_Gb2_03-Colector_R1toR8_SA-IXTSALG_H1_8SA"/>
    <x v="1"/>
    <b v="0"/>
    <s v="No está en VPC"/>
    <n v="432"/>
    <s v="INTPG_ACC_432_1.19"/>
    <s v="ISEL-1.19"/>
    <n v="1"/>
    <s v="NO TIENE L3OUT"/>
    <n v="54"/>
    <n v="54"/>
  </r>
  <r>
    <n v="442"/>
    <x v="1"/>
    <x v="30"/>
    <s v="eth1/19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19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19"/>
    <x v="1"/>
    <x v="1"/>
    <x v="3"/>
    <s v="CEM:ITHCEMG2NAM17:LOM P1"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19"/>
    <x v="0"/>
    <x v="1"/>
    <x v="5"/>
    <s v="CEM:ITHCEMB2AKF10:LOM P1"/>
    <x v="0"/>
    <b v="0"/>
    <s v="No está en VPC"/>
    <n v="712"/>
    <s v="INTPG_VPC_712_1.19_713_1.20"/>
    <s v="ISEL-1.19"/>
    <n v="1"/>
    <s v="NO TIENE L3OUT"/>
    <n v="32"/>
    <n v="54"/>
  </r>
  <r>
    <n v="719"/>
    <x v="2"/>
    <x v="34"/>
    <s v="eth1/19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19"/>
    <x v="0"/>
    <x v="0"/>
    <x v="0"/>
    <m/>
    <x v="0"/>
    <b v="0"/>
    <s v="No está en VPC"/>
    <n v="715"/>
    <s v="INTPG-VPC_SLR04_715_1.19_716_1.20"/>
    <s v="ISEL-1.19"/>
    <n v="1"/>
    <s v="NO TIENE L3OUT"/>
    <n v="0"/>
    <n v="54"/>
  </r>
  <r>
    <n v="427"/>
    <x v="1"/>
    <x v="36"/>
    <s v="eth1/19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19"/>
    <x v="0"/>
    <x v="1"/>
    <x v="5"/>
    <s v="CEM:ITHCEMC2AKF10:LOM P1"/>
    <x v="0"/>
    <b v="0"/>
    <s v="No está en VPC"/>
    <n v="711"/>
    <s v="INTPG_VPC_710_1.20_711_1.19"/>
    <s v="ISEL-1.19"/>
    <n v="1"/>
    <s v="NO TIENE L3OUT"/>
    <n v="16"/>
    <n v="54"/>
  </r>
  <r>
    <n v="716"/>
    <x v="2"/>
    <x v="38"/>
    <s v="eth1/19"/>
    <x v="0"/>
    <x v="0"/>
    <x v="0"/>
    <m/>
    <x v="0"/>
    <b v="0"/>
    <s v="No está en VPC"/>
    <n v="716"/>
    <s v="INTPG-VPC_HDD30_716_1.19_715_1.20"/>
    <s v="ISEL-1.19"/>
    <n v="1"/>
    <s v="NO TIENE L3OUT"/>
    <n v="0"/>
    <n v="54"/>
  </r>
  <r>
    <n v="702"/>
    <x v="2"/>
    <x v="39"/>
    <s v="eth1/19"/>
    <x v="0"/>
    <x v="0"/>
    <x v="0"/>
    <m/>
    <x v="0"/>
    <b v="0"/>
    <s v="No está en VPC"/>
    <n v="702"/>
    <s v="INTPG_VPC_702_1.19_701_1.20"/>
    <s v="ISEL-1.19"/>
    <n v="1"/>
    <s v="NO TIENE L3OUT"/>
    <n v="0"/>
    <n v="54"/>
  </r>
  <r>
    <n v="435"/>
    <x v="1"/>
    <x v="40"/>
    <s v="eth1/19"/>
    <x v="0"/>
    <x v="0"/>
    <x v="0"/>
    <s v="ITHDWCOP1DW01_ETH2"/>
    <x v="1"/>
    <b v="0"/>
    <s v="No está en VPC"/>
    <n v="435"/>
    <s v="INTPG_ACC_435_1.19"/>
    <s v="ISEL-1.19"/>
    <n v="1"/>
    <s v="NO TIENE L3OUT"/>
    <n v="34"/>
    <n v="54"/>
  </r>
  <r>
    <n v="446"/>
    <x v="1"/>
    <x v="41"/>
    <s v="eth1/19"/>
    <x v="0"/>
    <x v="0"/>
    <x v="0"/>
    <m/>
    <x v="0"/>
    <b v="0"/>
    <s v="No está en VPC"/>
    <n v="446"/>
    <s v="INTPG_ACC_446_1.19"/>
    <s v="ISEL-1.19"/>
    <n v="9"/>
    <s v="NO TIENE L3OUT"/>
    <n v="198"/>
    <n v="54"/>
  </r>
  <r>
    <n v="444"/>
    <x v="1"/>
    <x v="42"/>
    <s v="eth1/19"/>
    <x v="0"/>
    <x v="0"/>
    <x v="0"/>
    <s v="TO-ITHFDLMCLWLCN01"/>
    <x v="0"/>
    <b v="0"/>
    <s v="No está en VPC"/>
    <n v="444"/>
    <s v="INTPG_VPC_446_1.20_444_1.19"/>
    <s v="ISEL-1.19"/>
    <n v="1"/>
    <s v="NO TIENE L3OUT"/>
    <n v="234"/>
    <n v="54"/>
  </r>
  <r>
    <n v="701"/>
    <x v="2"/>
    <x v="43"/>
    <s v="eth1/19"/>
    <x v="0"/>
    <x v="0"/>
    <x v="0"/>
    <m/>
    <x v="0"/>
    <b v="0"/>
    <s v="No está en VPC"/>
    <n v="701"/>
    <s v="INTPG_VPC_701_1.19_702_1.20"/>
    <s v="ISEL-1.19"/>
    <n v="2"/>
    <s v="NO TIENE L3OUT"/>
    <n v="0"/>
    <n v="54"/>
  </r>
  <r>
    <n v="440"/>
    <x v="1"/>
    <x v="44"/>
    <s v="eth1/19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19"/>
    <x v="0"/>
    <x v="0"/>
    <x v="0"/>
    <s v="ZTE_HADOOP_produccion_client_LAG"/>
    <x v="0"/>
    <b v="0"/>
    <s v="No está en VPC"/>
    <n v="448"/>
    <s v="INTPG_VPC_431_1.18-21_448_1.18-21"/>
    <s v="ISEL-1.19"/>
    <n v="8"/>
    <s v="NO TIENE L3OUT"/>
    <n v="46"/>
    <n v="54"/>
  </r>
  <r>
    <n v="704"/>
    <x v="2"/>
    <x v="46"/>
    <s v="eth1/19"/>
    <x v="0"/>
    <x v="0"/>
    <x v="0"/>
    <m/>
    <x v="0"/>
    <b v="0"/>
    <s v="No está en VPC"/>
    <n v="704"/>
    <s v="INTPG_VPC_704_1.19_703_1.20"/>
    <s v="ISEL-1.19"/>
    <n v="1"/>
    <s v="NO TIENE L3OUT"/>
    <n v="0"/>
    <n v="54"/>
  </r>
  <r>
    <n v="729"/>
    <x v="2"/>
    <x v="47"/>
    <s v="eth1/19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19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19"/>
    <x v="0"/>
    <x v="0"/>
    <x v="0"/>
    <s v="HACIA_CSI-B-OSCP-F4-03_SECUNDARIO"/>
    <x v="4"/>
    <b v="0"/>
    <s v="No está en VPC"/>
    <n v="456"/>
    <s v="INTPG_VPC_454_1.19_456_1.19"/>
    <s v="ISEL-1.19"/>
    <n v="2"/>
    <s v="NO TIENE L3OUT"/>
    <n v="4"/>
    <n v="54"/>
  </r>
  <r>
    <n v="603"/>
    <x v="1"/>
    <x v="50"/>
    <s v="eth1/19"/>
    <x v="0"/>
    <x v="1"/>
    <x v="3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19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19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19"/>
    <x v="0"/>
    <x v="0"/>
    <x v="0"/>
    <s v="Server_Pre-R02-CBS-RH2288-03"/>
    <x v="0"/>
    <b v="0"/>
    <s v="No está en VPC"/>
    <n v="730"/>
    <s v="INTPG_ACC_730_1.19"/>
    <s v="ISEL-1.19"/>
    <n v="1"/>
    <s v="NO TIENE L3OUT"/>
    <n v="36"/>
    <n v="54"/>
  </r>
  <r>
    <n v="722"/>
    <x v="2"/>
    <x v="54"/>
    <s v="eth1/19"/>
    <x v="0"/>
    <x v="0"/>
    <x v="0"/>
    <m/>
    <x v="0"/>
    <b v="0"/>
    <s v="No está en VPC"/>
    <n v="722"/>
    <s v="INTPG-VPC_HDD124_722_1.19_723_1.20"/>
    <s v="ISEL-1.19"/>
    <n v="1"/>
    <s v="NO TIENE L3OUT"/>
    <n v="0"/>
    <n v="54"/>
  </r>
  <r>
    <n v="733"/>
    <x v="2"/>
    <x v="55"/>
    <s v="eth1/19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19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19"/>
    <x v="0"/>
    <x v="0"/>
    <x v="0"/>
    <m/>
    <x v="0"/>
    <b v="0"/>
    <s v="No está en VPC"/>
    <n v="748"/>
    <s v="INTPG_ACC_748_1.19"/>
    <s v="ISEL-1.19"/>
    <n v="0"/>
    <s v="NO TIENE L3OUT"/>
    <n v="2"/>
    <n v="54"/>
  </r>
  <r>
    <n v="756"/>
    <x v="2"/>
    <x v="58"/>
    <s v="eth1/19"/>
    <x v="0"/>
    <x v="0"/>
    <x v="0"/>
    <s v="OSS F1:ithenmr06bl02nas2r9b:PCIe3 Slot 1/1"/>
    <x v="0"/>
    <b v="0"/>
    <s v="No está en VPC"/>
    <n v="756"/>
    <s v="INTPG_PC_756_1.19-20"/>
    <s v="ISEL-1.19"/>
    <n v="8"/>
    <s v="NO TIENE L3OUT"/>
    <n v="64"/>
    <n v="54"/>
  </r>
  <r>
    <n v="754"/>
    <x v="2"/>
    <x v="59"/>
    <s v="eth1/19"/>
    <x v="0"/>
    <x v="0"/>
    <x v="0"/>
    <s v="OSS F1:enmregion9c:Bay2/X2"/>
    <x v="0"/>
    <b v="0"/>
    <s v="No está en VPC"/>
    <n v="754"/>
    <s v="INTPG_PC_754_1.17_1.19"/>
    <s v="ISEL-1.19"/>
    <n v="8"/>
    <s v="NO TIENE L3OUT"/>
    <n v="62"/>
    <n v="54"/>
  </r>
  <r>
    <n v="751"/>
    <x v="2"/>
    <x v="60"/>
    <s v="eth1/19"/>
    <x v="0"/>
    <x v="0"/>
    <x v="0"/>
    <m/>
    <x v="0"/>
    <b v="0"/>
    <s v="No está en VPC"/>
    <n v="751"/>
    <s v="INTPG_ACC_751_1.19"/>
    <s v="ISEL-1.19"/>
    <n v="0"/>
    <s v="NO TIENE L3OUT"/>
    <n v="0"/>
    <n v="54"/>
  </r>
  <r>
    <n v="769"/>
    <x v="2"/>
    <x v="61"/>
    <s v="eth1/19"/>
    <x v="1"/>
    <x v="1"/>
    <x v="3"/>
    <s v="SFLDI"/>
    <x v="0"/>
    <b v="0"/>
    <s v="No está en VPC"/>
    <n v="769"/>
    <s v="INTPG_ACC_769_1.19"/>
    <s v="ISEL-1.19"/>
    <n v="0"/>
    <s v="NO TIENE L3OUT"/>
    <n v="60"/>
    <n v="54"/>
  </r>
  <r>
    <n v="742"/>
    <x v="2"/>
    <x v="62"/>
    <s v="eth1/19"/>
    <x v="0"/>
    <x v="0"/>
    <x v="0"/>
    <s v="CEM:ITHCEMA2AKF10:LOM P3"/>
    <x v="5"/>
    <b v="0"/>
    <s v="No está en VPC"/>
    <n v="742"/>
    <s v="INTPG_ACC_742_1.19"/>
    <s v="ISEL-1.19"/>
    <n v="1"/>
    <s v="NO TIENE L3OUT"/>
    <n v="64"/>
    <n v="54"/>
  </r>
  <r>
    <n v="763"/>
    <x v="2"/>
    <x v="63"/>
    <s v="eth1/19"/>
    <x v="0"/>
    <x v="0"/>
    <x v="0"/>
    <s v="PAAS:ithhwosstpap004:FlexIO.1"/>
    <x v="0"/>
    <b v="0"/>
    <s v="No está en VPC"/>
    <n v="763"/>
    <s v="INTPG_VPC_762_1.19_763_1.19"/>
    <s v="ISEL-1.19"/>
    <n v="1"/>
    <s v="NO TIENE L3OUT"/>
    <n v="2"/>
    <n v="54"/>
  </r>
  <r>
    <n v="766"/>
    <x v="2"/>
    <x v="64"/>
    <s v="eth1/19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19"/>
    <x v="0"/>
    <x v="1"/>
    <x v="1"/>
    <m/>
    <x v="0"/>
    <b v="0"/>
    <s v="No está en VPC"/>
    <n v="760"/>
    <s v="INTPG_VPC_760_1.17-20_761_1.17-20"/>
    <s v="ISEL-1.19"/>
    <n v="0"/>
    <s v="L3OUT-EXACLOUD"/>
    <n v="0"/>
    <n v="54"/>
  </r>
  <r>
    <n v="752"/>
    <x v="2"/>
    <x v="66"/>
    <s v="eth1/19"/>
    <x v="0"/>
    <x v="0"/>
    <x v="0"/>
    <s v="PAAS:ithhwosstpap004:LOM PORT 1"/>
    <x v="0"/>
    <b v="0"/>
    <s v="No está en VPC"/>
    <n v="752"/>
    <s v="INTPG_VPC_747_1.29_752_1.19"/>
    <s v="ISEL-1.19"/>
    <n v="25"/>
    <s v="NO TIENE L3OUT"/>
    <n v="0"/>
    <n v="54"/>
  </r>
  <r>
    <n v="765"/>
    <x v="2"/>
    <x v="67"/>
    <s v="eth1/19"/>
    <x v="0"/>
    <x v="0"/>
    <x v="0"/>
    <s v="Portchannel_4_R6A"/>
    <x v="0"/>
    <b v="0"/>
    <s v="No está en VPC"/>
    <n v="765"/>
    <s v="INTPG_PC_765_1.19-20"/>
    <s v="ISEL-1.19"/>
    <n v="8"/>
    <s v="NO TIENE L3OUT"/>
    <n v="60"/>
    <n v="54"/>
  </r>
  <r>
    <n v="778"/>
    <x v="2"/>
    <x v="68"/>
    <s v="eth1/19"/>
    <x v="0"/>
    <x v="0"/>
    <x v="0"/>
    <s v="ENIQ F1:itheniqr08nas2r3:Slot 2/1"/>
    <x v="0"/>
    <b v="0"/>
    <s v="No está en VPC"/>
    <n v="778"/>
    <s v="INTPG_PC_778_1.16-19"/>
    <s v="ISEL-1.19"/>
    <n v="1"/>
    <s v="NO TIENE L3OUT"/>
    <n v="26"/>
    <n v="54"/>
  </r>
  <r>
    <n v="780"/>
    <x v="2"/>
    <x v="69"/>
    <s v="eth1/19"/>
    <x v="0"/>
    <x v="0"/>
    <x v="0"/>
    <s v="LACP_NAS2_ENIQ9C"/>
    <x v="0"/>
    <b v="0"/>
    <s v="No está en VPC"/>
    <n v="780"/>
    <s v="INTPG_PC_780_1.16-19"/>
    <s v="ISEL-1.19"/>
    <n v="1"/>
    <s v="NO TIENE L3OUT"/>
    <n v="26"/>
    <n v="54"/>
  </r>
  <r>
    <n v="812"/>
    <x v="2"/>
    <x v="70"/>
    <s v="eth1/19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19"/>
    <x v="0"/>
    <x v="0"/>
    <x v="0"/>
    <s v="TO_ITHFDEOSPVLMT01"/>
    <x v="0"/>
    <b v="0"/>
    <s v="No está en VPC"/>
    <n v="796"/>
    <s v="INTPG_VPC_795_1.19-21_796_1.19-21"/>
    <s v="ISEL-1.19"/>
    <n v="2"/>
    <s v="NO TIENE L3OUT"/>
    <n v="18"/>
    <n v="54"/>
  </r>
  <r>
    <n v="795"/>
    <x v="2"/>
    <x v="72"/>
    <s v="eth1/19"/>
    <x v="0"/>
    <x v="0"/>
    <x v="0"/>
    <s v="TO_ITHFDEOSPVLMT01"/>
    <x v="0"/>
    <b v="0"/>
    <s v="No está en VPC"/>
    <n v="795"/>
    <s v="INTPG_VPC_795_1.19-21_796_1.19-21"/>
    <s v="ISEL-1.19"/>
    <n v="2"/>
    <s v="NO TIENE L3OUT"/>
    <n v="18"/>
    <n v="54"/>
  </r>
  <r>
    <n v="749"/>
    <x v="2"/>
    <x v="73"/>
    <s v="eth1/19"/>
    <x v="0"/>
    <x v="0"/>
    <x v="0"/>
    <m/>
    <x v="0"/>
    <b v="0"/>
    <s v="No está en VPC"/>
    <n v="749"/>
    <s v="INTPG_ACC_749_1.19"/>
    <s v="ISEL-1.19"/>
    <n v="0"/>
    <s v="NO TIENE L3OUT"/>
    <n v="4"/>
    <n v="54"/>
  </r>
  <r>
    <n v="824"/>
    <x v="2"/>
    <x v="74"/>
    <s v="eth1/19"/>
    <x v="0"/>
    <x v="0"/>
    <x v="0"/>
    <s v="LINK_TO_ITHFHWCMVWPMA11 /Slot6.2 /Redundante"/>
    <x v="0"/>
    <b v="0"/>
    <s v="No está en VPC"/>
    <n v="824"/>
    <s v="INTPG_ACC_824_1.19"/>
    <s v="ISEL-1.19"/>
    <n v="1"/>
    <s v="NO TIENE L3OUT"/>
    <n v="70"/>
    <n v="54"/>
  </r>
  <r>
    <n v="819"/>
    <x v="2"/>
    <x v="75"/>
    <s v="eth1/19"/>
    <x v="0"/>
    <x v="0"/>
    <x v="0"/>
    <s v="LINK_TO_ITHFHWCMVWPMA11 /Slot4.2 /Principal"/>
    <x v="0"/>
    <b v="0"/>
    <s v="No está en VPC"/>
    <n v="819"/>
    <s v="INTPG_ACC_819_1.19"/>
    <s v="ISEL-1.19"/>
    <n v="1"/>
    <s v="NO TIENE L3OUT"/>
    <n v="70"/>
    <n v="54"/>
  </r>
  <r>
    <n v="737"/>
    <x v="2"/>
    <x v="76"/>
    <s v="eth1/19"/>
    <x v="0"/>
    <x v="0"/>
    <x v="0"/>
    <s v="CEM:ITHCEMF2RTB10:LOM P3"/>
    <x v="5"/>
    <b v="0"/>
    <s v="No está en VPC"/>
    <n v="737"/>
    <s v="INTPG_ACC_737_1.19"/>
    <s v="ISEL-1.19"/>
    <n v="1"/>
    <s v="NO TIENE L3OUT"/>
    <n v="72"/>
    <n v="54"/>
  </r>
  <r>
    <n v="844"/>
    <x v="2"/>
    <x v="77"/>
    <s v="eth1/19"/>
    <x v="0"/>
    <x v="0"/>
    <x v="0"/>
    <s v="LINK_TO_ITHFHWCRMPLCN107 / Slot1.1_18 / Principal"/>
    <x v="0"/>
    <b v="0"/>
    <s v="No está en VPC"/>
    <n v="844"/>
    <s v="INTPG_ACC_844_1.19"/>
    <s v="ISEL-1.19"/>
    <n v="6"/>
    <s v="NO TIENE L3OUT"/>
    <n v="282"/>
    <n v="54"/>
  </r>
  <r>
    <n v="843"/>
    <x v="2"/>
    <x v="78"/>
    <s v="eth1/19"/>
    <x v="0"/>
    <x v="0"/>
    <x v="0"/>
    <s v="LINK_To_ITHFHWCBSPSWR41 / Slot7.2_26 / Redundante"/>
    <x v="0"/>
    <b v="0"/>
    <s v="No está en VPC"/>
    <n v="843"/>
    <s v="INTPG_VPC_838_1.19_843_1.19"/>
    <s v="ISEL-1.19"/>
    <n v="1"/>
    <s v="NO TIENE L3OUT"/>
    <n v="38"/>
    <n v="54"/>
  </r>
  <r>
    <n v="797"/>
    <x v="2"/>
    <x v="79"/>
    <s v="eth1/19"/>
    <x v="0"/>
    <x v="0"/>
    <x v="0"/>
    <s v="TO-HDPS_21-MSP"/>
    <x v="0"/>
    <b v="0"/>
    <s v="No está en VPC"/>
    <n v="797"/>
    <s v="INTPG_ACC_797_1.19"/>
    <s v="ISEL-1.19"/>
    <n v="1"/>
    <s v="NO TIENE L3OUT"/>
    <n v="48"/>
    <n v="54"/>
  </r>
  <r>
    <n v="839"/>
    <x v="2"/>
    <x v="80"/>
    <s v="eth1/19"/>
    <x v="0"/>
    <x v="0"/>
    <x v="0"/>
    <s v="LINK_TO_ITHFHWCBSPSWR64 / Slot7.1_16 / Redundante"/>
    <x v="0"/>
    <b v="0"/>
    <s v="No está en VPC"/>
    <n v="839"/>
    <s v="INTPG_VPC_834_1.19_839_1.19"/>
    <s v="ISEL-1.19"/>
    <n v="2"/>
    <s v="NO TIENE L3OUT"/>
    <n v="0"/>
    <n v="54"/>
  </r>
  <r>
    <n v="847"/>
    <x v="2"/>
    <x v="81"/>
    <s v="eth1/19"/>
    <x v="0"/>
    <x v="0"/>
    <x v="0"/>
    <s v="LINK_TO_ITHFHWCRMPLCN171 / Slot7.3_12 / Redundante"/>
    <x v="0"/>
    <b v="0"/>
    <s v="No está en VPC"/>
    <n v="847"/>
    <s v="INTPG_ACC_847_1.19"/>
    <s v="ISEL-1.19"/>
    <n v="1"/>
    <s v="NO TIENE L3OUT"/>
    <n v="204"/>
    <n v="54"/>
  </r>
  <r>
    <n v="848"/>
    <x v="2"/>
    <x v="82"/>
    <s v="eth1/19"/>
    <x v="0"/>
    <x v="0"/>
    <x v="0"/>
    <s v="LINK_TO_ITHFHWCRMPLCN160 / Slot7.3_22 / Redundante"/>
    <x v="0"/>
    <b v="0"/>
    <s v="No está en VPC"/>
    <n v="848"/>
    <s v="INTPG_ACC_848_1.19"/>
    <s v="ISEL-1.19"/>
    <n v="1"/>
    <s v="NO TIENE L3OUT"/>
    <n v="254"/>
    <n v="54"/>
  </r>
  <r>
    <n v="846"/>
    <x v="2"/>
    <x v="83"/>
    <s v="eth1/19"/>
    <x v="0"/>
    <x v="0"/>
    <x v="0"/>
    <s v="LINK_TO_ITHFHWCRMPLCN78 / Slot1.1_14 / Principal"/>
    <x v="0"/>
    <b v="0"/>
    <s v="No está en VPC"/>
    <n v="846"/>
    <s v="INTPG_ACC_846_1.19"/>
    <s v="ISEL-1.19"/>
    <n v="6"/>
    <s v="NO TIENE L3OUT"/>
    <n v="242"/>
    <n v="54"/>
  </r>
  <r>
    <n v="838"/>
    <x v="2"/>
    <x v="84"/>
    <s v="eth1/19"/>
    <x v="0"/>
    <x v="0"/>
    <x v="0"/>
    <s v="LINK_To_ITHFHWCBSPSWR41 / Slot1.2_26 / Principal"/>
    <x v="0"/>
    <b v="0"/>
    <s v="No está en VPC"/>
    <n v="838"/>
    <s v="INTPG_VPC_838_1.19_843_1.19"/>
    <s v="ISEL-1.19"/>
    <n v="1"/>
    <s v="NO TIENE L3OUT"/>
    <n v="38"/>
    <n v="54"/>
  </r>
  <r>
    <n v="849"/>
    <x v="2"/>
    <x v="85"/>
    <s v="eth1/19"/>
    <x v="0"/>
    <x v="0"/>
    <x v="0"/>
    <s v="LINK_TO_ITHFHWCRMPLCN140 / Slot7.3_14 / Redundante"/>
    <x v="0"/>
    <b v="0"/>
    <s v="No está en VPC"/>
    <n v="849"/>
    <s v="INTPG_ACC_849_1.19"/>
    <s v="ISEL-1.19"/>
    <n v="1"/>
    <s v="NO TIENE L3OUT"/>
    <n v="286"/>
    <n v="54"/>
  </r>
  <r>
    <n v="845"/>
    <x v="2"/>
    <x v="86"/>
    <s v="eth1/19"/>
    <x v="0"/>
    <x v="0"/>
    <x v="0"/>
    <s v="LINK_TO_ITHFHWCRMPLCN90 / Slot1.2_12 / Principal"/>
    <x v="0"/>
    <b v="0"/>
    <s v="No está en VPC"/>
    <n v="845"/>
    <s v="INTPG_ACC_845_1.19"/>
    <s v="ISEL-1.19"/>
    <n v="2"/>
    <s v="NO TIENE L3OUT"/>
    <n v="258"/>
    <n v="54"/>
  </r>
  <r>
    <n v="873"/>
    <x v="2"/>
    <x v="87"/>
    <s v="eth1/19"/>
    <x v="0"/>
    <x v="0"/>
    <x v="0"/>
    <s v="TO_ITHFHWCRMDLCN59_Principal"/>
    <x v="0"/>
    <b v="0"/>
    <s v="No está en VPC"/>
    <n v="873"/>
    <s v="INTPG_ACC_873_1.19"/>
    <s v="ISEL-1.19"/>
    <n v="2"/>
    <s v="NO TIENE L3OUT"/>
    <n v="248"/>
    <n v="54"/>
  </r>
  <r>
    <n v="864"/>
    <x v="2"/>
    <x v="88"/>
    <s v="eth1/19"/>
    <x v="0"/>
    <x v="0"/>
    <x v="0"/>
    <s v="To_VPC_2DCBSD_TL06_1"/>
    <x v="0"/>
    <b v="0"/>
    <s v="No está en VPC"/>
    <n v="864"/>
    <s v="INTPG_VPC_859_1.19_864_1.19"/>
    <s v="ISEL-1.19"/>
    <n v="2"/>
    <s v="NO TIENE L3OUT"/>
    <n v="0"/>
    <n v="54"/>
  </r>
  <r>
    <n v="836"/>
    <x v="2"/>
    <x v="89"/>
    <s v="eth1/19"/>
    <x v="0"/>
    <x v="0"/>
    <x v="0"/>
    <s v="LINK_TO_ITHFHWCBSPSWR51 / Slot1.3_30 / Principal"/>
    <x v="0"/>
    <b v="0"/>
    <s v="No está en VPC"/>
    <n v="836"/>
    <s v="INTPG_VPC_836_1.19_841_1.19"/>
    <s v="ISEL-1.19"/>
    <n v="1"/>
    <s v="NO TIENE L3OUT"/>
    <n v="0"/>
    <n v="54"/>
  </r>
  <r>
    <n v="834"/>
    <x v="2"/>
    <x v="90"/>
    <s v="eth1/19"/>
    <x v="0"/>
    <x v="0"/>
    <x v="0"/>
    <s v="LINK_TO_ITHFHWCBSPSWR64 / Slot1.1_16 / Principal"/>
    <x v="0"/>
    <b v="0"/>
    <s v="No está en VPC"/>
    <n v="834"/>
    <s v="INTPG_VPC_834_1.19_839_1.19"/>
    <s v="ISEL-1.19"/>
    <n v="2"/>
    <s v="NO TIENE L3OUT"/>
    <n v="0"/>
    <n v="54"/>
  </r>
  <r>
    <n v="872"/>
    <x v="2"/>
    <x v="91"/>
    <s v="eth1/19"/>
    <x v="0"/>
    <x v="0"/>
    <x v="0"/>
    <s v="To_ITHFHWCRMDLCN75_Principal"/>
    <x v="0"/>
    <b v="0"/>
    <s v="No está en VPC"/>
    <n v="872"/>
    <s v="INTPG_ACC_872_1.19"/>
    <s v="ISEL-1.19"/>
    <n v="2"/>
    <s v="NO TIENE L3OUT"/>
    <n v="288"/>
    <n v="54"/>
  </r>
  <r>
    <n v="842"/>
    <x v="2"/>
    <x v="92"/>
    <s v="eth1/19"/>
    <x v="0"/>
    <x v="0"/>
    <x v="0"/>
    <s v="LINK_TO_ITHFHWCBSPSWR45 / Slot7.3_26 / Redundante"/>
    <x v="0"/>
    <b v="0"/>
    <s v="No está en VPC"/>
    <n v="842"/>
    <s v="INTPG_VPC_837_1.19_842_1.19"/>
    <s v="ISEL-1.19"/>
    <n v="1"/>
    <s v="NO TIENE L3OUT"/>
    <n v="8"/>
    <n v="54"/>
  </r>
  <r>
    <n v="828"/>
    <x v="2"/>
    <x v="93"/>
    <s v="eth1/19"/>
    <x v="0"/>
    <x v="0"/>
    <x v="0"/>
    <s v="LINK_TO_ITHFHWCRMDLCN21 /Slot4.2 /Principal"/>
    <x v="0"/>
    <b v="0"/>
    <s v="No está en VPC"/>
    <n v="828"/>
    <s v="INTPG_ACC_828_1.19"/>
    <s v="ISEL-1.19"/>
    <n v="1"/>
    <s v="NO TIENE L3OUT"/>
    <n v="192"/>
    <n v="54"/>
  </r>
  <r>
    <n v="870"/>
    <x v="2"/>
    <x v="94"/>
    <s v="eth1/19"/>
    <x v="0"/>
    <x v="0"/>
    <x v="0"/>
    <s v="TO_ITHFHWCRMDLCN59_Redundante"/>
    <x v="0"/>
    <b v="0"/>
    <s v="No está en VPC"/>
    <n v="870"/>
    <s v="INTPG_ACC_870_1.19"/>
    <s v="ISEL-1.19"/>
    <n v="2"/>
    <s v="NO TIENE L3OUT"/>
    <n v="248"/>
    <n v="54"/>
  </r>
  <r>
    <n v="866"/>
    <x v="2"/>
    <x v="95"/>
    <s v="eth1/19"/>
    <x v="0"/>
    <x v="0"/>
    <x v="0"/>
    <s v="To_VPC_2DCBSD_HD22_3"/>
    <x v="0"/>
    <b v="0"/>
    <s v="No está en VPC"/>
    <n v="866"/>
    <s v="INTPG_VPC_861_1.19_866_1.19"/>
    <s v="ISEL-1.19"/>
    <n v="1"/>
    <s v="NO TIENE L3OUT"/>
    <n v="8"/>
    <n v="54"/>
  </r>
  <r>
    <n v="862"/>
    <x v="2"/>
    <x v="96"/>
    <s v="eth1/19"/>
    <x v="0"/>
    <x v="0"/>
    <x v="0"/>
    <s v="TO-9S_VPNM_IXT3_211_2"/>
    <x v="0"/>
    <b v="0"/>
    <s v="No está en VPC"/>
    <n v="862"/>
    <s v="INTPG_VPC_862_1.19_867_1.19"/>
    <s v="ISEL-1.19"/>
    <n v="15"/>
    <s v="NO TIENE L3OUT"/>
    <n v="44"/>
    <n v="54"/>
  </r>
  <r>
    <n v="855"/>
    <x v="2"/>
    <x v="97"/>
    <s v="eth1/19"/>
    <x v="0"/>
    <x v="0"/>
    <x v="0"/>
    <s v="LINK_TO_ITHFHWCRMPLCN160 / Slot1.3_22 / Principal"/>
    <x v="0"/>
    <b v="0"/>
    <s v="No está en VPC"/>
    <n v="855"/>
    <s v="INTPG_ACC_855_1.19"/>
    <s v="ISEL-1.19"/>
    <n v="1"/>
    <s v="NO TIENE L3OUT"/>
    <n v="254"/>
    <n v="54"/>
  </r>
  <r>
    <n v="871"/>
    <x v="2"/>
    <x v="98"/>
    <s v="eth1/19"/>
    <x v="0"/>
    <x v="0"/>
    <x v="0"/>
    <s v="TO_ITHFHWCRMDLCN87_Principal"/>
    <x v="0"/>
    <b v="0"/>
    <s v="No está en VPC"/>
    <n v="871"/>
    <s v="INTPG_ACC_871_1.19"/>
    <s v="ISEL-1.19"/>
    <n v="6"/>
    <s v="NO TIENE L3OUT"/>
    <n v="246"/>
    <n v="54"/>
  </r>
  <r>
    <n v="841"/>
    <x v="2"/>
    <x v="99"/>
    <s v="eth1/19"/>
    <x v="0"/>
    <x v="0"/>
    <x v="0"/>
    <s v="LINK_TO_ITHFHWCBSPSWR51 / Slot7.3_30 / Redundante"/>
    <x v="0"/>
    <b v="0"/>
    <s v="No está en VPC"/>
    <n v="841"/>
    <s v="INTPG_VPC_836_1.19_841_1.19"/>
    <s v="ISEL-1.19"/>
    <n v="1"/>
    <s v="NO TIENE L3OUT"/>
    <n v="0"/>
    <n v="54"/>
  </r>
  <r>
    <n v="868"/>
    <x v="2"/>
    <x v="100"/>
    <s v="eth1/19"/>
    <x v="0"/>
    <x v="0"/>
    <x v="0"/>
    <s v="TO_ITHFHWCRMDLCN87_Redundante"/>
    <x v="0"/>
    <b v="0"/>
    <s v="No está en VPC"/>
    <n v="868"/>
    <s v="INTPG_ACC_868_1.19"/>
    <s v="ISEL-1.19"/>
    <n v="6"/>
    <s v="NO TIENE L3OUT"/>
    <n v="246"/>
    <n v="54"/>
  </r>
  <r>
    <n v="869"/>
    <x v="2"/>
    <x v="101"/>
    <s v="eth1/19"/>
    <x v="0"/>
    <x v="0"/>
    <x v="0"/>
    <s v="To_ITHFHWCRMDLCN75_Redundante"/>
    <x v="0"/>
    <b v="0"/>
    <s v="No está en VPC"/>
    <n v="869"/>
    <s v="INTPG_ACC_869_1.19"/>
    <s v="ISEL-1.19"/>
    <n v="2"/>
    <s v="NO TIENE L3OUT"/>
    <n v="288"/>
    <n v="54"/>
  </r>
  <r>
    <n v="861"/>
    <x v="2"/>
    <x v="102"/>
    <s v="eth1/19"/>
    <x v="0"/>
    <x v="0"/>
    <x v="0"/>
    <s v="To_VPC_2DCBSD_HD22_3"/>
    <x v="0"/>
    <b v="0"/>
    <s v="No está en VPC"/>
    <n v="861"/>
    <s v="INTPG_VPC_861_1.19_866_1.19"/>
    <s v="ISEL-1.19"/>
    <n v="1"/>
    <s v="NO TIENE L3OUT"/>
    <n v="8"/>
    <n v="54"/>
  </r>
  <r>
    <n v="874"/>
    <x v="2"/>
    <x v="103"/>
    <s v="eth1/19"/>
    <x v="0"/>
    <x v="0"/>
    <x v="0"/>
    <s v="A_ITHFHWSEQLCAS18_Redundante"/>
    <x v="4"/>
    <b v="0"/>
    <s v="No está en VPC"/>
    <n v="874"/>
    <s v="INTPG_ACC_874_1.19"/>
    <s v="ISEL-1.19"/>
    <n v="1"/>
    <s v="NO TIENE L3OUT"/>
    <n v="92"/>
    <n v="54"/>
  </r>
  <r>
    <n v="865"/>
    <x v="2"/>
    <x v="104"/>
    <s v="eth1/19"/>
    <x v="0"/>
    <x v="0"/>
    <x v="0"/>
    <s v="To_VPC_2DCBSD_HD29_1"/>
    <x v="0"/>
    <b v="0"/>
    <s v="No está en VPC"/>
    <n v="865"/>
    <s v="INTPG_VPC_860_1.19_865_1.19"/>
    <s v="ISEL-1.19"/>
    <n v="2"/>
    <s v="NO TIENE L3OUT"/>
    <n v="0"/>
    <n v="54"/>
  </r>
  <r>
    <n v="753"/>
    <x v="2"/>
    <x v="105"/>
    <s v="eth1/19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19"/>
    <x v="0"/>
    <x v="1"/>
    <x v="5"/>
    <s v="CEM:ITHCEMF2RTB10:LOM P1"/>
    <x v="0"/>
    <b v="0"/>
    <s v="No está en VPC"/>
    <n v="708"/>
    <s v="INTPG_VPC_708_1.19_709_1.20"/>
    <s v="ISEL-1.19"/>
    <n v="1"/>
    <s v="NO TIENE L3OUT"/>
    <n v="0"/>
    <n v="54"/>
  </r>
  <r>
    <n v="710"/>
    <x v="2"/>
    <x v="107"/>
    <s v="eth1/19"/>
    <x v="0"/>
    <x v="1"/>
    <x v="5"/>
    <s v="CEM:ITHCEMD2AKF10:LOM P1"/>
    <x v="0"/>
    <b v="0"/>
    <s v="No está en VPC"/>
    <n v="710"/>
    <s v="INTPG_VPC_710_1.19_711_1.20"/>
    <s v="ISEL-1.19"/>
    <n v="1"/>
    <s v="NO TIENE L3OUT"/>
    <n v="16"/>
    <n v="54"/>
  </r>
  <r>
    <n v="713"/>
    <x v="2"/>
    <x v="108"/>
    <s v="eth1/19"/>
    <x v="0"/>
    <x v="1"/>
    <x v="5"/>
    <s v="CEM:ITHCEMA2ADT10:LOM P1"/>
    <x v="0"/>
    <b v="0"/>
    <s v="No está en VPC"/>
    <n v="713"/>
    <s v="INTPG_VPC_713_1.19_712_1.20"/>
    <s v="ISEL-1.19"/>
    <n v="1"/>
    <s v="NO TIENE L3OUT"/>
    <n v="32"/>
    <n v="54"/>
  </r>
  <r>
    <n v="735"/>
    <x v="2"/>
    <x v="109"/>
    <s v="eth1/19"/>
    <x v="0"/>
    <x v="0"/>
    <x v="0"/>
    <s v="CEM:ITHCEMA1KFK10:LOM P3"/>
    <x v="5"/>
    <b v="0"/>
    <s v="No está en VPC"/>
    <n v="735"/>
    <s v="INTPG_ACC_735_1.19"/>
    <s v="ISEL-1.19"/>
    <n v="1"/>
    <s v="NO TIENE L3OUT"/>
    <n v="34"/>
    <n v="54"/>
  </r>
  <r>
    <n v="731"/>
    <x v="2"/>
    <x v="110"/>
    <s v="eth1/19"/>
    <x v="0"/>
    <x v="0"/>
    <x v="0"/>
    <s v="Server_Pre-R02-CBS-RH2288-03"/>
    <x v="0"/>
    <b v="0"/>
    <s v="No está en VPC"/>
    <n v="731"/>
    <s v="INTPG_ACC_731_1.19"/>
    <s v="ISEL-1.19"/>
    <n v="1"/>
    <s v="NO TIENE L3OUT"/>
    <n v="38"/>
    <n v="54"/>
  </r>
  <r>
    <n v="703"/>
    <x v="2"/>
    <x v="111"/>
    <s v="eth1/19"/>
    <x v="0"/>
    <x v="0"/>
    <x v="0"/>
    <m/>
    <x v="0"/>
    <b v="0"/>
    <s v="No está en VPC"/>
    <n v="703"/>
    <s v="INTPG_VPC_703_1.19_704_1.20"/>
    <s v="ISEL-1.19"/>
    <n v="1"/>
    <s v="NO TIENE L3OUT"/>
    <n v="2"/>
    <n v="54"/>
  </r>
  <r>
    <n v="706"/>
    <x v="2"/>
    <x v="112"/>
    <s v="eth1/19"/>
    <x v="0"/>
    <x v="1"/>
    <x v="5"/>
    <s v="CEM:ITHCEMA1ETL10:LOM  P1"/>
    <x v="0"/>
    <b v="0"/>
    <s v="No está en VPC"/>
    <n v="706"/>
    <s v="INTPG_VPC_706_1.19_705_1.20"/>
    <s v="ISEL-1.19"/>
    <n v="1"/>
    <s v="NO TIENE L3OUT"/>
    <n v="16"/>
    <n v="54"/>
  </r>
  <r>
    <n v="762"/>
    <x v="2"/>
    <x v="113"/>
    <s v="eth1/19"/>
    <x v="0"/>
    <x v="0"/>
    <x v="0"/>
    <s v="PAAS:ithhwosstpap004:LOM PORT 3"/>
    <x v="0"/>
    <b v="0"/>
    <s v="No está en VPC"/>
    <n v="762"/>
    <s v="INTPG_VPC_762_1.19_763_1.19"/>
    <s v="ISEL-1.19"/>
    <n v="1"/>
    <s v="NO TIENE L3OUT"/>
    <n v="0"/>
    <n v="54"/>
  </r>
  <r>
    <n v="814"/>
    <x v="2"/>
    <x v="114"/>
    <s v="eth1/19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19"/>
    <x v="0"/>
    <x v="0"/>
    <x v="0"/>
    <s v="HACIA_CSI-B-OSCP-F4-15_SECUNDARIO"/>
    <x v="4"/>
    <b v="0"/>
    <s v="No está en VPC"/>
    <n v="878"/>
    <s v="INTPG_VPC_878_1.19_879_1.19"/>
    <s v="ISEL-1.19"/>
    <n v="2"/>
    <s v="NO TIENE L3OUT"/>
    <n v="0"/>
    <n v="54"/>
  </r>
  <r>
    <n v="826"/>
    <x v="2"/>
    <x v="116"/>
    <s v="eth1/19"/>
    <x v="0"/>
    <x v="0"/>
    <x v="0"/>
    <s v="LINK_TO_ITHFHWCBSDSHD16 /Slot5.2 /Principal"/>
    <x v="0"/>
    <b v="0"/>
    <s v="No está en VPC"/>
    <n v="826"/>
    <s v="INTPG_VPC_826_1.19_830_1.19"/>
    <s v="ISEL-1.19"/>
    <n v="2"/>
    <s v="NO TIENE L3OUT"/>
    <n v="12"/>
    <n v="54"/>
  </r>
  <r>
    <n v="726"/>
    <x v="2"/>
    <x v="117"/>
    <s v="eth1/19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19"/>
    <x v="0"/>
    <x v="0"/>
    <x v="0"/>
    <s v="CEM:ITHCEMC2AKF10:LOM P3"/>
    <x v="5"/>
    <b v="0"/>
    <s v="No está en VPC"/>
    <n v="740"/>
    <s v="INTPG_ACC_740_1.19"/>
    <s v="ISEL-1.19"/>
    <n v="1"/>
    <s v="NO TIENE L3OUT"/>
    <n v="72"/>
    <n v="54"/>
  </r>
  <r>
    <n v="705"/>
    <x v="2"/>
    <x v="119"/>
    <s v="eth1/19"/>
    <x v="0"/>
    <x v="0"/>
    <x v="0"/>
    <s v="CEM:ITHALMB1DAT10:LOM  P2"/>
    <x v="0"/>
    <b v="0"/>
    <s v="No está en VPC"/>
    <n v="705"/>
    <s v="INTPG_VPC_705_1.19_706_1.20"/>
    <s v="ISEL-1.19"/>
    <n v="1"/>
    <s v="NO TIENE L3OUT"/>
    <n v="16"/>
    <n v="54"/>
  </r>
  <r>
    <n v="723"/>
    <x v="2"/>
    <x v="120"/>
    <s v="eth1/19"/>
    <x v="0"/>
    <x v="0"/>
    <x v="0"/>
    <m/>
    <x v="0"/>
    <b v="0"/>
    <s v="No está en VPC"/>
    <n v="723"/>
    <s v="INTPG-VPC_HDD111_723_1.19_722_1.20"/>
    <s v="ISEL-1.19"/>
    <n v="1"/>
    <s v="NO TIENE L3OUT"/>
    <n v="0"/>
    <n v="54"/>
  </r>
  <r>
    <n v="721"/>
    <x v="2"/>
    <x v="121"/>
    <s v="eth1/19"/>
    <x v="0"/>
    <x v="0"/>
    <x v="0"/>
    <s v="TO-ITHFHWVRALCN01"/>
    <x v="0"/>
    <b v="0"/>
    <s v="No está en VPC"/>
    <n v="721"/>
    <s v="INTPG_VPC_714_1.20_721_1.19"/>
    <s v="ISEL-1.19"/>
    <n v="108"/>
    <s v="NO TIENE L3OUT"/>
    <n v="20"/>
    <n v="54"/>
  </r>
  <r>
    <n v="788"/>
    <x v="2"/>
    <x v="122"/>
    <s v="eth1/19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19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19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19"/>
    <x v="0"/>
    <x v="1"/>
    <x v="5"/>
    <s v="CEM:ITHCEME2RTB10:LOM P1"/>
    <x v="0"/>
    <b v="0"/>
    <s v="No está en VPC"/>
    <n v="709"/>
    <s v="INTPG_VPC_708_1.20_709_1.19"/>
    <s v="ISEL-1.19"/>
    <n v="1"/>
    <s v="NO TIENE L3OUT"/>
    <n v="0"/>
    <n v="54"/>
  </r>
  <r>
    <n v="454"/>
    <x v="1"/>
    <x v="126"/>
    <s v="eth1/19"/>
    <x v="0"/>
    <x v="0"/>
    <x v="0"/>
    <s v="HACIA_CSI-B-OSCP-F4-03_PRIMARIO"/>
    <x v="4"/>
    <b v="0"/>
    <s v="No está en VPC"/>
    <n v="454"/>
    <s v="INTPG_VPC_454_1.19_456_1.19"/>
    <s v="ISEL-1.19"/>
    <n v="2"/>
    <s v="NO TIENE L3OUT"/>
    <n v="4"/>
    <n v="54"/>
  </r>
  <r>
    <n v="734"/>
    <x v="2"/>
    <x v="127"/>
    <s v="eth1/19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19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19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19"/>
    <x v="0"/>
    <x v="0"/>
    <x v="0"/>
    <m/>
    <x v="0"/>
    <b v="0"/>
    <s v="No está en VPC"/>
    <n v="718"/>
    <s v="INTPG-VPC_HDD08_718_1.19_717_1.20"/>
    <s v="ISEL-1.19"/>
    <n v="1"/>
    <s v="NO TIENE L3OUT"/>
    <n v="0"/>
    <n v="54"/>
  </r>
  <r>
    <n v="744"/>
    <x v="2"/>
    <x v="131"/>
    <s v="eth1/19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19"/>
    <x v="0"/>
    <x v="0"/>
    <x v="0"/>
    <s v="CEM:ITHCEMB2AKF10:LOM P3"/>
    <x v="5"/>
    <b v="0"/>
    <s v="No está en VPC"/>
    <n v="741"/>
    <s v="INTPG_ACC_741_1.19"/>
    <s v="ISEL-1.19"/>
    <n v="1"/>
    <s v="NO TIENE L3OUT"/>
    <n v="62"/>
    <n v="54"/>
  </r>
  <r>
    <n v="787"/>
    <x v="2"/>
    <x v="133"/>
    <s v="eth1/19"/>
    <x v="0"/>
    <x v="0"/>
    <x v="0"/>
    <s v="ENIQ F2:itheniqr14bl02nas2r4b:Slot 2/1"/>
    <x v="0"/>
    <b v="0"/>
    <s v="No está en VPC"/>
    <n v="787"/>
    <s v="INTPG_PC_787_1.16-19"/>
    <s v="ISEL-1.19"/>
    <n v="1"/>
    <s v="NO TIENE L3OUT"/>
    <n v="26"/>
    <n v="54"/>
  </r>
  <r>
    <n v="750"/>
    <x v="2"/>
    <x v="134"/>
    <s v="eth1/19"/>
    <x v="0"/>
    <x v="0"/>
    <x v="0"/>
    <m/>
    <x v="0"/>
    <b v="0"/>
    <s v="No está en VPC"/>
    <n v="750"/>
    <s v="INTPG_ACC_750_1.19"/>
    <s v="ISEL-1.19"/>
    <n v="0"/>
    <s v="NO TIENE L3OUT"/>
    <n v="2"/>
    <n v="54"/>
  </r>
  <r>
    <n v="792"/>
    <x v="2"/>
    <x v="135"/>
    <s v="eth1/19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19"/>
    <x v="1"/>
    <x v="1"/>
    <x v="3"/>
    <s v="CEM:ITHCEMG2NAM17:LOM  P2"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19"/>
    <x v="0"/>
    <x v="0"/>
    <x v="0"/>
    <s v="TO-IMC_PS07-MSP"/>
    <x v="0"/>
    <b v="0"/>
    <s v="No está en VPC"/>
    <n v="799"/>
    <s v="INTPG_ACC_799_1.19"/>
    <s v="ISEL-1.19"/>
    <n v="1"/>
    <s v="NO TIENE L3OUT"/>
    <n v="52"/>
    <n v="54"/>
  </r>
  <r>
    <n v="768"/>
    <x v="2"/>
    <x v="138"/>
    <s v="eth1/19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19"/>
    <x v="0"/>
    <x v="0"/>
    <x v="0"/>
    <s v="ITHORNG1DAT08_SLOT 4 P1"/>
    <x v="0"/>
    <b v="0"/>
    <s v="No está en VPC"/>
    <n v="714"/>
    <s v="INTPG_ACC_714_1.19"/>
    <s v="ISEL-1.19"/>
    <n v="2"/>
    <s v="NO TIENE L3OUT"/>
    <n v="20"/>
    <n v="54"/>
  </r>
  <r>
    <n v="717"/>
    <x v="2"/>
    <x v="140"/>
    <s v="eth1/19"/>
    <x v="0"/>
    <x v="0"/>
    <x v="0"/>
    <m/>
    <x v="0"/>
    <b v="0"/>
    <s v="No está en VPC"/>
    <n v="717"/>
    <s v="INTPG-VPC_HDD18_717_1.19_718_1.20"/>
    <s v="ISEL-1.19"/>
    <n v="1"/>
    <s v="NO TIENE L3OUT"/>
    <n v="0"/>
    <n v="54"/>
  </r>
  <r>
    <n v="789"/>
    <x v="2"/>
    <x v="141"/>
    <s v="eth1/19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19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19"/>
    <x v="0"/>
    <x v="0"/>
    <x v="0"/>
    <s v="LACP_NAS2_ENIQ9B"/>
    <x v="0"/>
    <b v="0"/>
    <s v="No está en VPC"/>
    <n v="783"/>
    <s v="INTPG_PC_783_1.16-19"/>
    <s v="ISEL-1.19"/>
    <n v="1"/>
    <s v="NO TIENE L3OUT"/>
    <n v="26"/>
    <n v="54"/>
  </r>
  <r>
    <n v="774"/>
    <x v="2"/>
    <x v="144"/>
    <s v="eth1/19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19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19"/>
    <x v="0"/>
    <x v="1"/>
    <x v="1"/>
    <s v="DESC"/>
    <x v="0"/>
    <b v="0"/>
    <s v="No está en VPC"/>
    <n v="794"/>
    <s v="INTPG_PC_794_1.17_19_21_23_25_27"/>
    <s v="ISEL-1.19"/>
    <n v="1"/>
    <s v="NO TIENE L3OUT"/>
    <n v="12"/>
    <n v="54"/>
  </r>
  <r>
    <n v="803"/>
    <x v="2"/>
    <x v="147"/>
    <s v="eth1/19"/>
    <x v="0"/>
    <x v="0"/>
    <x v="0"/>
    <s v="TO-HDPS_45-MSP"/>
    <x v="0"/>
    <b v="0"/>
    <s v="No está en VPC"/>
    <n v="803"/>
    <s v="INTPG_ACC_803_1.19"/>
    <s v="ISEL-1.19"/>
    <n v="1"/>
    <s v="NO TIENE L3OUT"/>
    <n v="48"/>
    <n v="54"/>
  </r>
  <r>
    <n v="786"/>
    <x v="2"/>
    <x v="148"/>
    <s v="eth1/19"/>
    <x v="0"/>
    <x v="0"/>
    <x v="0"/>
    <s v="ENIQ F2:itheniqr16bl02nas2r4a:Slot 2/1"/>
    <x v="0"/>
    <b v="0"/>
    <s v="No está en VPC"/>
    <n v="786"/>
    <s v="INTPG_PC_786_1.16-19"/>
    <s v="ISEL-1.19"/>
    <n v="1"/>
    <s v="NO TIENE L3OUT"/>
    <n v="26"/>
    <n v="54"/>
  </r>
  <r>
    <n v="757"/>
    <x v="2"/>
    <x v="149"/>
    <s v="eth1/19"/>
    <x v="0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19"/>
    <x v="0"/>
    <x v="0"/>
    <x v="0"/>
    <s v="LACP_NAS2_ENIQ1"/>
    <x v="0"/>
    <b v="0"/>
    <s v="No está en VPC"/>
    <n v="781"/>
    <s v="INTPG_PC_781_1.16-19"/>
    <s v="ISEL-1.19"/>
    <n v="1"/>
    <s v="NO TIENE L3OUT"/>
    <n v="26"/>
    <n v="54"/>
  </r>
  <r>
    <n v="793"/>
    <x v="2"/>
    <x v="151"/>
    <s v="eth1/19"/>
    <x v="0"/>
    <x v="0"/>
    <x v="0"/>
    <s v="DESC"/>
    <x v="0"/>
    <b v="0"/>
    <s v="No está en VPC"/>
    <n v="793"/>
    <s v="INTPG_PC_793_1.17_19_21_23_25_27"/>
    <s v="ISEL-1.19"/>
    <n v="1"/>
    <s v="NO TIENE L3OUT"/>
    <n v="12"/>
    <n v="54"/>
  </r>
  <r>
    <n v="747"/>
    <x v="2"/>
    <x v="152"/>
    <s v="eth1/19"/>
    <x v="0"/>
    <x v="1"/>
    <x v="3"/>
    <s v="PAAS:ithhwosstpap004:Slot4.1"/>
    <x v="0"/>
    <b v="0"/>
    <s v="No está en VPC"/>
    <n v="747"/>
    <s v="INTPG_VPC_747_1.19_752_1.29"/>
    <s v="ISEL-1.19"/>
    <n v="0"/>
    <s v="NO TIENE L3OUT"/>
    <n v="0"/>
    <n v="54"/>
  </r>
  <r>
    <n v="784"/>
    <x v="2"/>
    <x v="153"/>
    <s v="eth1/19"/>
    <x v="0"/>
    <x v="0"/>
    <x v="0"/>
    <s v="ENIQ F2:itheniqr13bl02nas2r6a:Slot 2/1"/>
    <x v="0"/>
    <b v="0"/>
    <s v="No está en VPC"/>
    <n v="784"/>
    <s v="INTPG_PC_784_1.16-19"/>
    <s v="ISEL-1.19"/>
    <n v="1"/>
    <s v="NO TIENE L3OUT"/>
    <n v="26"/>
    <n v="54"/>
  </r>
  <r>
    <n v="806"/>
    <x v="2"/>
    <x v="154"/>
    <s v="eth1/19"/>
    <x v="0"/>
    <x v="0"/>
    <x v="0"/>
    <s v="TO-HDPS_69-MSP"/>
    <x v="0"/>
    <b v="0"/>
    <s v="No está en VPC"/>
    <n v="806"/>
    <s v="INTPG_ACC_806_1.19"/>
    <s v="ISEL-1.19"/>
    <n v="1"/>
    <s v="NO TIENE L3OUT"/>
    <n v="44"/>
    <n v="54"/>
  </r>
  <r>
    <n v="777"/>
    <x v="2"/>
    <x v="155"/>
    <s v="eth1/19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19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19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19"/>
    <x v="0"/>
    <x v="0"/>
    <x v="0"/>
    <s v="CEM:ITHCEMD2AKF10:LOM P3"/>
    <x v="5"/>
    <b v="0"/>
    <s v="No está en VPC"/>
    <n v="739"/>
    <s v="INTPG_ACC_739_1.19"/>
    <s v="ISEL-1.19"/>
    <n v="1"/>
    <s v="NO TIENE L3OUT"/>
    <n v="72"/>
    <n v="54"/>
  </r>
  <r>
    <n v="775"/>
    <x v="2"/>
    <x v="159"/>
    <s v="eth1/19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19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19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19"/>
    <x v="0"/>
    <x v="0"/>
    <x v="0"/>
    <s v="LINK_TO_ITHFHWCBSDSHD16 /Slot7.2 /Redundante"/>
    <x v="0"/>
    <b v="0"/>
    <s v="No está en VPC"/>
    <n v="830"/>
    <s v="INTPG_VPC_826_1.19_830_1.19"/>
    <s v="ISEL-1.19"/>
    <n v="2"/>
    <s v="NO TIENE L3OUT"/>
    <n v="12"/>
    <n v="54"/>
  </r>
  <r>
    <n v="821"/>
    <x v="2"/>
    <x v="163"/>
    <s v="eth1/19"/>
    <x v="0"/>
    <x v="0"/>
    <x v="0"/>
    <s v="LINK_TO_ITHFHWCBSPSHD16 /Slot7.2 /Redundante"/>
    <x v="0"/>
    <b v="0"/>
    <s v="No está en VPC"/>
    <n v="821"/>
    <s v="INTPG_VPC_816_1.19_821_1.19"/>
    <s v="ISEL-1.19"/>
    <n v="2"/>
    <s v="NO TIENE L3OUT"/>
    <n v="0"/>
    <n v="54"/>
  </r>
  <r>
    <n v="738"/>
    <x v="2"/>
    <x v="164"/>
    <s v="eth1/19"/>
    <x v="0"/>
    <x v="0"/>
    <x v="0"/>
    <s v="CEM:ITHCEME2RTB10:LOM P3"/>
    <x v="5"/>
    <b v="0"/>
    <s v="No está en VPC"/>
    <n v="738"/>
    <s v="INTPG_ACC_738_1.19"/>
    <s v="ISEL-1.19"/>
    <n v="1"/>
    <s v="NO TIENE L3OUT"/>
    <n v="72"/>
    <n v="54"/>
  </r>
  <r>
    <n v="820"/>
    <x v="2"/>
    <x v="165"/>
    <s v="eth1/19"/>
    <x v="0"/>
    <x v="0"/>
    <x v="0"/>
    <s v="LINK_TO_ITHHWCRMPEN03 /X3-10GE 6 /Redundante"/>
    <x v="0"/>
    <b v="0"/>
    <s v="No está en VPC"/>
    <n v="820"/>
    <s v="INTPG_VPC_820_1.15-16_18-19_825_1.1.15-16_18-19"/>
    <s v="ISEL-1.19"/>
    <n v="1"/>
    <s v="NO TIENE L3OUT"/>
    <n v="72"/>
    <n v="54"/>
  </r>
  <r>
    <n v="804"/>
    <x v="2"/>
    <x v="166"/>
    <s v="eth1/19"/>
    <x v="0"/>
    <x v="0"/>
    <x v="0"/>
    <s v="TO-HDPS_45-MSP"/>
    <x v="0"/>
    <b v="0"/>
    <s v="No está en VPC"/>
    <n v="804"/>
    <s v="INTPG_ACC_804_1.19"/>
    <s v="ISEL-1.19"/>
    <n v="1"/>
    <s v="NO TIENE L3OUT"/>
    <n v="48"/>
    <n v="54"/>
  </r>
  <r>
    <n v="779"/>
    <x v="2"/>
    <x v="167"/>
    <s v="eth1/19"/>
    <x v="0"/>
    <x v="0"/>
    <x v="0"/>
    <s v="ENIQ F1:itheniqr07nas2r2:Slot 2/1"/>
    <x v="0"/>
    <b v="0"/>
    <s v="No está en VPC"/>
    <n v="779"/>
    <s v="INTPG_PC_779_1.16-19"/>
    <s v="ISEL-1.19"/>
    <n v="1"/>
    <s v="NO TIENE L3OUT"/>
    <n v="30"/>
    <n v="54"/>
  </r>
  <r>
    <n v="767"/>
    <x v="2"/>
    <x v="168"/>
    <s v="eth1/19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19"/>
    <x v="0"/>
    <x v="0"/>
    <x v="0"/>
    <s v="LINK_TO_ITHFHWCBSDSUSBD11 /Slot4.2 /Principal"/>
    <x v="0"/>
    <b v="0"/>
    <s v="No está en VPC"/>
    <n v="827"/>
    <s v="INTPG_VPC_827_1.19_831_1.19"/>
    <s v="ISEL-1.19"/>
    <n v="1"/>
    <s v="NO TIENE L3OUT"/>
    <n v="14"/>
    <n v="54"/>
  </r>
  <r>
    <n v="809"/>
    <x v="2"/>
    <x v="170"/>
    <s v="eth1/19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19"/>
    <x v="0"/>
    <x v="0"/>
    <x v="0"/>
    <s v="Portchannel_4_R4B"/>
    <x v="0"/>
    <b v="0"/>
    <s v="No está en VPC"/>
    <n v="771"/>
    <s v="INTPG_PC_771_1.19-20"/>
    <s v="ISEL-1.19"/>
    <n v="8"/>
    <s v="NO TIENE L3OUT"/>
    <n v="62"/>
    <n v="54"/>
  </r>
  <r>
    <n v="761"/>
    <x v="2"/>
    <x v="172"/>
    <s v="eth1/19"/>
    <x v="0"/>
    <x v="1"/>
    <x v="1"/>
    <m/>
    <x v="0"/>
    <b v="0"/>
    <s v="No está en VPC"/>
    <n v="761"/>
    <s v="INTPG_VPC_760_1.17-20_761_1.17-20"/>
    <s v="ISEL-1.19"/>
    <n v="0"/>
    <s v="L3OUT-EXACLOUD"/>
    <n v="0"/>
    <n v="54"/>
  </r>
  <r>
    <n v="776"/>
    <x v="2"/>
    <x v="173"/>
    <s v="eth1/19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19"/>
    <x v="0"/>
    <x v="0"/>
    <x v="0"/>
    <s v="TO-HDPS_69-MSP"/>
    <x v="0"/>
    <b v="0"/>
    <s v="No está en VPC"/>
    <n v="805"/>
    <s v="INTPG_ACC_805_1.19"/>
    <s v="ISEL-1.19"/>
    <n v="1"/>
    <s v="NO TIENE L3OUT"/>
    <n v="44"/>
    <n v="54"/>
  </r>
  <r>
    <n v="772"/>
    <x v="2"/>
    <x v="175"/>
    <s v="eth1/19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19"/>
    <x v="0"/>
    <x v="0"/>
    <x v="0"/>
    <s v="ENIQ F2:itheniqr12bl02nas2r6b:Slot 2/1"/>
    <x v="0"/>
    <b v="0"/>
    <s v="No está en VPC"/>
    <n v="785"/>
    <s v="INTPG_PC_785_1.16-19"/>
    <s v="ISEL-1.19"/>
    <n v="1"/>
    <s v="NO TIENE L3OUT"/>
    <n v="32"/>
    <n v="54"/>
  </r>
  <r>
    <n v="851"/>
    <x v="2"/>
    <x v="177"/>
    <s v="eth1/19"/>
    <x v="0"/>
    <x v="0"/>
    <x v="0"/>
    <s v="LINK_TO_ITHFHWCRMPLCN107 / Slot7.1_18 / Redundante"/>
    <x v="0"/>
    <b v="0"/>
    <s v="No está en VPC"/>
    <n v="851"/>
    <s v="INTPG_ACC_851_1.19"/>
    <s v="ISEL-1.19"/>
    <n v="6"/>
    <s v="NO TIENE L3OUT"/>
    <n v="282"/>
    <n v="54"/>
  </r>
  <r>
    <n v="798"/>
    <x v="2"/>
    <x v="178"/>
    <s v="eth1/19"/>
    <x v="0"/>
    <x v="0"/>
    <x v="0"/>
    <s v="TO-IMC_PS07-MSP"/>
    <x v="0"/>
    <b v="0"/>
    <s v="No está en VPC"/>
    <n v="798"/>
    <s v="INTPG_ACC_798_1.19"/>
    <s v="ISEL-1.19"/>
    <n v="1"/>
    <s v="NO TIENE L3OUT"/>
    <n v="52"/>
    <n v="54"/>
  </r>
  <r>
    <n v="782"/>
    <x v="2"/>
    <x v="179"/>
    <s v="eth1/19"/>
    <x v="0"/>
    <x v="0"/>
    <x v="0"/>
    <s v="LACP_NAS2_ENIQ9A"/>
    <x v="0"/>
    <b v="0"/>
    <s v="No está en VPC"/>
    <n v="782"/>
    <s v="INTPG_PC_782_1.16-19"/>
    <s v="ISEL-1.19"/>
    <n v="1"/>
    <s v="NO TIENE L3OUT"/>
    <n v="32"/>
    <n v="54"/>
  </r>
  <r>
    <n v="852"/>
    <x v="2"/>
    <x v="180"/>
    <s v="eth1/19"/>
    <x v="0"/>
    <x v="0"/>
    <x v="0"/>
    <s v="LINK_TO_ITHFHWCRMPLCN90 / Slot7.2_12 / Redundante"/>
    <x v="0"/>
    <b v="0"/>
    <s v="No está en VPC"/>
    <n v="852"/>
    <s v="INTPG_ACC_852_1.19"/>
    <s v="ISEL-1.19"/>
    <n v="2"/>
    <s v="NO TIENE L3OUT"/>
    <n v="258"/>
    <n v="54"/>
  </r>
  <r>
    <n v="817"/>
    <x v="2"/>
    <x v="181"/>
    <s v="eth1/19"/>
    <x v="0"/>
    <x v="0"/>
    <x v="0"/>
    <s v="LINK_TO_ITHFHWCBSPSUSBD14 /Slot5.2 /Principal"/>
    <x v="0"/>
    <b v="0"/>
    <s v="No está en VPC"/>
    <n v="817"/>
    <s v="INTPG_VPC_817_1.19_822_1.19"/>
    <s v="ISEL-1.19"/>
    <n v="2"/>
    <s v="NO TIENE L3OUT"/>
    <n v="0"/>
    <n v="54"/>
  </r>
  <r>
    <n v="832"/>
    <x v="2"/>
    <x v="182"/>
    <s v="eth1/19"/>
    <x v="0"/>
    <x v="0"/>
    <x v="0"/>
    <s v="LINK_TO_ITHFHWCRMDLCN21 /Slot6.2 /Redundante"/>
    <x v="0"/>
    <b v="0"/>
    <s v="No está en VPC"/>
    <n v="832"/>
    <s v="INTPG_ACC_832_1.19"/>
    <s v="ISEL-1.19"/>
    <n v="1"/>
    <s v="NO TIENE L3OUT"/>
    <n v="192"/>
    <n v="54"/>
  </r>
  <r>
    <n v="816"/>
    <x v="2"/>
    <x v="183"/>
    <s v="eth1/19"/>
    <x v="0"/>
    <x v="0"/>
    <x v="0"/>
    <s v="LINK_TO_ITHFHWCBSPSHD16 /Slot5.2 /Principal"/>
    <x v="0"/>
    <b v="0"/>
    <s v="No está en VPC"/>
    <n v="816"/>
    <s v="INTPG_VPC_816_1.19_821_1.19"/>
    <s v="ISEL-1.19"/>
    <n v="2"/>
    <s v="NO TIENE L3OUT"/>
    <n v="0"/>
    <n v="54"/>
  </r>
  <r>
    <n v="825"/>
    <x v="2"/>
    <x v="184"/>
    <s v="eth1/19"/>
    <x v="0"/>
    <x v="0"/>
    <x v="0"/>
    <s v="LINK_TO_ITHHWCRMPEN03 /X3-10GE 5 /Principal"/>
    <x v="0"/>
    <b v="0"/>
    <s v="No está en VPC"/>
    <n v="825"/>
    <s v="INTPG_VPC_820_1.15-16_18-19_825_1.1.15-16_18-19"/>
    <s v="ISEL-1.19"/>
    <n v="1"/>
    <s v="NO TIENE L3OUT"/>
    <n v="72"/>
    <n v="54"/>
  </r>
  <r>
    <n v="800"/>
    <x v="2"/>
    <x v="185"/>
    <s v="eth1/19"/>
    <x v="0"/>
    <x v="0"/>
    <x v="0"/>
    <s v="TO-ITHFHWSEQLDPS01-MSP"/>
    <x v="0"/>
    <b v="0"/>
    <s v="No está en VPC"/>
    <n v="800"/>
    <s v="INTPG_ACC_800_1.19"/>
    <s v="ISEL-1.19"/>
    <n v="1"/>
    <s v="NO TIENE L3OUT"/>
    <n v="78"/>
    <n v="54"/>
  </r>
  <r>
    <n v="801"/>
    <x v="2"/>
    <x v="186"/>
    <s v="eth1/19"/>
    <x v="0"/>
    <x v="0"/>
    <x v="0"/>
    <s v="TO-ITHFHWSEQLDPS01-MSP"/>
    <x v="0"/>
    <b v="0"/>
    <s v="No está en VPC"/>
    <n v="801"/>
    <s v="INTPG_ACC_801_1.19"/>
    <s v="ISEL-1.19"/>
    <n v="1"/>
    <s v="NO TIENE L3OUT"/>
    <n v="78"/>
    <n v="54"/>
  </r>
  <r>
    <n v="823"/>
    <x v="2"/>
    <x v="187"/>
    <s v="eth1/19"/>
    <x v="0"/>
    <x v="0"/>
    <x v="0"/>
    <s v="LINK_TO_ITHFHWCBSPSUSBD19 /Slot6.2 /Redundante"/>
    <x v="0"/>
    <b v="0"/>
    <s v="No está en VPC"/>
    <n v="823"/>
    <s v="INTPG_VPC_818_1.19_823_1.19"/>
    <s v="ISEL-1.19"/>
    <n v="1"/>
    <s v="NO TIENE L3OUT"/>
    <n v="8"/>
    <n v="54"/>
  </r>
  <r>
    <n v="837"/>
    <x v="2"/>
    <x v="188"/>
    <s v="eth1/19"/>
    <x v="0"/>
    <x v="0"/>
    <x v="0"/>
    <s v="LINK_TO_ITHFHWCBSPSWR45 / Slot1.3_26 / Principal"/>
    <x v="0"/>
    <b v="0"/>
    <s v="No está en VPC"/>
    <n v="837"/>
    <s v="INTPG_VPC_837_1.19_842_1.19"/>
    <s v="ISEL-1.19"/>
    <n v="1"/>
    <s v="NO TIENE L3OUT"/>
    <n v="8"/>
    <n v="54"/>
  </r>
  <r>
    <n v="867"/>
    <x v="2"/>
    <x v="189"/>
    <s v="eth1/19"/>
    <x v="0"/>
    <x v="0"/>
    <x v="0"/>
    <s v="TO-9S_VPNM_IXT3_211_2"/>
    <x v="0"/>
    <b v="0"/>
    <s v="No está en VPC"/>
    <n v="867"/>
    <s v="INTPG_VPC_862_1.19_867_1.19"/>
    <s v="ISEL-1.19"/>
    <n v="15"/>
    <s v="NO TIENE L3OUT"/>
    <n v="44"/>
    <n v="54"/>
  </r>
  <r>
    <n v="829"/>
    <x v="2"/>
    <x v="190"/>
    <s v="eth1/19"/>
    <x v="0"/>
    <x v="0"/>
    <x v="0"/>
    <s v="LINK_TO_ITHFHWCRMDLCN34 /Slot7.2 /Redundante"/>
    <x v="0"/>
    <b v="0"/>
    <s v="No está en VPC"/>
    <n v="829"/>
    <s v="INTPG_ACC_829_1.19"/>
    <s v="ISEL-1.19"/>
    <n v="5"/>
    <s v="NO TIENE L3OUT"/>
    <n v="224"/>
    <n v="54"/>
  </r>
  <r>
    <n v="831"/>
    <x v="2"/>
    <x v="191"/>
    <s v="eth1/19"/>
    <x v="0"/>
    <x v="0"/>
    <x v="0"/>
    <s v="LINK_TO_ITHFHWCBSDSUSBD11 /Slot6.2 /Redundante"/>
    <x v="0"/>
    <b v="0"/>
    <s v="No está en VPC"/>
    <n v="831"/>
    <s v="INTPG_VPC_827_1.19_831_1.19"/>
    <s v="ISEL-1.19"/>
    <n v="1"/>
    <s v="NO TIENE L3OUT"/>
    <n v="14"/>
    <n v="54"/>
  </r>
  <r>
    <n v="802"/>
    <x v="2"/>
    <x v="192"/>
    <s v="eth1/19"/>
    <x v="0"/>
    <x v="0"/>
    <x v="0"/>
    <s v="TO-HDPS_21-MSP"/>
    <x v="0"/>
    <b v="0"/>
    <s v="No está en VPC"/>
    <n v="802"/>
    <s v="INTPG_ACC_802_1.19"/>
    <s v="ISEL-1.19"/>
    <n v="1"/>
    <s v="NO TIENE L3OUT"/>
    <n v="48"/>
    <n v="54"/>
  </r>
  <r>
    <n v="835"/>
    <x v="2"/>
    <x v="193"/>
    <s v="eth1/19"/>
    <x v="0"/>
    <x v="0"/>
    <x v="0"/>
    <s v="LINK_TO_ITHFHWCBSPSWR60 / Slot1.1_32 / Principal"/>
    <x v="0"/>
    <b v="0"/>
    <s v="No está en VPC"/>
    <n v="835"/>
    <s v="INTPG_VPC_835_1.19_840_1.19"/>
    <s v="ISEL-1.19"/>
    <n v="2"/>
    <s v="NO TIENE L3OUT"/>
    <n v="8"/>
    <n v="54"/>
  </r>
  <r>
    <n v="822"/>
    <x v="2"/>
    <x v="194"/>
    <s v="eth1/19"/>
    <x v="0"/>
    <x v="0"/>
    <x v="0"/>
    <s v="LINK_TO_ITHFHWCBSPSUSBD14 /Slot7.2 /Redundante"/>
    <x v="0"/>
    <b v="0"/>
    <s v="No está en VPC"/>
    <n v="822"/>
    <s v="INTPG_VPC_817_1.19_822_1.19"/>
    <s v="ISEL-1.19"/>
    <n v="2"/>
    <s v="NO TIENE L3OUT"/>
    <n v="0"/>
    <n v="54"/>
  </r>
  <r>
    <n v="854"/>
    <x v="2"/>
    <x v="195"/>
    <s v="eth1/19"/>
    <x v="0"/>
    <x v="0"/>
    <x v="0"/>
    <s v="LINK_TO_ITHFHWCRMPLCN171 / Slot1.3_12 / Principal"/>
    <x v="0"/>
    <b v="0"/>
    <s v="No está en VPC"/>
    <n v="854"/>
    <s v="INTPG_ACC_854_1.19"/>
    <s v="ISEL-1.19"/>
    <n v="1"/>
    <s v="NO TIENE L3OUT"/>
    <n v="204"/>
    <n v="54"/>
  </r>
  <r>
    <n v="858"/>
    <x v="2"/>
    <x v="196"/>
    <s v="eth1/19"/>
    <x v="0"/>
    <x v="0"/>
    <x v="0"/>
    <s v="To_VPC_2DCBSD_HD43_1"/>
    <x v="0"/>
    <b v="0"/>
    <s v="No está en VPC"/>
    <n v="858"/>
    <s v="INTPG_VPC_858_1.19_863_1.19"/>
    <s v="ISEL-1.19"/>
    <n v="2"/>
    <s v="NO TIENE L3OUT"/>
    <n v="8"/>
    <n v="54"/>
  </r>
  <r>
    <n v="857"/>
    <x v="2"/>
    <x v="197"/>
    <s v="eth1/19"/>
    <x v="0"/>
    <x v="0"/>
    <x v="0"/>
    <s v="LINKT_TO_ITHFHWCRMPLCN121 / Slot1.3_12 / Principal"/>
    <x v="0"/>
    <b v="0"/>
    <s v="No está en VPC"/>
    <n v="857"/>
    <s v="INTPG_ACC_857_1.19"/>
    <s v="ISEL-1.19"/>
    <n v="1"/>
    <s v="NO TIENE L3OUT"/>
    <n v="288"/>
    <n v="54"/>
  </r>
  <r>
    <n v="859"/>
    <x v="2"/>
    <x v="198"/>
    <s v="eth1/19"/>
    <x v="0"/>
    <x v="0"/>
    <x v="0"/>
    <s v="To_VPC_2DCBSD_TL06_1"/>
    <x v="0"/>
    <b v="0"/>
    <s v="No está en VPC"/>
    <n v="859"/>
    <s v="INTPG_VPC_859_1.19_864_1.19"/>
    <s v="ISEL-1.19"/>
    <n v="2"/>
    <s v="NO TIENE L3OUT"/>
    <n v="0"/>
    <n v="54"/>
  </r>
  <r>
    <n v="833"/>
    <x v="2"/>
    <x v="199"/>
    <s v="eth1/19"/>
    <x v="0"/>
    <x v="0"/>
    <x v="0"/>
    <s v="LINK_TO_ITHFHWCRMDLCN34 /Slot5.2 /Principal"/>
    <x v="0"/>
    <b v="0"/>
    <s v="No está en VPC"/>
    <n v="833"/>
    <s v="INTPG_ACC_833_1.19"/>
    <s v="ISEL-1.19"/>
    <n v="5"/>
    <s v="NO TIENE L3OUT"/>
    <n v="224"/>
    <n v="54"/>
  </r>
  <r>
    <n v="818"/>
    <x v="2"/>
    <x v="200"/>
    <s v="eth1/19"/>
    <x v="0"/>
    <x v="0"/>
    <x v="0"/>
    <s v="LINK_TO_ITHFHWCBSPSUSBD19 /Slot4.2 /Principal"/>
    <x v="0"/>
    <b v="0"/>
    <s v="No está en VPC"/>
    <n v="818"/>
    <s v="INTPG_VPC_818_1.19_823_1.19"/>
    <s v="ISEL-1.19"/>
    <n v="1"/>
    <s v="NO TIENE L3OUT"/>
    <n v="8"/>
    <n v="54"/>
  </r>
  <r>
    <n v="850"/>
    <x v="2"/>
    <x v="201"/>
    <s v="eth1/19"/>
    <x v="0"/>
    <x v="0"/>
    <x v="0"/>
    <s v="LINKT_TO_ITHFHWCRMPLCN121 / Slot7.3_12 / Redundante"/>
    <x v="0"/>
    <b v="0"/>
    <s v="No está en VPC"/>
    <n v="850"/>
    <s v="INTPG_ACC_850_1.19"/>
    <s v="ISEL-1.19"/>
    <n v="1"/>
    <s v="NO TIENE L3OUT"/>
    <n v="288"/>
    <n v="54"/>
  </r>
  <r>
    <n v="860"/>
    <x v="2"/>
    <x v="202"/>
    <s v="eth1/19"/>
    <x v="0"/>
    <x v="0"/>
    <x v="0"/>
    <s v="To_VPC_2DCBSD_HD29_1"/>
    <x v="0"/>
    <b v="0"/>
    <s v="No está en VPC"/>
    <n v="860"/>
    <s v="INTPG_VPC_860_1.19_865_1.19"/>
    <s v="ISEL-1.19"/>
    <n v="2"/>
    <s v="NO TIENE L3OUT"/>
    <n v="0"/>
    <n v="54"/>
  </r>
  <r>
    <n v="853"/>
    <x v="2"/>
    <x v="203"/>
    <s v="eth1/19"/>
    <x v="0"/>
    <x v="0"/>
    <x v="0"/>
    <s v="LINK_TO_ITHFHWCRMPLCN78 / Slot7.1_14 / Redundante"/>
    <x v="0"/>
    <b v="0"/>
    <s v="No está en VPC"/>
    <n v="853"/>
    <s v="INTPG_ACC_853_1.19"/>
    <s v="ISEL-1.19"/>
    <n v="6"/>
    <s v="NO TIENE L3OUT"/>
    <n v="242"/>
    <n v="54"/>
  </r>
  <r>
    <n v="790"/>
    <x v="2"/>
    <x v="204"/>
    <s v="eth1/19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19"/>
    <x v="0"/>
    <x v="1"/>
    <x v="1"/>
    <m/>
    <x v="6"/>
    <b v="0"/>
    <s v="No está en VPC"/>
    <n v="105"/>
    <s v="INTPG_ACC_105_1.19"/>
    <s v="ISEL-1.19"/>
    <n v="0"/>
    <s v="NO TIENE L3OUT"/>
    <n v="106"/>
    <n v="96"/>
  </r>
  <r>
    <n v="117"/>
    <x v="0"/>
    <x v="206"/>
    <s v="eth1/19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19"/>
    <x v="0"/>
    <x v="1"/>
    <x v="1"/>
    <s v="File System AM"/>
    <x v="6"/>
    <b v="0"/>
    <s v="No está en VPC"/>
    <n v="104"/>
    <s v="INTPG_ACC_104_1.19"/>
    <s v="ISEL-1.19"/>
    <n v="1"/>
    <s v="NO TIENE L3OUT"/>
    <n v="194"/>
    <n v="96"/>
  </r>
  <r>
    <n v="158"/>
    <x v="0"/>
    <x v="208"/>
    <s v="eth1/19"/>
    <x v="1"/>
    <x v="1"/>
    <x v="2"/>
    <s v="LANB_IXTMA1_SECUNDARIO"/>
    <x v="6"/>
    <b v="0"/>
    <s v="No está en VPC"/>
    <n v="158"/>
    <s v="INTPG_ACC_158_1.19"/>
    <s v="ISEL-1.19"/>
    <n v="1"/>
    <s v="NO TIENE L3OUT"/>
    <n v="30"/>
    <n v="96"/>
  </r>
  <r>
    <n v="875"/>
    <x v="2"/>
    <x v="209"/>
    <s v="eth1/19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19"/>
    <x v="0"/>
    <x v="0"/>
    <x v="0"/>
    <s v="HACIA_CSI-B-OSCP-F4-15_SECUNDARIO"/>
    <x v="4"/>
    <b v="0"/>
    <s v="No está en VPC"/>
    <n v="879"/>
    <s v="INTPG_VPC_878_1.19_879_1.19"/>
    <s v="ISEL-1.19"/>
    <n v="2"/>
    <s v="NO TIENE L3OUT"/>
    <n v="0"/>
    <n v="54"/>
  </r>
  <r>
    <n v="108"/>
    <x v="0"/>
    <x v="211"/>
    <s v="eth1/19"/>
    <x v="0"/>
    <x v="0"/>
    <x v="0"/>
    <s v="TELLABS"/>
    <x v="6"/>
    <b v="0"/>
    <s v="No está en VPC"/>
    <n v="108"/>
    <s v="INTPG_ACC_108_1.19"/>
    <s v="ISEL-1.19"/>
    <n v="1"/>
    <s v="NO TIENE L3OUT"/>
    <n v="126"/>
    <n v="96"/>
  </r>
  <r>
    <n v="112"/>
    <x v="0"/>
    <x v="212"/>
    <s v="eth1/19"/>
    <x v="0"/>
    <x v="0"/>
    <x v="0"/>
    <s v="APROVISIONAMIENTO DE SERVICIOS"/>
    <x v="6"/>
    <b v="0"/>
    <s v="No está en VPC"/>
    <n v="112"/>
    <s v="INTPG_ACC_112_1.19"/>
    <s v="ISEL-1.19"/>
    <n v="1"/>
    <s v="NO TIENE L3OUT"/>
    <n v="144"/>
    <n v="96"/>
  </r>
  <r>
    <n v="107"/>
    <x v="0"/>
    <x v="213"/>
    <s v="eth1/19"/>
    <x v="0"/>
    <x v="0"/>
    <x v="0"/>
    <s v="Interconexion BLADE"/>
    <x v="6"/>
    <b v="0"/>
    <s v="No está en VPC"/>
    <n v="107"/>
    <s v="INTPG_ACC_107_1.19"/>
    <s v="ISEL-1.19"/>
    <n v="1"/>
    <s v="NO TIENE L3OUT"/>
    <n v="118"/>
    <n v="96"/>
  </r>
  <r>
    <n v="109"/>
    <x v="0"/>
    <x v="214"/>
    <s v="eth1/19"/>
    <x v="0"/>
    <x v="0"/>
    <x v="0"/>
    <m/>
    <x v="6"/>
    <b v="0"/>
    <s v="No está en VPC"/>
    <n v="109"/>
    <s v="NO EXISTE PG"/>
    <s v="NO EXISTE ISEL"/>
    <n v="1"/>
    <s v="NO TIENE L3OUT"/>
    <n v="126"/>
    <n v="96"/>
  </r>
  <r>
    <n v="113"/>
    <x v="0"/>
    <x v="215"/>
    <s v="eth1/19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19"/>
    <x v="0"/>
    <x v="0"/>
    <x v="0"/>
    <s v="APROVISIONAMIENTO DE SERVICIOS"/>
    <x v="6"/>
    <b v="0"/>
    <s v="No está en VPC"/>
    <n v="114"/>
    <s v="INTPG_ACC_114_1.19"/>
    <s v="ISEL-1.19"/>
    <n v="1"/>
    <s v="NO TIENE L3OUT"/>
    <n v="144"/>
    <n v="96"/>
  </r>
  <r>
    <n v="124"/>
    <x v="0"/>
    <x v="217"/>
    <s v="eth1/19"/>
    <x v="0"/>
    <x v="0"/>
    <x v="0"/>
    <s v="UXSVA (M9000)"/>
    <x v="6"/>
    <b v="0"/>
    <s v="No está en VPC"/>
    <n v="124"/>
    <s v="INTPG_ACC_124_1.19"/>
    <s v="ISEL-1.19"/>
    <n v="1"/>
    <s v="NO TIENE L3OUT"/>
    <n v="80"/>
    <n v="96"/>
  </r>
  <r>
    <n v="118"/>
    <x v="0"/>
    <x v="218"/>
    <s v="eth1/19"/>
    <x v="1"/>
    <x v="1"/>
    <x v="2"/>
    <s v="COBROS NAVEGACION"/>
    <x v="6"/>
    <b v="0"/>
    <s v="No está en VPC"/>
    <n v="118"/>
    <s v="INTPG_ACC_118_1.19"/>
    <s v="ISEL-1.19"/>
    <n v="1"/>
    <s v="NO TIENE L3OUT"/>
    <n v="180"/>
    <n v="96"/>
  </r>
  <r>
    <n v="159"/>
    <x v="0"/>
    <x v="219"/>
    <s v="eth1/19"/>
    <x v="0"/>
    <x v="0"/>
    <x v="0"/>
    <m/>
    <x v="6"/>
    <b v="0"/>
    <s v="No está en VPC"/>
    <n v="159"/>
    <s v="INTPG_ACC_159_1.19"/>
    <s v="ISEL-1.19"/>
    <n v="1"/>
    <s v="NO TIENE L3OUT"/>
    <n v="72"/>
    <n v="96"/>
  </r>
  <r>
    <n v="840"/>
    <x v="2"/>
    <x v="220"/>
    <s v="eth1/19"/>
    <x v="0"/>
    <x v="0"/>
    <x v="0"/>
    <s v="LINK_TO_ITHFHWCBSPSWR60 / Slot7.1_32 / Redundante"/>
    <x v="0"/>
    <b v="0"/>
    <s v="No está en VPC"/>
    <n v="840"/>
    <s v="INTPG_VPC_835_1.19_840_1.19"/>
    <s v="ISEL-1.19"/>
    <n v="2"/>
    <s v="NO TIENE L3OUT"/>
    <n v="8"/>
    <n v="54"/>
  </r>
  <r>
    <n v="856"/>
    <x v="2"/>
    <x v="221"/>
    <s v="eth1/19"/>
    <x v="0"/>
    <x v="0"/>
    <x v="0"/>
    <s v="LINK_TO_ITHFHWCRMPLCN140 / Slot1.3_14 / Principal"/>
    <x v="0"/>
    <b v="0"/>
    <s v="No está en VPC"/>
    <n v="856"/>
    <s v="INTPG_ACC_856_1.19"/>
    <s v="ISEL-1.19"/>
    <n v="1"/>
    <s v="NO TIENE L3OUT"/>
    <n v="286"/>
    <n v="54"/>
  </r>
  <r>
    <n v="110"/>
    <x v="0"/>
    <x v="222"/>
    <s v="eth1/19"/>
    <x v="0"/>
    <x v="0"/>
    <x v="0"/>
    <s v="UXDX-DATOS"/>
    <x v="6"/>
    <b v="0"/>
    <s v="No está en VPC"/>
    <n v="110"/>
    <s v="INTPG_ACC_110_1.19"/>
    <s v="ISEL-1.19"/>
    <n v="1"/>
    <s v="NO TIENE L3OUT"/>
    <n v="102"/>
    <n v="96"/>
  </r>
  <r>
    <n v="163"/>
    <x v="0"/>
    <x v="223"/>
    <s v="eth1/19"/>
    <x v="0"/>
    <x v="0"/>
    <x v="0"/>
    <s v="SICOP"/>
    <x v="6"/>
    <b v="0"/>
    <s v="No está en VPC"/>
    <n v="163"/>
    <s v="INTPG_ACC_163_1.19"/>
    <s v="ISEL-1.19"/>
    <n v="1"/>
    <s v="NO TIENE L3OUT"/>
    <n v="140"/>
    <n v="96"/>
  </r>
  <r>
    <n v="407"/>
    <x v="1"/>
    <x v="224"/>
    <s v="eth1/19"/>
    <x v="0"/>
    <x v="0"/>
    <x v="0"/>
    <s v="IXT_SIEU"/>
    <x v="6"/>
    <b v="0"/>
    <s v="No está en VPC"/>
    <n v="407"/>
    <s v="INTPG_ACC_407_1.19"/>
    <s v="ISEL-1.19"/>
    <n v="1"/>
    <s v="NO TIENE L3OUT"/>
    <n v="122"/>
    <n v="96"/>
  </r>
  <r>
    <n v="171"/>
    <x v="0"/>
    <x v="225"/>
    <s v="eth1/19"/>
    <x v="0"/>
    <x v="0"/>
    <x v="0"/>
    <s v="GSM_OSS_GDL_R6"/>
    <x v="6"/>
    <b v="0"/>
    <s v="No está en VPC"/>
    <n v="171"/>
    <s v="INTPG_ACC_171_1.19"/>
    <s v="ISEL-1.19"/>
    <n v="1"/>
    <s v="NO TIENE L3OUT"/>
    <n v="114"/>
    <n v="96"/>
  </r>
  <r>
    <n v="421"/>
    <x v="1"/>
    <x v="226"/>
    <s v="eth1/19"/>
    <x v="0"/>
    <x v="0"/>
    <x v="0"/>
    <s v="HP Proliant DL380p(f)"/>
    <x v="6"/>
    <b v="0"/>
    <s v="No está en VPC"/>
    <n v="421"/>
    <s v="INTPG_ACC_421_1.19"/>
    <s v="ISEL-1.19"/>
    <n v="1"/>
    <s v="NO TIENE L3OUT"/>
    <n v="72"/>
    <n v="96"/>
  </r>
  <r>
    <n v="173"/>
    <x v="0"/>
    <x v="227"/>
    <s v="eth1/19"/>
    <x v="0"/>
    <x v="0"/>
    <x v="0"/>
    <s v="ENIQ"/>
    <x v="6"/>
    <b v="0"/>
    <s v="No está en VPC"/>
    <n v="173"/>
    <s v="INTPG_ACC_173_1.19"/>
    <s v="ISEL-1.19"/>
    <n v="1"/>
    <s v="NO TIENE L3OUT"/>
    <n v="66"/>
    <n v="96"/>
  </r>
  <r>
    <n v="154"/>
    <x v="0"/>
    <x v="228"/>
    <s v="eth1/19"/>
    <x v="0"/>
    <x v="0"/>
    <x v="0"/>
    <s v="CHARGING SYSTEM"/>
    <x v="6"/>
    <b v="0"/>
    <s v="No está en VPC"/>
    <n v="154"/>
    <s v="INTPG_ACC_154_1.19"/>
    <s v="ISEL-1.19"/>
    <n v="1"/>
    <s v="NO TIENE L3OUT"/>
    <n v="62"/>
    <n v="96"/>
  </r>
  <r>
    <n v="172"/>
    <x v="0"/>
    <x v="229"/>
    <s v="eth1/19"/>
    <x v="0"/>
    <x v="0"/>
    <x v="0"/>
    <s v="SOP-EAGLE"/>
    <x v="6"/>
    <b v="0"/>
    <s v="No está en VPC"/>
    <n v="172"/>
    <s v="INTPG_ACC_172_1.19"/>
    <s v="ISEL-1.19"/>
    <n v="1"/>
    <s v="NO TIENE L3OUT"/>
    <n v="104"/>
    <n v="96"/>
  </r>
  <r>
    <n v="420"/>
    <x v="1"/>
    <x v="230"/>
    <s v="eth1/19"/>
    <x v="0"/>
    <x v="0"/>
    <x v="0"/>
    <s v="sfmevp04"/>
    <x v="6"/>
    <b v="0"/>
    <s v="No está en VPC"/>
    <n v="420"/>
    <s v="INTPG_ACC_420_1.19"/>
    <s v="ISEL-1.19"/>
    <n v="1"/>
    <s v="NO TIENE L3OUT"/>
    <n v="158"/>
    <n v="96"/>
  </r>
  <r>
    <n v="423"/>
    <x v="1"/>
    <x v="231"/>
    <s v="eth1/19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19"/>
    <x v="0"/>
    <x v="0"/>
    <x v="0"/>
    <s v="OCC ITHCC1  TRAFICO SCTP CIP"/>
    <x v="6"/>
    <b v="0"/>
    <s v="No está en VPC"/>
    <n v="415"/>
    <s v="INTPG_ACC_415_1.19"/>
    <s v="ISEL-1.19"/>
    <n v="1"/>
    <s v="NO TIENE L3OUT"/>
    <n v="52"/>
    <n v="96"/>
  </r>
  <r>
    <n v="102"/>
    <x v="0"/>
    <x v="233"/>
    <s v="eth1/19"/>
    <x v="0"/>
    <x v="1"/>
    <x v="1"/>
    <s v="SFLDI:RLDISTG01:1"/>
    <x v="6"/>
    <b v="0"/>
    <s v="No está en VPC"/>
    <n v="102"/>
    <s v="INTPG_ACC_102_1.19"/>
    <s v="ISEL-1.19"/>
    <n v="1"/>
    <s v="NO TIENE L3OUT"/>
    <n v="228"/>
    <n v="96"/>
  </r>
  <r>
    <n v="863"/>
    <x v="2"/>
    <x v="234"/>
    <s v="eth1/19"/>
    <x v="0"/>
    <x v="0"/>
    <x v="0"/>
    <s v="To_VPC_2DCBSD_HD43_1"/>
    <x v="0"/>
    <b v="0"/>
    <s v="No está en VPC"/>
    <n v="863"/>
    <s v="INTPG_VPC_858_1.19_863_1.19"/>
    <s v="ISEL-1.19"/>
    <n v="2"/>
    <s v="NO TIENE L3OUT"/>
    <n v="8"/>
    <n v="54"/>
  </r>
  <r>
    <n v="876"/>
    <x v="2"/>
    <x v="235"/>
    <s v="eth1/19"/>
    <x v="0"/>
    <x v="0"/>
    <x v="0"/>
    <s v="A_ITHFHWSEQLCAS18_Principal"/>
    <x v="4"/>
    <b v="0"/>
    <s v="No está en VPC"/>
    <n v="876"/>
    <s v="INTPG_ACC_876_1.19"/>
    <s v="ISEL-1.19"/>
    <n v="1"/>
    <s v="NO TIENE L3OUT"/>
    <n v="92"/>
    <n v="54"/>
  </r>
  <r>
    <n v="877"/>
    <x v="2"/>
    <x v="236"/>
    <s v="eth1/19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19"/>
    <x v="0"/>
    <x v="1"/>
    <x v="1"/>
    <s v="TEMIP_MGMT3"/>
    <x v="6"/>
    <b v="0"/>
    <s v="No está en VPC"/>
    <n v="122"/>
    <s v="INTPG_ACC_122_1.19"/>
    <s v="ISEL-1.19"/>
    <n v="1"/>
    <s v="NO TIENE L3OUT"/>
    <n v="148"/>
    <n v="96"/>
  </r>
  <r>
    <n v="157"/>
    <x v="0"/>
    <x v="238"/>
    <s v="eth1/19"/>
    <x v="0"/>
    <x v="0"/>
    <x v="0"/>
    <s v="Cons. Prepago M8000"/>
    <x v="6"/>
    <b v="0"/>
    <s v="No está en VPC"/>
    <n v="157"/>
    <s v="INTPG_ACC_157_1.19"/>
    <s v="ISEL-1.19"/>
    <n v="1"/>
    <s v="NO TIENE L3OUT"/>
    <n v="202"/>
    <n v="96"/>
  </r>
  <r>
    <n v="408"/>
    <x v="1"/>
    <x v="239"/>
    <s v="eth1/19"/>
    <x v="0"/>
    <x v="0"/>
    <x v="0"/>
    <s v="UXCA_EXADATA_MGMT"/>
    <x v="6"/>
    <b v="0"/>
    <s v="No está en VPC"/>
    <n v="408"/>
    <s v="INTPG_ACC_408_1.19"/>
    <s v="ISEL-1.19"/>
    <n v="1"/>
    <s v="NO TIENE L3OUT"/>
    <n v="152"/>
    <n v="96"/>
  </r>
  <r>
    <n v="405"/>
    <x v="1"/>
    <x v="240"/>
    <s v="eth1/19"/>
    <x v="0"/>
    <x v="0"/>
    <x v="0"/>
    <s v="XL5 RLR5ARI09 iLO"/>
    <x v="6"/>
    <b v="0"/>
    <s v="No está en VPC"/>
    <n v="405"/>
    <s v="INTPG_ACC_405_1.19"/>
    <s v="ISEL-1.19"/>
    <n v="1"/>
    <s v="NO TIENE L3OUT"/>
    <n v="138"/>
    <n v="96"/>
  </r>
  <r>
    <n v="169"/>
    <x v="0"/>
    <x v="241"/>
    <s v="eth1/19"/>
    <x v="0"/>
    <x v="0"/>
    <x v="0"/>
    <s v="CNOC"/>
    <x v="6"/>
    <b v="0"/>
    <s v="No está en VPC"/>
    <n v="169"/>
    <s v="INTPG_ACC_169_1.19"/>
    <s v="ISEL-1.19"/>
    <n v="1"/>
    <s v="NO TIENE L3OUT"/>
    <n v="76"/>
    <n v="96"/>
  </r>
  <r>
    <n v="165"/>
    <x v="0"/>
    <x v="242"/>
    <s v="eth1/19"/>
    <x v="0"/>
    <x v="0"/>
    <x v="0"/>
    <s v="UXLDAP"/>
    <x v="6"/>
    <b v="0"/>
    <s v="No está en VPC"/>
    <n v="165"/>
    <s v="INTPG_ACC_165_1.19"/>
    <s v="ISEL-1.19"/>
    <n v="1"/>
    <s v="NO TIENE L3OUT"/>
    <n v="86"/>
    <n v="96"/>
  </r>
  <r>
    <n v="417"/>
    <x v="1"/>
    <x v="243"/>
    <s v="eth1/19"/>
    <x v="0"/>
    <x v="0"/>
    <x v="0"/>
    <s v="IXTSRM2_VM3"/>
    <x v="6"/>
    <b v="0"/>
    <s v="No está en VPC"/>
    <n v="417"/>
    <s v="INTPG_ACC_417_1.19"/>
    <s v="ISEL-1.19"/>
    <n v="1"/>
    <s v="NO TIENE L3OUT"/>
    <n v="56"/>
    <n v="96"/>
  </r>
  <r>
    <n v="153"/>
    <x v="0"/>
    <x v="244"/>
    <s v="eth1/19"/>
    <x v="0"/>
    <x v="0"/>
    <x v="0"/>
    <m/>
    <x v="6"/>
    <b v="0"/>
    <s v="No está en VPC"/>
    <n v="153"/>
    <s v="INTPG_ACC_153_1.19"/>
    <s v="ISEL-1.19"/>
    <n v="1"/>
    <s v="NO TIENE L3OUT"/>
    <n v="42"/>
    <n v="96"/>
  </r>
  <r>
    <n v="119"/>
    <x v="0"/>
    <x v="245"/>
    <s v="eth1/19"/>
    <x v="1"/>
    <x v="1"/>
    <x v="2"/>
    <s v="DESC"/>
    <x v="6"/>
    <b v="0"/>
    <s v="No está en VPC"/>
    <n v="119"/>
    <s v="INTPG_PC_119_1.1-4_17-20"/>
    <s v="ISEL-1.19"/>
    <n v="31"/>
    <s v="NO TIENE L3OUT"/>
    <n v="70"/>
    <n v="96"/>
  </r>
  <r>
    <n v="156"/>
    <x v="0"/>
    <x v="246"/>
    <s v="eth1/19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19"/>
    <x v="0"/>
    <x v="1"/>
    <x v="1"/>
    <s v="EHEALTH:ehealthp03:ILOM"/>
    <x v="6"/>
    <b v="0"/>
    <s v="No está en VPC"/>
    <n v="103"/>
    <s v="INTPG_ACC_103_1.19"/>
    <s v="ISEL-1.19"/>
    <n v="1"/>
    <s v="NO TIENE L3OUT"/>
    <n v="70"/>
    <n v="96"/>
  </r>
  <r>
    <n v="438"/>
    <x v="1"/>
    <x v="248"/>
    <s v="eth1/19"/>
    <x v="0"/>
    <x v="0"/>
    <x v="0"/>
    <s v="HP_Proliant_DL380p(a)"/>
    <x v="6"/>
    <b v="0"/>
    <s v="No está en VPC"/>
    <n v="438"/>
    <s v="INTPG_ACC_438_1.19"/>
    <s v="ISEL-1.19"/>
    <n v="1"/>
    <s v="NO TIENE L3OUT"/>
    <n v="170"/>
    <n v="96"/>
  </r>
  <r>
    <n v="406"/>
    <x v="1"/>
    <x v="249"/>
    <s v="eth1/19"/>
    <x v="0"/>
    <x v="0"/>
    <x v="0"/>
    <s v="ITHRTC42VC1"/>
    <x v="6"/>
    <b v="0"/>
    <s v="No está en VPC"/>
    <n v="406"/>
    <s v="INTPG_VPC_404_1.19_406_1.19"/>
    <s v="ISEL-1.19"/>
    <n v="1"/>
    <s v="NO TIENE L3OUT"/>
    <n v="82"/>
    <n v="96"/>
  </r>
  <r>
    <n v="414"/>
    <x v="1"/>
    <x v="250"/>
    <s v="eth1/19"/>
    <x v="0"/>
    <x v="0"/>
    <x v="0"/>
    <s v="NEC Femtocel NMS"/>
    <x v="6"/>
    <b v="0"/>
    <s v="No está en VPC"/>
    <n v="414"/>
    <s v="INTPG_ACC_414_1.19"/>
    <s v="ISEL-1.19"/>
    <n v="1"/>
    <s v="NO TIENE L3OUT"/>
    <n v="144"/>
    <n v="96"/>
  </r>
  <r>
    <n v="416"/>
    <x v="1"/>
    <x v="251"/>
    <s v="eth1/19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19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19"/>
    <x v="0"/>
    <x v="0"/>
    <x v="0"/>
    <s v="To_lagidmhlapvp08_produccion1"/>
    <x v="6"/>
    <b v="0"/>
    <s v="No está en VPC"/>
    <n v="413"/>
    <s v="INTPG_VPC_411_1.26-29_413_1.19-20_22_86"/>
    <s v="ISEL-1.19"/>
    <n v="2"/>
    <s v="NO TIENE L3OUT"/>
    <n v="126"/>
    <n v="96"/>
  </r>
  <r>
    <n v="403"/>
    <x v="1"/>
    <x v="254"/>
    <s v="eth1/19"/>
    <x v="0"/>
    <x v="0"/>
    <x v="0"/>
    <s v="XL5 RLR5ARI09"/>
    <x v="6"/>
    <b v="0"/>
    <s v="No está en VPC"/>
    <n v="403"/>
    <s v="INTPG_ACC_403_1.19"/>
    <s v="ISEL-1.19"/>
    <n v="1"/>
    <s v="NO TIENE L3OUT"/>
    <n v="150"/>
    <n v="96"/>
  </r>
  <r>
    <n v="125"/>
    <x v="0"/>
    <x v="255"/>
    <s v="eth1/19"/>
    <x v="1"/>
    <x v="1"/>
    <x v="2"/>
    <s v="UXSVA (M5000)"/>
    <x v="6"/>
    <b v="0"/>
    <s v="No está en VPC"/>
    <n v="125"/>
    <s v="INTPG_ACC_125_1.19"/>
    <s v="ISEL-1.19"/>
    <n v="1"/>
    <s v="NO TIENE L3OUT"/>
    <n v="72"/>
    <n v="96"/>
  </r>
  <r>
    <n v="166"/>
    <x v="0"/>
    <x v="256"/>
    <s v="eth1/19"/>
    <x v="0"/>
    <x v="1"/>
    <x v="1"/>
    <s v="UXLDAP"/>
    <x v="6"/>
    <b v="0"/>
    <s v="No está en VPC"/>
    <n v="166"/>
    <s v="INTPG_ACC_166_1.19"/>
    <s v="ISEL-1.19"/>
    <n v="1"/>
    <s v="NO TIENE L3OUT"/>
    <n v="84"/>
    <n v="96"/>
  </r>
  <r>
    <n v="111"/>
    <x v="0"/>
    <x v="257"/>
    <s v="eth1/19"/>
    <x v="0"/>
    <x v="0"/>
    <x v="0"/>
    <s v="UXDX-DATOS"/>
    <x v="6"/>
    <b v="0"/>
    <s v="No está en VPC"/>
    <n v="111"/>
    <s v="INTPG_ACC_111_1.19"/>
    <s v="ISEL-1.19"/>
    <n v="1"/>
    <s v="NO TIENE L3OUT"/>
    <n v="58"/>
    <n v="96"/>
  </r>
  <r>
    <n v="115"/>
    <x v="0"/>
    <x v="258"/>
    <s v="eth1/19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19"/>
    <x v="0"/>
    <x v="1"/>
    <x v="1"/>
    <m/>
    <x v="6"/>
    <b v="0"/>
    <s v="No está en VPC"/>
    <n v="106"/>
    <s v="INTPG_ACC_106_1.19"/>
    <s v="ISEL-1.19"/>
    <n v="1"/>
    <s v="NO TIENE L3OUT"/>
    <n v="122"/>
    <n v="96"/>
  </r>
  <r>
    <n v="126"/>
    <x v="0"/>
    <x v="260"/>
    <s v="eth1/19"/>
    <x v="0"/>
    <x v="0"/>
    <x v="0"/>
    <s v="ENIQ"/>
    <x v="6"/>
    <b v="0"/>
    <s v="No está en VPC"/>
    <n v="126"/>
    <s v="INTPG_ACC_126_1.19"/>
    <s v="ISEL-1.19"/>
    <n v="1"/>
    <s v="NO TIENE L3OUT"/>
    <n v="54"/>
    <n v="96"/>
  </r>
  <r>
    <n v="425"/>
    <x v="1"/>
    <x v="261"/>
    <s v="eth1/19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19"/>
    <x v="0"/>
    <x v="0"/>
    <x v="0"/>
    <s v="ETLI-SACI 1"/>
    <x v="6"/>
    <b v="0"/>
    <s v="No está en VPC"/>
    <n v="151"/>
    <s v="INTPG_ACC_151_1.19"/>
    <s v="ISEL-1.19"/>
    <n v="1"/>
    <s v="NO TIENE L3OUT"/>
    <n v="86"/>
    <n v="96"/>
  </r>
  <r>
    <n v="430"/>
    <x v="1"/>
    <x v="263"/>
    <s v="eth1/19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19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19"/>
    <x v="0"/>
    <x v="1"/>
    <x v="1"/>
    <s v="COBROS NAVEGACION"/>
    <x v="6"/>
    <b v="0"/>
    <s v="No está en VPC"/>
    <n v="155"/>
    <s v="INTPG_ACC_155_1.19"/>
    <s v="ISEL-1.19"/>
    <n v="1"/>
    <s v="NO TIENE L3OUT"/>
    <n v="198"/>
    <n v="96"/>
  </r>
  <r>
    <n v="409"/>
    <x v="1"/>
    <x v="266"/>
    <s v="eth1/19"/>
    <x v="0"/>
    <x v="0"/>
    <x v="0"/>
    <s v="IXTGLAOSS1_CLIENT1"/>
    <x v="6"/>
    <b v="0"/>
    <s v="No está en VPC"/>
    <n v="409"/>
    <s v="INTPG_VPC_407_1.23_409_1.19"/>
    <s v="ISEL-1.19"/>
    <n v="16"/>
    <s v="NO TIENE L3OUT"/>
    <n v="128"/>
    <n v="96"/>
  </r>
  <r>
    <n v="422"/>
    <x v="1"/>
    <x v="267"/>
    <s v="eth1/19"/>
    <x v="0"/>
    <x v="0"/>
    <x v="0"/>
    <s v="TO-ITHFDEOCP1LWR05-REDUNDANTE"/>
    <x v="6"/>
    <b v="0"/>
    <s v="No está en VPC"/>
    <n v="422"/>
    <s v="INTPG_ACC_422_1.19"/>
    <s v="ISEL-1.19"/>
    <n v="1"/>
    <s v="NO TIENE L3OUT"/>
    <n v="182"/>
    <n v="96"/>
  </r>
  <r>
    <n v="436"/>
    <x v="1"/>
    <x v="268"/>
    <s v="eth1/19"/>
    <x v="0"/>
    <x v="0"/>
    <x v="0"/>
    <s v="HP_Proliant_DL380p(a)"/>
    <x v="6"/>
    <b v="0"/>
    <s v="No está en VPC"/>
    <n v="436"/>
    <s v="INTPG_ACC_436_1.19"/>
    <s v="ISEL-1.19"/>
    <n v="1"/>
    <s v="NO TIENE L3OUT"/>
    <n v="172"/>
    <n v="96"/>
  </r>
  <r>
    <n v="410"/>
    <x v="1"/>
    <x v="269"/>
    <s v="eth1/19"/>
    <x v="0"/>
    <x v="0"/>
    <x v="0"/>
    <s v="ITHMSVB3_ITH0"/>
    <x v="6"/>
    <b v="0"/>
    <s v="No está en VPC"/>
    <n v="410"/>
    <s v="INTPG_ACC_410_1.19"/>
    <s v="ISEL-1.19"/>
    <n v="1"/>
    <s v="NO TIENE L3OUT"/>
    <n v="178"/>
    <n v="96"/>
  </r>
  <r>
    <n v="161"/>
    <x v="0"/>
    <x v="270"/>
    <s v="eth1/19"/>
    <x v="0"/>
    <x v="0"/>
    <x v="0"/>
    <s v="SICOP"/>
    <x v="6"/>
    <b v="0"/>
    <s v="No está en VPC"/>
    <n v="161"/>
    <s v="INTPG_ACC_161_1.19"/>
    <s v="ISEL-1.19"/>
    <n v="1"/>
    <s v="NO TIENE L3OUT"/>
    <n v="102"/>
    <n v="96"/>
  </r>
  <r>
    <n v="411"/>
    <x v="1"/>
    <x v="271"/>
    <s v="eth1/19"/>
    <x v="0"/>
    <x v="0"/>
    <x v="0"/>
    <s v="GESTOR"/>
    <x v="6"/>
    <b v="0"/>
    <s v="No está en VPC"/>
    <n v="411"/>
    <s v="INTPG_ACC_411_1.19"/>
    <s v="ISEL-1.19"/>
    <n v="2"/>
    <s v="NO TIENE L3OUT"/>
    <n v="96"/>
    <n v="96"/>
  </r>
  <r>
    <n v="116"/>
    <x v="0"/>
    <x v="272"/>
    <s v="eth1/19"/>
    <x v="0"/>
    <x v="0"/>
    <x v="0"/>
    <s v="COBROS NAVEGACION"/>
    <x v="6"/>
    <b v="0"/>
    <s v="No está en VPC"/>
    <n v="116"/>
    <s v="INTPG_ACC_116_1.19"/>
    <s v="ISEL-1.19"/>
    <n v="1"/>
    <s v="NO TIENE L3OUT"/>
    <n v="148"/>
    <n v="96"/>
  </r>
  <r>
    <n v="412"/>
    <x v="1"/>
    <x v="273"/>
    <s v="eth1/19"/>
    <x v="0"/>
    <x v="0"/>
    <x v="0"/>
    <s v="RESPAL_CS5_ASAP8"/>
    <x v="6"/>
    <b v="0"/>
    <s v="No está en VPC"/>
    <n v="412"/>
    <s v="INTPG_ACC_412_1.19"/>
    <s v="ISEL-1.19"/>
    <n v="1"/>
    <s v="NO TIENE L3OUT"/>
    <n v="126"/>
    <n v="96"/>
  </r>
  <r>
    <n v="120"/>
    <x v="0"/>
    <x v="274"/>
    <s v="eth1/19"/>
    <x v="0"/>
    <x v="1"/>
    <x v="1"/>
    <s v="TEMIP_MGMT3"/>
    <x v="6"/>
    <b v="0"/>
    <s v="No está en VPC"/>
    <n v="120"/>
    <s v="INTPG_ACC_120_1.19"/>
    <s v="ISEL-1.19"/>
    <n v="1"/>
    <s v="NO TIENE L3OUT"/>
    <n v="158"/>
    <n v="96"/>
  </r>
  <r>
    <n v="404"/>
    <x v="1"/>
    <x v="275"/>
    <s v="eth1/19"/>
    <x v="0"/>
    <x v="0"/>
    <x v="0"/>
    <s v="ITHRTC42VC1"/>
    <x v="6"/>
    <b v="0"/>
    <s v="No está en VPC"/>
    <n v="404"/>
    <s v="INTPG_VPC_404_1.19_406_1.19"/>
    <s v="ISEL-1.19"/>
    <n v="1"/>
    <s v="NO TIENE L3OUT"/>
    <n v="92"/>
    <n v="96"/>
  </r>
  <r>
    <n v="167"/>
    <x v="0"/>
    <x v="276"/>
    <s v="eth1/19"/>
    <x v="0"/>
    <x v="0"/>
    <x v="0"/>
    <s v="LINKDOWN_HACIA_UCS_9UCS-IXTLA-SERV3"/>
    <x v="6"/>
    <b v="0"/>
    <s v="No está en VPC"/>
    <n v="167"/>
    <s v="INTPG_ACC_167_1.19"/>
    <s v="ISEL-1.19"/>
    <n v="1"/>
    <s v="NO TIENE L3OUT"/>
    <n v="68"/>
    <n v="96"/>
  </r>
  <r>
    <n v="428"/>
    <x v="1"/>
    <x v="277"/>
    <s v="eth1/19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903"/>
    <x v="2"/>
    <x v="278"/>
    <s v="eth1/19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19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2"/>
    <x v="0"/>
    <x v="0"/>
    <x v="0"/>
    <s v="HUECOS DC_S1"/>
    <x v="0"/>
    <b v="0"/>
    <s v="No está en VPC"/>
    <n v="128"/>
    <s v="INTPG_VPC_128_1.1-6_129_1.1-6"/>
    <s v="ISEL-1.2"/>
    <n v="1"/>
    <s v="NO TIENE L3OUT"/>
    <n v="0"/>
    <n v="54"/>
  </r>
  <r>
    <n v="123"/>
    <x v="0"/>
    <x v="1"/>
    <s v="eth1/2"/>
    <x v="0"/>
    <x v="0"/>
    <x v="0"/>
    <s v="DASHBD02.19.8"/>
    <x v="1"/>
    <b v="0"/>
    <s v="No está en VPC"/>
    <n v="123"/>
    <s v="INTPG_ACC_123_1.2"/>
    <s v="ISEL-1.2"/>
    <n v="1"/>
    <s v="NO TIENE L3OUT"/>
    <n v="20"/>
    <n v="54"/>
  </r>
  <r>
    <n v="152"/>
    <x v="0"/>
    <x v="2"/>
    <s v="eth1/2"/>
    <x v="0"/>
    <x v="0"/>
    <x v="0"/>
    <s v="DASHBOARD"/>
    <x v="1"/>
    <b v="0"/>
    <s v="No está en VPC"/>
    <n v="152"/>
    <s v="INTPG_ACC_152_1.2"/>
    <s v="ISEL-1.2"/>
    <n v="1"/>
    <s v="NO TIENE L3OUT"/>
    <n v="38"/>
    <n v="54"/>
  </r>
  <r>
    <n v="101"/>
    <x v="0"/>
    <x v="3"/>
    <s v="eth1/2"/>
    <x v="0"/>
    <x v="1"/>
    <x v="1"/>
    <s v="DESC"/>
    <x v="0"/>
    <b v="0"/>
    <s v="No está en VPC"/>
    <n v="101"/>
    <s v="INTPG_PC_101_1.2_6"/>
    <s v="ISEL-1.2"/>
    <n v="19"/>
    <s v="NO TIENE L3OUT"/>
    <n v="114"/>
    <n v="54"/>
  </r>
  <r>
    <n v="160"/>
    <x v="0"/>
    <x v="4"/>
    <s v="eth1/2"/>
    <x v="0"/>
    <x v="1"/>
    <x v="1"/>
    <m/>
    <x v="1"/>
    <b v="0"/>
    <s v="No está en VPC"/>
    <n v="160"/>
    <s v="INTPG_ACC_160_1.2"/>
    <s v="ISEL-1.2"/>
    <n v="1"/>
    <s v="NO TIENE L3OUT"/>
    <n v="68"/>
    <n v="54"/>
  </r>
  <r>
    <n v="121"/>
    <x v="0"/>
    <x v="5"/>
    <s v="eth1/2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2"/>
    <x v="0"/>
    <x v="0"/>
    <x v="0"/>
    <s v="HUECOS DC_S1"/>
    <x v="0"/>
    <b v="0"/>
    <s v="No está en VPC"/>
    <n v="129"/>
    <s v="INTPG_VPC_128_1.1-6_129_1.1-6"/>
    <s v="ISEL-1.2"/>
    <n v="1"/>
    <s v="NO TIENE L3OUT"/>
    <n v="0"/>
    <n v="54"/>
  </r>
  <r>
    <n v="401"/>
    <x v="1"/>
    <x v="7"/>
    <s v="eth1/2"/>
    <x v="0"/>
    <x v="0"/>
    <x v="0"/>
    <s v="M10-ACTIVO2"/>
    <x v="0"/>
    <b v="0"/>
    <s v="No está en VPC"/>
    <n v="401"/>
    <s v="INTPG_ACC_401_1.2"/>
    <s v="ISEL-1.2"/>
    <n v="4"/>
    <s v="NO TIENE L3OUT"/>
    <n v="40"/>
    <n v="54"/>
  </r>
  <r>
    <n v="402"/>
    <x v="1"/>
    <x v="8"/>
    <s v="eth1/2"/>
    <x v="0"/>
    <x v="0"/>
    <x v="0"/>
    <s v="M10-PASIVO2"/>
    <x v="0"/>
    <b v="0"/>
    <s v="No está en VPC"/>
    <n v="402"/>
    <s v="INTPG_ACC_402_1.2"/>
    <s v="ISEL-1.2"/>
    <n v="4"/>
    <s v="NO TIENE L3OUT"/>
    <n v="36"/>
    <n v="54"/>
  </r>
  <r>
    <n v="447"/>
    <x v="1"/>
    <x v="9"/>
    <s v="eth1/2"/>
    <x v="0"/>
    <x v="0"/>
    <x v="0"/>
    <s v="YB_PRODUCCION_ETH-TRUNK_2"/>
    <x v="2"/>
    <b v="0"/>
    <s v="No está en VPC"/>
    <n v="447"/>
    <s v="INTPG_VPC_445_1.2_447_1.2"/>
    <s v="ISEL-1.2"/>
    <n v="1"/>
    <s v="NO TIENE L3OUT"/>
    <n v="16"/>
    <n v="42"/>
  </r>
  <r>
    <n v="445"/>
    <x v="1"/>
    <x v="10"/>
    <s v="eth1/2"/>
    <x v="0"/>
    <x v="0"/>
    <x v="0"/>
    <s v="YB_PRODUCCION_ETH-TRUNK_2"/>
    <x v="2"/>
    <b v="0"/>
    <s v="No está en VPC"/>
    <n v="445"/>
    <s v="INTPG_VPC_445_1.2_447_1.2"/>
    <s v="ISEL-1.2"/>
    <n v="1"/>
    <s v="NO TIENE L3OUT"/>
    <n v="16"/>
    <n v="42"/>
  </r>
  <r>
    <n v="130"/>
    <x v="0"/>
    <x v="11"/>
    <s v="eth1/2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2"/>
    <x v="0"/>
    <x v="1"/>
    <x v="1"/>
    <s v="DESC"/>
    <x v="0"/>
    <b v="0"/>
    <s v="No está en VPC"/>
    <n v="150"/>
    <s v="INTPG_PC_150_1.2_6"/>
    <s v="ISEL-1.2"/>
    <n v="19"/>
    <s v="NO TIENE L3OUT"/>
    <n v="118"/>
    <n v="54"/>
  </r>
  <r>
    <n v="131"/>
    <x v="0"/>
    <x v="13"/>
    <s v="eth1/2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2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2"/>
    <x v="0"/>
    <x v="0"/>
    <x v="0"/>
    <s v="TelcelCloudStack:ithhwtcs01en01:2X 40G P2"/>
    <x v="2"/>
    <b v="0"/>
    <s v="No está en VPC"/>
    <n v="758"/>
    <s v="INTPG_VPC_758_1.1-2_759_1.1-2"/>
    <s v="ISEL-1.2"/>
    <n v="124"/>
    <s v="NO TIENE L3OUT"/>
    <n v="0"/>
    <n v="42"/>
  </r>
  <r>
    <n v="759"/>
    <x v="2"/>
    <x v="16"/>
    <s v="eth1/2"/>
    <x v="0"/>
    <x v="0"/>
    <x v="0"/>
    <s v="TelcelCloudStack:ithhwtcs01en01:3X 40G P2"/>
    <x v="2"/>
    <b v="0"/>
    <s v="No está en VPC"/>
    <n v="759"/>
    <s v="INTPG_VPC_758_1.1-2_759_1.1-2"/>
    <s v="ISEL-1.2"/>
    <n v="124"/>
    <s v="NO TIENE L3OUT"/>
    <n v="0"/>
    <n v="42"/>
  </r>
  <r>
    <n v="302"/>
    <x v="0"/>
    <x v="17"/>
    <s v="eth1/2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2"/>
    <x v="0"/>
    <x v="0"/>
    <x v="0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2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2"/>
    <x v="0"/>
    <x v="0"/>
    <x v="0"/>
    <s v="HUECOS DC_S2"/>
    <x v="0"/>
    <b v="0"/>
    <s v="No está en VPC"/>
    <n v="452"/>
    <s v="INTPG_VPC_450_1.1-6_452_1.1-6"/>
    <s v="ISEL-1.2"/>
    <n v="1"/>
    <s v="NO TIENE L3OUT"/>
    <n v="0"/>
    <n v="54"/>
  </r>
  <r>
    <n v="450"/>
    <x v="1"/>
    <x v="21"/>
    <s v="eth1/2"/>
    <x v="0"/>
    <x v="0"/>
    <x v="0"/>
    <s v="HUECOS DC_S2"/>
    <x v="0"/>
    <b v="0"/>
    <s v="No está en VPC"/>
    <n v="450"/>
    <s v="INTPG_VPC_450_1.1-6_452_1.1-6"/>
    <s v="ISEL-1.2"/>
    <n v="1"/>
    <s v="NO TIENE L3OUT"/>
    <n v="0"/>
    <n v="54"/>
  </r>
  <r>
    <n v="727"/>
    <x v="2"/>
    <x v="22"/>
    <s v="eth1/2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2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2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2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2"/>
    <x v="0"/>
    <x v="0"/>
    <x v="0"/>
    <s v="HUAWEI_CLOUD_FASE2_LAG1"/>
    <x v="0"/>
    <b v="0"/>
    <s v="No está en VPC"/>
    <n v="431"/>
    <s v="INTPG_VPC_431_1.1-2_448_1.1-2"/>
    <s v="ISEL-1.2"/>
    <n v="46"/>
    <s v="NO TIENE L3OUT"/>
    <n v="46"/>
    <n v="54"/>
  </r>
  <r>
    <n v="433"/>
    <x v="1"/>
    <x v="27"/>
    <s v="eth1/2"/>
    <x v="0"/>
    <x v="1"/>
    <x v="1"/>
    <s v="Firewall_Fortinet"/>
    <x v="1"/>
    <b v="0"/>
    <s v="No está en VPC"/>
    <n v="433"/>
    <s v="INTPG_ACC_433_1.2"/>
    <s v="ISEL-1.2"/>
    <n v="1"/>
    <s v="NO TIENE L3OUT"/>
    <n v="42"/>
    <n v="54"/>
  </r>
  <r>
    <n v="429"/>
    <x v="1"/>
    <x v="28"/>
    <s v="eth1/2"/>
    <x v="0"/>
    <x v="0"/>
    <x v="0"/>
    <s v="FASE_1.5_REDKNEE_produccion_3_client_LAG"/>
    <x v="1"/>
    <b v="0"/>
    <s v="No está en VPC"/>
    <n v="429"/>
    <s v="INTPG_VPC_427_1.4-5_429_1.2-3"/>
    <s v="ISEL-1.2"/>
    <n v="5"/>
    <s v="NO TIENE L3OUT"/>
    <n v="8"/>
    <n v="54"/>
  </r>
  <r>
    <n v="432"/>
    <x v="1"/>
    <x v="29"/>
    <s v="eth1/2"/>
    <x v="0"/>
    <x v="0"/>
    <x v="0"/>
    <s v="SSO"/>
    <x v="1"/>
    <b v="0"/>
    <s v="No está en VPC"/>
    <n v="432"/>
    <s v="INTPG_ACC_432_1.2"/>
    <s v="ISEL-1.2"/>
    <n v="1"/>
    <s v="NO TIENE L3OUT"/>
    <n v="54"/>
    <n v="54"/>
  </r>
  <r>
    <n v="442"/>
    <x v="1"/>
    <x v="30"/>
    <s v="eth1/2"/>
    <x v="0"/>
    <x v="0"/>
    <x v="0"/>
    <s v="CONECTIVIDAD_HUAWEI_CLOUD_SALA_2_gestion_client_LAG"/>
    <x v="1"/>
    <b v="0"/>
    <s v="No está en VPC"/>
    <n v="442"/>
    <s v="INTPG_VPC_440_1.1-2_442_1.1-2"/>
    <s v="ISEL-1.2"/>
    <n v="2"/>
    <s v="NO TIENE L3OUT"/>
    <n v="18"/>
    <n v="54"/>
  </r>
  <r>
    <n v="434"/>
    <x v="1"/>
    <x v="31"/>
    <s v="eth1/2"/>
    <x v="0"/>
    <x v="0"/>
    <x v="0"/>
    <s v="TO-sfovmp02-MGT-PRINCIPAL"/>
    <x v="1"/>
    <b v="0"/>
    <s v="No está en VPC"/>
    <n v="434"/>
    <s v="INTPG_ACC_434_1.2"/>
    <s v="ISEL-1.2"/>
    <n v="1"/>
    <s v="NO TIENE L3OUT"/>
    <n v="34"/>
    <n v="54"/>
  </r>
  <r>
    <n v="707"/>
    <x v="2"/>
    <x v="32"/>
    <s v="eth1/2"/>
    <x v="0"/>
    <x v="1"/>
    <x v="3"/>
    <s v="CEM:ITHCEMG2DAT01:LOM P3"/>
    <x v="0"/>
    <b v="0"/>
    <s v="No está en VPC"/>
    <n v="707"/>
    <s v="INTPG_ACC_707_1.2"/>
    <s v="ISEL-1.2"/>
    <n v="1"/>
    <s v="NO TIENE L3OUT"/>
    <n v="54"/>
    <n v="54"/>
  </r>
  <r>
    <n v="712"/>
    <x v="2"/>
    <x v="33"/>
    <s v="eth1/2"/>
    <x v="0"/>
    <x v="0"/>
    <x v="0"/>
    <s v="CEM:ITHCEMA2DAT01:LOM  P2"/>
    <x v="0"/>
    <b v="0"/>
    <s v="No está en VPC"/>
    <n v="712"/>
    <s v="INTPG_ACC_712_1.2"/>
    <s v="ISEL-1.2"/>
    <n v="1"/>
    <s v="NO TIENE L3OUT"/>
    <n v="32"/>
    <n v="54"/>
  </r>
  <r>
    <n v="719"/>
    <x v="2"/>
    <x v="34"/>
    <s v="eth1/2"/>
    <x v="0"/>
    <x v="1"/>
    <x v="1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2"/>
    <x v="0"/>
    <x v="0"/>
    <x v="0"/>
    <m/>
    <x v="0"/>
    <b v="0"/>
    <s v="No está en VPC"/>
    <n v="715"/>
    <s v="INTPG-VPC_HDD39_716_1.1_715_1.2"/>
    <s v="ISEL-1.2"/>
    <n v="1"/>
    <s v="NO TIENE L3OUT"/>
    <n v="0"/>
    <n v="54"/>
  </r>
  <r>
    <n v="427"/>
    <x v="1"/>
    <x v="36"/>
    <s v="eth1/2"/>
    <x v="0"/>
    <x v="0"/>
    <x v="0"/>
    <s v="FASE_1.5_REDKNEE_produccion_4_client_LAG"/>
    <x v="1"/>
    <b v="0"/>
    <s v="No está en VPC"/>
    <n v="427"/>
    <s v="INTPG_VPC_427_1.2-3_429_1.5-6"/>
    <s v="ISEL-1.2"/>
    <n v="2"/>
    <s v="NO TIENE L3OUT"/>
    <n v="10"/>
    <n v="54"/>
  </r>
  <r>
    <n v="711"/>
    <x v="2"/>
    <x v="37"/>
    <s v="eth1/2"/>
    <x v="0"/>
    <x v="1"/>
    <x v="5"/>
    <s v="CEM:ITHCEMD2DAT01:LOM  P2"/>
    <x v="0"/>
    <b v="0"/>
    <s v="No está en VPC"/>
    <n v="711"/>
    <s v="INTPG_VPC_710_1.1_711_1.2"/>
    <s v="ISEL-1.2"/>
    <n v="1"/>
    <s v="NO TIENE L3OUT"/>
    <n v="16"/>
    <n v="54"/>
  </r>
  <r>
    <n v="716"/>
    <x v="2"/>
    <x v="38"/>
    <s v="eth1/2"/>
    <x v="0"/>
    <x v="0"/>
    <x v="0"/>
    <m/>
    <x v="0"/>
    <b v="0"/>
    <s v="No está en VPC"/>
    <n v="716"/>
    <s v="INTPG-VPC_HDD48_715_1.1_716_1.2"/>
    <s v="ISEL-1.2"/>
    <n v="1"/>
    <s v="NO TIENE L3OUT"/>
    <n v="0"/>
    <n v="54"/>
  </r>
  <r>
    <n v="702"/>
    <x v="2"/>
    <x v="39"/>
    <s v="eth1/2"/>
    <x v="0"/>
    <x v="0"/>
    <x v="0"/>
    <m/>
    <x v="0"/>
    <b v="0"/>
    <s v="No está en VPC"/>
    <n v="702"/>
    <s v="INTPG_VPC_701_1.1_702_1.2"/>
    <s v="ISEL-1.2"/>
    <n v="1"/>
    <s v="NO TIENE L3OUT"/>
    <n v="0"/>
    <n v="54"/>
  </r>
  <r>
    <n v="435"/>
    <x v="1"/>
    <x v="40"/>
    <s v="eth1/2"/>
    <x v="0"/>
    <x v="1"/>
    <x v="1"/>
    <s v="Firewall_Fortinet_Mgmt"/>
    <x v="1"/>
    <b v="0"/>
    <s v="No está en VPC"/>
    <n v="435"/>
    <s v="INTPG_ACC_435_1.2"/>
    <s v="ISEL-1.2"/>
    <n v="1"/>
    <s v="NO TIENE L3OUT"/>
    <n v="34"/>
    <n v="54"/>
  </r>
  <r>
    <n v="446"/>
    <x v="1"/>
    <x v="41"/>
    <s v="eth1/2"/>
    <x v="0"/>
    <x v="1"/>
    <x v="4"/>
    <s v="TO-ITHFHPNBURBKP03"/>
    <x v="0"/>
    <b v="0"/>
    <s v="No está en VPC"/>
    <n v="446"/>
    <s v="INTPG_VPC_444_1.2_446_1.2"/>
    <s v="ISEL-1.2"/>
    <n v="1"/>
    <s v="NO TIENE L3OUT"/>
    <n v="198"/>
    <n v="54"/>
  </r>
  <r>
    <n v="444"/>
    <x v="1"/>
    <x v="42"/>
    <s v="eth1/2"/>
    <x v="0"/>
    <x v="0"/>
    <x v="0"/>
    <s v="TO-ITHFHPNBURBKP03"/>
    <x v="0"/>
    <b v="0"/>
    <s v="No está en VPC"/>
    <n v="444"/>
    <s v="INTPG_VPC_444_1.2_446_1.2"/>
    <s v="ISEL-1.2"/>
    <n v="1"/>
    <s v="NO TIENE L3OUT"/>
    <n v="234"/>
    <n v="54"/>
  </r>
  <r>
    <n v="701"/>
    <x v="2"/>
    <x v="43"/>
    <s v="eth1/2"/>
    <x v="0"/>
    <x v="0"/>
    <x v="0"/>
    <m/>
    <x v="0"/>
    <b v="0"/>
    <s v="No está en VPC"/>
    <n v="701"/>
    <s v="INTPG_VPC_702_1.1_701_1.2"/>
    <s v="ISEL-1.2"/>
    <n v="1"/>
    <s v="NO TIENE L3OUT"/>
    <n v="0"/>
    <n v="54"/>
  </r>
  <r>
    <n v="440"/>
    <x v="1"/>
    <x v="44"/>
    <s v="eth1/2"/>
    <x v="0"/>
    <x v="0"/>
    <x v="0"/>
    <s v="CONECTIVIDAD_HUAWEI_CLOUD_SALA_2_gestion_client_LAG"/>
    <x v="1"/>
    <b v="0"/>
    <s v="No está en VPC"/>
    <n v="440"/>
    <s v="INTPG_VPC_440_1.1-2_442_1.1-2"/>
    <s v="ISEL-1.2"/>
    <n v="2"/>
    <s v="NO TIENE L3OUT"/>
    <n v="22"/>
    <n v="54"/>
  </r>
  <r>
    <n v="448"/>
    <x v="1"/>
    <x v="45"/>
    <s v="eth1/2"/>
    <x v="0"/>
    <x v="0"/>
    <x v="0"/>
    <s v="HUAWEI_CLOUD_FASE2_LAG1"/>
    <x v="0"/>
    <b v="0"/>
    <s v="No está en VPC"/>
    <n v="448"/>
    <s v="INTPG_VPC_431_1.1-2_448_1.1-2"/>
    <s v="ISEL-1.2"/>
    <n v="46"/>
    <s v="NO TIENE L3OUT"/>
    <n v="46"/>
    <n v="54"/>
  </r>
  <r>
    <n v="704"/>
    <x v="2"/>
    <x v="46"/>
    <s v="eth1/2"/>
    <x v="0"/>
    <x v="0"/>
    <x v="0"/>
    <m/>
    <x v="0"/>
    <b v="0"/>
    <s v="No está en VPC"/>
    <n v="704"/>
    <s v="INTPG_VPC_703_1.1_704_1.2"/>
    <s v="ISEL-1.2"/>
    <n v="1"/>
    <s v="NO TIENE L3OUT"/>
    <n v="0"/>
    <n v="54"/>
  </r>
  <r>
    <n v="729"/>
    <x v="2"/>
    <x v="47"/>
    <s v="eth1/2"/>
    <x v="0"/>
    <x v="0"/>
    <x v="0"/>
    <s v="eth-trunk-21"/>
    <x v="0"/>
    <b v="0"/>
    <s v="No está en VPC"/>
    <n v="729"/>
    <s v="INTPG_VPC_728_1.2-3_729_1.2-3"/>
    <s v="ISEL-1.2"/>
    <n v="10"/>
    <s v="NO TIENE L3OUT"/>
    <n v="4"/>
    <n v="54"/>
  </r>
  <r>
    <n v="728"/>
    <x v="2"/>
    <x v="48"/>
    <s v="eth1/2"/>
    <x v="0"/>
    <x v="0"/>
    <x v="0"/>
    <s v="eth-trunk-21"/>
    <x v="0"/>
    <b v="0"/>
    <s v="No está en VPC"/>
    <n v="728"/>
    <s v="INTPG_VPC_728_1.2-3_729_1.2-3"/>
    <s v="ISEL-1.2"/>
    <n v="10"/>
    <s v="NO TIENE L3OUT"/>
    <n v="2"/>
    <n v="54"/>
  </r>
  <r>
    <n v="456"/>
    <x v="1"/>
    <x v="49"/>
    <s v="eth1/2"/>
    <x v="0"/>
    <x v="0"/>
    <x v="0"/>
    <s v="HACIA_CSI-A-OSCP-F4-06_SECUNDARIO"/>
    <x v="4"/>
    <b v="0"/>
    <s v="No está en VPC"/>
    <n v="456"/>
    <s v="INTPG_VPC_454_1.2_456_1.2"/>
    <s v="ISEL-1.2"/>
    <n v="2"/>
    <s v="NO TIENE L3OUT"/>
    <n v="4"/>
    <n v="54"/>
  </r>
  <r>
    <n v="603"/>
    <x v="1"/>
    <x v="50"/>
    <s v="eth1/2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2"/>
    <x v="0"/>
    <x v="0"/>
    <x v="0"/>
    <s v="CRM, CBS:ITHHWBESRK11CH1:X2-10GE 1"/>
    <x v="0"/>
    <b v="0"/>
    <s v="No está en VPC"/>
    <n v="746"/>
    <s v="INTPG_VPC_745_1.2-3_746_1.2-3"/>
    <s v="ISEL-1.2"/>
    <n v="5"/>
    <s v="NO TIENE L3OUT"/>
    <n v="0"/>
    <n v="54"/>
  </r>
  <r>
    <n v="745"/>
    <x v="2"/>
    <x v="52"/>
    <s v="eth1/2"/>
    <x v="0"/>
    <x v="0"/>
    <x v="0"/>
    <s v="CRM, CBS:PR-R11-F08:X2-10GE 2"/>
    <x v="0"/>
    <b v="0"/>
    <s v="No está en VPC"/>
    <n v="745"/>
    <s v="INTPG_VPC_745_1.2-3_746_1.2-3"/>
    <s v="ISEL-1.2"/>
    <n v="5"/>
    <s v="NO TIENE L3OUT"/>
    <n v="0"/>
    <n v="54"/>
  </r>
  <r>
    <n v="730"/>
    <x v="2"/>
    <x v="53"/>
    <s v="eth1/2"/>
    <x v="0"/>
    <x v="0"/>
    <x v="0"/>
    <s v="eth-trunk11"/>
    <x v="0"/>
    <b v="0"/>
    <s v="No está en VPC"/>
    <n v="730"/>
    <s v="INTPG_VPC_730_1.2-3_731_1.2-3"/>
    <s v="ISEL-1.2"/>
    <n v="8"/>
    <s v="NO TIENE L3OUT"/>
    <n v="36"/>
    <n v="54"/>
  </r>
  <r>
    <n v="722"/>
    <x v="2"/>
    <x v="54"/>
    <s v="eth1/2"/>
    <x v="0"/>
    <x v="1"/>
    <x v="1"/>
    <m/>
    <x v="0"/>
    <b v="0"/>
    <s v="No está en VPC"/>
    <n v="722"/>
    <s v="INTPG-VPC_HDD120_723_1.1_722_1.2"/>
    <s v="ISEL-1.2"/>
    <n v="1"/>
    <s v="NO TIENE L3OUT"/>
    <n v="0"/>
    <n v="54"/>
  </r>
  <r>
    <n v="733"/>
    <x v="2"/>
    <x v="55"/>
    <s v="eth1/2"/>
    <x v="0"/>
    <x v="0"/>
    <x v="0"/>
    <s v="TO-TESTBED"/>
    <x v="0"/>
    <b v="0"/>
    <s v="No está en VPC"/>
    <n v="733"/>
    <s v="INTPG_VPC_732_1.2-3_733_1.2-3"/>
    <s v="ISEL-1.2"/>
    <n v="3"/>
    <s v="NO TIENE L3OUT"/>
    <n v="0"/>
    <n v="54"/>
  </r>
  <r>
    <n v="755"/>
    <x v="2"/>
    <x v="56"/>
    <s v="eth1/2"/>
    <x v="0"/>
    <x v="0"/>
    <x v="0"/>
    <s v="OSS F1:ithenmr06e2r9a:Bay1/X2"/>
    <x v="0"/>
    <b v="0"/>
    <s v="No está en VPC"/>
    <n v="755"/>
    <s v="INTPG_PC_755_1.1-2"/>
    <s v="ISEL-1.2"/>
    <n v="8"/>
    <s v="NO TIENE L3OUT"/>
    <n v="52"/>
    <n v="54"/>
  </r>
  <r>
    <n v="748"/>
    <x v="2"/>
    <x v="57"/>
    <s v="eth1/2"/>
    <x v="0"/>
    <x v="0"/>
    <x v="0"/>
    <s v="trunk12 Bes-Production"/>
    <x v="0"/>
    <b v="0"/>
    <s v="No está en VPC"/>
    <n v="748"/>
    <s v="INTPG_VPC_748_1.2_3_749_1.2_3"/>
    <s v="ISEL-1.2"/>
    <n v="6"/>
    <s v="NO TIENE L3OUT"/>
    <n v="2"/>
    <n v="54"/>
  </r>
  <r>
    <n v="756"/>
    <x v="2"/>
    <x v="58"/>
    <s v="eth1/2"/>
    <x v="0"/>
    <x v="0"/>
    <x v="0"/>
    <s v="OSS F1:ithenmr08bl01nas1r9a:PORT 2"/>
    <x v="0"/>
    <b v="0"/>
    <s v="No está en VPC"/>
    <n v="756"/>
    <s v="INTPG_PC_756_1.1-4"/>
    <s v="ISEL-1.2"/>
    <n v="1"/>
    <s v="NO TIENE L3OUT"/>
    <n v="64"/>
    <n v="54"/>
  </r>
  <r>
    <n v="754"/>
    <x v="2"/>
    <x v="59"/>
    <s v="eth1/2"/>
    <x v="0"/>
    <x v="0"/>
    <x v="0"/>
    <s v="OSS F1:ithenmr04bl03lms1r9b:PORT 2"/>
    <x v="0"/>
    <b v="0"/>
    <s v="No está en VPC"/>
    <n v="754"/>
    <s v="INTPG_ACC_754_1.2"/>
    <s v="ISEL-1.2"/>
    <n v="1"/>
    <s v="NO TIENE L3OUT"/>
    <n v="62"/>
    <n v="54"/>
  </r>
  <r>
    <n v="751"/>
    <x v="2"/>
    <x v="60"/>
    <s v="eth1/2"/>
    <x v="0"/>
    <x v="0"/>
    <x v="0"/>
    <s v="trunk16 Bes-Production"/>
    <x v="0"/>
    <b v="0"/>
    <s v="No está en VPC"/>
    <n v="751"/>
    <s v="INTPG_VPC_750_1.2_3_751_1.2_3"/>
    <s v="ISEL-1.2"/>
    <n v="6"/>
    <s v="NO TIENE L3OUT"/>
    <n v="0"/>
    <n v="54"/>
  </r>
  <r>
    <n v="769"/>
    <x v="2"/>
    <x v="61"/>
    <s v="eth1/2"/>
    <x v="0"/>
    <x v="0"/>
    <x v="0"/>
    <s v="Portchannel_3_R1"/>
    <x v="0"/>
    <b v="0"/>
    <s v="No está en VPC"/>
    <n v="769"/>
    <s v="INTPG_PC_769_1.1-2"/>
    <s v="ISEL-1.2"/>
    <n v="8"/>
    <s v="NO TIENE L3OUT"/>
    <n v="60"/>
    <n v="54"/>
  </r>
  <r>
    <n v="742"/>
    <x v="2"/>
    <x v="62"/>
    <s v="eth1/2"/>
    <x v="0"/>
    <x v="1"/>
    <x v="1"/>
    <s v="CEM:ITHCEMB2DAT01:FLEXIO P1"/>
    <x v="5"/>
    <b v="0"/>
    <s v="No está en VPC"/>
    <n v="742"/>
    <s v="INTPG_ACC_742_1.2"/>
    <s v="ISEL-1.2"/>
    <n v="1"/>
    <s v="NO TIENE L3OUT"/>
    <n v="64"/>
    <n v="54"/>
  </r>
  <r>
    <n v="763"/>
    <x v="2"/>
    <x v="63"/>
    <s v="eth1/2"/>
    <x v="0"/>
    <x v="0"/>
    <x v="0"/>
    <s v="PAAS:ithhwoscopap002:LOM PORT 3"/>
    <x v="0"/>
    <b v="0"/>
    <s v="No está en VPC"/>
    <n v="763"/>
    <s v="INTPG_VPC_762_1.2_763_1.2"/>
    <s v="ISEL-1.2"/>
    <n v="1"/>
    <s v="NO TIENE L3OUT"/>
    <n v="2"/>
    <n v="54"/>
  </r>
  <r>
    <n v="766"/>
    <x v="2"/>
    <x v="64"/>
    <s v="eth1/2"/>
    <x v="0"/>
    <x v="1"/>
    <x v="5"/>
    <s v="Portchannel_1_R6B"/>
    <x v="0"/>
    <b v="0"/>
    <s v="No está en VPC"/>
    <n v="766"/>
    <s v="INTPG_PC_766_1.1-4"/>
    <s v="ISEL-1.2"/>
    <n v="2"/>
    <s v="NO TIENE L3OUT"/>
    <n v="58"/>
    <n v="54"/>
  </r>
  <r>
    <n v="760"/>
    <x v="2"/>
    <x v="65"/>
    <s v="eth1/2"/>
    <x v="0"/>
    <x v="1"/>
    <x v="1"/>
    <m/>
    <x v="0"/>
    <b v="0"/>
    <s v="No está en VPC"/>
    <n v="760"/>
    <s v="INTPG_VPC_760_1.1-4_761_1.1-4"/>
    <s v="ISEL-1.2"/>
    <n v="0"/>
    <s v="L3OUT-EXACLOUD"/>
    <n v="0"/>
    <n v="54"/>
  </r>
  <r>
    <n v="752"/>
    <x v="2"/>
    <x v="66"/>
    <s v="eth1/2"/>
    <x v="0"/>
    <x v="0"/>
    <x v="0"/>
    <s v="PAAS:ithhwosstpap010:LOM PORT 3"/>
    <x v="0"/>
    <b v="0"/>
    <s v="No está en VPC"/>
    <n v="752"/>
    <s v="INTPG_VPC_747_1.2_752_1.2"/>
    <s v="ISEL-1.2"/>
    <n v="25"/>
    <s v="NO TIENE L3OUT"/>
    <n v="0"/>
    <n v="54"/>
  </r>
  <r>
    <n v="765"/>
    <x v="2"/>
    <x v="67"/>
    <s v="eth1/2"/>
    <x v="0"/>
    <x v="0"/>
    <x v="0"/>
    <s v="Portchannel_6_R6A"/>
    <x v="0"/>
    <b v="0"/>
    <s v="No está en VPC"/>
    <n v="765"/>
    <s v="INTPG_PC_765_1.1-4"/>
    <s v="ISEL-1.2"/>
    <n v="1"/>
    <s v="NO TIENE L3OUT"/>
    <n v="60"/>
    <n v="54"/>
  </r>
  <r>
    <n v="778"/>
    <x v="2"/>
    <x v="68"/>
    <s v="eth1/2"/>
    <x v="0"/>
    <x v="0"/>
    <x v="0"/>
    <s v="ENIQ F1:itheniqr07enclr2:BAY1/X2"/>
    <x v="0"/>
    <b v="0"/>
    <s v="No está en VPC"/>
    <n v="778"/>
    <s v="INTPG_PC_778_1.1-2"/>
    <s v="ISEL-1.2"/>
    <n v="3"/>
    <s v="NO TIENE L3OUT"/>
    <n v="26"/>
    <n v="54"/>
  </r>
  <r>
    <n v="780"/>
    <x v="2"/>
    <x v="69"/>
    <s v="eth1/2"/>
    <x v="0"/>
    <x v="0"/>
    <x v="0"/>
    <s v="LACP_VC1_ENIQ1"/>
    <x v="0"/>
    <b v="0"/>
    <s v="No está en VPC"/>
    <n v="780"/>
    <s v="INTPG_PC_780_1.1-2"/>
    <s v="ISEL-1.2"/>
    <n v="3"/>
    <s v="NO TIENE L3OUT"/>
    <n v="26"/>
    <n v="54"/>
  </r>
  <r>
    <n v="812"/>
    <x v="2"/>
    <x v="70"/>
    <s v="eth1/2"/>
    <x v="0"/>
    <x v="0"/>
    <x v="0"/>
    <s v="POWER_STORE_NAS_NODO_A"/>
    <x v="1"/>
    <b v="0"/>
    <s v="No está en VPC"/>
    <n v="812"/>
    <s v="INTPG_VPC_812_1.2_813_1.2"/>
    <s v="ISEL-1.2"/>
    <n v="11"/>
    <s v="NO TIENE L3OUT"/>
    <n v="0"/>
    <n v="54"/>
  </r>
  <r>
    <n v="796"/>
    <x v="2"/>
    <x v="71"/>
    <s v="eth1/2"/>
    <x v="0"/>
    <x v="0"/>
    <x v="0"/>
    <s v="TO_ITHFHWDCIMLAP03_REDUNDANTE"/>
    <x v="0"/>
    <b v="0"/>
    <s v="No está en VPC"/>
    <n v="796"/>
    <s v="INTPG_ACC_796_1.2"/>
    <s v="ISEL-1.2"/>
    <n v="1"/>
    <s v="NO TIENE L3OUT"/>
    <n v="18"/>
    <n v="54"/>
  </r>
  <r>
    <n v="795"/>
    <x v="2"/>
    <x v="72"/>
    <s v="eth1/2"/>
    <x v="0"/>
    <x v="0"/>
    <x v="0"/>
    <s v="TO_ITHFHWDCIMLAP03_OCP2.1"/>
    <x v="0"/>
    <b v="0"/>
    <s v="No está en VPC"/>
    <n v="795"/>
    <s v="INTPG_ACC_795_1.2"/>
    <s v="ISEL-1.2"/>
    <n v="1"/>
    <s v="NO TIENE L3OUT"/>
    <n v="18"/>
    <n v="54"/>
  </r>
  <r>
    <n v="749"/>
    <x v="2"/>
    <x v="73"/>
    <s v="eth1/2"/>
    <x v="0"/>
    <x v="0"/>
    <x v="0"/>
    <s v="trunk12 Bes-Production"/>
    <x v="0"/>
    <b v="0"/>
    <s v="No está en VPC"/>
    <n v="749"/>
    <s v="INTPG_VPC_748_1.2_3_749_1.2_3"/>
    <s v="ISEL-1.2"/>
    <n v="6"/>
    <s v="NO TIENE L3OUT"/>
    <n v="4"/>
    <n v="54"/>
  </r>
  <r>
    <n v="824"/>
    <x v="2"/>
    <x v="74"/>
    <s v="eth1/2"/>
    <x v="0"/>
    <x v="0"/>
    <x v="0"/>
    <s v="LINK_TO_ITHFHWCBSPSWR40 /Slot5.1 /Redundante"/>
    <x v="0"/>
    <b v="0"/>
    <s v="No está en VPC"/>
    <n v="824"/>
    <s v="INTPG_VPC_819_1.2_824_1.2"/>
    <s v="ISEL-1.2"/>
    <n v="1"/>
    <s v="NO TIENE L3OUT"/>
    <n v="70"/>
    <n v="54"/>
  </r>
  <r>
    <n v="819"/>
    <x v="2"/>
    <x v="75"/>
    <s v="eth1/2"/>
    <x v="0"/>
    <x v="0"/>
    <x v="0"/>
    <s v="LINK_TO_ITHFHWCBSPSWR40 /10GE.1 /Principal"/>
    <x v="0"/>
    <b v="0"/>
    <s v="No está en VPC"/>
    <n v="819"/>
    <s v="INTPG_VPC_819_1.2_824_1.2"/>
    <s v="ISEL-1.2"/>
    <n v="1"/>
    <s v="NO TIENE L3OUT"/>
    <n v="70"/>
    <n v="54"/>
  </r>
  <r>
    <n v="737"/>
    <x v="2"/>
    <x v="76"/>
    <s v="eth1/2"/>
    <x v="0"/>
    <x v="0"/>
    <x v="0"/>
    <s v="CEM:ITHCEME2DAT01:FLEXIO P1"/>
    <x v="5"/>
    <b v="0"/>
    <s v="No está en VPC"/>
    <n v="737"/>
    <s v="INTPG_ACC_737_1.2"/>
    <s v="ISEL-1.2"/>
    <n v="1"/>
    <s v="NO TIENE L3OUT"/>
    <n v="72"/>
    <n v="54"/>
  </r>
  <r>
    <n v="844"/>
    <x v="2"/>
    <x v="77"/>
    <s v="eth1/2"/>
    <x v="0"/>
    <x v="0"/>
    <x v="0"/>
    <s v="LINK_TO_ITHFHWCRMPLCN101 / Slot1.2_6 / Principal"/>
    <x v="0"/>
    <b v="0"/>
    <s v="No está en VPC"/>
    <n v="844"/>
    <s v="INTPG_ACC_844_1.2"/>
    <s v="ISEL-1.2"/>
    <n v="2"/>
    <s v="NO TIENE L3OUT"/>
    <n v="282"/>
    <n v="54"/>
  </r>
  <r>
    <n v="843"/>
    <x v="2"/>
    <x v="78"/>
    <s v="eth1/2"/>
    <x v="0"/>
    <x v="0"/>
    <x v="0"/>
    <s v="LINK_To_ITHFHWCBSPSHD24 / Slot7.3_24 / Redundante"/>
    <x v="0"/>
    <b v="0"/>
    <s v="No está en VPC"/>
    <n v="843"/>
    <s v="INTPG_VPC_838_1.2_843_1.2"/>
    <s v="ISEL-1.2"/>
    <n v="1"/>
    <s v="NO TIENE L3OUT"/>
    <n v="38"/>
    <n v="54"/>
  </r>
  <r>
    <n v="797"/>
    <x v="2"/>
    <x v="79"/>
    <s v="eth1/2"/>
    <x v="0"/>
    <x v="0"/>
    <x v="0"/>
    <s v="TO-HDPS_04-MSP"/>
    <x v="0"/>
    <b v="0"/>
    <s v="No está en VPC"/>
    <n v="797"/>
    <s v="INTPG_ACC_797_1.2"/>
    <s v="ISEL-1.2"/>
    <n v="1"/>
    <s v="NO TIENE L3OUT"/>
    <n v="48"/>
    <n v="54"/>
  </r>
  <r>
    <n v="839"/>
    <x v="2"/>
    <x v="80"/>
    <s v="eth1/2"/>
    <x v="0"/>
    <x v="0"/>
    <x v="0"/>
    <s v="LINK_TO_ITHFHWCBSPSHD43 / Slot7.2_4 / Redundante"/>
    <x v="0"/>
    <b v="0"/>
    <s v="No está en VPC"/>
    <n v="839"/>
    <s v="INTPG_VPC_834_1.2_839_1.2"/>
    <s v="ISEL-1.2"/>
    <n v="1"/>
    <s v="NO TIENE L3OUT"/>
    <n v="0"/>
    <n v="54"/>
  </r>
  <r>
    <n v="847"/>
    <x v="2"/>
    <x v="81"/>
    <s v="eth1/2"/>
    <x v="0"/>
    <x v="0"/>
    <x v="0"/>
    <s v="LINK_TO_ITHFHWCRMPSBDA05 / Slot1.2_4 / Principal"/>
    <x v="0"/>
    <b v="0"/>
    <s v="No está en VPC"/>
    <n v="847"/>
    <s v="INTPG_VPC_847_1.2_854_1.2"/>
    <s v="ISEL-1.2"/>
    <n v="2"/>
    <s v="NO TIENE L3OUT"/>
    <n v="204"/>
    <n v="54"/>
  </r>
  <r>
    <n v="848"/>
    <x v="2"/>
    <x v="82"/>
    <s v="eth1/2"/>
    <x v="0"/>
    <x v="0"/>
    <x v="0"/>
    <s v="LINK_TO_ITHFHWCRMPLCN155 / Slot7.1_12 / Redundante"/>
    <x v="0"/>
    <b v="0"/>
    <s v="No está en VPC"/>
    <n v="848"/>
    <s v="INTPG_ACC_848_1.2"/>
    <s v="ISEL-1.2"/>
    <n v="6"/>
    <s v="NO TIENE L3OUT"/>
    <n v="254"/>
    <n v="54"/>
  </r>
  <r>
    <n v="846"/>
    <x v="2"/>
    <x v="83"/>
    <s v="eth1/2"/>
    <x v="0"/>
    <x v="0"/>
    <x v="0"/>
    <s v="VPC_2DCRMP_BDP05_3"/>
    <x v="0"/>
    <b v="0"/>
    <s v="No está en VPC"/>
    <n v="846"/>
    <s v="INTPG_VPC_846_1.2_853_1.2"/>
    <s v="ISEL-1.2"/>
    <n v="1"/>
    <s v="NO TIENE L3OUT"/>
    <n v="242"/>
    <n v="54"/>
  </r>
  <r>
    <n v="838"/>
    <x v="2"/>
    <x v="84"/>
    <s v="eth1/2"/>
    <x v="0"/>
    <x v="0"/>
    <x v="0"/>
    <s v="LINK_To_ITHFHWCBSPSHD24 / Slot1.3_24 / Principal"/>
    <x v="0"/>
    <b v="0"/>
    <s v="No está en VPC"/>
    <n v="838"/>
    <s v="INTPG_VPC_838_1.2_843_1.2"/>
    <s v="ISEL-1.2"/>
    <n v="1"/>
    <s v="NO TIENE L3OUT"/>
    <n v="38"/>
    <n v="54"/>
  </r>
  <r>
    <n v="849"/>
    <x v="2"/>
    <x v="85"/>
    <s v="eth1/2"/>
    <x v="0"/>
    <x v="0"/>
    <x v="0"/>
    <s v="LINK_TO_ITHFHWCRMPLCN135 / Slot7.1_4 / Redundante"/>
    <x v="0"/>
    <b v="0"/>
    <s v="No está en VPC"/>
    <n v="849"/>
    <s v="INTPG_ACC_849_1.2"/>
    <s v="ISEL-1.2"/>
    <n v="6"/>
    <s v="NO TIENE L3OUT"/>
    <n v="286"/>
    <n v="54"/>
  </r>
  <r>
    <n v="845"/>
    <x v="2"/>
    <x v="86"/>
    <s v="eth1/2"/>
    <x v="0"/>
    <x v="0"/>
    <x v="0"/>
    <s v="LINK_TO_ITHFHWCRMPLCN116 / Slot1.3_36 / Principal"/>
    <x v="0"/>
    <b v="0"/>
    <s v="No está en VPC"/>
    <n v="845"/>
    <s v="INTPG_ACC_845_1.2"/>
    <s v="ISEL-1.2"/>
    <n v="1"/>
    <s v="NO TIENE L3OUT"/>
    <n v="258"/>
    <n v="54"/>
  </r>
  <r>
    <n v="873"/>
    <x v="2"/>
    <x v="87"/>
    <s v="eth1/2"/>
    <x v="0"/>
    <x v="0"/>
    <x v="0"/>
    <s v="TO_ITHFHWCRMDLCN53_Principal"/>
    <x v="0"/>
    <b v="0"/>
    <s v="No está en VPC"/>
    <n v="873"/>
    <s v="INTPG_ACC_873_1.2"/>
    <s v="ISEL-1.2"/>
    <n v="1"/>
    <s v="NO TIENE L3OUT"/>
    <n v="248"/>
    <n v="54"/>
  </r>
  <r>
    <n v="864"/>
    <x v="2"/>
    <x v="88"/>
    <s v="eth1/2"/>
    <x v="0"/>
    <x v="0"/>
    <x v="0"/>
    <s v="To_VPC_2DCBSD_HD31_2"/>
    <x v="0"/>
    <b v="0"/>
    <s v="No está en VPC"/>
    <n v="864"/>
    <s v="INTPG_VPC_859_1.2_864_1.2"/>
    <s v="ISEL-1.2"/>
    <n v="1"/>
    <s v="NO TIENE L3OUT"/>
    <n v="0"/>
    <n v="54"/>
  </r>
  <r>
    <n v="836"/>
    <x v="2"/>
    <x v="89"/>
    <s v="eth1/2"/>
    <x v="0"/>
    <x v="0"/>
    <x v="0"/>
    <s v="LINK_TO_ITHFHWCBSPSUSBD33 / Slot1.1_6 / Principal"/>
    <x v="0"/>
    <b v="0"/>
    <s v="No está en VPC"/>
    <n v="836"/>
    <s v="INTPG_VPC_836_1.2_841_1.2"/>
    <s v="ISEL-1.2"/>
    <n v="2"/>
    <s v="NO TIENE L3OUT"/>
    <n v="0"/>
    <n v="54"/>
  </r>
  <r>
    <n v="834"/>
    <x v="2"/>
    <x v="90"/>
    <s v="eth1/2"/>
    <x v="0"/>
    <x v="0"/>
    <x v="0"/>
    <s v="LINK_TO_ITHFHWCBSPSHD43 / Slot1.2_4 / Principal"/>
    <x v="0"/>
    <b v="0"/>
    <s v="No está en VPC"/>
    <n v="834"/>
    <s v="INTPG_VPC_834_1.2_839_1.2"/>
    <s v="ISEL-1.2"/>
    <n v="1"/>
    <s v="NO TIENE L3OUT"/>
    <n v="0"/>
    <n v="54"/>
  </r>
  <r>
    <n v="872"/>
    <x v="2"/>
    <x v="91"/>
    <s v="eth1/2"/>
    <x v="0"/>
    <x v="0"/>
    <x v="0"/>
    <s v="To_ITHFHWCRMDLCN69_Principal"/>
    <x v="0"/>
    <b v="0"/>
    <s v="No está en VPC"/>
    <n v="872"/>
    <s v="INTPG_ACC_872_1.2"/>
    <s v="ISEL-1.2"/>
    <n v="1"/>
    <s v="NO TIENE L3OUT"/>
    <n v="288"/>
    <n v="54"/>
  </r>
  <r>
    <n v="842"/>
    <x v="2"/>
    <x v="92"/>
    <s v="eth1/2"/>
    <x v="0"/>
    <x v="0"/>
    <x v="0"/>
    <s v="LINK_TO_ITHFHWCBSPSHDCTL05 / Slot7.1_12 / Redundante"/>
    <x v="0"/>
    <b v="0"/>
    <s v="No está en VPC"/>
    <n v="842"/>
    <s v="INTPG_VPC_837_1.2_842_1.2"/>
    <s v="ISEL-1.2"/>
    <n v="2"/>
    <s v="NO TIENE L3OUT"/>
    <n v="8"/>
    <n v="54"/>
  </r>
  <r>
    <n v="828"/>
    <x v="2"/>
    <x v="93"/>
    <s v="eth1/2"/>
    <x v="0"/>
    <x v="0"/>
    <x v="0"/>
    <s v="LINK_TO_ITHFHWCBSDSWR32 /10GE.1 /Principal"/>
    <x v="0"/>
    <b v="0"/>
    <s v="No está en VPC"/>
    <n v="828"/>
    <s v="INTPG_VPC_828_1.2_832_1.2"/>
    <s v="ISEL-1.2"/>
    <n v="1"/>
    <s v="NO TIENE L3OUT"/>
    <n v="192"/>
    <n v="54"/>
  </r>
  <r>
    <n v="870"/>
    <x v="2"/>
    <x v="94"/>
    <s v="eth1/2"/>
    <x v="0"/>
    <x v="0"/>
    <x v="0"/>
    <s v="TO_ITHFHWCRMDLCN53_Redundante"/>
    <x v="0"/>
    <b v="0"/>
    <s v="No está en VPC"/>
    <n v="870"/>
    <s v="INTPG_ACC_870_1.2"/>
    <s v="ISEL-1.2"/>
    <n v="1"/>
    <s v="NO TIENE L3OUT"/>
    <n v="248"/>
    <n v="54"/>
  </r>
  <r>
    <n v="866"/>
    <x v="2"/>
    <x v="95"/>
    <s v="eth1/2"/>
    <x v="0"/>
    <x v="0"/>
    <x v="0"/>
    <s v="To_VPC_2DCBSD_WR42_2"/>
    <x v="0"/>
    <b v="0"/>
    <s v="No está en VPC"/>
    <n v="866"/>
    <s v="INTPG_VPC_861_1.2_866_1.2"/>
    <s v="ISEL-1.2"/>
    <n v="1"/>
    <s v="NO TIENE L3OUT"/>
    <n v="8"/>
    <n v="54"/>
  </r>
  <r>
    <n v="862"/>
    <x v="2"/>
    <x v="96"/>
    <s v="eth1/2"/>
    <x v="0"/>
    <x v="0"/>
    <x v="0"/>
    <s v="To_VPC_2DCBSD_WR38_1"/>
    <x v="0"/>
    <b v="0"/>
    <s v="No está en VPC"/>
    <n v="862"/>
    <s v="INTPG_VPC_862_1.2_867_1.2"/>
    <s v="ISEL-1.2"/>
    <n v="2"/>
    <s v="NO TIENE L3OUT"/>
    <n v="44"/>
    <n v="54"/>
  </r>
  <r>
    <n v="855"/>
    <x v="2"/>
    <x v="97"/>
    <s v="eth1/2"/>
    <x v="0"/>
    <x v="0"/>
    <x v="0"/>
    <s v="LINK_TO_ITHFHWCRMPLCN155 / Slot1.1_12 / Principal"/>
    <x v="0"/>
    <b v="0"/>
    <s v="No está en VPC"/>
    <n v="855"/>
    <s v="INTPG_ACC_855_1.2"/>
    <s v="ISEL-1.2"/>
    <n v="6"/>
    <s v="NO TIENE L3OUT"/>
    <n v="254"/>
    <n v="54"/>
  </r>
  <r>
    <n v="871"/>
    <x v="2"/>
    <x v="98"/>
    <s v="eth1/2"/>
    <x v="0"/>
    <x v="0"/>
    <x v="0"/>
    <s v="TO_ITHFHWCRMDLCN81_Principal"/>
    <x v="0"/>
    <b v="0"/>
    <s v="No está en VPC"/>
    <n v="871"/>
    <s v="INTPG_ACC_871_1.2"/>
    <s v="ISEL-1.2"/>
    <n v="2"/>
    <s v="NO TIENE L3OUT"/>
    <n v="246"/>
    <n v="54"/>
  </r>
  <r>
    <n v="841"/>
    <x v="2"/>
    <x v="99"/>
    <s v="eth1/2"/>
    <x v="0"/>
    <x v="0"/>
    <x v="0"/>
    <s v="LINK_TO_ITHFHWCBSPSUSBD33 / Slot7.1_6 / Redundante"/>
    <x v="0"/>
    <b v="0"/>
    <s v="No está en VPC"/>
    <n v="841"/>
    <s v="INTPG_VPC_836_1.2_841_1.2"/>
    <s v="ISEL-1.2"/>
    <n v="2"/>
    <s v="NO TIENE L3OUT"/>
    <n v="0"/>
    <n v="54"/>
  </r>
  <r>
    <n v="868"/>
    <x v="2"/>
    <x v="100"/>
    <s v="eth1/2"/>
    <x v="0"/>
    <x v="0"/>
    <x v="0"/>
    <s v="TO_ITHFHWCRMDLCN81_Redundante"/>
    <x v="0"/>
    <b v="0"/>
    <s v="No está en VPC"/>
    <n v="868"/>
    <s v="INTPG_ACC_868_1.2"/>
    <s v="ISEL-1.2"/>
    <n v="2"/>
    <s v="NO TIENE L3OUT"/>
    <n v="246"/>
    <n v="54"/>
  </r>
  <r>
    <n v="869"/>
    <x v="2"/>
    <x v="101"/>
    <s v="eth1/2"/>
    <x v="0"/>
    <x v="0"/>
    <x v="0"/>
    <s v="To_ITHFHWCRMDLCN69_Redundante"/>
    <x v="0"/>
    <b v="0"/>
    <s v="No está en VPC"/>
    <n v="869"/>
    <s v="INTPG_ACC_869_1.2"/>
    <s v="ISEL-1.2"/>
    <n v="1"/>
    <s v="NO TIENE L3OUT"/>
    <n v="288"/>
    <n v="54"/>
  </r>
  <r>
    <n v="861"/>
    <x v="2"/>
    <x v="102"/>
    <s v="eth1/2"/>
    <x v="0"/>
    <x v="0"/>
    <x v="0"/>
    <s v="To_VPC_2DCBSD_WR42_2"/>
    <x v="0"/>
    <b v="0"/>
    <s v="No está en VPC"/>
    <n v="861"/>
    <s v="INTPG_VPC_861_1.2_866_1.2"/>
    <s v="ISEL-1.2"/>
    <n v="1"/>
    <s v="NO TIENE L3OUT"/>
    <n v="8"/>
    <n v="54"/>
  </r>
  <r>
    <n v="874"/>
    <x v="2"/>
    <x v="103"/>
    <s v="eth1/2"/>
    <x v="0"/>
    <x v="0"/>
    <x v="0"/>
    <s v="LINK_TO_ITHFHWSEQLHDPS71 / Slot 5 PTO 1 / Redundante"/>
    <x v="4"/>
    <b v="0"/>
    <s v="No está en VPC"/>
    <n v="874"/>
    <s v="INTPG_ACC_874_1.2"/>
    <s v="ISEL-1.2"/>
    <n v="1"/>
    <s v="NO TIENE L3OUT"/>
    <n v="92"/>
    <n v="54"/>
  </r>
  <r>
    <n v="865"/>
    <x v="2"/>
    <x v="104"/>
    <s v="eth1/2"/>
    <x v="0"/>
    <x v="0"/>
    <x v="0"/>
    <s v="To_VPC_2DCBSD_WR52_2"/>
    <x v="0"/>
    <b v="0"/>
    <s v="No está en VPC"/>
    <n v="865"/>
    <s v="INTPG_VPC_860_1.2_865_1.2"/>
    <s v="ISEL-1.2"/>
    <n v="1"/>
    <s v="NO TIENE L3OUT"/>
    <n v="0"/>
    <n v="54"/>
  </r>
  <r>
    <n v="753"/>
    <x v="2"/>
    <x v="105"/>
    <s v="eth1/2"/>
    <x v="0"/>
    <x v="0"/>
    <x v="0"/>
    <s v="OSS F1:ithenmr03bl01nas1r9c:PORT 2"/>
    <x v="0"/>
    <b v="0"/>
    <s v="No está en VPC"/>
    <n v="753"/>
    <s v="INTPG_PC_753_1.1-4"/>
    <s v="ISEL-1.2"/>
    <n v="1"/>
    <s v="NO TIENE L3OUT"/>
    <n v="62"/>
    <n v="54"/>
  </r>
  <r>
    <n v="708"/>
    <x v="2"/>
    <x v="106"/>
    <s v="eth1/2"/>
    <x v="0"/>
    <x v="1"/>
    <x v="5"/>
    <s v="CEM:ITHCEME2DAT01:LOM  P2"/>
    <x v="0"/>
    <b v="0"/>
    <s v="No está en VPC"/>
    <n v="708"/>
    <s v="INTPG_VPC_708_1.2_709_1.1"/>
    <s v="ISEL-1.2"/>
    <n v="1"/>
    <s v="NO TIENE L3OUT"/>
    <n v="0"/>
    <n v="54"/>
  </r>
  <r>
    <n v="710"/>
    <x v="2"/>
    <x v="107"/>
    <s v="eth1/2"/>
    <x v="0"/>
    <x v="0"/>
    <x v="0"/>
    <s v="CEM:ITHCEMC2DAT01:LOM  P2"/>
    <x v="0"/>
    <b v="0"/>
    <s v="No está en VPC"/>
    <n v="710"/>
    <s v="INTPG_ACC_710_1.2"/>
    <s v="ISEL-1.2"/>
    <n v="1"/>
    <s v="NO TIENE L3OUT"/>
    <n v="16"/>
    <n v="54"/>
  </r>
  <r>
    <n v="713"/>
    <x v="2"/>
    <x v="108"/>
    <s v="eth1/2"/>
    <x v="0"/>
    <x v="0"/>
    <x v="0"/>
    <s v="CEM:ITHCEMB2DAT01:LOM  P2"/>
    <x v="0"/>
    <b v="0"/>
    <s v="No está en VPC"/>
    <n v="713"/>
    <s v="INTPG_ACC_713_1.2"/>
    <s v="ISEL-1.2"/>
    <n v="1"/>
    <s v="NO TIENE L3OUT"/>
    <n v="32"/>
    <n v="54"/>
  </r>
  <r>
    <n v="735"/>
    <x v="2"/>
    <x v="109"/>
    <s v="eth1/2"/>
    <x v="0"/>
    <x v="0"/>
    <x v="0"/>
    <s v="CEM_HADOOP"/>
    <x v="5"/>
    <b v="0"/>
    <s v="No está en VPC"/>
    <n v="735"/>
    <s v="INTPG_ACC_735_1.2"/>
    <s v="ISEL-1.2"/>
    <n v="1"/>
    <s v="NO TIENE L3OUT"/>
    <n v="34"/>
    <n v="54"/>
  </r>
  <r>
    <n v="731"/>
    <x v="2"/>
    <x v="110"/>
    <s v="eth1/2"/>
    <x v="0"/>
    <x v="0"/>
    <x v="0"/>
    <s v="eth-trunk11"/>
    <x v="0"/>
    <b v="0"/>
    <s v="No está en VPC"/>
    <n v="731"/>
    <s v="INTPG_VPC_730_1.2-3_731_1.2-3"/>
    <s v="ISEL-1.2"/>
    <n v="8"/>
    <s v="NO TIENE L3OUT"/>
    <n v="38"/>
    <n v="54"/>
  </r>
  <r>
    <n v="703"/>
    <x v="2"/>
    <x v="111"/>
    <s v="eth1/2"/>
    <x v="0"/>
    <x v="0"/>
    <x v="0"/>
    <m/>
    <x v="0"/>
    <b v="0"/>
    <s v="No está en VPC"/>
    <n v="703"/>
    <s v="INTPG_VPC_704_1.1_703_1.2"/>
    <s v="ISEL-1.2"/>
    <n v="1"/>
    <s v="NO TIENE L3OUT"/>
    <n v="2"/>
    <n v="54"/>
  </r>
  <r>
    <n v="706"/>
    <x v="2"/>
    <x v="112"/>
    <s v="eth1/2"/>
    <x v="0"/>
    <x v="0"/>
    <x v="0"/>
    <m/>
    <x v="0"/>
    <b v="0"/>
    <s v="No está en VPC"/>
    <n v="706"/>
    <s v="INTPG_VPC_705_1.1_706_1.2"/>
    <s v="ISEL-1.2"/>
    <n v="2"/>
    <s v="NO TIENE L3OUT"/>
    <n v="16"/>
    <n v="54"/>
  </r>
  <r>
    <n v="762"/>
    <x v="2"/>
    <x v="113"/>
    <s v="eth1/2"/>
    <x v="0"/>
    <x v="0"/>
    <x v="0"/>
    <s v="PAAS:ithhwoscopap002:FlexIO.1"/>
    <x v="0"/>
    <b v="0"/>
    <s v="No está en VPC"/>
    <n v="762"/>
    <s v="INTPG_VPC_762_1.2_763_1.2"/>
    <s v="ISEL-1.2"/>
    <n v="1"/>
    <s v="NO TIENE L3OUT"/>
    <n v="0"/>
    <n v="54"/>
  </r>
  <r>
    <n v="814"/>
    <x v="2"/>
    <x v="114"/>
    <s v="eth1/2"/>
    <x v="0"/>
    <x v="0"/>
    <x v="0"/>
    <s v="LINK_TO_9S_BESPR_IXTLA3_1/40GE.4/Principal"/>
    <x v="2"/>
    <b v="0"/>
    <s v="No está en VPC"/>
    <n v="814"/>
    <s v="INTPG_VPC_814_1.1-2_815_1.1-2"/>
    <s v="ISEL-1.2"/>
    <n v="20"/>
    <s v="NO TIENE L3OUT"/>
    <n v="0"/>
    <n v="42"/>
  </r>
  <r>
    <n v="878"/>
    <x v="2"/>
    <x v="115"/>
    <s v="eth1/2"/>
    <x v="0"/>
    <x v="0"/>
    <x v="0"/>
    <s v="HACIA_CSI-A-OSCP-F4-10_PRINCIPAL"/>
    <x v="4"/>
    <b v="0"/>
    <s v="No está en VPC"/>
    <n v="878"/>
    <s v="INTPG_VPC_878_1.2_879_1.2"/>
    <s v="ISEL-1.2"/>
    <n v="2"/>
    <s v="NO TIENE L3OUT"/>
    <n v="0"/>
    <n v="54"/>
  </r>
  <r>
    <n v="826"/>
    <x v="2"/>
    <x v="116"/>
    <s v="eth1/2"/>
    <x v="0"/>
    <x v="0"/>
    <x v="0"/>
    <s v="LINK_TO_ITHFHWCBSDSUSBD04 /10GE.1 /Principal"/>
    <x v="0"/>
    <b v="0"/>
    <s v="No está en VPC"/>
    <n v="826"/>
    <s v="INTPG_VPC_826_1.2_830_1.2"/>
    <s v="ISEL-1.2"/>
    <n v="1"/>
    <s v="NO TIENE L3OUT"/>
    <n v="12"/>
    <n v="54"/>
  </r>
  <r>
    <n v="726"/>
    <x v="2"/>
    <x v="117"/>
    <s v="eth1/2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2"/>
    <x v="0"/>
    <x v="0"/>
    <x v="0"/>
    <s v="CEM:ITHCEMD2DAT01:FLEXIO P1"/>
    <x v="5"/>
    <b v="0"/>
    <s v="No está en VPC"/>
    <n v="740"/>
    <s v="INTPG_ACC_740_1.2"/>
    <s v="ISEL-1.2"/>
    <n v="1"/>
    <s v="NO TIENE L3OUT"/>
    <n v="72"/>
    <n v="54"/>
  </r>
  <r>
    <n v="705"/>
    <x v="2"/>
    <x v="119"/>
    <s v="eth1/2"/>
    <x v="0"/>
    <x v="0"/>
    <x v="0"/>
    <s v="ITHCEMA1DAT01-LOM-P2"/>
    <x v="0"/>
    <b v="0"/>
    <s v="No está en VPC"/>
    <n v="705"/>
    <s v="INTPG_ACC_705_1.2"/>
    <s v="ISEL-1.2"/>
    <n v="1"/>
    <s v="NO TIENE L3OUT"/>
    <n v="16"/>
    <n v="54"/>
  </r>
  <r>
    <n v="723"/>
    <x v="2"/>
    <x v="120"/>
    <s v="eth1/2"/>
    <x v="0"/>
    <x v="0"/>
    <x v="0"/>
    <m/>
    <x v="0"/>
    <b v="0"/>
    <s v="No está en VPC"/>
    <n v="723"/>
    <s v="INTPG-VPC_HDD133_722_1.1_723_1.2"/>
    <s v="ISEL-1.2"/>
    <n v="1"/>
    <s v="NO TIENE L3OUT"/>
    <n v="0"/>
    <n v="54"/>
  </r>
  <r>
    <n v="721"/>
    <x v="2"/>
    <x v="121"/>
    <s v="eth1/2"/>
    <x v="0"/>
    <x v="0"/>
    <x v="0"/>
    <m/>
    <x v="0"/>
    <b v="0"/>
    <s v="No está en VPC"/>
    <n v="721"/>
    <s v="INTPG-VPC_HDD60_714_1.1_721_1.2"/>
    <s v="ISEL-1.2"/>
    <n v="2"/>
    <s v="NO TIENE L3OUT"/>
    <n v="20"/>
    <n v="54"/>
  </r>
  <r>
    <n v="788"/>
    <x v="2"/>
    <x v="122"/>
    <s v="eth1/2"/>
    <x v="0"/>
    <x v="0"/>
    <x v="0"/>
    <s v="U2020:ITHHWUMT06SW03:10GE1/0/43"/>
    <x v="0"/>
    <b v="0"/>
    <s v="No está en VPC"/>
    <n v="788"/>
    <s v="INTPG_VPC_788_1.1-2_789_1.1-2"/>
    <s v="ISEL-1.2"/>
    <n v="1"/>
    <s v="NO TIENE L3OUT"/>
    <n v="4"/>
    <n v="54"/>
  </r>
  <r>
    <n v="732"/>
    <x v="2"/>
    <x v="123"/>
    <s v="eth1/2"/>
    <x v="0"/>
    <x v="0"/>
    <x v="0"/>
    <s v="TO-TESTBED"/>
    <x v="0"/>
    <b v="0"/>
    <s v="No está en VPC"/>
    <n v="732"/>
    <s v="INTPG_VPC_732_1.2-3_733_1.2-3"/>
    <s v="ISEL-1.2"/>
    <n v="3"/>
    <s v="NO TIENE L3OUT"/>
    <n v="0"/>
    <n v="54"/>
  </r>
  <r>
    <n v="720"/>
    <x v="2"/>
    <x v="124"/>
    <s v="eth1/2"/>
    <x v="0"/>
    <x v="0"/>
    <x v="0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2"/>
    <x v="0"/>
    <x v="1"/>
    <x v="5"/>
    <s v="CEM:ITHCEMF2DAT01:LOM  P2"/>
    <x v="0"/>
    <b v="0"/>
    <s v="No está en VPC"/>
    <n v="709"/>
    <s v="INTPG_VPC_708_1.1_709_1.2"/>
    <s v="ISEL-1.2"/>
    <n v="1"/>
    <s v="NO TIENE L3OUT"/>
    <n v="0"/>
    <n v="54"/>
  </r>
  <r>
    <n v="454"/>
    <x v="1"/>
    <x v="126"/>
    <s v="eth1/2"/>
    <x v="0"/>
    <x v="0"/>
    <x v="0"/>
    <s v="HACIA_CSI-A-OSCP-F4-06_PRINCIPAL"/>
    <x v="4"/>
    <b v="0"/>
    <s v="No está en VPC"/>
    <n v="454"/>
    <s v="INTPG_VPC_454_1.2_456_1.2"/>
    <s v="ISEL-1.2"/>
    <n v="2"/>
    <s v="NO TIENE L3OUT"/>
    <n v="4"/>
    <n v="54"/>
  </r>
  <r>
    <n v="734"/>
    <x v="2"/>
    <x v="127"/>
    <s v="eth1/2"/>
    <x v="0"/>
    <x v="1"/>
    <x v="1"/>
    <s v="CEM:ITHCEMA1DAT01:FLEXIO P1"/>
    <x v="5"/>
    <b v="0"/>
    <s v="No está en VPC"/>
    <n v="734"/>
    <s v="INTPG_ACC_734_1.2"/>
    <s v="ISEL-1.2"/>
    <n v="1"/>
    <s v="NO TIENE L3OUT"/>
    <n v="32"/>
    <n v="54"/>
  </r>
  <r>
    <n v="815"/>
    <x v="2"/>
    <x v="128"/>
    <s v="eth1/2"/>
    <x v="0"/>
    <x v="0"/>
    <x v="0"/>
    <s v="LINK_TO_9S_BESPR_IXTLA3_2/40GE.4/Redundante"/>
    <x v="2"/>
    <b v="0"/>
    <s v="No está en VPC"/>
    <n v="815"/>
    <s v="INTPG_VPC_814_1.1-2_815_1.1-2"/>
    <s v="ISEL-1.2"/>
    <n v="20"/>
    <s v="NO TIENE L3OUT"/>
    <n v="0"/>
    <n v="42"/>
  </r>
  <r>
    <n v="743"/>
    <x v="2"/>
    <x v="129"/>
    <s v="eth1/2"/>
    <x v="0"/>
    <x v="0"/>
    <x v="0"/>
    <s v="trunk20 Bes-Production"/>
    <x v="0"/>
    <b v="0"/>
    <s v="No está en VPC"/>
    <n v="743"/>
    <s v="INTPG_VPC_743_1.2_3_744_1.2_3"/>
    <s v="ISEL-1.2"/>
    <n v="5"/>
    <s v="NO TIENE L3OUT"/>
    <n v="4"/>
    <n v="54"/>
  </r>
  <r>
    <n v="718"/>
    <x v="2"/>
    <x v="130"/>
    <s v="eth1/2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2"/>
    <x v="0"/>
    <x v="0"/>
    <x v="0"/>
    <s v="trunk20 Bes-Production"/>
    <x v="0"/>
    <b v="0"/>
    <s v="No está en VPC"/>
    <n v="744"/>
    <s v="INTPG_VPC_743_1.2_3_744_1.2_3"/>
    <s v="ISEL-1.2"/>
    <n v="5"/>
    <s v="NO TIENE L3OUT"/>
    <n v="4"/>
    <n v="54"/>
  </r>
  <r>
    <n v="741"/>
    <x v="2"/>
    <x v="132"/>
    <s v="eth1/2"/>
    <x v="0"/>
    <x v="1"/>
    <x v="1"/>
    <s v="CEM:ITHCEMA2DAT01:FLEXIO P1"/>
    <x v="5"/>
    <b v="0"/>
    <s v="No está en VPC"/>
    <n v="741"/>
    <s v="INTPG_ACC_741_1.2"/>
    <s v="ISEL-1.2"/>
    <n v="1"/>
    <s v="NO TIENE L3OUT"/>
    <n v="62"/>
    <n v="54"/>
  </r>
  <r>
    <n v="787"/>
    <x v="2"/>
    <x v="133"/>
    <s v="eth1/2"/>
    <x v="0"/>
    <x v="0"/>
    <x v="0"/>
    <s v="ENIQ F2:itheniqr16e1r4a:BAY1/X2"/>
    <x v="0"/>
    <b v="0"/>
    <s v="No está en VPC"/>
    <n v="787"/>
    <s v="INTPG_PC_787_1.1-2"/>
    <s v="ISEL-1.2"/>
    <n v="3"/>
    <s v="NO TIENE L3OUT"/>
    <n v="26"/>
    <n v="54"/>
  </r>
  <r>
    <n v="750"/>
    <x v="2"/>
    <x v="134"/>
    <s v="eth1/2"/>
    <x v="0"/>
    <x v="0"/>
    <x v="0"/>
    <s v="trunk16 Bes-Production"/>
    <x v="0"/>
    <b v="0"/>
    <s v="No está en VPC"/>
    <n v="750"/>
    <s v="INTPG_VPC_750_1.2_3_751_1.2_3"/>
    <s v="ISEL-1.2"/>
    <n v="6"/>
    <s v="NO TIENE L3OUT"/>
    <n v="2"/>
    <n v="54"/>
  </r>
  <r>
    <n v="792"/>
    <x v="2"/>
    <x v="135"/>
    <s v="eth1/2"/>
    <x v="0"/>
    <x v="1"/>
    <x v="3"/>
    <s v="CRM, CBS:Testbed-R03-RH2288-BKP02:10GE 1"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2"/>
    <x v="0"/>
    <x v="1"/>
    <x v="3"/>
    <s v="CEM:ITHCEMG2DAT01:SLOT1 P1"/>
    <x v="0"/>
    <b v="0"/>
    <s v="No está en VPC"/>
    <n v="736"/>
    <s v="INTPG_ACC_736_1.2"/>
    <s v="ISEL-1.2"/>
    <n v="1"/>
    <s v="NO TIENE L3OUT"/>
    <n v="48"/>
    <n v="54"/>
  </r>
  <r>
    <n v="799"/>
    <x v="2"/>
    <x v="137"/>
    <s v="eth1/2"/>
    <x v="0"/>
    <x v="0"/>
    <x v="0"/>
    <s v="TO-IMC_PS16-MSP"/>
    <x v="0"/>
    <b v="0"/>
    <s v="No está en VPC"/>
    <n v="799"/>
    <s v="INTPG_ACC_799_1.2"/>
    <s v="ISEL-1.2"/>
    <n v="1"/>
    <s v="NO TIENE L3OUT"/>
    <n v="52"/>
    <n v="54"/>
  </r>
  <r>
    <n v="768"/>
    <x v="2"/>
    <x v="138"/>
    <s v="eth1/2"/>
    <x v="0"/>
    <x v="0"/>
    <x v="0"/>
    <s v="Portchannel_6_R3"/>
    <x v="0"/>
    <b v="0"/>
    <s v="No está en VPC"/>
    <n v="768"/>
    <s v="INTPG_PC_768_1.1-4"/>
    <s v="ISEL-1.2"/>
    <n v="1"/>
    <s v="NO TIENE L3OUT"/>
    <n v="62"/>
    <n v="54"/>
  </r>
  <r>
    <n v="714"/>
    <x v="2"/>
    <x v="139"/>
    <s v="eth1/2"/>
    <x v="0"/>
    <x v="0"/>
    <x v="0"/>
    <s v="TO-ITHFHWVRALCN10"/>
    <x v="0"/>
    <b v="0"/>
    <s v="No está en VPC"/>
    <n v="714"/>
    <s v="INTPG_VPC_714_1.2_721_1.1"/>
    <s v="ISEL-1.2"/>
    <n v="108"/>
    <s v="NO TIENE L3OUT"/>
    <n v="20"/>
    <n v="54"/>
  </r>
  <r>
    <n v="717"/>
    <x v="2"/>
    <x v="140"/>
    <s v="eth1/2"/>
    <x v="0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2"/>
    <x v="0"/>
    <x v="0"/>
    <x v="0"/>
    <s v="U2020:ITHHWUMT06SW04:10GE2/0/43"/>
    <x v="0"/>
    <b v="0"/>
    <s v="No está en VPC"/>
    <n v="789"/>
    <s v="INTPG_VPC_788_1.1-2_789_1.1-2"/>
    <s v="ISEL-1.2"/>
    <n v="1"/>
    <s v="NO TIENE L3OUT"/>
    <n v="0"/>
    <n v="54"/>
  </r>
  <r>
    <n v="764"/>
    <x v="2"/>
    <x v="142"/>
    <s v="eth1/2"/>
    <x v="0"/>
    <x v="0"/>
    <x v="0"/>
    <s v="Portchannel_6_R1"/>
    <x v="0"/>
    <b v="0"/>
    <s v="No está en VPC"/>
    <n v="764"/>
    <s v="INTPG_PC_764_1.1-4"/>
    <s v="ISEL-1.2"/>
    <n v="1"/>
    <s v="NO TIENE L3OUT"/>
    <n v="62"/>
    <n v="54"/>
  </r>
  <r>
    <n v="783"/>
    <x v="2"/>
    <x v="143"/>
    <s v="eth1/2"/>
    <x v="0"/>
    <x v="0"/>
    <x v="0"/>
    <s v="LACP_VC1_ENIQ9A"/>
    <x v="0"/>
    <b v="0"/>
    <s v="No está en VPC"/>
    <n v="783"/>
    <s v="INTPG_PC_783_1.1-2"/>
    <s v="ISEL-1.2"/>
    <n v="3"/>
    <s v="NO TIENE L3OUT"/>
    <n v="26"/>
    <n v="54"/>
  </r>
  <r>
    <n v="774"/>
    <x v="2"/>
    <x v="144"/>
    <s v="eth1/2"/>
    <x v="0"/>
    <x v="0"/>
    <x v="0"/>
    <s v="PAAS:ithhwoscopap017:GE /Pto 1"/>
    <x v="0"/>
    <b v="0"/>
    <s v="No está en VPC"/>
    <n v="774"/>
    <s v="INTPG_VPC_774_1.2_775_1.3"/>
    <s v="ISEL-1.2"/>
    <n v="24"/>
    <s v="NO TIENE L3OUT"/>
    <n v="0"/>
    <n v="54"/>
  </r>
  <r>
    <n v="773"/>
    <x v="2"/>
    <x v="145"/>
    <s v="eth1/2"/>
    <x v="0"/>
    <x v="0"/>
    <x v="0"/>
    <s v="Portchannel_3_R2"/>
    <x v="0"/>
    <b v="0"/>
    <s v="No está en VPC"/>
    <n v="773"/>
    <s v="INTPG_PC_773_1.1-2"/>
    <s v="ISEL-1.2"/>
    <n v="8"/>
    <s v="NO TIENE L3OUT"/>
    <n v="78"/>
    <n v="54"/>
  </r>
  <r>
    <n v="794"/>
    <x v="2"/>
    <x v="146"/>
    <s v="eth1/2"/>
    <x v="0"/>
    <x v="0"/>
    <x v="0"/>
    <s v="TO-IXTFDLBKP1RAP01-REDUNDANTE_POWEREDGE"/>
    <x v="0"/>
    <b v="0"/>
    <s v="No está en VPC"/>
    <n v="794"/>
    <s v="INTPG_ACC_794_1.2"/>
    <s v="ISEL-1.2"/>
    <n v="1"/>
    <s v="NO TIENE L3OUT"/>
    <n v="12"/>
    <n v="54"/>
  </r>
  <r>
    <n v="803"/>
    <x v="2"/>
    <x v="147"/>
    <s v="eth1/2"/>
    <x v="0"/>
    <x v="0"/>
    <x v="0"/>
    <s v="TO-HDPS_28-MSP"/>
    <x v="0"/>
    <b v="0"/>
    <s v="No está en VPC"/>
    <n v="803"/>
    <s v="INTPG_ACC_803_1.2"/>
    <s v="ISEL-1.2"/>
    <n v="1"/>
    <s v="NO TIENE L3OUT"/>
    <n v="48"/>
    <n v="54"/>
  </r>
  <r>
    <n v="786"/>
    <x v="2"/>
    <x v="148"/>
    <s v="eth1/2"/>
    <x v="0"/>
    <x v="0"/>
    <x v="0"/>
    <s v="ENIQ F2:itheniqr14e1r4b:BAY1/X2"/>
    <x v="0"/>
    <b v="0"/>
    <s v="No está en VPC"/>
    <n v="786"/>
    <s v="INTPG_PC_786_1.1-2"/>
    <s v="ISEL-1.2"/>
    <n v="3"/>
    <s v="NO TIENE L3OUT"/>
    <n v="26"/>
    <n v="54"/>
  </r>
  <r>
    <n v="757"/>
    <x v="2"/>
    <x v="149"/>
    <s v="eth1/2"/>
    <x v="0"/>
    <x v="1"/>
    <x v="3"/>
    <s v="CRM, CBS:ITHHWTBRK12BCK02:10GE 2"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2"/>
    <x v="0"/>
    <x v="0"/>
    <x v="0"/>
    <s v="LACP_VC1_ENIQ9C"/>
    <x v="0"/>
    <b v="0"/>
    <s v="No está en VPC"/>
    <n v="781"/>
    <s v="INTPG_PC_781_1.1-2"/>
    <s v="ISEL-1.2"/>
    <n v="3"/>
    <s v="NO TIENE L3OUT"/>
    <n v="26"/>
    <n v="54"/>
  </r>
  <r>
    <n v="793"/>
    <x v="2"/>
    <x v="151"/>
    <s v="eth1/2"/>
    <x v="0"/>
    <x v="0"/>
    <x v="0"/>
    <s v="TO-IXTFDLBKP1RAP01-PRINCIPAL_POWEREDGE"/>
    <x v="0"/>
    <b v="0"/>
    <s v="No está en VPC"/>
    <n v="793"/>
    <s v="INTPG_ACC_793_1.2"/>
    <s v="ISEL-1.2"/>
    <n v="1"/>
    <s v="NO TIENE L3OUT"/>
    <n v="12"/>
    <n v="54"/>
  </r>
  <r>
    <n v="747"/>
    <x v="2"/>
    <x v="152"/>
    <s v="eth1/2"/>
    <x v="0"/>
    <x v="0"/>
    <x v="0"/>
    <s v="PAAS:ithhwoscopap002:LOM PORT 1"/>
    <x v="0"/>
    <b v="0"/>
    <s v="No está en VPC"/>
    <n v="747"/>
    <s v="INTPG_VPC_747_1.2_752_1.2"/>
    <s v="ISEL-1.2"/>
    <n v="25"/>
    <s v="NO TIENE L3OUT"/>
    <n v="0"/>
    <n v="54"/>
  </r>
  <r>
    <n v="784"/>
    <x v="2"/>
    <x v="153"/>
    <s v="eth1/2"/>
    <x v="0"/>
    <x v="0"/>
    <x v="0"/>
    <s v="ENIQ F2:itheniqr12e1r6b:BAY1/X2"/>
    <x v="0"/>
    <b v="0"/>
    <s v="No está en VPC"/>
    <n v="784"/>
    <s v="INTPG_PC_784_1.1-2"/>
    <s v="ISEL-1.2"/>
    <n v="3"/>
    <s v="NO TIENE L3OUT"/>
    <n v="26"/>
    <n v="54"/>
  </r>
  <r>
    <n v="806"/>
    <x v="2"/>
    <x v="154"/>
    <s v="eth1/2"/>
    <x v="0"/>
    <x v="0"/>
    <x v="0"/>
    <s v="TO-HDPS_52-MSP"/>
    <x v="0"/>
    <b v="0"/>
    <s v="No está en VPC"/>
    <n v="806"/>
    <s v="INTPG_ACC_806_1.2"/>
    <s v="ISEL-1.2"/>
    <n v="1"/>
    <s v="NO TIENE L3OUT"/>
    <n v="44"/>
    <n v="54"/>
  </r>
  <r>
    <n v="777"/>
    <x v="2"/>
    <x v="155"/>
    <s v="eth1/2"/>
    <x v="0"/>
    <x v="0"/>
    <x v="0"/>
    <s v="PAAS:ithhwoscopap019:FlexIO /Pto 1"/>
    <x v="0"/>
    <b v="0"/>
    <s v="No está en VPC"/>
    <n v="777"/>
    <s v="INTPG_VPC_776_1.1_777_1.2"/>
    <s v="ISEL-1.2"/>
    <n v="24"/>
    <s v="NO TIENE L3OUT"/>
    <n v="0"/>
    <n v="54"/>
  </r>
  <r>
    <n v="770"/>
    <x v="2"/>
    <x v="156"/>
    <s v="eth1/2"/>
    <x v="0"/>
    <x v="0"/>
    <x v="0"/>
    <s v="Portchannel_1_R4A"/>
    <x v="0"/>
    <b v="0"/>
    <s v="No está en VPC"/>
    <n v="770"/>
    <s v="INTPG_PC_770_1.1-4"/>
    <s v="ISEL-1.2"/>
    <n v="2"/>
    <s v="NO TIENE L3OUT"/>
    <n v="60"/>
    <n v="54"/>
  </r>
  <r>
    <n v="813"/>
    <x v="2"/>
    <x v="157"/>
    <s v="eth1/2"/>
    <x v="0"/>
    <x v="0"/>
    <x v="0"/>
    <s v="POWER_STORE_NAS_NODO_A"/>
    <x v="1"/>
    <b v="0"/>
    <s v="No está en VPC"/>
    <n v="813"/>
    <s v="INTPG_VPC_812_1.2_813_1.2"/>
    <s v="ISEL-1.2"/>
    <n v="11"/>
    <s v="NO TIENE L3OUT"/>
    <n v="0"/>
    <n v="54"/>
  </r>
  <r>
    <n v="739"/>
    <x v="2"/>
    <x v="158"/>
    <s v="eth1/2"/>
    <x v="0"/>
    <x v="1"/>
    <x v="1"/>
    <s v="CEM:ITHCEMC2DAT01:FLEXIO P1"/>
    <x v="5"/>
    <b v="0"/>
    <s v="No está en VPC"/>
    <n v="739"/>
    <s v="INTPG_ACC_739_1.2"/>
    <s v="ISEL-1.2"/>
    <n v="1"/>
    <s v="NO TIENE L3OUT"/>
    <n v="72"/>
    <n v="54"/>
  </r>
  <r>
    <n v="775"/>
    <x v="2"/>
    <x v="159"/>
    <s v="eth1/2"/>
    <x v="0"/>
    <x v="0"/>
    <x v="0"/>
    <s v="PAAS:ithhwoscopap016:FlexIO /Pto 1"/>
    <x v="0"/>
    <b v="0"/>
    <s v="No está en VPC"/>
    <n v="775"/>
    <s v="INTPG_VPC_774_1.1_775_1.2"/>
    <s v="ISEL-1.2"/>
    <n v="24"/>
    <s v="NO TIENE L3OUT"/>
    <n v="0"/>
    <n v="54"/>
  </r>
  <r>
    <n v="791"/>
    <x v="2"/>
    <x v="160"/>
    <s v="eth1/2"/>
    <x v="0"/>
    <x v="0"/>
    <x v="0"/>
    <s v="LAGU2020R8"/>
    <x v="0"/>
    <b v="0"/>
    <s v="No está en VPC"/>
    <n v="791"/>
    <s v="INTPG_VPC_790_1.1_3_791_1.2_4"/>
    <s v="ISEL-1.2"/>
    <n v="1"/>
    <s v="NO TIENE L3OUT"/>
    <n v="20"/>
    <n v="54"/>
  </r>
  <r>
    <n v="808"/>
    <x v="2"/>
    <x v="161"/>
    <s v="eth1/2"/>
    <x v="0"/>
    <x v="0"/>
    <x v="0"/>
    <s v="HUECOS DC_S3"/>
    <x v="0"/>
    <b v="0"/>
    <s v="No está en VPC"/>
    <n v="808"/>
    <s v="INTPG_VPC_808_1.1-6_809_1.1-6"/>
    <s v="ISEL-1.2"/>
    <n v="1"/>
    <s v="NO TIENE L3OUT"/>
    <n v="0"/>
    <n v="54"/>
  </r>
  <r>
    <n v="830"/>
    <x v="2"/>
    <x v="162"/>
    <s v="eth1/2"/>
    <x v="0"/>
    <x v="0"/>
    <x v="0"/>
    <s v="LINK_TO_ITHFHWCBSDSUSBD04 /Slot5.1 /Redundante"/>
    <x v="0"/>
    <b v="0"/>
    <s v="No está en VPC"/>
    <n v="830"/>
    <s v="INTPG_VPC_826_1.2_830_1.2"/>
    <s v="ISEL-1.2"/>
    <n v="1"/>
    <s v="NO TIENE L3OUT"/>
    <n v="12"/>
    <n v="54"/>
  </r>
  <r>
    <n v="821"/>
    <x v="2"/>
    <x v="163"/>
    <s v="eth1/2"/>
    <x v="0"/>
    <x v="0"/>
    <x v="0"/>
    <s v="LINK_TO_ITHFHWCBSPSUSBD07 /Slot5.1 /Redundante"/>
    <x v="0"/>
    <b v="0"/>
    <s v="No está en VPC"/>
    <n v="821"/>
    <s v="INTPG_VPC_816_1.2_821_1.2"/>
    <s v="ISEL-1.2"/>
    <n v="1"/>
    <s v="NO TIENE L3OUT"/>
    <n v="0"/>
    <n v="54"/>
  </r>
  <r>
    <n v="738"/>
    <x v="2"/>
    <x v="164"/>
    <s v="eth1/2"/>
    <x v="0"/>
    <x v="0"/>
    <x v="0"/>
    <s v="CEM:ITHCEMF2DAT01:FLEXIO P1"/>
    <x v="5"/>
    <b v="0"/>
    <s v="No está en VPC"/>
    <n v="738"/>
    <s v="INTPG_ACC_738_1.2"/>
    <s v="ISEL-1.2"/>
    <n v="1"/>
    <s v="NO TIENE L3OUT"/>
    <n v="72"/>
    <n v="54"/>
  </r>
  <r>
    <n v="820"/>
    <x v="2"/>
    <x v="165"/>
    <s v="eth1/2"/>
    <x v="0"/>
    <x v="0"/>
    <x v="0"/>
    <s v="LINK_TO_ITHHWD6K60015DKC01 /CtrlA_IOM1.P1 /Redundante"/>
    <x v="0"/>
    <b v="0"/>
    <s v="No está en VPC"/>
    <n v="820"/>
    <s v="INTPG_ACC_820_1.2"/>
    <s v="ISEL-1.2"/>
    <n v="1"/>
    <s v="NO TIENE L3OUT"/>
    <n v="72"/>
    <n v="54"/>
  </r>
  <r>
    <n v="804"/>
    <x v="2"/>
    <x v="166"/>
    <s v="eth1/2"/>
    <x v="0"/>
    <x v="0"/>
    <x v="0"/>
    <s v="TO-HDPS_28-MSP"/>
    <x v="0"/>
    <b v="0"/>
    <s v="No está en VPC"/>
    <n v="804"/>
    <s v="INTPG_ACC_804_1.2"/>
    <s v="ISEL-1.2"/>
    <n v="1"/>
    <s v="NO TIENE L3OUT"/>
    <n v="48"/>
    <n v="54"/>
  </r>
  <r>
    <n v="779"/>
    <x v="2"/>
    <x v="167"/>
    <s v="eth1/2"/>
    <x v="0"/>
    <x v="0"/>
    <x v="0"/>
    <s v="ENIQ F1:itheniqr08enclr3:BAY1/X2"/>
    <x v="0"/>
    <b v="0"/>
    <s v="No está en VPC"/>
    <n v="779"/>
    <s v="INTPG_PC_779_1.1-2"/>
    <s v="ISEL-1.2"/>
    <n v="3"/>
    <s v="NO TIENE L3OUT"/>
    <n v="30"/>
    <n v="54"/>
  </r>
  <r>
    <n v="767"/>
    <x v="2"/>
    <x v="168"/>
    <s v="eth1/2"/>
    <x v="0"/>
    <x v="0"/>
    <x v="0"/>
    <s v="Portchannel_3_R3"/>
    <x v="0"/>
    <b v="0"/>
    <s v="No está en VPC"/>
    <n v="767"/>
    <s v="INTPG_PC_767_1.1-2"/>
    <s v="ISEL-1.2"/>
    <n v="8"/>
    <s v="NO TIENE L3OUT"/>
    <n v="60"/>
    <n v="54"/>
  </r>
  <r>
    <n v="827"/>
    <x v="2"/>
    <x v="169"/>
    <s v="eth1/2"/>
    <x v="0"/>
    <x v="0"/>
    <x v="0"/>
    <s v="LINK_TO_ITHFHWCBSDSWR22 /10GE.1 /Principal"/>
    <x v="0"/>
    <b v="0"/>
    <s v="No está en VPC"/>
    <n v="827"/>
    <s v="INTPG_VPC_827_1.2_831_1.2"/>
    <s v="ISEL-1.2"/>
    <n v="1"/>
    <s v="NO TIENE L3OUT"/>
    <n v="14"/>
    <n v="54"/>
  </r>
  <r>
    <n v="809"/>
    <x v="2"/>
    <x v="170"/>
    <s v="eth1/2"/>
    <x v="0"/>
    <x v="0"/>
    <x v="0"/>
    <s v="HUECOS DC_S3"/>
    <x v="0"/>
    <b v="0"/>
    <s v="No está en VPC"/>
    <n v="809"/>
    <s v="INTPG_VPC_808_1.1-6_809_1.1-6"/>
    <s v="ISEL-1.2"/>
    <n v="1"/>
    <s v="NO TIENE L3OUT"/>
    <n v="0"/>
    <n v="54"/>
  </r>
  <r>
    <n v="771"/>
    <x v="2"/>
    <x v="171"/>
    <s v="eth1/2"/>
    <x v="0"/>
    <x v="0"/>
    <x v="0"/>
    <s v="Portchannel_6_R6B"/>
    <x v="0"/>
    <b v="0"/>
    <s v="No está en VPC"/>
    <n v="771"/>
    <s v="INTPG_PC_771_1.1-4"/>
    <s v="ISEL-1.2"/>
    <n v="2"/>
    <s v="NO TIENE L3OUT"/>
    <n v="62"/>
    <n v="54"/>
  </r>
  <r>
    <n v="761"/>
    <x v="2"/>
    <x v="172"/>
    <s v="eth1/2"/>
    <x v="0"/>
    <x v="1"/>
    <x v="1"/>
    <m/>
    <x v="0"/>
    <b v="0"/>
    <s v="No está en VPC"/>
    <n v="761"/>
    <s v="INTPG_VPC_760_1.1-4_761_1.1-4"/>
    <s v="ISEL-1.2"/>
    <n v="0"/>
    <s v="L3OUT-EXACLOUD"/>
    <n v="0"/>
    <n v="54"/>
  </r>
  <r>
    <n v="776"/>
    <x v="2"/>
    <x v="173"/>
    <s v="eth1/2"/>
    <x v="0"/>
    <x v="0"/>
    <x v="0"/>
    <s v="PAAS:ithhwoscopap020:FlexIO /Pto 1"/>
    <x v="0"/>
    <b v="0"/>
    <s v="No está en VPC"/>
    <n v="776"/>
    <s v="INTPG_VPC_776_1.2_777_1.1"/>
    <s v="ISEL-1.2"/>
    <n v="24"/>
    <s v="NO TIENE L3OUT"/>
    <n v="0"/>
    <n v="54"/>
  </r>
  <r>
    <n v="805"/>
    <x v="2"/>
    <x v="174"/>
    <s v="eth1/2"/>
    <x v="0"/>
    <x v="0"/>
    <x v="0"/>
    <s v="TO-HDPS_52-MSP"/>
    <x v="0"/>
    <b v="0"/>
    <s v="No está en VPC"/>
    <n v="805"/>
    <s v="INTPG_ACC_805_1.2"/>
    <s v="ISEL-1.2"/>
    <n v="1"/>
    <s v="NO TIENE L3OUT"/>
    <n v="44"/>
    <n v="54"/>
  </r>
  <r>
    <n v="772"/>
    <x v="2"/>
    <x v="175"/>
    <s v="eth1/2"/>
    <x v="0"/>
    <x v="0"/>
    <x v="0"/>
    <s v="Portchannel_6_R2"/>
    <x v="0"/>
    <b v="0"/>
    <s v="No está en VPC"/>
    <n v="772"/>
    <s v="INTPG_PC_772_1.1-4"/>
    <s v="ISEL-1.2"/>
    <n v="1"/>
    <s v="NO TIENE L3OUT"/>
    <n v="82"/>
    <n v="54"/>
  </r>
  <r>
    <n v="785"/>
    <x v="2"/>
    <x v="176"/>
    <s v="eth1/2"/>
    <x v="0"/>
    <x v="0"/>
    <x v="0"/>
    <s v="ENIQ F2:itheniqr13e1r6a:BAY1/X2"/>
    <x v="0"/>
    <b v="0"/>
    <s v="No está en VPC"/>
    <n v="785"/>
    <s v="INTPG_PC_785_1.1-2"/>
    <s v="ISEL-1.2"/>
    <n v="3"/>
    <s v="NO TIENE L3OUT"/>
    <n v="32"/>
    <n v="54"/>
  </r>
  <r>
    <n v="851"/>
    <x v="2"/>
    <x v="177"/>
    <s v="eth1/2"/>
    <x v="0"/>
    <x v="0"/>
    <x v="0"/>
    <s v="LINK_TO_ITHFHWCRMPLCN101 / Slot7.2_6 / Redundante"/>
    <x v="0"/>
    <b v="0"/>
    <s v="No está en VPC"/>
    <n v="851"/>
    <s v="INTPG_ACC_851_1.2"/>
    <s v="ISEL-1.2"/>
    <n v="2"/>
    <s v="NO TIENE L3OUT"/>
    <n v="282"/>
    <n v="54"/>
  </r>
  <r>
    <n v="798"/>
    <x v="2"/>
    <x v="178"/>
    <s v="eth1/2"/>
    <x v="0"/>
    <x v="0"/>
    <x v="0"/>
    <s v="TO-IMC_PS16-MSP"/>
    <x v="0"/>
    <b v="0"/>
    <s v="No está en VPC"/>
    <n v="798"/>
    <s v="INTPG_ACC_798_1.2"/>
    <s v="ISEL-1.2"/>
    <n v="1"/>
    <s v="NO TIENE L3OUT"/>
    <n v="52"/>
    <n v="54"/>
  </r>
  <r>
    <n v="782"/>
    <x v="2"/>
    <x v="179"/>
    <s v="eth1/2"/>
    <x v="0"/>
    <x v="0"/>
    <x v="0"/>
    <s v="LACP_VC1_ENIQ9B"/>
    <x v="0"/>
    <b v="0"/>
    <s v="No está en VPC"/>
    <n v="782"/>
    <s v="INTPG_PC_782_1.1-2"/>
    <s v="ISEL-1.2"/>
    <n v="3"/>
    <s v="NO TIENE L3OUT"/>
    <n v="32"/>
    <n v="54"/>
  </r>
  <r>
    <n v="852"/>
    <x v="2"/>
    <x v="180"/>
    <s v="eth1/2"/>
    <x v="0"/>
    <x v="0"/>
    <x v="0"/>
    <s v="LINK_TO_ITHFHWCRMPLCN116 / Slot7.3_36 / Redundante"/>
    <x v="0"/>
    <b v="0"/>
    <s v="No está en VPC"/>
    <n v="852"/>
    <s v="INTPG_ACC_852_1.2"/>
    <s v="ISEL-1.2"/>
    <n v="1"/>
    <s v="NO TIENE L3OUT"/>
    <n v="258"/>
    <n v="54"/>
  </r>
  <r>
    <n v="817"/>
    <x v="2"/>
    <x v="181"/>
    <s v="eth1/2"/>
    <x v="0"/>
    <x v="0"/>
    <x v="0"/>
    <s v="LINK_TO_ITHFHWCBSPSWR22 /10GE.1 /Principal"/>
    <x v="0"/>
    <b v="0"/>
    <s v="No está en VPC"/>
    <n v="817"/>
    <s v="INTPG_VPC_817_1.2_822_1.2"/>
    <s v="ISEL-1.2"/>
    <n v="1"/>
    <s v="NO TIENE L3OUT"/>
    <n v="0"/>
    <n v="54"/>
  </r>
  <r>
    <n v="832"/>
    <x v="2"/>
    <x v="182"/>
    <s v="eth1/2"/>
    <x v="0"/>
    <x v="0"/>
    <x v="0"/>
    <s v="LINK_TO_ITHFHWCBSDSWR32 /Slot5.1 /Redundante"/>
    <x v="0"/>
    <b v="0"/>
    <s v="No está en VPC"/>
    <n v="832"/>
    <s v="INTPG_VPC_828_1.2_832_1.2"/>
    <s v="ISEL-1.2"/>
    <n v="1"/>
    <s v="NO TIENE L3OUT"/>
    <n v="192"/>
    <n v="54"/>
  </r>
  <r>
    <n v="816"/>
    <x v="2"/>
    <x v="183"/>
    <s v="eth1/2"/>
    <x v="0"/>
    <x v="0"/>
    <x v="0"/>
    <s v="LINK_TO_ITHFHWCBSPSUSBD07 /10GE.1 /Principal"/>
    <x v="0"/>
    <b v="0"/>
    <s v="No está en VPC"/>
    <n v="816"/>
    <s v="INTPG_VPC_816_1.2_821_1.2"/>
    <s v="ISEL-1.2"/>
    <n v="1"/>
    <s v="NO TIENE L3OUT"/>
    <n v="0"/>
    <n v="54"/>
  </r>
  <r>
    <n v="825"/>
    <x v="2"/>
    <x v="184"/>
    <s v="eth1/2"/>
    <x v="0"/>
    <x v="0"/>
    <x v="0"/>
    <s v="LINK_TO_ITHHWD6K60015DKC01 /CtrlA_IOM1.P0 /Principal"/>
    <x v="0"/>
    <b v="0"/>
    <s v="No está en VPC"/>
    <n v="825"/>
    <s v="INTPG_ACC_825_1.2"/>
    <s v="ISEL-1.2"/>
    <n v="1"/>
    <s v="NO TIENE L3OUT"/>
    <n v="72"/>
    <n v="54"/>
  </r>
  <r>
    <n v="800"/>
    <x v="2"/>
    <x v="185"/>
    <s v="eth1/2"/>
    <x v="0"/>
    <x v="0"/>
    <x v="0"/>
    <s v="TO-ITHFHWSEQLGISS01-MSP"/>
    <x v="0"/>
    <b v="0"/>
    <s v="No está en VPC"/>
    <n v="800"/>
    <s v="INTPG_ACC_800_1.2"/>
    <s v="ISEL-1.2"/>
    <n v="1"/>
    <s v="NO TIENE L3OUT"/>
    <n v="78"/>
    <n v="54"/>
  </r>
  <r>
    <n v="801"/>
    <x v="2"/>
    <x v="186"/>
    <s v="eth1/2"/>
    <x v="0"/>
    <x v="0"/>
    <x v="0"/>
    <s v="TO-ITHFHWSEQLGISS01-MSP"/>
    <x v="0"/>
    <b v="0"/>
    <s v="No está en VPC"/>
    <n v="801"/>
    <s v="INTPG_ACC_801_1.2"/>
    <s v="ISEL-1.2"/>
    <n v="1"/>
    <s v="NO TIENE L3OUT"/>
    <n v="78"/>
    <n v="54"/>
  </r>
  <r>
    <n v="823"/>
    <x v="2"/>
    <x v="187"/>
    <s v="eth1/2"/>
    <x v="0"/>
    <x v="0"/>
    <x v="0"/>
    <s v="LINK_TO_ITHFHWCBSPSWR30 /Slot5.1 /Redundante"/>
    <x v="0"/>
    <b v="0"/>
    <s v="No está en VPC"/>
    <n v="823"/>
    <s v="INTPG_VPC_818_1.2_823_1.2"/>
    <s v="ISEL-1.2"/>
    <n v="1"/>
    <s v="NO TIENE L3OUT"/>
    <n v="8"/>
    <n v="54"/>
  </r>
  <r>
    <n v="837"/>
    <x v="2"/>
    <x v="188"/>
    <s v="eth1/2"/>
    <x v="0"/>
    <x v="0"/>
    <x v="0"/>
    <s v="LINK_TO_ITHFHWCBSPSHDCTL05 / Slot1.1_12 / Principal"/>
    <x v="0"/>
    <b v="0"/>
    <s v="No está en VPC"/>
    <n v="837"/>
    <s v="INTPG_VPC_837_1.2_842_1.2"/>
    <s v="ISEL-1.2"/>
    <n v="2"/>
    <s v="NO TIENE L3OUT"/>
    <n v="8"/>
    <n v="54"/>
  </r>
  <r>
    <n v="867"/>
    <x v="2"/>
    <x v="189"/>
    <s v="eth1/2"/>
    <x v="0"/>
    <x v="0"/>
    <x v="0"/>
    <s v="To_VPC_2DCBSD_WR38_1"/>
    <x v="0"/>
    <b v="0"/>
    <s v="No está en VPC"/>
    <n v="867"/>
    <s v="INTPG_VPC_862_1.2_867_1.2"/>
    <s v="ISEL-1.2"/>
    <n v="2"/>
    <s v="NO TIENE L3OUT"/>
    <n v="44"/>
    <n v="54"/>
  </r>
  <r>
    <n v="829"/>
    <x v="2"/>
    <x v="190"/>
    <s v="eth1/2"/>
    <x v="0"/>
    <x v="0"/>
    <x v="0"/>
    <s v="LINK_TO_ITHFHWCRMDLCN28 /Slot5.1 /Redundante"/>
    <x v="0"/>
    <b v="0"/>
    <s v="No está en VPC"/>
    <n v="829"/>
    <s v="INTPG_ACC_829_1.2"/>
    <s v="ISEL-1.2"/>
    <n v="2"/>
    <s v="NO TIENE L3OUT"/>
    <n v="224"/>
    <n v="54"/>
  </r>
  <r>
    <n v="831"/>
    <x v="2"/>
    <x v="191"/>
    <s v="eth1/2"/>
    <x v="0"/>
    <x v="0"/>
    <x v="0"/>
    <s v="LINK_TO_ITHFHWCBSDSWR22 /Slot5.1 /Redundante"/>
    <x v="0"/>
    <b v="0"/>
    <s v="No está en VPC"/>
    <n v="831"/>
    <s v="INTPG_VPC_827_1.2_831_1.2"/>
    <s v="ISEL-1.2"/>
    <n v="1"/>
    <s v="NO TIENE L3OUT"/>
    <n v="14"/>
    <n v="54"/>
  </r>
  <r>
    <n v="802"/>
    <x v="2"/>
    <x v="192"/>
    <s v="eth1/2"/>
    <x v="0"/>
    <x v="0"/>
    <x v="0"/>
    <s v="TO-HDPS_04-MSP"/>
    <x v="0"/>
    <b v="0"/>
    <s v="No está en VPC"/>
    <n v="802"/>
    <s v="INTPG_ACC_802_1.2"/>
    <s v="ISEL-1.2"/>
    <n v="1"/>
    <s v="NO TIENE L3OUT"/>
    <n v="48"/>
    <n v="54"/>
  </r>
  <r>
    <n v="835"/>
    <x v="2"/>
    <x v="193"/>
    <s v="eth1/2"/>
    <x v="0"/>
    <x v="0"/>
    <x v="0"/>
    <s v="LINK_TO_ITHFHWCBSPSUSBD36 / Slot1.2_8 / Principal"/>
    <x v="0"/>
    <b v="0"/>
    <s v="No está en VPC"/>
    <n v="835"/>
    <s v="INTPG_VPC_835_1.2_840_1.2"/>
    <s v="ISEL-1.2"/>
    <n v="1"/>
    <s v="NO TIENE L3OUT"/>
    <n v="8"/>
    <n v="54"/>
  </r>
  <r>
    <n v="822"/>
    <x v="2"/>
    <x v="194"/>
    <s v="eth1/2"/>
    <x v="0"/>
    <x v="0"/>
    <x v="0"/>
    <s v="LINK_TO_ITHFHWCBSPSWR22 /Slot5.1 /Redundante"/>
    <x v="0"/>
    <b v="0"/>
    <s v="No está en VPC"/>
    <n v="822"/>
    <s v="INTPG_VPC_817_1.2_822_1.2"/>
    <s v="ISEL-1.2"/>
    <n v="1"/>
    <s v="NO TIENE L3OUT"/>
    <n v="0"/>
    <n v="54"/>
  </r>
  <r>
    <n v="854"/>
    <x v="2"/>
    <x v="195"/>
    <s v="eth1/2"/>
    <x v="0"/>
    <x v="0"/>
    <x v="0"/>
    <s v="LINK_TO_ITHFHWCRMPSBDA05 / Slot7.2_4 / Redundante"/>
    <x v="0"/>
    <b v="0"/>
    <s v="No está en VPC"/>
    <n v="854"/>
    <s v="INTPG_VPC_847_1.2_854_1.2"/>
    <s v="ISEL-1.2"/>
    <n v="2"/>
    <s v="NO TIENE L3OUT"/>
    <n v="204"/>
    <n v="54"/>
  </r>
  <r>
    <n v="858"/>
    <x v="2"/>
    <x v="196"/>
    <s v="eth1/2"/>
    <x v="0"/>
    <x v="0"/>
    <x v="0"/>
    <s v="To_VPC_2DCBSD_HD37_2"/>
    <x v="0"/>
    <b v="0"/>
    <s v="No está en VPC"/>
    <n v="858"/>
    <s v="INTPG_VPC_858_1.2_863_1.2"/>
    <s v="ISEL-1.2"/>
    <n v="1"/>
    <s v="NO TIENE L3OUT"/>
    <n v="8"/>
    <n v="54"/>
  </r>
  <r>
    <n v="857"/>
    <x v="2"/>
    <x v="197"/>
    <s v="eth1/2"/>
    <x v="0"/>
    <x v="0"/>
    <x v="0"/>
    <s v="LINK_TO_ITHFHWCRMPLCN151 / Slot1.1_36 / Principal"/>
    <x v="0"/>
    <b v="0"/>
    <s v="No está en VPC"/>
    <n v="857"/>
    <s v="INTPG_ACC_857_1.2"/>
    <s v="ISEL-1.2"/>
    <n v="6"/>
    <s v="NO TIENE L3OUT"/>
    <n v="288"/>
    <n v="54"/>
  </r>
  <r>
    <n v="859"/>
    <x v="2"/>
    <x v="198"/>
    <s v="eth1/2"/>
    <x v="0"/>
    <x v="0"/>
    <x v="0"/>
    <s v="To_VPC_2DCBSD_HD31_2"/>
    <x v="0"/>
    <b v="0"/>
    <s v="No está en VPC"/>
    <n v="859"/>
    <s v="INTPG_VPC_859_1.2_864_1.2"/>
    <s v="ISEL-1.2"/>
    <n v="1"/>
    <s v="NO TIENE L3OUT"/>
    <n v="0"/>
    <n v="54"/>
  </r>
  <r>
    <n v="833"/>
    <x v="2"/>
    <x v="199"/>
    <s v="eth1/2"/>
    <x v="0"/>
    <x v="0"/>
    <x v="0"/>
    <s v="LINK_TO_ITHFHWCRMDLCN28 /10GE.1 /Principal"/>
    <x v="0"/>
    <b v="0"/>
    <s v="No está en VPC"/>
    <n v="833"/>
    <s v="INTPG_ACC_833_1.2"/>
    <s v="ISEL-1.2"/>
    <n v="2"/>
    <s v="NO TIENE L3OUT"/>
    <n v="224"/>
    <n v="54"/>
  </r>
  <r>
    <n v="818"/>
    <x v="2"/>
    <x v="200"/>
    <s v="eth1/2"/>
    <x v="0"/>
    <x v="0"/>
    <x v="0"/>
    <s v="LINK_TO_ITHFHWCBSPSWR30 /10GE.1 /Principal"/>
    <x v="0"/>
    <b v="0"/>
    <s v="No está en VPC"/>
    <n v="818"/>
    <s v="INTPG_VPC_818_1.2_823_1.2"/>
    <s v="ISEL-1.2"/>
    <n v="1"/>
    <s v="NO TIENE L3OUT"/>
    <n v="8"/>
    <n v="54"/>
  </r>
  <r>
    <n v="850"/>
    <x v="2"/>
    <x v="201"/>
    <s v="eth1/2"/>
    <x v="0"/>
    <x v="0"/>
    <x v="0"/>
    <s v="LINK_TO_ITHFHWCRMPLCN151 / Slot7.1_36 / Redundante"/>
    <x v="0"/>
    <b v="0"/>
    <s v="No está en VPC"/>
    <n v="850"/>
    <s v="INTPG_ACC_850_1.2"/>
    <s v="ISEL-1.2"/>
    <n v="6"/>
    <s v="NO TIENE L3OUT"/>
    <n v="288"/>
    <n v="54"/>
  </r>
  <r>
    <n v="860"/>
    <x v="2"/>
    <x v="202"/>
    <s v="eth1/2"/>
    <x v="0"/>
    <x v="0"/>
    <x v="0"/>
    <s v="To_VPC_2DCBSD_WR52_2"/>
    <x v="0"/>
    <b v="0"/>
    <s v="No está en VPC"/>
    <n v="860"/>
    <s v="INTPG_VPC_860_1.2_865_1.2"/>
    <s v="ISEL-1.2"/>
    <n v="1"/>
    <s v="NO TIENE L3OUT"/>
    <n v="0"/>
    <n v="54"/>
  </r>
  <r>
    <n v="853"/>
    <x v="2"/>
    <x v="203"/>
    <s v="eth1/2"/>
    <x v="0"/>
    <x v="0"/>
    <x v="0"/>
    <s v="VPC_2DCRMP_BDP05_3"/>
    <x v="0"/>
    <b v="0"/>
    <s v="No está en VPC"/>
    <n v="853"/>
    <s v="INTPG_VPC_846_1.2_853_1.2"/>
    <s v="ISEL-1.2"/>
    <n v="1"/>
    <s v="NO TIENE L3OUT"/>
    <n v="242"/>
    <n v="54"/>
  </r>
  <r>
    <n v="790"/>
    <x v="2"/>
    <x v="204"/>
    <s v="eth1/2"/>
    <x v="0"/>
    <x v="0"/>
    <x v="0"/>
    <s v="LAGU2020R5"/>
    <x v="0"/>
    <b v="0"/>
    <s v="No está en VPC"/>
    <n v="790"/>
    <s v="INTPG_VPC_790_1.2_4_791_1.1_3"/>
    <s v="ISEL-1.2"/>
    <n v="1"/>
    <s v="NO TIENE L3OUT"/>
    <n v="20"/>
    <n v="54"/>
  </r>
  <r>
    <n v="105"/>
    <x v="0"/>
    <x v="205"/>
    <s v="eth1/2"/>
    <x v="0"/>
    <x v="1"/>
    <x v="1"/>
    <s v="DESC"/>
    <x v="6"/>
    <b v="0"/>
    <s v="No está en VPC"/>
    <n v="105"/>
    <s v="INTPG_PC_105_1.1-4_32-35"/>
    <s v="ISEL-1.2"/>
    <n v="17"/>
    <s v="NO TIENE L3OUT"/>
    <n v="106"/>
    <n v="96"/>
  </r>
  <r>
    <n v="117"/>
    <x v="0"/>
    <x v="206"/>
    <s v="eth1/2"/>
    <x v="0"/>
    <x v="0"/>
    <x v="0"/>
    <s v="TO-LENOVOSR530"/>
    <x v="6"/>
    <b v="0"/>
    <s v="No está en VPC"/>
    <n v="117"/>
    <s v="INTPG_ACC_117_1.2"/>
    <s v="ISEL-1.2"/>
    <n v="1"/>
    <s v="NO TIENE L3OUT"/>
    <n v="4"/>
    <n v="96"/>
  </r>
  <r>
    <n v="104"/>
    <x v="0"/>
    <x v="207"/>
    <s v="eth1/2"/>
    <x v="0"/>
    <x v="1"/>
    <x v="1"/>
    <s v="SFLDI"/>
    <x v="6"/>
    <b v="0"/>
    <s v="No está en VPC"/>
    <n v="104"/>
    <s v="INTPG_ACC_104_1.2"/>
    <s v="ISEL-1.2"/>
    <n v="1"/>
    <s v="NO TIENE L3OUT"/>
    <n v="194"/>
    <n v="96"/>
  </r>
  <r>
    <n v="158"/>
    <x v="0"/>
    <x v="208"/>
    <s v="eth1/2"/>
    <x v="0"/>
    <x v="0"/>
    <x v="0"/>
    <s v="ARIESO_GEOLOCALIZACION"/>
    <x v="6"/>
    <b v="0"/>
    <s v="No está en VPC"/>
    <n v="158"/>
    <s v="INTPG_ACC_158_1.2"/>
    <s v="ISEL-1.2"/>
    <n v="1"/>
    <s v="NO TIENE L3OUT"/>
    <n v="30"/>
    <n v="96"/>
  </r>
  <r>
    <n v="875"/>
    <x v="2"/>
    <x v="209"/>
    <s v="eth1/2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2"/>
    <x v="0"/>
    <x v="0"/>
    <x v="0"/>
    <s v="HACIA_CSI-A-OSCP-F4-10_PRINCIPAL"/>
    <x v="4"/>
    <b v="0"/>
    <s v="No está en VPC"/>
    <n v="879"/>
    <s v="INTPG_VPC_878_1.2_879_1.2"/>
    <s v="ISEL-1.2"/>
    <n v="2"/>
    <s v="NO TIENE L3OUT"/>
    <n v="0"/>
    <n v="54"/>
  </r>
  <r>
    <n v="108"/>
    <x v="0"/>
    <x v="211"/>
    <s v="eth1/2"/>
    <x v="0"/>
    <x v="1"/>
    <x v="1"/>
    <m/>
    <x v="6"/>
    <b v="0"/>
    <s v="No está en VPC"/>
    <n v="108"/>
    <s v="INTPG_ACC_108_1.2"/>
    <s v="ISEL-1.2"/>
    <n v="1"/>
    <s v="NO TIENE L3OUT"/>
    <n v="126"/>
    <n v="96"/>
  </r>
  <r>
    <n v="112"/>
    <x v="0"/>
    <x v="212"/>
    <s v="eth1/2"/>
    <x v="0"/>
    <x v="0"/>
    <x v="0"/>
    <s v="CFD"/>
    <x v="6"/>
    <b v="0"/>
    <s v="No está en VPC"/>
    <n v="112"/>
    <s v="INTPG_ACC_112_1.2"/>
    <s v="ISEL-1.2"/>
    <n v="1"/>
    <s v="NO TIENE L3OUT"/>
    <n v="144"/>
    <n v="96"/>
  </r>
  <r>
    <n v="107"/>
    <x v="0"/>
    <x v="213"/>
    <s v="eth1/2"/>
    <x v="0"/>
    <x v="0"/>
    <x v="0"/>
    <m/>
    <x v="6"/>
    <b v="0"/>
    <s v="No está en VPC"/>
    <n v="107"/>
    <s v="INTPG_ACC_107_1.2"/>
    <s v="ISEL-1.2"/>
    <n v="1"/>
    <s v="NO TIENE L3OUT"/>
    <n v="118"/>
    <n v="96"/>
  </r>
  <r>
    <n v="109"/>
    <x v="0"/>
    <x v="214"/>
    <s v="eth1/2"/>
    <x v="0"/>
    <x v="0"/>
    <x v="0"/>
    <m/>
    <x v="6"/>
    <b v="0"/>
    <s v="No está en VPC"/>
    <n v="109"/>
    <s v="INTPG_ACC_109_1.2"/>
    <s v="ISEL-1.2"/>
    <n v="1"/>
    <s v="NO TIENE L3OUT"/>
    <n v="126"/>
    <n v="96"/>
  </r>
  <r>
    <n v="113"/>
    <x v="0"/>
    <x v="215"/>
    <s v="eth1/2"/>
    <x v="0"/>
    <x v="0"/>
    <x v="0"/>
    <s v="ASAP"/>
    <x v="6"/>
    <b v="0"/>
    <s v="No está en VPC"/>
    <n v="113"/>
    <s v="INTPG_ACC_113_1.2"/>
    <s v="ISEL-1.2"/>
    <n v="1"/>
    <s v="NO TIENE L3OUT"/>
    <n v="52"/>
    <n v="96"/>
  </r>
  <r>
    <n v="114"/>
    <x v="0"/>
    <x v="216"/>
    <s v="eth1/2"/>
    <x v="0"/>
    <x v="0"/>
    <x v="0"/>
    <s v="CFD"/>
    <x v="6"/>
    <b v="0"/>
    <s v="No está en VPC"/>
    <n v="114"/>
    <s v="INTPG_ACC_114_1.2"/>
    <s v="ISEL-1.2"/>
    <n v="1"/>
    <s v="NO TIENE L3OUT"/>
    <n v="144"/>
    <n v="96"/>
  </r>
  <r>
    <n v="124"/>
    <x v="0"/>
    <x v="217"/>
    <s v="eth1/2"/>
    <x v="1"/>
    <x v="1"/>
    <x v="2"/>
    <s v="OSSDD890 Rack1"/>
    <x v="6"/>
    <b v="0"/>
    <s v="No está en VPC"/>
    <n v="124"/>
    <s v="INTPG_ACC_124_1.2"/>
    <s v="ISEL-1.2"/>
    <n v="1"/>
    <s v="NO TIENE L3OUT"/>
    <n v="80"/>
    <n v="96"/>
  </r>
  <r>
    <n v="118"/>
    <x v="0"/>
    <x v="218"/>
    <s v="eth1/2"/>
    <x v="0"/>
    <x v="1"/>
    <x v="1"/>
    <s v="UXWEPD38"/>
    <x v="6"/>
    <b v="0"/>
    <s v="No está en VPC"/>
    <n v="118"/>
    <s v="INTPG_ACC_118_1.2"/>
    <s v="ISEL-1.2"/>
    <n v="1"/>
    <s v="NO TIENE L3OUT"/>
    <n v="180"/>
    <n v="96"/>
  </r>
  <r>
    <n v="159"/>
    <x v="0"/>
    <x v="219"/>
    <s v="eth1/2"/>
    <x v="0"/>
    <x v="1"/>
    <x v="1"/>
    <s v="TRAP"/>
    <x v="6"/>
    <b v="0"/>
    <s v="No está en VPC"/>
    <n v="159"/>
    <s v="INTPG_PC_159_1.2-7"/>
    <s v="ISEL-1.2"/>
    <n v="12"/>
    <s v="NO TIENE L3OUT"/>
    <n v="72"/>
    <n v="96"/>
  </r>
  <r>
    <n v="840"/>
    <x v="2"/>
    <x v="220"/>
    <s v="eth1/2"/>
    <x v="0"/>
    <x v="0"/>
    <x v="0"/>
    <s v="LINK_TO_ITHFHWCBSPSUSBD36 / Slot7.2_8 / Redundante"/>
    <x v="0"/>
    <b v="0"/>
    <s v="No está en VPC"/>
    <n v="840"/>
    <s v="INTPG_VPC_835_1.2_840_1.2"/>
    <s v="ISEL-1.2"/>
    <n v="1"/>
    <s v="NO TIENE L3OUT"/>
    <n v="8"/>
    <n v="54"/>
  </r>
  <r>
    <n v="856"/>
    <x v="2"/>
    <x v="221"/>
    <s v="eth1/2"/>
    <x v="0"/>
    <x v="0"/>
    <x v="0"/>
    <s v="LINK_TO_ITHFHWCRMPLCN135 / Slot1.1_4 / Principal"/>
    <x v="0"/>
    <b v="0"/>
    <s v="No está en VPC"/>
    <n v="856"/>
    <s v="INTPG_ACC_856_1.2"/>
    <s v="ISEL-1.2"/>
    <n v="6"/>
    <s v="NO TIENE L3OUT"/>
    <n v="286"/>
    <n v="54"/>
  </r>
  <r>
    <n v="110"/>
    <x v="0"/>
    <x v="222"/>
    <s v="eth1/2"/>
    <x v="0"/>
    <x v="0"/>
    <x v="0"/>
    <s v="OCUDR_1"/>
    <x v="6"/>
    <b v="0"/>
    <s v="No está en VPC"/>
    <n v="110"/>
    <s v="INTPG_ACC_110_1.2"/>
    <s v="ISEL-1.2"/>
    <n v="1"/>
    <s v="NO TIENE L3OUT"/>
    <n v="102"/>
    <n v="96"/>
  </r>
  <r>
    <n v="163"/>
    <x v="0"/>
    <x v="223"/>
    <s v="eth1/2"/>
    <x v="0"/>
    <x v="0"/>
    <x v="0"/>
    <m/>
    <x v="6"/>
    <b v="0"/>
    <s v="No está en VPC"/>
    <n v="163"/>
    <s v="INTPG_PC_163_1.2-6"/>
    <s v="ISEL-1.2"/>
    <n v="1"/>
    <s v="NO TIENE L3OUT"/>
    <n v="140"/>
    <n v="96"/>
  </r>
  <r>
    <n v="407"/>
    <x v="1"/>
    <x v="224"/>
    <s v="eth1/2"/>
    <x v="0"/>
    <x v="0"/>
    <x v="0"/>
    <s v="RLR2ARI01"/>
    <x v="6"/>
    <b v="0"/>
    <s v="No está en VPC"/>
    <n v="407"/>
    <s v="INTPG_ACC_407_1.2"/>
    <s v="ISEL-1.2"/>
    <n v="1"/>
    <s v="NO TIENE L3OUT"/>
    <n v="122"/>
    <n v="96"/>
  </r>
  <r>
    <n v="171"/>
    <x v="0"/>
    <x v="225"/>
    <s v="eth1/2"/>
    <x v="0"/>
    <x v="0"/>
    <x v="0"/>
    <s v="GSM_ENIQ_GDL_R6"/>
    <x v="6"/>
    <b v="0"/>
    <s v="No está en VPC"/>
    <n v="171"/>
    <s v="INTPG_VPC_171_1.2_172_1.3"/>
    <s v="ISEL-1.2"/>
    <n v="10"/>
    <s v="NO TIENE L3OUT"/>
    <n v="114"/>
    <n v="96"/>
  </r>
  <r>
    <n v="421"/>
    <x v="1"/>
    <x v="226"/>
    <s v="eth1/2"/>
    <x v="0"/>
    <x v="0"/>
    <x v="0"/>
    <s v="Prime-UCS-CLU2-B_client_LAG2_CISCOPRIME"/>
    <x v="6"/>
    <b v="0"/>
    <s v="No está en VPC"/>
    <n v="421"/>
    <s v="INTPG_VPC_419_1.2_421_1.2"/>
    <s v="ISEL-1.2"/>
    <n v="3"/>
    <s v="NO TIENE L3OUT"/>
    <n v="72"/>
    <n v="96"/>
  </r>
  <r>
    <n v="173"/>
    <x v="0"/>
    <x v="227"/>
    <s v="eth1/2"/>
    <x v="1"/>
    <x v="1"/>
    <x v="2"/>
    <s v="HUB_SMS_SVA"/>
    <x v="6"/>
    <b v="0"/>
    <s v="No está en VPC"/>
    <n v="173"/>
    <s v="INTPG_VPC_126_1.1-2_173_1.1-2"/>
    <s v="ISEL-1.2"/>
    <n v="3"/>
    <s v="NO TIENE L3OUT"/>
    <n v="66"/>
    <n v="96"/>
  </r>
  <r>
    <n v="154"/>
    <x v="0"/>
    <x v="228"/>
    <s v="eth1/2"/>
    <x v="0"/>
    <x v="0"/>
    <x v="0"/>
    <s v="Precios DEUR"/>
    <x v="6"/>
    <b v="0"/>
    <s v="No está en VPC"/>
    <n v="154"/>
    <s v="INTPG_ACC_154_1.2"/>
    <s v="ISEL-1.2"/>
    <n v="1"/>
    <s v="NO TIENE L3OUT"/>
    <n v="62"/>
    <n v="96"/>
  </r>
  <r>
    <n v="172"/>
    <x v="0"/>
    <x v="229"/>
    <s v="eth1/2"/>
    <x v="0"/>
    <x v="1"/>
    <x v="1"/>
    <s v="OSS 3G 12.2 DATOS "/>
    <x v="6"/>
    <b v="0"/>
    <s v="No está en VPC"/>
    <n v="172"/>
    <s v="INTPG_ACC_172_1.2"/>
    <s v="ISEL-1.2"/>
    <n v="1"/>
    <s v="NO TIENE L3OUT"/>
    <n v="104"/>
    <n v="96"/>
  </r>
  <r>
    <n v="420"/>
    <x v="1"/>
    <x v="230"/>
    <s v="eth1/2"/>
    <x v="0"/>
    <x v="0"/>
    <x v="0"/>
    <s v="junos_space2"/>
    <x v="6"/>
    <b v="0"/>
    <s v="No está en VPC"/>
    <n v="420"/>
    <s v="INTPG_ACC_420_1.2"/>
    <s v="ISEL-1.2"/>
    <n v="1"/>
    <s v="NO TIENE L3OUT"/>
    <n v="158"/>
    <n v="96"/>
  </r>
  <r>
    <n v="423"/>
    <x v="1"/>
    <x v="231"/>
    <s v="eth1/2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2"/>
    <x v="0"/>
    <x v="0"/>
    <x v="0"/>
    <s v="TO-SERVICE AVAILABILITY2-REDUNDANTE"/>
    <x v="6"/>
    <b v="0"/>
    <s v="No está en VPC"/>
    <n v="415"/>
    <s v="INTPG_ACC_415_1.2"/>
    <s v="ISEL-1.2"/>
    <n v="1"/>
    <s v="NO TIENE L3OUT"/>
    <n v="52"/>
    <n v="96"/>
  </r>
  <r>
    <n v="102"/>
    <x v="0"/>
    <x v="233"/>
    <s v="eth1/2"/>
    <x v="0"/>
    <x v="1"/>
    <x v="1"/>
    <s v="SFLDI_RLDISTG01_1"/>
    <x v="6"/>
    <b v="0"/>
    <s v="No está en VPC"/>
    <n v="102"/>
    <s v="INTPG_ACC_102_1.2"/>
    <s v="ISEL-1.2"/>
    <n v="1"/>
    <s v="NO TIENE L3OUT"/>
    <n v="228"/>
    <n v="96"/>
  </r>
  <r>
    <n v="863"/>
    <x v="2"/>
    <x v="234"/>
    <s v="eth1/2"/>
    <x v="0"/>
    <x v="0"/>
    <x v="0"/>
    <s v="To_VPC_2DCBSD_HD37_2"/>
    <x v="0"/>
    <b v="0"/>
    <s v="No está en VPC"/>
    <n v="863"/>
    <s v="INTPG_VPC_858_1.2_863_1.2"/>
    <s v="ISEL-1.2"/>
    <n v="1"/>
    <s v="NO TIENE L3OUT"/>
    <n v="8"/>
    <n v="54"/>
  </r>
  <r>
    <n v="876"/>
    <x v="2"/>
    <x v="235"/>
    <s v="eth1/2"/>
    <x v="0"/>
    <x v="0"/>
    <x v="0"/>
    <s v="LINK_TO_ITHFHWSEQLHDPS71 / Slot 4 PTO 1 / Principal"/>
    <x v="4"/>
    <b v="0"/>
    <s v="No está en VPC"/>
    <n v="876"/>
    <s v="INTPG_ACC_876_1.2"/>
    <s v="ISEL-1.2"/>
    <n v="1"/>
    <s v="NO TIENE L3OUT"/>
    <n v="92"/>
    <n v="54"/>
  </r>
  <r>
    <n v="877"/>
    <x v="2"/>
    <x v="236"/>
    <s v="eth1/2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2"/>
    <x v="0"/>
    <x v="0"/>
    <x v="0"/>
    <s v="RACK2-NZTF24"/>
    <x v="6"/>
    <b v="0"/>
    <s v="No está en VPC"/>
    <n v="122"/>
    <s v="INTPG_ACC_122_1.2"/>
    <s v="ISEL-1.2"/>
    <n v="1"/>
    <s v="NO TIENE L3OUT"/>
    <n v="148"/>
    <n v="96"/>
  </r>
  <r>
    <n v="157"/>
    <x v="0"/>
    <x v="238"/>
    <s v="eth1/2"/>
    <x v="1"/>
    <x v="1"/>
    <x v="2"/>
    <s v="Circulo Azul M5000"/>
    <x v="6"/>
    <b v="0"/>
    <s v="No está en VPC"/>
    <n v="157"/>
    <s v="INTPG_ACC_157_1.2"/>
    <s v="ISEL-1.2"/>
    <n v="0"/>
    <s v="NO TIENE L3OUT"/>
    <n v="202"/>
    <n v="96"/>
  </r>
  <r>
    <n v="408"/>
    <x v="1"/>
    <x v="239"/>
    <s v="eth1/2"/>
    <x v="1"/>
    <x v="1"/>
    <x v="2"/>
    <m/>
    <x v="6"/>
    <b v="0"/>
    <s v="No está en VPC"/>
    <n v="408"/>
    <s v="NO EXISTE PG"/>
    <s v="NO EXISTE ISEL"/>
    <n v="0"/>
    <s v="NO TIENE L3OUT"/>
    <n v="152"/>
    <n v="96"/>
  </r>
  <r>
    <n v="405"/>
    <x v="1"/>
    <x v="240"/>
    <s v="eth1/2"/>
    <x v="0"/>
    <x v="0"/>
    <x v="0"/>
    <s v="IXT_ARIESO4_LDR2"/>
    <x v="6"/>
    <b v="0"/>
    <s v="No está en VPC"/>
    <n v="405"/>
    <s v="INTPG_ACC_405_1.2"/>
    <s v="ISEL-1.2"/>
    <n v="1"/>
    <s v="NO TIENE L3OUT"/>
    <n v="138"/>
    <n v="96"/>
  </r>
  <r>
    <n v="169"/>
    <x v="0"/>
    <x v="241"/>
    <s v="eth1/2"/>
    <x v="1"/>
    <x v="1"/>
    <x v="2"/>
    <s v="RBT"/>
    <x v="6"/>
    <b v="0"/>
    <s v="No está en VPC"/>
    <n v="169"/>
    <s v="INTPG_VPC_167_1.2-3_169_1.1-2"/>
    <s v="ISEL-1.2"/>
    <n v="3"/>
    <s v="NO TIENE L3OUT"/>
    <n v="76"/>
    <n v="96"/>
  </r>
  <r>
    <n v="165"/>
    <x v="0"/>
    <x v="242"/>
    <s v="eth1/2"/>
    <x v="0"/>
    <x v="1"/>
    <x v="1"/>
    <s v="DHCP_FACTEL "/>
    <x v="6"/>
    <b v="0"/>
    <s v="No está en VPC"/>
    <n v="165"/>
    <s v="INTPG_ACC_165_1.2"/>
    <s v="ISEL-1.2"/>
    <n v="1"/>
    <s v="NO TIENE L3OUT"/>
    <n v="86"/>
    <n v="96"/>
  </r>
  <r>
    <n v="417"/>
    <x v="1"/>
    <x v="243"/>
    <s v="eth1/2"/>
    <x v="0"/>
    <x v="0"/>
    <x v="0"/>
    <s v="To-uxingemc4 ldom1 uxinghdr2"/>
    <x v="6"/>
    <b v="0"/>
    <s v="No está en VPC"/>
    <n v="417"/>
    <s v="INTPG_ACC_417_1.2"/>
    <s v="ISEL-1.2"/>
    <n v="1"/>
    <s v="NO TIENE L3OUT"/>
    <n v="56"/>
    <n v="96"/>
  </r>
  <r>
    <n v="153"/>
    <x v="0"/>
    <x v="244"/>
    <s v="eth1/2"/>
    <x v="0"/>
    <x v="0"/>
    <x v="0"/>
    <s v="BLOQUEO EMEI"/>
    <x v="6"/>
    <b v="0"/>
    <s v="No está en VPC"/>
    <n v="153"/>
    <s v="INTPG_ACC_153_1.2"/>
    <s v="ISEL-1.2"/>
    <n v="1"/>
    <s v="NO TIENE L3OUT"/>
    <n v="42"/>
    <n v="96"/>
  </r>
  <r>
    <n v="119"/>
    <x v="0"/>
    <x v="245"/>
    <s v="eth1/2"/>
    <x v="1"/>
    <x v="1"/>
    <x v="2"/>
    <s v="DESC"/>
    <x v="6"/>
    <b v="0"/>
    <s v="No está en VPC"/>
    <n v="119"/>
    <s v="INTPG_PC_119_1.1-4_17-20"/>
    <s v="ISEL-1.2"/>
    <n v="31"/>
    <s v="NO TIENE L3OUT"/>
    <n v="70"/>
    <n v="96"/>
  </r>
  <r>
    <n v="156"/>
    <x v="0"/>
    <x v="246"/>
    <s v="eth1/2"/>
    <x v="0"/>
    <x v="0"/>
    <x v="0"/>
    <s v="ARIESO_GEOLOCALIZACION"/>
    <x v="6"/>
    <b v="0"/>
    <s v="No está en VPC"/>
    <n v="156"/>
    <s v="INTPG_ACC_156_1.2"/>
    <s v="ISEL-1.2"/>
    <n v="1"/>
    <s v="NO TIENE L3OUT"/>
    <n v="40"/>
    <n v="96"/>
  </r>
  <r>
    <n v="103"/>
    <x v="0"/>
    <x v="247"/>
    <s v="eth1/2"/>
    <x v="0"/>
    <x v="0"/>
    <x v="0"/>
    <s v="EHEALTH:ehealthp01:NET01"/>
    <x v="6"/>
    <b v="0"/>
    <s v="No está en VPC"/>
    <n v="103"/>
    <s v="INTPG_ACC_103_1.2"/>
    <s v="ISEL-1.2"/>
    <n v="1"/>
    <s v="NO TIENE L3OUT"/>
    <n v="70"/>
    <n v="96"/>
  </r>
  <r>
    <n v="438"/>
    <x v="1"/>
    <x v="248"/>
    <s v="eth1/2"/>
    <x v="0"/>
    <x v="0"/>
    <x v="0"/>
    <s v="uxdomaine"/>
    <x v="6"/>
    <b v="0"/>
    <s v="No está en VPC"/>
    <n v="438"/>
    <s v="INTPG_ACC_438_1.2"/>
    <s v="ISEL-1.2"/>
    <n v="1"/>
    <s v="NO TIENE L3OUT"/>
    <n v="170"/>
    <n v="96"/>
  </r>
  <r>
    <n v="406"/>
    <x v="1"/>
    <x v="249"/>
    <s v="eth1/2"/>
    <x v="0"/>
    <x v="0"/>
    <x v="0"/>
    <s v="Lag2_SMT"/>
    <x v="6"/>
    <b v="0"/>
    <s v="No está en VPC"/>
    <n v="406"/>
    <s v="INTPG_PC_406_1.1-2"/>
    <s v="ISEL-1.2"/>
    <n v="3"/>
    <s v="NO TIENE L3OUT"/>
    <n v="82"/>
    <n v="96"/>
  </r>
  <r>
    <n v="414"/>
    <x v="1"/>
    <x v="250"/>
    <s v="eth1/2"/>
    <x v="0"/>
    <x v="0"/>
    <x v="0"/>
    <s v="ITHRTCNBU1_1"/>
    <x v="6"/>
    <b v="0"/>
    <s v="No está en VPC"/>
    <n v="414"/>
    <s v="INTPG_ACC_414_1.2"/>
    <s v="ISEL-1.2"/>
    <n v="1"/>
    <s v="NO TIENE L3OUT"/>
    <n v="144"/>
    <n v="96"/>
  </r>
  <r>
    <n v="416"/>
    <x v="1"/>
    <x v="251"/>
    <s v="eth1/2"/>
    <x v="0"/>
    <x v="0"/>
    <x v="0"/>
    <s v="ITHRTC4AEN2VC2"/>
    <x v="6"/>
    <b v="0"/>
    <s v="No está en VPC"/>
    <n v="416"/>
    <s v="INTPG_VPC_416_1.2_418_1.2"/>
    <s v="ISEL-1.2"/>
    <n v="1"/>
    <s v="NO TIENE L3OUT"/>
    <n v="110"/>
    <n v="96"/>
  </r>
  <r>
    <n v="418"/>
    <x v="1"/>
    <x v="252"/>
    <s v="eth1/2"/>
    <x v="0"/>
    <x v="0"/>
    <x v="0"/>
    <s v="ITHRTC4AEN2VC2"/>
    <x v="6"/>
    <b v="0"/>
    <s v="No está en VPC"/>
    <n v="418"/>
    <s v="INTPG_VPC_416_1.2_418_1.2"/>
    <s v="ISEL-1.2"/>
    <n v="1"/>
    <s v="NO TIENE L3OUT"/>
    <n v="152"/>
    <n v="96"/>
  </r>
  <r>
    <n v="413"/>
    <x v="1"/>
    <x v="253"/>
    <s v="eth1/2"/>
    <x v="0"/>
    <x v="0"/>
    <x v="0"/>
    <s v="ECOSS"/>
    <x v="6"/>
    <b v="0"/>
    <s v="No está en VPC"/>
    <n v="413"/>
    <s v="INTPG_VPC_411_1.1-2_413_1.1-2"/>
    <s v="ISEL-1.2"/>
    <n v="6"/>
    <s v="NO TIENE L3OUT"/>
    <n v="126"/>
    <n v="96"/>
  </r>
  <r>
    <n v="403"/>
    <x v="1"/>
    <x v="254"/>
    <s v="eth1/2"/>
    <x v="0"/>
    <x v="0"/>
    <x v="0"/>
    <s v="IXT_ARIESO4_LDR2"/>
    <x v="6"/>
    <b v="0"/>
    <s v="No está en VPC"/>
    <n v="403"/>
    <s v="INTPG_ACC_403_1.2"/>
    <s v="ISEL-1.2"/>
    <n v="1"/>
    <s v="NO TIENE L3OUT"/>
    <n v="150"/>
    <n v="96"/>
  </r>
  <r>
    <n v="125"/>
    <x v="0"/>
    <x v="255"/>
    <s v="eth1/2"/>
    <x v="0"/>
    <x v="0"/>
    <x v="0"/>
    <s v="GSM_OSS_QRO_R6"/>
    <x v="6"/>
    <b v="0"/>
    <s v="No está en VPC"/>
    <n v="125"/>
    <s v="INTPG_VPC_124_1.3_125_1.2"/>
    <s v="ISEL-1.2"/>
    <n v="10"/>
    <s v="NO TIENE L3OUT"/>
    <n v="72"/>
    <n v="96"/>
  </r>
  <r>
    <n v="166"/>
    <x v="0"/>
    <x v="256"/>
    <s v="eth1/2"/>
    <x v="0"/>
    <x v="0"/>
    <x v="0"/>
    <s v="AMS500_Unity_MGMT"/>
    <x v="6"/>
    <b v="0"/>
    <s v="No está en VPC"/>
    <n v="166"/>
    <s v="INTPG_ACC_166_1.2"/>
    <s v="ISEL-1.2"/>
    <n v="1"/>
    <s v="NO TIENE L3OUT"/>
    <n v="84"/>
    <n v="96"/>
  </r>
  <r>
    <n v="111"/>
    <x v="0"/>
    <x v="257"/>
    <s v="eth1/2"/>
    <x v="0"/>
    <x v="0"/>
    <x v="0"/>
    <s v="OCUDR_1"/>
    <x v="6"/>
    <b v="0"/>
    <s v="No está en VPC"/>
    <n v="111"/>
    <s v="INTPG_ACC_111_1.2"/>
    <s v="ISEL-1.2"/>
    <n v="1"/>
    <s v="NO TIENE L3OUT"/>
    <n v="58"/>
    <n v="96"/>
  </r>
  <r>
    <n v="115"/>
    <x v="0"/>
    <x v="258"/>
    <s v="eth1/2"/>
    <x v="0"/>
    <x v="0"/>
    <x v="0"/>
    <s v="ASAP"/>
    <x v="6"/>
    <b v="0"/>
    <s v="No está en VPC"/>
    <n v="115"/>
    <s v="INTPG_ACC_115_1.2"/>
    <s v="ISEL-1.2"/>
    <n v="1"/>
    <s v="NO TIENE L3OUT"/>
    <n v="42"/>
    <n v="96"/>
  </r>
  <r>
    <n v="106"/>
    <x v="0"/>
    <x v="259"/>
    <s v="eth1/2"/>
    <x v="0"/>
    <x v="1"/>
    <x v="1"/>
    <s v="Consolidaci\u00f3n Aseguramiento de Ingresos "/>
    <x v="6"/>
    <b v="0"/>
    <s v="No está en VPC"/>
    <n v="106"/>
    <s v="INTPG_ACC_106_1.2"/>
    <s v="ISEL-1.2"/>
    <n v="1"/>
    <s v="NO TIENE L3OUT"/>
    <n v="122"/>
    <n v="96"/>
  </r>
  <r>
    <n v="126"/>
    <x v="0"/>
    <x v="260"/>
    <s v="eth1/2"/>
    <x v="0"/>
    <x v="0"/>
    <x v="0"/>
    <s v="HUB_SMS_SVA"/>
    <x v="6"/>
    <b v="0"/>
    <s v="No está en VPC"/>
    <n v="126"/>
    <s v="INTPG_VPC_126_1.1-2_173_1.1-2"/>
    <s v="ISEL-1.2"/>
    <n v="3"/>
    <s v="NO TIENE L3OUT"/>
    <n v="54"/>
    <n v="96"/>
  </r>
  <r>
    <n v="425"/>
    <x v="1"/>
    <x v="261"/>
    <s v="eth1/2"/>
    <x v="0"/>
    <x v="1"/>
    <x v="1"/>
    <s v="VTA_F5_eth1"/>
    <x v="6"/>
    <b v="0"/>
    <s v="No está en VPC"/>
    <n v="425"/>
    <s v="INTPG_ACC_425_1.2"/>
    <s v="ISEL-1.2"/>
    <n v="1"/>
    <s v="NO TIENE L3OUT"/>
    <n v="86"/>
    <n v="96"/>
  </r>
  <r>
    <n v="151"/>
    <x v="0"/>
    <x v="262"/>
    <s v="eth1/2"/>
    <x v="0"/>
    <x v="0"/>
    <x v="0"/>
    <s v="Gesti\u00f3n de los sistemas electromec\u00e1nicos de Ixtlahuaca"/>
    <x v="6"/>
    <b v="0"/>
    <s v="No está en VPC"/>
    <n v="151"/>
    <s v="INTPG_ACC_151_1.2"/>
    <s v="ISEL-1.2"/>
    <n v="1"/>
    <s v="NO TIENE L3OUT"/>
    <n v="86"/>
    <n v="96"/>
  </r>
  <r>
    <n v="430"/>
    <x v="1"/>
    <x v="263"/>
    <s v="eth1/2"/>
    <x v="0"/>
    <x v="0"/>
    <x v="0"/>
    <s v="DOC1_2"/>
    <x v="6"/>
    <b v="0"/>
    <s v="No está en VPC"/>
    <n v="430"/>
    <s v="INTPG_VPC_428_1.2_430_1.2"/>
    <s v="ISEL-1.2"/>
    <n v="1"/>
    <s v="NO TIENE L3OUT"/>
    <n v="86"/>
    <n v="96"/>
  </r>
  <r>
    <n v="419"/>
    <x v="1"/>
    <x v="264"/>
    <s v="eth1/2"/>
    <x v="0"/>
    <x v="0"/>
    <x v="0"/>
    <s v="Prime-UCS-CLU2-B_client_LAG2_CISCOPRIME"/>
    <x v="6"/>
    <b v="0"/>
    <s v="No está en VPC"/>
    <n v="419"/>
    <s v="INTPG_VPC_419_1.2_421_1.2"/>
    <s v="ISEL-1.2"/>
    <n v="3"/>
    <s v="NO TIENE L3OUT"/>
    <n v="70"/>
    <n v="96"/>
  </r>
  <r>
    <n v="155"/>
    <x v="0"/>
    <x v="265"/>
    <s v="eth1/2"/>
    <x v="0"/>
    <x v="0"/>
    <x v="0"/>
    <s v="UXINGE"/>
    <x v="6"/>
    <b v="0"/>
    <s v="No está en VPC"/>
    <n v="155"/>
    <s v="INTPG_ACC_155_1.2"/>
    <s v="ISEL-1.2"/>
    <n v="1"/>
    <s v="NO TIENE L3OUT"/>
    <n v="198"/>
    <n v="96"/>
  </r>
  <r>
    <n v="409"/>
    <x v="1"/>
    <x v="266"/>
    <s v="eth1/2"/>
    <x v="0"/>
    <x v="0"/>
    <x v="0"/>
    <s v="RLR2ARI06"/>
    <x v="6"/>
    <b v="0"/>
    <s v="No está en VPC"/>
    <n v="409"/>
    <s v="INTPG_ACC_409_1.2"/>
    <s v="ISEL-1.2"/>
    <n v="1"/>
    <s v="NO TIENE L3OUT"/>
    <n v="128"/>
    <n v="96"/>
  </r>
  <r>
    <n v="422"/>
    <x v="1"/>
    <x v="267"/>
    <s v="eth1/2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2"/>
    <x v="0"/>
    <x v="1"/>
    <x v="1"/>
    <s v="uxdomaine"/>
    <x v="6"/>
    <b v="0"/>
    <s v="No está en VPC"/>
    <n v="436"/>
    <s v="INTPG_ACC_436_1.2"/>
    <s v="ISEL-1.2"/>
    <n v="1"/>
    <s v="NO TIENE L3OUT"/>
    <n v="172"/>
    <n v="96"/>
  </r>
  <r>
    <n v="410"/>
    <x v="1"/>
    <x v="269"/>
    <s v="eth1/2"/>
    <x v="0"/>
    <x v="0"/>
    <x v="0"/>
    <s v="9UCS-IXTLA-WEBEX-SERV4"/>
    <x v="6"/>
    <b v="0"/>
    <s v="No está en VPC"/>
    <n v="410"/>
    <s v="INTPG_ACC_410_1.2"/>
    <s v="ISEL-1.2"/>
    <n v="1"/>
    <s v="NO TIENE L3OUT"/>
    <n v="178"/>
    <n v="96"/>
  </r>
  <r>
    <n v="161"/>
    <x v="0"/>
    <x v="270"/>
    <s v="eth1/2"/>
    <x v="0"/>
    <x v="0"/>
    <x v="0"/>
    <s v="IBM SICOD"/>
    <x v="6"/>
    <b v="0"/>
    <s v="No está en VPC"/>
    <n v="161"/>
    <s v="INTPG_ACC_161_1.2"/>
    <s v="ISEL-1.2"/>
    <n v="1"/>
    <s v="NO TIENE L3OUT"/>
    <n v="102"/>
    <n v="96"/>
  </r>
  <r>
    <n v="411"/>
    <x v="1"/>
    <x v="271"/>
    <s v="eth1/2"/>
    <x v="0"/>
    <x v="0"/>
    <x v="0"/>
    <s v="ECOSS"/>
    <x v="6"/>
    <b v="0"/>
    <s v="No está en VPC"/>
    <n v="411"/>
    <s v="INTPG_VPC_411_1.1-2_413_1.1-2"/>
    <s v="ISEL-1.2"/>
    <n v="6"/>
    <s v="NO TIENE L3OUT"/>
    <n v="96"/>
    <n v="96"/>
  </r>
  <r>
    <n v="116"/>
    <x v="0"/>
    <x v="272"/>
    <s v="eth1/2"/>
    <x v="0"/>
    <x v="1"/>
    <x v="1"/>
    <s v="UXWEPD38"/>
    <x v="6"/>
    <b v="0"/>
    <s v="No está en VPC"/>
    <n v="116"/>
    <s v="INTPG_ACC_116_1.2"/>
    <s v="ISEL-1.2"/>
    <n v="1"/>
    <s v="NO TIENE L3OUT"/>
    <n v="148"/>
    <n v="96"/>
  </r>
  <r>
    <n v="412"/>
    <x v="1"/>
    <x v="273"/>
    <s v="eth1/2"/>
    <x v="0"/>
    <x v="0"/>
    <x v="0"/>
    <s v="uxhdr01c"/>
    <x v="6"/>
    <b v="0"/>
    <s v="No está en VPC"/>
    <n v="412"/>
    <s v="INTPG_ACC_412_1.2"/>
    <s v="ISEL-1.2"/>
    <n v="1"/>
    <s v="NO TIENE L3OUT"/>
    <n v="126"/>
    <n v="96"/>
  </r>
  <r>
    <n v="120"/>
    <x v="0"/>
    <x v="274"/>
    <s v="eth1/2"/>
    <x v="0"/>
    <x v="0"/>
    <x v="0"/>
    <s v="RACK1-NZTF24"/>
    <x v="6"/>
    <b v="0"/>
    <s v="No está en VPC"/>
    <n v="120"/>
    <s v="INTPG_ACC_120_1.2"/>
    <s v="ISEL-1.2"/>
    <n v="1"/>
    <s v="NO TIENE L3OUT"/>
    <n v="158"/>
    <n v="96"/>
  </r>
  <r>
    <n v="404"/>
    <x v="1"/>
    <x v="275"/>
    <s v="eth1/2"/>
    <x v="0"/>
    <x v="1"/>
    <x v="6"/>
    <s v="Lag1_SMT"/>
    <x v="6"/>
    <b v="0"/>
    <s v="No está en VPC"/>
    <n v="404"/>
    <s v="INTPG_PC_404_1.1-2"/>
    <s v="ISEL-1.2"/>
    <n v="1"/>
    <s v="NO TIENE L3OUT"/>
    <n v="92"/>
    <n v="96"/>
  </r>
  <r>
    <n v="167"/>
    <x v="0"/>
    <x v="276"/>
    <s v="eth1/2"/>
    <x v="0"/>
    <x v="0"/>
    <x v="0"/>
    <s v="RBT"/>
    <x v="6"/>
    <b v="0"/>
    <s v="No está en VPC"/>
    <n v="167"/>
    <s v="INTPG_VPC_167_1.2-3_169_1.1-2"/>
    <s v="ISEL-1.2"/>
    <n v="3"/>
    <s v="NO TIENE L3OUT"/>
    <n v="68"/>
    <n v="96"/>
  </r>
  <r>
    <n v="428"/>
    <x v="1"/>
    <x v="277"/>
    <s v="eth1/2"/>
    <x v="0"/>
    <x v="0"/>
    <x v="0"/>
    <s v="DOC1_2"/>
    <x v="6"/>
    <b v="0"/>
    <s v="No está en VPC"/>
    <n v="428"/>
    <s v="INTPG_VPC_428_1.2_430_1.2"/>
    <s v="ISEL-1.2"/>
    <n v="1"/>
    <s v="NO TIENE L3OUT"/>
    <n v="102"/>
    <n v="96"/>
  </r>
  <r>
    <n v="903"/>
    <x v="2"/>
    <x v="278"/>
    <s v="eth1/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20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20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20"/>
    <x v="0"/>
    <x v="0"/>
    <x v="0"/>
    <s v="TO-ITHEMCDD69007641DKC0-INT1.4"/>
    <x v="1"/>
    <b v="0"/>
    <s v="No está en VPC"/>
    <n v="152"/>
    <s v="INTPG_ACC_152_1.20"/>
    <s v="ISEL-1.20"/>
    <n v="1"/>
    <s v="NO TIENE L3OUT"/>
    <n v="38"/>
    <n v="54"/>
  </r>
  <r>
    <n v="101"/>
    <x v="0"/>
    <x v="3"/>
    <s v="eth1/20"/>
    <x v="0"/>
    <x v="0"/>
    <x v="0"/>
    <s v="TO-ITHFHPNBURBKP01"/>
    <x v="0"/>
    <b v="0"/>
    <s v="No está en VPC"/>
    <n v="101"/>
    <s v="INTPG_VPC_101_1.20_150_1.20"/>
    <s v="ISEL-1.20"/>
    <n v="1"/>
    <s v="NO TIENE L3OUT"/>
    <n v="114"/>
    <n v="54"/>
  </r>
  <r>
    <n v="160"/>
    <x v="0"/>
    <x v="4"/>
    <s v="eth1/20"/>
    <x v="0"/>
    <x v="0"/>
    <x v="0"/>
    <m/>
    <x v="1"/>
    <b v="0"/>
    <s v="No está en VPC"/>
    <n v="160"/>
    <s v="INTPG_ACC_160_1.20"/>
    <s v="ISEL-1.20"/>
    <n v="1"/>
    <s v="NO TIENE L3OUT"/>
    <n v="68"/>
    <n v="54"/>
  </r>
  <r>
    <n v="121"/>
    <x v="0"/>
    <x v="5"/>
    <s v="eth1/20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20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20"/>
    <x v="0"/>
    <x v="0"/>
    <x v="0"/>
    <s v="CONSOLIDACION_ITHFOCCSLUAP02_PRINCIPAL"/>
    <x v="0"/>
    <b v="0"/>
    <s v="No está en VPC"/>
    <n v="401"/>
    <s v="INTPG_ACC_401_1.20"/>
    <s v="ISEL-1.20"/>
    <n v="1"/>
    <s v="NO TIENE L3OUT"/>
    <n v="40"/>
    <n v="54"/>
  </r>
  <r>
    <n v="402"/>
    <x v="1"/>
    <x v="8"/>
    <s v="eth1/20"/>
    <x v="0"/>
    <x v="0"/>
    <x v="0"/>
    <s v="CONSOLIDACION_ITHFOCCSLUAP02_REDUDANTE"/>
    <x v="0"/>
    <b v="0"/>
    <s v="No está en VPC"/>
    <n v="402"/>
    <s v="INTPG_ACC_402_1.20"/>
    <s v="ISEL-1.20"/>
    <n v="1"/>
    <s v="NO TIENE L3OUT"/>
    <n v="36"/>
    <n v="54"/>
  </r>
  <r>
    <n v="447"/>
    <x v="1"/>
    <x v="9"/>
    <s v="eth1/20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20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20"/>
    <x v="0"/>
    <x v="0"/>
    <x v="0"/>
    <s v="TO-ITHEMCDD99000569"/>
    <x v="0"/>
    <b v="0"/>
    <s v="No está en VPC"/>
    <n v="130"/>
    <s v="INTPG_VPC_130_1.20_131_1.20-21"/>
    <s v="ISEL-1.20"/>
    <n v="1"/>
    <s v="NO TIENE L3OUT"/>
    <n v="128"/>
    <n v="54"/>
  </r>
  <r>
    <n v="150"/>
    <x v="0"/>
    <x v="12"/>
    <s v="eth1/20"/>
    <x v="0"/>
    <x v="0"/>
    <x v="0"/>
    <s v="TO-ITHFHPNBURBKP01"/>
    <x v="0"/>
    <b v="0"/>
    <s v="No está en VPC"/>
    <n v="150"/>
    <s v="INTPG_VPC_101_1.20_150_1.20"/>
    <s v="ISEL-1.20"/>
    <n v="1"/>
    <s v="NO TIENE L3OUT"/>
    <n v="118"/>
    <n v="54"/>
  </r>
  <r>
    <n v="131"/>
    <x v="0"/>
    <x v="13"/>
    <s v="eth1/20"/>
    <x v="0"/>
    <x v="0"/>
    <x v="0"/>
    <s v="TO-ITHEMCDD99000569"/>
    <x v="0"/>
    <b v="0"/>
    <s v="No está en VPC"/>
    <n v="131"/>
    <s v="INTPG_VPC_130_1.20_131_1.20-21"/>
    <s v="ISEL-1.20"/>
    <n v="1"/>
    <s v="NO TIENE L3OUT"/>
    <n v="126"/>
    <n v="54"/>
  </r>
  <r>
    <n v="303"/>
    <x v="0"/>
    <x v="14"/>
    <s v="eth1/20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20"/>
    <x v="0"/>
    <x v="0"/>
    <x v="0"/>
    <s v="GRLK-EN03-LAG02"/>
    <x v="2"/>
    <b v="0"/>
    <s v="No está en VPC"/>
    <n v="758"/>
    <s v="INTPG_VPC_758_1.20_759_1.20"/>
    <s v="ISEL-1.20"/>
    <n v="145"/>
    <s v="NO TIENE L3OUT"/>
    <n v="0"/>
    <n v="42"/>
  </r>
  <r>
    <n v="759"/>
    <x v="2"/>
    <x v="16"/>
    <s v="eth1/20"/>
    <x v="0"/>
    <x v="0"/>
    <x v="0"/>
    <s v="GRLK-EN03-LAG02"/>
    <x v="2"/>
    <b v="0"/>
    <s v="No está en VPC"/>
    <n v="759"/>
    <s v="INTPG_VPC_758_1.20_759_1.20"/>
    <s v="ISEL-1.20"/>
    <n v="145"/>
    <s v="NO TIENE L3OUT"/>
    <n v="0"/>
    <n v="42"/>
  </r>
  <r>
    <n v="302"/>
    <x v="0"/>
    <x v="17"/>
    <s v="eth1/20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20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20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20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20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20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20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20"/>
    <x v="0"/>
    <x v="1"/>
    <x v="3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20"/>
    <x v="0"/>
    <x v="1"/>
    <x v="1"/>
    <m/>
    <x v="0"/>
    <b v="0"/>
    <s v="No está en VPC"/>
    <n v="725"/>
    <s v="INTPG-VPC_HDD99_724_1.19_725_1.20"/>
    <s v="ISEL-1.20"/>
    <n v="1"/>
    <s v="NO TIENE L3OUT"/>
    <n v="0"/>
    <n v="54"/>
  </r>
  <r>
    <n v="431"/>
    <x v="1"/>
    <x v="26"/>
    <s v="eth1/20"/>
    <x v="0"/>
    <x v="0"/>
    <x v="0"/>
    <s v="ZTE_HADOOP_produccion_client_LAG"/>
    <x v="0"/>
    <b v="0"/>
    <s v="No está en VPC"/>
    <n v="431"/>
    <s v="INTPG_VPC_431_1.18-21_448_1.18-21"/>
    <s v="ISEL-1.20"/>
    <n v="8"/>
    <s v="NO TIENE L3OUT"/>
    <n v="46"/>
    <n v="54"/>
  </r>
  <r>
    <n v="433"/>
    <x v="1"/>
    <x v="27"/>
    <s v="eth1/20"/>
    <x v="0"/>
    <x v="0"/>
    <x v="0"/>
    <s v="ITHRNCOP2ET01_IDRAC"/>
    <x v="1"/>
    <b v="0"/>
    <s v="No está en VPC"/>
    <n v="433"/>
    <s v="INTPG_ACC_433_1.20"/>
    <s v="ISEL-1.20"/>
    <n v="1"/>
    <s v="NO TIENE L3OUT"/>
    <n v="42"/>
    <n v="54"/>
  </r>
  <r>
    <n v="429"/>
    <x v="1"/>
    <x v="28"/>
    <s v="eth1/20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20"/>
    <x v="0"/>
    <x v="1"/>
    <x v="1"/>
    <s v="SecAnLG_Gb2_04-Colector_R9-SA_IXTSALG_H9SA"/>
    <x v="1"/>
    <b v="0"/>
    <s v="No está en VPC"/>
    <n v="432"/>
    <s v="INTPG_ACC_432_1.20"/>
    <s v="ISEL-1.20"/>
    <n v="1"/>
    <s v="NO TIENE L3OUT"/>
    <n v="54"/>
    <n v="54"/>
  </r>
  <r>
    <n v="442"/>
    <x v="1"/>
    <x v="30"/>
    <s v="eth1/20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20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20"/>
    <x v="0"/>
    <x v="1"/>
    <x v="3"/>
    <s v="CEM:ITHCEMG2NAM17:LOM P3"/>
    <x v="0"/>
    <b v="0"/>
    <s v="No está en VPC"/>
    <n v="707"/>
    <s v="INTPG_ACC_707_1.20"/>
    <s v="ISEL-1.20"/>
    <n v="1"/>
    <s v="NO TIENE L3OUT"/>
    <n v="54"/>
    <n v="54"/>
  </r>
  <r>
    <n v="712"/>
    <x v="2"/>
    <x v="33"/>
    <s v="eth1/20"/>
    <x v="0"/>
    <x v="1"/>
    <x v="5"/>
    <s v="CEM:ITHCEMA2AKF10:LOM  P2"/>
    <x v="0"/>
    <b v="0"/>
    <s v="No está en VPC"/>
    <n v="712"/>
    <s v="INTPG_VPC_713_1.19_712_1.20"/>
    <s v="ISEL-1.20"/>
    <n v="1"/>
    <s v="NO TIENE L3OUT"/>
    <n v="32"/>
    <n v="54"/>
  </r>
  <r>
    <n v="719"/>
    <x v="2"/>
    <x v="34"/>
    <s v="eth1/20"/>
    <x v="0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20"/>
    <x v="0"/>
    <x v="0"/>
    <x v="0"/>
    <m/>
    <x v="0"/>
    <b v="0"/>
    <s v="No está en VPC"/>
    <n v="715"/>
    <s v="INTPG-VPC_HDD30_716_1.19_715_1.20"/>
    <s v="ISEL-1.20"/>
    <n v="1"/>
    <s v="NO TIENE L3OUT"/>
    <n v="0"/>
    <n v="54"/>
  </r>
  <r>
    <n v="427"/>
    <x v="1"/>
    <x v="36"/>
    <s v="eth1/20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20"/>
    <x v="0"/>
    <x v="1"/>
    <x v="5"/>
    <s v="CEM:ITHCEMD2AKF10:LOM  P2"/>
    <x v="0"/>
    <b v="0"/>
    <s v="No está en VPC"/>
    <n v="711"/>
    <s v="INTPG_VPC_710_1.19_711_1.20"/>
    <s v="ISEL-1.20"/>
    <n v="1"/>
    <s v="NO TIENE L3OUT"/>
    <n v="16"/>
    <n v="54"/>
  </r>
  <r>
    <n v="716"/>
    <x v="2"/>
    <x v="38"/>
    <s v="eth1/20"/>
    <x v="0"/>
    <x v="0"/>
    <x v="0"/>
    <m/>
    <x v="0"/>
    <b v="0"/>
    <s v="No está en VPC"/>
    <n v="716"/>
    <s v="INTPG-VPC_SLR04_715_1.19_716_1.20"/>
    <s v="ISEL-1.20"/>
    <n v="1"/>
    <s v="NO TIENE L3OUT"/>
    <n v="0"/>
    <n v="54"/>
  </r>
  <r>
    <n v="702"/>
    <x v="2"/>
    <x v="39"/>
    <s v="eth1/20"/>
    <x v="0"/>
    <x v="0"/>
    <x v="0"/>
    <m/>
    <x v="0"/>
    <b v="0"/>
    <s v="No está en VPC"/>
    <n v="702"/>
    <s v="INTPG_VPC_701_1.19_702_1.20"/>
    <s v="ISEL-1.20"/>
    <n v="2"/>
    <s v="NO TIENE L3OUT"/>
    <n v="0"/>
    <n v="54"/>
  </r>
  <r>
    <n v="435"/>
    <x v="1"/>
    <x v="40"/>
    <s v="eth1/20"/>
    <x v="0"/>
    <x v="0"/>
    <x v="0"/>
    <s v="ITHRNCOP2ET01-ETH2"/>
    <x v="1"/>
    <b v="0"/>
    <s v="No está en VPC"/>
    <n v="435"/>
    <s v="INTPG_ACC_435_1.20"/>
    <s v="ISEL-1.20"/>
    <n v="1"/>
    <s v="NO TIENE L3OUT"/>
    <n v="34"/>
    <n v="54"/>
  </r>
  <r>
    <n v="446"/>
    <x v="1"/>
    <x v="41"/>
    <s v="eth1/20"/>
    <x v="0"/>
    <x v="0"/>
    <x v="0"/>
    <s v="TO-ITHFDLMCLWLCN01"/>
    <x v="0"/>
    <b v="0"/>
    <s v="No está en VPC"/>
    <n v="446"/>
    <s v="INTPG_VPC_446_1.20_444_1.19"/>
    <s v="ISEL-1.20"/>
    <n v="1"/>
    <s v="NO TIENE L3OUT"/>
    <n v="198"/>
    <n v="54"/>
  </r>
  <r>
    <n v="444"/>
    <x v="1"/>
    <x v="42"/>
    <s v="eth1/20"/>
    <x v="0"/>
    <x v="0"/>
    <x v="0"/>
    <m/>
    <x v="0"/>
    <b v="0"/>
    <s v="No está en VPC"/>
    <n v="444"/>
    <s v="INTPG_ACC_444_1.20"/>
    <s v="ISEL-1.20"/>
    <n v="9"/>
    <s v="NO TIENE L3OUT"/>
    <n v="234"/>
    <n v="54"/>
  </r>
  <r>
    <n v="701"/>
    <x v="2"/>
    <x v="43"/>
    <s v="eth1/20"/>
    <x v="0"/>
    <x v="0"/>
    <x v="0"/>
    <m/>
    <x v="0"/>
    <b v="0"/>
    <s v="No está en VPC"/>
    <n v="701"/>
    <s v="INTPG_VPC_702_1.19_701_1.20"/>
    <s v="ISEL-1.20"/>
    <n v="1"/>
    <s v="NO TIENE L3OUT"/>
    <n v="0"/>
    <n v="54"/>
  </r>
  <r>
    <n v="440"/>
    <x v="1"/>
    <x v="44"/>
    <s v="eth1/20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20"/>
    <x v="0"/>
    <x v="0"/>
    <x v="0"/>
    <s v="ZTE_HADOOP_produccion_client_LAG"/>
    <x v="0"/>
    <b v="0"/>
    <s v="No está en VPC"/>
    <n v="448"/>
    <s v="INTPG_VPC_431_1.18-21_448_1.18-21"/>
    <s v="ISEL-1.20"/>
    <n v="8"/>
    <s v="NO TIENE L3OUT"/>
    <n v="46"/>
    <n v="54"/>
  </r>
  <r>
    <n v="704"/>
    <x v="2"/>
    <x v="46"/>
    <s v="eth1/20"/>
    <x v="0"/>
    <x v="0"/>
    <x v="0"/>
    <m/>
    <x v="0"/>
    <b v="0"/>
    <s v="No está en VPC"/>
    <n v="704"/>
    <s v="INTPG_VPC_703_1.19_704_1.20"/>
    <s v="ISEL-1.20"/>
    <n v="1"/>
    <s v="NO TIENE L3OUT"/>
    <n v="0"/>
    <n v="54"/>
  </r>
  <r>
    <n v="729"/>
    <x v="2"/>
    <x v="47"/>
    <s v="eth1/20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20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20"/>
    <x v="0"/>
    <x v="0"/>
    <x v="0"/>
    <s v="HACIA_CSI-B-OSCP-F4-04_SECUNDARIO"/>
    <x v="4"/>
    <b v="0"/>
    <s v="No está en VPC"/>
    <n v="456"/>
    <s v="INTPG_VPC_454_1.20_456_1.20"/>
    <s v="ISEL-1.20"/>
    <n v="2"/>
    <s v="NO TIENE L3OUT"/>
    <n v="4"/>
    <n v="54"/>
  </r>
  <r>
    <n v="603"/>
    <x v="1"/>
    <x v="50"/>
    <s v="eth1/20"/>
    <x v="0"/>
    <x v="1"/>
    <x v="3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20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20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20"/>
    <x v="0"/>
    <x v="0"/>
    <x v="0"/>
    <s v="Server_Pre-R02-CBS-RH2288-04"/>
    <x v="0"/>
    <b v="0"/>
    <s v="No está en VPC"/>
    <n v="730"/>
    <s v="INTPG_ACC_730_1.20"/>
    <s v="ISEL-1.20"/>
    <n v="1"/>
    <s v="NO TIENE L3OUT"/>
    <n v="36"/>
    <n v="54"/>
  </r>
  <r>
    <n v="722"/>
    <x v="2"/>
    <x v="54"/>
    <s v="eth1/20"/>
    <x v="0"/>
    <x v="0"/>
    <x v="0"/>
    <m/>
    <x v="0"/>
    <b v="0"/>
    <s v="No está en VPC"/>
    <n v="722"/>
    <s v="INTPG-VPC_HDD111_723_1.19_722_1.20"/>
    <s v="ISEL-1.20"/>
    <n v="1"/>
    <s v="NO TIENE L3OUT"/>
    <n v="0"/>
    <n v="54"/>
  </r>
  <r>
    <n v="733"/>
    <x v="2"/>
    <x v="55"/>
    <s v="eth1/20"/>
    <x v="0"/>
    <x v="1"/>
    <x v="3"/>
    <s v="TEST"/>
    <x v="0"/>
    <b v="0"/>
    <s v="No está en VPC"/>
    <n v="733"/>
    <s v="INTPG_VPC_732_1.20_733_1.20"/>
    <s v="ISEL-1.20"/>
    <n v="0"/>
    <s v="NO TIENE L3OUT"/>
    <n v="0"/>
    <n v="54"/>
  </r>
  <r>
    <n v="755"/>
    <x v="2"/>
    <x v="56"/>
    <s v="eth1/20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20"/>
    <x v="0"/>
    <x v="0"/>
    <x v="0"/>
    <m/>
    <x v="0"/>
    <b v="0"/>
    <s v="No está en VPC"/>
    <n v="748"/>
    <s v="INTPG_ACC_748_1.20"/>
    <s v="ISEL-1.20"/>
    <n v="0"/>
    <s v="NO TIENE L3OUT"/>
    <n v="2"/>
    <n v="54"/>
  </r>
  <r>
    <n v="756"/>
    <x v="2"/>
    <x v="58"/>
    <s v="eth1/20"/>
    <x v="0"/>
    <x v="0"/>
    <x v="0"/>
    <s v="OSS F1:ithenmr06bl02nas2r9b:PCIe3 Slot 1/2"/>
    <x v="0"/>
    <b v="0"/>
    <s v="No está en VPC"/>
    <n v="756"/>
    <s v="INTPG_PC_756_1.19-20"/>
    <s v="ISEL-1.20"/>
    <n v="8"/>
    <s v="NO TIENE L3OUT"/>
    <n v="64"/>
    <n v="54"/>
  </r>
  <r>
    <n v="754"/>
    <x v="2"/>
    <x v="59"/>
    <s v="eth1/20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20"/>
    <x v="0"/>
    <x v="0"/>
    <x v="0"/>
    <m/>
    <x v="0"/>
    <b v="0"/>
    <s v="No está en VPC"/>
    <n v="751"/>
    <s v="INTPG_ACC_751_1.20"/>
    <s v="ISEL-1.20"/>
    <n v="0"/>
    <s v="NO TIENE L3OUT"/>
    <n v="0"/>
    <n v="54"/>
  </r>
  <r>
    <n v="769"/>
    <x v="2"/>
    <x v="61"/>
    <s v="eth1/20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20"/>
    <x v="0"/>
    <x v="0"/>
    <x v="0"/>
    <s v="CEM:ITHCEMB2AKF10:SLOT1 P1"/>
    <x v="5"/>
    <b v="0"/>
    <s v="No está en VPC"/>
    <n v="742"/>
    <s v="INTPG_ACC_742_1.20"/>
    <s v="ISEL-1.20"/>
    <n v="1"/>
    <s v="NO TIENE L3OUT"/>
    <n v="64"/>
    <n v="54"/>
  </r>
  <r>
    <n v="763"/>
    <x v="2"/>
    <x v="63"/>
    <s v="eth1/20"/>
    <x v="0"/>
    <x v="0"/>
    <x v="0"/>
    <s v="PAAS:ithhwosstpap005:FlexIO.1"/>
    <x v="0"/>
    <b v="0"/>
    <s v="No está en VPC"/>
    <n v="763"/>
    <s v="INTPG_VPC_762_1.20_763_1.20"/>
    <s v="ISEL-1.20"/>
    <n v="1"/>
    <s v="NO TIENE L3OUT"/>
    <n v="2"/>
    <n v="54"/>
  </r>
  <r>
    <n v="766"/>
    <x v="2"/>
    <x v="64"/>
    <s v="eth1/20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20"/>
    <x v="0"/>
    <x v="1"/>
    <x v="1"/>
    <m/>
    <x v="0"/>
    <b v="0"/>
    <s v="No está en VPC"/>
    <n v="760"/>
    <s v="INTPG_VPC_760_1.17-20_761_1.17-20"/>
    <s v="ISEL-1.20"/>
    <n v="0"/>
    <s v="L3OUT-EXACLOUD"/>
    <n v="0"/>
    <n v="54"/>
  </r>
  <r>
    <n v="752"/>
    <x v="2"/>
    <x v="66"/>
    <s v="eth1/20"/>
    <x v="0"/>
    <x v="0"/>
    <x v="0"/>
    <s v="PAAS:ithhwosstpap005:LOM PORT 1"/>
    <x v="0"/>
    <b v="0"/>
    <s v="No está en VPC"/>
    <n v="752"/>
    <s v="INTPG_VPC_747_1.20_752_1.20"/>
    <s v="ISEL-1.20"/>
    <n v="25"/>
    <s v="NO TIENE L3OUT"/>
    <n v="0"/>
    <n v="54"/>
  </r>
  <r>
    <n v="765"/>
    <x v="2"/>
    <x v="67"/>
    <s v="eth1/20"/>
    <x v="0"/>
    <x v="0"/>
    <x v="0"/>
    <s v="Portchannel_4_R6A"/>
    <x v="0"/>
    <b v="0"/>
    <s v="No está en VPC"/>
    <n v="765"/>
    <s v="INTPG_PC_765_1.19-20"/>
    <s v="ISEL-1.20"/>
    <n v="8"/>
    <s v="NO TIENE L3OUT"/>
    <n v="60"/>
    <n v="54"/>
  </r>
  <r>
    <n v="778"/>
    <x v="2"/>
    <x v="68"/>
    <s v="eth1/20"/>
    <x v="0"/>
    <x v="0"/>
    <x v="0"/>
    <s v="VERITAS:ITHFVECONNBST01 :10GbE"/>
    <x v="0"/>
    <b v="0"/>
    <s v="No está en VPC"/>
    <n v="778"/>
    <s v="INTPG_VPC_778_1.20-21_779_1.20-21"/>
    <s v="ISEL-1.20"/>
    <n v="2"/>
    <s v="NO TIENE L3OUT"/>
    <n v="26"/>
    <n v="54"/>
  </r>
  <r>
    <n v="780"/>
    <x v="2"/>
    <x v="69"/>
    <s v="eth1/20"/>
    <x v="0"/>
    <x v="0"/>
    <x v="0"/>
    <s v="CLOUD OPS:ithhwcop02en01:1E P1"/>
    <x v="0"/>
    <b v="0"/>
    <s v="No está en VPC"/>
    <n v="780"/>
    <s v="INTPG_VPC_780_1.20-21_26-27_781_1.20-21_26-27"/>
    <s v="ISEL-1.20"/>
    <n v="23"/>
    <s v="NO TIENE L3OUT"/>
    <n v="26"/>
    <n v="54"/>
  </r>
  <r>
    <n v="812"/>
    <x v="2"/>
    <x v="70"/>
    <s v="eth1/20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20"/>
    <x v="0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20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20"/>
    <x v="0"/>
    <x v="0"/>
    <x v="0"/>
    <m/>
    <x v="0"/>
    <b v="0"/>
    <s v="No está en VPC"/>
    <n v="749"/>
    <s v="INTPG_ACC_749_1.20"/>
    <s v="ISEL-1.20"/>
    <n v="0"/>
    <s v="NO TIENE L3OUT"/>
    <n v="4"/>
    <n v="54"/>
  </r>
  <r>
    <n v="824"/>
    <x v="2"/>
    <x v="74"/>
    <s v="eth1/20"/>
    <x v="0"/>
    <x v="0"/>
    <x v="0"/>
    <s v="LINK_TO_ITHFHWCMVWPMA12 /Slot7.2 /Redundante"/>
    <x v="0"/>
    <b v="0"/>
    <s v="No está en VPC"/>
    <n v="824"/>
    <s v="INTPG_ACC_824_1.20"/>
    <s v="ISEL-1.20"/>
    <n v="1"/>
    <s v="NO TIENE L3OUT"/>
    <n v="70"/>
    <n v="54"/>
  </r>
  <r>
    <n v="819"/>
    <x v="2"/>
    <x v="75"/>
    <s v="eth1/20"/>
    <x v="0"/>
    <x v="0"/>
    <x v="0"/>
    <s v="LINK_TO_ITHFHWCMVWPMA12 /Slot5.2 /Principal"/>
    <x v="0"/>
    <b v="0"/>
    <s v="No está en VPC"/>
    <n v="819"/>
    <s v="INTPG_ACC_819_1.20"/>
    <s v="ISEL-1.20"/>
    <n v="1"/>
    <s v="NO TIENE L3OUT"/>
    <n v="70"/>
    <n v="54"/>
  </r>
  <r>
    <n v="737"/>
    <x v="2"/>
    <x v="76"/>
    <s v="eth1/20"/>
    <x v="0"/>
    <x v="0"/>
    <x v="0"/>
    <s v="CEM:ITHCEME2RTB10:SLOT1 P1"/>
    <x v="5"/>
    <b v="0"/>
    <s v="No está en VPC"/>
    <n v="737"/>
    <s v="INTPG_ACC_737_1.20"/>
    <s v="ISEL-1.20"/>
    <n v="1"/>
    <s v="NO TIENE L3OUT"/>
    <n v="72"/>
    <n v="54"/>
  </r>
  <r>
    <n v="844"/>
    <x v="2"/>
    <x v="77"/>
    <s v="eth1/20"/>
    <x v="0"/>
    <x v="0"/>
    <x v="0"/>
    <s v="LINK_TO_ITHFHWCRMPLCN107 / Slot1.2_18 / Principal"/>
    <x v="0"/>
    <b v="0"/>
    <s v="No está en VPC"/>
    <n v="844"/>
    <s v="INTPG_ACC_844_1.20"/>
    <s v="ISEL-1.20"/>
    <n v="2"/>
    <s v="NO TIENE L3OUT"/>
    <n v="282"/>
    <n v="54"/>
  </r>
  <r>
    <n v="843"/>
    <x v="2"/>
    <x v="78"/>
    <s v="eth1/20"/>
    <x v="0"/>
    <x v="0"/>
    <x v="0"/>
    <s v="LINK_To_ITHFHWCBSPSWR41 / Slot7.3_26 / Redundante"/>
    <x v="0"/>
    <b v="0"/>
    <s v="No está en VPC"/>
    <n v="843"/>
    <s v="INTPG_VPC_838_1.20_843_1.20"/>
    <s v="ISEL-1.20"/>
    <n v="1"/>
    <s v="NO TIENE L3OUT"/>
    <n v="38"/>
    <n v="54"/>
  </r>
  <r>
    <n v="797"/>
    <x v="2"/>
    <x v="79"/>
    <s v="eth1/20"/>
    <x v="0"/>
    <x v="0"/>
    <x v="0"/>
    <s v="TO-HDPS_22-MSP"/>
    <x v="0"/>
    <b v="0"/>
    <s v="No está en VPC"/>
    <n v="797"/>
    <s v="INTPG_ACC_797_1.20"/>
    <s v="ISEL-1.20"/>
    <n v="1"/>
    <s v="NO TIENE L3OUT"/>
    <n v="48"/>
    <n v="54"/>
  </r>
  <r>
    <n v="839"/>
    <x v="2"/>
    <x v="80"/>
    <s v="eth1/20"/>
    <x v="0"/>
    <x v="0"/>
    <x v="0"/>
    <s v="LINK_TO_ITHFHWCBSPSWR64 / Slot7.2_16 / Redundante"/>
    <x v="0"/>
    <b v="0"/>
    <s v="No está en VPC"/>
    <n v="839"/>
    <s v="INTPG_VPC_834_1.20_839_1.20"/>
    <s v="ISEL-1.20"/>
    <n v="1"/>
    <s v="NO TIENE L3OUT"/>
    <n v="0"/>
    <n v="54"/>
  </r>
  <r>
    <n v="847"/>
    <x v="2"/>
    <x v="81"/>
    <s v="eth1/20"/>
    <x v="0"/>
    <x v="0"/>
    <x v="0"/>
    <s v="LINK_TO_ITHFHWCRMPLCN172 / Slot7.1_14 / Redundante"/>
    <x v="0"/>
    <b v="0"/>
    <s v="No está en VPC"/>
    <n v="847"/>
    <s v="INTPG_ACC_847_1.20"/>
    <s v="ISEL-1.20"/>
    <n v="6"/>
    <s v="NO TIENE L3OUT"/>
    <n v="204"/>
    <n v="54"/>
  </r>
  <r>
    <n v="848"/>
    <x v="2"/>
    <x v="82"/>
    <s v="eth1/20"/>
    <x v="0"/>
    <x v="0"/>
    <x v="0"/>
    <s v="LINK_TO_ITHFHWCRMPLCN161 / Slot7.1_24 / Redundante"/>
    <x v="0"/>
    <b v="0"/>
    <s v="No está en VPC"/>
    <n v="848"/>
    <s v="INTPG_ACC_848_1.20"/>
    <s v="ISEL-1.20"/>
    <n v="6"/>
    <s v="NO TIENE L3OUT"/>
    <n v="254"/>
    <n v="54"/>
  </r>
  <r>
    <n v="846"/>
    <x v="2"/>
    <x v="83"/>
    <s v="eth1/20"/>
    <x v="0"/>
    <x v="0"/>
    <x v="0"/>
    <s v="LINK_TO_ITHFHWCRMPLCN78 / Slot1.2_14 / Principal"/>
    <x v="0"/>
    <b v="0"/>
    <s v="No está en VPC"/>
    <n v="846"/>
    <s v="INTPG_ACC_846_1.20"/>
    <s v="ISEL-1.20"/>
    <n v="2"/>
    <s v="NO TIENE L3OUT"/>
    <n v="242"/>
    <n v="54"/>
  </r>
  <r>
    <n v="838"/>
    <x v="2"/>
    <x v="84"/>
    <s v="eth1/20"/>
    <x v="0"/>
    <x v="0"/>
    <x v="0"/>
    <s v="LINK_To_ITHFHWCBSPSWR41 / Slot1.3_26 / Principal"/>
    <x v="0"/>
    <b v="0"/>
    <s v="No está en VPC"/>
    <n v="838"/>
    <s v="INTPG_VPC_838_1.20_843_1.20"/>
    <s v="ISEL-1.20"/>
    <n v="1"/>
    <s v="NO TIENE L3OUT"/>
    <n v="38"/>
    <n v="54"/>
  </r>
  <r>
    <n v="849"/>
    <x v="2"/>
    <x v="85"/>
    <s v="eth1/20"/>
    <x v="0"/>
    <x v="0"/>
    <x v="0"/>
    <s v="LINK_TO_ITHFHWCRMPLCN141 / Slot7.1_16 / Redundante"/>
    <x v="0"/>
    <b v="0"/>
    <s v="No está en VPC"/>
    <n v="849"/>
    <s v="INTPG_ACC_849_1.20"/>
    <s v="ISEL-1.20"/>
    <n v="6"/>
    <s v="NO TIENE L3OUT"/>
    <n v="286"/>
    <n v="54"/>
  </r>
  <r>
    <n v="845"/>
    <x v="2"/>
    <x v="86"/>
    <s v="eth1/20"/>
    <x v="0"/>
    <x v="0"/>
    <x v="0"/>
    <s v="LINK_TO_ITHFHWCRMPLCN90 / Slot1.3_12 / Principal"/>
    <x v="0"/>
    <b v="0"/>
    <s v="No está en VPC"/>
    <n v="845"/>
    <s v="INTPG_ACC_845_1.20"/>
    <s v="ISEL-1.20"/>
    <n v="1"/>
    <s v="NO TIENE L3OUT"/>
    <n v="258"/>
    <n v="54"/>
  </r>
  <r>
    <n v="873"/>
    <x v="2"/>
    <x v="87"/>
    <s v="eth1/20"/>
    <x v="0"/>
    <x v="0"/>
    <x v="0"/>
    <s v="TO_ITHFHWCRMDLCN59_Principal"/>
    <x v="0"/>
    <b v="0"/>
    <s v="No está en VPC"/>
    <n v="873"/>
    <s v="INTPG_ACC_873_1.20"/>
    <s v="ISEL-1.20"/>
    <n v="1"/>
    <s v="NO TIENE L3OUT"/>
    <n v="248"/>
    <n v="54"/>
  </r>
  <r>
    <n v="864"/>
    <x v="2"/>
    <x v="88"/>
    <s v="eth1/20"/>
    <x v="0"/>
    <x v="0"/>
    <x v="0"/>
    <s v="To_VPC_2DCBSD_TL06_2"/>
    <x v="0"/>
    <b v="0"/>
    <s v="No está en VPC"/>
    <n v="864"/>
    <s v="INTPG_VPC_859_1.20_864_1.20"/>
    <s v="ISEL-1.20"/>
    <n v="1"/>
    <s v="NO TIENE L3OUT"/>
    <n v="0"/>
    <n v="54"/>
  </r>
  <r>
    <n v="836"/>
    <x v="2"/>
    <x v="89"/>
    <s v="eth1/20"/>
    <x v="0"/>
    <x v="0"/>
    <x v="0"/>
    <s v="LINK_TO_ITHFHWCBSPSWR52 / Slot1.1_32 / Principal"/>
    <x v="0"/>
    <b v="0"/>
    <s v="No está en VPC"/>
    <n v="836"/>
    <s v="INTPG_VPC_836_1.20_841_1.20"/>
    <s v="ISEL-1.20"/>
    <n v="2"/>
    <s v="NO TIENE L3OUT"/>
    <n v="0"/>
    <n v="54"/>
  </r>
  <r>
    <n v="834"/>
    <x v="2"/>
    <x v="90"/>
    <s v="eth1/20"/>
    <x v="0"/>
    <x v="0"/>
    <x v="0"/>
    <s v="LINK_TO_ITHFHWCBSPSWR64 / Slot1.2_16 / Principal"/>
    <x v="0"/>
    <b v="0"/>
    <s v="No está en VPC"/>
    <n v="834"/>
    <s v="INTPG_VPC_834_1.20_839_1.20"/>
    <s v="ISEL-1.20"/>
    <n v="1"/>
    <s v="NO TIENE L3OUT"/>
    <n v="0"/>
    <n v="54"/>
  </r>
  <r>
    <n v="872"/>
    <x v="2"/>
    <x v="91"/>
    <s v="eth1/20"/>
    <x v="0"/>
    <x v="0"/>
    <x v="0"/>
    <s v="To_ITHFHWCRMDLCN75_Principal"/>
    <x v="0"/>
    <b v="0"/>
    <s v="No está en VPC"/>
    <n v="872"/>
    <s v="INTPG_ACC_872_1.20"/>
    <s v="ISEL-1.20"/>
    <n v="1"/>
    <s v="NO TIENE L3OUT"/>
    <n v="288"/>
    <n v="54"/>
  </r>
  <r>
    <n v="842"/>
    <x v="2"/>
    <x v="92"/>
    <s v="eth1/20"/>
    <x v="0"/>
    <x v="0"/>
    <x v="0"/>
    <s v="LINK_TO_ITHFHWCBSPSWR46 / Slot7.1_28 / Redundante"/>
    <x v="0"/>
    <b v="0"/>
    <s v="No está en VPC"/>
    <n v="842"/>
    <s v="INTPG_VPC_837_1.20_842_1.20"/>
    <s v="ISEL-1.20"/>
    <n v="2"/>
    <s v="NO TIENE L3OUT"/>
    <n v="8"/>
    <n v="54"/>
  </r>
  <r>
    <n v="828"/>
    <x v="2"/>
    <x v="93"/>
    <s v="eth1/20"/>
    <x v="0"/>
    <x v="0"/>
    <x v="0"/>
    <s v="LINK_TO_ITHFHWCRMDLCN22 /Slot5.2 /Principal"/>
    <x v="0"/>
    <b v="0"/>
    <s v="No está en VPC"/>
    <n v="828"/>
    <s v="INTPG_ACC_828_1.20"/>
    <s v="ISEL-1.20"/>
    <n v="5"/>
    <s v="NO TIENE L3OUT"/>
    <n v="192"/>
    <n v="54"/>
  </r>
  <r>
    <n v="870"/>
    <x v="2"/>
    <x v="94"/>
    <s v="eth1/20"/>
    <x v="0"/>
    <x v="0"/>
    <x v="0"/>
    <s v="TO_ITHFHWCRMDLCN59_Redundante"/>
    <x v="0"/>
    <b v="0"/>
    <s v="No está en VPC"/>
    <n v="870"/>
    <s v="INTPG_ACC_870_1.20"/>
    <s v="ISEL-1.20"/>
    <n v="1"/>
    <s v="NO TIENE L3OUT"/>
    <n v="248"/>
    <n v="54"/>
  </r>
  <r>
    <n v="866"/>
    <x v="2"/>
    <x v="95"/>
    <s v="eth1/20"/>
    <x v="0"/>
    <x v="0"/>
    <x v="0"/>
    <s v="To_VPC_2DCBSD_HD23_1"/>
    <x v="0"/>
    <b v="0"/>
    <s v="No está en VPC"/>
    <n v="866"/>
    <s v="INTPG_VPC_861_1.20_866_1.20"/>
    <s v="ISEL-1.20"/>
    <n v="2"/>
    <s v="NO TIENE L3OUT"/>
    <n v="8"/>
    <n v="54"/>
  </r>
  <r>
    <n v="862"/>
    <x v="2"/>
    <x v="96"/>
    <s v="eth1/20"/>
    <x v="0"/>
    <x v="0"/>
    <x v="0"/>
    <s v="TO-9S_BESDR_IXTLA3_1"/>
    <x v="0"/>
    <b v="0"/>
    <s v="No está en VPC"/>
    <n v="862"/>
    <s v="INTPG_VPC_862_1.20-23_867_1.20-23"/>
    <s v="ISEL-1.20"/>
    <n v="25"/>
    <s v="NO TIENE L3OUT"/>
    <n v="44"/>
    <n v="54"/>
  </r>
  <r>
    <n v="855"/>
    <x v="2"/>
    <x v="97"/>
    <s v="eth1/20"/>
    <x v="0"/>
    <x v="0"/>
    <x v="0"/>
    <s v="LINK_TO_ITHFHWCRMPLCN161 / Slot1.1_24 / Principal"/>
    <x v="0"/>
    <b v="0"/>
    <s v="No está en VPC"/>
    <n v="855"/>
    <s v="INTPG_ACC_855_1.20"/>
    <s v="ISEL-1.20"/>
    <n v="6"/>
    <s v="NO TIENE L3OUT"/>
    <n v="254"/>
    <n v="54"/>
  </r>
  <r>
    <n v="871"/>
    <x v="2"/>
    <x v="98"/>
    <s v="eth1/20"/>
    <x v="0"/>
    <x v="0"/>
    <x v="0"/>
    <s v="TO_ITHFHWCRMDLCN87_Principal"/>
    <x v="0"/>
    <b v="0"/>
    <s v="No está en VPC"/>
    <n v="871"/>
    <s v="INTPG_ACC_871_1.20"/>
    <s v="ISEL-1.20"/>
    <n v="2"/>
    <s v="NO TIENE L3OUT"/>
    <n v="246"/>
    <n v="54"/>
  </r>
  <r>
    <n v="841"/>
    <x v="2"/>
    <x v="99"/>
    <s v="eth1/20"/>
    <x v="0"/>
    <x v="0"/>
    <x v="0"/>
    <s v="LINK_TO_ITHFHWCBSPSWR52 / Slot7.1_32 / Redundante"/>
    <x v="0"/>
    <b v="0"/>
    <s v="No está en VPC"/>
    <n v="841"/>
    <s v="INTPG_VPC_836_1.20_841_1.20"/>
    <s v="ISEL-1.20"/>
    <n v="2"/>
    <s v="NO TIENE L3OUT"/>
    <n v="0"/>
    <n v="54"/>
  </r>
  <r>
    <n v="868"/>
    <x v="2"/>
    <x v="100"/>
    <s v="eth1/20"/>
    <x v="0"/>
    <x v="0"/>
    <x v="0"/>
    <s v="TO_ITHFHWCRMDLCN87_Redundante"/>
    <x v="0"/>
    <b v="0"/>
    <s v="No está en VPC"/>
    <n v="868"/>
    <s v="INTPG_ACC_868_1.20"/>
    <s v="ISEL-1.20"/>
    <n v="2"/>
    <s v="NO TIENE L3OUT"/>
    <n v="246"/>
    <n v="54"/>
  </r>
  <r>
    <n v="869"/>
    <x v="2"/>
    <x v="101"/>
    <s v="eth1/20"/>
    <x v="0"/>
    <x v="0"/>
    <x v="0"/>
    <s v="To_ITHFHWCRMDLCN75_Redundante"/>
    <x v="0"/>
    <b v="0"/>
    <s v="No está en VPC"/>
    <n v="869"/>
    <s v="INTPG_ACC_869_1.20"/>
    <s v="ISEL-1.20"/>
    <n v="1"/>
    <s v="NO TIENE L3OUT"/>
    <n v="288"/>
    <n v="54"/>
  </r>
  <r>
    <n v="861"/>
    <x v="2"/>
    <x v="102"/>
    <s v="eth1/20"/>
    <x v="0"/>
    <x v="0"/>
    <x v="0"/>
    <s v="To_VPC_2DCBSD_HD23_1"/>
    <x v="0"/>
    <b v="0"/>
    <s v="No está en VPC"/>
    <n v="861"/>
    <s v="INTPG_VPC_861_1.20_866_1.20"/>
    <s v="ISEL-1.20"/>
    <n v="2"/>
    <s v="NO TIENE L3OUT"/>
    <n v="8"/>
    <n v="54"/>
  </r>
  <r>
    <n v="874"/>
    <x v="2"/>
    <x v="103"/>
    <s v="eth1/20"/>
    <x v="0"/>
    <x v="0"/>
    <x v="0"/>
    <s v="A_ITHFHWSEQLCAS19_Redundante"/>
    <x v="4"/>
    <b v="0"/>
    <s v="No está en VPC"/>
    <n v="874"/>
    <s v="INTPG_ACC_874_1.20"/>
    <s v="ISEL-1.20"/>
    <n v="1"/>
    <s v="NO TIENE L3OUT"/>
    <n v="92"/>
    <n v="54"/>
  </r>
  <r>
    <n v="865"/>
    <x v="2"/>
    <x v="104"/>
    <s v="eth1/20"/>
    <x v="0"/>
    <x v="0"/>
    <x v="0"/>
    <s v="To_VPC_2DCBSD_HD29_2"/>
    <x v="0"/>
    <b v="0"/>
    <s v="No está en VPC"/>
    <n v="865"/>
    <s v="INTPG_VPC_860_1.20_865_1.20"/>
    <s v="ISEL-1.20"/>
    <n v="1"/>
    <s v="NO TIENE L3OUT"/>
    <n v="0"/>
    <n v="54"/>
  </r>
  <r>
    <n v="753"/>
    <x v="2"/>
    <x v="105"/>
    <s v="eth1/20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20"/>
    <x v="0"/>
    <x v="1"/>
    <x v="5"/>
    <s v="CEM:ITHCEME2RTB10:LOM  P2"/>
    <x v="0"/>
    <b v="0"/>
    <s v="No está en VPC"/>
    <n v="708"/>
    <s v="INTPG_VPC_708_1.20_709_1.19"/>
    <s v="ISEL-1.20"/>
    <n v="1"/>
    <s v="NO TIENE L3OUT"/>
    <n v="0"/>
    <n v="54"/>
  </r>
  <r>
    <n v="710"/>
    <x v="2"/>
    <x v="107"/>
    <s v="eth1/20"/>
    <x v="0"/>
    <x v="1"/>
    <x v="5"/>
    <s v="CEM:ITHCEMC2AKF10:LOM  P2"/>
    <x v="0"/>
    <b v="0"/>
    <s v="No está en VPC"/>
    <n v="710"/>
    <s v="INTPG_VPC_710_1.20_711_1.19"/>
    <s v="ISEL-1.20"/>
    <n v="1"/>
    <s v="NO TIENE L3OUT"/>
    <n v="16"/>
    <n v="54"/>
  </r>
  <r>
    <n v="713"/>
    <x v="2"/>
    <x v="108"/>
    <s v="eth1/20"/>
    <x v="0"/>
    <x v="1"/>
    <x v="5"/>
    <s v="CEM:ITHCEMB2ADT10:LOM  P2"/>
    <x v="0"/>
    <b v="0"/>
    <s v="No está en VPC"/>
    <n v="713"/>
    <s v="INTPG_VPC_712_1.19_713_1.20"/>
    <s v="ISEL-1.20"/>
    <n v="1"/>
    <s v="NO TIENE L3OUT"/>
    <n v="32"/>
    <n v="54"/>
  </r>
  <r>
    <n v="735"/>
    <x v="2"/>
    <x v="109"/>
    <s v="eth1/20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20"/>
    <x v="0"/>
    <x v="0"/>
    <x v="0"/>
    <s v="Server_Pre-R02-CBS-RH2288-04"/>
    <x v="0"/>
    <b v="0"/>
    <s v="No está en VPC"/>
    <n v="731"/>
    <s v="INTPG_ACC_731_1.20"/>
    <s v="ISEL-1.20"/>
    <n v="1"/>
    <s v="NO TIENE L3OUT"/>
    <n v="38"/>
    <n v="54"/>
  </r>
  <r>
    <n v="703"/>
    <x v="2"/>
    <x v="111"/>
    <s v="eth1/20"/>
    <x v="0"/>
    <x v="0"/>
    <x v="0"/>
    <m/>
    <x v="0"/>
    <b v="0"/>
    <s v="No está en VPC"/>
    <n v="703"/>
    <s v="INTPG_VPC_704_1.19_703_1.20"/>
    <s v="ISEL-1.20"/>
    <n v="1"/>
    <s v="NO TIENE L3OUT"/>
    <n v="2"/>
    <n v="54"/>
  </r>
  <r>
    <n v="706"/>
    <x v="2"/>
    <x v="112"/>
    <s v="eth1/20"/>
    <x v="0"/>
    <x v="0"/>
    <x v="0"/>
    <m/>
    <x v="0"/>
    <b v="0"/>
    <s v="No está en VPC"/>
    <n v="706"/>
    <s v="INTPG_VPC_705_1.19_706_1.20"/>
    <s v="ISEL-1.20"/>
    <n v="1"/>
    <s v="NO TIENE L3OUT"/>
    <n v="16"/>
    <n v="54"/>
  </r>
  <r>
    <n v="762"/>
    <x v="2"/>
    <x v="113"/>
    <s v="eth1/20"/>
    <x v="0"/>
    <x v="0"/>
    <x v="0"/>
    <s v="PAAS:ithhwosstpap005:LOM PORT 3"/>
    <x v="0"/>
    <b v="0"/>
    <s v="No está en VPC"/>
    <n v="762"/>
    <s v="INTPG_VPC_762_1.20_763_1.20"/>
    <s v="ISEL-1.20"/>
    <n v="1"/>
    <s v="NO TIENE L3OUT"/>
    <n v="0"/>
    <n v="54"/>
  </r>
  <r>
    <n v="814"/>
    <x v="2"/>
    <x v="114"/>
    <s v="eth1/20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20"/>
    <x v="0"/>
    <x v="0"/>
    <x v="0"/>
    <s v="HACIA_CSI-B-OSCP-F4-16_SECUNDARIO"/>
    <x v="4"/>
    <b v="0"/>
    <s v="No está en VPC"/>
    <n v="878"/>
    <s v="INTPG_VPC_878_1.20_879_1.20"/>
    <s v="ISEL-1.20"/>
    <n v="2"/>
    <s v="NO TIENE L3OUT"/>
    <n v="0"/>
    <n v="54"/>
  </r>
  <r>
    <n v="826"/>
    <x v="2"/>
    <x v="116"/>
    <s v="eth1/20"/>
    <x v="0"/>
    <x v="0"/>
    <x v="0"/>
    <s v="LINK_TO_ITHFHWCBSDSHD16 /10GE.1 /Principal"/>
    <x v="0"/>
    <b v="0"/>
    <s v="No está en VPC"/>
    <n v="826"/>
    <s v="INTPG_VPC_826_1.20_830_1.20"/>
    <s v="ISEL-1.20"/>
    <n v="1"/>
    <s v="NO TIENE L3OUT"/>
    <n v="12"/>
    <n v="54"/>
  </r>
  <r>
    <n v="726"/>
    <x v="2"/>
    <x v="117"/>
    <s v="eth1/20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20"/>
    <x v="0"/>
    <x v="0"/>
    <x v="0"/>
    <s v="CEM:ITHCEMD2AKF10:SLOT1 P1"/>
    <x v="5"/>
    <b v="0"/>
    <s v="No está en VPC"/>
    <n v="740"/>
    <s v="INTPG_ACC_740_1.20"/>
    <s v="ISEL-1.20"/>
    <n v="1"/>
    <s v="NO TIENE L3OUT"/>
    <n v="72"/>
    <n v="54"/>
  </r>
  <r>
    <n v="705"/>
    <x v="2"/>
    <x v="119"/>
    <s v="eth1/20"/>
    <x v="0"/>
    <x v="1"/>
    <x v="5"/>
    <m/>
    <x v="0"/>
    <b v="0"/>
    <s v="No está en VPC"/>
    <n v="705"/>
    <s v="INTPG_VPC_706_1.19_705_1.20"/>
    <s v="ISEL-1.20"/>
    <n v="1"/>
    <s v="NO TIENE L3OUT"/>
    <n v="16"/>
    <n v="54"/>
  </r>
  <r>
    <n v="723"/>
    <x v="2"/>
    <x v="120"/>
    <s v="eth1/20"/>
    <x v="0"/>
    <x v="0"/>
    <x v="0"/>
    <m/>
    <x v="0"/>
    <b v="0"/>
    <s v="No está en VPC"/>
    <n v="723"/>
    <s v="INTPG-VPC_HDD124_722_1.19_723_1.20"/>
    <s v="ISEL-1.20"/>
    <n v="1"/>
    <s v="NO TIENE L3OUT"/>
    <n v="0"/>
    <n v="54"/>
  </r>
  <r>
    <n v="721"/>
    <x v="2"/>
    <x v="121"/>
    <s v="eth1/20"/>
    <x v="0"/>
    <x v="0"/>
    <x v="0"/>
    <s v="ITHORNG1DAT11_LOM P1"/>
    <x v="0"/>
    <b v="0"/>
    <s v="No está en VPC"/>
    <n v="721"/>
    <s v="INTPG_ACC_721_1.20"/>
    <s v="ISEL-1.20"/>
    <n v="2"/>
    <s v="NO TIENE L3OUT"/>
    <n v="20"/>
    <n v="54"/>
  </r>
  <r>
    <n v="788"/>
    <x v="2"/>
    <x v="122"/>
    <s v="eth1/20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20"/>
    <x v="0"/>
    <x v="1"/>
    <x v="3"/>
    <s v="TEST"/>
    <x v="0"/>
    <b v="0"/>
    <s v="No está en VPC"/>
    <n v="732"/>
    <s v="INTPG_VPC_732_1.20_733_1.20"/>
    <s v="ISEL-1.20"/>
    <n v="0"/>
    <s v="NO TIENE L3OUT"/>
    <n v="0"/>
    <n v="54"/>
  </r>
  <r>
    <n v="720"/>
    <x v="2"/>
    <x v="124"/>
    <s v="eth1/20"/>
    <x v="0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20"/>
    <x v="0"/>
    <x v="1"/>
    <x v="5"/>
    <s v="CEM:ITHCEMF2RTB10:LOM  P2"/>
    <x v="0"/>
    <b v="0"/>
    <s v="No está en VPC"/>
    <n v="709"/>
    <s v="INTPG_VPC_708_1.19_709_1.20"/>
    <s v="ISEL-1.20"/>
    <n v="1"/>
    <s v="NO TIENE L3OUT"/>
    <n v="0"/>
    <n v="54"/>
  </r>
  <r>
    <n v="454"/>
    <x v="1"/>
    <x v="126"/>
    <s v="eth1/20"/>
    <x v="0"/>
    <x v="0"/>
    <x v="0"/>
    <s v="HACIA_CSI-B-OSCP-F4-04_PRIMARIO"/>
    <x v="4"/>
    <b v="0"/>
    <s v="No está en VPC"/>
    <n v="454"/>
    <s v="INTPG_VPC_454_1.20_456_1.20"/>
    <s v="ISEL-1.20"/>
    <n v="2"/>
    <s v="NO TIENE L3OUT"/>
    <n v="4"/>
    <n v="54"/>
  </r>
  <r>
    <n v="734"/>
    <x v="2"/>
    <x v="127"/>
    <s v="eth1/20"/>
    <x v="0"/>
    <x v="0"/>
    <x v="0"/>
    <s v="CEM:ITHCEMA1KFK10:SLOT1 P1"/>
    <x v="5"/>
    <b v="0"/>
    <s v="No está en VPC"/>
    <n v="734"/>
    <s v="INTPG_ACC_734_1.20"/>
    <s v="ISEL-1.20"/>
    <n v="1"/>
    <s v="NO TIENE L3OUT"/>
    <n v="32"/>
    <n v="54"/>
  </r>
  <r>
    <n v="815"/>
    <x v="2"/>
    <x v="128"/>
    <s v="eth1/20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20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20"/>
    <x v="0"/>
    <x v="0"/>
    <x v="0"/>
    <m/>
    <x v="0"/>
    <b v="0"/>
    <s v="No está en VPC"/>
    <n v="718"/>
    <s v="INTPG-VPC_HDD18_717_1.19_718_1.20"/>
    <s v="ISEL-1.20"/>
    <n v="1"/>
    <s v="NO TIENE L3OUT"/>
    <n v="0"/>
    <n v="54"/>
  </r>
  <r>
    <n v="744"/>
    <x v="2"/>
    <x v="131"/>
    <s v="eth1/20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20"/>
    <x v="0"/>
    <x v="0"/>
    <x v="0"/>
    <s v="CEM:ITHCEMA2AKF10:SLOT1 P1"/>
    <x v="5"/>
    <b v="0"/>
    <s v="No está en VPC"/>
    <n v="741"/>
    <s v="INTPG_ACC_741_1.20"/>
    <s v="ISEL-1.20"/>
    <n v="1"/>
    <s v="NO TIENE L3OUT"/>
    <n v="62"/>
    <n v="54"/>
  </r>
  <r>
    <n v="787"/>
    <x v="2"/>
    <x v="133"/>
    <s v="eth1/20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20"/>
    <x v="0"/>
    <x v="0"/>
    <x v="0"/>
    <m/>
    <x v="0"/>
    <b v="0"/>
    <s v="No está en VPC"/>
    <n v="750"/>
    <s v="INTPG_ACC_750_1.20"/>
    <s v="ISEL-1.20"/>
    <n v="0"/>
    <s v="NO TIENE L3OUT"/>
    <n v="2"/>
    <n v="54"/>
  </r>
  <r>
    <n v="792"/>
    <x v="2"/>
    <x v="135"/>
    <s v="eth1/20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20"/>
    <x v="0"/>
    <x v="1"/>
    <x v="3"/>
    <s v="CEM:ITHCEMG2NAM17:SLOT1 P1"/>
    <x v="0"/>
    <b v="0"/>
    <s v="No está en VPC"/>
    <n v="736"/>
    <s v="INTPG_ACC_736_1.20"/>
    <s v="ISEL-1.20"/>
    <n v="1"/>
    <s v="NO TIENE L3OUT"/>
    <n v="48"/>
    <n v="54"/>
  </r>
  <r>
    <n v="799"/>
    <x v="2"/>
    <x v="137"/>
    <s v="eth1/20"/>
    <x v="0"/>
    <x v="0"/>
    <x v="0"/>
    <s v="TO-IMC_PS08-MSP"/>
    <x v="0"/>
    <b v="0"/>
    <s v="No está en VPC"/>
    <n v="799"/>
    <s v="INTPG_ACC_799_1.20"/>
    <s v="ISEL-1.20"/>
    <n v="1"/>
    <s v="NO TIENE L3OUT"/>
    <n v="52"/>
    <n v="54"/>
  </r>
  <r>
    <n v="768"/>
    <x v="2"/>
    <x v="138"/>
    <s v="eth1/20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20"/>
    <x v="0"/>
    <x v="0"/>
    <x v="0"/>
    <s v="TO-ITHFHWVRALCN01"/>
    <x v="0"/>
    <b v="0"/>
    <s v="No está en VPC"/>
    <n v="714"/>
    <s v="INTPG_VPC_714_1.20_721_1.19"/>
    <s v="ISEL-1.20"/>
    <n v="108"/>
    <s v="NO TIENE L3OUT"/>
    <n v="20"/>
    <n v="54"/>
  </r>
  <r>
    <n v="717"/>
    <x v="2"/>
    <x v="140"/>
    <s v="eth1/20"/>
    <x v="0"/>
    <x v="0"/>
    <x v="0"/>
    <m/>
    <x v="0"/>
    <b v="0"/>
    <s v="No está en VPC"/>
    <n v="717"/>
    <s v="INTPG-VPC_HDD08_718_1.19_717_1.20"/>
    <s v="ISEL-1.20"/>
    <n v="1"/>
    <s v="NO TIENE L3OUT"/>
    <n v="0"/>
    <n v="54"/>
  </r>
  <r>
    <n v="789"/>
    <x v="2"/>
    <x v="141"/>
    <s v="eth1/20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20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20"/>
    <x v="0"/>
    <x v="0"/>
    <x v="0"/>
    <s v="TO-ITHFHWRHV2LMGMT02"/>
    <x v="0"/>
    <b v="0"/>
    <s v="No está en VPC"/>
    <n v="783"/>
    <s v="INTPG_VPC_782_1.20-21_783_1.20-21"/>
    <s v="ISEL-1.20"/>
    <n v="2"/>
    <s v="NO TIENE L3OUT"/>
    <n v="26"/>
    <n v="54"/>
  </r>
  <r>
    <n v="774"/>
    <x v="2"/>
    <x v="144"/>
    <s v="eth1/20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20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20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20"/>
    <x v="0"/>
    <x v="0"/>
    <x v="0"/>
    <s v="TO-HDPS_46-MSP"/>
    <x v="0"/>
    <b v="0"/>
    <s v="No está en VPC"/>
    <n v="803"/>
    <s v="INTPG_ACC_803_1.20"/>
    <s v="ISEL-1.20"/>
    <n v="1"/>
    <s v="NO TIENE L3OUT"/>
    <n v="48"/>
    <n v="54"/>
  </r>
  <r>
    <n v="786"/>
    <x v="2"/>
    <x v="148"/>
    <s v="eth1/20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20"/>
    <x v="0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20"/>
    <x v="0"/>
    <x v="0"/>
    <x v="0"/>
    <s v="CLOUD OPS:ithhwcop02en01:1E P3"/>
    <x v="0"/>
    <b v="0"/>
    <s v="No está en VPC"/>
    <n v="781"/>
    <s v="INTPG_VPC_780_1.20-21_26-27_781_1.20-21_26-27"/>
    <s v="ISEL-1.20"/>
    <n v="23"/>
    <s v="NO TIENE L3OUT"/>
    <n v="26"/>
    <n v="54"/>
  </r>
  <r>
    <n v="793"/>
    <x v="2"/>
    <x v="151"/>
    <s v="eth1/20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20"/>
    <x v="0"/>
    <x v="0"/>
    <x v="0"/>
    <s v="PAAS:ithhwosstpap005:Slot4.1"/>
    <x v="0"/>
    <b v="0"/>
    <s v="No está en VPC"/>
    <n v="747"/>
    <s v="INTPG_VPC_747_1.20_752_1.20"/>
    <s v="ISEL-1.20"/>
    <n v="25"/>
    <s v="NO TIENE L3OUT"/>
    <n v="0"/>
    <n v="54"/>
  </r>
  <r>
    <n v="784"/>
    <x v="2"/>
    <x v="153"/>
    <s v="eth1/20"/>
    <x v="0"/>
    <x v="0"/>
    <x v="0"/>
    <s v="DIGITAL VIEW:ITHFHWDGVEAP01:Slot 3.1"/>
    <x v="0"/>
    <b v="0"/>
    <s v="No está en VPC"/>
    <n v="784"/>
    <s v="INTPG_VPC_784_1.20_785_1.20"/>
    <s v="ISEL-1.20"/>
    <n v="1"/>
    <s v="NO TIENE L3OUT"/>
    <n v="26"/>
    <n v="54"/>
  </r>
  <r>
    <n v="806"/>
    <x v="2"/>
    <x v="154"/>
    <s v="eth1/20"/>
    <x v="0"/>
    <x v="0"/>
    <x v="0"/>
    <s v="TO-HDPS_70-MSP"/>
    <x v="0"/>
    <b v="0"/>
    <s v="No está en VPC"/>
    <n v="806"/>
    <s v="INTPG_ACC_806_1.20"/>
    <s v="ISEL-1.20"/>
    <n v="1"/>
    <s v="NO TIENE L3OUT"/>
    <n v="44"/>
    <n v="54"/>
  </r>
  <r>
    <n v="777"/>
    <x v="2"/>
    <x v="155"/>
    <s v="eth1/20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20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20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20"/>
    <x v="0"/>
    <x v="0"/>
    <x v="0"/>
    <s v="CEM:ITHCEMC2AKF10:SLOT1 P1"/>
    <x v="5"/>
    <b v="0"/>
    <s v="No está en VPC"/>
    <n v="739"/>
    <s v="INTPG_ACC_739_1.20"/>
    <s v="ISEL-1.20"/>
    <n v="1"/>
    <s v="NO TIENE L3OUT"/>
    <n v="72"/>
    <n v="54"/>
  </r>
  <r>
    <n v="775"/>
    <x v="2"/>
    <x v="159"/>
    <s v="eth1/20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20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20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20"/>
    <x v="0"/>
    <x v="0"/>
    <x v="0"/>
    <s v="LINK_TO_ITHFHWCBSDSHD16 /Slot5.1 /Redundante"/>
    <x v="0"/>
    <b v="0"/>
    <s v="No está en VPC"/>
    <n v="830"/>
    <s v="INTPG_VPC_826_1.20_830_1.20"/>
    <s v="ISEL-1.20"/>
    <n v="1"/>
    <s v="NO TIENE L3OUT"/>
    <n v="12"/>
    <n v="54"/>
  </r>
  <r>
    <n v="821"/>
    <x v="2"/>
    <x v="163"/>
    <s v="eth1/20"/>
    <x v="0"/>
    <x v="0"/>
    <x v="0"/>
    <s v="LINK_TO_ITHFHWCBSPSHD16 /Slot5.1 /Redundante"/>
    <x v="0"/>
    <b v="0"/>
    <s v="No está en VPC"/>
    <n v="821"/>
    <s v="INTPG_VPC_816_1.20_821_1.20"/>
    <s v="ISEL-1.20"/>
    <n v="1"/>
    <s v="NO TIENE L3OUT"/>
    <n v="0"/>
    <n v="54"/>
  </r>
  <r>
    <n v="738"/>
    <x v="2"/>
    <x v="164"/>
    <s v="eth1/20"/>
    <x v="0"/>
    <x v="0"/>
    <x v="0"/>
    <s v="CEM:ITHCEMF2RTB10:SLOT1 P1"/>
    <x v="5"/>
    <b v="0"/>
    <s v="No está en VPC"/>
    <n v="738"/>
    <s v="INTPG_ACC_738_1.20"/>
    <s v="ISEL-1.20"/>
    <n v="1"/>
    <s v="NO TIENE L3OUT"/>
    <n v="72"/>
    <n v="54"/>
  </r>
  <r>
    <n v="820"/>
    <x v="2"/>
    <x v="165"/>
    <s v="eth1/20"/>
    <x v="0"/>
    <x v="0"/>
    <x v="0"/>
    <s v="LINK_TO_ITHHWCRMPEN03 /E4-10GE 2 /Redundante"/>
    <x v="0"/>
    <b v="0"/>
    <s v="No está en VPC"/>
    <n v="820"/>
    <s v="INTPG_VPC_820_1.13_20_825_1.13_20"/>
    <s v="ISEL-1.20"/>
    <n v="9"/>
    <s v="NO TIENE L3OUT"/>
    <n v="72"/>
    <n v="54"/>
  </r>
  <r>
    <n v="804"/>
    <x v="2"/>
    <x v="166"/>
    <s v="eth1/20"/>
    <x v="0"/>
    <x v="0"/>
    <x v="0"/>
    <s v="TO-HDPS_46-MSP"/>
    <x v="0"/>
    <b v="0"/>
    <s v="No está en VPC"/>
    <n v="804"/>
    <s v="INTPG_ACC_804_1.20"/>
    <s v="ISEL-1.20"/>
    <n v="1"/>
    <s v="NO TIENE L3OUT"/>
    <n v="48"/>
    <n v="54"/>
  </r>
  <r>
    <n v="779"/>
    <x v="2"/>
    <x v="167"/>
    <s v="eth1/20"/>
    <x v="0"/>
    <x v="0"/>
    <x v="0"/>
    <s v="VERITAS:ITHFVECONNBST01 :10GbE"/>
    <x v="0"/>
    <b v="0"/>
    <s v="No está en VPC"/>
    <n v="779"/>
    <s v="INTPG_VPC_778_1.20-21_779_1.20-21"/>
    <s v="ISEL-1.20"/>
    <n v="2"/>
    <s v="NO TIENE L3OUT"/>
    <n v="30"/>
    <n v="54"/>
  </r>
  <r>
    <n v="767"/>
    <x v="2"/>
    <x v="168"/>
    <s v="eth1/20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20"/>
    <x v="0"/>
    <x v="0"/>
    <x v="0"/>
    <s v="LINK_TO_ITHFHWCBSDSWR23 /Slot5.2 /Principal"/>
    <x v="0"/>
    <b v="0"/>
    <s v="No está en VPC"/>
    <n v="827"/>
    <s v="INTPG_VPC_827_1.20_831_1.20"/>
    <s v="ISEL-1.20"/>
    <n v="2"/>
    <s v="NO TIENE L3OUT"/>
    <n v="14"/>
    <n v="54"/>
  </r>
  <r>
    <n v="809"/>
    <x v="2"/>
    <x v="170"/>
    <s v="eth1/20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20"/>
    <x v="0"/>
    <x v="0"/>
    <x v="0"/>
    <s v="Portchannel_4_R4B"/>
    <x v="0"/>
    <b v="0"/>
    <s v="No está en VPC"/>
    <n v="771"/>
    <s v="INTPG_PC_771_1.19-20"/>
    <s v="ISEL-1.20"/>
    <n v="8"/>
    <s v="NO TIENE L3OUT"/>
    <n v="62"/>
    <n v="54"/>
  </r>
  <r>
    <n v="761"/>
    <x v="2"/>
    <x v="172"/>
    <s v="eth1/20"/>
    <x v="0"/>
    <x v="1"/>
    <x v="1"/>
    <m/>
    <x v="0"/>
    <b v="0"/>
    <s v="No está en VPC"/>
    <n v="761"/>
    <s v="INTPG_VPC_760_1.17-20_761_1.17-20"/>
    <s v="ISEL-1.20"/>
    <n v="0"/>
    <s v="L3OUT-EXACLOUD"/>
    <n v="0"/>
    <n v="54"/>
  </r>
  <r>
    <n v="776"/>
    <x v="2"/>
    <x v="173"/>
    <s v="eth1/20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20"/>
    <x v="0"/>
    <x v="0"/>
    <x v="0"/>
    <s v="TO-HDPS_70-MSP"/>
    <x v="0"/>
    <b v="0"/>
    <s v="No está en VPC"/>
    <n v="805"/>
    <s v="INTPG_ACC_805_1.20"/>
    <s v="ISEL-1.20"/>
    <n v="1"/>
    <s v="NO TIENE L3OUT"/>
    <n v="44"/>
    <n v="54"/>
  </r>
  <r>
    <n v="772"/>
    <x v="2"/>
    <x v="175"/>
    <s v="eth1/20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20"/>
    <x v="0"/>
    <x v="0"/>
    <x v="0"/>
    <s v="DIGITAL VIEW:ITHFHWDGVEAP01:Slot 6.1"/>
    <x v="0"/>
    <b v="0"/>
    <s v="No está en VPC"/>
    <n v="785"/>
    <s v="INTPG_VPC_784_1.20_785_1.20"/>
    <s v="ISEL-1.20"/>
    <n v="1"/>
    <s v="NO TIENE L3OUT"/>
    <n v="32"/>
    <n v="54"/>
  </r>
  <r>
    <n v="851"/>
    <x v="2"/>
    <x v="177"/>
    <s v="eth1/20"/>
    <x v="0"/>
    <x v="0"/>
    <x v="0"/>
    <s v="LINK_TO_ITHFHWCRMPLCN107 / Slot7.2_18 / Redundante"/>
    <x v="0"/>
    <b v="0"/>
    <s v="No está en VPC"/>
    <n v="851"/>
    <s v="INTPG_ACC_851_1.20"/>
    <s v="ISEL-1.20"/>
    <n v="2"/>
    <s v="NO TIENE L3OUT"/>
    <n v="282"/>
    <n v="54"/>
  </r>
  <r>
    <n v="798"/>
    <x v="2"/>
    <x v="178"/>
    <s v="eth1/20"/>
    <x v="0"/>
    <x v="0"/>
    <x v="0"/>
    <s v="TO-IMC_PS08-MSP"/>
    <x v="0"/>
    <b v="0"/>
    <s v="No está en VPC"/>
    <n v="798"/>
    <s v="INTPG_ACC_798_1.20"/>
    <s v="ISEL-1.20"/>
    <n v="1"/>
    <s v="NO TIENE L3OUT"/>
    <n v="52"/>
    <n v="54"/>
  </r>
  <r>
    <n v="782"/>
    <x v="2"/>
    <x v="179"/>
    <s v="eth1/20"/>
    <x v="0"/>
    <x v="0"/>
    <x v="0"/>
    <s v="TO-ITHFHWRHV2LMGMT02"/>
    <x v="0"/>
    <b v="0"/>
    <s v="No está en VPC"/>
    <n v="782"/>
    <s v="INTPG_VPC_782_1.20-21_783_1.20-21"/>
    <s v="ISEL-1.20"/>
    <n v="2"/>
    <s v="NO TIENE L3OUT"/>
    <n v="32"/>
    <n v="54"/>
  </r>
  <r>
    <n v="852"/>
    <x v="2"/>
    <x v="180"/>
    <s v="eth1/20"/>
    <x v="0"/>
    <x v="0"/>
    <x v="0"/>
    <s v="LINK_TO_ITHFHWCRMPLCN90 / Slot7.3_12 / Redundante"/>
    <x v="0"/>
    <b v="0"/>
    <s v="No está en VPC"/>
    <n v="852"/>
    <s v="INTPG_ACC_852_1.20"/>
    <s v="ISEL-1.20"/>
    <n v="1"/>
    <s v="NO TIENE L3OUT"/>
    <n v="258"/>
    <n v="54"/>
  </r>
  <r>
    <n v="817"/>
    <x v="2"/>
    <x v="181"/>
    <s v="eth1/20"/>
    <x v="0"/>
    <x v="0"/>
    <x v="0"/>
    <s v="LINK_TO_ITHFHWCBSPSUSBD14 /10GE.1 /Principal"/>
    <x v="0"/>
    <b v="0"/>
    <s v="No está en VPC"/>
    <n v="817"/>
    <s v="INTPG_VPC_817_1.20_822_1.20"/>
    <s v="ISEL-1.20"/>
    <n v="1"/>
    <s v="NO TIENE L3OUT"/>
    <n v="0"/>
    <n v="54"/>
  </r>
  <r>
    <n v="832"/>
    <x v="2"/>
    <x v="182"/>
    <s v="eth1/20"/>
    <x v="0"/>
    <x v="0"/>
    <x v="0"/>
    <s v="LINK_TO_ITHFHWCRMDLCN22 /Slot7.2 /Redundante"/>
    <x v="0"/>
    <b v="0"/>
    <s v="No está en VPC"/>
    <n v="832"/>
    <s v="INTPG_ACC_832_1.20"/>
    <s v="ISEL-1.20"/>
    <n v="5"/>
    <s v="NO TIENE L3OUT"/>
    <n v="192"/>
    <n v="54"/>
  </r>
  <r>
    <n v="816"/>
    <x v="2"/>
    <x v="183"/>
    <s v="eth1/20"/>
    <x v="0"/>
    <x v="0"/>
    <x v="0"/>
    <s v="LINK_TO_ITHFHWCBSPSHD16 /10GE.1 /Principal"/>
    <x v="0"/>
    <b v="0"/>
    <s v="No está en VPC"/>
    <n v="816"/>
    <s v="INTPG_VPC_816_1.20_821_1.20"/>
    <s v="ISEL-1.20"/>
    <n v="1"/>
    <s v="NO TIENE L3OUT"/>
    <n v="0"/>
    <n v="54"/>
  </r>
  <r>
    <n v="825"/>
    <x v="2"/>
    <x v="184"/>
    <s v="eth1/20"/>
    <x v="0"/>
    <x v="0"/>
    <x v="0"/>
    <s v="LINK_TO_ITHHWCRMPEN03 /E4-10GE 1 /Principal"/>
    <x v="0"/>
    <b v="0"/>
    <s v="No está en VPC"/>
    <n v="825"/>
    <s v="INTPG_VPC_820_1.13_20_825_1.13_20"/>
    <s v="ISEL-1.20"/>
    <n v="9"/>
    <s v="NO TIENE L3OUT"/>
    <n v="72"/>
    <n v="54"/>
  </r>
  <r>
    <n v="800"/>
    <x v="2"/>
    <x v="185"/>
    <s v="eth1/20"/>
    <x v="0"/>
    <x v="0"/>
    <x v="0"/>
    <s v="TO-ITHFHWSEQLDPS02-MSP"/>
    <x v="0"/>
    <b v="0"/>
    <s v="No está en VPC"/>
    <n v="800"/>
    <s v="INTPG_ACC_800_1.20"/>
    <s v="ISEL-1.20"/>
    <n v="1"/>
    <s v="NO TIENE L3OUT"/>
    <n v="78"/>
    <n v="54"/>
  </r>
  <r>
    <n v="801"/>
    <x v="2"/>
    <x v="186"/>
    <s v="eth1/20"/>
    <x v="0"/>
    <x v="0"/>
    <x v="0"/>
    <s v="TO-ITHFHWSEQLDPS02-MSP"/>
    <x v="0"/>
    <b v="0"/>
    <s v="No está en VPC"/>
    <n v="801"/>
    <s v="INTPG_ACC_801_1.20"/>
    <s v="ISEL-1.20"/>
    <n v="1"/>
    <s v="NO TIENE L3OUT"/>
    <n v="78"/>
    <n v="54"/>
  </r>
  <r>
    <n v="823"/>
    <x v="2"/>
    <x v="187"/>
    <s v="eth1/20"/>
    <x v="0"/>
    <x v="0"/>
    <x v="0"/>
    <s v="LINK_TO_ITHFHWCBSPSUSBD21 /Slot7.2 /Redundante"/>
    <x v="0"/>
    <b v="0"/>
    <s v="No está en VPC"/>
    <n v="823"/>
    <s v="INTPG_VPC_818_1.20_823_1.20"/>
    <s v="ISEL-1.20"/>
    <n v="2"/>
    <s v="NO TIENE L3OUT"/>
    <n v="8"/>
    <n v="54"/>
  </r>
  <r>
    <n v="837"/>
    <x v="2"/>
    <x v="188"/>
    <s v="eth1/20"/>
    <x v="0"/>
    <x v="0"/>
    <x v="0"/>
    <s v="LINK_TO_ITHFHWCBSPSWR46 / Slot1.1_28 / Principal"/>
    <x v="0"/>
    <b v="0"/>
    <s v="No está en VPC"/>
    <n v="837"/>
    <s v="INTPG_VPC_837_1.20_842_1.20"/>
    <s v="ISEL-1.20"/>
    <n v="2"/>
    <s v="NO TIENE L3OUT"/>
    <n v="8"/>
    <n v="54"/>
  </r>
  <r>
    <n v="867"/>
    <x v="2"/>
    <x v="189"/>
    <s v="eth1/20"/>
    <x v="0"/>
    <x v="0"/>
    <x v="0"/>
    <s v="TO-9S_BESDR_IXTLA3_1"/>
    <x v="0"/>
    <b v="0"/>
    <s v="No está en VPC"/>
    <n v="867"/>
    <s v="INTPG_VPC_862_1.20-23_867_1.20-23"/>
    <s v="ISEL-1.20"/>
    <n v="25"/>
    <s v="NO TIENE L3OUT"/>
    <n v="44"/>
    <n v="54"/>
  </r>
  <r>
    <n v="829"/>
    <x v="2"/>
    <x v="190"/>
    <s v="eth1/20"/>
    <x v="0"/>
    <x v="0"/>
    <x v="0"/>
    <s v="LINK_TO_ITHFHWCRMDLCN34 /Slot5.1 /Redundante"/>
    <x v="0"/>
    <b v="0"/>
    <s v="No está en VPC"/>
    <n v="829"/>
    <s v="INTPG_ACC_829_1.20"/>
    <s v="ISEL-1.20"/>
    <n v="2"/>
    <s v="NO TIENE L3OUT"/>
    <n v="224"/>
    <n v="54"/>
  </r>
  <r>
    <n v="831"/>
    <x v="2"/>
    <x v="191"/>
    <s v="eth1/20"/>
    <x v="0"/>
    <x v="0"/>
    <x v="0"/>
    <s v="LINK_TO_ITHFHWCBSDSWR23 /Slot7.2 /Redundante"/>
    <x v="0"/>
    <b v="0"/>
    <s v="No está en VPC"/>
    <n v="831"/>
    <s v="INTPG_VPC_827_1.20_831_1.20"/>
    <s v="ISEL-1.20"/>
    <n v="2"/>
    <s v="NO TIENE L3OUT"/>
    <n v="14"/>
    <n v="54"/>
  </r>
  <r>
    <n v="802"/>
    <x v="2"/>
    <x v="192"/>
    <s v="eth1/20"/>
    <x v="0"/>
    <x v="0"/>
    <x v="0"/>
    <s v="TO-HDPS_22-MSP"/>
    <x v="0"/>
    <b v="0"/>
    <s v="No está en VPC"/>
    <n v="802"/>
    <s v="INTPG_ACC_802_1.20"/>
    <s v="ISEL-1.20"/>
    <n v="1"/>
    <s v="NO TIENE L3OUT"/>
    <n v="48"/>
    <n v="54"/>
  </r>
  <r>
    <n v="835"/>
    <x v="2"/>
    <x v="193"/>
    <s v="eth1/20"/>
    <x v="0"/>
    <x v="0"/>
    <x v="0"/>
    <s v="LINK_TO_ITHFHWCBSPSWR60 / Slot1.2_32 / Principal"/>
    <x v="0"/>
    <b v="0"/>
    <s v="No está en VPC"/>
    <n v="835"/>
    <s v="INTPG_VPC_835_1.20_840_1.20"/>
    <s v="ISEL-1.20"/>
    <n v="1"/>
    <s v="NO TIENE L3OUT"/>
    <n v="8"/>
    <n v="54"/>
  </r>
  <r>
    <n v="822"/>
    <x v="2"/>
    <x v="194"/>
    <s v="eth1/20"/>
    <x v="0"/>
    <x v="0"/>
    <x v="0"/>
    <s v="LINK_TO_ITHFHWCBSPSUSBD14 /Slot5.1 /Redundante"/>
    <x v="0"/>
    <b v="0"/>
    <s v="No está en VPC"/>
    <n v="822"/>
    <s v="INTPG_VPC_817_1.20_822_1.20"/>
    <s v="ISEL-1.20"/>
    <n v="1"/>
    <s v="NO TIENE L3OUT"/>
    <n v="0"/>
    <n v="54"/>
  </r>
  <r>
    <n v="854"/>
    <x v="2"/>
    <x v="195"/>
    <s v="eth1/20"/>
    <x v="0"/>
    <x v="0"/>
    <x v="0"/>
    <s v="LINK_TO_ITHFHWCRMPLCN172 / Slot1.1_14 / Principal"/>
    <x v="0"/>
    <b v="0"/>
    <s v="No está en VPC"/>
    <n v="854"/>
    <s v="INTPG_ACC_854_1.20"/>
    <s v="ISEL-1.20"/>
    <n v="6"/>
    <s v="NO TIENE L3OUT"/>
    <n v="204"/>
    <n v="54"/>
  </r>
  <r>
    <n v="858"/>
    <x v="2"/>
    <x v="196"/>
    <s v="eth1/20"/>
    <x v="0"/>
    <x v="0"/>
    <x v="0"/>
    <s v="To_VPC_2DCBSD_HD43_2"/>
    <x v="0"/>
    <b v="0"/>
    <s v="No está en VPC"/>
    <n v="858"/>
    <s v="INTPG_VPC_858_1.20_863_1.20"/>
    <s v="ISEL-1.20"/>
    <n v="1"/>
    <s v="NO TIENE L3OUT"/>
    <n v="8"/>
    <n v="54"/>
  </r>
  <r>
    <n v="857"/>
    <x v="2"/>
    <x v="197"/>
    <s v="eth1/20"/>
    <x v="0"/>
    <x v="0"/>
    <x v="0"/>
    <s v="LINKT_TO_ITHFHWCRMPLCN122 / Slot1.1_14 / Principal"/>
    <x v="0"/>
    <b v="0"/>
    <s v="No está en VPC"/>
    <n v="857"/>
    <s v="INTPG_ACC_857_1.20"/>
    <s v="ISEL-1.20"/>
    <n v="6"/>
    <s v="NO TIENE L3OUT"/>
    <n v="288"/>
    <n v="54"/>
  </r>
  <r>
    <n v="859"/>
    <x v="2"/>
    <x v="198"/>
    <s v="eth1/20"/>
    <x v="0"/>
    <x v="0"/>
    <x v="0"/>
    <s v="To_VPC_2DCBSD_TL06_2"/>
    <x v="0"/>
    <b v="0"/>
    <s v="No está en VPC"/>
    <n v="859"/>
    <s v="INTPG_VPC_859_1.20_864_1.20"/>
    <s v="ISEL-1.20"/>
    <n v="1"/>
    <s v="NO TIENE L3OUT"/>
    <n v="0"/>
    <n v="54"/>
  </r>
  <r>
    <n v="833"/>
    <x v="2"/>
    <x v="199"/>
    <s v="eth1/20"/>
    <x v="0"/>
    <x v="0"/>
    <x v="0"/>
    <s v="LINK_TO_ITHFHWCRMDLCN34 /10GE.1 /Principal"/>
    <x v="0"/>
    <b v="0"/>
    <s v="No está en VPC"/>
    <n v="833"/>
    <s v="INTPG_ACC_833_1.20"/>
    <s v="ISEL-1.20"/>
    <n v="2"/>
    <s v="NO TIENE L3OUT"/>
    <n v="224"/>
    <n v="54"/>
  </r>
  <r>
    <n v="818"/>
    <x v="2"/>
    <x v="200"/>
    <s v="eth1/20"/>
    <x v="0"/>
    <x v="0"/>
    <x v="0"/>
    <s v="LINK_TO_ITHFHWCBSPSUSBD21 /Slot5.2 /Principal"/>
    <x v="0"/>
    <b v="0"/>
    <s v="No está en VPC"/>
    <n v="818"/>
    <s v="INTPG_VPC_818_1.20_823_1.20"/>
    <s v="ISEL-1.20"/>
    <n v="2"/>
    <s v="NO TIENE L3OUT"/>
    <n v="8"/>
    <n v="54"/>
  </r>
  <r>
    <n v="850"/>
    <x v="2"/>
    <x v="201"/>
    <s v="eth1/20"/>
    <x v="0"/>
    <x v="0"/>
    <x v="0"/>
    <s v="LINKT_TO_ITHFHWCRMPLCN122 / Slot7.1_14 / Redundante"/>
    <x v="0"/>
    <b v="0"/>
    <s v="No está en VPC"/>
    <n v="850"/>
    <s v="INTPG_ACC_850_1.20"/>
    <s v="ISEL-1.20"/>
    <n v="6"/>
    <s v="NO TIENE L3OUT"/>
    <n v="288"/>
    <n v="54"/>
  </r>
  <r>
    <n v="860"/>
    <x v="2"/>
    <x v="202"/>
    <s v="eth1/20"/>
    <x v="0"/>
    <x v="0"/>
    <x v="0"/>
    <s v="To_VPC_2DCBSD_HD29_2"/>
    <x v="0"/>
    <b v="0"/>
    <s v="No está en VPC"/>
    <n v="860"/>
    <s v="INTPG_VPC_860_1.20_865_1.20"/>
    <s v="ISEL-1.20"/>
    <n v="1"/>
    <s v="NO TIENE L3OUT"/>
    <n v="0"/>
    <n v="54"/>
  </r>
  <r>
    <n v="853"/>
    <x v="2"/>
    <x v="203"/>
    <s v="eth1/20"/>
    <x v="0"/>
    <x v="0"/>
    <x v="0"/>
    <s v="LINK_TO_ITHFHWCRMPLCN78 / Slot7.2_14 / Redundante"/>
    <x v="0"/>
    <b v="0"/>
    <s v="No está en VPC"/>
    <n v="853"/>
    <s v="INTPG_ACC_853_1.20"/>
    <s v="ISEL-1.20"/>
    <n v="2"/>
    <s v="NO TIENE L3OUT"/>
    <n v="242"/>
    <n v="54"/>
  </r>
  <r>
    <n v="790"/>
    <x v="2"/>
    <x v="204"/>
    <s v="eth1/20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20"/>
    <x v="1"/>
    <x v="1"/>
    <x v="2"/>
    <s v="DESC"/>
    <x v="6"/>
    <b v="0"/>
    <s v="No está en VPC"/>
    <n v="105"/>
    <s v="INTPG_PC_105_1.20_25_37"/>
    <s v="ISEL-1.20"/>
    <n v="2"/>
    <s v="NO TIENE L3OUT"/>
    <n v="106"/>
    <n v="96"/>
  </r>
  <r>
    <n v="117"/>
    <x v="0"/>
    <x v="206"/>
    <s v="eth1/20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20"/>
    <x v="0"/>
    <x v="1"/>
    <x v="1"/>
    <s v="SFLDI"/>
    <x v="6"/>
    <b v="0"/>
    <s v="No está en VPC"/>
    <n v="104"/>
    <s v="INTPG_ACC_104_1.20"/>
    <s v="ISEL-1.20"/>
    <n v="1"/>
    <s v="NO TIENE L3OUT"/>
    <n v="194"/>
    <n v="96"/>
  </r>
  <r>
    <n v="158"/>
    <x v="0"/>
    <x v="208"/>
    <s v="eth1/20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20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20"/>
    <x v="0"/>
    <x v="0"/>
    <x v="0"/>
    <s v="HACIA_CSI-B-OSCP-F4-16_SECUNDARIO"/>
    <x v="4"/>
    <b v="0"/>
    <s v="No está en VPC"/>
    <n v="879"/>
    <s v="INTPG_VPC_878_1.20_879_1.20"/>
    <s v="ISEL-1.20"/>
    <n v="2"/>
    <s v="NO TIENE L3OUT"/>
    <n v="0"/>
    <n v="54"/>
  </r>
  <r>
    <n v="108"/>
    <x v="0"/>
    <x v="211"/>
    <s v="eth1/20"/>
    <x v="0"/>
    <x v="0"/>
    <x v="0"/>
    <s v="TELLABS"/>
    <x v="6"/>
    <b v="0"/>
    <s v="No está en VPC"/>
    <n v="108"/>
    <s v="INTPG_ACC_108_1.20"/>
    <s v="ISEL-1.20"/>
    <n v="1"/>
    <s v="NO TIENE L3OUT"/>
    <n v="126"/>
    <n v="96"/>
  </r>
  <r>
    <n v="112"/>
    <x v="0"/>
    <x v="212"/>
    <s v="eth1/20"/>
    <x v="0"/>
    <x v="0"/>
    <x v="0"/>
    <s v="APROVISIONAMIENTO DE SERVICIOS"/>
    <x v="6"/>
    <b v="0"/>
    <s v="No está en VPC"/>
    <n v="112"/>
    <s v="INTPG_ACC_112_1.20"/>
    <s v="ISEL-1.20"/>
    <n v="1"/>
    <s v="NO TIENE L3OUT"/>
    <n v="144"/>
    <n v="96"/>
  </r>
  <r>
    <n v="107"/>
    <x v="0"/>
    <x v="213"/>
    <s v="eth1/20"/>
    <x v="0"/>
    <x v="0"/>
    <x v="0"/>
    <m/>
    <x v="6"/>
    <b v="0"/>
    <s v="No está en VPC"/>
    <n v="107"/>
    <s v="INTPG_ACC_107_1.20"/>
    <s v="ISEL-1.20"/>
    <n v="1"/>
    <s v="NO TIENE L3OUT"/>
    <n v="118"/>
    <n v="96"/>
  </r>
  <r>
    <n v="109"/>
    <x v="0"/>
    <x v="214"/>
    <s v="eth1/20"/>
    <x v="0"/>
    <x v="0"/>
    <x v="0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20"/>
    <x v="0"/>
    <x v="0"/>
    <x v="0"/>
    <s v="TO-ITHFHWHSMTLCN05_MGMT"/>
    <x v="6"/>
    <b v="0"/>
    <s v="No está en VPC"/>
    <n v="113"/>
    <s v="INTPG_ACC_113_1.20"/>
    <s v="ISEL-1.20"/>
    <n v="1"/>
    <s v="NO TIENE L3OUT"/>
    <n v="52"/>
    <n v="96"/>
  </r>
  <r>
    <n v="114"/>
    <x v="0"/>
    <x v="216"/>
    <s v="eth1/20"/>
    <x v="0"/>
    <x v="0"/>
    <x v="0"/>
    <s v="ASAP"/>
    <x v="6"/>
    <b v="0"/>
    <s v="No está en VPC"/>
    <n v="114"/>
    <s v="INTPG_ACC_114_1.20"/>
    <s v="ISEL-1.20"/>
    <n v="1"/>
    <s v="NO TIENE L3OUT"/>
    <n v="144"/>
    <n v="96"/>
  </r>
  <r>
    <n v="124"/>
    <x v="0"/>
    <x v="217"/>
    <s v="eth1/20"/>
    <x v="0"/>
    <x v="0"/>
    <x v="0"/>
    <s v="UXSVA (M9000)"/>
    <x v="6"/>
    <b v="0"/>
    <s v="No está en VPC"/>
    <n v="124"/>
    <s v="INTPG_ACC_124_1.20"/>
    <s v="ISEL-1.20"/>
    <n v="1"/>
    <s v="NO TIENE L3OUT"/>
    <n v="80"/>
    <n v="96"/>
  </r>
  <r>
    <n v="118"/>
    <x v="0"/>
    <x v="218"/>
    <s v="eth1/20"/>
    <x v="0"/>
    <x v="0"/>
    <x v="0"/>
    <s v="COBROS NAVEGACION"/>
    <x v="6"/>
    <b v="0"/>
    <s v="No está en VPC"/>
    <n v="118"/>
    <s v="INTPG_ACC_118_1.20"/>
    <s v="ISEL-1.20"/>
    <n v="1"/>
    <s v="NO TIENE L3OUT"/>
    <n v="180"/>
    <n v="96"/>
  </r>
  <r>
    <n v="159"/>
    <x v="0"/>
    <x v="219"/>
    <s v="eth1/20"/>
    <x v="0"/>
    <x v="0"/>
    <x v="0"/>
    <m/>
    <x v="6"/>
    <b v="0"/>
    <s v="No está en VPC"/>
    <n v="159"/>
    <s v="INTPG_ACC_159_1.20"/>
    <s v="ISEL-1.20"/>
    <n v="1"/>
    <s v="NO TIENE L3OUT"/>
    <n v="72"/>
    <n v="96"/>
  </r>
  <r>
    <n v="840"/>
    <x v="2"/>
    <x v="220"/>
    <s v="eth1/20"/>
    <x v="0"/>
    <x v="0"/>
    <x v="0"/>
    <s v="LINK_TO_ITHFHWCBSPSWR60 / Slot7.2_32 / Redundante"/>
    <x v="0"/>
    <b v="0"/>
    <s v="No está en VPC"/>
    <n v="840"/>
    <s v="INTPG_VPC_835_1.20_840_1.20"/>
    <s v="ISEL-1.20"/>
    <n v="1"/>
    <s v="NO TIENE L3OUT"/>
    <n v="8"/>
    <n v="54"/>
  </r>
  <r>
    <n v="856"/>
    <x v="2"/>
    <x v="221"/>
    <s v="eth1/20"/>
    <x v="0"/>
    <x v="0"/>
    <x v="0"/>
    <s v="LINK_TO_ITHFHWCRMPLCN141 / Slot1.1_16 / Principal"/>
    <x v="0"/>
    <b v="0"/>
    <s v="No está en VPC"/>
    <n v="856"/>
    <s v="INTPG_ACC_856_1.20"/>
    <s v="ISEL-1.20"/>
    <n v="6"/>
    <s v="NO TIENE L3OUT"/>
    <n v="286"/>
    <n v="54"/>
  </r>
  <r>
    <n v="110"/>
    <x v="0"/>
    <x v="222"/>
    <s v="eth1/20"/>
    <x v="0"/>
    <x v="0"/>
    <x v="0"/>
    <s v="UXDX-DATOS"/>
    <x v="6"/>
    <b v="0"/>
    <s v="No está en VPC"/>
    <n v="110"/>
    <s v="INTPG_ACC_110_1.20"/>
    <s v="ISEL-1.20"/>
    <n v="1"/>
    <s v="NO TIENE L3OUT"/>
    <n v="102"/>
    <n v="96"/>
  </r>
  <r>
    <n v="163"/>
    <x v="0"/>
    <x v="223"/>
    <s v="eth1/20"/>
    <x v="0"/>
    <x v="0"/>
    <x v="0"/>
    <s v="SICOP"/>
    <x v="6"/>
    <b v="0"/>
    <s v="No está en VPC"/>
    <n v="163"/>
    <s v="INTPG_ACC_163_1.20"/>
    <s v="ISEL-1.20"/>
    <n v="1"/>
    <s v="NO TIENE L3OUT"/>
    <n v="140"/>
    <n v="96"/>
  </r>
  <r>
    <n v="407"/>
    <x v="1"/>
    <x v="224"/>
    <s v="eth1/20"/>
    <x v="0"/>
    <x v="0"/>
    <x v="0"/>
    <s v="IXT_SIEU"/>
    <x v="6"/>
    <b v="0"/>
    <s v="No está en VPC"/>
    <n v="407"/>
    <s v="INTPG_ACC_407_1.20"/>
    <s v="ISEL-1.20"/>
    <n v="1"/>
    <s v="NO TIENE L3OUT"/>
    <n v="122"/>
    <n v="96"/>
  </r>
  <r>
    <n v="171"/>
    <x v="0"/>
    <x v="225"/>
    <s v="eth1/20"/>
    <x v="0"/>
    <x v="1"/>
    <x v="1"/>
    <s v="Extensi\u00f3n:1625 (oss)"/>
    <x v="6"/>
    <b v="0"/>
    <s v="No está en VPC"/>
    <n v="171"/>
    <s v="INTPG_ACC_171_1.20"/>
    <s v="ISEL-1.20"/>
    <n v="1"/>
    <s v="NO TIENE L3OUT"/>
    <n v="114"/>
    <n v="96"/>
  </r>
  <r>
    <n v="421"/>
    <x v="1"/>
    <x v="226"/>
    <s v="eth1/20"/>
    <x v="0"/>
    <x v="0"/>
    <x v="0"/>
    <s v="HP Proliant DL380p(f)"/>
    <x v="6"/>
    <b v="0"/>
    <s v="No está en VPC"/>
    <n v="421"/>
    <s v="INTPG_ACC_421_1.20"/>
    <s v="ISEL-1.20"/>
    <n v="1"/>
    <s v="NO TIENE L3OUT"/>
    <n v="72"/>
    <n v="96"/>
  </r>
  <r>
    <n v="173"/>
    <x v="0"/>
    <x v="227"/>
    <s v="eth1/20"/>
    <x v="0"/>
    <x v="0"/>
    <x v="0"/>
    <s v="ENIQ"/>
    <x v="6"/>
    <b v="0"/>
    <s v="No está en VPC"/>
    <n v="173"/>
    <s v="INTPG_ACC_173_1.20"/>
    <s v="ISEL-1.20"/>
    <n v="1"/>
    <s v="NO TIENE L3OUT"/>
    <n v="66"/>
    <n v="96"/>
  </r>
  <r>
    <n v="154"/>
    <x v="0"/>
    <x v="228"/>
    <s v="eth1/20"/>
    <x v="0"/>
    <x v="0"/>
    <x v="0"/>
    <s v="CHARGING SYSTEM"/>
    <x v="6"/>
    <b v="0"/>
    <s v="No está en VPC"/>
    <n v="154"/>
    <s v="INTPG_ACC_154_1.20"/>
    <s v="ISEL-1.20"/>
    <n v="1"/>
    <s v="NO TIENE L3OUT"/>
    <n v="62"/>
    <n v="96"/>
  </r>
  <r>
    <n v="172"/>
    <x v="0"/>
    <x v="229"/>
    <s v="eth1/20"/>
    <x v="0"/>
    <x v="0"/>
    <x v="0"/>
    <s v="SOP-EAGLE"/>
    <x v="6"/>
    <b v="0"/>
    <s v="No está en VPC"/>
    <n v="172"/>
    <s v="INTPG_ACC_172_1.20"/>
    <s v="ISEL-1.20"/>
    <n v="1"/>
    <s v="NO TIENE L3OUT"/>
    <n v="104"/>
    <n v="96"/>
  </r>
  <r>
    <n v="420"/>
    <x v="1"/>
    <x v="230"/>
    <s v="eth1/20"/>
    <x v="0"/>
    <x v="0"/>
    <x v="0"/>
    <s v="sfmevp05"/>
    <x v="6"/>
    <b v="0"/>
    <s v="No está en VPC"/>
    <n v="420"/>
    <s v="INTPG_ACC_420_1.20"/>
    <s v="ISEL-1.20"/>
    <n v="1"/>
    <s v="NO TIENE L3OUT"/>
    <n v="158"/>
    <n v="96"/>
  </r>
  <r>
    <n v="423"/>
    <x v="1"/>
    <x v="231"/>
    <s v="eth1/20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20"/>
    <x v="0"/>
    <x v="0"/>
    <x v="0"/>
    <s v="OCC ITHCC1 ALARMAS"/>
    <x v="6"/>
    <b v="0"/>
    <s v="No está en VPC"/>
    <n v="415"/>
    <s v="INTPG_ACC_415_1.20"/>
    <s v="ISEL-1.20"/>
    <n v="1"/>
    <s v="NO TIENE L3OUT"/>
    <n v="52"/>
    <n v="96"/>
  </r>
  <r>
    <n v="102"/>
    <x v="0"/>
    <x v="233"/>
    <s v="eth1/20"/>
    <x v="0"/>
    <x v="1"/>
    <x v="1"/>
    <s v="SFLDI:RLDIWEB03:1"/>
    <x v="6"/>
    <b v="0"/>
    <s v="No está en VPC"/>
    <n v="102"/>
    <s v="INTPG_ACC_102_1.20"/>
    <s v="ISEL-1.20"/>
    <n v="1"/>
    <s v="NO TIENE L3OUT"/>
    <n v="228"/>
    <n v="96"/>
  </r>
  <r>
    <n v="863"/>
    <x v="2"/>
    <x v="234"/>
    <s v="eth1/20"/>
    <x v="0"/>
    <x v="0"/>
    <x v="0"/>
    <s v="To_VPC_2DCBSD_HD43_2"/>
    <x v="0"/>
    <b v="0"/>
    <s v="No está en VPC"/>
    <n v="863"/>
    <s v="INTPG_VPC_858_1.20_863_1.20"/>
    <s v="ISEL-1.20"/>
    <n v="1"/>
    <s v="NO TIENE L3OUT"/>
    <n v="8"/>
    <n v="54"/>
  </r>
  <r>
    <n v="876"/>
    <x v="2"/>
    <x v="235"/>
    <s v="eth1/20"/>
    <x v="0"/>
    <x v="0"/>
    <x v="0"/>
    <s v="A_ITHFHWSEQLCAS19_Principal"/>
    <x v="4"/>
    <b v="0"/>
    <s v="No está en VPC"/>
    <n v="876"/>
    <s v="INTPG_ACC_876_1.20"/>
    <s v="ISEL-1.20"/>
    <n v="1"/>
    <s v="NO TIENE L3OUT"/>
    <n v="92"/>
    <n v="54"/>
  </r>
  <r>
    <n v="877"/>
    <x v="2"/>
    <x v="236"/>
    <s v="eth1/20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20"/>
    <x v="0"/>
    <x v="0"/>
    <x v="0"/>
    <s v="FCSW2_MGMT"/>
    <x v="6"/>
    <b v="0"/>
    <s v="No está en VPC"/>
    <n v="122"/>
    <s v="INTPG_ACC_122_1.20"/>
    <s v="ISEL-1.20"/>
    <n v="1"/>
    <s v="NO TIENE L3OUT"/>
    <n v="148"/>
    <n v="96"/>
  </r>
  <r>
    <n v="157"/>
    <x v="0"/>
    <x v="238"/>
    <s v="eth1/20"/>
    <x v="0"/>
    <x v="0"/>
    <x v="0"/>
    <s v="Consolidaci\u00f3n Aplicaciones Prepago"/>
    <x v="6"/>
    <b v="0"/>
    <s v="No está en VPC"/>
    <n v="157"/>
    <s v="INTPG_ACC_157_1.20"/>
    <s v="ISEL-1.20"/>
    <n v="1"/>
    <s v="NO TIENE L3OUT"/>
    <n v="202"/>
    <n v="96"/>
  </r>
  <r>
    <n v="408"/>
    <x v="1"/>
    <x v="239"/>
    <s v="eth1/20"/>
    <x v="0"/>
    <x v="0"/>
    <x v="0"/>
    <s v="IXTPF1SV31ILO"/>
    <x v="6"/>
    <b v="0"/>
    <s v="No está en VPC"/>
    <n v="408"/>
    <s v="INTPG_ACC_408_1.20"/>
    <s v="ISEL-1.20"/>
    <n v="1"/>
    <s v="NO TIENE L3OUT"/>
    <n v="152"/>
    <n v="96"/>
  </r>
  <r>
    <n v="405"/>
    <x v="1"/>
    <x v="240"/>
    <s v="eth1/20"/>
    <x v="0"/>
    <x v="0"/>
    <x v="0"/>
    <s v="XL5 RLR5ARI09 iLO"/>
    <x v="6"/>
    <b v="0"/>
    <s v="No está en VPC"/>
    <n v="405"/>
    <s v="INTPG_ACC_405_1.20"/>
    <s v="ISEL-1.20"/>
    <n v="1"/>
    <s v="NO TIENE L3OUT"/>
    <n v="138"/>
    <n v="96"/>
  </r>
  <r>
    <n v="169"/>
    <x v="0"/>
    <x v="241"/>
    <s v="eth1/20"/>
    <x v="0"/>
    <x v="1"/>
    <x v="1"/>
    <s v="MMSC_WAPGW"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20"/>
    <x v="0"/>
    <x v="0"/>
    <x v="0"/>
    <s v="UXLDAP"/>
    <x v="6"/>
    <b v="0"/>
    <s v="No está en VPC"/>
    <n v="165"/>
    <s v="INTPG_ACC_165_1.20"/>
    <s v="ISEL-1.20"/>
    <n v="1"/>
    <s v="NO TIENE L3OUT"/>
    <n v="86"/>
    <n v="96"/>
  </r>
  <r>
    <n v="417"/>
    <x v="1"/>
    <x v="243"/>
    <s v="eth1/20"/>
    <x v="0"/>
    <x v="0"/>
    <x v="0"/>
    <s v="IXTSRM2_VM4"/>
    <x v="6"/>
    <b v="0"/>
    <s v="No está en VPC"/>
    <n v="417"/>
    <s v="INTPG_ACC_417_1.20"/>
    <s v="ISEL-1.20"/>
    <n v="1"/>
    <s v="NO TIENE L3OUT"/>
    <n v="56"/>
    <n v="96"/>
  </r>
  <r>
    <n v="153"/>
    <x v="0"/>
    <x v="244"/>
    <s v="eth1/20"/>
    <x v="0"/>
    <x v="0"/>
    <x v="0"/>
    <s v="CHARGING SYSTEM"/>
    <x v="6"/>
    <b v="0"/>
    <s v="No está en VPC"/>
    <n v="153"/>
    <s v="INTPG_ACC_153_1.20"/>
    <s v="ISEL-1.20"/>
    <n v="1"/>
    <s v="NO TIENE L3OUT"/>
    <n v="42"/>
    <n v="96"/>
  </r>
  <r>
    <n v="119"/>
    <x v="0"/>
    <x v="245"/>
    <s v="eth1/20"/>
    <x v="1"/>
    <x v="1"/>
    <x v="2"/>
    <s v="DESC"/>
    <x v="6"/>
    <b v="0"/>
    <s v="No está en VPC"/>
    <n v="119"/>
    <s v="INTPG_PC_119_1.1-4_17-20"/>
    <s v="ISEL-1.20"/>
    <n v="31"/>
    <s v="NO TIENE L3OUT"/>
    <n v="70"/>
    <n v="96"/>
  </r>
  <r>
    <n v="156"/>
    <x v="0"/>
    <x v="246"/>
    <s v="eth1/20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20"/>
    <x v="0"/>
    <x v="1"/>
    <x v="1"/>
    <s v="EHEALTH:ehealthp07:ILOM"/>
    <x v="6"/>
    <b v="0"/>
    <s v="No está en VPC"/>
    <n v="103"/>
    <s v="INTPG_ACC_103_1.20"/>
    <s v="ISEL-1.20"/>
    <n v="1"/>
    <s v="NO TIENE L3OUT"/>
    <n v="70"/>
    <n v="96"/>
  </r>
  <r>
    <n v="438"/>
    <x v="1"/>
    <x v="248"/>
    <s v="eth1/20"/>
    <x v="0"/>
    <x v="0"/>
    <x v="0"/>
    <s v="HP_Proliant_DL380p(a)"/>
    <x v="6"/>
    <b v="0"/>
    <s v="No está en VPC"/>
    <n v="438"/>
    <s v="INTPG_ACC_438_1.20"/>
    <s v="ISEL-1.20"/>
    <n v="1"/>
    <s v="NO TIENE L3OUT"/>
    <n v="170"/>
    <n v="96"/>
  </r>
  <r>
    <n v="406"/>
    <x v="1"/>
    <x v="249"/>
    <s v="eth1/20"/>
    <x v="0"/>
    <x v="0"/>
    <x v="0"/>
    <s v="ITHRTC42VC2"/>
    <x v="6"/>
    <b v="0"/>
    <s v="No está en VPC"/>
    <n v="406"/>
    <s v="INTPG_VPC_404_1.20_406_1.20"/>
    <s v="ISEL-1.20"/>
    <n v="1"/>
    <s v="NO TIENE L3OUT"/>
    <n v="82"/>
    <n v="96"/>
  </r>
  <r>
    <n v="414"/>
    <x v="1"/>
    <x v="250"/>
    <s v="eth1/20"/>
    <x v="0"/>
    <x v="0"/>
    <x v="0"/>
    <s v="NEC Femtocel NMS"/>
    <x v="6"/>
    <b v="0"/>
    <s v="No está en VPC"/>
    <n v="414"/>
    <s v="INTPG_ACC_414_1.20"/>
    <s v="ISEL-1.20"/>
    <n v="1"/>
    <s v="NO TIENE L3OUT"/>
    <n v="144"/>
    <n v="96"/>
  </r>
  <r>
    <n v="416"/>
    <x v="1"/>
    <x v="251"/>
    <s v="eth1/20"/>
    <x v="0"/>
    <x v="0"/>
    <x v="0"/>
    <s v="TO-ITHEA1A-PRINCIPAL"/>
    <x v="6"/>
    <b v="0"/>
    <s v="No está en VPC"/>
    <n v="416"/>
    <s v="INTPG_ACC_416_1.20"/>
    <s v="ISEL-1.20"/>
    <n v="1"/>
    <s v="NO TIENE L3OUT"/>
    <n v="110"/>
    <n v="96"/>
  </r>
  <r>
    <n v="418"/>
    <x v="1"/>
    <x v="252"/>
    <s v="eth1/20"/>
    <x v="0"/>
    <x v="0"/>
    <x v="0"/>
    <s v="TO-ITHNM1-REDUNDANTE"/>
    <x v="6"/>
    <b v="0"/>
    <s v="No está en VPC"/>
    <n v="418"/>
    <s v="INTPG_ACC_418_1.20"/>
    <s v="ISEL-1.20"/>
    <n v="1"/>
    <s v="NO TIENE L3OUT"/>
    <n v="152"/>
    <n v="96"/>
  </r>
  <r>
    <n v="413"/>
    <x v="1"/>
    <x v="253"/>
    <s v="eth1/20"/>
    <x v="0"/>
    <x v="0"/>
    <x v="0"/>
    <s v="To_lagidmhlapvp08_produccion1"/>
    <x v="6"/>
    <b v="0"/>
    <s v="No está en VPC"/>
    <n v="413"/>
    <s v="INTPG_VPC_411_1.26-29_413_1.19-20_22_86"/>
    <s v="ISEL-1.20"/>
    <n v="2"/>
    <s v="NO TIENE L3OUT"/>
    <n v="126"/>
    <n v="96"/>
  </r>
  <r>
    <n v="403"/>
    <x v="1"/>
    <x v="254"/>
    <s v="eth1/20"/>
    <x v="0"/>
    <x v="0"/>
    <x v="0"/>
    <s v="XL5 RLR5ARI10"/>
    <x v="6"/>
    <b v="0"/>
    <s v="No está en VPC"/>
    <n v="403"/>
    <s v="INTPG_ACC_403_1.20"/>
    <s v="ISEL-1.20"/>
    <n v="1"/>
    <s v="NO TIENE L3OUT"/>
    <n v="150"/>
    <n v="96"/>
  </r>
  <r>
    <n v="125"/>
    <x v="0"/>
    <x v="255"/>
    <s v="eth1/20"/>
    <x v="0"/>
    <x v="1"/>
    <x v="1"/>
    <s v="UXSVA (M5000)"/>
    <x v="6"/>
    <b v="0"/>
    <s v="No está en VPC"/>
    <n v="125"/>
    <s v="INTPG_ACC_125_1.20"/>
    <s v="ISEL-1.20"/>
    <n v="1"/>
    <s v="NO TIENE L3OUT"/>
    <n v="72"/>
    <n v="96"/>
  </r>
  <r>
    <n v="166"/>
    <x v="0"/>
    <x v="256"/>
    <s v="eth1/20"/>
    <x v="1"/>
    <x v="1"/>
    <x v="2"/>
    <s v="UXLDAP"/>
    <x v="6"/>
    <b v="0"/>
    <s v="No está en VPC"/>
    <n v="166"/>
    <s v="INTPG_ACC_166_1.20"/>
    <s v="ISEL-1.20"/>
    <n v="1"/>
    <s v="NO TIENE L3OUT"/>
    <n v="84"/>
    <n v="96"/>
  </r>
  <r>
    <n v="111"/>
    <x v="0"/>
    <x v="257"/>
    <s v="eth1/20"/>
    <x v="0"/>
    <x v="0"/>
    <x v="0"/>
    <s v="UXDX-DATOS"/>
    <x v="6"/>
    <b v="0"/>
    <s v="No está en VPC"/>
    <n v="111"/>
    <s v="INTPG_ACC_111_1.20"/>
    <s v="ISEL-1.20"/>
    <n v="1"/>
    <s v="NO TIENE L3OUT"/>
    <n v="58"/>
    <n v="96"/>
  </r>
  <r>
    <n v="115"/>
    <x v="0"/>
    <x v="258"/>
    <s v="eth1/20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20"/>
    <x v="0"/>
    <x v="1"/>
    <x v="1"/>
    <m/>
    <x v="6"/>
    <b v="0"/>
    <s v="No está en VPC"/>
    <n v="106"/>
    <s v="INTPG_ACC_106_1.20"/>
    <s v="ISEL-1.20"/>
    <n v="1"/>
    <s v="NO TIENE L3OUT"/>
    <n v="122"/>
    <n v="96"/>
  </r>
  <r>
    <n v="126"/>
    <x v="0"/>
    <x v="260"/>
    <s v="eth1/20"/>
    <x v="0"/>
    <x v="0"/>
    <x v="0"/>
    <s v="ENIQ"/>
    <x v="6"/>
    <b v="0"/>
    <s v="No está en VPC"/>
    <n v="126"/>
    <s v="INTPG_ACC_126_1.20"/>
    <s v="ISEL-1.20"/>
    <n v="1"/>
    <s v="NO TIENE L3OUT"/>
    <n v="54"/>
    <n v="96"/>
  </r>
  <r>
    <n v="425"/>
    <x v="1"/>
    <x v="261"/>
    <s v="eth1/20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20"/>
    <x v="0"/>
    <x v="0"/>
    <x v="0"/>
    <s v="ETLI-SACI 2"/>
    <x v="6"/>
    <b v="0"/>
    <s v="No está en VPC"/>
    <n v="151"/>
    <s v="INTPG_ACC_151_1.20"/>
    <s v="ISEL-1.20"/>
    <n v="1"/>
    <s v="NO TIENE L3OUT"/>
    <n v="86"/>
    <n v="96"/>
  </r>
  <r>
    <n v="430"/>
    <x v="1"/>
    <x v="263"/>
    <s v="eth1/20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20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20"/>
    <x v="0"/>
    <x v="1"/>
    <x v="1"/>
    <s v="COBROS NAVEGACION"/>
    <x v="6"/>
    <b v="0"/>
    <s v="No está en VPC"/>
    <n v="155"/>
    <s v="INTPG_ACC_155_1.20"/>
    <s v="ISEL-1.20"/>
    <n v="1"/>
    <s v="NO TIENE L3OUT"/>
    <n v="198"/>
    <n v="96"/>
  </r>
  <r>
    <n v="409"/>
    <x v="1"/>
    <x v="266"/>
    <s v="eth1/20"/>
    <x v="0"/>
    <x v="0"/>
    <x v="0"/>
    <s v="IXTGLAOSS2_CLIENT1"/>
    <x v="6"/>
    <b v="0"/>
    <s v="No está en VPC"/>
    <n v="409"/>
    <s v="INTPG_VPC_407_1.24_409_1.20"/>
    <s v="ISEL-1.20"/>
    <n v="16"/>
    <s v="NO TIENE L3OUT"/>
    <n v="128"/>
    <n v="96"/>
  </r>
  <r>
    <n v="422"/>
    <x v="1"/>
    <x v="267"/>
    <s v="eth1/20"/>
    <x v="0"/>
    <x v="0"/>
    <x v="0"/>
    <s v="IXTAI5_ALOM"/>
    <x v="6"/>
    <b v="0"/>
    <s v="No está en VPC"/>
    <n v="422"/>
    <s v="INTPG_ACC_422_1.20"/>
    <s v="ISEL-1.20"/>
    <n v="1"/>
    <s v="NO TIENE L3OUT"/>
    <n v="182"/>
    <n v="96"/>
  </r>
  <r>
    <n v="436"/>
    <x v="1"/>
    <x v="268"/>
    <s v="eth1/20"/>
    <x v="0"/>
    <x v="0"/>
    <x v="0"/>
    <s v="HP_Proliant_DL380p(a)"/>
    <x v="6"/>
    <b v="0"/>
    <s v="No está en VPC"/>
    <n v="436"/>
    <s v="INTPG_ACC_436_1.20"/>
    <s v="ISEL-1.20"/>
    <n v="1"/>
    <s v="NO TIENE L3OUT"/>
    <n v="172"/>
    <n v="96"/>
  </r>
  <r>
    <n v="410"/>
    <x v="1"/>
    <x v="269"/>
    <s v="eth1/20"/>
    <x v="0"/>
    <x v="0"/>
    <x v="0"/>
    <s v="ITHMSNUBE2_ITH2"/>
    <x v="6"/>
    <b v="0"/>
    <s v="No está en VPC"/>
    <n v="410"/>
    <s v="INTPG_ACC_410_1.20"/>
    <s v="ISEL-1.20"/>
    <n v="1"/>
    <s v="NO TIENE L3OUT"/>
    <n v="178"/>
    <n v="96"/>
  </r>
  <r>
    <n v="161"/>
    <x v="0"/>
    <x v="270"/>
    <s v="eth1/20"/>
    <x v="0"/>
    <x v="0"/>
    <x v="0"/>
    <s v="SICOP"/>
    <x v="6"/>
    <b v="0"/>
    <s v="No está en VPC"/>
    <n v="161"/>
    <s v="INTPG_ACC_161_1.20"/>
    <s v="ISEL-1.20"/>
    <n v="1"/>
    <s v="NO TIENE L3OUT"/>
    <n v="102"/>
    <n v="96"/>
  </r>
  <r>
    <n v="411"/>
    <x v="1"/>
    <x v="271"/>
    <s v="eth1/20"/>
    <x v="0"/>
    <x v="0"/>
    <x v="0"/>
    <m/>
    <x v="6"/>
    <b v="0"/>
    <s v="No está en VPC"/>
    <n v="411"/>
    <s v="INTPG_ACC_411_1.20"/>
    <s v="ISEL-1.20"/>
    <n v="2"/>
    <s v="NO TIENE L3OUT"/>
    <n v="96"/>
    <n v="96"/>
  </r>
  <r>
    <n v="116"/>
    <x v="0"/>
    <x v="272"/>
    <s v="eth1/20"/>
    <x v="0"/>
    <x v="0"/>
    <x v="0"/>
    <s v="COBROS NAVEGACION"/>
    <x v="6"/>
    <b v="0"/>
    <s v="No está en VPC"/>
    <n v="116"/>
    <s v="INTPG_ACC_116_1.20"/>
    <s v="ISEL-1.20"/>
    <n v="1"/>
    <s v="NO TIENE L3OUT"/>
    <n v="148"/>
    <n v="96"/>
  </r>
  <r>
    <n v="412"/>
    <x v="1"/>
    <x v="273"/>
    <s v="eth1/20"/>
    <x v="0"/>
    <x v="0"/>
    <x v="0"/>
    <s v="RESPAL_CS5_ASAP8"/>
    <x v="6"/>
    <b v="0"/>
    <s v="No está en VPC"/>
    <n v="412"/>
    <s v="INTPG_ACC_412_1.20"/>
    <s v="ISEL-1.20"/>
    <n v="1"/>
    <s v="NO TIENE L3OUT"/>
    <n v="126"/>
    <n v="96"/>
  </r>
  <r>
    <n v="120"/>
    <x v="0"/>
    <x v="274"/>
    <s v="eth1/20"/>
    <x v="0"/>
    <x v="0"/>
    <x v="0"/>
    <s v="FCSW1_MGMT"/>
    <x v="6"/>
    <b v="0"/>
    <s v="No está en VPC"/>
    <n v="120"/>
    <s v="INTPG_ACC_120_1.20"/>
    <s v="ISEL-1.20"/>
    <n v="1"/>
    <s v="NO TIENE L3OUT"/>
    <n v="158"/>
    <n v="96"/>
  </r>
  <r>
    <n v="404"/>
    <x v="1"/>
    <x v="275"/>
    <s v="eth1/20"/>
    <x v="0"/>
    <x v="0"/>
    <x v="0"/>
    <s v="ITHRTC42VC2"/>
    <x v="6"/>
    <b v="0"/>
    <s v="No está en VPC"/>
    <n v="404"/>
    <s v="INTPG_VPC_404_1.20_406_1.20"/>
    <s v="ISEL-1.20"/>
    <n v="1"/>
    <s v="NO TIENE L3OUT"/>
    <n v="92"/>
    <n v="96"/>
  </r>
  <r>
    <n v="167"/>
    <x v="0"/>
    <x v="276"/>
    <s v="eth1/20"/>
    <x v="0"/>
    <x v="0"/>
    <x v="0"/>
    <s v="9UCS-GEO-IXTLA-SERV1"/>
    <x v="6"/>
    <b v="0"/>
    <s v="No está en VPC"/>
    <n v="167"/>
    <s v="INTPG_ACC_167_1.20"/>
    <s v="ISEL-1.20"/>
    <n v="1"/>
    <s v="NO TIENE L3OUT"/>
    <n v="68"/>
    <n v="96"/>
  </r>
  <r>
    <n v="428"/>
    <x v="1"/>
    <x v="277"/>
    <s v="eth1/20"/>
    <x v="0"/>
    <x v="1"/>
    <x v="7"/>
    <s v="OSS_3G_TIJUANA_LAG"/>
    <x v="6"/>
    <b v="0"/>
    <s v="No está en VPC"/>
    <n v="428"/>
    <s v="INTPG_VPC_428_1.20_430_1.25"/>
    <s v="ISEL-1.20"/>
    <n v="13"/>
    <s v="NO TIENE L3OUT"/>
    <n v="102"/>
    <n v="96"/>
  </r>
  <r>
    <n v="903"/>
    <x v="2"/>
    <x v="278"/>
    <s v="eth1/20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20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21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21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21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21"/>
    <x v="0"/>
    <x v="0"/>
    <x v="0"/>
    <s v="TO-ITHFHPNBURBKP02"/>
    <x v="0"/>
    <b v="0"/>
    <s v="No está en VPC"/>
    <n v="101"/>
    <s v="INTPG_VPC_101_1.21_150_1.21"/>
    <s v="ISEL-1.21"/>
    <n v="1"/>
    <s v="NO TIENE L3OUT"/>
    <n v="114"/>
    <n v="54"/>
  </r>
  <r>
    <n v="160"/>
    <x v="0"/>
    <x v="4"/>
    <s v="eth1/21"/>
    <x v="0"/>
    <x v="0"/>
    <x v="0"/>
    <m/>
    <x v="1"/>
    <b v="0"/>
    <s v="No está en VPC"/>
    <n v="160"/>
    <s v="INTPG_ACC_160_1.21"/>
    <s v="ISEL-1.21"/>
    <n v="1"/>
    <s v="NO TIENE L3OUT"/>
    <n v="68"/>
    <n v="54"/>
  </r>
  <r>
    <n v="121"/>
    <x v="0"/>
    <x v="5"/>
    <s v="eth1/21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21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21"/>
    <x v="0"/>
    <x v="1"/>
    <x v="3"/>
    <m/>
    <x v="0"/>
    <b v="0"/>
    <s v="No está en VPC"/>
    <n v="401"/>
    <s v="NO EXISTE PG"/>
    <s v="NO EXISTE ISEL"/>
    <n v="0"/>
    <s v="NO TIENE L3OUT"/>
    <n v="40"/>
    <n v="54"/>
  </r>
  <r>
    <n v="402"/>
    <x v="1"/>
    <x v="8"/>
    <s v="eth1/21"/>
    <x v="0"/>
    <x v="1"/>
    <x v="3"/>
    <m/>
    <x v="0"/>
    <b v="0"/>
    <s v="No está en VPC"/>
    <n v="402"/>
    <s v="NO EXISTE PG"/>
    <s v="NO EXISTE ISEL"/>
    <n v="0"/>
    <s v="NO TIENE L3OUT"/>
    <n v="36"/>
    <n v="54"/>
  </r>
  <r>
    <n v="447"/>
    <x v="1"/>
    <x v="9"/>
    <s v="eth1/21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21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21"/>
    <x v="0"/>
    <x v="0"/>
    <x v="0"/>
    <s v="TO-ITHEMCDD99000569"/>
    <x v="0"/>
    <b v="0"/>
    <s v="No está en VPC"/>
    <n v="130"/>
    <s v="INTPG_VPC_130_1.21-22_131_1.22-23"/>
    <s v="ISEL-1.21"/>
    <n v="1"/>
    <s v="NO TIENE L3OUT"/>
    <n v="128"/>
    <n v="54"/>
  </r>
  <r>
    <n v="150"/>
    <x v="0"/>
    <x v="12"/>
    <s v="eth1/21"/>
    <x v="0"/>
    <x v="0"/>
    <x v="0"/>
    <s v="TO-ITHFHPNBURBKP02"/>
    <x v="0"/>
    <b v="0"/>
    <s v="No está en VPC"/>
    <n v="150"/>
    <s v="INTPG_VPC_101_1.21_150_1.21"/>
    <s v="ISEL-1.21"/>
    <n v="1"/>
    <s v="NO TIENE L3OUT"/>
    <n v="118"/>
    <n v="54"/>
  </r>
  <r>
    <n v="131"/>
    <x v="0"/>
    <x v="13"/>
    <s v="eth1/21"/>
    <x v="0"/>
    <x v="0"/>
    <x v="0"/>
    <s v="TO-ITHEMCDD99000569"/>
    <x v="0"/>
    <b v="0"/>
    <s v="No está en VPC"/>
    <n v="131"/>
    <s v="INTPG_VPC_130_1.20_131_1.20-21"/>
    <s v="ISEL-1.21"/>
    <n v="1"/>
    <s v="NO TIENE L3OUT"/>
    <n v="126"/>
    <n v="54"/>
  </r>
  <r>
    <n v="303"/>
    <x v="0"/>
    <x v="14"/>
    <s v="eth1/21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21"/>
    <x v="0"/>
    <x v="0"/>
    <x v="0"/>
    <s v="GRLK-EN04-LAG01"/>
    <x v="2"/>
    <b v="0"/>
    <s v="No está en VPC"/>
    <n v="758"/>
    <s v="INTPG_VPC_758_1.21_759_1.21"/>
    <s v="ISEL-1.21"/>
    <n v="145"/>
    <s v="NO TIENE L3OUT"/>
    <n v="0"/>
    <n v="42"/>
  </r>
  <r>
    <n v="759"/>
    <x v="2"/>
    <x v="16"/>
    <s v="eth1/21"/>
    <x v="0"/>
    <x v="0"/>
    <x v="0"/>
    <s v="GRLK-EN04-LAG01"/>
    <x v="2"/>
    <b v="0"/>
    <s v="No está en VPC"/>
    <n v="759"/>
    <s v="INTPG_VPC_758_1.21_759_1.21"/>
    <s v="ISEL-1.21"/>
    <n v="145"/>
    <s v="NO TIENE L3OUT"/>
    <n v="0"/>
    <n v="42"/>
  </r>
  <r>
    <n v="302"/>
    <x v="0"/>
    <x v="17"/>
    <s v="eth1/21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21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21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21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21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21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21"/>
    <x v="0"/>
    <x v="0"/>
    <x v="0"/>
    <m/>
    <x v="0"/>
    <b v="0"/>
    <s v="No está en VPC"/>
    <n v="724"/>
    <s v="INTPG-VPC_HDD98_724_1.21_725_1.22"/>
    <s v="ISEL-1.21"/>
    <n v="1"/>
    <s v="NO TIENE L3OUT"/>
    <n v="0"/>
    <n v="54"/>
  </r>
  <r>
    <n v="602"/>
    <x v="1"/>
    <x v="24"/>
    <s v="eth1/21"/>
    <x v="0"/>
    <x v="1"/>
    <x v="3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21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21"/>
    <x v="0"/>
    <x v="0"/>
    <x v="0"/>
    <s v="ZTE_HADOOP_produccion_client_LAG"/>
    <x v="0"/>
    <b v="0"/>
    <s v="No está en VPC"/>
    <n v="431"/>
    <s v="INTPG_VPC_431_1.18-21_448_1.18-21"/>
    <s v="ISEL-1.21"/>
    <n v="8"/>
    <s v="NO TIENE L3OUT"/>
    <n v="46"/>
    <n v="54"/>
  </r>
  <r>
    <n v="433"/>
    <x v="1"/>
    <x v="27"/>
    <s v="eth1/21"/>
    <x v="0"/>
    <x v="0"/>
    <x v="0"/>
    <s v="ITHNBCOP3ET02_IDRAC1"/>
    <x v="1"/>
    <b v="0"/>
    <s v="No está en VPC"/>
    <n v="433"/>
    <s v="INTPG_ACC_433_1.21"/>
    <s v="ISEL-1.21"/>
    <n v="1"/>
    <s v="NO TIENE L3OUT"/>
    <n v="42"/>
    <n v="54"/>
  </r>
  <r>
    <n v="429"/>
    <x v="1"/>
    <x v="28"/>
    <s v="eth1/21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21"/>
    <x v="0"/>
    <x v="0"/>
    <x v="0"/>
    <s v="SecAnLG_Gb2_05-Colector_R1toR8_RD-IXTSALG_H1_8RD"/>
    <x v="1"/>
    <b v="0"/>
    <s v="No está en VPC"/>
    <n v="432"/>
    <s v="INTPG_ACC_432_1.21"/>
    <s v="ISEL-1.21"/>
    <n v="1"/>
    <s v="NO TIENE L3OUT"/>
    <n v="54"/>
    <n v="54"/>
  </r>
  <r>
    <n v="442"/>
    <x v="1"/>
    <x v="30"/>
    <s v="eth1/21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21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21"/>
    <x v="0"/>
    <x v="0"/>
    <x v="0"/>
    <s v="CEM_ITHCEMG2APP18"/>
    <x v="0"/>
    <b v="0"/>
    <s v="No está en VPC"/>
    <n v="707"/>
    <s v="INTPG_VPC_707_1.21_736_1.21"/>
    <s v="ISEL-1.21"/>
    <n v="1"/>
    <s v="NO TIENE L3OUT"/>
    <n v="54"/>
    <n v="54"/>
  </r>
  <r>
    <n v="712"/>
    <x v="2"/>
    <x v="33"/>
    <s v="eth1/21"/>
    <x v="0"/>
    <x v="1"/>
    <x v="5"/>
    <s v="CEM:ITHCEMB2AKF11:LOM P1"/>
    <x v="0"/>
    <b v="0"/>
    <s v="No está en VPC"/>
    <n v="712"/>
    <s v="INTPG_VPC_712_1.21_713_1.22"/>
    <s v="ISEL-1.21"/>
    <n v="1"/>
    <s v="NO TIENE L3OUT"/>
    <n v="32"/>
    <n v="54"/>
  </r>
  <r>
    <n v="719"/>
    <x v="2"/>
    <x v="34"/>
    <s v="eth1/21"/>
    <x v="0"/>
    <x v="0"/>
    <x v="0"/>
    <m/>
    <x v="0"/>
    <b v="0"/>
    <s v="No está en VPC"/>
    <n v="719"/>
    <s v="INTPG-VPC_CMY02_719_1.21_720_1.22"/>
    <s v="ISEL-1.21"/>
    <n v="1"/>
    <s v="NO TIENE L3OUT"/>
    <n v="0"/>
    <n v="54"/>
  </r>
  <r>
    <n v="715"/>
    <x v="2"/>
    <x v="35"/>
    <s v="eth1/21"/>
    <x v="0"/>
    <x v="0"/>
    <x v="0"/>
    <m/>
    <x v="0"/>
    <b v="0"/>
    <s v="No está en VPC"/>
    <n v="715"/>
    <s v="INTPG-VPC_SLR03_715_1.21_716_1.22"/>
    <s v="ISEL-1.21"/>
    <n v="1"/>
    <s v="NO TIENE L3OUT"/>
    <n v="0"/>
    <n v="54"/>
  </r>
  <r>
    <n v="427"/>
    <x v="1"/>
    <x v="36"/>
    <s v="eth1/21"/>
    <x v="0"/>
    <x v="1"/>
    <x v="1"/>
    <s v="TO-TEMP_SALIDA_ROUTER_INTERNET"/>
    <x v="1"/>
    <b v="0"/>
    <s v="No está en VPC"/>
    <n v="427"/>
    <s v="INTPG_ACC_427_1.21"/>
    <s v="ISEL-1.21"/>
    <n v="1"/>
    <s v="NO TIENE L3OUT"/>
    <n v="10"/>
    <n v="54"/>
  </r>
  <r>
    <n v="711"/>
    <x v="2"/>
    <x v="37"/>
    <s v="eth1/21"/>
    <x v="0"/>
    <x v="1"/>
    <x v="5"/>
    <s v="CEM:ITHCEMC2AKF11:LOM P1"/>
    <x v="0"/>
    <b v="0"/>
    <s v="No está en VPC"/>
    <n v="711"/>
    <s v="INTPG_VPC_710_1.22_711_1.21"/>
    <s v="ISEL-1.21"/>
    <n v="1"/>
    <s v="NO TIENE L3OUT"/>
    <n v="16"/>
    <n v="54"/>
  </r>
  <r>
    <n v="716"/>
    <x v="2"/>
    <x v="38"/>
    <s v="eth1/21"/>
    <x v="0"/>
    <x v="0"/>
    <x v="0"/>
    <m/>
    <x v="0"/>
    <b v="0"/>
    <s v="No está en VPC"/>
    <n v="716"/>
    <s v="INTPG-VPC_HDD29_716_1.21_715_1.22"/>
    <s v="ISEL-1.21"/>
    <n v="1"/>
    <s v="NO TIENE L3OUT"/>
    <n v="0"/>
    <n v="54"/>
  </r>
  <r>
    <n v="702"/>
    <x v="2"/>
    <x v="39"/>
    <s v="eth1/21"/>
    <x v="0"/>
    <x v="0"/>
    <x v="0"/>
    <m/>
    <x v="0"/>
    <b v="0"/>
    <s v="No está en VPC"/>
    <n v="702"/>
    <s v="INTPG_VPC_702_1.21_701_1.22"/>
    <s v="ISEL-1.21"/>
    <n v="1"/>
    <s v="NO TIENE L3OUT"/>
    <n v="0"/>
    <n v="54"/>
  </r>
  <r>
    <n v="435"/>
    <x v="1"/>
    <x v="40"/>
    <s v="eth1/21"/>
    <x v="0"/>
    <x v="0"/>
    <x v="0"/>
    <s v="ITHNBCOP3ET02_ETH2"/>
    <x v="1"/>
    <b v="0"/>
    <s v="No está en VPC"/>
    <n v="435"/>
    <s v="INTPG_ACC_435_1.21"/>
    <s v="ISEL-1.21"/>
    <n v="1"/>
    <s v="NO TIENE L3OUT"/>
    <n v="34"/>
    <n v="54"/>
  </r>
  <r>
    <n v="446"/>
    <x v="1"/>
    <x v="41"/>
    <s v="eth1/21"/>
    <x v="0"/>
    <x v="0"/>
    <x v="0"/>
    <m/>
    <x v="0"/>
    <b v="0"/>
    <s v="No está en VPC"/>
    <n v="446"/>
    <s v="INTPG_ACC_446_1.21"/>
    <s v="ISEL-1.21"/>
    <n v="9"/>
    <s v="NO TIENE L3OUT"/>
    <n v="198"/>
    <n v="54"/>
  </r>
  <r>
    <n v="444"/>
    <x v="1"/>
    <x v="42"/>
    <s v="eth1/21"/>
    <x v="0"/>
    <x v="0"/>
    <x v="0"/>
    <s v="TO-ITHFDLMCLWLCN02"/>
    <x v="0"/>
    <b v="0"/>
    <s v="No está en VPC"/>
    <n v="444"/>
    <s v="INTPG_VPC_446_1.22_444_1.21"/>
    <s v="ISEL-1.21"/>
    <n v="3"/>
    <s v="NO TIENE L3OUT"/>
    <n v="234"/>
    <n v="54"/>
  </r>
  <r>
    <n v="701"/>
    <x v="2"/>
    <x v="43"/>
    <s v="eth1/21"/>
    <x v="0"/>
    <x v="0"/>
    <x v="0"/>
    <m/>
    <x v="0"/>
    <b v="0"/>
    <s v="No está en VPC"/>
    <n v="701"/>
    <s v="INTPG_VPC_701_1.21_702_1.22"/>
    <s v="ISEL-1.21"/>
    <n v="1"/>
    <s v="NO TIENE L3OUT"/>
    <n v="0"/>
    <n v="54"/>
  </r>
  <r>
    <n v="440"/>
    <x v="1"/>
    <x v="44"/>
    <s v="eth1/21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21"/>
    <x v="0"/>
    <x v="0"/>
    <x v="0"/>
    <s v="ZTE_HADOOP_produccion_client_LAG"/>
    <x v="0"/>
    <b v="0"/>
    <s v="No está en VPC"/>
    <n v="448"/>
    <s v="INTPG_VPC_431_1.18-21_448_1.18-21"/>
    <s v="ISEL-1.21"/>
    <n v="8"/>
    <s v="NO TIENE L3OUT"/>
    <n v="46"/>
    <n v="54"/>
  </r>
  <r>
    <n v="704"/>
    <x v="2"/>
    <x v="46"/>
    <s v="eth1/21"/>
    <x v="0"/>
    <x v="0"/>
    <x v="0"/>
    <m/>
    <x v="0"/>
    <b v="0"/>
    <s v="No está en VPC"/>
    <n v="704"/>
    <s v="INTPG_VPC_704_1.21_703_1.22"/>
    <s v="ISEL-1.21"/>
    <n v="1"/>
    <s v="NO TIENE L3OUT"/>
    <n v="0"/>
    <n v="54"/>
  </r>
  <r>
    <n v="729"/>
    <x v="2"/>
    <x v="47"/>
    <s v="eth1/21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21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21"/>
    <x v="0"/>
    <x v="0"/>
    <x v="0"/>
    <s v="HACIA_MGMT-OSCP-F4-01_SECUNDARIO"/>
    <x v="4"/>
    <b v="0"/>
    <s v="No está en VPC"/>
    <n v="456"/>
    <s v="INTPG_VPC_454_1.21_456_1.21"/>
    <s v="ISEL-1.21"/>
    <n v="1"/>
    <s v="NO TIENE L3OUT"/>
    <n v="4"/>
    <n v="54"/>
  </r>
  <r>
    <n v="603"/>
    <x v="1"/>
    <x v="50"/>
    <s v="eth1/21"/>
    <x v="0"/>
    <x v="1"/>
    <x v="3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21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21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21"/>
    <x v="0"/>
    <x v="0"/>
    <x v="0"/>
    <s v="Server_Pre-R02-CBS-RH2288-05"/>
    <x v="0"/>
    <b v="0"/>
    <s v="No está en VPC"/>
    <n v="730"/>
    <s v="INTPG_ACC_730_1.21"/>
    <s v="ISEL-1.21"/>
    <n v="1"/>
    <s v="NO TIENE L3OUT"/>
    <n v="36"/>
    <n v="54"/>
  </r>
  <r>
    <n v="722"/>
    <x v="2"/>
    <x v="54"/>
    <s v="eth1/21"/>
    <x v="0"/>
    <x v="0"/>
    <x v="0"/>
    <m/>
    <x v="0"/>
    <b v="0"/>
    <s v="No está en VPC"/>
    <n v="722"/>
    <s v="INTPG-VPC_HDD123_722_1.21_723_1.22"/>
    <s v="ISEL-1.21"/>
    <n v="1"/>
    <s v="NO TIENE L3OUT"/>
    <n v="0"/>
    <n v="54"/>
  </r>
  <r>
    <n v="733"/>
    <x v="2"/>
    <x v="55"/>
    <s v="eth1/21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21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21"/>
    <x v="0"/>
    <x v="0"/>
    <x v="0"/>
    <m/>
    <x v="0"/>
    <b v="0"/>
    <s v="No está en VPC"/>
    <n v="748"/>
    <s v="INTPG_ACC_748_1.21"/>
    <s v="ISEL-1.21"/>
    <n v="0"/>
    <s v="NO TIENE L3OUT"/>
    <n v="2"/>
    <n v="54"/>
  </r>
  <r>
    <n v="756"/>
    <x v="2"/>
    <x v="58"/>
    <s v="eth1/21"/>
    <x v="0"/>
    <x v="0"/>
    <x v="0"/>
    <s v="OSS F1:ithenmr06e1r9b:Bay2/X1"/>
    <x v="0"/>
    <b v="0"/>
    <s v="No está en VPC"/>
    <n v="756"/>
    <s v="INTPG_PC_756_1.21-22"/>
    <s v="ISEL-1.21"/>
    <n v="8"/>
    <s v="NO TIENE L3OUT"/>
    <n v="64"/>
    <n v="54"/>
  </r>
  <r>
    <n v="754"/>
    <x v="2"/>
    <x v="59"/>
    <s v="eth1/21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21"/>
    <x v="0"/>
    <x v="0"/>
    <x v="0"/>
    <m/>
    <x v="0"/>
    <b v="0"/>
    <s v="No está en VPC"/>
    <n v="751"/>
    <s v="INTPG_ACC_751_1.21"/>
    <s v="ISEL-1.21"/>
    <n v="0"/>
    <s v="NO TIENE L3OUT"/>
    <n v="0"/>
    <n v="54"/>
  </r>
  <r>
    <n v="769"/>
    <x v="2"/>
    <x v="61"/>
    <s v="eth1/21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21"/>
    <x v="0"/>
    <x v="0"/>
    <x v="0"/>
    <s v="CEM:ITHCEMA2AKF11:LOM P3"/>
    <x v="5"/>
    <b v="0"/>
    <s v="No está en VPC"/>
    <n v="742"/>
    <s v="INTPG_ACC_742_1.21"/>
    <s v="ISEL-1.21"/>
    <n v="1"/>
    <s v="NO TIENE L3OUT"/>
    <n v="64"/>
    <n v="54"/>
  </r>
  <r>
    <n v="763"/>
    <x v="2"/>
    <x v="63"/>
    <s v="eth1/21"/>
    <x v="0"/>
    <x v="0"/>
    <x v="0"/>
    <s v="PAAS:ithhwosstpap006:FlexIO.1"/>
    <x v="0"/>
    <b v="0"/>
    <s v="No está en VPC"/>
    <n v="763"/>
    <s v="INTPG_VPC_762_1.21_763_1.21"/>
    <s v="ISEL-1.21"/>
    <n v="1"/>
    <s v="NO TIENE L3OUT"/>
    <n v="2"/>
    <n v="54"/>
  </r>
  <r>
    <n v="766"/>
    <x v="2"/>
    <x v="64"/>
    <s v="eth1/21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21"/>
    <x v="0"/>
    <x v="0"/>
    <x v="0"/>
    <s v="TO-9S_BESDR_IXTLA3_1"/>
    <x v="0"/>
    <b v="0"/>
    <s v="No está en VPC"/>
    <n v="760"/>
    <s v="INTPG_VPC_760_1.21-24_761_1.21-24"/>
    <s v="ISEL-1.21"/>
    <n v="33"/>
    <s v="NO TIENE L3OUT"/>
    <n v="0"/>
    <n v="54"/>
  </r>
  <r>
    <n v="752"/>
    <x v="2"/>
    <x v="66"/>
    <s v="eth1/21"/>
    <x v="0"/>
    <x v="0"/>
    <x v="0"/>
    <s v="PAAS:ithhwosstpap006:LOM PORT 1"/>
    <x v="0"/>
    <b v="0"/>
    <s v="No está en VPC"/>
    <n v="752"/>
    <s v="INTPG_VPC_747_1.21_752_1.21"/>
    <s v="ISEL-1.21"/>
    <n v="25"/>
    <s v="NO TIENE L3OUT"/>
    <n v="0"/>
    <n v="54"/>
  </r>
  <r>
    <n v="765"/>
    <x v="2"/>
    <x v="67"/>
    <s v="eth1/21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21"/>
    <x v="0"/>
    <x v="0"/>
    <x v="0"/>
    <s v="VERITAS:ITHFVEAPCNBST02 :10GbE"/>
    <x v="0"/>
    <b v="0"/>
    <s v="No está en VPC"/>
    <n v="778"/>
    <s v="INTPG_VPC_778_1.20-21_779_1.20-21"/>
    <s v="ISEL-1.21"/>
    <n v="2"/>
    <s v="NO TIENE L3OUT"/>
    <n v="26"/>
    <n v="54"/>
  </r>
  <r>
    <n v="780"/>
    <x v="2"/>
    <x v="69"/>
    <s v="eth1/21"/>
    <x v="0"/>
    <x v="0"/>
    <x v="0"/>
    <s v="CLOUD OPS:ithhwcop02en01:1E P2"/>
    <x v="0"/>
    <b v="0"/>
    <s v="No está en VPC"/>
    <n v="780"/>
    <s v="INTPG_VPC_780_1.20-21_26-27_781_1.20-21_26-27"/>
    <s v="ISEL-1.21"/>
    <n v="23"/>
    <s v="NO TIENE L3OUT"/>
    <n v="26"/>
    <n v="54"/>
  </r>
  <r>
    <n v="812"/>
    <x v="2"/>
    <x v="70"/>
    <s v="eth1/21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21"/>
    <x v="0"/>
    <x v="0"/>
    <x v="0"/>
    <s v="TO_ITHFDEOSPVLMT01"/>
    <x v="0"/>
    <b v="0"/>
    <s v="No está en VPC"/>
    <n v="796"/>
    <s v="INTPG_VPC_795_1.19-21_796_1.19-21"/>
    <s v="ISEL-1.21"/>
    <n v="2"/>
    <s v="NO TIENE L3OUT"/>
    <n v="18"/>
    <n v="54"/>
  </r>
  <r>
    <n v="795"/>
    <x v="2"/>
    <x v="72"/>
    <s v="eth1/21"/>
    <x v="0"/>
    <x v="0"/>
    <x v="0"/>
    <s v="TO_ITHFDEOSPVLMT01"/>
    <x v="0"/>
    <b v="0"/>
    <s v="No está en VPC"/>
    <n v="795"/>
    <s v="INTPG_VPC_795_1.19-21_796_1.19-21"/>
    <s v="ISEL-1.21"/>
    <n v="2"/>
    <s v="NO TIENE L3OUT"/>
    <n v="18"/>
    <n v="54"/>
  </r>
  <r>
    <n v="749"/>
    <x v="2"/>
    <x v="73"/>
    <s v="eth1/21"/>
    <x v="0"/>
    <x v="0"/>
    <x v="0"/>
    <m/>
    <x v="0"/>
    <b v="0"/>
    <s v="No está en VPC"/>
    <n v="749"/>
    <s v="INTPG_ACC_749_1.21"/>
    <s v="ISEL-1.21"/>
    <n v="0"/>
    <s v="NO TIENE L3OUT"/>
    <n v="4"/>
    <n v="54"/>
  </r>
  <r>
    <n v="824"/>
    <x v="2"/>
    <x v="74"/>
    <s v="eth1/21"/>
    <x v="0"/>
    <x v="0"/>
    <x v="0"/>
    <s v="LINK_TO_ITHFHWCMVWPMA12 /Slot5.1 /Redundante"/>
    <x v="0"/>
    <b v="0"/>
    <s v="No está en VPC"/>
    <n v="824"/>
    <s v="INTPG_ACC_824_1.21"/>
    <s v="ISEL-1.21"/>
    <n v="1"/>
    <s v="NO TIENE L3OUT"/>
    <n v="70"/>
    <n v="54"/>
  </r>
  <r>
    <n v="819"/>
    <x v="2"/>
    <x v="75"/>
    <s v="eth1/21"/>
    <x v="0"/>
    <x v="0"/>
    <x v="0"/>
    <s v="LINK_TO_ITHFHWCMVWPMA12 /10GE.1 /Principal"/>
    <x v="0"/>
    <b v="0"/>
    <s v="No está en VPC"/>
    <n v="819"/>
    <s v="INTPG_ACC_819_1.21"/>
    <s v="ISEL-1.21"/>
    <n v="1"/>
    <s v="NO TIENE L3OUT"/>
    <n v="70"/>
    <n v="54"/>
  </r>
  <r>
    <n v="737"/>
    <x v="2"/>
    <x v="76"/>
    <s v="eth1/21"/>
    <x v="0"/>
    <x v="0"/>
    <x v="0"/>
    <s v="CEM:ITHCEMF2RTB11:LOM P3"/>
    <x v="5"/>
    <b v="0"/>
    <s v="No está en VPC"/>
    <n v="737"/>
    <s v="INTPG_ACC_737_1.21"/>
    <s v="ISEL-1.21"/>
    <n v="1"/>
    <s v="NO TIENE L3OUT"/>
    <n v="72"/>
    <n v="54"/>
  </r>
  <r>
    <n v="844"/>
    <x v="2"/>
    <x v="77"/>
    <s v="eth1/21"/>
    <x v="0"/>
    <x v="0"/>
    <x v="0"/>
    <s v="LINK_TO_ITHFHWCRMPLCN107 / Slot1.3_18 / Principal"/>
    <x v="0"/>
    <b v="0"/>
    <s v="No está en VPC"/>
    <n v="844"/>
    <s v="INTPG_ACC_844_1.21"/>
    <s v="ISEL-1.21"/>
    <n v="1"/>
    <s v="NO TIENE L3OUT"/>
    <n v="282"/>
    <n v="54"/>
  </r>
  <r>
    <n v="843"/>
    <x v="2"/>
    <x v="78"/>
    <s v="eth1/21"/>
    <x v="0"/>
    <x v="0"/>
    <x v="0"/>
    <s v="LINK_To_ITHFHWCBSPSWR42 / Slot7.1_28 / Redundante"/>
    <x v="0"/>
    <b v="0"/>
    <s v="No está en VPC"/>
    <n v="843"/>
    <s v="INTPG_VPC_838_1.21_843_1.21"/>
    <s v="ISEL-1.21"/>
    <n v="2"/>
    <s v="NO TIENE L3OUT"/>
    <n v="38"/>
    <n v="54"/>
  </r>
  <r>
    <n v="797"/>
    <x v="2"/>
    <x v="79"/>
    <s v="eth1/21"/>
    <x v="0"/>
    <x v="0"/>
    <x v="0"/>
    <s v="TO-HDPS_23-MSP"/>
    <x v="0"/>
    <b v="0"/>
    <s v="No está en VPC"/>
    <n v="797"/>
    <s v="INTPG_ACC_797_1.21"/>
    <s v="ISEL-1.21"/>
    <n v="1"/>
    <s v="NO TIENE L3OUT"/>
    <n v="48"/>
    <n v="54"/>
  </r>
  <r>
    <n v="839"/>
    <x v="2"/>
    <x v="80"/>
    <s v="eth1/21"/>
    <x v="0"/>
    <x v="0"/>
    <x v="0"/>
    <s v="LINK_TO_ITHFHWCBSPSWR64 / Slot7.3_16 / Redundante"/>
    <x v="0"/>
    <b v="0"/>
    <s v="No está en VPC"/>
    <n v="839"/>
    <s v="INTPG_VPC_834_1.21_839_1.21"/>
    <s v="ISEL-1.21"/>
    <n v="1"/>
    <s v="NO TIENE L3OUT"/>
    <n v="0"/>
    <n v="54"/>
  </r>
  <r>
    <n v="847"/>
    <x v="2"/>
    <x v="81"/>
    <s v="eth1/21"/>
    <x v="0"/>
    <x v="0"/>
    <x v="0"/>
    <s v="LINK_TO_ITHFHWCRMPLCN172 / Slot7.2_14 / Redundante"/>
    <x v="0"/>
    <b v="0"/>
    <s v="No está en VPC"/>
    <n v="847"/>
    <s v="INTPG_ACC_847_1.21"/>
    <s v="ISEL-1.21"/>
    <n v="2"/>
    <s v="NO TIENE L3OUT"/>
    <n v="204"/>
    <n v="54"/>
  </r>
  <r>
    <n v="848"/>
    <x v="2"/>
    <x v="82"/>
    <s v="eth1/21"/>
    <x v="0"/>
    <x v="0"/>
    <x v="0"/>
    <s v="LINK_TO_ITHFHWCRMPLCN161 / Slot7.2_24 / Redundante"/>
    <x v="0"/>
    <b v="0"/>
    <s v="No está en VPC"/>
    <n v="848"/>
    <s v="INTPG_ACC_848_1.21"/>
    <s v="ISEL-1.21"/>
    <n v="2"/>
    <s v="NO TIENE L3OUT"/>
    <n v="254"/>
    <n v="54"/>
  </r>
  <r>
    <n v="846"/>
    <x v="2"/>
    <x v="83"/>
    <s v="eth1/21"/>
    <x v="0"/>
    <x v="0"/>
    <x v="0"/>
    <s v="LINK_TO_ITHFHWCRMPLCN78 / Slot1.3_14 / Principal"/>
    <x v="0"/>
    <b v="0"/>
    <s v="No está en VPC"/>
    <n v="846"/>
    <s v="INTPG_ACC_846_1.21"/>
    <s v="ISEL-1.21"/>
    <n v="1"/>
    <s v="NO TIENE L3OUT"/>
    <n v="242"/>
    <n v="54"/>
  </r>
  <r>
    <n v="838"/>
    <x v="2"/>
    <x v="84"/>
    <s v="eth1/21"/>
    <x v="0"/>
    <x v="0"/>
    <x v="0"/>
    <s v="LINK_To_ITHFHWCBSPSWR42 / Slot1.1_28 / Principal"/>
    <x v="0"/>
    <b v="0"/>
    <s v="No está en VPC"/>
    <n v="838"/>
    <s v="INTPG_VPC_838_1.21_843_1.21"/>
    <s v="ISEL-1.21"/>
    <n v="2"/>
    <s v="NO TIENE L3OUT"/>
    <n v="38"/>
    <n v="54"/>
  </r>
  <r>
    <n v="849"/>
    <x v="2"/>
    <x v="85"/>
    <s v="eth1/21"/>
    <x v="0"/>
    <x v="0"/>
    <x v="0"/>
    <s v="LINK_TO_ITHFHWCRMPLCN141 / Slot7.2_16 / Redundante"/>
    <x v="0"/>
    <b v="0"/>
    <s v="No está en VPC"/>
    <n v="849"/>
    <s v="INTPG_ACC_849_1.21"/>
    <s v="ISEL-1.21"/>
    <n v="2"/>
    <s v="NO TIENE L3OUT"/>
    <n v="286"/>
    <n v="54"/>
  </r>
  <r>
    <n v="845"/>
    <x v="2"/>
    <x v="86"/>
    <s v="eth1/21"/>
    <x v="0"/>
    <x v="0"/>
    <x v="0"/>
    <s v="LINK_TO_ITHFHWCRMPLCN91 / Slot1.1_14 / Principal"/>
    <x v="0"/>
    <b v="0"/>
    <s v="No está en VPC"/>
    <n v="845"/>
    <s v="INTPG_ACC_845_1.21"/>
    <s v="ISEL-1.21"/>
    <n v="6"/>
    <s v="NO TIENE L3OUT"/>
    <n v="258"/>
    <n v="54"/>
  </r>
  <r>
    <n v="873"/>
    <x v="2"/>
    <x v="87"/>
    <s v="eth1/21"/>
    <x v="0"/>
    <x v="0"/>
    <x v="0"/>
    <s v="TO_ITHFHWCRMDLCN60_Principal"/>
    <x v="0"/>
    <b v="0"/>
    <s v="No está en VPC"/>
    <n v="873"/>
    <s v="INTPG_ACC_873_1.21"/>
    <s v="ISEL-1.21"/>
    <n v="6"/>
    <s v="NO TIENE L3OUT"/>
    <n v="248"/>
    <n v="54"/>
  </r>
  <r>
    <n v="864"/>
    <x v="2"/>
    <x v="88"/>
    <s v="eth1/21"/>
    <x v="0"/>
    <x v="0"/>
    <x v="0"/>
    <s v="To_VPC_2DCBSD_TL06_3"/>
    <x v="0"/>
    <b v="0"/>
    <s v="No está en VPC"/>
    <n v="864"/>
    <s v="INTPG_VPC_859_1.21_864_1.21"/>
    <s v="ISEL-1.21"/>
    <n v="1"/>
    <s v="NO TIENE L3OUT"/>
    <n v="0"/>
    <n v="54"/>
  </r>
  <r>
    <n v="836"/>
    <x v="2"/>
    <x v="89"/>
    <s v="eth1/21"/>
    <x v="0"/>
    <x v="0"/>
    <x v="0"/>
    <s v="LINK_TO_ITHFHWCBSPSWR52 / Slot1.2_32 / Principal"/>
    <x v="0"/>
    <b v="0"/>
    <s v="No está en VPC"/>
    <n v="836"/>
    <s v="INTPG_VPC_836_1.21_841_1.21"/>
    <s v="ISEL-1.21"/>
    <n v="1"/>
    <s v="NO TIENE L3OUT"/>
    <n v="0"/>
    <n v="54"/>
  </r>
  <r>
    <n v="834"/>
    <x v="2"/>
    <x v="90"/>
    <s v="eth1/21"/>
    <x v="0"/>
    <x v="0"/>
    <x v="0"/>
    <s v="LINK_TO_ITHFHWCBSPSWR64 / Slot1.3_16 / Principal"/>
    <x v="0"/>
    <b v="0"/>
    <s v="No está en VPC"/>
    <n v="834"/>
    <s v="INTPG_VPC_834_1.21_839_1.21"/>
    <s v="ISEL-1.21"/>
    <n v="1"/>
    <s v="NO TIENE L3OUT"/>
    <n v="0"/>
    <n v="54"/>
  </r>
  <r>
    <n v="872"/>
    <x v="2"/>
    <x v="91"/>
    <s v="eth1/21"/>
    <x v="0"/>
    <x v="0"/>
    <x v="0"/>
    <s v="To_ITHFHWCRMDLCN76_Principal"/>
    <x v="0"/>
    <b v="0"/>
    <s v="No está en VPC"/>
    <n v="872"/>
    <s v="INTPG_ACC_872_1.21"/>
    <s v="ISEL-1.21"/>
    <n v="6"/>
    <s v="NO TIENE L3OUT"/>
    <n v="288"/>
    <n v="54"/>
  </r>
  <r>
    <n v="842"/>
    <x v="2"/>
    <x v="92"/>
    <s v="eth1/21"/>
    <x v="0"/>
    <x v="0"/>
    <x v="0"/>
    <s v="LINK_TO_ITHFHWCBSPSWR46 / Slot7.2_28 / Redundante"/>
    <x v="0"/>
    <b v="0"/>
    <s v="No está en VPC"/>
    <n v="842"/>
    <s v="INTPG_VPC_837_1.21_842_1.21"/>
    <s v="ISEL-1.21"/>
    <n v="1"/>
    <s v="NO TIENE L3OUT"/>
    <n v="8"/>
    <n v="54"/>
  </r>
  <r>
    <n v="828"/>
    <x v="2"/>
    <x v="93"/>
    <s v="eth1/21"/>
    <x v="0"/>
    <x v="0"/>
    <x v="0"/>
    <s v="LINK_TO_ITHFHWCRMDLCN22 /10GE.1 /Principal"/>
    <x v="0"/>
    <b v="0"/>
    <s v="No está en VPC"/>
    <n v="828"/>
    <s v="INTPG_ACC_828_1.21"/>
    <s v="ISEL-1.21"/>
    <n v="2"/>
    <s v="NO TIENE L3OUT"/>
    <n v="192"/>
    <n v="54"/>
  </r>
  <r>
    <n v="870"/>
    <x v="2"/>
    <x v="94"/>
    <s v="eth1/21"/>
    <x v="0"/>
    <x v="0"/>
    <x v="0"/>
    <s v="TO_ITHFHWCRMDLCN60_Redundante"/>
    <x v="0"/>
    <b v="0"/>
    <s v="No está en VPC"/>
    <n v="870"/>
    <s v="INTPG_ACC_870_1.21"/>
    <s v="ISEL-1.21"/>
    <n v="6"/>
    <s v="NO TIENE L3OUT"/>
    <n v="248"/>
    <n v="54"/>
  </r>
  <r>
    <n v="866"/>
    <x v="2"/>
    <x v="95"/>
    <s v="eth1/21"/>
    <x v="0"/>
    <x v="0"/>
    <x v="0"/>
    <s v="To_VPC_2DCBSD_HD23_2"/>
    <x v="0"/>
    <b v="0"/>
    <s v="No está en VPC"/>
    <n v="866"/>
    <s v="INTPG_VPC_861_1.21_866_1.21"/>
    <s v="ISEL-1.21"/>
    <n v="1"/>
    <s v="NO TIENE L3OUT"/>
    <n v="8"/>
    <n v="54"/>
  </r>
  <r>
    <n v="862"/>
    <x v="2"/>
    <x v="96"/>
    <s v="eth1/21"/>
    <x v="0"/>
    <x v="0"/>
    <x v="0"/>
    <s v="TO-9S_BESDR_IXTLA3_1"/>
    <x v="0"/>
    <b v="0"/>
    <s v="No está en VPC"/>
    <n v="862"/>
    <s v="INTPG_VPC_862_1.20-23_867_1.20-23"/>
    <s v="ISEL-1.21"/>
    <n v="25"/>
    <s v="NO TIENE L3OUT"/>
    <n v="44"/>
    <n v="54"/>
  </r>
  <r>
    <n v="855"/>
    <x v="2"/>
    <x v="97"/>
    <s v="eth1/21"/>
    <x v="0"/>
    <x v="0"/>
    <x v="0"/>
    <s v="LINK_TO_ITHFHWCRMPLCN161 / Slot1.2_24 / Principal"/>
    <x v="0"/>
    <b v="0"/>
    <s v="No está en VPC"/>
    <n v="855"/>
    <s v="INTPG_ACC_855_1.21"/>
    <s v="ISEL-1.21"/>
    <n v="2"/>
    <s v="NO TIENE L3OUT"/>
    <n v="254"/>
    <n v="54"/>
  </r>
  <r>
    <n v="871"/>
    <x v="2"/>
    <x v="98"/>
    <s v="eth1/21"/>
    <x v="0"/>
    <x v="0"/>
    <x v="0"/>
    <s v="TO_ITHFHWCRMDLCN87_Principal"/>
    <x v="0"/>
    <b v="0"/>
    <s v="No está en VPC"/>
    <n v="871"/>
    <s v="INTPG_ACC_871_1.21"/>
    <s v="ISEL-1.21"/>
    <n v="1"/>
    <s v="NO TIENE L3OUT"/>
    <n v="246"/>
    <n v="54"/>
  </r>
  <r>
    <n v="841"/>
    <x v="2"/>
    <x v="99"/>
    <s v="eth1/21"/>
    <x v="0"/>
    <x v="0"/>
    <x v="0"/>
    <s v="LINK_TO_ITHFHWCBSPSWR52 / Slot7.2_32 / Redundante"/>
    <x v="0"/>
    <b v="0"/>
    <s v="No está en VPC"/>
    <n v="841"/>
    <s v="INTPG_VPC_836_1.21_841_1.21"/>
    <s v="ISEL-1.21"/>
    <n v="1"/>
    <s v="NO TIENE L3OUT"/>
    <n v="0"/>
    <n v="54"/>
  </r>
  <r>
    <n v="868"/>
    <x v="2"/>
    <x v="100"/>
    <s v="eth1/21"/>
    <x v="0"/>
    <x v="0"/>
    <x v="0"/>
    <s v="TO_ITHFHWCRMDLCN87_Redundante"/>
    <x v="0"/>
    <b v="0"/>
    <s v="No está en VPC"/>
    <n v="868"/>
    <s v="INTPG_ACC_868_1.21"/>
    <s v="ISEL-1.21"/>
    <n v="1"/>
    <s v="NO TIENE L3OUT"/>
    <n v="246"/>
    <n v="54"/>
  </r>
  <r>
    <n v="869"/>
    <x v="2"/>
    <x v="101"/>
    <s v="eth1/21"/>
    <x v="0"/>
    <x v="0"/>
    <x v="0"/>
    <s v="To_ITHFHWCRMDLCN76_Redundante"/>
    <x v="0"/>
    <b v="0"/>
    <s v="No está en VPC"/>
    <n v="869"/>
    <s v="INTPG_ACC_869_1.21"/>
    <s v="ISEL-1.21"/>
    <n v="6"/>
    <s v="NO TIENE L3OUT"/>
    <n v="288"/>
    <n v="54"/>
  </r>
  <r>
    <n v="861"/>
    <x v="2"/>
    <x v="102"/>
    <s v="eth1/21"/>
    <x v="0"/>
    <x v="0"/>
    <x v="0"/>
    <s v="To_VPC_2DCBSD_HD23_2"/>
    <x v="0"/>
    <b v="0"/>
    <s v="No está en VPC"/>
    <n v="861"/>
    <s v="INTPG_VPC_861_1.21_866_1.21"/>
    <s v="ISEL-1.21"/>
    <n v="1"/>
    <s v="NO TIENE L3OUT"/>
    <n v="8"/>
    <n v="54"/>
  </r>
  <r>
    <n v="874"/>
    <x v="2"/>
    <x v="103"/>
    <s v="eth1/21"/>
    <x v="0"/>
    <x v="0"/>
    <x v="0"/>
    <s v="A_ITHFHWSEQLCAS20_Redundante"/>
    <x v="4"/>
    <b v="0"/>
    <s v="No está en VPC"/>
    <n v="874"/>
    <s v="INTPG_ACC_874_1.21"/>
    <s v="ISEL-1.21"/>
    <n v="1"/>
    <s v="NO TIENE L3OUT"/>
    <n v="92"/>
    <n v="54"/>
  </r>
  <r>
    <n v="865"/>
    <x v="2"/>
    <x v="104"/>
    <s v="eth1/21"/>
    <x v="0"/>
    <x v="0"/>
    <x v="0"/>
    <s v="To_VPC_2DCBSD_HD29_3"/>
    <x v="0"/>
    <b v="0"/>
    <s v="No está en VPC"/>
    <n v="865"/>
    <s v="INTPG_VPC_860_1.21_865_1.21"/>
    <s v="ISEL-1.21"/>
    <n v="1"/>
    <s v="NO TIENE L3OUT"/>
    <n v="0"/>
    <n v="54"/>
  </r>
  <r>
    <n v="753"/>
    <x v="2"/>
    <x v="105"/>
    <s v="eth1/21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21"/>
    <x v="0"/>
    <x v="1"/>
    <x v="5"/>
    <s v="CEM:ITHCEMF2RTB11:LOM P1"/>
    <x v="0"/>
    <b v="0"/>
    <s v="No está en VPC"/>
    <n v="708"/>
    <s v="INTPG_VPC_708_1.21_709_1.22"/>
    <s v="ISEL-1.21"/>
    <n v="1"/>
    <s v="NO TIENE L3OUT"/>
    <n v="0"/>
    <n v="54"/>
  </r>
  <r>
    <n v="710"/>
    <x v="2"/>
    <x v="107"/>
    <s v="eth1/21"/>
    <x v="0"/>
    <x v="1"/>
    <x v="5"/>
    <s v="CEM:ITHCEMD2AKF11:LOM P1"/>
    <x v="0"/>
    <b v="0"/>
    <s v="No está en VPC"/>
    <n v="710"/>
    <s v="INTPG_VPC_710_1.21_711_1.22"/>
    <s v="ISEL-1.21"/>
    <n v="1"/>
    <s v="NO TIENE L3OUT"/>
    <n v="16"/>
    <n v="54"/>
  </r>
  <r>
    <n v="713"/>
    <x v="2"/>
    <x v="108"/>
    <s v="eth1/21"/>
    <x v="0"/>
    <x v="1"/>
    <x v="5"/>
    <s v="CEM:ITHCEMA2ADT11:LOM P1"/>
    <x v="0"/>
    <b v="0"/>
    <s v="No está en VPC"/>
    <n v="713"/>
    <s v="INTPG_VPC_713_1.21_712_1.22"/>
    <s v="ISEL-1.21"/>
    <n v="1"/>
    <s v="NO TIENE L3OUT"/>
    <n v="32"/>
    <n v="54"/>
  </r>
  <r>
    <n v="735"/>
    <x v="2"/>
    <x v="109"/>
    <s v="eth1/21"/>
    <x v="0"/>
    <x v="0"/>
    <x v="0"/>
    <s v="CEM:ITHCEMA1OAM11:LOM P3"/>
    <x v="5"/>
    <b v="0"/>
    <s v="No está en VPC"/>
    <n v="735"/>
    <s v="INTPG_ACC_735_1.21"/>
    <s v="ISEL-1.21"/>
    <n v="1"/>
    <s v="NO TIENE L3OUT"/>
    <n v="34"/>
    <n v="54"/>
  </r>
  <r>
    <n v="731"/>
    <x v="2"/>
    <x v="110"/>
    <s v="eth1/21"/>
    <x v="0"/>
    <x v="0"/>
    <x v="0"/>
    <s v="Server_Pre-R02-CBS-RH2288-05"/>
    <x v="0"/>
    <b v="0"/>
    <s v="No está en VPC"/>
    <n v="731"/>
    <s v="INTPG_ACC_731_1.21"/>
    <s v="ISEL-1.21"/>
    <n v="1"/>
    <s v="NO TIENE L3OUT"/>
    <n v="38"/>
    <n v="54"/>
  </r>
  <r>
    <n v="703"/>
    <x v="2"/>
    <x v="111"/>
    <s v="eth1/21"/>
    <x v="0"/>
    <x v="0"/>
    <x v="0"/>
    <m/>
    <x v="0"/>
    <b v="0"/>
    <s v="No está en VPC"/>
    <n v="703"/>
    <s v="INTPG_VPC_703_1.21_704_1.22"/>
    <s v="ISEL-1.21"/>
    <n v="1"/>
    <s v="NO TIENE L3OUT"/>
    <n v="2"/>
    <n v="54"/>
  </r>
  <r>
    <n v="706"/>
    <x v="2"/>
    <x v="112"/>
    <s v="eth1/21"/>
    <x v="0"/>
    <x v="1"/>
    <x v="5"/>
    <s v="CEM:ITHCEMA1NAM11:LOM  P1"/>
    <x v="0"/>
    <b v="0"/>
    <s v="No está en VPC"/>
    <n v="706"/>
    <s v="INTPG_VPC_705_1.22_706_1.21"/>
    <s v="ISEL-1.21"/>
    <n v="1"/>
    <s v="NO TIENE L3OUT"/>
    <n v="16"/>
    <n v="54"/>
  </r>
  <r>
    <n v="762"/>
    <x v="2"/>
    <x v="113"/>
    <s v="eth1/21"/>
    <x v="0"/>
    <x v="0"/>
    <x v="0"/>
    <s v="PAAS:ithhwosstpap006:LOM PORT 3"/>
    <x v="0"/>
    <b v="0"/>
    <s v="No está en VPC"/>
    <n v="762"/>
    <s v="INTPG_VPC_762_1.21_763_1.21"/>
    <s v="ISEL-1.21"/>
    <n v="1"/>
    <s v="NO TIENE L3OUT"/>
    <n v="0"/>
    <n v="54"/>
  </r>
  <r>
    <n v="814"/>
    <x v="2"/>
    <x v="114"/>
    <s v="eth1/21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21"/>
    <x v="0"/>
    <x v="0"/>
    <x v="0"/>
    <s v="HACIA_MGMT-OSCP-F4-13_SECUNDARIO"/>
    <x v="4"/>
    <b v="0"/>
    <s v="No está en VPC"/>
    <n v="878"/>
    <s v="INTPG_VPC_878_1.21_879_1.21"/>
    <s v="ISEL-1.21"/>
    <n v="1"/>
    <s v="NO TIENE L3OUT"/>
    <n v="0"/>
    <n v="54"/>
  </r>
  <r>
    <n v="826"/>
    <x v="2"/>
    <x v="116"/>
    <s v="eth1/21"/>
    <x v="0"/>
    <x v="0"/>
    <x v="0"/>
    <s v="LINK_TO_ITHFHWCBSDSHD16 /Slot4.2 /Principal"/>
    <x v="0"/>
    <b v="0"/>
    <s v="No está en VPC"/>
    <n v="826"/>
    <s v="INTPG_VPC_826_1.21_830_1.21"/>
    <s v="ISEL-1.21"/>
    <n v="1"/>
    <s v="NO TIENE L3OUT"/>
    <n v="12"/>
    <n v="54"/>
  </r>
  <r>
    <n v="726"/>
    <x v="2"/>
    <x v="117"/>
    <s v="eth1/21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21"/>
    <x v="0"/>
    <x v="0"/>
    <x v="0"/>
    <s v="CEM:ITHCEMC2AKF11:LOM P3"/>
    <x v="5"/>
    <b v="0"/>
    <s v="No está en VPC"/>
    <n v="740"/>
    <s v="INTPG_ACC_740_1.21"/>
    <s v="ISEL-1.21"/>
    <n v="1"/>
    <s v="NO TIENE L3OUT"/>
    <n v="72"/>
    <n v="54"/>
  </r>
  <r>
    <n v="705"/>
    <x v="2"/>
    <x v="119"/>
    <s v="eth1/21"/>
    <x v="0"/>
    <x v="0"/>
    <x v="0"/>
    <s v="CEM:ITHALMB1DAT11:LOM  P2"/>
    <x v="0"/>
    <b v="0"/>
    <s v="No está en VPC"/>
    <n v="705"/>
    <s v="INTPG_VPC_705_1.21_706_1.22"/>
    <s v="ISEL-1.21"/>
    <n v="1"/>
    <s v="NO TIENE L3OUT"/>
    <n v="16"/>
    <n v="54"/>
  </r>
  <r>
    <n v="723"/>
    <x v="2"/>
    <x v="120"/>
    <s v="eth1/21"/>
    <x v="0"/>
    <x v="1"/>
    <x v="5"/>
    <m/>
    <x v="0"/>
    <b v="0"/>
    <s v="No está en VPC"/>
    <n v="723"/>
    <s v="INTPG-VPC_HDD110_723_1.21_722_1.22"/>
    <s v="ISEL-1.21"/>
    <n v="1"/>
    <s v="NO TIENE L3OUT"/>
    <n v="0"/>
    <n v="54"/>
  </r>
  <r>
    <n v="721"/>
    <x v="2"/>
    <x v="121"/>
    <s v="eth1/21"/>
    <x v="0"/>
    <x v="0"/>
    <x v="0"/>
    <m/>
    <x v="0"/>
    <b v="0"/>
    <s v="No está en VPC"/>
    <n v="721"/>
    <s v="INTPG-VPC_AFY01_721_1.21_714_1.22"/>
    <s v="ISEL-1.21"/>
    <n v="2"/>
    <s v="NO TIENE L3OUT"/>
    <n v="20"/>
    <n v="54"/>
  </r>
  <r>
    <n v="788"/>
    <x v="2"/>
    <x v="122"/>
    <s v="eth1/21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21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21"/>
    <x v="0"/>
    <x v="0"/>
    <x v="0"/>
    <m/>
    <x v="0"/>
    <b v="0"/>
    <s v="No está en VPC"/>
    <n v="720"/>
    <s v="INTPG-VPC_IHP01_720_1.21_719_1.22"/>
    <s v="ISEL-1.21"/>
    <n v="1"/>
    <s v="NO TIENE L3OUT"/>
    <n v="0"/>
    <n v="54"/>
  </r>
  <r>
    <n v="709"/>
    <x v="2"/>
    <x v="125"/>
    <s v="eth1/21"/>
    <x v="0"/>
    <x v="1"/>
    <x v="5"/>
    <s v="CEM:ITHCEME2RTB11:LOM P1"/>
    <x v="0"/>
    <b v="0"/>
    <s v="No está en VPC"/>
    <n v="709"/>
    <s v="INTPG_VPC_708_1.22_709_1.21"/>
    <s v="ISEL-1.21"/>
    <n v="1"/>
    <s v="NO TIENE L3OUT"/>
    <n v="0"/>
    <n v="54"/>
  </r>
  <r>
    <n v="454"/>
    <x v="1"/>
    <x v="126"/>
    <s v="eth1/21"/>
    <x v="0"/>
    <x v="0"/>
    <x v="0"/>
    <s v="HACIA_MGMT-OSCP-F4-01_PRINCIPAL"/>
    <x v="4"/>
    <b v="0"/>
    <s v="No está en VPC"/>
    <n v="454"/>
    <s v="INTPG_VPC_454_1.21_456_1.21"/>
    <s v="ISEL-1.21"/>
    <n v="1"/>
    <s v="NO TIENE L3OUT"/>
    <n v="4"/>
    <n v="54"/>
  </r>
  <r>
    <n v="734"/>
    <x v="2"/>
    <x v="127"/>
    <s v="eth1/21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21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21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21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21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21"/>
    <x v="0"/>
    <x v="0"/>
    <x v="0"/>
    <s v="CEM:ITHCEMB2AKF11:LOM P3"/>
    <x v="5"/>
    <b v="0"/>
    <s v="No está en VPC"/>
    <n v="741"/>
    <s v="INTPG_ACC_741_1.21"/>
    <s v="ISEL-1.21"/>
    <n v="1"/>
    <s v="NO TIENE L3OUT"/>
    <n v="62"/>
    <n v="54"/>
  </r>
  <r>
    <n v="787"/>
    <x v="2"/>
    <x v="133"/>
    <s v="eth1/21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21"/>
    <x v="0"/>
    <x v="0"/>
    <x v="0"/>
    <m/>
    <x v="0"/>
    <b v="0"/>
    <s v="No está en VPC"/>
    <n v="750"/>
    <s v="INTPG_ACC_750_1.21"/>
    <s v="ISEL-1.21"/>
    <n v="0"/>
    <s v="NO TIENE L3OUT"/>
    <n v="2"/>
    <n v="54"/>
  </r>
  <r>
    <n v="792"/>
    <x v="2"/>
    <x v="135"/>
    <s v="eth1/21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21"/>
    <x v="0"/>
    <x v="0"/>
    <x v="0"/>
    <s v="CEM_ITHCEMG2APP18"/>
    <x v="0"/>
    <b v="0"/>
    <s v="No está en VPC"/>
    <n v="736"/>
    <s v="INTPG_VPC_707_1.21_736_1.21"/>
    <s v="ISEL-1.21"/>
    <n v="1"/>
    <s v="NO TIENE L3OUT"/>
    <n v="48"/>
    <n v="54"/>
  </r>
  <r>
    <n v="799"/>
    <x v="2"/>
    <x v="137"/>
    <s v="eth1/21"/>
    <x v="0"/>
    <x v="0"/>
    <x v="0"/>
    <s v="TO-IMC_PS09-MSP"/>
    <x v="0"/>
    <b v="0"/>
    <s v="No está en VPC"/>
    <n v="799"/>
    <s v="INTPG_ACC_799_1.21"/>
    <s v="ISEL-1.21"/>
    <n v="1"/>
    <s v="NO TIENE L3OUT"/>
    <n v="52"/>
    <n v="54"/>
  </r>
  <r>
    <n v="768"/>
    <x v="2"/>
    <x v="138"/>
    <s v="eth1/21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21"/>
    <x v="0"/>
    <x v="0"/>
    <x v="0"/>
    <s v="ITHORNG1DAT09_LOM P1"/>
    <x v="0"/>
    <b v="0"/>
    <s v="No está en VPC"/>
    <n v="714"/>
    <s v="INTPG_ACC_714_1.21"/>
    <s v="ISEL-1.21"/>
    <n v="2"/>
    <s v="NO TIENE L3OUT"/>
    <n v="20"/>
    <n v="54"/>
  </r>
  <r>
    <n v="717"/>
    <x v="2"/>
    <x v="140"/>
    <s v="eth1/21"/>
    <x v="0"/>
    <x v="0"/>
    <x v="0"/>
    <m/>
    <x v="0"/>
    <b v="0"/>
    <s v="No está en VPC"/>
    <n v="717"/>
    <s v="INTPG-VPC_KFK04_717_1.21_718_1.22"/>
    <s v="ISEL-1.21"/>
    <n v="1"/>
    <s v="NO TIENE L3OUT"/>
    <n v="0"/>
    <n v="54"/>
  </r>
  <r>
    <n v="789"/>
    <x v="2"/>
    <x v="141"/>
    <s v="eth1/21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21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21"/>
    <x v="0"/>
    <x v="0"/>
    <x v="0"/>
    <s v="TO-ITHFHWRHV2LMGMT02"/>
    <x v="0"/>
    <b v="0"/>
    <s v="No está en VPC"/>
    <n v="783"/>
    <s v="INTPG_VPC_782_1.20-21_783_1.20-21"/>
    <s v="ISEL-1.21"/>
    <n v="2"/>
    <s v="NO TIENE L3OUT"/>
    <n v="26"/>
    <n v="54"/>
  </r>
  <r>
    <n v="774"/>
    <x v="2"/>
    <x v="144"/>
    <s v="eth1/21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21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21"/>
    <x v="0"/>
    <x v="1"/>
    <x v="1"/>
    <s v="DESC"/>
    <x v="0"/>
    <b v="0"/>
    <s v="No está en VPC"/>
    <n v="794"/>
    <s v="INTPG_PC_794_1.17_19_21_23_25_27"/>
    <s v="ISEL-1.21"/>
    <n v="1"/>
    <s v="NO TIENE L3OUT"/>
    <n v="12"/>
    <n v="54"/>
  </r>
  <r>
    <n v="803"/>
    <x v="2"/>
    <x v="147"/>
    <s v="eth1/21"/>
    <x v="0"/>
    <x v="0"/>
    <x v="0"/>
    <s v="TO-HDPS_47-MSP"/>
    <x v="0"/>
    <b v="0"/>
    <s v="No está en VPC"/>
    <n v="803"/>
    <s v="INTPG_ACC_803_1.21"/>
    <s v="ISEL-1.21"/>
    <n v="1"/>
    <s v="NO TIENE L3OUT"/>
    <n v="48"/>
    <n v="54"/>
  </r>
  <r>
    <n v="786"/>
    <x v="2"/>
    <x v="148"/>
    <s v="eth1/21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21"/>
    <x v="0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21"/>
    <x v="0"/>
    <x v="0"/>
    <x v="0"/>
    <s v="CLOUD OPS:ithhwcop02en01:1E P4"/>
    <x v="0"/>
    <b v="0"/>
    <s v="No está en VPC"/>
    <n v="781"/>
    <s v="INTPG_VPC_780_1.20-21_26-27_781_1.20-21_26-27"/>
    <s v="ISEL-1.21"/>
    <n v="23"/>
    <s v="NO TIENE L3OUT"/>
    <n v="26"/>
    <n v="54"/>
  </r>
  <r>
    <n v="793"/>
    <x v="2"/>
    <x v="151"/>
    <s v="eth1/21"/>
    <x v="0"/>
    <x v="0"/>
    <x v="0"/>
    <s v="DESC"/>
    <x v="0"/>
    <b v="0"/>
    <s v="No está en VPC"/>
    <n v="793"/>
    <s v="INTPG_PC_793_1.17_19_21_23_25_27"/>
    <s v="ISEL-1.21"/>
    <n v="1"/>
    <s v="NO TIENE L3OUT"/>
    <n v="12"/>
    <n v="54"/>
  </r>
  <r>
    <n v="747"/>
    <x v="2"/>
    <x v="152"/>
    <s v="eth1/21"/>
    <x v="0"/>
    <x v="0"/>
    <x v="0"/>
    <s v="PAAS:ithhwosstpap006:Slot4.1"/>
    <x v="0"/>
    <b v="0"/>
    <s v="No está en VPC"/>
    <n v="747"/>
    <s v="INTPG_VPC_747_1.21_752_1.21"/>
    <s v="ISEL-1.21"/>
    <n v="25"/>
    <s v="NO TIENE L3OUT"/>
    <n v="0"/>
    <n v="54"/>
  </r>
  <r>
    <n v="784"/>
    <x v="2"/>
    <x v="153"/>
    <s v="eth1/21"/>
    <x v="0"/>
    <x v="0"/>
    <x v="0"/>
    <s v="DIGITAL VIEW:ITHFHWDGVEAP02:Slot 3.1"/>
    <x v="0"/>
    <b v="0"/>
    <s v="No está en VPC"/>
    <n v="784"/>
    <s v="INTPG_VPC_784_1.21_785_1.21"/>
    <s v="ISEL-1.21"/>
    <n v="1"/>
    <s v="NO TIENE L3OUT"/>
    <n v="26"/>
    <n v="54"/>
  </r>
  <r>
    <n v="806"/>
    <x v="2"/>
    <x v="154"/>
    <s v="eth1/21"/>
    <x v="0"/>
    <x v="0"/>
    <x v="0"/>
    <s v="TO-WES_03-MSP"/>
    <x v="0"/>
    <b v="0"/>
    <s v="No está en VPC"/>
    <n v="806"/>
    <s v="INTPG_ACC_806_1.21"/>
    <s v="ISEL-1.21"/>
    <n v="1"/>
    <s v="NO TIENE L3OUT"/>
    <n v="44"/>
    <n v="54"/>
  </r>
  <r>
    <n v="777"/>
    <x v="2"/>
    <x v="155"/>
    <s v="eth1/21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21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21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21"/>
    <x v="0"/>
    <x v="0"/>
    <x v="0"/>
    <s v="CEM:ITHCEMD2AKF11:LOM P3"/>
    <x v="5"/>
    <b v="0"/>
    <s v="No está en VPC"/>
    <n v="739"/>
    <s v="INTPG_ACC_739_1.21"/>
    <s v="ISEL-1.21"/>
    <n v="1"/>
    <s v="NO TIENE L3OUT"/>
    <n v="72"/>
    <n v="54"/>
  </r>
  <r>
    <n v="775"/>
    <x v="2"/>
    <x v="159"/>
    <s v="eth1/21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21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21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21"/>
    <x v="0"/>
    <x v="0"/>
    <x v="0"/>
    <s v="LINK_TO_ITHFHWCBSDSHD16 /Slot6.2 /Redundante"/>
    <x v="0"/>
    <b v="0"/>
    <s v="No está en VPC"/>
    <n v="830"/>
    <s v="INTPG_VPC_826_1.21_830_1.21"/>
    <s v="ISEL-1.21"/>
    <n v="1"/>
    <s v="NO TIENE L3OUT"/>
    <n v="12"/>
    <n v="54"/>
  </r>
  <r>
    <n v="821"/>
    <x v="2"/>
    <x v="163"/>
    <s v="eth1/21"/>
    <x v="0"/>
    <x v="0"/>
    <x v="0"/>
    <s v="LINK_TO_ITHFHWCBSPSHD16 /Slot6.2 /Redundante"/>
    <x v="0"/>
    <b v="0"/>
    <s v="No está en VPC"/>
    <n v="821"/>
    <s v="INTPG_VPC_816_1.21_821_1.21"/>
    <s v="ISEL-1.21"/>
    <n v="1"/>
    <s v="NO TIENE L3OUT"/>
    <n v="0"/>
    <n v="54"/>
  </r>
  <r>
    <n v="738"/>
    <x v="2"/>
    <x v="164"/>
    <s v="eth1/21"/>
    <x v="0"/>
    <x v="0"/>
    <x v="0"/>
    <s v="CEM:ITHCEME2RTB11:LOM P3"/>
    <x v="5"/>
    <b v="0"/>
    <s v="No está en VPC"/>
    <n v="738"/>
    <s v="INTPG_ACC_738_1.21"/>
    <s v="ISEL-1.21"/>
    <n v="1"/>
    <s v="NO TIENE L3OUT"/>
    <n v="72"/>
    <n v="54"/>
  </r>
  <r>
    <n v="820"/>
    <x v="2"/>
    <x v="165"/>
    <s v="eth1/21"/>
    <x v="0"/>
    <x v="0"/>
    <x v="0"/>
    <s v="LINKT_TO_ITHFHWCRMPLCN131 / Slot7.3_32 / Redundante"/>
    <x v="0"/>
    <b v="0"/>
    <s v="No está en VPC"/>
    <n v="820"/>
    <s v="INTPG_ACC_820_1.21"/>
    <s v="ISEL-1.21"/>
    <n v="1"/>
    <s v="NO TIENE L3OUT"/>
    <n v="72"/>
    <n v="54"/>
  </r>
  <r>
    <n v="804"/>
    <x v="2"/>
    <x v="166"/>
    <s v="eth1/21"/>
    <x v="0"/>
    <x v="0"/>
    <x v="0"/>
    <s v="TO-HDPS_47-MSP"/>
    <x v="0"/>
    <b v="0"/>
    <s v="No está en VPC"/>
    <n v="804"/>
    <s v="INTPG_ACC_804_1.21"/>
    <s v="ISEL-1.21"/>
    <n v="1"/>
    <s v="NO TIENE L3OUT"/>
    <n v="48"/>
    <n v="54"/>
  </r>
  <r>
    <n v="779"/>
    <x v="2"/>
    <x v="167"/>
    <s v="eth1/21"/>
    <x v="0"/>
    <x v="0"/>
    <x v="0"/>
    <s v="VERITAS:ITHFVEAPCNBST02 :10GbE"/>
    <x v="0"/>
    <b v="0"/>
    <s v="No está en VPC"/>
    <n v="779"/>
    <s v="INTPG_VPC_778_1.20-21_779_1.20-21"/>
    <s v="ISEL-1.21"/>
    <n v="2"/>
    <s v="NO TIENE L3OUT"/>
    <n v="30"/>
    <n v="54"/>
  </r>
  <r>
    <n v="767"/>
    <x v="2"/>
    <x v="168"/>
    <s v="eth1/21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21"/>
    <x v="0"/>
    <x v="0"/>
    <x v="0"/>
    <s v="LINK_TO_ITHFHWCBSDSWR23 /10GE.1 /Principal"/>
    <x v="0"/>
    <b v="0"/>
    <s v="No está en VPC"/>
    <n v="827"/>
    <s v="INTPG_VPC_827_1.21_831_1.21"/>
    <s v="ISEL-1.21"/>
    <n v="1"/>
    <s v="NO TIENE L3OUT"/>
    <n v="14"/>
    <n v="54"/>
  </r>
  <r>
    <n v="809"/>
    <x v="2"/>
    <x v="170"/>
    <s v="eth1/21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21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21"/>
    <x v="0"/>
    <x v="0"/>
    <x v="0"/>
    <s v="TO-9S_BESDR_IXTLA3_1"/>
    <x v="0"/>
    <b v="0"/>
    <s v="No está en VPC"/>
    <n v="761"/>
    <s v="INTPG_VPC_760_1.21-24_761_1.21-24"/>
    <s v="ISEL-1.21"/>
    <n v="33"/>
    <s v="NO TIENE L3OUT"/>
    <n v="0"/>
    <n v="54"/>
  </r>
  <r>
    <n v="776"/>
    <x v="2"/>
    <x v="173"/>
    <s v="eth1/21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21"/>
    <x v="0"/>
    <x v="0"/>
    <x v="0"/>
    <s v="TO-WES_03-MSP"/>
    <x v="0"/>
    <b v="0"/>
    <s v="No está en VPC"/>
    <n v="805"/>
    <s v="INTPG_ACC_805_1.21"/>
    <s v="ISEL-1.21"/>
    <n v="1"/>
    <s v="NO TIENE L3OUT"/>
    <n v="44"/>
    <n v="54"/>
  </r>
  <r>
    <n v="772"/>
    <x v="2"/>
    <x v="175"/>
    <s v="eth1/21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21"/>
    <x v="0"/>
    <x v="0"/>
    <x v="0"/>
    <s v="DIGITAL VIEW:ITHFHWDGVEAP02:Slot 6.1"/>
    <x v="0"/>
    <b v="0"/>
    <s v="No está en VPC"/>
    <n v="785"/>
    <s v="INTPG_VPC_784_1.21_785_1.21"/>
    <s v="ISEL-1.21"/>
    <n v="1"/>
    <s v="NO TIENE L3OUT"/>
    <n v="32"/>
    <n v="54"/>
  </r>
  <r>
    <n v="851"/>
    <x v="2"/>
    <x v="177"/>
    <s v="eth1/21"/>
    <x v="0"/>
    <x v="0"/>
    <x v="0"/>
    <s v="LINK_TO_ITHFHWCRMPLCN107 / Slot7.3_18 / Redundante"/>
    <x v="0"/>
    <b v="0"/>
    <s v="No está en VPC"/>
    <n v="851"/>
    <s v="INTPG_ACC_851_1.21"/>
    <s v="ISEL-1.21"/>
    <n v="1"/>
    <s v="NO TIENE L3OUT"/>
    <n v="282"/>
    <n v="54"/>
  </r>
  <r>
    <n v="798"/>
    <x v="2"/>
    <x v="178"/>
    <s v="eth1/21"/>
    <x v="0"/>
    <x v="0"/>
    <x v="0"/>
    <s v="TO-IMC_PS09-MSP"/>
    <x v="0"/>
    <b v="0"/>
    <s v="No está en VPC"/>
    <n v="798"/>
    <s v="INTPG_ACC_798_1.21"/>
    <s v="ISEL-1.21"/>
    <n v="1"/>
    <s v="NO TIENE L3OUT"/>
    <n v="52"/>
    <n v="54"/>
  </r>
  <r>
    <n v="782"/>
    <x v="2"/>
    <x v="179"/>
    <s v="eth1/21"/>
    <x v="0"/>
    <x v="0"/>
    <x v="0"/>
    <s v="TO-ITHFHWRHV2LMGMT02"/>
    <x v="0"/>
    <b v="0"/>
    <s v="No está en VPC"/>
    <n v="782"/>
    <s v="INTPG_VPC_782_1.20-21_783_1.20-21"/>
    <s v="ISEL-1.21"/>
    <n v="2"/>
    <s v="NO TIENE L3OUT"/>
    <n v="32"/>
    <n v="54"/>
  </r>
  <r>
    <n v="852"/>
    <x v="2"/>
    <x v="180"/>
    <s v="eth1/21"/>
    <x v="0"/>
    <x v="0"/>
    <x v="0"/>
    <s v="LINK_TO_ITHFHWCRMPLCN91 / Slot7.1_14 / Redundante"/>
    <x v="0"/>
    <b v="0"/>
    <s v="No está en VPC"/>
    <n v="852"/>
    <s v="INTPG_ACC_852_1.21"/>
    <s v="ISEL-1.21"/>
    <n v="6"/>
    <s v="NO TIENE L3OUT"/>
    <n v="258"/>
    <n v="54"/>
  </r>
  <r>
    <n v="817"/>
    <x v="2"/>
    <x v="181"/>
    <s v="eth1/21"/>
    <x v="0"/>
    <x v="0"/>
    <x v="0"/>
    <s v="LINK_TO_ITHFHWCBSPSUSBD14 /Slot4.2 /Principal"/>
    <x v="0"/>
    <b v="0"/>
    <s v="No está en VPC"/>
    <n v="817"/>
    <s v="INTPG_VPC_817_1.21_822_1.21"/>
    <s v="ISEL-1.21"/>
    <n v="1"/>
    <s v="NO TIENE L3OUT"/>
    <n v="0"/>
    <n v="54"/>
  </r>
  <r>
    <n v="832"/>
    <x v="2"/>
    <x v="182"/>
    <s v="eth1/21"/>
    <x v="0"/>
    <x v="0"/>
    <x v="0"/>
    <s v="LINK_TO_ITHFHWCRMDLCN22 /Slot5.1 /Redundante"/>
    <x v="0"/>
    <b v="0"/>
    <s v="No está en VPC"/>
    <n v="832"/>
    <s v="INTPG_ACC_832_1.21"/>
    <s v="ISEL-1.21"/>
    <n v="2"/>
    <s v="NO TIENE L3OUT"/>
    <n v="192"/>
    <n v="54"/>
  </r>
  <r>
    <n v="816"/>
    <x v="2"/>
    <x v="183"/>
    <s v="eth1/21"/>
    <x v="0"/>
    <x v="0"/>
    <x v="0"/>
    <s v="LINK_TO_ITHFHWCBSPSHD16 /Slot4.2 /Principal"/>
    <x v="0"/>
    <b v="0"/>
    <s v="No está en VPC"/>
    <n v="816"/>
    <s v="INTPG_VPC_816_1.21_821_1.21"/>
    <s v="ISEL-1.21"/>
    <n v="1"/>
    <s v="NO TIENE L3OUT"/>
    <n v="0"/>
    <n v="54"/>
  </r>
  <r>
    <n v="825"/>
    <x v="2"/>
    <x v="184"/>
    <s v="eth1/21"/>
    <x v="0"/>
    <x v="0"/>
    <x v="0"/>
    <s v="LINKT_TO_ITHFHWCRMPLCN131 / Slot1.3_32 / Principal"/>
    <x v="0"/>
    <b v="0"/>
    <s v="No está en VPC"/>
    <n v="825"/>
    <s v="INTPG_ACC_825_1.21"/>
    <s v="ISEL-1.21"/>
    <n v="1"/>
    <s v="NO TIENE L3OUT"/>
    <n v="72"/>
    <n v="54"/>
  </r>
  <r>
    <n v="800"/>
    <x v="2"/>
    <x v="185"/>
    <s v="eth1/21"/>
    <x v="0"/>
    <x v="0"/>
    <x v="0"/>
    <s v="TO-ITHFHWSEQLCAS01-MSP"/>
    <x v="0"/>
    <b v="0"/>
    <s v="No está en VPC"/>
    <n v="800"/>
    <s v="INTPG_ACC_800_1.21"/>
    <s v="ISEL-1.21"/>
    <n v="1"/>
    <s v="NO TIENE L3OUT"/>
    <n v="78"/>
    <n v="54"/>
  </r>
  <r>
    <n v="801"/>
    <x v="2"/>
    <x v="186"/>
    <s v="eth1/21"/>
    <x v="0"/>
    <x v="0"/>
    <x v="0"/>
    <s v="TO-ITHFHWSEQLCAS01-MSP"/>
    <x v="0"/>
    <b v="0"/>
    <s v="No está en VPC"/>
    <n v="801"/>
    <s v="INTPG_ACC_801_1.21"/>
    <s v="ISEL-1.21"/>
    <n v="1"/>
    <s v="NO TIENE L3OUT"/>
    <n v="78"/>
    <n v="54"/>
  </r>
  <r>
    <n v="823"/>
    <x v="2"/>
    <x v="187"/>
    <s v="eth1/21"/>
    <x v="0"/>
    <x v="0"/>
    <x v="0"/>
    <s v="LINK_TO_ITHFHWCBSPSUSBD21 /Slot5.1 /Redundante"/>
    <x v="0"/>
    <b v="0"/>
    <s v="No está en VPC"/>
    <n v="823"/>
    <s v="INTPG_VPC_818_1.21_823_1.21"/>
    <s v="ISEL-1.21"/>
    <n v="1"/>
    <s v="NO TIENE L3OUT"/>
    <n v="8"/>
    <n v="54"/>
  </r>
  <r>
    <n v="837"/>
    <x v="2"/>
    <x v="188"/>
    <s v="eth1/21"/>
    <x v="0"/>
    <x v="0"/>
    <x v="0"/>
    <s v="LINK_TO_ITHFHWCBSPSWR46 / Slot1.2_28 / Principal"/>
    <x v="0"/>
    <b v="0"/>
    <s v="No está en VPC"/>
    <n v="837"/>
    <s v="INTPG_VPC_837_1.21_842_1.21"/>
    <s v="ISEL-1.21"/>
    <n v="1"/>
    <s v="NO TIENE L3OUT"/>
    <n v="8"/>
    <n v="54"/>
  </r>
  <r>
    <n v="867"/>
    <x v="2"/>
    <x v="189"/>
    <s v="eth1/21"/>
    <x v="0"/>
    <x v="0"/>
    <x v="0"/>
    <s v="TO-9S_BESDR_IXTLA3_1"/>
    <x v="0"/>
    <b v="0"/>
    <s v="No está en VPC"/>
    <n v="867"/>
    <s v="INTPG_VPC_862_1.20-23_867_1.20-23"/>
    <s v="ISEL-1.21"/>
    <n v="25"/>
    <s v="NO TIENE L3OUT"/>
    <n v="44"/>
    <n v="54"/>
  </r>
  <r>
    <n v="829"/>
    <x v="2"/>
    <x v="190"/>
    <s v="eth1/21"/>
    <x v="0"/>
    <x v="0"/>
    <x v="0"/>
    <s v="LINK_TO_ITHFHWCRMDLCN34 /Slot6.2 /Redundante"/>
    <x v="0"/>
    <b v="0"/>
    <s v="No está en VPC"/>
    <n v="829"/>
    <s v="INTPG_ACC_829_1.21"/>
    <s v="ISEL-1.21"/>
    <n v="1"/>
    <s v="NO TIENE L3OUT"/>
    <n v="224"/>
    <n v="54"/>
  </r>
  <r>
    <n v="831"/>
    <x v="2"/>
    <x v="191"/>
    <s v="eth1/21"/>
    <x v="0"/>
    <x v="0"/>
    <x v="0"/>
    <s v="LINK_TO_ITHFHWCBSDSWR23 /Slot5.1 /Redundante"/>
    <x v="0"/>
    <b v="0"/>
    <s v="No está en VPC"/>
    <n v="831"/>
    <s v="INTPG_VPC_827_1.21_831_1.21"/>
    <s v="ISEL-1.21"/>
    <n v="1"/>
    <s v="NO TIENE L3OUT"/>
    <n v="14"/>
    <n v="54"/>
  </r>
  <r>
    <n v="802"/>
    <x v="2"/>
    <x v="192"/>
    <s v="eth1/21"/>
    <x v="0"/>
    <x v="0"/>
    <x v="0"/>
    <s v="TO-HDPS_23-MSP"/>
    <x v="0"/>
    <b v="0"/>
    <s v="No está en VPC"/>
    <n v="802"/>
    <s v="INTPG_ACC_802_1.21"/>
    <s v="ISEL-1.21"/>
    <n v="1"/>
    <s v="NO TIENE L3OUT"/>
    <n v="48"/>
    <n v="54"/>
  </r>
  <r>
    <n v="835"/>
    <x v="2"/>
    <x v="193"/>
    <s v="eth1/21"/>
    <x v="0"/>
    <x v="0"/>
    <x v="0"/>
    <s v="LINK_TO_ITHFHWCBSPSWR60 / Slot1.3_32 / Principal"/>
    <x v="0"/>
    <b v="0"/>
    <s v="No está en VPC"/>
    <n v="835"/>
    <s v="INTPG_VPC_835_1.21_840_1.21"/>
    <s v="ISEL-1.21"/>
    <n v="1"/>
    <s v="NO TIENE L3OUT"/>
    <n v="8"/>
    <n v="54"/>
  </r>
  <r>
    <n v="822"/>
    <x v="2"/>
    <x v="194"/>
    <s v="eth1/21"/>
    <x v="0"/>
    <x v="0"/>
    <x v="0"/>
    <s v="LINK_TO_ITHFHWCBSPSUSBD14 /Slot6.2 /Redundante"/>
    <x v="0"/>
    <b v="0"/>
    <s v="No está en VPC"/>
    <n v="822"/>
    <s v="INTPG_VPC_817_1.21_822_1.21"/>
    <s v="ISEL-1.21"/>
    <n v="1"/>
    <s v="NO TIENE L3OUT"/>
    <n v="0"/>
    <n v="54"/>
  </r>
  <r>
    <n v="854"/>
    <x v="2"/>
    <x v="195"/>
    <s v="eth1/21"/>
    <x v="0"/>
    <x v="0"/>
    <x v="0"/>
    <s v="LINK_TO_ITHFHWCRMPLCN172 / Slot1.2_14 / Principal"/>
    <x v="0"/>
    <b v="0"/>
    <s v="No está en VPC"/>
    <n v="854"/>
    <s v="INTPG_ACC_854_1.21"/>
    <s v="ISEL-1.21"/>
    <n v="2"/>
    <s v="NO TIENE L3OUT"/>
    <n v="204"/>
    <n v="54"/>
  </r>
  <r>
    <n v="858"/>
    <x v="2"/>
    <x v="196"/>
    <s v="eth1/21"/>
    <x v="0"/>
    <x v="0"/>
    <x v="0"/>
    <s v="To_VPC_2DCBSD_HD43_3"/>
    <x v="0"/>
    <b v="0"/>
    <s v="No está en VPC"/>
    <n v="858"/>
    <s v="INTPG_VPC_858_1.21_863_1.21"/>
    <s v="ISEL-1.21"/>
    <n v="1"/>
    <s v="NO TIENE L3OUT"/>
    <n v="8"/>
    <n v="54"/>
  </r>
  <r>
    <n v="857"/>
    <x v="2"/>
    <x v="197"/>
    <s v="eth1/21"/>
    <x v="0"/>
    <x v="0"/>
    <x v="0"/>
    <s v="LINKT_TO_ITHFHWCRMPLCN122 / Slot1.2_14 / Principal"/>
    <x v="0"/>
    <b v="0"/>
    <s v="No está en VPC"/>
    <n v="857"/>
    <s v="INTPG_ACC_857_1.21"/>
    <s v="ISEL-1.21"/>
    <n v="2"/>
    <s v="NO TIENE L3OUT"/>
    <n v="288"/>
    <n v="54"/>
  </r>
  <r>
    <n v="859"/>
    <x v="2"/>
    <x v="198"/>
    <s v="eth1/21"/>
    <x v="0"/>
    <x v="0"/>
    <x v="0"/>
    <s v="To_VPC_2DCBSD_TL06_3"/>
    <x v="0"/>
    <b v="0"/>
    <s v="No está en VPC"/>
    <n v="859"/>
    <s v="INTPG_VPC_859_1.21_864_1.21"/>
    <s v="ISEL-1.21"/>
    <n v="1"/>
    <s v="NO TIENE L3OUT"/>
    <n v="0"/>
    <n v="54"/>
  </r>
  <r>
    <n v="833"/>
    <x v="2"/>
    <x v="199"/>
    <s v="eth1/21"/>
    <x v="0"/>
    <x v="0"/>
    <x v="0"/>
    <s v="LINK_TO_ITHFHWCRMDLCN34 /Slot4.2 /Principal"/>
    <x v="0"/>
    <b v="0"/>
    <s v="No está en VPC"/>
    <n v="833"/>
    <s v="INTPG_ACC_833_1.21"/>
    <s v="ISEL-1.21"/>
    <n v="1"/>
    <s v="NO TIENE L3OUT"/>
    <n v="224"/>
    <n v="54"/>
  </r>
  <r>
    <n v="818"/>
    <x v="2"/>
    <x v="200"/>
    <s v="eth1/21"/>
    <x v="0"/>
    <x v="0"/>
    <x v="0"/>
    <s v="LINK_TO_ITHFHWCBSPSUSBD21 /10GE.1 /Principal"/>
    <x v="0"/>
    <b v="0"/>
    <s v="No está en VPC"/>
    <n v="818"/>
    <s v="INTPG_VPC_818_1.21_823_1.21"/>
    <s v="ISEL-1.21"/>
    <n v="1"/>
    <s v="NO TIENE L3OUT"/>
    <n v="8"/>
    <n v="54"/>
  </r>
  <r>
    <n v="850"/>
    <x v="2"/>
    <x v="201"/>
    <s v="eth1/21"/>
    <x v="0"/>
    <x v="0"/>
    <x v="0"/>
    <s v="LINKT_TO_ITHFHWCRMPLCN122 / Slot7.2_14 / Redundante"/>
    <x v="0"/>
    <b v="0"/>
    <s v="No está en VPC"/>
    <n v="850"/>
    <s v="INTPG_ACC_850_1.21"/>
    <s v="ISEL-1.21"/>
    <n v="2"/>
    <s v="NO TIENE L3OUT"/>
    <n v="288"/>
    <n v="54"/>
  </r>
  <r>
    <n v="860"/>
    <x v="2"/>
    <x v="202"/>
    <s v="eth1/21"/>
    <x v="0"/>
    <x v="0"/>
    <x v="0"/>
    <s v="To_VPC_2DCBSD_HD29_3"/>
    <x v="0"/>
    <b v="0"/>
    <s v="No está en VPC"/>
    <n v="860"/>
    <s v="INTPG_VPC_860_1.21_865_1.21"/>
    <s v="ISEL-1.21"/>
    <n v="1"/>
    <s v="NO TIENE L3OUT"/>
    <n v="0"/>
    <n v="54"/>
  </r>
  <r>
    <n v="853"/>
    <x v="2"/>
    <x v="203"/>
    <s v="eth1/21"/>
    <x v="0"/>
    <x v="0"/>
    <x v="0"/>
    <s v="LINK_TO_ITHFHWCRMPLCN78 / Slot7.3_14 / Redundante"/>
    <x v="0"/>
    <b v="0"/>
    <s v="No está en VPC"/>
    <n v="853"/>
    <s v="INTPG_ACC_853_1.21"/>
    <s v="ISEL-1.21"/>
    <n v="1"/>
    <s v="NO TIENE L3OUT"/>
    <n v="242"/>
    <n v="54"/>
  </r>
  <r>
    <n v="790"/>
    <x v="2"/>
    <x v="204"/>
    <s v="eth1/21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21"/>
    <x v="0"/>
    <x v="0"/>
    <x v="0"/>
    <s v="ROAMING_ENCLOSURE"/>
    <x v="6"/>
    <b v="0"/>
    <s v="No está en VPC"/>
    <n v="105"/>
    <s v="INTPG_ACC_105_1.21"/>
    <s v="ISEL-1.21"/>
    <n v="1"/>
    <s v="NO TIENE L3OUT"/>
    <n v="106"/>
    <n v="96"/>
  </r>
  <r>
    <n v="117"/>
    <x v="0"/>
    <x v="206"/>
    <s v="eth1/21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21"/>
    <x v="0"/>
    <x v="1"/>
    <x v="1"/>
    <s v="SFLDI"/>
    <x v="6"/>
    <b v="0"/>
    <s v="No está en VPC"/>
    <n v="104"/>
    <s v="INTPG_ACC_104_1.21"/>
    <s v="ISEL-1.21"/>
    <n v="1"/>
    <s v="NO TIENE L3OUT"/>
    <n v="194"/>
    <n v="96"/>
  </r>
  <r>
    <n v="158"/>
    <x v="0"/>
    <x v="208"/>
    <s v="eth1/21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21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21"/>
    <x v="0"/>
    <x v="0"/>
    <x v="0"/>
    <s v="HACIA_MGMT-OSCP-F4-13_SECUNDARIO"/>
    <x v="4"/>
    <b v="0"/>
    <s v="No está en VPC"/>
    <n v="879"/>
    <s v="INTPG_VPC_878_1.21_879_1.21"/>
    <s v="ISEL-1.21"/>
    <n v="1"/>
    <s v="NO TIENE L3OUT"/>
    <n v="0"/>
    <n v="54"/>
  </r>
  <r>
    <n v="108"/>
    <x v="0"/>
    <x v="211"/>
    <s v="eth1/21"/>
    <x v="0"/>
    <x v="0"/>
    <x v="0"/>
    <s v="TELLABS"/>
    <x v="6"/>
    <b v="0"/>
    <s v="No está en VPC"/>
    <n v="108"/>
    <s v="INTPG_ACC_108_1.21"/>
    <s v="ISEL-1.21"/>
    <n v="1"/>
    <s v="NO TIENE L3OUT"/>
    <n v="126"/>
    <n v="96"/>
  </r>
  <r>
    <n v="112"/>
    <x v="0"/>
    <x v="212"/>
    <s v="eth1/21"/>
    <x v="0"/>
    <x v="0"/>
    <x v="0"/>
    <s v="APROVISIONAMIENTO DE SERVICIOS"/>
    <x v="6"/>
    <b v="0"/>
    <s v="No está en VPC"/>
    <n v="112"/>
    <s v="INTPG_ACC_112_1.21"/>
    <s v="ISEL-1.21"/>
    <n v="1"/>
    <s v="NO TIENE L3OUT"/>
    <n v="144"/>
    <n v="96"/>
  </r>
  <r>
    <n v="107"/>
    <x v="0"/>
    <x v="213"/>
    <s v="eth1/21"/>
    <x v="0"/>
    <x v="0"/>
    <x v="0"/>
    <m/>
    <x v="6"/>
    <b v="0"/>
    <s v="No está en VPC"/>
    <n v="107"/>
    <s v="INTPG_ACC_107_1.21"/>
    <s v="ISEL-1.21"/>
    <n v="1"/>
    <s v="NO TIENE L3OUT"/>
    <n v="118"/>
    <n v="96"/>
  </r>
  <r>
    <n v="109"/>
    <x v="0"/>
    <x v="214"/>
    <s v="eth1/21"/>
    <x v="0"/>
    <x v="0"/>
    <x v="0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21"/>
    <x v="0"/>
    <x v="0"/>
    <x v="0"/>
    <s v="TO-ITHFHWHSMTLCN06_MGMT"/>
    <x v="6"/>
    <b v="0"/>
    <s v="No está en VPC"/>
    <n v="113"/>
    <s v="INTPG_ACC_113_1.21"/>
    <s v="ISEL-1.21"/>
    <n v="1"/>
    <s v="NO TIENE L3OUT"/>
    <n v="52"/>
    <n v="96"/>
  </r>
  <r>
    <n v="114"/>
    <x v="0"/>
    <x v="216"/>
    <s v="eth1/21"/>
    <x v="0"/>
    <x v="0"/>
    <x v="0"/>
    <s v="SUBEX (Fraud Management)"/>
    <x v="6"/>
    <b v="0"/>
    <s v="No está en VPC"/>
    <n v="114"/>
    <s v="INTPG_ACC_114_1.21"/>
    <s v="ISEL-1.21"/>
    <n v="1"/>
    <s v="NO TIENE L3OUT"/>
    <n v="144"/>
    <n v="96"/>
  </r>
  <r>
    <n v="124"/>
    <x v="0"/>
    <x v="217"/>
    <s v="eth1/21"/>
    <x v="0"/>
    <x v="0"/>
    <x v="0"/>
    <s v="UXSVA (M9000)"/>
    <x v="6"/>
    <b v="0"/>
    <s v="No está en VPC"/>
    <n v="124"/>
    <s v="INTPG_ACC_124_1.21"/>
    <s v="ISEL-1.21"/>
    <n v="1"/>
    <s v="NO TIENE L3OUT"/>
    <n v="80"/>
    <n v="96"/>
  </r>
  <r>
    <n v="118"/>
    <x v="0"/>
    <x v="218"/>
    <s v="eth1/21"/>
    <x v="0"/>
    <x v="0"/>
    <x v="0"/>
    <s v="COBROS NAVEGACION"/>
    <x v="6"/>
    <b v="0"/>
    <s v="No está en VPC"/>
    <n v="118"/>
    <s v="INTPG_ACC_118_1.21"/>
    <s v="ISEL-1.21"/>
    <n v="1"/>
    <s v="NO TIENE L3OUT"/>
    <n v="180"/>
    <n v="96"/>
  </r>
  <r>
    <n v="159"/>
    <x v="0"/>
    <x v="219"/>
    <s v="eth1/21"/>
    <x v="0"/>
    <x v="0"/>
    <x v="0"/>
    <s v="ArrobaDOC Y CF"/>
    <x v="6"/>
    <b v="0"/>
    <s v="No está en VPC"/>
    <n v="159"/>
    <s v="INTPG_ACC_159_1.21"/>
    <s v="ISEL-1.21"/>
    <n v="1"/>
    <s v="NO TIENE L3OUT"/>
    <n v="72"/>
    <n v="96"/>
  </r>
  <r>
    <n v="840"/>
    <x v="2"/>
    <x v="220"/>
    <s v="eth1/21"/>
    <x v="0"/>
    <x v="0"/>
    <x v="0"/>
    <s v="LINK_TO_ITHFHWCBSPSWR60 / Slot7.3_32 / Redundante"/>
    <x v="0"/>
    <b v="0"/>
    <s v="No está en VPC"/>
    <n v="840"/>
    <s v="INTPG_VPC_835_1.21_840_1.21"/>
    <s v="ISEL-1.21"/>
    <n v="1"/>
    <s v="NO TIENE L3OUT"/>
    <n v="8"/>
    <n v="54"/>
  </r>
  <r>
    <n v="856"/>
    <x v="2"/>
    <x v="221"/>
    <s v="eth1/21"/>
    <x v="0"/>
    <x v="0"/>
    <x v="0"/>
    <s v="LINK_TO_ITHFHWCRMPLCN141 / Slot1.2_16 / Principal"/>
    <x v="0"/>
    <b v="0"/>
    <s v="No está en VPC"/>
    <n v="856"/>
    <s v="INTPG_ACC_856_1.21"/>
    <s v="ISEL-1.21"/>
    <n v="2"/>
    <s v="NO TIENE L3OUT"/>
    <n v="286"/>
    <n v="54"/>
  </r>
  <r>
    <n v="110"/>
    <x v="0"/>
    <x v="222"/>
    <s v="eth1/21"/>
    <x v="0"/>
    <x v="0"/>
    <x v="0"/>
    <s v="UXDX-DATOS"/>
    <x v="6"/>
    <b v="0"/>
    <s v="No está en VPC"/>
    <n v="110"/>
    <s v="INTPG_ACC_110_1.21"/>
    <s v="ISEL-1.21"/>
    <n v="1"/>
    <s v="NO TIENE L3OUT"/>
    <n v="102"/>
    <n v="96"/>
  </r>
  <r>
    <n v="163"/>
    <x v="0"/>
    <x v="223"/>
    <s v="eth1/21"/>
    <x v="0"/>
    <x v="0"/>
    <x v="0"/>
    <s v="SICOP"/>
    <x v="6"/>
    <b v="0"/>
    <s v="No está en VPC"/>
    <n v="163"/>
    <s v="INTPG_ACC_163_1.21"/>
    <s v="ISEL-1.21"/>
    <n v="1"/>
    <s v="NO TIENE L3OUT"/>
    <n v="140"/>
    <n v="96"/>
  </r>
  <r>
    <n v="407"/>
    <x v="1"/>
    <x v="224"/>
    <s v="eth1/21"/>
    <x v="0"/>
    <x v="0"/>
    <x v="0"/>
    <s v="IXT_SIEU"/>
    <x v="6"/>
    <b v="0"/>
    <s v="No está en VPC"/>
    <n v="407"/>
    <s v="INTPG_ACC_407_1.21"/>
    <s v="ISEL-1.21"/>
    <n v="1"/>
    <s v="NO TIENE L3OUT"/>
    <n v="122"/>
    <n v="96"/>
  </r>
  <r>
    <n v="171"/>
    <x v="0"/>
    <x v="225"/>
    <s v="eth1/21"/>
    <x v="0"/>
    <x v="0"/>
    <x v="0"/>
    <s v="SOP-EAGLE"/>
    <x v="6"/>
    <b v="0"/>
    <s v="No está en VPC"/>
    <n v="171"/>
    <s v="INTPG_ACC_171_1.21"/>
    <s v="ISEL-1.21"/>
    <n v="1"/>
    <s v="NO TIENE L3OUT"/>
    <n v="114"/>
    <n v="96"/>
  </r>
  <r>
    <n v="421"/>
    <x v="1"/>
    <x v="226"/>
    <s v="eth1/21"/>
    <x v="0"/>
    <x v="0"/>
    <x v="0"/>
    <s v="HP_Proliant_DL360_Gen9"/>
    <x v="6"/>
    <b v="0"/>
    <s v="No está en VPC"/>
    <n v="421"/>
    <s v="INTPG_ACC_421_1.21"/>
    <s v="ISEL-1.21"/>
    <n v="1"/>
    <s v="NO TIENE L3OUT"/>
    <n v="72"/>
    <n v="96"/>
  </r>
  <r>
    <n v="173"/>
    <x v="0"/>
    <x v="227"/>
    <s v="eth1/21"/>
    <x v="0"/>
    <x v="0"/>
    <x v="0"/>
    <s v="ENIQ"/>
    <x v="6"/>
    <b v="0"/>
    <s v="No está en VPC"/>
    <n v="173"/>
    <s v="INTPG_ACC_173_1.21"/>
    <s v="ISEL-1.21"/>
    <n v="1"/>
    <s v="NO TIENE L3OUT"/>
    <n v="66"/>
    <n v="96"/>
  </r>
  <r>
    <n v="154"/>
    <x v="0"/>
    <x v="228"/>
    <s v="eth1/21"/>
    <x v="0"/>
    <x v="0"/>
    <x v="0"/>
    <m/>
    <x v="6"/>
    <b v="0"/>
    <s v="No está en VPC"/>
    <n v="154"/>
    <s v="INTPG_ACC_154_1.21"/>
    <s v="ISEL-1.21"/>
    <n v="1"/>
    <s v="NO TIENE L3OUT"/>
    <n v="62"/>
    <n v="96"/>
  </r>
  <r>
    <n v="172"/>
    <x v="0"/>
    <x v="229"/>
    <s v="eth1/21"/>
    <x v="0"/>
    <x v="1"/>
    <x v="1"/>
    <s v="NFA"/>
    <x v="6"/>
    <b v="0"/>
    <s v="No está en VPC"/>
    <n v="172"/>
    <s v="INTPG_ACC_172_1.21"/>
    <s v="ISEL-1.21"/>
    <n v="1"/>
    <s v="NO TIENE L3OUT"/>
    <n v="104"/>
    <n v="96"/>
  </r>
  <r>
    <n v="420"/>
    <x v="1"/>
    <x v="230"/>
    <s v="eth1/21"/>
    <x v="0"/>
    <x v="0"/>
    <x v="0"/>
    <s v="sfmevp06"/>
    <x v="6"/>
    <b v="0"/>
    <s v="No está en VPC"/>
    <n v="420"/>
    <s v="INTPG_ACC_420_1.21"/>
    <s v="ISEL-1.21"/>
    <n v="1"/>
    <s v="NO TIENE L3OUT"/>
    <n v="158"/>
    <n v="96"/>
  </r>
  <r>
    <n v="423"/>
    <x v="1"/>
    <x v="231"/>
    <s v="eth1/21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21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21"/>
    <x v="1"/>
    <x v="1"/>
    <x v="2"/>
    <s v="SFLDI:RLDIWEB01:1"/>
    <x v="6"/>
    <b v="0"/>
    <s v="No está en VPC"/>
    <n v="102"/>
    <s v="INTPG_ACC_102_1.21"/>
    <s v="ISEL-1.21"/>
    <n v="0"/>
    <s v="NO TIENE L3OUT"/>
    <n v="228"/>
    <n v="96"/>
  </r>
  <r>
    <n v="863"/>
    <x v="2"/>
    <x v="234"/>
    <s v="eth1/21"/>
    <x v="0"/>
    <x v="0"/>
    <x v="0"/>
    <s v="To_VPC_2DCBSD_HD43_3"/>
    <x v="0"/>
    <b v="0"/>
    <s v="No está en VPC"/>
    <n v="863"/>
    <s v="INTPG_VPC_858_1.21_863_1.21"/>
    <s v="ISEL-1.21"/>
    <n v="1"/>
    <s v="NO TIENE L3OUT"/>
    <n v="8"/>
    <n v="54"/>
  </r>
  <r>
    <n v="876"/>
    <x v="2"/>
    <x v="235"/>
    <s v="eth1/21"/>
    <x v="0"/>
    <x v="0"/>
    <x v="0"/>
    <s v="A_ITHFHWSEQLCAS20_Principal"/>
    <x v="4"/>
    <b v="0"/>
    <s v="No está en VPC"/>
    <n v="876"/>
    <s v="INTPG_ACC_876_1.21"/>
    <s v="ISEL-1.21"/>
    <n v="1"/>
    <s v="NO TIENE L3OUT"/>
    <n v="92"/>
    <n v="54"/>
  </r>
  <r>
    <n v="877"/>
    <x v="2"/>
    <x v="236"/>
    <s v="eth1/21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21"/>
    <x v="0"/>
    <x v="1"/>
    <x v="1"/>
    <s v="WS2_MGMT"/>
    <x v="6"/>
    <b v="0"/>
    <s v="No está en VPC"/>
    <n v="122"/>
    <s v="INTPG_ACC_122_1.21"/>
    <s v="ISEL-1.21"/>
    <n v="1"/>
    <s v="NO TIENE L3OUT"/>
    <n v="148"/>
    <n v="96"/>
  </r>
  <r>
    <n v="157"/>
    <x v="0"/>
    <x v="238"/>
    <s v="eth1/21"/>
    <x v="1"/>
    <x v="1"/>
    <x v="2"/>
    <s v="RED CRICKET"/>
    <x v="6"/>
    <b v="0"/>
    <s v="No está en VPC"/>
    <n v="157"/>
    <s v="INTPG_ACC_157_1.21"/>
    <s v="ISEL-1.21"/>
    <n v="1"/>
    <s v="NO TIENE L3OUT"/>
    <n v="202"/>
    <n v="96"/>
  </r>
  <r>
    <n v="408"/>
    <x v="1"/>
    <x v="239"/>
    <s v="eth1/21"/>
    <x v="0"/>
    <x v="0"/>
    <x v="0"/>
    <s v="LAN_ADMON_UXCEM01_NXGE1"/>
    <x v="6"/>
    <b v="0"/>
    <s v="No está en VPC"/>
    <n v="408"/>
    <s v="INTPG_ACC_408_1.21"/>
    <s v="ISEL-1.21"/>
    <n v="1"/>
    <s v="NO TIENE L3OUT"/>
    <n v="152"/>
    <n v="96"/>
  </r>
  <r>
    <n v="405"/>
    <x v="1"/>
    <x v="240"/>
    <s v="eth1/21"/>
    <x v="0"/>
    <x v="0"/>
    <x v="0"/>
    <s v="XL6 RLR6ARI01 ILO"/>
    <x v="6"/>
    <b v="0"/>
    <s v="No está en VPC"/>
    <n v="405"/>
    <s v="INTPG_ACC_405_1.21"/>
    <s v="ISEL-1.21"/>
    <n v="1"/>
    <s v="NO TIENE L3OUT"/>
    <n v="138"/>
    <n v="96"/>
  </r>
  <r>
    <n v="169"/>
    <x v="0"/>
    <x v="241"/>
    <s v="eth1/21"/>
    <x v="1"/>
    <x v="1"/>
    <x v="2"/>
    <s v="TO-CORE_SWITCH-3-Y-4"/>
    <x v="6"/>
    <b v="0"/>
    <s v="No está en VPC"/>
    <n v="169"/>
    <s v="INTPG_VPC_167_1.30-32_169_1.21-23"/>
    <s v="ISEL-1.21"/>
    <n v="4"/>
    <s v="NO TIENE L3OUT"/>
    <n v="76"/>
    <n v="96"/>
  </r>
  <r>
    <n v="165"/>
    <x v="0"/>
    <x v="242"/>
    <s v="eth1/21"/>
    <x v="0"/>
    <x v="0"/>
    <x v="0"/>
    <s v="UXLDAP"/>
    <x v="6"/>
    <b v="0"/>
    <s v="No está en VPC"/>
    <n v="165"/>
    <s v="INTPG_ACC_165_1.21"/>
    <s v="ISEL-1.21"/>
    <n v="1"/>
    <s v="NO TIENE L3OUT"/>
    <n v="86"/>
    <n v="96"/>
  </r>
  <r>
    <n v="417"/>
    <x v="1"/>
    <x v="243"/>
    <s v="eth1/21"/>
    <x v="0"/>
    <x v="0"/>
    <x v="0"/>
    <s v="IXTSRM2-ilom"/>
    <x v="6"/>
    <b v="0"/>
    <s v="No está en VPC"/>
    <n v="417"/>
    <s v="INTPG_ACC_417_1.21"/>
    <s v="ISEL-1.21"/>
    <n v="1"/>
    <s v="NO TIENE L3OUT"/>
    <n v="56"/>
    <n v="96"/>
  </r>
  <r>
    <n v="153"/>
    <x v="0"/>
    <x v="244"/>
    <s v="eth1/21"/>
    <x v="0"/>
    <x v="0"/>
    <x v="0"/>
    <m/>
    <x v="6"/>
    <b v="0"/>
    <s v="No está en VPC"/>
    <n v="153"/>
    <s v="INTPG_ACC_153_1.21"/>
    <s v="ISEL-1.21"/>
    <n v="1"/>
    <s v="NO TIENE L3OUT"/>
    <n v="42"/>
    <n v="96"/>
  </r>
  <r>
    <n v="119"/>
    <x v="0"/>
    <x v="245"/>
    <s v="eth1/21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21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21"/>
    <x v="0"/>
    <x v="1"/>
    <x v="1"/>
    <s v="CAMPANAS 01-02:uxobie01:ent2"/>
    <x v="6"/>
    <b v="0"/>
    <s v="No está en VPC"/>
    <n v="103"/>
    <s v="INTPG_ACC_103_1.21"/>
    <s v="ISEL-1.21"/>
    <n v="1"/>
    <s v="NO TIENE L3OUT"/>
    <n v="70"/>
    <n v="96"/>
  </r>
  <r>
    <n v="438"/>
    <x v="1"/>
    <x v="248"/>
    <s v="eth1/21"/>
    <x v="0"/>
    <x v="0"/>
    <x v="0"/>
    <s v="HP_Proliant_DL380p(a)"/>
    <x v="6"/>
    <b v="0"/>
    <s v="No está en VPC"/>
    <n v="438"/>
    <s v="INTPG_ACC_438_1.21"/>
    <s v="ISEL-1.21"/>
    <n v="1"/>
    <s v="NO TIENE L3OUT"/>
    <n v="170"/>
    <n v="96"/>
  </r>
  <r>
    <n v="406"/>
    <x v="1"/>
    <x v="249"/>
    <s v="eth1/21"/>
    <x v="0"/>
    <x v="0"/>
    <x v="0"/>
    <s v="ITHRTC51VC1"/>
    <x v="6"/>
    <b v="0"/>
    <s v="No está en VPC"/>
    <n v="406"/>
    <s v="INTPG_VPC_404_1.21_406_1.21"/>
    <s v="ISEL-1.21"/>
    <n v="1"/>
    <s v="NO TIENE L3OUT"/>
    <n v="82"/>
    <n v="96"/>
  </r>
  <r>
    <n v="414"/>
    <x v="1"/>
    <x v="250"/>
    <s v="eth1/21"/>
    <x v="0"/>
    <x v="0"/>
    <x v="0"/>
    <s v="NEC Femtocel NMS"/>
    <x v="6"/>
    <b v="0"/>
    <s v="No está en VPC"/>
    <n v="414"/>
    <s v="INTPG_ACC_414_1.21"/>
    <s v="ISEL-1.21"/>
    <n v="1"/>
    <s v="NO TIENE L3OUT"/>
    <n v="144"/>
    <n v="96"/>
  </r>
  <r>
    <n v="416"/>
    <x v="1"/>
    <x v="251"/>
    <s v="eth1/21"/>
    <x v="0"/>
    <x v="0"/>
    <x v="0"/>
    <s v="TO-ITHEA1B-PRINCIPAL"/>
    <x v="6"/>
    <b v="0"/>
    <s v="No está en VPC"/>
    <n v="416"/>
    <s v="INTPG_ACC_416_1.21"/>
    <s v="ISEL-1.21"/>
    <n v="1"/>
    <s v="NO TIENE L3OUT"/>
    <n v="110"/>
    <n v="96"/>
  </r>
  <r>
    <n v="418"/>
    <x v="1"/>
    <x v="252"/>
    <s v="eth1/21"/>
    <x v="0"/>
    <x v="0"/>
    <x v="0"/>
    <s v="TO-ITHNM1-PRINCIPAL"/>
    <x v="6"/>
    <b v="0"/>
    <s v="No está en VPC"/>
    <n v="418"/>
    <s v="INTPG_ACC_418_1.21"/>
    <s v="ISEL-1.21"/>
    <n v="1"/>
    <s v="NO TIENE L3OUT"/>
    <n v="152"/>
    <n v="96"/>
  </r>
  <r>
    <n v="413"/>
    <x v="1"/>
    <x v="253"/>
    <s v="eth1/21"/>
    <x v="0"/>
    <x v="1"/>
    <x v="1"/>
    <m/>
    <x v="6"/>
    <b v="0"/>
    <s v="No está en VPC"/>
    <n v="413"/>
    <s v="NO EXISTE PG"/>
    <s v="NO EXISTE ISEL"/>
    <n v="0"/>
    <s v="NO TIENE L3OUT"/>
    <n v="126"/>
    <n v="96"/>
  </r>
  <r>
    <n v="403"/>
    <x v="1"/>
    <x v="254"/>
    <s v="eth1/21"/>
    <x v="0"/>
    <x v="0"/>
    <x v="0"/>
    <s v="XL6 RLR6ARI01"/>
    <x v="6"/>
    <b v="0"/>
    <s v="No está en VPC"/>
    <n v="403"/>
    <s v="INTPG_ACC_403_1.21"/>
    <s v="ISEL-1.21"/>
    <n v="1"/>
    <s v="NO TIENE L3OUT"/>
    <n v="150"/>
    <n v="96"/>
  </r>
  <r>
    <n v="125"/>
    <x v="0"/>
    <x v="255"/>
    <s v="eth1/21"/>
    <x v="0"/>
    <x v="0"/>
    <x v="0"/>
    <s v="UXSVA (M9000)"/>
    <x v="6"/>
    <b v="0"/>
    <s v="No está en VPC"/>
    <n v="125"/>
    <s v="INTPG_ACC_125_1.21"/>
    <s v="ISEL-1.21"/>
    <n v="1"/>
    <s v="NO TIENE L3OUT"/>
    <n v="72"/>
    <n v="96"/>
  </r>
  <r>
    <n v="166"/>
    <x v="0"/>
    <x v="256"/>
    <s v="eth1/21"/>
    <x v="1"/>
    <x v="1"/>
    <x v="2"/>
    <s v="UXLDAP"/>
    <x v="6"/>
    <b v="0"/>
    <s v="No está en VPC"/>
    <n v="166"/>
    <s v="INTPG_ACC_166_1.21"/>
    <s v="ISEL-1.21"/>
    <n v="1"/>
    <s v="NO TIENE L3OUT"/>
    <n v="84"/>
    <n v="96"/>
  </r>
  <r>
    <n v="111"/>
    <x v="0"/>
    <x v="257"/>
    <s v="eth1/21"/>
    <x v="0"/>
    <x v="0"/>
    <x v="0"/>
    <s v="UXDX-DATOS"/>
    <x v="6"/>
    <b v="0"/>
    <s v="No está en VPC"/>
    <n v="111"/>
    <s v="INTPG_ACC_111_1.21"/>
    <s v="ISEL-1.21"/>
    <n v="1"/>
    <s v="NO TIENE L3OUT"/>
    <n v="58"/>
    <n v="96"/>
  </r>
  <r>
    <n v="115"/>
    <x v="0"/>
    <x v="258"/>
    <s v="eth1/21"/>
    <x v="0"/>
    <x v="1"/>
    <x v="1"/>
    <s v="SAPCC"/>
    <x v="6"/>
    <b v="0"/>
    <s v="No está en VPC"/>
    <n v="115"/>
    <s v="INTPG_ACC_115_1.21"/>
    <s v="ISEL-1.21"/>
    <n v="1"/>
    <s v="NO TIENE L3OUT"/>
    <n v="42"/>
    <n v="96"/>
  </r>
  <r>
    <n v="106"/>
    <x v="0"/>
    <x v="259"/>
    <s v="eth1/21"/>
    <x v="0"/>
    <x v="1"/>
    <x v="1"/>
    <s v="SISAP"/>
    <x v="6"/>
    <b v="0"/>
    <s v="No está en VPC"/>
    <n v="106"/>
    <s v="INTPG_ACC_106_1.21"/>
    <s v="ISEL-1.21"/>
    <n v="1"/>
    <s v="NO TIENE L3OUT"/>
    <n v="122"/>
    <n v="96"/>
  </r>
  <r>
    <n v="126"/>
    <x v="0"/>
    <x v="260"/>
    <s v="eth1/21"/>
    <x v="0"/>
    <x v="0"/>
    <x v="0"/>
    <s v="ENIQ"/>
    <x v="6"/>
    <b v="0"/>
    <s v="No está en VPC"/>
    <n v="126"/>
    <s v="INTPG_ACC_126_1.21"/>
    <s v="ISEL-1.21"/>
    <n v="1"/>
    <s v="NO TIENE L3OUT"/>
    <n v="54"/>
    <n v="96"/>
  </r>
  <r>
    <n v="425"/>
    <x v="1"/>
    <x v="261"/>
    <s v="eth1/21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21"/>
    <x v="0"/>
    <x v="0"/>
    <x v="0"/>
    <s v="ETLI-SACI 3"/>
    <x v="6"/>
    <b v="0"/>
    <s v="No está en VPC"/>
    <n v="151"/>
    <s v="INTPG_ACC_151_1.21"/>
    <s v="ISEL-1.21"/>
    <n v="1"/>
    <s v="NO TIENE L3OUT"/>
    <n v="86"/>
    <n v="96"/>
  </r>
  <r>
    <n v="430"/>
    <x v="1"/>
    <x v="263"/>
    <s v="eth1/21"/>
    <x v="0"/>
    <x v="1"/>
    <x v="1"/>
    <s v="RHEV_Produccion_sfrevp02"/>
    <x v="6"/>
    <b v="0"/>
    <s v="No está en VPC"/>
    <n v="430"/>
    <s v="INTPG_VPC_428_1.21_430_1.21"/>
    <s v="ISEL-1.21"/>
    <n v="1"/>
    <s v="NO TIENE L3OUT"/>
    <n v="86"/>
    <n v="96"/>
  </r>
  <r>
    <n v="419"/>
    <x v="1"/>
    <x v="264"/>
    <s v="eth1/21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21"/>
    <x v="0"/>
    <x v="0"/>
    <x v="0"/>
    <s v="COBROS NAVEGACION"/>
    <x v="6"/>
    <b v="0"/>
    <s v="No está en VPC"/>
    <n v="155"/>
    <s v="INTPG_ACC_155_1.21"/>
    <s v="ISEL-1.21"/>
    <n v="1"/>
    <s v="NO TIENE L3OUT"/>
    <n v="198"/>
    <n v="96"/>
  </r>
  <r>
    <n v="409"/>
    <x v="1"/>
    <x v="266"/>
    <s v="eth1/21"/>
    <x v="0"/>
    <x v="0"/>
    <x v="0"/>
    <s v="IXT4GSW2A2_MGNT"/>
    <x v="6"/>
    <b v="0"/>
    <s v="No está en VPC"/>
    <n v="409"/>
    <s v="INTPG_ACC_409_1.21"/>
    <s v="ISEL-1.21"/>
    <n v="1"/>
    <s v="NO TIENE L3OUT"/>
    <n v="128"/>
    <n v="96"/>
  </r>
  <r>
    <n v="422"/>
    <x v="1"/>
    <x v="267"/>
    <s v="eth1/21"/>
    <x v="0"/>
    <x v="0"/>
    <x v="0"/>
    <s v="IXTAI6_ALOM"/>
    <x v="6"/>
    <b v="0"/>
    <s v="No está en VPC"/>
    <n v="422"/>
    <s v="INTPG_ACC_422_1.21"/>
    <s v="ISEL-1.21"/>
    <n v="1"/>
    <s v="NO TIENE L3OUT"/>
    <n v="182"/>
    <n v="96"/>
  </r>
  <r>
    <n v="436"/>
    <x v="1"/>
    <x v="268"/>
    <s v="eth1/21"/>
    <x v="0"/>
    <x v="0"/>
    <x v="0"/>
    <s v="HP_Proliant_DL380p(b)"/>
    <x v="6"/>
    <b v="0"/>
    <s v="No está en VPC"/>
    <n v="436"/>
    <s v="INTPG_ACC_436_1.21"/>
    <s v="ISEL-1.21"/>
    <n v="1"/>
    <s v="NO TIENE L3OUT"/>
    <n v="172"/>
    <n v="96"/>
  </r>
  <r>
    <n v="410"/>
    <x v="1"/>
    <x v="269"/>
    <s v="eth1/21"/>
    <x v="0"/>
    <x v="0"/>
    <x v="0"/>
    <s v="ITHMSNUBE2_IGB0"/>
    <x v="6"/>
    <b v="0"/>
    <s v="No está en VPC"/>
    <n v="410"/>
    <s v="INTPG_ACC_410_1.21"/>
    <s v="ISEL-1.21"/>
    <n v="1"/>
    <s v="NO TIENE L3OUT"/>
    <n v="178"/>
    <n v="96"/>
  </r>
  <r>
    <n v="161"/>
    <x v="0"/>
    <x v="270"/>
    <s v="eth1/21"/>
    <x v="0"/>
    <x v="0"/>
    <x v="0"/>
    <s v="SICOP"/>
    <x v="6"/>
    <b v="0"/>
    <s v="No está en VPC"/>
    <n v="161"/>
    <s v="INTPG_ACC_161_1.21"/>
    <s v="ISEL-1.21"/>
    <n v="1"/>
    <s v="NO TIENE L3OUT"/>
    <n v="102"/>
    <n v="96"/>
  </r>
  <r>
    <n v="411"/>
    <x v="1"/>
    <x v="271"/>
    <s v="eth1/21"/>
    <x v="0"/>
    <x v="0"/>
    <x v="0"/>
    <s v="lagidmhlapvp06_produccion1"/>
    <x v="6"/>
    <b v="0"/>
    <s v="No está en VPC"/>
    <n v="411"/>
    <s v="INTPG_VPC_411_1.21-24_413_1.14-17"/>
    <s v="ISEL-1.21"/>
    <n v="2"/>
    <s v="NO TIENE L3OUT"/>
    <n v="96"/>
    <n v="96"/>
  </r>
  <r>
    <n v="116"/>
    <x v="0"/>
    <x v="272"/>
    <s v="eth1/21"/>
    <x v="0"/>
    <x v="0"/>
    <x v="0"/>
    <s v="COBROS NAVEGACION"/>
    <x v="6"/>
    <b v="0"/>
    <s v="No está en VPC"/>
    <n v="116"/>
    <s v="INTPG_ACC_116_1.21"/>
    <s v="ISEL-1.21"/>
    <n v="1"/>
    <s v="NO TIENE L3OUT"/>
    <n v="148"/>
    <n v="96"/>
  </r>
  <r>
    <n v="412"/>
    <x v="1"/>
    <x v="273"/>
    <s v="eth1/21"/>
    <x v="0"/>
    <x v="0"/>
    <x v="0"/>
    <s v="UXCA_EXADATA"/>
    <x v="6"/>
    <b v="0"/>
    <s v="No está en VPC"/>
    <n v="412"/>
    <s v="INTPG_ACC_412_1.21"/>
    <s v="ISEL-1.21"/>
    <n v="1"/>
    <s v="NO TIENE L3OUT"/>
    <n v="126"/>
    <n v="96"/>
  </r>
  <r>
    <n v="120"/>
    <x v="0"/>
    <x v="274"/>
    <s v="eth1/21"/>
    <x v="0"/>
    <x v="1"/>
    <x v="1"/>
    <s v="WS1_MGMT"/>
    <x v="6"/>
    <b v="0"/>
    <s v="No está en VPC"/>
    <n v="120"/>
    <s v="INTPG_ACC_120_1.21"/>
    <s v="ISEL-1.21"/>
    <n v="1"/>
    <s v="NO TIENE L3OUT"/>
    <n v="158"/>
    <n v="96"/>
  </r>
  <r>
    <n v="404"/>
    <x v="1"/>
    <x v="275"/>
    <s v="eth1/21"/>
    <x v="0"/>
    <x v="0"/>
    <x v="0"/>
    <s v="ITHRTC51VC1"/>
    <x v="6"/>
    <b v="0"/>
    <s v="No está en VPC"/>
    <n v="404"/>
    <s v="INTPG_VPC_404_1.21_406_1.21"/>
    <s v="ISEL-1.21"/>
    <n v="1"/>
    <s v="NO TIENE L3OUT"/>
    <n v="92"/>
    <n v="96"/>
  </r>
  <r>
    <n v="167"/>
    <x v="0"/>
    <x v="276"/>
    <s v="eth1/21"/>
    <x v="0"/>
    <x v="0"/>
    <x v="0"/>
    <m/>
    <x v="6"/>
    <b v="0"/>
    <s v="No está en VPC"/>
    <n v="167"/>
    <s v="INTPG_ACC_167_1.21"/>
    <s v="ISEL-1.21"/>
    <n v="1"/>
    <s v="NO TIENE L3OUT"/>
    <n v="68"/>
    <n v="96"/>
  </r>
  <r>
    <n v="428"/>
    <x v="1"/>
    <x v="277"/>
    <s v="eth1/21"/>
    <x v="0"/>
    <x v="1"/>
    <x v="1"/>
    <s v="RHEV_Produccion_sfrevp02"/>
    <x v="6"/>
    <b v="0"/>
    <s v="No está en VPC"/>
    <n v="428"/>
    <s v="INTPG_VPC_428_1.21_430_1.21"/>
    <s v="ISEL-1.21"/>
    <n v="1"/>
    <s v="NO TIENE L3OUT"/>
    <n v="102"/>
    <n v="96"/>
  </r>
  <r>
    <n v="903"/>
    <x v="2"/>
    <x v="278"/>
    <s v="eth1/2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2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22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22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22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22"/>
    <x v="0"/>
    <x v="0"/>
    <x v="0"/>
    <s v="TO-ITHFDEVYCWPBD01"/>
    <x v="0"/>
    <b v="0"/>
    <s v="No está en VPC"/>
    <n v="101"/>
    <s v="INTPG_VPC_101_1.22_150_1.22"/>
    <s v="ISEL-1.22"/>
    <n v="1"/>
    <s v="NO TIENE L3OUT"/>
    <n v="114"/>
    <n v="54"/>
  </r>
  <r>
    <n v="160"/>
    <x v="0"/>
    <x v="4"/>
    <s v="eth1/22"/>
    <x v="0"/>
    <x v="0"/>
    <x v="0"/>
    <m/>
    <x v="1"/>
    <b v="0"/>
    <s v="No está en VPC"/>
    <n v="160"/>
    <s v="INTPG_ACC_160_1.22"/>
    <s v="ISEL-1.22"/>
    <n v="1"/>
    <s v="NO TIENE L3OUT"/>
    <n v="68"/>
    <n v="54"/>
  </r>
  <r>
    <n v="121"/>
    <x v="0"/>
    <x v="5"/>
    <s v="eth1/22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22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22"/>
    <x v="0"/>
    <x v="1"/>
    <x v="1"/>
    <s v="LINK_HACIA_MGMT"/>
    <x v="0"/>
    <b v="0"/>
    <s v="No está en VPC"/>
    <n v="401"/>
    <s v="INTPG_VPC_MGMT_10518_401_1.22_402_1.22"/>
    <s v="ISEL-1.22"/>
    <n v="1"/>
    <s v="NO TIENE L3OUT"/>
    <n v="40"/>
    <n v="54"/>
  </r>
  <r>
    <n v="402"/>
    <x v="1"/>
    <x v="8"/>
    <s v="eth1/22"/>
    <x v="0"/>
    <x v="0"/>
    <x v="0"/>
    <s v="LINK_HACIA_MGMT"/>
    <x v="0"/>
    <b v="0"/>
    <s v="No está en VPC"/>
    <n v="402"/>
    <s v="INTPG_VPC_MGMT_10518_401_1.22_402_1.22"/>
    <s v="ISEL-1.22"/>
    <n v="1"/>
    <s v="NO TIENE L3OUT"/>
    <n v="36"/>
    <n v="54"/>
  </r>
  <r>
    <n v="447"/>
    <x v="1"/>
    <x v="9"/>
    <s v="eth1/22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22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22"/>
    <x v="0"/>
    <x v="0"/>
    <x v="0"/>
    <s v="TO-ITHEMCDD99000569"/>
    <x v="0"/>
    <b v="0"/>
    <s v="No está en VPC"/>
    <n v="130"/>
    <s v="INTPG_VPC_130_1.21-22_131_1.22-23"/>
    <s v="ISEL-1.22"/>
    <n v="1"/>
    <s v="NO TIENE L3OUT"/>
    <n v="128"/>
    <n v="54"/>
  </r>
  <r>
    <n v="150"/>
    <x v="0"/>
    <x v="12"/>
    <s v="eth1/22"/>
    <x v="0"/>
    <x v="0"/>
    <x v="0"/>
    <s v="TO-ITHFDEVYCWPBD01"/>
    <x v="0"/>
    <b v="0"/>
    <s v="No está en VPC"/>
    <n v="150"/>
    <s v="INTPG_VPC_101_1.22_150_1.22"/>
    <s v="ISEL-1.22"/>
    <n v="1"/>
    <s v="NO TIENE L3OUT"/>
    <n v="118"/>
    <n v="54"/>
  </r>
  <r>
    <n v="131"/>
    <x v="0"/>
    <x v="13"/>
    <s v="eth1/22"/>
    <x v="0"/>
    <x v="0"/>
    <x v="0"/>
    <s v="TO-ITHEMCDD99000569"/>
    <x v="0"/>
    <b v="0"/>
    <s v="No está en VPC"/>
    <n v="131"/>
    <s v="INTPG_VPC_130_1.21-22_131_1.22-23"/>
    <s v="ISEL-1.22"/>
    <n v="1"/>
    <s v="NO TIENE L3OUT"/>
    <n v="126"/>
    <n v="54"/>
  </r>
  <r>
    <n v="303"/>
    <x v="0"/>
    <x v="14"/>
    <s v="eth1/22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22"/>
    <x v="0"/>
    <x v="0"/>
    <x v="0"/>
    <s v="GRLK-EN04-LAG02"/>
    <x v="2"/>
    <b v="0"/>
    <s v="No está en VPC"/>
    <n v="758"/>
    <s v="INTPG_VPC_758_1.22_759_1.22"/>
    <s v="ISEL-1.22"/>
    <n v="145"/>
    <s v="NO TIENE L3OUT"/>
    <n v="0"/>
    <n v="42"/>
  </r>
  <r>
    <n v="759"/>
    <x v="2"/>
    <x v="16"/>
    <s v="eth1/22"/>
    <x v="0"/>
    <x v="0"/>
    <x v="0"/>
    <s v="GRLK-EN04-LAG02"/>
    <x v="2"/>
    <b v="0"/>
    <s v="No está en VPC"/>
    <n v="759"/>
    <s v="INTPG_VPC_758_1.22_759_1.22"/>
    <s v="ISEL-1.22"/>
    <n v="145"/>
    <s v="NO TIENE L3OUT"/>
    <n v="0"/>
    <n v="42"/>
  </r>
  <r>
    <n v="302"/>
    <x v="0"/>
    <x v="17"/>
    <s v="eth1/22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22"/>
    <x v="0"/>
    <x v="0"/>
    <x v="0"/>
    <s v="EMIPCLOUD_A02"/>
    <x v="1"/>
    <b v="0"/>
    <s v="No está en VPC"/>
    <n v="424"/>
    <s v="INTPG_ACC_424_1.22"/>
    <s v="ISEL-1.22"/>
    <n v="1"/>
    <s v="NO TIENE L3OUT"/>
    <n v="16"/>
    <n v="54"/>
  </r>
  <r>
    <n v="426"/>
    <x v="1"/>
    <x v="19"/>
    <s v="eth1/22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22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22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22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22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22"/>
    <x v="0"/>
    <x v="1"/>
    <x v="3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22"/>
    <x v="0"/>
    <x v="0"/>
    <x v="0"/>
    <m/>
    <x v="0"/>
    <b v="0"/>
    <s v="No está en VPC"/>
    <n v="725"/>
    <s v="INTPG-VPC_HDD98_724_1.21_725_1.22"/>
    <s v="ISEL-1.22"/>
    <n v="1"/>
    <s v="NO TIENE L3OUT"/>
    <n v="0"/>
    <n v="54"/>
  </r>
  <r>
    <n v="431"/>
    <x v="1"/>
    <x v="26"/>
    <s v="eth1/22"/>
    <x v="0"/>
    <x v="0"/>
    <x v="0"/>
    <s v="CLIENT_HUAWEI_CLOUD_ARIESO1"/>
    <x v="0"/>
    <b v="0"/>
    <s v="No está en VPC"/>
    <n v="431"/>
    <s v="INTPG_VPC_431_1.22-25_448_1.22-25"/>
    <s v="ISEL-1.22"/>
    <n v="14"/>
    <s v="NO TIENE L3OUT"/>
    <n v="46"/>
    <n v="54"/>
  </r>
  <r>
    <n v="433"/>
    <x v="1"/>
    <x v="27"/>
    <s v="eth1/22"/>
    <x v="0"/>
    <x v="0"/>
    <x v="0"/>
    <s v="ITHDWCOP1DW01_ETH1"/>
    <x v="1"/>
    <b v="0"/>
    <s v="No está en VPC"/>
    <n v="433"/>
    <s v="INTPG_ACC_433_1.22"/>
    <s v="ISEL-1.22"/>
    <n v="1"/>
    <s v="NO TIENE L3OUT"/>
    <n v="42"/>
    <n v="54"/>
  </r>
  <r>
    <n v="429"/>
    <x v="1"/>
    <x v="28"/>
    <s v="eth1/22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22"/>
    <x v="0"/>
    <x v="0"/>
    <x v="0"/>
    <s v="SecAnLG_Gb2_06-Colector_R9_RD-IXTSALG_H9RD"/>
    <x v="1"/>
    <b v="0"/>
    <s v="No está en VPC"/>
    <n v="432"/>
    <s v="INTPG_ACC_432_1.22"/>
    <s v="ISEL-1.22"/>
    <n v="1"/>
    <s v="NO TIENE L3OUT"/>
    <n v="54"/>
    <n v="54"/>
  </r>
  <r>
    <n v="442"/>
    <x v="1"/>
    <x v="30"/>
    <s v="eth1/22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22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22"/>
    <x v="0"/>
    <x v="0"/>
    <x v="0"/>
    <s v="ITHCEMG2APP18"/>
    <x v="0"/>
    <b v="0"/>
    <s v="No está en VPC"/>
    <n v="707"/>
    <s v="INTPG_ACC_707_1.22"/>
    <s v="ISEL-1.22"/>
    <n v="1"/>
    <s v="NO TIENE L3OUT"/>
    <n v="54"/>
    <n v="54"/>
  </r>
  <r>
    <n v="712"/>
    <x v="2"/>
    <x v="33"/>
    <s v="eth1/22"/>
    <x v="0"/>
    <x v="1"/>
    <x v="5"/>
    <s v="CEM:ITHCEMA2AKF11:LOM  P2"/>
    <x v="0"/>
    <b v="0"/>
    <s v="No está en VPC"/>
    <n v="712"/>
    <s v="INTPG_VPC_713_1.21_712_1.22"/>
    <s v="ISEL-1.22"/>
    <n v="1"/>
    <s v="NO TIENE L3OUT"/>
    <n v="32"/>
    <n v="54"/>
  </r>
  <r>
    <n v="719"/>
    <x v="2"/>
    <x v="34"/>
    <s v="eth1/22"/>
    <x v="0"/>
    <x v="0"/>
    <x v="0"/>
    <m/>
    <x v="0"/>
    <b v="0"/>
    <s v="No está en VPC"/>
    <n v="719"/>
    <s v="INTPG-VPC_IHP01_720_1.21_719_1.22"/>
    <s v="ISEL-1.22"/>
    <n v="1"/>
    <s v="NO TIENE L3OUT"/>
    <n v="0"/>
    <n v="54"/>
  </r>
  <r>
    <n v="715"/>
    <x v="2"/>
    <x v="35"/>
    <s v="eth1/22"/>
    <x v="0"/>
    <x v="0"/>
    <x v="0"/>
    <m/>
    <x v="0"/>
    <b v="0"/>
    <s v="No está en VPC"/>
    <n v="715"/>
    <s v="INTPG-VPC_HDD29_716_1.21_715_1.22"/>
    <s v="ISEL-1.22"/>
    <n v="1"/>
    <s v="NO TIENE L3OUT"/>
    <n v="0"/>
    <n v="54"/>
  </r>
  <r>
    <n v="427"/>
    <x v="1"/>
    <x v="36"/>
    <s v="eth1/22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22"/>
    <x v="0"/>
    <x v="1"/>
    <x v="5"/>
    <s v="CEM:ITHCEMD2AKF11:LOM  P2"/>
    <x v="0"/>
    <b v="0"/>
    <s v="No está en VPC"/>
    <n v="711"/>
    <s v="INTPG_VPC_710_1.21_711_1.22"/>
    <s v="ISEL-1.22"/>
    <n v="1"/>
    <s v="NO TIENE L3OUT"/>
    <n v="16"/>
    <n v="54"/>
  </r>
  <r>
    <n v="716"/>
    <x v="2"/>
    <x v="38"/>
    <s v="eth1/22"/>
    <x v="0"/>
    <x v="0"/>
    <x v="0"/>
    <m/>
    <x v="0"/>
    <b v="0"/>
    <s v="No está en VPC"/>
    <n v="716"/>
    <s v="INTPG-VPC_SLR03_715_1.21_716_1.22"/>
    <s v="ISEL-1.22"/>
    <n v="1"/>
    <s v="NO TIENE L3OUT"/>
    <n v="0"/>
    <n v="54"/>
  </r>
  <r>
    <n v="702"/>
    <x v="2"/>
    <x v="39"/>
    <s v="eth1/22"/>
    <x v="0"/>
    <x v="0"/>
    <x v="0"/>
    <m/>
    <x v="0"/>
    <b v="0"/>
    <s v="No está en VPC"/>
    <n v="702"/>
    <s v="INTPG_VPC_701_1.21_702_1.22"/>
    <s v="ISEL-1.22"/>
    <n v="1"/>
    <s v="NO TIENE L3OUT"/>
    <n v="0"/>
    <n v="54"/>
  </r>
  <r>
    <n v="435"/>
    <x v="1"/>
    <x v="40"/>
    <s v="eth1/22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22"/>
    <x v="0"/>
    <x v="0"/>
    <x v="0"/>
    <s v="TO-ITHFDLMCLWLCN02"/>
    <x v="0"/>
    <b v="0"/>
    <s v="No está en VPC"/>
    <n v="446"/>
    <s v="INTPG_VPC_446_1.22_444_1.21"/>
    <s v="ISEL-1.22"/>
    <n v="3"/>
    <s v="NO TIENE L3OUT"/>
    <n v="198"/>
    <n v="54"/>
  </r>
  <r>
    <n v="444"/>
    <x v="1"/>
    <x v="42"/>
    <s v="eth1/22"/>
    <x v="0"/>
    <x v="0"/>
    <x v="0"/>
    <m/>
    <x v="0"/>
    <b v="0"/>
    <s v="No está en VPC"/>
    <n v="444"/>
    <s v="INTPG_ACC_444_1.22"/>
    <s v="ISEL-1.22"/>
    <n v="9"/>
    <s v="NO TIENE L3OUT"/>
    <n v="234"/>
    <n v="54"/>
  </r>
  <r>
    <n v="701"/>
    <x v="2"/>
    <x v="43"/>
    <s v="eth1/22"/>
    <x v="0"/>
    <x v="1"/>
    <x v="5"/>
    <m/>
    <x v="0"/>
    <b v="0"/>
    <s v="No está en VPC"/>
    <n v="701"/>
    <s v="INTPG_VPC_702_1.21_701_1.22"/>
    <s v="ISEL-1.22"/>
    <n v="1"/>
    <s v="NO TIENE L3OUT"/>
    <n v="0"/>
    <n v="54"/>
  </r>
  <r>
    <n v="440"/>
    <x v="1"/>
    <x v="44"/>
    <s v="eth1/22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22"/>
    <x v="0"/>
    <x v="0"/>
    <x v="0"/>
    <s v="CLIENT_HUAWEI_CLOUD_ARIESO1"/>
    <x v="0"/>
    <b v="0"/>
    <s v="No está en VPC"/>
    <n v="448"/>
    <s v="INTPG_VPC_431_1.22-25_448_1.22-25"/>
    <s v="ISEL-1.22"/>
    <n v="14"/>
    <s v="NO TIENE L3OUT"/>
    <n v="46"/>
    <n v="54"/>
  </r>
  <r>
    <n v="704"/>
    <x v="2"/>
    <x v="46"/>
    <s v="eth1/22"/>
    <x v="0"/>
    <x v="0"/>
    <x v="0"/>
    <m/>
    <x v="0"/>
    <b v="0"/>
    <s v="No está en VPC"/>
    <n v="704"/>
    <s v="INTPG_VPC_703_1.21_704_1.22"/>
    <s v="ISEL-1.22"/>
    <n v="1"/>
    <s v="NO TIENE L3OUT"/>
    <n v="0"/>
    <n v="54"/>
  </r>
  <r>
    <n v="729"/>
    <x v="2"/>
    <x v="47"/>
    <s v="eth1/22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22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22"/>
    <x v="0"/>
    <x v="0"/>
    <x v="0"/>
    <s v="HACIA_MGMT-OSCP-F4-02_SECUNDARIO"/>
    <x v="4"/>
    <b v="0"/>
    <s v="No está en VPC"/>
    <n v="456"/>
    <s v="INTPG_VPC_454_1.22_456_1.22"/>
    <s v="ISEL-1.22"/>
    <n v="1"/>
    <s v="NO TIENE L3OUT"/>
    <n v="4"/>
    <n v="54"/>
  </r>
  <r>
    <n v="603"/>
    <x v="1"/>
    <x v="50"/>
    <s v="eth1/22"/>
    <x v="0"/>
    <x v="1"/>
    <x v="3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22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22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22"/>
    <x v="0"/>
    <x v="0"/>
    <x v="0"/>
    <s v="Server_Pre-R02-CBS-RH2288-06"/>
    <x v="0"/>
    <b v="0"/>
    <s v="No está en VPC"/>
    <n v="730"/>
    <s v="INTPG_ACC_730_1.22"/>
    <s v="ISEL-1.22"/>
    <n v="1"/>
    <s v="NO TIENE L3OUT"/>
    <n v="36"/>
    <n v="54"/>
  </r>
  <r>
    <n v="722"/>
    <x v="2"/>
    <x v="54"/>
    <s v="eth1/22"/>
    <x v="0"/>
    <x v="0"/>
    <x v="0"/>
    <m/>
    <x v="0"/>
    <b v="0"/>
    <s v="No está en VPC"/>
    <n v="722"/>
    <s v="INTPG-VPC_HDD110_723_1.21_722_1.22"/>
    <s v="ISEL-1.22"/>
    <n v="1"/>
    <s v="NO TIENE L3OUT"/>
    <n v="0"/>
    <n v="54"/>
  </r>
  <r>
    <n v="733"/>
    <x v="2"/>
    <x v="55"/>
    <s v="eth1/22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22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22"/>
    <x v="0"/>
    <x v="0"/>
    <x v="0"/>
    <m/>
    <x v="0"/>
    <b v="0"/>
    <s v="No está en VPC"/>
    <n v="748"/>
    <s v="INTPG_ACC_748_1.22"/>
    <s v="ISEL-1.22"/>
    <n v="0"/>
    <s v="NO TIENE L3OUT"/>
    <n v="2"/>
    <n v="54"/>
  </r>
  <r>
    <n v="756"/>
    <x v="2"/>
    <x v="58"/>
    <s v="eth1/22"/>
    <x v="0"/>
    <x v="0"/>
    <x v="0"/>
    <s v="OSS F1:ithenmr06e1r9b:Bay2/X2"/>
    <x v="0"/>
    <b v="0"/>
    <s v="No está en VPC"/>
    <n v="756"/>
    <s v="INTPG_PC_756_1.21-22"/>
    <s v="ISEL-1.22"/>
    <n v="8"/>
    <s v="NO TIENE L3OUT"/>
    <n v="64"/>
    <n v="54"/>
  </r>
  <r>
    <n v="754"/>
    <x v="2"/>
    <x v="59"/>
    <s v="eth1/22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22"/>
    <x v="0"/>
    <x v="0"/>
    <x v="0"/>
    <m/>
    <x v="0"/>
    <b v="0"/>
    <s v="No está en VPC"/>
    <n v="751"/>
    <s v="INTPG_ACC_751_1.22"/>
    <s v="ISEL-1.22"/>
    <n v="0"/>
    <s v="NO TIENE L3OUT"/>
    <n v="0"/>
    <n v="54"/>
  </r>
  <r>
    <n v="769"/>
    <x v="2"/>
    <x v="61"/>
    <s v="eth1/22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22"/>
    <x v="0"/>
    <x v="0"/>
    <x v="0"/>
    <s v="CEM:ITHCEMB2AKF11:SLOT1 P1"/>
    <x v="5"/>
    <b v="0"/>
    <s v="No está en VPC"/>
    <n v="742"/>
    <s v="INTPG_ACC_742_1.22"/>
    <s v="ISEL-1.22"/>
    <n v="1"/>
    <s v="NO TIENE L3OUT"/>
    <n v="64"/>
    <n v="54"/>
  </r>
  <r>
    <n v="763"/>
    <x v="2"/>
    <x v="63"/>
    <s v="eth1/22"/>
    <x v="0"/>
    <x v="0"/>
    <x v="0"/>
    <s v="PAAS:ithhwosstpap007:FlexIO.1"/>
    <x v="0"/>
    <b v="0"/>
    <s v="No está en VPC"/>
    <n v="763"/>
    <s v="INTPG_VPC_762_1.22_763_1.22"/>
    <s v="ISEL-1.22"/>
    <n v="15"/>
    <s v="NO TIENE L3OUT"/>
    <n v="2"/>
    <n v="54"/>
  </r>
  <r>
    <n v="766"/>
    <x v="2"/>
    <x v="64"/>
    <s v="eth1/22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22"/>
    <x v="0"/>
    <x v="0"/>
    <x v="0"/>
    <s v="TO-9S_BESDR_IXTLA3_1"/>
    <x v="0"/>
    <b v="0"/>
    <s v="No está en VPC"/>
    <n v="760"/>
    <s v="INTPG_VPC_760_1.21-24_761_1.21-24"/>
    <s v="ISEL-1.22"/>
    <n v="33"/>
    <s v="NO TIENE L3OUT"/>
    <n v="0"/>
    <n v="54"/>
  </r>
  <r>
    <n v="752"/>
    <x v="2"/>
    <x v="66"/>
    <s v="eth1/22"/>
    <x v="0"/>
    <x v="0"/>
    <x v="0"/>
    <s v="PAAS:ithhwosstpap007:LOM PORT 1"/>
    <x v="0"/>
    <b v="0"/>
    <s v="No está en VPC"/>
    <n v="752"/>
    <s v="INTPG_VPC_747_1.22_752_1.22"/>
    <s v="ISEL-1.22"/>
    <n v="25"/>
    <s v="NO TIENE L3OUT"/>
    <n v="0"/>
    <n v="54"/>
  </r>
  <r>
    <n v="765"/>
    <x v="2"/>
    <x v="67"/>
    <s v="eth1/22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22"/>
    <x v="0"/>
    <x v="0"/>
    <x v="0"/>
    <s v="VERITAS:ITHFVEAPCNBST02 :10GbE"/>
    <x v="0"/>
    <b v="0"/>
    <s v="No está en VPC"/>
    <n v="778"/>
    <s v="INTPG_VPC_778_1.22_33_779_1.22_33"/>
    <s v="ISEL-1.22"/>
    <n v="2"/>
    <s v="NO TIENE L3OUT"/>
    <n v="26"/>
    <n v="54"/>
  </r>
  <r>
    <n v="780"/>
    <x v="2"/>
    <x v="69"/>
    <s v="eth1/22"/>
    <x v="0"/>
    <x v="0"/>
    <x v="0"/>
    <s v="CLOUD OPS:ithhwcop02en01:2X P1"/>
    <x v="0"/>
    <b v="0"/>
    <s v="No está en VPC"/>
    <n v="780"/>
    <s v="INTPG_VPC_780_1.22-25_781_1.22-25"/>
    <s v="ISEL-1.22"/>
    <n v="23"/>
    <s v="NO TIENE L3OUT"/>
    <n v="26"/>
    <n v="54"/>
  </r>
  <r>
    <n v="812"/>
    <x v="2"/>
    <x v="70"/>
    <s v="eth1/22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22"/>
    <x v="0"/>
    <x v="0"/>
    <x v="0"/>
    <s v="TO-ITHFHWDCIMLAP01-Redundante"/>
    <x v="0"/>
    <b v="0"/>
    <s v="No está en VPC"/>
    <n v="796"/>
    <s v="INTPG_ACC_796_1.22"/>
    <s v="ISEL-1.22"/>
    <n v="1"/>
    <s v="NO TIENE L3OUT"/>
    <n v="18"/>
    <n v="54"/>
  </r>
  <r>
    <n v="795"/>
    <x v="2"/>
    <x v="72"/>
    <s v="eth1/22"/>
    <x v="0"/>
    <x v="0"/>
    <x v="0"/>
    <s v="TO-ITHFHWDCIMLAP01-Principal"/>
    <x v="0"/>
    <b v="0"/>
    <s v="No está en VPC"/>
    <n v="795"/>
    <s v="INTPG_ACC_795_1.22"/>
    <s v="ISEL-1.22"/>
    <n v="1"/>
    <s v="NO TIENE L3OUT"/>
    <n v="18"/>
    <n v="54"/>
  </r>
  <r>
    <n v="749"/>
    <x v="2"/>
    <x v="73"/>
    <s v="eth1/22"/>
    <x v="0"/>
    <x v="0"/>
    <x v="0"/>
    <m/>
    <x v="0"/>
    <b v="0"/>
    <s v="No está en VPC"/>
    <n v="749"/>
    <s v="INTPG_ACC_749_1.22"/>
    <s v="ISEL-1.22"/>
    <n v="0"/>
    <s v="NO TIENE L3OUT"/>
    <n v="4"/>
    <n v="54"/>
  </r>
  <r>
    <n v="824"/>
    <x v="2"/>
    <x v="74"/>
    <s v="eth1/22"/>
    <x v="0"/>
    <x v="0"/>
    <x v="0"/>
    <s v="LINK_TO_ITHFHWCMVWPMA12 /Slot6.2 /Redundante"/>
    <x v="0"/>
    <b v="0"/>
    <s v="No está en VPC"/>
    <n v="824"/>
    <s v="INTPG_ACC_824_1.22"/>
    <s v="ISEL-1.22"/>
    <n v="1"/>
    <s v="NO TIENE L3OUT"/>
    <n v="70"/>
    <n v="54"/>
  </r>
  <r>
    <n v="819"/>
    <x v="2"/>
    <x v="75"/>
    <s v="eth1/22"/>
    <x v="0"/>
    <x v="0"/>
    <x v="0"/>
    <s v="LINK_TO_ITHFHWCMVWPMA12 /Slot4.2 /Principal"/>
    <x v="0"/>
    <b v="0"/>
    <s v="No está en VPC"/>
    <n v="819"/>
    <s v="INTPG_ACC_819_1.22"/>
    <s v="ISEL-1.22"/>
    <n v="1"/>
    <s v="NO TIENE L3OUT"/>
    <n v="70"/>
    <n v="54"/>
  </r>
  <r>
    <n v="737"/>
    <x v="2"/>
    <x v="76"/>
    <s v="eth1/22"/>
    <x v="0"/>
    <x v="0"/>
    <x v="0"/>
    <s v="CEM:ITHCEME2RTB11:SLOT1 P1"/>
    <x v="5"/>
    <b v="0"/>
    <s v="No está en VPC"/>
    <n v="737"/>
    <s v="INTPG_ACC_737_1.22"/>
    <s v="ISEL-1.22"/>
    <n v="1"/>
    <s v="NO TIENE L3OUT"/>
    <n v="72"/>
    <n v="54"/>
  </r>
  <r>
    <n v="844"/>
    <x v="2"/>
    <x v="77"/>
    <s v="eth1/22"/>
    <x v="0"/>
    <x v="0"/>
    <x v="0"/>
    <s v="LINK_TO_ITHFHWCRMPLCN108 / Slot1.1_20 / Principal"/>
    <x v="0"/>
    <b v="0"/>
    <s v="No está en VPC"/>
    <n v="844"/>
    <s v="INTPG_ACC_844_1.22"/>
    <s v="ISEL-1.22"/>
    <n v="6"/>
    <s v="NO TIENE L3OUT"/>
    <n v="282"/>
    <n v="54"/>
  </r>
  <r>
    <n v="843"/>
    <x v="2"/>
    <x v="78"/>
    <s v="eth1/22"/>
    <x v="0"/>
    <x v="0"/>
    <x v="0"/>
    <s v="LINK_To_ITHFHWCBSPSWR42 / Slot7.2_28 / Redundante"/>
    <x v="0"/>
    <b v="0"/>
    <s v="No está en VPC"/>
    <n v="843"/>
    <s v="INTPG_VPC_838_1.22_843_1.22"/>
    <s v="ISEL-1.22"/>
    <n v="1"/>
    <s v="NO TIENE L3OUT"/>
    <n v="38"/>
    <n v="54"/>
  </r>
  <r>
    <n v="797"/>
    <x v="2"/>
    <x v="79"/>
    <s v="eth1/22"/>
    <x v="0"/>
    <x v="0"/>
    <x v="0"/>
    <s v="TO-HDPS_24-MSP"/>
    <x v="0"/>
    <b v="0"/>
    <s v="No está en VPC"/>
    <n v="797"/>
    <s v="INTPG_ACC_797_1.22"/>
    <s v="ISEL-1.22"/>
    <n v="1"/>
    <s v="NO TIENE L3OUT"/>
    <n v="48"/>
    <n v="54"/>
  </r>
  <r>
    <n v="839"/>
    <x v="2"/>
    <x v="80"/>
    <s v="eth1/22"/>
    <x v="0"/>
    <x v="0"/>
    <x v="0"/>
    <s v="LINK_TO_ITHFHWCBSPSHD37 / Slot7.1_12 / Redundante"/>
    <x v="0"/>
    <b v="0"/>
    <s v="No está en VPC"/>
    <n v="839"/>
    <s v="INTPG_VPC_834_1.22_839_1.22"/>
    <s v="ISEL-1.22"/>
    <n v="2"/>
    <s v="NO TIENE L3OUT"/>
    <n v="0"/>
    <n v="54"/>
  </r>
  <r>
    <n v="847"/>
    <x v="2"/>
    <x v="81"/>
    <s v="eth1/22"/>
    <x v="0"/>
    <x v="0"/>
    <x v="0"/>
    <s v="LINK_TO_ITHFHWCRMPLCN172 / Slot7.3_14 / Redundante"/>
    <x v="0"/>
    <b v="0"/>
    <s v="No está en VPC"/>
    <n v="847"/>
    <s v="INTPG_ACC_847_1.22"/>
    <s v="ISEL-1.22"/>
    <n v="1"/>
    <s v="NO TIENE L3OUT"/>
    <n v="204"/>
    <n v="54"/>
  </r>
  <r>
    <n v="848"/>
    <x v="2"/>
    <x v="82"/>
    <s v="eth1/22"/>
    <x v="0"/>
    <x v="0"/>
    <x v="0"/>
    <s v="LINK_TO_ITHFHWCRMPLCN161 / Slot7.3_24 / Redundante"/>
    <x v="0"/>
    <b v="0"/>
    <s v="No está en VPC"/>
    <n v="848"/>
    <s v="INTPG_ACC_848_1.22"/>
    <s v="ISEL-1.22"/>
    <n v="1"/>
    <s v="NO TIENE L3OUT"/>
    <n v="254"/>
    <n v="54"/>
  </r>
  <r>
    <n v="846"/>
    <x v="2"/>
    <x v="83"/>
    <s v="eth1/22"/>
    <x v="0"/>
    <x v="0"/>
    <x v="0"/>
    <s v="LINK_TO_ITHFHWCRMPLCN79 / Slot1.1_16 / Principal"/>
    <x v="0"/>
    <b v="0"/>
    <s v="No está en VPC"/>
    <n v="846"/>
    <s v="INTPG_ACC_846_1.22"/>
    <s v="ISEL-1.22"/>
    <n v="6"/>
    <s v="NO TIENE L3OUT"/>
    <n v="242"/>
    <n v="54"/>
  </r>
  <r>
    <n v="838"/>
    <x v="2"/>
    <x v="84"/>
    <s v="eth1/22"/>
    <x v="0"/>
    <x v="0"/>
    <x v="0"/>
    <s v="LINK_To_ITHFHWCBSPSWR42 / Slot1.2_28 / Principal"/>
    <x v="0"/>
    <b v="0"/>
    <s v="No está en VPC"/>
    <n v="838"/>
    <s v="INTPG_VPC_838_1.22_843_1.22"/>
    <s v="ISEL-1.22"/>
    <n v="1"/>
    <s v="NO TIENE L3OUT"/>
    <n v="38"/>
    <n v="54"/>
  </r>
  <r>
    <n v="849"/>
    <x v="2"/>
    <x v="85"/>
    <s v="eth1/22"/>
    <x v="0"/>
    <x v="0"/>
    <x v="0"/>
    <s v="LINK_TO_ITHFHWCRMPLCN141 / Slot7.3_16 / Redundante"/>
    <x v="0"/>
    <b v="0"/>
    <s v="No está en VPC"/>
    <n v="849"/>
    <s v="INTPG_ACC_849_1.22"/>
    <s v="ISEL-1.22"/>
    <n v="1"/>
    <s v="NO TIENE L3OUT"/>
    <n v="286"/>
    <n v="54"/>
  </r>
  <r>
    <n v="845"/>
    <x v="2"/>
    <x v="86"/>
    <s v="eth1/22"/>
    <x v="0"/>
    <x v="0"/>
    <x v="0"/>
    <s v="LINK_TO_ITHFHWCRMPLCN91 / Slot1.2_14 / Principal"/>
    <x v="0"/>
    <b v="0"/>
    <s v="No está en VPC"/>
    <n v="845"/>
    <s v="INTPG_ACC_845_1.22"/>
    <s v="ISEL-1.22"/>
    <n v="2"/>
    <s v="NO TIENE L3OUT"/>
    <n v="258"/>
    <n v="54"/>
  </r>
  <r>
    <n v="873"/>
    <x v="2"/>
    <x v="87"/>
    <s v="eth1/22"/>
    <x v="0"/>
    <x v="0"/>
    <x v="0"/>
    <s v="TO_ITHFHWCRMDLCN60_Principal"/>
    <x v="0"/>
    <b v="0"/>
    <s v="No está en VPC"/>
    <n v="873"/>
    <s v="INTPG_ACC_873_1.22"/>
    <s v="ISEL-1.22"/>
    <n v="2"/>
    <s v="NO TIENE L3OUT"/>
    <n v="248"/>
    <n v="54"/>
  </r>
  <r>
    <n v="864"/>
    <x v="2"/>
    <x v="88"/>
    <s v="eth1/22"/>
    <x v="0"/>
    <x v="0"/>
    <x v="0"/>
    <s v="To_VPC_2DCBSD_WR43_1"/>
    <x v="0"/>
    <b v="0"/>
    <s v="No está en VPC"/>
    <n v="864"/>
    <s v="INTPG_VPC_859_1.22_864_1.22"/>
    <s v="ISEL-1.22"/>
    <n v="2"/>
    <s v="NO TIENE L3OUT"/>
    <n v="0"/>
    <n v="54"/>
  </r>
  <r>
    <n v="836"/>
    <x v="2"/>
    <x v="89"/>
    <s v="eth1/22"/>
    <x v="0"/>
    <x v="0"/>
    <x v="0"/>
    <s v="LINK_TO_ITHFHWCBSPSWR52 / Slot1.3_32 / Principal"/>
    <x v="0"/>
    <b v="0"/>
    <s v="No está en VPC"/>
    <n v="836"/>
    <s v="INTPG_VPC_836_1.22_841_1.22"/>
    <s v="ISEL-1.22"/>
    <n v="1"/>
    <s v="NO TIENE L3OUT"/>
    <n v="0"/>
    <n v="54"/>
  </r>
  <r>
    <n v="834"/>
    <x v="2"/>
    <x v="90"/>
    <s v="eth1/22"/>
    <x v="0"/>
    <x v="0"/>
    <x v="0"/>
    <s v="LINK_TO_ITHFHWCBSPSHD37 / Slot1.1_12 / Principal"/>
    <x v="0"/>
    <b v="0"/>
    <s v="No está en VPC"/>
    <n v="834"/>
    <s v="INTPG_VPC_834_1.22_839_1.22"/>
    <s v="ISEL-1.22"/>
    <n v="2"/>
    <s v="NO TIENE L3OUT"/>
    <n v="0"/>
    <n v="54"/>
  </r>
  <r>
    <n v="872"/>
    <x v="2"/>
    <x v="91"/>
    <s v="eth1/22"/>
    <x v="0"/>
    <x v="0"/>
    <x v="0"/>
    <s v="To_ITHFHWCRMDLCN76_Principal"/>
    <x v="0"/>
    <b v="0"/>
    <s v="No está en VPC"/>
    <n v="872"/>
    <s v="INTPG_ACC_872_1.22"/>
    <s v="ISEL-1.22"/>
    <n v="2"/>
    <s v="NO TIENE L3OUT"/>
    <n v="288"/>
    <n v="54"/>
  </r>
  <r>
    <n v="842"/>
    <x v="2"/>
    <x v="92"/>
    <s v="eth1/22"/>
    <x v="0"/>
    <x v="0"/>
    <x v="0"/>
    <s v="LINK_TO_ITHFHWCBSPSWR46 / Slot7.3_28 / Redundante"/>
    <x v="0"/>
    <b v="0"/>
    <s v="No está en VPC"/>
    <n v="842"/>
    <s v="INTPG_VPC_837_1.22_842_1.22"/>
    <s v="ISEL-1.22"/>
    <n v="1"/>
    <s v="NO TIENE L3OUT"/>
    <n v="8"/>
    <n v="54"/>
  </r>
  <r>
    <n v="828"/>
    <x v="2"/>
    <x v="93"/>
    <s v="eth1/22"/>
    <x v="0"/>
    <x v="0"/>
    <x v="0"/>
    <s v="LINK_TO_ITHFHWCRMDLCN22 /Slot4.2 /Principal"/>
    <x v="0"/>
    <b v="0"/>
    <s v="No está en VPC"/>
    <n v="828"/>
    <s v="INTPG_ACC_828_1.22"/>
    <s v="ISEL-1.22"/>
    <n v="1"/>
    <s v="NO TIENE L3OUT"/>
    <n v="192"/>
    <n v="54"/>
  </r>
  <r>
    <n v="870"/>
    <x v="2"/>
    <x v="94"/>
    <s v="eth1/22"/>
    <x v="0"/>
    <x v="0"/>
    <x v="0"/>
    <s v="TO_ITHFHWCRMDLCN60_Redundante"/>
    <x v="0"/>
    <b v="0"/>
    <s v="No está en VPC"/>
    <n v="870"/>
    <s v="INTPG_ACC_870_1.22"/>
    <s v="ISEL-1.22"/>
    <n v="2"/>
    <s v="NO TIENE L3OUT"/>
    <n v="248"/>
    <n v="54"/>
  </r>
  <r>
    <n v="866"/>
    <x v="2"/>
    <x v="95"/>
    <s v="eth1/22"/>
    <x v="0"/>
    <x v="0"/>
    <x v="0"/>
    <s v="To_VPC_2DCBSD_HD23_3"/>
    <x v="0"/>
    <b v="0"/>
    <s v="No está en VPC"/>
    <n v="866"/>
    <s v="INTPG_VPC_861_1.22_866_1.22"/>
    <s v="ISEL-1.22"/>
    <n v="1"/>
    <s v="NO TIENE L3OUT"/>
    <n v="8"/>
    <n v="54"/>
  </r>
  <r>
    <n v="862"/>
    <x v="2"/>
    <x v="96"/>
    <s v="eth1/22"/>
    <x v="0"/>
    <x v="0"/>
    <x v="0"/>
    <s v="TO-9S_BESDR_IXTLA3_1"/>
    <x v="0"/>
    <b v="0"/>
    <s v="No está en VPC"/>
    <n v="862"/>
    <s v="INTPG_VPC_862_1.20-23_867_1.20-23"/>
    <s v="ISEL-1.22"/>
    <n v="25"/>
    <s v="NO TIENE L3OUT"/>
    <n v="44"/>
    <n v="54"/>
  </r>
  <r>
    <n v="855"/>
    <x v="2"/>
    <x v="97"/>
    <s v="eth1/22"/>
    <x v="0"/>
    <x v="0"/>
    <x v="0"/>
    <s v="LINK_TO_ITHFHWCRMPLCN161 / Slot1.3_24 / Principal"/>
    <x v="0"/>
    <b v="0"/>
    <s v="No está en VPC"/>
    <n v="855"/>
    <s v="INTPG_ACC_855_1.22"/>
    <s v="ISEL-1.22"/>
    <n v="1"/>
    <s v="NO TIENE L3OUT"/>
    <n v="254"/>
    <n v="54"/>
  </r>
  <r>
    <n v="871"/>
    <x v="2"/>
    <x v="98"/>
    <s v="eth1/22"/>
    <x v="0"/>
    <x v="0"/>
    <x v="0"/>
    <s v="To_VPC_2DCRMD_SBD10_1"/>
    <x v="0"/>
    <b v="0"/>
    <s v="No está en VPC"/>
    <n v="871"/>
    <s v="INTPG_VPC_868_1.22_871_1.22"/>
    <s v="ISEL-1.22"/>
    <n v="6"/>
    <s v="NO TIENE L3OUT"/>
    <n v="246"/>
    <n v="54"/>
  </r>
  <r>
    <n v="841"/>
    <x v="2"/>
    <x v="99"/>
    <s v="eth1/22"/>
    <x v="0"/>
    <x v="0"/>
    <x v="0"/>
    <s v="LINK_TO_ITHFHWCBSPSWR52 / Slot7.3_32 / Redundante"/>
    <x v="0"/>
    <b v="0"/>
    <s v="No está en VPC"/>
    <n v="841"/>
    <s v="INTPG_VPC_836_1.22_841_1.22"/>
    <s v="ISEL-1.22"/>
    <n v="1"/>
    <s v="NO TIENE L3OUT"/>
    <n v="0"/>
    <n v="54"/>
  </r>
  <r>
    <n v="868"/>
    <x v="2"/>
    <x v="100"/>
    <s v="eth1/22"/>
    <x v="0"/>
    <x v="0"/>
    <x v="0"/>
    <s v="To_VPC_2DCRMD_SBD10_1"/>
    <x v="0"/>
    <b v="0"/>
    <s v="No está en VPC"/>
    <n v="868"/>
    <s v="INTPG_VPC_868_1.22_871_1.22"/>
    <s v="ISEL-1.22"/>
    <n v="6"/>
    <s v="NO TIENE L3OUT"/>
    <n v="246"/>
    <n v="54"/>
  </r>
  <r>
    <n v="869"/>
    <x v="2"/>
    <x v="101"/>
    <s v="eth1/22"/>
    <x v="0"/>
    <x v="0"/>
    <x v="0"/>
    <s v="To_ITHFHWCRMDLCN76_Redundante"/>
    <x v="0"/>
    <b v="0"/>
    <s v="No está en VPC"/>
    <n v="869"/>
    <s v="INTPG_ACC_869_1.22"/>
    <s v="ISEL-1.22"/>
    <n v="2"/>
    <s v="NO TIENE L3OUT"/>
    <n v="288"/>
    <n v="54"/>
  </r>
  <r>
    <n v="861"/>
    <x v="2"/>
    <x v="102"/>
    <s v="eth1/22"/>
    <x v="0"/>
    <x v="0"/>
    <x v="0"/>
    <s v="To_VPC_2DCBSD_HD23_3"/>
    <x v="0"/>
    <b v="0"/>
    <s v="No está en VPC"/>
    <n v="861"/>
    <s v="INTPG_VPC_861_1.22_866_1.22"/>
    <s v="ISEL-1.22"/>
    <n v="1"/>
    <s v="NO TIENE L3OUT"/>
    <n v="8"/>
    <n v="54"/>
  </r>
  <r>
    <n v="874"/>
    <x v="2"/>
    <x v="103"/>
    <s v="eth1/22"/>
    <x v="0"/>
    <x v="0"/>
    <x v="0"/>
    <s v="A_ITHFHWSEQLCAS21_Redundante"/>
    <x v="4"/>
    <b v="0"/>
    <s v="No está en VPC"/>
    <n v="874"/>
    <s v="INTPG_ACC_874_1.22"/>
    <s v="ISEL-1.22"/>
    <n v="1"/>
    <s v="NO TIENE L3OUT"/>
    <n v="92"/>
    <n v="54"/>
  </r>
  <r>
    <n v="865"/>
    <x v="2"/>
    <x v="104"/>
    <s v="eth1/22"/>
    <x v="0"/>
    <x v="0"/>
    <x v="0"/>
    <s v="To_VPC_2DCBSD_HD30_1"/>
    <x v="0"/>
    <b v="0"/>
    <s v="No está en VPC"/>
    <n v="865"/>
    <s v="INTPG_VPC_860_1.22_865_1.22"/>
    <s v="ISEL-1.22"/>
    <n v="2"/>
    <s v="NO TIENE L3OUT"/>
    <n v="0"/>
    <n v="54"/>
  </r>
  <r>
    <n v="753"/>
    <x v="2"/>
    <x v="105"/>
    <s v="eth1/22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22"/>
    <x v="0"/>
    <x v="1"/>
    <x v="5"/>
    <s v="CEM:ITHCEME2RTB11:LOM  P2"/>
    <x v="0"/>
    <b v="0"/>
    <s v="No está en VPC"/>
    <n v="708"/>
    <s v="INTPG_VPC_708_1.22_709_1.21"/>
    <s v="ISEL-1.22"/>
    <n v="1"/>
    <s v="NO TIENE L3OUT"/>
    <n v="0"/>
    <n v="54"/>
  </r>
  <r>
    <n v="710"/>
    <x v="2"/>
    <x v="107"/>
    <s v="eth1/22"/>
    <x v="0"/>
    <x v="1"/>
    <x v="5"/>
    <s v="CEM:ITHCEMC2AKF11:LOM  P2"/>
    <x v="0"/>
    <b v="0"/>
    <s v="No está en VPC"/>
    <n v="710"/>
    <s v="INTPG_VPC_710_1.22_711_1.21"/>
    <s v="ISEL-1.22"/>
    <n v="1"/>
    <s v="NO TIENE L3OUT"/>
    <n v="16"/>
    <n v="54"/>
  </r>
  <r>
    <n v="713"/>
    <x v="2"/>
    <x v="108"/>
    <s v="eth1/22"/>
    <x v="0"/>
    <x v="1"/>
    <x v="5"/>
    <s v="CEM:ITHCEMB2ADT11:LOM  P2"/>
    <x v="0"/>
    <b v="0"/>
    <s v="No está en VPC"/>
    <n v="713"/>
    <s v="INTPG_VPC_712_1.21_713_1.22"/>
    <s v="ISEL-1.22"/>
    <n v="1"/>
    <s v="NO TIENE L3OUT"/>
    <n v="32"/>
    <n v="54"/>
  </r>
  <r>
    <n v="735"/>
    <x v="2"/>
    <x v="109"/>
    <s v="eth1/22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22"/>
    <x v="0"/>
    <x v="0"/>
    <x v="0"/>
    <s v="Server_Pre-R02-CBS-RH2288-06"/>
    <x v="0"/>
    <b v="0"/>
    <s v="No está en VPC"/>
    <n v="731"/>
    <s v="INTPG_ACC_731_1.22"/>
    <s v="ISEL-1.22"/>
    <n v="1"/>
    <s v="NO TIENE L3OUT"/>
    <n v="38"/>
    <n v="54"/>
  </r>
  <r>
    <n v="703"/>
    <x v="2"/>
    <x v="111"/>
    <s v="eth1/22"/>
    <x v="0"/>
    <x v="0"/>
    <x v="0"/>
    <m/>
    <x v="0"/>
    <b v="0"/>
    <s v="No está en VPC"/>
    <n v="703"/>
    <s v="INTPG_VPC_704_1.21_703_1.22"/>
    <s v="ISEL-1.22"/>
    <n v="1"/>
    <s v="NO TIENE L3OUT"/>
    <n v="2"/>
    <n v="54"/>
  </r>
  <r>
    <n v="706"/>
    <x v="2"/>
    <x v="112"/>
    <s v="eth1/22"/>
    <x v="0"/>
    <x v="0"/>
    <x v="0"/>
    <m/>
    <x v="0"/>
    <b v="0"/>
    <s v="No está en VPC"/>
    <n v="706"/>
    <s v="INTPG_VPC_705_1.21_706_1.22"/>
    <s v="ISEL-1.22"/>
    <n v="1"/>
    <s v="NO TIENE L3OUT"/>
    <n v="16"/>
    <n v="54"/>
  </r>
  <r>
    <n v="762"/>
    <x v="2"/>
    <x v="113"/>
    <s v="eth1/22"/>
    <x v="0"/>
    <x v="0"/>
    <x v="0"/>
    <s v="PAAS:ithhwosstpap007:LOM PORT 3"/>
    <x v="0"/>
    <b v="0"/>
    <s v="No está en VPC"/>
    <n v="762"/>
    <s v="INTPG_VPC_762_1.22_763_1.22"/>
    <s v="ISEL-1.22"/>
    <n v="15"/>
    <s v="NO TIENE L3OUT"/>
    <n v="0"/>
    <n v="54"/>
  </r>
  <r>
    <n v="814"/>
    <x v="2"/>
    <x v="114"/>
    <s v="eth1/22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22"/>
    <x v="0"/>
    <x v="0"/>
    <x v="0"/>
    <s v="HACIA_MGMT-OSCP-F4-14_SECUNDARIO"/>
    <x v="4"/>
    <b v="0"/>
    <s v="No está en VPC"/>
    <n v="878"/>
    <s v="INTPG_VPC_878_1.22_879_1.22"/>
    <s v="ISEL-1.22"/>
    <n v="1"/>
    <s v="NO TIENE L3OUT"/>
    <n v="0"/>
    <n v="54"/>
  </r>
  <r>
    <n v="826"/>
    <x v="2"/>
    <x v="116"/>
    <s v="eth1/22"/>
    <x v="0"/>
    <x v="0"/>
    <x v="0"/>
    <s v="LINK_TO_ITHFHWCBSDSHD17 /Slot5.2 /Principal"/>
    <x v="0"/>
    <b v="0"/>
    <s v="No está en VPC"/>
    <n v="826"/>
    <s v="INTPG_VPC_826_1.22_830_1.22"/>
    <s v="ISEL-1.22"/>
    <n v="2"/>
    <s v="NO TIENE L3OUT"/>
    <n v="12"/>
    <n v="54"/>
  </r>
  <r>
    <n v="726"/>
    <x v="2"/>
    <x v="117"/>
    <s v="eth1/22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22"/>
    <x v="0"/>
    <x v="0"/>
    <x v="0"/>
    <s v="CEM:ITHCEMD2AKF11:SLOT1 P1"/>
    <x v="5"/>
    <b v="0"/>
    <s v="No está en VPC"/>
    <n v="740"/>
    <s v="INTPG_ACC_740_1.22"/>
    <s v="ISEL-1.22"/>
    <n v="1"/>
    <s v="NO TIENE L3OUT"/>
    <n v="72"/>
    <n v="54"/>
  </r>
  <r>
    <n v="705"/>
    <x v="2"/>
    <x v="119"/>
    <s v="eth1/22"/>
    <x v="0"/>
    <x v="1"/>
    <x v="5"/>
    <s v="CEM_ITHCEMA1OAM11"/>
    <x v="0"/>
    <b v="0"/>
    <s v="No está en VPC"/>
    <n v="705"/>
    <s v="INTPG_VPC_705_1.22_706_1.21"/>
    <s v="ISEL-1.22"/>
    <n v="1"/>
    <s v="NO TIENE L3OUT"/>
    <n v="16"/>
    <n v="54"/>
  </r>
  <r>
    <n v="723"/>
    <x v="2"/>
    <x v="120"/>
    <s v="eth1/22"/>
    <x v="0"/>
    <x v="0"/>
    <x v="0"/>
    <m/>
    <x v="0"/>
    <b v="0"/>
    <s v="No está en VPC"/>
    <n v="723"/>
    <s v="INTPG-VPC_HDD123_722_1.21_723_1.22"/>
    <s v="ISEL-1.22"/>
    <n v="1"/>
    <s v="NO TIENE L3OUT"/>
    <n v="0"/>
    <n v="54"/>
  </r>
  <r>
    <n v="721"/>
    <x v="2"/>
    <x v="121"/>
    <s v="eth1/22"/>
    <x v="0"/>
    <x v="0"/>
    <x v="0"/>
    <s v="ITHORNG1DAT11_SLOT 4 P1"/>
    <x v="0"/>
    <b v="0"/>
    <s v="No está en VPC"/>
    <n v="721"/>
    <s v="INTPG_ACC_721_1.22"/>
    <s v="ISEL-1.22"/>
    <n v="2"/>
    <s v="NO TIENE L3OUT"/>
    <n v="20"/>
    <n v="54"/>
  </r>
  <r>
    <n v="788"/>
    <x v="2"/>
    <x v="122"/>
    <s v="eth1/22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22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22"/>
    <x v="0"/>
    <x v="0"/>
    <x v="0"/>
    <m/>
    <x v="0"/>
    <b v="0"/>
    <s v="No está en VPC"/>
    <n v="720"/>
    <s v="INTPG-VPC_CMY02_719_1.21_720_1.22"/>
    <s v="ISEL-1.22"/>
    <n v="1"/>
    <s v="NO TIENE L3OUT"/>
    <n v="0"/>
    <n v="54"/>
  </r>
  <r>
    <n v="709"/>
    <x v="2"/>
    <x v="125"/>
    <s v="eth1/22"/>
    <x v="0"/>
    <x v="1"/>
    <x v="5"/>
    <s v="CEM:ITHCEMF2RTB11:LOM  P2"/>
    <x v="0"/>
    <b v="0"/>
    <s v="No está en VPC"/>
    <n v="709"/>
    <s v="INTPG_VPC_708_1.21_709_1.22"/>
    <s v="ISEL-1.22"/>
    <n v="1"/>
    <s v="NO TIENE L3OUT"/>
    <n v="0"/>
    <n v="54"/>
  </r>
  <r>
    <n v="454"/>
    <x v="1"/>
    <x v="126"/>
    <s v="eth1/22"/>
    <x v="0"/>
    <x v="0"/>
    <x v="0"/>
    <s v="HACIA_MGMT-OSCP-F4-02_PRINCIPAL"/>
    <x v="4"/>
    <b v="0"/>
    <s v="No está en VPC"/>
    <n v="454"/>
    <s v="INTPG_VPC_454_1.22_456_1.22"/>
    <s v="ISEL-1.22"/>
    <n v="1"/>
    <s v="NO TIENE L3OUT"/>
    <n v="4"/>
    <n v="54"/>
  </r>
  <r>
    <n v="734"/>
    <x v="2"/>
    <x v="127"/>
    <s v="eth1/22"/>
    <x v="0"/>
    <x v="0"/>
    <x v="0"/>
    <s v="CEM:ITHCEMA1OAM11:SLOT1 P1"/>
    <x v="5"/>
    <b v="0"/>
    <s v="No está en VPC"/>
    <n v="734"/>
    <s v="INTPG_ACC_734_1.22"/>
    <s v="ISEL-1.22"/>
    <n v="1"/>
    <s v="NO TIENE L3OUT"/>
    <n v="32"/>
    <n v="54"/>
  </r>
  <r>
    <n v="815"/>
    <x v="2"/>
    <x v="128"/>
    <s v="eth1/22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22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22"/>
    <x v="0"/>
    <x v="0"/>
    <x v="0"/>
    <m/>
    <x v="0"/>
    <b v="0"/>
    <s v="No está en VPC"/>
    <n v="718"/>
    <s v="INTPG-VPC_KFK04_717_1.21_718_1.22"/>
    <s v="ISEL-1.22"/>
    <n v="1"/>
    <s v="NO TIENE L3OUT"/>
    <n v="0"/>
    <n v="54"/>
  </r>
  <r>
    <n v="744"/>
    <x v="2"/>
    <x v="131"/>
    <s v="eth1/22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22"/>
    <x v="0"/>
    <x v="0"/>
    <x v="0"/>
    <s v="CEM:ITHCEMA2AKF11:SLOT1 P1"/>
    <x v="5"/>
    <b v="0"/>
    <s v="No está en VPC"/>
    <n v="741"/>
    <s v="INTPG_ACC_741_1.22"/>
    <s v="ISEL-1.22"/>
    <n v="1"/>
    <s v="NO TIENE L3OUT"/>
    <n v="62"/>
    <n v="54"/>
  </r>
  <r>
    <n v="787"/>
    <x v="2"/>
    <x v="133"/>
    <s v="eth1/22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22"/>
    <x v="0"/>
    <x v="0"/>
    <x v="0"/>
    <m/>
    <x v="0"/>
    <b v="0"/>
    <s v="No está en VPC"/>
    <n v="750"/>
    <s v="INTPG_ACC_750_1.22"/>
    <s v="ISEL-1.22"/>
    <n v="0"/>
    <s v="NO TIENE L3OUT"/>
    <n v="2"/>
    <n v="54"/>
  </r>
  <r>
    <n v="792"/>
    <x v="2"/>
    <x v="135"/>
    <s v="eth1/22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22"/>
    <x v="0"/>
    <x v="0"/>
    <x v="0"/>
    <s v="ITHCEMG2APP18"/>
    <x v="0"/>
    <b v="0"/>
    <s v="No está en VPC"/>
    <n v="736"/>
    <s v="INTPG_ACC_736_1.22"/>
    <s v="ISEL-1.22"/>
    <n v="1"/>
    <s v="NO TIENE L3OUT"/>
    <n v="48"/>
    <n v="54"/>
  </r>
  <r>
    <n v="799"/>
    <x v="2"/>
    <x v="137"/>
    <s v="eth1/22"/>
    <x v="0"/>
    <x v="0"/>
    <x v="0"/>
    <s v="TO-IMC_PS10-MSP"/>
    <x v="0"/>
    <b v="0"/>
    <s v="No está en VPC"/>
    <n v="799"/>
    <s v="INTPG_ACC_799_1.22"/>
    <s v="ISEL-1.22"/>
    <n v="1"/>
    <s v="NO TIENE L3OUT"/>
    <n v="52"/>
    <n v="54"/>
  </r>
  <r>
    <n v="768"/>
    <x v="2"/>
    <x v="138"/>
    <s v="eth1/22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22"/>
    <x v="0"/>
    <x v="0"/>
    <x v="0"/>
    <m/>
    <x v="0"/>
    <b v="0"/>
    <s v="No está en VPC"/>
    <n v="714"/>
    <s v="INTPG-VPC_AFY01_721_1.21_714_1.22"/>
    <s v="ISEL-1.22"/>
    <n v="2"/>
    <s v="NO TIENE L3OUT"/>
    <n v="20"/>
    <n v="54"/>
  </r>
  <r>
    <n v="717"/>
    <x v="2"/>
    <x v="140"/>
    <s v="eth1/22"/>
    <x v="0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22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22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22"/>
    <x v="0"/>
    <x v="0"/>
    <x v="0"/>
    <s v="TO-ITHFHWRHV2LMGMT03"/>
    <x v="0"/>
    <b v="0"/>
    <s v="No está en VPC"/>
    <n v="783"/>
    <s v="INTPG_VPC_782_1.22-23_783_1.22-23"/>
    <s v="ISEL-1.22"/>
    <n v="2"/>
    <s v="NO TIENE L3OUT"/>
    <n v="26"/>
    <n v="54"/>
  </r>
  <r>
    <n v="774"/>
    <x v="2"/>
    <x v="144"/>
    <s v="eth1/22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22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22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22"/>
    <x v="0"/>
    <x v="0"/>
    <x v="0"/>
    <s v="TO-HDPS_48-MSP"/>
    <x v="0"/>
    <b v="0"/>
    <s v="No está en VPC"/>
    <n v="803"/>
    <s v="INTPG_ACC_803_1.22"/>
    <s v="ISEL-1.22"/>
    <n v="1"/>
    <s v="NO TIENE L3OUT"/>
    <n v="48"/>
    <n v="54"/>
  </r>
  <r>
    <n v="786"/>
    <x v="2"/>
    <x v="148"/>
    <s v="eth1/22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22"/>
    <x v="0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22"/>
    <x v="0"/>
    <x v="0"/>
    <x v="0"/>
    <s v="CLOUD OPS:ithhwcop02en01:2X P3"/>
    <x v="0"/>
    <b v="0"/>
    <s v="No está en VPC"/>
    <n v="781"/>
    <s v="INTPG_VPC_780_1.22-25_781_1.22-25"/>
    <s v="ISEL-1.22"/>
    <n v="23"/>
    <s v="NO TIENE L3OUT"/>
    <n v="26"/>
    <n v="54"/>
  </r>
  <r>
    <n v="793"/>
    <x v="2"/>
    <x v="151"/>
    <s v="eth1/22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22"/>
    <x v="0"/>
    <x v="0"/>
    <x v="0"/>
    <s v="PAAS:ithhwosstpap007:Slot6.1"/>
    <x v="0"/>
    <b v="0"/>
    <s v="No está en VPC"/>
    <n v="747"/>
    <s v="INTPG_VPC_747_1.22_752_1.22"/>
    <s v="ISEL-1.22"/>
    <n v="25"/>
    <s v="NO TIENE L3OUT"/>
    <n v="0"/>
    <n v="54"/>
  </r>
  <r>
    <n v="784"/>
    <x v="2"/>
    <x v="153"/>
    <s v="eth1/22"/>
    <x v="0"/>
    <x v="0"/>
    <x v="0"/>
    <s v="DIGITAL VIEW:ITHFHWDGVEAP03:Slot 3.1"/>
    <x v="0"/>
    <b v="0"/>
    <s v="No está en VPC"/>
    <n v="784"/>
    <s v="INTPG_VPC_784_1.22_785_1.22"/>
    <s v="ISEL-1.22"/>
    <n v="1"/>
    <s v="NO TIENE L3OUT"/>
    <n v="26"/>
    <n v="54"/>
  </r>
  <r>
    <n v="806"/>
    <x v="2"/>
    <x v="154"/>
    <s v="eth1/22"/>
    <x v="0"/>
    <x v="0"/>
    <x v="0"/>
    <s v="TO-WES_03-MSP"/>
    <x v="0"/>
    <b v="0"/>
    <s v="No está en VPC"/>
    <n v="806"/>
    <s v="INTPG_ACC_806_1.22"/>
    <s v="ISEL-1.22"/>
    <n v="1"/>
    <s v="NO TIENE L3OUT"/>
    <n v="44"/>
    <n v="54"/>
  </r>
  <r>
    <n v="777"/>
    <x v="2"/>
    <x v="155"/>
    <s v="eth1/22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22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22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22"/>
    <x v="0"/>
    <x v="0"/>
    <x v="0"/>
    <s v="CEM:ITHCEMC2AKF11:SLOT1 P1"/>
    <x v="5"/>
    <b v="0"/>
    <s v="No está en VPC"/>
    <n v="739"/>
    <s v="INTPG_ACC_739_1.22"/>
    <s v="ISEL-1.22"/>
    <n v="1"/>
    <s v="NO TIENE L3OUT"/>
    <n v="72"/>
    <n v="54"/>
  </r>
  <r>
    <n v="775"/>
    <x v="2"/>
    <x v="159"/>
    <s v="eth1/22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22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22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22"/>
    <x v="0"/>
    <x v="0"/>
    <x v="0"/>
    <s v="LINK_TO_ITHFHWCBSDSHD17 /Slot7.2 /Redundante"/>
    <x v="0"/>
    <b v="0"/>
    <s v="No está en VPC"/>
    <n v="830"/>
    <s v="INTPG_VPC_826_1.22_830_1.22"/>
    <s v="ISEL-1.22"/>
    <n v="2"/>
    <s v="NO TIENE L3OUT"/>
    <n v="12"/>
    <n v="54"/>
  </r>
  <r>
    <n v="821"/>
    <x v="2"/>
    <x v="163"/>
    <s v="eth1/22"/>
    <x v="0"/>
    <x v="0"/>
    <x v="0"/>
    <s v="LINK_TO_ITHFHWCBSPSHD17 /Slot7.2 /Redundante"/>
    <x v="0"/>
    <b v="0"/>
    <s v="No está en VPC"/>
    <n v="821"/>
    <s v="INTPG_VPC_816_1.22_821_1.22"/>
    <s v="ISEL-1.22"/>
    <n v="2"/>
    <s v="NO TIENE L3OUT"/>
    <n v="0"/>
    <n v="54"/>
  </r>
  <r>
    <n v="738"/>
    <x v="2"/>
    <x v="164"/>
    <s v="eth1/22"/>
    <x v="0"/>
    <x v="0"/>
    <x v="0"/>
    <s v="CEM:ITHCEMF2RTB11:SLOT1 P1"/>
    <x v="5"/>
    <b v="0"/>
    <s v="No está en VPC"/>
    <n v="738"/>
    <s v="INTPG_ACC_738_1.22"/>
    <s v="ISEL-1.22"/>
    <n v="1"/>
    <s v="NO TIENE L3OUT"/>
    <n v="72"/>
    <n v="54"/>
  </r>
  <r>
    <n v="820"/>
    <x v="2"/>
    <x v="165"/>
    <s v="eth1/22"/>
    <x v="0"/>
    <x v="0"/>
    <x v="0"/>
    <s v="LINKT_TO_ITHFHWCRMPLCN132 / Slot7.1_34 / Redundante"/>
    <x v="0"/>
    <b v="0"/>
    <s v="No está en VPC"/>
    <n v="820"/>
    <s v="INTPG_ACC_820_1.22"/>
    <s v="ISEL-1.22"/>
    <n v="6"/>
    <s v="NO TIENE L3OUT"/>
    <n v="72"/>
    <n v="54"/>
  </r>
  <r>
    <n v="804"/>
    <x v="2"/>
    <x v="166"/>
    <s v="eth1/22"/>
    <x v="0"/>
    <x v="0"/>
    <x v="0"/>
    <s v="TO-HDPS_48-MSP"/>
    <x v="0"/>
    <b v="0"/>
    <s v="No está en VPC"/>
    <n v="804"/>
    <s v="INTPG_ACC_804_1.22"/>
    <s v="ISEL-1.22"/>
    <n v="1"/>
    <s v="NO TIENE L3OUT"/>
    <n v="48"/>
    <n v="54"/>
  </r>
  <r>
    <n v="779"/>
    <x v="2"/>
    <x v="167"/>
    <s v="eth1/22"/>
    <x v="0"/>
    <x v="0"/>
    <x v="0"/>
    <s v="VERITAS:ITHFVEAPCNBST02 :10GbE"/>
    <x v="0"/>
    <b v="0"/>
    <s v="No está en VPC"/>
    <n v="779"/>
    <s v="INTPG_VPC_778_1.22_33_779_1.22_33"/>
    <s v="ISEL-1.22"/>
    <n v="2"/>
    <s v="NO TIENE L3OUT"/>
    <n v="30"/>
    <n v="54"/>
  </r>
  <r>
    <n v="767"/>
    <x v="2"/>
    <x v="168"/>
    <s v="eth1/22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22"/>
    <x v="0"/>
    <x v="0"/>
    <x v="0"/>
    <s v="LINK_TO_ITHFHWCBSDSWR23 /Slot4.2 /Principal"/>
    <x v="0"/>
    <b v="0"/>
    <s v="No está en VPC"/>
    <n v="827"/>
    <s v="INTPG_VPC_827_1.22_831_1.22"/>
    <s v="ISEL-1.22"/>
    <n v="1"/>
    <s v="NO TIENE L3OUT"/>
    <n v="14"/>
    <n v="54"/>
  </r>
  <r>
    <n v="809"/>
    <x v="2"/>
    <x v="170"/>
    <s v="eth1/22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22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22"/>
    <x v="0"/>
    <x v="0"/>
    <x v="0"/>
    <s v="TO-9S_BESDR_IXTLA3_1"/>
    <x v="0"/>
    <b v="0"/>
    <s v="No está en VPC"/>
    <n v="761"/>
    <s v="INTPG_VPC_760_1.21-24_761_1.21-24"/>
    <s v="ISEL-1.22"/>
    <n v="33"/>
    <s v="NO TIENE L3OUT"/>
    <n v="0"/>
    <n v="54"/>
  </r>
  <r>
    <n v="776"/>
    <x v="2"/>
    <x v="173"/>
    <s v="eth1/22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22"/>
    <x v="0"/>
    <x v="0"/>
    <x v="0"/>
    <s v="TO-WES_03-MSP"/>
    <x v="0"/>
    <b v="0"/>
    <s v="No está en VPC"/>
    <n v="805"/>
    <s v="INTPG_ACC_805_1.22"/>
    <s v="ISEL-1.22"/>
    <n v="1"/>
    <s v="NO TIENE L3OUT"/>
    <n v="44"/>
    <n v="54"/>
  </r>
  <r>
    <n v="772"/>
    <x v="2"/>
    <x v="175"/>
    <s v="eth1/22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22"/>
    <x v="0"/>
    <x v="0"/>
    <x v="0"/>
    <s v="DIGITAL VIEW:ITHFHWDGVEAP03:Slot 6.1"/>
    <x v="0"/>
    <b v="0"/>
    <s v="No está en VPC"/>
    <n v="785"/>
    <s v="INTPG_VPC_784_1.22_785_1.22"/>
    <s v="ISEL-1.22"/>
    <n v="1"/>
    <s v="NO TIENE L3OUT"/>
    <n v="32"/>
    <n v="54"/>
  </r>
  <r>
    <n v="851"/>
    <x v="2"/>
    <x v="177"/>
    <s v="eth1/22"/>
    <x v="0"/>
    <x v="0"/>
    <x v="0"/>
    <s v="LINK_TO_ITHFHWCRMPLCN108 / Slot7.1_20 / Redundante"/>
    <x v="0"/>
    <b v="0"/>
    <s v="No está en VPC"/>
    <n v="851"/>
    <s v="INTPG_ACC_851_1.22"/>
    <s v="ISEL-1.22"/>
    <n v="6"/>
    <s v="NO TIENE L3OUT"/>
    <n v="282"/>
    <n v="54"/>
  </r>
  <r>
    <n v="798"/>
    <x v="2"/>
    <x v="178"/>
    <s v="eth1/22"/>
    <x v="0"/>
    <x v="0"/>
    <x v="0"/>
    <s v="TO-IMC_PS10-MSP"/>
    <x v="0"/>
    <b v="0"/>
    <s v="No está en VPC"/>
    <n v="798"/>
    <s v="INTPG_ACC_798_1.22"/>
    <s v="ISEL-1.22"/>
    <n v="1"/>
    <s v="NO TIENE L3OUT"/>
    <n v="52"/>
    <n v="54"/>
  </r>
  <r>
    <n v="782"/>
    <x v="2"/>
    <x v="179"/>
    <s v="eth1/22"/>
    <x v="0"/>
    <x v="0"/>
    <x v="0"/>
    <s v="TO-ITHFHWRHV2LMGMT03"/>
    <x v="0"/>
    <b v="0"/>
    <s v="No está en VPC"/>
    <n v="782"/>
    <s v="INTPG_VPC_782_1.22-23_783_1.22-23"/>
    <s v="ISEL-1.22"/>
    <n v="2"/>
    <s v="NO TIENE L3OUT"/>
    <n v="32"/>
    <n v="54"/>
  </r>
  <r>
    <n v="852"/>
    <x v="2"/>
    <x v="180"/>
    <s v="eth1/22"/>
    <x v="0"/>
    <x v="0"/>
    <x v="0"/>
    <s v="LINK_TO_ITHFHWCRMPLCN91 / Slot7.2_14 / Redundante"/>
    <x v="0"/>
    <b v="0"/>
    <s v="No está en VPC"/>
    <n v="852"/>
    <s v="INTPG_ACC_852_1.22"/>
    <s v="ISEL-1.22"/>
    <n v="2"/>
    <s v="NO TIENE L3OUT"/>
    <n v="258"/>
    <n v="54"/>
  </r>
  <r>
    <n v="817"/>
    <x v="2"/>
    <x v="181"/>
    <s v="eth1/22"/>
    <x v="0"/>
    <x v="0"/>
    <x v="0"/>
    <s v="LINK_TO_ITHFHWCBSPSUSBD16 /Slot5.2 /Principal"/>
    <x v="0"/>
    <b v="0"/>
    <s v="No está en VPC"/>
    <n v="817"/>
    <s v="INTPG_VPC_817_1.22_822_1.22"/>
    <s v="ISEL-1.22"/>
    <n v="2"/>
    <s v="NO TIENE L3OUT"/>
    <n v="0"/>
    <n v="54"/>
  </r>
  <r>
    <n v="832"/>
    <x v="2"/>
    <x v="182"/>
    <s v="eth1/22"/>
    <x v="0"/>
    <x v="0"/>
    <x v="0"/>
    <s v="LINK_TO_ITHFHWCRMDLCN22 /Slot6.2 /Redundante"/>
    <x v="0"/>
    <b v="0"/>
    <s v="No está en VPC"/>
    <n v="832"/>
    <s v="INTPG_ACC_832_1.22"/>
    <s v="ISEL-1.22"/>
    <n v="1"/>
    <s v="NO TIENE L3OUT"/>
    <n v="192"/>
    <n v="54"/>
  </r>
  <r>
    <n v="816"/>
    <x v="2"/>
    <x v="183"/>
    <s v="eth1/22"/>
    <x v="0"/>
    <x v="0"/>
    <x v="0"/>
    <s v="LINK_TO_ITHFHWCBSPSHD17 /Slot5.2 /Principal"/>
    <x v="0"/>
    <b v="0"/>
    <s v="No está en VPC"/>
    <n v="816"/>
    <s v="INTPG_VPC_816_1.22_821_1.22"/>
    <s v="ISEL-1.22"/>
    <n v="2"/>
    <s v="NO TIENE L3OUT"/>
    <n v="0"/>
    <n v="54"/>
  </r>
  <r>
    <n v="825"/>
    <x v="2"/>
    <x v="184"/>
    <s v="eth1/22"/>
    <x v="0"/>
    <x v="0"/>
    <x v="0"/>
    <s v="LINKT_TO_ITHFHWCRMPLCN132 / Slot1.1_34 / Principal"/>
    <x v="0"/>
    <b v="0"/>
    <s v="No está en VPC"/>
    <n v="825"/>
    <s v="INTPG_ACC_825_1.22"/>
    <s v="ISEL-1.22"/>
    <n v="6"/>
    <s v="NO TIENE L3OUT"/>
    <n v="72"/>
    <n v="54"/>
  </r>
  <r>
    <n v="800"/>
    <x v="2"/>
    <x v="185"/>
    <s v="eth1/22"/>
    <x v="0"/>
    <x v="0"/>
    <x v="0"/>
    <s v="TO-ITHFHWSEQLCAS02-MSP"/>
    <x v="0"/>
    <b v="0"/>
    <s v="No está en VPC"/>
    <n v="800"/>
    <s v="INTPG_ACC_800_1.22"/>
    <s v="ISEL-1.22"/>
    <n v="1"/>
    <s v="NO TIENE L3OUT"/>
    <n v="78"/>
    <n v="54"/>
  </r>
  <r>
    <n v="801"/>
    <x v="2"/>
    <x v="186"/>
    <s v="eth1/22"/>
    <x v="0"/>
    <x v="0"/>
    <x v="0"/>
    <s v="TO-ITHFHWSEQLCAS02-MSP"/>
    <x v="0"/>
    <b v="0"/>
    <s v="No está en VPC"/>
    <n v="801"/>
    <s v="INTPG_ACC_801_1.22"/>
    <s v="ISEL-1.22"/>
    <n v="1"/>
    <s v="NO TIENE L3OUT"/>
    <n v="78"/>
    <n v="54"/>
  </r>
  <r>
    <n v="823"/>
    <x v="2"/>
    <x v="187"/>
    <s v="eth1/22"/>
    <x v="0"/>
    <x v="0"/>
    <x v="0"/>
    <s v="LINK_TO_ITHFHWCBSPSUSBD21 /Slot6.2 /Redundante"/>
    <x v="0"/>
    <b v="0"/>
    <s v="No está en VPC"/>
    <n v="823"/>
    <s v="INTPG_VPC_818_1.22_823_1.22"/>
    <s v="ISEL-1.22"/>
    <n v="1"/>
    <s v="NO TIENE L3OUT"/>
    <n v="8"/>
    <n v="54"/>
  </r>
  <r>
    <n v="837"/>
    <x v="2"/>
    <x v="188"/>
    <s v="eth1/22"/>
    <x v="0"/>
    <x v="0"/>
    <x v="0"/>
    <s v="LINK_TO_ITHFHWCBSPSWR46 / Slot1.3_28 / Principal"/>
    <x v="0"/>
    <b v="0"/>
    <s v="No está en VPC"/>
    <n v="837"/>
    <s v="INTPG_VPC_837_1.22_842_1.22"/>
    <s v="ISEL-1.22"/>
    <n v="1"/>
    <s v="NO TIENE L3OUT"/>
    <n v="8"/>
    <n v="54"/>
  </r>
  <r>
    <n v="867"/>
    <x v="2"/>
    <x v="189"/>
    <s v="eth1/22"/>
    <x v="0"/>
    <x v="0"/>
    <x v="0"/>
    <s v="TO-9S_BESDR_IXTLA3_1"/>
    <x v="0"/>
    <b v="0"/>
    <s v="No está en VPC"/>
    <n v="867"/>
    <s v="INTPG_VPC_862_1.20-23_867_1.20-23"/>
    <s v="ISEL-1.22"/>
    <n v="25"/>
    <s v="NO TIENE L3OUT"/>
    <n v="44"/>
    <n v="54"/>
  </r>
  <r>
    <n v="829"/>
    <x v="2"/>
    <x v="190"/>
    <s v="eth1/22"/>
    <x v="0"/>
    <x v="0"/>
    <x v="0"/>
    <s v="LINK_TO_ITHFHWCRMDLCN35 /Slot7.2 /Redundante"/>
    <x v="0"/>
    <b v="0"/>
    <s v="No está en VPC"/>
    <n v="829"/>
    <s v="INTPG_ACC_829_1.22"/>
    <s v="ISEL-1.22"/>
    <n v="5"/>
    <s v="NO TIENE L3OUT"/>
    <n v="224"/>
    <n v="54"/>
  </r>
  <r>
    <n v="831"/>
    <x v="2"/>
    <x v="191"/>
    <s v="eth1/22"/>
    <x v="0"/>
    <x v="0"/>
    <x v="0"/>
    <s v="LINK_TO_ITHFHWCBSDSWR23 /Slot6.2 /Redundante"/>
    <x v="0"/>
    <b v="0"/>
    <s v="No está en VPC"/>
    <n v="831"/>
    <s v="INTPG_VPC_827_1.22_831_1.22"/>
    <s v="ISEL-1.22"/>
    <n v="1"/>
    <s v="NO TIENE L3OUT"/>
    <n v="14"/>
    <n v="54"/>
  </r>
  <r>
    <n v="802"/>
    <x v="2"/>
    <x v="192"/>
    <s v="eth1/22"/>
    <x v="0"/>
    <x v="0"/>
    <x v="0"/>
    <s v="TO-HDPS_24-MSP"/>
    <x v="0"/>
    <b v="0"/>
    <s v="No está en VPC"/>
    <n v="802"/>
    <s v="INTPG_ACC_802_1.22"/>
    <s v="ISEL-1.22"/>
    <n v="1"/>
    <s v="NO TIENE L3OUT"/>
    <n v="48"/>
    <n v="54"/>
  </r>
  <r>
    <n v="835"/>
    <x v="2"/>
    <x v="193"/>
    <s v="eth1/22"/>
    <x v="0"/>
    <x v="0"/>
    <x v="0"/>
    <s v="LINK_TO_ITHHWD6KV65100014DKC01 / CTMA_IOM0.P0_34 / Principal"/>
    <x v="0"/>
    <b v="0"/>
    <s v="No está en VPC"/>
    <n v="835"/>
    <s v="INTPG_ACC_835_1.22"/>
    <s v="ISEL-1.22"/>
    <n v="1"/>
    <s v="NO TIENE L3OUT"/>
    <n v="8"/>
    <n v="54"/>
  </r>
  <r>
    <n v="822"/>
    <x v="2"/>
    <x v="194"/>
    <s v="eth1/22"/>
    <x v="0"/>
    <x v="0"/>
    <x v="0"/>
    <s v="LINK_TO_ITHFHWCBSPSUSBD16 /Slot7.2 /Redundante"/>
    <x v="0"/>
    <b v="0"/>
    <s v="No está en VPC"/>
    <n v="822"/>
    <s v="INTPG_VPC_817_1.22_822_1.22"/>
    <s v="ISEL-1.22"/>
    <n v="2"/>
    <s v="NO TIENE L3OUT"/>
    <n v="0"/>
    <n v="54"/>
  </r>
  <r>
    <n v="854"/>
    <x v="2"/>
    <x v="195"/>
    <s v="eth1/22"/>
    <x v="0"/>
    <x v="0"/>
    <x v="0"/>
    <s v="LINK_TO_ITHFHWCRMPLCN172 / Slot1.3_14 / Principal"/>
    <x v="0"/>
    <b v="0"/>
    <s v="No está en VPC"/>
    <n v="854"/>
    <s v="INTPG_ACC_854_1.22"/>
    <s v="ISEL-1.22"/>
    <n v="1"/>
    <s v="NO TIENE L3OUT"/>
    <n v="204"/>
    <n v="54"/>
  </r>
  <r>
    <n v="858"/>
    <x v="2"/>
    <x v="196"/>
    <s v="eth1/22"/>
    <x v="0"/>
    <x v="0"/>
    <x v="0"/>
    <s v="To_VPC_2DCBSD_HD44_1"/>
    <x v="0"/>
    <b v="0"/>
    <s v="No está en VPC"/>
    <n v="858"/>
    <s v="INTPG_VPC_858_1.22_863_1.22"/>
    <s v="ISEL-1.22"/>
    <n v="2"/>
    <s v="NO TIENE L3OUT"/>
    <n v="8"/>
    <n v="54"/>
  </r>
  <r>
    <n v="857"/>
    <x v="2"/>
    <x v="197"/>
    <s v="eth1/22"/>
    <x v="0"/>
    <x v="0"/>
    <x v="0"/>
    <s v="LINKT_TO_ITHFHWCRMPLCN122 / Slot1.3_14 / Principal"/>
    <x v="0"/>
    <b v="0"/>
    <s v="No está en VPC"/>
    <n v="857"/>
    <s v="INTPG_ACC_857_1.22"/>
    <s v="ISEL-1.22"/>
    <n v="1"/>
    <s v="NO TIENE L3OUT"/>
    <n v="288"/>
    <n v="54"/>
  </r>
  <r>
    <n v="859"/>
    <x v="2"/>
    <x v="198"/>
    <s v="eth1/22"/>
    <x v="0"/>
    <x v="0"/>
    <x v="0"/>
    <s v="To_VPC_2DCBSD_WR43_1"/>
    <x v="0"/>
    <b v="0"/>
    <s v="No está en VPC"/>
    <n v="859"/>
    <s v="INTPG_VPC_859_1.22_864_1.22"/>
    <s v="ISEL-1.22"/>
    <n v="2"/>
    <s v="NO TIENE L3OUT"/>
    <n v="0"/>
    <n v="54"/>
  </r>
  <r>
    <n v="833"/>
    <x v="2"/>
    <x v="199"/>
    <s v="eth1/22"/>
    <x v="0"/>
    <x v="0"/>
    <x v="0"/>
    <s v="LINK_TO_ITHFHWCRMDLCN35 /Slot5.2 /Principal"/>
    <x v="0"/>
    <b v="0"/>
    <s v="No está en VPC"/>
    <n v="833"/>
    <s v="INTPG_ACC_833_1.22"/>
    <s v="ISEL-1.22"/>
    <n v="5"/>
    <s v="NO TIENE L3OUT"/>
    <n v="224"/>
    <n v="54"/>
  </r>
  <r>
    <n v="818"/>
    <x v="2"/>
    <x v="200"/>
    <s v="eth1/22"/>
    <x v="0"/>
    <x v="0"/>
    <x v="0"/>
    <s v="LINK_TO_ITHFHWCBSPSUSBD21 /Slot4.2 /Principal"/>
    <x v="0"/>
    <b v="0"/>
    <s v="No está en VPC"/>
    <n v="818"/>
    <s v="INTPG_VPC_818_1.22_823_1.22"/>
    <s v="ISEL-1.22"/>
    <n v="1"/>
    <s v="NO TIENE L3OUT"/>
    <n v="8"/>
    <n v="54"/>
  </r>
  <r>
    <n v="850"/>
    <x v="2"/>
    <x v="201"/>
    <s v="eth1/22"/>
    <x v="0"/>
    <x v="0"/>
    <x v="0"/>
    <s v="LINKT_TO_ITHFHWCRMPLCN122 / Slot7.3_14 / Redundante"/>
    <x v="0"/>
    <b v="0"/>
    <s v="No está en VPC"/>
    <n v="850"/>
    <s v="INTPG_ACC_850_1.22"/>
    <s v="ISEL-1.22"/>
    <n v="1"/>
    <s v="NO TIENE L3OUT"/>
    <n v="288"/>
    <n v="54"/>
  </r>
  <r>
    <n v="860"/>
    <x v="2"/>
    <x v="202"/>
    <s v="eth1/22"/>
    <x v="0"/>
    <x v="0"/>
    <x v="0"/>
    <s v="To_VPC_2DCBSD_HD30_1"/>
    <x v="0"/>
    <b v="0"/>
    <s v="No está en VPC"/>
    <n v="860"/>
    <s v="INTPG_VPC_860_1.22_865_1.22"/>
    <s v="ISEL-1.22"/>
    <n v="2"/>
    <s v="NO TIENE L3OUT"/>
    <n v="0"/>
    <n v="54"/>
  </r>
  <r>
    <n v="853"/>
    <x v="2"/>
    <x v="203"/>
    <s v="eth1/22"/>
    <x v="0"/>
    <x v="0"/>
    <x v="0"/>
    <s v="LINK_TO_ITHFHWCRMPLCN79 / Slot7.1_16 / Redundante"/>
    <x v="0"/>
    <b v="0"/>
    <s v="No está en VPC"/>
    <n v="853"/>
    <s v="INTPG_ACC_853_1.22"/>
    <s v="ISEL-1.22"/>
    <n v="6"/>
    <s v="NO TIENE L3OUT"/>
    <n v="242"/>
    <n v="54"/>
  </r>
  <r>
    <n v="790"/>
    <x v="2"/>
    <x v="204"/>
    <s v="eth1/22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22"/>
    <x v="0"/>
    <x v="0"/>
    <x v="0"/>
    <s v="MEDIACION DESARROLLO"/>
    <x v="6"/>
    <b v="0"/>
    <s v="No está en VPC"/>
    <n v="105"/>
    <s v="INTPG_ACC_105_1.22"/>
    <s v="ISEL-1.22"/>
    <n v="1"/>
    <s v="NO TIENE L3OUT"/>
    <n v="106"/>
    <n v="96"/>
  </r>
  <r>
    <n v="117"/>
    <x v="0"/>
    <x v="206"/>
    <s v="eth1/22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22"/>
    <x v="1"/>
    <x v="1"/>
    <x v="2"/>
    <s v="SFLDI"/>
    <x v="6"/>
    <b v="0"/>
    <s v="No está en VPC"/>
    <n v="104"/>
    <s v="INTPG_ACC_104_1.22"/>
    <s v="ISEL-1.22"/>
    <n v="0"/>
    <s v="NO TIENE L3OUT"/>
    <n v="194"/>
    <n v="96"/>
  </r>
  <r>
    <n v="158"/>
    <x v="0"/>
    <x v="208"/>
    <s v="eth1/22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22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22"/>
    <x v="0"/>
    <x v="0"/>
    <x v="0"/>
    <s v="HACIA_MGMT-OSCP-F4-14_SECUNDARIO"/>
    <x v="4"/>
    <b v="0"/>
    <s v="No está en VPC"/>
    <n v="879"/>
    <s v="INTPG_VPC_878_1.22_879_1.22"/>
    <s v="ISEL-1.22"/>
    <n v="1"/>
    <s v="NO TIENE L3OUT"/>
    <n v="0"/>
    <n v="54"/>
  </r>
  <r>
    <n v="108"/>
    <x v="0"/>
    <x v="211"/>
    <s v="eth1/22"/>
    <x v="0"/>
    <x v="0"/>
    <x v="0"/>
    <s v="TELLABS"/>
    <x v="6"/>
    <b v="0"/>
    <s v="No está en VPC"/>
    <n v="108"/>
    <s v="INTPG_ACC_108_1.22"/>
    <s v="ISEL-1.22"/>
    <n v="1"/>
    <s v="NO TIENE L3OUT"/>
    <n v="126"/>
    <n v="96"/>
  </r>
  <r>
    <n v="112"/>
    <x v="0"/>
    <x v="212"/>
    <s v="eth1/22"/>
    <x v="0"/>
    <x v="0"/>
    <x v="0"/>
    <s v="APROVISIONAMIENTO DE SERVICIOS"/>
    <x v="6"/>
    <b v="0"/>
    <s v="No está en VPC"/>
    <n v="112"/>
    <s v="INTPG_ACC_112_1.22"/>
    <s v="ISEL-1.22"/>
    <n v="1"/>
    <s v="NO TIENE L3OUT"/>
    <n v="144"/>
    <n v="96"/>
  </r>
  <r>
    <n v="107"/>
    <x v="0"/>
    <x v="213"/>
    <s v="eth1/22"/>
    <x v="0"/>
    <x v="1"/>
    <x v="1"/>
    <s v="SISAP"/>
    <x v="6"/>
    <b v="0"/>
    <s v="No está en VPC"/>
    <n v="107"/>
    <s v="INTPG_ACC_107_1.22"/>
    <s v="ISEL-1.22"/>
    <n v="1"/>
    <s v="NO TIENE L3OUT"/>
    <n v="118"/>
    <n v="96"/>
  </r>
  <r>
    <n v="109"/>
    <x v="0"/>
    <x v="214"/>
    <s v="eth1/22"/>
    <x v="0"/>
    <x v="0"/>
    <x v="0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22"/>
    <x v="0"/>
    <x v="0"/>
    <x v="0"/>
    <s v="TO-ITHFHWHSMTLCN07_MGMT"/>
    <x v="6"/>
    <b v="0"/>
    <s v="No está en VPC"/>
    <n v="113"/>
    <s v="INTPG_ACC_113_1.22"/>
    <s v="ISEL-1.22"/>
    <n v="1"/>
    <s v="NO TIENE L3OUT"/>
    <n v="52"/>
    <n v="96"/>
  </r>
  <r>
    <n v="114"/>
    <x v="0"/>
    <x v="216"/>
    <s v="eth1/22"/>
    <x v="0"/>
    <x v="0"/>
    <x v="0"/>
    <s v="SUBEX (Fraud Management)"/>
    <x v="6"/>
    <b v="0"/>
    <s v="No está en VPC"/>
    <n v="114"/>
    <s v="INTPG_ACC_114_1.22"/>
    <s v="ISEL-1.22"/>
    <n v="1"/>
    <s v="NO TIENE L3OUT"/>
    <n v="144"/>
    <n v="96"/>
  </r>
  <r>
    <n v="124"/>
    <x v="0"/>
    <x v="217"/>
    <s v="eth1/22"/>
    <x v="0"/>
    <x v="0"/>
    <x v="0"/>
    <s v="UXSVA (M9000)"/>
    <x v="6"/>
    <b v="0"/>
    <s v="No está en VPC"/>
    <n v="124"/>
    <s v="INTPG_ACC_124_1.22"/>
    <s v="ISEL-1.22"/>
    <n v="1"/>
    <s v="NO TIENE L3OUT"/>
    <n v="80"/>
    <n v="96"/>
  </r>
  <r>
    <n v="118"/>
    <x v="0"/>
    <x v="218"/>
    <s v="eth1/22"/>
    <x v="0"/>
    <x v="0"/>
    <x v="0"/>
    <s v="COBROS NAVEGACION"/>
    <x v="6"/>
    <b v="0"/>
    <s v="No está en VPC"/>
    <n v="118"/>
    <s v="INTPG_ACC_118_1.22"/>
    <s v="ISEL-1.22"/>
    <n v="1"/>
    <s v="NO TIENE L3OUT"/>
    <n v="180"/>
    <n v="96"/>
  </r>
  <r>
    <n v="159"/>
    <x v="0"/>
    <x v="219"/>
    <s v="eth1/22"/>
    <x v="0"/>
    <x v="0"/>
    <x v="0"/>
    <s v="SRM"/>
    <x v="6"/>
    <b v="0"/>
    <s v="No está en VPC"/>
    <n v="159"/>
    <s v="INTPG_ACC_159_1.22"/>
    <s v="ISEL-1.22"/>
    <n v="1"/>
    <s v="NO TIENE L3OUT"/>
    <n v="72"/>
    <n v="96"/>
  </r>
  <r>
    <n v="840"/>
    <x v="2"/>
    <x v="220"/>
    <s v="eth1/22"/>
    <x v="0"/>
    <x v="0"/>
    <x v="0"/>
    <s v="LINK_TO_ITHHWD6KV65100014DKC01 / CTMA_IOM0.P1_34 / Redundante"/>
    <x v="0"/>
    <b v="0"/>
    <s v="No está en VPC"/>
    <n v="840"/>
    <s v="INTPG_ACC_840_1.22"/>
    <s v="ISEL-1.22"/>
    <n v="1"/>
    <s v="NO TIENE L3OUT"/>
    <n v="8"/>
    <n v="54"/>
  </r>
  <r>
    <n v="856"/>
    <x v="2"/>
    <x v="221"/>
    <s v="eth1/22"/>
    <x v="0"/>
    <x v="0"/>
    <x v="0"/>
    <s v="LINK_TO_ITHFHWCRMPLCN141 / Slot1.3_16 / Principal"/>
    <x v="0"/>
    <b v="0"/>
    <s v="No está en VPC"/>
    <n v="856"/>
    <s v="INTPG_ACC_856_1.22"/>
    <s v="ISEL-1.22"/>
    <n v="1"/>
    <s v="NO TIENE L3OUT"/>
    <n v="286"/>
    <n v="54"/>
  </r>
  <r>
    <n v="110"/>
    <x v="0"/>
    <x v="222"/>
    <s v="eth1/22"/>
    <x v="0"/>
    <x v="0"/>
    <x v="0"/>
    <s v="DESC"/>
    <x v="6"/>
    <b v="0"/>
    <s v="No está en VPC"/>
    <n v="110"/>
    <s v="INTPG_PC_110_1.15-16_22-23_30"/>
    <s v="ISEL-1.22"/>
    <n v="1"/>
    <s v="NO TIENE L3OUT"/>
    <n v="102"/>
    <n v="96"/>
  </r>
  <r>
    <n v="163"/>
    <x v="0"/>
    <x v="223"/>
    <s v="eth1/22"/>
    <x v="1"/>
    <x v="1"/>
    <x v="2"/>
    <s v="NETSCOUT"/>
    <x v="6"/>
    <b v="0"/>
    <s v="No está en VPC"/>
    <n v="163"/>
    <s v="INTPG_ACC_163_1.22"/>
    <s v="ISEL-1.22"/>
    <n v="1"/>
    <s v="NO TIENE L3OUT"/>
    <n v="140"/>
    <n v="96"/>
  </r>
  <r>
    <n v="407"/>
    <x v="1"/>
    <x v="224"/>
    <s v="eth1/22"/>
    <x v="0"/>
    <x v="1"/>
    <x v="1"/>
    <s v="IXT_SIEU"/>
    <x v="6"/>
    <b v="0"/>
    <s v="No está en VPC"/>
    <n v="407"/>
    <s v="INTPG_ACC_407_1.22"/>
    <s v="ISEL-1.22"/>
    <n v="1"/>
    <s v="NO TIENE L3OUT"/>
    <n v="122"/>
    <n v="96"/>
  </r>
  <r>
    <n v="171"/>
    <x v="0"/>
    <x v="225"/>
    <s v="eth1/22"/>
    <x v="0"/>
    <x v="0"/>
    <x v="0"/>
    <s v="SOP-EAGLE"/>
    <x v="6"/>
    <b v="0"/>
    <s v="No está en VPC"/>
    <n v="171"/>
    <s v="INTPG_ACC_171_1.22"/>
    <s v="ISEL-1.22"/>
    <n v="1"/>
    <s v="NO TIENE L3OUT"/>
    <n v="114"/>
    <n v="96"/>
  </r>
  <r>
    <n v="421"/>
    <x v="1"/>
    <x v="226"/>
    <s v="eth1/22"/>
    <x v="0"/>
    <x v="0"/>
    <x v="0"/>
    <s v="HP Proliant DL360 Gen9"/>
    <x v="6"/>
    <b v="0"/>
    <s v="No está en VPC"/>
    <n v="421"/>
    <s v="INTPG_ACC_421_1.22"/>
    <s v="ISEL-1.22"/>
    <n v="1"/>
    <s v="NO TIENE L3OUT"/>
    <n v="72"/>
    <n v="96"/>
  </r>
  <r>
    <n v="173"/>
    <x v="0"/>
    <x v="227"/>
    <s v="eth1/22"/>
    <x v="0"/>
    <x v="0"/>
    <x v="0"/>
    <s v="ENIQ"/>
    <x v="6"/>
    <b v="0"/>
    <s v="No está en VPC"/>
    <n v="173"/>
    <s v="INTPG_ACC_173_1.22"/>
    <s v="ISEL-1.22"/>
    <n v="1"/>
    <s v="NO TIENE L3OUT"/>
    <n v="66"/>
    <n v="96"/>
  </r>
  <r>
    <n v="154"/>
    <x v="0"/>
    <x v="228"/>
    <s v="eth1/22"/>
    <x v="0"/>
    <x v="0"/>
    <x v="0"/>
    <s v="CHARGING SYSTEM"/>
    <x v="6"/>
    <b v="0"/>
    <s v="No está en VPC"/>
    <n v="154"/>
    <s v="INTPG_ACC_154_1.22"/>
    <s v="ISEL-1.22"/>
    <n v="1"/>
    <s v="NO TIENE L3OUT"/>
    <n v="62"/>
    <n v="96"/>
  </r>
  <r>
    <n v="172"/>
    <x v="0"/>
    <x v="229"/>
    <s v="eth1/22"/>
    <x v="0"/>
    <x v="1"/>
    <x v="1"/>
    <s v="NFA"/>
    <x v="6"/>
    <b v="0"/>
    <s v="No está en VPC"/>
    <n v="172"/>
    <s v="INTPG_ACC_172_1.22"/>
    <s v="ISEL-1.22"/>
    <n v="1"/>
    <s v="NO TIENE L3OUT"/>
    <n v="104"/>
    <n v="96"/>
  </r>
  <r>
    <n v="420"/>
    <x v="1"/>
    <x v="230"/>
    <s v="eth1/22"/>
    <x v="0"/>
    <x v="0"/>
    <x v="0"/>
    <s v="sfmevp07"/>
    <x v="6"/>
    <b v="0"/>
    <s v="No está en VPC"/>
    <n v="420"/>
    <s v="INTPG_ACC_420_1.22"/>
    <s v="ISEL-1.22"/>
    <n v="1"/>
    <s v="NO TIENE L3OUT"/>
    <n v="158"/>
    <n v="96"/>
  </r>
  <r>
    <n v="423"/>
    <x v="1"/>
    <x v="231"/>
    <s v="eth1/22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22"/>
    <x v="0"/>
    <x v="0"/>
    <x v="0"/>
    <s v="VTAE1"/>
    <x v="6"/>
    <b v="0"/>
    <s v="No está en VPC"/>
    <n v="415"/>
    <s v="INTPG_ACC_415_1.22"/>
    <s v="ISEL-1.22"/>
    <n v="1"/>
    <s v="NO TIENE L3OUT"/>
    <n v="52"/>
    <n v="96"/>
  </r>
  <r>
    <n v="102"/>
    <x v="0"/>
    <x v="233"/>
    <s v="eth1/22"/>
    <x v="0"/>
    <x v="1"/>
    <x v="1"/>
    <s v="SFLDI:RLDIBI201:1"/>
    <x v="6"/>
    <b v="0"/>
    <s v="No está en VPC"/>
    <n v="102"/>
    <s v="INTPG_ACC_102_1.22"/>
    <s v="ISEL-1.22"/>
    <n v="1"/>
    <s v="NO TIENE L3OUT"/>
    <n v="228"/>
    <n v="96"/>
  </r>
  <r>
    <n v="863"/>
    <x v="2"/>
    <x v="234"/>
    <s v="eth1/22"/>
    <x v="0"/>
    <x v="0"/>
    <x v="0"/>
    <s v="To_VPC_2DCBSD_HD44_1"/>
    <x v="0"/>
    <b v="0"/>
    <s v="No está en VPC"/>
    <n v="863"/>
    <s v="INTPG_VPC_858_1.22_863_1.22"/>
    <s v="ISEL-1.22"/>
    <n v="2"/>
    <s v="NO TIENE L3OUT"/>
    <n v="8"/>
    <n v="54"/>
  </r>
  <r>
    <n v="876"/>
    <x v="2"/>
    <x v="235"/>
    <s v="eth1/22"/>
    <x v="0"/>
    <x v="0"/>
    <x v="0"/>
    <s v="A_ITHFHWSEQLCAS21_Principal"/>
    <x v="4"/>
    <b v="0"/>
    <s v="No está en VPC"/>
    <n v="876"/>
    <s v="INTPG_ACC_876_1.22"/>
    <s v="ISEL-1.22"/>
    <n v="1"/>
    <s v="NO TIENE L3OUT"/>
    <n v="92"/>
    <n v="54"/>
  </r>
  <r>
    <n v="877"/>
    <x v="2"/>
    <x v="236"/>
    <s v="eth1/22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22"/>
    <x v="0"/>
    <x v="0"/>
    <x v="0"/>
    <s v="VNX_5500_mgmt"/>
    <x v="6"/>
    <b v="0"/>
    <s v="No está en VPC"/>
    <n v="122"/>
    <s v="INTPG_ACC_122_1.22"/>
    <s v="ISEL-1.22"/>
    <n v="1"/>
    <s v="NO TIENE L3OUT"/>
    <n v="148"/>
    <n v="96"/>
  </r>
  <r>
    <n v="157"/>
    <x v="0"/>
    <x v="238"/>
    <s v="eth1/22"/>
    <x v="1"/>
    <x v="1"/>
    <x v="2"/>
    <s v="RED CRICKET"/>
    <x v="6"/>
    <b v="0"/>
    <s v="No está en VPC"/>
    <n v="157"/>
    <s v="INTPG_ACC_157_1.22"/>
    <s v="ISEL-1.22"/>
    <n v="1"/>
    <s v="NO TIENE L3OUT"/>
    <n v="202"/>
    <n v="96"/>
  </r>
  <r>
    <n v="408"/>
    <x v="1"/>
    <x v="239"/>
    <s v="eth1/22"/>
    <x v="0"/>
    <x v="0"/>
    <x v="0"/>
    <s v="UXCEM01_NXGE3"/>
    <x v="6"/>
    <b v="0"/>
    <s v="No está en VPC"/>
    <n v="408"/>
    <s v="INTPG_ACC_408_1.22"/>
    <s v="ISEL-1.22"/>
    <n v="1"/>
    <s v="NO TIENE L3OUT"/>
    <n v="152"/>
    <n v="96"/>
  </r>
  <r>
    <n v="405"/>
    <x v="1"/>
    <x v="240"/>
    <s v="eth1/22"/>
    <x v="0"/>
    <x v="0"/>
    <x v="0"/>
    <s v="XL6 RLR6ARI02 ILO"/>
    <x v="6"/>
    <b v="0"/>
    <s v="No está en VPC"/>
    <n v="405"/>
    <s v="INTPG_ACC_405_1.22"/>
    <s v="ISEL-1.22"/>
    <n v="1"/>
    <s v="NO TIENE L3OUT"/>
    <n v="138"/>
    <n v="96"/>
  </r>
  <r>
    <n v="169"/>
    <x v="0"/>
    <x v="241"/>
    <s v="eth1/22"/>
    <x v="1"/>
    <x v="1"/>
    <x v="2"/>
    <s v="TO-CORE_SWITCH-3-Y-4"/>
    <x v="6"/>
    <b v="0"/>
    <s v="No está en VPC"/>
    <n v="169"/>
    <s v="INTPG_VPC_167_1.30-32_169_1.21-23"/>
    <s v="ISEL-1.22"/>
    <n v="4"/>
    <s v="NO TIENE L3OUT"/>
    <n v="76"/>
    <n v="96"/>
  </r>
  <r>
    <n v="165"/>
    <x v="0"/>
    <x v="242"/>
    <s v="eth1/22"/>
    <x v="0"/>
    <x v="0"/>
    <x v="0"/>
    <s v="UXLDAP"/>
    <x v="6"/>
    <b v="0"/>
    <s v="No está en VPC"/>
    <n v="165"/>
    <s v="INTPG_ACC_165_1.22"/>
    <s v="ISEL-1.22"/>
    <n v="1"/>
    <s v="NO TIENE L3OUT"/>
    <n v="86"/>
    <n v="96"/>
  </r>
  <r>
    <n v="417"/>
    <x v="1"/>
    <x v="243"/>
    <s v="eth1/22"/>
    <x v="0"/>
    <x v="0"/>
    <x v="0"/>
    <s v="TO-ITHFHPNBURBKP03-PRINCIPAL"/>
    <x v="6"/>
    <b v="0"/>
    <s v="No está en VPC"/>
    <n v="417"/>
    <s v="INTPG_ACC_417_1.22"/>
    <s v="ISEL-1.22"/>
    <n v="1"/>
    <s v="NO TIENE L3OUT"/>
    <n v="56"/>
    <n v="96"/>
  </r>
  <r>
    <n v="153"/>
    <x v="0"/>
    <x v="244"/>
    <s v="eth1/22"/>
    <x v="1"/>
    <x v="1"/>
    <x v="2"/>
    <s v="Precios DEUR"/>
    <x v="6"/>
    <b v="0"/>
    <s v="No está en VPC"/>
    <n v="153"/>
    <s v="INTPG_ACC_153_1.22"/>
    <s v="ISEL-1.22"/>
    <n v="1"/>
    <s v="NO TIENE L3OUT"/>
    <n v="42"/>
    <n v="96"/>
  </r>
  <r>
    <n v="119"/>
    <x v="0"/>
    <x v="245"/>
    <s v="eth1/22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22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22"/>
    <x v="0"/>
    <x v="1"/>
    <x v="1"/>
    <s v="CAMPANAS 01-02:uxobie05:ent1"/>
    <x v="6"/>
    <b v="0"/>
    <s v="No está en VPC"/>
    <n v="103"/>
    <s v="INTPG_ACC_103_1.22"/>
    <s v="ISEL-1.22"/>
    <n v="1"/>
    <s v="NO TIENE L3OUT"/>
    <n v="70"/>
    <n v="96"/>
  </r>
  <r>
    <n v="438"/>
    <x v="1"/>
    <x v="248"/>
    <s v="eth1/22"/>
    <x v="0"/>
    <x v="0"/>
    <x v="0"/>
    <s v="HP_Proliant_DL380p(b)"/>
    <x v="6"/>
    <b v="0"/>
    <s v="No está en VPC"/>
    <n v="438"/>
    <s v="INTPG_ACC_438_1.22"/>
    <s v="ISEL-1.22"/>
    <n v="1"/>
    <s v="NO TIENE L3OUT"/>
    <n v="170"/>
    <n v="96"/>
  </r>
  <r>
    <n v="406"/>
    <x v="1"/>
    <x v="249"/>
    <s v="eth1/22"/>
    <x v="0"/>
    <x v="0"/>
    <x v="0"/>
    <s v="ITHRTC51VC2"/>
    <x v="6"/>
    <b v="0"/>
    <s v="No está en VPC"/>
    <n v="406"/>
    <s v="INTPG_VPC_404_1.22_406_1.22"/>
    <s v="ISEL-1.22"/>
    <n v="1"/>
    <s v="NO TIENE L3OUT"/>
    <n v="82"/>
    <n v="96"/>
  </r>
  <r>
    <n v="414"/>
    <x v="1"/>
    <x v="250"/>
    <s v="eth1/22"/>
    <x v="0"/>
    <x v="1"/>
    <x v="1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22"/>
    <x v="0"/>
    <x v="0"/>
    <x v="0"/>
    <s v="TO-ITHAI9-PRINCIPAL"/>
    <x v="6"/>
    <b v="0"/>
    <s v="No está en VPC"/>
    <n v="416"/>
    <s v="INTPG_ACC_416_1.22"/>
    <s v="ISEL-1.22"/>
    <n v="1"/>
    <s v="NO TIENE L3OUT"/>
    <n v="110"/>
    <n v="96"/>
  </r>
  <r>
    <n v="418"/>
    <x v="1"/>
    <x v="252"/>
    <s v="eth1/22"/>
    <x v="0"/>
    <x v="0"/>
    <x v="0"/>
    <s v="TO-ITHEA1C-PRINCIPAL"/>
    <x v="6"/>
    <b v="0"/>
    <s v="No está en VPC"/>
    <n v="418"/>
    <s v="INTPG_ACC_418_1.22"/>
    <s v="ISEL-1.22"/>
    <n v="1"/>
    <s v="NO TIENE L3OUT"/>
    <n v="152"/>
    <n v="96"/>
  </r>
  <r>
    <n v="413"/>
    <x v="1"/>
    <x v="253"/>
    <s v="eth1/22"/>
    <x v="0"/>
    <x v="0"/>
    <x v="0"/>
    <s v="To_lagidmhlapvp08_produccion1"/>
    <x v="6"/>
    <b v="0"/>
    <s v="No está en VPC"/>
    <n v="413"/>
    <s v="INTPG_VPC_411_1.26-29_413_1.19-20_22_86"/>
    <s v="ISEL-1.22"/>
    <n v="2"/>
    <s v="NO TIENE L3OUT"/>
    <n v="126"/>
    <n v="96"/>
  </r>
  <r>
    <n v="403"/>
    <x v="1"/>
    <x v="254"/>
    <s v="eth1/22"/>
    <x v="0"/>
    <x v="0"/>
    <x v="0"/>
    <s v="XL6 RLR6ARI02"/>
    <x v="6"/>
    <b v="0"/>
    <s v="No está en VPC"/>
    <n v="403"/>
    <s v="INTPG_ACC_403_1.22"/>
    <s v="ISEL-1.22"/>
    <n v="1"/>
    <s v="NO TIENE L3OUT"/>
    <n v="150"/>
    <n v="96"/>
  </r>
  <r>
    <n v="125"/>
    <x v="0"/>
    <x v="255"/>
    <s v="eth1/22"/>
    <x v="0"/>
    <x v="0"/>
    <x v="0"/>
    <s v="UXSVA (M9000)"/>
    <x v="6"/>
    <b v="0"/>
    <s v="No está en VPC"/>
    <n v="125"/>
    <s v="INTPG_ACC_125_1.22"/>
    <s v="ISEL-1.22"/>
    <n v="1"/>
    <s v="NO TIENE L3OUT"/>
    <n v="72"/>
    <n v="96"/>
  </r>
  <r>
    <n v="166"/>
    <x v="0"/>
    <x v="256"/>
    <s v="eth1/22"/>
    <x v="1"/>
    <x v="1"/>
    <x v="2"/>
    <s v="UXLDAP"/>
    <x v="6"/>
    <b v="0"/>
    <s v="No está en VPC"/>
    <n v="166"/>
    <s v="INTPG_ACC_166_1.22"/>
    <s v="ISEL-1.22"/>
    <n v="1"/>
    <s v="NO TIENE L3OUT"/>
    <n v="84"/>
    <n v="96"/>
  </r>
  <r>
    <n v="111"/>
    <x v="0"/>
    <x v="257"/>
    <s v="eth1/22"/>
    <x v="0"/>
    <x v="0"/>
    <x v="0"/>
    <s v="DESC"/>
    <x v="6"/>
    <b v="0"/>
    <s v="No está en VPC"/>
    <n v="111"/>
    <s v="INTPG_PC_111_1.15-16_22-23_30"/>
    <s v="ISEL-1.22"/>
    <n v="1"/>
    <s v="NO TIENE L3OUT"/>
    <n v="58"/>
    <n v="96"/>
  </r>
  <r>
    <n v="115"/>
    <x v="0"/>
    <x v="258"/>
    <s v="eth1/22"/>
    <x v="0"/>
    <x v="1"/>
    <x v="1"/>
    <s v="SAPCC"/>
    <x v="6"/>
    <b v="0"/>
    <s v="No está en VPC"/>
    <n v="115"/>
    <s v="INTPG_ACC_115_1.22"/>
    <s v="ISEL-1.22"/>
    <n v="1"/>
    <s v="NO TIENE L3OUT"/>
    <n v="42"/>
    <n v="96"/>
  </r>
  <r>
    <n v="106"/>
    <x v="0"/>
    <x v="259"/>
    <s v="eth1/22"/>
    <x v="0"/>
    <x v="1"/>
    <x v="1"/>
    <s v="SISAP"/>
    <x v="6"/>
    <b v="0"/>
    <s v="No está en VPC"/>
    <n v="106"/>
    <s v="INTPG_ACC_106_1.22"/>
    <s v="ISEL-1.22"/>
    <n v="1"/>
    <s v="NO TIENE L3OUT"/>
    <n v="122"/>
    <n v="96"/>
  </r>
  <r>
    <n v="126"/>
    <x v="0"/>
    <x v="260"/>
    <s v="eth1/22"/>
    <x v="0"/>
    <x v="1"/>
    <x v="1"/>
    <s v="ENIQ"/>
    <x v="6"/>
    <b v="0"/>
    <s v="No está en VPC"/>
    <n v="126"/>
    <s v="INTPG_ACC_126_1.22"/>
    <s v="ISEL-1.22"/>
    <n v="1"/>
    <s v="NO TIENE L3OUT"/>
    <n v="54"/>
    <n v="96"/>
  </r>
  <r>
    <n v="425"/>
    <x v="1"/>
    <x v="261"/>
    <s v="eth1/22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22"/>
    <x v="0"/>
    <x v="0"/>
    <x v="0"/>
    <s v="ETLI-SACI 4"/>
    <x v="6"/>
    <b v="0"/>
    <s v="No está en VPC"/>
    <n v="151"/>
    <s v="INTPG_ACC_151_1.22"/>
    <s v="ISEL-1.22"/>
    <n v="1"/>
    <s v="NO TIENE L3OUT"/>
    <n v="86"/>
    <n v="96"/>
  </r>
  <r>
    <n v="430"/>
    <x v="1"/>
    <x v="263"/>
    <s v="eth1/22"/>
    <x v="0"/>
    <x v="1"/>
    <x v="1"/>
    <s v="RHEV_Produccion_sfrevp04"/>
    <x v="6"/>
    <b v="0"/>
    <s v="No está en VPC"/>
    <n v="430"/>
    <s v="INTPG_VPC_428_1.22_430_1.22"/>
    <s v="ISEL-1.22"/>
    <n v="1"/>
    <s v="NO TIENE L3OUT"/>
    <n v="86"/>
    <n v="96"/>
  </r>
  <r>
    <n v="419"/>
    <x v="1"/>
    <x v="264"/>
    <s v="eth1/22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22"/>
    <x v="0"/>
    <x v="0"/>
    <x v="0"/>
    <s v="COBROS NAVEGACION"/>
    <x v="6"/>
    <b v="0"/>
    <s v="No está en VPC"/>
    <n v="155"/>
    <s v="INTPG_ACC_155_1.22"/>
    <s v="ISEL-1.22"/>
    <n v="1"/>
    <s v="NO TIENE L3OUT"/>
    <n v="198"/>
    <n v="96"/>
  </r>
  <r>
    <n v="409"/>
    <x v="1"/>
    <x v="266"/>
    <s v="eth1/22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22"/>
    <x v="0"/>
    <x v="0"/>
    <x v="0"/>
    <s v="IXTSD969A"/>
    <x v="6"/>
    <b v="0"/>
    <s v="No está en VPC"/>
    <n v="422"/>
    <s v="INTPG_ACC_422_1.22"/>
    <s v="ISEL-1.22"/>
    <n v="1"/>
    <s v="NO TIENE L3OUT"/>
    <n v="182"/>
    <n v="96"/>
  </r>
  <r>
    <n v="436"/>
    <x v="1"/>
    <x v="268"/>
    <s v="eth1/22"/>
    <x v="0"/>
    <x v="0"/>
    <x v="0"/>
    <s v="HP_Proliant_DL380p(b)"/>
    <x v="6"/>
    <b v="0"/>
    <s v="No está en VPC"/>
    <n v="436"/>
    <s v="INTPG_ACC_436_1.22"/>
    <s v="ISEL-1.22"/>
    <n v="1"/>
    <s v="NO TIENE L3OUT"/>
    <n v="172"/>
    <n v="96"/>
  </r>
  <r>
    <n v="410"/>
    <x v="1"/>
    <x v="269"/>
    <s v="eth1/22"/>
    <x v="0"/>
    <x v="0"/>
    <x v="0"/>
    <s v="ITHMSVB2_IGB2"/>
    <x v="6"/>
    <b v="0"/>
    <s v="No está en VPC"/>
    <n v="410"/>
    <s v="INTPG_ACC_410_1.22"/>
    <s v="ISEL-1.22"/>
    <n v="1"/>
    <s v="NO TIENE L3OUT"/>
    <n v="178"/>
    <n v="96"/>
  </r>
  <r>
    <n v="161"/>
    <x v="0"/>
    <x v="270"/>
    <s v="eth1/22"/>
    <x v="1"/>
    <x v="1"/>
    <x v="2"/>
    <s v="SICOP"/>
    <x v="6"/>
    <b v="0"/>
    <s v="No está en VPC"/>
    <n v="161"/>
    <s v="INTPG_ACC_161_1.22"/>
    <s v="ISEL-1.22"/>
    <n v="0"/>
    <s v="NO TIENE L3OUT"/>
    <n v="102"/>
    <n v="96"/>
  </r>
  <r>
    <n v="411"/>
    <x v="1"/>
    <x v="271"/>
    <s v="eth1/22"/>
    <x v="0"/>
    <x v="0"/>
    <x v="0"/>
    <s v="lagidmhlapvp06_produccion1"/>
    <x v="6"/>
    <b v="0"/>
    <s v="No está en VPC"/>
    <n v="411"/>
    <s v="INTPG_VPC_411_1.21-24_413_1.14-17"/>
    <s v="ISEL-1.22"/>
    <n v="2"/>
    <s v="NO TIENE L3OUT"/>
    <n v="96"/>
    <n v="96"/>
  </r>
  <r>
    <n v="116"/>
    <x v="0"/>
    <x v="272"/>
    <s v="eth1/22"/>
    <x v="0"/>
    <x v="0"/>
    <x v="0"/>
    <s v="COBROS NAVEGACION"/>
    <x v="6"/>
    <b v="0"/>
    <s v="No está en VPC"/>
    <n v="116"/>
    <s v="INTPG_ACC_116_1.22"/>
    <s v="ISEL-1.22"/>
    <n v="1"/>
    <s v="NO TIENE L3OUT"/>
    <n v="148"/>
    <n v="96"/>
  </r>
  <r>
    <n v="412"/>
    <x v="1"/>
    <x v="273"/>
    <s v="eth1/22"/>
    <x v="0"/>
    <x v="0"/>
    <x v="0"/>
    <s v="UXCA_EXADATA_MGMT"/>
    <x v="6"/>
    <b v="0"/>
    <s v="No está en VPC"/>
    <n v="412"/>
    <s v="INTPG_ACC_412_1.22"/>
    <s v="ISEL-1.22"/>
    <n v="1"/>
    <s v="NO TIENE L3OUT"/>
    <n v="126"/>
    <n v="96"/>
  </r>
  <r>
    <n v="120"/>
    <x v="0"/>
    <x v="274"/>
    <s v="eth1/22"/>
    <x v="0"/>
    <x v="0"/>
    <x v="0"/>
    <s v="VNX_5500_mgmt"/>
    <x v="6"/>
    <b v="0"/>
    <s v="No está en VPC"/>
    <n v="120"/>
    <s v="INTPG_ACC_120_1.22"/>
    <s v="ISEL-1.22"/>
    <n v="1"/>
    <s v="NO TIENE L3OUT"/>
    <n v="158"/>
    <n v="96"/>
  </r>
  <r>
    <n v="404"/>
    <x v="1"/>
    <x v="275"/>
    <s v="eth1/22"/>
    <x v="0"/>
    <x v="0"/>
    <x v="0"/>
    <s v="ITHRTC51VC2"/>
    <x v="6"/>
    <b v="0"/>
    <s v="No está en VPC"/>
    <n v="404"/>
    <s v="INTPG_VPC_404_1.22_406_1.22"/>
    <s v="ISEL-1.22"/>
    <n v="1"/>
    <s v="NO TIENE L3OUT"/>
    <n v="92"/>
    <n v="96"/>
  </r>
  <r>
    <n v="167"/>
    <x v="0"/>
    <x v="276"/>
    <s v="eth1/22"/>
    <x v="1"/>
    <x v="1"/>
    <x v="2"/>
    <s v="MMSC_WAPGW"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22"/>
    <x v="0"/>
    <x v="1"/>
    <x v="1"/>
    <s v="RHEV_Produccion_sfrevp04"/>
    <x v="6"/>
    <b v="0"/>
    <s v="No está en VPC"/>
    <n v="428"/>
    <s v="INTPG_VPC_428_1.22_430_1.22"/>
    <s v="ISEL-1.22"/>
    <n v="1"/>
    <s v="NO TIENE L3OUT"/>
    <n v="102"/>
    <n v="96"/>
  </r>
  <r>
    <n v="903"/>
    <x v="2"/>
    <x v="278"/>
    <s v="eth1/2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2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23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23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23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23"/>
    <x v="0"/>
    <x v="0"/>
    <x v="0"/>
    <s v="TO-ITHFDEVYCWPBD02"/>
    <x v="0"/>
    <b v="0"/>
    <s v="No está en VPC"/>
    <n v="101"/>
    <s v="INTPG_VPC_101_1.23_150_1.23"/>
    <s v="ISEL-1.23"/>
    <n v="1"/>
    <s v="NO TIENE L3OUT"/>
    <n v="114"/>
    <n v="54"/>
  </r>
  <r>
    <n v="160"/>
    <x v="0"/>
    <x v="4"/>
    <s v="eth1/23"/>
    <x v="0"/>
    <x v="1"/>
    <x v="1"/>
    <s v="ArrobaDOC Y CF"/>
    <x v="1"/>
    <b v="0"/>
    <s v="No está en VPC"/>
    <n v="160"/>
    <s v="INTPG_ACC_160_1.23"/>
    <s v="ISEL-1.23"/>
    <n v="1"/>
    <s v="NO TIENE L3OUT"/>
    <n v="68"/>
    <n v="54"/>
  </r>
  <r>
    <n v="121"/>
    <x v="0"/>
    <x v="5"/>
    <s v="eth1/23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23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23"/>
    <x v="0"/>
    <x v="0"/>
    <x v="0"/>
    <s v="LINK_HACIA_MGMT"/>
    <x v="0"/>
    <b v="0"/>
    <s v="No está en VPC"/>
    <n v="401"/>
    <s v="INTPG_VPC_MGMT_10518_401_1.23_402_1.23"/>
    <s v="ISEL-1.23"/>
    <n v="1"/>
    <s v="NO TIENE L3OUT"/>
    <n v="40"/>
    <n v="54"/>
  </r>
  <r>
    <n v="402"/>
    <x v="1"/>
    <x v="8"/>
    <s v="eth1/23"/>
    <x v="0"/>
    <x v="0"/>
    <x v="0"/>
    <s v="LINK_HACIA_MGMT"/>
    <x v="0"/>
    <b v="0"/>
    <s v="No está en VPC"/>
    <n v="402"/>
    <s v="INTPG_VPC_MGMT_10518_401_1.23_402_1.23"/>
    <s v="ISEL-1.23"/>
    <n v="1"/>
    <s v="NO TIENE L3OUT"/>
    <n v="36"/>
    <n v="54"/>
  </r>
  <r>
    <n v="447"/>
    <x v="1"/>
    <x v="9"/>
    <s v="eth1/23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23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23"/>
    <x v="0"/>
    <x v="0"/>
    <x v="0"/>
    <s v="TO-ITHFDEMCFRPMS01"/>
    <x v="0"/>
    <b v="0"/>
    <s v="No está en VPC"/>
    <n v="130"/>
    <s v="INTPG_VPC_130_1.23-24_131_1.24-25"/>
    <s v="ISEL-1.23"/>
    <n v="1"/>
    <s v="NO TIENE L3OUT"/>
    <n v="128"/>
    <n v="54"/>
  </r>
  <r>
    <n v="150"/>
    <x v="0"/>
    <x v="12"/>
    <s v="eth1/23"/>
    <x v="0"/>
    <x v="0"/>
    <x v="0"/>
    <s v="TO-ITHFDEVYCWPBD02"/>
    <x v="0"/>
    <b v="0"/>
    <s v="No está en VPC"/>
    <n v="150"/>
    <s v="INTPG_VPC_101_1.23_150_1.23"/>
    <s v="ISEL-1.23"/>
    <n v="1"/>
    <s v="NO TIENE L3OUT"/>
    <n v="118"/>
    <n v="54"/>
  </r>
  <r>
    <n v="131"/>
    <x v="0"/>
    <x v="13"/>
    <s v="eth1/23"/>
    <x v="0"/>
    <x v="0"/>
    <x v="0"/>
    <s v="TO-ITHEMCDD99000569"/>
    <x v="0"/>
    <b v="0"/>
    <s v="No está en VPC"/>
    <n v="131"/>
    <s v="INTPG_VPC_130_1.21-22_131_1.22-23"/>
    <s v="ISEL-1.23"/>
    <n v="1"/>
    <s v="NO TIENE L3OUT"/>
    <n v="126"/>
    <n v="54"/>
  </r>
  <r>
    <n v="303"/>
    <x v="0"/>
    <x v="14"/>
    <s v="eth1/23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23"/>
    <x v="0"/>
    <x v="1"/>
    <x v="1"/>
    <m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23"/>
    <x v="1"/>
    <x v="1"/>
    <x v="2"/>
    <m/>
    <x v="2"/>
    <b v="0"/>
    <s v="No está en VPC"/>
    <n v="759"/>
    <s v="NO EXISTE PG"/>
    <s v="NO EXISTE ISEL"/>
    <n v="0"/>
    <s v="NO TIENE L3OUT"/>
    <n v="0"/>
    <n v="42"/>
  </r>
  <r>
    <n v="302"/>
    <x v="0"/>
    <x v="17"/>
    <s v="eth1/23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23"/>
    <x v="0"/>
    <x v="0"/>
    <x v="0"/>
    <s v="EMIPCLOUD_A04"/>
    <x v="1"/>
    <b v="0"/>
    <s v="No está en VPC"/>
    <n v="424"/>
    <s v="INTPG_ACC_424_1.23"/>
    <s v="ISEL-1.23"/>
    <n v="1"/>
    <s v="NO TIENE L3OUT"/>
    <n v="16"/>
    <n v="54"/>
  </r>
  <r>
    <n v="426"/>
    <x v="1"/>
    <x v="19"/>
    <s v="eth1/23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23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23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23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23"/>
    <x v="0"/>
    <x v="0"/>
    <x v="0"/>
    <m/>
    <x v="0"/>
    <b v="0"/>
    <s v="No está en VPC"/>
    <n v="724"/>
    <s v="INTPG-VPC_HDD97_724_1.23_725_1.24"/>
    <s v="ISEL-1.23"/>
    <n v="1"/>
    <s v="NO TIENE L3OUT"/>
    <n v="0"/>
    <n v="54"/>
  </r>
  <r>
    <n v="602"/>
    <x v="1"/>
    <x v="24"/>
    <s v="eth1/23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23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23"/>
    <x v="0"/>
    <x v="0"/>
    <x v="0"/>
    <s v="CLIENT_HUAWEI_CLOUD_ARIESO1"/>
    <x v="0"/>
    <b v="0"/>
    <s v="No está en VPC"/>
    <n v="431"/>
    <s v="INTPG_VPC_431_1.22-25_448_1.22-25"/>
    <s v="ISEL-1.23"/>
    <n v="14"/>
    <s v="NO TIENE L3OUT"/>
    <n v="46"/>
    <n v="54"/>
  </r>
  <r>
    <n v="433"/>
    <x v="1"/>
    <x v="27"/>
    <s v="eth1/23"/>
    <x v="0"/>
    <x v="0"/>
    <x v="0"/>
    <s v="ITHRNCOP2ET01_ETH1"/>
    <x v="1"/>
    <b v="0"/>
    <s v="No está en VPC"/>
    <n v="433"/>
    <s v="INTPG_ACC_433_1.23"/>
    <s v="ISEL-1.23"/>
    <n v="1"/>
    <s v="NO TIENE L3OUT"/>
    <n v="42"/>
    <n v="54"/>
  </r>
  <r>
    <n v="429"/>
    <x v="1"/>
    <x v="28"/>
    <s v="eth1/23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23"/>
    <x v="0"/>
    <x v="0"/>
    <x v="0"/>
    <s v="SecAnLG_Gb2_07-Archiver-IXTSALG_ARC1"/>
    <x v="1"/>
    <b v="0"/>
    <s v="No está en VPC"/>
    <n v="432"/>
    <s v="INTPG_ACC_432_1.23"/>
    <s v="ISEL-1.23"/>
    <n v="1"/>
    <s v="NO TIENE L3OUT"/>
    <n v="54"/>
    <n v="54"/>
  </r>
  <r>
    <n v="442"/>
    <x v="1"/>
    <x v="30"/>
    <s v="eth1/23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23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23"/>
    <x v="0"/>
    <x v="1"/>
    <x v="3"/>
    <s v="CEM_HADOOP"/>
    <x v="0"/>
    <b v="0"/>
    <s v="No está en VPC"/>
    <n v="707"/>
    <s v="INTPG_ACC_707_1.23"/>
    <s v="ISEL-1.23"/>
    <n v="0"/>
    <s v="NO TIENE L3OUT"/>
    <n v="54"/>
    <n v="54"/>
  </r>
  <r>
    <n v="712"/>
    <x v="2"/>
    <x v="33"/>
    <s v="eth1/23"/>
    <x v="0"/>
    <x v="1"/>
    <x v="5"/>
    <s v="CEM:ITHCEMB2ADT12:LOM P1"/>
    <x v="0"/>
    <b v="0"/>
    <s v="No está en VPC"/>
    <n v="712"/>
    <s v="INTPG_VPC_712_1.23_713_1.24"/>
    <s v="ISEL-1.23"/>
    <n v="1"/>
    <s v="NO TIENE L3OUT"/>
    <n v="32"/>
    <n v="54"/>
  </r>
  <r>
    <n v="719"/>
    <x v="2"/>
    <x v="34"/>
    <s v="eth1/23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23"/>
    <x v="0"/>
    <x v="0"/>
    <x v="0"/>
    <m/>
    <x v="0"/>
    <b v="0"/>
    <s v="No está en VPC"/>
    <n v="715"/>
    <s v="INTPG-VPC_SLR02_715_1.23_716_1.24"/>
    <s v="ISEL-1.23"/>
    <n v="1"/>
    <s v="NO TIENE L3OUT"/>
    <n v="0"/>
    <n v="54"/>
  </r>
  <r>
    <n v="427"/>
    <x v="1"/>
    <x v="36"/>
    <s v="eth1/23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23"/>
    <x v="0"/>
    <x v="1"/>
    <x v="5"/>
    <s v="CEM:ITHCEMC2ADT12:LOM P1"/>
    <x v="0"/>
    <b v="0"/>
    <s v="No está en VPC"/>
    <n v="711"/>
    <s v="INTPG_VPC_710_1.24_711_1.23"/>
    <s v="ISEL-1.23"/>
    <n v="1"/>
    <s v="NO TIENE L3OUT"/>
    <n v="16"/>
    <n v="54"/>
  </r>
  <r>
    <n v="716"/>
    <x v="2"/>
    <x v="38"/>
    <s v="eth1/23"/>
    <x v="0"/>
    <x v="0"/>
    <x v="0"/>
    <m/>
    <x v="0"/>
    <b v="0"/>
    <s v="No está en VPC"/>
    <n v="716"/>
    <s v="INTPG-VPC_HDD28_716_1.23_715_1.24"/>
    <s v="ISEL-1.23"/>
    <n v="1"/>
    <s v="NO TIENE L3OUT"/>
    <n v="0"/>
    <n v="54"/>
  </r>
  <r>
    <n v="702"/>
    <x v="2"/>
    <x v="39"/>
    <s v="eth1/23"/>
    <x v="0"/>
    <x v="0"/>
    <x v="0"/>
    <m/>
    <x v="0"/>
    <b v="0"/>
    <s v="No está en VPC"/>
    <n v="702"/>
    <s v="INTPG_VPC_702_1.23_701_1.24"/>
    <s v="ISEL-1.23"/>
    <n v="1"/>
    <s v="NO TIENE L3OUT"/>
    <n v="0"/>
    <n v="54"/>
  </r>
  <r>
    <n v="435"/>
    <x v="1"/>
    <x v="40"/>
    <s v="eth1/23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23"/>
    <x v="0"/>
    <x v="0"/>
    <x v="0"/>
    <s v="TO-ITHFDLMCLWLCN02"/>
    <x v="0"/>
    <b v="0"/>
    <s v="No está en VPC"/>
    <n v="446"/>
    <s v="INTPG_VPC_446_1.23_444_1.23"/>
    <s v="ISEL-1.23"/>
    <n v="1"/>
    <s v="NO TIENE L3OUT"/>
    <n v="198"/>
    <n v="54"/>
  </r>
  <r>
    <n v="444"/>
    <x v="1"/>
    <x v="42"/>
    <s v="eth1/23"/>
    <x v="0"/>
    <x v="0"/>
    <x v="0"/>
    <s v="TO-ITHFDLMCLWLCN02"/>
    <x v="0"/>
    <b v="0"/>
    <s v="No está en VPC"/>
    <n v="444"/>
    <s v="INTPG_VPC_446_1.23_444_1.23"/>
    <s v="ISEL-1.23"/>
    <n v="1"/>
    <s v="NO TIENE L3OUT"/>
    <n v="234"/>
    <n v="54"/>
  </r>
  <r>
    <n v="701"/>
    <x v="2"/>
    <x v="43"/>
    <s v="eth1/23"/>
    <x v="0"/>
    <x v="0"/>
    <x v="0"/>
    <m/>
    <x v="0"/>
    <b v="0"/>
    <s v="No está en VPC"/>
    <n v="701"/>
    <s v="INTPG_VPC_701_1.23_702_1.24"/>
    <s v="ISEL-1.23"/>
    <n v="1"/>
    <s v="NO TIENE L3OUT"/>
    <n v="0"/>
    <n v="54"/>
  </r>
  <r>
    <n v="440"/>
    <x v="1"/>
    <x v="44"/>
    <s v="eth1/23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23"/>
    <x v="0"/>
    <x v="0"/>
    <x v="0"/>
    <s v="CLIENT_HUAWEI_CLOUD_ARIESO1"/>
    <x v="0"/>
    <b v="0"/>
    <s v="No está en VPC"/>
    <n v="448"/>
    <s v="INTPG_VPC_431_1.22-25_448_1.22-25"/>
    <s v="ISEL-1.23"/>
    <n v="14"/>
    <s v="NO TIENE L3OUT"/>
    <n v="46"/>
    <n v="54"/>
  </r>
  <r>
    <n v="704"/>
    <x v="2"/>
    <x v="46"/>
    <s v="eth1/23"/>
    <x v="0"/>
    <x v="0"/>
    <x v="0"/>
    <m/>
    <x v="0"/>
    <b v="0"/>
    <s v="No está en VPC"/>
    <n v="704"/>
    <s v="INTPG_VPC_704_1.23_703_1.24"/>
    <s v="ISEL-1.23"/>
    <n v="1"/>
    <s v="NO TIENE L3OUT"/>
    <n v="0"/>
    <n v="54"/>
  </r>
  <r>
    <n v="729"/>
    <x v="2"/>
    <x v="47"/>
    <s v="eth1/23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23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23"/>
    <x v="0"/>
    <x v="0"/>
    <x v="0"/>
    <s v="HACIA_MGMT-OSCP-F4-03_SECUNDARIO"/>
    <x v="4"/>
    <b v="0"/>
    <s v="No está en VPC"/>
    <n v="456"/>
    <s v="INTPG_VPC_454_1.23_456_1.23"/>
    <s v="ISEL-1.23"/>
    <n v="1"/>
    <s v="NO TIENE L3OUT"/>
    <n v="4"/>
    <n v="54"/>
  </r>
  <r>
    <n v="603"/>
    <x v="1"/>
    <x v="50"/>
    <s v="eth1/23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23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23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23"/>
    <x v="0"/>
    <x v="0"/>
    <x v="0"/>
    <s v="Server_Pre-R02-CBS-RH2288-07"/>
    <x v="0"/>
    <b v="0"/>
    <s v="No está en VPC"/>
    <n v="730"/>
    <s v="INTPG_ACC_730_1.23"/>
    <s v="ISEL-1.23"/>
    <n v="1"/>
    <s v="NO TIENE L3OUT"/>
    <n v="36"/>
    <n v="54"/>
  </r>
  <r>
    <n v="722"/>
    <x v="2"/>
    <x v="54"/>
    <s v="eth1/23"/>
    <x v="0"/>
    <x v="0"/>
    <x v="0"/>
    <m/>
    <x v="0"/>
    <b v="0"/>
    <s v="No está en VPC"/>
    <n v="722"/>
    <s v="INTPG-VPC_HDD122_722_1.23_723_1.24"/>
    <s v="ISEL-1.23"/>
    <n v="1"/>
    <s v="NO TIENE L3OUT"/>
    <n v="0"/>
    <n v="54"/>
  </r>
  <r>
    <n v="733"/>
    <x v="2"/>
    <x v="55"/>
    <s v="eth1/23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23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23"/>
    <x v="0"/>
    <x v="0"/>
    <x v="0"/>
    <m/>
    <x v="0"/>
    <b v="0"/>
    <s v="No está en VPC"/>
    <n v="748"/>
    <s v="INTPG_ACC_748_1.23"/>
    <s v="ISEL-1.23"/>
    <n v="0"/>
    <s v="NO TIENE L3OUT"/>
    <n v="2"/>
    <n v="54"/>
  </r>
  <r>
    <n v="756"/>
    <x v="2"/>
    <x v="58"/>
    <s v="eth1/23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23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23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23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23"/>
    <x v="0"/>
    <x v="1"/>
    <x v="1"/>
    <s v="CEM:ITHCEMA2ADT12:LOM P3"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23"/>
    <x v="0"/>
    <x v="0"/>
    <x v="0"/>
    <s v="PAAS:ithhwosstpap008:FlexIO.1"/>
    <x v="0"/>
    <b v="0"/>
    <s v="No está en VPC"/>
    <n v="763"/>
    <s v="INTPG_VPC_762_1.23_763_1.23"/>
    <s v="ISEL-1.23"/>
    <n v="15"/>
    <s v="NO TIENE L3OUT"/>
    <n v="2"/>
    <n v="54"/>
  </r>
  <r>
    <n v="766"/>
    <x v="2"/>
    <x v="64"/>
    <s v="eth1/23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23"/>
    <x v="0"/>
    <x v="0"/>
    <x v="0"/>
    <s v="TO-9S_BESDR_IXTLA3_1"/>
    <x v="0"/>
    <b v="0"/>
    <s v="No está en VPC"/>
    <n v="760"/>
    <s v="INTPG_VPC_760_1.21-24_761_1.21-24"/>
    <s v="ISEL-1.23"/>
    <n v="33"/>
    <s v="NO TIENE L3OUT"/>
    <n v="0"/>
    <n v="54"/>
  </r>
  <r>
    <n v="752"/>
    <x v="2"/>
    <x v="66"/>
    <s v="eth1/23"/>
    <x v="0"/>
    <x v="0"/>
    <x v="0"/>
    <s v="PAAS:ithhwosstpap008:LOM PORT 1"/>
    <x v="0"/>
    <b v="0"/>
    <s v="No está en VPC"/>
    <n v="752"/>
    <s v="INTPG_VPC_747_1.23_752_1.23"/>
    <s v="ISEL-1.23"/>
    <n v="25"/>
    <s v="NO TIENE L3OUT"/>
    <n v="0"/>
    <n v="54"/>
  </r>
  <r>
    <n v="765"/>
    <x v="2"/>
    <x v="67"/>
    <s v="eth1/23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23"/>
    <x v="0"/>
    <x v="0"/>
    <x v="0"/>
    <s v="eSight:ITHHWC1ESI01:Slot 1 P3"/>
    <x v="0"/>
    <b v="0"/>
    <s v="No está en VPC"/>
    <n v="778"/>
    <s v="INTPG_VPC_778_1.23_779_1.23"/>
    <s v="ISEL-1.23"/>
    <n v="1"/>
    <s v="NO TIENE L3OUT"/>
    <n v="26"/>
    <n v="54"/>
  </r>
  <r>
    <n v="780"/>
    <x v="2"/>
    <x v="69"/>
    <s v="eth1/23"/>
    <x v="0"/>
    <x v="0"/>
    <x v="0"/>
    <s v="CLOUD OPS:ithhwcop02en01:2X P2"/>
    <x v="0"/>
    <b v="0"/>
    <s v="No está en VPC"/>
    <n v="780"/>
    <s v="INTPG_VPC_780_1.22-25_781_1.22-25"/>
    <s v="ISEL-1.23"/>
    <n v="23"/>
    <s v="NO TIENE L3OUT"/>
    <n v="26"/>
    <n v="54"/>
  </r>
  <r>
    <n v="812"/>
    <x v="2"/>
    <x v="70"/>
    <s v="eth1/23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23"/>
    <x v="0"/>
    <x v="0"/>
    <x v="0"/>
    <s v="TO_ITHFDEOSPVLMT01"/>
    <x v="0"/>
    <b v="0"/>
    <s v="No está en VPC"/>
    <n v="796"/>
    <s v="INTPG_VPC_795_1.23-25_796_1.23-25"/>
    <s v="ISEL-1.23"/>
    <n v="2"/>
    <s v="NO TIENE L3OUT"/>
    <n v="18"/>
    <n v="54"/>
  </r>
  <r>
    <n v="795"/>
    <x v="2"/>
    <x v="72"/>
    <s v="eth1/23"/>
    <x v="0"/>
    <x v="0"/>
    <x v="0"/>
    <s v="TO_ITHFDEOSPVLMT01"/>
    <x v="0"/>
    <b v="0"/>
    <s v="No está en VPC"/>
    <n v="795"/>
    <s v="INTPG_VPC_795_1.23-25_796_1.23-25"/>
    <s v="ISEL-1.23"/>
    <n v="2"/>
    <s v="NO TIENE L3OUT"/>
    <n v="18"/>
    <n v="54"/>
  </r>
  <r>
    <n v="749"/>
    <x v="2"/>
    <x v="73"/>
    <s v="eth1/23"/>
    <x v="0"/>
    <x v="0"/>
    <x v="0"/>
    <m/>
    <x v="0"/>
    <b v="0"/>
    <s v="No está en VPC"/>
    <n v="749"/>
    <s v="INTPG_ACC_749_1.23"/>
    <s v="ISEL-1.23"/>
    <n v="0"/>
    <s v="NO TIENE L3OUT"/>
    <n v="4"/>
    <n v="54"/>
  </r>
  <r>
    <n v="824"/>
    <x v="2"/>
    <x v="74"/>
    <s v="eth1/23"/>
    <x v="0"/>
    <x v="0"/>
    <x v="0"/>
    <s v="LINK_TO_ITHFHWCMVWPMA13 /Slot7.2 /Redundante"/>
    <x v="0"/>
    <b v="0"/>
    <s v="No está en VPC"/>
    <n v="824"/>
    <s v="INTPG_ACC_824_1.23"/>
    <s v="ISEL-1.23"/>
    <n v="1"/>
    <s v="NO TIENE L3OUT"/>
    <n v="70"/>
    <n v="54"/>
  </r>
  <r>
    <n v="819"/>
    <x v="2"/>
    <x v="75"/>
    <s v="eth1/23"/>
    <x v="0"/>
    <x v="0"/>
    <x v="0"/>
    <s v="LINK_TO_ITHFHWCMVWPMA13 /Slot5.2 /Principal"/>
    <x v="0"/>
    <b v="0"/>
    <s v="No está en VPC"/>
    <n v="819"/>
    <s v="INTPG_ACC_819_1.23"/>
    <s v="ISEL-1.23"/>
    <n v="1"/>
    <s v="NO TIENE L3OUT"/>
    <n v="70"/>
    <n v="54"/>
  </r>
  <r>
    <n v="737"/>
    <x v="2"/>
    <x v="76"/>
    <s v="eth1/23"/>
    <x v="0"/>
    <x v="0"/>
    <x v="0"/>
    <s v="CEM:ITHCEMF2KFK12:LOM P3"/>
    <x v="5"/>
    <b v="0"/>
    <s v="No está en VPC"/>
    <n v="737"/>
    <s v="INTPG_ACC_737_1.23"/>
    <s v="ISEL-1.23"/>
    <n v="1"/>
    <s v="NO TIENE L3OUT"/>
    <n v="72"/>
    <n v="54"/>
  </r>
  <r>
    <n v="844"/>
    <x v="2"/>
    <x v="77"/>
    <s v="eth1/23"/>
    <x v="0"/>
    <x v="0"/>
    <x v="0"/>
    <s v="LINK_TO_ITHFHWCRMPLCN108 / Slot1.2_20 / Principal"/>
    <x v="0"/>
    <b v="0"/>
    <s v="No está en VPC"/>
    <n v="844"/>
    <s v="INTPG_ACC_844_1.23"/>
    <s v="ISEL-1.23"/>
    <n v="2"/>
    <s v="NO TIENE L3OUT"/>
    <n v="282"/>
    <n v="54"/>
  </r>
  <r>
    <n v="843"/>
    <x v="2"/>
    <x v="78"/>
    <s v="eth1/23"/>
    <x v="0"/>
    <x v="0"/>
    <x v="0"/>
    <s v="LINK_To_ITHFHWCBSPSWR42 / Slot7.3_28 / Redundante"/>
    <x v="0"/>
    <b v="0"/>
    <s v="No está en VPC"/>
    <n v="843"/>
    <s v="INTPG_VPC_838_1.23_843_1.23"/>
    <s v="ISEL-1.23"/>
    <n v="1"/>
    <s v="NO TIENE L3OUT"/>
    <n v="38"/>
    <n v="54"/>
  </r>
  <r>
    <n v="797"/>
    <x v="2"/>
    <x v="79"/>
    <s v="eth1/23"/>
    <x v="0"/>
    <x v="0"/>
    <x v="0"/>
    <s v="TO-HDPS_25-MSP"/>
    <x v="0"/>
    <b v="0"/>
    <s v="No está en VPC"/>
    <n v="797"/>
    <s v="INTPG_ACC_797_1.23"/>
    <s v="ISEL-1.23"/>
    <n v="1"/>
    <s v="NO TIENE L3OUT"/>
    <n v="48"/>
    <n v="54"/>
  </r>
  <r>
    <n v="839"/>
    <x v="2"/>
    <x v="80"/>
    <s v="eth1/23"/>
    <x v="0"/>
    <x v="0"/>
    <x v="0"/>
    <s v="LINK_TO_ITHFHWCBSPSHD37 / Slot7.2_12 / Redundante"/>
    <x v="0"/>
    <b v="0"/>
    <s v="No está en VPC"/>
    <n v="839"/>
    <s v="INTPG_VPC_834_1.23_839_1.23"/>
    <s v="ISEL-1.23"/>
    <n v="1"/>
    <s v="NO TIENE L3OUT"/>
    <n v="0"/>
    <n v="54"/>
  </r>
  <r>
    <n v="847"/>
    <x v="2"/>
    <x v="81"/>
    <s v="eth1/23"/>
    <x v="0"/>
    <x v="0"/>
    <x v="0"/>
    <s v="LINK_TO_ITHFHWCRMPLCN173 / Slot7.1_16 / Redundante"/>
    <x v="0"/>
    <b v="0"/>
    <s v="No está en VPC"/>
    <n v="847"/>
    <s v="INTPG_ACC_847_1.23"/>
    <s v="ISEL-1.23"/>
    <n v="6"/>
    <s v="NO TIENE L3OUT"/>
    <n v="204"/>
    <n v="54"/>
  </r>
  <r>
    <n v="848"/>
    <x v="2"/>
    <x v="82"/>
    <s v="eth1/23"/>
    <x v="0"/>
    <x v="0"/>
    <x v="0"/>
    <s v="LINK_TO_ITHFHWCRMPLCN162 / Slot7.1_26 / Redundante"/>
    <x v="0"/>
    <b v="0"/>
    <s v="No está en VPC"/>
    <n v="848"/>
    <s v="INTPG_ACC_848_1.23"/>
    <s v="ISEL-1.23"/>
    <n v="6"/>
    <s v="NO TIENE L3OUT"/>
    <n v="254"/>
    <n v="54"/>
  </r>
  <r>
    <n v="846"/>
    <x v="2"/>
    <x v="83"/>
    <s v="eth1/23"/>
    <x v="0"/>
    <x v="0"/>
    <x v="0"/>
    <s v="LINK_TO_ITHFHWCRMPLCN79 / Slot1.2_16 / Principal"/>
    <x v="0"/>
    <b v="0"/>
    <s v="No está en VPC"/>
    <n v="846"/>
    <s v="INTPG_ACC_846_1.23"/>
    <s v="ISEL-1.23"/>
    <n v="2"/>
    <s v="NO TIENE L3OUT"/>
    <n v="242"/>
    <n v="54"/>
  </r>
  <r>
    <n v="838"/>
    <x v="2"/>
    <x v="84"/>
    <s v="eth1/23"/>
    <x v="0"/>
    <x v="0"/>
    <x v="0"/>
    <s v="LINK_To_ITHFHWCBSPSWR42 / Slot1.3_28 / Principal"/>
    <x v="0"/>
    <b v="0"/>
    <s v="No está en VPC"/>
    <n v="838"/>
    <s v="INTPG_VPC_838_1.23_843_1.23"/>
    <s v="ISEL-1.23"/>
    <n v="1"/>
    <s v="NO TIENE L3OUT"/>
    <n v="38"/>
    <n v="54"/>
  </r>
  <r>
    <n v="849"/>
    <x v="2"/>
    <x v="85"/>
    <s v="eth1/23"/>
    <x v="0"/>
    <x v="0"/>
    <x v="0"/>
    <s v="LINK_TO_ITHFHWCRMPLCN142 / Slot7.1_18 / Redundante"/>
    <x v="0"/>
    <b v="0"/>
    <s v="No está en VPC"/>
    <n v="849"/>
    <s v="INTPG_ACC_849_1.23"/>
    <s v="ISEL-1.23"/>
    <n v="6"/>
    <s v="NO TIENE L3OUT"/>
    <n v="286"/>
    <n v="54"/>
  </r>
  <r>
    <n v="845"/>
    <x v="2"/>
    <x v="86"/>
    <s v="eth1/23"/>
    <x v="0"/>
    <x v="0"/>
    <x v="0"/>
    <s v="LINK_TO_ITHFHWCRMPLCN91 / Slot1.3_14 / Principal"/>
    <x v="0"/>
    <b v="0"/>
    <s v="No está en VPC"/>
    <n v="845"/>
    <s v="INTPG_ACC_845_1.23"/>
    <s v="ISEL-1.23"/>
    <n v="1"/>
    <s v="NO TIENE L3OUT"/>
    <n v="258"/>
    <n v="54"/>
  </r>
  <r>
    <n v="873"/>
    <x v="2"/>
    <x v="87"/>
    <s v="eth1/23"/>
    <x v="0"/>
    <x v="0"/>
    <x v="0"/>
    <s v="TO_ITHFHWCRMDLCN60_Principal"/>
    <x v="0"/>
    <b v="0"/>
    <s v="No está en VPC"/>
    <n v="873"/>
    <s v="INTPG_ACC_873_1.23"/>
    <s v="ISEL-1.23"/>
    <n v="1"/>
    <s v="NO TIENE L3OUT"/>
    <n v="248"/>
    <n v="54"/>
  </r>
  <r>
    <n v="864"/>
    <x v="2"/>
    <x v="88"/>
    <s v="eth1/23"/>
    <x v="0"/>
    <x v="0"/>
    <x v="0"/>
    <s v="To_VPC_2DCBSD_WR43_2"/>
    <x v="0"/>
    <b v="0"/>
    <s v="No está en VPC"/>
    <n v="864"/>
    <s v="INTPG_VPC_859_1.23_864_1.23"/>
    <s v="ISEL-1.23"/>
    <n v="1"/>
    <s v="NO TIENE L3OUT"/>
    <n v="0"/>
    <n v="54"/>
  </r>
  <r>
    <n v="836"/>
    <x v="2"/>
    <x v="89"/>
    <s v="eth1/23"/>
    <x v="0"/>
    <x v="0"/>
    <x v="0"/>
    <s v="LINK_TO_ITHFHWCBSPSWR53 / Slot1.1_34 / Principal"/>
    <x v="0"/>
    <b v="0"/>
    <s v="No está en VPC"/>
    <n v="836"/>
    <s v="INTPG_VPC_836_1.23_841_1.23"/>
    <s v="ISEL-1.23"/>
    <n v="2"/>
    <s v="NO TIENE L3OUT"/>
    <n v="0"/>
    <n v="54"/>
  </r>
  <r>
    <n v="834"/>
    <x v="2"/>
    <x v="90"/>
    <s v="eth1/23"/>
    <x v="0"/>
    <x v="0"/>
    <x v="0"/>
    <s v="LINK_TO_ITHFHWCBSPSHD37 / Slot1.2_12 / Principal"/>
    <x v="0"/>
    <b v="0"/>
    <s v="No está en VPC"/>
    <n v="834"/>
    <s v="INTPG_VPC_834_1.23_839_1.23"/>
    <s v="ISEL-1.23"/>
    <n v="1"/>
    <s v="NO TIENE L3OUT"/>
    <n v="0"/>
    <n v="54"/>
  </r>
  <r>
    <n v="872"/>
    <x v="2"/>
    <x v="91"/>
    <s v="eth1/23"/>
    <x v="0"/>
    <x v="0"/>
    <x v="0"/>
    <s v="To_ITHFHWCRMDLCN76_Principal"/>
    <x v="0"/>
    <b v="0"/>
    <s v="No está en VPC"/>
    <n v="872"/>
    <s v="INTPG_ACC_872_1.23"/>
    <s v="ISEL-1.23"/>
    <n v="1"/>
    <s v="NO TIENE L3OUT"/>
    <n v="288"/>
    <n v="54"/>
  </r>
  <r>
    <n v="842"/>
    <x v="2"/>
    <x v="92"/>
    <s v="eth1/23"/>
    <x v="0"/>
    <x v="0"/>
    <x v="0"/>
    <s v="LINK_TO_ITHFHWCBSPSWR47 / Slot7.1_30 / Redundante"/>
    <x v="0"/>
    <b v="0"/>
    <s v="No está en VPC"/>
    <n v="842"/>
    <s v="INTPG_VPC_837_1.23_842_1.23"/>
    <s v="ISEL-1.23"/>
    <n v="2"/>
    <s v="NO TIENE L3OUT"/>
    <n v="8"/>
    <n v="54"/>
  </r>
  <r>
    <n v="828"/>
    <x v="2"/>
    <x v="93"/>
    <s v="eth1/23"/>
    <x v="0"/>
    <x v="0"/>
    <x v="0"/>
    <s v="LINK_TO_ITHFHWCRMDLCN23 /Slot5.2 /Principal"/>
    <x v="0"/>
    <b v="0"/>
    <s v="No está en VPC"/>
    <n v="828"/>
    <s v="INTPG_ACC_828_1.23"/>
    <s v="ISEL-1.23"/>
    <n v="5"/>
    <s v="NO TIENE L3OUT"/>
    <n v="192"/>
    <n v="54"/>
  </r>
  <r>
    <n v="870"/>
    <x v="2"/>
    <x v="94"/>
    <s v="eth1/23"/>
    <x v="0"/>
    <x v="0"/>
    <x v="0"/>
    <s v="TO_ITHFHWCRMDLCN60_Redundante"/>
    <x v="0"/>
    <b v="0"/>
    <s v="No está en VPC"/>
    <n v="870"/>
    <s v="INTPG_ACC_870_1.23"/>
    <s v="ISEL-1.23"/>
    <n v="1"/>
    <s v="NO TIENE L3OUT"/>
    <n v="248"/>
    <n v="54"/>
  </r>
  <r>
    <n v="866"/>
    <x v="2"/>
    <x v="95"/>
    <s v="eth1/23"/>
    <x v="0"/>
    <x v="0"/>
    <x v="0"/>
    <s v="To_VPC_2DCBSD_HD24_1"/>
    <x v="0"/>
    <b v="0"/>
    <s v="No está en VPC"/>
    <n v="866"/>
    <s v="INTPG_VPC_861_1.23_866_1.23"/>
    <s v="ISEL-1.23"/>
    <n v="2"/>
    <s v="NO TIENE L3OUT"/>
    <n v="8"/>
    <n v="54"/>
  </r>
  <r>
    <n v="862"/>
    <x v="2"/>
    <x v="96"/>
    <s v="eth1/23"/>
    <x v="0"/>
    <x v="0"/>
    <x v="0"/>
    <s v="TO-9S_BESDR_IXTLA3_1"/>
    <x v="0"/>
    <b v="0"/>
    <s v="No está en VPC"/>
    <n v="862"/>
    <s v="INTPG_VPC_862_1.20-23_867_1.20-23"/>
    <s v="ISEL-1.23"/>
    <n v="25"/>
    <s v="NO TIENE L3OUT"/>
    <n v="44"/>
    <n v="54"/>
  </r>
  <r>
    <n v="855"/>
    <x v="2"/>
    <x v="97"/>
    <s v="eth1/23"/>
    <x v="0"/>
    <x v="0"/>
    <x v="0"/>
    <s v="LINK_TO_ITHFHWCRMPLCN162 / Slot1.1_26 / Principal"/>
    <x v="0"/>
    <b v="0"/>
    <s v="No está en VPC"/>
    <n v="855"/>
    <s v="INTPG_ACC_855_1.23"/>
    <s v="ISEL-1.23"/>
    <n v="6"/>
    <s v="NO TIENE L3OUT"/>
    <n v="254"/>
    <n v="54"/>
  </r>
  <r>
    <n v="871"/>
    <x v="2"/>
    <x v="98"/>
    <s v="eth1/23"/>
    <x v="0"/>
    <x v="0"/>
    <x v="0"/>
    <s v="To_VPC_2DCRMD_SBD10_2"/>
    <x v="0"/>
    <b v="0"/>
    <s v="No está en VPC"/>
    <n v="871"/>
    <s v="INTPG_VPC_868_1.23_871_1.23"/>
    <s v="ISEL-1.23"/>
    <n v="2"/>
    <s v="NO TIENE L3OUT"/>
    <n v="246"/>
    <n v="54"/>
  </r>
  <r>
    <n v="841"/>
    <x v="2"/>
    <x v="99"/>
    <s v="eth1/23"/>
    <x v="0"/>
    <x v="0"/>
    <x v="0"/>
    <s v="LINK_TO_ITHFHWCBSPSWR53 / Slot7.1_34 / Redundante"/>
    <x v="0"/>
    <b v="0"/>
    <s v="No está en VPC"/>
    <n v="841"/>
    <s v="INTPG_VPC_836_1.23_841_1.23"/>
    <s v="ISEL-1.23"/>
    <n v="2"/>
    <s v="NO TIENE L3OUT"/>
    <n v="0"/>
    <n v="54"/>
  </r>
  <r>
    <n v="868"/>
    <x v="2"/>
    <x v="100"/>
    <s v="eth1/23"/>
    <x v="0"/>
    <x v="0"/>
    <x v="0"/>
    <s v="To_VPC_2DCRMD_SBD10_2"/>
    <x v="0"/>
    <b v="0"/>
    <s v="No está en VPC"/>
    <n v="868"/>
    <s v="INTPG_VPC_868_1.23_871_1.23"/>
    <s v="ISEL-1.23"/>
    <n v="2"/>
    <s v="NO TIENE L3OUT"/>
    <n v="246"/>
    <n v="54"/>
  </r>
  <r>
    <n v="869"/>
    <x v="2"/>
    <x v="101"/>
    <s v="eth1/23"/>
    <x v="0"/>
    <x v="0"/>
    <x v="0"/>
    <s v="To_ITHFHWCRMDLCN76_Redundante"/>
    <x v="0"/>
    <b v="0"/>
    <s v="No está en VPC"/>
    <n v="869"/>
    <s v="INTPG_ACC_869_1.23"/>
    <s v="ISEL-1.23"/>
    <n v="1"/>
    <s v="NO TIENE L3OUT"/>
    <n v="288"/>
    <n v="54"/>
  </r>
  <r>
    <n v="861"/>
    <x v="2"/>
    <x v="102"/>
    <s v="eth1/23"/>
    <x v="0"/>
    <x v="0"/>
    <x v="0"/>
    <s v="To_VPC_2DCBSD_HD24_1"/>
    <x v="0"/>
    <b v="0"/>
    <s v="No está en VPC"/>
    <n v="861"/>
    <s v="INTPG_VPC_861_1.23_866_1.23"/>
    <s v="ISEL-1.23"/>
    <n v="2"/>
    <s v="NO TIENE L3OUT"/>
    <n v="8"/>
    <n v="54"/>
  </r>
  <r>
    <n v="874"/>
    <x v="2"/>
    <x v="103"/>
    <s v="eth1/23"/>
    <x v="0"/>
    <x v="0"/>
    <x v="0"/>
    <s v="A_ITHFHWSEQLCAS22_Redundante"/>
    <x v="4"/>
    <b v="0"/>
    <s v="No está en VPC"/>
    <n v="874"/>
    <s v="INTPG_ACC_874_1.23"/>
    <s v="ISEL-1.23"/>
    <n v="1"/>
    <s v="NO TIENE L3OUT"/>
    <n v="92"/>
    <n v="54"/>
  </r>
  <r>
    <n v="865"/>
    <x v="2"/>
    <x v="104"/>
    <s v="eth1/23"/>
    <x v="0"/>
    <x v="0"/>
    <x v="0"/>
    <s v="To_VPC_2DCBSD_HD30_2"/>
    <x v="0"/>
    <b v="0"/>
    <s v="No está en VPC"/>
    <n v="865"/>
    <s v="INTPG_VPC_860_1.23_865_1.23"/>
    <s v="ISEL-1.23"/>
    <n v="1"/>
    <s v="NO TIENE L3OUT"/>
    <n v="0"/>
    <n v="54"/>
  </r>
  <r>
    <n v="753"/>
    <x v="2"/>
    <x v="105"/>
    <s v="eth1/23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23"/>
    <x v="0"/>
    <x v="1"/>
    <x v="5"/>
    <s v="CEM:ITHCEMF2KFK12:LOM P1"/>
    <x v="0"/>
    <b v="0"/>
    <s v="No está en VPC"/>
    <n v="708"/>
    <s v="INTPG_VPC_708_1.23_709_1.24"/>
    <s v="ISEL-1.23"/>
    <n v="1"/>
    <s v="NO TIENE L3OUT"/>
    <n v="0"/>
    <n v="54"/>
  </r>
  <r>
    <n v="710"/>
    <x v="2"/>
    <x v="107"/>
    <s v="eth1/23"/>
    <x v="0"/>
    <x v="1"/>
    <x v="5"/>
    <s v="CEM:ITHCEMD2AKG12:LOM P1"/>
    <x v="0"/>
    <b v="0"/>
    <s v="No está en VPC"/>
    <n v="710"/>
    <s v="INTPG_VPC_710_1.23_711_1.24"/>
    <s v="ISEL-1.23"/>
    <n v="1"/>
    <s v="NO TIENE L3OUT"/>
    <n v="16"/>
    <n v="54"/>
  </r>
  <r>
    <n v="713"/>
    <x v="2"/>
    <x v="108"/>
    <s v="eth1/23"/>
    <x v="1"/>
    <x v="1"/>
    <x v="3"/>
    <s v="CEM:ITHCEMA2ADT12:LOM P1"/>
    <x v="0"/>
    <b v="0"/>
    <s v="No está en VPC"/>
    <n v="713"/>
    <s v="INTPG_VPC_713_1.23_712_1.24"/>
    <s v="ISEL-1.23"/>
    <n v="0"/>
    <s v="NO TIENE L3OUT"/>
    <n v="32"/>
    <n v="54"/>
  </r>
  <r>
    <n v="735"/>
    <x v="2"/>
    <x v="109"/>
    <s v="eth1/23"/>
    <x v="0"/>
    <x v="1"/>
    <x v="1"/>
    <s v="ITHCEMA1APP19"/>
    <x v="5"/>
    <b v="0"/>
    <s v="No está en VPC"/>
    <n v="735"/>
    <s v="INTPG_ACC_735_1.23"/>
    <s v="ISEL-1.23"/>
    <n v="1"/>
    <s v="NO TIENE L3OUT"/>
    <n v="34"/>
    <n v="54"/>
  </r>
  <r>
    <n v="731"/>
    <x v="2"/>
    <x v="110"/>
    <s v="eth1/23"/>
    <x v="0"/>
    <x v="0"/>
    <x v="0"/>
    <s v="Server_Pre-R02-CBS-RH2288-07"/>
    <x v="0"/>
    <b v="0"/>
    <s v="No está en VPC"/>
    <n v="731"/>
    <s v="INTPG_ACC_731_1.23"/>
    <s v="ISEL-1.23"/>
    <n v="1"/>
    <s v="NO TIENE L3OUT"/>
    <n v="38"/>
    <n v="54"/>
  </r>
  <r>
    <n v="703"/>
    <x v="2"/>
    <x v="111"/>
    <s v="eth1/23"/>
    <x v="0"/>
    <x v="0"/>
    <x v="0"/>
    <m/>
    <x v="0"/>
    <b v="0"/>
    <s v="No está en VPC"/>
    <n v="703"/>
    <s v="INTPG_VPC_703_1.23_704_1.24"/>
    <s v="ISEL-1.23"/>
    <n v="1"/>
    <s v="NO TIENE L3OUT"/>
    <n v="2"/>
    <n v="54"/>
  </r>
  <r>
    <n v="706"/>
    <x v="2"/>
    <x v="112"/>
    <s v="eth1/23"/>
    <x v="0"/>
    <x v="0"/>
    <x v="0"/>
    <s v="ITHOIDA1SVR12"/>
    <x v="0"/>
    <b v="0"/>
    <s v="No está en VPC"/>
    <n v="706"/>
    <s v="INTPG_VPC_705_1.24_706_1.23"/>
    <s v="ISEL-1.23"/>
    <n v="1"/>
    <s v="NO TIENE L3OUT"/>
    <n v="16"/>
    <n v="54"/>
  </r>
  <r>
    <n v="762"/>
    <x v="2"/>
    <x v="113"/>
    <s v="eth1/23"/>
    <x v="0"/>
    <x v="0"/>
    <x v="0"/>
    <s v="PAAS:ithhwosstpap008:LOM PORT 3"/>
    <x v="0"/>
    <b v="0"/>
    <s v="No está en VPC"/>
    <n v="762"/>
    <s v="INTPG_VPC_762_1.23_763_1.23"/>
    <s v="ISEL-1.23"/>
    <n v="15"/>
    <s v="NO TIENE L3OUT"/>
    <n v="0"/>
    <n v="54"/>
  </r>
  <r>
    <n v="814"/>
    <x v="2"/>
    <x v="114"/>
    <s v="eth1/23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23"/>
    <x v="0"/>
    <x v="0"/>
    <x v="0"/>
    <s v="HACIA_MGMT-OSCP-F4-15_SECUNDARIO"/>
    <x v="4"/>
    <b v="0"/>
    <s v="No está en VPC"/>
    <n v="878"/>
    <s v="INTPG_VPC_878_1.23_879_1.23"/>
    <s v="ISEL-1.23"/>
    <n v="1"/>
    <s v="NO TIENE L3OUT"/>
    <n v="0"/>
    <n v="54"/>
  </r>
  <r>
    <n v="826"/>
    <x v="2"/>
    <x v="116"/>
    <s v="eth1/23"/>
    <x v="0"/>
    <x v="0"/>
    <x v="0"/>
    <s v="LINK_TO_ITHFHWCBSDSHD17 /10GE.1 /Principal"/>
    <x v="0"/>
    <b v="0"/>
    <s v="No está en VPC"/>
    <n v="826"/>
    <s v="INTPG_VPC_826_1.23_830_1.23"/>
    <s v="ISEL-1.23"/>
    <n v="1"/>
    <s v="NO TIENE L3OUT"/>
    <n v="12"/>
    <n v="54"/>
  </r>
  <r>
    <n v="726"/>
    <x v="2"/>
    <x v="117"/>
    <s v="eth1/23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23"/>
    <x v="0"/>
    <x v="0"/>
    <x v="0"/>
    <s v="CEM:ITHCEMC2ADT12:LOM P3"/>
    <x v="5"/>
    <b v="0"/>
    <s v="No está en VPC"/>
    <n v="740"/>
    <s v="INTPG_ACC_740_1.23"/>
    <s v="ISEL-1.23"/>
    <n v="1"/>
    <s v="NO TIENE L3OUT"/>
    <n v="72"/>
    <n v="54"/>
  </r>
  <r>
    <n v="705"/>
    <x v="2"/>
    <x v="119"/>
    <s v="eth1/23"/>
    <x v="0"/>
    <x v="0"/>
    <x v="0"/>
    <m/>
    <x v="0"/>
    <b v="0"/>
    <s v="No está en VPC"/>
    <n v="705"/>
    <s v="INTPG_VPC_705_1.23_706_1.24"/>
    <s v="ISEL-1.23"/>
    <n v="1"/>
    <s v="NO TIENE L3OUT"/>
    <n v="16"/>
    <n v="54"/>
  </r>
  <r>
    <n v="723"/>
    <x v="2"/>
    <x v="120"/>
    <s v="eth1/23"/>
    <x v="0"/>
    <x v="0"/>
    <x v="0"/>
    <m/>
    <x v="0"/>
    <b v="0"/>
    <s v="No está en VPC"/>
    <n v="723"/>
    <s v="INTPG-VPC_HDD109_723_1.23_722_1.24"/>
    <s v="ISEL-1.23"/>
    <n v="1"/>
    <s v="NO TIENE L3OUT"/>
    <n v="0"/>
    <n v="54"/>
  </r>
  <r>
    <n v="721"/>
    <x v="2"/>
    <x v="121"/>
    <s v="eth1/23"/>
    <x v="0"/>
    <x v="0"/>
    <x v="0"/>
    <m/>
    <x v="0"/>
    <b v="0"/>
    <s v="No está en VPC"/>
    <n v="721"/>
    <s v="INTPG-VPC_GNX01_721_1.23_714_1.24"/>
    <s v="ISEL-1.23"/>
    <n v="2"/>
    <s v="NO TIENE L3OUT"/>
    <n v="20"/>
    <n v="54"/>
  </r>
  <r>
    <n v="788"/>
    <x v="2"/>
    <x v="122"/>
    <s v="eth1/23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23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23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23"/>
    <x v="0"/>
    <x v="1"/>
    <x v="5"/>
    <s v="CEM:ITHCEME2KFK12:LOM P1"/>
    <x v="0"/>
    <b v="0"/>
    <s v="No está en VPC"/>
    <n v="709"/>
    <s v="INTPG_VPC_708_1.24_709_1.23"/>
    <s v="ISEL-1.23"/>
    <n v="1"/>
    <s v="NO TIENE L3OUT"/>
    <n v="0"/>
    <n v="54"/>
  </r>
  <r>
    <n v="454"/>
    <x v="1"/>
    <x v="126"/>
    <s v="eth1/23"/>
    <x v="0"/>
    <x v="0"/>
    <x v="0"/>
    <s v="HACIA_MGMT-OSCP-F4-03_PRINCIPAL"/>
    <x v="4"/>
    <b v="0"/>
    <s v="No está en VPC"/>
    <n v="454"/>
    <s v="INTPG_VPC_454_1.23_456_1.23"/>
    <s v="ISEL-1.23"/>
    <n v="1"/>
    <s v="NO TIENE L3OUT"/>
    <n v="4"/>
    <n v="54"/>
  </r>
  <r>
    <n v="734"/>
    <x v="2"/>
    <x v="127"/>
    <s v="eth1/23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23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23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23"/>
    <x v="0"/>
    <x v="0"/>
    <x v="0"/>
    <m/>
    <x v="0"/>
    <b v="0"/>
    <s v="No está en VPC"/>
    <n v="718"/>
    <s v="INTPG-VPC_NND01_718_1.23_717_1.24"/>
    <s v="ISEL-1.23"/>
    <n v="1"/>
    <s v="NO TIENE L3OUT"/>
    <n v="0"/>
    <n v="54"/>
  </r>
  <r>
    <n v="744"/>
    <x v="2"/>
    <x v="131"/>
    <s v="eth1/23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23"/>
    <x v="0"/>
    <x v="0"/>
    <x v="0"/>
    <s v="CEM:ITHCEMB2ADT12:LOM P3"/>
    <x v="5"/>
    <b v="0"/>
    <s v="No está en VPC"/>
    <n v="741"/>
    <s v="INTPG_ACC_741_1.23"/>
    <s v="ISEL-1.23"/>
    <n v="1"/>
    <s v="NO TIENE L3OUT"/>
    <n v="62"/>
    <n v="54"/>
  </r>
  <r>
    <n v="787"/>
    <x v="2"/>
    <x v="133"/>
    <s v="eth1/23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23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23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23"/>
    <x v="0"/>
    <x v="1"/>
    <x v="3"/>
    <s v="CEM_HADOOP"/>
    <x v="0"/>
    <b v="0"/>
    <s v="No está en VPC"/>
    <n v="736"/>
    <s v="INTPG_ACC_736_1.23"/>
    <s v="ISEL-1.23"/>
    <n v="0"/>
    <s v="NO TIENE L3OUT"/>
    <n v="48"/>
    <n v="54"/>
  </r>
  <r>
    <n v="799"/>
    <x v="2"/>
    <x v="137"/>
    <s v="eth1/23"/>
    <x v="0"/>
    <x v="0"/>
    <x v="0"/>
    <s v="TO-IMC_PS11-MSP"/>
    <x v="0"/>
    <b v="0"/>
    <s v="No está en VPC"/>
    <n v="799"/>
    <s v="INTPG_ACC_799_1.23"/>
    <s v="ISEL-1.23"/>
    <n v="1"/>
    <s v="NO TIENE L3OUT"/>
    <n v="52"/>
    <n v="54"/>
  </r>
  <r>
    <n v="768"/>
    <x v="2"/>
    <x v="138"/>
    <s v="eth1/23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23"/>
    <x v="0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23"/>
    <x v="0"/>
    <x v="0"/>
    <x v="0"/>
    <m/>
    <x v="0"/>
    <b v="0"/>
    <s v="No está en VPC"/>
    <n v="717"/>
    <s v="INTPG-VPC_NND02_717_1.23_718_1.24"/>
    <s v="ISEL-1.23"/>
    <n v="1"/>
    <s v="NO TIENE L3OUT"/>
    <n v="0"/>
    <n v="54"/>
  </r>
  <r>
    <n v="789"/>
    <x v="2"/>
    <x v="141"/>
    <s v="eth1/23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23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23"/>
    <x v="0"/>
    <x v="0"/>
    <x v="0"/>
    <s v="TO-ITHFHWRHV2LMGMT03"/>
    <x v="0"/>
    <b v="0"/>
    <s v="No está en VPC"/>
    <n v="783"/>
    <s v="INTPG_VPC_782_1.22-23_783_1.22-23"/>
    <s v="ISEL-1.23"/>
    <n v="2"/>
    <s v="NO TIENE L3OUT"/>
    <n v="26"/>
    <n v="54"/>
  </r>
  <r>
    <n v="774"/>
    <x v="2"/>
    <x v="144"/>
    <s v="eth1/23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23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23"/>
    <x v="0"/>
    <x v="0"/>
    <x v="0"/>
    <s v="DESC"/>
    <x v="0"/>
    <b v="0"/>
    <s v="No está en VPC"/>
    <n v="794"/>
    <s v="INTPG_PC_794_1.17_19_21_23_25_27"/>
    <s v="ISEL-1.23"/>
    <n v="1"/>
    <s v="NO TIENE L3OUT"/>
    <n v="12"/>
    <n v="54"/>
  </r>
  <r>
    <n v="803"/>
    <x v="2"/>
    <x v="147"/>
    <s v="eth1/23"/>
    <x v="0"/>
    <x v="0"/>
    <x v="0"/>
    <s v="TO-HDPS_49-MSP"/>
    <x v="0"/>
    <b v="0"/>
    <s v="No está en VPC"/>
    <n v="803"/>
    <s v="INTPG_ACC_803_1.23"/>
    <s v="ISEL-1.23"/>
    <n v="1"/>
    <s v="NO TIENE L3OUT"/>
    <n v="48"/>
    <n v="54"/>
  </r>
  <r>
    <n v="786"/>
    <x v="2"/>
    <x v="148"/>
    <s v="eth1/23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23"/>
    <x v="0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23"/>
    <x v="0"/>
    <x v="0"/>
    <x v="0"/>
    <s v="CLOUD OPS:ithhwcop02en01:2X P4"/>
    <x v="0"/>
    <b v="0"/>
    <s v="No está en VPC"/>
    <n v="781"/>
    <s v="INTPG_VPC_780_1.22-25_781_1.22-25"/>
    <s v="ISEL-1.23"/>
    <n v="23"/>
    <s v="NO TIENE L3OUT"/>
    <n v="26"/>
    <n v="54"/>
  </r>
  <r>
    <n v="793"/>
    <x v="2"/>
    <x v="151"/>
    <s v="eth1/23"/>
    <x v="0"/>
    <x v="0"/>
    <x v="0"/>
    <s v="DESC"/>
    <x v="0"/>
    <b v="0"/>
    <s v="No está en VPC"/>
    <n v="793"/>
    <s v="INTPG_PC_793_1.17_19_21_23_25_27"/>
    <s v="ISEL-1.23"/>
    <n v="1"/>
    <s v="NO TIENE L3OUT"/>
    <n v="12"/>
    <n v="54"/>
  </r>
  <r>
    <n v="747"/>
    <x v="2"/>
    <x v="152"/>
    <s v="eth1/23"/>
    <x v="0"/>
    <x v="0"/>
    <x v="0"/>
    <s v="PAAS:ithhwosstpap008:Slot6.1"/>
    <x v="0"/>
    <b v="0"/>
    <s v="No está en VPC"/>
    <n v="747"/>
    <s v="INTPG_VPC_747_1.23_752_1.23"/>
    <s v="ISEL-1.23"/>
    <n v="25"/>
    <s v="NO TIENE L3OUT"/>
    <n v="0"/>
    <n v="54"/>
  </r>
  <r>
    <n v="784"/>
    <x v="2"/>
    <x v="153"/>
    <s v="eth1/23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23"/>
    <x v="0"/>
    <x v="0"/>
    <x v="0"/>
    <m/>
    <x v="0"/>
    <b v="0"/>
    <s v="No está en VPC"/>
    <n v="806"/>
    <s v="INTPG_PC_806_1.23-26"/>
    <s v="ISEL-1.23"/>
    <n v="0"/>
    <s v="L3OUT-OCS-RED-SIG-IP"/>
    <n v="44"/>
    <n v="54"/>
  </r>
  <r>
    <n v="777"/>
    <x v="2"/>
    <x v="155"/>
    <s v="eth1/23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23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23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23"/>
    <x v="0"/>
    <x v="0"/>
    <x v="0"/>
    <s v="CEM:ITHCEMD2AKG12:LOM P3"/>
    <x v="5"/>
    <b v="0"/>
    <s v="No está en VPC"/>
    <n v="739"/>
    <s v="INTPG_ACC_739_1.23"/>
    <s v="ISEL-1.23"/>
    <n v="1"/>
    <s v="NO TIENE L3OUT"/>
    <n v="72"/>
    <n v="54"/>
  </r>
  <r>
    <n v="775"/>
    <x v="2"/>
    <x v="159"/>
    <s v="eth1/23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23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23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23"/>
    <x v="0"/>
    <x v="0"/>
    <x v="0"/>
    <s v="LINK_TO_ITHFHWCBSDSHD17 /Slot5.1 /Redundante"/>
    <x v="0"/>
    <b v="0"/>
    <s v="No está en VPC"/>
    <n v="830"/>
    <s v="INTPG_VPC_826_1.23_830_1.23"/>
    <s v="ISEL-1.23"/>
    <n v="1"/>
    <s v="NO TIENE L3OUT"/>
    <n v="12"/>
    <n v="54"/>
  </r>
  <r>
    <n v="821"/>
    <x v="2"/>
    <x v="163"/>
    <s v="eth1/23"/>
    <x v="0"/>
    <x v="0"/>
    <x v="0"/>
    <s v="LINK_TO_ITHFHWCBSPSHD17 /Slot5.1 /Redundante"/>
    <x v="0"/>
    <b v="0"/>
    <s v="No está en VPC"/>
    <n v="821"/>
    <s v="INTPG_VPC_816_1.23_821_1.23"/>
    <s v="ISEL-1.23"/>
    <n v="1"/>
    <s v="NO TIENE L3OUT"/>
    <n v="0"/>
    <n v="54"/>
  </r>
  <r>
    <n v="738"/>
    <x v="2"/>
    <x v="164"/>
    <s v="eth1/23"/>
    <x v="0"/>
    <x v="0"/>
    <x v="0"/>
    <s v="CEM:ITHCEME2KFK12:LOM P3"/>
    <x v="5"/>
    <b v="0"/>
    <s v="No está en VPC"/>
    <n v="738"/>
    <s v="INTPG_ACC_738_1.23"/>
    <s v="ISEL-1.23"/>
    <n v="1"/>
    <s v="NO TIENE L3OUT"/>
    <n v="72"/>
    <n v="54"/>
  </r>
  <r>
    <n v="820"/>
    <x v="2"/>
    <x v="165"/>
    <s v="eth1/23"/>
    <x v="0"/>
    <x v="0"/>
    <x v="0"/>
    <s v="LINKT_TO_ITHFHWCRMPLCN132 / Slot7.2_34 / Redundante"/>
    <x v="0"/>
    <b v="0"/>
    <s v="No está en VPC"/>
    <n v="820"/>
    <s v="INTPG_ACC_820_1.23"/>
    <s v="ISEL-1.23"/>
    <n v="2"/>
    <s v="NO TIENE L3OUT"/>
    <n v="72"/>
    <n v="54"/>
  </r>
  <r>
    <n v="804"/>
    <x v="2"/>
    <x v="166"/>
    <s v="eth1/23"/>
    <x v="0"/>
    <x v="0"/>
    <x v="0"/>
    <s v="TO-HDPS_49-MSP"/>
    <x v="0"/>
    <b v="0"/>
    <s v="No está en VPC"/>
    <n v="804"/>
    <s v="INTPG_ACC_804_1.23"/>
    <s v="ISEL-1.23"/>
    <n v="1"/>
    <s v="NO TIENE L3OUT"/>
    <n v="48"/>
    <n v="54"/>
  </r>
  <r>
    <n v="779"/>
    <x v="2"/>
    <x v="167"/>
    <s v="eth1/23"/>
    <x v="0"/>
    <x v="0"/>
    <x v="0"/>
    <s v="eSight:ITHHWC1ESI01:Slot 1 P1"/>
    <x v="0"/>
    <b v="0"/>
    <s v="No está en VPC"/>
    <n v="779"/>
    <s v="INTPG_VPC_778_1.23_779_1.23"/>
    <s v="ISEL-1.23"/>
    <n v="1"/>
    <s v="NO TIENE L3OUT"/>
    <n v="30"/>
    <n v="54"/>
  </r>
  <r>
    <n v="767"/>
    <x v="2"/>
    <x v="168"/>
    <s v="eth1/23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23"/>
    <x v="0"/>
    <x v="0"/>
    <x v="0"/>
    <s v="LINK_TO_ITHFHWCBSDSWR24 /Slot5.2 /Principal"/>
    <x v="0"/>
    <b v="0"/>
    <s v="No está en VPC"/>
    <n v="827"/>
    <s v="INTPG_VPC_827_1.23_831_1.23"/>
    <s v="ISEL-1.23"/>
    <n v="2"/>
    <s v="NO TIENE L3OUT"/>
    <n v="14"/>
    <n v="54"/>
  </r>
  <r>
    <n v="809"/>
    <x v="2"/>
    <x v="170"/>
    <s v="eth1/23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23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23"/>
    <x v="0"/>
    <x v="0"/>
    <x v="0"/>
    <s v="TO-9S_BESDR_IXTLA3_1"/>
    <x v="0"/>
    <b v="0"/>
    <s v="No está en VPC"/>
    <n v="761"/>
    <s v="INTPG_VPC_760_1.21-24_761_1.21-24"/>
    <s v="ISEL-1.23"/>
    <n v="33"/>
    <s v="NO TIENE L3OUT"/>
    <n v="0"/>
    <n v="54"/>
  </r>
  <r>
    <n v="776"/>
    <x v="2"/>
    <x v="173"/>
    <s v="eth1/23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23"/>
    <x v="0"/>
    <x v="0"/>
    <x v="0"/>
    <m/>
    <x v="0"/>
    <b v="0"/>
    <s v="No está en VPC"/>
    <n v="805"/>
    <s v="INTPG_PC_805_1.23-26"/>
    <s v="ISEL-1.23"/>
    <n v="0"/>
    <s v="L3OUT-OCS-RED-SIG-IP"/>
    <n v="44"/>
    <n v="54"/>
  </r>
  <r>
    <n v="772"/>
    <x v="2"/>
    <x v="175"/>
    <s v="eth1/23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23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23"/>
    <x v="0"/>
    <x v="0"/>
    <x v="0"/>
    <s v="LINK_TO_ITHFHWCRMPLCN108 / Slot7.2_20 / Redundante"/>
    <x v="0"/>
    <b v="0"/>
    <s v="No está en VPC"/>
    <n v="851"/>
    <s v="INTPG_ACC_851_1.23"/>
    <s v="ISEL-1.23"/>
    <n v="2"/>
    <s v="NO TIENE L3OUT"/>
    <n v="282"/>
    <n v="54"/>
  </r>
  <r>
    <n v="798"/>
    <x v="2"/>
    <x v="178"/>
    <s v="eth1/23"/>
    <x v="0"/>
    <x v="0"/>
    <x v="0"/>
    <s v="TO-IMC_PS11-MSP"/>
    <x v="0"/>
    <b v="0"/>
    <s v="No está en VPC"/>
    <n v="798"/>
    <s v="INTPG_ACC_798_1.23"/>
    <s v="ISEL-1.23"/>
    <n v="1"/>
    <s v="NO TIENE L3OUT"/>
    <n v="52"/>
    <n v="54"/>
  </r>
  <r>
    <n v="782"/>
    <x v="2"/>
    <x v="179"/>
    <s v="eth1/23"/>
    <x v="0"/>
    <x v="0"/>
    <x v="0"/>
    <s v="TO-ITHFHWRHV2LMGMT03"/>
    <x v="0"/>
    <b v="0"/>
    <s v="No está en VPC"/>
    <n v="782"/>
    <s v="INTPG_VPC_782_1.22-23_783_1.22-23"/>
    <s v="ISEL-1.23"/>
    <n v="2"/>
    <s v="NO TIENE L3OUT"/>
    <n v="32"/>
    <n v="54"/>
  </r>
  <r>
    <n v="852"/>
    <x v="2"/>
    <x v="180"/>
    <s v="eth1/23"/>
    <x v="0"/>
    <x v="0"/>
    <x v="0"/>
    <s v="LINK_TO_ITHFHWCRMPLCN91 / Slot7.3_14 / Redundante"/>
    <x v="0"/>
    <b v="0"/>
    <s v="No está en VPC"/>
    <n v="852"/>
    <s v="INTPG_ACC_852_1.23"/>
    <s v="ISEL-1.23"/>
    <n v="1"/>
    <s v="NO TIENE L3OUT"/>
    <n v="258"/>
    <n v="54"/>
  </r>
  <r>
    <n v="817"/>
    <x v="2"/>
    <x v="181"/>
    <s v="eth1/23"/>
    <x v="0"/>
    <x v="0"/>
    <x v="0"/>
    <s v="LINK_TO_ITHFHWCBSPSUSBD16 /10GE.1 /Principal"/>
    <x v="0"/>
    <b v="0"/>
    <s v="No está en VPC"/>
    <n v="817"/>
    <s v="INTPG_VPC_817_1.23_822_1.23"/>
    <s v="ISEL-1.23"/>
    <n v="1"/>
    <s v="NO TIENE L3OUT"/>
    <n v="0"/>
    <n v="54"/>
  </r>
  <r>
    <n v="832"/>
    <x v="2"/>
    <x v="182"/>
    <s v="eth1/23"/>
    <x v="0"/>
    <x v="0"/>
    <x v="0"/>
    <s v="LINK_TO_ITHFHWCRMDLCN23 /Slot7.2 /Redundante"/>
    <x v="0"/>
    <b v="0"/>
    <s v="No está en VPC"/>
    <n v="832"/>
    <s v="INTPG_ACC_832_1.23"/>
    <s v="ISEL-1.23"/>
    <n v="5"/>
    <s v="NO TIENE L3OUT"/>
    <n v="192"/>
    <n v="54"/>
  </r>
  <r>
    <n v="816"/>
    <x v="2"/>
    <x v="183"/>
    <s v="eth1/23"/>
    <x v="0"/>
    <x v="0"/>
    <x v="0"/>
    <s v="LINK_TO_ITHFHWCBSPSHD17 /10GE.1 /Principal"/>
    <x v="0"/>
    <b v="0"/>
    <s v="No está en VPC"/>
    <n v="816"/>
    <s v="INTPG_VPC_816_1.23_821_1.23"/>
    <s v="ISEL-1.23"/>
    <n v="1"/>
    <s v="NO TIENE L3OUT"/>
    <n v="0"/>
    <n v="54"/>
  </r>
  <r>
    <n v="825"/>
    <x v="2"/>
    <x v="184"/>
    <s v="eth1/23"/>
    <x v="0"/>
    <x v="0"/>
    <x v="0"/>
    <s v="LINKT_TO_ITHFHWCRMPLCN132 / Slot1.2_34 / Principal"/>
    <x v="0"/>
    <b v="0"/>
    <s v="No está en VPC"/>
    <n v="825"/>
    <s v="INTPG_ACC_825_1.23"/>
    <s v="ISEL-1.23"/>
    <n v="2"/>
    <s v="NO TIENE L3OUT"/>
    <n v="72"/>
    <n v="54"/>
  </r>
  <r>
    <n v="800"/>
    <x v="2"/>
    <x v="185"/>
    <s v="eth1/23"/>
    <x v="0"/>
    <x v="0"/>
    <x v="0"/>
    <s v="TO-ITHFHWSEQLCAS03-MSP"/>
    <x v="0"/>
    <b v="0"/>
    <s v="No está en VPC"/>
    <n v="800"/>
    <s v="INTPG_ACC_800_1.23"/>
    <s v="ISEL-1.23"/>
    <n v="1"/>
    <s v="NO TIENE L3OUT"/>
    <n v="78"/>
    <n v="54"/>
  </r>
  <r>
    <n v="801"/>
    <x v="2"/>
    <x v="186"/>
    <s v="eth1/23"/>
    <x v="0"/>
    <x v="0"/>
    <x v="0"/>
    <s v="TO-ITHFHWSEQLCAS03-MSP"/>
    <x v="0"/>
    <b v="0"/>
    <s v="No está en VPC"/>
    <n v="801"/>
    <s v="INTPG_ACC_801_1.23"/>
    <s v="ISEL-1.23"/>
    <n v="1"/>
    <s v="NO TIENE L3OUT"/>
    <n v="78"/>
    <n v="54"/>
  </r>
  <r>
    <n v="823"/>
    <x v="2"/>
    <x v="187"/>
    <s v="eth1/23"/>
    <x v="0"/>
    <x v="0"/>
    <x v="0"/>
    <s v="LINK_TO_ITHFHWCBSPSWR32 /Slot7.2 /Redundante"/>
    <x v="0"/>
    <b v="0"/>
    <s v="No está en VPC"/>
    <n v="823"/>
    <s v="INTPG_VPC_818_1.23_823_1.23"/>
    <s v="ISEL-1.23"/>
    <n v="2"/>
    <s v="NO TIENE L3OUT"/>
    <n v="8"/>
    <n v="54"/>
  </r>
  <r>
    <n v="837"/>
    <x v="2"/>
    <x v="188"/>
    <s v="eth1/23"/>
    <x v="0"/>
    <x v="0"/>
    <x v="0"/>
    <s v="LINK_TO_ITHFHWCBSPSWR47 / Slot1.1_30 / Principal"/>
    <x v="0"/>
    <b v="0"/>
    <s v="No está en VPC"/>
    <n v="837"/>
    <s v="INTPG_VPC_837_1.23_842_1.23"/>
    <s v="ISEL-1.23"/>
    <n v="2"/>
    <s v="NO TIENE L3OUT"/>
    <n v="8"/>
    <n v="54"/>
  </r>
  <r>
    <n v="867"/>
    <x v="2"/>
    <x v="189"/>
    <s v="eth1/23"/>
    <x v="0"/>
    <x v="0"/>
    <x v="0"/>
    <s v="TO-9S_BESDR_IXTLA3_1"/>
    <x v="0"/>
    <b v="0"/>
    <s v="No está en VPC"/>
    <n v="867"/>
    <s v="INTPG_VPC_862_1.20-23_867_1.20-23"/>
    <s v="ISEL-1.23"/>
    <n v="25"/>
    <s v="NO TIENE L3OUT"/>
    <n v="44"/>
    <n v="54"/>
  </r>
  <r>
    <n v="829"/>
    <x v="2"/>
    <x v="190"/>
    <s v="eth1/23"/>
    <x v="0"/>
    <x v="0"/>
    <x v="0"/>
    <s v="LINK_TO_ITHFHWCRMDLCN35 /Slot5.1 /Redundante"/>
    <x v="0"/>
    <b v="0"/>
    <s v="No está en VPC"/>
    <n v="829"/>
    <s v="INTPG_ACC_829_1.23"/>
    <s v="ISEL-1.23"/>
    <n v="2"/>
    <s v="NO TIENE L3OUT"/>
    <n v="224"/>
    <n v="54"/>
  </r>
  <r>
    <n v="831"/>
    <x v="2"/>
    <x v="191"/>
    <s v="eth1/23"/>
    <x v="0"/>
    <x v="0"/>
    <x v="0"/>
    <s v="LINK_TO_ITHFHWCBSDSWR24 /Slot7.2 /Redundante"/>
    <x v="0"/>
    <b v="0"/>
    <s v="No está en VPC"/>
    <n v="831"/>
    <s v="INTPG_VPC_827_1.23_831_1.23"/>
    <s v="ISEL-1.23"/>
    <n v="2"/>
    <s v="NO TIENE L3OUT"/>
    <n v="14"/>
    <n v="54"/>
  </r>
  <r>
    <n v="802"/>
    <x v="2"/>
    <x v="192"/>
    <s v="eth1/23"/>
    <x v="0"/>
    <x v="0"/>
    <x v="0"/>
    <s v="TO-HDPS_25-MSP"/>
    <x v="0"/>
    <b v="0"/>
    <s v="No está en VPC"/>
    <n v="802"/>
    <s v="INTPG_ACC_802_1.23"/>
    <s v="ISEL-1.23"/>
    <n v="1"/>
    <s v="NO TIENE L3OUT"/>
    <n v="48"/>
    <n v="54"/>
  </r>
  <r>
    <n v="835"/>
    <x v="2"/>
    <x v="193"/>
    <s v="eth1/23"/>
    <x v="0"/>
    <x v="0"/>
    <x v="0"/>
    <s v="LINK_TO_ITHHWD6KV65100014DKC01 / CTMA_IOM1.P0_34 / Principal"/>
    <x v="0"/>
    <b v="0"/>
    <s v="No está en VPC"/>
    <n v="835"/>
    <s v="INTPG_ACC_835_1.23"/>
    <s v="ISEL-1.23"/>
    <n v="1"/>
    <s v="NO TIENE L3OUT"/>
    <n v="8"/>
    <n v="54"/>
  </r>
  <r>
    <n v="822"/>
    <x v="2"/>
    <x v="194"/>
    <s v="eth1/23"/>
    <x v="0"/>
    <x v="0"/>
    <x v="0"/>
    <s v="LINK_TO_ITHFHWCBSPSUSBD16 /Slot5.1 /Redundante"/>
    <x v="0"/>
    <b v="0"/>
    <s v="No está en VPC"/>
    <n v="822"/>
    <s v="INTPG_VPC_817_1.23_822_1.23"/>
    <s v="ISEL-1.23"/>
    <n v="1"/>
    <s v="NO TIENE L3OUT"/>
    <n v="0"/>
    <n v="54"/>
  </r>
  <r>
    <n v="854"/>
    <x v="2"/>
    <x v="195"/>
    <s v="eth1/23"/>
    <x v="0"/>
    <x v="0"/>
    <x v="0"/>
    <s v="LINK_TO_ITHFHWCRMPLCN173 / Slot1.1_16 / Principal"/>
    <x v="0"/>
    <b v="0"/>
    <s v="No está en VPC"/>
    <n v="854"/>
    <s v="INTPG_ACC_854_1.23"/>
    <s v="ISEL-1.23"/>
    <n v="6"/>
    <s v="NO TIENE L3OUT"/>
    <n v="204"/>
    <n v="54"/>
  </r>
  <r>
    <n v="858"/>
    <x v="2"/>
    <x v="196"/>
    <s v="eth1/23"/>
    <x v="0"/>
    <x v="0"/>
    <x v="0"/>
    <s v="To_VPC_2DCBSD_HD44_2"/>
    <x v="0"/>
    <b v="0"/>
    <s v="No está en VPC"/>
    <n v="858"/>
    <s v="INTPG_VPC_858_1.23_863_1.23"/>
    <s v="ISEL-1.23"/>
    <n v="1"/>
    <s v="NO TIENE L3OUT"/>
    <n v="8"/>
    <n v="54"/>
  </r>
  <r>
    <n v="857"/>
    <x v="2"/>
    <x v="197"/>
    <s v="eth1/23"/>
    <x v="0"/>
    <x v="0"/>
    <x v="0"/>
    <s v="LINKT_TO_ITHFHWCRMPLCN123 / Slot1.1_16 / Principal"/>
    <x v="0"/>
    <b v="0"/>
    <s v="No está en VPC"/>
    <n v="857"/>
    <s v="INTPG_ACC_857_1.23"/>
    <s v="ISEL-1.23"/>
    <n v="6"/>
    <s v="NO TIENE L3OUT"/>
    <n v="288"/>
    <n v="54"/>
  </r>
  <r>
    <n v="859"/>
    <x v="2"/>
    <x v="198"/>
    <s v="eth1/23"/>
    <x v="0"/>
    <x v="0"/>
    <x v="0"/>
    <s v="To_VPC_2DCBSD_WR43_2"/>
    <x v="0"/>
    <b v="0"/>
    <s v="No está en VPC"/>
    <n v="859"/>
    <s v="INTPG_VPC_859_1.23_864_1.23"/>
    <s v="ISEL-1.23"/>
    <n v="1"/>
    <s v="NO TIENE L3OUT"/>
    <n v="0"/>
    <n v="54"/>
  </r>
  <r>
    <n v="833"/>
    <x v="2"/>
    <x v="199"/>
    <s v="eth1/23"/>
    <x v="0"/>
    <x v="0"/>
    <x v="0"/>
    <s v="LINK_TO_ITHFHWCRMDLCN35 /10GE.1 /Principal"/>
    <x v="0"/>
    <b v="0"/>
    <s v="No está en VPC"/>
    <n v="833"/>
    <s v="INTPG_ACC_833_1.23"/>
    <s v="ISEL-1.23"/>
    <n v="2"/>
    <s v="NO TIENE L3OUT"/>
    <n v="224"/>
    <n v="54"/>
  </r>
  <r>
    <n v="818"/>
    <x v="2"/>
    <x v="200"/>
    <s v="eth1/23"/>
    <x v="0"/>
    <x v="0"/>
    <x v="0"/>
    <s v="LINK_TO_ITHFHWCBSPSWR32 /Slot5.2 /Principal"/>
    <x v="0"/>
    <b v="0"/>
    <s v="No está en VPC"/>
    <n v="818"/>
    <s v="INTPG_VPC_818_1.23_823_1.23"/>
    <s v="ISEL-1.23"/>
    <n v="2"/>
    <s v="NO TIENE L3OUT"/>
    <n v="8"/>
    <n v="54"/>
  </r>
  <r>
    <n v="850"/>
    <x v="2"/>
    <x v="201"/>
    <s v="eth1/23"/>
    <x v="0"/>
    <x v="0"/>
    <x v="0"/>
    <s v="LINKT_TO_ITHFHWCRMPLCN123 / Slot7.1_16 / Redundante"/>
    <x v="0"/>
    <b v="0"/>
    <s v="No está en VPC"/>
    <n v="850"/>
    <s v="INTPG_ACC_850_1.23"/>
    <s v="ISEL-1.23"/>
    <n v="6"/>
    <s v="NO TIENE L3OUT"/>
    <n v="288"/>
    <n v="54"/>
  </r>
  <r>
    <n v="860"/>
    <x v="2"/>
    <x v="202"/>
    <s v="eth1/23"/>
    <x v="0"/>
    <x v="0"/>
    <x v="0"/>
    <s v="To_VPC_2DCBSD_HD30_2"/>
    <x v="0"/>
    <b v="0"/>
    <s v="No está en VPC"/>
    <n v="860"/>
    <s v="INTPG_VPC_860_1.23_865_1.23"/>
    <s v="ISEL-1.23"/>
    <n v="1"/>
    <s v="NO TIENE L3OUT"/>
    <n v="0"/>
    <n v="54"/>
  </r>
  <r>
    <n v="853"/>
    <x v="2"/>
    <x v="203"/>
    <s v="eth1/23"/>
    <x v="0"/>
    <x v="0"/>
    <x v="0"/>
    <s v="LINK_TO_ITHFHWCRMPLCN79 / Slot7.2_16 / Redundante"/>
    <x v="0"/>
    <b v="0"/>
    <s v="No está en VPC"/>
    <n v="853"/>
    <s v="INTPG_ACC_853_1.23"/>
    <s v="ISEL-1.23"/>
    <n v="2"/>
    <s v="NO TIENE L3OUT"/>
    <n v="242"/>
    <n v="54"/>
  </r>
  <r>
    <n v="790"/>
    <x v="2"/>
    <x v="204"/>
    <s v="eth1/23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23"/>
    <x v="0"/>
    <x v="0"/>
    <x v="0"/>
    <m/>
    <x v="6"/>
    <b v="0"/>
    <s v="No está en VPC"/>
    <n v="105"/>
    <s v="INTPG_PC_105_23_24_36"/>
    <s v="ISEL-1.23"/>
    <n v="2"/>
    <s v="NO TIENE L3OUT"/>
    <n v="106"/>
    <n v="96"/>
  </r>
  <r>
    <n v="117"/>
    <x v="0"/>
    <x v="206"/>
    <s v="eth1/23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23"/>
    <x v="0"/>
    <x v="1"/>
    <x v="1"/>
    <s v="SFLDI"/>
    <x v="6"/>
    <b v="0"/>
    <s v="No está en VPC"/>
    <n v="104"/>
    <s v="INTPG_ACC_104_1.23"/>
    <s v="ISEL-1.23"/>
    <n v="1"/>
    <s v="NO TIENE L3OUT"/>
    <n v="194"/>
    <n v="96"/>
  </r>
  <r>
    <n v="158"/>
    <x v="0"/>
    <x v="208"/>
    <s v="eth1/23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23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23"/>
    <x v="0"/>
    <x v="0"/>
    <x v="0"/>
    <s v="HACIA_MGMT-OSCP-F4-15_SECUNDARIO"/>
    <x v="4"/>
    <b v="0"/>
    <s v="No está en VPC"/>
    <n v="879"/>
    <s v="INTPG_VPC_878_1.23_879_1.23"/>
    <s v="ISEL-1.23"/>
    <n v="1"/>
    <s v="NO TIENE L3OUT"/>
    <n v="0"/>
    <n v="54"/>
  </r>
  <r>
    <n v="108"/>
    <x v="0"/>
    <x v="211"/>
    <s v="eth1/23"/>
    <x v="1"/>
    <x v="1"/>
    <x v="2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23"/>
    <x v="1"/>
    <x v="1"/>
    <x v="2"/>
    <s v="APROVISIONAMIENTO DE SERVICIOS"/>
    <x v="6"/>
    <b v="0"/>
    <s v="No está en VPC"/>
    <n v="112"/>
    <s v="INTPG_ACC_112_1.23"/>
    <s v="ISEL-1.23"/>
    <n v="1"/>
    <s v="NO TIENE L3OUT"/>
    <n v="144"/>
    <n v="96"/>
  </r>
  <r>
    <n v="107"/>
    <x v="0"/>
    <x v="213"/>
    <s v="eth1/23"/>
    <x v="1"/>
    <x v="1"/>
    <x v="2"/>
    <s v="SISAP"/>
    <x v="6"/>
    <b v="0"/>
    <s v="No está en VPC"/>
    <n v="107"/>
    <s v="INTPG_ACC_107_1.23"/>
    <s v="ISEL-1.23"/>
    <n v="1"/>
    <s v="NO TIENE L3OUT"/>
    <n v="118"/>
    <n v="96"/>
  </r>
  <r>
    <n v="109"/>
    <x v="0"/>
    <x v="214"/>
    <s v="eth1/23"/>
    <x v="0"/>
    <x v="0"/>
    <x v="0"/>
    <m/>
    <x v="6"/>
    <b v="0"/>
    <s v="No está en VPC"/>
    <n v="109"/>
    <s v="INTPG_ACC_109_1.23"/>
    <s v="ISEL-1.23"/>
    <n v="0"/>
    <s v="NO TIENE L3OUT"/>
    <n v="126"/>
    <n v="96"/>
  </r>
  <r>
    <n v="113"/>
    <x v="0"/>
    <x v="215"/>
    <s v="eth1/23"/>
    <x v="0"/>
    <x v="0"/>
    <x v="0"/>
    <s v="TO-ITHFHPNBURBKP02-PRINCIPAL"/>
    <x v="6"/>
    <b v="0"/>
    <s v="No está en VPC"/>
    <n v="113"/>
    <s v="INTPG_ACC_113_1.23"/>
    <s v="ISEL-1.23"/>
    <n v="1"/>
    <s v="NO TIENE L3OUT"/>
    <n v="52"/>
    <n v="96"/>
  </r>
  <r>
    <n v="114"/>
    <x v="0"/>
    <x v="216"/>
    <s v="eth1/23"/>
    <x v="1"/>
    <x v="1"/>
    <x v="2"/>
    <s v="SUBEX (Fraud Management)"/>
    <x v="6"/>
    <b v="0"/>
    <s v="No está en VPC"/>
    <n v="114"/>
    <s v="INTPG_ACC_114_1.23"/>
    <s v="ISEL-1.23"/>
    <n v="1"/>
    <s v="NO TIENE L3OUT"/>
    <n v="144"/>
    <n v="96"/>
  </r>
  <r>
    <n v="124"/>
    <x v="0"/>
    <x v="217"/>
    <s v="eth1/23"/>
    <x v="0"/>
    <x v="1"/>
    <x v="1"/>
    <s v="3G_OSS_QRO_R6"/>
    <x v="6"/>
    <b v="0"/>
    <s v="No está en VPC"/>
    <n v="124"/>
    <s v="INTPG_VPC_124_1.23_39_125_1.27_40"/>
    <s v="ISEL-1.23"/>
    <n v="5"/>
    <s v="NO TIENE L3OUT"/>
    <n v="80"/>
    <n v="96"/>
  </r>
  <r>
    <n v="118"/>
    <x v="0"/>
    <x v="218"/>
    <s v="eth1/23"/>
    <x v="0"/>
    <x v="0"/>
    <x v="0"/>
    <s v="COBROS NAVEGACION"/>
    <x v="6"/>
    <b v="0"/>
    <s v="No está en VPC"/>
    <n v="118"/>
    <s v="INTPG_ACC_118_1.23"/>
    <s v="ISEL-1.23"/>
    <n v="1"/>
    <s v="NO TIENE L3OUT"/>
    <n v="180"/>
    <n v="96"/>
  </r>
  <r>
    <n v="159"/>
    <x v="0"/>
    <x v="219"/>
    <s v="eth1/23"/>
    <x v="0"/>
    <x v="0"/>
    <x v="0"/>
    <s v="SRM"/>
    <x v="6"/>
    <b v="0"/>
    <s v="No está en VPC"/>
    <n v="159"/>
    <s v="INTPG_ACC_159_1.23"/>
    <s v="ISEL-1.23"/>
    <n v="1"/>
    <s v="NO TIENE L3OUT"/>
    <n v="72"/>
    <n v="96"/>
  </r>
  <r>
    <n v="840"/>
    <x v="2"/>
    <x v="220"/>
    <s v="eth1/23"/>
    <x v="0"/>
    <x v="0"/>
    <x v="0"/>
    <s v="LINK_TO_ITHHWD6KV65100014DKC01 / CTMA_IOM1.P1_34 / Redundante"/>
    <x v="0"/>
    <b v="0"/>
    <s v="No está en VPC"/>
    <n v="840"/>
    <s v="INTPG_ACC_840_1.23"/>
    <s v="ISEL-1.23"/>
    <n v="1"/>
    <s v="NO TIENE L3OUT"/>
    <n v="8"/>
    <n v="54"/>
  </r>
  <r>
    <n v="856"/>
    <x v="2"/>
    <x v="221"/>
    <s v="eth1/23"/>
    <x v="0"/>
    <x v="0"/>
    <x v="0"/>
    <s v="LINK_TO_ITHFHWCRMPLCN142 / Slot1.1_18 / Principal"/>
    <x v="0"/>
    <b v="0"/>
    <s v="No está en VPC"/>
    <n v="856"/>
    <s v="INTPG_ACC_856_1.23"/>
    <s v="ISEL-1.23"/>
    <n v="6"/>
    <s v="NO TIENE L3OUT"/>
    <n v="286"/>
    <n v="54"/>
  </r>
  <r>
    <n v="110"/>
    <x v="0"/>
    <x v="222"/>
    <s v="eth1/23"/>
    <x v="0"/>
    <x v="0"/>
    <x v="0"/>
    <s v="DESC"/>
    <x v="6"/>
    <b v="0"/>
    <s v="No está en VPC"/>
    <n v="110"/>
    <s v="INTPG_PC_110_1.15-16_22-23_30"/>
    <s v="ISEL-1.23"/>
    <n v="1"/>
    <s v="NO TIENE L3OUT"/>
    <n v="102"/>
    <n v="96"/>
  </r>
  <r>
    <n v="163"/>
    <x v="0"/>
    <x v="223"/>
    <s v="eth1/23"/>
    <x v="0"/>
    <x v="0"/>
    <x v="0"/>
    <s v="NETSCOUT"/>
    <x v="6"/>
    <b v="0"/>
    <s v="No está en VPC"/>
    <n v="163"/>
    <s v="INTPG_ACC_163_1.23"/>
    <s v="ISEL-1.23"/>
    <n v="1"/>
    <s v="NO TIENE L3OUT"/>
    <n v="140"/>
    <n v="96"/>
  </r>
  <r>
    <n v="407"/>
    <x v="1"/>
    <x v="224"/>
    <s v="eth1/23"/>
    <x v="0"/>
    <x v="0"/>
    <x v="0"/>
    <s v="IXTGLAOSS1_CLIENT1"/>
    <x v="6"/>
    <b v="0"/>
    <s v="No está en VPC"/>
    <n v="407"/>
    <s v="INTPG_VPC_407_1.23_409_1.19"/>
    <s v="ISEL-1.23"/>
    <n v="16"/>
    <s v="NO TIENE L3OUT"/>
    <n v="122"/>
    <n v="96"/>
  </r>
  <r>
    <n v="171"/>
    <x v="0"/>
    <x v="225"/>
    <s v="eth1/23"/>
    <x v="0"/>
    <x v="0"/>
    <x v="0"/>
    <s v="SOP-EAGLE"/>
    <x v="6"/>
    <b v="0"/>
    <s v="No está en VPC"/>
    <n v="171"/>
    <s v="INTPG_ACC_171_1.23"/>
    <s v="ISEL-1.23"/>
    <n v="1"/>
    <s v="NO TIENE L3OUT"/>
    <n v="114"/>
    <n v="96"/>
  </r>
  <r>
    <n v="421"/>
    <x v="1"/>
    <x v="226"/>
    <s v="eth1/23"/>
    <x v="0"/>
    <x v="0"/>
    <x v="0"/>
    <s v="VMAX_FLASH_V0_1"/>
    <x v="6"/>
    <b v="0"/>
    <s v="No está en VPC"/>
    <n v="421"/>
    <s v="INTPG_ACC_421_1.23"/>
    <s v="ISEL-1.23"/>
    <n v="1"/>
    <s v="NO TIENE L3OUT"/>
    <n v="72"/>
    <n v="96"/>
  </r>
  <r>
    <n v="173"/>
    <x v="0"/>
    <x v="227"/>
    <s v="eth1/23"/>
    <x v="0"/>
    <x v="0"/>
    <x v="0"/>
    <s v="ENIQ"/>
    <x v="6"/>
    <b v="0"/>
    <s v="No está en VPC"/>
    <n v="173"/>
    <s v="INTPG_ACC_173_1.23"/>
    <s v="ISEL-1.23"/>
    <n v="1"/>
    <s v="NO TIENE L3OUT"/>
    <n v="66"/>
    <n v="96"/>
  </r>
  <r>
    <n v="154"/>
    <x v="0"/>
    <x v="228"/>
    <s v="eth1/23"/>
    <x v="1"/>
    <x v="1"/>
    <x v="2"/>
    <s v="Precios DEUR"/>
    <x v="6"/>
    <b v="0"/>
    <s v="No está en VPC"/>
    <n v="154"/>
    <s v="INTPG_ACC_154_1.23"/>
    <s v="ISEL-1.23"/>
    <n v="0"/>
    <s v="NO TIENE L3OUT"/>
    <n v="62"/>
    <n v="96"/>
  </r>
  <r>
    <n v="172"/>
    <x v="0"/>
    <x v="229"/>
    <s v="eth1/23"/>
    <x v="0"/>
    <x v="1"/>
    <x v="1"/>
    <s v="NFA"/>
    <x v="6"/>
    <b v="0"/>
    <s v="No está en VPC"/>
    <n v="172"/>
    <s v="INTPG_ACC_172_1.23"/>
    <s v="ISEL-1.23"/>
    <n v="1"/>
    <s v="NO TIENE L3OUT"/>
    <n v="104"/>
    <n v="96"/>
  </r>
  <r>
    <n v="420"/>
    <x v="1"/>
    <x v="230"/>
    <s v="eth1/23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23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23"/>
    <x v="0"/>
    <x v="0"/>
    <x v="0"/>
    <s v="VTAE3"/>
    <x v="6"/>
    <b v="0"/>
    <s v="No está en VPC"/>
    <n v="415"/>
    <s v="INTPG_ACC_415_1.23"/>
    <s v="ISEL-1.23"/>
    <n v="1"/>
    <s v="NO TIENE L3OUT"/>
    <n v="52"/>
    <n v="96"/>
  </r>
  <r>
    <n v="102"/>
    <x v="0"/>
    <x v="233"/>
    <s v="eth1/23"/>
    <x v="0"/>
    <x v="1"/>
    <x v="1"/>
    <s v="SFLDI:RLDIBI101:1"/>
    <x v="6"/>
    <b v="0"/>
    <s v="No está en VPC"/>
    <n v="102"/>
    <s v="INTPG_ACC_102_1.23"/>
    <s v="ISEL-1.23"/>
    <n v="1"/>
    <s v="NO TIENE L3OUT"/>
    <n v="228"/>
    <n v="96"/>
  </r>
  <r>
    <n v="863"/>
    <x v="2"/>
    <x v="234"/>
    <s v="eth1/23"/>
    <x v="0"/>
    <x v="0"/>
    <x v="0"/>
    <s v="To_VPC_2DCBSD_HD44_2"/>
    <x v="0"/>
    <b v="0"/>
    <s v="No está en VPC"/>
    <n v="863"/>
    <s v="INTPG_VPC_858_1.23_863_1.23"/>
    <s v="ISEL-1.23"/>
    <n v="1"/>
    <s v="NO TIENE L3OUT"/>
    <n v="8"/>
    <n v="54"/>
  </r>
  <r>
    <n v="876"/>
    <x v="2"/>
    <x v="235"/>
    <s v="eth1/23"/>
    <x v="0"/>
    <x v="0"/>
    <x v="0"/>
    <s v="A_ITHFHWSEQLCAS22_Principal"/>
    <x v="4"/>
    <b v="0"/>
    <s v="No está en VPC"/>
    <n v="876"/>
    <s v="INTPG_ACC_876_1.23"/>
    <s v="ISEL-1.23"/>
    <n v="1"/>
    <s v="NO TIENE L3OUT"/>
    <n v="92"/>
    <n v="54"/>
  </r>
  <r>
    <n v="877"/>
    <x v="2"/>
    <x v="236"/>
    <s v="eth1/23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23"/>
    <x v="0"/>
    <x v="0"/>
    <x v="0"/>
    <s v="VMAX 3 TRAP IME"/>
    <x v="6"/>
    <b v="0"/>
    <s v="No está en VPC"/>
    <n v="122"/>
    <s v="INTPG_ACC_122_1.23"/>
    <s v="ISEL-1.23"/>
    <n v="1"/>
    <s v="NO TIENE L3OUT"/>
    <n v="148"/>
    <n v="96"/>
  </r>
  <r>
    <n v="157"/>
    <x v="0"/>
    <x v="238"/>
    <s v="eth1/23"/>
    <x v="1"/>
    <x v="1"/>
    <x v="2"/>
    <s v="RED CRICKET"/>
    <x v="6"/>
    <b v="0"/>
    <s v="No está en VPC"/>
    <n v="157"/>
    <s v="INTPG_ACC_157_1.23"/>
    <s v="ISEL-1.23"/>
    <n v="1"/>
    <s v="NO TIENE L3OUT"/>
    <n v="202"/>
    <n v="96"/>
  </r>
  <r>
    <n v="408"/>
    <x v="1"/>
    <x v="239"/>
    <s v="eth1/23"/>
    <x v="0"/>
    <x v="0"/>
    <x v="0"/>
    <s v="NEC Femtocel NMS"/>
    <x v="6"/>
    <b v="0"/>
    <s v="No está en VPC"/>
    <n v="408"/>
    <s v="INTPG_ACC_408_1.23"/>
    <s v="ISEL-1.23"/>
    <n v="1"/>
    <s v="NO TIENE L3OUT"/>
    <n v="152"/>
    <n v="96"/>
  </r>
  <r>
    <n v="405"/>
    <x v="1"/>
    <x v="240"/>
    <s v="eth1/23"/>
    <x v="0"/>
    <x v="0"/>
    <x v="0"/>
    <s v="XL6 RLR6ARI03 ILO"/>
    <x v="6"/>
    <b v="0"/>
    <s v="No está en VPC"/>
    <n v="405"/>
    <s v="INTPG_ACC_405_1.23"/>
    <s v="ISEL-1.23"/>
    <n v="1"/>
    <s v="NO TIENE L3OUT"/>
    <n v="138"/>
    <n v="96"/>
  </r>
  <r>
    <n v="169"/>
    <x v="0"/>
    <x v="241"/>
    <s v="eth1/23"/>
    <x v="1"/>
    <x v="1"/>
    <x v="2"/>
    <s v="TO-CORE_SWITCH-3-Y-4"/>
    <x v="6"/>
    <b v="0"/>
    <s v="No está en VPC"/>
    <n v="169"/>
    <s v="INTPG_VPC_167_1.30-32_169_1.21-23"/>
    <s v="ISEL-1.23"/>
    <n v="4"/>
    <s v="NO TIENE L3OUT"/>
    <n v="76"/>
    <n v="96"/>
  </r>
  <r>
    <n v="165"/>
    <x v="0"/>
    <x v="242"/>
    <s v="eth1/23"/>
    <x v="0"/>
    <x v="0"/>
    <x v="0"/>
    <s v="UXLDAP"/>
    <x v="6"/>
    <b v="0"/>
    <s v="No está en VPC"/>
    <n v="165"/>
    <s v="INTPG_ACC_165_1.23"/>
    <s v="ISEL-1.23"/>
    <n v="1"/>
    <s v="NO TIENE L3OUT"/>
    <n v="86"/>
    <n v="96"/>
  </r>
  <r>
    <n v="417"/>
    <x v="1"/>
    <x v="243"/>
    <s v="eth1/23"/>
    <x v="0"/>
    <x v="0"/>
    <x v="0"/>
    <s v="TO-ITHFHPNBURBKP04-PRINCIPAL"/>
    <x v="6"/>
    <b v="0"/>
    <s v="No está en VPC"/>
    <n v="417"/>
    <s v="INTPG_ACC_417_1.23"/>
    <s v="ISEL-1.23"/>
    <n v="1"/>
    <s v="NO TIENE L3OUT"/>
    <n v="56"/>
    <n v="96"/>
  </r>
  <r>
    <n v="153"/>
    <x v="0"/>
    <x v="244"/>
    <s v="eth1/23"/>
    <x v="0"/>
    <x v="0"/>
    <x v="0"/>
    <m/>
    <x v="6"/>
    <b v="0"/>
    <s v="No está en VPC"/>
    <n v="153"/>
    <s v="INTPG_ACC_153_1.23"/>
    <s v="ISEL-1.23"/>
    <n v="1"/>
    <s v="NO TIENE L3OUT"/>
    <n v="42"/>
    <n v="96"/>
  </r>
  <r>
    <n v="119"/>
    <x v="0"/>
    <x v="245"/>
    <s v="eth1/23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23"/>
    <x v="1"/>
    <x v="1"/>
    <x v="2"/>
    <s v="ETH2_IXTSG1_PRINCIPAL"/>
    <x v="6"/>
    <b v="0"/>
    <s v="No está en VPC"/>
    <n v="156"/>
    <s v="INTPG_ACC_156_1.23"/>
    <s v="ISEL-1.23"/>
    <n v="1"/>
    <s v="NO TIENE L3OUT"/>
    <n v="40"/>
    <n v="96"/>
  </r>
  <r>
    <n v="103"/>
    <x v="0"/>
    <x v="247"/>
    <s v="eth1/23"/>
    <x v="0"/>
    <x v="1"/>
    <x v="1"/>
    <s v="CAMPANAS 01-02:uxcampt3:"/>
    <x v="6"/>
    <b v="0"/>
    <s v="No está en VPC"/>
    <n v="103"/>
    <s v="INTPG_ACC_103_1.23"/>
    <s v="ISEL-1.23"/>
    <n v="1"/>
    <s v="NO TIENE L3OUT"/>
    <n v="70"/>
    <n v="96"/>
  </r>
  <r>
    <n v="438"/>
    <x v="1"/>
    <x v="248"/>
    <s v="eth1/23"/>
    <x v="0"/>
    <x v="0"/>
    <x v="0"/>
    <s v="HP_Proliant_DL380p(b)"/>
    <x v="6"/>
    <b v="0"/>
    <s v="No está en VPC"/>
    <n v="438"/>
    <s v="INTPG_ACC_438_1.23"/>
    <s v="ISEL-1.23"/>
    <n v="1"/>
    <s v="NO TIENE L3OUT"/>
    <n v="170"/>
    <n v="96"/>
  </r>
  <r>
    <n v="406"/>
    <x v="1"/>
    <x v="249"/>
    <s v="eth1/23"/>
    <x v="0"/>
    <x v="0"/>
    <x v="0"/>
    <s v="ITHRTC52VC1"/>
    <x v="6"/>
    <b v="0"/>
    <s v="No está en VPC"/>
    <n v="406"/>
    <s v="INTPG_VPC_404_1.23_406_1.23"/>
    <s v="ISEL-1.23"/>
    <n v="1"/>
    <s v="NO TIENE L3OUT"/>
    <n v="82"/>
    <n v="96"/>
  </r>
  <r>
    <n v="414"/>
    <x v="1"/>
    <x v="250"/>
    <s v="eth1/23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23"/>
    <x v="0"/>
    <x v="0"/>
    <x v="0"/>
    <s v="TO-ITHAI10-PRINCIPAL"/>
    <x v="6"/>
    <b v="0"/>
    <s v="No está en VPC"/>
    <n v="416"/>
    <s v="INTPG_ACC_416_1.23"/>
    <s v="ISEL-1.23"/>
    <n v="1"/>
    <s v="NO TIENE L3OUT"/>
    <n v="110"/>
    <n v="96"/>
  </r>
  <r>
    <n v="418"/>
    <x v="1"/>
    <x v="252"/>
    <s v="eth1/23"/>
    <x v="0"/>
    <x v="0"/>
    <x v="0"/>
    <s v="TO-ITHAI9-REDUNDANTE"/>
    <x v="6"/>
    <b v="0"/>
    <s v="No está en VPC"/>
    <n v="418"/>
    <s v="INTPG_ACC_418_1.23"/>
    <s v="ISEL-1.23"/>
    <n v="1"/>
    <s v="NO TIENE L3OUT"/>
    <n v="152"/>
    <n v="96"/>
  </r>
  <r>
    <n v="413"/>
    <x v="1"/>
    <x v="253"/>
    <s v="eth1/23"/>
    <x v="0"/>
    <x v="0"/>
    <x v="0"/>
    <m/>
    <x v="6"/>
    <b v="0"/>
    <s v="No está en VPC"/>
    <n v="413"/>
    <s v="INTPG_ACC_413_1.23"/>
    <s v="ISEL-1.23"/>
    <n v="2"/>
    <s v="NO TIENE L3OUT"/>
    <n v="126"/>
    <n v="96"/>
  </r>
  <r>
    <n v="403"/>
    <x v="1"/>
    <x v="254"/>
    <s v="eth1/23"/>
    <x v="0"/>
    <x v="0"/>
    <x v="0"/>
    <s v="XL6 RLR6ARI03"/>
    <x v="6"/>
    <b v="0"/>
    <s v="No está en VPC"/>
    <n v="403"/>
    <s v="INTPG_ACC_403_1.23"/>
    <s v="ISEL-1.23"/>
    <n v="1"/>
    <s v="NO TIENE L3OUT"/>
    <n v="150"/>
    <n v="96"/>
  </r>
  <r>
    <n v="125"/>
    <x v="0"/>
    <x v="255"/>
    <s v="eth1/23"/>
    <x v="0"/>
    <x v="0"/>
    <x v="0"/>
    <s v="UXSVA (M9000)"/>
    <x v="6"/>
    <b v="0"/>
    <s v="No está en VPC"/>
    <n v="125"/>
    <s v="INTPG_ACC_125_1.23"/>
    <s v="ISEL-1.23"/>
    <n v="1"/>
    <s v="NO TIENE L3OUT"/>
    <n v="72"/>
    <n v="96"/>
  </r>
  <r>
    <n v="166"/>
    <x v="0"/>
    <x v="256"/>
    <s v="eth1/23"/>
    <x v="0"/>
    <x v="1"/>
    <x v="1"/>
    <s v="UXLDAP"/>
    <x v="6"/>
    <b v="0"/>
    <s v="No está en VPC"/>
    <n v="166"/>
    <s v="INTPG_ACC_166_1.23"/>
    <s v="ISEL-1.23"/>
    <n v="1"/>
    <s v="NO TIENE L3OUT"/>
    <n v="84"/>
    <n v="96"/>
  </r>
  <r>
    <n v="111"/>
    <x v="0"/>
    <x v="257"/>
    <s v="eth1/23"/>
    <x v="0"/>
    <x v="0"/>
    <x v="0"/>
    <s v="DESC"/>
    <x v="6"/>
    <b v="0"/>
    <s v="No está en VPC"/>
    <n v="111"/>
    <s v="INTPG_PC_111_1.15-16_22-23_30"/>
    <s v="ISEL-1.23"/>
    <n v="1"/>
    <s v="NO TIENE L3OUT"/>
    <n v="58"/>
    <n v="96"/>
  </r>
  <r>
    <n v="115"/>
    <x v="0"/>
    <x v="258"/>
    <s v="eth1/23"/>
    <x v="0"/>
    <x v="1"/>
    <x v="1"/>
    <s v="RLVYCAN01_1"/>
    <x v="6"/>
    <b v="0"/>
    <s v="No está en VPC"/>
    <n v="115"/>
    <s v="INTPG_ACC_115_1.23"/>
    <s v="ISEL-1.23"/>
    <n v="1"/>
    <s v="NO TIENE L3OUT"/>
    <n v="42"/>
    <n v="96"/>
  </r>
  <r>
    <n v="106"/>
    <x v="0"/>
    <x v="259"/>
    <s v="eth1/23"/>
    <x v="0"/>
    <x v="1"/>
    <x v="1"/>
    <s v="SYMANTEC"/>
    <x v="6"/>
    <b v="0"/>
    <s v="No está en VPC"/>
    <n v="106"/>
    <s v="INTPG_ACC_106_1.23"/>
    <s v="ISEL-1.23"/>
    <n v="1"/>
    <s v="NO TIENE L3OUT"/>
    <n v="122"/>
    <n v="96"/>
  </r>
  <r>
    <n v="126"/>
    <x v="0"/>
    <x v="260"/>
    <s v="eth1/23"/>
    <x v="0"/>
    <x v="1"/>
    <x v="1"/>
    <s v="ENIQ"/>
    <x v="6"/>
    <b v="0"/>
    <s v="No está en VPC"/>
    <n v="126"/>
    <s v="INTPG_ACC_126_1.23"/>
    <s v="ISEL-1.23"/>
    <n v="1"/>
    <s v="NO TIENE L3OUT"/>
    <n v="54"/>
    <n v="96"/>
  </r>
  <r>
    <n v="425"/>
    <x v="1"/>
    <x v="261"/>
    <s v="eth1/23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23"/>
    <x v="0"/>
    <x v="0"/>
    <x v="0"/>
    <s v="ETLI-SACI 5"/>
    <x v="6"/>
    <b v="0"/>
    <s v="No está en VPC"/>
    <n v="151"/>
    <s v="INTPG_ACC_151_1.23"/>
    <s v="ISEL-1.23"/>
    <n v="1"/>
    <s v="NO TIENE L3OUT"/>
    <n v="86"/>
    <n v="96"/>
  </r>
  <r>
    <n v="430"/>
    <x v="1"/>
    <x v="263"/>
    <s v="eth1/23"/>
    <x v="0"/>
    <x v="1"/>
    <x v="1"/>
    <s v="RHEV_Produccion_sfrevp10"/>
    <x v="6"/>
    <b v="0"/>
    <s v="No está en VPC"/>
    <n v="430"/>
    <s v="INTPG_VPC_428_1.23_430_1.23"/>
    <s v="ISEL-1.23"/>
    <n v="2"/>
    <s v="NO TIENE L3OUT"/>
    <n v="86"/>
    <n v="96"/>
  </r>
  <r>
    <n v="419"/>
    <x v="1"/>
    <x v="264"/>
    <s v="eth1/23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23"/>
    <x v="0"/>
    <x v="0"/>
    <x v="0"/>
    <s v="Consolidaci\u00f3n Aplicaciones Prepago"/>
    <x v="6"/>
    <b v="0"/>
    <s v="No está en VPC"/>
    <n v="155"/>
    <s v="INTPG_ACC_155_1.23"/>
    <s v="ISEL-1.23"/>
    <n v="1"/>
    <s v="NO TIENE L3OUT"/>
    <n v="198"/>
    <n v="96"/>
  </r>
  <r>
    <n v="409"/>
    <x v="1"/>
    <x v="266"/>
    <s v="eth1/23"/>
    <x v="0"/>
    <x v="0"/>
    <x v="0"/>
    <s v="RLR2ARI10_ilo"/>
    <x v="6"/>
    <b v="0"/>
    <s v="No está en VPC"/>
    <n v="409"/>
    <s v="INTPG_ACC_409_1.23"/>
    <s v="ISEL-1.23"/>
    <n v="1"/>
    <s v="NO TIENE L3OUT"/>
    <n v="128"/>
    <n v="96"/>
  </r>
  <r>
    <n v="422"/>
    <x v="1"/>
    <x v="267"/>
    <s v="eth1/23"/>
    <x v="0"/>
    <x v="0"/>
    <x v="0"/>
    <s v="IXTSD969A"/>
    <x v="6"/>
    <b v="0"/>
    <s v="No está en VPC"/>
    <n v="422"/>
    <s v="INTPG_ACC_422_1.23"/>
    <s v="ISEL-1.23"/>
    <n v="1"/>
    <s v="NO TIENE L3OUT"/>
    <n v="182"/>
    <n v="96"/>
  </r>
  <r>
    <n v="436"/>
    <x v="1"/>
    <x v="268"/>
    <s v="eth1/23"/>
    <x v="0"/>
    <x v="0"/>
    <x v="0"/>
    <s v="HP_Proliant_DL380p(b)"/>
    <x v="6"/>
    <b v="0"/>
    <s v="No está en VPC"/>
    <n v="436"/>
    <s v="INTPG_ACC_436_1.23"/>
    <s v="ISEL-1.23"/>
    <n v="1"/>
    <s v="NO TIENE L3OUT"/>
    <n v="172"/>
    <n v="96"/>
  </r>
  <r>
    <n v="410"/>
    <x v="1"/>
    <x v="269"/>
    <s v="eth1/23"/>
    <x v="0"/>
    <x v="0"/>
    <x v="0"/>
    <s v="ITHMSVB3_IGB0"/>
    <x v="6"/>
    <b v="0"/>
    <s v="No está en VPC"/>
    <n v="410"/>
    <s v="INTPG_ACC_410_1.23"/>
    <s v="ISEL-1.23"/>
    <n v="1"/>
    <s v="NO TIENE L3OUT"/>
    <n v="178"/>
    <n v="96"/>
  </r>
  <r>
    <n v="161"/>
    <x v="0"/>
    <x v="270"/>
    <s v="eth1/23"/>
    <x v="0"/>
    <x v="0"/>
    <x v="0"/>
    <s v="SICOP"/>
    <x v="6"/>
    <b v="0"/>
    <s v="No está en VPC"/>
    <n v="161"/>
    <s v="INTPG_ACC_161_1.23"/>
    <s v="ISEL-1.23"/>
    <n v="1"/>
    <s v="NO TIENE L3OUT"/>
    <n v="102"/>
    <n v="96"/>
  </r>
  <r>
    <n v="411"/>
    <x v="1"/>
    <x v="271"/>
    <s v="eth1/23"/>
    <x v="0"/>
    <x v="0"/>
    <x v="0"/>
    <s v="lagidmhlapvp06_produccion1"/>
    <x v="6"/>
    <b v="0"/>
    <s v="No está en VPC"/>
    <n v="411"/>
    <s v="INTPG_VPC_411_1.21-24_413_1.14-17"/>
    <s v="ISEL-1.23"/>
    <n v="2"/>
    <s v="NO TIENE L3OUT"/>
    <n v="96"/>
    <n v="96"/>
  </r>
  <r>
    <n v="116"/>
    <x v="0"/>
    <x v="272"/>
    <s v="eth1/23"/>
    <x v="0"/>
    <x v="0"/>
    <x v="0"/>
    <s v="COBROS NAVEGACION"/>
    <x v="6"/>
    <b v="0"/>
    <s v="No está en VPC"/>
    <n v="116"/>
    <s v="INTPG_ACC_116_1.23"/>
    <s v="ISEL-1.23"/>
    <n v="1"/>
    <s v="NO TIENE L3OUT"/>
    <n v="148"/>
    <n v="96"/>
  </r>
  <r>
    <n v="412"/>
    <x v="1"/>
    <x v="273"/>
    <s v="eth1/23"/>
    <x v="0"/>
    <x v="1"/>
    <x v="1"/>
    <s v="UXCA_EXADATA"/>
    <x v="6"/>
    <b v="0"/>
    <s v="No está en VPC"/>
    <n v="412"/>
    <s v="INTPG_ACC_412_1.23"/>
    <s v="ISEL-1.23"/>
    <n v="1"/>
    <s v="NO TIENE L3OUT"/>
    <n v="126"/>
    <n v="96"/>
  </r>
  <r>
    <n v="120"/>
    <x v="0"/>
    <x v="274"/>
    <s v="eth1/23"/>
    <x v="0"/>
    <x v="0"/>
    <x v="0"/>
    <m/>
    <x v="6"/>
    <b v="0"/>
    <s v="No está en VPC"/>
    <n v="120"/>
    <s v="INTPG_ACC_120_1.23"/>
    <s v="ISEL-1.23"/>
    <n v="1"/>
    <s v="NO TIENE L3OUT"/>
    <n v="158"/>
    <n v="96"/>
  </r>
  <r>
    <n v="404"/>
    <x v="1"/>
    <x v="275"/>
    <s v="eth1/23"/>
    <x v="0"/>
    <x v="0"/>
    <x v="0"/>
    <s v="ITHRTC52VC1"/>
    <x v="6"/>
    <b v="0"/>
    <s v="No está en VPC"/>
    <n v="404"/>
    <s v="INTPG_VPC_404_1.23_406_1.23"/>
    <s v="ISEL-1.23"/>
    <n v="1"/>
    <s v="NO TIENE L3OUT"/>
    <n v="92"/>
    <n v="96"/>
  </r>
  <r>
    <n v="167"/>
    <x v="0"/>
    <x v="276"/>
    <s v="eth1/23"/>
    <x v="1"/>
    <x v="1"/>
    <x v="2"/>
    <s v="MMSC_WAPGW"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23"/>
    <x v="0"/>
    <x v="1"/>
    <x v="1"/>
    <s v="RHEV_Produccion_sfrevp10"/>
    <x v="6"/>
    <b v="0"/>
    <s v="No está en VPC"/>
    <n v="428"/>
    <s v="INTPG_VPC_428_1.23_430_1.23"/>
    <s v="ISEL-1.23"/>
    <n v="2"/>
    <s v="NO TIENE L3OUT"/>
    <n v="102"/>
    <n v="96"/>
  </r>
  <r>
    <n v="903"/>
    <x v="2"/>
    <x v="278"/>
    <s v="eth1/2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2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24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24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24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24"/>
    <x v="0"/>
    <x v="0"/>
    <x v="0"/>
    <s v="TO-ITHFDEVYCWPBD02"/>
    <x v="0"/>
    <b v="0"/>
    <s v="No está en VPC"/>
    <n v="101"/>
    <s v="INTPG_VPC_101_1.24_150_1.24"/>
    <s v="ISEL-1.24"/>
    <n v="1"/>
    <s v="NO TIENE L3OUT"/>
    <n v="114"/>
    <n v="54"/>
  </r>
  <r>
    <n v="160"/>
    <x v="0"/>
    <x v="4"/>
    <s v="eth1/24"/>
    <x v="0"/>
    <x v="0"/>
    <x v="0"/>
    <s v="ArrobaDOC Y CF"/>
    <x v="1"/>
    <b v="0"/>
    <s v="No está en VPC"/>
    <n v="160"/>
    <s v="INTPG_ACC_160_1.24"/>
    <s v="ISEL-1.24"/>
    <n v="1"/>
    <s v="NO TIENE L3OUT"/>
    <n v="68"/>
    <n v="54"/>
  </r>
  <r>
    <n v="121"/>
    <x v="0"/>
    <x v="5"/>
    <s v="eth1/24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24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24"/>
    <x v="0"/>
    <x v="0"/>
    <x v="0"/>
    <s v="TO-ITHS5224F_1-Switch_Cloud_Regional"/>
    <x v="0"/>
    <b v="0"/>
    <s v="No está en VPC"/>
    <n v="401"/>
    <s v="INTPG_VPC_402_1.24_401_1.24"/>
    <s v="ISEL-1.24"/>
    <n v="6"/>
    <s v="NO TIENE L3OUT"/>
    <n v="40"/>
    <n v="54"/>
  </r>
  <r>
    <n v="402"/>
    <x v="1"/>
    <x v="8"/>
    <s v="eth1/24"/>
    <x v="0"/>
    <x v="0"/>
    <x v="0"/>
    <s v="TO-ITHS5224F_1-Switch_Cloud_Regional"/>
    <x v="0"/>
    <b v="0"/>
    <s v="No está en VPC"/>
    <n v="402"/>
    <s v="INTPG_VPC_402_1.24_401_1.24"/>
    <s v="ISEL-1.24"/>
    <n v="6"/>
    <s v="NO TIENE L3OUT"/>
    <n v="36"/>
    <n v="54"/>
  </r>
  <r>
    <n v="447"/>
    <x v="1"/>
    <x v="9"/>
    <s v="eth1/24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24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24"/>
    <x v="0"/>
    <x v="0"/>
    <x v="0"/>
    <s v="TO-ITHFDEMCFRPMS01"/>
    <x v="0"/>
    <b v="0"/>
    <s v="No está en VPC"/>
    <n v="130"/>
    <s v="INTPG_VPC_130_1.23-24_131_1.24-25"/>
    <s v="ISEL-1.24"/>
    <n v="1"/>
    <s v="NO TIENE L3OUT"/>
    <n v="128"/>
    <n v="54"/>
  </r>
  <r>
    <n v="150"/>
    <x v="0"/>
    <x v="12"/>
    <s v="eth1/24"/>
    <x v="0"/>
    <x v="0"/>
    <x v="0"/>
    <s v="TO-ITHFDEVYCWPBD02"/>
    <x v="0"/>
    <b v="0"/>
    <s v="No está en VPC"/>
    <n v="150"/>
    <s v="INTPG_VPC_101_1.24_150_1.24"/>
    <s v="ISEL-1.24"/>
    <n v="1"/>
    <s v="NO TIENE L3OUT"/>
    <n v="118"/>
    <n v="54"/>
  </r>
  <r>
    <n v="131"/>
    <x v="0"/>
    <x v="13"/>
    <s v="eth1/24"/>
    <x v="0"/>
    <x v="0"/>
    <x v="0"/>
    <s v="TO-ITHFDEMCFRPMS01"/>
    <x v="0"/>
    <b v="0"/>
    <s v="No está en VPC"/>
    <n v="131"/>
    <s v="INTPG_VPC_130_1.23-24_131_1.24-25"/>
    <s v="ISEL-1.24"/>
    <n v="1"/>
    <s v="NO TIENE L3OUT"/>
    <n v="126"/>
    <n v="54"/>
  </r>
  <r>
    <n v="303"/>
    <x v="0"/>
    <x v="14"/>
    <s v="eth1/24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24"/>
    <x v="0"/>
    <x v="1"/>
    <x v="1"/>
    <m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24"/>
    <x v="1"/>
    <x v="1"/>
    <x v="2"/>
    <m/>
    <x v="2"/>
    <b v="0"/>
    <s v="No está en VPC"/>
    <n v="759"/>
    <s v="NO EXISTE PG"/>
    <s v="NO EXISTE ISEL"/>
    <n v="0"/>
    <s v="NO TIENE L3OUT"/>
    <n v="0"/>
    <n v="42"/>
  </r>
  <r>
    <n v="302"/>
    <x v="0"/>
    <x v="17"/>
    <s v="eth1/24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24"/>
    <x v="0"/>
    <x v="0"/>
    <x v="0"/>
    <s v="EMIPCLOUD_A06"/>
    <x v="1"/>
    <b v="0"/>
    <s v="No está en VPC"/>
    <n v="424"/>
    <s v="INTPG_ACC_424_1.24"/>
    <s v="ISEL-1.24"/>
    <n v="1"/>
    <s v="NO TIENE L3OUT"/>
    <n v="16"/>
    <n v="54"/>
  </r>
  <r>
    <n v="426"/>
    <x v="1"/>
    <x v="19"/>
    <s v="eth1/24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24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24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24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24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24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24"/>
    <x v="0"/>
    <x v="0"/>
    <x v="0"/>
    <m/>
    <x v="0"/>
    <b v="0"/>
    <s v="No está en VPC"/>
    <n v="725"/>
    <s v="INTPG-VPC_HDD97_724_1.23_725_1.24"/>
    <s v="ISEL-1.24"/>
    <n v="1"/>
    <s v="NO TIENE L3OUT"/>
    <n v="0"/>
    <n v="54"/>
  </r>
  <r>
    <n v="431"/>
    <x v="1"/>
    <x v="26"/>
    <s v="eth1/24"/>
    <x v="0"/>
    <x v="0"/>
    <x v="0"/>
    <s v="CLIENT_HUAWEI_CLOUD_ARIESO1"/>
    <x v="0"/>
    <b v="0"/>
    <s v="No está en VPC"/>
    <n v="431"/>
    <s v="INTPG_VPC_431_1.22-25_448_1.22-25"/>
    <s v="ISEL-1.24"/>
    <n v="14"/>
    <s v="NO TIENE L3OUT"/>
    <n v="46"/>
    <n v="54"/>
  </r>
  <r>
    <n v="433"/>
    <x v="1"/>
    <x v="27"/>
    <s v="eth1/24"/>
    <x v="0"/>
    <x v="0"/>
    <x v="0"/>
    <s v="ITHNBCOP3ET02_ETH1"/>
    <x v="1"/>
    <b v="0"/>
    <s v="No está en VPC"/>
    <n v="433"/>
    <s v="INTPG_ACC_433_1.24"/>
    <s v="ISEL-1.24"/>
    <n v="1"/>
    <s v="NO TIENE L3OUT"/>
    <n v="42"/>
    <n v="54"/>
  </r>
  <r>
    <n v="429"/>
    <x v="1"/>
    <x v="28"/>
    <s v="eth1/24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24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24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24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24"/>
    <x v="0"/>
    <x v="1"/>
    <x v="3"/>
    <s v="CEM_HADOOP"/>
    <x v="0"/>
    <b v="0"/>
    <s v="No está en VPC"/>
    <n v="707"/>
    <s v="INTPG_ACC_707_1.24"/>
    <s v="ISEL-1.24"/>
    <n v="1"/>
    <s v="NO TIENE L3OUT"/>
    <n v="54"/>
    <n v="54"/>
  </r>
  <r>
    <n v="712"/>
    <x v="2"/>
    <x v="33"/>
    <s v="eth1/24"/>
    <x v="1"/>
    <x v="1"/>
    <x v="3"/>
    <s v="CEM:ITHCEMA2ADT12:LOM  P2"/>
    <x v="0"/>
    <b v="0"/>
    <s v="No está en VPC"/>
    <n v="712"/>
    <s v="INTPG_VPC_713_1.23_712_1.24"/>
    <s v="ISEL-1.24"/>
    <n v="0"/>
    <s v="NO TIENE L3OUT"/>
    <n v="32"/>
    <n v="54"/>
  </r>
  <r>
    <n v="719"/>
    <x v="2"/>
    <x v="34"/>
    <s v="eth1/24"/>
    <x v="0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24"/>
    <x v="0"/>
    <x v="0"/>
    <x v="0"/>
    <m/>
    <x v="0"/>
    <b v="0"/>
    <s v="No está en VPC"/>
    <n v="715"/>
    <s v="INTPG-VPC_HDD28_716_1.23_715_1.24"/>
    <s v="ISEL-1.24"/>
    <n v="1"/>
    <s v="NO TIENE L3OUT"/>
    <n v="0"/>
    <n v="54"/>
  </r>
  <r>
    <n v="427"/>
    <x v="1"/>
    <x v="36"/>
    <s v="eth1/24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24"/>
    <x v="0"/>
    <x v="1"/>
    <x v="5"/>
    <s v="CEM:ITHCEMD2AKG12:LOM  P2"/>
    <x v="0"/>
    <b v="0"/>
    <s v="No está en VPC"/>
    <n v="711"/>
    <s v="INTPG_VPC_710_1.23_711_1.24"/>
    <s v="ISEL-1.24"/>
    <n v="1"/>
    <s v="NO TIENE L3OUT"/>
    <n v="16"/>
    <n v="54"/>
  </r>
  <r>
    <n v="716"/>
    <x v="2"/>
    <x v="38"/>
    <s v="eth1/24"/>
    <x v="0"/>
    <x v="0"/>
    <x v="0"/>
    <m/>
    <x v="0"/>
    <b v="0"/>
    <s v="No está en VPC"/>
    <n v="716"/>
    <s v="INTPG-VPC_SLR02_715_1.23_716_1.24"/>
    <s v="ISEL-1.24"/>
    <n v="1"/>
    <s v="NO TIENE L3OUT"/>
    <n v="0"/>
    <n v="54"/>
  </r>
  <r>
    <n v="702"/>
    <x v="2"/>
    <x v="39"/>
    <s v="eth1/24"/>
    <x v="0"/>
    <x v="0"/>
    <x v="0"/>
    <m/>
    <x v="0"/>
    <b v="0"/>
    <s v="No está en VPC"/>
    <n v="702"/>
    <s v="INTPG_VPC_701_1.23_702_1.24"/>
    <s v="ISEL-1.24"/>
    <n v="1"/>
    <s v="NO TIENE L3OUT"/>
    <n v="0"/>
    <n v="54"/>
  </r>
  <r>
    <n v="435"/>
    <x v="1"/>
    <x v="40"/>
    <s v="eth1/24"/>
    <x v="0"/>
    <x v="0"/>
    <x v="0"/>
    <s v="YELLOBRICK_PTO2"/>
    <x v="1"/>
    <b v="0"/>
    <s v="No está en VPC"/>
    <n v="435"/>
    <s v="INTPG_ACC_435_1.24"/>
    <s v="ISEL-1.24"/>
    <n v="2"/>
    <s v="NO TIENE L3OUT"/>
    <n v="34"/>
    <n v="54"/>
  </r>
  <r>
    <n v="446"/>
    <x v="1"/>
    <x v="41"/>
    <s v="eth1/24"/>
    <x v="0"/>
    <x v="0"/>
    <x v="0"/>
    <s v="TO-ITHFDLMCLWLCN03"/>
    <x v="0"/>
    <b v="0"/>
    <s v="No está en VPC"/>
    <n v="446"/>
    <s v="INTPG_VPC_446_1.24_444_1.25"/>
    <s v="ISEL-1.24"/>
    <n v="3"/>
    <s v="NO TIENE L3OUT"/>
    <n v="198"/>
    <n v="54"/>
  </r>
  <r>
    <n v="444"/>
    <x v="1"/>
    <x v="42"/>
    <s v="eth1/24"/>
    <x v="0"/>
    <x v="0"/>
    <x v="0"/>
    <m/>
    <x v="0"/>
    <b v="0"/>
    <s v="No está en VPC"/>
    <n v="444"/>
    <s v="INTPG_ACC_444_1.24"/>
    <s v="ISEL-1.24"/>
    <n v="9"/>
    <s v="NO TIENE L3OUT"/>
    <n v="234"/>
    <n v="54"/>
  </r>
  <r>
    <n v="701"/>
    <x v="2"/>
    <x v="43"/>
    <s v="eth1/24"/>
    <x v="0"/>
    <x v="0"/>
    <x v="0"/>
    <m/>
    <x v="0"/>
    <b v="0"/>
    <s v="No está en VPC"/>
    <n v="701"/>
    <s v="INTPG_VPC_702_1.23_701_1.24"/>
    <s v="ISEL-1.24"/>
    <n v="1"/>
    <s v="NO TIENE L3OUT"/>
    <n v="0"/>
    <n v="54"/>
  </r>
  <r>
    <n v="440"/>
    <x v="1"/>
    <x v="44"/>
    <s v="eth1/24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24"/>
    <x v="0"/>
    <x v="0"/>
    <x v="0"/>
    <s v="CLIENT_HUAWEI_CLOUD_ARIESO1"/>
    <x v="0"/>
    <b v="0"/>
    <s v="No está en VPC"/>
    <n v="448"/>
    <s v="INTPG_VPC_431_1.22-25_448_1.22-25"/>
    <s v="ISEL-1.24"/>
    <n v="14"/>
    <s v="NO TIENE L3OUT"/>
    <n v="46"/>
    <n v="54"/>
  </r>
  <r>
    <n v="704"/>
    <x v="2"/>
    <x v="46"/>
    <s v="eth1/24"/>
    <x v="0"/>
    <x v="0"/>
    <x v="0"/>
    <m/>
    <x v="0"/>
    <b v="0"/>
    <s v="No está en VPC"/>
    <n v="704"/>
    <s v="INTPG_VPC_703_1.23_704_1.24"/>
    <s v="ISEL-1.24"/>
    <n v="1"/>
    <s v="NO TIENE L3OUT"/>
    <n v="0"/>
    <n v="54"/>
  </r>
  <r>
    <n v="729"/>
    <x v="2"/>
    <x v="47"/>
    <s v="eth1/24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24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24"/>
    <x v="0"/>
    <x v="0"/>
    <x v="0"/>
    <s v="HACIA_MGMT-OSCP-F4-04_SECUNDARIO"/>
    <x v="4"/>
    <b v="0"/>
    <s v="No está en VPC"/>
    <n v="456"/>
    <s v="INTPG_VPC_454_1.24_456_1.24"/>
    <s v="ISEL-1.24"/>
    <n v="1"/>
    <s v="NO TIENE L3OUT"/>
    <n v="4"/>
    <n v="54"/>
  </r>
  <r>
    <n v="603"/>
    <x v="1"/>
    <x v="50"/>
    <s v="eth1/24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24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24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24"/>
    <x v="0"/>
    <x v="0"/>
    <x v="0"/>
    <s v="Server_Pre-R02-CBS-RH2288-08"/>
    <x v="0"/>
    <b v="0"/>
    <s v="No está en VPC"/>
    <n v="730"/>
    <s v="INTPG_ACC_730_1.24"/>
    <s v="ISEL-1.24"/>
    <n v="1"/>
    <s v="NO TIENE L3OUT"/>
    <n v="36"/>
    <n v="54"/>
  </r>
  <r>
    <n v="722"/>
    <x v="2"/>
    <x v="54"/>
    <s v="eth1/24"/>
    <x v="0"/>
    <x v="0"/>
    <x v="0"/>
    <m/>
    <x v="0"/>
    <b v="0"/>
    <s v="No está en VPC"/>
    <n v="722"/>
    <s v="INTPG-VPC_HDD109_723_1.23_722_1.24"/>
    <s v="ISEL-1.24"/>
    <n v="1"/>
    <s v="NO TIENE L3OUT"/>
    <n v="0"/>
    <n v="54"/>
  </r>
  <r>
    <n v="733"/>
    <x v="2"/>
    <x v="55"/>
    <s v="eth1/24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24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24"/>
    <x v="0"/>
    <x v="0"/>
    <x v="0"/>
    <m/>
    <x v="0"/>
    <b v="0"/>
    <s v="No está en VPC"/>
    <n v="748"/>
    <s v="INTPG_ACC_748_1.24"/>
    <s v="ISEL-1.24"/>
    <n v="0"/>
    <s v="NO TIENE L3OUT"/>
    <n v="2"/>
    <n v="54"/>
  </r>
  <r>
    <n v="756"/>
    <x v="2"/>
    <x v="58"/>
    <s v="eth1/24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24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24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24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24"/>
    <x v="0"/>
    <x v="0"/>
    <x v="0"/>
    <s v="CEM:ITHCEMB2ADT12:SLOT1 P1"/>
    <x v="5"/>
    <b v="0"/>
    <s v="No está en VPC"/>
    <n v="742"/>
    <s v="INTPG_ACC_742_1.24"/>
    <s v="ISEL-1.24"/>
    <n v="1"/>
    <s v="NO TIENE L3OUT"/>
    <n v="64"/>
    <n v="54"/>
  </r>
  <r>
    <n v="763"/>
    <x v="2"/>
    <x v="63"/>
    <s v="eth1/24"/>
    <x v="0"/>
    <x v="0"/>
    <x v="0"/>
    <s v="PAAS:ithhwosstpap009:FlexIO.1"/>
    <x v="0"/>
    <b v="0"/>
    <s v="No está en VPC"/>
    <n v="763"/>
    <s v="INTPG_VPC_762_1.24_763_1.24"/>
    <s v="ISEL-1.24"/>
    <n v="15"/>
    <s v="NO TIENE L3OUT"/>
    <n v="2"/>
    <n v="54"/>
  </r>
  <r>
    <n v="766"/>
    <x v="2"/>
    <x v="64"/>
    <s v="eth1/24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24"/>
    <x v="0"/>
    <x v="0"/>
    <x v="0"/>
    <s v="TO-9S_BESDR_IXTLA3_1"/>
    <x v="0"/>
    <b v="0"/>
    <s v="No está en VPC"/>
    <n v="760"/>
    <s v="INTPG_VPC_760_1.21-24_761_1.21-24"/>
    <s v="ISEL-1.24"/>
    <n v="33"/>
    <s v="NO TIENE L3OUT"/>
    <n v="0"/>
    <n v="54"/>
  </r>
  <r>
    <n v="752"/>
    <x v="2"/>
    <x v="66"/>
    <s v="eth1/24"/>
    <x v="0"/>
    <x v="0"/>
    <x v="0"/>
    <s v="PAAS:ithhwosstpap009:LOM PORT 1"/>
    <x v="0"/>
    <b v="0"/>
    <s v="No está en VPC"/>
    <n v="752"/>
    <s v="INTPG_VPC_747_1.24_752_1.24"/>
    <s v="ISEL-1.24"/>
    <n v="25"/>
    <s v="NO TIENE L3OUT"/>
    <n v="0"/>
    <n v="54"/>
  </r>
  <r>
    <n v="765"/>
    <x v="2"/>
    <x v="67"/>
    <s v="eth1/24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24"/>
    <x v="0"/>
    <x v="0"/>
    <x v="0"/>
    <s v="eSight:ITHHWC1ESI02:Slot 1 P3"/>
    <x v="0"/>
    <b v="0"/>
    <s v="No está en VPC"/>
    <n v="778"/>
    <s v="INTPG_VPC_778_1.24_779_1.24"/>
    <s v="ISEL-1.24"/>
    <n v="1"/>
    <s v="NO TIENE L3OUT"/>
    <n v="26"/>
    <n v="54"/>
  </r>
  <r>
    <n v="780"/>
    <x v="2"/>
    <x v="69"/>
    <s v="eth1/24"/>
    <x v="0"/>
    <x v="0"/>
    <x v="0"/>
    <s v="CLOUD OPS:ithhwcop02en01:3X P1"/>
    <x v="0"/>
    <b v="0"/>
    <s v="No está en VPC"/>
    <n v="780"/>
    <s v="INTPG_VPC_780_1.22-25_781_1.22-25"/>
    <s v="ISEL-1.24"/>
    <n v="23"/>
    <s v="NO TIENE L3OUT"/>
    <n v="26"/>
    <n v="54"/>
  </r>
  <r>
    <n v="812"/>
    <x v="2"/>
    <x v="70"/>
    <s v="eth1/24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24"/>
    <x v="0"/>
    <x v="0"/>
    <x v="0"/>
    <s v="TO-ITHFHWDCIMLAP01-Redundante"/>
    <x v="0"/>
    <b v="0"/>
    <s v="No está en VPC"/>
    <n v="796"/>
    <s v="INTPG_ACC_796_1.24"/>
    <s v="ISEL-1.24"/>
    <n v="1"/>
    <s v="NO TIENE L3OUT"/>
    <n v="18"/>
    <n v="54"/>
  </r>
  <r>
    <n v="795"/>
    <x v="2"/>
    <x v="72"/>
    <s v="eth1/24"/>
    <x v="0"/>
    <x v="0"/>
    <x v="0"/>
    <s v="TO-ITHFHWDCIMLAP01-Principal"/>
    <x v="0"/>
    <b v="0"/>
    <s v="No está en VPC"/>
    <n v="795"/>
    <s v="INTPG_ACC_795_1.24"/>
    <s v="ISEL-1.24"/>
    <n v="1"/>
    <s v="NO TIENE L3OUT"/>
    <n v="18"/>
    <n v="54"/>
  </r>
  <r>
    <n v="749"/>
    <x v="2"/>
    <x v="73"/>
    <s v="eth1/24"/>
    <x v="0"/>
    <x v="0"/>
    <x v="0"/>
    <m/>
    <x v="0"/>
    <b v="0"/>
    <s v="No está en VPC"/>
    <n v="749"/>
    <s v="INTPG_ACC_749_1.24"/>
    <s v="ISEL-1.24"/>
    <n v="0"/>
    <s v="NO TIENE L3OUT"/>
    <n v="4"/>
    <n v="54"/>
  </r>
  <r>
    <n v="824"/>
    <x v="2"/>
    <x v="74"/>
    <s v="eth1/24"/>
    <x v="0"/>
    <x v="0"/>
    <x v="0"/>
    <s v="LINK_TO_ITHFHWCMVWPMA13 /Slot5.1 /Redundante"/>
    <x v="0"/>
    <b v="0"/>
    <s v="No está en VPC"/>
    <n v="824"/>
    <s v="INTPG_ACC_824_1.24"/>
    <s v="ISEL-1.24"/>
    <n v="1"/>
    <s v="NO TIENE L3OUT"/>
    <n v="70"/>
    <n v="54"/>
  </r>
  <r>
    <n v="819"/>
    <x v="2"/>
    <x v="75"/>
    <s v="eth1/24"/>
    <x v="0"/>
    <x v="0"/>
    <x v="0"/>
    <s v="LINK_TO_ITHFHWCMVWPMA13 /10GE.1 /Principal"/>
    <x v="0"/>
    <b v="0"/>
    <s v="No está en VPC"/>
    <n v="819"/>
    <s v="INTPG_ACC_819_1.24"/>
    <s v="ISEL-1.24"/>
    <n v="1"/>
    <s v="NO TIENE L3OUT"/>
    <n v="70"/>
    <n v="54"/>
  </r>
  <r>
    <n v="737"/>
    <x v="2"/>
    <x v="76"/>
    <s v="eth1/24"/>
    <x v="0"/>
    <x v="0"/>
    <x v="0"/>
    <s v="CEM:ITHCEME2KFK12:SLOT1 P1"/>
    <x v="5"/>
    <b v="0"/>
    <s v="No está en VPC"/>
    <n v="737"/>
    <s v="INTPG_ACC_737_1.24"/>
    <s v="ISEL-1.24"/>
    <n v="1"/>
    <s v="NO TIENE L3OUT"/>
    <n v="72"/>
    <n v="54"/>
  </r>
  <r>
    <n v="844"/>
    <x v="2"/>
    <x v="77"/>
    <s v="eth1/24"/>
    <x v="0"/>
    <x v="0"/>
    <x v="0"/>
    <s v="LINK_TO_ITHFHWCRMPLCN108 / Slot1.3_20 / Principal"/>
    <x v="0"/>
    <b v="0"/>
    <s v="No está en VPC"/>
    <n v="844"/>
    <s v="INTPG_ACC_844_1.24"/>
    <s v="ISEL-1.24"/>
    <n v="1"/>
    <s v="NO TIENE L3OUT"/>
    <n v="282"/>
    <n v="54"/>
  </r>
  <r>
    <n v="843"/>
    <x v="2"/>
    <x v="78"/>
    <s v="eth1/24"/>
    <x v="0"/>
    <x v="0"/>
    <x v="0"/>
    <s v="LINK_To_ITHFHWCBSPSWR43 / Slot7.1_30 / Redundante"/>
    <x v="0"/>
    <b v="0"/>
    <s v="No está en VPC"/>
    <n v="843"/>
    <s v="INTPG_VPC_838_1.24_843_1.24"/>
    <s v="ISEL-1.24"/>
    <n v="2"/>
    <s v="NO TIENE L3OUT"/>
    <n v="38"/>
    <n v="54"/>
  </r>
  <r>
    <n v="797"/>
    <x v="2"/>
    <x v="79"/>
    <s v="eth1/24"/>
    <x v="0"/>
    <x v="0"/>
    <x v="0"/>
    <s v="TO-HDPS_26-MSP"/>
    <x v="0"/>
    <b v="0"/>
    <s v="No está en VPC"/>
    <n v="797"/>
    <s v="INTPG_ACC_797_1.24"/>
    <s v="ISEL-1.24"/>
    <n v="1"/>
    <s v="NO TIENE L3OUT"/>
    <n v="48"/>
    <n v="54"/>
  </r>
  <r>
    <n v="839"/>
    <x v="2"/>
    <x v="80"/>
    <s v="eth1/24"/>
    <x v="0"/>
    <x v="0"/>
    <x v="0"/>
    <s v="LINK_TO_ITHFHWCBSPSHD37 / Slot7.3_12 / Redundante"/>
    <x v="0"/>
    <b v="0"/>
    <s v="No está en VPC"/>
    <n v="839"/>
    <s v="INTPG_VPC_834_1.24_839_1.24"/>
    <s v="ISEL-1.24"/>
    <n v="1"/>
    <s v="NO TIENE L3OUT"/>
    <n v="0"/>
    <n v="54"/>
  </r>
  <r>
    <n v="847"/>
    <x v="2"/>
    <x v="81"/>
    <s v="eth1/24"/>
    <x v="0"/>
    <x v="0"/>
    <x v="0"/>
    <s v="LINK_TO_ITHFHWCRMPLCN173 / Slot7.2_16 / Redundante"/>
    <x v="0"/>
    <b v="0"/>
    <s v="No está en VPC"/>
    <n v="847"/>
    <s v="INTPG_ACC_847_1.24"/>
    <s v="ISEL-1.24"/>
    <n v="2"/>
    <s v="NO TIENE L3OUT"/>
    <n v="204"/>
    <n v="54"/>
  </r>
  <r>
    <n v="848"/>
    <x v="2"/>
    <x v="82"/>
    <s v="eth1/24"/>
    <x v="0"/>
    <x v="0"/>
    <x v="0"/>
    <s v="LINK_TO_ITHFHWCRMPLCN162 / Slot7.2_26 / Redundante"/>
    <x v="0"/>
    <b v="0"/>
    <s v="No está en VPC"/>
    <n v="848"/>
    <s v="INTPG_ACC_848_1.24"/>
    <s v="ISEL-1.24"/>
    <n v="2"/>
    <s v="NO TIENE L3OUT"/>
    <n v="254"/>
    <n v="54"/>
  </r>
  <r>
    <n v="846"/>
    <x v="2"/>
    <x v="83"/>
    <s v="eth1/24"/>
    <x v="0"/>
    <x v="0"/>
    <x v="0"/>
    <s v="LINK_TO_ITHFHWCRMPLCN79 / Slot1.3_16 / Principal"/>
    <x v="0"/>
    <b v="0"/>
    <s v="No está en VPC"/>
    <n v="846"/>
    <s v="INTPG_ACC_846_1.24"/>
    <s v="ISEL-1.24"/>
    <n v="1"/>
    <s v="NO TIENE L3OUT"/>
    <n v="242"/>
    <n v="54"/>
  </r>
  <r>
    <n v="838"/>
    <x v="2"/>
    <x v="84"/>
    <s v="eth1/24"/>
    <x v="0"/>
    <x v="0"/>
    <x v="0"/>
    <s v="LINK_To_ITHFHWCBSPSWR43 / Slot1.1_30 / Principal"/>
    <x v="0"/>
    <b v="0"/>
    <s v="No está en VPC"/>
    <n v="838"/>
    <s v="INTPG_VPC_838_1.24_843_1.24"/>
    <s v="ISEL-1.24"/>
    <n v="2"/>
    <s v="NO TIENE L3OUT"/>
    <n v="38"/>
    <n v="54"/>
  </r>
  <r>
    <n v="849"/>
    <x v="2"/>
    <x v="85"/>
    <s v="eth1/24"/>
    <x v="0"/>
    <x v="0"/>
    <x v="0"/>
    <s v="LINK_TO_ITHFHWCRMPLCN142 / Slot7.2_18 / Redundante"/>
    <x v="0"/>
    <b v="0"/>
    <s v="No está en VPC"/>
    <n v="849"/>
    <s v="INTPG_ACC_849_1.24"/>
    <s v="ISEL-1.24"/>
    <n v="2"/>
    <s v="NO TIENE L3OUT"/>
    <n v="286"/>
    <n v="54"/>
  </r>
  <r>
    <n v="845"/>
    <x v="2"/>
    <x v="86"/>
    <s v="eth1/24"/>
    <x v="0"/>
    <x v="0"/>
    <x v="0"/>
    <s v="LINK_TO_ITHFHWCRMPLCN92 / Slot1.1_16 / Principal"/>
    <x v="0"/>
    <b v="0"/>
    <s v="No está en VPC"/>
    <n v="845"/>
    <s v="INTPG_ACC_845_1.24"/>
    <s v="ISEL-1.24"/>
    <n v="6"/>
    <s v="NO TIENE L3OUT"/>
    <n v="258"/>
    <n v="54"/>
  </r>
  <r>
    <n v="873"/>
    <x v="2"/>
    <x v="87"/>
    <s v="eth1/24"/>
    <x v="0"/>
    <x v="0"/>
    <x v="0"/>
    <s v="TO_ITHFHWCRMDLCN61_Principal"/>
    <x v="0"/>
    <b v="0"/>
    <s v="No está en VPC"/>
    <n v="873"/>
    <s v="INTPG_ACC_873_1.24"/>
    <s v="ISEL-1.24"/>
    <n v="6"/>
    <s v="NO TIENE L3OUT"/>
    <n v="248"/>
    <n v="54"/>
  </r>
  <r>
    <n v="864"/>
    <x v="2"/>
    <x v="88"/>
    <s v="eth1/24"/>
    <x v="0"/>
    <x v="0"/>
    <x v="0"/>
    <s v="To_VPC_2DCBSD_WR43_3"/>
    <x v="0"/>
    <b v="0"/>
    <s v="No está en VPC"/>
    <n v="864"/>
    <s v="INTPG_VPC_859_1.24_864_1.24"/>
    <s v="ISEL-1.24"/>
    <n v="1"/>
    <s v="NO TIENE L3OUT"/>
    <n v="0"/>
    <n v="54"/>
  </r>
  <r>
    <n v="836"/>
    <x v="2"/>
    <x v="89"/>
    <s v="eth1/24"/>
    <x v="0"/>
    <x v="0"/>
    <x v="0"/>
    <s v="LINK_TO_ITHFHWCBSPSWR53 / Slot1.2_34 / Principal"/>
    <x v="0"/>
    <b v="0"/>
    <s v="No está en VPC"/>
    <n v="836"/>
    <s v="INTPG_VPC_836_1.24_841_1.24"/>
    <s v="ISEL-1.24"/>
    <n v="1"/>
    <s v="NO TIENE L3OUT"/>
    <n v="0"/>
    <n v="54"/>
  </r>
  <r>
    <n v="834"/>
    <x v="2"/>
    <x v="90"/>
    <s v="eth1/24"/>
    <x v="0"/>
    <x v="0"/>
    <x v="0"/>
    <s v="LINK_TO_ITHFHWCBSPSHD37 / Slot1.3_12 / Principal"/>
    <x v="0"/>
    <b v="0"/>
    <s v="No está en VPC"/>
    <n v="834"/>
    <s v="INTPG_VPC_834_1.24_839_1.24"/>
    <s v="ISEL-1.24"/>
    <n v="1"/>
    <s v="NO TIENE L3OUT"/>
    <n v="0"/>
    <n v="54"/>
  </r>
  <r>
    <n v="872"/>
    <x v="2"/>
    <x v="91"/>
    <s v="eth1/24"/>
    <x v="0"/>
    <x v="0"/>
    <x v="0"/>
    <s v="To_ITHFHWCRMDLCN77_Principal"/>
    <x v="0"/>
    <b v="0"/>
    <s v="No está en VPC"/>
    <n v="872"/>
    <s v="INTPG_ACC_872_1.24"/>
    <s v="ISEL-1.24"/>
    <n v="6"/>
    <s v="NO TIENE L3OUT"/>
    <n v="288"/>
    <n v="54"/>
  </r>
  <r>
    <n v="842"/>
    <x v="2"/>
    <x v="92"/>
    <s v="eth1/24"/>
    <x v="0"/>
    <x v="0"/>
    <x v="0"/>
    <s v="LINK_TO_ITHFHWCBSPSWR47 / Slot7.2_30 / Redundante"/>
    <x v="0"/>
    <b v="0"/>
    <s v="No está en VPC"/>
    <n v="842"/>
    <s v="INTPG_VPC_837_1.24_842_1.24"/>
    <s v="ISEL-1.24"/>
    <n v="1"/>
    <s v="NO TIENE L3OUT"/>
    <n v="8"/>
    <n v="54"/>
  </r>
  <r>
    <n v="828"/>
    <x v="2"/>
    <x v="93"/>
    <s v="eth1/24"/>
    <x v="0"/>
    <x v="0"/>
    <x v="0"/>
    <s v="LINK_TO_ITHFHWCRMDLCN23 /10GE.1 /Principal"/>
    <x v="0"/>
    <b v="0"/>
    <s v="No está en VPC"/>
    <n v="828"/>
    <s v="INTPG_ACC_828_1.24"/>
    <s v="ISEL-1.24"/>
    <n v="2"/>
    <s v="NO TIENE L3OUT"/>
    <n v="192"/>
    <n v="54"/>
  </r>
  <r>
    <n v="870"/>
    <x v="2"/>
    <x v="94"/>
    <s v="eth1/24"/>
    <x v="0"/>
    <x v="0"/>
    <x v="0"/>
    <s v="TO_ITHFHWCRMDLCN61_Redundante"/>
    <x v="0"/>
    <b v="0"/>
    <s v="No está en VPC"/>
    <n v="870"/>
    <s v="INTPG_ACC_870_1.24"/>
    <s v="ISEL-1.24"/>
    <n v="6"/>
    <s v="NO TIENE L3OUT"/>
    <n v="248"/>
    <n v="54"/>
  </r>
  <r>
    <n v="866"/>
    <x v="2"/>
    <x v="95"/>
    <s v="eth1/24"/>
    <x v="0"/>
    <x v="0"/>
    <x v="0"/>
    <s v="To_VPC_2DCBSD_HD24_2"/>
    <x v="0"/>
    <b v="0"/>
    <s v="No está en VPC"/>
    <n v="866"/>
    <s v="INTPG_VPC_861_1.24_866_1.24"/>
    <s v="ISEL-1.24"/>
    <n v="1"/>
    <s v="NO TIENE L3OUT"/>
    <n v="8"/>
    <n v="54"/>
  </r>
  <r>
    <n v="862"/>
    <x v="2"/>
    <x v="96"/>
    <s v="eth1/24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24"/>
    <x v="0"/>
    <x v="0"/>
    <x v="0"/>
    <s v="LINK_TO_ITHFHWCRMPLCN162 / Slot1.2_26 / Principal"/>
    <x v="0"/>
    <b v="0"/>
    <s v="No está en VPC"/>
    <n v="855"/>
    <s v="INTPG_ACC_855_1.24"/>
    <s v="ISEL-1.24"/>
    <n v="2"/>
    <s v="NO TIENE L3OUT"/>
    <n v="254"/>
    <n v="54"/>
  </r>
  <r>
    <n v="871"/>
    <x v="2"/>
    <x v="98"/>
    <s v="eth1/24"/>
    <x v="0"/>
    <x v="0"/>
    <x v="0"/>
    <s v="To_VPC_2DCRMD_SBD10_3"/>
    <x v="0"/>
    <b v="0"/>
    <s v="No está en VPC"/>
    <n v="871"/>
    <s v="INTPG_VPC_868_1.24_871_1.24"/>
    <s v="ISEL-1.24"/>
    <n v="1"/>
    <s v="NO TIENE L3OUT"/>
    <n v="246"/>
    <n v="54"/>
  </r>
  <r>
    <n v="841"/>
    <x v="2"/>
    <x v="99"/>
    <s v="eth1/24"/>
    <x v="0"/>
    <x v="0"/>
    <x v="0"/>
    <s v="LINK_TO_ITHFHWCBSPSWR53 / Slot7.2_34 / Redundante"/>
    <x v="0"/>
    <b v="0"/>
    <s v="No está en VPC"/>
    <n v="841"/>
    <s v="INTPG_VPC_836_1.24_841_1.24"/>
    <s v="ISEL-1.24"/>
    <n v="1"/>
    <s v="NO TIENE L3OUT"/>
    <n v="0"/>
    <n v="54"/>
  </r>
  <r>
    <n v="868"/>
    <x v="2"/>
    <x v="100"/>
    <s v="eth1/24"/>
    <x v="0"/>
    <x v="0"/>
    <x v="0"/>
    <s v="To_VPC_2DCRMD_SBD10_3"/>
    <x v="0"/>
    <b v="0"/>
    <s v="No está en VPC"/>
    <n v="868"/>
    <s v="INTPG_VPC_868_1.24_871_1.24"/>
    <s v="ISEL-1.24"/>
    <n v="1"/>
    <s v="NO TIENE L3OUT"/>
    <n v="246"/>
    <n v="54"/>
  </r>
  <r>
    <n v="869"/>
    <x v="2"/>
    <x v="101"/>
    <s v="eth1/24"/>
    <x v="0"/>
    <x v="0"/>
    <x v="0"/>
    <s v="To_ITHFHWCRMDLCN77_Redundante"/>
    <x v="0"/>
    <b v="0"/>
    <s v="No está en VPC"/>
    <n v="869"/>
    <s v="INTPG_ACC_869_1.24"/>
    <s v="ISEL-1.24"/>
    <n v="6"/>
    <s v="NO TIENE L3OUT"/>
    <n v="288"/>
    <n v="54"/>
  </r>
  <r>
    <n v="861"/>
    <x v="2"/>
    <x v="102"/>
    <s v="eth1/24"/>
    <x v="0"/>
    <x v="0"/>
    <x v="0"/>
    <s v="To_VPC_2DCBSD_HD24_2"/>
    <x v="0"/>
    <b v="0"/>
    <s v="No está en VPC"/>
    <n v="861"/>
    <s v="INTPG_VPC_861_1.24_866_1.24"/>
    <s v="ISEL-1.24"/>
    <n v="1"/>
    <s v="NO TIENE L3OUT"/>
    <n v="8"/>
    <n v="54"/>
  </r>
  <r>
    <n v="874"/>
    <x v="2"/>
    <x v="103"/>
    <s v="eth1/24"/>
    <x v="0"/>
    <x v="0"/>
    <x v="0"/>
    <s v="A_ITHFHWSEQLCAS23_Redundante"/>
    <x v="4"/>
    <b v="0"/>
    <s v="No está en VPC"/>
    <n v="874"/>
    <s v="INTPG_ACC_874_1.24"/>
    <s v="ISEL-1.24"/>
    <n v="1"/>
    <s v="NO TIENE L3OUT"/>
    <n v="92"/>
    <n v="54"/>
  </r>
  <r>
    <n v="865"/>
    <x v="2"/>
    <x v="104"/>
    <s v="eth1/24"/>
    <x v="0"/>
    <x v="0"/>
    <x v="0"/>
    <s v="To_VPC_2DCBSD_HD30_3"/>
    <x v="0"/>
    <b v="0"/>
    <s v="No está en VPC"/>
    <n v="865"/>
    <s v="INTPG_VPC_860_1.24_865_1.24"/>
    <s v="ISEL-1.24"/>
    <n v="1"/>
    <s v="NO TIENE L3OUT"/>
    <n v="0"/>
    <n v="54"/>
  </r>
  <r>
    <n v="753"/>
    <x v="2"/>
    <x v="105"/>
    <s v="eth1/24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24"/>
    <x v="0"/>
    <x v="1"/>
    <x v="5"/>
    <s v="CEM:ITHCEME2KFK12:LOM  P2"/>
    <x v="0"/>
    <b v="0"/>
    <s v="No está en VPC"/>
    <n v="708"/>
    <s v="INTPG_VPC_708_1.24_709_1.23"/>
    <s v="ISEL-1.24"/>
    <n v="1"/>
    <s v="NO TIENE L3OUT"/>
    <n v="0"/>
    <n v="54"/>
  </r>
  <r>
    <n v="710"/>
    <x v="2"/>
    <x v="107"/>
    <s v="eth1/24"/>
    <x v="0"/>
    <x v="1"/>
    <x v="5"/>
    <s v="CEM:ITHCEMC2ADT12:LOM  P2"/>
    <x v="0"/>
    <b v="0"/>
    <s v="No está en VPC"/>
    <n v="710"/>
    <s v="INTPG_VPC_710_1.24_711_1.23"/>
    <s v="ISEL-1.24"/>
    <n v="1"/>
    <s v="NO TIENE L3OUT"/>
    <n v="16"/>
    <n v="54"/>
  </r>
  <r>
    <n v="713"/>
    <x v="2"/>
    <x v="108"/>
    <s v="eth1/24"/>
    <x v="0"/>
    <x v="1"/>
    <x v="5"/>
    <s v="CEM:ITHCEMB2ADT12:LOM  P2"/>
    <x v="0"/>
    <b v="0"/>
    <s v="No está en VPC"/>
    <n v="713"/>
    <s v="INTPG_VPC_712_1.23_713_1.24"/>
    <s v="ISEL-1.24"/>
    <n v="1"/>
    <s v="NO TIENE L3OUT"/>
    <n v="32"/>
    <n v="54"/>
  </r>
  <r>
    <n v="735"/>
    <x v="2"/>
    <x v="109"/>
    <s v="eth1/24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24"/>
    <x v="0"/>
    <x v="0"/>
    <x v="0"/>
    <s v="Server_Pre-R02-CBS-RH2288-08"/>
    <x v="0"/>
    <b v="0"/>
    <s v="No está en VPC"/>
    <n v="731"/>
    <s v="INTPG_ACC_731_1.24"/>
    <s v="ISEL-1.24"/>
    <n v="1"/>
    <s v="NO TIENE L3OUT"/>
    <n v="38"/>
    <n v="54"/>
  </r>
  <r>
    <n v="703"/>
    <x v="2"/>
    <x v="111"/>
    <s v="eth1/24"/>
    <x v="0"/>
    <x v="0"/>
    <x v="0"/>
    <m/>
    <x v="0"/>
    <b v="0"/>
    <s v="No está en VPC"/>
    <n v="703"/>
    <s v="INTPG_VPC_704_1.23_703_1.24"/>
    <s v="ISEL-1.24"/>
    <n v="1"/>
    <s v="NO TIENE L3OUT"/>
    <n v="2"/>
    <n v="54"/>
  </r>
  <r>
    <n v="706"/>
    <x v="2"/>
    <x v="112"/>
    <s v="eth1/24"/>
    <x v="0"/>
    <x v="0"/>
    <x v="0"/>
    <m/>
    <x v="0"/>
    <b v="0"/>
    <s v="No está en VPC"/>
    <n v="706"/>
    <s v="INTPG_VPC_705_1.23_706_1.24"/>
    <s v="ISEL-1.24"/>
    <n v="1"/>
    <s v="NO TIENE L3OUT"/>
    <n v="16"/>
    <n v="54"/>
  </r>
  <r>
    <n v="762"/>
    <x v="2"/>
    <x v="113"/>
    <s v="eth1/24"/>
    <x v="0"/>
    <x v="0"/>
    <x v="0"/>
    <s v="PAAS:ithhwosstpap009:LOM PORT 3"/>
    <x v="0"/>
    <b v="0"/>
    <s v="No está en VPC"/>
    <n v="762"/>
    <s v="INTPG_VPC_762_1.24_763_1.24"/>
    <s v="ISEL-1.24"/>
    <n v="15"/>
    <s v="NO TIENE L3OUT"/>
    <n v="0"/>
    <n v="54"/>
  </r>
  <r>
    <n v="814"/>
    <x v="2"/>
    <x v="114"/>
    <s v="eth1/24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24"/>
    <x v="0"/>
    <x v="0"/>
    <x v="0"/>
    <s v="HACIA_MGMT-OSCP-F4-16_SECUNDARIO"/>
    <x v="4"/>
    <b v="0"/>
    <s v="No está en VPC"/>
    <n v="878"/>
    <s v="INTPG_VPC_878_1.24_879_1.24"/>
    <s v="ISEL-1.24"/>
    <n v="1"/>
    <s v="NO TIENE L3OUT"/>
    <n v="0"/>
    <n v="54"/>
  </r>
  <r>
    <n v="826"/>
    <x v="2"/>
    <x v="116"/>
    <s v="eth1/24"/>
    <x v="0"/>
    <x v="0"/>
    <x v="0"/>
    <s v="LINK_TO_ITHFHWCBSDSHD17 /Slot4.2 /Principal"/>
    <x v="0"/>
    <b v="0"/>
    <s v="No está en VPC"/>
    <n v="826"/>
    <s v="INTPG_VPC_826_1.24_830_1.24"/>
    <s v="ISEL-1.24"/>
    <n v="1"/>
    <s v="NO TIENE L3OUT"/>
    <n v="12"/>
    <n v="54"/>
  </r>
  <r>
    <n v="726"/>
    <x v="2"/>
    <x v="117"/>
    <s v="eth1/24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24"/>
    <x v="0"/>
    <x v="0"/>
    <x v="0"/>
    <s v="CEM:ITHCEMD2AKG12:SLOT1 P1"/>
    <x v="5"/>
    <b v="0"/>
    <s v="No está en VPC"/>
    <n v="740"/>
    <s v="INTPG_ACC_740_1.24"/>
    <s v="ISEL-1.24"/>
    <n v="1"/>
    <s v="NO TIENE L3OUT"/>
    <n v="72"/>
    <n v="54"/>
  </r>
  <r>
    <n v="705"/>
    <x v="2"/>
    <x v="119"/>
    <s v="eth1/24"/>
    <x v="0"/>
    <x v="0"/>
    <x v="0"/>
    <s v="ITHOIDA1SVR12"/>
    <x v="0"/>
    <b v="0"/>
    <s v="No está en VPC"/>
    <n v="705"/>
    <s v="INTPG_VPC_705_1.24_706_1.23"/>
    <s v="ISEL-1.24"/>
    <n v="1"/>
    <s v="NO TIENE L3OUT"/>
    <n v="16"/>
    <n v="54"/>
  </r>
  <r>
    <n v="723"/>
    <x v="2"/>
    <x v="120"/>
    <s v="eth1/24"/>
    <x v="0"/>
    <x v="0"/>
    <x v="0"/>
    <m/>
    <x v="0"/>
    <b v="0"/>
    <s v="No está en VPC"/>
    <n v="723"/>
    <s v="INTPG-VPC_HDD122_722_1.23_723_1.24"/>
    <s v="ISEL-1.24"/>
    <n v="1"/>
    <s v="NO TIENE L3OUT"/>
    <n v="0"/>
    <n v="54"/>
  </r>
  <r>
    <n v="721"/>
    <x v="2"/>
    <x v="121"/>
    <s v="eth1/24"/>
    <x v="0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24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24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24"/>
    <x v="0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24"/>
    <x v="0"/>
    <x v="1"/>
    <x v="5"/>
    <s v="CEM:ITHCEMF2KFK12:LOM  P2"/>
    <x v="0"/>
    <b v="0"/>
    <s v="No está en VPC"/>
    <n v="709"/>
    <s v="INTPG_VPC_708_1.23_709_1.24"/>
    <s v="ISEL-1.24"/>
    <n v="1"/>
    <s v="NO TIENE L3OUT"/>
    <n v="0"/>
    <n v="54"/>
  </r>
  <r>
    <n v="454"/>
    <x v="1"/>
    <x v="126"/>
    <s v="eth1/24"/>
    <x v="0"/>
    <x v="0"/>
    <x v="0"/>
    <s v="HACIA_MGMT-OSCP-F4-04_PRINCIPAL"/>
    <x v="4"/>
    <b v="0"/>
    <s v="No está en VPC"/>
    <n v="454"/>
    <s v="INTPG_VPC_454_1.24_456_1.24"/>
    <s v="ISEL-1.24"/>
    <n v="1"/>
    <s v="NO TIENE L3OUT"/>
    <n v="4"/>
    <n v="54"/>
  </r>
  <r>
    <n v="734"/>
    <x v="2"/>
    <x v="127"/>
    <s v="eth1/24"/>
    <x v="0"/>
    <x v="1"/>
    <x v="1"/>
    <s v="ITHCEMA1APP19"/>
    <x v="5"/>
    <b v="0"/>
    <s v="No está en VPC"/>
    <n v="734"/>
    <s v="INTPG_ACC_734_1.24"/>
    <s v="ISEL-1.24"/>
    <n v="1"/>
    <s v="NO TIENE L3OUT"/>
    <n v="32"/>
    <n v="54"/>
  </r>
  <r>
    <n v="815"/>
    <x v="2"/>
    <x v="128"/>
    <s v="eth1/24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24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24"/>
    <x v="0"/>
    <x v="0"/>
    <x v="0"/>
    <m/>
    <x v="0"/>
    <b v="0"/>
    <s v="No está en VPC"/>
    <n v="718"/>
    <s v="INTPG-VPC_NND02_717_1.23_718_1.24"/>
    <s v="ISEL-1.24"/>
    <n v="1"/>
    <s v="NO TIENE L3OUT"/>
    <n v="0"/>
    <n v="54"/>
  </r>
  <r>
    <n v="744"/>
    <x v="2"/>
    <x v="131"/>
    <s v="eth1/24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24"/>
    <x v="0"/>
    <x v="1"/>
    <x v="1"/>
    <s v="CEM:ITHCEMA2ADT12:SLOT1 P1"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24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24"/>
    <x v="0"/>
    <x v="1"/>
    <x v="3"/>
    <m/>
    <x v="0"/>
    <b v="0"/>
    <s v="No está en VPC"/>
    <n v="750"/>
    <s v="INTPG_ACC_750_1.24"/>
    <s v="ISEL-1.24"/>
    <n v="1"/>
    <s v="NO TIENE L3OUT"/>
    <n v="2"/>
    <n v="54"/>
  </r>
  <r>
    <n v="792"/>
    <x v="2"/>
    <x v="135"/>
    <s v="eth1/24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24"/>
    <x v="0"/>
    <x v="1"/>
    <x v="3"/>
    <s v="CEM_HADOOP"/>
    <x v="0"/>
    <b v="0"/>
    <s v="No está en VPC"/>
    <n v="736"/>
    <s v="INTPG_ACC_736_1.24"/>
    <s v="ISEL-1.24"/>
    <n v="1"/>
    <s v="NO TIENE L3OUT"/>
    <n v="48"/>
    <n v="54"/>
  </r>
  <r>
    <n v="799"/>
    <x v="2"/>
    <x v="137"/>
    <s v="eth1/24"/>
    <x v="0"/>
    <x v="0"/>
    <x v="0"/>
    <s v="TO-IMC_PS12-MSP"/>
    <x v="0"/>
    <b v="0"/>
    <s v="No está en VPC"/>
    <n v="799"/>
    <s v="INTPG_ACC_799_1.24"/>
    <s v="ISEL-1.24"/>
    <n v="1"/>
    <s v="NO TIENE L3OUT"/>
    <n v="52"/>
    <n v="54"/>
  </r>
  <r>
    <n v="768"/>
    <x v="2"/>
    <x v="138"/>
    <s v="eth1/24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24"/>
    <x v="0"/>
    <x v="1"/>
    <x v="5"/>
    <m/>
    <x v="0"/>
    <b v="0"/>
    <s v="No está en VPC"/>
    <n v="714"/>
    <s v="INTPG-VPC_GNX01_721_1.23_714_1.24"/>
    <s v="ISEL-1.24"/>
    <n v="2"/>
    <s v="NO TIENE L3OUT"/>
    <n v="20"/>
    <n v="54"/>
  </r>
  <r>
    <n v="717"/>
    <x v="2"/>
    <x v="140"/>
    <s v="eth1/24"/>
    <x v="0"/>
    <x v="0"/>
    <x v="0"/>
    <m/>
    <x v="0"/>
    <b v="0"/>
    <s v="No está en VPC"/>
    <n v="717"/>
    <s v="INTPG-VPC_NND01_718_1.23_717_1.24"/>
    <s v="ISEL-1.24"/>
    <n v="1"/>
    <s v="NO TIENE L3OUT"/>
    <n v="0"/>
    <n v="54"/>
  </r>
  <r>
    <n v="789"/>
    <x v="2"/>
    <x v="141"/>
    <s v="eth1/24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24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24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24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24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24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24"/>
    <x v="0"/>
    <x v="0"/>
    <x v="0"/>
    <s v="TO-HDPS_50-MSP"/>
    <x v="0"/>
    <b v="0"/>
    <s v="No está en VPC"/>
    <n v="803"/>
    <s v="INTPG_ACC_803_1.24"/>
    <s v="ISEL-1.24"/>
    <n v="1"/>
    <s v="NO TIENE L3OUT"/>
    <n v="48"/>
    <n v="54"/>
  </r>
  <r>
    <n v="786"/>
    <x v="2"/>
    <x v="148"/>
    <s v="eth1/24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24"/>
    <x v="0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24"/>
    <x v="0"/>
    <x v="0"/>
    <x v="0"/>
    <s v="CLOUD OPS:ithhwcop02en01:3X P3"/>
    <x v="0"/>
    <b v="0"/>
    <s v="No está en VPC"/>
    <n v="781"/>
    <s v="INTPG_VPC_780_1.22-25_781_1.22-25"/>
    <s v="ISEL-1.24"/>
    <n v="23"/>
    <s v="NO TIENE L3OUT"/>
    <n v="26"/>
    <n v="54"/>
  </r>
  <r>
    <n v="793"/>
    <x v="2"/>
    <x v="151"/>
    <s v="eth1/24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24"/>
    <x v="0"/>
    <x v="0"/>
    <x v="0"/>
    <s v="PAAS:ithhwosstpap009:Slot6.1"/>
    <x v="0"/>
    <b v="0"/>
    <s v="No está en VPC"/>
    <n v="747"/>
    <s v="INTPG_VPC_747_1.24_752_1.24"/>
    <s v="ISEL-1.24"/>
    <n v="25"/>
    <s v="NO TIENE L3OUT"/>
    <n v="0"/>
    <n v="54"/>
  </r>
  <r>
    <n v="784"/>
    <x v="2"/>
    <x v="153"/>
    <s v="eth1/24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24"/>
    <x v="0"/>
    <x v="0"/>
    <x v="0"/>
    <m/>
    <x v="0"/>
    <b v="0"/>
    <s v="No está en VPC"/>
    <n v="806"/>
    <s v="INTPG_PC_806_1.23-26"/>
    <s v="ISEL-1.24"/>
    <n v="0"/>
    <s v="L3OUT-OCS-RED-SIG-IP"/>
    <n v="44"/>
    <n v="54"/>
  </r>
  <r>
    <n v="777"/>
    <x v="2"/>
    <x v="155"/>
    <s v="eth1/24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24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24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24"/>
    <x v="0"/>
    <x v="0"/>
    <x v="0"/>
    <s v="CEM:ITHCEMC2ADT12:SLOT1 P1"/>
    <x v="5"/>
    <b v="0"/>
    <s v="No está en VPC"/>
    <n v="739"/>
    <s v="INTPG_ACC_739_1.24"/>
    <s v="ISEL-1.24"/>
    <n v="1"/>
    <s v="NO TIENE L3OUT"/>
    <n v="72"/>
    <n v="54"/>
  </r>
  <r>
    <n v="775"/>
    <x v="2"/>
    <x v="159"/>
    <s v="eth1/24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24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24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24"/>
    <x v="0"/>
    <x v="0"/>
    <x v="0"/>
    <s v="LINK_TO_ITHFHWCBSDSHD17 /Slot6.2 /Redundante"/>
    <x v="0"/>
    <b v="0"/>
    <s v="No está en VPC"/>
    <n v="830"/>
    <s v="INTPG_VPC_826_1.24_830_1.24"/>
    <s v="ISEL-1.24"/>
    <n v="1"/>
    <s v="NO TIENE L3OUT"/>
    <n v="12"/>
    <n v="54"/>
  </r>
  <r>
    <n v="821"/>
    <x v="2"/>
    <x v="163"/>
    <s v="eth1/24"/>
    <x v="0"/>
    <x v="0"/>
    <x v="0"/>
    <s v="LINK_TO_ITHFHWCBSPSHD17 /Slot6.2 /Redundante"/>
    <x v="0"/>
    <b v="0"/>
    <s v="No está en VPC"/>
    <n v="821"/>
    <s v="INTPG_VPC_816_1.24_821_1.24"/>
    <s v="ISEL-1.24"/>
    <n v="1"/>
    <s v="NO TIENE L3OUT"/>
    <n v="0"/>
    <n v="54"/>
  </r>
  <r>
    <n v="738"/>
    <x v="2"/>
    <x v="164"/>
    <s v="eth1/24"/>
    <x v="0"/>
    <x v="0"/>
    <x v="0"/>
    <s v="CEM:ITHCEMF2KFK12:SLOT1 P1"/>
    <x v="5"/>
    <b v="0"/>
    <s v="No está en VPC"/>
    <n v="738"/>
    <s v="INTPG_ACC_738_1.24"/>
    <s v="ISEL-1.24"/>
    <n v="1"/>
    <s v="NO TIENE L3OUT"/>
    <n v="72"/>
    <n v="54"/>
  </r>
  <r>
    <n v="820"/>
    <x v="2"/>
    <x v="165"/>
    <s v="eth1/24"/>
    <x v="0"/>
    <x v="0"/>
    <x v="0"/>
    <s v="LINKT_TO_ITHFHWCRMPLCN132 / Slot7.3_34 / Redundante"/>
    <x v="0"/>
    <b v="0"/>
    <s v="No está en VPC"/>
    <n v="820"/>
    <s v="INTPG_ACC_820_1.24"/>
    <s v="ISEL-1.24"/>
    <n v="1"/>
    <s v="NO TIENE L3OUT"/>
    <n v="72"/>
    <n v="54"/>
  </r>
  <r>
    <n v="804"/>
    <x v="2"/>
    <x v="166"/>
    <s v="eth1/24"/>
    <x v="0"/>
    <x v="0"/>
    <x v="0"/>
    <s v="TO-HDPS_50-MSP"/>
    <x v="0"/>
    <b v="0"/>
    <s v="No está en VPC"/>
    <n v="804"/>
    <s v="INTPG_ACC_804_1.24"/>
    <s v="ISEL-1.24"/>
    <n v="1"/>
    <s v="NO TIENE L3OUT"/>
    <n v="48"/>
    <n v="54"/>
  </r>
  <r>
    <n v="779"/>
    <x v="2"/>
    <x v="167"/>
    <s v="eth1/24"/>
    <x v="0"/>
    <x v="0"/>
    <x v="0"/>
    <s v="eSight:ITHHWC1ESI02:Slot 1 P1"/>
    <x v="0"/>
    <b v="0"/>
    <s v="No está en VPC"/>
    <n v="779"/>
    <s v="INTPG_VPC_778_1.24_779_1.24"/>
    <s v="ISEL-1.24"/>
    <n v="1"/>
    <s v="NO TIENE L3OUT"/>
    <n v="30"/>
    <n v="54"/>
  </r>
  <r>
    <n v="767"/>
    <x v="2"/>
    <x v="168"/>
    <s v="eth1/24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24"/>
    <x v="0"/>
    <x v="0"/>
    <x v="0"/>
    <s v="LINK_TO_ITHFHWCBSDSWR24 /10GE.1 /Principal"/>
    <x v="0"/>
    <b v="0"/>
    <s v="No está en VPC"/>
    <n v="827"/>
    <s v="INTPG_VPC_827_1.24_831_1.24"/>
    <s v="ISEL-1.24"/>
    <n v="1"/>
    <s v="NO TIENE L3OUT"/>
    <n v="14"/>
    <n v="54"/>
  </r>
  <r>
    <n v="809"/>
    <x v="2"/>
    <x v="170"/>
    <s v="eth1/24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24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24"/>
    <x v="0"/>
    <x v="0"/>
    <x v="0"/>
    <s v="TO-9S_BESDR_IXTLA3_1"/>
    <x v="0"/>
    <b v="0"/>
    <s v="No está en VPC"/>
    <n v="761"/>
    <s v="INTPG_VPC_760_1.21-24_761_1.21-24"/>
    <s v="ISEL-1.24"/>
    <n v="33"/>
    <s v="NO TIENE L3OUT"/>
    <n v="0"/>
    <n v="54"/>
  </r>
  <r>
    <n v="776"/>
    <x v="2"/>
    <x v="173"/>
    <s v="eth1/24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24"/>
    <x v="0"/>
    <x v="0"/>
    <x v="0"/>
    <m/>
    <x v="0"/>
    <b v="0"/>
    <s v="No está en VPC"/>
    <n v="805"/>
    <s v="INTPG_PC_805_1.23-26"/>
    <s v="ISEL-1.24"/>
    <n v="0"/>
    <s v="L3OUT-OCS-RED-SIG-IP"/>
    <n v="44"/>
    <n v="54"/>
  </r>
  <r>
    <n v="772"/>
    <x v="2"/>
    <x v="175"/>
    <s v="eth1/24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24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24"/>
    <x v="0"/>
    <x v="0"/>
    <x v="0"/>
    <s v="LINK_TO_ITHFHWCRMPLCN108 / Slot7.3_20 / Redundante"/>
    <x v="0"/>
    <b v="0"/>
    <s v="No está en VPC"/>
    <n v="851"/>
    <s v="INTPG_ACC_851_1.24"/>
    <s v="ISEL-1.24"/>
    <n v="1"/>
    <s v="NO TIENE L3OUT"/>
    <n v="282"/>
    <n v="54"/>
  </r>
  <r>
    <n v="798"/>
    <x v="2"/>
    <x v="178"/>
    <s v="eth1/24"/>
    <x v="0"/>
    <x v="0"/>
    <x v="0"/>
    <s v="TO-IMC_PS12-MSP"/>
    <x v="0"/>
    <b v="0"/>
    <s v="No está en VPC"/>
    <n v="798"/>
    <s v="INTPG_ACC_798_1.24"/>
    <s v="ISEL-1.24"/>
    <n v="1"/>
    <s v="NO TIENE L3OUT"/>
    <n v="52"/>
    <n v="54"/>
  </r>
  <r>
    <n v="782"/>
    <x v="2"/>
    <x v="179"/>
    <s v="eth1/24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24"/>
    <x v="0"/>
    <x v="0"/>
    <x v="0"/>
    <s v="LINK_TO_ITHFHWCRMPLCN92 / Slot7.1_16 / Redundante"/>
    <x v="0"/>
    <b v="0"/>
    <s v="No está en VPC"/>
    <n v="852"/>
    <s v="INTPG_ACC_852_1.24"/>
    <s v="ISEL-1.24"/>
    <n v="6"/>
    <s v="NO TIENE L3OUT"/>
    <n v="258"/>
    <n v="54"/>
  </r>
  <r>
    <n v="817"/>
    <x v="2"/>
    <x v="181"/>
    <s v="eth1/24"/>
    <x v="0"/>
    <x v="0"/>
    <x v="0"/>
    <s v="LINK_TO_ITHFHWCBSPSUSBD16 /Slot4.2 /Principal"/>
    <x v="0"/>
    <b v="0"/>
    <s v="No está en VPC"/>
    <n v="817"/>
    <s v="INTPG_VPC_817_1.24_822_1.24"/>
    <s v="ISEL-1.24"/>
    <n v="1"/>
    <s v="NO TIENE L3OUT"/>
    <n v="0"/>
    <n v="54"/>
  </r>
  <r>
    <n v="832"/>
    <x v="2"/>
    <x v="182"/>
    <s v="eth1/24"/>
    <x v="0"/>
    <x v="0"/>
    <x v="0"/>
    <s v="LINK_TO_ITHFHWCRMDLCN23 /Slot5.1 /Redundante"/>
    <x v="0"/>
    <b v="0"/>
    <s v="No está en VPC"/>
    <n v="832"/>
    <s v="INTPG_ACC_832_1.24"/>
    <s v="ISEL-1.24"/>
    <n v="2"/>
    <s v="NO TIENE L3OUT"/>
    <n v="192"/>
    <n v="54"/>
  </r>
  <r>
    <n v="816"/>
    <x v="2"/>
    <x v="183"/>
    <s v="eth1/24"/>
    <x v="0"/>
    <x v="0"/>
    <x v="0"/>
    <s v="LINK_TO_ITHFHWCBSPSHD17 /Slot4.2 /Principal"/>
    <x v="0"/>
    <b v="0"/>
    <s v="No está en VPC"/>
    <n v="816"/>
    <s v="INTPG_VPC_816_1.24_821_1.24"/>
    <s v="ISEL-1.24"/>
    <n v="1"/>
    <s v="NO TIENE L3OUT"/>
    <n v="0"/>
    <n v="54"/>
  </r>
  <r>
    <n v="825"/>
    <x v="2"/>
    <x v="184"/>
    <s v="eth1/24"/>
    <x v="0"/>
    <x v="0"/>
    <x v="0"/>
    <s v="LINKT_TO_ITHFHWCRMPLCN132 / Slot1.3_34 / Principal"/>
    <x v="0"/>
    <b v="0"/>
    <s v="No está en VPC"/>
    <n v="825"/>
    <s v="INTPG_ACC_825_1.24"/>
    <s v="ISEL-1.24"/>
    <n v="1"/>
    <s v="NO TIENE L3OUT"/>
    <n v="72"/>
    <n v="54"/>
  </r>
  <r>
    <n v="800"/>
    <x v="2"/>
    <x v="185"/>
    <s v="eth1/24"/>
    <x v="0"/>
    <x v="0"/>
    <x v="0"/>
    <s v="TO-ITHFHWSEQLCAS04-MSP"/>
    <x v="0"/>
    <b v="0"/>
    <s v="No está en VPC"/>
    <n v="800"/>
    <s v="INTPG_ACC_800_1.24"/>
    <s v="ISEL-1.24"/>
    <n v="1"/>
    <s v="NO TIENE L3OUT"/>
    <n v="78"/>
    <n v="54"/>
  </r>
  <r>
    <n v="801"/>
    <x v="2"/>
    <x v="186"/>
    <s v="eth1/24"/>
    <x v="0"/>
    <x v="0"/>
    <x v="0"/>
    <s v="TO-ITHFHWSEQLCAS04-MSP"/>
    <x v="0"/>
    <b v="0"/>
    <s v="No está en VPC"/>
    <n v="801"/>
    <s v="INTPG_ACC_801_1.24"/>
    <s v="ISEL-1.24"/>
    <n v="1"/>
    <s v="NO TIENE L3OUT"/>
    <n v="78"/>
    <n v="54"/>
  </r>
  <r>
    <n v="823"/>
    <x v="2"/>
    <x v="187"/>
    <s v="eth1/24"/>
    <x v="0"/>
    <x v="0"/>
    <x v="0"/>
    <s v="LINK_TO_ITHFHWCBSPSWR32 /Slot5.1 /Redundante"/>
    <x v="0"/>
    <b v="0"/>
    <s v="No está en VPC"/>
    <n v="823"/>
    <s v="INTPG_VPC_818_1.24_823_1.24"/>
    <s v="ISEL-1.24"/>
    <n v="1"/>
    <s v="NO TIENE L3OUT"/>
    <n v="8"/>
    <n v="54"/>
  </r>
  <r>
    <n v="837"/>
    <x v="2"/>
    <x v="188"/>
    <s v="eth1/24"/>
    <x v="0"/>
    <x v="0"/>
    <x v="0"/>
    <s v="LINK_TO_ITHFHWCBSPSWR47 / Slot1.2_30 / Principal"/>
    <x v="0"/>
    <b v="0"/>
    <s v="No está en VPC"/>
    <n v="837"/>
    <s v="INTPG_VPC_837_1.24_842_1.24"/>
    <s v="ISEL-1.24"/>
    <n v="1"/>
    <s v="NO TIENE L3OUT"/>
    <n v="8"/>
    <n v="54"/>
  </r>
  <r>
    <n v="867"/>
    <x v="2"/>
    <x v="189"/>
    <s v="eth1/24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24"/>
    <x v="0"/>
    <x v="0"/>
    <x v="0"/>
    <s v="LINK_TO_ITHFHWCRMDLCN35 /Slot6.2 /Redundante"/>
    <x v="0"/>
    <b v="0"/>
    <s v="No está en VPC"/>
    <n v="829"/>
    <s v="INTPG_ACC_829_1.24"/>
    <s v="ISEL-1.24"/>
    <n v="1"/>
    <s v="NO TIENE L3OUT"/>
    <n v="224"/>
    <n v="54"/>
  </r>
  <r>
    <n v="831"/>
    <x v="2"/>
    <x v="191"/>
    <s v="eth1/24"/>
    <x v="0"/>
    <x v="0"/>
    <x v="0"/>
    <s v="LINK_TO_ITHFHWCBSDSWR24 /Slot5.1 /Redundante"/>
    <x v="0"/>
    <b v="0"/>
    <s v="No está en VPC"/>
    <n v="831"/>
    <s v="INTPG_VPC_827_1.24_831_1.24"/>
    <s v="ISEL-1.24"/>
    <n v="1"/>
    <s v="NO TIENE L3OUT"/>
    <n v="14"/>
    <n v="54"/>
  </r>
  <r>
    <n v="802"/>
    <x v="2"/>
    <x v="192"/>
    <s v="eth1/24"/>
    <x v="0"/>
    <x v="0"/>
    <x v="0"/>
    <s v="TO-HDPS_26-MSP"/>
    <x v="0"/>
    <b v="0"/>
    <s v="No está en VPC"/>
    <n v="802"/>
    <s v="INTPG_ACC_802_1.24"/>
    <s v="ISEL-1.24"/>
    <n v="1"/>
    <s v="NO TIENE L3OUT"/>
    <n v="48"/>
    <n v="54"/>
  </r>
  <r>
    <n v="835"/>
    <x v="2"/>
    <x v="193"/>
    <s v="eth1/24"/>
    <x v="0"/>
    <x v="0"/>
    <x v="0"/>
    <s v="LINK_TO_ITHHWD6KV65100014DKC01 / CTMB_IOM0.P0_34 / Principal"/>
    <x v="0"/>
    <b v="0"/>
    <s v="No está en VPC"/>
    <n v="835"/>
    <s v="INTPG_ACC_835_1.24"/>
    <s v="ISEL-1.24"/>
    <n v="1"/>
    <s v="NO TIENE L3OUT"/>
    <n v="8"/>
    <n v="54"/>
  </r>
  <r>
    <n v="822"/>
    <x v="2"/>
    <x v="194"/>
    <s v="eth1/24"/>
    <x v="0"/>
    <x v="0"/>
    <x v="0"/>
    <s v="LINK_TO_ITHFHWCBSPSUSBD16 /Slot6.2 /Redundante"/>
    <x v="0"/>
    <b v="0"/>
    <s v="No está en VPC"/>
    <n v="822"/>
    <s v="INTPG_VPC_817_1.24_822_1.24"/>
    <s v="ISEL-1.24"/>
    <n v="1"/>
    <s v="NO TIENE L3OUT"/>
    <n v="0"/>
    <n v="54"/>
  </r>
  <r>
    <n v="854"/>
    <x v="2"/>
    <x v="195"/>
    <s v="eth1/24"/>
    <x v="0"/>
    <x v="0"/>
    <x v="0"/>
    <s v="LINK_TO_ITHFHWCRMPLCN173 / Slot1.2_16 / Principal"/>
    <x v="0"/>
    <b v="0"/>
    <s v="No está en VPC"/>
    <n v="854"/>
    <s v="INTPG_ACC_854_1.24"/>
    <s v="ISEL-1.24"/>
    <n v="2"/>
    <s v="NO TIENE L3OUT"/>
    <n v="204"/>
    <n v="54"/>
  </r>
  <r>
    <n v="858"/>
    <x v="2"/>
    <x v="196"/>
    <s v="eth1/24"/>
    <x v="0"/>
    <x v="0"/>
    <x v="0"/>
    <s v="To_VPC_2DCBSD_HD44_3"/>
    <x v="0"/>
    <b v="0"/>
    <s v="No está en VPC"/>
    <n v="858"/>
    <s v="INTPG_VPC_858_1.24_863_1.24"/>
    <s v="ISEL-1.24"/>
    <n v="1"/>
    <s v="NO TIENE L3OUT"/>
    <n v="8"/>
    <n v="54"/>
  </r>
  <r>
    <n v="857"/>
    <x v="2"/>
    <x v="197"/>
    <s v="eth1/24"/>
    <x v="0"/>
    <x v="0"/>
    <x v="0"/>
    <s v="LINKT_TO_ITHFHWCRMPLCN123 / Slot1.2_16 / Principal"/>
    <x v="0"/>
    <b v="0"/>
    <s v="No está en VPC"/>
    <n v="857"/>
    <s v="INTPG_ACC_857_1.24"/>
    <s v="ISEL-1.24"/>
    <n v="2"/>
    <s v="NO TIENE L3OUT"/>
    <n v="288"/>
    <n v="54"/>
  </r>
  <r>
    <n v="859"/>
    <x v="2"/>
    <x v="198"/>
    <s v="eth1/24"/>
    <x v="0"/>
    <x v="0"/>
    <x v="0"/>
    <s v="To_VPC_2DCBSD_WR43_3"/>
    <x v="0"/>
    <b v="0"/>
    <s v="No está en VPC"/>
    <n v="859"/>
    <s v="INTPG_VPC_859_1.24_864_1.24"/>
    <s v="ISEL-1.24"/>
    <n v="1"/>
    <s v="NO TIENE L3OUT"/>
    <n v="0"/>
    <n v="54"/>
  </r>
  <r>
    <n v="833"/>
    <x v="2"/>
    <x v="199"/>
    <s v="eth1/24"/>
    <x v="0"/>
    <x v="0"/>
    <x v="0"/>
    <s v="LINK_TO_ITHFHWCRMDLCN35 /Slot4.2 /Principal"/>
    <x v="0"/>
    <b v="0"/>
    <s v="No está en VPC"/>
    <n v="833"/>
    <s v="INTPG_ACC_833_1.24"/>
    <s v="ISEL-1.24"/>
    <n v="1"/>
    <s v="NO TIENE L3OUT"/>
    <n v="224"/>
    <n v="54"/>
  </r>
  <r>
    <n v="818"/>
    <x v="2"/>
    <x v="200"/>
    <s v="eth1/24"/>
    <x v="0"/>
    <x v="0"/>
    <x v="0"/>
    <s v="LINK_TO_ITHFHWCBSPSWR32 /10GE.1 /Principal"/>
    <x v="0"/>
    <b v="0"/>
    <s v="No está en VPC"/>
    <n v="818"/>
    <s v="INTPG_VPC_818_1.24_823_1.24"/>
    <s v="ISEL-1.24"/>
    <n v="1"/>
    <s v="NO TIENE L3OUT"/>
    <n v="8"/>
    <n v="54"/>
  </r>
  <r>
    <n v="850"/>
    <x v="2"/>
    <x v="201"/>
    <s v="eth1/24"/>
    <x v="0"/>
    <x v="0"/>
    <x v="0"/>
    <s v="LINKT_TO_ITHFHWCRMPLCN123 / Slot7.2_16 / Redundante"/>
    <x v="0"/>
    <b v="0"/>
    <s v="No está en VPC"/>
    <n v="850"/>
    <s v="INTPG_ACC_850_1.24"/>
    <s v="ISEL-1.24"/>
    <n v="2"/>
    <s v="NO TIENE L3OUT"/>
    <n v="288"/>
    <n v="54"/>
  </r>
  <r>
    <n v="860"/>
    <x v="2"/>
    <x v="202"/>
    <s v="eth1/24"/>
    <x v="0"/>
    <x v="0"/>
    <x v="0"/>
    <s v="To_VPC_2DCBSD_HD30_3"/>
    <x v="0"/>
    <b v="0"/>
    <s v="No está en VPC"/>
    <n v="860"/>
    <s v="INTPG_VPC_860_1.24_865_1.24"/>
    <s v="ISEL-1.24"/>
    <n v="1"/>
    <s v="NO TIENE L3OUT"/>
    <n v="0"/>
    <n v="54"/>
  </r>
  <r>
    <n v="853"/>
    <x v="2"/>
    <x v="203"/>
    <s v="eth1/24"/>
    <x v="0"/>
    <x v="0"/>
    <x v="0"/>
    <s v="LINK_TO_ITHFHWCRMPLCN79 / Slot7.3_16 / Redundante"/>
    <x v="0"/>
    <b v="0"/>
    <s v="No está en VPC"/>
    <n v="853"/>
    <s v="INTPG_ACC_853_1.24"/>
    <s v="ISEL-1.24"/>
    <n v="1"/>
    <s v="NO TIENE L3OUT"/>
    <n v="242"/>
    <n v="54"/>
  </r>
  <r>
    <n v="790"/>
    <x v="2"/>
    <x v="204"/>
    <s v="eth1/24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24"/>
    <x v="0"/>
    <x v="0"/>
    <x v="0"/>
    <m/>
    <x v="6"/>
    <b v="0"/>
    <s v="No está en VPC"/>
    <n v="105"/>
    <s v="INTPG_PC_105_23_24_36"/>
    <s v="ISEL-1.24"/>
    <n v="2"/>
    <s v="NO TIENE L3OUT"/>
    <n v="106"/>
    <n v="96"/>
  </r>
  <r>
    <n v="117"/>
    <x v="0"/>
    <x v="206"/>
    <s v="eth1/24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24"/>
    <x v="0"/>
    <x v="1"/>
    <x v="1"/>
    <s v="SFLDI"/>
    <x v="6"/>
    <b v="0"/>
    <s v="No está en VPC"/>
    <n v="104"/>
    <s v="INTPG_ACC_104_1.24"/>
    <s v="ISEL-1.24"/>
    <n v="1"/>
    <s v="NO TIENE L3OUT"/>
    <n v="194"/>
    <n v="96"/>
  </r>
  <r>
    <n v="158"/>
    <x v="0"/>
    <x v="208"/>
    <s v="eth1/24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24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24"/>
    <x v="0"/>
    <x v="0"/>
    <x v="0"/>
    <s v="HACIA_MGMT-OSCP-F4-16_SECUNDARIO"/>
    <x v="4"/>
    <b v="0"/>
    <s v="No está en VPC"/>
    <n v="879"/>
    <s v="INTPG_VPC_878_1.24_879_1.24"/>
    <s v="ISEL-1.24"/>
    <n v="1"/>
    <s v="NO TIENE L3OUT"/>
    <n v="0"/>
    <n v="54"/>
  </r>
  <r>
    <n v="108"/>
    <x v="0"/>
    <x v="211"/>
    <s v="eth1/24"/>
    <x v="0"/>
    <x v="0"/>
    <x v="0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24"/>
    <x v="1"/>
    <x v="1"/>
    <x v="2"/>
    <s v="APROVISIONAMIENTO DE SERVICIOS"/>
    <x v="6"/>
    <b v="0"/>
    <s v="No está en VPC"/>
    <n v="112"/>
    <s v="INTPG_ACC_112_1.24"/>
    <s v="ISEL-1.24"/>
    <n v="1"/>
    <s v="NO TIENE L3OUT"/>
    <n v="144"/>
    <n v="96"/>
  </r>
  <r>
    <n v="107"/>
    <x v="0"/>
    <x v="213"/>
    <s v="eth1/24"/>
    <x v="0"/>
    <x v="0"/>
    <x v="0"/>
    <s v="SISAP"/>
    <x v="6"/>
    <b v="0"/>
    <s v="No está en VPC"/>
    <n v="107"/>
    <s v="INTPG_ACC_107_1.24"/>
    <s v="ISEL-1.24"/>
    <n v="1"/>
    <s v="NO TIENE L3OUT"/>
    <n v="118"/>
    <n v="96"/>
  </r>
  <r>
    <n v="109"/>
    <x v="0"/>
    <x v="214"/>
    <s v="eth1/24"/>
    <x v="0"/>
    <x v="1"/>
    <x v="1"/>
    <s v="GESTION WAS "/>
    <x v="6"/>
    <b v="0"/>
    <s v="No está en VPC"/>
    <n v="109"/>
    <s v="INTPG_ACC_109_1.24"/>
    <s v="ISEL-1.24"/>
    <n v="1"/>
    <s v="NO TIENE L3OUT"/>
    <n v="126"/>
    <n v="96"/>
  </r>
  <r>
    <n v="113"/>
    <x v="0"/>
    <x v="215"/>
    <s v="eth1/24"/>
    <x v="0"/>
    <x v="0"/>
    <x v="0"/>
    <s v="TO-ITHFHPNBURBKP02-PRINCIPAL"/>
    <x v="6"/>
    <b v="0"/>
    <s v="No está en VPC"/>
    <n v="113"/>
    <s v="INTPG_ACC_113_1.24"/>
    <s v="ISEL-1.24"/>
    <n v="1"/>
    <s v="NO TIENE L3OUT"/>
    <n v="52"/>
    <n v="96"/>
  </r>
  <r>
    <n v="114"/>
    <x v="0"/>
    <x v="216"/>
    <s v="eth1/24"/>
    <x v="0"/>
    <x v="0"/>
    <x v="0"/>
    <s v="SUBEX (Fraud Management)"/>
    <x v="6"/>
    <b v="0"/>
    <s v="No está en VPC"/>
    <n v="114"/>
    <s v="INTPG_ACC_114_1.24"/>
    <s v="ISEL-1.24"/>
    <n v="1"/>
    <s v="NO TIENE L3OUT"/>
    <n v="144"/>
    <n v="96"/>
  </r>
  <r>
    <n v="124"/>
    <x v="0"/>
    <x v="217"/>
    <s v="eth1/24"/>
    <x v="0"/>
    <x v="1"/>
    <x v="1"/>
    <s v="3G_OSS_QRO_R6"/>
    <x v="6"/>
    <b v="0"/>
    <s v="No está en VPC"/>
    <n v="124"/>
    <s v="INTPG_ACC_124_1.24"/>
    <s v="ISEL-1.24"/>
    <n v="1"/>
    <s v="NO TIENE L3OUT"/>
    <n v="80"/>
    <n v="96"/>
  </r>
  <r>
    <n v="118"/>
    <x v="0"/>
    <x v="218"/>
    <s v="eth1/24"/>
    <x v="0"/>
    <x v="0"/>
    <x v="0"/>
    <s v="COBROS NAVEGACION"/>
    <x v="6"/>
    <b v="0"/>
    <s v="No está en VPC"/>
    <n v="118"/>
    <s v="INTPG_ACC_118_1.24"/>
    <s v="ISEL-1.24"/>
    <n v="1"/>
    <s v="NO TIENE L3OUT"/>
    <n v="180"/>
    <n v="96"/>
  </r>
  <r>
    <n v="159"/>
    <x v="0"/>
    <x v="219"/>
    <s v="eth1/24"/>
    <x v="0"/>
    <x v="0"/>
    <x v="0"/>
    <s v="ArrobaDOC Y CF"/>
    <x v="6"/>
    <b v="0"/>
    <s v="No está en VPC"/>
    <n v="159"/>
    <s v="INTPG_ACC_159_1.24"/>
    <s v="ISEL-1.24"/>
    <n v="1"/>
    <s v="NO TIENE L3OUT"/>
    <n v="72"/>
    <n v="96"/>
  </r>
  <r>
    <n v="840"/>
    <x v="2"/>
    <x v="220"/>
    <s v="eth1/24"/>
    <x v="0"/>
    <x v="0"/>
    <x v="0"/>
    <s v="LINK_TO_ITHHWD6KV65100014DKC01 / CTMB_IOM0.P1_34 / Redundante"/>
    <x v="0"/>
    <b v="0"/>
    <s v="No está en VPC"/>
    <n v="840"/>
    <s v="INTPG_ACC_840_1.24"/>
    <s v="ISEL-1.24"/>
    <n v="1"/>
    <s v="NO TIENE L3OUT"/>
    <n v="8"/>
    <n v="54"/>
  </r>
  <r>
    <n v="856"/>
    <x v="2"/>
    <x v="221"/>
    <s v="eth1/24"/>
    <x v="0"/>
    <x v="0"/>
    <x v="0"/>
    <s v="LINK_TO_ITHFHWCRMPLCN142 / Slot1.2_18 / Principal"/>
    <x v="0"/>
    <b v="0"/>
    <s v="No está en VPC"/>
    <n v="856"/>
    <s v="INTPG_ACC_856_1.24"/>
    <s v="ISEL-1.24"/>
    <n v="2"/>
    <s v="NO TIENE L3OUT"/>
    <n v="286"/>
    <n v="54"/>
  </r>
  <r>
    <n v="110"/>
    <x v="0"/>
    <x v="222"/>
    <s v="eth1/24"/>
    <x v="0"/>
    <x v="0"/>
    <x v="0"/>
    <s v="UXDX-DATOS"/>
    <x v="6"/>
    <b v="0"/>
    <s v="No está en VPC"/>
    <n v="110"/>
    <s v="INTPG_ACC_110_1.24"/>
    <s v="ISEL-1.24"/>
    <n v="1"/>
    <s v="NO TIENE L3OUT"/>
    <n v="102"/>
    <n v="96"/>
  </r>
  <r>
    <n v="163"/>
    <x v="0"/>
    <x v="223"/>
    <s v="eth1/24"/>
    <x v="0"/>
    <x v="0"/>
    <x v="0"/>
    <s v="NETSCOUT"/>
    <x v="6"/>
    <b v="0"/>
    <s v="No está en VPC"/>
    <n v="163"/>
    <s v="INTPG_ACC_163_1.24"/>
    <s v="ISEL-1.24"/>
    <n v="1"/>
    <s v="NO TIENE L3OUT"/>
    <n v="140"/>
    <n v="96"/>
  </r>
  <r>
    <n v="407"/>
    <x v="1"/>
    <x v="224"/>
    <s v="eth1/24"/>
    <x v="0"/>
    <x v="0"/>
    <x v="0"/>
    <s v="IXTGLAOSS2_CLIENT1"/>
    <x v="6"/>
    <b v="0"/>
    <s v="No está en VPC"/>
    <n v="407"/>
    <s v="INTPG_VPC_407_1.24_409_1.20"/>
    <s v="ISEL-1.24"/>
    <n v="16"/>
    <s v="NO TIENE L3OUT"/>
    <n v="122"/>
    <n v="96"/>
  </r>
  <r>
    <n v="171"/>
    <x v="0"/>
    <x v="225"/>
    <s v="eth1/24"/>
    <x v="0"/>
    <x v="1"/>
    <x v="1"/>
    <s v="NFA"/>
    <x v="6"/>
    <b v="0"/>
    <s v="No está en VPC"/>
    <n v="171"/>
    <s v="INTPG_ACC_171_1.24"/>
    <s v="ISEL-1.24"/>
    <n v="1"/>
    <s v="NO TIENE L3OUT"/>
    <n v="114"/>
    <n v="96"/>
  </r>
  <r>
    <n v="421"/>
    <x v="1"/>
    <x v="226"/>
    <s v="eth1/24"/>
    <x v="0"/>
    <x v="0"/>
    <x v="0"/>
    <s v="PMAX_S2_1RIO"/>
    <x v="6"/>
    <b v="0"/>
    <s v="No está en VPC"/>
    <n v="421"/>
    <s v="INTPG_ACC_421_1.24"/>
    <s v="ISEL-1.24"/>
    <n v="1"/>
    <s v="NO TIENE L3OUT"/>
    <n v="72"/>
    <n v="96"/>
  </r>
  <r>
    <n v="173"/>
    <x v="0"/>
    <x v="227"/>
    <s v="eth1/24"/>
    <x v="0"/>
    <x v="0"/>
    <x v="0"/>
    <s v="ENIQ"/>
    <x v="6"/>
    <b v="0"/>
    <s v="No está en VPC"/>
    <n v="173"/>
    <s v="INTPG_ACC_173_1.24"/>
    <s v="ISEL-1.24"/>
    <n v="1"/>
    <s v="NO TIENE L3OUT"/>
    <n v="66"/>
    <n v="96"/>
  </r>
  <r>
    <n v="154"/>
    <x v="0"/>
    <x v="228"/>
    <s v="eth1/24"/>
    <x v="0"/>
    <x v="0"/>
    <x v="0"/>
    <s v="Precios DEUR"/>
    <x v="6"/>
    <b v="0"/>
    <s v="No está en VPC"/>
    <n v="154"/>
    <s v="INTPG_ACC_154_1.24"/>
    <s v="ISEL-1.24"/>
    <n v="1"/>
    <s v="NO TIENE L3OUT"/>
    <n v="62"/>
    <n v="96"/>
  </r>
  <r>
    <n v="172"/>
    <x v="0"/>
    <x v="229"/>
    <s v="eth1/24"/>
    <x v="0"/>
    <x v="1"/>
    <x v="1"/>
    <s v="NFA"/>
    <x v="6"/>
    <b v="0"/>
    <s v="No está en VPC"/>
    <n v="172"/>
    <s v="INTPG_ACC_172_1.24"/>
    <s v="ISEL-1.24"/>
    <n v="1"/>
    <s v="NO TIENE L3OUT"/>
    <n v="104"/>
    <n v="96"/>
  </r>
  <r>
    <n v="420"/>
    <x v="1"/>
    <x v="230"/>
    <s v="eth1/24"/>
    <x v="0"/>
    <x v="1"/>
    <x v="1"/>
    <s v="SMUIXTLA5_ILO"/>
    <x v="6"/>
    <b v="0"/>
    <s v="No está en VPC"/>
    <n v="420"/>
    <s v="INTPG_ACC_420_1.24"/>
    <s v="ISEL-1.24"/>
    <n v="1"/>
    <s v="NO TIENE L3OUT"/>
    <n v="158"/>
    <n v="96"/>
  </r>
  <r>
    <n v="423"/>
    <x v="1"/>
    <x v="231"/>
    <s v="eth1/24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24"/>
    <x v="0"/>
    <x v="0"/>
    <x v="0"/>
    <s v="VTAE4"/>
    <x v="6"/>
    <b v="0"/>
    <s v="No está en VPC"/>
    <n v="415"/>
    <s v="INTPG_ACC_415_1.24"/>
    <s v="ISEL-1.24"/>
    <n v="1"/>
    <s v="NO TIENE L3OUT"/>
    <n v="52"/>
    <n v="96"/>
  </r>
  <r>
    <n v="102"/>
    <x v="0"/>
    <x v="233"/>
    <s v="eth1/24"/>
    <x v="0"/>
    <x v="1"/>
    <x v="1"/>
    <s v="SFLDI:RLDICDR05:1"/>
    <x v="6"/>
    <b v="0"/>
    <s v="No está en VPC"/>
    <n v="102"/>
    <s v="INTPG_ACC_102_1.24"/>
    <s v="ISEL-1.24"/>
    <n v="1"/>
    <s v="NO TIENE L3OUT"/>
    <n v="228"/>
    <n v="96"/>
  </r>
  <r>
    <n v="863"/>
    <x v="2"/>
    <x v="234"/>
    <s v="eth1/24"/>
    <x v="0"/>
    <x v="0"/>
    <x v="0"/>
    <s v="To_VPC_2DCBSD_HD44_3"/>
    <x v="0"/>
    <b v="0"/>
    <s v="No está en VPC"/>
    <n v="863"/>
    <s v="INTPG_VPC_858_1.24_863_1.24"/>
    <s v="ISEL-1.24"/>
    <n v="1"/>
    <s v="NO TIENE L3OUT"/>
    <n v="8"/>
    <n v="54"/>
  </r>
  <r>
    <n v="876"/>
    <x v="2"/>
    <x v="235"/>
    <s v="eth1/24"/>
    <x v="0"/>
    <x v="0"/>
    <x v="0"/>
    <s v="A_ITHFHWSEQLCAS23_Principal"/>
    <x v="4"/>
    <b v="0"/>
    <s v="No está en VPC"/>
    <n v="876"/>
    <s v="INTPG_ACC_876_1.24"/>
    <s v="ISEL-1.24"/>
    <n v="1"/>
    <s v="NO TIENE L3OUT"/>
    <n v="92"/>
    <n v="54"/>
  </r>
  <r>
    <n v="877"/>
    <x v="2"/>
    <x v="236"/>
    <s v="eth1/24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24"/>
    <x v="0"/>
    <x v="0"/>
    <x v="0"/>
    <s v="VMAX 3 TRAP IME"/>
    <x v="6"/>
    <b v="0"/>
    <s v="No está en VPC"/>
    <n v="122"/>
    <s v="INTPG_ACC_122_1.24"/>
    <s v="ISEL-1.24"/>
    <n v="1"/>
    <s v="NO TIENE L3OUT"/>
    <n v="148"/>
    <n v="96"/>
  </r>
  <r>
    <n v="157"/>
    <x v="0"/>
    <x v="238"/>
    <s v="eth1/24"/>
    <x v="0"/>
    <x v="0"/>
    <x v="0"/>
    <s v="RED CRICKET"/>
    <x v="6"/>
    <b v="0"/>
    <s v="No está en VPC"/>
    <n v="157"/>
    <s v="INTPG_ACC_157_1.24"/>
    <s v="ISEL-1.24"/>
    <n v="1"/>
    <s v="NO TIENE L3OUT"/>
    <n v="202"/>
    <n v="96"/>
  </r>
  <r>
    <n v="408"/>
    <x v="1"/>
    <x v="239"/>
    <s v="eth1/24"/>
    <x v="0"/>
    <x v="0"/>
    <x v="0"/>
    <s v="NEC Femtocel NMS"/>
    <x v="6"/>
    <b v="0"/>
    <s v="No está en VPC"/>
    <n v="408"/>
    <s v="INTPG_ACC_408_1.24"/>
    <s v="ISEL-1.24"/>
    <n v="1"/>
    <s v="NO TIENE L3OUT"/>
    <n v="152"/>
    <n v="96"/>
  </r>
  <r>
    <n v="405"/>
    <x v="1"/>
    <x v="240"/>
    <s v="eth1/24"/>
    <x v="0"/>
    <x v="0"/>
    <x v="0"/>
    <s v="XL6 RLR6ARI04 ILO"/>
    <x v="6"/>
    <b v="0"/>
    <s v="No está en VPC"/>
    <n v="405"/>
    <s v="INTPG_ACC_405_1.24"/>
    <s v="ISEL-1.24"/>
    <n v="1"/>
    <s v="NO TIENE L3OUT"/>
    <n v="138"/>
    <n v="96"/>
  </r>
  <r>
    <n v="169"/>
    <x v="0"/>
    <x v="241"/>
    <s v="eth1/24"/>
    <x v="1"/>
    <x v="1"/>
    <x v="2"/>
    <s v="RBT"/>
    <x v="6"/>
    <b v="0"/>
    <s v="No está en VPC"/>
    <n v="169"/>
    <s v="INTPG_VPC_167_1.1_33_169_1.3_24"/>
    <s v="ISEL-1.24"/>
    <n v="3"/>
    <s v="NO TIENE L3OUT"/>
    <n v="76"/>
    <n v="96"/>
  </r>
  <r>
    <n v="165"/>
    <x v="0"/>
    <x v="242"/>
    <s v="eth1/24"/>
    <x v="0"/>
    <x v="0"/>
    <x v="0"/>
    <s v="UXLDAP"/>
    <x v="6"/>
    <b v="0"/>
    <s v="No está en VPC"/>
    <n v="165"/>
    <s v="INTPG_ACC_165_1.24"/>
    <s v="ISEL-1.24"/>
    <n v="1"/>
    <s v="NO TIENE L3OUT"/>
    <n v="86"/>
    <n v="96"/>
  </r>
  <r>
    <n v="417"/>
    <x v="1"/>
    <x v="243"/>
    <s v="eth1/24"/>
    <x v="0"/>
    <x v="0"/>
    <x v="0"/>
    <s v="TO-ITHFHPNBURBKP05-PRINCIPAL"/>
    <x v="6"/>
    <b v="0"/>
    <s v="No está en VPC"/>
    <n v="417"/>
    <s v="INTPG_ACC_417_1.24"/>
    <s v="ISEL-1.24"/>
    <n v="1"/>
    <s v="NO TIENE L3OUT"/>
    <n v="56"/>
    <n v="96"/>
  </r>
  <r>
    <n v="153"/>
    <x v="0"/>
    <x v="244"/>
    <s v="eth1/24"/>
    <x v="0"/>
    <x v="0"/>
    <x v="0"/>
    <m/>
    <x v="6"/>
    <b v="0"/>
    <s v="No está en VPC"/>
    <n v="153"/>
    <s v="INTPG_ACC_153_1.24"/>
    <s v="ISEL-1.24"/>
    <n v="1"/>
    <s v="NO TIENE L3OUT"/>
    <n v="42"/>
    <n v="96"/>
  </r>
  <r>
    <n v="119"/>
    <x v="0"/>
    <x v="245"/>
    <s v="eth1/24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24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24"/>
    <x v="0"/>
    <x v="1"/>
    <x v="1"/>
    <s v="CAMPANAS 01-02:uxobie02:ent3"/>
    <x v="6"/>
    <b v="0"/>
    <s v="No está en VPC"/>
    <n v="103"/>
    <s v="INTPG_ACC_103_1.24"/>
    <s v="ISEL-1.24"/>
    <n v="1"/>
    <s v="NO TIENE L3OUT"/>
    <n v="70"/>
    <n v="96"/>
  </r>
  <r>
    <n v="438"/>
    <x v="1"/>
    <x v="248"/>
    <s v="eth1/24"/>
    <x v="0"/>
    <x v="0"/>
    <x v="0"/>
    <s v="HP_Proliant_DL380p(b)"/>
    <x v="6"/>
    <b v="0"/>
    <s v="No está en VPC"/>
    <n v="438"/>
    <s v="INTPG_ACC_438_1.24"/>
    <s v="ISEL-1.24"/>
    <n v="1"/>
    <s v="NO TIENE L3OUT"/>
    <n v="170"/>
    <n v="96"/>
  </r>
  <r>
    <n v="406"/>
    <x v="1"/>
    <x v="249"/>
    <s v="eth1/24"/>
    <x v="0"/>
    <x v="0"/>
    <x v="0"/>
    <s v="ITHRTC52VC2"/>
    <x v="6"/>
    <b v="0"/>
    <s v="No está en VPC"/>
    <n v="406"/>
    <s v="INTPG_VPC_404_1.24_406_1.24"/>
    <s v="ISEL-1.24"/>
    <n v="1"/>
    <s v="NO TIENE L3OUT"/>
    <n v="82"/>
    <n v="96"/>
  </r>
  <r>
    <n v="414"/>
    <x v="1"/>
    <x v="250"/>
    <s v="eth1/24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24"/>
    <x v="0"/>
    <x v="0"/>
    <x v="0"/>
    <s v="TO-ITHAI10-PRINCIPAL"/>
    <x v="6"/>
    <b v="0"/>
    <s v="No está en VPC"/>
    <n v="416"/>
    <s v="INTPG_ACC_416_1.24"/>
    <s v="ISEL-1.24"/>
    <n v="1"/>
    <s v="NO TIENE L3OUT"/>
    <n v="110"/>
    <n v="96"/>
  </r>
  <r>
    <n v="418"/>
    <x v="1"/>
    <x v="252"/>
    <s v="eth1/24"/>
    <x v="0"/>
    <x v="0"/>
    <x v="0"/>
    <s v="TO-ITHAI9-PRINCIPAL"/>
    <x v="6"/>
    <b v="0"/>
    <s v="No está en VPC"/>
    <n v="418"/>
    <s v="INTPG_ACC_418_1.24"/>
    <s v="ISEL-1.24"/>
    <n v="1"/>
    <s v="NO TIENE L3OUT"/>
    <n v="152"/>
    <n v="96"/>
  </r>
  <r>
    <n v="413"/>
    <x v="1"/>
    <x v="253"/>
    <s v="eth1/24"/>
    <x v="0"/>
    <x v="0"/>
    <x v="0"/>
    <s v="lagidmhlapvp10_produccion1"/>
    <x v="6"/>
    <b v="0"/>
    <s v="No está en VPC"/>
    <n v="413"/>
    <s v="INTPG_VPC_411_1.31-34_413_1.24-27"/>
    <s v="ISEL-1.24"/>
    <n v="2"/>
    <s v="NO TIENE L3OUT"/>
    <n v="126"/>
    <n v="96"/>
  </r>
  <r>
    <n v="403"/>
    <x v="1"/>
    <x v="254"/>
    <s v="eth1/24"/>
    <x v="0"/>
    <x v="0"/>
    <x v="0"/>
    <s v="XL6 RLR6ARI04"/>
    <x v="6"/>
    <b v="0"/>
    <s v="No está en VPC"/>
    <n v="403"/>
    <s v="INTPG_ACC_403_1.24"/>
    <s v="ISEL-1.24"/>
    <n v="1"/>
    <s v="NO TIENE L3OUT"/>
    <n v="150"/>
    <n v="96"/>
  </r>
  <r>
    <n v="125"/>
    <x v="0"/>
    <x v="255"/>
    <s v="eth1/24"/>
    <x v="0"/>
    <x v="0"/>
    <x v="0"/>
    <s v="UXSVA (M9000)"/>
    <x v="6"/>
    <b v="0"/>
    <s v="No está en VPC"/>
    <n v="125"/>
    <s v="INTPG_ACC_125_1.24"/>
    <s v="ISEL-1.24"/>
    <n v="1"/>
    <s v="NO TIENE L3OUT"/>
    <n v="72"/>
    <n v="96"/>
  </r>
  <r>
    <n v="166"/>
    <x v="0"/>
    <x v="256"/>
    <s v="eth1/24"/>
    <x v="0"/>
    <x v="0"/>
    <x v="0"/>
    <m/>
    <x v="6"/>
    <b v="0"/>
    <s v="No está en VPC"/>
    <n v="166"/>
    <s v="INTPG_ACC_166_1.24"/>
    <s v="ISEL-1.24"/>
    <n v="1"/>
    <s v="NO TIENE L3OUT"/>
    <n v="84"/>
    <n v="96"/>
  </r>
  <r>
    <n v="111"/>
    <x v="0"/>
    <x v="257"/>
    <s v="eth1/24"/>
    <x v="0"/>
    <x v="0"/>
    <x v="0"/>
    <s v="UXDX-DATOS"/>
    <x v="6"/>
    <b v="0"/>
    <s v="No está en VPC"/>
    <n v="111"/>
    <s v="INTPG_ACC_111_1.24"/>
    <s v="ISEL-1.24"/>
    <n v="1"/>
    <s v="NO TIENE L3OUT"/>
    <n v="58"/>
    <n v="96"/>
  </r>
  <r>
    <n v="115"/>
    <x v="0"/>
    <x v="258"/>
    <s v="eth1/24"/>
    <x v="0"/>
    <x v="1"/>
    <x v="1"/>
    <s v="RLVYCAN02_1"/>
    <x v="6"/>
    <b v="0"/>
    <s v="No está en VPC"/>
    <n v="115"/>
    <s v="INTPG_ACC_115_1.24"/>
    <s v="ISEL-1.24"/>
    <n v="1"/>
    <s v="NO TIENE L3OUT"/>
    <n v="42"/>
    <n v="96"/>
  </r>
  <r>
    <n v="106"/>
    <x v="0"/>
    <x v="259"/>
    <s v="eth1/24"/>
    <x v="0"/>
    <x v="1"/>
    <x v="1"/>
    <m/>
    <x v="6"/>
    <b v="0"/>
    <s v="No está en VPC"/>
    <n v="106"/>
    <s v="INTPG_PC_106_1.24-25"/>
    <s v="ISEL-1.24"/>
    <n v="1"/>
    <s v="NO TIENE L3OUT"/>
    <n v="122"/>
    <n v="96"/>
  </r>
  <r>
    <n v="126"/>
    <x v="0"/>
    <x v="260"/>
    <s v="eth1/24"/>
    <x v="0"/>
    <x v="0"/>
    <x v="0"/>
    <s v="ENIQ"/>
    <x v="6"/>
    <b v="0"/>
    <s v="No está en VPC"/>
    <n v="126"/>
    <s v="INTPG_ACC_126_1.24"/>
    <s v="ISEL-1.24"/>
    <n v="1"/>
    <s v="NO TIENE L3OUT"/>
    <n v="54"/>
    <n v="96"/>
  </r>
  <r>
    <n v="425"/>
    <x v="1"/>
    <x v="261"/>
    <s v="eth1/24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24"/>
    <x v="0"/>
    <x v="0"/>
    <x v="0"/>
    <s v="ETLI-SACI 6"/>
    <x v="6"/>
    <b v="0"/>
    <s v="No está en VPC"/>
    <n v="151"/>
    <s v="INTPG_ACC_151_1.24"/>
    <s v="ISEL-1.24"/>
    <n v="1"/>
    <s v="NO TIENE L3OUT"/>
    <n v="86"/>
    <n v="96"/>
  </r>
  <r>
    <n v="430"/>
    <x v="1"/>
    <x v="263"/>
    <s v="eth1/24"/>
    <x v="0"/>
    <x v="1"/>
    <x v="1"/>
    <s v="RHEV_Produccion_sfrevp12"/>
    <x v="6"/>
    <b v="0"/>
    <s v="No está en VPC"/>
    <n v="430"/>
    <s v="INTPG_VPC_428_1.24_430_1.24"/>
    <s v="ISEL-1.24"/>
    <n v="2"/>
    <s v="NO TIENE L3OUT"/>
    <n v="86"/>
    <n v="96"/>
  </r>
  <r>
    <n v="419"/>
    <x v="1"/>
    <x v="264"/>
    <s v="eth1/24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24"/>
    <x v="0"/>
    <x v="0"/>
    <x v="0"/>
    <s v="Consolidaci\u00f3n Aplicaciones Prepago"/>
    <x v="6"/>
    <b v="0"/>
    <s v="No está en VPC"/>
    <n v="155"/>
    <s v="INTPG_ACC_155_1.24"/>
    <s v="ISEL-1.24"/>
    <n v="1"/>
    <s v="NO TIENE L3OUT"/>
    <n v="198"/>
    <n v="96"/>
  </r>
  <r>
    <n v="409"/>
    <x v="1"/>
    <x v="266"/>
    <s v="eth1/24"/>
    <x v="0"/>
    <x v="0"/>
    <x v="0"/>
    <s v="DCX_PROD2"/>
    <x v="6"/>
    <b v="0"/>
    <s v="No está en VPC"/>
    <n v="409"/>
    <s v="INTPG_ACC_409_1.24"/>
    <s v="ISEL-1.24"/>
    <n v="1"/>
    <s v="NO TIENE L3OUT"/>
    <n v="128"/>
    <n v="96"/>
  </r>
  <r>
    <n v="422"/>
    <x v="1"/>
    <x v="267"/>
    <s v="eth1/24"/>
    <x v="0"/>
    <x v="0"/>
    <x v="0"/>
    <s v="IXTSD969B"/>
    <x v="6"/>
    <b v="0"/>
    <s v="No está en VPC"/>
    <n v="422"/>
    <s v="INTPG_ACC_422_1.24"/>
    <s v="ISEL-1.24"/>
    <n v="1"/>
    <s v="NO TIENE L3OUT"/>
    <n v="182"/>
    <n v="96"/>
  </r>
  <r>
    <n v="436"/>
    <x v="1"/>
    <x v="268"/>
    <s v="eth1/24"/>
    <x v="0"/>
    <x v="0"/>
    <x v="0"/>
    <s v="HP_Proliant_DL380p(b)"/>
    <x v="6"/>
    <b v="0"/>
    <s v="No está en VPC"/>
    <n v="436"/>
    <s v="INTPG_ACC_436_1.24"/>
    <s v="ISEL-1.24"/>
    <n v="1"/>
    <s v="NO TIENE L3OUT"/>
    <n v="172"/>
    <n v="96"/>
  </r>
  <r>
    <n v="410"/>
    <x v="1"/>
    <x v="269"/>
    <s v="eth1/24"/>
    <x v="0"/>
    <x v="1"/>
    <x v="1"/>
    <s v="ITHMSNUBE2_IGB2"/>
    <x v="6"/>
    <b v="0"/>
    <s v="No está en VPC"/>
    <n v="410"/>
    <s v="INTPG_ACC_410_1.24"/>
    <s v="ISEL-1.24"/>
    <n v="1"/>
    <s v="NO TIENE L3OUT"/>
    <n v="178"/>
    <n v="96"/>
  </r>
  <r>
    <n v="161"/>
    <x v="0"/>
    <x v="270"/>
    <s v="eth1/24"/>
    <x v="0"/>
    <x v="0"/>
    <x v="0"/>
    <s v="NETSCOUT"/>
    <x v="6"/>
    <b v="0"/>
    <s v="No está en VPC"/>
    <n v="161"/>
    <s v="INTPG_ACC_161_1.24"/>
    <s v="ISEL-1.24"/>
    <n v="1"/>
    <s v="NO TIENE L3OUT"/>
    <n v="102"/>
    <n v="96"/>
  </r>
  <r>
    <n v="411"/>
    <x v="1"/>
    <x v="271"/>
    <s v="eth1/24"/>
    <x v="0"/>
    <x v="0"/>
    <x v="0"/>
    <s v="lagidmhlapvp06_produccion1"/>
    <x v="6"/>
    <b v="0"/>
    <s v="No está en VPC"/>
    <n v="411"/>
    <s v="INTPG_VPC_411_1.21-24_413_1.14-17"/>
    <s v="ISEL-1.24"/>
    <n v="2"/>
    <s v="NO TIENE L3OUT"/>
    <n v="96"/>
    <n v="96"/>
  </r>
  <r>
    <n v="116"/>
    <x v="0"/>
    <x v="272"/>
    <s v="eth1/24"/>
    <x v="0"/>
    <x v="0"/>
    <x v="0"/>
    <s v="DATOS NETCRACKER"/>
    <x v="6"/>
    <b v="0"/>
    <s v="No está en VPC"/>
    <n v="116"/>
    <s v="INTPG_ACC_116_1.24"/>
    <s v="ISEL-1.24"/>
    <n v="1"/>
    <s v="NO TIENE L3OUT"/>
    <n v="148"/>
    <n v="96"/>
  </r>
  <r>
    <n v="412"/>
    <x v="1"/>
    <x v="273"/>
    <s v="eth1/24"/>
    <x v="0"/>
    <x v="1"/>
    <x v="1"/>
    <s v="UXCA_EXADATA_MGMT"/>
    <x v="6"/>
    <b v="0"/>
    <s v="No está en VPC"/>
    <n v="412"/>
    <s v="INTPG_ACC_412_1.24"/>
    <s v="ISEL-1.24"/>
    <n v="1"/>
    <s v="NO TIENE L3OUT"/>
    <n v="126"/>
    <n v="96"/>
  </r>
  <r>
    <n v="120"/>
    <x v="0"/>
    <x v="274"/>
    <s v="eth1/24"/>
    <x v="0"/>
    <x v="0"/>
    <x v="0"/>
    <m/>
    <x v="6"/>
    <b v="0"/>
    <s v="No está en VPC"/>
    <n v="120"/>
    <s v="INTPG_ACC_120_1.24"/>
    <s v="ISEL-1.24"/>
    <n v="1"/>
    <s v="NO TIENE L3OUT"/>
    <n v="158"/>
    <n v="96"/>
  </r>
  <r>
    <n v="404"/>
    <x v="1"/>
    <x v="275"/>
    <s v="eth1/24"/>
    <x v="0"/>
    <x v="0"/>
    <x v="0"/>
    <s v="ITHRTC52VC2"/>
    <x v="6"/>
    <b v="0"/>
    <s v="No está en VPC"/>
    <n v="404"/>
    <s v="INTPG_VPC_404_1.24_406_1.24"/>
    <s v="ISEL-1.24"/>
    <n v="1"/>
    <s v="NO TIENE L3OUT"/>
    <n v="92"/>
    <n v="96"/>
  </r>
  <r>
    <n v="167"/>
    <x v="0"/>
    <x v="276"/>
    <s v="eth1/24"/>
    <x v="1"/>
    <x v="1"/>
    <x v="2"/>
    <s v="MMSC_WAPGW"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24"/>
    <x v="0"/>
    <x v="1"/>
    <x v="1"/>
    <s v="RHEV_Produccion_sfrevp12"/>
    <x v="6"/>
    <b v="0"/>
    <s v="No está en VPC"/>
    <n v="428"/>
    <s v="INTPG_VPC_428_1.24_430_1.24"/>
    <s v="ISEL-1.24"/>
    <n v="2"/>
    <s v="NO TIENE L3OUT"/>
    <n v="102"/>
    <n v="96"/>
  </r>
  <r>
    <n v="903"/>
    <x v="2"/>
    <x v="278"/>
    <s v="eth1/2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2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25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25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25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25"/>
    <x v="0"/>
    <x v="0"/>
    <x v="0"/>
    <s v="TO-ITHFDENBURMS01"/>
    <x v="0"/>
    <b v="0"/>
    <s v="No está en VPC"/>
    <n v="101"/>
    <s v="INTPG_VPC_101_1.25_150_1.25"/>
    <s v="ISEL-1.25"/>
    <n v="1"/>
    <s v="NO TIENE L3OUT"/>
    <n v="114"/>
    <n v="54"/>
  </r>
  <r>
    <n v="160"/>
    <x v="0"/>
    <x v="4"/>
    <s v="eth1/25"/>
    <x v="0"/>
    <x v="0"/>
    <x v="0"/>
    <s v="SRM"/>
    <x v="1"/>
    <b v="0"/>
    <s v="No está en VPC"/>
    <n v="160"/>
    <s v="INTPG_ACC_160_1.25"/>
    <s v="ISEL-1.25"/>
    <n v="1"/>
    <s v="NO TIENE L3OUT"/>
    <n v="68"/>
    <n v="54"/>
  </r>
  <r>
    <n v="121"/>
    <x v="0"/>
    <x v="5"/>
    <s v="eth1/25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25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25"/>
    <x v="0"/>
    <x v="0"/>
    <x v="0"/>
    <s v="TO-IBMDIST-LAGIBMDIST"/>
    <x v="0"/>
    <b v="0"/>
    <s v="No está en VPC"/>
    <n v="401"/>
    <s v="INTPG_VPC_401_1.25-26_402_1.25-26"/>
    <s v="ISEL-1.25"/>
    <n v="1"/>
    <s v="NO TIENE L3OUT"/>
    <n v="40"/>
    <n v="54"/>
  </r>
  <r>
    <n v="402"/>
    <x v="1"/>
    <x v="8"/>
    <s v="eth1/25"/>
    <x v="0"/>
    <x v="0"/>
    <x v="0"/>
    <s v="TO-IBMDIST-LAGIBMDIST"/>
    <x v="0"/>
    <b v="0"/>
    <s v="No está en VPC"/>
    <n v="402"/>
    <s v="INTPG_VPC_401_1.25-26_402_1.25-26"/>
    <s v="ISEL-1.25"/>
    <n v="1"/>
    <s v="NO TIENE L3OUT"/>
    <n v="36"/>
    <n v="54"/>
  </r>
  <r>
    <n v="447"/>
    <x v="1"/>
    <x v="9"/>
    <s v="eth1/25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25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25"/>
    <x v="0"/>
    <x v="0"/>
    <x v="0"/>
    <s v="TO-ITHFDEMCFRPMS02"/>
    <x v="0"/>
    <b v="0"/>
    <s v="No está en VPC"/>
    <n v="130"/>
    <s v="INTPG_VPC_130_1.25-26_131_1.26-27"/>
    <s v="ISEL-1.25"/>
    <n v="1"/>
    <s v="NO TIENE L3OUT"/>
    <n v="128"/>
    <n v="54"/>
  </r>
  <r>
    <n v="150"/>
    <x v="0"/>
    <x v="12"/>
    <s v="eth1/25"/>
    <x v="0"/>
    <x v="0"/>
    <x v="0"/>
    <s v="TO-ITHFDENBURMS01"/>
    <x v="0"/>
    <b v="0"/>
    <s v="No está en VPC"/>
    <n v="150"/>
    <s v="INTPG_VPC_101_1.25_150_1.25"/>
    <s v="ISEL-1.25"/>
    <n v="1"/>
    <s v="NO TIENE L3OUT"/>
    <n v="118"/>
    <n v="54"/>
  </r>
  <r>
    <n v="131"/>
    <x v="0"/>
    <x v="13"/>
    <s v="eth1/25"/>
    <x v="0"/>
    <x v="0"/>
    <x v="0"/>
    <s v="TO-ITHFDEMCFRPMS01"/>
    <x v="0"/>
    <b v="0"/>
    <s v="No está en VPC"/>
    <n v="131"/>
    <s v="INTPG_VPC_130_1.23-24_131_1.24-25"/>
    <s v="ISEL-1.25"/>
    <n v="1"/>
    <s v="NO TIENE L3OUT"/>
    <n v="126"/>
    <n v="54"/>
  </r>
  <r>
    <n v="303"/>
    <x v="0"/>
    <x v="14"/>
    <s v="eth1/25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25"/>
    <x v="0"/>
    <x v="1"/>
    <x v="3"/>
    <m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25"/>
    <x v="1"/>
    <x v="1"/>
    <x v="3"/>
    <m/>
    <x v="2"/>
    <b v="0"/>
    <s v="No está en VPC"/>
    <n v="759"/>
    <s v="NO EXISTE PG"/>
    <s v="NO EXISTE ISEL"/>
    <n v="0"/>
    <s v="NO TIENE L3OUT"/>
    <n v="0"/>
    <n v="42"/>
  </r>
  <r>
    <n v="302"/>
    <x v="0"/>
    <x v="17"/>
    <s v="eth1/25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25"/>
    <x v="0"/>
    <x v="0"/>
    <x v="0"/>
    <s v="EMIPCLOUD_A08"/>
    <x v="1"/>
    <b v="0"/>
    <s v="No está en VPC"/>
    <n v="424"/>
    <s v="INTPG_ACC_424_1.25"/>
    <s v="ISEL-1.25"/>
    <n v="1"/>
    <s v="NO TIENE L3OUT"/>
    <n v="16"/>
    <n v="54"/>
  </r>
  <r>
    <n v="426"/>
    <x v="1"/>
    <x v="19"/>
    <s v="eth1/25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25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25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25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25"/>
    <x v="0"/>
    <x v="1"/>
    <x v="1"/>
    <m/>
    <x v="0"/>
    <b v="0"/>
    <s v="No está en VPC"/>
    <n v="724"/>
    <s v="INTPG-VPC_SLR17_724_1.25_725_1.26"/>
    <s v="ISEL-1.25"/>
    <n v="1"/>
    <s v="NO TIENE L3OUT"/>
    <n v="0"/>
    <n v="54"/>
  </r>
  <r>
    <n v="602"/>
    <x v="1"/>
    <x v="24"/>
    <s v="eth1/25"/>
    <x v="0"/>
    <x v="1"/>
    <x v="3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25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25"/>
    <x v="0"/>
    <x v="0"/>
    <x v="0"/>
    <s v="CLIENT_HUAWEI_CLOUD_ARIESO1"/>
    <x v="0"/>
    <b v="0"/>
    <s v="No está en VPC"/>
    <n v="431"/>
    <s v="INTPG_VPC_431_1.22-25_448_1.22-25"/>
    <s v="ISEL-1.25"/>
    <n v="14"/>
    <s v="NO TIENE L3OUT"/>
    <n v="46"/>
    <n v="54"/>
  </r>
  <r>
    <n v="433"/>
    <x v="1"/>
    <x v="27"/>
    <s v="eth1/25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25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25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25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25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25"/>
    <x v="0"/>
    <x v="1"/>
    <x v="3"/>
    <s v="CEM_HADOOP"/>
    <x v="0"/>
    <b v="0"/>
    <s v="No está en VPC"/>
    <n v="707"/>
    <s v="INTPG_ACC_707_1.25"/>
    <s v="ISEL-1.25"/>
    <n v="0"/>
    <s v="NO TIENE L3OUT"/>
    <n v="54"/>
    <n v="54"/>
  </r>
  <r>
    <n v="712"/>
    <x v="2"/>
    <x v="33"/>
    <s v="eth1/25"/>
    <x v="0"/>
    <x v="1"/>
    <x v="5"/>
    <s v="CEM:ITHCEMB2ADT13:LOM P1"/>
    <x v="0"/>
    <b v="0"/>
    <s v="No está en VPC"/>
    <n v="712"/>
    <s v="INTPG_VPC_712_1.25_713_1.26"/>
    <s v="ISEL-1.25"/>
    <n v="1"/>
    <s v="NO TIENE L3OUT"/>
    <n v="32"/>
    <n v="54"/>
  </r>
  <r>
    <n v="719"/>
    <x v="2"/>
    <x v="34"/>
    <s v="eth1/25"/>
    <x v="0"/>
    <x v="0"/>
    <x v="0"/>
    <m/>
    <x v="0"/>
    <b v="0"/>
    <s v="No está en VPC"/>
    <n v="719"/>
    <s v="INTPG-VPC_ICB02_719_1.25_720_1.26"/>
    <s v="ISEL-1.25"/>
    <n v="1"/>
    <s v="NO TIENE L3OUT"/>
    <n v="0"/>
    <n v="54"/>
  </r>
  <r>
    <n v="715"/>
    <x v="2"/>
    <x v="35"/>
    <s v="eth1/25"/>
    <x v="0"/>
    <x v="0"/>
    <x v="0"/>
    <m/>
    <x v="0"/>
    <b v="0"/>
    <s v="No está en VPC"/>
    <n v="715"/>
    <s v="INTPG-VPC_ZKP03_715_1.25_716_1.26"/>
    <s v="ISEL-1.25"/>
    <n v="1"/>
    <s v="NO TIENE L3OUT"/>
    <n v="0"/>
    <n v="54"/>
  </r>
  <r>
    <n v="427"/>
    <x v="1"/>
    <x v="36"/>
    <s v="eth1/25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25"/>
    <x v="0"/>
    <x v="1"/>
    <x v="5"/>
    <s v="CEM:ITHCEMC2ADT13:LOM P1"/>
    <x v="0"/>
    <b v="0"/>
    <s v="No está en VPC"/>
    <n v="711"/>
    <s v="INTPG_VPC_710_1.26_711_1.25"/>
    <s v="ISEL-1.25"/>
    <n v="1"/>
    <s v="NO TIENE L3OUT"/>
    <n v="16"/>
    <n v="54"/>
  </r>
  <r>
    <n v="716"/>
    <x v="2"/>
    <x v="38"/>
    <s v="eth1/25"/>
    <x v="0"/>
    <x v="1"/>
    <x v="5"/>
    <m/>
    <x v="0"/>
    <b v="0"/>
    <s v="No está en VPC"/>
    <n v="716"/>
    <s v="INTPG-VPC_KFK05_716_1.25_715_1.26"/>
    <s v="ISEL-1.25"/>
    <n v="1"/>
    <s v="NO TIENE L3OUT"/>
    <n v="0"/>
    <n v="54"/>
  </r>
  <r>
    <n v="702"/>
    <x v="2"/>
    <x v="39"/>
    <s v="eth1/25"/>
    <x v="0"/>
    <x v="0"/>
    <x v="0"/>
    <m/>
    <x v="0"/>
    <b v="0"/>
    <s v="No está en VPC"/>
    <n v="702"/>
    <s v="INTPG_VPC_702_1.25_701_1.26"/>
    <s v="ISEL-1.25"/>
    <n v="1"/>
    <s v="NO TIENE L3OUT"/>
    <n v="0"/>
    <n v="54"/>
  </r>
  <r>
    <n v="435"/>
    <x v="1"/>
    <x v="40"/>
    <s v="eth1/25"/>
    <x v="0"/>
    <x v="0"/>
    <x v="0"/>
    <s v="IXT_IS_5_mgm2_Secundario"/>
    <x v="1"/>
    <b v="0"/>
    <s v="No está en VPC"/>
    <n v="435"/>
    <s v="INTPG_ACC_435_1.25"/>
    <s v="ISEL-1.25"/>
    <n v="1"/>
    <s v="NO TIENE L3OUT"/>
    <n v="34"/>
    <n v="54"/>
  </r>
  <r>
    <n v="446"/>
    <x v="1"/>
    <x v="41"/>
    <s v="eth1/25"/>
    <x v="0"/>
    <x v="0"/>
    <x v="0"/>
    <s v="TO-ITHFDLMCLWLCN03"/>
    <x v="0"/>
    <b v="0"/>
    <s v="No está en VPC"/>
    <n v="446"/>
    <s v="INTPG_VPC_446_1.25_444_1.26"/>
    <s v="ISEL-1.25"/>
    <n v="1"/>
    <s v="NO TIENE L3OUT"/>
    <n v="198"/>
    <n v="54"/>
  </r>
  <r>
    <n v="444"/>
    <x v="1"/>
    <x v="42"/>
    <s v="eth1/25"/>
    <x v="0"/>
    <x v="0"/>
    <x v="0"/>
    <s v="TO-ITHFDLMCLWLCN03"/>
    <x v="0"/>
    <b v="0"/>
    <s v="No está en VPC"/>
    <n v="444"/>
    <s v="INTPG_VPC_446_1.24_444_1.25"/>
    <s v="ISEL-1.25"/>
    <n v="3"/>
    <s v="NO TIENE L3OUT"/>
    <n v="234"/>
    <n v="54"/>
  </r>
  <r>
    <n v="701"/>
    <x v="2"/>
    <x v="43"/>
    <s v="eth1/25"/>
    <x v="0"/>
    <x v="0"/>
    <x v="0"/>
    <m/>
    <x v="0"/>
    <b v="0"/>
    <s v="No está en VPC"/>
    <n v="701"/>
    <s v="INTPG_VPC_701_1.25_702_1.26"/>
    <s v="ISEL-1.25"/>
    <n v="1"/>
    <s v="NO TIENE L3OUT"/>
    <n v="0"/>
    <n v="54"/>
  </r>
  <r>
    <n v="440"/>
    <x v="1"/>
    <x v="44"/>
    <s v="eth1/25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25"/>
    <x v="0"/>
    <x v="0"/>
    <x v="0"/>
    <s v="CLIENT_HUAWEI_CLOUD_ARIESO1"/>
    <x v="0"/>
    <b v="0"/>
    <s v="No está en VPC"/>
    <n v="448"/>
    <s v="INTPG_VPC_431_1.22-25_448_1.22-25"/>
    <s v="ISEL-1.25"/>
    <n v="14"/>
    <s v="NO TIENE L3OUT"/>
    <n v="46"/>
    <n v="54"/>
  </r>
  <r>
    <n v="704"/>
    <x v="2"/>
    <x v="46"/>
    <s v="eth1/25"/>
    <x v="0"/>
    <x v="0"/>
    <x v="0"/>
    <m/>
    <x v="0"/>
    <b v="0"/>
    <s v="No está en VPC"/>
    <n v="704"/>
    <s v="INTPG_VPC_704_1.25_703_1.26"/>
    <s v="ISEL-1.25"/>
    <n v="1"/>
    <s v="NO TIENE L3OUT"/>
    <n v="0"/>
    <n v="54"/>
  </r>
  <r>
    <n v="729"/>
    <x v="2"/>
    <x v="47"/>
    <s v="eth1/25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25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25"/>
    <x v="0"/>
    <x v="0"/>
    <x v="0"/>
    <s v="TO-ITHFORZDLRXCTL01-PCIe-3-P2"/>
    <x v="4"/>
    <b v="0"/>
    <s v="No está en VPC"/>
    <n v="456"/>
    <s v="INTPG_ACC_456_1.25"/>
    <s v="ISEL-1.25"/>
    <n v="1"/>
    <s v="NO TIENE L3OUT"/>
    <n v="4"/>
    <n v="54"/>
  </r>
  <r>
    <n v="603"/>
    <x v="1"/>
    <x v="50"/>
    <s v="eth1/25"/>
    <x v="0"/>
    <x v="1"/>
    <x v="3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25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25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25"/>
    <x v="0"/>
    <x v="0"/>
    <x v="0"/>
    <s v="Server_Pre-R02-CBS-RH2288-09"/>
    <x v="0"/>
    <b v="0"/>
    <s v="No está en VPC"/>
    <n v="730"/>
    <s v="INTPG_ACC_730_1.25"/>
    <s v="ISEL-1.25"/>
    <n v="1"/>
    <s v="NO TIENE L3OUT"/>
    <n v="36"/>
    <n v="54"/>
  </r>
  <r>
    <n v="722"/>
    <x v="2"/>
    <x v="54"/>
    <s v="eth1/25"/>
    <x v="0"/>
    <x v="0"/>
    <x v="0"/>
    <m/>
    <x v="0"/>
    <b v="0"/>
    <s v="No está en VPC"/>
    <n v="722"/>
    <s v="INTPG-VPC_HDD121_722_1.25_723_1.26"/>
    <s v="ISEL-1.25"/>
    <n v="1"/>
    <s v="NO TIENE L3OUT"/>
    <n v="0"/>
    <n v="54"/>
  </r>
  <r>
    <n v="733"/>
    <x v="2"/>
    <x v="55"/>
    <s v="eth1/25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25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25"/>
    <x v="0"/>
    <x v="0"/>
    <x v="0"/>
    <m/>
    <x v="0"/>
    <b v="0"/>
    <s v="No está en VPC"/>
    <n v="748"/>
    <s v="INTPG_ACC_748_1.25"/>
    <s v="ISEL-1.25"/>
    <n v="0"/>
    <s v="NO TIENE L3OUT"/>
    <n v="2"/>
    <n v="54"/>
  </r>
  <r>
    <n v="756"/>
    <x v="2"/>
    <x v="58"/>
    <s v="eth1/25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25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25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25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25"/>
    <x v="0"/>
    <x v="1"/>
    <x v="1"/>
    <s v="CEM:ITHCEMA2ADT13:LOM P3"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25"/>
    <x v="0"/>
    <x v="0"/>
    <x v="0"/>
    <s v="PAAS:ithhwosstpap010:FlexIO.1"/>
    <x v="0"/>
    <b v="0"/>
    <s v="No está en VPC"/>
    <n v="763"/>
    <s v="INTPG_VPC_762_1.25_763_1.25"/>
    <s v="ISEL-1.25"/>
    <n v="15"/>
    <s v="NO TIENE L3OUT"/>
    <n v="2"/>
    <n v="54"/>
  </r>
  <r>
    <n v="766"/>
    <x v="2"/>
    <x v="64"/>
    <s v="eth1/25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25"/>
    <x v="1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25"/>
    <x v="0"/>
    <x v="0"/>
    <x v="0"/>
    <s v="PAAS:ithhwosstpap010:LOM PORT 1"/>
    <x v="0"/>
    <b v="0"/>
    <s v="No está en VPC"/>
    <n v="752"/>
    <s v="INTPG_VPC_747_1.25_752_1.25"/>
    <s v="ISEL-1.25"/>
    <n v="25"/>
    <s v="NO TIENE L3OUT"/>
    <n v="0"/>
    <n v="54"/>
  </r>
  <r>
    <n v="765"/>
    <x v="2"/>
    <x v="67"/>
    <s v="eth1/25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25"/>
    <x v="0"/>
    <x v="0"/>
    <x v="0"/>
    <s v="CLOUD OPS:ithhwcop01en01:1E P1"/>
    <x v="0"/>
    <b v="0"/>
    <s v="No está en VPC"/>
    <n v="778"/>
    <s v="INTPG_VPC_778_1.25-26_31-32_779_1.25-26_31-32"/>
    <s v="ISEL-1.25"/>
    <n v="24"/>
    <s v="NO TIENE L3OUT"/>
    <n v="26"/>
    <n v="54"/>
  </r>
  <r>
    <n v="780"/>
    <x v="2"/>
    <x v="69"/>
    <s v="eth1/25"/>
    <x v="0"/>
    <x v="0"/>
    <x v="0"/>
    <s v="CLOUD OPS:ithhwcop02en01:3X P2"/>
    <x v="0"/>
    <b v="0"/>
    <s v="No está en VPC"/>
    <n v="780"/>
    <s v="INTPG_VPC_780_1.22-25_781_1.22-25"/>
    <s v="ISEL-1.25"/>
    <n v="23"/>
    <s v="NO TIENE L3OUT"/>
    <n v="26"/>
    <n v="54"/>
  </r>
  <r>
    <n v="812"/>
    <x v="2"/>
    <x v="70"/>
    <s v="eth1/25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25"/>
    <x v="0"/>
    <x v="0"/>
    <x v="0"/>
    <s v="TO_ITHFDEOSPVLMT01"/>
    <x v="0"/>
    <b v="0"/>
    <s v="No está en VPC"/>
    <n v="796"/>
    <s v="INTPG_VPC_795_1.23-25_796_1.23-25"/>
    <s v="ISEL-1.25"/>
    <n v="2"/>
    <s v="NO TIENE L3OUT"/>
    <n v="18"/>
    <n v="54"/>
  </r>
  <r>
    <n v="795"/>
    <x v="2"/>
    <x v="72"/>
    <s v="eth1/25"/>
    <x v="0"/>
    <x v="0"/>
    <x v="0"/>
    <s v="TO_ITHFDEOSPVLMT01"/>
    <x v="0"/>
    <b v="0"/>
    <s v="No está en VPC"/>
    <n v="795"/>
    <s v="INTPG_VPC_795_1.23-25_796_1.23-25"/>
    <s v="ISEL-1.25"/>
    <n v="2"/>
    <s v="NO TIENE L3OUT"/>
    <n v="18"/>
    <n v="54"/>
  </r>
  <r>
    <n v="749"/>
    <x v="2"/>
    <x v="73"/>
    <s v="eth1/25"/>
    <x v="0"/>
    <x v="0"/>
    <x v="0"/>
    <m/>
    <x v="0"/>
    <b v="0"/>
    <s v="No está en VPC"/>
    <n v="749"/>
    <s v="INTPG_ACC_749_1.25"/>
    <s v="ISEL-1.25"/>
    <n v="0"/>
    <s v="NO TIENE L3OUT"/>
    <n v="4"/>
    <n v="54"/>
  </r>
  <r>
    <n v="824"/>
    <x v="2"/>
    <x v="74"/>
    <s v="eth1/25"/>
    <x v="0"/>
    <x v="0"/>
    <x v="0"/>
    <s v="LINK_TO_ITHFHWCMVWPMA13 /Slot6.2 /Redundante"/>
    <x v="0"/>
    <b v="0"/>
    <s v="No está en VPC"/>
    <n v="824"/>
    <s v="INTPG_ACC_824_1.25"/>
    <s v="ISEL-1.25"/>
    <n v="1"/>
    <s v="NO TIENE L3OUT"/>
    <n v="70"/>
    <n v="54"/>
  </r>
  <r>
    <n v="819"/>
    <x v="2"/>
    <x v="75"/>
    <s v="eth1/25"/>
    <x v="0"/>
    <x v="0"/>
    <x v="0"/>
    <s v="LINK_TO_ITHFHWCMVWPMA13 /Slot4.2 /Principal"/>
    <x v="0"/>
    <b v="0"/>
    <s v="No está en VPC"/>
    <n v="819"/>
    <s v="INTPG_ACC_819_1.25"/>
    <s v="ISEL-1.25"/>
    <n v="1"/>
    <s v="NO TIENE L3OUT"/>
    <n v="70"/>
    <n v="54"/>
  </r>
  <r>
    <n v="737"/>
    <x v="2"/>
    <x v="76"/>
    <s v="eth1/25"/>
    <x v="0"/>
    <x v="0"/>
    <x v="0"/>
    <s v="CEM:ITHCEMF2KFK13:LOM P3"/>
    <x v="5"/>
    <b v="0"/>
    <s v="No está en VPC"/>
    <n v="737"/>
    <s v="INTPG_ACC_737_1.25"/>
    <s v="ISEL-1.25"/>
    <n v="1"/>
    <s v="NO TIENE L3OUT"/>
    <n v="72"/>
    <n v="54"/>
  </r>
  <r>
    <n v="844"/>
    <x v="2"/>
    <x v="77"/>
    <s v="eth1/25"/>
    <x v="0"/>
    <x v="0"/>
    <x v="0"/>
    <s v="LINK_TO_ITHFHWCRMPLCN109 / Slot1.1_22 / Principal"/>
    <x v="0"/>
    <b v="0"/>
    <s v="No está en VPC"/>
    <n v="844"/>
    <s v="INTPG_ACC_844_1.25"/>
    <s v="ISEL-1.25"/>
    <n v="6"/>
    <s v="NO TIENE L3OUT"/>
    <n v="282"/>
    <n v="54"/>
  </r>
  <r>
    <n v="843"/>
    <x v="2"/>
    <x v="78"/>
    <s v="eth1/25"/>
    <x v="0"/>
    <x v="0"/>
    <x v="0"/>
    <s v="LINK_To_ITHFHWCBSPSWR43 / Slot7.2_30 / Redundante"/>
    <x v="0"/>
    <b v="0"/>
    <s v="No está en VPC"/>
    <n v="843"/>
    <s v="INTPG_VPC_838_1.25_843_1.25"/>
    <s v="ISEL-1.25"/>
    <n v="1"/>
    <s v="NO TIENE L3OUT"/>
    <n v="38"/>
    <n v="54"/>
  </r>
  <r>
    <n v="797"/>
    <x v="2"/>
    <x v="79"/>
    <s v="eth1/25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25"/>
    <x v="0"/>
    <x v="0"/>
    <x v="0"/>
    <s v="LINK_TO_ITHFHWCBSPSHD38 / Slot7.1_14 / Redundante"/>
    <x v="0"/>
    <b v="0"/>
    <s v="No está en VPC"/>
    <n v="839"/>
    <s v="INTPG_VPC_834_1.25_839_1.25"/>
    <s v="ISEL-1.25"/>
    <n v="2"/>
    <s v="NO TIENE L3OUT"/>
    <n v="0"/>
    <n v="54"/>
  </r>
  <r>
    <n v="847"/>
    <x v="2"/>
    <x v="81"/>
    <s v="eth1/25"/>
    <x v="0"/>
    <x v="0"/>
    <x v="0"/>
    <s v="LINK_TO_ITHFHWCRMPLCN173 / Slot7.3_16 / Redundante"/>
    <x v="0"/>
    <b v="0"/>
    <s v="No está en VPC"/>
    <n v="847"/>
    <s v="INTPG_ACC_847_1.25"/>
    <s v="ISEL-1.25"/>
    <n v="1"/>
    <s v="NO TIENE L3OUT"/>
    <n v="204"/>
    <n v="54"/>
  </r>
  <r>
    <n v="848"/>
    <x v="2"/>
    <x v="82"/>
    <s v="eth1/25"/>
    <x v="0"/>
    <x v="0"/>
    <x v="0"/>
    <s v="LINK_TO_ITHFHWCRMPLCN162 / Slot7.3_26 / Redundante"/>
    <x v="0"/>
    <b v="0"/>
    <s v="No está en VPC"/>
    <n v="848"/>
    <s v="INTPG_ACC_848_1.25"/>
    <s v="ISEL-1.25"/>
    <n v="1"/>
    <s v="NO TIENE L3OUT"/>
    <n v="254"/>
    <n v="54"/>
  </r>
  <r>
    <n v="846"/>
    <x v="2"/>
    <x v="83"/>
    <s v="eth1/25"/>
    <x v="0"/>
    <x v="0"/>
    <x v="0"/>
    <s v="LINK_TO_ITHFHWCRMPLCN80 / Slot1.1_18 / Principal"/>
    <x v="0"/>
    <b v="0"/>
    <s v="No está en VPC"/>
    <n v="846"/>
    <s v="INTPG_ACC_846_1.25"/>
    <s v="ISEL-1.25"/>
    <n v="6"/>
    <s v="NO TIENE L3OUT"/>
    <n v="242"/>
    <n v="54"/>
  </r>
  <r>
    <n v="838"/>
    <x v="2"/>
    <x v="84"/>
    <s v="eth1/25"/>
    <x v="0"/>
    <x v="0"/>
    <x v="0"/>
    <s v="LINK_To_ITHFHWCBSPSWR43 / Slot1.2_30 / Principal"/>
    <x v="0"/>
    <b v="0"/>
    <s v="No está en VPC"/>
    <n v="838"/>
    <s v="INTPG_VPC_838_1.25_843_1.25"/>
    <s v="ISEL-1.25"/>
    <n v="1"/>
    <s v="NO TIENE L3OUT"/>
    <n v="38"/>
    <n v="54"/>
  </r>
  <r>
    <n v="849"/>
    <x v="2"/>
    <x v="85"/>
    <s v="eth1/25"/>
    <x v="0"/>
    <x v="0"/>
    <x v="0"/>
    <s v="LINK_TO_ITHFHWCRMPLCN142 / Slot7.3_18 / Redundante"/>
    <x v="0"/>
    <b v="0"/>
    <s v="No está en VPC"/>
    <n v="849"/>
    <s v="INTPG_ACC_849_1.25"/>
    <s v="ISEL-1.25"/>
    <n v="1"/>
    <s v="NO TIENE L3OUT"/>
    <n v="286"/>
    <n v="54"/>
  </r>
  <r>
    <n v="845"/>
    <x v="2"/>
    <x v="86"/>
    <s v="eth1/25"/>
    <x v="0"/>
    <x v="0"/>
    <x v="0"/>
    <s v="LINK_TO_ITHFHWCRMPLCN92 / Slot1.2_16 / Principal"/>
    <x v="0"/>
    <b v="0"/>
    <s v="No está en VPC"/>
    <n v="845"/>
    <s v="INTPG_ACC_845_1.25"/>
    <s v="ISEL-1.25"/>
    <n v="2"/>
    <s v="NO TIENE L3OUT"/>
    <n v="258"/>
    <n v="54"/>
  </r>
  <r>
    <n v="873"/>
    <x v="2"/>
    <x v="87"/>
    <s v="eth1/25"/>
    <x v="0"/>
    <x v="0"/>
    <x v="0"/>
    <s v="TO_ITHFHWCRMDLCN61_Principal"/>
    <x v="0"/>
    <b v="0"/>
    <s v="No está en VPC"/>
    <n v="873"/>
    <s v="INTPG_ACC_873_1.25"/>
    <s v="ISEL-1.25"/>
    <n v="2"/>
    <s v="NO TIENE L3OUT"/>
    <n v="248"/>
    <n v="54"/>
  </r>
  <r>
    <n v="864"/>
    <x v="2"/>
    <x v="88"/>
    <s v="eth1/25"/>
    <x v="0"/>
    <x v="0"/>
    <x v="0"/>
    <s v="To_VPC_2DCBSD_WR44_1"/>
    <x v="0"/>
    <b v="0"/>
    <s v="No está en VPC"/>
    <n v="864"/>
    <s v="INTPG_VPC_859_1.25_864_1.25"/>
    <s v="ISEL-1.25"/>
    <n v="2"/>
    <s v="NO TIENE L3OUT"/>
    <n v="0"/>
    <n v="54"/>
  </r>
  <r>
    <n v="836"/>
    <x v="2"/>
    <x v="89"/>
    <s v="eth1/25"/>
    <x v="0"/>
    <x v="0"/>
    <x v="0"/>
    <s v="LINK_TO_ITHFHWCBSPSWR53 / Slot1.3_34 / Principal"/>
    <x v="0"/>
    <b v="0"/>
    <s v="No está en VPC"/>
    <n v="836"/>
    <s v="INTPG_VPC_836_1.25_841_1.25"/>
    <s v="ISEL-1.25"/>
    <n v="1"/>
    <s v="NO TIENE L3OUT"/>
    <n v="0"/>
    <n v="54"/>
  </r>
  <r>
    <n v="834"/>
    <x v="2"/>
    <x v="90"/>
    <s v="eth1/25"/>
    <x v="0"/>
    <x v="0"/>
    <x v="0"/>
    <s v="LINK_TO_ITHFHWCBSPSHD38 / Slot1.1_14 / Principal"/>
    <x v="0"/>
    <b v="0"/>
    <s v="No está en VPC"/>
    <n v="834"/>
    <s v="INTPG_VPC_834_1.25_839_1.25"/>
    <s v="ISEL-1.25"/>
    <n v="2"/>
    <s v="NO TIENE L3OUT"/>
    <n v="0"/>
    <n v="54"/>
  </r>
  <r>
    <n v="872"/>
    <x v="2"/>
    <x v="91"/>
    <s v="eth1/25"/>
    <x v="0"/>
    <x v="0"/>
    <x v="0"/>
    <s v="To_ITHFHWCRMDLCN77_Principal"/>
    <x v="0"/>
    <b v="0"/>
    <s v="No está en VPC"/>
    <n v="872"/>
    <s v="INTPG_ACC_872_1.25"/>
    <s v="ISEL-1.25"/>
    <n v="2"/>
    <s v="NO TIENE L3OUT"/>
    <n v="288"/>
    <n v="54"/>
  </r>
  <r>
    <n v="842"/>
    <x v="2"/>
    <x v="92"/>
    <s v="eth1/25"/>
    <x v="0"/>
    <x v="0"/>
    <x v="0"/>
    <s v="LINK_TO_ITHFHWCBSPSWR47 / Slot7.3_30 / Redundante"/>
    <x v="0"/>
    <b v="0"/>
    <s v="No está en VPC"/>
    <n v="842"/>
    <s v="INTPG_VPC_837_1.25_842_1.25"/>
    <s v="ISEL-1.25"/>
    <n v="1"/>
    <s v="NO TIENE L3OUT"/>
    <n v="8"/>
    <n v="54"/>
  </r>
  <r>
    <n v="828"/>
    <x v="2"/>
    <x v="93"/>
    <s v="eth1/25"/>
    <x v="0"/>
    <x v="0"/>
    <x v="0"/>
    <s v="LINK_TO_ITHFHWCRMDLCN23 /Slot4.2 /Principal"/>
    <x v="0"/>
    <b v="0"/>
    <s v="No está en VPC"/>
    <n v="828"/>
    <s v="INTPG_ACC_828_1.25"/>
    <s v="ISEL-1.25"/>
    <n v="1"/>
    <s v="NO TIENE L3OUT"/>
    <n v="192"/>
    <n v="54"/>
  </r>
  <r>
    <n v="870"/>
    <x v="2"/>
    <x v="94"/>
    <s v="eth1/25"/>
    <x v="0"/>
    <x v="0"/>
    <x v="0"/>
    <s v="TO_ITHFHWCRMDLCN61_Redundante"/>
    <x v="0"/>
    <b v="0"/>
    <s v="No está en VPC"/>
    <n v="870"/>
    <s v="INTPG_ACC_870_1.25"/>
    <s v="ISEL-1.25"/>
    <n v="2"/>
    <s v="NO TIENE L3OUT"/>
    <n v="248"/>
    <n v="54"/>
  </r>
  <r>
    <n v="866"/>
    <x v="2"/>
    <x v="95"/>
    <s v="eth1/25"/>
    <x v="0"/>
    <x v="0"/>
    <x v="0"/>
    <s v="To_VPC_2DCBSD_HD24_3"/>
    <x v="0"/>
    <b v="0"/>
    <s v="No está en VPC"/>
    <n v="866"/>
    <s v="INTPG_VPC_861_1.25_866_1.25"/>
    <s v="ISEL-1.25"/>
    <n v="1"/>
    <s v="NO TIENE L3OUT"/>
    <n v="8"/>
    <n v="54"/>
  </r>
  <r>
    <n v="862"/>
    <x v="2"/>
    <x v="96"/>
    <s v="eth1/25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25"/>
    <x v="0"/>
    <x v="0"/>
    <x v="0"/>
    <s v="LINK_TO_ITHFHWCRMPLCN162 / Slot1.3_26 / Principal"/>
    <x v="0"/>
    <b v="0"/>
    <s v="No está en VPC"/>
    <n v="855"/>
    <s v="INTPG_ACC_855_1.25"/>
    <s v="ISEL-1.25"/>
    <n v="1"/>
    <s v="NO TIENE L3OUT"/>
    <n v="254"/>
    <n v="54"/>
  </r>
  <r>
    <n v="871"/>
    <x v="2"/>
    <x v="98"/>
    <s v="eth1/25"/>
    <x v="0"/>
    <x v="0"/>
    <x v="0"/>
    <s v="To_VPC_2DCRMD_SBD11_1"/>
    <x v="0"/>
    <b v="0"/>
    <s v="No está en VPC"/>
    <n v="871"/>
    <s v="INTPG_VPC_868_1.25_871_1.25"/>
    <s v="ISEL-1.25"/>
    <n v="6"/>
    <s v="NO TIENE L3OUT"/>
    <n v="246"/>
    <n v="54"/>
  </r>
  <r>
    <n v="841"/>
    <x v="2"/>
    <x v="99"/>
    <s v="eth1/25"/>
    <x v="0"/>
    <x v="0"/>
    <x v="0"/>
    <s v="LINK_TO_ITHFHWCBSPSWR53 / Slot7.3_34 / Redundante"/>
    <x v="0"/>
    <b v="0"/>
    <s v="No está en VPC"/>
    <n v="841"/>
    <s v="INTPG_VPC_836_1.25_841_1.25"/>
    <s v="ISEL-1.25"/>
    <n v="1"/>
    <s v="NO TIENE L3OUT"/>
    <n v="0"/>
    <n v="54"/>
  </r>
  <r>
    <n v="868"/>
    <x v="2"/>
    <x v="100"/>
    <s v="eth1/25"/>
    <x v="0"/>
    <x v="0"/>
    <x v="0"/>
    <s v="To_VPC_2DCRMD_SBD11_1"/>
    <x v="0"/>
    <b v="0"/>
    <s v="No está en VPC"/>
    <n v="868"/>
    <s v="INTPG_VPC_868_1.25_871_1.25"/>
    <s v="ISEL-1.25"/>
    <n v="6"/>
    <s v="NO TIENE L3OUT"/>
    <n v="246"/>
    <n v="54"/>
  </r>
  <r>
    <n v="869"/>
    <x v="2"/>
    <x v="101"/>
    <s v="eth1/25"/>
    <x v="0"/>
    <x v="0"/>
    <x v="0"/>
    <s v="To_ITHFHWCRMDLCN77_Redundante"/>
    <x v="0"/>
    <b v="0"/>
    <s v="No está en VPC"/>
    <n v="869"/>
    <s v="INTPG_ACC_869_1.25"/>
    <s v="ISEL-1.25"/>
    <n v="2"/>
    <s v="NO TIENE L3OUT"/>
    <n v="288"/>
    <n v="54"/>
  </r>
  <r>
    <n v="861"/>
    <x v="2"/>
    <x v="102"/>
    <s v="eth1/25"/>
    <x v="0"/>
    <x v="0"/>
    <x v="0"/>
    <s v="To_VPC_2DCBSD_HD24_3"/>
    <x v="0"/>
    <b v="0"/>
    <s v="No está en VPC"/>
    <n v="861"/>
    <s v="INTPG_VPC_861_1.25_866_1.25"/>
    <s v="ISEL-1.25"/>
    <n v="1"/>
    <s v="NO TIENE L3OUT"/>
    <n v="8"/>
    <n v="54"/>
  </r>
  <r>
    <n v="874"/>
    <x v="2"/>
    <x v="103"/>
    <s v="eth1/25"/>
    <x v="0"/>
    <x v="0"/>
    <x v="0"/>
    <s v="A_ITHFHWSEQLCAS24_Redundante"/>
    <x v="4"/>
    <b v="0"/>
    <s v="No está en VPC"/>
    <n v="874"/>
    <s v="INTPG_ACC_874_1.25"/>
    <s v="ISEL-1.25"/>
    <n v="1"/>
    <s v="NO TIENE L3OUT"/>
    <n v="92"/>
    <n v="54"/>
  </r>
  <r>
    <n v="865"/>
    <x v="2"/>
    <x v="104"/>
    <s v="eth1/25"/>
    <x v="0"/>
    <x v="0"/>
    <x v="0"/>
    <s v="To_VPC_2DCBSD_TL05_1"/>
    <x v="0"/>
    <b v="0"/>
    <s v="No está en VPC"/>
    <n v="865"/>
    <s v="INTPG_VPC_860_1.25_865_1.25"/>
    <s v="ISEL-1.25"/>
    <n v="2"/>
    <s v="NO TIENE L3OUT"/>
    <n v="0"/>
    <n v="54"/>
  </r>
  <r>
    <n v="753"/>
    <x v="2"/>
    <x v="105"/>
    <s v="eth1/25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25"/>
    <x v="0"/>
    <x v="1"/>
    <x v="5"/>
    <s v="CEM:ITHCEMF2KFK13:LOM P1"/>
    <x v="0"/>
    <b v="0"/>
    <s v="No está en VPC"/>
    <n v="708"/>
    <s v="INTPG_VPC_708_1.25_709_1.26"/>
    <s v="ISEL-1.25"/>
    <n v="1"/>
    <s v="NO TIENE L3OUT"/>
    <n v="0"/>
    <n v="54"/>
  </r>
  <r>
    <n v="710"/>
    <x v="2"/>
    <x v="107"/>
    <s v="eth1/25"/>
    <x v="0"/>
    <x v="1"/>
    <x v="5"/>
    <s v="CEM:ITHCEMD2ADT13:LOM P1"/>
    <x v="0"/>
    <b v="0"/>
    <s v="No está en VPC"/>
    <n v="710"/>
    <s v="INTPG_VPC_710_1.25_711_1.26"/>
    <s v="ISEL-1.25"/>
    <n v="1"/>
    <s v="NO TIENE L3OUT"/>
    <n v="16"/>
    <n v="54"/>
  </r>
  <r>
    <n v="713"/>
    <x v="2"/>
    <x v="108"/>
    <s v="eth1/25"/>
    <x v="1"/>
    <x v="1"/>
    <x v="3"/>
    <s v="CEM:ITHCEMA2ADT13:LOM P1"/>
    <x v="0"/>
    <b v="0"/>
    <s v="No está en VPC"/>
    <n v="713"/>
    <s v="INTPG_VPC_713_1.25_712_1.26"/>
    <s v="ISEL-1.25"/>
    <n v="0"/>
    <s v="NO TIENE L3OUT"/>
    <n v="32"/>
    <n v="54"/>
  </r>
  <r>
    <n v="735"/>
    <x v="2"/>
    <x v="109"/>
    <s v="eth1/25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25"/>
    <x v="0"/>
    <x v="1"/>
    <x v="1"/>
    <s v="Server_Pre-R02-CBS-RH2288-09"/>
    <x v="0"/>
    <b v="0"/>
    <s v="No está en VPC"/>
    <n v="731"/>
    <s v="INTPG_ACC_731_1.25"/>
    <s v="ISEL-1.25"/>
    <n v="1"/>
    <s v="NO TIENE L3OUT"/>
    <n v="38"/>
    <n v="54"/>
  </r>
  <r>
    <n v="703"/>
    <x v="2"/>
    <x v="111"/>
    <s v="eth1/25"/>
    <x v="0"/>
    <x v="0"/>
    <x v="0"/>
    <m/>
    <x v="0"/>
    <b v="0"/>
    <s v="No está en VPC"/>
    <n v="703"/>
    <s v="INTPG_VPC_703_1.25_704_1.26"/>
    <s v="ISEL-1.25"/>
    <n v="1"/>
    <s v="NO TIENE L3OUT"/>
    <n v="2"/>
    <n v="54"/>
  </r>
  <r>
    <n v="706"/>
    <x v="2"/>
    <x v="112"/>
    <s v="eth1/25"/>
    <x v="0"/>
    <x v="0"/>
    <x v="0"/>
    <m/>
    <x v="0"/>
    <b v="0"/>
    <s v="No está en VPC"/>
    <n v="706"/>
    <s v="INTPG_VPC_706_1.25_705_1.26"/>
    <s v="ISEL-1.25"/>
    <n v="1"/>
    <s v="NO TIENE L3OUT"/>
    <n v="16"/>
    <n v="54"/>
  </r>
  <r>
    <n v="762"/>
    <x v="2"/>
    <x v="113"/>
    <s v="eth1/25"/>
    <x v="0"/>
    <x v="0"/>
    <x v="0"/>
    <s v="PAAS:ithhwosstpap010:LOM PORT 3"/>
    <x v="0"/>
    <b v="0"/>
    <s v="No está en VPC"/>
    <n v="762"/>
    <s v="INTPG_VPC_762_1.25_763_1.25"/>
    <s v="ISEL-1.25"/>
    <n v="15"/>
    <s v="NO TIENE L3OUT"/>
    <n v="0"/>
    <n v="54"/>
  </r>
  <r>
    <n v="814"/>
    <x v="2"/>
    <x v="114"/>
    <s v="eth1/25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25"/>
    <x v="1"/>
    <x v="1"/>
    <x v="3"/>
    <s v="TO-UCS-FI-6454"/>
    <x v="4"/>
    <b v="0"/>
    <s v="No está en VPC"/>
    <n v="878"/>
    <s v="INTPG_VPC_878_1.25_879_1.25"/>
    <s v="ISEL-1.25"/>
    <n v="1"/>
    <s v="NO TIENE L3OUT"/>
    <n v="0"/>
    <n v="54"/>
  </r>
  <r>
    <n v="826"/>
    <x v="2"/>
    <x v="116"/>
    <s v="eth1/25"/>
    <x v="0"/>
    <x v="0"/>
    <x v="0"/>
    <s v="LINK_TO_ITHFHWCBSDSHD18 /Slot5.2 /Principal"/>
    <x v="0"/>
    <b v="0"/>
    <s v="No está en VPC"/>
    <n v="826"/>
    <s v="INTPG_VPC_826_1.25_830_1.25"/>
    <s v="ISEL-1.25"/>
    <n v="2"/>
    <s v="NO TIENE L3OUT"/>
    <n v="12"/>
    <n v="54"/>
  </r>
  <r>
    <n v="726"/>
    <x v="2"/>
    <x v="117"/>
    <s v="eth1/25"/>
    <x v="0"/>
    <x v="0"/>
    <x v="0"/>
    <m/>
    <x v="0"/>
    <b v="0"/>
    <s v="No está en VPC"/>
    <n v="726"/>
    <s v="INTPG-VPC_HDD72_726_1.25_727_1.26"/>
    <s v="ISEL-1.25"/>
    <n v="2"/>
    <s v="NO TIENE L3OUT"/>
    <n v="0"/>
    <n v="54"/>
  </r>
  <r>
    <n v="740"/>
    <x v="2"/>
    <x v="118"/>
    <s v="eth1/25"/>
    <x v="0"/>
    <x v="0"/>
    <x v="0"/>
    <s v="CEM:ITHCEMC2ADT13:LOM P3"/>
    <x v="5"/>
    <b v="0"/>
    <s v="No está en VPC"/>
    <n v="740"/>
    <s v="INTPG_ACC_740_1.25"/>
    <s v="ISEL-1.25"/>
    <n v="1"/>
    <s v="NO TIENE L3OUT"/>
    <n v="72"/>
    <n v="54"/>
  </r>
  <r>
    <n v="705"/>
    <x v="2"/>
    <x v="119"/>
    <s v="eth1/25"/>
    <x v="0"/>
    <x v="0"/>
    <x v="0"/>
    <m/>
    <x v="0"/>
    <b v="0"/>
    <s v="No está en VPC"/>
    <n v="705"/>
    <s v="INTPG_VPC_705_1.25_706_1.26"/>
    <s v="ISEL-1.25"/>
    <n v="1"/>
    <s v="NO TIENE L3OUT"/>
    <n v="16"/>
    <n v="54"/>
  </r>
  <r>
    <n v="723"/>
    <x v="2"/>
    <x v="120"/>
    <s v="eth1/25"/>
    <x v="0"/>
    <x v="1"/>
    <x v="5"/>
    <m/>
    <x v="0"/>
    <b v="0"/>
    <s v="No está en VPC"/>
    <n v="723"/>
    <s v="INTPG-VPC_SLR19_723_1.25_722_1.26"/>
    <s v="ISEL-1.25"/>
    <n v="1"/>
    <s v="NO TIENE L3OUT"/>
    <n v="0"/>
    <n v="54"/>
  </r>
  <r>
    <n v="721"/>
    <x v="2"/>
    <x v="121"/>
    <s v="eth1/25"/>
    <x v="0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25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25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25"/>
    <x v="0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25"/>
    <x v="0"/>
    <x v="1"/>
    <x v="5"/>
    <s v="CEM:ITHCEME2KFK13:LOM P1"/>
    <x v="0"/>
    <b v="0"/>
    <s v="No está en VPC"/>
    <n v="709"/>
    <s v="INTPG_VPC_708_1.26_709_1.25"/>
    <s v="ISEL-1.25"/>
    <n v="1"/>
    <s v="NO TIENE L3OUT"/>
    <n v="0"/>
    <n v="54"/>
  </r>
  <r>
    <n v="454"/>
    <x v="1"/>
    <x v="126"/>
    <s v="eth1/25"/>
    <x v="0"/>
    <x v="0"/>
    <x v="0"/>
    <s v="TO-ITHFORZDLRXCTL01-PCIe-3-P1"/>
    <x v="4"/>
    <b v="0"/>
    <s v="No está en VPC"/>
    <n v="454"/>
    <s v="INTPG_ACC_454_1.25"/>
    <s v="ISEL-1.25"/>
    <n v="1"/>
    <s v="NO TIENE L3OUT"/>
    <n v="4"/>
    <n v="54"/>
  </r>
  <r>
    <n v="734"/>
    <x v="2"/>
    <x v="127"/>
    <s v="eth1/25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25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25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25"/>
    <x v="0"/>
    <x v="0"/>
    <x v="0"/>
    <m/>
    <x v="0"/>
    <b v="0"/>
    <s v="No está en VPC"/>
    <n v="718"/>
    <s v="INTPG-VPC_GWN01_718_1.25_717_1.26"/>
    <s v="ISEL-1.25"/>
    <n v="1"/>
    <s v="NO TIENE L3OUT"/>
    <n v="0"/>
    <n v="54"/>
  </r>
  <r>
    <n v="744"/>
    <x v="2"/>
    <x v="131"/>
    <s v="eth1/25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25"/>
    <x v="0"/>
    <x v="0"/>
    <x v="0"/>
    <s v="CEM:ITHCEMB2ADT13:LOM P3"/>
    <x v="5"/>
    <b v="0"/>
    <s v="No está en VPC"/>
    <n v="741"/>
    <s v="INTPG_ACC_741_1.25"/>
    <s v="ISEL-1.25"/>
    <n v="1"/>
    <s v="NO TIENE L3OUT"/>
    <n v="62"/>
    <n v="54"/>
  </r>
  <r>
    <n v="787"/>
    <x v="2"/>
    <x v="133"/>
    <s v="eth1/25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25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25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25"/>
    <x v="0"/>
    <x v="1"/>
    <x v="3"/>
    <s v="CEM_HADOOP"/>
    <x v="0"/>
    <b v="0"/>
    <s v="No está en VPC"/>
    <n v="736"/>
    <s v="INTPG_ACC_736_1.25"/>
    <s v="ISEL-1.25"/>
    <n v="0"/>
    <s v="NO TIENE L3OUT"/>
    <n v="48"/>
    <n v="54"/>
  </r>
  <r>
    <n v="799"/>
    <x v="2"/>
    <x v="137"/>
    <s v="eth1/25"/>
    <x v="0"/>
    <x v="0"/>
    <x v="0"/>
    <s v="TO-IMC_PS13-MSP"/>
    <x v="0"/>
    <b v="0"/>
    <s v="No está en VPC"/>
    <n v="799"/>
    <s v="INTPG_ACC_799_1.25"/>
    <s v="ISEL-1.25"/>
    <n v="1"/>
    <s v="NO TIENE L3OUT"/>
    <n v="52"/>
    <n v="54"/>
  </r>
  <r>
    <n v="768"/>
    <x v="2"/>
    <x v="138"/>
    <s v="eth1/25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25"/>
    <x v="0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25"/>
    <x v="0"/>
    <x v="1"/>
    <x v="5"/>
    <m/>
    <x v="0"/>
    <b v="0"/>
    <s v="No está en VPC"/>
    <n v="717"/>
    <s v="INTPG-VPC_KFK01_717_1.25_718_1.26"/>
    <s v="ISEL-1.25"/>
    <n v="1"/>
    <s v="NO TIENE L3OUT"/>
    <n v="0"/>
    <n v="54"/>
  </r>
  <r>
    <n v="789"/>
    <x v="2"/>
    <x v="141"/>
    <s v="eth1/25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25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25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25"/>
    <x v="0"/>
    <x v="0"/>
    <x v="0"/>
    <s v="CLOUD PAAS PAYG F2:Ithhwvm1dch1:slot 2x/Pto 1"/>
    <x v="0"/>
    <b v="0"/>
    <s v="No está en VPC"/>
    <n v="774"/>
    <s v="INTPG_VPC_774_1.25-28_775_1.29-32"/>
    <s v="ISEL-1.25"/>
    <n v="152"/>
    <s v="NO TIENE L3OUT"/>
    <n v="0"/>
    <n v="54"/>
  </r>
  <r>
    <n v="773"/>
    <x v="2"/>
    <x v="145"/>
    <s v="eth1/25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25"/>
    <x v="0"/>
    <x v="0"/>
    <x v="0"/>
    <s v="DESC"/>
    <x v="0"/>
    <b v="0"/>
    <s v="No está en VPC"/>
    <n v="794"/>
    <s v="INTPG_PC_794_1.17_19_21_23_25_27"/>
    <s v="ISEL-1.25"/>
    <n v="1"/>
    <s v="NO TIENE L3OUT"/>
    <n v="12"/>
    <n v="54"/>
  </r>
  <r>
    <n v="803"/>
    <x v="2"/>
    <x v="147"/>
    <s v="eth1/25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25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25"/>
    <x v="0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25"/>
    <x v="0"/>
    <x v="0"/>
    <x v="0"/>
    <s v="CLOUD OPS:ithhwcop02en01:3X P4"/>
    <x v="0"/>
    <b v="0"/>
    <s v="No está en VPC"/>
    <n v="781"/>
    <s v="INTPG_VPC_780_1.22-25_781_1.22-25"/>
    <s v="ISEL-1.25"/>
    <n v="23"/>
    <s v="NO TIENE L3OUT"/>
    <n v="26"/>
    <n v="54"/>
  </r>
  <r>
    <n v="793"/>
    <x v="2"/>
    <x v="151"/>
    <s v="eth1/25"/>
    <x v="0"/>
    <x v="0"/>
    <x v="0"/>
    <s v="DESC"/>
    <x v="0"/>
    <b v="0"/>
    <s v="No está en VPC"/>
    <n v="793"/>
    <s v="INTPG_PC_793_1.17_19_21_23_25_27"/>
    <s v="ISEL-1.25"/>
    <n v="1"/>
    <s v="NO TIENE L3OUT"/>
    <n v="12"/>
    <n v="54"/>
  </r>
  <r>
    <n v="747"/>
    <x v="2"/>
    <x v="152"/>
    <s v="eth1/25"/>
    <x v="0"/>
    <x v="0"/>
    <x v="0"/>
    <s v="PAAS:ithhwosstpap010:Slot6.1"/>
    <x v="0"/>
    <b v="0"/>
    <s v="No está en VPC"/>
    <n v="747"/>
    <s v="INTPG_VPC_747_1.25_752_1.25"/>
    <s v="ISEL-1.25"/>
    <n v="25"/>
    <s v="NO TIENE L3OUT"/>
    <n v="0"/>
    <n v="54"/>
  </r>
  <r>
    <n v="784"/>
    <x v="2"/>
    <x v="153"/>
    <s v="eth1/25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25"/>
    <x v="0"/>
    <x v="0"/>
    <x v="0"/>
    <m/>
    <x v="0"/>
    <b v="0"/>
    <s v="No está en VPC"/>
    <n v="806"/>
    <s v="INTPG_PC_806_1.23-26"/>
    <s v="ISEL-1.25"/>
    <n v="0"/>
    <s v="L3OUT-OCS-RED-SIG-IP"/>
    <n v="44"/>
    <n v="54"/>
  </r>
  <r>
    <n v="777"/>
    <x v="2"/>
    <x v="155"/>
    <s v="eth1/25"/>
    <x v="0"/>
    <x v="0"/>
    <x v="0"/>
    <s v="CLOUD PAAS PAYG F2:Ithhwvm1ach1:slot 2x/Pto 1"/>
    <x v="0"/>
    <b v="0"/>
    <s v="No está en VPC"/>
    <n v="777"/>
    <s v="INTPG_VPC_776_1.29-32_777_1.25-28"/>
    <s v="ISEL-1.25"/>
    <n v="93"/>
    <s v="NO TIENE L3OUT"/>
    <n v="0"/>
    <n v="54"/>
  </r>
  <r>
    <n v="770"/>
    <x v="2"/>
    <x v="156"/>
    <s v="eth1/25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25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25"/>
    <x v="0"/>
    <x v="0"/>
    <x v="0"/>
    <s v="CEM:ITHCEMD2ADT13:LOM P3"/>
    <x v="5"/>
    <b v="0"/>
    <s v="No está en VPC"/>
    <n v="739"/>
    <s v="INTPG_ACC_739_1.25"/>
    <s v="ISEL-1.25"/>
    <n v="1"/>
    <s v="NO TIENE L3OUT"/>
    <n v="72"/>
    <n v="54"/>
  </r>
  <r>
    <n v="775"/>
    <x v="2"/>
    <x v="159"/>
    <s v="eth1/25"/>
    <x v="0"/>
    <x v="0"/>
    <x v="0"/>
    <s v="CLOUD PAAS PAYG F2:Ithhwvm1cch1:slot 2x/Pto 1"/>
    <x v="0"/>
    <b v="0"/>
    <s v="No está en VPC"/>
    <n v="775"/>
    <s v="INTPG_VPC_774_1.29-32_775_1.25-28"/>
    <s v="ISEL-1.25"/>
    <n v="169"/>
    <s v="NO TIENE L3OUT"/>
    <n v="0"/>
    <n v="54"/>
  </r>
  <r>
    <n v="791"/>
    <x v="2"/>
    <x v="160"/>
    <s v="eth1/25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25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25"/>
    <x v="0"/>
    <x v="0"/>
    <x v="0"/>
    <s v="LINK_TO_ITHFHWCBSDSHD18 /Slot7.2 /Redundante"/>
    <x v="0"/>
    <b v="0"/>
    <s v="No está en VPC"/>
    <n v="830"/>
    <s v="INTPG_VPC_826_1.25_830_1.25"/>
    <s v="ISEL-1.25"/>
    <n v="2"/>
    <s v="NO TIENE L3OUT"/>
    <n v="12"/>
    <n v="54"/>
  </r>
  <r>
    <n v="821"/>
    <x v="2"/>
    <x v="163"/>
    <s v="eth1/25"/>
    <x v="0"/>
    <x v="0"/>
    <x v="0"/>
    <s v="LINK_TO_ITHFHWCBSPSHD18 /Slot7.2 /Redundante"/>
    <x v="0"/>
    <b v="0"/>
    <s v="No está en VPC"/>
    <n v="821"/>
    <s v="INTPG_VPC_816_1.25_821_1.25"/>
    <s v="ISEL-1.25"/>
    <n v="2"/>
    <s v="NO TIENE L3OUT"/>
    <n v="0"/>
    <n v="54"/>
  </r>
  <r>
    <n v="738"/>
    <x v="2"/>
    <x v="164"/>
    <s v="eth1/25"/>
    <x v="0"/>
    <x v="0"/>
    <x v="0"/>
    <s v="CEM:ITHCEME2KFK13:LOM P3"/>
    <x v="5"/>
    <b v="0"/>
    <s v="No está en VPC"/>
    <n v="738"/>
    <s v="INTPG_ACC_738_1.25"/>
    <s v="ISEL-1.25"/>
    <n v="1"/>
    <s v="NO TIENE L3OUT"/>
    <n v="72"/>
    <n v="54"/>
  </r>
  <r>
    <n v="820"/>
    <x v="2"/>
    <x v="165"/>
    <s v="eth1/25"/>
    <x v="0"/>
    <x v="0"/>
    <x v="0"/>
    <s v="LINKT_TO_ITHFHWCRMPLCN133 / Slot7.1_36 / Redundante"/>
    <x v="0"/>
    <b v="0"/>
    <s v="No está en VPC"/>
    <n v="820"/>
    <s v="INTPG_ACC_820_1.25"/>
    <s v="ISEL-1.25"/>
    <n v="6"/>
    <s v="NO TIENE L3OUT"/>
    <n v="72"/>
    <n v="54"/>
  </r>
  <r>
    <n v="804"/>
    <x v="2"/>
    <x v="166"/>
    <s v="eth1/25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25"/>
    <x v="0"/>
    <x v="0"/>
    <x v="0"/>
    <s v="CLOUD OPS:ithhwcop01en01:1E P3"/>
    <x v="0"/>
    <b v="0"/>
    <s v="No está en VPC"/>
    <n v="779"/>
    <s v="INTPG_VPC_778_1.25-26_31-32_779_1.25-26_31-32"/>
    <s v="ISEL-1.25"/>
    <n v="24"/>
    <s v="NO TIENE L3OUT"/>
    <n v="30"/>
    <n v="54"/>
  </r>
  <r>
    <n v="767"/>
    <x v="2"/>
    <x v="168"/>
    <s v="eth1/25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25"/>
    <x v="0"/>
    <x v="0"/>
    <x v="0"/>
    <s v="LINK_TO_ITHFHWCBSDSWR24 /Slot4.2 /Principal"/>
    <x v="0"/>
    <b v="0"/>
    <s v="No está en VPC"/>
    <n v="827"/>
    <s v="INTPG_VPC_827_1.25_831_1.25"/>
    <s v="ISEL-1.25"/>
    <n v="1"/>
    <s v="NO TIENE L3OUT"/>
    <n v="14"/>
    <n v="54"/>
  </r>
  <r>
    <n v="809"/>
    <x v="2"/>
    <x v="170"/>
    <s v="eth1/25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25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25"/>
    <x v="1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25"/>
    <x v="0"/>
    <x v="0"/>
    <x v="0"/>
    <s v="CLOUD PAAS PAYG F2:Ithhwvm1bch1:slot 2x/Pto 1"/>
    <x v="0"/>
    <b v="0"/>
    <s v="No está en VPC"/>
    <n v="776"/>
    <s v="INTPG_VPC_776_1.25-28_777_1.29-32"/>
    <s v="ISEL-1.25"/>
    <n v="90"/>
    <s v="NO TIENE L3OUT"/>
    <n v="0"/>
    <n v="54"/>
  </r>
  <r>
    <n v="805"/>
    <x v="2"/>
    <x v="174"/>
    <s v="eth1/25"/>
    <x v="0"/>
    <x v="0"/>
    <x v="0"/>
    <m/>
    <x v="0"/>
    <b v="0"/>
    <s v="No está en VPC"/>
    <n v="805"/>
    <s v="INTPG_PC_805_1.23-26"/>
    <s v="ISEL-1.25"/>
    <n v="0"/>
    <s v="L3OUT-OCS-RED-SIG-IP"/>
    <n v="44"/>
    <n v="54"/>
  </r>
  <r>
    <n v="772"/>
    <x v="2"/>
    <x v="175"/>
    <s v="eth1/25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25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25"/>
    <x v="0"/>
    <x v="0"/>
    <x v="0"/>
    <s v="LINK_TO_ITHFHWCRMPLCN109 / Slot7.1_22 / Redundante"/>
    <x v="0"/>
    <b v="0"/>
    <s v="No está en VPC"/>
    <n v="851"/>
    <s v="INTPG_ACC_851_1.25"/>
    <s v="ISEL-1.25"/>
    <n v="6"/>
    <s v="NO TIENE L3OUT"/>
    <n v="282"/>
    <n v="54"/>
  </r>
  <r>
    <n v="798"/>
    <x v="2"/>
    <x v="178"/>
    <s v="eth1/25"/>
    <x v="0"/>
    <x v="0"/>
    <x v="0"/>
    <s v="TO-IMC_PS13-MSP"/>
    <x v="0"/>
    <b v="0"/>
    <s v="No está en VPC"/>
    <n v="798"/>
    <s v="INTPG_ACC_798_1.25"/>
    <s v="ISEL-1.25"/>
    <n v="1"/>
    <s v="NO TIENE L3OUT"/>
    <n v="52"/>
    <n v="54"/>
  </r>
  <r>
    <n v="782"/>
    <x v="2"/>
    <x v="179"/>
    <s v="eth1/25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25"/>
    <x v="0"/>
    <x v="0"/>
    <x v="0"/>
    <s v="LINK_TO_ITHFHWCRMPLCN92 / Slot7.2_16 / Redundante"/>
    <x v="0"/>
    <b v="0"/>
    <s v="No está en VPC"/>
    <n v="852"/>
    <s v="INTPG_ACC_852_1.25"/>
    <s v="ISEL-1.25"/>
    <n v="2"/>
    <s v="NO TIENE L3OUT"/>
    <n v="258"/>
    <n v="54"/>
  </r>
  <r>
    <n v="817"/>
    <x v="2"/>
    <x v="181"/>
    <s v="eth1/25"/>
    <x v="0"/>
    <x v="0"/>
    <x v="0"/>
    <s v="LINK_TO_ITHFHWCBSPSUSBD18 /Slot5.2 /Principal"/>
    <x v="0"/>
    <b v="0"/>
    <s v="No está en VPC"/>
    <n v="817"/>
    <s v="INTPG_VPC_817_1.25_822_1.25"/>
    <s v="ISEL-1.25"/>
    <n v="2"/>
    <s v="NO TIENE L3OUT"/>
    <n v="0"/>
    <n v="54"/>
  </r>
  <r>
    <n v="832"/>
    <x v="2"/>
    <x v="182"/>
    <s v="eth1/25"/>
    <x v="0"/>
    <x v="0"/>
    <x v="0"/>
    <s v="LINK_TO_ITHFHWCRMDLCN23 /Slot6.2 /Redundante"/>
    <x v="0"/>
    <b v="0"/>
    <s v="No está en VPC"/>
    <n v="832"/>
    <s v="INTPG_ACC_832_1.25"/>
    <s v="ISEL-1.25"/>
    <n v="1"/>
    <s v="NO TIENE L3OUT"/>
    <n v="192"/>
    <n v="54"/>
  </r>
  <r>
    <n v="816"/>
    <x v="2"/>
    <x v="183"/>
    <s v="eth1/25"/>
    <x v="0"/>
    <x v="0"/>
    <x v="0"/>
    <s v="LINK_TO_ITHFHWCBSPSHD18 /Slot5.2 /Principal"/>
    <x v="0"/>
    <b v="0"/>
    <s v="No está en VPC"/>
    <n v="816"/>
    <s v="INTPG_VPC_816_1.25_821_1.25"/>
    <s v="ISEL-1.25"/>
    <n v="2"/>
    <s v="NO TIENE L3OUT"/>
    <n v="0"/>
    <n v="54"/>
  </r>
  <r>
    <n v="825"/>
    <x v="2"/>
    <x v="184"/>
    <s v="eth1/25"/>
    <x v="0"/>
    <x v="0"/>
    <x v="0"/>
    <s v="LINKT_TO_ITHFHWCRMPLCN133 / Slot1.1_36 / Principal"/>
    <x v="0"/>
    <b v="0"/>
    <s v="No está en VPC"/>
    <n v="825"/>
    <s v="INTPG_ACC_825_1.25"/>
    <s v="ISEL-1.25"/>
    <n v="6"/>
    <s v="NO TIENE L3OUT"/>
    <n v="72"/>
    <n v="54"/>
  </r>
  <r>
    <n v="800"/>
    <x v="2"/>
    <x v="185"/>
    <s v="eth1/25"/>
    <x v="0"/>
    <x v="0"/>
    <x v="0"/>
    <s v="TO-ITHFHWSEQLCAS05-MSP"/>
    <x v="0"/>
    <b v="0"/>
    <s v="No está en VPC"/>
    <n v="800"/>
    <s v="INTPG_ACC_800_1.25"/>
    <s v="ISEL-1.25"/>
    <n v="1"/>
    <s v="NO TIENE L3OUT"/>
    <n v="78"/>
    <n v="54"/>
  </r>
  <r>
    <n v="801"/>
    <x v="2"/>
    <x v="186"/>
    <s v="eth1/25"/>
    <x v="0"/>
    <x v="0"/>
    <x v="0"/>
    <s v="TO-ITHFHWSEQLCAS05-MSP"/>
    <x v="0"/>
    <b v="0"/>
    <s v="No está en VPC"/>
    <n v="801"/>
    <s v="INTPG_ACC_801_1.25"/>
    <s v="ISEL-1.25"/>
    <n v="1"/>
    <s v="NO TIENE L3OUT"/>
    <n v="78"/>
    <n v="54"/>
  </r>
  <r>
    <n v="823"/>
    <x v="2"/>
    <x v="187"/>
    <s v="eth1/25"/>
    <x v="0"/>
    <x v="0"/>
    <x v="0"/>
    <s v="LINK_TO_ITHFHWCBSPSWR32 /Slot6.2 /Redundante"/>
    <x v="0"/>
    <b v="0"/>
    <s v="No está en VPC"/>
    <n v="823"/>
    <s v="INTPG_VPC_818_1.25_823_1.25"/>
    <s v="ISEL-1.25"/>
    <n v="1"/>
    <s v="NO TIENE L3OUT"/>
    <n v="8"/>
    <n v="54"/>
  </r>
  <r>
    <n v="837"/>
    <x v="2"/>
    <x v="188"/>
    <s v="eth1/25"/>
    <x v="0"/>
    <x v="0"/>
    <x v="0"/>
    <s v="LINK_TO_ITHFHWCBSPSWR47 / Slot1.3_30 / Principal"/>
    <x v="0"/>
    <b v="0"/>
    <s v="No está en VPC"/>
    <n v="837"/>
    <s v="INTPG_VPC_837_1.25_842_1.25"/>
    <s v="ISEL-1.25"/>
    <n v="1"/>
    <s v="NO TIENE L3OUT"/>
    <n v="8"/>
    <n v="54"/>
  </r>
  <r>
    <n v="867"/>
    <x v="2"/>
    <x v="189"/>
    <s v="eth1/25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25"/>
    <x v="0"/>
    <x v="0"/>
    <x v="0"/>
    <s v="To_ITHFHWCRMDLCN43_Principal"/>
    <x v="0"/>
    <b v="0"/>
    <s v="No está en VPC"/>
    <n v="829"/>
    <s v="INTPG_ACC_829_1.25"/>
    <s v="ISEL-1.25"/>
    <n v="2"/>
    <s v="NO TIENE L3OUT"/>
    <n v="224"/>
    <n v="54"/>
  </r>
  <r>
    <n v="831"/>
    <x v="2"/>
    <x v="191"/>
    <s v="eth1/25"/>
    <x v="0"/>
    <x v="0"/>
    <x v="0"/>
    <s v="LINK_TO_ITHFHWCBSDSWR24 /Slot6.2 /Redundante"/>
    <x v="0"/>
    <b v="0"/>
    <s v="No está en VPC"/>
    <n v="831"/>
    <s v="INTPG_VPC_827_1.25_831_1.25"/>
    <s v="ISEL-1.25"/>
    <n v="1"/>
    <s v="NO TIENE L3OUT"/>
    <n v="14"/>
    <n v="54"/>
  </r>
  <r>
    <n v="802"/>
    <x v="2"/>
    <x v="192"/>
    <s v="eth1/25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25"/>
    <x v="0"/>
    <x v="0"/>
    <x v="0"/>
    <s v="LINK_TO_ITHHWD6KV65100014DKC01 / CTMB_IOM1.P0_34 / Principal"/>
    <x v="0"/>
    <b v="0"/>
    <s v="No está en VPC"/>
    <n v="835"/>
    <s v="INTPG_ACC_835_1.25"/>
    <s v="ISEL-1.25"/>
    <n v="1"/>
    <s v="NO TIENE L3OUT"/>
    <n v="8"/>
    <n v="54"/>
  </r>
  <r>
    <n v="822"/>
    <x v="2"/>
    <x v="194"/>
    <s v="eth1/25"/>
    <x v="0"/>
    <x v="0"/>
    <x v="0"/>
    <s v="LINK_TO_ITHFHWCBSPSUSBD18 /Slot7.2 /Redundante"/>
    <x v="0"/>
    <b v="0"/>
    <s v="No está en VPC"/>
    <n v="822"/>
    <s v="INTPG_VPC_817_1.25_822_1.25"/>
    <s v="ISEL-1.25"/>
    <n v="2"/>
    <s v="NO TIENE L3OUT"/>
    <n v="0"/>
    <n v="54"/>
  </r>
  <r>
    <n v="854"/>
    <x v="2"/>
    <x v="195"/>
    <s v="eth1/25"/>
    <x v="0"/>
    <x v="0"/>
    <x v="0"/>
    <s v="LINK_TO_ITHFHWCRMPLCN173 / Slot1.3_16 / Principal"/>
    <x v="0"/>
    <b v="0"/>
    <s v="No está en VPC"/>
    <n v="854"/>
    <s v="INTPG_ACC_854_1.25"/>
    <s v="ISEL-1.25"/>
    <n v="1"/>
    <s v="NO TIENE L3OUT"/>
    <n v="204"/>
    <n v="54"/>
  </r>
  <r>
    <n v="858"/>
    <x v="2"/>
    <x v="196"/>
    <s v="eth1/25"/>
    <x v="0"/>
    <x v="0"/>
    <x v="0"/>
    <s v="To_VPC_2DCBSD_HD45_1"/>
    <x v="0"/>
    <b v="0"/>
    <s v="No está en VPC"/>
    <n v="858"/>
    <s v="INTPG_VPC_858_1.25_863_1.25"/>
    <s v="ISEL-1.25"/>
    <n v="2"/>
    <s v="NO TIENE L3OUT"/>
    <n v="8"/>
    <n v="54"/>
  </r>
  <r>
    <n v="857"/>
    <x v="2"/>
    <x v="197"/>
    <s v="eth1/25"/>
    <x v="0"/>
    <x v="0"/>
    <x v="0"/>
    <s v="LINKT_TO_ITHFHWCRMPLCN123 / Slot1.3_16 / Principal"/>
    <x v="0"/>
    <b v="0"/>
    <s v="No está en VPC"/>
    <n v="857"/>
    <s v="INTPG_ACC_857_1.25"/>
    <s v="ISEL-1.25"/>
    <n v="1"/>
    <s v="NO TIENE L3OUT"/>
    <n v="288"/>
    <n v="54"/>
  </r>
  <r>
    <n v="859"/>
    <x v="2"/>
    <x v="198"/>
    <s v="eth1/25"/>
    <x v="0"/>
    <x v="0"/>
    <x v="0"/>
    <s v="To_VPC_2DCBSD_WR44_1"/>
    <x v="0"/>
    <b v="0"/>
    <s v="No está en VPC"/>
    <n v="859"/>
    <s v="INTPG_VPC_859_1.25_864_1.25"/>
    <s v="ISEL-1.25"/>
    <n v="2"/>
    <s v="NO TIENE L3OUT"/>
    <n v="0"/>
    <n v="54"/>
  </r>
  <r>
    <n v="833"/>
    <x v="2"/>
    <x v="199"/>
    <s v="eth1/25"/>
    <x v="0"/>
    <x v="0"/>
    <x v="0"/>
    <s v="To_ITHFHWCRMDLCN43_Redundante"/>
    <x v="0"/>
    <b v="0"/>
    <s v="No está en VPC"/>
    <n v="833"/>
    <s v="INTPG_ACC_833_1.25"/>
    <s v="ISEL-1.25"/>
    <n v="2"/>
    <s v="NO TIENE L3OUT"/>
    <n v="224"/>
    <n v="54"/>
  </r>
  <r>
    <n v="818"/>
    <x v="2"/>
    <x v="200"/>
    <s v="eth1/25"/>
    <x v="0"/>
    <x v="0"/>
    <x v="0"/>
    <s v="LINK_TO_ITHFHWCBSPSWR32 /Slot4.2 /Principal"/>
    <x v="0"/>
    <b v="0"/>
    <s v="No está en VPC"/>
    <n v="818"/>
    <s v="INTPG_VPC_818_1.25_823_1.25"/>
    <s v="ISEL-1.25"/>
    <n v="1"/>
    <s v="NO TIENE L3OUT"/>
    <n v="8"/>
    <n v="54"/>
  </r>
  <r>
    <n v="850"/>
    <x v="2"/>
    <x v="201"/>
    <s v="eth1/25"/>
    <x v="0"/>
    <x v="0"/>
    <x v="0"/>
    <s v="LINKT_TO_ITHFHWCRMPLCN123 / Slot7.3_16 / Redundante"/>
    <x v="0"/>
    <b v="0"/>
    <s v="No está en VPC"/>
    <n v="850"/>
    <s v="INTPG_ACC_850_1.25"/>
    <s v="ISEL-1.25"/>
    <n v="1"/>
    <s v="NO TIENE L3OUT"/>
    <n v="288"/>
    <n v="54"/>
  </r>
  <r>
    <n v="860"/>
    <x v="2"/>
    <x v="202"/>
    <s v="eth1/25"/>
    <x v="0"/>
    <x v="0"/>
    <x v="0"/>
    <s v="To_VPC_2DCBSD_TL05_1"/>
    <x v="0"/>
    <b v="0"/>
    <s v="No está en VPC"/>
    <n v="860"/>
    <s v="INTPG_VPC_860_1.25_865_1.25"/>
    <s v="ISEL-1.25"/>
    <n v="2"/>
    <s v="NO TIENE L3OUT"/>
    <n v="0"/>
    <n v="54"/>
  </r>
  <r>
    <n v="853"/>
    <x v="2"/>
    <x v="203"/>
    <s v="eth1/25"/>
    <x v="0"/>
    <x v="0"/>
    <x v="0"/>
    <s v="LINK_TO_ITHFHWCRMPLCN80 / Slot7.1_18 / Redundante"/>
    <x v="0"/>
    <b v="0"/>
    <s v="No está en VPC"/>
    <n v="853"/>
    <s v="INTPG_ACC_853_1.25"/>
    <s v="ISEL-1.25"/>
    <n v="6"/>
    <s v="NO TIENE L3OUT"/>
    <n v="242"/>
    <n v="54"/>
  </r>
  <r>
    <n v="790"/>
    <x v="2"/>
    <x v="204"/>
    <s v="eth1/25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25"/>
    <x v="1"/>
    <x v="1"/>
    <x v="2"/>
    <s v="DESC"/>
    <x v="6"/>
    <b v="0"/>
    <s v="No está en VPC"/>
    <n v="105"/>
    <s v="INTPG_PC_105_1.20_25_37"/>
    <s v="ISEL-1.25"/>
    <n v="2"/>
    <s v="NO TIENE L3OUT"/>
    <n v="106"/>
    <n v="96"/>
  </r>
  <r>
    <n v="117"/>
    <x v="0"/>
    <x v="206"/>
    <s v="eth1/25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25"/>
    <x v="0"/>
    <x v="1"/>
    <x v="1"/>
    <s v="SFLDI"/>
    <x v="6"/>
    <b v="0"/>
    <s v="No está en VPC"/>
    <n v="104"/>
    <s v="INTPG_ACC_104_1.25"/>
    <s v="ISEL-1.25"/>
    <n v="1"/>
    <s v="NO TIENE L3OUT"/>
    <n v="194"/>
    <n v="96"/>
  </r>
  <r>
    <n v="158"/>
    <x v="0"/>
    <x v="208"/>
    <s v="eth1/25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25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25"/>
    <x v="1"/>
    <x v="1"/>
    <x v="3"/>
    <s v="TO-UCS-FI-6454"/>
    <x v="4"/>
    <b v="0"/>
    <s v="No está en VPC"/>
    <n v="879"/>
    <s v="INTPG_VPC_878_1.25_879_1.25"/>
    <s v="ISEL-1.25"/>
    <n v="1"/>
    <s v="NO TIENE L3OUT"/>
    <n v="0"/>
    <n v="54"/>
  </r>
  <r>
    <n v="108"/>
    <x v="0"/>
    <x v="211"/>
    <s v="eth1/25"/>
    <x v="0"/>
    <x v="1"/>
    <x v="1"/>
    <s v="GESTION WAS "/>
    <x v="6"/>
    <b v="0"/>
    <s v="No está en VPC"/>
    <n v="108"/>
    <s v="INTPG_ACC_108_1.25"/>
    <s v="ISEL-1.25"/>
    <n v="1"/>
    <s v="NO TIENE L3OUT"/>
    <n v="126"/>
    <n v="96"/>
  </r>
  <r>
    <n v="112"/>
    <x v="0"/>
    <x v="212"/>
    <s v="eth1/25"/>
    <x v="0"/>
    <x v="0"/>
    <x v="0"/>
    <s v="APROVISIONAMIENTO DE SERVICIOS"/>
    <x v="6"/>
    <b v="0"/>
    <s v="No está en VPC"/>
    <n v="112"/>
    <s v="INTPG_ACC_112_1.25"/>
    <s v="ISEL-1.25"/>
    <n v="1"/>
    <s v="NO TIENE L3OUT"/>
    <n v="144"/>
    <n v="96"/>
  </r>
  <r>
    <n v="107"/>
    <x v="0"/>
    <x v="213"/>
    <s v="eth1/25"/>
    <x v="0"/>
    <x v="1"/>
    <x v="1"/>
    <s v="SISAP"/>
    <x v="6"/>
    <b v="0"/>
    <s v="No está en VPC"/>
    <n v="107"/>
    <s v="INTPG_ACC_107_1.25"/>
    <s v="ISEL-1.25"/>
    <n v="1"/>
    <s v="NO TIENE L3OUT"/>
    <n v="118"/>
    <n v="96"/>
  </r>
  <r>
    <n v="109"/>
    <x v="0"/>
    <x v="214"/>
    <s v="eth1/25"/>
    <x v="1"/>
    <x v="1"/>
    <x v="2"/>
    <s v="GESTION WAS "/>
    <x v="6"/>
    <b v="0"/>
    <s v="No está en VPC"/>
    <n v="109"/>
    <s v="INTPG_ACC_109_1.25"/>
    <s v="ISEL-1.25"/>
    <n v="1"/>
    <s v="NO TIENE L3OUT"/>
    <n v="126"/>
    <n v="96"/>
  </r>
  <r>
    <n v="113"/>
    <x v="0"/>
    <x v="215"/>
    <s v="eth1/25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25"/>
    <x v="1"/>
    <x v="1"/>
    <x v="2"/>
    <s v="SUBEX (Fraud Management)"/>
    <x v="6"/>
    <b v="0"/>
    <s v="No está en VPC"/>
    <n v="114"/>
    <s v="INTPG_ACC_114_1.25"/>
    <s v="ISEL-1.25"/>
    <n v="1"/>
    <s v="NO TIENE L3OUT"/>
    <n v="144"/>
    <n v="96"/>
  </r>
  <r>
    <n v="124"/>
    <x v="0"/>
    <x v="217"/>
    <s v="eth1/25"/>
    <x v="1"/>
    <x v="1"/>
    <x v="2"/>
    <s v="3G_ENIQ_QRO_R6"/>
    <x v="6"/>
    <b v="0"/>
    <s v="No está en VPC"/>
    <n v="124"/>
    <s v="INTPG_VPC_124_1.25_40_125_1.28_41"/>
    <s v="ISEL-1.25"/>
    <n v="5"/>
    <s v="NO TIENE L3OUT"/>
    <n v="80"/>
    <n v="96"/>
  </r>
  <r>
    <n v="118"/>
    <x v="0"/>
    <x v="218"/>
    <s v="eth1/25"/>
    <x v="0"/>
    <x v="0"/>
    <x v="0"/>
    <s v="DATOS NETCRACKER"/>
    <x v="6"/>
    <b v="0"/>
    <s v="No está en VPC"/>
    <n v="118"/>
    <s v="INTPG_ACC_118_1.25"/>
    <s v="ISEL-1.25"/>
    <n v="1"/>
    <s v="NO TIENE L3OUT"/>
    <n v="180"/>
    <n v="96"/>
  </r>
  <r>
    <n v="159"/>
    <x v="0"/>
    <x v="219"/>
    <s v="eth1/25"/>
    <x v="0"/>
    <x v="0"/>
    <x v="0"/>
    <s v="ArrobaDOC Y CF"/>
    <x v="6"/>
    <b v="0"/>
    <s v="No está en VPC"/>
    <n v="159"/>
    <s v="INTPG_ACC_159_1.25"/>
    <s v="ISEL-1.25"/>
    <n v="1"/>
    <s v="NO TIENE L3OUT"/>
    <n v="72"/>
    <n v="96"/>
  </r>
  <r>
    <n v="840"/>
    <x v="2"/>
    <x v="220"/>
    <s v="eth1/25"/>
    <x v="0"/>
    <x v="0"/>
    <x v="0"/>
    <s v="LINK_TO_ITHHWD6KV65100014DKC01 / CTMB_IOM1.P1_34 / Redundante"/>
    <x v="0"/>
    <b v="0"/>
    <s v="No está en VPC"/>
    <n v="840"/>
    <s v="INTPG_ACC_840_1.25"/>
    <s v="ISEL-1.25"/>
    <n v="1"/>
    <s v="NO TIENE L3OUT"/>
    <n v="8"/>
    <n v="54"/>
  </r>
  <r>
    <n v="856"/>
    <x v="2"/>
    <x v="221"/>
    <s v="eth1/25"/>
    <x v="0"/>
    <x v="0"/>
    <x v="0"/>
    <s v="LINK_TO_ITHFHWCRMPLCN142 / Slot1.3_18 / Principal"/>
    <x v="0"/>
    <b v="0"/>
    <s v="No está en VPC"/>
    <n v="856"/>
    <s v="INTPG_ACC_856_1.25"/>
    <s v="ISEL-1.25"/>
    <n v="1"/>
    <s v="NO TIENE L3OUT"/>
    <n v="286"/>
    <n v="54"/>
  </r>
  <r>
    <n v="110"/>
    <x v="0"/>
    <x v="222"/>
    <s v="eth1/25"/>
    <x v="0"/>
    <x v="0"/>
    <x v="0"/>
    <s v="UXDX-DATOS"/>
    <x v="6"/>
    <b v="0"/>
    <s v="No está en VPC"/>
    <n v="110"/>
    <s v="INTPG_ACC_110_1.25"/>
    <s v="ISEL-1.25"/>
    <n v="1"/>
    <s v="NO TIENE L3OUT"/>
    <n v="102"/>
    <n v="96"/>
  </r>
  <r>
    <n v="163"/>
    <x v="0"/>
    <x v="223"/>
    <s v="eth1/25"/>
    <x v="0"/>
    <x v="0"/>
    <x v="0"/>
    <s v="NETSCOUT"/>
    <x v="6"/>
    <b v="0"/>
    <s v="No está en VPC"/>
    <n v="163"/>
    <s v="INTPG_ACC_163_1.25"/>
    <s v="ISEL-1.25"/>
    <n v="1"/>
    <s v="NO TIENE L3OUT"/>
    <n v="140"/>
    <n v="96"/>
  </r>
  <r>
    <n v="407"/>
    <x v="1"/>
    <x v="224"/>
    <s v="eth1/25"/>
    <x v="0"/>
    <x v="0"/>
    <x v="0"/>
    <s v="IXT4GSW2A2_MGNT"/>
    <x v="6"/>
    <b v="0"/>
    <s v="No está en VPC"/>
    <n v="407"/>
    <s v="INTPG_ACC_407_1.25"/>
    <s v="ISEL-1.25"/>
    <n v="1"/>
    <s v="NO TIENE L3OUT"/>
    <n v="122"/>
    <n v="96"/>
  </r>
  <r>
    <n v="171"/>
    <x v="0"/>
    <x v="225"/>
    <s v="eth1/25"/>
    <x v="0"/>
    <x v="1"/>
    <x v="1"/>
    <s v="NFA"/>
    <x v="6"/>
    <b v="0"/>
    <s v="No está en VPC"/>
    <n v="171"/>
    <s v="INTPG_ACC_171_1.25"/>
    <s v="ISEL-1.25"/>
    <n v="1"/>
    <s v="NO TIENE L3OUT"/>
    <n v="114"/>
    <n v="96"/>
  </r>
  <r>
    <n v="421"/>
    <x v="1"/>
    <x v="226"/>
    <s v="eth1/25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25"/>
    <x v="0"/>
    <x v="1"/>
    <x v="1"/>
    <s v="ENIQ"/>
    <x v="6"/>
    <b v="0"/>
    <s v="No está en VPC"/>
    <n v="173"/>
    <s v="INTPG_ACC_173_1.25"/>
    <s v="ISEL-1.25"/>
    <n v="1"/>
    <s v="NO TIENE L3OUT"/>
    <n v="66"/>
    <n v="96"/>
  </r>
  <r>
    <n v="154"/>
    <x v="0"/>
    <x v="228"/>
    <s v="eth1/25"/>
    <x v="0"/>
    <x v="0"/>
    <x v="0"/>
    <m/>
    <x v="6"/>
    <b v="0"/>
    <s v="No está en VPC"/>
    <n v="154"/>
    <s v="INTPG_ACC_154_1.25"/>
    <s v="ISEL-1.25"/>
    <n v="1"/>
    <s v="NO TIENE L3OUT"/>
    <n v="62"/>
    <n v="96"/>
  </r>
  <r>
    <n v="172"/>
    <x v="0"/>
    <x v="229"/>
    <s v="eth1/25"/>
    <x v="0"/>
    <x v="1"/>
    <x v="1"/>
    <s v="NFA"/>
    <x v="6"/>
    <b v="0"/>
    <s v="No está en VPC"/>
    <n v="172"/>
    <s v="INTPG_ACC_172_1.25"/>
    <s v="ISEL-1.25"/>
    <n v="1"/>
    <s v="NO TIENE L3OUT"/>
    <n v="104"/>
    <n v="96"/>
  </r>
  <r>
    <n v="420"/>
    <x v="1"/>
    <x v="230"/>
    <s v="eth1/25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25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25"/>
    <x v="0"/>
    <x v="0"/>
    <x v="0"/>
    <s v="VTAE5"/>
    <x v="6"/>
    <b v="0"/>
    <s v="No está en VPC"/>
    <n v="415"/>
    <s v="INTPG_ACC_415_1.25"/>
    <s v="ISEL-1.25"/>
    <n v="1"/>
    <s v="NO TIENE L3OUT"/>
    <n v="52"/>
    <n v="96"/>
  </r>
  <r>
    <n v="102"/>
    <x v="0"/>
    <x v="233"/>
    <s v="eth1/25"/>
    <x v="0"/>
    <x v="1"/>
    <x v="1"/>
    <s v="SFLDI:RLDICDR03:1"/>
    <x v="6"/>
    <b v="0"/>
    <s v="No está en VPC"/>
    <n v="102"/>
    <s v="INTPG_ACC_102_1.25"/>
    <s v="ISEL-1.25"/>
    <n v="1"/>
    <s v="NO TIENE L3OUT"/>
    <n v="228"/>
    <n v="96"/>
  </r>
  <r>
    <n v="863"/>
    <x v="2"/>
    <x v="234"/>
    <s v="eth1/25"/>
    <x v="0"/>
    <x v="0"/>
    <x v="0"/>
    <s v="To_VPC_2DCBSD_HD45_1"/>
    <x v="0"/>
    <b v="0"/>
    <s v="No está en VPC"/>
    <n v="863"/>
    <s v="INTPG_VPC_858_1.25_863_1.25"/>
    <s v="ISEL-1.25"/>
    <n v="2"/>
    <s v="NO TIENE L3OUT"/>
    <n v="8"/>
    <n v="54"/>
  </r>
  <r>
    <n v="876"/>
    <x v="2"/>
    <x v="235"/>
    <s v="eth1/25"/>
    <x v="0"/>
    <x v="0"/>
    <x v="0"/>
    <s v="A_ITHFHWSEQLCAS24_Principal"/>
    <x v="4"/>
    <b v="0"/>
    <s v="No está en VPC"/>
    <n v="876"/>
    <s v="INTPG_ACC_876_1.25"/>
    <s v="ISEL-1.25"/>
    <n v="1"/>
    <s v="NO TIENE L3OUT"/>
    <n v="92"/>
    <n v="54"/>
  </r>
  <r>
    <n v="877"/>
    <x v="2"/>
    <x v="236"/>
    <s v="eth1/25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25"/>
    <x v="0"/>
    <x v="0"/>
    <x v="0"/>
    <m/>
    <x v="6"/>
    <b v="0"/>
    <s v="No está en VPC"/>
    <n v="122"/>
    <s v="INTPG_ACC_122_1.25"/>
    <s v="ISEL-1.25"/>
    <n v="1"/>
    <s v="NO TIENE L3OUT"/>
    <n v="148"/>
    <n v="96"/>
  </r>
  <r>
    <n v="157"/>
    <x v="0"/>
    <x v="238"/>
    <s v="eth1/25"/>
    <x v="0"/>
    <x v="0"/>
    <x v="0"/>
    <s v="RED CRICKET"/>
    <x v="6"/>
    <b v="0"/>
    <s v="No está en VPC"/>
    <n v="157"/>
    <s v="INTPG_ACC_157_1.25"/>
    <s v="ISEL-1.25"/>
    <n v="1"/>
    <s v="NO TIENE L3OUT"/>
    <n v="202"/>
    <n v="96"/>
  </r>
  <r>
    <n v="408"/>
    <x v="1"/>
    <x v="239"/>
    <s v="eth1/25"/>
    <x v="0"/>
    <x v="0"/>
    <x v="0"/>
    <s v="IXTPF1PCRF"/>
    <x v="6"/>
    <b v="0"/>
    <s v="No está en VPC"/>
    <n v="408"/>
    <s v="INTPG_ACC_408_1.25"/>
    <s v="ISEL-1.25"/>
    <n v="1"/>
    <s v="NO TIENE L3OUT"/>
    <n v="152"/>
    <n v="96"/>
  </r>
  <r>
    <n v="405"/>
    <x v="1"/>
    <x v="240"/>
    <s v="eth1/25"/>
    <x v="0"/>
    <x v="0"/>
    <x v="0"/>
    <s v="XL6 RLR6ARI05 ILO"/>
    <x v="6"/>
    <b v="0"/>
    <s v="No está en VPC"/>
    <n v="405"/>
    <s v="INTPG_ACC_405_1.25"/>
    <s v="ISEL-1.25"/>
    <n v="1"/>
    <s v="NO TIENE L3OUT"/>
    <n v="138"/>
    <n v="96"/>
  </r>
  <r>
    <n v="169"/>
    <x v="0"/>
    <x v="241"/>
    <s v="eth1/25"/>
    <x v="1"/>
    <x v="1"/>
    <x v="2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25"/>
    <x v="0"/>
    <x v="0"/>
    <x v="0"/>
    <s v="UXLDAP"/>
    <x v="6"/>
    <b v="0"/>
    <s v="No está en VPC"/>
    <n v="165"/>
    <s v="INTPG_ACC_165_1.25"/>
    <s v="ISEL-1.25"/>
    <n v="1"/>
    <s v="NO TIENE L3OUT"/>
    <n v="86"/>
    <n v="96"/>
  </r>
  <r>
    <n v="417"/>
    <x v="1"/>
    <x v="243"/>
    <s v="eth1/25"/>
    <x v="0"/>
    <x v="0"/>
    <x v="0"/>
    <s v="TO-ITHFHPNBURBKP06-PRINCIPAL"/>
    <x v="6"/>
    <b v="0"/>
    <s v="No está en VPC"/>
    <n v="417"/>
    <s v="INTPG_ACC_417_1.25"/>
    <s v="ISEL-1.25"/>
    <n v="1"/>
    <s v="NO TIENE L3OUT"/>
    <n v="56"/>
    <n v="96"/>
  </r>
  <r>
    <n v="153"/>
    <x v="0"/>
    <x v="244"/>
    <s v="eth1/25"/>
    <x v="0"/>
    <x v="1"/>
    <x v="1"/>
    <s v="BLOQUEO EMEI"/>
    <x v="6"/>
    <b v="0"/>
    <s v="No está en VPC"/>
    <n v="153"/>
    <s v="INTPG_ACC_153_1.25"/>
    <s v="ISEL-1.25"/>
    <n v="1"/>
    <s v="NO TIENE L3OUT"/>
    <n v="42"/>
    <n v="96"/>
  </r>
  <r>
    <n v="119"/>
    <x v="0"/>
    <x v="245"/>
    <s v="eth1/25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25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25"/>
    <x v="0"/>
    <x v="1"/>
    <x v="1"/>
    <s v="CAMPANAS 01-02:hmccampanas1-2:ent1"/>
    <x v="6"/>
    <b v="0"/>
    <s v="No está en VPC"/>
    <n v="103"/>
    <s v="INTPG_ACC_103_1.25"/>
    <s v="ISEL-1.25"/>
    <n v="1"/>
    <s v="NO TIENE L3OUT"/>
    <n v="70"/>
    <n v="96"/>
  </r>
  <r>
    <n v="438"/>
    <x v="1"/>
    <x v="248"/>
    <s v="eth1/25"/>
    <x v="0"/>
    <x v="0"/>
    <x v="0"/>
    <s v="HP_Proliant_L360_Gen9"/>
    <x v="6"/>
    <b v="0"/>
    <s v="No está en VPC"/>
    <n v="438"/>
    <s v="INTPG_ACC_438_1.25"/>
    <s v="ISEL-1.25"/>
    <n v="1"/>
    <s v="NO TIENE L3OUT"/>
    <n v="170"/>
    <n v="96"/>
  </r>
  <r>
    <n v="406"/>
    <x v="1"/>
    <x v="249"/>
    <s v="eth1/25"/>
    <x v="0"/>
    <x v="0"/>
    <x v="0"/>
    <s v="ITHRTC61VC1"/>
    <x v="6"/>
    <b v="0"/>
    <s v="No está en VPC"/>
    <n v="406"/>
    <s v="INTPG_VPC_404_1.25_406_1.25"/>
    <s v="ISEL-1.25"/>
    <n v="1"/>
    <s v="NO TIENE L3OUT"/>
    <n v="82"/>
    <n v="96"/>
  </r>
  <r>
    <n v="414"/>
    <x v="1"/>
    <x v="250"/>
    <s v="eth1/25"/>
    <x v="0"/>
    <x v="0"/>
    <x v="0"/>
    <s v="UTP_ZFS_CAMPANAS"/>
    <x v="6"/>
    <b v="0"/>
    <s v="No está en VPC"/>
    <n v="414"/>
    <s v="INTPG_ACC_414_1.25"/>
    <s v="ISEL-1.25"/>
    <n v="1"/>
    <s v="NO TIENE L3OUT"/>
    <n v="144"/>
    <n v="96"/>
  </r>
  <r>
    <n v="416"/>
    <x v="1"/>
    <x v="251"/>
    <s v="eth1/25"/>
    <x v="0"/>
    <x v="0"/>
    <x v="0"/>
    <s v="TO-ITHNM2-PRINCIPAL"/>
    <x v="6"/>
    <b v="0"/>
    <s v="No está en VPC"/>
    <n v="416"/>
    <s v="INTPG_ACC_416_1.25"/>
    <s v="ISEL-1.25"/>
    <n v="1"/>
    <s v="NO TIENE L3OUT"/>
    <n v="110"/>
    <n v="96"/>
  </r>
  <r>
    <n v="418"/>
    <x v="1"/>
    <x v="252"/>
    <s v="eth1/25"/>
    <x v="0"/>
    <x v="0"/>
    <x v="0"/>
    <s v="TO-ITHAI10-REDUNDANTE"/>
    <x v="6"/>
    <b v="0"/>
    <s v="No está en VPC"/>
    <n v="418"/>
    <s v="INTPG_ACC_418_1.25"/>
    <s v="ISEL-1.25"/>
    <n v="1"/>
    <s v="NO TIENE L3OUT"/>
    <n v="152"/>
    <n v="96"/>
  </r>
  <r>
    <n v="413"/>
    <x v="1"/>
    <x v="253"/>
    <s v="eth1/25"/>
    <x v="0"/>
    <x v="0"/>
    <x v="0"/>
    <s v="lagidmhlapvp10_produccion1"/>
    <x v="6"/>
    <b v="0"/>
    <s v="No está en VPC"/>
    <n v="413"/>
    <s v="INTPG_VPC_411_1.31-34_413_1.24-27"/>
    <s v="ISEL-1.25"/>
    <n v="2"/>
    <s v="NO TIENE L3OUT"/>
    <n v="126"/>
    <n v="96"/>
  </r>
  <r>
    <n v="403"/>
    <x v="1"/>
    <x v="254"/>
    <s v="eth1/25"/>
    <x v="0"/>
    <x v="0"/>
    <x v="0"/>
    <s v="XL6 RLR6ARI05"/>
    <x v="6"/>
    <b v="0"/>
    <s v="No está en VPC"/>
    <n v="403"/>
    <s v="INTPG_ACC_403_1.25"/>
    <s v="ISEL-1.25"/>
    <n v="1"/>
    <s v="NO TIENE L3OUT"/>
    <n v="150"/>
    <n v="96"/>
  </r>
  <r>
    <n v="125"/>
    <x v="0"/>
    <x v="255"/>
    <s v="eth1/25"/>
    <x v="0"/>
    <x v="0"/>
    <x v="0"/>
    <s v="UXSVA (M9000)"/>
    <x v="6"/>
    <b v="0"/>
    <s v="No está en VPC"/>
    <n v="125"/>
    <s v="INTPG_ACC_125_1.25"/>
    <s v="ISEL-1.25"/>
    <n v="1"/>
    <s v="NO TIENE L3OUT"/>
    <n v="72"/>
    <n v="96"/>
  </r>
  <r>
    <n v="166"/>
    <x v="0"/>
    <x v="256"/>
    <s v="eth1/25"/>
    <x v="0"/>
    <x v="0"/>
    <x v="0"/>
    <s v="NFA"/>
    <x v="6"/>
    <b v="0"/>
    <s v="No está en VPC"/>
    <n v="166"/>
    <s v="INTPG_ACC_166_1.25"/>
    <s v="ISEL-1.25"/>
    <n v="1"/>
    <s v="NO TIENE L3OUT"/>
    <n v="84"/>
    <n v="96"/>
  </r>
  <r>
    <n v="111"/>
    <x v="0"/>
    <x v="257"/>
    <s v="eth1/25"/>
    <x v="0"/>
    <x v="0"/>
    <x v="0"/>
    <s v="UXDX-DATOS"/>
    <x v="6"/>
    <b v="0"/>
    <s v="No está en VPC"/>
    <n v="111"/>
    <s v="INTPG_ACC_111_1.25"/>
    <s v="ISEL-1.25"/>
    <n v="1"/>
    <s v="NO TIENE L3OUT"/>
    <n v="58"/>
    <n v="96"/>
  </r>
  <r>
    <n v="115"/>
    <x v="0"/>
    <x v="258"/>
    <s v="eth1/25"/>
    <x v="0"/>
    <x v="0"/>
    <x v="0"/>
    <s v="RLVYCAN03_1"/>
    <x v="6"/>
    <b v="0"/>
    <s v="No está en VPC"/>
    <n v="115"/>
    <s v="INTPG_ACC_115_1.25"/>
    <s v="ISEL-1.25"/>
    <n v="1"/>
    <s v="NO TIENE L3OUT"/>
    <n v="42"/>
    <n v="96"/>
  </r>
  <r>
    <n v="106"/>
    <x v="0"/>
    <x v="259"/>
    <s v="eth1/25"/>
    <x v="0"/>
    <x v="1"/>
    <x v="1"/>
    <m/>
    <x v="6"/>
    <b v="0"/>
    <s v="No está en VPC"/>
    <n v="106"/>
    <s v="INTPG_PC_106_1.24-25"/>
    <s v="ISEL-1.25"/>
    <n v="1"/>
    <s v="NO TIENE L3OUT"/>
    <n v="122"/>
    <n v="96"/>
  </r>
  <r>
    <n v="126"/>
    <x v="0"/>
    <x v="260"/>
    <s v="eth1/25"/>
    <x v="0"/>
    <x v="0"/>
    <x v="0"/>
    <s v="ENIQ"/>
    <x v="6"/>
    <b v="0"/>
    <s v="No está en VPC"/>
    <n v="126"/>
    <s v="INTPG_PC_126_1.25-29_36"/>
    <s v="ISEL-1.25"/>
    <n v="3"/>
    <s v="NO TIENE L3OUT"/>
    <n v="54"/>
    <n v="96"/>
  </r>
  <r>
    <n v="425"/>
    <x v="1"/>
    <x v="261"/>
    <s v="eth1/25"/>
    <x v="0"/>
    <x v="0"/>
    <x v="0"/>
    <s v="XIO_MGMT A-02"/>
    <x v="6"/>
    <b v="0"/>
    <s v="No está en VPC"/>
    <n v="425"/>
    <s v="INTPG_ACC_425_1.25"/>
    <s v="ISEL-1.25"/>
    <n v="1"/>
    <s v="NO TIENE L3OUT"/>
    <n v="86"/>
    <n v="96"/>
  </r>
  <r>
    <n v="151"/>
    <x v="0"/>
    <x v="262"/>
    <s v="eth1/25"/>
    <x v="0"/>
    <x v="0"/>
    <x v="0"/>
    <s v="ETLI-SACI 7"/>
    <x v="6"/>
    <b v="0"/>
    <s v="No está en VPC"/>
    <n v="151"/>
    <s v="INTPG_ACC_151_1.25"/>
    <s v="ISEL-1.25"/>
    <n v="1"/>
    <s v="NO TIENE L3OUT"/>
    <n v="86"/>
    <n v="96"/>
  </r>
  <r>
    <n v="430"/>
    <x v="1"/>
    <x v="263"/>
    <s v="eth1/25"/>
    <x v="0"/>
    <x v="0"/>
    <x v="0"/>
    <s v="OSS_3G_TIJUANA_LAG"/>
    <x v="6"/>
    <b v="0"/>
    <s v="No está en VPC"/>
    <n v="430"/>
    <s v="INTPG_VPC_428_1.20_430_1.25"/>
    <s v="ISEL-1.25"/>
    <n v="13"/>
    <s v="NO TIENE L3OUT"/>
    <n v="86"/>
    <n v="96"/>
  </r>
  <r>
    <n v="419"/>
    <x v="1"/>
    <x v="264"/>
    <s v="eth1/25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25"/>
    <x v="0"/>
    <x v="0"/>
    <x v="0"/>
    <s v="Consolidaci\u00f3n Aplicaciones Prepago"/>
    <x v="6"/>
    <b v="0"/>
    <s v="No está en VPC"/>
    <n v="155"/>
    <s v="INTPG_ACC_155_1.25"/>
    <s v="ISEL-1.25"/>
    <n v="1"/>
    <s v="NO TIENE L3OUT"/>
    <n v="198"/>
    <n v="96"/>
  </r>
  <r>
    <n v="409"/>
    <x v="1"/>
    <x v="266"/>
    <s v="eth1/25"/>
    <x v="0"/>
    <x v="0"/>
    <x v="0"/>
    <s v="ITHSAN2A"/>
    <x v="6"/>
    <b v="0"/>
    <s v="No está en VPC"/>
    <n v="409"/>
    <s v="INTPG_ACC_409_1.25"/>
    <s v="ISEL-1.25"/>
    <n v="1"/>
    <s v="NO TIENE L3OUT"/>
    <n v="128"/>
    <n v="96"/>
  </r>
  <r>
    <n v="422"/>
    <x v="1"/>
    <x v="267"/>
    <s v="eth1/25"/>
    <x v="0"/>
    <x v="0"/>
    <x v="0"/>
    <s v="IXTSD969B"/>
    <x v="6"/>
    <b v="0"/>
    <s v="No está en VPC"/>
    <n v="422"/>
    <s v="INTPG_ACC_422_1.25"/>
    <s v="ISEL-1.25"/>
    <n v="1"/>
    <s v="NO TIENE L3OUT"/>
    <n v="182"/>
    <n v="96"/>
  </r>
  <r>
    <n v="436"/>
    <x v="1"/>
    <x v="268"/>
    <s v="eth1/25"/>
    <x v="0"/>
    <x v="0"/>
    <x v="0"/>
    <s v="HP_Proliant_DL360_Gen9"/>
    <x v="6"/>
    <b v="0"/>
    <s v="No está en VPC"/>
    <n v="436"/>
    <s v="INTPG_ACC_436_1.25"/>
    <s v="ISEL-1.25"/>
    <n v="1"/>
    <s v="NO TIENE L3OUT"/>
    <n v="172"/>
    <n v="96"/>
  </r>
  <r>
    <n v="410"/>
    <x v="1"/>
    <x v="269"/>
    <s v="eth1/25"/>
    <x v="0"/>
    <x v="0"/>
    <x v="0"/>
    <s v="ITHMSNUBE1_ITH0"/>
    <x v="6"/>
    <b v="0"/>
    <s v="No está en VPC"/>
    <n v="410"/>
    <s v="INTPG_ACC_410_1.25"/>
    <s v="ISEL-1.25"/>
    <n v="1"/>
    <s v="NO TIENE L3OUT"/>
    <n v="178"/>
    <n v="96"/>
  </r>
  <r>
    <n v="161"/>
    <x v="0"/>
    <x v="270"/>
    <s v="eth1/25"/>
    <x v="1"/>
    <x v="1"/>
    <x v="2"/>
    <s v="NETSCOUT"/>
    <x v="6"/>
    <b v="0"/>
    <s v="No está en VPC"/>
    <n v="161"/>
    <s v="INTPG_ACC_161_1.25"/>
    <s v="ISEL-1.25"/>
    <n v="1"/>
    <s v="NO TIENE L3OUT"/>
    <n v="102"/>
    <n v="96"/>
  </r>
  <r>
    <n v="411"/>
    <x v="1"/>
    <x v="271"/>
    <s v="eth1/25"/>
    <x v="0"/>
    <x v="0"/>
    <x v="0"/>
    <m/>
    <x v="6"/>
    <b v="0"/>
    <s v="No está en VPC"/>
    <n v="411"/>
    <s v="INTPG_ACC_411_1.25"/>
    <s v="ISEL-1.25"/>
    <n v="2"/>
    <s v="NO TIENE L3OUT"/>
    <n v="96"/>
    <n v="96"/>
  </r>
  <r>
    <n v="116"/>
    <x v="0"/>
    <x v="272"/>
    <s v="eth1/25"/>
    <x v="0"/>
    <x v="0"/>
    <x v="0"/>
    <s v="DATOS NETCRACKER"/>
    <x v="6"/>
    <b v="0"/>
    <s v="No está en VPC"/>
    <n v="116"/>
    <s v="INTPG_ACC_116_1.25"/>
    <s v="ISEL-1.25"/>
    <n v="1"/>
    <s v="NO TIENE L3OUT"/>
    <n v="148"/>
    <n v="96"/>
  </r>
  <r>
    <n v="412"/>
    <x v="1"/>
    <x v="273"/>
    <s v="eth1/25"/>
    <x v="0"/>
    <x v="0"/>
    <x v="0"/>
    <s v="ILOM_UXCEM01_NXGE0"/>
    <x v="6"/>
    <b v="0"/>
    <s v="No está en VPC"/>
    <n v="412"/>
    <s v="INTPG_ACC_412_1.25"/>
    <s v="ISEL-1.25"/>
    <n v="1"/>
    <s v="NO TIENE L3OUT"/>
    <n v="126"/>
    <n v="96"/>
  </r>
  <r>
    <n v="120"/>
    <x v="0"/>
    <x v="274"/>
    <s v="eth1/25"/>
    <x v="0"/>
    <x v="0"/>
    <x v="0"/>
    <m/>
    <x v="6"/>
    <b v="0"/>
    <s v="No está en VPC"/>
    <n v="120"/>
    <s v="INTPG_ACC_120_1.25"/>
    <s v="ISEL-1.25"/>
    <n v="1"/>
    <s v="NO TIENE L3OUT"/>
    <n v="158"/>
    <n v="96"/>
  </r>
  <r>
    <n v="404"/>
    <x v="1"/>
    <x v="275"/>
    <s v="eth1/25"/>
    <x v="0"/>
    <x v="0"/>
    <x v="0"/>
    <s v="ITHRTC61VC1"/>
    <x v="6"/>
    <b v="0"/>
    <s v="No está en VPC"/>
    <n v="404"/>
    <s v="INTPG_VPC_404_1.25_406_1.25"/>
    <s v="ISEL-1.25"/>
    <n v="1"/>
    <s v="NO TIENE L3OUT"/>
    <n v="92"/>
    <n v="96"/>
  </r>
  <r>
    <n v="167"/>
    <x v="0"/>
    <x v="276"/>
    <s v="eth1/25"/>
    <x v="1"/>
    <x v="1"/>
    <x v="2"/>
    <s v="HUAWEI_VMS_VVM_Datos"/>
    <x v="6"/>
    <b v="0"/>
    <s v="No está en VPC"/>
    <n v="167"/>
    <s v="INTPG_VPC_167_1.25_169_1.18"/>
    <s v="ISEL-1.25"/>
    <n v="2"/>
    <s v="NO TIENE L3OUT"/>
    <n v="68"/>
    <n v="96"/>
  </r>
  <r>
    <n v="428"/>
    <x v="1"/>
    <x v="277"/>
    <s v="eth1/25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903"/>
    <x v="2"/>
    <x v="278"/>
    <s v="eth1/2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2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26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26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26"/>
    <x v="1"/>
    <x v="1"/>
    <x v="2"/>
    <m/>
    <x v="1"/>
    <b v="0"/>
    <s v="No está en VPC"/>
    <n v="152"/>
    <s v="INTPG_MGMT_APIC5"/>
    <s v="ISEL-1.26"/>
    <n v="1"/>
    <s v="NO TIENE L3OUT"/>
    <n v="38"/>
    <n v="54"/>
  </r>
  <r>
    <n v="101"/>
    <x v="0"/>
    <x v="3"/>
    <s v="eth1/26"/>
    <x v="0"/>
    <x v="0"/>
    <x v="0"/>
    <s v="TO-ITHFDENBURMS02"/>
    <x v="0"/>
    <b v="0"/>
    <s v="No está en VPC"/>
    <n v="101"/>
    <s v="INTPG_VPC_101_1.26_150_1.26"/>
    <s v="ISEL-1.26"/>
    <n v="1"/>
    <s v="NO TIENE L3OUT"/>
    <n v="114"/>
    <n v="54"/>
  </r>
  <r>
    <n v="160"/>
    <x v="0"/>
    <x v="4"/>
    <s v="eth1/26"/>
    <x v="0"/>
    <x v="0"/>
    <x v="0"/>
    <s v="SRM"/>
    <x v="1"/>
    <b v="0"/>
    <s v="No está en VPC"/>
    <n v="160"/>
    <s v="INTPG_ACC_160_1.26"/>
    <s v="ISEL-1.26"/>
    <n v="1"/>
    <s v="NO TIENE L3OUT"/>
    <n v="68"/>
    <n v="54"/>
  </r>
  <r>
    <n v="121"/>
    <x v="0"/>
    <x v="5"/>
    <s v="eth1/26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26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26"/>
    <x v="0"/>
    <x v="0"/>
    <x v="0"/>
    <s v="TO-IBMDIST-LAGIBMDIST"/>
    <x v="0"/>
    <b v="0"/>
    <s v="No está en VPC"/>
    <n v="401"/>
    <s v="INTPG_VPC_401_1.25-26_402_1.25-26"/>
    <s v="ISEL-1.26"/>
    <n v="1"/>
    <s v="NO TIENE L3OUT"/>
    <n v="40"/>
    <n v="54"/>
  </r>
  <r>
    <n v="402"/>
    <x v="1"/>
    <x v="8"/>
    <s v="eth1/26"/>
    <x v="0"/>
    <x v="0"/>
    <x v="0"/>
    <s v="TO-IBMDIST-LAGIBMDIST"/>
    <x v="0"/>
    <b v="0"/>
    <s v="No está en VPC"/>
    <n v="402"/>
    <s v="INTPG_VPC_401_1.25-26_402_1.25-26"/>
    <s v="ISEL-1.26"/>
    <n v="1"/>
    <s v="NO TIENE L3OUT"/>
    <n v="36"/>
    <n v="54"/>
  </r>
  <r>
    <n v="447"/>
    <x v="1"/>
    <x v="9"/>
    <s v="eth1/26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26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26"/>
    <x v="0"/>
    <x v="0"/>
    <x v="0"/>
    <s v="TO-ITHFDEMCFRPMS02"/>
    <x v="0"/>
    <b v="0"/>
    <s v="No está en VPC"/>
    <n v="130"/>
    <s v="INTPG_VPC_130_1.25-26_131_1.26-27"/>
    <s v="ISEL-1.26"/>
    <n v="1"/>
    <s v="NO TIENE L3OUT"/>
    <n v="128"/>
    <n v="54"/>
  </r>
  <r>
    <n v="150"/>
    <x v="0"/>
    <x v="12"/>
    <s v="eth1/26"/>
    <x v="0"/>
    <x v="0"/>
    <x v="0"/>
    <s v="TO-ITHFDENBURMS02"/>
    <x v="0"/>
    <b v="0"/>
    <s v="No está en VPC"/>
    <n v="150"/>
    <s v="INTPG_VPC_101_1.26_150_1.26"/>
    <s v="ISEL-1.26"/>
    <n v="1"/>
    <s v="NO TIENE L3OUT"/>
    <n v="118"/>
    <n v="54"/>
  </r>
  <r>
    <n v="131"/>
    <x v="0"/>
    <x v="13"/>
    <s v="eth1/26"/>
    <x v="0"/>
    <x v="0"/>
    <x v="0"/>
    <s v="TO-ITHFDEMCFRPMS02"/>
    <x v="0"/>
    <b v="0"/>
    <s v="No está en VPC"/>
    <n v="131"/>
    <s v="INTPG_VPC_130_1.25-26_131_1.26-27"/>
    <s v="ISEL-1.26"/>
    <n v="1"/>
    <s v="NO TIENE L3OUT"/>
    <n v="126"/>
    <n v="54"/>
  </r>
  <r>
    <n v="303"/>
    <x v="0"/>
    <x v="14"/>
    <s v="eth1/26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26"/>
    <x v="0"/>
    <x v="1"/>
    <x v="3"/>
    <m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26"/>
    <x v="1"/>
    <x v="1"/>
    <x v="3"/>
    <m/>
    <x v="2"/>
    <b v="0"/>
    <s v="No está en VPC"/>
    <n v="759"/>
    <s v="NO EXISTE PG"/>
    <s v="NO EXISTE ISEL"/>
    <n v="0"/>
    <s v="NO TIENE L3OUT"/>
    <n v="0"/>
    <n v="42"/>
  </r>
  <r>
    <n v="302"/>
    <x v="0"/>
    <x v="17"/>
    <s v="eth1/26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26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26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26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26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26"/>
    <x v="0"/>
    <x v="0"/>
    <x v="0"/>
    <m/>
    <x v="0"/>
    <b v="0"/>
    <s v="No está en VPC"/>
    <n v="727"/>
    <s v="INTPG-VPC_HDD72_726_1.25_727_1.26"/>
    <s v="ISEL-1.26"/>
    <n v="2"/>
    <s v="NO TIENE L3OUT"/>
    <n v="0"/>
    <n v="54"/>
  </r>
  <r>
    <n v="724"/>
    <x v="2"/>
    <x v="23"/>
    <s v="eth1/26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26"/>
    <x v="0"/>
    <x v="1"/>
    <x v="3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26"/>
    <x v="0"/>
    <x v="1"/>
    <x v="1"/>
    <m/>
    <x v="0"/>
    <b v="0"/>
    <s v="No está en VPC"/>
    <n v="725"/>
    <s v="INTPG-VPC_SLR17_724_1.25_725_1.26"/>
    <s v="ISEL-1.26"/>
    <n v="1"/>
    <s v="NO TIENE L3OUT"/>
    <n v="0"/>
    <n v="54"/>
  </r>
  <r>
    <n v="431"/>
    <x v="1"/>
    <x v="26"/>
    <s v="eth1/26"/>
    <x v="0"/>
    <x v="0"/>
    <x v="0"/>
    <s v="ZTE_EDR"/>
    <x v="0"/>
    <b v="0"/>
    <s v="No está en VPC"/>
    <n v="431"/>
    <s v="INTPG_VPC_431_1.26-27_448_1.26-27"/>
    <s v="ISEL-1.26"/>
    <n v="2"/>
    <s v="NO TIENE L3OUT"/>
    <n v="46"/>
    <n v="54"/>
  </r>
  <r>
    <n v="433"/>
    <x v="1"/>
    <x v="27"/>
    <s v="eth1/26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26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26"/>
    <x v="0"/>
    <x v="0"/>
    <x v="0"/>
    <s v="TO-ITHHDSVSP55003599-Prinicipal"/>
    <x v="1"/>
    <b v="0"/>
    <s v="No está en VPC"/>
    <n v="432"/>
    <s v="INTPG_ACC_432_1.26"/>
    <s v="ISEL-1.26"/>
    <n v="1"/>
    <s v="NO TIENE L3OUT"/>
    <n v="54"/>
    <n v="54"/>
  </r>
  <r>
    <n v="442"/>
    <x v="1"/>
    <x v="30"/>
    <s v="eth1/26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26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26"/>
    <x v="0"/>
    <x v="1"/>
    <x v="3"/>
    <s v="CEM_HADOOP"/>
    <x v="0"/>
    <b v="0"/>
    <s v="No está en VPC"/>
    <n v="707"/>
    <s v="INTPG_ACC_707_1.26"/>
    <s v="ISEL-1.26"/>
    <n v="1"/>
    <s v="NO TIENE L3OUT"/>
    <n v="54"/>
    <n v="54"/>
  </r>
  <r>
    <n v="712"/>
    <x v="2"/>
    <x v="33"/>
    <s v="eth1/26"/>
    <x v="1"/>
    <x v="1"/>
    <x v="3"/>
    <s v="CEM:ITHCEMA2ADT13:LOM  P2"/>
    <x v="0"/>
    <b v="0"/>
    <s v="No está en VPC"/>
    <n v="712"/>
    <s v="INTPG_VPC_713_1.25_712_1.26"/>
    <s v="ISEL-1.26"/>
    <n v="0"/>
    <s v="NO TIENE L3OUT"/>
    <n v="32"/>
    <n v="54"/>
  </r>
  <r>
    <n v="719"/>
    <x v="2"/>
    <x v="34"/>
    <s v="eth1/26"/>
    <x v="0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26"/>
    <x v="0"/>
    <x v="1"/>
    <x v="1"/>
    <m/>
    <x v="0"/>
    <b v="0"/>
    <s v="No está en VPC"/>
    <n v="715"/>
    <s v="INTPG-VPC_KFK05_716_1.25_715_1.26"/>
    <s v="ISEL-1.26"/>
    <n v="1"/>
    <s v="NO TIENE L3OUT"/>
    <n v="0"/>
    <n v="54"/>
  </r>
  <r>
    <n v="427"/>
    <x v="1"/>
    <x v="36"/>
    <s v="eth1/26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26"/>
    <x v="0"/>
    <x v="1"/>
    <x v="5"/>
    <s v="CEM:ITHCEMD2ADT13:LOM  P2"/>
    <x v="0"/>
    <b v="0"/>
    <s v="No está en VPC"/>
    <n v="711"/>
    <s v="INTPG_VPC_710_1.25_711_1.26"/>
    <s v="ISEL-1.26"/>
    <n v="1"/>
    <s v="NO TIENE L3OUT"/>
    <n v="16"/>
    <n v="54"/>
  </r>
  <r>
    <n v="716"/>
    <x v="2"/>
    <x v="38"/>
    <s v="eth1/26"/>
    <x v="0"/>
    <x v="0"/>
    <x v="0"/>
    <m/>
    <x v="0"/>
    <b v="0"/>
    <s v="No está en VPC"/>
    <n v="716"/>
    <s v="INTPG-VPC_ZKP03_715_1.25_716_1.26"/>
    <s v="ISEL-1.26"/>
    <n v="1"/>
    <s v="NO TIENE L3OUT"/>
    <n v="0"/>
    <n v="54"/>
  </r>
  <r>
    <n v="702"/>
    <x v="2"/>
    <x v="39"/>
    <s v="eth1/26"/>
    <x v="0"/>
    <x v="1"/>
    <x v="5"/>
    <m/>
    <x v="0"/>
    <b v="0"/>
    <s v="No está en VPC"/>
    <n v="702"/>
    <s v="INTPG_VPC_701_1.25_702_1.26"/>
    <s v="ISEL-1.26"/>
    <n v="1"/>
    <s v="NO TIENE L3OUT"/>
    <n v="0"/>
    <n v="54"/>
  </r>
  <r>
    <n v="435"/>
    <x v="1"/>
    <x v="40"/>
    <s v="eth1/26"/>
    <x v="0"/>
    <x v="1"/>
    <x v="1"/>
    <s v="TO-POC_FORTIGATE-PRINCIPAL"/>
    <x v="1"/>
    <b v="0"/>
    <s v="No está en VPC"/>
    <n v="435"/>
    <s v="INTPG_ACC_435_1.26"/>
    <s v="ISEL-1.26"/>
    <n v="1"/>
    <s v="NO TIENE L3OUT"/>
    <n v="34"/>
    <n v="54"/>
  </r>
  <r>
    <n v="446"/>
    <x v="1"/>
    <x v="41"/>
    <s v="eth1/26"/>
    <x v="0"/>
    <x v="0"/>
    <x v="0"/>
    <s v="TO-ITHFDLMCLWLCN04"/>
    <x v="0"/>
    <b v="0"/>
    <s v="No está en VPC"/>
    <n v="446"/>
    <s v="INTPG_VPC_446_1.26_444_1.27"/>
    <s v="ISEL-1.26"/>
    <n v="3"/>
    <s v="NO TIENE L3OUT"/>
    <n v="198"/>
    <n v="54"/>
  </r>
  <r>
    <n v="444"/>
    <x v="1"/>
    <x v="42"/>
    <s v="eth1/26"/>
    <x v="0"/>
    <x v="0"/>
    <x v="0"/>
    <s v="TO-ITHFDLMCLWLCN03"/>
    <x v="0"/>
    <b v="0"/>
    <s v="No está en VPC"/>
    <n v="444"/>
    <s v="INTPG_VPC_446_1.25_444_1.26"/>
    <s v="ISEL-1.26"/>
    <n v="1"/>
    <s v="NO TIENE L3OUT"/>
    <n v="234"/>
    <n v="54"/>
  </r>
  <r>
    <n v="701"/>
    <x v="2"/>
    <x v="43"/>
    <s v="eth1/26"/>
    <x v="0"/>
    <x v="0"/>
    <x v="0"/>
    <m/>
    <x v="0"/>
    <b v="0"/>
    <s v="No está en VPC"/>
    <n v="701"/>
    <s v="INTPG_VPC_702_1.25_701_1.26"/>
    <s v="ISEL-1.26"/>
    <n v="1"/>
    <s v="NO TIENE L3OUT"/>
    <n v="0"/>
    <n v="54"/>
  </r>
  <r>
    <n v="440"/>
    <x v="1"/>
    <x v="44"/>
    <s v="eth1/26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26"/>
    <x v="0"/>
    <x v="0"/>
    <x v="0"/>
    <s v="ZTE_EDR"/>
    <x v="0"/>
    <b v="0"/>
    <s v="No está en VPC"/>
    <n v="448"/>
    <s v="INTPG_VPC_431_1.26-27_448_1.26-27"/>
    <s v="ISEL-1.26"/>
    <n v="2"/>
    <s v="NO TIENE L3OUT"/>
    <n v="46"/>
    <n v="54"/>
  </r>
  <r>
    <n v="704"/>
    <x v="2"/>
    <x v="46"/>
    <s v="eth1/26"/>
    <x v="0"/>
    <x v="0"/>
    <x v="0"/>
    <m/>
    <x v="0"/>
    <b v="0"/>
    <s v="No está en VPC"/>
    <n v="704"/>
    <s v="INTPG_VPC_703_1.25_704_1.26"/>
    <s v="ISEL-1.26"/>
    <n v="1"/>
    <s v="NO TIENE L3OUT"/>
    <n v="0"/>
    <n v="54"/>
  </r>
  <r>
    <n v="729"/>
    <x v="2"/>
    <x v="47"/>
    <s v="eth1/26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26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26"/>
    <x v="0"/>
    <x v="0"/>
    <x v="0"/>
    <s v="TO-ITHFORZDLRXCTL02-PCIe-3-P2"/>
    <x v="4"/>
    <b v="0"/>
    <s v="No está en VPC"/>
    <n v="456"/>
    <s v="INTPG_ACC_456_1.26"/>
    <s v="ISEL-1.26"/>
    <n v="1"/>
    <s v="NO TIENE L3OUT"/>
    <n v="4"/>
    <n v="54"/>
  </r>
  <r>
    <n v="603"/>
    <x v="1"/>
    <x v="50"/>
    <s v="eth1/26"/>
    <x v="0"/>
    <x v="1"/>
    <x v="3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26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26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26"/>
    <x v="0"/>
    <x v="0"/>
    <x v="0"/>
    <s v="Server_Pre-R02-RH2288-01"/>
    <x v="0"/>
    <b v="0"/>
    <s v="No está en VPC"/>
    <n v="730"/>
    <s v="INTPG_ACC_730_1.26"/>
    <s v="ISEL-1.26"/>
    <n v="1"/>
    <s v="NO TIENE L3OUT"/>
    <n v="36"/>
    <n v="54"/>
  </r>
  <r>
    <n v="722"/>
    <x v="2"/>
    <x v="54"/>
    <s v="eth1/26"/>
    <x v="0"/>
    <x v="1"/>
    <x v="1"/>
    <m/>
    <x v="0"/>
    <b v="0"/>
    <s v="No está en VPC"/>
    <n v="722"/>
    <s v="INTPG-VPC_SLR19_723_1.25_722_1.26"/>
    <s v="ISEL-1.26"/>
    <n v="1"/>
    <s v="NO TIENE L3OUT"/>
    <n v="0"/>
    <n v="54"/>
  </r>
  <r>
    <n v="733"/>
    <x v="2"/>
    <x v="55"/>
    <s v="eth1/26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26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26"/>
    <x v="0"/>
    <x v="0"/>
    <x v="0"/>
    <m/>
    <x v="0"/>
    <b v="0"/>
    <s v="No está en VPC"/>
    <n v="748"/>
    <s v="INTPG_ACC_748_1.26"/>
    <s v="ISEL-1.26"/>
    <n v="0"/>
    <s v="NO TIENE L3OUT"/>
    <n v="2"/>
    <n v="54"/>
  </r>
  <r>
    <n v="756"/>
    <x v="2"/>
    <x v="58"/>
    <s v="eth1/26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26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26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26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26"/>
    <x v="0"/>
    <x v="0"/>
    <x v="0"/>
    <s v="CEM:ITHCEMB2ADT13:SLOT1 P1"/>
    <x v="5"/>
    <b v="0"/>
    <s v="No está en VPC"/>
    <n v="742"/>
    <s v="INTPG_ACC_742_1.26"/>
    <s v="ISEL-1.26"/>
    <n v="1"/>
    <s v="NO TIENE L3OUT"/>
    <n v="64"/>
    <n v="54"/>
  </r>
  <r>
    <n v="763"/>
    <x v="2"/>
    <x v="63"/>
    <s v="eth1/26"/>
    <x v="0"/>
    <x v="0"/>
    <x v="0"/>
    <s v="GESTION-COGENERACION"/>
    <x v="0"/>
    <b v="0"/>
    <s v="No está en VPC"/>
    <n v="763"/>
    <s v="INTPG_ACC_763_1.26"/>
    <s v="ISEL-1.26"/>
    <n v="1"/>
    <s v="NO TIENE L3OUT"/>
    <n v="2"/>
    <n v="54"/>
  </r>
  <r>
    <n v="766"/>
    <x v="2"/>
    <x v="64"/>
    <s v="eth1/26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26"/>
    <x v="1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26"/>
    <x v="0"/>
    <x v="1"/>
    <x v="3"/>
    <s v="PAAS:ithhwosstpap001:LOM PORT 1"/>
    <x v="0"/>
    <b v="0"/>
    <s v="No está en VPC"/>
    <n v="752"/>
    <s v="INTPG_VPC_747_1.16_752_1.26"/>
    <s v="ISEL-1.26"/>
    <n v="0"/>
    <s v="NO TIENE L3OUT"/>
    <n v="0"/>
    <n v="54"/>
  </r>
  <r>
    <n v="765"/>
    <x v="2"/>
    <x v="67"/>
    <s v="eth1/26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26"/>
    <x v="0"/>
    <x v="0"/>
    <x v="0"/>
    <s v="CLOUD OPS:ithhwcop01en01:1E P2"/>
    <x v="0"/>
    <b v="0"/>
    <s v="No está en VPC"/>
    <n v="778"/>
    <s v="INTPG_VPC_778_1.25-26_31-32_779_1.25-26_31-32"/>
    <s v="ISEL-1.26"/>
    <n v="24"/>
    <s v="NO TIENE L3OUT"/>
    <n v="26"/>
    <n v="54"/>
  </r>
  <r>
    <n v="780"/>
    <x v="2"/>
    <x v="69"/>
    <s v="eth1/26"/>
    <x v="0"/>
    <x v="0"/>
    <x v="0"/>
    <s v="CLOUD OPS:ithhwcop02en01:4E P1"/>
    <x v="0"/>
    <b v="0"/>
    <s v="No está en VPC"/>
    <n v="780"/>
    <s v="INTPG_VPC_780_1.20-21_26-27_781_1.20-21_26-27"/>
    <s v="ISEL-1.26"/>
    <n v="23"/>
    <s v="NO TIENE L3OUT"/>
    <n v="26"/>
    <n v="54"/>
  </r>
  <r>
    <n v="812"/>
    <x v="2"/>
    <x v="70"/>
    <s v="eth1/26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26"/>
    <x v="0"/>
    <x v="0"/>
    <x v="0"/>
    <s v="TO-ITHFHWDCIMLAP02-Redundante"/>
    <x v="0"/>
    <b v="0"/>
    <s v="No está en VPC"/>
    <n v="796"/>
    <s v="INTPG_ACC_796_1.26"/>
    <s v="ISEL-1.26"/>
    <n v="1"/>
    <s v="NO TIENE L3OUT"/>
    <n v="18"/>
    <n v="54"/>
  </r>
  <r>
    <n v="795"/>
    <x v="2"/>
    <x v="72"/>
    <s v="eth1/26"/>
    <x v="0"/>
    <x v="0"/>
    <x v="0"/>
    <s v="TO-ITHFHWDCIMLAP02-Principal"/>
    <x v="0"/>
    <b v="0"/>
    <s v="No está en VPC"/>
    <n v="795"/>
    <s v="INTPG_ACC_795_1.26"/>
    <s v="ISEL-1.26"/>
    <n v="1"/>
    <s v="NO TIENE L3OUT"/>
    <n v="18"/>
    <n v="54"/>
  </r>
  <r>
    <n v="749"/>
    <x v="2"/>
    <x v="73"/>
    <s v="eth1/26"/>
    <x v="0"/>
    <x v="0"/>
    <x v="0"/>
    <m/>
    <x v="0"/>
    <b v="0"/>
    <s v="No está en VPC"/>
    <n v="749"/>
    <s v="INTPG_ACC_749_1.26"/>
    <s v="ISEL-1.26"/>
    <n v="0"/>
    <s v="NO TIENE L3OUT"/>
    <n v="4"/>
    <n v="54"/>
  </r>
  <r>
    <n v="824"/>
    <x v="2"/>
    <x v="74"/>
    <s v="eth1/26"/>
    <x v="0"/>
    <x v="0"/>
    <x v="0"/>
    <s v="LINK_TO_ITHFHWCMVWPMA14 /Slot7.2 /Redundante"/>
    <x v="0"/>
    <b v="0"/>
    <s v="No está en VPC"/>
    <n v="824"/>
    <s v="INTPG_ACC_824_1.26"/>
    <s v="ISEL-1.26"/>
    <n v="1"/>
    <s v="NO TIENE L3OUT"/>
    <n v="70"/>
    <n v="54"/>
  </r>
  <r>
    <n v="819"/>
    <x v="2"/>
    <x v="75"/>
    <s v="eth1/26"/>
    <x v="0"/>
    <x v="0"/>
    <x v="0"/>
    <s v="LINK_TO_ITHFHWCMVWPMA14 /Slot5.2 /Principal"/>
    <x v="0"/>
    <b v="0"/>
    <s v="No está en VPC"/>
    <n v="819"/>
    <s v="INTPG_ACC_819_1.26"/>
    <s v="ISEL-1.26"/>
    <n v="1"/>
    <s v="NO TIENE L3OUT"/>
    <n v="70"/>
    <n v="54"/>
  </r>
  <r>
    <n v="737"/>
    <x v="2"/>
    <x v="76"/>
    <s v="eth1/26"/>
    <x v="0"/>
    <x v="0"/>
    <x v="0"/>
    <s v="CEM:ITHCEME2KFK13:SLOT1 P1"/>
    <x v="5"/>
    <b v="0"/>
    <s v="No está en VPC"/>
    <n v="737"/>
    <s v="INTPG_ACC_737_1.26"/>
    <s v="ISEL-1.26"/>
    <n v="1"/>
    <s v="NO TIENE L3OUT"/>
    <n v="72"/>
    <n v="54"/>
  </r>
  <r>
    <n v="844"/>
    <x v="2"/>
    <x v="77"/>
    <s v="eth1/26"/>
    <x v="0"/>
    <x v="0"/>
    <x v="0"/>
    <s v="LINK_TO_ITHFHWCRMPLCN109 / Slot1.2_22 / Principal"/>
    <x v="0"/>
    <b v="0"/>
    <s v="No está en VPC"/>
    <n v="844"/>
    <s v="INTPG_ACC_844_1.26"/>
    <s v="ISEL-1.26"/>
    <n v="2"/>
    <s v="NO TIENE L3OUT"/>
    <n v="282"/>
    <n v="54"/>
  </r>
  <r>
    <n v="843"/>
    <x v="2"/>
    <x v="78"/>
    <s v="eth1/26"/>
    <x v="0"/>
    <x v="0"/>
    <x v="0"/>
    <s v="LINK_To_ITHFHWCBSPSWR43 / Slot7.3_30 / Redundante"/>
    <x v="0"/>
    <b v="0"/>
    <s v="No está en VPC"/>
    <n v="843"/>
    <s v="INTPG_VPC_838_1.26_843_1.26"/>
    <s v="ISEL-1.26"/>
    <n v="1"/>
    <s v="NO TIENE L3OUT"/>
    <n v="38"/>
    <n v="54"/>
  </r>
  <r>
    <n v="797"/>
    <x v="2"/>
    <x v="79"/>
    <s v="eth1/26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26"/>
    <x v="0"/>
    <x v="0"/>
    <x v="0"/>
    <s v="LINK_TO_ITHFHWCBSPSHD38 / Slot7.2_14 / Redundante"/>
    <x v="0"/>
    <b v="0"/>
    <s v="No está en VPC"/>
    <n v="839"/>
    <s v="INTPG_VPC_834_1.26_839_1.26"/>
    <s v="ISEL-1.26"/>
    <n v="1"/>
    <s v="NO TIENE L3OUT"/>
    <n v="0"/>
    <n v="54"/>
  </r>
  <r>
    <n v="847"/>
    <x v="2"/>
    <x v="81"/>
    <s v="eth1/26"/>
    <x v="0"/>
    <x v="0"/>
    <x v="0"/>
    <s v="LINK_TO_ITHFHWCRMPLCN174 / Slot7.1_18 / Redundante"/>
    <x v="0"/>
    <b v="0"/>
    <s v="No está en VPC"/>
    <n v="847"/>
    <s v="INTPG_ACC_847_1.26"/>
    <s v="ISEL-1.26"/>
    <n v="6"/>
    <s v="NO TIENE L3OUT"/>
    <n v="204"/>
    <n v="54"/>
  </r>
  <r>
    <n v="848"/>
    <x v="2"/>
    <x v="82"/>
    <s v="eth1/26"/>
    <x v="0"/>
    <x v="0"/>
    <x v="0"/>
    <s v="LINK_TO_ITHFHWCRMPLCN163 / Slot7.1_28 / Redundante"/>
    <x v="0"/>
    <b v="0"/>
    <s v="No está en VPC"/>
    <n v="848"/>
    <s v="INTPG_ACC_848_1.26"/>
    <s v="ISEL-1.26"/>
    <n v="6"/>
    <s v="NO TIENE L3OUT"/>
    <n v="254"/>
    <n v="54"/>
  </r>
  <r>
    <n v="846"/>
    <x v="2"/>
    <x v="83"/>
    <s v="eth1/26"/>
    <x v="0"/>
    <x v="0"/>
    <x v="0"/>
    <s v="LINK_TO_ITHFHWCRMPLCN80 / Slot1.2_18 / Principal"/>
    <x v="0"/>
    <b v="0"/>
    <s v="No está en VPC"/>
    <n v="846"/>
    <s v="INTPG_ACC_846_1.26"/>
    <s v="ISEL-1.26"/>
    <n v="2"/>
    <s v="NO TIENE L3OUT"/>
    <n v="242"/>
    <n v="54"/>
  </r>
  <r>
    <n v="838"/>
    <x v="2"/>
    <x v="84"/>
    <s v="eth1/26"/>
    <x v="0"/>
    <x v="0"/>
    <x v="0"/>
    <s v="LINK_To_ITHFHWCBSPSWR43 / Slot1.3_30 / Principal"/>
    <x v="0"/>
    <b v="0"/>
    <s v="No está en VPC"/>
    <n v="838"/>
    <s v="INTPG_VPC_838_1.26_843_1.26"/>
    <s v="ISEL-1.26"/>
    <n v="1"/>
    <s v="NO TIENE L3OUT"/>
    <n v="38"/>
    <n v="54"/>
  </r>
  <r>
    <n v="849"/>
    <x v="2"/>
    <x v="85"/>
    <s v="eth1/26"/>
    <x v="0"/>
    <x v="0"/>
    <x v="0"/>
    <s v="LINK_TO_ITHFHWCRMPLCN143 / Slot7.1_20 / Redundante"/>
    <x v="0"/>
    <b v="0"/>
    <s v="No está en VPC"/>
    <n v="849"/>
    <s v="INTPG_ACC_849_1.26"/>
    <s v="ISEL-1.26"/>
    <n v="6"/>
    <s v="NO TIENE L3OUT"/>
    <n v="286"/>
    <n v="54"/>
  </r>
  <r>
    <n v="845"/>
    <x v="2"/>
    <x v="86"/>
    <s v="eth1/26"/>
    <x v="0"/>
    <x v="0"/>
    <x v="0"/>
    <s v="LINK_TO_ITHFHWCRMPLCN92 / Slot1.3_16 / Principal"/>
    <x v="0"/>
    <b v="0"/>
    <s v="No está en VPC"/>
    <n v="845"/>
    <s v="INTPG_ACC_845_1.26"/>
    <s v="ISEL-1.26"/>
    <n v="1"/>
    <s v="NO TIENE L3OUT"/>
    <n v="258"/>
    <n v="54"/>
  </r>
  <r>
    <n v="873"/>
    <x v="2"/>
    <x v="87"/>
    <s v="eth1/26"/>
    <x v="0"/>
    <x v="0"/>
    <x v="0"/>
    <s v="TO_ITHFHWCRMDLCN61_Principal"/>
    <x v="0"/>
    <b v="0"/>
    <s v="No está en VPC"/>
    <n v="873"/>
    <s v="INTPG_ACC_873_1.26"/>
    <s v="ISEL-1.26"/>
    <n v="1"/>
    <s v="NO TIENE L3OUT"/>
    <n v="248"/>
    <n v="54"/>
  </r>
  <r>
    <n v="864"/>
    <x v="2"/>
    <x v="88"/>
    <s v="eth1/26"/>
    <x v="0"/>
    <x v="0"/>
    <x v="0"/>
    <s v="To_VPC_2DCBSD_WR44_2"/>
    <x v="0"/>
    <b v="0"/>
    <s v="No está en VPC"/>
    <n v="864"/>
    <s v="INTPG_VPC_859_1.26_864_1.26"/>
    <s v="ISEL-1.26"/>
    <n v="1"/>
    <s v="NO TIENE L3OUT"/>
    <n v="0"/>
    <n v="54"/>
  </r>
  <r>
    <n v="836"/>
    <x v="2"/>
    <x v="89"/>
    <s v="eth1/26"/>
    <x v="0"/>
    <x v="0"/>
    <x v="0"/>
    <s v="LINK_TO_ITHFHWCBSPSWR54 / Slot1.1_36 / Principal"/>
    <x v="0"/>
    <b v="0"/>
    <s v="No está en VPC"/>
    <n v="836"/>
    <s v="INTPG_VPC_836_1.26_841_1.26"/>
    <s v="ISEL-1.26"/>
    <n v="2"/>
    <s v="NO TIENE L3OUT"/>
    <n v="0"/>
    <n v="54"/>
  </r>
  <r>
    <n v="834"/>
    <x v="2"/>
    <x v="90"/>
    <s v="eth1/26"/>
    <x v="0"/>
    <x v="0"/>
    <x v="0"/>
    <s v="LINK_TO_ITHFHWCBSPSHD38 / Slot1.2_14 / Principal"/>
    <x v="0"/>
    <b v="0"/>
    <s v="No está en VPC"/>
    <n v="834"/>
    <s v="INTPG_VPC_834_1.26_839_1.26"/>
    <s v="ISEL-1.26"/>
    <n v="1"/>
    <s v="NO TIENE L3OUT"/>
    <n v="0"/>
    <n v="54"/>
  </r>
  <r>
    <n v="872"/>
    <x v="2"/>
    <x v="91"/>
    <s v="eth1/26"/>
    <x v="0"/>
    <x v="0"/>
    <x v="0"/>
    <s v="To_ITHFHWCRMDLCN77_Principal"/>
    <x v="0"/>
    <b v="0"/>
    <s v="No está en VPC"/>
    <n v="872"/>
    <s v="INTPG_ACC_872_1.26"/>
    <s v="ISEL-1.26"/>
    <n v="1"/>
    <s v="NO TIENE L3OUT"/>
    <n v="288"/>
    <n v="54"/>
  </r>
  <r>
    <n v="842"/>
    <x v="2"/>
    <x v="92"/>
    <s v="eth1/26"/>
    <x v="0"/>
    <x v="0"/>
    <x v="0"/>
    <s v="LINK_TO_ITHFHWCBSPSWR48 / Slot7.1_32 / Redundante"/>
    <x v="0"/>
    <b v="0"/>
    <s v="No está en VPC"/>
    <n v="842"/>
    <s v="INTPG_VPC_837_1.26_842_1.26"/>
    <s v="ISEL-1.26"/>
    <n v="2"/>
    <s v="NO TIENE L3OUT"/>
    <n v="8"/>
    <n v="54"/>
  </r>
  <r>
    <n v="828"/>
    <x v="2"/>
    <x v="93"/>
    <s v="eth1/26"/>
    <x v="0"/>
    <x v="0"/>
    <x v="0"/>
    <s v="LINK_TO_ITHFHWCRMDLCN24 /Slot5.2 /Principal"/>
    <x v="0"/>
    <b v="0"/>
    <s v="No está en VPC"/>
    <n v="828"/>
    <s v="INTPG_ACC_828_1.26"/>
    <s v="ISEL-1.26"/>
    <n v="5"/>
    <s v="NO TIENE L3OUT"/>
    <n v="192"/>
    <n v="54"/>
  </r>
  <r>
    <n v="870"/>
    <x v="2"/>
    <x v="94"/>
    <s v="eth1/26"/>
    <x v="0"/>
    <x v="0"/>
    <x v="0"/>
    <s v="TO_ITHFHWCRMDLCN61_Redundante"/>
    <x v="0"/>
    <b v="0"/>
    <s v="No está en VPC"/>
    <n v="870"/>
    <s v="INTPG_ACC_870_1.26"/>
    <s v="ISEL-1.26"/>
    <n v="1"/>
    <s v="NO TIENE L3OUT"/>
    <n v="248"/>
    <n v="54"/>
  </r>
  <r>
    <n v="866"/>
    <x v="2"/>
    <x v="95"/>
    <s v="eth1/26"/>
    <x v="0"/>
    <x v="0"/>
    <x v="0"/>
    <s v="To_VPC_2DCBSD_TL04_1"/>
    <x v="0"/>
    <b v="0"/>
    <s v="No está en VPC"/>
    <n v="866"/>
    <s v="INTPG_VPC_861_1.26_866_1.26"/>
    <s v="ISEL-1.26"/>
    <n v="2"/>
    <s v="NO TIENE L3OUT"/>
    <n v="8"/>
    <n v="54"/>
  </r>
  <r>
    <n v="862"/>
    <x v="2"/>
    <x v="96"/>
    <s v="eth1/26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26"/>
    <x v="0"/>
    <x v="0"/>
    <x v="0"/>
    <s v="LINK_TO_ITHFHWCRMPLCN163 / Slot1.1_28 / Principal"/>
    <x v="0"/>
    <b v="0"/>
    <s v="No está en VPC"/>
    <n v="855"/>
    <s v="INTPG_ACC_855_1.26"/>
    <s v="ISEL-1.26"/>
    <n v="6"/>
    <s v="NO TIENE L3OUT"/>
    <n v="254"/>
    <n v="54"/>
  </r>
  <r>
    <n v="871"/>
    <x v="2"/>
    <x v="98"/>
    <s v="eth1/26"/>
    <x v="0"/>
    <x v="0"/>
    <x v="0"/>
    <s v="To_VPC_2DCRMD_SBD11_2"/>
    <x v="0"/>
    <b v="0"/>
    <s v="No está en VPC"/>
    <n v="871"/>
    <s v="INTPG_VPC_868_1.26_871_1.26"/>
    <s v="ISEL-1.26"/>
    <n v="2"/>
    <s v="NO TIENE L3OUT"/>
    <n v="246"/>
    <n v="54"/>
  </r>
  <r>
    <n v="841"/>
    <x v="2"/>
    <x v="99"/>
    <s v="eth1/26"/>
    <x v="0"/>
    <x v="0"/>
    <x v="0"/>
    <s v="LINK_TO_ITHFHWCBSPSWR54 / Slot7.1_36 / Redundante"/>
    <x v="0"/>
    <b v="0"/>
    <s v="No está en VPC"/>
    <n v="841"/>
    <s v="INTPG_VPC_836_1.26_841_1.26"/>
    <s v="ISEL-1.26"/>
    <n v="2"/>
    <s v="NO TIENE L3OUT"/>
    <n v="0"/>
    <n v="54"/>
  </r>
  <r>
    <n v="868"/>
    <x v="2"/>
    <x v="100"/>
    <s v="eth1/26"/>
    <x v="0"/>
    <x v="0"/>
    <x v="0"/>
    <s v="To_VPC_2DCRMD_SBD11_2"/>
    <x v="0"/>
    <b v="0"/>
    <s v="No está en VPC"/>
    <n v="868"/>
    <s v="INTPG_VPC_868_1.26_871_1.26"/>
    <s v="ISEL-1.26"/>
    <n v="2"/>
    <s v="NO TIENE L3OUT"/>
    <n v="246"/>
    <n v="54"/>
  </r>
  <r>
    <n v="869"/>
    <x v="2"/>
    <x v="101"/>
    <s v="eth1/26"/>
    <x v="0"/>
    <x v="0"/>
    <x v="0"/>
    <s v="To_ITHFHWCRMDLCN77_Redundante"/>
    <x v="0"/>
    <b v="0"/>
    <s v="No está en VPC"/>
    <n v="869"/>
    <s v="INTPG_ACC_869_1.26"/>
    <s v="ISEL-1.26"/>
    <n v="1"/>
    <s v="NO TIENE L3OUT"/>
    <n v="288"/>
    <n v="54"/>
  </r>
  <r>
    <n v="861"/>
    <x v="2"/>
    <x v="102"/>
    <s v="eth1/26"/>
    <x v="0"/>
    <x v="0"/>
    <x v="0"/>
    <s v="To_VPC_2DCBSD_TL04_1"/>
    <x v="0"/>
    <b v="0"/>
    <s v="No está en VPC"/>
    <n v="861"/>
    <s v="INTPG_VPC_861_1.26_866_1.26"/>
    <s v="ISEL-1.26"/>
    <n v="2"/>
    <s v="NO TIENE L3OUT"/>
    <n v="8"/>
    <n v="54"/>
  </r>
  <r>
    <n v="874"/>
    <x v="2"/>
    <x v="103"/>
    <s v="eth1/26"/>
    <x v="0"/>
    <x v="0"/>
    <x v="0"/>
    <s v="A_ITHFHWSEQLCAS25_Redundante"/>
    <x v="4"/>
    <b v="0"/>
    <s v="No está en VPC"/>
    <n v="874"/>
    <s v="INTPG_ACC_874_1.26"/>
    <s v="ISEL-1.26"/>
    <n v="1"/>
    <s v="NO TIENE L3OUT"/>
    <n v="92"/>
    <n v="54"/>
  </r>
  <r>
    <n v="865"/>
    <x v="2"/>
    <x v="104"/>
    <s v="eth1/26"/>
    <x v="0"/>
    <x v="0"/>
    <x v="0"/>
    <s v="To_VPC_2DCBSD_TL05_2"/>
    <x v="0"/>
    <b v="0"/>
    <s v="No está en VPC"/>
    <n v="865"/>
    <s v="INTPG_VPC_860_1.26_865_1.26"/>
    <s v="ISEL-1.26"/>
    <n v="1"/>
    <s v="NO TIENE L3OUT"/>
    <n v="0"/>
    <n v="54"/>
  </r>
  <r>
    <n v="753"/>
    <x v="2"/>
    <x v="105"/>
    <s v="eth1/26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26"/>
    <x v="0"/>
    <x v="1"/>
    <x v="5"/>
    <s v="CEM:ITHCEME2KFK13:LOM  P2"/>
    <x v="0"/>
    <b v="0"/>
    <s v="No está en VPC"/>
    <n v="708"/>
    <s v="INTPG_VPC_708_1.26_709_1.25"/>
    <s v="ISEL-1.26"/>
    <n v="1"/>
    <s v="NO TIENE L3OUT"/>
    <n v="0"/>
    <n v="54"/>
  </r>
  <r>
    <n v="710"/>
    <x v="2"/>
    <x v="107"/>
    <s v="eth1/26"/>
    <x v="0"/>
    <x v="1"/>
    <x v="5"/>
    <s v="CEM:ITHCEMC2ADT13:LOM  P2"/>
    <x v="0"/>
    <b v="0"/>
    <s v="No está en VPC"/>
    <n v="710"/>
    <s v="INTPG_VPC_710_1.26_711_1.25"/>
    <s v="ISEL-1.26"/>
    <n v="1"/>
    <s v="NO TIENE L3OUT"/>
    <n v="16"/>
    <n v="54"/>
  </r>
  <r>
    <n v="713"/>
    <x v="2"/>
    <x v="108"/>
    <s v="eth1/26"/>
    <x v="0"/>
    <x v="1"/>
    <x v="5"/>
    <s v="CEM:ITHCEMB2ADT13:LOM  P2"/>
    <x v="0"/>
    <b v="0"/>
    <s v="No está en VPC"/>
    <n v="713"/>
    <s v="INTPG_VPC_712_1.25_713_1.26"/>
    <s v="ISEL-1.26"/>
    <n v="1"/>
    <s v="NO TIENE L3OUT"/>
    <n v="32"/>
    <n v="54"/>
  </r>
  <r>
    <n v="735"/>
    <x v="2"/>
    <x v="109"/>
    <s v="eth1/26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26"/>
    <x v="0"/>
    <x v="0"/>
    <x v="0"/>
    <s v="Server_Pre-R02-RH2288-01"/>
    <x v="0"/>
    <b v="0"/>
    <s v="No está en VPC"/>
    <n v="731"/>
    <s v="INTPG_ACC_731_1.26"/>
    <s v="ISEL-1.26"/>
    <n v="1"/>
    <s v="NO TIENE L3OUT"/>
    <n v="38"/>
    <n v="54"/>
  </r>
  <r>
    <n v="703"/>
    <x v="2"/>
    <x v="111"/>
    <s v="eth1/26"/>
    <x v="0"/>
    <x v="0"/>
    <x v="0"/>
    <m/>
    <x v="0"/>
    <b v="0"/>
    <s v="No está en VPC"/>
    <n v="703"/>
    <s v="INTPG_VPC_704_1.25_703_1.26"/>
    <s v="ISEL-1.26"/>
    <n v="1"/>
    <s v="NO TIENE L3OUT"/>
    <n v="2"/>
    <n v="54"/>
  </r>
  <r>
    <n v="706"/>
    <x v="2"/>
    <x v="112"/>
    <s v="eth1/26"/>
    <x v="0"/>
    <x v="0"/>
    <x v="0"/>
    <m/>
    <x v="0"/>
    <b v="0"/>
    <s v="No está en VPC"/>
    <n v="706"/>
    <s v="INTPG_VPC_705_1.25_706_1.26"/>
    <s v="ISEL-1.26"/>
    <n v="1"/>
    <s v="NO TIENE L3OUT"/>
    <n v="16"/>
    <n v="54"/>
  </r>
  <r>
    <n v="762"/>
    <x v="2"/>
    <x v="113"/>
    <s v="eth1/26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14"/>
    <x v="2"/>
    <x v="114"/>
    <s v="eth1/26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26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26"/>
    <x v="0"/>
    <x v="0"/>
    <x v="0"/>
    <s v="LINK_TO_ITHFHWCBSDSHD18 /10GE.1 /Principal"/>
    <x v="0"/>
    <b v="0"/>
    <s v="No está en VPC"/>
    <n v="826"/>
    <s v="INTPG_VPC_826_1.26_830_1.26"/>
    <s v="ISEL-1.26"/>
    <n v="1"/>
    <s v="NO TIENE L3OUT"/>
    <n v="12"/>
    <n v="54"/>
  </r>
  <r>
    <n v="726"/>
    <x v="2"/>
    <x v="117"/>
    <s v="eth1/26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26"/>
    <x v="0"/>
    <x v="0"/>
    <x v="0"/>
    <s v="CEM:ITHCEMD2ADT13:SLOT1 P1"/>
    <x v="5"/>
    <b v="0"/>
    <s v="No está en VPC"/>
    <n v="740"/>
    <s v="INTPG_ACC_740_1.26"/>
    <s v="ISEL-1.26"/>
    <n v="1"/>
    <s v="NO TIENE L3OUT"/>
    <n v="72"/>
    <n v="54"/>
  </r>
  <r>
    <n v="705"/>
    <x v="2"/>
    <x v="119"/>
    <s v="eth1/26"/>
    <x v="0"/>
    <x v="0"/>
    <x v="0"/>
    <m/>
    <x v="0"/>
    <b v="0"/>
    <s v="No está en VPC"/>
    <n v="705"/>
    <s v="INTPG_VPC_706_1.25_705_1.26"/>
    <s v="ISEL-1.26"/>
    <n v="1"/>
    <s v="NO TIENE L3OUT"/>
    <n v="16"/>
    <n v="54"/>
  </r>
  <r>
    <n v="723"/>
    <x v="2"/>
    <x v="120"/>
    <s v="eth1/26"/>
    <x v="0"/>
    <x v="0"/>
    <x v="0"/>
    <m/>
    <x v="0"/>
    <b v="0"/>
    <s v="No está en VPC"/>
    <n v="723"/>
    <s v="INTPG-VPC_HDD121_722_1.25_723_1.26"/>
    <s v="ISEL-1.26"/>
    <n v="1"/>
    <s v="NO TIENE L3OUT"/>
    <n v="0"/>
    <n v="54"/>
  </r>
  <r>
    <n v="721"/>
    <x v="2"/>
    <x v="121"/>
    <s v="eth1/26"/>
    <x v="0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26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26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26"/>
    <x v="0"/>
    <x v="1"/>
    <x v="1"/>
    <m/>
    <x v="0"/>
    <b v="0"/>
    <s v="No está en VPC"/>
    <n v="720"/>
    <s v="INTPG-VPC_ICB02_719_1.25_720_1.26"/>
    <s v="ISEL-1.26"/>
    <n v="1"/>
    <s v="NO TIENE L3OUT"/>
    <n v="0"/>
    <n v="54"/>
  </r>
  <r>
    <n v="709"/>
    <x v="2"/>
    <x v="125"/>
    <s v="eth1/26"/>
    <x v="0"/>
    <x v="1"/>
    <x v="5"/>
    <s v="CEM:ITHCEMF2KFK13:LOM  P2"/>
    <x v="0"/>
    <b v="0"/>
    <s v="No está en VPC"/>
    <n v="709"/>
    <s v="INTPG_VPC_708_1.25_709_1.26"/>
    <s v="ISEL-1.26"/>
    <n v="1"/>
    <s v="NO TIENE L3OUT"/>
    <n v="0"/>
    <n v="54"/>
  </r>
  <r>
    <n v="454"/>
    <x v="1"/>
    <x v="126"/>
    <s v="eth1/26"/>
    <x v="0"/>
    <x v="0"/>
    <x v="0"/>
    <s v="TO-ITHFORZDLRXCTL02-PCIe-3-P1"/>
    <x v="4"/>
    <b v="0"/>
    <s v="No está en VPC"/>
    <n v="454"/>
    <s v="INTPG_ACC_454_1.26"/>
    <s v="ISEL-1.26"/>
    <n v="1"/>
    <s v="NO TIENE L3OUT"/>
    <n v="4"/>
    <n v="54"/>
  </r>
  <r>
    <n v="734"/>
    <x v="2"/>
    <x v="127"/>
    <s v="eth1/26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26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26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26"/>
    <x v="0"/>
    <x v="1"/>
    <x v="1"/>
    <m/>
    <x v="0"/>
    <b v="0"/>
    <s v="No está en VPC"/>
    <n v="718"/>
    <s v="INTPG-VPC_KFK01_717_1.25_718_1.26"/>
    <s v="ISEL-1.26"/>
    <n v="1"/>
    <s v="NO TIENE L3OUT"/>
    <n v="0"/>
    <n v="54"/>
  </r>
  <r>
    <n v="744"/>
    <x v="2"/>
    <x v="131"/>
    <s v="eth1/26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26"/>
    <x v="0"/>
    <x v="1"/>
    <x v="1"/>
    <s v="CEM:ITHCEMA2ADT13:SLOT1 P1"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26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26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26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26"/>
    <x v="0"/>
    <x v="1"/>
    <x v="3"/>
    <s v="CEM_HADOOP"/>
    <x v="0"/>
    <b v="0"/>
    <s v="No está en VPC"/>
    <n v="736"/>
    <s v="INTPG_ACC_736_1.26"/>
    <s v="ISEL-1.26"/>
    <n v="1"/>
    <s v="NO TIENE L3OUT"/>
    <n v="48"/>
    <n v="54"/>
  </r>
  <r>
    <n v="799"/>
    <x v="2"/>
    <x v="137"/>
    <s v="eth1/26"/>
    <x v="0"/>
    <x v="0"/>
    <x v="0"/>
    <s v="TO-IMC_PS14-MSP"/>
    <x v="0"/>
    <b v="0"/>
    <s v="No está en VPC"/>
    <n v="799"/>
    <s v="INTPG_ACC_799_1.26"/>
    <s v="ISEL-1.26"/>
    <n v="1"/>
    <s v="NO TIENE L3OUT"/>
    <n v="52"/>
    <n v="54"/>
  </r>
  <r>
    <n v="768"/>
    <x v="2"/>
    <x v="138"/>
    <s v="eth1/26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26"/>
    <x v="0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26"/>
    <x v="0"/>
    <x v="0"/>
    <x v="0"/>
    <m/>
    <x v="0"/>
    <b v="0"/>
    <s v="No está en VPC"/>
    <n v="717"/>
    <s v="INTPG-VPC_GWN01_718_1.25_717_1.26"/>
    <s v="ISEL-1.26"/>
    <n v="1"/>
    <s v="NO TIENE L3OUT"/>
    <n v="0"/>
    <n v="54"/>
  </r>
  <r>
    <n v="789"/>
    <x v="2"/>
    <x v="141"/>
    <s v="eth1/26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26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26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26"/>
    <x v="0"/>
    <x v="0"/>
    <x v="0"/>
    <s v="CLOUD PAAS PAYG F2:Ithhwvm1dch1:slot 2x/Pto 2"/>
    <x v="0"/>
    <b v="0"/>
    <s v="No está en VPC"/>
    <n v="774"/>
    <s v="INTPG_VPC_774_1.25-28_775_1.29-32"/>
    <s v="ISEL-1.26"/>
    <n v="152"/>
    <s v="NO TIENE L3OUT"/>
    <n v="0"/>
    <n v="54"/>
  </r>
  <r>
    <n v="773"/>
    <x v="2"/>
    <x v="145"/>
    <s v="eth1/26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26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26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26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26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26"/>
    <x v="0"/>
    <x v="0"/>
    <x v="0"/>
    <s v="CLOUD OPS:ithhwcop02en01:4E P3"/>
    <x v="0"/>
    <b v="0"/>
    <s v="No está en VPC"/>
    <n v="781"/>
    <s v="INTPG_VPC_780_1.20-21_26-27_781_1.20-21_26-27"/>
    <s v="ISEL-1.26"/>
    <n v="23"/>
    <s v="NO TIENE L3OUT"/>
    <n v="26"/>
    <n v="54"/>
  </r>
  <r>
    <n v="793"/>
    <x v="2"/>
    <x v="151"/>
    <s v="eth1/26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26"/>
    <x v="0"/>
    <x v="0"/>
    <x v="0"/>
    <s v="PAAS:ithhwosstpap001:Slot4.2"/>
    <x v="0"/>
    <b v="0"/>
    <s v="No está en VPC"/>
    <n v="747"/>
    <s v="INTPG_VPC_747_1.26_752_1.16"/>
    <s v="ISEL-1.26"/>
    <n v="25"/>
    <s v="NO TIENE L3OUT"/>
    <n v="0"/>
    <n v="54"/>
  </r>
  <r>
    <n v="784"/>
    <x v="2"/>
    <x v="153"/>
    <s v="eth1/26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26"/>
    <x v="0"/>
    <x v="0"/>
    <x v="0"/>
    <m/>
    <x v="0"/>
    <b v="0"/>
    <s v="No está en VPC"/>
    <n v="806"/>
    <s v="INTPG_PC_806_1.23-26"/>
    <s v="ISEL-1.26"/>
    <n v="0"/>
    <s v="L3OUT-OCS-RED-SIG-IP"/>
    <n v="44"/>
    <n v="54"/>
  </r>
  <r>
    <n v="777"/>
    <x v="2"/>
    <x v="155"/>
    <s v="eth1/26"/>
    <x v="0"/>
    <x v="0"/>
    <x v="0"/>
    <s v="CLOUD PAAS PAYG F2:Ithhwvm1ach1:slot 2x/Pto 2"/>
    <x v="0"/>
    <b v="0"/>
    <s v="No está en VPC"/>
    <n v="777"/>
    <s v="INTPG_VPC_776_1.29-32_777_1.25-28"/>
    <s v="ISEL-1.26"/>
    <n v="93"/>
    <s v="NO TIENE L3OUT"/>
    <n v="0"/>
    <n v="54"/>
  </r>
  <r>
    <n v="770"/>
    <x v="2"/>
    <x v="156"/>
    <s v="eth1/26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26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26"/>
    <x v="0"/>
    <x v="0"/>
    <x v="0"/>
    <s v="CEM:ITHCEMC2ADT13:SLOT1 P1"/>
    <x v="5"/>
    <b v="0"/>
    <s v="No está en VPC"/>
    <n v="739"/>
    <s v="INTPG_ACC_739_1.26"/>
    <s v="ISEL-1.26"/>
    <n v="1"/>
    <s v="NO TIENE L3OUT"/>
    <n v="72"/>
    <n v="54"/>
  </r>
  <r>
    <n v="775"/>
    <x v="2"/>
    <x v="159"/>
    <s v="eth1/26"/>
    <x v="0"/>
    <x v="0"/>
    <x v="0"/>
    <s v="CLOUD PAAS PAYG F2:Ithhwvm1cch1:slot 2x/Pto 2"/>
    <x v="0"/>
    <b v="0"/>
    <s v="No está en VPC"/>
    <n v="775"/>
    <s v="INTPG_VPC_774_1.29-32_775_1.25-28"/>
    <s v="ISEL-1.26"/>
    <n v="169"/>
    <s v="NO TIENE L3OUT"/>
    <n v="0"/>
    <n v="54"/>
  </r>
  <r>
    <n v="791"/>
    <x v="2"/>
    <x v="160"/>
    <s v="eth1/26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26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26"/>
    <x v="0"/>
    <x v="0"/>
    <x v="0"/>
    <s v="LINK_TO_ITHFHWCBSDSHD18 /Slot5.1 /Redundante"/>
    <x v="0"/>
    <b v="0"/>
    <s v="No está en VPC"/>
    <n v="830"/>
    <s v="INTPG_VPC_826_1.26_830_1.26"/>
    <s v="ISEL-1.26"/>
    <n v="1"/>
    <s v="NO TIENE L3OUT"/>
    <n v="12"/>
    <n v="54"/>
  </r>
  <r>
    <n v="821"/>
    <x v="2"/>
    <x v="163"/>
    <s v="eth1/26"/>
    <x v="0"/>
    <x v="0"/>
    <x v="0"/>
    <s v="LINK_TO_ITHFHWCBSPSHD18 /Slot5.1 /Redundante"/>
    <x v="0"/>
    <b v="0"/>
    <s v="No está en VPC"/>
    <n v="821"/>
    <s v="INTPG_VPC_816_1.26_821_1.26"/>
    <s v="ISEL-1.26"/>
    <n v="1"/>
    <s v="NO TIENE L3OUT"/>
    <n v="0"/>
    <n v="54"/>
  </r>
  <r>
    <n v="738"/>
    <x v="2"/>
    <x v="164"/>
    <s v="eth1/26"/>
    <x v="0"/>
    <x v="0"/>
    <x v="0"/>
    <s v="CEM:ITHCEMF2KFK13:SLOT1 P1"/>
    <x v="5"/>
    <b v="0"/>
    <s v="No está en VPC"/>
    <n v="738"/>
    <s v="INTPG_ACC_738_1.26"/>
    <s v="ISEL-1.26"/>
    <n v="1"/>
    <s v="NO TIENE L3OUT"/>
    <n v="72"/>
    <n v="54"/>
  </r>
  <r>
    <n v="820"/>
    <x v="2"/>
    <x v="165"/>
    <s v="eth1/26"/>
    <x v="0"/>
    <x v="0"/>
    <x v="0"/>
    <s v="LINKT_TO_ITHFHWCRMPLCN133 / Slot7.2_36 / Redundante"/>
    <x v="0"/>
    <b v="0"/>
    <s v="No está en VPC"/>
    <n v="820"/>
    <s v="INTPG_ACC_820_1.26"/>
    <s v="ISEL-1.26"/>
    <n v="2"/>
    <s v="NO TIENE L3OUT"/>
    <n v="72"/>
    <n v="54"/>
  </r>
  <r>
    <n v="804"/>
    <x v="2"/>
    <x v="166"/>
    <s v="eth1/26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26"/>
    <x v="0"/>
    <x v="0"/>
    <x v="0"/>
    <s v="CLOUD OPS:ithhwcop01en01:1E P4"/>
    <x v="0"/>
    <b v="0"/>
    <s v="No está en VPC"/>
    <n v="779"/>
    <s v="INTPG_VPC_778_1.25-26_31-32_779_1.25-26_31-32"/>
    <s v="ISEL-1.26"/>
    <n v="24"/>
    <s v="NO TIENE L3OUT"/>
    <n v="30"/>
    <n v="54"/>
  </r>
  <r>
    <n v="767"/>
    <x v="2"/>
    <x v="168"/>
    <s v="eth1/26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26"/>
    <x v="0"/>
    <x v="0"/>
    <x v="0"/>
    <s v="LINK_TO_ITHFHWCBSDSWR25 /Slot5.2 /Principal"/>
    <x v="0"/>
    <b v="0"/>
    <s v="No está en VPC"/>
    <n v="827"/>
    <s v="INTPG_VPC_827_1.26_831_1.26"/>
    <s v="ISEL-1.26"/>
    <n v="2"/>
    <s v="NO TIENE L3OUT"/>
    <n v="14"/>
    <n v="54"/>
  </r>
  <r>
    <n v="809"/>
    <x v="2"/>
    <x v="170"/>
    <s v="eth1/26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26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26"/>
    <x v="1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26"/>
    <x v="0"/>
    <x v="0"/>
    <x v="0"/>
    <s v="CLOUD PAAS PAYG F2:Ithhwvm1bch1:slot 2x/Pto 2"/>
    <x v="0"/>
    <b v="0"/>
    <s v="No está en VPC"/>
    <n v="776"/>
    <s v="INTPG_VPC_776_1.25-28_777_1.29-32"/>
    <s v="ISEL-1.26"/>
    <n v="90"/>
    <s v="NO TIENE L3OUT"/>
    <n v="0"/>
    <n v="54"/>
  </r>
  <r>
    <n v="805"/>
    <x v="2"/>
    <x v="174"/>
    <s v="eth1/26"/>
    <x v="0"/>
    <x v="0"/>
    <x v="0"/>
    <m/>
    <x v="0"/>
    <b v="0"/>
    <s v="No está en VPC"/>
    <n v="805"/>
    <s v="INTPG_PC_805_1.23-26"/>
    <s v="ISEL-1.26"/>
    <n v="0"/>
    <s v="L3OUT-OCS-RED-SIG-IP"/>
    <n v="44"/>
    <n v="54"/>
  </r>
  <r>
    <n v="772"/>
    <x v="2"/>
    <x v="175"/>
    <s v="eth1/26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26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26"/>
    <x v="0"/>
    <x v="0"/>
    <x v="0"/>
    <s v="LINK_TO_ITHFHWCRMPLCN109 / Slot7.2_22 / Redundante"/>
    <x v="0"/>
    <b v="0"/>
    <s v="No está en VPC"/>
    <n v="851"/>
    <s v="INTPG_ACC_851_1.26"/>
    <s v="ISEL-1.26"/>
    <n v="2"/>
    <s v="NO TIENE L3OUT"/>
    <n v="282"/>
    <n v="54"/>
  </r>
  <r>
    <n v="798"/>
    <x v="2"/>
    <x v="178"/>
    <s v="eth1/26"/>
    <x v="0"/>
    <x v="0"/>
    <x v="0"/>
    <s v="TO-IMC_PS14-MSP"/>
    <x v="0"/>
    <b v="0"/>
    <s v="No está en VPC"/>
    <n v="798"/>
    <s v="INTPG_ACC_798_1.26"/>
    <s v="ISEL-1.26"/>
    <n v="1"/>
    <s v="NO TIENE L3OUT"/>
    <n v="52"/>
    <n v="54"/>
  </r>
  <r>
    <n v="782"/>
    <x v="2"/>
    <x v="179"/>
    <s v="eth1/26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26"/>
    <x v="0"/>
    <x v="0"/>
    <x v="0"/>
    <s v="LINK_TO_ITHFHWCRMPLCN92 / Slot7.3_16 / Redundante"/>
    <x v="0"/>
    <b v="0"/>
    <s v="No está en VPC"/>
    <n v="852"/>
    <s v="INTPG_ACC_852_1.26"/>
    <s v="ISEL-1.26"/>
    <n v="1"/>
    <s v="NO TIENE L3OUT"/>
    <n v="258"/>
    <n v="54"/>
  </r>
  <r>
    <n v="817"/>
    <x v="2"/>
    <x v="181"/>
    <s v="eth1/26"/>
    <x v="0"/>
    <x v="0"/>
    <x v="0"/>
    <s v="LINK_TO_ITHFHWCBSPSUSBD18 /10GE.1 /Principal"/>
    <x v="0"/>
    <b v="0"/>
    <s v="No está en VPC"/>
    <n v="817"/>
    <s v="INTPG_VPC_817_1.26_822_1.26"/>
    <s v="ISEL-1.26"/>
    <n v="1"/>
    <s v="NO TIENE L3OUT"/>
    <n v="0"/>
    <n v="54"/>
  </r>
  <r>
    <n v="832"/>
    <x v="2"/>
    <x v="182"/>
    <s v="eth1/26"/>
    <x v="0"/>
    <x v="0"/>
    <x v="0"/>
    <s v="LINK_TO_ITHFHWCRMDLCN24 /Slot7.2 /Redundante"/>
    <x v="0"/>
    <b v="0"/>
    <s v="No está en VPC"/>
    <n v="832"/>
    <s v="INTPG_ACC_832_1.26"/>
    <s v="ISEL-1.26"/>
    <n v="5"/>
    <s v="NO TIENE L3OUT"/>
    <n v="192"/>
    <n v="54"/>
  </r>
  <r>
    <n v="816"/>
    <x v="2"/>
    <x v="183"/>
    <s v="eth1/26"/>
    <x v="0"/>
    <x v="0"/>
    <x v="0"/>
    <s v="LINK_TO_ITHFHWCBSPSHD18 /10GE.1 /Principal"/>
    <x v="0"/>
    <b v="0"/>
    <s v="No está en VPC"/>
    <n v="816"/>
    <s v="INTPG_VPC_816_1.26_821_1.26"/>
    <s v="ISEL-1.26"/>
    <n v="1"/>
    <s v="NO TIENE L3OUT"/>
    <n v="0"/>
    <n v="54"/>
  </r>
  <r>
    <n v="825"/>
    <x v="2"/>
    <x v="184"/>
    <s v="eth1/26"/>
    <x v="0"/>
    <x v="0"/>
    <x v="0"/>
    <s v="LINKT_TO_ITHFHWCRMPLCN133 / Slot1.2_36 / Principal"/>
    <x v="0"/>
    <b v="0"/>
    <s v="No está en VPC"/>
    <n v="825"/>
    <s v="INTPG_ACC_825_1.26"/>
    <s v="ISEL-1.26"/>
    <n v="2"/>
    <s v="NO TIENE L3OUT"/>
    <n v="72"/>
    <n v="54"/>
  </r>
  <r>
    <n v="800"/>
    <x v="2"/>
    <x v="185"/>
    <s v="eth1/26"/>
    <x v="0"/>
    <x v="0"/>
    <x v="0"/>
    <s v="TO-ITHFHWSEQLCAS06-MSP"/>
    <x v="0"/>
    <b v="0"/>
    <s v="No está en VPC"/>
    <n v="800"/>
    <s v="INTPG_ACC_800_1.26"/>
    <s v="ISEL-1.26"/>
    <n v="1"/>
    <s v="NO TIENE L3OUT"/>
    <n v="78"/>
    <n v="54"/>
  </r>
  <r>
    <n v="801"/>
    <x v="2"/>
    <x v="186"/>
    <s v="eth1/26"/>
    <x v="0"/>
    <x v="0"/>
    <x v="0"/>
    <s v="TO-ITHFHWSEQLCAS06-MSP"/>
    <x v="0"/>
    <b v="0"/>
    <s v="No está en VPC"/>
    <n v="801"/>
    <s v="INTPG_ACC_801_1.26"/>
    <s v="ISEL-1.26"/>
    <n v="1"/>
    <s v="NO TIENE L3OUT"/>
    <n v="78"/>
    <n v="54"/>
  </r>
  <r>
    <n v="823"/>
    <x v="2"/>
    <x v="187"/>
    <s v="eth1/26"/>
    <x v="0"/>
    <x v="0"/>
    <x v="0"/>
    <s v="LINK_TO_ITHFHWCBSPSWR33 /Slot7.2 /Redundante"/>
    <x v="0"/>
    <b v="0"/>
    <s v="No está en VPC"/>
    <n v="823"/>
    <s v="INTPG_VPC_818_1.26_823_1.26"/>
    <s v="ISEL-1.26"/>
    <n v="2"/>
    <s v="NO TIENE L3OUT"/>
    <n v="8"/>
    <n v="54"/>
  </r>
  <r>
    <n v="837"/>
    <x v="2"/>
    <x v="188"/>
    <s v="eth1/26"/>
    <x v="0"/>
    <x v="0"/>
    <x v="0"/>
    <s v="LINK_TO_ITHFHWCBSPSWR48 / Slot1.1_32 / Principal"/>
    <x v="0"/>
    <b v="0"/>
    <s v="No está en VPC"/>
    <n v="837"/>
    <s v="INTPG_VPC_837_1.26_842_1.26"/>
    <s v="ISEL-1.26"/>
    <n v="2"/>
    <s v="NO TIENE L3OUT"/>
    <n v="8"/>
    <n v="54"/>
  </r>
  <r>
    <n v="867"/>
    <x v="2"/>
    <x v="189"/>
    <s v="eth1/26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26"/>
    <x v="0"/>
    <x v="0"/>
    <x v="0"/>
    <s v="To_ITHFHWCRMDLCN43_Principal"/>
    <x v="0"/>
    <b v="0"/>
    <s v="No está en VPC"/>
    <n v="829"/>
    <s v="INTPG_ACC_829_1.26"/>
    <s v="ISEL-1.26"/>
    <n v="1"/>
    <s v="NO TIENE L3OUT"/>
    <n v="224"/>
    <n v="54"/>
  </r>
  <r>
    <n v="831"/>
    <x v="2"/>
    <x v="191"/>
    <s v="eth1/26"/>
    <x v="0"/>
    <x v="0"/>
    <x v="0"/>
    <s v="LINK_TO_ITHFHWCBSDSWR25 /Slot7.2 /Redundante"/>
    <x v="0"/>
    <b v="0"/>
    <s v="No está en VPC"/>
    <n v="831"/>
    <s v="INTPG_VPC_827_1.26_831_1.26"/>
    <s v="ISEL-1.26"/>
    <n v="2"/>
    <s v="NO TIENE L3OUT"/>
    <n v="14"/>
    <n v="54"/>
  </r>
  <r>
    <n v="802"/>
    <x v="2"/>
    <x v="192"/>
    <s v="eth1/26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26"/>
    <x v="0"/>
    <x v="0"/>
    <x v="0"/>
    <s v="LINK_TO_ITHFHWCBSPSHD31 / Slot1.1_14 / Principal"/>
    <x v="0"/>
    <b v="0"/>
    <s v="No está en VPC"/>
    <n v="835"/>
    <s v="INTPG_VPC_835_1.26_840_1.26"/>
    <s v="ISEL-1.26"/>
    <n v="2"/>
    <s v="NO TIENE L3OUT"/>
    <n v="8"/>
    <n v="54"/>
  </r>
  <r>
    <n v="822"/>
    <x v="2"/>
    <x v="194"/>
    <s v="eth1/26"/>
    <x v="0"/>
    <x v="0"/>
    <x v="0"/>
    <s v="LINK_TO_ITHFHWCBSPSUSBD18 /Slot5.1 /Redundante"/>
    <x v="0"/>
    <b v="0"/>
    <s v="No está en VPC"/>
    <n v="822"/>
    <s v="INTPG_VPC_817_1.26_822_1.26"/>
    <s v="ISEL-1.26"/>
    <n v="1"/>
    <s v="NO TIENE L3OUT"/>
    <n v="0"/>
    <n v="54"/>
  </r>
  <r>
    <n v="854"/>
    <x v="2"/>
    <x v="195"/>
    <s v="eth1/26"/>
    <x v="0"/>
    <x v="0"/>
    <x v="0"/>
    <s v="LINK_TO_ITHFHWCRMPLCN174 / Slot1.1_18 / Principal"/>
    <x v="0"/>
    <b v="0"/>
    <s v="No está en VPC"/>
    <n v="854"/>
    <s v="INTPG_ACC_854_1.26"/>
    <s v="ISEL-1.26"/>
    <n v="6"/>
    <s v="NO TIENE L3OUT"/>
    <n v="204"/>
    <n v="54"/>
  </r>
  <r>
    <n v="858"/>
    <x v="2"/>
    <x v="196"/>
    <s v="eth1/26"/>
    <x v="0"/>
    <x v="0"/>
    <x v="0"/>
    <s v="To_VPC_2DCBSD_HD45_2"/>
    <x v="0"/>
    <b v="0"/>
    <s v="No está en VPC"/>
    <n v="858"/>
    <s v="INTPG_VPC_858_1.26_863_1.26"/>
    <s v="ISEL-1.26"/>
    <n v="1"/>
    <s v="NO TIENE L3OUT"/>
    <n v="8"/>
    <n v="54"/>
  </r>
  <r>
    <n v="857"/>
    <x v="2"/>
    <x v="197"/>
    <s v="eth1/26"/>
    <x v="0"/>
    <x v="0"/>
    <x v="0"/>
    <s v="LINKT_TO_ITHFHWCRMPLCN124 / Slot1.1_18 / Principal"/>
    <x v="0"/>
    <b v="0"/>
    <s v="No está en VPC"/>
    <n v="857"/>
    <s v="INTPG_ACC_857_1.26"/>
    <s v="ISEL-1.26"/>
    <n v="6"/>
    <s v="NO TIENE L3OUT"/>
    <n v="288"/>
    <n v="54"/>
  </r>
  <r>
    <n v="859"/>
    <x v="2"/>
    <x v="198"/>
    <s v="eth1/26"/>
    <x v="0"/>
    <x v="0"/>
    <x v="0"/>
    <s v="To_VPC_2DCBSD_WR44_2"/>
    <x v="0"/>
    <b v="0"/>
    <s v="No está en VPC"/>
    <n v="859"/>
    <s v="INTPG_VPC_859_1.26_864_1.26"/>
    <s v="ISEL-1.26"/>
    <n v="1"/>
    <s v="NO TIENE L3OUT"/>
    <n v="0"/>
    <n v="54"/>
  </r>
  <r>
    <n v="833"/>
    <x v="2"/>
    <x v="199"/>
    <s v="eth1/26"/>
    <x v="0"/>
    <x v="0"/>
    <x v="0"/>
    <s v="To_ITHFHWCRMDLCN43_Redundante"/>
    <x v="0"/>
    <b v="0"/>
    <s v="No está en VPC"/>
    <n v="833"/>
    <s v="INTPG_ACC_833_1.26"/>
    <s v="ISEL-1.26"/>
    <n v="1"/>
    <s v="NO TIENE L3OUT"/>
    <n v="224"/>
    <n v="54"/>
  </r>
  <r>
    <n v="818"/>
    <x v="2"/>
    <x v="200"/>
    <s v="eth1/26"/>
    <x v="0"/>
    <x v="0"/>
    <x v="0"/>
    <s v="LINK_TO_ITHFHWCBSPSWR33 /Slot5.2 /Principal"/>
    <x v="0"/>
    <b v="0"/>
    <s v="No está en VPC"/>
    <n v="818"/>
    <s v="INTPG_VPC_818_1.26_823_1.26"/>
    <s v="ISEL-1.26"/>
    <n v="2"/>
    <s v="NO TIENE L3OUT"/>
    <n v="8"/>
    <n v="54"/>
  </r>
  <r>
    <n v="850"/>
    <x v="2"/>
    <x v="201"/>
    <s v="eth1/26"/>
    <x v="0"/>
    <x v="0"/>
    <x v="0"/>
    <s v="LINKT_TO_ITHFHWCRMPLCN124 / Slot7.1_18 / Redundante"/>
    <x v="0"/>
    <b v="0"/>
    <s v="No está en VPC"/>
    <n v="850"/>
    <s v="INTPG_ACC_850_1.26"/>
    <s v="ISEL-1.26"/>
    <n v="6"/>
    <s v="NO TIENE L3OUT"/>
    <n v="288"/>
    <n v="54"/>
  </r>
  <r>
    <n v="860"/>
    <x v="2"/>
    <x v="202"/>
    <s v="eth1/26"/>
    <x v="0"/>
    <x v="0"/>
    <x v="0"/>
    <s v="To_VPC_2DCBSD_TL05_2"/>
    <x v="0"/>
    <b v="0"/>
    <s v="No está en VPC"/>
    <n v="860"/>
    <s v="INTPG_VPC_860_1.26_865_1.26"/>
    <s v="ISEL-1.26"/>
    <n v="1"/>
    <s v="NO TIENE L3OUT"/>
    <n v="0"/>
    <n v="54"/>
  </r>
  <r>
    <n v="853"/>
    <x v="2"/>
    <x v="203"/>
    <s v="eth1/26"/>
    <x v="0"/>
    <x v="0"/>
    <x v="0"/>
    <s v="LINK_TO_ITHFHWCRMPLCN80 / Slot7.2_18 / Redundante"/>
    <x v="0"/>
    <b v="0"/>
    <s v="No está en VPC"/>
    <n v="853"/>
    <s v="INTPG_ACC_853_1.26"/>
    <s v="ISEL-1.26"/>
    <n v="2"/>
    <s v="NO TIENE L3OUT"/>
    <n v="242"/>
    <n v="54"/>
  </r>
  <r>
    <n v="790"/>
    <x v="2"/>
    <x v="204"/>
    <s v="eth1/26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26"/>
    <x v="0"/>
    <x v="0"/>
    <x v="0"/>
    <s v="MEDIACION DESARROLLO"/>
    <x v="6"/>
    <b v="0"/>
    <s v="No está en VPC"/>
    <n v="105"/>
    <s v="INTPG_ACC_105_1.26"/>
    <s v="ISEL-1.26"/>
    <n v="1"/>
    <s v="NO TIENE L3OUT"/>
    <n v="106"/>
    <n v="96"/>
  </r>
  <r>
    <n v="117"/>
    <x v="0"/>
    <x v="206"/>
    <s v="eth1/26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26"/>
    <x v="0"/>
    <x v="1"/>
    <x v="1"/>
    <s v="SFLDI"/>
    <x v="6"/>
    <b v="0"/>
    <s v="No está en VPC"/>
    <n v="104"/>
    <s v="INTPG_ACC_104_1.26"/>
    <s v="ISEL-1.26"/>
    <n v="1"/>
    <s v="NO TIENE L3OUT"/>
    <n v="194"/>
    <n v="96"/>
  </r>
  <r>
    <n v="158"/>
    <x v="0"/>
    <x v="208"/>
    <s v="eth1/26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26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26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26"/>
    <x v="1"/>
    <x v="1"/>
    <x v="2"/>
    <s v="GESTION WAS "/>
    <x v="6"/>
    <b v="0"/>
    <s v="No está en VPC"/>
    <n v="108"/>
    <s v="INTPG_ACC_108_1.26"/>
    <s v="ISEL-1.26"/>
    <n v="1"/>
    <s v="NO TIENE L3OUT"/>
    <n v="126"/>
    <n v="96"/>
  </r>
  <r>
    <n v="112"/>
    <x v="0"/>
    <x v="212"/>
    <s v="eth1/26"/>
    <x v="0"/>
    <x v="0"/>
    <x v="0"/>
    <s v="APROVISIONAMIENTO DE SERVICIOS"/>
    <x v="6"/>
    <b v="0"/>
    <s v="No está en VPC"/>
    <n v="112"/>
    <s v="INTPG_ACC_112_1.26"/>
    <s v="ISEL-1.26"/>
    <n v="1"/>
    <s v="NO TIENE L3OUT"/>
    <n v="144"/>
    <n v="96"/>
  </r>
  <r>
    <n v="107"/>
    <x v="0"/>
    <x v="213"/>
    <s v="eth1/26"/>
    <x v="0"/>
    <x v="0"/>
    <x v="0"/>
    <m/>
    <x v="6"/>
    <b v="0"/>
    <s v="No está en VPC"/>
    <n v="107"/>
    <s v="INTPG_ACC_107_1.26"/>
    <s v="ISEL-1.26"/>
    <n v="1"/>
    <s v="NO TIENE L3OUT"/>
    <n v="118"/>
    <n v="96"/>
  </r>
  <r>
    <n v="109"/>
    <x v="0"/>
    <x v="214"/>
    <s v="eth1/26"/>
    <x v="0"/>
    <x v="0"/>
    <x v="0"/>
    <s v="GESTION WAS "/>
    <x v="6"/>
    <b v="0"/>
    <s v="No está en VPC"/>
    <n v="109"/>
    <s v="INTPG_ACC_109_1.26"/>
    <s v="ISEL-1.26"/>
    <n v="1"/>
    <s v="NO TIENE L3OUT"/>
    <n v="126"/>
    <n v="96"/>
  </r>
  <r>
    <n v="113"/>
    <x v="0"/>
    <x v="215"/>
    <s v="eth1/26"/>
    <x v="0"/>
    <x v="0"/>
    <x v="0"/>
    <s v="RLVYCAN01"/>
    <x v="6"/>
    <b v="0"/>
    <s v="No está en VPC"/>
    <n v="113"/>
    <s v="INTPG_ACC_113_1.26"/>
    <s v="ISEL-1.26"/>
    <n v="1"/>
    <s v="NO TIENE L3OUT"/>
    <n v="52"/>
    <n v="96"/>
  </r>
  <r>
    <n v="114"/>
    <x v="0"/>
    <x v="216"/>
    <s v="eth1/26"/>
    <x v="0"/>
    <x v="0"/>
    <x v="0"/>
    <s v="SUBEX (Fraud Management)"/>
    <x v="6"/>
    <b v="0"/>
    <s v="No está en VPC"/>
    <n v="114"/>
    <s v="INTPG_ACC_114_1.26"/>
    <s v="ISEL-1.26"/>
    <n v="1"/>
    <s v="NO TIENE L3OUT"/>
    <n v="144"/>
    <n v="96"/>
  </r>
  <r>
    <n v="124"/>
    <x v="0"/>
    <x v="217"/>
    <s v="eth1/26"/>
    <x v="1"/>
    <x v="1"/>
    <x v="2"/>
    <s v="Politicas de Navegacion"/>
    <x v="6"/>
    <b v="0"/>
    <s v="No está en VPC"/>
    <n v="124"/>
    <s v="INTPG_VPC_124_1.26-27_125_1.29-30"/>
    <s v="ISEL-1.26"/>
    <n v="5"/>
    <s v="NO TIENE L3OUT"/>
    <n v="80"/>
    <n v="96"/>
  </r>
  <r>
    <n v="118"/>
    <x v="0"/>
    <x v="218"/>
    <s v="eth1/26"/>
    <x v="0"/>
    <x v="0"/>
    <x v="0"/>
    <s v="DATOS NETCRACKER"/>
    <x v="6"/>
    <b v="0"/>
    <s v="No está en VPC"/>
    <n v="118"/>
    <s v="INTPG_ACC_118_1.26"/>
    <s v="ISEL-1.26"/>
    <n v="1"/>
    <s v="NO TIENE L3OUT"/>
    <n v="180"/>
    <n v="96"/>
  </r>
  <r>
    <n v="159"/>
    <x v="0"/>
    <x v="219"/>
    <s v="eth1/26"/>
    <x v="0"/>
    <x v="0"/>
    <x v="0"/>
    <s v="SRM"/>
    <x v="6"/>
    <b v="0"/>
    <s v="No está en VPC"/>
    <n v="159"/>
    <s v="INTPG_ACC_159_1.26"/>
    <s v="ISEL-1.26"/>
    <n v="1"/>
    <s v="NO TIENE L3OUT"/>
    <n v="72"/>
    <n v="96"/>
  </r>
  <r>
    <n v="840"/>
    <x v="2"/>
    <x v="220"/>
    <s v="eth1/26"/>
    <x v="0"/>
    <x v="0"/>
    <x v="0"/>
    <s v="LINK_TO_ITHFHWCBSPSHD31 / Slot7.1_14 / Redundante"/>
    <x v="0"/>
    <b v="0"/>
    <s v="No está en VPC"/>
    <n v="840"/>
    <s v="INTPG_VPC_835_1.26_840_1.26"/>
    <s v="ISEL-1.26"/>
    <n v="2"/>
    <s v="NO TIENE L3OUT"/>
    <n v="8"/>
    <n v="54"/>
  </r>
  <r>
    <n v="856"/>
    <x v="2"/>
    <x v="221"/>
    <s v="eth1/26"/>
    <x v="0"/>
    <x v="0"/>
    <x v="0"/>
    <s v="LINK_TO_ITHFHWCRMPLCN143 / Slot1.1_20 / Principal"/>
    <x v="0"/>
    <b v="0"/>
    <s v="No está en VPC"/>
    <n v="856"/>
    <s v="INTPG_ACC_856_1.26"/>
    <s v="ISEL-1.26"/>
    <n v="6"/>
    <s v="NO TIENE L3OUT"/>
    <n v="286"/>
    <n v="54"/>
  </r>
  <r>
    <n v="110"/>
    <x v="0"/>
    <x v="222"/>
    <s v="eth1/26"/>
    <x v="0"/>
    <x v="0"/>
    <x v="0"/>
    <s v="UXDX-DATOS"/>
    <x v="6"/>
    <b v="0"/>
    <s v="No está en VPC"/>
    <n v="110"/>
    <s v="INTPG_ACC_110_1.26"/>
    <s v="ISEL-1.26"/>
    <n v="1"/>
    <s v="NO TIENE L3OUT"/>
    <n v="102"/>
    <n v="96"/>
  </r>
  <r>
    <n v="163"/>
    <x v="0"/>
    <x v="223"/>
    <s v="eth1/26"/>
    <x v="0"/>
    <x v="0"/>
    <x v="0"/>
    <s v="PMAX"/>
    <x v="6"/>
    <b v="0"/>
    <s v="No está en VPC"/>
    <n v="163"/>
    <s v="INTPG_ACC_163_1.26"/>
    <s v="ISEL-1.26"/>
    <n v="1"/>
    <s v="NO TIENE L3OUT"/>
    <n v="140"/>
    <n v="96"/>
  </r>
  <r>
    <n v="407"/>
    <x v="1"/>
    <x v="224"/>
    <s v="eth1/26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26"/>
    <x v="0"/>
    <x v="1"/>
    <x v="1"/>
    <s v="NFA"/>
    <x v="6"/>
    <b v="0"/>
    <s v="No está en VPC"/>
    <n v="171"/>
    <s v="INTPG_ACC_171_1.26"/>
    <s v="ISEL-1.26"/>
    <n v="1"/>
    <s v="NO TIENE L3OUT"/>
    <n v="114"/>
    <n v="96"/>
  </r>
  <r>
    <n v="421"/>
    <x v="1"/>
    <x v="226"/>
    <s v="eth1/26"/>
    <x v="0"/>
    <x v="0"/>
    <x v="0"/>
    <s v="Prime-UCS-CLU2-B"/>
    <x v="6"/>
    <b v="0"/>
    <s v="No está en VPC"/>
    <n v="421"/>
    <s v="INTPG_ACC_421_1.26"/>
    <s v="ISEL-1.26"/>
    <n v="1"/>
    <s v="NO TIENE L3OUT"/>
    <n v="72"/>
    <n v="96"/>
  </r>
  <r>
    <n v="173"/>
    <x v="0"/>
    <x v="227"/>
    <s v="eth1/26"/>
    <x v="0"/>
    <x v="1"/>
    <x v="1"/>
    <s v="ENIQ"/>
    <x v="6"/>
    <b v="0"/>
    <s v="No está en VPC"/>
    <n v="173"/>
    <s v="INTPG_ACC_173_1.26"/>
    <s v="ISEL-1.26"/>
    <n v="1"/>
    <s v="NO TIENE L3OUT"/>
    <n v="66"/>
    <n v="96"/>
  </r>
  <r>
    <n v="154"/>
    <x v="0"/>
    <x v="228"/>
    <s v="eth1/26"/>
    <x v="0"/>
    <x v="0"/>
    <x v="0"/>
    <m/>
    <x v="6"/>
    <b v="0"/>
    <s v="No está en VPC"/>
    <n v="154"/>
    <s v="INTPG_ACC_154_1.26"/>
    <s v="ISEL-1.26"/>
    <n v="1"/>
    <s v="NO TIENE L3OUT"/>
    <n v="62"/>
    <n v="96"/>
  </r>
  <r>
    <n v="172"/>
    <x v="0"/>
    <x v="229"/>
    <s v="eth1/26"/>
    <x v="0"/>
    <x v="1"/>
    <x v="1"/>
    <s v="NFA"/>
    <x v="6"/>
    <b v="0"/>
    <s v="No está en VPC"/>
    <n v="172"/>
    <s v="INTPG_ACC_172_1.26"/>
    <s v="ISEL-1.26"/>
    <n v="1"/>
    <s v="NO TIENE L3OUT"/>
    <n v="104"/>
    <n v="96"/>
  </r>
  <r>
    <n v="420"/>
    <x v="1"/>
    <x v="230"/>
    <s v="eth1/26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26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26"/>
    <x v="0"/>
    <x v="0"/>
    <x v="0"/>
    <s v="To-uxingemc1 ldom2 uxsmart04"/>
    <x v="6"/>
    <b v="0"/>
    <s v="No está en VPC"/>
    <n v="415"/>
    <s v="INTPG_ACC_415_1.26"/>
    <s v="ISEL-1.26"/>
    <n v="1"/>
    <s v="NO TIENE L3OUT"/>
    <n v="52"/>
    <n v="96"/>
  </r>
  <r>
    <n v="102"/>
    <x v="0"/>
    <x v="233"/>
    <s v="eth1/26"/>
    <x v="0"/>
    <x v="1"/>
    <x v="1"/>
    <s v="SFLDI:RLDICDR01:1"/>
    <x v="6"/>
    <b v="0"/>
    <s v="No está en VPC"/>
    <n v="102"/>
    <s v="INTPG_ACC_102_1.26"/>
    <s v="ISEL-1.26"/>
    <n v="1"/>
    <s v="NO TIENE L3OUT"/>
    <n v="228"/>
    <n v="96"/>
  </r>
  <r>
    <n v="863"/>
    <x v="2"/>
    <x v="234"/>
    <s v="eth1/26"/>
    <x v="0"/>
    <x v="0"/>
    <x v="0"/>
    <s v="To_VPC_2DCBSD_HD45_2"/>
    <x v="0"/>
    <b v="0"/>
    <s v="No está en VPC"/>
    <n v="863"/>
    <s v="INTPG_VPC_858_1.26_863_1.26"/>
    <s v="ISEL-1.26"/>
    <n v="1"/>
    <s v="NO TIENE L3OUT"/>
    <n v="8"/>
    <n v="54"/>
  </r>
  <r>
    <n v="876"/>
    <x v="2"/>
    <x v="235"/>
    <s v="eth1/26"/>
    <x v="0"/>
    <x v="0"/>
    <x v="0"/>
    <s v="A_ITHFHWSEQLCAS25_Principal"/>
    <x v="4"/>
    <b v="0"/>
    <s v="No está en VPC"/>
    <n v="876"/>
    <s v="INTPG_ACC_876_1.26"/>
    <s v="ISEL-1.26"/>
    <n v="1"/>
    <s v="NO TIENE L3OUT"/>
    <n v="92"/>
    <n v="54"/>
  </r>
  <r>
    <n v="877"/>
    <x v="2"/>
    <x v="236"/>
    <s v="eth1/26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26"/>
    <x v="0"/>
    <x v="0"/>
    <x v="0"/>
    <s v="IXTRTC5"/>
    <x v="6"/>
    <b v="0"/>
    <s v="No está en VPC"/>
    <n v="122"/>
    <s v="INTPG_ACC_122_1.26"/>
    <s v="ISEL-1.26"/>
    <n v="1"/>
    <s v="NO TIENE L3OUT"/>
    <n v="148"/>
    <n v="96"/>
  </r>
  <r>
    <n v="157"/>
    <x v="0"/>
    <x v="238"/>
    <s v="eth1/26"/>
    <x v="1"/>
    <x v="1"/>
    <x v="2"/>
    <s v="RED CRICKET"/>
    <x v="6"/>
    <b v="0"/>
    <s v="No está en VPC"/>
    <n v="157"/>
    <s v="INTPG_ACC_157_1.26"/>
    <s v="ISEL-1.26"/>
    <n v="1"/>
    <s v="NO TIENE L3OUT"/>
    <n v="202"/>
    <n v="96"/>
  </r>
  <r>
    <n v="408"/>
    <x v="1"/>
    <x v="239"/>
    <s v="eth1/26"/>
    <x v="0"/>
    <x v="0"/>
    <x v="0"/>
    <s v="NEC Femtocel NMS"/>
    <x v="6"/>
    <b v="0"/>
    <s v="No está en VPC"/>
    <n v="408"/>
    <s v="INTPG_ACC_408_1.26"/>
    <s v="ISEL-1.26"/>
    <n v="1"/>
    <s v="NO TIENE L3OUT"/>
    <n v="152"/>
    <n v="96"/>
  </r>
  <r>
    <n v="405"/>
    <x v="1"/>
    <x v="240"/>
    <s v="eth1/26"/>
    <x v="0"/>
    <x v="0"/>
    <x v="0"/>
    <s v="XL6 RLR6ARI07 ILO"/>
    <x v="6"/>
    <b v="0"/>
    <s v="No está en VPC"/>
    <n v="405"/>
    <s v="INTPG_ACC_405_1.26"/>
    <s v="ISEL-1.26"/>
    <n v="1"/>
    <s v="NO TIENE L3OUT"/>
    <n v="138"/>
    <n v="96"/>
  </r>
  <r>
    <n v="169"/>
    <x v="0"/>
    <x v="241"/>
    <s v="eth1/26"/>
    <x v="1"/>
    <x v="1"/>
    <x v="2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26"/>
    <x v="0"/>
    <x v="0"/>
    <x v="0"/>
    <s v="UXLDAP"/>
    <x v="6"/>
    <b v="0"/>
    <s v="No está en VPC"/>
    <n v="165"/>
    <s v="INTPG_ACC_165_1.26"/>
    <s v="ISEL-1.26"/>
    <n v="1"/>
    <s v="NO TIENE L3OUT"/>
    <n v="86"/>
    <n v="96"/>
  </r>
  <r>
    <n v="417"/>
    <x v="1"/>
    <x v="243"/>
    <s v="eth1/26"/>
    <x v="0"/>
    <x v="0"/>
    <x v="0"/>
    <s v="TO-ITHFHPNBURBKP07-PRINCIPAL"/>
    <x v="6"/>
    <b v="0"/>
    <s v="No está en VPC"/>
    <n v="417"/>
    <s v="INTPG_ACC_417_1.26"/>
    <s v="ISEL-1.26"/>
    <n v="1"/>
    <s v="NO TIENE L3OUT"/>
    <n v="56"/>
    <n v="96"/>
  </r>
  <r>
    <n v="153"/>
    <x v="0"/>
    <x v="244"/>
    <s v="eth1/26"/>
    <x v="0"/>
    <x v="1"/>
    <x v="1"/>
    <s v="BLOQUEO EMEI"/>
    <x v="6"/>
    <b v="0"/>
    <s v="No está en VPC"/>
    <n v="153"/>
    <s v="INTPG_ACC_153_1.26"/>
    <s v="ISEL-1.26"/>
    <n v="1"/>
    <s v="NO TIENE L3OUT"/>
    <n v="42"/>
    <n v="96"/>
  </r>
  <r>
    <n v="119"/>
    <x v="0"/>
    <x v="245"/>
    <s v="eth1/26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26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26"/>
    <x v="0"/>
    <x v="1"/>
    <x v="1"/>
    <s v="CAMPANAS 01-02:uxobie09:ent0"/>
    <x v="6"/>
    <b v="0"/>
    <s v="No está en VPC"/>
    <n v="103"/>
    <s v="INTPG_ACC_103_1.26"/>
    <s v="ISEL-1.26"/>
    <n v="1"/>
    <s v="NO TIENE L3OUT"/>
    <n v="70"/>
    <n v="96"/>
  </r>
  <r>
    <n v="438"/>
    <x v="1"/>
    <x v="248"/>
    <s v="eth1/26"/>
    <x v="0"/>
    <x v="0"/>
    <x v="0"/>
    <s v="PROD4_SP1-prueba"/>
    <x v="6"/>
    <b v="0"/>
    <s v="No está en VPC"/>
    <n v="438"/>
    <s v="INTPG_ACC_438_1.26"/>
    <s v="ISEL-1.26"/>
    <n v="1"/>
    <s v="NO TIENE L3OUT"/>
    <n v="170"/>
    <n v="96"/>
  </r>
  <r>
    <n v="406"/>
    <x v="1"/>
    <x v="249"/>
    <s v="eth1/26"/>
    <x v="0"/>
    <x v="0"/>
    <x v="0"/>
    <s v="ITHRTC61VC2"/>
    <x v="6"/>
    <b v="0"/>
    <s v="No está en VPC"/>
    <n v="406"/>
    <s v="INTPG_VPC_404_1.26_406_1.26"/>
    <s v="ISEL-1.26"/>
    <n v="1"/>
    <s v="NO TIENE L3OUT"/>
    <n v="82"/>
    <n v="96"/>
  </r>
  <r>
    <n v="414"/>
    <x v="1"/>
    <x v="250"/>
    <s v="eth1/26"/>
    <x v="0"/>
    <x v="0"/>
    <x v="0"/>
    <s v="UTP_ZFS_CAMPANAS"/>
    <x v="6"/>
    <b v="0"/>
    <s v="No está en VPC"/>
    <n v="414"/>
    <s v="INTPG_ACC_414_1.26"/>
    <s v="ISEL-1.26"/>
    <n v="1"/>
    <s v="NO TIENE L3OUT"/>
    <n v="144"/>
    <n v="96"/>
  </r>
  <r>
    <n v="416"/>
    <x v="1"/>
    <x v="251"/>
    <s v="eth1/26"/>
    <x v="0"/>
    <x v="0"/>
    <x v="0"/>
    <s v="DESC"/>
    <x v="6"/>
    <b v="0"/>
    <s v="No está en VPC"/>
    <n v="416"/>
    <s v="INTPG_PC_416_1.26-27"/>
    <s v="ISEL-1.26"/>
    <n v="1"/>
    <s v="NO TIENE L3OUT"/>
    <n v="110"/>
    <n v="96"/>
  </r>
  <r>
    <n v="418"/>
    <x v="1"/>
    <x v="252"/>
    <s v="eth1/26"/>
    <x v="0"/>
    <x v="0"/>
    <x v="0"/>
    <s v="DESC"/>
    <x v="6"/>
    <b v="0"/>
    <s v="No está en VPC"/>
    <n v="418"/>
    <s v="INTPG_PC_418_1.26-27"/>
    <s v="ISEL-1.26"/>
    <n v="1"/>
    <s v="NO TIENE L3OUT"/>
    <n v="152"/>
    <n v="96"/>
  </r>
  <r>
    <n v="413"/>
    <x v="1"/>
    <x v="253"/>
    <s v="eth1/26"/>
    <x v="0"/>
    <x v="0"/>
    <x v="0"/>
    <s v="lagidmhlapvp10_produccion1"/>
    <x v="6"/>
    <b v="0"/>
    <s v="No está en VPC"/>
    <n v="413"/>
    <s v="INTPG_VPC_411_1.31-34_413_1.24-27"/>
    <s v="ISEL-1.26"/>
    <n v="2"/>
    <s v="NO TIENE L3OUT"/>
    <n v="126"/>
    <n v="96"/>
  </r>
  <r>
    <n v="403"/>
    <x v="1"/>
    <x v="254"/>
    <s v="eth1/26"/>
    <x v="0"/>
    <x v="0"/>
    <x v="0"/>
    <s v="XL6 RLR6ARI07"/>
    <x v="6"/>
    <b v="0"/>
    <s v="No está en VPC"/>
    <n v="403"/>
    <s v="INTPG_ACC_403_1.26"/>
    <s v="ISEL-1.26"/>
    <n v="1"/>
    <s v="NO TIENE L3OUT"/>
    <n v="150"/>
    <n v="96"/>
  </r>
  <r>
    <n v="125"/>
    <x v="0"/>
    <x v="255"/>
    <s v="eth1/26"/>
    <x v="0"/>
    <x v="0"/>
    <x v="0"/>
    <s v="UXSVA (M9000)"/>
    <x v="6"/>
    <b v="0"/>
    <s v="No está en VPC"/>
    <n v="125"/>
    <s v="INTPG_ACC_125_1.26"/>
    <s v="ISEL-1.26"/>
    <n v="1"/>
    <s v="NO TIENE L3OUT"/>
    <n v="72"/>
    <n v="96"/>
  </r>
  <r>
    <n v="166"/>
    <x v="0"/>
    <x v="256"/>
    <s v="eth1/26"/>
    <x v="0"/>
    <x v="0"/>
    <x v="0"/>
    <s v="NFA"/>
    <x v="6"/>
    <b v="0"/>
    <s v="No está en VPC"/>
    <n v="166"/>
    <s v="INTPG_ACC_166_1.26"/>
    <s v="ISEL-1.26"/>
    <n v="1"/>
    <s v="NO TIENE L3OUT"/>
    <n v="84"/>
    <n v="96"/>
  </r>
  <r>
    <n v="111"/>
    <x v="0"/>
    <x v="257"/>
    <s v="eth1/26"/>
    <x v="0"/>
    <x v="0"/>
    <x v="0"/>
    <s v="UXDX-DATOS"/>
    <x v="6"/>
    <b v="0"/>
    <s v="No está en VPC"/>
    <n v="111"/>
    <s v="INTPG_ACC_111_1.26"/>
    <s v="ISEL-1.26"/>
    <n v="1"/>
    <s v="NO TIENE L3OUT"/>
    <n v="58"/>
    <n v="96"/>
  </r>
  <r>
    <n v="115"/>
    <x v="0"/>
    <x v="258"/>
    <s v="eth1/26"/>
    <x v="0"/>
    <x v="0"/>
    <x v="0"/>
    <s v="RLVYCAN04_1"/>
    <x v="6"/>
    <b v="0"/>
    <s v="No está en VPC"/>
    <n v="115"/>
    <s v="INTPG_ACC_115_1.26"/>
    <s v="ISEL-1.26"/>
    <n v="1"/>
    <s v="NO TIENE L3OUT"/>
    <n v="42"/>
    <n v="96"/>
  </r>
  <r>
    <n v="106"/>
    <x v="0"/>
    <x v="259"/>
    <s v="eth1/26"/>
    <x v="0"/>
    <x v="1"/>
    <x v="1"/>
    <s v="Interconexion Superdome 1"/>
    <x v="6"/>
    <b v="0"/>
    <s v="No está en VPC"/>
    <n v="106"/>
    <s v="INTPG_ACC_106_1.26"/>
    <s v="ISEL-1.26"/>
    <n v="1"/>
    <s v="NO TIENE L3OUT"/>
    <n v="122"/>
    <n v="96"/>
  </r>
  <r>
    <n v="126"/>
    <x v="0"/>
    <x v="260"/>
    <s v="eth1/26"/>
    <x v="0"/>
    <x v="0"/>
    <x v="0"/>
    <s v="ENIQ"/>
    <x v="6"/>
    <b v="0"/>
    <s v="No está en VPC"/>
    <n v="126"/>
    <s v="INTPG_PC_126_1.25-29_36"/>
    <s v="ISEL-1.26"/>
    <n v="3"/>
    <s v="NO TIENE L3OUT"/>
    <n v="54"/>
    <n v="96"/>
  </r>
  <r>
    <n v="425"/>
    <x v="1"/>
    <x v="261"/>
    <s v="eth1/26"/>
    <x v="0"/>
    <x v="0"/>
    <x v="0"/>
    <s v="MMSC_GESTION_2RIO"/>
    <x v="6"/>
    <b v="0"/>
    <s v="No está en VPC"/>
    <n v="425"/>
    <s v="INTPG_ACC_425_1.26"/>
    <s v="ISEL-1.26"/>
    <n v="1"/>
    <s v="NO TIENE L3OUT"/>
    <n v="86"/>
    <n v="96"/>
  </r>
  <r>
    <n v="151"/>
    <x v="0"/>
    <x v="262"/>
    <s v="eth1/26"/>
    <x v="0"/>
    <x v="0"/>
    <x v="0"/>
    <s v="ETLI-SACI 8"/>
    <x v="6"/>
    <b v="0"/>
    <s v="No está en VPC"/>
    <n v="151"/>
    <s v="INTPG_ACC_151_1.26"/>
    <s v="ISEL-1.26"/>
    <n v="1"/>
    <s v="NO TIENE L3OUT"/>
    <n v="86"/>
    <n v="96"/>
  </r>
  <r>
    <n v="430"/>
    <x v="1"/>
    <x v="263"/>
    <s v="eth1/26"/>
    <x v="0"/>
    <x v="0"/>
    <x v="0"/>
    <s v="SpareWheel_ixtspw2"/>
    <x v="6"/>
    <b v="0"/>
    <s v="No está en VPC"/>
    <n v="430"/>
    <s v="INTPG_VPC_428_1.26_430_1.26"/>
    <s v="ISEL-1.26"/>
    <n v="24"/>
    <s v="NO TIENE L3OUT"/>
    <n v="86"/>
    <n v="96"/>
  </r>
  <r>
    <n v="419"/>
    <x v="1"/>
    <x v="264"/>
    <s v="eth1/26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26"/>
    <x v="0"/>
    <x v="0"/>
    <x v="0"/>
    <s v="Consolidaci\u00f3n Aplicaciones Prepago"/>
    <x v="6"/>
    <b v="0"/>
    <s v="No está en VPC"/>
    <n v="155"/>
    <s v="INTPG_ACC_155_1.26"/>
    <s v="ISEL-1.26"/>
    <n v="1"/>
    <s v="NO TIENE L3OUT"/>
    <n v="198"/>
    <n v="96"/>
  </r>
  <r>
    <n v="409"/>
    <x v="1"/>
    <x v="266"/>
    <s v="eth1/26"/>
    <x v="0"/>
    <x v="0"/>
    <x v="0"/>
    <s v="ITHSAN2B"/>
    <x v="6"/>
    <b v="0"/>
    <s v="No está en VPC"/>
    <n v="409"/>
    <s v="INTPG_ACC_409_1.26"/>
    <s v="ISEL-1.26"/>
    <n v="1"/>
    <s v="NO TIENE L3OUT"/>
    <n v="128"/>
    <n v="96"/>
  </r>
  <r>
    <n v="422"/>
    <x v="1"/>
    <x v="267"/>
    <s v="eth1/26"/>
    <x v="0"/>
    <x v="0"/>
    <x v="0"/>
    <s v="IXTSD970A"/>
    <x v="6"/>
    <b v="0"/>
    <s v="No está en VPC"/>
    <n v="422"/>
    <s v="INTPG_ACC_422_1.26"/>
    <s v="ISEL-1.26"/>
    <n v="1"/>
    <s v="NO TIENE L3OUT"/>
    <n v="182"/>
    <n v="96"/>
  </r>
  <r>
    <n v="436"/>
    <x v="1"/>
    <x v="268"/>
    <s v="eth1/26"/>
    <x v="0"/>
    <x v="0"/>
    <x v="0"/>
    <s v="HP_Proliant_DL360_Gen9"/>
    <x v="6"/>
    <b v="0"/>
    <s v="No está en VPC"/>
    <n v="436"/>
    <s v="INTPG_ACC_436_1.26"/>
    <s v="ISEL-1.26"/>
    <n v="1"/>
    <s v="NO TIENE L3OUT"/>
    <n v="172"/>
    <n v="96"/>
  </r>
  <r>
    <n v="410"/>
    <x v="1"/>
    <x v="269"/>
    <s v="eth1/26"/>
    <x v="0"/>
    <x v="0"/>
    <x v="0"/>
    <s v="ITHMSVB2_ITH2"/>
    <x v="6"/>
    <b v="0"/>
    <s v="No está en VPC"/>
    <n v="410"/>
    <s v="INTPG_ACC_410_1.26"/>
    <s v="ISEL-1.26"/>
    <n v="1"/>
    <s v="NO TIENE L3OUT"/>
    <n v="178"/>
    <n v="96"/>
  </r>
  <r>
    <n v="161"/>
    <x v="0"/>
    <x v="270"/>
    <s v="eth1/26"/>
    <x v="0"/>
    <x v="0"/>
    <x v="0"/>
    <s v="NETSCOUT"/>
    <x v="6"/>
    <b v="0"/>
    <s v="No está en VPC"/>
    <n v="161"/>
    <s v="INTPG_ACC_161_1.26"/>
    <s v="ISEL-1.26"/>
    <n v="1"/>
    <s v="NO TIENE L3OUT"/>
    <n v="102"/>
    <n v="96"/>
  </r>
  <r>
    <n v="411"/>
    <x v="1"/>
    <x v="271"/>
    <s v="eth1/26"/>
    <x v="0"/>
    <x v="0"/>
    <x v="0"/>
    <s v="To_lagidmhlapvp08_produccion1"/>
    <x v="6"/>
    <b v="0"/>
    <s v="No está en VPC"/>
    <n v="411"/>
    <s v="INTPG_VPC_411_1.26-29_413_1.19-20_22_86"/>
    <s v="ISEL-1.26"/>
    <n v="2"/>
    <s v="NO TIENE L3OUT"/>
    <n v="96"/>
    <n v="96"/>
  </r>
  <r>
    <n v="116"/>
    <x v="0"/>
    <x v="272"/>
    <s v="eth1/26"/>
    <x v="0"/>
    <x v="0"/>
    <x v="0"/>
    <s v="DATOS NETCRACKER"/>
    <x v="6"/>
    <b v="0"/>
    <s v="No está en VPC"/>
    <n v="116"/>
    <s v="INTPG_ACC_116_1.26"/>
    <s v="ISEL-1.26"/>
    <n v="1"/>
    <s v="NO TIENE L3OUT"/>
    <n v="148"/>
    <n v="96"/>
  </r>
  <r>
    <n v="412"/>
    <x v="1"/>
    <x v="273"/>
    <s v="eth1/26"/>
    <x v="0"/>
    <x v="0"/>
    <x v="0"/>
    <s v="UXCEM01_NXGE2"/>
    <x v="6"/>
    <b v="0"/>
    <s v="No está en VPC"/>
    <n v="412"/>
    <s v="INTPG_ACC_412_1.26"/>
    <s v="ISEL-1.26"/>
    <n v="1"/>
    <s v="NO TIENE L3OUT"/>
    <n v="126"/>
    <n v="96"/>
  </r>
  <r>
    <n v="120"/>
    <x v="0"/>
    <x v="274"/>
    <s v="eth1/26"/>
    <x v="0"/>
    <x v="0"/>
    <x v="0"/>
    <s v="IXTRTC5"/>
    <x v="6"/>
    <b v="0"/>
    <s v="No está en VPC"/>
    <n v="120"/>
    <s v="INTPG_ACC_120_1.26"/>
    <s v="ISEL-1.26"/>
    <n v="1"/>
    <s v="NO TIENE L3OUT"/>
    <n v="158"/>
    <n v="96"/>
  </r>
  <r>
    <n v="404"/>
    <x v="1"/>
    <x v="275"/>
    <s v="eth1/26"/>
    <x v="0"/>
    <x v="0"/>
    <x v="0"/>
    <s v="ITHRTC61VC2"/>
    <x v="6"/>
    <b v="0"/>
    <s v="No está en VPC"/>
    <n v="404"/>
    <s v="INTPG_VPC_404_1.26_406_1.26"/>
    <s v="ISEL-1.26"/>
    <n v="1"/>
    <s v="NO TIENE L3OUT"/>
    <n v="92"/>
    <n v="96"/>
  </r>
  <r>
    <n v="167"/>
    <x v="0"/>
    <x v="276"/>
    <s v="eth1/26"/>
    <x v="0"/>
    <x v="1"/>
    <x v="1"/>
    <s v="MMSC_WAPGW"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26"/>
    <x v="0"/>
    <x v="0"/>
    <x v="0"/>
    <s v="SpareWheel_ixtspw2"/>
    <x v="6"/>
    <b v="0"/>
    <s v="No está en VPC"/>
    <n v="428"/>
    <s v="INTPG_VPC_428_1.26_430_1.26"/>
    <s v="ISEL-1.26"/>
    <n v="24"/>
    <s v="NO TIENE L3OUT"/>
    <n v="102"/>
    <n v="96"/>
  </r>
  <r>
    <n v="903"/>
    <x v="2"/>
    <x v="278"/>
    <s v="eth1/2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2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27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27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27"/>
    <x v="0"/>
    <x v="0"/>
    <x v="0"/>
    <s v="To CIMC APIC 6"/>
    <x v="1"/>
    <b v="0"/>
    <s v="No está en VPC"/>
    <n v="152"/>
    <s v="INTPG_ACC_152_1.27"/>
    <s v="ISEL-1.27"/>
    <n v="1"/>
    <s v="NO TIENE L3OUT"/>
    <n v="38"/>
    <n v="54"/>
  </r>
  <r>
    <n v="101"/>
    <x v="0"/>
    <x v="3"/>
    <s v="eth1/27"/>
    <x v="0"/>
    <x v="0"/>
    <x v="0"/>
    <s v="TO-ITHFDENBURMS03"/>
    <x v="0"/>
    <b v="0"/>
    <s v="No está en VPC"/>
    <n v="101"/>
    <s v="INTPG_VPC_101_1.27_150_1.27"/>
    <s v="ISEL-1.27"/>
    <n v="1"/>
    <s v="NO TIENE L3OUT"/>
    <n v="114"/>
    <n v="54"/>
  </r>
  <r>
    <n v="160"/>
    <x v="0"/>
    <x v="4"/>
    <s v="eth1/27"/>
    <x v="0"/>
    <x v="0"/>
    <x v="0"/>
    <s v="ArrobaDOC Y CF"/>
    <x v="1"/>
    <b v="0"/>
    <s v="No está en VPC"/>
    <n v="160"/>
    <s v="INTPG_ACC_160_1.27"/>
    <s v="ISEL-1.27"/>
    <n v="1"/>
    <s v="NO TIENE L3OUT"/>
    <n v="68"/>
    <n v="54"/>
  </r>
  <r>
    <n v="121"/>
    <x v="0"/>
    <x v="5"/>
    <s v="eth1/27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27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27"/>
    <x v="0"/>
    <x v="0"/>
    <x v="0"/>
    <s v="TO-UXSISAC9-LAGUXSISAC9"/>
    <x v="0"/>
    <b v="0"/>
    <s v="No está en VPC"/>
    <n v="401"/>
    <s v="INTPG_VPC_401_1.27-28_402_1.27-28"/>
    <s v="ISEL-1.27"/>
    <n v="1"/>
    <s v="NO TIENE L3OUT"/>
    <n v="40"/>
    <n v="54"/>
  </r>
  <r>
    <n v="402"/>
    <x v="1"/>
    <x v="8"/>
    <s v="eth1/27"/>
    <x v="0"/>
    <x v="0"/>
    <x v="0"/>
    <s v="TO-UXSISAC9-LAGUXSISAC9"/>
    <x v="0"/>
    <b v="0"/>
    <s v="No está en VPC"/>
    <n v="402"/>
    <s v="INTPG_VPC_401_1.27-28_402_1.27-28"/>
    <s v="ISEL-1.27"/>
    <n v="1"/>
    <s v="NO TIENE L3OUT"/>
    <n v="36"/>
    <n v="54"/>
  </r>
  <r>
    <n v="447"/>
    <x v="1"/>
    <x v="9"/>
    <s v="eth1/27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27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27"/>
    <x v="0"/>
    <x v="0"/>
    <x v="0"/>
    <s v="TO-ITHEMCDD99000569-PRINCIPAL"/>
    <x v="0"/>
    <b v="0"/>
    <s v="No está en VPC"/>
    <n v="130"/>
    <s v="INTPG_ACC_130_1.27"/>
    <s v="ISEL-1.27"/>
    <n v="1"/>
    <s v="NO TIENE L3OUT"/>
    <n v="128"/>
    <n v="54"/>
  </r>
  <r>
    <n v="150"/>
    <x v="0"/>
    <x v="12"/>
    <s v="eth1/27"/>
    <x v="0"/>
    <x v="0"/>
    <x v="0"/>
    <s v="TO-ITHFDENBURMS03"/>
    <x v="0"/>
    <b v="0"/>
    <s v="No está en VPC"/>
    <n v="150"/>
    <s v="INTPG_VPC_101_1.27_150_1.27"/>
    <s v="ISEL-1.27"/>
    <n v="1"/>
    <s v="NO TIENE L3OUT"/>
    <n v="118"/>
    <n v="54"/>
  </r>
  <r>
    <n v="131"/>
    <x v="0"/>
    <x v="13"/>
    <s v="eth1/27"/>
    <x v="0"/>
    <x v="0"/>
    <x v="0"/>
    <s v="TO-ITHFDEMCFRPMS02"/>
    <x v="0"/>
    <b v="0"/>
    <s v="No está en VPC"/>
    <n v="131"/>
    <s v="INTPG_VPC_130_1.25-26_131_1.26-27"/>
    <s v="ISEL-1.27"/>
    <n v="1"/>
    <s v="NO TIENE L3OUT"/>
    <n v="126"/>
    <n v="54"/>
  </r>
  <r>
    <n v="303"/>
    <x v="0"/>
    <x v="14"/>
    <s v="eth1/27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27"/>
    <x v="0"/>
    <x v="1"/>
    <x v="3"/>
    <m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27"/>
    <x v="1"/>
    <x v="1"/>
    <x v="3"/>
    <m/>
    <x v="2"/>
    <b v="0"/>
    <s v="No está en VPC"/>
    <n v="759"/>
    <s v="NO EXISTE PG"/>
    <s v="NO EXISTE ISEL"/>
    <n v="0"/>
    <s v="NO TIENE L3OUT"/>
    <n v="0"/>
    <n v="42"/>
  </r>
  <r>
    <n v="302"/>
    <x v="0"/>
    <x v="17"/>
    <s v="eth1/27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27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27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27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27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27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27"/>
    <x v="0"/>
    <x v="1"/>
    <x v="1"/>
    <m/>
    <x v="0"/>
    <b v="0"/>
    <s v="No está en VPC"/>
    <n v="724"/>
    <s v="INTPG-VPC_SLR16_724_1.27_725_1.28"/>
    <s v="ISEL-1.27"/>
    <n v="1"/>
    <s v="NO TIENE L3OUT"/>
    <n v="0"/>
    <n v="54"/>
  </r>
  <r>
    <n v="602"/>
    <x v="1"/>
    <x v="24"/>
    <s v="eth1/27"/>
    <x v="0"/>
    <x v="1"/>
    <x v="3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27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27"/>
    <x v="0"/>
    <x v="0"/>
    <x v="0"/>
    <s v="ZTE_EDR"/>
    <x v="0"/>
    <b v="0"/>
    <s v="No está en VPC"/>
    <n v="431"/>
    <s v="INTPG_VPC_431_1.26-27_448_1.26-27"/>
    <s v="ISEL-1.27"/>
    <n v="2"/>
    <s v="NO TIENE L3OUT"/>
    <n v="46"/>
    <n v="54"/>
  </r>
  <r>
    <n v="433"/>
    <x v="1"/>
    <x v="27"/>
    <s v="eth1/27"/>
    <x v="0"/>
    <x v="0"/>
    <x v="0"/>
    <s v="YELLOBRICK"/>
    <x v="1"/>
    <b v="0"/>
    <s v="No está en VPC"/>
    <n v="433"/>
    <s v="INTPG_ACC_433_1.27"/>
    <s v="ISEL-1.27"/>
    <n v="2"/>
    <s v="NO TIENE L3OUT"/>
    <n v="42"/>
    <n v="54"/>
  </r>
  <r>
    <n v="429"/>
    <x v="1"/>
    <x v="28"/>
    <s v="eth1/27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27"/>
    <x v="0"/>
    <x v="0"/>
    <x v="0"/>
    <s v="TO-ithfhpficxrap01-Principal"/>
    <x v="1"/>
    <b v="0"/>
    <s v="No está en VPC"/>
    <n v="432"/>
    <s v="INTPG_ACC_432_1.27"/>
    <s v="ISEL-1.27"/>
    <n v="1"/>
    <s v="NO TIENE L3OUT"/>
    <n v="54"/>
    <n v="54"/>
  </r>
  <r>
    <n v="442"/>
    <x v="1"/>
    <x v="30"/>
    <s v="eth1/27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27"/>
    <x v="0"/>
    <x v="0"/>
    <x v="0"/>
    <s v="TO-ithfhpficxrap01"/>
    <x v="1"/>
    <b v="0"/>
    <s v="No está en VPC"/>
    <n v="434"/>
    <s v="INTPG_VPC_432_1.28_434_1.27"/>
    <s v="ISEL-1.27"/>
    <n v="1"/>
    <s v="NO TIENE L3OUT"/>
    <n v="34"/>
    <n v="54"/>
  </r>
  <r>
    <n v="707"/>
    <x v="2"/>
    <x v="32"/>
    <s v="eth1/27"/>
    <x v="0"/>
    <x v="1"/>
    <x v="3"/>
    <s v="CEM_HADOOP"/>
    <x v="0"/>
    <b v="0"/>
    <s v="No está en VPC"/>
    <n v="707"/>
    <s v="INTPG_ACC_707_1.27"/>
    <s v="ISEL-1.27"/>
    <n v="0"/>
    <s v="NO TIENE L3OUT"/>
    <n v="54"/>
    <n v="54"/>
  </r>
  <r>
    <n v="712"/>
    <x v="2"/>
    <x v="33"/>
    <s v="eth1/27"/>
    <x v="0"/>
    <x v="1"/>
    <x v="5"/>
    <s v="CEM:ITHCEMB2ADT14:LOM P1"/>
    <x v="0"/>
    <b v="0"/>
    <s v="No está en VPC"/>
    <n v="712"/>
    <s v="INTPG_VPC_712_1.27_713_1.28"/>
    <s v="ISEL-1.27"/>
    <n v="1"/>
    <s v="NO TIENE L3OUT"/>
    <n v="32"/>
    <n v="54"/>
  </r>
  <r>
    <n v="719"/>
    <x v="2"/>
    <x v="34"/>
    <s v="eth1/27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27"/>
    <x v="0"/>
    <x v="0"/>
    <x v="0"/>
    <m/>
    <x v="0"/>
    <b v="0"/>
    <s v="No está en VPC"/>
    <n v="715"/>
    <s v="INTPG-VPC_KFK03_715_1.27_716_1.28"/>
    <s v="ISEL-1.27"/>
    <n v="1"/>
    <s v="NO TIENE L3OUT"/>
    <n v="0"/>
    <n v="54"/>
  </r>
  <r>
    <n v="427"/>
    <x v="1"/>
    <x v="36"/>
    <s v="eth1/27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27"/>
    <x v="0"/>
    <x v="1"/>
    <x v="5"/>
    <s v="CEM:ITHCEMC2ADT14:LOM P1"/>
    <x v="0"/>
    <b v="0"/>
    <s v="No está en VPC"/>
    <n v="711"/>
    <s v="INTPG_VPC_710_1.28_711_1.27"/>
    <s v="ISEL-1.27"/>
    <n v="1"/>
    <s v="NO TIENE L3OUT"/>
    <n v="16"/>
    <n v="54"/>
  </r>
  <r>
    <n v="716"/>
    <x v="2"/>
    <x v="38"/>
    <s v="eth1/27"/>
    <x v="0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27"/>
    <x v="0"/>
    <x v="0"/>
    <x v="0"/>
    <m/>
    <x v="0"/>
    <b v="0"/>
    <s v="No está en VPC"/>
    <n v="702"/>
    <s v="INTPG_VPC_702_1.27_701_1.28"/>
    <s v="ISEL-1.27"/>
    <n v="1"/>
    <s v="NO TIENE L3OUT"/>
    <n v="0"/>
    <n v="54"/>
  </r>
  <r>
    <n v="435"/>
    <x v="1"/>
    <x v="40"/>
    <s v="eth1/27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27"/>
    <x v="0"/>
    <x v="0"/>
    <x v="0"/>
    <m/>
    <x v="0"/>
    <b v="0"/>
    <s v="No está en VPC"/>
    <n v="446"/>
    <s v="INTPG_ACC_446_1.27"/>
    <s v="ISEL-1.27"/>
    <n v="9"/>
    <s v="NO TIENE L3OUT"/>
    <n v="198"/>
    <n v="54"/>
  </r>
  <r>
    <n v="444"/>
    <x v="1"/>
    <x v="42"/>
    <s v="eth1/27"/>
    <x v="0"/>
    <x v="0"/>
    <x v="0"/>
    <s v="TO-ITHFDLMCLWLCN04"/>
    <x v="0"/>
    <b v="0"/>
    <s v="No está en VPC"/>
    <n v="444"/>
    <s v="INTPG_VPC_446_1.26_444_1.27"/>
    <s v="ISEL-1.27"/>
    <n v="3"/>
    <s v="NO TIENE L3OUT"/>
    <n v="234"/>
    <n v="54"/>
  </r>
  <r>
    <n v="701"/>
    <x v="2"/>
    <x v="43"/>
    <s v="eth1/27"/>
    <x v="0"/>
    <x v="0"/>
    <x v="0"/>
    <m/>
    <x v="0"/>
    <b v="0"/>
    <s v="No está en VPC"/>
    <n v="701"/>
    <s v="INTPG_VPC_701_1.27_702_1.28"/>
    <s v="ISEL-1.27"/>
    <n v="1"/>
    <s v="NO TIENE L3OUT"/>
    <n v="0"/>
    <n v="54"/>
  </r>
  <r>
    <n v="440"/>
    <x v="1"/>
    <x v="44"/>
    <s v="eth1/27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27"/>
    <x v="0"/>
    <x v="0"/>
    <x v="0"/>
    <s v="ZTE_EDR"/>
    <x v="0"/>
    <b v="0"/>
    <s v="No está en VPC"/>
    <n v="448"/>
    <s v="INTPG_VPC_431_1.26-27_448_1.26-27"/>
    <s v="ISEL-1.27"/>
    <n v="2"/>
    <s v="NO TIENE L3OUT"/>
    <n v="46"/>
    <n v="54"/>
  </r>
  <r>
    <n v="704"/>
    <x v="2"/>
    <x v="46"/>
    <s v="eth1/27"/>
    <x v="0"/>
    <x v="0"/>
    <x v="0"/>
    <m/>
    <x v="0"/>
    <b v="0"/>
    <s v="No está en VPC"/>
    <n v="704"/>
    <s v="INTPG_VPC_704_1.27_703_1.28"/>
    <s v="ISEL-1.27"/>
    <n v="1"/>
    <s v="NO TIENE L3OUT"/>
    <n v="0"/>
    <n v="54"/>
  </r>
  <r>
    <n v="729"/>
    <x v="2"/>
    <x v="47"/>
    <s v="eth1/27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27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27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603"/>
    <x v="1"/>
    <x v="50"/>
    <s v="eth1/27"/>
    <x v="0"/>
    <x v="1"/>
    <x v="3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27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27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27"/>
    <x v="0"/>
    <x v="0"/>
    <x v="0"/>
    <s v="Server_Pre-R02-RH2288-02"/>
    <x v="0"/>
    <b v="0"/>
    <s v="No está en VPC"/>
    <n v="730"/>
    <s v="INTPG_ACC_730_1.27"/>
    <s v="ISEL-1.27"/>
    <n v="1"/>
    <s v="NO TIENE L3OUT"/>
    <n v="36"/>
    <n v="54"/>
  </r>
  <r>
    <n v="722"/>
    <x v="2"/>
    <x v="54"/>
    <s v="eth1/27"/>
    <x v="0"/>
    <x v="1"/>
    <x v="5"/>
    <m/>
    <x v="0"/>
    <b v="0"/>
    <s v="No está en VPC"/>
    <n v="722"/>
    <s v="INTPG-VPC_SLR20_722_1.27_723_1.28"/>
    <s v="ISEL-1.27"/>
    <n v="1"/>
    <s v="NO TIENE L3OUT"/>
    <n v="0"/>
    <n v="54"/>
  </r>
  <r>
    <n v="733"/>
    <x v="2"/>
    <x v="55"/>
    <s v="eth1/27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27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27"/>
    <x v="0"/>
    <x v="0"/>
    <x v="0"/>
    <s v="CRM, CBS:ITHHWBESRK1TSH01:ETH0"/>
    <x v="0"/>
    <b v="0"/>
    <s v="No está en VPC"/>
    <n v="748"/>
    <s v="INTPG_ACC_748_1.27"/>
    <s v="ISEL-1.27"/>
    <n v="1"/>
    <s v="NO TIENE L3OUT"/>
    <n v="2"/>
    <n v="54"/>
  </r>
  <r>
    <n v="756"/>
    <x v="2"/>
    <x v="58"/>
    <s v="eth1/27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27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27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27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27"/>
    <x v="0"/>
    <x v="1"/>
    <x v="1"/>
    <s v="CEM:ITHCEMA2ADT14:LOM P3"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27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27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27"/>
    <x v="1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27"/>
    <x v="0"/>
    <x v="1"/>
    <x v="3"/>
    <s v="PAAS:ithhwosstpap002:LOM PORT 1"/>
    <x v="0"/>
    <b v="0"/>
    <s v="No está en VPC"/>
    <n v="752"/>
    <s v="INTPG_VPC_747_1.27_752_1.27"/>
    <s v="ISEL-1.27"/>
    <n v="0"/>
    <s v="NO TIENE L3OUT"/>
    <n v="0"/>
    <n v="54"/>
  </r>
  <r>
    <n v="765"/>
    <x v="2"/>
    <x v="67"/>
    <s v="eth1/27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27"/>
    <x v="0"/>
    <x v="0"/>
    <x v="0"/>
    <s v="CLOUD OPS:ithhwcop01en01:2X P1"/>
    <x v="0"/>
    <b v="0"/>
    <s v="No está en VPC"/>
    <n v="778"/>
    <s v="INTPG_VPC_778_1.27-30_779_1.27-30"/>
    <s v="ISEL-1.27"/>
    <n v="24"/>
    <s v="NO TIENE L3OUT"/>
    <n v="26"/>
    <n v="54"/>
  </r>
  <r>
    <n v="780"/>
    <x v="2"/>
    <x v="69"/>
    <s v="eth1/27"/>
    <x v="0"/>
    <x v="0"/>
    <x v="0"/>
    <s v="CLOUD OPS:ithhwcop02en01:4E P2"/>
    <x v="0"/>
    <b v="0"/>
    <s v="No está en VPC"/>
    <n v="780"/>
    <s v="INTPG_VPC_780_1.20-21_26-27_781_1.20-21_26-27"/>
    <s v="ISEL-1.27"/>
    <n v="23"/>
    <s v="NO TIENE L3OUT"/>
    <n v="26"/>
    <n v="54"/>
  </r>
  <r>
    <n v="812"/>
    <x v="2"/>
    <x v="70"/>
    <s v="eth1/27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27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27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27"/>
    <x v="0"/>
    <x v="0"/>
    <x v="0"/>
    <s v="CRM, CBS:ITHHWBESRK1TSH01:ETH8"/>
    <x v="0"/>
    <b v="0"/>
    <s v="No está en VPC"/>
    <n v="749"/>
    <s v="INTPG_ACC_749_1.27"/>
    <s v="ISEL-1.27"/>
    <n v="1"/>
    <s v="NO TIENE L3OUT"/>
    <n v="4"/>
    <n v="54"/>
  </r>
  <r>
    <n v="824"/>
    <x v="2"/>
    <x v="74"/>
    <s v="eth1/27"/>
    <x v="0"/>
    <x v="0"/>
    <x v="0"/>
    <s v="LINK_TO_ITHFHWCMVWPMA14 /Slot5.1 /Redundante"/>
    <x v="0"/>
    <b v="0"/>
    <s v="No está en VPC"/>
    <n v="824"/>
    <s v="INTPG_ACC_824_1.27"/>
    <s v="ISEL-1.27"/>
    <n v="1"/>
    <s v="NO TIENE L3OUT"/>
    <n v="70"/>
    <n v="54"/>
  </r>
  <r>
    <n v="819"/>
    <x v="2"/>
    <x v="75"/>
    <s v="eth1/27"/>
    <x v="0"/>
    <x v="0"/>
    <x v="0"/>
    <s v="LINK_TO_ITHFHWCMVWPMA14 /10GE.1 /Principal"/>
    <x v="0"/>
    <b v="0"/>
    <s v="No está en VPC"/>
    <n v="819"/>
    <s v="INTPG_ACC_819_1.27"/>
    <s v="ISEL-1.27"/>
    <n v="1"/>
    <s v="NO TIENE L3OUT"/>
    <n v="70"/>
    <n v="54"/>
  </r>
  <r>
    <n v="737"/>
    <x v="2"/>
    <x v="76"/>
    <s v="eth1/27"/>
    <x v="0"/>
    <x v="0"/>
    <x v="0"/>
    <s v="CEM:ITHCEMF2KFK14:LOM P3"/>
    <x v="5"/>
    <b v="0"/>
    <s v="No está en VPC"/>
    <n v="737"/>
    <s v="INTPG_ACC_737_1.27"/>
    <s v="ISEL-1.27"/>
    <n v="1"/>
    <s v="NO TIENE L3OUT"/>
    <n v="72"/>
    <n v="54"/>
  </r>
  <r>
    <n v="844"/>
    <x v="2"/>
    <x v="77"/>
    <s v="eth1/27"/>
    <x v="0"/>
    <x v="0"/>
    <x v="0"/>
    <s v="LINK_TO_ITHFHWCRMPLCN109 / Slot1.3_22 / Principal"/>
    <x v="0"/>
    <b v="0"/>
    <s v="No está en VPC"/>
    <n v="844"/>
    <s v="INTPG_ACC_844_1.27"/>
    <s v="ISEL-1.27"/>
    <n v="1"/>
    <s v="NO TIENE L3OUT"/>
    <n v="282"/>
    <n v="54"/>
  </r>
  <r>
    <n v="843"/>
    <x v="2"/>
    <x v="78"/>
    <s v="eth1/27"/>
    <x v="0"/>
    <x v="0"/>
    <x v="0"/>
    <s v="LINK_To_ITHFHWCBSPSWR44 / Slot7.1_32 / Redundante"/>
    <x v="0"/>
    <b v="0"/>
    <s v="No está en VPC"/>
    <n v="843"/>
    <s v="INTPG_VPC_838_1.27_843_1.27"/>
    <s v="ISEL-1.27"/>
    <n v="2"/>
    <s v="NO TIENE L3OUT"/>
    <n v="38"/>
    <n v="54"/>
  </r>
  <r>
    <n v="797"/>
    <x v="2"/>
    <x v="79"/>
    <s v="eth1/27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27"/>
    <x v="0"/>
    <x v="0"/>
    <x v="0"/>
    <s v="LINK_TO_ITHFHWCBSPSHD38 / Slot7.3_14 / Redundante"/>
    <x v="0"/>
    <b v="0"/>
    <s v="No está en VPC"/>
    <n v="839"/>
    <s v="INTPG_VPC_834_1.27_839_1.27"/>
    <s v="ISEL-1.27"/>
    <n v="1"/>
    <s v="NO TIENE L3OUT"/>
    <n v="0"/>
    <n v="54"/>
  </r>
  <r>
    <n v="847"/>
    <x v="2"/>
    <x v="81"/>
    <s v="eth1/27"/>
    <x v="0"/>
    <x v="0"/>
    <x v="0"/>
    <s v="LINK_TO_ITHFHWCRMPLCN174 / Slot7.2_18 / Redundante"/>
    <x v="0"/>
    <b v="0"/>
    <s v="No está en VPC"/>
    <n v="847"/>
    <s v="INTPG_ACC_847_1.27"/>
    <s v="ISEL-1.27"/>
    <n v="2"/>
    <s v="NO TIENE L3OUT"/>
    <n v="204"/>
    <n v="54"/>
  </r>
  <r>
    <n v="848"/>
    <x v="2"/>
    <x v="82"/>
    <s v="eth1/27"/>
    <x v="0"/>
    <x v="0"/>
    <x v="0"/>
    <s v="LINK_TO_ITHFHWCRMPLCN163 / Slot7.2_28 / Redundante"/>
    <x v="0"/>
    <b v="0"/>
    <s v="No está en VPC"/>
    <n v="848"/>
    <s v="INTPG_ACC_848_1.27"/>
    <s v="ISEL-1.27"/>
    <n v="2"/>
    <s v="NO TIENE L3OUT"/>
    <n v="254"/>
    <n v="54"/>
  </r>
  <r>
    <n v="846"/>
    <x v="2"/>
    <x v="83"/>
    <s v="eth1/27"/>
    <x v="0"/>
    <x v="0"/>
    <x v="0"/>
    <s v="LINK_TO_ITHFHWCRMPLCN80 / Slot1.3_18 / Principal"/>
    <x v="0"/>
    <b v="0"/>
    <s v="No está en VPC"/>
    <n v="846"/>
    <s v="INTPG_ACC_846_1.27"/>
    <s v="ISEL-1.27"/>
    <n v="1"/>
    <s v="NO TIENE L3OUT"/>
    <n v="242"/>
    <n v="54"/>
  </r>
  <r>
    <n v="838"/>
    <x v="2"/>
    <x v="84"/>
    <s v="eth1/27"/>
    <x v="0"/>
    <x v="0"/>
    <x v="0"/>
    <s v="LINK_To_ITHFHWCBSPSWR44 / Slot1.1_32 / Principal"/>
    <x v="0"/>
    <b v="0"/>
    <s v="No está en VPC"/>
    <n v="838"/>
    <s v="INTPG_VPC_838_1.27_843_1.27"/>
    <s v="ISEL-1.27"/>
    <n v="2"/>
    <s v="NO TIENE L3OUT"/>
    <n v="38"/>
    <n v="54"/>
  </r>
  <r>
    <n v="849"/>
    <x v="2"/>
    <x v="85"/>
    <s v="eth1/27"/>
    <x v="0"/>
    <x v="0"/>
    <x v="0"/>
    <s v="LINK_TO_ITHFHWCRMPLCN143 / Slot7.2_20 / Redundante"/>
    <x v="0"/>
    <b v="0"/>
    <s v="No está en VPC"/>
    <n v="849"/>
    <s v="INTPG_ACC_849_1.27"/>
    <s v="ISEL-1.27"/>
    <n v="2"/>
    <s v="NO TIENE L3OUT"/>
    <n v="286"/>
    <n v="54"/>
  </r>
  <r>
    <n v="845"/>
    <x v="2"/>
    <x v="86"/>
    <s v="eth1/27"/>
    <x v="0"/>
    <x v="0"/>
    <x v="0"/>
    <s v="LINK_TO_ITHFHWCRMPLCN93 / Slot1.1_18 / Principal"/>
    <x v="0"/>
    <b v="0"/>
    <s v="No está en VPC"/>
    <n v="845"/>
    <s v="INTPG_ACC_845_1.27"/>
    <s v="ISEL-1.27"/>
    <n v="6"/>
    <s v="NO TIENE L3OUT"/>
    <n v="258"/>
    <n v="54"/>
  </r>
  <r>
    <n v="873"/>
    <x v="2"/>
    <x v="87"/>
    <s v="eth1/27"/>
    <x v="0"/>
    <x v="0"/>
    <x v="0"/>
    <s v="TO_ITHFHWCRMDLCN62_Principal"/>
    <x v="0"/>
    <b v="0"/>
    <s v="No está en VPC"/>
    <n v="873"/>
    <s v="INTPG_ACC_873_1.27"/>
    <s v="ISEL-1.27"/>
    <n v="6"/>
    <s v="NO TIENE L3OUT"/>
    <n v="248"/>
    <n v="54"/>
  </r>
  <r>
    <n v="864"/>
    <x v="2"/>
    <x v="88"/>
    <s v="eth1/27"/>
    <x v="0"/>
    <x v="0"/>
    <x v="0"/>
    <s v="To_VPC_2DCBSD_WR44_3"/>
    <x v="0"/>
    <b v="0"/>
    <s v="No está en VPC"/>
    <n v="864"/>
    <s v="INTPG_VPC_859_1.27_864_1.27"/>
    <s v="ISEL-1.27"/>
    <n v="1"/>
    <s v="NO TIENE L3OUT"/>
    <n v="0"/>
    <n v="54"/>
  </r>
  <r>
    <n v="836"/>
    <x v="2"/>
    <x v="89"/>
    <s v="eth1/27"/>
    <x v="0"/>
    <x v="0"/>
    <x v="0"/>
    <s v="LINK_TO_ITHFHWCBSPSWR54 / Slot1.2_36 / Principal"/>
    <x v="0"/>
    <b v="0"/>
    <s v="No está en VPC"/>
    <n v="836"/>
    <s v="INTPG_VPC_836_1.27_841_1.27"/>
    <s v="ISEL-1.27"/>
    <n v="1"/>
    <s v="NO TIENE L3OUT"/>
    <n v="0"/>
    <n v="54"/>
  </r>
  <r>
    <n v="834"/>
    <x v="2"/>
    <x v="90"/>
    <s v="eth1/27"/>
    <x v="0"/>
    <x v="0"/>
    <x v="0"/>
    <s v="LINK_TO_ITHFHWCBSPSHD38 / Slot1.3_14 / Principal"/>
    <x v="0"/>
    <b v="0"/>
    <s v="No está en VPC"/>
    <n v="834"/>
    <s v="INTPG_VPC_834_1.27_839_1.27"/>
    <s v="ISEL-1.27"/>
    <n v="1"/>
    <s v="NO TIENE L3OUT"/>
    <n v="0"/>
    <n v="54"/>
  </r>
  <r>
    <n v="872"/>
    <x v="2"/>
    <x v="91"/>
    <s v="eth1/27"/>
    <x v="0"/>
    <x v="0"/>
    <x v="0"/>
    <s v="To_ITHFHWCRMDLCN78_Principal"/>
    <x v="0"/>
    <b v="0"/>
    <s v="No está en VPC"/>
    <n v="872"/>
    <s v="INTPG_ACC_872_1.27"/>
    <s v="ISEL-1.27"/>
    <n v="6"/>
    <s v="NO TIENE L3OUT"/>
    <n v="288"/>
    <n v="54"/>
  </r>
  <r>
    <n v="842"/>
    <x v="2"/>
    <x v="92"/>
    <s v="eth1/27"/>
    <x v="0"/>
    <x v="0"/>
    <x v="0"/>
    <s v="LINK_TO_ITHFHWCBSPSWR48 / Slot7.2_32 / Redundante"/>
    <x v="0"/>
    <b v="0"/>
    <s v="No está en VPC"/>
    <n v="842"/>
    <s v="INTPG_VPC_837_1.27_842_1.27"/>
    <s v="ISEL-1.27"/>
    <n v="1"/>
    <s v="NO TIENE L3OUT"/>
    <n v="8"/>
    <n v="54"/>
  </r>
  <r>
    <n v="828"/>
    <x v="2"/>
    <x v="93"/>
    <s v="eth1/27"/>
    <x v="0"/>
    <x v="0"/>
    <x v="0"/>
    <s v="LINK_TO_ITHFHWCRMDLCN24 /10GE.1 /Principal"/>
    <x v="0"/>
    <b v="0"/>
    <s v="No está en VPC"/>
    <n v="828"/>
    <s v="INTPG_ACC_828_1.27"/>
    <s v="ISEL-1.27"/>
    <n v="2"/>
    <s v="NO TIENE L3OUT"/>
    <n v="192"/>
    <n v="54"/>
  </r>
  <r>
    <n v="870"/>
    <x v="2"/>
    <x v="94"/>
    <s v="eth1/27"/>
    <x v="0"/>
    <x v="0"/>
    <x v="0"/>
    <s v="TO_ITHFHWCRMDLCN62_Redundante"/>
    <x v="0"/>
    <b v="0"/>
    <s v="No está en VPC"/>
    <n v="870"/>
    <s v="INTPG_ACC_870_1.27"/>
    <s v="ISEL-1.27"/>
    <n v="6"/>
    <s v="NO TIENE L3OUT"/>
    <n v="248"/>
    <n v="54"/>
  </r>
  <r>
    <n v="866"/>
    <x v="2"/>
    <x v="95"/>
    <s v="eth1/27"/>
    <x v="0"/>
    <x v="0"/>
    <x v="0"/>
    <s v="To_VPC_2DCBSD_TL04_2"/>
    <x v="0"/>
    <b v="0"/>
    <s v="No está en VPC"/>
    <n v="866"/>
    <s v="INTPG_VPC_861_1.27_866_1.27"/>
    <s v="ISEL-1.27"/>
    <n v="1"/>
    <s v="NO TIENE L3OUT"/>
    <n v="8"/>
    <n v="54"/>
  </r>
  <r>
    <n v="862"/>
    <x v="2"/>
    <x v="96"/>
    <s v="eth1/27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27"/>
    <x v="0"/>
    <x v="0"/>
    <x v="0"/>
    <s v="LINK_TO_ITHFHWCRMPLCN163 / Slot1.2_28 / Principal"/>
    <x v="0"/>
    <b v="0"/>
    <s v="No está en VPC"/>
    <n v="855"/>
    <s v="INTPG_ACC_855_1.27"/>
    <s v="ISEL-1.27"/>
    <n v="2"/>
    <s v="NO TIENE L3OUT"/>
    <n v="254"/>
    <n v="54"/>
  </r>
  <r>
    <n v="871"/>
    <x v="2"/>
    <x v="98"/>
    <s v="eth1/27"/>
    <x v="0"/>
    <x v="0"/>
    <x v="0"/>
    <s v="To_VPC_2DCRMD_SBD11_3"/>
    <x v="0"/>
    <b v="0"/>
    <s v="No está en VPC"/>
    <n v="871"/>
    <s v="INTPG_VPC_868_1.27_871_1.27"/>
    <s v="ISEL-1.27"/>
    <n v="1"/>
    <s v="NO TIENE L3OUT"/>
    <n v="246"/>
    <n v="54"/>
  </r>
  <r>
    <n v="841"/>
    <x v="2"/>
    <x v="99"/>
    <s v="eth1/27"/>
    <x v="0"/>
    <x v="0"/>
    <x v="0"/>
    <s v="LINK_TO_ITHFHWCBSPSWR54 / Slot7.2_36 / Redundante"/>
    <x v="0"/>
    <b v="0"/>
    <s v="No está en VPC"/>
    <n v="841"/>
    <s v="INTPG_VPC_836_1.27_841_1.27"/>
    <s v="ISEL-1.27"/>
    <n v="1"/>
    <s v="NO TIENE L3OUT"/>
    <n v="0"/>
    <n v="54"/>
  </r>
  <r>
    <n v="868"/>
    <x v="2"/>
    <x v="100"/>
    <s v="eth1/27"/>
    <x v="0"/>
    <x v="0"/>
    <x v="0"/>
    <s v="To_VPC_2DCRMD_SBD11_3"/>
    <x v="0"/>
    <b v="0"/>
    <s v="No está en VPC"/>
    <n v="868"/>
    <s v="INTPG_VPC_868_1.27_871_1.27"/>
    <s v="ISEL-1.27"/>
    <n v="1"/>
    <s v="NO TIENE L3OUT"/>
    <n v="246"/>
    <n v="54"/>
  </r>
  <r>
    <n v="869"/>
    <x v="2"/>
    <x v="101"/>
    <s v="eth1/27"/>
    <x v="0"/>
    <x v="0"/>
    <x v="0"/>
    <s v="To_ITHFHWCRMDLCN78_Redundante"/>
    <x v="0"/>
    <b v="0"/>
    <s v="No está en VPC"/>
    <n v="869"/>
    <s v="INTPG_ACC_869_1.27"/>
    <s v="ISEL-1.27"/>
    <n v="6"/>
    <s v="NO TIENE L3OUT"/>
    <n v="288"/>
    <n v="54"/>
  </r>
  <r>
    <n v="861"/>
    <x v="2"/>
    <x v="102"/>
    <s v="eth1/27"/>
    <x v="0"/>
    <x v="0"/>
    <x v="0"/>
    <s v="To_VPC_2DCBSD_TL04_2"/>
    <x v="0"/>
    <b v="0"/>
    <s v="No está en VPC"/>
    <n v="861"/>
    <s v="INTPG_VPC_861_1.27_866_1.27"/>
    <s v="ISEL-1.27"/>
    <n v="1"/>
    <s v="NO TIENE L3OUT"/>
    <n v="8"/>
    <n v="54"/>
  </r>
  <r>
    <n v="874"/>
    <x v="2"/>
    <x v="103"/>
    <s v="eth1/27"/>
    <x v="0"/>
    <x v="0"/>
    <x v="0"/>
    <s v="A_ITHFHWSEQLCAS26_Redundante"/>
    <x v="4"/>
    <b v="0"/>
    <s v="No está en VPC"/>
    <n v="874"/>
    <s v="INTPG_ACC_874_1.27"/>
    <s v="ISEL-1.27"/>
    <n v="1"/>
    <s v="NO TIENE L3OUT"/>
    <n v="92"/>
    <n v="54"/>
  </r>
  <r>
    <n v="865"/>
    <x v="2"/>
    <x v="104"/>
    <s v="eth1/27"/>
    <x v="0"/>
    <x v="0"/>
    <x v="0"/>
    <s v="To_VPC_2DCBSD_TL05_3"/>
    <x v="0"/>
    <b v="0"/>
    <s v="No está en VPC"/>
    <n v="865"/>
    <s v="INTPG_VPC_860_1.27_865_1.27"/>
    <s v="ISEL-1.27"/>
    <n v="1"/>
    <s v="NO TIENE L3OUT"/>
    <n v="0"/>
    <n v="54"/>
  </r>
  <r>
    <n v="753"/>
    <x v="2"/>
    <x v="105"/>
    <s v="eth1/27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27"/>
    <x v="0"/>
    <x v="1"/>
    <x v="5"/>
    <s v="CEM:ITHCEMF2KFK14:LOM P1"/>
    <x v="0"/>
    <b v="0"/>
    <s v="No está en VPC"/>
    <n v="708"/>
    <s v="INTPG_VPC_708_1.27_709_1.28"/>
    <s v="ISEL-1.27"/>
    <n v="1"/>
    <s v="NO TIENE L3OUT"/>
    <n v="0"/>
    <n v="54"/>
  </r>
  <r>
    <n v="710"/>
    <x v="2"/>
    <x v="107"/>
    <s v="eth1/27"/>
    <x v="0"/>
    <x v="1"/>
    <x v="5"/>
    <s v="CEM:ITHCEMD2ADT14:LOM P1"/>
    <x v="0"/>
    <b v="0"/>
    <s v="No está en VPC"/>
    <n v="710"/>
    <s v="INTPG_VPC_710_1.27_711_1.28"/>
    <s v="ISEL-1.27"/>
    <n v="1"/>
    <s v="NO TIENE L3OUT"/>
    <n v="16"/>
    <n v="54"/>
  </r>
  <r>
    <n v="713"/>
    <x v="2"/>
    <x v="108"/>
    <s v="eth1/27"/>
    <x v="1"/>
    <x v="1"/>
    <x v="3"/>
    <s v="CEM:ITHCEMA2ADT14:LOM P1"/>
    <x v="0"/>
    <b v="0"/>
    <s v="No está en VPC"/>
    <n v="713"/>
    <s v="INTPG_VPC_713_1.27_712_1.28"/>
    <s v="ISEL-1.27"/>
    <n v="0"/>
    <s v="NO TIENE L3OUT"/>
    <n v="32"/>
    <n v="54"/>
  </r>
  <r>
    <n v="735"/>
    <x v="2"/>
    <x v="109"/>
    <s v="eth1/27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27"/>
    <x v="0"/>
    <x v="0"/>
    <x v="0"/>
    <s v="Server_Pre-R02-RH2288-02"/>
    <x v="0"/>
    <b v="0"/>
    <s v="No está en VPC"/>
    <n v="731"/>
    <s v="INTPG_ACC_731_1.27"/>
    <s v="ISEL-1.27"/>
    <n v="1"/>
    <s v="NO TIENE L3OUT"/>
    <n v="38"/>
    <n v="54"/>
  </r>
  <r>
    <n v="703"/>
    <x v="2"/>
    <x v="111"/>
    <s v="eth1/27"/>
    <x v="0"/>
    <x v="0"/>
    <x v="0"/>
    <m/>
    <x v="0"/>
    <b v="0"/>
    <s v="No está en VPC"/>
    <n v="703"/>
    <s v="INTPG_VPC_703_1.27_704_1.28"/>
    <s v="ISEL-1.27"/>
    <n v="1"/>
    <s v="NO TIENE L3OUT"/>
    <n v="2"/>
    <n v="54"/>
  </r>
  <r>
    <n v="706"/>
    <x v="2"/>
    <x v="112"/>
    <s v="eth1/27"/>
    <x v="0"/>
    <x v="0"/>
    <x v="0"/>
    <m/>
    <x v="0"/>
    <b v="0"/>
    <s v="No está en VPC"/>
    <n v="706"/>
    <s v="INTPG_VPC_706_1.27_705_1.28"/>
    <s v="ISEL-1.27"/>
    <n v="1"/>
    <s v="NO TIENE L3OUT"/>
    <n v="16"/>
    <n v="54"/>
  </r>
  <r>
    <n v="762"/>
    <x v="2"/>
    <x v="113"/>
    <s v="eth1/27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14"/>
    <x v="2"/>
    <x v="114"/>
    <s v="eth1/27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27"/>
    <x v="0"/>
    <x v="1"/>
    <x v="0"/>
    <s v="TO-ITHFXFPOCXLCN01"/>
    <x v="4"/>
    <b v="0"/>
    <s v="No está en VPC"/>
    <n v="878"/>
    <s v="INTPG_VPC_878_1.27_879_1.27"/>
    <s v="ISEL-1.27"/>
    <n v="1"/>
    <s v="NO TIENE L3OUT"/>
    <n v="0"/>
    <n v="54"/>
  </r>
  <r>
    <n v="826"/>
    <x v="2"/>
    <x v="116"/>
    <s v="eth1/27"/>
    <x v="0"/>
    <x v="0"/>
    <x v="0"/>
    <s v="LINK_TO_ITHFHWCBSDSHD18 /Slot4.2 /Principal"/>
    <x v="0"/>
    <b v="0"/>
    <s v="No está en VPC"/>
    <n v="826"/>
    <s v="INTPG_VPC_826_1.27_830_1.27"/>
    <s v="ISEL-1.27"/>
    <n v="1"/>
    <s v="NO TIENE L3OUT"/>
    <n v="12"/>
    <n v="54"/>
  </r>
  <r>
    <n v="726"/>
    <x v="2"/>
    <x v="117"/>
    <s v="eth1/27"/>
    <x v="0"/>
    <x v="0"/>
    <x v="0"/>
    <m/>
    <x v="0"/>
    <b v="0"/>
    <s v="No está en VPC"/>
    <n v="726"/>
    <s v="INTPG-VPC_SLR13_726_1.27_727_1.28"/>
    <s v="ISEL-1.27"/>
    <n v="1"/>
    <s v="NO TIENE L3OUT"/>
    <n v="0"/>
    <n v="54"/>
  </r>
  <r>
    <n v="740"/>
    <x v="2"/>
    <x v="118"/>
    <s v="eth1/27"/>
    <x v="0"/>
    <x v="0"/>
    <x v="0"/>
    <s v="CEM:ITHCEMC2ADT14:LOM P3"/>
    <x v="5"/>
    <b v="0"/>
    <s v="No está en VPC"/>
    <n v="740"/>
    <s v="INTPG_ACC_740_1.27"/>
    <s v="ISEL-1.27"/>
    <n v="1"/>
    <s v="NO TIENE L3OUT"/>
    <n v="72"/>
    <n v="54"/>
  </r>
  <r>
    <n v="705"/>
    <x v="2"/>
    <x v="119"/>
    <s v="eth1/27"/>
    <x v="0"/>
    <x v="0"/>
    <x v="0"/>
    <m/>
    <x v="0"/>
    <b v="0"/>
    <s v="No está en VPC"/>
    <n v="705"/>
    <s v="INTPG_VPC_705_1.27_706_1.28"/>
    <s v="ISEL-1.27"/>
    <n v="1"/>
    <s v="NO TIENE L3OUT"/>
    <n v="16"/>
    <n v="54"/>
  </r>
  <r>
    <n v="723"/>
    <x v="2"/>
    <x v="120"/>
    <s v="eth1/27"/>
    <x v="0"/>
    <x v="0"/>
    <x v="0"/>
    <m/>
    <x v="0"/>
    <b v="0"/>
    <s v="No está en VPC"/>
    <n v="723"/>
    <s v="INTPG-VPC_SLR18_723_1.27_722_1.28"/>
    <s v="ISEL-1.27"/>
    <n v="1"/>
    <s v="NO TIENE L3OUT"/>
    <n v="0"/>
    <n v="54"/>
  </r>
  <r>
    <n v="721"/>
    <x v="2"/>
    <x v="121"/>
    <s v="eth1/27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27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27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27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27"/>
    <x v="0"/>
    <x v="1"/>
    <x v="5"/>
    <s v="CEM:ITHCEME2KFK14:LOM P1"/>
    <x v="0"/>
    <b v="0"/>
    <s v="No está en VPC"/>
    <n v="709"/>
    <s v="INTPG_VPC_708_1.28_709_1.27"/>
    <s v="ISEL-1.27"/>
    <n v="1"/>
    <s v="NO TIENE L3OUT"/>
    <n v="0"/>
    <n v="54"/>
  </r>
  <r>
    <n v="454"/>
    <x v="1"/>
    <x v="126"/>
    <s v="eth1/27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27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27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27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27"/>
    <x v="0"/>
    <x v="0"/>
    <x v="0"/>
    <m/>
    <x v="0"/>
    <b v="0"/>
    <s v="No está en VPC"/>
    <n v="718"/>
    <s v="INTPG-VPC_ICB03_718_1.27_717_1.28"/>
    <s v="ISEL-1.27"/>
    <n v="1"/>
    <s v="NO TIENE L3OUT"/>
    <n v="0"/>
    <n v="54"/>
  </r>
  <r>
    <n v="744"/>
    <x v="2"/>
    <x v="131"/>
    <s v="eth1/27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27"/>
    <x v="0"/>
    <x v="0"/>
    <x v="0"/>
    <s v="CEM:ITHCEMB2ADT14:LOM P3"/>
    <x v="5"/>
    <b v="0"/>
    <s v="No está en VPC"/>
    <n v="741"/>
    <s v="INTPG_ACC_741_1.27"/>
    <s v="ISEL-1.27"/>
    <n v="1"/>
    <s v="NO TIENE L3OUT"/>
    <n v="62"/>
    <n v="54"/>
  </r>
  <r>
    <n v="787"/>
    <x v="2"/>
    <x v="133"/>
    <s v="eth1/27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27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27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27"/>
    <x v="0"/>
    <x v="1"/>
    <x v="3"/>
    <s v="CEM_HADOOP"/>
    <x v="0"/>
    <b v="0"/>
    <s v="No está en VPC"/>
    <n v="736"/>
    <s v="INTPG_ACC_736_1.27"/>
    <s v="ISEL-1.27"/>
    <n v="0"/>
    <s v="NO TIENE L3OUT"/>
    <n v="48"/>
    <n v="54"/>
  </r>
  <r>
    <n v="799"/>
    <x v="2"/>
    <x v="137"/>
    <s v="eth1/27"/>
    <x v="0"/>
    <x v="0"/>
    <x v="0"/>
    <s v="TO-ITHFDEVDICL01ESX01"/>
    <x v="0"/>
    <b v="0"/>
    <s v="No está en VPC"/>
    <n v="799"/>
    <s v="INTPG_VPC_798_1.27_799_1.27"/>
    <s v="ISEL-1.27"/>
    <n v="6"/>
    <s v="NO TIENE L3OUT"/>
    <n v="52"/>
    <n v="54"/>
  </r>
  <r>
    <n v="768"/>
    <x v="2"/>
    <x v="138"/>
    <s v="eth1/27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27"/>
    <x v="0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27"/>
    <x v="0"/>
    <x v="0"/>
    <x v="0"/>
    <m/>
    <x v="0"/>
    <b v="0"/>
    <s v="No está en VPC"/>
    <n v="717"/>
    <s v="INTPG-VPC_GWN02_717_1.27_718_1.28"/>
    <s v="ISEL-1.27"/>
    <n v="1"/>
    <s v="NO TIENE L3OUT"/>
    <n v="0"/>
    <n v="54"/>
  </r>
  <r>
    <n v="789"/>
    <x v="2"/>
    <x v="141"/>
    <s v="eth1/27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27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27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27"/>
    <x v="0"/>
    <x v="0"/>
    <x v="0"/>
    <s v="CLOUD PAAS PAYG F2:Ithhwvm1dch1:Slot 3x/Pto 1"/>
    <x v="0"/>
    <b v="0"/>
    <s v="No está en VPC"/>
    <n v="774"/>
    <s v="INTPG_VPC_774_1.25-28_775_1.29-32"/>
    <s v="ISEL-1.27"/>
    <n v="152"/>
    <s v="NO TIENE L3OUT"/>
    <n v="0"/>
    <n v="54"/>
  </r>
  <r>
    <n v="773"/>
    <x v="2"/>
    <x v="145"/>
    <s v="eth1/27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27"/>
    <x v="0"/>
    <x v="0"/>
    <x v="0"/>
    <s v="DESC"/>
    <x v="0"/>
    <b v="0"/>
    <s v="No está en VPC"/>
    <n v="794"/>
    <s v="INTPG_PC_794_1.17_19_21_23_25_27"/>
    <s v="ISEL-1.27"/>
    <n v="1"/>
    <s v="NO TIENE L3OUT"/>
    <n v="12"/>
    <n v="54"/>
  </r>
  <r>
    <n v="803"/>
    <x v="2"/>
    <x v="147"/>
    <s v="eth1/27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27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27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27"/>
    <x v="0"/>
    <x v="0"/>
    <x v="0"/>
    <s v="CLOUD OPS:ithhwcop02en01:4E P4"/>
    <x v="0"/>
    <b v="0"/>
    <s v="No está en VPC"/>
    <n v="781"/>
    <s v="INTPG_VPC_780_1.20-21_26-27_781_1.20-21_26-27"/>
    <s v="ISEL-1.27"/>
    <n v="23"/>
    <s v="NO TIENE L3OUT"/>
    <n v="26"/>
    <n v="54"/>
  </r>
  <r>
    <n v="793"/>
    <x v="2"/>
    <x v="151"/>
    <s v="eth1/27"/>
    <x v="0"/>
    <x v="0"/>
    <x v="0"/>
    <s v="DESC"/>
    <x v="0"/>
    <b v="0"/>
    <s v="No está en VPC"/>
    <n v="793"/>
    <s v="INTPG_PC_793_1.17_19_21_23_25_27"/>
    <s v="ISEL-1.27"/>
    <n v="1"/>
    <s v="NO TIENE L3OUT"/>
    <n v="12"/>
    <n v="54"/>
  </r>
  <r>
    <n v="747"/>
    <x v="2"/>
    <x v="152"/>
    <s v="eth1/27"/>
    <x v="0"/>
    <x v="1"/>
    <x v="3"/>
    <s v="PAAS:ithhwosstpap002:Slot4.2"/>
    <x v="0"/>
    <b v="0"/>
    <s v="No está en VPC"/>
    <n v="747"/>
    <s v="INTPG_VPC_747_1.27_752_1.27"/>
    <s v="ISEL-1.27"/>
    <n v="0"/>
    <s v="NO TIENE L3OUT"/>
    <n v="0"/>
    <n v="54"/>
  </r>
  <r>
    <n v="784"/>
    <x v="2"/>
    <x v="153"/>
    <s v="eth1/27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27"/>
    <x v="1"/>
    <x v="1"/>
    <x v="2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27"/>
    <x v="0"/>
    <x v="0"/>
    <x v="0"/>
    <s v="CLOUD PAAS PAYG F2:Ithhwvm1ach1:Slot 3x/Pto 1"/>
    <x v="0"/>
    <b v="0"/>
    <s v="No está en VPC"/>
    <n v="777"/>
    <s v="INTPG_VPC_776_1.29-32_777_1.25-28"/>
    <s v="ISEL-1.27"/>
    <n v="93"/>
    <s v="NO TIENE L3OUT"/>
    <n v="0"/>
    <n v="54"/>
  </r>
  <r>
    <n v="770"/>
    <x v="2"/>
    <x v="156"/>
    <s v="eth1/27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27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27"/>
    <x v="0"/>
    <x v="0"/>
    <x v="0"/>
    <s v="CEM:ITHCEMD2ADT14:LOM P3"/>
    <x v="5"/>
    <b v="0"/>
    <s v="No está en VPC"/>
    <n v="739"/>
    <s v="INTPG_ACC_739_1.27"/>
    <s v="ISEL-1.27"/>
    <n v="1"/>
    <s v="NO TIENE L3OUT"/>
    <n v="72"/>
    <n v="54"/>
  </r>
  <r>
    <n v="775"/>
    <x v="2"/>
    <x v="159"/>
    <s v="eth1/27"/>
    <x v="0"/>
    <x v="0"/>
    <x v="0"/>
    <s v="CLOUD PAAS PAYG F2:Ithhwvm1cch1:Slot 3x/Pto 1"/>
    <x v="0"/>
    <b v="0"/>
    <s v="No está en VPC"/>
    <n v="775"/>
    <s v="INTPG_VPC_774_1.29-32_775_1.25-28"/>
    <s v="ISEL-1.27"/>
    <n v="169"/>
    <s v="NO TIENE L3OUT"/>
    <n v="0"/>
    <n v="54"/>
  </r>
  <r>
    <n v="791"/>
    <x v="2"/>
    <x v="160"/>
    <s v="eth1/27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27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27"/>
    <x v="0"/>
    <x v="0"/>
    <x v="0"/>
    <s v="LINK_TO_ITHFHWCBSDSHD18 /Slot6.2 /Redundante"/>
    <x v="0"/>
    <b v="0"/>
    <s v="No está en VPC"/>
    <n v="830"/>
    <s v="INTPG_VPC_826_1.27_830_1.27"/>
    <s v="ISEL-1.27"/>
    <n v="1"/>
    <s v="NO TIENE L3OUT"/>
    <n v="12"/>
    <n v="54"/>
  </r>
  <r>
    <n v="821"/>
    <x v="2"/>
    <x v="163"/>
    <s v="eth1/27"/>
    <x v="0"/>
    <x v="0"/>
    <x v="0"/>
    <s v="LINK_TO_ITHFHWCBSPSHD18 /Slot6.2 /Redundante"/>
    <x v="0"/>
    <b v="0"/>
    <s v="No está en VPC"/>
    <n v="821"/>
    <s v="INTPG_VPC_816_1.27_821_1.27"/>
    <s v="ISEL-1.27"/>
    <n v="1"/>
    <s v="NO TIENE L3OUT"/>
    <n v="0"/>
    <n v="54"/>
  </r>
  <r>
    <n v="738"/>
    <x v="2"/>
    <x v="164"/>
    <s v="eth1/27"/>
    <x v="0"/>
    <x v="0"/>
    <x v="0"/>
    <s v="CEM:ITHCEME2KFK14:LOM P3"/>
    <x v="5"/>
    <b v="0"/>
    <s v="No está en VPC"/>
    <n v="738"/>
    <s v="INTPG_ACC_738_1.27"/>
    <s v="ISEL-1.27"/>
    <n v="1"/>
    <s v="NO TIENE L3OUT"/>
    <n v="72"/>
    <n v="54"/>
  </r>
  <r>
    <n v="820"/>
    <x v="2"/>
    <x v="165"/>
    <s v="eth1/27"/>
    <x v="0"/>
    <x v="0"/>
    <x v="0"/>
    <s v="LINKT_TO_ITHFHWCRMPLCN133 / Slot7.3_36 / Redundante"/>
    <x v="0"/>
    <b v="0"/>
    <s v="No está en VPC"/>
    <n v="820"/>
    <s v="INTPG_ACC_820_1.27"/>
    <s v="ISEL-1.27"/>
    <n v="1"/>
    <s v="NO TIENE L3OUT"/>
    <n v="72"/>
    <n v="54"/>
  </r>
  <r>
    <n v="804"/>
    <x v="2"/>
    <x v="166"/>
    <s v="eth1/27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27"/>
    <x v="0"/>
    <x v="0"/>
    <x v="0"/>
    <s v="CLOUD OPS:ithhwcop01en01:2X P3"/>
    <x v="0"/>
    <b v="0"/>
    <s v="No está en VPC"/>
    <n v="779"/>
    <s v="INTPG_VPC_778_1.27-30_779_1.27-30"/>
    <s v="ISEL-1.27"/>
    <n v="24"/>
    <s v="NO TIENE L3OUT"/>
    <n v="30"/>
    <n v="54"/>
  </r>
  <r>
    <n v="767"/>
    <x v="2"/>
    <x v="168"/>
    <s v="eth1/27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27"/>
    <x v="0"/>
    <x v="0"/>
    <x v="0"/>
    <s v="LINK_TO_ITHFHWCBSDSWR25 /10GE.1 /Principal"/>
    <x v="0"/>
    <b v="0"/>
    <s v="No está en VPC"/>
    <n v="827"/>
    <s v="INTPG_VPC_827_1.27_831_1.27"/>
    <s v="ISEL-1.27"/>
    <n v="1"/>
    <s v="NO TIENE L3OUT"/>
    <n v="14"/>
    <n v="54"/>
  </r>
  <r>
    <n v="809"/>
    <x v="2"/>
    <x v="170"/>
    <s v="eth1/27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27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27"/>
    <x v="1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27"/>
    <x v="0"/>
    <x v="0"/>
    <x v="0"/>
    <s v="CLOUD PAAS PAYG F2:Ithhwvm1bch1:Slot 3x/Pto 1"/>
    <x v="0"/>
    <b v="0"/>
    <s v="No está en VPC"/>
    <n v="776"/>
    <s v="INTPG_VPC_776_1.25-28_777_1.29-32"/>
    <s v="ISEL-1.27"/>
    <n v="90"/>
    <s v="NO TIENE L3OUT"/>
    <n v="0"/>
    <n v="54"/>
  </r>
  <r>
    <n v="805"/>
    <x v="2"/>
    <x v="174"/>
    <s v="eth1/27"/>
    <x v="1"/>
    <x v="1"/>
    <x v="2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27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27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27"/>
    <x v="0"/>
    <x v="0"/>
    <x v="0"/>
    <s v="LINK_TO_ITHFHWCRMPLCN109 / Slot7.3_22 / Redundante"/>
    <x v="0"/>
    <b v="0"/>
    <s v="No está en VPC"/>
    <n v="851"/>
    <s v="INTPG_ACC_851_1.27"/>
    <s v="ISEL-1.27"/>
    <n v="1"/>
    <s v="NO TIENE L3OUT"/>
    <n v="282"/>
    <n v="54"/>
  </r>
  <r>
    <n v="798"/>
    <x v="2"/>
    <x v="178"/>
    <s v="eth1/27"/>
    <x v="0"/>
    <x v="0"/>
    <x v="0"/>
    <s v="TO-ITHFDEVDICL01ESX01"/>
    <x v="0"/>
    <b v="0"/>
    <s v="No está en VPC"/>
    <n v="798"/>
    <s v="INTPG_VPC_798_1.27_799_1.27"/>
    <s v="ISEL-1.27"/>
    <n v="6"/>
    <s v="NO TIENE L3OUT"/>
    <n v="52"/>
    <n v="54"/>
  </r>
  <r>
    <n v="782"/>
    <x v="2"/>
    <x v="179"/>
    <s v="eth1/27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27"/>
    <x v="0"/>
    <x v="0"/>
    <x v="0"/>
    <s v="LINK_TO_ITHFHWCRMPLCN93 / Slot7.1_18 / Redundante"/>
    <x v="0"/>
    <b v="0"/>
    <s v="No está en VPC"/>
    <n v="852"/>
    <s v="INTPG_ACC_852_1.27"/>
    <s v="ISEL-1.27"/>
    <n v="6"/>
    <s v="NO TIENE L3OUT"/>
    <n v="258"/>
    <n v="54"/>
  </r>
  <r>
    <n v="817"/>
    <x v="2"/>
    <x v="181"/>
    <s v="eth1/27"/>
    <x v="0"/>
    <x v="0"/>
    <x v="0"/>
    <s v="LINK_TO_ITHFHWCBSPSUSBD18 /Slot4.2 /Principal"/>
    <x v="0"/>
    <b v="0"/>
    <s v="No está en VPC"/>
    <n v="817"/>
    <s v="INTPG_VPC_817_1.27_822_1.27"/>
    <s v="ISEL-1.27"/>
    <n v="1"/>
    <s v="NO TIENE L3OUT"/>
    <n v="0"/>
    <n v="54"/>
  </r>
  <r>
    <n v="832"/>
    <x v="2"/>
    <x v="182"/>
    <s v="eth1/27"/>
    <x v="0"/>
    <x v="0"/>
    <x v="0"/>
    <s v="LINK_TO_ITHFHWCRMDLCN24 /Slot5.1 /Redundante"/>
    <x v="0"/>
    <b v="0"/>
    <s v="No está en VPC"/>
    <n v="832"/>
    <s v="INTPG_ACC_832_1.27"/>
    <s v="ISEL-1.27"/>
    <n v="2"/>
    <s v="NO TIENE L3OUT"/>
    <n v="192"/>
    <n v="54"/>
  </r>
  <r>
    <n v="816"/>
    <x v="2"/>
    <x v="183"/>
    <s v="eth1/27"/>
    <x v="0"/>
    <x v="0"/>
    <x v="0"/>
    <s v="LINK_TO_ITHFHWCBSPSHD18 /Slot4.2 /Principal"/>
    <x v="0"/>
    <b v="0"/>
    <s v="No está en VPC"/>
    <n v="816"/>
    <s v="INTPG_VPC_816_1.27_821_1.27"/>
    <s v="ISEL-1.27"/>
    <n v="1"/>
    <s v="NO TIENE L3OUT"/>
    <n v="0"/>
    <n v="54"/>
  </r>
  <r>
    <n v="825"/>
    <x v="2"/>
    <x v="184"/>
    <s v="eth1/27"/>
    <x v="0"/>
    <x v="0"/>
    <x v="0"/>
    <s v="LINKT_TO_ITHFHWCRMPLCN133 / Slot1.3_36 / Principal"/>
    <x v="0"/>
    <b v="0"/>
    <s v="No está en VPC"/>
    <n v="825"/>
    <s v="INTPG_ACC_825_1.27"/>
    <s v="ISEL-1.27"/>
    <n v="1"/>
    <s v="NO TIENE L3OUT"/>
    <n v="72"/>
    <n v="54"/>
  </r>
  <r>
    <n v="800"/>
    <x v="2"/>
    <x v="185"/>
    <s v="eth1/27"/>
    <x v="0"/>
    <x v="0"/>
    <x v="0"/>
    <s v="TO-ITHFHWSEQLCAS07-MSP"/>
    <x v="0"/>
    <b v="0"/>
    <s v="No está en VPC"/>
    <n v="800"/>
    <s v="INTPG_ACC_800_1.27"/>
    <s v="ISEL-1.27"/>
    <n v="1"/>
    <s v="NO TIENE L3OUT"/>
    <n v="78"/>
    <n v="54"/>
  </r>
  <r>
    <n v="801"/>
    <x v="2"/>
    <x v="186"/>
    <s v="eth1/27"/>
    <x v="0"/>
    <x v="0"/>
    <x v="0"/>
    <s v="TO-ITHFHWSEQLCAS07-MSP"/>
    <x v="0"/>
    <b v="0"/>
    <s v="No está en VPC"/>
    <n v="801"/>
    <s v="INTPG_ACC_801_1.27"/>
    <s v="ISEL-1.27"/>
    <n v="1"/>
    <s v="NO TIENE L3OUT"/>
    <n v="78"/>
    <n v="54"/>
  </r>
  <r>
    <n v="823"/>
    <x v="2"/>
    <x v="187"/>
    <s v="eth1/27"/>
    <x v="0"/>
    <x v="0"/>
    <x v="0"/>
    <s v="LINK_TO_ITHFHWCBSPSWR33 /Slot5.1 /Redundante"/>
    <x v="0"/>
    <b v="0"/>
    <s v="No está en VPC"/>
    <n v="823"/>
    <s v="INTPG_VPC_818_1.27_823_1.27"/>
    <s v="ISEL-1.27"/>
    <n v="1"/>
    <s v="NO TIENE L3OUT"/>
    <n v="8"/>
    <n v="54"/>
  </r>
  <r>
    <n v="837"/>
    <x v="2"/>
    <x v="188"/>
    <s v="eth1/27"/>
    <x v="0"/>
    <x v="0"/>
    <x v="0"/>
    <s v="LINK_TO_ITHFHWCBSPSWR48 / Slot1.2_32 / Principal"/>
    <x v="0"/>
    <b v="0"/>
    <s v="No está en VPC"/>
    <n v="837"/>
    <s v="INTPG_VPC_837_1.27_842_1.27"/>
    <s v="ISEL-1.27"/>
    <n v="1"/>
    <s v="NO TIENE L3OUT"/>
    <n v="8"/>
    <n v="54"/>
  </r>
  <r>
    <n v="867"/>
    <x v="2"/>
    <x v="189"/>
    <s v="eth1/27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27"/>
    <x v="0"/>
    <x v="0"/>
    <x v="0"/>
    <s v="To_ITHFHWCRMDLCN44_Principal"/>
    <x v="0"/>
    <b v="0"/>
    <s v="No está en VPC"/>
    <n v="829"/>
    <s v="INTPG_ACC_829_1.27"/>
    <s v="ISEL-1.27"/>
    <n v="6"/>
    <s v="NO TIENE L3OUT"/>
    <n v="224"/>
    <n v="54"/>
  </r>
  <r>
    <n v="831"/>
    <x v="2"/>
    <x v="191"/>
    <s v="eth1/27"/>
    <x v="0"/>
    <x v="0"/>
    <x v="0"/>
    <s v="LINK_TO_ITHFHWCBSDSWR25 /Slot5.1 /Redundante"/>
    <x v="0"/>
    <b v="0"/>
    <s v="No está en VPC"/>
    <n v="831"/>
    <s v="INTPG_VPC_827_1.27_831_1.27"/>
    <s v="ISEL-1.27"/>
    <n v="1"/>
    <s v="NO TIENE L3OUT"/>
    <n v="14"/>
    <n v="54"/>
  </r>
  <r>
    <n v="802"/>
    <x v="2"/>
    <x v="192"/>
    <s v="eth1/27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27"/>
    <x v="0"/>
    <x v="0"/>
    <x v="0"/>
    <s v="LINK_TO_ITHFHWCBSPSHD31 / Slot1.2_14 / Principal"/>
    <x v="0"/>
    <b v="0"/>
    <s v="No está en VPC"/>
    <n v="835"/>
    <s v="INTPG_VPC_835_1.27_840_1.27"/>
    <s v="ISEL-1.27"/>
    <n v="1"/>
    <s v="NO TIENE L3OUT"/>
    <n v="8"/>
    <n v="54"/>
  </r>
  <r>
    <n v="822"/>
    <x v="2"/>
    <x v="194"/>
    <s v="eth1/27"/>
    <x v="0"/>
    <x v="0"/>
    <x v="0"/>
    <s v="LINK_TO_ITHFHWCBSPSUSBD18 /Slot6.2 /Redundante"/>
    <x v="0"/>
    <b v="0"/>
    <s v="No está en VPC"/>
    <n v="822"/>
    <s v="INTPG_VPC_817_1.27_822_1.27"/>
    <s v="ISEL-1.27"/>
    <n v="1"/>
    <s v="NO TIENE L3OUT"/>
    <n v="0"/>
    <n v="54"/>
  </r>
  <r>
    <n v="854"/>
    <x v="2"/>
    <x v="195"/>
    <s v="eth1/27"/>
    <x v="0"/>
    <x v="0"/>
    <x v="0"/>
    <s v="LINK_TO_ITHFHWCRMPLCN174 / Slot1.2_18 / Principal"/>
    <x v="0"/>
    <b v="0"/>
    <s v="No está en VPC"/>
    <n v="854"/>
    <s v="INTPG_ACC_854_1.27"/>
    <s v="ISEL-1.27"/>
    <n v="2"/>
    <s v="NO TIENE L3OUT"/>
    <n v="204"/>
    <n v="54"/>
  </r>
  <r>
    <n v="858"/>
    <x v="2"/>
    <x v="196"/>
    <s v="eth1/27"/>
    <x v="0"/>
    <x v="0"/>
    <x v="0"/>
    <s v="To_VPC_2DCBSD_HD45_3"/>
    <x v="0"/>
    <b v="0"/>
    <s v="No está en VPC"/>
    <n v="858"/>
    <s v="INTPG_VPC_858_1.27_863_1.27"/>
    <s v="ISEL-1.27"/>
    <n v="1"/>
    <s v="NO TIENE L3OUT"/>
    <n v="8"/>
    <n v="54"/>
  </r>
  <r>
    <n v="857"/>
    <x v="2"/>
    <x v="197"/>
    <s v="eth1/27"/>
    <x v="0"/>
    <x v="0"/>
    <x v="0"/>
    <s v="LINKT_TO_ITHFHWCRMPLCN124 / Slot1.2_18 / Principal"/>
    <x v="0"/>
    <b v="0"/>
    <s v="No está en VPC"/>
    <n v="857"/>
    <s v="INTPG_ACC_857_1.27"/>
    <s v="ISEL-1.27"/>
    <n v="2"/>
    <s v="NO TIENE L3OUT"/>
    <n v="288"/>
    <n v="54"/>
  </r>
  <r>
    <n v="859"/>
    <x v="2"/>
    <x v="198"/>
    <s v="eth1/27"/>
    <x v="0"/>
    <x v="0"/>
    <x v="0"/>
    <s v="To_VPC_2DCBSD_WR44_3"/>
    <x v="0"/>
    <b v="0"/>
    <s v="No está en VPC"/>
    <n v="859"/>
    <s v="INTPG_VPC_859_1.27_864_1.27"/>
    <s v="ISEL-1.27"/>
    <n v="1"/>
    <s v="NO TIENE L3OUT"/>
    <n v="0"/>
    <n v="54"/>
  </r>
  <r>
    <n v="833"/>
    <x v="2"/>
    <x v="199"/>
    <s v="eth1/27"/>
    <x v="0"/>
    <x v="0"/>
    <x v="0"/>
    <s v="To_ITHFHWCRMDLCN44_Redundante"/>
    <x v="0"/>
    <b v="0"/>
    <s v="No está en VPC"/>
    <n v="833"/>
    <s v="INTPG_ACC_833_1.27"/>
    <s v="ISEL-1.27"/>
    <n v="6"/>
    <s v="NO TIENE L3OUT"/>
    <n v="224"/>
    <n v="54"/>
  </r>
  <r>
    <n v="818"/>
    <x v="2"/>
    <x v="200"/>
    <s v="eth1/27"/>
    <x v="0"/>
    <x v="0"/>
    <x v="0"/>
    <s v="LINK_TO_ITHFHWCBSPSWR33 /10GE.1 /Principal"/>
    <x v="0"/>
    <b v="0"/>
    <s v="No está en VPC"/>
    <n v="818"/>
    <s v="INTPG_VPC_818_1.27_823_1.27"/>
    <s v="ISEL-1.27"/>
    <n v="1"/>
    <s v="NO TIENE L3OUT"/>
    <n v="8"/>
    <n v="54"/>
  </r>
  <r>
    <n v="850"/>
    <x v="2"/>
    <x v="201"/>
    <s v="eth1/27"/>
    <x v="0"/>
    <x v="0"/>
    <x v="0"/>
    <s v="LINKT_TO_ITHFHWCRMPLCN124 / Slot7.2_18 / Redundante"/>
    <x v="0"/>
    <b v="0"/>
    <s v="No está en VPC"/>
    <n v="850"/>
    <s v="INTPG_ACC_850_1.27"/>
    <s v="ISEL-1.27"/>
    <n v="2"/>
    <s v="NO TIENE L3OUT"/>
    <n v="288"/>
    <n v="54"/>
  </r>
  <r>
    <n v="860"/>
    <x v="2"/>
    <x v="202"/>
    <s v="eth1/27"/>
    <x v="0"/>
    <x v="0"/>
    <x v="0"/>
    <s v="To_VPC_2DCBSD_TL05_3"/>
    <x v="0"/>
    <b v="0"/>
    <s v="No está en VPC"/>
    <n v="860"/>
    <s v="INTPG_VPC_860_1.27_865_1.27"/>
    <s v="ISEL-1.27"/>
    <n v="1"/>
    <s v="NO TIENE L3OUT"/>
    <n v="0"/>
    <n v="54"/>
  </r>
  <r>
    <n v="853"/>
    <x v="2"/>
    <x v="203"/>
    <s v="eth1/27"/>
    <x v="0"/>
    <x v="0"/>
    <x v="0"/>
    <s v="LINK_TO_ITHFHWCRMPLCN80 / Slot7.3_18 / Redundante"/>
    <x v="0"/>
    <b v="0"/>
    <s v="No está en VPC"/>
    <n v="853"/>
    <s v="INTPG_ACC_853_1.27"/>
    <s v="ISEL-1.27"/>
    <n v="1"/>
    <s v="NO TIENE L3OUT"/>
    <n v="242"/>
    <n v="54"/>
  </r>
  <r>
    <n v="790"/>
    <x v="2"/>
    <x v="204"/>
    <s v="eth1/27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27"/>
    <x v="0"/>
    <x v="1"/>
    <x v="1"/>
    <s v="ROAMING_ENCLOSURE"/>
    <x v="6"/>
    <b v="0"/>
    <s v="No está en VPC"/>
    <n v="105"/>
    <s v="INTPG_ACC_105_1.27"/>
    <s v="ISEL-1.27"/>
    <n v="1"/>
    <s v="NO TIENE L3OUT"/>
    <n v="106"/>
    <n v="96"/>
  </r>
  <r>
    <n v="117"/>
    <x v="0"/>
    <x v="206"/>
    <s v="eth1/27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27"/>
    <x v="0"/>
    <x v="1"/>
    <x v="1"/>
    <s v="SFLDI"/>
    <x v="6"/>
    <b v="0"/>
    <s v="No está en VPC"/>
    <n v="104"/>
    <s v="INTPG_ACC_104_1.27"/>
    <s v="ISEL-1.27"/>
    <n v="1"/>
    <s v="NO TIENE L3OUT"/>
    <n v="194"/>
    <n v="96"/>
  </r>
  <r>
    <n v="158"/>
    <x v="0"/>
    <x v="208"/>
    <s v="eth1/27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27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27"/>
    <x v="0"/>
    <x v="1"/>
    <x v="0"/>
    <s v="TO-ITHFXFPOCXLCN01"/>
    <x v="4"/>
    <b v="0"/>
    <s v="No está en VPC"/>
    <n v="879"/>
    <s v="INTPG_VPC_878_1.27_879_1.27"/>
    <s v="ISEL-1.27"/>
    <n v="1"/>
    <s v="NO TIENE L3OUT"/>
    <n v="0"/>
    <n v="54"/>
  </r>
  <r>
    <n v="108"/>
    <x v="0"/>
    <x v="211"/>
    <s v="eth1/27"/>
    <x v="0"/>
    <x v="0"/>
    <x v="0"/>
    <s v="GESTION WAS "/>
    <x v="6"/>
    <b v="0"/>
    <s v="No está en VPC"/>
    <n v="108"/>
    <s v="INTPG_ACC_108_1.27"/>
    <s v="ISEL-1.27"/>
    <n v="1"/>
    <s v="NO TIENE L3OUT"/>
    <n v="126"/>
    <n v="96"/>
  </r>
  <r>
    <n v="112"/>
    <x v="0"/>
    <x v="212"/>
    <s v="eth1/27"/>
    <x v="0"/>
    <x v="0"/>
    <x v="0"/>
    <s v="APROVISIONAMIENTO DE SERVICIOS"/>
    <x v="6"/>
    <b v="0"/>
    <s v="No está en VPC"/>
    <n v="112"/>
    <s v="INTPG_ACC_112_1.27"/>
    <s v="ISEL-1.27"/>
    <n v="1"/>
    <s v="NO TIENE L3OUT"/>
    <n v="144"/>
    <n v="96"/>
  </r>
  <r>
    <n v="107"/>
    <x v="0"/>
    <x v="213"/>
    <s v="eth1/27"/>
    <x v="0"/>
    <x v="0"/>
    <x v="0"/>
    <m/>
    <x v="6"/>
    <b v="0"/>
    <s v="No está en VPC"/>
    <n v="107"/>
    <s v="INTPG_ACC_107_1.27"/>
    <s v="ISEL-1.27"/>
    <n v="1"/>
    <s v="NO TIENE L3OUT"/>
    <n v="118"/>
    <n v="96"/>
  </r>
  <r>
    <n v="109"/>
    <x v="0"/>
    <x v="214"/>
    <s v="eth1/27"/>
    <x v="0"/>
    <x v="0"/>
    <x v="0"/>
    <s v="SISTEMA GENERAL(SGAI)"/>
    <x v="6"/>
    <b v="0"/>
    <s v="No está en VPC"/>
    <n v="109"/>
    <s v="INTPG_ACC_109_1.27"/>
    <s v="ISEL-1.27"/>
    <n v="1"/>
    <s v="NO TIENE L3OUT"/>
    <n v="126"/>
    <n v="96"/>
  </r>
  <r>
    <n v="113"/>
    <x v="0"/>
    <x v="215"/>
    <s v="eth1/27"/>
    <x v="0"/>
    <x v="0"/>
    <x v="0"/>
    <s v="RLVYCAN02"/>
    <x v="6"/>
    <b v="0"/>
    <s v="No está en VPC"/>
    <n v="113"/>
    <s v="INTPG_ACC_113_1.27"/>
    <s v="ISEL-1.27"/>
    <n v="1"/>
    <s v="NO TIENE L3OUT"/>
    <n v="52"/>
    <n v="96"/>
  </r>
  <r>
    <n v="114"/>
    <x v="0"/>
    <x v="216"/>
    <s v="eth1/27"/>
    <x v="0"/>
    <x v="0"/>
    <x v="0"/>
    <s v="CHARGING SYSTEM"/>
    <x v="6"/>
    <b v="0"/>
    <s v="No está en VPC"/>
    <n v="114"/>
    <s v="INTPG_ACC_114_1.27"/>
    <s v="ISEL-1.27"/>
    <n v="1"/>
    <s v="NO TIENE L3OUT"/>
    <n v="144"/>
    <n v="96"/>
  </r>
  <r>
    <n v="124"/>
    <x v="0"/>
    <x v="217"/>
    <s v="eth1/27"/>
    <x v="1"/>
    <x v="1"/>
    <x v="2"/>
    <s v="Politicas de Navegacion"/>
    <x v="6"/>
    <b v="0"/>
    <s v="No está en VPC"/>
    <n v="124"/>
    <s v="INTPG_VPC_124_1.26-27_125_1.29-30"/>
    <s v="ISEL-1.27"/>
    <n v="5"/>
    <s v="NO TIENE L3OUT"/>
    <n v="80"/>
    <n v="96"/>
  </r>
  <r>
    <n v="118"/>
    <x v="0"/>
    <x v="218"/>
    <s v="eth1/27"/>
    <x v="0"/>
    <x v="0"/>
    <x v="0"/>
    <s v="DATOS NETCRACKER"/>
    <x v="6"/>
    <b v="0"/>
    <s v="No está en VPC"/>
    <n v="118"/>
    <s v="INTPG_ACC_118_1.27"/>
    <s v="ISEL-1.27"/>
    <n v="1"/>
    <s v="NO TIENE L3OUT"/>
    <n v="180"/>
    <n v="96"/>
  </r>
  <r>
    <n v="159"/>
    <x v="0"/>
    <x v="219"/>
    <s v="eth1/27"/>
    <x v="0"/>
    <x v="0"/>
    <x v="0"/>
    <s v="ArrobaDOC Y CF"/>
    <x v="6"/>
    <b v="0"/>
    <s v="No está en VPC"/>
    <n v="159"/>
    <s v="INTPG_ACC_159_1.27"/>
    <s v="ISEL-1.27"/>
    <n v="1"/>
    <s v="NO TIENE L3OUT"/>
    <n v="72"/>
    <n v="96"/>
  </r>
  <r>
    <n v="840"/>
    <x v="2"/>
    <x v="220"/>
    <s v="eth1/27"/>
    <x v="0"/>
    <x v="0"/>
    <x v="0"/>
    <s v="LINK_TO_ITHFHWCBSPSHD31 / Slot7.2_14 / Redundante"/>
    <x v="0"/>
    <b v="0"/>
    <s v="No está en VPC"/>
    <n v="840"/>
    <s v="INTPG_VPC_835_1.27_840_1.27"/>
    <s v="ISEL-1.27"/>
    <n v="1"/>
    <s v="NO TIENE L3OUT"/>
    <n v="8"/>
    <n v="54"/>
  </r>
  <r>
    <n v="856"/>
    <x v="2"/>
    <x v="221"/>
    <s v="eth1/27"/>
    <x v="0"/>
    <x v="0"/>
    <x v="0"/>
    <s v="LINK_TO_ITHFHWCRMPLCN143 / Slot1.2_20 / Principal"/>
    <x v="0"/>
    <b v="0"/>
    <s v="No está en VPC"/>
    <n v="856"/>
    <s v="INTPG_ACC_856_1.27"/>
    <s v="ISEL-1.27"/>
    <n v="2"/>
    <s v="NO TIENE L3OUT"/>
    <n v="286"/>
    <n v="54"/>
  </r>
  <r>
    <n v="110"/>
    <x v="0"/>
    <x v="222"/>
    <s v="eth1/27"/>
    <x v="0"/>
    <x v="0"/>
    <x v="0"/>
    <s v="UXDX-DATOS"/>
    <x v="6"/>
    <b v="0"/>
    <s v="No está en VPC"/>
    <n v="110"/>
    <s v="INTPG_ACC_110_1.27"/>
    <s v="ISEL-1.27"/>
    <n v="1"/>
    <s v="NO TIENE L3OUT"/>
    <n v="102"/>
    <n v="96"/>
  </r>
  <r>
    <n v="163"/>
    <x v="0"/>
    <x v="223"/>
    <s v="eth1/27"/>
    <x v="0"/>
    <x v="0"/>
    <x v="0"/>
    <s v="UXOXXO02B(VTAE)"/>
    <x v="6"/>
    <b v="0"/>
    <s v="No está en VPC"/>
    <n v="163"/>
    <s v="INTPG_ACC_163_1.27"/>
    <s v="ISEL-1.27"/>
    <n v="1"/>
    <s v="NO TIENE L3OUT"/>
    <n v="140"/>
    <n v="96"/>
  </r>
  <r>
    <n v="407"/>
    <x v="1"/>
    <x v="224"/>
    <s v="eth1/27"/>
    <x v="0"/>
    <x v="0"/>
    <x v="0"/>
    <s v="ARIESO_LTE_RLR3ARI11"/>
    <x v="6"/>
    <b v="0"/>
    <s v="No está en VPC"/>
    <n v="407"/>
    <s v="INTPG_ACC_407_1.27"/>
    <s v="ISEL-1.27"/>
    <n v="1"/>
    <s v="NO TIENE L3OUT"/>
    <n v="122"/>
    <n v="96"/>
  </r>
  <r>
    <n v="171"/>
    <x v="0"/>
    <x v="225"/>
    <s v="eth1/27"/>
    <x v="0"/>
    <x v="1"/>
    <x v="1"/>
    <s v="NFA"/>
    <x v="6"/>
    <b v="0"/>
    <s v="No está en VPC"/>
    <n v="171"/>
    <s v="INTPG_ACC_171_1.27"/>
    <s v="ISEL-1.27"/>
    <n v="1"/>
    <s v="NO TIENE L3OUT"/>
    <n v="114"/>
    <n v="96"/>
  </r>
  <r>
    <n v="421"/>
    <x v="1"/>
    <x v="226"/>
    <s v="eth1/27"/>
    <x v="0"/>
    <x v="0"/>
    <x v="0"/>
    <s v="Prime-UCS-CLU1-A"/>
    <x v="6"/>
    <b v="0"/>
    <s v="No está en VPC"/>
    <n v="421"/>
    <s v="INTPG_ACC_421_1.27"/>
    <s v="ISEL-1.27"/>
    <n v="1"/>
    <s v="NO TIENE L3OUT"/>
    <n v="72"/>
    <n v="96"/>
  </r>
  <r>
    <n v="173"/>
    <x v="0"/>
    <x v="227"/>
    <s v="eth1/27"/>
    <x v="0"/>
    <x v="1"/>
    <x v="1"/>
    <s v="ENIQ"/>
    <x v="6"/>
    <b v="0"/>
    <s v="No está en VPC"/>
    <n v="173"/>
    <s v="INTPG_ACC_173_1.27"/>
    <s v="ISEL-1.27"/>
    <n v="1"/>
    <s v="NO TIENE L3OUT"/>
    <n v="66"/>
    <n v="96"/>
  </r>
  <r>
    <n v="154"/>
    <x v="0"/>
    <x v="228"/>
    <s v="eth1/27"/>
    <x v="0"/>
    <x v="1"/>
    <x v="1"/>
    <s v="BLOQUEO EMEI"/>
    <x v="6"/>
    <b v="0"/>
    <s v="No está en VPC"/>
    <n v="154"/>
    <s v="INTPG_ACC_154_1.27"/>
    <s v="ISEL-1.27"/>
    <n v="1"/>
    <s v="NO TIENE L3OUT"/>
    <n v="62"/>
    <n v="96"/>
  </r>
  <r>
    <n v="172"/>
    <x v="0"/>
    <x v="229"/>
    <s v="eth1/27"/>
    <x v="0"/>
    <x v="1"/>
    <x v="1"/>
    <s v="netqosSHr9-01_ilom"/>
    <x v="6"/>
    <b v="0"/>
    <s v="No está en VPC"/>
    <n v="172"/>
    <s v="INTPG_ACC_172_1.27"/>
    <s v="ISEL-1.27"/>
    <n v="1"/>
    <s v="NO TIENE L3OUT"/>
    <n v="104"/>
    <n v="96"/>
  </r>
  <r>
    <n v="420"/>
    <x v="1"/>
    <x v="230"/>
    <s v="eth1/27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27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27"/>
    <x v="0"/>
    <x v="0"/>
    <x v="0"/>
    <s v="To-uxingemc1 ldom3 uxsmart02"/>
    <x v="6"/>
    <b v="0"/>
    <s v="No está en VPC"/>
    <n v="415"/>
    <s v="INTPG_ACC_415_1.27"/>
    <s v="ISEL-1.27"/>
    <n v="1"/>
    <s v="NO TIENE L3OUT"/>
    <n v="52"/>
    <n v="96"/>
  </r>
  <r>
    <n v="102"/>
    <x v="0"/>
    <x v="233"/>
    <s v="eth1/27"/>
    <x v="0"/>
    <x v="1"/>
    <x v="1"/>
    <s v="SFLDI:RLDISTG02:1"/>
    <x v="6"/>
    <b v="0"/>
    <s v="No está en VPC"/>
    <n v="102"/>
    <s v="INTPG_ACC_102_1.27"/>
    <s v="ISEL-1.27"/>
    <n v="1"/>
    <s v="NO TIENE L3OUT"/>
    <n v="228"/>
    <n v="96"/>
  </r>
  <r>
    <n v="863"/>
    <x v="2"/>
    <x v="234"/>
    <s v="eth1/27"/>
    <x v="0"/>
    <x v="0"/>
    <x v="0"/>
    <s v="To_VPC_2DCBSD_HD45_3"/>
    <x v="0"/>
    <b v="0"/>
    <s v="No está en VPC"/>
    <n v="863"/>
    <s v="INTPG_VPC_858_1.27_863_1.27"/>
    <s v="ISEL-1.27"/>
    <n v="1"/>
    <s v="NO TIENE L3OUT"/>
    <n v="8"/>
    <n v="54"/>
  </r>
  <r>
    <n v="876"/>
    <x v="2"/>
    <x v="235"/>
    <s v="eth1/27"/>
    <x v="0"/>
    <x v="0"/>
    <x v="0"/>
    <s v="A_ITHFHWSEQLCAS26_Principal"/>
    <x v="4"/>
    <b v="0"/>
    <s v="No está en VPC"/>
    <n v="876"/>
    <s v="INTPG_ACC_876_1.27"/>
    <s v="ISEL-1.27"/>
    <n v="1"/>
    <s v="NO TIENE L3OUT"/>
    <n v="92"/>
    <n v="54"/>
  </r>
  <r>
    <n v="877"/>
    <x v="2"/>
    <x v="236"/>
    <s v="eth1/27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27"/>
    <x v="0"/>
    <x v="0"/>
    <x v="0"/>
    <s v="IXTRTC5"/>
    <x v="6"/>
    <b v="0"/>
    <s v="No está en VPC"/>
    <n v="122"/>
    <s v="INTPG_ACC_122_1.27"/>
    <s v="ISEL-1.27"/>
    <n v="1"/>
    <s v="NO TIENE L3OUT"/>
    <n v="148"/>
    <n v="96"/>
  </r>
  <r>
    <n v="157"/>
    <x v="0"/>
    <x v="238"/>
    <s v="eth1/27"/>
    <x v="1"/>
    <x v="1"/>
    <x v="2"/>
    <s v="RED CRICKET"/>
    <x v="6"/>
    <b v="0"/>
    <s v="No está en VPC"/>
    <n v="157"/>
    <s v="INTPG_ACC_157_1.27"/>
    <s v="ISEL-1.27"/>
    <n v="1"/>
    <s v="NO TIENE L3OUT"/>
    <n v="202"/>
    <n v="96"/>
  </r>
  <r>
    <n v="408"/>
    <x v="1"/>
    <x v="239"/>
    <s v="eth1/27"/>
    <x v="0"/>
    <x v="0"/>
    <x v="0"/>
    <s v="FS101"/>
    <x v="6"/>
    <b v="0"/>
    <s v="No está en VPC"/>
    <n v="408"/>
    <s v="INTPG_ACC_408_1.27"/>
    <s v="ISEL-1.27"/>
    <n v="1"/>
    <s v="NO TIENE L3OUT"/>
    <n v="152"/>
    <n v="96"/>
  </r>
  <r>
    <n v="405"/>
    <x v="1"/>
    <x v="240"/>
    <s v="eth1/27"/>
    <x v="0"/>
    <x v="0"/>
    <x v="0"/>
    <s v="XL6 RLR6ARI06 ILO"/>
    <x v="6"/>
    <b v="0"/>
    <s v="No está en VPC"/>
    <n v="405"/>
    <s v="INTPG_ACC_405_1.27"/>
    <s v="ISEL-1.27"/>
    <n v="1"/>
    <s v="NO TIENE L3OUT"/>
    <n v="138"/>
    <n v="96"/>
  </r>
  <r>
    <n v="169"/>
    <x v="0"/>
    <x v="241"/>
    <s v="eth1/27"/>
    <x v="0"/>
    <x v="0"/>
    <x v="0"/>
    <s v="LINKDOWN_HACIA_UCS_9UCS-IXTLA-SERV1"/>
    <x v="6"/>
    <b v="0"/>
    <s v="No está en VPC"/>
    <n v="169"/>
    <s v="INTPG_ACC_169_1.27"/>
    <s v="ISEL-1.27"/>
    <n v="1"/>
    <s v="NO TIENE L3OUT"/>
    <n v="76"/>
    <n v="96"/>
  </r>
  <r>
    <n v="165"/>
    <x v="0"/>
    <x v="242"/>
    <s v="eth1/27"/>
    <x v="0"/>
    <x v="0"/>
    <x v="0"/>
    <m/>
    <x v="6"/>
    <b v="0"/>
    <s v="No está en VPC"/>
    <n v="165"/>
    <s v="INTPG_ACC_165_1.27"/>
    <s v="ISEL-1.27"/>
    <n v="0"/>
    <s v="NO TIENE L3OUT"/>
    <n v="86"/>
    <n v="96"/>
  </r>
  <r>
    <n v="417"/>
    <x v="1"/>
    <x v="243"/>
    <s v="eth1/27"/>
    <x v="0"/>
    <x v="0"/>
    <x v="0"/>
    <s v="TO-ITHFHPNBURBKP08-PRINCIPAL"/>
    <x v="6"/>
    <b v="0"/>
    <s v="No está en VPC"/>
    <n v="417"/>
    <s v="INTPG_ACC_417_1.27"/>
    <s v="ISEL-1.27"/>
    <n v="1"/>
    <s v="NO TIENE L3OUT"/>
    <n v="56"/>
    <n v="96"/>
  </r>
  <r>
    <n v="153"/>
    <x v="0"/>
    <x v="244"/>
    <s v="eth1/27"/>
    <x v="0"/>
    <x v="1"/>
    <x v="1"/>
    <s v="DCX-8510-4B 01"/>
    <x v="6"/>
    <b v="0"/>
    <s v="No está en VPC"/>
    <n v="153"/>
    <s v="INTPG_ACC_153_1.27"/>
    <s v="ISEL-1.27"/>
    <n v="1"/>
    <s v="NO TIENE L3OUT"/>
    <n v="42"/>
    <n v="96"/>
  </r>
  <r>
    <n v="119"/>
    <x v="0"/>
    <x v="245"/>
    <s v="eth1/27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27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27"/>
    <x v="0"/>
    <x v="1"/>
    <x v="1"/>
    <s v="CAMPANAS 01-02:uxobie07:ent0"/>
    <x v="6"/>
    <b v="0"/>
    <s v="No está en VPC"/>
    <n v="103"/>
    <s v="INTPG_ACC_103_1.27"/>
    <s v="ISEL-1.27"/>
    <n v="1"/>
    <s v="NO TIENE L3OUT"/>
    <n v="70"/>
    <n v="96"/>
  </r>
  <r>
    <n v="438"/>
    <x v="1"/>
    <x v="248"/>
    <s v="eth1/27"/>
    <x v="0"/>
    <x v="0"/>
    <x v="0"/>
    <s v="VBLOCK4"/>
    <x v="6"/>
    <b v="0"/>
    <s v="No está en VPC"/>
    <n v="438"/>
    <s v="INTPG_VPC_436_1.27-28_438_1.27_29"/>
    <s v="ISEL-1.27"/>
    <n v="3"/>
    <s v="NO TIENE L3OUT"/>
    <n v="170"/>
    <n v="96"/>
  </r>
  <r>
    <n v="406"/>
    <x v="1"/>
    <x v="249"/>
    <s v="eth1/27"/>
    <x v="0"/>
    <x v="0"/>
    <x v="0"/>
    <s v="ITHRTC62VC1"/>
    <x v="6"/>
    <b v="0"/>
    <s v="No está en VPC"/>
    <n v="406"/>
    <s v="INTPG_VPC_404_1.27_406_1.27"/>
    <s v="ISEL-1.27"/>
    <n v="1"/>
    <s v="NO TIENE L3OUT"/>
    <n v="82"/>
    <n v="96"/>
  </r>
  <r>
    <n v="414"/>
    <x v="1"/>
    <x v="250"/>
    <s v="eth1/27"/>
    <x v="0"/>
    <x v="0"/>
    <x v="0"/>
    <s v="NET1"/>
    <x v="6"/>
    <b v="0"/>
    <s v="No está en VPC"/>
    <n v="414"/>
    <s v="INTPG_ACC_414_1.27"/>
    <s v="ISEL-1.27"/>
    <n v="1"/>
    <s v="NO TIENE L3OUT"/>
    <n v="144"/>
    <n v="96"/>
  </r>
  <r>
    <n v="416"/>
    <x v="1"/>
    <x v="251"/>
    <s v="eth1/27"/>
    <x v="0"/>
    <x v="0"/>
    <x v="0"/>
    <s v="DESC"/>
    <x v="6"/>
    <b v="0"/>
    <s v="No está en VPC"/>
    <n v="416"/>
    <s v="INTPG_PC_416_1.26-27"/>
    <s v="ISEL-1.27"/>
    <n v="1"/>
    <s v="NO TIENE L3OUT"/>
    <n v="110"/>
    <n v="96"/>
  </r>
  <r>
    <n v="418"/>
    <x v="1"/>
    <x v="252"/>
    <s v="eth1/27"/>
    <x v="0"/>
    <x v="0"/>
    <x v="0"/>
    <s v="DESC"/>
    <x v="6"/>
    <b v="0"/>
    <s v="No está en VPC"/>
    <n v="418"/>
    <s v="INTPG_PC_418_1.26-27"/>
    <s v="ISEL-1.27"/>
    <n v="1"/>
    <s v="NO TIENE L3OUT"/>
    <n v="152"/>
    <n v="96"/>
  </r>
  <r>
    <n v="413"/>
    <x v="1"/>
    <x v="253"/>
    <s v="eth1/27"/>
    <x v="0"/>
    <x v="0"/>
    <x v="0"/>
    <s v="lagidmhlapvp10_produccion1"/>
    <x v="6"/>
    <b v="0"/>
    <s v="No está en VPC"/>
    <n v="413"/>
    <s v="INTPG_VPC_411_1.31-34_413_1.24-27"/>
    <s v="ISEL-1.27"/>
    <n v="2"/>
    <s v="NO TIENE L3OUT"/>
    <n v="126"/>
    <n v="96"/>
  </r>
  <r>
    <n v="403"/>
    <x v="1"/>
    <x v="254"/>
    <s v="eth1/27"/>
    <x v="0"/>
    <x v="0"/>
    <x v="0"/>
    <s v="XL6 RLR6ARI06"/>
    <x v="6"/>
    <b v="0"/>
    <s v="No está en VPC"/>
    <n v="403"/>
    <s v="INTPG_ACC_403_1.27"/>
    <s v="ISEL-1.27"/>
    <n v="1"/>
    <s v="NO TIENE L3OUT"/>
    <n v="150"/>
    <n v="96"/>
  </r>
  <r>
    <n v="125"/>
    <x v="0"/>
    <x v="255"/>
    <s v="eth1/27"/>
    <x v="0"/>
    <x v="1"/>
    <x v="1"/>
    <s v="3G_OSS_QRO_R6"/>
    <x v="6"/>
    <b v="0"/>
    <s v="No está en VPC"/>
    <n v="125"/>
    <s v="INTPG_VPC_124_1.23_39_125_1.27_40"/>
    <s v="ISEL-1.27"/>
    <n v="5"/>
    <s v="NO TIENE L3OUT"/>
    <n v="72"/>
    <n v="96"/>
  </r>
  <r>
    <n v="166"/>
    <x v="0"/>
    <x v="256"/>
    <s v="eth1/27"/>
    <x v="0"/>
    <x v="0"/>
    <x v="0"/>
    <s v="NPG_DOC"/>
    <x v="6"/>
    <b v="0"/>
    <s v="No está en VPC"/>
    <n v="166"/>
    <s v="INTPG_ACC_166_1.27"/>
    <s v="ISEL-1.27"/>
    <n v="1"/>
    <s v="NO TIENE L3OUT"/>
    <n v="84"/>
    <n v="96"/>
  </r>
  <r>
    <n v="111"/>
    <x v="0"/>
    <x v="257"/>
    <s v="eth1/27"/>
    <x v="0"/>
    <x v="0"/>
    <x v="0"/>
    <s v="UXDX-DATOS"/>
    <x v="6"/>
    <b v="0"/>
    <s v="No está en VPC"/>
    <n v="111"/>
    <s v="INTPG_ACC_111_1.27"/>
    <s v="ISEL-1.27"/>
    <n v="1"/>
    <s v="NO TIENE L3OUT"/>
    <n v="58"/>
    <n v="96"/>
  </r>
  <r>
    <n v="115"/>
    <x v="0"/>
    <x v="258"/>
    <s v="eth1/27"/>
    <x v="0"/>
    <x v="0"/>
    <x v="0"/>
    <s v="RLVYCAN03ILO"/>
    <x v="6"/>
    <b v="0"/>
    <s v="No está en VPC"/>
    <n v="115"/>
    <s v="INTPG_ACC_115_1.27"/>
    <s v="ISEL-1.27"/>
    <n v="1"/>
    <s v="NO TIENE L3OUT"/>
    <n v="42"/>
    <n v="96"/>
  </r>
  <r>
    <n v="106"/>
    <x v="0"/>
    <x v="259"/>
    <s v="eth1/27"/>
    <x v="0"/>
    <x v="0"/>
    <x v="0"/>
    <s v="OPEN VIEW BACK"/>
    <x v="6"/>
    <b v="0"/>
    <s v="No está en VPC"/>
    <n v="106"/>
    <s v="INTPG_ACC_106_1.27"/>
    <s v="ISEL-1.27"/>
    <n v="1"/>
    <s v="NO TIENE L3OUT"/>
    <n v="122"/>
    <n v="96"/>
  </r>
  <r>
    <n v="126"/>
    <x v="0"/>
    <x v="260"/>
    <s v="eth1/27"/>
    <x v="0"/>
    <x v="0"/>
    <x v="0"/>
    <s v="ENIQ"/>
    <x v="6"/>
    <b v="0"/>
    <s v="No está en VPC"/>
    <n v="126"/>
    <s v="INTPG_PC_126_1.25-29_36"/>
    <s v="ISEL-1.27"/>
    <n v="3"/>
    <s v="NO TIENE L3OUT"/>
    <n v="54"/>
    <n v="96"/>
  </r>
  <r>
    <n v="425"/>
    <x v="1"/>
    <x v="261"/>
    <s v="eth1/27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27"/>
    <x v="0"/>
    <x v="0"/>
    <x v="0"/>
    <s v="ETLI-SACI 9"/>
    <x v="6"/>
    <b v="0"/>
    <s v="No está en VPC"/>
    <n v="151"/>
    <s v="INTPG_ACC_151_1.27"/>
    <s v="ISEL-1.27"/>
    <n v="1"/>
    <s v="NO TIENE L3OUT"/>
    <n v="86"/>
    <n v="96"/>
  </r>
  <r>
    <n v="430"/>
    <x v="1"/>
    <x v="263"/>
    <s v="eth1/27"/>
    <x v="0"/>
    <x v="0"/>
    <x v="0"/>
    <s v="DESC"/>
    <x v="6"/>
    <b v="0"/>
    <s v="No está en VPC"/>
    <n v="430"/>
    <s v="INTPG_PC_430_1.27-28"/>
    <s v="ISEL-1.27"/>
    <n v="1"/>
    <s v="NO TIENE L3OUT"/>
    <n v="86"/>
    <n v="96"/>
  </r>
  <r>
    <n v="419"/>
    <x v="1"/>
    <x v="264"/>
    <s v="eth1/27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27"/>
    <x v="1"/>
    <x v="1"/>
    <x v="2"/>
    <s v="Consolidaci\u00f3n Aplicaciones Prepago"/>
    <x v="6"/>
    <b v="0"/>
    <s v="No está en VPC"/>
    <n v="155"/>
    <s v="INTPG_ACC_155_1.27"/>
    <s v="ISEL-1.27"/>
    <n v="0"/>
    <s v="NO TIENE L3OUT"/>
    <n v="198"/>
    <n v="96"/>
  </r>
  <r>
    <n v="409"/>
    <x v="1"/>
    <x v="266"/>
    <s v="eth1/27"/>
    <x v="0"/>
    <x v="0"/>
    <x v="0"/>
    <s v="ITHSAN2C"/>
    <x v="6"/>
    <b v="0"/>
    <s v="No está en VPC"/>
    <n v="409"/>
    <s v="INTPG_ACC_409_1.27"/>
    <s v="ISEL-1.27"/>
    <n v="1"/>
    <s v="NO TIENE L3OUT"/>
    <n v="128"/>
    <n v="96"/>
  </r>
  <r>
    <n v="422"/>
    <x v="1"/>
    <x v="267"/>
    <s v="eth1/27"/>
    <x v="0"/>
    <x v="0"/>
    <x v="0"/>
    <s v="IXTSD970A"/>
    <x v="6"/>
    <b v="0"/>
    <s v="No está en VPC"/>
    <n v="422"/>
    <s v="INTPG_ACC_422_1.27"/>
    <s v="ISEL-1.27"/>
    <n v="1"/>
    <s v="NO TIENE L3OUT"/>
    <n v="182"/>
    <n v="96"/>
  </r>
  <r>
    <n v="436"/>
    <x v="1"/>
    <x v="268"/>
    <s v="eth1/27"/>
    <x v="0"/>
    <x v="0"/>
    <x v="0"/>
    <s v="VBLOCK4"/>
    <x v="6"/>
    <b v="0"/>
    <s v="No está en VPC"/>
    <n v="436"/>
    <s v="INTPG_VPC_436_1.27-28_438_1.27_29"/>
    <s v="ISEL-1.27"/>
    <n v="3"/>
    <s v="NO TIENE L3OUT"/>
    <n v="172"/>
    <n v="96"/>
  </r>
  <r>
    <n v="410"/>
    <x v="1"/>
    <x v="269"/>
    <s v="eth1/27"/>
    <x v="0"/>
    <x v="0"/>
    <x v="0"/>
    <s v="ITHMSVB3_ITH0"/>
    <x v="6"/>
    <b v="0"/>
    <s v="No está en VPC"/>
    <n v="410"/>
    <s v="INTPG_ACC_410_1.27"/>
    <s v="ISEL-1.27"/>
    <n v="1"/>
    <s v="NO TIENE L3OUT"/>
    <n v="178"/>
    <n v="96"/>
  </r>
  <r>
    <n v="161"/>
    <x v="0"/>
    <x v="270"/>
    <s v="eth1/27"/>
    <x v="0"/>
    <x v="0"/>
    <x v="0"/>
    <s v="PMAX"/>
    <x v="6"/>
    <b v="0"/>
    <s v="No está en VPC"/>
    <n v="161"/>
    <s v="INTPG_ACC_161_1.27"/>
    <s v="ISEL-1.27"/>
    <n v="1"/>
    <s v="NO TIENE L3OUT"/>
    <n v="102"/>
    <n v="96"/>
  </r>
  <r>
    <n v="411"/>
    <x v="1"/>
    <x v="271"/>
    <s v="eth1/27"/>
    <x v="0"/>
    <x v="0"/>
    <x v="0"/>
    <s v="To_lagidmhlapvp08_produccion1"/>
    <x v="6"/>
    <b v="0"/>
    <s v="No está en VPC"/>
    <n v="411"/>
    <s v="INTPG_VPC_411_1.26-29_413_1.19-20_22_86"/>
    <s v="ISEL-1.27"/>
    <n v="2"/>
    <s v="NO TIENE L3OUT"/>
    <n v="96"/>
    <n v="96"/>
  </r>
  <r>
    <n v="116"/>
    <x v="0"/>
    <x v="272"/>
    <s v="eth1/27"/>
    <x v="0"/>
    <x v="0"/>
    <x v="0"/>
    <s v="DATOS NETCRACKER"/>
    <x v="6"/>
    <b v="0"/>
    <s v="No está en VPC"/>
    <n v="116"/>
    <s v="INTPG_ACC_116_1.27"/>
    <s v="ISEL-1.27"/>
    <n v="1"/>
    <s v="NO TIENE L3OUT"/>
    <n v="148"/>
    <n v="96"/>
  </r>
  <r>
    <n v="412"/>
    <x v="1"/>
    <x v="273"/>
    <s v="eth1/27"/>
    <x v="0"/>
    <x v="0"/>
    <x v="0"/>
    <s v="NEC Femtocel NMS"/>
    <x v="6"/>
    <b v="0"/>
    <s v="No está en VPC"/>
    <n v="412"/>
    <s v="INTPG_ACC_412_1.27"/>
    <s v="ISEL-1.27"/>
    <n v="1"/>
    <s v="NO TIENE L3OUT"/>
    <n v="126"/>
    <n v="96"/>
  </r>
  <r>
    <n v="120"/>
    <x v="0"/>
    <x v="274"/>
    <s v="eth1/27"/>
    <x v="0"/>
    <x v="0"/>
    <x v="0"/>
    <s v="IXTRTC5"/>
    <x v="6"/>
    <b v="0"/>
    <s v="No está en VPC"/>
    <n v="120"/>
    <s v="INTPG_ACC_120_1.27"/>
    <s v="ISEL-1.27"/>
    <n v="1"/>
    <s v="NO TIENE L3OUT"/>
    <n v="158"/>
    <n v="96"/>
  </r>
  <r>
    <n v="404"/>
    <x v="1"/>
    <x v="275"/>
    <s v="eth1/27"/>
    <x v="0"/>
    <x v="0"/>
    <x v="0"/>
    <s v="ITHRTC62VC1"/>
    <x v="6"/>
    <b v="0"/>
    <s v="No está en VPC"/>
    <n v="404"/>
    <s v="INTPG_VPC_404_1.27_406_1.27"/>
    <s v="ISEL-1.27"/>
    <n v="1"/>
    <s v="NO TIENE L3OUT"/>
    <n v="92"/>
    <n v="96"/>
  </r>
  <r>
    <n v="167"/>
    <x v="0"/>
    <x v="276"/>
    <s v="eth1/27"/>
    <x v="0"/>
    <x v="0"/>
    <x v="0"/>
    <s v="CIMC_HACIA_UCS_9UCS-GEO-IXTLA-SERV1"/>
    <x v="6"/>
    <b v="0"/>
    <s v="No está en VPC"/>
    <n v="167"/>
    <s v="INTPG_ACC_167_1.27"/>
    <s v="ISEL-1.27"/>
    <n v="1"/>
    <s v="NO TIENE L3OUT"/>
    <n v="68"/>
    <n v="96"/>
  </r>
  <r>
    <n v="428"/>
    <x v="1"/>
    <x v="277"/>
    <s v="eth1/27"/>
    <x v="0"/>
    <x v="0"/>
    <x v="0"/>
    <s v="DESC"/>
    <x v="6"/>
    <b v="0"/>
    <s v="No está en VPC"/>
    <n v="428"/>
    <s v="INTPG_PC_428_1.27-28"/>
    <s v="ISEL-1.27"/>
    <n v="1"/>
    <s v="NO TIENE L3OUT"/>
    <n v="102"/>
    <n v="96"/>
  </r>
  <r>
    <n v="903"/>
    <x v="2"/>
    <x v="278"/>
    <s v="eth1/2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2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28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28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28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28"/>
    <x v="0"/>
    <x v="0"/>
    <x v="0"/>
    <s v="TO-ITHFDENBURMS04"/>
    <x v="0"/>
    <b v="0"/>
    <s v="No está en VPC"/>
    <n v="101"/>
    <s v="INTPG_VPC_101_1.28_150_1.28"/>
    <s v="ISEL-1.28"/>
    <n v="1"/>
    <s v="NO TIENE L3OUT"/>
    <n v="114"/>
    <n v="54"/>
  </r>
  <r>
    <n v="160"/>
    <x v="0"/>
    <x v="4"/>
    <s v="eth1/28"/>
    <x v="0"/>
    <x v="0"/>
    <x v="0"/>
    <s v="ArrobaDOC Y CF"/>
    <x v="1"/>
    <b v="0"/>
    <s v="No está en VPC"/>
    <n v="160"/>
    <s v="INTPG_ACC_160_1.28"/>
    <s v="ISEL-1.28"/>
    <n v="1"/>
    <s v="NO TIENE L3OUT"/>
    <n v="68"/>
    <n v="54"/>
  </r>
  <r>
    <n v="121"/>
    <x v="0"/>
    <x v="5"/>
    <s v="eth1/28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28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28"/>
    <x v="0"/>
    <x v="0"/>
    <x v="0"/>
    <s v="TO-UXSISAC9-LAGUXSISAC9"/>
    <x v="0"/>
    <b v="0"/>
    <s v="No está en VPC"/>
    <n v="401"/>
    <s v="INTPG_VPC_401_1.27-28_402_1.27-28"/>
    <s v="ISEL-1.28"/>
    <n v="1"/>
    <s v="NO TIENE L3OUT"/>
    <n v="40"/>
    <n v="54"/>
  </r>
  <r>
    <n v="402"/>
    <x v="1"/>
    <x v="8"/>
    <s v="eth1/28"/>
    <x v="0"/>
    <x v="0"/>
    <x v="0"/>
    <s v="TO-UXSISAC9-LAGUXSISAC9"/>
    <x v="0"/>
    <b v="0"/>
    <s v="No está en VPC"/>
    <n v="402"/>
    <s v="INTPG_VPC_401_1.27-28_402_1.27-28"/>
    <s v="ISEL-1.28"/>
    <n v="1"/>
    <s v="NO TIENE L3OUT"/>
    <n v="36"/>
    <n v="54"/>
  </r>
  <r>
    <n v="447"/>
    <x v="1"/>
    <x v="9"/>
    <s v="eth1/28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28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28"/>
    <x v="0"/>
    <x v="0"/>
    <x v="0"/>
    <s v="LAG-smt-comp-07"/>
    <x v="0"/>
    <b v="0"/>
    <s v="No está en VPC"/>
    <n v="130"/>
    <s v="INTPG_VPC_130_1.28-29_131_1.28-29"/>
    <s v="ISEL-1.28"/>
    <n v="4"/>
    <s v="NO TIENE L3OUT"/>
    <n v="128"/>
    <n v="54"/>
  </r>
  <r>
    <n v="150"/>
    <x v="0"/>
    <x v="12"/>
    <s v="eth1/28"/>
    <x v="0"/>
    <x v="0"/>
    <x v="0"/>
    <s v="TO-ITHFDENBURMS04"/>
    <x v="0"/>
    <b v="0"/>
    <s v="No está en VPC"/>
    <n v="150"/>
    <s v="INTPG_VPC_101_1.28_150_1.28"/>
    <s v="ISEL-1.28"/>
    <n v="1"/>
    <s v="NO TIENE L3OUT"/>
    <n v="118"/>
    <n v="54"/>
  </r>
  <r>
    <n v="131"/>
    <x v="0"/>
    <x v="13"/>
    <s v="eth1/28"/>
    <x v="0"/>
    <x v="0"/>
    <x v="0"/>
    <s v="LAG-smt-comp-07"/>
    <x v="0"/>
    <b v="0"/>
    <s v="No está en VPC"/>
    <n v="131"/>
    <s v="INTPG_VPC_130_1.28-29_131_1.28-29"/>
    <s v="ISEL-1.28"/>
    <n v="4"/>
    <s v="NO TIENE L3OUT"/>
    <n v="126"/>
    <n v="54"/>
  </r>
  <r>
    <n v="303"/>
    <x v="0"/>
    <x v="14"/>
    <s v="eth1/28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28"/>
    <x v="0"/>
    <x v="1"/>
    <x v="3"/>
    <m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28"/>
    <x v="1"/>
    <x v="1"/>
    <x v="3"/>
    <m/>
    <x v="2"/>
    <b v="0"/>
    <s v="No está en VPC"/>
    <n v="759"/>
    <s v="NO EXISTE PG"/>
    <s v="NO EXISTE ISEL"/>
    <n v="0"/>
    <s v="NO TIENE L3OUT"/>
    <n v="0"/>
    <n v="42"/>
  </r>
  <r>
    <n v="302"/>
    <x v="0"/>
    <x v="17"/>
    <s v="eth1/28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28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28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28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28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28"/>
    <x v="0"/>
    <x v="1"/>
    <x v="5"/>
    <m/>
    <x v="0"/>
    <b v="0"/>
    <s v="No está en VPC"/>
    <n v="727"/>
    <s v="INTPG-VPC_SLR13_726_1.27_727_1.28"/>
    <s v="ISEL-1.28"/>
    <n v="1"/>
    <s v="NO TIENE L3OUT"/>
    <n v="0"/>
    <n v="54"/>
  </r>
  <r>
    <n v="724"/>
    <x v="2"/>
    <x v="23"/>
    <s v="eth1/28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28"/>
    <x v="0"/>
    <x v="1"/>
    <x v="3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28"/>
    <x v="0"/>
    <x v="0"/>
    <x v="0"/>
    <m/>
    <x v="0"/>
    <b v="0"/>
    <s v="No está en VPC"/>
    <n v="725"/>
    <s v="INTPG-VPC_SLR16_724_1.27_725_1.28"/>
    <s v="ISEL-1.28"/>
    <n v="1"/>
    <s v="NO TIENE L3OUT"/>
    <n v="0"/>
    <n v="54"/>
  </r>
  <r>
    <n v="431"/>
    <x v="1"/>
    <x v="26"/>
    <s v="eth1/28"/>
    <x v="0"/>
    <x v="0"/>
    <x v="0"/>
    <s v="TO-DD8138PC1"/>
    <x v="0"/>
    <b v="0"/>
    <s v="No está en VPC"/>
    <n v="431"/>
    <s v="INTPG_VPC_431_1.28_448_1.28"/>
    <s v="ISEL-1.28"/>
    <n v="1"/>
    <s v="NO TIENE L3OUT"/>
    <n v="46"/>
    <n v="54"/>
  </r>
  <r>
    <n v="433"/>
    <x v="1"/>
    <x v="27"/>
    <s v="eth1/28"/>
    <x v="0"/>
    <x v="0"/>
    <x v="0"/>
    <s v="TO-ITHHWC1U-ITHUYBH01-PRINCIPAL"/>
    <x v="1"/>
    <b v="0"/>
    <s v="No está en VPC"/>
    <n v="433"/>
    <s v="INTPG_ACC_433_1.28"/>
    <s v="ISEL-1.28"/>
    <n v="1"/>
    <s v="NO TIENE L3OUT"/>
    <n v="42"/>
    <n v="54"/>
  </r>
  <r>
    <n v="429"/>
    <x v="1"/>
    <x v="28"/>
    <s v="eth1/28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28"/>
    <x v="0"/>
    <x v="0"/>
    <x v="0"/>
    <s v="TO-ithfhpficxrap01"/>
    <x v="1"/>
    <b v="0"/>
    <s v="No está en VPC"/>
    <n v="432"/>
    <s v="INTPG_VPC_432_1.28_434_1.27"/>
    <s v="ISEL-1.28"/>
    <n v="1"/>
    <s v="NO TIENE L3OUT"/>
    <n v="54"/>
    <n v="54"/>
  </r>
  <r>
    <n v="442"/>
    <x v="1"/>
    <x v="30"/>
    <s v="eth1/28"/>
    <x v="0"/>
    <x v="0"/>
    <x v="0"/>
    <s v="bmc_ithhwc3a2288h2_SECUNDARIO"/>
    <x v="1"/>
    <b v="0"/>
    <s v="No está en VPC"/>
    <n v="442"/>
    <s v="INTPG_ACC_442_1.28"/>
    <s v="ISEL-1.28"/>
    <n v="1"/>
    <s v="NO TIENE L3OUT"/>
    <n v="18"/>
    <n v="54"/>
  </r>
  <r>
    <n v="434"/>
    <x v="1"/>
    <x v="31"/>
    <s v="eth1/28"/>
    <x v="0"/>
    <x v="0"/>
    <x v="0"/>
    <s v="TO-ithfhpficxrbd01"/>
    <x v="1"/>
    <b v="0"/>
    <s v="No está en VPC"/>
    <n v="434"/>
    <s v="INTPG_VPC_432_1.30_434_1.28"/>
    <s v="ISEL-1.28"/>
    <n v="1"/>
    <s v="NO TIENE L3OUT"/>
    <n v="34"/>
    <n v="54"/>
  </r>
  <r>
    <n v="707"/>
    <x v="2"/>
    <x v="32"/>
    <s v="eth1/28"/>
    <x v="0"/>
    <x v="1"/>
    <x v="3"/>
    <s v="CEM_HADOOP"/>
    <x v="0"/>
    <b v="0"/>
    <s v="No está en VPC"/>
    <n v="707"/>
    <s v="INTPG_ACC_707_1.28"/>
    <s v="ISEL-1.28"/>
    <n v="1"/>
    <s v="NO TIENE L3OUT"/>
    <n v="54"/>
    <n v="54"/>
  </r>
  <r>
    <n v="712"/>
    <x v="2"/>
    <x v="33"/>
    <s v="eth1/28"/>
    <x v="1"/>
    <x v="1"/>
    <x v="3"/>
    <s v="CEM:ITHCEMA2ADT14:LOM  P2"/>
    <x v="0"/>
    <b v="0"/>
    <s v="No está en VPC"/>
    <n v="712"/>
    <s v="INTPG_VPC_713_1.27_712_1.28"/>
    <s v="ISEL-1.28"/>
    <n v="0"/>
    <s v="NO TIENE L3OUT"/>
    <n v="32"/>
    <n v="54"/>
  </r>
  <r>
    <n v="719"/>
    <x v="2"/>
    <x v="34"/>
    <s v="eth1/28"/>
    <x v="0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28"/>
    <x v="0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28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28"/>
    <x v="0"/>
    <x v="1"/>
    <x v="5"/>
    <s v="CEM:ITHCEMD2ADT14:LOM  P2"/>
    <x v="0"/>
    <b v="0"/>
    <s v="No está en VPC"/>
    <n v="711"/>
    <s v="INTPG_VPC_710_1.27_711_1.28"/>
    <s v="ISEL-1.28"/>
    <n v="1"/>
    <s v="NO TIENE L3OUT"/>
    <n v="16"/>
    <n v="54"/>
  </r>
  <r>
    <n v="716"/>
    <x v="2"/>
    <x v="38"/>
    <s v="eth1/28"/>
    <x v="0"/>
    <x v="0"/>
    <x v="0"/>
    <m/>
    <x v="0"/>
    <b v="0"/>
    <s v="No está en VPC"/>
    <n v="716"/>
    <s v="INTPG-VPC_KFK03_715_1.27_716_1.28"/>
    <s v="ISEL-1.28"/>
    <n v="1"/>
    <s v="NO TIENE L3OUT"/>
    <n v="0"/>
    <n v="54"/>
  </r>
  <r>
    <n v="702"/>
    <x v="2"/>
    <x v="39"/>
    <s v="eth1/28"/>
    <x v="0"/>
    <x v="1"/>
    <x v="5"/>
    <m/>
    <x v="0"/>
    <b v="0"/>
    <s v="No está en VPC"/>
    <n v="702"/>
    <s v="INTPG_VPC_701_1.27_702_1.28"/>
    <s v="ISEL-1.28"/>
    <n v="1"/>
    <s v="NO TIENE L3OUT"/>
    <n v="0"/>
    <n v="54"/>
  </r>
  <r>
    <n v="435"/>
    <x v="1"/>
    <x v="40"/>
    <s v="eth1/28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28"/>
    <x v="0"/>
    <x v="0"/>
    <x v="0"/>
    <s v="TO-ITHFDLMCLWLCN04"/>
    <x v="0"/>
    <b v="0"/>
    <s v="No está en VPC"/>
    <n v="446"/>
    <s v="INTPG_VPC_446_1.28_444_1.31"/>
    <s v="ISEL-1.28"/>
    <n v="1"/>
    <s v="NO TIENE L3OUT"/>
    <n v="198"/>
    <n v="54"/>
  </r>
  <r>
    <n v="444"/>
    <x v="1"/>
    <x v="42"/>
    <s v="eth1/28"/>
    <x v="0"/>
    <x v="0"/>
    <x v="0"/>
    <m/>
    <x v="0"/>
    <b v="0"/>
    <s v="No está en VPC"/>
    <n v="444"/>
    <s v="INTPG_ACC_444_1.28"/>
    <s v="ISEL-1.28"/>
    <n v="9"/>
    <s v="NO TIENE L3OUT"/>
    <n v="234"/>
    <n v="54"/>
  </r>
  <r>
    <n v="701"/>
    <x v="2"/>
    <x v="43"/>
    <s v="eth1/28"/>
    <x v="0"/>
    <x v="0"/>
    <x v="0"/>
    <m/>
    <x v="0"/>
    <b v="0"/>
    <s v="No está en VPC"/>
    <n v="701"/>
    <s v="INTPG_VPC_702_1.27_701_1.28"/>
    <s v="ISEL-1.28"/>
    <n v="1"/>
    <s v="NO TIENE L3OUT"/>
    <n v="0"/>
    <n v="54"/>
  </r>
  <r>
    <n v="440"/>
    <x v="1"/>
    <x v="44"/>
    <s v="eth1/28"/>
    <x v="0"/>
    <x v="1"/>
    <x v="1"/>
    <s v="bmc_ithhwc3a2288h1_PRINCIPAL"/>
    <x v="1"/>
    <b v="0"/>
    <s v="No está en VPC"/>
    <n v="440"/>
    <s v="INTPG_ACC_440_1.28"/>
    <s v="ISEL-1.28"/>
    <n v="1"/>
    <s v="NO TIENE L3OUT"/>
    <n v="22"/>
    <n v="54"/>
  </r>
  <r>
    <n v="448"/>
    <x v="1"/>
    <x v="45"/>
    <s v="eth1/28"/>
    <x v="0"/>
    <x v="0"/>
    <x v="0"/>
    <s v="TO-DD8138PC1"/>
    <x v="0"/>
    <b v="0"/>
    <s v="No está en VPC"/>
    <n v="448"/>
    <s v="INTPG_VPC_431_1.28_448_1.28"/>
    <s v="ISEL-1.28"/>
    <n v="1"/>
    <s v="NO TIENE L3OUT"/>
    <n v="46"/>
    <n v="54"/>
  </r>
  <r>
    <n v="704"/>
    <x v="2"/>
    <x v="46"/>
    <s v="eth1/28"/>
    <x v="0"/>
    <x v="0"/>
    <x v="0"/>
    <m/>
    <x v="0"/>
    <b v="0"/>
    <s v="No está en VPC"/>
    <n v="704"/>
    <s v="INTPG_VPC_703_1.27_704_1.28"/>
    <s v="ISEL-1.28"/>
    <n v="1"/>
    <s v="NO TIENE L3OUT"/>
    <n v="0"/>
    <n v="54"/>
  </r>
  <r>
    <n v="729"/>
    <x v="2"/>
    <x v="47"/>
    <s v="eth1/28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28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28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603"/>
    <x v="1"/>
    <x v="50"/>
    <s v="eth1/28"/>
    <x v="0"/>
    <x v="1"/>
    <x v="3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28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28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28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28"/>
    <x v="0"/>
    <x v="0"/>
    <x v="0"/>
    <m/>
    <x v="0"/>
    <b v="0"/>
    <s v="No está en VPC"/>
    <n v="722"/>
    <s v="INTPG-VPC_SLR18_723_1.27_722_1.28"/>
    <s v="ISEL-1.28"/>
    <n v="1"/>
    <s v="NO TIENE L3OUT"/>
    <n v="0"/>
    <n v="54"/>
  </r>
  <r>
    <n v="733"/>
    <x v="2"/>
    <x v="55"/>
    <s v="eth1/28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28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28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28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28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28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28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28"/>
    <x v="0"/>
    <x v="0"/>
    <x v="0"/>
    <s v="CEM:ITHCEMB2ADT14:SLOT1 P1"/>
    <x v="5"/>
    <b v="0"/>
    <s v="No está en VPC"/>
    <n v="742"/>
    <s v="INTPG_ACC_742_1.28"/>
    <s v="ISEL-1.28"/>
    <n v="1"/>
    <s v="NO TIENE L3OUT"/>
    <n v="64"/>
    <n v="54"/>
  </r>
  <r>
    <n v="763"/>
    <x v="2"/>
    <x v="63"/>
    <s v="eth1/28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28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28"/>
    <x v="1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28"/>
    <x v="0"/>
    <x v="1"/>
    <x v="3"/>
    <s v="PAAS:ithhwosstpap003:LOM PORT 2"/>
    <x v="0"/>
    <b v="0"/>
    <s v="No está en VPC"/>
    <n v="752"/>
    <s v="INTPG_VPC_747_1.18_752_1.28"/>
    <s v="ISEL-1.28"/>
    <n v="0"/>
    <s v="NO TIENE L3OUT"/>
    <n v="0"/>
    <n v="54"/>
  </r>
  <r>
    <n v="765"/>
    <x v="2"/>
    <x v="67"/>
    <s v="eth1/28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28"/>
    <x v="0"/>
    <x v="0"/>
    <x v="0"/>
    <s v="CLOUD OPS:ithhwcop01en01:2X P2"/>
    <x v="0"/>
    <b v="0"/>
    <s v="No está en VPC"/>
    <n v="778"/>
    <s v="INTPG_VPC_778_1.27-30_779_1.27-30"/>
    <s v="ISEL-1.28"/>
    <n v="24"/>
    <s v="NO TIENE L3OUT"/>
    <n v="26"/>
    <n v="54"/>
  </r>
  <r>
    <n v="780"/>
    <x v="2"/>
    <x v="69"/>
    <s v="eth1/28"/>
    <x v="0"/>
    <x v="0"/>
    <x v="0"/>
    <s v="CLOUD OPS:ithhwcop02en02:1E P1"/>
    <x v="0"/>
    <b v="0"/>
    <s v="No está en VPC"/>
    <n v="780"/>
    <s v="INTPG_VPC_780_1.28-29_34-35_781_1.28-29_34-35"/>
    <s v="ISEL-1.28"/>
    <n v="23"/>
    <s v="NO TIENE L3OUT"/>
    <n v="26"/>
    <n v="54"/>
  </r>
  <r>
    <n v="812"/>
    <x v="2"/>
    <x v="70"/>
    <s v="eth1/28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28"/>
    <x v="0"/>
    <x v="0"/>
    <x v="0"/>
    <s v="TO-ITHFHWDCIMLAP02-Redundante"/>
    <x v="0"/>
    <b v="0"/>
    <s v="No está en VPC"/>
    <n v="796"/>
    <s v="INTPG_ACC_796_1.28"/>
    <s v="ISEL-1.28"/>
    <n v="1"/>
    <s v="NO TIENE L3OUT"/>
    <n v="18"/>
    <n v="54"/>
  </r>
  <r>
    <n v="795"/>
    <x v="2"/>
    <x v="72"/>
    <s v="eth1/28"/>
    <x v="0"/>
    <x v="0"/>
    <x v="0"/>
    <s v="TO-ITHFHWDCIMLAP02-Principal"/>
    <x v="0"/>
    <b v="0"/>
    <s v="No está en VPC"/>
    <n v="795"/>
    <s v="INTPG_ACC_795_1.28"/>
    <s v="ISEL-1.28"/>
    <n v="1"/>
    <s v="NO TIENE L3OUT"/>
    <n v="18"/>
    <n v="54"/>
  </r>
  <r>
    <n v="749"/>
    <x v="2"/>
    <x v="73"/>
    <s v="eth1/28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28"/>
    <x v="0"/>
    <x v="0"/>
    <x v="0"/>
    <s v="LINK_TO_ITHFHWCMVWPMA14 /Slot6.2 /Redundante"/>
    <x v="0"/>
    <b v="0"/>
    <s v="No está en VPC"/>
    <n v="824"/>
    <s v="INTPG_ACC_824_1.28"/>
    <s v="ISEL-1.28"/>
    <n v="1"/>
    <s v="NO TIENE L3OUT"/>
    <n v="70"/>
    <n v="54"/>
  </r>
  <r>
    <n v="819"/>
    <x v="2"/>
    <x v="75"/>
    <s v="eth1/28"/>
    <x v="0"/>
    <x v="0"/>
    <x v="0"/>
    <s v="LINK_TO_ITHFHWCMVWPMA14 /Slot4.2 /Principal"/>
    <x v="0"/>
    <b v="0"/>
    <s v="No está en VPC"/>
    <n v="819"/>
    <s v="INTPG_ACC_819_1.28"/>
    <s v="ISEL-1.28"/>
    <n v="1"/>
    <s v="NO TIENE L3OUT"/>
    <n v="70"/>
    <n v="54"/>
  </r>
  <r>
    <n v="737"/>
    <x v="2"/>
    <x v="76"/>
    <s v="eth1/28"/>
    <x v="0"/>
    <x v="0"/>
    <x v="0"/>
    <s v="CEM:ITHCEME2KFK14:SLOT1 P1"/>
    <x v="5"/>
    <b v="0"/>
    <s v="No está en VPC"/>
    <n v="737"/>
    <s v="INTPG_ACC_737_1.28"/>
    <s v="ISEL-1.28"/>
    <n v="1"/>
    <s v="NO TIENE L3OUT"/>
    <n v="72"/>
    <n v="54"/>
  </r>
  <r>
    <n v="844"/>
    <x v="2"/>
    <x v="77"/>
    <s v="eth1/28"/>
    <x v="0"/>
    <x v="0"/>
    <x v="0"/>
    <s v="LINK_TO_ITHFHWCRMPLCN110 / Slot1.1_24 / Principal"/>
    <x v="0"/>
    <b v="0"/>
    <s v="No está en VPC"/>
    <n v="844"/>
    <s v="INTPG_ACC_844_1.28"/>
    <s v="ISEL-1.28"/>
    <n v="6"/>
    <s v="NO TIENE L3OUT"/>
    <n v="282"/>
    <n v="54"/>
  </r>
  <r>
    <n v="843"/>
    <x v="2"/>
    <x v="78"/>
    <s v="eth1/28"/>
    <x v="0"/>
    <x v="0"/>
    <x v="0"/>
    <s v="LINK_To_ITHFHWCBSPSWR44 / Slot7.2_32 / Redundante"/>
    <x v="0"/>
    <b v="0"/>
    <s v="No está en VPC"/>
    <n v="843"/>
    <s v="INTPG_VPC_838_1.28_843_1.28"/>
    <s v="ISEL-1.28"/>
    <n v="1"/>
    <s v="NO TIENE L3OUT"/>
    <n v="38"/>
    <n v="54"/>
  </r>
  <r>
    <n v="797"/>
    <x v="2"/>
    <x v="79"/>
    <s v="eth1/28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28"/>
    <x v="0"/>
    <x v="0"/>
    <x v="0"/>
    <s v="LINK_TO_ITHFHWCBSPSHD39 / Slot7.1_16 / Redundante"/>
    <x v="0"/>
    <b v="0"/>
    <s v="No está en VPC"/>
    <n v="839"/>
    <s v="INTPG_VPC_834_1.28_839_1.28"/>
    <s v="ISEL-1.28"/>
    <n v="2"/>
    <s v="NO TIENE L3OUT"/>
    <n v="0"/>
    <n v="54"/>
  </r>
  <r>
    <n v="847"/>
    <x v="2"/>
    <x v="81"/>
    <s v="eth1/28"/>
    <x v="0"/>
    <x v="0"/>
    <x v="0"/>
    <s v="LINK_TO_ITHFHWCRMPLCN174 / Slot7.3_18 / Redundante"/>
    <x v="0"/>
    <b v="0"/>
    <s v="No está en VPC"/>
    <n v="847"/>
    <s v="INTPG_ACC_847_1.28"/>
    <s v="ISEL-1.28"/>
    <n v="1"/>
    <s v="NO TIENE L3OUT"/>
    <n v="204"/>
    <n v="54"/>
  </r>
  <r>
    <n v="848"/>
    <x v="2"/>
    <x v="82"/>
    <s v="eth1/28"/>
    <x v="0"/>
    <x v="0"/>
    <x v="0"/>
    <s v="LINK_TO_ITHFHWCRMPLCN163 / Slot7.3_28 / Redundante"/>
    <x v="0"/>
    <b v="0"/>
    <s v="No está en VPC"/>
    <n v="848"/>
    <s v="INTPG_ACC_848_1.28"/>
    <s v="ISEL-1.28"/>
    <n v="1"/>
    <s v="NO TIENE L3OUT"/>
    <n v="254"/>
    <n v="54"/>
  </r>
  <r>
    <n v="846"/>
    <x v="2"/>
    <x v="83"/>
    <s v="eth1/28"/>
    <x v="0"/>
    <x v="0"/>
    <x v="0"/>
    <s v="LINK_TO_ITHFHWCRMPLCN81 / Slot1.1_20 / Principal"/>
    <x v="0"/>
    <b v="0"/>
    <s v="No está en VPC"/>
    <n v="846"/>
    <s v="INTPG_ACC_846_1.28"/>
    <s v="ISEL-1.28"/>
    <n v="6"/>
    <s v="NO TIENE L3OUT"/>
    <n v="242"/>
    <n v="54"/>
  </r>
  <r>
    <n v="838"/>
    <x v="2"/>
    <x v="84"/>
    <s v="eth1/28"/>
    <x v="0"/>
    <x v="0"/>
    <x v="0"/>
    <s v="LINK_To_ITHFHWCBSPSWR44 / Slot1.2_32 / Principal"/>
    <x v="0"/>
    <b v="0"/>
    <s v="No está en VPC"/>
    <n v="838"/>
    <s v="INTPG_VPC_838_1.28_843_1.28"/>
    <s v="ISEL-1.28"/>
    <n v="1"/>
    <s v="NO TIENE L3OUT"/>
    <n v="38"/>
    <n v="54"/>
  </r>
  <r>
    <n v="849"/>
    <x v="2"/>
    <x v="85"/>
    <s v="eth1/28"/>
    <x v="0"/>
    <x v="0"/>
    <x v="0"/>
    <s v="LINK_TO_ITHFHWCRMPLCN143 / Slot7.3_20 / Redundante"/>
    <x v="0"/>
    <b v="0"/>
    <s v="No está en VPC"/>
    <n v="849"/>
    <s v="INTPG_ACC_849_1.28"/>
    <s v="ISEL-1.28"/>
    <n v="1"/>
    <s v="NO TIENE L3OUT"/>
    <n v="286"/>
    <n v="54"/>
  </r>
  <r>
    <n v="845"/>
    <x v="2"/>
    <x v="86"/>
    <s v="eth1/28"/>
    <x v="0"/>
    <x v="0"/>
    <x v="0"/>
    <s v="LINK_TO_ITHFHWCRMPLCN93 / Slot1.2_18 / Principal"/>
    <x v="0"/>
    <b v="0"/>
    <s v="No está en VPC"/>
    <n v="845"/>
    <s v="INTPG_ACC_845_1.28"/>
    <s v="ISEL-1.28"/>
    <n v="2"/>
    <s v="NO TIENE L3OUT"/>
    <n v="258"/>
    <n v="54"/>
  </r>
  <r>
    <n v="873"/>
    <x v="2"/>
    <x v="87"/>
    <s v="eth1/28"/>
    <x v="0"/>
    <x v="0"/>
    <x v="0"/>
    <s v="TO_ITHFHWCRMDLCN62_Principal"/>
    <x v="0"/>
    <b v="0"/>
    <s v="No está en VPC"/>
    <n v="873"/>
    <s v="INTPG_ACC_873_1.28"/>
    <s v="ISEL-1.28"/>
    <n v="2"/>
    <s v="NO TIENE L3OUT"/>
    <n v="248"/>
    <n v="54"/>
  </r>
  <r>
    <n v="864"/>
    <x v="2"/>
    <x v="88"/>
    <s v="eth1/28"/>
    <x v="0"/>
    <x v="0"/>
    <x v="0"/>
    <s v="To_VPC_2DCBSD_WR45_1"/>
    <x v="0"/>
    <b v="0"/>
    <s v="No está en VPC"/>
    <n v="864"/>
    <s v="INTPG_VPC_859_1.28_864_1.28"/>
    <s v="ISEL-1.28"/>
    <n v="2"/>
    <s v="NO TIENE L3OUT"/>
    <n v="0"/>
    <n v="54"/>
  </r>
  <r>
    <n v="836"/>
    <x v="2"/>
    <x v="89"/>
    <s v="eth1/28"/>
    <x v="0"/>
    <x v="0"/>
    <x v="0"/>
    <s v="LINK_TO_ITHFHWCBSPSWR54 / Slot1.3_36 / Principal"/>
    <x v="0"/>
    <b v="0"/>
    <s v="No está en VPC"/>
    <n v="836"/>
    <s v="INTPG_VPC_836_1.28_841_1.28"/>
    <s v="ISEL-1.28"/>
    <n v="1"/>
    <s v="NO TIENE L3OUT"/>
    <n v="0"/>
    <n v="54"/>
  </r>
  <r>
    <n v="834"/>
    <x v="2"/>
    <x v="90"/>
    <s v="eth1/28"/>
    <x v="0"/>
    <x v="0"/>
    <x v="0"/>
    <s v="LINK_TO_ITHFHWCBSPSHD39 / Slot1.1_16 / Principal"/>
    <x v="0"/>
    <b v="0"/>
    <s v="No está en VPC"/>
    <n v="834"/>
    <s v="INTPG_VPC_834_1.28_839_1.28"/>
    <s v="ISEL-1.28"/>
    <n v="2"/>
    <s v="NO TIENE L3OUT"/>
    <n v="0"/>
    <n v="54"/>
  </r>
  <r>
    <n v="872"/>
    <x v="2"/>
    <x v="91"/>
    <s v="eth1/28"/>
    <x v="0"/>
    <x v="0"/>
    <x v="0"/>
    <s v="To_ITHFHWCRMDLCN78_Principal"/>
    <x v="0"/>
    <b v="0"/>
    <s v="No está en VPC"/>
    <n v="872"/>
    <s v="INTPG_ACC_872_1.28"/>
    <s v="ISEL-1.28"/>
    <n v="2"/>
    <s v="NO TIENE L3OUT"/>
    <n v="288"/>
    <n v="54"/>
  </r>
  <r>
    <n v="842"/>
    <x v="2"/>
    <x v="92"/>
    <s v="eth1/28"/>
    <x v="0"/>
    <x v="0"/>
    <x v="0"/>
    <s v="LINK_TO_ITHFHWCBSPSWR48 / Slot7.3_32 / Redundante"/>
    <x v="0"/>
    <b v="0"/>
    <s v="No está en VPC"/>
    <n v="842"/>
    <s v="INTPG_VPC_837_1.28_842_1.28"/>
    <s v="ISEL-1.28"/>
    <n v="1"/>
    <s v="NO TIENE L3OUT"/>
    <n v="8"/>
    <n v="54"/>
  </r>
  <r>
    <n v="828"/>
    <x v="2"/>
    <x v="93"/>
    <s v="eth1/28"/>
    <x v="0"/>
    <x v="0"/>
    <x v="0"/>
    <s v="LINK_TO_ITHFHWCRMDLCN24 /Slot4.2 /Principal"/>
    <x v="0"/>
    <b v="0"/>
    <s v="No está en VPC"/>
    <n v="828"/>
    <s v="INTPG_ACC_828_1.28"/>
    <s v="ISEL-1.28"/>
    <n v="1"/>
    <s v="NO TIENE L3OUT"/>
    <n v="192"/>
    <n v="54"/>
  </r>
  <r>
    <n v="870"/>
    <x v="2"/>
    <x v="94"/>
    <s v="eth1/28"/>
    <x v="0"/>
    <x v="0"/>
    <x v="0"/>
    <s v="TO_ITHFHWCRMDLCN62_Redundante"/>
    <x v="0"/>
    <b v="0"/>
    <s v="No está en VPC"/>
    <n v="870"/>
    <s v="INTPG_ACC_870_1.28"/>
    <s v="ISEL-1.28"/>
    <n v="2"/>
    <s v="NO TIENE L3OUT"/>
    <n v="248"/>
    <n v="54"/>
  </r>
  <r>
    <n v="866"/>
    <x v="2"/>
    <x v="95"/>
    <s v="eth1/28"/>
    <x v="0"/>
    <x v="0"/>
    <x v="0"/>
    <s v="To_VPC_2DCBSD_TL04_3"/>
    <x v="0"/>
    <b v="0"/>
    <s v="No está en VPC"/>
    <n v="866"/>
    <s v="INTPG_VPC_861_1.28_866_1.28"/>
    <s v="ISEL-1.28"/>
    <n v="1"/>
    <s v="NO TIENE L3OUT"/>
    <n v="8"/>
    <n v="54"/>
  </r>
  <r>
    <n v="862"/>
    <x v="2"/>
    <x v="96"/>
    <s v="eth1/28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28"/>
    <x v="0"/>
    <x v="0"/>
    <x v="0"/>
    <s v="LINK_TO_ITHFHWCRMPLCN163 / Slot1.3_28 / Principal"/>
    <x v="0"/>
    <b v="0"/>
    <s v="No está en VPC"/>
    <n v="855"/>
    <s v="INTPG_ACC_855_1.28"/>
    <s v="ISEL-1.28"/>
    <n v="1"/>
    <s v="NO TIENE L3OUT"/>
    <n v="254"/>
    <n v="54"/>
  </r>
  <r>
    <n v="871"/>
    <x v="2"/>
    <x v="98"/>
    <s v="eth1/28"/>
    <x v="0"/>
    <x v="0"/>
    <x v="0"/>
    <s v="To_ITHFHWCRMDLCN63_Principal"/>
    <x v="0"/>
    <b v="0"/>
    <s v="No está en VPC"/>
    <n v="871"/>
    <s v="INTPG_ACC_871_1.28"/>
    <s v="ISEL-1.28"/>
    <n v="6"/>
    <s v="NO TIENE L3OUT"/>
    <n v="246"/>
    <n v="54"/>
  </r>
  <r>
    <n v="841"/>
    <x v="2"/>
    <x v="99"/>
    <s v="eth1/28"/>
    <x v="0"/>
    <x v="0"/>
    <x v="0"/>
    <s v="LINK_TO_ITHFHWCBSPSWR54 / Slot7.3_36 / Redundante"/>
    <x v="0"/>
    <b v="0"/>
    <s v="No está en VPC"/>
    <n v="841"/>
    <s v="INTPG_VPC_836_1.28_841_1.28"/>
    <s v="ISEL-1.28"/>
    <n v="1"/>
    <s v="NO TIENE L3OUT"/>
    <n v="0"/>
    <n v="54"/>
  </r>
  <r>
    <n v="868"/>
    <x v="2"/>
    <x v="100"/>
    <s v="eth1/28"/>
    <x v="0"/>
    <x v="0"/>
    <x v="0"/>
    <s v="To_ITHFHWCRMDLCN63_Redundante"/>
    <x v="0"/>
    <b v="0"/>
    <s v="No está en VPC"/>
    <n v="868"/>
    <s v="INTPG_ACC_868_1.28"/>
    <s v="ISEL-1.28"/>
    <n v="6"/>
    <s v="NO TIENE L3OUT"/>
    <n v="246"/>
    <n v="54"/>
  </r>
  <r>
    <n v="869"/>
    <x v="2"/>
    <x v="101"/>
    <s v="eth1/28"/>
    <x v="0"/>
    <x v="0"/>
    <x v="0"/>
    <s v="To_ITHFHWCRMDLCN78_Redundante"/>
    <x v="0"/>
    <b v="0"/>
    <s v="No está en VPC"/>
    <n v="869"/>
    <s v="INTPG_ACC_869_1.28"/>
    <s v="ISEL-1.28"/>
    <n v="2"/>
    <s v="NO TIENE L3OUT"/>
    <n v="288"/>
    <n v="54"/>
  </r>
  <r>
    <n v="861"/>
    <x v="2"/>
    <x v="102"/>
    <s v="eth1/28"/>
    <x v="0"/>
    <x v="0"/>
    <x v="0"/>
    <s v="To_VPC_2DCBSD_TL04_3"/>
    <x v="0"/>
    <b v="0"/>
    <s v="No está en VPC"/>
    <n v="861"/>
    <s v="INTPG_VPC_861_1.28_866_1.28"/>
    <s v="ISEL-1.28"/>
    <n v="1"/>
    <s v="NO TIENE L3OUT"/>
    <n v="8"/>
    <n v="54"/>
  </r>
  <r>
    <n v="874"/>
    <x v="2"/>
    <x v="103"/>
    <s v="eth1/28"/>
    <x v="0"/>
    <x v="0"/>
    <x v="0"/>
    <s v="A_ITHFHWSEQLCAS27_Redundante"/>
    <x v="4"/>
    <b v="0"/>
    <s v="No está en VPC"/>
    <n v="874"/>
    <s v="INTPG_ACC_874_1.28"/>
    <s v="ISEL-1.28"/>
    <n v="1"/>
    <s v="NO TIENE L3OUT"/>
    <n v="92"/>
    <n v="54"/>
  </r>
  <r>
    <n v="865"/>
    <x v="2"/>
    <x v="104"/>
    <s v="eth1/28"/>
    <x v="0"/>
    <x v="0"/>
    <x v="0"/>
    <s v="To_VPC_2DCBSD_BD16_1"/>
    <x v="0"/>
    <b v="0"/>
    <s v="No está en VPC"/>
    <n v="865"/>
    <s v="INTPG_VPC_860_1.28_865_1.28"/>
    <s v="ISEL-1.28"/>
    <n v="2"/>
    <s v="NO TIENE L3OUT"/>
    <n v="0"/>
    <n v="54"/>
  </r>
  <r>
    <n v="753"/>
    <x v="2"/>
    <x v="105"/>
    <s v="eth1/28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28"/>
    <x v="0"/>
    <x v="1"/>
    <x v="5"/>
    <s v="CEM:ITHCEME2KFK14:LOM  P2"/>
    <x v="0"/>
    <b v="0"/>
    <s v="No está en VPC"/>
    <n v="708"/>
    <s v="INTPG_VPC_708_1.28_709_1.27"/>
    <s v="ISEL-1.28"/>
    <n v="1"/>
    <s v="NO TIENE L3OUT"/>
    <n v="0"/>
    <n v="54"/>
  </r>
  <r>
    <n v="710"/>
    <x v="2"/>
    <x v="107"/>
    <s v="eth1/28"/>
    <x v="0"/>
    <x v="1"/>
    <x v="5"/>
    <s v="CEM:ITHCEMC2ADT14:LOM  P2"/>
    <x v="0"/>
    <b v="0"/>
    <s v="No está en VPC"/>
    <n v="710"/>
    <s v="INTPG_VPC_710_1.28_711_1.27"/>
    <s v="ISEL-1.28"/>
    <n v="1"/>
    <s v="NO TIENE L3OUT"/>
    <n v="16"/>
    <n v="54"/>
  </r>
  <r>
    <n v="713"/>
    <x v="2"/>
    <x v="108"/>
    <s v="eth1/28"/>
    <x v="0"/>
    <x v="1"/>
    <x v="5"/>
    <s v="CEM:ITHCEMB2ADT14:LOM  P2"/>
    <x v="0"/>
    <b v="0"/>
    <s v="No está en VPC"/>
    <n v="713"/>
    <s v="INTPG_VPC_712_1.27_713_1.28"/>
    <s v="ISEL-1.28"/>
    <n v="1"/>
    <s v="NO TIENE L3OUT"/>
    <n v="32"/>
    <n v="54"/>
  </r>
  <r>
    <n v="735"/>
    <x v="2"/>
    <x v="109"/>
    <s v="eth1/28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28"/>
    <x v="0"/>
    <x v="0"/>
    <x v="0"/>
    <s v="Server_Pre-R02-RH2288-03"/>
    <x v="0"/>
    <b v="0"/>
    <s v="No está en VPC"/>
    <n v="731"/>
    <s v="INTPG_ACC_731_1.28"/>
    <s v="ISEL-1.28"/>
    <n v="1"/>
    <s v="NO TIENE L3OUT"/>
    <n v="38"/>
    <n v="54"/>
  </r>
  <r>
    <n v="703"/>
    <x v="2"/>
    <x v="111"/>
    <s v="eth1/28"/>
    <x v="0"/>
    <x v="0"/>
    <x v="0"/>
    <m/>
    <x v="0"/>
    <b v="0"/>
    <s v="No está en VPC"/>
    <n v="703"/>
    <s v="INTPG_VPC_704_1.27_703_1.28"/>
    <s v="ISEL-1.28"/>
    <n v="1"/>
    <s v="NO TIENE L3OUT"/>
    <n v="2"/>
    <n v="54"/>
  </r>
  <r>
    <n v="706"/>
    <x v="2"/>
    <x v="112"/>
    <s v="eth1/28"/>
    <x v="0"/>
    <x v="0"/>
    <x v="0"/>
    <m/>
    <x v="0"/>
    <b v="0"/>
    <s v="No está en VPC"/>
    <n v="706"/>
    <s v="INTPG_VPC_705_1.27_706_1.28"/>
    <s v="ISEL-1.28"/>
    <n v="1"/>
    <s v="NO TIENE L3OUT"/>
    <n v="16"/>
    <n v="54"/>
  </r>
  <r>
    <n v="762"/>
    <x v="2"/>
    <x v="113"/>
    <s v="eth1/28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14"/>
    <x v="2"/>
    <x v="114"/>
    <s v="eth1/28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28"/>
    <x v="0"/>
    <x v="0"/>
    <x v="0"/>
    <s v="TO-ITHFXFPOCXLCN02"/>
    <x v="4"/>
    <b v="0"/>
    <s v="No está en VPC"/>
    <n v="878"/>
    <s v="INTPG_VPC_878_1.28_879_1.28"/>
    <s v="ISEL-1.28"/>
    <n v="1"/>
    <s v="NO TIENE L3OUT"/>
    <n v="0"/>
    <n v="54"/>
  </r>
  <r>
    <n v="826"/>
    <x v="2"/>
    <x v="116"/>
    <s v="eth1/28"/>
    <x v="0"/>
    <x v="0"/>
    <x v="0"/>
    <s v="LINK_TO_ITHFHWCBSDSWR16 /Slot5.2 /Principal"/>
    <x v="0"/>
    <b v="0"/>
    <s v="No está en VPC"/>
    <n v="826"/>
    <s v="INTPG_VPC_826_1.28_830_1.28"/>
    <s v="ISEL-1.28"/>
    <n v="2"/>
    <s v="NO TIENE L3OUT"/>
    <n v="12"/>
    <n v="54"/>
  </r>
  <r>
    <n v="726"/>
    <x v="2"/>
    <x v="117"/>
    <s v="eth1/28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28"/>
    <x v="0"/>
    <x v="0"/>
    <x v="0"/>
    <s v="CEM:ITHCEMD2ADT14:SLOT1 P1"/>
    <x v="5"/>
    <b v="0"/>
    <s v="No está en VPC"/>
    <n v="740"/>
    <s v="INTPG_ACC_740_1.28"/>
    <s v="ISEL-1.28"/>
    <n v="1"/>
    <s v="NO TIENE L3OUT"/>
    <n v="72"/>
    <n v="54"/>
  </r>
  <r>
    <n v="705"/>
    <x v="2"/>
    <x v="119"/>
    <s v="eth1/28"/>
    <x v="0"/>
    <x v="0"/>
    <x v="0"/>
    <m/>
    <x v="0"/>
    <b v="0"/>
    <s v="No está en VPC"/>
    <n v="705"/>
    <s v="INTPG_VPC_706_1.27_705_1.28"/>
    <s v="ISEL-1.28"/>
    <n v="1"/>
    <s v="NO TIENE L3OUT"/>
    <n v="16"/>
    <n v="54"/>
  </r>
  <r>
    <n v="723"/>
    <x v="2"/>
    <x v="120"/>
    <s v="eth1/28"/>
    <x v="0"/>
    <x v="1"/>
    <x v="1"/>
    <m/>
    <x v="0"/>
    <b v="0"/>
    <s v="No está en VPC"/>
    <n v="723"/>
    <s v="INTPG-VPC_SLR20_722_1.27_723_1.28"/>
    <s v="ISEL-1.28"/>
    <n v="1"/>
    <s v="NO TIENE L3OUT"/>
    <n v="0"/>
    <n v="54"/>
  </r>
  <r>
    <n v="721"/>
    <x v="2"/>
    <x v="121"/>
    <s v="eth1/28"/>
    <x v="0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28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28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28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28"/>
    <x v="0"/>
    <x v="1"/>
    <x v="5"/>
    <s v="CEM:ITHCEMF2KFK14:LOM  P2"/>
    <x v="0"/>
    <b v="0"/>
    <s v="No está en VPC"/>
    <n v="709"/>
    <s v="INTPG_VPC_708_1.27_709_1.28"/>
    <s v="ISEL-1.28"/>
    <n v="1"/>
    <s v="NO TIENE L3OUT"/>
    <n v="0"/>
    <n v="54"/>
  </r>
  <r>
    <n v="454"/>
    <x v="1"/>
    <x v="126"/>
    <s v="eth1/28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28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28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28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28"/>
    <x v="0"/>
    <x v="0"/>
    <x v="0"/>
    <m/>
    <x v="0"/>
    <b v="0"/>
    <s v="No está en VPC"/>
    <n v="718"/>
    <s v="INTPG-VPC_GWN02_717_1.27_718_1.28"/>
    <s v="ISEL-1.28"/>
    <n v="1"/>
    <s v="NO TIENE L3OUT"/>
    <n v="0"/>
    <n v="54"/>
  </r>
  <r>
    <n v="744"/>
    <x v="2"/>
    <x v="131"/>
    <s v="eth1/28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28"/>
    <x v="0"/>
    <x v="1"/>
    <x v="1"/>
    <s v="CEM:ITHCEMA2ADT14:SLOT1 P1"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28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28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28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28"/>
    <x v="0"/>
    <x v="1"/>
    <x v="3"/>
    <s v="CEM_HADOOP"/>
    <x v="0"/>
    <b v="0"/>
    <s v="No está en VPC"/>
    <n v="736"/>
    <s v="INTPG_ACC_736_1.28"/>
    <s v="ISEL-1.28"/>
    <n v="1"/>
    <s v="NO TIENE L3OUT"/>
    <n v="48"/>
    <n v="54"/>
  </r>
  <r>
    <n v="799"/>
    <x v="2"/>
    <x v="137"/>
    <s v="eth1/28"/>
    <x v="0"/>
    <x v="0"/>
    <x v="0"/>
    <s v="TO-ITHFDEVDICL01ESX01"/>
    <x v="0"/>
    <b v="0"/>
    <s v="No está en VPC"/>
    <n v="799"/>
    <s v="INTPG_VPC_798_1.28_799_1.28"/>
    <s v="ISEL-1.28"/>
    <n v="6"/>
    <s v="NO TIENE L3OUT"/>
    <n v="52"/>
    <n v="54"/>
  </r>
  <r>
    <n v="768"/>
    <x v="2"/>
    <x v="138"/>
    <s v="eth1/28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28"/>
    <x v="0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28"/>
    <x v="0"/>
    <x v="1"/>
    <x v="1"/>
    <m/>
    <x v="0"/>
    <b v="0"/>
    <s v="No está en VPC"/>
    <n v="717"/>
    <s v="INTPG-VPC_ICB03_718_1.27_717_1.28"/>
    <s v="ISEL-1.28"/>
    <n v="1"/>
    <s v="NO TIENE L3OUT"/>
    <n v="0"/>
    <n v="54"/>
  </r>
  <r>
    <n v="789"/>
    <x v="2"/>
    <x v="141"/>
    <s v="eth1/28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28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28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28"/>
    <x v="0"/>
    <x v="0"/>
    <x v="0"/>
    <s v="CLOUD PAAS PAYG F2:Ithhwvm1dch1:Slot 3x/Pto 2"/>
    <x v="0"/>
    <b v="0"/>
    <s v="No está en VPC"/>
    <n v="774"/>
    <s v="INTPG_VPC_774_1.25-28_775_1.29-32"/>
    <s v="ISEL-1.28"/>
    <n v="152"/>
    <s v="NO TIENE L3OUT"/>
    <n v="0"/>
    <n v="54"/>
  </r>
  <r>
    <n v="773"/>
    <x v="2"/>
    <x v="145"/>
    <s v="eth1/28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28"/>
    <x v="0"/>
    <x v="0"/>
    <x v="0"/>
    <s v="TO-NUTANIX -VPC0"/>
    <x v="0"/>
    <b v="0"/>
    <s v="No está en VPC"/>
    <n v="794"/>
    <s v="INTPG_VPC_793_1.28_794_1.28"/>
    <s v="ISEL-1.28"/>
    <n v="12"/>
    <s v="NO TIENE L3OUT"/>
    <n v="12"/>
    <n v="54"/>
  </r>
  <r>
    <n v="803"/>
    <x v="2"/>
    <x v="147"/>
    <s v="eth1/28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28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28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28"/>
    <x v="0"/>
    <x v="0"/>
    <x v="0"/>
    <s v="CLOUD OPS:ithhwcop02en02:1E P3"/>
    <x v="0"/>
    <b v="0"/>
    <s v="No está en VPC"/>
    <n v="781"/>
    <s v="INTPG_VPC_780_1.28-29_34-35_781_1.28-29_34-35"/>
    <s v="ISEL-1.28"/>
    <n v="23"/>
    <s v="NO TIENE L3OUT"/>
    <n v="26"/>
    <n v="54"/>
  </r>
  <r>
    <n v="793"/>
    <x v="2"/>
    <x v="151"/>
    <s v="eth1/28"/>
    <x v="0"/>
    <x v="0"/>
    <x v="0"/>
    <s v="TO-NUTANIX -VPC0"/>
    <x v="0"/>
    <b v="0"/>
    <s v="No está en VPC"/>
    <n v="793"/>
    <s v="INTPG_VPC_793_1.28_794_1.28"/>
    <s v="ISEL-1.28"/>
    <n v="12"/>
    <s v="NO TIENE L3OUT"/>
    <n v="12"/>
    <n v="54"/>
  </r>
  <r>
    <n v="747"/>
    <x v="2"/>
    <x v="152"/>
    <s v="eth1/28"/>
    <x v="0"/>
    <x v="0"/>
    <x v="0"/>
    <s v="PAAS:ithhwosstpap003:Slot4.2"/>
    <x v="0"/>
    <b v="0"/>
    <s v="No está en VPC"/>
    <n v="747"/>
    <s v="INTPG_VPC_747_1.28_752_1.18"/>
    <s v="ISEL-1.28"/>
    <n v="25"/>
    <s v="NO TIENE L3OUT"/>
    <n v="0"/>
    <n v="54"/>
  </r>
  <r>
    <n v="784"/>
    <x v="2"/>
    <x v="153"/>
    <s v="eth1/28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28"/>
    <x v="1"/>
    <x v="1"/>
    <x v="2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28"/>
    <x v="0"/>
    <x v="0"/>
    <x v="0"/>
    <s v="CLOUD PAAS PAYG F2:Ithhwvm1ach1:Slot 3x/Pto 2"/>
    <x v="0"/>
    <b v="0"/>
    <s v="No está en VPC"/>
    <n v="777"/>
    <s v="INTPG_VPC_776_1.29-32_777_1.25-28"/>
    <s v="ISEL-1.28"/>
    <n v="93"/>
    <s v="NO TIENE L3OUT"/>
    <n v="0"/>
    <n v="54"/>
  </r>
  <r>
    <n v="770"/>
    <x v="2"/>
    <x v="156"/>
    <s v="eth1/28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28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28"/>
    <x v="0"/>
    <x v="0"/>
    <x v="0"/>
    <s v="CEM:ITHCEMC2ADT14:SLOT1 P1"/>
    <x v="5"/>
    <b v="0"/>
    <s v="No está en VPC"/>
    <n v="739"/>
    <s v="INTPG_ACC_739_1.28"/>
    <s v="ISEL-1.28"/>
    <n v="1"/>
    <s v="NO TIENE L3OUT"/>
    <n v="72"/>
    <n v="54"/>
  </r>
  <r>
    <n v="775"/>
    <x v="2"/>
    <x v="159"/>
    <s v="eth1/28"/>
    <x v="0"/>
    <x v="0"/>
    <x v="0"/>
    <s v="CLOUD PAAS PAYG F2:Ithhwvm1cch1:Slot 3x/Pto 2"/>
    <x v="0"/>
    <b v="0"/>
    <s v="No está en VPC"/>
    <n v="775"/>
    <s v="INTPG_VPC_774_1.29-32_775_1.25-28"/>
    <s v="ISEL-1.28"/>
    <n v="169"/>
    <s v="NO TIENE L3OUT"/>
    <n v="0"/>
    <n v="54"/>
  </r>
  <r>
    <n v="791"/>
    <x v="2"/>
    <x v="160"/>
    <s v="eth1/28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28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28"/>
    <x v="0"/>
    <x v="0"/>
    <x v="0"/>
    <s v="LINK_TO_ITHFHWCBSDSWR16 /Slot7.2 /Redundante"/>
    <x v="0"/>
    <b v="0"/>
    <s v="No está en VPC"/>
    <n v="830"/>
    <s v="INTPG_VPC_826_1.28_830_1.28"/>
    <s v="ISEL-1.28"/>
    <n v="2"/>
    <s v="NO TIENE L3OUT"/>
    <n v="12"/>
    <n v="54"/>
  </r>
  <r>
    <n v="821"/>
    <x v="2"/>
    <x v="163"/>
    <s v="eth1/28"/>
    <x v="0"/>
    <x v="0"/>
    <x v="0"/>
    <s v="LINK_TO_ITHFHWCBSPSWR16 /Slot7.2 /Redundante"/>
    <x v="0"/>
    <b v="0"/>
    <s v="No está en VPC"/>
    <n v="821"/>
    <s v="INTPG_VPC_816_1.28_821_1.28"/>
    <s v="ISEL-1.28"/>
    <n v="2"/>
    <s v="NO TIENE L3OUT"/>
    <n v="0"/>
    <n v="54"/>
  </r>
  <r>
    <n v="738"/>
    <x v="2"/>
    <x v="164"/>
    <s v="eth1/28"/>
    <x v="0"/>
    <x v="0"/>
    <x v="0"/>
    <s v="CEM:ITHCEMF2KFK14:SLOT1 P1"/>
    <x v="5"/>
    <b v="0"/>
    <s v="No está en VPC"/>
    <n v="738"/>
    <s v="INTPG_ACC_738_1.28"/>
    <s v="ISEL-1.28"/>
    <n v="1"/>
    <s v="NO TIENE L3OUT"/>
    <n v="72"/>
    <n v="54"/>
  </r>
  <r>
    <n v="820"/>
    <x v="2"/>
    <x v="165"/>
    <s v="eth1/28"/>
    <x v="0"/>
    <x v="0"/>
    <x v="0"/>
    <s v="LINKT_TO_ITHFHWCRMPLCN134 / Slot7.1_38 / Redundante"/>
    <x v="0"/>
    <b v="0"/>
    <s v="No está en VPC"/>
    <n v="820"/>
    <s v="INTPG_ACC_820_1.28"/>
    <s v="ISEL-1.28"/>
    <n v="6"/>
    <s v="NO TIENE L3OUT"/>
    <n v="72"/>
    <n v="54"/>
  </r>
  <r>
    <n v="804"/>
    <x v="2"/>
    <x v="166"/>
    <s v="eth1/28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28"/>
    <x v="0"/>
    <x v="0"/>
    <x v="0"/>
    <s v="CLOUD OPS:ithhwcop01en01:2X P4"/>
    <x v="0"/>
    <b v="0"/>
    <s v="No está en VPC"/>
    <n v="779"/>
    <s v="INTPG_VPC_778_1.27-30_779_1.27-30"/>
    <s v="ISEL-1.28"/>
    <n v="24"/>
    <s v="NO TIENE L3OUT"/>
    <n v="30"/>
    <n v="54"/>
  </r>
  <r>
    <n v="767"/>
    <x v="2"/>
    <x v="168"/>
    <s v="eth1/28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28"/>
    <x v="0"/>
    <x v="0"/>
    <x v="0"/>
    <s v="LINK_TO_ITHFHWCBSDSWR25 /Slot4.2 /Principal"/>
    <x v="0"/>
    <b v="0"/>
    <s v="No está en VPC"/>
    <n v="827"/>
    <s v="INTPG_VPC_827_1.28_831_1.28"/>
    <s v="ISEL-1.28"/>
    <n v="1"/>
    <s v="NO TIENE L3OUT"/>
    <n v="14"/>
    <n v="54"/>
  </r>
  <r>
    <n v="809"/>
    <x v="2"/>
    <x v="170"/>
    <s v="eth1/28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28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28"/>
    <x v="1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28"/>
    <x v="0"/>
    <x v="0"/>
    <x v="0"/>
    <s v="CLOUD PAAS PAYG F2:Ithhwvm1bch1:Slot 3x/Pto 2"/>
    <x v="0"/>
    <b v="0"/>
    <s v="No está en VPC"/>
    <n v="776"/>
    <s v="INTPG_VPC_776_1.25-28_777_1.29-32"/>
    <s v="ISEL-1.28"/>
    <n v="90"/>
    <s v="NO TIENE L3OUT"/>
    <n v="0"/>
    <n v="54"/>
  </r>
  <r>
    <n v="805"/>
    <x v="2"/>
    <x v="174"/>
    <s v="eth1/28"/>
    <x v="1"/>
    <x v="1"/>
    <x v="2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28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28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28"/>
    <x v="0"/>
    <x v="0"/>
    <x v="0"/>
    <s v="LINK_TO_ITHFHWCRMPLCN110 / Slot7.1_24 / Redundante"/>
    <x v="0"/>
    <b v="0"/>
    <s v="No está en VPC"/>
    <n v="851"/>
    <s v="INTPG_ACC_851_1.28"/>
    <s v="ISEL-1.28"/>
    <n v="6"/>
    <s v="NO TIENE L3OUT"/>
    <n v="282"/>
    <n v="54"/>
  </r>
  <r>
    <n v="798"/>
    <x v="2"/>
    <x v="178"/>
    <s v="eth1/28"/>
    <x v="0"/>
    <x v="0"/>
    <x v="0"/>
    <s v="TO-ITHFDEVDICL01ESX01"/>
    <x v="0"/>
    <b v="0"/>
    <s v="No está en VPC"/>
    <n v="798"/>
    <s v="INTPG_VPC_798_1.28_799_1.28"/>
    <s v="ISEL-1.28"/>
    <n v="6"/>
    <s v="NO TIENE L3OUT"/>
    <n v="52"/>
    <n v="54"/>
  </r>
  <r>
    <n v="782"/>
    <x v="2"/>
    <x v="179"/>
    <s v="eth1/28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28"/>
    <x v="0"/>
    <x v="0"/>
    <x v="0"/>
    <s v="LINK_TO_ITHFHWCRMPLCN93 / Slot7.2_18 / Redundante"/>
    <x v="0"/>
    <b v="0"/>
    <s v="No está en VPC"/>
    <n v="852"/>
    <s v="INTPG_ACC_852_1.28"/>
    <s v="ISEL-1.28"/>
    <n v="2"/>
    <s v="NO TIENE L3OUT"/>
    <n v="258"/>
    <n v="54"/>
  </r>
  <r>
    <n v="817"/>
    <x v="2"/>
    <x v="181"/>
    <s v="eth1/28"/>
    <x v="0"/>
    <x v="0"/>
    <x v="0"/>
    <s v="LINK_TO_ITHFHWCBSPSUSBD20 /Slot5.2 /Principal"/>
    <x v="0"/>
    <b v="0"/>
    <s v="No está en VPC"/>
    <n v="817"/>
    <s v="INTPG_VPC_817_1.28_822_1.28"/>
    <s v="ISEL-1.28"/>
    <n v="2"/>
    <s v="NO TIENE L3OUT"/>
    <n v="0"/>
    <n v="54"/>
  </r>
  <r>
    <n v="832"/>
    <x v="2"/>
    <x v="182"/>
    <s v="eth1/28"/>
    <x v="0"/>
    <x v="0"/>
    <x v="0"/>
    <s v="LINK_TO_ITHFHWCRMDLCN24 /Slot6.2 /Redundante"/>
    <x v="0"/>
    <b v="0"/>
    <s v="No está en VPC"/>
    <n v="832"/>
    <s v="INTPG_ACC_832_1.28"/>
    <s v="ISEL-1.28"/>
    <n v="1"/>
    <s v="NO TIENE L3OUT"/>
    <n v="192"/>
    <n v="54"/>
  </r>
  <r>
    <n v="816"/>
    <x v="2"/>
    <x v="183"/>
    <s v="eth1/28"/>
    <x v="0"/>
    <x v="0"/>
    <x v="0"/>
    <s v="LINK_TO_ITHFHWCBSPSWR16 /Slot5.2 /Principal"/>
    <x v="0"/>
    <b v="0"/>
    <s v="No está en VPC"/>
    <n v="816"/>
    <s v="INTPG_VPC_816_1.28_821_1.28"/>
    <s v="ISEL-1.28"/>
    <n v="2"/>
    <s v="NO TIENE L3OUT"/>
    <n v="0"/>
    <n v="54"/>
  </r>
  <r>
    <n v="825"/>
    <x v="2"/>
    <x v="184"/>
    <s v="eth1/28"/>
    <x v="0"/>
    <x v="0"/>
    <x v="0"/>
    <s v="LINKT_TO_ITHFHWCRMPLCN134 / Slot1.1_38 / Principal"/>
    <x v="0"/>
    <b v="0"/>
    <s v="No está en VPC"/>
    <n v="825"/>
    <s v="INTPG_ACC_825_1.28"/>
    <s v="ISEL-1.28"/>
    <n v="6"/>
    <s v="NO TIENE L3OUT"/>
    <n v="72"/>
    <n v="54"/>
  </r>
  <r>
    <n v="800"/>
    <x v="2"/>
    <x v="185"/>
    <s v="eth1/28"/>
    <x v="0"/>
    <x v="0"/>
    <x v="0"/>
    <s v="TO-ITHFHWSEQLCAS08-MSP"/>
    <x v="0"/>
    <b v="0"/>
    <s v="No está en VPC"/>
    <n v="800"/>
    <s v="INTPG_ACC_800_1.28"/>
    <s v="ISEL-1.28"/>
    <n v="1"/>
    <s v="NO TIENE L3OUT"/>
    <n v="78"/>
    <n v="54"/>
  </r>
  <r>
    <n v="801"/>
    <x v="2"/>
    <x v="186"/>
    <s v="eth1/28"/>
    <x v="0"/>
    <x v="0"/>
    <x v="0"/>
    <s v="TO-ITHFHWSEQLCAS08-MSP"/>
    <x v="0"/>
    <b v="0"/>
    <s v="No está en VPC"/>
    <n v="801"/>
    <s v="INTPG_ACC_801_1.28"/>
    <s v="ISEL-1.28"/>
    <n v="1"/>
    <s v="NO TIENE L3OUT"/>
    <n v="78"/>
    <n v="54"/>
  </r>
  <r>
    <n v="823"/>
    <x v="2"/>
    <x v="187"/>
    <s v="eth1/28"/>
    <x v="0"/>
    <x v="0"/>
    <x v="0"/>
    <s v="LINK_TO_ITHFHWCBSPSWR33 /Slot6.2 /Redundante"/>
    <x v="0"/>
    <b v="0"/>
    <s v="No está en VPC"/>
    <n v="823"/>
    <s v="INTPG_VPC_818_1.28_823_1.28"/>
    <s v="ISEL-1.28"/>
    <n v="1"/>
    <s v="NO TIENE L3OUT"/>
    <n v="8"/>
    <n v="54"/>
  </r>
  <r>
    <n v="837"/>
    <x v="2"/>
    <x v="188"/>
    <s v="eth1/28"/>
    <x v="0"/>
    <x v="0"/>
    <x v="0"/>
    <s v="LINK_TO_ITHFHWCBSPSWR48 / Slot1.3_32 / Principal"/>
    <x v="0"/>
    <b v="0"/>
    <s v="No está en VPC"/>
    <n v="837"/>
    <s v="INTPG_VPC_837_1.28_842_1.28"/>
    <s v="ISEL-1.28"/>
    <n v="1"/>
    <s v="NO TIENE L3OUT"/>
    <n v="8"/>
    <n v="54"/>
  </r>
  <r>
    <n v="867"/>
    <x v="2"/>
    <x v="189"/>
    <s v="eth1/28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28"/>
    <x v="0"/>
    <x v="0"/>
    <x v="0"/>
    <s v="To_ITHFHWCRMDLCN44_Principal"/>
    <x v="0"/>
    <b v="0"/>
    <s v="No está en VPC"/>
    <n v="829"/>
    <s v="INTPG_ACC_829_1.28"/>
    <s v="ISEL-1.28"/>
    <n v="2"/>
    <s v="NO TIENE L3OUT"/>
    <n v="224"/>
    <n v="54"/>
  </r>
  <r>
    <n v="831"/>
    <x v="2"/>
    <x v="191"/>
    <s v="eth1/28"/>
    <x v="0"/>
    <x v="0"/>
    <x v="0"/>
    <s v="LINK_TO_ITHFHWCBSDSWR25 /Slot6.2 /Redundante"/>
    <x v="0"/>
    <b v="0"/>
    <s v="No está en VPC"/>
    <n v="831"/>
    <s v="INTPG_VPC_827_1.28_831_1.28"/>
    <s v="ISEL-1.28"/>
    <n v="1"/>
    <s v="NO TIENE L3OUT"/>
    <n v="14"/>
    <n v="54"/>
  </r>
  <r>
    <n v="802"/>
    <x v="2"/>
    <x v="192"/>
    <s v="eth1/28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28"/>
    <x v="0"/>
    <x v="0"/>
    <x v="0"/>
    <s v="LINK_TO_ITHFHWCBSPSHD31 / Slot1.3_14 / Principal"/>
    <x v="0"/>
    <b v="0"/>
    <s v="No está en VPC"/>
    <n v="835"/>
    <s v="INTPG_VPC_835_1.28_840_1.28"/>
    <s v="ISEL-1.28"/>
    <n v="1"/>
    <s v="NO TIENE L3OUT"/>
    <n v="8"/>
    <n v="54"/>
  </r>
  <r>
    <n v="822"/>
    <x v="2"/>
    <x v="194"/>
    <s v="eth1/28"/>
    <x v="0"/>
    <x v="0"/>
    <x v="0"/>
    <s v="LINK_TO_ITHFHWCBSPSUSBD20 /Slot7.2 /Redundante"/>
    <x v="0"/>
    <b v="0"/>
    <s v="No está en VPC"/>
    <n v="822"/>
    <s v="INTPG_VPC_817_1.28_822_1.28"/>
    <s v="ISEL-1.28"/>
    <n v="2"/>
    <s v="NO TIENE L3OUT"/>
    <n v="0"/>
    <n v="54"/>
  </r>
  <r>
    <n v="854"/>
    <x v="2"/>
    <x v="195"/>
    <s v="eth1/28"/>
    <x v="0"/>
    <x v="0"/>
    <x v="0"/>
    <s v="LINK_TO_ITHFHWCRMPLCN174 / Slot1.3_18 / Principal"/>
    <x v="0"/>
    <b v="0"/>
    <s v="No está en VPC"/>
    <n v="854"/>
    <s v="INTPG_ACC_854_1.28"/>
    <s v="ISEL-1.28"/>
    <n v="1"/>
    <s v="NO TIENE L3OUT"/>
    <n v="204"/>
    <n v="54"/>
  </r>
  <r>
    <n v="858"/>
    <x v="2"/>
    <x v="196"/>
    <s v="eth1/28"/>
    <x v="0"/>
    <x v="0"/>
    <x v="0"/>
    <s v="To_VPC_2DCBSD_WR54_1"/>
    <x v="0"/>
    <b v="0"/>
    <s v="No está en VPC"/>
    <n v="858"/>
    <s v="INTPG_VPC_858_1.28_863_1.28"/>
    <s v="ISEL-1.28"/>
    <n v="2"/>
    <s v="NO TIENE L3OUT"/>
    <n v="8"/>
    <n v="54"/>
  </r>
  <r>
    <n v="857"/>
    <x v="2"/>
    <x v="197"/>
    <s v="eth1/28"/>
    <x v="0"/>
    <x v="0"/>
    <x v="0"/>
    <s v="LINKT_TO_ITHFHWCRMPLCN124 / Slot1.3_18 / Principal"/>
    <x v="0"/>
    <b v="0"/>
    <s v="No está en VPC"/>
    <n v="857"/>
    <s v="INTPG_ACC_857_1.28"/>
    <s v="ISEL-1.28"/>
    <n v="1"/>
    <s v="NO TIENE L3OUT"/>
    <n v="288"/>
    <n v="54"/>
  </r>
  <r>
    <n v="859"/>
    <x v="2"/>
    <x v="198"/>
    <s v="eth1/28"/>
    <x v="0"/>
    <x v="0"/>
    <x v="0"/>
    <s v="To_VPC_2DCBSD_WR45_1"/>
    <x v="0"/>
    <b v="0"/>
    <s v="No está en VPC"/>
    <n v="859"/>
    <s v="INTPG_VPC_859_1.28_864_1.28"/>
    <s v="ISEL-1.28"/>
    <n v="2"/>
    <s v="NO TIENE L3OUT"/>
    <n v="0"/>
    <n v="54"/>
  </r>
  <r>
    <n v="833"/>
    <x v="2"/>
    <x v="199"/>
    <s v="eth1/28"/>
    <x v="0"/>
    <x v="0"/>
    <x v="0"/>
    <s v="To_ITHFHWCRMDLCN44_Redundante"/>
    <x v="0"/>
    <b v="0"/>
    <s v="No está en VPC"/>
    <n v="833"/>
    <s v="INTPG_ACC_833_1.28"/>
    <s v="ISEL-1.28"/>
    <n v="2"/>
    <s v="NO TIENE L3OUT"/>
    <n v="224"/>
    <n v="54"/>
  </r>
  <r>
    <n v="818"/>
    <x v="2"/>
    <x v="200"/>
    <s v="eth1/28"/>
    <x v="0"/>
    <x v="0"/>
    <x v="0"/>
    <s v="LINK_TO_ITHFHWCBSPSWR33 /Slot4.2 /Principal"/>
    <x v="0"/>
    <b v="0"/>
    <s v="No está en VPC"/>
    <n v="818"/>
    <s v="INTPG_VPC_818_1.28_823_1.28"/>
    <s v="ISEL-1.28"/>
    <n v="1"/>
    <s v="NO TIENE L3OUT"/>
    <n v="8"/>
    <n v="54"/>
  </r>
  <r>
    <n v="850"/>
    <x v="2"/>
    <x v="201"/>
    <s v="eth1/28"/>
    <x v="0"/>
    <x v="0"/>
    <x v="0"/>
    <s v="LINKT_TO_ITHFHWCRMPLCN124 / Slot7.3_18 / Redundante"/>
    <x v="0"/>
    <b v="0"/>
    <s v="No está en VPC"/>
    <n v="850"/>
    <s v="INTPG_ACC_850_1.28"/>
    <s v="ISEL-1.28"/>
    <n v="1"/>
    <s v="NO TIENE L3OUT"/>
    <n v="288"/>
    <n v="54"/>
  </r>
  <r>
    <n v="860"/>
    <x v="2"/>
    <x v="202"/>
    <s v="eth1/28"/>
    <x v="0"/>
    <x v="0"/>
    <x v="0"/>
    <s v="To_VPC_2DCBSD_BD16_1"/>
    <x v="0"/>
    <b v="0"/>
    <s v="No está en VPC"/>
    <n v="860"/>
    <s v="INTPG_VPC_860_1.28_865_1.28"/>
    <s v="ISEL-1.28"/>
    <n v="2"/>
    <s v="NO TIENE L3OUT"/>
    <n v="0"/>
    <n v="54"/>
  </r>
  <r>
    <n v="853"/>
    <x v="2"/>
    <x v="203"/>
    <s v="eth1/28"/>
    <x v="0"/>
    <x v="0"/>
    <x v="0"/>
    <s v="LINK_TO_ITHFHWCRMPLCN81 / Slot7.1_20 / Redundante"/>
    <x v="0"/>
    <b v="0"/>
    <s v="No está en VPC"/>
    <n v="853"/>
    <s v="INTPG_ACC_853_1.28"/>
    <s v="ISEL-1.28"/>
    <n v="6"/>
    <s v="NO TIENE L3OUT"/>
    <n v="242"/>
    <n v="54"/>
  </r>
  <r>
    <n v="790"/>
    <x v="2"/>
    <x v="204"/>
    <s v="eth1/28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28"/>
    <x v="0"/>
    <x v="0"/>
    <x v="0"/>
    <s v="CISCO ANA 01 EHEALTH"/>
    <x v="6"/>
    <b v="0"/>
    <s v="No está en VPC"/>
    <n v="105"/>
    <s v="INTPG_ACC_105_1.28"/>
    <s v="ISEL-1.28"/>
    <n v="1"/>
    <s v="NO TIENE L3OUT"/>
    <n v="106"/>
    <n v="96"/>
  </r>
  <r>
    <n v="117"/>
    <x v="0"/>
    <x v="206"/>
    <s v="eth1/28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28"/>
    <x v="0"/>
    <x v="1"/>
    <x v="1"/>
    <s v="Citrix Silot"/>
    <x v="6"/>
    <b v="0"/>
    <s v="No está en VPC"/>
    <n v="104"/>
    <s v="INTPG_ACC_104_1.28"/>
    <s v="ISEL-1.28"/>
    <n v="1"/>
    <s v="NO TIENE L3OUT"/>
    <n v="194"/>
    <n v="96"/>
  </r>
  <r>
    <n v="158"/>
    <x v="0"/>
    <x v="208"/>
    <s v="eth1/28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28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28"/>
    <x v="0"/>
    <x v="0"/>
    <x v="0"/>
    <s v="TO-ITHFXFPOCXLCN02"/>
    <x v="4"/>
    <b v="0"/>
    <s v="No está en VPC"/>
    <n v="879"/>
    <s v="INTPG_VPC_878_1.28_879_1.28"/>
    <s v="ISEL-1.28"/>
    <n v="1"/>
    <s v="NO TIENE L3OUT"/>
    <n v="0"/>
    <n v="54"/>
  </r>
  <r>
    <n v="108"/>
    <x v="0"/>
    <x v="211"/>
    <s v="eth1/28"/>
    <x v="0"/>
    <x v="0"/>
    <x v="0"/>
    <s v="SISTEMA GENERAL(SGAI)"/>
    <x v="6"/>
    <b v="0"/>
    <s v="No está en VPC"/>
    <n v="108"/>
    <s v="INTPG_ACC_108_1.28"/>
    <s v="ISEL-1.28"/>
    <n v="1"/>
    <s v="NO TIENE L3OUT"/>
    <n v="126"/>
    <n v="96"/>
  </r>
  <r>
    <n v="112"/>
    <x v="0"/>
    <x v="212"/>
    <s v="eth1/28"/>
    <x v="0"/>
    <x v="0"/>
    <x v="0"/>
    <s v="SUBEX (Fraud Management)"/>
    <x v="6"/>
    <b v="0"/>
    <s v="No está en VPC"/>
    <n v="112"/>
    <s v="INTPG_ACC_112_1.28"/>
    <s v="ISEL-1.28"/>
    <n v="1"/>
    <s v="NO TIENE L3OUT"/>
    <n v="144"/>
    <n v="96"/>
  </r>
  <r>
    <n v="107"/>
    <x v="0"/>
    <x v="213"/>
    <s v="eth1/28"/>
    <x v="0"/>
    <x v="0"/>
    <x v="0"/>
    <s v="TO-UXF5IXT39K01"/>
    <x v="6"/>
    <b v="0"/>
    <s v="No está en VPC"/>
    <n v="107"/>
    <s v="INTPG_VPC_106_1.62_107_1.28"/>
    <s v="ISEL-1.28"/>
    <n v="2"/>
    <s v="NO TIENE L3OUT"/>
    <n v="118"/>
    <n v="96"/>
  </r>
  <r>
    <n v="109"/>
    <x v="0"/>
    <x v="214"/>
    <s v="eth1/28"/>
    <x v="0"/>
    <x v="0"/>
    <x v="0"/>
    <s v="SISTEMA GENERAL(SGAI)"/>
    <x v="6"/>
    <b v="0"/>
    <s v="No está en VPC"/>
    <n v="109"/>
    <s v="INTPG_ACC_109_1.28"/>
    <s v="ISEL-1.28"/>
    <n v="1"/>
    <s v="NO TIENE L3OUT"/>
    <n v="126"/>
    <n v="96"/>
  </r>
  <r>
    <n v="113"/>
    <x v="0"/>
    <x v="215"/>
    <s v="eth1/28"/>
    <x v="0"/>
    <x v="1"/>
    <x v="1"/>
    <s v="RLVYCAN03"/>
    <x v="6"/>
    <b v="0"/>
    <s v="No está en VPC"/>
    <n v="113"/>
    <s v="INTPG_ACC_113_1.28"/>
    <s v="ISEL-1.28"/>
    <n v="1"/>
    <s v="NO TIENE L3OUT"/>
    <n v="52"/>
    <n v="96"/>
  </r>
  <r>
    <n v="114"/>
    <x v="0"/>
    <x v="216"/>
    <s v="eth1/28"/>
    <x v="0"/>
    <x v="0"/>
    <x v="0"/>
    <s v="CHARGING SYSTEM"/>
    <x v="6"/>
    <b v="0"/>
    <s v="No está en VPC"/>
    <n v="114"/>
    <s v="INTPG_ACC_114_1.28"/>
    <s v="ISEL-1.28"/>
    <n v="1"/>
    <s v="NO TIENE L3OUT"/>
    <n v="144"/>
    <n v="96"/>
  </r>
  <r>
    <n v="124"/>
    <x v="0"/>
    <x v="217"/>
    <s v="eth1/28"/>
    <x v="0"/>
    <x v="0"/>
    <x v="0"/>
    <s v="Politicas de Navegacion"/>
    <x v="6"/>
    <b v="0"/>
    <s v="No está en VPC"/>
    <n v="124"/>
    <s v="INTPG_VPC_124_1.28-29_125_1.31-32"/>
    <s v="ISEL-1.28"/>
    <n v="5"/>
    <s v="NO TIENE L3OUT"/>
    <n v="80"/>
    <n v="96"/>
  </r>
  <r>
    <n v="118"/>
    <x v="0"/>
    <x v="218"/>
    <s v="eth1/28"/>
    <x v="0"/>
    <x v="0"/>
    <x v="0"/>
    <s v="DATOS NETCRACKER"/>
    <x v="6"/>
    <b v="0"/>
    <s v="No está en VPC"/>
    <n v="118"/>
    <s v="INTPG_ACC_118_1.28"/>
    <s v="ISEL-1.28"/>
    <n v="1"/>
    <s v="NO TIENE L3OUT"/>
    <n v="180"/>
    <n v="96"/>
  </r>
  <r>
    <n v="159"/>
    <x v="0"/>
    <x v="219"/>
    <s v="eth1/28"/>
    <x v="0"/>
    <x v="0"/>
    <x v="0"/>
    <s v="ArrobaDOC Y CF"/>
    <x v="6"/>
    <b v="0"/>
    <s v="No está en VPC"/>
    <n v="159"/>
    <s v="INTPG_ACC_159_1.28"/>
    <s v="ISEL-1.28"/>
    <n v="1"/>
    <s v="NO TIENE L3OUT"/>
    <n v="72"/>
    <n v="96"/>
  </r>
  <r>
    <n v="840"/>
    <x v="2"/>
    <x v="220"/>
    <s v="eth1/28"/>
    <x v="0"/>
    <x v="0"/>
    <x v="0"/>
    <s v="LINK_TO_ITHFHWCBSPSHD31 / Slot7.3_14 / Redundante"/>
    <x v="0"/>
    <b v="0"/>
    <s v="No está en VPC"/>
    <n v="840"/>
    <s v="INTPG_VPC_835_1.28_840_1.28"/>
    <s v="ISEL-1.28"/>
    <n v="1"/>
    <s v="NO TIENE L3OUT"/>
    <n v="8"/>
    <n v="54"/>
  </r>
  <r>
    <n v="856"/>
    <x v="2"/>
    <x v="221"/>
    <s v="eth1/28"/>
    <x v="0"/>
    <x v="0"/>
    <x v="0"/>
    <s v="LINK_TO_ITHFHWCRMPLCN143 / Slot1.3_20 / Principal"/>
    <x v="0"/>
    <b v="0"/>
    <s v="No está en VPC"/>
    <n v="856"/>
    <s v="INTPG_ACC_856_1.28"/>
    <s v="ISEL-1.28"/>
    <n v="1"/>
    <s v="NO TIENE L3OUT"/>
    <n v="286"/>
    <n v="54"/>
  </r>
  <r>
    <n v="110"/>
    <x v="0"/>
    <x v="222"/>
    <s v="eth1/28"/>
    <x v="0"/>
    <x v="0"/>
    <x v="0"/>
    <s v="UXDX-DATOS"/>
    <x v="6"/>
    <b v="0"/>
    <s v="No está en VPC"/>
    <n v="110"/>
    <s v="INTPG_ACC_110_1.28"/>
    <s v="ISEL-1.28"/>
    <n v="1"/>
    <s v="NO TIENE L3OUT"/>
    <n v="102"/>
    <n v="96"/>
  </r>
  <r>
    <n v="163"/>
    <x v="0"/>
    <x v="223"/>
    <s v="eth1/28"/>
    <x v="0"/>
    <x v="1"/>
    <x v="1"/>
    <s v="UXOXXO02B(VTAE)"/>
    <x v="6"/>
    <b v="0"/>
    <s v="No está en VPC"/>
    <n v="163"/>
    <s v="INTPG_ACC_163_1.28"/>
    <s v="ISEL-1.28"/>
    <n v="1"/>
    <s v="NO TIENE L3OUT"/>
    <n v="140"/>
    <n v="96"/>
  </r>
  <r>
    <n v="407"/>
    <x v="1"/>
    <x v="224"/>
    <s v="eth1/28"/>
    <x v="0"/>
    <x v="0"/>
    <x v="0"/>
    <s v="ITHSAN2A"/>
    <x v="6"/>
    <b v="0"/>
    <s v="No está en VPC"/>
    <n v="407"/>
    <s v="INTPG_ACC_407_1.28"/>
    <s v="ISEL-1.28"/>
    <n v="1"/>
    <s v="NO TIENE L3OUT"/>
    <n v="122"/>
    <n v="96"/>
  </r>
  <r>
    <n v="171"/>
    <x v="0"/>
    <x v="225"/>
    <s v="eth1/28"/>
    <x v="0"/>
    <x v="1"/>
    <x v="1"/>
    <s v="NFA"/>
    <x v="6"/>
    <b v="0"/>
    <s v="No está en VPC"/>
    <n v="171"/>
    <s v="INTPG_ACC_171_1.28"/>
    <s v="ISEL-1.28"/>
    <n v="1"/>
    <s v="NO TIENE L3OUT"/>
    <n v="114"/>
    <n v="96"/>
  </r>
  <r>
    <n v="421"/>
    <x v="1"/>
    <x v="226"/>
    <s v="eth1/28"/>
    <x v="0"/>
    <x v="1"/>
    <x v="1"/>
    <s v="VNX5600SPA_4596"/>
    <x v="6"/>
    <b v="0"/>
    <s v="No está en VPC"/>
    <n v="421"/>
    <s v="INTPG_ACC_421_1.28"/>
    <s v="ISEL-1.28"/>
    <n v="1"/>
    <s v="NO TIENE L3OUT"/>
    <n v="72"/>
    <n v="96"/>
  </r>
  <r>
    <n v="173"/>
    <x v="0"/>
    <x v="227"/>
    <s v="eth1/28"/>
    <x v="0"/>
    <x v="1"/>
    <x v="1"/>
    <s v="ENIQ_1"/>
    <x v="6"/>
    <b v="0"/>
    <s v="No está en VPC"/>
    <n v="173"/>
    <s v="INTPG_PC_173_1.28-33"/>
    <s v="ISEL-1.28"/>
    <n v="3"/>
    <s v="NO TIENE L3OUT"/>
    <n v="66"/>
    <n v="96"/>
  </r>
  <r>
    <n v="154"/>
    <x v="0"/>
    <x v="228"/>
    <s v="eth1/28"/>
    <x v="0"/>
    <x v="1"/>
    <x v="1"/>
    <s v="BLOQUEO EMEI"/>
    <x v="6"/>
    <b v="0"/>
    <s v="No está en VPC"/>
    <n v="154"/>
    <s v="INTPG_ACC_154_1.28"/>
    <s v="ISEL-1.28"/>
    <n v="1"/>
    <s v="NO TIENE L3OUT"/>
    <n v="62"/>
    <n v="96"/>
  </r>
  <r>
    <n v="172"/>
    <x v="0"/>
    <x v="229"/>
    <s v="eth1/28"/>
    <x v="0"/>
    <x v="1"/>
    <x v="1"/>
    <s v="netqosRAMC01_ilom"/>
    <x v="6"/>
    <b v="0"/>
    <s v="No está en VPC"/>
    <n v="172"/>
    <s v="INTPG_ACC_172_1.28"/>
    <s v="ISEL-1.28"/>
    <n v="1"/>
    <s v="NO TIENE L3OUT"/>
    <n v="104"/>
    <n v="96"/>
  </r>
  <r>
    <n v="420"/>
    <x v="1"/>
    <x v="230"/>
    <s v="eth1/28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28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28"/>
    <x v="0"/>
    <x v="0"/>
    <x v="0"/>
    <s v="To-uxingemc1"/>
    <x v="6"/>
    <b v="0"/>
    <s v="No está en VPC"/>
    <n v="415"/>
    <s v="INTPG_ACC_415_1.28"/>
    <s v="ISEL-1.28"/>
    <n v="1"/>
    <s v="NO TIENE L3OUT"/>
    <n v="52"/>
    <n v="96"/>
  </r>
  <r>
    <n v="102"/>
    <x v="0"/>
    <x v="233"/>
    <s v="eth1/28"/>
    <x v="0"/>
    <x v="1"/>
    <x v="1"/>
    <s v="SFLDI:RLDIWEB04:1"/>
    <x v="6"/>
    <b v="0"/>
    <s v="No está en VPC"/>
    <n v="102"/>
    <s v="INTPG_ACC_102_1.28"/>
    <s v="ISEL-1.28"/>
    <n v="1"/>
    <s v="NO TIENE L3OUT"/>
    <n v="228"/>
    <n v="96"/>
  </r>
  <r>
    <n v="863"/>
    <x v="2"/>
    <x v="234"/>
    <s v="eth1/28"/>
    <x v="0"/>
    <x v="0"/>
    <x v="0"/>
    <s v="To_VPC_2DCBSD_WR54_1"/>
    <x v="0"/>
    <b v="0"/>
    <s v="No está en VPC"/>
    <n v="863"/>
    <s v="INTPG_VPC_858_1.28_863_1.28"/>
    <s v="ISEL-1.28"/>
    <n v="2"/>
    <s v="NO TIENE L3OUT"/>
    <n v="8"/>
    <n v="54"/>
  </r>
  <r>
    <n v="876"/>
    <x v="2"/>
    <x v="235"/>
    <s v="eth1/28"/>
    <x v="0"/>
    <x v="0"/>
    <x v="0"/>
    <s v="A_ITHFHWSEQLCAS27_Principal"/>
    <x v="4"/>
    <b v="0"/>
    <s v="No está en VPC"/>
    <n v="876"/>
    <s v="INTPG_ACC_876_1.28"/>
    <s v="ISEL-1.28"/>
    <n v="1"/>
    <s v="NO TIENE L3OUT"/>
    <n v="92"/>
    <n v="54"/>
  </r>
  <r>
    <n v="877"/>
    <x v="2"/>
    <x v="236"/>
    <s v="eth1/28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28"/>
    <x v="1"/>
    <x v="1"/>
    <x v="2"/>
    <s v="IXTRTC5"/>
    <x v="6"/>
    <b v="0"/>
    <s v="No está en VPC"/>
    <n v="122"/>
    <s v="INTPG_ACC_122_1.28"/>
    <s v="ISEL-1.28"/>
    <n v="1"/>
    <s v="NO TIENE L3OUT"/>
    <n v="148"/>
    <n v="96"/>
  </r>
  <r>
    <n v="157"/>
    <x v="0"/>
    <x v="238"/>
    <s v="eth1/28"/>
    <x v="0"/>
    <x v="0"/>
    <x v="0"/>
    <s v="RED CRICKET"/>
    <x v="6"/>
    <b v="0"/>
    <s v="No está en VPC"/>
    <n v="157"/>
    <s v="INTPG_ACC_157_1.28"/>
    <s v="ISEL-1.28"/>
    <n v="1"/>
    <s v="NO TIENE L3OUT"/>
    <n v="202"/>
    <n v="96"/>
  </r>
  <r>
    <n v="408"/>
    <x v="1"/>
    <x v="239"/>
    <s v="eth1/28"/>
    <x v="0"/>
    <x v="0"/>
    <x v="0"/>
    <s v="FS101"/>
    <x v="6"/>
    <b v="0"/>
    <s v="No está en VPC"/>
    <n v="408"/>
    <s v="INTPG_ACC_408_1.28"/>
    <s v="ISEL-1.28"/>
    <n v="1"/>
    <s v="NO TIENE L3OUT"/>
    <n v="152"/>
    <n v="96"/>
  </r>
  <r>
    <n v="405"/>
    <x v="1"/>
    <x v="240"/>
    <s v="eth1/28"/>
    <x v="0"/>
    <x v="0"/>
    <x v="0"/>
    <s v="IXT_ARIESO7_LDR1"/>
    <x v="6"/>
    <b v="0"/>
    <s v="No está en VPC"/>
    <n v="405"/>
    <s v="INTPG_ACC_405_1.28"/>
    <s v="ISEL-1.28"/>
    <n v="1"/>
    <s v="NO TIENE L3OUT"/>
    <n v="138"/>
    <n v="96"/>
  </r>
  <r>
    <n v="169"/>
    <x v="0"/>
    <x v="241"/>
    <s v="eth1/28"/>
    <x v="0"/>
    <x v="0"/>
    <x v="0"/>
    <s v="LINKDOWN_HACIA_UCS_9UCS-IXTLA-SERV2"/>
    <x v="6"/>
    <b v="0"/>
    <s v="No está en VPC"/>
    <n v="169"/>
    <s v="INTPG_ACC_169_1.28"/>
    <s v="ISEL-1.28"/>
    <n v="1"/>
    <s v="NO TIENE L3OUT"/>
    <n v="76"/>
    <n v="96"/>
  </r>
  <r>
    <n v="165"/>
    <x v="0"/>
    <x v="242"/>
    <s v="eth1/28"/>
    <x v="0"/>
    <x v="0"/>
    <x v="0"/>
    <s v="Nomina"/>
    <x v="6"/>
    <b v="0"/>
    <s v="No está en VPC"/>
    <n v="165"/>
    <s v="INTPG_ACC_165_1.28"/>
    <s v="ISEL-1.28"/>
    <n v="1"/>
    <s v="NO TIENE L3OUT"/>
    <n v="86"/>
    <n v="96"/>
  </r>
  <r>
    <n v="417"/>
    <x v="1"/>
    <x v="243"/>
    <s v="eth1/28"/>
    <x v="0"/>
    <x v="0"/>
    <x v="0"/>
    <s v="TO-ITHFHPNBURBKP09-PRINCIPAL"/>
    <x v="6"/>
    <b v="0"/>
    <s v="No está en VPC"/>
    <n v="417"/>
    <s v="INTPG_ACC_417_1.28"/>
    <s v="ISEL-1.28"/>
    <n v="1"/>
    <s v="NO TIENE L3OUT"/>
    <n v="56"/>
    <n v="96"/>
  </r>
  <r>
    <n v="153"/>
    <x v="0"/>
    <x v="244"/>
    <s v="eth1/28"/>
    <x v="0"/>
    <x v="0"/>
    <x v="0"/>
    <s v="DCX-8510-4B 01-03"/>
    <x v="6"/>
    <b v="0"/>
    <s v="No está en VPC"/>
    <n v="153"/>
    <s v="INTPG_ACC_153_1.28"/>
    <s v="ISEL-1.28"/>
    <n v="1"/>
    <s v="NO TIENE L3OUT"/>
    <n v="42"/>
    <n v="96"/>
  </r>
  <r>
    <n v="119"/>
    <x v="0"/>
    <x v="245"/>
    <s v="eth1/28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28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28"/>
    <x v="0"/>
    <x v="1"/>
    <x v="1"/>
    <s v="CAMPANAS 01-02:uxacrw02:ent0"/>
    <x v="6"/>
    <b v="0"/>
    <s v="No está en VPC"/>
    <n v="103"/>
    <s v="INTPG_ACC_103_1.28"/>
    <s v="ISEL-1.28"/>
    <n v="1"/>
    <s v="NO TIENE L3OUT"/>
    <n v="70"/>
    <n v="96"/>
  </r>
  <r>
    <n v="438"/>
    <x v="1"/>
    <x v="248"/>
    <s v="eth1/28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28"/>
    <x v="0"/>
    <x v="0"/>
    <x v="0"/>
    <s v="ITHRTC62VC2"/>
    <x v="6"/>
    <b v="0"/>
    <s v="No está en VPC"/>
    <n v="406"/>
    <s v="INTPG_VPC_404_1.28_406_1.28"/>
    <s v="ISEL-1.28"/>
    <n v="1"/>
    <s v="NO TIENE L3OUT"/>
    <n v="82"/>
    <n v="96"/>
  </r>
  <r>
    <n v="414"/>
    <x v="1"/>
    <x v="250"/>
    <s v="eth1/28"/>
    <x v="0"/>
    <x v="0"/>
    <x v="0"/>
    <s v="ITHMSVB2_ITH3"/>
    <x v="6"/>
    <b v="0"/>
    <s v="No está en VPC"/>
    <n v="414"/>
    <s v="INTPG_ACC_414_1.28"/>
    <s v="ISEL-1.28"/>
    <n v="1"/>
    <s v="NO TIENE L3OUT"/>
    <n v="144"/>
    <n v="96"/>
  </r>
  <r>
    <n v="416"/>
    <x v="1"/>
    <x v="251"/>
    <s v="eth1/28"/>
    <x v="0"/>
    <x v="0"/>
    <x v="0"/>
    <s v="DESC"/>
    <x v="6"/>
    <b v="0"/>
    <s v="No está en VPC"/>
    <n v="416"/>
    <s v="INTPG_PC_416_1.28-29"/>
    <s v="ISEL-1.28"/>
    <n v="1"/>
    <s v="NO TIENE L3OUT"/>
    <n v="110"/>
    <n v="96"/>
  </r>
  <r>
    <n v="418"/>
    <x v="1"/>
    <x v="252"/>
    <s v="eth1/28"/>
    <x v="0"/>
    <x v="0"/>
    <x v="0"/>
    <s v="DESC"/>
    <x v="6"/>
    <b v="0"/>
    <s v="No está en VPC"/>
    <n v="418"/>
    <s v="INTPG_PC_418_1.28-29"/>
    <s v="ISEL-1.28"/>
    <n v="1"/>
    <s v="NO TIENE L3OUT"/>
    <n v="152"/>
    <n v="96"/>
  </r>
  <r>
    <n v="413"/>
    <x v="1"/>
    <x v="253"/>
    <s v="eth1/28"/>
    <x v="0"/>
    <x v="0"/>
    <x v="0"/>
    <m/>
    <x v="6"/>
    <b v="0"/>
    <s v="No está en VPC"/>
    <n v="413"/>
    <s v="INTPG_ACC_413_1.28"/>
    <s v="ISEL-1.28"/>
    <n v="2"/>
    <s v="NO TIENE L3OUT"/>
    <n v="126"/>
    <n v="96"/>
  </r>
  <r>
    <n v="403"/>
    <x v="1"/>
    <x v="254"/>
    <s v="eth1/28"/>
    <x v="0"/>
    <x v="0"/>
    <x v="0"/>
    <s v="IXT_ARIESO7_LDR1"/>
    <x v="6"/>
    <b v="0"/>
    <s v="No está en VPC"/>
    <n v="403"/>
    <s v="INTPG_ACC_403_1.28"/>
    <s v="ISEL-1.28"/>
    <n v="1"/>
    <s v="NO TIENE L3OUT"/>
    <n v="150"/>
    <n v="96"/>
  </r>
  <r>
    <n v="125"/>
    <x v="0"/>
    <x v="255"/>
    <s v="eth1/28"/>
    <x v="1"/>
    <x v="1"/>
    <x v="2"/>
    <s v="3G_ENIQ_QRO_R6"/>
    <x v="6"/>
    <b v="0"/>
    <s v="No está en VPC"/>
    <n v="125"/>
    <s v="INTPG_VPC_124_1.25_40_125_1.28_41"/>
    <s v="ISEL-1.28"/>
    <n v="5"/>
    <s v="NO TIENE L3OUT"/>
    <n v="72"/>
    <n v="96"/>
  </r>
  <r>
    <n v="166"/>
    <x v="0"/>
    <x v="256"/>
    <s v="eth1/28"/>
    <x v="0"/>
    <x v="0"/>
    <x v="0"/>
    <s v="NPG_DOC"/>
    <x v="6"/>
    <b v="0"/>
    <s v="No está en VPC"/>
    <n v="166"/>
    <s v="INTPG_ACC_166_1.28"/>
    <s v="ISEL-1.28"/>
    <n v="1"/>
    <s v="NO TIENE L3OUT"/>
    <n v="84"/>
    <n v="96"/>
  </r>
  <r>
    <n v="111"/>
    <x v="0"/>
    <x v="257"/>
    <s v="eth1/28"/>
    <x v="0"/>
    <x v="0"/>
    <x v="0"/>
    <s v="UXDX-DATOS"/>
    <x v="6"/>
    <b v="0"/>
    <s v="No está en VPC"/>
    <n v="111"/>
    <s v="INTPG_ACC_111_1.28"/>
    <s v="ISEL-1.28"/>
    <n v="1"/>
    <s v="NO TIENE L3OUT"/>
    <n v="58"/>
    <n v="96"/>
  </r>
  <r>
    <n v="115"/>
    <x v="0"/>
    <x v="258"/>
    <s v="eth1/28"/>
    <x v="0"/>
    <x v="0"/>
    <x v="0"/>
    <s v="RLVYCAN04ILO"/>
    <x v="6"/>
    <b v="0"/>
    <s v="No está en VPC"/>
    <n v="115"/>
    <s v="INTPG_ACC_115_1.28"/>
    <s v="ISEL-1.28"/>
    <n v="1"/>
    <s v="NO TIENE L3OUT"/>
    <n v="42"/>
    <n v="96"/>
  </r>
  <r>
    <n v="106"/>
    <x v="0"/>
    <x v="259"/>
    <s v="eth1/28"/>
    <x v="0"/>
    <x v="0"/>
    <x v="0"/>
    <s v="File System AM"/>
    <x v="6"/>
    <b v="0"/>
    <s v="No está en VPC"/>
    <n v="106"/>
    <s v="INTPG_ACC_106_1.28"/>
    <s v="ISEL-1.28"/>
    <n v="1"/>
    <s v="NO TIENE L3OUT"/>
    <n v="122"/>
    <n v="96"/>
  </r>
  <r>
    <n v="126"/>
    <x v="0"/>
    <x v="260"/>
    <s v="eth1/28"/>
    <x v="0"/>
    <x v="0"/>
    <x v="0"/>
    <s v="ENIQ"/>
    <x v="6"/>
    <b v="0"/>
    <s v="No está en VPC"/>
    <n v="126"/>
    <s v="INTPG_PC_126_1.25-29_36"/>
    <s v="ISEL-1.28"/>
    <n v="3"/>
    <s v="NO TIENE L3OUT"/>
    <n v="54"/>
    <n v="96"/>
  </r>
  <r>
    <n v="425"/>
    <x v="1"/>
    <x v="261"/>
    <s v="eth1/28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28"/>
    <x v="0"/>
    <x v="0"/>
    <x v="0"/>
    <s v="IXTPA1LE"/>
    <x v="6"/>
    <b v="0"/>
    <s v="No está en VPC"/>
    <n v="151"/>
    <s v="INTPG_ACC_151_1.28"/>
    <s v="ISEL-1.28"/>
    <n v="1"/>
    <s v="NO TIENE L3OUT"/>
    <n v="86"/>
    <n v="96"/>
  </r>
  <r>
    <n v="430"/>
    <x v="1"/>
    <x v="263"/>
    <s v="eth1/28"/>
    <x v="0"/>
    <x v="0"/>
    <x v="0"/>
    <s v="DESC"/>
    <x v="6"/>
    <b v="0"/>
    <s v="No está en VPC"/>
    <n v="430"/>
    <s v="INTPG_PC_430_1.27-28"/>
    <s v="ISEL-1.28"/>
    <n v="1"/>
    <s v="NO TIENE L3OUT"/>
    <n v="86"/>
    <n v="96"/>
  </r>
  <r>
    <n v="419"/>
    <x v="1"/>
    <x v="264"/>
    <s v="eth1/28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28"/>
    <x v="0"/>
    <x v="0"/>
    <x v="0"/>
    <s v="Consolidaci\u00f3n Aplicaciones Prepago"/>
    <x v="6"/>
    <b v="0"/>
    <s v="No está en VPC"/>
    <n v="155"/>
    <s v="INTPG_ACC_155_1.28"/>
    <s v="ISEL-1.28"/>
    <n v="1"/>
    <s v="NO TIENE L3OUT"/>
    <n v="198"/>
    <n v="96"/>
  </r>
  <r>
    <n v="409"/>
    <x v="1"/>
    <x v="266"/>
    <s v="eth1/28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28"/>
    <x v="0"/>
    <x v="0"/>
    <x v="0"/>
    <s v="IXTSD970B"/>
    <x v="6"/>
    <b v="0"/>
    <s v="No está en VPC"/>
    <n v="422"/>
    <s v="INTPG_ACC_422_1.28"/>
    <s v="ISEL-1.28"/>
    <n v="1"/>
    <s v="NO TIENE L3OUT"/>
    <n v="182"/>
    <n v="96"/>
  </r>
  <r>
    <n v="436"/>
    <x v="1"/>
    <x v="268"/>
    <s v="eth1/28"/>
    <x v="0"/>
    <x v="0"/>
    <x v="0"/>
    <s v="VBLOCK4"/>
    <x v="6"/>
    <b v="0"/>
    <s v="No está en VPC"/>
    <n v="436"/>
    <s v="INTPG_VPC_436_1.27-28_438_1.27_29"/>
    <s v="ISEL-1.28"/>
    <n v="3"/>
    <s v="NO TIENE L3OUT"/>
    <n v="172"/>
    <n v="96"/>
  </r>
  <r>
    <n v="410"/>
    <x v="1"/>
    <x v="269"/>
    <s v="eth1/28"/>
    <x v="0"/>
    <x v="0"/>
    <x v="0"/>
    <s v="ITHMSNUBE2_ITH2"/>
    <x v="6"/>
    <b v="0"/>
    <s v="No está en VPC"/>
    <n v="410"/>
    <s v="INTPG_ACC_410_1.28"/>
    <s v="ISEL-1.28"/>
    <n v="1"/>
    <s v="NO TIENE L3OUT"/>
    <n v="178"/>
    <n v="96"/>
  </r>
  <r>
    <n v="161"/>
    <x v="0"/>
    <x v="270"/>
    <s v="eth1/28"/>
    <x v="0"/>
    <x v="0"/>
    <x v="0"/>
    <s v="UXOXXO02B(VTAE)"/>
    <x v="6"/>
    <b v="0"/>
    <s v="No está en VPC"/>
    <n v="161"/>
    <s v="INTPG_ACC_161_1.28"/>
    <s v="ISEL-1.28"/>
    <n v="1"/>
    <s v="NO TIENE L3OUT"/>
    <n v="102"/>
    <n v="96"/>
  </r>
  <r>
    <n v="411"/>
    <x v="1"/>
    <x v="271"/>
    <s v="eth1/28"/>
    <x v="0"/>
    <x v="0"/>
    <x v="0"/>
    <s v="To_lagidmhlapvp08_produccion1"/>
    <x v="6"/>
    <b v="0"/>
    <s v="No está en VPC"/>
    <n v="411"/>
    <s v="INTPG_VPC_411_1.26-29_413_1.19-20_22_86"/>
    <s v="ISEL-1.28"/>
    <n v="2"/>
    <s v="NO TIENE L3OUT"/>
    <n v="96"/>
    <n v="96"/>
  </r>
  <r>
    <n v="116"/>
    <x v="0"/>
    <x v="272"/>
    <s v="eth1/28"/>
    <x v="0"/>
    <x v="0"/>
    <x v="0"/>
    <s v="DATOS NETCRACKER"/>
    <x v="6"/>
    <b v="0"/>
    <s v="No está en VPC"/>
    <n v="116"/>
    <s v="INTPG_ACC_116_1.28"/>
    <s v="ISEL-1.28"/>
    <n v="1"/>
    <s v="NO TIENE L3OUT"/>
    <n v="148"/>
    <n v="96"/>
  </r>
  <r>
    <n v="412"/>
    <x v="1"/>
    <x v="273"/>
    <s v="eth1/28"/>
    <x v="0"/>
    <x v="0"/>
    <x v="0"/>
    <s v="NEC Femtocel NMS"/>
    <x v="6"/>
    <b v="0"/>
    <s v="No está en VPC"/>
    <n v="412"/>
    <s v="INTPG_ACC_412_1.28"/>
    <s v="ISEL-1.28"/>
    <n v="1"/>
    <s v="NO TIENE L3OUT"/>
    <n v="126"/>
    <n v="96"/>
  </r>
  <r>
    <n v="120"/>
    <x v="0"/>
    <x v="274"/>
    <s v="eth1/28"/>
    <x v="0"/>
    <x v="0"/>
    <x v="0"/>
    <s v="IXTRTC5"/>
    <x v="6"/>
    <b v="0"/>
    <s v="No está en VPC"/>
    <n v="120"/>
    <s v="INTPG_ACC_120_1.28"/>
    <s v="ISEL-1.28"/>
    <n v="1"/>
    <s v="NO TIENE L3OUT"/>
    <n v="158"/>
    <n v="96"/>
  </r>
  <r>
    <n v="404"/>
    <x v="1"/>
    <x v="275"/>
    <s v="eth1/28"/>
    <x v="0"/>
    <x v="0"/>
    <x v="0"/>
    <s v="ITHRTC62VC2"/>
    <x v="6"/>
    <b v="0"/>
    <s v="No está en VPC"/>
    <n v="404"/>
    <s v="INTPG_VPC_404_1.28_406_1.28"/>
    <s v="ISEL-1.28"/>
    <n v="1"/>
    <s v="NO TIENE L3OUT"/>
    <n v="92"/>
    <n v="96"/>
  </r>
  <r>
    <n v="167"/>
    <x v="0"/>
    <x v="276"/>
    <s v="eth1/28"/>
    <x v="0"/>
    <x v="0"/>
    <x v="0"/>
    <s v="ESTANDAR GSS y TS"/>
    <x v="6"/>
    <b v="0"/>
    <s v="No está en VPC"/>
    <n v="167"/>
    <s v="INTPG_ACC_167_1.28"/>
    <s v="ISEL-1.28"/>
    <n v="1"/>
    <s v="NO TIENE L3OUT"/>
    <n v="68"/>
    <n v="96"/>
  </r>
  <r>
    <n v="428"/>
    <x v="1"/>
    <x v="277"/>
    <s v="eth1/28"/>
    <x v="0"/>
    <x v="0"/>
    <x v="0"/>
    <s v="DESC"/>
    <x v="6"/>
    <b v="0"/>
    <s v="No está en VPC"/>
    <n v="428"/>
    <s v="INTPG_PC_428_1.27-28"/>
    <s v="ISEL-1.28"/>
    <n v="1"/>
    <s v="NO TIENE L3OUT"/>
    <n v="102"/>
    <n v="96"/>
  </r>
  <r>
    <n v="903"/>
    <x v="2"/>
    <x v="278"/>
    <s v="eth1/2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2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29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29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29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29"/>
    <x v="0"/>
    <x v="0"/>
    <x v="0"/>
    <s v="TO-ITHFDENBURMS05"/>
    <x v="0"/>
    <b v="0"/>
    <s v="No está en VPC"/>
    <n v="101"/>
    <s v="INTPG_VPC_101_1.29_150_1.29"/>
    <s v="ISEL-1.29"/>
    <n v="1"/>
    <s v="NO TIENE L3OUT"/>
    <n v="114"/>
    <n v="54"/>
  </r>
  <r>
    <n v="160"/>
    <x v="0"/>
    <x v="4"/>
    <s v="eth1/29"/>
    <x v="0"/>
    <x v="0"/>
    <x v="0"/>
    <s v="ArrobaDOC Y CF"/>
    <x v="1"/>
    <b v="0"/>
    <s v="No está en VPC"/>
    <n v="160"/>
    <s v="INTPG_ACC_160_1.29"/>
    <s v="ISEL-1.29"/>
    <n v="1"/>
    <s v="NO TIENE L3OUT"/>
    <n v="68"/>
    <n v="54"/>
  </r>
  <r>
    <n v="121"/>
    <x v="0"/>
    <x v="5"/>
    <s v="eth1/29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29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29"/>
    <x v="0"/>
    <x v="0"/>
    <x v="0"/>
    <s v="TO-UXSISAC9-LAGUXSISAC9C"/>
    <x v="0"/>
    <b v="0"/>
    <s v="No está en VPC"/>
    <n v="401"/>
    <s v="INTPG_VPC_401_1.29-30_402_1.29-30"/>
    <s v="ISEL-1.29"/>
    <n v="1"/>
    <s v="NO TIENE L3OUT"/>
    <n v="40"/>
    <n v="54"/>
  </r>
  <r>
    <n v="402"/>
    <x v="1"/>
    <x v="8"/>
    <s v="eth1/29"/>
    <x v="0"/>
    <x v="0"/>
    <x v="0"/>
    <s v="TO-UXSISAC9-LAGUXSISAC9C"/>
    <x v="0"/>
    <b v="0"/>
    <s v="No está en VPC"/>
    <n v="402"/>
    <s v="INTPG_VPC_401_1.29-30_402_1.29-30"/>
    <s v="ISEL-1.29"/>
    <n v="1"/>
    <s v="NO TIENE L3OUT"/>
    <n v="36"/>
    <n v="54"/>
  </r>
  <r>
    <n v="447"/>
    <x v="1"/>
    <x v="9"/>
    <s v="eth1/29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29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29"/>
    <x v="0"/>
    <x v="0"/>
    <x v="0"/>
    <s v="LAG-smt-comp-07"/>
    <x v="0"/>
    <b v="0"/>
    <s v="No está en VPC"/>
    <n v="130"/>
    <s v="INTPG_VPC_130_1.28-29_131_1.28-29"/>
    <s v="ISEL-1.29"/>
    <n v="4"/>
    <s v="NO TIENE L3OUT"/>
    <n v="128"/>
    <n v="54"/>
  </r>
  <r>
    <n v="150"/>
    <x v="0"/>
    <x v="12"/>
    <s v="eth1/29"/>
    <x v="0"/>
    <x v="0"/>
    <x v="0"/>
    <s v="TO-ITHFDENBURMS05"/>
    <x v="0"/>
    <b v="0"/>
    <s v="No está en VPC"/>
    <n v="150"/>
    <s v="INTPG_VPC_101_1.29_150_1.29"/>
    <s v="ISEL-1.29"/>
    <n v="1"/>
    <s v="NO TIENE L3OUT"/>
    <n v="118"/>
    <n v="54"/>
  </r>
  <r>
    <n v="131"/>
    <x v="0"/>
    <x v="13"/>
    <s v="eth1/29"/>
    <x v="0"/>
    <x v="0"/>
    <x v="0"/>
    <s v="LAG-smt-comp-07"/>
    <x v="0"/>
    <b v="0"/>
    <s v="No está en VPC"/>
    <n v="131"/>
    <s v="INTPG_VPC_130_1.28-29_131_1.28-29"/>
    <s v="ISEL-1.29"/>
    <n v="4"/>
    <s v="NO TIENE L3OUT"/>
    <n v="126"/>
    <n v="54"/>
  </r>
  <r>
    <n v="303"/>
    <x v="0"/>
    <x v="14"/>
    <s v="eth1/29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29"/>
    <x v="0"/>
    <x v="1"/>
    <x v="3"/>
    <m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29"/>
    <x v="1"/>
    <x v="1"/>
    <x v="3"/>
    <m/>
    <x v="2"/>
    <b v="0"/>
    <s v="No está en VPC"/>
    <n v="759"/>
    <s v="NO EXISTE PG"/>
    <s v="NO EXISTE ISEL"/>
    <n v="0"/>
    <s v="NO TIENE L3OUT"/>
    <n v="0"/>
    <n v="42"/>
  </r>
  <r>
    <n v="302"/>
    <x v="0"/>
    <x v="17"/>
    <s v="eth1/29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29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29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29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29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29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29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29"/>
    <x v="0"/>
    <x v="1"/>
    <x v="3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29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29"/>
    <x v="0"/>
    <x v="0"/>
    <x v="0"/>
    <s v="TO-DD8138PC2"/>
    <x v="0"/>
    <b v="0"/>
    <s v="No está en VPC"/>
    <n v="431"/>
    <s v="INTPG_VPC_431_1.29_448_1.29"/>
    <s v="ISEL-1.29"/>
    <n v="1"/>
    <s v="NO TIENE L3OUT"/>
    <n v="46"/>
    <n v="54"/>
  </r>
  <r>
    <n v="433"/>
    <x v="1"/>
    <x v="27"/>
    <s v="eth1/29"/>
    <x v="0"/>
    <x v="0"/>
    <x v="0"/>
    <s v="TO-ITHHWC1U-ITHUYBH02-PRINCIPAL"/>
    <x v="1"/>
    <b v="0"/>
    <s v="No está en VPC"/>
    <n v="433"/>
    <s v="INTPG_ACC_433_1.29"/>
    <s v="ISEL-1.29"/>
    <n v="1"/>
    <s v="NO TIENE L3OUT"/>
    <n v="42"/>
    <n v="54"/>
  </r>
  <r>
    <n v="429"/>
    <x v="1"/>
    <x v="28"/>
    <s v="eth1/29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29"/>
    <x v="0"/>
    <x v="0"/>
    <x v="0"/>
    <s v="TO-ithfhpficxrbd01-Principal"/>
    <x v="1"/>
    <b v="0"/>
    <s v="No está en VPC"/>
    <n v="432"/>
    <s v="INTPG_ACC_432_1.29"/>
    <s v="ISEL-1.29"/>
    <n v="1"/>
    <s v="NO TIENE L3OUT"/>
    <n v="54"/>
    <n v="54"/>
  </r>
  <r>
    <n v="442"/>
    <x v="1"/>
    <x v="30"/>
    <s v="eth1/29"/>
    <x v="0"/>
    <x v="0"/>
    <x v="0"/>
    <s v="bmc_ithhwc3a2288h4_SECUNDARIO"/>
    <x v="1"/>
    <b v="0"/>
    <s v="No está en VPC"/>
    <n v="442"/>
    <s v="INTPG_ACC_442_1.29"/>
    <s v="ISEL-1.29"/>
    <n v="1"/>
    <s v="NO TIENE L3OUT"/>
    <n v="18"/>
    <n v="54"/>
  </r>
  <r>
    <n v="434"/>
    <x v="1"/>
    <x v="31"/>
    <s v="eth1/29"/>
    <x v="0"/>
    <x v="0"/>
    <x v="0"/>
    <s v="TO-ITHEMCPM8K3019DKC0-REDUNDANTE"/>
    <x v="1"/>
    <b v="0"/>
    <s v="No está en VPC"/>
    <n v="434"/>
    <s v="INTPG_ACC_434_1.29"/>
    <s v="ISEL-1.29"/>
    <n v="1"/>
    <s v="NO TIENE L3OUT"/>
    <n v="34"/>
    <n v="54"/>
  </r>
  <r>
    <n v="707"/>
    <x v="2"/>
    <x v="32"/>
    <s v="eth1/29"/>
    <x v="0"/>
    <x v="1"/>
    <x v="3"/>
    <s v="CEM_HADOOP"/>
    <x v="0"/>
    <b v="0"/>
    <s v="No está en VPC"/>
    <n v="707"/>
    <s v="INTPG_ACC_707_1.29"/>
    <s v="ISEL-1.29"/>
    <n v="0"/>
    <s v="NO TIENE L3OUT"/>
    <n v="54"/>
    <n v="54"/>
  </r>
  <r>
    <n v="712"/>
    <x v="2"/>
    <x v="33"/>
    <s v="eth1/29"/>
    <x v="0"/>
    <x v="1"/>
    <x v="5"/>
    <s v="CEM:ITHCEMB2ADT15:LOM P1"/>
    <x v="0"/>
    <b v="0"/>
    <s v="No está en VPC"/>
    <n v="712"/>
    <s v="INTPG_VPC_712_1.29_713_1.30"/>
    <s v="ISEL-1.29"/>
    <n v="1"/>
    <s v="NO TIENE L3OUT"/>
    <n v="32"/>
    <n v="54"/>
  </r>
  <r>
    <n v="719"/>
    <x v="2"/>
    <x v="34"/>
    <s v="eth1/29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29"/>
    <x v="0"/>
    <x v="0"/>
    <x v="0"/>
    <m/>
    <x v="0"/>
    <b v="0"/>
    <s v="No está en VPC"/>
    <n v="715"/>
    <s v="INTPG-VPC_SLR01_715_1.29_716_1.30"/>
    <s v="ISEL-1.29"/>
    <n v="1"/>
    <s v="NO TIENE L3OUT"/>
    <n v="0"/>
    <n v="54"/>
  </r>
  <r>
    <n v="427"/>
    <x v="1"/>
    <x v="36"/>
    <s v="eth1/29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29"/>
    <x v="0"/>
    <x v="1"/>
    <x v="5"/>
    <s v="CEM:ITHCEMC2ADT15:LOM P1"/>
    <x v="0"/>
    <b v="0"/>
    <s v="No está en VPC"/>
    <n v="711"/>
    <s v="INTPG_VPC_710_1.30_711_1.29"/>
    <s v="ISEL-1.29"/>
    <n v="1"/>
    <s v="NO TIENE L3OUT"/>
    <n v="16"/>
    <n v="54"/>
  </r>
  <r>
    <n v="716"/>
    <x v="2"/>
    <x v="38"/>
    <s v="eth1/29"/>
    <x v="0"/>
    <x v="0"/>
    <x v="0"/>
    <m/>
    <x v="0"/>
    <b v="0"/>
    <s v="No está en VPC"/>
    <n v="716"/>
    <s v="INTPG-VPC_ZKP02_716_1.29_715_1.30"/>
    <s v="ISEL-1.29"/>
    <n v="1"/>
    <s v="NO TIENE L3OUT"/>
    <n v="0"/>
    <n v="54"/>
  </r>
  <r>
    <n v="702"/>
    <x v="2"/>
    <x v="39"/>
    <s v="eth1/29"/>
    <x v="0"/>
    <x v="0"/>
    <x v="0"/>
    <m/>
    <x v="0"/>
    <b v="0"/>
    <s v="No está en VPC"/>
    <n v="702"/>
    <s v="INTPG_VPC_702_1.29_701_1.30"/>
    <s v="ISEL-1.29"/>
    <n v="1"/>
    <s v="NO TIENE L3OUT"/>
    <n v="0"/>
    <n v="54"/>
  </r>
  <r>
    <n v="435"/>
    <x v="1"/>
    <x v="40"/>
    <s v="eth1/29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29"/>
    <x v="0"/>
    <x v="0"/>
    <x v="0"/>
    <s v="TO-ITHFDLMCLWLCN05"/>
    <x v="0"/>
    <b v="0"/>
    <s v="No está en VPC"/>
    <n v="446"/>
    <s v="INTPG_VPC_446_1.29_444_1.41"/>
    <s v="ISEL-1.29"/>
    <n v="3"/>
    <s v="NO TIENE L3OUT"/>
    <n v="198"/>
    <n v="54"/>
  </r>
  <r>
    <n v="444"/>
    <x v="1"/>
    <x v="42"/>
    <s v="eth1/29"/>
    <x v="0"/>
    <x v="0"/>
    <x v="0"/>
    <m/>
    <x v="0"/>
    <b v="0"/>
    <s v="No está en VPC"/>
    <n v="444"/>
    <s v="INTPG_ACC_444_1.29"/>
    <s v="ISEL-1.29"/>
    <n v="0"/>
    <s v="NO TIENE L3OUT"/>
    <n v="234"/>
    <n v="54"/>
  </r>
  <r>
    <n v="701"/>
    <x v="2"/>
    <x v="43"/>
    <s v="eth1/29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29"/>
    <x v="0"/>
    <x v="0"/>
    <x v="0"/>
    <s v="bmc_ithhwc3a2288h3_PRINCIPAL"/>
    <x v="1"/>
    <b v="0"/>
    <s v="No está en VPC"/>
    <n v="440"/>
    <s v="INTPG_ACC_440_1.29"/>
    <s v="ISEL-1.29"/>
    <n v="1"/>
    <s v="NO TIENE L3OUT"/>
    <n v="22"/>
    <n v="54"/>
  </r>
  <r>
    <n v="448"/>
    <x v="1"/>
    <x v="45"/>
    <s v="eth1/29"/>
    <x v="0"/>
    <x v="0"/>
    <x v="0"/>
    <s v="TO-DD8138PC2"/>
    <x v="0"/>
    <b v="0"/>
    <s v="No está en VPC"/>
    <n v="448"/>
    <s v="INTPG_VPC_431_1.29_448_1.29"/>
    <s v="ISEL-1.29"/>
    <n v="1"/>
    <s v="NO TIENE L3OUT"/>
    <n v="46"/>
    <n v="54"/>
  </r>
  <r>
    <n v="704"/>
    <x v="2"/>
    <x v="46"/>
    <s v="eth1/29"/>
    <x v="0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29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29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29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603"/>
    <x v="1"/>
    <x v="50"/>
    <s v="eth1/29"/>
    <x v="0"/>
    <x v="1"/>
    <x v="3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29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29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29"/>
    <x v="0"/>
    <x v="0"/>
    <x v="0"/>
    <s v="Server_Pre-R02-RH2288-04"/>
    <x v="0"/>
    <b v="0"/>
    <s v="No está en VPC"/>
    <n v="730"/>
    <s v="INTPG_ACC_730_1.29"/>
    <s v="ISEL-1.29"/>
    <n v="1"/>
    <s v="NO TIENE L3OUT"/>
    <n v="36"/>
    <n v="54"/>
  </r>
  <r>
    <n v="722"/>
    <x v="2"/>
    <x v="54"/>
    <s v="eth1/29"/>
    <x v="0"/>
    <x v="0"/>
    <x v="0"/>
    <s v="TO-ITHHWHCS8SW"/>
    <x v="0"/>
    <b v="0"/>
    <s v="No está en VPC"/>
    <n v="722"/>
    <s v="INTPG_VPC_722_1.29-30_723_1.29-30"/>
    <s v="ISEL-1.29"/>
    <n v="15"/>
    <s v="NO TIENE L3OUT"/>
    <n v="0"/>
    <n v="54"/>
  </r>
  <r>
    <n v="733"/>
    <x v="2"/>
    <x v="55"/>
    <s v="eth1/29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29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29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29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29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29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29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29"/>
    <x v="0"/>
    <x v="1"/>
    <x v="1"/>
    <s v="CEM:ITHCEMA2ADT15:LOM P3"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29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29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29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29"/>
    <x v="0"/>
    <x v="1"/>
    <x v="3"/>
    <s v="PAAS:ithhwosstpap004:LOM PORT 2"/>
    <x v="0"/>
    <b v="0"/>
    <s v="No está en VPC"/>
    <n v="752"/>
    <s v="INTPG_VPC_747_1.19_752_1.29"/>
    <s v="ISEL-1.29"/>
    <n v="0"/>
    <s v="NO TIENE L3OUT"/>
    <n v="0"/>
    <n v="54"/>
  </r>
  <r>
    <n v="765"/>
    <x v="2"/>
    <x v="67"/>
    <s v="eth1/29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29"/>
    <x v="0"/>
    <x v="0"/>
    <x v="0"/>
    <s v="CLOUD OPS:ithhwcop01en01:3X P1"/>
    <x v="0"/>
    <b v="0"/>
    <s v="No está en VPC"/>
    <n v="778"/>
    <s v="INTPG_VPC_778_1.27-30_779_1.27-30"/>
    <s v="ISEL-1.29"/>
    <n v="24"/>
    <s v="NO TIENE L3OUT"/>
    <n v="26"/>
    <n v="54"/>
  </r>
  <r>
    <n v="780"/>
    <x v="2"/>
    <x v="69"/>
    <s v="eth1/29"/>
    <x v="0"/>
    <x v="0"/>
    <x v="0"/>
    <s v="CLOUD OPS:ithhwcop02en02:1E P2"/>
    <x v="0"/>
    <b v="0"/>
    <s v="No está en VPC"/>
    <n v="780"/>
    <s v="INTPG_VPC_780_1.28-29_34-35_781_1.28-29_34-35"/>
    <s v="ISEL-1.29"/>
    <n v="23"/>
    <s v="NO TIENE L3OUT"/>
    <n v="26"/>
    <n v="54"/>
  </r>
  <r>
    <n v="812"/>
    <x v="2"/>
    <x v="70"/>
    <s v="eth1/29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29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29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29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29"/>
    <x v="0"/>
    <x v="0"/>
    <x v="0"/>
    <s v="LINK_TO_ITHFHWCMVWPMA15 /Slot7.2 /Redundante"/>
    <x v="0"/>
    <b v="0"/>
    <s v="No está en VPC"/>
    <n v="824"/>
    <s v="INTPG_ACC_824_1.29"/>
    <s v="ISEL-1.29"/>
    <n v="1"/>
    <s v="NO TIENE L3OUT"/>
    <n v="70"/>
    <n v="54"/>
  </r>
  <r>
    <n v="819"/>
    <x v="2"/>
    <x v="75"/>
    <s v="eth1/29"/>
    <x v="0"/>
    <x v="0"/>
    <x v="0"/>
    <s v="LINK_TO_ITHFHWCMVWPMA15 /Slot5.2 /Principal"/>
    <x v="0"/>
    <b v="0"/>
    <s v="No está en VPC"/>
    <n v="819"/>
    <s v="INTPG_ACC_819_1.29"/>
    <s v="ISEL-1.29"/>
    <n v="1"/>
    <s v="NO TIENE L3OUT"/>
    <n v="70"/>
    <n v="54"/>
  </r>
  <r>
    <n v="737"/>
    <x v="2"/>
    <x v="76"/>
    <s v="eth1/29"/>
    <x v="0"/>
    <x v="0"/>
    <x v="0"/>
    <s v="CEM:ITHCEMF2KFK15:LOM P3"/>
    <x v="5"/>
    <b v="0"/>
    <s v="No está en VPC"/>
    <n v="737"/>
    <s v="INTPG_ACC_737_1.29"/>
    <s v="ISEL-1.29"/>
    <n v="1"/>
    <s v="NO TIENE L3OUT"/>
    <n v="72"/>
    <n v="54"/>
  </r>
  <r>
    <n v="844"/>
    <x v="2"/>
    <x v="77"/>
    <s v="eth1/29"/>
    <x v="0"/>
    <x v="0"/>
    <x v="0"/>
    <s v="LINK_TO_ITHFHWCRMPLCN110 / Slot1.2_24 / Principal"/>
    <x v="0"/>
    <b v="0"/>
    <s v="No está en VPC"/>
    <n v="844"/>
    <s v="INTPG_ACC_844_1.29"/>
    <s v="ISEL-1.29"/>
    <n v="2"/>
    <s v="NO TIENE L3OUT"/>
    <n v="282"/>
    <n v="54"/>
  </r>
  <r>
    <n v="843"/>
    <x v="2"/>
    <x v="78"/>
    <s v="eth1/29"/>
    <x v="0"/>
    <x v="0"/>
    <x v="0"/>
    <s v="LINK_To_ITHFHWCBSPSWR44 / Slot7.3_32 / Redundante"/>
    <x v="0"/>
    <b v="0"/>
    <s v="No está en VPC"/>
    <n v="843"/>
    <s v="INTPG_VPC_838_1.29_843_1.29"/>
    <s v="ISEL-1.29"/>
    <n v="1"/>
    <s v="NO TIENE L3OUT"/>
    <n v="38"/>
    <n v="54"/>
  </r>
  <r>
    <n v="797"/>
    <x v="2"/>
    <x v="79"/>
    <s v="eth1/29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29"/>
    <x v="0"/>
    <x v="0"/>
    <x v="0"/>
    <s v="LINK_TO_ITHFHWCBSPSHD39 / Slot7.2_16 / Redundante"/>
    <x v="0"/>
    <b v="0"/>
    <s v="No está en VPC"/>
    <n v="839"/>
    <s v="INTPG_VPC_834_1.29_839_1.29"/>
    <s v="ISEL-1.29"/>
    <n v="1"/>
    <s v="NO TIENE L3OUT"/>
    <n v="0"/>
    <n v="54"/>
  </r>
  <r>
    <n v="847"/>
    <x v="2"/>
    <x v="81"/>
    <s v="eth1/29"/>
    <x v="0"/>
    <x v="0"/>
    <x v="0"/>
    <s v="LINK_TO_ITHFHWCRMPLCN175 / Slot7.1_20 / Redundante"/>
    <x v="0"/>
    <b v="0"/>
    <s v="No está en VPC"/>
    <n v="847"/>
    <s v="INTPG_ACC_847_1.29"/>
    <s v="ISEL-1.29"/>
    <n v="6"/>
    <s v="NO TIENE L3OUT"/>
    <n v="204"/>
    <n v="54"/>
  </r>
  <r>
    <n v="848"/>
    <x v="2"/>
    <x v="82"/>
    <s v="eth1/29"/>
    <x v="0"/>
    <x v="0"/>
    <x v="0"/>
    <s v="LINK_TO_ITHFHWCRMPLCN164 / Slot7.1_30 / Redundante"/>
    <x v="0"/>
    <b v="0"/>
    <s v="No está en VPC"/>
    <n v="848"/>
    <s v="INTPG_ACC_848_1.29"/>
    <s v="ISEL-1.29"/>
    <n v="6"/>
    <s v="NO TIENE L3OUT"/>
    <n v="254"/>
    <n v="54"/>
  </r>
  <r>
    <n v="846"/>
    <x v="2"/>
    <x v="83"/>
    <s v="eth1/29"/>
    <x v="0"/>
    <x v="0"/>
    <x v="0"/>
    <s v="LINK_TO_ITHFHWCRMPLCN81 / Slot1.2_20 / Principal"/>
    <x v="0"/>
    <b v="0"/>
    <s v="No está en VPC"/>
    <n v="846"/>
    <s v="INTPG_ACC_846_1.29"/>
    <s v="ISEL-1.29"/>
    <n v="2"/>
    <s v="NO TIENE L3OUT"/>
    <n v="242"/>
    <n v="54"/>
  </r>
  <r>
    <n v="838"/>
    <x v="2"/>
    <x v="84"/>
    <s v="eth1/29"/>
    <x v="0"/>
    <x v="0"/>
    <x v="0"/>
    <s v="LINK_To_ITHFHWCBSPSWR44 / Slot1.3_32 / Principal"/>
    <x v="0"/>
    <b v="0"/>
    <s v="No está en VPC"/>
    <n v="838"/>
    <s v="INTPG_VPC_838_1.29_843_1.29"/>
    <s v="ISEL-1.29"/>
    <n v="1"/>
    <s v="NO TIENE L3OUT"/>
    <n v="38"/>
    <n v="54"/>
  </r>
  <r>
    <n v="849"/>
    <x v="2"/>
    <x v="85"/>
    <s v="eth1/29"/>
    <x v="0"/>
    <x v="0"/>
    <x v="0"/>
    <s v="LINK_TO_ITHFHWCRMPLCN144 / Slot7.1_22 / Redundante"/>
    <x v="0"/>
    <b v="0"/>
    <s v="No está en VPC"/>
    <n v="849"/>
    <s v="INTPG_ACC_849_1.29"/>
    <s v="ISEL-1.29"/>
    <n v="6"/>
    <s v="NO TIENE L3OUT"/>
    <n v="286"/>
    <n v="54"/>
  </r>
  <r>
    <n v="845"/>
    <x v="2"/>
    <x v="86"/>
    <s v="eth1/29"/>
    <x v="0"/>
    <x v="0"/>
    <x v="0"/>
    <s v="LINK_TO_ITHFHWCRMPLCN93 / Slot1.3_18 / Principal"/>
    <x v="0"/>
    <b v="0"/>
    <s v="No está en VPC"/>
    <n v="845"/>
    <s v="INTPG_ACC_845_1.29"/>
    <s v="ISEL-1.29"/>
    <n v="1"/>
    <s v="NO TIENE L3OUT"/>
    <n v="258"/>
    <n v="54"/>
  </r>
  <r>
    <n v="873"/>
    <x v="2"/>
    <x v="87"/>
    <s v="eth1/29"/>
    <x v="0"/>
    <x v="0"/>
    <x v="0"/>
    <s v="TO_ITHFHWCRMDLCN62_Principal"/>
    <x v="0"/>
    <b v="0"/>
    <s v="No está en VPC"/>
    <n v="873"/>
    <s v="INTPG_ACC_873_1.29"/>
    <s v="ISEL-1.29"/>
    <n v="1"/>
    <s v="NO TIENE L3OUT"/>
    <n v="248"/>
    <n v="54"/>
  </r>
  <r>
    <n v="864"/>
    <x v="2"/>
    <x v="88"/>
    <s v="eth1/29"/>
    <x v="0"/>
    <x v="0"/>
    <x v="0"/>
    <s v="To_VPC_2DCBSD_WR45_2"/>
    <x v="0"/>
    <b v="0"/>
    <s v="No está en VPC"/>
    <n v="864"/>
    <s v="INTPG_VPC_859_1.29_864_1.29"/>
    <s v="ISEL-1.29"/>
    <n v="1"/>
    <s v="NO TIENE L3OUT"/>
    <n v="0"/>
    <n v="54"/>
  </r>
  <r>
    <n v="836"/>
    <x v="2"/>
    <x v="89"/>
    <s v="eth1/29"/>
    <x v="0"/>
    <x v="0"/>
    <x v="0"/>
    <s v="LINK_TO_ITHFHWCBSPSWR55 / Slot1.1_38 / Principal"/>
    <x v="0"/>
    <b v="0"/>
    <s v="No está en VPC"/>
    <n v="836"/>
    <s v="INTPG_VPC_836_1.29_841_1.29"/>
    <s v="ISEL-1.29"/>
    <n v="2"/>
    <s v="NO TIENE L3OUT"/>
    <n v="0"/>
    <n v="54"/>
  </r>
  <r>
    <n v="834"/>
    <x v="2"/>
    <x v="90"/>
    <s v="eth1/29"/>
    <x v="0"/>
    <x v="0"/>
    <x v="0"/>
    <s v="LINK_TO_ITHFHWCBSPSHD39 / Slot1.2_16 / Principal"/>
    <x v="0"/>
    <b v="0"/>
    <s v="No está en VPC"/>
    <n v="834"/>
    <s v="INTPG_VPC_834_1.29_839_1.29"/>
    <s v="ISEL-1.29"/>
    <n v="1"/>
    <s v="NO TIENE L3OUT"/>
    <n v="0"/>
    <n v="54"/>
  </r>
  <r>
    <n v="872"/>
    <x v="2"/>
    <x v="91"/>
    <s v="eth1/29"/>
    <x v="0"/>
    <x v="0"/>
    <x v="0"/>
    <s v="To_ITHFHWCRMDLCN78_Principal"/>
    <x v="0"/>
    <b v="0"/>
    <s v="No está en VPC"/>
    <n v="872"/>
    <s v="INTPG_ACC_872_1.29"/>
    <s v="ISEL-1.29"/>
    <n v="1"/>
    <s v="NO TIENE L3OUT"/>
    <n v="288"/>
    <n v="54"/>
  </r>
  <r>
    <n v="842"/>
    <x v="2"/>
    <x v="92"/>
    <s v="eth1/29"/>
    <x v="0"/>
    <x v="0"/>
    <x v="0"/>
    <s v="LINK_TO_ITHHWD6KV65100009DKC01 / CTMA_IOM0.P1_34 / Redundante"/>
    <x v="0"/>
    <b v="0"/>
    <s v="No está en VPC"/>
    <n v="842"/>
    <s v="INTPG_ACC_842_1.29"/>
    <s v="ISEL-1.29"/>
    <n v="1"/>
    <s v="NO TIENE L3OUT"/>
    <n v="8"/>
    <n v="54"/>
  </r>
  <r>
    <n v="828"/>
    <x v="2"/>
    <x v="93"/>
    <s v="eth1/29"/>
    <x v="0"/>
    <x v="0"/>
    <x v="0"/>
    <s v="LINK_TO_ITHFHWCRMDLCN25 /Slot5.2 /Principal"/>
    <x v="0"/>
    <b v="0"/>
    <s v="No está en VPC"/>
    <n v="828"/>
    <s v="INTPG_ACC_828_1.29"/>
    <s v="ISEL-1.29"/>
    <n v="5"/>
    <s v="NO TIENE L3OUT"/>
    <n v="192"/>
    <n v="54"/>
  </r>
  <r>
    <n v="870"/>
    <x v="2"/>
    <x v="94"/>
    <s v="eth1/29"/>
    <x v="0"/>
    <x v="0"/>
    <x v="0"/>
    <s v="TO_ITHFHWCRMDLCN62_Redundante"/>
    <x v="0"/>
    <b v="0"/>
    <s v="No está en VPC"/>
    <n v="870"/>
    <s v="INTPG_ACC_870_1.29"/>
    <s v="ISEL-1.29"/>
    <n v="1"/>
    <s v="NO TIENE L3OUT"/>
    <n v="248"/>
    <n v="54"/>
  </r>
  <r>
    <n v="866"/>
    <x v="2"/>
    <x v="95"/>
    <s v="eth1/29"/>
    <x v="0"/>
    <x v="0"/>
    <x v="0"/>
    <s v="To_VPC_2DCBSD_BD12_1"/>
    <x v="0"/>
    <b v="0"/>
    <s v="No está en VPC"/>
    <n v="866"/>
    <s v="INTPG_VPC_861_1.29_866_1.29"/>
    <s v="ISEL-1.29"/>
    <n v="2"/>
    <s v="NO TIENE L3OUT"/>
    <n v="8"/>
    <n v="54"/>
  </r>
  <r>
    <n v="862"/>
    <x v="2"/>
    <x v="96"/>
    <s v="eth1/29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29"/>
    <x v="0"/>
    <x v="0"/>
    <x v="0"/>
    <s v="LINK_TO_ITHFHWCRMPLCN164 / Slot1.1_30 / Principal"/>
    <x v="0"/>
    <b v="0"/>
    <s v="No está en VPC"/>
    <n v="855"/>
    <s v="INTPG_ACC_855_1.29"/>
    <s v="ISEL-1.29"/>
    <n v="6"/>
    <s v="NO TIENE L3OUT"/>
    <n v="254"/>
    <n v="54"/>
  </r>
  <r>
    <n v="871"/>
    <x v="2"/>
    <x v="98"/>
    <s v="eth1/29"/>
    <x v="0"/>
    <x v="0"/>
    <x v="0"/>
    <s v="To_ITHFHWCRMDLCN63_Principal"/>
    <x v="0"/>
    <b v="0"/>
    <s v="No está en VPC"/>
    <n v="871"/>
    <s v="INTPG_ACC_871_1.29"/>
    <s v="ISEL-1.29"/>
    <n v="2"/>
    <s v="NO TIENE L3OUT"/>
    <n v="246"/>
    <n v="54"/>
  </r>
  <r>
    <n v="841"/>
    <x v="2"/>
    <x v="99"/>
    <s v="eth1/29"/>
    <x v="0"/>
    <x v="0"/>
    <x v="0"/>
    <s v="LINK_TO_ITHFHWCBSPSWR55 / Slot7.1_38 / Redundante"/>
    <x v="0"/>
    <b v="0"/>
    <s v="No está en VPC"/>
    <n v="841"/>
    <s v="INTPG_VPC_836_1.29_841_1.29"/>
    <s v="ISEL-1.29"/>
    <n v="2"/>
    <s v="NO TIENE L3OUT"/>
    <n v="0"/>
    <n v="54"/>
  </r>
  <r>
    <n v="868"/>
    <x v="2"/>
    <x v="100"/>
    <s v="eth1/29"/>
    <x v="0"/>
    <x v="0"/>
    <x v="0"/>
    <s v="To_ITHFHWCRMDLCN63_Redundante"/>
    <x v="0"/>
    <b v="0"/>
    <s v="No está en VPC"/>
    <n v="868"/>
    <s v="INTPG_ACC_868_1.29"/>
    <s v="ISEL-1.29"/>
    <n v="2"/>
    <s v="NO TIENE L3OUT"/>
    <n v="246"/>
    <n v="54"/>
  </r>
  <r>
    <n v="869"/>
    <x v="2"/>
    <x v="101"/>
    <s v="eth1/29"/>
    <x v="0"/>
    <x v="0"/>
    <x v="0"/>
    <s v="To_ITHFHWCRMDLCN78_Redundante"/>
    <x v="0"/>
    <b v="0"/>
    <s v="No está en VPC"/>
    <n v="869"/>
    <s v="INTPG_ACC_869_1.29"/>
    <s v="ISEL-1.29"/>
    <n v="1"/>
    <s v="NO TIENE L3OUT"/>
    <n v="288"/>
    <n v="54"/>
  </r>
  <r>
    <n v="861"/>
    <x v="2"/>
    <x v="102"/>
    <s v="eth1/29"/>
    <x v="0"/>
    <x v="0"/>
    <x v="0"/>
    <s v="To_VPC_2DCBSD_BD12_1"/>
    <x v="0"/>
    <b v="0"/>
    <s v="No está en VPC"/>
    <n v="861"/>
    <s v="INTPG_VPC_861_1.29_866_1.29"/>
    <s v="ISEL-1.29"/>
    <n v="2"/>
    <s v="NO TIENE L3OUT"/>
    <n v="8"/>
    <n v="54"/>
  </r>
  <r>
    <n v="874"/>
    <x v="2"/>
    <x v="103"/>
    <s v="eth1/29"/>
    <x v="0"/>
    <x v="0"/>
    <x v="0"/>
    <s v="A_ITHFHWSEQLCAS28_Redundante"/>
    <x v="4"/>
    <b v="0"/>
    <s v="No está en VPC"/>
    <n v="874"/>
    <s v="INTPG_ACC_874_1.29"/>
    <s v="ISEL-1.29"/>
    <n v="1"/>
    <s v="NO TIENE L3OUT"/>
    <n v="92"/>
    <n v="54"/>
  </r>
  <r>
    <n v="865"/>
    <x v="2"/>
    <x v="104"/>
    <s v="eth1/29"/>
    <x v="0"/>
    <x v="0"/>
    <x v="0"/>
    <s v="To_VPC_2DCBSD_BD16_2"/>
    <x v="0"/>
    <b v="0"/>
    <s v="No está en VPC"/>
    <n v="865"/>
    <s v="INTPG_VPC_860_1.29_865_1.29"/>
    <s v="ISEL-1.29"/>
    <n v="1"/>
    <s v="NO TIENE L3OUT"/>
    <n v="0"/>
    <n v="54"/>
  </r>
  <r>
    <n v="753"/>
    <x v="2"/>
    <x v="105"/>
    <s v="eth1/29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29"/>
    <x v="0"/>
    <x v="1"/>
    <x v="5"/>
    <s v="CEM:ITHCEMF2KFK15:LOM P1"/>
    <x v="0"/>
    <b v="0"/>
    <s v="No está en VPC"/>
    <n v="708"/>
    <s v="INTPG_VPC_708_1.29_709_1.30"/>
    <s v="ISEL-1.29"/>
    <n v="1"/>
    <s v="NO TIENE L3OUT"/>
    <n v="0"/>
    <n v="54"/>
  </r>
  <r>
    <n v="710"/>
    <x v="2"/>
    <x v="107"/>
    <s v="eth1/29"/>
    <x v="0"/>
    <x v="1"/>
    <x v="5"/>
    <s v="CEM:ITHCEMD2ADT15:LOM P1"/>
    <x v="0"/>
    <b v="0"/>
    <s v="No está en VPC"/>
    <n v="710"/>
    <s v="INTPG_VPC_710_1.29_711_1.30"/>
    <s v="ISEL-1.29"/>
    <n v="1"/>
    <s v="NO TIENE L3OUT"/>
    <n v="16"/>
    <n v="54"/>
  </r>
  <r>
    <n v="713"/>
    <x v="2"/>
    <x v="108"/>
    <s v="eth1/29"/>
    <x v="1"/>
    <x v="1"/>
    <x v="3"/>
    <s v="CEM:ITHCEMA2ADT15:LOM P1"/>
    <x v="0"/>
    <b v="0"/>
    <s v="No está en VPC"/>
    <n v="713"/>
    <s v="INTPG_VPC_713_1.29_712_1.30"/>
    <s v="ISEL-1.29"/>
    <n v="0"/>
    <s v="NO TIENE L3OUT"/>
    <n v="32"/>
    <n v="54"/>
  </r>
  <r>
    <n v="735"/>
    <x v="2"/>
    <x v="109"/>
    <s v="eth1/29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29"/>
    <x v="0"/>
    <x v="0"/>
    <x v="0"/>
    <s v="Server_Pre-R02-RH2288-04"/>
    <x v="0"/>
    <b v="0"/>
    <s v="No está en VPC"/>
    <n v="731"/>
    <s v="INTPG_ACC_731_1.29"/>
    <s v="ISEL-1.29"/>
    <n v="1"/>
    <s v="NO TIENE L3OUT"/>
    <n v="38"/>
    <n v="54"/>
  </r>
  <r>
    <n v="703"/>
    <x v="2"/>
    <x v="111"/>
    <s v="eth1/29"/>
    <x v="0"/>
    <x v="0"/>
    <x v="0"/>
    <m/>
    <x v="0"/>
    <b v="0"/>
    <s v="No está en VPC"/>
    <n v="703"/>
    <s v="NO EXISTE PG"/>
    <s v="NO EXISTE ISEL"/>
    <n v="1"/>
    <s v="NO TIENE L3OUT"/>
    <n v="2"/>
    <n v="54"/>
  </r>
  <r>
    <n v="706"/>
    <x v="2"/>
    <x v="112"/>
    <s v="eth1/29"/>
    <x v="0"/>
    <x v="0"/>
    <x v="0"/>
    <m/>
    <x v="0"/>
    <b v="0"/>
    <s v="No está en VPC"/>
    <n v="706"/>
    <s v="INTPG_VPC_706_1.29_705_1.30"/>
    <s v="ISEL-1.29"/>
    <n v="1"/>
    <s v="NO TIENE L3OUT"/>
    <n v="16"/>
    <n v="54"/>
  </r>
  <r>
    <n v="762"/>
    <x v="2"/>
    <x v="113"/>
    <s v="eth1/29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14"/>
    <x v="2"/>
    <x v="114"/>
    <s v="eth1/29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29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29"/>
    <x v="0"/>
    <x v="0"/>
    <x v="0"/>
    <s v="LINK_TO_ITHFHWCBSDSWR16 /10GE.1 /Principal"/>
    <x v="0"/>
    <b v="0"/>
    <s v="No está en VPC"/>
    <n v="826"/>
    <s v="INTPG_VPC_826_1.29_830_1.29"/>
    <s v="ISEL-1.29"/>
    <n v="1"/>
    <s v="NO TIENE L3OUT"/>
    <n v="12"/>
    <n v="54"/>
  </r>
  <r>
    <n v="726"/>
    <x v="2"/>
    <x v="117"/>
    <s v="eth1/29"/>
    <x v="0"/>
    <x v="0"/>
    <x v="0"/>
    <m/>
    <x v="0"/>
    <b v="0"/>
    <s v="No está en VPC"/>
    <n v="726"/>
    <s v="INTPG-VPC_SLR12_726_1.29_727_1.30"/>
    <s v="ISEL-1.29"/>
    <n v="1"/>
    <s v="NO TIENE L3OUT"/>
    <n v="0"/>
    <n v="54"/>
  </r>
  <r>
    <n v="740"/>
    <x v="2"/>
    <x v="118"/>
    <s v="eth1/29"/>
    <x v="0"/>
    <x v="0"/>
    <x v="0"/>
    <s v="CEM:ITHCEMC2ADT15:LOM P3"/>
    <x v="5"/>
    <b v="0"/>
    <s v="No está en VPC"/>
    <n v="740"/>
    <s v="INTPG_ACC_740_1.29"/>
    <s v="ISEL-1.29"/>
    <n v="1"/>
    <s v="NO TIENE L3OUT"/>
    <n v="72"/>
    <n v="54"/>
  </r>
  <r>
    <n v="705"/>
    <x v="2"/>
    <x v="119"/>
    <s v="eth1/29"/>
    <x v="0"/>
    <x v="1"/>
    <x v="3"/>
    <m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29"/>
    <x v="0"/>
    <x v="0"/>
    <x v="0"/>
    <s v="TO-ITHHWHCS8SW"/>
    <x v="0"/>
    <b v="0"/>
    <s v="No está en VPC"/>
    <n v="723"/>
    <s v="INTPG_VPC_722_1.29-30_723_1.29-30"/>
    <s v="ISEL-1.29"/>
    <n v="15"/>
    <s v="NO TIENE L3OUT"/>
    <n v="0"/>
    <n v="54"/>
  </r>
  <r>
    <n v="721"/>
    <x v="2"/>
    <x v="121"/>
    <s v="eth1/29"/>
    <x v="0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29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29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29"/>
    <x v="0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29"/>
    <x v="0"/>
    <x v="1"/>
    <x v="5"/>
    <s v="CEM:ITHCEME2KFK15:LOM P1"/>
    <x v="0"/>
    <b v="0"/>
    <s v="No está en VPC"/>
    <n v="709"/>
    <s v="INTPG_VPC_708_1.30_709_1.29"/>
    <s v="ISEL-1.29"/>
    <n v="1"/>
    <s v="NO TIENE L3OUT"/>
    <n v="0"/>
    <n v="54"/>
  </r>
  <r>
    <n v="454"/>
    <x v="1"/>
    <x v="126"/>
    <s v="eth1/29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29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29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29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29"/>
    <x v="0"/>
    <x v="0"/>
    <x v="0"/>
    <m/>
    <x v="0"/>
    <b v="0"/>
    <s v="No está en VPC"/>
    <n v="718"/>
    <s v="INTPG-VPC_SHD01_718_1.29_717_1.30"/>
    <s v="ISEL-1.29"/>
    <n v="1"/>
    <s v="NO TIENE L3OUT"/>
    <n v="0"/>
    <n v="54"/>
  </r>
  <r>
    <n v="744"/>
    <x v="2"/>
    <x v="131"/>
    <s v="eth1/29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29"/>
    <x v="0"/>
    <x v="0"/>
    <x v="0"/>
    <s v="CEM:ITHCEMB2ADT15:LOM P3"/>
    <x v="5"/>
    <b v="0"/>
    <s v="No está en VPC"/>
    <n v="741"/>
    <s v="INTPG_ACC_741_1.29"/>
    <s v="ISEL-1.29"/>
    <n v="1"/>
    <s v="NO TIENE L3OUT"/>
    <n v="62"/>
    <n v="54"/>
  </r>
  <r>
    <n v="787"/>
    <x v="2"/>
    <x v="133"/>
    <s v="eth1/29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29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29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29"/>
    <x v="0"/>
    <x v="1"/>
    <x v="3"/>
    <s v="CEM_HADOOP"/>
    <x v="0"/>
    <b v="0"/>
    <s v="No está en VPC"/>
    <n v="736"/>
    <s v="INTPG_ACC_736_1.29"/>
    <s v="ISEL-1.29"/>
    <n v="0"/>
    <s v="NO TIENE L3OUT"/>
    <n v="48"/>
    <n v="54"/>
  </r>
  <r>
    <n v="799"/>
    <x v="2"/>
    <x v="137"/>
    <s v="eth1/29"/>
    <x v="0"/>
    <x v="0"/>
    <x v="0"/>
    <s v="TO-ITHFDEVDICL01ESX02"/>
    <x v="0"/>
    <b v="0"/>
    <s v="No está en VPC"/>
    <n v="799"/>
    <s v="INTPG_VPC_798_1.29_799_1.29"/>
    <s v="ISEL-1.29"/>
    <n v="6"/>
    <s v="NO TIENE L3OUT"/>
    <n v="52"/>
    <n v="54"/>
  </r>
  <r>
    <n v="768"/>
    <x v="2"/>
    <x v="138"/>
    <s v="eth1/29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29"/>
    <x v="0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29"/>
    <x v="0"/>
    <x v="0"/>
    <x v="0"/>
    <m/>
    <x v="0"/>
    <b v="0"/>
    <s v="No está en VPC"/>
    <n v="717"/>
    <s v="INTPG-VPC_ZKP01_717_1.29_718_1.30"/>
    <s v="ISEL-1.29"/>
    <n v="1"/>
    <s v="NO TIENE L3OUT"/>
    <n v="0"/>
    <n v="54"/>
  </r>
  <r>
    <n v="789"/>
    <x v="2"/>
    <x v="141"/>
    <s v="eth1/29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29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29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29"/>
    <x v="0"/>
    <x v="0"/>
    <x v="0"/>
    <s v="CLOUD PAAS PAYG F2:Ithhwvm1cch1:slot 2x/Pto 3"/>
    <x v="0"/>
    <b v="0"/>
    <s v="No está en VPC"/>
    <n v="774"/>
    <s v="INTPG_VPC_774_1.29-32_775_1.25-28"/>
    <s v="ISEL-1.29"/>
    <n v="169"/>
    <s v="NO TIENE L3OUT"/>
    <n v="0"/>
    <n v="54"/>
  </r>
  <r>
    <n v="773"/>
    <x v="2"/>
    <x v="145"/>
    <s v="eth1/29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29"/>
    <x v="0"/>
    <x v="0"/>
    <x v="0"/>
    <s v="TO-NUTANIX -VPC1"/>
    <x v="0"/>
    <b v="0"/>
    <s v="No está en VPC"/>
    <n v="794"/>
    <s v="INTPG_VPC_793_1.29_794_1.29"/>
    <s v="ISEL-1.29"/>
    <n v="12"/>
    <s v="NO TIENE L3OUT"/>
    <n v="12"/>
    <n v="54"/>
  </r>
  <r>
    <n v="803"/>
    <x v="2"/>
    <x v="147"/>
    <s v="eth1/29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29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29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29"/>
    <x v="0"/>
    <x v="0"/>
    <x v="0"/>
    <s v="CLOUD OPS:ithhwcop02en02:1E P4"/>
    <x v="0"/>
    <b v="0"/>
    <s v="No está en VPC"/>
    <n v="781"/>
    <s v="INTPG_VPC_780_1.28-29_34-35_781_1.28-29_34-35"/>
    <s v="ISEL-1.29"/>
    <n v="23"/>
    <s v="NO TIENE L3OUT"/>
    <n v="26"/>
    <n v="54"/>
  </r>
  <r>
    <n v="793"/>
    <x v="2"/>
    <x v="151"/>
    <s v="eth1/29"/>
    <x v="0"/>
    <x v="0"/>
    <x v="0"/>
    <s v="TO-NUTANIX -VPC1"/>
    <x v="0"/>
    <b v="0"/>
    <s v="No está en VPC"/>
    <n v="793"/>
    <s v="INTPG_VPC_793_1.29_794_1.29"/>
    <s v="ISEL-1.29"/>
    <n v="12"/>
    <s v="NO TIENE L3OUT"/>
    <n v="12"/>
    <n v="54"/>
  </r>
  <r>
    <n v="747"/>
    <x v="2"/>
    <x v="152"/>
    <s v="eth1/29"/>
    <x v="0"/>
    <x v="0"/>
    <x v="0"/>
    <s v="PAAS:ithhwosstpap004:Slot4.2"/>
    <x v="0"/>
    <b v="0"/>
    <s v="No está en VPC"/>
    <n v="747"/>
    <s v="INTPG_VPC_747_1.29_752_1.19"/>
    <s v="ISEL-1.29"/>
    <n v="25"/>
    <s v="NO TIENE L3OUT"/>
    <n v="0"/>
    <n v="54"/>
  </r>
  <r>
    <n v="784"/>
    <x v="2"/>
    <x v="153"/>
    <s v="eth1/29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29"/>
    <x v="1"/>
    <x v="1"/>
    <x v="2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29"/>
    <x v="0"/>
    <x v="0"/>
    <x v="0"/>
    <s v="CLOUD PAAS PAYG F2:Ithhwvm1bch1:slot 2x/Pto 3"/>
    <x v="0"/>
    <b v="0"/>
    <s v="No está en VPC"/>
    <n v="777"/>
    <s v="INTPG_VPC_776_1.25-28_777_1.29-32"/>
    <s v="ISEL-1.29"/>
    <n v="90"/>
    <s v="NO TIENE L3OUT"/>
    <n v="0"/>
    <n v="54"/>
  </r>
  <r>
    <n v="770"/>
    <x v="2"/>
    <x v="156"/>
    <s v="eth1/29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29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29"/>
    <x v="0"/>
    <x v="0"/>
    <x v="0"/>
    <s v="CEM:ITHCEMD2ADT15:LOM P3"/>
    <x v="5"/>
    <b v="0"/>
    <s v="No está en VPC"/>
    <n v="739"/>
    <s v="INTPG_ACC_739_1.29"/>
    <s v="ISEL-1.29"/>
    <n v="1"/>
    <s v="NO TIENE L3OUT"/>
    <n v="72"/>
    <n v="54"/>
  </r>
  <r>
    <n v="775"/>
    <x v="2"/>
    <x v="159"/>
    <s v="eth1/29"/>
    <x v="0"/>
    <x v="0"/>
    <x v="0"/>
    <s v="CLOUD PAAS PAYG F2:Ithhwvm1dch1:slot 2x/Pto 3"/>
    <x v="0"/>
    <b v="0"/>
    <s v="No está en VPC"/>
    <n v="775"/>
    <s v="INTPG_VPC_774_1.25-28_775_1.29-32"/>
    <s v="ISEL-1.29"/>
    <n v="152"/>
    <s v="NO TIENE L3OUT"/>
    <n v="0"/>
    <n v="54"/>
  </r>
  <r>
    <n v="791"/>
    <x v="2"/>
    <x v="160"/>
    <s v="eth1/29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29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29"/>
    <x v="0"/>
    <x v="0"/>
    <x v="0"/>
    <s v="LINK_TO_ITHFHWCBSDSWR16 /Slot5.1 /Redundante"/>
    <x v="0"/>
    <b v="0"/>
    <s v="No está en VPC"/>
    <n v="830"/>
    <s v="INTPG_VPC_826_1.29_830_1.29"/>
    <s v="ISEL-1.29"/>
    <n v="1"/>
    <s v="NO TIENE L3OUT"/>
    <n v="12"/>
    <n v="54"/>
  </r>
  <r>
    <n v="821"/>
    <x v="2"/>
    <x v="163"/>
    <s v="eth1/29"/>
    <x v="0"/>
    <x v="0"/>
    <x v="0"/>
    <s v="LINK_TO_ITHFHWCBSPSWR16 /Slot5.1 /Redundante"/>
    <x v="0"/>
    <b v="0"/>
    <s v="No está en VPC"/>
    <n v="821"/>
    <s v="INTPG_VPC_816_1.29_821_1.29"/>
    <s v="ISEL-1.29"/>
    <n v="1"/>
    <s v="NO TIENE L3OUT"/>
    <n v="0"/>
    <n v="54"/>
  </r>
  <r>
    <n v="738"/>
    <x v="2"/>
    <x v="164"/>
    <s v="eth1/29"/>
    <x v="0"/>
    <x v="0"/>
    <x v="0"/>
    <s v="CEM:ITHCEME2KFK15:LOM P3"/>
    <x v="5"/>
    <b v="0"/>
    <s v="No está en VPC"/>
    <n v="738"/>
    <s v="INTPG_ACC_738_1.29"/>
    <s v="ISEL-1.29"/>
    <n v="1"/>
    <s v="NO TIENE L3OUT"/>
    <n v="72"/>
    <n v="54"/>
  </r>
  <r>
    <n v="820"/>
    <x v="2"/>
    <x v="165"/>
    <s v="eth1/29"/>
    <x v="0"/>
    <x v="0"/>
    <x v="0"/>
    <s v="LINKT_TO_ITHFHWCRMPLCN134 / Slot7.2_38 / Redundante"/>
    <x v="0"/>
    <b v="0"/>
    <s v="No está en VPC"/>
    <n v="820"/>
    <s v="INTPG_ACC_820_1.29"/>
    <s v="ISEL-1.29"/>
    <n v="2"/>
    <s v="NO TIENE L3OUT"/>
    <n v="72"/>
    <n v="54"/>
  </r>
  <r>
    <n v="804"/>
    <x v="2"/>
    <x v="166"/>
    <s v="eth1/29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29"/>
    <x v="0"/>
    <x v="0"/>
    <x v="0"/>
    <s v="CLOUD OPS:ithhwcop01en01:3X P3"/>
    <x v="0"/>
    <b v="0"/>
    <s v="No está en VPC"/>
    <n v="779"/>
    <s v="INTPG_VPC_778_1.27-30_779_1.27-30"/>
    <s v="ISEL-1.29"/>
    <n v="24"/>
    <s v="NO TIENE L3OUT"/>
    <n v="30"/>
    <n v="54"/>
  </r>
  <r>
    <n v="767"/>
    <x v="2"/>
    <x v="168"/>
    <s v="eth1/29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29"/>
    <x v="0"/>
    <x v="0"/>
    <x v="0"/>
    <s v="LINK_TO_ITHFHWCBSDSWR26 /Slot5.2 /Principal"/>
    <x v="0"/>
    <b v="0"/>
    <s v="No está en VPC"/>
    <n v="827"/>
    <s v="INTPG_VPC_827_1.29_831_1.29"/>
    <s v="ISEL-1.29"/>
    <n v="2"/>
    <s v="NO TIENE L3OUT"/>
    <n v="14"/>
    <n v="54"/>
  </r>
  <r>
    <n v="809"/>
    <x v="2"/>
    <x v="170"/>
    <s v="eth1/29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29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29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29"/>
    <x v="0"/>
    <x v="0"/>
    <x v="0"/>
    <s v="CLOUD PAAS PAYG F2:Ithhwvm1ach1:slot 2x/Pto 3"/>
    <x v="0"/>
    <b v="0"/>
    <s v="No está en VPC"/>
    <n v="776"/>
    <s v="INTPG_VPC_776_1.29-32_777_1.25-28"/>
    <s v="ISEL-1.29"/>
    <n v="93"/>
    <s v="NO TIENE L3OUT"/>
    <n v="0"/>
    <n v="54"/>
  </r>
  <r>
    <n v="805"/>
    <x v="2"/>
    <x v="174"/>
    <s v="eth1/29"/>
    <x v="1"/>
    <x v="1"/>
    <x v="2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29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29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29"/>
    <x v="0"/>
    <x v="0"/>
    <x v="0"/>
    <s v="LINK_TO_ITHFHWCRMPLCN110 / Slot7.2_24 / Redundante"/>
    <x v="0"/>
    <b v="0"/>
    <s v="No está en VPC"/>
    <n v="851"/>
    <s v="INTPG_ACC_851_1.29"/>
    <s v="ISEL-1.29"/>
    <n v="2"/>
    <s v="NO TIENE L3OUT"/>
    <n v="282"/>
    <n v="54"/>
  </r>
  <r>
    <n v="798"/>
    <x v="2"/>
    <x v="178"/>
    <s v="eth1/29"/>
    <x v="0"/>
    <x v="0"/>
    <x v="0"/>
    <s v="TO-ITHFDEVDICL01ESX02"/>
    <x v="0"/>
    <b v="0"/>
    <s v="No está en VPC"/>
    <n v="798"/>
    <s v="INTPG_VPC_798_1.29_799_1.29"/>
    <s v="ISEL-1.29"/>
    <n v="6"/>
    <s v="NO TIENE L3OUT"/>
    <n v="52"/>
    <n v="54"/>
  </r>
  <r>
    <n v="782"/>
    <x v="2"/>
    <x v="179"/>
    <s v="eth1/29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29"/>
    <x v="0"/>
    <x v="0"/>
    <x v="0"/>
    <s v="LINK_TO_ITHFHWCRMPLCN93 / Slot7.3_18 / Redundante"/>
    <x v="0"/>
    <b v="0"/>
    <s v="No está en VPC"/>
    <n v="852"/>
    <s v="INTPG_ACC_852_1.29"/>
    <s v="ISEL-1.29"/>
    <n v="1"/>
    <s v="NO TIENE L3OUT"/>
    <n v="258"/>
    <n v="54"/>
  </r>
  <r>
    <n v="817"/>
    <x v="2"/>
    <x v="181"/>
    <s v="eth1/29"/>
    <x v="0"/>
    <x v="0"/>
    <x v="0"/>
    <s v="LINK_TO_ITHFHWCBSPSUSBD20 /10GE.1 /Principal"/>
    <x v="0"/>
    <b v="0"/>
    <s v="No está en VPC"/>
    <n v="817"/>
    <s v="INTPG_VPC_817_1.29_822_1.29"/>
    <s v="ISEL-1.29"/>
    <n v="1"/>
    <s v="NO TIENE L3OUT"/>
    <n v="0"/>
    <n v="54"/>
  </r>
  <r>
    <n v="832"/>
    <x v="2"/>
    <x v="182"/>
    <s v="eth1/29"/>
    <x v="0"/>
    <x v="0"/>
    <x v="0"/>
    <s v="LINK_TO_ITHFHWCRMDLCN25 /Slot7.2 /Redundante"/>
    <x v="0"/>
    <b v="0"/>
    <s v="No está en VPC"/>
    <n v="832"/>
    <s v="INTPG_ACC_832_1.29"/>
    <s v="ISEL-1.29"/>
    <n v="5"/>
    <s v="NO TIENE L3OUT"/>
    <n v="192"/>
    <n v="54"/>
  </r>
  <r>
    <n v="816"/>
    <x v="2"/>
    <x v="183"/>
    <s v="eth1/29"/>
    <x v="0"/>
    <x v="0"/>
    <x v="0"/>
    <s v="LINK_TO_ITHFHWCBSPSWR16 /10GE.1 /Principal"/>
    <x v="0"/>
    <b v="0"/>
    <s v="No está en VPC"/>
    <n v="816"/>
    <s v="INTPG_VPC_816_1.29_821_1.29"/>
    <s v="ISEL-1.29"/>
    <n v="1"/>
    <s v="NO TIENE L3OUT"/>
    <n v="0"/>
    <n v="54"/>
  </r>
  <r>
    <n v="825"/>
    <x v="2"/>
    <x v="184"/>
    <s v="eth1/29"/>
    <x v="0"/>
    <x v="0"/>
    <x v="0"/>
    <s v="LINKT_TO_ITHFHWCRMPLCN134 / Slot1.2_38 / Principal"/>
    <x v="0"/>
    <b v="0"/>
    <s v="No está en VPC"/>
    <n v="825"/>
    <s v="INTPG_ACC_825_1.29"/>
    <s v="ISEL-1.29"/>
    <n v="2"/>
    <s v="NO TIENE L3OUT"/>
    <n v="72"/>
    <n v="54"/>
  </r>
  <r>
    <n v="800"/>
    <x v="2"/>
    <x v="185"/>
    <s v="eth1/29"/>
    <x v="0"/>
    <x v="0"/>
    <x v="0"/>
    <s v="TO-ITHFHWSEQLCAS09-MSP"/>
    <x v="0"/>
    <b v="0"/>
    <s v="No está en VPC"/>
    <n v="800"/>
    <s v="INTPG_ACC_800_1.29"/>
    <s v="ISEL-1.29"/>
    <n v="1"/>
    <s v="NO TIENE L3OUT"/>
    <n v="78"/>
    <n v="54"/>
  </r>
  <r>
    <n v="801"/>
    <x v="2"/>
    <x v="186"/>
    <s v="eth1/29"/>
    <x v="0"/>
    <x v="0"/>
    <x v="0"/>
    <s v="TO-ITHFHWSEQLCAS09-MSP"/>
    <x v="0"/>
    <b v="0"/>
    <s v="No está en VPC"/>
    <n v="801"/>
    <s v="INTPG_ACC_801_1.29"/>
    <s v="ISEL-1.29"/>
    <n v="1"/>
    <s v="NO TIENE L3OUT"/>
    <n v="78"/>
    <n v="54"/>
  </r>
  <r>
    <n v="823"/>
    <x v="2"/>
    <x v="187"/>
    <s v="eth1/29"/>
    <x v="0"/>
    <x v="0"/>
    <x v="0"/>
    <s v="LINK_TO_ITHFHWCBSPSWR34 /Slot7.2 /Redundante"/>
    <x v="0"/>
    <b v="0"/>
    <s v="No está en VPC"/>
    <n v="823"/>
    <s v="INTPG_VPC_818_1.29_823_1.29"/>
    <s v="ISEL-1.29"/>
    <n v="2"/>
    <s v="NO TIENE L3OUT"/>
    <n v="8"/>
    <n v="54"/>
  </r>
  <r>
    <n v="837"/>
    <x v="2"/>
    <x v="188"/>
    <s v="eth1/29"/>
    <x v="0"/>
    <x v="0"/>
    <x v="0"/>
    <s v="LINK_TO_ITHHWD6KV65100009DKC01 / CTMA_IOM0.P0_34 / Principal"/>
    <x v="0"/>
    <b v="0"/>
    <s v="No está en VPC"/>
    <n v="837"/>
    <s v="INTPG_ACC_837_1.29"/>
    <s v="ISEL-1.29"/>
    <n v="1"/>
    <s v="NO TIENE L3OUT"/>
    <n v="8"/>
    <n v="54"/>
  </r>
  <r>
    <n v="867"/>
    <x v="2"/>
    <x v="189"/>
    <s v="eth1/29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29"/>
    <x v="0"/>
    <x v="0"/>
    <x v="0"/>
    <s v="To_ITHFHWCRMDLCN44_Principal"/>
    <x v="0"/>
    <b v="0"/>
    <s v="No está en VPC"/>
    <n v="829"/>
    <s v="INTPG_ACC_829_1.29"/>
    <s v="ISEL-1.29"/>
    <n v="1"/>
    <s v="NO TIENE L3OUT"/>
    <n v="224"/>
    <n v="54"/>
  </r>
  <r>
    <n v="831"/>
    <x v="2"/>
    <x v="191"/>
    <s v="eth1/29"/>
    <x v="0"/>
    <x v="0"/>
    <x v="0"/>
    <s v="LINK_TO_ITHFHWCBSDSWR26 /Slot7.2 /Redundante"/>
    <x v="0"/>
    <b v="0"/>
    <s v="No está en VPC"/>
    <n v="831"/>
    <s v="INTPG_VPC_827_1.29_831_1.29"/>
    <s v="ISEL-1.29"/>
    <n v="2"/>
    <s v="NO TIENE L3OUT"/>
    <n v="14"/>
    <n v="54"/>
  </r>
  <r>
    <n v="802"/>
    <x v="2"/>
    <x v="192"/>
    <s v="eth1/29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29"/>
    <x v="0"/>
    <x v="0"/>
    <x v="0"/>
    <s v="LINK_TO_ITHFHWCBSPSHD32 / Slot1.1_16 / Principal"/>
    <x v="0"/>
    <b v="0"/>
    <s v="No está en VPC"/>
    <n v="835"/>
    <s v="INTPG_VPC_835_1.29_840_1.29"/>
    <s v="ISEL-1.29"/>
    <n v="2"/>
    <s v="NO TIENE L3OUT"/>
    <n v="8"/>
    <n v="54"/>
  </r>
  <r>
    <n v="822"/>
    <x v="2"/>
    <x v="194"/>
    <s v="eth1/29"/>
    <x v="0"/>
    <x v="0"/>
    <x v="0"/>
    <s v="LINK_TO_ITHFHWCBSPSUSBD20 /Slot5.1 /Redundante"/>
    <x v="0"/>
    <b v="0"/>
    <s v="No está en VPC"/>
    <n v="822"/>
    <s v="INTPG_VPC_817_1.29_822_1.29"/>
    <s v="ISEL-1.29"/>
    <n v="1"/>
    <s v="NO TIENE L3OUT"/>
    <n v="0"/>
    <n v="54"/>
  </r>
  <r>
    <n v="854"/>
    <x v="2"/>
    <x v="195"/>
    <s v="eth1/29"/>
    <x v="0"/>
    <x v="0"/>
    <x v="0"/>
    <s v="LINK_TO_ITHFHWCRMPLCN175 / Slot1.1_20 / Principal"/>
    <x v="0"/>
    <b v="0"/>
    <s v="No está en VPC"/>
    <n v="854"/>
    <s v="INTPG_ACC_854_1.29"/>
    <s v="ISEL-1.29"/>
    <n v="6"/>
    <s v="NO TIENE L3OUT"/>
    <n v="204"/>
    <n v="54"/>
  </r>
  <r>
    <n v="858"/>
    <x v="2"/>
    <x v="196"/>
    <s v="eth1/29"/>
    <x v="0"/>
    <x v="0"/>
    <x v="0"/>
    <s v="To_VPC_2DCBSD_WR54_2"/>
    <x v="0"/>
    <b v="0"/>
    <s v="No está en VPC"/>
    <n v="858"/>
    <s v="INTPG_VPC_858_1.29_863_1.29"/>
    <s v="ISEL-1.29"/>
    <n v="1"/>
    <s v="NO TIENE L3OUT"/>
    <n v="8"/>
    <n v="54"/>
  </r>
  <r>
    <n v="857"/>
    <x v="2"/>
    <x v="197"/>
    <s v="eth1/29"/>
    <x v="0"/>
    <x v="0"/>
    <x v="0"/>
    <s v="LINKT_TO_ITHFHWCRMPLCN125 / Slot1.1_20 / Principal"/>
    <x v="0"/>
    <b v="0"/>
    <s v="No está en VPC"/>
    <n v="857"/>
    <s v="INTPG_ACC_857_1.29"/>
    <s v="ISEL-1.29"/>
    <n v="6"/>
    <s v="NO TIENE L3OUT"/>
    <n v="288"/>
    <n v="54"/>
  </r>
  <r>
    <n v="859"/>
    <x v="2"/>
    <x v="198"/>
    <s v="eth1/29"/>
    <x v="0"/>
    <x v="0"/>
    <x v="0"/>
    <s v="To_VPC_2DCBSD_WR45_2"/>
    <x v="0"/>
    <b v="0"/>
    <s v="No está en VPC"/>
    <n v="859"/>
    <s v="INTPG_VPC_859_1.29_864_1.29"/>
    <s v="ISEL-1.29"/>
    <n v="1"/>
    <s v="NO TIENE L3OUT"/>
    <n v="0"/>
    <n v="54"/>
  </r>
  <r>
    <n v="833"/>
    <x v="2"/>
    <x v="199"/>
    <s v="eth1/29"/>
    <x v="0"/>
    <x v="0"/>
    <x v="0"/>
    <s v="To_ITHFHWCRMDLCN44_Redundante"/>
    <x v="0"/>
    <b v="0"/>
    <s v="No está en VPC"/>
    <n v="833"/>
    <s v="INTPG_ACC_833_1.29"/>
    <s v="ISEL-1.29"/>
    <n v="1"/>
    <s v="NO TIENE L3OUT"/>
    <n v="224"/>
    <n v="54"/>
  </r>
  <r>
    <n v="818"/>
    <x v="2"/>
    <x v="200"/>
    <s v="eth1/29"/>
    <x v="0"/>
    <x v="0"/>
    <x v="0"/>
    <s v="LINK_TO_ITHFHWCBSPSWR34 /Slot5.2 /Principal"/>
    <x v="0"/>
    <b v="0"/>
    <s v="No está en VPC"/>
    <n v="818"/>
    <s v="INTPG_VPC_818_1.29_823_1.29"/>
    <s v="ISEL-1.29"/>
    <n v="2"/>
    <s v="NO TIENE L3OUT"/>
    <n v="8"/>
    <n v="54"/>
  </r>
  <r>
    <n v="850"/>
    <x v="2"/>
    <x v="201"/>
    <s v="eth1/29"/>
    <x v="0"/>
    <x v="0"/>
    <x v="0"/>
    <s v="LINKT_TO_ITHFHWCRMPLCN125 / Slot7.1_20 / Redundante"/>
    <x v="0"/>
    <b v="0"/>
    <s v="No está en VPC"/>
    <n v="850"/>
    <s v="INTPG_ACC_850_1.29"/>
    <s v="ISEL-1.29"/>
    <n v="6"/>
    <s v="NO TIENE L3OUT"/>
    <n v="288"/>
    <n v="54"/>
  </r>
  <r>
    <n v="860"/>
    <x v="2"/>
    <x v="202"/>
    <s v="eth1/29"/>
    <x v="0"/>
    <x v="0"/>
    <x v="0"/>
    <s v="To_VPC_2DCBSD_BD16_2"/>
    <x v="0"/>
    <b v="0"/>
    <s v="No está en VPC"/>
    <n v="860"/>
    <s v="INTPG_VPC_860_1.29_865_1.29"/>
    <s v="ISEL-1.29"/>
    <n v="1"/>
    <s v="NO TIENE L3OUT"/>
    <n v="0"/>
    <n v="54"/>
  </r>
  <r>
    <n v="853"/>
    <x v="2"/>
    <x v="203"/>
    <s v="eth1/29"/>
    <x v="0"/>
    <x v="0"/>
    <x v="0"/>
    <s v="LINK_TO_ITHFHWCRMPLCN81 / Slot7.2_20 / Redundante"/>
    <x v="0"/>
    <b v="0"/>
    <s v="No está en VPC"/>
    <n v="853"/>
    <s v="INTPG_ACC_853_1.29"/>
    <s v="ISEL-1.29"/>
    <n v="2"/>
    <s v="NO TIENE L3OUT"/>
    <n v="242"/>
    <n v="54"/>
  </r>
  <r>
    <n v="790"/>
    <x v="2"/>
    <x v="204"/>
    <s v="eth1/29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29"/>
    <x v="0"/>
    <x v="1"/>
    <x v="1"/>
    <s v="CFD"/>
    <x v="6"/>
    <b v="0"/>
    <s v="No está en VPC"/>
    <n v="105"/>
    <s v="INTPG_ACC_105_1.29"/>
    <s v="ISEL-1.29"/>
    <n v="1"/>
    <s v="NO TIENE L3OUT"/>
    <n v="106"/>
    <n v="96"/>
  </r>
  <r>
    <n v="117"/>
    <x v="0"/>
    <x v="206"/>
    <s v="eth1/29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29"/>
    <x v="0"/>
    <x v="1"/>
    <x v="1"/>
    <s v="SFLDI"/>
    <x v="6"/>
    <b v="0"/>
    <s v="No está en VPC"/>
    <n v="104"/>
    <s v="INTPG_ACC_104_1.29"/>
    <s v="ISEL-1.29"/>
    <n v="1"/>
    <s v="NO TIENE L3OUT"/>
    <n v="194"/>
    <n v="96"/>
  </r>
  <r>
    <n v="158"/>
    <x v="0"/>
    <x v="208"/>
    <s v="eth1/29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29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29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29"/>
    <x v="0"/>
    <x v="0"/>
    <x v="0"/>
    <s v="SISTEMA GENERAL(SGAI)"/>
    <x v="6"/>
    <b v="0"/>
    <s v="No está en VPC"/>
    <n v="108"/>
    <s v="INTPG_ACC_108_1.29"/>
    <s v="ISEL-1.29"/>
    <n v="1"/>
    <s v="NO TIENE L3OUT"/>
    <n v="126"/>
    <n v="96"/>
  </r>
  <r>
    <n v="112"/>
    <x v="0"/>
    <x v="212"/>
    <s v="eth1/29"/>
    <x v="1"/>
    <x v="1"/>
    <x v="2"/>
    <s v="SUBEX (Fraud Management)"/>
    <x v="6"/>
    <b v="0"/>
    <s v="No está en VPC"/>
    <n v="112"/>
    <s v="INTPG_ACC_112_1.29"/>
    <s v="ISEL-1.29"/>
    <n v="1"/>
    <s v="NO TIENE L3OUT"/>
    <n v="144"/>
    <n v="96"/>
  </r>
  <r>
    <n v="107"/>
    <x v="0"/>
    <x v="213"/>
    <s v="eth1/29"/>
    <x v="0"/>
    <x v="0"/>
    <x v="0"/>
    <s v="TO-UXF5IXT39K02"/>
    <x v="6"/>
    <b v="0"/>
    <s v="No está en VPC"/>
    <n v="107"/>
    <s v="INTPG_VPC_106_1.63_107_1.29"/>
    <s v="ISEL-1.29"/>
    <n v="2"/>
    <s v="NO TIENE L3OUT"/>
    <n v="118"/>
    <n v="96"/>
  </r>
  <r>
    <n v="109"/>
    <x v="0"/>
    <x v="214"/>
    <s v="eth1/29"/>
    <x v="0"/>
    <x v="0"/>
    <x v="0"/>
    <s v="IXT01PP, IXT02PP, IXT05PP"/>
    <x v="6"/>
    <b v="0"/>
    <s v="No está en VPC"/>
    <n v="109"/>
    <s v="INTPG_ACC_109_1.29"/>
    <s v="ISEL-1.29"/>
    <n v="1"/>
    <s v="NO TIENE L3OUT"/>
    <n v="126"/>
    <n v="96"/>
  </r>
  <r>
    <n v="113"/>
    <x v="0"/>
    <x v="215"/>
    <s v="eth1/29"/>
    <x v="0"/>
    <x v="1"/>
    <x v="1"/>
    <s v="RLVYCAN04"/>
    <x v="6"/>
    <b v="0"/>
    <s v="No está en VPC"/>
    <n v="113"/>
    <s v="INTPG_ACC_113_1.29"/>
    <s v="ISEL-1.29"/>
    <n v="1"/>
    <s v="NO TIENE L3OUT"/>
    <n v="52"/>
    <n v="96"/>
  </r>
  <r>
    <n v="114"/>
    <x v="0"/>
    <x v="216"/>
    <s v="eth1/29"/>
    <x v="0"/>
    <x v="0"/>
    <x v="0"/>
    <s v="CHARGING SYSTEM"/>
    <x v="6"/>
    <b v="0"/>
    <s v="No está en VPC"/>
    <n v="114"/>
    <s v="INTPG_ACC_114_1.29"/>
    <s v="ISEL-1.29"/>
    <n v="1"/>
    <s v="NO TIENE L3OUT"/>
    <n v="144"/>
    <n v="96"/>
  </r>
  <r>
    <n v="124"/>
    <x v="0"/>
    <x v="217"/>
    <s v="eth1/29"/>
    <x v="0"/>
    <x v="0"/>
    <x v="0"/>
    <s v="Politicas de Navegacion"/>
    <x v="6"/>
    <b v="0"/>
    <s v="No está en VPC"/>
    <n v="124"/>
    <s v="INTPG_VPC_124_1.28-29_125_1.31-32"/>
    <s v="ISEL-1.29"/>
    <n v="5"/>
    <s v="NO TIENE L3OUT"/>
    <n v="80"/>
    <n v="96"/>
  </r>
  <r>
    <n v="118"/>
    <x v="0"/>
    <x v="218"/>
    <s v="eth1/29"/>
    <x v="0"/>
    <x v="0"/>
    <x v="0"/>
    <s v="DATOS NETCRACKER"/>
    <x v="6"/>
    <b v="0"/>
    <s v="No está en VPC"/>
    <n v="118"/>
    <s v="INTPG_ACC_118_1.29"/>
    <s v="ISEL-1.29"/>
    <n v="1"/>
    <s v="NO TIENE L3OUT"/>
    <n v="180"/>
    <n v="96"/>
  </r>
  <r>
    <n v="159"/>
    <x v="0"/>
    <x v="219"/>
    <s v="eth1/29"/>
    <x v="0"/>
    <x v="0"/>
    <x v="0"/>
    <s v="ArrobaDOC Y CF"/>
    <x v="6"/>
    <b v="0"/>
    <s v="No está en VPC"/>
    <n v="159"/>
    <s v="INTPG_ACC_159_1.29"/>
    <s v="ISEL-1.29"/>
    <n v="1"/>
    <s v="NO TIENE L3OUT"/>
    <n v="72"/>
    <n v="96"/>
  </r>
  <r>
    <n v="840"/>
    <x v="2"/>
    <x v="220"/>
    <s v="eth1/29"/>
    <x v="0"/>
    <x v="0"/>
    <x v="0"/>
    <s v="LINK_TO_ITHFHWCBSPSHD32 / Slot7.1_16 / Redundante"/>
    <x v="0"/>
    <b v="0"/>
    <s v="No está en VPC"/>
    <n v="840"/>
    <s v="INTPG_VPC_835_1.29_840_1.29"/>
    <s v="ISEL-1.29"/>
    <n v="2"/>
    <s v="NO TIENE L3OUT"/>
    <n v="8"/>
    <n v="54"/>
  </r>
  <r>
    <n v="856"/>
    <x v="2"/>
    <x v="221"/>
    <s v="eth1/29"/>
    <x v="0"/>
    <x v="0"/>
    <x v="0"/>
    <s v="LINK_TO_ITHFHWCRMPLCN144 / Slot1.1_22 / Principal"/>
    <x v="0"/>
    <b v="0"/>
    <s v="No está en VPC"/>
    <n v="856"/>
    <s v="INTPG_ACC_856_1.29"/>
    <s v="ISEL-1.29"/>
    <n v="6"/>
    <s v="NO TIENE L3OUT"/>
    <n v="286"/>
    <n v="54"/>
  </r>
  <r>
    <n v="110"/>
    <x v="0"/>
    <x v="222"/>
    <s v="eth1/29"/>
    <x v="0"/>
    <x v="0"/>
    <x v="0"/>
    <s v="UXDX-DATOS"/>
    <x v="6"/>
    <b v="0"/>
    <s v="No está en VPC"/>
    <n v="110"/>
    <s v="INTPG_ACC_110_1.29"/>
    <s v="ISEL-1.29"/>
    <n v="1"/>
    <s v="NO TIENE L3OUT"/>
    <n v="102"/>
    <n v="96"/>
  </r>
  <r>
    <n v="163"/>
    <x v="0"/>
    <x v="223"/>
    <s v="eth1/29"/>
    <x v="0"/>
    <x v="0"/>
    <x v="0"/>
    <m/>
    <x v="6"/>
    <b v="0"/>
    <s v="No está en VPC"/>
    <n v="163"/>
    <s v="INTPG_ACC_163_1.29"/>
    <s v="ISEL-1.29"/>
    <n v="1"/>
    <s v="NO TIENE L3OUT"/>
    <n v="140"/>
    <n v="96"/>
  </r>
  <r>
    <n v="407"/>
    <x v="1"/>
    <x v="224"/>
    <s v="eth1/29"/>
    <x v="0"/>
    <x v="0"/>
    <x v="0"/>
    <s v="ITHSAN2B"/>
    <x v="6"/>
    <b v="0"/>
    <s v="No está en VPC"/>
    <n v="407"/>
    <s v="INTPG_ACC_407_1.29"/>
    <s v="ISEL-1.29"/>
    <n v="1"/>
    <s v="NO TIENE L3OUT"/>
    <n v="122"/>
    <n v="96"/>
  </r>
  <r>
    <n v="171"/>
    <x v="0"/>
    <x v="225"/>
    <s v="eth1/29"/>
    <x v="0"/>
    <x v="1"/>
    <x v="1"/>
    <s v="NFA"/>
    <x v="6"/>
    <b v="0"/>
    <s v="No está en VPC"/>
    <n v="171"/>
    <s v="INTPG_ACC_171_1.29"/>
    <s v="ISEL-1.29"/>
    <n v="1"/>
    <s v="NO TIENE L3OUT"/>
    <n v="114"/>
    <n v="96"/>
  </r>
  <r>
    <n v="421"/>
    <x v="1"/>
    <x v="226"/>
    <s v="eth1/29"/>
    <x v="0"/>
    <x v="1"/>
    <x v="1"/>
    <s v="VTA_Avocent_eth0"/>
    <x v="6"/>
    <b v="0"/>
    <s v="No está en VPC"/>
    <n v="421"/>
    <s v="INTPG_ACC_421_1.29"/>
    <s v="ISEL-1.29"/>
    <n v="1"/>
    <s v="NO TIENE L3OUT"/>
    <n v="72"/>
    <n v="96"/>
  </r>
  <r>
    <n v="173"/>
    <x v="0"/>
    <x v="227"/>
    <s v="eth1/29"/>
    <x v="0"/>
    <x v="1"/>
    <x v="1"/>
    <s v="ENIQ_1"/>
    <x v="6"/>
    <b v="0"/>
    <s v="No está en VPC"/>
    <n v="173"/>
    <s v="INTPG_PC_173_1.28-33"/>
    <s v="ISEL-1.29"/>
    <n v="3"/>
    <s v="NO TIENE L3OUT"/>
    <n v="66"/>
    <n v="96"/>
  </r>
  <r>
    <n v="154"/>
    <x v="0"/>
    <x v="228"/>
    <s v="eth1/29"/>
    <x v="0"/>
    <x v="0"/>
    <x v="0"/>
    <s v="DCX-8510-4B 01-03"/>
    <x v="6"/>
    <b v="0"/>
    <s v="No está en VPC"/>
    <n v="154"/>
    <s v="INTPG_ACC_154_1.29"/>
    <s v="ISEL-1.29"/>
    <n v="1"/>
    <s v="NO TIENE L3OUT"/>
    <n v="62"/>
    <n v="96"/>
  </r>
  <r>
    <n v="172"/>
    <x v="0"/>
    <x v="229"/>
    <s v="eth1/29"/>
    <x v="0"/>
    <x v="1"/>
    <x v="1"/>
    <s v="netqosKVM01"/>
    <x v="6"/>
    <b v="0"/>
    <s v="No está en VPC"/>
    <n v="172"/>
    <s v="INTPG_ACC_172_1.29"/>
    <s v="ISEL-1.29"/>
    <n v="1"/>
    <s v="NO TIENE L3OUT"/>
    <n v="104"/>
    <n v="96"/>
  </r>
  <r>
    <n v="420"/>
    <x v="1"/>
    <x v="230"/>
    <s v="eth1/29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29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29"/>
    <x v="0"/>
    <x v="0"/>
    <x v="0"/>
    <s v="To-uxingemc1 ldom1 uxsmart06"/>
    <x v="6"/>
    <b v="0"/>
    <s v="No está en VPC"/>
    <n v="415"/>
    <s v="INTPG_ACC_415_1.29"/>
    <s v="ISEL-1.29"/>
    <n v="1"/>
    <s v="NO TIENE L3OUT"/>
    <n v="52"/>
    <n v="96"/>
  </r>
  <r>
    <n v="102"/>
    <x v="0"/>
    <x v="233"/>
    <s v="eth1/29"/>
    <x v="0"/>
    <x v="1"/>
    <x v="1"/>
    <s v="SFLDI:RLDIWEB02:1"/>
    <x v="6"/>
    <b v="0"/>
    <s v="No está en VPC"/>
    <n v="102"/>
    <s v="INTPG_ACC_102_1.29"/>
    <s v="ISEL-1.29"/>
    <n v="1"/>
    <s v="NO TIENE L3OUT"/>
    <n v="228"/>
    <n v="96"/>
  </r>
  <r>
    <n v="863"/>
    <x v="2"/>
    <x v="234"/>
    <s v="eth1/29"/>
    <x v="0"/>
    <x v="0"/>
    <x v="0"/>
    <s v="To_VPC_2DCBSD_WR54_2"/>
    <x v="0"/>
    <b v="0"/>
    <s v="No está en VPC"/>
    <n v="863"/>
    <s v="INTPG_VPC_858_1.29_863_1.29"/>
    <s v="ISEL-1.29"/>
    <n v="1"/>
    <s v="NO TIENE L3OUT"/>
    <n v="8"/>
    <n v="54"/>
  </r>
  <r>
    <n v="876"/>
    <x v="2"/>
    <x v="235"/>
    <s v="eth1/29"/>
    <x v="0"/>
    <x v="0"/>
    <x v="0"/>
    <s v="A_ITHFHWSEQLCAS28_Principal"/>
    <x v="4"/>
    <b v="0"/>
    <s v="No está en VPC"/>
    <n v="876"/>
    <s v="INTPG_ACC_876_1.29"/>
    <s v="ISEL-1.29"/>
    <n v="1"/>
    <s v="NO TIENE L3OUT"/>
    <n v="92"/>
    <n v="54"/>
  </r>
  <r>
    <n v="877"/>
    <x v="2"/>
    <x v="236"/>
    <s v="eth1/29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29"/>
    <x v="1"/>
    <x v="1"/>
    <x v="2"/>
    <s v="IXTRTC5"/>
    <x v="6"/>
    <b v="0"/>
    <s v="No está en VPC"/>
    <n v="122"/>
    <s v="INTPG_ACC_122_1.29"/>
    <s v="ISEL-1.29"/>
    <n v="1"/>
    <s v="NO TIENE L3OUT"/>
    <n v="148"/>
    <n v="96"/>
  </r>
  <r>
    <n v="157"/>
    <x v="0"/>
    <x v="238"/>
    <s v="eth1/29"/>
    <x v="0"/>
    <x v="0"/>
    <x v="0"/>
    <s v="RED CRICKET"/>
    <x v="6"/>
    <b v="0"/>
    <s v="No está en VPC"/>
    <n v="157"/>
    <s v="INTPG_ACC_157_1.29"/>
    <s v="ISEL-1.29"/>
    <n v="1"/>
    <s v="NO TIENE L3OUT"/>
    <n v="202"/>
    <n v="96"/>
  </r>
  <r>
    <n v="408"/>
    <x v="1"/>
    <x v="239"/>
    <s v="eth1/29"/>
    <x v="0"/>
    <x v="0"/>
    <x v="0"/>
    <s v="FS101"/>
    <x v="6"/>
    <b v="0"/>
    <s v="No está en VPC"/>
    <n v="408"/>
    <s v="INTPG_ACC_408_1.29"/>
    <s v="ISEL-1.29"/>
    <n v="1"/>
    <s v="NO TIENE L3OUT"/>
    <n v="152"/>
    <n v="96"/>
  </r>
  <r>
    <n v="405"/>
    <x v="1"/>
    <x v="240"/>
    <s v="eth1/29"/>
    <x v="0"/>
    <x v="0"/>
    <x v="0"/>
    <s v="IXT_ARIESO7_LDR2"/>
    <x v="6"/>
    <b v="0"/>
    <s v="No está en VPC"/>
    <n v="405"/>
    <s v="INTPG_ACC_405_1.29"/>
    <s v="ISEL-1.29"/>
    <n v="1"/>
    <s v="NO TIENE L3OUT"/>
    <n v="138"/>
    <n v="96"/>
  </r>
  <r>
    <n v="169"/>
    <x v="0"/>
    <x v="241"/>
    <s v="eth1/29"/>
    <x v="0"/>
    <x v="0"/>
    <x v="0"/>
    <s v="LINKDOWN_HACIA_UCS_9UCS-IXTLA-SERV3"/>
    <x v="6"/>
    <b v="0"/>
    <s v="No está en VPC"/>
    <n v="169"/>
    <s v="INTPG_ACC_169_1.29"/>
    <s v="ISEL-1.29"/>
    <n v="1"/>
    <s v="NO TIENE L3OUT"/>
    <n v="76"/>
    <n v="96"/>
  </r>
  <r>
    <n v="165"/>
    <x v="0"/>
    <x v="242"/>
    <s v="eth1/29"/>
    <x v="0"/>
    <x v="1"/>
    <x v="1"/>
    <s v="uxnomapp"/>
    <x v="6"/>
    <b v="0"/>
    <s v="No está en VPC"/>
    <n v="165"/>
    <s v="INTPG_ACC_165_1.29"/>
    <s v="ISEL-1.29"/>
    <n v="1"/>
    <s v="NO TIENE L3OUT"/>
    <n v="86"/>
    <n v="96"/>
  </r>
  <r>
    <n v="417"/>
    <x v="1"/>
    <x v="243"/>
    <s v="eth1/29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29"/>
    <x v="0"/>
    <x v="0"/>
    <x v="0"/>
    <s v="Respaldos TSM"/>
    <x v="6"/>
    <b v="0"/>
    <s v="No está en VPC"/>
    <n v="153"/>
    <s v="INTPG_ACC_153_1.29"/>
    <s v="ISEL-1.29"/>
    <n v="1"/>
    <s v="NO TIENE L3OUT"/>
    <n v="42"/>
    <n v="96"/>
  </r>
  <r>
    <n v="119"/>
    <x v="0"/>
    <x v="245"/>
    <s v="eth1/29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29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29"/>
    <x v="0"/>
    <x v="1"/>
    <x v="1"/>
    <s v="CAMPANAS 01-02:uxobie06:ent0"/>
    <x v="6"/>
    <b v="0"/>
    <s v="No está en VPC"/>
    <n v="103"/>
    <s v="INTPG_ACC_103_1.29"/>
    <s v="ISEL-1.29"/>
    <n v="1"/>
    <s v="NO TIENE L3OUT"/>
    <n v="70"/>
    <n v="96"/>
  </r>
  <r>
    <n v="438"/>
    <x v="1"/>
    <x v="248"/>
    <s v="eth1/29"/>
    <x v="0"/>
    <x v="0"/>
    <x v="0"/>
    <s v="VBLOCK4"/>
    <x v="6"/>
    <b v="0"/>
    <s v="No está en VPC"/>
    <n v="438"/>
    <s v="INTPG_VPC_436_1.27-28_438_1.27_29"/>
    <s v="ISEL-1.29"/>
    <n v="3"/>
    <s v="NO TIENE L3OUT"/>
    <n v="170"/>
    <n v="96"/>
  </r>
  <r>
    <n v="406"/>
    <x v="1"/>
    <x v="249"/>
    <s v="eth1/29"/>
    <x v="0"/>
    <x v="0"/>
    <x v="0"/>
    <s v="PCRF1_CLT"/>
    <x v="6"/>
    <b v="0"/>
    <s v="No está en VPC"/>
    <n v="406"/>
    <s v="INTPG_VPC_404_1.29-30_406_1.29-30"/>
    <s v="ISEL-1.29"/>
    <n v="5"/>
    <s v="NO TIENE L3OUT"/>
    <n v="82"/>
    <n v="96"/>
  </r>
  <r>
    <n v="414"/>
    <x v="1"/>
    <x v="250"/>
    <s v="eth1/29"/>
    <x v="0"/>
    <x v="0"/>
    <x v="0"/>
    <s v="ITHMSVB3_ITH1"/>
    <x v="6"/>
    <b v="0"/>
    <s v="No está en VPC"/>
    <n v="414"/>
    <s v="INTPG_ACC_414_1.29"/>
    <s v="ISEL-1.29"/>
    <n v="1"/>
    <s v="NO TIENE L3OUT"/>
    <n v="144"/>
    <n v="96"/>
  </r>
  <r>
    <n v="416"/>
    <x v="1"/>
    <x v="251"/>
    <s v="eth1/29"/>
    <x v="0"/>
    <x v="0"/>
    <x v="0"/>
    <s v="DESC"/>
    <x v="6"/>
    <b v="0"/>
    <s v="No está en VPC"/>
    <n v="416"/>
    <s v="INTPG_PC_416_1.28-29"/>
    <s v="ISEL-1.29"/>
    <n v="1"/>
    <s v="NO TIENE L3OUT"/>
    <n v="110"/>
    <n v="96"/>
  </r>
  <r>
    <n v="418"/>
    <x v="1"/>
    <x v="252"/>
    <s v="eth1/29"/>
    <x v="0"/>
    <x v="0"/>
    <x v="0"/>
    <s v="DESC"/>
    <x v="6"/>
    <b v="0"/>
    <s v="No está en VPC"/>
    <n v="418"/>
    <s v="INTPG_PC_418_1.28-29"/>
    <s v="ISEL-1.29"/>
    <n v="1"/>
    <s v="NO TIENE L3OUT"/>
    <n v="152"/>
    <n v="96"/>
  </r>
  <r>
    <n v="413"/>
    <x v="1"/>
    <x v="253"/>
    <s v="eth1/29"/>
    <x v="0"/>
    <x v="0"/>
    <x v="0"/>
    <s v="lagidmhlapvp12_produccion1"/>
    <x v="6"/>
    <b v="0"/>
    <s v="No está en VPC"/>
    <n v="413"/>
    <s v="INTPG_VPC_411_1.36-39_413_1.29-32"/>
    <s v="ISEL-1.29"/>
    <n v="2"/>
    <s v="NO TIENE L3OUT"/>
    <n v="126"/>
    <n v="96"/>
  </r>
  <r>
    <n v="403"/>
    <x v="1"/>
    <x v="254"/>
    <s v="eth1/29"/>
    <x v="0"/>
    <x v="0"/>
    <x v="0"/>
    <s v="IXT_ARIESO7_LDR2"/>
    <x v="6"/>
    <b v="0"/>
    <s v="No está en VPC"/>
    <n v="403"/>
    <s v="INTPG_ACC_403_1.29"/>
    <s v="ISEL-1.29"/>
    <n v="1"/>
    <s v="NO TIENE L3OUT"/>
    <n v="150"/>
    <n v="96"/>
  </r>
  <r>
    <n v="125"/>
    <x v="0"/>
    <x v="255"/>
    <s v="eth1/29"/>
    <x v="1"/>
    <x v="1"/>
    <x v="2"/>
    <s v="Politicas de Navegacion"/>
    <x v="6"/>
    <b v="0"/>
    <s v="No está en VPC"/>
    <n v="125"/>
    <s v="INTPG_VPC_124_1.26-27_125_1.29-30"/>
    <s v="ISEL-1.29"/>
    <n v="5"/>
    <s v="NO TIENE L3OUT"/>
    <n v="72"/>
    <n v="96"/>
  </r>
  <r>
    <n v="166"/>
    <x v="0"/>
    <x v="256"/>
    <s v="eth1/29"/>
    <x v="0"/>
    <x v="0"/>
    <x v="0"/>
    <s v="NPG_DOC"/>
    <x v="6"/>
    <b v="0"/>
    <s v="No está en VPC"/>
    <n v="166"/>
    <s v="INTPG_ACC_166_1.29"/>
    <s v="ISEL-1.29"/>
    <n v="1"/>
    <s v="NO TIENE L3OUT"/>
    <n v="84"/>
    <n v="96"/>
  </r>
  <r>
    <n v="111"/>
    <x v="0"/>
    <x v="257"/>
    <s v="eth1/29"/>
    <x v="0"/>
    <x v="0"/>
    <x v="0"/>
    <s v="UXDX-DATOS"/>
    <x v="6"/>
    <b v="0"/>
    <s v="No está en VPC"/>
    <n v="111"/>
    <s v="INTPG_ACC_111_1.29"/>
    <s v="ISEL-1.29"/>
    <n v="1"/>
    <s v="NO TIENE L3OUT"/>
    <n v="58"/>
    <n v="96"/>
  </r>
  <r>
    <n v="115"/>
    <x v="0"/>
    <x v="258"/>
    <s v="eth1/29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29"/>
    <x v="0"/>
    <x v="0"/>
    <x v="0"/>
    <s v="OPEN VIEW BACK"/>
    <x v="6"/>
    <b v="0"/>
    <s v="No está en VPC"/>
    <n v="106"/>
    <s v="INTPG_ACC_106_1.29"/>
    <s v="ISEL-1.29"/>
    <n v="1"/>
    <s v="NO TIENE L3OUT"/>
    <n v="122"/>
    <n v="96"/>
  </r>
  <r>
    <n v="126"/>
    <x v="0"/>
    <x v="260"/>
    <s v="eth1/29"/>
    <x v="0"/>
    <x v="1"/>
    <x v="1"/>
    <s v="ENIQ"/>
    <x v="6"/>
    <b v="0"/>
    <s v="No está en VPC"/>
    <n v="126"/>
    <s v="INTPG_PC_126_1.25-29_36"/>
    <s v="ISEL-1.29"/>
    <n v="3"/>
    <s v="NO TIENE L3OUT"/>
    <n v="54"/>
    <n v="96"/>
  </r>
  <r>
    <n v="425"/>
    <x v="1"/>
    <x v="261"/>
    <s v="eth1/29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29"/>
    <x v="0"/>
    <x v="0"/>
    <x v="0"/>
    <s v="IXTPA1LS"/>
    <x v="6"/>
    <b v="0"/>
    <s v="No está en VPC"/>
    <n v="151"/>
    <s v="INTPG_ACC_151_1.29"/>
    <s v="ISEL-1.29"/>
    <n v="1"/>
    <s v="NO TIENE L3OUT"/>
    <n v="86"/>
    <n v="96"/>
  </r>
  <r>
    <n v="430"/>
    <x v="1"/>
    <x v="263"/>
    <s v="eth1/29"/>
    <x v="0"/>
    <x v="0"/>
    <x v="0"/>
    <s v="DESC"/>
    <x v="6"/>
    <b v="0"/>
    <s v="No está en VPC"/>
    <n v="430"/>
    <s v="INTPG_PC_430_1.29-30"/>
    <s v="ISEL-1.29"/>
    <n v="1"/>
    <s v="NO TIENE L3OUT"/>
    <n v="86"/>
    <n v="96"/>
  </r>
  <r>
    <n v="419"/>
    <x v="1"/>
    <x v="264"/>
    <s v="eth1/29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29"/>
    <x v="1"/>
    <x v="1"/>
    <x v="2"/>
    <s v="RED CRICKET"/>
    <x v="6"/>
    <b v="0"/>
    <s v="No está en VPC"/>
    <n v="155"/>
    <s v="INTPG_ACC_155_1.29"/>
    <s v="ISEL-1.29"/>
    <n v="1"/>
    <s v="NO TIENE L3OUT"/>
    <n v="198"/>
    <n v="96"/>
  </r>
  <r>
    <n v="409"/>
    <x v="1"/>
    <x v="266"/>
    <s v="eth1/29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29"/>
    <x v="0"/>
    <x v="0"/>
    <x v="0"/>
    <s v="IXTSD970B"/>
    <x v="6"/>
    <b v="0"/>
    <s v="No está en VPC"/>
    <n v="422"/>
    <s v="INTPG_ACC_422_1.29"/>
    <s v="ISEL-1.29"/>
    <n v="1"/>
    <s v="NO TIENE L3OUT"/>
    <n v="182"/>
    <n v="96"/>
  </r>
  <r>
    <n v="436"/>
    <x v="1"/>
    <x v="268"/>
    <s v="eth1/29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29"/>
    <x v="0"/>
    <x v="0"/>
    <x v="0"/>
    <s v="ITHMSNUBE1_IGB0"/>
    <x v="6"/>
    <b v="0"/>
    <s v="No está en VPC"/>
    <n v="410"/>
    <s v="INTPG_ACC_410_1.29"/>
    <s v="ISEL-1.29"/>
    <n v="1"/>
    <s v="NO TIENE L3OUT"/>
    <n v="178"/>
    <n v="96"/>
  </r>
  <r>
    <n v="161"/>
    <x v="0"/>
    <x v="270"/>
    <s v="eth1/29"/>
    <x v="0"/>
    <x v="1"/>
    <x v="1"/>
    <s v="UXOXXO02B(VTAE)"/>
    <x v="6"/>
    <b v="0"/>
    <s v="No está en VPC"/>
    <n v="161"/>
    <s v="INTPG_ACC_161_1.29"/>
    <s v="ISEL-1.29"/>
    <n v="1"/>
    <s v="NO TIENE L3OUT"/>
    <n v="102"/>
    <n v="96"/>
  </r>
  <r>
    <n v="411"/>
    <x v="1"/>
    <x v="271"/>
    <s v="eth1/29"/>
    <x v="0"/>
    <x v="0"/>
    <x v="0"/>
    <s v="To_lagidmhlapvp08_produccion1"/>
    <x v="6"/>
    <b v="0"/>
    <s v="No está en VPC"/>
    <n v="411"/>
    <s v="INTPG_VPC_411_1.26-29_413_1.19-20_22_86"/>
    <s v="ISEL-1.29"/>
    <n v="2"/>
    <s v="NO TIENE L3OUT"/>
    <n v="96"/>
    <n v="96"/>
  </r>
  <r>
    <n v="116"/>
    <x v="0"/>
    <x v="272"/>
    <s v="eth1/29"/>
    <x v="0"/>
    <x v="1"/>
    <x v="1"/>
    <s v="DATOS NETCRACKER"/>
    <x v="6"/>
    <b v="0"/>
    <s v="No está en VPC"/>
    <n v="116"/>
    <s v="INTPG_ACC_116_1.29"/>
    <s v="ISEL-1.29"/>
    <n v="1"/>
    <s v="NO TIENE L3OUT"/>
    <n v="148"/>
    <n v="96"/>
  </r>
  <r>
    <n v="412"/>
    <x v="1"/>
    <x v="273"/>
    <s v="eth1/29"/>
    <x v="0"/>
    <x v="0"/>
    <x v="0"/>
    <s v="NEC Femtocel NMS"/>
    <x v="6"/>
    <b v="0"/>
    <s v="No está en VPC"/>
    <n v="412"/>
    <s v="INTPG_ACC_412_1.29"/>
    <s v="ISEL-1.29"/>
    <n v="1"/>
    <s v="NO TIENE L3OUT"/>
    <n v="126"/>
    <n v="96"/>
  </r>
  <r>
    <n v="120"/>
    <x v="0"/>
    <x v="274"/>
    <s v="eth1/29"/>
    <x v="1"/>
    <x v="1"/>
    <x v="2"/>
    <s v="IXTRTC5"/>
    <x v="6"/>
    <b v="0"/>
    <s v="No está en VPC"/>
    <n v="120"/>
    <s v="INTPG_ACC_120_1.29"/>
    <s v="ISEL-1.29"/>
    <n v="1"/>
    <s v="NO TIENE L3OUT"/>
    <n v="158"/>
    <n v="96"/>
  </r>
  <r>
    <n v="404"/>
    <x v="1"/>
    <x v="275"/>
    <s v="eth1/29"/>
    <x v="0"/>
    <x v="0"/>
    <x v="0"/>
    <s v="PCRF1_CLT"/>
    <x v="6"/>
    <b v="0"/>
    <s v="No está en VPC"/>
    <n v="404"/>
    <s v="INTPG_VPC_404_1.29-30_406_1.29-30"/>
    <s v="ISEL-1.29"/>
    <n v="5"/>
    <s v="NO TIENE L3OUT"/>
    <n v="92"/>
    <n v="96"/>
  </r>
  <r>
    <n v="167"/>
    <x v="0"/>
    <x v="276"/>
    <s v="eth1/29"/>
    <x v="0"/>
    <x v="0"/>
    <x v="0"/>
    <s v="ESTANDAR GSS y TS"/>
    <x v="6"/>
    <b v="0"/>
    <s v="No está en VPC"/>
    <n v="167"/>
    <s v="INTPG_ACC_167_1.29"/>
    <s v="ISEL-1.29"/>
    <n v="1"/>
    <s v="NO TIENE L3OUT"/>
    <n v="68"/>
    <n v="96"/>
  </r>
  <r>
    <n v="428"/>
    <x v="1"/>
    <x v="277"/>
    <s v="eth1/29"/>
    <x v="0"/>
    <x v="0"/>
    <x v="0"/>
    <s v="DESC"/>
    <x v="6"/>
    <b v="0"/>
    <s v="No está en VPC"/>
    <n v="428"/>
    <s v="INTPG_PC_428_1.29-30"/>
    <s v="ISEL-1.29"/>
    <n v="1"/>
    <s v="NO TIENE L3OUT"/>
    <n v="102"/>
    <n v="96"/>
  </r>
  <r>
    <n v="903"/>
    <x v="2"/>
    <x v="278"/>
    <s v="eth1/29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29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3"/>
    <x v="0"/>
    <x v="0"/>
    <x v="0"/>
    <s v="HUECOS DC_S1"/>
    <x v="0"/>
    <b v="0"/>
    <s v="No está en VPC"/>
    <n v="128"/>
    <s v="INTPG_VPC_128_1.1-6_129_1.1-6"/>
    <s v="ISEL-1.3"/>
    <n v="1"/>
    <s v="NO TIENE L3OUT"/>
    <n v="0"/>
    <n v="54"/>
  </r>
  <r>
    <n v="123"/>
    <x v="0"/>
    <x v="1"/>
    <s v="eth1/3"/>
    <x v="0"/>
    <x v="0"/>
    <x v="0"/>
    <s v="DASHBD02.19.8"/>
    <x v="1"/>
    <b v="0"/>
    <s v="No está en VPC"/>
    <n v="123"/>
    <s v="INTPG_ACC_123_1.3"/>
    <s v="ISEL-1.3"/>
    <n v="1"/>
    <s v="NO TIENE L3OUT"/>
    <n v="20"/>
    <n v="54"/>
  </r>
  <r>
    <n v="152"/>
    <x v="0"/>
    <x v="2"/>
    <s v="eth1/3"/>
    <x v="0"/>
    <x v="0"/>
    <x v="0"/>
    <s v="DASHBOARD"/>
    <x v="1"/>
    <b v="0"/>
    <s v="No está en VPC"/>
    <n v="152"/>
    <s v="INTPG_ACC_152_1.3"/>
    <s v="ISEL-1.3"/>
    <n v="1"/>
    <s v="NO TIENE L3OUT"/>
    <n v="38"/>
    <n v="54"/>
  </r>
  <r>
    <n v="101"/>
    <x v="0"/>
    <x v="3"/>
    <s v="eth1/3"/>
    <x v="0"/>
    <x v="0"/>
    <x v="0"/>
    <s v="DESC"/>
    <x v="0"/>
    <b v="0"/>
    <s v="No está en VPC"/>
    <n v="101"/>
    <s v="INTPG_PC_101_1.3-5"/>
    <s v="ISEL-1.3"/>
    <n v="15"/>
    <s v="NO TIENE L3OUT"/>
    <n v="114"/>
    <n v="54"/>
  </r>
  <r>
    <n v="160"/>
    <x v="0"/>
    <x v="4"/>
    <s v="eth1/3"/>
    <x v="0"/>
    <x v="1"/>
    <x v="1"/>
    <s v="TRAP"/>
    <x v="1"/>
    <b v="0"/>
    <s v="No está en VPC"/>
    <n v="160"/>
    <s v="INTPG_PC_160_1.3-8"/>
    <s v="ISEL-1.3"/>
    <n v="12"/>
    <s v="NO TIENE L3OUT"/>
    <n v="68"/>
    <n v="54"/>
  </r>
  <r>
    <n v="121"/>
    <x v="0"/>
    <x v="5"/>
    <s v="eth1/3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3"/>
    <x v="0"/>
    <x v="0"/>
    <x v="0"/>
    <s v="HUECOS DC_S1"/>
    <x v="0"/>
    <b v="0"/>
    <s v="No está en VPC"/>
    <n v="129"/>
    <s v="INTPG_VPC_128_1.1-6_129_1.1-6"/>
    <s v="ISEL-1.3"/>
    <n v="1"/>
    <s v="NO TIENE L3OUT"/>
    <n v="0"/>
    <n v="54"/>
  </r>
  <r>
    <n v="401"/>
    <x v="1"/>
    <x v="7"/>
    <s v="eth1/3"/>
    <x v="0"/>
    <x v="0"/>
    <x v="0"/>
    <s v="TO-ITHFDEILDPRAP01"/>
    <x v="0"/>
    <b v="0"/>
    <s v="No está en VPC"/>
    <n v="401"/>
    <s v="INTPG_VPC_401_1.3_402_1.3"/>
    <s v="ISEL-1.3"/>
    <n v="3"/>
    <s v="NO TIENE L3OUT"/>
    <n v="40"/>
    <n v="54"/>
  </r>
  <r>
    <n v="402"/>
    <x v="1"/>
    <x v="8"/>
    <s v="eth1/3"/>
    <x v="0"/>
    <x v="0"/>
    <x v="0"/>
    <s v="TO-ITHFDEILDPRAP01"/>
    <x v="0"/>
    <b v="0"/>
    <s v="No está en VPC"/>
    <n v="402"/>
    <s v="INTPG_VPC_401_1.3_402_1.3"/>
    <s v="ISEL-1.3"/>
    <n v="3"/>
    <s v="NO TIENE L3OUT"/>
    <n v="36"/>
    <n v="54"/>
  </r>
  <r>
    <n v="447"/>
    <x v="1"/>
    <x v="9"/>
    <s v="eth1/3"/>
    <x v="0"/>
    <x v="0"/>
    <x v="0"/>
    <s v="YB_RESPALDOS_ETH-TRUNK_3"/>
    <x v="2"/>
    <b v="0"/>
    <s v="No está en VPC"/>
    <n v="447"/>
    <s v="INTPG_VPC_445_1.3_447_1.3"/>
    <s v="ISEL-1.3"/>
    <n v="1"/>
    <s v="NO TIENE L3OUT"/>
    <n v="16"/>
    <n v="42"/>
  </r>
  <r>
    <n v="445"/>
    <x v="1"/>
    <x v="10"/>
    <s v="eth1/3"/>
    <x v="0"/>
    <x v="0"/>
    <x v="0"/>
    <s v="YB_RESPALDOS_ETH-TRUNK_3"/>
    <x v="2"/>
    <b v="0"/>
    <s v="No está en VPC"/>
    <n v="445"/>
    <s v="INTPG_VPC_445_1.3_447_1.3"/>
    <s v="ISEL-1.3"/>
    <n v="1"/>
    <s v="NO TIENE L3OUT"/>
    <n v="16"/>
    <n v="42"/>
  </r>
  <r>
    <n v="130"/>
    <x v="0"/>
    <x v="11"/>
    <s v="eth1/3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3"/>
    <x v="0"/>
    <x v="0"/>
    <x v="0"/>
    <s v="DESC"/>
    <x v="0"/>
    <b v="0"/>
    <s v="No está en VPC"/>
    <n v="150"/>
    <s v="INTPG_PC_150_1.3-5"/>
    <s v="ISEL-1.3"/>
    <n v="15"/>
    <s v="NO TIENE L3OUT"/>
    <n v="118"/>
    <n v="54"/>
  </r>
  <r>
    <n v="131"/>
    <x v="0"/>
    <x v="13"/>
    <s v="eth1/3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3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3"/>
    <x v="0"/>
    <x v="0"/>
    <x v="0"/>
    <s v="TelcelCloudStack:ithhwtcs02en01:2X 40G P1"/>
    <x v="2"/>
    <b v="0"/>
    <s v="No está en VPC"/>
    <n v="758"/>
    <s v="INTPG_VPC_758_1.3-4_759_1.3-4"/>
    <s v="ISEL-1.3"/>
    <n v="124"/>
    <s v="NO TIENE L3OUT"/>
    <n v="0"/>
    <n v="42"/>
  </r>
  <r>
    <n v="759"/>
    <x v="2"/>
    <x v="16"/>
    <s v="eth1/3"/>
    <x v="0"/>
    <x v="0"/>
    <x v="0"/>
    <s v="TelcelCloudStack:ithhwtcs02en01:3X 40G P1"/>
    <x v="2"/>
    <b v="0"/>
    <s v="No está en VPC"/>
    <n v="759"/>
    <s v="INTPG_VPC_758_1.3-4_759_1.3-4"/>
    <s v="ISEL-1.3"/>
    <n v="124"/>
    <s v="NO TIENE L3OUT"/>
    <n v="0"/>
    <n v="42"/>
  </r>
  <r>
    <n v="302"/>
    <x v="0"/>
    <x v="17"/>
    <s v="eth1/3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3"/>
    <x v="0"/>
    <x v="0"/>
    <x v="0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3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3"/>
    <x v="0"/>
    <x v="0"/>
    <x v="0"/>
    <s v="HUECOS DC_S2"/>
    <x v="0"/>
    <b v="0"/>
    <s v="No está en VPC"/>
    <n v="452"/>
    <s v="INTPG_VPC_450_1.1-6_452_1.1-6"/>
    <s v="ISEL-1.3"/>
    <n v="1"/>
    <s v="NO TIENE L3OUT"/>
    <n v="0"/>
    <n v="54"/>
  </r>
  <r>
    <n v="450"/>
    <x v="1"/>
    <x v="21"/>
    <s v="eth1/3"/>
    <x v="0"/>
    <x v="0"/>
    <x v="0"/>
    <s v="HUECOS DC_S2"/>
    <x v="0"/>
    <b v="0"/>
    <s v="No está en VPC"/>
    <n v="450"/>
    <s v="INTPG_VPC_450_1.1-6_452_1.1-6"/>
    <s v="ISEL-1.3"/>
    <n v="1"/>
    <s v="NO TIENE L3OUT"/>
    <n v="0"/>
    <n v="54"/>
  </r>
  <r>
    <n v="727"/>
    <x v="2"/>
    <x v="22"/>
    <s v="eth1/3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3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3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3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3"/>
    <x v="0"/>
    <x v="0"/>
    <x v="0"/>
    <s v="HUAWEI_CLOUD_FASE2_LAG2"/>
    <x v="0"/>
    <b v="0"/>
    <s v="No está en VPC"/>
    <n v="431"/>
    <s v="INTPG_VPC_431_1.3-4_448_1.3-4"/>
    <s v="ISEL-1.3"/>
    <n v="45"/>
    <s v="NO TIENE L3OUT"/>
    <n v="46"/>
    <n v="54"/>
  </r>
  <r>
    <n v="433"/>
    <x v="1"/>
    <x v="27"/>
    <s v="eth1/3"/>
    <x v="0"/>
    <x v="0"/>
    <x v="0"/>
    <s v="HUAWEI_CLOUD_GAPS_PRODUC_LAG"/>
    <x v="1"/>
    <b v="0"/>
    <s v="No está en VPC"/>
    <n v="433"/>
    <s v="INTPG_VPC_433_1.3-4_435_1.3-4"/>
    <s v="ISEL-1.3"/>
    <n v="2"/>
    <s v="NO TIENE L3OUT"/>
    <n v="42"/>
    <n v="54"/>
  </r>
  <r>
    <n v="429"/>
    <x v="1"/>
    <x v="28"/>
    <s v="eth1/3"/>
    <x v="0"/>
    <x v="0"/>
    <x v="0"/>
    <s v="FASE_1.5_REDKNEE_produccion_3_client_LAG"/>
    <x v="1"/>
    <b v="0"/>
    <s v="No está en VPC"/>
    <n v="429"/>
    <s v="INTPG_VPC_427_1.4-5_429_1.2-3"/>
    <s v="ISEL-1.3"/>
    <n v="5"/>
    <s v="NO TIENE L3OUT"/>
    <n v="8"/>
    <n v="54"/>
  </r>
  <r>
    <n v="432"/>
    <x v="1"/>
    <x v="29"/>
    <s v="eth1/3"/>
    <x v="0"/>
    <x v="0"/>
    <x v="0"/>
    <s v="SSO"/>
    <x v="1"/>
    <b v="0"/>
    <s v="No está en VPC"/>
    <n v="432"/>
    <s v="INTPG_ACC_432_1.3"/>
    <s v="ISEL-1.3"/>
    <n v="1"/>
    <s v="NO TIENE L3OUT"/>
    <n v="54"/>
    <n v="54"/>
  </r>
  <r>
    <n v="442"/>
    <x v="1"/>
    <x v="30"/>
    <s v="eth1/3"/>
    <x v="0"/>
    <x v="0"/>
    <x v="0"/>
    <s v="INTELIGN_COMERCIAL_LAG2"/>
    <x v="1"/>
    <b v="0"/>
    <s v="No está en VPC"/>
    <n v="442"/>
    <s v="INTPG_VPC_440_1.3_442_1.3"/>
    <s v="ISEL-1.3"/>
    <n v="1"/>
    <s v="NO TIENE L3OUT"/>
    <n v="18"/>
    <n v="54"/>
  </r>
  <r>
    <n v="434"/>
    <x v="1"/>
    <x v="31"/>
    <s v="eth1/3"/>
    <x v="0"/>
    <x v="0"/>
    <x v="0"/>
    <s v="TO-uxidmbd-MGT"/>
    <x v="1"/>
    <b v="0"/>
    <s v="No está en VPC"/>
    <n v="434"/>
    <s v="INTPG_ACC_434_1.3"/>
    <s v="ISEL-1.3"/>
    <n v="1"/>
    <s v="NO TIENE L3OUT"/>
    <n v="34"/>
    <n v="54"/>
  </r>
  <r>
    <n v="707"/>
    <x v="2"/>
    <x v="32"/>
    <s v="eth1/3"/>
    <x v="0"/>
    <x v="0"/>
    <x v="0"/>
    <s v="CEM:ITHCEMG2DAT02:LOM P1"/>
    <x v="0"/>
    <b v="0"/>
    <s v="No está en VPC"/>
    <n v="707"/>
    <s v="INTPG_ACC_707_1.3"/>
    <s v="ISEL-1.3"/>
    <n v="1"/>
    <s v="NO TIENE L3OUT"/>
    <n v="54"/>
    <n v="54"/>
  </r>
  <r>
    <n v="712"/>
    <x v="2"/>
    <x v="33"/>
    <s v="eth1/3"/>
    <x v="0"/>
    <x v="0"/>
    <x v="0"/>
    <s v="CEM:ITHCEMB2DAT02:LOM P1"/>
    <x v="0"/>
    <b v="0"/>
    <s v="No está en VPC"/>
    <n v="712"/>
    <s v="INTPG_ACC_712_1.3"/>
    <s v="ISEL-1.3"/>
    <n v="1"/>
    <s v="NO TIENE L3OUT"/>
    <n v="32"/>
    <n v="54"/>
  </r>
  <r>
    <n v="719"/>
    <x v="2"/>
    <x v="34"/>
    <s v="eth1/3"/>
    <x v="0"/>
    <x v="0"/>
    <x v="0"/>
    <m/>
    <x v="0"/>
    <b v="0"/>
    <s v="No está en VPC"/>
    <n v="719"/>
    <s v="INTPG-VPC_HDD06_719_1.3_720_1.4"/>
    <s v="ISEL-1.3"/>
    <n v="1"/>
    <s v="NO TIENE L3OUT"/>
    <n v="0"/>
    <n v="54"/>
  </r>
  <r>
    <n v="715"/>
    <x v="2"/>
    <x v="35"/>
    <s v="eth1/3"/>
    <x v="0"/>
    <x v="0"/>
    <x v="0"/>
    <m/>
    <x v="0"/>
    <b v="0"/>
    <s v="No está en VPC"/>
    <n v="715"/>
    <s v="INTPG-VPC_HDD47_715_1.3_716_1.4"/>
    <s v="ISEL-1.3"/>
    <n v="1"/>
    <s v="NO TIENE L3OUT"/>
    <n v="0"/>
    <n v="54"/>
  </r>
  <r>
    <n v="427"/>
    <x v="1"/>
    <x v="36"/>
    <s v="eth1/3"/>
    <x v="0"/>
    <x v="0"/>
    <x v="0"/>
    <s v="FASE_1.5_REDKNEE_produccion_4_client_LAG"/>
    <x v="1"/>
    <b v="0"/>
    <s v="No está en VPC"/>
    <n v="427"/>
    <s v="INTPG_VPC_427_1.2-3_429_1.5-6"/>
    <s v="ISEL-1.3"/>
    <n v="2"/>
    <s v="NO TIENE L3OUT"/>
    <n v="10"/>
    <n v="54"/>
  </r>
  <r>
    <n v="711"/>
    <x v="2"/>
    <x v="37"/>
    <s v="eth1/3"/>
    <x v="0"/>
    <x v="0"/>
    <x v="0"/>
    <s v="CEM:ITHCEMC2DAT02:LOM P1"/>
    <x v="0"/>
    <b v="0"/>
    <s v="No está en VPC"/>
    <n v="711"/>
    <s v="INTPG_ACC_711_1.3"/>
    <s v="ISEL-1.3"/>
    <n v="1"/>
    <s v="NO TIENE L3OUT"/>
    <n v="16"/>
    <n v="54"/>
  </r>
  <r>
    <n v="716"/>
    <x v="2"/>
    <x v="38"/>
    <s v="eth1/3"/>
    <x v="0"/>
    <x v="0"/>
    <x v="0"/>
    <m/>
    <x v="0"/>
    <b v="0"/>
    <s v="No está en VPC"/>
    <n v="716"/>
    <s v="INTPG-VPC_HDD38_716_1.3_715_1.4"/>
    <s v="ISEL-1.3"/>
    <n v="1"/>
    <s v="NO TIENE L3OUT"/>
    <n v="0"/>
    <n v="54"/>
  </r>
  <r>
    <n v="702"/>
    <x v="2"/>
    <x v="39"/>
    <s v="eth1/3"/>
    <x v="0"/>
    <x v="0"/>
    <x v="0"/>
    <m/>
    <x v="0"/>
    <b v="0"/>
    <s v="No está en VPC"/>
    <n v="702"/>
    <s v="INTPG_VPC_702_1.3_701_1.4"/>
    <s v="ISEL-1.3"/>
    <n v="1"/>
    <s v="NO TIENE L3OUT"/>
    <n v="0"/>
    <n v="54"/>
  </r>
  <r>
    <n v="435"/>
    <x v="1"/>
    <x v="40"/>
    <s v="eth1/3"/>
    <x v="0"/>
    <x v="0"/>
    <x v="0"/>
    <s v="HUAWEI_CLOUD_GAPS_PRODUC_LAG"/>
    <x v="1"/>
    <b v="0"/>
    <s v="No está en VPC"/>
    <n v="435"/>
    <s v="INTPG_VPC_433_1.3-4_435_1.3-4"/>
    <s v="ISEL-1.3"/>
    <n v="2"/>
    <s v="NO TIENE L3OUT"/>
    <n v="34"/>
    <n v="54"/>
  </r>
  <r>
    <n v="446"/>
    <x v="1"/>
    <x v="41"/>
    <s v="eth1/3"/>
    <x v="0"/>
    <x v="0"/>
    <x v="0"/>
    <m/>
    <x v="0"/>
    <b v="0"/>
    <s v="No está en VPC"/>
    <n v="446"/>
    <s v="INTPG_ACC_446_1.3"/>
    <s v="ISEL-1.3"/>
    <n v="9"/>
    <s v="NO TIENE L3OUT"/>
    <n v="198"/>
    <n v="54"/>
  </r>
  <r>
    <n v="444"/>
    <x v="1"/>
    <x v="42"/>
    <s v="eth1/3"/>
    <x v="0"/>
    <x v="0"/>
    <x v="0"/>
    <s v="TO-ITHFHPNBURBKP04"/>
    <x v="0"/>
    <b v="0"/>
    <s v="No está en VPC"/>
    <n v="444"/>
    <s v="INTPG_VPC_444_1.3_446_1.4"/>
    <s v="ISEL-1.3"/>
    <n v="1"/>
    <s v="NO TIENE L3OUT"/>
    <n v="234"/>
    <n v="54"/>
  </r>
  <r>
    <n v="701"/>
    <x v="2"/>
    <x v="43"/>
    <s v="eth1/3"/>
    <x v="0"/>
    <x v="0"/>
    <x v="0"/>
    <m/>
    <x v="0"/>
    <b v="0"/>
    <s v="No está en VPC"/>
    <n v="701"/>
    <s v="INTPG_VPC_701_1.3_702_1.4"/>
    <s v="ISEL-1.3"/>
    <n v="1"/>
    <s v="NO TIENE L3OUT"/>
    <n v="0"/>
    <n v="54"/>
  </r>
  <r>
    <n v="440"/>
    <x v="1"/>
    <x v="44"/>
    <s v="eth1/3"/>
    <x v="0"/>
    <x v="0"/>
    <x v="0"/>
    <s v="INTELIGN_COMERCIAL_LAG2"/>
    <x v="1"/>
    <b v="0"/>
    <s v="No está en VPC"/>
    <n v="440"/>
    <s v="INTPG_VPC_440_1.3_442_1.3"/>
    <s v="ISEL-1.3"/>
    <n v="1"/>
    <s v="NO TIENE L3OUT"/>
    <n v="22"/>
    <n v="54"/>
  </r>
  <r>
    <n v="448"/>
    <x v="1"/>
    <x v="45"/>
    <s v="eth1/3"/>
    <x v="0"/>
    <x v="0"/>
    <x v="0"/>
    <s v="HUAWEI_CLOUD_FASE2_LAG2"/>
    <x v="0"/>
    <b v="0"/>
    <s v="No está en VPC"/>
    <n v="448"/>
    <s v="INTPG_VPC_431_1.3-4_448_1.3-4"/>
    <s v="ISEL-1.3"/>
    <n v="45"/>
    <s v="NO TIENE L3OUT"/>
    <n v="46"/>
    <n v="54"/>
  </r>
  <r>
    <n v="704"/>
    <x v="2"/>
    <x v="46"/>
    <s v="eth1/3"/>
    <x v="0"/>
    <x v="0"/>
    <x v="0"/>
    <m/>
    <x v="0"/>
    <b v="0"/>
    <s v="No está en VPC"/>
    <n v="704"/>
    <s v="INTPG_VPC_704_1.3_703_1.4"/>
    <s v="ISEL-1.3"/>
    <n v="1"/>
    <s v="NO TIENE L3OUT"/>
    <n v="0"/>
    <n v="54"/>
  </r>
  <r>
    <n v="729"/>
    <x v="2"/>
    <x v="47"/>
    <s v="eth1/3"/>
    <x v="0"/>
    <x v="0"/>
    <x v="0"/>
    <s v="eth-trunk-21"/>
    <x v="0"/>
    <b v="0"/>
    <s v="No está en VPC"/>
    <n v="729"/>
    <s v="INTPG_VPC_728_1.2-3_729_1.2-3"/>
    <s v="ISEL-1.3"/>
    <n v="10"/>
    <s v="NO TIENE L3OUT"/>
    <n v="4"/>
    <n v="54"/>
  </r>
  <r>
    <n v="728"/>
    <x v="2"/>
    <x v="48"/>
    <s v="eth1/3"/>
    <x v="0"/>
    <x v="0"/>
    <x v="0"/>
    <s v="eth-trunk-21"/>
    <x v="0"/>
    <b v="0"/>
    <s v="No está en VPC"/>
    <n v="728"/>
    <s v="INTPG_VPC_728_1.2-3_729_1.2-3"/>
    <s v="ISEL-1.3"/>
    <n v="10"/>
    <s v="NO TIENE L3OUT"/>
    <n v="2"/>
    <n v="54"/>
  </r>
  <r>
    <n v="456"/>
    <x v="1"/>
    <x v="49"/>
    <s v="eth1/3"/>
    <x v="0"/>
    <x v="0"/>
    <x v="0"/>
    <s v="HACIA_CSI-A-OSCP-F4-07_SECUNDARIO"/>
    <x v="4"/>
    <b v="0"/>
    <s v="No está en VPC"/>
    <n v="456"/>
    <s v="INTPG_VPC_454_1.3_456_1.3"/>
    <s v="ISEL-1.3"/>
    <n v="2"/>
    <s v="NO TIENE L3OUT"/>
    <n v="4"/>
    <n v="54"/>
  </r>
  <r>
    <n v="603"/>
    <x v="1"/>
    <x v="50"/>
    <s v="eth1/3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3"/>
    <x v="0"/>
    <x v="0"/>
    <x v="0"/>
    <s v="CRM, CBS:ITHHWBESRK11CH1:X3-10GE 1"/>
    <x v="0"/>
    <b v="0"/>
    <s v="No está en VPC"/>
    <n v="746"/>
    <s v="INTPG_VPC_745_1.2-3_746_1.2-3"/>
    <s v="ISEL-1.3"/>
    <n v="5"/>
    <s v="NO TIENE L3OUT"/>
    <n v="0"/>
    <n v="54"/>
  </r>
  <r>
    <n v="745"/>
    <x v="2"/>
    <x v="52"/>
    <s v="eth1/3"/>
    <x v="0"/>
    <x v="0"/>
    <x v="0"/>
    <s v="CRM, CBS:PR-R11-F08:X3-10GE 2"/>
    <x v="0"/>
    <b v="0"/>
    <s v="No está en VPC"/>
    <n v="745"/>
    <s v="INTPG_VPC_745_1.2-3_746_1.2-3"/>
    <s v="ISEL-1.3"/>
    <n v="5"/>
    <s v="NO TIENE L3OUT"/>
    <n v="0"/>
    <n v="54"/>
  </r>
  <r>
    <n v="730"/>
    <x v="2"/>
    <x v="53"/>
    <s v="eth1/3"/>
    <x v="0"/>
    <x v="0"/>
    <x v="0"/>
    <s v="eth-trunk11"/>
    <x v="0"/>
    <b v="0"/>
    <s v="No está en VPC"/>
    <n v="730"/>
    <s v="INTPG_VPC_730_1.2-3_731_1.2-3"/>
    <s v="ISEL-1.3"/>
    <n v="8"/>
    <s v="NO TIENE L3OUT"/>
    <n v="36"/>
    <n v="54"/>
  </r>
  <r>
    <n v="722"/>
    <x v="2"/>
    <x v="54"/>
    <s v="eth1/3"/>
    <x v="0"/>
    <x v="0"/>
    <x v="0"/>
    <m/>
    <x v="0"/>
    <b v="0"/>
    <s v="No está en VPC"/>
    <n v="722"/>
    <s v="INTPG-VPC_HDD132_722_1.3_723_1.4"/>
    <s v="ISEL-1.3"/>
    <n v="1"/>
    <s v="NO TIENE L3OUT"/>
    <n v="0"/>
    <n v="54"/>
  </r>
  <r>
    <n v="733"/>
    <x v="2"/>
    <x v="55"/>
    <s v="eth1/3"/>
    <x v="0"/>
    <x v="0"/>
    <x v="0"/>
    <s v="TO-TESTBED"/>
    <x v="0"/>
    <b v="0"/>
    <s v="No está en VPC"/>
    <n v="733"/>
    <s v="INTPG_VPC_732_1.2-3_733_1.2-3"/>
    <s v="ISEL-1.3"/>
    <n v="3"/>
    <s v="NO TIENE L3OUT"/>
    <n v="0"/>
    <n v="54"/>
  </r>
  <r>
    <n v="755"/>
    <x v="2"/>
    <x v="56"/>
    <s v="eth1/3"/>
    <x v="0"/>
    <x v="0"/>
    <x v="0"/>
    <s v="OSS F1:ithenmr06bl01nas1r9b:PORT 1"/>
    <x v="0"/>
    <b v="0"/>
    <s v="No está en VPC"/>
    <n v="755"/>
    <s v="INTPG_PC_755_1.3-6"/>
    <s v="ISEL-1.3"/>
    <n v="1"/>
    <s v="NO TIENE L3OUT"/>
    <n v="52"/>
    <n v="54"/>
  </r>
  <r>
    <n v="748"/>
    <x v="2"/>
    <x v="57"/>
    <s v="eth1/3"/>
    <x v="0"/>
    <x v="0"/>
    <x v="0"/>
    <s v="trunk12 Bes-Production"/>
    <x v="0"/>
    <b v="0"/>
    <s v="No está en VPC"/>
    <n v="748"/>
    <s v="INTPG_VPC_748_1.2_3_749_1.2_3"/>
    <s v="ISEL-1.3"/>
    <n v="6"/>
    <s v="NO TIENE L3OUT"/>
    <n v="2"/>
    <n v="54"/>
  </r>
  <r>
    <n v="756"/>
    <x v="2"/>
    <x v="58"/>
    <s v="eth1/3"/>
    <x v="0"/>
    <x v="0"/>
    <x v="0"/>
    <s v="OSS F1:ithenmr08bl01nas1r9a:PCIe3 Slot 1/1"/>
    <x v="0"/>
    <b v="0"/>
    <s v="No está en VPC"/>
    <n v="756"/>
    <s v="INTPG_PC_756_1.1-4"/>
    <s v="ISEL-1.3"/>
    <n v="1"/>
    <s v="NO TIENE L3OUT"/>
    <n v="64"/>
    <n v="54"/>
  </r>
  <r>
    <n v="754"/>
    <x v="2"/>
    <x v="59"/>
    <s v="eth1/3"/>
    <x v="0"/>
    <x v="0"/>
    <x v="0"/>
    <s v="OSS F1:ithenmr04bl03lms1r9b:PCIe3 Slot 1/1"/>
    <x v="0"/>
    <b v="0"/>
    <s v="No está en VPC"/>
    <n v="754"/>
    <s v="INTPG_ACC_754_1.3"/>
    <s v="ISEL-1.3"/>
    <n v="1"/>
    <s v="NO TIENE L3OUT"/>
    <n v="62"/>
    <n v="54"/>
  </r>
  <r>
    <n v="751"/>
    <x v="2"/>
    <x v="60"/>
    <s v="eth1/3"/>
    <x v="0"/>
    <x v="0"/>
    <x v="0"/>
    <s v="trunk16 Bes-Production"/>
    <x v="0"/>
    <b v="0"/>
    <s v="No está en VPC"/>
    <n v="751"/>
    <s v="INTPG_VPC_750_1.2_3_751_1.2_3"/>
    <s v="ISEL-1.3"/>
    <n v="6"/>
    <s v="NO TIENE L3OUT"/>
    <n v="0"/>
    <n v="54"/>
  </r>
  <r>
    <n v="769"/>
    <x v="2"/>
    <x v="61"/>
    <s v="eth1/3"/>
    <x v="0"/>
    <x v="0"/>
    <x v="0"/>
    <s v="Portchannel_6_R4A"/>
    <x v="0"/>
    <b v="0"/>
    <s v="No está en VPC"/>
    <n v="769"/>
    <s v="INTPG_PC_769_1.3-6"/>
    <s v="ISEL-1.3"/>
    <n v="1"/>
    <s v="NO TIENE L3OUT"/>
    <n v="60"/>
    <n v="54"/>
  </r>
  <r>
    <n v="742"/>
    <x v="2"/>
    <x v="62"/>
    <s v="eth1/3"/>
    <x v="0"/>
    <x v="1"/>
    <x v="1"/>
    <s v="CEM:ITHCEMA2DAT02:LOM P3"/>
    <x v="5"/>
    <b v="0"/>
    <s v="No está en VPC"/>
    <n v="742"/>
    <s v="INTPG_ACC_742_1.3"/>
    <s v="ISEL-1.3"/>
    <n v="1"/>
    <s v="NO TIENE L3OUT"/>
    <n v="64"/>
    <n v="54"/>
  </r>
  <r>
    <n v="763"/>
    <x v="2"/>
    <x v="63"/>
    <s v="eth1/3"/>
    <x v="0"/>
    <x v="0"/>
    <x v="0"/>
    <s v="PAAS:ithhwoscopap003:LOM PORT 3"/>
    <x v="0"/>
    <b v="0"/>
    <s v="No está en VPC"/>
    <n v="763"/>
    <s v="INTPG_VPC_762_1.3_763_1.3"/>
    <s v="ISEL-1.3"/>
    <n v="1"/>
    <s v="NO TIENE L3OUT"/>
    <n v="2"/>
    <n v="54"/>
  </r>
  <r>
    <n v="766"/>
    <x v="2"/>
    <x v="64"/>
    <s v="eth1/3"/>
    <x v="0"/>
    <x v="0"/>
    <x v="0"/>
    <s v="Portchannel_1_R6B"/>
    <x v="0"/>
    <b v="0"/>
    <s v="No está en VPC"/>
    <n v="766"/>
    <s v="INTPG_PC_766_1.1-4"/>
    <s v="ISEL-1.3"/>
    <n v="2"/>
    <s v="NO TIENE L3OUT"/>
    <n v="58"/>
    <n v="54"/>
  </r>
  <r>
    <n v="760"/>
    <x v="2"/>
    <x v="65"/>
    <s v="eth1/3"/>
    <x v="0"/>
    <x v="1"/>
    <x v="1"/>
    <m/>
    <x v="0"/>
    <b v="0"/>
    <s v="No está en VPC"/>
    <n v="760"/>
    <s v="INTPG_VPC_760_1.1-4_761_1.1-4"/>
    <s v="ISEL-1.3"/>
    <n v="0"/>
    <s v="L3OUT-EXACLOUD"/>
    <n v="0"/>
    <n v="54"/>
  </r>
  <r>
    <n v="752"/>
    <x v="2"/>
    <x v="66"/>
    <s v="eth1/3"/>
    <x v="0"/>
    <x v="0"/>
    <x v="0"/>
    <s v="PAAS:ithhwoscopap001:Slot4.1"/>
    <x v="0"/>
    <b v="0"/>
    <s v="No está en VPC"/>
    <n v="752"/>
    <s v="INTPG_VPC_747_1.3_752_1.3"/>
    <s v="ISEL-1.3"/>
    <n v="25"/>
    <s v="NO TIENE L3OUT"/>
    <n v="0"/>
    <n v="54"/>
  </r>
  <r>
    <n v="765"/>
    <x v="2"/>
    <x v="67"/>
    <s v="eth1/3"/>
    <x v="0"/>
    <x v="0"/>
    <x v="0"/>
    <s v="Portchannel_6_R6A"/>
    <x v="0"/>
    <b v="0"/>
    <s v="No está en VPC"/>
    <n v="765"/>
    <s v="INTPG_PC_765_1.1-4"/>
    <s v="ISEL-1.3"/>
    <n v="1"/>
    <s v="NO TIENE L3OUT"/>
    <n v="60"/>
    <n v="54"/>
  </r>
  <r>
    <n v="778"/>
    <x v="2"/>
    <x v="68"/>
    <s v="eth1/3"/>
    <x v="0"/>
    <x v="0"/>
    <x v="0"/>
    <s v="ENIQ F1:itheniqr07nas1r2:LOM PORT 1"/>
    <x v="0"/>
    <b v="0"/>
    <s v="No está en VPC"/>
    <n v="778"/>
    <s v="INTPG_PC_778_1.3-6"/>
    <s v="ISEL-1.3"/>
    <n v="1"/>
    <s v="NO TIENE L3OUT"/>
    <n v="26"/>
    <n v="54"/>
  </r>
  <r>
    <n v="780"/>
    <x v="2"/>
    <x v="69"/>
    <s v="eth1/3"/>
    <x v="0"/>
    <x v="0"/>
    <x v="0"/>
    <s v="LACP_NAS1_ENIQ1"/>
    <x v="0"/>
    <b v="0"/>
    <s v="No está en VPC"/>
    <n v="780"/>
    <s v="INTPG_PC_780_1.3-6"/>
    <s v="ISEL-1.3"/>
    <n v="1"/>
    <s v="NO TIENE L3OUT"/>
    <n v="26"/>
    <n v="54"/>
  </r>
  <r>
    <n v="812"/>
    <x v="2"/>
    <x v="70"/>
    <s v="eth1/3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3"/>
    <x v="0"/>
    <x v="0"/>
    <x v="0"/>
    <s v="ITHFHWTSHNLCN02_VMs-02_Taishan_IT"/>
    <x v="0"/>
    <b v="0"/>
    <s v="No está en VPC"/>
    <n v="796"/>
    <s v="INTPG_VPC_795_1.3_796_1.3"/>
    <s v="ISEL-1.3"/>
    <n v="14"/>
    <s v="NO TIENE L3OUT"/>
    <n v="18"/>
    <n v="54"/>
  </r>
  <r>
    <n v="795"/>
    <x v="2"/>
    <x v="72"/>
    <s v="eth1/3"/>
    <x v="0"/>
    <x v="0"/>
    <x v="0"/>
    <s v="ITHFHWTSHNLCN02_VMs-02_Taishan_IT"/>
    <x v="0"/>
    <b v="0"/>
    <s v="No está en VPC"/>
    <n v="795"/>
    <s v="INTPG_VPC_795_1.3_796_1.3"/>
    <s v="ISEL-1.3"/>
    <n v="14"/>
    <s v="NO TIENE L3OUT"/>
    <n v="18"/>
    <n v="54"/>
  </r>
  <r>
    <n v="749"/>
    <x v="2"/>
    <x v="73"/>
    <s v="eth1/3"/>
    <x v="0"/>
    <x v="0"/>
    <x v="0"/>
    <s v="trunk12 Bes-Production"/>
    <x v="0"/>
    <b v="0"/>
    <s v="No está en VPC"/>
    <n v="749"/>
    <s v="INTPG_VPC_748_1.2_3_749_1.2_3"/>
    <s v="ISEL-1.3"/>
    <n v="6"/>
    <s v="NO TIENE L3OUT"/>
    <n v="4"/>
    <n v="54"/>
  </r>
  <r>
    <n v="824"/>
    <x v="2"/>
    <x v="74"/>
    <s v="eth1/3"/>
    <x v="0"/>
    <x v="0"/>
    <x v="0"/>
    <s v="LINK_TO_ITHFHWCBSPSWR40 /Slot6.2 /Redundante"/>
    <x v="0"/>
    <b v="0"/>
    <s v="No está en VPC"/>
    <n v="824"/>
    <s v="INTPG_VPC_819_1.3_824_1.3"/>
    <s v="ISEL-1.3"/>
    <n v="1"/>
    <s v="NO TIENE L3OUT"/>
    <n v="70"/>
    <n v="54"/>
  </r>
  <r>
    <n v="819"/>
    <x v="2"/>
    <x v="75"/>
    <s v="eth1/3"/>
    <x v="0"/>
    <x v="0"/>
    <x v="0"/>
    <s v="LINK_TO_ITHFHWCBSPSWR40 /Slot4.2 /Principal"/>
    <x v="0"/>
    <b v="0"/>
    <s v="No está en VPC"/>
    <n v="819"/>
    <s v="INTPG_VPC_819_1.3_824_1.3"/>
    <s v="ISEL-1.3"/>
    <n v="1"/>
    <s v="NO TIENE L3OUT"/>
    <n v="70"/>
    <n v="54"/>
  </r>
  <r>
    <n v="737"/>
    <x v="2"/>
    <x v="76"/>
    <s v="eth1/3"/>
    <x v="0"/>
    <x v="0"/>
    <x v="0"/>
    <s v="CEM:ITHCEMF2DAT02:LOM P3"/>
    <x v="5"/>
    <b v="0"/>
    <s v="No está en VPC"/>
    <n v="737"/>
    <s v="INTPG_ACC_737_1.3"/>
    <s v="ISEL-1.3"/>
    <n v="1"/>
    <s v="NO TIENE L3OUT"/>
    <n v="72"/>
    <n v="54"/>
  </r>
  <r>
    <n v="844"/>
    <x v="2"/>
    <x v="77"/>
    <s v="eth1/3"/>
    <x v="0"/>
    <x v="0"/>
    <x v="0"/>
    <s v="LINK_TO_ITHFHWCRMPLCN101 / Slot1.3_6 / Principal"/>
    <x v="0"/>
    <b v="0"/>
    <s v="No está en VPC"/>
    <n v="844"/>
    <s v="INTPG_ACC_844_1.3"/>
    <s v="ISEL-1.3"/>
    <n v="1"/>
    <s v="NO TIENE L3OUT"/>
    <n v="282"/>
    <n v="54"/>
  </r>
  <r>
    <n v="843"/>
    <x v="2"/>
    <x v="78"/>
    <s v="eth1/3"/>
    <x v="0"/>
    <x v="0"/>
    <x v="0"/>
    <s v="LINK_To_ITHFHWCBSPSHDCTL04 / Slot7.1_12 / Redundante"/>
    <x v="0"/>
    <b v="0"/>
    <s v="No está en VPC"/>
    <n v="843"/>
    <s v="INTPG_VPC_838_1.3_843_1.3"/>
    <s v="ISEL-1.3"/>
    <n v="2"/>
    <s v="NO TIENE L3OUT"/>
    <n v="38"/>
    <n v="54"/>
  </r>
  <r>
    <n v="797"/>
    <x v="2"/>
    <x v="79"/>
    <s v="eth1/3"/>
    <x v="0"/>
    <x v="0"/>
    <x v="0"/>
    <s v="TO-HDPS_05-MSP"/>
    <x v="0"/>
    <b v="0"/>
    <s v="No está en VPC"/>
    <n v="797"/>
    <s v="INTPG_ACC_797_1.3"/>
    <s v="ISEL-1.3"/>
    <n v="1"/>
    <s v="NO TIENE L3OUT"/>
    <n v="48"/>
    <n v="54"/>
  </r>
  <r>
    <n v="839"/>
    <x v="2"/>
    <x v="80"/>
    <s v="eth1/3"/>
    <x v="0"/>
    <x v="0"/>
    <x v="0"/>
    <s v="LINK_TO_ITHFHWCBSPSHD43 / Slot7.3_4 / Redundante"/>
    <x v="0"/>
    <b v="0"/>
    <s v="No está en VPC"/>
    <n v="839"/>
    <s v="INTPG_VPC_834_1.3_839_1.3"/>
    <s v="ISEL-1.3"/>
    <n v="1"/>
    <s v="NO TIENE L3OUT"/>
    <n v="0"/>
    <n v="54"/>
  </r>
  <r>
    <n v="847"/>
    <x v="2"/>
    <x v="81"/>
    <s v="eth1/3"/>
    <x v="0"/>
    <x v="0"/>
    <x v="0"/>
    <s v="LINK_TO_ITHFHWCRMPSBDA05 / Slot1.3_4 / Principal"/>
    <x v="0"/>
    <b v="0"/>
    <s v="No está en VPC"/>
    <n v="847"/>
    <s v="INTPG_VPC_847_1.3_854_1.3"/>
    <s v="ISEL-1.3"/>
    <n v="1"/>
    <s v="NO TIENE L3OUT"/>
    <n v="204"/>
    <n v="54"/>
  </r>
  <r>
    <n v="848"/>
    <x v="2"/>
    <x v="82"/>
    <s v="eth1/3"/>
    <x v="0"/>
    <x v="0"/>
    <x v="0"/>
    <s v="LINK_TO_ITHFHWCRMPLCN155 / Slot7.2_12 / Redundante"/>
    <x v="0"/>
    <b v="0"/>
    <s v="No está en VPC"/>
    <n v="848"/>
    <s v="INTPG_ACC_848_1.3"/>
    <s v="ISEL-1.3"/>
    <n v="2"/>
    <s v="NO TIENE L3OUT"/>
    <n v="254"/>
    <n v="54"/>
  </r>
  <r>
    <n v="846"/>
    <x v="2"/>
    <x v="83"/>
    <s v="eth1/3"/>
    <x v="0"/>
    <x v="0"/>
    <x v="0"/>
    <s v="VPC_2DCRMP_BDP06_1"/>
    <x v="0"/>
    <b v="0"/>
    <s v="No está en VPC"/>
    <n v="846"/>
    <s v="INTPG_VPC_846_1.3_853_1.3"/>
    <s v="ISEL-1.3"/>
    <n v="6"/>
    <s v="NO TIENE L3OUT"/>
    <n v="242"/>
    <n v="54"/>
  </r>
  <r>
    <n v="838"/>
    <x v="2"/>
    <x v="84"/>
    <s v="eth1/3"/>
    <x v="0"/>
    <x v="0"/>
    <x v="0"/>
    <s v="LINK_To_ITHFHWCBSPSHDCTL04 / Slot1.1_12 / Principal"/>
    <x v="0"/>
    <b v="0"/>
    <s v="No está en VPC"/>
    <n v="838"/>
    <s v="INTPG_VPC_838_1.3_843_1.3"/>
    <s v="ISEL-1.3"/>
    <n v="2"/>
    <s v="NO TIENE L3OUT"/>
    <n v="38"/>
    <n v="54"/>
  </r>
  <r>
    <n v="849"/>
    <x v="2"/>
    <x v="85"/>
    <s v="eth1/3"/>
    <x v="0"/>
    <x v="0"/>
    <x v="0"/>
    <s v="LINK_TO_ITHFHWCRMPLCN135 / Slot7.2_4 / Redundante"/>
    <x v="0"/>
    <b v="0"/>
    <s v="No está en VPC"/>
    <n v="849"/>
    <s v="INTPG_ACC_849_1.3"/>
    <s v="ISEL-1.3"/>
    <n v="2"/>
    <s v="NO TIENE L3OUT"/>
    <n v="286"/>
    <n v="54"/>
  </r>
  <r>
    <n v="845"/>
    <x v="2"/>
    <x v="86"/>
    <s v="eth1/3"/>
    <x v="0"/>
    <x v="0"/>
    <x v="0"/>
    <s v="LINK_TO_ITHFHWCRMPLCN117 / Slot1.1_38 / Principal"/>
    <x v="0"/>
    <b v="0"/>
    <s v="No está en VPC"/>
    <n v="845"/>
    <s v="INTPG_ACC_845_1.3"/>
    <s v="ISEL-1.3"/>
    <n v="6"/>
    <s v="NO TIENE L3OUT"/>
    <n v="258"/>
    <n v="54"/>
  </r>
  <r>
    <n v="873"/>
    <x v="2"/>
    <x v="87"/>
    <s v="eth1/3"/>
    <x v="0"/>
    <x v="0"/>
    <x v="0"/>
    <s v="TO_ITHFHWCRMDLCN54_Principal"/>
    <x v="0"/>
    <b v="0"/>
    <s v="No está en VPC"/>
    <n v="873"/>
    <s v="INTPG_ACC_873_1.3"/>
    <s v="ISEL-1.3"/>
    <n v="6"/>
    <s v="NO TIENE L3OUT"/>
    <n v="248"/>
    <n v="54"/>
  </r>
  <r>
    <n v="864"/>
    <x v="2"/>
    <x v="88"/>
    <s v="eth1/3"/>
    <x v="0"/>
    <x v="0"/>
    <x v="0"/>
    <s v="To_VPC_2DCBSD_HD31_3"/>
    <x v="0"/>
    <b v="0"/>
    <s v="No está en VPC"/>
    <n v="864"/>
    <s v="INTPG_VPC_859_1.3_864_1.3"/>
    <s v="ISEL-1.3"/>
    <n v="1"/>
    <s v="NO TIENE L3OUT"/>
    <n v="0"/>
    <n v="54"/>
  </r>
  <r>
    <n v="836"/>
    <x v="2"/>
    <x v="89"/>
    <s v="eth1/3"/>
    <x v="0"/>
    <x v="0"/>
    <x v="0"/>
    <s v="LINK_TO_ITHFHWCBSPSUSBD33 / Slot1.2_6 / Principal"/>
    <x v="0"/>
    <b v="0"/>
    <s v="No está en VPC"/>
    <n v="836"/>
    <s v="INTPG_VPC_836_1.3_841_1.3"/>
    <s v="ISEL-1.3"/>
    <n v="1"/>
    <s v="NO TIENE L3OUT"/>
    <n v="0"/>
    <n v="54"/>
  </r>
  <r>
    <n v="834"/>
    <x v="2"/>
    <x v="90"/>
    <s v="eth1/3"/>
    <x v="0"/>
    <x v="0"/>
    <x v="0"/>
    <s v="LINK_TO_ITHFHWCBSPSHD43 / Slot1.3_4 / Principal"/>
    <x v="0"/>
    <b v="0"/>
    <s v="No está en VPC"/>
    <n v="834"/>
    <s v="INTPG_VPC_834_1.3_839_1.3"/>
    <s v="ISEL-1.3"/>
    <n v="1"/>
    <s v="NO TIENE L3OUT"/>
    <n v="0"/>
    <n v="54"/>
  </r>
  <r>
    <n v="872"/>
    <x v="2"/>
    <x v="91"/>
    <s v="eth1/3"/>
    <x v="0"/>
    <x v="0"/>
    <x v="0"/>
    <s v="To_ITHFHWCRMDLCN70_Principal"/>
    <x v="0"/>
    <b v="0"/>
    <s v="No está en VPC"/>
    <n v="872"/>
    <s v="INTPG_ACC_872_1.3"/>
    <s v="ISEL-1.3"/>
    <n v="6"/>
    <s v="NO TIENE L3OUT"/>
    <n v="288"/>
    <n v="54"/>
  </r>
  <r>
    <n v="842"/>
    <x v="2"/>
    <x v="92"/>
    <s v="eth1/3"/>
    <x v="0"/>
    <x v="0"/>
    <x v="0"/>
    <s v="LINK_TO_ITHFHWCBSPSHDCTL05 / Slot7.2_12 / Redundante"/>
    <x v="0"/>
    <b v="0"/>
    <s v="No está en VPC"/>
    <n v="842"/>
    <s v="INTPG_VPC_837_1.3_842_1.3"/>
    <s v="ISEL-1.3"/>
    <n v="1"/>
    <s v="NO TIENE L3OUT"/>
    <n v="8"/>
    <n v="54"/>
  </r>
  <r>
    <n v="828"/>
    <x v="2"/>
    <x v="93"/>
    <s v="eth1/3"/>
    <x v="0"/>
    <x v="0"/>
    <x v="0"/>
    <s v="LINK_TO_ITHFHWCBSDSWR32 /Slot4.2 /Principal"/>
    <x v="0"/>
    <b v="0"/>
    <s v="No está en VPC"/>
    <n v="828"/>
    <s v="INTPG_VPC_828_1.3_832_1.3"/>
    <s v="ISEL-1.3"/>
    <n v="1"/>
    <s v="NO TIENE L3OUT"/>
    <n v="192"/>
    <n v="54"/>
  </r>
  <r>
    <n v="870"/>
    <x v="2"/>
    <x v="94"/>
    <s v="eth1/3"/>
    <x v="0"/>
    <x v="0"/>
    <x v="0"/>
    <s v="TO_ITHFHWCRMDLCN54_Redundante"/>
    <x v="0"/>
    <b v="0"/>
    <s v="No está en VPC"/>
    <n v="870"/>
    <s v="INTPG_ACC_870_1.3"/>
    <s v="ISEL-1.3"/>
    <n v="6"/>
    <s v="NO TIENE L3OUT"/>
    <n v="248"/>
    <n v="54"/>
  </r>
  <r>
    <n v="866"/>
    <x v="2"/>
    <x v="95"/>
    <s v="eth1/3"/>
    <x v="0"/>
    <x v="0"/>
    <x v="0"/>
    <s v="To_VPC_2DCBSD_WR42_3"/>
    <x v="0"/>
    <b v="0"/>
    <s v="No está en VPC"/>
    <n v="866"/>
    <s v="INTPG_VPC_861_1.3_866_1.3"/>
    <s v="ISEL-1.3"/>
    <n v="1"/>
    <s v="NO TIENE L3OUT"/>
    <n v="8"/>
    <n v="54"/>
  </r>
  <r>
    <n v="862"/>
    <x v="2"/>
    <x v="96"/>
    <s v="eth1/3"/>
    <x v="0"/>
    <x v="0"/>
    <x v="0"/>
    <s v="To_VPC_2DCBSD_WR38_2"/>
    <x v="0"/>
    <b v="0"/>
    <s v="No está en VPC"/>
    <n v="862"/>
    <s v="INTPG_VPC_862_1.3_867_1.3"/>
    <s v="ISEL-1.3"/>
    <n v="1"/>
    <s v="NO TIENE L3OUT"/>
    <n v="44"/>
    <n v="54"/>
  </r>
  <r>
    <n v="855"/>
    <x v="2"/>
    <x v="97"/>
    <s v="eth1/3"/>
    <x v="0"/>
    <x v="0"/>
    <x v="0"/>
    <s v="LINK_TO_ITHFHWCRMPLCN155 / Slot1.2_12 / Principal"/>
    <x v="0"/>
    <b v="0"/>
    <s v="No está en VPC"/>
    <n v="855"/>
    <s v="INTPG_ACC_855_1.3"/>
    <s v="ISEL-1.3"/>
    <n v="2"/>
    <s v="NO TIENE L3OUT"/>
    <n v="254"/>
    <n v="54"/>
  </r>
  <r>
    <n v="871"/>
    <x v="2"/>
    <x v="98"/>
    <s v="eth1/3"/>
    <x v="0"/>
    <x v="0"/>
    <x v="0"/>
    <s v="TO_ITHFHWCRMDLCN81_Principal"/>
    <x v="0"/>
    <b v="0"/>
    <s v="No está en VPC"/>
    <n v="871"/>
    <s v="INTPG_ACC_871_1.3"/>
    <s v="ISEL-1.3"/>
    <n v="1"/>
    <s v="NO TIENE L3OUT"/>
    <n v="246"/>
    <n v="54"/>
  </r>
  <r>
    <n v="841"/>
    <x v="2"/>
    <x v="99"/>
    <s v="eth1/3"/>
    <x v="0"/>
    <x v="0"/>
    <x v="0"/>
    <s v="LINK_TO_ITHFHWCBSPSUSBD33 / Slot7.2_6 / Redundante"/>
    <x v="0"/>
    <b v="0"/>
    <s v="No está en VPC"/>
    <n v="841"/>
    <s v="INTPG_VPC_836_1.3_841_1.3"/>
    <s v="ISEL-1.3"/>
    <n v="1"/>
    <s v="NO TIENE L3OUT"/>
    <n v="0"/>
    <n v="54"/>
  </r>
  <r>
    <n v="868"/>
    <x v="2"/>
    <x v="100"/>
    <s v="eth1/3"/>
    <x v="0"/>
    <x v="0"/>
    <x v="0"/>
    <s v="TO_ITHFHWCRMDLCN81_Redundante"/>
    <x v="0"/>
    <b v="0"/>
    <s v="No está en VPC"/>
    <n v="868"/>
    <s v="INTPG_ACC_868_1.3"/>
    <s v="ISEL-1.3"/>
    <n v="1"/>
    <s v="NO TIENE L3OUT"/>
    <n v="246"/>
    <n v="54"/>
  </r>
  <r>
    <n v="869"/>
    <x v="2"/>
    <x v="101"/>
    <s v="eth1/3"/>
    <x v="0"/>
    <x v="0"/>
    <x v="0"/>
    <s v="To_ITHFHWCRMDLCN70_Redundante"/>
    <x v="0"/>
    <b v="0"/>
    <s v="No está en VPC"/>
    <n v="869"/>
    <s v="INTPG_ACC_869_1.3"/>
    <s v="ISEL-1.3"/>
    <n v="6"/>
    <s v="NO TIENE L3OUT"/>
    <n v="288"/>
    <n v="54"/>
  </r>
  <r>
    <n v="861"/>
    <x v="2"/>
    <x v="102"/>
    <s v="eth1/3"/>
    <x v="0"/>
    <x v="0"/>
    <x v="0"/>
    <s v="To_VPC_2DCBSD_WR42_3"/>
    <x v="0"/>
    <b v="0"/>
    <s v="No está en VPC"/>
    <n v="861"/>
    <s v="INTPG_VPC_861_1.3_866_1.3"/>
    <s v="ISEL-1.3"/>
    <n v="1"/>
    <s v="NO TIENE L3OUT"/>
    <n v="8"/>
    <n v="54"/>
  </r>
  <r>
    <n v="874"/>
    <x v="2"/>
    <x v="103"/>
    <s v="eth1/3"/>
    <x v="0"/>
    <x v="0"/>
    <x v="0"/>
    <s v="LINK_TO_ITHFHWSEQLHDPS72 / Slot 5 PTO 1 / Redundante"/>
    <x v="4"/>
    <b v="0"/>
    <s v="No está en VPC"/>
    <n v="874"/>
    <s v="INTPG_ACC_874_1.3"/>
    <s v="ISEL-1.3"/>
    <n v="1"/>
    <s v="NO TIENE L3OUT"/>
    <n v="92"/>
    <n v="54"/>
  </r>
  <r>
    <n v="865"/>
    <x v="2"/>
    <x v="104"/>
    <s v="eth1/3"/>
    <x v="0"/>
    <x v="0"/>
    <x v="0"/>
    <s v="To_VPC_2DCBSD_WR52_3"/>
    <x v="0"/>
    <b v="0"/>
    <s v="No está en VPC"/>
    <n v="865"/>
    <s v="INTPG_VPC_860_1.3_865_1.3"/>
    <s v="ISEL-1.3"/>
    <n v="1"/>
    <s v="NO TIENE L3OUT"/>
    <n v="0"/>
    <n v="54"/>
  </r>
  <r>
    <n v="753"/>
    <x v="2"/>
    <x v="105"/>
    <s v="eth1/3"/>
    <x v="0"/>
    <x v="0"/>
    <x v="0"/>
    <s v="OSS F1:ithenmr03bl01nas1r9c:PCIe3 Slot 1/1"/>
    <x v="0"/>
    <b v="0"/>
    <s v="No está en VPC"/>
    <n v="753"/>
    <s v="INTPG_PC_753_1.1-4"/>
    <s v="ISEL-1.3"/>
    <n v="1"/>
    <s v="NO TIENE L3OUT"/>
    <n v="62"/>
    <n v="54"/>
  </r>
  <r>
    <n v="708"/>
    <x v="2"/>
    <x v="106"/>
    <s v="eth1/3"/>
    <x v="0"/>
    <x v="1"/>
    <x v="5"/>
    <s v="CEM:ITHCEMF2DAT02:LOM P1"/>
    <x v="0"/>
    <b v="0"/>
    <s v="No está en VPC"/>
    <n v="708"/>
    <s v="INTPG_VPC_708_1.3_709_1.4"/>
    <s v="ISEL-1.3"/>
    <n v="1"/>
    <s v="NO TIENE L3OUT"/>
    <n v="0"/>
    <n v="54"/>
  </r>
  <r>
    <n v="710"/>
    <x v="2"/>
    <x v="107"/>
    <s v="eth1/3"/>
    <x v="0"/>
    <x v="1"/>
    <x v="5"/>
    <s v="CEM:ITHCEMD2DAT02:LOM P1"/>
    <x v="0"/>
    <b v="0"/>
    <s v="No está en VPC"/>
    <n v="710"/>
    <s v="INTPG_VPC_710_1.3_711_1.4"/>
    <s v="ISEL-1.3"/>
    <n v="1"/>
    <s v="NO TIENE L3OUT"/>
    <n v="16"/>
    <n v="54"/>
  </r>
  <r>
    <n v="713"/>
    <x v="2"/>
    <x v="108"/>
    <s v="eth1/3"/>
    <x v="0"/>
    <x v="0"/>
    <x v="0"/>
    <s v="CEM:ITHCEMA2DAT02:LOM P1"/>
    <x v="0"/>
    <b v="0"/>
    <s v="No está en VPC"/>
    <n v="713"/>
    <s v="INTPG_ACC_713_1.3"/>
    <s v="ISEL-1.3"/>
    <n v="1"/>
    <s v="NO TIENE L3OUT"/>
    <n v="32"/>
    <n v="54"/>
  </r>
  <r>
    <n v="735"/>
    <x v="2"/>
    <x v="109"/>
    <s v="eth1/3"/>
    <x v="0"/>
    <x v="1"/>
    <x v="1"/>
    <s v="CEM:ITHCEMA1DAT02:LOM P3"/>
    <x v="5"/>
    <b v="0"/>
    <s v="No está en VPC"/>
    <n v="735"/>
    <s v="INTPG_ACC_735_1.3"/>
    <s v="ISEL-1.3"/>
    <n v="1"/>
    <s v="NO TIENE L3OUT"/>
    <n v="34"/>
    <n v="54"/>
  </r>
  <r>
    <n v="731"/>
    <x v="2"/>
    <x v="110"/>
    <s v="eth1/3"/>
    <x v="0"/>
    <x v="0"/>
    <x v="0"/>
    <s v="eth-trunk11"/>
    <x v="0"/>
    <b v="0"/>
    <s v="No está en VPC"/>
    <n v="731"/>
    <s v="INTPG_VPC_730_1.2-3_731_1.2-3"/>
    <s v="ISEL-1.3"/>
    <n v="8"/>
    <s v="NO TIENE L3OUT"/>
    <n v="38"/>
    <n v="54"/>
  </r>
  <r>
    <n v="703"/>
    <x v="2"/>
    <x v="111"/>
    <s v="eth1/3"/>
    <x v="0"/>
    <x v="0"/>
    <x v="0"/>
    <m/>
    <x v="0"/>
    <b v="0"/>
    <s v="No está en VPC"/>
    <n v="703"/>
    <s v="INTPG_VPC_703_1.3_704_1.4"/>
    <s v="ISEL-1.3"/>
    <n v="1"/>
    <s v="NO TIENE L3OUT"/>
    <n v="2"/>
    <n v="54"/>
  </r>
  <r>
    <n v="706"/>
    <x v="2"/>
    <x v="112"/>
    <s v="eth1/3"/>
    <x v="0"/>
    <x v="0"/>
    <x v="0"/>
    <s v="CEM:ITHCEMA1DAT02:LOM  P1"/>
    <x v="0"/>
    <b v="0"/>
    <s v="No está en VPC"/>
    <n v="706"/>
    <s v="INTPG_ACC_706_1.3"/>
    <s v="ISEL-1.3"/>
    <n v="1"/>
    <s v="NO TIENE L3OUT"/>
    <n v="16"/>
    <n v="54"/>
  </r>
  <r>
    <n v="762"/>
    <x v="2"/>
    <x v="113"/>
    <s v="eth1/3"/>
    <x v="0"/>
    <x v="0"/>
    <x v="0"/>
    <s v="PAAS:ithhwoscopap003:FlexIO.1"/>
    <x v="0"/>
    <b v="0"/>
    <s v="No está en VPC"/>
    <n v="762"/>
    <s v="INTPG_VPC_762_1.3_763_1.3"/>
    <s v="ISEL-1.3"/>
    <n v="1"/>
    <s v="NO TIENE L3OUT"/>
    <n v="0"/>
    <n v="54"/>
  </r>
  <r>
    <n v="814"/>
    <x v="2"/>
    <x v="114"/>
    <s v="eth1/3"/>
    <x v="0"/>
    <x v="0"/>
    <x v="0"/>
    <s v="A_ITHHPGRLKEN05_Principal"/>
    <x v="2"/>
    <b v="0"/>
    <s v="No está en VPC"/>
    <n v="814"/>
    <s v="INTPG_VPC_814_1.3_815_1.3"/>
    <s v="ISEL-1.3"/>
    <n v="98"/>
    <s v="NO TIENE L3OUT"/>
    <n v="0"/>
    <n v="42"/>
  </r>
  <r>
    <n v="878"/>
    <x v="2"/>
    <x v="115"/>
    <s v="eth1/3"/>
    <x v="0"/>
    <x v="0"/>
    <x v="0"/>
    <s v="HACIA_CSI-A-OSCP-F4-11_PRINCIPAL"/>
    <x v="4"/>
    <b v="0"/>
    <s v="No está en VPC"/>
    <n v="878"/>
    <s v="INTPG_VPC_878_1.3_879_1.3"/>
    <s v="ISEL-1.3"/>
    <n v="2"/>
    <s v="NO TIENE L3OUT"/>
    <n v="0"/>
    <n v="54"/>
  </r>
  <r>
    <n v="826"/>
    <x v="2"/>
    <x v="116"/>
    <s v="eth1/3"/>
    <x v="0"/>
    <x v="0"/>
    <x v="0"/>
    <s v="LINK_TO_ITHFHWCBSDSUSBD04 /Slot4.2 /Principal"/>
    <x v="0"/>
    <b v="0"/>
    <s v="No está en VPC"/>
    <n v="826"/>
    <s v="INTPG_VPC_826_1.3_830_1.3"/>
    <s v="ISEL-1.3"/>
    <n v="1"/>
    <s v="NO TIENE L3OUT"/>
    <n v="12"/>
    <n v="54"/>
  </r>
  <r>
    <n v="726"/>
    <x v="2"/>
    <x v="117"/>
    <s v="eth1/3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3"/>
    <x v="0"/>
    <x v="1"/>
    <x v="1"/>
    <s v="CEM:ITHCEMC2DAT02:LOM P3"/>
    <x v="5"/>
    <b v="0"/>
    <s v="No está en VPC"/>
    <n v="740"/>
    <s v="INTPG_ACC_740_1.3"/>
    <s v="ISEL-1.3"/>
    <n v="1"/>
    <s v="NO TIENE L3OUT"/>
    <n v="72"/>
    <n v="54"/>
  </r>
  <r>
    <n v="705"/>
    <x v="2"/>
    <x v="119"/>
    <s v="eth1/3"/>
    <x v="0"/>
    <x v="0"/>
    <x v="0"/>
    <s v="CEM:ITHOIDB1SVR02:LOM  P2"/>
    <x v="0"/>
    <b v="0"/>
    <s v="No está en VPC"/>
    <n v="705"/>
    <s v="INTPG_VPC_705_1.3_706_1.4"/>
    <s v="ISEL-1.3"/>
    <n v="2"/>
    <s v="NO TIENE L3OUT"/>
    <n v="16"/>
    <n v="54"/>
  </r>
  <r>
    <n v="723"/>
    <x v="2"/>
    <x v="120"/>
    <s v="eth1/3"/>
    <x v="0"/>
    <x v="0"/>
    <x v="0"/>
    <m/>
    <x v="0"/>
    <b v="0"/>
    <s v="No está en VPC"/>
    <n v="723"/>
    <s v="INTPG-VPC_HDD119_723_1.3_722_1.4"/>
    <s v="ISEL-1.3"/>
    <n v="1"/>
    <s v="NO TIENE L3OUT"/>
    <n v="0"/>
    <n v="54"/>
  </r>
  <r>
    <n v="721"/>
    <x v="2"/>
    <x v="121"/>
    <s v="eth1/3"/>
    <x v="0"/>
    <x v="0"/>
    <x v="0"/>
    <s v="TO-ITHFHWVRALCN09"/>
    <x v="0"/>
    <b v="0"/>
    <s v="No está en VPC"/>
    <n v="721"/>
    <s v="INTPG_VPC_714_1.4_721_1.3"/>
    <s v="ISEL-1.3"/>
    <n v="108"/>
    <s v="NO TIENE L3OUT"/>
    <n v="20"/>
    <n v="54"/>
  </r>
  <r>
    <n v="788"/>
    <x v="2"/>
    <x v="122"/>
    <s v="eth1/3"/>
    <x v="0"/>
    <x v="0"/>
    <x v="0"/>
    <s v="TO-ITHFHPMEDIRAP01"/>
    <x v="0"/>
    <b v="0"/>
    <s v="No está en VPC"/>
    <n v="788"/>
    <s v="INTPG_VPC_788_1.3-4_789_1.3-4"/>
    <s v="ISEL-1.3"/>
    <n v="2"/>
    <s v="NO TIENE L3OUT"/>
    <n v="4"/>
    <n v="54"/>
  </r>
  <r>
    <n v="732"/>
    <x v="2"/>
    <x v="123"/>
    <s v="eth1/3"/>
    <x v="0"/>
    <x v="0"/>
    <x v="0"/>
    <s v="TO-TESTBED"/>
    <x v="0"/>
    <b v="0"/>
    <s v="No está en VPC"/>
    <n v="732"/>
    <s v="INTPG_VPC_732_1.2-3_733_1.2-3"/>
    <s v="ISEL-1.3"/>
    <n v="3"/>
    <s v="NO TIENE L3OUT"/>
    <n v="0"/>
    <n v="54"/>
  </r>
  <r>
    <n v="720"/>
    <x v="2"/>
    <x v="124"/>
    <s v="eth1/3"/>
    <x v="0"/>
    <x v="0"/>
    <x v="0"/>
    <m/>
    <x v="0"/>
    <b v="0"/>
    <s v="No está en VPC"/>
    <n v="720"/>
    <s v="INTPG-VPC_HDD01_720_1.3_719_1.4"/>
    <s v="ISEL-1.3"/>
    <n v="1"/>
    <s v="NO TIENE L3OUT"/>
    <n v="0"/>
    <n v="54"/>
  </r>
  <r>
    <n v="709"/>
    <x v="2"/>
    <x v="125"/>
    <s v="eth1/3"/>
    <x v="0"/>
    <x v="1"/>
    <x v="5"/>
    <s v="CEM:ITHCEME2DAT02:LOM P1"/>
    <x v="0"/>
    <b v="0"/>
    <s v="No está en VPC"/>
    <n v="709"/>
    <s v="INTPG_VPC_708_1.4_709_1.3"/>
    <s v="ISEL-1.3"/>
    <n v="1"/>
    <s v="NO TIENE L3OUT"/>
    <n v="0"/>
    <n v="54"/>
  </r>
  <r>
    <n v="454"/>
    <x v="1"/>
    <x v="126"/>
    <s v="eth1/3"/>
    <x v="0"/>
    <x v="0"/>
    <x v="0"/>
    <s v="HACIA_CSI-A-OSCP-F4-07_PRINCIPAL"/>
    <x v="4"/>
    <b v="0"/>
    <s v="No está en VPC"/>
    <n v="454"/>
    <s v="INTPG_VPC_454_1.3_456_1.3"/>
    <s v="ISEL-1.3"/>
    <n v="2"/>
    <s v="NO TIENE L3OUT"/>
    <n v="4"/>
    <n v="54"/>
  </r>
  <r>
    <n v="734"/>
    <x v="2"/>
    <x v="127"/>
    <s v="eth1/3"/>
    <x v="0"/>
    <x v="1"/>
    <x v="1"/>
    <s v="CEM_HADOOP"/>
    <x v="5"/>
    <b v="0"/>
    <s v="No está en VPC"/>
    <n v="734"/>
    <s v="INTPG_ACC_734_1.3"/>
    <s v="ISEL-1.3"/>
    <n v="1"/>
    <s v="NO TIENE L3OUT"/>
    <n v="32"/>
    <n v="54"/>
  </r>
  <r>
    <n v="815"/>
    <x v="2"/>
    <x v="128"/>
    <s v="eth1/3"/>
    <x v="0"/>
    <x v="0"/>
    <x v="0"/>
    <s v="A_ITHHPGRLKEN05_Redundante"/>
    <x v="2"/>
    <b v="0"/>
    <s v="No está en VPC"/>
    <n v="815"/>
    <s v="INTPG_VPC_814_1.3_815_1.3"/>
    <s v="ISEL-1.3"/>
    <n v="98"/>
    <s v="NO TIENE L3OUT"/>
    <n v="0"/>
    <n v="42"/>
  </r>
  <r>
    <n v="743"/>
    <x v="2"/>
    <x v="129"/>
    <s v="eth1/3"/>
    <x v="0"/>
    <x v="0"/>
    <x v="0"/>
    <s v="trunk20 Bes-Production"/>
    <x v="0"/>
    <b v="0"/>
    <s v="No está en VPC"/>
    <n v="743"/>
    <s v="INTPG_VPC_743_1.2_3_744_1.2_3"/>
    <s v="ISEL-1.3"/>
    <n v="5"/>
    <s v="NO TIENE L3OUT"/>
    <n v="4"/>
    <n v="54"/>
  </r>
  <r>
    <n v="718"/>
    <x v="2"/>
    <x v="130"/>
    <s v="eth1/3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3"/>
    <x v="0"/>
    <x v="0"/>
    <x v="0"/>
    <s v="trunk20 Bes-Production"/>
    <x v="0"/>
    <b v="0"/>
    <s v="No está en VPC"/>
    <n v="744"/>
    <s v="INTPG_VPC_743_1.2_3_744_1.2_3"/>
    <s v="ISEL-1.3"/>
    <n v="5"/>
    <s v="NO TIENE L3OUT"/>
    <n v="4"/>
    <n v="54"/>
  </r>
  <r>
    <n v="741"/>
    <x v="2"/>
    <x v="132"/>
    <s v="eth1/3"/>
    <x v="0"/>
    <x v="1"/>
    <x v="1"/>
    <s v="CEM:ITHCEMB2DAT02:LOM P3"/>
    <x v="5"/>
    <b v="0"/>
    <s v="No está en VPC"/>
    <n v="741"/>
    <s v="INTPG_ACC_741_1.3"/>
    <s v="ISEL-1.3"/>
    <n v="1"/>
    <s v="NO TIENE L3OUT"/>
    <n v="62"/>
    <n v="54"/>
  </r>
  <r>
    <n v="787"/>
    <x v="2"/>
    <x v="133"/>
    <s v="eth1/3"/>
    <x v="0"/>
    <x v="0"/>
    <x v="0"/>
    <s v="ENIQ F2:itheniqr16bl01nas1r4a:LOM PORT 1"/>
    <x v="0"/>
    <b v="0"/>
    <s v="No está en VPC"/>
    <n v="787"/>
    <s v="INTPG_PC_787_1.3-6"/>
    <s v="ISEL-1.3"/>
    <n v="1"/>
    <s v="NO TIENE L3OUT"/>
    <n v="26"/>
    <n v="54"/>
  </r>
  <r>
    <n v="750"/>
    <x v="2"/>
    <x v="134"/>
    <s v="eth1/3"/>
    <x v="0"/>
    <x v="0"/>
    <x v="0"/>
    <s v="trunk16 Bes-Production"/>
    <x v="0"/>
    <b v="0"/>
    <s v="No está en VPC"/>
    <n v="750"/>
    <s v="INTPG_VPC_750_1.2_3_751_1.2_3"/>
    <s v="ISEL-1.3"/>
    <n v="6"/>
    <s v="NO TIENE L3OUT"/>
    <n v="2"/>
    <n v="54"/>
  </r>
  <r>
    <n v="792"/>
    <x v="2"/>
    <x v="135"/>
    <s v="eth1/3"/>
    <x v="0"/>
    <x v="0"/>
    <x v="0"/>
    <s v="CRM, CBS:TB-R03-F03:E1-10GE 2"/>
    <x v="0"/>
    <b v="0"/>
    <s v="No está en VPC"/>
    <n v="792"/>
    <s v="INTPG_VPC_757_1.3_6_792_1.3_6"/>
    <s v="ISEL-1.3"/>
    <n v="9"/>
    <s v="NO TIENE L3OUT"/>
    <n v="0"/>
    <n v="54"/>
  </r>
  <r>
    <n v="736"/>
    <x v="2"/>
    <x v="136"/>
    <s v="eth1/3"/>
    <x v="0"/>
    <x v="0"/>
    <x v="0"/>
    <s v="CEM:ITHCEMG2DAT02:LOM  P2"/>
    <x v="0"/>
    <b v="0"/>
    <s v="No está en VPC"/>
    <n v="736"/>
    <s v="INTPG_ACC_736_1.3"/>
    <s v="ISEL-1.3"/>
    <n v="1"/>
    <s v="NO TIENE L3OUT"/>
    <n v="48"/>
    <n v="54"/>
  </r>
  <r>
    <n v="799"/>
    <x v="2"/>
    <x v="137"/>
    <s v="eth1/3"/>
    <x v="0"/>
    <x v="0"/>
    <x v="0"/>
    <s v="TO-IMC_PS17-MSP"/>
    <x v="0"/>
    <b v="0"/>
    <s v="No está en VPC"/>
    <n v="799"/>
    <s v="INTPG_ACC_799_1.3"/>
    <s v="ISEL-1.3"/>
    <n v="1"/>
    <s v="NO TIENE L3OUT"/>
    <n v="52"/>
    <n v="54"/>
  </r>
  <r>
    <n v="768"/>
    <x v="2"/>
    <x v="138"/>
    <s v="eth1/3"/>
    <x v="0"/>
    <x v="0"/>
    <x v="0"/>
    <s v="Portchannel_6_R3"/>
    <x v="0"/>
    <b v="0"/>
    <s v="No está en VPC"/>
    <n v="768"/>
    <s v="INTPG_PC_768_1.1-4"/>
    <s v="ISEL-1.3"/>
    <n v="1"/>
    <s v="NO TIENE L3OUT"/>
    <n v="62"/>
    <n v="54"/>
  </r>
  <r>
    <n v="714"/>
    <x v="2"/>
    <x v="139"/>
    <s v="eth1/3"/>
    <x v="0"/>
    <x v="0"/>
    <x v="0"/>
    <m/>
    <x v="0"/>
    <b v="0"/>
    <s v="No está en VPC"/>
    <n v="714"/>
    <s v="INTPG-VPC_HDD59_714_1.3_721_1.4"/>
    <s v="ISEL-1.3"/>
    <n v="2"/>
    <s v="NO TIENE L3OUT"/>
    <n v="20"/>
    <n v="54"/>
  </r>
  <r>
    <n v="717"/>
    <x v="2"/>
    <x v="140"/>
    <s v="eth1/3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3"/>
    <x v="0"/>
    <x v="0"/>
    <x v="0"/>
    <s v="TO-ITHFHPMEDIRAP01"/>
    <x v="0"/>
    <b v="0"/>
    <s v="No está en VPC"/>
    <n v="789"/>
    <s v="INTPG_VPC_788_1.3-4_789_1.3-4"/>
    <s v="ISEL-1.3"/>
    <n v="2"/>
    <s v="NO TIENE L3OUT"/>
    <n v="0"/>
    <n v="54"/>
  </r>
  <r>
    <n v="764"/>
    <x v="2"/>
    <x v="142"/>
    <s v="eth1/3"/>
    <x v="0"/>
    <x v="0"/>
    <x v="0"/>
    <s v="Portchannel_6_R1"/>
    <x v="0"/>
    <b v="0"/>
    <s v="No está en VPC"/>
    <n v="764"/>
    <s v="INTPG_PC_764_1.1-4"/>
    <s v="ISEL-1.3"/>
    <n v="1"/>
    <s v="NO TIENE L3OUT"/>
    <n v="62"/>
    <n v="54"/>
  </r>
  <r>
    <n v="783"/>
    <x v="2"/>
    <x v="143"/>
    <s v="eth1/3"/>
    <x v="0"/>
    <x v="0"/>
    <x v="0"/>
    <s v="LACP_NAS1_ENIQ9A"/>
    <x v="0"/>
    <b v="0"/>
    <s v="No está en VPC"/>
    <n v="783"/>
    <s v="INTPG_PC_783_1.3-6"/>
    <s v="ISEL-1.3"/>
    <n v="1"/>
    <s v="NO TIENE L3OUT"/>
    <n v="26"/>
    <n v="54"/>
  </r>
  <r>
    <n v="774"/>
    <x v="2"/>
    <x v="144"/>
    <s v="eth1/3"/>
    <x v="0"/>
    <x v="0"/>
    <x v="0"/>
    <s v="PAAS:ithhwoscopap018:FlexIO /Pto 1"/>
    <x v="0"/>
    <b v="0"/>
    <s v="No está en VPC"/>
    <n v="774"/>
    <s v="INTPG_VPC_774_1.3_775_1.1"/>
    <s v="ISEL-1.3"/>
    <n v="24"/>
    <s v="NO TIENE L3OUT"/>
    <n v="0"/>
    <n v="54"/>
  </r>
  <r>
    <n v="773"/>
    <x v="2"/>
    <x v="145"/>
    <s v="eth1/3"/>
    <x v="0"/>
    <x v="0"/>
    <x v="0"/>
    <s v="Portchannel_7_R2"/>
    <x v="0"/>
    <b v="0"/>
    <s v="No está en VPC"/>
    <n v="773"/>
    <s v="INTPG_PC_773_1.3-6"/>
    <s v="ISEL-1.3"/>
    <n v="1"/>
    <s v="NO TIENE L3OUT"/>
    <n v="78"/>
    <n v="54"/>
  </r>
  <r>
    <n v="794"/>
    <x v="2"/>
    <x v="146"/>
    <s v="eth1/3"/>
    <x v="0"/>
    <x v="0"/>
    <x v="0"/>
    <s v="DESC"/>
    <x v="0"/>
    <b v="0"/>
    <s v="No está en VPC"/>
    <n v="794"/>
    <s v="INTPG_VPC_793_1.1_3_794_1.1_3"/>
    <s v="ISEL-1.3"/>
    <n v="1"/>
    <s v="NO TIENE L3OUT"/>
    <n v="12"/>
    <n v="54"/>
  </r>
  <r>
    <n v="803"/>
    <x v="2"/>
    <x v="147"/>
    <s v="eth1/3"/>
    <x v="0"/>
    <x v="0"/>
    <x v="0"/>
    <s v="TO-HDPS_29-MSP"/>
    <x v="0"/>
    <b v="0"/>
    <s v="No está en VPC"/>
    <n v="803"/>
    <s v="INTPG_ACC_803_1.3"/>
    <s v="ISEL-1.3"/>
    <n v="1"/>
    <s v="NO TIENE L3OUT"/>
    <n v="48"/>
    <n v="54"/>
  </r>
  <r>
    <n v="786"/>
    <x v="2"/>
    <x v="148"/>
    <s v="eth1/3"/>
    <x v="0"/>
    <x v="0"/>
    <x v="0"/>
    <s v="ENIQ F2:itheniqr14bl01nas1r4b:LOM PORT 1"/>
    <x v="0"/>
    <b v="0"/>
    <s v="No está en VPC"/>
    <n v="786"/>
    <s v="INTPG_PC_786_1.3-6"/>
    <s v="ISEL-1.3"/>
    <n v="1"/>
    <s v="NO TIENE L3OUT"/>
    <n v="26"/>
    <n v="54"/>
  </r>
  <r>
    <n v="757"/>
    <x v="2"/>
    <x v="149"/>
    <s v="eth1/3"/>
    <x v="0"/>
    <x v="0"/>
    <x v="0"/>
    <s v="CRM, CBS:ITHHWTBRK12CH1:E1-10GE 1"/>
    <x v="0"/>
    <b v="0"/>
    <s v="No está en VPC"/>
    <n v="757"/>
    <s v="INTPG_VPC_757_1.3_6_792_1.3_6"/>
    <s v="ISEL-1.3"/>
    <n v="9"/>
    <s v="NO TIENE L3OUT"/>
    <n v="0"/>
    <n v="54"/>
  </r>
  <r>
    <n v="781"/>
    <x v="2"/>
    <x v="150"/>
    <s v="eth1/3"/>
    <x v="0"/>
    <x v="0"/>
    <x v="0"/>
    <s v="LACP_NAS1_ENIQ9C"/>
    <x v="0"/>
    <b v="0"/>
    <s v="No está en VPC"/>
    <n v="781"/>
    <s v="INTPG_PC_781_1.3-6"/>
    <s v="ISEL-1.3"/>
    <n v="1"/>
    <s v="NO TIENE L3OUT"/>
    <n v="26"/>
    <n v="54"/>
  </r>
  <r>
    <n v="793"/>
    <x v="2"/>
    <x v="151"/>
    <s v="eth1/3"/>
    <x v="0"/>
    <x v="0"/>
    <x v="0"/>
    <s v="DESC"/>
    <x v="0"/>
    <b v="0"/>
    <s v="No está en VPC"/>
    <n v="793"/>
    <s v="INTPG_VPC_793_1.1_3_794_1.1_3"/>
    <s v="ISEL-1.3"/>
    <n v="1"/>
    <s v="NO TIENE L3OUT"/>
    <n v="12"/>
    <n v="54"/>
  </r>
  <r>
    <n v="747"/>
    <x v="2"/>
    <x v="152"/>
    <s v="eth1/3"/>
    <x v="0"/>
    <x v="0"/>
    <x v="0"/>
    <s v="PAAS:ithhwoscopap003:LOM PORT 1"/>
    <x v="0"/>
    <b v="0"/>
    <s v="No está en VPC"/>
    <n v="747"/>
    <s v="INTPG_VPC_747_1.3_752_1.3"/>
    <s v="ISEL-1.3"/>
    <n v="25"/>
    <s v="NO TIENE L3OUT"/>
    <n v="0"/>
    <n v="54"/>
  </r>
  <r>
    <n v="784"/>
    <x v="2"/>
    <x v="153"/>
    <s v="eth1/3"/>
    <x v="0"/>
    <x v="0"/>
    <x v="0"/>
    <s v="ENIQ F2:itheniqr12bl01nas1r6b:LOM PORT 1"/>
    <x v="0"/>
    <b v="0"/>
    <s v="No está en VPC"/>
    <n v="784"/>
    <s v="INTPG_PC_784_1.3-6"/>
    <s v="ISEL-1.3"/>
    <n v="1"/>
    <s v="NO TIENE L3OUT"/>
    <n v="26"/>
    <n v="54"/>
  </r>
  <r>
    <n v="806"/>
    <x v="2"/>
    <x v="154"/>
    <s v="eth1/3"/>
    <x v="0"/>
    <x v="0"/>
    <x v="0"/>
    <s v="TO-HDPS_53-MSP"/>
    <x v="0"/>
    <b v="0"/>
    <s v="No está en VPC"/>
    <n v="806"/>
    <s v="INTPG_ACC_806_1.3"/>
    <s v="ISEL-1.3"/>
    <n v="1"/>
    <s v="NO TIENE L3OUT"/>
    <n v="44"/>
    <n v="54"/>
  </r>
  <r>
    <n v="777"/>
    <x v="2"/>
    <x v="155"/>
    <s v="eth1/3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3"/>
    <x v="0"/>
    <x v="0"/>
    <x v="0"/>
    <s v="Portchannel_1_R4A"/>
    <x v="0"/>
    <b v="0"/>
    <s v="No está en VPC"/>
    <n v="770"/>
    <s v="INTPG_PC_770_1.1-4"/>
    <s v="ISEL-1.3"/>
    <n v="2"/>
    <s v="NO TIENE L3OUT"/>
    <n v="60"/>
    <n v="54"/>
  </r>
  <r>
    <n v="813"/>
    <x v="2"/>
    <x v="157"/>
    <s v="eth1/3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3"/>
    <x v="0"/>
    <x v="0"/>
    <x v="0"/>
    <s v="CEM:ITHCEMD2DAT02:LOM P3"/>
    <x v="5"/>
    <b v="0"/>
    <s v="No está en VPC"/>
    <n v="739"/>
    <s v="INTPG_ACC_739_1.3"/>
    <s v="ISEL-1.3"/>
    <n v="1"/>
    <s v="NO TIENE L3OUT"/>
    <n v="72"/>
    <n v="54"/>
  </r>
  <r>
    <n v="775"/>
    <x v="2"/>
    <x v="159"/>
    <s v="eth1/3"/>
    <x v="0"/>
    <x v="0"/>
    <x v="0"/>
    <s v="PAAS:ithhwoscopap017:FlexIO /Pto 1"/>
    <x v="0"/>
    <b v="0"/>
    <s v="No está en VPC"/>
    <n v="775"/>
    <s v="INTPG_VPC_774_1.2_775_1.3"/>
    <s v="ISEL-1.3"/>
    <n v="24"/>
    <s v="NO TIENE L3OUT"/>
    <n v="0"/>
    <n v="54"/>
  </r>
  <r>
    <n v="791"/>
    <x v="2"/>
    <x v="160"/>
    <s v="eth1/3"/>
    <x v="0"/>
    <x v="0"/>
    <x v="0"/>
    <s v="LAGU2020R5"/>
    <x v="0"/>
    <b v="0"/>
    <s v="No está en VPC"/>
    <n v="791"/>
    <s v="INTPG_VPC_790_1.2_4_791_1.1_3"/>
    <s v="ISEL-1.3"/>
    <n v="1"/>
    <s v="NO TIENE L3OUT"/>
    <n v="20"/>
    <n v="54"/>
  </r>
  <r>
    <n v="808"/>
    <x v="2"/>
    <x v="161"/>
    <s v="eth1/3"/>
    <x v="0"/>
    <x v="0"/>
    <x v="0"/>
    <s v="HUECOS DC_S3"/>
    <x v="0"/>
    <b v="0"/>
    <s v="No está en VPC"/>
    <n v="808"/>
    <s v="INTPG_VPC_808_1.1-6_809_1.1-6"/>
    <s v="ISEL-1.3"/>
    <n v="1"/>
    <s v="NO TIENE L3OUT"/>
    <n v="0"/>
    <n v="54"/>
  </r>
  <r>
    <n v="830"/>
    <x v="2"/>
    <x v="162"/>
    <s v="eth1/3"/>
    <x v="0"/>
    <x v="0"/>
    <x v="0"/>
    <s v="LINK_TO_ITHFHWCBSDSUSBD04 /Slot6.2 /Redundante"/>
    <x v="0"/>
    <b v="0"/>
    <s v="No está en VPC"/>
    <n v="830"/>
    <s v="INTPG_VPC_826_1.3_830_1.3"/>
    <s v="ISEL-1.3"/>
    <n v="1"/>
    <s v="NO TIENE L3OUT"/>
    <n v="12"/>
    <n v="54"/>
  </r>
  <r>
    <n v="821"/>
    <x v="2"/>
    <x v="163"/>
    <s v="eth1/3"/>
    <x v="0"/>
    <x v="0"/>
    <x v="0"/>
    <s v="LINK_TO_ITHFHWCBSPSUSBD07 /Slot6.2 /Redundante"/>
    <x v="0"/>
    <b v="0"/>
    <s v="No está en VPC"/>
    <n v="821"/>
    <s v="INTPG_VPC_816_1.3_821_1.3"/>
    <s v="ISEL-1.3"/>
    <n v="1"/>
    <s v="NO TIENE L3OUT"/>
    <n v="0"/>
    <n v="54"/>
  </r>
  <r>
    <n v="738"/>
    <x v="2"/>
    <x v="164"/>
    <s v="eth1/3"/>
    <x v="0"/>
    <x v="0"/>
    <x v="0"/>
    <s v="CEM:ITHCEME2DAT02:LOM P3"/>
    <x v="5"/>
    <b v="0"/>
    <s v="No está en VPC"/>
    <n v="738"/>
    <s v="INTPG_ACC_738_1.3"/>
    <s v="ISEL-1.3"/>
    <n v="1"/>
    <s v="NO TIENE L3OUT"/>
    <n v="72"/>
    <n v="54"/>
  </r>
  <r>
    <n v="820"/>
    <x v="2"/>
    <x v="165"/>
    <s v="eth1/3"/>
    <x v="0"/>
    <x v="0"/>
    <x v="0"/>
    <s v="LINK_TO_ITHHWD6K60015DKC01 /CtrlB_IOM0.P1 /Redundante"/>
    <x v="0"/>
    <b v="0"/>
    <s v="No está en VPC"/>
    <n v="820"/>
    <s v="INTPG_ACC_820_1.3"/>
    <s v="ISEL-1.3"/>
    <n v="1"/>
    <s v="NO TIENE L3OUT"/>
    <n v="72"/>
    <n v="54"/>
  </r>
  <r>
    <n v="804"/>
    <x v="2"/>
    <x v="166"/>
    <s v="eth1/3"/>
    <x v="0"/>
    <x v="0"/>
    <x v="0"/>
    <s v="TO-HDPS_29-MSP"/>
    <x v="0"/>
    <b v="0"/>
    <s v="No está en VPC"/>
    <n v="804"/>
    <s v="INTPG_ACC_804_1.3"/>
    <s v="ISEL-1.3"/>
    <n v="1"/>
    <s v="NO TIENE L3OUT"/>
    <n v="48"/>
    <n v="54"/>
  </r>
  <r>
    <n v="779"/>
    <x v="2"/>
    <x v="167"/>
    <s v="eth1/3"/>
    <x v="0"/>
    <x v="0"/>
    <x v="0"/>
    <s v="ENIQ F1:itheniqr08nas1r3:LOM PORT 1"/>
    <x v="0"/>
    <b v="0"/>
    <s v="No está en VPC"/>
    <n v="779"/>
    <s v="INTPG_PC_779_1.3-6"/>
    <s v="ISEL-1.3"/>
    <n v="1"/>
    <s v="NO TIENE L3OUT"/>
    <n v="30"/>
    <n v="54"/>
  </r>
  <r>
    <n v="767"/>
    <x v="2"/>
    <x v="168"/>
    <s v="eth1/3"/>
    <x v="0"/>
    <x v="0"/>
    <x v="0"/>
    <s v="Portchannel_6_R6B"/>
    <x v="0"/>
    <b v="0"/>
    <s v="No está en VPC"/>
    <n v="767"/>
    <s v="INTPG_PC_767_1.3-6"/>
    <s v="ISEL-1.3"/>
    <n v="1"/>
    <s v="NO TIENE L3OUT"/>
    <n v="60"/>
    <n v="54"/>
  </r>
  <r>
    <n v="827"/>
    <x v="2"/>
    <x v="169"/>
    <s v="eth1/3"/>
    <x v="0"/>
    <x v="0"/>
    <x v="0"/>
    <s v="LINK_TO_ITHFHWCBSDSWR22 /Slot4.2 /Principal"/>
    <x v="0"/>
    <b v="0"/>
    <s v="No está en VPC"/>
    <n v="827"/>
    <s v="INTPG_VPC_827_1.3_831_1.3"/>
    <s v="ISEL-1.3"/>
    <n v="1"/>
    <s v="NO TIENE L3OUT"/>
    <n v="14"/>
    <n v="54"/>
  </r>
  <r>
    <n v="809"/>
    <x v="2"/>
    <x v="170"/>
    <s v="eth1/3"/>
    <x v="0"/>
    <x v="0"/>
    <x v="0"/>
    <s v="HUECOS DC_S3"/>
    <x v="0"/>
    <b v="0"/>
    <s v="No está en VPC"/>
    <n v="809"/>
    <s v="INTPG_VPC_808_1.1-6_809_1.1-6"/>
    <s v="ISEL-1.3"/>
    <n v="1"/>
    <s v="NO TIENE L3OUT"/>
    <n v="0"/>
    <n v="54"/>
  </r>
  <r>
    <n v="771"/>
    <x v="2"/>
    <x v="171"/>
    <s v="eth1/3"/>
    <x v="0"/>
    <x v="0"/>
    <x v="0"/>
    <s v="Portchannel_6_R6B"/>
    <x v="0"/>
    <b v="0"/>
    <s v="No está en VPC"/>
    <n v="771"/>
    <s v="INTPG_PC_771_1.1-4"/>
    <s v="ISEL-1.3"/>
    <n v="2"/>
    <s v="NO TIENE L3OUT"/>
    <n v="62"/>
    <n v="54"/>
  </r>
  <r>
    <n v="761"/>
    <x v="2"/>
    <x v="172"/>
    <s v="eth1/3"/>
    <x v="0"/>
    <x v="1"/>
    <x v="1"/>
    <m/>
    <x v="0"/>
    <b v="0"/>
    <s v="No está en VPC"/>
    <n v="761"/>
    <s v="INTPG_VPC_760_1.1-4_761_1.1-4"/>
    <s v="ISEL-1.3"/>
    <n v="0"/>
    <s v="L3OUT-EXACLOUD"/>
    <n v="0"/>
    <n v="54"/>
  </r>
  <r>
    <n v="776"/>
    <x v="2"/>
    <x v="173"/>
    <s v="eth1/3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3"/>
    <x v="0"/>
    <x v="0"/>
    <x v="0"/>
    <s v="TO-HDPS_53-MSP"/>
    <x v="0"/>
    <b v="0"/>
    <s v="No está en VPC"/>
    <n v="805"/>
    <s v="INTPG_ACC_805_1.3"/>
    <s v="ISEL-1.3"/>
    <n v="1"/>
    <s v="NO TIENE L3OUT"/>
    <n v="44"/>
    <n v="54"/>
  </r>
  <r>
    <n v="772"/>
    <x v="2"/>
    <x v="175"/>
    <s v="eth1/3"/>
    <x v="0"/>
    <x v="0"/>
    <x v="0"/>
    <s v="Portchannel_6_R2"/>
    <x v="0"/>
    <b v="0"/>
    <s v="No está en VPC"/>
    <n v="772"/>
    <s v="INTPG_PC_772_1.1-4"/>
    <s v="ISEL-1.3"/>
    <n v="1"/>
    <s v="NO TIENE L3OUT"/>
    <n v="82"/>
    <n v="54"/>
  </r>
  <r>
    <n v="785"/>
    <x v="2"/>
    <x v="176"/>
    <s v="eth1/3"/>
    <x v="0"/>
    <x v="0"/>
    <x v="0"/>
    <s v="ENIQ F2:itheniqr13bl01nas1r6a:LOM PORT 1"/>
    <x v="0"/>
    <b v="0"/>
    <s v="No está en VPC"/>
    <n v="785"/>
    <s v="INTPG_PC_785_1.3-6"/>
    <s v="ISEL-1.3"/>
    <n v="1"/>
    <s v="NO TIENE L3OUT"/>
    <n v="32"/>
    <n v="54"/>
  </r>
  <r>
    <n v="851"/>
    <x v="2"/>
    <x v="177"/>
    <s v="eth1/3"/>
    <x v="0"/>
    <x v="0"/>
    <x v="0"/>
    <s v="LINK_TO_ITHFHWCRMPLCN101 / Slot7.3_6 / Redundante"/>
    <x v="0"/>
    <b v="0"/>
    <s v="No está en VPC"/>
    <n v="851"/>
    <s v="INTPG_ACC_851_1.3"/>
    <s v="ISEL-1.3"/>
    <n v="1"/>
    <s v="NO TIENE L3OUT"/>
    <n v="282"/>
    <n v="54"/>
  </r>
  <r>
    <n v="798"/>
    <x v="2"/>
    <x v="178"/>
    <s v="eth1/3"/>
    <x v="0"/>
    <x v="0"/>
    <x v="0"/>
    <s v="TO-IMC_PS17-MSP"/>
    <x v="0"/>
    <b v="0"/>
    <s v="No está en VPC"/>
    <n v="798"/>
    <s v="INTPG_ACC_798_1.3"/>
    <s v="ISEL-1.3"/>
    <n v="1"/>
    <s v="NO TIENE L3OUT"/>
    <n v="52"/>
    <n v="54"/>
  </r>
  <r>
    <n v="782"/>
    <x v="2"/>
    <x v="179"/>
    <s v="eth1/3"/>
    <x v="0"/>
    <x v="0"/>
    <x v="0"/>
    <s v="LACP_NAS1_ENIQ9B"/>
    <x v="0"/>
    <b v="0"/>
    <s v="No está en VPC"/>
    <n v="782"/>
    <s v="INTPG_PC_782_1.3-6"/>
    <s v="ISEL-1.3"/>
    <n v="1"/>
    <s v="NO TIENE L3OUT"/>
    <n v="32"/>
    <n v="54"/>
  </r>
  <r>
    <n v="852"/>
    <x v="2"/>
    <x v="180"/>
    <s v="eth1/3"/>
    <x v="0"/>
    <x v="0"/>
    <x v="0"/>
    <s v="LINK_TO_ITHFHWCRMPLCN117 / Slot7.1_38 / Redundante"/>
    <x v="0"/>
    <b v="0"/>
    <s v="No está en VPC"/>
    <n v="852"/>
    <s v="INTPG_ACC_852_1.3"/>
    <s v="ISEL-1.3"/>
    <n v="6"/>
    <s v="NO TIENE L3OUT"/>
    <n v="258"/>
    <n v="54"/>
  </r>
  <r>
    <n v="817"/>
    <x v="2"/>
    <x v="181"/>
    <s v="eth1/3"/>
    <x v="0"/>
    <x v="0"/>
    <x v="0"/>
    <s v="LINK_TO_ITHFHWCBSPSWR22 /Slot4.2 /Principal"/>
    <x v="0"/>
    <b v="0"/>
    <s v="No está en VPC"/>
    <n v="817"/>
    <s v="INTPG_VPC_817_1.3_822_1.3"/>
    <s v="ISEL-1.3"/>
    <n v="1"/>
    <s v="NO TIENE L3OUT"/>
    <n v="0"/>
    <n v="54"/>
  </r>
  <r>
    <n v="832"/>
    <x v="2"/>
    <x v="182"/>
    <s v="eth1/3"/>
    <x v="0"/>
    <x v="0"/>
    <x v="0"/>
    <s v="LINK_TO_ITHFHWCBSDSWR32 /Slot6.2 /Redundante"/>
    <x v="0"/>
    <b v="0"/>
    <s v="No está en VPC"/>
    <n v="832"/>
    <s v="INTPG_VPC_828_1.3_832_1.3"/>
    <s v="ISEL-1.3"/>
    <n v="1"/>
    <s v="NO TIENE L3OUT"/>
    <n v="192"/>
    <n v="54"/>
  </r>
  <r>
    <n v="816"/>
    <x v="2"/>
    <x v="183"/>
    <s v="eth1/3"/>
    <x v="0"/>
    <x v="0"/>
    <x v="0"/>
    <s v="LINK_TO_ITHFHWCBSPSUSBD07 /Slot4.2 /Principal"/>
    <x v="0"/>
    <b v="0"/>
    <s v="No está en VPC"/>
    <n v="816"/>
    <s v="INTPG_VPC_816_1.3_821_1.3"/>
    <s v="ISEL-1.3"/>
    <n v="1"/>
    <s v="NO TIENE L3OUT"/>
    <n v="0"/>
    <n v="54"/>
  </r>
  <r>
    <n v="825"/>
    <x v="2"/>
    <x v="184"/>
    <s v="eth1/3"/>
    <x v="0"/>
    <x v="0"/>
    <x v="0"/>
    <s v="LINK_TO_ITHHWD6K60015DKC01 /CtrlB_IOM0.P0 /Principal"/>
    <x v="0"/>
    <b v="0"/>
    <s v="No está en VPC"/>
    <n v="825"/>
    <s v="INTPG_ACC_825_1.3"/>
    <s v="ISEL-1.3"/>
    <n v="1"/>
    <s v="NO TIENE L3OUT"/>
    <n v="72"/>
    <n v="54"/>
  </r>
  <r>
    <n v="800"/>
    <x v="2"/>
    <x v="185"/>
    <s v="eth1/3"/>
    <x v="0"/>
    <x v="0"/>
    <x v="0"/>
    <s v="TO-DSS_01-MSP"/>
    <x v="0"/>
    <b v="0"/>
    <s v="No está en VPC"/>
    <n v="800"/>
    <s v="INTPG_ACC_800_1.3"/>
    <s v="ISEL-1.3"/>
    <n v="1"/>
    <s v="NO TIENE L3OUT"/>
    <n v="78"/>
    <n v="54"/>
  </r>
  <r>
    <n v="801"/>
    <x v="2"/>
    <x v="186"/>
    <s v="eth1/3"/>
    <x v="0"/>
    <x v="0"/>
    <x v="0"/>
    <s v="TO-DSS_01-MSP"/>
    <x v="0"/>
    <b v="0"/>
    <s v="No está en VPC"/>
    <n v="801"/>
    <s v="INTPG_ACC_801_1.3"/>
    <s v="ISEL-1.3"/>
    <n v="1"/>
    <s v="NO TIENE L3OUT"/>
    <n v="78"/>
    <n v="54"/>
  </r>
  <r>
    <n v="823"/>
    <x v="2"/>
    <x v="187"/>
    <s v="eth1/3"/>
    <x v="0"/>
    <x v="0"/>
    <x v="0"/>
    <s v="LINK_TO_ITHFHWCBSPSWR30 /Slot6.2 /Redundante"/>
    <x v="0"/>
    <b v="0"/>
    <s v="No está en VPC"/>
    <n v="823"/>
    <s v="INTPG_VPC_818_1.3_823_1.3"/>
    <s v="ISEL-1.3"/>
    <n v="1"/>
    <s v="NO TIENE L3OUT"/>
    <n v="8"/>
    <n v="54"/>
  </r>
  <r>
    <n v="837"/>
    <x v="2"/>
    <x v="188"/>
    <s v="eth1/3"/>
    <x v="0"/>
    <x v="0"/>
    <x v="0"/>
    <s v="LINK_TO_ITHFHWCBSPSHDCTL05 / Slot1.2_12 / Principal"/>
    <x v="0"/>
    <b v="0"/>
    <s v="No está en VPC"/>
    <n v="837"/>
    <s v="INTPG_VPC_837_1.3_842_1.3"/>
    <s v="ISEL-1.3"/>
    <n v="1"/>
    <s v="NO TIENE L3OUT"/>
    <n v="8"/>
    <n v="54"/>
  </r>
  <r>
    <n v="867"/>
    <x v="2"/>
    <x v="189"/>
    <s v="eth1/3"/>
    <x v="0"/>
    <x v="0"/>
    <x v="0"/>
    <s v="To_VPC_2DCBSD_WR38_2"/>
    <x v="0"/>
    <b v="0"/>
    <s v="No está en VPC"/>
    <n v="867"/>
    <s v="INTPG_VPC_862_1.3_867_1.3"/>
    <s v="ISEL-1.3"/>
    <n v="1"/>
    <s v="NO TIENE L3OUT"/>
    <n v="44"/>
    <n v="54"/>
  </r>
  <r>
    <n v="829"/>
    <x v="2"/>
    <x v="190"/>
    <s v="eth1/3"/>
    <x v="0"/>
    <x v="0"/>
    <x v="0"/>
    <s v="LINK_TO_ITHFHWCRMDLCN28 /Slot6.2 /Redundante"/>
    <x v="0"/>
    <b v="0"/>
    <s v="No está en VPC"/>
    <n v="829"/>
    <s v="INTPG_ACC_829_1.3"/>
    <s v="ISEL-1.3"/>
    <n v="1"/>
    <s v="NO TIENE L3OUT"/>
    <n v="224"/>
    <n v="54"/>
  </r>
  <r>
    <n v="831"/>
    <x v="2"/>
    <x v="191"/>
    <s v="eth1/3"/>
    <x v="0"/>
    <x v="0"/>
    <x v="0"/>
    <s v="LINK_TO_ITHFHWCBSDSWR22 /Slot6.2 /Redundante"/>
    <x v="0"/>
    <b v="0"/>
    <s v="No está en VPC"/>
    <n v="831"/>
    <s v="INTPG_VPC_827_1.3_831_1.3"/>
    <s v="ISEL-1.3"/>
    <n v="1"/>
    <s v="NO TIENE L3OUT"/>
    <n v="14"/>
    <n v="54"/>
  </r>
  <r>
    <n v="802"/>
    <x v="2"/>
    <x v="192"/>
    <s v="eth1/3"/>
    <x v="0"/>
    <x v="0"/>
    <x v="0"/>
    <s v="TO-HDPS_05-MSP"/>
    <x v="0"/>
    <b v="0"/>
    <s v="No está en VPC"/>
    <n v="802"/>
    <s v="INTPG_ACC_802_1.3"/>
    <s v="ISEL-1.3"/>
    <n v="1"/>
    <s v="NO TIENE L3OUT"/>
    <n v="48"/>
    <n v="54"/>
  </r>
  <r>
    <n v="835"/>
    <x v="2"/>
    <x v="193"/>
    <s v="eth1/3"/>
    <x v="0"/>
    <x v="0"/>
    <x v="0"/>
    <s v="LINK_TO_ITHFHWCBSPSUSBD36 / Slot1.3_8 / Principal"/>
    <x v="0"/>
    <b v="0"/>
    <s v="No está en VPC"/>
    <n v="835"/>
    <s v="INTPG_VPC_835_1.3_840_1.3"/>
    <s v="ISEL-1.3"/>
    <n v="1"/>
    <s v="NO TIENE L3OUT"/>
    <n v="8"/>
    <n v="54"/>
  </r>
  <r>
    <n v="822"/>
    <x v="2"/>
    <x v="194"/>
    <s v="eth1/3"/>
    <x v="0"/>
    <x v="0"/>
    <x v="0"/>
    <s v="LINK_TO_ITHFHWCBSPSWR22 /Slot6.2 /Redundante"/>
    <x v="0"/>
    <b v="0"/>
    <s v="No está en VPC"/>
    <n v="822"/>
    <s v="INTPG_VPC_817_1.3_822_1.3"/>
    <s v="ISEL-1.3"/>
    <n v="1"/>
    <s v="NO TIENE L3OUT"/>
    <n v="0"/>
    <n v="54"/>
  </r>
  <r>
    <n v="854"/>
    <x v="2"/>
    <x v="195"/>
    <s v="eth1/3"/>
    <x v="0"/>
    <x v="0"/>
    <x v="0"/>
    <s v="LINK_TO_ITHFHWCRMPSBDA05 / Slot7.3_4 / Redundante"/>
    <x v="0"/>
    <b v="0"/>
    <s v="No está en VPC"/>
    <n v="854"/>
    <s v="INTPG_VPC_847_1.3_854_1.3"/>
    <s v="ISEL-1.3"/>
    <n v="1"/>
    <s v="NO TIENE L3OUT"/>
    <n v="204"/>
    <n v="54"/>
  </r>
  <r>
    <n v="858"/>
    <x v="2"/>
    <x v="196"/>
    <s v="eth1/3"/>
    <x v="0"/>
    <x v="0"/>
    <x v="0"/>
    <s v="To_VPC_2DCBSD_HD37_3"/>
    <x v="0"/>
    <b v="0"/>
    <s v="No está en VPC"/>
    <n v="858"/>
    <s v="INTPG_VPC_858_1.3_863_1.3"/>
    <s v="ISEL-1.3"/>
    <n v="1"/>
    <s v="NO TIENE L3OUT"/>
    <n v="8"/>
    <n v="54"/>
  </r>
  <r>
    <n v="857"/>
    <x v="2"/>
    <x v="197"/>
    <s v="eth1/3"/>
    <x v="0"/>
    <x v="0"/>
    <x v="0"/>
    <s v="LINK_TO_ITHFHWCRMPLCN151 / Slot1.2_36 / Principal"/>
    <x v="0"/>
    <b v="0"/>
    <s v="No está en VPC"/>
    <n v="857"/>
    <s v="INTPG_ACC_857_1.3"/>
    <s v="ISEL-1.3"/>
    <n v="2"/>
    <s v="NO TIENE L3OUT"/>
    <n v="288"/>
    <n v="54"/>
  </r>
  <r>
    <n v="859"/>
    <x v="2"/>
    <x v="198"/>
    <s v="eth1/3"/>
    <x v="0"/>
    <x v="0"/>
    <x v="0"/>
    <s v="To_VPC_2DCBSD_HD31_3"/>
    <x v="0"/>
    <b v="0"/>
    <s v="No está en VPC"/>
    <n v="859"/>
    <s v="INTPG_VPC_859_1.3_864_1.3"/>
    <s v="ISEL-1.3"/>
    <n v="1"/>
    <s v="NO TIENE L3OUT"/>
    <n v="0"/>
    <n v="54"/>
  </r>
  <r>
    <n v="833"/>
    <x v="2"/>
    <x v="199"/>
    <s v="eth1/3"/>
    <x v="0"/>
    <x v="0"/>
    <x v="0"/>
    <s v="LINK_TO_ITHFHWCRMDLCN28 /Slot4.2 /Principal"/>
    <x v="0"/>
    <b v="0"/>
    <s v="No está en VPC"/>
    <n v="833"/>
    <s v="INTPG_ACC_833_1.3"/>
    <s v="ISEL-1.3"/>
    <n v="1"/>
    <s v="NO TIENE L3OUT"/>
    <n v="224"/>
    <n v="54"/>
  </r>
  <r>
    <n v="818"/>
    <x v="2"/>
    <x v="200"/>
    <s v="eth1/3"/>
    <x v="0"/>
    <x v="0"/>
    <x v="0"/>
    <s v="LINK_TO_ITHFHWCBSPSWR30 /Slot4.2 /Principal"/>
    <x v="0"/>
    <b v="0"/>
    <s v="No está en VPC"/>
    <n v="818"/>
    <s v="INTPG_VPC_818_1.3_823_1.3"/>
    <s v="ISEL-1.3"/>
    <n v="1"/>
    <s v="NO TIENE L3OUT"/>
    <n v="8"/>
    <n v="54"/>
  </r>
  <r>
    <n v="850"/>
    <x v="2"/>
    <x v="201"/>
    <s v="eth1/3"/>
    <x v="0"/>
    <x v="0"/>
    <x v="0"/>
    <s v="LINK_TO_ITHFHWCRMPLCN151 / Slot7.2_36 / Redundante"/>
    <x v="0"/>
    <b v="0"/>
    <s v="No está en VPC"/>
    <n v="850"/>
    <s v="INTPG_ACC_850_1.3"/>
    <s v="ISEL-1.3"/>
    <n v="2"/>
    <s v="NO TIENE L3OUT"/>
    <n v="288"/>
    <n v="54"/>
  </r>
  <r>
    <n v="860"/>
    <x v="2"/>
    <x v="202"/>
    <s v="eth1/3"/>
    <x v="0"/>
    <x v="0"/>
    <x v="0"/>
    <s v="To_VPC_2DCBSD_WR52_3"/>
    <x v="0"/>
    <b v="0"/>
    <s v="No está en VPC"/>
    <n v="860"/>
    <s v="INTPG_VPC_860_1.3_865_1.3"/>
    <s v="ISEL-1.3"/>
    <n v="1"/>
    <s v="NO TIENE L3OUT"/>
    <n v="0"/>
    <n v="54"/>
  </r>
  <r>
    <n v="853"/>
    <x v="2"/>
    <x v="203"/>
    <s v="eth1/3"/>
    <x v="0"/>
    <x v="0"/>
    <x v="0"/>
    <s v="VPC_2DCRMP_BDP06_1"/>
    <x v="0"/>
    <b v="0"/>
    <s v="No está en VPC"/>
    <n v="853"/>
    <s v="INTPG_VPC_846_1.3_853_1.3"/>
    <s v="ISEL-1.3"/>
    <n v="6"/>
    <s v="NO TIENE L3OUT"/>
    <n v="242"/>
    <n v="54"/>
  </r>
  <r>
    <n v="790"/>
    <x v="2"/>
    <x v="204"/>
    <s v="eth1/3"/>
    <x v="0"/>
    <x v="0"/>
    <x v="0"/>
    <s v="LAGU2020R8"/>
    <x v="0"/>
    <b v="0"/>
    <s v="No está en VPC"/>
    <n v="790"/>
    <s v="INTPG_VPC_790_1.1_3_791_1.2_4"/>
    <s v="ISEL-1.3"/>
    <n v="1"/>
    <s v="NO TIENE L3OUT"/>
    <n v="20"/>
    <n v="54"/>
  </r>
  <r>
    <n v="105"/>
    <x v="0"/>
    <x v="205"/>
    <s v="eth1/3"/>
    <x v="0"/>
    <x v="1"/>
    <x v="1"/>
    <s v="DESC"/>
    <x v="6"/>
    <b v="0"/>
    <s v="No está en VPC"/>
    <n v="105"/>
    <s v="INTPG_PC_105_1.1-4_32-35"/>
    <s v="ISEL-1.3"/>
    <n v="17"/>
    <s v="NO TIENE L3OUT"/>
    <n v="106"/>
    <n v="96"/>
  </r>
  <r>
    <n v="117"/>
    <x v="0"/>
    <x v="206"/>
    <s v="eth1/3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3"/>
    <x v="0"/>
    <x v="1"/>
    <x v="1"/>
    <s v="SFLDI"/>
    <x v="6"/>
    <b v="0"/>
    <s v="No está en VPC"/>
    <n v="104"/>
    <s v="INTPG_ACC_104_1.3"/>
    <s v="ISEL-1.3"/>
    <n v="1"/>
    <s v="NO TIENE L3OUT"/>
    <n v="194"/>
    <n v="96"/>
  </r>
  <r>
    <n v="158"/>
    <x v="0"/>
    <x v="208"/>
    <s v="eth1/3"/>
    <x v="0"/>
    <x v="0"/>
    <x v="0"/>
    <s v="ARIESO_GEOLOCALIZACION"/>
    <x v="6"/>
    <b v="0"/>
    <s v="No está en VPC"/>
    <n v="158"/>
    <s v="INTPG_ACC_158_1.3"/>
    <s v="ISEL-1.3"/>
    <n v="1"/>
    <s v="NO TIENE L3OUT"/>
    <n v="30"/>
    <n v="96"/>
  </r>
  <r>
    <n v="875"/>
    <x v="2"/>
    <x v="209"/>
    <s v="eth1/3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3"/>
    <x v="0"/>
    <x v="0"/>
    <x v="0"/>
    <s v="HACIA_CSI-A-OSCP-F4-11_PRINCIPAL"/>
    <x v="4"/>
    <b v="0"/>
    <s v="No está en VPC"/>
    <n v="879"/>
    <s v="INTPG_VPC_878_1.3_879_1.3"/>
    <s v="ISEL-1.3"/>
    <n v="2"/>
    <s v="NO TIENE L3OUT"/>
    <n v="0"/>
    <n v="54"/>
  </r>
  <r>
    <n v="108"/>
    <x v="0"/>
    <x v="211"/>
    <s v="eth1/3"/>
    <x v="1"/>
    <x v="1"/>
    <x v="2"/>
    <m/>
    <x v="6"/>
    <b v="0"/>
    <s v="No está en VPC"/>
    <n v="108"/>
    <s v="INTPG_ACC_108_1.3"/>
    <s v="ISEL-1.3"/>
    <n v="5"/>
    <s v="NO TIENE L3OUT"/>
    <n v="126"/>
    <n v="96"/>
  </r>
  <r>
    <n v="112"/>
    <x v="0"/>
    <x v="212"/>
    <s v="eth1/3"/>
    <x v="1"/>
    <x v="1"/>
    <x v="2"/>
    <s v="NPG_2"/>
    <x v="6"/>
    <b v="0"/>
    <s v="No está en VPC"/>
    <n v="112"/>
    <s v="INTPG_ACC_112_1.3"/>
    <s v="ISEL-1.3"/>
    <n v="1"/>
    <s v="NO TIENE L3OUT"/>
    <n v="144"/>
    <n v="96"/>
  </r>
  <r>
    <n v="107"/>
    <x v="0"/>
    <x v="213"/>
    <s v="eth1/3"/>
    <x v="0"/>
    <x v="1"/>
    <x v="1"/>
    <s v="Consolidaci\u00f3n Aseguramiento de Ingresos "/>
    <x v="6"/>
    <b v="0"/>
    <s v="No está en VPC"/>
    <n v="107"/>
    <s v="INTPG_ACC_107_1.3"/>
    <s v="ISEL-1.3"/>
    <n v="1"/>
    <s v="NO TIENE L3OUT"/>
    <n v="118"/>
    <n v="96"/>
  </r>
  <r>
    <n v="109"/>
    <x v="0"/>
    <x v="214"/>
    <s v="eth1/3"/>
    <x v="0"/>
    <x v="1"/>
    <x v="1"/>
    <s v="File System AM"/>
    <x v="6"/>
    <b v="0"/>
    <s v="No está en VPC"/>
    <n v="109"/>
    <s v="INTPG_ACC_109_1.3"/>
    <s v="ISEL-1.3"/>
    <n v="5"/>
    <s v="NO TIENE L3OUT"/>
    <n v="126"/>
    <n v="96"/>
  </r>
  <r>
    <n v="113"/>
    <x v="0"/>
    <x v="215"/>
    <s v="eth1/3"/>
    <x v="0"/>
    <x v="0"/>
    <x v="0"/>
    <s v="ASAP"/>
    <x v="6"/>
    <b v="0"/>
    <s v="No está en VPC"/>
    <n v="113"/>
    <s v="INTPG_ACC_113_1.3"/>
    <s v="ISEL-1.3"/>
    <n v="1"/>
    <s v="NO TIENE L3OUT"/>
    <n v="52"/>
    <n v="96"/>
  </r>
  <r>
    <n v="114"/>
    <x v="0"/>
    <x v="216"/>
    <s v="eth1/3"/>
    <x v="1"/>
    <x v="1"/>
    <x v="2"/>
    <s v="NPG_2"/>
    <x v="6"/>
    <b v="0"/>
    <s v="No está en VPC"/>
    <n v="114"/>
    <s v="INTPG_ACC_114_1.3"/>
    <s v="ISEL-1.3"/>
    <n v="1"/>
    <s v="NO TIENE L3OUT"/>
    <n v="144"/>
    <n v="96"/>
  </r>
  <r>
    <n v="124"/>
    <x v="0"/>
    <x v="217"/>
    <s v="eth1/3"/>
    <x v="0"/>
    <x v="0"/>
    <x v="0"/>
    <s v="GSM_OSS_QRO_R6"/>
    <x v="6"/>
    <b v="0"/>
    <s v="No está en VPC"/>
    <n v="124"/>
    <s v="INTPG_VPC_124_1.3_125_1.2"/>
    <s v="ISEL-1.3"/>
    <n v="10"/>
    <s v="NO TIENE L3OUT"/>
    <n v="80"/>
    <n v="96"/>
  </r>
  <r>
    <n v="118"/>
    <x v="0"/>
    <x v="218"/>
    <s v="eth1/3"/>
    <x v="0"/>
    <x v="1"/>
    <x v="1"/>
    <s v="ASAP BATCH"/>
    <x v="6"/>
    <b v="0"/>
    <s v="No está en VPC"/>
    <n v="118"/>
    <s v="INTPG_ACC_118_1.3"/>
    <s v="ISEL-1.3"/>
    <n v="1"/>
    <s v="NO TIENE L3OUT"/>
    <n v="180"/>
    <n v="96"/>
  </r>
  <r>
    <n v="159"/>
    <x v="0"/>
    <x v="219"/>
    <s v="eth1/3"/>
    <x v="0"/>
    <x v="1"/>
    <x v="1"/>
    <s v="TRAP"/>
    <x v="6"/>
    <b v="0"/>
    <s v="No está en VPC"/>
    <n v="159"/>
    <s v="INTPG_PC_159_1.2-7"/>
    <s v="ISEL-1.3"/>
    <n v="12"/>
    <s v="NO TIENE L3OUT"/>
    <n v="72"/>
    <n v="96"/>
  </r>
  <r>
    <n v="840"/>
    <x v="2"/>
    <x v="220"/>
    <s v="eth1/3"/>
    <x v="0"/>
    <x v="0"/>
    <x v="0"/>
    <s v="LINK_TO_ITHFHWCBSPSUSBD36 / Slot7.3_8 / Redundante"/>
    <x v="0"/>
    <b v="0"/>
    <s v="No está en VPC"/>
    <n v="840"/>
    <s v="INTPG_VPC_835_1.3_840_1.3"/>
    <s v="ISEL-1.3"/>
    <n v="1"/>
    <s v="NO TIENE L3OUT"/>
    <n v="8"/>
    <n v="54"/>
  </r>
  <r>
    <n v="856"/>
    <x v="2"/>
    <x v="221"/>
    <s v="eth1/3"/>
    <x v="0"/>
    <x v="0"/>
    <x v="0"/>
    <s v="LINK_TO_ITHFHWCRMPLCN135 / Slot1.2_4 / Principal"/>
    <x v="0"/>
    <b v="0"/>
    <s v="No está en VPC"/>
    <n v="856"/>
    <s v="INTPG_ACC_856_1.3"/>
    <s v="ISEL-1.3"/>
    <n v="2"/>
    <s v="NO TIENE L3OUT"/>
    <n v="286"/>
    <n v="54"/>
  </r>
  <r>
    <n v="110"/>
    <x v="0"/>
    <x v="222"/>
    <s v="eth1/3"/>
    <x v="0"/>
    <x v="1"/>
    <x v="8"/>
    <s v="OCUDR_1"/>
    <x v="6"/>
    <b v="0"/>
    <s v="No está en VPC"/>
    <n v="110"/>
    <s v="INTPG_ACC_110_1.3"/>
    <s v="ISEL-1.3"/>
    <n v="1"/>
    <s v="NO TIENE L3OUT"/>
    <n v="102"/>
    <n v="96"/>
  </r>
  <r>
    <n v="163"/>
    <x v="0"/>
    <x v="223"/>
    <s v="eth1/3"/>
    <x v="0"/>
    <x v="0"/>
    <x v="0"/>
    <s v="IBM SICOD"/>
    <x v="6"/>
    <b v="0"/>
    <s v="No está en VPC"/>
    <n v="163"/>
    <s v="INTPG_ACC_163_1.3"/>
    <s v="ISEL-1.3"/>
    <n v="1"/>
    <s v="NO TIENE L3OUT"/>
    <n v="140"/>
    <n v="96"/>
  </r>
  <r>
    <n v="407"/>
    <x v="1"/>
    <x v="224"/>
    <s v="eth1/3"/>
    <x v="0"/>
    <x v="0"/>
    <x v="0"/>
    <s v="RLR2ARI02"/>
    <x v="6"/>
    <b v="0"/>
    <s v="No está en VPC"/>
    <n v="407"/>
    <s v="INTPG_ACC_407_1.3"/>
    <s v="ISEL-1.3"/>
    <n v="1"/>
    <s v="NO TIENE L3OUT"/>
    <n v="122"/>
    <n v="96"/>
  </r>
  <r>
    <n v="171"/>
    <x v="0"/>
    <x v="225"/>
    <s v="eth1/3"/>
    <x v="0"/>
    <x v="1"/>
    <x v="1"/>
    <s v="GSM_ENIQ_GDL"/>
    <x v="6"/>
    <b v="0"/>
    <s v="No está en VPC"/>
    <n v="171"/>
    <s v="INTPG_ACC_171_1.3"/>
    <s v="ISEL-1.3"/>
    <n v="1"/>
    <s v="NO TIENE L3OUT"/>
    <n v="114"/>
    <n v="96"/>
  </r>
  <r>
    <n v="421"/>
    <x v="1"/>
    <x v="226"/>
    <s v="eth1/3"/>
    <x v="0"/>
    <x v="0"/>
    <x v="0"/>
    <s v="Prime-UCS-CLU1-A_client_LAG3_CISCOPRIME"/>
    <x v="6"/>
    <b v="0"/>
    <s v="No está en VPC"/>
    <n v="421"/>
    <s v="INTPG_VPC_419_1.3_421_1.3"/>
    <s v="ISEL-1.3"/>
    <n v="3"/>
    <s v="NO TIENE L3OUT"/>
    <n v="72"/>
    <n v="96"/>
  </r>
  <r>
    <n v="173"/>
    <x v="0"/>
    <x v="227"/>
    <s v="eth1/3"/>
    <x v="0"/>
    <x v="1"/>
    <x v="1"/>
    <s v="Storage"/>
    <x v="6"/>
    <b v="0"/>
    <s v="No está en VPC"/>
    <n v="173"/>
    <s v="INTPG_ACC_173_1.3"/>
    <s v="ISEL-1.3"/>
    <n v="1"/>
    <s v="NO TIENE L3OUT"/>
    <n v="66"/>
    <n v="96"/>
  </r>
  <r>
    <n v="154"/>
    <x v="0"/>
    <x v="228"/>
    <s v="eth1/3"/>
    <x v="0"/>
    <x v="1"/>
    <x v="1"/>
    <s v="SEGURIDAD OPERATIVA"/>
    <x v="6"/>
    <b v="0"/>
    <s v="No está en VPC"/>
    <n v="154"/>
    <s v="INTPG_ACC_154_1.3"/>
    <s v="ISEL-1.3"/>
    <n v="1"/>
    <s v="NO TIENE L3OUT"/>
    <n v="62"/>
    <n v="96"/>
  </r>
  <r>
    <n v="172"/>
    <x v="0"/>
    <x v="229"/>
    <s v="eth1/3"/>
    <x v="0"/>
    <x v="0"/>
    <x v="0"/>
    <s v="GSM_ENIQ_GDL_R6"/>
    <x v="6"/>
    <b v="0"/>
    <s v="No está en VPC"/>
    <n v="172"/>
    <s v="INTPG_VPC_171_1.2_172_1.3"/>
    <s v="ISEL-1.3"/>
    <n v="10"/>
    <s v="NO TIENE L3OUT"/>
    <n v="104"/>
    <n v="96"/>
  </r>
  <r>
    <n v="420"/>
    <x v="1"/>
    <x v="230"/>
    <s v="eth1/3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3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3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3"/>
    <x v="0"/>
    <x v="1"/>
    <x v="1"/>
    <s v="SFLDI:RLDIWEB03:1"/>
    <x v="6"/>
    <b v="0"/>
    <s v="No está en VPC"/>
    <n v="102"/>
    <s v="INTPG_ACC_102_1.3"/>
    <s v="ISEL-1.3"/>
    <n v="1"/>
    <s v="NO TIENE L3OUT"/>
    <n v="228"/>
    <n v="96"/>
  </r>
  <r>
    <n v="863"/>
    <x v="2"/>
    <x v="234"/>
    <s v="eth1/3"/>
    <x v="0"/>
    <x v="0"/>
    <x v="0"/>
    <s v="To_VPC_2DCBSD_HD37_3"/>
    <x v="0"/>
    <b v="0"/>
    <s v="No está en VPC"/>
    <n v="863"/>
    <s v="INTPG_VPC_858_1.3_863_1.3"/>
    <s v="ISEL-1.3"/>
    <n v="1"/>
    <s v="NO TIENE L3OUT"/>
    <n v="8"/>
    <n v="54"/>
  </r>
  <r>
    <n v="876"/>
    <x v="2"/>
    <x v="235"/>
    <s v="eth1/3"/>
    <x v="0"/>
    <x v="0"/>
    <x v="0"/>
    <s v="LINK_TO_ITHFHWSEQLHDPS72 / Slot 4 PTO 1 / Principal"/>
    <x v="4"/>
    <b v="0"/>
    <s v="No está en VPC"/>
    <n v="876"/>
    <s v="INTPG_ACC_876_1.3"/>
    <s v="ISEL-1.3"/>
    <n v="1"/>
    <s v="NO TIENE L3OUT"/>
    <n v="92"/>
    <n v="54"/>
  </r>
  <r>
    <n v="877"/>
    <x v="2"/>
    <x v="236"/>
    <s v="eth1/3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3"/>
    <x v="0"/>
    <x v="0"/>
    <x v="0"/>
    <s v="RACK2-NZTF24"/>
    <x v="6"/>
    <b v="0"/>
    <s v="No está en VPC"/>
    <n v="122"/>
    <s v="INTPG_ACC_122_1.3"/>
    <s v="ISEL-1.3"/>
    <n v="1"/>
    <s v="NO TIENE L3OUT"/>
    <n v="148"/>
    <n v="96"/>
  </r>
  <r>
    <n v="157"/>
    <x v="0"/>
    <x v="238"/>
    <s v="eth1/3"/>
    <x v="1"/>
    <x v="1"/>
    <x v="2"/>
    <s v="Circulo Azul M5000"/>
    <x v="6"/>
    <b v="0"/>
    <s v="No está en VPC"/>
    <n v="157"/>
    <s v="INTPG_ACC_157_1.3"/>
    <s v="ISEL-1.3"/>
    <n v="1"/>
    <s v="NO TIENE L3OUT"/>
    <n v="202"/>
    <n v="96"/>
  </r>
  <r>
    <n v="408"/>
    <x v="1"/>
    <x v="239"/>
    <s v="eth1/3"/>
    <x v="1"/>
    <x v="1"/>
    <x v="2"/>
    <m/>
    <x v="6"/>
    <b v="0"/>
    <s v="No está en VPC"/>
    <n v="408"/>
    <s v="NO EXISTE PG"/>
    <s v="NO EXISTE ISEL"/>
    <n v="0"/>
    <s v="NO TIENE L3OUT"/>
    <n v="152"/>
    <n v="96"/>
  </r>
  <r>
    <n v="405"/>
    <x v="1"/>
    <x v="240"/>
    <s v="eth1/3"/>
    <x v="0"/>
    <x v="0"/>
    <x v="0"/>
    <s v="IXT_ARIESO4_LDR3"/>
    <x v="6"/>
    <b v="0"/>
    <s v="No está en VPC"/>
    <n v="405"/>
    <s v="INTPG_ACC_405_1.3"/>
    <s v="ISEL-1.3"/>
    <n v="1"/>
    <s v="NO TIENE L3OUT"/>
    <n v="138"/>
    <n v="96"/>
  </r>
  <r>
    <n v="169"/>
    <x v="0"/>
    <x v="241"/>
    <s v="eth1/3"/>
    <x v="1"/>
    <x v="1"/>
    <x v="2"/>
    <s v="RBT"/>
    <x v="6"/>
    <b v="0"/>
    <s v="No está en VPC"/>
    <n v="169"/>
    <s v="INTPG_VPC_167_1.1_33_169_1.3_24"/>
    <s v="ISEL-1.3"/>
    <n v="3"/>
    <s v="NO TIENE L3OUT"/>
    <n v="76"/>
    <n v="96"/>
  </r>
  <r>
    <n v="165"/>
    <x v="0"/>
    <x v="242"/>
    <s v="eth1/3"/>
    <x v="0"/>
    <x v="1"/>
    <x v="1"/>
    <s v="NETIQ"/>
    <x v="6"/>
    <b v="0"/>
    <s v="No está en VPC"/>
    <n v="165"/>
    <s v="INTPG_ACC_165_1.3"/>
    <s v="ISEL-1.3"/>
    <n v="1"/>
    <s v="NO TIENE L3OUT"/>
    <n v="86"/>
    <n v="96"/>
  </r>
  <r>
    <n v="417"/>
    <x v="1"/>
    <x v="243"/>
    <s v="eth1/3"/>
    <x v="0"/>
    <x v="0"/>
    <x v="0"/>
    <s v="To-uxingemc4 ldom2 uxinghdr4"/>
    <x v="6"/>
    <b v="0"/>
    <s v="No está en VPC"/>
    <n v="417"/>
    <s v="INTPG_ACC_417_1.3"/>
    <s v="ISEL-1.3"/>
    <n v="1"/>
    <s v="NO TIENE L3OUT"/>
    <n v="56"/>
    <n v="96"/>
  </r>
  <r>
    <n v="153"/>
    <x v="0"/>
    <x v="244"/>
    <s v="eth1/3"/>
    <x v="1"/>
    <x v="1"/>
    <x v="2"/>
    <s v="BLOQUEO EMEI"/>
    <x v="6"/>
    <b v="0"/>
    <s v="No está en VPC"/>
    <n v="153"/>
    <s v="INTPG_ACC_153_1.3"/>
    <s v="ISEL-1.3"/>
    <n v="1"/>
    <s v="NO TIENE L3OUT"/>
    <n v="42"/>
    <n v="96"/>
  </r>
  <r>
    <n v="119"/>
    <x v="0"/>
    <x v="245"/>
    <s v="eth1/3"/>
    <x v="1"/>
    <x v="1"/>
    <x v="2"/>
    <s v="DESC"/>
    <x v="6"/>
    <b v="0"/>
    <s v="No está en VPC"/>
    <n v="119"/>
    <s v="INTPG_PC_119_1.1-4_17-20"/>
    <s v="ISEL-1.3"/>
    <n v="31"/>
    <s v="NO TIENE L3OUT"/>
    <n v="70"/>
    <n v="96"/>
  </r>
  <r>
    <n v="156"/>
    <x v="0"/>
    <x v="246"/>
    <s v="eth1/3"/>
    <x v="0"/>
    <x v="0"/>
    <x v="0"/>
    <s v="ARIESO_GEOLOCALIZACION"/>
    <x v="6"/>
    <b v="0"/>
    <s v="No está en VPC"/>
    <n v="156"/>
    <s v="INTPG_ACC_156_1.3"/>
    <s v="ISEL-1.3"/>
    <n v="1"/>
    <s v="NO TIENE L3OUT"/>
    <n v="40"/>
    <n v="96"/>
  </r>
  <r>
    <n v="103"/>
    <x v="0"/>
    <x v="247"/>
    <s v="eth1/3"/>
    <x v="0"/>
    <x v="1"/>
    <x v="1"/>
    <s v="EHEALTH:ehealthp06:NET01"/>
    <x v="6"/>
    <b v="0"/>
    <s v="No está en VPC"/>
    <n v="103"/>
    <s v="INTPG_ACC_103_1.3"/>
    <s v="ISEL-1.3"/>
    <n v="1"/>
    <s v="NO TIENE L3OUT"/>
    <n v="70"/>
    <n v="96"/>
  </r>
  <r>
    <n v="438"/>
    <x v="1"/>
    <x v="248"/>
    <s v="eth1/3"/>
    <x v="0"/>
    <x v="1"/>
    <x v="1"/>
    <s v="uxdomaine"/>
    <x v="6"/>
    <b v="0"/>
    <s v="No está en VPC"/>
    <n v="438"/>
    <s v="INTPG_ACC_438_1.3"/>
    <s v="ISEL-1.3"/>
    <n v="1"/>
    <s v="NO TIENE L3OUT"/>
    <n v="170"/>
    <n v="96"/>
  </r>
  <r>
    <n v="406"/>
    <x v="1"/>
    <x v="249"/>
    <s v="eth1/3"/>
    <x v="0"/>
    <x v="0"/>
    <x v="0"/>
    <s v="client_ITHPF1_EN1SW2"/>
    <x v="6"/>
    <b v="0"/>
    <s v="No está en VPC"/>
    <n v="406"/>
    <s v="INTPG_VPC_404_1.3-4_406_1.3-4"/>
    <s v="ISEL-1.3"/>
    <n v="4"/>
    <s v="NO TIENE L3OUT"/>
    <n v="82"/>
    <n v="96"/>
  </r>
  <r>
    <n v="414"/>
    <x v="1"/>
    <x v="250"/>
    <s v="eth1/3"/>
    <x v="0"/>
    <x v="0"/>
    <x v="0"/>
    <s v="ITHRTCNBU1_2"/>
    <x v="6"/>
    <b v="0"/>
    <s v="No está en VPC"/>
    <n v="414"/>
    <s v="INTPG_ACC_414_1.3"/>
    <s v="ISEL-1.3"/>
    <n v="1"/>
    <s v="NO TIENE L3OUT"/>
    <n v="144"/>
    <n v="96"/>
  </r>
  <r>
    <n v="416"/>
    <x v="1"/>
    <x v="251"/>
    <s v="eth1/3"/>
    <x v="0"/>
    <x v="0"/>
    <x v="0"/>
    <s v="TMIPEX_CLIENT1"/>
    <x v="6"/>
    <b v="0"/>
    <s v="No está en VPC"/>
    <n v="416"/>
    <s v="INTPG_VPC_416_1.3_418_1.3"/>
    <s v="ISEL-1.3"/>
    <n v="7"/>
    <s v="NO TIENE L3OUT"/>
    <n v="110"/>
    <n v="96"/>
  </r>
  <r>
    <n v="418"/>
    <x v="1"/>
    <x v="252"/>
    <s v="eth1/3"/>
    <x v="0"/>
    <x v="0"/>
    <x v="0"/>
    <s v="TMIPEX_CLIENT1"/>
    <x v="6"/>
    <b v="0"/>
    <s v="No está en VPC"/>
    <n v="418"/>
    <s v="INTPG_VPC_416_1.3_418_1.3"/>
    <s v="ISEL-1.3"/>
    <n v="7"/>
    <s v="NO TIENE L3OUT"/>
    <n v="152"/>
    <n v="96"/>
  </r>
  <r>
    <n v="413"/>
    <x v="1"/>
    <x v="253"/>
    <s v="eth1/3"/>
    <x v="0"/>
    <x v="0"/>
    <x v="0"/>
    <s v="MEDIACION_HUAWEI_LACP1_PTO_1"/>
    <x v="6"/>
    <b v="0"/>
    <s v="No está en VPC"/>
    <n v="413"/>
    <s v="INTPG_VPC_411_1.3_413_1.3"/>
    <s v="ISEL-1.3"/>
    <n v="1"/>
    <s v="NO TIENE L3OUT"/>
    <n v="126"/>
    <n v="96"/>
  </r>
  <r>
    <n v="403"/>
    <x v="1"/>
    <x v="254"/>
    <s v="eth1/3"/>
    <x v="0"/>
    <x v="0"/>
    <x v="0"/>
    <s v="IXT_ARIESO4_LDR3"/>
    <x v="6"/>
    <b v="0"/>
    <s v="No está en VPC"/>
    <n v="403"/>
    <s v="INTPG_ACC_403_1.3"/>
    <s v="ISEL-1.3"/>
    <n v="1"/>
    <s v="NO TIENE L3OUT"/>
    <n v="150"/>
    <n v="96"/>
  </r>
  <r>
    <n v="125"/>
    <x v="0"/>
    <x v="255"/>
    <s v="eth1/3"/>
    <x v="0"/>
    <x v="1"/>
    <x v="1"/>
    <s v="GSM_OSS_QRO_R6"/>
    <x v="6"/>
    <b v="0"/>
    <s v="No está en VPC"/>
    <n v="125"/>
    <s v="INTPG_ACC_125_1.3"/>
    <s v="ISEL-1.3"/>
    <n v="1"/>
    <s v="NO TIENE L3OUT"/>
    <n v="72"/>
    <n v="96"/>
  </r>
  <r>
    <n v="166"/>
    <x v="0"/>
    <x v="256"/>
    <s v="eth1/3"/>
    <x v="0"/>
    <x v="1"/>
    <x v="1"/>
    <s v="Nomina"/>
    <x v="6"/>
    <b v="0"/>
    <s v="No está en VPC"/>
    <n v="166"/>
    <s v="INTPG_ACC_166_1.3"/>
    <s v="ISEL-1.3"/>
    <n v="1"/>
    <s v="NO TIENE L3OUT"/>
    <n v="84"/>
    <n v="96"/>
  </r>
  <r>
    <n v="111"/>
    <x v="0"/>
    <x v="257"/>
    <s v="eth1/3"/>
    <x v="0"/>
    <x v="0"/>
    <x v="0"/>
    <s v="OCUDR_1"/>
    <x v="6"/>
    <b v="0"/>
    <s v="No está en VPC"/>
    <n v="111"/>
    <s v="INTPG_ACC_111_1.3"/>
    <s v="ISEL-1.3"/>
    <n v="1"/>
    <s v="NO TIENE L3OUT"/>
    <n v="58"/>
    <n v="96"/>
  </r>
  <r>
    <n v="115"/>
    <x v="0"/>
    <x v="258"/>
    <s v="eth1/3"/>
    <x v="0"/>
    <x v="0"/>
    <x v="0"/>
    <s v="ASAP_1"/>
    <x v="6"/>
    <b v="0"/>
    <s v="No está en VPC"/>
    <n v="115"/>
    <s v="INTPG_ACC_115_1.3"/>
    <s v="ISEL-1.3"/>
    <n v="1"/>
    <s v="NO TIENE L3OUT"/>
    <n v="42"/>
    <n v="96"/>
  </r>
  <r>
    <n v="106"/>
    <x v="0"/>
    <x v="259"/>
    <s v="eth1/3"/>
    <x v="0"/>
    <x v="1"/>
    <x v="1"/>
    <s v="OPEN VIEW BACK FASE2_1"/>
    <x v="6"/>
    <b v="0"/>
    <s v="No está en VPC"/>
    <n v="106"/>
    <s v="INTPG_ACC_106_1.3"/>
    <s v="ISEL-1.3"/>
    <n v="1"/>
    <s v="NO TIENE L3OUT"/>
    <n v="122"/>
    <n v="96"/>
  </r>
  <r>
    <n v="126"/>
    <x v="0"/>
    <x v="260"/>
    <s v="eth1/3"/>
    <x v="0"/>
    <x v="0"/>
    <x v="0"/>
    <m/>
    <x v="6"/>
    <b v="0"/>
    <s v="No está en VPC"/>
    <n v="126"/>
    <s v="INTPG_ACC_126_1.3"/>
    <s v="ISEL-1.3"/>
    <n v="0"/>
    <s v="NO TIENE L3OUT"/>
    <n v="54"/>
    <n v="96"/>
  </r>
  <r>
    <n v="425"/>
    <x v="1"/>
    <x v="261"/>
    <s v="eth1/3"/>
    <x v="0"/>
    <x v="0"/>
    <x v="0"/>
    <s v="VTA_F5_2_eth1"/>
    <x v="6"/>
    <b v="0"/>
    <s v="No está en VPC"/>
    <n v="425"/>
    <s v="INTPG_ACC_425_1.3"/>
    <s v="ISEL-1.3"/>
    <n v="1"/>
    <s v="NO TIENE L3OUT"/>
    <n v="86"/>
    <n v="96"/>
  </r>
  <r>
    <n v="151"/>
    <x v="0"/>
    <x v="262"/>
    <s v="eth1/3"/>
    <x v="0"/>
    <x v="0"/>
    <x v="0"/>
    <s v="Gesti\u00f3n de los sistemas electromec\u00e1nicos de Ixtlahuaca"/>
    <x v="6"/>
    <b v="0"/>
    <s v="No está en VPC"/>
    <n v="151"/>
    <s v="INTPG_ACC_151_1.3"/>
    <s v="ISEL-1.3"/>
    <n v="1"/>
    <s v="NO TIENE L3OUT"/>
    <n v="86"/>
    <n v="96"/>
  </r>
  <r>
    <n v="430"/>
    <x v="1"/>
    <x v="263"/>
    <s v="eth1/3"/>
    <x v="0"/>
    <x v="0"/>
    <x v="0"/>
    <s v="ECAC1"/>
    <x v="6"/>
    <b v="0"/>
    <s v="No está en VPC"/>
    <n v="430"/>
    <s v="INTPG_VPC_428_1.3_430_1.3"/>
    <s v="ISEL-1.3"/>
    <n v="1"/>
    <s v="NO TIENE L3OUT"/>
    <n v="86"/>
    <n v="96"/>
  </r>
  <r>
    <n v="419"/>
    <x v="1"/>
    <x v="264"/>
    <s v="eth1/3"/>
    <x v="0"/>
    <x v="0"/>
    <x v="0"/>
    <s v="Prime-UCS-CLU1-A_client_LAG3_CISCOPRIME"/>
    <x v="6"/>
    <b v="0"/>
    <s v="No está en VPC"/>
    <n v="419"/>
    <s v="INTPG_VPC_419_1.3_421_1.3"/>
    <s v="ISEL-1.3"/>
    <n v="3"/>
    <s v="NO TIENE L3OUT"/>
    <n v="70"/>
    <n v="96"/>
  </r>
  <r>
    <n v="155"/>
    <x v="0"/>
    <x v="265"/>
    <s v="eth1/3"/>
    <x v="0"/>
    <x v="0"/>
    <x v="0"/>
    <s v="UXINGE"/>
    <x v="6"/>
    <b v="0"/>
    <s v="No está en VPC"/>
    <n v="155"/>
    <s v="INTPG_ACC_155_1.3"/>
    <s v="ISEL-1.3"/>
    <n v="1"/>
    <s v="NO TIENE L3OUT"/>
    <n v="198"/>
    <n v="96"/>
  </r>
  <r>
    <n v="409"/>
    <x v="1"/>
    <x v="266"/>
    <s v="eth1/3"/>
    <x v="0"/>
    <x v="0"/>
    <x v="0"/>
    <s v="RLR2ARI07"/>
    <x v="6"/>
    <b v="0"/>
    <s v="No está en VPC"/>
    <n v="409"/>
    <s v="INTPG_ACC_409_1.3"/>
    <s v="ISEL-1.3"/>
    <n v="1"/>
    <s v="NO TIENE L3OUT"/>
    <n v="128"/>
    <n v="96"/>
  </r>
  <r>
    <n v="422"/>
    <x v="1"/>
    <x v="267"/>
    <s v="eth1/3"/>
    <x v="0"/>
    <x v="0"/>
    <x v="0"/>
    <s v="SMART-1_CHECK_POINT"/>
    <x v="6"/>
    <b v="0"/>
    <s v="No está en VPC"/>
    <n v="422"/>
    <s v="INTPG_ACC_422_1.3"/>
    <s v="ISEL-1.3"/>
    <n v="1"/>
    <s v="NO TIENE L3OUT"/>
    <n v="182"/>
    <n v="96"/>
  </r>
  <r>
    <n v="436"/>
    <x v="1"/>
    <x v="268"/>
    <s v="eth1/3"/>
    <x v="0"/>
    <x v="1"/>
    <x v="1"/>
    <s v="uxdomaine"/>
    <x v="6"/>
    <b v="0"/>
    <s v="No está en VPC"/>
    <n v="436"/>
    <s v="INTPG_ACC_436_1.3"/>
    <s v="ISEL-1.3"/>
    <n v="1"/>
    <s v="NO TIENE L3OUT"/>
    <n v="172"/>
    <n v="96"/>
  </r>
  <r>
    <n v="410"/>
    <x v="1"/>
    <x v="269"/>
    <s v="eth1/3"/>
    <x v="0"/>
    <x v="0"/>
    <x v="0"/>
    <s v="9UCS-IXTLA-WEBEX-SERV1"/>
    <x v="6"/>
    <b v="0"/>
    <s v="No está en VPC"/>
    <n v="410"/>
    <s v="INTPG_ACC_410_1.3"/>
    <s v="ISEL-1.3"/>
    <n v="1"/>
    <s v="NO TIENE L3OUT"/>
    <n v="178"/>
    <n v="96"/>
  </r>
  <r>
    <n v="161"/>
    <x v="0"/>
    <x v="270"/>
    <s v="eth1/3"/>
    <x v="0"/>
    <x v="1"/>
    <x v="1"/>
    <s v="IBM SICOD"/>
    <x v="6"/>
    <b v="0"/>
    <s v="No está en VPC"/>
    <n v="161"/>
    <s v="INTPG_ACC_161_1.3"/>
    <s v="ISEL-1.3"/>
    <n v="1"/>
    <s v="NO TIENE L3OUT"/>
    <n v="102"/>
    <n v="96"/>
  </r>
  <r>
    <n v="411"/>
    <x v="1"/>
    <x v="271"/>
    <s v="eth1/3"/>
    <x v="0"/>
    <x v="0"/>
    <x v="0"/>
    <s v="MEDIACION_HUAWEI_LACP1_PTO_1"/>
    <x v="6"/>
    <b v="0"/>
    <s v="No está en VPC"/>
    <n v="411"/>
    <s v="INTPG_VPC_411_1.3_413_1.3"/>
    <s v="ISEL-1.3"/>
    <n v="1"/>
    <s v="NO TIENE L3OUT"/>
    <n v="96"/>
    <n v="96"/>
  </r>
  <r>
    <n v="116"/>
    <x v="0"/>
    <x v="272"/>
    <s v="eth1/3"/>
    <x v="0"/>
    <x v="0"/>
    <x v="0"/>
    <s v="UXWEPD38"/>
    <x v="6"/>
    <b v="0"/>
    <s v="No está en VPC"/>
    <n v="116"/>
    <s v="INTPG_ACC_116_1.3"/>
    <s v="ISEL-1.3"/>
    <n v="1"/>
    <s v="NO TIENE L3OUT"/>
    <n v="148"/>
    <n v="96"/>
  </r>
  <r>
    <n v="412"/>
    <x v="1"/>
    <x v="273"/>
    <s v="eth1/3"/>
    <x v="0"/>
    <x v="0"/>
    <x v="0"/>
    <s v="ETH0_uxppldb2"/>
    <x v="6"/>
    <b v="0"/>
    <s v="No está en VPC"/>
    <n v="412"/>
    <s v="INTPG_ACC_412_1.3"/>
    <s v="ISEL-1.3"/>
    <n v="1"/>
    <s v="NO TIENE L3OUT"/>
    <n v="126"/>
    <n v="96"/>
  </r>
  <r>
    <n v="120"/>
    <x v="0"/>
    <x v="274"/>
    <s v="eth1/3"/>
    <x v="0"/>
    <x v="0"/>
    <x v="0"/>
    <s v="RACK2-NZTF24"/>
    <x v="6"/>
    <b v="0"/>
    <s v="No está en VPC"/>
    <n v="120"/>
    <s v="INTPG_ACC_120_1.3"/>
    <s v="ISEL-1.3"/>
    <n v="1"/>
    <s v="NO TIENE L3OUT"/>
    <n v="158"/>
    <n v="96"/>
  </r>
  <r>
    <n v="404"/>
    <x v="1"/>
    <x v="275"/>
    <s v="eth1/3"/>
    <x v="0"/>
    <x v="0"/>
    <x v="0"/>
    <s v="client_ITHPF1_EN1SW2"/>
    <x v="6"/>
    <b v="0"/>
    <s v="No está en VPC"/>
    <n v="404"/>
    <s v="INTPG_VPC_404_1.3-4_406_1.3-4"/>
    <s v="ISEL-1.3"/>
    <n v="4"/>
    <s v="NO TIENE L3OUT"/>
    <n v="92"/>
    <n v="96"/>
  </r>
  <r>
    <n v="167"/>
    <x v="0"/>
    <x v="276"/>
    <s v="eth1/3"/>
    <x v="0"/>
    <x v="0"/>
    <x v="0"/>
    <s v="RBT"/>
    <x v="6"/>
    <b v="0"/>
    <s v="No está en VPC"/>
    <n v="167"/>
    <s v="INTPG_VPC_167_1.2-3_169_1.1-2"/>
    <s v="ISEL-1.3"/>
    <n v="3"/>
    <s v="NO TIENE L3OUT"/>
    <n v="68"/>
    <n v="96"/>
  </r>
  <r>
    <n v="428"/>
    <x v="1"/>
    <x v="277"/>
    <s v="eth1/3"/>
    <x v="0"/>
    <x v="0"/>
    <x v="0"/>
    <s v="ECAC1"/>
    <x v="6"/>
    <b v="0"/>
    <s v="No está en VPC"/>
    <n v="428"/>
    <s v="INTPG_VPC_428_1.3_430_1.3"/>
    <s v="ISEL-1.3"/>
    <n v="1"/>
    <s v="NO TIENE L3OUT"/>
    <n v="102"/>
    <n v="96"/>
  </r>
  <r>
    <n v="903"/>
    <x v="2"/>
    <x v="278"/>
    <s v="eth1/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30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30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30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30"/>
    <x v="0"/>
    <x v="0"/>
    <x v="0"/>
    <s v="TO-ITHFDENBURMS06"/>
    <x v="0"/>
    <b v="0"/>
    <s v="No está en VPC"/>
    <n v="101"/>
    <s v="INTPG_VPC_101_1.30_150_1.30"/>
    <s v="ISEL-1.30"/>
    <n v="1"/>
    <s v="NO TIENE L3OUT"/>
    <n v="114"/>
    <n v="54"/>
  </r>
  <r>
    <n v="160"/>
    <x v="0"/>
    <x v="4"/>
    <s v="eth1/30"/>
    <x v="0"/>
    <x v="0"/>
    <x v="0"/>
    <s v="ArrobaDOC Y CF"/>
    <x v="1"/>
    <b v="0"/>
    <s v="No está en VPC"/>
    <n v="160"/>
    <s v="INTPG_ACC_160_1.30"/>
    <s v="ISEL-1.30"/>
    <n v="1"/>
    <s v="NO TIENE L3OUT"/>
    <n v="68"/>
    <n v="54"/>
  </r>
  <r>
    <n v="121"/>
    <x v="0"/>
    <x v="5"/>
    <s v="eth1/30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30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30"/>
    <x v="0"/>
    <x v="0"/>
    <x v="0"/>
    <s v="TO-UXSISAC9-LAGUXSISAC9C"/>
    <x v="0"/>
    <b v="0"/>
    <s v="No está en VPC"/>
    <n v="401"/>
    <s v="INTPG_VPC_401_1.29-30_402_1.29-30"/>
    <s v="ISEL-1.30"/>
    <n v="1"/>
    <s v="NO TIENE L3OUT"/>
    <n v="40"/>
    <n v="54"/>
  </r>
  <r>
    <n v="402"/>
    <x v="1"/>
    <x v="8"/>
    <s v="eth1/30"/>
    <x v="0"/>
    <x v="0"/>
    <x v="0"/>
    <s v="TO-UXSISAC9-LAGUXSISAC9C"/>
    <x v="0"/>
    <b v="0"/>
    <s v="No está en VPC"/>
    <n v="402"/>
    <s v="INTPG_VPC_401_1.29-30_402_1.29-30"/>
    <s v="ISEL-1.30"/>
    <n v="1"/>
    <s v="NO TIENE L3OUT"/>
    <n v="36"/>
    <n v="54"/>
  </r>
  <r>
    <n v="447"/>
    <x v="1"/>
    <x v="9"/>
    <s v="eth1/30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30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30"/>
    <x v="0"/>
    <x v="0"/>
    <x v="0"/>
    <s v="ITHFHWHSMTLCN07-LOM  P1"/>
    <x v="0"/>
    <b v="0"/>
    <s v="No está en VPC"/>
    <n v="130"/>
    <s v="INTPG_ACC_130_1.30"/>
    <s v="ISEL-1.30"/>
    <n v="9"/>
    <s v="NO TIENE L3OUT"/>
    <n v="128"/>
    <n v="54"/>
  </r>
  <r>
    <n v="150"/>
    <x v="0"/>
    <x v="12"/>
    <s v="eth1/30"/>
    <x v="0"/>
    <x v="0"/>
    <x v="0"/>
    <s v="TO-ITHFDENBURMS06"/>
    <x v="0"/>
    <b v="0"/>
    <s v="No está en VPC"/>
    <n v="150"/>
    <s v="INTPG_VPC_101_1.30_150_1.30"/>
    <s v="ISEL-1.30"/>
    <n v="1"/>
    <s v="NO TIENE L3OUT"/>
    <n v="118"/>
    <n v="54"/>
  </r>
  <r>
    <n v="131"/>
    <x v="0"/>
    <x v="13"/>
    <s v="eth1/30"/>
    <x v="0"/>
    <x v="0"/>
    <x v="0"/>
    <s v="ITHFHWHSMTLCN07-LOM  P2"/>
    <x v="0"/>
    <b v="0"/>
    <s v="No está en VPC"/>
    <n v="131"/>
    <s v="INTPG_ACC_131_1.30"/>
    <s v="ISEL-1.30"/>
    <n v="9"/>
    <s v="NO TIENE L3OUT"/>
    <n v="126"/>
    <n v="54"/>
  </r>
  <r>
    <n v="303"/>
    <x v="0"/>
    <x v="14"/>
    <s v="eth1/30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30"/>
    <x v="0"/>
    <x v="2"/>
    <x v="9"/>
    <m/>
    <x v="2"/>
    <b v="0"/>
    <s v="No está en VPC"/>
    <n v="758"/>
    <s v="INTPG_VPC_BRK_758_1.30"/>
    <s v="ISEL-1.30"/>
    <n v="0"/>
    <s v="NO TIENE L3OUT"/>
    <n v="0"/>
    <n v="42"/>
  </r>
  <r>
    <n v="759"/>
    <x v="2"/>
    <x v="16"/>
    <s v="eth1/30"/>
    <x v="1"/>
    <x v="2"/>
    <x v="9"/>
    <m/>
    <x v="2"/>
    <b v="0"/>
    <s v="No está en VPC"/>
    <n v="759"/>
    <s v="INTPG_VPC_BRK_759_1.30"/>
    <s v="ISEL-1.30"/>
    <n v="0"/>
    <s v="NO TIENE L3OUT"/>
    <n v="0"/>
    <n v="42"/>
  </r>
  <r>
    <n v="302"/>
    <x v="0"/>
    <x v="17"/>
    <s v="eth1/30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30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30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30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30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30"/>
    <x v="0"/>
    <x v="1"/>
    <x v="5"/>
    <m/>
    <x v="0"/>
    <b v="0"/>
    <s v="No está en VPC"/>
    <n v="727"/>
    <s v="INTPG-VPC_SLR12_726_1.29_727_1.30"/>
    <s v="ISEL-1.30"/>
    <n v="1"/>
    <s v="NO TIENE L3OUT"/>
    <n v="0"/>
    <n v="54"/>
  </r>
  <r>
    <n v="724"/>
    <x v="2"/>
    <x v="23"/>
    <s v="eth1/30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30"/>
    <x v="0"/>
    <x v="1"/>
    <x v="3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30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30"/>
    <x v="0"/>
    <x v="0"/>
    <x v="0"/>
    <s v="TO_ITHEMCDD94008139DKC0_SLOT 1.3"/>
    <x v="0"/>
    <b v="0"/>
    <s v="No está en VPC"/>
    <n v="431"/>
    <s v="INTPG_ACC_431_1.30"/>
    <s v="ISEL-1.30"/>
    <n v="1"/>
    <s v="NO TIENE L3OUT"/>
    <n v="46"/>
    <n v="54"/>
  </r>
  <r>
    <n v="433"/>
    <x v="1"/>
    <x v="27"/>
    <s v="eth1/30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30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30"/>
    <x v="0"/>
    <x v="0"/>
    <x v="0"/>
    <s v="TO-ithfhpficxrbd01"/>
    <x v="1"/>
    <b v="0"/>
    <s v="No está en VPC"/>
    <n v="432"/>
    <s v="INTPG_VPC_432_1.30_434_1.28"/>
    <s v="ISEL-1.30"/>
    <n v="1"/>
    <s v="NO TIENE L3OUT"/>
    <n v="54"/>
    <n v="54"/>
  </r>
  <r>
    <n v="442"/>
    <x v="1"/>
    <x v="30"/>
    <s v="eth1/30"/>
    <x v="0"/>
    <x v="0"/>
    <x v="0"/>
    <s v="bmc_ithhwc3a2288h6_SECUNDARIO"/>
    <x v="1"/>
    <b v="0"/>
    <s v="No está en VPC"/>
    <n v="442"/>
    <s v="INTPG_ACC_442_1.30"/>
    <s v="ISEL-1.30"/>
    <n v="1"/>
    <s v="NO TIENE L3OUT"/>
    <n v="18"/>
    <n v="54"/>
  </r>
  <r>
    <n v="434"/>
    <x v="1"/>
    <x v="31"/>
    <s v="eth1/30"/>
    <x v="0"/>
    <x v="0"/>
    <x v="0"/>
    <s v="TO-ITHFDEOVITRBD01-PRINCIPAL"/>
    <x v="1"/>
    <b v="0"/>
    <s v="No está en VPC"/>
    <n v="434"/>
    <s v="INTPG_ACC_434_1.30"/>
    <s v="ISEL-1.30"/>
    <n v="1"/>
    <s v="NO TIENE L3OUT"/>
    <n v="34"/>
    <n v="54"/>
  </r>
  <r>
    <n v="707"/>
    <x v="2"/>
    <x v="32"/>
    <s v="eth1/30"/>
    <x v="0"/>
    <x v="1"/>
    <x v="3"/>
    <s v="CEM_HADOOP"/>
    <x v="0"/>
    <b v="0"/>
    <s v="No está en VPC"/>
    <n v="707"/>
    <s v="INTPG_ACC_707_1.30"/>
    <s v="ISEL-1.30"/>
    <n v="1"/>
    <s v="NO TIENE L3OUT"/>
    <n v="54"/>
    <n v="54"/>
  </r>
  <r>
    <n v="712"/>
    <x v="2"/>
    <x v="33"/>
    <s v="eth1/30"/>
    <x v="1"/>
    <x v="1"/>
    <x v="3"/>
    <s v="CEM:ITHCEMA2ADT15:LOM  P2"/>
    <x v="0"/>
    <b v="0"/>
    <s v="No está en VPC"/>
    <n v="712"/>
    <s v="INTPG_VPC_713_1.29_712_1.30"/>
    <s v="ISEL-1.30"/>
    <n v="0"/>
    <s v="NO TIENE L3OUT"/>
    <n v="32"/>
    <n v="54"/>
  </r>
  <r>
    <n v="719"/>
    <x v="2"/>
    <x v="34"/>
    <s v="eth1/30"/>
    <x v="0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30"/>
    <x v="0"/>
    <x v="0"/>
    <x v="0"/>
    <m/>
    <x v="0"/>
    <b v="0"/>
    <s v="No está en VPC"/>
    <n v="715"/>
    <s v="INTPG-VPC_ZKP02_716_1.29_715_1.30"/>
    <s v="ISEL-1.30"/>
    <n v="1"/>
    <s v="NO TIENE L3OUT"/>
    <n v="0"/>
    <n v="54"/>
  </r>
  <r>
    <n v="427"/>
    <x v="1"/>
    <x v="36"/>
    <s v="eth1/30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30"/>
    <x v="0"/>
    <x v="1"/>
    <x v="5"/>
    <s v="CEM:ITHCEMD2ADT15:LOM  P2"/>
    <x v="0"/>
    <b v="0"/>
    <s v="No está en VPC"/>
    <n v="711"/>
    <s v="INTPG_VPC_710_1.29_711_1.30"/>
    <s v="ISEL-1.30"/>
    <n v="1"/>
    <s v="NO TIENE L3OUT"/>
    <n v="16"/>
    <n v="54"/>
  </r>
  <r>
    <n v="716"/>
    <x v="2"/>
    <x v="38"/>
    <s v="eth1/30"/>
    <x v="0"/>
    <x v="0"/>
    <x v="0"/>
    <m/>
    <x v="0"/>
    <b v="0"/>
    <s v="No está en VPC"/>
    <n v="716"/>
    <s v="INTPG-VPC_SLR01_715_1.29_716_1.30"/>
    <s v="ISEL-1.30"/>
    <n v="1"/>
    <s v="NO TIENE L3OUT"/>
    <n v="0"/>
    <n v="54"/>
  </r>
  <r>
    <n v="702"/>
    <x v="2"/>
    <x v="39"/>
    <s v="eth1/30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30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30"/>
    <x v="0"/>
    <x v="0"/>
    <x v="0"/>
    <s v="TO-ITHFDLMCLWLCN05"/>
    <x v="0"/>
    <b v="0"/>
    <s v="No está en VPC"/>
    <n v="446"/>
    <s v="INTPG_VPC_446_1.30_444_1.42"/>
    <s v="ISEL-1.30"/>
    <n v="1"/>
    <s v="NO TIENE L3OUT"/>
    <n v="198"/>
    <n v="54"/>
  </r>
  <r>
    <n v="444"/>
    <x v="1"/>
    <x v="42"/>
    <s v="eth1/30"/>
    <x v="0"/>
    <x v="0"/>
    <x v="0"/>
    <m/>
    <x v="0"/>
    <b v="0"/>
    <s v="No está en VPC"/>
    <n v="444"/>
    <s v="INTPG_ACC_444_1.30"/>
    <s v="ISEL-1.30"/>
    <n v="9"/>
    <s v="NO TIENE L3OUT"/>
    <n v="234"/>
    <n v="54"/>
  </r>
  <r>
    <n v="701"/>
    <x v="2"/>
    <x v="43"/>
    <s v="eth1/30"/>
    <x v="0"/>
    <x v="1"/>
    <x v="5"/>
    <m/>
    <x v="0"/>
    <b v="0"/>
    <s v="No está en VPC"/>
    <n v="701"/>
    <s v="INTPG_VPC_702_1.29_701_1.30"/>
    <s v="ISEL-1.30"/>
    <n v="1"/>
    <s v="NO TIENE L3OUT"/>
    <n v="0"/>
    <n v="54"/>
  </r>
  <r>
    <n v="440"/>
    <x v="1"/>
    <x v="44"/>
    <s v="eth1/30"/>
    <x v="0"/>
    <x v="0"/>
    <x v="0"/>
    <s v="bmc_ithhwc3a2288h5_PRINCIPAL"/>
    <x v="1"/>
    <b v="0"/>
    <s v="No está en VPC"/>
    <n v="440"/>
    <s v="INTPG_ACC_440_1.30"/>
    <s v="ISEL-1.30"/>
    <n v="1"/>
    <s v="NO TIENE L3OUT"/>
    <n v="22"/>
    <n v="54"/>
  </r>
  <r>
    <n v="448"/>
    <x v="1"/>
    <x v="45"/>
    <s v="eth1/30"/>
    <x v="0"/>
    <x v="0"/>
    <x v="0"/>
    <s v="TO_ITHEMCDD94008139DKC0_INT 1.3"/>
    <x v="0"/>
    <b v="0"/>
    <s v="No está en VPC"/>
    <n v="448"/>
    <s v="INTPG_ACC_448_1.30"/>
    <s v="ISEL-1.30"/>
    <n v="1"/>
    <s v="NO TIENE L3OUT"/>
    <n v="46"/>
    <n v="54"/>
  </r>
  <r>
    <n v="704"/>
    <x v="2"/>
    <x v="46"/>
    <s v="eth1/30"/>
    <x v="0"/>
    <x v="0"/>
    <x v="0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30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30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30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603"/>
    <x v="1"/>
    <x v="50"/>
    <s v="eth1/30"/>
    <x v="0"/>
    <x v="1"/>
    <x v="3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30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30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30"/>
    <x v="0"/>
    <x v="0"/>
    <x v="0"/>
    <s v="Server_Pre-R02-RH2288-05"/>
    <x v="0"/>
    <b v="0"/>
    <s v="No está en VPC"/>
    <n v="730"/>
    <s v="INTPG_ACC_730_1.30"/>
    <s v="ISEL-1.30"/>
    <n v="1"/>
    <s v="NO TIENE L3OUT"/>
    <n v="36"/>
    <n v="54"/>
  </r>
  <r>
    <n v="722"/>
    <x v="2"/>
    <x v="54"/>
    <s v="eth1/30"/>
    <x v="0"/>
    <x v="0"/>
    <x v="0"/>
    <s v="TO-ITHHWHCS8SW"/>
    <x v="0"/>
    <b v="0"/>
    <s v="No está en VPC"/>
    <n v="722"/>
    <s v="INTPG_VPC_722_1.29-30_723_1.29-30"/>
    <s v="ISEL-1.30"/>
    <n v="15"/>
    <s v="NO TIENE L3OUT"/>
    <n v="0"/>
    <n v="54"/>
  </r>
  <r>
    <n v="733"/>
    <x v="2"/>
    <x v="55"/>
    <s v="eth1/30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30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30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30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30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30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30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30"/>
    <x v="0"/>
    <x v="0"/>
    <x v="0"/>
    <s v="CEM:ITHCEMB2ADT15:SLOT1 P1"/>
    <x v="5"/>
    <b v="0"/>
    <s v="No está en VPC"/>
    <n v="742"/>
    <s v="INTPG_ACC_742_1.30"/>
    <s v="ISEL-1.30"/>
    <n v="1"/>
    <s v="NO TIENE L3OUT"/>
    <n v="64"/>
    <n v="54"/>
  </r>
  <r>
    <n v="763"/>
    <x v="2"/>
    <x v="63"/>
    <s v="eth1/30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30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30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30"/>
    <x v="0"/>
    <x v="1"/>
    <x v="3"/>
    <s v="PAAS:ithhwosstpap005:LOM PORT 2"/>
    <x v="0"/>
    <b v="0"/>
    <s v="No está en VPC"/>
    <n v="752"/>
    <s v="INTPG_VPC_747_1.30_752_1.30"/>
    <s v="ISEL-1.30"/>
    <n v="0"/>
    <s v="NO TIENE L3OUT"/>
    <n v="0"/>
    <n v="54"/>
  </r>
  <r>
    <n v="765"/>
    <x v="2"/>
    <x v="67"/>
    <s v="eth1/30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30"/>
    <x v="0"/>
    <x v="0"/>
    <x v="0"/>
    <s v="CLOUD OPS:ithhwcop01en01:3X P2"/>
    <x v="0"/>
    <b v="0"/>
    <s v="No está en VPC"/>
    <n v="778"/>
    <s v="INTPG_VPC_778_1.27-30_779_1.27-30"/>
    <s v="ISEL-1.30"/>
    <n v="24"/>
    <s v="NO TIENE L3OUT"/>
    <n v="26"/>
    <n v="54"/>
  </r>
  <r>
    <n v="780"/>
    <x v="2"/>
    <x v="69"/>
    <s v="eth1/30"/>
    <x v="0"/>
    <x v="0"/>
    <x v="0"/>
    <s v="CLOUD OPS:ithhwcop02en02:2X P1"/>
    <x v="0"/>
    <b v="0"/>
    <s v="No está en VPC"/>
    <n v="780"/>
    <s v="INTPG_VPC_780_1.30-33_781_1.30-33"/>
    <s v="ISEL-1.30"/>
    <n v="23"/>
    <s v="NO TIENE L3OUT"/>
    <n v="26"/>
    <n v="54"/>
  </r>
  <r>
    <n v="812"/>
    <x v="2"/>
    <x v="70"/>
    <s v="eth1/30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30"/>
    <x v="0"/>
    <x v="0"/>
    <x v="0"/>
    <s v="TO-ITHFHWDCIMLAP03-Redundante"/>
    <x v="0"/>
    <b v="0"/>
    <s v="No está en VPC"/>
    <n v="796"/>
    <s v="INTPG_ACC_796_1.30"/>
    <s v="ISEL-1.30"/>
    <n v="1"/>
    <s v="NO TIENE L3OUT"/>
    <n v="18"/>
    <n v="54"/>
  </r>
  <r>
    <n v="795"/>
    <x v="2"/>
    <x v="72"/>
    <s v="eth1/30"/>
    <x v="0"/>
    <x v="0"/>
    <x v="0"/>
    <s v="TO-ITHFHWDCIMLAP03-Principal"/>
    <x v="0"/>
    <b v="0"/>
    <s v="No está en VPC"/>
    <n v="795"/>
    <s v="INTPG_ACC_795_1.30"/>
    <s v="ISEL-1.30"/>
    <n v="1"/>
    <s v="NO TIENE L3OUT"/>
    <n v="18"/>
    <n v="54"/>
  </r>
  <r>
    <n v="749"/>
    <x v="2"/>
    <x v="73"/>
    <s v="eth1/30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30"/>
    <x v="0"/>
    <x v="0"/>
    <x v="0"/>
    <s v="LINK_TO_ITHFHWCMVWPMA15 /Slot5.1 /Redundante"/>
    <x v="0"/>
    <b v="0"/>
    <s v="No está en VPC"/>
    <n v="824"/>
    <s v="INTPG_ACC_824_1.30"/>
    <s v="ISEL-1.30"/>
    <n v="1"/>
    <s v="NO TIENE L3OUT"/>
    <n v="70"/>
    <n v="54"/>
  </r>
  <r>
    <n v="819"/>
    <x v="2"/>
    <x v="75"/>
    <s v="eth1/30"/>
    <x v="0"/>
    <x v="0"/>
    <x v="0"/>
    <s v="LINK_TO_ITHFHWCMVWPMA15 /10GE.1 /Principal"/>
    <x v="0"/>
    <b v="0"/>
    <s v="No está en VPC"/>
    <n v="819"/>
    <s v="INTPG_ACC_819_1.30"/>
    <s v="ISEL-1.30"/>
    <n v="1"/>
    <s v="NO TIENE L3OUT"/>
    <n v="70"/>
    <n v="54"/>
  </r>
  <r>
    <n v="737"/>
    <x v="2"/>
    <x v="76"/>
    <s v="eth1/30"/>
    <x v="0"/>
    <x v="0"/>
    <x v="0"/>
    <s v="CEM:ITHCEME2KFK15:SLOT1 P1"/>
    <x v="5"/>
    <b v="0"/>
    <s v="No está en VPC"/>
    <n v="737"/>
    <s v="INTPG_ACC_737_1.30"/>
    <s v="ISEL-1.30"/>
    <n v="1"/>
    <s v="NO TIENE L3OUT"/>
    <n v="72"/>
    <n v="54"/>
  </r>
  <r>
    <n v="844"/>
    <x v="2"/>
    <x v="77"/>
    <s v="eth1/30"/>
    <x v="0"/>
    <x v="0"/>
    <x v="0"/>
    <s v="LINK_TO_ITHFHWCRMPLCN110 / Slot1.3_24 / Principal"/>
    <x v="0"/>
    <b v="0"/>
    <s v="No está en VPC"/>
    <n v="844"/>
    <s v="INTPG_ACC_844_1.30"/>
    <s v="ISEL-1.30"/>
    <n v="1"/>
    <s v="NO TIENE L3OUT"/>
    <n v="282"/>
    <n v="54"/>
  </r>
  <r>
    <n v="843"/>
    <x v="2"/>
    <x v="78"/>
    <s v="eth1/30"/>
    <x v="0"/>
    <x v="0"/>
    <x v="0"/>
    <s v="LINK_To_ITHHWD6KV65100012DKC01 / CTMA_IOM0.P1_34 / Redundante"/>
    <x v="0"/>
    <b v="0"/>
    <s v="No está en VPC"/>
    <n v="843"/>
    <s v="INTPG_ACC_843_1.30"/>
    <s v="ISEL-1.30"/>
    <n v="1"/>
    <s v="NO TIENE L3OUT"/>
    <n v="38"/>
    <n v="54"/>
  </r>
  <r>
    <n v="797"/>
    <x v="2"/>
    <x v="79"/>
    <s v="eth1/30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30"/>
    <x v="0"/>
    <x v="0"/>
    <x v="0"/>
    <s v="LINK_TO_ITHFHWCBSPSHD39 / Slot7.3_16 / Redundante"/>
    <x v="0"/>
    <b v="0"/>
    <s v="No está en VPC"/>
    <n v="839"/>
    <s v="INTPG_VPC_834_1.30_839_1.30"/>
    <s v="ISEL-1.30"/>
    <n v="1"/>
    <s v="NO TIENE L3OUT"/>
    <n v="0"/>
    <n v="54"/>
  </r>
  <r>
    <n v="847"/>
    <x v="2"/>
    <x v="81"/>
    <s v="eth1/30"/>
    <x v="0"/>
    <x v="0"/>
    <x v="0"/>
    <s v="LINK_TO_ITHFHWCRMPLCN175 / Slot7.2_20 / Redundante"/>
    <x v="0"/>
    <b v="0"/>
    <s v="No está en VPC"/>
    <n v="847"/>
    <s v="INTPG_ACC_847_1.30"/>
    <s v="ISEL-1.30"/>
    <n v="2"/>
    <s v="NO TIENE L3OUT"/>
    <n v="204"/>
    <n v="54"/>
  </r>
  <r>
    <n v="848"/>
    <x v="2"/>
    <x v="82"/>
    <s v="eth1/30"/>
    <x v="0"/>
    <x v="0"/>
    <x v="0"/>
    <s v="LINK_TO_ITHFHWCRMPLCN164 / Slot7.2_30 / Redundante"/>
    <x v="0"/>
    <b v="0"/>
    <s v="No está en VPC"/>
    <n v="848"/>
    <s v="INTPG_ACC_848_1.30"/>
    <s v="ISEL-1.30"/>
    <n v="2"/>
    <s v="NO TIENE L3OUT"/>
    <n v="254"/>
    <n v="54"/>
  </r>
  <r>
    <n v="846"/>
    <x v="2"/>
    <x v="83"/>
    <s v="eth1/30"/>
    <x v="0"/>
    <x v="0"/>
    <x v="0"/>
    <s v="LINK_TO_ITHFHWCRMPLCN81 / Slot1.3_20 / Principal"/>
    <x v="0"/>
    <b v="0"/>
    <s v="No está en VPC"/>
    <n v="846"/>
    <s v="INTPG_ACC_846_1.30"/>
    <s v="ISEL-1.30"/>
    <n v="1"/>
    <s v="NO TIENE L3OUT"/>
    <n v="242"/>
    <n v="54"/>
  </r>
  <r>
    <n v="838"/>
    <x v="2"/>
    <x v="84"/>
    <s v="eth1/30"/>
    <x v="0"/>
    <x v="0"/>
    <x v="0"/>
    <s v="LINK_To_ITHHWD6KV65100012DKC01 / CTMA_IOM0.P0_34 / Principal"/>
    <x v="0"/>
    <b v="0"/>
    <s v="No está en VPC"/>
    <n v="838"/>
    <s v="INTPG_ACC_838_1.30"/>
    <s v="ISEL-1.30"/>
    <n v="1"/>
    <s v="NO TIENE L3OUT"/>
    <n v="38"/>
    <n v="54"/>
  </r>
  <r>
    <n v="849"/>
    <x v="2"/>
    <x v="85"/>
    <s v="eth1/30"/>
    <x v="0"/>
    <x v="0"/>
    <x v="0"/>
    <s v="LINK_TO_ITHFHWCRMPLCN144 / Slot7.2_22 / Redundante"/>
    <x v="0"/>
    <b v="0"/>
    <s v="No está en VPC"/>
    <n v="849"/>
    <s v="INTPG_ACC_849_1.30"/>
    <s v="ISEL-1.30"/>
    <n v="2"/>
    <s v="NO TIENE L3OUT"/>
    <n v="286"/>
    <n v="54"/>
  </r>
  <r>
    <n v="845"/>
    <x v="2"/>
    <x v="86"/>
    <s v="eth1/30"/>
    <x v="0"/>
    <x v="0"/>
    <x v="0"/>
    <s v="LINK_TO_ITHFHWCRMPLCN94 / Slot1.1_20 / Principal"/>
    <x v="0"/>
    <b v="0"/>
    <s v="No está en VPC"/>
    <n v="845"/>
    <s v="INTPG_ACC_845_1.30"/>
    <s v="ISEL-1.30"/>
    <n v="6"/>
    <s v="NO TIENE L3OUT"/>
    <n v="258"/>
    <n v="54"/>
  </r>
  <r>
    <n v="873"/>
    <x v="2"/>
    <x v="87"/>
    <s v="eth1/30"/>
    <x v="0"/>
    <x v="0"/>
    <x v="0"/>
    <s v="To_VPC_2DCRMD_SBD07_1"/>
    <x v="0"/>
    <b v="0"/>
    <s v="No está en VPC"/>
    <n v="873"/>
    <s v="INTPG_VPC_870_1.30_873_1.30"/>
    <s v="ISEL-1.30"/>
    <n v="6"/>
    <s v="NO TIENE L3OUT"/>
    <n v="248"/>
    <n v="54"/>
  </r>
  <r>
    <n v="864"/>
    <x v="2"/>
    <x v="88"/>
    <s v="eth1/30"/>
    <x v="0"/>
    <x v="0"/>
    <x v="0"/>
    <s v="To_VPC_2DCBSD_WR45_3"/>
    <x v="0"/>
    <b v="0"/>
    <s v="No está en VPC"/>
    <n v="864"/>
    <s v="INTPG_VPC_859_1.30_864_1.30"/>
    <s v="ISEL-1.30"/>
    <n v="1"/>
    <s v="NO TIENE L3OUT"/>
    <n v="0"/>
    <n v="54"/>
  </r>
  <r>
    <n v="836"/>
    <x v="2"/>
    <x v="89"/>
    <s v="eth1/30"/>
    <x v="0"/>
    <x v="0"/>
    <x v="0"/>
    <s v="LINK_TO_ITHFHWCBSPSWR55 / Slot1.2_38 / Principal"/>
    <x v="0"/>
    <b v="0"/>
    <s v="No está en VPC"/>
    <n v="836"/>
    <s v="INTPG_VPC_836_1.30_841_1.30"/>
    <s v="ISEL-1.30"/>
    <n v="1"/>
    <s v="NO TIENE L3OUT"/>
    <n v="0"/>
    <n v="54"/>
  </r>
  <r>
    <n v="834"/>
    <x v="2"/>
    <x v="90"/>
    <s v="eth1/30"/>
    <x v="0"/>
    <x v="0"/>
    <x v="0"/>
    <s v="LINK_TO_ITHFHWCBSPSHD39 / Slot1.3_16 / Principal"/>
    <x v="0"/>
    <b v="0"/>
    <s v="No está en VPC"/>
    <n v="834"/>
    <s v="INTPG_VPC_834_1.30_839_1.30"/>
    <s v="ISEL-1.30"/>
    <n v="1"/>
    <s v="NO TIENE L3OUT"/>
    <n v="0"/>
    <n v="54"/>
  </r>
  <r>
    <n v="872"/>
    <x v="2"/>
    <x v="91"/>
    <s v="eth1/30"/>
    <x v="0"/>
    <x v="0"/>
    <x v="0"/>
    <s v="To_ITHFHWCRMDLCN79_Principal"/>
    <x v="0"/>
    <b v="0"/>
    <s v="No está en VPC"/>
    <n v="872"/>
    <s v="INTPG_ACC_872_1.30"/>
    <s v="ISEL-1.30"/>
    <n v="6"/>
    <s v="NO TIENE L3OUT"/>
    <n v="288"/>
    <n v="54"/>
  </r>
  <r>
    <n v="842"/>
    <x v="2"/>
    <x v="92"/>
    <s v="eth1/30"/>
    <x v="0"/>
    <x v="0"/>
    <x v="0"/>
    <s v="LINK_TO_ITHHWD6KV65100009DKC01 / CTMA_IOM1.P1_34 / Redundante"/>
    <x v="0"/>
    <b v="0"/>
    <s v="No está en VPC"/>
    <n v="842"/>
    <s v="INTPG_ACC_842_1.30"/>
    <s v="ISEL-1.30"/>
    <n v="1"/>
    <s v="NO TIENE L3OUT"/>
    <n v="8"/>
    <n v="54"/>
  </r>
  <r>
    <n v="828"/>
    <x v="2"/>
    <x v="93"/>
    <s v="eth1/30"/>
    <x v="0"/>
    <x v="0"/>
    <x v="0"/>
    <s v="LINK_TO_ITHFHWCRMDLCN25 /10GE.1 /Principal"/>
    <x v="0"/>
    <b v="0"/>
    <s v="No está en VPC"/>
    <n v="828"/>
    <s v="INTPG_ACC_828_1.30"/>
    <s v="ISEL-1.30"/>
    <n v="2"/>
    <s v="NO TIENE L3OUT"/>
    <n v="192"/>
    <n v="54"/>
  </r>
  <r>
    <n v="870"/>
    <x v="2"/>
    <x v="94"/>
    <s v="eth1/30"/>
    <x v="0"/>
    <x v="0"/>
    <x v="0"/>
    <s v="To_VPC_2DCRMD_SBD07_1"/>
    <x v="0"/>
    <b v="0"/>
    <s v="No está en VPC"/>
    <n v="870"/>
    <s v="INTPG_VPC_870_1.30_873_1.30"/>
    <s v="ISEL-1.30"/>
    <n v="6"/>
    <s v="NO TIENE L3OUT"/>
    <n v="248"/>
    <n v="54"/>
  </r>
  <r>
    <n v="866"/>
    <x v="2"/>
    <x v="95"/>
    <s v="eth1/30"/>
    <x v="0"/>
    <x v="0"/>
    <x v="0"/>
    <s v="To_VPC_2DCBSD_BD12_2"/>
    <x v="0"/>
    <b v="0"/>
    <s v="No está en VPC"/>
    <n v="866"/>
    <s v="INTPG_VPC_861_1.30_866_1.30"/>
    <s v="ISEL-1.30"/>
    <n v="1"/>
    <s v="NO TIENE L3OUT"/>
    <n v="8"/>
    <n v="54"/>
  </r>
  <r>
    <n v="862"/>
    <x v="2"/>
    <x v="96"/>
    <s v="eth1/30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30"/>
    <x v="0"/>
    <x v="0"/>
    <x v="0"/>
    <s v="LINK_TO_ITHFHWCRMPLCN164 / Slot1.2_30 / Principal"/>
    <x v="0"/>
    <b v="0"/>
    <s v="No está en VPC"/>
    <n v="855"/>
    <s v="INTPG_ACC_855_1.30"/>
    <s v="ISEL-1.30"/>
    <n v="2"/>
    <s v="NO TIENE L3OUT"/>
    <n v="254"/>
    <n v="54"/>
  </r>
  <r>
    <n v="871"/>
    <x v="2"/>
    <x v="98"/>
    <s v="eth1/30"/>
    <x v="0"/>
    <x v="0"/>
    <x v="0"/>
    <s v="To_ITHFHWCRMDLCN63_Principal"/>
    <x v="0"/>
    <b v="0"/>
    <s v="No está en VPC"/>
    <n v="871"/>
    <s v="INTPG_ACC_871_1.30"/>
    <s v="ISEL-1.30"/>
    <n v="1"/>
    <s v="NO TIENE L3OUT"/>
    <n v="246"/>
    <n v="54"/>
  </r>
  <r>
    <n v="841"/>
    <x v="2"/>
    <x v="99"/>
    <s v="eth1/30"/>
    <x v="0"/>
    <x v="0"/>
    <x v="0"/>
    <s v="LINK_TO_ITHFHWCBSPSWR55 / Slot7.2_38 / Redundante"/>
    <x v="0"/>
    <b v="0"/>
    <s v="No está en VPC"/>
    <n v="841"/>
    <s v="INTPG_VPC_836_1.30_841_1.30"/>
    <s v="ISEL-1.30"/>
    <n v="1"/>
    <s v="NO TIENE L3OUT"/>
    <n v="0"/>
    <n v="54"/>
  </r>
  <r>
    <n v="868"/>
    <x v="2"/>
    <x v="100"/>
    <s v="eth1/30"/>
    <x v="0"/>
    <x v="0"/>
    <x v="0"/>
    <s v="To_ITHFHWCRMDLCN63_Redundante"/>
    <x v="0"/>
    <b v="0"/>
    <s v="No está en VPC"/>
    <n v="868"/>
    <s v="INTPG_ACC_868_1.30"/>
    <s v="ISEL-1.30"/>
    <n v="1"/>
    <s v="NO TIENE L3OUT"/>
    <n v="246"/>
    <n v="54"/>
  </r>
  <r>
    <n v="869"/>
    <x v="2"/>
    <x v="101"/>
    <s v="eth1/30"/>
    <x v="0"/>
    <x v="0"/>
    <x v="0"/>
    <s v="To_ITHFHWCRMDLCN79_Redundante"/>
    <x v="0"/>
    <b v="0"/>
    <s v="No está en VPC"/>
    <n v="869"/>
    <s v="INTPG_ACC_869_1.30"/>
    <s v="ISEL-1.30"/>
    <n v="6"/>
    <s v="NO TIENE L3OUT"/>
    <n v="288"/>
    <n v="54"/>
  </r>
  <r>
    <n v="861"/>
    <x v="2"/>
    <x v="102"/>
    <s v="eth1/30"/>
    <x v="0"/>
    <x v="0"/>
    <x v="0"/>
    <s v="To_VPC_2DCBSD_BD12_2"/>
    <x v="0"/>
    <b v="0"/>
    <s v="No está en VPC"/>
    <n v="861"/>
    <s v="INTPG_VPC_861_1.30_866_1.30"/>
    <s v="ISEL-1.30"/>
    <n v="1"/>
    <s v="NO TIENE L3OUT"/>
    <n v="8"/>
    <n v="54"/>
  </r>
  <r>
    <n v="874"/>
    <x v="2"/>
    <x v="103"/>
    <s v="eth1/30"/>
    <x v="0"/>
    <x v="0"/>
    <x v="0"/>
    <s v="A_ITHFHWSEQLCAS29_Redundante"/>
    <x v="4"/>
    <b v="0"/>
    <s v="No está en VPC"/>
    <n v="874"/>
    <s v="INTPG_ACC_874_1.30"/>
    <s v="ISEL-1.30"/>
    <n v="1"/>
    <s v="NO TIENE L3OUT"/>
    <n v="92"/>
    <n v="54"/>
  </r>
  <r>
    <n v="865"/>
    <x v="2"/>
    <x v="104"/>
    <s v="eth1/30"/>
    <x v="0"/>
    <x v="0"/>
    <x v="0"/>
    <s v="To_VPC_2DCBSD_BD16_3"/>
    <x v="0"/>
    <b v="0"/>
    <s v="No está en VPC"/>
    <n v="865"/>
    <s v="INTPG_VPC_860_1.30_865_1.30"/>
    <s v="ISEL-1.30"/>
    <n v="1"/>
    <s v="NO TIENE L3OUT"/>
    <n v="0"/>
    <n v="54"/>
  </r>
  <r>
    <n v="753"/>
    <x v="2"/>
    <x v="105"/>
    <s v="eth1/30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30"/>
    <x v="0"/>
    <x v="1"/>
    <x v="5"/>
    <s v="CEM:ITHCEME2KFK15:LOM  P2"/>
    <x v="0"/>
    <b v="0"/>
    <s v="No está en VPC"/>
    <n v="708"/>
    <s v="INTPG_VPC_708_1.30_709_1.29"/>
    <s v="ISEL-1.30"/>
    <n v="1"/>
    <s v="NO TIENE L3OUT"/>
    <n v="0"/>
    <n v="54"/>
  </r>
  <r>
    <n v="710"/>
    <x v="2"/>
    <x v="107"/>
    <s v="eth1/30"/>
    <x v="0"/>
    <x v="1"/>
    <x v="5"/>
    <s v="CEM:ITHCEMC2ADT15:LOM  P2"/>
    <x v="0"/>
    <b v="0"/>
    <s v="No está en VPC"/>
    <n v="710"/>
    <s v="INTPG_VPC_710_1.30_711_1.29"/>
    <s v="ISEL-1.30"/>
    <n v="1"/>
    <s v="NO TIENE L3OUT"/>
    <n v="16"/>
    <n v="54"/>
  </r>
  <r>
    <n v="713"/>
    <x v="2"/>
    <x v="108"/>
    <s v="eth1/30"/>
    <x v="0"/>
    <x v="1"/>
    <x v="5"/>
    <s v="CEM:ITHCEMB2ADT15:LOM  P2"/>
    <x v="0"/>
    <b v="0"/>
    <s v="No está en VPC"/>
    <n v="713"/>
    <s v="INTPG_VPC_712_1.29_713_1.30"/>
    <s v="ISEL-1.30"/>
    <n v="1"/>
    <s v="NO TIENE L3OUT"/>
    <n v="32"/>
    <n v="54"/>
  </r>
  <r>
    <n v="735"/>
    <x v="2"/>
    <x v="109"/>
    <s v="eth1/30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30"/>
    <x v="0"/>
    <x v="0"/>
    <x v="0"/>
    <s v="Server_Pre-R02-RH2288-05"/>
    <x v="0"/>
    <b v="0"/>
    <s v="No está en VPC"/>
    <n v="731"/>
    <s v="INTPG_ACC_731_1.30"/>
    <s v="ISEL-1.30"/>
    <n v="1"/>
    <s v="NO TIENE L3OUT"/>
    <n v="38"/>
    <n v="54"/>
  </r>
  <r>
    <n v="703"/>
    <x v="2"/>
    <x v="111"/>
    <s v="eth1/30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30"/>
    <x v="0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30"/>
    <x v="0"/>
    <x v="1"/>
    <x v="3"/>
    <s v="OS-LAG-CTRL_Grupo 5"/>
    <x v="0"/>
    <b v="0"/>
    <s v="No está en VPC"/>
    <n v="762"/>
    <s v="INTPG_VPC_762_1.16_763_1.16"/>
    <s v="ISEL-1.30"/>
    <n v="1"/>
    <s v="NO TIENE L3OUT"/>
    <n v="0"/>
    <n v="54"/>
  </r>
  <r>
    <n v="814"/>
    <x v="2"/>
    <x v="114"/>
    <s v="eth1/30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30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30"/>
    <x v="0"/>
    <x v="0"/>
    <x v="0"/>
    <s v="LINK_TO_ITHFHWCBSDSWR16 /Slot4.2 /Principal"/>
    <x v="0"/>
    <b v="0"/>
    <s v="No está en VPC"/>
    <n v="826"/>
    <s v="INTPG_VPC_826_1.30_830_1.30"/>
    <s v="ISEL-1.30"/>
    <n v="1"/>
    <s v="NO TIENE L3OUT"/>
    <n v="12"/>
    <n v="54"/>
  </r>
  <r>
    <n v="726"/>
    <x v="2"/>
    <x v="117"/>
    <s v="eth1/30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30"/>
    <x v="0"/>
    <x v="0"/>
    <x v="0"/>
    <s v="CEM:ITHCEMD2ADT15:SLOT1 P1"/>
    <x v="5"/>
    <b v="0"/>
    <s v="No está en VPC"/>
    <n v="740"/>
    <s v="INTPG_ACC_740_1.30"/>
    <s v="ISEL-1.30"/>
    <n v="1"/>
    <s v="NO TIENE L3OUT"/>
    <n v="72"/>
    <n v="54"/>
  </r>
  <r>
    <n v="705"/>
    <x v="2"/>
    <x v="119"/>
    <s v="eth1/30"/>
    <x v="0"/>
    <x v="0"/>
    <x v="0"/>
    <m/>
    <x v="0"/>
    <b v="0"/>
    <s v="No está en VPC"/>
    <n v="705"/>
    <s v="INTPG_VPC_706_1.29_705_1.30"/>
    <s v="ISEL-1.30"/>
    <n v="1"/>
    <s v="NO TIENE L3OUT"/>
    <n v="16"/>
    <n v="54"/>
  </r>
  <r>
    <n v="723"/>
    <x v="2"/>
    <x v="120"/>
    <s v="eth1/30"/>
    <x v="0"/>
    <x v="0"/>
    <x v="0"/>
    <s v="TO-ITHHWHCS8SW"/>
    <x v="0"/>
    <b v="0"/>
    <s v="No está en VPC"/>
    <n v="723"/>
    <s v="INTPG_VPC_722_1.29-30_723_1.29-30"/>
    <s v="ISEL-1.30"/>
    <n v="15"/>
    <s v="NO TIENE L3OUT"/>
    <n v="0"/>
    <n v="54"/>
  </r>
  <r>
    <n v="721"/>
    <x v="2"/>
    <x v="121"/>
    <s v="eth1/30"/>
    <x v="0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30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30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30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30"/>
    <x v="0"/>
    <x v="1"/>
    <x v="5"/>
    <s v="CEM:ITHCEMF2KFK15:LOM  P2"/>
    <x v="0"/>
    <b v="0"/>
    <s v="No está en VPC"/>
    <n v="709"/>
    <s v="INTPG_VPC_708_1.29_709_1.30"/>
    <s v="ISEL-1.30"/>
    <n v="1"/>
    <s v="NO TIENE L3OUT"/>
    <n v="0"/>
    <n v="54"/>
  </r>
  <r>
    <n v="454"/>
    <x v="1"/>
    <x v="126"/>
    <s v="eth1/30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30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30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30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30"/>
    <x v="0"/>
    <x v="0"/>
    <x v="0"/>
    <m/>
    <x v="0"/>
    <b v="0"/>
    <s v="No está en VPC"/>
    <n v="718"/>
    <s v="INTPG-VPC_ZKP01_717_1.29_718_1.30"/>
    <s v="ISEL-1.30"/>
    <n v="1"/>
    <s v="NO TIENE L3OUT"/>
    <n v="0"/>
    <n v="54"/>
  </r>
  <r>
    <n v="744"/>
    <x v="2"/>
    <x v="131"/>
    <s v="eth1/30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30"/>
    <x v="0"/>
    <x v="1"/>
    <x v="1"/>
    <s v="CEM:ITHCEMA2ADT15:SLOT1 P1"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30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30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30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30"/>
    <x v="0"/>
    <x v="1"/>
    <x v="3"/>
    <s v="CEM_HADOOP"/>
    <x v="0"/>
    <b v="0"/>
    <s v="No está en VPC"/>
    <n v="736"/>
    <s v="INTPG_ACC_736_1.30"/>
    <s v="ISEL-1.30"/>
    <n v="0"/>
    <s v="NO TIENE L3OUT"/>
    <n v="48"/>
    <n v="54"/>
  </r>
  <r>
    <n v="799"/>
    <x v="2"/>
    <x v="137"/>
    <s v="eth1/30"/>
    <x v="0"/>
    <x v="0"/>
    <x v="0"/>
    <s v="TO-ITHFDEVDICL01ESX02"/>
    <x v="0"/>
    <b v="0"/>
    <s v="No está en VPC"/>
    <n v="799"/>
    <s v="INTPG_VPC_798_1.30_799_1.30"/>
    <s v="ISEL-1.30"/>
    <n v="6"/>
    <s v="NO TIENE L3OUT"/>
    <n v="52"/>
    <n v="54"/>
  </r>
  <r>
    <n v="768"/>
    <x v="2"/>
    <x v="138"/>
    <s v="eth1/30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30"/>
    <x v="0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30"/>
    <x v="0"/>
    <x v="1"/>
    <x v="5"/>
    <m/>
    <x v="0"/>
    <b v="0"/>
    <s v="No está en VPC"/>
    <n v="717"/>
    <s v="INTPG-VPC_SHD01_718_1.29_717_1.30"/>
    <s v="ISEL-1.30"/>
    <n v="1"/>
    <s v="NO TIENE L3OUT"/>
    <n v="0"/>
    <n v="54"/>
  </r>
  <r>
    <n v="789"/>
    <x v="2"/>
    <x v="141"/>
    <s v="eth1/30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30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30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30"/>
    <x v="0"/>
    <x v="0"/>
    <x v="0"/>
    <s v="CLOUD PAAS PAYG F2:Ithhwvm1cch1:slot 2x/Pto 4"/>
    <x v="0"/>
    <b v="0"/>
    <s v="No está en VPC"/>
    <n v="774"/>
    <s v="INTPG_PC_774_1.30_1.32"/>
    <s v="ISEL-1.30"/>
    <n v="0"/>
    <s v="NO TIENE L3OUT"/>
    <n v="0"/>
    <n v="54"/>
  </r>
  <r>
    <n v="773"/>
    <x v="2"/>
    <x v="145"/>
    <s v="eth1/30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30"/>
    <x v="0"/>
    <x v="0"/>
    <x v="0"/>
    <s v="TO-NUTANIX -VPC2"/>
    <x v="0"/>
    <b v="0"/>
    <s v="No está en VPC"/>
    <n v="794"/>
    <s v="INTPG_VPC_793_1.30_794_1.30"/>
    <s v="ISEL-1.30"/>
    <n v="12"/>
    <s v="NO TIENE L3OUT"/>
    <n v="12"/>
    <n v="54"/>
  </r>
  <r>
    <n v="803"/>
    <x v="2"/>
    <x v="147"/>
    <s v="eth1/30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30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30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30"/>
    <x v="0"/>
    <x v="0"/>
    <x v="0"/>
    <s v="CLOUD OPS:ithhwcop02en02:2X P3"/>
    <x v="0"/>
    <b v="0"/>
    <s v="No está en VPC"/>
    <n v="781"/>
    <s v="INTPG_VPC_780_1.30-33_781_1.30-33"/>
    <s v="ISEL-1.30"/>
    <n v="23"/>
    <s v="NO TIENE L3OUT"/>
    <n v="26"/>
    <n v="54"/>
  </r>
  <r>
    <n v="793"/>
    <x v="2"/>
    <x v="151"/>
    <s v="eth1/30"/>
    <x v="0"/>
    <x v="0"/>
    <x v="0"/>
    <s v="TO-NUTANIX -VPC2"/>
    <x v="0"/>
    <b v="0"/>
    <s v="No está en VPC"/>
    <n v="793"/>
    <s v="INTPG_VPC_793_1.30_794_1.30"/>
    <s v="ISEL-1.30"/>
    <n v="12"/>
    <s v="NO TIENE L3OUT"/>
    <n v="12"/>
    <n v="54"/>
  </r>
  <r>
    <n v="747"/>
    <x v="2"/>
    <x v="152"/>
    <s v="eth1/30"/>
    <x v="0"/>
    <x v="1"/>
    <x v="3"/>
    <s v="PAAS:ithhwosstpap005:Slot4.2"/>
    <x v="0"/>
    <b v="0"/>
    <s v="No está en VPC"/>
    <n v="747"/>
    <s v="INTPG_VPC_747_1.30_752_1.30"/>
    <s v="ISEL-1.30"/>
    <n v="0"/>
    <s v="NO TIENE L3OUT"/>
    <n v="0"/>
    <n v="54"/>
  </r>
  <r>
    <n v="784"/>
    <x v="2"/>
    <x v="153"/>
    <s v="eth1/30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30"/>
    <x v="1"/>
    <x v="1"/>
    <x v="2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30"/>
    <x v="0"/>
    <x v="0"/>
    <x v="0"/>
    <s v="CLOUD PAAS PAYG F2:Ithhwvm1bch1:slot 2x/Pto 4"/>
    <x v="0"/>
    <b v="0"/>
    <s v="No está en VPC"/>
    <n v="777"/>
    <s v="INTPG_VPC_776_1.25-28_777_1.29-32"/>
    <s v="ISEL-1.30"/>
    <n v="90"/>
    <s v="NO TIENE L3OUT"/>
    <n v="0"/>
    <n v="54"/>
  </r>
  <r>
    <n v="770"/>
    <x v="2"/>
    <x v="156"/>
    <s v="eth1/30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30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30"/>
    <x v="0"/>
    <x v="0"/>
    <x v="0"/>
    <s v="CEM:ITHCEMC2ADT15:SLOT1 P1"/>
    <x v="5"/>
    <b v="0"/>
    <s v="No está en VPC"/>
    <n v="739"/>
    <s v="INTPG_ACC_739_1.30"/>
    <s v="ISEL-1.30"/>
    <n v="1"/>
    <s v="NO TIENE L3OUT"/>
    <n v="72"/>
    <n v="54"/>
  </r>
  <r>
    <n v="775"/>
    <x v="2"/>
    <x v="159"/>
    <s v="eth1/30"/>
    <x v="0"/>
    <x v="0"/>
    <x v="0"/>
    <s v="CLOUD PAAS PAYG F2:Ithhwvm1dch1:slot 2x/Pto 4"/>
    <x v="0"/>
    <b v="0"/>
    <s v="No está en VPC"/>
    <n v="775"/>
    <s v="INTPG_PC_775_1.30_1.32"/>
    <s v="ISEL-1.30"/>
    <n v="0"/>
    <s v="NO TIENE L3OUT"/>
    <n v="0"/>
    <n v="54"/>
  </r>
  <r>
    <n v="791"/>
    <x v="2"/>
    <x v="160"/>
    <s v="eth1/30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30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30"/>
    <x v="0"/>
    <x v="0"/>
    <x v="0"/>
    <s v="LINK_TO_ITHFHWCBSDSWR16 /Slot6.2 /Redundante"/>
    <x v="0"/>
    <b v="0"/>
    <s v="No está en VPC"/>
    <n v="830"/>
    <s v="INTPG_VPC_826_1.30_830_1.30"/>
    <s v="ISEL-1.30"/>
    <n v="1"/>
    <s v="NO TIENE L3OUT"/>
    <n v="12"/>
    <n v="54"/>
  </r>
  <r>
    <n v="821"/>
    <x v="2"/>
    <x v="163"/>
    <s v="eth1/30"/>
    <x v="0"/>
    <x v="0"/>
    <x v="0"/>
    <s v="LINK_TO_ITHFHWCBSPSWR16 /Slot6.2 /Redundante"/>
    <x v="0"/>
    <b v="0"/>
    <s v="No está en VPC"/>
    <n v="821"/>
    <s v="INTPG_VPC_816_1.30_821_1.30"/>
    <s v="ISEL-1.30"/>
    <n v="1"/>
    <s v="NO TIENE L3OUT"/>
    <n v="0"/>
    <n v="54"/>
  </r>
  <r>
    <n v="738"/>
    <x v="2"/>
    <x v="164"/>
    <s v="eth1/30"/>
    <x v="0"/>
    <x v="0"/>
    <x v="0"/>
    <s v="CEM:ITHCEMF2KFK15:SLOT1 P1"/>
    <x v="5"/>
    <b v="0"/>
    <s v="No está en VPC"/>
    <n v="738"/>
    <s v="INTPG_ACC_738_1.30"/>
    <s v="ISEL-1.30"/>
    <n v="1"/>
    <s v="NO TIENE L3OUT"/>
    <n v="72"/>
    <n v="54"/>
  </r>
  <r>
    <n v="820"/>
    <x v="2"/>
    <x v="165"/>
    <s v="eth1/30"/>
    <x v="0"/>
    <x v="0"/>
    <x v="0"/>
    <s v="LINKT_TO_ITHFHWCRMPLCN134 / Slot7.3_38 / Redundante"/>
    <x v="0"/>
    <b v="0"/>
    <s v="No está en VPC"/>
    <n v="820"/>
    <s v="INTPG_ACC_820_1.30"/>
    <s v="ISEL-1.30"/>
    <n v="1"/>
    <s v="NO TIENE L3OUT"/>
    <n v="72"/>
    <n v="54"/>
  </r>
  <r>
    <n v="804"/>
    <x v="2"/>
    <x v="166"/>
    <s v="eth1/30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30"/>
    <x v="0"/>
    <x v="0"/>
    <x v="0"/>
    <s v="CLOUD OPS:ithhwcop01en01:3X P4"/>
    <x v="0"/>
    <b v="0"/>
    <s v="No está en VPC"/>
    <n v="779"/>
    <s v="INTPG_VPC_778_1.27-30_779_1.27-30"/>
    <s v="ISEL-1.30"/>
    <n v="24"/>
    <s v="NO TIENE L3OUT"/>
    <n v="30"/>
    <n v="54"/>
  </r>
  <r>
    <n v="767"/>
    <x v="2"/>
    <x v="168"/>
    <s v="eth1/30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30"/>
    <x v="0"/>
    <x v="0"/>
    <x v="0"/>
    <s v="LINK_TO_ITHFHWCBSDSWR26 /10GE.1 /Principal"/>
    <x v="0"/>
    <b v="0"/>
    <s v="No está en VPC"/>
    <n v="827"/>
    <s v="INTPG_VPC_827_1.30_831_1.30"/>
    <s v="ISEL-1.30"/>
    <n v="1"/>
    <s v="NO TIENE L3OUT"/>
    <n v="14"/>
    <n v="54"/>
  </r>
  <r>
    <n v="809"/>
    <x v="2"/>
    <x v="170"/>
    <s v="eth1/30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30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30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30"/>
    <x v="0"/>
    <x v="0"/>
    <x v="0"/>
    <s v="CLOUD PAAS PAYG F2:Ithhwvm1ach1:slot 2x/Pto 4"/>
    <x v="0"/>
    <b v="0"/>
    <s v="No está en VPC"/>
    <n v="776"/>
    <s v="INTPG_VPC_776_1.29-32_777_1.25-28"/>
    <s v="ISEL-1.30"/>
    <n v="93"/>
    <s v="NO TIENE L3OUT"/>
    <n v="0"/>
    <n v="54"/>
  </r>
  <r>
    <n v="805"/>
    <x v="2"/>
    <x v="174"/>
    <s v="eth1/30"/>
    <x v="1"/>
    <x v="1"/>
    <x v="2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30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30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30"/>
    <x v="0"/>
    <x v="0"/>
    <x v="0"/>
    <s v="LINK_TO_ITHFHWCRMPLCN110 / Slot7.3_24 / Redundante"/>
    <x v="0"/>
    <b v="0"/>
    <s v="No está en VPC"/>
    <n v="851"/>
    <s v="INTPG_ACC_851_1.30"/>
    <s v="ISEL-1.30"/>
    <n v="1"/>
    <s v="NO TIENE L3OUT"/>
    <n v="282"/>
    <n v="54"/>
  </r>
  <r>
    <n v="798"/>
    <x v="2"/>
    <x v="178"/>
    <s v="eth1/30"/>
    <x v="0"/>
    <x v="0"/>
    <x v="0"/>
    <s v="TO-ITHFDEVDICL01ESX02"/>
    <x v="0"/>
    <b v="0"/>
    <s v="No está en VPC"/>
    <n v="798"/>
    <s v="INTPG_VPC_798_1.30_799_1.30"/>
    <s v="ISEL-1.30"/>
    <n v="6"/>
    <s v="NO TIENE L3OUT"/>
    <n v="52"/>
    <n v="54"/>
  </r>
  <r>
    <n v="782"/>
    <x v="2"/>
    <x v="179"/>
    <s v="eth1/30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30"/>
    <x v="0"/>
    <x v="0"/>
    <x v="0"/>
    <s v="LINK_TO_ITHFHWCRMPLCN94 / Slot7.1_20 / Redundante"/>
    <x v="0"/>
    <b v="0"/>
    <s v="No está en VPC"/>
    <n v="852"/>
    <s v="INTPG_ACC_852_1.30"/>
    <s v="ISEL-1.30"/>
    <n v="6"/>
    <s v="NO TIENE L3OUT"/>
    <n v="258"/>
    <n v="54"/>
  </r>
  <r>
    <n v="817"/>
    <x v="2"/>
    <x v="181"/>
    <s v="eth1/30"/>
    <x v="0"/>
    <x v="0"/>
    <x v="0"/>
    <s v="LINK_TO_ITHFHWCBSPSUSBD20 /Slot4.2 /Principal"/>
    <x v="0"/>
    <b v="0"/>
    <s v="No está en VPC"/>
    <n v="817"/>
    <s v="INTPG_VPC_817_1.30_822_1.30"/>
    <s v="ISEL-1.30"/>
    <n v="1"/>
    <s v="NO TIENE L3OUT"/>
    <n v="0"/>
    <n v="54"/>
  </r>
  <r>
    <n v="832"/>
    <x v="2"/>
    <x v="182"/>
    <s v="eth1/30"/>
    <x v="0"/>
    <x v="0"/>
    <x v="0"/>
    <s v="LINK_TO_ITHFHWCRMDLCN25 /Slot5.1 /Redundante"/>
    <x v="0"/>
    <b v="0"/>
    <s v="No está en VPC"/>
    <n v="832"/>
    <s v="INTPG_ACC_832_1.30"/>
    <s v="ISEL-1.30"/>
    <n v="2"/>
    <s v="NO TIENE L3OUT"/>
    <n v="192"/>
    <n v="54"/>
  </r>
  <r>
    <n v="816"/>
    <x v="2"/>
    <x v="183"/>
    <s v="eth1/30"/>
    <x v="0"/>
    <x v="0"/>
    <x v="0"/>
    <s v="LINK_TO_ITHFHWCBSPSWR16 /Slot4.2 /Principal"/>
    <x v="0"/>
    <b v="0"/>
    <s v="No está en VPC"/>
    <n v="816"/>
    <s v="INTPG_VPC_816_1.30_821_1.30"/>
    <s v="ISEL-1.30"/>
    <n v="1"/>
    <s v="NO TIENE L3OUT"/>
    <n v="0"/>
    <n v="54"/>
  </r>
  <r>
    <n v="825"/>
    <x v="2"/>
    <x v="184"/>
    <s v="eth1/30"/>
    <x v="0"/>
    <x v="0"/>
    <x v="0"/>
    <s v="LINKT_TO_ITHFHWCRMPLCN134 / Slot1.3_38 / Principal"/>
    <x v="0"/>
    <b v="0"/>
    <s v="No está en VPC"/>
    <n v="825"/>
    <s v="INTPG_ACC_825_1.30"/>
    <s v="ISEL-1.30"/>
    <n v="1"/>
    <s v="NO TIENE L3OUT"/>
    <n v="72"/>
    <n v="54"/>
  </r>
  <r>
    <n v="800"/>
    <x v="2"/>
    <x v="185"/>
    <s v="eth1/30"/>
    <x v="0"/>
    <x v="0"/>
    <x v="0"/>
    <s v="TO-ITHFHWSEQLDPS01-MSP"/>
    <x v="0"/>
    <b v="0"/>
    <s v="No está en VPC"/>
    <n v="800"/>
    <s v="INTPG_ACC_800_1.30"/>
    <s v="ISEL-1.30"/>
    <n v="1"/>
    <s v="NO TIENE L3OUT"/>
    <n v="78"/>
    <n v="54"/>
  </r>
  <r>
    <n v="801"/>
    <x v="2"/>
    <x v="186"/>
    <s v="eth1/30"/>
    <x v="0"/>
    <x v="0"/>
    <x v="0"/>
    <s v="TO-ITHFHWSEQLDPS01-MSP"/>
    <x v="0"/>
    <b v="0"/>
    <s v="No está en VPC"/>
    <n v="801"/>
    <s v="INTPG_ACC_801_1.30"/>
    <s v="ISEL-1.30"/>
    <n v="1"/>
    <s v="NO TIENE L3OUT"/>
    <n v="78"/>
    <n v="54"/>
  </r>
  <r>
    <n v="823"/>
    <x v="2"/>
    <x v="187"/>
    <s v="eth1/30"/>
    <x v="0"/>
    <x v="0"/>
    <x v="0"/>
    <s v="LINK_TO_ITHFHWCBSPSWR34 /Slot5.1 /Redundante"/>
    <x v="0"/>
    <b v="0"/>
    <s v="No está en VPC"/>
    <n v="823"/>
    <s v="INTPG_VPC_818_1.30_823_1.30"/>
    <s v="ISEL-1.30"/>
    <n v="1"/>
    <s v="NO TIENE L3OUT"/>
    <n v="8"/>
    <n v="54"/>
  </r>
  <r>
    <n v="837"/>
    <x v="2"/>
    <x v="188"/>
    <s v="eth1/30"/>
    <x v="0"/>
    <x v="0"/>
    <x v="0"/>
    <s v="LINK_TO_ITHHWD6KV65100009DKC01 / CTMA_IOM1.P0_34 / Principal"/>
    <x v="0"/>
    <b v="0"/>
    <s v="No está en VPC"/>
    <n v="837"/>
    <s v="INTPG_ACC_837_1.30"/>
    <s v="ISEL-1.30"/>
    <n v="1"/>
    <s v="NO TIENE L3OUT"/>
    <n v="8"/>
    <n v="54"/>
  </r>
  <r>
    <n v="867"/>
    <x v="2"/>
    <x v="189"/>
    <s v="eth1/30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30"/>
    <x v="0"/>
    <x v="0"/>
    <x v="0"/>
    <s v="To_ITHFHWCRMDLCN45_Principal"/>
    <x v="0"/>
    <b v="0"/>
    <s v="No está en VPC"/>
    <n v="829"/>
    <s v="INTPG_ACC_829_1.30"/>
    <s v="ISEL-1.30"/>
    <n v="6"/>
    <s v="NO TIENE L3OUT"/>
    <n v="224"/>
    <n v="54"/>
  </r>
  <r>
    <n v="831"/>
    <x v="2"/>
    <x v="191"/>
    <s v="eth1/30"/>
    <x v="0"/>
    <x v="0"/>
    <x v="0"/>
    <s v="LINK_TO_ITHFHWCBSDSWR26 /Slot5.1 /Redundante"/>
    <x v="0"/>
    <b v="0"/>
    <s v="No está en VPC"/>
    <n v="831"/>
    <s v="INTPG_VPC_827_1.30_831_1.30"/>
    <s v="ISEL-1.30"/>
    <n v="1"/>
    <s v="NO TIENE L3OUT"/>
    <n v="14"/>
    <n v="54"/>
  </r>
  <r>
    <n v="802"/>
    <x v="2"/>
    <x v="192"/>
    <s v="eth1/30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30"/>
    <x v="0"/>
    <x v="0"/>
    <x v="0"/>
    <s v="LINK_TO_ITHFHWCBSPSHD32 / Slot1.2_16 / Principal"/>
    <x v="0"/>
    <b v="0"/>
    <s v="No está en VPC"/>
    <n v="835"/>
    <s v="INTPG_VPC_835_1.30_840_1.30"/>
    <s v="ISEL-1.30"/>
    <n v="1"/>
    <s v="NO TIENE L3OUT"/>
    <n v="8"/>
    <n v="54"/>
  </r>
  <r>
    <n v="822"/>
    <x v="2"/>
    <x v="194"/>
    <s v="eth1/30"/>
    <x v="0"/>
    <x v="0"/>
    <x v="0"/>
    <s v="LINK_TO_ITHFHWCBSPSUSBD20 /Slot6.2 /Redundante"/>
    <x v="0"/>
    <b v="0"/>
    <s v="No está en VPC"/>
    <n v="822"/>
    <s v="INTPG_VPC_817_1.30_822_1.30"/>
    <s v="ISEL-1.30"/>
    <n v="1"/>
    <s v="NO TIENE L3OUT"/>
    <n v="0"/>
    <n v="54"/>
  </r>
  <r>
    <n v="854"/>
    <x v="2"/>
    <x v="195"/>
    <s v="eth1/30"/>
    <x v="0"/>
    <x v="0"/>
    <x v="0"/>
    <s v="LINK_TO_ITHFHWCRMPLCN175 / Slot1.2_20 / Principal"/>
    <x v="0"/>
    <b v="0"/>
    <s v="No está en VPC"/>
    <n v="854"/>
    <s v="INTPG_ACC_854_1.30"/>
    <s v="ISEL-1.30"/>
    <n v="2"/>
    <s v="NO TIENE L3OUT"/>
    <n v="204"/>
    <n v="54"/>
  </r>
  <r>
    <n v="858"/>
    <x v="2"/>
    <x v="196"/>
    <s v="eth1/30"/>
    <x v="0"/>
    <x v="0"/>
    <x v="0"/>
    <s v="To_VPC_2DCBSD_WR54_3"/>
    <x v="0"/>
    <b v="0"/>
    <s v="No está en VPC"/>
    <n v="858"/>
    <s v="INTPG_VPC_858_1.30_863_1.30"/>
    <s v="ISEL-1.30"/>
    <n v="1"/>
    <s v="NO TIENE L3OUT"/>
    <n v="8"/>
    <n v="54"/>
  </r>
  <r>
    <n v="857"/>
    <x v="2"/>
    <x v="197"/>
    <s v="eth1/30"/>
    <x v="0"/>
    <x v="0"/>
    <x v="0"/>
    <s v="LINKT_TO_ITHFHWCRMPLCN125 / Slot1.2_20 / Principal"/>
    <x v="0"/>
    <b v="0"/>
    <s v="No está en VPC"/>
    <n v="857"/>
    <s v="INTPG_ACC_857_1.30"/>
    <s v="ISEL-1.30"/>
    <n v="2"/>
    <s v="NO TIENE L3OUT"/>
    <n v="288"/>
    <n v="54"/>
  </r>
  <r>
    <n v="859"/>
    <x v="2"/>
    <x v="198"/>
    <s v="eth1/30"/>
    <x v="0"/>
    <x v="0"/>
    <x v="0"/>
    <s v="To_VPC_2DCBSD_WR45_3"/>
    <x v="0"/>
    <b v="0"/>
    <s v="No está en VPC"/>
    <n v="859"/>
    <s v="INTPG_VPC_859_1.30_864_1.30"/>
    <s v="ISEL-1.30"/>
    <n v="1"/>
    <s v="NO TIENE L3OUT"/>
    <n v="0"/>
    <n v="54"/>
  </r>
  <r>
    <n v="833"/>
    <x v="2"/>
    <x v="199"/>
    <s v="eth1/30"/>
    <x v="0"/>
    <x v="0"/>
    <x v="0"/>
    <s v="To_ITHFHWCRMDLCN45_Redundante"/>
    <x v="0"/>
    <b v="0"/>
    <s v="No está en VPC"/>
    <n v="833"/>
    <s v="INTPG_ACC_833_1.30"/>
    <s v="ISEL-1.30"/>
    <n v="6"/>
    <s v="NO TIENE L3OUT"/>
    <n v="224"/>
    <n v="54"/>
  </r>
  <r>
    <n v="818"/>
    <x v="2"/>
    <x v="200"/>
    <s v="eth1/30"/>
    <x v="0"/>
    <x v="0"/>
    <x v="0"/>
    <s v="LINK_TO_ITHFHWCBSPSWR34 /10GE.1 /Principal"/>
    <x v="0"/>
    <b v="0"/>
    <s v="No está en VPC"/>
    <n v="818"/>
    <s v="INTPG_VPC_818_1.30_823_1.30"/>
    <s v="ISEL-1.30"/>
    <n v="1"/>
    <s v="NO TIENE L3OUT"/>
    <n v="8"/>
    <n v="54"/>
  </r>
  <r>
    <n v="850"/>
    <x v="2"/>
    <x v="201"/>
    <s v="eth1/30"/>
    <x v="0"/>
    <x v="0"/>
    <x v="0"/>
    <s v="LINKT_TO_ITHFHWCRMPLCN125 / Slot7.2_20 / Redundante"/>
    <x v="0"/>
    <b v="0"/>
    <s v="No está en VPC"/>
    <n v="850"/>
    <s v="INTPG_ACC_850_1.30"/>
    <s v="ISEL-1.30"/>
    <n v="2"/>
    <s v="NO TIENE L3OUT"/>
    <n v="288"/>
    <n v="54"/>
  </r>
  <r>
    <n v="860"/>
    <x v="2"/>
    <x v="202"/>
    <s v="eth1/30"/>
    <x v="0"/>
    <x v="0"/>
    <x v="0"/>
    <s v="To_VPC_2DCBSD_BD16_3"/>
    <x v="0"/>
    <b v="0"/>
    <s v="No está en VPC"/>
    <n v="860"/>
    <s v="INTPG_VPC_860_1.30_865_1.30"/>
    <s v="ISEL-1.30"/>
    <n v="1"/>
    <s v="NO TIENE L3OUT"/>
    <n v="0"/>
    <n v="54"/>
  </r>
  <r>
    <n v="853"/>
    <x v="2"/>
    <x v="203"/>
    <s v="eth1/30"/>
    <x v="0"/>
    <x v="0"/>
    <x v="0"/>
    <s v="LINK_TO_ITHFHWCRMPLCN81 / Slot7.3_20 / Redundante"/>
    <x v="0"/>
    <b v="0"/>
    <s v="No está en VPC"/>
    <n v="853"/>
    <s v="INTPG_ACC_853_1.30"/>
    <s v="ISEL-1.30"/>
    <n v="1"/>
    <s v="NO TIENE L3OUT"/>
    <n v="242"/>
    <n v="54"/>
  </r>
  <r>
    <n v="790"/>
    <x v="2"/>
    <x v="204"/>
    <s v="eth1/30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30"/>
    <x v="0"/>
    <x v="0"/>
    <x v="0"/>
    <s v="DATOS LENOVO"/>
    <x v="6"/>
    <b v="0"/>
    <s v="No está en VPC"/>
    <n v="105"/>
    <s v="INTPG_ACC_105_1.30"/>
    <s v="ISEL-1.30"/>
    <n v="1"/>
    <s v="NO TIENE L3OUT"/>
    <n v="106"/>
    <n v="96"/>
  </r>
  <r>
    <n v="117"/>
    <x v="0"/>
    <x v="206"/>
    <s v="eth1/30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30"/>
    <x v="0"/>
    <x v="0"/>
    <x v="0"/>
    <s v="SILOT"/>
    <x v="6"/>
    <b v="0"/>
    <s v="No está en VPC"/>
    <n v="104"/>
    <s v="INTPG_ACC_104_1.30"/>
    <s v="ISEL-1.30"/>
    <n v="1"/>
    <s v="NO TIENE L3OUT"/>
    <n v="194"/>
    <n v="96"/>
  </r>
  <r>
    <n v="158"/>
    <x v="0"/>
    <x v="208"/>
    <s v="eth1/30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30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30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30"/>
    <x v="1"/>
    <x v="1"/>
    <x v="2"/>
    <m/>
    <x v="6"/>
    <b v="0"/>
    <s v="No está en VPC"/>
    <n v="108"/>
    <s v="INTPG_ACC_108_1.30"/>
    <s v="ISEL-1.30"/>
    <n v="1"/>
    <s v="NO TIENE L3OUT"/>
    <n v="126"/>
    <n v="96"/>
  </r>
  <r>
    <n v="112"/>
    <x v="0"/>
    <x v="212"/>
    <s v="eth1/30"/>
    <x v="1"/>
    <x v="1"/>
    <x v="2"/>
    <s v="SUBEX (Fraud Management)"/>
    <x v="6"/>
    <b v="0"/>
    <s v="No está en VPC"/>
    <n v="112"/>
    <s v="INTPG_ACC_112_1.30"/>
    <s v="ISEL-1.30"/>
    <n v="1"/>
    <s v="NO TIENE L3OUT"/>
    <n v="144"/>
    <n v="96"/>
  </r>
  <r>
    <n v="107"/>
    <x v="0"/>
    <x v="213"/>
    <s v="eth1/30"/>
    <x v="0"/>
    <x v="0"/>
    <x v="0"/>
    <m/>
    <x v="6"/>
    <b v="0"/>
    <s v="No está en VPC"/>
    <n v="107"/>
    <s v="INTPG_ACC_107_1.30"/>
    <s v="ISEL-1.30"/>
    <n v="1"/>
    <s v="NO TIENE L3OUT"/>
    <n v="118"/>
    <n v="96"/>
  </r>
  <r>
    <n v="109"/>
    <x v="0"/>
    <x v="214"/>
    <s v="eth1/30"/>
    <x v="1"/>
    <x v="1"/>
    <x v="2"/>
    <s v="IXT01PP, IXT02PP, IXT05PP"/>
    <x v="6"/>
    <b v="0"/>
    <s v="No está en VPC"/>
    <n v="109"/>
    <s v="INTPG_ACC_109_1.30"/>
    <s v="ISEL-1.30"/>
    <n v="1"/>
    <s v="NO TIENE L3OUT"/>
    <n v="126"/>
    <n v="96"/>
  </r>
  <r>
    <n v="113"/>
    <x v="0"/>
    <x v="215"/>
    <s v="eth1/30"/>
    <x v="0"/>
    <x v="0"/>
    <x v="0"/>
    <s v="RLVYCAN01ILO"/>
    <x v="6"/>
    <b v="0"/>
    <s v="No está en VPC"/>
    <n v="113"/>
    <s v="INTPG_ACC_113_1.30"/>
    <s v="ISEL-1.30"/>
    <n v="1"/>
    <s v="NO TIENE L3OUT"/>
    <n v="52"/>
    <n v="96"/>
  </r>
  <r>
    <n v="114"/>
    <x v="0"/>
    <x v="216"/>
    <s v="eth1/30"/>
    <x v="0"/>
    <x v="0"/>
    <x v="0"/>
    <s v="CHARGING SYSTEM"/>
    <x v="6"/>
    <b v="0"/>
    <s v="No está en VPC"/>
    <n v="114"/>
    <s v="INTPG_ACC_114_1.30"/>
    <s v="ISEL-1.30"/>
    <n v="1"/>
    <s v="NO TIENE L3OUT"/>
    <n v="144"/>
    <n v="96"/>
  </r>
  <r>
    <n v="124"/>
    <x v="0"/>
    <x v="217"/>
    <s v="eth1/30"/>
    <x v="0"/>
    <x v="0"/>
    <x v="0"/>
    <s v="ixtossgwacs"/>
    <x v="6"/>
    <b v="0"/>
    <s v="No está en VPC"/>
    <n v="124"/>
    <s v="INTPG_ACC_124_1.30"/>
    <s v="ISEL-1.30"/>
    <n v="1"/>
    <s v="NO TIENE L3OUT"/>
    <n v="80"/>
    <n v="96"/>
  </r>
  <r>
    <n v="118"/>
    <x v="0"/>
    <x v="218"/>
    <s v="eth1/30"/>
    <x v="0"/>
    <x v="0"/>
    <x v="0"/>
    <s v="DATOS NETCRACKER"/>
    <x v="6"/>
    <b v="0"/>
    <s v="No está en VPC"/>
    <n v="118"/>
    <s v="INTPG_ACC_118_1.30"/>
    <s v="ISEL-1.30"/>
    <n v="1"/>
    <s v="NO TIENE L3OUT"/>
    <n v="180"/>
    <n v="96"/>
  </r>
  <r>
    <n v="159"/>
    <x v="0"/>
    <x v="219"/>
    <s v="eth1/30"/>
    <x v="0"/>
    <x v="0"/>
    <x v="0"/>
    <s v="ArrobaDOC Y CF"/>
    <x v="6"/>
    <b v="0"/>
    <s v="No está en VPC"/>
    <n v="159"/>
    <s v="INTPG_ACC_159_1.30"/>
    <s v="ISEL-1.30"/>
    <n v="1"/>
    <s v="NO TIENE L3OUT"/>
    <n v="72"/>
    <n v="96"/>
  </r>
  <r>
    <n v="840"/>
    <x v="2"/>
    <x v="220"/>
    <s v="eth1/30"/>
    <x v="0"/>
    <x v="0"/>
    <x v="0"/>
    <s v="LINK_TO_ITHFHWCBSPSHD32 / Slot7.2_16 / Redundante"/>
    <x v="0"/>
    <b v="0"/>
    <s v="No está en VPC"/>
    <n v="840"/>
    <s v="INTPG_VPC_835_1.30_840_1.30"/>
    <s v="ISEL-1.30"/>
    <n v="1"/>
    <s v="NO TIENE L3OUT"/>
    <n v="8"/>
    <n v="54"/>
  </r>
  <r>
    <n v="856"/>
    <x v="2"/>
    <x v="221"/>
    <s v="eth1/30"/>
    <x v="0"/>
    <x v="0"/>
    <x v="0"/>
    <s v="LINK_TO_ITHFHWCRMPLCN144 / Slot1.2_22 / Principal"/>
    <x v="0"/>
    <b v="0"/>
    <s v="No está en VPC"/>
    <n v="856"/>
    <s v="INTPG_ACC_856_1.30"/>
    <s v="ISEL-1.30"/>
    <n v="2"/>
    <s v="NO TIENE L3OUT"/>
    <n v="286"/>
    <n v="54"/>
  </r>
  <r>
    <n v="110"/>
    <x v="0"/>
    <x v="222"/>
    <s v="eth1/30"/>
    <x v="0"/>
    <x v="0"/>
    <x v="0"/>
    <s v="DESC"/>
    <x v="6"/>
    <b v="0"/>
    <s v="No está en VPC"/>
    <n v="110"/>
    <s v="INTPG_PC_110_1.15-16_22-23_30"/>
    <s v="ISEL-1.30"/>
    <n v="1"/>
    <s v="NO TIENE L3OUT"/>
    <n v="102"/>
    <n v="96"/>
  </r>
  <r>
    <n v="163"/>
    <x v="0"/>
    <x v="223"/>
    <s v="eth1/30"/>
    <x v="0"/>
    <x v="0"/>
    <x v="0"/>
    <s v="desc"/>
    <x v="6"/>
    <b v="0"/>
    <s v="No está en VPC"/>
    <n v="163"/>
    <s v="INTPG_VPC_161_1.31_163_1.30"/>
    <s v="ISEL-1.30"/>
    <n v="1"/>
    <s v="NO TIENE L3OUT"/>
    <n v="140"/>
    <n v="96"/>
  </r>
  <r>
    <n v="407"/>
    <x v="1"/>
    <x v="224"/>
    <s v="eth1/30"/>
    <x v="0"/>
    <x v="0"/>
    <x v="0"/>
    <s v="ITHSAN2C"/>
    <x v="6"/>
    <b v="0"/>
    <s v="No está en VPC"/>
    <n v="407"/>
    <s v="INTPG_ACC_407_1.30"/>
    <s v="ISEL-1.30"/>
    <n v="1"/>
    <s v="NO TIENE L3OUT"/>
    <n v="122"/>
    <n v="96"/>
  </r>
  <r>
    <n v="171"/>
    <x v="0"/>
    <x v="225"/>
    <s v="eth1/30"/>
    <x v="0"/>
    <x v="1"/>
    <x v="1"/>
    <s v="netqosSDS01_ilom"/>
    <x v="6"/>
    <b v="0"/>
    <s v="No está en VPC"/>
    <n v="171"/>
    <s v="INTPG_ACC_171_1.30"/>
    <s v="ISEL-1.30"/>
    <n v="1"/>
    <s v="NO TIENE L3OUT"/>
    <n v="114"/>
    <n v="96"/>
  </r>
  <r>
    <n v="421"/>
    <x v="1"/>
    <x v="226"/>
    <s v="eth1/30"/>
    <x v="0"/>
    <x v="0"/>
    <x v="0"/>
    <s v="VTA_uxvta073_NETMGT"/>
    <x v="6"/>
    <b v="0"/>
    <s v="No está en VPC"/>
    <n v="421"/>
    <s v="INTPG_ACC_421_1.30"/>
    <s v="ISEL-1.30"/>
    <n v="1"/>
    <s v="NO TIENE L3OUT"/>
    <n v="72"/>
    <n v="96"/>
  </r>
  <r>
    <n v="173"/>
    <x v="0"/>
    <x v="227"/>
    <s v="eth1/30"/>
    <x v="0"/>
    <x v="1"/>
    <x v="1"/>
    <s v="ENIQ_1"/>
    <x v="6"/>
    <b v="0"/>
    <s v="No está en VPC"/>
    <n v="173"/>
    <s v="INTPG_PC_173_1.28-33"/>
    <s v="ISEL-1.30"/>
    <n v="3"/>
    <s v="NO TIENE L3OUT"/>
    <n v="66"/>
    <n v="96"/>
  </r>
  <r>
    <n v="154"/>
    <x v="0"/>
    <x v="228"/>
    <s v="eth1/30"/>
    <x v="0"/>
    <x v="0"/>
    <x v="0"/>
    <s v=" POLYVIEW_KVM"/>
    <x v="6"/>
    <b v="0"/>
    <s v="No está en VPC"/>
    <n v="154"/>
    <s v="INTPG_ACC_154_1.30"/>
    <s v="ISEL-1.30"/>
    <n v="1"/>
    <s v="NO TIENE L3OUT"/>
    <n v="62"/>
    <n v="96"/>
  </r>
  <r>
    <n v="172"/>
    <x v="0"/>
    <x v="229"/>
    <s v="eth1/30"/>
    <x v="0"/>
    <x v="1"/>
    <x v="1"/>
    <s v="netqosACS01"/>
    <x v="6"/>
    <b v="0"/>
    <s v="No está en VPC"/>
    <n v="172"/>
    <s v="INTPG_ACC_172_1.30"/>
    <s v="ISEL-1.30"/>
    <n v="1"/>
    <s v="NO TIENE L3OUT"/>
    <n v="104"/>
    <n v="96"/>
  </r>
  <r>
    <n v="420"/>
    <x v="1"/>
    <x v="230"/>
    <s v="eth1/30"/>
    <x v="0"/>
    <x v="0"/>
    <x v="0"/>
    <s v="TO-ITHFDEOCP1LWR07-PRINCIPAL"/>
    <x v="6"/>
    <b v="0"/>
    <s v="No está en VPC"/>
    <n v="420"/>
    <s v="INTPG_ACC_420_1.30"/>
    <s v="ISEL-1.30"/>
    <n v="1"/>
    <s v="NO TIENE L3OUT"/>
    <n v="158"/>
    <n v="96"/>
  </r>
  <r>
    <n v="423"/>
    <x v="1"/>
    <x v="231"/>
    <s v="eth1/30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30"/>
    <x v="0"/>
    <x v="0"/>
    <x v="0"/>
    <s v="To-uxingemc2"/>
    <x v="6"/>
    <b v="0"/>
    <s v="No está en VPC"/>
    <n v="415"/>
    <s v="INTPG_ACC_415_1.30"/>
    <s v="ISEL-1.30"/>
    <n v="1"/>
    <s v="NO TIENE L3OUT"/>
    <n v="52"/>
    <n v="96"/>
  </r>
  <r>
    <n v="102"/>
    <x v="0"/>
    <x v="233"/>
    <s v="eth1/30"/>
    <x v="0"/>
    <x v="1"/>
    <x v="1"/>
    <s v="SFLDI:RLDIBI202:1"/>
    <x v="6"/>
    <b v="0"/>
    <s v="No está en VPC"/>
    <n v="102"/>
    <s v="INTPG_ACC_102_1.30"/>
    <s v="ISEL-1.30"/>
    <n v="1"/>
    <s v="NO TIENE L3OUT"/>
    <n v="228"/>
    <n v="96"/>
  </r>
  <r>
    <n v="863"/>
    <x v="2"/>
    <x v="234"/>
    <s v="eth1/30"/>
    <x v="0"/>
    <x v="0"/>
    <x v="0"/>
    <s v="To_VPC_2DCBSD_WR54_3"/>
    <x v="0"/>
    <b v="0"/>
    <s v="No está en VPC"/>
    <n v="863"/>
    <s v="INTPG_VPC_858_1.30_863_1.30"/>
    <s v="ISEL-1.30"/>
    <n v="1"/>
    <s v="NO TIENE L3OUT"/>
    <n v="8"/>
    <n v="54"/>
  </r>
  <r>
    <n v="876"/>
    <x v="2"/>
    <x v="235"/>
    <s v="eth1/30"/>
    <x v="0"/>
    <x v="0"/>
    <x v="0"/>
    <s v="A_ITHFHWSEQLCAS29_Principal"/>
    <x v="4"/>
    <b v="0"/>
    <s v="No está en VPC"/>
    <n v="876"/>
    <s v="INTPG_ACC_876_1.30"/>
    <s v="ISEL-1.30"/>
    <n v="1"/>
    <s v="NO TIENE L3OUT"/>
    <n v="92"/>
    <n v="54"/>
  </r>
  <r>
    <n v="877"/>
    <x v="2"/>
    <x v="236"/>
    <s v="eth1/30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30"/>
    <x v="0"/>
    <x v="0"/>
    <x v="0"/>
    <s v="IXTRTC5"/>
    <x v="6"/>
    <b v="0"/>
    <s v="No está en VPC"/>
    <n v="122"/>
    <s v="INTPG_ACC_122_1.30"/>
    <s v="ISEL-1.30"/>
    <n v="1"/>
    <s v="NO TIENE L3OUT"/>
    <n v="148"/>
    <n v="96"/>
  </r>
  <r>
    <n v="157"/>
    <x v="0"/>
    <x v="238"/>
    <s v="eth1/30"/>
    <x v="1"/>
    <x v="1"/>
    <x v="2"/>
    <s v="RED CRICKET"/>
    <x v="6"/>
    <b v="0"/>
    <s v="No está en VPC"/>
    <n v="157"/>
    <s v="INTPG_ACC_157_1.30"/>
    <s v="ISEL-1.30"/>
    <n v="1"/>
    <s v="NO TIENE L3OUT"/>
    <n v="202"/>
    <n v="96"/>
  </r>
  <r>
    <n v="408"/>
    <x v="1"/>
    <x v="239"/>
    <s v="eth1/30"/>
    <x v="0"/>
    <x v="0"/>
    <x v="0"/>
    <s v="NPO101"/>
    <x v="6"/>
    <b v="0"/>
    <s v="No está en VPC"/>
    <n v="408"/>
    <s v="INTPG_ACC_408_1.30"/>
    <s v="ISEL-1.30"/>
    <n v="1"/>
    <s v="NO TIENE L3OUT"/>
    <n v="152"/>
    <n v="96"/>
  </r>
  <r>
    <n v="405"/>
    <x v="1"/>
    <x v="240"/>
    <s v="eth1/30"/>
    <x v="0"/>
    <x v="0"/>
    <x v="0"/>
    <s v="IXT_ARIESO7_LDR3"/>
    <x v="6"/>
    <b v="0"/>
    <s v="No está en VPC"/>
    <n v="405"/>
    <s v="INTPG_ACC_405_1.30"/>
    <s v="ISEL-1.30"/>
    <n v="1"/>
    <s v="NO TIENE L3OUT"/>
    <n v="138"/>
    <n v="96"/>
  </r>
  <r>
    <n v="169"/>
    <x v="0"/>
    <x v="241"/>
    <s v="eth1/30"/>
    <x v="0"/>
    <x v="0"/>
    <x v="0"/>
    <s v="LINKDOWN_HACIA_UCS_9UCS-IXTLA-SERV4"/>
    <x v="6"/>
    <b v="0"/>
    <s v="No está en VPC"/>
    <n v="169"/>
    <s v="INTPG_ACC_169_1.30"/>
    <s v="ISEL-1.30"/>
    <n v="1"/>
    <s v="NO TIENE L3OUT"/>
    <n v="76"/>
    <n v="96"/>
  </r>
  <r>
    <n v="165"/>
    <x v="0"/>
    <x v="242"/>
    <s v="eth1/30"/>
    <x v="1"/>
    <x v="1"/>
    <x v="2"/>
    <s v="NPG_DOC"/>
    <x v="6"/>
    <b v="0"/>
    <s v="No está en VPC"/>
    <n v="165"/>
    <s v="INTPG_ACC_165_1.30"/>
    <s v="ISEL-1.30"/>
    <n v="0"/>
    <s v="NO TIENE L3OUT"/>
    <n v="86"/>
    <n v="96"/>
  </r>
  <r>
    <n v="417"/>
    <x v="1"/>
    <x v="243"/>
    <s v="eth1/30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30"/>
    <x v="0"/>
    <x v="0"/>
    <x v="0"/>
    <m/>
    <x v="6"/>
    <b v="0"/>
    <s v="No está en VPC"/>
    <n v="153"/>
    <s v="INTPG_ACC_153_1.30"/>
    <s v="ISEL-1.30"/>
    <n v="1"/>
    <s v="NO TIENE L3OUT"/>
    <n v="42"/>
    <n v="96"/>
  </r>
  <r>
    <n v="119"/>
    <x v="0"/>
    <x v="245"/>
    <s v="eth1/30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30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30"/>
    <x v="0"/>
    <x v="1"/>
    <x v="1"/>
    <s v="CAMPANAS 01-02:uxcamp03:ent0"/>
    <x v="6"/>
    <b v="0"/>
    <s v="No está en VPC"/>
    <n v="103"/>
    <s v="INTPG_ACC_103_1.30"/>
    <s v="ISEL-1.30"/>
    <n v="1"/>
    <s v="NO TIENE L3OUT"/>
    <n v="70"/>
    <n v="96"/>
  </r>
  <r>
    <n v="438"/>
    <x v="1"/>
    <x v="248"/>
    <s v="eth1/30"/>
    <x v="0"/>
    <x v="0"/>
    <x v="0"/>
    <s v="DESC"/>
    <x v="6"/>
    <b v="0"/>
    <s v="No está en VPC"/>
    <n v="438"/>
    <s v="INTPG_PC_438_1.30-35"/>
    <s v="ISEL-1.30"/>
    <n v="7"/>
    <s v="NO TIENE L3OUT"/>
    <n v="170"/>
    <n v="96"/>
  </r>
  <r>
    <n v="406"/>
    <x v="1"/>
    <x v="249"/>
    <s v="eth1/30"/>
    <x v="0"/>
    <x v="0"/>
    <x v="0"/>
    <s v="PCRF1_CLT"/>
    <x v="6"/>
    <b v="0"/>
    <s v="No está en VPC"/>
    <n v="406"/>
    <s v="INTPG_VPC_404_1.29-30_406_1.29-30"/>
    <s v="ISEL-1.30"/>
    <n v="5"/>
    <s v="NO TIENE L3OUT"/>
    <n v="82"/>
    <n v="96"/>
  </r>
  <r>
    <n v="414"/>
    <x v="1"/>
    <x v="250"/>
    <s v="eth1/30"/>
    <x v="0"/>
    <x v="0"/>
    <x v="0"/>
    <s v="ITHMSNUBE1_ITH1"/>
    <x v="6"/>
    <b v="0"/>
    <s v="No está en VPC"/>
    <n v="414"/>
    <s v="INTPG_ACC_414_1.30"/>
    <s v="ISEL-1.30"/>
    <n v="1"/>
    <s v="NO TIENE L3OUT"/>
    <n v="144"/>
    <n v="96"/>
  </r>
  <r>
    <n v="416"/>
    <x v="1"/>
    <x v="251"/>
    <s v="eth1/30"/>
    <x v="0"/>
    <x v="0"/>
    <x v="0"/>
    <s v="DESC"/>
    <x v="6"/>
    <b v="0"/>
    <s v="No está en VPC"/>
    <n v="416"/>
    <s v="INTPG_PC_416_1.30-31"/>
    <s v="ISEL-1.30"/>
    <n v="1"/>
    <s v="NO TIENE L3OUT"/>
    <n v="110"/>
    <n v="96"/>
  </r>
  <r>
    <n v="418"/>
    <x v="1"/>
    <x v="252"/>
    <s v="eth1/30"/>
    <x v="0"/>
    <x v="1"/>
    <x v="1"/>
    <s v="DESC"/>
    <x v="6"/>
    <b v="0"/>
    <s v="No está en VPC"/>
    <n v="418"/>
    <s v="INTPG_PC_418_1.30-31"/>
    <s v="ISEL-1.30"/>
    <n v="1"/>
    <s v="NO TIENE L3OUT"/>
    <n v="152"/>
    <n v="96"/>
  </r>
  <r>
    <n v="413"/>
    <x v="1"/>
    <x v="253"/>
    <s v="eth1/30"/>
    <x v="0"/>
    <x v="0"/>
    <x v="0"/>
    <s v="lagidmhlapvp12_produccion1"/>
    <x v="6"/>
    <b v="0"/>
    <s v="No está en VPC"/>
    <n v="413"/>
    <s v="INTPG_VPC_411_1.36-39_413_1.29-32"/>
    <s v="ISEL-1.30"/>
    <n v="2"/>
    <s v="NO TIENE L3OUT"/>
    <n v="126"/>
    <n v="96"/>
  </r>
  <r>
    <n v="403"/>
    <x v="1"/>
    <x v="254"/>
    <s v="eth1/30"/>
    <x v="0"/>
    <x v="0"/>
    <x v="0"/>
    <s v="IXT_ARIESO7_LDR3"/>
    <x v="6"/>
    <b v="0"/>
    <s v="No está en VPC"/>
    <n v="403"/>
    <s v="INTPG_ACC_403_1.30"/>
    <s v="ISEL-1.30"/>
    <n v="1"/>
    <s v="NO TIENE L3OUT"/>
    <n v="150"/>
    <n v="96"/>
  </r>
  <r>
    <n v="125"/>
    <x v="0"/>
    <x v="255"/>
    <s v="eth1/30"/>
    <x v="1"/>
    <x v="1"/>
    <x v="2"/>
    <s v="Politicas de Navegacion"/>
    <x v="6"/>
    <b v="0"/>
    <s v="No está en VPC"/>
    <n v="125"/>
    <s v="INTPG_VPC_124_1.26-27_125_1.29-30"/>
    <s v="ISEL-1.30"/>
    <n v="5"/>
    <s v="NO TIENE L3OUT"/>
    <n v="72"/>
    <n v="96"/>
  </r>
  <r>
    <n v="166"/>
    <x v="0"/>
    <x v="256"/>
    <s v="eth1/30"/>
    <x v="0"/>
    <x v="0"/>
    <x v="0"/>
    <s v="NPG_DOC"/>
    <x v="6"/>
    <b v="0"/>
    <s v="No está en VPC"/>
    <n v="166"/>
    <s v="INTPG_ACC_166_1.30"/>
    <s v="ISEL-1.30"/>
    <n v="1"/>
    <s v="NO TIENE L3OUT"/>
    <n v="84"/>
    <n v="96"/>
  </r>
  <r>
    <n v="111"/>
    <x v="0"/>
    <x v="257"/>
    <s v="eth1/30"/>
    <x v="0"/>
    <x v="0"/>
    <x v="0"/>
    <s v="DESC"/>
    <x v="6"/>
    <b v="0"/>
    <s v="No está en VPC"/>
    <n v="111"/>
    <s v="INTPG_PC_111_1.15-16_22-23_30"/>
    <s v="ISEL-1.30"/>
    <n v="1"/>
    <s v="NO TIENE L3OUT"/>
    <n v="58"/>
    <n v="96"/>
  </r>
  <r>
    <n v="115"/>
    <x v="0"/>
    <x v="258"/>
    <s v="eth1/30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30"/>
    <x v="0"/>
    <x v="1"/>
    <x v="1"/>
    <s v="OPEN VIEW BACK"/>
    <x v="6"/>
    <b v="0"/>
    <s v="No está en VPC"/>
    <n v="106"/>
    <s v="INTPG_ACC_106_1.30"/>
    <s v="ISEL-1.30"/>
    <n v="1"/>
    <s v="NO TIENE L3OUT"/>
    <n v="122"/>
    <n v="96"/>
  </r>
  <r>
    <n v="126"/>
    <x v="0"/>
    <x v="260"/>
    <s v="eth1/30"/>
    <x v="0"/>
    <x v="0"/>
    <x v="0"/>
    <s v="ENIQ"/>
    <x v="6"/>
    <b v="0"/>
    <s v="No está en VPC"/>
    <n v="126"/>
    <s v="INTPG_ACC_126_1.30"/>
    <s v="ISEL-1.30"/>
    <n v="1"/>
    <s v="NO TIENE L3OUT"/>
    <n v="54"/>
    <n v="96"/>
  </r>
  <r>
    <n v="425"/>
    <x v="1"/>
    <x v="261"/>
    <s v="eth1/30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30"/>
    <x v="0"/>
    <x v="0"/>
    <x v="0"/>
    <s v="IXTPA1PC"/>
    <x v="6"/>
    <b v="0"/>
    <s v="No está en VPC"/>
    <n v="151"/>
    <s v="INTPG_ACC_151_1.30"/>
    <s v="ISEL-1.30"/>
    <n v="1"/>
    <s v="NO TIENE L3OUT"/>
    <n v="86"/>
    <n v="96"/>
  </r>
  <r>
    <n v="430"/>
    <x v="1"/>
    <x v="263"/>
    <s v="eth1/30"/>
    <x v="0"/>
    <x v="0"/>
    <x v="0"/>
    <s v="DESC"/>
    <x v="6"/>
    <b v="0"/>
    <s v="No está en VPC"/>
    <n v="430"/>
    <s v="INTPG_PC_430_1.29-30"/>
    <s v="ISEL-1.30"/>
    <n v="1"/>
    <s v="NO TIENE L3OUT"/>
    <n v="86"/>
    <n v="96"/>
  </r>
  <r>
    <n v="419"/>
    <x v="1"/>
    <x v="264"/>
    <s v="eth1/30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30"/>
    <x v="1"/>
    <x v="1"/>
    <x v="2"/>
    <s v="RED CRICKET"/>
    <x v="6"/>
    <b v="0"/>
    <s v="No está en VPC"/>
    <n v="155"/>
    <s v="INTPG_ACC_155_1.30"/>
    <s v="ISEL-1.30"/>
    <n v="1"/>
    <s v="NO TIENE L3OUT"/>
    <n v="198"/>
    <n v="96"/>
  </r>
  <r>
    <n v="409"/>
    <x v="1"/>
    <x v="266"/>
    <s v="eth1/30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30"/>
    <x v="0"/>
    <x v="0"/>
    <x v="0"/>
    <s v="IXTSD971A"/>
    <x v="6"/>
    <b v="0"/>
    <s v="No está en VPC"/>
    <n v="422"/>
    <s v="INTPG_ACC_422_1.30"/>
    <s v="ISEL-1.30"/>
    <n v="1"/>
    <s v="NO TIENE L3OUT"/>
    <n v="182"/>
    <n v="96"/>
  </r>
  <r>
    <n v="436"/>
    <x v="1"/>
    <x v="268"/>
    <s v="eth1/30"/>
    <x v="0"/>
    <x v="0"/>
    <x v="0"/>
    <s v="TC3_ithmomce1_VC1_X6"/>
    <x v="6"/>
    <b v="0"/>
    <s v="No está en VPC"/>
    <n v="436"/>
    <s v="INTPG_ACC_436_1.30"/>
    <s v="ISEL-1.30"/>
    <n v="7"/>
    <s v="NO TIENE L3OUT"/>
    <n v="172"/>
    <n v="96"/>
  </r>
  <r>
    <n v="410"/>
    <x v="1"/>
    <x v="269"/>
    <s v="eth1/30"/>
    <x v="0"/>
    <x v="0"/>
    <x v="0"/>
    <s v="ITHMSVB2_IGB2"/>
    <x v="6"/>
    <b v="0"/>
    <s v="No está en VPC"/>
    <n v="410"/>
    <s v="INTPG_ACC_410_1.30"/>
    <s v="ISEL-1.30"/>
    <n v="1"/>
    <s v="NO TIENE L3OUT"/>
    <n v="178"/>
    <n v="96"/>
  </r>
  <r>
    <n v="161"/>
    <x v="0"/>
    <x v="270"/>
    <s v="eth1/30"/>
    <x v="0"/>
    <x v="0"/>
    <x v="0"/>
    <m/>
    <x v="6"/>
    <b v="0"/>
    <s v="No está en VPC"/>
    <n v="161"/>
    <s v="INTPG_ACC_161_1.30"/>
    <s v="ISEL-1.30"/>
    <n v="1"/>
    <s v="NO TIENE L3OUT"/>
    <n v="102"/>
    <n v="96"/>
  </r>
  <r>
    <n v="411"/>
    <x v="1"/>
    <x v="271"/>
    <s v="eth1/30"/>
    <x v="0"/>
    <x v="0"/>
    <x v="0"/>
    <m/>
    <x v="6"/>
    <b v="0"/>
    <s v="No está en VPC"/>
    <n v="411"/>
    <s v="INTPG_ACC_411_1.30"/>
    <s v="ISEL-1.30"/>
    <n v="2"/>
    <s v="NO TIENE L3OUT"/>
    <n v="96"/>
    <n v="96"/>
  </r>
  <r>
    <n v="116"/>
    <x v="0"/>
    <x v="272"/>
    <s v="eth1/30"/>
    <x v="0"/>
    <x v="0"/>
    <x v="0"/>
    <s v="INGE6"/>
    <x v="6"/>
    <b v="0"/>
    <s v="No está en VPC"/>
    <n v="116"/>
    <s v="INTPG_ACC_116_1.30"/>
    <s v="ISEL-1.30"/>
    <n v="1"/>
    <s v="NO TIENE L3OUT"/>
    <n v="148"/>
    <n v="96"/>
  </r>
  <r>
    <n v="412"/>
    <x v="1"/>
    <x v="273"/>
    <s v="eth1/30"/>
    <x v="0"/>
    <x v="0"/>
    <x v="0"/>
    <s v="FS101"/>
    <x v="6"/>
    <b v="0"/>
    <s v="No está en VPC"/>
    <n v="412"/>
    <s v="INTPG_ACC_412_1.30"/>
    <s v="ISEL-1.30"/>
    <n v="1"/>
    <s v="NO TIENE L3OUT"/>
    <n v="126"/>
    <n v="96"/>
  </r>
  <r>
    <n v="120"/>
    <x v="0"/>
    <x v="274"/>
    <s v="eth1/30"/>
    <x v="0"/>
    <x v="0"/>
    <x v="0"/>
    <s v="IXTRTC5"/>
    <x v="6"/>
    <b v="0"/>
    <s v="No está en VPC"/>
    <n v="120"/>
    <s v="INTPG_ACC_120_1.30"/>
    <s v="ISEL-1.30"/>
    <n v="1"/>
    <s v="NO TIENE L3OUT"/>
    <n v="158"/>
    <n v="96"/>
  </r>
  <r>
    <n v="404"/>
    <x v="1"/>
    <x v="275"/>
    <s v="eth1/30"/>
    <x v="0"/>
    <x v="0"/>
    <x v="0"/>
    <s v="PCRF1_CLT"/>
    <x v="6"/>
    <b v="0"/>
    <s v="No está en VPC"/>
    <n v="404"/>
    <s v="INTPG_VPC_404_1.29-30_406_1.29-30"/>
    <s v="ISEL-1.30"/>
    <n v="5"/>
    <s v="NO TIENE L3OUT"/>
    <n v="92"/>
    <n v="96"/>
  </r>
  <r>
    <n v="167"/>
    <x v="0"/>
    <x v="276"/>
    <s v="eth1/30"/>
    <x v="0"/>
    <x v="0"/>
    <x v="0"/>
    <s v="TO-CORE_SWITCH-3-Y-4"/>
    <x v="6"/>
    <b v="0"/>
    <s v="No está en VPC"/>
    <n v="167"/>
    <s v="INTPG_VPC_167_1.30-32_169_1.21-23"/>
    <s v="ISEL-1.30"/>
    <n v="4"/>
    <s v="NO TIENE L3OUT"/>
    <n v="68"/>
    <n v="96"/>
  </r>
  <r>
    <n v="428"/>
    <x v="1"/>
    <x v="277"/>
    <s v="eth1/30"/>
    <x v="0"/>
    <x v="0"/>
    <x v="0"/>
    <s v="DESC"/>
    <x v="6"/>
    <b v="0"/>
    <s v="No está en VPC"/>
    <n v="428"/>
    <s v="INTPG_PC_428_1.29-30"/>
    <s v="ISEL-1.30"/>
    <n v="1"/>
    <s v="NO TIENE L3OUT"/>
    <n v="102"/>
    <n v="96"/>
  </r>
  <r>
    <n v="903"/>
    <x v="2"/>
    <x v="278"/>
    <s v="eth1/30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30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758"/>
    <x v="2"/>
    <x v="15"/>
    <s v="eth1/30/1"/>
    <x v="0"/>
    <x v="0"/>
    <x v="0"/>
    <s v="Cloud_Phase3"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30/1"/>
    <x v="0"/>
    <x v="0"/>
    <x v="0"/>
    <s v="Cloud_Phase3"/>
    <x v="2"/>
    <b v="0"/>
    <s v="No está en VPC"/>
    <n v="759"/>
    <s v="NO EXISTE PG"/>
    <s v="NO EXISTE ISEL"/>
    <n v="0"/>
    <s v="NO TIENE L3OUT"/>
    <n v="0"/>
    <n v="42"/>
  </r>
  <r>
    <n v="758"/>
    <x v="2"/>
    <x v="15"/>
    <s v="eth1/30/2"/>
    <x v="0"/>
    <x v="0"/>
    <x v="0"/>
    <s v="Cloud_Phase3"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30/2"/>
    <x v="0"/>
    <x v="0"/>
    <x v="0"/>
    <s v="Cloud_Phase3"/>
    <x v="2"/>
    <b v="0"/>
    <s v="No está en VPC"/>
    <n v="759"/>
    <s v="NO EXISTE PG"/>
    <s v="NO EXISTE ISEL"/>
    <n v="0"/>
    <s v="NO TIENE L3OUT"/>
    <n v="0"/>
    <n v="42"/>
  </r>
  <r>
    <n v="758"/>
    <x v="2"/>
    <x v="15"/>
    <s v="eth1/30/3"/>
    <x v="0"/>
    <x v="1"/>
    <x v="1"/>
    <m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30/3"/>
    <x v="1"/>
    <x v="1"/>
    <x v="2"/>
    <m/>
    <x v="2"/>
    <b v="0"/>
    <s v="No está en VPC"/>
    <n v="759"/>
    <s v="NO EXISTE PG"/>
    <s v="NO EXISTE ISEL"/>
    <n v="0"/>
    <s v="NO TIENE L3OUT"/>
    <n v="0"/>
    <n v="42"/>
  </r>
  <r>
    <n v="758"/>
    <x v="2"/>
    <x v="15"/>
    <s v="eth1/30/4"/>
    <x v="0"/>
    <x v="1"/>
    <x v="1"/>
    <m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30/4"/>
    <x v="1"/>
    <x v="1"/>
    <x v="2"/>
    <m/>
    <x v="2"/>
    <b v="0"/>
    <s v="No está en VPC"/>
    <n v="759"/>
    <s v="NO EXISTE PG"/>
    <s v="NO EXISTE ISEL"/>
    <n v="0"/>
    <s v="NO TIENE L3OUT"/>
    <n v="0"/>
    <n v="42"/>
  </r>
  <r>
    <n v="128"/>
    <x v="0"/>
    <x v="0"/>
    <s v="eth1/31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31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31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31"/>
    <x v="0"/>
    <x v="0"/>
    <x v="0"/>
    <s v="TO-ITHEMCDD94009668"/>
    <x v="0"/>
    <b v="0"/>
    <s v="No está en VPC"/>
    <n v="101"/>
    <s v="INTPG_VPC_101_1.31-32_150_1.32"/>
    <s v="ISEL-1.31"/>
    <n v="1"/>
    <s v="NO TIENE L3OUT"/>
    <n v="114"/>
    <n v="54"/>
  </r>
  <r>
    <n v="160"/>
    <x v="0"/>
    <x v="4"/>
    <s v="eth1/31"/>
    <x v="0"/>
    <x v="0"/>
    <x v="0"/>
    <s v="ArrobaDOC Y CF"/>
    <x v="1"/>
    <b v="0"/>
    <s v="No está en VPC"/>
    <n v="160"/>
    <s v="INTPG_ACC_160_1.31"/>
    <s v="ISEL-1.31"/>
    <n v="1"/>
    <s v="NO TIENE L3OUT"/>
    <n v="68"/>
    <n v="54"/>
  </r>
  <r>
    <n v="121"/>
    <x v="0"/>
    <x v="5"/>
    <s v="eth1/31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31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31"/>
    <x v="0"/>
    <x v="0"/>
    <x v="0"/>
    <s v="TO-ithfdlroamrap01"/>
    <x v="0"/>
    <b v="0"/>
    <s v="No está en VPC"/>
    <n v="401"/>
    <s v="INTPG_VPC_401_1.31-32_402_1.31-32"/>
    <s v="ISEL-1.31"/>
    <n v="1"/>
    <s v="NO TIENE L3OUT"/>
    <n v="40"/>
    <n v="54"/>
  </r>
  <r>
    <n v="402"/>
    <x v="1"/>
    <x v="8"/>
    <s v="eth1/31"/>
    <x v="0"/>
    <x v="0"/>
    <x v="0"/>
    <s v="TO-ithfdlroamrap01"/>
    <x v="0"/>
    <b v="0"/>
    <s v="No está en VPC"/>
    <n v="402"/>
    <s v="INTPG_VPC_401_1.31-32_402_1.31-32"/>
    <s v="ISEL-1.31"/>
    <n v="1"/>
    <s v="NO TIENE L3OUT"/>
    <n v="36"/>
    <n v="54"/>
  </r>
  <r>
    <n v="447"/>
    <x v="1"/>
    <x v="9"/>
    <s v="eth1/31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31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31"/>
    <x v="0"/>
    <x v="0"/>
    <x v="0"/>
    <s v="LAG-smt-comp-06"/>
    <x v="0"/>
    <b v="0"/>
    <s v="No está en VPC"/>
    <n v="130"/>
    <s v="INTPG_VPC_130_1.31-32_131_1.31-32"/>
    <s v="ISEL-1.31"/>
    <n v="4"/>
    <s v="NO TIENE L3OUT"/>
    <n v="128"/>
    <n v="54"/>
  </r>
  <r>
    <n v="150"/>
    <x v="0"/>
    <x v="12"/>
    <s v="eth1/31"/>
    <x v="0"/>
    <x v="0"/>
    <x v="0"/>
    <s v="TO-ITHEMCDD94009668-PRINCIPAL"/>
    <x v="0"/>
    <b v="0"/>
    <s v="No está en VPC"/>
    <n v="150"/>
    <s v="INTPG_ACC_150_1.31"/>
    <s v="ISEL-1.31"/>
    <n v="1"/>
    <s v="NO TIENE L3OUT"/>
    <n v="118"/>
    <n v="54"/>
  </r>
  <r>
    <n v="131"/>
    <x v="0"/>
    <x v="13"/>
    <s v="eth1/31"/>
    <x v="0"/>
    <x v="0"/>
    <x v="0"/>
    <s v="LAG-smt-comp-06"/>
    <x v="0"/>
    <b v="0"/>
    <s v="No está en VPC"/>
    <n v="131"/>
    <s v="INTPG_VPC_130_1.31-32_131_1.31-32"/>
    <s v="ISEL-1.31"/>
    <n v="4"/>
    <s v="NO TIENE L3OUT"/>
    <n v="126"/>
    <n v="54"/>
  </r>
  <r>
    <n v="303"/>
    <x v="0"/>
    <x v="14"/>
    <s v="eth1/31"/>
    <x v="0"/>
    <x v="0"/>
    <x v="0"/>
    <s v="LINK_HACIA_RMAC"/>
    <x v="3"/>
    <b v="0"/>
    <s v="No está en VPC"/>
    <n v="303"/>
    <s v="NO EXISTE PG"/>
    <s v="NO EXISTE ISEL"/>
    <n v="0"/>
    <s v="multipod"/>
    <n v="0"/>
    <s v="SPINE"/>
  </r>
  <r>
    <n v="758"/>
    <x v="2"/>
    <x v="15"/>
    <s v="eth1/31"/>
    <x v="0"/>
    <x v="1"/>
    <x v="3"/>
    <m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31"/>
    <x v="1"/>
    <x v="1"/>
    <x v="3"/>
    <m/>
    <x v="2"/>
    <b v="0"/>
    <s v="No está en VPC"/>
    <n v="759"/>
    <s v="NO EXISTE PG"/>
    <s v="NO EXISTE ISEL"/>
    <n v="0"/>
    <s v="NO TIENE L3OUT"/>
    <n v="0"/>
    <n v="42"/>
  </r>
  <r>
    <n v="302"/>
    <x v="0"/>
    <x v="17"/>
    <s v="eth1/31"/>
    <x v="0"/>
    <x v="0"/>
    <x v="0"/>
    <s v="LINK_HACIA_RMAC"/>
    <x v="3"/>
    <b v="0"/>
    <s v="No está en VPC"/>
    <n v="302"/>
    <s v="NO EXISTE PG"/>
    <s v="NO EXISTE ISEL"/>
    <n v="0"/>
    <s v="multipod"/>
    <n v="0"/>
    <s v="SPINE"/>
  </r>
  <r>
    <n v="424"/>
    <x v="1"/>
    <x v="18"/>
    <s v="eth1/31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31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31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31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31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31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31"/>
    <x v="0"/>
    <x v="0"/>
    <x v="0"/>
    <s v="LINK_HACIA_RMAC"/>
    <x v="3"/>
    <b v="0"/>
    <s v="No está en VPC"/>
    <n v="602"/>
    <s v="NO EXISTE PG"/>
    <s v="NO EXISTE ISEL"/>
    <n v="0"/>
    <s v="multipod"/>
    <n v="0"/>
    <s v="SPINE"/>
  </r>
  <r>
    <n v="725"/>
    <x v="2"/>
    <x v="25"/>
    <s v="eth1/31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31"/>
    <x v="0"/>
    <x v="1"/>
    <x v="4"/>
    <s v="TO-DD8139PC1"/>
    <x v="0"/>
    <b v="0"/>
    <s v="No está en VPC"/>
    <n v="431"/>
    <s v="INTPG_VPC_431_1.31_448_1.31"/>
    <s v="ISEL-1.31"/>
    <n v="1"/>
    <s v="NO TIENE L3OUT"/>
    <n v="46"/>
    <n v="54"/>
  </r>
  <r>
    <n v="433"/>
    <x v="1"/>
    <x v="27"/>
    <s v="eth1/31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31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31"/>
    <x v="0"/>
    <x v="0"/>
    <x v="0"/>
    <s v="TO-ITHEMCPM8K3019DKC0-PRINCIPAL"/>
    <x v="1"/>
    <b v="0"/>
    <s v="No está en VPC"/>
    <n v="432"/>
    <s v="INTPG_ACC_432_1.31"/>
    <s v="ISEL-1.31"/>
    <n v="1"/>
    <s v="NO TIENE L3OUT"/>
    <n v="54"/>
    <n v="54"/>
  </r>
  <r>
    <n v="442"/>
    <x v="1"/>
    <x v="30"/>
    <s v="eth1/31"/>
    <x v="0"/>
    <x v="0"/>
    <x v="0"/>
    <s v="bmc_ithhwc3b2288h2_SECUNDARIO"/>
    <x v="1"/>
    <b v="0"/>
    <s v="No está en VPC"/>
    <n v="442"/>
    <s v="INTPG_ACC_442_1.31"/>
    <s v="ISEL-1.31"/>
    <n v="1"/>
    <s v="NO TIENE L3OUT"/>
    <n v="18"/>
    <n v="54"/>
  </r>
  <r>
    <n v="434"/>
    <x v="1"/>
    <x v="31"/>
    <s v="eth1/31"/>
    <x v="0"/>
    <x v="0"/>
    <x v="0"/>
    <s v="TO-ITHFDEORBIRBD01-PRINCIPAL"/>
    <x v="1"/>
    <b v="0"/>
    <s v="No está en VPC"/>
    <n v="434"/>
    <s v="INTPG_ACC_434_1.31"/>
    <s v="ISEL-1.31"/>
    <n v="1"/>
    <s v="NO TIENE L3OUT"/>
    <n v="34"/>
    <n v="54"/>
  </r>
  <r>
    <n v="707"/>
    <x v="2"/>
    <x v="32"/>
    <s v="eth1/31"/>
    <x v="0"/>
    <x v="1"/>
    <x v="3"/>
    <s v="CEM_HADOOP"/>
    <x v="0"/>
    <b v="0"/>
    <s v="No está en VPC"/>
    <n v="707"/>
    <s v="INTPG_ACC_707_1.31"/>
    <s v="ISEL-1.31"/>
    <n v="0"/>
    <s v="NO TIENE L3OUT"/>
    <n v="54"/>
    <n v="54"/>
  </r>
  <r>
    <n v="712"/>
    <x v="2"/>
    <x v="33"/>
    <s v="eth1/31"/>
    <x v="0"/>
    <x v="1"/>
    <x v="5"/>
    <s v="CEM:ITHCEMB2ADT16:LOM P1"/>
    <x v="0"/>
    <b v="0"/>
    <s v="No está en VPC"/>
    <n v="712"/>
    <s v="INTPG_VPC_712_1.31_713_1.32"/>
    <s v="ISEL-1.31"/>
    <n v="1"/>
    <s v="NO TIENE L3OUT"/>
    <n v="32"/>
    <n v="54"/>
  </r>
  <r>
    <n v="719"/>
    <x v="2"/>
    <x v="34"/>
    <s v="eth1/31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31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31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31"/>
    <x v="0"/>
    <x v="1"/>
    <x v="5"/>
    <s v="CEM:ITHCEMC2AHN16:LOM P1"/>
    <x v="0"/>
    <b v="0"/>
    <s v="No está en VPC"/>
    <n v="711"/>
    <s v="INTPG_VPC_710_1.32_711_1.31"/>
    <s v="ISEL-1.31"/>
    <n v="1"/>
    <s v="NO TIENE L3OUT"/>
    <n v="16"/>
    <n v="54"/>
  </r>
  <r>
    <n v="716"/>
    <x v="2"/>
    <x v="38"/>
    <s v="eth1/31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31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31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31"/>
    <x v="0"/>
    <x v="0"/>
    <x v="0"/>
    <m/>
    <x v="0"/>
    <b v="0"/>
    <s v="No está en VPC"/>
    <n v="446"/>
    <s v="INTPG_ACC_446_1.31"/>
    <s v="ISEL-1.31"/>
    <n v="9"/>
    <s v="NO TIENE L3OUT"/>
    <n v="198"/>
    <n v="54"/>
  </r>
  <r>
    <n v="444"/>
    <x v="1"/>
    <x v="42"/>
    <s v="eth1/31"/>
    <x v="0"/>
    <x v="0"/>
    <x v="0"/>
    <s v="TO-ITHFDLMCLWLCN04"/>
    <x v="0"/>
    <b v="0"/>
    <s v="No está en VPC"/>
    <n v="444"/>
    <s v="INTPG_VPC_446_1.28_444_1.31"/>
    <s v="ISEL-1.31"/>
    <n v="1"/>
    <s v="NO TIENE L3OUT"/>
    <n v="234"/>
    <n v="54"/>
  </r>
  <r>
    <n v="701"/>
    <x v="2"/>
    <x v="43"/>
    <s v="eth1/31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31"/>
    <x v="0"/>
    <x v="0"/>
    <x v="0"/>
    <s v="bmc_ithhwc3b2288h1_PRINCIPAL"/>
    <x v="1"/>
    <b v="0"/>
    <s v="No está en VPC"/>
    <n v="440"/>
    <s v="INTPG_ACC_440_1.31"/>
    <s v="ISEL-1.31"/>
    <n v="1"/>
    <s v="NO TIENE L3OUT"/>
    <n v="22"/>
    <n v="54"/>
  </r>
  <r>
    <n v="448"/>
    <x v="1"/>
    <x v="45"/>
    <s v="eth1/31"/>
    <x v="0"/>
    <x v="1"/>
    <x v="4"/>
    <s v="TO-DD8139PC1"/>
    <x v="0"/>
    <b v="0"/>
    <s v="No está en VPC"/>
    <n v="448"/>
    <s v="INTPG_VPC_431_1.31_448_1.31"/>
    <s v="ISEL-1.31"/>
    <n v="1"/>
    <s v="NO TIENE L3OUT"/>
    <n v="46"/>
    <n v="54"/>
  </r>
  <r>
    <n v="704"/>
    <x v="2"/>
    <x v="46"/>
    <s v="eth1/31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31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31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31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603"/>
    <x v="1"/>
    <x v="50"/>
    <s v="eth1/31"/>
    <x v="0"/>
    <x v="0"/>
    <x v="0"/>
    <s v="LINK_HACIA_RMAC"/>
    <x v="3"/>
    <b v="0"/>
    <s v="No está en VPC"/>
    <n v="603"/>
    <s v="NO EXISTE PG"/>
    <s v="NO EXISTE ISEL"/>
    <n v="0"/>
    <s v="multipod"/>
    <n v="0"/>
    <s v="SPINE"/>
  </r>
  <r>
    <n v="746"/>
    <x v="2"/>
    <x v="51"/>
    <s v="eth1/31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31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31"/>
    <x v="0"/>
    <x v="0"/>
    <x v="0"/>
    <s v="Server_Pre-R02-RH2288-06"/>
    <x v="0"/>
    <b v="0"/>
    <s v="No está en VPC"/>
    <n v="730"/>
    <s v="INTPG_ACC_730_1.31"/>
    <s v="ISEL-1.31"/>
    <n v="1"/>
    <s v="NO TIENE L3OUT"/>
    <n v="36"/>
    <n v="54"/>
  </r>
  <r>
    <n v="722"/>
    <x v="2"/>
    <x v="54"/>
    <s v="eth1/31"/>
    <x v="0"/>
    <x v="0"/>
    <x v="0"/>
    <s v="DESC"/>
    <x v="0"/>
    <b v="0"/>
    <s v="No está en VPC"/>
    <n v="722"/>
    <s v="INTPG_PC_722_1.31-32"/>
    <s v="ISEL-1.31"/>
    <n v="0"/>
    <s v="L3OUT-HCS-OPER-TELCEL-IPCORP"/>
    <n v="0"/>
    <n v="54"/>
  </r>
  <r>
    <n v="733"/>
    <x v="2"/>
    <x v="55"/>
    <s v="eth1/31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31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31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31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31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31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31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31"/>
    <x v="0"/>
    <x v="1"/>
    <x v="1"/>
    <s v="CEM:ITHCEMA2ADT16:LOM P3"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31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31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31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31"/>
    <x v="0"/>
    <x v="1"/>
    <x v="3"/>
    <s v="PAAS:ithhwosstpap006:LOM PORT 2"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31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31"/>
    <x v="0"/>
    <x v="0"/>
    <x v="0"/>
    <s v="CLOUD OPS:ithhwcop01en01:4E P1"/>
    <x v="0"/>
    <b v="0"/>
    <s v="No está en VPC"/>
    <n v="778"/>
    <s v="INTPG_VPC_778_1.25-26_31-32_779_1.25-26_31-32"/>
    <s v="ISEL-1.31"/>
    <n v="24"/>
    <s v="NO TIENE L3OUT"/>
    <n v="26"/>
    <n v="54"/>
  </r>
  <r>
    <n v="780"/>
    <x v="2"/>
    <x v="69"/>
    <s v="eth1/31"/>
    <x v="0"/>
    <x v="0"/>
    <x v="0"/>
    <s v="CLOUD OPS:ithhwcop02en02:2X P2"/>
    <x v="0"/>
    <b v="0"/>
    <s v="No está en VPC"/>
    <n v="780"/>
    <s v="INTPG_VPC_780_1.30-33_781_1.30-33"/>
    <s v="ISEL-1.31"/>
    <n v="23"/>
    <s v="NO TIENE L3OUT"/>
    <n v="26"/>
    <n v="54"/>
  </r>
  <r>
    <n v="812"/>
    <x v="2"/>
    <x v="70"/>
    <s v="eth1/31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31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31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31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31"/>
    <x v="0"/>
    <x v="0"/>
    <x v="0"/>
    <s v="LINK_TO_ITHFHWCMVWPMA15 /Slot6.2 /Redundante"/>
    <x v="0"/>
    <b v="0"/>
    <s v="No está en VPC"/>
    <n v="824"/>
    <s v="INTPG_ACC_824_1.31"/>
    <s v="ISEL-1.31"/>
    <n v="1"/>
    <s v="NO TIENE L3OUT"/>
    <n v="70"/>
    <n v="54"/>
  </r>
  <r>
    <n v="819"/>
    <x v="2"/>
    <x v="75"/>
    <s v="eth1/31"/>
    <x v="0"/>
    <x v="0"/>
    <x v="0"/>
    <s v="LINK_TO_ITHFHWCMVWPMA15 /Slot4.2 /Principal"/>
    <x v="0"/>
    <b v="0"/>
    <s v="No está en VPC"/>
    <n v="819"/>
    <s v="INTPG_ACC_819_1.31"/>
    <s v="ISEL-1.31"/>
    <n v="1"/>
    <s v="NO TIENE L3OUT"/>
    <n v="70"/>
    <n v="54"/>
  </r>
  <r>
    <n v="737"/>
    <x v="2"/>
    <x v="76"/>
    <s v="eth1/31"/>
    <x v="0"/>
    <x v="0"/>
    <x v="0"/>
    <s v="CEM:ITHCEMF2KFK16:LOM P3"/>
    <x v="5"/>
    <b v="0"/>
    <s v="No está en VPC"/>
    <n v="737"/>
    <s v="INTPG_ACC_737_1.31"/>
    <s v="ISEL-1.31"/>
    <n v="1"/>
    <s v="NO TIENE L3OUT"/>
    <n v="72"/>
    <n v="54"/>
  </r>
  <r>
    <n v="844"/>
    <x v="2"/>
    <x v="77"/>
    <s v="eth1/31"/>
    <x v="0"/>
    <x v="0"/>
    <x v="0"/>
    <s v="LINK_TO_ITHFHWCRMPLCN111 / Slot1.1_26 / Principal"/>
    <x v="0"/>
    <b v="0"/>
    <s v="No está en VPC"/>
    <n v="844"/>
    <s v="INTPG_ACC_844_1.31"/>
    <s v="ISEL-1.31"/>
    <n v="6"/>
    <s v="NO TIENE L3OUT"/>
    <n v="282"/>
    <n v="54"/>
  </r>
  <r>
    <n v="843"/>
    <x v="2"/>
    <x v="78"/>
    <s v="eth1/31"/>
    <x v="0"/>
    <x v="0"/>
    <x v="0"/>
    <s v="LINK_To_ITHHWD6KV65100012DKC01 / CTMA_IOM1.P1_34 / Redundante"/>
    <x v="0"/>
    <b v="0"/>
    <s v="No está en VPC"/>
    <n v="843"/>
    <s v="INTPG_ACC_843_1.31"/>
    <s v="ISEL-1.31"/>
    <n v="1"/>
    <s v="NO TIENE L3OUT"/>
    <n v="38"/>
    <n v="54"/>
  </r>
  <r>
    <n v="797"/>
    <x v="2"/>
    <x v="79"/>
    <s v="eth1/31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31"/>
    <x v="0"/>
    <x v="0"/>
    <x v="0"/>
    <s v="LINK_TO_ITHFHWCBSPSHD40 / Slot7.1_18 / Redundante"/>
    <x v="0"/>
    <b v="0"/>
    <s v="No está en VPC"/>
    <n v="839"/>
    <s v="INTPG_VPC_834_1.31_839_1.31"/>
    <s v="ISEL-1.31"/>
    <n v="2"/>
    <s v="NO TIENE L3OUT"/>
    <n v="0"/>
    <n v="54"/>
  </r>
  <r>
    <n v="847"/>
    <x v="2"/>
    <x v="81"/>
    <s v="eth1/31"/>
    <x v="0"/>
    <x v="0"/>
    <x v="0"/>
    <s v="LINK_TO_ITHFHWCRMPLCN175 / Slot7.3_20 / Redundante"/>
    <x v="0"/>
    <b v="0"/>
    <s v="No está en VPC"/>
    <n v="847"/>
    <s v="INTPG_ACC_847_1.31"/>
    <s v="ISEL-1.31"/>
    <n v="1"/>
    <s v="NO TIENE L3OUT"/>
    <n v="204"/>
    <n v="54"/>
  </r>
  <r>
    <n v="848"/>
    <x v="2"/>
    <x v="82"/>
    <s v="eth1/31"/>
    <x v="0"/>
    <x v="0"/>
    <x v="0"/>
    <s v="LINK_TO_ITHFHWCRMPLCN164 / Slot7.3_30 / Redundante"/>
    <x v="0"/>
    <b v="0"/>
    <s v="No está en VPC"/>
    <n v="848"/>
    <s v="INTPG_ACC_848_1.31"/>
    <s v="ISEL-1.31"/>
    <n v="1"/>
    <s v="NO TIENE L3OUT"/>
    <n v="254"/>
    <n v="54"/>
  </r>
  <r>
    <n v="846"/>
    <x v="2"/>
    <x v="83"/>
    <s v="eth1/31"/>
    <x v="0"/>
    <x v="0"/>
    <x v="0"/>
    <s v="LINK_TO_ITHFHWCRMPLCN82 / Slot1.1_22 / Principal"/>
    <x v="0"/>
    <b v="0"/>
    <s v="No está en VPC"/>
    <n v="846"/>
    <s v="INTPG_ACC_846_1.31"/>
    <s v="ISEL-1.31"/>
    <n v="6"/>
    <s v="NO TIENE L3OUT"/>
    <n v="242"/>
    <n v="54"/>
  </r>
  <r>
    <n v="838"/>
    <x v="2"/>
    <x v="84"/>
    <s v="eth1/31"/>
    <x v="0"/>
    <x v="0"/>
    <x v="0"/>
    <s v="LINK_To_ITHHWD6KV65100012DKC01 / CTMA_IOM1.P0_34 / Principal"/>
    <x v="0"/>
    <b v="0"/>
    <s v="No está en VPC"/>
    <n v="838"/>
    <s v="INTPG_ACC_838_1.31"/>
    <s v="ISEL-1.31"/>
    <n v="1"/>
    <s v="NO TIENE L3OUT"/>
    <n v="38"/>
    <n v="54"/>
  </r>
  <r>
    <n v="849"/>
    <x v="2"/>
    <x v="85"/>
    <s v="eth1/31"/>
    <x v="0"/>
    <x v="0"/>
    <x v="0"/>
    <s v="LINK_TO_ITHFHWCRMPLCN144 / Slot7.3_22 / Redundante"/>
    <x v="0"/>
    <b v="0"/>
    <s v="No está en VPC"/>
    <n v="849"/>
    <s v="INTPG_ACC_849_1.31"/>
    <s v="ISEL-1.31"/>
    <n v="1"/>
    <s v="NO TIENE L3OUT"/>
    <n v="286"/>
    <n v="54"/>
  </r>
  <r>
    <n v="845"/>
    <x v="2"/>
    <x v="86"/>
    <s v="eth1/31"/>
    <x v="0"/>
    <x v="0"/>
    <x v="0"/>
    <s v="LINK_TO_ITHFHWCRMPLCN94 / Slot1.2_20 / Principal"/>
    <x v="0"/>
    <b v="0"/>
    <s v="No está en VPC"/>
    <n v="845"/>
    <s v="INTPG_ACC_845_1.31"/>
    <s v="ISEL-1.31"/>
    <n v="2"/>
    <s v="NO TIENE L3OUT"/>
    <n v="258"/>
    <n v="54"/>
  </r>
  <r>
    <n v="873"/>
    <x v="2"/>
    <x v="87"/>
    <s v="eth1/31"/>
    <x v="0"/>
    <x v="0"/>
    <x v="0"/>
    <s v="To_VPC_2DCRMD_SBD07_2"/>
    <x v="0"/>
    <b v="0"/>
    <s v="No está en VPC"/>
    <n v="873"/>
    <s v="INTPG_VPC_870_1.31_873_1.31"/>
    <s v="ISEL-1.31"/>
    <n v="2"/>
    <s v="NO TIENE L3OUT"/>
    <n v="248"/>
    <n v="54"/>
  </r>
  <r>
    <n v="864"/>
    <x v="2"/>
    <x v="88"/>
    <s v="eth1/31"/>
    <x v="0"/>
    <x v="0"/>
    <x v="0"/>
    <s v="To_VPC_2DCBSD_WR46_1"/>
    <x v="0"/>
    <b v="0"/>
    <s v="No está en VPC"/>
    <n v="864"/>
    <s v="INTPG_VPC_859_1.31_864_1.31"/>
    <s v="ISEL-1.31"/>
    <n v="2"/>
    <s v="NO TIENE L3OUT"/>
    <n v="0"/>
    <n v="54"/>
  </r>
  <r>
    <n v="836"/>
    <x v="2"/>
    <x v="89"/>
    <s v="eth1/31"/>
    <x v="0"/>
    <x v="0"/>
    <x v="0"/>
    <s v="LINK_TO_ITHFHWCBSPSWR55 / Slot1.3_38 / Principal"/>
    <x v="0"/>
    <b v="0"/>
    <s v="No está en VPC"/>
    <n v="836"/>
    <s v="INTPG_VPC_836_1.31_841_1.31"/>
    <s v="ISEL-1.31"/>
    <n v="1"/>
    <s v="NO TIENE L3OUT"/>
    <n v="0"/>
    <n v="54"/>
  </r>
  <r>
    <n v="834"/>
    <x v="2"/>
    <x v="90"/>
    <s v="eth1/31"/>
    <x v="0"/>
    <x v="0"/>
    <x v="0"/>
    <s v="LINK_TO_ITHFHWCBSPSHD40 / Slot1.1_18 / Principal"/>
    <x v="0"/>
    <b v="0"/>
    <s v="No está en VPC"/>
    <n v="834"/>
    <s v="INTPG_VPC_834_1.31_839_1.31"/>
    <s v="ISEL-1.31"/>
    <n v="2"/>
    <s v="NO TIENE L3OUT"/>
    <n v="0"/>
    <n v="54"/>
  </r>
  <r>
    <n v="872"/>
    <x v="2"/>
    <x v="91"/>
    <s v="eth1/31"/>
    <x v="0"/>
    <x v="0"/>
    <x v="0"/>
    <s v="To_ITHFHWCRMDLCN79_Principal"/>
    <x v="0"/>
    <b v="0"/>
    <s v="No está en VPC"/>
    <n v="872"/>
    <s v="INTPG_ACC_872_1.31"/>
    <s v="ISEL-1.31"/>
    <n v="2"/>
    <s v="NO TIENE L3OUT"/>
    <n v="288"/>
    <n v="54"/>
  </r>
  <r>
    <n v="842"/>
    <x v="2"/>
    <x v="92"/>
    <s v="eth1/31"/>
    <x v="0"/>
    <x v="0"/>
    <x v="0"/>
    <s v="LINK_TO_ITHHWD6KV65100009DKC01 / CTMB_IOM0.P1_34 / Redundante"/>
    <x v="0"/>
    <b v="0"/>
    <s v="No está en VPC"/>
    <n v="842"/>
    <s v="INTPG_ACC_842_1.31"/>
    <s v="ISEL-1.31"/>
    <n v="1"/>
    <s v="NO TIENE L3OUT"/>
    <n v="8"/>
    <n v="54"/>
  </r>
  <r>
    <n v="828"/>
    <x v="2"/>
    <x v="93"/>
    <s v="eth1/31"/>
    <x v="0"/>
    <x v="0"/>
    <x v="0"/>
    <s v="LINK_TO_ITHFHWCRMDLCN25 /Slot4.2 /Principal"/>
    <x v="0"/>
    <b v="0"/>
    <s v="No está en VPC"/>
    <n v="828"/>
    <s v="INTPG_ACC_828_1.31"/>
    <s v="ISEL-1.31"/>
    <n v="1"/>
    <s v="NO TIENE L3OUT"/>
    <n v="192"/>
    <n v="54"/>
  </r>
  <r>
    <n v="870"/>
    <x v="2"/>
    <x v="94"/>
    <s v="eth1/31"/>
    <x v="0"/>
    <x v="0"/>
    <x v="0"/>
    <s v="To_VPC_2DCRMD_SBD07_2"/>
    <x v="0"/>
    <b v="0"/>
    <s v="No está en VPC"/>
    <n v="870"/>
    <s v="INTPG_VPC_870_1.31_873_1.31"/>
    <s v="ISEL-1.31"/>
    <n v="2"/>
    <s v="NO TIENE L3OUT"/>
    <n v="248"/>
    <n v="54"/>
  </r>
  <r>
    <n v="866"/>
    <x v="2"/>
    <x v="95"/>
    <s v="eth1/31"/>
    <x v="0"/>
    <x v="0"/>
    <x v="0"/>
    <s v="To_VPC_2DCBSD_BD12_3"/>
    <x v="0"/>
    <b v="0"/>
    <s v="No está en VPC"/>
    <n v="866"/>
    <s v="INTPG_VPC_861_1.31_866_1.31"/>
    <s v="ISEL-1.31"/>
    <n v="1"/>
    <s v="NO TIENE L3OUT"/>
    <n v="8"/>
    <n v="54"/>
  </r>
  <r>
    <n v="862"/>
    <x v="2"/>
    <x v="96"/>
    <s v="eth1/31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31"/>
    <x v="0"/>
    <x v="0"/>
    <x v="0"/>
    <s v="LINK_TO_ITHFHWCRMPLCN164 / Slot1.3_30 / Principal"/>
    <x v="0"/>
    <b v="0"/>
    <s v="No está en VPC"/>
    <n v="855"/>
    <s v="INTPG_ACC_855_1.31"/>
    <s v="ISEL-1.31"/>
    <n v="1"/>
    <s v="NO TIENE L3OUT"/>
    <n v="254"/>
    <n v="54"/>
  </r>
  <r>
    <n v="871"/>
    <x v="2"/>
    <x v="98"/>
    <s v="eth1/31"/>
    <x v="0"/>
    <x v="0"/>
    <x v="0"/>
    <s v="To_ITHFHWCRMDLCN64_Principal"/>
    <x v="0"/>
    <b v="0"/>
    <s v="No está en VPC"/>
    <n v="871"/>
    <s v="INTPG_ACC_871_1.31"/>
    <s v="ISEL-1.31"/>
    <n v="6"/>
    <s v="NO TIENE L3OUT"/>
    <n v="246"/>
    <n v="54"/>
  </r>
  <r>
    <n v="841"/>
    <x v="2"/>
    <x v="99"/>
    <s v="eth1/31"/>
    <x v="0"/>
    <x v="0"/>
    <x v="0"/>
    <s v="LINK_TO_ITHFHWCBSPSWR55 / Slot7.3_38 / Redundante"/>
    <x v="0"/>
    <b v="0"/>
    <s v="No está en VPC"/>
    <n v="841"/>
    <s v="INTPG_VPC_836_1.31_841_1.31"/>
    <s v="ISEL-1.31"/>
    <n v="1"/>
    <s v="NO TIENE L3OUT"/>
    <n v="0"/>
    <n v="54"/>
  </r>
  <r>
    <n v="868"/>
    <x v="2"/>
    <x v="100"/>
    <s v="eth1/31"/>
    <x v="0"/>
    <x v="0"/>
    <x v="0"/>
    <s v="To_ITHFHWCRMDLCN64_Redundante"/>
    <x v="0"/>
    <b v="0"/>
    <s v="No está en VPC"/>
    <n v="868"/>
    <s v="INTPG_ACC_868_1.31"/>
    <s v="ISEL-1.31"/>
    <n v="6"/>
    <s v="NO TIENE L3OUT"/>
    <n v="246"/>
    <n v="54"/>
  </r>
  <r>
    <n v="869"/>
    <x v="2"/>
    <x v="101"/>
    <s v="eth1/31"/>
    <x v="0"/>
    <x v="0"/>
    <x v="0"/>
    <s v="To_ITHFHWCRMDLCN79_Redundante"/>
    <x v="0"/>
    <b v="0"/>
    <s v="No está en VPC"/>
    <n v="869"/>
    <s v="INTPG_ACC_869_1.31"/>
    <s v="ISEL-1.31"/>
    <n v="2"/>
    <s v="NO TIENE L3OUT"/>
    <n v="288"/>
    <n v="54"/>
  </r>
  <r>
    <n v="861"/>
    <x v="2"/>
    <x v="102"/>
    <s v="eth1/31"/>
    <x v="0"/>
    <x v="0"/>
    <x v="0"/>
    <s v="To_VPC_2DCBSD_BD12_3"/>
    <x v="0"/>
    <b v="0"/>
    <s v="No está en VPC"/>
    <n v="861"/>
    <s v="INTPG_VPC_861_1.31_866_1.31"/>
    <s v="ISEL-1.31"/>
    <n v="1"/>
    <s v="NO TIENE L3OUT"/>
    <n v="8"/>
    <n v="54"/>
  </r>
  <r>
    <n v="874"/>
    <x v="2"/>
    <x v="103"/>
    <s v="eth1/31"/>
    <x v="0"/>
    <x v="0"/>
    <x v="0"/>
    <s v="A_ITHFHWSEQLDPS03_Redundante"/>
    <x v="4"/>
    <b v="0"/>
    <s v="No está en VPC"/>
    <n v="874"/>
    <s v="INTPG_ACC_874_1.31"/>
    <s v="ISEL-1.31"/>
    <n v="1"/>
    <s v="NO TIENE L3OUT"/>
    <n v="92"/>
    <n v="54"/>
  </r>
  <r>
    <n v="865"/>
    <x v="2"/>
    <x v="104"/>
    <s v="eth1/31"/>
    <x v="0"/>
    <x v="0"/>
    <x v="0"/>
    <s v="To_VPC_2DCBSD_BD17_1"/>
    <x v="0"/>
    <b v="0"/>
    <s v="No está en VPC"/>
    <n v="865"/>
    <s v="INTPG_VPC_860_1.31_865_1.31"/>
    <s v="ISEL-1.31"/>
    <n v="2"/>
    <s v="NO TIENE L3OUT"/>
    <n v="0"/>
    <n v="54"/>
  </r>
  <r>
    <n v="753"/>
    <x v="2"/>
    <x v="105"/>
    <s v="eth1/31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31"/>
    <x v="0"/>
    <x v="1"/>
    <x v="5"/>
    <s v="CEM:ITHCEMF2KFK16:LOM P1"/>
    <x v="0"/>
    <b v="0"/>
    <s v="No está en VPC"/>
    <n v="708"/>
    <s v="INTPG_VPC_708_1.31_709_1.32"/>
    <s v="ISEL-1.31"/>
    <n v="1"/>
    <s v="NO TIENE L3OUT"/>
    <n v="0"/>
    <n v="54"/>
  </r>
  <r>
    <n v="710"/>
    <x v="2"/>
    <x v="107"/>
    <s v="eth1/31"/>
    <x v="0"/>
    <x v="1"/>
    <x v="5"/>
    <s v="CEM:ITHCEMD2ANN16:LOM P1"/>
    <x v="0"/>
    <b v="0"/>
    <s v="No está en VPC"/>
    <n v="710"/>
    <s v="INTPG_VPC_710_1.31_711_1.32"/>
    <s v="ISEL-1.31"/>
    <n v="1"/>
    <s v="NO TIENE L3OUT"/>
    <n v="16"/>
    <n v="54"/>
  </r>
  <r>
    <n v="713"/>
    <x v="2"/>
    <x v="108"/>
    <s v="eth1/31"/>
    <x v="1"/>
    <x v="1"/>
    <x v="3"/>
    <s v="CEM:ITHCEMA2ADT16:LOM P1"/>
    <x v="0"/>
    <b v="0"/>
    <s v="No está en VPC"/>
    <n v="713"/>
    <s v="INTPG_VPC_713_1.31_712_1.32"/>
    <s v="ISEL-1.31"/>
    <n v="0"/>
    <s v="NO TIENE L3OUT"/>
    <n v="32"/>
    <n v="54"/>
  </r>
  <r>
    <n v="735"/>
    <x v="2"/>
    <x v="109"/>
    <s v="eth1/31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31"/>
    <x v="0"/>
    <x v="0"/>
    <x v="0"/>
    <s v="Server_Pre-R02-RH2288-06"/>
    <x v="0"/>
    <b v="0"/>
    <s v="No está en VPC"/>
    <n v="731"/>
    <s v="INTPG_ACC_731_1.31"/>
    <s v="ISEL-1.31"/>
    <n v="1"/>
    <s v="NO TIENE L3OUT"/>
    <n v="38"/>
    <n v="54"/>
  </r>
  <r>
    <n v="703"/>
    <x v="2"/>
    <x v="111"/>
    <s v="eth1/31"/>
    <x v="1"/>
    <x v="1"/>
    <x v="3"/>
    <m/>
    <x v="0"/>
    <b v="0"/>
    <s v="No está en VPC"/>
    <n v="703"/>
    <s v="INTPG_VPC_706_1.31_705_1.32"/>
    <s v="ISEL-1.31"/>
    <n v="1"/>
    <s v="NO TIENE L3OUT"/>
    <n v="2"/>
    <n v="54"/>
  </r>
  <r>
    <n v="706"/>
    <x v="2"/>
    <x v="112"/>
    <s v="eth1/31"/>
    <x v="0"/>
    <x v="0"/>
    <x v="0"/>
    <m/>
    <x v="0"/>
    <b v="0"/>
    <s v="No está en VPC"/>
    <n v="706"/>
    <s v="INTPG_VPC_706_1.31_705_1.32"/>
    <s v="ISEL-1.31"/>
    <n v="1"/>
    <s v="NO TIENE L3OUT"/>
    <n v="16"/>
    <n v="54"/>
  </r>
  <r>
    <n v="762"/>
    <x v="2"/>
    <x v="113"/>
    <s v="eth1/31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14"/>
    <x v="2"/>
    <x v="114"/>
    <s v="eth1/31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31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31"/>
    <x v="0"/>
    <x v="0"/>
    <x v="0"/>
    <s v="LINK_TO_ITHFHWCBSDSWR17 /Slot5.2 /Principal"/>
    <x v="0"/>
    <b v="0"/>
    <s v="No está en VPC"/>
    <n v="826"/>
    <s v="INTPG_VPC_826_1.31_830_1.31"/>
    <s v="ISEL-1.31"/>
    <n v="2"/>
    <s v="NO TIENE L3OUT"/>
    <n v="12"/>
    <n v="54"/>
  </r>
  <r>
    <n v="726"/>
    <x v="2"/>
    <x v="117"/>
    <s v="eth1/31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31"/>
    <x v="0"/>
    <x v="0"/>
    <x v="0"/>
    <s v="CEM:ITHCEMC2AHN16:LOM P3"/>
    <x v="5"/>
    <b v="0"/>
    <s v="No está en VPC"/>
    <n v="740"/>
    <s v="INTPG_ACC_740_1.31"/>
    <s v="ISEL-1.31"/>
    <n v="1"/>
    <s v="NO TIENE L3OUT"/>
    <n v="72"/>
    <n v="54"/>
  </r>
  <r>
    <n v="705"/>
    <x v="2"/>
    <x v="119"/>
    <s v="eth1/31"/>
    <x v="0"/>
    <x v="1"/>
    <x v="3"/>
    <m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31"/>
    <x v="0"/>
    <x v="0"/>
    <x v="0"/>
    <s v="DESC"/>
    <x v="0"/>
    <b v="0"/>
    <s v="No está en VPC"/>
    <n v="723"/>
    <s v="INTPG_PC_723_1.31-32"/>
    <s v="ISEL-1.31"/>
    <n v="0"/>
    <s v="L3OUT-HCS-OPER-TELCEL-IPCORP"/>
    <n v="0"/>
    <n v="54"/>
  </r>
  <r>
    <n v="721"/>
    <x v="2"/>
    <x v="121"/>
    <s v="eth1/31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31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31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31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31"/>
    <x v="0"/>
    <x v="1"/>
    <x v="5"/>
    <s v="CEM:ITHCEME2ANN16:LOM P1"/>
    <x v="0"/>
    <b v="0"/>
    <s v="No está en VPC"/>
    <n v="709"/>
    <s v="INTPG_VPC_708_1.32_709_1.31"/>
    <s v="ISEL-1.31"/>
    <n v="1"/>
    <s v="NO TIENE L3OUT"/>
    <n v="0"/>
    <n v="54"/>
  </r>
  <r>
    <n v="454"/>
    <x v="1"/>
    <x v="126"/>
    <s v="eth1/31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31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31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31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31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31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31"/>
    <x v="0"/>
    <x v="0"/>
    <x v="0"/>
    <s v="CEM:ITHCEMB2ADT16:LOM P3"/>
    <x v="5"/>
    <b v="0"/>
    <s v="No está en VPC"/>
    <n v="741"/>
    <s v="INTPG_ACC_741_1.31"/>
    <s v="ISEL-1.31"/>
    <n v="1"/>
    <s v="NO TIENE L3OUT"/>
    <n v="62"/>
    <n v="54"/>
  </r>
  <r>
    <n v="787"/>
    <x v="2"/>
    <x v="133"/>
    <s v="eth1/31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31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31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31"/>
    <x v="0"/>
    <x v="1"/>
    <x v="3"/>
    <s v="CEM_HADOOP"/>
    <x v="0"/>
    <b v="0"/>
    <s v="No está en VPC"/>
    <n v="736"/>
    <s v="INTPG_ACC_736_1.31"/>
    <s v="ISEL-1.31"/>
    <n v="0"/>
    <s v="NO TIENE L3OUT"/>
    <n v="48"/>
    <n v="54"/>
  </r>
  <r>
    <n v="799"/>
    <x v="2"/>
    <x v="137"/>
    <s v="eth1/31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31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31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31"/>
    <x v="0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31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31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31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31"/>
    <x v="0"/>
    <x v="0"/>
    <x v="0"/>
    <s v="CLOUD PAAS PAYG F2:Ithhwvm1cch1:Slot 3x/Pto 3"/>
    <x v="0"/>
    <b v="0"/>
    <s v="No está en VPC"/>
    <n v="774"/>
    <s v="INTPG_VPC_774_1.29-32_775_1.25-28"/>
    <s v="ISEL-1.31"/>
    <n v="169"/>
    <s v="NO TIENE L3OUT"/>
    <n v="0"/>
    <n v="54"/>
  </r>
  <r>
    <n v="773"/>
    <x v="2"/>
    <x v="145"/>
    <s v="eth1/31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31"/>
    <x v="0"/>
    <x v="0"/>
    <x v="0"/>
    <s v="TO-NUTANIX -VPC3"/>
    <x v="0"/>
    <b v="0"/>
    <s v="No está en VPC"/>
    <n v="794"/>
    <s v="INTPG_VPC_793_1.31_794_1.31"/>
    <s v="ISEL-1.31"/>
    <n v="12"/>
    <s v="NO TIENE L3OUT"/>
    <n v="12"/>
    <n v="54"/>
  </r>
  <r>
    <n v="803"/>
    <x v="2"/>
    <x v="147"/>
    <s v="eth1/31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31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31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31"/>
    <x v="0"/>
    <x v="0"/>
    <x v="0"/>
    <s v="CLOUD OPS:ithhwcop02en02:2X P4"/>
    <x v="0"/>
    <b v="0"/>
    <s v="No está en VPC"/>
    <n v="781"/>
    <s v="INTPG_VPC_780_1.30-33_781_1.30-33"/>
    <s v="ISEL-1.31"/>
    <n v="23"/>
    <s v="NO TIENE L3OUT"/>
    <n v="26"/>
    <n v="54"/>
  </r>
  <r>
    <n v="793"/>
    <x v="2"/>
    <x v="151"/>
    <s v="eth1/31"/>
    <x v="0"/>
    <x v="0"/>
    <x v="0"/>
    <s v="TO-NUTANIX -VPC3"/>
    <x v="0"/>
    <b v="0"/>
    <s v="No está en VPC"/>
    <n v="793"/>
    <s v="INTPG_VPC_793_1.31_794_1.31"/>
    <s v="ISEL-1.31"/>
    <n v="12"/>
    <s v="NO TIENE L3OUT"/>
    <n v="12"/>
    <n v="54"/>
  </r>
  <r>
    <n v="747"/>
    <x v="2"/>
    <x v="152"/>
    <s v="eth1/31"/>
    <x v="0"/>
    <x v="1"/>
    <x v="3"/>
    <s v="PAAS:ithhwosstpap006:Slot4.2"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31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31"/>
    <x v="1"/>
    <x v="1"/>
    <x v="2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31"/>
    <x v="0"/>
    <x v="0"/>
    <x v="0"/>
    <s v="CLOUD PAAS PAYG F2:Ithhwvm1bch1:Slot 3x/Pto 3"/>
    <x v="0"/>
    <b v="0"/>
    <s v="No está en VPC"/>
    <n v="777"/>
    <s v="INTPG_VPC_776_1.25-28_777_1.29-32"/>
    <s v="ISEL-1.31"/>
    <n v="90"/>
    <s v="NO TIENE L3OUT"/>
    <n v="0"/>
    <n v="54"/>
  </r>
  <r>
    <n v="770"/>
    <x v="2"/>
    <x v="156"/>
    <s v="eth1/31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31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31"/>
    <x v="0"/>
    <x v="0"/>
    <x v="0"/>
    <s v="CEM:ITHCEMD2ANN16:LOM P3"/>
    <x v="5"/>
    <b v="0"/>
    <s v="No está en VPC"/>
    <n v="739"/>
    <s v="INTPG_ACC_739_1.31"/>
    <s v="ISEL-1.31"/>
    <n v="1"/>
    <s v="NO TIENE L3OUT"/>
    <n v="72"/>
    <n v="54"/>
  </r>
  <r>
    <n v="775"/>
    <x v="2"/>
    <x v="159"/>
    <s v="eth1/31"/>
    <x v="0"/>
    <x v="0"/>
    <x v="0"/>
    <s v="CLOUD PAAS PAYG F2:Ithhwvm1dch1:Slot 3x/Pto 3"/>
    <x v="0"/>
    <b v="0"/>
    <s v="No está en VPC"/>
    <n v="775"/>
    <s v="INTPG_VPC_774_1.25-28_775_1.29-32"/>
    <s v="ISEL-1.31"/>
    <n v="152"/>
    <s v="NO TIENE L3OUT"/>
    <n v="0"/>
    <n v="54"/>
  </r>
  <r>
    <n v="791"/>
    <x v="2"/>
    <x v="160"/>
    <s v="eth1/31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31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31"/>
    <x v="0"/>
    <x v="0"/>
    <x v="0"/>
    <s v="LINK_TO_ITHFHWCBSDSWR17 /Slot7.2 /Redundante"/>
    <x v="0"/>
    <b v="0"/>
    <s v="No está en VPC"/>
    <n v="830"/>
    <s v="INTPG_VPC_826_1.31_830_1.31"/>
    <s v="ISEL-1.31"/>
    <n v="2"/>
    <s v="NO TIENE L3OUT"/>
    <n v="12"/>
    <n v="54"/>
  </r>
  <r>
    <n v="821"/>
    <x v="2"/>
    <x v="163"/>
    <s v="eth1/31"/>
    <x v="0"/>
    <x v="0"/>
    <x v="0"/>
    <s v="LINK_TO_ITHFHWCBSPSWR17 /Slot7.2 /Redundante"/>
    <x v="0"/>
    <b v="0"/>
    <s v="No está en VPC"/>
    <n v="821"/>
    <s v="INTPG_VPC_816_1.31_821_1.31"/>
    <s v="ISEL-1.31"/>
    <n v="2"/>
    <s v="NO TIENE L3OUT"/>
    <n v="0"/>
    <n v="54"/>
  </r>
  <r>
    <n v="738"/>
    <x v="2"/>
    <x v="164"/>
    <s v="eth1/31"/>
    <x v="0"/>
    <x v="0"/>
    <x v="0"/>
    <s v="CEM:ITHCEME2ANN16:LOM P3"/>
    <x v="5"/>
    <b v="0"/>
    <s v="No está en VPC"/>
    <n v="738"/>
    <s v="INTPG_ACC_738_1.31"/>
    <s v="ISEL-1.31"/>
    <n v="1"/>
    <s v="NO TIENE L3OUT"/>
    <n v="72"/>
    <n v="54"/>
  </r>
  <r>
    <n v="820"/>
    <x v="2"/>
    <x v="165"/>
    <s v="eth1/31"/>
    <x v="0"/>
    <x v="0"/>
    <x v="0"/>
    <s v="VPC_2DCRMP_BDP07_1"/>
    <x v="0"/>
    <b v="0"/>
    <s v="No está en VPC"/>
    <n v="820"/>
    <s v="INTPG_VPC_825_1.31_820_1.31"/>
    <s v="ISEL-1.31"/>
    <n v="6"/>
    <s v="NO TIENE L3OUT"/>
    <n v="72"/>
    <n v="54"/>
  </r>
  <r>
    <n v="804"/>
    <x v="2"/>
    <x v="166"/>
    <s v="eth1/31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31"/>
    <x v="0"/>
    <x v="0"/>
    <x v="0"/>
    <s v="CLOUD OPS:ithhwcop01en01:4E P3"/>
    <x v="0"/>
    <b v="0"/>
    <s v="No está en VPC"/>
    <n v="779"/>
    <s v="INTPG_VPC_778_1.25-26_31-32_779_1.25-26_31-32"/>
    <s v="ISEL-1.31"/>
    <n v="24"/>
    <s v="NO TIENE L3OUT"/>
    <n v="30"/>
    <n v="54"/>
  </r>
  <r>
    <n v="767"/>
    <x v="2"/>
    <x v="168"/>
    <s v="eth1/31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31"/>
    <x v="0"/>
    <x v="0"/>
    <x v="0"/>
    <s v="LINK_TO_ITHFHWCBSDSWR26 /Slot4.2 /Principal"/>
    <x v="0"/>
    <b v="0"/>
    <s v="No está en VPC"/>
    <n v="827"/>
    <s v="INTPG_VPC_827_1.31_831_1.31"/>
    <s v="ISEL-1.31"/>
    <n v="1"/>
    <s v="NO TIENE L3OUT"/>
    <n v="14"/>
    <n v="54"/>
  </r>
  <r>
    <n v="809"/>
    <x v="2"/>
    <x v="170"/>
    <s v="eth1/31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31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31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31"/>
    <x v="0"/>
    <x v="0"/>
    <x v="0"/>
    <s v="CLOUD PAAS PAYG F2:Ithhwvm1ach1:Slot 3x/Pto 3"/>
    <x v="0"/>
    <b v="0"/>
    <s v="No está en VPC"/>
    <n v="776"/>
    <s v="INTPG_VPC_776_1.29-32_777_1.25-28"/>
    <s v="ISEL-1.31"/>
    <n v="93"/>
    <s v="NO TIENE L3OUT"/>
    <n v="0"/>
    <n v="54"/>
  </r>
  <r>
    <n v="805"/>
    <x v="2"/>
    <x v="174"/>
    <s v="eth1/31"/>
    <x v="1"/>
    <x v="1"/>
    <x v="2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31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31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31"/>
    <x v="0"/>
    <x v="0"/>
    <x v="0"/>
    <s v="LINK_TO_ITHFHWCRMPLCN111 / Slot7.1_26 / Redundante"/>
    <x v="0"/>
    <b v="0"/>
    <s v="No está en VPC"/>
    <n v="851"/>
    <s v="INTPG_ACC_851_1.31"/>
    <s v="ISEL-1.31"/>
    <n v="6"/>
    <s v="NO TIENE L3OUT"/>
    <n v="282"/>
    <n v="54"/>
  </r>
  <r>
    <n v="798"/>
    <x v="2"/>
    <x v="178"/>
    <s v="eth1/31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31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31"/>
    <x v="0"/>
    <x v="0"/>
    <x v="0"/>
    <s v="LINK_TO_ITHFHWCRMPLCN94 / Slot7.2_20 / Redundante"/>
    <x v="0"/>
    <b v="0"/>
    <s v="No está en VPC"/>
    <n v="852"/>
    <s v="INTPG_ACC_852_1.31"/>
    <s v="ISEL-1.31"/>
    <n v="2"/>
    <s v="NO TIENE L3OUT"/>
    <n v="258"/>
    <n v="54"/>
  </r>
  <r>
    <n v="817"/>
    <x v="2"/>
    <x v="181"/>
    <s v="eth1/31"/>
    <x v="0"/>
    <x v="0"/>
    <x v="0"/>
    <s v="LINK_TO_ITHFHWCBSPSUSBD22 /Slot5.2 /Principal"/>
    <x v="0"/>
    <b v="0"/>
    <s v="No está en VPC"/>
    <n v="817"/>
    <s v="INTPG_VPC_817_1.31_822_1.31"/>
    <s v="ISEL-1.31"/>
    <n v="2"/>
    <s v="NO TIENE L3OUT"/>
    <n v="0"/>
    <n v="54"/>
  </r>
  <r>
    <n v="832"/>
    <x v="2"/>
    <x v="182"/>
    <s v="eth1/31"/>
    <x v="0"/>
    <x v="0"/>
    <x v="0"/>
    <s v="LINK_TO_ITHFHWCRMDLCN25 /Slot6.2 /Redundante"/>
    <x v="0"/>
    <b v="0"/>
    <s v="No está en VPC"/>
    <n v="832"/>
    <s v="INTPG_ACC_832_1.31"/>
    <s v="ISEL-1.31"/>
    <n v="1"/>
    <s v="NO TIENE L3OUT"/>
    <n v="192"/>
    <n v="54"/>
  </r>
  <r>
    <n v="816"/>
    <x v="2"/>
    <x v="183"/>
    <s v="eth1/31"/>
    <x v="0"/>
    <x v="0"/>
    <x v="0"/>
    <s v="LINK_TO_ITHFHWCBSPSWR17 /Slot5.2 /Principal"/>
    <x v="0"/>
    <b v="0"/>
    <s v="No está en VPC"/>
    <n v="816"/>
    <s v="INTPG_VPC_816_1.31_821_1.31"/>
    <s v="ISEL-1.31"/>
    <n v="2"/>
    <s v="NO TIENE L3OUT"/>
    <n v="0"/>
    <n v="54"/>
  </r>
  <r>
    <n v="825"/>
    <x v="2"/>
    <x v="184"/>
    <s v="eth1/31"/>
    <x v="0"/>
    <x v="0"/>
    <x v="0"/>
    <s v="VPC_2DCRMP_BDP07_1"/>
    <x v="0"/>
    <b v="0"/>
    <s v="No está en VPC"/>
    <n v="825"/>
    <s v="INTPG_VPC_825_1.31_820_1.31"/>
    <s v="ISEL-1.31"/>
    <n v="6"/>
    <s v="NO TIENE L3OUT"/>
    <n v="72"/>
    <n v="54"/>
  </r>
  <r>
    <n v="800"/>
    <x v="2"/>
    <x v="185"/>
    <s v="eth1/31"/>
    <x v="0"/>
    <x v="0"/>
    <x v="0"/>
    <s v="TO-ITHFHWSEQLDPS02-MSP"/>
    <x v="0"/>
    <b v="0"/>
    <s v="No está en VPC"/>
    <n v="800"/>
    <s v="INTPG_ACC_800_1.31"/>
    <s v="ISEL-1.31"/>
    <n v="1"/>
    <s v="NO TIENE L3OUT"/>
    <n v="78"/>
    <n v="54"/>
  </r>
  <r>
    <n v="801"/>
    <x v="2"/>
    <x v="186"/>
    <s v="eth1/31"/>
    <x v="0"/>
    <x v="0"/>
    <x v="0"/>
    <s v="TO-ITHFHWSEQLDPS02-MSP"/>
    <x v="0"/>
    <b v="0"/>
    <s v="No está en VPC"/>
    <n v="801"/>
    <s v="INTPG_ACC_801_1.31"/>
    <s v="ISEL-1.31"/>
    <n v="1"/>
    <s v="NO TIENE L3OUT"/>
    <n v="78"/>
    <n v="54"/>
  </r>
  <r>
    <n v="823"/>
    <x v="2"/>
    <x v="187"/>
    <s v="eth1/31"/>
    <x v="0"/>
    <x v="0"/>
    <x v="0"/>
    <s v="LINK_TO_ITHFHWCBSPSWR34 /Slot6.2 /Redundante"/>
    <x v="0"/>
    <b v="0"/>
    <s v="No está en VPC"/>
    <n v="823"/>
    <s v="INTPG_VPC_818_1.31_823_1.31"/>
    <s v="ISEL-1.31"/>
    <n v="1"/>
    <s v="NO TIENE L3OUT"/>
    <n v="8"/>
    <n v="54"/>
  </r>
  <r>
    <n v="837"/>
    <x v="2"/>
    <x v="188"/>
    <s v="eth1/31"/>
    <x v="0"/>
    <x v="0"/>
    <x v="0"/>
    <s v="LINK_TO_ITHHWD6KV65100009DKC01 / CTMB_IOM0.P0_34 / Principal"/>
    <x v="0"/>
    <b v="0"/>
    <s v="No está en VPC"/>
    <n v="837"/>
    <s v="INTPG_ACC_837_1.31"/>
    <s v="ISEL-1.31"/>
    <n v="1"/>
    <s v="NO TIENE L3OUT"/>
    <n v="8"/>
    <n v="54"/>
  </r>
  <r>
    <n v="867"/>
    <x v="2"/>
    <x v="189"/>
    <s v="eth1/31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31"/>
    <x v="0"/>
    <x v="0"/>
    <x v="0"/>
    <s v="To_ITHFHWCRMDLCN45_Principal"/>
    <x v="0"/>
    <b v="0"/>
    <s v="No está en VPC"/>
    <n v="829"/>
    <s v="INTPG_ACC_829_1.31"/>
    <s v="ISEL-1.31"/>
    <n v="2"/>
    <s v="NO TIENE L3OUT"/>
    <n v="224"/>
    <n v="54"/>
  </r>
  <r>
    <n v="831"/>
    <x v="2"/>
    <x v="191"/>
    <s v="eth1/31"/>
    <x v="0"/>
    <x v="0"/>
    <x v="0"/>
    <s v="LINK_TO_ITHFHWCBSDSWR26 /Slot6.2 /Redundante"/>
    <x v="0"/>
    <b v="0"/>
    <s v="No está en VPC"/>
    <n v="831"/>
    <s v="INTPG_VPC_827_1.31_831_1.31"/>
    <s v="ISEL-1.31"/>
    <n v="1"/>
    <s v="NO TIENE L3OUT"/>
    <n v="14"/>
    <n v="54"/>
  </r>
  <r>
    <n v="802"/>
    <x v="2"/>
    <x v="192"/>
    <s v="eth1/31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31"/>
    <x v="0"/>
    <x v="0"/>
    <x v="0"/>
    <s v="LINK_TO_ITHFHWCBSPSHD32 / Slot1.3_16 / Principal"/>
    <x v="0"/>
    <b v="0"/>
    <s v="No está en VPC"/>
    <n v="835"/>
    <s v="INTPG_VPC_835_1.31_840_1.31"/>
    <s v="ISEL-1.31"/>
    <n v="1"/>
    <s v="NO TIENE L3OUT"/>
    <n v="8"/>
    <n v="54"/>
  </r>
  <r>
    <n v="822"/>
    <x v="2"/>
    <x v="194"/>
    <s v="eth1/31"/>
    <x v="0"/>
    <x v="0"/>
    <x v="0"/>
    <s v="LINK_TO_ITHFHWCBSPSUSBD22 /Slot7.2 /Redundante"/>
    <x v="0"/>
    <b v="0"/>
    <s v="No está en VPC"/>
    <n v="822"/>
    <s v="INTPG_VPC_817_1.31_822_1.31"/>
    <s v="ISEL-1.31"/>
    <n v="2"/>
    <s v="NO TIENE L3OUT"/>
    <n v="0"/>
    <n v="54"/>
  </r>
  <r>
    <n v="854"/>
    <x v="2"/>
    <x v="195"/>
    <s v="eth1/31"/>
    <x v="0"/>
    <x v="0"/>
    <x v="0"/>
    <s v="LINK_TO_ITHFHWCRMPLCN175 / Slot1.3_20 / Principal"/>
    <x v="0"/>
    <b v="0"/>
    <s v="No está en VPC"/>
    <n v="854"/>
    <s v="INTPG_ACC_854_1.31"/>
    <s v="ISEL-1.31"/>
    <n v="1"/>
    <s v="NO TIENE L3OUT"/>
    <n v="204"/>
    <n v="54"/>
  </r>
  <r>
    <n v="858"/>
    <x v="2"/>
    <x v="196"/>
    <s v="eth1/31"/>
    <x v="0"/>
    <x v="0"/>
    <x v="0"/>
    <s v="To_VPC_2DCBSD_WR55_1"/>
    <x v="0"/>
    <b v="0"/>
    <s v="No está en VPC"/>
    <n v="858"/>
    <s v="INTPG_VPC_858_1.31_863_1.31"/>
    <s v="ISEL-1.31"/>
    <n v="2"/>
    <s v="NO TIENE L3OUT"/>
    <n v="8"/>
    <n v="54"/>
  </r>
  <r>
    <n v="857"/>
    <x v="2"/>
    <x v="197"/>
    <s v="eth1/31"/>
    <x v="0"/>
    <x v="0"/>
    <x v="0"/>
    <s v="LINKT_TO_ITHFHWCRMPLCN125 / Slot1.3_20 / Principal"/>
    <x v="0"/>
    <b v="0"/>
    <s v="No está en VPC"/>
    <n v="857"/>
    <s v="INTPG_ACC_857_1.31"/>
    <s v="ISEL-1.31"/>
    <n v="1"/>
    <s v="NO TIENE L3OUT"/>
    <n v="288"/>
    <n v="54"/>
  </r>
  <r>
    <n v="859"/>
    <x v="2"/>
    <x v="198"/>
    <s v="eth1/31"/>
    <x v="0"/>
    <x v="0"/>
    <x v="0"/>
    <s v="To_VPC_2DCBSD_WR46_1"/>
    <x v="0"/>
    <b v="0"/>
    <s v="No está en VPC"/>
    <n v="859"/>
    <s v="INTPG_VPC_859_1.31_864_1.31"/>
    <s v="ISEL-1.31"/>
    <n v="2"/>
    <s v="NO TIENE L3OUT"/>
    <n v="0"/>
    <n v="54"/>
  </r>
  <r>
    <n v="833"/>
    <x v="2"/>
    <x v="199"/>
    <s v="eth1/31"/>
    <x v="0"/>
    <x v="0"/>
    <x v="0"/>
    <s v="To_ITHFHWCRMDLCN45_Redundante"/>
    <x v="0"/>
    <b v="0"/>
    <s v="No está en VPC"/>
    <n v="833"/>
    <s v="INTPG_ACC_833_1.31"/>
    <s v="ISEL-1.31"/>
    <n v="2"/>
    <s v="NO TIENE L3OUT"/>
    <n v="224"/>
    <n v="54"/>
  </r>
  <r>
    <n v="818"/>
    <x v="2"/>
    <x v="200"/>
    <s v="eth1/31"/>
    <x v="0"/>
    <x v="0"/>
    <x v="0"/>
    <s v="LINK_TO_ITHFHWCBSPSWR34 /Slot4.2 /Principal"/>
    <x v="0"/>
    <b v="0"/>
    <s v="No está en VPC"/>
    <n v="818"/>
    <s v="INTPG_VPC_818_1.31_823_1.31"/>
    <s v="ISEL-1.31"/>
    <n v="1"/>
    <s v="NO TIENE L3OUT"/>
    <n v="8"/>
    <n v="54"/>
  </r>
  <r>
    <n v="850"/>
    <x v="2"/>
    <x v="201"/>
    <s v="eth1/31"/>
    <x v="0"/>
    <x v="0"/>
    <x v="0"/>
    <s v="LINKT_TO_ITHFHWCRMPLCN125 / Slot7.3_20 / Redundante"/>
    <x v="0"/>
    <b v="0"/>
    <s v="No está en VPC"/>
    <n v="850"/>
    <s v="INTPG_ACC_850_1.31"/>
    <s v="ISEL-1.31"/>
    <n v="1"/>
    <s v="NO TIENE L3OUT"/>
    <n v="288"/>
    <n v="54"/>
  </r>
  <r>
    <n v="860"/>
    <x v="2"/>
    <x v="202"/>
    <s v="eth1/31"/>
    <x v="0"/>
    <x v="0"/>
    <x v="0"/>
    <s v="To_VPC_2DCBSD_BD17_1"/>
    <x v="0"/>
    <b v="0"/>
    <s v="No está en VPC"/>
    <n v="860"/>
    <s v="INTPG_VPC_860_1.31_865_1.31"/>
    <s v="ISEL-1.31"/>
    <n v="2"/>
    <s v="NO TIENE L3OUT"/>
    <n v="0"/>
    <n v="54"/>
  </r>
  <r>
    <n v="853"/>
    <x v="2"/>
    <x v="203"/>
    <s v="eth1/31"/>
    <x v="0"/>
    <x v="0"/>
    <x v="0"/>
    <s v="LINK_TO_ITHFHWCRMPLCN82 / Slot7.1_22 / Redundante"/>
    <x v="0"/>
    <b v="0"/>
    <s v="No está en VPC"/>
    <n v="853"/>
    <s v="INTPG_ACC_853_1.31"/>
    <s v="ISEL-1.31"/>
    <n v="6"/>
    <s v="NO TIENE L3OUT"/>
    <n v="242"/>
    <n v="54"/>
  </r>
  <r>
    <n v="790"/>
    <x v="2"/>
    <x v="204"/>
    <s v="eth1/31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31"/>
    <x v="0"/>
    <x v="0"/>
    <x v="0"/>
    <s v="DATOS LENOVO"/>
    <x v="6"/>
    <b v="0"/>
    <s v="No está en VPC"/>
    <n v="105"/>
    <s v="INTPG_ACC_105_1.31"/>
    <s v="ISEL-1.31"/>
    <n v="1"/>
    <s v="NO TIENE L3OUT"/>
    <n v="106"/>
    <n v="96"/>
  </r>
  <r>
    <n v="117"/>
    <x v="0"/>
    <x v="206"/>
    <s v="eth1/31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31"/>
    <x v="1"/>
    <x v="1"/>
    <x v="2"/>
    <s v="File System AM"/>
    <x v="6"/>
    <b v="0"/>
    <s v="No está en VPC"/>
    <n v="104"/>
    <s v="INTPG_ACC_104_1.31"/>
    <s v="ISEL-1.31"/>
    <n v="0"/>
    <s v="NO TIENE L3OUT"/>
    <n v="194"/>
    <n v="96"/>
  </r>
  <r>
    <n v="158"/>
    <x v="0"/>
    <x v="208"/>
    <s v="eth1/31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31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31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31"/>
    <x v="1"/>
    <x v="1"/>
    <x v="2"/>
    <m/>
    <x v="6"/>
    <b v="0"/>
    <s v="No está en VPC"/>
    <n v="108"/>
    <s v="INTPG_ACC_108_1.31"/>
    <s v="ISEL-1.31"/>
    <n v="1"/>
    <s v="NO TIENE L3OUT"/>
    <n v="126"/>
    <n v="96"/>
  </r>
  <r>
    <n v="112"/>
    <x v="0"/>
    <x v="212"/>
    <s v="eth1/31"/>
    <x v="0"/>
    <x v="0"/>
    <x v="0"/>
    <s v="SUBEX (Fraud Management)"/>
    <x v="6"/>
    <b v="0"/>
    <s v="No está en VPC"/>
    <n v="112"/>
    <s v="INTPG_ACC_112_1.31"/>
    <s v="ISEL-1.31"/>
    <n v="1"/>
    <s v="NO TIENE L3OUT"/>
    <n v="144"/>
    <n v="96"/>
  </r>
  <r>
    <n v="107"/>
    <x v="0"/>
    <x v="213"/>
    <s v="eth1/31"/>
    <x v="0"/>
    <x v="0"/>
    <x v="0"/>
    <m/>
    <x v="6"/>
    <b v="0"/>
    <s v="No está en VPC"/>
    <n v="107"/>
    <s v="INTPG_ACC_107_1.31"/>
    <s v="ISEL-1.31"/>
    <n v="1"/>
    <s v="NO TIENE L3OUT"/>
    <n v="118"/>
    <n v="96"/>
  </r>
  <r>
    <n v="109"/>
    <x v="0"/>
    <x v="214"/>
    <s v="eth1/31"/>
    <x v="0"/>
    <x v="0"/>
    <x v="0"/>
    <s v="IXT01PP, IXT02PP, IXT05PP"/>
    <x v="6"/>
    <b v="0"/>
    <s v="No está en VPC"/>
    <n v="109"/>
    <s v="INTPG_ACC_109_1.31"/>
    <s v="ISEL-1.31"/>
    <n v="1"/>
    <s v="NO TIENE L3OUT"/>
    <n v="126"/>
    <n v="96"/>
  </r>
  <r>
    <n v="113"/>
    <x v="0"/>
    <x v="215"/>
    <s v="eth1/31"/>
    <x v="0"/>
    <x v="0"/>
    <x v="0"/>
    <s v="RLVYCAN02ILO"/>
    <x v="6"/>
    <b v="0"/>
    <s v="No está en VPC"/>
    <n v="113"/>
    <s v="INTPG_ACC_113_1.31"/>
    <s v="ISEL-1.31"/>
    <n v="1"/>
    <s v="NO TIENE L3OUT"/>
    <n v="52"/>
    <n v="96"/>
  </r>
  <r>
    <n v="114"/>
    <x v="0"/>
    <x v="216"/>
    <s v="eth1/31"/>
    <x v="0"/>
    <x v="0"/>
    <x v="0"/>
    <s v="CHARGING SYSTEM"/>
    <x v="6"/>
    <b v="0"/>
    <s v="No está en VPC"/>
    <n v="114"/>
    <s v="INTPG_ACC_114_1.31"/>
    <s v="ISEL-1.31"/>
    <n v="1"/>
    <s v="NO TIENE L3OUT"/>
    <n v="144"/>
    <n v="96"/>
  </r>
  <r>
    <n v="124"/>
    <x v="0"/>
    <x v="217"/>
    <s v="eth1/31"/>
    <x v="0"/>
    <x v="0"/>
    <x v="0"/>
    <s v="ixtossgwcon"/>
    <x v="6"/>
    <b v="0"/>
    <s v="No está en VPC"/>
    <n v="124"/>
    <s v="INTPG_ACC_124_1.31"/>
    <s v="ISEL-1.31"/>
    <n v="1"/>
    <s v="NO TIENE L3OUT"/>
    <n v="80"/>
    <n v="96"/>
  </r>
  <r>
    <n v="118"/>
    <x v="0"/>
    <x v="218"/>
    <s v="eth1/31"/>
    <x v="0"/>
    <x v="0"/>
    <x v="0"/>
    <s v="DATOS NETCRACKER"/>
    <x v="6"/>
    <b v="0"/>
    <s v="No está en VPC"/>
    <n v="118"/>
    <s v="INTPG_ACC_118_1.31"/>
    <s v="ISEL-1.31"/>
    <n v="1"/>
    <s v="NO TIENE L3OUT"/>
    <n v="180"/>
    <n v="96"/>
  </r>
  <r>
    <n v="159"/>
    <x v="0"/>
    <x v="219"/>
    <s v="eth1/31"/>
    <x v="0"/>
    <x v="0"/>
    <x v="0"/>
    <s v="TO-ITHEMCDD99000569-PRINCIPAL"/>
    <x v="6"/>
    <b v="0"/>
    <s v="No está en VPC"/>
    <n v="159"/>
    <s v="INTPG_ACC_159_1.31"/>
    <s v="ISEL-1.31"/>
    <n v="1"/>
    <s v="NO TIENE L3OUT"/>
    <n v="72"/>
    <n v="96"/>
  </r>
  <r>
    <n v="840"/>
    <x v="2"/>
    <x v="220"/>
    <s v="eth1/31"/>
    <x v="0"/>
    <x v="0"/>
    <x v="0"/>
    <s v="LINK_TO_ITHFHWCBSPSHD32 / Slot7.3_16 / Redundante"/>
    <x v="0"/>
    <b v="0"/>
    <s v="No está en VPC"/>
    <n v="840"/>
    <s v="INTPG_VPC_835_1.31_840_1.31"/>
    <s v="ISEL-1.31"/>
    <n v="1"/>
    <s v="NO TIENE L3OUT"/>
    <n v="8"/>
    <n v="54"/>
  </r>
  <r>
    <n v="856"/>
    <x v="2"/>
    <x v="221"/>
    <s v="eth1/31"/>
    <x v="0"/>
    <x v="0"/>
    <x v="0"/>
    <s v="LINK_TO_ITHFHWCRMPLCN144 / Slot1.3_22 / Principal"/>
    <x v="0"/>
    <b v="0"/>
    <s v="No está en VPC"/>
    <n v="856"/>
    <s v="INTPG_ACC_856_1.31"/>
    <s v="ISEL-1.31"/>
    <n v="1"/>
    <s v="NO TIENE L3OUT"/>
    <n v="286"/>
    <n v="54"/>
  </r>
  <r>
    <n v="110"/>
    <x v="0"/>
    <x v="222"/>
    <s v="eth1/31"/>
    <x v="0"/>
    <x v="0"/>
    <x v="0"/>
    <m/>
    <x v="6"/>
    <b v="0"/>
    <s v="No está en VPC"/>
    <n v="110"/>
    <s v="INTPG_ACC_110_1.31"/>
    <s v="ISEL-1.31"/>
    <n v="1"/>
    <s v="NO TIENE L3OUT"/>
    <n v="102"/>
    <n v="96"/>
  </r>
  <r>
    <n v="163"/>
    <x v="0"/>
    <x v="223"/>
    <s v="eth1/31"/>
    <x v="0"/>
    <x v="0"/>
    <x v="0"/>
    <s v="desc"/>
    <x v="6"/>
    <b v="0"/>
    <s v="No está en VPC"/>
    <n v="163"/>
    <s v="INTPG_VPC_161_1.32_163_1.31"/>
    <s v="ISEL-1.31"/>
    <n v="1"/>
    <s v="NO TIENE L3OUT"/>
    <n v="140"/>
    <n v="96"/>
  </r>
  <r>
    <n v="407"/>
    <x v="1"/>
    <x v="224"/>
    <s v="eth1/31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31"/>
    <x v="0"/>
    <x v="1"/>
    <x v="1"/>
    <s v="netqosSDS02_ilom"/>
    <x v="6"/>
    <b v="0"/>
    <s v="No está en VPC"/>
    <n v="171"/>
    <s v="INTPG_ACC_171_1.31"/>
    <s v="ISEL-1.31"/>
    <n v="1"/>
    <s v="NO TIENE L3OUT"/>
    <n v="114"/>
    <n v="96"/>
  </r>
  <r>
    <n v="421"/>
    <x v="1"/>
    <x v="226"/>
    <s v="eth1/31"/>
    <x v="0"/>
    <x v="1"/>
    <x v="1"/>
    <s v="VTA_uxvta074_NETMGT"/>
    <x v="6"/>
    <b v="0"/>
    <s v="No está en VPC"/>
    <n v="421"/>
    <s v="INTPG_ACC_421_1.31"/>
    <s v="ISEL-1.31"/>
    <n v="1"/>
    <s v="NO TIENE L3OUT"/>
    <n v="72"/>
    <n v="96"/>
  </r>
  <r>
    <n v="173"/>
    <x v="0"/>
    <x v="227"/>
    <s v="eth1/31"/>
    <x v="0"/>
    <x v="1"/>
    <x v="1"/>
    <s v="ENIQ_1"/>
    <x v="6"/>
    <b v="0"/>
    <s v="No está en VPC"/>
    <n v="173"/>
    <s v="INTPG_PC_173_1.28-33"/>
    <s v="ISEL-1.31"/>
    <n v="3"/>
    <s v="NO TIENE L3OUT"/>
    <n v="66"/>
    <n v="96"/>
  </r>
  <r>
    <n v="154"/>
    <x v="0"/>
    <x v="228"/>
    <s v="eth1/31"/>
    <x v="0"/>
    <x v="0"/>
    <x v="0"/>
    <s v="POLYVIEW_TC"/>
    <x v="6"/>
    <b v="0"/>
    <s v="No está en VPC"/>
    <n v="154"/>
    <s v="INTPG_ACC_154_1.31"/>
    <s v="ISEL-1.31"/>
    <n v="1"/>
    <s v="NO TIENE L3OUT"/>
    <n v="62"/>
    <n v="96"/>
  </r>
  <r>
    <n v="172"/>
    <x v="0"/>
    <x v="229"/>
    <s v="eth1/31"/>
    <x v="0"/>
    <x v="1"/>
    <x v="1"/>
    <s v="Optimus"/>
    <x v="6"/>
    <b v="0"/>
    <s v="No está en VPC"/>
    <n v="172"/>
    <s v="INTPG_ACC_172_1.31"/>
    <s v="ISEL-1.31"/>
    <n v="1"/>
    <s v="NO TIENE L3OUT"/>
    <n v="104"/>
    <n v="96"/>
  </r>
  <r>
    <n v="420"/>
    <x v="1"/>
    <x v="230"/>
    <s v="eth1/31"/>
    <x v="0"/>
    <x v="0"/>
    <x v="0"/>
    <s v="TO-ITHFDEOCP1LWR06-PRINCIPAL"/>
    <x v="6"/>
    <b v="0"/>
    <s v="No está en VPC"/>
    <n v="420"/>
    <s v="INTPG_ACC_420_1.31"/>
    <s v="ISEL-1.31"/>
    <n v="1"/>
    <s v="NO TIENE L3OUT"/>
    <n v="158"/>
    <n v="96"/>
  </r>
  <r>
    <n v="423"/>
    <x v="1"/>
    <x v="231"/>
    <s v="eth1/31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31"/>
    <x v="1"/>
    <x v="1"/>
    <x v="2"/>
    <s v="To-uxingemc2 ldom 3 uxsmart05"/>
    <x v="6"/>
    <b v="0"/>
    <s v="No está en VPC"/>
    <n v="415"/>
    <s v="INTPG_ACC_415_1.31"/>
    <s v="ISEL-1.31"/>
    <n v="0"/>
    <s v="NO TIENE L3OUT"/>
    <n v="52"/>
    <n v="96"/>
  </r>
  <r>
    <n v="102"/>
    <x v="0"/>
    <x v="233"/>
    <s v="eth1/31"/>
    <x v="0"/>
    <x v="1"/>
    <x v="1"/>
    <s v="SFLDI:RLDIBI102:1"/>
    <x v="6"/>
    <b v="0"/>
    <s v="No está en VPC"/>
    <n v="102"/>
    <s v="INTPG_ACC_102_1.31"/>
    <s v="ISEL-1.31"/>
    <n v="1"/>
    <s v="NO TIENE L3OUT"/>
    <n v="228"/>
    <n v="96"/>
  </r>
  <r>
    <n v="863"/>
    <x v="2"/>
    <x v="234"/>
    <s v="eth1/31"/>
    <x v="0"/>
    <x v="0"/>
    <x v="0"/>
    <s v="To_VPC_2DCBSD_WR55_1"/>
    <x v="0"/>
    <b v="0"/>
    <s v="No está en VPC"/>
    <n v="863"/>
    <s v="INTPG_VPC_858_1.31_863_1.31"/>
    <s v="ISEL-1.31"/>
    <n v="2"/>
    <s v="NO TIENE L3OUT"/>
    <n v="8"/>
    <n v="54"/>
  </r>
  <r>
    <n v="876"/>
    <x v="2"/>
    <x v="235"/>
    <s v="eth1/31"/>
    <x v="0"/>
    <x v="0"/>
    <x v="0"/>
    <s v="A_ITHFHWSEQLDPS03_Principal"/>
    <x v="4"/>
    <b v="0"/>
    <s v="No está en VPC"/>
    <n v="876"/>
    <s v="INTPG_ACC_876_1.31"/>
    <s v="ISEL-1.31"/>
    <n v="1"/>
    <s v="NO TIENE L3OUT"/>
    <n v="92"/>
    <n v="54"/>
  </r>
  <r>
    <n v="877"/>
    <x v="2"/>
    <x v="236"/>
    <s v="eth1/31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31"/>
    <x v="1"/>
    <x v="1"/>
    <x v="2"/>
    <s v="IXTRTC5"/>
    <x v="6"/>
    <b v="0"/>
    <s v="No está en VPC"/>
    <n v="122"/>
    <s v="INTPG_ACC_122_1.31"/>
    <s v="ISEL-1.31"/>
    <n v="1"/>
    <s v="NO TIENE L3OUT"/>
    <n v="148"/>
    <n v="96"/>
  </r>
  <r>
    <n v="157"/>
    <x v="0"/>
    <x v="238"/>
    <s v="eth1/31"/>
    <x v="0"/>
    <x v="0"/>
    <x v="0"/>
    <s v="SNA TEST BED"/>
    <x v="6"/>
    <b v="0"/>
    <s v="No está en VPC"/>
    <n v="157"/>
    <s v="INTPG_ACC_157_1.31"/>
    <s v="ISEL-1.31"/>
    <n v="0"/>
    <s v="L3OUT-SNA-IPCORP-A22"/>
    <n v="202"/>
    <n v="96"/>
  </r>
  <r>
    <n v="408"/>
    <x v="1"/>
    <x v="239"/>
    <s v="eth1/31"/>
    <x v="0"/>
    <x v="0"/>
    <x v="0"/>
    <s v="NPO101"/>
    <x v="6"/>
    <b v="0"/>
    <s v="No está en VPC"/>
    <n v="408"/>
    <s v="INTPG_ACC_408_1.31"/>
    <s v="ISEL-1.31"/>
    <n v="1"/>
    <s v="NO TIENE L3OUT"/>
    <n v="152"/>
    <n v="96"/>
  </r>
  <r>
    <n v="405"/>
    <x v="1"/>
    <x v="240"/>
    <s v="eth1/31"/>
    <x v="0"/>
    <x v="0"/>
    <x v="0"/>
    <s v="IXT_ARIESO7_LDR4"/>
    <x v="6"/>
    <b v="0"/>
    <s v="No está en VPC"/>
    <n v="405"/>
    <s v="INTPG_ACC_405_1.31"/>
    <s v="ISEL-1.31"/>
    <n v="1"/>
    <s v="NO TIENE L3OUT"/>
    <n v="138"/>
    <n v="96"/>
  </r>
  <r>
    <n v="169"/>
    <x v="0"/>
    <x v="241"/>
    <s v="eth1/31"/>
    <x v="0"/>
    <x v="0"/>
    <x v="0"/>
    <s v="CIMC_HACIA_UCS_9UCS-GEO-IXTLA-SERV2"/>
    <x v="6"/>
    <b v="0"/>
    <s v="No está en VPC"/>
    <n v="169"/>
    <s v="INTPG_ACC_169_1.31"/>
    <s v="ISEL-1.31"/>
    <n v="1"/>
    <s v="NO TIENE L3OUT"/>
    <n v="76"/>
    <n v="96"/>
  </r>
  <r>
    <n v="165"/>
    <x v="0"/>
    <x v="242"/>
    <s v="eth1/31"/>
    <x v="0"/>
    <x v="0"/>
    <x v="0"/>
    <s v="NPG_DOC"/>
    <x v="6"/>
    <b v="0"/>
    <s v="No está en VPC"/>
    <n v="165"/>
    <s v="INTPG_ACC_165_1.31"/>
    <s v="ISEL-1.31"/>
    <n v="1"/>
    <s v="NO TIENE L3OUT"/>
    <n v="86"/>
    <n v="96"/>
  </r>
  <r>
    <n v="417"/>
    <x v="1"/>
    <x v="243"/>
    <s v="eth1/31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31"/>
    <x v="0"/>
    <x v="0"/>
    <x v="0"/>
    <s v="DCX_BKP1"/>
    <x v="6"/>
    <b v="0"/>
    <s v="No está en VPC"/>
    <n v="153"/>
    <s v="INTPG_ACC_153_1.31"/>
    <s v="ISEL-1.31"/>
    <n v="1"/>
    <s v="NO TIENE L3OUT"/>
    <n v="42"/>
    <n v="96"/>
  </r>
  <r>
    <n v="119"/>
    <x v="0"/>
    <x v="245"/>
    <s v="eth1/31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31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31"/>
    <x v="0"/>
    <x v="1"/>
    <x v="1"/>
    <s v="CAMPANAS 01-02: -: -"/>
    <x v="6"/>
    <b v="0"/>
    <s v="No está en VPC"/>
    <n v="103"/>
    <s v="INTPG_ACC_103_1.31"/>
    <s v="ISEL-1.31"/>
    <n v="1"/>
    <s v="NO TIENE L3OUT"/>
    <n v="70"/>
    <n v="96"/>
  </r>
  <r>
    <n v="438"/>
    <x v="1"/>
    <x v="248"/>
    <s v="eth1/31"/>
    <x v="0"/>
    <x v="0"/>
    <x v="0"/>
    <s v="DESC"/>
    <x v="6"/>
    <b v="0"/>
    <s v="No está en VPC"/>
    <n v="438"/>
    <s v="INTPG_PC_438_1.30-35"/>
    <s v="ISEL-1.31"/>
    <n v="7"/>
    <s v="NO TIENE L3OUT"/>
    <n v="170"/>
    <n v="96"/>
  </r>
  <r>
    <n v="406"/>
    <x v="1"/>
    <x v="249"/>
    <s v="eth1/31"/>
    <x v="1"/>
    <x v="1"/>
    <x v="2"/>
    <s v="DESC"/>
    <x v="6"/>
    <b v="0"/>
    <s v="No está en VPC"/>
    <n v="406"/>
    <s v="INTPG_PC_406_1.31-34"/>
    <s v="ISEL-1.31"/>
    <n v="4"/>
    <s v="NO TIENE L3OUT"/>
    <n v="82"/>
    <n v="96"/>
  </r>
  <r>
    <n v="414"/>
    <x v="1"/>
    <x v="250"/>
    <s v="eth1/31"/>
    <x v="0"/>
    <x v="0"/>
    <x v="0"/>
    <s v="ITHMSVB2_ITH3"/>
    <x v="6"/>
    <b v="0"/>
    <s v="No está en VPC"/>
    <n v="414"/>
    <s v="INTPG_ACC_414_1.31"/>
    <s v="ISEL-1.31"/>
    <n v="1"/>
    <s v="NO TIENE L3OUT"/>
    <n v="144"/>
    <n v="96"/>
  </r>
  <r>
    <n v="416"/>
    <x v="1"/>
    <x v="251"/>
    <s v="eth1/31"/>
    <x v="0"/>
    <x v="0"/>
    <x v="0"/>
    <s v="DESC"/>
    <x v="6"/>
    <b v="0"/>
    <s v="No está en VPC"/>
    <n v="416"/>
    <s v="INTPG_PC_416_1.30-31"/>
    <s v="ISEL-1.31"/>
    <n v="1"/>
    <s v="NO TIENE L3OUT"/>
    <n v="110"/>
    <n v="96"/>
  </r>
  <r>
    <n v="418"/>
    <x v="1"/>
    <x v="252"/>
    <s v="eth1/31"/>
    <x v="0"/>
    <x v="1"/>
    <x v="1"/>
    <s v="DESC"/>
    <x v="6"/>
    <b v="0"/>
    <s v="No está en VPC"/>
    <n v="418"/>
    <s v="INTPG_PC_418_1.30-31"/>
    <s v="ISEL-1.31"/>
    <n v="1"/>
    <s v="NO TIENE L3OUT"/>
    <n v="152"/>
    <n v="96"/>
  </r>
  <r>
    <n v="413"/>
    <x v="1"/>
    <x v="253"/>
    <s v="eth1/31"/>
    <x v="0"/>
    <x v="0"/>
    <x v="0"/>
    <s v="lagidmhlapvp12_produccion1"/>
    <x v="6"/>
    <b v="0"/>
    <s v="No está en VPC"/>
    <n v="413"/>
    <s v="INTPG_VPC_411_1.36-39_413_1.29-32"/>
    <s v="ISEL-1.31"/>
    <n v="2"/>
    <s v="NO TIENE L3OUT"/>
    <n v="126"/>
    <n v="96"/>
  </r>
  <r>
    <n v="403"/>
    <x v="1"/>
    <x v="254"/>
    <s v="eth1/31"/>
    <x v="0"/>
    <x v="0"/>
    <x v="0"/>
    <s v="IXT_ARIESO7_LDR4"/>
    <x v="6"/>
    <b v="0"/>
    <s v="No está en VPC"/>
    <n v="403"/>
    <s v="INTPG_ACC_403_1.31"/>
    <s v="ISEL-1.31"/>
    <n v="1"/>
    <s v="NO TIENE L3OUT"/>
    <n v="150"/>
    <n v="96"/>
  </r>
  <r>
    <n v="125"/>
    <x v="0"/>
    <x v="255"/>
    <s v="eth1/31"/>
    <x v="0"/>
    <x v="0"/>
    <x v="0"/>
    <s v="Politicas de Navegacion"/>
    <x v="6"/>
    <b v="0"/>
    <s v="No está en VPC"/>
    <n v="125"/>
    <s v="INTPG_VPC_124_1.28-29_125_1.31-32"/>
    <s v="ISEL-1.31"/>
    <n v="5"/>
    <s v="NO TIENE L3OUT"/>
    <n v="72"/>
    <n v="96"/>
  </r>
  <r>
    <n v="166"/>
    <x v="0"/>
    <x v="256"/>
    <s v="eth1/31"/>
    <x v="0"/>
    <x v="0"/>
    <x v="0"/>
    <s v="Gestion_NPG_DOC"/>
    <x v="6"/>
    <b v="0"/>
    <s v="No está en VPC"/>
    <n v="166"/>
    <s v="INTPG_ACC_166_1.31"/>
    <s v="ISEL-1.31"/>
    <n v="1"/>
    <s v="NO TIENE L3OUT"/>
    <n v="84"/>
    <n v="96"/>
  </r>
  <r>
    <n v="111"/>
    <x v="0"/>
    <x v="257"/>
    <s v="eth1/31"/>
    <x v="0"/>
    <x v="1"/>
    <x v="1"/>
    <s v="RACKS VMTLCLAMX1"/>
    <x v="6"/>
    <b v="0"/>
    <s v="No está en VPC"/>
    <n v="111"/>
    <s v="INTPG_ACC_111_1.31"/>
    <s v="ISEL-1.31"/>
    <n v="1"/>
    <s v="NO TIENE L3OUT"/>
    <n v="58"/>
    <n v="96"/>
  </r>
  <r>
    <n v="115"/>
    <x v="0"/>
    <x v="258"/>
    <s v="eth1/31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31"/>
    <x v="0"/>
    <x v="0"/>
    <x v="0"/>
    <m/>
    <x v="6"/>
    <b v="0"/>
    <s v="No está en VPC"/>
    <n v="106"/>
    <s v="INTPG_ACC_106_1.31"/>
    <s v="ISEL-1.31"/>
    <n v="1"/>
    <s v="NO TIENE L3OUT"/>
    <n v="122"/>
    <n v="96"/>
  </r>
  <r>
    <n v="126"/>
    <x v="0"/>
    <x v="260"/>
    <s v="eth1/31"/>
    <x v="0"/>
    <x v="0"/>
    <x v="0"/>
    <s v="ENIQ"/>
    <x v="6"/>
    <b v="0"/>
    <s v="No está en VPC"/>
    <n v="126"/>
    <s v="INTPG_ACC_126_1.31"/>
    <s v="ISEL-1.31"/>
    <n v="1"/>
    <s v="NO TIENE L3OUT"/>
    <n v="54"/>
    <n v="96"/>
  </r>
  <r>
    <n v="425"/>
    <x v="1"/>
    <x v="261"/>
    <s v="eth1/31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31"/>
    <x v="0"/>
    <x v="0"/>
    <x v="0"/>
    <s v="TO-ITHEMCDD69007641DKC0-IDRAC"/>
    <x v="6"/>
    <b v="0"/>
    <s v="No está en VPC"/>
    <n v="151"/>
    <s v="INTPG_ACC_151_1.31"/>
    <s v="ISEL-1.31"/>
    <n v="1"/>
    <s v="NO TIENE L3OUT"/>
    <n v="86"/>
    <n v="96"/>
  </r>
  <r>
    <n v="430"/>
    <x v="1"/>
    <x v="263"/>
    <s v="eth1/31"/>
    <x v="0"/>
    <x v="0"/>
    <x v="0"/>
    <s v="DESC"/>
    <x v="6"/>
    <b v="0"/>
    <s v="No está en VPC"/>
    <n v="430"/>
    <s v="INTPG_PC_430_1.31-32"/>
    <s v="ISEL-1.31"/>
    <n v="1"/>
    <s v="NO TIENE L3OUT"/>
    <n v="86"/>
    <n v="96"/>
  </r>
  <r>
    <n v="419"/>
    <x v="1"/>
    <x v="264"/>
    <s v="eth1/31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31"/>
    <x v="0"/>
    <x v="0"/>
    <x v="0"/>
    <s v="RED CRICKET"/>
    <x v="6"/>
    <b v="0"/>
    <s v="No está en VPC"/>
    <n v="155"/>
    <s v="INTPG_ACC_155_1.31"/>
    <s v="ISEL-1.31"/>
    <n v="1"/>
    <s v="NO TIENE L3OUT"/>
    <n v="198"/>
    <n v="96"/>
  </r>
  <r>
    <n v="409"/>
    <x v="1"/>
    <x v="266"/>
    <s v="eth1/31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31"/>
    <x v="0"/>
    <x v="0"/>
    <x v="0"/>
    <s v="IXTSD971A"/>
    <x v="6"/>
    <b v="0"/>
    <s v="No está en VPC"/>
    <n v="422"/>
    <s v="INTPG_ACC_422_1.31"/>
    <s v="ISEL-1.31"/>
    <n v="1"/>
    <s v="NO TIENE L3OUT"/>
    <n v="182"/>
    <n v="96"/>
  </r>
  <r>
    <n v="436"/>
    <x v="1"/>
    <x v="268"/>
    <s v="eth1/31"/>
    <x v="0"/>
    <x v="0"/>
    <x v="0"/>
    <s v="TC3_ithmomce1_OA1_MGT"/>
    <x v="6"/>
    <b v="0"/>
    <s v="No está en VPC"/>
    <n v="436"/>
    <s v="INTPG_ACC_436_1.31"/>
    <s v="ISEL-1.31"/>
    <n v="1"/>
    <s v="NO TIENE L3OUT"/>
    <n v="172"/>
    <n v="96"/>
  </r>
  <r>
    <n v="410"/>
    <x v="1"/>
    <x v="269"/>
    <s v="eth1/31"/>
    <x v="0"/>
    <x v="0"/>
    <x v="0"/>
    <s v="PAPERLES_ITHFNETSW1_PTO0"/>
    <x v="6"/>
    <b v="0"/>
    <s v="No está en VPC"/>
    <n v="410"/>
    <s v="INTPG_ACC_410_1.31"/>
    <s v="ISEL-1.31"/>
    <n v="1"/>
    <s v="NO TIENE L3OUT"/>
    <n v="178"/>
    <n v="96"/>
  </r>
  <r>
    <n v="161"/>
    <x v="0"/>
    <x v="270"/>
    <s v="eth1/31"/>
    <x v="0"/>
    <x v="0"/>
    <x v="0"/>
    <s v="desc"/>
    <x v="6"/>
    <b v="0"/>
    <s v="No está en VPC"/>
    <n v="161"/>
    <s v="INTPG_VPC_161_1.31_163_1.30"/>
    <s v="ISEL-1.31"/>
    <n v="1"/>
    <s v="NO TIENE L3OUT"/>
    <n v="102"/>
    <n v="96"/>
  </r>
  <r>
    <n v="411"/>
    <x v="1"/>
    <x v="271"/>
    <s v="eth1/31"/>
    <x v="0"/>
    <x v="0"/>
    <x v="0"/>
    <s v="lagidmhlapvp10_produccion1"/>
    <x v="6"/>
    <b v="0"/>
    <s v="No está en VPC"/>
    <n v="411"/>
    <s v="INTPG_VPC_411_1.31-34_413_1.24-27"/>
    <s v="ISEL-1.31"/>
    <n v="2"/>
    <s v="NO TIENE L3OUT"/>
    <n v="96"/>
    <n v="96"/>
  </r>
  <r>
    <n v="116"/>
    <x v="0"/>
    <x v="272"/>
    <s v="eth1/31"/>
    <x v="0"/>
    <x v="0"/>
    <x v="0"/>
    <s v="INGE6"/>
    <x v="6"/>
    <b v="0"/>
    <s v="No está en VPC"/>
    <n v="116"/>
    <s v="INTPG_ACC_116_1.31"/>
    <s v="ISEL-1.31"/>
    <n v="1"/>
    <s v="NO TIENE L3OUT"/>
    <n v="148"/>
    <n v="96"/>
  </r>
  <r>
    <n v="412"/>
    <x v="1"/>
    <x v="273"/>
    <s v="eth1/31"/>
    <x v="0"/>
    <x v="0"/>
    <x v="0"/>
    <s v="FS101"/>
    <x v="6"/>
    <b v="0"/>
    <s v="No está en VPC"/>
    <n v="412"/>
    <s v="INTPG_ACC_412_1.31"/>
    <s v="ISEL-1.31"/>
    <n v="1"/>
    <s v="NO TIENE L3OUT"/>
    <n v="126"/>
    <n v="96"/>
  </r>
  <r>
    <n v="120"/>
    <x v="0"/>
    <x v="274"/>
    <s v="eth1/31"/>
    <x v="0"/>
    <x v="0"/>
    <x v="0"/>
    <s v="IXTRTC5"/>
    <x v="6"/>
    <b v="0"/>
    <s v="No está en VPC"/>
    <n v="120"/>
    <s v="INTPG_ACC_120_1.31"/>
    <s v="ISEL-1.31"/>
    <n v="1"/>
    <s v="NO TIENE L3OUT"/>
    <n v="158"/>
    <n v="96"/>
  </r>
  <r>
    <n v="404"/>
    <x v="1"/>
    <x v="275"/>
    <s v="eth1/31"/>
    <x v="0"/>
    <x v="0"/>
    <x v="0"/>
    <s v="DESC"/>
    <x v="6"/>
    <b v="0"/>
    <s v="No está en VPC"/>
    <n v="404"/>
    <s v="INTPG_PC_404_1.31-34"/>
    <s v="ISEL-1.31"/>
    <n v="4"/>
    <s v="NO TIENE L3OUT"/>
    <n v="92"/>
    <n v="96"/>
  </r>
  <r>
    <n v="167"/>
    <x v="0"/>
    <x v="276"/>
    <s v="eth1/31"/>
    <x v="0"/>
    <x v="0"/>
    <x v="0"/>
    <s v="TO-CORE_SWITCH-3-Y-4"/>
    <x v="6"/>
    <b v="0"/>
    <s v="No está en VPC"/>
    <n v="167"/>
    <s v="INTPG_VPC_167_1.30-32_169_1.21-23"/>
    <s v="ISEL-1.31"/>
    <n v="4"/>
    <s v="NO TIENE L3OUT"/>
    <n v="68"/>
    <n v="96"/>
  </r>
  <r>
    <n v="428"/>
    <x v="1"/>
    <x v="277"/>
    <s v="eth1/31"/>
    <x v="0"/>
    <x v="0"/>
    <x v="0"/>
    <s v="DESC"/>
    <x v="6"/>
    <b v="0"/>
    <s v="No está en VPC"/>
    <n v="428"/>
    <s v="INTPG_PC_428_1.31-32"/>
    <s v="ISEL-1.31"/>
    <n v="1"/>
    <s v="NO TIENE L3OUT"/>
    <n v="102"/>
    <n v="96"/>
  </r>
  <r>
    <n v="903"/>
    <x v="2"/>
    <x v="278"/>
    <s v="eth1/31"/>
    <x v="0"/>
    <x v="0"/>
    <x v="0"/>
    <s v="LINK_HACIA_RMAC"/>
    <x v="7"/>
    <b v="0"/>
    <s v="No está en VPC"/>
    <n v="903"/>
    <s v="NO EXISTE PG"/>
    <s v="NO EXISTE ISEL"/>
    <n v="0"/>
    <s v="multipod"/>
    <n v="0"/>
    <s v="SPINE"/>
  </r>
  <r>
    <n v="902"/>
    <x v="2"/>
    <x v="279"/>
    <s v="eth1/31"/>
    <x v="0"/>
    <x v="0"/>
    <x v="0"/>
    <s v="LINK_HACIA_RMAC"/>
    <x v="7"/>
    <b v="0"/>
    <s v="No está en VPC"/>
    <n v="902"/>
    <s v="NO EXISTE PG"/>
    <s v="NO EXISTE ISEL"/>
    <n v="0"/>
    <s v="multipod"/>
    <n v="0"/>
    <s v="SPINE"/>
  </r>
  <r>
    <n v="128"/>
    <x v="0"/>
    <x v="0"/>
    <s v="eth1/32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32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32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32"/>
    <x v="0"/>
    <x v="0"/>
    <x v="0"/>
    <s v="TO-ITHEMCDD94009668"/>
    <x v="0"/>
    <b v="0"/>
    <s v="No está en VPC"/>
    <n v="101"/>
    <s v="INTPG_VPC_101_1.31-32_150_1.32"/>
    <s v="ISEL-1.32"/>
    <n v="1"/>
    <s v="NO TIENE L3OUT"/>
    <n v="114"/>
    <n v="54"/>
  </r>
  <r>
    <n v="160"/>
    <x v="0"/>
    <x v="4"/>
    <s v="eth1/32"/>
    <x v="0"/>
    <x v="1"/>
    <x v="1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32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32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32"/>
    <x v="0"/>
    <x v="0"/>
    <x v="0"/>
    <s v="TO-ithfdlroamrap01"/>
    <x v="0"/>
    <b v="0"/>
    <s v="No está en VPC"/>
    <n v="401"/>
    <s v="INTPG_VPC_401_1.31-32_402_1.31-32"/>
    <s v="ISEL-1.32"/>
    <n v="1"/>
    <s v="NO TIENE L3OUT"/>
    <n v="40"/>
    <n v="54"/>
  </r>
  <r>
    <n v="402"/>
    <x v="1"/>
    <x v="8"/>
    <s v="eth1/32"/>
    <x v="0"/>
    <x v="0"/>
    <x v="0"/>
    <s v="TO-ithfdlroamrap01"/>
    <x v="0"/>
    <b v="0"/>
    <s v="No está en VPC"/>
    <n v="402"/>
    <s v="INTPG_VPC_401_1.31-32_402_1.31-32"/>
    <s v="ISEL-1.32"/>
    <n v="1"/>
    <s v="NO TIENE L3OUT"/>
    <n v="36"/>
    <n v="54"/>
  </r>
  <r>
    <n v="447"/>
    <x v="1"/>
    <x v="9"/>
    <s v="eth1/32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32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32"/>
    <x v="0"/>
    <x v="0"/>
    <x v="0"/>
    <s v="LAG-smt-comp-06"/>
    <x v="0"/>
    <b v="0"/>
    <s v="No está en VPC"/>
    <n v="130"/>
    <s v="INTPG_VPC_130_1.31-32_131_1.31-32"/>
    <s v="ISEL-1.32"/>
    <n v="4"/>
    <s v="NO TIENE L3OUT"/>
    <n v="128"/>
    <n v="54"/>
  </r>
  <r>
    <n v="150"/>
    <x v="0"/>
    <x v="12"/>
    <s v="eth1/32"/>
    <x v="0"/>
    <x v="0"/>
    <x v="0"/>
    <s v="TO-ITHEMCDD94009668"/>
    <x v="0"/>
    <b v="0"/>
    <s v="No está en VPC"/>
    <n v="150"/>
    <s v="INTPG_VPC_101_1.31-32_150_1.32"/>
    <s v="ISEL-1.32"/>
    <n v="1"/>
    <s v="NO TIENE L3OUT"/>
    <n v="118"/>
    <n v="54"/>
  </r>
  <r>
    <n v="131"/>
    <x v="0"/>
    <x v="13"/>
    <s v="eth1/32"/>
    <x v="0"/>
    <x v="0"/>
    <x v="0"/>
    <s v="LAG-smt-comp-06"/>
    <x v="0"/>
    <b v="0"/>
    <s v="No está en VPC"/>
    <n v="131"/>
    <s v="INTPG_VPC_130_1.31-32_131_1.31-32"/>
    <s v="ISEL-1.32"/>
    <n v="4"/>
    <s v="NO TIENE L3OUT"/>
    <n v="126"/>
    <n v="54"/>
  </r>
  <r>
    <n v="303"/>
    <x v="0"/>
    <x v="14"/>
    <s v="eth1/32"/>
    <x v="0"/>
    <x v="1"/>
    <x v="3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32"/>
    <x v="0"/>
    <x v="1"/>
    <x v="3"/>
    <m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32"/>
    <x v="1"/>
    <x v="1"/>
    <x v="3"/>
    <m/>
    <x v="2"/>
    <b v="0"/>
    <s v="No está en VPC"/>
    <n v="759"/>
    <s v="NO EXISTE PG"/>
    <s v="NO EXISTE ISEL"/>
    <n v="0"/>
    <s v="NO TIENE L3OUT"/>
    <n v="0"/>
    <n v="42"/>
  </r>
  <r>
    <n v="302"/>
    <x v="0"/>
    <x v="17"/>
    <s v="eth1/32"/>
    <x v="0"/>
    <x v="1"/>
    <x v="3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32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32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32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32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32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32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32"/>
    <x v="0"/>
    <x v="1"/>
    <x v="3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32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32"/>
    <x v="0"/>
    <x v="0"/>
    <x v="0"/>
    <s v="TO-DD8139PC2"/>
    <x v="0"/>
    <b v="0"/>
    <s v="No está en VPC"/>
    <n v="431"/>
    <s v="INTPG_VPC_431_1.32_448_1.32"/>
    <s v="ISEL-1.32"/>
    <n v="1"/>
    <s v="NO TIENE L3OUT"/>
    <n v="46"/>
    <n v="54"/>
  </r>
  <r>
    <n v="433"/>
    <x v="1"/>
    <x v="27"/>
    <s v="eth1/32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32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32"/>
    <x v="0"/>
    <x v="0"/>
    <x v="0"/>
    <s v="TO-ITHFDLMCLWLCN04-Principal"/>
    <x v="1"/>
    <b v="0"/>
    <s v="No está en VPC"/>
    <n v="432"/>
    <s v="INTPG_ACC_432_1.32"/>
    <s v="ISEL-1.32"/>
    <n v="1"/>
    <s v="NO TIENE L3OUT"/>
    <n v="54"/>
    <n v="54"/>
  </r>
  <r>
    <n v="442"/>
    <x v="1"/>
    <x v="30"/>
    <s v="eth1/32"/>
    <x v="0"/>
    <x v="0"/>
    <x v="0"/>
    <s v="bmc_ithhwc3b2288h4_SECUNDARIO"/>
    <x v="1"/>
    <b v="0"/>
    <s v="No está en VPC"/>
    <n v="442"/>
    <s v="INTPG_ACC_442_1.32"/>
    <s v="ISEL-1.32"/>
    <n v="1"/>
    <s v="NO TIENE L3OUT"/>
    <n v="18"/>
    <n v="54"/>
  </r>
  <r>
    <n v="434"/>
    <x v="1"/>
    <x v="31"/>
    <s v="eth1/32"/>
    <x v="0"/>
    <x v="0"/>
    <x v="0"/>
    <s v="TO-ITHFDESPBORBD01-PRINCIPAL"/>
    <x v="1"/>
    <b v="0"/>
    <s v="No está en VPC"/>
    <n v="434"/>
    <s v="INTPG_ACC_434_1.32"/>
    <s v="ISEL-1.32"/>
    <n v="1"/>
    <s v="NO TIENE L3OUT"/>
    <n v="34"/>
    <n v="54"/>
  </r>
  <r>
    <n v="707"/>
    <x v="2"/>
    <x v="32"/>
    <s v="eth1/32"/>
    <x v="0"/>
    <x v="1"/>
    <x v="3"/>
    <s v="CEM_HADOOP"/>
    <x v="0"/>
    <b v="0"/>
    <s v="No está en VPC"/>
    <n v="707"/>
    <s v="INTPG_ACC_707_1.32"/>
    <s v="ISEL-1.32"/>
    <n v="1"/>
    <s v="NO TIENE L3OUT"/>
    <n v="54"/>
    <n v="54"/>
  </r>
  <r>
    <n v="712"/>
    <x v="2"/>
    <x v="33"/>
    <s v="eth1/32"/>
    <x v="1"/>
    <x v="1"/>
    <x v="3"/>
    <s v="CEM:ITHCEMA2ADT16:LOM  P2"/>
    <x v="0"/>
    <b v="0"/>
    <s v="No está en VPC"/>
    <n v="712"/>
    <s v="INTPG_VPC_713_1.31_712_1.32"/>
    <s v="ISEL-1.32"/>
    <n v="0"/>
    <s v="NO TIENE L3OUT"/>
    <n v="32"/>
    <n v="54"/>
  </r>
  <r>
    <n v="719"/>
    <x v="2"/>
    <x v="34"/>
    <s v="eth1/32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32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32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32"/>
    <x v="0"/>
    <x v="1"/>
    <x v="5"/>
    <s v="CEM:ITHCEMD2ANN16:LOM  P2"/>
    <x v="0"/>
    <b v="0"/>
    <s v="No está en VPC"/>
    <n v="711"/>
    <s v="INTPG_VPC_710_1.31_711_1.32"/>
    <s v="ISEL-1.32"/>
    <n v="1"/>
    <s v="NO TIENE L3OUT"/>
    <n v="16"/>
    <n v="54"/>
  </r>
  <r>
    <n v="716"/>
    <x v="2"/>
    <x v="38"/>
    <s v="eth1/32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32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32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32"/>
    <x v="1"/>
    <x v="1"/>
    <x v="2"/>
    <m/>
    <x v="0"/>
    <b v="0"/>
    <s v="No está en VPC"/>
    <n v="446"/>
    <s v="NO EXISTE PG"/>
    <s v="NO EXISTE ISEL"/>
    <n v="0"/>
    <s v="NO TIENE L3OUT"/>
    <n v="198"/>
    <n v="54"/>
  </r>
  <r>
    <n v="444"/>
    <x v="1"/>
    <x v="42"/>
    <s v="eth1/32"/>
    <x v="0"/>
    <x v="0"/>
    <x v="0"/>
    <m/>
    <x v="0"/>
    <b v="0"/>
    <s v="No está en VPC"/>
    <n v="444"/>
    <s v="INTPG_ACC_444_1.32"/>
    <s v="ISEL-1.32"/>
    <n v="9"/>
    <s v="NO TIENE L3OUT"/>
    <n v="234"/>
    <n v="54"/>
  </r>
  <r>
    <n v="701"/>
    <x v="2"/>
    <x v="43"/>
    <s v="eth1/32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32"/>
    <x v="0"/>
    <x v="0"/>
    <x v="0"/>
    <s v="bmc_ithhwc3b2288h3_PRINCIPAL"/>
    <x v="1"/>
    <b v="0"/>
    <s v="No está en VPC"/>
    <n v="440"/>
    <s v="INTPG_ACC_440_1.32"/>
    <s v="ISEL-1.32"/>
    <n v="1"/>
    <s v="NO TIENE L3OUT"/>
    <n v="22"/>
    <n v="54"/>
  </r>
  <r>
    <n v="448"/>
    <x v="1"/>
    <x v="45"/>
    <s v="eth1/32"/>
    <x v="0"/>
    <x v="0"/>
    <x v="0"/>
    <s v="TO-DD8139PC2"/>
    <x v="0"/>
    <b v="0"/>
    <s v="No está en VPC"/>
    <n v="448"/>
    <s v="INTPG_VPC_431_1.32_448_1.32"/>
    <s v="ISEL-1.32"/>
    <n v="1"/>
    <s v="NO TIENE L3OUT"/>
    <n v="46"/>
    <n v="54"/>
  </r>
  <r>
    <n v="704"/>
    <x v="2"/>
    <x v="46"/>
    <s v="eth1/32"/>
    <x v="1"/>
    <x v="1"/>
    <x v="3"/>
    <m/>
    <x v="0"/>
    <b v="0"/>
    <s v="No está en VPC"/>
    <n v="704"/>
    <s v="INTPG_VPC_706_1.31_705_1.32"/>
    <s v="ISEL-1.32"/>
    <n v="1"/>
    <s v="NO TIENE L3OUT"/>
    <n v="0"/>
    <n v="54"/>
  </r>
  <r>
    <n v="729"/>
    <x v="2"/>
    <x v="47"/>
    <s v="eth1/32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32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32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603"/>
    <x v="1"/>
    <x v="50"/>
    <s v="eth1/32"/>
    <x v="0"/>
    <x v="1"/>
    <x v="3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32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32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32"/>
    <x v="0"/>
    <x v="0"/>
    <x v="0"/>
    <s v="Server_Pre-R02-RH2288-07"/>
    <x v="0"/>
    <b v="0"/>
    <s v="No está en VPC"/>
    <n v="730"/>
    <s v="INTPG_ACC_730_1.32"/>
    <s v="ISEL-1.32"/>
    <n v="1"/>
    <s v="NO TIENE L3OUT"/>
    <n v="36"/>
    <n v="54"/>
  </r>
  <r>
    <n v="722"/>
    <x v="2"/>
    <x v="54"/>
    <s v="eth1/32"/>
    <x v="0"/>
    <x v="0"/>
    <x v="0"/>
    <s v="DESC"/>
    <x v="0"/>
    <b v="0"/>
    <s v="No está en VPC"/>
    <n v="722"/>
    <s v="INTPG_PC_722_1.31-32"/>
    <s v="ISEL-1.32"/>
    <n v="0"/>
    <s v="L3OUT-HCS-OPER-TELCEL-IPCORP"/>
    <n v="0"/>
    <n v="54"/>
  </r>
  <r>
    <n v="733"/>
    <x v="2"/>
    <x v="55"/>
    <s v="eth1/32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32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32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32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32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32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32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32"/>
    <x v="0"/>
    <x v="0"/>
    <x v="0"/>
    <s v="CEM:ITHCEMB2ADT16:SLOT1 P1"/>
    <x v="5"/>
    <b v="0"/>
    <s v="No está en VPC"/>
    <n v="742"/>
    <s v="INTPG_ACC_742_1.32"/>
    <s v="ISEL-1.32"/>
    <n v="1"/>
    <s v="NO TIENE L3OUT"/>
    <n v="64"/>
    <n v="54"/>
  </r>
  <r>
    <n v="763"/>
    <x v="2"/>
    <x v="63"/>
    <s v="eth1/32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32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32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32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32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32"/>
    <x v="0"/>
    <x v="0"/>
    <x v="0"/>
    <s v="CLOUD OPS:ithhwcop01en01:4E P2"/>
    <x v="0"/>
    <b v="0"/>
    <s v="No está en VPC"/>
    <n v="778"/>
    <s v="INTPG_VPC_778_1.25-26_31-32_779_1.25-26_31-32"/>
    <s v="ISEL-1.32"/>
    <n v="24"/>
    <s v="NO TIENE L3OUT"/>
    <n v="26"/>
    <n v="54"/>
  </r>
  <r>
    <n v="780"/>
    <x v="2"/>
    <x v="69"/>
    <s v="eth1/32"/>
    <x v="0"/>
    <x v="0"/>
    <x v="0"/>
    <s v="CLOUD OPS:ithhwcop02en02:3X P1"/>
    <x v="0"/>
    <b v="0"/>
    <s v="No está en VPC"/>
    <n v="780"/>
    <s v="INTPG_VPC_780_1.30-33_781_1.30-33"/>
    <s v="ISEL-1.32"/>
    <n v="23"/>
    <s v="NO TIENE L3OUT"/>
    <n v="26"/>
    <n v="54"/>
  </r>
  <r>
    <n v="812"/>
    <x v="2"/>
    <x v="70"/>
    <s v="eth1/32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32"/>
    <x v="0"/>
    <x v="1"/>
    <x v="3"/>
    <s v="TO-ITHFHWDCIMLAP03-Redundante"/>
    <x v="0"/>
    <b v="0"/>
    <s v="No está en VPC"/>
    <n v="796"/>
    <s v="INTPG_ACC_796_1.32"/>
    <s v="ISEL-1.32"/>
    <n v="1"/>
    <s v="NO TIENE L3OUT"/>
    <n v="18"/>
    <n v="54"/>
  </r>
  <r>
    <n v="795"/>
    <x v="2"/>
    <x v="72"/>
    <s v="eth1/32"/>
    <x v="0"/>
    <x v="0"/>
    <x v="0"/>
    <s v="TO-ITHFHWDCIMLAP03-Principal"/>
    <x v="0"/>
    <b v="0"/>
    <s v="No está en VPC"/>
    <n v="795"/>
    <s v="INTPG_ACC_795_1.32"/>
    <s v="ISEL-1.32"/>
    <n v="1"/>
    <s v="NO TIENE L3OUT"/>
    <n v="18"/>
    <n v="54"/>
  </r>
  <r>
    <n v="749"/>
    <x v="2"/>
    <x v="73"/>
    <s v="eth1/32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32"/>
    <x v="0"/>
    <x v="0"/>
    <x v="0"/>
    <s v="LINK_TO_ITHFHWCMVWPMA16 /Slot7.2 /Redundante"/>
    <x v="0"/>
    <b v="0"/>
    <s v="No está en VPC"/>
    <n v="824"/>
    <s v="INTPG_ACC_824_1.32"/>
    <s v="ISEL-1.32"/>
    <n v="1"/>
    <s v="NO TIENE L3OUT"/>
    <n v="70"/>
    <n v="54"/>
  </r>
  <r>
    <n v="819"/>
    <x v="2"/>
    <x v="75"/>
    <s v="eth1/32"/>
    <x v="0"/>
    <x v="0"/>
    <x v="0"/>
    <s v="LINK_TO_ITHFHWCMVWPMA16 /Slot5.2 /Principal"/>
    <x v="0"/>
    <b v="0"/>
    <s v="No está en VPC"/>
    <n v="819"/>
    <s v="INTPG_ACC_819_1.32"/>
    <s v="ISEL-1.32"/>
    <n v="1"/>
    <s v="NO TIENE L3OUT"/>
    <n v="70"/>
    <n v="54"/>
  </r>
  <r>
    <n v="737"/>
    <x v="2"/>
    <x v="76"/>
    <s v="eth1/32"/>
    <x v="0"/>
    <x v="0"/>
    <x v="0"/>
    <s v="CEM:ITHCEME2ANN16:SLOT1 P1"/>
    <x v="5"/>
    <b v="0"/>
    <s v="No está en VPC"/>
    <n v="737"/>
    <s v="INTPG_ACC_737_1.32"/>
    <s v="ISEL-1.32"/>
    <n v="1"/>
    <s v="NO TIENE L3OUT"/>
    <n v="72"/>
    <n v="54"/>
  </r>
  <r>
    <n v="844"/>
    <x v="2"/>
    <x v="77"/>
    <s v="eth1/32"/>
    <x v="0"/>
    <x v="0"/>
    <x v="0"/>
    <s v="LINK_TO_ITHFHWCRMPLCN111 / Slot1.2_26 / Principal"/>
    <x v="0"/>
    <b v="0"/>
    <s v="No está en VPC"/>
    <n v="844"/>
    <s v="INTPG_ACC_844_1.32"/>
    <s v="ISEL-1.32"/>
    <n v="2"/>
    <s v="NO TIENE L3OUT"/>
    <n v="282"/>
    <n v="54"/>
  </r>
  <r>
    <n v="843"/>
    <x v="2"/>
    <x v="78"/>
    <s v="eth1/32"/>
    <x v="0"/>
    <x v="0"/>
    <x v="0"/>
    <s v="LINK_To_ITHHWD6KV65100012DKC01 / CTMB_IOM0.P1_34 / Redundante"/>
    <x v="0"/>
    <b v="0"/>
    <s v="No está en VPC"/>
    <n v="843"/>
    <s v="INTPG_ACC_843_1.32"/>
    <s v="ISEL-1.32"/>
    <n v="1"/>
    <s v="NO TIENE L3OUT"/>
    <n v="38"/>
    <n v="54"/>
  </r>
  <r>
    <n v="797"/>
    <x v="2"/>
    <x v="79"/>
    <s v="eth1/32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32"/>
    <x v="0"/>
    <x v="0"/>
    <x v="0"/>
    <s v="LINK_TO_ITHFHWCBSPSHD40 / Slot7.2_18 / Redundante"/>
    <x v="0"/>
    <b v="0"/>
    <s v="No está en VPC"/>
    <n v="839"/>
    <s v="INTPG_VPC_834_1.32_839_1.32"/>
    <s v="ISEL-1.32"/>
    <n v="2"/>
    <s v="NO TIENE L3OUT"/>
    <n v="0"/>
    <n v="54"/>
  </r>
  <r>
    <n v="847"/>
    <x v="2"/>
    <x v="81"/>
    <s v="eth1/32"/>
    <x v="0"/>
    <x v="0"/>
    <x v="0"/>
    <s v="LINK_TO_ITHFHWCRMPLCN176 / Slot7.1_22 / Redundante"/>
    <x v="0"/>
    <b v="0"/>
    <s v="No está en VPC"/>
    <n v="847"/>
    <s v="INTPG_ACC_847_1.32"/>
    <s v="ISEL-1.32"/>
    <n v="6"/>
    <s v="NO TIENE L3OUT"/>
    <n v="204"/>
    <n v="54"/>
  </r>
  <r>
    <n v="848"/>
    <x v="2"/>
    <x v="82"/>
    <s v="eth1/32"/>
    <x v="0"/>
    <x v="0"/>
    <x v="0"/>
    <s v="LINK_TO_ITHFHWCRMPLCN165 / Slot7.1_32 / Redundante"/>
    <x v="0"/>
    <b v="0"/>
    <s v="No está en VPC"/>
    <n v="848"/>
    <s v="INTPG_ACC_848_1.32"/>
    <s v="ISEL-1.32"/>
    <n v="6"/>
    <s v="NO TIENE L3OUT"/>
    <n v="254"/>
    <n v="54"/>
  </r>
  <r>
    <n v="846"/>
    <x v="2"/>
    <x v="83"/>
    <s v="eth1/32"/>
    <x v="0"/>
    <x v="0"/>
    <x v="0"/>
    <s v="LINK_TO_ITHFHWCRMPLCN82 / Slot1.2_22 / Principal"/>
    <x v="0"/>
    <b v="0"/>
    <s v="No está en VPC"/>
    <n v="846"/>
    <s v="INTPG_ACC_846_1.32"/>
    <s v="ISEL-1.32"/>
    <n v="2"/>
    <s v="NO TIENE L3OUT"/>
    <n v="242"/>
    <n v="54"/>
  </r>
  <r>
    <n v="838"/>
    <x v="2"/>
    <x v="84"/>
    <s v="eth1/32"/>
    <x v="0"/>
    <x v="0"/>
    <x v="0"/>
    <s v="LINK_To_ITHHWD6KV65100012DKC01 / CTMB_IOM0.P0_34 / Principal"/>
    <x v="0"/>
    <b v="0"/>
    <s v="No está en VPC"/>
    <n v="838"/>
    <s v="INTPG_ACC_838_1.32"/>
    <s v="ISEL-1.32"/>
    <n v="1"/>
    <s v="NO TIENE L3OUT"/>
    <n v="38"/>
    <n v="54"/>
  </r>
  <r>
    <n v="849"/>
    <x v="2"/>
    <x v="85"/>
    <s v="eth1/32"/>
    <x v="0"/>
    <x v="0"/>
    <x v="0"/>
    <s v="LINK_TO_ITHFHWCRMPLCN145 / Slot7.1_24 / Redundante"/>
    <x v="0"/>
    <b v="0"/>
    <s v="No está en VPC"/>
    <n v="849"/>
    <s v="INTPG_ACC_849_1.32"/>
    <s v="ISEL-1.32"/>
    <n v="6"/>
    <s v="NO TIENE L3OUT"/>
    <n v="286"/>
    <n v="54"/>
  </r>
  <r>
    <n v="845"/>
    <x v="2"/>
    <x v="86"/>
    <s v="eth1/32"/>
    <x v="0"/>
    <x v="0"/>
    <x v="0"/>
    <s v="LINK_TO_ITHFHWCRMPLCN94 / Slot1.3_20 / Principal"/>
    <x v="0"/>
    <b v="0"/>
    <s v="No está en VPC"/>
    <n v="845"/>
    <s v="INTPG_ACC_845_1.32"/>
    <s v="ISEL-1.32"/>
    <n v="1"/>
    <s v="NO TIENE L3OUT"/>
    <n v="258"/>
    <n v="54"/>
  </r>
  <r>
    <n v="873"/>
    <x v="2"/>
    <x v="87"/>
    <s v="eth1/32"/>
    <x v="0"/>
    <x v="0"/>
    <x v="0"/>
    <s v="To_VPC_2DCRMD_SBD07_3"/>
    <x v="0"/>
    <b v="0"/>
    <s v="No está en VPC"/>
    <n v="873"/>
    <s v="INTPG_VPC_870_1.32_873_1.32"/>
    <s v="ISEL-1.32"/>
    <n v="1"/>
    <s v="NO TIENE L3OUT"/>
    <n v="248"/>
    <n v="54"/>
  </r>
  <r>
    <n v="864"/>
    <x v="2"/>
    <x v="88"/>
    <s v="eth1/32"/>
    <x v="0"/>
    <x v="0"/>
    <x v="0"/>
    <s v="To_VPC_2DCBSD_WR46_2"/>
    <x v="0"/>
    <b v="0"/>
    <s v="No está en VPC"/>
    <n v="864"/>
    <s v="INTPG_VPC_859_1.32_864_1.32"/>
    <s v="ISEL-1.32"/>
    <n v="1"/>
    <s v="NO TIENE L3OUT"/>
    <n v="0"/>
    <n v="54"/>
  </r>
  <r>
    <n v="836"/>
    <x v="2"/>
    <x v="89"/>
    <s v="eth1/32"/>
    <x v="0"/>
    <x v="0"/>
    <x v="0"/>
    <s v="LINK_TO_ITHFHWCBSPSHD25 / Slot1.1_14 / Principal"/>
    <x v="0"/>
    <b v="0"/>
    <s v="No está en VPC"/>
    <n v="836"/>
    <s v="INTPG_VPC_836_1.32_841_1.32"/>
    <s v="ISEL-1.32"/>
    <n v="2"/>
    <s v="NO TIENE L3OUT"/>
    <n v="0"/>
    <n v="54"/>
  </r>
  <r>
    <n v="834"/>
    <x v="2"/>
    <x v="90"/>
    <s v="eth1/32"/>
    <x v="0"/>
    <x v="0"/>
    <x v="0"/>
    <s v="LINK_TO_ITHFHWCBSPSHD40 / Slot1.2_18 / Principal"/>
    <x v="0"/>
    <b v="0"/>
    <s v="No está en VPC"/>
    <n v="834"/>
    <s v="INTPG_VPC_834_1.32_839_1.32"/>
    <s v="ISEL-1.32"/>
    <n v="2"/>
    <s v="NO TIENE L3OUT"/>
    <n v="0"/>
    <n v="54"/>
  </r>
  <r>
    <n v="872"/>
    <x v="2"/>
    <x v="91"/>
    <s v="eth1/32"/>
    <x v="0"/>
    <x v="0"/>
    <x v="0"/>
    <s v="To_ITHFHWCRMDLCN79_Principal"/>
    <x v="0"/>
    <b v="0"/>
    <s v="No está en VPC"/>
    <n v="872"/>
    <s v="INTPG_ACC_872_1.32"/>
    <s v="ISEL-1.32"/>
    <n v="1"/>
    <s v="NO TIENE L3OUT"/>
    <n v="288"/>
    <n v="54"/>
  </r>
  <r>
    <n v="842"/>
    <x v="2"/>
    <x v="92"/>
    <s v="eth1/32"/>
    <x v="0"/>
    <x v="0"/>
    <x v="0"/>
    <s v="LINK_TO_ITHHWD6KV65100009DKC01 / CTMB_IOM1.P1_34 / Redundante"/>
    <x v="0"/>
    <b v="0"/>
    <s v="No está en VPC"/>
    <n v="842"/>
    <s v="INTPG_ACC_842_1.32"/>
    <s v="ISEL-1.32"/>
    <n v="1"/>
    <s v="NO TIENE L3OUT"/>
    <n v="8"/>
    <n v="54"/>
  </r>
  <r>
    <n v="828"/>
    <x v="2"/>
    <x v="93"/>
    <s v="eth1/32"/>
    <x v="0"/>
    <x v="0"/>
    <x v="0"/>
    <s v="LINK_TO_ITHFHWCRMDLCN26 /Slot5.2 /Principal"/>
    <x v="0"/>
    <b v="0"/>
    <s v="No está en VPC"/>
    <n v="828"/>
    <s v="INTPG_ACC_828_1.32"/>
    <s v="ISEL-1.32"/>
    <n v="5"/>
    <s v="NO TIENE L3OUT"/>
    <n v="192"/>
    <n v="54"/>
  </r>
  <r>
    <n v="870"/>
    <x v="2"/>
    <x v="94"/>
    <s v="eth1/32"/>
    <x v="0"/>
    <x v="0"/>
    <x v="0"/>
    <s v="To_VPC_2DCRMD_SBD07_3"/>
    <x v="0"/>
    <b v="0"/>
    <s v="No está en VPC"/>
    <n v="870"/>
    <s v="INTPG_VPC_870_1.32_873_1.32"/>
    <s v="ISEL-1.32"/>
    <n v="1"/>
    <s v="NO TIENE L3OUT"/>
    <n v="248"/>
    <n v="54"/>
  </r>
  <r>
    <n v="866"/>
    <x v="2"/>
    <x v="95"/>
    <s v="eth1/32"/>
    <x v="0"/>
    <x v="0"/>
    <x v="0"/>
    <s v="To_VPC_2DCBSD_BD13_1"/>
    <x v="0"/>
    <b v="0"/>
    <s v="No está en VPC"/>
    <n v="866"/>
    <s v="INTPG_VPC_861_1.32_866_1.32"/>
    <s v="ISEL-1.32"/>
    <n v="2"/>
    <s v="NO TIENE L3OUT"/>
    <n v="8"/>
    <n v="54"/>
  </r>
  <r>
    <n v="862"/>
    <x v="2"/>
    <x v="96"/>
    <s v="eth1/32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32"/>
    <x v="0"/>
    <x v="0"/>
    <x v="0"/>
    <s v="LINK_TO_ITHFHWCRMPLCN165 / Slot1.1_32 / Principal"/>
    <x v="0"/>
    <b v="0"/>
    <s v="No está en VPC"/>
    <n v="855"/>
    <s v="INTPG_ACC_855_1.32"/>
    <s v="ISEL-1.32"/>
    <n v="6"/>
    <s v="NO TIENE L3OUT"/>
    <n v="254"/>
    <n v="54"/>
  </r>
  <r>
    <n v="871"/>
    <x v="2"/>
    <x v="98"/>
    <s v="eth1/32"/>
    <x v="0"/>
    <x v="0"/>
    <x v="0"/>
    <s v="To_ITHFHWCRMDLCN64_Principal"/>
    <x v="0"/>
    <b v="0"/>
    <s v="No está en VPC"/>
    <n v="871"/>
    <s v="INTPG_ACC_871_1.32"/>
    <s v="ISEL-1.32"/>
    <n v="2"/>
    <s v="NO TIENE L3OUT"/>
    <n v="246"/>
    <n v="54"/>
  </r>
  <r>
    <n v="841"/>
    <x v="2"/>
    <x v="99"/>
    <s v="eth1/32"/>
    <x v="0"/>
    <x v="0"/>
    <x v="0"/>
    <s v="LINK_TO_ITHFHWCBSPSHD25 / Slot7.1_14 / Redundante"/>
    <x v="0"/>
    <b v="0"/>
    <s v="No está en VPC"/>
    <n v="841"/>
    <s v="INTPG_VPC_836_1.32_841_1.32"/>
    <s v="ISEL-1.32"/>
    <n v="2"/>
    <s v="NO TIENE L3OUT"/>
    <n v="0"/>
    <n v="54"/>
  </r>
  <r>
    <n v="868"/>
    <x v="2"/>
    <x v="100"/>
    <s v="eth1/32"/>
    <x v="0"/>
    <x v="0"/>
    <x v="0"/>
    <s v="To_ITHFHWCRMDLCN64_Redundante"/>
    <x v="0"/>
    <b v="0"/>
    <s v="No está en VPC"/>
    <n v="868"/>
    <s v="INTPG_ACC_868_1.32"/>
    <s v="ISEL-1.32"/>
    <n v="2"/>
    <s v="NO TIENE L3OUT"/>
    <n v="246"/>
    <n v="54"/>
  </r>
  <r>
    <n v="869"/>
    <x v="2"/>
    <x v="101"/>
    <s v="eth1/32"/>
    <x v="0"/>
    <x v="0"/>
    <x v="0"/>
    <s v="To_ITHFHWCRMDLCN79_Redundante"/>
    <x v="0"/>
    <b v="0"/>
    <s v="No está en VPC"/>
    <n v="869"/>
    <s v="INTPG_ACC_869_1.32"/>
    <s v="ISEL-1.32"/>
    <n v="1"/>
    <s v="NO TIENE L3OUT"/>
    <n v="288"/>
    <n v="54"/>
  </r>
  <r>
    <n v="861"/>
    <x v="2"/>
    <x v="102"/>
    <s v="eth1/32"/>
    <x v="0"/>
    <x v="0"/>
    <x v="0"/>
    <s v="To_VPC_2DCBSD_BD13_1"/>
    <x v="0"/>
    <b v="0"/>
    <s v="No está en VPC"/>
    <n v="861"/>
    <s v="INTPG_VPC_861_1.32_866_1.32"/>
    <s v="ISEL-1.32"/>
    <n v="2"/>
    <s v="NO TIENE L3OUT"/>
    <n v="8"/>
    <n v="54"/>
  </r>
  <r>
    <n v="874"/>
    <x v="2"/>
    <x v="103"/>
    <s v="eth1/32"/>
    <x v="0"/>
    <x v="0"/>
    <x v="0"/>
    <s v="A_ITHFHWSEQLDPS04_Redundante"/>
    <x v="4"/>
    <b v="0"/>
    <s v="No está en VPC"/>
    <n v="874"/>
    <s v="INTPG_ACC_874_1.32"/>
    <s v="ISEL-1.32"/>
    <n v="1"/>
    <s v="NO TIENE L3OUT"/>
    <n v="92"/>
    <n v="54"/>
  </r>
  <r>
    <n v="865"/>
    <x v="2"/>
    <x v="104"/>
    <s v="eth1/32"/>
    <x v="0"/>
    <x v="0"/>
    <x v="0"/>
    <s v="To_VPC_2DCBSD_BD17_2"/>
    <x v="0"/>
    <b v="0"/>
    <s v="No está en VPC"/>
    <n v="865"/>
    <s v="INTPG_VPC_860_1.32_865_1.32"/>
    <s v="ISEL-1.32"/>
    <n v="1"/>
    <s v="NO TIENE L3OUT"/>
    <n v="0"/>
    <n v="54"/>
  </r>
  <r>
    <n v="753"/>
    <x v="2"/>
    <x v="105"/>
    <s v="eth1/32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32"/>
    <x v="0"/>
    <x v="1"/>
    <x v="5"/>
    <s v="CEM:ITHCEME2ANN16:LOM  P2"/>
    <x v="0"/>
    <b v="0"/>
    <s v="No está en VPC"/>
    <n v="708"/>
    <s v="INTPG_VPC_708_1.32_709_1.31"/>
    <s v="ISEL-1.32"/>
    <n v="1"/>
    <s v="NO TIENE L3OUT"/>
    <n v="0"/>
    <n v="54"/>
  </r>
  <r>
    <n v="710"/>
    <x v="2"/>
    <x v="107"/>
    <s v="eth1/32"/>
    <x v="0"/>
    <x v="1"/>
    <x v="5"/>
    <s v="CEM:ITHCEMC2AHN16:LOM  P2"/>
    <x v="0"/>
    <b v="0"/>
    <s v="No está en VPC"/>
    <n v="710"/>
    <s v="INTPG_VPC_710_1.32_711_1.31"/>
    <s v="ISEL-1.32"/>
    <n v="1"/>
    <s v="NO TIENE L3OUT"/>
    <n v="16"/>
    <n v="54"/>
  </r>
  <r>
    <n v="713"/>
    <x v="2"/>
    <x v="108"/>
    <s v="eth1/32"/>
    <x v="0"/>
    <x v="1"/>
    <x v="5"/>
    <s v="CEM:ITHCEMB2ADT16:LOM  P2"/>
    <x v="0"/>
    <b v="0"/>
    <s v="No está en VPC"/>
    <n v="713"/>
    <s v="INTPG_VPC_712_1.31_713_1.32"/>
    <s v="ISEL-1.32"/>
    <n v="1"/>
    <s v="NO TIENE L3OUT"/>
    <n v="32"/>
    <n v="54"/>
  </r>
  <r>
    <n v="735"/>
    <x v="2"/>
    <x v="109"/>
    <s v="eth1/32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32"/>
    <x v="0"/>
    <x v="0"/>
    <x v="0"/>
    <s v="Server_Pre-R02-RH2288-07"/>
    <x v="0"/>
    <b v="0"/>
    <s v="No está en VPC"/>
    <n v="731"/>
    <s v="INTPG_ACC_731_1.32"/>
    <s v="ISEL-1.32"/>
    <n v="1"/>
    <s v="NO TIENE L3OUT"/>
    <n v="38"/>
    <n v="54"/>
  </r>
  <r>
    <n v="703"/>
    <x v="2"/>
    <x v="111"/>
    <s v="eth1/32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32"/>
    <x v="0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32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14"/>
    <x v="2"/>
    <x v="114"/>
    <s v="eth1/32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32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32"/>
    <x v="0"/>
    <x v="0"/>
    <x v="0"/>
    <s v="LINK_TO_ITHFHWCBSDSWR17 /10GE.1 /Principal"/>
    <x v="0"/>
    <b v="0"/>
    <s v="No está en VPC"/>
    <n v="826"/>
    <s v="INTPG_VPC_826_1.32_830_1.32"/>
    <s v="ISEL-1.32"/>
    <n v="1"/>
    <s v="NO TIENE L3OUT"/>
    <n v="12"/>
    <n v="54"/>
  </r>
  <r>
    <n v="726"/>
    <x v="2"/>
    <x v="117"/>
    <s v="eth1/32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32"/>
    <x v="0"/>
    <x v="0"/>
    <x v="0"/>
    <s v="CEM:ITHCEMD2ANN16:SLOT1 P1"/>
    <x v="5"/>
    <b v="0"/>
    <s v="No está en VPC"/>
    <n v="740"/>
    <s v="INTPG_ACC_740_1.32"/>
    <s v="ISEL-1.32"/>
    <n v="1"/>
    <s v="NO TIENE L3OUT"/>
    <n v="72"/>
    <n v="54"/>
  </r>
  <r>
    <n v="705"/>
    <x v="2"/>
    <x v="119"/>
    <s v="eth1/32"/>
    <x v="0"/>
    <x v="0"/>
    <x v="0"/>
    <m/>
    <x v="0"/>
    <b v="0"/>
    <s v="No está en VPC"/>
    <n v="705"/>
    <s v="INTPG_VPC_706_1.31_705_1.32"/>
    <s v="ISEL-1.32"/>
    <n v="1"/>
    <s v="NO TIENE L3OUT"/>
    <n v="16"/>
    <n v="54"/>
  </r>
  <r>
    <n v="723"/>
    <x v="2"/>
    <x v="120"/>
    <s v="eth1/32"/>
    <x v="0"/>
    <x v="0"/>
    <x v="0"/>
    <s v="DESC"/>
    <x v="0"/>
    <b v="0"/>
    <s v="No está en VPC"/>
    <n v="723"/>
    <s v="INTPG_PC_723_1.31-32"/>
    <s v="ISEL-1.32"/>
    <n v="0"/>
    <s v="L3OUT-HCS-OPER-TELCEL-IPCORP"/>
    <n v="0"/>
    <n v="54"/>
  </r>
  <r>
    <n v="721"/>
    <x v="2"/>
    <x v="121"/>
    <s v="eth1/32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32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32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32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32"/>
    <x v="0"/>
    <x v="1"/>
    <x v="5"/>
    <s v="CEM:ITHCEMF2KFK16:LOM  P2"/>
    <x v="0"/>
    <b v="0"/>
    <s v="No está en VPC"/>
    <n v="709"/>
    <s v="INTPG_VPC_708_1.31_709_1.32"/>
    <s v="ISEL-1.32"/>
    <n v="1"/>
    <s v="NO TIENE L3OUT"/>
    <n v="0"/>
    <n v="54"/>
  </r>
  <r>
    <n v="454"/>
    <x v="1"/>
    <x v="126"/>
    <s v="eth1/32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32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32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32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32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32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32"/>
    <x v="0"/>
    <x v="1"/>
    <x v="1"/>
    <s v="CEM:ITHCEMA2ADT16:SLOT1 P1"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32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32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32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32"/>
    <x v="0"/>
    <x v="1"/>
    <x v="3"/>
    <s v="CEM_HADOOP"/>
    <x v="0"/>
    <b v="0"/>
    <s v="No está en VPC"/>
    <n v="736"/>
    <s v="INTPG_ACC_736_1.32"/>
    <s v="ISEL-1.32"/>
    <n v="1"/>
    <s v="NO TIENE L3OUT"/>
    <n v="48"/>
    <n v="54"/>
  </r>
  <r>
    <n v="799"/>
    <x v="2"/>
    <x v="137"/>
    <s v="eth1/32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32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32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32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32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32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32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32"/>
    <x v="0"/>
    <x v="0"/>
    <x v="0"/>
    <s v="CLOUD PAAS PAYG F2:Ithhwvm1cch1:Slot 3x/Pto 4"/>
    <x v="0"/>
    <b v="0"/>
    <s v="No está en VPC"/>
    <n v="774"/>
    <s v="INTPG_PC_774_1.30_1.32"/>
    <s v="ISEL-1.32"/>
    <n v="0"/>
    <s v="NO TIENE L3OUT"/>
    <n v="0"/>
    <n v="54"/>
  </r>
  <r>
    <n v="773"/>
    <x v="2"/>
    <x v="145"/>
    <s v="eth1/32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32"/>
    <x v="0"/>
    <x v="0"/>
    <x v="0"/>
    <s v="TO-9S_VPNM_IXT3_211_1"/>
    <x v="0"/>
    <b v="0"/>
    <s v="No está en VPC"/>
    <n v="794"/>
    <s v="INTPG_VPC_793_1.32-33_794_1.32-33"/>
    <s v="ISEL-1.32"/>
    <n v="16"/>
    <s v="NO TIENE L3OUT"/>
    <n v="12"/>
    <n v="54"/>
  </r>
  <r>
    <n v="803"/>
    <x v="2"/>
    <x v="147"/>
    <s v="eth1/32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32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32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32"/>
    <x v="0"/>
    <x v="0"/>
    <x v="0"/>
    <s v="CLOUD OPS:ithhwcop02en02:3X P3"/>
    <x v="0"/>
    <b v="0"/>
    <s v="No está en VPC"/>
    <n v="781"/>
    <s v="INTPG_VPC_780_1.30-33_781_1.30-33"/>
    <s v="ISEL-1.32"/>
    <n v="23"/>
    <s v="NO TIENE L3OUT"/>
    <n v="26"/>
    <n v="54"/>
  </r>
  <r>
    <n v="793"/>
    <x v="2"/>
    <x v="151"/>
    <s v="eth1/32"/>
    <x v="0"/>
    <x v="0"/>
    <x v="0"/>
    <s v="TO-9S_VPNM_IXT3_211_1"/>
    <x v="0"/>
    <b v="0"/>
    <s v="No está en VPC"/>
    <n v="793"/>
    <s v="INTPG_VPC_793_1.32-33_794_1.32-33"/>
    <s v="ISEL-1.32"/>
    <n v="16"/>
    <s v="NO TIENE L3OUT"/>
    <n v="12"/>
    <n v="54"/>
  </r>
  <r>
    <n v="747"/>
    <x v="2"/>
    <x v="152"/>
    <s v="eth1/32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32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32"/>
    <x v="1"/>
    <x v="1"/>
    <x v="2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32"/>
    <x v="0"/>
    <x v="0"/>
    <x v="0"/>
    <s v="CLOUD PAAS PAYG F2:Ithhwvm1bch1:Slot 3x/Pto 4"/>
    <x v="0"/>
    <b v="0"/>
    <s v="No está en VPC"/>
    <n v="777"/>
    <s v="INTPG_VPC_776_1.25-28_777_1.29-32"/>
    <s v="ISEL-1.32"/>
    <n v="90"/>
    <s v="NO TIENE L3OUT"/>
    <n v="0"/>
    <n v="54"/>
  </r>
  <r>
    <n v="770"/>
    <x v="2"/>
    <x v="156"/>
    <s v="eth1/32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32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32"/>
    <x v="0"/>
    <x v="0"/>
    <x v="0"/>
    <s v="CEM:ITHCEMC2AHN16:SLOT1 P1"/>
    <x v="5"/>
    <b v="0"/>
    <s v="No está en VPC"/>
    <n v="739"/>
    <s v="INTPG_ACC_739_1.32"/>
    <s v="ISEL-1.32"/>
    <n v="1"/>
    <s v="NO TIENE L3OUT"/>
    <n v="72"/>
    <n v="54"/>
  </r>
  <r>
    <n v="775"/>
    <x v="2"/>
    <x v="159"/>
    <s v="eth1/32"/>
    <x v="0"/>
    <x v="0"/>
    <x v="0"/>
    <s v="CLOUD PAAS PAYG F2:Ithhwvm1dch1:Slot 3x/Pto 4"/>
    <x v="0"/>
    <b v="0"/>
    <s v="No está en VPC"/>
    <n v="775"/>
    <s v="INTPG_PC_775_1.30_1.32"/>
    <s v="ISEL-1.32"/>
    <n v="0"/>
    <s v="NO TIENE L3OUT"/>
    <n v="0"/>
    <n v="54"/>
  </r>
  <r>
    <n v="791"/>
    <x v="2"/>
    <x v="160"/>
    <s v="eth1/32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32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32"/>
    <x v="0"/>
    <x v="0"/>
    <x v="0"/>
    <s v="LINK_TO_ITHFHWCBSDSWR17 /Slot5.1 /Redundante"/>
    <x v="0"/>
    <b v="0"/>
    <s v="No está en VPC"/>
    <n v="830"/>
    <s v="INTPG_VPC_826_1.32_830_1.32"/>
    <s v="ISEL-1.32"/>
    <n v="1"/>
    <s v="NO TIENE L3OUT"/>
    <n v="12"/>
    <n v="54"/>
  </r>
  <r>
    <n v="821"/>
    <x v="2"/>
    <x v="163"/>
    <s v="eth1/32"/>
    <x v="0"/>
    <x v="0"/>
    <x v="0"/>
    <s v="LINK_TO_ITHFHWCBSPSWR17 /Slot5.1 /Redundante"/>
    <x v="0"/>
    <b v="0"/>
    <s v="No está en VPC"/>
    <n v="821"/>
    <s v="INTPG_VPC_816_1.32_821_1.32"/>
    <s v="ISEL-1.32"/>
    <n v="1"/>
    <s v="NO TIENE L3OUT"/>
    <n v="0"/>
    <n v="54"/>
  </r>
  <r>
    <n v="738"/>
    <x v="2"/>
    <x v="164"/>
    <s v="eth1/32"/>
    <x v="0"/>
    <x v="0"/>
    <x v="0"/>
    <s v="CEM:ITHCEMF2KFK16:SLOT1 P1"/>
    <x v="5"/>
    <b v="0"/>
    <s v="No está en VPC"/>
    <n v="738"/>
    <s v="INTPG_ACC_738_1.32"/>
    <s v="ISEL-1.32"/>
    <n v="1"/>
    <s v="NO TIENE L3OUT"/>
    <n v="72"/>
    <n v="54"/>
  </r>
  <r>
    <n v="820"/>
    <x v="2"/>
    <x v="165"/>
    <s v="eth1/32"/>
    <x v="0"/>
    <x v="0"/>
    <x v="0"/>
    <s v="VPC_2DCRMP_BDP07_2"/>
    <x v="0"/>
    <b v="0"/>
    <s v="No está en VPC"/>
    <n v="820"/>
    <s v="INTPG_VPC_825_1.32_820_1.32"/>
    <s v="ISEL-1.32"/>
    <n v="2"/>
    <s v="NO TIENE L3OUT"/>
    <n v="72"/>
    <n v="54"/>
  </r>
  <r>
    <n v="804"/>
    <x v="2"/>
    <x v="166"/>
    <s v="eth1/32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32"/>
    <x v="0"/>
    <x v="0"/>
    <x v="0"/>
    <s v="CLOUD OPS:ithhwcop01en01:4E P4"/>
    <x v="0"/>
    <b v="0"/>
    <s v="No está en VPC"/>
    <n v="779"/>
    <s v="INTPG_VPC_778_1.25-26_31-32_779_1.25-26_31-32"/>
    <s v="ISEL-1.32"/>
    <n v="24"/>
    <s v="NO TIENE L3OUT"/>
    <n v="30"/>
    <n v="54"/>
  </r>
  <r>
    <n v="767"/>
    <x v="2"/>
    <x v="168"/>
    <s v="eth1/32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32"/>
    <x v="0"/>
    <x v="0"/>
    <x v="0"/>
    <s v="LINK_TO_ITHFHWCBSDSWR27 /Slot5.2 /Principal"/>
    <x v="0"/>
    <b v="0"/>
    <s v="No está en VPC"/>
    <n v="827"/>
    <s v="INTPG_VPC_827_1.32_831_1.32"/>
    <s v="ISEL-1.32"/>
    <n v="2"/>
    <s v="NO TIENE L3OUT"/>
    <n v="14"/>
    <n v="54"/>
  </r>
  <r>
    <n v="809"/>
    <x v="2"/>
    <x v="170"/>
    <s v="eth1/32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32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32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32"/>
    <x v="0"/>
    <x v="0"/>
    <x v="0"/>
    <s v="CLOUD PAAS PAYG F2:Ithhwvm1ach1:Slot 3x/Pto 4"/>
    <x v="0"/>
    <b v="0"/>
    <s v="No está en VPC"/>
    <n v="776"/>
    <s v="INTPG_VPC_776_1.29-32_777_1.25-28"/>
    <s v="ISEL-1.32"/>
    <n v="93"/>
    <s v="NO TIENE L3OUT"/>
    <n v="0"/>
    <n v="54"/>
  </r>
  <r>
    <n v="805"/>
    <x v="2"/>
    <x v="174"/>
    <s v="eth1/32"/>
    <x v="1"/>
    <x v="1"/>
    <x v="2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32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32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32"/>
    <x v="0"/>
    <x v="0"/>
    <x v="0"/>
    <s v="LINK_TO_ITHFHWCRMPLCN111 / Slot7.2_26 / Redundante"/>
    <x v="0"/>
    <b v="0"/>
    <s v="No está en VPC"/>
    <n v="851"/>
    <s v="INTPG_ACC_851_1.32"/>
    <s v="ISEL-1.32"/>
    <n v="2"/>
    <s v="NO TIENE L3OUT"/>
    <n v="282"/>
    <n v="54"/>
  </r>
  <r>
    <n v="798"/>
    <x v="2"/>
    <x v="178"/>
    <s v="eth1/32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32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32"/>
    <x v="0"/>
    <x v="0"/>
    <x v="0"/>
    <s v="LINK_TO_ITHFHWCRMPLCN94 / Slot7.3_20 / Redundante"/>
    <x v="0"/>
    <b v="0"/>
    <s v="No está en VPC"/>
    <n v="852"/>
    <s v="INTPG_ACC_852_1.32"/>
    <s v="ISEL-1.32"/>
    <n v="1"/>
    <s v="NO TIENE L3OUT"/>
    <n v="258"/>
    <n v="54"/>
  </r>
  <r>
    <n v="817"/>
    <x v="2"/>
    <x v="181"/>
    <s v="eth1/32"/>
    <x v="0"/>
    <x v="0"/>
    <x v="0"/>
    <s v="LINK_TO_ITHFHWCBSPSUSBD22 /10GE.1 /Principal"/>
    <x v="0"/>
    <b v="0"/>
    <s v="No está en VPC"/>
    <n v="817"/>
    <s v="INTPG_VPC_817_1.32_822_1.32"/>
    <s v="ISEL-1.32"/>
    <n v="1"/>
    <s v="NO TIENE L3OUT"/>
    <n v="0"/>
    <n v="54"/>
  </r>
  <r>
    <n v="832"/>
    <x v="2"/>
    <x v="182"/>
    <s v="eth1/32"/>
    <x v="0"/>
    <x v="0"/>
    <x v="0"/>
    <s v="LINK_TO_ITHFHWCRMDLCN26 /Slot7.2 /Redundante"/>
    <x v="0"/>
    <b v="0"/>
    <s v="No está en VPC"/>
    <n v="832"/>
    <s v="INTPG_ACC_832_1.32"/>
    <s v="ISEL-1.32"/>
    <n v="5"/>
    <s v="NO TIENE L3OUT"/>
    <n v="192"/>
    <n v="54"/>
  </r>
  <r>
    <n v="816"/>
    <x v="2"/>
    <x v="183"/>
    <s v="eth1/32"/>
    <x v="0"/>
    <x v="0"/>
    <x v="0"/>
    <s v="LINK_TO_ITHFHWCBSPSWR17 /10GE.1 /Principal"/>
    <x v="0"/>
    <b v="0"/>
    <s v="No está en VPC"/>
    <n v="816"/>
    <s v="INTPG_VPC_816_1.32_821_1.32"/>
    <s v="ISEL-1.32"/>
    <n v="1"/>
    <s v="NO TIENE L3OUT"/>
    <n v="0"/>
    <n v="54"/>
  </r>
  <r>
    <n v="825"/>
    <x v="2"/>
    <x v="184"/>
    <s v="eth1/32"/>
    <x v="0"/>
    <x v="0"/>
    <x v="0"/>
    <s v="VPC_2DCRMP_BDP07_2"/>
    <x v="0"/>
    <b v="0"/>
    <s v="No está en VPC"/>
    <n v="825"/>
    <s v="INTPG_VPC_825_1.32_820_1.32"/>
    <s v="ISEL-1.32"/>
    <n v="2"/>
    <s v="NO TIENE L3OUT"/>
    <n v="72"/>
    <n v="54"/>
  </r>
  <r>
    <n v="800"/>
    <x v="2"/>
    <x v="185"/>
    <s v="eth1/32"/>
    <x v="0"/>
    <x v="0"/>
    <x v="0"/>
    <s v="TO-9S_IVR_IXT3_10518_01"/>
    <x v="0"/>
    <b v="0"/>
    <s v="No está en VPC"/>
    <n v="800"/>
    <s v="INTPG_VPC_800_1.32-35_801_1.32-35"/>
    <s v="ISEL-1.32"/>
    <n v="24"/>
    <s v="NO TIENE L3OUT"/>
    <n v="78"/>
    <n v="54"/>
  </r>
  <r>
    <n v="801"/>
    <x v="2"/>
    <x v="186"/>
    <s v="eth1/32"/>
    <x v="0"/>
    <x v="0"/>
    <x v="0"/>
    <s v="TO-9S_IVR_IXT3_10518_01"/>
    <x v="0"/>
    <b v="0"/>
    <s v="No está en VPC"/>
    <n v="801"/>
    <s v="INTPG_VPC_800_1.32-35_801_1.32-35"/>
    <s v="ISEL-1.32"/>
    <n v="24"/>
    <s v="NO TIENE L3OUT"/>
    <n v="78"/>
    <n v="54"/>
  </r>
  <r>
    <n v="823"/>
    <x v="2"/>
    <x v="187"/>
    <s v="eth1/32"/>
    <x v="0"/>
    <x v="0"/>
    <x v="0"/>
    <s v="LINK_TO_ITHFHWCBSPSWR35 /Slot7.2 /Redundante"/>
    <x v="0"/>
    <b v="0"/>
    <s v="No está en VPC"/>
    <n v="823"/>
    <s v="INTPG_VPC_818_1.32_823_1.32"/>
    <s v="ISEL-1.32"/>
    <n v="2"/>
    <s v="NO TIENE L3OUT"/>
    <n v="8"/>
    <n v="54"/>
  </r>
  <r>
    <n v="837"/>
    <x v="2"/>
    <x v="188"/>
    <s v="eth1/32"/>
    <x v="0"/>
    <x v="0"/>
    <x v="0"/>
    <s v="LINK_TO_ITHHWD6KV65100009DKC01 / CTMB_IOM1.P0_34 / Principal"/>
    <x v="0"/>
    <b v="0"/>
    <s v="No está en VPC"/>
    <n v="837"/>
    <s v="INTPG_ACC_837_1.32"/>
    <s v="ISEL-1.32"/>
    <n v="1"/>
    <s v="NO TIENE L3OUT"/>
    <n v="8"/>
    <n v="54"/>
  </r>
  <r>
    <n v="867"/>
    <x v="2"/>
    <x v="189"/>
    <s v="eth1/32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32"/>
    <x v="0"/>
    <x v="0"/>
    <x v="0"/>
    <s v="To_ITHFHWCRMDLCN45_Principal"/>
    <x v="0"/>
    <b v="0"/>
    <s v="No está en VPC"/>
    <n v="829"/>
    <s v="INTPG_ACC_829_1.32"/>
    <s v="ISEL-1.32"/>
    <n v="1"/>
    <s v="NO TIENE L3OUT"/>
    <n v="224"/>
    <n v="54"/>
  </r>
  <r>
    <n v="831"/>
    <x v="2"/>
    <x v="191"/>
    <s v="eth1/32"/>
    <x v="0"/>
    <x v="0"/>
    <x v="0"/>
    <s v="LINK_TO_ITHFHWCBSDSWR27 /Slot7.2 /Redundante"/>
    <x v="0"/>
    <b v="0"/>
    <s v="No está en VPC"/>
    <n v="831"/>
    <s v="INTPG_VPC_827_1.32_831_1.32"/>
    <s v="ISEL-1.32"/>
    <n v="2"/>
    <s v="NO TIENE L3OUT"/>
    <n v="14"/>
    <n v="54"/>
  </r>
  <r>
    <n v="802"/>
    <x v="2"/>
    <x v="192"/>
    <s v="eth1/32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32"/>
    <x v="0"/>
    <x v="0"/>
    <x v="0"/>
    <s v="LINK_TO_ITHFHWCBSPSHD33 / Slot1.1_18 / Principal"/>
    <x v="0"/>
    <b v="0"/>
    <s v="No está en VPC"/>
    <n v="835"/>
    <s v="INTPG_VPC_835_1.32_840_1.32"/>
    <s v="ISEL-1.32"/>
    <n v="2"/>
    <s v="NO TIENE L3OUT"/>
    <n v="8"/>
    <n v="54"/>
  </r>
  <r>
    <n v="822"/>
    <x v="2"/>
    <x v="194"/>
    <s v="eth1/32"/>
    <x v="0"/>
    <x v="0"/>
    <x v="0"/>
    <s v="LINK_TO_ITHFHWCBSPSUSBD22 /Slot5.1 /Redundante"/>
    <x v="0"/>
    <b v="0"/>
    <s v="No está en VPC"/>
    <n v="822"/>
    <s v="INTPG_VPC_817_1.32_822_1.32"/>
    <s v="ISEL-1.32"/>
    <n v="1"/>
    <s v="NO TIENE L3OUT"/>
    <n v="0"/>
    <n v="54"/>
  </r>
  <r>
    <n v="854"/>
    <x v="2"/>
    <x v="195"/>
    <s v="eth1/32"/>
    <x v="0"/>
    <x v="0"/>
    <x v="0"/>
    <s v="LINK_TO_ITHFHWCRMPLCN176 / Slot1.1_22 / Principal"/>
    <x v="0"/>
    <b v="0"/>
    <s v="No está en VPC"/>
    <n v="854"/>
    <s v="INTPG_ACC_854_1.32"/>
    <s v="ISEL-1.32"/>
    <n v="6"/>
    <s v="NO TIENE L3OUT"/>
    <n v="204"/>
    <n v="54"/>
  </r>
  <r>
    <n v="858"/>
    <x v="2"/>
    <x v="196"/>
    <s v="eth1/32"/>
    <x v="0"/>
    <x v="0"/>
    <x v="0"/>
    <s v="To_VPC_2DCBSD_WR55_2"/>
    <x v="0"/>
    <b v="0"/>
    <s v="No está en VPC"/>
    <n v="858"/>
    <s v="INTPG_VPC_858_1.32_863_1.32"/>
    <s v="ISEL-1.32"/>
    <n v="1"/>
    <s v="NO TIENE L3OUT"/>
    <n v="8"/>
    <n v="54"/>
  </r>
  <r>
    <n v="857"/>
    <x v="2"/>
    <x v="197"/>
    <s v="eth1/32"/>
    <x v="0"/>
    <x v="0"/>
    <x v="0"/>
    <s v="LINKT_TO_ITHFHWCRMPLCN126 / Slot1.1_22 / Principal"/>
    <x v="0"/>
    <b v="0"/>
    <s v="No está en VPC"/>
    <n v="857"/>
    <s v="INTPG_ACC_857_1.32"/>
    <s v="ISEL-1.32"/>
    <n v="6"/>
    <s v="NO TIENE L3OUT"/>
    <n v="288"/>
    <n v="54"/>
  </r>
  <r>
    <n v="859"/>
    <x v="2"/>
    <x v="198"/>
    <s v="eth1/32"/>
    <x v="0"/>
    <x v="0"/>
    <x v="0"/>
    <s v="To_VPC_2DCBSD_WR46_2"/>
    <x v="0"/>
    <b v="0"/>
    <s v="No está en VPC"/>
    <n v="859"/>
    <s v="INTPG_VPC_859_1.32_864_1.32"/>
    <s v="ISEL-1.32"/>
    <n v="1"/>
    <s v="NO TIENE L3OUT"/>
    <n v="0"/>
    <n v="54"/>
  </r>
  <r>
    <n v="833"/>
    <x v="2"/>
    <x v="199"/>
    <s v="eth1/32"/>
    <x v="0"/>
    <x v="0"/>
    <x v="0"/>
    <s v="To_ITHFHWCRMDLCN45_Redundante"/>
    <x v="0"/>
    <b v="0"/>
    <s v="No está en VPC"/>
    <n v="833"/>
    <s v="INTPG_ACC_833_1.32"/>
    <s v="ISEL-1.32"/>
    <n v="1"/>
    <s v="NO TIENE L3OUT"/>
    <n v="224"/>
    <n v="54"/>
  </r>
  <r>
    <n v="818"/>
    <x v="2"/>
    <x v="200"/>
    <s v="eth1/32"/>
    <x v="0"/>
    <x v="0"/>
    <x v="0"/>
    <s v="LINK_TO_ITHFHWCBSPSWR35 /Slot5.2 /Principal"/>
    <x v="0"/>
    <b v="0"/>
    <s v="No está en VPC"/>
    <n v="818"/>
    <s v="INTPG_VPC_818_1.32_823_1.32"/>
    <s v="ISEL-1.32"/>
    <n v="2"/>
    <s v="NO TIENE L3OUT"/>
    <n v="8"/>
    <n v="54"/>
  </r>
  <r>
    <n v="850"/>
    <x v="2"/>
    <x v="201"/>
    <s v="eth1/32"/>
    <x v="0"/>
    <x v="0"/>
    <x v="0"/>
    <s v="LINKT_TO_ITHFHWCRMPLCN126 / Slot7.1_22 / Redundante"/>
    <x v="0"/>
    <b v="0"/>
    <s v="No está en VPC"/>
    <n v="850"/>
    <s v="INTPG_ACC_850_1.32"/>
    <s v="ISEL-1.32"/>
    <n v="6"/>
    <s v="NO TIENE L3OUT"/>
    <n v="288"/>
    <n v="54"/>
  </r>
  <r>
    <n v="860"/>
    <x v="2"/>
    <x v="202"/>
    <s v="eth1/32"/>
    <x v="0"/>
    <x v="0"/>
    <x v="0"/>
    <s v="To_VPC_2DCBSD_BD17_2"/>
    <x v="0"/>
    <b v="0"/>
    <s v="No está en VPC"/>
    <n v="860"/>
    <s v="INTPG_VPC_860_1.32_865_1.32"/>
    <s v="ISEL-1.32"/>
    <n v="1"/>
    <s v="NO TIENE L3OUT"/>
    <n v="0"/>
    <n v="54"/>
  </r>
  <r>
    <n v="853"/>
    <x v="2"/>
    <x v="203"/>
    <s v="eth1/32"/>
    <x v="0"/>
    <x v="0"/>
    <x v="0"/>
    <s v="LINK_TO_ITHFHWCRMPLCN82 / Slot7.2_22 / Redundante"/>
    <x v="0"/>
    <b v="0"/>
    <s v="No está en VPC"/>
    <n v="853"/>
    <s v="INTPG_ACC_853_1.32"/>
    <s v="ISEL-1.32"/>
    <n v="2"/>
    <s v="NO TIENE L3OUT"/>
    <n v="242"/>
    <n v="54"/>
  </r>
  <r>
    <n v="790"/>
    <x v="2"/>
    <x v="204"/>
    <s v="eth1/32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32"/>
    <x v="0"/>
    <x v="1"/>
    <x v="1"/>
    <s v="DESC"/>
    <x v="6"/>
    <b v="0"/>
    <s v="No está en VPC"/>
    <n v="105"/>
    <s v="INTPG_PC_105_1.1-4_32-35"/>
    <s v="ISEL-1.32"/>
    <n v="17"/>
    <s v="NO TIENE L3OUT"/>
    <n v="106"/>
    <n v="96"/>
  </r>
  <r>
    <n v="117"/>
    <x v="0"/>
    <x v="206"/>
    <s v="eth1/32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32"/>
    <x v="1"/>
    <x v="1"/>
    <x v="2"/>
    <s v="DESC"/>
    <x v="6"/>
    <b v="0"/>
    <s v="No está en VPC"/>
    <n v="104"/>
    <s v="INTPG_PC_104_1.32-39"/>
    <s v="ISEL-1.32"/>
    <n v="0"/>
    <s v="NO TIENE L3OUT"/>
    <n v="194"/>
    <n v="96"/>
  </r>
  <r>
    <n v="158"/>
    <x v="0"/>
    <x v="208"/>
    <s v="eth1/32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32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32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32"/>
    <x v="0"/>
    <x v="1"/>
    <x v="1"/>
    <m/>
    <x v="6"/>
    <b v="0"/>
    <s v="No está en VPC"/>
    <n v="108"/>
    <s v="INTPG_ACC_108_1.32"/>
    <s v="ISEL-1.32"/>
    <n v="1"/>
    <s v="NO TIENE L3OUT"/>
    <n v="126"/>
    <n v="96"/>
  </r>
  <r>
    <n v="112"/>
    <x v="0"/>
    <x v="212"/>
    <s v="eth1/32"/>
    <x v="1"/>
    <x v="1"/>
    <x v="2"/>
    <s v="SUBEX (Fraud Management)"/>
    <x v="6"/>
    <b v="0"/>
    <s v="No está en VPC"/>
    <n v="112"/>
    <s v="INTPG_ACC_112_1.32"/>
    <s v="ISEL-1.32"/>
    <n v="1"/>
    <s v="NO TIENE L3OUT"/>
    <n v="144"/>
    <n v="96"/>
  </r>
  <r>
    <n v="107"/>
    <x v="0"/>
    <x v="213"/>
    <s v="eth1/32"/>
    <x v="0"/>
    <x v="0"/>
    <x v="0"/>
    <s v="GESTION VOZ DEUR "/>
    <x v="6"/>
    <b v="0"/>
    <s v="No está en VPC"/>
    <n v="107"/>
    <s v="INTPG_ACC_107_1.32"/>
    <s v="ISEL-1.32"/>
    <n v="1"/>
    <s v="NO TIENE L3OUT"/>
    <n v="118"/>
    <n v="96"/>
  </r>
  <r>
    <n v="109"/>
    <x v="0"/>
    <x v="214"/>
    <s v="eth1/32"/>
    <x v="0"/>
    <x v="0"/>
    <x v="0"/>
    <s v="IXT01PP, IXT02PP, IXT05PP"/>
    <x v="6"/>
    <b v="0"/>
    <s v="No está en VPC"/>
    <n v="109"/>
    <s v="INTPG_ACC_109_1.32"/>
    <s v="ISEL-1.32"/>
    <n v="1"/>
    <s v="NO TIENE L3OUT"/>
    <n v="126"/>
    <n v="96"/>
  </r>
  <r>
    <n v="113"/>
    <x v="0"/>
    <x v="215"/>
    <s v="eth1/32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32"/>
    <x v="0"/>
    <x v="0"/>
    <x v="0"/>
    <s v="CHARGING SYSTEM"/>
    <x v="6"/>
    <b v="0"/>
    <s v="No está en VPC"/>
    <n v="114"/>
    <s v="INTPG_ACC_114_1.32"/>
    <s v="ISEL-1.32"/>
    <n v="1"/>
    <s v="NO TIENE L3OUT"/>
    <n v="144"/>
    <n v="96"/>
  </r>
  <r>
    <n v="124"/>
    <x v="0"/>
    <x v="217"/>
    <s v="eth1/32"/>
    <x v="0"/>
    <x v="0"/>
    <x v="0"/>
    <s v="ixtossgwcon2"/>
    <x v="6"/>
    <b v="0"/>
    <s v="No está en VPC"/>
    <n v="124"/>
    <s v="INTPG_ACC_124_1.32"/>
    <s v="ISEL-1.32"/>
    <n v="1"/>
    <s v="NO TIENE L3OUT"/>
    <n v="80"/>
    <n v="96"/>
  </r>
  <r>
    <n v="118"/>
    <x v="0"/>
    <x v="218"/>
    <s v="eth1/32"/>
    <x v="1"/>
    <x v="1"/>
    <x v="2"/>
    <s v="DATOS NETCRACKER"/>
    <x v="6"/>
    <b v="0"/>
    <s v="No está en VPC"/>
    <n v="118"/>
    <s v="INTPG_ACC_118_1.32"/>
    <s v="ISEL-1.32"/>
    <n v="1"/>
    <s v="NO TIENE L3OUT"/>
    <n v="180"/>
    <n v="96"/>
  </r>
  <r>
    <n v="159"/>
    <x v="0"/>
    <x v="219"/>
    <s v="eth1/32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32"/>
    <x v="0"/>
    <x v="0"/>
    <x v="0"/>
    <s v="LINK_TO_ITHFHWCBSPSHD33 / Slot7.1_18 / Redundante"/>
    <x v="0"/>
    <b v="0"/>
    <s v="No está en VPC"/>
    <n v="840"/>
    <s v="INTPG_VPC_835_1.32_840_1.32"/>
    <s v="ISEL-1.32"/>
    <n v="2"/>
    <s v="NO TIENE L3OUT"/>
    <n v="8"/>
    <n v="54"/>
  </r>
  <r>
    <n v="856"/>
    <x v="2"/>
    <x v="221"/>
    <s v="eth1/32"/>
    <x v="0"/>
    <x v="0"/>
    <x v="0"/>
    <s v="LINK_TO_ITHFHWCRMPLCN145 / Slot1.1_24 / Principal"/>
    <x v="0"/>
    <b v="0"/>
    <s v="No está en VPC"/>
    <n v="856"/>
    <s v="INTPG_ACC_856_1.32"/>
    <s v="ISEL-1.32"/>
    <n v="6"/>
    <s v="NO TIENE L3OUT"/>
    <n v="286"/>
    <n v="54"/>
  </r>
  <r>
    <n v="110"/>
    <x v="0"/>
    <x v="222"/>
    <s v="eth1/32"/>
    <x v="0"/>
    <x v="0"/>
    <x v="0"/>
    <m/>
    <x v="6"/>
    <b v="0"/>
    <s v="No está en VPC"/>
    <n v="110"/>
    <s v="INTPG_ACC_110_1.32"/>
    <s v="ISEL-1.32"/>
    <n v="1"/>
    <s v="NO TIENE L3OUT"/>
    <n v="102"/>
    <n v="96"/>
  </r>
  <r>
    <n v="163"/>
    <x v="0"/>
    <x v="223"/>
    <s v="eth1/32"/>
    <x v="1"/>
    <x v="1"/>
    <x v="2"/>
    <s v="SERTEC_SGH250HXW1_CLIENT1"/>
    <x v="6"/>
    <b v="0"/>
    <s v="No está en VPC"/>
    <n v="163"/>
    <s v="INTPG_VPC_161_1.67_163_1.32"/>
    <s v="ISEL-1.32"/>
    <n v="0"/>
    <s v="NO TIENE L3OUT"/>
    <n v="140"/>
    <n v="96"/>
  </r>
  <r>
    <n v="407"/>
    <x v="1"/>
    <x v="224"/>
    <s v="eth1/32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32"/>
    <x v="0"/>
    <x v="1"/>
    <x v="1"/>
    <s v="netqosSDS03_ilom"/>
    <x v="6"/>
    <b v="0"/>
    <s v="No está en VPC"/>
    <n v="171"/>
    <s v="INTPG_ACC_171_1.32"/>
    <s v="ISEL-1.32"/>
    <n v="1"/>
    <s v="NO TIENE L3OUT"/>
    <n v="114"/>
    <n v="96"/>
  </r>
  <r>
    <n v="421"/>
    <x v="1"/>
    <x v="226"/>
    <s v="eth1/32"/>
    <x v="0"/>
    <x v="0"/>
    <x v="0"/>
    <s v="VTA_uxvta083_Net0"/>
    <x v="6"/>
    <b v="0"/>
    <s v="No está en VPC"/>
    <n v="421"/>
    <s v="INTPG_ACC_421_1.32"/>
    <s v="ISEL-1.32"/>
    <n v="1"/>
    <s v="NO TIENE L3OUT"/>
    <n v="72"/>
    <n v="96"/>
  </r>
  <r>
    <n v="173"/>
    <x v="0"/>
    <x v="227"/>
    <s v="eth1/32"/>
    <x v="0"/>
    <x v="1"/>
    <x v="1"/>
    <s v="ENIQ_1"/>
    <x v="6"/>
    <b v="0"/>
    <s v="No está en VPC"/>
    <n v="173"/>
    <s v="INTPG_PC_173_1.28-33"/>
    <s v="ISEL-1.32"/>
    <n v="3"/>
    <s v="NO TIENE L3OUT"/>
    <n v="66"/>
    <n v="96"/>
  </r>
  <r>
    <n v="154"/>
    <x v="0"/>
    <x v="228"/>
    <s v="eth1/32"/>
    <x v="0"/>
    <x v="0"/>
    <x v="0"/>
    <s v="POLYVIEW_SERVIDOR"/>
    <x v="6"/>
    <b v="0"/>
    <s v="No está en VPC"/>
    <n v="154"/>
    <s v="INTPG_ACC_154_1.32"/>
    <s v="ISEL-1.32"/>
    <n v="1"/>
    <s v="NO TIENE L3OUT"/>
    <n v="62"/>
    <n v="96"/>
  </r>
  <r>
    <n v="172"/>
    <x v="0"/>
    <x v="229"/>
    <s v="eth1/32"/>
    <x v="0"/>
    <x v="1"/>
    <x v="1"/>
    <s v="Optimus"/>
    <x v="6"/>
    <b v="0"/>
    <s v="No está en VPC"/>
    <n v="172"/>
    <s v="INTPG_ACC_172_1.32"/>
    <s v="ISEL-1.32"/>
    <n v="1"/>
    <s v="NO TIENE L3OUT"/>
    <n v="104"/>
    <n v="96"/>
  </r>
  <r>
    <n v="420"/>
    <x v="1"/>
    <x v="230"/>
    <s v="eth1/32"/>
    <x v="0"/>
    <x v="0"/>
    <x v="0"/>
    <s v="TO-ITHFDEOCP1LWR05-PRINCIPAL"/>
    <x v="6"/>
    <b v="0"/>
    <s v="No está en VPC"/>
    <n v="420"/>
    <s v="INTPG_ACC_420_1.32"/>
    <s v="ISEL-1.32"/>
    <n v="1"/>
    <s v="NO TIENE L3OUT"/>
    <n v="158"/>
    <n v="96"/>
  </r>
  <r>
    <n v="423"/>
    <x v="1"/>
    <x v="231"/>
    <s v="eth1/32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32"/>
    <x v="0"/>
    <x v="0"/>
    <x v="0"/>
    <s v="To-uxingemc2 ldom 2 uxsmart03"/>
    <x v="6"/>
    <b v="0"/>
    <s v="No está en VPC"/>
    <n v="415"/>
    <s v="INTPG_ACC_415_1.32"/>
    <s v="ISEL-1.32"/>
    <n v="1"/>
    <s v="NO TIENE L3OUT"/>
    <n v="52"/>
    <n v="96"/>
  </r>
  <r>
    <n v="102"/>
    <x v="0"/>
    <x v="233"/>
    <s v="eth1/32"/>
    <x v="0"/>
    <x v="1"/>
    <x v="1"/>
    <s v="SFLDI:RLDICDR06:1"/>
    <x v="6"/>
    <b v="0"/>
    <s v="No está en VPC"/>
    <n v="102"/>
    <s v="INTPG_ACC_102_1.32"/>
    <s v="ISEL-1.32"/>
    <n v="1"/>
    <s v="NO TIENE L3OUT"/>
    <n v="228"/>
    <n v="96"/>
  </r>
  <r>
    <n v="863"/>
    <x v="2"/>
    <x v="234"/>
    <s v="eth1/32"/>
    <x v="0"/>
    <x v="0"/>
    <x v="0"/>
    <s v="To_VPC_2DCBSD_WR55_2"/>
    <x v="0"/>
    <b v="0"/>
    <s v="No está en VPC"/>
    <n v="863"/>
    <s v="INTPG_VPC_858_1.32_863_1.32"/>
    <s v="ISEL-1.32"/>
    <n v="1"/>
    <s v="NO TIENE L3OUT"/>
    <n v="8"/>
    <n v="54"/>
  </r>
  <r>
    <n v="876"/>
    <x v="2"/>
    <x v="235"/>
    <s v="eth1/32"/>
    <x v="0"/>
    <x v="0"/>
    <x v="0"/>
    <s v="A_ITHFHWSEQLDPS04_Principal"/>
    <x v="4"/>
    <b v="0"/>
    <s v="No está en VPC"/>
    <n v="876"/>
    <s v="INTPG_ACC_876_1.32"/>
    <s v="ISEL-1.32"/>
    <n v="1"/>
    <s v="NO TIENE L3OUT"/>
    <n v="92"/>
    <n v="54"/>
  </r>
  <r>
    <n v="877"/>
    <x v="2"/>
    <x v="236"/>
    <s v="eth1/32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32"/>
    <x v="1"/>
    <x v="1"/>
    <x v="2"/>
    <s v="IXTRTC5"/>
    <x v="6"/>
    <b v="0"/>
    <s v="No está en VPC"/>
    <n v="122"/>
    <s v="INTPG_ACC_122_1.32"/>
    <s v="ISEL-1.32"/>
    <n v="1"/>
    <s v="NO TIENE L3OUT"/>
    <n v="148"/>
    <n v="96"/>
  </r>
  <r>
    <n v="157"/>
    <x v="0"/>
    <x v="238"/>
    <s v="eth1/32"/>
    <x v="0"/>
    <x v="0"/>
    <x v="0"/>
    <s v="SNA TEST BED"/>
    <x v="6"/>
    <b v="0"/>
    <s v="No está en VPC"/>
    <n v="157"/>
    <s v="INTPG_ACC_157_1.32"/>
    <s v="ISEL-1.32"/>
    <n v="0"/>
    <s v="L3OUT-SNA-SITE-TESTBED-BGP"/>
    <n v="202"/>
    <n v="96"/>
  </r>
  <r>
    <n v="408"/>
    <x v="1"/>
    <x v="239"/>
    <s v="eth1/32"/>
    <x v="0"/>
    <x v="0"/>
    <x v="0"/>
    <s v="NPO101"/>
    <x v="6"/>
    <b v="0"/>
    <s v="No está en VPC"/>
    <n v="408"/>
    <s v="INTPG_ACC_408_1.32"/>
    <s v="ISEL-1.32"/>
    <n v="1"/>
    <s v="NO TIENE L3OUT"/>
    <n v="152"/>
    <n v="96"/>
  </r>
  <r>
    <n v="405"/>
    <x v="1"/>
    <x v="240"/>
    <s v="eth1/32"/>
    <x v="0"/>
    <x v="0"/>
    <x v="0"/>
    <s v="IXT_ARIESO7_LDR5"/>
    <x v="6"/>
    <b v="0"/>
    <s v="No está en VPC"/>
    <n v="405"/>
    <s v="INTPG_ACC_405_1.32"/>
    <s v="ISEL-1.32"/>
    <n v="1"/>
    <s v="NO TIENE L3OUT"/>
    <n v="138"/>
    <n v="96"/>
  </r>
  <r>
    <n v="169"/>
    <x v="0"/>
    <x v="241"/>
    <s v="eth1/32"/>
    <x v="0"/>
    <x v="0"/>
    <x v="0"/>
    <s v="LINKDOWN_HACIA_UCS_9UCS-GEO-IXTLA-SERV2"/>
    <x v="6"/>
    <b v="0"/>
    <s v="No está en VPC"/>
    <n v="169"/>
    <s v="INTPG_ACC_169_1.32"/>
    <s v="ISEL-1.32"/>
    <n v="1"/>
    <s v="NO TIENE L3OUT"/>
    <n v="76"/>
    <n v="96"/>
  </r>
  <r>
    <n v="165"/>
    <x v="0"/>
    <x v="242"/>
    <s v="eth1/32"/>
    <x v="1"/>
    <x v="1"/>
    <x v="2"/>
    <s v="NPG_DOC"/>
    <x v="6"/>
    <b v="0"/>
    <s v="No está en VPC"/>
    <n v="165"/>
    <s v="INTPG_ACC_165_1.32"/>
    <s v="ISEL-1.32"/>
    <n v="0"/>
    <s v="NO TIENE L3OUT"/>
    <n v="86"/>
    <n v="96"/>
  </r>
  <r>
    <n v="417"/>
    <x v="1"/>
    <x v="243"/>
    <s v="eth1/32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32"/>
    <x v="1"/>
    <x v="1"/>
    <x v="2"/>
    <s v="DCX_BKP2"/>
    <x v="6"/>
    <b v="0"/>
    <s v="No está en VPC"/>
    <n v="153"/>
    <s v="INTPG_ACC_153_1.32"/>
    <s v="ISEL-1.32"/>
    <n v="0"/>
    <s v="NO TIENE L3OUT"/>
    <n v="42"/>
    <n v="96"/>
  </r>
  <r>
    <n v="119"/>
    <x v="0"/>
    <x v="245"/>
    <s v="eth1/32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32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32"/>
    <x v="0"/>
    <x v="1"/>
    <x v="1"/>
    <s v="EHEALTH:ehealthp08:NET01"/>
    <x v="6"/>
    <b v="0"/>
    <s v="No está en VPC"/>
    <n v="103"/>
    <s v="INTPG_ACC_103_1.32"/>
    <s v="ISEL-1.32"/>
    <n v="1"/>
    <s v="NO TIENE L3OUT"/>
    <n v="70"/>
    <n v="96"/>
  </r>
  <r>
    <n v="438"/>
    <x v="1"/>
    <x v="248"/>
    <s v="eth1/32"/>
    <x v="0"/>
    <x v="0"/>
    <x v="0"/>
    <s v="DESC"/>
    <x v="6"/>
    <b v="0"/>
    <s v="No está en VPC"/>
    <n v="438"/>
    <s v="INTPG_PC_438_1.30-35"/>
    <s v="ISEL-1.32"/>
    <n v="7"/>
    <s v="NO TIENE L3OUT"/>
    <n v="170"/>
    <n v="96"/>
  </r>
  <r>
    <n v="406"/>
    <x v="1"/>
    <x v="249"/>
    <s v="eth1/32"/>
    <x v="1"/>
    <x v="1"/>
    <x v="2"/>
    <s v="DESC"/>
    <x v="6"/>
    <b v="0"/>
    <s v="No está en VPC"/>
    <n v="406"/>
    <s v="INTPG_PC_406_1.31-34"/>
    <s v="ISEL-1.32"/>
    <n v="4"/>
    <s v="NO TIENE L3OUT"/>
    <n v="82"/>
    <n v="96"/>
  </r>
  <r>
    <n v="414"/>
    <x v="1"/>
    <x v="250"/>
    <s v="eth1/32"/>
    <x v="0"/>
    <x v="0"/>
    <x v="0"/>
    <s v="ITHMSNUBE2_ITH3"/>
    <x v="6"/>
    <b v="0"/>
    <s v="No está en VPC"/>
    <n v="414"/>
    <s v="INTPG_ACC_414_1.32"/>
    <s v="ISEL-1.32"/>
    <n v="1"/>
    <s v="NO TIENE L3OUT"/>
    <n v="144"/>
    <n v="96"/>
  </r>
  <r>
    <n v="416"/>
    <x v="1"/>
    <x v="251"/>
    <s v="eth1/32"/>
    <x v="0"/>
    <x v="1"/>
    <x v="1"/>
    <s v="DESC"/>
    <x v="6"/>
    <b v="0"/>
    <s v="No está en VPC"/>
    <n v="416"/>
    <s v="INTPG_PC_416_1.32-39"/>
    <s v="ISEL-1.32"/>
    <n v="8"/>
    <s v="NO TIENE L3OUT"/>
    <n v="110"/>
    <n v="96"/>
  </r>
  <r>
    <n v="418"/>
    <x v="1"/>
    <x v="252"/>
    <s v="eth1/32"/>
    <x v="0"/>
    <x v="1"/>
    <x v="1"/>
    <s v="DESC"/>
    <x v="6"/>
    <b v="0"/>
    <s v="No está en VPC"/>
    <n v="418"/>
    <s v="INTPG_PC_418_1.32-39"/>
    <s v="ISEL-1.32"/>
    <n v="8"/>
    <s v="NO TIENE L3OUT"/>
    <n v="152"/>
    <n v="96"/>
  </r>
  <r>
    <n v="413"/>
    <x v="1"/>
    <x v="253"/>
    <s v="eth1/32"/>
    <x v="0"/>
    <x v="0"/>
    <x v="0"/>
    <s v="lagidmhlapvp12_produccion1"/>
    <x v="6"/>
    <b v="0"/>
    <s v="No está en VPC"/>
    <n v="413"/>
    <s v="INTPG_VPC_411_1.36-39_413_1.29-32"/>
    <s v="ISEL-1.32"/>
    <n v="2"/>
    <s v="NO TIENE L3OUT"/>
    <n v="126"/>
    <n v="96"/>
  </r>
  <r>
    <n v="403"/>
    <x v="1"/>
    <x v="254"/>
    <s v="eth1/32"/>
    <x v="0"/>
    <x v="0"/>
    <x v="0"/>
    <s v="IXT_ARIESO7_LDR5"/>
    <x v="6"/>
    <b v="0"/>
    <s v="No está en VPC"/>
    <n v="403"/>
    <s v="INTPG_ACC_403_1.32"/>
    <s v="ISEL-1.32"/>
    <n v="1"/>
    <s v="NO TIENE L3OUT"/>
    <n v="150"/>
    <n v="96"/>
  </r>
  <r>
    <n v="125"/>
    <x v="0"/>
    <x v="255"/>
    <s v="eth1/32"/>
    <x v="1"/>
    <x v="1"/>
    <x v="2"/>
    <s v="Politicas de Navegacion"/>
    <x v="6"/>
    <b v="0"/>
    <s v="No está en VPC"/>
    <n v="125"/>
    <s v="INTPG_VPC_124_1.28-29_125_1.31-32"/>
    <s v="ISEL-1.32"/>
    <n v="5"/>
    <s v="NO TIENE L3OUT"/>
    <n v="72"/>
    <n v="96"/>
  </r>
  <r>
    <n v="166"/>
    <x v="0"/>
    <x v="256"/>
    <s v="eth1/32"/>
    <x v="0"/>
    <x v="0"/>
    <x v="0"/>
    <s v="Gestion_NPG_DOC"/>
    <x v="6"/>
    <b v="0"/>
    <s v="No está en VPC"/>
    <n v="166"/>
    <s v="INTPG_ACC_166_1.32"/>
    <s v="ISEL-1.32"/>
    <n v="1"/>
    <s v="NO TIENE L3OUT"/>
    <n v="84"/>
    <n v="96"/>
  </r>
  <r>
    <n v="111"/>
    <x v="0"/>
    <x v="257"/>
    <s v="eth1/32"/>
    <x v="0"/>
    <x v="0"/>
    <x v="0"/>
    <s v="RACKS VMTLCLAMX1"/>
    <x v="6"/>
    <b v="0"/>
    <s v="No está en VPC"/>
    <n v="111"/>
    <s v="INTPG_ACC_111_1.32"/>
    <s v="ISEL-1.32"/>
    <n v="1"/>
    <s v="NO TIENE L3OUT"/>
    <n v="58"/>
    <n v="96"/>
  </r>
  <r>
    <n v="115"/>
    <x v="0"/>
    <x v="258"/>
    <s v="eth1/32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32"/>
    <x v="0"/>
    <x v="0"/>
    <x v="0"/>
    <m/>
    <x v="6"/>
    <b v="0"/>
    <s v="No está en VPC"/>
    <n v="106"/>
    <s v="INTPG_ACC_106_1.32"/>
    <s v="ISEL-1.32"/>
    <n v="1"/>
    <s v="NO TIENE L3OUT"/>
    <n v="122"/>
    <n v="96"/>
  </r>
  <r>
    <n v="126"/>
    <x v="0"/>
    <x v="260"/>
    <s v="eth1/32"/>
    <x v="0"/>
    <x v="0"/>
    <x v="0"/>
    <s v="ENIQ"/>
    <x v="6"/>
    <b v="0"/>
    <s v="No está en VPC"/>
    <n v="126"/>
    <s v="INTPG_ACC_126_1.32"/>
    <s v="ISEL-1.32"/>
    <n v="1"/>
    <s v="NO TIENE L3OUT"/>
    <n v="54"/>
    <n v="96"/>
  </r>
  <r>
    <n v="425"/>
    <x v="1"/>
    <x v="261"/>
    <s v="eth1/32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32"/>
    <x v="0"/>
    <x v="0"/>
    <x v="0"/>
    <s v="TO-ITHEMCDD69007641DKC0-INT1.3"/>
    <x v="6"/>
    <b v="0"/>
    <s v="No está en VPC"/>
    <n v="151"/>
    <s v="INTPG_ACC_151_1.32"/>
    <s v="ISEL-1.32"/>
    <n v="1"/>
    <s v="NO TIENE L3OUT"/>
    <n v="86"/>
    <n v="96"/>
  </r>
  <r>
    <n v="430"/>
    <x v="1"/>
    <x v="263"/>
    <s v="eth1/32"/>
    <x v="0"/>
    <x v="0"/>
    <x v="0"/>
    <s v="DESC"/>
    <x v="6"/>
    <b v="0"/>
    <s v="No está en VPC"/>
    <n v="430"/>
    <s v="INTPG_PC_430_1.31-32"/>
    <s v="ISEL-1.32"/>
    <n v="1"/>
    <s v="NO TIENE L3OUT"/>
    <n v="86"/>
    <n v="96"/>
  </r>
  <r>
    <n v="419"/>
    <x v="1"/>
    <x v="264"/>
    <s v="eth1/32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32"/>
    <x v="1"/>
    <x v="1"/>
    <x v="2"/>
    <s v="RED CRICKET"/>
    <x v="6"/>
    <b v="0"/>
    <s v="No está en VPC"/>
    <n v="155"/>
    <s v="INTPG_ACC_155_1.32"/>
    <s v="ISEL-1.32"/>
    <n v="1"/>
    <s v="NO TIENE L3OUT"/>
    <n v="198"/>
    <n v="96"/>
  </r>
  <r>
    <n v="409"/>
    <x v="1"/>
    <x v="266"/>
    <s v="eth1/32"/>
    <x v="0"/>
    <x v="0"/>
    <x v="0"/>
    <s v="Uxcppnal"/>
    <x v="6"/>
    <b v="0"/>
    <s v="No está en VPC"/>
    <n v="409"/>
    <s v="INTPG_ACC_409_1.32"/>
    <s v="ISEL-1.32"/>
    <n v="1"/>
    <s v="NO TIENE L3OUT"/>
    <n v="128"/>
    <n v="96"/>
  </r>
  <r>
    <n v="422"/>
    <x v="1"/>
    <x v="267"/>
    <s v="eth1/32"/>
    <x v="0"/>
    <x v="0"/>
    <x v="0"/>
    <s v="IXTSD971B"/>
    <x v="6"/>
    <b v="0"/>
    <s v="No está en VPC"/>
    <n v="422"/>
    <s v="INTPG_ACC_422_1.32"/>
    <s v="ISEL-1.32"/>
    <n v="1"/>
    <s v="NO TIENE L3OUT"/>
    <n v="182"/>
    <n v="96"/>
  </r>
  <r>
    <n v="436"/>
    <x v="1"/>
    <x v="268"/>
    <s v="eth1/32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32"/>
    <x v="0"/>
    <x v="0"/>
    <x v="0"/>
    <s v="PAPERLES_ITHFNET1-DD_PTO0"/>
    <x v="6"/>
    <b v="0"/>
    <s v="No está en VPC"/>
    <n v="410"/>
    <s v="INTPG_ACC_410_1.32"/>
    <s v="ISEL-1.32"/>
    <n v="1"/>
    <s v="NO TIENE L3OUT"/>
    <n v="178"/>
    <n v="96"/>
  </r>
  <r>
    <n v="161"/>
    <x v="0"/>
    <x v="270"/>
    <s v="eth1/32"/>
    <x v="0"/>
    <x v="0"/>
    <x v="0"/>
    <s v="desc"/>
    <x v="6"/>
    <b v="0"/>
    <s v="No está en VPC"/>
    <n v="161"/>
    <s v="INTPG_VPC_161_1.32_163_1.31"/>
    <s v="ISEL-1.32"/>
    <n v="1"/>
    <s v="NO TIENE L3OUT"/>
    <n v="102"/>
    <n v="96"/>
  </r>
  <r>
    <n v="411"/>
    <x v="1"/>
    <x v="271"/>
    <s v="eth1/32"/>
    <x v="0"/>
    <x v="0"/>
    <x v="0"/>
    <s v="lagidmhlapvp10_produccion1"/>
    <x v="6"/>
    <b v="0"/>
    <s v="No está en VPC"/>
    <n v="411"/>
    <s v="INTPG_VPC_411_1.31-34_413_1.24-27"/>
    <s v="ISEL-1.32"/>
    <n v="2"/>
    <s v="NO TIENE L3OUT"/>
    <n v="96"/>
    <n v="96"/>
  </r>
  <r>
    <n v="116"/>
    <x v="0"/>
    <x v="272"/>
    <s v="eth1/32"/>
    <x v="1"/>
    <x v="1"/>
    <x v="2"/>
    <s v="INGE6"/>
    <x v="6"/>
    <b v="0"/>
    <s v="No está en VPC"/>
    <n v="116"/>
    <s v="INTPG_ACC_116_1.32"/>
    <s v="ISEL-1.32"/>
    <n v="0"/>
    <s v="NO TIENE L3OUT"/>
    <n v="148"/>
    <n v="96"/>
  </r>
  <r>
    <n v="412"/>
    <x v="1"/>
    <x v="273"/>
    <s v="eth1/32"/>
    <x v="0"/>
    <x v="0"/>
    <x v="0"/>
    <s v="FS101"/>
    <x v="6"/>
    <b v="0"/>
    <s v="No está en VPC"/>
    <n v="412"/>
    <s v="INTPG_ACC_412_1.32"/>
    <s v="ISEL-1.32"/>
    <n v="1"/>
    <s v="NO TIENE L3OUT"/>
    <n v="126"/>
    <n v="96"/>
  </r>
  <r>
    <n v="120"/>
    <x v="0"/>
    <x v="274"/>
    <s v="eth1/32"/>
    <x v="0"/>
    <x v="0"/>
    <x v="0"/>
    <s v="IXTRTC5"/>
    <x v="6"/>
    <b v="0"/>
    <s v="No está en VPC"/>
    <n v="120"/>
    <s v="INTPG_ACC_120_1.32"/>
    <s v="ISEL-1.32"/>
    <n v="1"/>
    <s v="NO TIENE L3OUT"/>
    <n v="158"/>
    <n v="96"/>
  </r>
  <r>
    <n v="404"/>
    <x v="1"/>
    <x v="275"/>
    <s v="eth1/32"/>
    <x v="0"/>
    <x v="0"/>
    <x v="0"/>
    <s v="DESC"/>
    <x v="6"/>
    <b v="0"/>
    <s v="No está en VPC"/>
    <n v="404"/>
    <s v="INTPG_PC_404_1.31-34"/>
    <s v="ISEL-1.32"/>
    <n v="4"/>
    <s v="NO TIENE L3OUT"/>
    <n v="92"/>
    <n v="96"/>
  </r>
  <r>
    <n v="167"/>
    <x v="0"/>
    <x v="276"/>
    <s v="eth1/32"/>
    <x v="0"/>
    <x v="0"/>
    <x v="0"/>
    <s v="TO-CORE_SWITCH-3-Y-4"/>
    <x v="6"/>
    <b v="0"/>
    <s v="No está en VPC"/>
    <n v="167"/>
    <s v="INTPG_VPC_167_1.30-32_169_1.21-23"/>
    <s v="ISEL-1.32"/>
    <n v="4"/>
    <s v="NO TIENE L3OUT"/>
    <n v="68"/>
    <n v="96"/>
  </r>
  <r>
    <n v="428"/>
    <x v="1"/>
    <x v="277"/>
    <s v="eth1/32"/>
    <x v="0"/>
    <x v="0"/>
    <x v="0"/>
    <s v="DESC"/>
    <x v="6"/>
    <b v="0"/>
    <s v="No está en VPC"/>
    <n v="428"/>
    <s v="INTPG_PC_428_1.31-32"/>
    <s v="ISEL-1.32"/>
    <n v="1"/>
    <s v="NO TIENE L3OUT"/>
    <n v="102"/>
    <n v="96"/>
  </r>
  <r>
    <n v="903"/>
    <x v="2"/>
    <x v="278"/>
    <s v="eth1/32"/>
    <x v="0"/>
    <x v="0"/>
    <x v="0"/>
    <s v="LINK_HACIA_RMAC"/>
    <x v="7"/>
    <b v="0"/>
    <s v="No está en VPC"/>
    <n v="903"/>
    <s v="NO EXISTE PG"/>
    <s v="NO EXISTE ISEL"/>
    <n v="0"/>
    <s v="multipod"/>
    <n v="0"/>
    <s v="SPINE"/>
  </r>
  <r>
    <n v="902"/>
    <x v="2"/>
    <x v="279"/>
    <s v="eth1/32"/>
    <x v="0"/>
    <x v="0"/>
    <x v="0"/>
    <s v="LINK_HACIA_RMAC"/>
    <x v="7"/>
    <b v="0"/>
    <s v="No está en VPC"/>
    <n v="902"/>
    <s v="NO EXISTE PG"/>
    <s v="NO EXISTE ISEL"/>
    <n v="0"/>
    <s v="multipod"/>
    <n v="0"/>
    <s v="SPINE"/>
  </r>
  <r>
    <n v="128"/>
    <x v="0"/>
    <x v="0"/>
    <s v="eth1/33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33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33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33"/>
    <x v="0"/>
    <x v="0"/>
    <x v="0"/>
    <s v="L3out-telcel-ipcorp-int-RMAC1"/>
    <x v="0"/>
    <b v="0"/>
    <s v="No está en VPC"/>
    <n v="101"/>
    <s v="INTPG_ACC_101_1.33"/>
    <s v="ISEL-1.33"/>
    <n v="0"/>
    <s v="L3OUT-TELCEL-IPCORP-INT"/>
    <n v="114"/>
    <n v="54"/>
  </r>
  <r>
    <n v="160"/>
    <x v="0"/>
    <x v="4"/>
    <s v="eth1/33"/>
    <x v="0"/>
    <x v="1"/>
    <x v="1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33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33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33"/>
    <x v="0"/>
    <x v="1"/>
    <x v="3"/>
    <m/>
    <x v="0"/>
    <b v="0"/>
    <s v="No está en VPC"/>
    <n v="401"/>
    <s v="NO EXISTE PG"/>
    <s v="NO EXISTE ISEL"/>
    <n v="0"/>
    <s v="NO TIENE L3OUT"/>
    <n v="40"/>
    <n v="54"/>
  </r>
  <r>
    <n v="402"/>
    <x v="1"/>
    <x v="8"/>
    <s v="eth1/33"/>
    <x v="0"/>
    <x v="0"/>
    <x v="0"/>
    <s v="TO-ITHEMCDD94004916-PRINCIPAL"/>
    <x v="0"/>
    <b v="0"/>
    <s v="No está en VPC"/>
    <n v="402"/>
    <s v="INTPG_ACC_402_1.33"/>
    <s v="ISEL-1.33"/>
    <n v="1"/>
    <s v="NO TIENE L3OUT"/>
    <n v="36"/>
    <n v="54"/>
  </r>
  <r>
    <n v="447"/>
    <x v="1"/>
    <x v="9"/>
    <s v="eth1/33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33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33"/>
    <x v="0"/>
    <x v="0"/>
    <x v="0"/>
    <s v="ITHFHWHSMTLCN06-LOM  P1"/>
    <x v="0"/>
    <b v="0"/>
    <s v="No está en VPC"/>
    <n v="130"/>
    <s v="INTPG_ACC_130_1.33"/>
    <s v="ISEL-1.33"/>
    <n v="9"/>
    <s v="NO TIENE L3OUT"/>
    <n v="128"/>
    <n v="54"/>
  </r>
  <r>
    <n v="150"/>
    <x v="0"/>
    <x v="12"/>
    <s v="eth1/33"/>
    <x v="0"/>
    <x v="0"/>
    <x v="0"/>
    <s v="L3out-telcel-ipcorp-int-RMAC2"/>
    <x v="0"/>
    <b v="0"/>
    <s v="No está en VPC"/>
    <n v="150"/>
    <s v="INTPG_ACC_150_1.33"/>
    <s v="ISEL-1.33"/>
    <n v="0"/>
    <s v="L3OUT-TELCEL-IPCORP-INT"/>
    <n v="118"/>
    <n v="54"/>
  </r>
  <r>
    <n v="131"/>
    <x v="0"/>
    <x v="13"/>
    <s v="eth1/33"/>
    <x v="0"/>
    <x v="0"/>
    <x v="0"/>
    <s v="ITHFHWHSMTLCN06-LOM  P2"/>
    <x v="0"/>
    <b v="0"/>
    <s v="No está en VPC"/>
    <n v="131"/>
    <s v="INTPG_ACC_131_1.33"/>
    <s v="ISEL-1.33"/>
    <n v="9"/>
    <s v="NO TIENE L3OUT"/>
    <n v="126"/>
    <n v="54"/>
  </r>
  <r>
    <n v="758"/>
    <x v="2"/>
    <x v="15"/>
    <s v="eth1/33"/>
    <x v="0"/>
    <x v="1"/>
    <x v="3"/>
    <s v="LINK_HACIA_MGMT"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33"/>
    <x v="1"/>
    <x v="1"/>
    <x v="3"/>
    <s v="LINK_HACIA_MGMT"/>
    <x v="2"/>
    <b v="0"/>
    <s v="No está en VPC"/>
    <n v="759"/>
    <s v="NO EXISTE PG"/>
    <s v="NO EXISTE ISEL"/>
    <n v="0"/>
    <s v="NO TIENE L3OUT"/>
    <n v="0"/>
    <n v="42"/>
  </r>
  <r>
    <n v="424"/>
    <x v="1"/>
    <x v="18"/>
    <s v="eth1/33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33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33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33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33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33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33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33"/>
    <x v="1"/>
    <x v="1"/>
    <x v="3"/>
    <m/>
    <x v="0"/>
    <b v="0"/>
    <s v="No está en VPC"/>
    <n v="431"/>
    <s v="NO EXISTE PG"/>
    <s v="NO EXISTE ISEL"/>
    <n v="0"/>
    <s v="NO TIENE L3OUT"/>
    <n v="46"/>
    <n v="54"/>
  </r>
  <r>
    <n v="433"/>
    <x v="1"/>
    <x v="27"/>
    <s v="eth1/33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33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33"/>
    <x v="0"/>
    <x v="0"/>
    <x v="0"/>
    <s v="TO-ITHFDLMCLWLCN05-Principal"/>
    <x v="1"/>
    <b v="0"/>
    <s v="No está en VPC"/>
    <n v="432"/>
    <s v="INTPG_ACC_432_1.33"/>
    <s v="ISEL-1.33"/>
    <n v="1"/>
    <s v="NO TIENE L3OUT"/>
    <n v="54"/>
    <n v="54"/>
  </r>
  <r>
    <n v="442"/>
    <x v="1"/>
    <x v="30"/>
    <s v="eth1/33"/>
    <x v="0"/>
    <x v="0"/>
    <x v="0"/>
    <s v="bmc_ithhwc3c2288h1_SECUNDARIO"/>
    <x v="1"/>
    <b v="0"/>
    <s v="No está en VPC"/>
    <n v="442"/>
    <s v="INTPG_ACC_442_1.33"/>
    <s v="ISEL-1.33"/>
    <n v="1"/>
    <s v="NO TIENE L3OUT"/>
    <n v="18"/>
    <n v="54"/>
  </r>
  <r>
    <n v="434"/>
    <x v="1"/>
    <x v="31"/>
    <s v="eth1/33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33"/>
    <x v="0"/>
    <x v="1"/>
    <x v="3"/>
    <s v="CEM_HADOOP"/>
    <x v="0"/>
    <b v="0"/>
    <s v="No está en VPC"/>
    <n v="707"/>
    <s v="INTPG_ACC_707_1.33"/>
    <s v="ISEL-1.33"/>
    <n v="0"/>
    <s v="NO TIENE L3OUT"/>
    <n v="54"/>
    <n v="54"/>
  </r>
  <r>
    <n v="712"/>
    <x v="2"/>
    <x v="33"/>
    <s v="eth1/33"/>
    <x v="0"/>
    <x v="1"/>
    <x v="5"/>
    <s v="CEM:ITHCEMB2ADT17:LOM P1"/>
    <x v="0"/>
    <b v="0"/>
    <s v="No está en VPC"/>
    <n v="712"/>
    <s v="INTPG_VPC_712_1.33_713_1.34"/>
    <s v="ISEL-1.33"/>
    <n v="1"/>
    <s v="NO TIENE L3OUT"/>
    <n v="32"/>
    <n v="54"/>
  </r>
  <r>
    <n v="719"/>
    <x v="2"/>
    <x v="34"/>
    <s v="eth1/33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33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33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33"/>
    <x v="0"/>
    <x v="1"/>
    <x v="5"/>
    <s v="CEM:ITHCEMC2ADT17:LOM P1"/>
    <x v="0"/>
    <b v="0"/>
    <s v="No está en VPC"/>
    <n v="711"/>
    <s v="INTPG_VPC_710_1.34_711_1.33"/>
    <s v="ISEL-1.33"/>
    <n v="1"/>
    <s v="NO TIENE L3OUT"/>
    <n v="16"/>
    <n v="54"/>
  </r>
  <r>
    <n v="716"/>
    <x v="2"/>
    <x v="38"/>
    <s v="eth1/33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33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33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33"/>
    <x v="0"/>
    <x v="0"/>
    <x v="0"/>
    <s v="Proyecto Arieso"/>
    <x v="0"/>
    <b v="0"/>
    <s v="No está en VPC"/>
    <n v="446"/>
    <s v="INTPG_VPC_444_1.33-36_446_1.33-36"/>
    <s v="ISEL-1.33"/>
    <n v="19"/>
    <s v="NO TIENE L3OUT"/>
    <n v="198"/>
    <n v="54"/>
  </r>
  <r>
    <n v="444"/>
    <x v="1"/>
    <x v="42"/>
    <s v="eth1/33"/>
    <x v="0"/>
    <x v="0"/>
    <x v="0"/>
    <s v="Proyecto Arieso"/>
    <x v="0"/>
    <b v="0"/>
    <s v="No está en VPC"/>
    <n v="444"/>
    <s v="INTPG_VPC_444_1.33-36_446_1.33-36"/>
    <s v="ISEL-1.33"/>
    <n v="19"/>
    <s v="NO TIENE L3OUT"/>
    <n v="234"/>
    <n v="54"/>
  </r>
  <r>
    <n v="701"/>
    <x v="2"/>
    <x v="43"/>
    <s v="eth1/33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33"/>
    <x v="0"/>
    <x v="0"/>
    <x v="0"/>
    <s v="bmc_ithhwc3b2288h5_PRINCIPAL"/>
    <x v="1"/>
    <b v="0"/>
    <s v="No está en VPC"/>
    <n v="440"/>
    <s v="INTPG_ACC_440_1.33"/>
    <s v="ISEL-1.33"/>
    <n v="1"/>
    <s v="NO TIENE L3OUT"/>
    <n v="22"/>
    <n v="54"/>
  </r>
  <r>
    <n v="448"/>
    <x v="1"/>
    <x v="45"/>
    <s v="eth1/33"/>
    <x v="1"/>
    <x v="1"/>
    <x v="3"/>
    <m/>
    <x v="0"/>
    <b v="0"/>
    <s v="No está en VPC"/>
    <n v="448"/>
    <s v="NO EXISTE PG"/>
    <s v="NO EXISTE ISEL"/>
    <n v="0"/>
    <s v="NO TIENE L3OUT"/>
    <n v="46"/>
    <n v="54"/>
  </r>
  <r>
    <n v="704"/>
    <x v="2"/>
    <x v="46"/>
    <s v="eth1/33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33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33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33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33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33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33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33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33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33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33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33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33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33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33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33"/>
    <x v="0"/>
    <x v="1"/>
    <x v="1"/>
    <s v="ITHCEMB2ADT14"/>
    <x v="5"/>
    <b v="0"/>
    <s v="No está en VPC"/>
    <n v="742"/>
    <s v="INTPG_ACC_742_1.33"/>
    <s v="ISEL-1.33"/>
    <n v="1"/>
    <s v="NO TIENE L3OUT"/>
    <n v="64"/>
    <n v="54"/>
  </r>
  <r>
    <n v="763"/>
    <x v="2"/>
    <x v="63"/>
    <s v="eth1/33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33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33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33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33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33"/>
    <x v="0"/>
    <x v="0"/>
    <x v="0"/>
    <s v="CLOUD OPS:ithhwcop01st01ce01:A IOM1 Smart IO P0"/>
    <x v="0"/>
    <b v="0"/>
    <s v="No está en VPC"/>
    <n v="778"/>
    <s v="INTPG_VPC_778_1.22_33_779_1.22_33"/>
    <s v="ISEL-1.33"/>
    <n v="2"/>
    <s v="NO TIENE L3OUT"/>
    <n v="26"/>
    <n v="54"/>
  </r>
  <r>
    <n v="780"/>
    <x v="2"/>
    <x v="69"/>
    <s v="eth1/33"/>
    <x v="0"/>
    <x v="0"/>
    <x v="0"/>
    <s v="CLOUD OPS:ithhwcop02en02:3X P2"/>
    <x v="0"/>
    <b v="0"/>
    <s v="No está en VPC"/>
    <n v="780"/>
    <s v="INTPG_VPC_780_1.30-33_781_1.30-33"/>
    <s v="ISEL-1.33"/>
    <n v="23"/>
    <s v="NO TIENE L3OUT"/>
    <n v="26"/>
    <n v="54"/>
  </r>
  <r>
    <n v="812"/>
    <x v="2"/>
    <x v="70"/>
    <s v="eth1/33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33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33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33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33"/>
    <x v="0"/>
    <x v="0"/>
    <x v="0"/>
    <s v="LINK_TO_ITHFHWCMVWPMA16 /Slot5.1 /Redundante"/>
    <x v="0"/>
    <b v="0"/>
    <s v="No está en VPC"/>
    <n v="824"/>
    <s v="INTPG_ACC_824_1.33"/>
    <s v="ISEL-1.33"/>
    <n v="1"/>
    <s v="NO TIENE L3OUT"/>
    <n v="70"/>
    <n v="54"/>
  </r>
  <r>
    <n v="819"/>
    <x v="2"/>
    <x v="75"/>
    <s v="eth1/33"/>
    <x v="0"/>
    <x v="0"/>
    <x v="0"/>
    <s v="LINK_TO_ITHFHWCMVWPMA16 /Slot4.2 /Principal"/>
    <x v="0"/>
    <b v="0"/>
    <s v="No está en VPC"/>
    <n v="819"/>
    <s v="INTPG_ACC_819_1.33"/>
    <s v="ISEL-1.33"/>
    <n v="1"/>
    <s v="NO TIENE L3OUT"/>
    <n v="70"/>
    <n v="54"/>
  </r>
  <r>
    <n v="737"/>
    <x v="2"/>
    <x v="76"/>
    <s v="eth1/33"/>
    <x v="0"/>
    <x v="0"/>
    <x v="0"/>
    <s v="CEM:ITHCEMF2HUN17:LOM P3"/>
    <x v="5"/>
    <b v="0"/>
    <s v="No está en VPC"/>
    <n v="737"/>
    <s v="INTPG_ACC_737_1.33"/>
    <s v="ISEL-1.33"/>
    <n v="1"/>
    <s v="NO TIENE L3OUT"/>
    <n v="72"/>
    <n v="54"/>
  </r>
  <r>
    <n v="844"/>
    <x v="2"/>
    <x v="77"/>
    <s v="eth1/33"/>
    <x v="0"/>
    <x v="0"/>
    <x v="0"/>
    <s v="LINK_TO_ITHFHWCRMPLCN111 / Slot1.3_26 / Principal"/>
    <x v="0"/>
    <b v="0"/>
    <s v="No está en VPC"/>
    <n v="844"/>
    <s v="INTPG_ACC_844_1.33"/>
    <s v="ISEL-1.33"/>
    <n v="1"/>
    <s v="NO TIENE L3OUT"/>
    <n v="282"/>
    <n v="54"/>
  </r>
  <r>
    <n v="843"/>
    <x v="2"/>
    <x v="78"/>
    <s v="eth1/33"/>
    <x v="0"/>
    <x v="0"/>
    <x v="0"/>
    <s v="LINK_To_ITHHWD6KV65100012DKC01 / CTMB_IOM1.P1_34 / Redundante"/>
    <x v="0"/>
    <b v="0"/>
    <s v="No está en VPC"/>
    <n v="843"/>
    <s v="INTPG_ACC_843_1.33"/>
    <s v="ISEL-1.33"/>
    <n v="1"/>
    <s v="NO TIENE L3OUT"/>
    <n v="38"/>
    <n v="54"/>
  </r>
  <r>
    <n v="797"/>
    <x v="2"/>
    <x v="79"/>
    <s v="eth1/33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33"/>
    <x v="0"/>
    <x v="0"/>
    <x v="0"/>
    <s v="LINK_TO_ITHFHWCBSPSHD40 / Slot7.3_18 / Redundante"/>
    <x v="0"/>
    <b v="0"/>
    <s v="No está en VPC"/>
    <n v="839"/>
    <s v="INTPG_VPC_834_1.33_839_1.33"/>
    <s v="ISEL-1.33"/>
    <n v="1"/>
    <s v="NO TIENE L3OUT"/>
    <n v="0"/>
    <n v="54"/>
  </r>
  <r>
    <n v="847"/>
    <x v="2"/>
    <x v="81"/>
    <s v="eth1/33"/>
    <x v="0"/>
    <x v="0"/>
    <x v="0"/>
    <s v="LINK_TO_ITHFHWCRMPLCN176 / Slot7.2_22 / Redundante"/>
    <x v="0"/>
    <b v="0"/>
    <s v="No está en VPC"/>
    <n v="847"/>
    <s v="INTPG_ACC_847_1.33"/>
    <s v="ISEL-1.33"/>
    <n v="2"/>
    <s v="NO TIENE L3OUT"/>
    <n v="204"/>
    <n v="54"/>
  </r>
  <r>
    <n v="848"/>
    <x v="2"/>
    <x v="82"/>
    <s v="eth1/33"/>
    <x v="0"/>
    <x v="0"/>
    <x v="0"/>
    <s v="LINK_TO_ITHFHWCRMPLCN165 / Slot7.2_32 / Redundante"/>
    <x v="0"/>
    <b v="0"/>
    <s v="No está en VPC"/>
    <n v="848"/>
    <s v="INTPG_ACC_848_1.33"/>
    <s v="ISEL-1.33"/>
    <n v="2"/>
    <s v="NO TIENE L3OUT"/>
    <n v="254"/>
    <n v="54"/>
  </r>
  <r>
    <n v="846"/>
    <x v="2"/>
    <x v="83"/>
    <s v="eth1/33"/>
    <x v="0"/>
    <x v="0"/>
    <x v="0"/>
    <s v="LINK_TO_ITHFHWCRMPLCN82 / Slot1.3_22 / Principal"/>
    <x v="0"/>
    <b v="0"/>
    <s v="No está en VPC"/>
    <n v="846"/>
    <s v="INTPG_ACC_846_1.33"/>
    <s v="ISEL-1.33"/>
    <n v="1"/>
    <s v="NO TIENE L3OUT"/>
    <n v="242"/>
    <n v="54"/>
  </r>
  <r>
    <n v="838"/>
    <x v="2"/>
    <x v="84"/>
    <s v="eth1/33"/>
    <x v="0"/>
    <x v="0"/>
    <x v="0"/>
    <s v="LINK_To_ITHHWD6KV65100012DKC01 / CTMB_IOM1.P0_34 / Principal"/>
    <x v="0"/>
    <b v="0"/>
    <s v="No está en VPC"/>
    <n v="838"/>
    <s v="INTPG_ACC_838_1.33"/>
    <s v="ISEL-1.33"/>
    <n v="1"/>
    <s v="NO TIENE L3OUT"/>
    <n v="38"/>
    <n v="54"/>
  </r>
  <r>
    <n v="849"/>
    <x v="2"/>
    <x v="85"/>
    <s v="eth1/33"/>
    <x v="0"/>
    <x v="0"/>
    <x v="0"/>
    <s v="LINK_TO_ITHFHWCRMPLCN145 / Slot7.2_24 / Redundante"/>
    <x v="0"/>
    <b v="0"/>
    <s v="No está en VPC"/>
    <n v="849"/>
    <s v="INTPG_ACC_849_1.33"/>
    <s v="ISEL-1.33"/>
    <n v="2"/>
    <s v="NO TIENE L3OUT"/>
    <n v="286"/>
    <n v="54"/>
  </r>
  <r>
    <n v="845"/>
    <x v="2"/>
    <x v="86"/>
    <s v="eth1/33"/>
    <x v="0"/>
    <x v="0"/>
    <x v="0"/>
    <s v="LINK_TO_ITHFHWCRMPLCN95 / Slot1.1_22 / Principal"/>
    <x v="0"/>
    <b v="0"/>
    <s v="No está en VPC"/>
    <n v="845"/>
    <s v="INTPG_ACC_845_1.33"/>
    <s v="ISEL-1.33"/>
    <n v="6"/>
    <s v="NO TIENE L3OUT"/>
    <n v="258"/>
    <n v="54"/>
  </r>
  <r>
    <n v="873"/>
    <x v="2"/>
    <x v="87"/>
    <s v="eth1/33"/>
    <x v="0"/>
    <x v="0"/>
    <x v="0"/>
    <s v="TO_ITHHWD6KV65100017DKC01_Principal"/>
    <x v="0"/>
    <b v="0"/>
    <s v="No está en VPC"/>
    <n v="873"/>
    <s v="INTPG_ACC_873_1.33"/>
    <s v="ISEL-1.33"/>
    <n v="1"/>
    <s v="NO TIENE L3OUT"/>
    <n v="248"/>
    <n v="54"/>
  </r>
  <r>
    <n v="864"/>
    <x v="2"/>
    <x v="88"/>
    <s v="eth1/33"/>
    <x v="0"/>
    <x v="0"/>
    <x v="0"/>
    <s v="To_VPC_2DCBSD_WR46_3"/>
    <x v="0"/>
    <b v="0"/>
    <s v="No está en VPC"/>
    <n v="864"/>
    <s v="INTPG_VPC_859_1.33_864_1.33"/>
    <s v="ISEL-1.33"/>
    <n v="1"/>
    <s v="NO TIENE L3OUT"/>
    <n v="0"/>
    <n v="54"/>
  </r>
  <r>
    <n v="836"/>
    <x v="2"/>
    <x v="89"/>
    <s v="eth1/33"/>
    <x v="0"/>
    <x v="0"/>
    <x v="0"/>
    <s v="LINK_TO_ITHFHWCBSPSHD25 / Slot1.2_14 / Principal"/>
    <x v="0"/>
    <b v="0"/>
    <s v="No está en VPC"/>
    <n v="836"/>
    <s v="INTPG_VPC_836_1.33_841_1.33"/>
    <s v="ISEL-1.33"/>
    <n v="1"/>
    <s v="NO TIENE L3OUT"/>
    <n v="0"/>
    <n v="54"/>
  </r>
  <r>
    <n v="834"/>
    <x v="2"/>
    <x v="90"/>
    <s v="eth1/33"/>
    <x v="0"/>
    <x v="0"/>
    <x v="0"/>
    <s v="LINK_TO_ITHFHWCBSPSHD40 / Slot1.3_18 / Principal"/>
    <x v="0"/>
    <b v="0"/>
    <s v="No está en VPC"/>
    <n v="834"/>
    <s v="INTPG_VPC_834_1.33_839_1.33"/>
    <s v="ISEL-1.33"/>
    <n v="1"/>
    <s v="NO TIENE L3OUT"/>
    <n v="0"/>
    <n v="54"/>
  </r>
  <r>
    <n v="872"/>
    <x v="2"/>
    <x v="91"/>
    <s v="eth1/33"/>
    <x v="0"/>
    <x v="0"/>
    <x v="0"/>
    <s v="To_ITHFHWCRMDLCN80_Principal"/>
    <x v="0"/>
    <b v="0"/>
    <s v="No está en VPC"/>
    <n v="872"/>
    <s v="INTPG_ACC_872_1.33"/>
    <s v="ISEL-1.33"/>
    <n v="6"/>
    <s v="NO TIENE L3OUT"/>
    <n v="288"/>
    <n v="54"/>
  </r>
  <r>
    <n v="842"/>
    <x v="2"/>
    <x v="92"/>
    <s v="eth1/33"/>
    <x v="0"/>
    <x v="0"/>
    <x v="0"/>
    <s v="LINK_To_ITHFHWCBSPSHD19 / Slot7.1_14 / Redundante"/>
    <x v="0"/>
    <b v="0"/>
    <s v="No está en VPC"/>
    <n v="842"/>
    <s v="INTPG_VPC_837_1.33_842_1.33"/>
    <s v="ISEL-1.33"/>
    <n v="2"/>
    <s v="NO TIENE L3OUT"/>
    <n v="8"/>
    <n v="54"/>
  </r>
  <r>
    <n v="828"/>
    <x v="2"/>
    <x v="93"/>
    <s v="eth1/33"/>
    <x v="0"/>
    <x v="0"/>
    <x v="0"/>
    <s v="LINK_TO_ITHFHWCRMDLCN26 /10GE.1 /Principal"/>
    <x v="0"/>
    <b v="0"/>
    <s v="No está en VPC"/>
    <n v="828"/>
    <s v="INTPG_ACC_828_1.33"/>
    <s v="ISEL-1.33"/>
    <n v="2"/>
    <s v="NO TIENE L3OUT"/>
    <n v="192"/>
    <n v="54"/>
  </r>
  <r>
    <n v="870"/>
    <x v="2"/>
    <x v="94"/>
    <s v="eth1/33"/>
    <x v="0"/>
    <x v="0"/>
    <x v="0"/>
    <s v="TO_ITHHWD6KV65100017DKC01_Redundante"/>
    <x v="0"/>
    <b v="0"/>
    <s v="No está en VPC"/>
    <n v="870"/>
    <s v="INTPG_ACC_870_1.33"/>
    <s v="ISEL-1.33"/>
    <n v="1"/>
    <s v="NO TIENE L3OUT"/>
    <n v="248"/>
    <n v="54"/>
  </r>
  <r>
    <n v="866"/>
    <x v="2"/>
    <x v="95"/>
    <s v="eth1/33"/>
    <x v="0"/>
    <x v="0"/>
    <x v="0"/>
    <s v="To_VPC_2DCBSD_BD13_2"/>
    <x v="0"/>
    <b v="0"/>
    <s v="No está en VPC"/>
    <n v="866"/>
    <s v="INTPG_VPC_861_1.33_866_1.33"/>
    <s v="ISEL-1.33"/>
    <n v="1"/>
    <s v="NO TIENE L3OUT"/>
    <n v="8"/>
    <n v="54"/>
  </r>
  <r>
    <n v="862"/>
    <x v="2"/>
    <x v="96"/>
    <s v="eth1/33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33"/>
    <x v="0"/>
    <x v="0"/>
    <x v="0"/>
    <s v="LINK_TO_ITHFHWCRMPLCN165 / Slot1.2_32 / Principal"/>
    <x v="0"/>
    <b v="0"/>
    <s v="No está en VPC"/>
    <n v="855"/>
    <s v="INTPG_ACC_855_1.33"/>
    <s v="ISEL-1.33"/>
    <n v="2"/>
    <s v="NO TIENE L3OUT"/>
    <n v="254"/>
    <n v="54"/>
  </r>
  <r>
    <n v="871"/>
    <x v="2"/>
    <x v="98"/>
    <s v="eth1/33"/>
    <x v="0"/>
    <x v="0"/>
    <x v="0"/>
    <s v="To_ITHFHWCRMDLCN64_Principal"/>
    <x v="0"/>
    <b v="0"/>
    <s v="No está en VPC"/>
    <n v="871"/>
    <s v="INTPG_ACC_871_1.33"/>
    <s v="ISEL-1.33"/>
    <n v="1"/>
    <s v="NO TIENE L3OUT"/>
    <n v="246"/>
    <n v="54"/>
  </r>
  <r>
    <n v="841"/>
    <x v="2"/>
    <x v="99"/>
    <s v="eth1/33"/>
    <x v="0"/>
    <x v="0"/>
    <x v="0"/>
    <s v="LINK_TO_ITHFHWCBSPSHD25 / Slot7.2_14 / Redundante"/>
    <x v="0"/>
    <b v="0"/>
    <s v="No está en VPC"/>
    <n v="841"/>
    <s v="INTPG_VPC_836_1.33_841_1.33"/>
    <s v="ISEL-1.33"/>
    <n v="1"/>
    <s v="NO TIENE L3OUT"/>
    <n v="0"/>
    <n v="54"/>
  </r>
  <r>
    <n v="868"/>
    <x v="2"/>
    <x v="100"/>
    <s v="eth1/33"/>
    <x v="0"/>
    <x v="0"/>
    <x v="0"/>
    <s v="To_ITHFHWCRMDLCN64_Redundante"/>
    <x v="0"/>
    <b v="0"/>
    <s v="No está en VPC"/>
    <n v="868"/>
    <s v="INTPG_ACC_868_1.33"/>
    <s v="ISEL-1.33"/>
    <n v="1"/>
    <s v="NO TIENE L3OUT"/>
    <n v="246"/>
    <n v="54"/>
  </r>
  <r>
    <n v="869"/>
    <x v="2"/>
    <x v="101"/>
    <s v="eth1/33"/>
    <x v="0"/>
    <x v="0"/>
    <x v="0"/>
    <s v="To_ITHFHWCRMDLCN80_Redundante"/>
    <x v="0"/>
    <b v="0"/>
    <s v="No está en VPC"/>
    <n v="869"/>
    <s v="INTPG_ACC_869_1.33"/>
    <s v="ISEL-1.33"/>
    <n v="6"/>
    <s v="NO TIENE L3OUT"/>
    <n v="288"/>
    <n v="54"/>
  </r>
  <r>
    <n v="861"/>
    <x v="2"/>
    <x v="102"/>
    <s v="eth1/33"/>
    <x v="0"/>
    <x v="0"/>
    <x v="0"/>
    <s v="To_VPC_2DCBSD_BD13_2"/>
    <x v="0"/>
    <b v="0"/>
    <s v="No está en VPC"/>
    <n v="861"/>
    <s v="INTPG_VPC_861_1.33_866_1.33"/>
    <s v="ISEL-1.33"/>
    <n v="1"/>
    <s v="NO TIENE L3OUT"/>
    <n v="8"/>
    <n v="54"/>
  </r>
  <r>
    <n v="874"/>
    <x v="2"/>
    <x v="103"/>
    <s v="eth1/33"/>
    <x v="0"/>
    <x v="0"/>
    <x v="0"/>
    <s v="A_ITHFHWSEQLDPS05_Redundante"/>
    <x v="4"/>
    <b v="0"/>
    <s v="No está en VPC"/>
    <n v="874"/>
    <s v="INTPG_ACC_874_1.33"/>
    <s v="ISEL-1.33"/>
    <n v="1"/>
    <s v="NO TIENE L3OUT"/>
    <n v="92"/>
    <n v="54"/>
  </r>
  <r>
    <n v="865"/>
    <x v="2"/>
    <x v="104"/>
    <s v="eth1/33"/>
    <x v="0"/>
    <x v="0"/>
    <x v="0"/>
    <s v="To_VPC_2DCBSD_BD17_3"/>
    <x v="0"/>
    <b v="0"/>
    <s v="No está en VPC"/>
    <n v="865"/>
    <s v="INTPG_VPC_860_1.33_865_1.33"/>
    <s v="ISEL-1.33"/>
    <n v="1"/>
    <s v="NO TIENE L3OUT"/>
    <n v="0"/>
    <n v="54"/>
  </r>
  <r>
    <n v="753"/>
    <x v="2"/>
    <x v="105"/>
    <s v="eth1/33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33"/>
    <x v="0"/>
    <x v="1"/>
    <x v="5"/>
    <s v="CEM:ITHCEMF2HUN17:LOM P1"/>
    <x v="0"/>
    <b v="0"/>
    <s v="No está en VPC"/>
    <n v="708"/>
    <s v="INTPG_VPC_708_1.33_709_1.34"/>
    <s v="ISEL-1.33"/>
    <n v="1"/>
    <s v="NO TIENE L3OUT"/>
    <n v="0"/>
    <n v="54"/>
  </r>
  <r>
    <n v="710"/>
    <x v="2"/>
    <x v="107"/>
    <s v="eth1/33"/>
    <x v="0"/>
    <x v="1"/>
    <x v="5"/>
    <s v="CEM:ITHCEMD2APT17:LOM P1"/>
    <x v="0"/>
    <b v="0"/>
    <s v="No está en VPC"/>
    <n v="710"/>
    <s v="INTPG_VPC_710_1.33_711_1.34"/>
    <s v="ISEL-1.33"/>
    <n v="1"/>
    <s v="NO TIENE L3OUT"/>
    <n v="16"/>
    <n v="54"/>
  </r>
  <r>
    <n v="713"/>
    <x v="2"/>
    <x v="108"/>
    <s v="eth1/33"/>
    <x v="0"/>
    <x v="1"/>
    <x v="3"/>
    <m/>
    <x v="0"/>
    <b v="0"/>
    <s v="No está en VPC"/>
    <n v="713"/>
    <s v="INTPG_VPC_713_1.33_712_1.34"/>
    <s v="ISEL-1.33"/>
    <n v="0"/>
    <s v="NO TIENE L3OUT"/>
    <n v="32"/>
    <n v="54"/>
  </r>
  <r>
    <n v="735"/>
    <x v="2"/>
    <x v="109"/>
    <s v="eth1/33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33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33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33"/>
    <x v="0"/>
    <x v="0"/>
    <x v="0"/>
    <m/>
    <x v="0"/>
    <b v="0"/>
    <s v="No está en VPC"/>
    <n v="706"/>
    <s v="INTPG_VPC_706_1.33_705_1.34"/>
    <s v="ISEL-1.33"/>
    <n v="1"/>
    <s v="NO TIENE L3OUT"/>
    <n v="16"/>
    <n v="54"/>
  </r>
  <r>
    <n v="762"/>
    <x v="2"/>
    <x v="113"/>
    <s v="eth1/33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14"/>
    <x v="2"/>
    <x v="114"/>
    <s v="eth1/33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33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33"/>
    <x v="0"/>
    <x v="0"/>
    <x v="0"/>
    <s v="LINK_TO_ITHFHWCBSDSWR17 /Slot4.2 /Principal"/>
    <x v="0"/>
    <b v="0"/>
    <s v="No está en VPC"/>
    <n v="826"/>
    <s v="INTPG_VPC_826_1.33_830_1.33"/>
    <s v="ISEL-1.33"/>
    <n v="1"/>
    <s v="NO TIENE L3OUT"/>
    <n v="12"/>
    <n v="54"/>
  </r>
  <r>
    <n v="726"/>
    <x v="2"/>
    <x v="117"/>
    <s v="eth1/33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33"/>
    <x v="0"/>
    <x v="0"/>
    <x v="0"/>
    <s v="CEM:ITHCEMC2ADT17:LOM P3"/>
    <x v="5"/>
    <b v="0"/>
    <s v="No está en VPC"/>
    <n v="740"/>
    <s v="INTPG_ACC_740_1.33"/>
    <s v="ISEL-1.33"/>
    <n v="1"/>
    <s v="NO TIENE L3OUT"/>
    <n v="72"/>
    <n v="54"/>
  </r>
  <r>
    <n v="705"/>
    <x v="2"/>
    <x v="119"/>
    <s v="eth1/33"/>
    <x v="0"/>
    <x v="1"/>
    <x v="3"/>
    <m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33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33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33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33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33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33"/>
    <x v="0"/>
    <x v="1"/>
    <x v="5"/>
    <s v="CEM:ITHCEME2APT17:LOM P1"/>
    <x v="0"/>
    <b v="0"/>
    <s v="No está en VPC"/>
    <n v="709"/>
    <s v="INTPG_VPC_708_1.34_709_1.33"/>
    <s v="ISEL-1.33"/>
    <n v="1"/>
    <s v="NO TIENE L3OUT"/>
    <n v="0"/>
    <n v="54"/>
  </r>
  <r>
    <n v="454"/>
    <x v="1"/>
    <x v="126"/>
    <s v="eth1/33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33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33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33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33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33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33"/>
    <x v="0"/>
    <x v="0"/>
    <x v="0"/>
    <s v="CEM:ITHCEMB2ADT17:LOM P3"/>
    <x v="5"/>
    <b v="0"/>
    <s v="No está en VPC"/>
    <n v="741"/>
    <s v="INTPG_ACC_741_1.33"/>
    <s v="ISEL-1.33"/>
    <n v="1"/>
    <s v="NO TIENE L3OUT"/>
    <n v="62"/>
    <n v="54"/>
  </r>
  <r>
    <n v="787"/>
    <x v="2"/>
    <x v="133"/>
    <s v="eth1/33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33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33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33"/>
    <x v="0"/>
    <x v="1"/>
    <x v="3"/>
    <s v="CEM_HADOOP"/>
    <x v="0"/>
    <b v="0"/>
    <s v="No está en VPC"/>
    <n v="736"/>
    <s v="INTPG_ACC_736_1.33"/>
    <s v="ISEL-1.33"/>
    <n v="0"/>
    <s v="NO TIENE L3OUT"/>
    <n v="48"/>
    <n v="54"/>
  </r>
  <r>
    <n v="799"/>
    <x v="2"/>
    <x v="137"/>
    <s v="eth1/33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33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33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33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33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33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33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33"/>
    <x v="0"/>
    <x v="0"/>
    <x v="0"/>
    <s v="PAAS:ithhwoscopap016:Slot 4/Pto 2"/>
    <x v="0"/>
    <b v="0"/>
    <s v="No está en VPC"/>
    <n v="774"/>
    <s v="INTPG_VPC_774_1.33_775_1.34"/>
    <s v="ISEL-1.33"/>
    <n v="24"/>
    <s v="NO TIENE L3OUT"/>
    <n v="0"/>
    <n v="54"/>
  </r>
  <r>
    <n v="773"/>
    <x v="2"/>
    <x v="145"/>
    <s v="eth1/33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33"/>
    <x v="0"/>
    <x v="0"/>
    <x v="0"/>
    <s v="TO-9S_VPNM_IXT3_211_1"/>
    <x v="0"/>
    <b v="0"/>
    <s v="No está en VPC"/>
    <n v="794"/>
    <s v="INTPG_VPC_793_1.32-33_794_1.32-33"/>
    <s v="ISEL-1.33"/>
    <n v="16"/>
    <s v="NO TIENE L3OUT"/>
    <n v="12"/>
    <n v="54"/>
  </r>
  <r>
    <n v="803"/>
    <x v="2"/>
    <x v="147"/>
    <s v="eth1/33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33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33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33"/>
    <x v="0"/>
    <x v="0"/>
    <x v="0"/>
    <s v="CLOUD OPS:ithhwcop02en02:3X P4"/>
    <x v="0"/>
    <b v="0"/>
    <s v="No está en VPC"/>
    <n v="781"/>
    <s v="INTPG_VPC_780_1.30-33_781_1.30-33"/>
    <s v="ISEL-1.33"/>
    <n v="23"/>
    <s v="NO TIENE L3OUT"/>
    <n v="26"/>
    <n v="54"/>
  </r>
  <r>
    <n v="793"/>
    <x v="2"/>
    <x v="151"/>
    <s v="eth1/33"/>
    <x v="0"/>
    <x v="0"/>
    <x v="0"/>
    <s v="TO-9S_VPNM_IXT3_211_1"/>
    <x v="0"/>
    <b v="0"/>
    <s v="No está en VPC"/>
    <n v="793"/>
    <s v="INTPG_VPC_793_1.32-33_794_1.32-33"/>
    <s v="ISEL-1.33"/>
    <n v="16"/>
    <s v="NO TIENE L3OUT"/>
    <n v="12"/>
    <n v="54"/>
  </r>
  <r>
    <n v="747"/>
    <x v="2"/>
    <x v="152"/>
    <s v="eth1/33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33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33"/>
    <x v="1"/>
    <x v="1"/>
    <x v="2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33"/>
    <x v="0"/>
    <x v="0"/>
    <x v="0"/>
    <s v="PAAS:ithhwoscopap020:Slot 4/Pto 2"/>
    <x v="0"/>
    <b v="0"/>
    <s v="No está en VPC"/>
    <n v="777"/>
    <s v="INTPG_VPC_776_1.34_777_1.33"/>
    <s v="ISEL-1.33"/>
    <n v="24"/>
    <s v="NO TIENE L3OUT"/>
    <n v="0"/>
    <n v="54"/>
  </r>
  <r>
    <n v="770"/>
    <x v="2"/>
    <x v="156"/>
    <s v="eth1/33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33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33"/>
    <x v="0"/>
    <x v="0"/>
    <x v="0"/>
    <s v="CEM:ITHCEMD2APT17:LOM P3"/>
    <x v="5"/>
    <b v="0"/>
    <s v="No está en VPC"/>
    <n v="739"/>
    <s v="INTPG_ACC_739_1.33"/>
    <s v="ISEL-1.33"/>
    <n v="1"/>
    <s v="NO TIENE L3OUT"/>
    <n v="72"/>
    <n v="54"/>
  </r>
  <r>
    <n v="775"/>
    <x v="2"/>
    <x v="159"/>
    <s v="eth1/33"/>
    <x v="0"/>
    <x v="0"/>
    <x v="0"/>
    <s v="PAAS:ithhwoscopap018:Slot 4/Pto 2"/>
    <x v="0"/>
    <b v="0"/>
    <s v="No está en VPC"/>
    <n v="775"/>
    <s v="INTPG_VPC_774_1.35_775_1.33"/>
    <s v="ISEL-1.33"/>
    <n v="24"/>
    <s v="NO TIENE L3OUT"/>
    <n v="0"/>
    <n v="54"/>
  </r>
  <r>
    <n v="791"/>
    <x v="2"/>
    <x v="160"/>
    <s v="eth1/33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33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33"/>
    <x v="0"/>
    <x v="0"/>
    <x v="0"/>
    <s v="LINK_TO_ITHFHWCBSDSWR17 /Slot6.2 /Redundante"/>
    <x v="0"/>
    <b v="0"/>
    <s v="No está en VPC"/>
    <n v="830"/>
    <s v="INTPG_VPC_826_1.33_830_1.33"/>
    <s v="ISEL-1.33"/>
    <n v="1"/>
    <s v="NO TIENE L3OUT"/>
    <n v="12"/>
    <n v="54"/>
  </r>
  <r>
    <n v="821"/>
    <x v="2"/>
    <x v="163"/>
    <s v="eth1/33"/>
    <x v="0"/>
    <x v="0"/>
    <x v="0"/>
    <s v="LINK_TO_ITHFHWCBSPSWR17 /Slot6.2 /Redundante"/>
    <x v="0"/>
    <b v="0"/>
    <s v="No está en VPC"/>
    <n v="821"/>
    <s v="INTPG_VPC_816_1.33_821_1.33"/>
    <s v="ISEL-1.33"/>
    <n v="1"/>
    <s v="NO TIENE L3OUT"/>
    <n v="0"/>
    <n v="54"/>
  </r>
  <r>
    <n v="738"/>
    <x v="2"/>
    <x v="164"/>
    <s v="eth1/33"/>
    <x v="0"/>
    <x v="0"/>
    <x v="0"/>
    <s v="CEM:ITHCEME2APT17:LOM P3"/>
    <x v="5"/>
    <b v="0"/>
    <s v="No está en VPC"/>
    <n v="738"/>
    <s v="INTPG_ACC_738_1.33"/>
    <s v="ISEL-1.33"/>
    <n v="1"/>
    <s v="NO TIENE L3OUT"/>
    <n v="72"/>
    <n v="54"/>
  </r>
  <r>
    <n v="820"/>
    <x v="2"/>
    <x v="165"/>
    <s v="eth1/33"/>
    <x v="0"/>
    <x v="0"/>
    <x v="0"/>
    <s v="VPC_2DCRMP_BDP07_3"/>
    <x v="0"/>
    <b v="0"/>
    <s v="No está en VPC"/>
    <n v="820"/>
    <s v="INTPG_VPC_825_1.33_820_1.33"/>
    <s v="ISEL-1.33"/>
    <n v="1"/>
    <s v="NO TIENE L3OUT"/>
    <n v="72"/>
    <n v="54"/>
  </r>
  <r>
    <n v="804"/>
    <x v="2"/>
    <x v="166"/>
    <s v="eth1/33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33"/>
    <x v="0"/>
    <x v="0"/>
    <x v="0"/>
    <s v="CLOUD OPS:ithhwcop01st01ce01:A IOM1 Smart IO P1"/>
    <x v="0"/>
    <b v="0"/>
    <s v="No está en VPC"/>
    <n v="779"/>
    <s v="INTPG_VPC_778_1.22_33_779_1.22_33"/>
    <s v="ISEL-1.33"/>
    <n v="2"/>
    <s v="NO TIENE L3OUT"/>
    <n v="30"/>
    <n v="54"/>
  </r>
  <r>
    <n v="767"/>
    <x v="2"/>
    <x v="168"/>
    <s v="eth1/33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33"/>
    <x v="0"/>
    <x v="0"/>
    <x v="0"/>
    <s v="LINK_TO_ITHFHWCBSDSWR27 /10GE.1 /Principal"/>
    <x v="0"/>
    <b v="0"/>
    <s v="No está en VPC"/>
    <n v="827"/>
    <s v="INTPG_VPC_827_1.33_831_1.33"/>
    <s v="ISEL-1.33"/>
    <n v="1"/>
    <s v="NO TIENE L3OUT"/>
    <n v="14"/>
    <n v="54"/>
  </r>
  <r>
    <n v="809"/>
    <x v="2"/>
    <x v="170"/>
    <s v="eth1/33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33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33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33"/>
    <x v="0"/>
    <x v="0"/>
    <x v="0"/>
    <s v="PAAS:ithhwoscopap019:Slot 4/Pto 2"/>
    <x v="0"/>
    <b v="0"/>
    <s v="No está en VPC"/>
    <n v="776"/>
    <s v="INTPG_VPC_776_1.33_777_1.34"/>
    <s v="ISEL-1.33"/>
    <n v="24"/>
    <s v="NO TIENE L3OUT"/>
    <n v="0"/>
    <n v="54"/>
  </r>
  <r>
    <n v="805"/>
    <x v="2"/>
    <x v="174"/>
    <s v="eth1/33"/>
    <x v="1"/>
    <x v="1"/>
    <x v="2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33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33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33"/>
    <x v="0"/>
    <x v="0"/>
    <x v="0"/>
    <s v="LINK_TO_ITHFHWCRMPLCN111 / Slot7.3_26 / Redundante"/>
    <x v="0"/>
    <b v="0"/>
    <s v="No está en VPC"/>
    <n v="851"/>
    <s v="INTPG_ACC_851_1.33"/>
    <s v="ISEL-1.33"/>
    <n v="1"/>
    <s v="NO TIENE L3OUT"/>
    <n v="282"/>
    <n v="54"/>
  </r>
  <r>
    <n v="798"/>
    <x v="2"/>
    <x v="178"/>
    <s v="eth1/33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33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33"/>
    <x v="0"/>
    <x v="0"/>
    <x v="0"/>
    <s v="LINK_TO_ITHFHWCRMPLCN95 / Slot7.1_22 / Redundante"/>
    <x v="0"/>
    <b v="0"/>
    <s v="No está en VPC"/>
    <n v="852"/>
    <s v="INTPG_ACC_852_1.33"/>
    <s v="ISEL-1.33"/>
    <n v="6"/>
    <s v="NO TIENE L3OUT"/>
    <n v="258"/>
    <n v="54"/>
  </r>
  <r>
    <n v="817"/>
    <x v="2"/>
    <x v="181"/>
    <s v="eth1/33"/>
    <x v="0"/>
    <x v="0"/>
    <x v="0"/>
    <s v="LINK_TO_ITHFHWCBSPSUSBD22 /Slot4.2 /Principal"/>
    <x v="0"/>
    <b v="0"/>
    <s v="No está en VPC"/>
    <n v="817"/>
    <s v="INTPG_VPC_817_1.33_822_1.33"/>
    <s v="ISEL-1.33"/>
    <n v="1"/>
    <s v="NO TIENE L3OUT"/>
    <n v="0"/>
    <n v="54"/>
  </r>
  <r>
    <n v="832"/>
    <x v="2"/>
    <x v="182"/>
    <s v="eth1/33"/>
    <x v="0"/>
    <x v="0"/>
    <x v="0"/>
    <s v="LINK_TO_ITHFHWCRMDLCN26 /Slot5.1 /Redundante"/>
    <x v="0"/>
    <b v="0"/>
    <s v="No está en VPC"/>
    <n v="832"/>
    <s v="INTPG_ACC_832_1.33"/>
    <s v="ISEL-1.33"/>
    <n v="2"/>
    <s v="NO TIENE L3OUT"/>
    <n v="192"/>
    <n v="54"/>
  </r>
  <r>
    <n v="816"/>
    <x v="2"/>
    <x v="183"/>
    <s v="eth1/33"/>
    <x v="0"/>
    <x v="0"/>
    <x v="0"/>
    <s v="LINK_TO_ITHFHWCBSPSWR17 /Slot4.2 /Principal"/>
    <x v="0"/>
    <b v="0"/>
    <s v="No está en VPC"/>
    <n v="816"/>
    <s v="INTPG_VPC_816_1.33_821_1.33"/>
    <s v="ISEL-1.33"/>
    <n v="1"/>
    <s v="NO TIENE L3OUT"/>
    <n v="0"/>
    <n v="54"/>
  </r>
  <r>
    <n v="825"/>
    <x v="2"/>
    <x v="184"/>
    <s v="eth1/33"/>
    <x v="0"/>
    <x v="0"/>
    <x v="0"/>
    <s v="VPC_2DCRMP_BDP07_3"/>
    <x v="0"/>
    <b v="0"/>
    <s v="No está en VPC"/>
    <n v="825"/>
    <s v="INTPG_VPC_825_1.33_820_1.33"/>
    <s v="ISEL-1.33"/>
    <n v="1"/>
    <s v="NO TIENE L3OUT"/>
    <n v="72"/>
    <n v="54"/>
  </r>
  <r>
    <n v="800"/>
    <x v="2"/>
    <x v="185"/>
    <s v="eth1/33"/>
    <x v="0"/>
    <x v="0"/>
    <x v="0"/>
    <s v="TO-9S_IVR_IXT3_10518_01"/>
    <x v="0"/>
    <b v="0"/>
    <s v="No está en VPC"/>
    <n v="800"/>
    <s v="INTPG_VPC_800_1.32-35_801_1.32-35"/>
    <s v="ISEL-1.33"/>
    <n v="24"/>
    <s v="NO TIENE L3OUT"/>
    <n v="78"/>
    <n v="54"/>
  </r>
  <r>
    <n v="801"/>
    <x v="2"/>
    <x v="186"/>
    <s v="eth1/33"/>
    <x v="0"/>
    <x v="0"/>
    <x v="0"/>
    <s v="TO-9S_IVR_IXT3_10518_01"/>
    <x v="0"/>
    <b v="0"/>
    <s v="No está en VPC"/>
    <n v="801"/>
    <s v="INTPG_VPC_800_1.32-35_801_1.32-35"/>
    <s v="ISEL-1.33"/>
    <n v="24"/>
    <s v="NO TIENE L3OUT"/>
    <n v="78"/>
    <n v="54"/>
  </r>
  <r>
    <n v="823"/>
    <x v="2"/>
    <x v="187"/>
    <s v="eth1/33"/>
    <x v="0"/>
    <x v="0"/>
    <x v="0"/>
    <s v="LINK_TO_ITHFHWCBSPSWR35 /Slot5.1 /Redundante"/>
    <x v="0"/>
    <b v="0"/>
    <s v="No está en VPC"/>
    <n v="823"/>
    <s v="INTPG_VPC_818_1.33_823_1.33"/>
    <s v="ISEL-1.33"/>
    <n v="1"/>
    <s v="NO TIENE L3OUT"/>
    <n v="8"/>
    <n v="54"/>
  </r>
  <r>
    <n v="837"/>
    <x v="2"/>
    <x v="188"/>
    <s v="eth1/33"/>
    <x v="0"/>
    <x v="0"/>
    <x v="0"/>
    <s v="LINK_To_ITHFHWCBSPSHD19 / Slot1.1_14 / Principal"/>
    <x v="0"/>
    <b v="0"/>
    <s v="No está en VPC"/>
    <n v="837"/>
    <s v="INTPG_VPC_837_1.33_842_1.33"/>
    <s v="ISEL-1.33"/>
    <n v="2"/>
    <s v="NO TIENE L3OUT"/>
    <n v="8"/>
    <n v="54"/>
  </r>
  <r>
    <n v="867"/>
    <x v="2"/>
    <x v="189"/>
    <s v="eth1/33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33"/>
    <x v="0"/>
    <x v="0"/>
    <x v="0"/>
    <s v="To_ITHFHWCRMDLCN46_Principal"/>
    <x v="0"/>
    <b v="0"/>
    <s v="No está en VPC"/>
    <n v="829"/>
    <s v="INTPG_ACC_829_1.33"/>
    <s v="ISEL-1.33"/>
    <n v="6"/>
    <s v="NO TIENE L3OUT"/>
    <n v="224"/>
    <n v="54"/>
  </r>
  <r>
    <n v="831"/>
    <x v="2"/>
    <x v="191"/>
    <s v="eth1/33"/>
    <x v="0"/>
    <x v="0"/>
    <x v="0"/>
    <s v="LINK_TO_ITHFHWCBSDSWR27 /Slot5.1 /Redundante"/>
    <x v="0"/>
    <b v="0"/>
    <s v="No está en VPC"/>
    <n v="831"/>
    <s v="INTPG_VPC_827_1.33_831_1.33"/>
    <s v="ISEL-1.33"/>
    <n v="1"/>
    <s v="NO TIENE L3OUT"/>
    <n v="14"/>
    <n v="54"/>
  </r>
  <r>
    <n v="802"/>
    <x v="2"/>
    <x v="192"/>
    <s v="eth1/33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33"/>
    <x v="0"/>
    <x v="0"/>
    <x v="0"/>
    <s v="LINK_TO_ITHFHWCBSPSHD33 / Slot1.2_18 / Principal"/>
    <x v="0"/>
    <b v="0"/>
    <s v="No está en VPC"/>
    <n v="835"/>
    <s v="INTPG_VPC_835_1.33_840_1.33"/>
    <s v="ISEL-1.33"/>
    <n v="1"/>
    <s v="NO TIENE L3OUT"/>
    <n v="8"/>
    <n v="54"/>
  </r>
  <r>
    <n v="822"/>
    <x v="2"/>
    <x v="194"/>
    <s v="eth1/33"/>
    <x v="0"/>
    <x v="0"/>
    <x v="0"/>
    <s v="LINK_TO_ITHFHWCBSPSUSBD22 /Slot6.2 /Redundante"/>
    <x v="0"/>
    <b v="0"/>
    <s v="No está en VPC"/>
    <n v="822"/>
    <s v="INTPG_VPC_817_1.33_822_1.33"/>
    <s v="ISEL-1.33"/>
    <n v="1"/>
    <s v="NO TIENE L3OUT"/>
    <n v="0"/>
    <n v="54"/>
  </r>
  <r>
    <n v="854"/>
    <x v="2"/>
    <x v="195"/>
    <s v="eth1/33"/>
    <x v="0"/>
    <x v="0"/>
    <x v="0"/>
    <s v="LINK_TO_ITHFHWCRMPLCN176 / Slot1.2_22 / Principal"/>
    <x v="0"/>
    <b v="0"/>
    <s v="No está en VPC"/>
    <n v="854"/>
    <s v="INTPG_ACC_854_1.33"/>
    <s v="ISEL-1.33"/>
    <n v="2"/>
    <s v="NO TIENE L3OUT"/>
    <n v="204"/>
    <n v="54"/>
  </r>
  <r>
    <n v="858"/>
    <x v="2"/>
    <x v="196"/>
    <s v="eth1/33"/>
    <x v="0"/>
    <x v="0"/>
    <x v="0"/>
    <s v="To_VPC_2DCBSD_WR55_3"/>
    <x v="0"/>
    <b v="0"/>
    <s v="No está en VPC"/>
    <n v="858"/>
    <s v="INTPG_VPC_858_1.33_863_1.33"/>
    <s v="ISEL-1.33"/>
    <n v="1"/>
    <s v="NO TIENE L3OUT"/>
    <n v="8"/>
    <n v="54"/>
  </r>
  <r>
    <n v="857"/>
    <x v="2"/>
    <x v="197"/>
    <s v="eth1/33"/>
    <x v="0"/>
    <x v="0"/>
    <x v="0"/>
    <s v="LINKT_TO_ITHFHWCRMPLCN126 / Slot1.2_22 / Principal"/>
    <x v="0"/>
    <b v="0"/>
    <s v="No está en VPC"/>
    <n v="857"/>
    <s v="INTPG_ACC_857_1.33"/>
    <s v="ISEL-1.33"/>
    <n v="2"/>
    <s v="NO TIENE L3OUT"/>
    <n v="288"/>
    <n v="54"/>
  </r>
  <r>
    <n v="859"/>
    <x v="2"/>
    <x v="198"/>
    <s v="eth1/33"/>
    <x v="0"/>
    <x v="0"/>
    <x v="0"/>
    <s v="To_VPC_2DCBSD_WR46_3"/>
    <x v="0"/>
    <b v="0"/>
    <s v="No está en VPC"/>
    <n v="859"/>
    <s v="INTPG_VPC_859_1.33_864_1.33"/>
    <s v="ISEL-1.33"/>
    <n v="1"/>
    <s v="NO TIENE L3OUT"/>
    <n v="0"/>
    <n v="54"/>
  </r>
  <r>
    <n v="833"/>
    <x v="2"/>
    <x v="199"/>
    <s v="eth1/33"/>
    <x v="0"/>
    <x v="0"/>
    <x v="0"/>
    <s v="To_ITHFHWCRMDLCN46_Redundante"/>
    <x v="0"/>
    <b v="0"/>
    <s v="No está en VPC"/>
    <n v="833"/>
    <s v="INTPG_ACC_833_1.33"/>
    <s v="ISEL-1.33"/>
    <n v="6"/>
    <s v="NO TIENE L3OUT"/>
    <n v="224"/>
    <n v="54"/>
  </r>
  <r>
    <n v="818"/>
    <x v="2"/>
    <x v="200"/>
    <s v="eth1/33"/>
    <x v="0"/>
    <x v="0"/>
    <x v="0"/>
    <s v="LINK_TO_ITHFHWCBSPSWR35 /10GE.1 /Principal"/>
    <x v="0"/>
    <b v="0"/>
    <s v="No está en VPC"/>
    <n v="818"/>
    <s v="INTPG_VPC_818_1.33_823_1.33"/>
    <s v="ISEL-1.33"/>
    <n v="1"/>
    <s v="NO TIENE L3OUT"/>
    <n v="8"/>
    <n v="54"/>
  </r>
  <r>
    <n v="850"/>
    <x v="2"/>
    <x v="201"/>
    <s v="eth1/33"/>
    <x v="0"/>
    <x v="0"/>
    <x v="0"/>
    <s v="LINKT_TO_ITHFHWCRMPLCN126 / Slot7.2_22 / Redundante"/>
    <x v="0"/>
    <b v="0"/>
    <s v="No está en VPC"/>
    <n v="850"/>
    <s v="INTPG_ACC_850_1.33"/>
    <s v="ISEL-1.33"/>
    <n v="2"/>
    <s v="NO TIENE L3OUT"/>
    <n v="288"/>
    <n v="54"/>
  </r>
  <r>
    <n v="860"/>
    <x v="2"/>
    <x v="202"/>
    <s v="eth1/33"/>
    <x v="0"/>
    <x v="0"/>
    <x v="0"/>
    <s v="To_VPC_2DCBSD_BD17_3"/>
    <x v="0"/>
    <b v="0"/>
    <s v="No está en VPC"/>
    <n v="860"/>
    <s v="INTPG_VPC_860_1.33_865_1.33"/>
    <s v="ISEL-1.33"/>
    <n v="1"/>
    <s v="NO TIENE L3OUT"/>
    <n v="0"/>
    <n v="54"/>
  </r>
  <r>
    <n v="853"/>
    <x v="2"/>
    <x v="203"/>
    <s v="eth1/33"/>
    <x v="0"/>
    <x v="0"/>
    <x v="0"/>
    <s v="LINK_TO_ITHFHWCRMPLCN82 / Slot7.3_22 / Redundante"/>
    <x v="0"/>
    <b v="0"/>
    <s v="No está en VPC"/>
    <n v="853"/>
    <s v="INTPG_ACC_853_1.33"/>
    <s v="ISEL-1.33"/>
    <n v="1"/>
    <s v="NO TIENE L3OUT"/>
    <n v="242"/>
    <n v="54"/>
  </r>
  <r>
    <n v="790"/>
    <x v="2"/>
    <x v="204"/>
    <s v="eth1/33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33"/>
    <x v="0"/>
    <x v="1"/>
    <x v="1"/>
    <s v="DESC"/>
    <x v="6"/>
    <b v="0"/>
    <s v="No está en VPC"/>
    <n v="105"/>
    <s v="INTPG_PC_105_1.1-4_32-35"/>
    <s v="ISEL-1.33"/>
    <n v="17"/>
    <s v="NO TIENE L3OUT"/>
    <n v="106"/>
    <n v="96"/>
  </r>
  <r>
    <n v="117"/>
    <x v="0"/>
    <x v="206"/>
    <s v="eth1/33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33"/>
    <x v="1"/>
    <x v="1"/>
    <x v="2"/>
    <s v="DESC"/>
    <x v="6"/>
    <b v="0"/>
    <s v="No está en VPC"/>
    <n v="104"/>
    <s v="INTPG_PC_104_1.32-39"/>
    <s v="ISEL-1.33"/>
    <n v="0"/>
    <s v="NO TIENE L3OUT"/>
    <n v="194"/>
    <n v="96"/>
  </r>
  <r>
    <n v="158"/>
    <x v="0"/>
    <x v="208"/>
    <s v="eth1/33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33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33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33"/>
    <x v="1"/>
    <x v="1"/>
    <x v="2"/>
    <m/>
    <x v="6"/>
    <b v="0"/>
    <s v="No está en VPC"/>
    <n v="108"/>
    <s v="INTPG_ACC_108_1.33"/>
    <s v="ISEL-1.33"/>
    <n v="1"/>
    <s v="NO TIENE L3OUT"/>
    <n v="126"/>
    <n v="96"/>
  </r>
  <r>
    <n v="112"/>
    <x v="0"/>
    <x v="212"/>
    <s v="eth1/33"/>
    <x v="0"/>
    <x v="0"/>
    <x v="0"/>
    <s v="SUBEX (Fraud Management)"/>
    <x v="6"/>
    <b v="0"/>
    <s v="No está en VPC"/>
    <n v="112"/>
    <s v="INTPG_ACC_112_1.33"/>
    <s v="ISEL-1.33"/>
    <n v="1"/>
    <s v="NO TIENE L3OUT"/>
    <n v="144"/>
    <n v="96"/>
  </r>
  <r>
    <n v="107"/>
    <x v="0"/>
    <x v="213"/>
    <s v="eth1/33"/>
    <x v="0"/>
    <x v="0"/>
    <x v="0"/>
    <s v="SRM"/>
    <x v="6"/>
    <b v="0"/>
    <s v="No está en VPC"/>
    <n v="107"/>
    <s v="INTPG_ACC_107_1.33"/>
    <s v="ISEL-1.33"/>
    <n v="1"/>
    <s v="NO TIENE L3OUT"/>
    <n v="118"/>
    <n v="96"/>
  </r>
  <r>
    <n v="109"/>
    <x v="0"/>
    <x v="214"/>
    <s v="eth1/33"/>
    <x v="0"/>
    <x v="0"/>
    <x v="0"/>
    <s v="IXT01PP, IXT02PP, IXT05PP"/>
    <x v="6"/>
    <b v="0"/>
    <s v="No está en VPC"/>
    <n v="109"/>
    <s v="INTPG_ACC_109_1.33"/>
    <s v="ISEL-1.33"/>
    <n v="1"/>
    <s v="NO TIENE L3OUT"/>
    <n v="126"/>
    <n v="96"/>
  </r>
  <r>
    <n v="113"/>
    <x v="0"/>
    <x v="215"/>
    <s v="eth1/33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33"/>
    <x v="1"/>
    <x v="1"/>
    <x v="2"/>
    <s v="CHARGING SYSTEM"/>
    <x v="6"/>
    <b v="0"/>
    <s v="No está en VPC"/>
    <n v="114"/>
    <s v="INTPG_ACC_114_1.33"/>
    <s v="ISEL-1.33"/>
    <n v="1"/>
    <s v="NO TIENE L3OUT"/>
    <n v="144"/>
    <n v="96"/>
  </r>
  <r>
    <n v="124"/>
    <x v="0"/>
    <x v="217"/>
    <s v="eth1/33"/>
    <x v="0"/>
    <x v="0"/>
    <x v="0"/>
    <s v="ixtossgw1"/>
    <x v="6"/>
    <b v="0"/>
    <s v="No está en VPC"/>
    <n v="124"/>
    <s v="INTPG_ACC_124_1.33"/>
    <s v="ISEL-1.33"/>
    <n v="1"/>
    <s v="NO TIENE L3OUT"/>
    <n v="80"/>
    <n v="96"/>
  </r>
  <r>
    <n v="118"/>
    <x v="0"/>
    <x v="218"/>
    <s v="eth1/33"/>
    <x v="0"/>
    <x v="0"/>
    <x v="0"/>
    <s v="INGE6"/>
    <x v="6"/>
    <b v="0"/>
    <s v="No está en VPC"/>
    <n v="118"/>
    <s v="INTPG_ACC_118_1.33"/>
    <s v="ISEL-1.33"/>
    <n v="1"/>
    <s v="NO TIENE L3OUT"/>
    <n v="180"/>
    <n v="96"/>
  </r>
  <r>
    <n v="159"/>
    <x v="0"/>
    <x v="219"/>
    <s v="eth1/33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33"/>
    <x v="0"/>
    <x v="0"/>
    <x v="0"/>
    <s v="LINK_TO_ITHFHWCBSPSHD33 / Slot7.2_18 / Redundante"/>
    <x v="0"/>
    <b v="0"/>
    <s v="No está en VPC"/>
    <n v="840"/>
    <s v="INTPG_VPC_835_1.33_840_1.33"/>
    <s v="ISEL-1.33"/>
    <n v="1"/>
    <s v="NO TIENE L3OUT"/>
    <n v="8"/>
    <n v="54"/>
  </r>
  <r>
    <n v="856"/>
    <x v="2"/>
    <x v="221"/>
    <s v="eth1/33"/>
    <x v="0"/>
    <x v="0"/>
    <x v="0"/>
    <s v="LINK_TO_ITHFHWCRMPLCN145 / Slot1.2_24 / Principal"/>
    <x v="0"/>
    <b v="0"/>
    <s v="No está en VPC"/>
    <n v="856"/>
    <s v="INTPG_ACC_856_1.33"/>
    <s v="ISEL-1.33"/>
    <n v="2"/>
    <s v="NO TIENE L3OUT"/>
    <n v="286"/>
    <n v="54"/>
  </r>
  <r>
    <n v="110"/>
    <x v="0"/>
    <x v="222"/>
    <s v="eth1/33"/>
    <x v="0"/>
    <x v="0"/>
    <x v="0"/>
    <m/>
    <x v="6"/>
    <b v="0"/>
    <s v="No está en VPC"/>
    <n v="110"/>
    <s v="INTPG_ACC_110_1.33"/>
    <s v="ISEL-1.33"/>
    <n v="1"/>
    <s v="NO TIENE L3OUT"/>
    <n v="102"/>
    <n v="96"/>
  </r>
  <r>
    <n v="163"/>
    <x v="0"/>
    <x v="223"/>
    <s v="eth1/33"/>
    <x v="0"/>
    <x v="0"/>
    <x v="0"/>
    <s v="VIRTUAL_MACHINE_SGH250HXW4_CLIENT1"/>
    <x v="6"/>
    <b v="0"/>
    <s v="No está en VPC"/>
    <n v="163"/>
    <s v="INTPG_VPC_161_1.70_163_1.33"/>
    <s v="ISEL-1.33"/>
    <n v="1"/>
    <s v="NO TIENE L3OUT"/>
    <n v="140"/>
    <n v="96"/>
  </r>
  <r>
    <n v="407"/>
    <x v="1"/>
    <x v="224"/>
    <s v="eth1/33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33"/>
    <x v="0"/>
    <x v="1"/>
    <x v="1"/>
    <s v="netqosSDS04_ilom"/>
    <x v="6"/>
    <b v="0"/>
    <s v="No está en VPC"/>
    <n v="171"/>
    <s v="INTPG_ACC_171_1.33"/>
    <s v="ISEL-1.33"/>
    <n v="1"/>
    <s v="NO TIENE L3OUT"/>
    <n v="114"/>
    <n v="96"/>
  </r>
  <r>
    <n v="421"/>
    <x v="1"/>
    <x v="226"/>
    <s v="eth1/33"/>
    <x v="0"/>
    <x v="1"/>
    <x v="1"/>
    <s v="VTA_uxvta072_NETMGT"/>
    <x v="6"/>
    <b v="0"/>
    <s v="No está en VPC"/>
    <n v="421"/>
    <s v="INTPG_ACC_421_1.33"/>
    <s v="ISEL-1.33"/>
    <n v="1"/>
    <s v="NO TIENE L3OUT"/>
    <n v="72"/>
    <n v="96"/>
  </r>
  <r>
    <n v="173"/>
    <x v="0"/>
    <x v="227"/>
    <s v="eth1/33"/>
    <x v="0"/>
    <x v="1"/>
    <x v="1"/>
    <s v="ENIQ_1"/>
    <x v="6"/>
    <b v="0"/>
    <s v="No está en VPC"/>
    <n v="173"/>
    <s v="INTPG_PC_173_1.28-33"/>
    <s v="ISEL-1.33"/>
    <n v="3"/>
    <s v="NO TIENE L3OUT"/>
    <n v="66"/>
    <n v="96"/>
  </r>
  <r>
    <n v="154"/>
    <x v="0"/>
    <x v="228"/>
    <s v="eth1/33"/>
    <x v="0"/>
    <x v="0"/>
    <x v="0"/>
    <s v="POLYVIEW_SERVIDOR"/>
    <x v="6"/>
    <b v="0"/>
    <s v="No está en VPC"/>
    <n v="154"/>
    <s v="INTPG_ACC_154_1.33"/>
    <s v="ISEL-1.33"/>
    <n v="1"/>
    <s v="NO TIENE L3OUT"/>
    <n v="62"/>
    <n v="96"/>
  </r>
  <r>
    <n v="172"/>
    <x v="0"/>
    <x v="229"/>
    <s v="eth1/33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33"/>
    <x v="0"/>
    <x v="0"/>
    <x v="0"/>
    <s v="TO-ITHFDEOCP1LWR04-PRINCIPAL"/>
    <x v="6"/>
    <b v="0"/>
    <s v="No está en VPC"/>
    <n v="420"/>
    <s v="INTPG_ACC_420_1.33"/>
    <s v="ISEL-1.33"/>
    <n v="1"/>
    <s v="NO TIENE L3OUT"/>
    <n v="158"/>
    <n v="96"/>
  </r>
  <r>
    <n v="423"/>
    <x v="1"/>
    <x v="231"/>
    <s v="eth1/33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33"/>
    <x v="0"/>
    <x v="0"/>
    <x v="0"/>
    <s v="To-uxingemc2 ldom 1  uxsmart01"/>
    <x v="6"/>
    <b v="0"/>
    <s v="No está en VPC"/>
    <n v="415"/>
    <s v="INTPG_ACC_415_1.33"/>
    <s v="ISEL-1.33"/>
    <n v="1"/>
    <s v="NO TIENE L3OUT"/>
    <n v="52"/>
    <n v="96"/>
  </r>
  <r>
    <n v="102"/>
    <x v="0"/>
    <x v="233"/>
    <s v="eth1/33"/>
    <x v="0"/>
    <x v="1"/>
    <x v="1"/>
    <s v="SFLDI:RLDICDR04:1"/>
    <x v="6"/>
    <b v="0"/>
    <s v="No está en VPC"/>
    <n v="102"/>
    <s v="INTPG_ACC_102_1.33"/>
    <s v="ISEL-1.33"/>
    <n v="1"/>
    <s v="NO TIENE L3OUT"/>
    <n v="228"/>
    <n v="96"/>
  </r>
  <r>
    <n v="863"/>
    <x v="2"/>
    <x v="234"/>
    <s v="eth1/33"/>
    <x v="0"/>
    <x v="0"/>
    <x v="0"/>
    <s v="To_VPC_2DCBSD_WR55_3"/>
    <x v="0"/>
    <b v="0"/>
    <s v="No está en VPC"/>
    <n v="863"/>
    <s v="INTPG_VPC_858_1.33_863_1.33"/>
    <s v="ISEL-1.33"/>
    <n v="1"/>
    <s v="NO TIENE L3OUT"/>
    <n v="8"/>
    <n v="54"/>
  </r>
  <r>
    <n v="876"/>
    <x v="2"/>
    <x v="235"/>
    <s v="eth1/33"/>
    <x v="0"/>
    <x v="0"/>
    <x v="0"/>
    <s v="A_ITHFHWSEQLDPS05_Principal"/>
    <x v="4"/>
    <b v="0"/>
    <s v="No está en VPC"/>
    <n v="876"/>
    <s v="INTPG_ACC_876_1.33"/>
    <s v="ISEL-1.33"/>
    <n v="1"/>
    <s v="NO TIENE L3OUT"/>
    <n v="92"/>
    <n v="54"/>
  </r>
  <r>
    <n v="877"/>
    <x v="2"/>
    <x v="236"/>
    <s v="eth1/33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33"/>
    <x v="0"/>
    <x v="0"/>
    <x v="0"/>
    <s v="IXTRTC5"/>
    <x v="6"/>
    <b v="0"/>
    <s v="No está en VPC"/>
    <n v="122"/>
    <s v="INTPG_ACC_122_1.33"/>
    <s v="ISEL-1.33"/>
    <n v="1"/>
    <s v="NO TIENE L3OUT"/>
    <n v="148"/>
    <n v="96"/>
  </r>
  <r>
    <n v="157"/>
    <x v="0"/>
    <x v="238"/>
    <s v="eth1/33"/>
    <x v="0"/>
    <x v="0"/>
    <x v="0"/>
    <s v="SNA TEST BED"/>
    <x v="6"/>
    <b v="0"/>
    <s v="No está en VPC"/>
    <n v="157"/>
    <s v="INTPG_ACC_157_1.33"/>
    <s v="ISEL-1.33"/>
    <n v="0"/>
    <s v="L3OUT-SNA-IPCORP-A20"/>
    <n v="202"/>
    <n v="96"/>
  </r>
  <r>
    <n v="408"/>
    <x v="1"/>
    <x v="239"/>
    <s v="eth1/33"/>
    <x v="0"/>
    <x v="0"/>
    <x v="0"/>
    <s v="WMS101"/>
    <x v="6"/>
    <b v="0"/>
    <s v="No está en VPC"/>
    <n v="408"/>
    <s v="INTPG_ACC_408_1.33"/>
    <s v="ISEL-1.33"/>
    <n v="1"/>
    <s v="NO TIENE L3OUT"/>
    <n v="152"/>
    <n v="96"/>
  </r>
  <r>
    <n v="405"/>
    <x v="1"/>
    <x v="240"/>
    <s v="eth1/33"/>
    <x v="0"/>
    <x v="0"/>
    <x v="0"/>
    <s v="IXT_ARIESO7_LDR6"/>
    <x v="6"/>
    <b v="0"/>
    <s v="No está en VPC"/>
    <n v="405"/>
    <s v="INTPG_ACC_405_1.33"/>
    <s v="ISEL-1.33"/>
    <n v="1"/>
    <s v="NO TIENE L3OUT"/>
    <n v="138"/>
    <n v="96"/>
  </r>
  <r>
    <n v="169"/>
    <x v="0"/>
    <x v="241"/>
    <s v="eth1/33"/>
    <x v="0"/>
    <x v="0"/>
    <x v="0"/>
    <s v="TO-ITHFDENBURBKP02(IXTFDLBKP5RAP)-PRINCIPAL"/>
    <x v="6"/>
    <b v="0"/>
    <s v="No está en VPC"/>
    <n v="169"/>
    <s v="INTPG_ACC_169_1.33"/>
    <s v="ISEL-1.33"/>
    <n v="1"/>
    <s v="NO TIENE L3OUT"/>
    <n v="76"/>
    <n v="96"/>
  </r>
  <r>
    <n v="165"/>
    <x v="0"/>
    <x v="242"/>
    <s v="eth1/33"/>
    <x v="0"/>
    <x v="0"/>
    <x v="0"/>
    <s v="NPG_DOC"/>
    <x v="6"/>
    <b v="0"/>
    <s v="No está en VPC"/>
    <n v="165"/>
    <s v="INTPG_ACC_165_1.33"/>
    <s v="ISEL-1.33"/>
    <n v="1"/>
    <s v="NO TIENE L3OUT"/>
    <n v="86"/>
    <n v="96"/>
  </r>
  <r>
    <n v="417"/>
    <x v="1"/>
    <x v="243"/>
    <s v="eth1/33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33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33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33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33"/>
    <x v="0"/>
    <x v="1"/>
    <x v="1"/>
    <s v="EHEALTH:ehealthp07:NET01"/>
    <x v="6"/>
    <b v="0"/>
    <s v="No está en VPC"/>
    <n v="103"/>
    <s v="INTPG_ACC_103_1.33"/>
    <s v="ISEL-1.33"/>
    <n v="1"/>
    <s v="NO TIENE L3OUT"/>
    <n v="70"/>
    <n v="96"/>
  </r>
  <r>
    <n v="438"/>
    <x v="1"/>
    <x v="248"/>
    <s v="eth1/33"/>
    <x v="0"/>
    <x v="0"/>
    <x v="0"/>
    <s v="DESC"/>
    <x v="6"/>
    <b v="0"/>
    <s v="No está en VPC"/>
    <n v="438"/>
    <s v="INTPG_PC_438_1.30-35"/>
    <s v="ISEL-1.33"/>
    <n v="7"/>
    <s v="NO TIENE L3OUT"/>
    <n v="170"/>
    <n v="96"/>
  </r>
  <r>
    <n v="406"/>
    <x v="1"/>
    <x v="249"/>
    <s v="eth1/33"/>
    <x v="1"/>
    <x v="1"/>
    <x v="2"/>
    <s v="DESC"/>
    <x v="6"/>
    <b v="0"/>
    <s v="No está en VPC"/>
    <n v="406"/>
    <s v="INTPG_PC_406_1.31-34"/>
    <s v="ISEL-1.33"/>
    <n v="4"/>
    <s v="NO TIENE L3OUT"/>
    <n v="82"/>
    <n v="96"/>
  </r>
  <r>
    <n v="414"/>
    <x v="1"/>
    <x v="250"/>
    <s v="eth1/33"/>
    <x v="0"/>
    <x v="0"/>
    <x v="0"/>
    <s v="PAPERLES_ITHFNETSW1_PTO1"/>
    <x v="6"/>
    <b v="0"/>
    <s v="No está en VPC"/>
    <n v="414"/>
    <s v="INTPG_ACC_414_1.33"/>
    <s v="ISEL-1.33"/>
    <n v="1"/>
    <s v="NO TIENE L3OUT"/>
    <n v="144"/>
    <n v="96"/>
  </r>
  <r>
    <n v="416"/>
    <x v="1"/>
    <x v="251"/>
    <s v="eth1/33"/>
    <x v="0"/>
    <x v="1"/>
    <x v="1"/>
    <s v="DESC"/>
    <x v="6"/>
    <b v="0"/>
    <s v="No está en VPC"/>
    <n v="416"/>
    <s v="INTPG_PC_416_1.32-39"/>
    <s v="ISEL-1.33"/>
    <n v="8"/>
    <s v="NO TIENE L3OUT"/>
    <n v="110"/>
    <n v="96"/>
  </r>
  <r>
    <n v="418"/>
    <x v="1"/>
    <x v="252"/>
    <s v="eth1/33"/>
    <x v="0"/>
    <x v="1"/>
    <x v="1"/>
    <s v="DESC"/>
    <x v="6"/>
    <b v="0"/>
    <s v="No está en VPC"/>
    <n v="418"/>
    <s v="INTPG_PC_418_1.32-39"/>
    <s v="ISEL-1.33"/>
    <n v="8"/>
    <s v="NO TIENE L3OUT"/>
    <n v="152"/>
    <n v="96"/>
  </r>
  <r>
    <n v="413"/>
    <x v="1"/>
    <x v="253"/>
    <s v="eth1/33"/>
    <x v="0"/>
    <x v="0"/>
    <x v="0"/>
    <s v="MEDIACION_HUAWEI_IMANA_1"/>
    <x v="6"/>
    <b v="0"/>
    <s v="No está en VPC"/>
    <n v="413"/>
    <s v="INTPG_ACC_413_1.33"/>
    <s v="ISEL-1.33"/>
    <n v="1"/>
    <s v="NO TIENE L3OUT"/>
    <n v="126"/>
    <n v="96"/>
  </r>
  <r>
    <n v="403"/>
    <x v="1"/>
    <x v="254"/>
    <s v="eth1/33"/>
    <x v="0"/>
    <x v="0"/>
    <x v="0"/>
    <s v="IXT_ARIESO7_LDR6"/>
    <x v="6"/>
    <b v="0"/>
    <s v="No está en VPC"/>
    <n v="403"/>
    <s v="INTPG_ACC_403_1.33"/>
    <s v="ISEL-1.33"/>
    <n v="1"/>
    <s v="NO TIENE L3OUT"/>
    <n v="150"/>
    <n v="96"/>
  </r>
  <r>
    <n v="125"/>
    <x v="0"/>
    <x v="255"/>
    <s v="eth1/33"/>
    <x v="0"/>
    <x v="0"/>
    <x v="0"/>
    <s v="ixtossgwkvm"/>
    <x v="6"/>
    <b v="0"/>
    <s v="No está en VPC"/>
    <n v="125"/>
    <s v="INTPG_ACC_125_1.33"/>
    <s v="ISEL-1.33"/>
    <n v="1"/>
    <s v="NO TIENE L3OUT"/>
    <n v="72"/>
    <n v="96"/>
  </r>
  <r>
    <n v="166"/>
    <x v="0"/>
    <x v="256"/>
    <s v="eth1/33"/>
    <x v="0"/>
    <x v="0"/>
    <x v="0"/>
    <s v="NOMINA_rhadm"/>
    <x v="6"/>
    <b v="0"/>
    <s v="No está en VPC"/>
    <n v="166"/>
    <s v="INTPG_ACC_166_1.33"/>
    <s v="ISEL-1.33"/>
    <n v="1"/>
    <s v="NO TIENE L3OUT"/>
    <n v="84"/>
    <n v="96"/>
  </r>
  <r>
    <n v="111"/>
    <x v="0"/>
    <x v="257"/>
    <s v="eth1/33"/>
    <x v="0"/>
    <x v="0"/>
    <x v="0"/>
    <s v="SERVIDOR BKP-VNX"/>
    <x v="6"/>
    <b v="0"/>
    <s v="No está en VPC"/>
    <n v="111"/>
    <s v="INTPG_ACC_111_1.33"/>
    <s v="ISEL-1.33"/>
    <n v="1"/>
    <s v="NO TIENE L3OUT"/>
    <n v="58"/>
    <n v="96"/>
  </r>
  <r>
    <n v="115"/>
    <x v="0"/>
    <x v="258"/>
    <s v="eth1/33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33"/>
    <x v="0"/>
    <x v="0"/>
    <x v="0"/>
    <m/>
    <x v="6"/>
    <b v="0"/>
    <s v="No está en VPC"/>
    <n v="106"/>
    <s v="INTPG_ACC_106_1.33"/>
    <s v="ISEL-1.33"/>
    <n v="1"/>
    <s v="NO TIENE L3OUT"/>
    <n v="122"/>
    <n v="96"/>
  </r>
  <r>
    <n v="126"/>
    <x v="0"/>
    <x v="260"/>
    <s v="eth1/33"/>
    <x v="0"/>
    <x v="0"/>
    <x v="0"/>
    <s v="ENIQ"/>
    <x v="6"/>
    <b v="0"/>
    <s v="No está en VPC"/>
    <n v="126"/>
    <s v="INTPG_ACC_126_1.33"/>
    <s v="ISEL-1.33"/>
    <n v="1"/>
    <s v="NO TIENE L3OUT"/>
    <n v="54"/>
    <n v="96"/>
  </r>
  <r>
    <n v="425"/>
    <x v="1"/>
    <x v="261"/>
    <s v="eth1/33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33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33"/>
    <x v="0"/>
    <x v="0"/>
    <x v="0"/>
    <s v="DESC"/>
    <x v="6"/>
    <b v="0"/>
    <s v="No está en VPC"/>
    <n v="430"/>
    <s v="INTPG_PC_430_1.33-34"/>
    <s v="ISEL-1.33"/>
    <n v="1"/>
    <s v="NO TIENE L3OUT"/>
    <n v="86"/>
    <n v="96"/>
  </r>
  <r>
    <n v="419"/>
    <x v="1"/>
    <x v="264"/>
    <s v="eth1/33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33"/>
    <x v="0"/>
    <x v="0"/>
    <x v="0"/>
    <s v="RED CRICKET"/>
    <x v="6"/>
    <b v="0"/>
    <s v="No está en VPC"/>
    <n v="155"/>
    <s v="INTPG_ACC_155_1.33"/>
    <s v="ISEL-1.33"/>
    <n v="1"/>
    <s v="NO TIENE L3OUT"/>
    <n v="198"/>
    <n v="96"/>
  </r>
  <r>
    <n v="409"/>
    <x v="1"/>
    <x v="266"/>
    <s v="eth1/33"/>
    <x v="0"/>
    <x v="0"/>
    <x v="0"/>
    <s v="Uxcppnal_ilo"/>
    <x v="6"/>
    <b v="0"/>
    <s v="No está en VPC"/>
    <n v="409"/>
    <s v="INTPG_ACC_409_1.33"/>
    <s v="ISEL-1.33"/>
    <n v="1"/>
    <s v="NO TIENE L3OUT"/>
    <n v="128"/>
    <n v="96"/>
  </r>
  <r>
    <n v="422"/>
    <x v="1"/>
    <x v="267"/>
    <s v="eth1/33"/>
    <x v="0"/>
    <x v="0"/>
    <x v="0"/>
    <s v="IXTSD971B"/>
    <x v="6"/>
    <b v="0"/>
    <s v="No está en VPC"/>
    <n v="422"/>
    <s v="INTPG_ACC_422_1.33"/>
    <s v="ISEL-1.33"/>
    <n v="1"/>
    <s v="NO TIENE L3OUT"/>
    <n v="182"/>
    <n v="96"/>
  </r>
  <r>
    <n v="436"/>
    <x v="1"/>
    <x v="268"/>
    <s v="eth1/33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33"/>
    <x v="1"/>
    <x v="1"/>
    <x v="2"/>
    <m/>
    <x v="6"/>
    <b v="0"/>
    <s v="No está en VPC"/>
    <n v="410"/>
    <s v="NO EXISTE PG"/>
    <s v="NO EXISTE ISEL"/>
    <n v="0"/>
    <s v="NO TIENE L3OUT"/>
    <n v="178"/>
    <n v="96"/>
  </r>
  <r>
    <n v="161"/>
    <x v="0"/>
    <x v="270"/>
    <s v="eth1/33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33"/>
    <x v="0"/>
    <x v="0"/>
    <x v="0"/>
    <s v="lagidmhlapvp10_produccion1"/>
    <x v="6"/>
    <b v="0"/>
    <s v="No está en VPC"/>
    <n v="411"/>
    <s v="INTPG_VPC_411_1.31-34_413_1.24-27"/>
    <s v="ISEL-1.33"/>
    <n v="2"/>
    <s v="NO TIENE L3OUT"/>
    <n v="96"/>
    <n v="96"/>
  </r>
  <r>
    <n v="116"/>
    <x v="0"/>
    <x v="272"/>
    <s v="eth1/33"/>
    <x v="0"/>
    <x v="0"/>
    <x v="0"/>
    <s v="INGE6"/>
    <x v="6"/>
    <b v="0"/>
    <s v="No está en VPC"/>
    <n v="116"/>
    <s v="INTPG_ACC_116_1.33"/>
    <s v="ISEL-1.33"/>
    <n v="1"/>
    <s v="NO TIENE L3OUT"/>
    <n v="148"/>
    <n v="96"/>
  </r>
  <r>
    <n v="412"/>
    <x v="1"/>
    <x v="273"/>
    <s v="eth1/33"/>
    <x v="0"/>
    <x v="0"/>
    <x v="0"/>
    <s v="FS101"/>
    <x v="6"/>
    <b v="0"/>
    <s v="No está en VPC"/>
    <n v="412"/>
    <s v="INTPG_ACC_412_1.33"/>
    <s v="ISEL-1.33"/>
    <n v="1"/>
    <s v="NO TIENE L3OUT"/>
    <n v="126"/>
    <n v="96"/>
  </r>
  <r>
    <n v="120"/>
    <x v="0"/>
    <x v="274"/>
    <s v="eth1/33"/>
    <x v="0"/>
    <x v="0"/>
    <x v="0"/>
    <s v="IXTRTC5"/>
    <x v="6"/>
    <b v="0"/>
    <s v="No está en VPC"/>
    <n v="120"/>
    <s v="INTPG_ACC_120_1.33"/>
    <s v="ISEL-1.33"/>
    <n v="1"/>
    <s v="NO TIENE L3OUT"/>
    <n v="158"/>
    <n v="96"/>
  </r>
  <r>
    <n v="404"/>
    <x v="1"/>
    <x v="275"/>
    <s v="eth1/33"/>
    <x v="0"/>
    <x v="0"/>
    <x v="0"/>
    <s v="DESC"/>
    <x v="6"/>
    <b v="0"/>
    <s v="No está en VPC"/>
    <n v="404"/>
    <s v="INTPG_PC_404_1.31-34"/>
    <s v="ISEL-1.33"/>
    <n v="4"/>
    <s v="NO TIENE L3OUT"/>
    <n v="92"/>
    <n v="96"/>
  </r>
  <r>
    <n v="167"/>
    <x v="0"/>
    <x v="276"/>
    <s v="eth1/33"/>
    <x v="0"/>
    <x v="0"/>
    <x v="0"/>
    <s v="RBT"/>
    <x v="6"/>
    <b v="0"/>
    <s v="No está en VPC"/>
    <n v="167"/>
    <s v="INTPG_VPC_167_1.1_33_169_1.3_24"/>
    <s v="ISEL-1.33"/>
    <n v="3"/>
    <s v="NO TIENE L3OUT"/>
    <n v="68"/>
    <n v="96"/>
  </r>
  <r>
    <n v="428"/>
    <x v="1"/>
    <x v="277"/>
    <s v="eth1/33"/>
    <x v="0"/>
    <x v="0"/>
    <x v="0"/>
    <s v="DESC"/>
    <x v="6"/>
    <b v="0"/>
    <s v="No está en VPC"/>
    <n v="428"/>
    <s v="INTPG_PC_428_1.33-34"/>
    <s v="ISEL-1.33"/>
    <n v="1"/>
    <s v="NO TIENE L3OUT"/>
    <n v="102"/>
    <n v="96"/>
  </r>
  <r>
    <n v="128"/>
    <x v="0"/>
    <x v="0"/>
    <s v="eth1/34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34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34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34"/>
    <x v="0"/>
    <x v="1"/>
    <x v="3"/>
    <m/>
    <x v="0"/>
    <b v="0"/>
    <s v="No está en VPC"/>
    <n v="101"/>
    <s v="NO EXISTE PG"/>
    <s v="NO EXISTE ISEL"/>
    <n v="0"/>
    <s v="NO TIENE L3OUT"/>
    <n v="114"/>
    <n v="54"/>
  </r>
  <r>
    <n v="160"/>
    <x v="0"/>
    <x v="4"/>
    <s v="eth1/34"/>
    <x v="0"/>
    <x v="1"/>
    <x v="1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34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34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34"/>
    <x v="0"/>
    <x v="1"/>
    <x v="3"/>
    <m/>
    <x v="0"/>
    <b v="0"/>
    <s v="No está en VPC"/>
    <n v="401"/>
    <s v="NO EXISTE PG"/>
    <s v="NO EXISTE ISEL"/>
    <n v="0"/>
    <s v="NO TIENE L3OUT"/>
    <n v="40"/>
    <n v="54"/>
  </r>
  <r>
    <n v="402"/>
    <x v="1"/>
    <x v="8"/>
    <s v="eth1/34"/>
    <x v="0"/>
    <x v="0"/>
    <x v="0"/>
    <s v="DESC"/>
    <x v="0"/>
    <b v="0"/>
    <s v="No está en VPC"/>
    <n v="402"/>
    <s v="INTPG_PC_402_1.34-36"/>
    <s v="ISEL-1.34"/>
    <n v="1"/>
    <s v="NO TIENE L3OUT"/>
    <n v="36"/>
    <n v="54"/>
  </r>
  <r>
    <n v="447"/>
    <x v="1"/>
    <x v="9"/>
    <s v="eth1/34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34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34"/>
    <x v="0"/>
    <x v="0"/>
    <x v="0"/>
    <s v="LAG-smt-comp-05"/>
    <x v="0"/>
    <b v="0"/>
    <s v="No está en VPC"/>
    <n v="130"/>
    <s v="INTPG_VPC_130_1.34-35_131_1.34-35"/>
    <s v="ISEL-1.34"/>
    <n v="4"/>
    <s v="NO TIENE L3OUT"/>
    <n v="128"/>
    <n v="54"/>
  </r>
  <r>
    <n v="150"/>
    <x v="0"/>
    <x v="12"/>
    <s v="eth1/34"/>
    <x v="0"/>
    <x v="1"/>
    <x v="3"/>
    <m/>
    <x v="0"/>
    <b v="0"/>
    <s v="No está en VPC"/>
    <n v="150"/>
    <s v="NO EXISTE PG"/>
    <s v="NO EXISTE ISEL"/>
    <n v="0"/>
    <s v="NO TIENE L3OUT"/>
    <n v="118"/>
    <n v="54"/>
  </r>
  <r>
    <n v="131"/>
    <x v="0"/>
    <x v="13"/>
    <s v="eth1/34"/>
    <x v="0"/>
    <x v="0"/>
    <x v="0"/>
    <s v="LAG-smt-comp-05"/>
    <x v="0"/>
    <b v="0"/>
    <s v="No está en VPC"/>
    <n v="131"/>
    <s v="INTPG_VPC_130_1.34-35_131_1.34-35"/>
    <s v="ISEL-1.34"/>
    <n v="4"/>
    <s v="NO TIENE L3OUT"/>
    <n v="126"/>
    <n v="54"/>
  </r>
  <r>
    <n v="758"/>
    <x v="2"/>
    <x v="15"/>
    <s v="eth1/34"/>
    <x v="0"/>
    <x v="1"/>
    <x v="3"/>
    <s v="LINK_HACIA_MGMT"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34"/>
    <x v="0"/>
    <x v="1"/>
    <x v="3"/>
    <s v="LINK_HACIA_MGMT"/>
    <x v="2"/>
    <b v="0"/>
    <s v="No está en VPC"/>
    <n v="759"/>
    <s v="NO EXISTE PG"/>
    <s v="NO EXISTE ISEL"/>
    <n v="0"/>
    <s v="NO TIENE L3OUT"/>
    <n v="0"/>
    <n v="42"/>
  </r>
  <r>
    <n v="424"/>
    <x v="1"/>
    <x v="18"/>
    <s v="eth1/34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34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34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34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34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34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34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34"/>
    <x v="1"/>
    <x v="1"/>
    <x v="3"/>
    <m/>
    <x v="0"/>
    <b v="0"/>
    <s v="No está en VPC"/>
    <n v="431"/>
    <s v="NO EXISTE PG"/>
    <s v="NO EXISTE ISEL"/>
    <n v="0"/>
    <s v="NO TIENE L3OUT"/>
    <n v="46"/>
    <n v="54"/>
  </r>
  <r>
    <n v="433"/>
    <x v="1"/>
    <x v="27"/>
    <s v="eth1/34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34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34"/>
    <x v="0"/>
    <x v="1"/>
    <x v="1"/>
    <s v="GESTION-PRUEBAS"/>
    <x v="1"/>
    <b v="0"/>
    <s v="No está en VPC"/>
    <n v="432"/>
    <s v="INTPG_ACC_432_1.34"/>
    <s v="ISEL-1.34"/>
    <n v="1"/>
    <s v="NO TIENE L3OUT"/>
    <n v="54"/>
    <n v="54"/>
  </r>
  <r>
    <n v="442"/>
    <x v="1"/>
    <x v="30"/>
    <s v="eth1/34"/>
    <x v="0"/>
    <x v="0"/>
    <x v="0"/>
    <s v="bmc_ithhwc3c2288h3_SECUNDARIO"/>
    <x v="1"/>
    <b v="0"/>
    <s v="No está en VPC"/>
    <n v="442"/>
    <s v="INTPG_ACC_442_1.34"/>
    <s v="ISEL-1.34"/>
    <n v="1"/>
    <s v="NO TIENE L3OUT"/>
    <n v="18"/>
    <n v="54"/>
  </r>
  <r>
    <n v="434"/>
    <x v="1"/>
    <x v="31"/>
    <s v="eth1/34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34"/>
    <x v="0"/>
    <x v="1"/>
    <x v="3"/>
    <s v="CEM_HADOOP"/>
    <x v="0"/>
    <b v="0"/>
    <s v="No está en VPC"/>
    <n v="707"/>
    <s v="INTPG_ACC_707_1.34"/>
    <s v="ISEL-1.34"/>
    <n v="1"/>
    <s v="NO TIENE L3OUT"/>
    <n v="54"/>
    <n v="54"/>
  </r>
  <r>
    <n v="712"/>
    <x v="2"/>
    <x v="33"/>
    <s v="eth1/34"/>
    <x v="0"/>
    <x v="1"/>
    <x v="3"/>
    <m/>
    <x v="0"/>
    <b v="0"/>
    <s v="No está en VPC"/>
    <n v="712"/>
    <s v="INTPG_VPC_713_1.33_712_1.34"/>
    <s v="ISEL-1.34"/>
    <n v="0"/>
    <s v="NO TIENE L3OUT"/>
    <n v="32"/>
    <n v="54"/>
  </r>
  <r>
    <n v="719"/>
    <x v="2"/>
    <x v="34"/>
    <s v="eth1/34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34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34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34"/>
    <x v="0"/>
    <x v="1"/>
    <x v="5"/>
    <s v="CEM:ITHCEMD2APT17:LOM  P2"/>
    <x v="0"/>
    <b v="0"/>
    <s v="No está en VPC"/>
    <n v="711"/>
    <s v="INTPG_VPC_710_1.33_711_1.34"/>
    <s v="ISEL-1.34"/>
    <n v="1"/>
    <s v="NO TIENE L3OUT"/>
    <n v="16"/>
    <n v="54"/>
  </r>
  <r>
    <n v="716"/>
    <x v="2"/>
    <x v="38"/>
    <s v="eth1/34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34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34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34"/>
    <x v="0"/>
    <x v="0"/>
    <x v="0"/>
    <s v="Proyecto Arieso"/>
    <x v="0"/>
    <b v="0"/>
    <s v="No está en VPC"/>
    <n v="446"/>
    <s v="INTPG_VPC_444_1.33-36_446_1.33-36"/>
    <s v="ISEL-1.34"/>
    <n v="19"/>
    <s v="NO TIENE L3OUT"/>
    <n v="198"/>
    <n v="54"/>
  </r>
  <r>
    <n v="444"/>
    <x v="1"/>
    <x v="42"/>
    <s v="eth1/34"/>
    <x v="0"/>
    <x v="0"/>
    <x v="0"/>
    <s v="Proyecto Arieso"/>
    <x v="0"/>
    <b v="0"/>
    <s v="No está en VPC"/>
    <n v="444"/>
    <s v="INTPG_VPC_444_1.33-36_446_1.33-36"/>
    <s v="ISEL-1.34"/>
    <n v="19"/>
    <s v="NO TIENE L3OUT"/>
    <n v="234"/>
    <n v="54"/>
  </r>
  <r>
    <n v="701"/>
    <x v="2"/>
    <x v="43"/>
    <s v="eth1/34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34"/>
    <x v="0"/>
    <x v="0"/>
    <x v="0"/>
    <s v="bmc_ithhwc3c2288h2_PRINCIPAL"/>
    <x v="1"/>
    <b v="0"/>
    <s v="No está en VPC"/>
    <n v="440"/>
    <s v="INTPG_ACC_440_1.34"/>
    <s v="ISEL-1.34"/>
    <n v="1"/>
    <s v="NO TIENE L3OUT"/>
    <n v="22"/>
    <n v="54"/>
  </r>
  <r>
    <n v="448"/>
    <x v="1"/>
    <x v="45"/>
    <s v="eth1/34"/>
    <x v="1"/>
    <x v="1"/>
    <x v="3"/>
    <m/>
    <x v="0"/>
    <b v="0"/>
    <s v="No está en VPC"/>
    <n v="448"/>
    <s v="NO EXISTE PG"/>
    <s v="NO EXISTE ISEL"/>
    <n v="0"/>
    <s v="NO TIENE L3OUT"/>
    <n v="46"/>
    <n v="54"/>
  </r>
  <r>
    <n v="704"/>
    <x v="2"/>
    <x v="46"/>
    <s v="eth1/34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34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34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34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34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34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34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34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34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34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34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34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34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34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34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34"/>
    <x v="0"/>
    <x v="0"/>
    <x v="0"/>
    <s v="CEM:ITHCEMB2ADT17:SLOT1 P1"/>
    <x v="5"/>
    <b v="0"/>
    <s v="No está en VPC"/>
    <n v="742"/>
    <s v="INTPG_ACC_742_1.34"/>
    <s v="ISEL-1.34"/>
    <n v="1"/>
    <s v="NO TIENE L3OUT"/>
    <n v="64"/>
    <n v="54"/>
  </r>
  <r>
    <n v="763"/>
    <x v="2"/>
    <x v="63"/>
    <s v="eth1/34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34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34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34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34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34"/>
    <x v="0"/>
    <x v="1"/>
    <x v="3"/>
    <s v="CLOUD OPS:ithhwcop01st01ce01:B IOM1 Smart IO P0"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34"/>
    <x v="0"/>
    <x v="0"/>
    <x v="0"/>
    <s v="CLOUD OPS:ithhwcop02en02:4E P1"/>
    <x v="0"/>
    <b v="0"/>
    <s v="No está en VPC"/>
    <n v="780"/>
    <s v="INTPG_VPC_780_1.28-29_34-35_781_1.28-29_34-35"/>
    <s v="ISEL-1.34"/>
    <n v="23"/>
    <s v="NO TIENE L3OUT"/>
    <n v="26"/>
    <n v="54"/>
  </r>
  <r>
    <n v="812"/>
    <x v="2"/>
    <x v="70"/>
    <s v="eth1/34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34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34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34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34"/>
    <x v="0"/>
    <x v="0"/>
    <x v="0"/>
    <s v="LINK_TO_ITHFHWCMVWPMA16 /Slot6.2 /Redundante"/>
    <x v="0"/>
    <b v="0"/>
    <s v="No está en VPC"/>
    <n v="824"/>
    <s v="INTPG_ACC_824_1.34"/>
    <s v="ISEL-1.34"/>
    <n v="1"/>
    <s v="NO TIENE L3OUT"/>
    <n v="70"/>
    <n v="54"/>
  </r>
  <r>
    <n v="819"/>
    <x v="2"/>
    <x v="75"/>
    <s v="eth1/34"/>
    <x v="0"/>
    <x v="0"/>
    <x v="0"/>
    <s v="LINK_TO_ITHFHWCMVWPMA16 /Slot4.2 /Principal"/>
    <x v="0"/>
    <b v="0"/>
    <s v="No está en VPC"/>
    <n v="819"/>
    <s v="INTPG_ACC_819_1.34"/>
    <s v="ISEL-1.34"/>
    <n v="1"/>
    <s v="NO TIENE L3OUT"/>
    <n v="70"/>
    <n v="54"/>
  </r>
  <r>
    <n v="737"/>
    <x v="2"/>
    <x v="76"/>
    <s v="eth1/34"/>
    <x v="0"/>
    <x v="0"/>
    <x v="0"/>
    <s v="CEM:ITHCEME2APT17:SLOT1 P1"/>
    <x v="5"/>
    <b v="0"/>
    <s v="No está en VPC"/>
    <n v="737"/>
    <s v="INTPG_ACC_737_1.34"/>
    <s v="ISEL-1.34"/>
    <n v="1"/>
    <s v="NO TIENE L3OUT"/>
    <n v="72"/>
    <n v="54"/>
  </r>
  <r>
    <n v="844"/>
    <x v="2"/>
    <x v="77"/>
    <s v="eth1/34"/>
    <x v="0"/>
    <x v="0"/>
    <x v="0"/>
    <s v="LINK_TO_ITHFHWCRMPLCN112 / Slot1.1_28 / Principal"/>
    <x v="0"/>
    <b v="0"/>
    <s v="No está en VPC"/>
    <n v="844"/>
    <s v="INTPG_ACC_844_1.34"/>
    <s v="ISEL-1.34"/>
    <n v="6"/>
    <s v="NO TIENE L3OUT"/>
    <n v="282"/>
    <n v="54"/>
  </r>
  <r>
    <n v="843"/>
    <x v="2"/>
    <x v="78"/>
    <s v="eth1/34"/>
    <x v="0"/>
    <x v="0"/>
    <x v="0"/>
    <s v="A_ITHFHWSEQLHDPS76_Principal"/>
    <x v="0"/>
    <b v="0"/>
    <s v="No está en VPC"/>
    <n v="843"/>
    <s v="INTPG_ACC_843_1.34"/>
    <s v="ISEL-1.34"/>
    <n v="1"/>
    <s v="NO TIENE L3OUT"/>
    <n v="38"/>
    <n v="54"/>
  </r>
  <r>
    <n v="797"/>
    <x v="2"/>
    <x v="79"/>
    <s v="eth1/34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34"/>
    <x v="0"/>
    <x v="0"/>
    <x v="0"/>
    <s v="LINK_TO_ITHFHWCBSPSHD41 / Slot7.1_20 / Redundante"/>
    <x v="0"/>
    <b v="0"/>
    <s v="No está en VPC"/>
    <n v="839"/>
    <s v="INTPG_VPC_834_1.34_839_1.34"/>
    <s v="ISEL-1.34"/>
    <n v="2"/>
    <s v="NO TIENE L3OUT"/>
    <n v="0"/>
    <n v="54"/>
  </r>
  <r>
    <n v="847"/>
    <x v="2"/>
    <x v="81"/>
    <s v="eth1/34"/>
    <x v="0"/>
    <x v="0"/>
    <x v="0"/>
    <s v="LINK_TO_ITHFHWCRMPLCN176 / Slot7.3_22 / Redundante"/>
    <x v="0"/>
    <b v="0"/>
    <s v="No está en VPC"/>
    <n v="847"/>
    <s v="INTPG_ACC_847_1.34"/>
    <s v="ISEL-1.34"/>
    <n v="1"/>
    <s v="NO TIENE L3OUT"/>
    <n v="204"/>
    <n v="54"/>
  </r>
  <r>
    <n v="848"/>
    <x v="2"/>
    <x v="82"/>
    <s v="eth1/34"/>
    <x v="0"/>
    <x v="0"/>
    <x v="0"/>
    <s v="LINK_TO_ITHFHWCRMPLCN165 / Slot7.3_32 / Redundante"/>
    <x v="0"/>
    <b v="0"/>
    <s v="No está en VPC"/>
    <n v="848"/>
    <s v="INTPG_ACC_848_1.34"/>
    <s v="ISEL-1.34"/>
    <n v="1"/>
    <s v="NO TIENE L3OUT"/>
    <n v="254"/>
    <n v="54"/>
  </r>
  <r>
    <n v="846"/>
    <x v="2"/>
    <x v="83"/>
    <s v="eth1/34"/>
    <x v="0"/>
    <x v="0"/>
    <x v="0"/>
    <s v="LINK_TO_ITHFHWCRMPLCN83 / Slot1.1_24 / Principal"/>
    <x v="0"/>
    <b v="0"/>
    <s v="No está en VPC"/>
    <n v="846"/>
    <s v="INTPG_ACC_846_1.34"/>
    <s v="ISEL-1.34"/>
    <n v="6"/>
    <s v="NO TIENE L3OUT"/>
    <n v="242"/>
    <n v="54"/>
  </r>
  <r>
    <n v="838"/>
    <x v="2"/>
    <x v="84"/>
    <s v="eth1/34"/>
    <x v="0"/>
    <x v="0"/>
    <x v="0"/>
    <s v="A_ITHFHWSEQLHDPS76_Redundante"/>
    <x v="0"/>
    <b v="0"/>
    <s v="No está en VPC"/>
    <n v="838"/>
    <s v="INTPG_ACC_838_1.34"/>
    <s v="ISEL-1.34"/>
    <n v="1"/>
    <s v="NO TIENE L3OUT"/>
    <n v="38"/>
    <n v="54"/>
  </r>
  <r>
    <n v="849"/>
    <x v="2"/>
    <x v="85"/>
    <s v="eth1/34"/>
    <x v="0"/>
    <x v="0"/>
    <x v="0"/>
    <s v="LINK_TO_ITHFHWCRMPLCN145 / Slot7.3_24 / Redundante"/>
    <x v="0"/>
    <b v="0"/>
    <s v="No está en VPC"/>
    <n v="849"/>
    <s v="INTPG_ACC_849_1.34"/>
    <s v="ISEL-1.34"/>
    <n v="1"/>
    <s v="NO TIENE L3OUT"/>
    <n v="286"/>
    <n v="54"/>
  </r>
  <r>
    <n v="845"/>
    <x v="2"/>
    <x v="86"/>
    <s v="eth1/34"/>
    <x v="0"/>
    <x v="0"/>
    <x v="0"/>
    <s v="LINK_TO_ITHFHWCRMPLCN95 / Slot1.2_22 / Principal"/>
    <x v="0"/>
    <b v="0"/>
    <s v="No está en VPC"/>
    <n v="845"/>
    <s v="INTPG_ACC_845_1.34"/>
    <s v="ISEL-1.34"/>
    <n v="2"/>
    <s v="NO TIENE L3OUT"/>
    <n v="258"/>
    <n v="54"/>
  </r>
  <r>
    <n v="873"/>
    <x v="2"/>
    <x v="87"/>
    <s v="eth1/34"/>
    <x v="0"/>
    <x v="0"/>
    <x v="0"/>
    <s v="TO_ITHHWD6KV65100017DKC01_Principal"/>
    <x v="0"/>
    <b v="0"/>
    <s v="No está en VPC"/>
    <n v="873"/>
    <s v="INTPG_ACC_873_1.34"/>
    <s v="ISEL-1.34"/>
    <n v="1"/>
    <s v="NO TIENE L3OUT"/>
    <n v="248"/>
    <n v="54"/>
  </r>
  <r>
    <n v="864"/>
    <x v="2"/>
    <x v="88"/>
    <s v="eth1/34"/>
    <x v="0"/>
    <x v="0"/>
    <x v="0"/>
    <s v="To_VPC_2DCBSD_WR47_1"/>
    <x v="0"/>
    <b v="0"/>
    <s v="No está en VPC"/>
    <n v="864"/>
    <s v="INTPG_VPC_859_1.34_864_1.34"/>
    <s v="ISEL-1.34"/>
    <n v="2"/>
    <s v="NO TIENE L3OUT"/>
    <n v="0"/>
    <n v="54"/>
  </r>
  <r>
    <n v="836"/>
    <x v="2"/>
    <x v="89"/>
    <s v="eth1/34"/>
    <x v="0"/>
    <x v="0"/>
    <x v="0"/>
    <s v="LINK_TO_ITHFHWCBSPSHD25 / Slot1.3_14 / Principal"/>
    <x v="0"/>
    <b v="0"/>
    <s v="No está en VPC"/>
    <n v="836"/>
    <s v="INTPG_VPC_836_1.34_841_1.34"/>
    <s v="ISEL-1.34"/>
    <n v="1"/>
    <s v="NO TIENE L3OUT"/>
    <n v="0"/>
    <n v="54"/>
  </r>
  <r>
    <n v="834"/>
    <x v="2"/>
    <x v="90"/>
    <s v="eth1/34"/>
    <x v="0"/>
    <x v="0"/>
    <x v="0"/>
    <s v="LINK_TO_ITHFHWCBSPSHD41 / Slot1.1_20 / Principal"/>
    <x v="0"/>
    <b v="0"/>
    <s v="No está en VPC"/>
    <n v="834"/>
    <s v="INTPG_VPC_834_1.34_839_1.34"/>
    <s v="ISEL-1.34"/>
    <n v="2"/>
    <s v="NO TIENE L3OUT"/>
    <n v="0"/>
    <n v="54"/>
  </r>
  <r>
    <n v="872"/>
    <x v="2"/>
    <x v="91"/>
    <s v="eth1/34"/>
    <x v="0"/>
    <x v="0"/>
    <x v="0"/>
    <s v="To_ITHFHWCRMDLCN80_Principal"/>
    <x v="0"/>
    <b v="0"/>
    <s v="No está en VPC"/>
    <n v="872"/>
    <s v="INTPG_ACC_872_1.34"/>
    <s v="ISEL-1.34"/>
    <n v="2"/>
    <s v="NO TIENE L3OUT"/>
    <n v="288"/>
    <n v="54"/>
  </r>
  <r>
    <n v="842"/>
    <x v="2"/>
    <x v="92"/>
    <s v="eth1/34"/>
    <x v="0"/>
    <x v="0"/>
    <x v="0"/>
    <s v="LINK_To_ITHFHWCBSPSHD19 / Slot7.2_14 / Redundante"/>
    <x v="0"/>
    <b v="0"/>
    <s v="No está en VPC"/>
    <n v="842"/>
    <s v="INTPG_VPC_837_1.34_842_1.34"/>
    <s v="ISEL-1.34"/>
    <n v="1"/>
    <s v="NO TIENE L3OUT"/>
    <n v="8"/>
    <n v="54"/>
  </r>
  <r>
    <n v="828"/>
    <x v="2"/>
    <x v="93"/>
    <s v="eth1/34"/>
    <x v="0"/>
    <x v="0"/>
    <x v="0"/>
    <s v="LINK_TO_ITHFHWCRMDLCN26 /Slot4.2 /Principal"/>
    <x v="0"/>
    <b v="0"/>
    <s v="No está en VPC"/>
    <n v="828"/>
    <s v="INTPG_ACC_828_1.34"/>
    <s v="ISEL-1.34"/>
    <n v="1"/>
    <s v="NO TIENE L3OUT"/>
    <n v="192"/>
    <n v="54"/>
  </r>
  <r>
    <n v="870"/>
    <x v="2"/>
    <x v="94"/>
    <s v="eth1/34"/>
    <x v="0"/>
    <x v="0"/>
    <x v="0"/>
    <s v="TO_ITHHWD6KV65100017DKC01_Redundante"/>
    <x v="0"/>
    <b v="0"/>
    <s v="No está en VPC"/>
    <n v="870"/>
    <s v="INTPG_ACC_870_1.34"/>
    <s v="ISEL-1.34"/>
    <n v="1"/>
    <s v="NO TIENE L3OUT"/>
    <n v="248"/>
    <n v="54"/>
  </r>
  <r>
    <n v="866"/>
    <x v="2"/>
    <x v="95"/>
    <s v="eth1/34"/>
    <x v="0"/>
    <x v="0"/>
    <x v="0"/>
    <s v="To_VPC_2DCBSD_BD13_3"/>
    <x v="0"/>
    <b v="0"/>
    <s v="No está en VPC"/>
    <n v="866"/>
    <s v="INTPG_VPC_861_1.34_866_1.34"/>
    <s v="ISEL-1.34"/>
    <n v="1"/>
    <s v="NO TIENE L3OUT"/>
    <n v="8"/>
    <n v="54"/>
  </r>
  <r>
    <n v="862"/>
    <x v="2"/>
    <x v="96"/>
    <s v="eth1/34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34"/>
    <x v="0"/>
    <x v="0"/>
    <x v="0"/>
    <s v="LINK_TO_ITHFHWCRMPLCN165 / Slot1.3_32 / Principal"/>
    <x v="0"/>
    <b v="0"/>
    <s v="No está en VPC"/>
    <n v="855"/>
    <s v="INTPG_ACC_855_1.34"/>
    <s v="ISEL-1.34"/>
    <n v="1"/>
    <s v="NO TIENE L3OUT"/>
    <n v="254"/>
    <n v="54"/>
  </r>
  <r>
    <n v="871"/>
    <x v="2"/>
    <x v="98"/>
    <s v="eth1/34"/>
    <x v="0"/>
    <x v="0"/>
    <x v="0"/>
    <s v="To_ITHFHWCRMDLCN65_Principal"/>
    <x v="0"/>
    <b v="0"/>
    <s v="No está en VPC"/>
    <n v="871"/>
    <s v="INTPG_ACC_871_1.34"/>
    <s v="ISEL-1.34"/>
    <n v="6"/>
    <s v="NO TIENE L3OUT"/>
    <n v="246"/>
    <n v="54"/>
  </r>
  <r>
    <n v="841"/>
    <x v="2"/>
    <x v="99"/>
    <s v="eth1/34"/>
    <x v="0"/>
    <x v="0"/>
    <x v="0"/>
    <s v="LINK_TO_ITHFHWCBSPSHD25 / Slot7.3_14 / Redundante"/>
    <x v="0"/>
    <b v="0"/>
    <s v="No está en VPC"/>
    <n v="841"/>
    <s v="INTPG_VPC_836_1.34_841_1.34"/>
    <s v="ISEL-1.34"/>
    <n v="1"/>
    <s v="NO TIENE L3OUT"/>
    <n v="0"/>
    <n v="54"/>
  </r>
  <r>
    <n v="868"/>
    <x v="2"/>
    <x v="100"/>
    <s v="eth1/34"/>
    <x v="0"/>
    <x v="0"/>
    <x v="0"/>
    <s v="To_ITHFHWCRMDLCN65_Redundante"/>
    <x v="0"/>
    <b v="0"/>
    <s v="No está en VPC"/>
    <n v="868"/>
    <s v="INTPG_ACC_868_1.34"/>
    <s v="ISEL-1.34"/>
    <n v="6"/>
    <s v="NO TIENE L3OUT"/>
    <n v="246"/>
    <n v="54"/>
  </r>
  <r>
    <n v="869"/>
    <x v="2"/>
    <x v="101"/>
    <s v="eth1/34"/>
    <x v="0"/>
    <x v="0"/>
    <x v="0"/>
    <s v="To_ITHFHWCRMDLCN80_Redundante"/>
    <x v="0"/>
    <b v="0"/>
    <s v="No está en VPC"/>
    <n v="869"/>
    <s v="INTPG_ACC_869_1.34"/>
    <s v="ISEL-1.34"/>
    <n v="2"/>
    <s v="NO TIENE L3OUT"/>
    <n v="288"/>
    <n v="54"/>
  </r>
  <r>
    <n v="861"/>
    <x v="2"/>
    <x v="102"/>
    <s v="eth1/34"/>
    <x v="0"/>
    <x v="0"/>
    <x v="0"/>
    <s v="To_VPC_2DCBSD_BD13_3"/>
    <x v="0"/>
    <b v="0"/>
    <s v="No está en VPC"/>
    <n v="861"/>
    <s v="INTPG_VPC_861_1.34_866_1.34"/>
    <s v="ISEL-1.34"/>
    <n v="1"/>
    <s v="NO TIENE L3OUT"/>
    <n v="8"/>
    <n v="54"/>
  </r>
  <r>
    <n v="874"/>
    <x v="2"/>
    <x v="103"/>
    <s v="eth1/34"/>
    <x v="0"/>
    <x v="0"/>
    <x v="0"/>
    <s v="A_ITHFHWSEQLDPS06_Redundante"/>
    <x v="4"/>
    <b v="0"/>
    <s v="No está en VPC"/>
    <n v="874"/>
    <s v="INTPG_ACC_874_1.34"/>
    <s v="ISEL-1.34"/>
    <n v="1"/>
    <s v="NO TIENE L3OUT"/>
    <n v="92"/>
    <n v="54"/>
  </r>
  <r>
    <n v="865"/>
    <x v="2"/>
    <x v="104"/>
    <s v="eth1/34"/>
    <x v="0"/>
    <x v="0"/>
    <x v="0"/>
    <s v="To_VPC_2DCBSD_BD18_1"/>
    <x v="0"/>
    <b v="0"/>
    <s v="No está en VPC"/>
    <n v="865"/>
    <s v="INTPG_VPC_860_1.34_865_1.34"/>
    <s v="ISEL-1.34"/>
    <n v="2"/>
    <s v="NO TIENE L3OUT"/>
    <n v="0"/>
    <n v="54"/>
  </r>
  <r>
    <n v="753"/>
    <x v="2"/>
    <x v="105"/>
    <s v="eth1/34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34"/>
    <x v="0"/>
    <x v="1"/>
    <x v="5"/>
    <s v="CEM:ITHCEME2APT17:LOM  P2"/>
    <x v="0"/>
    <b v="0"/>
    <s v="No está en VPC"/>
    <n v="708"/>
    <s v="INTPG_VPC_708_1.34_709_1.33"/>
    <s v="ISEL-1.34"/>
    <n v="1"/>
    <s v="NO TIENE L3OUT"/>
    <n v="0"/>
    <n v="54"/>
  </r>
  <r>
    <n v="710"/>
    <x v="2"/>
    <x v="107"/>
    <s v="eth1/34"/>
    <x v="0"/>
    <x v="1"/>
    <x v="5"/>
    <s v="CEM:ITHCEMC2ADT17:LOM  P2"/>
    <x v="0"/>
    <b v="0"/>
    <s v="No está en VPC"/>
    <n v="710"/>
    <s v="INTPG_VPC_710_1.34_711_1.33"/>
    <s v="ISEL-1.34"/>
    <n v="1"/>
    <s v="NO TIENE L3OUT"/>
    <n v="16"/>
    <n v="54"/>
  </r>
  <r>
    <n v="713"/>
    <x v="2"/>
    <x v="108"/>
    <s v="eth1/34"/>
    <x v="0"/>
    <x v="1"/>
    <x v="5"/>
    <s v="CEM:ITHCEMB2ADT17:LOM  P2"/>
    <x v="0"/>
    <b v="0"/>
    <s v="No está en VPC"/>
    <n v="713"/>
    <s v="INTPG_VPC_712_1.33_713_1.34"/>
    <s v="ISEL-1.34"/>
    <n v="1"/>
    <s v="NO TIENE L3OUT"/>
    <n v="32"/>
    <n v="54"/>
  </r>
  <r>
    <n v="735"/>
    <x v="2"/>
    <x v="109"/>
    <s v="eth1/34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34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34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34"/>
    <x v="0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34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14"/>
    <x v="2"/>
    <x v="114"/>
    <s v="eth1/34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34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34"/>
    <x v="0"/>
    <x v="0"/>
    <x v="0"/>
    <s v="LINK_TO_ITHFHWCBSDSWR18 /Slot5.2 /Principal"/>
    <x v="0"/>
    <b v="0"/>
    <s v="No está en VPC"/>
    <n v="826"/>
    <s v="INTPG_VPC_826_1.34_830_1.34"/>
    <s v="ISEL-1.34"/>
    <n v="2"/>
    <s v="NO TIENE L3OUT"/>
    <n v="12"/>
    <n v="54"/>
  </r>
  <r>
    <n v="726"/>
    <x v="2"/>
    <x v="117"/>
    <s v="eth1/34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34"/>
    <x v="0"/>
    <x v="0"/>
    <x v="0"/>
    <s v="CEM:ITHCEMD2APT17:SLOT1 P1"/>
    <x v="5"/>
    <b v="0"/>
    <s v="No está en VPC"/>
    <n v="740"/>
    <s v="INTPG_ACC_740_1.34"/>
    <s v="ISEL-1.34"/>
    <n v="1"/>
    <s v="NO TIENE L3OUT"/>
    <n v="72"/>
    <n v="54"/>
  </r>
  <r>
    <n v="705"/>
    <x v="2"/>
    <x v="119"/>
    <s v="eth1/34"/>
    <x v="0"/>
    <x v="0"/>
    <x v="0"/>
    <m/>
    <x v="0"/>
    <b v="0"/>
    <s v="No está en VPC"/>
    <n v="705"/>
    <s v="INTPG_VPC_706_1.33_705_1.34"/>
    <s v="ISEL-1.34"/>
    <n v="1"/>
    <s v="NO TIENE L3OUT"/>
    <n v="16"/>
    <n v="54"/>
  </r>
  <r>
    <n v="723"/>
    <x v="2"/>
    <x v="120"/>
    <s v="eth1/34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34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34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34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34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34"/>
    <x v="0"/>
    <x v="1"/>
    <x v="5"/>
    <s v="CEM:ITHCEMF2HUN17:LOM  P2"/>
    <x v="0"/>
    <b v="0"/>
    <s v="No está en VPC"/>
    <n v="709"/>
    <s v="INTPG_VPC_708_1.33_709_1.34"/>
    <s v="ISEL-1.34"/>
    <n v="1"/>
    <s v="NO TIENE L3OUT"/>
    <n v="0"/>
    <n v="54"/>
  </r>
  <r>
    <n v="454"/>
    <x v="1"/>
    <x v="126"/>
    <s v="eth1/34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34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34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34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34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34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34"/>
    <x v="0"/>
    <x v="1"/>
    <x v="1"/>
    <s v="ITHCEMB2ADT13"/>
    <x v="5"/>
    <b v="0"/>
    <s v="No está en VPC"/>
    <n v="741"/>
    <s v="INTPG_ACC_741_1.34"/>
    <s v="ISEL-1.34"/>
    <n v="1"/>
    <s v="NO TIENE L3OUT"/>
    <n v="62"/>
    <n v="54"/>
  </r>
  <r>
    <n v="787"/>
    <x v="2"/>
    <x v="133"/>
    <s v="eth1/34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34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34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34"/>
    <x v="0"/>
    <x v="1"/>
    <x v="3"/>
    <s v="CEM_HADOOP"/>
    <x v="0"/>
    <b v="0"/>
    <s v="No está en VPC"/>
    <n v="736"/>
    <s v="INTPG_ACC_736_1.34"/>
    <s v="ISEL-1.34"/>
    <n v="1"/>
    <s v="NO TIENE L3OUT"/>
    <n v="48"/>
    <n v="54"/>
  </r>
  <r>
    <n v="799"/>
    <x v="2"/>
    <x v="137"/>
    <s v="eth1/34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34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34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34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34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34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34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34"/>
    <x v="0"/>
    <x v="0"/>
    <x v="0"/>
    <s v="PAAS:ithhwoscopap017:Slot 4/Pto 2"/>
    <x v="0"/>
    <b v="0"/>
    <s v="No está en VPC"/>
    <n v="774"/>
    <s v="INTPG_VPC_774_1.34_775_1.35"/>
    <s v="ISEL-1.34"/>
    <n v="24"/>
    <s v="NO TIENE L3OUT"/>
    <n v="0"/>
    <n v="54"/>
  </r>
  <r>
    <n v="773"/>
    <x v="2"/>
    <x v="145"/>
    <s v="eth1/34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34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34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34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34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34"/>
    <x v="0"/>
    <x v="0"/>
    <x v="0"/>
    <s v="CLOUD OPS:ithhwcop02en02:4E P3"/>
    <x v="0"/>
    <b v="0"/>
    <s v="No está en VPC"/>
    <n v="781"/>
    <s v="INTPG_VPC_780_1.28-29_34-35_781_1.28-29_34-35"/>
    <s v="ISEL-1.34"/>
    <n v="23"/>
    <s v="NO TIENE L3OUT"/>
    <n v="26"/>
    <n v="54"/>
  </r>
  <r>
    <n v="793"/>
    <x v="2"/>
    <x v="151"/>
    <s v="eth1/34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34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34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34"/>
    <x v="1"/>
    <x v="1"/>
    <x v="2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34"/>
    <x v="0"/>
    <x v="0"/>
    <x v="0"/>
    <s v="PAAS:ithhwoscopap019:10GE /Pto 1"/>
    <x v="0"/>
    <b v="0"/>
    <s v="No está en VPC"/>
    <n v="777"/>
    <s v="INTPG_VPC_776_1.33_777_1.34"/>
    <s v="ISEL-1.34"/>
    <n v="24"/>
    <s v="NO TIENE L3OUT"/>
    <n v="0"/>
    <n v="54"/>
  </r>
  <r>
    <n v="770"/>
    <x v="2"/>
    <x v="156"/>
    <s v="eth1/34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34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34"/>
    <x v="0"/>
    <x v="0"/>
    <x v="0"/>
    <s v="CEM:ITHCEMC2ADT17:SLOT1 P1"/>
    <x v="5"/>
    <b v="0"/>
    <s v="No está en VPC"/>
    <n v="739"/>
    <s v="INTPG_ACC_739_1.34"/>
    <s v="ISEL-1.34"/>
    <n v="1"/>
    <s v="NO TIENE L3OUT"/>
    <n v="72"/>
    <n v="54"/>
  </r>
  <r>
    <n v="775"/>
    <x v="2"/>
    <x v="159"/>
    <s v="eth1/34"/>
    <x v="0"/>
    <x v="0"/>
    <x v="0"/>
    <s v="PAAS:ithhwoscopap016:10GE /Pto 1"/>
    <x v="0"/>
    <b v="0"/>
    <s v="No está en VPC"/>
    <n v="775"/>
    <s v="INTPG_VPC_774_1.33_775_1.34"/>
    <s v="ISEL-1.34"/>
    <n v="24"/>
    <s v="NO TIENE L3OUT"/>
    <n v="0"/>
    <n v="54"/>
  </r>
  <r>
    <n v="791"/>
    <x v="2"/>
    <x v="160"/>
    <s v="eth1/34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34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34"/>
    <x v="0"/>
    <x v="0"/>
    <x v="0"/>
    <s v="LINK_TO_ITHFHWCBSDSWR18 /Slot7.2 /Redundante"/>
    <x v="0"/>
    <b v="0"/>
    <s v="No está en VPC"/>
    <n v="830"/>
    <s v="INTPG_VPC_826_1.34_830_1.34"/>
    <s v="ISEL-1.34"/>
    <n v="2"/>
    <s v="NO TIENE L3OUT"/>
    <n v="12"/>
    <n v="54"/>
  </r>
  <r>
    <n v="821"/>
    <x v="2"/>
    <x v="163"/>
    <s v="eth1/34"/>
    <x v="0"/>
    <x v="0"/>
    <x v="0"/>
    <s v="LINK_TO_ITHFHWCBSPSWR18 /Slot7.2 /Redundante"/>
    <x v="0"/>
    <b v="0"/>
    <s v="No está en VPC"/>
    <n v="821"/>
    <s v="INTPG_VPC_816_1.34_821_1.34"/>
    <s v="ISEL-1.34"/>
    <n v="2"/>
    <s v="NO TIENE L3OUT"/>
    <n v="0"/>
    <n v="54"/>
  </r>
  <r>
    <n v="738"/>
    <x v="2"/>
    <x v="164"/>
    <s v="eth1/34"/>
    <x v="0"/>
    <x v="0"/>
    <x v="0"/>
    <s v="CEM:ITHCEMF2HUN17:SLOT1 P1"/>
    <x v="5"/>
    <b v="0"/>
    <s v="No está en VPC"/>
    <n v="738"/>
    <s v="INTPG_ACC_738_1.34"/>
    <s v="ISEL-1.34"/>
    <n v="1"/>
    <s v="NO TIENE L3OUT"/>
    <n v="72"/>
    <n v="54"/>
  </r>
  <r>
    <n v="820"/>
    <x v="2"/>
    <x v="165"/>
    <s v="eth1/34"/>
    <x v="0"/>
    <x v="0"/>
    <x v="0"/>
    <s v="To_ITHHWD6KV65100010DKC01_Principal"/>
    <x v="0"/>
    <b v="0"/>
    <s v="No está en VPC"/>
    <n v="820"/>
    <s v="INTPG_ACC_820_1.34"/>
    <s v="ISEL-1.34"/>
    <n v="1"/>
    <s v="NO TIENE L3OUT"/>
    <n v="72"/>
    <n v="54"/>
  </r>
  <r>
    <n v="804"/>
    <x v="2"/>
    <x v="166"/>
    <s v="eth1/34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34"/>
    <x v="0"/>
    <x v="0"/>
    <x v="0"/>
    <s v="CLOUD OPS:ithhwcop01st01ce01:B IOM1 Smart IO P1"/>
    <x v="0"/>
    <b v="0"/>
    <s v="No está en VPC"/>
    <n v="779"/>
    <s v="INTPG_ACC_779_1.34"/>
    <s v="ISEL-1.34"/>
    <n v="1"/>
    <s v="NO TIENE L3OUT"/>
    <n v="30"/>
    <n v="54"/>
  </r>
  <r>
    <n v="767"/>
    <x v="2"/>
    <x v="168"/>
    <s v="eth1/34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34"/>
    <x v="0"/>
    <x v="0"/>
    <x v="0"/>
    <s v="LINK_TO_ITHFHWCBSDSWR27 /Slot4.2 /Principal"/>
    <x v="0"/>
    <b v="0"/>
    <s v="No está en VPC"/>
    <n v="827"/>
    <s v="INTPG_VPC_827_1.34_831_1.34"/>
    <s v="ISEL-1.34"/>
    <n v="1"/>
    <s v="NO TIENE L3OUT"/>
    <n v="14"/>
    <n v="54"/>
  </r>
  <r>
    <n v="809"/>
    <x v="2"/>
    <x v="170"/>
    <s v="eth1/34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34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34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34"/>
    <x v="0"/>
    <x v="0"/>
    <x v="0"/>
    <s v="PAAS:ithhwoscopap020:10GE /Pto 1"/>
    <x v="0"/>
    <b v="0"/>
    <s v="No está en VPC"/>
    <n v="776"/>
    <s v="INTPG_VPC_776_1.34_777_1.33"/>
    <s v="ISEL-1.34"/>
    <n v="24"/>
    <s v="NO TIENE L3OUT"/>
    <n v="0"/>
    <n v="54"/>
  </r>
  <r>
    <n v="805"/>
    <x v="2"/>
    <x v="174"/>
    <s v="eth1/34"/>
    <x v="1"/>
    <x v="1"/>
    <x v="2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34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34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34"/>
    <x v="0"/>
    <x v="0"/>
    <x v="0"/>
    <s v="LINK_TO_ITHFHWCRMPLCN112 / Slot7.1_28 / Redundante"/>
    <x v="0"/>
    <b v="0"/>
    <s v="No está en VPC"/>
    <n v="851"/>
    <s v="INTPG_ACC_851_1.34"/>
    <s v="ISEL-1.34"/>
    <n v="6"/>
    <s v="NO TIENE L3OUT"/>
    <n v="282"/>
    <n v="54"/>
  </r>
  <r>
    <n v="798"/>
    <x v="2"/>
    <x v="178"/>
    <s v="eth1/34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34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34"/>
    <x v="0"/>
    <x v="0"/>
    <x v="0"/>
    <s v="LINK_TO_ITHFHWCRMPLCN95 / Slot7.2_22 / Redundante"/>
    <x v="0"/>
    <b v="0"/>
    <s v="No está en VPC"/>
    <n v="852"/>
    <s v="INTPG_ACC_852_1.34"/>
    <s v="ISEL-1.34"/>
    <n v="2"/>
    <s v="NO TIENE L3OUT"/>
    <n v="258"/>
    <n v="54"/>
  </r>
  <r>
    <n v="817"/>
    <x v="2"/>
    <x v="181"/>
    <s v="eth1/34"/>
    <x v="0"/>
    <x v="0"/>
    <x v="0"/>
    <s v="LINK_TO_ITHFHWCBSPSWR25 /Slot5.2 /Principal"/>
    <x v="0"/>
    <b v="0"/>
    <s v="No está en VPC"/>
    <n v="817"/>
    <s v="INTPG_VPC_817_1.34_822_1.34"/>
    <s v="ISEL-1.34"/>
    <n v="2"/>
    <s v="NO TIENE L3OUT"/>
    <n v="0"/>
    <n v="54"/>
  </r>
  <r>
    <n v="832"/>
    <x v="2"/>
    <x v="182"/>
    <s v="eth1/34"/>
    <x v="0"/>
    <x v="0"/>
    <x v="0"/>
    <s v="LINK_TO_ITHFHWCRMDLCN26 /Slot6.2 /Redundante"/>
    <x v="0"/>
    <b v="0"/>
    <s v="No está en VPC"/>
    <n v="832"/>
    <s v="INTPG_ACC_832_1.34"/>
    <s v="ISEL-1.34"/>
    <n v="1"/>
    <s v="NO TIENE L3OUT"/>
    <n v="192"/>
    <n v="54"/>
  </r>
  <r>
    <n v="816"/>
    <x v="2"/>
    <x v="183"/>
    <s v="eth1/34"/>
    <x v="0"/>
    <x v="0"/>
    <x v="0"/>
    <s v="LINK_TO_ITHFHWCBSPSWR18 /Slot5.2 /Principal"/>
    <x v="0"/>
    <b v="0"/>
    <s v="No está en VPC"/>
    <n v="816"/>
    <s v="INTPG_VPC_816_1.34_821_1.34"/>
    <s v="ISEL-1.34"/>
    <n v="2"/>
    <s v="NO TIENE L3OUT"/>
    <n v="0"/>
    <n v="54"/>
  </r>
  <r>
    <n v="825"/>
    <x v="2"/>
    <x v="184"/>
    <s v="eth1/34"/>
    <x v="0"/>
    <x v="0"/>
    <x v="0"/>
    <s v="To_ITHHWD6KV65100010DKC01_Redundante"/>
    <x v="0"/>
    <b v="0"/>
    <s v="No está en VPC"/>
    <n v="825"/>
    <s v="INTPG_ACC_825_1.34"/>
    <s v="ISEL-1.34"/>
    <n v="1"/>
    <s v="NO TIENE L3OUT"/>
    <n v="72"/>
    <n v="54"/>
  </r>
  <r>
    <n v="800"/>
    <x v="2"/>
    <x v="185"/>
    <s v="eth1/34"/>
    <x v="0"/>
    <x v="0"/>
    <x v="0"/>
    <s v="TO-9S_IVR_IXT3_10518_01"/>
    <x v="0"/>
    <b v="0"/>
    <s v="No está en VPC"/>
    <n v="800"/>
    <s v="INTPG_VPC_800_1.32-35_801_1.32-35"/>
    <s v="ISEL-1.34"/>
    <n v="24"/>
    <s v="NO TIENE L3OUT"/>
    <n v="78"/>
    <n v="54"/>
  </r>
  <r>
    <n v="801"/>
    <x v="2"/>
    <x v="186"/>
    <s v="eth1/34"/>
    <x v="0"/>
    <x v="0"/>
    <x v="0"/>
    <s v="TO-9S_IVR_IXT3_10518_01"/>
    <x v="0"/>
    <b v="0"/>
    <s v="No está en VPC"/>
    <n v="801"/>
    <s v="INTPG_VPC_800_1.32-35_801_1.32-35"/>
    <s v="ISEL-1.34"/>
    <n v="24"/>
    <s v="NO TIENE L3OUT"/>
    <n v="78"/>
    <n v="54"/>
  </r>
  <r>
    <n v="823"/>
    <x v="2"/>
    <x v="187"/>
    <s v="eth1/34"/>
    <x v="0"/>
    <x v="0"/>
    <x v="0"/>
    <s v="LINK_TO_ITHFHWCBSPSWR35 /Slot6.2 /Redundante"/>
    <x v="0"/>
    <b v="0"/>
    <s v="No está en VPC"/>
    <n v="823"/>
    <s v="INTPG_VPC_818_1.34_823_1.34"/>
    <s v="ISEL-1.34"/>
    <n v="1"/>
    <s v="NO TIENE L3OUT"/>
    <n v="8"/>
    <n v="54"/>
  </r>
  <r>
    <n v="837"/>
    <x v="2"/>
    <x v="188"/>
    <s v="eth1/34"/>
    <x v="0"/>
    <x v="0"/>
    <x v="0"/>
    <s v="LINK_To_ITHFHWCBSPSHD19 / Slot1.2_14 / Principal"/>
    <x v="0"/>
    <b v="0"/>
    <s v="No está en VPC"/>
    <n v="837"/>
    <s v="INTPG_VPC_837_1.34_842_1.34"/>
    <s v="ISEL-1.34"/>
    <n v="1"/>
    <s v="NO TIENE L3OUT"/>
    <n v="8"/>
    <n v="54"/>
  </r>
  <r>
    <n v="867"/>
    <x v="2"/>
    <x v="189"/>
    <s v="eth1/34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34"/>
    <x v="0"/>
    <x v="0"/>
    <x v="0"/>
    <s v="To_ITHFHWCRMDLCN46_Principal"/>
    <x v="0"/>
    <b v="0"/>
    <s v="No está en VPC"/>
    <n v="829"/>
    <s v="INTPG_ACC_829_1.34"/>
    <s v="ISEL-1.34"/>
    <n v="2"/>
    <s v="NO TIENE L3OUT"/>
    <n v="224"/>
    <n v="54"/>
  </r>
  <r>
    <n v="831"/>
    <x v="2"/>
    <x v="191"/>
    <s v="eth1/34"/>
    <x v="0"/>
    <x v="0"/>
    <x v="0"/>
    <s v="LINK_TO_ITHFHWCBSDSWR27 /Slot6.2 /Redundante"/>
    <x v="0"/>
    <b v="0"/>
    <s v="No está en VPC"/>
    <n v="831"/>
    <s v="INTPG_VPC_827_1.34_831_1.34"/>
    <s v="ISEL-1.34"/>
    <n v="1"/>
    <s v="NO TIENE L3OUT"/>
    <n v="14"/>
    <n v="54"/>
  </r>
  <r>
    <n v="802"/>
    <x v="2"/>
    <x v="192"/>
    <s v="eth1/34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34"/>
    <x v="0"/>
    <x v="0"/>
    <x v="0"/>
    <s v="LINK_TO_ITHFHWCBSPSHD33 / Slot1.3_18 / Principal"/>
    <x v="0"/>
    <b v="0"/>
    <s v="No está en VPC"/>
    <n v="835"/>
    <s v="INTPG_VPC_835_1.34_840_1.34"/>
    <s v="ISEL-1.34"/>
    <n v="1"/>
    <s v="NO TIENE L3OUT"/>
    <n v="8"/>
    <n v="54"/>
  </r>
  <r>
    <n v="822"/>
    <x v="2"/>
    <x v="194"/>
    <s v="eth1/34"/>
    <x v="0"/>
    <x v="0"/>
    <x v="0"/>
    <s v="LINK_TO_ITHFHWCBSPSWR25 /Slot7.2 /Redundante"/>
    <x v="0"/>
    <b v="0"/>
    <s v="No está en VPC"/>
    <n v="822"/>
    <s v="INTPG_VPC_817_1.34_822_1.34"/>
    <s v="ISEL-1.34"/>
    <n v="2"/>
    <s v="NO TIENE L3OUT"/>
    <n v="0"/>
    <n v="54"/>
  </r>
  <r>
    <n v="854"/>
    <x v="2"/>
    <x v="195"/>
    <s v="eth1/34"/>
    <x v="0"/>
    <x v="0"/>
    <x v="0"/>
    <s v="LINK_TO_ITHFHWCRMPLCN176 / Slot1.3_22 / Principal"/>
    <x v="0"/>
    <b v="0"/>
    <s v="No está en VPC"/>
    <n v="854"/>
    <s v="INTPG_ACC_854_1.34"/>
    <s v="ISEL-1.34"/>
    <n v="1"/>
    <s v="NO TIENE L3OUT"/>
    <n v="204"/>
    <n v="54"/>
  </r>
  <r>
    <n v="858"/>
    <x v="2"/>
    <x v="196"/>
    <s v="eth1/34"/>
    <x v="0"/>
    <x v="0"/>
    <x v="0"/>
    <s v="To_VPC_2DCBSD_WR56_1"/>
    <x v="0"/>
    <b v="0"/>
    <s v="No está en VPC"/>
    <n v="858"/>
    <s v="INTPG_VPC_858_1.34_863_1.34"/>
    <s v="ISEL-1.34"/>
    <n v="2"/>
    <s v="NO TIENE L3OUT"/>
    <n v="8"/>
    <n v="54"/>
  </r>
  <r>
    <n v="857"/>
    <x v="2"/>
    <x v="197"/>
    <s v="eth1/34"/>
    <x v="0"/>
    <x v="0"/>
    <x v="0"/>
    <s v="LINKT_TO_ITHFHWCRMPLCN126 / Slot1.3_22 / Principal"/>
    <x v="0"/>
    <b v="0"/>
    <s v="No está en VPC"/>
    <n v="857"/>
    <s v="INTPG_ACC_857_1.34"/>
    <s v="ISEL-1.34"/>
    <n v="1"/>
    <s v="NO TIENE L3OUT"/>
    <n v="288"/>
    <n v="54"/>
  </r>
  <r>
    <n v="859"/>
    <x v="2"/>
    <x v="198"/>
    <s v="eth1/34"/>
    <x v="0"/>
    <x v="0"/>
    <x v="0"/>
    <s v="To_VPC_2DCBSD_WR47_1"/>
    <x v="0"/>
    <b v="0"/>
    <s v="No está en VPC"/>
    <n v="859"/>
    <s v="INTPG_VPC_859_1.34_864_1.34"/>
    <s v="ISEL-1.34"/>
    <n v="2"/>
    <s v="NO TIENE L3OUT"/>
    <n v="0"/>
    <n v="54"/>
  </r>
  <r>
    <n v="833"/>
    <x v="2"/>
    <x v="199"/>
    <s v="eth1/34"/>
    <x v="0"/>
    <x v="0"/>
    <x v="0"/>
    <s v="To_ITHFHWCRMDLCN46_Redundante"/>
    <x v="0"/>
    <b v="0"/>
    <s v="No está en VPC"/>
    <n v="833"/>
    <s v="INTPG_ACC_833_1.34"/>
    <s v="ISEL-1.34"/>
    <n v="2"/>
    <s v="NO TIENE L3OUT"/>
    <n v="224"/>
    <n v="54"/>
  </r>
  <r>
    <n v="818"/>
    <x v="2"/>
    <x v="200"/>
    <s v="eth1/34"/>
    <x v="0"/>
    <x v="0"/>
    <x v="0"/>
    <s v="LINK_TO_ITHFHWCBSPSWR35 /Slot4.2 /Principal"/>
    <x v="0"/>
    <b v="0"/>
    <s v="No está en VPC"/>
    <n v="818"/>
    <s v="INTPG_VPC_818_1.34_823_1.34"/>
    <s v="ISEL-1.34"/>
    <n v="1"/>
    <s v="NO TIENE L3OUT"/>
    <n v="8"/>
    <n v="54"/>
  </r>
  <r>
    <n v="850"/>
    <x v="2"/>
    <x v="201"/>
    <s v="eth1/34"/>
    <x v="0"/>
    <x v="0"/>
    <x v="0"/>
    <s v="LINKT_TO_ITHFHWCRMPLCN126 / Slot7.3_22 / Redundante"/>
    <x v="0"/>
    <b v="0"/>
    <s v="No está en VPC"/>
    <n v="850"/>
    <s v="INTPG_ACC_850_1.34"/>
    <s v="ISEL-1.34"/>
    <n v="1"/>
    <s v="NO TIENE L3OUT"/>
    <n v="288"/>
    <n v="54"/>
  </r>
  <r>
    <n v="860"/>
    <x v="2"/>
    <x v="202"/>
    <s v="eth1/34"/>
    <x v="0"/>
    <x v="0"/>
    <x v="0"/>
    <s v="To_VPC_2DCBSD_BD18_1"/>
    <x v="0"/>
    <b v="0"/>
    <s v="No está en VPC"/>
    <n v="860"/>
    <s v="INTPG_VPC_860_1.34_865_1.34"/>
    <s v="ISEL-1.34"/>
    <n v="2"/>
    <s v="NO TIENE L3OUT"/>
    <n v="0"/>
    <n v="54"/>
  </r>
  <r>
    <n v="853"/>
    <x v="2"/>
    <x v="203"/>
    <s v="eth1/34"/>
    <x v="0"/>
    <x v="0"/>
    <x v="0"/>
    <s v="LINK_TO_ITHFHWCRMPLCN83 / Slot7.1_24 / Redundante"/>
    <x v="0"/>
    <b v="0"/>
    <s v="No está en VPC"/>
    <n v="853"/>
    <s v="INTPG_ACC_853_1.34"/>
    <s v="ISEL-1.34"/>
    <n v="6"/>
    <s v="NO TIENE L3OUT"/>
    <n v="242"/>
    <n v="54"/>
  </r>
  <r>
    <n v="790"/>
    <x v="2"/>
    <x v="204"/>
    <s v="eth1/34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34"/>
    <x v="0"/>
    <x v="1"/>
    <x v="1"/>
    <s v="DESC"/>
    <x v="6"/>
    <b v="0"/>
    <s v="No está en VPC"/>
    <n v="105"/>
    <s v="INTPG_PC_105_1.1-4_32-35"/>
    <s v="ISEL-1.34"/>
    <n v="17"/>
    <s v="NO TIENE L3OUT"/>
    <n v="106"/>
    <n v="96"/>
  </r>
  <r>
    <n v="117"/>
    <x v="0"/>
    <x v="206"/>
    <s v="eth1/34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34"/>
    <x v="1"/>
    <x v="1"/>
    <x v="2"/>
    <s v="DESC"/>
    <x v="6"/>
    <b v="0"/>
    <s v="No está en VPC"/>
    <n v="104"/>
    <s v="INTPG_PC_104_1.32-39"/>
    <s v="ISEL-1.34"/>
    <n v="0"/>
    <s v="NO TIENE L3OUT"/>
    <n v="194"/>
    <n v="96"/>
  </r>
  <r>
    <n v="158"/>
    <x v="0"/>
    <x v="208"/>
    <s v="eth1/34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34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34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34"/>
    <x v="0"/>
    <x v="0"/>
    <x v="0"/>
    <m/>
    <x v="6"/>
    <b v="0"/>
    <s v="No está en VPC"/>
    <n v="108"/>
    <s v="INTPG_ACC_108_1.34"/>
    <s v="ISEL-1.34"/>
    <n v="1"/>
    <s v="NO TIENE L3OUT"/>
    <n v="126"/>
    <n v="96"/>
  </r>
  <r>
    <n v="112"/>
    <x v="0"/>
    <x v="212"/>
    <s v="eth1/34"/>
    <x v="0"/>
    <x v="0"/>
    <x v="0"/>
    <s v="CHARGING SYSTEM"/>
    <x v="6"/>
    <b v="0"/>
    <s v="No está en VPC"/>
    <n v="112"/>
    <s v="INTPG_ACC_112_1.34"/>
    <s v="ISEL-1.34"/>
    <n v="1"/>
    <s v="NO TIENE L3OUT"/>
    <n v="144"/>
    <n v="96"/>
  </r>
  <r>
    <n v="107"/>
    <x v="0"/>
    <x v="213"/>
    <s v="eth1/34"/>
    <x v="0"/>
    <x v="0"/>
    <x v="0"/>
    <s v="SRM"/>
    <x v="6"/>
    <b v="0"/>
    <s v="No está en VPC"/>
    <n v="107"/>
    <s v="INTPG_ACC_107_1.34"/>
    <s v="ISEL-1.34"/>
    <n v="1"/>
    <s v="NO TIENE L3OUT"/>
    <n v="118"/>
    <n v="96"/>
  </r>
  <r>
    <n v="109"/>
    <x v="0"/>
    <x v="214"/>
    <s v="eth1/34"/>
    <x v="1"/>
    <x v="1"/>
    <x v="2"/>
    <m/>
    <x v="6"/>
    <b v="0"/>
    <s v="No está en VPC"/>
    <n v="109"/>
    <s v="INTPG_ACC_109_1.34"/>
    <s v="ISEL-1.34"/>
    <n v="1"/>
    <s v="NO TIENE L3OUT"/>
    <n v="126"/>
    <n v="96"/>
  </r>
  <r>
    <n v="113"/>
    <x v="0"/>
    <x v="215"/>
    <s v="eth1/34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34"/>
    <x v="0"/>
    <x v="0"/>
    <x v="0"/>
    <s v="CHARGING SYSTEM"/>
    <x v="6"/>
    <b v="0"/>
    <s v="No está en VPC"/>
    <n v="114"/>
    <s v="INTPG_ACC_114_1.34"/>
    <s v="ISEL-1.34"/>
    <n v="1"/>
    <s v="NO TIENE L3OUT"/>
    <n v="144"/>
    <n v="96"/>
  </r>
  <r>
    <n v="124"/>
    <x v="0"/>
    <x v="217"/>
    <s v="eth1/34"/>
    <x v="0"/>
    <x v="0"/>
    <x v="0"/>
    <s v="ixtossgw1_2"/>
    <x v="6"/>
    <b v="0"/>
    <s v="No está en VPC"/>
    <n v="124"/>
    <s v="INTPG_ACC_124_1.34"/>
    <s v="ISEL-1.34"/>
    <n v="1"/>
    <s v="NO TIENE L3OUT"/>
    <n v="80"/>
    <n v="96"/>
  </r>
  <r>
    <n v="118"/>
    <x v="0"/>
    <x v="218"/>
    <s v="eth1/34"/>
    <x v="0"/>
    <x v="0"/>
    <x v="0"/>
    <s v="INGE6"/>
    <x v="6"/>
    <b v="0"/>
    <s v="No está en VPC"/>
    <n v="118"/>
    <s v="INTPG_ACC_118_1.34"/>
    <s v="ISEL-1.34"/>
    <n v="1"/>
    <s v="NO TIENE L3OUT"/>
    <n v="180"/>
    <n v="96"/>
  </r>
  <r>
    <n v="159"/>
    <x v="0"/>
    <x v="219"/>
    <s v="eth1/34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34"/>
    <x v="0"/>
    <x v="0"/>
    <x v="0"/>
    <s v="LINK_TO_ITHFHWCBSPSHD33 / Slot7.3_18 / Redundante"/>
    <x v="0"/>
    <b v="0"/>
    <s v="No está en VPC"/>
    <n v="840"/>
    <s v="INTPG_VPC_835_1.34_840_1.34"/>
    <s v="ISEL-1.34"/>
    <n v="1"/>
    <s v="NO TIENE L3OUT"/>
    <n v="8"/>
    <n v="54"/>
  </r>
  <r>
    <n v="856"/>
    <x v="2"/>
    <x v="221"/>
    <s v="eth1/34"/>
    <x v="0"/>
    <x v="0"/>
    <x v="0"/>
    <s v="LINK_TO_ITHFHWCRMPLCN145 / Slot1.3_24 / Principal"/>
    <x v="0"/>
    <b v="0"/>
    <s v="No está en VPC"/>
    <n v="856"/>
    <s v="INTPG_ACC_856_1.34"/>
    <s v="ISEL-1.34"/>
    <n v="1"/>
    <s v="NO TIENE L3OUT"/>
    <n v="286"/>
    <n v="54"/>
  </r>
  <r>
    <n v="110"/>
    <x v="0"/>
    <x v="222"/>
    <s v="eth1/34"/>
    <x v="0"/>
    <x v="1"/>
    <x v="1"/>
    <s v="RACKS VMTLCLAMX1"/>
    <x v="6"/>
    <b v="0"/>
    <s v="No está en VPC"/>
    <n v="110"/>
    <s v="INTPG_ACC_110_1.34"/>
    <s v="ISEL-1.34"/>
    <n v="1"/>
    <s v="NO TIENE L3OUT"/>
    <n v="102"/>
    <n v="96"/>
  </r>
  <r>
    <n v="163"/>
    <x v="0"/>
    <x v="223"/>
    <s v="eth1/34"/>
    <x v="1"/>
    <x v="1"/>
    <x v="2"/>
    <s v="sfmedt02_CLIENT1"/>
    <x v="6"/>
    <b v="0"/>
    <s v="No está en VPC"/>
    <n v="163"/>
    <s v="INTPG_VPC_161_1.35_163_1.34"/>
    <s v="ISEL-1.34"/>
    <n v="1"/>
    <s v="NO TIENE L3OUT"/>
    <n v="140"/>
    <n v="96"/>
  </r>
  <r>
    <n v="407"/>
    <x v="1"/>
    <x v="224"/>
    <s v="eth1/34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34"/>
    <x v="0"/>
    <x v="1"/>
    <x v="1"/>
    <s v="Optimus"/>
    <x v="6"/>
    <b v="0"/>
    <s v="No está en VPC"/>
    <n v="171"/>
    <s v="INTPG_ACC_171_1.34"/>
    <s v="ISEL-1.34"/>
    <n v="1"/>
    <s v="NO TIENE L3OUT"/>
    <n v="114"/>
    <n v="96"/>
  </r>
  <r>
    <n v="421"/>
    <x v="1"/>
    <x v="226"/>
    <s v="eth1/34"/>
    <x v="0"/>
    <x v="1"/>
    <x v="1"/>
    <s v="VTA_uxvta082_XSCF"/>
    <x v="6"/>
    <b v="0"/>
    <s v="No está en VPC"/>
    <n v="421"/>
    <s v="INTPG_ACC_421_1.34"/>
    <s v="ISEL-1.34"/>
    <n v="1"/>
    <s v="NO TIENE L3OUT"/>
    <n v="72"/>
    <n v="96"/>
  </r>
  <r>
    <n v="173"/>
    <x v="0"/>
    <x v="227"/>
    <s v="eth1/34"/>
    <x v="0"/>
    <x v="0"/>
    <x v="0"/>
    <s v="ENIQ"/>
    <x v="6"/>
    <b v="0"/>
    <s v="No está en VPC"/>
    <n v="173"/>
    <s v="INTPG_ACC_173_1.34"/>
    <s v="ISEL-1.34"/>
    <n v="1"/>
    <s v="NO TIENE L3OUT"/>
    <n v="66"/>
    <n v="96"/>
  </r>
  <r>
    <n v="154"/>
    <x v="0"/>
    <x v="228"/>
    <s v="eth1/34"/>
    <x v="0"/>
    <x v="0"/>
    <x v="0"/>
    <s v="POLYVIEW_SERVIDOR"/>
    <x v="6"/>
    <b v="0"/>
    <s v="No está en VPC"/>
    <n v="154"/>
    <s v="INTPG_ACC_154_1.34"/>
    <s v="ISEL-1.34"/>
    <n v="1"/>
    <s v="NO TIENE L3OUT"/>
    <n v="62"/>
    <n v="96"/>
  </r>
  <r>
    <n v="172"/>
    <x v="0"/>
    <x v="229"/>
    <s v="eth1/34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34"/>
    <x v="0"/>
    <x v="0"/>
    <x v="0"/>
    <s v="TO-ITHFDEOCP1LWR07-PRINCIPAL"/>
    <x v="6"/>
    <b v="0"/>
    <s v="No está en VPC"/>
    <n v="420"/>
    <s v="INTPG_ACC_420_1.34"/>
    <s v="ISEL-1.34"/>
    <n v="1"/>
    <s v="NO TIENE L3OUT"/>
    <n v="158"/>
    <n v="96"/>
  </r>
  <r>
    <n v="423"/>
    <x v="1"/>
    <x v="231"/>
    <s v="eth1/34"/>
    <x v="0"/>
    <x v="0"/>
    <x v="0"/>
    <s v="SPECSERVER1_ETH0"/>
    <x v="6"/>
    <b v="0"/>
    <s v="No está en VPC"/>
    <n v="423"/>
    <s v="INTPG_ACC_423_1.34"/>
    <s v="ISEL-1.34"/>
    <n v="1"/>
    <s v="NO TIENE L3OUT"/>
    <n v="86"/>
    <n v="96"/>
  </r>
  <r>
    <n v="415"/>
    <x v="1"/>
    <x v="232"/>
    <s v="eth1/34"/>
    <x v="0"/>
    <x v="0"/>
    <x v="0"/>
    <s v="To-uxingemc2"/>
    <x v="6"/>
    <b v="0"/>
    <s v="No está en VPC"/>
    <n v="415"/>
    <s v="INTPG_ACC_415_1.34"/>
    <s v="ISEL-1.34"/>
    <n v="1"/>
    <s v="NO TIENE L3OUT"/>
    <n v="52"/>
    <n v="96"/>
  </r>
  <r>
    <n v="102"/>
    <x v="0"/>
    <x v="233"/>
    <s v="eth1/34"/>
    <x v="0"/>
    <x v="1"/>
    <x v="1"/>
    <s v="SFLDI:RLDICDR02:1"/>
    <x v="6"/>
    <b v="0"/>
    <s v="No está en VPC"/>
    <n v="102"/>
    <s v="INTPG_ACC_102_1.34"/>
    <s v="ISEL-1.34"/>
    <n v="1"/>
    <s v="NO TIENE L3OUT"/>
    <n v="228"/>
    <n v="96"/>
  </r>
  <r>
    <n v="863"/>
    <x v="2"/>
    <x v="234"/>
    <s v="eth1/34"/>
    <x v="0"/>
    <x v="0"/>
    <x v="0"/>
    <s v="To_VPC_2DCBSD_WR56_1"/>
    <x v="0"/>
    <b v="0"/>
    <s v="No está en VPC"/>
    <n v="863"/>
    <s v="INTPG_VPC_858_1.34_863_1.34"/>
    <s v="ISEL-1.34"/>
    <n v="2"/>
    <s v="NO TIENE L3OUT"/>
    <n v="8"/>
    <n v="54"/>
  </r>
  <r>
    <n v="876"/>
    <x v="2"/>
    <x v="235"/>
    <s v="eth1/34"/>
    <x v="0"/>
    <x v="0"/>
    <x v="0"/>
    <s v="A_ITHFHWSEQLDPS06_Principal"/>
    <x v="4"/>
    <b v="0"/>
    <s v="No está en VPC"/>
    <n v="876"/>
    <s v="INTPG_ACC_876_1.34"/>
    <s v="ISEL-1.34"/>
    <n v="1"/>
    <s v="NO TIENE L3OUT"/>
    <n v="92"/>
    <n v="54"/>
  </r>
  <r>
    <n v="877"/>
    <x v="2"/>
    <x v="236"/>
    <s v="eth1/34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34"/>
    <x v="0"/>
    <x v="0"/>
    <x v="0"/>
    <s v="IXTRTC5"/>
    <x v="6"/>
    <b v="0"/>
    <s v="No está en VPC"/>
    <n v="122"/>
    <s v="INTPG_ACC_122_1.34"/>
    <s v="ISEL-1.34"/>
    <n v="1"/>
    <s v="NO TIENE L3OUT"/>
    <n v="148"/>
    <n v="96"/>
  </r>
  <r>
    <n v="157"/>
    <x v="0"/>
    <x v="238"/>
    <s v="eth1/34"/>
    <x v="1"/>
    <x v="1"/>
    <x v="2"/>
    <s v="SNA TEST BED"/>
    <x v="6"/>
    <b v="0"/>
    <s v="No está en VPC"/>
    <n v="157"/>
    <s v="INTPG_ACC_157_1.34"/>
    <s v="ISEL-1.34"/>
    <n v="0"/>
    <s v="L3OUT-SNA-HOME-ZONE-BGP"/>
    <n v="202"/>
    <n v="96"/>
  </r>
  <r>
    <n v="408"/>
    <x v="1"/>
    <x v="239"/>
    <s v="eth1/34"/>
    <x v="0"/>
    <x v="0"/>
    <x v="0"/>
    <s v="WMS101"/>
    <x v="6"/>
    <b v="0"/>
    <s v="No está en VPC"/>
    <n v="408"/>
    <s v="INTPG_ACC_408_1.34"/>
    <s v="ISEL-1.34"/>
    <n v="1"/>
    <s v="NO TIENE L3OUT"/>
    <n v="152"/>
    <n v="96"/>
  </r>
  <r>
    <n v="405"/>
    <x v="1"/>
    <x v="240"/>
    <s v="eth1/34"/>
    <x v="0"/>
    <x v="0"/>
    <x v="0"/>
    <s v="IXT_ARIESO7_LDR7"/>
    <x v="6"/>
    <b v="0"/>
    <s v="No está en VPC"/>
    <n v="405"/>
    <s v="INTPG_ACC_405_1.34"/>
    <s v="ISEL-1.34"/>
    <n v="1"/>
    <s v="NO TIENE L3OUT"/>
    <n v="138"/>
    <n v="96"/>
  </r>
  <r>
    <n v="169"/>
    <x v="0"/>
    <x v="241"/>
    <s v="eth1/34"/>
    <x v="0"/>
    <x v="0"/>
    <x v="0"/>
    <s v="TO-ITHFDENBURBKP01(IXTFDLBKP6RAP)-PRINCIPAL"/>
    <x v="6"/>
    <b v="0"/>
    <s v="No está en VPC"/>
    <n v="169"/>
    <s v="INTPG_ACC_169_1.34"/>
    <s v="ISEL-1.34"/>
    <n v="1"/>
    <s v="NO TIENE L3OUT"/>
    <n v="76"/>
    <n v="96"/>
  </r>
  <r>
    <n v="165"/>
    <x v="0"/>
    <x v="242"/>
    <s v="eth1/34"/>
    <x v="0"/>
    <x v="0"/>
    <x v="0"/>
    <s v="BD ORACLE RACK"/>
    <x v="6"/>
    <b v="0"/>
    <s v="No está en VPC"/>
    <n v="165"/>
    <s v="INTPG_ACC_165_1.34"/>
    <s v="ISEL-1.34"/>
    <n v="1"/>
    <s v="NO TIENE L3OUT"/>
    <n v="86"/>
    <n v="96"/>
  </r>
  <r>
    <n v="417"/>
    <x v="1"/>
    <x v="243"/>
    <s v="eth1/34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34"/>
    <x v="0"/>
    <x v="0"/>
    <x v="0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34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34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34"/>
    <x v="0"/>
    <x v="1"/>
    <x v="1"/>
    <s v="EHEALTH:ehealthp03:NET01"/>
    <x v="6"/>
    <b v="0"/>
    <s v="No está en VPC"/>
    <n v="103"/>
    <s v="INTPG_ACC_103_1.34"/>
    <s v="ISEL-1.34"/>
    <n v="1"/>
    <s v="NO TIENE L3OUT"/>
    <n v="70"/>
    <n v="96"/>
  </r>
  <r>
    <n v="438"/>
    <x v="1"/>
    <x v="248"/>
    <s v="eth1/34"/>
    <x v="0"/>
    <x v="0"/>
    <x v="0"/>
    <s v="DESC"/>
    <x v="6"/>
    <b v="0"/>
    <s v="No está en VPC"/>
    <n v="438"/>
    <s v="INTPG_PC_438_1.30-35"/>
    <s v="ISEL-1.34"/>
    <n v="7"/>
    <s v="NO TIENE L3OUT"/>
    <n v="170"/>
    <n v="96"/>
  </r>
  <r>
    <n v="406"/>
    <x v="1"/>
    <x v="249"/>
    <s v="eth1/34"/>
    <x v="1"/>
    <x v="1"/>
    <x v="2"/>
    <s v="DESC"/>
    <x v="6"/>
    <b v="0"/>
    <s v="No está en VPC"/>
    <n v="406"/>
    <s v="INTPG_PC_406_1.31-34"/>
    <s v="ISEL-1.34"/>
    <n v="4"/>
    <s v="NO TIENE L3OUT"/>
    <n v="82"/>
    <n v="96"/>
  </r>
  <r>
    <n v="414"/>
    <x v="1"/>
    <x v="250"/>
    <s v="eth1/34"/>
    <x v="0"/>
    <x v="0"/>
    <x v="0"/>
    <s v="PAPERLES_ITHFNET1-DD_PTO1"/>
    <x v="6"/>
    <b v="0"/>
    <s v="No está en VPC"/>
    <n v="414"/>
    <s v="INTPG_ACC_414_1.34"/>
    <s v="ISEL-1.34"/>
    <n v="1"/>
    <s v="NO TIENE L3OUT"/>
    <n v="144"/>
    <n v="96"/>
  </r>
  <r>
    <n v="416"/>
    <x v="1"/>
    <x v="251"/>
    <s v="eth1/34"/>
    <x v="0"/>
    <x v="1"/>
    <x v="1"/>
    <s v="DESC"/>
    <x v="6"/>
    <b v="0"/>
    <s v="No está en VPC"/>
    <n v="416"/>
    <s v="INTPG_PC_416_1.32-39"/>
    <s v="ISEL-1.34"/>
    <n v="8"/>
    <s v="NO TIENE L3OUT"/>
    <n v="110"/>
    <n v="96"/>
  </r>
  <r>
    <n v="418"/>
    <x v="1"/>
    <x v="252"/>
    <s v="eth1/34"/>
    <x v="0"/>
    <x v="1"/>
    <x v="1"/>
    <s v="DESC"/>
    <x v="6"/>
    <b v="0"/>
    <s v="No está en VPC"/>
    <n v="418"/>
    <s v="INTPG_PC_418_1.32-39"/>
    <s v="ISEL-1.34"/>
    <n v="8"/>
    <s v="NO TIENE L3OUT"/>
    <n v="152"/>
    <n v="96"/>
  </r>
  <r>
    <n v="413"/>
    <x v="1"/>
    <x v="253"/>
    <s v="eth1/34"/>
    <x v="0"/>
    <x v="0"/>
    <x v="0"/>
    <s v="VTAE1"/>
    <x v="6"/>
    <b v="0"/>
    <s v="No está en VPC"/>
    <n v="413"/>
    <s v="INTPG_ACC_413_1.34"/>
    <s v="ISEL-1.34"/>
    <n v="1"/>
    <s v="NO TIENE L3OUT"/>
    <n v="126"/>
    <n v="96"/>
  </r>
  <r>
    <n v="403"/>
    <x v="1"/>
    <x v="254"/>
    <s v="eth1/34"/>
    <x v="0"/>
    <x v="0"/>
    <x v="0"/>
    <s v="IXT_ARIESO7_LDR7"/>
    <x v="6"/>
    <b v="0"/>
    <s v="No está en VPC"/>
    <n v="403"/>
    <s v="INTPG_ACC_403_1.34"/>
    <s v="ISEL-1.34"/>
    <n v="1"/>
    <s v="NO TIENE L3OUT"/>
    <n v="150"/>
    <n v="96"/>
  </r>
  <r>
    <n v="125"/>
    <x v="0"/>
    <x v="255"/>
    <s v="eth1/34"/>
    <x v="0"/>
    <x v="0"/>
    <x v="0"/>
    <s v="ixtossgwcon2"/>
    <x v="6"/>
    <b v="0"/>
    <s v="No está en VPC"/>
    <n v="125"/>
    <s v="INTPG_ACC_125_1.34"/>
    <s v="ISEL-1.34"/>
    <n v="1"/>
    <s v="NO TIENE L3OUT"/>
    <n v="72"/>
    <n v="96"/>
  </r>
  <r>
    <n v="166"/>
    <x v="0"/>
    <x v="256"/>
    <s v="eth1/34"/>
    <x v="0"/>
    <x v="0"/>
    <x v="0"/>
    <s v="NOMINA_uxrhmon1"/>
    <x v="6"/>
    <b v="0"/>
    <s v="No está en VPC"/>
    <n v="166"/>
    <s v="INTPG_ACC_166_1.34"/>
    <s v="ISEL-1.34"/>
    <n v="1"/>
    <s v="NO TIENE L3OUT"/>
    <n v="84"/>
    <n v="96"/>
  </r>
  <r>
    <n v="111"/>
    <x v="0"/>
    <x v="257"/>
    <s v="eth1/34"/>
    <x v="0"/>
    <x v="0"/>
    <x v="0"/>
    <s v="SERVIDOR BKP-VNX"/>
    <x v="6"/>
    <b v="0"/>
    <s v="No está en VPC"/>
    <n v="111"/>
    <s v="INTPG_ACC_111_1.34"/>
    <s v="ISEL-1.34"/>
    <n v="1"/>
    <s v="NO TIENE L3OUT"/>
    <n v="58"/>
    <n v="96"/>
  </r>
  <r>
    <n v="115"/>
    <x v="0"/>
    <x v="258"/>
    <s v="eth1/34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34"/>
    <x v="0"/>
    <x v="0"/>
    <x v="0"/>
    <m/>
    <x v="6"/>
    <b v="0"/>
    <s v="No está en VPC"/>
    <n v="106"/>
    <s v="INTPG_ACC_106_1.34"/>
    <s v="ISEL-1.34"/>
    <n v="1"/>
    <s v="NO TIENE L3OUT"/>
    <n v="122"/>
    <n v="96"/>
  </r>
  <r>
    <n v="126"/>
    <x v="0"/>
    <x v="260"/>
    <s v="eth1/34"/>
    <x v="0"/>
    <x v="0"/>
    <x v="0"/>
    <s v="ENIQ"/>
    <x v="6"/>
    <b v="0"/>
    <s v="No está en VPC"/>
    <n v="126"/>
    <s v="INTPG_ACC_126_1.34"/>
    <s v="ISEL-1.34"/>
    <n v="1"/>
    <s v="NO TIENE L3OUT"/>
    <n v="54"/>
    <n v="96"/>
  </r>
  <r>
    <n v="425"/>
    <x v="1"/>
    <x v="261"/>
    <s v="eth1/34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34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34"/>
    <x v="0"/>
    <x v="0"/>
    <x v="0"/>
    <s v="DESC"/>
    <x v="6"/>
    <b v="0"/>
    <s v="No está en VPC"/>
    <n v="430"/>
    <s v="INTPG_PC_430_1.33-34"/>
    <s v="ISEL-1.34"/>
    <n v="1"/>
    <s v="NO TIENE L3OUT"/>
    <n v="86"/>
    <n v="96"/>
  </r>
  <r>
    <n v="419"/>
    <x v="1"/>
    <x v="264"/>
    <s v="eth1/34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34"/>
    <x v="0"/>
    <x v="0"/>
    <x v="0"/>
    <s v="RED CRICKET"/>
    <x v="6"/>
    <b v="0"/>
    <s v="No está en VPC"/>
    <n v="155"/>
    <s v="INTPG_ACC_155_1.34"/>
    <s v="ISEL-1.34"/>
    <n v="1"/>
    <s v="NO TIENE L3OUT"/>
    <n v="198"/>
    <n v="96"/>
  </r>
  <r>
    <n v="409"/>
    <x v="1"/>
    <x v="266"/>
    <s v="eth1/34"/>
    <x v="0"/>
    <x v="0"/>
    <x v="0"/>
    <s v="Uxorbi"/>
    <x v="6"/>
    <b v="0"/>
    <s v="No está en VPC"/>
    <n v="409"/>
    <s v="INTPG_ACC_409_1.34"/>
    <s v="ISEL-1.34"/>
    <n v="1"/>
    <s v="NO TIENE L3OUT"/>
    <n v="128"/>
    <n v="96"/>
  </r>
  <r>
    <n v="422"/>
    <x v="1"/>
    <x v="267"/>
    <s v="eth1/34"/>
    <x v="0"/>
    <x v="0"/>
    <x v="0"/>
    <s v="ITHRTC4AEN1VC2x4"/>
    <x v="6"/>
    <b v="0"/>
    <s v="No está en VPC"/>
    <n v="422"/>
    <s v="INTPG_ACC_422_1.34"/>
    <s v="ISEL-1.34"/>
    <n v="1"/>
    <s v="NO TIENE L3OUT"/>
    <n v="182"/>
    <n v="96"/>
  </r>
  <r>
    <n v="436"/>
    <x v="1"/>
    <x v="268"/>
    <s v="eth1/34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34"/>
    <x v="0"/>
    <x v="0"/>
    <x v="0"/>
    <s v="PAPERLES_ITHFNET2_DD_PTO0"/>
    <x v="6"/>
    <b v="0"/>
    <s v="No está en VPC"/>
    <n v="410"/>
    <s v="INTPG_ACC_410_1.34"/>
    <s v="ISEL-1.34"/>
    <n v="1"/>
    <s v="NO TIENE L3OUT"/>
    <n v="178"/>
    <n v="96"/>
  </r>
  <r>
    <n v="161"/>
    <x v="0"/>
    <x v="270"/>
    <s v="eth1/34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34"/>
    <x v="0"/>
    <x v="0"/>
    <x v="0"/>
    <s v="lagidmhlapvp10_produccion1"/>
    <x v="6"/>
    <b v="0"/>
    <s v="No está en VPC"/>
    <n v="411"/>
    <s v="INTPG_VPC_411_1.31-34_413_1.24-27"/>
    <s v="ISEL-1.34"/>
    <n v="2"/>
    <s v="NO TIENE L3OUT"/>
    <n v="96"/>
    <n v="96"/>
  </r>
  <r>
    <n v="116"/>
    <x v="0"/>
    <x v="272"/>
    <s v="eth1/34"/>
    <x v="1"/>
    <x v="1"/>
    <x v="2"/>
    <s v="INGE6"/>
    <x v="6"/>
    <b v="0"/>
    <s v="No está en VPC"/>
    <n v="116"/>
    <s v="INTPG_ACC_116_1.34"/>
    <s v="ISEL-1.34"/>
    <n v="0"/>
    <s v="NO TIENE L3OUT"/>
    <n v="148"/>
    <n v="96"/>
  </r>
  <r>
    <n v="412"/>
    <x v="1"/>
    <x v="273"/>
    <s v="eth1/34"/>
    <x v="0"/>
    <x v="0"/>
    <x v="0"/>
    <s v="WMS101"/>
    <x v="6"/>
    <b v="0"/>
    <s v="No está en VPC"/>
    <n v="412"/>
    <s v="INTPG_ACC_412_1.34"/>
    <s v="ISEL-1.34"/>
    <n v="1"/>
    <s v="NO TIENE L3OUT"/>
    <n v="126"/>
    <n v="96"/>
  </r>
  <r>
    <n v="120"/>
    <x v="0"/>
    <x v="274"/>
    <s v="eth1/34"/>
    <x v="0"/>
    <x v="0"/>
    <x v="0"/>
    <s v="Registro Nacional de Celulares"/>
    <x v="6"/>
    <b v="0"/>
    <s v="No está en VPC"/>
    <n v="120"/>
    <s v="INTPG_ACC_120_1.34"/>
    <s v="ISEL-1.34"/>
    <n v="1"/>
    <s v="NO TIENE L3OUT"/>
    <n v="158"/>
    <n v="96"/>
  </r>
  <r>
    <n v="404"/>
    <x v="1"/>
    <x v="275"/>
    <s v="eth1/34"/>
    <x v="0"/>
    <x v="0"/>
    <x v="0"/>
    <s v="DESC"/>
    <x v="6"/>
    <b v="0"/>
    <s v="No está en VPC"/>
    <n v="404"/>
    <s v="INTPG_PC_404_1.31-34"/>
    <s v="ISEL-1.34"/>
    <n v="4"/>
    <s v="NO TIENE L3OUT"/>
    <n v="92"/>
    <n v="96"/>
  </r>
  <r>
    <n v="167"/>
    <x v="0"/>
    <x v="276"/>
    <s v="eth1/34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34"/>
    <x v="0"/>
    <x v="0"/>
    <x v="0"/>
    <s v="DESC"/>
    <x v="6"/>
    <b v="0"/>
    <s v="No está en VPC"/>
    <n v="428"/>
    <s v="INTPG_PC_428_1.33-34"/>
    <s v="ISEL-1.34"/>
    <n v="1"/>
    <s v="NO TIENE L3OUT"/>
    <n v="102"/>
    <n v="96"/>
  </r>
  <r>
    <n v="128"/>
    <x v="0"/>
    <x v="0"/>
    <s v="eth1/35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35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35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35"/>
    <x v="0"/>
    <x v="0"/>
    <x v="0"/>
    <s v="DESC"/>
    <x v="0"/>
    <b v="0"/>
    <s v="No está en VPC"/>
    <n v="101"/>
    <s v="INTPG_PC_101_1.35-36"/>
    <s v="ISEL-1.35"/>
    <n v="1"/>
    <s v="NO TIENE L3OUT"/>
    <n v="114"/>
    <n v="54"/>
  </r>
  <r>
    <n v="160"/>
    <x v="0"/>
    <x v="4"/>
    <s v="eth1/35"/>
    <x v="0"/>
    <x v="1"/>
    <x v="1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35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35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35"/>
    <x v="0"/>
    <x v="1"/>
    <x v="3"/>
    <m/>
    <x v="0"/>
    <b v="0"/>
    <s v="No está en VPC"/>
    <n v="401"/>
    <s v="NO EXISTE PG"/>
    <s v="NO EXISTE ISEL"/>
    <n v="0"/>
    <s v="NO TIENE L3OUT"/>
    <n v="40"/>
    <n v="54"/>
  </r>
  <r>
    <n v="402"/>
    <x v="1"/>
    <x v="8"/>
    <s v="eth1/35"/>
    <x v="0"/>
    <x v="0"/>
    <x v="0"/>
    <s v="DESC"/>
    <x v="0"/>
    <b v="0"/>
    <s v="No está en VPC"/>
    <n v="402"/>
    <s v="INTPG_PC_402_1.34-36"/>
    <s v="ISEL-1.35"/>
    <n v="1"/>
    <s v="NO TIENE L3OUT"/>
    <n v="36"/>
    <n v="54"/>
  </r>
  <r>
    <n v="447"/>
    <x v="1"/>
    <x v="9"/>
    <s v="eth1/35"/>
    <x v="0"/>
    <x v="0"/>
    <x v="0"/>
    <s v="LINK_HACIA_SPINE"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35"/>
    <x v="0"/>
    <x v="0"/>
    <x v="0"/>
    <s v="LINK_HACIA_SPINE"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35"/>
    <x v="0"/>
    <x v="0"/>
    <x v="0"/>
    <s v="LAG-smt-comp-05"/>
    <x v="0"/>
    <b v="0"/>
    <s v="No está en VPC"/>
    <n v="130"/>
    <s v="INTPG_VPC_130_1.34-35_131_1.34-35"/>
    <s v="ISEL-1.35"/>
    <n v="4"/>
    <s v="NO TIENE L3OUT"/>
    <n v="128"/>
    <n v="54"/>
  </r>
  <r>
    <n v="150"/>
    <x v="0"/>
    <x v="12"/>
    <s v="eth1/35"/>
    <x v="0"/>
    <x v="0"/>
    <x v="0"/>
    <s v="DESC"/>
    <x v="0"/>
    <b v="0"/>
    <s v="No está en VPC"/>
    <n v="150"/>
    <s v="INTPG_PC_150_1.35-36"/>
    <s v="ISEL-1.35"/>
    <n v="1"/>
    <s v="NO TIENE L3OUT"/>
    <n v="118"/>
    <n v="54"/>
  </r>
  <r>
    <n v="131"/>
    <x v="0"/>
    <x v="13"/>
    <s v="eth1/35"/>
    <x v="0"/>
    <x v="0"/>
    <x v="0"/>
    <s v="LAG-smt-comp-05"/>
    <x v="0"/>
    <b v="0"/>
    <s v="No está en VPC"/>
    <n v="131"/>
    <s v="INTPG_VPC_130_1.34-35_131_1.34-35"/>
    <s v="ISEL-1.35"/>
    <n v="4"/>
    <s v="NO TIENE L3OUT"/>
    <n v="126"/>
    <n v="54"/>
  </r>
  <r>
    <n v="758"/>
    <x v="2"/>
    <x v="15"/>
    <s v="eth1/35"/>
    <x v="0"/>
    <x v="0"/>
    <x v="0"/>
    <s v="LINK_HACIA_SPINE"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35"/>
    <x v="0"/>
    <x v="0"/>
    <x v="0"/>
    <s v="LINK_HACIA_SPINE"/>
    <x v="2"/>
    <b v="0"/>
    <s v="No está en VPC"/>
    <n v="759"/>
    <s v="NO EXISTE PG"/>
    <s v="NO EXISTE ISEL"/>
    <n v="0"/>
    <s v="NO TIENE L3OUT"/>
    <n v="0"/>
    <n v="42"/>
  </r>
  <r>
    <n v="424"/>
    <x v="1"/>
    <x v="18"/>
    <s v="eth1/35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35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35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35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35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35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35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35"/>
    <x v="1"/>
    <x v="1"/>
    <x v="3"/>
    <m/>
    <x v="0"/>
    <b v="0"/>
    <s v="No está en VPC"/>
    <n v="431"/>
    <s v="NO EXISTE PG"/>
    <s v="NO EXISTE ISEL"/>
    <n v="0"/>
    <s v="NO TIENE L3OUT"/>
    <n v="46"/>
    <n v="54"/>
  </r>
  <r>
    <n v="433"/>
    <x v="1"/>
    <x v="27"/>
    <s v="eth1/35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35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35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35"/>
    <x v="0"/>
    <x v="0"/>
    <x v="0"/>
    <s v="bmc_ithhwc3c2288h5_SECUNDARIO"/>
    <x v="1"/>
    <b v="0"/>
    <s v="No está en VPC"/>
    <n v="442"/>
    <s v="INTPG_ACC_442_1.35"/>
    <s v="ISEL-1.35"/>
    <n v="1"/>
    <s v="NO TIENE L3OUT"/>
    <n v="18"/>
    <n v="54"/>
  </r>
  <r>
    <n v="434"/>
    <x v="1"/>
    <x v="31"/>
    <s v="eth1/35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35"/>
    <x v="0"/>
    <x v="1"/>
    <x v="3"/>
    <s v="{{DESC}}"/>
    <x v="0"/>
    <b v="0"/>
    <s v="No está en VPC"/>
    <n v="707"/>
    <s v="INTPG_ACC_707_1.35"/>
    <s v="ISEL-1.35"/>
    <n v="0"/>
    <s v="NO TIENE L3OUT"/>
    <n v="54"/>
    <n v="54"/>
  </r>
  <r>
    <n v="712"/>
    <x v="2"/>
    <x v="33"/>
    <s v="eth1/35"/>
    <x v="0"/>
    <x v="1"/>
    <x v="5"/>
    <s v="CEM:ITHCEMB2ADT18:LOM P1"/>
    <x v="0"/>
    <b v="0"/>
    <s v="No está en VPC"/>
    <n v="712"/>
    <s v="INTPG_VPC_712_1.35_713_1.36"/>
    <s v="ISEL-1.35"/>
    <n v="1"/>
    <s v="NO TIENE L3OUT"/>
    <n v="32"/>
    <n v="54"/>
  </r>
  <r>
    <n v="719"/>
    <x v="2"/>
    <x v="34"/>
    <s v="eth1/35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35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35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35"/>
    <x v="0"/>
    <x v="1"/>
    <x v="1"/>
    <s v="CEM_ITHCEMC2COR18"/>
    <x v="0"/>
    <b v="0"/>
    <s v="No está en VPC"/>
    <n v="711"/>
    <s v="INTPG_VPC_710_1.36_711_1.35"/>
    <s v="ISEL-1.35"/>
    <n v="1"/>
    <s v="NO TIENE L3OUT"/>
    <n v="16"/>
    <n v="54"/>
  </r>
  <r>
    <n v="716"/>
    <x v="2"/>
    <x v="38"/>
    <s v="eth1/35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35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35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35"/>
    <x v="0"/>
    <x v="0"/>
    <x v="0"/>
    <s v="Proyecto Arieso"/>
    <x v="0"/>
    <b v="0"/>
    <s v="No está en VPC"/>
    <n v="446"/>
    <s v="INTPG_VPC_444_1.33-36_446_1.33-36"/>
    <s v="ISEL-1.35"/>
    <n v="19"/>
    <s v="NO TIENE L3OUT"/>
    <n v="198"/>
    <n v="54"/>
  </r>
  <r>
    <n v="444"/>
    <x v="1"/>
    <x v="42"/>
    <s v="eth1/35"/>
    <x v="0"/>
    <x v="0"/>
    <x v="0"/>
    <s v="Proyecto Arieso"/>
    <x v="0"/>
    <b v="0"/>
    <s v="No está en VPC"/>
    <n v="444"/>
    <s v="INTPG_VPC_444_1.33-36_446_1.33-36"/>
    <s v="ISEL-1.35"/>
    <n v="19"/>
    <s v="NO TIENE L3OUT"/>
    <n v="234"/>
    <n v="54"/>
  </r>
  <r>
    <n v="701"/>
    <x v="2"/>
    <x v="43"/>
    <s v="eth1/35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35"/>
    <x v="0"/>
    <x v="0"/>
    <x v="0"/>
    <s v="bmc_ithhwc3c2288h4_PRINCIPAL"/>
    <x v="1"/>
    <b v="0"/>
    <s v="No está en VPC"/>
    <n v="440"/>
    <s v="INTPG_ACC_440_1.35"/>
    <s v="ISEL-1.35"/>
    <n v="1"/>
    <s v="NO TIENE L3OUT"/>
    <n v="22"/>
    <n v="54"/>
  </r>
  <r>
    <n v="448"/>
    <x v="1"/>
    <x v="45"/>
    <s v="eth1/35"/>
    <x v="1"/>
    <x v="1"/>
    <x v="3"/>
    <m/>
    <x v="0"/>
    <b v="0"/>
    <s v="No está en VPC"/>
    <n v="448"/>
    <s v="NO EXISTE PG"/>
    <s v="NO EXISTE ISEL"/>
    <n v="0"/>
    <s v="NO TIENE L3OUT"/>
    <n v="46"/>
    <n v="54"/>
  </r>
  <r>
    <n v="704"/>
    <x v="2"/>
    <x v="46"/>
    <s v="eth1/35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35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35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35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35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35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35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35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35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35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35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35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35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35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35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35"/>
    <x v="0"/>
    <x v="1"/>
    <x v="1"/>
    <s v="ITHCEMB2ADT12"/>
    <x v="5"/>
    <b v="0"/>
    <s v="No está en VPC"/>
    <n v="742"/>
    <s v="INTPG_ACC_742_1.35"/>
    <s v="ISEL-1.35"/>
    <n v="1"/>
    <s v="NO TIENE L3OUT"/>
    <n v="64"/>
    <n v="54"/>
  </r>
  <r>
    <n v="763"/>
    <x v="2"/>
    <x v="63"/>
    <s v="eth1/35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35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35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35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35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35"/>
    <x v="0"/>
    <x v="1"/>
    <x v="3"/>
    <s v="CLOUD OPS:ithhwcop01st01ce02:A IOM1 Smart IO P0"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35"/>
    <x v="0"/>
    <x v="0"/>
    <x v="0"/>
    <s v="CLOUD OPS:ithhwcop02en02:4E P2"/>
    <x v="0"/>
    <b v="0"/>
    <s v="No está en VPC"/>
    <n v="780"/>
    <s v="INTPG_VPC_780_1.28-29_34-35_781_1.28-29_34-35"/>
    <s v="ISEL-1.35"/>
    <n v="23"/>
    <s v="NO TIENE L3OUT"/>
    <n v="26"/>
    <n v="54"/>
  </r>
  <r>
    <n v="812"/>
    <x v="2"/>
    <x v="70"/>
    <s v="eth1/35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35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35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35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35"/>
    <x v="0"/>
    <x v="0"/>
    <x v="0"/>
    <s v="LINK_TO_ITHHWOS53V50004DKC01 /CtrlA_10GE.P3 /Redundante"/>
    <x v="0"/>
    <b v="0"/>
    <s v="No está en VPC"/>
    <n v="824"/>
    <s v="INTPG_ACC_824_1.35"/>
    <s v="ISEL-1.35"/>
    <n v="1"/>
    <s v="NO TIENE L3OUT"/>
    <n v="70"/>
    <n v="54"/>
  </r>
  <r>
    <n v="819"/>
    <x v="2"/>
    <x v="75"/>
    <s v="eth1/35"/>
    <x v="0"/>
    <x v="0"/>
    <x v="0"/>
    <s v="LINK_TO_ITHHWOS53V50004DKC01 /CtrlA_10GE.P2 /Principal"/>
    <x v="0"/>
    <b v="0"/>
    <s v="No está en VPC"/>
    <n v="819"/>
    <s v="INTPG_ACC_819_1.35"/>
    <s v="ISEL-1.35"/>
    <n v="1"/>
    <s v="NO TIENE L3OUT"/>
    <n v="70"/>
    <n v="54"/>
  </r>
  <r>
    <n v="737"/>
    <x v="2"/>
    <x v="76"/>
    <s v="eth1/35"/>
    <x v="0"/>
    <x v="0"/>
    <x v="0"/>
    <s v="ITHCEMF2KFG18"/>
    <x v="5"/>
    <b v="0"/>
    <s v="No está en VPC"/>
    <n v="737"/>
    <s v="INTPG_ACC_737_1.35"/>
    <s v="ISEL-1.35"/>
    <n v="1"/>
    <s v="NO TIENE L3OUT"/>
    <n v="72"/>
    <n v="54"/>
  </r>
  <r>
    <n v="844"/>
    <x v="2"/>
    <x v="77"/>
    <s v="eth1/35"/>
    <x v="0"/>
    <x v="0"/>
    <x v="0"/>
    <s v="LINK_TO_ITHFHWCRMPLCN112 / Slot1.2_28 / Principal"/>
    <x v="0"/>
    <b v="0"/>
    <s v="No está en VPC"/>
    <n v="844"/>
    <s v="INTPG_ACC_844_1.35"/>
    <s v="ISEL-1.35"/>
    <n v="2"/>
    <s v="NO TIENE L3OUT"/>
    <n v="282"/>
    <n v="54"/>
  </r>
  <r>
    <n v="843"/>
    <x v="2"/>
    <x v="78"/>
    <s v="eth1/35"/>
    <x v="0"/>
    <x v="0"/>
    <x v="0"/>
    <s v="A_ITHFHWSEQLHDPS77_Principal"/>
    <x v="0"/>
    <b v="0"/>
    <s v="No está en VPC"/>
    <n v="843"/>
    <s v="INTPG_ACC_843_1.35"/>
    <s v="ISEL-1.35"/>
    <n v="1"/>
    <s v="NO TIENE L3OUT"/>
    <n v="38"/>
    <n v="54"/>
  </r>
  <r>
    <n v="797"/>
    <x v="2"/>
    <x v="79"/>
    <s v="eth1/35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35"/>
    <x v="0"/>
    <x v="0"/>
    <x v="0"/>
    <s v="LINK_TO_ITHFHWCBSPSHD41 / Slot7.2_20 / Redundante"/>
    <x v="0"/>
    <b v="0"/>
    <s v="No está en VPC"/>
    <n v="839"/>
    <s v="INTPG_VPC_834_1.35_839_1.35"/>
    <s v="ISEL-1.35"/>
    <n v="2"/>
    <s v="NO TIENE L3OUT"/>
    <n v="0"/>
    <n v="54"/>
  </r>
  <r>
    <n v="847"/>
    <x v="2"/>
    <x v="81"/>
    <s v="eth1/35"/>
    <x v="0"/>
    <x v="0"/>
    <x v="0"/>
    <s v="LINK_TO_ITHFHWCRMPLCN177 / Slot7.1_24 / Redundante"/>
    <x v="0"/>
    <b v="0"/>
    <s v="No está en VPC"/>
    <n v="847"/>
    <s v="INTPG_ACC_847_1.35"/>
    <s v="ISEL-1.35"/>
    <n v="6"/>
    <s v="NO TIENE L3OUT"/>
    <n v="204"/>
    <n v="54"/>
  </r>
  <r>
    <n v="848"/>
    <x v="2"/>
    <x v="82"/>
    <s v="eth1/35"/>
    <x v="0"/>
    <x v="0"/>
    <x v="0"/>
    <s v="LINK_TO_ITHFHWCRMPLCN166 / Slot7.1_34 / Redundante"/>
    <x v="0"/>
    <b v="0"/>
    <s v="No está en VPC"/>
    <n v="848"/>
    <s v="INTPG_ACC_848_1.35"/>
    <s v="ISEL-1.35"/>
    <n v="6"/>
    <s v="NO TIENE L3OUT"/>
    <n v="254"/>
    <n v="54"/>
  </r>
  <r>
    <n v="846"/>
    <x v="2"/>
    <x v="83"/>
    <s v="eth1/35"/>
    <x v="0"/>
    <x v="0"/>
    <x v="0"/>
    <s v="LINK_TO_ITHFHWCRMPLCN83 / Slot1.2_24 / Principal"/>
    <x v="0"/>
    <b v="0"/>
    <s v="No está en VPC"/>
    <n v="846"/>
    <s v="INTPG_ACC_846_1.35"/>
    <s v="ISEL-1.35"/>
    <n v="2"/>
    <s v="NO TIENE L3OUT"/>
    <n v="242"/>
    <n v="54"/>
  </r>
  <r>
    <n v="838"/>
    <x v="2"/>
    <x v="84"/>
    <s v="eth1/35"/>
    <x v="0"/>
    <x v="0"/>
    <x v="0"/>
    <s v="A_ITHFHWSEQLHDPS77_Redundante"/>
    <x v="0"/>
    <b v="0"/>
    <s v="No está en VPC"/>
    <n v="838"/>
    <s v="INTPG_ACC_838_1.35"/>
    <s v="ISEL-1.35"/>
    <n v="1"/>
    <s v="NO TIENE L3OUT"/>
    <n v="38"/>
    <n v="54"/>
  </r>
  <r>
    <n v="849"/>
    <x v="2"/>
    <x v="85"/>
    <s v="eth1/35"/>
    <x v="0"/>
    <x v="0"/>
    <x v="0"/>
    <s v="LINK_TO_ITHFHWCRMPLCN146 / Slot7.1_26 / Redundante"/>
    <x v="0"/>
    <b v="0"/>
    <s v="No está en VPC"/>
    <n v="849"/>
    <s v="INTPG_ACC_849_1.35"/>
    <s v="ISEL-1.35"/>
    <n v="6"/>
    <s v="NO TIENE L3OUT"/>
    <n v="286"/>
    <n v="54"/>
  </r>
  <r>
    <n v="845"/>
    <x v="2"/>
    <x v="86"/>
    <s v="eth1/35"/>
    <x v="0"/>
    <x v="0"/>
    <x v="0"/>
    <s v="LINK_TO_ITHFHWCRMPLCN95 / Slot1.3_22 / Principal"/>
    <x v="0"/>
    <b v="0"/>
    <s v="No está en VPC"/>
    <n v="845"/>
    <s v="INTPG_ACC_845_1.35"/>
    <s v="ISEL-1.35"/>
    <n v="1"/>
    <s v="NO TIENE L3OUT"/>
    <n v="258"/>
    <n v="54"/>
  </r>
  <r>
    <n v="873"/>
    <x v="2"/>
    <x v="87"/>
    <s v="eth1/35"/>
    <x v="0"/>
    <x v="0"/>
    <x v="0"/>
    <s v="TO_ITHHWD6KV65100017DKC01_Principal"/>
    <x v="0"/>
    <b v="0"/>
    <s v="No está en VPC"/>
    <n v="873"/>
    <s v="INTPG_ACC_873_1.35"/>
    <s v="ISEL-1.35"/>
    <n v="1"/>
    <s v="NO TIENE L3OUT"/>
    <n v="248"/>
    <n v="54"/>
  </r>
  <r>
    <n v="864"/>
    <x v="2"/>
    <x v="88"/>
    <s v="eth1/35"/>
    <x v="0"/>
    <x v="0"/>
    <x v="0"/>
    <s v="To_VPC_2DCBSD_WR47_2"/>
    <x v="0"/>
    <b v="0"/>
    <s v="No está en VPC"/>
    <n v="864"/>
    <s v="INTPG_VPC_859_1.35_864_1.35"/>
    <s v="ISEL-1.35"/>
    <n v="1"/>
    <s v="NO TIENE L3OUT"/>
    <n v="0"/>
    <n v="54"/>
  </r>
  <r>
    <n v="836"/>
    <x v="2"/>
    <x v="89"/>
    <s v="eth1/35"/>
    <x v="0"/>
    <x v="0"/>
    <x v="0"/>
    <s v="LINK_TO_ITHFHWCBSPSHD26 / Slot1.1_16 / Principal"/>
    <x v="0"/>
    <b v="0"/>
    <s v="No está en VPC"/>
    <n v="836"/>
    <s v="INTPG_VPC_836_1.35_841_1.35"/>
    <s v="ISEL-1.35"/>
    <n v="2"/>
    <s v="NO TIENE L3OUT"/>
    <n v="0"/>
    <n v="54"/>
  </r>
  <r>
    <n v="834"/>
    <x v="2"/>
    <x v="90"/>
    <s v="eth1/35"/>
    <x v="0"/>
    <x v="0"/>
    <x v="0"/>
    <s v="LINK_TO_ITHFHWCBSPSHD41 / Slot1.2_20 / Principal"/>
    <x v="0"/>
    <b v="0"/>
    <s v="No está en VPC"/>
    <n v="834"/>
    <s v="INTPG_VPC_834_1.35_839_1.35"/>
    <s v="ISEL-1.35"/>
    <n v="2"/>
    <s v="NO TIENE L3OUT"/>
    <n v="0"/>
    <n v="54"/>
  </r>
  <r>
    <n v="872"/>
    <x v="2"/>
    <x v="91"/>
    <s v="eth1/35"/>
    <x v="0"/>
    <x v="0"/>
    <x v="0"/>
    <s v="To_ITHFHWCRMDLCN80_Principal"/>
    <x v="0"/>
    <b v="0"/>
    <s v="No está en VPC"/>
    <n v="872"/>
    <s v="INTPG_ACC_872_1.35"/>
    <s v="ISEL-1.35"/>
    <n v="1"/>
    <s v="NO TIENE L3OUT"/>
    <n v="288"/>
    <n v="54"/>
  </r>
  <r>
    <n v="842"/>
    <x v="2"/>
    <x v="92"/>
    <s v="eth1/35"/>
    <x v="0"/>
    <x v="0"/>
    <x v="0"/>
    <s v="LINK_To_ITHFHWCBSPSHD19 / Slot7.3_14 / Redundante"/>
    <x v="0"/>
    <b v="0"/>
    <s v="No está en VPC"/>
    <n v="842"/>
    <s v="INTPG_VPC_837_1.35_842_1.35"/>
    <s v="ISEL-1.35"/>
    <n v="1"/>
    <s v="NO TIENE L3OUT"/>
    <n v="8"/>
    <n v="54"/>
  </r>
  <r>
    <n v="828"/>
    <x v="2"/>
    <x v="93"/>
    <s v="eth1/35"/>
    <x v="0"/>
    <x v="0"/>
    <x v="0"/>
    <s v="LINK_TO_ITHFHWCRMDLCN27 /Slot5.2 /Principal"/>
    <x v="0"/>
    <b v="0"/>
    <s v="No está en VPC"/>
    <n v="828"/>
    <s v="INTPG_ACC_828_1.35"/>
    <s v="ISEL-1.35"/>
    <n v="5"/>
    <s v="NO TIENE L3OUT"/>
    <n v="192"/>
    <n v="54"/>
  </r>
  <r>
    <n v="870"/>
    <x v="2"/>
    <x v="94"/>
    <s v="eth1/35"/>
    <x v="0"/>
    <x v="0"/>
    <x v="0"/>
    <s v="TO_ITHHWD6KV65100017DKC01_Redundante"/>
    <x v="0"/>
    <b v="0"/>
    <s v="No está en VPC"/>
    <n v="870"/>
    <s v="INTPG_ACC_870_1.35"/>
    <s v="ISEL-1.35"/>
    <n v="1"/>
    <s v="NO TIENE L3OUT"/>
    <n v="248"/>
    <n v="54"/>
  </r>
  <r>
    <n v="866"/>
    <x v="2"/>
    <x v="95"/>
    <s v="eth1/35"/>
    <x v="0"/>
    <x v="0"/>
    <x v="0"/>
    <s v="To_VPC_2DCBSD_BD14_1"/>
    <x v="0"/>
    <b v="0"/>
    <s v="No está en VPC"/>
    <n v="866"/>
    <s v="INTPG_VPC_861_1.35_866_1.35"/>
    <s v="ISEL-1.35"/>
    <n v="2"/>
    <s v="NO TIENE L3OUT"/>
    <n v="8"/>
    <n v="54"/>
  </r>
  <r>
    <n v="862"/>
    <x v="2"/>
    <x v="96"/>
    <s v="eth1/35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35"/>
    <x v="0"/>
    <x v="0"/>
    <x v="0"/>
    <s v="LINK_TO_ITHFHWCRMPLCN166 / Slot1.1_34 / Principal"/>
    <x v="0"/>
    <b v="0"/>
    <s v="No está en VPC"/>
    <n v="855"/>
    <s v="INTPG_ACC_855_1.35"/>
    <s v="ISEL-1.35"/>
    <n v="6"/>
    <s v="NO TIENE L3OUT"/>
    <n v="254"/>
    <n v="54"/>
  </r>
  <r>
    <n v="871"/>
    <x v="2"/>
    <x v="98"/>
    <s v="eth1/35"/>
    <x v="0"/>
    <x v="0"/>
    <x v="0"/>
    <s v="To_ITHFHWCRMDLCN65_Principal"/>
    <x v="0"/>
    <b v="0"/>
    <s v="No está en VPC"/>
    <n v="871"/>
    <s v="INTPG_ACC_871_1.35"/>
    <s v="ISEL-1.35"/>
    <n v="2"/>
    <s v="NO TIENE L3OUT"/>
    <n v="246"/>
    <n v="54"/>
  </r>
  <r>
    <n v="841"/>
    <x v="2"/>
    <x v="99"/>
    <s v="eth1/35"/>
    <x v="0"/>
    <x v="0"/>
    <x v="0"/>
    <s v="LINK_TO_ITHFHWCBSPSHD26 / Slot7.1_16 / Redundante"/>
    <x v="0"/>
    <b v="0"/>
    <s v="No está en VPC"/>
    <n v="841"/>
    <s v="INTPG_VPC_836_1.35_841_1.35"/>
    <s v="ISEL-1.35"/>
    <n v="2"/>
    <s v="NO TIENE L3OUT"/>
    <n v="0"/>
    <n v="54"/>
  </r>
  <r>
    <n v="868"/>
    <x v="2"/>
    <x v="100"/>
    <s v="eth1/35"/>
    <x v="0"/>
    <x v="0"/>
    <x v="0"/>
    <s v="To_ITHFHWCRMDLCN65_Redundante"/>
    <x v="0"/>
    <b v="0"/>
    <s v="No está en VPC"/>
    <n v="868"/>
    <s v="INTPG_ACC_868_1.35"/>
    <s v="ISEL-1.35"/>
    <n v="2"/>
    <s v="NO TIENE L3OUT"/>
    <n v="246"/>
    <n v="54"/>
  </r>
  <r>
    <n v="869"/>
    <x v="2"/>
    <x v="101"/>
    <s v="eth1/35"/>
    <x v="0"/>
    <x v="0"/>
    <x v="0"/>
    <s v="To_ITHFHWCRMDLCN80_Redundante"/>
    <x v="0"/>
    <b v="0"/>
    <s v="No está en VPC"/>
    <n v="869"/>
    <s v="INTPG_ACC_869_1.35"/>
    <s v="ISEL-1.35"/>
    <n v="1"/>
    <s v="NO TIENE L3OUT"/>
    <n v="288"/>
    <n v="54"/>
  </r>
  <r>
    <n v="861"/>
    <x v="2"/>
    <x v="102"/>
    <s v="eth1/35"/>
    <x v="0"/>
    <x v="0"/>
    <x v="0"/>
    <s v="To_VPC_2DCBSD_BD14_1"/>
    <x v="0"/>
    <b v="0"/>
    <s v="No está en VPC"/>
    <n v="861"/>
    <s v="INTPG_VPC_861_1.35_866_1.35"/>
    <s v="ISEL-1.35"/>
    <n v="2"/>
    <s v="NO TIENE L3OUT"/>
    <n v="8"/>
    <n v="54"/>
  </r>
  <r>
    <n v="874"/>
    <x v="2"/>
    <x v="103"/>
    <s v="eth1/35"/>
    <x v="0"/>
    <x v="0"/>
    <x v="0"/>
    <s v="A_ITHFHWSEQLDSS02_Redundante"/>
    <x v="4"/>
    <b v="0"/>
    <s v="No está en VPC"/>
    <n v="874"/>
    <s v="INTPG_ACC_874_1.35"/>
    <s v="ISEL-1.35"/>
    <n v="1"/>
    <s v="NO TIENE L3OUT"/>
    <n v="92"/>
    <n v="54"/>
  </r>
  <r>
    <n v="865"/>
    <x v="2"/>
    <x v="104"/>
    <s v="eth1/35"/>
    <x v="0"/>
    <x v="0"/>
    <x v="0"/>
    <s v="To_VPC_2DCBSD_BD18_2"/>
    <x v="0"/>
    <b v="0"/>
    <s v="No está en VPC"/>
    <n v="865"/>
    <s v="INTPG_VPC_860_1.35_865_1.35"/>
    <s v="ISEL-1.35"/>
    <n v="1"/>
    <s v="NO TIENE L3OUT"/>
    <n v="0"/>
    <n v="54"/>
  </r>
  <r>
    <n v="753"/>
    <x v="2"/>
    <x v="105"/>
    <s v="eth1/35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35"/>
    <x v="0"/>
    <x v="1"/>
    <x v="1"/>
    <s v="CEM_ITHCEMF2KFG18"/>
    <x v="0"/>
    <b v="0"/>
    <s v="No está en VPC"/>
    <n v="708"/>
    <s v="INTPG_VPC_708_1.35_709_1.36"/>
    <s v="ISEL-1.35"/>
    <n v="1"/>
    <s v="NO TIENE L3OUT"/>
    <n v="0"/>
    <n v="54"/>
  </r>
  <r>
    <n v="710"/>
    <x v="2"/>
    <x v="107"/>
    <s v="eth1/35"/>
    <x v="0"/>
    <x v="1"/>
    <x v="1"/>
    <s v="CEM_ITHCEMD2PRT18"/>
    <x v="0"/>
    <b v="0"/>
    <s v="No está en VPC"/>
    <n v="710"/>
    <s v="INTPG_VPC_710_1.35_711_1.36"/>
    <s v="ISEL-1.35"/>
    <n v="1"/>
    <s v="NO TIENE L3OUT"/>
    <n v="16"/>
    <n v="54"/>
  </r>
  <r>
    <n v="713"/>
    <x v="2"/>
    <x v="108"/>
    <s v="eth1/35"/>
    <x v="0"/>
    <x v="1"/>
    <x v="3"/>
    <m/>
    <x v="0"/>
    <b v="0"/>
    <s v="No está en VPC"/>
    <n v="713"/>
    <s v="INTPG_VPC_713_1.35_712_1.36"/>
    <s v="ISEL-1.35"/>
    <n v="0"/>
    <s v="NO TIENE L3OUT"/>
    <n v="32"/>
    <n v="54"/>
  </r>
  <r>
    <n v="735"/>
    <x v="2"/>
    <x v="109"/>
    <s v="eth1/35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35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35"/>
    <x v="1"/>
    <x v="1"/>
    <x v="3"/>
    <m/>
    <x v="0"/>
    <b v="0"/>
    <s v="No está en VPC"/>
    <n v="703"/>
    <s v="INTPG_VPC_706_1.35_705_1.36"/>
    <s v="ISEL-1.35"/>
    <n v="2"/>
    <s v="NO TIENE L3OUT"/>
    <n v="2"/>
    <n v="54"/>
  </r>
  <r>
    <n v="706"/>
    <x v="2"/>
    <x v="112"/>
    <s v="eth1/35"/>
    <x v="0"/>
    <x v="0"/>
    <x v="0"/>
    <m/>
    <x v="0"/>
    <b v="0"/>
    <s v="No está en VPC"/>
    <n v="706"/>
    <s v="INTPG_VPC_706_1.35_705_1.36"/>
    <s v="ISEL-1.35"/>
    <n v="2"/>
    <s v="NO TIENE L3OUT"/>
    <n v="16"/>
    <n v="54"/>
  </r>
  <r>
    <n v="762"/>
    <x v="2"/>
    <x v="113"/>
    <s v="eth1/35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14"/>
    <x v="2"/>
    <x v="114"/>
    <s v="eth1/35"/>
    <x v="0"/>
    <x v="0"/>
    <x v="0"/>
    <s v="LINK_HACIA_SPINE"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35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35"/>
    <x v="0"/>
    <x v="0"/>
    <x v="0"/>
    <s v="LINK_TO_ITHFHWCBSDSWR18 /10GE.1 /Principal"/>
    <x v="0"/>
    <b v="0"/>
    <s v="No está en VPC"/>
    <n v="826"/>
    <s v="INTPG_VPC_826_1.35_830_1.35"/>
    <s v="ISEL-1.35"/>
    <n v="1"/>
    <s v="NO TIENE L3OUT"/>
    <n v="12"/>
    <n v="54"/>
  </r>
  <r>
    <n v="726"/>
    <x v="2"/>
    <x v="117"/>
    <s v="eth1/35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35"/>
    <x v="0"/>
    <x v="0"/>
    <x v="0"/>
    <s v="ITHCEMC2COR18"/>
    <x v="5"/>
    <b v="0"/>
    <s v="No está en VPC"/>
    <n v="740"/>
    <s v="INTPG_ACC_740_1.35"/>
    <s v="ISEL-1.35"/>
    <n v="1"/>
    <s v="NO TIENE L3OUT"/>
    <n v="72"/>
    <n v="54"/>
  </r>
  <r>
    <n v="705"/>
    <x v="2"/>
    <x v="119"/>
    <s v="eth1/35"/>
    <x v="0"/>
    <x v="1"/>
    <x v="3"/>
    <m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35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35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35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35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35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35"/>
    <x v="0"/>
    <x v="1"/>
    <x v="1"/>
    <s v="CEM_ITHCEME2PRT18"/>
    <x v="0"/>
    <b v="0"/>
    <s v="No está en VPC"/>
    <n v="709"/>
    <s v="INTPG_VPC_708_1.36_709_1.35"/>
    <s v="ISEL-1.35"/>
    <n v="1"/>
    <s v="NO TIENE L3OUT"/>
    <n v="0"/>
    <n v="54"/>
  </r>
  <r>
    <n v="454"/>
    <x v="1"/>
    <x v="126"/>
    <s v="eth1/35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35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35"/>
    <x v="0"/>
    <x v="0"/>
    <x v="0"/>
    <s v="LINK_HACIA_SPINE"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35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35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35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35"/>
    <x v="0"/>
    <x v="0"/>
    <x v="0"/>
    <s v="CEM:ITHCEMB2ADT18:LOM P3"/>
    <x v="5"/>
    <b v="0"/>
    <s v="No está en VPC"/>
    <n v="741"/>
    <s v="INTPG_ACC_741_1.35"/>
    <s v="ISEL-1.35"/>
    <n v="1"/>
    <s v="NO TIENE L3OUT"/>
    <n v="62"/>
    <n v="54"/>
  </r>
  <r>
    <n v="787"/>
    <x v="2"/>
    <x v="133"/>
    <s v="eth1/35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35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35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35"/>
    <x v="0"/>
    <x v="1"/>
    <x v="3"/>
    <s v="CEM_HADOOP"/>
    <x v="0"/>
    <b v="0"/>
    <s v="No está en VPC"/>
    <n v="736"/>
    <s v="INTPG_ACC_736_1.35"/>
    <s v="ISEL-1.35"/>
    <n v="0"/>
    <s v="NO TIENE L3OUT"/>
    <n v="48"/>
    <n v="54"/>
  </r>
  <r>
    <n v="799"/>
    <x v="2"/>
    <x v="137"/>
    <s v="eth1/35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35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35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35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35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35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35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35"/>
    <x v="0"/>
    <x v="0"/>
    <x v="0"/>
    <s v="PAAS:ithhwoscopap018:10GE /Pto 1"/>
    <x v="0"/>
    <b v="0"/>
    <s v="No está en VPC"/>
    <n v="774"/>
    <s v="INTPG_VPC_774_1.35_775_1.33"/>
    <s v="ISEL-1.35"/>
    <n v="24"/>
    <s v="NO TIENE L3OUT"/>
    <n v="0"/>
    <n v="54"/>
  </r>
  <r>
    <n v="773"/>
    <x v="2"/>
    <x v="145"/>
    <s v="eth1/35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35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35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35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35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35"/>
    <x v="0"/>
    <x v="0"/>
    <x v="0"/>
    <s v="CLOUD OPS:ithhwcop02en02:4E P4"/>
    <x v="0"/>
    <b v="0"/>
    <s v="No está en VPC"/>
    <n v="781"/>
    <s v="INTPG_VPC_780_1.28-29_34-35_781_1.28-29_34-35"/>
    <s v="ISEL-1.35"/>
    <n v="23"/>
    <s v="NO TIENE L3OUT"/>
    <n v="26"/>
    <n v="54"/>
  </r>
  <r>
    <n v="793"/>
    <x v="2"/>
    <x v="151"/>
    <s v="eth1/35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35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35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35"/>
    <x v="1"/>
    <x v="1"/>
    <x v="3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35"/>
    <x v="0"/>
    <x v="0"/>
    <x v="0"/>
    <s v="TO-ITHHWOSCOAP027"/>
    <x v="0"/>
    <b v="0"/>
    <s v="No está en VPC"/>
    <n v="777"/>
    <s v="INTPG_VPC_776_1.35_777_1.35"/>
    <s v="ISEL-1.35"/>
    <n v="24"/>
    <s v="NO TIENE L3OUT"/>
    <n v="0"/>
    <n v="54"/>
  </r>
  <r>
    <n v="770"/>
    <x v="2"/>
    <x v="156"/>
    <s v="eth1/35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35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35"/>
    <x v="0"/>
    <x v="0"/>
    <x v="0"/>
    <s v="ITHCEMD2PRT18"/>
    <x v="5"/>
    <b v="0"/>
    <s v="No está en VPC"/>
    <n v="739"/>
    <s v="INTPG_ACC_739_1.35"/>
    <s v="ISEL-1.35"/>
    <n v="1"/>
    <s v="NO TIENE L3OUT"/>
    <n v="72"/>
    <n v="54"/>
  </r>
  <r>
    <n v="775"/>
    <x v="2"/>
    <x v="159"/>
    <s v="eth1/35"/>
    <x v="0"/>
    <x v="0"/>
    <x v="0"/>
    <s v="PAAS:ithhwoscopap017:10GE /Pto 1"/>
    <x v="0"/>
    <b v="0"/>
    <s v="No está en VPC"/>
    <n v="775"/>
    <s v="INTPG_VPC_774_1.34_775_1.35"/>
    <s v="ISEL-1.35"/>
    <n v="24"/>
    <s v="NO TIENE L3OUT"/>
    <n v="0"/>
    <n v="54"/>
  </r>
  <r>
    <n v="791"/>
    <x v="2"/>
    <x v="160"/>
    <s v="eth1/35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35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35"/>
    <x v="0"/>
    <x v="0"/>
    <x v="0"/>
    <s v="LINK_TO_ITHFHWCBSDSWR18 /Slot5.1 /Redundante"/>
    <x v="0"/>
    <b v="0"/>
    <s v="No está en VPC"/>
    <n v="830"/>
    <s v="INTPG_VPC_826_1.35_830_1.35"/>
    <s v="ISEL-1.35"/>
    <n v="1"/>
    <s v="NO TIENE L3OUT"/>
    <n v="12"/>
    <n v="54"/>
  </r>
  <r>
    <n v="821"/>
    <x v="2"/>
    <x v="163"/>
    <s v="eth1/35"/>
    <x v="0"/>
    <x v="0"/>
    <x v="0"/>
    <s v="LINK_TO_ITHFHWCBSPSWR18 /Slot5.1 /Redundante"/>
    <x v="0"/>
    <b v="0"/>
    <s v="No está en VPC"/>
    <n v="821"/>
    <s v="INTPG_VPC_816_1.35_821_1.35"/>
    <s v="ISEL-1.35"/>
    <n v="1"/>
    <s v="NO TIENE L3OUT"/>
    <n v="0"/>
    <n v="54"/>
  </r>
  <r>
    <n v="738"/>
    <x v="2"/>
    <x v="164"/>
    <s v="eth1/35"/>
    <x v="0"/>
    <x v="0"/>
    <x v="0"/>
    <s v="ITHCEME2PRT18"/>
    <x v="5"/>
    <b v="0"/>
    <s v="No está en VPC"/>
    <n v="738"/>
    <s v="INTPG_ACC_738_1.35"/>
    <s v="ISEL-1.35"/>
    <n v="1"/>
    <s v="NO TIENE L3OUT"/>
    <n v="72"/>
    <n v="54"/>
  </r>
  <r>
    <n v="820"/>
    <x v="2"/>
    <x v="165"/>
    <s v="eth1/35"/>
    <x v="0"/>
    <x v="0"/>
    <x v="0"/>
    <s v="To_ITHHWD6KV65100010DKC01_Principal"/>
    <x v="0"/>
    <b v="0"/>
    <s v="No está en VPC"/>
    <n v="820"/>
    <s v="INTPG_ACC_820_1.35"/>
    <s v="ISEL-1.35"/>
    <n v="1"/>
    <s v="NO TIENE L3OUT"/>
    <n v="72"/>
    <n v="54"/>
  </r>
  <r>
    <n v="804"/>
    <x v="2"/>
    <x v="166"/>
    <s v="eth1/35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35"/>
    <x v="0"/>
    <x v="0"/>
    <x v="0"/>
    <s v="CLOUD OPS:ithhwcop01st01ce02:A IOM1 Smart IO P1"/>
    <x v="0"/>
    <b v="0"/>
    <s v="No está en VPC"/>
    <n v="779"/>
    <s v="INTPG_ACC_779_1.35"/>
    <s v="ISEL-1.35"/>
    <n v="1"/>
    <s v="NO TIENE L3OUT"/>
    <n v="30"/>
    <n v="54"/>
  </r>
  <r>
    <n v="767"/>
    <x v="2"/>
    <x v="168"/>
    <s v="eth1/35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35"/>
    <x v="0"/>
    <x v="0"/>
    <x v="0"/>
    <s v="LINK_TO_ITHFHWCBSDSWR28 /Slot5.2 /Principal"/>
    <x v="0"/>
    <b v="0"/>
    <s v="No está en VPC"/>
    <n v="827"/>
    <s v="INTPG_VPC_827_1.35_831_1.35"/>
    <s v="ISEL-1.35"/>
    <n v="2"/>
    <s v="NO TIENE L3OUT"/>
    <n v="14"/>
    <n v="54"/>
  </r>
  <r>
    <n v="809"/>
    <x v="2"/>
    <x v="170"/>
    <s v="eth1/35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35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35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35"/>
    <x v="0"/>
    <x v="0"/>
    <x v="0"/>
    <s v="TO-ITHHWOSCOAP027"/>
    <x v="0"/>
    <b v="0"/>
    <s v="No está en VPC"/>
    <n v="776"/>
    <s v="INTPG_VPC_776_1.35_777_1.35"/>
    <s v="ISEL-1.35"/>
    <n v="24"/>
    <s v="NO TIENE L3OUT"/>
    <n v="0"/>
    <n v="54"/>
  </r>
  <r>
    <n v="805"/>
    <x v="2"/>
    <x v="174"/>
    <s v="eth1/35"/>
    <x v="1"/>
    <x v="1"/>
    <x v="3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35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35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35"/>
    <x v="0"/>
    <x v="0"/>
    <x v="0"/>
    <s v="LINK_TO_ITHFHWCRMPLCN112 / Slot7.2_28 / Redundante"/>
    <x v="0"/>
    <b v="0"/>
    <s v="No está en VPC"/>
    <n v="851"/>
    <s v="INTPG_ACC_851_1.35"/>
    <s v="ISEL-1.35"/>
    <n v="2"/>
    <s v="NO TIENE L3OUT"/>
    <n v="282"/>
    <n v="54"/>
  </r>
  <r>
    <n v="798"/>
    <x v="2"/>
    <x v="178"/>
    <s v="eth1/35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35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35"/>
    <x v="0"/>
    <x v="0"/>
    <x v="0"/>
    <s v="LINK_TO_ITHFHWCRMPLCN95 / Slot7.3_22 / Redundante"/>
    <x v="0"/>
    <b v="0"/>
    <s v="No está en VPC"/>
    <n v="852"/>
    <s v="INTPG_ACC_852_1.35"/>
    <s v="ISEL-1.35"/>
    <n v="1"/>
    <s v="NO TIENE L3OUT"/>
    <n v="258"/>
    <n v="54"/>
  </r>
  <r>
    <n v="817"/>
    <x v="2"/>
    <x v="181"/>
    <s v="eth1/35"/>
    <x v="0"/>
    <x v="0"/>
    <x v="0"/>
    <s v="LINK_TO_ITHFHWCBSPSWR25 /10GE.1 /Principal"/>
    <x v="0"/>
    <b v="0"/>
    <s v="No está en VPC"/>
    <n v="817"/>
    <s v="INTPG_VPC_817_1.35_822_1.35"/>
    <s v="ISEL-1.35"/>
    <n v="1"/>
    <s v="NO TIENE L3OUT"/>
    <n v="0"/>
    <n v="54"/>
  </r>
  <r>
    <n v="832"/>
    <x v="2"/>
    <x v="182"/>
    <s v="eth1/35"/>
    <x v="0"/>
    <x v="0"/>
    <x v="0"/>
    <s v="LINK_TO_ITHFHWCRMDLCN27 /Slot7.2 /Redundante"/>
    <x v="0"/>
    <b v="0"/>
    <s v="No está en VPC"/>
    <n v="832"/>
    <s v="INTPG_ACC_832_1.35"/>
    <s v="ISEL-1.35"/>
    <n v="5"/>
    <s v="NO TIENE L3OUT"/>
    <n v="192"/>
    <n v="54"/>
  </r>
  <r>
    <n v="816"/>
    <x v="2"/>
    <x v="183"/>
    <s v="eth1/35"/>
    <x v="0"/>
    <x v="0"/>
    <x v="0"/>
    <s v="LINK_TO_ITHFHWCBSPSWR18 /10GE.1 /Principal"/>
    <x v="0"/>
    <b v="0"/>
    <s v="No está en VPC"/>
    <n v="816"/>
    <s v="INTPG_VPC_816_1.35_821_1.35"/>
    <s v="ISEL-1.35"/>
    <n v="1"/>
    <s v="NO TIENE L3OUT"/>
    <n v="0"/>
    <n v="54"/>
  </r>
  <r>
    <n v="825"/>
    <x v="2"/>
    <x v="184"/>
    <s v="eth1/35"/>
    <x v="0"/>
    <x v="0"/>
    <x v="0"/>
    <s v="To_ITHHWD6KV65100010DKC01_Redundante"/>
    <x v="0"/>
    <b v="0"/>
    <s v="No está en VPC"/>
    <n v="825"/>
    <s v="INTPG_ACC_825_1.35"/>
    <s v="ISEL-1.35"/>
    <n v="1"/>
    <s v="NO TIENE L3OUT"/>
    <n v="72"/>
    <n v="54"/>
  </r>
  <r>
    <n v="800"/>
    <x v="2"/>
    <x v="185"/>
    <s v="eth1/35"/>
    <x v="0"/>
    <x v="0"/>
    <x v="0"/>
    <s v="TO-9S_IVR_IXT3_10518_01"/>
    <x v="0"/>
    <b v="0"/>
    <s v="No está en VPC"/>
    <n v="800"/>
    <s v="INTPG_VPC_800_1.32-35_801_1.32-35"/>
    <s v="ISEL-1.35"/>
    <n v="24"/>
    <s v="NO TIENE L3OUT"/>
    <n v="78"/>
    <n v="54"/>
  </r>
  <r>
    <n v="801"/>
    <x v="2"/>
    <x v="186"/>
    <s v="eth1/35"/>
    <x v="0"/>
    <x v="0"/>
    <x v="0"/>
    <s v="TO-9S_IVR_IXT3_10518_01"/>
    <x v="0"/>
    <b v="0"/>
    <s v="No está en VPC"/>
    <n v="801"/>
    <s v="INTPG_VPC_800_1.32-35_801_1.32-35"/>
    <s v="ISEL-1.35"/>
    <n v="24"/>
    <s v="NO TIENE L3OUT"/>
    <n v="78"/>
    <n v="54"/>
  </r>
  <r>
    <n v="823"/>
    <x v="2"/>
    <x v="187"/>
    <s v="eth1/35"/>
    <x v="0"/>
    <x v="0"/>
    <x v="0"/>
    <s v="LINK_TO_ITHFHWCBSPSWR36 /Slot7.2 /Redundante"/>
    <x v="0"/>
    <b v="0"/>
    <s v="No está en VPC"/>
    <n v="823"/>
    <s v="INTPG_VPC_818_1.35_823_1.35"/>
    <s v="ISEL-1.35"/>
    <n v="2"/>
    <s v="NO TIENE L3OUT"/>
    <n v="8"/>
    <n v="54"/>
  </r>
  <r>
    <n v="837"/>
    <x v="2"/>
    <x v="188"/>
    <s v="eth1/35"/>
    <x v="0"/>
    <x v="0"/>
    <x v="0"/>
    <s v="LINK_To_ITHFHWCBSPSHD19 / Slot1.3_14 / Principal"/>
    <x v="0"/>
    <b v="0"/>
    <s v="No está en VPC"/>
    <n v="837"/>
    <s v="INTPG_VPC_837_1.35_842_1.35"/>
    <s v="ISEL-1.35"/>
    <n v="1"/>
    <s v="NO TIENE L3OUT"/>
    <n v="8"/>
    <n v="54"/>
  </r>
  <r>
    <n v="867"/>
    <x v="2"/>
    <x v="189"/>
    <s v="eth1/35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35"/>
    <x v="0"/>
    <x v="0"/>
    <x v="0"/>
    <s v="To_ITHFHWCRMDLCN46_Principal"/>
    <x v="0"/>
    <b v="0"/>
    <s v="No está en VPC"/>
    <n v="829"/>
    <s v="INTPG_ACC_829_1.35"/>
    <s v="ISEL-1.35"/>
    <n v="1"/>
    <s v="NO TIENE L3OUT"/>
    <n v="224"/>
    <n v="54"/>
  </r>
  <r>
    <n v="831"/>
    <x v="2"/>
    <x v="191"/>
    <s v="eth1/35"/>
    <x v="0"/>
    <x v="0"/>
    <x v="0"/>
    <s v="LINK_TO_ITHFHWCBSDSWR28 /Slot7.2 /Redundante"/>
    <x v="0"/>
    <b v="0"/>
    <s v="No está en VPC"/>
    <n v="831"/>
    <s v="INTPG_VPC_827_1.35_831_1.35"/>
    <s v="ISEL-1.35"/>
    <n v="2"/>
    <s v="NO TIENE L3OUT"/>
    <n v="14"/>
    <n v="54"/>
  </r>
  <r>
    <n v="802"/>
    <x v="2"/>
    <x v="192"/>
    <s v="eth1/35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35"/>
    <x v="0"/>
    <x v="0"/>
    <x v="0"/>
    <s v="LINK_TO_ITHFHWCBSPSHD34 / Slot1.1_20 / Principal"/>
    <x v="0"/>
    <b v="0"/>
    <s v="No está en VPC"/>
    <n v="835"/>
    <s v="INTPG_VPC_835_1.35_840_1.35"/>
    <s v="ISEL-1.35"/>
    <n v="2"/>
    <s v="NO TIENE L3OUT"/>
    <n v="8"/>
    <n v="54"/>
  </r>
  <r>
    <n v="822"/>
    <x v="2"/>
    <x v="194"/>
    <s v="eth1/35"/>
    <x v="0"/>
    <x v="0"/>
    <x v="0"/>
    <s v="LINK_TO_ITHFHWCBSPSWR25 /Slot5.1 /Redundante"/>
    <x v="0"/>
    <b v="0"/>
    <s v="No está en VPC"/>
    <n v="822"/>
    <s v="INTPG_VPC_817_1.35_822_1.35"/>
    <s v="ISEL-1.35"/>
    <n v="1"/>
    <s v="NO TIENE L3OUT"/>
    <n v="0"/>
    <n v="54"/>
  </r>
  <r>
    <n v="854"/>
    <x v="2"/>
    <x v="195"/>
    <s v="eth1/35"/>
    <x v="0"/>
    <x v="0"/>
    <x v="0"/>
    <s v="LINK_TO_ITHFHWCRMPLCN177 / Slot1.1_24 / Principal"/>
    <x v="0"/>
    <b v="0"/>
    <s v="No está en VPC"/>
    <n v="854"/>
    <s v="INTPG_ACC_854_1.35"/>
    <s v="ISEL-1.35"/>
    <n v="6"/>
    <s v="NO TIENE L3OUT"/>
    <n v="204"/>
    <n v="54"/>
  </r>
  <r>
    <n v="858"/>
    <x v="2"/>
    <x v="196"/>
    <s v="eth1/35"/>
    <x v="0"/>
    <x v="0"/>
    <x v="0"/>
    <s v="To_VPC_2DCBSD_WR56_2"/>
    <x v="0"/>
    <b v="0"/>
    <s v="No está en VPC"/>
    <n v="858"/>
    <s v="INTPG_VPC_858_1.35_863_1.35"/>
    <s v="ISEL-1.35"/>
    <n v="1"/>
    <s v="NO TIENE L3OUT"/>
    <n v="8"/>
    <n v="54"/>
  </r>
  <r>
    <n v="857"/>
    <x v="2"/>
    <x v="197"/>
    <s v="eth1/35"/>
    <x v="0"/>
    <x v="0"/>
    <x v="0"/>
    <s v="LINKT_TO_ITHFHWCRMPLCN127 / Slot1.1_24 / Principal"/>
    <x v="0"/>
    <b v="0"/>
    <s v="No está en VPC"/>
    <n v="857"/>
    <s v="INTPG_ACC_857_1.35"/>
    <s v="ISEL-1.35"/>
    <n v="6"/>
    <s v="NO TIENE L3OUT"/>
    <n v="288"/>
    <n v="54"/>
  </r>
  <r>
    <n v="859"/>
    <x v="2"/>
    <x v="198"/>
    <s v="eth1/35"/>
    <x v="0"/>
    <x v="0"/>
    <x v="0"/>
    <s v="To_VPC_2DCBSD_WR47_2"/>
    <x v="0"/>
    <b v="0"/>
    <s v="No está en VPC"/>
    <n v="859"/>
    <s v="INTPG_VPC_859_1.35_864_1.35"/>
    <s v="ISEL-1.35"/>
    <n v="1"/>
    <s v="NO TIENE L3OUT"/>
    <n v="0"/>
    <n v="54"/>
  </r>
  <r>
    <n v="833"/>
    <x v="2"/>
    <x v="199"/>
    <s v="eth1/35"/>
    <x v="0"/>
    <x v="0"/>
    <x v="0"/>
    <s v="To_ITHFHWCRMDLCN46_Redundante"/>
    <x v="0"/>
    <b v="0"/>
    <s v="No está en VPC"/>
    <n v="833"/>
    <s v="INTPG_ACC_833_1.35"/>
    <s v="ISEL-1.35"/>
    <n v="1"/>
    <s v="NO TIENE L3OUT"/>
    <n v="224"/>
    <n v="54"/>
  </r>
  <r>
    <n v="818"/>
    <x v="2"/>
    <x v="200"/>
    <s v="eth1/35"/>
    <x v="0"/>
    <x v="0"/>
    <x v="0"/>
    <s v="LINK_TO_ITHFHWCBSPSWR36 /Slot5.2 /Principal"/>
    <x v="0"/>
    <b v="0"/>
    <s v="No está en VPC"/>
    <n v="818"/>
    <s v="INTPG_VPC_818_1.35_823_1.35"/>
    <s v="ISEL-1.35"/>
    <n v="2"/>
    <s v="NO TIENE L3OUT"/>
    <n v="8"/>
    <n v="54"/>
  </r>
  <r>
    <n v="850"/>
    <x v="2"/>
    <x v="201"/>
    <s v="eth1/35"/>
    <x v="0"/>
    <x v="0"/>
    <x v="0"/>
    <s v="LINKT_TO_ITHFHWCRMPLCN127 / Slot7.1_24 / Redundante"/>
    <x v="0"/>
    <b v="0"/>
    <s v="No está en VPC"/>
    <n v="850"/>
    <s v="INTPG_ACC_850_1.35"/>
    <s v="ISEL-1.35"/>
    <n v="6"/>
    <s v="NO TIENE L3OUT"/>
    <n v="288"/>
    <n v="54"/>
  </r>
  <r>
    <n v="860"/>
    <x v="2"/>
    <x v="202"/>
    <s v="eth1/35"/>
    <x v="0"/>
    <x v="0"/>
    <x v="0"/>
    <s v="To_VPC_2DCBSD_BD18_2"/>
    <x v="0"/>
    <b v="0"/>
    <s v="No está en VPC"/>
    <n v="860"/>
    <s v="INTPG_VPC_860_1.35_865_1.35"/>
    <s v="ISEL-1.35"/>
    <n v="1"/>
    <s v="NO TIENE L3OUT"/>
    <n v="0"/>
    <n v="54"/>
  </r>
  <r>
    <n v="853"/>
    <x v="2"/>
    <x v="203"/>
    <s v="eth1/35"/>
    <x v="0"/>
    <x v="0"/>
    <x v="0"/>
    <s v="LINK_TO_ITHFHWCRMPLCN83 / Slot7.2_24 / Redundante"/>
    <x v="0"/>
    <b v="0"/>
    <s v="No está en VPC"/>
    <n v="853"/>
    <s v="INTPG_ACC_853_1.35"/>
    <s v="ISEL-1.35"/>
    <n v="2"/>
    <s v="NO TIENE L3OUT"/>
    <n v="242"/>
    <n v="54"/>
  </r>
  <r>
    <n v="790"/>
    <x v="2"/>
    <x v="204"/>
    <s v="eth1/35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35"/>
    <x v="0"/>
    <x v="1"/>
    <x v="1"/>
    <s v="DESC"/>
    <x v="6"/>
    <b v="0"/>
    <s v="No está en VPC"/>
    <n v="105"/>
    <s v="INTPG_PC_105_1.1-4_32-35"/>
    <s v="ISEL-1.35"/>
    <n v="17"/>
    <s v="NO TIENE L3OUT"/>
    <n v="106"/>
    <n v="96"/>
  </r>
  <r>
    <n v="117"/>
    <x v="0"/>
    <x v="206"/>
    <s v="eth1/35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35"/>
    <x v="1"/>
    <x v="1"/>
    <x v="2"/>
    <s v="DESC"/>
    <x v="6"/>
    <b v="0"/>
    <s v="No está en VPC"/>
    <n v="104"/>
    <s v="INTPG_PC_104_1.32-39"/>
    <s v="ISEL-1.35"/>
    <n v="0"/>
    <s v="NO TIENE L3OUT"/>
    <n v="194"/>
    <n v="96"/>
  </r>
  <r>
    <n v="158"/>
    <x v="0"/>
    <x v="208"/>
    <s v="eth1/35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35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35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35"/>
    <x v="0"/>
    <x v="0"/>
    <x v="0"/>
    <m/>
    <x v="6"/>
    <b v="0"/>
    <s v="No está en VPC"/>
    <n v="108"/>
    <s v="INTPG_ACC_108_1.35"/>
    <s v="ISEL-1.35"/>
    <n v="1"/>
    <s v="NO TIENE L3OUT"/>
    <n v="126"/>
    <n v="96"/>
  </r>
  <r>
    <n v="112"/>
    <x v="0"/>
    <x v="212"/>
    <s v="eth1/35"/>
    <x v="0"/>
    <x v="0"/>
    <x v="0"/>
    <s v="CHARGING SYSTEM"/>
    <x v="6"/>
    <b v="0"/>
    <s v="No está en VPC"/>
    <n v="112"/>
    <s v="INTPG_ACC_112_1.35"/>
    <s v="ISEL-1.35"/>
    <n v="1"/>
    <s v="NO TIENE L3OUT"/>
    <n v="144"/>
    <n v="96"/>
  </r>
  <r>
    <n v="107"/>
    <x v="0"/>
    <x v="213"/>
    <s v="eth1/35"/>
    <x v="0"/>
    <x v="0"/>
    <x v="0"/>
    <s v="OPEN VIEW BACK"/>
    <x v="6"/>
    <b v="0"/>
    <s v="No está en VPC"/>
    <n v="107"/>
    <s v="INTPG_ACC_107_1.35"/>
    <s v="ISEL-1.35"/>
    <n v="1"/>
    <s v="NO TIENE L3OUT"/>
    <n v="118"/>
    <n v="96"/>
  </r>
  <r>
    <n v="109"/>
    <x v="0"/>
    <x v="214"/>
    <s v="eth1/35"/>
    <x v="0"/>
    <x v="1"/>
    <x v="1"/>
    <m/>
    <x v="6"/>
    <b v="0"/>
    <s v="No está en VPC"/>
    <n v="109"/>
    <s v="INTPG_ACC_109_1.35"/>
    <s v="ISEL-1.35"/>
    <n v="1"/>
    <s v="NO TIENE L3OUT"/>
    <n v="126"/>
    <n v="96"/>
  </r>
  <r>
    <n v="113"/>
    <x v="0"/>
    <x v="215"/>
    <s v="eth1/35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35"/>
    <x v="0"/>
    <x v="0"/>
    <x v="0"/>
    <s v="CHARGING SYSTEM"/>
    <x v="6"/>
    <b v="0"/>
    <s v="No está en VPC"/>
    <n v="114"/>
    <s v="INTPG_ACC_114_1.35"/>
    <s v="ISEL-1.35"/>
    <n v="1"/>
    <s v="NO TIENE L3OUT"/>
    <n v="144"/>
    <n v="96"/>
  </r>
  <r>
    <n v="124"/>
    <x v="0"/>
    <x v="217"/>
    <s v="eth1/35"/>
    <x v="0"/>
    <x v="0"/>
    <x v="0"/>
    <s v="ixtossgw2"/>
    <x v="6"/>
    <b v="0"/>
    <s v="No está en VPC"/>
    <n v="124"/>
    <s v="INTPG_ACC_124_1.35"/>
    <s v="ISEL-1.35"/>
    <n v="1"/>
    <s v="NO TIENE L3OUT"/>
    <n v="80"/>
    <n v="96"/>
  </r>
  <r>
    <n v="118"/>
    <x v="0"/>
    <x v="218"/>
    <s v="eth1/35"/>
    <x v="0"/>
    <x v="0"/>
    <x v="0"/>
    <s v="INGE6"/>
    <x v="6"/>
    <b v="0"/>
    <s v="No está en VPC"/>
    <n v="118"/>
    <s v="INTPG_ACC_118_1.35"/>
    <s v="ISEL-1.35"/>
    <n v="1"/>
    <s v="NO TIENE L3OUT"/>
    <n v="180"/>
    <n v="96"/>
  </r>
  <r>
    <n v="159"/>
    <x v="0"/>
    <x v="219"/>
    <s v="eth1/35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35"/>
    <x v="0"/>
    <x v="0"/>
    <x v="0"/>
    <s v="LINK_TO_ITHFHWCBSPSHD34 / Slot7.1_20 / Redundante"/>
    <x v="0"/>
    <b v="0"/>
    <s v="No está en VPC"/>
    <n v="840"/>
    <s v="INTPG_VPC_835_1.35_840_1.35"/>
    <s v="ISEL-1.35"/>
    <n v="2"/>
    <s v="NO TIENE L3OUT"/>
    <n v="8"/>
    <n v="54"/>
  </r>
  <r>
    <n v="856"/>
    <x v="2"/>
    <x v="221"/>
    <s v="eth1/35"/>
    <x v="0"/>
    <x v="0"/>
    <x v="0"/>
    <s v="LINK_TO_ITHFHWCRMPLCN146 / Slot1.1_26 / Principal"/>
    <x v="0"/>
    <b v="0"/>
    <s v="No está en VPC"/>
    <n v="856"/>
    <s v="INTPG_ACC_856_1.35"/>
    <s v="ISEL-1.35"/>
    <n v="6"/>
    <s v="NO TIENE L3OUT"/>
    <n v="286"/>
    <n v="54"/>
  </r>
  <r>
    <n v="110"/>
    <x v="0"/>
    <x v="222"/>
    <s v="eth1/35"/>
    <x v="0"/>
    <x v="0"/>
    <x v="0"/>
    <s v="RACKS VMTLCLAMX1"/>
    <x v="6"/>
    <b v="0"/>
    <s v="No está en VPC"/>
    <n v="110"/>
    <s v="INTPG_ACC_110_1.35"/>
    <s v="ISEL-1.35"/>
    <n v="1"/>
    <s v="NO TIENE L3OUT"/>
    <n v="102"/>
    <n v="96"/>
  </r>
  <r>
    <n v="163"/>
    <x v="0"/>
    <x v="223"/>
    <s v="eth1/35"/>
    <x v="0"/>
    <x v="0"/>
    <x v="0"/>
    <s v="MULTIMEDIACION"/>
    <x v="6"/>
    <b v="0"/>
    <s v="No está en VPC"/>
    <n v="163"/>
    <s v="INTPG_ACC_163_1.35"/>
    <s v="ISEL-1.35"/>
    <n v="1"/>
    <s v="NO TIENE L3OUT"/>
    <n v="140"/>
    <n v="96"/>
  </r>
  <r>
    <n v="407"/>
    <x v="1"/>
    <x v="224"/>
    <s v="eth1/35"/>
    <x v="0"/>
    <x v="0"/>
    <x v="0"/>
    <s v="DCXPROD 2_CP_0"/>
    <x v="6"/>
    <b v="0"/>
    <s v="No está en VPC"/>
    <n v="407"/>
    <s v="INTPG_ACC_407_1.35"/>
    <s v="ISEL-1.35"/>
    <n v="1"/>
    <s v="NO TIENE L3OUT"/>
    <n v="122"/>
    <n v="96"/>
  </r>
  <r>
    <n v="171"/>
    <x v="0"/>
    <x v="225"/>
    <s v="eth1/35"/>
    <x v="0"/>
    <x v="1"/>
    <x v="1"/>
    <s v="Optimus"/>
    <x v="6"/>
    <b v="0"/>
    <s v="No está en VPC"/>
    <n v="171"/>
    <s v="INTPG_ACC_171_1.35"/>
    <s v="ISEL-1.35"/>
    <n v="1"/>
    <s v="NO TIENE L3OUT"/>
    <n v="114"/>
    <n v="96"/>
  </r>
  <r>
    <n v="421"/>
    <x v="1"/>
    <x v="226"/>
    <s v="eth1/35"/>
    <x v="0"/>
    <x v="1"/>
    <x v="1"/>
    <s v="VTA_uxvta081_XSCF"/>
    <x v="6"/>
    <b v="0"/>
    <s v="No está en VPC"/>
    <n v="421"/>
    <s v="INTPG_ACC_421_1.35"/>
    <s v="ISEL-1.35"/>
    <n v="1"/>
    <s v="NO TIENE L3OUT"/>
    <n v="72"/>
    <n v="96"/>
  </r>
  <r>
    <n v="173"/>
    <x v="0"/>
    <x v="227"/>
    <s v="eth1/35"/>
    <x v="0"/>
    <x v="0"/>
    <x v="0"/>
    <s v="ENIQ"/>
    <x v="6"/>
    <b v="0"/>
    <s v="No está en VPC"/>
    <n v="173"/>
    <s v="INTPG_ACC_173_1.35"/>
    <s v="ISEL-1.35"/>
    <n v="1"/>
    <s v="NO TIENE L3OUT"/>
    <n v="66"/>
    <n v="96"/>
  </r>
  <r>
    <n v="154"/>
    <x v="0"/>
    <x v="228"/>
    <s v="eth1/35"/>
    <x v="0"/>
    <x v="0"/>
    <x v="0"/>
    <s v="POLYVIEW_SERVIDOR"/>
    <x v="6"/>
    <b v="0"/>
    <s v="No está en VPC"/>
    <n v="154"/>
    <s v="INTPG_ACC_154_1.35"/>
    <s v="ISEL-1.35"/>
    <n v="1"/>
    <s v="NO TIENE L3OUT"/>
    <n v="62"/>
    <n v="96"/>
  </r>
  <r>
    <n v="172"/>
    <x v="0"/>
    <x v="229"/>
    <s v="eth1/35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35"/>
    <x v="0"/>
    <x v="0"/>
    <x v="0"/>
    <s v="TO-ITHFDEOCP1LWR06-PRINCIPAL"/>
    <x v="6"/>
    <b v="0"/>
    <s v="No está en VPC"/>
    <n v="420"/>
    <s v="INTPG_ACC_420_1.35"/>
    <s v="ISEL-1.35"/>
    <n v="1"/>
    <s v="NO TIENE L3OUT"/>
    <n v="158"/>
    <n v="96"/>
  </r>
  <r>
    <n v="423"/>
    <x v="1"/>
    <x v="231"/>
    <s v="eth1/35"/>
    <x v="0"/>
    <x v="0"/>
    <x v="0"/>
    <s v="SPECSERVER1_ETH2"/>
    <x v="6"/>
    <b v="0"/>
    <s v="No está en VPC"/>
    <n v="423"/>
    <s v="INTPG_ACC_423_1.35"/>
    <s v="ISEL-1.35"/>
    <n v="1"/>
    <s v="NO TIENE L3OUT"/>
    <n v="86"/>
    <n v="96"/>
  </r>
  <r>
    <n v="415"/>
    <x v="1"/>
    <x v="232"/>
    <s v="eth1/35"/>
    <x v="0"/>
    <x v="0"/>
    <x v="0"/>
    <s v="To-uxingemc3 ldom 1 uxinghdr1"/>
    <x v="6"/>
    <b v="0"/>
    <s v="No está en VPC"/>
    <n v="415"/>
    <s v="INTPG_ACC_415_1.35"/>
    <s v="ISEL-1.35"/>
    <n v="1"/>
    <s v="NO TIENE L3OUT"/>
    <n v="52"/>
    <n v="96"/>
  </r>
  <r>
    <n v="102"/>
    <x v="0"/>
    <x v="233"/>
    <s v="eth1/35"/>
    <x v="0"/>
    <x v="1"/>
    <x v="1"/>
    <s v="SFLDI:RLDICRS01:1"/>
    <x v="6"/>
    <b v="0"/>
    <s v="No está en VPC"/>
    <n v="102"/>
    <s v="INTPG_ACC_102_1.35"/>
    <s v="ISEL-1.35"/>
    <n v="1"/>
    <s v="NO TIENE L3OUT"/>
    <n v="228"/>
    <n v="96"/>
  </r>
  <r>
    <n v="863"/>
    <x v="2"/>
    <x v="234"/>
    <s v="eth1/35"/>
    <x v="0"/>
    <x v="0"/>
    <x v="0"/>
    <s v="To_VPC_2DCBSD_WR56_2"/>
    <x v="0"/>
    <b v="0"/>
    <s v="No está en VPC"/>
    <n v="863"/>
    <s v="INTPG_VPC_858_1.35_863_1.35"/>
    <s v="ISEL-1.35"/>
    <n v="1"/>
    <s v="NO TIENE L3OUT"/>
    <n v="8"/>
    <n v="54"/>
  </r>
  <r>
    <n v="876"/>
    <x v="2"/>
    <x v="235"/>
    <s v="eth1/35"/>
    <x v="0"/>
    <x v="0"/>
    <x v="0"/>
    <s v="A_ITHFHWSEQLDSS02_Principal"/>
    <x v="4"/>
    <b v="0"/>
    <s v="No está en VPC"/>
    <n v="876"/>
    <s v="INTPG_ACC_876_1.35"/>
    <s v="ISEL-1.35"/>
    <n v="1"/>
    <s v="NO TIENE L3OUT"/>
    <n v="92"/>
    <n v="54"/>
  </r>
  <r>
    <n v="877"/>
    <x v="2"/>
    <x v="236"/>
    <s v="eth1/35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35"/>
    <x v="0"/>
    <x v="0"/>
    <x v="0"/>
    <s v="IXTRTC5"/>
    <x v="6"/>
    <b v="0"/>
    <s v="No está en VPC"/>
    <n v="122"/>
    <s v="INTPG_ACC_122_1.35"/>
    <s v="ISEL-1.35"/>
    <n v="1"/>
    <s v="NO TIENE L3OUT"/>
    <n v="148"/>
    <n v="96"/>
  </r>
  <r>
    <n v="157"/>
    <x v="0"/>
    <x v="238"/>
    <s v="eth1/35"/>
    <x v="0"/>
    <x v="1"/>
    <x v="1"/>
    <s v="GESTOR HUAWEI U2000 MW Tx"/>
    <x v="6"/>
    <b v="0"/>
    <s v="No está en VPC"/>
    <n v="157"/>
    <s v="INTPG_ACC_157_1.35"/>
    <s v="ISEL-1.35"/>
    <n v="1"/>
    <s v="NO TIENE L3OUT"/>
    <n v="202"/>
    <n v="96"/>
  </r>
  <r>
    <n v="408"/>
    <x v="1"/>
    <x v="239"/>
    <s v="eth1/35"/>
    <x v="0"/>
    <x v="0"/>
    <x v="0"/>
    <s v="WMS101"/>
    <x v="6"/>
    <b v="0"/>
    <s v="No está en VPC"/>
    <n v="408"/>
    <s v="INTPG_ACC_408_1.35"/>
    <s v="ISEL-1.35"/>
    <n v="1"/>
    <s v="NO TIENE L3OUT"/>
    <n v="152"/>
    <n v="96"/>
  </r>
  <r>
    <n v="405"/>
    <x v="1"/>
    <x v="240"/>
    <s v="eth1/35"/>
    <x v="0"/>
    <x v="0"/>
    <x v="0"/>
    <s v="IXT_ARIESO7_LDR8"/>
    <x v="6"/>
    <b v="0"/>
    <s v="No está en VPC"/>
    <n v="405"/>
    <s v="INTPG_ACC_405_1.35"/>
    <s v="ISEL-1.35"/>
    <n v="1"/>
    <s v="NO TIENE L3OUT"/>
    <n v="138"/>
    <n v="96"/>
  </r>
  <r>
    <n v="169"/>
    <x v="0"/>
    <x v="241"/>
    <s v="eth1/35"/>
    <x v="0"/>
    <x v="0"/>
    <x v="0"/>
    <s v="TO-ITHFDENBURBKP03(IXTFDLBKP8RAP)-PRINCIPAL"/>
    <x v="6"/>
    <b v="0"/>
    <s v="No está en VPC"/>
    <n v="169"/>
    <s v="INTPG_ACC_169_1.35"/>
    <s v="ISEL-1.35"/>
    <n v="1"/>
    <s v="NO TIENE L3OUT"/>
    <n v="76"/>
    <n v="96"/>
  </r>
  <r>
    <n v="165"/>
    <x v="0"/>
    <x v="242"/>
    <s v="eth1/35"/>
    <x v="0"/>
    <x v="0"/>
    <x v="0"/>
    <s v="SERVIDOR WEB"/>
    <x v="6"/>
    <b v="0"/>
    <s v="No está en VPC"/>
    <n v="165"/>
    <s v="INTPG_ACC_165_1.35"/>
    <s v="ISEL-1.35"/>
    <n v="1"/>
    <s v="NO TIENE L3OUT"/>
    <n v="86"/>
    <n v="96"/>
  </r>
  <r>
    <n v="417"/>
    <x v="1"/>
    <x v="243"/>
    <s v="eth1/35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35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35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35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35"/>
    <x v="0"/>
    <x v="1"/>
    <x v="1"/>
    <s v="EHEALTH:ehealthp04:NET01"/>
    <x v="6"/>
    <b v="0"/>
    <s v="No está en VPC"/>
    <n v="103"/>
    <s v="INTPG_ACC_103_1.35"/>
    <s v="ISEL-1.35"/>
    <n v="1"/>
    <s v="NO TIENE L3OUT"/>
    <n v="70"/>
    <n v="96"/>
  </r>
  <r>
    <n v="438"/>
    <x v="1"/>
    <x v="248"/>
    <s v="eth1/35"/>
    <x v="0"/>
    <x v="0"/>
    <x v="0"/>
    <s v="DESC"/>
    <x v="6"/>
    <b v="0"/>
    <s v="No está en VPC"/>
    <n v="438"/>
    <s v="INTPG_PC_438_1.30-35"/>
    <s v="ISEL-1.35"/>
    <n v="7"/>
    <s v="NO TIENE L3OUT"/>
    <n v="170"/>
    <n v="96"/>
  </r>
  <r>
    <n v="406"/>
    <x v="1"/>
    <x v="249"/>
    <s v="eth1/35"/>
    <x v="0"/>
    <x v="0"/>
    <x v="0"/>
    <s v="PCRF3_CLT"/>
    <x v="6"/>
    <b v="0"/>
    <s v="No está en VPC"/>
    <n v="406"/>
    <s v="INTPG_VPC_404_1.35-36_406_1.35-36"/>
    <s v="ISEL-1.35"/>
    <n v="5"/>
    <s v="NO TIENE L3OUT"/>
    <n v="82"/>
    <n v="96"/>
  </r>
  <r>
    <n v="414"/>
    <x v="1"/>
    <x v="250"/>
    <s v="eth1/35"/>
    <x v="0"/>
    <x v="1"/>
    <x v="1"/>
    <s v="PAPERLES_ITHFNET2_DD_PTO1"/>
    <x v="6"/>
    <b v="0"/>
    <s v="No está en VPC"/>
    <n v="414"/>
    <s v="INTPG_ACC_414_1.35"/>
    <s v="ISEL-1.35"/>
    <n v="1"/>
    <s v="NO TIENE L3OUT"/>
    <n v="144"/>
    <n v="96"/>
  </r>
  <r>
    <n v="416"/>
    <x v="1"/>
    <x v="251"/>
    <s v="eth1/35"/>
    <x v="0"/>
    <x v="1"/>
    <x v="1"/>
    <s v="DESC"/>
    <x v="6"/>
    <b v="0"/>
    <s v="No está en VPC"/>
    <n v="416"/>
    <s v="INTPG_PC_416_1.32-39"/>
    <s v="ISEL-1.35"/>
    <n v="8"/>
    <s v="NO TIENE L3OUT"/>
    <n v="110"/>
    <n v="96"/>
  </r>
  <r>
    <n v="418"/>
    <x v="1"/>
    <x v="252"/>
    <s v="eth1/35"/>
    <x v="0"/>
    <x v="1"/>
    <x v="1"/>
    <s v="DESC"/>
    <x v="6"/>
    <b v="0"/>
    <s v="No está en VPC"/>
    <n v="418"/>
    <s v="INTPG_PC_418_1.32-39"/>
    <s v="ISEL-1.35"/>
    <n v="8"/>
    <s v="NO TIENE L3OUT"/>
    <n v="152"/>
    <n v="96"/>
  </r>
  <r>
    <n v="413"/>
    <x v="1"/>
    <x v="253"/>
    <s v="eth1/35"/>
    <x v="0"/>
    <x v="0"/>
    <x v="0"/>
    <s v="VTAE3"/>
    <x v="6"/>
    <b v="0"/>
    <s v="No está en VPC"/>
    <n v="413"/>
    <s v="INTPG_ACC_413_1.35"/>
    <s v="ISEL-1.35"/>
    <n v="1"/>
    <s v="NO TIENE L3OUT"/>
    <n v="126"/>
    <n v="96"/>
  </r>
  <r>
    <n v="403"/>
    <x v="1"/>
    <x v="254"/>
    <s v="eth1/35"/>
    <x v="0"/>
    <x v="0"/>
    <x v="0"/>
    <s v="IXT_ARIESO7_LDR8"/>
    <x v="6"/>
    <b v="0"/>
    <s v="No está en VPC"/>
    <n v="403"/>
    <s v="INTPG_ACC_403_1.35"/>
    <s v="ISEL-1.35"/>
    <n v="1"/>
    <s v="NO TIENE L3OUT"/>
    <n v="150"/>
    <n v="96"/>
  </r>
  <r>
    <n v="125"/>
    <x v="0"/>
    <x v="255"/>
    <s v="eth1/35"/>
    <x v="0"/>
    <x v="0"/>
    <x v="0"/>
    <s v="ixtossgw1"/>
    <x v="6"/>
    <b v="0"/>
    <s v="No está en VPC"/>
    <n v="125"/>
    <s v="INTPG_ACC_125_1.35"/>
    <s v="ISEL-1.35"/>
    <n v="1"/>
    <s v="NO TIENE L3OUT"/>
    <n v="72"/>
    <n v="96"/>
  </r>
  <r>
    <n v="166"/>
    <x v="0"/>
    <x v="256"/>
    <s v="eth1/35"/>
    <x v="0"/>
    <x v="0"/>
    <x v="0"/>
    <s v="NOMINA_uxasis001"/>
    <x v="6"/>
    <b v="0"/>
    <s v="No está en VPC"/>
    <n v="166"/>
    <s v="INTPG_ACC_166_1.35"/>
    <s v="ISEL-1.35"/>
    <n v="1"/>
    <s v="NO TIENE L3OUT"/>
    <n v="84"/>
    <n v="96"/>
  </r>
  <r>
    <n v="111"/>
    <x v="0"/>
    <x v="257"/>
    <s v="eth1/35"/>
    <x v="0"/>
    <x v="0"/>
    <x v="0"/>
    <s v="PAPERLESS-FO"/>
    <x v="6"/>
    <b v="0"/>
    <s v="No está en VPC"/>
    <n v="111"/>
    <s v="INTPG_ACC_111_1.35"/>
    <s v="ISEL-1.35"/>
    <n v="1"/>
    <s v="NO TIENE L3OUT"/>
    <n v="58"/>
    <n v="96"/>
  </r>
  <r>
    <n v="115"/>
    <x v="0"/>
    <x v="258"/>
    <s v="eth1/35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35"/>
    <x v="0"/>
    <x v="0"/>
    <x v="0"/>
    <m/>
    <x v="6"/>
    <b v="0"/>
    <s v="No está en VPC"/>
    <n v="106"/>
    <s v="INTPG_PC_106_1.35-38"/>
    <s v="ISEL-1.35"/>
    <n v="1"/>
    <s v="NO TIENE L3OUT"/>
    <n v="122"/>
    <n v="96"/>
  </r>
  <r>
    <n v="126"/>
    <x v="0"/>
    <x v="260"/>
    <s v="eth1/35"/>
    <x v="0"/>
    <x v="0"/>
    <x v="0"/>
    <s v="ENIQ"/>
    <x v="6"/>
    <b v="0"/>
    <s v="No está en VPC"/>
    <n v="126"/>
    <s v="INTPG_ACC_126_1.35"/>
    <s v="ISEL-1.35"/>
    <n v="1"/>
    <s v="NO TIENE L3OUT"/>
    <n v="54"/>
    <n v="96"/>
  </r>
  <r>
    <n v="425"/>
    <x v="1"/>
    <x v="261"/>
    <s v="eth1/35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35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35"/>
    <x v="0"/>
    <x v="0"/>
    <x v="0"/>
    <s v="SecAnLG_iDrac_01-Aplicativo-IXTSALG_SAS1"/>
    <x v="6"/>
    <b v="0"/>
    <s v="No está en VPC"/>
    <n v="430"/>
    <s v="INTPG_ACC_430_1.35"/>
    <s v="ISEL-1.35"/>
    <n v="1"/>
    <s v="NO TIENE L3OUT"/>
    <n v="86"/>
    <n v="96"/>
  </r>
  <r>
    <n v="419"/>
    <x v="1"/>
    <x v="264"/>
    <s v="eth1/35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35"/>
    <x v="1"/>
    <x v="1"/>
    <x v="2"/>
    <s v="RED CRICKET"/>
    <x v="6"/>
    <b v="0"/>
    <s v="No está en VPC"/>
    <n v="155"/>
    <s v="INTPG_ACC_155_1.35"/>
    <s v="ISEL-1.35"/>
    <n v="1"/>
    <s v="NO TIENE L3OUT"/>
    <n v="198"/>
    <n v="96"/>
  </r>
  <r>
    <n v="409"/>
    <x v="1"/>
    <x v="266"/>
    <s v="eth1/35"/>
    <x v="0"/>
    <x v="0"/>
    <x v="0"/>
    <s v="Uxorbi"/>
    <x v="6"/>
    <b v="0"/>
    <s v="No está en VPC"/>
    <n v="409"/>
    <s v="INTPG_ACC_409_1.35"/>
    <s v="ISEL-1.35"/>
    <n v="1"/>
    <s v="NO TIENE L3OUT"/>
    <n v="128"/>
    <n v="96"/>
  </r>
  <r>
    <n v="422"/>
    <x v="1"/>
    <x v="267"/>
    <s v="eth1/35"/>
    <x v="0"/>
    <x v="0"/>
    <x v="0"/>
    <s v="ITHRTC4AEN2VC2x4"/>
    <x v="6"/>
    <b v="0"/>
    <s v="No está en VPC"/>
    <n v="422"/>
    <s v="INTPG_ACC_422_1.35"/>
    <s v="ISEL-1.35"/>
    <n v="1"/>
    <s v="NO TIENE L3OUT"/>
    <n v="182"/>
    <n v="96"/>
  </r>
  <r>
    <n v="436"/>
    <x v="1"/>
    <x v="268"/>
    <s v="eth1/35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35"/>
    <x v="0"/>
    <x v="0"/>
    <x v="0"/>
    <s v="PMAC_PCRF_M2"/>
    <x v="6"/>
    <b v="0"/>
    <s v="No está en VPC"/>
    <n v="410"/>
    <s v="INTPG_ACC_410_1.35"/>
    <s v="ISEL-1.35"/>
    <n v="1"/>
    <s v="NO TIENE L3OUT"/>
    <n v="178"/>
    <n v="96"/>
  </r>
  <r>
    <n v="161"/>
    <x v="0"/>
    <x v="270"/>
    <s v="eth1/35"/>
    <x v="1"/>
    <x v="1"/>
    <x v="2"/>
    <s v="sfmedt02_CLIENT1"/>
    <x v="6"/>
    <b v="0"/>
    <s v="No está en VPC"/>
    <n v="161"/>
    <s v="INTPG_VPC_161_1.35_163_1.34"/>
    <s v="ISEL-1.35"/>
    <n v="1"/>
    <s v="NO TIENE L3OUT"/>
    <n v="102"/>
    <n v="96"/>
  </r>
  <r>
    <n v="411"/>
    <x v="1"/>
    <x v="271"/>
    <s v="eth1/35"/>
    <x v="0"/>
    <x v="0"/>
    <x v="0"/>
    <m/>
    <x v="6"/>
    <b v="0"/>
    <s v="No está en VPC"/>
    <n v="411"/>
    <s v="INTPG_ACC_411_1.35"/>
    <s v="ISEL-1.35"/>
    <n v="2"/>
    <s v="NO TIENE L3OUT"/>
    <n v="96"/>
    <n v="96"/>
  </r>
  <r>
    <n v="116"/>
    <x v="0"/>
    <x v="272"/>
    <s v="eth1/35"/>
    <x v="1"/>
    <x v="1"/>
    <x v="2"/>
    <s v="INGE6"/>
    <x v="6"/>
    <b v="0"/>
    <s v="No está en VPC"/>
    <n v="116"/>
    <s v="INTPG_ACC_116_1.35"/>
    <s v="ISEL-1.35"/>
    <n v="0"/>
    <s v="NO TIENE L3OUT"/>
    <n v="148"/>
    <n v="96"/>
  </r>
  <r>
    <n v="412"/>
    <x v="1"/>
    <x v="273"/>
    <s v="eth1/35"/>
    <x v="0"/>
    <x v="0"/>
    <x v="0"/>
    <s v="WMS101"/>
    <x v="6"/>
    <b v="0"/>
    <s v="No está en VPC"/>
    <n v="412"/>
    <s v="INTPG_ACC_412_1.35"/>
    <s v="ISEL-1.35"/>
    <n v="1"/>
    <s v="NO TIENE L3OUT"/>
    <n v="126"/>
    <n v="96"/>
  </r>
  <r>
    <n v="120"/>
    <x v="0"/>
    <x v="274"/>
    <s v="eth1/35"/>
    <x v="0"/>
    <x v="0"/>
    <x v="0"/>
    <s v="Registro Nacional de Celulares"/>
    <x v="6"/>
    <b v="0"/>
    <s v="No está en VPC"/>
    <n v="120"/>
    <s v="INTPG_ACC_120_1.35"/>
    <s v="ISEL-1.35"/>
    <n v="1"/>
    <s v="NO TIENE L3OUT"/>
    <n v="158"/>
    <n v="96"/>
  </r>
  <r>
    <n v="404"/>
    <x v="1"/>
    <x v="275"/>
    <s v="eth1/35"/>
    <x v="0"/>
    <x v="0"/>
    <x v="0"/>
    <s v="PCRF3_CLT"/>
    <x v="6"/>
    <b v="0"/>
    <s v="No está en VPC"/>
    <n v="404"/>
    <s v="INTPG_VPC_404_1.35-36_406_1.35-36"/>
    <s v="ISEL-1.35"/>
    <n v="5"/>
    <s v="NO TIENE L3OUT"/>
    <n v="92"/>
    <n v="96"/>
  </r>
  <r>
    <n v="167"/>
    <x v="0"/>
    <x v="276"/>
    <s v="eth1/35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35"/>
    <x v="0"/>
    <x v="0"/>
    <x v="0"/>
    <s v="TO-ITHFDEILDPRAP02-PRINCIPAL"/>
    <x v="6"/>
    <b v="0"/>
    <s v="No está en VPC"/>
    <n v="428"/>
    <s v="INTPG_ACC_428_1.35"/>
    <s v="ISEL-1.35"/>
    <n v="1"/>
    <s v="NO TIENE L3OUT"/>
    <n v="102"/>
    <n v="96"/>
  </r>
  <r>
    <n v="128"/>
    <x v="0"/>
    <x v="0"/>
    <s v="eth1/36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36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36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36"/>
    <x v="0"/>
    <x v="0"/>
    <x v="0"/>
    <s v="DESC"/>
    <x v="0"/>
    <b v="0"/>
    <s v="No está en VPC"/>
    <n v="101"/>
    <s v="INTPG_PC_101_1.35-36"/>
    <s v="ISEL-1.36"/>
    <n v="1"/>
    <s v="NO TIENE L3OUT"/>
    <n v="114"/>
    <n v="54"/>
  </r>
  <r>
    <n v="160"/>
    <x v="0"/>
    <x v="4"/>
    <s v="eth1/36"/>
    <x v="0"/>
    <x v="1"/>
    <x v="1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36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36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36"/>
    <x v="0"/>
    <x v="1"/>
    <x v="3"/>
    <m/>
    <x v="0"/>
    <b v="0"/>
    <s v="No está en VPC"/>
    <n v="401"/>
    <s v="NO EXISTE PG"/>
    <s v="NO EXISTE ISEL"/>
    <n v="0"/>
    <s v="NO TIENE L3OUT"/>
    <n v="40"/>
    <n v="54"/>
  </r>
  <r>
    <n v="402"/>
    <x v="1"/>
    <x v="8"/>
    <s v="eth1/36"/>
    <x v="0"/>
    <x v="0"/>
    <x v="0"/>
    <s v="DESC"/>
    <x v="0"/>
    <b v="0"/>
    <s v="No está en VPC"/>
    <n v="402"/>
    <s v="INTPG_PC_402_1.34-36"/>
    <s v="ISEL-1.36"/>
    <n v="1"/>
    <s v="NO TIENE L3OUT"/>
    <n v="36"/>
    <n v="54"/>
  </r>
  <r>
    <n v="447"/>
    <x v="1"/>
    <x v="9"/>
    <s v="eth1/36"/>
    <x v="0"/>
    <x v="0"/>
    <x v="0"/>
    <s v="LINK_HACIA_SPINE"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36"/>
    <x v="0"/>
    <x v="0"/>
    <x v="0"/>
    <s v="LINK_HACIA_SPINE"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36"/>
    <x v="0"/>
    <x v="1"/>
    <x v="1"/>
    <s v="ITHFHWHSMTLCN05-LOM  P1"/>
    <x v="0"/>
    <b v="0"/>
    <s v="No está en VPC"/>
    <n v="130"/>
    <s v="INTPG_ACC_130_1.36"/>
    <s v="ISEL-1.36"/>
    <n v="9"/>
    <s v="NO TIENE L3OUT"/>
    <n v="128"/>
    <n v="54"/>
  </r>
  <r>
    <n v="150"/>
    <x v="0"/>
    <x v="12"/>
    <s v="eth1/36"/>
    <x v="0"/>
    <x v="0"/>
    <x v="0"/>
    <s v="DESC"/>
    <x v="0"/>
    <b v="0"/>
    <s v="No está en VPC"/>
    <n v="150"/>
    <s v="INTPG_PC_150_1.35-36"/>
    <s v="ISEL-1.36"/>
    <n v="1"/>
    <s v="NO TIENE L3OUT"/>
    <n v="118"/>
    <n v="54"/>
  </r>
  <r>
    <n v="131"/>
    <x v="0"/>
    <x v="13"/>
    <s v="eth1/36"/>
    <x v="0"/>
    <x v="0"/>
    <x v="0"/>
    <s v="ITHFHWHSMTLCN05-LOM  P2"/>
    <x v="0"/>
    <b v="0"/>
    <s v="No está en VPC"/>
    <n v="131"/>
    <s v="INTPG_ACC_131_1.36"/>
    <s v="ISEL-1.36"/>
    <n v="9"/>
    <s v="NO TIENE L3OUT"/>
    <n v="126"/>
    <n v="54"/>
  </r>
  <r>
    <n v="758"/>
    <x v="2"/>
    <x v="15"/>
    <s v="eth1/36"/>
    <x v="0"/>
    <x v="0"/>
    <x v="0"/>
    <s v="LINK_HACIA_SPINE"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36"/>
    <x v="0"/>
    <x v="0"/>
    <x v="0"/>
    <s v="LINK_HACIA_SPINE"/>
    <x v="2"/>
    <b v="0"/>
    <s v="No está en VPC"/>
    <n v="759"/>
    <s v="NO EXISTE PG"/>
    <s v="NO EXISTE ISEL"/>
    <n v="0"/>
    <s v="NO TIENE L3OUT"/>
    <n v="0"/>
    <n v="42"/>
  </r>
  <r>
    <n v="424"/>
    <x v="1"/>
    <x v="18"/>
    <s v="eth1/36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36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36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36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36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36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36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36"/>
    <x v="0"/>
    <x v="0"/>
    <x v="0"/>
    <s v="TO-ITHFHPSMEPRAP01"/>
    <x v="0"/>
    <b v="0"/>
    <s v="No está en VPC"/>
    <n v="431"/>
    <s v="INTPG_VPC_431_1.36_448_1.36"/>
    <s v="ISEL-1.36"/>
    <n v="3"/>
    <s v="NO TIENE L3OUT"/>
    <n v="46"/>
    <n v="54"/>
  </r>
  <r>
    <n v="433"/>
    <x v="1"/>
    <x v="27"/>
    <s v="eth1/36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36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36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36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36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36"/>
    <x v="0"/>
    <x v="1"/>
    <x v="3"/>
    <s v="CEM_HADOOP"/>
    <x v="0"/>
    <b v="0"/>
    <s v="No está en VPC"/>
    <n v="707"/>
    <s v="INTPG_ACC_707_1.36"/>
    <s v="ISEL-1.36"/>
    <n v="1"/>
    <s v="NO TIENE L3OUT"/>
    <n v="54"/>
    <n v="54"/>
  </r>
  <r>
    <n v="712"/>
    <x v="2"/>
    <x v="33"/>
    <s v="eth1/36"/>
    <x v="0"/>
    <x v="1"/>
    <x v="3"/>
    <m/>
    <x v="0"/>
    <b v="0"/>
    <s v="No está en VPC"/>
    <n v="712"/>
    <s v="INTPG_VPC_713_1.35_712_1.36"/>
    <s v="ISEL-1.36"/>
    <n v="0"/>
    <s v="NO TIENE L3OUT"/>
    <n v="32"/>
    <n v="54"/>
  </r>
  <r>
    <n v="719"/>
    <x v="2"/>
    <x v="34"/>
    <s v="eth1/36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36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36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36"/>
    <x v="0"/>
    <x v="1"/>
    <x v="1"/>
    <s v="CEM_ITHCEMD2PRT18"/>
    <x v="0"/>
    <b v="0"/>
    <s v="No está en VPC"/>
    <n v="711"/>
    <s v="INTPG_VPC_710_1.35_711_1.36"/>
    <s v="ISEL-1.36"/>
    <n v="1"/>
    <s v="NO TIENE L3OUT"/>
    <n v="16"/>
    <n v="54"/>
  </r>
  <r>
    <n v="716"/>
    <x v="2"/>
    <x v="38"/>
    <s v="eth1/36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36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36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36"/>
    <x v="0"/>
    <x v="0"/>
    <x v="0"/>
    <s v="Proyecto Arieso"/>
    <x v="0"/>
    <b v="0"/>
    <s v="No está en VPC"/>
    <n v="446"/>
    <s v="INTPG_VPC_444_1.33-36_446_1.33-36"/>
    <s v="ISEL-1.36"/>
    <n v="19"/>
    <s v="NO TIENE L3OUT"/>
    <n v="198"/>
    <n v="54"/>
  </r>
  <r>
    <n v="444"/>
    <x v="1"/>
    <x v="42"/>
    <s v="eth1/36"/>
    <x v="0"/>
    <x v="0"/>
    <x v="0"/>
    <s v="Proyecto Arieso"/>
    <x v="0"/>
    <b v="0"/>
    <s v="No está en VPC"/>
    <n v="444"/>
    <s v="INTPG_VPC_444_1.33-36_446_1.33-36"/>
    <s v="ISEL-1.36"/>
    <n v="19"/>
    <s v="NO TIENE L3OUT"/>
    <n v="234"/>
    <n v="54"/>
  </r>
  <r>
    <n v="701"/>
    <x v="2"/>
    <x v="43"/>
    <s v="eth1/36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36"/>
    <x v="0"/>
    <x v="0"/>
    <x v="0"/>
    <s v="bmc_ithhwc3bce6851_PRINCIPAL"/>
    <x v="1"/>
    <b v="0"/>
    <s v="No está en VPC"/>
    <n v="440"/>
    <s v="INTPG_ACC_440_1.36"/>
    <s v="ISEL-1.36"/>
    <n v="1"/>
    <s v="NO TIENE L3OUT"/>
    <n v="22"/>
    <n v="54"/>
  </r>
  <r>
    <n v="448"/>
    <x v="1"/>
    <x v="45"/>
    <s v="eth1/36"/>
    <x v="0"/>
    <x v="0"/>
    <x v="0"/>
    <s v="TO-ITHFHPSMEPRAP01"/>
    <x v="0"/>
    <b v="0"/>
    <s v="No está en VPC"/>
    <n v="448"/>
    <s v="INTPG_VPC_431_1.36_448_1.36"/>
    <s v="ISEL-1.36"/>
    <n v="3"/>
    <s v="NO TIENE L3OUT"/>
    <n v="46"/>
    <n v="54"/>
  </r>
  <r>
    <n v="704"/>
    <x v="2"/>
    <x v="46"/>
    <s v="eth1/36"/>
    <x v="1"/>
    <x v="1"/>
    <x v="3"/>
    <m/>
    <x v="0"/>
    <b v="0"/>
    <s v="No está en VPC"/>
    <n v="704"/>
    <s v="INTPG_VPC_706_1.35_705_1.36"/>
    <s v="ISEL-1.36"/>
    <n v="2"/>
    <s v="NO TIENE L3OUT"/>
    <n v="0"/>
    <n v="54"/>
  </r>
  <r>
    <n v="729"/>
    <x v="2"/>
    <x v="47"/>
    <s v="eth1/36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36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36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36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36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36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36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36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36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36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36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36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36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36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36"/>
    <x v="0"/>
    <x v="0"/>
    <x v="0"/>
    <s v="CEM:ITHCEMB2ADT18:SLOT1 P1"/>
    <x v="5"/>
    <b v="0"/>
    <s v="No está en VPC"/>
    <n v="742"/>
    <s v="INTPG_ACC_742_1.36"/>
    <s v="ISEL-1.36"/>
    <n v="1"/>
    <s v="NO TIENE L3OUT"/>
    <n v="64"/>
    <n v="54"/>
  </r>
  <r>
    <n v="763"/>
    <x v="2"/>
    <x v="63"/>
    <s v="eth1/36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36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36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36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36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36"/>
    <x v="0"/>
    <x v="1"/>
    <x v="3"/>
    <s v="CLOUD OPS:ithhwcop01st01ce02:B IOM1 Smart IO P0"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36"/>
    <x v="0"/>
    <x v="0"/>
    <x v="0"/>
    <s v="TO-ITHFHWRHV2LMGMT01"/>
    <x v="0"/>
    <b v="0"/>
    <s v="No está en VPC"/>
    <n v="780"/>
    <s v="INTPG_VPC_780_1.36-37_781_1.36-37"/>
    <s v="ISEL-1.36"/>
    <n v="2"/>
    <s v="NO TIENE L3OUT"/>
    <n v="26"/>
    <n v="54"/>
  </r>
  <r>
    <n v="812"/>
    <x v="2"/>
    <x v="70"/>
    <s v="eth1/36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36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36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36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36"/>
    <x v="0"/>
    <x v="0"/>
    <x v="0"/>
    <s v="LINK_TO_ITHHWOS53V50004DKC01 /CtrlA_10GE.P5 /Redundante"/>
    <x v="0"/>
    <b v="0"/>
    <s v="No está en VPC"/>
    <n v="824"/>
    <s v="INTPG_ACC_824_1.36"/>
    <s v="ISEL-1.36"/>
    <n v="1"/>
    <s v="NO TIENE L3OUT"/>
    <n v="70"/>
    <n v="54"/>
  </r>
  <r>
    <n v="819"/>
    <x v="2"/>
    <x v="75"/>
    <s v="eth1/36"/>
    <x v="0"/>
    <x v="0"/>
    <x v="0"/>
    <s v="LINK_TO_ITHHWOS53V50004DKC01 /CtrlA_10GE.P3 /Principal"/>
    <x v="0"/>
    <b v="0"/>
    <s v="No está en VPC"/>
    <n v="819"/>
    <s v="INTPG_ACC_819_1.36"/>
    <s v="ISEL-1.36"/>
    <n v="1"/>
    <s v="NO TIENE L3OUT"/>
    <n v="70"/>
    <n v="54"/>
  </r>
  <r>
    <n v="737"/>
    <x v="2"/>
    <x v="76"/>
    <s v="eth1/36"/>
    <x v="0"/>
    <x v="0"/>
    <x v="0"/>
    <s v="ITHCEME2PRT18"/>
    <x v="5"/>
    <b v="0"/>
    <s v="No está en VPC"/>
    <n v="737"/>
    <s v="INTPG_ACC_737_1.36"/>
    <s v="ISEL-1.36"/>
    <n v="1"/>
    <s v="NO TIENE L3OUT"/>
    <n v="72"/>
    <n v="54"/>
  </r>
  <r>
    <n v="844"/>
    <x v="2"/>
    <x v="77"/>
    <s v="eth1/36"/>
    <x v="0"/>
    <x v="0"/>
    <x v="0"/>
    <s v="LINK_TO_ITHFHWCRMPLCN112 / Slot1.3_28 / Principal"/>
    <x v="0"/>
    <b v="0"/>
    <s v="No está en VPC"/>
    <n v="844"/>
    <s v="INTPG_ACC_844_1.36"/>
    <s v="ISEL-1.36"/>
    <n v="1"/>
    <s v="NO TIENE L3OUT"/>
    <n v="282"/>
    <n v="54"/>
  </r>
  <r>
    <n v="843"/>
    <x v="2"/>
    <x v="78"/>
    <s v="eth1/36"/>
    <x v="0"/>
    <x v="0"/>
    <x v="0"/>
    <s v="A_ITHFHWSEQLHDPS78_Principal"/>
    <x v="0"/>
    <b v="0"/>
    <s v="No está en VPC"/>
    <n v="843"/>
    <s v="INTPG_ACC_843_1.36"/>
    <s v="ISEL-1.36"/>
    <n v="1"/>
    <s v="NO TIENE L3OUT"/>
    <n v="38"/>
    <n v="54"/>
  </r>
  <r>
    <n v="797"/>
    <x v="2"/>
    <x v="79"/>
    <s v="eth1/36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36"/>
    <x v="0"/>
    <x v="0"/>
    <x v="0"/>
    <s v="LINK_TO_ITHFHWCBSPSHD41 / Slot7.3_20 / Redundante"/>
    <x v="0"/>
    <b v="0"/>
    <s v="No está en VPC"/>
    <n v="839"/>
    <s v="INTPG_VPC_834_1.36_839_1.36"/>
    <s v="ISEL-1.36"/>
    <n v="1"/>
    <s v="NO TIENE L3OUT"/>
    <n v="0"/>
    <n v="54"/>
  </r>
  <r>
    <n v="847"/>
    <x v="2"/>
    <x v="81"/>
    <s v="eth1/36"/>
    <x v="0"/>
    <x v="0"/>
    <x v="0"/>
    <s v="LINK_TO_ITHFHWCRMPLCN177 / Slot7.2_24 / Redundante"/>
    <x v="0"/>
    <b v="0"/>
    <s v="No está en VPC"/>
    <n v="847"/>
    <s v="INTPG_ACC_847_1.36"/>
    <s v="ISEL-1.36"/>
    <n v="2"/>
    <s v="NO TIENE L3OUT"/>
    <n v="204"/>
    <n v="54"/>
  </r>
  <r>
    <n v="848"/>
    <x v="2"/>
    <x v="82"/>
    <s v="eth1/36"/>
    <x v="0"/>
    <x v="0"/>
    <x v="0"/>
    <s v="LINK_TO_ITHFHWCRMPLCN166 / Slot7.2_34 / Redundante"/>
    <x v="0"/>
    <b v="0"/>
    <s v="No está en VPC"/>
    <n v="848"/>
    <s v="INTPG_ACC_848_1.36"/>
    <s v="ISEL-1.36"/>
    <n v="2"/>
    <s v="NO TIENE L3OUT"/>
    <n v="254"/>
    <n v="54"/>
  </r>
  <r>
    <n v="846"/>
    <x v="2"/>
    <x v="83"/>
    <s v="eth1/36"/>
    <x v="0"/>
    <x v="0"/>
    <x v="0"/>
    <s v="LINK_TO_ITHFHWCRMPLCN83 / Slot1.3_24 / Principal"/>
    <x v="0"/>
    <b v="0"/>
    <s v="No está en VPC"/>
    <n v="846"/>
    <s v="INTPG_ACC_846_1.36"/>
    <s v="ISEL-1.36"/>
    <n v="1"/>
    <s v="NO TIENE L3OUT"/>
    <n v="242"/>
    <n v="54"/>
  </r>
  <r>
    <n v="838"/>
    <x v="2"/>
    <x v="84"/>
    <s v="eth1/36"/>
    <x v="0"/>
    <x v="0"/>
    <x v="0"/>
    <s v="A_ITHFHWSEQLHDPS78_Redundante"/>
    <x v="0"/>
    <b v="0"/>
    <s v="No está en VPC"/>
    <n v="838"/>
    <s v="INTPG_ACC_838_1.36"/>
    <s v="ISEL-1.36"/>
    <n v="1"/>
    <s v="NO TIENE L3OUT"/>
    <n v="38"/>
    <n v="54"/>
  </r>
  <r>
    <n v="849"/>
    <x v="2"/>
    <x v="85"/>
    <s v="eth1/36"/>
    <x v="0"/>
    <x v="0"/>
    <x v="0"/>
    <s v="LINK_TO_ITHFHWCRMPLCN146 / Slot7.2_26 / Redundante"/>
    <x v="0"/>
    <b v="0"/>
    <s v="No está en VPC"/>
    <n v="849"/>
    <s v="INTPG_ACC_849_1.36"/>
    <s v="ISEL-1.36"/>
    <n v="2"/>
    <s v="NO TIENE L3OUT"/>
    <n v="286"/>
    <n v="54"/>
  </r>
  <r>
    <n v="845"/>
    <x v="2"/>
    <x v="86"/>
    <s v="eth1/36"/>
    <x v="0"/>
    <x v="0"/>
    <x v="0"/>
    <s v="LINK_TO_ITHFHWCRMPLCN96 / Slot1.1_24 / Principal"/>
    <x v="0"/>
    <b v="0"/>
    <s v="No está en VPC"/>
    <n v="845"/>
    <s v="INTPG_ACC_845_1.36"/>
    <s v="ISEL-1.36"/>
    <n v="6"/>
    <s v="NO TIENE L3OUT"/>
    <n v="258"/>
    <n v="54"/>
  </r>
  <r>
    <n v="873"/>
    <x v="2"/>
    <x v="87"/>
    <s v="eth1/36"/>
    <x v="0"/>
    <x v="0"/>
    <x v="0"/>
    <s v="TO_ITHHWD6KV65100017DKC01_Principal"/>
    <x v="0"/>
    <b v="0"/>
    <s v="No está en VPC"/>
    <n v="873"/>
    <s v="INTPG_ACC_873_1.36"/>
    <s v="ISEL-1.36"/>
    <n v="1"/>
    <s v="NO TIENE L3OUT"/>
    <n v="248"/>
    <n v="54"/>
  </r>
  <r>
    <n v="864"/>
    <x v="2"/>
    <x v="88"/>
    <s v="eth1/36"/>
    <x v="0"/>
    <x v="0"/>
    <x v="0"/>
    <s v="To_VPC_2DCBSD_WR47_3"/>
    <x v="0"/>
    <b v="0"/>
    <s v="No está en VPC"/>
    <n v="864"/>
    <s v="INTPG_VPC_859_1.36_864_1.36"/>
    <s v="ISEL-1.36"/>
    <n v="1"/>
    <s v="NO TIENE L3OUT"/>
    <n v="0"/>
    <n v="54"/>
  </r>
  <r>
    <n v="836"/>
    <x v="2"/>
    <x v="89"/>
    <s v="eth1/36"/>
    <x v="0"/>
    <x v="0"/>
    <x v="0"/>
    <s v="LINK_TO_ITHFHWCBSPSHD26 / Slot1.2_16 / Principal"/>
    <x v="0"/>
    <b v="0"/>
    <s v="No está en VPC"/>
    <n v="836"/>
    <s v="INTPG_VPC_836_1.36_841_1.36"/>
    <s v="ISEL-1.36"/>
    <n v="1"/>
    <s v="NO TIENE L3OUT"/>
    <n v="0"/>
    <n v="54"/>
  </r>
  <r>
    <n v="834"/>
    <x v="2"/>
    <x v="90"/>
    <s v="eth1/36"/>
    <x v="0"/>
    <x v="0"/>
    <x v="0"/>
    <s v="LINK_TO_ITHFHWCBSPSHD41 / Slot1.3_20 / Principal"/>
    <x v="0"/>
    <b v="0"/>
    <s v="No está en VPC"/>
    <n v="834"/>
    <s v="INTPG_VPC_834_1.36_839_1.36"/>
    <s v="ISEL-1.36"/>
    <n v="1"/>
    <s v="NO TIENE L3OUT"/>
    <n v="0"/>
    <n v="54"/>
  </r>
  <r>
    <n v="872"/>
    <x v="2"/>
    <x v="91"/>
    <s v="eth1/36"/>
    <x v="0"/>
    <x v="0"/>
    <x v="0"/>
    <s v="TO_ITHFHWCRMDLCN49_Principal"/>
    <x v="0"/>
    <b v="0"/>
    <s v="No está en VPC"/>
    <n v="872"/>
    <s v="INTPG_ACC_872_1.36"/>
    <s v="ISEL-1.36"/>
    <n v="6"/>
    <s v="NO TIENE L3OUT"/>
    <n v="288"/>
    <n v="54"/>
  </r>
  <r>
    <n v="842"/>
    <x v="2"/>
    <x v="92"/>
    <s v="eth1/36"/>
    <x v="0"/>
    <x v="0"/>
    <x v="0"/>
    <s v="LINK_To_ITHFHWCBSPSHD20 / Slot7.1_16 / Redundante"/>
    <x v="0"/>
    <b v="0"/>
    <s v="No está en VPC"/>
    <n v="842"/>
    <s v="INTPG_VPC_837_1.36_842_1.36"/>
    <s v="ISEL-1.36"/>
    <n v="2"/>
    <s v="NO TIENE L3OUT"/>
    <n v="8"/>
    <n v="54"/>
  </r>
  <r>
    <n v="828"/>
    <x v="2"/>
    <x v="93"/>
    <s v="eth1/36"/>
    <x v="0"/>
    <x v="0"/>
    <x v="0"/>
    <s v="LINK_TO_ITHFHWCRMDLCN27 /10GE.1 /Principal"/>
    <x v="0"/>
    <b v="0"/>
    <s v="No está en VPC"/>
    <n v="828"/>
    <s v="INTPG_ACC_828_1.36"/>
    <s v="ISEL-1.36"/>
    <n v="2"/>
    <s v="NO TIENE L3OUT"/>
    <n v="192"/>
    <n v="54"/>
  </r>
  <r>
    <n v="870"/>
    <x v="2"/>
    <x v="94"/>
    <s v="eth1/36"/>
    <x v="0"/>
    <x v="0"/>
    <x v="0"/>
    <s v="TO_ITHHWD6KV65100017DKC01_Redundante"/>
    <x v="0"/>
    <b v="0"/>
    <s v="No está en VPC"/>
    <n v="870"/>
    <s v="INTPG_ACC_870_1.36"/>
    <s v="ISEL-1.36"/>
    <n v="1"/>
    <s v="NO TIENE L3OUT"/>
    <n v="248"/>
    <n v="54"/>
  </r>
  <r>
    <n v="866"/>
    <x v="2"/>
    <x v="95"/>
    <s v="eth1/36"/>
    <x v="0"/>
    <x v="0"/>
    <x v="0"/>
    <s v="To_VPC_2DCBSD_BD14_2"/>
    <x v="0"/>
    <b v="0"/>
    <s v="No está en VPC"/>
    <n v="866"/>
    <s v="INTPG_VPC_861_1.36_866_1.36"/>
    <s v="ISEL-1.36"/>
    <n v="1"/>
    <s v="NO TIENE L3OUT"/>
    <n v="8"/>
    <n v="54"/>
  </r>
  <r>
    <n v="862"/>
    <x v="2"/>
    <x v="96"/>
    <s v="eth1/36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36"/>
    <x v="0"/>
    <x v="0"/>
    <x v="0"/>
    <s v="LINK_TO_ITHFHWCRMPLCN166 / Slot1.2_34 / Principal"/>
    <x v="0"/>
    <b v="0"/>
    <s v="No está en VPC"/>
    <n v="855"/>
    <s v="INTPG_ACC_855_1.36"/>
    <s v="ISEL-1.36"/>
    <n v="2"/>
    <s v="NO TIENE L3OUT"/>
    <n v="254"/>
    <n v="54"/>
  </r>
  <r>
    <n v="871"/>
    <x v="2"/>
    <x v="98"/>
    <s v="eth1/36"/>
    <x v="0"/>
    <x v="0"/>
    <x v="0"/>
    <s v="To_ITHFHWCRMDLCN65_Principal"/>
    <x v="0"/>
    <b v="0"/>
    <s v="No está en VPC"/>
    <n v="871"/>
    <s v="INTPG_ACC_871_1.36"/>
    <s v="ISEL-1.36"/>
    <n v="1"/>
    <s v="NO TIENE L3OUT"/>
    <n v="246"/>
    <n v="54"/>
  </r>
  <r>
    <n v="841"/>
    <x v="2"/>
    <x v="99"/>
    <s v="eth1/36"/>
    <x v="0"/>
    <x v="0"/>
    <x v="0"/>
    <s v="LINK_TO_ITHFHWCBSPSHD26 / Slot7.2_16 / Redundante"/>
    <x v="0"/>
    <b v="0"/>
    <s v="No está en VPC"/>
    <n v="841"/>
    <s v="INTPG_VPC_836_1.36_841_1.36"/>
    <s v="ISEL-1.36"/>
    <n v="1"/>
    <s v="NO TIENE L3OUT"/>
    <n v="0"/>
    <n v="54"/>
  </r>
  <r>
    <n v="868"/>
    <x v="2"/>
    <x v="100"/>
    <s v="eth1/36"/>
    <x v="0"/>
    <x v="0"/>
    <x v="0"/>
    <s v="To_ITHFHWCRMDLCN65_Redundante"/>
    <x v="0"/>
    <b v="0"/>
    <s v="No está en VPC"/>
    <n v="868"/>
    <s v="INTPG_ACC_868_1.36"/>
    <s v="ISEL-1.36"/>
    <n v="1"/>
    <s v="NO TIENE L3OUT"/>
    <n v="246"/>
    <n v="54"/>
  </r>
  <r>
    <n v="869"/>
    <x v="2"/>
    <x v="101"/>
    <s v="eth1/36"/>
    <x v="0"/>
    <x v="0"/>
    <x v="0"/>
    <s v="TO_ITHFHWCRMDLCN49_Redundante"/>
    <x v="0"/>
    <b v="0"/>
    <s v="No está en VPC"/>
    <n v="869"/>
    <s v="INTPG_ACC_869_1.36"/>
    <s v="ISEL-1.36"/>
    <n v="6"/>
    <s v="NO TIENE L3OUT"/>
    <n v="288"/>
    <n v="54"/>
  </r>
  <r>
    <n v="861"/>
    <x v="2"/>
    <x v="102"/>
    <s v="eth1/36"/>
    <x v="0"/>
    <x v="0"/>
    <x v="0"/>
    <s v="To_VPC_2DCBSD_BD14_2"/>
    <x v="0"/>
    <b v="0"/>
    <s v="No está en VPC"/>
    <n v="861"/>
    <s v="INTPG_VPC_861_1.36_866_1.36"/>
    <s v="ISEL-1.36"/>
    <n v="1"/>
    <s v="NO TIENE L3OUT"/>
    <n v="8"/>
    <n v="54"/>
  </r>
  <r>
    <n v="874"/>
    <x v="2"/>
    <x v="103"/>
    <s v="eth1/36"/>
    <x v="0"/>
    <x v="0"/>
    <x v="0"/>
    <s v="A_ITHFHWSEQLCAS11_Redundante"/>
    <x v="4"/>
    <b v="0"/>
    <s v="No está en VPC"/>
    <n v="874"/>
    <s v="INTPG_ACC_874_1.36"/>
    <s v="ISEL-1.36"/>
    <n v="1"/>
    <s v="NO TIENE L3OUT"/>
    <n v="92"/>
    <n v="54"/>
  </r>
  <r>
    <n v="865"/>
    <x v="2"/>
    <x v="104"/>
    <s v="eth1/36"/>
    <x v="0"/>
    <x v="0"/>
    <x v="0"/>
    <s v="To_VPC_2DCBSD_BD18_3"/>
    <x v="0"/>
    <b v="0"/>
    <s v="No está en VPC"/>
    <n v="865"/>
    <s v="INTPG_VPC_860_1.36_865_1.36"/>
    <s v="ISEL-1.36"/>
    <n v="1"/>
    <s v="NO TIENE L3OUT"/>
    <n v="0"/>
    <n v="54"/>
  </r>
  <r>
    <n v="753"/>
    <x v="2"/>
    <x v="105"/>
    <s v="eth1/36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36"/>
    <x v="0"/>
    <x v="1"/>
    <x v="1"/>
    <s v="CEM_ITHCEME2PRT18"/>
    <x v="0"/>
    <b v="0"/>
    <s v="No está en VPC"/>
    <n v="708"/>
    <s v="INTPG_VPC_708_1.36_709_1.35"/>
    <s v="ISEL-1.36"/>
    <n v="1"/>
    <s v="NO TIENE L3OUT"/>
    <n v="0"/>
    <n v="54"/>
  </r>
  <r>
    <n v="710"/>
    <x v="2"/>
    <x v="107"/>
    <s v="eth1/36"/>
    <x v="0"/>
    <x v="1"/>
    <x v="1"/>
    <s v="CEM_ITHCEMC2COR18"/>
    <x v="0"/>
    <b v="0"/>
    <s v="No está en VPC"/>
    <n v="710"/>
    <s v="INTPG_VPC_710_1.36_711_1.35"/>
    <s v="ISEL-1.36"/>
    <n v="1"/>
    <s v="NO TIENE L3OUT"/>
    <n v="16"/>
    <n v="54"/>
  </r>
  <r>
    <n v="713"/>
    <x v="2"/>
    <x v="108"/>
    <s v="eth1/36"/>
    <x v="0"/>
    <x v="1"/>
    <x v="5"/>
    <s v="CEM:ITHCEMB2ADT18:LOM  P2"/>
    <x v="0"/>
    <b v="0"/>
    <s v="No está en VPC"/>
    <n v="713"/>
    <s v="INTPG_VPC_712_1.35_713_1.36"/>
    <s v="ISEL-1.36"/>
    <n v="1"/>
    <s v="NO TIENE L3OUT"/>
    <n v="32"/>
    <n v="54"/>
  </r>
  <r>
    <n v="735"/>
    <x v="2"/>
    <x v="109"/>
    <s v="eth1/36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36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36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36"/>
    <x v="0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36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14"/>
    <x v="2"/>
    <x v="114"/>
    <s v="eth1/36"/>
    <x v="0"/>
    <x v="0"/>
    <x v="0"/>
    <s v="LINK_HACIA_SPINE"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36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36"/>
    <x v="0"/>
    <x v="0"/>
    <x v="0"/>
    <s v="LINK_TO_ITHFHWCBSDSWR18 /Slot4.2 /Principal"/>
    <x v="0"/>
    <b v="0"/>
    <s v="No está en VPC"/>
    <n v="826"/>
    <s v="INTPG_VPC_826_1.36_830_1.36"/>
    <s v="ISEL-1.36"/>
    <n v="1"/>
    <s v="NO TIENE L3OUT"/>
    <n v="12"/>
    <n v="54"/>
  </r>
  <r>
    <n v="726"/>
    <x v="2"/>
    <x v="117"/>
    <s v="eth1/36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36"/>
    <x v="0"/>
    <x v="0"/>
    <x v="0"/>
    <s v="ITHCEMD2PRT18"/>
    <x v="5"/>
    <b v="0"/>
    <s v="No está en VPC"/>
    <n v="740"/>
    <s v="INTPG_ACC_740_1.36"/>
    <s v="ISEL-1.36"/>
    <n v="1"/>
    <s v="NO TIENE L3OUT"/>
    <n v="72"/>
    <n v="54"/>
  </r>
  <r>
    <n v="705"/>
    <x v="2"/>
    <x v="119"/>
    <s v="eth1/36"/>
    <x v="0"/>
    <x v="0"/>
    <x v="0"/>
    <m/>
    <x v="0"/>
    <b v="0"/>
    <s v="No está en VPC"/>
    <n v="705"/>
    <s v="INTPG_VPC_706_1.35_705_1.36"/>
    <s v="ISEL-1.36"/>
    <n v="2"/>
    <s v="NO TIENE L3OUT"/>
    <n v="16"/>
    <n v="54"/>
  </r>
  <r>
    <n v="723"/>
    <x v="2"/>
    <x v="120"/>
    <s v="eth1/36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36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36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36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36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36"/>
    <x v="0"/>
    <x v="1"/>
    <x v="1"/>
    <s v="CEM_ITHCEMF2KFG18"/>
    <x v="0"/>
    <b v="0"/>
    <s v="No está en VPC"/>
    <n v="709"/>
    <s v="INTPG_VPC_708_1.35_709_1.36"/>
    <s v="ISEL-1.36"/>
    <n v="1"/>
    <s v="NO TIENE L3OUT"/>
    <n v="0"/>
    <n v="54"/>
  </r>
  <r>
    <n v="454"/>
    <x v="1"/>
    <x v="126"/>
    <s v="eth1/36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36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36"/>
    <x v="0"/>
    <x v="0"/>
    <x v="0"/>
    <s v="LINK_HACIA_SPINE"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36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36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36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36"/>
    <x v="0"/>
    <x v="1"/>
    <x v="1"/>
    <m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36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36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36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36"/>
    <x v="0"/>
    <x v="1"/>
    <x v="3"/>
    <s v="CEM_HADOOP"/>
    <x v="0"/>
    <b v="0"/>
    <s v="No está en VPC"/>
    <n v="736"/>
    <s v="INTPG_ACC_736_1.36"/>
    <s v="ISEL-1.36"/>
    <n v="1"/>
    <s v="NO TIENE L3OUT"/>
    <n v="48"/>
    <n v="54"/>
  </r>
  <r>
    <n v="799"/>
    <x v="2"/>
    <x v="137"/>
    <s v="eth1/36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36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36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36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36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36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36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36"/>
    <x v="0"/>
    <x v="0"/>
    <x v="0"/>
    <s v="CLOUD PASS PAYG F3:ITHHWOSCOPAP021:LOM 10GE P1"/>
    <x v="0"/>
    <b v="0"/>
    <s v="No está en VPC"/>
    <n v="774"/>
    <s v="INTPG_VPC_774_1.36_775_1.36"/>
    <s v="ISEL-1.36"/>
    <n v="24"/>
    <s v="NO TIENE L3OUT"/>
    <n v="0"/>
    <n v="54"/>
  </r>
  <r>
    <n v="773"/>
    <x v="2"/>
    <x v="145"/>
    <s v="eth1/36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36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36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36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36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36"/>
    <x v="0"/>
    <x v="0"/>
    <x v="0"/>
    <s v="TO-ITHFHWRHV2LMGMT01"/>
    <x v="0"/>
    <b v="0"/>
    <s v="No está en VPC"/>
    <n v="781"/>
    <s v="INTPG_VPC_780_1.36-37_781_1.36-37"/>
    <s v="ISEL-1.36"/>
    <n v="2"/>
    <s v="NO TIENE L3OUT"/>
    <n v="26"/>
    <n v="54"/>
  </r>
  <r>
    <n v="793"/>
    <x v="2"/>
    <x v="151"/>
    <s v="eth1/36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36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36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36"/>
    <x v="1"/>
    <x v="1"/>
    <x v="3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36"/>
    <x v="0"/>
    <x v="0"/>
    <x v="0"/>
    <s v="TO-ITHHWOSCOAP026"/>
    <x v="0"/>
    <b v="0"/>
    <s v="No está en VPC"/>
    <n v="777"/>
    <s v="INTPG_VPC_776_1.36_777_1.36"/>
    <s v="ISEL-1.36"/>
    <n v="24"/>
    <s v="NO TIENE L3OUT"/>
    <n v="0"/>
    <n v="54"/>
  </r>
  <r>
    <n v="770"/>
    <x v="2"/>
    <x v="156"/>
    <s v="eth1/36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36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36"/>
    <x v="0"/>
    <x v="0"/>
    <x v="0"/>
    <s v="ITHCEMC2COR18"/>
    <x v="5"/>
    <b v="0"/>
    <s v="No está en VPC"/>
    <n v="739"/>
    <s v="INTPG_ACC_739_1.36"/>
    <s v="ISEL-1.36"/>
    <n v="1"/>
    <s v="NO TIENE L3OUT"/>
    <n v="72"/>
    <n v="54"/>
  </r>
  <r>
    <n v="775"/>
    <x v="2"/>
    <x v="159"/>
    <s v="eth1/36"/>
    <x v="0"/>
    <x v="0"/>
    <x v="0"/>
    <s v="CLOUD PASS PAYG F3:ITHHWOSCOPAP021:Slot 4 P1"/>
    <x v="0"/>
    <b v="0"/>
    <s v="No está en VPC"/>
    <n v="775"/>
    <s v="INTPG_VPC_774_1.36_775_1.36"/>
    <s v="ISEL-1.36"/>
    <n v="24"/>
    <s v="NO TIENE L3OUT"/>
    <n v="0"/>
    <n v="54"/>
  </r>
  <r>
    <n v="791"/>
    <x v="2"/>
    <x v="160"/>
    <s v="eth1/36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36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36"/>
    <x v="0"/>
    <x v="0"/>
    <x v="0"/>
    <s v="LINK_TO_ITHFHWCBSDSWR18 /Slot6.2 /Redundante"/>
    <x v="0"/>
    <b v="0"/>
    <s v="No está en VPC"/>
    <n v="830"/>
    <s v="INTPG_VPC_826_1.36_830_1.36"/>
    <s v="ISEL-1.36"/>
    <n v="1"/>
    <s v="NO TIENE L3OUT"/>
    <n v="12"/>
    <n v="54"/>
  </r>
  <r>
    <n v="821"/>
    <x v="2"/>
    <x v="163"/>
    <s v="eth1/36"/>
    <x v="0"/>
    <x v="0"/>
    <x v="0"/>
    <s v="LINK_TO_ITHFHWCBSPSWR18 /Slot6.2 /Redundante"/>
    <x v="0"/>
    <b v="0"/>
    <s v="No está en VPC"/>
    <n v="821"/>
    <s v="INTPG_VPC_816_1.36_821_1.36"/>
    <s v="ISEL-1.36"/>
    <n v="1"/>
    <s v="NO TIENE L3OUT"/>
    <n v="0"/>
    <n v="54"/>
  </r>
  <r>
    <n v="738"/>
    <x v="2"/>
    <x v="164"/>
    <s v="eth1/36"/>
    <x v="0"/>
    <x v="0"/>
    <x v="0"/>
    <s v="ITHCEMF2KFG18"/>
    <x v="5"/>
    <b v="0"/>
    <s v="No está en VPC"/>
    <n v="738"/>
    <s v="INTPG_ACC_738_1.36"/>
    <s v="ISEL-1.36"/>
    <n v="1"/>
    <s v="NO TIENE L3OUT"/>
    <n v="72"/>
    <n v="54"/>
  </r>
  <r>
    <n v="820"/>
    <x v="2"/>
    <x v="165"/>
    <s v="eth1/36"/>
    <x v="0"/>
    <x v="0"/>
    <x v="0"/>
    <s v="To_ITHHWD6KV65100010DKC01_Principal"/>
    <x v="0"/>
    <b v="0"/>
    <s v="No está en VPC"/>
    <n v="820"/>
    <s v="INTPG_ACC_820_1.36"/>
    <s v="ISEL-1.36"/>
    <n v="1"/>
    <s v="NO TIENE L3OUT"/>
    <n v="72"/>
    <n v="54"/>
  </r>
  <r>
    <n v="804"/>
    <x v="2"/>
    <x v="166"/>
    <s v="eth1/36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36"/>
    <x v="0"/>
    <x v="1"/>
    <x v="3"/>
    <s v="CLOUD OPS:ithhwcop01st01ce02:B IOM1 Smart IO P1"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36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36"/>
    <x v="0"/>
    <x v="0"/>
    <x v="0"/>
    <s v="LINK_TO_ITHFHWCBSDSWR28 /10GE.1 /Principal"/>
    <x v="0"/>
    <b v="0"/>
    <s v="No está en VPC"/>
    <n v="827"/>
    <s v="INTPG_VPC_827_1.36_831_1.36"/>
    <s v="ISEL-1.36"/>
    <n v="1"/>
    <s v="NO TIENE L3OUT"/>
    <n v="14"/>
    <n v="54"/>
  </r>
  <r>
    <n v="809"/>
    <x v="2"/>
    <x v="170"/>
    <s v="eth1/36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36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36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36"/>
    <x v="0"/>
    <x v="0"/>
    <x v="0"/>
    <s v="TO-ITHHWOSCOAP026"/>
    <x v="0"/>
    <b v="0"/>
    <s v="No está en VPC"/>
    <n v="776"/>
    <s v="INTPG_VPC_776_1.36_777_1.36"/>
    <s v="ISEL-1.36"/>
    <n v="24"/>
    <s v="NO TIENE L3OUT"/>
    <n v="0"/>
    <n v="54"/>
  </r>
  <r>
    <n v="805"/>
    <x v="2"/>
    <x v="174"/>
    <s v="eth1/36"/>
    <x v="1"/>
    <x v="1"/>
    <x v="3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36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36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36"/>
    <x v="0"/>
    <x v="0"/>
    <x v="0"/>
    <s v="LINK_TO_ITHFHWCRMPLCN112 / Slot7.3_28 / Redundante"/>
    <x v="0"/>
    <b v="0"/>
    <s v="No está en VPC"/>
    <n v="851"/>
    <s v="INTPG_ACC_851_1.36"/>
    <s v="ISEL-1.36"/>
    <n v="1"/>
    <s v="NO TIENE L3OUT"/>
    <n v="282"/>
    <n v="54"/>
  </r>
  <r>
    <n v="798"/>
    <x v="2"/>
    <x v="178"/>
    <s v="eth1/36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36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36"/>
    <x v="0"/>
    <x v="0"/>
    <x v="0"/>
    <s v="LINK_TO_ITHFHWCRMPLCN96 / Slot7.1_24 / Redundante"/>
    <x v="0"/>
    <b v="0"/>
    <s v="No está en VPC"/>
    <n v="852"/>
    <s v="INTPG_ACC_852_1.36"/>
    <s v="ISEL-1.36"/>
    <n v="6"/>
    <s v="NO TIENE L3OUT"/>
    <n v="258"/>
    <n v="54"/>
  </r>
  <r>
    <n v="817"/>
    <x v="2"/>
    <x v="181"/>
    <s v="eth1/36"/>
    <x v="0"/>
    <x v="0"/>
    <x v="0"/>
    <s v="LINK_TO_ITHFHWCBSPSWR25 /Slot4.2 /Principal"/>
    <x v="0"/>
    <b v="0"/>
    <s v="No está en VPC"/>
    <n v="817"/>
    <s v="INTPG_VPC_817_1.36_822_1.36"/>
    <s v="ISEL-1.36"/>
    <n v="1"/>
    <s v="NO TIENE L3OUT"/>
    <n v="0"/>
    <n v="54"/>
  </r>
  <r>
    <n v="832"/>
    <x v="2"/>
    <x v="182"/>
    <s v="eth1/36"/>
    <x v="0"/>
    <x v="0"/>
    <x v="0"/>
    <s v="LINK_TO_ITHFHWCRMDLCN27 /Slot5.1 /Redundante"/>
    <x v="0"/>
    <b v="0"/>
    <s v="No está en VPC"/>
    <n v="832"/>
    <s v="INTPG_ACC_832_1.36"/>
    <s v="ISEL-1.36"/>
    <n v="2"/>
    <s v="NO TIENE L3OUT"/>
    <n v="192"/>
    <n v="54"/>
  </r>
  <r>
    <n v="816"/>
    <x v="2"/>
    <x v="183"/>
    <s v="eth1/36"/>
    <x v="0"/>
    <x v="0"/>
    <x v="0"/>
    <s v="LINK_TO_ITHFHWCBSPSWR18 /Slot4.2 /Principal"/>
    <x v="0"/>
    <b v="0"/>
    <s v="No está en VPC"/>
    <n v="816"/>
    <s v="INTPG_VPC_816_1.36_821_1.36"/>
    <s v="ISEL-1.36"/>
    <n v="1"/>
    <s v="NO TIENE L3OUT"/>
    <n v="0"/>
    <n v="54"/>
  </r>
  <r>
    <n v="825"/>
    <x v="2"/>
    <x v="184"/>
    <s v="eth1/36"/>
    <x v="0"/>
    <x v="0"/>
    <x v="0"/>
    <s v="To_ITHHWD6KV65100010DKC01_Redundante"/>
    <x v="0"/>
    <b v="0"/>
    <s v="No está en VPC"/>
    <n v="825"/>
    <s v="INTPG_ACC_825_1.36"/>
    <s v="ISEL-1.36"/>
    <n v="1"/>
    <s v="NO TIENE L3OUT"/>
    <n v="72"/>
    <n v="54"/>
  </r>
  <r>
    <n v="800"/>
    <x v="2"/>
    <x v="185"/>
    <s v="eth1/36"/>
    <x v="0"/>
    <x v="0"/>
    <x v="0"/>
    <s v="TO-DCGW NE8000-F1A"/>
    <x v="0"/>
    <b v="0"/>
    <s v="No está en VPC"/>
    <n v="800"/>
    <s v="INTPG_VPC_800_1.36_801_1.36"/>
    <s v="ISEL-1.36"/>
    <n v="2"/>
    <s v="NO TIENE L3OUT"/>
    <n v="78"/>
    <n v="54"/>
  </r>
  <r>
    <n v="801"/>
    <x v="2"/>
    <x v="186"/>
    <s v="eth1/36"/>
    <x v="0"/>
    <x v="0"/>
    <x v="0"/>
    <s v="TO-DCGW NE8000-F1A"/>
    <x v="0"/>
    <b v="0"/>
    <s v="No está en VPC"/>
    <n v="801"/>
    <s v="INTPG_VPC_800_1.36_801_1.36"/>
    <s v="ISEL-1.36"/>
    <n v="2"/>
    <s v="NO TIENE L3OUT"/>
    <n v="78"/>
    <n v="54"/>
  </r>
  <r>
    <n v="823"/>
    <x v="2"/>
    <x v="187"/>
    <s v="eth1/36"/>
    <x v="0"/>
    <x v="0"/>
    <x v="0"/>
    <s v="LINK_TO_ITHFHWCBSPSWR36 /Slot5.1 /Redundante"/>
    <x v="0"/>
    <b v="0"/>
    <s v="No está en VPC"/>
    <n v="823"/>
    <s v="INTPG_VPC_818_1.36_823_1.36"/>
    <s v="ISEL-1.36"/>
    <n v="1"/>
    <s v="NO TIENE L3OUT"/>
    <n v="8"/>
    <n v="54"/>
  </r>
  <r>
    <n v="837"/>
    <x v="2"/>
    <x v="188"/>
    <s v="eth1/36"/>
    <x v="0"/>
    <x v="0"/>
    <x v="0"/>
    <s v="LINK_To_ITHFHWCBSPSHD20 / Slot1.1_16 / Principal"/>
    <x v="0"/>
    <b v="0"/>
    <s v="No está en VPC"/>
    <n v="837"/>
    <s v="INTPG_VPC_837_1.36_842_1.36"/>
    <s v="ISEL-1.36"/>
    <n v="2"/>
    <s v="NO TIENE L3OUT"/>
    <n v="8"/>
    <n v="54"/>
  </r>
  <r>
    <n v="867"/>
    <x v="2"/>
    <x v="189"/>
    <s v="eth1/36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36"/>
    <x v="0"/>
    <x v="0"/>
    <x v="0"/>
    <s v="To_ITHFHWCRMDLCN47_Principal"/>
    <x v="0"/>
    <b v="0"/>
    <s v="No está en VPC"/>
    <n v="829"/>
    <s v="INTPG_ACC_829_1.36"/>
    <s v="ISEL-1.36"/>
    <n v="6"/>
    <s v="NO TIENE L3OUT"/>
    <n v="224"/>
    <n v="54"/>
  </r>
  <r>
    <n v="831"/>
    <x v="2"/>
    <x v="191"/>
    <s v="eth1/36"/>
    <x v="0"/>
    <x v="0"/>
    <x v="0"/>
    <s v="LINK_TO_ITHFHWCBSDSWR28 /Slot5.1 /Redundante"/>
    <x v="0"/>
    <b v="0"/>
    <s v="No está en VPC"/>
    <n v="831"/>
    <s v="INTPG_VPC_827_1.36_831_1.36"/>
    <s v="ISEL-1.36"/>
    <n v="1"/>
    <s v="NO TIENE L3OUT"/>
    <n v="14"/>
    <n v="54"/>
  </r>
  <r>
    <n v="802"/>
    <x v="2"/>
    <x v="192"/>
    <s v="eth1/36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36"/>
    <x v="0"/>
    <x v="0"/>
    <x v="0"/>
    <s v="LINK_TO_ITHFHWCBSPSHD34 / Slot1.2_20 / Principal"/>
    <x v="0"/>
    <b v="0"/>
    <s v="No está en VPC"/>
    <n v="835"/>
    <s v="INTPG_VPC_835_1.36_840_1.36"/>
    <s v="ISEL-1.36"/>
    <n v="1"/>
    <s v="NO TIENE L3OUT"/>
    <n v="8"/>
    <n v="54"/>
  </r>
  <r>
    <n v="822"/>
    <x v="2"/>
    <x v="194"/>
    <s v="eth1/36"/>
    <x v="0"/>
    <x v="0"/>
    <x v="0"/>
    <s v="LINK_TO_ITHFHWCBSPSWR25 /Slot6.2 /Redundante"/>
    <x v="0"/>
    <b v="0"/>
    <s v="No está en VPC"/>
    <n v="822"/>
    <s v="INTPG_VPC_817_1.36_822_1.36"/>
    <s v="ISEL-1.36"/>
    <n v="1"/>
    <s v="NO TIENE L3OUT"/>
    <n v="0"/>
    <n v="54"/>
  </r>
  <r>
    <n v="854"/>
    <x v="2"/>
    <x v="195"/>
    <s v="eth1/36"/>
    <x v="0"/>
    <x v="0"/>
    <x v="0"/>
    <s v="LINK_TO_ITHFHWCRMPLCN177 / Slot1.2_24 / Principal"/>
    <x v="0"/>
    <b v="0"/>
    <s v="No está en VPC"/>
    <n v="854"/>
    <s v="INTPG_ACC_854_1.36"/>
    <s v="ISEL-1.36"/>
    <n v="2"/>
    <s v="NO TIENE L3OUT"/>
    <n v="204"/>
    <n v="54"/>
  </r>
  <r>
    <n v="858"/>
    <x v="2"/>
    <x v="196"/>
    <s v="eth1/36"/>
    <x v="0"/>
    <x v="0"/>
    <x v="0"/>
    <s v="To_VPC_2DCBSD_WR56_3"/>
    <x v="0"/>
    <b v="0"/>
    <s v="No está en VPC"/>
    <n v="858"/>
    <s v="INTPG_VPC_858_1.36_863_1.36"/>
    <s v="ISEL-1.36"/>
    <n v="1"/>
    <s v="NO TIENE L3OUT"/>
    <n v="8"/>
    <n v="54"/>
  </r>
  <r>
    <n v="857"/>
    <x v="2"/>
    <x v="197"/>
    <s v="eth1/36"/>
    <x v="0"/>
    <x v="0"/>
    <x v="0"/>
    <s v="LINKT_TO_ITHFHWCRMPLCN127 / Slot1.2_24 / Principal"/>
    <x v="0"/>
    <b v="0"/>
    <s v="No está en VPC"/>
    <n v="857"/>
    <s v="INTPG_ACC_857_1.36"/>
    <s v="ISEL-1.36"/>
    <n v="2"/>
    <s v="NO TIENE L3OUT"/>
    <n v="288"/>
    <n v="54"/>
  </r>
  <r>
    <n v="859"/>
    <x v="2"/>
    <x v="198"/>
    <s v="eth1/36"/>
    <x v="0"/>
    <x v="0"/>
    <x v="0"/>
    <s v="To_VPC_2DCBSD_WR47_3"/>
    <x v="0"/>
    <b v="0"/>
    <s v="No está en VPC"/>
    <n v="859"/>
    <s v="INTPG_VPC_859_1.36_864_1.36"/>
    <s v="ISEL-1.36"/>
    <n v="1"/>
    <s v="NO TIENE L3OUT"/>
    <n v="0"/>
    <n v="54"/>
  </r>
  <r>
    <n v="833"/>
    <x v="2"/>
    <x v="199"/>
    <s v="eth1/36"/>
    <x v="0"/>
    <x v="0"/>
    <x v="0"/>
    <s v="To_ITHFHWCRMDLCN47_Redundante"/>
    <x v="0"/>
    <b v="0"/>
    <s v="No está en VPC"/>
    <n v="833"/>
    <s v="INTPG_ACC_833_1.36"/>
    <s v="ISEL-1.36"/>
    <n v="6"/>
    <s v="NO TIENE L3OUT"/>
    <n v="224"/>
    <n v="54"/>
  </r>
  <r>
    <n v="818"/>
    <x v="2"/>
    <x v="200"/>
    <s v="eth1/36"/>
    <x v="0"/>
    <x v="0"/>
    <x v="0"/>
    <s v="LINK_TO_ITHFHWCBSPSWR36 /10GE.1 /Principal"/>
    <x v="0"/>
    <b v="0"/>
    <s v="No está en VPC"/>
    <n v="818"/>
    <s v="INTPG_VPC_818_1.36_823_1.36"/>
    <s v="ISEL-1.36"/>
    <n v="1"/>
    <s v="NO TIENE L3OUT"/>
    <n v="8"/>
    <n v="54"/>
  </r>
  <r>
    <n v="850"/>
    <x v="2"/>
    <x v="201"/>
    <s v="eth1/36"/>
    <x v="0"/>
    <x v="0"/>
    <x v="0"/>
    <s v="LINKT_TO_ITHFHWCRMPLCN127 / Slot7.2_24 / Redundante"/>
    <x v="0"/>
    <b v="0"/>
    <s v="No está en VPC"/>
    <n v="850"/>
    <s v="INTPG_ACC_850_1.36"/>
    <s v="ISEL-1.36"/>
    <n v="2"/>
    <s v="NO TIENE L3OUT"/>
    <n v="288"/>
    <n v="54"/>
  </r>
  <r>
    <n v="860"/>
    <x v="2"/>
    <x v="202"/>
    <s v="eth1/36"/>
    <x v="0"/>
    <x v="0"/>
    <x v="0"/>
    <s v="To_VPC_2DCBSD_BD18_3"/>
    <x v="0"/>
    <b v="0"/>
    <s v="No está en VPC"/>
    <n v="860"/>
    <s v="INTPG_VPC_860_1.36_865_1.36"/>
    <s v="ISEL-1.36"/>
    <n v="1"/>
    <s v="NO TIENE L3OUT"/>
    <n v="0"/>
    <n v="54"/>
  </r>
  <r>
    <n v="853"/>
    <x v="2"/>
    <x v="203"/>
    <s v="eth1/36"/>
    <x v="0"/>
    <x v="0"/>
    <x v="0"/>
    <s v="LINK_TO_ITHFHWCRMPLCN83 / Slot7.3_24 / Redundante"/>
    <x v="0"/>
    <b v="0"/>
    <s v="No está en VPC"/>
    <n v="853"/>
    <s v="INTPG_ACC_853_1.36"/>
    <s v="ISEL-1.36"/>
    <n v="1"/>
    <s v="NO TIENE L3OUT"/>
    <n v="242"/>
    <n v="54"/>
  </r>
  <r>
    <n v="790"/>
    <x v="2"/>
    <x v="204"/>
    <s v="eth1/36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36"/>
    <x v="0"/>
    <x v="0"/>
    <x v="0"/>
    <m/>
    <x v="6"/>
    <b v="0"/>
    <s v="No está en VPC"/>
    <n v="105"/>
    <s v="INTPG_PC_105_23_24_36"/>
    <s v="ISEL-1.36"/>
    <n v="2"/>
    <s v="NO TIENE L3OUT"/>
    <n v="106"/>
    <n v="96"/>
  </r>
  <r>
    <n v="117"/>
    <x v="0"/>
    <x v="206"/>
    <s v="eth1/36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36"/>
    <x v="1"/>
    <x v="1"/>
    <x v="2"/>
    <s v="DESC"/>
    <x v="6"/>
    <b v="0"/>
    <s v="No está en VPC"/>
    <n v="104"/>
    <s v="INTPG_PC_104_1.32-39"/>
    <s v="ISEL-1.36"/>
    <n v="0"/>
    <s v="NO TIENE L3OUT"/>
    <n v="194"/>
    <n v="96"/>
  </r>
  <r>
    <n v="158"/>
    <x v="0"/>
    <x v="208"/>
    <s v="eth1/36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36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36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36"/>
    <x v="0"/>
    <x v="1"/>
    <x v="1"/>
    <m/>
    <x v="6"/>
    <b v="0"/>
    <s v="No está en VPC"/>
    <n v="108"/>
    <s v="INTPG_ACC_108_1.36"/>
    <s v="ISEL-1.36"/>
    <n v="1"/>
    <s v="NO TIENE L3OUT"/>
    <n v="126"/>
    <n v="96"/>
  </r>
  <r>
    <n v="112"/>
    <x v="0"/>
    <x v="212"/>
    <s v="eth1/36"/>
    <x v="0"/>
    <x v="0"/>
    <x v="0"/>
    <s v="CHARGING SYSTEM"/>
    <x v="6"/>
    <b v="0"/>
    <s v="No está en VPC"/>
    <n v="112"/>
    <s v="INTPG_ACC_112_1.36"/>
    <s v="ISEL-1.36"/>
    <n v="1"/>
    <s v="NO TIENE L3OUT"/>
    <n v="144"/>
    <n v="96"/>
  </r>
  <r>
    <n v="107"/>
    <x v="0"/>
    <x v="213"/>
    <s v="eth1/36"/>
    <x v="0"/>
    <x v="0"/>
    <x v="0"/>
    <s v="SRM"/>
    <x v="6"/>
    <b v="0"/>
    <s v="No está en VPC"/>
    <n v="107"/>
    <s v="INTPG_ACC_107_1.36"/>
    <s v="ISEL-1.36"/>
    <n v="1"/>
    <s v="NO TIENE L3OUT"/>
    <n v="118"/>
    <n v="96"/>
  </r>
  <r>
    <n v="109"/>
    <x v="0"/>
    <x v="214"/>
    <s v="eth1/36"/>
    <x v="0"/>
    <x v="1"/>
    <x v="1"/>
    <m/>
    <x v="6"/>
    <b v="0"/>
    <s v="No está en VPC"/>
    <n v="109"/>
    <s v="INTPG_ACC_109_1.36"/>
    <s v="ISEL-1.36"/>
    <n v="1"/>
    <s v="NO TIENE L3OUT"/>
    <n v="126"/>
    <n v="96"/>
  </r>
  <r>
    <n v="113"/>
    <x v="0"/>
    <x v="215"/>
    <s v="eth1/36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36"/>
    <x v="0"/>
    <x v="0"/>
    <x v="0"/>
    <s v="NODO AIR CS4 R9"/>
    <x v="6"/>
    <b v="0"/>
    <s v="No está en VPC"/>
    <n v="114"/>
    <s v="INTPG_ACC_114_1.36"/>
    <s v="ISEL-1.36"/>
    <n v="1"/>
    <s v="NO TIENE L3OUT"/>
    <n v="144"/>
    <n v="96"/>
  </r>
  <r>
    <n v="124"/>
    <x v="0"/>
    <x v="217"/>
    <s v="eth1/36"/>
    <x v="0"/>
    <x v="0"/>
    <x v="0"/>
    <s v="ixtossgw2_2"/>
    <x v="6"/>
    <b v="0"/>
    <s v="No está en VPC"/>
    <n v="124"/>
    <s v="INTPG_ACC_124_1.36"/>
    <s v="ISEL-1.36"/>
    <n v="1"/>
    <s v="NO TIENE L3OUT"/>
    <n v="80"/>
    <n v="96"/>
  </r>
  <r>
    <n v="118"/>
    <x v="0"/>
    <x v="218"/>
    <s v="eth1/36"/>
    <x v="0"/>
    <x v="0"/>
    <x v="0"/>
    <s v="INGE6"/>
    <x v="6"/>
    <b v="0"/>
    <s v="No está en VPC"/>
    <n v="118"/>
    <s v="INTPG_ACC_118_1.36"/>
    <s v="ISEL-1.36"/>
    <n v="1"/>
    <s v="NO TIENE L3OUT"/>
    <n v="180"/>
    <n v="96"/>
  </r>
  <r>
    <n v="159"/>
    <x v="0"/>
    <x v="219"/>
    <s v="eth1/36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36"/>
    <x v="0"/>
    <x v="0"/>
    <x v="0"/>
    <s v="LINK_TO_ITHFHWCBSPSHD34 / Slot7.2_20 / Redundante"/>
    <x v="0"/>
    <b v="0"/>
    <s v="No está en VPC"/>
    <n v="840"/>
    <s v="INTPG_VPC_835_1.36_840_1.36"/>
    <s v="ISEL-1.36"/>
    <n v="1"/>
    <s v="NO TIENE L3OUT"/>
    <n v="8"/>
    <n v="54"/>
  </r>
  <r>
    <n v="856"/>
    <x v="2"/>
    <x v="221"/>
    <s v="eth1/36"/>
    <x v="0"/>
    <x v="0"/>
    <x v="0"/>
    <s v="LINK_TO_ITHFHWCRMPLCN146 / Slot1.2_26 / Principal"/>
    <x v="0"/>
    <b v="0"/>
    <s v="No está en VPC"/>
    <n v="856"/>
    <s v="INTPG_ACC_856_1.36"/>
    <s v="ISEL-1.36"/>
    <n v="2"/>
    <s v="NO TIENE L3OUT"/>
    <n v="286"/>
    <n v="54"/>
  </r>
  <r>
    <n v="110"/>
    <x v="0"/>
    <x v="222"/>
    <s v="eth1/36"/>
    <x v="0"/>
    <x v="0"/>
    <x v="0"/>
    <s v="SERVIDOR BKP-VNX"/>
    <x v="6"/>
    <b v="0"/>
    <s v="No está en VPC"/>
    <n v="110"/>
    <s v="INTPG_ACC_110_1.36"/>
    <s v="ISEL-1.36"/>
    <n v="1"/>
    <s v="NO TIENE L3OUT"/>
    <n v="102"/>
    <n v="96"/>
  </r>
  <r>
    <n v="163"/>
    <x v="0"/>
    <x v="223"/>
    <s v="eth1/36"/>
    <x v="0"/>
    <x v="0"/>
    <x v="0"/>
    <s v="MULTIMEDIACION"/>
    <x v="6"/>
    <b v="0"/>
    <s v="No está en VPC"/>
    <n v="163"/>
    <s v="INTPG_ACC_163_1.36"/>
    <s v="ISEL-1.36"/>
    <n v="1"/>
    <s v="NO TIENE L3OUT"/>
    <n v="140"/>
    <n v="96"/>
  </r>
  <r>
    <n v="407"/>
    <x v="1"/>
    <x v="224"/>
    <s v="eth1/36"/>
    <x v="0"/>
    <x v="0"/>
    <x v="0"/>
    <s v="Uxcppnal"/>
    <x v="6"/>
    <b v="0"/>
    <s v="No está en VPC"/>
    <n v="407"/>
    <s v="INTPG_ACC_407_1.36"/>
    <s v="ISEL-1.36"/>
    <n v="1"/>
    <s v="NO TIENE L3OUT"/>
    <n v="122"/>
    <n v="96"/>
  </r>
  <r>
    <n v="171"/>
    <x v="0"/>
    <x v="225"/>
    <s v="eth1/36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36"/>
    <x v="0"/>
    <x v="1"/>
    <x v="1"/>
    <s v="VTA_F5_eth0"/>
    <x v="6"/>
    <b v="0"/>
    <s v="No está en VPC"/>
    <n v="421"/>
    <s v="INTPG_ACC_421_1.36"/>
    <s v="ISEL-1.36"/>
    <n v="1"/>
    <s v="NO TIENE L3OUT"/>
    <n v="72"/>
    <n v="96"/>
  </r>
  <r>
    <n v="173"/>
    <x v="0"/>
    <x v="227"/>
    <s v="eth1/36"/>
    <x v="0"/>
    <x v="0"/>
    <x v="0"/>
    <s v="ENIQ"/>
    <x v="6"/>
    <b v="0"/>
    <s v="No está en VPC"/>
    <n v="173"/>
    <s v="INTPG_ACC_173_1.36"/>
    <s v="ISEL-1.36"/>
    <n v="1"/>
    <s v="NO TIENE L3OUT"/>
    <n v="66"/>
    <n v="96"/>
  </r>
  <r>
    <n v="154"/>
    <x v="0"/>
    <x v="228"/>
    <s v="eth1/36"/>
    <x v="0"/>
    <x v="0"/>
    <x v="0"/>
    <s v="POLYVIEW_SERVIDOR"/>
    <x v="6"/>
    <b v="0"/>
    <s v="No está en VPC"/>
    <n v="154"/>
    <s v="INTPG_ACC_154_1.36"/>
    <s v="ISEL-1.36"/>
    <n v="1"/>
    <s v="NO TIENE L3OUT"/>
    <n v="62"/>
    <n v="96"/>
  </r>
  <r>
    <n v="172"/>
    <x v="0"/>
    <x v="229"/>
    <s v="eth1/36"/>
    <x v="0"/>
    <x v="0"/>
    <x v="0"/>
    <s v="ixtpidb01_1"/>
    <x v="6"/>
    <b v="0"/>
    <s v="No está en VPC"/>
    <n v="172"/>
    <s v="INTPG_ACC_172_1.36"/>
    <s v="ISEL-1.36"/>
    <n v="1"/>
    <s v="NO TIENE L3OUT"/>
    <n v="104"/>
    <n v="96"/>
  </r>
  <r>
    <n v="420"/>
    <x v="1"/>
    <x v="230"/>
    <s v="eth1/36"/>
    <x v="0"/>
    <x v="0"/>
    <x v="0"/>
    <s v="TO-ITHFDEOCP1LWR05-PRINCIPAL"/>
    <x v="6"/>
    <b v="0"/>
    <s v="No está en VPC"/>
    <n v="420"/>
    <s v="INTPG_ACC_420_1.36"/>
    <s v="ISEL-1.36"/>
    <n v="1"/>
    <s v="NO TIENE L3OUT"/>
    <n v="158"/>
    <n v="96"/>
  </r>
  <r>
    <n v="423"/>
    <x v="1"/>
    <x v="231"/>
    <s v="eth1/36"/>
    <x v="0"/>
    <x v="0"/>
    <x v="0"/>
    <s v="SPECSERVER1_ETH4"/>
    <x v="6"/>
    <b v="0"/>
    <s v="No está en VPC"/>
    <n v="423"/>
    <s v="INTPG_ACC_423_1.36"/>
    <s v="ISEL-1.36"/>
    <n v="1"/>
    <s v="NO TIENE L3OUT"/>
    <n v="86"/>
    <n v="96"/>
  </r>
  <r>
    <n v="415"/>
    <x v="1"/>
    <x v="232"/>
    <s v="eth1/36"/>
    <x v="1"/>
    <x v="1"/>
    <x v="2"/>
    <s v="To-uxingemc3 ldom2 uxinghdr3"/>
    <x v="6"/>
    <b v="0"/>
    <s v="No está en VPC"/>
    <n v="415"/>
    <s v="INTPG_ACC_415_1.36"/>
    <s v="ISEL-1.36"/>
    <n v="0"/>
    <s v="NO TIENE L3OUT"/>
    <n v="52"/>
    <n v="96"/>
  </r>
  <r>
    <n v="102"/>
    <x v="0"/>
    <x v="233"/>
    <s v="eth1/36"/>
    <x v="0"/>
    <x v="1"/>
    <x v="1"/>
    <s v="SFLDI:RLDISTG01:1"/>
    <x v="6"/>
    <b v="0"/>
    <s v="No está en VPC"/>
    <n v="102"/>
    <s v="INTPG_ACC_102_1.36"/>
    <s v="ISEL-1.36"/>
    <n v="1"/>
    <s v="NO TIENE L3OUT"/>
    <n v="228"/>
    <n v="96"/>
  </r>
  <r>
    <n v="863"/>
    <x v="2"/>
    <x v="234"/>
    <s v="eth1/36"/>
    <x v="0"/>
    <x v="0"/>
    <x v="0"/>
    <s v="To_VPC_2DCBSD_WR56_3"/>
    <x v="0"/>
    <b v="0"/>
    <s v="No está en VPC"/>
    <n v="863"/>
    <s v="INTPG_VPC_858_1.36_863_1.36"/>
    <s v="ISEL-1.36"/>
    <n v="1"/>
    <s v="NO TIENE L3OUT"/>
    <n v="8"/>
    <n v="54"/>
  </r>
  <r>
    <n v="876"/>
    <x v="2"/>
    <x v="235"/>
    <s v="eth1/36"/>
    <x v="0"/>
    <x v="0"/>
    <x v="0"/>
    <s v="A_ITHFHWSEQLCAS11_Principal"/>
    <x v="4"/>
    <b v="0"/>
    <s v="No está en VPC"/>
    <n v="876"/>
    <s v="INTPG_ACC_876_1.36"/>
    <s v="ISEL-1.36"/>
    <n v="1"/>
    <s v="NO TIENE L3OUT"/>
    <n v="92"/>
    <n v="54"/>
  </r>
  <r>
    <n v="877"/>
    <x v="2"/>
    <x v="236"/>
    <s v="eth1/36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36"/>
    <x v="0"/>
    <x v="0"/>
    <x v="0"/>
    <s v="IXTRTC5"/>
    <x v="6"/>
    <b v="0"/>
    <s v="No está en VPC"/>
    <n v="122"/>
    <s v="INTPG_ACC_122_1.36"/>
    <s v="ISEL-1.36"/>
    <n v="1"/>
    <s v="NO TIENE L3OUT"/>
    <n v="148"/>
    <n v="96"/>
  </r>
  <r>
    <n v="157"/>
    <x v="0"/>
    <x v="238"/>
    <s v="eth1/36"/>
    <x v="0"/>
    <x v="1"/>
    <x v="1"/>
    <s v="GESTOR HUAWEI U2000 MW Tx"/>
    <x v="6"/>
    <b v="0"/>
    <s v="No está en VPC"/>
    <n v="157"/>
    <s v="INTPG_ACC_157_1.36"/>
    <s v="ISEL-1.36"/>
    <n v="1"/>
    <s v="NO TIENE L3OUT"/>
    <n v="202"/>
    <n v="96"/>
  </r>
  <r>
    <n v="408"/>
    <x v="1"/>
    <x v="239"/>
    <s v="eth1/36"/>
    <x v="0"/>
    <x v="0"/>
    <x v="0"/>
    <s v="WMS101"/>
    <x v="6"/>
    <b v="0"/>
    <s v="No está en VPC"/>
    <n v="408"/>
    <s v="INTPG_ACC_408_1.36"/>
    <s v="ISEL-1.36"/>
    <n v="1"/>
    <s v="NO TIENE L3OUT"/>
    <n v="152"/>
    <n v="96"/>
  </r>
  <r>
    <n v="405"/>
    <x v="1"/>
    <x v="240"/>
    <s v="eth1/36"/>
    <x v="0"/>
    <x v="0"/>
    <x v="0"/>
    <s v="IXT_ARIESO7_APP1"/>
    <x v="6"/>
    <b v="0"/>
    <s v="No está en VPC"/>
    <n v="405"/>
    <s v="INTPG_ACC_405_1.36"/>
    <s v="ISEL-1.36"/>
    <n v="1"/>
    <s v="NO TIENE L3OUT"/>
    <n v="138"/>
    <n v="96"/>
  </r>
  <r>
    <n v="169"/>
    <x v="0"/>
    <x v="241"/>
    <s v="eth1/36"/>
    <x v="0"/>
    <x v="0"/>
    <x v="0"/>
    <s v="TO-ITHFDENBURBKP03(IXTFDLBKP8RAP)-PRINCIPAL"/>
    <x v="6"/>
    <b v="0"/>
    <s v="No está en VPC"/>
    <n v="169"/>
    <s v="INTPG_ACC_169_1.36"/>
    <s v="ISEL-1.36"/>
    <n v="1"/>
    <s v="NO TIENE L3OUT"/>
    <n v="76"/>
    <n v="96"/>
  </r>
  <r>
    <n v="165"/>
    <x v="0"/>
    <x v="242"/>
    <s v="eth1/36"/>
    <x v="0"/>
    <x v="0"/>
    <x v="0"/>
    <s v="NOMINA_rhadm"/>
    <x v="6"/>
    <b v="0"/>
    <s v="No está en VPC"/>
    <n v="165"/>
    <s v="INTPG_ACC_165_1.36"/>
    <s v="ISEL-1.36"/>
    <n v="1"/>
    <s v="NO TIENE L3OUT"/>
    <n v="86"/>
    <n v="96"/>
  </r>
  <r>
    <n v="417"/>
    <x v="1"/>
    <x v="243"/>
    <s v="eth1/36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36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36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36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36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36"/>
    <x v="0"/>
    <x v="0"/>
    <x v="0"/>
    <s v="TC2_ithmombe1_OA2_MGT"/>
    <x v="6"/>
    <b v="0"/>
    <s v="No está en VPC"/>
    <n v="438"/>
    <s v="INTPG_ACC_438_1.36"/>
    <s v="ISEL-1.36"/>
    <n v="1"/>
    <s v="NO TIENE L3OUT"/>
    <n v="170"/>
    <n v="96"/>
  </r>
  <r>
    <n v="406"/>
    <x v="1"/>
    <x v="249"/>
    <s v="eth1/36"/>
    <x v="0"/>
    <x v="0"/>
    <x v="0"/>
    <s v="PCRF3_CLT"/>
    <x v="6"/>
    <b v="0"/>
    <s v="No está en VPC"/>
    <n v="406"/>
    <s v="INTPG_VPC_404_1.35-36_406_1.35-36"/>
    <s v="ISEL-1.36"/>
    <n v="5"/>
    <s v="NO TIENE L3OUT"/>
    <n v="82"/>
    <n v="96"/>
  </r>
  <r>
    <n v="414"/>
    <x v="1"/>
    <x v="250"/>
    <s v="eth1/36"/>
    <x v="0"/>
    <x v="0"/>
    <x v="0"/>
    <s v="PAPERLES_ITHFNET3_DD_PTO1"/>
    <x v="6"/>
    <b v="0"/>
    <s v="No está en VPC"/>
    <n v="414"/>
    <s v="INTPG_ACC_414_1.36"/>
    <s v="ISEL-1.36"/>
    <n v="1"/>
    <s v="NO TIENE L3OUT"/>
    <n v="144"/>
    <n v="96"/>
  </r>
  <r>
    <n v="416"/>
    <x v="1"/>
    <x v="251"/>
    <s v="eth1/36"/>
    <x v="0"/>
    <x v="1"/>
    <x v="1"/>
    <s v="DESC"/>
    <x v="6"/>
    <b v="0"/>
    <s v="No está en VPC"/>
    <n v="416"/>
    <s v="INTPG_PC_416_1.32-39"/>
    <s v="ISEL-1.36"/>
    <n v="8"/>
    <s v="NO TIENE L3OUT"/>
    <n v="110"/>
    <n v="96"/>
  </r>
  <r>
    <n v="418"/>
    <x v="1"/>
    <x v="252"/>
    <s v="eth1/36"/>
    <x v="0"/>
    <x v="1"/>
    <x v="1"/>
    <s v="DESC"/>
    <x v="6"/>
    <b v="0"/>
    <s v="No está en VPC"/>
    <n v="418"/>
    <s v="INTPG_PC_418_1.32-39"/>
    <s v="ISEL-1.36"/>
    <n v="8"/>
    <s v="NO TIENE L3OUT"/>
    <n v="152"/>
    <n v="96"/>
  </r>
  <r>
    <n v="413"/>
    <x v="1"/>
    <x v="253"/>
    <s v="eth1/36"/>
    <x v="0"/>
    <x v="0"/>
    <x v="0"/>
    <s v="VTAE4"/>
    <x v="6"/>
    <b v="0"/>
    <s v="No está en VPC"/>
    <n v="413"/>
    <s v="INTPG_ACC_413_1.36"/>
    <s v="ISEL-1.36"/>
    <n v="1"/>
    <s v="NO TIENE L3OUT"/>
    <n v="126"/>
    <n v="96"/>
  </r>
  <r>
    <n v="403"/>
    <x v="1"/>
    <x v="254"/>
    <s v="eth1/36"/>
    <x v="0"/>
    <x v="0"/>
    <x v="0"/>
    <s v="IXT_ARIESO7_APP1"/>
    <x v="6"/>
    <b v="0"/>
    <s v="No está en VPC"/>
    <n v="403"/>
    <s v="INTPG_ACC_403_1.36"/>
    <s v="ISEL-1.36"/>
    <n v="1"/>
    <s v="NO TIENE L3OUT"/>
    <n v="150"/>
    <n v="96"/>
  </r>
  <r>
    <n v="125"/>
    <x v="0"/>
    <x v="255"/>
    <s v="eth1/36"/>
    <x v="1"/>
    <x v="1"/>
    <x v="2"/>
    <s v="ixtossgw1_2"/>
    <x v="6"/>
    <b v="0"/>
    <s v="No está en VPC"/>
    <n v="125"/>
    <s v="INTPG_ACC_125_1.36"/>
    <s v="ISEL-1.36"/>
    <n v="0"/>
    <s v="NO TIENE L3OUT"/>
    <n v="72"/>
    <n v="96"/>
  </r>
  <r>
    <n v="166"/>
    <x v="0"/>
    <x v="256"/>
    <s v="eth1/36"/>
    <x v="0"/>
    <x v="0"/>
    <x v="0"/>
    <s v="NOMINA_uxtest01"/>
    <x v="6"/>
    <b v="0"/>
    <s v="No está en VPC"/>
    <n v="166"/>
    <s v="INTPG_ACC_166_1.36"/>
    <s v="ISEL-1.36"/>
    <n v="1"/>
    <s v="NO TIENE L3OUT"/>
    <n v="84"/>
    <n v="96"/>
  </r>
  <r>
    <n v="111"/>
    <x v="0"/>
    <x v="257"/>
    <s v="eth1/36"/>
    <x v="0"/>
    <x v="0"/>
    <x v="0"/>
    <s v="STORAGE_VNX_0493_BKP1_AND_BKP2"/>
    <x v="6"/>
    <b v="0"/>
    <s v="No está en VPC"/>
    <n v="111"/>
    <s v="INTPG_ACC_111_1.36"/>
    <s v="ISEL-1.36"/>
    <n v="1"/>
    <s v="NO TIENE L3OUT"/>
    <n v="58"/>
    <n v="96"/>
  </r>
  <r>
    <n v="115"/>
    <x v="0"/>
    <x v="258"/>
    <s v="eth1/36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36"/>
    <x v="0"/>
    <x v="0"/>
    <x v="0"/>
    <m/>
    <x v="6"/>
    <b v="0"/>
    <s v="No está en VPC"/>
    <n v="106"/>
    <s v="INTPG_PC_106_1.35-38"/>
    <s v="ISEL-1.36"/>
    <n v="1"/>
    <s v="NO TIENE L3OUT"/>
    <n v="122"/>
    <n v="96"/>
  </r>
  <r>
    <n v="126"/>
    <x v="0"/>
    <x v="260"/>
    <s v="eth1/36"/>
    <x v="0"/>
    <x v="0"/>
    <x v="0"/>
    <s v="ENIQ"/>
    <x v="6"/>
    <b v="0"/>
    <s v="No está en VPC"/>
    <n v="126"/>
    <s v="INTPG_PC_126_1.25-29_36"/>
    <s v="ISEL-1.36"/>
    <n v="3"/>
    <s v="NO TIENE L3OUT"/>
    <n v="54"/>
    <n v="96"/>
  </r>
  <r>
    <n v="425"/>
    <x v="1"/>
    <x v="261"/>
    <s v="eth1/36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36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36"/>
    <x v="0"/>
    <x v="0"/>
    <x v="0"/>
    <s v="SecAnLG_iDrac_02-Correlacionador-IXTSALG_ESA1"/>
    <x v="6"/>
    <b v="0"/>
    <s v="No está en VPC"/>
    <n v="430"/>
    <s v="INTPG_ACC_430_1.36"/>
    <s v="ISEL-1.36"/>
    <n v="1"/>
    <s v="NO TIENE L3OUT"/>
    <n v="86"/>
    <n v="96"/>
  </r>
  <r>
    <n v="419"/>
    <x v="1"/>
    <x v="264"/>
    <s v="eth1/36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36"/>
    <x v="0"/>
    <x v="0"/>
    <x v="0"/>
    <s v="RED CRICKET"/>
    <x v="6"/>
    <b v="0"/>
    <s v="No está en VPC"/>
    <n v="155"/>
    <s v="INTPG_ACC_155_1.36"/>
    <s v="ISEL-1.36"/>
    <n v="1"/>
    <s v="NO TIENE L3OUT"/>
    <n v="198"/>
    <n v="96"/>
  </r>
  <r>
    <n v="409"/>
    <x v="1"/>
    <x v="266"/>
    <s v="eth1/36"/>
    <x v="0"/>
    <x v="0"/>
    <x v="0"/>
    <s v="Uxcpploc"/>
    <x v="6"/>
    <b v="0"/>
    <s v="No está en VPC"/>
    <n v="409"/>
    <s v="INTPG_ACC_409_1.36"/>
    <s v="ISEL-1.36"/>
    <n v="1"/>
    <s v="NO TIENE L3OUT"/>
    <n v="128"/>
    <n v="96"/>
  </r>
  <r>
    <n v="422"/>
    <x v="1"/>
    <x v="267"/>
    <s v="eth1/36"/>
    <x v="0"/>
    <x v="1"/>
    <x v="1"/>
    <s v="ITHRTC4ANB1"/>
    <x v="6"/>
    <b v="0"/>
    <s v="No está en VPC"/>
    <n v="422"/>
    <s v="INTPG_ACC_422_1.36"/>
    <s v="ISEL-1.36"/>
    <n v="1"/>
    <s v="NO TIENE L3OUT"/>
    <n v="182"/>
    <n v="96"/>
  </r>
  <r>
    <n v="436"/>
    <x v="1"/>
    <x v="268"/>
    <s v="eth1/36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36"/>
    <x v="0"/>
    <x v="0"/>
    <x v="0"/>
    <s v="IXTPF1"/>
    <x v="6"/>
    <b v="0"/>
    <s v="No está en VPC"/>
    <n v="410"/>
    <s v="INTPG_ACC_410_1.36"/>
    <s v="ISEL-1.36"/>
    <n v="5"/>
    <s v="NO TIENE L3OUT"/>
    <n v="178"/>
    <n v="96"/>
  </r>
  <r>
    <n v="161"/>
    <x v="0"/>
    <x v="270"/>
    <s v="eth1/36"/>
    <x v="0"/>
    <x v="1"/>
    <x v="1"/>
    <s v="desc"/>
    <x v="6"/>
    <b v="0"/>
    <s v="No está en VPC"/>
    <n v="161"/>
    <s v="INTPG_VPC_161_1.36_163_1.41"/>
    <s v="ISEL-1.36"/>
    <n v="1"/>
    <s v="NO TIENE L3OUT"/>
    <n v="102"/>
    <n v="96"/>
  </r>
  <r>
    <n v="411"/>
    <x v="1"/>
    <x v="271"/>
    <s v="eth1/36"/>
    <x v="0"/>
    <x v="0"/>
    <x v="0"/>
    <s v="lagidmhlapvp12_produccion1"/>
    <x v="6"/>
    <b v="0"/>
    <s v="No está en VPC"/>
    <n v="411"/>
    <s v="INTPG_VPC_411_1.36-39_413_1.29-32"/>
    <s v="ISEL-1.36"/>
    <n v="2"/>
    <s v="NO TIENE L3OUT"/>
    <n v="96"/>
    <n v="96"/>
  </r>
  <r>
    <n v="116"/>
    <x v="0"/>
    <x v="272"/>
    <s v="eth1/36"/>
    <x v="0"/>
    <x v="0"/>
    <x v="0"/>
    <s v="INGE6"/>
    <x v="6"/>
    <b v="0"/>
    <s v="No está en VPC"/>
    <n v="116"/>
    <s v="INTPG_ACC_116_1.36"/>
    <s v="ISEL-1.36"/>
    <n v="1"/>
    <s v="NO TIENE L3OUT"/>
    <n v="148"/>
    <n v="96"/>
  </r>
  <r>
    <n v="412"/>
    <x v="1"/>
    <x v="273"/>
    <s v="eth1/36"/>
    <x v="0"/>
    <x v="0"/>
    <x v="0"/>
    <s v="WMS101"/>
    <x v="6"/>
    <b v="0"/>
    <s v="No está en VPC"/>
    <n v="412"/>
    <s v="INTPG_ACC_412_1.36"/>
    <s v="ISEL-1.36"/>
    <n v="1"/>
    <s v="NO TIENE L3OUT"/>
    <n v="126"/>
    <n v="96"/>
  </r>
  <r>
    <n v="120"/>
    <x v="0"/>
    <x v="274"/>
    <s v="eth1/36"/>
    <x v="0"/>
    <x v="0"/>
    <x v="0"/>
    <s v="Registro Nacional de Celulares"/>
    <x v="6"/>
    <b v="0"/>
    <s v="No está en VPC"/>
    <n v="120"/>
    <s v="INTPG_ACC_120_1.36"/>
    <s v="ISEL-1.36"/>
    <n v="1"/>
    <s v="NO TIENE L3OUT"/>
    <n v="158"/>
    <n v="96"/>
  </r>
  <r>
    <n v="404"/>
    <x v="1"/>
    <x v="275"/>
    <s v="eth1/36"/>
    <x v="0"/>
    <x v="0"/>
    <x v="0"/>
    <s v="PCRF3_CLT"/>
    <x v="6"/>
    <b v="0"/>
    <s v="No está en VPC"/>
    <n v="404"/>
    <s v="INTPG_VPC_404_1.35-36_406_1.35-36"/>
    <s v="ISEL-1.36"/>
    <n v="5"/>
    <s v="NO TIENE L3OUT"/>
    <n v="92"/>
    <n v="96"/>
  </r>
  <r>
    <n v="167"/>
    <x v="0"/>
    <x v="276"/>
    <s v="eth1/36"/>
    <x v="0"/>
    <x v="0"/>
    <x v="0"/>
    <s v="LINKDOWN_HACIA_UCS_9UCS-IXTLA-SERV4"/>
    <x v="6"/>
    <b v="0"/>
    <s v="No está en VPC"/>
    <n v="167"/>
    <s v="INTPG_ACC_167_1.36"/>
    <s v="ISEL-1.36"/>
    <n v="1"/>
    <s v="NO TIENE L3OUT"/>
    <n v="68"/>
    <n v="96"/>
  </r>
  <r>
    <n v="428"/>
    <x v="1"/>
    <x v="277"/>
    <s v="eth1/36"/>
    <x v="0"/>
    <x v="0"/>
    <x v="0"/>
    <s v="PROVISION1"/>
    <x v="6"/>
    <b v="0"/>
    <s v="No está en VPC"/>
    <n v="428"/>
    <s v="INTPG_ACC_428_1.36"/>
    <s v="ISEL-1.36"/>
    <n v="1"/>
    <s v="NO TIENE L3OUT"/>
    <n v="102"/>
    <n v="96"/>
  </r>
  <r>
    <n v="128"/>
    <x v="0"/>
    <x v="0"/>
    <s v="eth1/37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37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37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37"/>
    <x v="0"/>
    <x v="0"/>
    <x v="0"/>
    <s v="DESC"/>
    <x v="0"/>
    <b v="0"/>
    <s v="No está en VPC"/>
    <n v="101"/>
    <s v="INTPG_PC_101_1.37-38"/>
    <s v="ISEL-1.37"/>
    <n v="1"/>
    <s v="NO TIENE L3OUT"/>
    <n v="114"/>
    <n v="54"/>
  </r>
  <r>
    <n v="160"/>
    <x v="0"/>
    <x v="4"/>
    <s v="eth1/37"/>
    <x v="0"/>
    <x v="1"/>
    <x v="1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37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37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37"/>
    <x v="1"/>
    <x v="1"/>
    <x v="3"/>
    <m/>
    <x v="0"/>
    <b v="0"/>
    <s v="No está en VPC"/>
    <n v="401"/>
    <s v="NO EXISTE PG"/>
    <s v="NO EXISTE ISEL"/>
    <n v="0"/>
    <s v="NO TIENE L3OUT"/>
    <n v="40"/>
    <n v="54"/>
  </r>
  <r>
    <n v="402"/>
    <x v="1"/>
    <x v="8"/>
    <s v="eth1/37"/>
    <x v="0"/>
    <x v="1"/>
    <x v="3"/>
    <m/>
    <x v="0"/>
    <b v="0"/>
    <s v="No está en VPC"/>
    <n v="402"/>
    <s v="NO EXISTE PG"/>
    <s v="NO EXISTE ISEL"/>
    <n v="0"/>
    <s v="NO TIENE L3OUT"/>
    <n v="36"/>
    <n v="54"/>
  </r>
  <r>
    <n v="130"/>
    <x v="0"/>
    <x v="11"/>
    <s v="eth1/37"/>
    <x v="0"/>
    <x v="0"/>
    <x v="0"/>
    <s v="LAG-smt-comp-04"/>
    <x v="0"/>
    <b v="0"/>
    <s v="No está en VPC"/>
    <n v="130"/>
    <s v="INTPG_VPC_130_1.37-38_131_1.37-38"/>
    <s v="ISEL-1.37"/>
    <n v="4"/>
    <s v="NO TIENE L3OUT"/>
    <n v="128"/>
    <n v="54"/>
  </r>
  <r>
    <n v="150"/>
    <x v="0"/>
    <x v="12"/>
    <s v="eth1/37"/>
    <x v="0"/>
    <x v="0"/>
    <x v="0"/>
    <s v="DESC"/>
    <x v="0"/>
    <b v="0"/>
    <s v="No está en VPC"/>
    <n v="150"/>
    <s v="INTPG_PC_150_1.37-38"/>
    <s v="ISEL-1.37"/>
    <n v="1"/>
    <s v="NO TIENE L3OUT"/>
    <n v="118"/>
    <n v="54"/>
  </r>
  <r>
    <n v="131"/>
    <x v="0"/>
    <x v="13"/>
    <s v="eth1/37"/>
    <x v="0"/>
    <x v="0"/>
    <x v="0"/>
    <s v="LAG-smt-comp-04"/>
    <x v="0"/>
    <b v="0"/>
    <s v="No está en VPC"/>
    <n v="131"/>
    <s v="INTPG_VPC_130_1.37-38_131_1.37-38"/>
    <s v="ISEL-1.37"/>
    <n v="4"/>
    <s v="NO TIENE L3OUT"/>
    <n v="126"/>
    <n v="54"/>
  </r>
  <r>
    <n v="424"/>
    <x v="1"/>
    <x v="18"/>
    <s v="eth1/37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37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37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37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37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37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37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37"/>
    <x v="1"/>
    <x v="1"/>
    <x v="3"/>
    <m/>
    <x v="0"/>
    <b v="0"/>
    <s v="No está en VPC"/>
    <n v="431"/>
    <s v="NO EXISTE PG"/>
    <s v="NO EXISTE ISEL"/>
    <n v="0"/>
    <s v="NO TIENE L3OUT"/>
    <n v="46"/>
    <n v="54"/>
  </r>
  <r>
    <n v="433"/>
    <x v="1"/>
    <x v="27"/>
    <s v="eth1/37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37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37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37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37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37"/>
    <x v="1"/>
    <x v="1"/>
    <x v="3"/>
    <m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37"/>
    <x v="0"/>
    <x v="0"/>
    <x v="0"/>
    <s v="CEM_ITHCEMB2COR19"/>
    <x v="0"/>
    <b v="0"/>
    <s v="No está en VPC"/>
    <n v="712"/>
    <s v="INTPG_VPC_712_1.37_713_1.38"/>
    <s v="ISEL-1.37"/>
    <n v="1"/>
    <s v="NO TIENE L3OUT"/>
    <n v="32"/>
    <n v="54"/>
  </r>
  <r>
    <n v="719"/>
    <x v="2"/>
    <x v="34"/>
    <s v="eth1/37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37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37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37"/>
    <x v="1"/>
    <x v="1"/>
    <x v="3"/>
    <m/>
    <x v="0"/>
    <b v="0"/>
    <s v="No está en VPC"/>
    <n v="711"/>
    <s v="NO EXISTE PG"/>
    <s v="NO EXISTE ISEL"/>
    <n v="0"/>
    <s v="NO TIENE L3OUT"/>
    <n v="16"/>
    <n v="54"/>
  </r>
  <r>
    <n v="716"/>
    <x v="2"/>
    <x v="38"/>
    <s v="eth1/37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37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37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37"/>
    <x v="0"/>
    <x v="0"/>
    <x v="0"/>
    <s v="Proyecto Arieso"/>
    <x v="0"/>
    <b v="0"/>
    <s v="No está en VPC"/>
    <n v="446"/>
    <s v="INTPG_VPC_444_1.37-40_446_1.37-40"/>
    <s v="ISEL-1.37"/>
    <n v="16"/>
    <s v="NO TIENE L3OUT"/>
    <n v="198"/>
    <n v="54"/>
  </r>
  <r>
    <n v="444"/>
    <x v="1"/>
    <x v="42"/>
    <s v="eth1/37"/>
    <x v="0"/>
    <x v="0"/>
    <x v="0"/>
    <s v="Proyecto Arieso"/>
    <x v="0"/>
    <b v="0"/>
    <s v="No está en VPC"/>
    <n v="444"/>
    <s v="INTPG_VPC_444_1.37-40_446_1.37-40"/>
    <s v="ISEL-1.37"/>
    <n v="16"/>
    <s v="NO TIENE L3OUT"/>
    <n v="234"/>
    <n v="54"/>
  </r>
  <r>
    <n v="701"/>
    <x v="2"/>
    <x v="43"/>
    <s v="eth1/37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37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37"/>
    <x v="1"/>
    <x v="1"/>
    <x v="3"/>
    <m/>
    <x v="0"/>
    <b v="0"/>
    <s v="No está en VPC"/>
    <n v="448"/>
    <s v="NO EXISTE PG"/>
    <s v="NO EXISTE ISEL"/>
    <n v="0"/>
    <s v="NO TIENE L3OUT"/>
    <n v="46"/>
    <n v="54"/>
  </r>
  <r>
    <n v="704"/>
    <x v="2"/>
    <x v="46"/>
    <s v="eth1/37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37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37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37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37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37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37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37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37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37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37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37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37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37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37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37"/>
    <x v="0"/>
    <x v="1"/>
    <x v="1"/>
    <s v="CEMTP05"/>
    <x v="5"/>
    <b v="0"/>
    <s v="No está en VPC"/>
    <n v="742"/>
    <s v="INTPG_ACC_742_1.37"/>
    <s v="ISEL-1.37"/>
    <n v="1"/>
    <s v="NO TIENE L3OUT"/>
    <n v="64"/>
    <n v="54"/>
  </r>
  <r>
    <n v="763"/>
    <x v="2"/>
    <x v="63"/>
    <s v="eth1/37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37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37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37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37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37"/>
    <x v="0"/>
    <x v="1"/>
    <x v="3"/>
    <s v="CLOUD OPS:ithhwcop01st01ce03:A IOM1 Smart IO P0"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37"/>
    <x v="0"/>
    <x v="0"/>
    <x v="0"/>
    <s v="TO-ITHFHWRHV2LMGMT01"/>
    <x v="0"/>
    <b v="0"/>
    <s v="No está en VPC"/>
    <n v="780"/>
    <s v="INTPG_VPC_780_1.36-37_781_1.36-37"/>
    <s v="ISEL-1.37"/>
    <n v="2"/>
    <s v="NO TIENE L3OUT"/>
    <n v="26"/>
    <n v="54"/>
  </r>
  <r>
    <n v="812"/>
    <x v="2"/>
    <x v="70"/>
    <s v="eth1/37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37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37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37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37"/>
    <x v="0"/>
    <x v="0"/>
    <x v="0"/>
    <s v="LINK_TO_ITHHWOS53V50004DKC01 /CtrlB_10GE.P3 /Redundante"/>
    <x v="0"/>
    <b v="0"/>
    <s v="No está en VPC"/>
    <n v="824"/>
    <s v="INTPG_ACC_824_1.37"/>
    <s v="ISEL-1.37"/>
    <n v="1"/>
    <s v="NO TIENE L3OUT"/>
    <n v="70"/>
    <n v="54"/>
  </r>
  <r>
    <n v="819"/>
    <x v="2"/>
    <x v="75"/>
    <s v="eth1/37"/>
    <x v="0"/>
    <x v="0"/>
    <x v="0"/>
    <s v="LINK_TO_ITHHWOS53V50004DKC01 /CtrlB_10GE.P2 /Principal"/>
    <x v="0"/>
    <b v="0"/>
    <s v="No está en VPC"/>
    <n v="819"/>
    <s v="INTPG_ACC_819_1.37"/>
    <s v="ISEL-1.37"/>
    <n v="1"/>
    <s v="NO TIENE L3OUT"/>
    <n v="70"/>
    <n v="54"/>
  </r>
  <r>
    <n v="737"/>
    <x v="2"/>
    <x v="76"/>
    <s v="eth1/37"/>
    <x v="0"/>
    <x v="1"/>
    <x v="1"/>
    <m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37"/>
    <x v="0"/>
    <x v="0"/>
    <x v="0"/>
    <s v="LINK_TO_ITHFHWCRMPLCN113 / Slot1.1_30 / Principal"/>
    <x v="0"/>
    <b v="0"/>
    <s v="No está en VPC"/>
    <n v="844"/>
    <s v="INTPG_ACC_844_1.37"/>
    <s v="ISEL-1.37"/>
    <n v="6"/>
    <s v="NO TIENE L3OUT"/>
    <n v="282"/>
    <n v="54"/>
  </r>
  <r>
    <n v="843"/>
    <x v="2"/>
    <x v="78"/>
    <s v="eth1/37"/>
    <x v="0"/>
    <x v="0"/>
    <x v="0"/>
    <s v="A_ITHFHWSEQLHDPS79_Principal"/>
    <x v="0"/>
    <b v="0"/>
    <s v="No está en VPC"/>
    <n v="843"/>
    <s v="INTPG_ACC_843_1.37"/>
    <s v="ISEL-1.37"/>
    <n v="1"/>
    <s v="NO TIENE L3OUT"/>
    <n v="38"/>
    <n v="54"/>
  </r>
  <r>
    <n v="797"/>
    <x v="2"/>
    <x v="79"/>
    <s v="eth1/37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37"/>
    <x v="0"/>
    <x v="0"/>
    <x v="0"/>
    <s v="LINK_TO_ITHFHWCBSPSHD42 / Slot7.1_22 / Redundante"/>
    <x v="0"/>
    <b v="0"/>
    <s v="No está en VPC"/>
    <n v="839"/>
    <s v="INTPG_VPC_834_1.37_839_1.37"/>
    <s v="ISEL-1.37"/>
    <n v="2"/>
    <s v="NO TIENE L3OUT"/>
    <n v="0"/>
    <n v="54"/>
  </r>
  <r>
    <n v="847"/>
    <x v="2"/>
    <x v="81"/>
    <s v="eth1/37"/>
    <x v="0"/>
    <x v="0"/>
    <x v="0"/>
    <s v="LINK_TO_ITHFHWCRMPLCN177 / Slot7.3_24 / Redundante"/>
    <x v="0"/>
    <b v="0"/>
    <s v="No está en VPC"/>
    <n v="847"/>
    <s v="INTPG_ACC_847_1.37"/>
    <s v="ISEL-1.37"/>
    <n v="1"/>
    <s v="NO TIENE L3OUT"/>
    <n v="204"/>
    <n v="54"/>
  </r>
  <r>
    <n v="848"/>
    <x v="2"/>
    <x v="82"/>
    <s v="eth1/37"/>
    <x v="0"/>
    <x v="0"/>
    <x v="0"/>
    <s v="LINK_TO_ITHFHWCRMPLCN166 / Slot7.3_34 / Redundante"/>
    <x v="0"/>
    <b v="0"/>
    <s v="No está en VPC"/>
    <n v="848"/>
    <s v="INTPG_ACC_848_1.37"/>
    <s v="ISEL-1.37"/>
    <n v="1"/>
    <s v="NO TIENE L3OUT"/>
    <n v="254"/>
    <n v="54"/>
  </r>
  <r>
    <n v="846"/>
    <x v="2"/>
    <x v="83"/>
    <s v="eth1/37"/>
    <x v="0"/>
    <x v="0"/>
    <x v="0"/>
    <s v="LINK_TO_ITHFHWCRMPLCN84 / Slot1.1_26 / Principal"/>
    <x v="0"/>
    <b v="0"/>
    <s v="No está en VPC"/>
    <n v="846"/>
    <s v="INTPG_ACC_846_1.37"/>
    <s v="ISEL-1.37"/>
    <n v="6"/>
    <s v="NO TIENE L3OUT"/>
    <n v="242"/>
    <n v="54"/>
  </r>
  <r>
    <n v="838"/>
    <x v="2"/>
    <x v="84"/>
    <s v="eth1/37"/>
    <x v="0"/>
    <x v="0"/>
    <x v="0"/>
    <s v="A_ITHFHWSEQLHDPS79_Redundante"/>
    <x v="0"/>
    <b v="0"/>
    <s v="No está en VPC"/>
    <n v="838"/>
    <s v="INTPG_ACC_838_1.37"/>
    <s v="ISEL-1.37"/>
    <n v="1"/>
    <s v="NO TIENE L3OUT"/>
    <n v="38"/>
    <n v="54"/>
  </r>
  <r>
    <n v="849"/>
    <x v="2"/>
    <x v="85"/>
    <s v="eth1/37"/>
    <x v="0"/>
    <x v="0"/>
    <x v="0"/>
    <s v="LINK_TO_ITHFHWCRMPLCN146 / Slot7.3_26 / Redundante"/>
    <x v="0"/>
    <b v="0"/>
    <s v="No está en VPC"/>
    <n v="849"/>
    <s v="INTPG_ACC_849_1.37"/>
    <s v="ISEL-1.37"/>
    <n v="1"/>
    <s v="NO TIENE L3OUT"/>
    <n v="286"/>
    <n v="54"/>
  </r>
  <r>
    <n v="845"/>
    <x v="2"/>
    <x v="86"/>
    <s v="eth1/37"/>
    <x v="0"/>
    <x v="0"/>
    <x v="0"/>
    <s v="LINK_TO_ITHFHWCRMPLCN96 / Slot1.2_24 / Principal"/>
    <x v="0"/>
    <b v="0"/>
    <s v="No está en VPC"/>
    <n v="845"/>
    <s v="INTPG_ACC_845_1.37"/>
    <s v="ISEL-1.37"/>
    <n v="2"/>
    <s v="NO TIENE L3OUT"/>
    <n v="258"/>
    <n v="54"/>
  </r>
  <r>
    <n v="873"/>
    <x v="2"/>
    <x v="87"/>
    <s v="eth1/37"/>
    <x v="0"/>
    <x v="0"/>
    <x v="0"/>
    <s v="To_ITHFHWCRMDLCN36_Redundante"/>
    <x v="0"/>
    <b v="0"/>
    <s v="No está en VPC"/>
    <n v="873"/>
    <s v="INTPG_ACC_873_1.37"/>
    <s v="ISEL-1.37"/>
    <n v="6"/>
    <s v="NO TIENE L3OUT"/>
    <n v="248"/>
    <n v="54"/>
  </r>
  <r>
    <n v="864"/>
    <x v="2"/>
    <x v="88"/>
    <s v="eth1/37"/>
    <x v="0"/>
    <x v="0"/>
    <x v="0"/>
    <s v="To_VPC_2DCBSD_WR48_1"/>
    <x v="0"/>
    <b v="0"/>
    <s v="No está en VPC"/>
    <n v="864"/>
    <s v="INTPG_VPC_859_1.37_864_1.37"/>
    <s v="ISEL-1.37"/>
    <n v="2"/>
    <s v="NO TIENE L3OUT"/>
    <n v="0"/>
    <n v="54"/>
  </r>
  <r>
    <n v="836"/>
    <x v="2"/>
    <x v="89"/>
    <s v="eth1/37"/>
    <x v="0"/>
    <x v="0"/>
    <x v="0"/>
    <s v="LINK_TO_ITHFHWCBSPSHD26 / Slot1.3_16 / Principal"/>
    <x v="0"/>
    <b v="0"/>
    <s v="No está en VPC"/>
    <n v="836"/>
    <s v="INTPG_VPC_836_1.37_841_1.37"/>
    <s v="ISEL-1.37"/>
    <n v="1"/>
    <s v="NO TIENE L3OUT"/>
    <n v="0"/>
    <n v="54"/>
  </r>
  <r>
    <n v="834"/>
    <x v="2"/>
    <x v="90"/>
    <s v="eth1/37"/>
    <x v="0"/>
    <x v="0"/>
    <x v="0"/>
    <s v="LINK_TO_ITHFHWCBSPSHD42 / Slot1.1_22 / Principal"/>
    <x v="0"/>
    <b v="0"/>
    <s v="No está en VPC"/>
    <n v="834"/>
    <s v="INTPG_VPC_834_1.37_839_1.37"/>
    <s v="ISEL-1.37"/>
    <n v="2"/>
    <s v="NO TIENE L3OUT"/>
    <n v="0"/>
    <n v="54"/>
  </r>
  <r>
    <n v="872"/>
    <x v="2"/>
    <x v="91"/>
    <s v="eth1/37"/>
    <x v="0"/>
    <x v="0"/>
    <x v="0"/>
    <s v="TO_ITHFHWCRMDLCN49_Principal"/>
    <x v="0"/>
    <b v="0"/>
    <s v="No está en VPC"/>
    <n v="872"/>
    <s v="INTPG_ACC_872_1.37"/>
    <s v="ISEL-1.37"/>
    <n v="2"/>
    <s v="NO TIENE L3OUT"/>
    <n v="288"/>
    <n v="54"/>
  </r>
  <r>
    <n v="842"/>
    <x v="2"/>
    <x v="92"/>
    <s v="eth1/37"/>
    <x v="0"/>
    <x v="0"/>
    <x v="0"/>
    <s v="LINK_To_ITHFHWCBSPSHD20 / Slot7.2_16 / Redundante"/>
    <x v="0"/>
    <b v="0"/>
    <s v="No está en VPC"/>
    <n v="842"/>
    <s v="INTPG_VPC_837_1.37_842_1.37"/>
    <s v="ISEL-1.37"/>
    <n v="1"/>
    <s v="NO TIENE L3OUT"/>
    <n v="8"/>
    <n v="54"/>
  </r>
  <r>
    <n v="828"/>
    <x v="2"/>
    <x v="93"/>
    <s v="eth1/37"/>
    <x v="0"/>
    <x v="0"/>
    <x v="0"/>
    <s v="LINK_TO_ITHFHWCRMDLCN27 /Slot4.2 /Principal"/>
    <x v="0"/>
    <b v="0"/>
    <s v="No está en VPC"/>
    <n v="828"/>
    <s v="INTPG_ACC_828_1.37"/>
    <s v="ISEL-1.37"/>
    <n v="1"/>
    <s v="NO TIENE L3OUT"/>
    <n v="192"/>
    <n v="54"/>
  </r>
  <r>
    <n v="870"/>
    <x v="2"/>
    <x v="94"/>
    <s v="eth1/37"/>
    <x v="0"/>
    <x v="0"/>
    <x v="0"/>
    <s v="To_ITHFHWCRMDLCN36_Principal"/>
    <x v="0"/>
    <b v="0"/>
    <s v="No está en VPC"/>
    <n v="870"/>
    <s v="INTPG_ACC_870_1.37"/>
    <s v="ISEL-1.37"/>
    <n v="6"/>
    <s v="NO TIENE L3OUT"/>
    <n v="248"/>
    <n v="54"/>
  </r>
  <r>
    <n v="866"/>
    <x v="2"/>
    <x v="95"/>
    <s v="eth1/37"/>
    <x v="0"/>
    <x v="0"/>
    <x v="0"/>
    <s v="To_VPC_2DCBSD_BD14_3"/>
    <x v="0"/>
    <b v="0"/>
    <s v="No está en VPC"/>
    <n v="866"/>
    <s v="INTPG_VPC_861_1.37_866_1.37"/>
    <s v="ISEL-1.37"/>
    <n v="1"/>
    <s v="NO TIENE L3OUT"/>
    <n v="8"/>
    <n v="54"/>
  </r>
  <r>
    <n v="862"/>
    <x v="2"/>
    <x v="96"/>
    <s v="eth1/37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37"/>
    <x v="0"/>
    <x v="0"/>
    <x v="0"/>
    <s v="LINK_TO_ITHFHWCRMPLCN166 / Slot1.3_34 / Principal"/>
    <x v="0"/>
    <b v="0"/>
    <s v="No está en VPC"/>
    <n v="855"/>
    <s v="INTPG_ACC_855_1.37"/>
    <s v="ISEL-1.37"/>
    <n v="1"/>
    <s v="NO TIENE L3OUT"/>
    <n v="254"/>
    <n v="54"/>
  </r>
  <r>
    <n v="871"/>
    <x v="2"/>
    <x v="98"/>
    <s v="eth1/37"/>
    <x v="0"/>
    <x v="0"/>
    <x v="0"/>
    <s v="To_ITHFHWCRMDLCN66_Principal"/>
    <x v="0"/>
    <b v="0"/>
    <s v="No está en VPC"/>
    <n v="871"/>
    <s v="INTPG_ACC_871_1.37"/>
    <s v="ISEL-1.37"/>
    <n v="6"/>
    <s v="NO TIENE L3OUT"/>
    <n v="246"/>
    <n v="54"/>
  </r>
  <r>
    <n v="841"/>
    <x v="2"/>
    <x v="99"/>
    <s v="eth1/37"/>
    <x v="0"/>
    <x v="0"/>
    <x v="0"/>
    <s v="LINK_TO_ITHFHWCBSPSHD26 / Slot7.3_16 / Redundante"/>
    <x v="0"/>
    <b v="0"/>
    <s v="No está en VPC"/>
    <n v="841"/>
    <s v="INTPG_VPC_836_1.37_841_1.37"/>
    <s v="ISEL-1.37"/>
    <n v="1"/>
    <s v="NO TIENE L3OUT"/>
    <n v="0"/>
    <n v="54"/>
  </r>
  <r>
    <n v="868"/>
    <x v="2"/>
    <x v="100"/>
    <s v="eth1/37"/>
    <x v="0"/>
    <x v="0"/>
    <x v="0"/>
    <s v="To_ITHFHWCRMDLCN66_Redundante"/>
    <x v="0"/>
    <b v="0"/>
    <s v="No está en VPC"/>
    <n v="868"/>
    <s v="INTPG_ACC_868_1.37"/>
    <s v="ISEL-1.37"/>
    <n v="6"/>
    <s v="NO TIENE L3OUT"/>
    <n v="246"/>
    <n v="54"/>
  </r>
  <r>
    <n v="869"/>
    <x v="2"/>
    <x v="101"/>
    <s v="eth1/37"/>
    <x v="0"/>
    <x v="0"/>
    <x v="0"/>
    <s v="TO_ITHFHWCRMDLCN49_Redundante"/>
    <x v="0"/>
    <b v="0"/>
    <s v="No está en VPC"/>
    <n v="869"/>
    <s v="INTPG_ACC_869_1.37"/>
    <s v="ISEL-1.37"/>
    <n v="2"/>
    <s v="NO TIENE L3OUT"/>
    <n v="288"/>
    <n v="54"/>
  </r>
  <r>
    <n v="861"/>
    <x v="2"/>
    <x v="102"/>
    <s v="eth1/37"/>
    <x v="0"/>
    <x v="0"/>
    <x v="0"/>
    <s v="To_VPC_2DCBSD_BD14_3"/>
    <x v="0"/>
    <b v="0"/>
    <s v="No está en VPC"/>
    <n v="861"/>
    <s v="INTPG_VPC_861_1.37_866_1.37"/>
    <s v="ISEL-1.37"/>
    <n v="1"/>
    <s v="NO TIENE L3OUT"/>
    <n v="8"/>
    <n v="54"/>
  </r>
  <r>
    <n v="874"/>
    <x v="2"/>
    <x v="103"/>
    <s v="eth1/37"/>
    <x v="0"/>
    <x v="0"/>
    <x v="0"/>
    <s v="A_ITHFHWSEQLCAS12_Redundante"/>
    <x v="4"/>
    <b v="0"/>
    <s v="No está en VPC"/>
    <n v="874"/>
    <s v="INTPG_ACC_874_1.37"/>
    <s v="ISEL-1.37"/>
    <n v="1"/>
    <s v="NO TIENE L3OUT"/>
    <n v="92"/>
    <n v="54"/>
  </r>
  <r>
    <n v="865"/>
    <x v="2"/>
    <x v="104"/>
    <s v="eth1/37"/>
    <x v="0"/>
    <x v="0"/>
    <x v="0"/>
    <s v="To_VPC_2DCBSD_BD19_1"/>
    <x v="0"/>
    <b v="0"/>
    <s v="No está en VPC"/>
    <n v="865"/>
    <s v="INTPG_VPC_860_1.37_865_1.37"/>
    <s v="ISEL-1.37"/>
    <n v="2"/>
    <s v="NO TIENE L3OUT"/>
    <n v="0"/>
    <n v="54"/>
  </r>
  <r>
    <n v="753"/>
    <x v="2"/>
    <x v="105"/>
    <s v="eth1/37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37"/>
    <x v="0"/>
    <x v="1"/>
    <x v="3"/>
    <m/>
    <x v="0"/>
    <b v="0"/>
    <s v="No está en VPC"/>
    <n v="708"/>
    <s v="NO EXISTE PG"/>
    <s v="NO EXISTE ISEL"/>
    <n v="0"/>
    <s v="NO TIENE L3OUT"/>
    <n v="0"/>
    <n v="54"/>
  </r>
  <r>
    <n v="710"/>
    <x v="2"/>
    <x v="107"/>
    <s v="eth1/37"/>
    <x v="1"/>
    <x v="1"/>
    <x v="3"/>
    <m/>
    <x v="0"/>
    <b v="0"/>
    <s v="No está en VPC"/>
    <n v="710"/>
    <s v="NO EXISTE PG"/>
    <s v="NO EXISTE ISEL"/>
    <n v="0"/>
    <s v="NO TIENE L3OUT"/>
    <n v="16"/>
    <n v="54"/>
  </r>
  <r>
    <n v="713"/>
    <x v="2"/>
    <x v="108"/>
    <s v="eth1/37"/>
    <x v="1"/>
    <x v="1"/>
    <x v="3"/>
    <m/>
    <x v="0"/>
    <b v="0"/>
    <s v="No está en VPC"/>
    <n v="713"/>
    <s v="NO EXISTE PG"/>
    <s v="NO EXISTE ISEL"/>
    <n v="0"/>
    <s v="NO TIENE L3OUT"/>
    <n v="32"/>
    <n v="54"/>
  </r>
  <r>
    <n v="735"/>
    <x v="2"/>
    <x v="109"/>
    <s v="eth1/37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37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37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37"/>
    <x v="0"/>
    <x v="1"/>
    <x v="1"/>
    <s v="ITHCEMA1APP19"/>
    <x v="0"/>
    <b v="0"/>
    <s v="No está en VPC"/>
    <n v="706"/>
    <s v="INTPG_VPC_705_1.38_706_1.37"/>
    <s v="ISEL-1.37"/>
    <n v="1"/>
    <s v="NO TIENE L3OUT"/>
    <n v="16"/>
    <n v="54"/>
  </r>
  <r>
    <n v="762"/>
    <x v="2"/>
    <x v="113"/>
    <s v="eth1/37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37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37"/>
    <x v="0"/>
    <x v="0"/>
    <x v="0"/>
    <s v="LINK_TO_ITHFHWCBSDSWR19 /Slot5.2 /Principal"/>
    <x v="0"/>
    <b v="0"/>
    <s v="No está en VPC"/>
    <n v="826"/>
    <s v="INTPG_VPC_826_1.37_830_1.37"/>
    <s v="ISEL-1.37"/>
    <n v="2"/>
    <s v="NO TIENE L3OUT"/>
    <n v="12"/>
    <n v="54"/>
  </r>
  <r>
    <n v="726"/>
    <x v="2"/>
    <x v="117"/>
    <s v="eth1/37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37"/>
    <x v="0"/>
    <x v="1"/>
    <x v="1"/>
    <m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37"/>
    <x v="1"/>
    <x v="1"/>
    <x v="3"/>
    <m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37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37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37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37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37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37"/>
    <x v="0"/>
    <x v="1"/>
    <x v="3"/>
    <m/>
    <x v="0"/>
    <b v="0"/>
    <s v="No está en VPC"/>
    <n v="709"/>
    <s v="NO EXISTE PG"/>
    <s v="NO EXISTE ISEL"/>
    <n v="0"/>
    <s v="NO TIENE L3OUT"/>
    <n v="0"/>
    <n v="54"/>
  </r>
  <r>
    <n v="454"/>
    <x v="1"/>
    <x v="126"/>
    <s v="eth1/37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37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37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37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37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37"/>
    <x v="0"/>
    <x v="0"/>
    <x v="0"/>
    <s v="ITHCEMB2COR19"/>
    <x v="5"/>
    <b v="0"/>
    <s v="No está en VPC"/>
    <n v="741"/>
    <s v="INTPG_ACC_741_1.37"/>
    <s v="ISEL-1.37"/>
    <n v="1"/>
    <s v="NO TIENE L3OUT"/>
    <n v="62"/>
    <n v="54"/>
  </r>
  <r>
    <n v="787"/>
    <x v="2"/>
    <x v="133"/>
    <s v="eth1/37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37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37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37"/>
    <x v="0"/>
    <x v="1"/>
    <x v="3"/>
    <m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37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37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37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37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37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37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37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37"/>
    <x v="0"/>
    <x v="0"/>
    <x v="0"/>
    <s v="CLOUD PASS PAYG F3:ITHHWOSCOPAP022:LOM P1"/>
    <x v="0"/>
    <b v="0"/>
    <s v="No está en VPC"/>
    <n v="774"/>
    <s v="INTPG_VPC_774_1.37_775_1.37"/>
    <s v="ISEL-1.37"/>
    <n v="24"/>
    <s v="NO TIENE L3OUT"/>
    <n v="0"/>
    <n v="54"/>
  </r>
  <r>
    <n v="773"/>
    <x v="2"/>
    <x v="145"/>
    <s v="eth1/37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37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37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37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37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37"/>
    <x v="0"/>
    <x v="0"/>
    <x v="0"/>
    <s v="TO-ITHFHWRHV2LMGMT01"/>
    <x v="0"/>
    <b v="0"/>
    <s v="No está en VPC"/>
    <n v="781"/>
    <s v="INTPG_VPC_780_1.36-37_781_1.36-37"/>
    <s v="ISEL-1.37"/>
    <n v="2"/>
    <s v="NO TIENE L3OUT"/>
    <n v="26"/>
    <n v="54"/>
  </r>
  <r>
    <n v="793"/>
    <x v="2"/>
    <x v="151"/>
    <s v="eth1/37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37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37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37"/>
    <x v="1"/>
    <x v="1"/>
    <x v="3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37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37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37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37"/>
    <x v="0"/>
    <x v="1"/>
    <x v="1"/>
    <m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37"/>
    <x v="0"/>
    <x v="0"/>
    <x v="0"/>
    <s v="CLOUD PASS PAYG F3:ITHHWOSCOPAP022:Slot 1 P1"/>
    <x v="0"/>
    <b v="0"/>
    <s v="No está en VPC"/>
    <n v="775"/>
    <s v="INTPG_VPC_774_1.37_775_1.37"/>
    <s v="ISEL-1.37"/>
    <n v="24"/>
    <s v="NO TIENE L3OUT"/>
    <n v="0"/>
    <n v="54"/>
  </r>
  <r>
    <n v="791"/>
    <x v="2"/>
    <x v="160"/>
    <s v="eth1/37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37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37"/>
    <x v="0"/>
    <x v="0"/>
    <x v="0"/>
    <s v="LINK_TO_ITHFHWCBSDSWR19 /Slot7.2 /Redundante"/>
    <x v="0"/>
    <b v="0"/>
    <s v="No está en VPC"/>
    <n v="830"/>
    <s v="INTPG_VPC_826_1.37_830_1.37"/>
    <s v="ISEL-1.37"/>
    <n v="2"/>
    <s v="NO TIENE L3OUT"/>
    <n v="12"/>
    <n v="54"/>
  </r>
  <r>
    <n v="821"/>
    <x v="2"/>
    <x v="163"/>
    <s v="eth1/37"/>
    <x v="0"/>
    <x v="0"/>
    <x v="0"/>
    <s v="LINK_TO_ITHFHWCBSPSWR19 /Slot7.2 /Redundante"/>
    <x v="0"/>
    <b v="0"/>
    <s v="No está en VPC"/>
    <n v="821"/>
    <s v="INTPG_VPC_816_1.37_821_1.37"/>
    <s v="ISEL-1.37"/>
    <n v="2"/>
    <s v="NO TIENE L3OUT"/>
    <n v="0"/>
    <n v="54"/>
  </r>
  <r>
    <n v="738"/>
    <x v="2"/>
    <x v="164"/>
    <s v="eth1/37"/>
    <x v="0"/>
    <x v="1"/>
    <x v="1"/>
    <m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37"/>
    <x v="0"/>
    <x v="0"/>
    <x v="0"/>
    <s v="To_ITHHWD6KV65100010DKC01_Principal"/>
    <x v="0"/>
    <b v="0"/>
    <s v="No está en VPC"/>
    <n v="820"/>
    <s v="INTPG_ACC_820_1.37"/>
    <s v="ISEL-1.37"/>
    <n v="1"/>
    <s v="NO TIENE L3OUT"/>
    <n v="72"/>
    <n v="54"/>
  </r>
  <r>
    <n v="804"/>
    <x v="2"/>
    <x v="166"/>
    <s v="eth1/37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37"/>
    <x v="0"/>
    <x v="1"/>
    <x v="3"/>
    <s v="CLOUD OPS:ithhwcop01st01ce03:A IOM1 Smart IO P1"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37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37"/>
    <x v="0"/>
    <x v="0"/>
    <x v="0"/>
    <s v="LINK_TO_ITHFHWCBSDSWR28 /Slot4.2 /Principal"/>
    <x v="0"/>
    <b v="0"/>
    <s v="No está en VPC"/>
    <n v="827"/>
    <s v="INTPG_VPC_827_1.37_831_1.37"/>
    <s v="ISEL-1.37"/>
    <n v="1"/>
    <s v="NO TIENE L3OUT"/>
    <n v="14"/>
    <n v="54"/>
  </r>
  <r>
    <n v="809"/>
    <x v="2"/>
    <x v="170"/>
    <s v="eth1/37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37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37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37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37"/>
    <x v="1"/>
    <x v="1"/>
    <x v="3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37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37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37"/>
    <x v="0"/>
    <x v="0"/>
    <x v="0"/>
    <s v="LINK_TO_ITHFHWCRMPLCN113 / Slot7.1_30 / Redundante"/>
    <x v="0"/>
    <b v="0"/>
    <s v="No está en VPC"/>
    <n v="851"/>
    <s v="INTPG_ACC_851_1.37"/>
    <s v="ISEL-1.37"/>
    <n v="6"/>
    <s v="NO TIENE L3OUT"/>
    <n v="282"/>
    <n v="54"/>
  </r>
  <r>
    <n v="798"/>
    <x v="2"/>
    <x v="178"/>
    <s v="eth1/37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37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37"/>
    <x v="0"/>
    <x v="0"/>
    <x v="0"/>
    <s v="LINK_TO_ITHFHWCRMPLCN96 / Slot7.2_24 / Redundante"/>
    <x v="0"/>
    <b v="0"/>
    <s v="No está en VPC"/>
    <n v="852"/>
    <s v="INTPG_ACC_852_1.37"/>
    <s v="ISEL-1.37"/>
    <n v="2"/>
    <s v="NO TIENE L3OUT"/>
    <n v="258"/>
    <n v="54"/>
  </r>
  <r>
    <n v="817"/>
    <x v="2"/>
    <x v="181"/>
    <s v="eth1/37"/>
    <x v="0"/>
    <x v="0"/>
    <x v="0"/>
    <s v="LINK_TO_ITHFHWCBSPSWR26 /Slot5.2 /Principal"/>
    <x v="0"/>
    <b v="0"/>
    <s v="No está en VPC"/>
    <n v="817"/>
    <s v="INTPG_VPC_817_1.37_822_1.37"/>
    <s v="ISEL-1.37"/>
    <n v="2"/>
    <s v="NO TIENE L3OUT"/>
    <n v="0"/>
    <n v="54"/>
  </r>
  <r>
    <n v="832"/>
    <x v="2"/>
    <x v="182"/>
    <s v="eth1/37"/>
    <x v="0"/>
    <x v="0"/>
    <x v="0"/>
    <s v="LINK_TO_ITHFHWCRMDLCN27 /Slot6.2 /Redundante"/>
    <x v="0"/>
    <b v="0"/>
    <s v="No está en VPC"/>
    <n v="832"/>
    <s v="INTPG_ACC_832_1.37"/>
    <s v="ISEL-1.37"/>
    <n v="1"/>
    <s v="NO TIENE L3OUT"/>
    <n v="192"/>
    <n v="54"/>
  </r>
  <r>
    <n v="816"/>
    <x v="2"/>
    <x v="183"/>
    <s v="eth1/37"/>
    <x v="0"/>
    <x v="0"/>
    <x v="0"/>
    <s v="LINK_TO_ITHFHWCBSPSWR19 /Slot5.2 /Principal"/>
    <x v="0"/>
    <b v="0"/>
    <s v="No está en VPC"/>
    <n v="816"/>
    <s v="INTPG_VPC_816_1.37_821_1.37"/>
    <s v="ISEL-1.37"/>
    <n v="2"/>
    <s v="NO TIENE L3OUT"/>
    <n v="0"/>
    <n v="54"/>
  </r>
  <r>
    <n v="825"/>
    <x v="2"/>
    <x v="184"/>
    <s v="eth1/37"/>
    <x v="0"/>
    <x v="0"/>
    <x v="0"/>
    <s v="To_ITHHWD6KV65100010DKC01_Redundante"/>
    <x v="0"/>
    <b v="0"/>
    <s v="No está en VPC"/>
    <n v="825"/>
    <s v="INTPG_ACC_825_1.37"/>
    <s v="ISEL-1.37"/>
    <n v="1"/>
    <s v="NO TIENE L3OUT"/>
    <n v="72"/>
    <n v="54"/>
  </r>
  <r>
    <n v="800"/>
    <x v="2"/>
    <x v="185"/>
    <s v="eth1/37"/>
    <x v="0"/>
    <x v="0"/>
    <x v="0"/>
    <s v="TO-ITHFDEOCP1LWR10-REDUNDANTE"/>
    <x v="0"/>
    <b v="0"/>
    <s v="No está en VPC"/>
    <n v="800"/>
    <s v="INTPG_ACC_800_1.37"/>
    <s v="ISEL-1.37"/>
    <n v="1"/>
    <s v="NO TIENE L3OUT"/>
    <n v="78"/>
    <n v="54"/>
  </r>
  <r>
    <n v="801"/>
    <x v="2"/>
    <x v="186"/>
    <s v="eth1/37"/>
    <x v="0"/>
    <x v="0"/>
    <x v="0"/>
    <s v="TO-ITHFDEOCP1LWR10-PRINCIPAL"/>
    <x v="0"/>
    <b v="0"/>
    <s v="No está en VPC"/>
    <n v="801"/>
    <s v="INTPG_ACC_801_1.37"/>
    <s v="ISEL-1.37"/>
    <n v="1"/>
    <s v="NO TIENE L3OUT"/>
    <n v="78"/>
    <n v="54"/>
  </r>
  <r>
    <n v="823"/>
    <x v="2"/>
    <x v="187"/>
    <s v="eth1/37"/>
    <x v="0"/>
    <x v="0"/>
    <x v="0"/>
    <s v="LINK_TO_ITHFHWCBSPSWR36 /Slot6.2 /Redundante"/>
    <x v="0"/>
    <b v="0"/>
    <s v="No está en VPC"/>
    <n v="823"/>
    <s v="INTPG_VPC_818_1.37_823_1.37"/>
    <s v="ISEL-1.37"/>
    <n v="1"/>
    <s v="NO TIENE L3OUT"/>
    <n v="8"/>
    <n v="54"/>
  </r>
  <r>
    <n v="837"/>
    <x v="2"/>
    <x v="188"/>
    <s v="eth1/37"/>
    <x v="0"/>
    <x v="0"/>
    <x v="0"/>
    <s v="LINK_To_ITHFHWCBSPSHD20 / Slot1.2_16 / Principal"/>
    <x v="0"/>
    <b v="0"/>
    <s v="No está en VPC"/>
    <n v="837"/>
    <s v="INTPG_VPC_837_1.37_842_1.37"/>
    <s v="ISEL-1.37"/>
    <n v="1"/>
    <s v="NO TIENE L3OUT"/>
    <n v="8"/>
    <n v="54"/>
  </r>
  <r>
    <n v="867"/>
    <x v="2"/>
    <x v="189"/>
    <s v="eth1/37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37"/>
    <x v="0"/>
    <x v="0"/>
    <x v="0"/>
    <s v="To_ITHFHWCRMDLCN47_Principal"/>
    <x v="0"/>
    <b v="0"/>
    <s v="No está en VPC"/>
    <n v="829"/>
    <s v="INTPG_ACC_829_1.37"/>
    <s v="ISEL-1.37"/>
    <n v="2"/>
    <s v="NO TIENE L3OUT"/>
    <n v="224"/>
    <n v="54"/>
  </r>
  <r>
    <n v="831"/>
    <x v="2"/>
    <x v="191"/>
    <s v="eth1/37"/>
    <x v="0"/>
    <x v="0"/>
    <x v="0"/>
    <s v="LINK_TO_ITHFHWCBSDSWR28 /Slot6.2 /Redundante"/>
    <x v="0"/>
    <b v="0"/>
    <s v="No está en VPC"/>
    <n v="831"/>
    <s v="INTPG_VPC_827_1.37_831_1.37"/>
    <s v="ISEL-1.37"/>
    <n v="1"/>
    <s v="NO TIENE L3OUT"/>
    <n v="14"/>
    <n v="54"/>
  </r>
  <r>
    <n v="802"/>
    <x v="2"/>
    <x v="192"/>
    <s v="eth1/37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37"/>
    <x v="0"/>
    <x v="0"/>
    <x v="0"/>
    <s v="LINK_TO_ITHFHWCBSPSHD34 / Slot1.3_20 / Principal"/>
    <x v="0"/>
    <b v="0"/>
    <s v="No está en VPC"/>
    <n v="835"/>
    <s v="INTPG_VPC_835_1.37_840_1.37"/>
    <s v="ISEL-1.37"/>
    <n v="1"/>
    <s v="NO TIENE L3OUT"/>
    <n v="8"/>
    <n v="54"/>
  </r>
  <r>
    <n v="822"/>
    <x v="2"/>
    <x v="194"/>
    <s v="eth1/37"/>
    <x v="0"/>
    <x v="0"/>
    <x v="0"/>
    <s v="LINK_TO_ITHFHWCBSPSWR26 /Slot7.2 /Redundante"/>
    <x v="0"/>
    <b v="0"/>
    <s v="No está en VPC"/>
    <n v="822"/>
    <s v="INTPG_VPC_817_1.37_822_1.37"/>
    <s v="ISEL-1.37"/>
    <n v="2"/>
    <s v="NO TIENE L3OUT"/>
    <n v="0"/>
    <n v="54"/>
  </r>
  <r>
    <n v="854"/>
    <x v="2"/>
    <x v="195"/>
    <s v="eth1/37"/>
    <x v="0"/>
    <x v="0"/>
    <x v="0"/>
    <s v="LINK_TO_ITHFHWCRMPLCN177 / Slot1.3_24 / Principal"/>
    <x v="0"/>
    <b v="0"/>
    <s v="No está en VPC"/>
    <n v="854"/>
    <s v="INTPG_ACC_854_1.37"/>
    <s v="ISEL-1.37"/>
    <n v="1"/>
    <s v="NO TIENE L3OUT"/>
    <n v="204"/>
    <n v="54"/>
  </r>
  <r>
    <n v="858"/>
    <x v="2"/>
    <x v="196"/>
    <s v="eth1/37"/>
    <x v="0"/>
    <x v="0"/>
    <x v="0"/>
    <s v="To_VPC_2DCBSD_WR57_1"/>
    <x v="0"/>
    <b v="0"/>
    <s v="No está en VPC"/>
    <n v="858"/>
    <s v="INTPG_VPC_858_1.37_863_1.37"/>
    <s v="ISEL-1.37"/>
    <n v="2"/>
    <s v="NO TIENE L3OUT"/>
    <n v="8"/>
    <n v="54"/>
  </r>
  <r>
    <n v="857"/>
    <x v="2"/>
    <x v="197"/>
    <s v="eth1/37"/>
    <x v="0"/>
    <x v="0"/>
    <x v="0"/>
    <s v="LINKT_TO_ITHFHWCRMPLCN127 / Slot1.3_24 / Principal"/>
    <x v="0"/>
    <b v="0"/>
    <s v="No está en VPC"/>
    <n v="857"/>
    <s v="INTPG_ACC_857_1.37"/>
    <s v="ISEL-1.37"/>
    <n v="1"/>
    <s v="NO TIENE L3OUT"/>
    <n v="288"/>
    <n v="54"/>
  </r>
  <r>
    <n v="859"/>
    <x v="2"/>
    <x v="198"/>
    <s v="eth1/37"/>
    <x v="0"/>
    <x v="0"/>
    <x v="0"/>
    <s v="To_VPC_2DCBSD_WR48_1"/>
    <x v="0"/>
    <b v="0"/>
    <s v="No está en VPC"/>
    <n v="859"/>
    <s v="INTPG_VPC_859_1.37_864_1.37"/>
    <s v="ISEL-1.37"/>
    <n v="2"/>
    <s v="NO TIENE L3OUT"/>
    <n v="0"/>
    <n v="54"/>
  </r>
  <r>
    <n v="833"/>
    <x v="2"/>
    <x v="199"/>
    <s v="eth1/37"/>
    <x v="0"/>
    <x v="0"/>
    <x v="0"/>
    <s v="To_ITHFHWCRMDLCN47_Redundante"/>
    <x v="0"/>
    <b v="0"/>
    <s v="No está en VPC"/>
    <n v="833"/>
    <s v="INTPG_ACC_833_1.37"/>
    <s v="ISEL-1.37"/>
    <n v="2"/>
    <s v="NO TIENE L3OUT"/>
    <n v="224"/>
    <n v="54"/>
  </r>
  <r>
    <n v="818"/>
    <x v="2"/>
    <x v="200"/>
    <s v="eth1/37"/>
    <x v="0"/>
    <x v="0"/>
    <x v="0"/>
    <s v="LINK_TO_ITHFHWCBSPSWR36 /Slot4.2 /Principal"/>
    <x v="0"/>
    <b v="0"/>
    <s v="No está en VPC"/>
    <n v="818"/>
    <s v="INTPG_VPC_818_1.37_823_1.37"/>
    <s v="ISEL-1.37"/>
    <n v="1"/>
    <s v="NO TIENE L3OUT"/>
    <n v="8"/>
    <n v="54"/>
  </r>
  <r>
    <n v="850"/>
    <x v="2"/>
    <x v="201"/>
    <s v="eth1/37"/>
    <x v="0"/>
    <x v="0"/>
    <x v="0"/>
    <s v="LINKT_TO_ITHFHWCRMPLCN127 / Slot7.3_24 / Redundante"/>
    <x v="0"/>
    <b v="0"/>
    <s v="No está en VPC"/>
    <n v="850"/>
    <s v="INTPG_ACC_850_1.37"/>
    <s v="ISEL-1.37"/>
    <n v="1"/>
    <s v="NO TIENE L3OUT"/>
    <n v="288"/>
    <n v="54"/>
  </r>
  <r>
    <n v="860"/>
    <x v="2"/>
    <x v="202"/>
    <s v="eth1/37"/>
    <x v="0"/>
    <x v="0"/>
    <x v="0"/>
    <s v="To_VPC_2DCBSD_BD19_1"/>
    <x v="0"/>
    <b v="0"/>
    <s v="No está en VPC"/>
    <n v="860"/>
    <s v="INTPG_VPC_860_1.37_865_1.37"/>
    <s v="ISEL-1.37"/>
    <n v="2"/>
    <s v="NO TIENE L3OUT"/>
    <n v="0"/>
    <n v="54"/>
  </r>
  <r>
    <n v="853"/>
    <x v="2"/>
    <x v="203"/>
    <s v="eth1/37"/>
    <x v="0"/>
    <x v="0"/>
    <x v="0"/>
    <s v="LINK_TO_ITHFHWCRMPLCN84 / Slot7.1_26 / Redundante"/>
    <x v="0"/>
    <b v="0"/>
    <s v="No está en VPC"/>
    <n v="853"/>
    <s v="INTPG_ACC_853_1.37"/>
    <s v="ISEL-1.37"/>
    <n v="6"/>
    <s v="NO TIENE L3OUT"/>
    <n v="242"/>
    <n v="54"/>
  </r>
  <r>
    <n v="790"/>
    <x v="2"/>
    <x v="204"/>
    <s v="eth1/37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37"/>
    <x v="1"/>
    <x v="1"/>
    <x v="2"/>
    <s v="DESC"/>
    <x v="6"/>
    <b v="0"/>
    <s v="No está en VPC"/>
    <n v="105"/>
    <s v="INTPG_PC_105_1.20_25_37"/>
    <s v="ISEL-1.37"/>
    <n v="2"/>
    <s v="NO TIENE L3OUT"/>
    <n v="106"/>
    <n v="96"/>
  </r>
  <r>
    <n v="117"/>
    <x v="0"/>
    <x v="206"/>
    <s v="eth1/37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37"/>
    <x v="1"/>
    <x v="1"/>
    <x v="2"/>
    <s v="DESC"/>
    <x v="6"/>
    <b v="0"/>
    <s v="No está en VPC"/>
    <n v="104"/>
    <s v="INTPG_PC_104_1.32-39"/>
    <s v="ISEL-1.37"/>
    <n v="0"/>
    <s v="NO TIENE L3OUT"/>
    <n v="194"/>
    <n v="96"/>
  </r>
  <r>
    <n v="158"/>
    <x v="0"/>
    <x v="208"/>
    <s v="eth1/37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37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37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37"/>
    <x v="0"/>
    <x v="1"/>
    <x v="1"/>
    <m/>
    <x v="6"/>
    <b v="0"/>
    <s v="No está en VPC"/>
    <n v="108"/>
    <s v="INTPG_ACC_108_1.37"/>
    <s v="ISEL-1.37"/>
    <n v="1"/>
    <s v="NO TIENE L3OUT"/>
    <n v="126"/>
    <n v="96"/>
  </r>
  <r>
    <n v="112"/>
    <x v="0"/>
    <x v="212"/>
    <s v="eth1/37"/>
    <x v="0"/>
    <x v="0"/>
    <x v="0"/>
    <s v="CHARGING SYSTEM"/>
    <x v="6"/>
    <b v="0"/>
    <s v="No está en VPC"/>
    <n v="112"/>
    <s v="INTPG_ACC_112_1.37"/>
    <s v="ISEL-1.37"/>
    <n v="1"/>
    <s v="NO TIENE L3OUT"/>
    <n v="144"/>
    <n v="96"/>
  </r>
  <r>
    <n v="107"/>
    <x v="0"/>
    <x v="213"/>
    <s v="eth1/37"/>
    <x v="0"/>
    <x v="0"/>
    <x v="0"/>
    <s v="OPEN VIEW BACK"/>
    <x v="6"/>
    <b v="0"/>
    <s v="No está en VPC"/>
    <n v="107"/>
    <s v="INTPG_ACC_107_1.37"/>
    <s v="ISEL-1.37"/>
    <n v="1"/>
    <s v="NO TIENE L3OUT"/>
    <n v="118"/>
    <n v="96"/>
  </r>
  <r>
    <n v="109"/>
    <x v="0"/>
    <x v="214"/>
    <s v="eth1/37"/>
    <x v="1"/>
    <x v="1"/>
    <x v="2"/>
    <m/>
    <x v="6"/>
    <b v="0"/>
    <s v="No está en VPC"/>
    <n v="109"/>
    <s v="INTPG_ACC_109_1.37"/>
    <s v="ISEL-1.37"/>
    <n v="1"/>
    <s v="NO TIENE L3OUT"/>
    <n v="126"/>
    <n v="96"/>
  </r>
  <r>
    <n v="113"/>
    <x v="0"/>
    <x v="215"/>
    <s v="eth1/37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37"/>
    <x v="0"/>
    <x v="0"/>
    <x v="0"/>
    <s v="NODO AIR CS4 R9"/>
    <x v="6"/>
    <b v="0"/>
    <s v="No está en VPC"/>
    <n v="114"/>
    <s v="INTPG_ACC_114_1.37"/>
    <s v="ISEL-1.37"/>
    <n v="1"/>
    <s v="NO TIENE L3OUT"/>
    <n v="144"/>
    <n v="96"/>
  </r>
  <r>
    <n v="124"/>
    <x v="0"/>
    <x v="217"/>
    <s v="eth1/37"/>
    <x v="0"/>
    <x v="0"/>
    <x v="0"/>
    <s v="ixtossgw1_3"/>
    <x v="6"/>
    <b v="0"/>
    <s v="No está en VPC"/>
    <n v="124"/>
    <s v="INTPG_ACC_124_1.37"/>
    <s v="ISEL-1.37"/>
    <n v="1"/>
    <s v="NO TIENE L3OUT"/>
    <n v="80"/>
    <n v="96"/>
  </r>
  <r>
    <n v="118"/>
    <x v="0"/>
    <x v="218"/>
    <s v="eth1/37"/>
    <x v="0"/>
    <x v="0"/>
    <x v="0"/>
    <s v="INGE6"/>
    <x v="6"/>
    <b v="0"/>
    <s v="No está en VPC"/>
    <n v="118"/>
    <s v="INTPG_ACC_118_1.37"/>
    <s v="ISEL-1.37"/>
    <n v="1"/>
    <s v="NO TIENE L3OUT"/>
    <n v="180"/>
    <n v="96"/>
  </r>
  <r>
    <n v="159"/>
    <x v="0"/>
    <x v="219"/>
    <s v="eth1/37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37"/>
    <x v="0"/>
    <x v="0"/>
    <x v="0"/>
    <s v="LINK_TO_ITHFHWCBSPSHD34 / Slot7.3_20 / Redundante"/>
    <x v="0"/>
    <b v="0"/>
    <s v="No está en VPC"/>
    <n v="840"/>
    <s v="INTPG_VPC_835_1.37_840_1.37"/>
    <s v="ISEL-1.37"/>
    <n v="1"/>
    <s v="NO TIENE L3OUT"/>
    <n v="8"/>
    <n v="54"/>
  </r>
  <r>
    <n v="856"/>
    <x v="2"/>
    <x v="221"/>
    <s v="eth1/37"/>
    <x v="0"/>
    <x v="0"/>
    <x v="0"/>
    <s v="LINK_TO_ITHFHWCRMPLCN146 / Slot1.3_26 / Principal"/>
    <x v="0"/>
    <b v="0"/>
    <s v="No está en VPC"/>
    <n v="856"/>
    <s v="INTPG_ACC_856_1.37"/>
    <s v="ISEL-1.37"/>
    <n v="1"/>
    <s v="NO TIENE L3OUT"/>
    <n v="286"/>
    <n v="54"/>
  </r>
  <r>
    <n v="110"/>
    <x v="0"/>
    <x v="222"/>
    <s v="eth1/37"/>
    <x v="0"/>
    <x v="0"/>
    <x v="0"/>
    <s v="SERVIDOR BKP-VNX"/>
    <x v="6"/>
    <b v="0"/>
    <s v="No está en VPC"/>
    <n v="110"/>
    <s v="INTPG_ACC_110_1.37"/>
    <s v="ISEL-1.37"/>
    <n v="1"/>
    <s v="NO TIENE L3OUT"/>
    <n v="102"/>
    <n v="96"/>
  </r>
  <r>
    <n v="163"/>
    <x v="0"/>
    <x v="223"/>
    <s v="eth1/37"/>
    <x v="0"/>
    <x v="0"/>
    <x v="0"/>
    <s v="MULTIMEDIACION_1"/>
    <x v="6"/>
    <b v="0"/>
    <s v="No está en VPC"/>
    <n v="163"/>
    <s v="INTPG_ACC_163_1.37"/>
    <s v="ISEL-1.37"/>
    <n v="1"/>
    <s v="NO TIENE L3OUT"/>
    <n v="140"/>
    <n v="96"/>
  </r>
  <r>
    <n v="407"/>
    <x v="1"/>
    <x v="224"/>
    <s v="eth1/37"/>
    <x v="0"/>
    <x v="0"/>
    <x v="0"/>
    <s v="Uxcppnal_ilo"/>
    <x v="6"/>
    <b v="0"/>
    <s v="No está en VPC"/>
    <n v="407"/>
    <s v="INTPG_ACC_407_1.37"/>
    <s v="ISEL-1.37"/>
    <n v="1"/>
    <s v="NO TIENE L3OUT"/>
    <n v="122"/>
    <n v="96"/>
  </r>
  <r>
    <n v="171"/>
    <x v="0"/>
    <x v="225"/>
    <s v="eth1/37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37"/>
    <x v="0"/>
    <x v="0"/>
    <x v="0"/>
    <s v="VTA_F5_2_eth0"/>
    <x v="6"/>
    <b v="0"/>
    <s v="No está en VPC"/>
    <n v="421"/>
    <s v="INTPG_ACC_421_1.37"/>
    <s v="ISEL-1.37"/>
    <n v="1"/>
    <s v="NO TIENE L3OUT"/>
    <n v="72"/>
    <n v="96"/>
  </r>
  <r>
    <n v="173"/>
    <x v="0"/>
    <x v="227"/>
    <s v="eth1/37"/>
    <x v="0"/>
    <x v="0"/>
    <x v="0"/>
    <s v="ENIQ"/>
    <x v="6"/>
    <b v="0"/>
    <s v="No está en VPC"/>
    <n v="173"/>
    <s v="INTPG_ACC_173_1.37"/>
    <s v="ISEL-1.37"/>
    <n v="1"/>
    <s v="NO TIENE L3OUT"/>
    <n v="66"/>
    <n v="96"/>
  </r>
  <r>
    <n v="154"/>
    <x v="0"/>
    <x v="228"/>
    <s v="eth1/37"/>
    <x v="0"/>
    <x v="0"/>
    <x v="0"/>
    <s v="POLYVIEW_SERVIDOR"/>
    <x v="6"/>
    <b v="0"/>
    <s v="No está en VPC"/>
    <n v="154"/>
    <s v="INTPG_ACC_154_1.37"/>
    <s v="ISEL-1.37"/>
    <n v="1"/>
    <s v="NO TIENE L3OUT"/>
    <n v="62"/>
    <n v="96"/>
  </r>
  <r>
    <n v="172"/>
    <x v="0"/>
    <x v="229"/>
    <s v="eth1/37"/>
    <x v="0"/>
    <x v="0"/>
    <x v="0"/>
    <s v="HP_Performance_Insight"/>
    <x v="6"/>
    <b v="0"/>
    <s v="No está en VPC"/>
    <n v="172"/>
    <s v="INTPG_ACC_172_1.37"/>
    <s v="ISEL-1.37"/>
    <n v="1"/>
    <s v="NO TIENE L3OUT"/>
    <n v="104"/>
    <n v="96"/>
  </r>
  <r>
    <n v="420"/>
    <x v="1"/>
    <x v="230"/>
    <s v="eth1/37"/>
    <x v="0"/>
    <x v="0"/>
    <x v="0"/>
    <s v="TO-ITHFDEOCP1LWR04-PRINCIPAL"/>
    <x v="6"/>
    <b v="0"/>
    <s v="No está en VPC"/>
    <n v="420"/>
    <s v="INTPG_ACC_420_1.37"/>
    <s v="ISEL-1.37"/>
    <n v="1"/>
    <s v="NO TIENE L3OUT"/>
    <n v="158"/>
    <n v="96"/>
  </r>
  <r>
    <n v="423"/>
    <x v="1"/>
    <x v="231"/>
    <s v="eth1/37"/>
    <x v="0"/>
    <x v="0"/>
    <x v="0"/>
    <s v="SPECSERVER1_VMOTION2"/>
    <x v="6"/>
    <b v="0"/>
    <s v="No está en VPC"/>
    <n v="423"/>
    <s v="INTPG_ACC_423_1.37"/>
    <s v="ISEL-1.37"/>
    <n v="1"/>
    <s v="NO TIENE L3OUT"/>
    <n v="86"/>
    <n v="96"/>
  </r>
  <r>
    <n v="415"/>
    <x v="1"/>
    <x v="232"/>
    <s v="eth1/37"/>
    <x v="0"/>
    <x v="0"/>
    <x v="0"/>
    <s v="To-uxingemc3 ldom3 uxinghdr5"/>
    <x v="6"/>
    <b v="0"/>
    <s v="No está en VPC"/>
    <n v="415"/>
    <s v="INTPG_ACC_415_1.37"/>
    <s v="ISEL-1.37"/>
    <n v="1"/>
    <s v="NO TIENE L3OUT"/>
    <n v="52"/>
    <n v="96"/>
  </r>
  <r>
    <n v="102"/>
    <x v="0"/>
    <x v="233"/>
    <s v="eth1/37"/>
    <x v="0"/>
    <x v="1"/>
    <x v="1"/>
    <s v="SFLDI:RLDIWEB03:1"/>
    <x v="6"/>
    <b v="0"/>
    <s v="No está en VPC"/>
    <n v="102"/>
    <s v="INTPG_ACC_102_1.37"/>
    <s v="ISEL-1.37"/>
    <n v="1"/>
    <s v="NO TIENE L3OUT"/>
    <n v="228"/>
    <n v="96"/>
  </r>
  <r>
    <n v="863"/>
    <x v="2"/>
    <x v="234"/>
    <s v="eth1/37"/>
    <x v="0"/>
    <x v="0"/>
    <x v="0"/>
    <s v="To_VPC_2DCBSD_WR57_1"/>
    <x v="0"/>
    <b v="0"/>
    <s v="No está en VPC"/>
    <n v="863"/>
    <s v="INTPG_VPC_858_1.37_863_1.37"/>
    <s v="ISEL-1.37"/>
    <n v="2"/>
    <s v="NO TIENE L3OUT"/>
    <n v="8"/>
    <n v="54"/>
  </r>
  <r>
    <n v="876"/>
    <x v="2"/>
    <x v="235"/>
    <s v="eth1/37"/>
    <x v="0"/>
    <x v="0"/>
    <x v="0"/>
    <s v="A_ITHFHWSEQLCAS12_Principal"/>
    <x v="4"/>
    <b v="0"/>
    <s v="No está en VPC"/>
    <n v="876"/>
    <s v="INTPG_ACC_876_1.37"/>
    <s v="ISEL-1.37"/>
    <n v="1"/>
    <s v="NO TIENE L3OUT"/>
    <n v="92"/>
    <n v="54"/>
  </r>
  <r>
    <n v="877"/>
    <x v="2"/>
    <x v="236"/>
    <s v="eth1/37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37"/>
    <x v="0"/>
    <x v="0"/>
    <x v="0"/>
    <s v="IXTRTC5"/>
    <x v="6"/>
    <b v="0"/>
    <s v="No está en VPC"/>
    <n v="122"/>
    <s v="INTPG_ACC_122_1.37"/>
    <s v="ISEL-1.37"/>
    <n v="1"/>
    <s v="NO TIENE L3OUT"/>
    <n v="148"/>
    <n v="96"/>
  </r>
  <r>
    <n v="157"/>
    <x v="0"/>
    <x v="238"/>
    <s v="eth1/37"/>
    <x v="0"/>
    <x v="1"/>
    <x v="1"/>
    <s v="GESTOR HUAWEI U2000 MW Tx"/>
    <x v="6"/>
    <b v="0"/>
    <s v="No está en VPC"/>
    <n v="157"/>
    <s v="INTPG_ACC_157_1.37"/>
    <s v="ISEL-1.37"/>
    <n v="1"/>
    <s v="NO TIENE L3OUT"/>
    <n v="202"/>
    <n v="96"/>
  </r>
  <r>
    <n v="408"/>
    <x v="1"/>
    <x v="239"/>
    <s v="eth1/37"/>
    <x v="0"/>
    <x v="1"/>
    <x v="1"/>
    <s v="HNMD101A"/>
    <x v="6"/>
    <b v="0"/>
    <s v="No está en VPC"/>
    <n v="408"/>
    <s v="INTPG_ACC_408_1.37"/>
    <s v="ISEL-1.37"/>
    <n v="1"/>
    <s v="NO TIENE L3OUT"/>
    <n v="152"/>
    <n v="96"/>
  </r>
  <r>
    <n v="405"/>
    <x v="1"/>
    <x v="240"/>
    <s v="eth1/37"/>
    <x v="0"/>
    <x v="0"/>
    <x v="0"/>
    <s v="IXT_ARIESO7_BD1"/>
    <x v="6"/>
    <b v="0"/>
    <s v="No está en VPC"/>
    <n v="405"/>
    <s v="INTPG_ACC_405_1.37"/>
    <s v="ISEL-1.37"/>
    <n v="1"/>
    <s v="NO TIENE L3OUT"/>
    <n v="138"/>
    <n v="96"/>
  </r>
  <r>
    <n v="169"/>
    <x v="0"/>
    <x v="241"/>
    <s v="eth1/37"/>
    <x v="0"/>
    <x v="0"/>
    <x v="0"/>
    <s v="TO-ITHFDENBURBKP04(IXTFDLBKP7RAP)-PRINCIPAL"/>
    <x v="6"/>
    <b v="0"/>
    <s v="No está en VPC"/>
    <n v="169"/>
    <s v="INTPG_ACC_169_1.37"/>
    <s v="ISEL-1.37"/>
    <n v="1"/>
    <s v="NO TIENE L3OUT"/>
    <n v="76"/>
    <n v="96"/>
  </r>
  <r>
    <n v="165"/>
    <x v="0"/>
    <x v="242"/>
    <s v="eth1/37"/>
    <x v="0"/>
    <x v="0"/>
    <x v="0"/>
    <s v="NOMINA_uxrhmon1"/>
    <x v="6"/>
    <b v="0"/>
    <s v="No está en VPC"/>
    <n v="165"/>
    <s v="INTPG_ACC_165_1.37"/>
    <s v="ISEL-1.37"/>
    <n v="1"/>
    <s v="NO TIENE L3OUT"/>
    <n v="86"/>
    <n v="96"/>
  </r>
  <r>
    <n v="417"/>
    <x v="1"/>
    <x v="243"/>
    <s v="eth1/37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37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37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37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37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37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37"/>
    <x v="0"/>
    <x v="0"/>
    <x v="0"/>
    <s v="PCRF4_CLT"/>
    <x v="6"/>
    <b v="0"/>
    <s v="No está en VPC"/>
    <n v="406"/>
    <s v="INTPG_VPC_404_1.41-42_406_1.37-38"/>
    <s v="ISEL-1.37"/>
    <n v="5"/>
    <s v="NO TIENE L3OUT"/>
    <n v="82"/>
    <n v="96"/>
  </r>
  <r>
    <n v="414"/>
    <x v="1"/>
    <x v="250"/>
    <s v="eth1/37"/>
    <x v="0"/>
    <x v="1"/>
    <x v="1"/>
    <s v="IXTPF1PCRF"/>
    <x v="6"/>
    <b v="0"/>
    <s v="No está en VPC"/>
    <n v="414"/>
    <s v="INTPG_ACC_414_1.37"/>
    <s v="ISEL-1.37"/>
    <n v="1"/>
    <s v="NO TIENE L3OUT"/>
    <n v="144"/>
    <n v="96"/>
  </r>
  <r>
    <n v="416"/>
    <x v="1"/>
    <x v="251"/>
    <s v="eth1/37"/>
    <x v="0"/>
    <x v="1"/>
    <x v="1"/>
    <s v="DESC"/>
    <x v="6"/>
    <b v="0"/>
    <s v="No está en VPC"/>
    <n v="416"/>
    <s v="INTPG_PC_416_1.32-39"/>
    <s v="ISEL-1.37"/>
    <n v="8"/>
    <s v="NO TIENE L3OUT"/>
    <n v="110"/>
    <n v="96"/>
  </r>
  <r>
    <n v="418"/>
    <x v="1"/>
    <x v="252"/>
    <s v="eth1/37"/>
    <x v="0"/>
    <x v="1"/>
    <x v="1"/>
    <s v="DESC"/>
    <x v="6"/>
    <b v="0"/>
    <s v="No está en VPC"/>
    <n v="418"/>
    <s v="INTPG_PC_418_1.32-39"/>
    <s v="ISEL-1.37"/>
    <n v="8"/>
    <s v="NO TIENE L3OUT"/>
    <n v="152"/>
    <n v="96"/>
  </r>
  <r>
    <n v="413"/>
    <x v="1"/>
    <x v="253"/>
    <s v="eth1/37"/>
    <x v="0"/>
    <x v="0"/>
    <x v="0"/>
    <s v="VTAE5"/>
    <x v="6"/>
    <b v="0"/>
    <s v="No está en VPC"/>
    <n v="413"/>
    <s v="INTPG_ACC_413_1.37"/>
    <s v="ISEL-1.37"/>
    <n v="1"/>
    <s v="NO TIENE L3OUT"/>
    <n v="126"/>
    <n v="96"/>
  </r>
  <r>
    <n v="403"/>
    <x v="1"/>
    <x v="254"/>
    <s v="eth1/37"/>
    <x v="0"/>
    <x v="0"/>
    <x v="0"/>
    <s v="IXT_ARIESO7_BD1"/>
    <x v="6"/>
    <b v="0"/>
    <s v="No está en VPC"/>
    <n v="403"/>
    <s v="INTPG_ACC_403_1.37"/>
    <s v="ISEL-1.37"/>
    <n v="1"/>
    <s v="NO TIENE L3OUT"/>
    <n v="150"/>
    <n v="96"/>
  </r>
  <r>
    <n v="125"/>
    <x v="0"/>
    <x v="255"/>
    <s v="eth1/37"/>
    <x v="0"/>
    <x v="0"/>
    <x v="0"/>
    <s v="ixtossgw2_2"/>
    <x v="6"/>
    <b v="0"/>
    <s v="No está en VPC"/>
    <n v="125"/>
    <s v="INTPG_ACC_125_1.37"/>
    <s v="ISEL-1.37"/>
    <n v="1"/>
    <s v="NO TIENE L3OUT"/>
    <n v="72"/>
    <n v="96"/>
  </r>
  <r>
    <n v="166"/>
    <x v="0"/>
    <x v="256"/>
    <s v="eth1/37"/>
    <x v="0"/>
    <x v="0"/>
    <x v="0"/>
    <s v="NOMINA_uxtest02"/>
    <x v="6"/>
    <b v="0"/>
    <s v="No está en VPC"/>
    <n v="166"/>
    <s v="INTPG_ACC_166_1.37"/>
    <s v="ISEL-1.37"/>
    <n v="1"/>
    <s v="NO TIENE L3OUT"/>
    <n v="84"/>
    <n v="96"/>
  </r>
  <r>
    <n v="111"/>
    <x v="0"/>
    <x v="257"/>
    <s v="eth1/37"/>
    <x v="0"/>
    <x v="1"/>
    <x v="1"/>
    <s v="STORAGE_VNX_0493_BKP1_AND_BKP2"/>
    <x v="6"/>
    <b v="0"/>
    <s v="No está en VPC"/>
    <n v="111"/>
    <s v="INTPG_ACC_111_1.37"/>
    <s v="ISEL-1.37"/>
    <n v="1"/>
    <s v="NO TIENE L3OUT"/>
    <n v="58"/>
    <n v="96"/>
  </r>
  <r>
    <n v="115"/>
    <x v="0"/>
    <x v="258"/>
    <s v="eth1/37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37"/>
    <x v="0"/>
    <x v="0"/>
    <x v="0"/>
    <m/>
    <x v="6"/>
    <b v="0"/>
    <s v="No está en VPC"/>
    <n v="106"/>
    <s v="INTPG_PC_106_1.35-38"/>
    <s v="ISEL-1.37"/>
    <n v="1"/>
    <s v="NO TIENE L3OUT"/>
    <n v="122"/>
    <n v="96"/>
  </r>
  <r>
    <n v="126"/>
    <x v="0"/>
    <x v="260"/>
    <s v="eth1/37"/>
    <x v="0"/>
    <x v="0"/>
    <x v="0"/>
    <s v="TO-ITHHDSVSP55003595-Prinicipal"/>
    <x v="6"/>
    <b v="0"/>
    <s v="No está en VPC"/>
    <n v="126"/>
    <s v="INTPG_ACC_126_1.37"/>
    <s v="ISEL-1.37"/>
    <n v="1"/>
    <s v="NO TIENE L3OUT"/>
    <n v="54"/>
    <n v="96"/>
  </r>
  <r>
    <n v="425"/>
    <x v="1"/>
    <x v="261"/>
    <s v="eth1/37"/>
    <x v="0"/>
    <x v="0"/>
    <x v="0"/>
    <s v="ITHPA01_ILO1_IPMP-Pasiva"/>
    <x v="6"/>
    <b v="0"/>
    <s v="No está en VPC"/>
    <n v="425"/>
    <s v="INTPG_ACC_425_1.37"/>
    <s v="ISEL-1.37"/>
    <n v="1"/>
    <s v="NO TIENE L3OUT"/>
    <n v="86"/>
    <n v="96"/>
  </r>
  <r>
    <n v="151"/>
    <x v="0"/>
    <x v="262"/>
    <s v="eth1/37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37"/>
    <x v="0"/>
    <x v="0"/>
    <x v="0"/>
    <s v="SecAnLG_iDrac_03-Colector_R1toR8_SA-IXTSALG_H1_8SA"/>
    <x v="6"/>
    <b v="0"/>
    <s v="No está en VPC"/>
    <n v="430"/>
    <s v="INTPG_ACC_430_1.37"/>
    <s v="ISEL-1.37"/>
    <n v="1"/>
    <s v="NO TIENE L3OUT"/>
    <n v="86"/>
    <n v="96"/>
  </r>
  <r>
    <n v="419"/>
    <x v="1"/>
    <x v="264"/>
    <s v="eth1/37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37"/>
    <x v="0"/>
    <x v="0"/>
    <x v="0"/>
    <s v="SNA TEST BED"/>
    <x v="6"/>
    <b v="0"/>
    <s v="No está en VPC"/>
    <n v="155"/>
    <s v="INTPG_ACC_155_1.37"/>
    <s v="ISEL-1.37"/>
    <n v="0"/>
    <s v="L3OUT-SNA-IPCORP-A22"/>
    <n v="198"/>
    <n v="96"/>
  </r>
  <r>
    <n v="409"/>
    <x v="1"/>
    <x v="266"/>
    <s v="eth1/37"/>
    <x v="0"/>
    <x v="0"/>
    <x v="0"/>
    <s v="Uxcpploc_ilo"/>
    <x v="6"/>
    <b v="0"/>
    <s v="No está en VPC"/>
    <n v="409"/>
    <s v="INTPG_ACC_409_1.37"/>
    <s v="ISEL-1.37"/>
    <n v="1"/>
    <s v="NO TIENE L3OUT"/>
    <n v="128"/>
    <n v="96"/>
  </r>
  <r>
    <n v="422"/>
    <x v="1"/>
    <x v="267"/>
    <s v="eth1/37"/>
    <x v="0"/>
    <x v="0"/>
    <x v="0"/>
    <s v="ITHRTC4AEN1OA2"/>
    <x v="6"/>
    <b v="0"/>
    <s v="No está en VPC"/>
    <n v="422"/>
    <s v="INTPG_ACC_422_1.37"/>
    <s v="ISEL-1.37"/>
    <n v="1"/>
    <s v="NO TIENE L3OUT"/>
    <n v="182"/>
    <n v="96"/>
  </r>
  <r>
    <n v="436"/>
    <x v="1"/>
    <x v="268"/>
    <s v="eth1/37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37"/>
    <x v="0"/>
    <x v="0"/>
    <x v="0"/>
    <s v="IXTPF1"/>
    <x v="6"/>
    <b v="0"/>
    <s v="No está en VPC"/>
    <n v="410"/>
    <s v="INTPG_ACC_410_1.37"/>
    <s v="ISEL-1.37"/>
    <n v="1"/>
    <s v="NO TIENE L3OUT"/>
    <n v="178"/>
    <n v="96"/>
  </r>
  <r>
    <n v="161"/>
    <x v="0"/>
    <x v="270"/>
    <s v="eth1/37"/>
    <x v="0"/>
    <x v="1"/>
    <x v="5"/>
    <s v="desc"/>
    <x v="6"/>
    <b v="0"/>
    <s v="No está en VPC"/>
    <n v="161"/>
    <s v="INTPG_VPC_161_1.37_163_1.42"/>
    <s v="ISEL-1.37"/>
    <n v="1"/>
    <s v="NO TIENE L3OUT"/>
    <n v="102"/>
    <n v="96"/>
  </r>
  <r>
    <n v="411"/>
    <x v="1"/>
    <x v="271"/>
    <s v="eth1/37"/>
    <x v="0"/>
    <x v="0"/>
    <x v="0"/>
    <s v="lagidmhlapvp12_produccion1"/>
    <x v="6"/>
    <b v="0"/>
    <s v="No está en VPC"/>
    <n v="411"/>
    <s v="INTPG_VPC_411_1.36-39_413_1.29-32"/>
    <s v="ISEL-1.37"/>
    <n v="2"/>
    <s v="NO TIENE L3OUT"/>
    <n v="96"/>
    <n v="96"/>
  </r>
  <r>
    <n v="116"/>
    <x v="0"/>
    <x v="272"/>
    <s v="eth1/37"/>
    <x v="1"/>
    <x v="1"/>
    <x v="2"/>
    <s v="DATOS NETCRACKER"/>
    <x v="6"/>
    <b v="0"/>
    <s v="No está en VPC"/>
    <n v="116"/>
    <s v="INTPG_ACC_116_1.37"/>
    <s v="ISEL-1.37"/>
    <n v="0"/>
    <s v="NO TIENE L3OUT"/>
    <n v="148"/>
    <n v="96"/>
  </r>
  <r>
    <n v="412"/>
    <x v="1"/>
    <x v="273"/>
    <s v="eth1/37"/>
    <x v="0"/>
    <x v="0"/>
    <x v="0"/>
    <s v="HNMD101B"/>
    <x v="6"/>
    <b v="0"/>
    <s v="No está en VPC"/>
    <n v="412"/>
    <s v="INTPG_ACC_412_1.37"/>
    <s v="ISEL-1.37"/>
    <n v="1"/>
    <s v="NO TIENE L3OUT"/>
    <n v="126"/>
    <n v="96"/>
  </r>
  <r>
    <n v="120"/>
    <x v="0"/>
    <x v="274"/>
    <s v="eth1/37"/>
    <x v="0"/>
    <x v="0"/>
    <x v="0"/>
    <s v="Registro Nacional de Celulares"/>
    <x v="6"/>
    <b v="0"/>
    <s v="No está en VPC"/>
    <n v="120"/>
    <s v="INTPG_ACC_120_1.37"/>
    <s v="ISEL-1.37"/>
    <n v="1"/>
    <s v="NO TIENE L3OUT"/>
    <n v="158"/>
    <n v="96"/>
  </r>
  <r>
    <n v="404"/>
    <x v="1"/>
    <x v="275"/>
    <s v="eth1/37"/>
    <x v="0"/>
    <x v="0"/>
    <x v="0"/>
    <s v="DESC"/>
    <x v="6"/>
    <b v="0"/>
    <s v="No está en VPC"/>
    <n v="404"/>
    <s v="INTPG_PC_404_1.37-40"/>
    <s v="ISEL-1.37"/>
    <n v="4"/>
    <s v="NO TIENE L3OUT"/>
    <n v="92"/>
    <n v="96"/>
  </r>
  <r>
    <n v="167"/>
    <x v="0"/>
    <x v="276"/>
    <s v="eth1/37"/>
    <x v="0"/>
    <x v="1"/>
    <x v="1"/>
    <s v="9UCS-GEO-IXTLA-SERV1"/>
    <x v="6"/>
    <b v="0"/>
    <s v="No está en VPC"/>
    <n v="167"/>
    <s v="INTPG_ACC_167_1.37"/>
    <s v="ISEL-1.37"/>
    <n v="1"/>
    <s v="NO TIENE L3OUT"/>
    <n v="68"/>
    <n v="96"/>
  </r>
  <r>
    <n v="428"/>
    <x v="1"/>
    <x v="277"/>
    <s v="eth1/37"/>
    <x v="0"/>
    <x v="0"/>
    <x v="0"/>
    <s v="PROVISION2"/>
    <x v="6"/>
    <b v="0"/>
    <s v="No está en VPC"/>
    <n v="428"/>
    <s v="INTPG_ACC_428_1.37"/>
    <s v="ISEL-1.37"/>
    <n v="1"/>
    <s v="NO TIENE L3OUT"/>
    <n v="102"/>
    <n v="96"/>
  </r>
  <r>
    <n v="128"/>
    <x v="0"/>
    <x v="0"/>
    <s v="eth1/38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38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38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38"/>
    <x v="0"/>
    <x v="0"/>
    <x v="0"/>
    <s v="DESC"/>
    <x v="0"/>
    <b v="0"/>
    <s v="No está en VPC"/>
    <n v="101"/>
    <s v="INTPG_PC_101_1.37-38"/>
    <s v="ISEL-1.38"/>
    <n v="1"/>
    <s v="NO TIENE L3OUT"/>
    <n v="114"/>
    <n v="54"/>
  </r>
  <r>
    <n v="160"/>
    <x v="0"/>
    <x v="4"/>
    <s v="eth1/38"/>
    <x v="0"/>
    <x v="1"/>
    <x v="1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38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38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38"/>
    <x v="0"/>
    <x v="1"/>
    <x v="3"/>
    <m/>
    <x v="0"/>
    <b v="0"/>
    <s v="No está en VPC"/>
    <n v="401"/>
    <s v="NO EXISTE PG"/>
    <s v="NO EXISTE ISEL"/>
    <n v="0"/>
    <s v="NO TIENE L3OUT"/>
    <n v="40"/>
    <n v="54"/>
  </r>
  <r>
    <n v="402"/>
    <x v="1"/>
    <x v="8"/>
    <s v="eth1/38"/>
    <x v="0"/>
    <x v="1"/>
    <x v="3"/>
    <m/>
    <x v="0"/>
    <b v="0"/>
    <s v="No está en VPC"/>
    <n v="402"/>
    <s v="NO EXISTE PG"/>
    <s v="NO EXISTE ISEL"/>
    <n v="0"/>
    <s v="NO TIENE L3OUT"/>
    <n v="36"/>
    <n v="54"/>
  </r>
  <r>
    <n v="130"/>
    <x v="0"/>
    <x v="11"/>
    <s v="eth1/38"/>
    <x v="0"/>
    <x v="0"/>
    <x v="0"/>
    <s v="LAG-smt-comp-04"/>
    <x v="0"/>
    <b v="0"/>
    <s v="No está en VPC"/>
    <n v="130"/>
    <s v="INTPG_VPC_130_1.37-38_131_1.37-38"/>
    <s v="ISEL-1.38"/>
    <n v="4"/>
    <s v="NO TIENE L3OUT"/>
    <n v="128"/>
    <n v="54"/>
  </r>
  <r>
    <n v="150"/>
    <x v="0"/>
    <x v="12"/>
    <s v="eth1/38"/>
    <x v="0"/>
    <x v="0"/>
    <x v="0"/>
    <s v="DESC"/>
    <x v="0"/>
    <b v="0"/>
    <s v="No está en VPC"/>
    <n v="150"/>
    <s v="INTPG_PC_150_1.37-38"/>
    <s v="ISEL-1.38"/>
    <n v="1"/>
    <s v="NO TIENE L3OUT"/>
    <n v="118"/>
    <n v="54"/>
  </r>
  <r>
    <n v="131"/>
    <x v="0"/>
    <x v="13"/>
    <s v="eth1/38"/>
    <x v="0"/>
    <x v="0"/>
    <x v="0"/>
    <s v="LAG-smt-comp-04"/>
    <x v="0"/>
    <b v="0"/>
    <s v="No está en VPC"/>
    <n v="131"/>
    <s v="INTPG_VPC_130_1.37-38_131_1.37-38"/>
    <s v="ISEL-1.38"/>
    <n v="4"/>
    <s v="NO TIENE L3OUT"/>
    <n v="126"/>
    <n v="54"/>
  </r>
  <r>
    <n v="424"/>
    <x v="1"/>
    <x v="18"/>
    <s v="eth1/38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38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38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38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38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38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38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38"/>
    <x v="0"/>
    <x v="0"/>
    <x v="0"/>
    <s v="TO-SFF2MEDP02-PRINCIPAL"/>
    <x v="0"/>
    <b v="0"/>
    <s v="No está en VPC"/>
    <n v="431"/>
    <s v="INTPG_ACC_431_1.38"/>
    <s v="ISEL-1.38"/>
    <n v="1"/>
    <s v="NO TIENE L3OUT"/>
    <n v="46"/>
    <n v="54"/>
  </r>
  <r>
    <n v="433"/>
    <x v="1"/>
    <x v="27"/>
    <s v="eth1/38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38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38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38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38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38"/>
    <x v="1"/>
    <x v="1"/>
    <x v="3"/>
    <m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38"/>
    <x v="1"/>
    <x v="1"/>
    <x v="3"/>
    <m/>
    <x v="0"/>
    <b v="0"/>
    <s v="No está en VPC"/>
    <n v="712"/>
    <s v="NO EXISTE PG"/>
    <s v="NO EXISTE ISEL"/>
    <n v="0"/>
    <s v="NO TIENE L3OUT"/>
    <n v="32"/>
    <n v="54"/>
  </r>
  <r>
    <n v="719"/>
    <x v="2"/>
    <x v="34"/>
    <s v="eth1/38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38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38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38"/>
    <x v="1"/>
    <x v="1"/>
    <x v="3"/>
    <m/>
    <x v="0"/>
    <b v="0"/>
    <s v="No está en VPC"/>
    <n v="711"/>
    <s v="NO EXISTE PG"/>
    <s v="NO EXISTE ISEL"/>
    <n v="0"/>
    <s v="NO TIENE L3OUT"/>
    <n v="16"/>
    <n v="54"/>
  </r>
  <r>
    <n v="716"/>
    <x v="2"/>
    <x v="38"/>
    <s v="eth1/38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38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38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38"/>
    <x v="0"/>
    <x v="0"/>
    <x v="0"/>
    <s v="Proyecto Arieso"/>
    <x v="0"/>
    <b v="0"/>
    <s v="No está en VPC"/>
    <n v="446"/>
    <s v="INTPG_VPC_444_1.37-40_446_1.37-40"/>
    <s v="ISEL-1.38"/>
    <n v="16"/>
    <s v="NO TIENE L3OUT"/>
    <n v="198"/>
    <n v="54"/>
  </r>
  <r>
    <n v="444"/>
    <x v="1"/>
    <x v="42"/>
    <s v="eth1/38"/>
    <x v="0"/>
    <x v="0"/>
    <x v="0"/>
    <s v="Proyecto Arieso"/>
    <x v="0"/>
    <b v="0"/>
    <s v="No está en VPC"/>
    <n v="444"/>
    <s v="INTPG_VPC_444_1.37-40_446_1.37-40"/>
    <s v="ISEL-1.38"/>
    <n v="16"/>
    <s v="NO TIENE L3OUT"/>
    <n v="234"/>
    <n v="54"/>
  </r>
  <r>
    <n v="701"/>
    <x v="2"/>
    <x v="43"/>
    <s v="eth1/38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38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38"/>
    <x v="0"/>
    <x v="1"/>
    <x v="3"/>
    <s v="TO-ITHFDLROAMRAP01-PRINCIPAL"/>
    <x v="0"/>
    <b v="0"/>
    <s v="No está en VPC"/>
    <n v="448"/>
    <s v="INTPG_ACC_448_1.38"/>
    <s v="ISEL-1.38"/>
    <n v="1"/>
    <s v="NO TIENE L3OUT"/>
    <n v="46"/>
    <n v="54"/>
  </r>
  <r>
    <n v="704"/>
    <x v="2"/>
    <x v="46"/>
    <s v="eth1/38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38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38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38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38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38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38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38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38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38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38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38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38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38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38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38"/>
    <x v="0"/>
    <x v="0"/>
    <x v="0"/>
    <s v="ITHCEMB2COR19"/>
    <x v="5"/>
    <b v="0"/>
    <s v="No está en VPC"/>
    <n v="742"/>
    <s v="INTPG_ACC_742_1.38"/>
    <s v="ISEL-1.38"/>
    <n v="1"/>
    <s v="NO TIENE L3OUT"/>
    <n v="64"/>
    <n v="54"/>
  </r>
  <r>
    <n v="763"/>
    <x v="2"/>
    <x v="63"/>
    <s v="eth1/38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38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38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38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38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38"/>
    <x v="0"/>
    <x v="1"/>
    <x v="3"/>
    <s v="CLOUD OPS:ithhwcop01st01ce03:B IOM1 Smart IO P0"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38"/>
    <x v="1"/>
    <x v="1"/>
    <x v="3"/>
    <m/>
    <x v="0"/>
    <b v="0"/>
    <s v="No está en VPC"/>
    <n v="780"/>
    <s v="NO EXISTE PG"/>
    <s v="NO EXISTE ISEL"/>
    <n v="0"/>
    <s v="NO TIENE L3OUT"/>
    <n v="26"/>
    <n v="54"/>
  </r>
  <r>
    <n v="812"/>
    <x v="2"/>
    <x v="70"/>
    <s v="eth1/38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38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38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38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38"/>
    <x v="0"/>
    <x v="0"/>
    <x v="0"/>
    <s v="LINK_TO_ITHHWOS53V50004DKC01 /CtrlB_10GE.P5 /Redundante"/>
    <x v="0"/>
    <b v="0"/>
    <s v="No está en VPC"/>
    <n v="824"/>
    <s v="INTPG_ACC_824_1.38"/>
    <s v="ISEL-1.38"/>
    <n v="1"/>
    <s v="NO TIENE L3OUT"/>
    <n v="70"/>
    <n v="54"/>
  </r>
  <r>
    <n v="819"/>
    <x v="2"/>
    <x v="75"/>
    <s v="eth1/38"/>
    <x v="0"/>
    <x v="0"/>
    <x v="0"/>
    <s v="LINK_TO_ITHHWOS53V50004DKC01 /CtrlB_10GE.P4 /Principal"/>
    <x v="0"/>
    <b v="0"/>
    <s v="No está en VPC"/>
    <n v="819"/>
    <s v="INTPG_ACC_819_1.38"/>
    <s v="ISEL-1.38"/>
    <n v="1"/>
    <s v="NO TIENE L3OUT"/>
    <n v="70"/>
    <n v="54"/>
  </r>
  <r>
    <n v="737"/>
    <x v="2"/>
    <x v="76"/>
    <s v="eth1/38"/>
    <x v="0"/>
    <x v="1"/>
    <x v="1"/>
    <m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38"/>
    <x v="0"/>
    <x v="0"/>
    <x v="0"/>
    <s v="LINK_TO_ITHFHWCRMPLCN113 / Slot1.2_30 / Principal"/>
    <x v="0"/>
    <b v="0"/>
    <s v="No está en VPC"/>
    <n v="844"/>
    <s v="INTPG_ACC_844_1.38"/>
    <s v="ISEL-1.38"/>
    <n v="2"/>
    <s v="NO TIENE L3OUT"/>
    <n v="282"/>
    <n v="54"/>
  </r>
  <r>
    <n v="843"/>
    <x v="2"/>
    <x v="78"/>
    <s v="eth1/38"/>
    <x v="0"/>
    <x v="0"/>
    <x v="0"/>
    <s v="A_ITHFHWSEQLHDPS80_Principal"/>
    <x v="0"/>
    <b v="0"/>
    <s v="No está en VPC"/>
    <n v="843"/>
    <s v="INTPG_ACC_843_1.38"/>
    <s v="ISEL-1.38"/>
    <n v="1"/>
    <s v="NO TIENE L3OUT"/>
    <n v="38"/>
    <n v="54"/>
  </r>
  <r>
    <n v="797"/>
    <x v="2"/>
    <x v="79"/>
    <s v="eth1/38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38"/>
    <x v="0"/>
    <x v="0"/>
    <x v="0"/>
    <s v="LINK_TO_ITHFHWCBSPSHD42 / Slot7.2_22 / Redundante"/>
    <x v="0"/>
    <b v="0"/>
    <s v="No está en VPC"/>
    <n v="839"/>
    <s v="INTPG_VPC_834_1.38_839_1.38"/>
    <s v="ISEL-1.38"/>
    <n v="1"/>
    <s v="NO TIENE L3OUT"/>
    <n v="0"/>
    <n v="54"/>
  </r>
  <r>
    <n v="847"/>
    <x v="2"/>
    <x v="81"/>
    <s v="eth1/38"/>
    <x v="0"/>
    <x v="0"/>
    <x v="0"/>
    <s v="LINK_TO_ITHFHWCRMPSBDP10 / Slot7.1_4 / Redundante"/>
    <x v="0"/>
    <b v="0"/>
    <s v="No está en VPC"/>
    <n v="847"/>
    <s v="INTPG_VPC_854_1.38_847_1.38"/>
    <s v="ISEL-1.38"/>
    <n v="6"/>
    <s v="NO TIENE L3OUT"/>
    <n v="204"/>
    <n v="54"/>
  </r>
  <r>
    <n v="848"/>
    <x v="2"/>
    <x v="82"/>
    <s v="eth1/38"/>
    <x v="0"/>
    <x v="0"/>
    <x v="0"/>
    <s v="LINK_TO_ITHFHWCRMPLCN167 / Slot7.1_36 / Redundante"/>
    <x v="0"/>
    <b v="0"/>
    <s v="No está en VPC"/>
    <n v="848"/>
    <s v="INTPG_ACC_848_1.38"/>
    <s v="ISEL-1.38"/>
    <n v="6"/>
    <s v="NO TIENE L3OUT"/>
    <n v="254"/>
    <n v="54"/>
  </r>
  <r>
    <n v="846"/>
    <x v="2"/>
    <x v="83"/>
    <s v="eth1/38"/>
    <x v="0"/>
    <x v="0"/>
    <x v="0"/>
    <s v="LINK_TO_ITHFHWCRMPLCN84 / Slot1.2_26 / Principal"/>
    <x v="0"/>
    <b v="0"/>
    <s v="No está en VPC"/>
    <n v="846"/>
    <s v="INTPG_ACC_846_1.38"/>
    <s v="ISEL-1.38"/>
    <n v="2"/>
    <s v="NO TIENE L3OUT"/>
    <n v="242"/>
    <n v="54"/>
  </r>
  <r>
    <n v="838"/>
    <x v="2"/>
    <x v="84"/>
    <s v="eth1/38"/>
    <x v="0"/>
    <x v="0"/>
    <x v="0"/>
    <s v="A_ITHFHWSEQLHDPS80_Redundante"/>
    <x v="0"/>
    <b v="0"/>
    <s v="No está en VPC"/>
    <n v="838"/>
    <s v="INTPG_ACC_838_1.38"/>
    <s v="ISEL-1.38"/>
    <n v="1"/>
    <s v="NO TIENE L3OUT"/>
    <n v="38"/>
    <n v="54"/>
  </r>
  <r>
    <n v="849"/>
    <x v="2"/>
    <x v="85"/>
    <s v="eth1/38"/>
    <x v="0"/>
    <x v="0"/>
    <x v="0"/>
    <s v="LINK_TO_ITHFHWCRMPLCN147 / Slot7.1_28 / Redundante"/>
    <x v="0"/>
    <b v="0"/>
    <s v="No está en VPC"/>
    <n v="849"/>
    <s v="INTPG_ACC_849_1.38"/>
    <s v="ISEL-1.38"/>
    <n v="6"/>
    <s v="NO TIENE L3OUT"/>
    <n v="286"/>
    <n v="54"/>
  </r>
  <r>
    <n v="845"/>
    <x v="2"/>
    <x v="86"/>
    <s v="eth1/38"/>
    <x v="0"/>
    <x v="0"/>
    <x v="0"/>
    <s v="LINK_TO_ITHFHWCRMPLCN96 / Slot1.3_24 / Principal"/>
    <x v="0"/>
    <b v="0"/>
    <s v="No está en VPC"/>
    <n v="845"/>
    <s v="INTPG_ACC_845_1.38"/>
    <s v="ISEL-1.38"/>
    <n v="1"/>
    <s v="NO TIENE L3OUT"/>
    <n v="258"/>
    <n v="54"/>
  </r>
  <r>
    <n v="873"/>
    <x v="2"/>
    <x v="87"/>
    <s v="eth1/38"/>
    <x v="0"/>
    <x v="0"/>
    <x v="0"/>
    <s v="To_ITHFHWCRMDLCN36_Redundante"/>
    <x v="0"/>
    <b v="0"/>
    <s v="No está en VPC"/>
    <n v="873"/>
    <s v="INTPG_ACC_873_1.38"/>
    <s v="ISEL-1.38"/>
    <n v="2"/>
    <s v="NO TIENE L3OUT"/>
    <n v="248"/>
    <n v="54"/>
  </r>
  <r>
    <n v="864"/>
    <x v="2"/>
    <x v="88"/>
    <s v="eth1/38"/>
    <x v="0"/>
    <x v="0"/>
    <x v="0"/>
    <s v="To_VPC_2DCBSD_WR48_2"/>
    <x v="0"/>
    <b v="0"/>
    <s v="No está en VPC"/>
    <n v="864"/>
    <s v="INTPG_VPC_859_1.38_864_1.38"/>
    <s v="ISEL-1.38"/>
    <n v="1"/>
    <s v="NO TIENE L3OUT"/>
    <n v="0"/>
    <n v="54"/>
  </r>
  <r>
    <n v="836"/>
    <x v="2"/>
    <x v="89"/>
    <s v="eth1/38"/>
    <x v="0"/>
    <x v="0"/>
    <x v="0"/>
    <s v="LINK_TO_ITHFHWCBSPSHD27 / Slot1.1_18 / Principal"/>
    <x v="0"/>
    <b v="0"/>
    <s v="No está en VPC"/>
    <n v="836"/>
    <s v="INTPG_VPC_836_1.38_841_1.38"/>
    <s v="ISEL-1.38"/>
    <n v="2"/>
    <s v="NO TIENE L3OUT"/>
    <n v="0"/>
    <n v="54"/>
  </r>
  <r>
    <n v="834"/>
    <x v="2"/>
    <x v="90"/>
    <s v="eth1/38"/>
    <x v="0"/>
    <x v="0"/>
    <x v="0"/>
    <s v="LINK_TO_ITHFHWCBSPSHD42 / Slot1.2_22 / Principal"/>
    <x v="0"/>
    <b v="0"/>
    <s v="No está en VPC"/>
    <n v="834"/>
    <s v="INTPG_VPC_834_1.38_839_1.38"/>
    <s v="ISEL-1.38"/>
    <n v="1"/>
    <s v="NO TIENE L3OUT"/>
    <n v="0"/>
    <n v="54"/>
  </r>
  <r>
    <n v="872"/>
    <x v="2"/>
    <x v="91"/>
    <s v="eth1/38"/>
    <x v="0"/>
    <x v="0"/>
    <x v="0"/>
    <s v="TO_ITHFHWCRMDLCN49_Principal"/>
    <x v="0"/>
    <b v="0"/>
    <s v="No está en VPC"/>
    <n v="872"/>
    <s v="INTPG_ACC_872_1.38"/>
    <s v="ISEL-1.38"/>
    <n v="1"/>
    <s v="NO TIENE L3OUT"/>
    <n v="288"/>
    <n v="54"/>
  </r>
  <r>
    <n v="842"/>
    <x v="2"/>
    <x v="92"/>
    <s v="eth1/38"/>
    <x v="0"/>
    <x v="0"/>
    <x v="0"/>
    <s v="LINK_To_ITHFHWCBSPSHD20 / Slot7.3_16 / Redundante"/>
    <x v="0"/>
    <b v="0"/>
    <s v="No está en VPC"/>
    <n v="842"/>
    <s v="INTPG_VPC_837_1.38_842_1.38"/>
    <s v="ISEL-1.38"/>
    <n v="1"/>
    <s v="NO TIENE L3OUT"/>
    <n v="8"/>
    <n v="54"/>
  </r>
  <r>
    <n v="828"/>
    <x v="2"/>
    <x v="93"/>
    <s v="eth1/38"/>
    <x v="0"/>
    <x v="0"/>
    <x v="0"/>
    <s v="LINK_TO_ITHHWD6KV60010DKC01 /CtrlA_IOM0.P0 /Principal"/>
    <x v="0"/>
    <b v="0"/>
    <s v="No está en VPC"/>
    <n v="828"/>
    <s v="INTPG_ACC_828_1.38"/>
    <s v="ISEL-1.38"/>
    <n v="1"/>
    <s v="NO TIENE L3OUT"/>
    <n v="192"/>
    <n v="54"/>
  </r>
  <r>
    <n v="870"/>
    <x v="2"/>
    <x v="94"/>
    <s v="eth1/38"/>
    <x v="0"/>
    <x v="0"/>
    <x v="0"/>
    <s v="To_ITHFHWCRMDLCN36_Principal"/>
    <x v="0"/>
    <b v="0"/>
    <s v="No está en VPC"/>
    <n v="870"/>
    <s v="INTPG_ACC_870_1.38"/>
    <s v="ISEL-1.38"/>
    <n v="2"/>
    <s v="NO TIENE L3OUT"/>
    <n v="248"/>
    <n v="54"/>
  </r>
  <r>
    <n v="866"/>
    <x v="2"/>
    <x v="95"/>
    <s v="eth1/38"/>
    <x v="0"/>
    <x v="0"/>
    <x v="0"/>
    <s v="To_VPC_2DCBSD_BD15_1"/>
    <x v="0"/>
    <b v="0"/>
    <s v="No está en VPC"/>
    <n v="866"/>
    <s v="INTPG_VPC_861_1.38_866_1.38"/>
    <s v="ISEL-1.38"/>
    <n v="2"/>
    <s v="NO TIENE L3OUT"/>
    <n v="8"/>
    <n v="54"/>
  </r>
  <r>
    <n v="862"/>
    <x v="2"/>
    <x v="96"/>
    <s v="eth1/38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38"/>
    <x v="0"/>
    <x v="0"/>
    <x v="0"/>
    <s v="LINK_TO_ITHFHWCRMPLCN167 / Slot1.1_36 / Principal"/>
    <x v="0"/>
    <b v="0"/>
    <s v="No está en VPC"/>
    <n v="855"/>
    <s v="INTPG_ACC_855_1.38"/>
    <s v="ISEL-1.38"/>
    <n v="6"/>
    <s v="NO TIENE L3OUT"/>
    <n v="254"/>
    <n v="54"/>
  </r>
  <r>
    <n v="871"/>
    <x v="2"/>
    <x v="98"/>
    <s v="eth1/38"/>
    <x v="0"/>
    <x v="0"/>
    <x v="0"/>
    <s v="To_ITHFHWCRMDLCN66_Principal"/>
    <x v="0"/>
    <b v="0"/>
    <s v="No está en VPC"/>
    <n v="871"/>
    <s v="INTPG_ACC_871_1.38"/>
    <s v="ISEL-1.38"/>
    <n v="2"/>
    <s v="NO TIENE L3OUT"/>
    <n v="246"/>
    <n v="54"/>
  </r>
  <r>
    <n v="841"/>
    <x v="2"/>
    <x v="99"/>
    <s v="eth1/38"/>
    <x v="0"/>
    <x v="0"/>
    <x v="0"/>
    <s v="LINK_TO_ITHFHWCBSPSHD27 / Slot7.1_18 / Redundante"/>
    <x v="0"/>
    <b v="0"/>
    <s v="No está en VPC"/>
    <n v="841"/>
    <s v="INTPG_VPC_836_1.38_841_1.38"/>
    <s v="ISEL-1.38"/>
    <n v="2"/>
    <s v="NO TIENE L3OUT"/>
    <n v="0"/>
    <n v="54"/>
  </r>
  <r>
    <n v="868"/>
    <x v="2"/>
    <x v="100"/>
    <s v="eth1/38"/>
    <x v="0"/>
    <x v="0"/>
    <x v="0"/>
    <s v="To_ITHFHWCRMDLCN66_Redundante"/>
    <x v="0"/>
    <b v="0"/>
    <s v="No está en VPC"/>
    <n v="868"/>
    <s v="INTPG_ACC_868_1.38"/>
    <s v="ISEL-1.38"/>
    <n v="2"/>
    <s v="NO TIENE L3OUT"/>
    <n v="246"/>
    <n v="54"/>
  </r>
  <r>
    <n v="869"/>
    <x v="2"/>
    <x v="101"/>
    <s v="eth1/38"/>
    <x v="0"/>
    <x v="0"/>
    <x v="0"/>
    <s v="TO_ITHFHWCRMDLCN49_Redundante"/>
    <x v="0"/>
    <b v="0"/>
    <s v="No está en VPC"/>
    <n v="869"/>
    <s v="INTPG_ACC_869_1.38"/>
    <s v="ISEL-1.38"/>
    <n v="1"/>
    <s v="NO TIENE L3OUT"/>
    <n v="288"/>
    <n v="54"/>
  </r>
  <r>
    <n v="861"/>
    <x v="2"/>
    <x v="102"/>
    <s v="eth1/38"/>
    <x v="0"/>
    <x v="0"/>
    <x v="0"/>
    <s v="To_VPC_2DCBSD_BD15_1"/>
    <x v="0"/>
    <b v="0"/>
    <s v="No está en VPC"/>
    <n v="861"/>
    <s v="INTPG_VPC_861_1.38_866_1.38"/>
    <s v="ISEL-1.38"/>
    <n v="2"/>
    <s v="NO TIENE L3OUT"/>
    <n v="8"/>
    <n v="54"/>
  </r>
  <r>
    <n v="874"/>
    <x v="2"/>
    <x v="103"/>
    <s v="eth1/38"/>
    <x v="0"/>
    <x v="0"/>
    <x v="0"/>
    <s v="A_ITHFHWSEQLCAS13_Redundante"/>
    <x v="4"/>
    <b v="0"/>
    <s v="No está en VPC"/>
    <n v="874"/>
    <s v="INTPG_ACC_874_1.38"/>
    <s v="ISEL-1.38"/>
    <n v="1"/>
    <s v="NO TIENE L3OUT"/>
    <n v="92"/>
    <n v="54"/>
  </r>
  <r>
    <n v="865"/>
    <x v="2"/>
    <x v="104"/>
    <s v="eth1/38"/>
    <x v="0"/>
    <x v="0"/>
    <x v="0"/>
    <s v="To_VPC_2DCBSD_BD19_2"/>
    <x v="0"/>
    <b v="0"/>
    <s v="No está en VPC"/>
    <n v="865"/>
    <s v="INTPG_VPC_860_1.38_865_1.38"/>
    <s v="ISEL-1.38"/>
    <n v="1"/>
    <s v="NO TIENE L3OUT"/>
    <n v="0"/>
    <n v="54"/>
  </r>
  <r>
    <n v="753"/>
    <x v="2"/>
    <x v="105"/>
    <s v="eth1/38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38"/>
    <x v="0"/>
    <x v="1"/>
    <x v="3"/>
    <m/>
    <x v="0"/>
    <b v="0"/>
    <s v="No está en VPC"/>
    <n v="708"/>
    <s v="NO EXISTE PG"/>
    <s v="NO EXISTE ISEL"/>
    <n v="0"/>
    <s v="NO TIENE L3OUT"/>
    <n v="0"/>
    <n v="54"/>
  </r>
  <r>
    <n v="710"/>
    <x v="2"/>
    <x v="107"/>
    <s v="eth1/38"/>
    <x v="1"/>
    <x v="1"/>
    <x v="3"/>
    <m/>
    <x v="0"/>
    <b v="0"/>
    <s v="No está en VPC"/>
    <n v="710"/>
    <s v="NO EXISTE PG"/>
    <s v="NO EXISTE ISEL"/>
    <n v="0"/>
    <s v="NO TIENE L3OUT"/>
    <n v="16"/>
    <n v="54"/>
  </r>
  <r>
    <n v="713"/>
    <x v="2"/>
    <x v="108"/>
    <s v="eth1/38"/>
    <x v="0"/>
    <x v="0"/>
    <x v="0"/>
    <s v="CEM_ITHCEMB2COR19"/>
    <x v="0"/>
    <b v="0"/>
    <s v="No está en VPC"/>
    <n v="713"/>
    <s v="INTPG_VPC_712_1.37_713_1.38"/>
    <s v="ISEL-1.38"/>
    <n v="1"/>
    <s v="NO TIENE L3OUT"/>
    <n v="32"/>
    <n v="54"/>
  </r>
  <r>
    <n v="735"/>
    <x v="2"/>
    <x v="109"/>
    <s v="eth1/38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38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38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38"/>
    <x v="1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38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38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38"/>
    <x v="0"/>
    <x v="0"/>
    <x v="0"/>
    <s v="LINK_TO_ITHFHWCBSDSWR19 /10GE.1 /Principal"/>
    <x v="0"/>
    <b v="0"/>
    <s v="No está en VPC"/>
    <n v="826"/>
    <s v="INTPG_VPC_826_1.38_830_1.38"/>
    <s v="ISEL-1.38"/>
    <n v="1"/>
    <s v="NO TIENE L3OUT"/>
    <n v="12"/>
    <n v="54"/>
  </r>
  <r>
    <n v="726"/>
    <x v="2"/>
    <x v="117"/>
    <s v="eth1/38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38"/>
    <x v="0"/>
    <x v="1"/>
    <x v="1"/>
    <m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38"/>
    <x v="0"/>
    <x v="1"/>
    <x v="1"/>
    <s v="ITHCEMA1APP19"/>
    <x v="0"/>
    <b v="0"/>
    <s v="No está en VPC"/>
    <n v="705"/>
    <s v="INTPG_VPC_705_1.38_706_1.37"/>
    <s v="ISEL-1.38"/>
    <n v="1"/>
    <s v="NO TIENE L3OUT"/>
    <n v="16"/>
    <n v="54"/>
  </r>
  <r>
    <n v="723"/>
    <x v="2"/>
    <x v="120"/>
    <s v="eth1/38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38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38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38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38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38"/>
    <x v="0"/>
    <x v="1"/>
    <x v="3"/>
    <m/>
    <x v="0"/>
    <b v="0"/>
    <s v="No está en VPC"/>
    <n v="709"/>
    <s v="NO EXISTE PG"/>
    <s v="NO EXISTE ISEL"/>
    <n v="0"/>
    <s v="NO TIENE L3OUT"/>
    <n v="0"/>
    <n v="54"/>
  </r>
  <r>
    <n v="454"/>
    <x v="1"/>
    <x v="126"/>
    <s v="eth1/38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38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38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38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38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38"/>
    <x v="0"/>
    <x v="1"/>
    <x v="1"/>
    <m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38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38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38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38"/>
    <x v="0"/>
    <x v="1"/>
    <x v="3"/>
    <m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38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38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38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38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38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38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38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38"/>
    <x v="0"/>
    <x v="0"/>
    <x v="0"/>
    <s v="CLOUD PASS PAYG F3:ITHHWOSCOPAP023:LOM P1"/>
    <x v="0"/>
    <b v="0"/>
    <s v="No está en VPC"/>
    <n v="774"/>
    <s v="INTPG_VPC_774_1.38_775_1.38"/>
    <s v="ISEL-1.38"/>
    <n v="24"/>
    <s v="NO TIENE L3OUT"/>
    <n v="0"/>
    <n v="54"/>
  </r>
  <r>
    <n v="773"/>
    <x v="2"/>
    <x v="145"/>
    <s v="eth1/38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38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38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38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38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38"/>
    <x v="1"/>
    <x v="1"/>
    <x v="3"/>
    <m/>
    <x v="0"/>
    <b v="0"/>
    <s v="No está en VPC"/>
    <n v="781"/>
    <s v="NO EXISTE PG"/>
    <s v="NO EXISTE ISEL"/>
    <n v="0"/>
    <s v="NO TIENE L3OUT"/>
    <n v="26"/>
    <n v="54"/>
  </r>
  <r>
    <n v="793"/>
    <x v="2"/>
    <x v="151"/>
    <s v="eth1/38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38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38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38"/>
    <x v="1"/>
    <x v="1"/>
    <x v="3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38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38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38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38"/>
    <x v="0"/>
    <x v="1"/>
    <x v="1"/>
    <m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38"/>
    <x v="0"/>
    <x v="0"/>
    <x v="0"/>
    <s v="CLOUD PASS PAYG F3:ITHHWOSCOPAP023:Slot 1 P1"/>
    <x v="0"/>
    <b v="0"/>
    <s v="No está en VPC"/>
    <n v="775"/>
    <s v="INTPG_VPC_774_1.38_775_1.38"/>
    <s v="ISEL-1.38"/>
    <n v="24"/>
    <s v="NO TIENE L3OUT"/>
    <n v="0"/>
    <n v="54"/>
  </r>
  <r>
    <n v="791"/>
    <x v="2"/>
    <x v="160"/>
    <s v="eth1/38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38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38"/>
    <x v="0"/>
    <x v="0"/>
    <x v="0"/>
    <s v="LINK_TO_ITHFHWCBSDSWR19 /Slot5.1 /Redundante"/>
    <x v="0"/>
    <b v="0"/>
    <s v="No está en VPC"/>
    <n v="830"/>
    <s v="INTPG_VPC_826_1.38_830_1.38"/>
    <s v="ISEL-1.38"/>
    <n v="1"/>
    <s v="NO TIENE L3OUT"/>
    <n v="12"/>
    <n v="54"/>
  </r>
  <r>
    <n v="821"/>
    <x v="2"/>
    <x v="163"/>
    <s v="eth1/38"/>
    <x v="0"/>
    <x v="0"/>
    <x v="0"/>
    <s v="LINK_TO_ITHFHWCBSPSWR19 /Slot5.1 /Redundante"/>
    <x v="0"/>
    <b v="0"/>
    <s v="No está en VPC"/>
    <n v="821"/>
    <s v="INTPG_VPC_816_1.38_821_1.38"/>
    <s v="ISEL-1.38"/>
    <n v="1"/>
    <s v="NO TIENE L3OUT"/>
    <n v="0"/>
    <n v="54"/>
  </r>
  <r>
    <n v="738"/>
    <x v="2"/>
    <x v="164"/>
    <s v="eth1/38"/>
    <x v="0"/>
    <x v="1"/>
    <x v="1"/>
    <m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38"/>
    <x v="0"/>
    <x v="0"/>
    <x v="0"/>
    <s v="TO-9S_BESPR_IXTLA3_1"/>
    <x v="0"/>
    <b v="0"/>
    <s v="No está en VPC"/>
    <n v="820"/>
    <s v="INTPG_VPC_820_1.38-41_825_1.38-41"/>
    <s v="ISEL-1.38"/>
    <n v="31"/>
    <s v="NO TIENE L3OUT"/>
    <n v="72"/>
    <n v="54"/>
  </r>
  <r>
    <n v="804"/>
    <x v="2"/>
    <x v="166"/>
    <s v="eth1/38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38"/>
    <x v="0"/>
    <x v="1"/>
    <x v="3"/>
    <s v="CLOUD OPS:ithhwcop01st01ce03:B IOM1 Smart IO P1"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38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38"/>
    <x v="0"/>
    <x v="0"/>
    <x v="0"/>
    <s v="LINK_TO_ITHFHWCBSDSWR29 /Slot5.2 /Principal"/>
    <x v="0"/>
    <b v="0"/>
    <s v="No está en VPC"/>
    <n v="827"/>
    <s v="INTPG_VPC_827_1.38_831_1.38"/>
    <s v="ISEL-1.38"/>
    <n v="2"/>
    <s v="NO TIENE L3OUT"/>
    <n v="14"/>
    <n v="54"/>
  </r>
  <r>
    <n v="809"/>
    <x v="2"/>
    <x v="170"/>
    <s v="eth1/38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38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38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38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38"/>
    <x v="1"/>
    <x v="1"/>
    <x v="3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38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38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38"/>
    <x v="0"/>
    <x v="0"/>
    <x v="0"/>
    <s v="LINK_TO_ITHFHWCRMPLCN113 / Slot7.2_30 / Redundante"/>
    <x v="0"/>
    <b v="0"/>
    <s v="No está en VPC"/>
    <n v="851"/>
    <s v="INTPG_ACC_851_1.38"/>
    <s v="ISEL-1.38"/>
    <n v="2"/>
    <s v="NO TIENE L3OUT"/>
    <n v="282"/>
    <n v="54"/>
  </r>
  <r>
    <n v="798"/>
    <x v="2"/>
    <x v="178"/>
    <s v="eth1/38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38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38"/>
    <x v="0"/>
    <x v="0"/>
    <x v="0"/>
    <s v="LINK_TO_ITHFHWCRMPLCN96 / Slot7.3_24 / Redundante"/>
    <x v="0"/>
    <b v="0"/>
    <s v="No está en VPC"/>
    <n v="852"/>
    <s v="INTPG_ACC_852_1.38"/>
    <s v="ISEL-1.38"/>
    <n v="1"/>
    <s v="NO TIENE L3OUT"/>
    <n v="258"/>
    <n v="54"/>
  </r>
  <r>
    <n v="817"/>
    <x v="2"/>
    <x v="181"/>
    <s v="eth1/38"/>
    <x v="0"/>
    <x v="0"/>
    <x v="0"/>
    <s v="LINK_TO_ITHFHWCBSPSWR26 /10GE.1 /Principal"/>
    <x v="0"/>
    <b v="0"/>
    <s v="No está en VPC"/>
    <n v="817"/>
    <s v="INTPG_VPC_817_1.38_822_1.38"/>
    <s v="ISEL-1.38"/>
    <n v="1"/>
    <s v="NO TIENE L3OUT"/>
    <n v="0"/>
    <n v="54"/>
  </r>
  <r>
    <n v="832"/>
    <x v="2"/>
    <x v="182"/>
    <s v="eth1/38"/>
    <x v="0"/>
    <x v="0"/>
    <x v="0"/>
    <s v="LINK_TO_ITHHWD6KV60010DKC01 /CtrlA_IOM0.P1 /Redundante"/>
    <x v="0"/>
    <b v="0"/>
    <s v="No está en VPC"/>
    <n v="832"/>
    <s v="INTPG_ACC_832_1.38"/>
    <s v="ISEL-1.38"/>
    <n v="1"/>
    <s v="NO TIENE L3OUT"/>
    <n v="192"/>
    <n v="54"/>
  </r>
  <r>
    <n v="816"/>
    <x v="2"/>
    <x v="183"/>
    <s v="eth1/38"/>
    <x v="0"/>
    <x v="0"/>
    <x v="0"/>
    <s v="LINK_TO_ITHFHWCBSPSWR19 /10GE.1 /Principal"/>
    <x v="0"/>
    <b v="0"/>
    <s v="No está en VPC"/>
    <n v="816"/>
    <s v="INTPG_VPC_816_1.38_821_1.38"/>
    <s v="ISEL-1.38"/>
    <n v="1"/>
    <s v="NO TIENE L3OUT"/>
    <n v="0"/>
    <n v="54"/>
  </r>
  <r>
    <n v="825"/>
    <x v="2"/>
    <x v="184"/>
    <s v="eth1/38"/>
    <x v="0"/>
    <x v="0"/>
    <x v="0"/>
    <s v="TO-9S_BESPR_IXTLA3_1"/>
    <x v="0"/>
    <b v="0"/>
    <s v="No está en VPC"/>
    <n v="825"/>
    <s v="INTPG_VPC_820_1.38-41_825_1.38-41"/>
    <s v="ISEL-1.38"/>
    <n v="31"/>
    <s v="NO TIENE L3OUT"/>
    <n v="72"/>
    <n v="54"/>
  </r>
  <r>
    <n v="800"/>
    <x v="2"/>
    <x v="185"/>
    <s v="eth1/38"/>
    <x v="0"/>
    <x v="0"/>
    <x v="0"/>
    <s v="TO-ITHFDEOCP1LWR09-REDUNDANTE"/>
    <x v="0"/>
    <b v="0"/>
    <s v="No está en VPC"/>
    <n v="800"/>
    <s v="INTPG_ACC_800_1.38"/>
    <s v="ISEL-1.38"/>
    <n v="1"/>
    <s v="NO TIENE L3OUT"/>
    <n v="78"/>
    <n v="54"/>
  </r>
  <r>
    <n v="801"/>
    <x v="2"/>
    <x v="186"/>
    <s v="eth1/38"/>
    <x v="0"/>
    <x v="0"/>
    <x v="0"/>
    <s v="TO-ITHFDEOCP1LWR09-PRINCIPAL"/>
    <x v="0"/>
    <b v="0"/>
    <s v="No está en VPC"/>
    <n v="801"/>
    <s v="INTPG_ACC_801_1.38"/>
    <s v="ISEL-1.38"/>
    <n v="1"/>
    <s v="NO TIENE L3OUT"/>
    <n v="78"/>
    <n v="54"/>
  </r>
  <r>
    <n v="823"/>
    <x v="2"/>
    <x v="187"/>
    <s v="eth1/38"/>
    <x v="0"/>
    <x v="0"/>
    <x v="0"/>
    <s v="LINK_TO_ITHFHWCBSPSWR37 /Slot7.2 /Redundante"/>
    <x v="0"/>
    <b v="0"/>
    <s v="No está en VPC"/>
    <n v="823"/>
    <s v="INTPG_VPC_818_1.38_823_1.38"/>
    <s v="ISEL-1.38"/>
    <n v="2"/>
    <s v="NO TIENE L3OUT"/>
    <n v="8"/>
    <n v="54"/>
  </r>
  <r>
    <n v="837"/>
    <x v="2"/>
    <x v="188"/>
    <s v="eth1/38"/>
    <x v="0"/>
    <x v="0"/>
    <x v="0"/>
    <s v="LINK_To_ITHFHWCBSPSHD20 / Slot1.3_16 / Principal"/>
    <x v="0"/>
    <b v="0"/>
    <s v="No está en VPC"/>
    <n v="837"/>
    <s v="INTPG_VPC_837_1.38_842_1.38"/>
    <s v="ISEL-1.38"/>
    <n v="1"/>
    <s v="NO TIENE L3OUT"/>
    <n v="8"/>
    <n v="54"/>
  </r>
  <r>
    <n v="867"/>
    <x v="2"/>
    <x v="189"/>
    <s v="eth1/38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38"/>
    <x v="0"/>
    <x v="0"/>
    <x v="0"/>
    <s v="To_ITHFHWCRMDLCN47_Principal"/>
    <x v="0"/>
    <b v="0"/>
    <s v="No está en VPC"/>
    <n v="829"/>
    <s v="INTPG_ACC_829_1.38"/>
    <s v="ISEL-1.38"/>
    <n v="1"/>
    <s v="NO TIENE L3OUT"/>
    <n v="224"/>
    <n v="54"/>
  </r>
  <r>
    <n v="831"/>
    <x v="2"/>
    <x v="191"/>
    <s v="eth1/38"/>
    <x v="0"/>
    <x v="0"/>
    <x v="0"/>
    <s v="LINK_TO_ITHFHWCBSDSWR29 /Slot7.2 /Redundante"/>
    <x v="0"/>
    <b v="0"/>
    <s v="No está en VPC"/>
    <n v="831"/>
    <s v="INTPG_VPC_827_1.38_831_1.38"/>
    <s v="ISEL-1.38"/>
    <n v="2"/>
    <s v="NO TIENE L3OUT"/>
    <n v="14"/>
    <n v="54"/>
  </r>
  <r>
    <n v="802"/>
    <x v="2"/>
    <x v="192"/>
    <s v="eth1/38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38"/>
    <x v="0"/>
    <x v="0"/>
    <x v="0"/>
    <s v="LINK_TO_ITHFHWCBSPSHD35 / Slot1.1_22 / Principal"/>
    <x v="0"/>
    <b v="0"/>
    <s v="No está en VPC"/>
    <n v="835"/>
    <s v="INTPG_VPC_835_1.38_840_1.38"/>
    <s v="ISEL-1.38"/>
    <n v="2"/>
    <s v="NO TIENE L3OUT"/>
    <n v="8"/>
    <n v="54"/>
  </r>
  <r>
    <n v="822"/>
    <x v="2"/>
    <x v="194"/>
    <s v="eth1/38"/>
    <x v="0"/>
    <x v="0"/>
    <x v="0"/>
    <s v="LINK_TO_ITHFHWCBSPSWR26 /Slot5.1 /Redundante"/>
    <x v="0"/>
    <b v="0"/>
    <s v="No está en VPC"/>
    <n v="822"/>
    <s v="INTPG_VPC_817_1.38_822_1.38"/>
    <s v="ISEL-1.38"/>
    <n v="1"/>
    <s v="NO TIENE L3OUT"/>
    <n v="0"/>
    <n v="54"/>
  </r>
  <r>
    <n v="854"/>
    <x v="2"/>
    <x v="195"/>
    <s v="eth1/38"/>
    <x v="0"/>
    <x v="0"/>
    <x v="0"/>
    <s v="LINK_TO_ITHFHWCRMPSBDP10 / Slot1.1_4 / Principal"/>
    <x v="0"/>
    <b v="0"/>
    <s v="No está en VPC"/>
    <n v="854"/>
    <s v="INTPG_VPC_854_1.38_847_1.38"/>
    <s v="ISEL-1.38"/>
    <n v="6"/>
    <s v="NO TIENE L3OUT"/>
    <n v="204"/>
    <n v="54"/>
  </r>
  <r>
    <n v="858"/>
    <x v="2"/>
    <x v="196"/>
    <s v="eth1/38"/>
    <x v="0"/>
    <x v="0"/>
    <x v="0"/>
    <s v="To_VPC_2DCBSD_WR57_2"/>
    <x v="0"/>
    <b v="0"/>
    <s v="No está en VPC"/>
    <n v="858"/>
    <s v="INTPG_VPC_858_1.38_863_1.38"/>
    <s v="ISEL-1.38"/>
    <n v="1"/>
    <s v="NO TIENE L3OUT"/>
    <n v="8"/>
    <n v="54"/>
  </r>
  <r>
    <n v="857"/>
    <x v="2"/>
    <x v="197"/>
    <s v="eth1/38"/>
    <x v="0"/>
    <x v="0"/>
    <x v="0"/>
    <s v="LINKT_TO_ITHFHWCRMPLCN128 / Slot1.1_26 / Principal"/>
    <x v="0"/>
    <b v="0"/>
    <s v="No está en VPC"/>
    <n v="857"/>
    <s v="INTPG_ACC_857_1.38"/>
    <s v="ISEL-1.38"/>
    <n v="6"/>
    <s v="NO TIENE L3OUT"/>
    <n v="288"/>
    <n v="54"/>
  </r>
  <r>
    <n v="859"/>
    <x v="2"/>
    <x v="198"/>
    <s v="eth1/38"/>
    <x v="0"/>
    <x v="0"/>
    <x v="0"/>
    <s v="To_VPC_2DCBSD_WR48_2"/>
    <x v="0"/>
    <b v="0"/>
    <s v="No está en VPC"/>
    <n v="859"/>
    <s v="INTPG_VPC_859_1.38_864_1.38"/>
    <s v="ISEL-1.38"/>
    <n v="1"/>
    <s v="NO TIENE L3OUT"/>
    <n v="0"/>
    <n v="54"/>
  </r>
  <r>
    <n v="833"/>
    <x v="2"/>
    <x v="199"/>
    <s v="eth1/38"/>
    <x v="0"/>
    <x v="0"/>
    <x v="0"/>
    <s v="To_ITHFHWCRMDLCN47_Redundante"/>
    <x v="0"/>
    <b v="0"/>
    <s v="No está en VPC"/>
    <n v="833"/>
    <s v="INTPG_ACC_833_1.38"/>
    <s v="ISEL-1.38"/>
    <n v="1"/>
    <s v="NO TIENE L3OUT"/>
    <n v="224"/>
    <n v="54"/>
  </r>
  <r>
    <n v="818"/>
    <x v="2"/>
    <x v="200"/>
    <s v="eth1/38"/>
    <x v="0"/>
    <x v="0"/>
    <x v="0"/>
    <s v="LINK_TO_ITHFHWCBSPSWR37 /Slot5.2 /Principal"/>
    <x v="0"/>
    <b v="0"/>
    <s v="No está en VPC"/>
    <n v="818"/>
    <s v="INTPG_VPC_818_1.38_823_1.38"/>
    <s v="ISEL-1.38"/>
    <n v="2"/>
    <s v="NO TIENE L3OUT"/>
    <n v="8"/>
    <n v="54"/>
  </r>
  <r>
    <n v="850"/>
    <x v="2"/>
    <x v="201"/>
    <s v="eth1/38"/>
    <x v="0"/>
    <x v="0"/>
    <x v="0"/>
    <s v="LINKT_TO_ITHFHWCRMPLCN128 / Slot7.1_26 / Redundante"/>
    <x v="0"/>
    <b v="0"/>
    <s v="No está en VPC"/>
    <n v="850"/>
    <s v="INTPG_ACC_850_1.38"/>
    <s v="ISEL-1.38"/>
    <n v="6"/>
    <s v="NO TIENE L3OUT"/>
    <n v="288"/>
    <n v="54"/>
  </r>
  <r>
    <n v="860"/>
    <x v="2"/>
    <x v="202"/>
    <s v="eth1/38"/>
    <x v="0"/>
    <x v="0"/>
    <x v="0"/>
    <s v="To_VPC_2DCBSD_BD19_2"/>
    <x v="0"/>
    <b v="0"/>
    <s v="No está en VPC"/>
    <n v="860"/>
    <s v="INTPG_VPC_860_1.38_865_1.38"/>
    <s v="ISEL-1.38"/>
    <n v="1"/>
    <s v="NO TIENE L3OUT"/>
    <n v="0"/>
    <n v="54"/>
  </r>
  <r>
    <n v="853"/>
    <x v="2"/>
    <x v="203"/>
    <s v="eth1/38"/>
    <x v="0"/>
    <x v="0"/>
    <x v="0"/>
    <s v="LINK_TO_ITHFHWCRMPLCN84 / Slot7.2_26 / Redundante"/>
    <x v="0"/>
    <b v="0"/>
    <s v="No está en VPC"/>
    <n v="853"/>
    <s v="INTPG_ACC_853_1.38"/>
    <s v="ISEL-1.38"/>
    <n v="2"/>
    <s v="NO TIENE L3OUT"/>
    <n v="242"/>
    <n v="54"/>
  </r>
  <r>
    <n v="790"/>
    <x v="2"/>
    <x v="204"/>
    <s v="eth1/38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38"/>
    <x v="0"/>
    <x v="1"/>
    <x v="1"/>
    <s v="DESC"/>
    <x v="6"/>
    <b v="0"/>
    <s v="No está en VPC"/>
    <n v="105"/>
    <s v="INTPG_PC_105_1.6-12_38"/>
    <s v="ISEL-1.38"/>
    <n v="17"/>
    <s v="NO TIENE L3OUT"/>
    <n v="106"/>
    <n v="96"/>
  </r>
  <r>
    <n v="117"/>
    <x v="0"/>
    <x v="206"/>
    <s v="eth1/38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38"/>
    <x v="1"/>
    <x v="1"/>
    <x v="2"/>
    <s v="DESC"/>
    <x v="6"/>
    <b v="0"/>
    <s v="No está en VPC"/>
    <n v="104"/>
    <s v="INTPG_PC_104_1.32-39"/>
    <s v="ISEL-1.38"/>
    <n v="0"/>
    <s v="NO TIENE L3OUT"/>
    <n v="194"/>
    <n v="96"/>
  </r>
  <r>
    <n v="158"/>
    <x v="0"/>
    <x v="208"/>
    <s v="eth1/38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38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38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38"/>
    <x v="0"/>
    <x v="0"/>
    <x v="0"/>
    <m/>
    <x v="6"/>
    <b v="0"/>
    <s v="No está en VPC"/>
    <n v="108"/>
    <s v="INTPG_ACC_108_1.38"/>
    <s v="ISEL-1.38"/>
    <n v="1"/>
    <s v="NO TIENE L3OUT"/>
    <n v="126"/>
    <n v="96"/>
  </r>
  <r>
    <n v="112"/>
    <x v="0"/>
    <x v="212"/>
    <s v="eth1/38"/>
    <x v="0"/>
    <x v="0"/>
    <x v="0"/>
    <s v="CHARGING SYSTEM"/>
    <x v="6"/>
    <b v="0"/>
    <s v="No está en VPC"/>
    <n v="112"/>
    <s v="INTPG_ACC_112_1.38"/>
    <s v="ISEL-1.38"/>
    <n v="1"/>
    <s v="NO TIENE L3OUT"/>
    <n v="144"/>
    <n v="96"/>
  </r>
  <r>
    <n v="107"/>
    <x v="0"/>
    <x v="213"/>
    <s v="eth1/38"/>
    <x v="0"/>
    <x v="0"/>
    <x v="0"/>
    <s v="Generador VoMS"/>
    <x v="6"/>
    <b v="0"/>
    <s v="No está en VPC"/>
    <n v="107"/>
    <s v="INTPG_ACC_107_1.38"/>
    <s v="ISEL-1.38"/>
    <n v="1"/>
    <s v="NO TIENE L3OUT"/>
    <n v="118"/>
    <n v="96"/>
  </r>
  <r>
    <n v="109"/>
    <x v="0"/>
    <x v="214"/>
    <s v="eth1/38"/>
    <x v="0"/>
    <x v="0"/>
    <x v="0"/>
    <m/>
    <x v="6"/>
    <b v="0"/>
    <s v="No está en VPC"/>
    <n v="109"/>
    <s v="INTPG_ACC_109_1.38"/>
    <s v="ISEL-1.38"/>
    <n v="1"/>
    <s v="NO TIENE L3OUT"/>
    <n v="126"/>
    <n v="96"/>
  </r>
  <r>
    <n v="113"/>
    <x v="0"/>
    <x v="215"/>
    <s v="eth1/38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38"/>
    <x v="0"/>
    <x v="0"/>
    <x v="0"/>
    <s v="ASAP"/>
    <x v="6"/>
    <b v="0"/>
    <s v="No está en VPC"/>
    <n v="114"/>
    <s v="INTPG_ACC_114_1.38"/>
    <s v="ISEL-1.38"/>
    <n v="1"/>
    <s v="NO TIENE L3OUT"/>
    <n v="144"/>
    <n v="96"/>
  </r>
  <r>
    <n v="124"/>
    <x v="0"/>
    <x v="217"/>
    <s v="eth1/38"/>
    <x v="0"/>
    <x v="0"/>
    <x v="0"/>
    <s v="ixtossgw2_4"/>
    <x v="6"/>
    <b v="0"/>
    <s v="No está en VPC"/>
    <n v="124"/>
    <s v="INTPG_ACC_124_1.38"/>
    <s v="ISEL-1.38"/>
    <n v="1"/>
    <s v="NO TIENE L3OUT"/>
    <n v="80"/>
    <n v="96"/>
  </r>
  <r>
    <n v="118"/>
    <x v="0"/>
    <x v="218"/>
    <s v="eth1/38"/>
    <x v="1"/>
    <x v="1"/>
    <x v="2"/>
    <s v="INGE6"/>
    <x v="6"/>
    <b v="0"/>
    <s v="No está en VPC"/>
    <n v="118"/>
    <s v="INTPG_ACC_118_1.38"/>
    <s v="ISEL-1.38"/>
    <n v="1"/>
    <s v="NO TIENE L3OUT"/>
    <n v="180"/>
    <n v="96"/>
  </r>
  <r>
    <n v="159"/>
    <x v="0"/>
    <x v="219"/>
    <s v="eth1/38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38"/>
    <x v="0"/>
    <x v="0"/>
    <x v="0"/>
    <s v="LINK_TO_ITHFHWCBSPSHD35 / Slot7.1_22 / Redundante"/>
    <x v="0"/>
    <b v="0"/>
    <s v="No está en VPC"/>
    <n v="840"/>
    <s v="INTPG_VPC_835_1.38_840_1.38"/>
    <s v="ISEL-1.38"/>
    <n v="2"/>
    <s v="NO TIENE L3OUT"/>
    <n v="8"/>
    <n v="54"/>
  </r>
  <r>
    <n v="856"/>
    <x v="2"/>
    <x v="221"/>
    <s v="eth1/38"/>
    <x v="0"/>
    <x v="0"/>
    <x v="0"/>
    <s v="LINK_TO_ITHFHWCRMPLCN147 / Slot1.1_28 / Principal"/>
    <x v="0"/>
    <b v="0"/>
    <s v="No está en VPC"/>
    <n v="856"/>
    <s v="INTPG_ACC_856_1.38"/>
    <s v="ISEL-1.38"/>
    <n v="6"/>
    <s v="NO TIENE L3OUT"/>
    <n v="286"/>
    <n v="54"/>
  </r>
  <r>
    <n v="110"/>
    <x v="0"/>
    <x v="222"/>
    <s v="eth1/38"/>
    <x v="0"/>
    <x v="0"/>
    <x v="0"/>
    <s v="PAPERLESS-FO"/>
    <x v="6"/>
    <b v="0"/>
    <s v="No está en VPC"/>
    <n v="110"/>
    <s v="INTPG_ACC_110_1.38"/>
    <s v="ISEL-1.38"/>
    <n v="1"/>
    <s v="NO TIENE L3OUT"/>
    <n v="102"/>
    <n v="96"/>
  </r>
  <r>
    <n v="163"/>
    <x v="0"/>
    <x v="223"/>
    <s v="eth1/38"/>
    <x v="0"/>
    <x v="0"/>
    <x v="0"/>
    <s v="MULTIMEDIACION_1"/>
    <x v="6"/>
    <b v="0"/>
    <s v="No está en VPC"/>
    <n v="163"/>
    <s v="INTPG_ACC_163_1.38"/>
    <s v="ISEL-1.38"/>
    <n v="1"/>
    <s v="NO TIENE L3OUT"/>
    <n v="140"/>
    <n v="96"/>
  </r>
  <r>
    <n v="407"/>
    <x v="1"/>
    <x v="224"/>
    <s v="eth1/38"/>
    <x v="0"/>
    <x v="0"/>
    <x v="0"/>
    <s v="Uxcppnal _ilo"/>
    <x v="6"/>
    <b v="0"/>
    <s v="No está en VPC"/>
    <n v="407"/>
    <s v="INTPG_ACC_407_1.38"/>
    <s v="ISEL-1.38"/>
    <n v="1"/>
    <s v="NO TIENE L3OUT"/>
    <n v="122"/>
    <n v="96"/>
  </r>
  <r>
    <n v="171"/>
    <x v="0"/>
    <x v="225"/>
    <s v="eth1/38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38"/>
    <x v="0"/>
    <x v="1"/>
    <x v="1"/>
    <s v="VTA_uxvta073_Net0"/>
    <x v="6"/>
    <b v="0"/>
    <s v="No está en VPC"/>
    <n v="421"/>
    <s v="INTPG_ACC_421_1.38"/>
    <s v="ISEL-1.38"/>
    <n v="1"/>
    <s v="NO TIENE L3OUT"/>
    <n v="72"/>
    <n v="96"/>
  </r>
  <r>
    <n v="173"/>
    <x v="0"/>
    <x v="227"/>
    <s v="eth1/38"/>
    <x v="0"/>
    <x v="0"/>
    <x v="0"/>
    <s v="ENIQ"/>
    <x v="6"/>
    <b v="0"/>
    <s v="No está en VPC"/>
    <n v="173"/>
    <s v="INTPG_ACC_173_1.38"/>
    <s v="ISEL-1.38"/>
    <n v="1"/>
    <s v="NO TIENE L3OUT"/>
    <n v="66"/>
    <n v="96"/>
  </r>
  <r>
    <n v="154"/>
    <x v="0"/>
    <x v="228"/>
    <s v="eth1/38"/>
    <x v="0"/>
    <x v="0"/>
    <x v="0"/>
    <m/>
    <x v="6"/>
    <b v="0"/>
    <s v="No está en VPC"/>
    <n v="154"/>
    <s v="INTPG_ACC_154_1.38"/>
    <s v="ISEL-1.38"/>
    <n v="1"/>
    <s v="NO TIENE L3OUT"/>
    <n v="62"/>
    <n v="96"/>
  </r>
  <r>
    <n v="172"/>
    <x v="0"/>
    <x v="229"/>
    <s v="eth1/38"/>
    <x v="0"/>
    <x v="0"/>
    <x v="0"/>
    <s v="HP_Performance_Insight"/>
    <x v="6"/>
    <b v="0"/>
    <s v="No está en VPC"/>
    <n v="172"/>
    <s v="INTPG_ACC_172_1.38"/>
    <s v="ISEL-1.38"/>
    <n v="1"/>
    <s v="NO TIENE L3OUT"/>
    <n v="104"/>
    <n v="96"/>
  </r>
  <r>
    <n v="420"/>
    <x v="1"/>
    <x v="230"/>
    <s v="eth1/38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38"/>
    <x v="0"/>
    <x v="0"/>
    <x v="0"/>
    <s v="SPECSERVER1_ADMIN2"/>
    <x v="6"/>
    <b v="0"/>
    <s v="No está en VPC"/>
    <n v="423"/>
    <s v="INTPG_ACC_423_1.38"/>
    <s v="ISEL-1.38"/>
    <n v="1"/>
    <s v="NO TIENE L3OUT"/>
    <n v="86"/>
    <n v="96"/>
  </r>
  <r>
    <n v="415"/>
    <x v="1"/>
    <x v="232"/>
    <s v="eth1/38"/>
    <x v="0"/>
    <x v="0"/>
    <x v="0"/>
    <s v="To-uxingemc3"/>
    <x v="6"/>
    <b v="0"/>
    <s v="No está en VPC"/>
    <n v="415"/>
    <s v="INTPG_ACC_415_1.38"/>
    <s v="ISEL-1.38"/>
    <n v="1"/>
    <s v="NO TIENE L3OUT"/>
    <n v="52"/>
    <n v="96"/>
  </r>
  <r>
    <n v="102"/>
    <x v="0"/>
    <x v="233"/>
    <s v="eth1/38"/>
    <x v="0"/>
    <x v="1"/>
    <x v="1"/>
    <s v="SFLDI:RLDIWEB01:1"/>
    <x v="6"/>
    <b v="0"/>
    <s v="No está en VPC"/>
    <n v="102"/>
    <s v="INTPG_ACC_102_1.38"/>
    <s v="ISEL-1.38"/>
    <n v="1"/>
    <s v="NO TIENE L3OUT"/>
    <n v="228"/>
    <n v="96"/>
  </r>
  <r>
    <n v="863"/>
    <x v="2"/>
    <x v="234"/>
    <s v="eth1/38"/>
    <x v="0"/>
    <x v="0"/>
    <x v="0"/>
    <s v="To_VPC_2DCBSD_WR57_2"/>
    <x v="0"/>
    <b v="0"/>
    <s v="No está en VPC"/>
    <n v="863"/>
    <s v="INTPG_VPC_858_1.38_863_1.38"/>
    <s v="ISEL-1.38"/>
    <n v="1"/>
    <s v="NO TIENE L3OUT"/>
    <n v="8"/>
    <n v="54"/>
  </r>
  <r>
    <n v="876"/>
    <x v="2"/>
    <x v="235"/>
    <s v="eth1/38"/>
    <x v="0"/>
    <x v="0"/>
    <x v="0"/>
    <s v="A_ITHFHWSEQLCAS13_Principal"/>
    <x v="4"/>
    <b v="0"/>
    <s v="No está en VPC"/>
    <n v="876"/>
    <s v="INTPG_ACC_876_1.38"/>
    <s v="ISEL-1.38"/>
    <n v="1"/>
    <s v="NO TIENE L3OUT"/>
    <n v="92"/>
    <n v="54"/>
  </r>
  <r>
    <n v="877"/>
    <x v="2"/>
    <x v="236"/>
    <s v="eth1/38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38"/>
    <x v="0"/>
    <x v="0"/>
    <x v="0"/>
    <s v="Registro Nacional de Celulares"/>
    <x v="6"/>
    <b v="0"/>
    <s v="No está en VPC"/>
    <n v="122"/>
    <s v="INTPG_ACC_122_1.38"/>
    <s v="ISEL-1.38"/>
    <n v="1"/>
    <s v="NO TIENE L3OUT"/>
    <n v="148"/>
    <n v="96"/>
  </r>
  <r>
    <n v="157"/>
    <x v="0"/>
    <x v="238"/>
    <s v="eth1/38"/>
    <x v="0"/>
    <x v="0"/>
    <x v="0"/>
    <s v="COBROS NAVEGACION"/>
    <x v="6"/>
    <b v="0"/>
    <s v="No está en VPC"/>
    <n v="157"/>
    <s v="INTPG_ACC_157_1.38"/>
    <s v="ISEL-1.38"/>
    <n v="1"/>
    <s v="NO TIENE L3OUT"/>
    <n v="202"/>
    <n v="96"/>
  </r>
  <r>
    <n v="408"/>
    <x v="1"/>
    <x v="239"/>
    <s v="eth1/38"/>
    <x v="0"/>
    <x v="1"/>
    <x v="1"/>
    <s v="HNMD101A"/>
    <x v="6"/>
    <b v="0"/>
    <s v="No está en VPC"/>
    <n v="408"/>
    <s v="INTPG_ACC_408_1.38"/>
    <s v="ISEL-1.38"/>
    <n v="1"/>
    <s v="NO TIENE L3OUT"/>
    <n v="152"/>
    <n v="96"/>
  </r>
  <r>
    <n v="405"/>
    <x v="1"/>
    <x v="240"/>
    <s v="eth1/38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38"/>
    <x v="0"/>
    <x v="0"/>
    <x v="0"/>
    <s v="TO-ITHFDENBURBKP04(IXTFDLBKP7RAP)-PRINCIPAL"/>
    <x v="6"/>
    <b v="0"/>
    <s v="No está en VPC"/>
    <n v="169"/>
    <s v="INTPG_ACC_169_1.38"/>
    <s v="ISEL-1.38"/>
    <n v="1"/>
    <s v="NO TIENE L3OUT"/>
    <n v="76"/>
    <n v="96"/>
  </r>
  <r>
    <n v="165"/>
    <x v="0"/>
    <x v="242"/>
    <s v="eth1/38"/>
    <x v="0"/>
    <x v="0"/>
    <x v="0"/>
    <s v="NOMINA_uxasis001"/>
    <x v="6"/>
    <b v="0"/>
    <s v="No está en VPC"/>
    <n v="165"/>
    <s v="INTPG_ACC_165_1.38"/>
    <s v="ISEL-1.38"/>
    <n v="1"/>
    <s v="NO TIENE L3OUT"/>
    <n v="86"/>
    <n v="96"/>
  </r>
  <r>
    <n v="417"/>
    <x v="1"/>
    <x v="243"/>
    <s v="eth1/38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38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38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38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38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38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38"/>
    <x v="0"/>
    <x v="0"/>
    <x v="0"/>
    <s v="PCRF4_CLT"/>
    <x v="6"/>
    <b v="0"/>
    <s v="No está en VPC"/>
    <n v="406"/>
    <s v="INTPG_VPC_404_1.41-42_406_1.37-38"/>
    <s v="ISEL-1.38"/>
    <n v="5"/>
    <s v="NO TIENE L3OUT"/>
    <n v="82"/>
    <n v="96"/>
  </r>
  <r>
    <n v="414"/>
    <x v="1"/>
    <x v="250"/>
    <s v="eth1/38"/>
    <x v="0"/>
    <x v="0"/>
    <x v="0"/>
    <s v="IXTPF1"/>
    <x v="6"/>
    <b v="0"/>
    <s v="No está en VPC"/>
    <n v="414"/>
    <s v="INTPG_ACC_414_1.38"/>
    <s v="ISEL-1.38"/>
    <n v="2"/>
    <s v="NO TIENE L3OUT"/>
    <n v="144"/>
    <n v="96"/>
  </r>
  <r>
    <n v="416"/>
    <x v="1"/>
    <x v="251"/>
    <s v="eth1/38"/>
    <x v="0"/>
    <x v="1"/>
    <x v="1"/>
    <s v="DESC"/>
    <x v="6"/>
    <b v="0"/>
    <s v="No está en VPC"/>
    <n v="416"/>
    <s v="INTPG_PC_416_1.32-39"/>
    <s v="ISEL-1.38"/>
    <n v="8"/>
    <s v="NO TIENE L3OUT"/>
    <n v="110"/>
    <n v="96"/>
  </r>
  <r>
    <n v="418"/>
    <x v="1"/>
    <x v="252"/>
    <s v="eth1/38"/>
    <x v="0"/>
    <x v="1"/>
    <x v="1"/>
    <s v="DESC"/>
    <x v="6"/>
    <b v="0"/>
    <s v="No está en VPC"/>
    <n v="418"/>
    <s v="INTPG_PC_418_1.32-39"/>
    <s v="ISEL-1.38"/>
    <n v="8"/>
    <s v="NO TIENE L3OUT"/>
    <n v="152"/>
    <n v="96"/>
  </r>
  <r>
    <n v="413"/>
    <x v="1"/>
    <x v="253"/>
    <s v="eth1/38"/>
    <x v="0"/>
    <x v="0"/>
    <x v="0"/>
    <s v="To-uxingemc1 ldom2 uxsmart04"/>
    <x v="6"/>
    <b v="0"/>
    <s v="No está en VPC"/>
    <n v="413"/>
    <s v="INTPG_ACC_413_1.38"/>
    <s v="ISEL-1.38"/>
    <n v="1"/>
    <s v="NO TIENE L3OUT"/>
    <n v="126"/>
    <n v="96"/>
  </r>
  <r>
    <n v="403"/>
    <x v="1"/>
    <x v="254"/>
    <s v="eth1/38"/>
    <x v="0"/>
    <x v="0"/>
    <x v="0"/>
    <s v="TO-ITHFDLMCLWLCN01-Principal"/>
    <x v="6"/>
    <b v="0"/>
    <s v="No está en VPC"/>
    <n v="403"/>
    <s v="INTPG_ACC_403_1.38"/>
    <s v="ISEL-1.38"/>
    <n v="1"/>
    <s v="NO TIENE L3OUT"/>
    <n v="150"/>
    <n v="96"/>
  </r>
  <r>
    <n v="125"/>
    <x v="0"/>
    <x v="255"/>
    <s v="eth1/38"/>
    <x v="0"/>
    <x v="0"/>
    <x v="0"/>
    <s v="ixtossgw1_3"/>
    <x v="6"/>
    <b v="0"/>
    <s v="No está en VPC"/>
    <n v="125"/>
    <s v="INTPG_ACC_125_1.38"/>
    <s v="ISEL-1.38"/>
    <n v="1"/>
    <s v="NO TIENE L3OUT"/>
    <n v="72"/>
    <n v="96"/>
  </r>
  <r>
    <n v="166"/>
    <x v="0"/>
    <x v="256"/>
    <s v="eth1/38"/>
    <x v="0"/>
    <x v="0"/>
    <x v="0"/>
    <s v="NOMINA_rhprd"/>
    <x v="6"/>
    <b v="0"/>
    <s v="No está en VPC"/>
    <n v="166"/>
    <s v="INTPG_ACC_166_1.38"/>
    <s v="ISEL-1.38"/>
    <n v="1"/>
    <s v="NO TIENE L3OUT"/>
    <n v="84"/>
    <n v="96"/>
  </r>
  <r>
    <n v="111"/>
    <x v="0"/>
    <x v="257"/>
    <s v="eth1/38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38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38"/>
    <x v="0"/>
    <x v="0"/>
    <x v="0"/>
    <m/>
    <x v="6"/>
    <b v="0"/>
    <s v="No está en VPC"/>
    <n v="106"/>
    <s v="INTPG_PC_106_1.35-38"/>
    <s v="ISEL-1.38"/>
    <n v="1"/>
    <s v="NO TIENE L3OUT"/>
    <n v="122"/>
    <n v="96"/>
  </r>
  <r>
    <n v="126"/>
    <x v="0"/>
    <x v="260"/>
    <s v="eth1/38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38"/>
    <x v="0"/>
    <x v="0"/>
    <x v="0"/>
    <s v="ITHPA01_eth1_IPMP-Pasiva"/>
    <x v="6"/>
    <b v="0"/>
    <s v="No está en VPC"/>
    <n v="425"/>
    <s v="INTPG_ACC_425_1.38"/>
    <s v="ISEL-1.38"/>
    <n v="1"/>
    <s v="NO TIENE L3OUT"/>
    <n v="86"/>
    <n v="96"/>
  </r>
  <r>
    <n v="151"/>
    <x v="0"/>
    <x v="262"/>
    <s v="eth1/38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38"/>
    <x v="0"/>
    <x v="0"/>
    <x v="0"/>
    <s v="SecAnLG_iDrac_04-Colector_R9-SA_IXTSALG_H9SA"/>
    <x v="6"/>
    <b v="0"/>
    <s v="No está en VPC"/>
    <n v="430"/>
    <s v="INTPG_ACC_430_1.38"/>
    <s v="ISEL-1.38"/>
    <n v="1"/>
    <s v="NO TIENE L3OUT"/>
    <n v="86"/>
    <n v="96"/>
  </r>
  <r>
    <n v="419"/>
    <x v="1"/>
    <x v="264"/>
    <s v="eth1/38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38"/>
    <x v="0"/>
    <x v="0"/>
    <x v="0"/>
    <s v="SNA TEST BED"/>
    <x v="6"/>
    <b v="0"/>
    <s v="No está en VPC"/>
    <n v="155"/>
    <s v="INTPG_ACC_155_1.38"/>
    <s v="ISEL-1.38"/>
    <n v="0"/>
    <s v="L3OUT-SNA-SITE-TESTBED-BGP"/>
    <n v="198"/>
    <n v="96"/>
  </r>
  <r>
    <n v="409"/>
    <x v="1"/>
    <x v="266"/>
    <s v="eth1/38"/>
    <x v="0"/>
    <x v="0"/>
    <x v="0"/>
    <s v="Uxcppdes"/>
    <x v="6"/>
    <b v="0"/>
    <s v="No está en VPC"/>
    <n v="409"/>
    <s v="INTPG_ACC_409_1.38"/>
    <s v="ISEL-1.38"/>
    <n v="1"/>
    <s v="NO TIENE L3OUT"/>
    <n v="128"/>
    <n v="96"/>
  </r>
  <r>
    <n v="422"/>
    <x v="1"/>
    <x v="267"/>
    <s v="eth1/38"/>
    <x v="0"/>
    <x v="0"/>
    <x v="0"/>
    <s v="ITHRTC4AEN2OA2"/>
    <x v="6"/>
    <b v="0"/>
    <s v="No está en VPC"/>
    <n v="422"/>
    <s v="INTPG_ACC_422_1.38"/>
    <s v="ISEL-1.38"/>
    <n v="1"/>
    <s v="NO TIENE L3OUT"/>
    <n v="182"/>
    <n v="96"/>
  </r>
  <r>
    <n v="436"/>
    <x v="1"/>
    <x v="268"/>
    <s v="eth1/38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38"/>
    <x v="0"/>
    <x v="0"/>
    <x v="0"/>
    <s v="IXTPF1"/>
    <x v="6"/>
    <b v="0"/>
    <s v="No está en VPC"/>
    <n v="410"/>
    <s v="INTPG_ACC_410_1.38"/>
    <s v="ISEL-1.38"/>
    <n v="1"/>
    <s v="NO TIENE L3OUT"/>
    <n v="178"/>
    <n v="96"/>
  </r>
  <r>
    <n v="161"/>
    <x v="0"/>
    <x v="270"/>
    <s v="eth1/38"/>
    <x v="0"/>
    <x v="1"/>
    <x v="5"/>
    <s v="sfmedt04_CLIENT1"/>
    <x v="6"/>
    <b v="0"/>
    <s v="No está en VPC"/>
    <n v="161"/>
    <s v="INTPG_VPC_161_1.38_163_1.43"/>
    <s v="ISEL-1.38"/>
    <n v="1"/>
    <s v="NO TIENE L3OUT"/>
    <n v="102"/>
    <n v="96"/>
  </r>
  <r>
    <n v="411"/>
    <x v="1"/>
    <x v="271"/>
    <s v="eth1/38"/>
    <x v="0"/>
    <x v="0"/>
    <x v="0"/>
    <s v="lagidmhlapvp12_produccion1"/>
    <x v="6"/>
    <b v="0"/>
    <s v="No está en VPC"/>
    <n v="411"/>
    <s v="INTPG_VPC_411_1.36-39_413_1.29-32"/>
    <s v="ISEL-1.38"/>
    <n v="2"/>
    <s v="NO TIENE L3OUT"/>
    <n v="96"/>
    <n v="96"/>
  </r>
  <r>
    <n v="116"/>
    <x v="0"/>
    <x v="272"/>
    <s v="eth1/38"/>
    <x v="0"/>
    <x v="0"/>
    <x v="0"/>
    <s v="DATOS NETCRACKER"/>
    <x v="6"/>
    <b v="0"/>
    <s v="No está en VPC"/>
    <n v="116"/>
    <s v="INTPG_ACC_116_1.38"/>
    <s v="ISEL-1.38"/>
    <n v="1"/>
    <s v="NO TIENE L3OUT"/>
    <n v="148"/>
    <n v="96"/>
  </r>
  <r>
    <n v="412"/>
    <x v="1"/>
    <x v="273"/>
    <s v="eth1/38"/>
    <x v="0"/>
    <x v="1"/>
    <x v="1"/>
    <s v="HNMD101B"/>
    <x v="6"/>
    <b v="0"/>
    <s v="No está en VPC"/>
    <n v="412"/>
    <s v="INTPG_ACC_412_1.38"/>
    <s v="ISEL-1.38"/>
    <n v="1"/>
    <s v="NO TIENE L3OUT"/>
    <n v="126"/>
    <n v="96"/>
  </r>
  <r>
    <n v="120"/>
    <x v="0"/>
    <x v="274"/>
    <s v="eth1/38"/>
    <x v="0"/>
    <x v="0"/>
    <x v="0"/>
    <s v="Registro Nacional de Celulares"/>
    <x v="6"/>
    <b v="0"/>
    <s v="No está en VPC"/>
    <n v="120"/>
    <s v="INTPG_ACC_120_1.38"/>
    <s v="ISEL-1.38"/>
    <n v="1"/>
    <s v="NO TIENE L3OUT"/>
    <n v="158"/>
    <n v="96"/>
  </r>
  <r>
    <n v="404"/>
    <x v="1"/>
    <x v="275"/>
    <s v="eth1/38"/>
    <x v="0"/>
    <x v="0"/>
    <x v="0"/>
    <s v="DESC"/>
    <x v="6"/>
    <b v="0"/>
    <s v="No está en VPC"/>
    <n v="404"/>
    <s v="INTPG_PC_404_1.37-40"/>
    <s v="ISEL-1.38"/>
    <n v="4"/>
    <s v="NO TIENE L3OUT"/>
    <n v="92"/>
    <n v="96"/>
  </r>
  <r>
    <n v="167"/>
    <x v="0"/>
    <x v="276"/>
    <s v="eth1/38"/>
    <x v="0"/>
    <x v="1"/>
    <x v="1"/>
    <s v="9UCS-GEO-IXTLA-SERV1"/>
    <x v="6"/>
    <b v="0"/>
    <s v="No está en VPC"/>
    <n v="167"/>
    <s v="INTPG_ACC_167_1.38"/>
    <s v="ISEL-1.38"/>
    <n v="1"/>
    <s v="NO TIENE L3OUT"/>
    <n v="68"/>
    <n v="96"/>
  </r>
  <r>
    <n v="428"/>
    <x v="1"/>
    <x v="277"/>
    <s v="eth1/38"/>
    <x v="0"/>
    <x v="0"/>
    <x v="0"/>
    <s v="RLPNOVB02"/>
    <x v="6"/>
    <b v="0"/>
    <s v="No está en VPC"/>
    <n v="428"/>
    <s v="INTPG_ACC_428_1.38"/>
    <s v="ISEL-1.38"/>
    <n v="1"/>
    <s v="NO TIENE L3OUT"/>
    <n v="102"/>
    <n v="96"/>
  </r>
  <r>
    <n v="128"/>
    <x v="0"/>
    <x v="0"/>
    <s v="eth1/39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39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39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39"/>
    <x v="0"/>
    <x v="0"/>
    <x v="0"/>
    <s v="DESC"/>
    <x v="0"/>
    <b v="0"/>
    <s v="No está en VPC"/>
    <n v="101"/>
    <s v="INTPG_PC_101_1.39-40"/>
    <s v="ISEL-1.39"/>
    <n v="1"/>
    <s v="NO TIENE L3OUT"/>
    <n v="114"/>
    <n v="54"/>
  </r>
  <r>
    <n v="160"/>
    <x v="0"/>
    <x v="4"/>
    <s v="eth1/39"/>
    <x v="0"/>
    <x v="1"/>
    <x v="1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39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39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39"/>
    <x v="0"/>
    <x v="1"/>
    <x v="3"/>
    <s v="PRUEBA OSPF SNA"/>
    <x v="0"/>
    <b v="0"/>
    <s v="No está en VPC"/>
    <n v="401"/>
    <s v="INTPG_ACC_401_1.39"/>
    <s v="ISEL-1.39"/>
    <n v="0"/>
    <s v="L3OUT-OSPF-TEST-2"/>
    <n v="40"/>
    <n v="54"/>
  </r>
  <r>
    <n v="402"/>
    <x v="1"/>
    <x v="8"/>
    <s v="eth1/39"/>
    <x v="0"/>
    <x v="1"/>
    <x v="3"/>
    <m/>
    <x v="0"/>
    <b v="0"/>
    <s v="No está en VPC"/>
    <n v="402"/>
    <s v="INTP_ACC_402_1.39"/>
    <s v="ISEL-1.39"/>
    <n v="0"/>
    <s v="NO TIENE L3OUT"/>
    <n v="36"/>
    <n v="54"/>
  </r>
  <r>
    <n v="130"/>
    <x v="0"/>
    <x v="11"/>
    <s v="eth1/39"/>
    <x v="0"/>
    <x v="0"/>
    <x v="0"/>
    <s v="ITHFHWHSMTLCN04-LOM  P1"/>
    <x v="0"/>
    <b v="0"/>
    <s v="No está en VPC"/>
    <n v="130"/>
    <s v="INTPG_ACC_130_1.39"/>
    <s v="ISEL-1.39"/>
    <n v="9"/>
    <s v="NO TIENE L3OUT"/>
    <n v="128"/>
    <n v="54"/>
  </r>
  <r>
    <n v="150"/>
    <x v="0"/>
    <x v="12"/>
    <s v="eth1/39"/>
    <x v="0"/>
    <x v="0"/>
    <x v="0"/>
    <s v="DESC"/>
    <x v="0"/>
    <b v="0"/>
    <s v="No está en VPC"/>
    <n v="150"/>
    <s v="INTPG_PC_150_1.39-40"/>
    <s v="ISEL-1.39"/>
    <n v="1"/>
    <s v="NO TIENE L3OUT"/>
    <n v="118"/>
    <n v="54"/>
  </r>
  <r>
    <n v="131"/>
    <x v="0"/>
    <x v="13"/>
    <s v="eth1/39"/>
    <x v="0"/>
    <x v="0"/>
    <x v="0"/>
    <s v="ITHFHWHSMTLCN04-LOM  P2"/>
    <x v="0"/>
    <b v="0"/>
    <s v="No está en VPC"/>
    <n v="131"/>
    <s v="INTPG_ACC_131_1.39"/>
    <s v="ISEL-1.39"/>
    <n v="9"/>
    <s v="NO TIENE L3OUT"/>
    <n v="126"/>
    <n v="54"/>
  </r>
  <r>
    <n v="424"/>
    <x v="1"/>
    <x v="18"/>
    <s v="eth1/39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39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39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39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39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39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39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39"/>
    <x v="0"/>
    <x v="0"/>
    <x v="0"/>
    <s v="TO-SFF2MEDP04-PRINCIPAL"/>
    <x v="0"/>
    <b v="0"/>
    <s v="No está en VPC"/>
    <n v="431"/>
    <s v="INTPG_ACC_431_1.39"/>
    <s v="ISEL-1.39"/>
    <n v="1"/>
    <s v="NO TIENE L3OUT"/>
    <n v="46"/>
    <n v="54"/>
  </r>
  <r>
    <n v="433"/>
    <x v="1"/>
    <x v="27"/>
    <s v="eth1/39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39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39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39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39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39"/>
    <x v="1"/>
    <x v="1"/>
    <x v="3"/>
    <m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39"/>
    <x v="1"/>
    <x v="1"/>
    <x v="3"/>
    <m/>
    <x v="0"/>
    <b v="0"/>
    <s v="No está en VPC"/>
    <n v="712"/>
    <s v="NO EXISTE PG"/>
    <s v="NO EXISTE ISEL"/>
    <n v="0"/>
    <s v="NO TIENE L3OUT"/>
    <n v="32"/>
    <n v="54"/>
  </r>
  <r>
    <n v="719"/>
    <x v="2"/>
    <x v="34"/>
    <s v="eth1/39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39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39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39"/>
    <x v="1"/>
    <x v="1"/>
    <x v="3"/>
    <m/>
    <x v="0"/>
    <b v="0"/>
    <s v="No está en VPC"/>
    <n v="711"/>
    <s v="NO EXISTE PG"/>
    <s v="NO EXISTE ISEL"/>
    <n v="0"/>
    <s v="NO TIENE L3OUT"/>
    <n v="16"/>
    <n v="54"/>
  </r>
  <r>
    <n v="716"/>
    <x v="2"/>
    <x v="38"/>
    <s v="eth1/39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39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39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39"/>
    <x v="0"/>
    <x v="0"/>
    <x v="0"/>
    <s v="Proyecto Arieso"/>
    <x v="0"/>
    <b v="0"/>
    <s v="No está en VPC"/>
    <n v="446"/>
    <s v="INTPG_VPC_444_1.37-40_446_1.37-40"/>
    <s v="ISEL-1.39"/>
    <n v="16"/>
    <s v="NO TIENE L3OUT"/>
    <n v="198"/>
    <n v="54"/>
  </r>
  <r>
    <n v="444"/>
    <x v="1"/>
    <x v="42"/>
    <s v="eth1/39"/>
    <x v="0"/>
    <x v="0"/>
    <x v="0"/>
    <s v="Proyecto Arieso"/>
    <x v="0"/>
    <b v="0"/>
    <s v="No está en VPC"/>
    <n v="444"/>
    <s v="INTPG_VPC_444_1.37-40_446_1.37-40"/>
    <s v="ISEL-1.39"/>
    <n v="16"/>
    <s v="NO TIENE L3OUT"/>
    <n v="234"/>
    <n v="54"/>
  </r>
  <r>
    <n v="701"/>
    <x v="2"/>
    <x v="43"/>
    <s v="eth1/39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39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39"/>
    <x v="0"/>
    <x v="1"/>
    <x v="3"/>
    <s v="TO-ITHFDLROAMRAP01-PRINCIPAL"/>
    <x v="0"/>
    <b v="0"/>
    <s v="No está en VPC"/>
    <n v="448"/>
    <s v="INTPG_ACC_448_1.39"/>
    <s v="ISEL-1.39"/>
    <n v="1"/>
    <s v="NO TIENE L3OUT"/>
    <n v="46"/>
    <n v="54"/>
  </r>
  <r>
    <n v="704"/>
    <x v="2"/>
    <x v="46"/>
    <s v="eth1/39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39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39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39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39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39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39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39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39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39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39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39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39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39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39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39"/>
    <x v="0"/>
    <x v="1"/>
    <x v="1"/>
    <m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39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39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39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39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39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39"/>
    <x v="0"/>
    <x v="1"/>
    <x v="3"/>
    <s v="CLOUD OPS:ithhwcop01st01ce04:A IOM1 Smart IO P0"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39"/>
    <x v="1"/>
    <x v="1"/>
    <x v="3"/>
    <m/>
    <x v="0"/>
    <b v="0"/>
    <s v="No está en VPC"/>
    <n v="780"/>
    <s v="NO EXISTE PG"/>
    <s v="NO EXISTE ISEL"/>
    <n v="0"/>
    <s v="NO TIENE L3OUT"/>
    <n v="26"/>
    <n v="54"/>
  </r>
  <r>
    <n v="812"/>
    <x v="2"/>
    <x v="70"/>
    <s v="eth1/39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39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39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39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39"/>
    <x v="0"/>
    <x v="0"/>
    <x v="0"/>
    <s v="LINK_TO_ITHHWCRMPEN01 /E1-10GE 1 /Principal"/>
    <x v="0"/>
    <b v="0"/>
    <s v="No está en VPC"/>
    <n v="824"/>
    <s v="INTPG_VPC_819_1.39_46_824_1.39_46"/>
    <s v="ISEL-1.39"/>
    <n v="9"/>
    <s v="NO TIENE L3OUT"/>
    <n v="70"/>
    <n v="54"/>
  </r>
  <r>
    <n v="819"/>
    <x v="2"/>
    <x v="75"/>
    <s v="eth1/39"/>
    <x v="0"/>
    <x v="0"/>
    <x v="0"/>
    <s v="LINK_TO_ITHHWCRMPEN01 /E1-10GE 2 /Redundante"/>
    <x v="0"/>
    <b v="0"/>
    <s v="No está en VPC"/>
    <n v="819"/>
    <s v="INTPG_VPC_819_1.39_46_824_1.39_46"/>
    <s v="ISEL-1.39"/>
    <n v="9"/>
    <s v="NO TIENE L3OUT"/>
    <n v="70"/>
    <n v="54"/>
  </r>
  <r>
    <n v="737"/>
    <x v="2"/>
    <x v="76"/>
    <s v="eth1/39"/>
    <x v="0"/>
    <x v="1"/>
    <x v="1"/>
    <m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39"/>
    <x v="0"/>
    <x v="0"/>
    <x v="0"/>
    <s v="LINK_TO_ITHFHWCRMPLCN113 / Slot1.3_30 / Principal"/>
    <x v="0"/>
    <b v="0"/>
    <s v="No está en VPC"/>
    <n v="844"/>
    <s v="INTPG_ACC_844_1.39"/>
    <s v="ISEL-1.39"/>
    <n v="1"/>
    <s v="NO TIENE L3OUT"/>
    <n v="282"/>
    <n v="54"/>
  </r>
  <r>
    <n v="843"/>
    <x v="2"/>
    <x v="78"/>
    <s v="eth1/39"/>
    <x v="0"/>
    <x v="0"/>
    <x v="0"/>
    <s v="A_ITHFHWSEQLHDPS81_Principal"/>
    <x v="0"/>
    <b v="0"/>
    <s v="No está en VPC"/>
    <n v="843"/>
    <s v="INTPG_ACC_843_1.39"/>
    <s v="ISEL-1.39"/>
    <n v="1"/>
    <s v="NO TIENE L3OUT"/>
    <n v="38"/>
    <n v="54"/>
  </r>
  <r>
    <n v="797"/>
    <x v="2"/>
    <x v="79"/>
    <s v="eth1/39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39"/>
    <x v="0"/>
    <x v="0"/>
    <x v="0"/>
    <s v="LINK_TO_ITHFHWCBSPSHD42 / Slot7.3_22 / Redundante"/>
    <x v="0"/>
    <b v="0"/>
    <s v="No está en VPC"/>
    <n v="839"/>
    <s v="INTPG_VPC_834_1.39_839_1.39"/>
    <s v="ISEL-1.39"/>
    <n v="1"/>
    <s v="NO TIENE L3OUT"/>
    <n v="0"/>
    <n v="54"/>
  </r>
  <r>
    <n v="847"/>
    <x v="2"/>
    <x v="81"/>
    <s v="eth1/39"/>
    <x v="0"/>
    <x v="0"/>
    <x v="0"/>
    <s v="LINK_TO_ITHFHWCRMPSBDP10 / Slot7.2_4 / Redundante"/>
    <x v="0"/>
    <b v="0"/>
    <s v="No está en VPC"/>
    <n v="847"/>
    <s v="INTPG_VPC_854_1.39_847_1.39"/>
    <s v="ISEL-1.39"/>
    <n v="2"/>
    <s v="NO TIENE L3OUT"/>
    <n v="204"/>
    <n v="54"/>
  </r>
  <r>
    <n v="848"/>
    <x v="2"/>
    <x v="82"/>
    <s v="eth1/39"/>
    <x v="0"/>
    <x v="0"/>
    <x v="0"/>
    <s v="LINK_TO_ITHFHWCRMPLCN167 / Slot7.2_36 / Redundante"/>
    <x v="0"/>
    <b v="0"/>
    <s v="No está en VPC"/>
    <n v="848"/>
    <s v="INTPG_ACC_848_1.39"/>
    <s v="ISEL-1.39"/>
    <n v="2"/>
    <s v="NO TIENE L3OUT"/>
    <n v="254"/>
    <n v="54"/>
  </r>
  <r>
    <n v="846"/>
    <x v="2"/>
    <x v="83"/>
    <s v="eth1/39"/>
    <x v="0"/>
    <x v="0"/>
    <x v="0"/>
    <s v="LINK_TO_ITHFHWCRMPLCN84 / Slot1.3_26 / Principal"/>
    <x v="0"/>
    <b v="0"/>
    <s v="No está en VPC"/>
    <n v="846"/>
    <s v="INTPG_ACC_846_1.39"/>
    <s v="ISEL-1.39"/>
    <n v="1"/>
    <s v="NO TIENE L3OUT"/>
    <n v="242"/>
    <n v="54"/>
  </r>
  <r>
    <n v="838"/>
    <x v="2"/>
    <x v="84"/>
    <s v="eth1/39"/>
    <x v="0"/>
    <x v="0"/>
    <x v="0"/>
    <s v="A_ITHFHWSEQLHDPS81_Redundante"/>
    <x v="0"/>
    <b v="0"/>
    <s v="No está en VPC"/>
    <n v="838"/>
    <s v="INTPG_ACC_838_1.39"/>
    <s v="ISEL-1.39"/>
    <n v="1"/>
    <s v="NO TIENE L3OUT"/>
    <n v="38"/>
    <n v="54"/>
  </r>
  <r>
    <n v="849"/>
    <x v="2"/>
    <x v="85"/>
    <s v="eth1/39"/>
    <x v="0"/>
    <x v="0"/>
    <x v="0"/>
    <s v="LINK_TO_ITHFHWCRMPLCN147 / Slot7.2_28 / Redundante"/>
    <x v="0"/>
    <b v="0"/>
    <s v="No está en VPC"/>
    <n v="849"/>
    <s v="INTPG_ACC_849_1.39"/>
    <s v="ISEL-1.39"/>
    <n v="2"/>
    <s v="NO TIENE L3OUT"/>
    <n v="286"/>
    <n v="54"/>
  </r>
  <r>
    <n v="845"/>
    <x v="2"/>
    <x v="86"/>
    <s v="eth1/39"/>
    <x v="0"/>
    <x v="0"/>
    <x v="0"/>
    <s v="LINK_TO_ITHFHWCRMPLCN97 / Slot1.1_26 / Principal"/>
    <x v="0"/>
    <b v="0"/>
    <s v="No está en VPC"/>
    <n v="845"/>
    <s v="INTPG_ACC_845_1.39"/>
    <s v="ISEL-1.39"/>
    <n v="6"/>
    <s v="NO TIENE L3OUT"/>
    <n v="258"/>
    <n v="54"/>
  </r>
  <r>
    <n v="873"/>
    <x v="2"/>
    <x v="87"/>
    <s v="eth1/39"/>
    <x v="0"/>
    <x v="0"/>
    <x v="0"/>
    <s v="To_ITHFHWCRMDLCN36_Redundante"/>
    <x v="0"/>
    <b v="0"/>
    <s v="No está en VPC"/>
    <n v="873"/>
    <s v="INTPG_ACC_873_1.39"/>
    <s v="ISEL-1.39"/>
    <n v="1"/>
    <s v="NO TIENE L3OUT"/>
    <n v="248"/>
    <n v="54"/>
  </r>
  <r>
    <n v="864"/>
    <x v="2"/>
    <x v="88"/>
    <s v="eth1/39"/>
    <x v="0"/>
    <x v="0"/>
    <x v="0"/>
    <s v="To_VPC_2DCBSD_WR48_3"/>
    <x v="0"/>
    <b v="0"/>
    <s v="No está en VPC"/>
    <n v="864"/>
    <s v="INTPG_VPC_859_1.39_864_1.39"/>
    <s v="ISEL-1.39"/>
    <n v="1"/>
    <s v="NO TIENE L3OUT"/>
    <n v="0"/>
    <n v="54"/>
  </r>
  <r>
    <n v="836"/>
    <x v="2"/>
    <x v="89"/>
    <s v="eth1/39"/>
    <x v="0"/>
    <x v="0"/>
    <x v="0"/>
    <s v="LINK_TO_ITHFHWCBSPSHD27 / Slot1.2_18 / Principal"/>
    <x v="0"/>
    <b v="0"/>
    <s v="No está en VPC"/>
    <n v="836"/>
    <s v="INTPG_VPC_836_1.39_841_1.39"/>
    <s v="ISEL-1.39"/>
    <n v="1"/>
    <s v="NO TIENE L3OUT"/>
    <n v="0"/>
    <n v="54"/>
  </r>
  <r>
    <n v="834"/>
    <x v="2"/>
    <x v="90"/>
    <s v="eth1/39"/>
    <x v="0"/>
    <x v="0"/>
    <x v="0"/>
    <s v="LINK_TO_ITHFHWCBSPSHD42 / Slot1.3_22 / Principal"/>
    <x v="0"/>
    <b v="0"/>
    <s v="No está en VPC"/>
    <n v="834"/>
    <s v="INTPG_VPC_834_1.39_839_1.39"/>
    <s v="ISEL-1.39"/>
    <n v="1"/>
    <s v="NO TIENE L3OUT"/>
    <n v="0"/>
    <n v="54"/>
  </r>
  <r>
    <n v="872"/>
    <x v="2"/>
    <x v="91"/>
    <s v="eth1/39"/>
    <x v="0"/>
    <x v="0"/>
    <x v="0"/>
    <s v="TO_ITHFHWCRMDLCN50_Principal"/>
    <x v="0"/>
    <b v="0"/>
    <s v="No está en VPC"/>
    <n v="872"/>
    <s v="INTPG_ACC_872_1.39"/>
    <s v="ISEL-1.39"/>
    <n v="6"/>
    <s v="NO TIENE L3OUT"/>
    <n v="288"/>
    <n v="54"/>
  </r>
  <r>
    <n v="842"/>
    <x v="2"/>
    <x v="92"/>
    <s v="eth1/39"/>
    <x v="0"/>
    <x v="0"/>
    <x v="0"/>
    <s v="LINK_To_ITHFHWCBSPSHD21 / Slot7.1_18 / Redundante"/>
    <x v="0"/>
    <b v="0"/>
    <s v="No está en VPC"/>
    <n v="842"/>
    <s v="INTPG_VPC_837_1.39_842_1.39"/>
    <s v="ISEL-1.39"/>
    <n v="2"/>
    <s v="NO TIENE L3OUT"/>
    <n v="8"/>
    <n v="54"/>
  </r>
  <r>
    <n v="828"/>
    <x v="2"/>
    <x v="93"/>
    <s v="eth1/39"/>
    <x v="0"/>
    <x v="0"/>
    <x v="0"/>
    <s v="LINK_TO_ITHHWD6KV60010DKC01 /CtrlA_IOM1.P0 /Principal"/>
    <x v="0"/>
    <b v="0"/>
    <s v="No está en VPC"/>
    <n v="828"/>
    <s v="INTPG_ACC_828_1.39"/>
    <s v="ISEL-1.39"/>
    <n v="1"/>
    <s v="NO TIENE L3OUT"/>
    <n v="192"/>
    <n v="54"/>
  </r>
  <r>
    <n v="870"/>
    <x v="2"/>
    <x v="94"/>
    <s v="eth1/39"/>
    <x v="0"/>
    <x v="0"/>
    <x v="0"/>
    <s v="To_ITHFHWCRMDLCN36_Principal"/>
    <x v="0"/>
    <b v="0"/>
    <s v="No está en VPC"/>
    <n v="870"/>
    <s v="INTPG_ACC_870_1.39"/>
    <s v="ISEL-1.39"/>
    <n v="1"/>
    <s v="NO TIENE L3OUT"/>
    <n v="248"/>
    <n v="54"/>
  </r>
  <r>
    <n v="866"/>
    <x v="2"/>
    <x v="95"/>
    <s v="eth1/39"/>
    <x v="0"/>
    <x v="0"/>
    <x v="0"/>
    <s v="To_VPC_2DCBSD_BD15_2"/>
    <x v="0"/>
    <b v="0"/>
    <s v="No está en VPC"/>
    <n v="866"/>
    <s v="INTPG_VPC_861_1.39_866_1.39"/>
    <s v="ISEL-1.39"/>
    <n v="1"/>
    <s v="NO TIENE L3OUT"/>
    <n v="8"/>
    <n v="54"/>
  </r>
  <r>
    <n v="862"/>
    <x v="2"/>
    <x v="96"/>
    <s v="eth1/39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39"/>
    <x v="0"/>
    <x v="0"/>
    <x v="0"/>
    <s v="LINK_TO_ITHFHWCRMPLCN167 / Slot1.2_36 / Principal"/>
    <x v="0"/>
    <b v="0"/>
    <s v="No está en VPC"/>
    <n v="855"/>
    <s v="INTPG_ACC_855_1.39"/>
    <s v="ISEL-1.39"/>
    <n v="2"/>
    <s v="NO TIENE L3OUT"/>
    <n v="254"/>
    <n v="54"/>
  </r>
  <r>
    <n v="871"/>
    <x v="2"/>
    <x v="98"/>
    <s v="eth1/39"/>
    <x v="0"/>
    <x v="0"/>
    <x v="0"/>
    <s v="To_ITHFHWCRMDLCN66_Principal"/>
    <x v="0"/>
    <b v="0"/>
    <s v="No está en VPC"/>
    <n v="871"/>
    <s v="INTPG_ACC_871_1.39"/>
    <s v="ISEL-1.39"/>
    <n v="1"/>
    <s v="NO TIENE L3OUT"/>
    <n v="246"/>
    <n v="54"/>
  </r>
  <r>
    <n v="841"/>
    <x v="2"/>
    <x v="99"/>
    <s v="eth1/39"/>
    <x v="0"/>
    <x v="0"/>
    <x v="0"/>
    <s v="LINK_TO_ITHFHWCBSPSHD27 / Slot7.2_18 / Redundante"/>
    <x v="0"/>
    <b v="0"/>
    <s v="No está en VPC"/>
    <n v="841"/>
    <s v="INTPG_VPC_836_1.39_841_1.39"/>
    <s v="ISEL-1.39"/>
    <n v="1"/>
    <s v="NO TIENE L3OUT"/>
    <n v="0"/>
    <n v="54"/>
  </r>
  <r>
    <n v="868"/>
    <x v="2"/>
    <x v="100"/>
    <s v="eth1/39"/>
    <x v="0"/>
    <x v="0"/>
    <x v="0"/>
    <s v="To_ITHFHWCRMDLCN66_Redundante"/>
    <x v="0"/>
    <b v="0"/>
    <s v="No está en VPC"/>
    <n v="868"/>
    <s v="INTPG_ACC_868_1.39"/>
    <s v="ISEL-1.39"/>
    <n v="1"/>
    <s v="NO TIENE L3OUT"/>
    <n v="246"/>
    <n v="54"/>
  </r>
  <r>
    <n v="869"/>
    <x v="2"/>
    <x v="101"/>
    <s v="eth1/39"/>
    <x v="0"/>
    <x v="0"/>
    <x v="0"/>
    <s v="TO_ITHFHWCRMDLCN50_Redundante"/>
    <x v="0"/>
    <b v="0"/>
    <s v="No está en VPC"/>
    <n v="869"/>
    <s v="INTPG_ACC_869_1.39"/>
    <s v="ISEL-1.39"/>
    <n v="6"/>
    <s v="NO TIENE L3OUT"/>
    <n v="288"/>
    <n v="54"/>
  </r>
  <r>
    <n v="861"/>
    <x v="2"/>
    <x v="102"/>
    <s v="eth1/39"/>
    <x v="0"/>
    <x v="0"/>
    <x v="0"/>
    <s v="To_VPC_2DCBSD_BD15_2"/>
    <x v="0"/>
    <b v="0"/>
    <s v="No está en VPC"/>
    <n v="861"/>
    <s v="INTPG_VPC_861_1.39_866_1.39"/>
    <s v="ISEL-1.39"/>
    <n v="1"/>
    <s v="NO TIENE L3OUT"/>
    <n v="8"/>
    <n v="54"/>
  </r>
  <r>
    <n v="874"/>
    <x v="2"/>
    <x v="103"/>
    <s v="eth1/39"/>
    <x v="0"/>
    <x v="0"/>
    <x v="0"/>
    <s v="A_ITHFHWSEQLCAS14_Redundante"/>
    <x v="4"/>
    <b v="0"/>
    <s v="No está en VPC"/>
    <n v="874"/>
    <s v="INTPG_ACC_874_1.39"/>
    <s v="ISEL-1.39"/>
    <n v="1"/>
    <s v="NO TIENE L3OUT"/>
    <n v="92"/>
    <n v="54"/>
  </r>
  <r>
    <n v="865"/>
    <x v="2"/>
    <x v="104"/>
    <s v="eth1/39"/>
    <x v="0"/>
    <x v="0"/>
    <x v="0"/>
    <s v="To_VPC_2DCBSD_BD19_3"/>
    <x v="0"/>
    <b v="0"/>
    <s v="No está en VPC"/>
    <n v="865"/>
    <s v="INTPG_VPC_860_1.39_865_1.39"/>
    <s v="ISEL-1.39"/>
    <n v="1"/>
    <s v="NO TIENE L3OUT"/>
    <n v="0"/>
    <n v="54"/>
  </r>
  <r>
    <n v="753"/>
    <x v="2"/>
    <x v="105"/>
    <s v="eth1/39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39"/>
    <x v="0"/>
    <x v="1"/>
    <x v="3"/>
    <m/>
    <x v="0"/>
    <b v="0"/>
    <s v="No está en VPC"/>
    <n v="708"/>
    <s v="NO EXISTE PG"/>
    <s v="NO EXISTE ISEL"/>
    <n v="0"/>
    <s v="NO TIENE L3OUT"/>
    <n v="0"/>
    <n v="54"/>
  </r>
  <r>
    <n v="710"/>
    <x v="2"/>
    <x v="107"/>
    <s v="eth1/39"/>
    <x v="1"/>
    <x v="1"/>
    <x v="3"/>
    <m/>
    <x v="0"/>
    <b v="0"/>
    <s v="No está en VPC"/>
    <n v="710"/>
    <s v="NO EXISTE PG"/>
    <s v="NO EXISTE ISEL"/>
    <n v="0"/>
    <s v="NO TIENE L3OUT"/>
    <n v="16"/>
    <n v="54"/>
  </r>
  <r>
    <n v="713"/>
    <x v="2"/>
    <x v="108"/>
    <s v="eth1/39"/>
    <x v="1"/>
    <x v="1"/>
    <x v="3"/>
    <m/>
    <x v="0"/>
    <b v="0"/>
    <s v="No está en VPC"/>
    <n v="713"/>
    <s v="NO EXISTE PG"/>
    <s v="NO EXISTE ISEL"/>
    <n v="0"/>
    <s v="NO TIENE L3OUT"/>
    <n v="32"/>
    <n v="54"/>
  </r>
  <r>
    <n v="735"/>
    <x v="2"/>
    <x v="109"/>
    <s v="eth1/39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39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39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39"/>
    <x v="1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39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39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39"/>
    <x v="0"/>
    <x v="0"/>
    <x v="0"/>
    <s v="LINK_TO_ITHFHWCBSDSWR19 /Slot4.2 /Principal"/>
    <x v="0"/>
    <b v="0"/>
    <s v="No está en VPC"/>
    <n v="826"/>
    <s v="INTPG_VPC_826_1.39_830_1.39"/>
    <s v="ISEL-1.39"/>
    <n v="1"/>
    <s v="NO TIENE L3OUT"/>
    <n v="12"/>
    <n v="54"/>
  </r>
  <r>
    <n v="726"/>
    <x v="2"/>
    <x v="117"/>
    <s v="eth1/39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39"/>
    <x v="0"/>
    <x v="1"/>
    <x v="1"/>
    <m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39"/>
    <x v="1"/>
    <x v="1"/>
    <x v="3"/>
    <m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39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39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39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39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39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39"/>
    <x v="1"/>
    <x v="1"/>
    <x v="3"/>
    <m/>
    <x v="0"/>
    <b v="0"/>
    <s v="No está en VPC"/>
    <n v="709"/>
    <s v="NO EXISTE PG"/>
    <s v="NO EXISTE ISEL"/>
    <n v="0"/>
    <s v="NO TIENE L3OUT"/>
    <n v="0"/>
    <n v="54"/>
  </r>
  <r>
    <n v="454"/>
    <x v="1"/>
    <x v="126"/>
    <s v="eth1/39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39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39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39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39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39"/>
    <x v="0"/>
    <x v="1"/>
    <x v="1"/>
    <m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39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39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39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39"/>
    <x v="0"/>
    <x v="1"/>
    <x v="3"/>
    <m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39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39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39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39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39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39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39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39"/>
    <x v="0"/>
    <x v="0"/>
    <x v="0"/>
    <s v="CLOUD PASS PAYG F3:ITHHWOSCOPAP024:Slot 1 P1"/>
    <x v="0"/>
    <b v="0"/>
    <s v="No está en VPC"/>
    <n v="774"/>
    <s v="INTPG_VPC_774_1.39_775_1.39"/>
    <s v="ISEL-1.39"/>
    <n v="24"/>
    <s v="NO TIENE L3OUT"/>
    <n v="0"/>
    <n v="54"/>
  </r>
  <r>
    <n v="773"/>
    <x v="2"/>
    <x v="145"/>
    <s v="eth1/39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39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39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39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39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39"/>
    <x v="1"/>
    <x v="1"/>
    <x v="3"/>
    <m/>
    <x v="0"/>
    <b v="0"/>
    <s v="No está en VPC"/>
    <n v="781"/>
    <s v="NO EXISTE PG"/>
    <s v="NO EXISTE ISEL"/>
    <n v="0"/>
    <s v="NO TIENE L3OUT"/>
    <n v="26"/>
    <n v="54"/>
  </r>
  <r>
    <n v="793"/>
    <x v="2"/>
    <x v="151"/>
    <s v="eth1/39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39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39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39"/>
    <x v="1"/>
    <x v="1"/>
    <x v="3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39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39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39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39"/>
    <x v="0"/>
    <x v="1"/>
    <x v="1"/>
    <m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39"/>
    <x v="0"/>
    <x v="0"/>
    <x v="0"/>
    <s v="CLOUD PASS PAYG F3:ITHHWOSCOPAP024:LOM P1"/>
    <x v="0"/>
    <b v="0"/>
    <s v="No está en VPC"/>
    <n v="775"/>
    <s v="INTPG_VPC_774_1.39_775_1.39"/>
    <s v="ISEL-1.39"/>
    <n v="24"/>
    <s v="NO TIENE L3OUT"/>
    <n v="0"/>
    <n v="54"/>
  </r>
  <r>
    <n v="791"/>
    <x v="2"/>
    <x v="160"/>
    <s v="eth1/39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39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39"/>
    <x v="0"/>
    <x v="0"/>
    <x v="0"/>
    <s v="LINK_TO_ITHFHWCBSDSWR19 /Slot6.2 /Redundante"/>
    <x v="0"/>
    <b v="0"/>
    <s v="No está en VPC"/>
    <n v="830"/>
    <s v="INTPG_VPC_826_1.39_830_1.39"/>
    <s v="ISEL-1.39"/>
    <n v="1"/>
    <s v="NO TIENE L3OUT"/>
    <n v="12"/>
    <n v="54"/>
  </r>
  <r>
    <n v="821"/>
    <x v="2"/>
    <x v="163"/>
    <s v="eth1/39"/>
    <x v="0"/>
    <x v="0"/>
    <x v="0"/>
    <s v="LINK_TO_ITHFHWCBSPSWR19 /Slot6.2 /Redundante"/>
    <x v="0"/>
    <b v="0"/>
    <s v="No está en VPC"/>
    <n v="821"/>
    <s v="INTPG_VPC_816_1.39_821_1.39"/>
    <s v="ISEL-1.39"/>
    <n v="1"/>
    <s v="NO TIENE L3OUT"/>
    <n v="0"/>
    <n v="54"/>
  </r>
  <r>
    <n v="738"/>
    <x v="2"/>
    <x v="164"/>
    <s v="eth1/39"/>
    <x v="0"/>
    <x v="1"/>
    <x v="1"/>
    <m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39"/>
    <x v="0"/>
    <x v="0"/>
    <x v="0"/>
    <s v="TO-9S_BESPR_IXTLA3_1"/>
    <x v="0"/>
    <b v="0"/>
    <s v="No está en VPC"/>
    <n v="820"/>
    <s v="INTPG_VPC_820_1.38-41_825_1.38-41"/>
    <s v="ISEL-1.39"/>
    <n v="31"/>
    <s v="NO TIENE L3OUT"/>
    <n v="72"/>
    <n v="54"/>
  </r>
  <r>
    <n v="804"/>
    <x v="2"/>
    <x v="166"/>
    <s v="eth1/39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39"/>
    <x v="0"/>
    <x v="1"/>
    <x v="3"/>
    <s v="CLOUD OPS:ithhwcop01st01ce04:A IOM1 Smart IO P1"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39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39"/>
    <x v="0"/>
    <x v="0"/>
    <x v="0"/>
    <s v="LINK_TO_ITHFHWCBSDSWR29 /10GE.1 /Principal"/>
    <x v="0"/>
    <b v="0"/>
    <s v="No está en VPC"/>
    <n v="827"/>
    <s v="INTPG_VPC_827_1.39_831_1.39"/>
    <s v="ISEL-1.39"/>
    <n v="1"/>
    <s v="NO TIENE L3OUT"/>
    <n v="14"/>
    <n v="54"/>
  </r>
  <r>
    <n v="809"/>
    <x v="2"/>
    <x v="170"/>
    <s v="eth1/39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39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39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39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39"/>
    <x v="1"/>
    <x v="1"/>
    <x v="3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39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39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39"/>
    <x v="0"/>
    <x v="0"/>
    <x v="0"/>
    <s v="LINK_TO_ITHFHWCRMPLCN113 / Slot7.3_30 / Redundante"/>
    <x v="0"/>
    <b v="0"/>
    <s v="No está en VPC"/>
    <n v="851"/>
    <s v="INTPG_ACC_851_1.39"/>
    <s v="ISEL-1.39"/>
    <n v="1"/>
    <s v="NO TIENE L3OUT"/>
    <n v="282"/>
    <n v="54"/>
  </r>
  <r>
    <n v="798"/>
    <x v="2"/>
    <x v="178"/>
    <s v="eth1/39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39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39"/>
    <x v="0"/>
    <x v="0"/>
    <x v="0"/>
    <s v="LINK_TO_ITHFHWCRMPLCN97 / Slot7.1_26 / Redundante"/>
    <x v="0"/>
    <b v="0"/>
    <s v="No está en VPC"/>
    <n v="852"/>
    <s v="INTPG_ACC_852_1.39"/>
    <s v="ISEL-1.39"/>
    <n v="6"/>
    <s v="NO TIENE L3OUT"/>
    <n v="258"/>
    <n v="54"/>
  </r>
  <r>
    <n v="817"/>
    <x v="2"/>
    <x v="181"/>
    <s v="eth1/39"/>
    <x v="0"/>
    <x v="0"/>
    <x v="0"/>
    <s v="LINK_TO_ITHFHWCBSPSWR26 /Slot4.2 /Principal"/>
    <x v="0"/>
    <b v="0"/>
    <s v="No está en VPC"/>
    <n v="817"/>
    <s v="INTPG_VPC_817_1.39_822_1.39"/>
    <s v="ISEL-1.39"/>
    <n v="1"/>
    <s v="NO TIENE L3OUT"/>
    <n v="0"/>
    <n v="54"/>
  </r>
  <r>
    <n v="832"/>
    <x v="2"/>
    <x v="182"/>
    <s v="eth1/39"/>
    <x v="0"/>
    <x v="0"/>
    <x v="0"/>
    <s v="LINK_TO_ITHHWD6KV60010DKC01 /CtrlA_IOM1.P1 /Redundante"/>
    <x v="0"/>
    <b v="0"/>
    <s v="No está en VPC"/>
    <n v="832"/>
    <s v="INTPG_ACC_832_1.39"/>
    <s v="ISEL-1.39"/>
    <n v="1"/>
    <s v="NO TIENE L3OUT"/>
    <n v="192"/>
    <n v="54"/>
  </r>
  <r>
    <n v="816"/>
    <x v="2"/>
    <x v="183"/>
    <s v="eth1/39"/>
    <x v="0"/>
    <x v="0"/>
    <x v="0"/>
    <s v="LINK_TO_ITHFHWCBSPSWR19 /Slot4.2 /Principal"/>
    <x v="0"/>
    <b v="0"/>
    <s v="No está en VPC"/>
    <n v="816"/>
    <s v="INTPG_VPC_816_1.39_821_1.39"/>
    <s v="ISEL-1.39"/>
    <n v="1"/>
    <s v="NO TIENE L3OUT"/>
    <n v="0"/>
    <n v="54"/>
  </r>
  <r>
    <n v="825"/>
    <x v="2"/>
    <x v="184"/>
    <s v="eth1/39"/>
    <x v="0"/>
    <x v="0"/>
    <x v="0"/>
    <s v="TO-9S_BESPR_IXTLA3_1"/>
    <x v="0"/>
    <b v="0"/>
    <s v="No está en VPC"/>
    <n v="825"/>
    <s v="INTPG_VPC_820_1.38-41_825_1.38-41"/>
    <s v="ISEL-1.39"/>
    <n v="31"/>
    <s v="NO TIENE L3OUT"/>
    <n v="72"/>
    <n v="54"/>
  </r>
  <r>
    <n v="800"/>
    <x v="2"/>
    <x v="185"/>
    <s v="eth1/39"/>
    <x v="0"/>
    <x v="0"/>
    <x v="0"/>
    <s v="TO-ITHFDEOCP1LWR08-REDUNDANTE"/>
    <x v="0"/>
    <b v="0"/>
    <s v="No está en VPC"/>
    <n v="800"/>
    <s v="INTPG_ACC_800_1.39"/>
    <s v="ISEL-1.39"/>
    <n v="1"/>
    <s v="NO TIENE L3OUT"/>
    <n v="78"/>
    <n v="54"/>
  </r>
  <r>
    <n v="801"/>
    <x v="2"/>
    <x v="186"/>
    <s v="eth1/39"/>
    <x v="0"/>
    <x v="0"/>
    <x v="0"/>
    <s v="TO-ITHFDEOCP1LWR08-PRINCIPAL"/>
    <x v="0"/>
    <b v="0"/>
    <s v="No está en VPC"/>
    <n v="801"/>
    <s v="INTPG_ACC_801_1.39"/>
    <s v="ISEL-1.39"/>
    <n v="1"/>
    <s v="NO TIENE L3OUT"/>
    <n v="78"/>
    <n v="54"/>
  </r>
  <r>
    <n v="823"/>
    <x v="2"/>
    <x v="187"/>
    <s v="eth1/39"/>
    <x v="0"/>
    <x v="0"/>
    <x v="0"/>
    <s v="LINK_TO_ITHFHWCBSPSWR37 /Slot5.1 /Redundante"/>
    <x v="0"/>
    <b v="0"/>
    <s v="No está en VPC"/>
    <n v="823"/>
    <s v="INTPG_VPC_818_1.39_823_1.39"/>
    <s v="ISEL-1.39"/>
    <n v="1"/>
    <s v="NO TIENE L3OUT"/>
    <n v="8"/>
    <n v="54"/>
  </r>
  <r>
    <n v="837"/>
    <x v="2"/>
    <x v="188"/>
    <s v="eth1/39"/>
    <x v="0"/>
    <x v="0"/>
    <x v="0"/>
    <s v="LINK_To_ITHFHWCBSPSHD21 / Slot1.1_18 / Principal"/>
    <x v="0"/>
    <b v="0"/>
    <s v="No está en VPC"/>
    <n v="837"/>
    <s v="INTPG_VPC_837_1.39_842_1.39"/>
    <s v="ISEL-1.39"/>
    <n v="2"/>
    <s v="NO TIENE L3OUT"/>
    <n v="8"/>
    <n v="54"/>
  </r>
  <r>
    <n v="867"/>
    <x v="2"/>
    <x v="189"/>
    <s v="eth1/39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39"/>
    <x v="0"/>
    <x v="0"/>
    <x v="0"/>
    <s v="To_ITHFHWCRMDLCN48_Principal"/>
    <x v="0"/>
    <b v="0"/>
    <s v="No está en VPC"/>
    <n v="829"/>
    <s v="INTPG_ACC_829_1.39"/>
    <s v="ISEL-1.39"/>
    <n v="6"/>
    <s v="NO TIENE L3OUT"/>
    <n v="224"/>
    <n v="54"/>
  </r>
  <r>
    <n v="831"/>
    <x v="2"/>
    <x v="191"/>
    <s v="eth1/39"/>
    <x v="0"/>
    <x v="0"/>
    <x v="0"/>
    <s v="LINK_TO_ITHFHWCBSDSWR29 /Slot5.1 /Redundante"/>
    <x v="0"/>
    <b v="0"/>
    <s v="No está en VPC"/>
    <n v="831"/>
    <s v="INTPG_VPC_827_1.39_831_1.39"/>
    <s v="ISEL-1.39"/>
    <n v="1"/>
    <s v="NO TIENE L3OUT"/>
    <n v="14"/>
    <n v="54"/>
  </r>
  <r>
    <n v="802"/>
    <x v="2"/>
    <x v="192"/>
    <s v="eth1/39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39"/>
    <x v="0"/>
    <x v="0"/>
    <x v="0"/>
    <s v="LINK_TO_ITHFHWCBSPSHD35 / Slot1.2_22 / Principal"/>
    <x v="0"/>
    <b v="0"/>
    <s v="No está en VPC"/>
    <n v="835"/>
    <s v="INTPG_VPC_835_1.39_840_1.39"/>
    <s v="ISEL-1.39"/>
    <n v="1"/>
    <s v="NO TIENE L3OUT"/>
    <n v="8"/>
    <n v="54"/>
  </r>
  <r>
    <n v="822"/>
    <x v="2"/>
    <x v="194"/>
    <s v="eth1/39"/>
    <x v="0"/>
    <x v="0"/>
    <x v="0"/>
    <s v="LINK_TO_ITHFHWCBSPSWR26 /Slot6.2 /Redundante"/>
    <x v="0"/>
    <b v="0"/>
    <s v="No está en VPC"/>
    <n v="822"/>
    <s v="INTPG_VPC_817_1.39_822_1.39"/>
    <s v="ISEL-1.39"/>
    <n v="1"/>
    <s v="NO TIENE L3OUT"/>
    <n v="0"/>
    <n v="54"/>
  </r>
  <r>
    <n v="854"/>
    <x v="2"/>
    <x v="195"/>
    <s v="eth1/39"/>
    <x v="0"/>
    <x v="0"/>
    <x v="0"/>
    <s v="LINK_TO_ITHFHWCRMPSBDP10 / Slot1.2_4 / Principal"/>
    <x v="0"/>
    <b v="0"/>
    <s v="No está en VPC"/>
    <n v="854"/>
    <s v="INTPG_VPC_854_1.39_847_1.39"/>
    <s v="ISEL-1.39"/>
    <n v="2"/>
    <s v="NO TIENE L3OUT"/>
    <n v="204"/>
    <n v="54"/>
  </r>
  <r>
    <n v="858"/>
    <x v="2"/>
    <x v="196"/>
    <s v="eth1/39"/>
    <x v="0"/>
    <x v="0"/>
    <x v="0"/>
    <s v="To_VPC_2DCBSD_WR57_3"/>
    <x v="0"/>
    <b v="0"/>
    <s v="No está en VPC"/>
    <n v="858"/>
    <s v="INTPG_VPC_858_1.39_863_1.39"/>
    <s v="ISEL-1.39"/>
    <n v="1"/>
    <s v="NO TIENE L3OUT"/>
    <n v="8"/>
    <n v="54"/>
  </r>
  <r>
    <n v="857"/>
    <x v="2"/>
    <x v="197"/>
    <s v="eth1/39"/>
    <x v="0"/>
    <x v="0"/>
    <x v="0"/>
    <s v="LINKT_TO_ITHFHWCRMPLCN128 / Slot1.2_26 / Principal"/>
    <x v="0"/>
    <b v="0"/>
    <s v="No está en VPC"/>
    <n v="857"/>
    <s v="INTPG_ACC_857_1.39"/>
    <s v="ISEL-1.39"/>
    <n v="2"/>
    <s v="NO TIENE L3OUT"/>
    <n v="288"/>
    <n v="54"/>
  </r>
  <r>
    <n v="859"/>
    <x v="2"/>
    <x v="198"/>
    <s v="eth1/39"/>
    <x v="0"/>
    <x v="0"/>
    <x v="0"/>
    <s v="To_VPC_2DCBSD_WR48_3"/>
    <x v="0"/>
    <b v="0"/>
    <s v="No está en VPC"/>
    <n v="859"/>
    <s v="INTPG_VPC_859_1.39_864_1.39"/>
    <s v="ISEL-1.39"/>
    <n v="1"/>
    <s v="NO TIENE L3OUT"/>
    <n v="0"/>
    <n v="54"/>
  </r>
  <r>
    <n v="833"/>
    <x v="2"/>
    <x v="199"/>
    <s v="eth1/39"/>
    <x v="0"/>
    <x v="0"/>
    <x v="0"/>
    <s v="To_ITHFHWCRMDLCN48_Redundante"/>
    <x v="0"/>
    <b v="0"/>
    <s v="No está en VPC"/>
    <n v="833"/>
    <s v="INTPG_ACC_833_1.39"/>
    <s v="ISEL-1.39"/>
    <n v="6"/>
    <s v="NO TIENE L3OUT"/>
    <n v="224"/>
    <n v="54"/>
  </r>
  <r>
    <n v="818"/>
    <x v="2"/>
    <x v="200"/>
    <s v="eth1/39"/>
    <x v="0"/>
    <x v="0"/>
    <x v="0"/>
    <s v="LINK_TO_ITHFHWCBSPSWR37 /10GE.1 /Principal"/>
    <x v="0"/>
    <b v="0"/>
    <s v="No está en VPC"/>
    <n v="818"/>
    <s v="INTPG_VPC_818_1.39_823_1.39"/>
    <s v="ISEL-1.39"/>
    <n v="1"/>
    <s v="NO TIENE L3OUT"/>
    <n v="8"/>
    <n v="54"/>
  </r>
  <r>
    <n v="850"/>
    <x v="2"/>
    <x v="201"/>
    <s v="eth1/39"/>
    <x v="0"/>
    <x v="0"/>
    <x v="0"/>
    <s v="LINKT_TO_ITHFHWCRMPLCN128 / Slot7.2_26 / Redundante"/>
    <x v="0"/>
    <b v="0"/>
    <s v="No está en VPC"/>
    <n v="850"/>
    <s v="INTPG_ACC_850_1.39"/>
    <s v="ISEL-1.39"/>
    <n v="2"/>
    <s v="NO TIENE L3OUT"/>
    <n v="288"/>
    <n v="54"/>
  </r>
  <r>
    <n v="860"/>
    <x v="2"/>
    <x v="202"/>
    <s v="eth1/39"/>
    <x v="0"/>
    <x v="0"/>
    <x v="0"/>
    <s v="To_VPC_2DCBSD_BD19_3"/>
    <x v="0"/>
    <b v="0"/>
    <s v="No está en VPC"/>
    <n v="860"/>
    <s v="INTPG_VPC_860_1.39_865_1.39"/>
    <s v="ISEL-1.39"/>
    <n v="1"/>
    <s v="NO TIENE L3OUT"/>
    <n v="0"/>
    <n v="54"/>
  </r>
  <r>
    <n v="853"/>
    <x v="2"/>
    <x v="203"/>
    <s v="eth1/39"/>
    <x v="0"/>
    <x v="0"/>
    <x v="0"/>
    <s v="LINK_TO_ITHFHWCRMPLCN84 / Slot7.3_26 / Redundante"/>
    <x v="0"/>
    <b v="0"/>
    <s v="No está en VPC"/>
    <n v="853"/>
    <s v="INTPG_ACC_853_1.39"/>
    <s v="ISEL-1.39"/>
    <n v="1"/>
    <s v="NO TIENE L3OUT"/>
    <n v="242"/>
    <n v="54"/>
  </r>
  <r>
    <n v="790"/>
    <x v="2"/>
    <x v="204"/>
    <s v="eth1/39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39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39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39"/>
    <x v="1"/>
    <x v="1"/>
    <x v="2"/>
    <s v="DESC"/>
    <x v="6"/>
    <b v="0"/>
    <s v="No está en VPC"/>
    <n v="104"/>
    <s v="INTPG_PC_104_1.32-39"/>
    <s v="ISEL-1.39"/>
    <n v="0"/>
    <s v="NO TIENE L3OUT"/>
    <n v="194"/>
    <n v="96"/>
  </r>
  <r>
    <n v="158"/>
    <x v="0"/>
    <x v="208"/>
    <s v="eth1/39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39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39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39"/>
    <x v="0"/>
    <x v="0"/>
    <x v="0"/>
    <m/>
    <x v="6"/>
    <b v="0"/>
    <s v="No está en VPC"/>
    <n v="108"/>
    <s v="INTPG_ACC_108_1.39"/>
    <s v="ISEL-1.39"/>
    <n v="1"/>
    <s v="NO TIENE L3OUT"/>
    <n v="126"/>
    <n v="96"/>
  </r>
  <r>
    <n v="112"/>
    <x v="0"/>
    <x v="212"/>
    <s v="eth1/39"/>
    <x v="0"/>
    <x v="0"/>
    <x v="0"/>
    <s v="CHARGING SYSTEM"/>
    <x v="6"/>
    <b v="0"/>
    <s v="No está en VPC"/>
    <n v="112"/>
    <s v="INTPG_ACC_112_1.39"/>
    <s v="ISEL-1.39"/>
    <n v="1"/>
    <s v="NO TIENE L3OUT"/>
    <n v="144"/>
    <n v="96"/>
  </r>
  <r>
    <n v="107"/>
    <x v="0"/>
    <x v="213"/>
    <s v="eth1/39"/>
    <x v="1"/>
    <x v="1"/>
    <x v="2"/>
    <m/>
    <x v="6"/>
    <b v="0"/>
    <s v="No está en VPC"/>
    <n v="107"/>
    <s v="INTPG_ACC_107_1.39"/>
    <s v="ISEL-1.39"/>
    <n v="1"/>
    <s v="NO TIENE L3OUT"/>
    <n v="118"/>
    <n v="96"/>
  </r>
  <r>
    <n v="109"/>
    <x v="0"/>
    <x v="214"/>
    <s v="eth1/39"/>
    <x v="0"/>
    <x v="1"/>
    <x v="1"/>
    <m/>
    <x v="6"/>
    <b v="0"/>
    <s v="No está en VPC"/>
    <n v="109"/>
    <s v="INTPG_ACC_109_1.39"/>
    <s v="ISEL-1.39"/>
    <n v="1"/>
    <s v="NO TIENE L3OUT"/>
    <n v="126"/>
    <n v="96"/>
  </r>
  <r>
    <n v="113"/>
    <x v="0"/>
    <x v="215"/>
    <s v="eth1/39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39"/>
    <x v="0"/>
    <x v="0"/>
    <x v="0"/>
    <s v="CONECTIVIDAD DE RED Y FIBRA MSP PROBES Y BIG DATA SALA 1 Y 2"/>
    <x v="6"/>
    <b v="0"/>
    <s v="No está en VPC"/>
    <n v="114"/>
    <s v="INTPG_ACC_114_1.39"/>
    <s v="ISEL-1.39"/>
    <n v="1"/>
    <s v="NO TIENE L3OUT"/>
    <n v="144"/>
    <n v="96"/>
  </r>
  <r>
    <n v="124"/>
    <x v="0"/>
    <x v="217"/>
    <s v="eth1/39"/>
    <x v="0"/>
    <x v="1"/>
    <x v="1"/>
    <s v="3G_OSS_QRO_R6"/>
    <x v="6"/>
    <b v="0"/>
    <s v="No está en VPC"/>
    <n v="124"/>
    <s v="INTPG_VPC_124_1.23_39_125_1.27_40"/>
    <s v="ISEL-1.39"/>
    <n v="5"/>
    <s v="NO TIENE L3OUT"/>
    <n v="80"/>
    <n v="96"/>
  </r>
  <r>
    <n v="118"/>
    <x v="0"/>
    <x v="218"/>
    <s v="eth1/39"/>
    <x v="0"/>
    <x v="0"/>
    <x v="0"/>
    <s v="INGE6"/>
    <x v="6"/>
    <b v="0"/>
    <s v="No está en VPC"/>
    <n v="118"/>
    <s v="INTPG_ACC_118_1.39"/>
    <s v="ISEL-1.39"/>
    <n v="1"/>
    <s v="NO TIENE L3OUT"/>
    <n v="180"/>
    <n v="96"/>
  </r>
  <r>
    <n v="159"/>
    <x v="0"/>
    <x v="219"/>
    <s v="eth1/39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39"/>
    <x v="0"/>
    <x v="0"/>
    <x v="0"/>
    <s v="LINK_TO_ITHFHWCBSPSHD35 / Slot7.2_22 / Redundante"/>
    <x v="0"/>
    <b v="0"/>
    <s v="No está en VPC"/>
    <n v="840"/>
    <s v="INTPG_VPC_835_1.39_840_1.39"/>
    <s v="ISEL-1.39"/>
    <n v="1"/>
    <s v="NO TIENE L3OUT"/>
    <n v="8"/>
    <n v="54"/>
  </r>
  <r>
    <n v="856"/>
    <x v="2"/>
    <x v="221"/>
    <s v="eth1/39"/>
    <x v="0"/>
    <x v="0"/>
    <x v="0"/>
    <s v="LINK_TO_ITHFHWCRMPLCN147 / Slot1.2_28 / Principal"/>
    <x v="0"/>
    <b v="0"/>
    <s v="No está en VPC"/>
    <n v="856"/>
    <s v="INTPG_ACC_856_1.39"/>
    <s v="ISEL-1.39"/>
    <n v="2"/>
    <s v="NO TIENE L3OUT"/>
    <n v="286"/>
    <n v="54"/>
  </r>
  <r>
    <n v="110"/>
    <x v="0"/>
    <x v="222"/>
    <s v="eth1/39"/>
    <x v="0"/>
    <x v="1"/>
    <x v="1"/>
    <s v="SUN6900_E25K"/>
    <x v="6"/>
    <b v="0"/>
    <s v="No está en VPC"/>
    <n v="110"/>
    <s v="INTPG_ACC_110_1.39"/>
    <s v="ISEL-1.39"/>
    <n v="1"/>
    <s v="NO TIENE L3OUT"/>
    <n v="102"/>
    <n v="96"/>
  </r>
  <r>
    <n v="163"/>
    <x v="0"/>
    <x v="223"/>
    <s v="eth1/39"/>
    <x v="0"/>
    <x v="0"/>
    <x v="0"/>
    <s v="MULTIMEDIACION"/>
    <x v="6"/>
    <b v="0"/>
    <s v="No está en VPC"/>
    <n v="163"/>
    <s v="INTPG_ACC_163_1.39"/>
    <s v="ISEL-1.39"/>
    <n v="1"/>
    <s v="NO TIENE L3OUT"/>
    <n v="140"/>
    <n v="96"/>
  </r>
  <r>
    <n v="407"/>
    <x v="1"/>
    <x v="224"/>
    <s v="eth1/39"/>
    <x v="0"/>
    <x v="0"/>
    <x v="0"/>
    <s v="Uxorbi"/>
    <x v="6"/>
    <b v="0"/>
    <s v="No está en VPC"/>
    <n v="407"/>
    <s v="INTPG_ACC_407_1.39"/>
    <s v="ISEL-1.39"/>
    <n v="1"/>
    <s v="NO TIENE L3OUT"/>
    <n v="122"/>
    <n v="96"/>
  </r>
  <r>
    <n v="171"/>
    <x v="0"/>
    <x v="225"/>
    <s v="eth1/39"/>
    <x v="0"/>
    <x v="0"/>
    <x v="0"/>
    <s v="HP_Performance_Insight"/>
    <x v="6"/>
    <b v="0"/>
    <s v="No está en VPC"/>
    <n v="171"/>
    <s v="INTPG_ACC_171_1.39"/>
    <s v="ISEL-1.39"/>
    <n v="1"/>
    <s v="NO TIENE L3OUT"/>
    <n v="114"/>
    <n v="96"/>
  </r>
  <r>
    <n v="421"/>
    <x v="1"/>
    <x v="226"/>
    <s v="eth1/39"/>
    <x v="0"/>
    <x v="1"/>
    <x v="1"/>
    <s v="VTA_uxvta073_Net0"/>
    <x v="6"/>
    <b v="0"/>
    <s v="No está en VPC"/>
    <n v="421"/>
    <s v="INTPG_ACC_421_1.39"/>
    <s v="ISEL-1.39"/>
    <n v="1"/>
    <s v="NO TIENE L3OUT"/>
    <n v="72"/>
    <n v="96"/>
  </r>
  <r>
    <n v="173"/>
    <x v="0"/>
    <x v="227"/>
    <s v="eth1/39"/>
    <x v="0"/>
    <x v="0"/>
    <x v="0"/>
    <s v="ENIQ"/>
    <x v="6"/>
    <b v="0"/>
    <s v="No está en VPC"/>
    <n v="173"/>
    <s v="INTPG_ACC_173_1.39"/>
    <s v="ISEL-1.39"/>
    <n v="1"/>
    <s v="NO TIENE L3OUT"/>
    <n v="66"/>
    <n v="96"/>
  </r>
  <r>
    <n v="154"/>
    <x v="0"/>
    <x v="228"/>
    <s v="eth1/39"/>
    <x v="0"/>
    <x v="0"/>
    <x v="0"/>
    <s v="DCX_BKP1"/>
    <x v="6"/>
    <b v="0"/>
    <s v="No está en VPC"/>
    <n v="154"/>
    <s v="INTPG_ACC_154_1.39"/>
    <s v="ISEL-1.39"/>
    <n v="1"/>
    <s v="NO TIENE L3OUT"/>
    <n v="62"/>
    <n v="96"/>
  </r>
  <r>
    <n v="172"/>
    <x v="0"/>
    <x v="229"/>
    <s v="eth1/39"/>
    <x v="0"/>
    <x v="0"/>
    <x v="0"/>
    <s v="HP_Performance_Insight"/>
    <x v="6"/>
    <b v="0"/>
    <s v="No está en VPC"/>
    <n v="172"/>
    <s v="INTPG_ACC_172_1.39"/>
    <s v="ISEL-1.39"/>
    <n v="1"/>
    <s v="NO TIENE L3OUT"/>
    <n v="104"/>
    <n v="96"/>
  </r>
  <r>
    <n v="420"/>
    <x v="1"/>
    <x v="230"/>
    <s v="eth1/39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39"/>
    <x v="0"/>
    <x v="0"/>
    <x v="0"/>
    <s v="SPECSERVER2_ETH0"/>
    <x v="6"/>
    <b v="0"/>
    <s v="No está en VPC"/>
    <n v="423"/>
    <s v="INTPG_ACC_423_1.39"/>
    <s v="ISEL-1.39"/>
    <n v="1"/>
    <s v="NO TIENE L3OUT"/>
    <n v="86"/>
    <n v="96"/>
  </r>
  <r>
    <n v="415"/>
    <x v="1"/>
    <x v="232"/>
    <s v="eth1/39"/>
    <x v="0"/>
    <x v="0"/>
    <x v="0"/>
    <s v="ith3bda3sw-ip_Primario"/>
    <x v="6"/>
    <b v="0"/>
    <s v="No está en VPC"/>
    <n v="415"/>
    <s v="INTPG_ACC_415_1.39"/>
    <s v="ISEL-1.39"/>
    <n v="1"/>
    <s v="NO TIENE L3OUT"/>
    <n v="52"/>
    <n v="96"/>
  </r>
  <r>
    <n v="102"/>
    <x v="0"/>
    <x v="233"/>
    <s v="eth1/39"/>
    <x v="0"/>
    <x v="1"/>
    <x v="1"/>
    <s v="SFLDI:RLDIBI201:1"/>
    <x v="6"/>
    <b v="0"/>
    <s v="No está en VPC"/>
    <n v="102"/>
    <s v="INTPG_ACC_102_1.39"/>
    <s v="ISEL-1.39"/>
    <n v="1"/>
    <s v="NO TIENE L3OUT"/>
    <n v="228"/>
    <n v="96"/>
  </r>
  <r>
    <n v="863"/>
    <x v="2"/>
    <x v="234"/>
    <s v="eth1/39"/>
    <x v="0"/>
    <x v="0"/>
    <x v="0"/>
    <s v="To_VPC_2DCBSD_WR57_3"/>
    <x v="0"/>
    <b v="0"/>
    <s v="No está en VPC"/>
    <n v="863"/>
    <s v="INTPG_VPC_858_1.39_863_1.39"/>
    <s v="ISEL-1.39"/>
    <n v="1"/>
    <s v="NO TIENE L3OUT"/>
    <n v="8"/>
    <n v="54"/>
  </r>
  <r>
    <n v="876"/>
    <x v="2"/>
    <x v="235"/>
    <s v="eth1/39"/>
    <x v="0"/>
    <x v="0"/>
    <x v="0"/>
    <s v="A_ITHFHWSEQLCAS14_Principal"/>
    <x v="4"/>
    <b v="0"/>
    <s v="No está en VPC"/>
    <n v="876"/>
    <s v="INTPG_ACC_876_1.39"/>
    <s v="ISEL-1.39"/>
    <n v="1"/>
    <s v="NO TIENE L3OUT"/>
    <n v="92"/>
    <n v="54"/>
  </r>
  <r>
    <n v="877"/>
    <x v="2"/>
    <x v="236"/>
    <s v="eth1/39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39"/>
    <x v="0"/>
    <x v="0"/>
    <x v="0"/>
    <s v="Registro Nacional de Celulares"/>
    <x v="6"/>
    <b v="0"/>
    <s v="No está en VPC"/>
    <n v="122"/>
    <s v="INTPG_ACC_122_1.39"/>
    <s v="ISEL-1.39"/>
    <n v="1"/>
    <s v="NO TIENE L3OUT"/>
    <n v="148"/>
    <n v="96"/>
  </r>
  <r>
    <n v="157"/>
    <x v="0"/>
    <x v="238"/>
    <s v="eth1/39"/>
    <x v="0"/>
    <x v="0"/>
    <x v="0"/>
    <s v="IXT08PP"/>
    <x v="6"/>
    <b v="0"/>
    <s v="No está en VPC"/>
    <n v="157"/>
    <s v="INTPG_ACC_157_1.39"/>
    <s v="ISEL-1.39"/>
    <n v="1"/>
    <s v="NO TIENE L3OUT"/>
    <n v="202"/>
    <n v="96"/>
  </r>
  <r>
    <n v="408"/>
    <x v="1"/>
    <x v="239"/>
    <s v="eth1/39"/>
    <x v="0"/>
    <x v="1"/>
    <x v="1"/>
    <s v="HNMD101A"/>
    <x v="6"/>
    <b v="0"/>
    <s v="No está en VPC"/>
    <n v="408"/>
    <s v="INTPG_ACC_408_1.39"/>
    <s v="ISEL-1.39"/>
    <n v="1"/>
    <s v="NO TIENE L3OUT"/>
    <n v="152"/>
    <n v="96"/>
  </r>
  <r>
    <n v="405"/>
    <x v="1"/>
    <x v="240"/>
    <s v="eth1/39"/>
    <x v="0"/>
    <x v="0"/>
    <x v="0"/>
    <s v="BACKBONE_SAN_IXT2_01"/>
    <x v="6"/>
    <b v="0"/>
    <s v="No está en VPC"/>
    <n v="405"/>
    <s v="INTPG_ACC_405_1.39"/>
    <s v="ISEL-1.39"/>
    <n v="1"/>
    <s v="NO TIENE L3OUT"/>
    <n v="138"/>
    <n v="96"/>
  </r>
  <r>
    <n v="169"/>
    <x v="0"/>
    <x v="241"/>
    <s v="eth1/39"/>
    <x v="0"/>
    <x v="0"/>
    <x v="0"/>
    <s v="TO-ITHFDESW10BKP01-PRINCIPAL"/>
    <x v="6"/>
    <b v="0"/>
    <s v="No está en VPC"/>
    <n v="169"/>
    <s v="INTPG_ACC_169_1.39"/>
    <s v="ISEL-1.39"/>
    <n v="1"/>
    <s v="NO TIENE L3OUT"/>
    <n v="76"/>
    <n v="96"/>
  </r>
  <r>
    <n v="165"/>
    <x v="0"/>
    <x v="242"/>
    <s v="eth1/39"/>
    <x v="0"/>
    <x v="0"/>
    <x v="0"/>
    <s v="NOMINA_uxtest01"/>
    <x v="6"/>
    <b v="0"/>
    <s v="No está en VPC"/>
    <n v="165"/>
    <s v="INTPG_ACC_165_1.39"/>
    <s v="ISEL-1.39"/>
    <n v="1"/>
    <s v="NO TIENE L3OUT"/>
    <n v="86"/>
    <n v="96"/>
  </r>
  <r>
    <n v="417"/>
    <x v="1"/>
    <x v="243"/>
    <s v="eth1/39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39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39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39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39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39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39"/>
    <x v="0"/>
    <x v="0"/>
    <x v="0"/>
    <s v="DESC"/>
    <x v="6"/>
    <b v="0"/>
    <s v="No está en VPC"/>
    <n v="406"/>
    <s v="INTPG_PC_406_1.39-42"/>
    <s v="ISEL-1.39"/>
    <n v="4"/>
    <s v="NO TIENE L3OUT"/>
    <n v="82"/>
    <n v="96"/>
  </r>
  <r>
    <n v="414"/>
    <x v="1"/>
    <x v="250"/>
    <s v="eth1/39"/>
    <x v="0"/>
    <x v="0"/>
    <x v="0"/>
    <s v="IXTPF1SV31NIC2"/>
    <x v="6"/>
    <b v="0"/>
    <s v="No está en VPC"/>
    <n v="414"/>
    <s v="INTPG_ACC_414_1.39"/>
    <s v="ISEL-1.39"/>
    <n v="6"/>
    <s v="NO TIENE L3OUT"/>
    <n v="144"/>
    <n v="96"/>
  </r>
  <r>
    <n v="416"/>
    <x v="1"/>
    <x v="251"/>
    <s v="eth1/39"/>
    <x v="0"/>
    <x v="1"/>
    <x v="1"/>
    <s v="DESC"/>
    <x v="6"/>
    <b v="0"/>
    <s v="No está en VPC"/>
    <n v="416"/>
    <s v="INTPG_PC_416_1.32-39"/>
    <s v="ISEL-1.39"/>
    <n v="8"/>
    <s v="NO TIENE L3OUT"/>
    <n v="110"/>
    <n v="96"/>
  </r>
  <r>
    <n v="418"/>
    <x v="1"/>
    <x v="252"/>
    <s v="eth1/39"/>
    <x v="0"/>
    <x v="1"/>
    <x v="1"/>
    <s v="DESC"/>
    <x v="6"/>
    <b v="0"/>
    <s v="No está en VPC"/>
    <n v="418"/>
    <s v="INTPG_PC_418_1.32-39"/>
    <s v="ISEL-1.39"/>
    <n v="8"/>
    <s v="NO TIENE L3OUT"/>
    <n v="152"/>
    <n v="96"/>
  </r>
  <r>
    <n v="413"/>
    <x v="1"/>
    <x v="253"/>
    <s v="eth1/39"/>
    <x v="0"/>
    <x v="0"/>
    <x v="0"/>
    <s v="To-uxingemc1 ldom3 uxsmart02"/>
    <x v="6"/>
    <b v="0"/>
    <s v="No está en VPC"/>
    <n v="413"/>
    <s v="INTPG_ACC_413_1.39"/>
    <s v="ISEL-1.39"/>
    <n v="1"/>
    <s v="NO TIENE L3OUT"/>
    <n v="126"/>
    <n v="96"/>
  </r>
  <r>
    <n v="403"/>
    <x v="1"/>
    <x v="254"/>
    <s v="eth1/39"/>
    <x v="0"/>
    <x v="0"/>
    <x v="0"/>
    <s v="BACKBONE_SAN_IXT2_01"/>
    <x v="6"/>
    <b v="0"/>
    <s v="No está en VPC"/>
    <n v="403"/>
    <s v="INTPG_ACC_403_1.39"/>
    <s v="ISEL-1.39"/>
    <n v="1"/>
    <s v="NO TIENE L3OUT"/>
    <n v="150"/>
    <n v="96"/>
  </r>
  <r>
    <n v="125"/>
    <x v="0"/>
    <x v="255"/>
    <s v="eth1/39"/>
    <x v="0"/>
    <x v="0"/>
    <x v="0"/>
    <s v="ixtossgw2_4"/>
    <x v="6"/>
    <b v="0"/>
    <s v="No está en VPC"/>
    <n v="125"/>
    <s v="INTPG_ACC_125_1.39"/>
    <s v="ISEL-1.39"/>
    <n v="1"/>
    <s v="NO TIENE L3OUT"/>
    <n v="72"/>
    <n v="96"/>
  </r>
  <r>
    <n v="166"/>
    <x v="0"/>
    <x v="256"/>
    <s v="eth1/39"/>
    <x v="0"/>
    <x v="0"/>
    <x v="0"/>
    <s v="NOMINA_rhaps1"/>
    <x v="6"/>
    <b v="0"/>
    <s v="No está en VPC"/>
    <n v="166"/>
    <s v="INTPG_ACC_166_1.39"/>
    <s v="ISEL-1.39"/>
    <n v="1"/>
    <s v="NO TIENE L3OUT"/>
    <n v="84"/>
    <n v="96"/>
  </r>
  <r>
    <n v="111"/>
    <x v="0"/>
    <x v="257"/>
    <s v="eth1/39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39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39"/>
    <x v="0"/>
    <x v="1"/>
    <x v="1"/>
    <s v="NETEZZA EMC "/>
    <x v="6"/>
    <b v="0"/>
    <s v="No está en VPC"/>
    <n v="106"/>
    <s v="INTPG_ACC_106_1.39"/>
    <s v="ISEL-1.39"/>
    <n v="1"/>
    <s v="NO TIENE L3OUT"/>
    <n v="122"/>
    <n v="96"/>
  </r>
  <r>
    <n v="126"/>
    <x v="0"/>
    <x v="260"/>
    <s v="eth1/39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39"/>
    <x v="0"/>
    <x v="0"/>
    <x v="0"/>
    <s v="ITHPA02_ILO1_IPMP-Pasiva"/>
    <x v="6"/>
    <b v="0"/>
    <s v="No está en VPC"/>
    <n v="425"/>
    <s v="INTPG_ACC_425_1.39"/>
    <s v="ISEL-1.39"/>
    <n v="1"/>
    <s v="NO TIENE L3OUT"/>
    <n v="86"/>
    <n v="96"/>
  </r>
  <r>
    <n v="151"/>
    <x v="0"/>
    <x v="262"/>
    <s v="eth1/39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39"/>
    <x v="0"/>
    <x v="0"/>
    <x v="0"/>
    <s v="SecAnLG_iDrac_05-Colector_R1toR8_RD-IXTSALG_H1_8RD"/>
    <x v="6"/>
    <b v="0"/>
    <s v="No está en VPC"/>
    <n v="430"/>
    <s v="INTPG_ACC_430_1.39"/>
    <s v="ISEL-1.39"/>
    <n v="1"/>
    <s v="NO TIENE L3OUT"/>
    <n v="86"/>
    <n v="96"/>
  </r>
  <r>
    <n v="419"/>
    <x v="1"/>
    <x v="264"/>
    <s v="eth1/39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39"/>
    <x v="0"/>
    <x v="0"/>
    <x v="0"/>
    <s v="SNA TEST BED"/>
    <x v="6"/>
    <b v="0"/>
    <s v="No está en VPC"/>
    <n v="155"/>
    <s v="INTPG_ACC_155_1.39"/>
    <s v="ISEL-1.39"/>
    <n v="0"/>
    <s v="L3OUT-SNA-IPCORP-A20"/>
    <n v="198"/>
    <n v="96"/>
  </r>
  <r>
    <n v="409"/>
    <x v="1"/>
    <x v="266"/>
    <s v="eth1/39"/>
    <x v="0"/>
    <x v="0"/>
    <x v="0"/>
    <s v="Uxcppdes"/>
    <x v="6"/>
    <b v="0"/>
    <s v="No está en VPC"/>
    <n v="409"/>
    <s v="INTPG_ACC_409_1.39"/>
    <s v="ISEL-1.39"/>
    <n v="1"/>
    <s v="NO TIENE L3OUT"/>
    <n v="128"/>
    <n v="96"/>
  </r>
  <r>
    <n v="422"/>
    <x v="1"/>
    <x v="267"/>
    <s v="eth1/39"/>
    <x v="0"/>
    <x v="1"/>
    <x v="1"/>
    <s v="ITHRTC4ALS1"/>
    <x v="6"/>
    <b v="0"/>
    <s v="No está en VPC"/>
    <n v="422"/>
    <s v="INTPG_ACC_422_1.39"/>
    <s v="ISEL-1.39"/>
    <n v="1"/>
    <s v="NO TIENE L3OUT"/>
    <n v="182"/>
    <n v="96"/>
  </r>
  <r>
    <n v="436"/>
    <x v="1"/>
    <x v="268"/>
    <s v="eth1/39"/>
    <x v="0"/>
    <x v="0"/>
    <x v="0"/>
    <s v="P8000_PTO_1"/>
    <x v="6"/>
    <b v="0"/>
    <s v="No está en VPC"/>
    <n v="436"/>
    <s v="INTPG_ACC_436_1.39"/>
    <s v="ISEL-1.39"/>
    <n v="1"/>
    <s v="NO TIENE L3OUT"/>
    <n v="172"/>
    <n v="96"/>
  </r>
  <r>
    <n v="410"/>
    <x v="1"/>
    <x v="269"/>
    <s v="eth1/39"/>
    <x v="0"/>
    <x v="0"/>
    <x v="0"/>
    <s v="Exadata1"/>
    <x v="6"/>
    <b v="0"/>
    <s v="No está en VPC"/>
    <n v="410"/>
    <s v="INTPG_ACC_410_1.39"/>
    <s v="ISEL-1.39"/>
    <n v="1"/>
    <s v="NO TIENE L3OUT"/>
    <n v="178"/>
    <n v="96"/>
  </r>
  <r>
    <n v="161"/>
    <x v="0"/>
    <x v="270"/>
    <s v="eth1/39"/>
    <x v="0"/>
    <x v="1"/>
    <x v="1"/>
    <m/>
    <x v="6"/>
    <b v="0"/>
    <s v="No está en VPC"/>
    <n v="161"/>
    <s v="INTPG_VPC_163_1.44_161_1.39"/>
    <s v="ISEL-1.39"/>
    <n v="1"/>
    <s v="NO TIENE L3OUT"/>
    <n v="102"/>
    <n v="96"/>
  </r>
  <r>
    <n v="411"/>
    <x v="1"/>
    <x v="271"/>
    <s v="eth1/39"/>
    <x v="0"/>
    <x v="0"/>
    <x v="0"/>
    <s v="lagidmhlapvp12_produccion1"/>
    <x v="6"/>
    <b v="0"/>
    <s v="No está en VPC"/>
    <n v="411"/>
    <s v="INTPG_VPC_411_1.36-39_413_1.29-32"/>
    <s v="ISEL-1.39"/>
    <n v="2"/>
    <s v="NO TIENE L3OUT"/>
    <n v="96"/>
    <n v="96"/>
  </r>
  <r>
    <n v="116"/>
    <x v="0"/>
    <x v="272"/>
    <s v="eth1/39"/>
    <x v="1"/>
    <x v="1"/>
    <x v="2"/>
    <s v="DATOS NETCRACKER"/>
    <x v="6"/>
    <b v="0"/>
    <s v="No está en VPC"/>
    <n v="116"/>
    <s v="INTPG_ACC_116_1.39"/>
    <s v="ISEL-1.39"/>
    <n v="0"/>
    <s v="NO TIENE L3OUT"/>
    <n v="148"/>
    <n v="96"/>
  </r>
  <r>
    <n v="412"/>
    <x v="1"/>
    <x v="273"/>
    <s v="eth1/39"/>
    <x v="0"/>
    <x v="1"/>
    <x v="1"/>
    <s v="HNMD101B"/>
    <x v="6"/>
    <b v="0"/>
    <s v="No está en VPC"/>
    <n v="412"/>
    <s v="INTPG_ACC_412_1.39"/>
    <s v="ISEL-1.39"/>
    <n v="1"/>
    <s v="NO TIENE L3OUT"/>
    <n v="126"/>
    <n v="96"/>
  </r>
  <r>
    <n v="120"/>
    <x v="0"/>
    <x v="274"/>
    <s v="eth1/39"/>
    <x v="0"/>
    <x v="0"/>
    <x v="0"/>
    <s v="ZFS X5-2"/>
    <x v="6"/>
    <b v="0"/>
    <s v="No está en VPC"/>
    <n v="120"/>
    <s v="INTPG_ACC_120_1.39"/>
    <s v="ISEL-1.39"/>
    <n v="1"/>
    <s v="NO TIENE L3OUT"/>
    <n v="158"/>
    <n v="96"/>
  </r>
  <r>
    <n v="404"/>
    <x v="1"/>
    <x v="275"/>
    <s v="eth1/39"/>
    <x v="0"/>
    <x v="0"/>
    <x v="0"/>
    <s v="DESC"/>
    <x v="6"/>
    <b v="0"/>
    <s v="No está en VPC"/>
    <n v="404"/>
    <s v="INTPG_PC_404_1.37-40"/>
    <s v="ISEL-1.39"/>
    <n v="4"/>
    <s v="NO TIENE L3OUT"/>
    <n v="92"/>
    <n v="96"/>
  </r>
  <r>
    <n v="167"/>
    <x v="0"/>
    <x v="276"/>
    <s v="eth1/39"/>
    <x v="0"/>
    <x v="0"/>
    <x v="0"/>
    <s v="LINKDOWN_HACIA_UCS_9UCS-GEO-IXTLA-SERV2"/>
    <x v="6"/>
    <b v="0"/>
    <s v="No está en VPC"/>
    <n v="167"/>
    <s v="INTPG_ACC_167_1.39"/>
    <s v="ISEL-1.39"/>
    <n v="1"/>
    <s v="NO TIENE L3OUT"/>
    <n v="68"/>
    <n v="96"/>
  </r>
  <r>
    <n v="428"/>
    <x v="1"/>
    <x v="277"/>
    <s v="eth1/39"/>
    <x v="0"/>
    <x v="0"/>
    <x v="0"/>
    <s v="RLPNOVB01"/>
    <x v="6"/>
    <b v="0"/>
    <s v="No está en VPC"/>
    <n v="428"/>
    <s v="INTPG_ACC_428_1.39"/>
    <s v="ISEL-1.39"/>
    <n v="1"/>
    <s v="NO TIENE L3OUT"/>
    <n v="102"/>
    <n v="96"/>
  </r>
  <r>
    <n v="128"/>
    <x v="0"/>
    <x v="0"/>
    <s v="eth1/4"/>
    <x v="0"/>
    <x v="0"/>
    <x v="0"/>
    <s v="HUECOS DC_S1"/>
    <x v="0"/>
    <b v="0"/>
    <s v="No está en VPC"/>
    <n v="128"/>
    <s v="INTPG_VPC_128_1.1-6_129_1.1-6"/>
    <s v="ISEL-1.4"/>
    <n v="1"/>
    <s v="NO TIENE L3OUT"/>
    <n v="0"/>
    <n v="54"/>
  </r>
  <r>
    <n v="123"/>
    <x v="0"/>
    <x v="1"/>
    <s v="eth1/4"/>
    <x v="0"/>
    <x v="0"/>
    <x v="0"/>
    <m/>
    <x v="1"/>
    <b v="0"/>
    <s v="No está en VPC"/>
    <n v="123"/>
    <s v="INTPG_ACC_123_1.4"/>
    <s v="ISEL-1.4"/>
    <n v="1"/>
    <s v="NO TIENE L3OUT"/>
    <n v="20"/>
    <n v="54"/>
  </r>
  <r>
    <n v="152"/>
    <x v="0"/>
    <x v="2"/>
    <s v="eth1/4"/>
    <x v="0"/>
    <x v="0"/>
    <x v="0"/>
    <s v="DASHBOARD"/>
    <x v="1"/>
    <b v="0"/>
    <s v="No está en VPC"/>
    <n v="152"/>
    <s v="INTPG_ACC_152_1.4"/>
    <s v="ISEL-1.4"/>
    <n v="1"/>
    <s v="NO TIENE L3OUT"/>
    <n v="38"/>
    <n v="54"/>
  </r>
  <r>
    <n v="101"/>
    <x v="0"/>
    <x v="3"/>
    <s v="eth1/4"/>
    <x v="0"/>
    <x v="0"/>
    <x v="0"/>
    <s v="DESC"/>
    <x v="0"/>
    <b v="0"/>
    <s v="No está en VPC"/>
    <n v="101"/>
    <s v="INTPG_PC_101_1.3-5"/>
    <s v="ISEL-1.4"/>
    <n v="15"/>
    <s v="NO TIENE L3OUT"/>
    <n v="114"/>
    <n v="54"/>
  </r>
  <r>
    <n v="160"/>
    <x v="0"/>
    <x v="4"/>
    <s v="eth1/4"/>
    <x v="0"/>
    <x v="1"/>
    <x v="1"/>
    <s v="TRAP"/>
    <x v="1"/>
    <b v="0"/>
    <s v="No está en VPC"/>
    <n v="160"/>
    <s v="INTPG_PC_160_1.3-8"/>
    <s v="ISEL-1.4"/>
    <n v="12"/>
    <s v="NO TIENE L3OUT"/>
    <n v="68"/>
    <n v="54"/>
  </r>
  <r>
    <n v="121"/>
    <x v="0"/>
    <x v="5"/>
    <s v="eth1/4"/>
    <x v="0"/>
    <x v="0"/>
    <x v="0"/>
    <s v="TEMIP"/>
    <x v="1"/>
    <b v="0"/>
    <s v="No está en VPC"/>
    <n v="121"/>
    <s v="INTPG_ACC_121_1.4"/>
    <s v="ISEL-1.4"/>
    <n v="1"/>
    <s v="NO TIENE L3OUT"/>
    <n v="14"/>
    <n v="54"/>
  </r>
  <r>
    <n v="129"/>
    <x v="0"/>
    <x v="6"/>
    <s v="eth1/4"/>
    <x v="0"/>
    <x v="0"/>
    <x v="0"/>
    <s v="HUECOS DC_S1"/>
    <x v="0"/>
    <b v="0"/>
    <s v="No está en VPC"/>
    <n v="129"/>
    <s v="INTPG_VPC_128_1.1-6_129_1.1-6"/>
    <s v="ISEL-1.4"/>
    <n v="1"/>
    <s v="NO TIENE L3OUT"/>
    <n v="0"/>
    <n v="54"/>
  </r>
  <r>
    <n v="401"/>
    <x v="1"/>
    <x v="7"/>
    <s v="eth1/4"/>
    <x v="0"/>
    <x v="0"/>
    <x v="0"/>
    <s v="TO-ITHFDEILDPRAP02"/>
    <x v="0"/>
    <b v="0"/>
    <s v="No está en VPC"/>
    <n v="401"/>
    <s v="INTPG_VPC_401_1.4_402_1.4"/>
    <s v="ISEL-1.4"/>
    <n v="3"/>
    <s v="NO TIENE L3OUT"/>
    <n v="40"/>
    <n v="54"/>
  </r>
  <r>
    <n v="402"/>
    <x v="1"/>
    <x v="8"/>
    <s v="eth1/4"/>
    <x v="0"/>
    <x v="0"/>
    <x v="0"/>
    <s v="TO-ITHFDEILDPRAP02"/>
    <x v="0"/>
    <b v="0"/>
    <s v="No está en VPC"/>
    <n v="402"/>
    <s v="INTPG_VPC_401_1.4_402_1.4"/>
    <s v="ISEL-1.4"/>
    <n v="3"/>
    <s v="NO TIENE L3OUT"/>
    <n v="36"/>
    <n v="54"/>
  </r>
  <r>
    <n v="447"/>
    <x v="1"/>
    <x v="9"/>
    <s v="eth1/4"/>
    <x v="0"/>
    <x v="0"/>
    <x v="0"/>
    <s v="YB_DESAROLLO_ETH-TRUNK_4"/>
    <x v="2"/>
    <b v="0"/>
    <s v="No está en VPC"/>
    <n v="447"/>
    <s v="INTPG_VPC_445_1.4_447_1.4"/>
    <s v="ISEL-1.4"/>
    <n v="1"/>
    <s v="NO TIENE L3OUT"/>
    <n v="16"/>
    <n v="42"/>
  </r>
  <r>
    <n v="445"/>
    <x v="1"/>
    <x v="10"/>
    <s v="eth1/4"/>
    <x v="0"/>
    <x v="0"/>
    <x v="0"/>
    <s v="YB_DESAROLLO_ETH-TRUNK_4"/>
    <x v="2"/>
    <b v="0"/>
    <s v="No está en VPC"/>
    <n v="445"/>
    <s v="INTPG_VPC_445_1.4_447_1.4"/>
    <s v="ISEL-1.4"/>
    <n v="1"/>
    <s v="NO TIENE L3OUT"/>
    <n v="16"/>
    <n v="42"/>
  </r>
  <r>
    <n v="130"/>
    <x v="0"/>
    <x v="11"/>
    <s v="eth1/4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4"/>
    <x v="0"/>
    <x v="0"/>
    <x v="0"/>
    <s v="DESC"/>
    <x v="0"/>
    <b v="0"/>
    <s v="No está en VPC"/>
    <n v="150"/>
    <s v="INTPG_PC_150_1.3-5"/>
    <s v="ISEL-1.4"/>
    <n v="15"/>
    <s v="NO TIENE L3OUT"/>
    <n v="118"/>
    <n v="54"/>
  </r>
  <r>
    <n v="131"/>
    <x v="0"/>
    <x v="13"/>
    <s v="eth1/4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4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4"/>
    <x v="0"/>
    <x v="0"/>
    <x v="0"/>
    <s v="TelcelCloudStack:ithhwtcs02en01:2X 40G P2"/>
    <x v="2"/>
    <b v="0"/>
    <s v="No está en VPC"/>
    <n v="758"/>
    <s v="INTPG_VPC_758_1.3-4_759_1.3-4"/>
    <s v="ISEL-1.4"/>
    <n v="124"/>
    <s v="NO TIENE L3OUT"/>
    <n v="0"/>
    <n v="42"/>
  </r>
  <r>
    <n v="759"/>
    <x v="2"/>
    <x v="16"/>
    <s v="eth1/4"/>
    <x v="0"/>
    <x v="0"/>
    <x v="0"/>
    <s v="TelcelCloudStack:ithhwtcs02en01:3X 40G P2"/>
    <x v="2"/>
    <b v="0"/>
    <s v="No está en VPC"/>
    <n v="759"/>
    <s v="INTPG_VPC_758_1.3-4_759_1.3-4"/>
    <s v="ISEL-1.4"/>
    <n v="124"/>
    <s v="NO TIENE L3OUT"/>
    <n v="0"/>
    <n v="42"/>
  </r>
  <r>
    <n v="302"/>
    <x v="0"/>
    <x v="17"/>
    <s v="eth1/4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4"/>
    <x v="0"/>
    <x v="0"/>
    <x v="0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4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4"/>
    <x v="0"/>
    <x v="0"/>
    <x v="0"/>
    <s v="HUECOS DC_S2"/>
    <x v="0"/>
    <b v="0"/>
    <s v="No está en VPC"/>
    <n v="452"/>
    <s v="INTPG_VPC_450_1.1-6_452_1.1-6"/>
    <s v="ISEL-1.4"/>
    <n v="1"/>
    <s v="NO TIENE L3OUT"/>
    <n v="0"/>
    <n v="54"/>
  </r>
  <r>
    <n v="450"/>
    <x v="1"/>
    <x v="21"/>
    <s v="eth1/4"/>
    <x v="0"/>
    <x v="0"/>
    <x v="0"/>
    <s v="HUECOS DC_S2"/>
    <x v="0"/>
    <b v="0"/>
    <s v="No está en VPC"/>
    <n v="450"/>
    <s v="INTPG_VPC_450_1.1-6_452_1.1-6"/>
    <s v="ISEL-1.4"/>
    <n v="1"/>
    <s v="NO TIENE L3OUT"/>
    <n v="0"/>
    <n v="54"/>
  </r>
  <r>
    <n v="727"/>
    <x v="2"/>
    <x v="22"/>
    <s v="eth1/4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4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4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4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4"/>
    <x v="0"/>
    <x v="0"/>
    <x v="0"/>
    <s v="HUAWEI_CLOUD_FASE2_LAG2"/>
    <x v="0"/>
    <b v="0"/>
    <s v="No está en VPC"/>
    <n v="431"/>
    <s v="INTPG_VPC_431_1.3-4_448_1.3-4"/>
    <s v="ISEL-1.4"/>
    <n v="45"/>
    <s v="NO TIENE L3OUT"/>
    <n v="46"/>
    <n v="54"/>
  </r>
  <r>
    <n v="433"/>
    <x v="1"/>
    <x v="27"/>
    <s v="eth1/4"/>
    <x v="0"/>
    <x v="0"/>
    <x v="0"/>
    <s v="HUAWEI_CLOUD_GAPS_PRODUC_LAG"/>
    <x v="1"/>
    <b v="0"/>
    <s v="No está en VPC"/>
    <n v="433"/>
    <s v="INTPG_VPC_433_1.3-4_435_1.3-4"/>
    <s v="ISEL-1.4"/>
    <n v="2"/>
    <s v="NO TIENE L3OUT"/>
    <n v="42"/>
    <n v="54"/>
  </r>
  <r>
    <n v="429"/>
    <x v="1"/>
    <x v="28"/>
    <s v="eth1/4"/>
    <x v="0"/>
    <x v="0"/>
    <x v="0"/>
    <s v="FASE_1.5_REDKNEE_produccion_5_client_LAG"/>
    <x v="1"/>
    <b v="0"/>
    <s v="No está en VPC"/>
    <n v="429"/>
    <s v="INTPG_VPC_427_1.1_429_1.4"/>
    <s v="ISEL-1.4"/>
    <n v="1"/>
    <s v="NO TIENE L3OUT"/>
    <n v="8"/>
    <n v="54"/>
  </r>
  <r>
    <n v="432"/>
    <x v="1"/>
    <x v="29"/>
    <s v="eth1/4"/>
    <x v="0"/>
    <x v="0"/>
    <x v="0"/>
    <s v="SSO"/>
    <x v="1"/>
    <b v="0"/>
    <s v="No está en VPC"/>
    <n v="432"/>
    <s v="INTPG_ACC_432_1.4"/>
    <s v="ISEL-1.4"/>
    <n v="1"/>
    <s v="NO TIENE L3OUT"/>
    <n v="54"/>
    <n v="54"/>
  </r>
  <r>
    <n v="442"/>
    <x v="1"/>
    <x v="30"/>
    <s v="eth1/4"/>
    <x v="0"/>
    <x v="0"/>
    <x v="0"/>
    <s v="INTELIGN_COMERCIAL_LAG3"/>
    <x v="1"/>
    <b v="0"/>
    <s v="No está en VPC"/>
    <n v="442"/>
    <s v="INTPG_VPC_440_1.4_442_1.4"/>
    <s v="ISEL-1.4"/>
    <n v="1"/>
    <s v="NO TIENE L3OUT"/>
    <n v="18"/>
    <n v="54"/>
  </r>
  <r>
    <n v="434"/>
    <x v="1"/>
    <x v="31"/>
    <s v="eth1/4"/>
    <x v="0"/>
    <x v="0"/>
    <x v="0"/>
    <s v="TO-uxidmbd-MGT"/>
    <x v="1"/>
    <b v="0"/>
    <s v="No está en VPC"/>
    <n v="434"/>
    <s v="INTPG_ACC_434_1.4"/>
    <s v="ISEL-1.4"/>
    <n v="1"/>
    <s v="NO TIENE L3OUT"/>
    <n v="34"/>
    <n v="54"/>
  </r>
  <r>
    <n v="707"/>
    <x v="2"/>
    <x v="32"/>
    <s v="eth1/4"/>
    <x v="0"/>
    <x v="1"/>
    <x v="3"/>
    <s v="CEM:ITHCEMG2DAT02:LOM P3"/>
    <x v="0"/>
    <b v="0"/>
    <s v="No está en VPC"/>
    <n v="707"/>
    <s v="INTPG_ACC_707_1.4"/>
    <s v="ISEL-1.4"/>
    <n v="1"/>
    <s v="NO TIENE L3OUT"/>
    <n v="54"/>
    <n v="54"/>
  </r>
  <r>
    <n v="712"/>
    <x v="2"/>
    <x v="33"/>
    <s v="eth1/4"/>
    <x v="0"/>
    <x v="0"/>
    <x v="0"/>
    <s v="CEM:ITHCEMA2DAT02:LOM  P2"/>
    <x v="0"/>
    <b v="0"/>
    <s v="No está en VPC"/>
    <n v="712"/>
    <s v="INTPG_ACC_712_1.4"/>
    <s v="ISEL-1.4"/>
    <n v="1"/>
    <s v="NO TIENE L3OUT"/>
    <n v="32"/>
    <n v="54"/>
  </r>
  <r>
    <n v="719"/>
    <x v="2"/>
    <x v="34"/>
    <s v="eth1/4"/>
    <x v="0"/>
    <x v="0"/>
    <x v="0"/>
    <m/>
    <x v="0"/>
    <b v="0"/>
    <s v="No está en VPC"/>
    <n v="719"/>
    <s v="INTPG-VPC_HDD01_720_1.3_719_1.4"/>
    <s v="ISEL-1.4"/>
    <n v="1"/>
    <s v="NO TIENE L3OUT"/>
    <n v="0"/>
    <n v="54"/>
  </r>
  <r>
    <n v="715"/>
    <x v="2"/>
    <x v="35"/>
    <s v="eth1/4"/>
    <x v="0"/>
    <x v="0"/>
    <x v="0"/>
    <m/>
    <x v="0"/>
    <b v="0"/>
    <s v="No está en VPC"/>
    <n v="715"/>
    <s v="INTPG-VPC_HDD38_716_1.3_715_1.4"/>
    <s v="ISEL-1.4"/>
    <n v="1"/>
    <s v="NO TIENE L3OUT"/>
    <n v="0"/>
    <n v="54"/>
  </r>
  <r>
    <n v="427"/>
    <x v="1"/>
    <x v="36"/>
    <s v="eth1/4"/>
    <x v="0"/>
    <x v="0"/>
    <x v="0"/>
    <s v="FASE_1.5_REDKNEE_produccion_3_client_LAG"/>
    <x v="1"/>
    <b v="0"/>
    <s v="No está en VPC"/>
    <n v="427"/>
    <s v="INTPG_VPC_427_1.4-5_429_1.2-3"/>
    <s v="ISEL-1.4"/>
    <n v="5"/>
    <s v="NO TIENE L3OUT"/>
    <n v="10"/>
    <n v="54"/>
  </r>
  <r>
    <n v="711"/>
    <x v="2"/>
    <x v="37"/>
    <s v="eth1/4"/>
    <x v="0"/>
    <x v="1"/>
    <x v="5"/>
    <s v="CEM:ITHCEMD2DAT02:LOM  P2"/>
    <x v="0"/>
    <b v="0"/>
    <s v="No está en VPC"/>
    <n v="711"/>
    <s v="INTPG_VPC_710_1.3_711_1.4"/>
    <s v="ISEL-1.4"/>
    <n v="1"/>
    <s v="NO TIENE L3OUT"/>
    <n v="16"/>
    <n v="54"/>
  </r>
  <r>
    <n v="716"/>
    <x v="2"/>
    <x v="38"/>
    <s v="eth1/4"/>
    <x v="0"/>
    <x v="0"/>
    <x v="0"/>
    <m/>
    <x v="0"/>
    <b v="0"/>
    <s v="No está en VPC"/>
    <n v="716"/>
    <s v="INTPG-VPC_HDD47_715_1.3_716_1.4"/>
    <s v="ISEL-1.4"/>
    <n v="1"/>
    <s v="NO TIENE L3OUT"/>
    <n v="0"/>
    <n v="54"/>
  </r>
  <r>
    <n v="702"/>
    <x v="2"/>
    <x v="39"/>
    <s v="eth1/4"/>
    <x v="0"/>
    <x v="0"/>
    <x v="0"/>
    <m/>
    <x v="0"/>
    <b v="0"/>
    <s v="No está en VPC"/>
    <n v="702"/>
    <s v="INTPG_VPC_701_1.3_702_1.4"/>
    <s v="ISEL-1.4"/>
    <n v="1"/>
    <s v="NO TIENE L3OUT"/>
    <n v="0"/>
    <n v="54"/>
  </r>
  <r>
    <n v="435"/>
    <x v="1"/>
    <x v="40"/>
    <s v="eth1/4"/>
    <x v="0"/>
    <x v="0"/>
    <x v="0"/>
    <s v="HUAWEI_CLOUD_GAPS_PRODUC_LAG"/>
    <x v="1"/>
    <b v="0"/>
    <s v="No está en VPC"/>
    <n v="435"/>
    <s v="INTPG_VPC_433_1.3-4_435_1.3-4"/>
    <s v="ISEL-1.4"/>
    <n v="2"/>
    <s v="NO TIENE L3OUT"/>
    <n v="34"/>
    <n v="54"/>
  </r>
  <r>
    <n v="446"/>
    <x v="1"/>
    <x v="41"/>
    <s v="eth1/4"/>
    <x v="0"/>
    <x v="0"/>
    <x v="0"/>
    <s v="TO-ITHFHPNBURBKP04"/>
    <x v="0"/>
    <b v="0"/>
    <s v="No está en VPC"/>
    <n v="446"/>
    <s v="INTPG_VPC_444_1.3_446_1.4"/>
    <s v="ISEL-1.4"/>
    <n v="1"/>
    <s v="NO TIENE L3OUT"/>
    <n v="198"/>
    <n v="54"/>
  </r>
  <r>
    <n v="444"/>
    <x v="1"/>
    <x v="42"/>
    <s v="eth1/4"/>
    <x v="0"/>
    <x v="0"/>
    <x v="0"/>
    <m/>
    <x v="0"/>
    <b v="0"/>
    <s v="No está en VPC"/>
    <n v="444"/>
    <s v="INTPG_ACC_444_1.4"/>
    <s v="ISEL-1.4"/>
    <n v="9"/>
    <s v="NO TIENE L3OUT"/>
    <n v="234"/>
    <n v="54"/>
  </r>
  <r>
    <n v="701"/>
    <x v="2"/>
    <x v="43"/>
    <s v="eth1/4"/>
    <x v="0"/>
    <x v="0"/>
    <x v="0"/>
    <m/>
    <x v="0"/>
    <b v="0"/>
    <s v="No está en VPC"/>
    <n v="701"/>
    <s v="INTPG_VPC_702_1.3_701_1.4"/>
    <s v="ISEL-1.4"/>
    <n v="1"/>
    <s v="NO TIENE L3OUT"/>
    <n v="0"/>
    <n v="54"/>
  </r>
  <r>
    <n v="440"/>
    <x v="1"/>
    <x v="44"/>
    <s v="eth1/4"/>
    <x v="0"/>
    <x v="0"/>
    <x v="0"/>
    <s v="INTELIGN_COMERCIAL_LAG3"/>
    <x v="1"/>
    <b v="0"/>
    <s v="No está en VPC"/>
    <n v="440"/>
    <s v="INTPG_VPC_440_1.4_442_1.4"/>
    <s v="ISEL-1.4"/>
    <n v="1"/>
    <s v="NO TIENE L3OUT"/>
    <n v="22"/>
    <n v="54"/>
  </r>
  <r>
    <n v="448"/>
    <x v="1"/>
    <x v="45"/>
    <s v="eth1/4"/>
    <x v="0"/>
    <x v="0"/>
    <x v="0"/>
    <s v="HUAWEI_CLOUD_FASE2_LAG2"/>
    <x v="0"/>
    <b v="0"/>
    <s v="No está en VPC"/>
    <n v="448"/>
    <s v="INTPG_VPC_431_1.3-4_448_1.3-4"/>
    <s v="ISEL-1.4"/>
    <n v="45"/>
    <s v="NO TIENE L3OUT"/>
    <n v="46"/>
    <n v="54"/>
  </r>
  <r>
    <n v="704"/>
    <x v="2"/>
    <x v="46"/>
    <s v="eth1/4"/>
    <x v="0"/>
    <x v="0"/>
    <x v="0"/>
    <m/>
    <x v="0"/>
    <b v="0"/>
    <s v="No está en VPC"/>
    <n v="704"/>
    <s v="INTPG_VPC_703_1.3_704_1.4"/>
    <s v="ISEL-1.4"/>
    <n v="1"/>
    <s v="NO TIENE L3OUT"/>
    <n v="0"/>
    <n v="54"/>
  </r>
  <r>
    <n v="729"/>
    <x v="2"/>
    <x v="47"/>
    <s v="eth1/4"/>
    <x v="0"/>
    <x v="0"/>
    <x v="0"/>
    <s v="eth-trunk-22"/>
    <x v="0"/>
    <b v="0"/>
    <s v="No está en VPC"/>
    <n v="729"/>
    <s v="INTPG_VPC_728_1.1_4_729_1.1_4"/>
    <s v="ISEL-1.4"/>
    <n v="11"/>
    <s v="NO TIENE L3OUT"/>
    <n v="4"/>
    <n v="54"/>
  </r>
  <r>
    <n v="728"/>
    <x v="2"/>
    <x v="48"/>
    <s v="eth1/4"/>
    <x v="0"/>
    <x v="0"/>
    <x v="0"/>
    <s v="eth-trunk-22"/>
    <x v="0"/>
    <b v="0"/>
    <s v="No está en VPC"/>
    <n v="728"/>
    <s v="INTPG_VPC_728_1.1_4_729_1.1_4"/>
    <s v="ISEL-1.4"/>
    <n v="11"/>
    <s v="NO TIENE L3OUT"/>
    <n v="2"/>
    <n v="54"/>
  </r>
  <r>
    <n v="456"/>
    <x v="1"/>
    <x v="49"/>
    <s v="eth1/4"/>
    <x v="0"/>
    <x v="0"/>
    <x v="0"/>
    <s v="HACIA_CSI-A-OSCP-F4-08_SECUNDARIO"/>
    <x v="4"/>
    <b v="0"/>
    <s v="No está en VPC"/>
    <n v="456"/>
    <s v="INTPG_VPC_454_1.4_456_1.4"/>
    <s v="ISEL-1.4"/>
    <n v="2"/>
    <s v="NO TIENE L3OUT"/>
    <n v="4"/>
    <n v="54"/>
  </r>
  <r>
    <n v="603"/>
    <x v="1"/>
    <x v="50"/>
    <s v="eth1/4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4"/>
    <x v="0"/>
    <x v="0"/>
    <x v="0"/>
    <s v="CRM, CBS:ITHHWBESRK11CH1:E4-10GE 1"/>
    <x v="0"/>
    <b v="0"/>
    <s v="No está en VPC"/>
    <n v="746"/>
    <s v="INTPG_VPC_745_1.1_4_746_1.1_4"/>
    <s v="ISEL-1.4"/>
    <n v="13"/>
    <s v="NO TIENE L3OUT"/>
    <n v="0"/>
    <n v="54"/>
  </r>
  <r>
    <n v="745"/>
    <x v="2"/>
    <x v="52"/>
    <s v="eth1/4"/>
    <x v="0"/>
    <x v="0"/>
    <x v="0"/>
    <s v="CRM, CBS:PR-R11-F08:E4-10GE 2"/>
    <x v="0"/>
    <b v="0"/>
    <s v="No está en VPC"/>
    <n v="745"/>
    <s v="INTPG_VPC_745_1.1_4_746_1.1_4"/>
    <s v="ISEL-1.4"/>
    <n v="13"/>
    <s v="NO TIENE L3OUT"/>
    <n v="0"/>
    <n v="54"/>
  </r>
  <r>
    <n v="730"/>
    <x v="2"/>
    <x v="53"/>
    <s v="eth1/4"/>
    <x v="0"/>
    <x v="0"/>
    <x v="0"/>
    <s v="eth-trunk-2"/>
    <x v="0"/>
    <b v="0"/>
    <s v="No está en VPC"/>
    <n v="730"/>
    <s v="INTPG_VPC_730_1.1_4_731_1.1_4"/>
    <s v="ISEL-1.4"/>
    <n v="11"/>
    <s v="NO TIENE L3OUT"/>
    <n v="36"/>
    <n v="54"/>
  </r>
  <r>
    <n v="722"/>
    <x v="2"/>
    <x v="54"/>
    <s v="eth1/4"/>
    <x v="0"/>
    <x v="0"/>
    <x v="0"/>
    <m/>
    <x v="0"/>
    <b v="0"/>
    <s v="No está en VPC"/>
    <n v="722"/>
    <s v="INTPG-VPC_HDD119_723_1.3_722_1.4"/>
    <s v="ISEL-1.4"/>
    <n v="1"/>
    <s v="NO TIENE L3OUT"/>
    <n v="0"/>
    <n v="54"/>
  </r>
  <r>
    <n v="733"/>
    <x v="2"/>
    <x v="55"/>
    <s v="eth1/4"/>
    <x v="0"/>
    <x v="0"/>
    <x v="0"/>
    <s v="eth-trunk 12 fase 2 bes"/>
    <x v="0"/>
    <b v="0"/>
    <s v="No está en VPC"/>
    <n v="733"/>
    <s v="INTPG_VPC_732_1.1_4_733_1.1_4"/>
    <s v="ISEL-1.4"/>
    <n v="9"/>
    <s v="NO TIENE L3OUT"/>
    <n v="0"/>
    <n v="54"/>
  </r>
  <r>
    <n v="755"/>
    <x v="2"/>
    <x v="56"/>
    <s v="eth1/4"/>
    <x v="0"/>
    <x v="0"/>
    <x v="0"/>
    <s v="OSS F1:ithenmr06bl01nas1r9b:PORT 2"/>
    <x v="0"/>
    <b v="0"/>
    <s v="No está en VPC"/>
    <n v="755"/>
    <s v="INTPG_PC_755_1.3-6"/>
    <s v="ISEL-1.4"/>
    <n v="1"/>
    <s v="NO TIENE L3OUT"/>
    <n v="52"/>
    <n v="54"/>
  </r>
  <r>
    <n v="748"/>
    <x v="2"/>
    <x v="57"/>
    <s v="eth1/4"/>
    <x v="0"/>
    <x v="0"/>
    <x v="0"/>
    <s v="trunk11 Bes-Production"/>
    <x v="0"/>
    <b v="0"/>
    <s v="No está en VPC"/>
    <n v="748"/>
    <s v="INTPG_VPC_748_1.1_4_749_1.1_4"/>
    <s v="ISEL-1.4"/>
    <n v="14"/>
    <s v="NO TIENE L3OUT"/>
    <n v="2"/>
    <n v="54"/>
  </r>
  <r>
    <n v="756"/>
    <x v="2"/>
    <x v="58"/>
    <s v="eth1/4"/>
    <x v="0"/>
    <x v="0"/>
    <x v="0"/>
    <s v="OSS F1:ithenmr08bl01nas1r9a:PCIe3 Slot 1/2"/>
    <x v="0"/>
    <b v="0"/>
    <s v="No está en VPC"/>
    <n v="756"/>
    <s v="INTPG_PC_756_1.1-4"/>
    <s v="ISEL-1.4"/>
    <n v="1"/>
    <s v="NO TIENE L3OUT"/>
    <n v="64"/>
    <n v="54"/>
  </r>
  <r>
    <n v="754"/>
    <x v="2"/>
    <x v="59"/>
    <s v="eth1/4"/>
    <x v="0"/>
    <x v="0"/>
    <x v="0"/>
    <s v="OSS F1:ithenmr04bl03lms1r9b:PCIe3 Slot 1/2"/>
    <x v="0"/>
    <b v="0"/>
    <s v="No está en VPC"/>
    <n v="754"/>
    <s v="INTPG_ACC_754_1.4"/>
    <s v="ISEL-1.4"/>
    <n v="1"/>
    <s v="NO TIENE L3OUT"/>
    <n v="62"/>
    <n v="54"/>
  </r>
  <r>
    <n v="751"/>
    <x v="2"/>
    <x v="60"/>
    <s v="eth1/4"/>
    <x v="0"/>
    <x v="0"/>
    <x v="0"/>
    <s v="trunk15 Bes-Production"/>
    <x v="0"/>
    <b v="0"/>
    <s v="No está en VPC"/>
    <n v="751"/>
    <s v="INTPG_VPC_750_1.1_4_751_1.1_4"/>
    <s v="ISEL-1.4"/>
    <n v="14"/>
    <s v="NO TIENE L3OUT"/>
    <n v="0"/>
    <n v="54"/>
  </r>
  <r>
    <n v="769"/>
    <x v="2"/>
    <x v="61"/>
    <s v="eth1/4"/>
    <x v="0"/>
    <x v="0"/>
    <x v="0"/>
    <s v="Portchannel_6_R4A"/>
    <x v="0"/>
    <b v="0"/>
    <s v="No está en VPC"/>
    <n v="769"/>
    <s v="INTPG_PC_769_1.3-6"/>
    <s v="ISEL-1.4"/>
    <n v="1"/>
    <s v="NO TIENE L3OUT"/>
    <n v="60"/>
    <n v="54"/>
  </r>
  <r>
    <n v="742"/>
    <x v="2"/>
    <x v="62"/>
    <s v="eth1/4"/>
    <x v="0"/>
    <x v="1"/>
    <x v="1"/>
    <s v="CEM:ITHCEMB2DAT02:FLEXIO P1"/>
    <x v="5"/>
    <b v="0"/>
    <s v="No está en VPC"/>
    <n v="742"/>
    <s v="INTPG_ACC_742_1.4"/>
    <s v="ISEL-1.4"/>
    <n v="1"/>
    <s v="NO TIENE L3OUT"/>
    <n v="64"/>
    <n v="54"/>
  </r>
  <r>
    <n v="763"/>
    <x v="2"/>
    <x v="63"/>
    <s v="eth1/4"/>
    <x v="0"/>
    <x v="0"/>
    <x v="0"/>
    <s v="PAAS:ithhwoscopap004:LOM PORT 3"/>
    <x v="0"/>
    <b v="0"/>
    <s v="No está en VPC"/>
    <n v="763"/>
    <s v="INTPG_VPC_762_1.4_763_1.4"/>
    <s v="ISEL-1.4"/>
    <n v="15"/>
    <s v="NO TIENE L3OUT"/>
    <n v="2"/>
    <n v="54"/>
  </r>
  <r>
    <n v="766"/>
    <x v="2"/>
    <x v="64"/>
    <s v="eth1/4"/>
    <x v="0"/>
    <x v="0"/>
    <x v="0"/>
    <s v="Portchannel_1_R6B"/>
    <x v="0"/>
    <b v="0"/>
    <s v="No está en VPC"/>
    <n v="766"/>
    <s v="INTPG_PC_766_1.1-4"/>
    <s v="ISEL-1.4"/>
    <n v="2"/>
    <s v="NO TIENE L3OUT"/>
    <n v="58"/>
    <n v="54"/>
  </r>
  <r>
    <n v="760"/>
    <x v="2"/>
    <x v="65"/>
    <s v="eth1/4"/>
    <x v="0"/>
    <x v="1"/>
    <x v="1"/>
    <m/>
    <x v="0"/>
    <b v="0"/>
    <s v="No está en VPC"/>
    <n v="760"/>
    <s v="INTPG_VPC_760_1.1-4_761_1.1-4"/>
    <s v="ISEL-1.4"/>
    <n v="0"/>
    <s v="L3OUT-EXACLOUD"/>
    <n v="0"/>
    <n v="54"/>
  </r>
  <r>
    <n v="752"/>
    <x v="2"/>
    <x v="66"/>
    <s v="eth1/4"/>
    <x v="0"/>
    <x v="0"/>
    <x v="0"/>
    <s v="PAAS:ithhwoscopap002:Slot4.1"/>
    <x v="0"/>
    <b v="0"/>
    <s v="No está en VPC"/>
    <n v="752"/>
    <s v="INTPG_VPC_747_1.4_752_1.4"/>
    <s v="ISEL-1.4"/>
    <n v="25"/>
    <s v="NO TIENE L3OUT"/>
    <n v="0"/>
    <n v="54"/>
  </r>
  <r>
    <n v="765"/>
    <x v="2"/>
    <x v="67"/>
    <s v="eth1/4"/>
    <x v="0"/>
    <x v="0"/>
    <x v="0"/>
    <s v="Portchannel_6_R6A"/>
    <x v="0"/>
    <b v="0"/>
    <s v="No está en VPC"/>
    <n v="765"/>
    <s v="INTPG_PC_765_1.1-4"/>
    <s v="ISEL-1.4"/>
    <n v="1"/>
    <s v="NO TIENE L3OUT"/>
    <n v="60"/>
    <n v="54"/>
  </r>
  <r>
    <n v="778"/>
    <x v="2"/>
    <x v="68"/>
    <s v="eth1/4"/>
    <x v="0"/>
    <x v="0"/>
    <x v="0"/>
    <s v="ENIQ F1:itheniqr07nas1r2:LOM PORT 2"/>
    <x v="0"/>
    <b v="0"/>
    <s v="No está en VPC"/>
    <n v="778"/>
    <s v="INTPG_PC_778_1.3-6"/>
    <s v="ISEL-1.4"/>
    <n v="1"/>
    <s v="NO TIENE L3OUT"/>
    <n v="26"/>
    <n v="54"/>
  </r>
  <r>
    <n v="780"/>
    <x v="2"/>
    <x v="69"/>
    <s v="eth1/4"/>
    <x v="0"/>
    <x v="0"/>
    <x v="0"/>
    <s v="LACP_NAS1_ENIQ1"/>
    <x v="0"/>
    <b v="0"/>
    <s v="No está en VPC"/>
    <n v="780"/>
    <s v="INTPG_PC_780_1.3-6"/>
    <s v="ISEL-1.4"/>
    <n v="1"/>
    <s v="NO TIENE L3OUT"/>
    <n v="26"/>
    <n v="54"/>
  </r>
  <r>
    <n v="812"/>
    <x v="2"/>
    <x v="70"/>
    <s v="eth1/4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4"/>
    <x v="0"/>
    <x v="0"/>
    <x v="0"/>
    <s v="TO_ITHFHWDCIMLAP02_REDUNDANTE"/>
    <x v="0"/>
    <b v="0"/>
    <s v="No está en VPC"/>
    <n v="796"/>
    <s v="INTPG_ACC_796_1.4"/>
    <s v="ISEL-1.4"/>
    <n v="1"/>
    <s v="NO TIENE L3OUT"/>
    <n v="18"/>
    <n v="54"/>
  </r>
  <r>
    <n v="795"/>
    <x v="2"/>
    <x v="72"/>
    <s v="eth1/4"/>
    <x v="0"/>
    <x v="0"/>
    <x v="0"/>
    <s v="TO_ITHFHWDCIMLAP02_OCP2.1"/>
    <x v="0"/>
    <b v="0"/>
    <s v="No está en VPC"/>
    <n v="795"/>
    <s v="INTPG_ACC_795_1.4"/>
    <s v="ISEL-1.4"/>
    <n v="1"/>
    <s v="NO TIENE L3OUT"/>
    <n v="18"/>
    <n v="54"/>
  </r>
  <r>
    <n v="749"/>
    <x v="2"/>
    <x v="73"/>
    <s v="eth1/4"/>
    <x v="0"/>
    <x v="0"/>
    <x v="0"/>
    <s v="trunk11 Bes-Production"/>
    <x v="0"/>
    <b v="0"/>
    <s v="No está en VPC"/>
    <n v="749"/>
    <s v="INTPG_VPC_748_1.1_4_749_1.1_4"/>
    <s v="ISEL-1.4"/>
    <n v="14"/>
    <s v="NO TIENE L3OUT"/>
    <n v="4"/>
    <n v="54"/>
  </r>
  <r>
    <n v="824"/>
    <x v="2"/>
    <x v="74"/>
    <s v="eth1/4"/>
    <x v="0"/>
    <x v="0"/>
    <x v="0"/>
    <s v="LINK_TO_ITHHWD6K60012DKC01 /CtrlA_IOM0.P1 /Redundante"/>
    <x v="0"/>
    <b v="0"/>
    <s v="No está en VPC"/>
    <n v="824"/>
    <s v="INTPG_ACC_824_1.4"/>
    <s v="ISEL-1.4"/>
    <n v="1"/>
    <s v="NO TIENE L3OUT"/>
    <n v="70"/>
    <n v="54"/>
  </r>
  <r>
    <n v="819"/>
    <x v="2"/>
    <x v="75"/>
    <s v="eth1/4"/>
    <x v="0"/>
    <x v="0"/>
    <x v="0"/>
    <s v="LINK_TO_ITHHWD6K60012DKC01 /CtrlA_IOM0.P0 /Principal"/>
    <x v="0"/>
    <b v="0"/>
    <s v="No está en VPC"/>
    <n v="819"/>
    <s v="INTPG_ACC_819_1.4"/>
    <s v="ISEL-1.4"/>
    <n v="1"/>
    <s v="NO TIENE L3OUT"/>
    <n v="70"/>
    <n v="54"/>
  </r>
  <r>
    <n v="737"/>
    <x v="2"/>
    <x v="76"/>
    <s v="eth1/4"/>
    <x v="0"/>
    <x v="0"/>
    <x v="0"/>
    <s v="CEM:ITHCEME2DAT02:FLEXIO P1"/>
    <x v="5"/>
    <b v="0"/>
    <s v="No está en VPC"/>
    <n v="737"/>
    <s v="INTPG_ACC_737_1.4"/>
    <s v="ISEL-1.4"/>
    <n v="1"/>
    <s v="NO TIENE L3OUT"/>
    <n v="72"/>
    <n v="54"/>
  </r>
  <r>
    <n v="844"/>
    <x v="2"/>
    <x v="77"/>
    <s v="eth1/4"/>
    <x v="0"/>
    <x v="0"/>
    <x v="0"/>
    <s v="LINK_TO_ITHFHWCRMPLCN102 / Slot1.1_8 / Principal"/>
    <x v="0"/>
    <b v="0"/>
    <s v="No está en VPC"/>
    <n v="844"/>
    <s v="INTPG_ACC_844_1.4"/>
    <s v="ISEL-1.4"/>
    <n v="6"/>
    <s v="NO TIENE L3OUT"/>
    <n v="282"/>
    <n v="54"/>
  </r>
  <r>
    <n v="843"/>
    <x v="2"/>
    <x v="78"/>
    <s v="eth1/4"/>
    <x v="0"/>
    <x v="0"/>
    <x v="0"/>
    <s v="LINK_To_ITHFHWCBSPSHDCTL04 / Slot7.2_12 / Redundante"/>
    <x v="0"/>
    <b v="0"/>
    <s v="No está en VPC"/>
    <n v="843"/>
    <s v="INTPG_VPC_838_1.4_843_1.4"/>
    <s v="ISEL-1.4"/>
    <n v="1"/>
    <s v="NO TIENE L3OUT"/>
    <n v="38"/>
    <n v="54"/>
  </r>
  <r>
    <n v="797"/>
    <x v="2"/>
    <x v="79"/>
    <s v="eth1/4"/>
    <x v="0"/>
    <x v="0"/>
    <x v="0"/>
    <s v="TO-HDPS_06-MSP"/>
    <x v="0"/>
    <b v="0"/>
    <s v="No está en VPC"/>
    <n v="797"/>
    <s v="INTPG_ACC_797_1.4"/>
    <s v="ISEL-1.4"/>
    <n v="1"/>
    <s v="NO TIENE L3OUT"/>
    <n v="48"/>
    <n v="54"/>
  </r>
  <r>
    <n v="839"/>
    <x v="2"/>
    <x v="80"/>
    <s v="eth1/4"/>
    <x v="0"/>
    <x v="0"/>
    <x v="0"/>
    <s v="LINK_TO_ITHFHWCBSPSHD44 / Slot7.1_6 / Redundante"/>
    <x v="0"/>
    <b v="0"/>
    <s v="No está en VPC"/>
    <n v="839"/>
    <s v="INTPG_VPC_834_1.4_839_1.4"/>
    <s v="ISEL-1.4"/>
    <n v="2"/>
    <s v="NO TIENE L3OUT"/>
    <n v="0"/>
    <n v="54"/>
  </r>
  <r>
    <n v="847"/>
    <x v="2"/>
    <x v="81"/>
    <s v="eth1/4"/>
    <x v="0"/>
    <x v="0"/>
    <x v="0"/>
    <s v="LINK_TO_ITHFHWCRMPSBDA06 / Slot1.1_6 / Principal"/>
    <x v="0"/>
    <b v="0"/>
    <s v="No está en VPC"/>
    <n v="847"/>
    <s v="INTPG_VPC_847_1.4_854_1.4"/>
    <s v="ISEL-1.4"/>
    <n v="6"/>
    <s v="NO TIENE L3OUT"/>
    <n v="204"/>
    <n v="54"/>
  </r>
  <r>
    <n v="848"/>
    <x v="2"/>
    <x v="82"/>
    <s v="eth1/4"/>
    <x v="0"/>
    <x v="0"/>
    <x v="0"/>
    <s v="LINK_TO_ITHFHWCRMPLCN155 / Slot7.3_12 / Redundante"/>
    <x v="0"/>
    <b v="0"/>
    <s v="No está en VPC"/>
    <n v="848"/>
    <s v="INTPG_ACC_848_1.4"/>
    <s v="ISEL-1.4"/>
    <n v="1"/>
    <s v="NO TIENE L3OUT"/>
    <n v="254"/>
    <n v="54"/>
  </r>
  <r>
    <n v="846"/>
    <x v="2"/>
    <x v="83"/>
    <s v="eth1/4"/>
    <x v="0"/>
    <x v="0"/>
    <x v="0"/>
    <s v="VPC_2DCRMP_BDP06_2"/>
    <x v="0"/>
    <b v="0"/>
    <s v="No está en VPC"/>
    <n v="846"/>
    <s v="INTPG_VPC_846_1.4_853_1.4"/>
    <s v="ISEL-1.4"/>
    <n v="2"/>
    <s v="NO TIENE L3OUT"/>
    <n v="242"/>
    <n v="54"/>
  </r>
  <r>
    <n v="838"/>
    <x v="2"/>
    <x v="84"/>
    <s v="eth1/4"/>
    <x v="0"/>
    <x v="0"/>
    <x v="0"/>
    <s v="LINK_To_ITHFHWCBSPSHDCTL04 / Slot1.2_12 / Principal"/>
    <x v="0"/>
    <b v="0"/>
    <s v="No está en VPC"/>
    <n v="838"/>
    <s v="INTPG_VPC_838_1.4_843_1.4"/>
    <s v="ISEL-1.4"/>
    <n v="1"/>
    <s v="NO TIENE L3OUT"/>
    <n v="38"/>
    <n v="54"/>
  </r>
  <r>
    <n v="849"/>
    <x v="2"/>
    <x v="85"/>
    <s v="eth1/4"/>
    <x v="0"/>
    <x v="0"/>
    <x v="0"/>
    <s v="LINK_TO_ITHFHWCRMPLCN135 / Slot7.3_4 / Redundante"/>
    <x v="0"/>
    <b v="0"/>
    <s v="No está en VPC"/>
    <n v="849"/>
    <s v="INTPG_ACC_849_1.4"/>
    <s v="ISEL-1.4"/>
    <n v="1"/>
    <s v="NO TIENE L3OUT"/>
    <n v="286"/>
    <n v="54"/>
  </r>
  <r>
    <n v="845"/>
    <x v="2"/>
    <x v="86"/>
    <s v="eth1/4"/>
    <x v="0"/>
    <x v="0"/>
    <x v="0"/>
    <s v="LINK_TO_ITHFHWCRMPLCN117 / Slot1.2_38 / Principal"/>
    <x v="0"/>
    <b v="0"/>
    <s v="No está en VPC"/>
    <n v="845"/>
    <s v="INTPG_ACC_845_1.4"/>
    <s v="ISEL-1.4"/>
    <n v="2"/>
    <s v="NO TIENE L3OUT"/>
    <n v="258"/>
    <n v="54"/>
  </r>
  <r>
    <n v="873"/>
    <x v="2"/>
    <x v="87"/>
    <s v="eth1/4"/>
    <x v="0"/>
    <x v="0"/>
    <x v="0"/>
    <s v="TO_ITHFHWCRMDLCN54_Principal"/>
    <x v="0"/>
    <b v="0"/>
    <s v="No está en VPC"/>
    <n v="873"/>
    <s v="INTPG_ACC_873_1.4"/>
    <s v="ISEL-1.4"/>
    <n v="2"/>
    <s v="NO TIENE L3OUT"/>
    <n v="248"/>
    <n v="54"/>
  </r>
  <r>
    <n v="864"/>
    <x v="2"/>
    <x v="88"/>
    <s v="eth1/4"/>
    <x v="0"/>
    <x v="0"/>
    <x v="0"/>
    <s v="To_VPC_2DCBSD_HD32_1"/>
    <x v="0"/>
    <b v="0"/>
    <s v="No está en VPC"/>
    <n v="864"/>
    <s v="INTPG_VPC_859_1.4_864_1.4"/>
    <s v="ISEL-1.4"/>
    <n v="2"/>
    <s v="NO TIENE L3OUT"/>
    <n v="0"/>
    <n v="54"/>
  </r>
  <r>
    <n v="836"/>
    <x v="2"/>
    <x v="89"/>
    <s v="eth1/4"/>
    <x v="0"/>
    <x v="0"/>
    <x v="0"/>
    <s v="LINK_TO_ITHFHWCBSPSUSBD33 / Slot1.3_6 / Principal"/>
    <x v="0"/>
    <b v="0"/>
    <s v="No está en VPC"/>
    <n v="836"/>
    <s v="INTPG_VPC_836_1.4_841_1.4"/>
    <s v="ISEL-1.4"/>
    <n v="1"/>
    <s v="NO TIENE L3OUT"/>
    <n v="0"/>
    <n v="54"/>
  </r>
  <r>
    <n v="834"/>
    <x v="2"/>
    <x v="90"/>
    <s v="eth1/4"/>
    <x v="0"/>
    <x v="0"/>
    <x v="0"/>
    <s v="LINK_TO_ITHFHWCBSPSHD44 / Slot1.1_6 / Principal"/>
    <x v="0"/>
    <b v="0"/>
    <s v="No está en VPC"/>
    <n v="834"/>
    <s v="INTPG_VPC_834_1.4_839_1.4"/>
    <s v="ISEL-1.4"/>
    <n v="2"/>
    <s v="NO TIENE L3OUT"/>
    <n v="0"/>
    <n v="54"/>
  </r>
  <r>
    <n v="872"/>
    <x v="2"/>
    <x v="91"/>
    <s v="eth1/4"/>
    <x v="0"/>
    <x v="0"/>
    <x v="0"/>
    <s v="To_ITHFHWCRMDLCN70_Principal"/>
    <x v="0"/>
    <b v="0"/>
    <s v="No está en VPC"/>
    <n v="872"/>
    <s v="INTPG_ACC_872_1.4"/>
    <s v="ISEL-1.4"/>
    <n v="2"/>
    <s v="NO TIENE L3OUT"/>
    <n v="288"/>
    <n v="54"/>
  </r>
  <r>
    <n v="842"/>
    <x v="2"/>
    <x v="92"/>
    <s v="eth1/4"/>
    <x v="0"/>
    <x v="0"/>
    <x v="0"/>
    <s v="LINK_TO_ITHFHWCBSPSHDCTL05 / Slot7.3_12 / Redundante"/>
    <x v="0"/>
    <b v="0"/>
    <s v="No está en VPC"/>
    <n v="842"/>
    <s v="INTPG_VPC_837_1.4_842_1.4"/>
    <s v="ISEL-1.4"/>
    <n v="1"/>
    <s v="NO TIENE L3OUT"/>
    <n v="8"/>
    <n v="54"/>
  </r>
  <r>
    <n v="828"/>
    <x v="2"/>
    <x v="93"/>
    <s v="eth1/4"/>
    <x v="0"/>
    <x v="0"/>
    <x v="0"/>
    <s v="LINK_TO_ITHFHWCBSDSWR33 /Slot5.2 /Principal"/>
    <x v="0"/>
    <b v="0"/>
    <s v="No está en VPC"/>
    <n v="828"/>
    <s v="INTPG_VPC_828_1.4_832_1.4"/>
    <s v="ISEL-1.4"/>
    <n v="2"/>
    <s v="NO TIENE L3OUT"/>
    <n v="192"/>
    <n v="54"/>
  </r>
  <r>
    <n v="870"/>
    <x v="2"/>
    <x v="94"/>
    <s v="eth1/4"/>
    <x v="0"/>
    <x v="0"/>
    <x v="0"/>
    <s v="TO_ITHFHWCRMDLCN54_Redundante"/>
    <x v="0"/>
    <b v="0"/>
    <s v="No está en VPC"/>
    <n v="870"/>
    <s v="INTPG_ACC_870_1.4"/>
    <s v="ISEL-1.4"/>
    <n v="2"/>
    <s v="NO TIENE L3OUT"/>
    <n v="248"/>
    <n v="54"/>
  </r>
  <r>
    <n v="866"/>
    <x v="2"/>
    <x v="95"/>
    <s v="eth1/4"/>
    <x v="0"/>
    <x v="0"/>
    <x v="0"/>
    <s v="To_ITHHWD6KV65100016DKC01_Redundante"/>
    <x v="0"/>
    <b v="0"/>
    <s v="No está en VPC"/>
    <n v="866"/>
    <s v="INTPG_ACC_866_1.4"/>
    <s v="ISEL-1.4"/>
    <n v="1"/>
    <s v="NO TIENE L3OUT"/>
    <n v="8"/>
    <n v="54"/>
  </r>
  <r>
    <n v="862"/>
    <x v="2"/>
    <x v="96"/>
    <s v="eth1/4"/>
    <x v="0"/>
    <x v="0"/>
    <x v="0"/>
    <s v="To_VPC_2DCBSD_WR38_3"/>
    <x v="0"/>
    <b v="0"/>
    <s v="No está en VPC"/>
    <n v="862"/>
    <s v="INTPG_VPC_862_1.4_867_1.4"/>
    <s v="ISEL-1.4"/>
    <n v="1"/>
    <s v="NO TIENE L3OUT"/>
    <n v="44"/>
    <n v="54"/>
  </r>
  <r>
    <n v="855"/>
    <x v="2"/>
    <x v="97"/>
    <s v="eth1/4"/>
    <x v="0"/>
    <x v="0"/>
    <x v="0"/>
    <s v="LINK_TO_ITHFHWCRMPLCN155 / Slot1.3_12 / Principal"/>
    <x v="0"/>
    <b v="0"/>
    <s v="No está en VPC"/>
    <n v="855"/>
    <s v="INTPG_ACC_855_1.4"/>
    <s v="ISEL-1.4"/>
    <n v="1"/>
    <s v="NO TIENE L3OUT"/>
    <n v="254"/>
    <n v="54"/>
  </r>
  <r>
    <n v="871"/>
    <x v="2"/>
    <x v="98"/>
    <s v="eth1/4"/>
    <x v="0"/>
    <x v="0"/>
    <x v="0"/>
    <s v="TO_ITHFHWCRMDLCN82_Principal"/>
    <x v="0"/>
    <b v="0"/>
    <s v="No está en VPC"/>
    <n v="871"/>
    <s v="INTPG_ACC_871_1.4"/>
    <s v="ISEL-1.4"/>
    <n v="6"/>
    <s v="NO TIENE L3OUT"/>
    <n v="246"/>
    <n v="54"/>
  </r>
  <r>
    <n v="841"/>
    <x v="2"/>
    <x v="99"/>
    <s v="eth1/4"/>
    <x v="0"/>
    <x v="0"/>
    <x v="0"/>
    <s v="LINK_TO_ITHFHWCBSPSUSBD33 / Slot7.3_6 / Redundante"/>
    <x v="0"/>
    <b v="0"/>
    <s v="No está en VPC"/>
    <n v="841"/>
    <s v="INTPG_VPC_836_1.4_841_1.4"/>
    <s v="ISEL-1.4"/>
    <n v="1"/>
    <s v="NO TIENE L3OUT"/>
    <n v="0"/>
    <n v="54"/>
  </r>
  <r>
    <n v="868"/>
    <x v="2"/>
    <x v="100"/>
    <s v="eth1/4"/>
    <x v="0"/>
    <x v="0"/>
    <x v="0"/>
    <s v="TO_ITHFHWCRMDLCN82_Redundante"/>
    <x v="0"/>
    <b v="0"/>
    <s v="No está en VPC"/>
    <n v="868"/>
    <s v="INTPG_ACC_868_1.4"/>
    <s v="ISEL-1.4"/>
    <n v="6"/>
    <s v="NO TIENE L3OUT"/>
    <n v="246"/>
    <n v="54"/>
  </r>
  <r>
    <n v="869"/>
    <x v="2"/>
    <x v="101"/>
    <s v="eth1/4"/>
    <x v="0"/>
    <x v="0"/>
    <x v="0"/>
    <s v="To_ITHFHWCRMDLCN70_Redundante"/>
    <x v="0"/>
    <b v="0"/>
    <s v="No está en VPC"/>
    <n v="869"/>
    <s v="INTPG_ACC_869_1.4"/>
    <s v="ISEL-1.4"/>
    <n v="2"/>
    <s v="NO TIENE L3OUT"/>
    <n v="288"/>
    <n v="54"/>
  </r>
  <r>
    <n v="861"/>
    <x v="2"/>
    <x v="102"/>
    <s v="eth1/4"/>
    <x v="0"/>
    <x v="0"/>
    <x v="0"/>
    <s v="To_ITHHWD6KV65100016DKC01_Principal"/>
    <x v="0"/>
    <b v="0"/>
    <s v="No está en VPC"/>
    <n v="861"/>
    <s v="INTPG_ACC_861_1.4"/>
    <s v="ISEL-1.4"/>
    <n v="1"/>
    <s v="NO TIENE L3OUT"/>
    <n v="8"/>
    <n v="54"/>
  </r>
  <r>
    <n v="874"/>
    <x v="2"/>
    <x v="103"/>
    <s v="eth1/4"/>
    <x v="0"/>
    <x v="0"/>
    <x v="0"/>
    <s v="LINK_TO_ITHFHWSEQLHDPS73 / Slot 5 PTO 1 / Redundante"/>
    <x v="4"/>
    <b v="0"/>
    <s v="No está en VPC"/>
    <n v="874"/>
    <s v="INTPG_ACC_874_1.4"/>
    <s v="ISEL-1.4"/>
    <n v="1"/>
    <s v="NO TIENE L3OUT"/>
    <n v="92"/>
    <n v="54"/>
  </r>
  <r>
    <n v="865"/>
    <x v="2"/>
    <x v="104"/>
    <s v="eth1/4"/>
    <x v="0"/>
    <x v="0"/>
    <x v="0"/>
    <s v="To_VPC_2DCBSD_WR53_1"/>
    <x v="0"/>
    <b v="0"/>
    <s v="No está en VPC"/>
    <n v="865"/>
    <s v="INTPG_VPC_860_1.4_865_1.4"/>
    <s v="ISEL-1.4"/>
    <n v="2"/>
    <s v="NO TIENE L3OUT"/>
    <n v="0"/>
    <n v="54"/>
  </r>
  <r>
    <n v="753"/>
    <x v="2"/>
    <x v="105"/>
    <s v="eth1/4"/>
    <x v="0"/>
    <x v="0"/>
    <x v="0"/>
    <s v="OSS F1:ithenmr03bl01nas1r9c:PCIe3 Slot 1/2"/>
    <x v="0"/>
    <b v="0"/>
    <s v="No está en VPC"/>
    <n v="753"/>
    <s v="INTPG_PC_753_1.1-4"/>
    <s v="ISEL-1.4"/>
    <n v="1"/>
    <s v="NO TIENE L3OUT"/>
    <n v="62"/>
    <n v="54"/>
  </r>
  <r>
    <n v="708"/>
    <x v="2"/>
    <x v="106"/>
    <s v="eth1/4"/>
    <x v="0"/>
    <x v="1"/>
    <x v="5"/>
    <s v="CEM:ITHCEME2DAT02:LOM  P2"/>
    <x v="0"/>
    <b v="0"/>
    <s v="No está en VPC"/>
    <n v="708"/>
    <s v="INTPG_VPC_708_1.4_709_1.3"/>
    <s v="ISEL-1.4"/>
    <n v="1"/>
    <s v="NO TIENE L3OUT"/>
    <n v="0"/>
    <n v="54"/>
  </r>
  <r>
    <n v="710"/>
    <x v="2"/>
    <x v="107"/>
    <s v="eth1/4"/>
    <x v="0"/>
    <x v="0"/>
    <x v="0"/>
    <s v="CEM:ITHCEMC2DAT02:LOM  P2"/>
    <x v="0"/>
    <b v="0"/>
    <s v="No está en VPC"/>
    <n v="710"/>
    <s v="INTPG_ACC_710_1.4"/>
    <s v="ISEL-1.4"/>
    <n v="1"/>
    <s v="NO TIENE L3OUT"/>
    <n v="16"/>
    <n v="54"/>
  </r>
  <r>
    <n v="713"/>
    <x v="2"/>
    <x v="108"/>
    <s v="eth1/4"/>
    <x v="0"/>
    <x v="0"/>
    <x v="0"/>
    <s v="CEM:ITHCEMB2DAT02:LOM  P2"/>
    <x v="0"/>
    <b v="0"/>
    <s v="No está en VPC"/>
    <n v="713"/>
    <s v="INTPG_ACC_713_1.4"/>
    <s v="ISEL-1.4"/>
    <n v="1"/>
    <s v="NO TIENE L3OUT"/>
    <n v="32"/>
    <n v="54"/>
  </r>
  <r>
    <n v="735"/>
    <x v="2"/>
    <x v="109"/>
    <s v="eth1/4"/>
    <x v="0"/>
    <x v="1"/>
    <x v="1"/>
    <s v="CEM_HADOOP"/>
    <x v="5"/>
    <b v="0"/>
    <s v="No está en VPC"/>
    <n v="735"/>
    <s v="INTPG_ACC_735_1.4"/>
    <s v="ISEL-1.4"/>
    <n v="1"/>
    <s v="NO TIENE L3OUT"/>
    <n v="34"/>
    <n v="54"/>
  </r>
  <r>
    <n v="731"/>
    <x v="2"/>
    <x v="110"/>
    <s v="eth1/4"/>
    <x v="0"/>
    <x v="0"/>
    <x v="0"/>
    <s v="eth-trunk-2"/>
    <x v="0"/>
    <b v="0"/>
    <s v="No está en VPC"/>
    <n v="731"/>
    <s v="INTPG_VPC_730_1.1_4_731_1.1_4"/>
    <s v="ISEL-1.4"/>
    <n v="11"/>
    <s v="NO TIENE L3OUT"/>
    <n v="38"/>
    <n v="54"/>
  </r>
  <r>
    <n v="703"/>
    <x v="2"/>
    <x v="111"/>
    <s v="eth1/4"/>
    <x v="0"/>
    <x v="0"/>
    <x v="0"/>
    <m/>
    <x v="0"/>
    <b v="0"/>
    <s v="No está en VPC"/>
    <n v="703"/>
    <s v="INTPG_VPC_704_1.3_703_1.4"/>
    <s v="ISEL-1.4"/>
    <n v="1"/>
    <s v="NO TIENE L3OUT"/>
    <n v="2"/>
    <n v="54"/>
  </r>
  <r>
    <n v="706"/>
    <x v="2"/>
    <x v="112"/>
    <s v="eth1/4"/>
    <x v="0"/>
    <x v="0"/>
    <x v="0"/>
    <m/>
    <x v="0"/>
    <b v="0"/>
    <s v="No está en VPC"/>
    <n v="706"/>
    <s v="INTPG_VPC_705_1.3_706_1.4"/>
    <s v="ISEL-1.4"/>
    <n v="2"/>
    <s v="NO TIENE L3OUT"/>
    <n v="16"/>
    <n v="54"/>
  </r>
  <r>
    <n v="762"/>
    <x v="2"/>
    <x v="113"/>
    <s v="eth1/4"/>
    <x v="0"/>
    <x v="0"/>
    <x v="0"/>
    <s v="PAAS:ithhwoscopap004:FlexIO.1"/>
    <x v="0"/>
    <b v="0"/>
    <s v="No está en VPC"/>
    <n v="762"/>
    <s v="INTPG_VPC_762_1.4_763_1.4"/>
    <s v="ISEL-1.4"/>
    <n v="15"/>
    <s v="NO TIENE L3OUT"/>
    <n v="0"/>
    <n v="54"/>
  </r>
  <r>
    <n v="814"/>
    <x v="2"/>
    <x v="114"/>
    <s v="eth1/4"/>
    <x v="0"/>
    <x v="0"/>
    <x v="0"/>
    <s v="A_ITHHPGRLKEN05_Principal"/>
    <x v="2"/>
    <b v="0"/>
    <s v="No está en VPC"/>
    <n v="814"/>
    <s v="INTPG_VPC_814_1.4_815_1.4"/>
    <s v="ISEL-1.4"/>
    <n v="98"/>
    <s v="NO TIENE L3OUT"/>
    <n v="0"/>
    <n v="42"/>
  </r>
  <r>
    <n v="878"/>
    <x v="2"/>
    <x v="115"/>
    <s v="eth1/4"/>
    <x v="0"/>
    <x v="0"/>
    <x v="0"/>
    <s v="HACIA_CSI-A-OSCP-F4-12_PRINCIPAL"/>
    <x v="4"/>
    <b v="0"/>
    <s v="No está en VPC"/>
    <n v="878"/>
    <s v="INTPG_VPC_878_1.4_879_1.4"/>
    <s v="ISEL-1.4"/>
    <n v="2"/>
    <s v="NO TIENE L3OUT"/>
    <n v="0"/>
    <n v="54"/>
  </r>
  <r>
    <n v="826"/>
    <x v="2"/>
    <x v="116"/>
    <s v="eth1/4"/>
    <x v="0"/>
    <x v="0"/>
    <x v="0"/>
    <s v="LINK_TO_ITHFHWCBSDSUSBD05 /Slot5.2 /Principal"/>
    <x v="0"/>
    <b v="0"/>
    <s v="No está en VPC"/>
    <n v="826"/>
    <s v="INTPG_VPC_826_1.4_830_1.4"/>
    <s v="ISEL-1.4"/>
    <n v="2"/>
    <s v="NO TIENE L3OUT"/>
    <n v="12"/>
    <n v="54"/>
  </r>
  <r>
    <n v="726"/>
    <x v="2"/>
    <x v="117"/>
    <s v="eth1/4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4"/>
    <x v="0"/>
    <x v="0"/>
    <x v="0"/>
    <s v="CEM:ITHCEMD2DAT02:FLEXIO P1"/>
    <x v="5"/>
    <b v="0"/>
    <s v="No está en VPC"/>
    <n v="740"/>
    <s v="INTPG_ACC_740_1.4"/>
    <s v="ISEL-1.4"/>
    <n v="1"/>
    <s v="NO TIENE L3OUT"/>
    <n v="72"/>
    <n v="54"/>
  </r>
  <r>
    <n v="705"/>
    <x v="2"/>
    <x v="119"/>
    <s v="eth1/4"/>
    <x v="0"/>
    <x v="0"/>
    <x v="0"/>
    <s v="ITHCEMA1DAT02-LOM-P2"/>
    <x v="0"/>
    <b v="0"/>
    <s v="No está en VPC"/>
    <n v="705"/>
    <s v="INTPG_ACC_705_1.4"/>
    <s v="ISEL-1.4"/>
    <n v="1"/>
    <s v="NO TIENE L3OUT"/>
    <n v="16"/>
    <n v="54"/>
  </r>
  <r>
    <n v="723"/>
    <x v="2"/>
    <x v="120"/>
    <s v="eth1/4"/>
    <x v="0"/>
    <x v="0"/>
    <x v="0"/>
    <m/>
    <x v="0"/>
    <b v="0"/>
    <s v="No está en VPC"/>
    <n v="723"/>
    <s v="INTPG-VPC_HDD132_722_1.3_723_1.4"/>
    <s v="ISEL-1.4"/>
    <n v="1"/>
    <s v="NO TIENE L3OUT"/>
    <n v="0"/>
    <n v="54"/>
  </r>
  <r>
    <n v="721"/>
    <x v="2"/>
    <x v="121"/>
    <s v="eth1/4"/>
    <x v="0"/>
    <x v="0"/>
    <x v="0"/>
    <m/>
    <x v="0"/>
    <b v="0"/>
    <s v="No está en VPC"/>
    <n v="721"/>
    <s v="INTPG-VPC_HDD59_714_1.3_721_1.4"/>
    <s v="ISEL-1.4"/>
    <n v="2"/>
    <s v="NO TIENE L3OUT"/>
    <n v="20"/>
    <n v="54"/>
  </r>
  <r>
    <n v="788"/>
    <x v="2"/>
    <x v="122"/>
    <s v="eth1/4"/>
    <x v="0"/>
    <x v="0"/>
    <x v="0"/>
    <s v="TO-ITHFHPMEDIRAP01"/>
    <x v="0"/>
    <b v="0"/>
    <s v="No está en VPC"/>
    <n v="788"/>
    <s v="INTPG_VPC_788_1.3-4_789_1.3-4"/>
    <s v="ISEL-1.4"/>
    <n v="2"/>
    <s v="NO TIENE L3OUT"/>
    <n v="4"/>
    <n v="54"/>
  </r>
  <r>
    <n v="732"/>
    <x v="2"/>
    <x v="123"/>
    <s v="eth1/4"/>
    <x v="0"/>
    <x v="0"/>
    <x v="0"/>
    <s v="eth-trunk 12 fase 2 bes"/>
    <x v="0"/>
    <b v="0"/>
    <s v="No está en VPC"/>
    <n v="732"/>
    <s v="INTPG_VPC_732_1.1_4_733_1.1_4"/>
    <s v="ISEL-1.4"/>
    <n v="9"/>
    <s v="NO TIENE L3OUT"/>
    <n v="0"/>
    <n v="54"/>
  </r>
  <r>
    <n v="720"/>
    <x v="2"/>
    <x v="124"/>
    <s v="eth1/4"/>
    <x v="0"/>
    <x v="0"/>
    <x v="0"/>
    <m/>
    <x v="0"/>
    <b v="0"/>
    <s v="No está en VPC"/>
    <n v="720"/>
    <s v="INTPG-VPC_HDD06_719_1.3_720_1.4"/>
    <s v="ISEL-1.4"/>
    <n v="1"/>
    <s v="NO TIENE L3OUT"/>
    <n v="0"/>
    <n v="54"/>
  </r>
  <r>
    <n v="709"/>
    <x v="2"/>
    <x v="125"/>
    <s v="eth1/4"/>
    <x v="0"/>
    <x v="1"/>
    <x v="5"/>
    <s v="CEM:ITHCEMF2DAT02:LOM  P2"/>
    <x v="0"/>
    <b v="0"/>
    <s v="No está en VPC"/>
    <n v="709"/>
    <s v="INTPG_VPC_708_1.3_709_1.4"/>
    <s v="ISEL-1.4"/>
    <n v="1"/>
    <s v="NO TIENE L3OUT"/>
    <n v="0"/>
    <n v="54"/>
  </r>
  <r>
    <n v="454"/>
    <x v="1"/>
    <x v="126"/>
    <s v="eth1/4"/>
    <x v="0"/>
    <x v="0"/>
    <x v="0"/>
    <s v="HACIA_CSI-A-OSCP-F4-08_PRINCIPAL"/>
    <x v="4"/>
    <b v="0"/>
    <s v="No está en VPC"/>
    <n v="454"/>
    <s v="INTPG_VPC_454_1.4_456_1.4"/>
    <s v="ISEL-1.4"/>
    <n v="2"/>
    <s v="NO TIENE L3OUT"/>
    <n v="4"/>
    <n v="54"/>
  </r>
  <r>
    <n v="734"/>
    <x v="2"/>
    <x v="127"/>
    <s v="eth1/4"/>
    <x v="0"/>
    <x v="1"/>
    <x v="1"/>
    <s v="CEM:ITHCEMA1DAT02:FLEXIO P1"/>
    <x v="5"/>
    <b v="0"/>
    <s v="No está en VPC"/>
    <n v="734"/>
    <s v="INTPG_ACC_734_1.4"/>
    <s v="ISEL-1.4"/>
    <n v="1"/>
    <s v="NO TIENE L3OUT"/>
    <n v="32"/>
    <n v="54"/>
  </r>
  <r>
    <n v="815"/>
    <x v="2"/>
    <x v="128"/>
    <s v="eth1/4"/>
    <x v="0"/>
    <x v="0"/>
    <x v="0"/>
    <s v="A_ITHHPGRLKEN05_Redundante"/>
    <x v="2"/>
    <b v="0"/>
    <s v="No está en VPC"/>
    <n v="815"/>
    <s v="INTPG_VPC_814_1.4_815_1.4"/>
    <s v="ISEL-1.4"/>
    <n v="98"/>
    <s v="NO TIENE L3OUT"/>
    <n v="0"/>
    <n v="42"/>
  </r>
  <r>
    <n v="743"/>
    <x v="2"/>
    <x v="129"/>
    <s v="eth1/4"/>
    <x v="0"/>
    <x v="0"/>
    <x v="0"/>
    <s v="trunk19 Bes-Production"/>
    <x v="0"/>
    <b v="0"/>
    <s v="No está en VPC"/>
    <n v="743"/>
    <s v="INTPG_VPC_743_1.1_4_744_1.1_4"/>
    <s v="ISEL-1.4"/>
    <n v="13"/>
    <s v="NO TIENE L3OUT"/>
    <n v="4"/>
    <n v="54"/>
  </r>
  <r>
    <n v="718"/>
    <x v="2"/>
    <x v="130"/>
    <s v="eth1/4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4"/>
    <x v="0"/>
    <x v="0"/>
    <x v="0"/>
    <s v="trunk19 Bes-Production"/>
    <x v="0"/>
    <b v="0"/>
    <s v="No está en VPC"/>
    <n v="744"/>
    <s v="INTPG_VPC_743_1.1_4_744_1.1_4"/>
    <s v="ISEL-1.4"/>
    <n v="13"/>
    <s v="NO TIENE L3OUT"/>
    <n v="4"/>
    <n v="54"/>
  </r>
  <r>
    <n v="741"/>
    <x v="2"/>
    <x v="132"/>
    <s v="eth1/4"/>
    <x v="0"/>
    <x v="1"/>
    <x v="1"/>
    <s v="CEM:ITHCEMA2DAT02:FLEXIO P1"/>
    <x v="5"/>
    <b v="0"/>
    <s v="No está en VPC"/>
    <n v="741"/>
    <s v="INTPG_ACC_741_1.4"/>
    <s v="ISEL-1.4"/>
    <n v="1"/>
    <s v="NO TIENE L3OUT"/>
    <n v="62"/>
    <n v="54"/>
  </r>
  <r>
    <n v="787"/>
    <x v="2"/>
    <x v="133"/>
    <s v="eth1/4"/>
    <x v="0"/>
    <x v="0"/>
    <x v="0"/>
    <s v="ENIQ F2:itheniqr16bl01nas1r4a:LOM PORT 2"/>
    <x v="0"/>
    <b v="0"/>
    <s v="No está en VPC"/>
    <n v="787"/>
    <s v="INTPG_PC_787_1.3-6"/>
    <s v="ISEL-1.4"/>
    <n v="1"/>
    <s v="NO TIENE L3OUT"/>
    <n v="26"/>
    <n v="54"/>
  </r>
  <r>
    <n v="750"/>
    <x v="2"/>
    <x v="134"/>
    <s v="eth1/4"/>
    <x v="0"/>
    <x v="0"/>
    <x v="0"/>
    <s v="trunk15 Bes-Production"/>
    <x v="0"/>
    <b v="0"/>
    <s v="No está en VPC"/>
    <n v="750"/>
    <s v="INTPG_VPC_750_1.1_4_751_1.1_4"/>
    <s v="ISEL-1.4"/>
    <n v="14"/>
    <s v="NO TIENE L3OUT"/>
    <n v="2"/>
    <n v="54"/>
  </r>
  <r>
    <n v="792"/>
    <x v="2"/>
    <x v="135"/>
    <s v="eth1/4"/>
    <x v="0"/>
    <x v="0"/>
    <x v="0"/>
    <s v="CRM, CBS:TB-R03-F03:X2-10GE 2"/>
    <x v="0"/>
    <b v="0"/>
    <s v="No está en VPC"/>
    <n v="792"/>
    <s v="INTPG_VPC_757_1.4-5_792_1.4-5"/>
    <s v="ISEL-1.4"/>
    <n v="3"/>
    <s v="NO TIENE L3OUT"/>
    <n v="0"/>
    <n v="54"/>
  </r>
  <r>
    <n v="736"/>
    <x v="2"/>
    <x v="136"/>
    <s v="eth1/4"/>
    <x v="0"/>
    <x v="1"/>
    <x v="3"/>
    <s v="CEM:ITHCEMG2DAT02:SLOT1 P1"/>
    <x v="0"/>
    <b v="0"/>
    <s v="No está en VPC"/>
    <n v="736"/>
    <s v="INTPG_ACC_736_1.4"/>
    <s v="ISEL-1.4"/>
    <n v="1"/>
    <s v="NO TIENE L3OUT"/>
    <n v="48"/>
    <n v="54"/>
  </r>
  <r>
    <n v="799"/>
    <x v="2"/>
    <x v="137"/>
    <s v="eth1/4"/>
    <x v="0"/>
    <x v="0"/>
    <x v="0"/>
    <s v="TO-IMC_PS18-MSP"/>
    <x v="0"/>
    <b v="0"/>
    <s v="No está en VPC"/>
    <n v="799"/>
    <s v="INTPG_ACC_799_1.4"/>
    <s v="ISEL-1.4"/>
    <n v="1"/>
    <s v="NO TIENE L3OUT"/>
    <n v="52"/>
    <n v="54"/>
  </r>
  <r>
    <n v="768"/>
    <x v="2"/>
    <x v="138"/>
    <s v="eth1/4"/>
    <x v="0"/>
    <x v="0"/>
    <x v="0"/>
    <s v="Portchannel_6_R3"/>
    <x v="0"/>
    <b v="0"/>
    <s v="No está en VPC"/>
    <n v="768"/>
    <s v="INTPG_PC_768_1.1-4"/>
    <s v="ISEL-1.4"/>
    <n v="1"/>
    <s v="NO TIENE L3OUT"/>
    <n v="62"/>
    <n v="54"/>
  </r>
  <r>
    <n v="714"/>
    <x v="2"/>
    <x v="139"/>
    <s v="eth1/4"/>
    <x v="0"/>
    <x v="0"/>
    <x v="0"/>
    <s v="TO-ITHFHWVRALCN09"/>
    <x v="0"/>
    <b v="0"/>
    <s v="No está en VPC"/>
    <n v="714"/>
    <s v="INTPG_VPC_714_1.4_721_1.3"/>
    <s v="ISEL-1.4"/>
    <n v="108"/>
    <s v="NO TIENE L3OUT"/>
    <n v="20"/>
    <n v="54"/>
  </r>
  <r>
    <n v="717"/>
    <x v="2"/>
    <x v="140"/>
    <s v="eth1/4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4"/>
    <x v="0"/>
    <x v="0"/>
    <x v="0"/>
    <s v="TO-ITHFHPMEDIRAP01"/>
    <x v="0"/>
    <b v="0"/>
    <s v="No está en VPC"/>
    <n v="789"/>
    <s v="INTPG_VPC_788_1.3-4_789_1.3-4"/>
    <s v="ISEL-1.4"/>
    <n v="2"/>
    <s v="NO TIENE L3OUT"/>
    <n v="0"/>
    <n v="54"/>
  </r>
  <r>
    <n v="764"/>
    <x v="2"/>
    <x v="142"/>
    <s v="eth1/4"/>
    <x v="0"/>
    <x v="0"/>
    <x v="0"/>
    <s v="Portchannel_6_R1"/>
    <x v="0"/>
    <b v="0"/>
    <s v="No está en VPC"/>
    <n v="764"/>
    <s v="INTPG_PC_764_1.1-4"/>
    <s v="ISEL-1.4"/>
    <n v="1"/>
    <s v="NO TIENE L3OUT"/>
    <n v="62"/>
    <n v="54"/>
  </r>
  <r>
    <n v="783"/>
    <x v="2"/>
    <x v="143"/>
    <s v="eth1/4"/>
    <x v="0"/>
    <x v="0"/>
    <x v="0"/>
    <s v="LACP_NAS1_ENIQ9A"/>
    <x v="0"/>
    <b v="0"/>
    <s v="No está en VPC"/>
    <n v="783"/>
    <s v="INTPG_PC_783_1.3-6"/>
    <s v="ISEL-1.4"/>
    <n v="1"/>
    <s v="NO TIENE L3OUT"/>
    <n v="26"/>
    <n v="54"/>
  </r>
  <r>
    <n v="774"/>
    <x v="2"/>
    <x v="144"/>
    <s v="eth1/4"/>
    <x v="0"/>
    <x v="0"/>
    <x v="0"/>
    <s v="CLOUD PASS PAYG F3:ITHHWOSCOPAP021:FLEX I/O P1"/>
    <x v="0"/>
    <b v="0"/>
    <s v="No está en VPC"/>
    <n v="774"/>
    <s v="INTPG_VPC_774_1.4_775_1.4"/>
    <s v="ISEL-1.4"/>
    <n v="24"/>
    <s v="NO TIENE L3OUT"/>
    <n v="0"/>
    <n v="54"/>
  </r>
  <r>
    <n v="773"/>
    <x v="2"/>
    <x v="145"/>
    <s v="eth1/4"/>
    <x v="0"/>
    <x v="0"/>
    <x v="0"/>
    <s v="Portchannel_7_R2"/>
    <x v="0"/>
    <b v="0"/>
    <s v="No está en VPC"/>
    <n v="773"/>
    <s v="INTPG_PC_773_1.3-6"/>
    <s v="ISEL-1.4"/>
    <n v="1"/>
    <s v="NO TIENE L3OUT"/>
    <n v="78"/>
    <n v="54"/>
  </r>
  <r>
    <n v="794"/>
    <x v="2"/>
    <x v="146"/>
    <s v="eth1/4"/>
    <x v="0"/>
    <x v="0"/>
    <x v="0"/>
    <s v="TO-IXTFDLBKP2RAP02-REDUNDANTE_POWEREDGE"/>
    <x v="0"/>
    <b v="0"/>
    <s v="No está en VPC"/>
    <n v="794"/>
    <s v="INTPG_ACC_794_1.4"/>
    <s v="ISEL-1.4"/>
    <n v="1"/>
    <s v="NO TIENE L3OUT"/>
    <n v="12"/>
    <n v="54"/>
  </r>
  <r>
    <n v="803"/>
    <x v="2"/>
    <x v="147"/>
    <s v="eth1/4"/>
    <x v="0"/>
    <x v="0"/>
    <x v="0"/>
    <s v="TO-HDPS_30-MSP"/>
    <x v="0"/>
    <b v="0"/>
    <s v="No está en VPC"/>
    <n v="803"/>
    <s v="INTPG_ACC_803_1.4"/>
    <s v="ISEL-1.4"/>
    <n v="1"/>
    <s v="NO TIENE L3OUT"/>
    <n v="48"/>
    <n v="54"/>
  </r>
  <r>
    <n v="786"/>
    <x v="2"/>
    <x v="148"/>
    <s v="eth1/4"/>
    <x v="0"/>
    <x v="0"/>
    <x v="0"/>
    <s v="ENIQ F2:itheniqr14bl01nas1r4b:LOM PORT 2"/>
    <x v="0"/>
    <b v="0"/>
    <s v="No está en VPC"/>
    <n v="786"/>
    <s v="INTPG_PC_786_1.3-6"/>
    <s v="ISEL-1.4"/>
    <n v="1"/>
    <s v="NO TIENE L3OUT"/>
    <n v="26"/>
    <n v="54"/>
  </r>
  <r>
    <n v="757"/>
    <x v="2"/>
    <x v="149"/>
    <s v="eth1/4"/>
    <x v="0"/>
    <x v="0"/>
    <x v="0"/>
    <s v="CRM, CBS:ITHHWTBRK12CH1:X2-10GE 1"/>
    <x v="0"/>
    <b v="0"/>
    <s v="No está en VPC"/>
    <n v="757"/>
    <s v="INTPG_VPC_757_1.4-5_792_1.4-5"/>
    <s v="ISEL-1.4"/>
    <n v="3"/>
    <s v="NO TIENE L3OUT"/>
    <n v="0"/>
    <n v="54"/>
  </r>
  <r>
    <n v="781"/>
    <x v="2"/>
    <x v="150"/>
    <s v="eth1/4"/>
    <x v="0"/>
    <x v="0"/>
    <x v="0"/>
    <s v="LACP_NAS1_ENIQ9C"/>
    <x v="0"/>
    <b v="0"/>
    <s v="No está en VPC"/>
    <n v="781"/>
    <s v="INTPG_PC_781_1.3-6"/>
    <s v="ISEL-1.4"/>
    <n v="1"/>
    <s v="NO TIENE L3OUT"/>
    <n v="26"/>
    <n v="54"/>
  </r>
  <r>
    <n v="793"/>
    <x v="2"/>
    <x v="151"/>
    <s v="eth1/4"/>
    <x v="0"/>
    <x v="0"/>
    <x v="0"/>
    <s v="TO-IXTFDLBKP2RAP02-PRINCIPAL_POWEREDGE"/>
    <x v="0"/>
    <b v="0"/>
    <s v="No está en VPC"/>
    <n v="793"/>
    <s v="INTPG_ACC_793_1.4"/>
    <s v="ISEL-1.4"/>
    <n v="1"/>
    <s v="NO TIENE L3OUT"/>
    <n v="12"/>
    <n v="54"/>
  </r>
  <r>
    <n v="747"/>
    <x v="2"/>
    <x v="152"/>
    <s v="eth1/4"/>
    <x v="0"/>
    <x v="0"/>
    <x v="0"/>
    <s v="PAAS:ithhwoscopap004:LOM PORT 1"/>
    <x v="0"/>
    <b v="0"/>
    <s v="No está en VPC"/>
    <n v="747"/>
    <s v="INTPG_VPC_747_1.4_752_1.4"/>
    <s v="ISEL-1.4"/>
    <n v="25"/>
    <s v="NO TIENE L3OUT"/>
    <n v="0"/>
    <n v="54"/>
  </r>
  <r>
    <n v="784"/>
    <x v="2"/>
    <x v="153"/>
    <s v="eth1/4"/>
    <x v="0"/>
    <x v="0"/>
    <x v="0"/>
    <s v="ENIQ F2:itheniqr12bl01nas1r6b:LOM PORT 2"/>
    <x v="0"/>
    <b v="0"/>
    <s v="No está en VPC"/>
    <n v="784"/>
    <s v="INTPG_PC_784_1.3-6"/>
    <s v="ISEL-1.4"/>
    <n v="1"/>
    <s v="NO TIENE L3OUT"/>
    <n v="26"/>
    <n v="54"/>
  </r>
  <r>
    <n v="806"/>
    <x v="2"/>
    <x v="154"/>
    <s v="eth1/4"/>
    <x v="0"/>
    <x v="0"/>
    <x v="0"/>
    <s v="TO-HDPS_54-MSP"/>
    <x v="0"/>
    <b v="0"/>
    <s v="No está en VPC"/>
    <n v="806"/>
    <s v="INTPG_ACC_806_1.4"/>
    <s v="ISEL-1.4"/>
    <n v="1"/>
    <s v="NO TIENE L3OUT"/>
    <n v="44"/>
    <n v="54"/>
  </r>
  <r>
    <n v="777"/>
    <x v="2"/>
    <x v="155"/>
    <s v="eth1/4"/>
    <x v="0"/>
    <x v="0"/>
    <x v="0"/>
    <s v="TO-ITHHWOSCOAP027"/>
    <x v="0"/>
    <b v="0"/>
    <s v="No está en VPC"/>
    <n v="777"/>
    <s v="INTPG_VPC_776_1.4_777_1.4"/>
    <s v="ISEL-1.4"/>
    <n v="1"/>
    <s v="NO TIENE L3OUT"/>
    <n v="0"/>
    <n v="54"/>
  </r>
  <r>
    <n v="770"/>
    <x v="2"/>
    <x v="156"/>
    <s v="eth1/4"/>
    <x v="0"/>
    <x v="0"/>
    <x v="0"/>
    <s v="Portchannel_1_R4A"/>
    <x v="0"/>
    <b v="0"/>
    <s v="No está en VPC"/>
    <n v="770"/>
    <s v="INTPG_PC_770_1.1-4"/>
    <s v="ISEL-1.4"/>
    <n v="2"/>
    <s v="NO TIENE L3OUT"/>
    <n v="60"/>
    <n v="54"/>
  </r>
  <r>
    <n v="813"/>
    <x v="2"/>
    <x v="157"/>
    <s v="eth1/4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4"/>
    <x v="0"/>
    <x v="1"/>
    <x v="1"/>
    <s v="CEM:ITHCEMC2DAT02:FLEXIO P1"/>
    <x v="5"/>
    <b v="0"/>
    <s v="No está en VPC"/>
    <n v="739"/>
    <s v="INTPG_ACC_739_1.4"/>
    <s v="ISEL-1.4"/>
    <n v="1"/>
    <s v="NO TIENE L3OUT"/>
    <n v="72"/>
    <n v="54"/>
  </r>
  <r>
    <n v="775"/>
    <x v="2"/>
    <x v="159"/>
    <s v="eth1/4"/>
    <x v="0"/>
    <x v="0"/>
    <x v="0"/>
    <s v="CLOUD PASS PAYG F3:ITHHWOSCOPAP021:LOM GE P1"/>
    <x v="0"/>
    <b v="0"/>
    <s v="No está en VPC"/>
    <n v="775"/>
    <s v="INTPG_VPC_774_1.4_775_1.4"/>
    <s v="ISEL-1.4"/>
    <n v="24"/>
    <s v="NO TIENE L3OUT"/>
    <n v="0"/>
    <n v="54"/>
  </r>
  <r>
    <n v="791"/>
    <x v="2"/>
    <x v="160"/>
    <s v="eth1/4"/>
    <x v="0"/>
    <x v="0"/>
    <x v="0"/>
    <s v="LAGU2020R8"/>
    <x v="0"/>
    <b v="0"/>
    <s v="No está en VPC"/>
    <n v="791"/>
    <s v="INTPG_VPC_790_1.1_3_791_1.2_4"/>
    <s v="ISEL-1.4"/>
    <n v="1"/>
    <s v="NO TIENE L3OUT"/>
    <n v="20"/>
    <n v="54"/>
  </r>
  <r>
    <n v="808"/>
    <x v="2"/>
    <x v="161"/>
    <s v="eth1/4"/>
    <x v="0"/>
    <x v="0"/>
    <x v="0"/>
    <s v="HUECOS DC_S3"/>
    <x v="0"/>
    <b v="0"/>
    <s v="No está en VPC"/>
    <n v="808"/>
    <s v="INTPG_VPC_808_1.1-6_809_1.1-6"/>
    <s v="ISEL-1.4"/>
    <n v="1"/>
    <s v="NO TIENE L3OUT"/>
    <n v="0"/>
    <n v="54"/>
  </r>
  <r>
    <n v="830"/>
    <x v="2"/>
    <x v="162"/>
    <s v="eth1/4"/>
    <x v="0"/>
    <x v="0"/>
    <x v="0"/>
    <s v="LINK_TO_ITHFHWCBSDSUSBD05 /Slot7.2 /Redundante"/>
    <x v="0"/>
    <b v="0"/>
    <s v="No está en VPC"/>
    <n v="830"/>
    <s v="INTPG_VPC_826_1.4_830_1.4"/>
    <s v="ISEL-1.4"/>
    <n v="2"/>
    <s v="NO TIENE L3OUT"/>
    <n v="12"/>
    <n v="54"/>
  </r>
  <r>
    <n v="821"/>
    <x v="2"/>
    <x v="163"/>
    <s v="eth1/4"/>
    <x v="0"/>
    <x v="0"/>
    <x v="0"/>
    <s v="LINK_TO_ITHFHWCBSPSUSBD09 /Slot7.2 /Redundante"/>
    <x v="0"/>
    <b v="0"/>
    <s v="No está en VPC"/>
    <n v="821"/>
    <s v="INTPG_VPC_816_1.4_821_1.4"/>
    <s v="ISEL-1.4"/>
    <n v="2"/>
    <s v="NO TIENE L3OUT"/>
    <n v="0"/>
    <n v="54"/>
  </r>
  <r>
    <n v="738"/>
    <x v="2"/>
    <x v="164"/>
    <s v="eth1/4"/>
    <x v="0"/>
    <x v="0"/>
    <x v="0"/>
    <s v="CEM:ITHCEMF2DAT02:FLEXIO P1"/>
    <x v="5"/>
    <b v="0"/>
    <s v="No está en VPC"/>
    <n v="738"/>
    <s v="INTPG_ACC_738_1.4"/>
    <s v="ISEL-1.4"/>
    <n v="1"/>
    <s v="NO TIENE L3OUT"/>
    <n v="72"/>
    <n v="54"/>
  </r>
  <r>
    <n v="820"/>
    <x v="2"/>
    <x v="165"/>
    <s v="eth1/4"/>
    <x v="0"/>
    <x v="0"/>
    <x v="0"/>
    <s v="LINK_TO_ITHHWD6K60015DKC01 /CtrlB_IOM1.P1 /Redundante"/>
    <x v="0"/>
    <b v="0"/>
    <s v="No está en VPC"/>
    <n v="820"/>
    <s v="INTPG_ACC_820_1.4"/>
    <s v="ISEL-1.4"/>
    <n v="1"/>
    <s v="NO TIENE L3OUT"/>
    <n v="72"/>
    <n v="54"/>
  </r>
  <r>
    <n v="804"/>
    <x v="2"/>
    <x v="166"/>
    <s v="eth1/4"/>
    <x v="0"/>
    <x v="0"/>
    <x v="0"/>
    <s v="TO-HDPS_30-MSP"/>
    <x v="0"/>
    <b v="0"/>
    <s v="No está en VPC"/>
    <n v="804"/>
    <s v="INTPG_ACC_804_1.4"/>
    <s v="ISEL-1.4"/>
    <n v="1"/>
    <s v="NO TIENE L3OUT"/>
    <n v="48"/>
    <n v="54"/>
  </r>
  <r>
    <n v="779"/>
    <x v="2"/>
    <x v="167"/>
    <s v="eth1/4"/>
    <x v="0"/>
    <x v="0"/>
    <x v="0"/>
    <s v="ENIQ F1:itheniqr08nas1r3:LOM PORT 2"/>
    <x v="0"/>
    <b v="0"/>
    <s v="No está en VPC"/>
    <n v="779"/>
    <s v="INTPG_PC_779_1.3-6"/>
    <s v="ISEL-1.4"/>
    <n v="1"/>
    <s v="NO TIENE L3OUT"/>
    <n v="30"/>
    <n v="54"/>
  </r>
  <r>
    <n v="767"/>
    <x v="2"/>
    <x v="168"/>
    <s v="eth1/4"/>
    <x v="0"/>
    <x v="0"/>
    <x v="0"/>
    <s v="Portchannel_6_R6B"/>
    <x v="0"/>
    <b v="0"/>
    <s v="No está en VPC"/>
    <n v="767"/>
    <s v="INTPG_PC_767_1.3-6"/>
    <s v="ISEL-1.4"/>
    <n v="1"/>
    <s v="NO TIENE L3OUT"/>
    <n v="60"/>
    <n v="54"/>
  </r>
  <r>
    <n v="827"/>
    <x v="2"/>
    <x v="169"/>
    <s v="eth1/4"/>
    <x v="0"/>
    <x v="0"/>
    <x v="0"/>
    <s v="LINK_TO_ITHHWD6KV60013DKC01 /CtrlA_IOM0.P0 /Principal"/>
    <x v="0"/>
    <b v="0"/>
    <s v="No está en VPC"/>
    <n v="827"/>
    <s v="INTPG_ACC_827_1.4"/>
    <s v="ISEL-1.4"/>
    <n v="1"/>
    <s v="NO TIENE L3OUT"/>
    <n v="14"/>
    <n v="54"/>
  </r>
  <r>
    <n v="809"/>
    <x v="2"/>
    <x v="170"/>
    <s v="eth1/4"/>
    <x v="0"/>
    <x v="0"/>
    <x v="0"/>
    <s v="HUECOS DC_S3"/>
    <x v="0"/>
    <b v="0"/>
    <s v="No está en VPC"/>
    <n v="809"/>
    <s v="INTPG_VPC_808_1.1-6_809_1.1-6"/>
    <s v="ISEL-1.4"/>
    <n v="1"/>
    <s v="NO TIENE L3OUT"/>
    <n v="0"/>
    <n v="54"/>
  </r>
  <r>
    <n v="771"/>
    <x v="2"/>
    <x v="171"/>
    <s v="eth1/4"/>
    <x v="0"/>
    <x v="0"/>
    <x v="0"/>
    <s v="Portchannel_6_R6B"/>
    <x v="0"/>
    <b v="0"/>
    <s v="No está en VPC"/>
    <n v="771"/>
    <s v="INTPG_PC_771_1.1-4"/>
    <s v="ISEL-1.4"/>
    <n v="2"/>
    <s v="NO TIENE L3OUT"/>
    <n v="62"/>
    <n v="54"/>
  </r>
  <r>
    <n v="761"/>
    <x v="2"/>
    <x v="172"/>
    <s v="eth1/4"/>
    <x v="0"/>
    <x v="1"/>
    <x v="1"/>
    <m/>
    <x v="0"/>
    <b v="0"/>
    <s v="No está en VPC"/>
    <n v="761"/>
    <s v="INTPG_VPC_760_1.1-4_761_1.1-4"/>
    <s v="ISEL-1.4"/>
    <n v="0"/>
    <s v="L3OUT-EXACLOUD"/>
    <n v="0"/>
    <n v="54"/>
  </r>
  <r>
    <n v="776"/>
    <x v="2"/>
    <x v="173"/>
    <s v="eth1/4"/>
    <x v="0"/>
    <x v="0"/>
    <x v="0"/>
    <s v="TO-ITHHWOSCOAP027"/>
    <x v="0"/>
    <b v="0"/>
    <s v="No está en VPC"/>
    <n v="776"/>
    <s v="INTPG_VPC_776_1.4_777_1.4"/>
    <s v="ISEL-1.4"/>
    <n v="1"/>
    <s v="NO TIENE L3OUT"/>
    <n v="0"/>
    <n v="54"/>
  </r>
  <r>
    <n v="805"/>
    <x v="2"/>
    <x v="174"/>
    <s v="eth1/4"/>
    <x v="0"/>
    <x v="0"/>
    <x v="0"/>
    <s v="TO-HDPS_54-MSP"/>
    <x v="0"/>
    <b v="0"/>
    <s v="No está en VPC"/>
    <n v="805"/>
    <s v="INTPG_ACC_805_1.4"/>
    <s v="ISEL-1.4"/>
    <n v="1"/>
    <s v="NO TIENE L3OUT"/>
    <n v="44"/>
    <n v="54"/>
  </r>
  <r>
    <n v="772"/>
    <x v="2"/>
    <x v="175"/>
    <s v="eth1/4"/>
    <x v="0"/>
    <x v="0"/>
    <x v="0"/>
    <s v="Portchannel_6_R2"/>
    <x v="0"/>
    <b v="0"/>
    <s v="No está en VPC"/>
    <n v="772"/>
    <s v="INTPG_PC_772_1.1-4"/>
    <s v="ISEL-1.4"/>
    <n v="1"/>
    <s v="NO TIENE L3OUT"/>
    <n v="82"/>
    <n v="54"/>
  </r>
  <r>
    <n v="785"/>
    <x v="2"/>
    <x v="176"/>
    <s v="eth1/4"/>
    <x v="0"/>
    <x v="0"/>
    <x v="0"/>
    <s v="ENIQ F2:itheniqr13bl01nas1r6a:LOM PORT 2"/>
    <x v="0"/>
    <b v="0"/>
    <s v="No está en VPC"/>
    <n v="785"/>
    <s v="INTPG_PC_785_1.3-6"/>
    <s v="ISEL-1.4"/>
    <n v="1"/>
    <s v="NO TIENE L3OUT"/>
    <n v="32"/>
    <n v="54"/>
  </r>
  <r>
    <n v="851"/>
    <x v="2"/>
    <x v="177"/>
    <s v="eth1/4"/>
    <x v="0"/>
    <x v="0"/>
    <x v="0"/>
    <s v="LINK_TO_ITHFHWCRMPLCN102 / Slot7.1_8 / Redundante"/>
    <x v="0"/>
    <b v="0"/>
    <s v="No está en VPC"/>
    <n v="851"/>
    <s v="INTPG_ACC_851_1.4"/>
    <s v="ISEL-1.4"/>
    <n v="6"/>
    <s v="NO TIENE L3OUT"/>
    <n v="282"/>
    <n v="54"/>
  </r>
  <r>
    <n v="798"/>
    <x v="2"/>
    <x v="178"/>
    <s v="eth1/4"/>
    <x v="0"/>
    <x v="0"/>
    <x v="0"/>
    <s v="TO-IMC_PS18-MSP"/>
    <x v="0"/>
    <b v="0"/>
    <s v="No está en VPC"/>
    <n v="798"/>
    <s v="INTPG_ACC_798_1.4"/>
    <s v="ISEL-1.4"/>
    <n v="1"/>
    <s v="NO TIENE L3OUT"/>
    <n v="52"/>
    <n v="54"/>
  </r>
  <r>
    <n v="782"/>
    <x v="2"/>
    <x v="179"/>
    <s v="eth1/4"/>
    <x v="0"/>
    <x v="0"/>
    <x v="0"/>
    <s v="LACP_NAS1_ENIQ9B"/>
    <x v="0"/>
    <b v="0"/>
    <s v="No está en VPC"/>
    <n v="782"/>
    <s v="INTPG_PC_782_1.3-6"/>
    <s v="ISEL-1.4"/>
    <n v="1"/>
    <s v="NO TIENE L3OUT"/>
    <n v="32"/>
    <n v="54"/>
  </r>
  <r>
    <n v="852"/>
    <x v="2"/>
    <x v="180"/>
    <s v="eth1/4"/>
    <x v="0"/>
    <x v="0"/>
    <x v="0"/>
    <s v="LINK_TO_ITHFHWCRMPLCN117 / Slot7.2_38 / Redundante"/>
    <x v="0"/>
    <b v="0"/>
    <s v="No está en VPC"/>
    <n v="852"/>
    <s v="INTPG_ACC_852_1.4"/>
    <s v="ISEL-1.4"/>
    <n v="2"/>
    <s v="NO TIENE L3OUT"/>
    <n v="258"/>
    <n v="54"/>
  </r>
  <r>
    <n v="817"/>
    <x v="2"/>
    <x v="181"/>
    <s v="eth1/4"/>
    <x v="0"/>
    <x v="0"/>
    <x v="0"/>
    <s v="LINK_TO_ITHFHWCBSPSWR23 /Slot5.2 /Principal"/>
    <x v="0"/>
    <b v="0"/>
    <s v="No está en VPC"/>
    <n v="817"/>
    <s v="INTPG_VPC_817_1.4_822_1.4"/>
    <s v="ISEL-1.4"/>
    <n v="2"/>
    <s v="NO TIENE L3OUT"/>
    <n v="0"/>
    <n v="54"/>
  </r>
  <r>
    <n v="832"/>
    <x v="2"/>
    <x v="182"/>
    <s v="eth1/4"/>
    <x v="0"/>
    <x v="0"/>
    <x v="0"/>
    <s v="LINK_TO_ITHFHWCBSDSWR33 /Slot7.2 /Redundante"/>
    <x v="0"/>
    <b v="0"/>
    <s v="No está en VPC"/>
    <n v="832"/>
    <s v="INTPG_VPC_828_1.4_832_1.4"/>
    <s v="ISEL-1.4"/>
    <n v="2"/>
    <s v="NO TIENE L3OUT"/>
    <n v="192"/>
    <n v="54"/>
  </r>
  <r>
    <n v="816"/>
    <x v="2"/>
    <x v="183"/>
    <s v="eth1/4"/>
    <x v="0"/>
    <x v="0"/>
    <x v="0"/>
    <s v="LINK_TO_ITHFHWCBSPSUSBD09 /Slot5.2 /Principal"/>
    <x v="0"/>
    <b v="0"/>
    <s v="No está en VPC"/>
    <n v="816"/>
    <s v="INTPG_VPC_816_1.4_821_1.4"/>
    <s v="ISEL-1.4"/>
    <n v="2"/>
    <s v="NO TIENE L3OUT"/>
    <n v="0"/>
    <n v="54"/>
  </r>
  <r>
    <n v="825"/>
    <x v="2"/>
    <x v="184"/>
    <s v="eth1/4"/>
    <x v="0"/>
    <x v="0"/>
    <x v="0"/>
    <s v="LINK_TO_ITHHWD6K60015DKC01 /CtrlB_IOM1.P0 /Principal"/>
    <x v="0"/>
    <b v="0"/>
    <s v="No está en VPC"/>
    <n v="825"/>
    <s v="INTPG_ACC_825_1.4"/>
    <s v="ISEL-1.4"/>
    <n v="1"/>
    <s v="NO TIENE L3OUT"/>
    <n v="72"/>
    <n v="54"/>
  </r>
  <r>
    <n v="800"/>
    <x v="2"/>
    <x v="185"/>
    <s v="eth1/4"/>
    <x v="0"/>
    <x v="0"/>
    <x v="0"/>
    <s v="TO-ITHFHWSEQLPAS01-MSP"/>
    <x v="0"/>
    <b v="0"/>
    <s v="No está en VPC"/>
    <n v="800"/>
    <s v="INTPG_ACC_800_1.4"/>
    <s v="ISEL-1.4"/>
    <n v="1"/>
    <s v="NO TIENE L3OUT"/>
    <n v="78"/>
    <n v="54"/>
  </r>
  <r>
    <n v="801"/>
    <x v="2"/>
    <x v="186"/>
    <s v="eth1/4"/>
    <x v="0"/>
    <x v="0"/>
    <x v="0"/>
    <s v="TO-ITHFHWSEQLPAS01-MSP"/>
    <x v="0"/>
    <b v="0"/>
    <s v="No está en VPC"/>
    <n v="801"/>
    <s v="INTPG_ACC_801_1.4"/>
    <s v="ISEL-1.4"/>
    <n v="1"/>
    <s v="NO TIENE L3OUT"/>
    <n v="78"/>
    <n v="54"/>
  </r>
  <r>
    <n v="823"/>
    <x v="2"/>
    <x v="187"/>
    <s v="eth1/4"/>
    <x v="0"/>
    <x v="0"/>
    <x v="0"/>
    <s v="LINK_TO_ITHFHWCBSPSWR31 /Slot7.2 /Redundante"/>
    <x v="0"/>
    <b v="0"/>
    <s v="No está en VPC"/>
    <n v="823"/>
    <s v="INTPG_VPC_818_1.4_823_1.4"/>
    <s v="ISEL-1.4"/>
    <n v="2"/>
    <s v="NO TIENE L3OUT"/>
    <n v="8"/>
    <n v="54"/>
  </r>
  <r>
    <n v="837"/>
    <x v="2"/>
    <x v="188"/>
    <s v="eth1/4"/>
    <x v="0"/>
    <x v="0"/>
    <x v="0"/>
    <s v="LINK_TO_ITHFHWCBSPSHDCTL05 / Slot1.3_12 / Principal"/>
    <x v="0"/>
    <b v="0"/>
    <s v="No está en VPC"/>
    <n v="837"/>
    <s v="INTPG_VPC_837_1.4_842_1.4"/>
    <s v="ISEL-1.4"/>
    <n v="1"/>
    <s v="NO TIENE L3OUT"/>
    <n v="8"/>
    <n v="54"/>
  </r>
  <r>
    <n v="867"/>
    <x v="2"/>
    <x v="189"/>
    <s v="eth1/4"/>
    <x v="0"/>
    <x v="0"/>
    <x v="0"/>
    <s v="To_VPC_2DCBSD_WR38_3"/>
    <x v="0"/>
    <b v="0"/>
    <s v="No está en VPC"/>
    <n v="867"/>
    <s v="INTPG_VPC_862_1.4_867_1.4"/>
    <s v="ISEL-1.4"/>
    <n v="1"/>
    <s v="NO TIENE L3OUT"/>
    <n v="44"/>
    <n v="54"/>
  </r>
  <r>
    <n v="829"/>
    <x v="2"/>
    <x v="190"/>
    <s v="eth1/4"/>
    <x v="0"/>
    <x v="0"/>
    <x v="0"/>
    <s v="LINK_TO_ITHFHWCRMDLCN29 /Slot7.2 /Redundante"/>
    <x v="0"/>
    <b v="0"/>
    <s v="No está en VPC"/>
    <n v="829"/>
    <s v="INTPG_ACC_829_1.4"/>
    <s v="ISEL-1.4"/>
    <n v="5"/>
    <s v="NO TIENE L3OUT"/>
    <n v="224"/>
    <n v="54"/>
  </r>
  <r>
    <n v="831"/>
    <x v="2"/>
    <x v="191"/>
    <s v="eth1/4"/>
    <x v="0"/>
    <x v="0"/>
    <x v="0"/>
    <s v="LINK_TO_ITHHWD6KV60013DKC01 /CtrlA_IOM0.P1 /Redundante"/>
    <x v="0"/>
    <b v="0"/>
    <s v="No está en VPC"/>
    <n v="831"/>
    <s v="INTPG_ACC_831_1.4"/>
    <s v="ISEL-1.4"/>
    <n v="1"/>
    <s v="NO TIENE L3OUT"/>
    <n v="14"/>
    <n v="54"/>
  </r>
  <r>
    <n v="802"/>
    <x v="2"/>
    <x v="192"/>
    <s v="eth1/4"/>
    <x v="0"/>
    <x v="0"/>
    <x v="0"/>
    <s v="TO-HDPS_06-MSP"/>
    <x v="0"/>
    <b v="0"/>
    <s v="No está en VPC"/>
    <n v="802"/>
    <s v="INTPG_ACC_802_1.4"/>
    <s v="ISEL-1.4"/>
    <n v="1"/>
    <s v="NO TIENE L3OUT"/>
    <n v="48"/>
    <n v="54"/>
  </r>
  <r>
    <n v="835"/>
    <x v="2"/>
    <x v="193"/>
    <s v="eth1/4"/>
    <x v="0"/>
    <x v="0"/>
    <x v="0"/>
    <s v="LINK_TO_ITHFHWCBSPSUSBD38 / Slot1.1_10 / Principal"/>
    <x v="0"/>
    <b v="0"/>
    <s v="No está en VPC"/>
    <n v="835"/>
    <s v="INTPG_VPC_835_1.4_840_1.4"/>
    <s v="ISEL-1.4"/>
    <n v="2"/>
    <s v="NO TIENE L3OUT"/>
    <n v="8"/>
    <n v="54"/>
  </r>
  <r>
    <n v="822"/>
    <x v="2"/>
    <x v="194"/>
    <s v="eth1/4"/>
    <x v="0"/>
    <x v="0"/>
    <x v="0"/>
    <s v="LINK_TO_ITHFHWCBSPSWR23 /Slot7.2 /Redundante"/>
    <x v="0"/>
    <b v="0"/>
    <s v="No está en VPC"/>
    <n v="822"/>
    <s v="INTPG_VPC_817_1.4_822_1.4"/>
    <s v="ISEL-1.4"/>
    <n v="2"/>
    <s v="NO TIENE L3OUT"/>
    <n v="0"/>
    <n v="54"/>
  </r>
  <r>
    <n v="854"/>
    <x v="2"/>
    <x v="195"/>
    <s v="eth1/4"/>
    <x v="0"/>
    <x v="0"/>
    <x v="0"/>
    <s v="LINK_TO_ITHFHWCRMPSBDA06 / Slot7.1_6 / Redundante"/>
    <x v="0"/>
    <b v="0"/>
    <s v="No está en VPC"/>
    <n v="854"/>
    <s v="INTPG_VPC_847_1.4_854_1.4"/>
    <s v="ISEL-1.4"/>
    <n v="6"/>
    <s v="NO TIENE L3OUT"/>
    <n v="204"/>
    <n v="54"/>
  </r>
  <r>
    <n v="858"/>
    <x v="2"/>
    <x v="196"/>
    <s v="eth1/4"/>
    <x v="0"/>
    <x v="0"/>
    <x v="0"/>
    <s v="To_VPC_2DCBSD_HD38_1"/>
    <x v="0"/>
    <b v="0"/>
    <s v="No está en VPC"/>
    <n v="858"/>
    <s v="INTPG_VPC_858_1.4_863_1.4"/>
    <s v="ISEL-1.4"/>
    <n v="2"/>
    <s v="NO TIENE L3OUT"/>
    <n v="8"/>
    <n v="54"/>
  </r>
  <r>
    <n v="857"/>
    <x v="2"/>
    <x v="197"/>
    <s v="eth1/4"/>
    <x v="0"/>
    <x v="0"/>
    <x v="0"/>
    <s v="LINK_TO_ITHFHWCRMPLCN151 / Slot1.3_36 / Principal"/>
    <x v="0"/>
    <b v="0"/>
    <s v="No está en VPC"/>
    <n v="857"/>
    <s v="INTPG_ACC_857_1.4"/>
    <s v="ISEL-1.4"/>
    <n v="1"/>
    <s v="NO TIENE L3OUT"/>
    <n v="288"/>
    <n v="54"/>
  </r>
  <r>
    <n v="859"/>
    <x v="2"/>
    <x v="198"/>
    <s v="eth1/4"/>
    <x v="0"/>
    <x v="0"/>
    <x v="0"/>
    <s v="To_VPC_2DCBSD_HD32_1"/>
    <x v="0"/>
    <b v="0"/>
    <s v="No está en VPC"/>
    <n v="859"/>
    <s v="INTPG_VPC_859_1.4_864_1.4"/>
    <s v="ISEL-1.4"/>
    <n v="2"/>
    <s v="NO TIENE L3OUT"/>
    <n v="0"/>
    <n v="54"/>
  </r>
  <r>
    <n v="833"/>
    <x v="2"/>
    <x v="199"/>
    <s v="eth1/4"/>
    <x v="0"/>
    <x v="0"/>
    <x v="0"/>
    <s v="LINK_TO_ITHFHWCRMDLCN29 /Slot5.2 /Principal"/>
    <x v="0"/>
    <b v="0"/>
    <s v="No está en VPC"/>
    <n v="833"/>
    <s v="INTPG_ACC_833_1.4"/>
    <s v="ISEL-1.4"/>
    <n v="5"/>
    <s v="NO TIENE L3OUT"/>
    <n v="224"/>
    <n v="54"/>
  </r>
  <r>
    <n v="818"/>
    <x v="2"/>
    <x v="200"/>
    <s v="eth1/4"/>
    <x v="0"/>
    <x v="0"/>
    <x v="0"/>
    <s v="LINK_TO_ITHFHWCBSPSWR31 /Slot5.2 /Principal"/>
    <x v="0"/>
    <b v="0"/>
    <s v="No está en VPC"/>
    <n v="818"/>
    <s v="INTPG_VPC_818_1.4_823_1.4"/>
    <s v="ISEL-1.4"/>
    <n v="2"/>
    <s v="NO TIENE L3OUT"/>
    <n v="8"/>
    <n v="54"/>
  </r>
  <r>
    <n v="850"/>
    <x v="2"/>
    <x v="201"/>
    <s v="eth1/4"/>
    <x v="0"/>
    <x v="0"/>
    <x v="0"/>
    <s v="LINK_TO_ITHFHWCRMPLCN151 / Slot7.3_36 / Redundante"/>
    <x v="0"/>
    <b v="0"/>
    <s v="No está en VPC"/>
    <n v="850"/>
    <s v="INTPG_ACC_850_1.4"/>
    <s v="ISEL-1.4"/>
    <n v="1"/>
    <s v="NO TIENE L3OUT"/>
    <n v="288"/>
    <n v="54"/>
  </r>
  <r>
    <n v="860"/>
    <x v="2"/>
    <x v="202"/>
    <s v="eth1/4"/>
    <x v="0"/>
    <x v="0"/>
    <x v="0"/>
    <s v="To_VPC_2DCBSD_WR53_1"/>
    <x v="0"/>
    <b v="0"/>
    <s v="No está en VPC"/>
    <n v="860"/>
    <s v="INTPG_VPC_860_1.4_865_1.4"/>
    <s v="ISEL-1.4"/>
    <n v="2"/>
    <s v="NO TIENE L3OUT"/>
    <n v="0"/>
    <n v="54"/>
  </r>
  <r>
    <n v="853"/>
    <x v="2"/>
    <x v="203"/>
    <s v="eth1/4"/>
    <x v="0"/>
    <x v="0"/>
    <x v="0"/>
    <s v="VPC_2DCRMP_BDP06_2"/>
    <x v="0"/>
    <b v="0"/>
    <s v="No está en VPC"/>
    <n v="853"/>
    <s v="INTPG_VPC_846_1.4_853_1.4"/>
    <s v="ISEL-1.4"/>
    <n v="2"/>
    <s v="NO TIENE L3OUT"/>
    <n v="242"/>
    <n v="54"/>
  </r>
  <r>
    <n v="790"/>
    <x v="2"/>
    <x v="204"/>
    <s v="eth1/4"/>
    <x v="0"/>
    <x v="0"/>
    <x v="0"/>
    <s v="LAGU2020R5"/>
    <x v="0"/>
    <b v="0"/>
    <s v="No está en VPC"/>
    <n v="790"/>
    <s v="INTPG_VPC_790_1.2_4_791_1.1_3"/>
    <s v="ISEL-1.4"/>
    <n v="1"/>
    <s v="NO TIENE L3OUT"/>
    <n v="20"/>
    <n v="54"/>
  </r>
  <r>
    <n v="105"/>
    <x v="0"/>
    <x v="205"/>
    <s v="eth1/4"/>
    <x v="0"/>
    <x v="1"/>
    <x v="1"/>
    <s v="DESC"/>
    <x v="6"/>
    <b v="0"/>
    <s v="No está en VPC"/>
    <n v="105"/>
    <s v="INTPG_PC_105_1.1-4_32-35"/>
    <s v="ISEL-1.4"/>
    <n v="17"/>
    <s v="NO TIENE L3OUT"/>
    <n v="106"/>
    <n v="96"/>
  </r>
  <r>
    <n v="117"/>
    <x v="0"/>
    <x v="206"/>
    <s v="eth1/4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4"/>
    <x v="0"/>
    <x v="1"/>
    <x v="1"/>
    <s v="SFLDI"/>
    <x v="6"/>
    <b v="0"/>
    <s v="No está en VPC"/>
    <n v="104"/>
    <s v="INTPG_ACC_104_1.4"/>
    <s v="ISEL-1.4"/>
    <n v="1"/>
    <s v="NO TIENE L3OUT"/>
    <n v="194"/>
    <n v="96"/>
  </r>
  <r>
    <n v="158"/>
    <x v="0"/>
    <x v="208"/>
    <s v="eth1/4"/>
    <x v="0"/>
    <x v="0"/>
    <x v="0"/>
    <s v="ARIESO_GEOLOCALIZACION"/>
    <x v="6"/>
    <b v="0"/>
    <s v="No está en VPC"/>
    <n v="158"/>
    <s v="INTPG_ACC_158_1.4"/>
    <s v="ISEL-1.4"/>
    <n v="1"/>
    <s v="NO TIENE L3OUT"/>
    <n v="30"/>
    <n v="96"/>
  </r>
  <r>
    <n v="875"/>
    <x v="2"/>
    <x v="209"/>
    <s v="eth1/4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4"/>
    <x v="0"/>
    <x v="0"/>
    <x v="0"/>
    <s v="HACIA_CSI-A-OSCP-F4-12_PRINCIPAL"/>
    <x v="4"/>
    <b v="0"/>
    <s v="No está en VPC"/>
    <n v="879"/>
    <s v="INTPG_VPC_878_1.4_879_1.4"/>
    <s v="ISEL-1.4"/>
    <n v="2"/>
    <s v="NO TIENE L3OUT"/>
    <n v="0"/>
    <n v="54"/>
  </r>
  <r>
    <n v="108"/>
    <x v="0"/>
    <x v="211"/>
    <s v="eth1/4"/>
    <x v="0"/>
    <x v="1"/>
    <x v="1"/>
    <s v="File System AM"/>
    <x v="6"/>
    <b v="0"/>
    <s v="No está en VPC"/>
    <n v="108"/>
    <s v="INTPG_ACC_108_1.4"/>
    <s v="ISEL-1.4"/>
    <n v="4"/>
    <s v="NO TIENE L3OUT"/>
    <n v="126"/>
    <n v="96"/>
  </r>
  <r>
    <n v="112"/>
    <x v="0"/>
    <x v="212"/>
    <s v="eth1/4"/>
    <x v="1"/>
    <x v="1"/>
    <x v="2"/>
    <s v="NPG_2"/>
    <x v="6"/>
    <b v="0"/>
    <s v="No está en VPC"/>
    <n v="112"/>
    <s v="INTPG_ACC_112_1.4"/>
    <s v="ISEL-1.4"/>
    <n v="1"/>
    <s v="NO TIENE L3OUT"/>
    <n v="144"/>
    <n v="96"/>
  </r>
  <r>
    <n v="107"/>
    <x v="0"/>
    <x v="213"/>
    <s v="eth1/4"/>
    <x v="0"/>
    <x v="1"/>
    <x v="1"/>
    <s v="OPEN VIEW BACK FASE2_1"/>
    <x v="6"/>
    <b v="0"/>
    <s v="No está en VPC"/>
    <n v="107"/>
    <s v="INTPG_ACC_107_1.4"/>
    <s v="ISEL-1.4"/>
    <n v="1"/>
    <s v="NO TIENE L3OUT"/>
    <n v="118"/>
    <n v="96"/>
  </r>
  <r>
    <n v="109"/>
    <x v="0"/>
    <x v="214"/>
    <s v="eth1/4"/>
    <x v="1"/>
    <x v="1"/>
    <x v="2"/>
    <s v="File System AM"/>
    <x v="6"/>
    <b v="0"/>
    <s v="No está en VPC"/>
    <n v="109"/>
    <s v="INTPG_ACC_109_1.4"/>
    <s v="ISEL-1.4"/>
    <n v="4"/>
    <s v="NO TIENE L3OUT"/>
    <n v="126"/>
    <n v="96"/>
  </r>
  <r>
    <n v="113"/>
    <x v="0"/>
    <x v="215"/>
    <s v="eth1/4"/>
    <x v="0"/>
    <x v="0"/>
    <x v="0"/>
    <s v="ASAP_1"/>
    <x v="6"/>
    <b v="0"/>
    <s v="No está en VPC"/>
    <n v="113"/>
    <s v="INTPG_ACC_113_1.4"/>
    <s v="ISEL-1.4"/>
    <n v="1"/>
    <s v="NO TIENE L3OUT"/>
    <n v="52"/>
    <n v="96"/>
  </r>
  <r>
    <n v="114"/>
    <x v="0"/>
    <x v="216"/>
    <s v="eth1/4"/>
    <x v="1"/>
    <x v="1"/>
    <x v="2"/>
    <s v="NPG_2"/>
    <x v="6"/>
    <b v="0"/>
    <s v="No está en VPC"/>
    <n v="114"/>
    <s v="INTPG_ACC_114_1.4"/>
    <s v="ISEL-1.4"/>
    <n v="1"/>
    <s v="NO TIENE L3OUT"/>
    <n v="144"/>
    <n v="96"/>
  </r>
  <r>
    <n v="124"/>
    <x v="0"/>
    <x v="217"/>
    <s v="eth1/4"/>
    <x v="0"/>
    <x v="1"/>
    <x v="1"/>
    <s v="GSM_ENIQ_QRO_R6"/>
    <x v="6"/>
    <b v="0"/>
    <s v="No está en VPC"/>
    <n v="124"/>
    <s v="INTPG_VPC_124_1.4_125_1.4"/>
    <s v="ISEL-1.4"/>
    <n v="6"/>
    <s v="NO TIENE L3OUT"/>
    <n v="80"/>
    <n v="96"/>
  </r>
  <r>
    <n v="118"/>
    <x v="0"/>
    <x v="218"/>
    <s v="eth1/4"/>
    <x v="0"/>
    <x v="1"/>
    <x v="1"/>
    <s v="ASAP BATCH"/>
    <x v="6"/>
    <b v="0"/>
    <s v="No está en VPC"/>
    <n v="118"/>
    <s v="INTPG_ACC_118_1.4"/>
    <s v="ISEL-1.4"/>
    <n v="1"/>
    <s v="NO TIENE L3OUT"/>
    <n v="180"/>
    <n v="96"/>
  </r>
  <r>
    <n v="159"/>
    <x v="0"/>
    <x v="219"/>
    <s v="eth1/4"/>
    <x v="0"/>
    <x v="1"/>
    <x v="1"/>
    <s v="TRAP"/>
    <x v="6"/>
    <b v="0"/>
    <s v="No está en VPC"/>
    <n v="159"/>
    <s v="INTPG_PC_159_1.2-7"/>
    <s v="ISEL-1.4"/>
    <n v="12"/>
    <s v="NO TIENE L3OUT"/>
    <n v="72"/>
    <n v="96"/>
  </r>
  <r>
    <n v="840"/>
    <x v="2"/>
    <x v="220"/>
    <s v="eth1/4"/>
    <x v="0"/>
    <x v="0"/>
    <x v="0"/>
    <s v="LINK_TO_ITHFHWCBSPSUSBD38 / Slot7.1_10 / Redundante"/>
    <x v="0"/>
    <b v="0"/>
    <s v="No está en VPC"/>
    <n v="840"/>
    <s v="INTPG_VPC_835_1.4_840_1.4"/>
    <s v="ISEL-1.4"/>
    <n v="2"/>
    <s v="NO TIENE L3OUT"/>
    <n v="8"/>
    <n v="54"/>
  </r>
  <r>
    <n v="856"/>
    <x v="2"/>
    <x v="221"/>
    <s v="eth1/4"/>
    <x v="0"/>
    <x v="0"/>
    <x v="0"/>
    <s v="LINK_TO_ITHFHWCRMPLCN135 / Slot1.3_4 / Principal"/>
    <x v="0"/>
    <b v="0"/>
    <s v="No está en VPC"/>
    <n v="856"/>
    <s v="INTPG_ACC_856_1.4"/>
    <s v="ISEL-1.4"/>
    <n v="1"/>
    <s v="NO TIENE L3OUT"/>
    <n v="286"/>
    <n v="54"/>
  </r>
  <r>
    <n v="110"/>
    <x v="0"/>
    <x v="222"/>
    <s v="eth1/4"/>
    <x v="0"/>
    <x v="0"/>
    <x v="0"/>
    <s v="OCUDR_1"/>
    <x v="6"/>
    <b v="0"/>
    <s v="No está en VPC"/>
    <n v="110"/>
    <s v="INTPG_ACC_110_1.4"/>
    <s v="ISEL-1.4"/>
    <n v="1"/>
    <s v="NO TIENE L3OUT"/>
    <n v="102"/>
    <n v="96"/>
  </r>
  <r>
    <n v="163"/>
    <x v="0"/>
    <x v="223"/>
    <s v="eth1/4"/>
    <x v="0"/>
    <x v="1"/>
    <x v="1"/>
    <s v="IBM SICOD"/>
    <x v="6"/>
    <b v="0"/>
    <s v="No está en VPC"/>
    <n v="163"/>
    <s v="INTPG_ACC_163_1.4"/>
    <s v="ISEL-1.4"/>
    <n v="1"/>
    <s v="NO TIENE L3OUT"/>
    <n v="140"/>
    <n v="96"/>
  </r>
  <r>
    <n v="407"/>
    <x v="1"/>
    <x v="224"/>
    <s v="eth1/4"/>
    <x v="0"/>
    <x v="0"/>
    <x v="0"/>
    <s v="RLR2ARI03"/>
    <x v="6"/>
    <b v="0"/>
    <s v="No está en VPC"/>
    <n v="407"/>
    <s v="INTPG_ACC_407_1.4"/>
    <s v="ISEL-1.4"/>
    <n v="1"/>
    <s v="NO TIENE L3OUT"/>
    <n v="122"/>
    <n v="96"/>
  </r>
  <r>
    <n v="171"/>
    <x v="0"/>
    <x v="225"/>
    <s v="eth1/4"/>
    <x v="0"/>
    <x v="0"/>
    <x v="0"/>
    <s v="OSS3GMX_CLIENT1"/>
    <x v="6"/>
    <b v="0"/>
    <s v="No está en VPC"/>
    <n v="171"/>
    <s v="INTPG_VPC_171_1.4_11_172_1.4_13"/>
    <s v="ISEL-1.4"/>
    <n v="10"/>
    <s v="NO TIENE L3OUT"/>
    <n v="114"/>
    <n v="96"/>
  </r>
  <r>
    <n v="421"/>
    <x v="1"/>
    <x v="226"/>
    <s v="eth1/4"/>
    <x v="0"/>
    <x v="0"/>
    <x v="0"/>
    <s v="Prime-UCS-CLU1-B_client_LAG4_CISCOPRIME"/>
    <x v="6"/>
    <b v="0"/>
    <s v="No está en VPC"/>
    <n v="421"/>
    <s v="INTPG_VPC_419_1.4_421_1.4"/>
    <s v="ISEL-1.4"/>
    <n v="3"/>
    <s v="NO TIENE L3OUT"/>
    <n v="72"/>
    <n v="96"/>
  </r>
  <r>
    <n v="173"/>
    <x v="0"/>
    <x v="227"/>
    <s v="eth1/4"/>
    <x v="0"/>
    <x v="0"/>
    <x v="0"/>
    <s v="ENIQ"/>
    <x v="6"/>
    <b v="0"/>
    <s v="No está en VPC"/>
    <n v="173"/>
    <s v="INTPG_ACC_173_1.4"/>
    <s v="ISEL-1.4"/>
    <n v="1"/>
    <s v="NO TIENE L3OUT"/>
    <n v="66"/>
    <n v="96"/>
  </r>
  <r>
    <n v="154"/>
    <x v="0"/>
    <x v="228"/>
    <s v="eth1/4"/>
    <x v="0"/>
    <x v="1"/>
    <x v="1"/>
    <s v="SEGURIDAD OPERATIVA"/>
    <x v="6"/>
    <b v="0"/>
    <s v="No está en VPC"/>
    <n v="154"/>
    <s v="INTPG_ACC_154_1.4"/>
    <s v="ISEL-1.4"/>
    <n v="1"/>
    <s v="NO TIENE L3OUT"/>
    <n v="62"/>
    <n v="96"/>
  </r>
  <r>
    <n v="172"/>
    <x v="0"/>
    <x v="229"/>
    <s v="eth1/4"/>
    <x v="0"/>
    <x v="0"/>
    <x v="0"/>
    <s v="OSS3GMX_CLIENT1"/>
    <x v="6"/>
    <b v="0"/>
    <s v="No está en VPC"/>
    <n v="172"/>
    <s v="INTPG_VPC_171_1.4_11_172_1.4_13"/>
    <s v="ISEL-1.4"/>
    <n v="10"/>
    <s v="NO TIENE L3OUT"/>
    <n v="104"/>
    <n v="96"/>
  </r>
  <r>
    <n v="420"/>
    <x v="1"/>
    <x v="230"/>
    <s v="eth1/4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4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4"/>
    <x v="0"/>
    <x v="0"/>
    <x v="0"/>
    <s v="VNX5400_NETAC"/>
    <x v="6"/>
    <b v="0"/>
    <s v="No está en VPC"/>
    <n v="415"/>
    <s v="INTPG_ACC_415_1.4"/>
    <s v="ISEL-1.4"/>
    <n v="1"/>
    <s v="NO TIENE L3OUT"/>
    <n v="52"/>
    <n v="96"/>
  </r>
  <r>
    <n v="102"/>
    <x v="0"/>
    <x v="233"/>
    <s v="eth1/4"/>
    <x v="0"/>
    <x v="1"/>
    <x v="1"/>
    <s v="SFLDI:RLDIWEB01:1"/>
    <x v="6"/>
    <b v="0"/>
    <s v="No está en VPC"/>
    <n v="102"/>
    <s v="INTPG_ACC_102_1.4"/>
    <s v="ISEL-1.4"/>
    <n v="1"/>
    <s v="NO TIENE L3OUT"/>
    <n v="228"/>
    <n v="96"/>
  </r>
  <r>
    <n v="863"/>
    <x v="2"/>
    <x v="234"/>
    <s v="eth1/4"/>
    <x v="0"/>
    <x v="0"/>
    <x v="0"/>
    <s v="To_VPC_2DCBSD_HD38_1"/>
    <x v="0"/>
    <b v="0"/>
    <s v="No está en VPC"/>
    <n v="863"/>
    <s v="INTPG_VPC_858_1.4_863_1.4"/>
    <s v="ISEL-1.4"/>
    <n v="2"/>
    <s v="NO TIENE L3OUT"/>
    <n v="8"/>
    <n v="54"/>
  </r>
  <r>
    <n v="876"/>
    <x v="2"/>
    <x v="235"/>
    <s v="eth1/4"/>
    <x v="0"/>
    <x v="0"/>
    <x v="0"/>
    <s v="LINK_TO_ITHFHWSEQLHDPS73 / Slot 4 PTO 1 / Principal"/>
    <x v="4"/>
    <b v="0"/>
    <s v="No está en VPC"/>
    <n v="876"/>
    <s v="INTPG_ACC_876_1.4"/>
    <s v="ISEL-1.4"/>
    <n v="1"/>
    <s v="NO TIENE L3OUT"/>
    <n v="92"/>
    <n v="54"/>
  </r>
  <r>
    <n v="877"/>
    <x v="2"/>
    <x v="236"/>
    <s v="eth1/4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4"/>
    <x v="0"/>
    <x v="0"/>
    <x v="0"/>
    <s v="DESC"/>
    <x v="6"/>
    <b v="0"/>
    <s v="No está en VPC"/>
    <n v="122"/>
    <s v="INTPG_PC_122_1.4-8"/>
    <s v="ISEL-1.4"/>
    <n v="1"/>
    <s v="NO TIENE L3OUT"/>
    <n v="148"/>
    <n v="96"/>
  </r>
  <r>
    <n v="157"/>
    <x v="0"/>
    <x v="238"/>
    <s v="eth1/4"/>
    <x v="0"/>
    <x v="0"/>
    <x v="0"/>
    <s v="COBROS NAVEGACION"/>
    <x v="6"/>
    <b v="0"/>
    <s v="No está en VPC"/>
    <n v="157"/>
    <s v="INTPG_ACC_157_1.4"/>
    <s v="ISEL-1.4"/>
    <n v="1"/>
    <s v="NO TIENE L3OUT"/>
    <n v="202"/>
    <n v="96"/>
  </r>
  <r>
    <n v="408"/>
    <x v="1"/>
    <x v="239"/>
    <s v="eth1/4"/>
    <x v="0"/>
    <x v="0"/>
    <x v="0"/>
    <s v="Suspend1"/>
    <x v="6"/>
    <b v="0"/>
    <s v="No está en VPC"/>
    <n v="408"/>
    <s v="INTPG_ACC_408_1.4"/>
    <s v="ISEL-1.4"/>
    <n v="1"/>
    <s v="NO TIENE L3OUT"/>
    <n v="152"/>
    <n v="96"/>
  </r>
  <r>
    <n v="405"/>
    <x v="1"/>
    <x v="240"/>
    <s v="eth1/4"/>
    <x v="0"/>
    <x v="0"/>
    <x v="0"/>
    <s v="IXT_ARIESO4_LDR4"/>
    <x v="6"/>
    <b v="0"/>
    <s v="No está en VPC"/>
    <n v="405"/>
    <s v="INTPG_ACC_405_1.4"/>
    <s v="ISEL-1.4"/>
    <n v="1"/>
    <s v="NO TIENE L3OUT"/>
    <n v="138"/>
    <n v="96"/>
  </r>
  <r>
    <n v="169"/>
    <x v="0"/>
    <x v="241"/>
    <s v="eth1/4"/>
    <x v="0"/>
    <x v="0"/>
    <x v="0"/>
    <s v="LINKDOWN_HACIA_UCS_9UCS-GEO-IXTLA-SERV1"/>
    <x v="6"/>
    <b v="0"/>
    <s v="No está en VPC"/>
    <n v="169"/>
    <s v="INTPG_ACC_169_1.4"/>
    <s v="ISEL-1.4"/>
    <n v="1"/>
    <s v="NO TIENE L3OUT"/>
    <n v="76"/>
    <n v="96"/>
  </r>
  <r>
    <n v="165"/>
    <x v="0"/>
    <x v="242"/>
    <s v="eth1/4"/>
    <x v="0"/>
    <x v="1"/>
    <x v="1"/>
    <s v="NETIQ"/>
    <x v="6"/>
    <b v="0"/>
    <s v="No está en VPC"/>
    <n v="165"/>
    <s v="INTPG_ACC_165_1.4"/>
    <s v="ISEL-1.4"/>
    <n v="1"/>
    <s v="NO TIENE L3OUT"/>
    <n v="86"/>
    <n v="96"/>
  </r>
  <r>
    <n v="417"/>
    <x v="1"/>
    <x v="243"/>
    <s v="eth1/4"/>
    <x v="0"/>
    <x v="0"/>
    <x v="0"/>
    <s v="To-uxingemc4 ldom3 uxinghdr6"/>
    <x v="6"/>
    <b v="0"/>
    <s v="No está en VPC"/>
    <n v="417"/>
    <s v="INTPG_ACC_417_1.4"/>
    <s v="ISEL-1.4"/>
    <n v="1"/>
    <s v="NO TIENE L3OUT"/>
    <n v="56"/>
    <n v="96"/>
  </r>
  <r>
    <n v="153"/>
    <x v="0"/>
    <x v="244"/>
    <s v="eth1/4"/>
    <x v="0"/>
    <x v="1"/>
    <x v="1"/>
    <m/>
    <x v="6"/>
    <b v="0"/>
    <s v="No está en VPC"/>
    <n v="153"/>
    <s v="INTPG_ACC_153_1.4"/>
    <s v="ISEL-1.4"/>
    <n v="1"/>
    <s v="NO TIENE L3OUT"/>
    <n v="42"/>
    <n v="96"/>
  </r>
  <r>
    <n v="119"/>
    <x v="0"/>
    <x v="245"/>
    <s v="eth1/4"/>
    <x v="1"/>
    <x v="1"/>
    <x v="2"/>
    <s v="DESC"/>
    <x v="6"/>
    <b v="0"/>
    <s v="No está en VPC"/>
    <n v="119"/>
    <s v="INTPG_PC_119_1.1-4_17-20"/>
    <s v="ISEL-1.4"/>
    <n v="31"/>
    <s v="NO TIENE L3OUT"/>
    <n v="70"/>
    <n v="96"/>
  </r>
  <r>
    <n v="156"/>
    <x v="0"/>
    <x v="246"/>
    <s v="eth1/4"/>
    <x v="1"/>
    <x v="1"/>
    <x v="2"/>
    <s v="RED CRICKET"/>
    <x v="6"/>
    <b v="0"/>
    <s v="No está en VPC"/>
    <n v="156"/>
    <s v="INTPG_ACC_156_1.4"/>
    <s v="ISEL-1.4"/>
    <n v="1"/>
    <s v="NO TIENE L3OUT"/>
    <n v="40"/>
    <n v="96"/>
  </r>
  <r>
    <n v="103"/>
    <x v="0"/>
    <x v="247"/>
    <s v="eth1/4"/>
    <x v="0"/>
    <x v="0"/>
    <x v="0"/>
    <s v="NETEZZA:-:ILO"/>
    <x v="6"/>
    <b v="0"/>
    <s v="No está en VPC"/>
    <n v="103"/>
    <s v="INTPG_ACC_103_1.4"/>
    <s v="ISEL-1.4"/>
    <n v="1"/>
    <s v="NO TIENE L3OUT"/>
    <n v="70"/>
    <n v="96"/>
  </r>
  <r>
    <n v="438"/>
    <x v="1"/>
    <x v="248"/>
    <s v="eth1/4"/>
    <x v="0"/>
    <x v="1"/>
    <x v="1"/>
    <s v="uxdomaine"/>
    <x v="6"/>
    <b v="0"/>
    <s v="No está en VPC"/>
    <n v="438"/>
    <s v="INTPG_ACC_438_1.4"/>
    <s v="ISEL-1.4"/>
    <n v="1"/>
    <s v="NO TIENE L3OUT"/>
    <n v="170"/>
    <n v="96"/>
  </r>
  <r>
    <n v="406"/>
    <x v="1"/>
    <x v="249"/>
    <s v="eth1/4"/>
    <x v="0"/>
    <x v="0"/>
    <x v="0"/>
    <s v="client_ITHPF1_EN1SW2"/>
    <x v="6"/>
    <b v="0"/>
    <s v="No está en VPC"/>
    <n v="406"/>
    <s v="INTPG_VPC_404_1.3-4_406_1.3-4"/>
    <s v="ISEL-1.4"/>
    <n v="4"/>
    <s v="NO TIENE L3OUT"/>
    <n v="82"/>
    <n v="96"/>
  </r>
  <r>
    <n v="414"/>
    <x v="1"/>
    <x v="250"/>
    <s v="eth1/4"/>
    <x v="0"/>
    <x v="0"/>
    <x v="0"/>
    <s v="IXTPA4LS"/>
    <x v="6"/>
    <b v="0"/>
    <s v="No está en VPC"/>
    <n v="414"/>
    <s v="INTPG_ACC_414_1.4"/>
    <s v="ISEL-1.4"/>
    <n v="1"/>
    <s v="NO TIENE L3OUT"/>
    <n v="144"/>
    <n v="96"/>
  </r>
  <r>
    <n v="416"/>
    <x v="1"/>
    <x v="251"/>
    <s v="eth1/4"/>
    <x v="0"/>
    <x v="1"/>
    <x v="1"/>
    <s v="TMIPEX_CLIENT2"/>
    <x v="6"/>
    <b v="0"/>
    <s v="No está en VPC"/>
    <n v="416"/>
    <s v="INTPG_VPC_416_1.4_418_1.4"/>
    <s v="ISEL-1.4"/>
    <n v="7"/>
    <s v="NO TIENE L3OUT"/>
    <n v="110"/>
    <n v="96"/>
  </r>
  <r>
    <n v="418"/>
    <x v="1"/>
    <x v="252"/>
    <s v="eth1/4"/>
    <x v="0"/>
    <x v="1"/>
    <x v="1"/>
    <s v="TMIPEX_CLIENT2"/>
    <x v="6"/>
    <b v="0"/>
    <s v="No está en VPC"/>
    <n v="418"/>
    <s v="INTPG_VPC_416_1.4_418_1.4"/>
    <s v="ISEL-1.4"/>
    <n v="7"/>
    <s v="NO TIENE L3OUT"/>
    <n v="152"/>
    <n v="96"/>
  </r>
  <r>
    <n v="413"/>
    <x v="1"/>
    <x v="253"/>
    <s v="eth1/4"/>
    <x v="0"/>
    <x v="1"/>
    <x v="5"/>
    <s v="MEDIACION_HUAWEI_LACP2_PTO_1"/>
    <x v="6"/>
    <b v="0"/>
    <s v="No está en VPC"/>
    <n v="413"/>
    <s v="INTPG_VPC_411_1.4_413_1.4"/>
    <s v="ISEL-1.4"/>
    <n v="1"/>
    <s v="NO TIENE L3OUT"/>
    <n v="126"/>
    <n v="96"/>
  </r>
  <r>
    <n v="403"/>
    <x v="1"/>
    <x v="254"/>
    <s v="eth1/4"/>
    <x v="0"/>
    <x v="0"/>
    <x v="0"/>
    <s v="IXT_ARIESO4_LDR4"/>
    <x v="6"/>
    <b v="0"/>
    <s v="No está en VPC"/>
    <n v="403"/>
    <s v="INTPG_ACC_403_1.4"/>
    <s v="ISEL-1.4"/>
    <n v="1"/>
    <s v="NO TIENE L3OUT"/>
    <n v="150"/>
    <n v="96"/>
  </r>
  <r>
    <n v="125"/>
    <x v="0"/>
    <x v="255"/>
    <s v="eth1/4"/>
    <x v="0"/>
    <x v="1"/>
    <x v="1"/>
    <s v="GSM_ENIQ_QRO_R6"/>
    <x v="6"/>
    <b v="0"/>
    <s v="No está en VPC"/>
    <n v="125"/>
    <s v="INTPG_VPC_124_1.4_125_1.4"/>
    <s v="ISEL-1.4"/>
    <n v="5"/>
    <s v="NO TIENE L3OUT"/>
    <n v="72"/>
    <n v="96"/>
  </r>
  <r>
    <n v="166"/>
    <x v="0"/>
    <x v="256"/>
    <s v="eth1/4"/>
    <x v="0"/>
    <x v="0"/>
    <x v="0"/>
    <s v="Nomina"/>
    <x v="6"/>
    <b v="0"/>
    <s v="No está en VPC"/>
    <n v="166"/>
    <s v="INTPG_ACC_166_1.4"/>
    <s v="ISEL-1.4"/>
    <n v="1"/>
    <s v="NO TIENE L3OUT"/>
    <n v="84"/>
    <n v="96"/>
  </r>
  <r>
    <n v="111"/>
    <x v="0"/>
    <x v="257"/>
    <s v="eth1/4"/>
    <x v="0"/>
    <x v="0"/>
    <x v="0"/>
    <m/>
    <x v="6"/>
    <b v="0"/>
    <s v="No está en VPC"/>
    <n v="111"/>
    <s v="INTPG_ACC_111_1.4"/>
    <s v="ISEL-1.4"/>
    <n v="1"/>
    <s v="NO TIENE L3OUT"/>
    <n v="58"/>
    <n v="96"/>
  </r>
  <r>
    <n v="115"/>
    <x v="0"/>
    <x v="258"/>
    <s v="eth1/4"/>
    <x v="0"/>
    <x v="0"/>
    <x v="0"/>
    <s v="sfecpp01"/>
    <x v="6"/>
    <b v="0"/>
    <s v="No está en VPC"/>
    <n v="115"/>
    <s v="INTPG_VPC_113_1.5_115_1.4"/>
    <s v="ISEL-1.4"/>
    <n v="1"/>
    <s v="NO TIENE L3OUT"/>
    <n v="42"/>
    <n v="96"/>
  </r>
  <r>
    <n v="106"/>
    <x v="0"/>
    <x v="259"/>
    <s v="eth1/4"/>
    <x v="0"/>
    <x v="0"/>
    <x v="0"/>
    <m/>
    <x v="6"/>
    <b v="0"/>
    <s v="No está en VPC"/>
    <n v="106"/>
    <s v="INTPG_ACC_106_1.4"/>
    <s v="ISEL-1.4"/>
    <n v="1"/>
    <s v="NO TIENE L3OUT"/>
    <n v="122"/>
    <n v="96"/>
  </r>
  <r>
    <n v="126"/>
    <x v="0"/>
    <x v="260"/>
    <s v="eth1/4"/>
    <x v="0"/>
    <x v="0"/>
    <x v="0"/>
    <s v="U2000_IPRAN"/>
    <x v="6"/>
    <b v="0"/>
    <s v="No está en VPC"/>
    <n v="126"/>
    <s v="INTPG_ACC_126_1.4"/>
    <s v="ISEL-1.4"/>
    <n v="1"/>
    <s v="NO TIENE L3OUT"/>
    <n v="54"/>
    <n v="96"/>
  </r>
  <r>
    <n v="425"/>
    <x v="1"/>
    <x v="261"/>
    <s v="eth1/4"/>
    <x v="0"/>
    <x v="1"/>
    <x v="1"/>
    <s v="VTA_uxvta073_Net0"/>
    <x v="6"/>
    <b v="0"/>
    <s v="No está en VPC"/>
    <n v="425"/>
    <s v="INTPG_ACC_425_1.4"/>
    <s v="ISEL-1.4"/>
    <n v="1"/>
    <s v="NO TIENE L3OUT"/>
    <n v="86"/>
    <n v="96"/>
  </r>
  <r>
    <n v="151"/>
    <x v="0"/>
    <x v="262"/>
    <s v="eth1/4"/>
    <x v="0"/>
    <x v="0"/>
    <x v="0"/>
    <s v="9GW_TAB_Y_UPS-OFICINA_IXTLAHUACA_01"/>
    <x v="6"/>
    <b v="0"/>
    <s v="No está en VPC"/>
    <n v="151"/>
    <s v="NO EXISTE PG"/>
    <s v="NO EXISTE ISEL"/>
    <n v="9"/>
    <s v="NO TIENE L3OUT"/>
    <n v="86"/>
    <n v="96"/>
  </r>
  <r>
    <n v="430"/>
    <x v="1"/>
    <x v="263"/>
    <s v="eth1/4"/>
    <x v="0"/>
    <x v="0"/>
    <x v="0"/>
    <s v="ECAC2"/>
    <x v="6"/>
    <b v="0"/>
    <s v="No está en VPC"/>
    <n v="430"/>
    <s v="INTPG_VPC_428_1.4_430_1.4"/>
    <s v="ISEL-1.4"/>
    <n v="1"/>
    <s v="NO TIENE L3OUT"/>
    <n v="86"/>
    <n v="96"/>
  </r>
  <r>
    <n v="419"/>
    <x v="1"/>
    <x v="264"/>
    <s v="eth1/4"/>
    <x v="0"/>
    <x v="0"/>
    <x v="0"/>
    <s v="Prime-UCS-CLU1-B_client_LAG4_CISCOPRIME"/>
    <x v="6"/>
    <b v="0"/>
    <s v="No está en VPC"/>
    <n v="419"/>
    <s v="INTPG_VPC_419_1.4_421_1.4"/>
    <s v="ISEL-1.4"/>
    <n v="3"/>
    <s v="NO TIENE L3OUT"/>
    <n v="70"/>
    <n v="96"/>
  </r>
  <r>
    <n v="155"/>
    <x v="0"/>
    <x v="265"/>
    <s v="eth1/4"/>
    <x v="0"/>
    <x v="0"/>
    <x v="0"/>
    <s v="UXINGE"/>
    <x v="6"/>
    <b v="0"/>
    <s v="No está en VPC"/>
    <n v="155"/>
    <s v="INTPG_ACC_155_1.4"/>
    <s v="ISEL-1.4"/>
    <n v="1"/>
    <s v="NO TIENE L3OUT"/>
    <n v="198"/>
    <n v="96"/>
  </r>
  <r>
    <n v="409"/>
    <x v="1"/>
    <x v="266"/>
    <s v="eth1/4"/>
    <x v="0"/>
    <x v="0"/>
    <x v="0"/>
    <s v="RLR2ARI08"/>
    <x v="6"/>
    <b v="0"/>
    <s v="No está en VPC"/>
    <n v="409"/>
    <s v="INTPG_ACC_409_1.4"/>
    <s v="ISEL-1.4"/>
    <n v="1"/>
    <s v="NO TIENE L3OUT"/>
    <n v="128"/>
    <n v="96"/>
  </r>
  <r>
    <n v="422"/>
    <x v="1"/>
    <x v="267"/>
    <s v="eth1/4"/>
    <x v="0"/>
    <x v="0"/>
    <x v="0"/>
    <s v="DNS_NOMINUM"/>
    <x v="6"/>
    <b v="0"/>
    <s v="No está en VPC"/>
    <n v="422"/>
    <s v="INTPG_ACC_422_1.4"/>
    <s v="ISEL-1.4"/>
    <n v="1"/>
    <s v="NO TIENE L3OUT"/>
    <n v="182"/>
    <n v="96"/>
  </r>
  <r>
    <n v="436"/>
    <x v="1"/>
    <x v="268"/>
    <s v="eth1/4"/>
    <x v="0"/>
    <x v="1"/>
    <x v="1"/>
    <s v="uxdomaine"/>
    <x v="6"/>
    <b v="0"/>
    <s v="No está en VPC"/>
    <n v="436"/>
    <s v="INTPG_ACC_436_1.4"/>
    <s v="ISEL-1.4"/>
    <n v="1"/>
    <s v="NO TIENE L3OUT"/>
    <n v="172"/>
    <n v="96"/>
  </r>
  <r>
    <n v="410"/>
    <x v="1"/>
    <x v="269"/>
    <s v="eth1/4"/>
    <x v="0"/>
    <x v="0"/>
    <x v="0"/>
    <s v="9UCS-IXTLA-WEBEX-SERV2"/>
    <x v="6"/>
    <b v="0"/>
    <s v="No está en VPC"/>
    <n v="410"/>
    <s v="INTPG_ACC_410_1.4"/>
    <s v="ISEL-1.4"/>
    <n v="1"/>
    <s v="NO TIENE L3OUT"/>
    <n v="178"/>
    <n v="96"/>
  </r>
  <r>
    <n v="161"/>
    <x v="0"/>
    <x v="270"/>
    <s v="eth1/4"/>
    <x v="0"/>
    <x v="1"/>
    <x v="1"/>
    <s v="IBM SICOD"/>
    <x v="6"/>
    <b v="0"/>
    <s v="No está en VPC"/>
    <n v="161"/>
    <s v="INTPG_ACC_161_1.4"/>
    <s v="ISEL-1.4"/>
    <n v="1"/>
    <s v="NO TIENE L3OUT"/>
    <n v="102"/>
    <n v="96"/>
  </r>
  <r>
    <n v="411"/>
    <x v="1"/>
    <x v="271"/>
    <s v="eth1/4"/>
    <x v="0"/>
    <x v="1"/>
    <x v="1"/>
    <s v="MEDIACION_HUAWEI_LACP2_PTO_1"/>
    <x v="6"/>
    <b v="0"/>
    <s v="No está en VPC"/>
    <n v="411"/>
    <s v="INTPG_VPC_411_1.4_413_1.4"/>
    <s v="ISEL-1.4"/>
    <n v="1"/>
    <s v="NO TIENE L3OUT"/>
    <n v="96"/>
    <n v="96"/>
  </r>
  <r>
    <n v="116"/>
    <x v="0"/>
    <x v="272"/>
    <s v="eth1/4"/>
    <x v="0"/>
    <x v="0"/>
    <x v="0"/>
    <s v="UXWEPD38"/>
    <x v="6"/>
    <b v="0"/>
    <s v="No está en VPC"/>
    <n v="116"/>
    <s v="INTPG_ACC_116_1.4"/>
    <s v="ISEL-1.4"/>
    <n v="1"/>
    <s v="NO TIENE L3OUT"/>
    <n v="148"/>
    <n v="96"/>
  </r>
  <r>
    <n v="412"/>
    <x v="1"/>
    <x v="273"/>
    <s v="eth1/4"/>
    <x v="0"/>
    <x v="0"/>
    <x v="0"/>
    <s v="uxhdr01a_ILOM"/>
    <x v="6"/>
    <b v="0"/>
    <s v="No está en VPC"/>
    <n v="412"/>
    <s v="INTPG_ACC_412_1.4"/>
    <s v="ISEL-1.4"/>
    <n v="1"/>
    <s v="NO TIENE L3OUT"/>
    <n v="126"/>
    <n v="96"/>
  </r>
  <r>
    <n v="120"/>
    <x v="0"/>
    <x v="274"/>
    <s v="eth1/4"/>
    <x v="0"/>
    <x v="0"/>
    <x v="0"/>
    <s v="TemipAMX1"/>
    <x v="6"/>
    <b v="0"/>
    <s v="No está en VPC"/>
    <n v="120"/>
    <s v="INTPG_PC_120_1.4-8"/>
    <s v="ISEL-1.4"/>
    <n v="1"/>
    <s v="NO TIENE L3OUT"/>
    <n v="158"/>
    <n v="96"/>
  </r>
  <r>
    <n v="404"/>
    <x v="1"/>
    <x v="275"/>
    <s v="eth1/4"/>
    <x v="0"/>
    <x v="0"/>
    <x v="0"/>
    <s v="client_ITHPF1_EN1SW2"/>
    <x v="6"/>
    <b v="0"/>
    <s v="No está en VPC"/>
    <n v="404"/>
    <s v="INTPG_VPC_404_1.3-4_406_1.3-4"/>
    <s v="ISEL-1.4"/>
    <n v="4"/>
    <s v="NO TIENE L3OUT"/>
    <n v="92"/>
    <n v="96"/>
  </r>
  <r>
    <n v="167"/>
    <x v="0"/>
    <x v="276"/>
    <s v="eth1/4"/>
    <x v="0"/>
    <x v="0"/>
    <x v="0"/>
    <s v="LINKDOWN_HACIA_UCS_9UCS-GEO-IXTLA-SERV1"/>
    <x v="6"/>
    <b v="0"/>
    <s v="No está en VPC"/>
    <n v="167"/>
    <s v="INTPG_ACC_167_1.4"/>
    <s v="ISEL-1.4"/>
    <n v="1"/>
    <s v="NO TIENE L3OUT"/>
    <n v="68"/>
    <n v="96"/>
  </r>
  <r>
    <n v="428"/>
    <x v="1"/>
    <x v="277"/>
    <s v="eth1/4"/>
    <x v="0"/>
    <x v="0"/>
    <x v="0"/>
    <s v="ECAC2"/>
    <x v="6"/>
    <b v="0"/>
    <s v="No está en VPC"/>
    <n v="428"/>
    <s v="INTPG_VPC_428_1.4_430_1.4"/>
    <s v="ISEL-1.4"/>
    <n v="1"/>
    <s v="NO TIENE L3OUT"/>
    <n v="102"/>
    <n v="96"/>
  </r>
  <r>
    <n v="903"/>
    <x v="2"/>
    <x v="278"/>
    <s v="eth1/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40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40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40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40"/>
    <x v="1"/>
    <x v="1"/>
    <x v="2"/>
    <s v="DESC"/>
    <x v="0"/>
    <b v="0"/>
    <s v="No está en VPC"/>
    <n v="101"/>
    <s v="INTPG_PC_101_1.39-40"/>
    <s v="ISEL-1.40"/>
    <n v="1"/>
    <s v="NO TIENE L3OUT"/>
    <n v="114"/>
    <n v="54"/>
  </r>
  <r>
    <n v="160"/>
    <x v="0"/>
    <x v="4"/>
    <s v="eth1/40"/>
    <x v="0"/>
    <x v="1"/>
    <x v="1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40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40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40"/>
    <x v="0"/>
    <x v="1"/>
    <x v="3"/>
    <m/>
    <x v="0"/>
    <b v="0"/>
    <s v="No está en VPC"/>
    <n v="401"/>
    <s v="NO EXISTE PG"/>
    <s v="NO EXISTE ISEL"/>
    <n v="0"/>
    <s v="NO TIENE L3OUT"/>
    <n v="40"/>
    <n v="54"/>
  </r>
  <r>
    <n v="402"/>
    <x v="1"/>
    <x v="8"/>
    <s v="eth1/40"/>
    <x v="0"/>
    <x v="1"/>
    <x v="3"/>
    <s v="VMWARE_DEMO_TO_APIC"/>
    <x v="0"/>
    <b v="0"/>
    <s v="No está en VPC"/>
    <n v="402"/>
    <s v="INTPG_ACC_402_1.40"/>
    <s v="ISEL-1.40"/>
    <n v="0"/>
    <s v="NO TIENE L3OUT"/>
    <n v="36"/>
    <n v="54"/>
  </r>
  <r>
    <n v="130"/>
    <x v="0"/>
    <x v="11"/>
    <s v="eth1/40"/>
    <x v="0"/>
    <x v="0"/>
    <x v="0"/>
    <s v="LAG-smt-comp-03"/>
    <x v="0"/>
    <b v="0"/>
    <s v="No está en VPC"/>
    <n v="130"/>
    <s v="INTPG_VPC_130_1.40-41_131_1.40-41"/>
    <s v="ISEL-1.40"/>
    <n v="4"/>
    <s v="NO TIENE L3OUT"/>
    <n v="128"/>
    <n v="54"/>
  </r>
  <r>
    <n v="150"/>
    <x v="0"/>
    <x v="12"/>
    <s v="eth1/40"/>
    <x v="0"/>
    <x v="0"/>
    <x v="0"/>
    <s v="DESC"/>
    <x v="0"/>
    <b v="0"/>
    <s v="No está en VPC"/>
    <n v="150"/>
    <s v="INTPG_PC_150_1.39-40"/>
    <s v="ISEL-1.40"/>
    <n v="1"/>
    <s v="NO TIENE L3OUT"/>
    <n v="118"/>
    <n v="54"/>
  </r>
  <r>
    <n v="131"/>
    <x v="0"/>
    <x v="13"/>
    <s v="eth1/40"/>
    <x v="0"/>
    <x v="0"/>
    <x v="0"/>
    <s v="LAG-smt-comp-03"/>
    <x v="0"/>
    <b v="0"/>
    <s v="No está en VPC"/>
    <n v="131"/>
    <s v="INTPG_VPC_130_1.40-41_131_1.40-41"/>
    <s v="ISEL-1.40"/>
    <n v="4"/>
    <s v="NO TIENE L3OUT"/>
    <n v="126"/>
    <n v="54"/>
  </r>
  <r>
    <n v="424"/>
    <x v="1"/>
    <x v="18"/>
    <s v="eth1/40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40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40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40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40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40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40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40"/>
    <x v="0"/>
    <x v="0"/>
    <x v="0"/>
    <s v="FGW_R9_IXTLA_FORTI_42K_1"/>
    <x v="0"/>
    <b v="0"/>
    <s v="No está en VPC"/>
    <n v="431"/>
    <s v="INTPG_ACC_431_1.40"/>
    <s v="ISEL-1.40"/>
    <n v="0"/>
    <s v="L3OUT-NUBE-ORACLE-1"/>
    <n v="46"/>
    <n v="54"/>
  </r>
  <r>
    <n v="433"/>
    <x v="1"/>
    <x v="27"/>
    <s v="eth1/40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40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40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40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40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40"/>
    <x v="1"/>
    <x v="1"/>
    <x v="3"/>
    <m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40"/>
    <x v="1"/>
    <x v="1"/>
    <x v="3"/>
    <m/>
    <x v="0"/>
    <b v="0"/>
    <s v="No está en VPC"/>
    <n v="712"/>
    <s v="NO EXISTE PG"/>
    <s v="NO EXISTE ISEL"/>
    <n v="0"/>
    <s v="NO TIENE L3OUT"/>
    <n v="32"/>
    <n v="54"/>
  </r>
  <r>
    <n v="719"/>
    <x v="2"/>
    <x v="34"/>
    <s v="eth1/40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40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40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40"/>
    <x v="1"/>
    <x v="1"/>
    <x v="3"/>
    <m/>
    <x v="0"/>
    <b v="0"/>
    <s v="No está en VPC"/>
    <n v="711"/>
    <s v="NO EXISTE PG"/>
    <s v="NO EXISTE ISEL"/>
    <n v="0"/>
    <s v="NO TIENE L3OUT"/>
    <n v="16"/>
    <n v="54"/>
  </r>
  <r>
    <n v="716"/>
    <x v="2"/>
    <x v="38"/>
    <s v="eth1/40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40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40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40"/>
    <x v="0"/>
    <x v="0"/>
    <x v="0"/>
    <s v="Proyecto Arieso"/>
    <x v="0"/>
    <b v="0"/>
    <s v="No está en VPC"/>
    <n v="446"/>
    <s v="INTPG_VPC_444_1.37-40_446_1.37-40"/>
    <s v="ISEL-1.40"/>
    <n v="16"/>
    <s v="NO TIENE L3OUT"/>
    <n v="198"/>
    <n v="54"/>
  </r>
  <r>
    <n v="444"/>
    <x v="1"/>
    <x v="42"/>
    <s v="eth1/40"/>
    <x v="0"/>
    <x v="0"/>
    <x v="0"/>
    <s v="Proyecto Arieso"/>
    <x v="0"/>
    <b v="0"/>
    <s v="No está en VPC"/>
    <n v="444"/>
    <s v="INTPG_VPC_444_1.37-40_446_1.37-40"/>
    <s v="ISEL-1.40"/>
    <n v="16"/>
    <s v="NO TIENE L3OUT"/>
    <n v="234"/>
    <n v="54"/>
  </r>
  <r>
    <n v="701"/>
    <x v="2"/>
    <x v="43"/>
    <s v="eth1/40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40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40"/>
    <x v="0"/>
    <x v="0"/>
    <x v="0"/>
    <s v="FGW_R9_IXTLA_FORTI_42K_2"/>
    <x v="0"/>
    <b v="0"/>
    <s v="No está en VPC"/>
    <n v="448"/>
    <s v="INTPG_ACC_448_1.40"/>
    <s v="ISEL-1.40"/>
    <n v="0"/>
    <s v="L3OUT-NUBE-ORACLE-2"/>
    <n v="46"/>
    <n v="54"/>
  </r>
  <r>
    <n v="704"/>
    <x v="2"/>
    <x v="46"/>
    <s v="eth1/40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40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40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40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40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40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40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40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40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40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40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40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40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40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40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40"/>
    <x v="0"/>
    <x v="1"/>
    <x v="1"/>
    <m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40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40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40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40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40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40"/>
    <x v="0"/>
    <x v="1"/>
    <x v="3"/>
    <s v="CLOUD OPS:ithhwcop01st01ce04:B IOM1 Smart IO P0"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40"/>
    <x v="1"/>
    <x v="1"/>
    <x v="3"/>
    <m/>
    <x v="0"/>
    <b v="0"/>
    <s v="No está en VPC"/>
    <n v="780"/>
    <s v="NO EXISTE PG"/>
    <s v="NO EXISTE ISEL"/>
    <n v="0"/>
    <s v="NO TIENE L3OUT"/>
    <n v="26"/>
    <n v="54"/>
  </r>
  <r>
    <n v="812"/>
    <x v="2"/>
    <x v="70"/>
    <s v="eth1/40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40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40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40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40"/>
    <x v="0"/>
    <x v="0"/>
    <x v="0"/>
    <s v="LINK_TO_ITHHWCRMPEN01 /X2-10GE 1 /Principal"/>
    <x v="0"/>
    <b v="0"/>
    <s v="No está en VPC"/>
    <n v="824"/>
    <s v="INTPG_VPC_819_1.40_43_824_1.40_43"/>
    <s v="ISEL-1.40"/>
    <n v="4"/>
    <s v="NO TIENE L3OUT"/>
    <n v="70"/>
    <n v="54"/>
  </r>
  <r>
    <n v="819"/>
    <x v="2"/>
    <x v="75"/>
    <s v="eth1/40"/>
    <x v="0"/>
    <x v="0"/>
    <x v="0"/>
    <s v="LINK_TO_ITHHWCRMPEN01 /X2-10GE 2 /Redundante"/>
    <x v="0"/>
    <b v="0"/>
    <s v="No está en VPC"/>
    <n v="819"/>
    <s v="INTPG_VPC_819_1.40_43_824_1.40_43"/>
    <s v="ISEL-1.40"/>
    <n v="4"/>
    <s v="NO TIENE L3OUT"/>
    <n v="70"/>
    <n v="54"/>
  </r>
  <r>
    <n v="737"/>
    <x v="2"/>
    <x v="76"/>
    <s v="eth1/40"/>
    <x v="0"/>
    <x v="1"/>
    <x v="1"/>
    <m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40"/>
    <x v="0"/>
    <x v="0"/>
    <x v="0"/>
    <s v="LINK_TO_ITHFHWCRMPLCN114 / Slot1.1_32 / Principal"/>
    <x v="0"/>
    <b v="0"/>
    <s v="No está en VPC"/>
    <n v="844"/>
    <s v="INTPG_ACC_844_1.40"/>
    <s v="ISEL-1.40"/>
    <n v="6"/>
    <s v="NO TIENE L3OUT"/>
    <n v="282"/>
    <n v="54"/>
  </r>
  <r>
    <n v="843"/>
    <x v="2"/>
    <x v="78"/>
    <s v="eth1/40"/>
    <x v="0"/>
    <x v="0"/>
    <x v="0"/>
    <s v="A_ITHFHWSEQLHDPS82_Principal"/>
    <x v="0"/>
    <b v="0"/>
    <s v="No está en VPC"/>
    <n v="843"/>
    <s v="INTPG_ACC_843_1.40"/>
    <s v="ISEL-1.40"/>
    <n v="1"/>
    <s v="NO TIENE L3OUT"/>
    <n v="38"/>
    <n v="54"/>
  </r>
  <r>
    <n v="797"/>
    <x v="2"/>
    <x v="79"/>
    <s v="eth1/40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40"/>
    <x v="0"/>
    <x v="0"/>
    <x v="0"/>
    <s v="LINK_TO_ITHFHWCBSPSUSBD32 / Slot7.1_4 / Redundante"/>
    <x v="0"/>
    <b v="0"/>
    <s v="No está en VPC"/>
    <n v="839"/>
    <s v="INTPG_VPC_834_1.40_839_1.40"/>
    <s v="ISEL-1.40"/>
    <n v="2"/>
    <s v="NO TIENE L3OUT"/>
    <n v="0"/>
    <n v="54"/>
  </r>
  <r>
    <n v="847"/>
    <x v="2"/>
    <x v="81"/>
    <s v="eth1/40"/>
    <x v="0"/>
    <x v="0"/>
    <x v="0"/>
    <s v="LINK_TO_ITHFHWCRMPSBDP10 / Slot7.3_4 / Redundante"/>
    <x v="0"/>
    <b v="0"/>
    <s v="No está en VPC"/>
    <n v="847"/>
    <s v="INTPG_VPC_854_1.40_847_1.40"/>
    <s v="ISEL-1.40"/>
    <n v="1"/>
    <s v="NO TIENE L3OUT"/>
    <n v="204"/>
    <n v="54"/>
  </r>
  <r>
    <n v="848"/>
    <x v="2"/>
    <x v="82"/>
    <s v="eth1/40"/>
    <x v="0"/>
    <x v="0"/>
    <x v="0"/>
    <s v="LINK_TO_ITHFHWCRMPLCN167 / Slot7.3_36 / Redundante"/>
    <x v="0"/>
    <b v="0"/>
    <s v="No está en VPC"/>
    <n v="848"/>
    <s v="INTPG_ACC_848_1.40"/>
    <s v="ISEL-1.40"/>
    <n v="1"/>
    <s v="NO TIENE L3OUT"/>
    <n v="254"/>
    <n v="54"/>
  </r>
  <r>
    <n v="846"/>
    <x v="2"/>
    <x v="83"/>
    <s v="eth1/40"/>
    <x v="0"/>
    <x v="0"/>
    <x v="0"/>
    <s v="LINK_TO_ITHFHWCRMPLCN85 / Slot1.1_28 / Principal"/>
    <x v="0"/>
    <b v="0"/>
    <s v="No está en VPC"/>
    <n v="846"/>
    <s v="INTPG_ACC_846_1.40"/>
    <s v="ISEL-1.40"/>
    <n v="6"/>
    <s v="NO TIENE L3OUT"/>
    <n v="242"/>
    <n v="54"/>
  </r>
  <r>
    <n v="838"/>
    <x v="2"/>
    <x v="84"/>
    <s v="eth1/40"/>
    <x v="0"/>
    <x v="0"/>
    <x v="0"/>
    <s v="A_ITHFHWSEQLHDPS82_Redundante"/>
    <x v="0"/>
    <b v="0"/>
    <s v="No está en VPC"/>
    <n v="838"/>
    <s v="INTPG_ACC_838_1.40"/>
    <s v="ISEL-1.40"/>
    <n v="1"/>
    <s v="NO TIENE L3OUT"/>
    <n v="38"/>
    <n v="54"/>
  </r>
  <r>
    <n v="849"/>
    <x v="2"/>
    <x v="85"/>
    <s v="eth1/40"/>
    <x v="0"/>
    <x v="0"/>
    <x v="0"/>
    <s v="LINK_TO_ITHFHWCRMPLCN147 / Slot7.3_28 / Redundante"/>
    <x v="0"/>
    <b v="0"/>
    <s v="No está en VPC"/>
    <n v="849"/>
    <s v="INTPG_ACC_849_1.40"/>
    <s v="ISEL-1.40"/>
    <n v="1"/>
    <s v="NO TIENE L3OUT"/>
    <n v="286"/>
    <n v="54"/>
  </r>
  <r>
    <n v="845"/>
    <x v="2"/>
    <x v="86"/>
    <s v="eth1/40"/>
    <x v="0"/>
    <x v="0"/>
    <x v="0"/>
    <s v="LINK_TO_ITHFHWCRMPLCN97 / Slot1.2_26 / Principal"/>
    <x v="0"/>
    <b v="0"/>
    <s v="No está en VPC"/>
    <n v="845"/>
    <s v="INTPG_ACC_845_1.40"/>
    <s v="ISEL-1.40"/>
    <n v="2"/>
    <s v="NO TIENE L3OUT"/>
    <n v="258"/>
    <n v="54"/>
  </r>
  <r>
    <n v="873"/>
    <x v="2"/>
    <x v="87"/>
    <s v="eth1/40"/>
    <x v="0"/>
    <x v="0"/>
    <x v="0"/>
    <s v="To_ITHFHWCRMDLCN37_Redundante"/>
    <x v="0"/>
    <b v="0"/>
    <s v="No está en VPC"/>
    <n v="873"/>
    <s v="INTPG_ACC_873_1.40"/>
    <s v="ISEL-1.40"/>
    <n v="6"/>
    <s v="NO TIENE L3OUT"/>
    <n v="248"/>
    <n v="54"/>
  </r>
  <r>
    <n v="864"/>
    <x v="2"/>
    <x v="88"/>
    <s v="eth1/40"/>
    <x v="0"/>
    <x v="0"/>
    <x v="0"/>
    <s v="To_VPC_2DCBSD_WR49_1"/>
    <x v="0"/>
    <b v="0"/>
    <s v="No está en VPC"/>
    <n v="864"/>
    <s v="INTPG_VPC_859_1.40_864_1.40"/>
    <s v="ISEL-1.40"/>
    <n v="2"/>
    <s v="NO TIENE L3OUT"/>
    <n v="0"/>
    <n v="54"/>
  </r>
  <r>
    <n v="836"/>
    <x v="2"/>
    <x v="89"/>
    <s v="eth1/40"/>
    <x v="0"/>
    <x v="0"/>
    <x v="0"/>
    <s v="LINK_TO_ITHFHWCBSPSHD27 / Slot1.3_18 / Principal"/>
    <x v="0"/>
    <b v="0"/>
    <s v="No está en VPC"/>
    <n v="836"/>
    <s v="INTPG_VPC_836_1.40_841_1.40"/>
    <s v="ISEL-1.40"/>
    <n v="1"/>
    <s v="NO TIENE L3OUT"/>
    <n v="0"/>
    <n v="54"/>
  </r>
  <r>
    <n v="834"/>
    <x v="2"/>
    <x v="90"/>
    <s v="eth1/40"/>
    <x v="0"/>
    <x v="0"/>
    <x v="0"/>
    <s v="LINK_TO_ITHFHWCBSPSUSBD32 / Slot1.1_4 / Principal"/>
    <x v="0"/>
    <b v="0"/>
    <s v="No está en VPC"/>
    <n v="834"/>
    <s v="INTPG_VPC_834_1.40_839_1.40"/>
    <s v="ISEL-1.40"/>
    <n v="2"/>
    <s v="NO TIENE L3OUT"/>
    <n v="0"/>
    <n v="54"/>
  </r>
  <r>
    <n v="872"/>
    <x v="2"/>
    <x v="91"/>
    <s v="eth1/40"/>
    <x v="0"/>
    <x v="0"/>
    <x v="0"/>
    <s v="TO_ITHFHWCRMDLCN50_Principal"/>
    <x v="0"/>
    <b v="0"/>
    <s v="No está en VPC"/>
    <n v="872"/>
    <s v="INTPG_ACC_872_1.40"/>
    <s v="ISEL-1.40"/>
    <n v="2"/>
    <s v="NO TIENE L3OUT"/>
    <n v="288"/>
    <n v="54"/>
  </r>
  <r>
    <n v="842"/>
    <x v="2"/>
    <x v="92"/>
    <s v="eth1/40"/>
    <x v="0"/>
    <x v="0"/>
    <x v="0"/>
    <s v="LINK_To_ITHFHWCBSPSHD21 / Slot7.2_18 / Redundante"/>
    <x v="0"/>
    <b v="0"/>
    <s v="No está en VPC"/>
    <n v="842"/>
    <s v="INTPG_VPC_837_1.40_842_1.40"/>
    <s v="ISEL-1.40"/>
    <n v="1"/>
    <s v="NO TIENE L3OUT"/>
    <n v="8"/>
    <n v="54"/>
  </r>
  <r>
    <n v="828"/>
    <x v="2"/>
    <x v="93"/>
    <s v="eth1/40"/>
    <x v="0"/>
    <x v="0"/>
    <x v="0"/>
    <s v="LINK_TO_ITHHWD6KV60010DKC01 /CtrlB_IOM0.P0 /Principal"/>
    <x v="0"/>
    <b v="0"/>
    <s v="No está en VPC"/>
    <n v="828"/>
    <s v="INTPG_ACC_828_1.40"/>
    <s v="ISEL-1.40"/>
    <n v="1"/>
    <s v="NO TIENE L3OUT"/>
    <n v="192"/>
    <n v="54"/>
  </r>
  <r>
    <n v="870"/>
    <x v="2"/>
    <x v="94"/>
    <s v="eth1/40"/>
    <x v="0"/>
    <x v="0"/>
    <x v="0"/>
    <s v="To_ITHFHWCRMDLCN37_Principal"/>
    <x v="0"/>
    <b v="0"/>
    <s v="No está en VPC"/>
    <n v="870"/>
    <s v="INTPG_ACC_870_1.40"/>
    <s v="ISEL-1.40"/>
    <n v="6"/>
    <s v="NO TIENE L3OUT"/>
    <n v="248"/>
    <n v="54"/>
  </r>
  <r>
    <n v="866"/>
    <x v="2"/>
    <x v="95"/>
    <s v="eth1/40"/>
    <x v="0"/>
    <x v="0"/>
    <x v="0"/>
    <s v="To_VPC_2DCBSD_BD15_3"/>
    <x v="0"/>
    <b v="0"/>
    <s v="No está en VPC"/>
    <n v="866"/>
    <s v="INTPG_VPC_861_1.40_866_1.40"/>
    <s v="ISEL-1.40"/>
    <n v="1"/>
    <s v="NO TIENE L3OUT"/>
    <n v="8"/>
    <n v="54"/>
  </r>
  <r>
    <n v="862"/>
    <x v="2"/>
    <x v="96"/>
    <s v="eth1/40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40"/>
    <x v="0"/>
    <x v="0"/>
    <x v="0"/>
    <s v="LINK_TO_ITHFHWCRMPLCN167 / Slot1.3_36 / Principal"/>
    <x v="0"/>
    <b v="0"/>
    <s v="No está en VPC"/>
    <n v="855"/>
    <s v="INTPG_ACC_855_1.40"/>
    <s v="ISEL-1.40"/>
    <n v="1"/>
    <s v="NO TIENE L3OUT"/>
    <n v="254"/>
    <n v="54"/>
  </r>
  <r>
    <n v="871"/>
    <x v="2"/>
    <x v="98"/>
    <s v="eth1/40"/>
    <x v="0"/>
    <x v="0"/>
    <x v="0"/>
    <s v="To_ITHFHWCRMDLCN67_Principal"/>
    <x v="0"/>
    <b v="0"/>
    <s v="No está en VPC"/>
    <n v="871"/>
    <s v="INTPG_ACC_871_1.40"/>
    <s v="ISEL-1.40"/>
    <n v="6"/>
    <s v="NO TIENE L3OUT"/>
    <n v="246"/>
    <n v="54"/>
  </r>
  <r>
    <n v="841"/>
    <x v="2"/>
    <x v="99"/>
    <s v="eth1/40"/>
    <x v="0"/>
    <x v="0"/>
    <x v="0"/>
    <s v="LINK_TO_ITHFHWCBSPSHD27 / Slot7.3_18 / Redundante"/>
    <x v="0"/>
    <b v="0"/>
    <s v="No está en VPC"/>
    <n v="841"/>
    <s v="INTPG_VPC_836_1.40_841_1.40"/>
    <s v="ISEL-1.40"/>
    <n v="1"/>
    <s v="NO TIENE L3OUT"/>
    <n v="0"/>
    <n v="54"/>
  </r>
  <r>
    <n v="868"/>
    <x v="2"/>
    <x v="100"/>
    <s v="eth1/40"/>
    <x v="0"/>
    <x v="0"/>
    <x v="0"/>
    <s v="To_ITHFHWCRMDLCN67_Redundante"/>
    <x v="0"/>
    <b v="0"/>
    <s v="No está en VPC"/>
    <n v="868"/>
    <s v="INTPG_ACC_868_1.40"/>
    <s v="ISEL-1.40"/>
    <n v="6"/>
    <s v="NO TIENE L3OUT"/>
    <n v="246"/>
    <n v="54"/>
  </r>
  <r>
    <n v="869"/>
    <x v="2"/>
    <x v="101"/>
    <s v="eth1/40"/>
    <x v="0"/>
    <x v="0"/>
    <x v="0"/>
    <s v="TO_ITHFHWCRMDLCN50_Redundante"/>
    <x v="0"/>
    <b v="0"/>
    <s v="No está en VPC"/>
    <n v="869"/>
    <s v="INTPG_ACC_869_1.40"/>
    <s v="ISEL-1.40"/>
    <n v="2"/>
    <s v="NO TIENE L3OUT"/>
    <n v="288"/>
    <n v="54"/>
  </r>
  <r>
    <n v="861"/>
    <x v="2"/>
    <x v="102"/>
    <s v="eth1/40"/>
    <x v="0"/>
    <x v="0"/>
    <x v="0"/>
    <s v="To_VPC_2DCBSD_BD15_3"/>
    <x v="0"/>
    <b v="0"/>
    <s v="No está en VPC"/>
    <n v="861"/>
    <s v="INTPG_VPC_861_1.40_866_1.40"/>
    <s v="ISEL-1.40"/>
    <n v="1"/>
    <s v="NO TIENE L3OUT"/>
    <n v="8"/>
    <n v="54"/>
  </r>
  <r>
    <n v="874"/>
    <x v="2"/>
    <x v="103"/>
    <s v="eth1/40"/>
    <x v="0"/>
    <x v="0"/>
    <x v="0"/>
    <s v="A_ITHFHWSEQLCAS15_Redundante"/>
    <x v="4"/>
    <b v="0"/>
    <s v="No está en VPC"/>
    <n v="874"/>
    <s v="INTPG_ACC_874_1.40"/>
    <s v="ISEL-1.40"/>
    <n v="1"/>
    <s v="NO TIENE L3OUT"/>
    <n v="92"/>
    <n v="54"/>
  </r>
  <r>
    <n v="865"/>
    <x v="2"/>
    <x v="104"/>
    <s v="eth1/40"/>
    <x v="0"/>
    <x v="0"/>
    <x v="0"/>
    <s v="To_VPC_2DCBSD_WR39_1"/>
    <x v="0"/>
    <b v="0"/>
    <s v="No está en VPC"/>
    <n v="865"/>
    <s v="INTPG_VPC_860_1.40_865_1.40"/>
    <s v="ISEL-1.40"/>
    <n v="2"/>
    <s v="NO TIENE L3OUT"/>
    <n v="0"/>
    <n v="54"/>
  </r>
  <r>
    <n v="753"/>
    <x v="2"/>
    <x v="105"/>
    <s v="eth1/40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40"/>
    <x v="0"/>
    <x v="1"/>
    <x v="3"/>
    <m/>
    <x v="0"/>
    <b v="0"/>
    <s v="No está en VPC"/>
    <n v="708"/>
    <s v="NO EXISTE PG"/>
    <s v="NO EXISTE ISEL"/>
    <n v="0"/>
    <s v="NO TIENE L3OUT"/>
    <n v="0"/>
    <n v="54"/>
  </r>
  <r>
    <n v="710"/>
    <x v="2"/>
    <x v="107"/>
    <s v="eth1/40"/>
    <x v="1"/>
    <x v="1"/>
    <x v="3"/>
    <m/>
    <x v="0"/>
    <b v="0"/>
    <s v="No está en VPC"/>
    <n v="710"/>
    <s v="NO EXISTE PG"/>
    <s v="NO EXISTE ISEL"/>
    <n v="0"/>
    <s v="NO TIENE L3OUT"/>
    <n v="16"/>
    <n v="54"/>
  </r>
  <r>
    <n v="713"/>
    <x v="2"/>
    <x v="108"/>
    <s v="eth1/40"/>
    <x v="1"/>
    <x v="1"/>
    <x v="3"/>
    <m/>
    <x v="0"/>
    <b v="0"/>
    <s v="No está en VPC"/>
    <n v="713"/>
    <s v="NO EXISTE PG"/>
    <s v="NO EXISTE ISEL"/>
    <n v="0"/>
    <s v="NO TIENE L3OUT"/>
    <n v="32"/>
    <n v="54"/>
  </r>
  <r>
    <n v="735"/>
    <x v="2"/>
    <x v="109"/>
    <s v="eth1/40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40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40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40"/>
    <x v="1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40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40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40"/>
    <x v="0"/>
    <x v="0"/>
    <x v="0"/>
    <s v="LINK_TO_ITHFHWCBSDSWR20 /Slot5.2 /Principal"/>
    <x v="0"/>
    <b v="0"/>
    <s v="No está en VPC"/>
    <n v="826"/>
    <s v="INTPG_VPC_826_1.40_830_1.40"/>
    <s v="ISEL-1.40"/>
    <n v="2"/>
    <s v="NO TIENE L3OUT"/>
    <n v="12"/>
    <n v="54"/>
  </r>
  <r>
    <n v="726"/>
    <x v="2"/>
    <x v="117"/>
    <s v="eth1/40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40"/>
    <x v="0"/>
    <x v="1"/>
    <x v="1"/>
    <m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40"/>
    <x v="1"/>
    <x v="1"/>
    <x v="3"/>
    <m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40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40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40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40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40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40"/>
    <x v="0"/>
    <x v="1"/>
    <x v="3"/>
    <m/>
    <x v="0"/>
    <b v="0"/>
    <s v="No está en VPC"/>
    <n v="709"/>
    <s v="NO EXISTE PG"/>
    <s v="NO EXISTE ISEL"/>
    <n v="0"/>
    <s v="NO TIENE L3OUT"/>
    <n v="0"/>
    <n v="54"/>
  </r>
  <r>
    <n v="454"/>
    <x v="1"/>
    <x v="126"/>
    <s v="eth1/40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40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40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40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40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40"/>
    <x v="0"/>
    <x v="1"/>
    <x v="1"/>
    <m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40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40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40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40"/>
    <x v="0"/>
    <x v="1"/>
    <x v="3"/>
    <m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40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40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40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40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40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40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40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40"/>
    <x v="0"/>
    <x v="0"/>
    <x v="0"/>
    <s v="CLOUD PASS PAYG F3:ITHHWOSCOPAP025:Slot 1 P1"/>
    <x v="0"/>
    <b v="0"/>
    <s v="No está en VPC"/>
    <n v="774"/>
    <s v="INTPG_VPC_774_1.40_775_1.40"/>
    <s v="ISEL-1.40"/>
    <n v="24"/>
    <s v="NO TIENE L3OUT"/>
    <n v="0"/>
    <n v="54"/>
  </r>
  <r>
    <n v="773"/>
    <x v="2"/>
    <x v="145"/>
    <s v="eth1/40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40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40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40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40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40"/>
    <x v="1"/>
    <x v="1"/>
    <x v="3"/>
    <m/>
    <x v="0"/>
    <b v="0"/>
    <s v="No está en VPC"/>
    <n v="781"/>
    <s v="NO EXISTE PG"/>
    <s v="NO EXISTE ISEL"/>
    <n v="0"/>
    <s v="NO TIENE L3OUT"/>
    <n v="26"/>
    <n v="54"/>
  </r>
  <r>
    <n v="793"/>
    <x v="2"/>
    <x v="151"/>
    <s v="eth1/40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40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40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40"/>
    <x v="1"/>
    <x v="1"/>
    <x v="3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40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40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40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40"/>
    <x v="0"/>
    <x v="1"/>
    <x v="1"/>
    <m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40"/>
    <x v="0"/>
    <x v="0"/>
    <x v="0"/>
    <s v="CLOUD PASS PAYG F3:ITHHWOSCOPAP025:LOM P1"/>
    <x v="0"/>
    <b v="0"/>
    <s v="No está en VPC"/>
    <n v="775"/>
    <s v="INTPG_VPC_774_1.40_775_1.40"/>
    <s v="ISEL-1.40"/>
    <n v="24"/>
    <s v="NO TIENE L3OUT"/>
    <n v="0"/>
    <n v="54"/>
  </r>
  <r>
    <n v="791"/>
    <x v="2"/>
    <x v="160"/>
    <s v="eth1/40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40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40"/>
    <x v="0"/>
    <x v="0"/>
    <x v="0"/>
    <s v="LINK_TO_ITHFHWCBSDSWR20 /Slot7.2 /Redundante"/>
    <x v="0"/>
    <b v="0"/>
    <s v="No está en VPC"/>
    <n v="830"/>
    <s v="INTPG_VPC_826_1.40_830_1.40"/>
    <s v="ISEL-1.40"/>
    <n v="2"/>
    <s v="NO TIENE L3OUT"/>
    <n v="12"/>
    <n v="54"/>
  </r>
  <r>
    <n v="821"/>
    <x v="2"/>
    <x v="163"/>
    <s v="eth1/40"/>
    <x v="0"/>
    <x v="0"/>
    <x v="0"/>
    <s v="LINK_TO_ITHFHWCBSPSWR20 /Slot7.2 /Redundante"/>
    <x v="0"/>
    <b v="0"/>
    <s v="No está en VPC"/>
    <n v="821"/>
    <s v="INTPG_VPC_816_1.40_821_1.40"/>
    <s v="ISEL-1.40"/>
    <n v="2"/>
    <s v="NO TIENE L3OUT"/>
    <n v="0"/>
    <n v="54"/>
  </r>
  <r>
    <n v="738"/>
    <x v="2"/>
    <x v="164"/>
    <s v="eth1/40"/>
    <x v="0"/>
    <x v="1"/>
    <x v="1"/>
    <m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40"/>
    <x v="0"/>
    <x v="0"/>
    <x v="0"/>
    <s v="TO-9S_BESPR_IXTLA3_1"/>
    <x v="0"/>
    <b v="0"/>
    <s v="No está en VPC"/>
    <n v="820"/>
    <s v="INTPG_VPC_820_1.38-41_825_1.38-41"/>
    <s v="ISEL-1.40"/>
    <n v="31"/>
    <s v="NO TIENE L3OUT"/>
    <n v="72"/>
    <n v="54"/>
  </r>
  <r>
    <n v="804"/>
    <x v="2"/>
    <x v="166"/>
    <s v="eth1/40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40"/>
    <x v="0"/>
    <x v="1"/>
    <x v="3"/>
    <s v="CLOUD OPS:ithhwcop01st01ce04:B IOM1 Smart IO P1"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40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40"/>
    <x v="0"/>
    <x v="0"/>
    <x v="0"/>
    <s v="LINK_TO_ITHFHWCBSDSWR29 /Slot4.2 /Principal"/>
    <x v="0"/>
    <b v="0"/>
    <s v="No está en VPC"/>
    <n v="827"/>
    <s v="INTPG_VPC_827_1.40_831_1.40"/>
    <s v="ISEL-1.40"/>
    <n v="1"/>
    <s v="NO TIENE L3OUT"/>
    <n v="14"/>
    <n v="54"/>
  </r>
  <r>
    <n v="809"/>
    <x v="2"/>
    <x v="170"/>
    <s v="eth1/40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40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40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40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40"/>
    <x v="1"/>
    <x v="1"/>
    <x v="3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40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40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40"/>
    <x v="0"/>
    <x v="0"/>
    <x v="0"/>
    <s v="LINK_TO_ITHFHWCRMPLCN114 / Slot7.1_32 / Redundante"/>
    <x v="0"/>
    <b v="0"/>
    <s v="No está en VPC"/>
    <n v="851"/>
    <s v="INTPG_ACC_851_1.40"/>
    <s v="ISEL-1.40"/>
    <n v="6"/>
    <s v="NO TIENE L3OUT"/>
    <n v="282"/>
    <n v="54"/>
  </r>
  <r>
    <n v="798"/>
    <x v="2"/>
    <x v="178"/>
    <s v="eth1/40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40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40"/>
    <x v="0"/>
    <x v="0"/>
    <x v="0"/>
    <s v="LINK_TO_ITHFHWCRMPLCN97 / Slot7.2_26 / Redundante"/>
    <x v="0"/>
    <b v="0"/>
    <s v="No está en VPC"/>
    <n v="852"/>
    <s v="INTPG_ACC_852_1.40"/>
    <s v="ISEL-1.40"/>
    <n v="2"/>
    <s v="NO TIENE L3OUT"/>
    <n v="258"/>
    <n v="54"/>
  </r>
  <r>
    <n v="817"/>
    <x v="2"/>
    <x v="181"/>
    <s v="eth1/40"/>
    <x v="0"/>
    <x v="0"/>
    <x v="0"/>
    <s v="LINK_TO_ITHFHWCBSPSWR27 /Slot5.2 /Principal"/>
    <x v="0"/>
    <b v="0"/>
    <s v="No está en VPC"/>
    <n v="817"/>
    <s v="INTPG_VPC_817_1.40_822_1.40"/>
    <s v="ISEL-1.40"/>
    <n v="2"/>
    <s v="NO TIENE L3OUT"/>
    <n v="0"/>
    <n v="54"/>
  </r>
  <r>
    <n v="832"/>
    <x v="2"/>
    <x v="182"/>
    <s v="eth1/40"/>
    <x v="0"/>
    <x v="0"/>
    <x v="0"/>
    <s v="LINK_TO_ITHHWD6KV60010DKC01 /CtrlB_IOM0.P1 /Redundante"/>
    <x v="0"/>
    <b v="0"/>
    <s v="No está en VPC"/>
    <n v="832"/>
    <s v="INTPG_ACC_832_1.40"/>
    <s v="ISEL-1.40"/>
    <n v="1"/>
    <s v="NO TIENE L3OUT"/>
    <n v="192"/>
    <n v="54"/>
  </r>
  <r>
    <n v="816"/>
    <x v="2"/>
    <x v="183"/>
    <s v="eth1/40"/>
    <x v="0"/>
    <x v="0"/>
    <x v="0"/>
    <s v="LINK_TO_ITHFHWCBSPSWR20 /Slot5.2 /Principal"/>
    <x v="0"/>
    <b v="0"/>
    <s v="No está en VPC"/>
    <n v="816"/>
    <s v="INTPG_VPC_816_1.40_821_1.40"/>
    <s v="ISEL-1.40"/>
    <n v="2"/>
    <s v="NO TIENE L3OUT"/>
    <n v="0"/>
    <n v="54"/>
  </r>
  <r>
    <n v="825"/>
    <x v="2"/>
    <x v="184"/>
    <s v="eth1/40"/>
    <x v="0"/>
    <x v="0"/>
    <x v="0"/>
    <s v="TO-9S_BESPR_IXTLA3_1"/>
    <x v="0"/>
    <b v="0"/>
    <s v="No está en VPC"/>
    <n v="825"/>
    <s v="INTPG_VPC_820_1.38-41_825_1.38-41"/>
    <s v="ISEL-1.40"/>
    <n v="31"/>
    <s v="NO TIENE L3OUT"/>
    <n v="72"/>
    <n v="54"/>
  </r>
  <r>
    <n v="800"/>
    <x v="2"/>
    <x v="185"/>
    <s v="eth1/40"/>
    <x v="0"/>
    <x v="0"/>
    <x v="0"/>
    <s v="TO-ITHFDEOCP1LMT02-REDUNDANTE"/>
    <x v="0"/>
    <b v="0"/>
    <s v="No está en VPC"/>
    <n v="800"/>
    <s v="INTPG_ACC_800_1.40"/>
    <s v="ISEL-1.40"/>
    <n v="1"/>
    <s v="NO TIENE L3OUT"/>
    <n v="78"/>
    <n v="54"/>
  </r>
  <r>
    <n v="801"/>
    <x v="2"/>
    <x v="186"/>
    <s v="eth1/40"/>
    <x v="0"/>
    <x v="0"/>
    <x v="0"/>
    <s v="TO-ITHFDEOCP1LMT02-PRINCIPAL"/>
    <x v="0"/>
    <b v="0"/>
    <s v="No está en VPC"/>
    <n v="801"/>
    <s v="INTPG_ACC_801_1.40"/>
    <s v="ISEL-1.40"/>
    <n v="1"/>
    <s v="NO TIENE L3OUT"/>
    <n v="78"/>
    <n v="54"/>
  </r>
  <r>
    <n v="823"/>
    <x v="2"/>
    <x v="187"/>
    <s v="eth1/40"/>
    <x v="0"/>
    <x v="0"/>
    <x v="0"/>
    <s v="LINK_TO_ITHFHWCBSPSWR37 /Slot6.2 /Redundante"/>
    <x v="0"/>
    <b v="0"/>
    <s v="No está en VPC"/>
    <n v="823"/>
    <s v="INTPG_VPC_818_1.40_823_1.40"/>
    <s v="ISEL-1.40"/>
    <n v="1"/>
    <s v="NO TIENE L3OUT"/>
    <n v="8"/>
    <n v="54"/>
  </r>
  <r>
    <n v="837"/>
    <x v="2"/>
    <x v="188"/>
    <s v="eth1/40"/>
    <x v="0"/>
    <x v="0"/>
    <x v="0"/>
    <s v="LINK_To_ITHFHWCBSPSHD21 / Slot1.2_18 / Principal"/>
    <x v="0"/>
    <b v="0"/>
    <s v="No está en VPC"/>
    <n v="837"/>
    <s v="INTPG_VPC_837_1.40_842_1.40"/>
    <s v="ISEL-1.40"/>
    <n v="1"/>
    <s v="NO TIENE L3OUT"/>
    <n v="8"/>
    <n v="54"/>
  </r>
  <r>
    <n v="867"/>
    <x v="2"/>
    <x v="189"/>
    <s v="eth1/40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40"/>
    <x v="0"/>
    <x v="0"/>
    <x v="0"/>
    <s v="To_ITHFHWCRMDLCN48_Principal"/>
    <x v="0"/>
    <b v="0"/>
    <s v="No está en VPC"/>
    <n v="829"/>
    <s v="INTPG_ACC_829_1.40"/>
    <s v="ISEL-1.40"/>
    <n v="2"/>
    <s v="NO TIENE L3OUT"/>
    <n v="224"/>
    <n v="54"/>
  </r>
  <r>
    <n v="831"/>
    <x v="2"/>
    <x v="191"/>
    <s v="eth1/40"/>
    <x v="0"/>
    <x v="0"/>
    <x v="0"/>
    <s v="LINK_TO_ITHFHWCBSDSWR29 /Slot6.2 /Redundante"/>
    <x v="0"/>
    <b v="0"/>
    <s v="No está en VPC"/>
    <n v="831"/>
    <s v="INTPG_VPC_827_1.40_831_1.40"/>
    <s v="ISEL-1.40"/>
    <n v="1"/>
    <s v="NO TIENE L3OUT"/>
    <n v="14"/>
    <n v="54"/>
  </r>
  <r>
    <n v="802"/>
    <x v="2"/>
    <x v="192"/>
    <s v="eth1/40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40"/>
    <x v="0"/>
    <x v="0"/>
    <x v="0"/>
    <s v="LINK_TO_ITHFHWCBSPSHD35 / Slot1.3_22 / Principal"/>
    <x v="0"/>
    <b v="0"/>
    <s v="No está en VPC"/>
    <n v="835"/>
    <s v="INTPG_VPC_835_1.40_840_1.40"/>
    <s v="ISEL-1.40"/>
    <n v="1"/>
    <s v="NO TIENE L3OUT"/>
    <n v="8"/>
    <n v="54"/>
  </r>
  <r>
    <n v="822"/>
    <x v="2"/>
    <x v="194"/>
    <s v="eth1/40"/>
    <x v="0"/>
    <x v="0"/>
    <x v="0"/>
    <s v="LINK_TO_ITHFHWCBSPSWR27 /Slot7.2 /Redundante"/>
    <x v="0"/>
    <b v="0"/>
    <s v="No está en VPC"/>
    <n v="822"/>
    <s v="INTPG_VPC_817_1.40_822_1.40"/>
    <s v="ISEL-1.40"/>
    <n v="2"/>
    <s v="NO TIENE L3OUT"/>
    <n v="0"/>
    <n v="54"/>
  </r>
  <r>
    <n v="854"/>
    <x v="2"/>
    <x v="195"/>
    <s v="eth1/40"/>
    <x v="0"/>
    <x v="0"/>
    <x v="0"/>
    <s v="LINK_TO_ITHFHWCRMPSBDP10 / Slot1.3_4 / Principal"/>
    <x v="0"/>
    <b v="0"/>
    <s v="No está en VPC"/>
    <n v="854"/>
    <s v="INTPG_VPC_854_1.40_847_1.40"/>
    <s v="ISEL-1.40"/>
    <n v="1"/>
    <s v="NO TIENE L3OUT"/>
    <n v="204"/>
    <n v="54"/>
  </r>
  <r>
    <n v="858"/>
    <x v="2"/>
    <x v="196"/>
    <s v="eth1/40"/>
    <x v="0"/>
    <x v="0"/>
    <x v="0"/>
    <s v="To_VPC_2DCBSD_WR58_1"/>
    <x v="0"/>
    <b v="0"/>
    <s v="No está en VPC"/>
    <n v="858"/>
    <s v="INTPG_VPC_858_1.40_863_1.40"/>
    <s v="ISEL-1.40"/>
    <n v="2"/>
    <s v="NO TIENE L3OUT"/>
    <n v="8"/>
    <n v="54"/>
  </r>
  <r>
    <n v="857"/>
    <x v="2"/>
    <x v="197"/>
    <s v="eth1/40"/>
    <x v="0"/>
    <x v="0"/>
    <x v="0"/>
    <s v="LINKT_TO_ITHFHWCRMPLCN128 / Slot1.3_26 / Principal"/>
    <x v="0"/>
    <b v="0"/>
    <s v="No está en VPC"/>
    <n v="857"/>
    <s v="INTPG_ACC_857_1.40"/>
    <s v="ISEL-1.40"/>
    <n v="1"/>
    <s v="NO TIENE L3OUT"/>
    <n v="288"/>
    <n v="54"/>
  </r>
  <r>
    <n v="859"/>
    <x v="2"/>
    <x v="198"/>
    <s v="eth1/40"/>
    <x v="0"/>
    <x v="0"/>
    <x v="0"/>
    <s v="To_VPC_2DCBSD_WR49_1"/>
    <x v="0"/>
    <b v="0"/>
    <s v="No está en VPC"/>
    <n v="859"/>
    <s v="INTPG_VPC_859_1.40_864_1.40"/>
    <s v="ISEL-1.40"/>
    <n v="2"/>
    <s v="NO TIENE L3OUT"/>
    <n v="0"/>
    <n v="54"/>
  </r>
  <r>
    <n v="833"/>
    <x v="2"/>
    <x v="199"/>
    <s v="eth1/40"/>
    <x v="0"/>
    <x v="0"/>
    <x v="0"/>
    <s v="To_ITHFHWCRMDLCN48_Redundante"/>
    <x v="0"/>
    <b v="0"/>
    <s v="No está en VPC"/>
    <n v="833"/>
    <s v="INTPG_ACC_833_1.40"/>
    <s v="ISEL-1.40"/>
    <n v="2"/>
    <s v="NO TIENE L3OUT"/>
    <n v="224"/>
    <n v="54"/>
  </r>
  <r>
    <n v="818"/>
    <x v="2"/>
    <x v="200"/>
    <s v="eth1/40"/>
    <x v="0"/>
    <x v="0"/>
    <x v="0"/>
    <s v="LINK_TO_ITHFHWCBSPSWR37 /Slot4.2 /Principal"/>
    <x v="0"/>
    <b v="0"/>
    <s v="No está en VPC"/>
    <n v="818"/>
    <s v="INTPG_VPC_818_1.40_823_1.40"/>
    <s v="ISEL-1.40"/>
    <n v="1"/>
    <s v="NO TIENE L3OUT"/>
    <n v="8"/>
    <n v="54"/>
  </r>
  <r>
    <n v="850"/>
    <x v="2"/>
    <x v="201"/>
    <s v="eth1/40"/>
    <x v="0"/>
    <x v="0"/>
    <x v="0"/>
    <s v="LINKT_TO_ITHFHWCRMPLCN128 / Slot7.3_26 / Redundante"/>
    <x v="0"/>
    <b v="0"/>
    <s v="No está en VPC"/>
    <n v="850"/>
    <s v="INTPG_ACC_850_1.40"/>
    <s v="ISEL-1.40"/>
    <n v="1"/>
    <s v="NO TIENE L3OUT"/>
    <n v="288"/>
    <n v="54"/>
  </r>
  <r>
    <n v="860"/>
    <x v="2"/>
    <x v="202"/>
    <s v="eth1/40"/>
    <x v="0"/>
    <x v="0"/>
    <x v="0"/>
    <s v="To_VPC_2DCBSD_WR39_1"/>
    <x v="0"/>
    <b v="0"/>
    <s v="No está en VPC"/>
    <n v="860"/>
    <s v="INTPG_VPC_860_1.40_865_1.40"/>
    <s v="ISEL-1.40"/>
    <n v="2"/>
    <s v="NO TIENE L3OUT"/>
    <n v="0"/>
    <n v="54"/>
  </r>
  <r>
    <n v="853"/>
    <x v="2"/>
    <x v="203"/>
    <s v="eth1/40"/>
    <x v="0"/>
    <x v="0"/>
    <x v="0"/>
    <s v="LINK_TO_ITHFHWCRMPLCN85 / Slot7.1_28 / Redundante"/>
    <x v="0"/>
    <b v="0"/>
    <s v="No está en VPC"/>
    <n v="853"/>
    <s v="INTPG_ACC_853_1.40"/>
    <s v="ISEL-1.40"/>
    <n v="6"/>
    <s v="NO TIENE L3OUT"/>
    <n v="242"/>
    <n v="54"/>
  </r>
  <r>
    <n v="790"/>
    <x v="2"/>
    <x v="204"/>
    <s v="eth1/40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40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40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40"/>
    <x v="0"/>
    <x v="0"/>
    <x v="0"/>
    <s v="Citrix Silot"/>
    <x v="6"/>
    <b v="0"/>
    <s v="No está en VPC"/>
    <n v="104"/>
    <s v="INTPG_ACC_104_1.40"/>
    <s v="ISEL-1.40"/>
    <n v="1"/>
    <s v="NO TIENE L3OUT"/>
    <n v="194"/>
    <n v="96"/>
  </r>
  <r>
    <n v="158"/>
    <x v="0"/>
    <x v="208"/>
    <s v="eth1/40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40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40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40"/>
    <x v="0"/>
    <x v="0"/>
    <x v="0"/>
    <m/>
    <x v="6"/>
    <b v="0"/>
    <s v="No está en VPC"/>
    <n v="108"/>
    <s v="INTPG_ACC_108_1.40"/>
    <s v="ISEL-1.40"/>
    <n v="1"/>
    <s v="NO TIENE L3OUT"/>
    <n v="126"/>
    <n v="96"/>
  </r>
  <r>
    <n v="112"/>
    <x v="0"/>
    <x v="212"/>
    <s v="eth1/40"/>
    <x v="0"/>
    <x v="0"/>
    <x v="0"/>
    <s v="CS AIR"/>
    <x v="6"/>
    <b v="0"/>
    <s v="No está en VPC"/>
    <n v="112"/>
    <s v="INTPG_ACC_112_1.40"/>
    <s v="ISEL-1.40"/>
    <n v="1"/>
    <s v="NO TIENE L3OUT"/>
    <n v="144"/>
    <n v="96"/>
  </r>
  <r>
    <n v="107"/>
    <x v="0"/>
    <x v="213"/>
    <s v="eth1/40"/>
    <x v="1"/>
    <x v="1"/>
    <x v="2"/>
    <m/>
    <x v="6"/>
    <b v="0"/>
    <s v="No está en VPC"/>
    <n v="107"/>
    <s v="INTPG_ACC_107_1.40"/>
    <s v="ISEL-1.40"/>
    <n v="1"/>
    <s v="NO TIENE L3OUT"/>
    <n v="118"/>
    <n v="96"/>
  </r>
  <r>
    <n v="109"/>
    <x v="0"/>
    <x v="214"/>
    <s v="eth1/40"/>
    <x v="0"/>
    <x v="1"/>
    <x v="1"/>
    <m/>
    <x v="6"/>
    <b v="0"/>
    <s v="No está en VPC"/>
    <n v="109"/>
    <s v="INTPG_ACC_109_1.40"/>
    <s v="ISEL-1.40"/>
    <n v="1"/>
    <s v="NO TIENE L3OUT"/>
    <n v="126"/>
    <n v="96"/>
  </r>
  <r>
    <n v="113"/>
    <x v="0"/>
    <x v="215"/>
    <s v="eth1/40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40"/>
    <x v="0"/>
    <x v="1"/>
    <x v="1"/>
    <s v="Mudanza Neza "/>
    <x v="6"/>
    <b v="0"/>
    <s v="No está en VPC"/>
    <n v="114"/>
    <s v="INTPG_ACC_114_1.40"/>
    <s v="ISEL-1.40"/>
    <n v="1"/>
    <s v="NO TIENE L3OUT"/>
    <n v="144"/>
    <n v="96"/>
  </r>
  <r>
    <n v="124"/>
    <x v="0"/>
    <x v="217"/>
    <s v="eth1/40"/>
    <x v="1"/>
    <x v="1"/>
    <x v="2"/>
    <s v="3G_ENIQ_QRO_R6"/>
    <x v="6"/>
    <b v="0"/>
    <s v="No está en VPC"/>
    <n v="124"/>
    <s v="INTPG_VPC_124_1.25_40_125_1.28_41"/>
    <s v="ISEL-1.40"/>
    <n v="5"/>
    <s v="NO TIENE L3OUT"/>
    <n v="80"/>
    <n v="96"/>
  </r>
  <r>
    <n v="118"/>
    <x v="0"/>
    <x v="218"/>
    <s v="eth1/40"/>
    <x v="0"/>
    <x v="0"/>
    <x v="0"/>
    <s v="INGE6"/>
    <x v="6"/>
    <b v="0"/>
    <s v="No está en VPC"/>
    <n v="118"/>
    <s v="INTPG_ACC_118_1.40"/>
    <s v="ISEL-1.40"/>
    <n v="1"/>
    <s v="NO TIENE L3OUT"/>
    <n v="180"/>
    <n v="96"/>
  </r>
  <r>
    <n v="159"/>
    <x v="0"/>
    <x v="219"/>
    <s v="eth1/40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40"/>
    <x v="0"/>
    <x v="0"/>
    <x v="0"/>
    <s v="LINK_TO_ITHFHWCBSPSHD35 / Slot7.3_22 / Redundante"/>
    <x v="0"/>
    <b v="0"/>
    <s v="No está en VPC"/>
    <n v="840"/>
    <s v="INTPG_VPC_835_1.40_840_1.40"/>
    <s v="ISEL-1.40"/>
    <n v="1"/>
    <s v="NO TIENE L3OUT"/>
    <n v="8"/>
    <n v="54"/>
  </r>
  <r>
    <n v="856"/>
    <x v="2"/>
    <x v="221"/>
    <s v="eth1/40"/>
    <x v="0"/>
    <x v="0"/>
    <x v="0"/>
    <s v="LINK_TO_ITHFHWCRMPLCN147 / Slot1.3_28 / Principal"/>
    <x v="0"/>
    <b v="0"/>
    <s v="No está en VPC"/>
    <n v="856"/>
    <s v="INTPG_ACC_856_1.40"/>
    <s v="ISEL-1.40"/>
    <n v="1"/>
    <s v="NO TIENE L3OUT"/>
    <n v="286"/>
    <n v="54"/>
  </r>
  <r>
    <n v="110"/>
    <x v="0"/>
    <x v="222"/>
    <s v="eth1/40"/>
    <x v="0"/>
    <x v="0"/>
    <x v="0"/>
    <s v="SUN6900_E25K"/>
    <x v="6"/>
    <b v="0"/>
    <s v="No está en VPC"/>
    <n v="110"/>
    <s v="INTPG_ACC_110_1.40"/>
    <s v="ISEL-1.40"/>
    <n v="1"/>
    <s v="NO TIENE L3OUT"/>
    <n v="102"/>
    <n v="96"/>
  </r>
  <r>
    <n v="163"/>
    <x v="0"/>
    <x v="223"/>
    <s v="eth1/40"/>
    <x v="0"/>
    <x v="0"/>
    <x v="0"/>
    <s v="desc"/>
    <x v="6"/>
    <b v="0"/>
    <s v="No está en VPC"/>
    <n v="163"/>
    <s v="INTPG_VPC_161_1.40_163_1.40"/>
    <s v="ISEL-1.40"/>
    <n v="1"/>
    <s v="NO TIENE L3OUT"/>
    <n v="140"/>
    <n v="96"/>
  </r>
  <r>
    <n v="407"/>
    <x v="1"/>
    <x v="224"/>
    <s v="eth1/40"/>
    <x v="0"/>
    <x v="0"/>
    <x v="0"/>
    <s v="Uxorbi"/>
    <x v="6"/>
    <b v="0"/>
    <s v="No está en VPC"/>
    <n v="407"/>
    <s v="INTPG_ACC_407_1.40"/>
    <s v="ISEL-1.40"/>
    <n v="1"/>
    <s v="NO TIENE L3OUT"/>
    <n v="122"/>
    <n v="96"/>
  </r>
  <r>
    <n v="171"/>
    <x v="0"/>
    <x v="225"/>
    <s v="eth1/40"/>
    <x v="0"/>
    <x v="0"/>
    <x v="0"/>
    <s v="HP_Performance_Insight"/>
    <x v="6"/>
    <b v="0"/>
    <s v="No está en VPC"/>
    <n v="171"/>
    <s v="INTPG_ACC_171_1.40"/>
    <s v="ISEL-1.40"/>
    <n v="1"/>
    <s v="NO TIENE L3OUT"/>
    <n v="114"/>
    <n v="96"/>
  </r>
  <r>
    <n v="421"/>
    <x v="1"/>
    <x v="226"/>
    <s v="eth1/40"/>
    <x v="0"/>
    <x v="1"/>
    <x v="1"/>
    <s v="VTA_uxvta073_Net0"/>
    <x v="6"/>
    <b v="0"/>
    <s v="No está en VPC"/>
    <n v="421"/>
    <s v="INTPG_ACC_421_1.40"/>
    <s v="ISEL-1.40"/>
    <n v="1"/>
    <s v="NO TIENE L3OUT"/>
    <n v="72"/>
    <n v="96"/>
  </r>
  <r>
    <n v="173"/>
    <x v="0"/>
    <x v="227"/>
    <s v="eth1/40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40"/>
    <x v="0"/>
    <x v="0"/>
    <x v="0"/>
    <s v="DCX_BKP2"/>
    <x v="6"/>
    <b v="0"/>
    <s v="No está en VPC"/>
    <n v="154"/>
    <s v="INTPG_ACC_154_1.40"/>
    <s v="ISEL-1.40"/>
    <n v="1"/>
    <s v="NO TIENE L3OUT"/>
    <n v="62"/>
    <n v="96"/>
  </r>
  <r>
    <n v="172"/>
    <x v="0"/>
    <x v="229"/>
    <s v="eth1/40"/>
    <x v="0"/>
    <x v="1"/>
    <x v="1"/>
    <s v="netqosSHr9_02"/>
    <x v="6"/>
    <b v="0"/>
    <s v="No está en VPC"/>
    <n v="172"/>
    <s v="INTPG_ACC_172_1.40"/>
    <s v="ISEL-1.40"/>
    <n v="1"/>
    <s v="NO TIENE L3OUT"/>
    <n v="104"/>
    <n v="96"/>
  </r>
  <r>
    <n v="420"/>
    <x v="1"/>
    <x v="230"/>
    <s v="eth1/40"/>
    <x v="0"/>
    <x v="0"/>
    <x v="0"/>
    <s v="TEMIPCLOUD_A01"/>
    <x v="6"/>
    <b v="0"/>
    <s v="No está en VPC"/>
    <n v="420"/>
    <s v="INTPG_ACC_420_1.40"/>
    <s v="ISEL-1.40"/>
    <n v="1"/>
    <s v="NO TIENE L3OUT"/>
    <n v="158"/>
    <n v="96"/>
  </r>
  <r>
    <n v="423"/>
    <x v="1"/>
    <x v="231"/>
    <s v="eth1/40"/>
    <x v="0"/>
    <x v="0"/>
    <x v="0"/>
    <s v="SPECSERVER2_ETH2"/>
    <x v="6"/>
    <b v="0"/>
    <s v="No está en VPC"/>
    <n v="423"/>
    <s v="INTPG_ACC_423_1.40"/>
    <s v="ISEL-1.40"/>
    <n v="1"/>
    <s v="NO TIENE L3OUT"/>
    <n v="86"/>
    <n v="96"/>
  </r>
  <r>
    <n v="415"/>
    <x v="1"/>
    <x v="232"/>
    <s v="eth1/40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40"/>
    <x v="1"/>
    <x v="1"/>
    <x v="2"/>
    <s v="File System AM:VMTLCLAMX5:OA02"/>
    <x v="6"/>
    <b v="0"/>
    <s v="No está en VPC"/>
    <n v="102"/>
    <s v="INTPG_ACC_102_1.40"/>
    <s v="ISEL-1.40"/>
    <n v="0"/>
    <s v="NO TIENE L3OUT"/>
    <n v="228"/>
    <n v="96"/>
  </r>
  <r>
    <n v="863"/>
    <x v="2"/>
    <x v="234"/>
    <s v="eth1/40"/>
    <x v="0"/>
    <x v="0"/>
    <x v="0"/>
    <s v="To_VPC_2DCBSD_WR58_1"/>
    <x v="0"/>
    <b v="0"/>
    <s v="No está en VPC"/>
    <n v="863"/>
    <s v="INTPG_VPC_858_1.40_863_1.40"/>
    <s v="ISEL-1.40"/>
    <n v="2"/>
    <s v="NO TIENE L3OUT"/>
    <n v="8"/>
    <n v="54"/>
  </r>
  <r>
    <n v="876"/>
    <x v="2"/>
    <x v="235"/>
    <s v="eth1/40"/>
    <x v="0"/>
    <x v="0"/>
    <x v="0"/>
    <s v="A_ITHFHWSEQLCAS15_Principal"/>
    <x v="4"/>
    <b v="0"/>
    <s v="No está en VPC"/>
    <n v="876"/>
    <s v="INTPG_ACC_876_1.40"/>
    <s v="ISEL-1.40"/>
    <n v="1"/>
    <s v="NO TIENE L3OUT"/>
    <n v="92"/>
    <n v="54"/>
  </r>
  <r>
    <n v="877"/>
    <x v="2"/>
    <x v="236"/>
    <s v="eth1/40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40"/>
    <x v="0"/>
    <x v="0"/>
    <x v="0"/>
    <s v="Registro Nacional de Celulares"/>
    <x v="6"/>
    <b v="0"/>
    <s v="No está en VPC"/>
    <n v="122"/>
    <s v="INTPG_ACC_122_1.40"/>
    <s v="ISEL-1.40"/>
    <n v="1"/>
    <s v="NO TIENE L3OUT"/>
    <n v="148"/>
    <n v="96"/>
  </r>
  <r>
    <n v="157"/>
    <x v="0"/>
    <x v="238"/>
    <s v="eth1/40"/>
    <x v="0"/>
    <x v="0"/>
    <x v="0"/>
    <s v="IXT08PP"/>
    <x v="6"/>
    <b v="0"/>
    <s v="No está en VPC"/>
    <n v="157"/>
    <s v="INTPG_ACC_157_1.40"/>
    <s v="ISEL-1.40"/>
    <n v="1"/>
    <s v="NO TIENE L3OUT"/>
    <n v="202"/>
    <n v="96"/>
  </r>
  <r>
    <n v="408"/>
    <x v="1"/>
    <x v="239"/>
    <s v="eth1/40"/>
    <x v="0"/>
    <x v="0"/>
    <x v="0"/>
    <s v="HNMS101"/>
    <x v="6"/>
    <b v="0"/>
    <s v="No está en VPC"/>
    <n v="408"/>
    <s v="INTPG_ACC_408_1.40"/>
    <s v="ISEL-1.40"/>
    <n v="1"/>
    <s v="NO TIENE L3OUT"/>
    <n v="152"/>
    <n v="96"/>
  </r>
  <r>
    <n v="405"/>
    <x v="1"/>
    <x v="240"/>
    <s v="eth1/40"/>
    <x v="0"/>
    <x v="0"/>
    <x v="0"/>
    <s v="BACKBONE_SAN_IXT2_02"/>
    <x v="6"/>
    <b v="0"/>
    <s v="No está en VPC"/>
    <n v="405"/>
    <s v="INTPG_ACC_405_1.40"/>
    <s v="ISEL-1.40"/>
    <n v="1"/>
    <s v="NO TIENE L3OUT"/>
    <n v="138"/>
    <n v="96"/>
  </r>
  <r>
    <n v="169"/>
    <x v="0"/>
    <x v="241"/>
    <s v="eth1/40"/>
    <x v="0"/>
    <x v="0"/>
    <x v="0"/>
    <s v="TO-ITHEMCDS6520RM06G-PRINCIPAL"/>
    <x v="6"/>
    <b v="0"/>
    <s v="No está en VPC"/>
    <n v="169"/>
    <s v="INTPG_ACC_169_1.40"/>
    <s v="ISEL-1.40"/>
    <n v="1"/>
    <s v="NO TIENE L3OUT"/>
    <n v="76"/>
    <n v="96"/>
  </r>
  <r>
    <n v="165"/>
    <x v="0"/>
    <x v="242"/>
    <s v="eth1/40"/>
    <x v="0"/>
    <x v="0"/>
    <x v="0"/>
    <s v="NOMINA_uxtest02"/>
    <x v="6"/>
    <b v="0"/>
    <s v="No está en VPC"/>
    <n v="165"/>
    <s v="INTPG_ACC_165_1.40"/>
    <s v="ISEL-1.40"/>
    <n v="1"/>
    <s v="NO TIENE L3OUT"/>
    <n v="86"/>
    <n v="96"/>
  </r>
  <r>
    <n v="417"/>
    <x v="1"/>
    <x v="243"/>
    <s v="eth1/40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40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40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40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40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40"/>
    <x v="0"/>
    <x v="0"/>
    <x v="0"/>
    <s v="TC3_ithmomce1_VC2_X1"/>
    <x v="6"/>
    <b v="0"/>
    <s v="No está en VPC"/>
    <n v="438"/>
    <s v="INTPG_ACC_438_1.40"/>
    <s v="ISEL-1.40"/>
    <n v="7"/>
    <s v="NO TIENE L3OUT"/>
    <n v="170"/>
    <n v="96"/>
  </r>
  <r>
    <n v="406"/>
    <x v="1"/>
    <x v="249"/>
    <s v="eth1/40"/>
    <x v="0"/>
    <x v="0"/>
    <x v="0"/>
    <s v="DESC"/>
    <x v="6"/>
    <b v="0"/>
    <s v="No está en VPC"/>
    <n v="406"/>
    <s v="INTPG_PC_406_1.39-42"/>
    <s v="ISEL-1.40"/>
    <n v="4"/>
    <s v="NO TIENE L3OUT"/>
    <n v="82"/>
    <n v="96"/>
  </r>
  <r>
    <n v="414"/>
    <x v="1"/>
    <x v="250"/>
    <s v="eth1/40"/>
    <x v="0"/>
    <x v="1"/>
    <x v="1"/>
    <s v="IXTPF1"/>
    <x v="6"/>
    <b v="0"/>
    <s v="No está en VPC"/>
    <n v="414"/>
    <s v="INTPG_ACC_414_1.40"/>
    <s v="ISEL-1.40"/>
    <n v="1"/>
    <s v="NO TIENE L3OUT"/>
    <n v="144"/>
    <n v="96"/>
  </r>
  <r>
    <n v="416"/>
    <x v="1"/>
    <x v="251"/>
    <s v="eth1/40"/>
    <x v="0"/>
    <x v="0"/>
    <x v="0"/>
    <s v="DESC"/>
    <x v="6"/>
    <b v="0"/>
    <s v="No está en VPC"/>
    <n v="416"/>
    <s v="INTPG_PC_416_1.40-45"/>
    <s v="ISEL-1.40"/>
    <n v="7"/>
    <s v="NO TIENE L3OUT"/>
    <n v="110"/>
    <n v="96"/>
  </r>
  <r>
    <n v="418"/>
    <x v="1"/>
    <x v="252"/>
    <s v="eth1/40"/>
    <x v="0"/>
    <x v="0"/>
    <x v="0"/>
    <s v="DESC"/>
    <x v="6"/>
    <b v="0"/>
    <s v="No está en VPC"/>
    <n v="418"/>
    <s v="INTPG_PC_418_1.40-45"/>
    <s v="ISEL-1.40"/>
    <n v="7"/>
    <s v="NO TIENE L3OUT"/>
    <n v="152"/>
    <n v="96"/>
  </r>
  <r>
    <n v="413"/>
    <x v="1"/>
    <x v="253"/>
    <s v="eth1/40"/>
    <x v="0"/>
    <x v="0"/>
    <x v="0"/>
    <s v="To-uxingemc1 ldom3 ldom2 ldom1"/>
    <x v="6"/>
    <b v="0"/>
    <s v="No está en VPC"/>
    <n v="413"/>
    <s v="INTPG_ACC_413_1.40"/>
    <s v="ISEL-1.40"/>
    <n v="1"/>
    <s v="NO TIENE L3OUT"/>
    <n v="126"/>
    <n v="96"/>
  </r>
  <r>
    <n v="403"/>
    <x v="1"/>
    <x v="254"/>
    <s v="eth1/40"/>
    <x v="0"/>
    <x v="0"/>
    <x v="0"/>
    <s v="BACKBONE_SAN_IXT2_02"/>
    <x v="6"/>
    <b v="0"/>
    <s v="No está en VPC"/>
    <n v="403"/>
    <s v="INTPG_ACC_403_1.40"/>
    <s v="ISEL-1.40"/>
    <n v="1"/>
    <s v="NO TIENE L3OUT"/>
    <n v="150"/>
    <n v="96"/>
  </r>
  <r>
    <n v="125"/>
    <x v="0"/>
    <x v="255"/>
    <s v="eth1/40"/>
    <x v="0"/>
    <x v="1"/>
    <x v="1"/>
    <s v="3G_OSS_QRO_R6"/>
    <x v="6"/>
    <b v="0"/>
    <s v="No está en VPC"/>
    <n v="125"/>
    <s v="INTPG_VPC_124_1.23_39_125_1.27_40"/>
    <s v="ISEL-1.40"/>
    <n v="5"/>
    <s v="NO TIENE L3OUT"/>
    <n v="72"/>
    <n v="96"/>
  </r>
  <r>
    <n v="166"/>
    <x v="0"/>
    <x v="256"/>
    <s v="eth1/40"/>
    <x v="0"/>
    <x v="0"/>
    <x v="0"/>
    <s v="NOMINA_uxnomr12"/>
    <x v="6"/>
    <b v="0"/>
    <s v="No está en VPC"/>
    <n v="166"/>
    <s v="INTPG_ACC_166_1.40"/>
    <s v="ISEL-1.40"/>
    <n v="1"/>
    <s v="NO TIENE L3OUT"/>
    <n v="84"/>
    <n v="96"/>
  </r>
  <r>
    <n v="111"/>
    <x v="0"/>
    <x v="257"/>
    <s v="eth1/40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40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40"/>
    <x v="0"/>
    <x v="0"/>
    <x v="0"/>
    <m/>
    <x v="6"/>
    <b v="0"/>
    <s v="No está en VPC"/>
    <n v="106"/>
    <s v="INTPG_ACC_106_1.40"/>
    <s v="ISEL-1.40"/>
    <n v="1"/>
    <s v="NO TIENE L3OUT"/>
    <n v="122"/>
    <n v="96"/>
  </r>
  <r>
    <n v="126"/>
    <x v="0"/>
    <x v="260"/>
    <s v="eth1/40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40"/>
    <x v="0"/>
    <x v="0"/>
    <x v="0"/>
    <s v="ITHPA02_eth1_IPMP-Pasiva"/>
    <x v="6"/>
    <b v="0"/>
    <s v="No está en VPC"/>
    <n v="425"/>
    <s v="INTPG_ACC_425_1.40"/>
    <s v="ISEL-1.40"/>
    <n v="1"/>
    <s v="NO TIENE L3OUT"/>
    <n v="86"/>
    <n v="96"/>
  </r>
  <r>
    <n v="151"/>
    <x v="0"/>
    <x v="262"/>
    <s v="eth1/40"/>
    <x v="0"/>
    <x v="0"/>
    <x v="0"/>
    <s v="VMWARE_DEMO_TO_APIC"/>
    <x v="6"/>
    <b v="0"/>
    <s v="No está en VPC"/>
    <n v="151"/>
    <s v="INTPG_ACC_151_1.40"/>
    <s v="ISEL-1.40"/>
    <n v="1"/>
    <s v="NO TIENE L3OUT"/>
    <n v="86"/>
    <n v="96"/>
  </r>
  <r>
    <n v="430"/>
    <x v="1"/>
    <x v="263"/>
    <s v="eth1/40"/>
    <x v="0"/>
    <x v="1"/>
    <x v="1"/>
    <s v="SecAnLG_iDrac_06-Colector_R9_RD-IXTSALG_H9RD"/>
    <x v="6"/>
    <b v="0"/>
    <s v="No está en VPC"/>
    <n v="430"/>
    <s v="INTPG_ACC_430_1.40"/>
    <s v="ISEL-1.40"/>
    <n v="1"/>
    <s v="NO TIENE L3OUT"/>
    <n v="86"/>
    <n v="96"/>
  </r>
  <r>
    <n v="419"/>
    <x v="1"/>
    <x v="264"/>
    <s v="eth1/40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40"/>
    <x v="0"/>
    <x v="0"/>
    <x v="0"/>
    <s v="SNA TEST BED"/>
    <x v="6"/>
    <b v="0"/>
    <s v="No está en VPC"/>
    <n v="155"/>
    <s v="INTPG_ACC_155_1.40"/>
    <s v="ISEL-1.40"/>
    <n v="0"/>
    <s v="L3OUT-SNA-HOME-ZONE-BGP"/>
    <n v="198"/>
    <n v="96"/>
  </r>
  <r>
    <n v="409"/>
    <x v="1"/>
    <x v="266"/>
    <s v="eth1/40"/>
    <x v="0"/>
    <x v="0"/>
    <x v="0"/>
    <s v="CPP_4_15"/>
    <x v="6"/>
    <b v="0"/>
    <s v="No está en VPC"/>
    <n v="409"/>
    <s v="INTPG_ACC_409_1.40"/>
    <s v="ISEL-1.40"/>
    <n v="1"/>
    <s v="NO TIENE L3OUT"/>
    <n v="128"/>
    <n v="96"/>
  </r>
  <r>
    <n v="422"/>
    <x v="1"/>
    <x v="267"/>
    <s v="eth1/40"/>
    <x v="0"/>
    <x v="0"/>
    <x v="0"/>
    <s v="ITHRTC4BEN1VC2x4"/>
    <x v="6"/>
    <b v="0"/>
    <s v="No está en VPC"/>
    <n v="422"/>
    <s v="INTPG_ACC_422_1.40"/>
    <s v="ISEL-1.40"/>
    <n v="1"/>
    <s v="NO TIENE L3OUT"/>
    <n v="182"/>
    <n v="96"/>
  </r>
  <r>
    <n v="436"/>
    <x v="1"/>
    <x v="268"/>
    <s v="eth1/40"/>
    <x v="0"/>
    <x v="0"/>
    <x v="0"/>
    <s v="DESC"/>
    <x v="6"/>
    <b v="0"/>
    <s v="No está en VPC"/>
    <n v="436"/>
    <s v="INTPG_PC_436_1.40-45"/>
    <s v="ISEL-1.40"/>
    <n v="7"/>
    <s v="NO TIENE L3OUT"/>
    <n v="172"/>
    <n v="96"/>
  </r>
  <r>
    <n v="410"/>
    <x v="1"/>
    <x v="269"/>
    <s v="eth1/40"/>
    <x v="0"/>
    <x v="0"/>
    <x v="0"/>
    <s v="Exadata2"/>
    <x v="6"/>
    <b v="0"/>
    <s v="No está en VPC"/>
    <n v="410"/>
    <s v="INTPG_ACC_410_1.40"/>
    <s v="ISEL-1.40"/>
    <n v="1"/>
    <s v="NO TIENE L3OUT"/>
    <n v="178"/>
    <n v="96"/>
  </r>
  <r>
    <n v="161"/>
    <x v="0"/>
    <x v="270"/>
    <s v="eth1/40"/>
    <x v="0"/>
    <x v="0"/>
    <x v="0"/>
    <s v="desc"/>
    <x v="6"/>
    <b v="0"/>
    <s v="No está en VPC"/>
    <n v="161"/>
    <s v="INTPG_VPC_161_1.40_163_1.40"/>
    <s v="ISEL-1.40"/>
    <n v="1"/>
    <s v="NO TIENE L3OUT"/>
    <n v="102"/>
    <n v="96"/>
  </r>
  <r>
    <n v="411"/>
    <x v="1"/>
    <x v="271"/>
    <s v="eth1/40"/>
    <x v="0"/>
    <x v="1"/>
    <x v="1"/>
    <s v="F5_MASIVAS_f5-dvtr-mpwo_mgmt"/>
    <x v="6"/>
    <b v="0"/>
    <s v="No está en VPC"/>
    <n v="411"/>
    <s v="INTPG_ACC_411_1.40"/>
    <s v="ISEL-1.40"/>
    <n v="1"/>
    <s v="NO TIENE L3OUT"/>
    <n v="96"/>
    <n v="96"/>
  </r>
  <r>
    <n v="116"/>
    <x v="0"/>
    <x v="272"/>
    <s v="eth1/40"/>
    <x v="1"/>
    <x v="1"/>
    <x v="2"/>
    <s v="DATOS NETCRACKER"/>
    <x v="6"/>
    <b v="0"/>
    <s v="No está en VPC"/>
    <n v="116"/>
    <s v="INTPG_ACC_116_1.40"/>
    <s v="ISEL-1.40"/>
    <n v="0"/>
    <s v="NO TIENE L3OUT"/>
    <n v="148"/>
    <n v="96"/>
  </r>
  <r>
    <n v="412"/>
    <x v="1"/>
    <x v="273"/>
    <s v="eth1/40"/>
    <x v="0"/>
    <x v="0"/>
    <x v="0"/>
    <s v="HNMS101"/>
    <x v="6"/>
    <b v="0"/>
    <s v="No está en VPC"/>
    <n v="412"/>
    <s v="INTPG_ACC_412_1.40"/>
    <s v="ISEL-1.40"/>
    <n v="1"/>
    <s v="NO TIENE L3OUT"/>
    <n v="126"/>
    <n v="96"/>
  </r>
  <r>
    <n v="120"/>
    <x v="0"/>
    <x v="274"/>
    <s v="eth1/40"/>
    <x v="0"/>
    <x v="0"/>
    <x v="0"/>
    <s v="ZFS X5-2"/>
    <x v="6"/>
    <b v="0"/>
    <s v="No está en VPC"/>
    <n v="120"/>
    <s v="INTPG_ACC_120_1.40"/>
    <s v="ISEL-1.40"/>
    <n v="1"/>
    <s v="NO TIENE L3OUT"/>
    <n v="158"/>
    <n v="96"/>
  </r>
  <r>
    <n v="404"/>
    <x v="1"/>
    <x v="275"/>
    <s v="eth1/40"/>
    <x v="0"/>
    <x v="0"/>
    <x v="0"/>
    <s v="DESC"/>
    <x v="6"/>
    <b v="0"/>
    <s v="No está en VPC"/>
    <n v="404"/>
    <s v="INTPG_PC_404_1.37-40"/>
    <s v="ISEL-1.40"/>
    <n v="4"/>
    <s v="NO TIENE L3OUT"/>
    <n v="92"/>
    <n v="96"/>
  </r>
  <r>
    <n v="167"/>
    <x v="0"/>
    <x v="276"/>
    <s v="eth1/40"/>
    <x v="0"/>
    <x v="1"/>
    <x v="1"/>
    <s v="9UCS-GEO-IXTLA-SERV1"/>
    <x v="6"/>
    <b v="0"/>
    <s v="No está en VPC"/>
    <n v="167"/>
    <s v="INTPG_ACC_167_1.40"/>
    <s v="ISEL-1.40"/>
    <n v="1"/>
    <s v="NO TIENE L3OUT"/>
    <n v="68"/>
    <n v="96"/>
  </r>
  <r>
    <n v="428"/>
    <x v="1"/>
    <x v="277"/>
    <s v="eth1/40"/>
    <x v="0"/>
    <x v="0"/>
    <x v="0"/>
    <s v="RLPNOVB02"/>
    <x v="6"/>
    <b v="0"/>
    <s v="No está en VPC"/>
    <n v="428"/>
    <s v="INTPG_ACC_428_1.40"/>
    <s v="ISEL-1.40"/>
    <n v="1"/>
    <s v="NO TIENE L3OUT"/>
    <n v="102"/>
    <n v="96"/>
  </r>
  <r>
    <n v="128"/>
    <x v="0"/>
    <x v="0"/>
    <s v="eth1/41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41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41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41"/>
    <x v="0"/>
    <x v="0"/>
    <x v="0"/>
    <m/>
    <x v="0"/>
    <b v="0"/>
    <s v="No está en VPC"/>
    <n v="101"/>
    <s v="NO EXISTE PG"/>
    <s v="NO EXISTE ISEL"/>
    <n v="0"/>
    <s v="NO TIENE L3OUT"/>
    <n v="114"/>
    <n v="54"/>
  </r>
  <r>
    <n v="160"/>
    <x v="0"/>
    <x v="4"/>
    <s v="eth1/41"/>
    <x v="0"/>
    <x v="1"/>
    <x v="1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41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41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41"/>
    <x v="0"/>
    <x v="1"/>
    <x v="1"/>
    <s v="YELLOW BRICK"/>
    <x v="0"/>
    <b v="0"/>
    <s v="No está en VPC"/>
    <n v="401"/>
    <s v="INTPG_VPC_401_1.41_402_1.41"/>
    <s v="ISEL-1.41"/>
    <n v="1"/>
    <s v="NO TIENE L3OUT"/>
    <n v="40"/>
    <n v="54"/>
  </r>
  <r>
    <n v="402"/>
    <x v="1"/>
    <x v="8"/>
    <s v="eth1/41"/>
    <x v="0"/>
    <x v="1"/>
    <x v="1"/>
    <s v="YELLOW BRICK"/>
    <x v="0"/>
    <b v="0"/>
    <s v="No está en VPC"/>
    <n v="402"/>
    <s v="INTPG_VPC_401_1.41_402_1.41"/>
    <s v="ISEL-1.41"/>
    <n v="1"/>
    <s v="NO TIENE L3OUT"/>
    <n v="36"/>
    <n v="54"/>
  </r>
  <r>
    <n v="130"/>
    <x v="0"/>
    <x v="11"/>
    <s v="eth1/41"/>
    <x v="0"/>
    <x v="0"/>
    <x v="0"/>
    <s v="LAG-smt-comp-03"/>
    <x v="0"/>
    <b v="0"/>
    <s v="No está en VPC"/>
    <n v="130"/>
    <s v="INTPG_VPC_130_1.40-41_131_1.40-41"/>
    <s v="ISEL-1.41"/>
    <n v="4"/>
    <s v="NO TIENE L3OUT"/>
    <n v="128"/>
    <n v="54"/>
  </r>
  <r>
    <n v="150"/>
    <x v="0"/>
    <x v="12"/>
    <s v="eth1/41"/>
    <x v="0"/>
    <x v="0"/>
    <x v="0"/>
    <m/>
    <x v="0"/>
    <b v="0"/>
    <s v="No está en VPC"/>
    <n v="150"/>
    <s v="NO EXISTE PG"/>
    <s v="NO EXISTE ISEL"/>
    <n v="0"/>
    <s v="NO TIENE L3OUT"/>
    <n v="118"/>
    <n v="54"/>
  </r>
  <r>
    <n v="131"/>
    <x v="0"/>
    <x v="13"/>
    <s v="eth1/41"/>
    <x v="0"/>
    <x v="0"/>
    <x v="0"/>
    <s v="LAG-smt-comp-03"/>
    <x v="0"/>
    <b v="0"/>
    <s v="No está en VPC"/>
    <n v="131"/>
    <s v="INTPG_VPC_130_1.40-41_131_1.40-41"/>
    <s v="ISEL-1.41"/>
    <n v="4"/>
    <s v="NO TIENE L3OUT"/>
    <n v="126"/>
    <n v="54"/>
  </r>
  <r>
    <n v="424"/>
    <x v="1"/>
    <x v="18"/>
    <s v="eth1/41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41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41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41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41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41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41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41"/>
    <x v="0"/>
    <x v="0"/>
    <x v="0"/>
    <s v="FGW_R9_IXTLA_FORTI_42K_1"/>
    <x v="0"/>
    <b v="0"/>
    <s v="No está en VPC"/>
    <n v="431"/>
    <s v="INTPG_ACC_431_1.41"/>
    <s v="ISEL-1.41"/>
    <n v="0"/>
    <s v="L3OUT-NUBE-ORACLE-1"/>
    <n v="46"/>
    <n v="54"/>
  </r>
  <r>
    <n v="433"/>
    <x v="1"/>
    <x v="27"/>
    <s v="eth1/41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41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41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41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41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41"/>
    <x v="1"/>
    <x v="1"/>
    <x v="3"/>
    <m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41"/>
    <x v="1"/>
    <x v="1"/>
    <x v="3"/>
    <m/>
    <x v="0"/>
    <b v="0"/>
    <s v="No está en VPC"/>
    <n v="712"/>
    <s v="NO EXISTE PG"/>
    <s v="NO EXISTE ISEL"/>
    <n v="0"/>
    <s v="NO TIENE L3OUT"/>
    <n v="32"/>
    <n v="54"/>
  </r>
  <r>
    <n v="719"/>
    <x v="2"/>
    <x v="34"/>
    <s v="eth1/41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41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41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41"/>
    <x v="1"/>
    <x v="1"/>
    <x v="3"/>
    <m/>
    <x v="0"/>
    <b v="0"/>
    <s v="No está en VPC"/>
    <n v="711"/>
    <s v="NO EXISTE PG"/>
    <s v="NO EXISTE ISEL"/>
    <n v="0"/>
    <s v="NO TIENE L3OUT"/>
    <n v="16"/>
    <n v="54"/>
  </r>
  <r>
    <n v="716"/>
    <x v="2"/>
    <x v="38"/>
    <s v="eth1/41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41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41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41"/>
    <x v="0"/>
    <x v="1"/>
    <x v="3"/>
    <m/>
    <x v="0"/>
    <b v="0"/>
    <s v="No está en VPC"/>
    <n v="446"/>
    <s v="NO EXISTE PG"/>
    <s v="NO EXISTE ISEL"/>
    <n v="0"/>
    <s v="NO TIENE L3OUT"/>
    <n v="198"/>
    <n v="54"/>
  </r>
  <r>
    <n v="444"/>
    <x v="1"/>
    <x v="42"/>
    <s v="eth1/41"/>
    <x v="0"/>
    <x v="0"/>
    <x v="0"/>
    <s v="TO-ITHFDLMCLWLCN05"/>
    <x v="0"/>
    <b v="0"/>
    <s v="No está en VPC"/>
    <n v="444"/>
    <s v="INTPG_VPC_446_1.29_444_1.41"/>
    <s v="ISEL-1.41"/>
    <n v="3"/>
    <s v="NO TIENE L3OUT"/>
    <n v="234"/>
    <n v="54"/>
  </r>
  <r>
    <n v="701"/>
    <x v="2"/>
    <x v="43"/>
    <s v="eth1/41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41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41"/>
    <x v="0"/>
    <x v="0"/>
    <x v="0"/>
    <s v="FGW_R9_IXTLA_FORTI_42K_2"/>
    <x v="0"/>
    <b v="0"/>
    <s v="No está en VPC"/>
    <n v="448"/>
    <s v="INTPG_ACC_448_1.41"/>
    <s v="ISEL-1.41"/>
    <n v="0"/>
    <s v="L3OUT-NUBE-ORACLE-2"/>
    <n v="46"/>
    <n v="54"/>
  </r>
  <r>
    <n v="704"/>
    <x v="2"/>
    <x v="46"/>
    <s v="eth1/41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41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41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41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41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41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41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41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41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41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41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41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41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41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41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41"/>
    <x v="0"/>
    <x v="1"/>
    <x v="1"/>
    <m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41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41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41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41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41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41"/>
    <x v="0"/>
    <x v="1"/>
    <x v="3"/>
    <m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41"/>
    <x v="1"/>
    <x v="1"/>
    <x v="3"/>
    <m/>
    <x v="0"/>
    <b v="0"/>
    <s v="No está en VPC"/>
    <n v="780"/>
    <s v="NO EXISTE PG"/>
    <s v="NO EXISTE ISEL"/>
    <n v="0"/>
    <s v="NO TIENE L3OUT"/>
    <n v="26"/>
    <n v="54"/>
  </r>
  <r>
    <n v="812"/>
    <x v="2"/>
    <x v="70"/>
    <s v="eth1/41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41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41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41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41"/>
    <x v="0"/>
    <x v="0"/>
    <x v="0"/>
    <s v="LINK_TO_ITHHWCRMPEN01 /X2-10GE 3 /Principal"/>
    <x v="0"/>
    <b v="0"/>
    <s v="No está en VPC"/>
    <n v="824"/>
    <s v="INTPG_VPC_819_1.41-42_44-45_824_1.41-42_44-45"/>
    <s v="ISEL-1.41"/>
    <n v="1"/>
    <s v="NO TIENE L3OUT"/>
    <n v="70"/>
    <n v="54"/>
  </r>
  <r>
    <n v="819"/>
    <x v="2"/>
    <x v="75"/>
    <s v="eth1/41"/>
    <x v="0"/>
    <x v="0"/>
    <x v="0"/>
    <s v="LINK_TO_ITHHWCRMPEN01 /X2-10GE 4 /Redundante"/>
    <x v="0"/>
    <b v="0"/>
    <s v="No está en VPC"/>
    <n v="819"/>
    <s v="INTPG_VPC_819_1.41-42_44-45_824_1.41-42_44-45"/>
    <s v="ISEL-1.41"/>
    <n v="1"/>
    <s v="NO TIENE L3OUT"/>
    <n v="70"/>
    <n v="54"/>
  </r>
  <r>
    <n v="737"/>
    <x v="2"/>
    <x v="76"/>
    <s v="eth1/41"/>
    <x v="0"/>
    <x v="1"/>
    <x v="1"/>
    <m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41"/>
    <x v="0"/>
    <x v="0"/>
    <x v="0"/>
    <s v="LINK_TO_ITHFHWCRMPLCN114 / Slot1.2_32 / Principal"/>
    <x v="0"/>
    <b v="0"/>
    <s v="No está en VPC"/>
    <n v="844"/>
    <s v="INTPG_ACC_844_1.41"/>
    <s v="ISEL-1.41"/>
    <n v="2"/>
    <s v="NO TIENE L3OUT"/>
    <n v="282"/>
    <n v="54"/>
  </r>
  <r>
    <n v="843"/>
    <x v="2"/>
    <x v="78"/>
    <s v="eth1/41"/>
    <x v="0"/>
    <x v="0"/>
    <x v="0"/>
    <s v="A_ITHFHWSEQLHDPS83_Principal"/>
    <x v="0"/>
    <b v="0"/>
    <s v="No está en VPC"/>
    <n v="843"/>
    <s v="INTPG_ACC_843_1.41"/>
    <s v="ISEL-1.41"/>
    <n v="1"/>
    <s v="NO TIENE L3OUT"/>
    <n v="38"/>
    <n v="54"/>
  </r>
  <r>
    <n v="797"/>
    <x v="2"/>
    <x v="79"/>
    <s v="eth1/41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41"/>
    <x v="0"/>
    <x v="0"/>
    <x v="0"/>
    <s v="LINK_TO_ITHFHWCBSPSUSBD32 / Slot7.2_4 / Redundante"/>
    <x v="0"/>
    <b v="0"/>
    <s v="No está en VPC"/>
    <n v="839"/>
    <s v="INTPG_VPC_834_1.41_839_1.41"/>
    <s v="ISEL-1.41"/>
    <n v="1"/>
    <s v="NO TIENE L3OUT"/>
    <n v="0"/>
    <n v="54"/>
  </r>
  <r>
    <n v="847"/>
    <x v="2"/>
    <x v="81"/>
    <s v="eth1/41"/>
    <x v="0"/>
    <x v="0"/>
    <x v="0"/>
    <s v="LINK_TO_ITHFHWCRMPSBDP11 / Slot7.1_6 / Redundante"/>
    <x v="0"/>
    <b v="0"/>
    <s v="No está en VPC"/>
    <n v="847"/>
    <s v="INTPG_VPC_854_1.41_847_1.41"/>
    <s v="ISEL-1.41"/>
    <n v="6"/>
    <s v="NO TIENE L3OUT"/>
    <n v="204"/>
    <n v="54"/>
  </r>
  <r>
    <n v="848"/>
    <x v="2"/>
    <x v="82"/>
    <s v="eth1/41"/>
    <x v="0"/>
    <x v="0"/>
    <x v="0"/>
    <s v="LINK_TO_ITHFHWCRMPLCN168 / Slot7.1_38 / Redundante"/>
    <x v="0"/>
    <b v="0"/>
    <s v="No está en VPC"/>
    <n v="848"/>
    <s v="INTPG_ACC_848_1.41"/>
    <s v="ISEL-1.41"/>
    <n v="6"/>
    <s v="NO TIENE L3OUT"/>
    <n v="254"/>
    <n v="54"/>
  </r>
  <r>
    <n v="846"/>
    <x v="2"/>
    <x v="83"/>
    <s v="eth1/41"/>
    <x v="0"/>
    <x v="0"/>
    <x v="0"/>
    <s v="LINK_TO_ITHFHWCRMPLCN85 / Slot1.2_28 / Principal"/>
    <x v="0"/>
    <b v="0"/>
    <s v="No está en VPC"/>
    <n v="846"/>
    <s v="INTPG_ACC_846_1.41"/>
    <s v="ISEL-1.41"/>
    <n v="2"/>
    <s v="NO TIENE L3OUT"/>
    <n v="242"/>
    <n v="54"/>
  </r>
  <r>
    <n v="838"/>
    <x v="2"/>
    <x v="84"/>
    <s v="eth1/41"/>
    <x v="0"/>
    <x v="0"/>
    <x v="0"/>
    <s v="A_ITHFHWSEQLHDPS83_Redundante"/>
    <x v="0"/>
    <b v="0"/>
    <s v="No está en VPC"/>
    <n v="838"/>
    <s v="INTPG_ACC_838_1.41"/>
    <s v="ISEL-1.41"/>
    <n v="1"/>
    <s v="NO TIENE L3OUT"/>
    <n v="38"/>
    <n v="54"/>
  </r>
  <r>
    <n v="849"/>
    <x v="2"/>
    <x v="85"/>
    <s v="eth1/41"/>
    <x v="0"/>
    <x v="0"/>
    <x v="0"/>
    <s v="LINK_TO_ITHFHWCRMPLCN148 / Slot7.1_30 / Redundante"/>
    <x v="0"/>
    <b v="0"/>
    <s v="No está en VPC"/>
    <n v="849"/>
    <s v="INTPG_ACC_849_1.41"/>
    <s v="ISEL-1.41"/>
    <n v="6"/>
    <s v="NO TIENE L3OUT"/>
    <n v="286"/>
    <n v="54"/>
  </r>
  <r>
    <n v="845"/>
    <x v="2"/>
    <x v="86"/>
    <s v="eth1/41"/>
    <x v="0"/>
    <x v="0"/>
    <x v="0"/>
    <s v="LINK_TO_ITHFHWCRMPLCN97 / Slot1.3_26 / Principal"/>
    <x v="0"/>
    <b v="0"/>
    <s v="No está en VPC"/>
    <n v="845"/>
    <s v="INTPG_ACC_845_1.41"/>
    <s v="ISEL-1.41"/>
    <n v="1"/>
    <s v="NO TIENE L3OUT"/>
    <n v="258"/>
    <n v="54"/>
  </r>
  <r>
    <n v="873"/>
    <x v="2"/>
    <x v="87"/>
    <s v="eth1/41"/>
    <x v="0"/>
    <x v="0"/>
    <x v="0"/>
    <s v="To_ITHFHWCRMDLCN37_Redundante"/>
    <x v="0"/>
    <b v="0"/>
    <s v="No está en VPC"/>
    <n v="873"/>
    <s v="INTPG_ACC_873_1.41"/>
    <s v="ISEL-1.41"/>
    <n v="2"/>
    <s v="NO TIENE L3OUT"/>
    <n v="248"/>
    <n v="54"/>
  </r>
  <r>
    <n v="864"/>
    <x v="2"/>
    <x v="88"/>
    <s v="eth1/41"/>
    <x v="0"/>
    <x v="0"/>
    <x v="0"/>
    <s v="To_VPC_2DCBSD_WR49_2"/>
    <x v="0"/>
    <b v="0"/>
    <s v="No está en VPC"/>
    <n v="864"/>
    <s v="INTPG_VPC_859_1.41_864_1.41"/>
    <s v="ISEL-1.41"/>
    <n v="1"/>
    <s v="NO TIENE L3OUT"/>
    <n v="0"/>
    <n v="54"/>
  </r>
  <r>
    <n v="836"/>
    <x v="2"/>
    <x v="89"/>
    <s v="eth1/41"/>
    <x v="0"/>
    <x v="0"/>
    <x v="0"/>
    <s v="LINK_TO_ITHFHWCBSPSHD28 / Slot1.1_20 / Principal"/>
    <x v="0"/>
    <b v="0"/>
    <s v="No está en VPC"/>
    <n v="836"/>
    <s v="INTPG_VPC_836_1.41_841_1.41"/>
    <s v="ISEL-1.41"/>
    <n v="2"/>
    <s v="NO TIENE L3OUT"/>
    <n v="0"/>
    <n v="54"/>
  </r>
  <r>
    <n v="834"/>
    <x v="2"/>
    <x v="90"/>
    <s v="eth1/41"/>
    <x v="0"/>
    <x v="0"/>
    <x v="0"/>
    <s v="LINK_TO_ITHFHWCBSPSUSBD32 / Slot1.2_4 / Principal"/>
    <x v="0"/>
    <b v="0"/>
    <s v="No está en VPC"/>
    <n v="834"/>
    <s v="INTPG_VPC_834_1.41_839_1.41"/>
    <s v="ISEL-1.41"/>
    <n v="1"/>
    <s v="NO TIENE L3OUT"/>
    <n v="0"/>
    <n v="54"/>
  </r>
  <r>
    <n v="872"/>
    <x v="2"/>
    <x v="91"/>
    <s v="eth1/41"/>
    <x v="0"/>
    <x v="0"/>
    <x v="0"/>
    <s v="TO_ITHFHWCRMDLCN50_Principal"/>
    <x v="0"/>
    <b v="0"/>
    <s v="No está en VPC"/>
    <n v="872"/>
    <s v="INTPG_ACC_872_1.41"/>
    <s v="ISEL-1.41"/>
    <n v="1"/>
    <s v="NO TIENE L3OUT"/>
    <n v="288"/>
    <n v="54"/>
  </r>
  <r>
    <n v="842"/>
    <x v="2"/>
    <x v="92"/>
    <s v="eth1/41"/>
    <x v="0"/>
    <x v="0"/>
    <x v="0"/>
    <s v="LINK_To_ITHFHWCBSPSHD21 / Slot7.3_18 / Redundante"/>
    <x v="0"/>
    <b v="0"/>
    <s v="No está en VPC"/>
    <n v="842"/>
    <s v="INTPG_VPC_837_1.41_842_1.41"/>
    <s v="ISEL-1.41"/>
    <n v="1"/>
    <s v="NO TIENE L3OUT"/>
    <n v="8"/>
    <n v="54"/>
  </r>
  <r>
    <n v="828"/>
    <x v="2"/>
    <x v="93"/>
    <s v="eth1/41"/>
    <x v="0"/>
    <x v="0"/>
    <x v="0"/>
    <s v="LINK_TO_ITHHWD6KV60010DKC01 /CtrlB_IOM1.P0 /Principal"/>
    <x v="0"/>
    <b v="0"/>
    <s v="No está en VPC"/>
    <n v="828"/>
    <s v="INTPG_ACC_828_1.41"/>
    <s v="ISEL-1.41"/>
    <n v="1"/>
    <s v="NO TIENE L3OUT"/>
    <n v="192"/>
    <n v="54"/>
  </r>
  <r>
    <n v="870"/>
    <x v="2"/>
    <x v="94"/>
    <s v="eth1/41"/>
    <x v="0"/>
    <x v="0"/>
    <x v="0"/>
    <s v="To_ITHFHWCRMDLCN37_Principal"/>
    <x v="0"/>
    <b v="0"/>
    <s v="No está en VPC"/>
    <n v="870"/>
    <s v="INTPG_ACC_870_1.41"/>
    <s v="ISEL-1.41"/>
    <n v="2"/>
    <s v="NO TIENE L3OUT"/>
    <n v="248"/>
    <n v="54"/>
  </r>
  <r>
    <n v="866"/>
    <x v="2"/>
    <x v="95"/>
    <s v="eth1/41"/>
    <x v="0"/>
    <x v="0"/>
    <x v="0"/>
    <s v="To_VPC_2DCBSD_WR35_1"/>
    <x v="0"/>
    <b v="0"/>
    <s v="No está en VPC"/>
    <n v="866"/>
    <s v="INTPG_VPC_861_1.41_866_1.41"/>
    <s v="ISEL-1.41"/>
    <n v="2"/>
    <s v="NO TIENE L3OUT"/>
    <n v="8"/>
    <n v="54"/>
  </r>
  <r>
    <n v="862"/>
    <x v="2"/>
    <x v="96"/>
    <s v="eth1/41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41"/>
    <x v="0"/>
    <x v="0"/>
    <x v="0"/>
    <s v="LINK_TO_ITHFHWCRMPLCN168 / Slot1.1_38 / Principal"/>
    <x v="0"/>
    <b v="0"/>
    <s v="No está en VPC"/>
    <n v="855"/>
    <s v="INTPG_ACC_855_1.41"/>
    <s v="ISEL-1.41"/>
    <n v="6"/>
    <s v="NO TIENE L3OUT"/>
    <n v="254"/>
    <n v="54"/>
  </r>
  <r>
    <n v="871"/>
    <x v="2"/>
    <x v="98"/>
    <s v="eth1/41"/>
    <x v="0"/>
    <x v="0"/>
    <x v="0"/>
    <s v="To_ITHFHWCRMDLCN67_Principal"/>
    <x v="0"/>
    <b v="0"/>
    <s v="No está en VPC"/>
    <n v="871"/>
    <s v="INTPG_ACC_871_1.41"/>
    <s v="ISEL-1.41"/>
    <n v="2"/>
    <s v="NO TIENE L3OUT"/>
    <n v="246"/>
    <n v="54"/>
  </r>
  <r>
    <n v="841"/>
    <x v="2"/>
    <x v="99"/>
    <s v="eth1/41"/>
    <x v="0"/>
    <x v="0"/>
    <x v="0"/>
    <s v="LINK_TO_ITHFHWCBSPSHD28 / Slot7.1_20 / Redundante"/>
    <x v="0"/>
    <b v="0"/>
    <s v="No está en VPC"/>
    <n v="841"/>
    <s v="INTPG_VPC_836_1.41_841_1.41"/>
    <s v="ISEL-1.41"/>
    <n v="2"/>
    <s v="NO TIENE L3OUT"/>
    <n v="0"/>
    <n v="54"/>
  </r>
  <r>
    <n v="868"/>
    <x v="2"/>
    <x v="100"/>
    <s v="eth1/41"/>
    <x v="0"/>
    <x v="0"/>
    <x v="0"/>
    <s v="To_ITHFHWCRMDLCN67_Redundante"/>
    <x v="0"/>
    <b v="0"/>
    <s v="No está en VPC"/>
    <n v="868"/>
    <s v="INTPG_ACC_868_1.41"/>
    <s v="ISEL-1.41"/>
    <n v="2"/>
    <s v="NO TIENE L3OUT"/>
    <n v="246"/>
    <n v="54"/>
  </r>
  <r>
    <n v="869"/>
    <x v="2"/>
    <x v="101"/>
    <s v="eth1/41"/>
    <x v="0"/>
    <x v="0"/>
    <x v="0"/>
    <s v="TO_ITHFHWCRMDLCN50_Redundante"/>
    <x v="0"/>
    <b v="0"/>
    <s v="No está en VPC"/>
    <n v="869"/>
    <s v="INTPG_ACC_869_1.41"/>
    <s v="ISEL-1.41"/>
    <n v="1"/>
    <s v="NO TIENE L3OUT"/>
    <n v="288"/>
    <n v="54"/>
  </r>
  <r>
    <n v="861"/>
    <x v="2"/>
    <x v="102"/>
    <s v="eth1/41"/>
    <x v="0"/>
    <x v="0"/>
    <x v="0"/>
    <s v="To_VPC_2DCBSD_WR35_1"/>
    <x v="0"/>
    <b v="0"/>
    <s v="No está en VPC"/>
    <n v="861"/>
    <s v="INTPG_VPC_861_1.41_866_1.41"/>
    <s v="ISEL-1.41"/>
    <n v="2"/>
    <s v="NO TIENE L3OUT"/>
    <n v="8"/>
    <n v="54"/>
  </r>
  <r>
    <n v="874"/>
    <x v="2"/>
    <x v="103"/>
    <s v="eth1/41"/>
    <x v="0"/>
    <x v="0"/>
    <x v="0"/>
    <s v="A_ITHFHWSEQLCAS16_Redundante"/>
    <x v="4"/>
    <b v="0"/>
    <s v="No está en VPC"/>
    <n v="874"/>
    <s v="INTPG_ACC_874_1.41"/>
    <s v="ISEL-1.41"/>
    <n v="1"/>
    <s v="NO TIENE L3OUT"/>
    <n v="92"/>
    <n v="54"/>
  </r>
  <r>
    <n v="865"/>
    <x v="2"/>
    <x v="104"/>
    <s v="eth1/41"/>
    <x v="0"/>
    <x v="0"/>
    <x v="0"/>
    <s v="To_VPC_2DCBSD_WR39_2"/>
    <x v="0"/>
    <b v="0"/>
    <s v="No está en VPC"/>
    <n v="865"/>
    <s v="INTPG_VPC_860_1.41_865_1.41"/>
    <s v="ISEL-1.41"/>
    <n v="1"/>
    <s v="NO TIENE L3OUT"/>
    <n v="0"/>
    <n v="54"/>
  </r>
  <r>
    <n v="753"/>
    <x v="2"/>
    <x v="105"/>
    <s v="eth1/41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41"/>
    <x v="0"/>
    <x v="1"/>
    <x v="3"/>
    <m/>
    <x v="0"/>
    <b v="0"/>
    <s v="No está en VPC"/>
    <n v="708"/>
    <s v="NO EXISTE PG"/>
    <s v="NO EXISTE ISEL"/>
    <n v="0"/>
    <s v="NO TIENE L3OUT"/>
    <n v="0"/>
    <n v="54"/>
  </r>
  <r>
    <n v="710"/>
    <x v="2"/>
    <x v="107"/>
    <s v="eth1/41"/>
    <x v="1"/>
    <x v="1"/>
    <x v="3"/>
    <m/>
    <x v="0"/>
    <b v="0"/>
    <s v="No está en VPC"/>
    <n v="710"/>
    <s v="NO EXISTE PG"/>
    <s v="NO EXISTE ISEL"/>
    <n v="0"/>
    <s v="NO TIENE L3OUT"/>
    <n v="16"/>
    <n v="54"/>
  </r>
  <r>
    <n v="713"/>
    <x v="2"/>
    <x v="108"/>
    <s v="eth1/41"/>
    <x v="1"/>
    <x v="1"/>
    <x v="3"/>
    <m/>
    <x v="0"/>
    <b v="0"/>
    <s v="No está en VPC"/>
    <n v="713"/>
    <s v="NO EXISTE PG"/>
    <s v="NO EXISTE ISEL"/>
    <n v="0"/>
    <s v="NO TIENE L3OUT"/>
    <n v="32"/>
    <n v="54"/>
  </r>
  <r>
    <n v="735"/>
    <x v="2"/>
    <x v="109"/>
    <s v="eth1/41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41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41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41"/>
    <x v="1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41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41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41"/>
    <x v="0"/>
    <x v="0"/>
    <x v="0"/>
    <s v="LINK_TO_ITHFHWCBSDSWR20 /10GE.1 /Principal"/>
    <x v="0"/>
    <b v="0"/>
    <s v="No está en VPC"/>
    <n v="826"/>
    <s v="INTPG_VPC_826_1.41_830_1.41"/>
    <s v="ISEL-1.41"/>
    <n v="1"/>
    <s v="NO TIENE L3OUT"/>
    <n v="12"/>
    <n v="54"/>
  </r>
  <r>
    <n v="726"/>
    <x v="2"/>
    <x v="117"/>
    <s v="eth1/41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41"/>
    <x v="0"/>
    <x v="1"/>
    <x v="1"/>
    <m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41"/>
    <x v="1"/>
    <x v="1"/>
    <x v="3"/>
    <m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41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41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41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41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41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41"/>
    <x v="1"/>
    <x v="1"/>
    <x v="3"/>
    <m/>
    <x v="0"/>
    <b v="0"/>
    <s v="No está en VPC"/>
    <n v="709"/>
    <s v="NO EXISTE PG"/>
    <s v="NO EXISTE ISEL"/>
    <n v="0"/>
    <s v="NO TIENE L3OUT"/>
    <n v="0"/>
    <n v="54"/>
  </r>
  <r>
    <n v="454"/>
    <x v="1"/>
    <x v="126"/>
    <s v="eth1/41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41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41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41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41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41"/>
    <x v="0"/>
    <x v="1"/>
    <x v="1"/>
    <m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41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41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41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41"/>
    <x v="0"/>
    <x v="1"/>
    <x v="3"/>
    <m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41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41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41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41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41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41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41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41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41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41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41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41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41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41"/>
    <x v="1"/>
    <x v="1"/>
    <x v="3"/>
    <m/>
    <x v="0"/>
    <b v="0"/>
    <s v="No está en VPC"/>
    <n v="781"/>
    <s v="NO EXISTE PG"/>
    <s v="NO EXISTE ISEL"/>
    <n v="0"/>
    <s v="NO TIENE L3OUT"/>
    <n v="26"/>
    <n v="54"/>
  </r>
  <r>
    <n v="793"/>
    <x v="2"/>
    <x v="151"/>
    <s v="eth1/41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41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41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41"/>
    <x v="1"/>
    <x v="1"/>
    <x v="3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41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41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41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41"/>
    <x v="0"/>
    <x v="1"/>
    <x v="1"/>
    <m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41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41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41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41"/>
    <x v="0"/>
    <x v="0"/>
    <x v="0"/>
    <s v="LINK_TO_ITHFHWCBSDSWR20 /Slot5.1 /Redundante"/>
    <x v="0"/>
    <b v="0"/>
    <s v="No está en VPC"/>
    <n v="830"/>
    <s v="INTPG_VPC_826_1.41_830_1.41"/>
    <s v="ISEL-1.41"/>
    <n v="1"/>
    <s v="NO TIENE L3OUT"/>
    <n v="12"/>
    <n v="54"/>
  </r>
  <r>
    <n v="821"/>
    <x v="2"/>
    <x v="163"/>
    <s v="eth1/41"/>
    <x v="0"/>
    <x v="0"/>
    <x v="0"/>
    <s v="LINK_TO_ITHFHWCBSPSWR20 /Slot5.1 /Redundante"/>
    <x v="0"/>
    <b v="0"/>
    <s v="No está en VPC"/>
    <n v="821"/>
    <s v="INTPG_VPC_816_1.41_821_1.41"/>
    <s v="ISEL-1.41"/>
    <n v="1"/>
    <s v="NO TIENE L3OUT"/>
    <n v="0"/>
    <n v="54"/>
  </r>
  <r>
    <n v="738"/>
    <x v="2"/>
    <x v="164"/>
    <s v="eth1/41"/>
    <x v="0"/>
    <x v="1"/>
    <x v="1"/>
    <m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41"/>
    <x v="0"/>
    <x v="0"/>
    <x v="0"/>
    <s v="TO-9S_BESPR_IXTLA3_1"/>
    <x v="0"/>
    <b v="0"/>
    <s v="No está en VPC"/>
    <n v="820"/>
    <s v="INTPG_VPC_820_1.38-41_825_1.38-41"/>
    <s v="ISEL-1.41"/>
    <n v="31"/>
    <s v="NO TIENE L3OUT"/>
    <n v="72"/>
    <n v="54"/>
  </r>
  <r>
    <n v="804"/>
    <x v="2"/>
    <x v="166"/>
    <s v="eth1/41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41"/>
    <x v="0"/>
    <x v="1"/>
    <x v="3"/>
    <m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41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41"/>
    <x v="0"/>
    <x v="0"/>
    <x v="0"/>
    <s v="LINK_TO_ITHFHWCBSDSWR30 /Slot5.2 /Principal"/>
    <x v="0"/>
    <b v="0"/>
    <s v="No está en VPC"/>
    <n v="827"/>
    <s v="INTPG_VPC_827_1.41_831_1.41"/>
    <s v="ISEL-1.41"/>
    <n v="2"/>
    <s v="NO TIENE L3OUT"/>
    <n v="14"/>
    <n v="54"/>
  </r>
  <r>
    <n v="809"/>
    <x v="2"/>
    <x v="170"/>
    <s v="eth1/41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41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41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41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41"/>
    <x v="1"/>
    <x v="1"/>
    <x v="3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41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41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41"/>
    <x v="0"/>
    <x v="0"/>
    <x v="0"/>
    <s v="LINK_TO_ITHFHWCRMPLCN114 / Slot7.2_32 / Redundante"/>
    <x v="0"/>
    <b v="0"/>
    <s v="No está en VPC"/>
    <n v="851"/>
    <s v="INTPG_ACC_851_1.41"/>
    <s v="ISEL-1.41"/>
    <n v="2"/>
    <s v="NO TIENE L3OUT"/>
    <n v="282"/>
    <n v="54"/>
  </r>
  <r>
    <n v="798"/>
    <x v="2"/>
    <x v="178"/>
    <s v="eth1/41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41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41"/>
    <x v="0"/>
    <x v="0"/>
    <x v="0"/>
    <s v="LINK_TO_ITHFHWCRMPLCN97 / Slot7.3_26 / Redundante"/>
    <x v="0"/>
    <b v="0"/>
    <s v="No está en VPC"/>
    <n v="852"/>
    <s v="INTPG_ACC_852_1.41"/>
    <s v="ISEL-1.41"/>
    <n v="1"/>
    <s v="NO TIENE L3OUT"/>
    <n v="258"/>
    <n v="54"/>
  </r>
  <r>
    <n v="817"/>
    <x v="2"/>
    <x v="181"/>
    <s v="eth1/41"/>
    <x v="0"/>
    <x v="0"/>
    <x v="0"/>
    <s v="LINK_TO_ITHFHWCBSPSWR27 /10GE.1 /Principal"/>
    <x v="0"/>
    <b v="0"/>
    <s v="No está en VPC"/>
    <n v="817"/>
    <s v="INTPG_VPC_817_1.41_822_1.41"/>
    <s v="ISEL-1.41"/>
    <n v="1"/>
    <s v="NO TIENE L3OUT"/>
    <n v="0"/>
    <n v="54"/>
  </r>
  <r>
    <n v="832"/>
    <x v="2"/>
    <x v="182"/>
    <s v="eth1/41"/>
    <x v="0"/>
    <x v="0"/>
    <x v="0"/>
    <s v="LINK_TO_ITHHWD6KV60010DKC01 /CtrlB_IOM1.P1 /Redundante"/>
    <x v="0"/>
    <b v="0"/>
    <s v="No está en VPC"/>
    <n v="832"/>
    <s v="INTPG_ACC_832_1.41"/>
    <s v="ISEL-1.41"/>
    <n v="1"/>
    <s v="NO TIENE L3OUT"/>
    <n v="192"/>
    <n v="54"/>
  </r>
  <r>
    <n v="816"/>
    <x v="2"/>
    <x v="183"/>
    <s v="eth1/41"/>
    <x v="0"/>
    <x v="0"/>
    <x v="0"/>
    <s v="LINK_TO_ITHFHWCBSPSWR20 /10GE.1 /Principal"/>
    <x v="0"/>
    <b v="0"/>
    <s v="No está en VPC"/>
    <n v="816"/>
    <s v="INTPG_VPC_816_1.41_821_1.41"/>
    <s v="ISEL-1.41"/>
    <n v="1"/>
    <s v="NO TIENE L3OUT"/>
    <n v="0"/>
    <n v="54"/>
  </r>
  <r>
    <n v="825"/>
    <x v="2"/>
    <x v="184"/>
    <s v="eth1/41"/>
    <x v="0"/>
    <x v="0"/>
    <x v="0"/>
    <s v="TO-9S_BESPR_IXTLA3_1"/>
    <x v="0"/>
    <b v="0"/>
    <s v="No está en VPC"/>
    <n v="825"/>
    <s v="INTPG_VPC_820_1.38-41_825_1.38-41"/>
    <s v="ISEL-1.41"/>
    <n v="31"/>
    <s v="NO TIENE L3OUT"/>
    <n v="72"/>
    <n v="54"/>
  </r>
  <r>
    <n v="800"/>
    <x v="2"/>
    <x v="185"/>
    <s v="eth1/41"/>
    <x v="0"/>
    <x v="0"/>
    <x v="0"/>
    <s v="TO-ITHFDEVDICL01ESX03"/>
    <x v="0"/>
    <b v="0"/>
    <s v="No está en VPC"/>
    <n v="800"/>
    <s v="INTPG_VPC_800_1.41_801_1.41"/>
    <s v="ISEL-1.41"/>
    <n v="6"/>
    <s v="NO TIENE L3OUT"/>
    <n v="78"/>
    <n v="54"/>
  </r>
  <r>
    <n v="801"/>
    <x v="2"/>
    <x v="186"/>
    <s v="eth1/41"/>
    <x v="0"/>
    <x v="0"/>
    <x v="0"/>
    <s v="TO-ITHFDEVDICL01ESX03"/>
    <x v="0"/>
    <b v="0"/>
    <s v="No está en VPC"/>
    <n v="801"/>
    <s v="INTPG_VPC_800_1.41_801_1.41"/>
    <s v="ISEL-1.41"/>
    <n v="6"/>
    <s v="NO TIENE L3OUT"/>
    <n v="78"/>
    <n v="54"/>
  </r>
  <r>
    <n v="823"/>
    <x v="2"/>
    <x v="187"/>
    <s v="eth1/41"/>
    <x v="0"/>
    <x v="0"/>
    <x v="0"/>
    <s v="LINK_TO_ITHFHWCBSPSWR38 /Slot7.2 /Redundante"/>
    <x v="0"/>
    <b v="0"/>
    <s v="No está en VPC"/>
    <n v="823"/>
    <s v="INTPG_VPC_818_1.41_823_1.41"/>
    <s v="ISEL-1.41"/>
    <n v="2"/>
    <s v="NO TIENE L3OUT"/>
    <n v="8"/>
    <n v="54"/>
  </r>
  <r>
    <n v="837"/>
    <x v="2"/>
    <x v="188"/>
    <s v="eth1/41"/>
    <x v="0"/>
    <x v="0"/>
    <x v="0"/>
    <s v="LINK_To_ITHFHWCBSPSHD21 / Slot1.3_18 / Principal"/>
    <x v="0"/>
    <b v="0"/>
    <s v="No está en VPC"/>
    <n v="837"/>
    <s v="INTPG_VPC_837_1.41_842_1.41"/>
    <s v="ISEL-1.41"/>
    <n v="1"/>
    <s v="NO TIENE L3OUT"/>
    <n v="8"/>
    <n v="54"/>
  </r>
  <r>
    <n v="867"/>
    <x v="2"/>
    <x v="189"/>
    <s v="eth1/41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41"/>
    <x v="0"/>
    <x v="0"/>
    <x v="0"/>
    <s v="To_ITHFHWCRMDLCN48_Principal"/>
    <x v="0"/>
    <b v="0"/>
    <s v="No está en VPC"/>
    <n v="829"/>
    <s v="INTPG_ACC_829_1.41"/>
    <s v="ISEL-1.41"/>
    <n v="1"/>
    <s v="NO TIENE L3OUT"/>
    <n v="224"/>
    <n v="54"/>
  </r>
  <r>
    <n v="831"/>
    <x v="2"/>
    <x v="191"/>
    <s v="eth1/41"/>
    <x v="0"/>
    <x v="0"/>
    <x v="0"/>
    <s v="LINK_TO_ITHFHWCBSDSWR30 /Slot7.2 /Redundante"/>
    <x v="0"/>
    <b v="0"/>
    <s v="No está en VPC"/>
    <n v="831"/>
    <s v="INTPG_VPC_827_1.41_831_1.41"/>
    <s v="ISEL-1.41"/>
    <n v="2"/>
    <s v="NO TIENE L3OUT"/>
    <n v="14"/>
    <n v="54"/>
  </r>
  <r>
    <n v="802"/>
    <x v="2"/>
    <x v="192"/>
    <s v="eth1/41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41"/>
    <x v="0"/>
    <x v="0"/>
    <x v="0"/>
    <s v="LINK_TO_ITHFHWCBSPSHD36 / Slot1.1_24 / Principal"/>
    <x v="0"/>
    <b v="0"/>
    <s v="No está en VPC"/>
    <n v="835"/>
    <s v="INTPG_VPC_835_1.41_840_1.41"/>
    <s v="ISEL-1.41"/>
    <n v="2"/>
    <s v="NO TIENE L3OUT"/>
    <n v="8"/>
    <n v="54"/>
  </r>
  <r>
    <n v="822"/>
    <x v="2"/>
    <x v="194"/>
    <s v="eth1/41"/>
    <x v="0"/>
    <x v="0"/>
    <x v="0"/>
    <s v="LINK_TO_ITHFHWCBSPSWR27 /Slot5.1 /Redundante"/>
    <x v="0"/>
    <b v="0"/>
    <s v="No está en VPC"/>
    <n v="822"/>
    <s v="INTPG_VPC_817_1.41_822_1.41"/>
    <s v="ISEL-1.41"/>
    <n v="1"/>
    <s v="NO TIENE L3OUT"/>
    <n v="0"/>
    <n v="54"/>
  </r>
  <r>
    <n v="854"/>
    <x v="2"/>
    <x v="195"/>
    <s v="eth1/41"/>
    <x v="0"/>
    <x v="0"/>
    <x v="0"/>
    <s v="LINK_TO_ITHFHWCRMPSBDP11 / Slot1.1_6 / Principal"/>
    <x v="0"/>
    <b v="0"/>
    <s v="No está en VPC"/>
    <n v="854"/>
    <s v="INTPG_VPC_854_1.41_847_1.41"/>
    <s v="ISEL-1.41"/>
    <n v="6"/>
    <s v="NO TIENE L3OUT"/>
    <n v="204"/>
    <n v="54"/>
  </r>
  <r>
    <n v="858"/>
    <x v="2"/>
    <x v="196"/>
    <s v="eth1/41"/>
    <x v="0"/>
    <x v="0"/>
    <x v="0"/>
    <s v="To_VPC_2DCBSD_WR58_2"/>
    <x v="0"/>
    <b v="0"/>
    <s v="No está en VPC"/>
    <n v="858"/>
    <s v="INTPG_VPC_858_1.41_863_1.41"/>
    <s v="ISEL-1.41"/>
    <n v="1"/>
    <s v="NO TIENE L3OUT"/>
    <n v="8"/>
    <n v="54"/>
  </r>
  <r>
    <n v="857"/>
    <x v="2"/>
    <x v="197"/>
    <s v="eth1/41"/>
    <x v="0"/>
    <x v="0"/>
    <x v="0"/>
    <s v="LINKT_TO_ITHFHWCRMPLCN129 / Slot1.1_28 / Principal"/>
    <x v="0"/>
    <b v="0"/>
    <s v="No está en VPC"/>
    <n v="857"/>
    <s v="INTPG_ACC_857_1.41"/>
    <s v="ISEL-1.41"/>
    <n v="6"/>
    <s v="NO TIENE L3OUT"/>
    <n v="288"/>
    <n v="54"/>
  </r>
  <r>
    <n v="859"/>
    <x v="2"/>
    <x v="198"/>
    <s v="eth1/41"/>
    <x v="0"/>
    <x v="0"/>
    <x v="0"/>
    <s v="To_VPC_2DCBSD_WR49_2"/>
    <x v="0"/>
    <b v="0"/>
    <s v="No está en VPC"/>
    <n v="859"/>
    <s v="INTPG_VPC_859_1.41_864_1.41"/>
    <s v="ISEL-1.41"/>
    <n v="1"/>
    <s v="NO TIENE L3OUT"/>
    <n v="0"/>
    <n v="54"/>
  </r>
  <r>
    <n v="833"/>
    <x v="2"/>
    <x v="199"/>
    <s v="eth1/41"/>
    <x v="0"/>
    <x v="0"/>
    <x v="0"/>
    <s v="To_ITHFHWCRMDLCN48_Redundante"/>
    <x v="0"/>
    <b v="0"/>
    <s v="No está en VPC"/>
    <n v="833"/>
    <s v="INTPG_ACC_833_1.41"/>
    <s v="ISEL-1.41"/>
    <n v="1"/>
    <s v="NO TIENE L3OUT"/>
    <n v="224"/>
    <n v="54"/>
  </r>
  <r>
    <n v="818"/>
    <x v="2"/>
    <x v="200"/>
    <s v="eth1/41"/>
    <x v="0"/>
    <x v="0"/>
    <x v="0"/>
    <s v="LINK_TO_ITHFHWCBSPSWR38 /Slot5.2 /Principal"/>
    <x v="0"/>
    <b v="0"/>
    <s v="No está en VPC"/>
    <n v="818"/>
    <s v="INTPG_VPC_818_1.41_823_1.41"/>
    <s v="ISEL-1.41"/>
    <n v="2"/>
    <s v="NO TIENE L3OUT"/>
    <n v="8"/>
    <n v="54"/>
  </r>
  <r>
    <n v="850"/>
    <x v="2"/>
    <x v="201"/>
    <s v="eth1/41"/>
    <x v="0"/>
    <x v="0"/>
    <x v="0"/>
    <s v="LINKT_TO_ITHFHWCRMPLCN129 / Slot7.1_28 / Redundante"/>
    <x v="0"/>
    <b v="0"/>
    <s v="No está en VPC"/>
    <n v="850"/>
    <s v="INTPG_ACC_850_1.41"/>
    <s v="ISEL-1.41"/>
    <n v="6"/>
    <s v="NO TIENE L3OUT"/>
    <n v="288"/>
    <n v="54"/>
  </r>
  <r>
    <n v="860"/>
    <x v="2"/>
    <x v="202"/>
    <s v="eth1/41"/>
    <x v="0"/>
    <x v="0"/>
    <x v="0"/>
    <s v="To_VPC_2DCBSD_WR39_2"/>
    <x v="0"/>
    <b v="0"/>
    <s v="No está en VPC"/>
    <n v="860"/>
    <s v="INTPG_VPC_860_1.41_865_1.41"/>
    <s v="ISEL-1.41"/>
    <n v="1"/>
    <s v="NO TIENE L3OUT"/>
    <n v="0"/>
    <n v="54"/>
  </r>
  <r>
    <n v="853"/>
    <x v="2"/>
    <x v="203"/>
    <s v="eth1/41"/>
    <x v="0"/>
    <x v="0"/>
    <x v="0"/>
    <s v="LINK_TO_ITHFHWCRMPLCN85 / Slot7.2_28 / Redundante"/>
    <x v="0"/>
    <b v="0"/>
    <s v="No está en VPC"/>
    <n v="853"/>
    <s v="INTPG_ACC_853_1.41"/>
    <s v="ISEL-1.41"/>
    <n v="2"/>
    <s v="NO TIENE L3OUT"/>
    <n v="242"/>
    <n v="54"/>
  </r>
  <r>
    <n v="790"/>
    <x v="2"/>
    <x v="204"/>
    <s v="eth1/41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41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41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41"/>
    <x v="1"/>
    <x v="1"/>
    <x v="2"/>
    <s v="Citrix Silot"/>
    <x v="6"/>
    <b v="0"/>
    <s v="No está en VPC"/>
    <n v="104"/>
    <s v="INTPG_ACC_104_1.41"/>
    <s v="ISEL-1.41"/>
    <n v="0"/>
    <s v="NO TIENE L3OUT"/>
    <n v="194"/>
    <n v="96"/>
  </r>
  <r>
    <n v="158"/>
    <x v="0"/>
    <x v="208"/>
    <s v="eth1/41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41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41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41"/>
    <x v="0"/>
    <x v="0"/>
    <x v="0"/>
    <s v="EMS_TEKELEC"/>
    <x v="6"/>
    <b v="0"/>
    <s v="No está en VPC"/>
    <n v="108"/>
    <s v="INTPG_ACC_108_1.41"/>
    <s v="ISEL-1.41"/>
    <n v="1"/>
    <s v="NO TIENE L3OUT"/>
    <n v="126"/>
    <n v="96"/>
  </r>
  <r>
    <n v="112"/>
    <x v="0"/>
    <x v="212"/>
    <s v="eth1/41"/>
    <x v="0"/>
    <x v="0"/>
    <x v="0"/>
    <s v="CS AIR"/>
    <x v="6"/>
    <b v="0"/>
    <s v="No está en VPC"/>
    <n v="112"/>
    <s v="INTPG_ACC_112_1.41"/>
    <s v="ISEL-1.41"/>
    <n v="1"/>
    <s v="NO TIENE L3OUT"/>
    <n v="144"/>
    <n v="96"/>
  </r>
  <r>
    <n v="107"/>
    <x v="0"/>
    <x v="213"/>
    <s v="eth1/41"/>
    <x v="1"/>
    <x v="1"/>
    <x v="2"/>
    <m/>
    <x v="6"/>
    <b v="0"/>
    <s v="No está en VPC"/>
    <n v="107"/>
    <s v="INTPG_ACC_107_1.41"/>
    <s v="ISEL-1.41"/>
    <n v="1"/>
    <s v="NO TIENE L3OUT"/>
    <n v="118"/>
    <n v="96"/>
  </r>
  <r>
    <n v="109"/>
    <x v="0"/>
    <x v="214"/>
    <s v="eth1/41"/>
    <x v="0"/>
    <x v="0"/>
    <x v="0"/>
    <m/>
    <x v="6"/>
    <b v="0"/>
    <s v="No está en VPC"/>
    <n v="109"/>
    <s v="INTPG_ACC_109_1.41"/>
    <s v="ISEL-1.41"/>
    <n v="1"/>
    <s v="NO TIENE L3OUT"/>
    <n v="126"/>
    <n v="96"/>
  </r>
  <r>
    <n v="113"/>
    <x v="0"/>
    <x v="215"/>
    <s v="eth1/41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41"/>
    <x v="0"/>
    <x v="1"/>
    <x v="1"/>
    <s v="HP Report OptimizireRack 300"/>
    <x v="6"/>
    <b v="0"/>
    <s v="No está en VPC"/>
    <n v="114"/>
    <s v="INTPG_ACC_114_1.41"/>
    <s v="ISEL-1.41"/>
    <n v="1"/>
    <s v="NO TIENE L3OUT"/>
    <n v="144"/>
    <n v="96"/>
  </r>
  <r>
    <n v="124"/>
    <x v="0"/>
    <x v="217"/>
    <s v="eth1/41"/>
    <x v="0"/>
    <x v="1"/>
    <x v="1"/>
    <s v="MONITOREO DE SWITCHS EXTREME OSS EN SPECTRUM"/>
    <x v="6"/>
    <b v="0"/>
    <s v="No está en VPC"/>
    <n v="124"/>
    <s v="INTPG_ACC_124_1.41"/>
    <s v="ISEL-1.41"/>
    <n v="1"/>
    <s v="NO TIENE L3OUT"/>
    <n v="80"/>
    <n v="96"/>
  </r>
  <r>
    <n v="118"/>
    <x v="0"/>
    <x v="218"/>
    <s v="eth1/41"/>
    <x v="0"/>
    <x v="0"/>
    <x v="0"/>
    <s v="INGE6"/>
    <x v="6"/>
    <b v="0"/>
    <s v="No está en VPC"/>
    <n v="118"/>
    <s v="INTPG_ACC_118_1.41"/>
    <s v="ISEL-1.41"/>
    <n v="1"/>
    <s v="NO TIENE L3OUT"/>
    <n v="180"/>
    <n v="96"/>
  </r>
  <r>
    <n v="159"/>
    <x v="0"/>
    <x v="219"/>
    <s v="eth1/41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41"/>
    <x v="0"/>
    <x v="0"/>
    <x v="0"/>
    <s v="LINK_TO_ITHFHWCBSPSHD36 / Slot7.1_24 / Redundante"/>
    <x v="0"/>
    <b v="0"/>
    <s v="No está en VPC"/>
    <n v="840"/>
    <s v="INTPG_VPC_835_1.41_840_1.41"/>
    <s v="ISEL-1.41"/>
    <n v="2"/>
    <s v="NO TIENE L3OUT"/>
    <n v="8"/>
    <n v="54"/>
  </r>
  <r>
    <n v="856"/>
    <x v="2"/>
    <x v="221"/>
    <s v="eth1/41"/>
    <x v="0"/>
    <x v="0"/>
    <x v="0"/>
    <s v="LINK_TO_ITHFHWCRMPLCN148 / Slot1.1_30 / Principal"/>
    <x v="0"/>
    <b v="0"/>
    <s v="No está en VPC"/>
    <n v="856"/>
    <s v="INTPG_ACC_856_1.41"/>
    <s v="ISEL-1.41"/>
    <n v="6"/>
    <s v="NO TIENE L3OUT"/>
    <n v="286"/>
    <n v="54"/>
  </r>
  <r>
    <n v="110"/>
    <x v="0"/>
    <x v="222"/>
    <s v="eth1/41"/>
    <x v="0"/>
    <x v="0"/>
    <x v="0"/>
    <s v="SUN6900_E25K"/>
    <x v="6"/>
    <b v="0"/>
    <s v="No está en VPC"/>
    <n v="110"/>
    <s v="INTPG_ACC_110_1.41"/>
    <s v="ISEL-1.41"/>
    <n v="1"/>
    <s v="NO TIENE L3OUT"/>
    <n v="102"/>
    <n v="96"/>
  </r>
  <r>
    <n v="163"/>
    <x v="0"/>
    <x v="223"/>
    <s v="eth1/41"/>
    <x v="0"/>
    <x v="1"/>
    <x v="1"/>
    <s v="desc"/>
    <x v="6"/>
    <b v="0"/>
    <s v="No está en VPC"/>
    <n v="163"/>
    <s v="INTPG_VPC_161_1.36_163_1.41"/>
    <s v="ISEL-1.41"/>
    <n v="1"/>
    <s v="NO TIENE L3OUT"/>
    <n v="140"/>
    <n v="96"/>
  </r>
  <r>
    <n v="407"/>
    <x v="1"/>
    <x v="224"/>
    <s v="eth1/41"/>
    <x v="0"/>
    <x v="0"/>
    <x v="0"/>
    <s v="Uxorbi _ilo"/>
    <x v="6"/>
    <b v="0"/>
    <s v="No está en VPC"/>
    <n v="407"/>
    <s v="INTPG_ACC_407_1.41"/>
    <s v="ISEL-1.41"/>
    <n v="1"/>
    <s v="NO TIENE L3OUT"/>
    <n v="122"/>
    <n v="96"/>
  </r>
  <r>
    <n v="171"/>
    <x v="0"/>
    <x v="225"/>
    <s v="eth1/41"/>
    <x v="0"/>
    <x v="0"/>
    <x v="0"/>
    <s v="HP_Performance_Insight"/>
    <x v="6"/>
    <b v="0"/>
    <s v="No está en VPC"/>
    <n v="171"/>
    <s v="INTPG_ACC_171_1.41"/>
    <s v="ISEL-1.41"/>
    <n v="1"/>
    <s v="NO TIENE L3OUT"/>
    <n v="114"/>
    <n v="96"/>
  </r>
  <r>
    <n v="421"/>
    <x v="1"/>
    <x v="226"/>
    <s v="eth1/41"/>
    <x v="0"/>
    <x v="1"/>
    <x v="1"/>
    <s v="VTA_uxvta073_Net0"/>
    <x v="6"/>
    <b v="0"/>
    <s v="No está en VPC"/>
    <n v="421"/>
    <s v="INTPG_ACC_421_1.41"/>
    <s v="ISEL-1.41"/>
    <n v="1"/>
    <s v="NO TIENE L3OUT"/>
    <n v="72"/>
    <n v="96"/>
  </r>
  <r>
    <n v="173"/>
    <x v="0"/>
    <x v="227"/>
    <s v="eth1/41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41"/>
    <x v="0"/>
    <x v="0"/>
    <x v="0"/>
    <s v="TO-IXTFDLD690LCS-PRINCIPAL"/>
    <x v="6"/>
    <b v="0"/>
    <s v="No está en VPC"/>
    <n v="154"/>
    <s v="INTPG_ACC_154_1.41"/>
    <s v="ISEL-1.41"/>
    <n v="1"/>
    <s v="NO TIENE L3OUT"/>
    <n v="62"/>
    <n v="96"/>
  </r>
  <r>
    <n v="172"/>
    <x v="0"/>
    <x v="229"/>
    <s v="eth1/41"/>
    <x v="0"/>
    <x v="0"/>
    <x v="0"/>
    <s v="SRS (Speedy Rating System)"/>
    <x v="6"/>
    <b v="0"/>
    <s v="No está en VPC"/>
    <n v="172"/>
    <s v="INTPG_ACC_172_1.41"/>
    <s v="ISEL-1.41"/>
    <n v="1"/>
    <s v="NO TIENE L3OUT"/>
    <n v="104"/>
    <n v="96"/>
  </r>
  <r>
    <n v="420"/>
    <x v="1"/>
    <x v="230"/>
    <s v="eth1/41"/>
    <x v="0"/>
    <x v="0"/>
    <x v="0"/>
    <s v="TEMIPCLOUD1_A03"/>
    <x v="6"/>
    <b v="0"/>
    <s v="No está en VPC"/>
    <n v="420"/>
    <s v="INTPG_ACC_420_1.41"/>
    <s v="ISEL-1.41"/>
    <n v="1"/>
    <s v="NO TIENE L3OUT"/>
    <n v="158"/>
    <n v="96"/>
  </r>
  <r>
    <n v="423"/>
    <x v="1"/>
    <x v="231"/>
    <s v="eth1/41"/>
    <x v="0"/>
    <x v="0"/>
    <x v="0"/>
    <s v="SPECSERVER2_ETH4"/>
    <x v="6"/>
    <b v="0"/>
    <s v="No está en VPC"/>
    <n v="423"/>
    <s v="INTPG_ACC_423_1.41"/>
    <s v="ISEL-1.41"/>
    <n v="1"/>
    <s v="NO TIENE L3OUT"/>
    <n v="86"/>
    <n v="96"/>
  </r>
  <r>
    <n v="415"/>
    <x v="1"/>
    <x v="232"/>
    <s v="eth1/41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41"/>
    <x v="1"/>
    <x v="1"/>
    <x v="2"/>
    <s v="IXTLA4_VC1_x1,x2,x3,x4,x5,x6,x7,x8_VMTLCLAMX5_VC1_X1"/>
    <x v="6"/>
    <b v="0"/>
    <s v="No está en VPC"/>
    <n v="102"/>
    <s v="INTPG_PC_102_1.41-48"/>
    <s v="ISEL-1.41"/>
    <n v="0"/>
    <s v="NO TIENE L3OUT"/>
    <n v="228"/>
    <n v="96"/>
  </r>
  <r>
    <n v="863"/>
    <x v="2"/>
    <x v="234"/>
    <s v="eth1/41"/>
    <x v="0"/>
    <x v="0"/>
    <x v="0"/>
    <s v="To_VPC_2DCBSD_WR58_2"/>
    <x v="0"/>
    <b v="0"/>
    <s v="No está en VPC"/>
    <n v="863"/>
    <s v="INTPG_VPC_858_1.41_863_1.41"/>
    <s v="ISEL-1.41"/>
    <n v="1"/>
    <s v="NO TIENE L3OUT"/>
    <n v="8"/>
    <n v="54"/>
  </r>
  <r>
    <n v="876"/>
    <x v="2"/>
    <x v="235"/>
    <s v="eth1/41"/>
    <x v="0"/>
    <x v="0"/>
    <x v="0"/>
    <s v="A_ITHFHWSEQLCAS16_Principal"/>
    <x v="4"/>
    <b v="0"/>
    <s v="No está en VPC"/>
    <n v="876"/>
    <s v="INTPG_ACC_876_1.41"/>
    <s v="ISEL-1.41"/>
    <n v="1"/>
    <s v="NO TIENE L3OUT"/>
    <n v="92"/>
    <n v="54"/>
  </r>
  <r>
    <n v="877"/>
    <x v="2"/>
    <x v="236"/>
    <s v="eth1/41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41"/>
    <x v="0"/>
    <x v="0"/>
    <x v="0"/>
    <s v="Registro Nacional de Celulares"/>
    <x v="6"/>
    <b v="0"/>
    <s v="No está en VPC"/>
    <n v="122"/>
    <s v="INTPG_ACC_122_1.41"/>
    <s v="ISEL-1.41"/>
    <n v="1"/>
    <s v="NO TIENE L3OUT"/>
    <n v="148"/>
    <n v="96"/>
  </r>
  <r>
    <n v="157"/>
    <x v="0"/>
    <x v="238"/>
    <s v="eth1/41"/>
    <x v="1"/>
    <x v="1"/>
    <x v="2"/>
    <s v="IXT08PP"/>
    <x v="6"/>
    <b v="0"/>
    <s v="No está en VPC"/>
    <n v="157"/>
    <s v="INTPG_ACC_157_1.41"/>
    <s v="ISEL-1.41"/>
    <n v="0"/>
    <s v="L3OUT-SNA-IPCORP-A14"/>
    <n v="202"/>
    <n v="96"/>
  </r>
  <r>
    <n v="408"/>
    <x v="1"/>
    <x v="239"/>
    <s v="eth1/41"/>
    <x v="0"/>
    <x v="0"/>
    <x v="0"/>
    <s v="HNMD101A"/>
    <x v="6"/>
    <b v="0"/>
    <s v="No está en VPC"/>
    <n v="408"/>
    <s v="INTPG_ACC_408_1.41"/>
    <s v="ISEL-1.41"/>
    <n v="1"/>
    <s v="NO TIENE L3OUT"/>
    <n v="152"/>
    <n v="96"/>
  </r>
  <r>
    <n v="405"/>
    <x v="1"/>
    <x v="240"/>
    <s v="eth1/41"/>
    <x v="0"/>
    <x v="0"/>
    <x v="0"/>
    <s v="MEDIACION1-DD"/>
    <x v="6"/>
    <b v="0"/>
    <s v="No está en VPC"/>
    <n v="405"/>
    <s v="INTPG_ACC_405_1.41"/>
    <s v="ISEL-1.41"/>
    <n v="1"/>
    <s v="NO TIENE L3OUT"/>
    <n v="138"/>
    <n v="96"/>
  </r>
  <r>
    <n v="169"/>
    <x v="0"/>
    <x v="241"/>
    <s v="eth1/41"/>
    <x v="0"/>
    <x v="0"/>
    <x v="0"/>
    <s v="TO-IXTFDLD690LCS-PRINCIPAL"/>
    <x v="6"/>
    <b v="0"/>
    <s v="No está en VPC"/>
    <n v="169"/>
    <s v="INTPG_ACC_169_1.41"/>
    <s v="ISEL-1.41"/>
    <n v="1"/>
    <s v="NO TIENE L3OUT"/>
    <n v="76"/>
    <n v="96"/>
  </r>
  <r>
    <n v="165"/>
    <x v="0"/>
    <x v="242"/>
    <s v="eth1/41"/>
    <x v="0"/>
    <x v="0"/>
    <x v="0"/>
    <s v="NOMINA_rhprd"/>
    <x v="6"/>
    <b v="0"/>
    <s v="No está en VPC"/>
    <n v="165"/>
    <s v="INTPG_ACC_165_1.41"/>
    <s v="ISEL-1.41"/>
    <n v="1"/>
    <s v="NO TIENE L3OUT"/>
    <n v="86"/>
    <n v="96"/>
  </r>
  <r>
    <n v="417"/>
    <x v="1"/>
    <x v="243"/>
    <s v="eth1/41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41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41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41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41"/>
    <x v="1"/>
    <x v="1"/>
    <x v="2"/>
    <s v="ROAMING_ENCLOSURE:SFROAP01:VC2-3"/>
    <x v="6"/>
    <b v="0"/>
    <s v="No está en VPC"/>
    <n v="103"/>
    <s v="INTPG_PC_103_5_6_41"/>
    <s v="ISEL-1.41"/>
    <n v="2"/>
    <s v="NO TIENE L3OUT"/>
    <n v="70"/>
    <n v="96"/>
  </r>
  <r>
    <n v="438"/>
    <x v="1"/>
    <x v="248"/>
    <s v="eth1/41"/>
    <x v="0"/>
    <x v="0"/>
    <x v="0"/>
    <s v="TC3_ithmomce1_VC2_X2"/>
    <x v="6"/>
    <b v="0"/>
    <s v="No está en VPC"/>
    <n v="438"/>
    <s v="INTPG_ACC_438_1.41"/>
    <s v="ISEL-1.41"/>
    <n v="7"/>
    <s v="NO TIENE L3OUT"/>
    <n v="170"/>
    <n v="96"/>
  </r>
  <r>
    <n v="406"/>
    <x v="1"/>
    <x v="249"/>
    <s v="eth1/41"/>
    <x v="0"/>
    <x v="0"/>
    <x v="0"/>
    <s v="DESC"/>
    <x v="6"/>
    <b v="0"/>
    <s v="No está en VPC"/>
    <n v="406"/>
    <s v="INTPG_PC_406_1.39-42"/>
    <s v="ISEL-1.41"/>
    <n v="4"/>
    <s v="NO TIENE L3OUT"/>
    <n v="82"/>
    <n v="96"/>
  </r>
  <r>
    <n v="414"/>
    <x v="1"/>
    <x v="250"/>
    <s v="eth1/41"/>
    <x v="0"/>
    <x v="0"/>
    <x v="0"/>
    <s v="Exadata1"/>
    <x v="6"/>
    <b v="0"/>
    <s v="No está en VPC"/>
    <n v="414"/>
    <s v="INTPG_ACC_414_1.41"/>
    <s v="ISEL-1.41"/>
    <n v="1"/>
    <s v="NO TIENE L3OUT"/>
    <n v="144"/>
    <n v="96"/>
  </r>
  <r>
    <n v="416"/>
    <x v="1"/>
    <x v="251"/>
    <s v="eth1/41"/>
    <x v="0"/>
    <x v="0"/>
    <x v="0"/>
    <s v="DESC"/>
    <x v="6"/>
    <b v="0"/>
    <s v="No está en VPC"/>
    <n v="416"/>
    <s v="INTPG_PC_416_1.40-45"/>
    <s v="ISEL-1.41"/>
    <n v="7"/>
    <s v="NO TIENE L3OUT"/>
    <n v="110"/>
    <n v="96"/>
  </r>
  <r>
    <n v="418"/>
    <x v="1"/>
    <x v="252"/>
    <s v="eth1/41"/>
    <x v="0"/>
    <x v="0"/>
    <x v="0"/>
    <s v="DESC"/>
    <x v="6"/>
    <b v="0"/>
    <s v="No está en VPC"/>
    <n v="418"/>
    <s v="INTPG_PC_418_1.40-45"/>
    <s v="ISEL-1.41"/>
    <n v="7"/>
    <s v="NO TIENE L3OUT"/>
    <n v="152"/>
    <n v="96"/>
  </r>
  <r>
    <n v="413"/>
    <x v="1"/>
    <x v="253"/>
    <s v="eth1/41"/>
    <x v="0"/>
    <x v="0"/>
    <x v="0"/>
    <s v="To-uxingemc1 ldom1 uxsmart06"/>
    <x v="6"/>
    <b v="0"/>
    <s v="No está en VPC"/>
    <n v="413"/>
    <s v="INTPG_ACC_413_1.41"/>
    <s v="ISEL-1.41"/>
    <n v="1"/>
    <s v="NO TIENE L3OUT"/>
    <n v="126"/>
    <n v="96"/>
  </r>
  <r>
    <n v="403"/>
    <x v="1"/>
    <x v="254"/>
    <s v="eth1/41"/>
    <x v="0"/>
    <x v="0"/>
    <x v="0"/>
    <s v="MEDIACION1-DD"/>
    <x v="6"/>
    <b v="0"/>
    <s v="No está en VPC"/>
    <n v="403"/>
    <s v="INTPG_ACC_403_1.41"/>
    <s v="ISEL-1.41"/>
    <n v="1"/>
    <s v="NO TIENE L3OUT"/>
    <n v="150"/>
    <n v="96"/>
  </r>
  <r>
    <n v="125"/>
    <x v="0"/>
    <x v="255"/>
    <s v="eth1/41"/>
    <x v="1"/>
    <x v="1"/>
    <x v="2"/>
    <s v="3G_ENIQ_QRO_R6"/>
    <x v="6"/>
    <b v="0"/>
    <s v="No está en VPC"/>
    <n v="125"/>
    <s v="INTPG_VPC_124_1.25_40_125_1.28_41"/>
    <s v="ISEL-1.41"/>
    <n v="5"/>
    <s v="NO TIENE L3OUT"/>
    <n v="72"/>
    <n v="96"/>
  </r>
  <r>
    <n v="166"/>
    <x v="0"/>
    <x v="256"/>
    <s v="eth1/41"/>
    <x v="0"/>
    <x v="0"/>
    <x v="0"/>
    <s v="NOMINA_uxnomaps"/>
    <x v="6"/>
    <b v="0"/>
    <s v="No está en VPC"/>
    <n v="166"/>
    <s v="INTPG_ACC_166_1.41"/>
    <s v="ISEL-1.41"/>
    <n v="1"/>
    <s v="NO TIENE L3OUT"/>
    <n v="84"/>
    <n v="96"/>
  </r>
  <r>
    <n v="111"/>
    <x v="0"/>
    <x v="257"/>
    <s v="eth1/41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41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41"/>
    <x v="0"/>
    <x v="0"/>
    <x v="0"/>
    <m/>
    <x v="6"/>
    <b v="0"/>
    <s v="No está en VPC"/>
    <n v="106"/>
    <s v="INTPG_ACC_106_1.41"/>
    <s v="ISEL-1.41"/>
    <n v="1"/>
    <s v="NO TIENE L3OUT"/>
    <n v="122"/>
    <n v="96"/>
  </r>
  <r>
    <n v="126"/>
    <x v="0"/>
    <x v="260"/>
    <s v="eth1/41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41"/>
    <x v="0"/>
    <x v="0"/>
    <x v="0"/>
    <s v="ITHPA03_ILO1_IPMP-Pasiva"/>
    <x v="6"/>
    <b v="0"/>
    <s v="No está en VPC"/>
    <n v="425"/>
    <s v="INTPG_ACC_425_1.41"/>
    <s v="ISEL-1.41"/>
    <n v="1"/>
    <s v="NO TIENE L3OUT"/>
    <n v="86"/>
    <n v="96"/>
  </r>
  <r>
    <n v="151"/>
    <x v="0"/>
    <x v="262"/>
    <s v="eth1/41"/>
    <x v="1"/>
    <x v="1"/>
    <x v="2"/>
    <s v="To OoB APIC 6"/>
    <x v="6"/>
    <b v="0"/>
    <s v="No está en VPC"/>
    <n v="151"/>
    <s v="INTPG_ACC_151_1.41"/>
    <s v="ISEL-1.41"/>
    <n v="1"/>
    <s v="NO TIENE L3OUT"/>
    <n v="86"/>
    <n v="96"/>
  </r>
  <r>
    <n v="430"/>
    <x v="1"/>
    <x v="263"/>
    <s v="eth1/41"/>
    <x v="0"/>
    <x v="1"/>
    <x v="1"/>
    <s v="SecAnLG_iDrac_07-Archiver-IXTSALG_ARC1"/>
    <x v="6"/>
    <b v="0"/>
    <s v="No está en VPC"/>
    <n v="430"/>
    <s v="INTPG_ACC_430_1.41"/>
    <s v="ISEL-1.41"/>
    <n v="1"/>
    <s v="NO TIENE L3OUT"/>
    <n v="86"/>
    <n v="96"/>
  </r>
  <r>
    <n v="419"/>
    <x v="1"/>
    <x v="264"/>
    <s v="eth1/41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41"/>
    <x v="0"/>
    <x v="1"/>
    <x v="1"/>
    <s v="GESTOR HUAWEI U2000 MW Tx"/>
    <x v="6"/>
    <b v="0"/>
    <s v="No está en VPC"/>
    <n v="155"/>
    <s v="INTPG_ACC_155_1.41"/>
    <s v="ISEL-1.41"/>
    <n v="1"/>
    <s v="NO TIENE L3OUT"/>
    <n v="198"/>
    <n v="96"/>
  </r>
  <r>
    <n v="409"/>
    <x v="1"/>
    <x v="266"/>
    <s v="eth1/41"/>
    <x v="0"/>
    <x v="0"/>
    <x v="0"/>
    <s v="F5_Clarity_B1"/>
    <x v="6"/>
    <b v="0"/>
    <s v="No está en VPC"/>
    <n v="409"/>
    <s v="INTPG_ACC_409_1.41"/>
    <s v="ISEL-1.41"/>
    <n v="1"/>
    <s v="NO TIENE L3OUT"/>
    <n v="128"/>
    <n v="96"/>
  </r>
  <r>
    <n v="422"/>
    <x v="1"/>
    <x v="267"/>
    <s v="eth1/41"/>
    <x v="0"/>
    <x v="1"/>
    <x v="1"/>
    <s v="ITHRTC4BEN2VC2x4"/>
    <x v="6"/>
    <b v="0"/>
    <s v="No está en VPC"/>
    <n v="422"/>
    <s v="INTPG_ACC_422_1.41"/>
    <s v="ISEL-1.41"/>
    <n v="1"/>
    <s v="NO TIENE L3OUT"/>
    <n v="182"/>
    <n v="96"/>
  </r>
  <r>
    <n v="436"/>
    <x v="1"/>
    <x v="268"/>
    <s v="eth1/41"/>
    <x v="0"/>
    <x v="0"/>
    <x v="0"/>
    <s v="DESC"/>
    <x v="6"/>
    <b v="0"/>
    <s v="No está en VPC"/>
    <n v="436"/>
    <s v="INTPG_PC_436_1.40-45"/>
    <s v="ISEL-1.41"/>
    <n v="7"/>
    <s v="NO TIENE L3OUT"/>
    <n v="172"/>
    <n v="96"/>
  </r>
  <r>
    <n v="410"/>
    <x v="1"/>
    <x v="269"/>
    <s v="eth1/41"/>
    <x v="0"/>
    <x v="0"/>
    <x v="0"/>
    <s v="Exadata3"/>
    <x v="6"/>
    <b v="0"/>
    <s v="No está en VPC"/>
    <n v="410"/>
    <s v="INTPG_ACC_410_1.41"/>
    <s v="ISEL-1.41"/>
    <n v="1"/>
    <s v="NO TIENE L3OUT"/>
    <n v="178"/>
    <n v="96"/>
  </r>
  <r>
    <n v="161"/>
    <x v="0"/>
    <x v="270"/>
    <s v="eth1/41"/>
    <x v="1"/>
    <x v="1"/>
    <x v="2"/>
    <s v="CELCITE"/>
    <x v="6"/>
    <b v="0"/>
    <s v="No está en VPC"/>
    <n v="161"/>
    <s v="INTPG_ACC_161_1.41"/>
    <s v="ISEL-1.41"/>
    <n v="1"/>
    <s v="NO TIENE L3OUT"/>
    <n v="102"/>
    <n v="96"/>
  </r>
  <r>
    <n v="411"/>
    <x v="1"/>
    <x v="271"/>
    <s v="eth1/41"/>
    <x v="0"/>
    <x v="0"/>
    <x v="0"/>
    <s v="SPIDERNET1"/>
    <x v="6"/>
    <b v="0"/>
    <s v="No está en VPC"/>
    <n v="411"/>
    <s v="INTPG_ACC_411_1.41"/>
    <s v="ISEL-1.41"/>
    <n v="1"/>
    <s v="NO TIENE L3OUT"/>
    <n v="96"/>
    <n v="96"/>
  </r>
  <r>
    <n v="116"/>
    <x v="0"/>
    <x v="272"/>
    <s v="eth1/41"/>
    <x v="0"/>
    <x v="0"/>
    <x v="0"/>
    <s v="DATOS NETCRACKER"/>
    <x v="6"/>
    <b v="0"/>
    <s v="No está en VPC"/>
    <n v="116"/>
    <s v="INTPG_ACC_116_1.41"/>
    <s v="ISEL-1.41"/>
    <n v="1"/>
    <s v="NO TIENE L3OUT"/>
    <n v="148"/>
    <n v="96"/>
  </r>
  <r>
    <n v="412"/>
    <x v="1"/>
    <x v="273"/>
    <s v="eth1/41"/>
    <x v="0"/>
    <x v="0"/>
    <x v="0"/>
    <s v="HNMD101B"/>
    <x v="6"/>
    <b v="0"/>
    <s v="No está en VPC"/>
    <n v="412"/>
    <s v="INTPG_ACC_412_1.41"/>
    <s v="ISEL-1.41"/>
    <n v="1"/>
    <s v="NO TIENE L3OUT"/>
    <n v="126"/>
    <n v="96"/>
  </r>
  <r>
    <n v="120"/>
    <x v="0"/>
    <x v="274"/>
    <s v="eth1/41"/>
    <x v="0"/>
    <x v="0"/>
    <x v="0"/>
    <s v="ZFS X5-2"/>
    <x v="6"/>
    <b v="0"/>
    <s v="No está en VPC"/>
    <n v="120"/>
    <s v="INTPG_ACC_120_1.41"/>
    <s v="ISEL-1.41"/>
    <n v="1"/>
    <s v="NO TIENE L3OUT"/>
    <n v="158"/>
    <n v="96"/>
  </r>
  <r>
    <n v="404"/>
    <x v="1"/>
    <x v="275"/>
    <s v="eth1/41"/>
    <x v="0"/>
    <x v="0"/>
    <x v="0"/>
    <s v="PCRF4_CLT"/>
    <x v="6"/>
    <b v="0"/>
    <s v="No está en VPC"/>
    <n v="404"/>
    <s v="INTPG_VPC_404_1.41-42_406_1.37-38"/>
    <s v="ISEL-1.41"/>
    <n v="5"/>
    <s v="NO TIENE L3OUT"/>
    <n v="92"/>
    <n v="96"/>
  </r>
  <r>
    <n v="167"/>
    <x v="0"/>
    <x v="276"/>
    <s v="eth1/41"/>
    <x v="0"/>
    <x v="0"/>
    <x v="0"/>
    <s v="LINKDOWN_HACIA_UCS_9UCS-GEO-IXTLA-SERV2"/>
    <x v="6"/>
    <b v="0"/>
    <s v="No está en VPC"/>
    <n v="167"/>
    <s v="INTPG_ACC_167_1.41"/>
    <s v="ISEL-1.41"/>
    <n v="1"/>
    <s v="NO TIENE L3OUT"/>
    <n v="68"/>
    <n v="96"/>
  </r>
  <r>
    <n v="428"/>
    <x v="1"/>
    <x v="277"/>
    <s v="eth1/41"/>
    <x v="0"/>
    <x v="0"/>
    <x v="0"/>
    <s v="RLPNOVB01"/>
    <x v="6"/>
    <b v="0"/>
    <s v="No está en VPC"/>
    <n v="428"/>
    <s v="INTPG_ACC_428_1.41"/>
    <s v="ISEL-1.41"/>
    <n v="1"/>
    <s v="NO TIENE L3OUT"/>
    <n v="102"/>
    <n v="96"/>
  </r>
  <r>
    <n v="128"/>
    <x v="0"/>
    <x v="0"/>
    <s v="eth1/42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42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42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42"/>
    <x v="0"/>
    <x v="0"/>
    <x v="0"/>
    <s v="CONSOLIDACION_ITHFOCCSLUAP01_PRINCIPAL"/>
    <x v="0"/>
    <b v="0"/>
    <s v="No está en VPC"/>
    <n v="101"/>
    <s v="INTPG_ACC_101_1.42"/>
    <s v="ISEL-1.42"/>
    <n v="1"/>
    <s v="NO TIENE L3OUT"/>
    <n v="114"/>
    <n v="54"/>
  </r>
  <r>
    <n v="160"/>
    <x v="0"/>
    <x v="4"/>
    <s v="eth1/42"/>
    <x v="1"/>
    <x v="1"/>
    <x v="2"/>
    <m/>
    <x v="1"/>
    <b v="0"/>
    <s v="No está en VPC"/>
    <n v="160"/>
    <s v="INTPG_ACC_160_1.42"/>
    <s v="ISEL-1.42"/>
    <n v="1"/>
    <s v="NO TIENE L3OUT"/>
    <n v="68"/>
    <n v="54"/>
  </r>
  <r>
    <n v="121"/>
    <x v="0"/>
    <x v="5"/>
    <s v="eth1/42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42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42"/>
    <x v="0"/>
    <x v="1"/>
    <x v="1"/>
    <s v="YELLOW BRICK"/>
    <x v="0"/>
    <b v="0"/>
    <s v="No está en VPC"/>
    <n v="401"/>
    <s v="INTPG_VPC_401_1.42_402_1.42"/>
    <s v="ISEL-1.42"/>
    <n v="1"/>
    <s v="NO TIENE L3OUT"/>
    <n v="40"/>
    <n v="54"/>
  </r>
  <r>
    <n v="402"/>
    <x v="1"/>
    <x v="8"/>
    <s v="eth1/42"/>
    <x v="0"/>
    <x v="1"/>
    <x v="1"/>
    <s v="YELLOW BRICK"/>
    <x v="0"/>
    <b v="0"/>
    <s v="No está en VPC"/>
    <n v="402"/>
    <s v="INTPG_VPC_401_1.42_402_1.42"/>
    <s v="ISEL-1.42"/>
    <n v="1"/>
    <s v="NO TIENE L3OUT"/>
    <n v="36"/>
    <n v="54"/>
  </r>
  <r>
    <n v="130"/>
    <x v="0"/>
    <x v="11"/>
    <s v="eth1/42"/>
    <x v="0"/>
    <x v="0"/>
    <x v="0"/>
    <s v="ITHFHWHSMTLCN03-LOM  P1"/>
    <x v="0"/>
    <b v="0"/>
    <s v="No está en VPC"/>
    <n v="130"/>
    <s v="INTPG_ACC_130_1.42"/>
    <s v="ISEL-1.42"/>
    <n v="9"/>
    <s v="NO TIENE L3OUT"/>
    <n v="128"/>
    <n v="54"/>
  </r>
  <r>
    <n v="150"/>
    <x v="0"/>
    <x v="12"/>
    <s v="eth1/42"/>
    <x v="0"/>
    <x v="0"/>
    <x v="0"/>
    <s v="CONSOLIDACION_ITHFOCCSLUAP01_REDUDANTE"/>
    <x v="0"/>
    <b v="0"/>
    <s v="No está en VPC"/>
    <n v="150"/>
    <s v="INTPG_ACC_150_1.42"/>
    <s v="ISEL-1.42"/>
    <n v="1"/>
    <s v="NO TIENE L3OUT"/>
    <n v="118"/>
    <n v="54"/>
  </r>
  <r>
    <n v="131"/>
    <x v="0"/>
    <x v="13"/>
    <s v="eth1/42"/>
    <x v="0"/>
    <x v="0"/>
    <x v="0"/>
    <s v="ITHFHWHSMTLCN03-LOM  P2"/>
    <x v="0"/>
    <b v="0"/>
    <s v="No está en VPC"/>
    <n v="131"/>
    <s v="INTPG_ACC_131_1.42"/>
    <s v="ISEL-1.42"/>
    <n v="9"/>
    <s v="NO TIENE L3OUT"/>
    <n v="126"/>
    <n v="54"/>
  </r>
  <r>
    <n v="424"/>
    <x v="1"/>
    <x v="18"/>
    <s v="eth1/42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42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42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42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42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42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42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42"/>
    <x v="0"/>
    <x v="0"/>
    <x v="0"/>
    <s v="FGW_R9_IXTLA_FORTI_42K_1_PTO-7"/>
    <x v="0"/>
    <b v="0"/>
    <s v="No está en VPC"/>
    <n v="431"/>
    <s v="INTPG_ACC_431_1.42"/>
    <s v="ISEL-1.42"/>
    <n v="2"/>
    <s v="NO TIENE L3OUT"/>
    <n v="46"/>
    <n v="54"/>
  </r>
  <r>
    <n v="433"/>
    <x v="1"/>
    <x v="27"/>
    <s v="eth1/42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42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42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42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42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42"/>
    <x v="1"/>
    <x v="1"/>
    <x v="3"/>
    <m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42"/>
    <x v="1"/>
    <x v="1"/>
    <x v="3"/>
    <m/>
    <x v="0"/>
    <b v="0"/>
    <s v="No está en VPC"/>
    <n v="712"/>
    <s v="NO EXISTE PG"/>
    <s v="NO EXISTE ISEL"/>
    <n v="0"/>
    <s v="NO TIENE L3OUT"/>
    <n v="32"/>
    <n v="54"/>
  </r>
  <r>
    <n v="719"/>
    <x v="2"/>
    <x v="34"/>
    <s v="eth1/42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42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42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42"/>
    <x v="1"/>
    <x v="1"/>
    <x v="3"/>
    <m/>
    <x v="0"/>
    <b v="0"/>
    <s v="No está en VPC"/>
    <n v="711"/>
    <s v="NO EXISTE PG"/>
    <s v="NO EXISTE ISEL"/>
    <n v="0"/>
    <s v="NO TIENE L3OUT"/>
    <n v="16"/>
    <n v="54"/>
  </r>
  <r>
    <n v="716"/>
    <x v="2"/>
    <x v="38"/>
    <s v="eth1/42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42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42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42"/>
    <x v="0"/>
    <x v="1"/>
    <x v="3"/>
    <m/>
    <x v="0"/>
    <b v="0"/>
    <s v="No está en VPC"/>
    <n v="446"/>
    <s v="NO EXISTE PG"/>
    <s v="NO EXISTE ISEL"/>
    <n v="0"/>
    <s v="NO TIENE L3OUT"/>
    <n v="198"/>
    <n v="54"/>
  </r>
  <r>
    <n v="444"/>
    <x v="1"/>
    <x v="42"/>
    <s v="eth1/42"/>
    <x v="0"/>
    <x v="0"/>
    <x v="0"/>
    <s v="TO-ITHFDLMCLWLCN05"/>
    <x v="0"/>
    <b v="0"/>
    <s v="No está en VPC"/>
    <n v="444"/>
    <s v="INTPG_VPC_446_1.30_444_1.42"/>
    <s v="ISEL-1.42"/>
    <n v="1"/>
    <s v="NO TIENE L3OUT"/>
    <n v="234"/>
    <n v="54"/>
  </r>
  <r>
    <n v="701"/>
    <x v="2"/>
    <x v="43"/>
    <s v="eth1/42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42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42"/>
    <x v="0"/>
    <x v="0"/>
    <x v="0"/>
    <s v="FGW_R9_IXTLA_FORTI_42K_2_PTO-7"/>
    <x v="0"/>
    <b v="0"/>
    <s v="No está en VPC"/>
    <n v="448"/>
    <s v="INTPG_ACC_448_1.42"/>
    <s v="ISEL-1.42"/>
    <n v="2"/>
    <s v="NO TIENE L3OUT"/>
    <n v="46"/>
    <n v="54"/>
  </r>
  <r>
    <n v="704"/>
    <x v="2"/>
    <x v="46"/>
    <s v="eth1/42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42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42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42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42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42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42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42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42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42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42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42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42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42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42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42"/>
    <x v="0"/>
    <x v="1"/>
    <x v="1"/>
    <m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42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42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42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42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42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42"/>
    <x v="0"/>
    <x v="1"/>
    <x v="3"/>
    <m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42"/>
    <x v="1"/>
    <x v="1"/>
    <x v="3"/>
    <m/>
    <x v="0"/>
    <b v="0"/>
    <s v="No está en VPC"/>
    <n v="780"/>
    <s v="NO EXISTE PG"/>
    <s v="NO EXISTE ISEL"/>
    <n v="0"/>
    <s v="NO TIENE L3OUT"/>
    <n v="26"/>
    <n v="54"/>
  </r>
  <r>
    <n v="812"/>
    <x v="2"/>
    <x v="70"/>
    <s v="eth1/42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42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42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42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42"/>
    <x v="0"/>
    <x v="0"/>
    <x v="0"/>
    <s v="LINK_TO_ITHHWCRMPEN01 /X2-10GE 5 /Principal"/>
    <x v="0"/>
    <b v="0"/>
    <s v="No está en VPC"/>
    <n v="824"/>
    <s v="INTPG_VPC_819_1.41-42_44-45_824_1.41-42_44-45"/>
    <s v="ISEL-1.42"/>
    <n v="1"/>
    <s v="NO TIENE L3OUT"/>
    <n v="70"/>
    <n v="54"/>
  </r>
  <r>
    <n v="819"/>
    <x v="2"/>
    <x v="75"/>
    <s v="eth1/42"/>
    <x v="0"/>
    <x v="0"/>
    <x v="0"/>
    <s v="LINK_TO_ITHHWCRMPEN01 /X2-10GE 6 /Redundante"/>
    <x v="0"/>
    <b v="0"/>
    <s v="No está en VPC"/>
    <n v="819"/>
    <s v="INTPG_VPC_819_1.41-42_44-45_824_1.41-42_44-45"/>
    <s v="ISEL-1.42"/>
    <n v="1"/>
    <s v="NO TIENE L3OUT"/>
    <n v="70"/>
    <n v="54"/>
  </r>
  <r>
    <n v="737"/>
    <x v="2"/>
    <x v="76"/>
    <s v="eth1/42"/>
    <x v="0"/>
    <x v="1"/>
    <x v="1"/>
    <m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42"/>
    <x v="0"/>
    <x v="0"/>
    <x v="0"/>
    <s v="LINK_TO_ITHFHWCRMPLCN114 / Slot1.3_32 / Principal"/>
    <x v="0"/>
    <b v="0"/>
    <s v="No está en VPC"/>
    <n v="844"/>
    <s v="INTPG_ACC_844_1.42"/>
    <s v="ISEL-1.42"/>
    <n v="1"/>
    <s v="NO TIENE L3OUT"/>
    <n v="282"/>
    <n v="54"/>
  </r>
  <r>
    <n v="843"/>
    <x v="2"/>
    <x v="78"/>
    <s v="eth1/42"/>
    <x v="0"/>
    <x v="0"/>
    <x v="0"/>
    <s v="A_ITHFHWSEQLHDPS84_Principal"/>
    <x v="0"/>
    <b v="0"/>
    <s v="No está en VPC"/>
    <n v="843"/>
    <s v="INTPG_ACC_843_1.42"/>
    <s v="ISEL-1.42"/>
    <n v="1"/>
    <s v="NO TIENE L3OUT"/>
    <n v="38"/>
    <n v="54"/>
  </r>
  <r>
    <n v="797"/>
    <x v="2"/>
    <x v="79"/>
    <s v="eth1/42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42"/>
    <x v="0"/>
    <x v="0"/>
    <x v="0"/>
    <s v="LINK_TO_ITHFHWCBSPSUSBD32 / Slot7.3_4 / Redundante"/>
    <x v="0"/>
    <b v="0"/>
    <s v="No está en VPC"/>
    <n v="839"/>
    <s v="INTPG_VPC_834_1.42_839_1.42"/>
    <s v="ISEL-1.42"/>
    <n v="1"/>
    <s v="NO TIENE L3OUT"/>
    <n v="0"/>
    <n v="54"/>
  </r>
  <r>
    <n v="847"/>
    <x v="2"/>
    <x v="81"/>
    <s v="eth1/42"/>
    <x v="0"/>
    <x v="0"/>
    <x v="0"/>
    <s v="LINK_TO_ITHFHWCRMPSBDP11 / Slot7.2_6 / Redundante"/>
    <x v="0"/>
    <b v="0"/>
    <s v="No está en VPC"/>
    <n v="847"/>
    <s v="INTPG_VPC_854_1.42_847_1.42"/>
    <s v="ISEL-1.42"/>
    <n v="2"/>
    <s v="NO TIENE L3OUT"/>
    <n v="204"/>
    <n v="54"/>
  </r>
  <r>
    <n v="848"/>
    <x v="2"/>
    <x v="82"/>
    <s v="eth1/42"/>
    <x v="0"/>
    <x v="0"/>
    <x v="0"/>
    <s v="LINK_TO_ITHFHWCRMPLCN168 / Slot7.2_38 / Redundante"/>
    <x v="0"/>
    <b v="0"/>
    <s v="No está en VPC"/>
    <n v="848"/>
    <s v="INTPG_ACC_848_1.42"/>
    <s v="ISEL-1.42"/>
    <n v="2"/>
    <s v="NO TIENE L3OUT"/>
    <n v="254"/>
    <n v="54"/>
  </r>
  <r>
    <n v="846"/>
    <x v="2"/>
    <x v="83"/>
    <s v="eth1/42"/>
    <x v="0"/>
    <x v="0"/>
    <x v="0"/>
    <s v="LINK_TO_ITHFHWCRMPLCN85 / Slot1.3_28 / Principal"/>
    <x v="0"/>
    <b v="0"/>
    <s v="No está en VPC"/>
    <n v="846"/>
    <s v="INTPG_ACC_846_1.42"/>
    <s v="ISEL-1.42"/>
    <n v="1"/>
    <s v="NO TIENE L3OUT"/>
    <n v="242"/>
    <n v="54"/>
  </r>
  <r>
    <n v="838"/>
    <x v="2"/>
    <x v="84"/>
    <s v="eth1/42"/>
    <x v="0"/>
    <x v="0"/>
    <x v="0"/>
    <s v="A_ITHFHWSEQLHDPS84_Redundante"/>
    <x v="0"/>
    <b v="0"/>
    <s v="No está en VPC"/>
    <n v="838"/>
    <s v="INTPG_ACC_838_1.42"/>
    <s v="ISEL-1.42"/>
    <n v="1"/>
    <s v="NO TIENE L3OUT"/>
    <n v="38"/>
    <n v="54"/>
  </r>
  <r>
    <n v="849"/>
    <x v="2"/>
    <x v="85"/>
    <s v="eth1/42"/>
    <x v="0"/>
    <x v="0"/>
    <x v="0"/>
    <s v="LINK_TO_ITHFHWCRMPLCN148 / Slot7.2_30 / Redundante"/>
    <x v="0"/>
    <b v="0"/>
    <s v="No está en VPC"/>
    <n v="849"/>
    <s v="INTPG_ACC_849_1.42"/>
    <s v="ISEL-1.42"/>
    <n v="2"/>
    <s v="NO TIENE L3OUT"/>
    <n v="286"/>
    <n v="54"/>
  </r>
  <r>
    <n v="845"/>
    <x v="2"/>
    <x v="86"/>
    <s v="eth1/42"/>
    <x v="0"/>
    <x v="0"/>
    <x v="0"/>
    <s v="LINK_TO_ITHFHWCRMPLCN98 / Slot1.1_28 / Principal"/>
    <x v="0"/>
    <b v="0"/>
    <s v="No está en VPC"/>
    <n v="845"/>
    <s v="INTPG_ACC_845_1.42"/>
    <s v="ISEL-1.42"/>
    <n v="6"/>
    <s v="NO TIENE L3OUT"/>
    <n v="258"/>
    <n v="54"/>
  </r>
  <r>
    <n v="873"/>
    <x v="2"/>
    <x v="87"/>
    <s v="eth1/42"/>
    <x v="0"/>
    <x v="0"/>
    <x v="0"/>
    <s v="To_ITHFHWCRMDLCN37_Redundante"/>
    <x v="0"/>
    <b v="0"/>
    <s v="No está en VPC"/>
    <n v="873"/>
    <s v="INTPG_ACC_873_1.42"/>
    <s v="ISEL-1.42"/>
    <n v="1"/>
    <s v="NO TIENE L3OUT"/>
    <n v="248"/>
    <n v="54"/>
  </r>
  <r>
    <n v="864"/>
    <x v="2"/>
    <x v="88"/>
    <s v="eth1/42"/>
    <x v="0"/>
    <x v="0"/>
    <x v="0"/>
    <s v="To_VPC_2DCBSD_WR49_3"/>
    <x v="0"/>
    <b v="0"/>
    <s v="No está en VPC"/>
    <n v="864"/>
    <s v="INTPG_VPC_859_1.42_864_1.42"/>
    <s v="ISEL-1.42"/>
    <n v="1"/>
    <s v="NO TIENE L3OUT"/>
    <n v="0"/>
    <n v="54"/>
  </r>
  <r>
    <n v="836"/>
    <x v="2"/>
    <x v="89"/>
    <s v="eth1/42"/>
    <x v="0"/>
    <x v="0"/>
    <x v="0"/>
    <s v="LINK_TO_ITHFHWCBSPSHD28 / Slot1.2_20 / Principal"/>
    <x v="0"/>
    <b v="0"/>
    <s v="No está en VPC"/>
    <n v="836"/>
    <s v="INTPG_VPC_836_1.42_841_1.42"/>
    <s v="ISEL-1.42"/>
    <n v="1"/>
    <s v="NO TIENE L3OUT"/>
    <n v="0"/>
    <n v="54"/>
  </r>
  <r>
    <n v="834"/>
    <x v="2"/>
    <x v="90"/>
    <s v="eth1/42"/>
    <x v="0"/>
    <x v="0"/>
    <x v="0"/>
    <s v="LINK_TO_ITHFHWCBSPSUSBD32 / Slot1.3_4 / Principal"/>
    <x v="0"/>
    <b v="0"/>
    <s v="No está en VPC"/>
    <n v="834"/>
    <s v="INTPG_VPC_834_1.42_839_1.42"/>
    <s v="ISEL-1.42"/>
    <n v="1"/>
    <s v="NO TIENE L3OUT"/>
    <n v="0"/>
    <n v="54"/>
  </r>
  <r>
    <n v="872"/>
    <x v="2"/>
    <x v="91"/>
    <s v="eth1/42"/>
    <x v="0"/>
    <x v="0"/>
    <x v="0"/>
    <s v="TO_ITHFHWCRMDLCN51_Principal"/>
    <x v="0"/>
    <b v="0"/>
    <s v="No está en VPC"/>
    <n v="872"/>
    <s v="INTPG_ACC_872_1.42"/>
    <s v="ISEL-1.42"/>
    <n v="6"/>
    <s v="NO TIENE L3OUT"/>
    <n v="288"/>
    <n v="54"/>
  </r>
  <r>
    <n v="842"/>
    <x v="2"/>
    <x v="92"/>
    <s v="eth1/42"/>
    <x v="0"/>
    <x v="0"/>
    <x v="0"/>
    <s v="LINK_To_ITHFHWCBSPSHD22 / Slot7.1_20 / Redundante"/>
    <x v="0"/>
    <b v="0"/>
    <s v="No está en VPC"/>
    <n v="842"/>
    <s v="INTPG_VPC_837_1.42_842_1.42"/>
    <s v="ISEL-1.42"/>
    <n v="2"/>
    <s v="NO TIENE L3OUT"/>
    <n v="8"/>
    <n v="54"/>
  </r>
  <r>
    <n v="828"/>
    <x v="2"/>
    <x v="93"/>
    <s v="eth1/42"/>
    <x v="0"/>
    <x v="0"/>
    <x v="0"/>
    <s v="To_ITHFHWCRMDLCN41_Principal"/>
    <x v="0"/>
    <b v="0"/>
    <s v="No está en VPC"/>
    <n v="828"/>
    <s v="INTPG_ACC_828_1.42"/>
    <s v="ISEL-1.42"/>
    <n v="6"/>
    <s v="NO TIENE L3OUT"/>
    <n v="192"/>
    <n v="54"/>
  </r>
  <r>
    <n v="870"/>
    <x v="2"/>
    <x v="94"/>
    <s v="eth1/42"/>
    <x v="0"/>
    <x v="0"/>
    <x v="0"/>
    <s v="To_ITHFHWCRMDLCN37_Principal"/>
    <x v="0"/>
    <b v="0"/>
    <s v="No está en VPC"/>
    <n v="870"/>
    <s v="INTPG_ACC_870_1.42"/>
    <s v="ISEL-1.42"/>
    <n v="1"/>
    <s v="NO TIENE L3OUT"/>
    <n v="248"/>
    <n v="54"/>
  </r>
  <r>
    <n v="866"/>
    <x v="2"/>
    <x v="95"/>
    <s v="eth1/42"/>
    <x v="0"/>
    <x v="0"/>
    <x v="0"/>
    <s v="To_VPC_2DCBSD_WR35_2"/>
    <x v="0"/>
    <b v="0"/>
    <s v="No está en VPC"/>
    <n v="866"/>
    <s v="INTPG_VPC_861_1.42_866_1.42"/>
    <s v="ISEL-1.42"/>
    <n v="1"/>
    <s v="NO TIENE L3OUT"/>
    <n v="8"/>
    <n v="54"/>
  </r>
  <r>
    <n v="862"/>
    <x v="2"/>
    <x v="96"/>
    <s v="eth1/42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42"/>
    <x v="0"/>
    <x v="0"/>
    <x v="0"/>
    <s v="LINK_TO_ITHFHWCRMPLCN168 / Slot1.2_38 / Principal"/>
    <x v="0"/>
    <b v="0"/>
    <s v="No está en VPC"/>
    <n v="855"/>
    <s v="INTPG_ACC_855_1.42"/>
    <s v="ISEL-1.42"/>
    <n v="2"/>
    <s v="NO TIENE L3OUT"/>
    <n v="254"/>
    <n v="54"/>
  </r>
  <r>
    <n v="871"/>
    <x v="2"/>
    <x v="98"/>
    <s v="eth1/42"/>
    <x v="0"/>
    <x v="0"/>
    <x v="0"/>
    <s v="To_ITHFHWCRMDLCN67_Principal"/>
    <x v="0"/>
    <b v="0"/>
    <s v="No está en VPC"/>
    <n v="871"/>
    <s v="INTPG_ACC_871_1.42"/>
    <s v="ISEL-1.42"/>
    <n v="1"/>
    <s v="NO TIENE L3OUT"/>
    <n v="246"/>
    <n v="54"/>
  </r>
  <r>
    <n v="841"/>
    <x v="2"/>
    <x v="99"/>
    <s v="eth1/42"/>
    <x v="0"/>
    <x v="0"/>
    <x v="0"/>
    <s v="LINK_TO_ITHFHWCBSPSHD28 / Slot7.2_20 / Redundante"/>
    <x v="0"/>
    <b v="0"/>
    <s v="No está en VPC"/>
    <n v="841"/>
    <s v="INTPG_VPC_836_1.42_841_1.42"/>
    <s v="ISEL-1.42"/>
    <n v="1"/>
    <s v="NO TIENE L3OUT"/>
    <n v="0"/>
    <n v="54"/>
  </r>
  <r>
    <n v="868"/>
    <x v="2"/>
    <x v="100"/>
    <s v="eth1/42"/>
    <x v="0"/>
    <x v="0"/>
    <x v="0"/>
    <s v="To_ITHFHWCRMDLCN67_Redundante"/>
    <x v="0"/>
    <b v="0"/>
    <s v="No está en VPC"/>
    <n v="868"/>
    <s v="INTPG_ACC_868_1.42"/>
    <s v="ISEL-1.42"/>
    <n v="1"/>
    <s v="NO TIENE L3OUT"/>
    <n v="246"/>
    <n v="54"/>
  </r>
  <r>
    <n v="869"/>
    <x v="2"/>
    <x v="101"/>
    <s v="eth1/42"/>
    <x v="0"/>
    <x v="0"/>
    <x v="0"/>
    <s v="TO_ITHFHWCRMDLCN51_Redundante"/>
    <x v="0"/>
    <b v="0"/>
    <s v="No está en VPC"/>
    <n v="869"/>
    <s v="INTPG_ACC_869_1.42"/>
    <s v="ISEL-1.42"/>
    <n v="6"/>
    <s v="NO TIENE L3OUT"/>
    <n v="288"/>
    <n v="54"/>
  </r>
  <r>
    <n v="861"/>
    <x v="2"/>
    <x v="102"/>
    <s v="eth1/42"/>
    <x v="0"/>
    <x v="0"/>
    <x v="0"/>
    <s v="To_VPC_2DCBSD_WR35_2"/>
    <x v="0"/>
    <b v="0"/>
    <s v="No está en VPC"/>
    <n v="861"/>
    <s v="INTPG_VPC_861_1.42_866_1.42"/>
    <s v="ISEL-1.42"/>
    <n v="1"/>
    <s v="NO TIENE L3OUT"/>
    <n v="8"/>
    <n v="54"/>
  </r>
  <r>
    <n v="874"/>
    <x v="2"/>
    <x v="103"/>
    <s v="eth1/42"/>
    <x v="0"/>
    <x v="0"/>
    <x v="0"/>
    <s v="A_ITHFHWSEQLCAS17_Redundante"/>
    <x v="4"/>
    <b v="0"/>
    <s v="No está en VPC"/>
    <n v="874"/>
    <s v="INTPG_ACC_874_1.42"/>
    <s v="ISEL-1.42"/>
    <n v="1"/>
    <s v="NO TIENE L3OUT"/>
    <n v="92"/>
    <n v="54"/>
  </r>
  <r>
    <n v="865"/>
    <x v="2"/>
    <x v="104"/>
    <s v="eth1/42"/>
    <x v="0"/>
    <x v="0"/>
    <x v="0"/>
    <s v="To_VPC_2DCBSD_WR39_3"/>
    <x v="0"/>
    <b v="0"/>
    <s v="No está en VPC"/>
    <n v="865"/>
    <s v="INTPG_VPC_860_1.42_865_1.42"/>
    <s v="ISEL-1.42"/>
    <n v="1"/>
    <s v="NO TIENE L3OUT"/>
    <n v="0"/>
    <n v="54"/>
  </r>
  <r>
    <n v="753"/>
    <x v="2"/>
    <x v="105"/>
    <s v="eth1/42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42"/>
    <x v="0"/>
    <x v="1"/>
    <x v="3"/>
    <m/>
    <x v="0"/>
    <b v="0"/>
    <s v="No está en VPC"/>
    <n v="708"/>
    <s v="NO EXISTE PG"/>
    <s v="NO EXISTE ISEL"/>
    <n v="0"/>
    <s v="NO TIENE L3OUT"/>
    <n v="0"/>
    <n v="54"/>
  </r>
  <r>
    <n v="710"/>
    <x v="2"/>
    <x v="107"/>
    <s v="eth1/42"/>
    <x v="1"/>
    <x v="1"/>
    <x v="3"/>
    <m/>
    <x v="0"/>
    <b v="0"/>
    <s v="No está en VPC"/>
    <n v="710"/>
    <s v="NO EXISTE PG"/>
    <s v="NO EXISTE ISEL"/>
    <n v="0"/>
    <s v="NO TIENE L3OUT"/>
    <n v="16"/>
    <n v="54"/>
  </r>
  <r>
    <n v="713"/>
    <x v="2"/>
    <x v="108"/>
    <s v="eth1/42"/>
    <x v="1"/>
    <x v="1"/>
    <x v="3"/>
    <m/>
    <x v="0"/>
    <b v="0"/>
    <s v="No está en VPC"/>
    <n v="713"/>
    <s v="NO EXISTE PG"/>
    <s v="NO EXISTE ISEL"/>
    <n v="0"/>
    <s v="NO TIENE L3OUT"/>
    <n v="32"/>
    <n v="54"/>
  </r>
  <r>
    <n v="735"/>
    <x v="2"/>
    <x v="109"/>
    <s v="eth1/42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42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42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42"/>
    <x v="1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42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42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42"/>
    <x v="0"/>
    <x v="0"/>
    <x v="0"/>
    <s v="LINK_TO_ITHFHWCBSDSWR20 /Slot4.2 /Principal"/>
    <x v="0"/>
    <b v="0"/>
    <s v="No está en VPC"/>
    <n v="826"/>
    <s v="INTPG_VPC_826_1.42_830_1.42"/>
    <s v="ISEL-1.42"/>
    <n v="1"/>
    <s v="NO TIENE L3OUT"/>
    <n v="12"/>
    <n v="54"/>
  </r>
  <r>
    <n v="726"/>
    <x v="2"/>
    <x v="117"/>
    <s v="eth1/42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42"/>
    <x v="0"/>
    <x v="1"/>
    <x v="1"/>
    <m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42"/>
    <x v="1"/>
    <x v="1"/>
    <x v="3"/>
    <m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42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42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42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42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42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42"/>
    <x v="0"/>
    <x v="1"/>
    <x v="3"/>
    <m/>
    <x v="0"/>
    <b v="0"/>
    <s v="No está en VPC"/>
    <n v="709"/>
    <s v="NO EXISTE PG"/>
    <s v="NO EXISTE ISEL"/>
    <n v="0"/>
    <s v="NO TIENE L3OUT"/>
    <n v="0"/>
    <n v="54"/>
  </r>
  <r>
    <n v="454"/>
    <x v="1"/>
    <x v="126"/>
    <s v="eth1/42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42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42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42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42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42"/>
    <x v="0"/>
    <x v="1"/>
    <x v="1"/>
    <m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42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42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42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42"/>
    <x v="0"/>
    <x v="1"/>
    <x v="3"/>
    <m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42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42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42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42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42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42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42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42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42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42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42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42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42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42"/>
    <x v="1"/>
    <x v="1"/>
    <x v="3"/>
    <m/>
    <x v="0"/>
    <b v="0"/>
    <s v="No está en VPC"/>
    <n v="781"/>
    <s v="NO EXISTE PG"/>
    <s v="NO EXISTE ISEL"/>
    <n v="0"/>
    <s v="NO TIENE L3OUT"/>
    <n v="26"/>
    <n v="54"/>
  </r>
  <r>
    <n v="793"/>
    <x v="2"/>
    <x v="151"/>
    <s v="eth1/42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42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42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42"/>
    <x v="1"/>
    <x v="1"/>
    <x v="3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42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42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42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42"/>
    <x v="0"/>
    <x v="1"/>
    <x v="1"/>
    <m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42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42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42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42"/>
    <x v="0"/>
    <x v="0"/>
    <x v="0"/>
    <s v="LINK_TO_ITHFHWCBSDSWR20 /Slot6.2 /Redundante"/>
    <x v="0"/>
    <b v="0"/>
    <s v="No está en VPC"/>
    <n v="830"/>
    <s v="INTPG_VPC_826_1.42_830_1.42"/>
    <s v="ISEL-1.42"/>
    <n v="1"/>
    <s v="NO TIENE L3OUT"/>
    <n v="12"/>
    <n v="54"/>
  </r>
  <r>
    <n v="821"/>
    <x v="2"/>
    <x v="163"/>
    <s v="eth1/42"/>
    <x v="0"/>
    <x v="0"/>
    <x v="0"/>
    <s v="LINK_TO_ITHFHWCBSPSWR20 /Slot6.2 /Redundante"/>
    <x v="0"/>
    <b v="0"/>
    <s v="No está en VPC"/>
    <n v="821"/>
    <s v="INTPG_VPC_816_1.42_821_1.42"/>
    <s v="ISEL-1.42"/>
    <n v="1"/>
    <s v="NO TIENE L3OUT"/>
    <n v="0"/>
    <n v="54"/>
  </r>
  <r>
    <n v="738"/>
    <x v="2"/>
    <x v="164"/>
    <s v="eth1/42"/>
    <x v="0"/>
    <x v="1"/>
    <x v="1"/>
    <m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42"/>
    <x v="0"/>
    <x v="1"/>
    <x v="3"/>
    <m/>
    <x v="0"/>
    <b v="0"/>
    <s v="No está en VPC"/>
    <n v="820"/>
    <s v="NO EXISTE PG"/>
    <s v="NO EXISTE ISEL"/>
    <n v="0"/>
    <s v="NO TIENE L3OUT"/>
    <n v="72"/>
    <n v="54"/>
  </r>
  <r>
    <n v="804"/>
    <x v="2"/>
    <x v="166"/>
    <s v="eth1/42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42"/>
    <x v="0"/>
    <x v="1"/>
    <x v="3"/>
    <m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42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42"/>
    <x v="0"/>
    <x v="0"/>
    <x v="0"/>
    <s v="LINK_TO_ITHFHWCBSDSWR30 /10GE.1 /Principal"/>
    <x v="0"/>
    <b v="0"/>
    <s v="No está en VPC"/>
    <n v="827"/>
    <s v="INTPG_VPC_827_1.42_831_1.42"/>
    <s v="ISEL-1.42"/>
    <n v="1"/>
    <s v="NO TIENE L3OUT"/>
    <n v="14"/>
    <n v="54"/>
  </r>
  <r>
    <n v="809"/>
    <x v="2"/>
    <x v="170"/>
    <s v="eth1/42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42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42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42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42"/>
    <x v="1"/>
    <x v="1"/>
    <x v="3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42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42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42"/>
    <x v="0"/>
    <x v="0"/>
    <x v="0"/>
    <s v="LINK_TO_ITHFHWCRMPLCN114 / Slot7.3_32 / Redundante"/>
    <x v="0"/>
    <b v="0"/>
    <s v="No está en VPC"/>
    <n v="851"/>
    <s v="INTPG_ACC_851_1.42"/>
    <s v="ISEL-1.42"/>
    <n v="1"/>
    <s v="NO TIENE L3OUT"/>
    <n v="282"/>
    <n v="54"/>
  </r>
  <r>
    <n v="798"/>
    <x v="2"/>
    <x v="178"/>
    <s v="eth1/42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42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42"/>
    <x v="0"/>
    <x v="0"/>
    <x v="0"/>
    <s v="LINK_TO_ITHFHWCRMPLCN98 / Slot7.1_28 / Redundante"/>
    <x v="0"/>
    <b v="0"/>
    <s v="No está en VPC"/>
    <n v="852"/>
    <s v="INTPG_ACC_852_1.42"/>
    <s v="ISEL-1.42"/>
    <n v="6"/>
    <s v="NO TIENE L3OUT"/>
    <n v="258"/>
    <n v="54"/>
  </r>
  <r>
    <n v="817"/>
    <x v="2"/>
    <x v="181"/>
    <s v="eth1/42"/>
    <x v="0"/>
    <x v="0"/>
    <x v="0"/>
    <s v="LINK_TO_ITHFHWCBSPSWR27 /Slot4.2 /Principal"/>
    <x v="0"/>
    <b v="0"/>
    <s v="No está en VPC"/>
    <n v="817"/>
    <s v="INTPG_VPC_817_1.42_822_1.42"/>
    <s v="ISEL-1.42"/>
    <n v="1"/>
    <s v="NO TIENE L3OUT"/>
    <n v="0"/>
    <n v="54"/>
  </r>
  <r>
    <n v="832"/>
    <x v="2"/>
    <x v="182"/>
    <s v="eth1/42"/>
    <x v="0"/>
    <x v="0"/>
    <x v="0"/>
    <s v="To_ITHFHWCRMDLCN41_Redundante"/>
    <x v="0"/>
    <b v="0"/>
    <s v="No está en VPC"/>
    <n v="832"/>
    <s v="INTPG_ACC_832_1.42"/>
    <s v="ISEL-1.42"/>
    <n v="6"/>
    <s v="NO TIENE L3OUT"/>
    <n v="192"/>
    <n v="54"/>
  </r>
  <r>
    <n v="816"/>
    <x v="2"/>
    <x v="183"/>
    <s v="eth1/42"/>
    <x v="0"/>
    <x v="0"/>
    <x v="0"/>
    <s v="LINK_TO_ITHFHWCBSPSWR20 /Slot4.2 /Principal"/>
    <x v="0"/>
    <b v="0"/>
    <s v="No está en VPC"/>
    <n v="816"/>
    <s v="INTPG_VPC_816_1.42_821_1.42"/>
    <s v="ISEL-1.42"/>
    <n v="1"/>
    <s v="NO TIENE L3OUT"/>
    <n v="0"/>
    <n v="54"/>
  </r>
  <r>
    <n v="825"/>
    <x v="2"/>
    <x v="184"/>
    <s v="eth1/42"/>
    <x v="0"/>
    <x v="1"/>
    <x v="3"/>
    <m/>
    <x v="0"/>
    <b v="0"/>
    <s v="No está en VPC"/>
    <n v="825"/>
    <s v="NO EXISTE PG"/>
    <s v="NO EXISTE ISEL"/>
    <n v="0"/>
    <s v="NO TIENE L3OUT"/>
    <n v="72"/>
    <n v="54"/>
  </r>
  <r>
    <n v="800"/>
    <x v="2"/>
    <x v="185"/>
    <s v="eth1/42"/>
    <x v="0"/>
    <x v="0"/>
    <x v="0"/>
    <s v="TO-ITHFDEVDICL01ESX03"/>
    <x v="0"/>
    <b v="0"/>
    <s v="No está en VPC"/>
    <n v="800"/>
    <s v="INTPG_VPC_800_1.42_801_1.42"/>
    <s v="ISEL-1.42"/>
    <n v="6"/>
    <s v="NO TIENE L3OUT"/>
    <n v="78"/>
    <n v="54"/>
  </r>
  <r>
    <n v="801"/>
    <x v="2"/>
    <x v="186"/>
    <s v="eth1/42"/>
    <x v="0"/>
    <x v="0"/>
    <x v="0"/>
    <s v="TO-ITHFDEVDICL01ESX03"/>
    <x v="0"/>
    <b v="0"/>
    <s v="No está en VPC"/>
    <n v="801"/>
    <s v="INTPG_VPC_800_1.42_801_1.42"/>
    <s v="ISEL-1.42"/>
    <n v="6"/>
    <s v="NO TIENE L3OUT"/>
    <n v="78"/>
    <n v="54"/>
  </r>
  <r>
    <n v="823"/>
    <x v="2"/>
    <x v="187"/>
    <s v="eth1/42"/>
    <x v="0"/>
    <x v="0"/>
    <x v="0"/>
    <s v="LINK_TO_ITHFHWCBSPSWR38 /Slot5.1 /Redundante"/>
    <x v="0"/>
    <b v="0"/>
    <s v="No está en VPC"/>
    <n v="823"/>
    <s v="INTPG_VPC_818_1.42_823_1.42"/>
    <s v="ISEL-1.42"/>
    <n v="1"/>
    <s v="NO TIENE L3OUT"/>
    <n v="8"/>
    <n v="54"/>
  </r>
  <r>
    <n v="837"/>
    <x v="2"/>
    <x v="188"/>
    <s v="eth1/42"/>
    <x v="0"/>
    <x v="0"/>
    <x v="0"/>
    <s v="LINK_To_ITHFHWCBSPSHD22 / Slot1.1_20 / Principal"/>
    <x v="0"/>
    <b v="0"/>
    <s v="No está en VPC"/>
    <n v="837"/>
    <s v="INTPG_VPC_837_1.42_842_1.42"/>
    <s v="ISEL-1.42"/>
    <n v="2"/>
    <s v="NO TIENE L3OUT"/>
    <n v="8"/>
    <n v="54"/>
  </r>
  <r>
    <n v="867"/>
    <x v="2"/>
    <x v="189"/>
    <s v="eth1/42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42"/>
    <x v="0"/>
    <x v="0"/>
    <x v="0"/>
    <s v="To_VPC_2DCRMD_SBD05_1_Principal"/>
    <x v="0"/>
    <b v="0"/>
    <s v="No está en VPC"/>
    <n v="829"/>
    <s v="INTPG_VPC_829_1.42_833_1.42"/>
    <s v="ISEL-1.42"/>
    <n v="6"/>
    <s v="NO TIENE L3OUT"/>
    <n v="224"/>
    <n v="54"/>
  </r>
  <r>
    <n v="831"/>
    <x v="2"/>
    <x v="191"/>
    <s v="eth1/42"/>
    <x v="0"/>
    <x v="0"/>
    <x v="0"/>
    <s v="LINK_TO_ITHFHWCBSDSWR30 /Slot5.1 /Redundante"/>
    <x v="0"/>
    <b v="0"/>
    <s v="No está en VPC"/>
    <n v="831"/>
    <s v="INTPG_VPC_827_1.42_831_1.42"/>
    <s v="ISEL-1.42"/>
    <n v="1"/>
    <s v="NO TIENE L3OUT"/>
    <n v="14"/>
    <n v="54"/>
  </r>
  <r>
    <n v="802"/>
    <x v="2"/>
    <x v="192"/>
    <s v="eth1/42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42"/>
    <x v="0"/>
    <x v="0"/>
    <x v="0"/>
    <s v="LINK_TO_ITHFHWCBSPSHD36 / Slot1.2_24 / Principal"/>
    <x v="0"/>
    <b v="0"/>
    <s v="No está en VPC"/>
    <n v="835"/>
    <s v="INTPG_VPC_835_1.42_840_1.42"/>
    <s v="ISEL-1.42"/>
    <n v="1"/>
    <s v="NO TIENE L3OUT"/>
    <n v="8"/>
    <n v="54"/>
  </r>
  <r>
    <n v="822"/>
    <x v="2"/>
    <x v="194"/>
    <s v="eth1/42"/>
    <x v="0"/>
    <x v="0"/>
    <x v="0"/>
    <s v="LINK_TO_ITHFHWCBSPSWR27 /Slot6.2 /Redundante"/>
    <x v="0"/>
    <b v="0"/>
    <s v="No está en VPC"/>
    <n v="822"/>
    <s v="INTPG_VPC_817_1.42_822_1.42"/>
    <s v="ISEL-1.42"/>
    <n v="1"/>
    <s v="NO TIENE L3OUT"/>
    <n v="0"/>
    <n v="54"/>
  </r>
  <r>
    <n v="854"/>
    <x v="2"/>
    <x v="195"/>
    <s v="eth1/42"/>
    <x v="0"/>
    <x v="0"/>
    <x v="0"/>
    <s v="LINK_TO_ITHFHWCRMPSBDP11 / Slot1.2_6 / Principal"/>
    <x v="0"/>
    <b v="0"/>
    <s v="No está en VPC"/>
    <n v="854"/>
    <s v="INTPG_VPC_854_1.42_847_1.42"/>
    <s v="ISEL-1.42"/>
    <n v="2"/>
    <s v="NO TIENE L3OUT"/>
    <n v="204"/>
    <n v="54"/>
  </r>
  <r>
    <n v="858"/>
    <x v="2"/>
    <x v="196"/>
    <s v="eth1/42"/>
    <x v="0"/>
    <x v="0"/>
    <x v="0"/>
    <s v="To_VPC_2DCBSD_WR58_3"/>
    <x v="0"/>
    <b v="0"/>
    <s v="No está en VPC"/>
    <n v="858"/>
    <s v="INTPG_VPC_858_1.42_863_1.42"/>
    <s v="ISEL-1.42"/>
    <n v="1"/>
    <s v="NO TIENE L3OUT"/>
    <n v="8"/>
    <n v="54"/>
  </r>
  <r>
    <n v="857"/>
    <x v="2"/>
    <x v="197"/>
    <s v="eth1/42"/>
    <x v="0"/>
    <x v="0"/>
    <x v="0"/>
    <s v="LINKT_TO_ITHFHWCRMPLCN129 / Slot1.2_28 / Principal"/>
    <x v="0"/>
    <b v="0"/>
    <s v="No está en VPC"/>
    <n v="857"/>
    <s v="INTPG_ACC_857_1.42"/>
    <s v="ISEL-1.42"/>
    <n v="2"/>
    <s v="NO TIENE L3OUT"/>
    <n v="288"/>
    <n v="54"/>
  </r>
  <r>
    <n v="859"/>
    <x v="2"/>
    <x v="198"/>
    <s v="eth1/42"/>
    <x v="0"/>
    <x v="0"/>
    <x v="0"/>
    <s v="To_VPC_2DCBSD_WR49_3"/>
    <x v="0"/>
    <b v="0"/>
    <s v="No está en VPC"/>
    <n v="859"/>
    <s v="INTPG_VPC_859_1.42_864_1.42"/>
    <s v="ISEL-1.42"/>
    <n v="1"/>
    <s v="NO TIENE L3OUT"/>
    <n v="0"/>
    <n v="54"/>
  </r>
  <r>
    <n v="833"/>
    <x v="2"/>
    <x v="199"/>
    <s v="eth1/42"/>
    <x v="0"/>
    <x v="0"/>
    <x v="0"/>
    <s v="To_VPC_2DCRMD_SBD05_1_Principal"/>
    <x v="0"/>
    <b v="0"/>
    <s v="No está en VPC"/>
    <n v="833"/>
    <s v="INTPG_VPC_829_1.42_833_1.42"/>
    <s v="ISEL-1.42"/>
    <n v="6"/>
    <s v="NO TIENE L3OUT"/>
    <n v="224"/>
    <n v="54"/>
  </r>
  <r>
    <n v="818"/>
    <x v="2"/>
    <x v="200"/>
    <s v="eth1/42"/>
    <x v="0"/>
    <x v="0"/>
    <x v="0"/>
    <s v="LINK_TO_ITHFHWCBSPSWR38 /10GE.1 /Principal"/>
    <x v="0"/>
    <b v="0"/>
    <s v="No está en VPC"/>
    <n v="818"/>
    <s v="INTPG_VPC_818_1.42_823_1.42"/>
    <s v="ISEL-1.42"/>
    <n v="1"/>
    <s v="NO TIENE L3OUT"/>
    <n v="8"/>
    <n v="54"/>
  </r>
  <r>
    <n v="850"/>
    <x v="2"/>
    <x v="201"/>
    <s v="eth1/42"/>
    <x v="0"/>
    <x v="0"/>
    <x v="0"/>
    <s v="LINKT_TO_ITHFHWCRMPLCN129 / Slot7.2_28 / Redundante"/>
    <x v="0"/>
    <b v="0"/>
    <s v="No está en VPC"/>
    <n v="850"/>
    <s v="INTPG_ACC_850_1.42"/>
    <s v="ISEL-1.42"/>
    <n v="2"/>
    <s v="NO TIENE L3OUT"/>
    <n v="288"/>
    <n v="54"/>
  </r>
  <r>
    <n v="860"/>
    <x v="2"/>
    <x v="202"/>
    <s v="eth1/42"/>
    <x v="0"/>
    <x v="0"/>
    <x v="0"/>
    <s v="To_VPC_2DCBSD_WR39_3"/>
    <x v="0"/>
    <b v="0"/>
    <s v="No está en VPC"/>
    <n v="860"/>
    <s v="INTPG_VPC_860_1.42_865_1.42"/>
    <s v="ISEL-1.42"/>
    <n v="1"/>
    <s v="NO TIENE L3OUT"/>
    <n v="0"/>
    <n v="54"/>
  </r>
  <r>
    <n v="853"/>
    <x v="2"/>
    <x v="203"/>
    <s v="eth1/42"/>
    <x v="0"/>
    <x v="0"/>
    <x v="0"/>
    <s v="LINK_TO_ITHFHWCRMPLCN85 / Slot7.3_28 / Redundante"/>
    <x v="0"/>
    <b v="0"/>
    <s v="No está en VPC"/>
    <n v="853"/>
    <s v="INTPG_ACC_853_1.42"/>
    <s v="ISEL-1.42"/>
    <n v="1"/>
    <s v="NO TIENE L3OUT"/>
    <n v="242"/>
    <n v="54"/>
  </r>
  <r>
    <n v="790"/>
    <x v="2"/>
    <x v="204"/>
    <s v="eth1/42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42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42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42"/>
    <x v="0"/>
    <x v="1"/>
    <x v="1"/>
    <s v="CFD"/>
    <x v="6"/>
    <b v="0"/>
    <s v="No está en VPC"/>
    <n v="104"/>
    <s v="INTPG_ACC_104_1.42"/>
    <s v="ISEL-1.42"/>
    <n v="1"/>
    <s v="NO TIENE L3OUT"/>
    <n v="194"/>
    <n v="96"/>
  </r>
  <r>
    <n v="158"/>
    <x v="0"/>
    <x v="208"/>
    <s v="eth1/42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42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42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42"/>
    <x v="0"/>
    <x v="0"/>
    <x v="0"/>
    <s v="EMS_TEKELEC"/>
    <x v="6"/>
    <b v="0"/>
    <s v="No está en VPC"/>
    <n v="108"/>
    <s v="INTPG_ACC_108_1.42"/>
    <s v="ISEL-1.42"/>
    <n v="1"/>
    <s v="NO TIENE L3OUT"/>
    <n v="126"/>
    <n v="96"/>
  </r>
  <r>
    <n v="112"/>
    <x v="0"/>
    <x v="212"/>
    <s v="eth1/42"/>
    <x v="0"/>
    <x v="0"/>
    <x v="0"/>
    <s v="ASAP"/>
    <x v="6"/>
    <b v="0"/>
    <s v="No está en VPC"/>
    <n v="112"/>
    <s v="INTPG_ACC_112_1.42"/>
    <s v="ISEL-1.42"/>
    <n v="1"/>
    <s v="NO TIENE L3OUT"/>
    <n v="144"/>
    <n v="96"/>
  </r>
  <r>
    <n v="107"/>
    <x v="0"/>
    <x v="213"/>
    <s v="eth1/42"/>
    <x v="0"/>
    <x v="0"/>
    <x v="0"/>
    <m/>
    <x v="6"/>
    <b v="0"/>
    <s v="No está en VPC"/>
    <n v="107"/>
    <s v="INTPG_ACC_107_1.42"/>
    <s v="ISEL-1.42"/>
    <n v="1"/>
    <s v="NO TIENE L3OUT"/>
    <n v="118"/>
    <n v="96"/>
  </r>
  <r>
    <n v="109"/>
    <x v="0"/>
    <x v="214"/>
    <s v="eth1/42"/>
    <x v="0"/>
    <x v="0"/>
    <x v="0"/>
    <m/>
    <x v="6"/>
    <b v="0"/>
    <s v="No está en VPC"/>
    <n v="109"/>
    <s v="INTPG_ACC_109_1.42"/>
    <s v="ISEL-1.42"/>
    <n v="1"/>
    <s v="NO TIENE L3OUT"/>
    <n v="126"/>
    <n v="96"/>
  </r>
  <r>
    <n v="113"/>
    <x v="0"/>
    <x v="215"/>
    <s v="eth1/42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42"/>
    <x v="0"/>
    <x v="0"/>
    <x v="0"/>
    <s v="DCX3-6"/>
    <x v="6"/>
    <b v="0"/>
    <s v="No está en VPC"/>
    <n v="114"/>
    <s v="INTPG_ACC_114_1.42"/>
    <s v="ISEL-1.42"/>
    <n v="1"/>
    <s v="NO TIENE L3OUT"/>
    <n v="144"/>
    <n v="96"/>
  </r>
  <r>
    <n v="124"/>
    <x v="0"/>
    <x v="217"/>
    <s v="eth1/42"/>
    <x v="0"/>
    <x v="0"/>
    <x v="0"/>
    <s v="MONITOREO DE SWITCHS EXTREME OSS EN SPECTRUM"/>
    <x v="6"/>
    <b v="0"/>
    <s v="No está en VPC"/>
    <n v="124"/>
    <s v="INTPG_ACC_124_1.42"/>
    <s v="ISEL-1.42"/>
    <n v="1"/>
    <s v="NO TIENE L3OUT"/>
    <n v="80"/>
    <n v="96"/>
  </r>
  <r>
    <n v="118"/>
    <x v="0"/>
    <x v="218"/>
    <s v="eth1/42"/>
    <x v="1"/>
    <x v="1"/>
    <x v="2"/>
    <s v="INGE6"/>
    <x v="6"/>
    <b v="0"/>
    <s v="No está en VPC"/>
    <n v="118"/>
    <s v="INTPG_ACC_118_1.42"/>
    <s v="ISEL-1.42"/>
    <n v="1"/>
    <s v="NO TIENE L3OUT"/>
    <n v="180"/>
    <n v="96"/>
  </r>
  <r>
    <n v="159"/>
    <x v="0"/>
    <x v="219"/>
    <s v="eth1/42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42"/>
    <x v="0"/>
    <x v="0"/>
    <x v="0"/>
    <s v="LINK_TO_ITHFHWCBSPSHD36 / Slot7.2_24 / Redundante"/>
    <x v="0"/>
    <b v="0"/>
    <s v="No está en VPC"/>
    <n v="840"/>
    <s v="INTPG_VPC_835_1.42_840_1.42"/>
    <s v="ISEL-1.42"/>
    <n v="1"/>
    <s v="NO TIENE L3OUT"/>
    <n v="8"/>
    <n v="54"/>
  </r>
  <r>
    <n v="856"/>
    <x v="2"/>
    <x v="221"/>
    <s v="eth1/42"/>
    <x v="0"/>
    <x v="0"/>
    <x v="0"/>
    <s v="LINK_TO_ITHFHWCRMPLCN148 / Slot1.2_30 / Principal"/>
    <x v="0"/>
    <b v="0"/>
    <s v="No está en VPC"/>
    <n v="856"/>
    <s v="INTPG_ACC_856_1.42"/>
    <s v="ISEL-1.42"/>
    <n v="2"/>
    <s v="NO TIENE L3OUT"/>
    <n v="286"/>
    <n v="54"/>
  </r>
  <r>
    <n v="110"/>
    <x v="0"/>
    <x v="222"/>
    <s v="eth1/42"/>
    <x v="0"/>
    <x v="0"/>
    <x v="0"/>
    <s v="SUN6900_E25K"/>
    <x v="6"/>
    <b v="0"/>
    <s v="No está en VPC"/>
    <n v="110"/>
    <s v="INTPG_ACC_110_1.42"/>
    <s v="ISEL-1.42"/>
    <n v="1"/>
    <s v="NO TIENE L3OUT"/>
    <n v="102"/>
    <n v="96"/>
  </r>
  <r>
    <n v="163"/>
    <x v="0"/>
    <x v="223"/>
    <s v="eth1/42"/>
    <x v="0"/>
    <x v="1"/>
    <x v="5"/>
    <s v="desc"/>
    <x v="6"/>
    <b v="0"/>
    <s v="No está en VPC"/>
    <n v="163"/>
    <s v="INTPG_VPC_161_1.37_163_1.42"/>
    <s v="ISEL-1.42"/>
    <n v="1"/>
    <s v="NO TIENE L3OUT"/>
    <n v="140"/>
    <n v="96"/>
  </r>
  <r>
    <n v="407"/>
    <x v="1"/>
    <x v="224"/>
    <s v="eth1/42"/>
    <x v="0"/>
    <x v="0"/>
    <x v="0"/>
    <s v="Uxorbi _ilo"/>
    <x v="6"/>
    <b v="0"/>
    <s v="No está en VPC"/>
    <n v="407"/>
    <s v="INTPG_ACC_407_1.42"/>
    <s v="ISEL-1.42"/>
    <n v="1"/>
    <s v="NO TIENE L3OUT"/>
    <n v="122"/>
    <n v="96"/>
  </r>
  <r>
    <n v="171"/>
    <x v="0"/>
    <x v="225"/>
    <s v="eth1/42"/>
    <x v="0"/>
    <x v="0"/>
    <x v="0"/>
    <s v="HP_Performance_Insight"/>
    <x v="6"/>
    <b v="0"/>
    <s v="No está en VPC"/>
    <n v="171"/>
    <s v="INTPG_ACC_171_1.42"/>
    <s v="ISEL-1.42"/>
    <n v="1"/>
    <s v="NO TIENE L3OUT"/>
    <n v="114"/>
    <n v="96"/>
  </r>
  <r>
    <n v="421"/>
    <x v="1"/>
    <x v="226"/>
    <s v="eth1/42"/>
    <x v="0"/>
    <x v="0"/>
    <x v="0"/>
    <s v="VTA_F5_eth2"/>
    <x v="6"/>
    <b v="0"/>
    <s v="No está en VPC"/>
    <n v="421"/>
    <s v="INTPG_ACC_421_1.42"/>
    <s v="ISEL-1.42"/>
    <n v="1"/>
    <s v="NO TIENE L3OUT"/>
    <n v="72"/>
    <n v="96"/>
  </r>
  <r>
    <n v="173"/>
    <x v="0"/>
    <x v="227"/>
    <s v="eth1/42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42"/>
    <x v="0"/>
    <x v="0"/>
    <x v="0"/>
    <s v="TO-ITHAX450006-PRINCIPAL"/>
    <x v="6"/>
    <b v="0"/>
    <s v="No está en VPC"/>
    <n v="154"/>
    <s v="INTPG_ACC_154_1.42"/>
    <s v="ISEL-1.42"/>
    <n v="1"/>
    <s v="NO TIENE L3OUT"/>
    <n v="62"/>
    <n v="96"/>
  </r>
  <r>
    <n v="172"/>
    <x v="0"/>
    <x v="229"/>
    <s v="eth1/42"/>
    <x v="0"/>
    <x v="0"/>
    <x v="0"/>
    <s v="SRS (Speedy Rating System)"/>
    <x v="6"/>
    <b v="0"/>
    <s v="No está en VPC"/>
    <n v="172"/>
    <s v="INTPG_ACC_172_1.42"/>
    <s v="ISEL-1.42"/>
    <n v="1"/>
    <s v="NO TIENE L3OUT"/>
    <n v="104"/>
    <n v="96"/>
  </r>
  <r>
    <n v="420"/>
    <x v="1"/>
    <x v="230"/>
    <s v="eth1/42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42"/>
    <x v="0"/>
    <x v="0"/>
    <x v="0"/>
    <s v="SPECSERVER2_ILOM"/>
    <x v="6"/>
    <b v="0"/>
    <s v="No está en VPC"/>
    <n v="423"/>
    <s v="INTPG_ACC_423_1.42"/>
    <s v="ISEL-1.42"/>
    <n v="1"/>
    <s v="NO TIENE L3OUT"/>
    <n v="86"/>
    <n v="96"/>
  </r>
  <r>
    <n v="415"/>
    <x v="1"/>
    <x v="232"/>
    <s v="eth1/42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42"/>
    <x v="1"/>
    <x v="1"/>
    <x v="2"/>
    <s v="IXTLA4_VC1:VMTLCLAMX5:VC1  X2"/>
    <x v="6"/>
    <b v="0"/>
    <s v="No está en VPC"/>
    <n v="102"/>
    <s v="INTPG_PC_102_1.41-48"/>
    <s v="ISEL-1.42"/>
    <n v="0"/>
    <s v="NO TIENE L3OUT"/>
    <n v="228"/>
    <n v="96"/>
  </r>
  <r>
    <n v="863"/>
    <x v="2"/>
    <x v="234"/>
    <s v="eth1/42"/>
    <x v="0"/>
    <x v="0"/>
    <x v="0"/>
    <s v="To_VPC_2DCBSD_WR58_3"/>
    <x v="0"/>
    <b v="0"/>
    <s v="No está en VPC"/>
    <n v="863"/>
    <s v="INTPG_VPC_858_1.42_863_1.42"/>
    <s v="ISEL-1.42"/>
    <n v="1"/>
    <s v="NO TIENE L3OUT"/>
    <n v="8"/>
    <n v="54"/>
  </r>
  <r>
    <n v="876"/>
    <x v="2"/>
    <x v="235"/>
    <s v="eth1/42"/>
    <x v="0"/>
    <x v="0"/>
    <x v="0"/>
    <s v="A_ITHFHWSEQLCAS17_Principal"/>
    <x v="4"/>
    <b v="0"/>
    <s v="No está en VPC"/>
    <n v="876"/>
    <s v="INTPG_ACC_876_1.42"/>
    <s v="ISEL-1.42"/>
    <n v="1"/>
    <s v="NO TIENE L3OUT"/>
    <n v="92"/>
    <n v="54"/>
  </r>
  <r>
    <n v="877"/>
    <x v="2"/>
    <x v="236"/>
    <s v="eth1/42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42"/>
    <x v="0"/>
    <x v="0"/>
    <x v="0"/>
    <s v="Registro Nacional de Celulares"/>
    <x v="6"/>
    <b v="0"/>
    <s v="No está en VPC"/>
    <n v="122"/>
    <s v="INTPG_ACC_122_1.42"/>
    <s v="ISEL-1.42"/>
    <n v="1"/>
    <s v="NO TIENE L3OUT"/>
    <n v="148"/>
    <n v="96"/>
  </r>
  <r>
    <n v="157"/>
    <x v="0"/>
    <x v="238"/>
    <s v="eth1/42"/>
    <x v="0"/>
    <x v="0"/>
    <x v="0"/>
    <s v="IXT08PP"/>
    <x v="6"/>
    <b v="0"/>
    <s v="No está en VPC"/>
    <n v="157"/>
    <s v="INTPG_ACC_157_1.42"/>
    <s v="ISEL-1.42"/>
    <n v="0"/>
    <s v="L3OUT-SNA-IXT08PP-BGP"/>
    <n v="202"/>
    <n v="96"/>
  </r>
  <r>
    <n v="408"/>
    <x v="1"/>
    <x v="239"/>
    <s v="eth1/42"/>
    <x v="0"/>
    <x v="0"/>
    <x v="0"/>
    <s v="HNMP101A"/>
    <x v="6"/>
    <b v="0"/>
    <s v="No está en VPC"/>
    <n v="408"/>
    <s v="INTPG_ACC_408_1.42"/>
    <s v="ISEL-1.42"/>
    <n v="1"/>
    <s v="NO TIENE L3OUT"/>
    <n v="152"/>
    <n v="96"/>
  </r>
  <r>
    <n v="405"/>
    <x v="1"/>
    <x v="240"/>
    <s v="eth1/42"/>
    <x v="0"/>
    <x v="0"/>
    <x v="0"/>
    <s v="MEDIACION1-DD"/>
    <x v="6"/>
    <b v="0"/>
    <s v="No está en VPC"/>
    <n v="405"/>
    <s v="INTPG_ACC_405_1.42"/>
    <s v="ISEL-1.42"/>
    <n v="1"/>
    <s v="NO TIENE L3OUT"/>
    <n v="138"/>
    <n v="96"/>
  </r>
  <r>
    <n v="169"/>
    <x v="0"/>
    <x v="241"/>
    <s v="eth1/42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42"/>
    <x v="0"/>
    <x v="0"/>
    <x v="0"/>
    <s v="NOMINA_rhaps1"/>
    <x v="6"/>
    <b v="0"/>
    <s v="No está en VPC"/>
    <n v="165"/>
    <s v="INTPG_ACC_165_1.42"/>
    <s v="ISEL-1.42"/>
    <n v="1"/>
    <s v="NO TIENE L3OUT"/>
    <n v="86"/>
    <n v="96"/>
  </r>
  <r>
    <n v="417"/>
    <x v="1"/>
    <x v="243"/>
    <s v="eth1/42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42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42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42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42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42"/>
    <x v="0"/>
    <x v="0"/>
    <x v="0"/>
    <s v="TC3_ithmomce1_VC2_X3"/>
    <x v="6"/>
    <b v="0"/>
    <s v="No está en VPC"/>
    <n v="438"/>
    <s v="INTPG_ACC_438_1.42"/>
    <s v="ISEL-1.42"/>
    <n v="7"/>
    <s v="NO TIENE L3OUT"/>
    <n v="170"/>
    <n v="96"/>
  </r>
  <r>
    <n v="406"/>
    <x v="1"/>
    <x v="249"/>
    <s v="eth1/42"/>
    <x v="0"/>
    <x v="0"/>
    <x v="0"/>
    <s v="DESC"/>
    <x v="6"/>
    <b v="0"/>
    <s v="No está en VPC"/>
    <n v="406"/>
    <s v="INTPG_PC_406_1.39-42"/>
    <s v="ISEL-1.42"/>
    <n v="4"/>
    <s v="NO TIENE L3OUT"/>
    <n v="82"/>
    <n v="96"/>
  </r>
  <r>
    <n v="414"/>
    <x v="1"/>
    <x v="250"/>
    <s v="eth1/42"/>
    <x v="0"/>
    <x v="0"/>
    <x v="0"/>
    <s v="Exadata2"/>
    <x v="6"/>
    <b v="0"/>
    <s v="No está en VPC"/>
    <n v="414"/>
    <s v="INTPG_ACC_414_1.42"/>
    <s v="ISEL-1.42"/>
    <n v="1"/>
    <s v="NO TIENE L3OUT"/>
    <n v="144"/>
    <n v="96"/>
  </r>
  <r>
    <n v="416"/>
    <x v="1"/>
    <x v="251"/>
    <s v="eth1/42"/>
    <x v="0"/>
    <x v="0"/>
    <x v="0"/>
    <s v="DESC"/>
    <x v="6"/>
    <b v="0"/>
    <s v="No está en VPC"/>
    <n v="416"/>
    <s v="INTPG_PC_416_1.40-45"/>
    <s v="ISEL-1.42"/>
    <n v="7"/>
    <s v="NO TIENE L3OUT"/>
    <n v="110"/>
    <n v="96"/>
  </r>
  <r>
    <n v="418"/>
    <x v="1"/>
    <x v="252"/>
    <s v="eth1/42"/>
    <x v="0"/>
    <x v="0"/>
    <x v="0"/>
    <s v="DESC"/>
    <x v="6"/>
    <b v="0"/>
    <s v="No está en VPC"/>
    <n v="418"/>
    <s v="INTPG_PC_418_1.40-45"/>
    <s v="ISEL-1.42"/>
    <n v="7"/>
    <s v="NO TIENE L3OUT"/>
    <n v="152"/>
    <n v="96"/>
  </r>
  <r>
    <n v="413"/>
    <x v="1"/>
    <x v="253"/>
    <s v="eth1/42"/>
    <x v="0"/>
    <x v="0"/>
    <x v="0"/>
    <s v="To-uxingemc1"/>
    <x v="6"/>
    <b v="0"/>
    <s v="No está en VPC"/>
    <n v="413"/>
    <s v="INTPG_ACC_413_1.42"/>
    <s v="ISEL-1.42"/>
    <n v="1"/>
    <s v="NO TIENE L3OUT"/>
    <n v="126"/>
    <n v="96"/>
  </r>
  <r>
    <n v="403"/>
    <x v="1"/>
    <x v="254"/>
    <s v="eth1/42"/>
    <x v="0"/>
    <x v="0"/>
    <x v="0"/>
    <s v="MEDIACION1-DD"/>
    <x v="6"/>
    <b v="0"/>
    <s v="No está en VPC"/>
    <n v="403"/>
    <s v="INTPG_ACC_403_1.42"/>
    <s v="ISEL-1.42"/>
    <n v="1"/>
    <s v="NO TIENE L3OUT"/>
    <n v="150"/>
    <n v="96"/>
  </r>
  <r>
    <n v="125"/>
    <x v="0"/>
    <x v="255"/>
    <s v="eth1/42"/>
    <x v="0"/>
    <x v="0"/>
    <x v="0"/>
    <s v="DWH_SVA_IBM"/>
    <x v="6"/>
    <b v="0"/>
    <s v="No está en VPC"/>
    <n v="125"/>
    <s v="INTPG_ACC_125_1.42"/>
    <s v="ISEL-1.42"/>
    <n v="1"/>
    <s v="NO TIENE L3OUT"/>
    <n v="72"/>
    <n v="96"/>
  </r>
  <r>
    <n v="166"/>
    <x v="0"/>
    <x v="256"/>
    <s v="eth1/42"/>
    <x v="0"/>
    <x v="0"/>
    <x v="0"/>
    <s v="NOMINA_uxm4web1"/>
    <x v="6"/>
    <b v="0"/>
    <s v="No está en VPC"/>
    <n v="166"/>
    <s v="INTPG_ACC_166_1.42"/>
    <s v="ISEL-1.42"/>
    <n v="1"/>
    <s v="NO TIENE L3OUT"/>
    <n v="84"/>
    <n v="96"/>
  </r>
  <r>
    <n v="111"/>
    <x v="0"/>
    <x v="257"/>
    <s v="eth1/42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42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42"/>
    <x v="0"/>
    <x v="0"/>
    <x v="0"/>
    <m/>
    <x v="6"/>
    <b v="0"/>
    <s v="No está en VPC"/>
    <n v="106"/>
    <s v="INTPG_ACC_106_1.42"/>
    <s v="ISEL-1.42"/>
    <n v="2"/>
    <s v="NO TIENE L3OUT"/>
    <n v="122"/>
    <n v="96"/>
  </r>
  <r>
    <n v="126"/>
    <x v="0"/>
    <x v="260"/>
    <s v="eth1/42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42"/>
    <x v="0"/>
    <x v="0"/>
    <x v="0"/>
    <s v="ITHPA03_eth1_IPMP-Pasiva"/>
    <x v="6"/>
    <b v="0"/>
    <s v="No está en VPC"/>
    <n v="425"/>
    <s v="INTPG_ACC_425_1.42"/>
    <s v="ISEL-1.42"/>
    <n v="1"/>
    <s v="NO TIENE L3OUT"/>
    <n v="86"/>
    <n v="96"/>
  </r>
  <r>
    <n v="151"/>
    <x v="0"/>
    <x v="262"/>
    <s v="eth1/42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42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42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42"/>
    <x v="0"/>
    <x v="1"/>
    <x v="1"/>
    <s v="GESTOR HUAWEI U2000 MW Tx"/>
    <x v="6"/>
    <b v="0"/>
    <s v="No está en VPC"/>
    <n v="155"/>
    <s v="INTPG_ACC_155_1.42"/>
    <s v="ISEL-1.42"/>
    <n v="1"/>
    <s v="NO TIENE L3OUT"/>
    <n v="198"/>
    <n v="96"/>
  </r>
  <r>
    <n v="409"/>
    <x v="1"/>
    <x v="266"/>
    <s v="eth1/42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42"/>
    <x v="0"/>
    <x v="0"/>
    <x v="0"/>
    <s v="ITHRTC4BNB1"/>
    <x v="6"/>
    <b v="0"/>
    <s v="No está en VPC"/>
    <n v="422"/>
    <s v="INTPG_ACC_422_1.42"/>
    <s v="ISEL-1.42"/>
    <n v="1"/>
    <s v="NO TIENE L3OUT"/>
    <n v="182"/>
    <n v="96"/>
  </r>
  <r>
    <n v="436"/>
    <x v="1"/>
    <x v="268"/>
    <s v="eth1/42"/>
    <x v="0"/>
    <x v="0"/>
    <x v="0"/>
    <s v="DESC"/>
    <x v="6"/>
    <b v="0"/>
    <s v="No está en VPC"/>
    <n v="436"/>
    <s v="INTPG_PC_436_1.40-45"/>
    <s v="ISEL-1.42"/>
    <n v="7"/>
    <s v="NO TIENE L3OUT"/>
    <n v="172"/>
    <n v="96"/>
  </r>
  <r>
    <n v="410"/>
    <x v="1"/>
    <x v="269"/>
    <s v="eth1/42"/>
    <x v="0"/>
    <x v="0"/>
    <x v="0"/>
    <s v="Exadata4"/>
    <x v="6"/>
    <b v="0"/>
    <s v="No está en VPC"/>
    <n v="410"/>
    <s v="INTPG_ACC_410_1.42"/>
    <s v="ISEL-1.42"/>
    <n v="1"/>
    <s v="NO TIENE L3OUT"/>
    <n v="178"/>
    <n v="96"/>
  </r>
  <r>
    <n v="161"/>
    <x v="0"/>
    <x v="270"/>
    <s v="eth1/42"/>
    <x v="1"/>
    <x v="1"/>
    <x v="2"/>
    <s v="CELCITE"/>
    <x v="6"/>
    <b v="0"/>
    <s v="No está en VPC"/>
    <n v="161"/>
    <s v="INTPG_ACC_161_1.42"/>
    <s v="ISEL-1.42"/>
    <n v="1"/>
    <s v="NO TIENE L3OUT"/>
    <n v="102"/>
    <n v="96"/>
  </r>
  <r>
    <n v="411"/>
    <x v="1"/>
    <x v="271"/>
    <s v="eth1/42"/>
    <x v="0"/>
    <x v="0"/>
    <x v="0"/>
    <s v="SPIDERNET2"/>
    <x v="6"/>
    <b v="0"/>
    <s v="No está en VPC"/>
    <n v="411"/>
    <s v="INTPG_ACC_411_1.42"/>
    <s v="ISEL-1.42"/>
    <n v="1"/>
    <s v="NO TIENE L3OUT"/>
    <n v="96"/>
    <n v="96"/>
  </r>
  <r>
    <n v="116"/>
    <x v="0"/>
    <x v="272"/>
    <s v="eth1/42"/>
    <x v="0"/>
    <x v="0"/>
    <x v="0"/>
    <s v="DATOS NETCRACKER"/>
    <x v="6"/>
    <b v="0"/>
    <s v="No está en VPC"/>
    <n v="116"/>
    <s v="INTPG_ACC_116_1.42"/>
    <s v="ISEL-1.42"/>
    <n v="1"/>
    <s v="NO TIENE L3OUT"/>
    <n v="148"/>
    <n v="96"/>
  </r>
  <r>
    <n v="412"/>
    <x v="1"/>
    <x v="273"/>
    <s v="eth1/42"/>
    <x v="0"/>
    <x v="0"/>
    <x v="0"/>
    <s v="HNMP101B"/>
    <x v="6"/>
    <b v="0"/>
    <s v="No está en VPC"/>
    <n v="412"/>
    <s v="INTPG_ACC_412_1.42"/>
    <s v="ISEL-1.42"/>
    <n v="1"/>
    <s v="NO TIENE L3OUT"/>
    <n v="126"/>
    <n v="96"/>
  </r>
  <r>
    <n v="120"/>
    <x v="0"/>
    <x v="274"/>
    <s v="eth1/42"/>
    <x v="0"/>
    <x v="0"/>
    <x v="0"/>
    <s v="ZFS X5-2"/>
    <x v="6"/>
    <b v="0"/>
    <s v="No está en VPC"/>
    <n v="120"/>
    <s v="INTPG_ACC_120_1.42"/>
    <s v="ISEL-1.42"/>
    <n v="1"/>
    <s v="NO TIENE L3OUT"/>
    <n v="158"/>
    <n v="96"/>
  </r>
  <r>
    <n v="404"/>
    <x v="1"/>
    <x v="275"/>
    <s v="eth1/42"/>
    <x v="0"/>
    <x v="0"/>
    <x v="0"/>
    <s v="PCRF4_CLT"/>
    <x v="6"/>
    <b v="0"/>
    <s v="No está en VPC"/>
    <n v="404"/>
    <s v="INTPG_VPC_404_1.41-42_406_1.37-38"/>
    <s v="ISEL-1.42"/>
    <n v="5"/>
    <s v="NO TIENE L3OUT"/>
    <n v="92"/>
    <n v="96"/>
  </r>
  <r>
    <n v="167"/>
    <x v="0"/>
    <x v="276"/>
    <s v="eth1/42"/>
    <x v="0"/>
    <x v="0"/>
    <x v="0"/>
    <s v="TO-ITHFDESW10BKP03-REDUNDANTE"/>
    <x v="6"/>
    <b v="0"/>
    <s v="No está en VPC"/>
    <n v="167"/>
    <s v="INTPG_ACC_167_1.42"/>
    <s v="ISEL-1.42"/>
    <n v="1"/>
    <s v="NO TIENE L3OUT"/>
    <n v="68"/>
    <n v="96"/>
  </r>
  <r>
    <n v="428"/>
    <x v="1"/>
    <x v="277"/>
    <s v="eth1/42"/>
    <x v="0"/>
    <x v="0"/>
    <x v="0"/>
    <s v="RLPNOVB02"/>
    <x v="6"/>
    <b v="0"/>
    <s v="No está en VPC"/>
    <n v="428"/>
    <s v="INTPG_ACC_428_1.42"/>
    <s v="ISEL-1.42"/>
    <n v="1"/>
    <s v="NO TIENE L3OUT"/>
    <n v="102"/>
    <n v="96"/>
  </r>
  <r>
    <n v="128"/>
    <x v="0"/>
    <x v="0"/>
    <s v="eth1/43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43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43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43"/>
    <x v="0"/>
    <x v="0"/>
    <x v="0"/>
    <s v="LINK_HACIA_MGMT"/>
    <x v="0"/>
    <b v="0"/>
    <s v="No está en VPC"/>
    <n v="101"/>
    <s v="INTPG_VPC_MGMT_20319_101_1.43_150_1.43"/>
    <s v="ISEL-1.43"/>
    <n v="1"/>
    <s v="NO TIENE L3OUT"/>
    <n v="114"/>
    <n v="54"/>
  </r>
  <r>
    <n v="160"/>
    <x v="0"/>
    <x v="4"/>
    <s v="eth1/43"/>
    <x v="0"/>
    <x v="1"/>
    <x v="1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43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43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43"/>
    <x v="0"/>
    <x v="0"/>
    <x v="0"/>
    <m/>
    <x v="0"/>
    <b v="0"/>
    <s v="No está en VPC"/>
    <n v="401"/>
    <s v="INTPG_VPC_401_1.43-44_402_1.43-44"/>
    <s v="ISEL-1.43"/>
    <n v="1"/>
    <s v="NO TIENE L3OUT"/>
    <n v="40"/>
    <n v="54"/>
  </r>
  <r>
    <n v="402"/>
    <x v="1"/>
    <x v="8"/>
    <s v="eth1/43"/>
    <x v="0"/>
    <x v="0"/>
    <x v="0"/>
    <m/>
    <x v="0"/>
    <b v="0"/>
    <s v="No está en VPC"/>
    <n v="402"/>
    <s v="INTPG_VPC_401_1.43-44_402_1.43-44"/>
    <s v="ISEL-1.43"/>
    <n v="1"/>
    <s v="NO TIENE L3OUT"/>
    <n v="36"/>
    <n v="54"/>
  </r>
  <r>
    <n v="130"/>
    <x v="0"/>
    <x v="11"/>
    <s v="eth1/43"/>
    <x v="0"/>
    <x v="0"/>
    <x v="0"/>
    <s v="LAG-smt-comp-02"/>
    <x v="0"/>
    <b v="0"/>
    <s v="No está en VPC"/>
    <n v="130"/>
    <s v="INTPG_VPC_130_1.43-44_131_1.43-44"/>
    <s v="ISEL-1.43"/>
    <n v="4"/>
    <s v="NO TIENE L3OUT"/>
    <n v="128"/>
    <n v="54"/>
  </r>
  <r>
    <n v="150"/>
    <x v="0"/>
    <x v="12"/>
    <s v="eth1/43"/>
    <x v="0"/>
    <x v="0"/>
    <x v="0"/>
    <s v="LINK_HACIA_MGMT"/>
    <x v="0"/>
    <b v="0"/>
    <s v="No está en VPC"/>
    <n v="150"/>
    <s v="INTPG_VPC_MGMT_20319_101_1.43_150_1.43"/>
    <s v="ISEL-1.43"/>
    <n v="1"/>
    <s v="NO TIENE L3OUT"/>
    <n v="118"/>
    <n v="54"/>
  </r>
  <r>
    <n v="131"/>
    <x v="0"/>
    <x v="13"/>
    <s v="eth1/43"/>
    <x v="0"/>
    <x v="0"/>
    <x v="0"/>
    <s v="LAG-smt-comp-02"/>
    <x v="0"/>
    <b v="0"/>
    <s v="No está en VPC"/>
    <n v="131"/>
    <s v="INTPG_VPC_130_1.43-44_131_1.43-44"/>
    <s v="ISEL-1.43"/>
    <n v="4"/>
    <s v="NO TIENE L3OUT"/>
    <n v="126"/>
    <n v="54"/>
  </r>
  <r>
    <n v="424"/>
    <x v="1"/>
    <x v="18"/>
    <s v="eth1/43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43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43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43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43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43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43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43"/>
    <x v="0"/>
    <x v="0"/>
    <x v="0"/>
    <s v="To_ITHEA1A_eth0"/>
    <x v="0"/>
    <b v="0"/>
    <s v="No está en VPC"/>
    <n v="431"/>
    <s v="INTPG_ACC_431_1.43"/>
    <s v="ISEL-1.43"/>
    <n v="2"/>
    <s v="NO TIENE L3OUT"/>
    <n v="46"/>
    <n v="54"/>
  </r>
  <r>
    <n v="433"/>
    <x v="1"/>
    <x v="27"/>
    <s v="eth1/43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43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43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43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43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43"/>
    <x v="1"/>
    <x v="1"/>
    <x v="3"/>
    <m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43"/>
    <x v="1"/>
    <x v="1"/>
    <x v="3"/>
    <m/>
    <x v="0"/>
    <b v="0"/>
    <s v="No está en VPC"/>
    <n v="712"/>
    <s v="NO EXISTE PG"/>
    <s v="NO EXISTE ISEL"/>
    <n v="0"/>
    <s v="NO TIENE L3OUT"/>
    <n v="32"/>
    <n v="54"/>
  </r>
  <r>
    <n v="719"/>
    <x v="2"/>
    <x v="34"/>
    <s v="eth1/43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43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43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43"/>
    <x v="1"/>
    <x v="1"/>
    <x v="3"/>
    <m/>
    <x v="0"/>
    <b v="0"/>
    <s v="No está en VPC"/>
    <n v="711"/>
    <s v="NO EXISTE PG"/>
    <s v="NO EXISTE ISEL"/>
    <n v="0"/>
    <s v="NO TIENE L3OUT"/>
    <n v="16"/>
    <n v="54"/>
  </r>
  <r>
    <n v="716"/>
    <x v="2"/>
    <x v="38"/>
    <s v="eth1/43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43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43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43"/>
    <x v="0"/>
    <x v="1"/>
    <x v="3"/>
    <m/>
    <x v="0"/>
    <b v="0"/>
    <s v="No está en VPC"/>
    <n v="446"/>
    <s v="NO EXISTE PG"/>
    <s v="NO EXISTE ISEL"/>
    <n v="0"/>
    <s v="NO TIENE L3OUT"/>
    <n v="198"/>
    <n v="54"/>
  </r>
  <r>
    <n v="444"/>
    <x v="1"/>
    <x v="42"/>
    <s v="eth1/43"/>
    <x v="0"/>
    <x v="1"/>
    <x v="3"/>
    <m/>
    <x v="0"/>
    <b v="0"/>
    <s v="No está en VPC"/>
    <n v="444"/>
    <s v="NO EXISTE PG"/>
    <s v="NO EXISTE ISEL"/>
    <n v="0"/>
    <s v="NO TIENE L3OUT"/>
    <n v="234"/>
    <n v="54"/>
  </r>
  <r>
    <n v="701"/>
    <x v="2"/>
    <x v="43"/>
    <s v="eth1/43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43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43"/>
    <x v="0"/>
    <x v="0"/>
    <x v="0"/>
    <s v="To_ITHEA1B_eth1"/>
    <x v="0"/>
    <b v="0"/>
    <s v="No está en VPC"/>
    <n v="448"/>
    <s v="INTPG_ACC_448_1.43"/>
    <s v="ISEL-1.43"/>
    <n v="2"/>
    <s v="NO TIENE L3OUT"/>
    <n v="46"/>
    <n v="54"/>
  </r>
  <r>
    <n v="704"/>
    <x v="2"/>
    <x v="46"/>
    <s v="eth1/43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43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43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43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43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43"/>
    <x v="1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43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43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43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43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43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43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43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43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43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43"/>
    <x v="0"/>
    <x v="1"/>
    <x v="1"/>
    <m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43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43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43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43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43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43"/>
    <x v="1"/>
    <x v="1"/>
    <x v="3"/>
    <m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43"/>
    <x v="1"/>
    <x v="1"/>
    <x v="3"/>
    <m/>
    <x v="0"/>
    <b v="0"/>
    <s v="No está en VPC"/>
    <n v="780"/>
    <s v="NO EXISTE PG"/>
    <s v="NO EXISTE ISEL"/>
    <n v="0"/>
    <s v="NO TIENE L3OUT"/>
    <n v="26"/>
    <n v="54"/>
  </r>
  <r>
    <n v="812"/>
    <x v="2"/>
    <x v="70"/>
    <s v="eth1/43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43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43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43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43"/>
    <x v="0"/>
    <x v="0"/>
    <x v="0"/>
    <s v="LINK_TO_ITHHWCRMPEN01 /X3-10GE 1 /Principal"/>
    <x v="0"/>
    <b v="0"/>
    <s v="No está en VPC"/>
    <n v="824"/>
    <s v="INTPG_VPC_819_1.40_43_824_1.40_43"/>
    <s v="ISEL-1.43"/>
    <n v="4"/>
    <s v="NO TIENE L3OUT"/>
    <n v="70"/>
    <n v="54"/>
  </r>
  <r>
    <n v="819"/>
    <x v="2"/>
    <x v="75"/>
    <s v="eth1/43"/>
    <x v="0"/>
    <x v="0"/>
    <x v="0"/>
    <s v="LINK_TO_ITHHWCRMPEN01 /X3-10GE 2 /Redundante"/>
    <x v="0"/>
    <b v="0"/>
    <s v="No está en VPC"/>
    <n v="819"/>
    <s v="INTPG_VPC_819_1.40_43_824_1.40_43"/>
    <s v="ISEL-1.43"/>
    <n v="4"/>
    <s v="NO TIENE L3OUT"/>
    <n v="70"/>
    <n v="54"/>
  </r>
  <r>
    <n v="737"/>
    <x v="2"/>
    <x v="76"/>
    <s v="eth1/43"/>
    <x v="0"/>
    <x v="1"/>
    <x v="1"/>
    <m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43"/>
    <x v="0"/>
    <x v="0"/>
    <x v="0"/>
    <s v="LINK_TO_ITHFHWCRMPLCN115 / Slot1.1_34 / Principal"/>
    <x v="0"/>
    <b v="0"/>
    <s v="No está en VPC"/>
    <n v="844"/>
    <s v="INTPG_ACC_844_1.43"/>
    <s v="ISEL-1.43"/>
    <n v="6"/>
    <s v="NO TIENE L3OUT"/>
    <n v="282"/>
    <n v="54"/>
  </r>
  <r>
    <n v="843"/>
    <x v="2"/>
    <x v="78"/>
    <s v="eth1/43"/>
    <x v="0"/>
    <x v="0"/>
    <x v="0"/>
    <s v="A_ITHFHWSEQLHDPS85_Principal"/>
    <x v="0"/>
    <b v="0"/>
    <s v="No está en VPC"/>
    <n v="843"/>
    <s v="INTPG_ACC_843_1.43"/>
    <s v="ISEL-1.43"/>
    <n v="1"/>
    <s v="NO TIENE L3OUT"/>
    <n v="38"/>
    <n v="54"/>
  </r>
  <r>
    <n v="797"/>
    <x v="2"/>
    <x v="79"/>
    <s v="eth1/43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43"/>
    <x v="0"/>
    <x v="0"/>
    <x v="0"/>
    <s v="LINK_TO_ITHFHWCBSPSUSBD34 / Slot7.1_6 / Redundante"/>
    <x v="0"/>
    <b v="0"/>
    <s v="No está en VPC"/>
    <n v="839"/>
    <s v="INTPG_VPC_834_1.43_839_1.43"/>
    <s v="ISEL-1.43"/>
    <n v="2"/>
    <s v="NO TIENE L3OUT"/>
    <n v="0"/>
    <n v="54"/>
  </r>
  <r>
    <n v="847"/>
    <x v="2"/>
    <x v="81"/>
    <s v="eth1/43"/>
    <x v="0"/>
    <x v="0"/>
    <x v="0"/>
    <s v="LINK_TO_ITHFHWCRMPSBDP11 / Slot7.3_6 / Redundante"/>
    <x v="0"/>
    <b v="0"/>
    <s v="No está en VPC"/>
    <n v="847"/>
    <s v="INTPG_VPC_854_1.43_847_1.43"/>
    <s v="ISEL-1.43"/>
    <n v="1"/>
    <s v="NO TIENE L3OUT"/>
    <n v="204"/>
    <n v="54"/>
  </r>
  <r>
    <n v="848"/>
    <x v="2"/>
    <x v="82"/>
    <s v="eth1/43"/>
    <x v="0"/>
    <x v="0"/>
    <x v="0"/>
    <s v="LINK_TO_ITHFHWCRMPLCN168 / Slot7.3_38 / Redundante"/>
    <x v="0"/>
    <b v="0"/>
    <s v="No está en VPC"/>
    <n v="848"/>
    <s v="INTPG_ACC_848_1.43"/>
    <s v="ISEL-1.43"/>
    <n v="1"/>
    <s v="NO TIENE L3OUT"/>
    <n v="254"/>
    <n v="54"/>
  </r>
  <r>
    <n v="846"/>
    <x v="2"/>
    <x v="83"/>
    <s v="eth1/43"/>
    <x v="0"/>
    <x v="0"/>
    <x v="0"/>
    <s v="LINK_TO_ITHFHWCRMPLCN86 / Slot1.1_30 / Principal"/>
    <x v="0"/>
    <b v="0"/>
    <s v="No está en VPC"/>
    <n v="846"/>
    <s v="INTPG_ACC_846_1.43"/>
    <s v="ISEL-1.43"/>
    <n v="6"/>
    <s v="NO TIENE L3OUT"/>
    <n v="242"/>
    <n v="54"/>
  </r>
  <r>
    <n v="838"/>
    <x v="2"/>
    <x v="84"/>
    <s v="eth1/43"/>
    <x v="0"/>
    <x v="0"/>
    <x v="0"/>
    <s v="A_ITHFHWSEQLHDPS85_Redundante"/>
    <x v="0"/>
    <b v="0"/>
    <s v="No está en VPC"/>
    <n v="838"/>
    <s v="INTPG_ACC_838_1.43"/>
    <s v="ISEL-1.43"/>
    <n v="1"/>
    <s v="NO TIENE L3OUT"/>
    <n v="38"/>
    <n v="54"/>
  </r>
  <r>
    <n v="849"/>
    <x v="2"/>
    <x v="85"/>
    <s v="eth1/43"/>
    <x v="0"/>
    <x v="0"/>
    <x v="0"/>
    <s v="LINK_TO_ITHFHWCRMPLCN148 / Slot7.3_30 / Redundante"/>
    <x v="0"/>
    <b v="0"/>
    <s v="No está en VPC"/>
    <n v="849"/>
    <s v="INTPG_ACC_849_1.43"/>
    <s v="ISEL-1.43"/>
    <n v="1"/>
    <s v="NO TIENE L3OUT"/>
    <n v="286"/>
    <n v="54"/>
  </r>
  <r>
    <n v="845"/>
    <x v="2"/>
    <x v="86"/>
    <s v="eth1/43"/>
    <x v="0"/>
    <x v="0"/>
    <x v="0"/>
    <s v="LINK_TO_ITHFHWCRMPLCN98 / Slot1.2_28 / Principal"/>
    <x v="0"/>
    <b v="0"/>
    <s v="No está en VPC"/>
    <n v="845"/>
    <s v="INTPG_ACC_845_1.43"/>
    <s v="ISEL-1.43"/>
    <n v="2"/>
    <s v="NO TIENE L3OUT"/>
    <n v="258"/>
    <n v="54"/>
  </r>
  <r>
    <n v="873"/>
    <x v="2"/>
    <x v="87"/>
    <s v="eth1/43"/>
    <x v="0"/>
    <x v="0"/>
    <x v="0"/>
    <s v="To_ITHFHWCRMDLCN38_Redundante"/>
    <x v="0"/>
    <b v="0"/>
    <s v="No está en VPC"/>
    <n v="873"/>
    <s v="INTPG_ACC_873_1.43"/>
    <s v="ISEL-1.43"/>
    <n v="6"/>
    <s v="NO TIENE L3OUT"/>
    <n v="248"/>
    <n v="54"/>
  </r>
  <r>
    <n v="864"/>
    <x v="2"/>
    <x v="88"/>
    <s v="eth1/43"/>
    <x v="0"/>
    <x v="0"/>
    <x v="0"/>
    <s v="To_VPC_2DCBSD_WR50_1"/>
    <x v="0"/>
    <b v="0"/>
    <s v="No está en VPC"/>
    <n v="864"/>
    <s v="INTPG_VPC_859_1.43_864_1.43"/>
    <s v="ISEL-1.43"/>
    <n v="2"/>
    <s v="NO TIENE L3OUT"/>
    <n v="0"/>
    <n v="54"/>
  </r>
  <r>
    <n v="836"/>
    <x v="2"/>
    <x v="89"/>
    <s v="eth1/43"/>
    <x v="0"/>
    <x v="0"/>
    <x v="0"/>
    <s v="LINK_TO_ITHFHWCBSPSHD28 / Slot1.3_20 / Principal"/>
    <x v="0"/>
    <b v="0"/>
    <s v="No está en VPC"/>
    <n v="836"/>
    <s v="INTPG_VPC_836_1.43_841_1.43"/>
    <s v="ISEL-1.43"/>
    <n v="1"/>
    <s v="NO TIENE L3OUT"/>
    <n v="0"/>
    <n v="54"/>
  </r>
  <r>
    <n v="834"/>
    <x v="2"/>
    <x v="90"/>
    <s v="eth1/43"/>
    <x v="0"/>
    <x v="0"/>
    <x v="0"/>
    <s v="LINK_TO_ITHFHWCBSPSUSBD34 / Slot1.1_6 / Principal"/>
    <x v="0"/>
    <b v="0"/>
    <s v="No está en VPC"/>
    <n v="834"/>
    <s v="INTPG_VPC_834_1.43_839_1.43"/>
    <s v="ISEL-1.43"/>
    <n v="2"/>
    <s v="NO TIENE L3OUT"/>
    <n v="0"/>
    <n v="54"/>
  </r>
  <r>
    <n v="872"/>
    <x v="2"/>
    <x v="91"/>
    <s v="eth1/43"/>
    <x v="0"/>
    <x v="0"/>
    <x v="0"/>
    <s v="TO_ITHFHWCRMDLCN51_Principal"/>
    <x v="0"/>
    <b v="0"/>
    <s v="No está en VPC"/>
    <n v="872"/>
    <s v="INTPG_ACC_872_1.43"/>
    <s v="ISEL-1.43"/>
    <n v="2"/>
    <s v="NO TIENE L3OUT"/>
    <n v="288"/>
    <n v="54"/>
  </r>
  <r>
    <n v="842"/>
    <x v="2"/>
    <x v="92"/>
    <s v="eth1/43"/>
    <x v="0"/>
    <x v="0"/>
    <x v="0"/>
    <s v="LINK_To_ITHFHWCBSPSHD22 / Slot7.2_20 / Redundante"/>
    <x v="0"/>
    <b v="0"/>
    <s v="No está en VPC"/>
    <n v="842"/>
    <s v="INTPG_VPC_837_1.43_842_1.43"/>
    <s v="ISEL-1.43"/>
    <n v="1"/>
    <s v="NO TIENE L3OUT"/>
    <n v="8"/>
    <n v="54"/>
  </r>
  <r>
    <n v="828"/>
    <x v="2"/>
    <x v="93"/>
    <s v="eth1/43"/>
    <x v="0"/>
    <x v="0"/>
    <x v="0"/>
    <s v="To_ITHFHWCRMDLCN41_Principal"/>
    <x v="0"/>
    <b v="0"/>
    <s v="No está en VPC"/>
    <n v="828"/>
    <s v="INTPG_ACC_828_1.43"/>
    <s v="ISEL-1.43"/>
    <n v="2"/>
    <s v="NO TIENE L3OUT"/>
    <n v="192"/>
    <n v="54"/>
  </r>
  <r>
    <n v="870"/>
    <x v="2"/>
    <x v="94"/>
    <s v="eth1/43"/>
    <x v="0"/>
    <x v="0"/>
    <x v="0"/>
    <s v="To_ITHFHWCRMDLCN38_Principal"/>
    <x v="0"/>
    <b v="0"/>
    <s v="No está en VPC"/>
    <n v="870"/>
    <s v="INTPG_ACC_870_1.43"/>
    <s v="ISEL-1.43"/>
    <n v="6"/>
    <s v="NO TIENE L3OUT"/>
    <n v="248"/>
    <n v="54"/>
  </r>
  <r>
    <n v="866"/>
    <x v="2"/>
    <x v="95"/>
    <s v="eth1/43"/>
    <x v="0"/>
    <x v="0"/>
    <x v="0"/>
    <s v="To_VPC_2DCBSD_WR35_3"/>
    <x v="0"/>
    <b v="0"/>
    <s v="No está en VPC"/>
    <n v="866"/>
    <s v="INTPG_VPC_861_1.43_866_1.43"/>
    <s v="ISEL-1.43"/>
    <n v="1"/>
    <s v="NO TIENE L3OUT"/>
    <n v="8"/>
    <n v="54"/>
  </r>
  <r>
    <n v="862"/>
    <x v="2"/>
    <x v="96"/>
    <s v="eth1/43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43"/>
    <x v="0"/>
    <x v="0"/>
    <x v="0"/>
    <s v="LINK_TO_ITHFHWCRMPLCN168 / Slot1.3_38 / Principal"/>
    <x v="0"/>
    <b v="0"/>
    <s v="No está en VPC"/>
    <n v="855"/>
    <s v="INTPG_ACC_855_1.43"/>
    <s v="ISEL-1.43"/>
    <n v="1"/>
    <s v="NO TIENE L3OUT"/>
    <n v="254"/>
    <n v="54"/>
  </r>
  <r>
    <n v="871"/>
    <x v="2"/>
    <x v="98"/>
    <s v="eth1/43"/>
    <x v="0"/>
    <x v="0"/>
    <x v="0"/>
    <s v="To_ITHFHWCRMDLCN68_Principal"/>
    <x v="0"/>
    <b v="0"/>
    <s v="No está en VPC"/>
    <n v="871"/>
    <s v="INTPG_ACC_871_1.43"/>
    <s v="ISEL-1.43"/>
    <n v="6"/>
    <s v="NO TIENE L3OUT"/>
    <n v="246"/>
    <n v="54"/>
  </r>
  <r>
    <n v="841"/>
    <x v="2"/>
    <x v="99"/>
    <s v="eth1/43"/>
    <x v="0"/>
    <x v="0"/>
    <x v="0"/>
    <s v="LINK_TO_ITHFHWCBSPSHD28 / Slot7.3_20 / Redundante"/>
    <x v="0"/>
    <b v="0"/>
    <s v="No está en VPC"/>
    <n v="841"/>
    <s v="INTPG_VPC_836_1.43_841_1.43"/>
    <s v="ISEL-1.43"/>
    <n v="1"/>
    <s v="NO TIENE L3OUT"/>
    <n v="0"/>
    <n v="54"/>
  </r>
  <r>
    <n v="868"/>
    <x v="2"/>
    <x v="100"/>
    <s v="eth1/43"/>
    <x v="0"/>
    <x v="0"/>
    <x v="0"/>
    <s v="To_ITHFHWCRMDLCN68_Redundante"/>
    <x v="0"/>
    <b v="0"/>
    <s v="No está en VPC"/>
    <n v="868"/>
    <s v="INTPG_ACC_868_1.43"/>
    <s v="ISEL-1.43"/>
    <n v="6"/>
    <s v="NO TIENE L3OUT"/>
    <n v="246"/>
    <n v="54"/>
  </r>
  <r>
    <n v="869"/>
    <x v="2"/>
    <x v="101"/>
    <s v="eth1/43"/>
    <x v="0"/>
    <x v="0"/>
    <x v="0"/>
    <s v="TO_ITHFHWCRMDLCN51_Redundante"/>
    <x v="0"/>
    <b v="0"/>
    <s v="No está en VPC"/>
    <n v="869"/>
    <s v="INTPG_ACC_869_1.43"/>
    <s v="ISEL-1.43"/>
    <n v="2"/>
    <s v="NO TIENE L3OUT"/>
    <n v="288"/>
    <n v="54"/>
  </r>
  <r>
    <n v="861"/>
    <x v="2"/>
    <x v="102"/>
    <s v="eth1/43"/>
    <x v="0"/>
    <x v="0"/>
    <x v="0"/>
    <s v="To_VPC_2DCBSD_WR35_3"/>
    <x v="0"/>
    <b v="0"/>
    <s v="No está en VPC"/>
    <n v="861"/>
    <s v="INTPG_VPC_861_1.43_866_1.43"/>
    <s v="ISEL-1.43"/>
    <n v="1"/>
    <s v="NO TIENE L3OUT"/>
    <n v="8"/>
    <n v="54"/>
  </r>
  <r>
    <n v="874"/>
    <x v="2"/>
    <x v="103"/>
    <s v="eth1/43"/>
    <x v="0"/>
    <x v="0"/>
    <x v="0"/>
    <s v="A_ITHFHWSEQLDPS03_Redundante"/>
    <x v="4"/>
    <b v="0"/>
    <s v="No está en VPC"/>
    <n v="874"/>
    <s v="INTPG_ACC_874_1.43"/>
    <s v="ISEL-1.43"/>
    <n v="1"/>
    <s v="NO TIENE L3OUT"/>
    <n v="92"/>
    <n v="54"/>
  </r>
  <r>
    <n v="865"/>
    <x v="2"/>
    <x v="104"/>
    <s v="eth1/43"/>
    <x v="0"/>
    <x v="0"/>
    <x v="0"/>
    <s v="To_VPC_2DCBSD_WR40_1"/>
    <x v="0"/>
    <b v="0"/>
    <s v="No está en VPC"/>
    <n v="865"/>
    <s v="INTPG_VPC_860_1.43_865_1.43"/>
    <s v="ISEL-1.43"/>
    <n v="2"/>
    <s v="NO TIENE L3OUT"/>
    <n v="0"/>
    <n v="54"/>
  </r>
  <r>
    <n v="753"/>
    <x v="2"/>
    <x v="105"/>
    <s v="eth1/43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43"/>
    <x v="0"/>
    <x v="1"/>
    <x v="3"/>
    <m/>
    <x v="0"/>
    <b v="0"/>
    <s v="No está en VPC"/>
    <n v="708"/>
    <s v="NO EXISTE PG"/>
    <s v="NO EXISTE ISEL"/>
    <n v="0"/>
    <s v="NO TIENE L3OUT"/>
    <n v="0"/>
    <n v="54"/>
  </r>
  <r>
    <n v="710"/>
    <x v="2"/>
    <x v="107"/>
    <s v="eth1/43"/>
    <x v="1"/>
    <x v="1"/>
    <x v="3"/>
    <m/>
    <x v="0"/>
    <b v="0"/>
    <s v="No está en VPC"/>
    <n v="710"/>
    <s v="NO EXISTE PG"/>
    <s v="NO EXISTE ISEL"/>
    <n v="0"/>
    <s v="NO TIENE L3OUT"/>
    <n v="16"/>
    <n v="54"/>
  </r>
  <r>
    <n v="713"/>
    <x v="2"/>
    <x v="108"/>
    <s v="eth1/43"/>
    <x v="1"/>
    <x v="1"/>
    <x v="3"/>
    <m/>
    <x v="0"/>
    <b v="0"/>
    <s v="No está en VPC"/>
    <n v="713"/>
    <s v="NO EXISTE PG"/>
    <s v="NO EXISTE ISEL"/>
    <n v="0"/>
    <s v="NO TIENE L3OUT"/>
    <n v="32"/>
    <n v="54"/>
  </r>
  <r>
    <n v="735"/>
    <x v="2"/>
    <x v="109"/>
    <s v="eth1/43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43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43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43"/>
    <x v="1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43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43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43"/>
    <x v="0"/>
    <x v="0"/>
    <x v="0"/>
    <s v="LINK_TO_ITHFHWCBSDSWR21 /Slot5.2 /Principal"/>
    <x v="0"/>
    <b v="0"/>
    <s v="No está en VPC"/>
    <n v="826"/>
    <s v="INTPG_VPC_826_1.43_830_1.43"/>
    <s v="ISEL-1.43"/>
    <n v="2"/>
    <s v="NO TIENE L3OUT"/>
    <n v="12"/>
    <n v="54"/>
  </r>
  <r>
    <n v="726"/>
    <x v="2"/>
    <x v="117"/>
    <s v="eth1/43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43"/>
    <x v="0"/>
    <x v="1"/>
    <x v="1"/>
    <m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43"/>
    <x v="1"/>
    <x v="1"/>
    <x v="3"/>
    <m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43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43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43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43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43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43"/>
    <x v="0"/>
    <x v="1"/>
    <x v="3"/>
    <m/>
    <x v="0"/>
    <b v="0"/>
    <s v="No está en VPC"/>
    <n v="709"/>
    <s v="NO EXISTE PG"/>
    <s v="NO EXISTE ISEL"/>
    <n v="0"/>
    <s v="NO TIENE L3OUT"/>
    <n v="0"/>
    <n v="54"/>
  </r>
  <r>
    <n v="454"/>
    <x v="1"/>
    <x v="126"/>
    <s v="eth1/43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43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43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43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43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43"/>
    <x v="0"/>
    <x v="1"/>
    <x v="1"/>
    <m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43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43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43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43"/>
    <x v="0"/>
    <x v="1"/>
    <x v="3"/>
    <m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43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43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43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43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43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43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43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43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43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43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43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43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43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43"/>
    <x v="1"/>
    <x v="1"/>
    <x v="3"/>
    <m/>
    <x v="0"/>
    <b v="0"/>
    <s v="No está en VPC"/>
    <n v="781"/>
    <s v="NO EXISTE PG"/>
    <s v="NO EXISTE ISEL"/>
    <n v="0"/>
    <s v="NO TIENE L3OUT"/>
    <n v="26"/>
    <n v="54"/>
  </r>
  <r>
    <n v="793"/>
    <x v="2"/>
    <x v="151"/>
    <s v="eth1/43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43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43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43"/>
    <x v="1"/>
    <x v="1"/>
    <x v="3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43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43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43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43"/>
    <x v="0"/>
    <x v="1"/>
    <x v="1"/>
    <m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43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43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43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43"/>
    <x v="0"/>
    <x v="0"/>
    <x v="0"/>
    <s v="LINK_TO_ITHFHWCBSDSWR21 /Slot7.2 /Redundante"/>
    <x v="0"/>
    <b v="0"/>
    <s v="No está en VPC"/>
    <n v="830"/>
    <s v="INTPG_VPC_826_1.43_830_1.43"/>
    <s v="ISEL-1.43"/>
    <n v="2"/>
    <s v="NO TIENE L3OUT"/>
    <n v="12"/>
    <n v="54"/>
  </r>
  <r>
    <n v="821"/>
    <x v="2"/>
    <x v="163"/>
    <s v="eth1/43"/>
    <x v="0"/>
    <x v="0"/>
    <x v="0"/>
    <s v="LINK_TO_ITHFHWCBSPSWR21 /Slot7.2 /Redundante"/>
    <x v="0"/>
    <b v="0"/>
    <s v="No está en VPC"/>
    <n v="821"/>
    <s v="INTPG_VPC_816_1.43_821_1.43"/>
    <s v="ISEL-1.43"/>
    <n v="2"/>
    <s v="NO TIENE L3OUT"/>
    <n v="0"/>
    <n v="54"/>
  </r>
  <r>
    <n v="738"/>
    <x v="2"/>
    <x v="164"/>
    <s v="eth1/43"/>
    <x v="0"/>
    <x v="1"/>
    <x v="1"/>
    <m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43"/>
    <x v="0"/>
    <x v="1"/>
    <x v="3"/>
    <m/>
    <x v="0"/>
    <b v="0"/>
    <s v="No está en VPC"/>
    <n v="820"/>
    <s v="NO EXISTE PG"/>
    <s v="NO EXISTE ISEL"/>
    <n v="0"/>
    <s v="NO TIENE L3OUT"/>
    <n v="72"/>
    <n v="54"/>
  </r>
  <r>
    <n v="804"/>
    <x v="2"/>
    <x v="166"/>
    <s v="eth1/43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43"/>
    <x v="1"/>
    <x v="1"/>
    <x v="3"/>
    <m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43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43"/>
    <x v="0"/>
    <x v="0"/>
    <x v="0"/>
    <s v="LINK_TO_ITHFHWCBSDSWR30 /Slot4.2 /Principal"/>
    <x v="0"/>
    <b v="0"/>
    <s v="No está en VPC"/>
    <n v="827"/>
    <s v="INTPG_VPC_827_1.43_831_1.43"/>
    <s v="ISEL-1.43"/>
    <n v="1"/>
    <s v="NO TIENE L3OUT"/>
    <n v="14"/>
    <n v="54"/>
  </r>
  <r>
    <n v="809"/>
    <x v="2"/>
    <x v="170"/>
    <s v="eth1/43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43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43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43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43"/>
    <x v="1"/>
    <x v="1"/>
    <x v="3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43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43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43"/>
    <x v="0"/>
    <x v="0"/>
    <x v="0"/>
    <s v="LINK_TO_ITHFHWCRMPLCN115 / Slot7.1_34 / Redundante"/>
    <x v="0"/>
    <b v="0"/>
    <s v="No está en VPC"/>
    <n v="851"/>
    <s v="INTPG_ACC_851_1.43"/>
    <s v="ISEL-1.43"/>
    <n v="6"/>
    <s v="NO TIENE L3OUT"/>
    <n v="282"/>
    <n v="54"/>
  </r>
  <r>
    <n v="798"/>
    <x v="2"/>
    <x v="178"/>
    <s v="eth1/43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43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43"/>
    <x v="0"/>
    <x v="0"/>
    <x v="0"/>
    <s v="LINK_TO_ITHFHWCRMPLCN98 / Slot7.2_28 / Redundante"/>
    <x v="0"/>
    <b v="0"/>
    <s v="No está en VPC"/>
    <n v="852"/>
    <s v="INTPG_ACC_852_1.43"/>
    <s v="ISEL-1.43"/>
    <n v="2"/>
    <s v="NO TIENE L3OUT"/>
    <n v="258"/>
    <n v="54"/>
  </r>
  <r>
    <n v="817"/>
    <x v="2"/>
    <x v="181"/>
    <s v="eth1/43"/>
    <x v="0"/>
    <x v="0"/>
    <x v="0"/>
    <s v="LINK_TO_ITHFHWCBSPSWR28 /Slot5.2 /Principal"/>
    <x v="0"/>
    <b v="0"/>
    <s v="No está en VPC"/>
    <n v="817"/>
    <s v="INTPG_VPC_817_1.43_822_1.43"/>
    <s v="ISEL-1.43"/>
    <n v="2"/>
    <s v="NO TIENE L3OUT"/>
    <n v="0"/>
    <n v="54"/>
  </r>
  <r>
    <n v="832"/>
    <x v="2"/>
    <x v="182"/>
    <s v="eth1/43"/>
    <x v="0"/>
    <x v="0"/>
    <x v="0"/>
    <s v="To_ITHFHWCRMDLCN41_Redundante"/>
    <x v="0"/>
    <b v="0"/>
    <s v="No está en VPC"/>
    <n v="832"/>
    <s v="INTPG_ACC_832_1.43"/>
    <s v="ISEL-1.43"/>
    <n v="2"/>
    <s v="NO TIENE L3OUT"/>
    <n v="192"/>
    <n v="54"/>
  </r>
  <r>
    <n v="816"/>
    <x v="2"/>
    <x v="183"/>
    <s v="eth1/43"/>
    <x v="0"/>
    <x v="0"/>
    <x v="0"/>
    <s v="LINK_TO_ITHFHWCBSPSWR21 /Slot5.2 /Principal"/>
    <x v="0"/>
    <b v="0"/>
    <s v="No está en VPC"/>
    <n v="816"/>
    <s v="INTPG_VPC_816_1.43_821_1.43"/>
    <s v="ISEL-1.43"/>
    <n v="2"/>
    <s v="NO TIENE L3OUT"/>
    <n v="0"/>
    <n v="54"/>
  </r>
  <r>
    <n v="825"/>
    <x v="2"/>
    <x v="184"/>
    <s v="eth1/43"/>
    <x v="0"/>
    <x v="1"/>
    <x v="3"/>
    <m/>
    <x v="0"/>
    <b v="0"/>
    <s v="No está en VPC"/>
    <n v="825"/>
    <s v="NO EXISTE PG"/>
    <s v="NO EXISTE ISEL"/>
    <n v="0"/>
    <s v="NO TIENE L3OUT"/>
    <n v="72"/>
    <n v="54"/>
  </r>
  <r>
    <n v="800"/>
    <x v="2"/>
    <x v="185"/>
    <s v="eth1/43"/>
    <x v="0"/>
    <x v="0"/>
    <x v="0"/>
    <s v="TO-ITHFDEOCP1LWR13-REDUNDANTE"/>
    <x v="0"/>
    <b v="0"/>
    <s v="No está en VPC"/>
    <n v="800"/>
    <s v="INTPG_ACC_800_1.43"/>
    <s v="ISEL-1.43"/>
    <n v="1"/>
    <s v="NO TIENE L3OUT"/>
    <n v="78"/>
    <n v="54"/>
  </r>
  <r>
    <n v="801"/>
    <x v="2"/>
    <x v="186"/>
    <s v="eth1/43"/>
    <x v="0"/>
    <x v="0"/>
    <x v="0"/>
    <s v="TO-ITHFDEOCP1LWR13-PRINCIPAL"/>
    <x v="0"/>
    <b v="0"/>
    <s v="No está en VPC"/>
    <n v="801"/>
    <s v="INTPG_ACC_801_1.43"/>
    <s v="ISEL-1.43"/>
    <n v="1"/>
    <s v="NO TIENE L3OUT"/>
    <n v="78"/>
    <n v="54"/>
  </r>
  <r>
    <n v="823"/>
    <x v="2"/>
    <x v="187"/>
    <s v="eth1/43"/>
    <x v="0"/>
    <x v="0"/>
    <x v="0"/>
    <s v="LINK_TO_ITHFHWCBSPSWR38 /Slot6.2 /Redundante"/>
    <x v="0"/>
    <b v="0"/>
    <s v="No está en VPC"/>
    <n v="823"/>
    <s v="INTPG_VPC_818_1.43_823_1.43"/>
    <s v="ISEL-1.43"/>
    <n v="1"/>
    <s v="NO TIENE L3OUT"/>
    <n v="8"/>
    <n v="54"/>
  </r>
  <r>
    <n v="837"/>
    <x v="2"/>
    <x v="188"/>
    <s v="eth1/43"/>
    <x v="0"/>
    <x v="0"/>
    <x v="0"/>
    <s v="LINK_To_ITHFHWCBSPSHD22 / Slot1.2_20 / Principal"/>
    <x v="0"/>
    <b v="0"/>
    <s v="No está en VPC"/>
    <n v="837"/>
    <s v="INTPG_VPC_837_1.43_842_1.43"/>
    <s v="ISEL-1.43"/>
    <n v="1"/>
    <s v="NO TIENE L3OUT"/>
    <n v="8"/>
    <n v="54"/>
  </r>
  <r>
    <n v="867"/>
    <x v="2"/>
    <x v="189"/>
    <s v="eth1/43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43"/>
    <x v="0"/>
    <x v="0"/>
    <x v="0"/>
    <s v="To_VPC_2DCRMD_SBD05_2_Principal"/>
    <x v="0"/>
    <b v="0"/>
    <s v="No está en VPC"/>
    <n v="829"/>
    <s v="INTPG_VPC_829_1.43_833_1.43"/>
    <s v="ISEL-1.43"/>
    <n v="2"/>
    <s v="NO TIENE L3OUT"/>
    <n v="224"/>
    <n v="54"/>
  </r>
  <r>
    <n v="831"/>
    <x v="2"/>
    <x v="191"/>
    <s v="eth1/43"/>
    <x v="0"/>
    <x v="0"/>
    <x v="0"/>
    <s v="LINK_TO_ITHFHWCBSDSWR30 /Slot6.2 /Redundante"/>
    <x v="0"/>
    <b v="0"/>
    <s v="No está en VPC"/>
    <n v="831"/>
    <s v="INTPG_VPC_827_1.43_831_1.43"/>
    <s v="ISEL-1.43"/>
    <n v="1"/>
    <s v="NO TIENE L3OUT"/>
    <n v="14"/>
    <n v="54"/>
  </r>
  <r>
    <n v="802"/>
    <x v="2"/>
    <x v="192"/>
    <s v="eth1/43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43"/>
    <x v="0"/>
    <x v="0"/>
    <x v="0"/>
    <s v="LINK_TO_ITHFHWCBSPSHD36 / Slot1.3_24 / Principal"/>
    <x v="0"/>
    <b v="0"/>
    <s v="No está en VPC"/>
    <n v="835"/>
    <s v="INTPG_VPC_835_1.43_840_1.43"/>
    <s v="ISEL-1.43"/>
    <n v="1"/>
    <s v="NO TIENE L3OUT"/>
    <n v="8"/>
    <n v="54"/>
  </r>
  <r>
    <n v="822"/>
    <x v="2"/>
    <x v="194"/>
    <s v="eth1/43"/>
    <x v="0"/>
    <x v="0"/>
    <x v="0"/>
    <s v="LINK_TO_ITHFHWCBSPSWR28 /Slot7.2 /Redundante"/>
    <x v="0"/>
    <b v="0"/>
    <s v="No está en VPC"/>
    <n v="822"/>
    <s v="INTPG_VPC_817_1.43_822_1.43"/>
    <s v="ISEL-1.43"/>
    <n v="2"/>
    <s v="NO TIENE L3OUT"/>
    <n v="0"/>
    <n v="54"/>
  </r>
  <r>
    <n v="854"/>
    <x v="2"/>
    <x v="195"/>
    <s v="eth1/43"/>
    <x v="0"/>
    <x v="0"/>
    <x v="0"/>
    <s v="LINK_TO_ITHFHWCRMPSBDP11 / Slot1.3_6 / Principal"/>
    <x v="0"/>
    <b v="0"/>
    <s v="No está en VPC"/>
    <n v="854"/>
    <s v="INTPG_VPC_854_1.43_847_1.43"/>
    <s v="ISEL-1.43"/>
    <n v="1"/>
    <s v="NO TIENE L3OUT"/>
    <n v="204"/>
    <n v="54"/>
  </r>
  <r>
    <n v="858"/>
    <x v="2"/>
    <x v="196"/>
    <s v="eth1/43"/>
    <x v="0"/>
    <x v="0"/>
    <x v="0"/>
    <s v="To_ITHHWD6KV65100015DKC01_Principal"/>
    <x v="0"/>
    <b v="0"/>
    <s v="No está en VPC"/>
    <n v="858"/>
    <s v="INTPG_ACC_858_1.43"/>
    <s v="ISEL-1.43"/>
    <n v="1"/>
    <s v="NO TIENE L3OUT"/>
    <n v="8"/>
    <n v="54"/>
  </r>
  <r>
    <n v="857"/>
    <x v="2"/>
    <x v="197"/>
    <s v="eth1/43"/>
    <x v="0"/>
    <x v="0"/>
    <x v="0"/>
    <s v="LINKT_TO_ITHFHWCRMPLCN129 / Slot1.3_28 / Principal"/>
    <x v="0"/>
    <b v="0"/>
    <s v="No está en VPC"/>
    <n v="857"/>
    <s v="INTPG_ACC_857_1.43"/>
    <s v="ISEL-1.43"/>
    <n v="1"/>
    <s v="NO TIENE L3OUT"/>
    <n v="288"/>
    <n v="54"/>
  </r>
  <r>
    <n v="859"/>
    <x v="2"/>
    <x v="198"/>
    <s v="eth1/43"/>
    <x v="0"/>
    <x v="0"/>
    <x v="0"/>
    <s v="To_VPC_2DCBSD_WR50_1"/>
    <x v="0"/>
    <b v="0"/>
    <s v="No está en VPC"/>
    <n v="859"/>
    <s v="INTPG_VPC_859_1.43_864_1.43"/>
    <s v="ISEL-1.43"/>
    <n v="2"/>
    <s v="NO TIENE L3OUT"/>
    <n v="0"/>
    <n v="54"/>
  </r>
  <r>
    <n v="833"/>
    <x v="2"/>
    <x v="199"/>
    <s v="eth1/43"/>
    <x v="0"/>
    <x v="0"/>
    <x v="0"/>
    <s v="To_VPC_2DCRMD_SBD05_2_Redundancia"/>
    <x v="0"/>
    <b v="0"/>
    <s v="No está en VPC"/>
    <n v="833"/>
    <s v="INTPG_VPC_829_1.43_833_1.43"/>
    <s v="ISEL-1.43"/>
    <n v="2"/>
    <s v="NO TIENE L3OUT"/>
    <n v="224"/>
    <n v="54"/>
  </r>
  <r>
    <n v="818"/>
    <x v="2"/>
    <x v="200"/>
    <s v="eth1/43"/>
    <x v="0"/>
    <x v="0"/>
    <x v="0"/>
    <s v="LINK_TO_ITHFHWCBSPSWR38 /Slot4.2 /Principal"/>
    <x v="0"/>
    <b v="0"/>
    <s v="No está en VPC"/>
    <n v="818"/>
    <s v="INTPG_VPC_818_1.43_823_1.43"/>
    <s v="ISEL-1.43"/>
    <n v="1"/>
    <s v="NO TIENE L3OUT"/>
    <n v="8"/>
    <n v="54"/>
  </r>
  <r>
    <n v="850"/>
    <x v="2"/>
    <x v="201"/>
    <s v="eth1/43"/>
    <x v="0"/>
    <x v="0"/>
    <x v="0"/>
    <s v="LINKT_TO_ITHFHWCRMPLCN129 / Slot7.3_28 / Redundante"/>
    <x v="0"/>
    <b v="0"/>
    <s v="No está en VPC"/>
    <n v="850"/>
    <s v="INTPG_ACC_850_1.43"/>
    <s v="ISEL-1.43"/>
    <n v="1"/>
    <s v="NO TIENE L3OUT"/>
    <n v="288"/>
    <n v="54"/>
  </r>
  <r>
    <n v="860"/>
    <x v="2"/>
    <x v="202"/>
    <s v="eth1/43"/>
    <x v="0"/>
    <x v="0"/>
    <x v="0"/>
    <s v="To_VPC_2DCBSD_WR40_1"/>
    <x v="0"/>
    <b v="0"/>
    <s v="No está en VPC"/>
    <n v="860"/>
    <s v="INTPG_VPC_860_1.43_865_1.43"/>
    <s v="ISEL-1.43"/>
    <n v="2"/>
    <s v="NO TIENE L3OUT"/>
    <n v="0"/>
    <n v="54"/>
  </r>
  <r>
    <n v="853"/>
    <x v="2"/>
    <x v="203"/>
    <s v="eth1/43"/>
    <x v="0"/>
    <x v="0"/>
    <x v="0"/>
    <s v="LINK_TO_ITHFHWCRMPLCN86 / Slot7.1_30 / Redundante"/>
    <x v="0"/>
    <b v="0"/>
    <s v="No está en VPC"/>
    <n v="853"/>
    <s v="INTPG_ACC_853_1.43"/>
    <s v="ISEL-1.43"/>
    <n v="6"/>
    <s v="NO TIENE L3OUT"/>
    <n v="242"/>
    <n v="54"/>
  </r>
  <r>
    <n v="790"/>
    <x v="2"/>
    <x v="204"/>
    <s v="eth1/43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43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43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43"/>
    <x v="0"/>
    <x v="1"/>
    <x v="1"/>
    <m/>
    <x v="6"/>
    <b v="0"/>
    <s v="No está en VPC"/>
    <n v="104"/>
    <s v="NO EXISTE PG"/>
    <s v="NO EXISTE ISEL"/>
    <n v="0"/>
    <s v="NO TIENE L3OUT"/>
    <n v="194"/>
    <n v="96"/>
  </r>
  <r>
    <n v="158"/>
    <x v="0"/>
    <x v="208"/>
    <s v="eth1/43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43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43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43"/>
    <x v="0"/>
    <x v="0"/>
    <x v="0"/>
    <m/>
    <x v="6"/>
    <b v="0"/>
    <s v="No está en VPC"/>
    <n v="108"/>
    <s v="INTPG_ACC_108_1.43"/>
    <s v="ISEL-1.43"/>
    <n v="1"/>
    <s v="NO TIENE L3OUT"/>
    <n v="126"/>
    <n v="96"/>
  </r>
  <r>
    <n v="112"/>
    <x v="0"/>
    <x v="212"/>
    <s v="eth1/43"/>
    <x v="0"/>
    <x v="0"/>
    <x v="0"/>
    <s v="CONECTIVIDAD DE RED Y FIBRA MSP PROBES Y BIG DATA SALA 1 Y 2"/>
    <x v="6"/>
    <b v="0"/>
    <s v="No está en VPC"/>
    <n v="112"/>
    <s v="INTPG_ACC_112_1.43"/>
    <s v="ISEL-1.43"/>
    <n v="1"/>
    <s v="NO TIENE L3OUT"/>
    <n v="144"/>
    <n v="96"/>
  </r>
  <r>
    <n v="107"/>
    <x v="0"/>
    <x v="213"/>
    <s v="eth1/43"/>
    <x v="1"/>
    <x v="1"/>
    <x v="2"/>
    <m/>
    <x v="6"/>
    <b v="0"/>
    <s v="No está en VPC"/>
    <n v="107"/>
    <s v="INTPG_ACC_107_1.43"/>
    <s v="ISEL-1.43"/>
    <n v="1"/>
    <s v="NO TIENE L3OUT"/>
    <n v="118"/>
    <n v="96"/>
  </r>
  <r>
    <n v="109"/>
    <x v="0"/>
    <x v="214"/>
    <s v="eth1/43"/>
    <x v="0"/>
    <x v="0"/>
    <x v="0"/>
    <m/>
    <x v="6"/>
    <b v="0"/>
    <s v="No está en VPC"/>
    <n v="109"/>
    <s v="INTPG_ACC_109_1.43"/>
    <s v="ISEL-1.43"/>
    <n v="1"/>
    <s v="NO TIENE L3OUT"/>
    <n v="126"/>
    <n v="96"/>
  </r>
  <r>
    <n v="113"/>
    <x v="0"/>
    <x v="215"/>
    <s v="eth1/43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43"/>
    <x v="0"/>
    <x v="1"/>
    <x v="1"/>
    <s v="SAPCCRATING01"/>
    <x v="6"/>
    <b v="0"/>
    <s v="No está en VPC"/>
    <n v="114"/>
    <s v="INTPG_VPC_112_1.46_114_1.43"/>
    <s v="ISEL-1.43"/>
    <n v="1"/>
    <s v="NO TIENE L3OUT"/>
    <n v="144"/>
    <n v="96"/>
  </r>
  <r>
    <n v="124"/>
    <x v="0"/>
    <x v="217"/>
    <s v="eth1/43"/>
    <x v="0"/>
    <x v="0"/>
    <x v="0"/>
    <s v="MONITOREO DE SWITCHS EXTREME OSS EN SPECTRUM"/>
    <x v="6"/>
    <b v="0"/>
    <s v="No está en VPC"/>
    <n v="124"/>
    <s v="INTPG_ACC_124_1.43"/>
    <s v="ISEL-1.43"/>
    <n v="1"/>
    <s v="NO TIENE L3OUT"/>
    <n v="80"/>
    <n v="96"/>
  </r>
  <r>
    <n v="118"/>
    <x v="0"/>
    <x v="218"/>
    <s v="eth1/43"/>
    <x v="0"/>
    <x v="0"/>
    <x v="0"/>
    <s v="INGE6"/>
    <x v="6"/>
    <b v="0"/>
    <s v="No está en VPC"/>
    <n v="118"/>
    <s v="INTPG_ACC_118_1.43"/>
    <s v="ISEL-1.43"/>
    <n v="1"/>
    <s v="NO TIENE L3OUT"/>
    <n v="180"/>
    <n v="96"/>
  </r>
  <r>
    <n v="159"/>
    <x v="0"/>
    <x v="219"/>
    <s v="eth1/43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43"/>
    <x v="0"/>
    <x v="0"/>
    <x v="0"/>
    <s v="LINK_TO_ITHFHWCBSPSHD36 / Slot7.3_24 / Redundante"/>
    <x v="0"/>
    <b v="0"/>
    <s v="No está en VPC"/>
    <n v="840"/>
    <s v="INTPG_VPC_835_1.43_840_1.43"/>
    <s v="ISEL-1.43"/>
    <n v="1"/>
    <s v="NO TIENE L3OUT"/>
    <n v="8"/>
    <n v="54"/>
  </r>
  <r>
    <n v="856"/>
    <x v="2"/>
    <x v="221"/>
    <s v="eth1/43"/>
    <x v="0"/>
    <x v="0"/>
    <x v="0"/>
    <s v="LINK_TO_ITHFHWCRMPLCN148 / Slot1.3_30 / Principal"/>
    <x v="0"/>
    <b v="0"/>
    <s v="No está en VPC"/>
    <n v="856"/>
    <s v="INTPG_ACC_856_1.43"/>
    <s v="ISEL-1.43"/>
    <n v="1"/>
    <s v="NO TIENE L3OUT"/>
    <n v="286"/>
    <n v="54"/>
  </r>
  <r>
    <n v="110"/>
    <x v="0"/>
    <x v="222"/>
    <s v="eth1/43"/>
    <x v="0"/>
    <x v="1"/>
    <x v="1"/>
    <s v="SUN6900_E25K"/>
    <x v="6"/>
    <b v="0"/>
    <s v="No está en VPC"/>
    <n v="110"/>
    <s v="INTPG_ACC_110_1.43"/>
    <s v="ISEL-1.43"/>
    <n v="1"/>
    <s v="NO TIENE L3OUT"/>
    <n v="102"/>
    <n v="96"/>
  </r>
  <r>
    <n v="163"/>
    <x v="0"/>
    <x v="223"/>
    <s v="eth1/43"/>
    <x v="1"/>
    <x v="1"/>
    <x v="2"/>
    <s v="sfmedt04_CLIENT1"/>
    <x v="6"/>
    <b v="0"/>
    <s v="No está en VPC"/>
    <n v="163"/>
    <s v="INTPG_VPC_161_1.38_163_1.43"/>
    <s v="ISEL-1.43"/>
    <n v="1"/>
    <s v="NO TIENE L3OUT"/>
    <n v="140"/>
    <n v="96"/>
  </r>
  <r>
    <n v="407"/>
    <x v="1"/>
    <x v="224"/>
    <s v="eth1/43"/>
    <x v="0"/>
    <x v="0"/>
    <x v="0"/>
    <s v="Uxcppdes"/>
    <x v="6"/>
    <b v="0"/>
    <s v="No está en VPC"/>
    <n v="407"/>
    <s v="INTPG_ACC_407_1.43"/>
    <s v="ISEL-1.43"/>
    <n v="1"/>
    <s v="NO TIENE L3OUT"/>
    <n v="122"/>
    <n v="96"/>
  </r>
  <r>
    <n v="171"/>
    <x v="0"/>
    <x v="225"/>
    <s v="eth1/43"/>
    <x v="0"/>
    <x v="0"/>
    <x v="0"/>
    <s v="HP_Performance_Insight"/>
    <x v="6"/>
    <b v="0"/>
    <s v="No está en VPC"/>
    <n v="171"/>
    <s v="INTPG_ACC_171_1.43"/>
    <s v="ISEL-1.43"/>
    <n v="1"/>
    <s v="NO TIENE L3OUT"/>
    <n v="114"/>
    <n v="96"/>
  </r>
  <r>
    <n v="421"/>
    <x v="1"/>
    <x v="226"/>
    <s v="eth1/43"/>
    <x v="0"/>
    <x v="1"/>
    <x v="1"/>
    <s v="VTA_F5_2_eth2"/>
    <x v="6"/>
    <b v="0"/>
    <s v="No está en VPC"/>
    <n v="421"/>
    <s v="INTPG_ACC_421_1.43"/>
    <s v="ISEL-1.43"/>
    <n v="1"/>
    <s v="NO TIENE L3OUT"/>
    <n v="72"/>
    <n v="96"/>
  </r>
  <r>
    <n v="173"/>
    <x v="0"/>
    <x v="227"/>
    <s v="eth1/43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43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43"/>
    <x v="0"/>
    <x v="0"/>
    <x v="0"/>
    <s v="SRS (Speedy Rating System)"/>
    <x v="6"/>
    <b v="0"/>
    <s v="No está en VPC"/>
    <n v="172"/>
    <s v="INTPG_ACC_172_1.43"/>
    <s v="ISEL-1.43"/>
    <n v="1"/>
    <s v="NO TIENE L3OUT"/>
    <n v="104"/>
    <n v="96"/>
  </r>
  <r>
    <n v="420"/>
    <x v="1"/>
    <x v="230"/>
    <s v="eth1/43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43"/>
    <x v="0"/>
    <x v="0"/>
    <x v="0"/>
    <s v="SPECSERVER2_VMOTION2"/>
    <x v="6"/>
    <b v="0"/>
    <s v="No está en VPC"/>
    <n v="423"/>
    <s v="INTPG_ACC_423_1.43"/>
    <s v="ISEL-1.43"/>
    <n v="1"/>
    <s v="NO TIENE L3OUT"/>
    <n v="86"/>
    <n v="96"/>
  </r>
  <r>
    <n v="415"/>
    <x v="1"/>
    <x v="232"/>
    <s v="eth1/43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43"/>
    <x v="1"/>
    <x v="1"/>
    <x v="2"/>
    <s v="IXTLA4_VC1:VMTLCLAMX5:VC1  X3"/>
    <x v="6"/>
    <b v="0"/>
    <s v="No está en VPC"/>
    <n v="102"/>
    <s v="INTPG_PC_102_1.41-48"/>
    <s v="ISEL-1.43"/>
    <n v="0"/>
    <s v="NO TIENE L3OUT"/>
    <n v="228"/>
    <n v="96"/>
  </r>
  <r>
    <n v="863"/>
    <x v="2"/>
    <x v="234"/>
    <s v="eth1/43"/>
    <x v="0"/>
    <x v="0"/>
    <x v="0"/>
    <s v="To_ITHHWD6KV65100015DKC01_Redundante"/>
    <x v="0"/>
    <b v="0"/>
    <s v="No está en VPC"/>
    <n v="863"/>
    <s v="INTPG_ACC_863_1.43"/>
    <s v="ISEL-1.43"/>
    <n v="1"/>
    <s v="NO TIENE L3OUT"/>
    <n v="8"/>
    <n v="54"/>
  </r>
  <r>
    <n v="876"/>
    <x v="2"/>
    <x v="235"/>
    <s v="eth1/43"/>
    <x v="0"/>
    <x v="0"/>
    <x v="0"/>
    <s v="A_ITHFHWSEQLDPS03_Principal"/>
    <x v="4"/>
    <b v="0"/>
    <s v="No está en VPC"/>
    <n v="876"/>
    <s v="INTPG_ACC_876_1.43"/>
    <s v="ISEL-1.43"/>
    <n v="1"/>
    <s v="NO TIENE L3OUT"/>
    <n v="92"/>
    <n v="54"/>
  </r>
  <r>
    <n v="877"/>
    <x v="2"/>
    <x v="236"/>
    <s v="eth1/43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43"/>
    <x v="0"/>
    <x v="0"/>
    <x v="0"/>
    <s v="Registro Nacional de Celulares"/>
    <x v="6"/>
    <b v="0"/>
    <s v="No está en VPC"/>
    <n v="122"/>
    <s v="INTPG_ACC_122_1.43"/>
    <s v="ISEL-1.43"/>
    <n v="1"/>
    <s v="NO TIENE L3OUT"/>
    <n v="148"/>
    <n v="96"/>
  </r>
  <r>
    <n v="157"/>
    <x v="0"/>
    <x v="238"/>
    <s v="eth1/43"/>
    <x v="0"/>
    <x v="0"/>
    <x v="0"/>
    <s v="CIRCULO AZUL 1"/>
    <x v="6"/>
    <b v="0"/>
    <s v="No está en VPC"/>
    <n v="157"/>
    <s v="INTPG_ACC_157_1.43"/>
    <s v="ISEL-1.43"/>
    <n v="1"/>
    <s v="NO TIENE L3OUT"/>
    <n v="202"/>
    <n v="96"/>
  </r>
  <r>
    <n v="408"/>
    <x v="1"/>
    <x v="239"/>
    <s v="eth1/43"/>
    <x v="0"/>
    <x v="0"/>
    <x v="0"/>
    <s v="IXTPF1_OA1"/>
    <x v="6"/>
    <b v="0"/>
    <s v="No está en VPC"/>
    <n v="408"/>
    <s v="INTPG_ACC_408_1.43"/>
    <s v="ISEL-1.43"/>
    <n v="1"/>
    <s v="NO TIENE L3OUT"/>
    <n v="152"/>
    <n v="96"/>
  </r>
  <r>
    <n v="405"/>
    <x v="1"/>
    <x v="240"/>
    <s v="eth1/43"/>
    <x v="0"/>
    <x v="0"/>
    <x v="0"/>
    <s v="ITHSGHP0"/>
    <x v="6"/>
    <b v="0"/>
    <s v="No está en VPC"/>
    <n v="405"/>
    <s v="INTPG_ACC_405_1.43"/>
    <s v="ISEL-1.43"/>
    <n v="1"/>
    <s v="NO TIENE L3OUT"/>
    <n v="138"/>
    <n v="96"/>
  </r>
  <r>
    <n v="169"/>
    <x v="0"/>
    <x v="241"/>
    <s v="eth1/43"/>
    <x v="0"/>
    <x v="0"/>
    <x v="0"/>
    <s v="Commvault_Gestion"/>
    <x v="6"/>
    <b v="0"/>
    <s v="No está en VPC"/>
    <n v="169"/>
    <s v="INTPG_ACC_169_1.43"/>
    <s v="ISEL-1.43"/>
    <n v="1"/>
    <s v="NO TIENE L3OUT"/>
    <n v="76"/>
    <n v="96"/>
  </r>
  <r>
    <n v="165"/>
    <x v="0"/>
    <x v="242"/>
    <s v="eth1/43"/>
    <x v="0"/>
    <x v="0"/>
    <x v="0"/>
    <s v="NOMINA_uxnomr12"/>
    <x v="6"/>
    <b v="0"/>
    <s v="No está en VPC"/>
    <n v="165"/>
    <s v="INTPG_ACC_165_1.43"/>
    <s v="ISEL-1.43"/>
    <n v="1"/>
    <s v="NO TIENE L3OUT"/>
    <n v="86"/>
    <n v="96"/>
  </r>
  <r>
    <n v="417"/>
    <x v="1"/>
    <x v="243"/>
    <s v="eth1/43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43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43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43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43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43"/>
    <x v="0"/>
    <x v="0"/>
    <x v="0"/>
    <s v="TC3_ithmomce1_VC2_X4"/>
    <x v="6"/>
    <b v="0"/>
    <s v="No está en VPC"/>
    <n v="438"/>
    <s v="INTPG_ACC_438_1.43"/>
    <s v="ISEL-1.43"/>
    <n v="7"/>
    <s v="NO TIENE L3OUT"/>
    <n v="170"/>
    <n v="96"/>
  </r>
  <r>
    <n v="406"/>
    <x v="1"/>
    <x v="249"/>
    <s v="eth1/43"/>
    <x v="0"/>
    <x v="0"/>
    <x v="0"/>
    <s v="VIOSDES1-VIOSDES1_CLT"/>
    <x v="6"/>
    <b v="0"/>
    <s v="No está en VPC"/>
    <n v="406"/>
    <s v="INTPG_VPC_404_1.43-44_406_1.43-44"/>
    <s v="ISEL-1.43"/>
    <n v="1"/>
    <s v="NO TIENE L3OUT"/>
    <n v="82"/>
    <n v="96"/>
  </r>
  <r>
    <n v="414"/>
    <x v="1"/>
    <x v="250"/>
    <s v="eth1/43"/>
    <x v="0"/>
    <x v="0"/>
    <x v="0"/>
    <s v="Exadata3"/>
    <x v="6"/>
    <b v="0"/>
    <s v="No está en VPC"/>
    <n v="414"/>
    <s v="INTPG_ACC_414_1.43"/>
    <s v="ISEL-1.43"/>
    <n v="1"/>
    <s v="NO TIENE L3OUT"/>
    <n v="144"/>
    <n v="96"/>
  </r>
  <r>
    <n v="416"/>
    <x v="1"/>
    <x v="251"/>
    <s v="eth1/43"/>
    <x v="0"/>
    <x v="0"/>
    <x v="0"/>
    <s v="DESC"/>
    <x v="6"/>
    <b v="0"/>
    <s v="No está en VPC"/>
    <n v="416"/>
    <s v="INTPG_PC_416_1.40-45"/>
    <s v="ISEL-1.43"/>
    <n v="7"/>
    <s v="NO TIENE L3OUT"/>
    <n v="110"/>
    <n v="96"/>
  </r>
  <r>
    <n v="418"/>
    <x v="1"/>
    <x v="252"/>
    <s v="eth1/43"/>
    <x v="0"/>
    <x v="0"/>
    <x v="0"/>
    <s v="DESC"/>
    <x v="6"/>
    <b v="0"/>
    <s v="No está en VPC"/>
    <n v="418"/>
    <s v="INTPG_PC_418_1.40-45"/>
    <s v="ISEL-1.43"/>
    <n v="7"/>
    <s v="NO TIENE L3OUT"/>
    <n v="152"/>
    <n v="96"/>
  </r>
  <r>
    <n v="413"/>
    <x v="1"/>
    <x v="253"/>
    <s v="eth1/43"/>
    <x v="0"/>
    <x v="0"/>
    <x v="0"/>
    <s v="To-uxingemc2 ldom 3 uxsmart05"/>
    <x v="6"/>
    <b v="0"/>
    <s v="No está en VPC"/>
    <n v="413"/>
    <s v="INTPG_ACC_413_1.43"/>
    <s v="ISEL-1.43"/>
    <n v="1"/>
    <s v="NO TIENE L3OUT"/>
    <n v="126"/>
    <n v="96"/>
  </r>
  <r>
    <n v="403"/>
    <x v="1"/>
    <x v="254"/>
    <s v="eth1/43"/>
    <x v="0"/>
    <x v="0"/>
    <x v="0"/>
    <s v="MEDIACION1-DD"/>
    <x v="6"/>
    <b v="0"/>
    <s v="No está en VPC"/>
    <n v="403"/>
    <s v="INTPG_ACC_403_1.43"/>
    <s v="ISEL-1.43"/>
    <n v="1"/>
    <s v="NO TIENE L3OUT"/>
    <n v="150"/>
    <n v="96"/>
  </r>
  <r>
    <n v="125"/>
    <x v="0"/>
    <x v="255"/>
    <s v="eth1/43"/>
    <x v="0"/>
    <x v="0"/>
    <x v="0"/>
    <s v="DWH_SVA_IBM"/>
    <x v="6"/>
    <b v="0"/>
    <s v="No está en VPC"/>
    <n v="125"/>
    <s v="INTPG_ACC_125_1.43"/>
    <s v="ISEL-1.43"/>
    <n v="1"/>
    <s v="NO TIENE L3OUT"/>
    <n v="72"/>
    <n v="96"/>
  </r>
  <r>
    <n v="166"/>
    <x v="0"/>
    <x v="256"/>
    <s v="eth1/43"/>
    <x v="0"/>
    <x v="0"/>
    <x v="0"/>
    <s v="NOMINA_uxm4bd01"/>
    <x v="6"/>
    <b v="0"/>
    <s v="No está en VPC"/>
    <n v="166"/>
    <s v="INTPG_ACC_166_1.43"/>
    <s v="ISEL-1.43"/>
    <n v="1"/>
    <s v="NO TIENE L3OUT"/>
    <n v="84"/>
    <n v="96"/>
  </r>
  <r>
    <n v="111"/>
    <x v="0"/>
    <x v="257"/>
    <s v="eth1/43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43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43"/>
    <x v="0"/>
    <x v="0"/>
    <x v="0"/>
    <m/>
    <x v="6"/>
    <b v="0"/>
    <s v="No está en VPC"/>
    <n v="106"/>
    <s v="INTPG_ACC_106_1.43"/>
    <s v="ISEL-1.43"/>
    <n v="1"/>
    <s v="NO TIENE L3OUT"/>
    <n v="122"/>
    <n v="96"/>
  </r>
  <r>
    <n v="126"/>
    <x v="0"/>
    <x v="260"/>
    <s v="eth1/43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43"/>
    <x v="0"/>
    <x v="0"/>
    <x v="0"/>
    <s v="ITHPA04_ILO1_IPMP-Pasiva"/>
    <x v="6"/>
    <b v="0"/>
    <s v="No está en VPC"/>
    <n v="425"/>
    <s v="INTPG_ACC_425_1.43"/>
    <s v="ISEL-1.43"/>
    <n v="1"/>
    <s v="NO TIENE L3OUT"/>
    <n v="86"/>
    <n v="96"/>
  </r>
  <r>
    <n v="151"/>
    <x v="0"/>
    <x v="262"/>
    <s v="eth1/43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43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43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43"/>
    <x v="0"/>
    <x v="1"/>
    <x v="1"/>
    <s v="GESTOR HUAWEI U2000 MW Tx"/>
    <x v="6"/>
    <b v="0"/>
    <s v="No está en VPC"/>
    <n v="155"/>
    <s v="INTPG_ACC_155_1.43"/>
    <s v="ISEL-1.43"/>
    <n v="1"/>
    <s v="NO TIENE L3OUT"/>
    <n v="198"/>
    <n v="96"/>
  </r>
  <r>
    <n v="409"/>
    <x v="1"/>
    <x v="266"/>
    <s v="eth1/43"/>
    <x v="0"/>
    <x v="0"/>
    <x v="0"/>
    <s v="IXTPPMLB02"/>
    <x v="6"/>
    <b v="0"/>
    <s v="No está en VPC"/>
    <n v="409"/>
    <s v="INTPG_ACC_409_1.43"/>
    <s v="ISEL-1.43"/>
    <n v="1"/>
    <s v="NO TIENE L3OUT"/>
    <n v="128"/>
    <n v="96"/>
  </r>
  <r>
    <n v="422"/>
    <x v="1"/>
    <x v="267"/>
    <s v="eth1/43"/>
    <x v="0"/>
    <x v="0"/>
    <x v="0"/>
    <s v="ITHRTC4BEN1OA2"/>
    <x v="6"/>
    <b v="0"/>
    <s v="No está en VPC"/>
    <n v="422"/>
    <s v="INTPG_ACC_422_1.43"/>
    <s v="ISEL-1.43"/>
    <n v="1"/>
    <s v="NO TIENE L3OUT"/>
    <n v="182"/>
    <n v="96"/>
  </r>
  <r>
    <n v="436"/>
    <x v="1"/>
    <x v="268"/>
    <s v="eth1/43"/>
    <x v="0"/>
    <x v="0"/>
    <x v="0"/>
    <s v="DESC"/>
    <x v="6"/>
    <b v="0"/>
    <s v="No está en VPC"/>
    <n v="436"/>
    <s v="INTPG_PC_436_1.40-45"/>
    <s v="ISEL-1.43"/>
    <n v="7"/>
    <s v="NO TIENE L3OUT"/>
    <n v="172"/>
    <n v="96"/>
  </r>
  <r>
    <n v="410"/>
    <x v="1"/>
    <x v="269"/>
    <s v="eth1/43"/>
    <x v="0"/>
    <x v="0"/>
    <x v="0"/>
    <s v="IXTPF1SV31NIC1"/>
    <x v="6"/>
    <b v="0"/>
    <s v="No está en VPC"/>
    <n v="410"/>
    <s v="INTPG_ACC_410_1.43"/>
    <s v="ISEL-1.43"/>
    <n v="2"/>
    <s v="NO TIENE L3OUT"/>
    <n v="178"/>
    <n v="96"/>
  </r>
  <r>
    <n v="161"/>
    <x v="0"/>
    <x v="270"/>
    <s v="eth1/43"/>
    <x v="0"/>
    <x v="0"/>
    <x v="0"/>
    <s v="CELCITE"/>
    <x v="6"/>
    <b v="0"/>
    <s v="No está en VPC"/>
    <n v="161"/>
    <s v="INTPG_ACC_161_1.43"/>
    <s v="ISEL-1.43"/>
    <n v="1"/>
    <s v="NO TIENE L3OUT"/>
    <n v="102"/>
    <n v="96"/>
  </r>
  <r>
    <n v="411"/>
    <x v="1"/>
    <x v="271"/>
    <s v="eth1/43"/>
    <x v="0"/>
    <x v="0"/>
    <x v="0"/>
    <s v="SPIDERNET3"/>
    <x v="6"/>
    <b v="0"/>
    <s v="No está en VPC"/>
    <n v="411"/>
    <s v="INTPG_ACC_411_1.43"/>
    <s v="ISEL-1.43"/>
    <n v="1"/>
    <s v="NO TIENE L3OUT"/>
    <n v="96"/>
    <n v="96"/>
  </r>
  <r>
    <n v="116"/>
    <x v="0"/>
    <x v="272"/>
    <s v="eth1/43"/>
    <x v="0"/>
    <x v="1"/>
    <x v="1"/>
    <s v="USSD TANGO"/>
    <x v="6"/>
    <b v="0"/>
    <s v="No está en VPC"/>
    <n v="116"/>
    <s v="INTPG_ACC_116_1.43"/>
    <s v="ISEL-1.43"/>
    <n v="1"/>
    <s v="NO TIENE L3OUT"/>
    <n v="148"/>
    <n v="96"/>
  </r>
  <r>
    <n v="412"/>
    <x v="1"/>
    <x v="273"/>
    <s v="eth1/43"/>
    <x v="0"/>
    <x v="0"/>
    <x v="0"/>
    <s v="none"/>
    <x v="6"/>
    <b v="0"/>
    <s v="No está en VPC"/>
    <n v="412"/>
    <s v="INTPG_ACC_412_1.43"/>
    <s v="ISEL-1.43"/>
    <n v="1"/>
    <s v="NO TIENE L3OUT"/>
    <n v="126"/>
    <n v="96"/>
  </r>
  <r>
    <n v="120"/>
    <x v="0"/>
    <x v="274"/>
    <s v="eth1/43"/>
    <x v="0"/>
    <x v="0"/>
    <x v="0"/>
    <s v="N/A"/>
    <x v="6"/>
    <b v="0"/>
    <s v="No está en VPC"/>
    <n v="120"/>
    <s v="INTPG_ACC_120_1.43"/>
    <s v="ISEL-1.43"/>
    <n v="1"/>
    <s v="NO TIENE L3OUT"/>
    <n v="158"/>
    <n v="96"/>
  </r>
  <r>
    <n v="404"/>
    <x v="1"/>
    <x v="275"/>
    <s v="eth1/43"/>
    <x v="0"/>
    <x v="0"/>
    <x v="0"/>
    <s v="VIOSDES1-VIOSDES1_CLT"/>
    <x v="6"/>
    <b v="0"/>
    <s v="No está en VPC"/>
    <n v="404"/>
    <s v="INTPG_VPC_404_1.43-44_406_1.43-44"/>
    <s v="ISEL-1.43"/>
    <n v="1"/>
    <s v="NO TIENE L3OUT"/>
    <n v="92"/>
    <n v="96"/>
  </r>
  <r>
    <n v="167"/>
    <x v="0"/>
    <x v="276"/>
    <s v="eth1/43"/>
    <x v="0"/>
    <x v="0"/>
    <x v="0"/>
    <s v="UXLDAP"/>
    <x v="6"/>
    <b v="0"/>
    <s v="No está en VPC"/>
    <n v="167"/>
    <s v="INTPG_ACC_167_1.43"/>
    <s v="ISEL-1.43"/>
    <n v="3"/>
    <s v="NO TIENE L3OUT"/>
    <n v="68"/>
    <n v="96"/>
  </r>
  <r>
    <n v="428"/>
    <x v="1"/>
    <x v="277"/>
    <s v="eth1/43"/>
    <x v="0"/>
    <x v="0"/>
    <x v="0"/>
    <s v="PDU"/>
    <x v="6"/>
    <b v="0"/>
    <s v="No está en VPC"/>
    <n v="428"/>
    <s v="INTPG_ACC_428_1.43"/>
    <s v="ISEL-1.43"/>
    <n v="1"/>
    <s v="NO TIENE L3OUT"/>
    <n v="102"/>
    <n v="96"/>
  </r>
  <r>
    <n v="128"/>
    <x v="0"/>
    <x v="0"/>
    <s v="eth1/44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44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44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44"/>
    <x v="0"/>
    <x v="0"/>
    <x v="0"/>
    <s v="LINK_HACIA_MGMT"/>
    <x v="0"/>
    <b v="0"/>
    <s v="No está en VPC"/>
    <n v="101"/>
    <s v="INTPG_VPC_MGMT_20419_150_1.44_101_1.44"/>
    <s v="ISEL-1.44"/>
    <n v="1"/>
    <s v="NO TIENE L3OUT"/>
    <n v="114"/>
    <n v="54"/>
  </r>
  <r>
    <n v="160"/>
    <x v="0"/>
    <x v="4"/>
    <s v="eth1/44"/>
    <x v="0"/>
    <x v="1"/>
    <x v="1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44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44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44"/>
    <x v="0"/>
    <x v="0"/>
    <x v="0"/>
    <m/>
    <x v="0"/>
    <b v="0"/>
    <s v="No está en VPC"/>
    <n v="401"/>
    <s v="INTPG_VPC_401_1.43-44_402_1.43-44"/>
    <s v="ISEL-1.44"/>
    <n v="1"/>
    <s v="NO TIENE L3OUT"/>
    <n v="40"/>
    <n v="54"/>
  </r>
  <r>
    <n v="402"/>
    <x v="1"/>
    <x v="8"/>
    <s v="eth1/44"/>
    <x v="0"/>
    <x v="0"/>
    <x v="0"/>
    <m/>
    <x v="0"/>
    <b v="0"/>
    <s v="No está en VPC"/>
    <n v="402"/>
    <s v="INTPG_VPC_401_1.43-44_402_1.43-44"/>
    <s v="ISEL-1.44"/>
    <n v="1"/>
    <s v="NO TIENE L3OUT"/>
    <n v="36"/>
    <n v="54"/>
  </r>
  <r>
    <n v="130"/>
    <x v="0"/>
    <x v="11"/>
    <s v="eth1/44"/>
    <x v="0"/>
    <x v="0"/>
    <x v="0"/>
    <s v="LAG-smt-comp-02"/>
    <x v="0"/>
    <b v="0"/>
    <s v="No está en VPC"/>
    <n v="130"/>
    <s v="INTPG_VPC_130_1.43-44_131_1.43-44"/>
    <s v="ISEL-1.44"/>
    <n v="4"/>
    <s v="NO TIENE L3OUT"/>
    <n v="128"/>
    <n v="54"/>
  </r>
  <r>
    <n v="150"/>
    <x v="0"/>
    <x v="12"/>
    <s v="eth1/44"/>
    <x v="0"/>
    <x v="0"/>
    <x v="0"/>
    <s v="LINK_HACIA_MGMT"/>
    <x v="0"/>
    <b v="0"/>
    <s v="No está en VPC"/>
    <n v="150"/>
    <s v="INTPG_VPC_MGMT_20419_150_1.44_101_1.44"/>
    <s v="ISEL-1.44"/>
    <n v="1"/>
    <s v="NO TIENE L3OUT"/>
    <n v="118"/>
    <n v="54"/>
  </r>
  <r>
    <n v="131"/>
    <x v="0"/>
    <x v="13"/>
    <s v="eth1/44"/>
    <x v="0"/>
    <x v="0"/>
    <x v="0"/>
    <s v="LAG-smt-comp-02"/>
    <x v="0"/>
    <b v="0"/>
    <s v="No está en VPC"/>
    <n v="131"/>
    <s v="INTPG_VPC_130_1.43-44_131_1.43-44"/>
    <s v="ISEL-1.44"/>
    <n v="4"/>
    <s v="NO TIENE L3OUT"/>
    <n v="126"/>
    <n v="54"/>
  </r>
  <r>
    <n v="424"/>
    <x v="1"/>
    <x v="18"/>
    <s v="eth1/44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44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44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44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44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44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44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44"/>
    <x v="0"/>
    <x v="0"/>
    <x v="0"/>
    <s v="To_ITHEA1A_eth2"/>
    <x v="0"/>
    <b v="0"/>
    <s v="No está en VPC"/>
    <n v="431"/>
    <s v="INTPG_ACC_431_1.44"/>
    <s v="ISEL-1.44"/>
    <n v="4"/>
    <s v="NO TIENE L3OUT"/>
    <n v="46"/>
    <n v="54"/>
  </r>
  <r>
    <n v="433"/>
    <x v="1"/>
    <x v="27"/>
    <s v="eth1/44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44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44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44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44"/>
    <x v="0"/>
    <x v="1"/>
    <x v="1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44"/>
    <x v="1"/>
    <x v="1"/>
    <x v="3"/>
    <m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44"/>
    <x v="1"/>
    <x v="1"/>
    <x v="3"/>
    <m/>
    <x v="0"/>
    <b v="0"/>
    <s v="No está en VPC"/>
    <n v="712"/>
    <s v="NO EXISTE PG"/>
    <s v="NO EXISTE ISEL"/>
    <n v="0"/>
    <s v="NO TIENE L3OUT"/>
    <n v="32"/>
    <n v="54"/>
  </r>
  <r>
    <n v="719"/>
    <x v="2"/>
    <x v="34"/>
    <s v="eth1/44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44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44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44"/>
    <x v="1"/>
    <x v="1"/>
    <x v="3"/>
    <m/>
    <x v="0"/>
    <b v="0"/>
    <s v="No está en VPC"/>
    <n v="711"/>
    <s v="NO EXISTE PG"/>
    <s v="NO EXISTE ISEL"/>
    <n v="0"/>
    <s v="NO TIENE L3OUT"/>
    <n v="16"/>
    <n v="54"/>
  </r>
  <r>
    <n v="716"/>
    <x v="2"/>
    <x v="38"/>
    <s v="eth1/44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44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44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44"/>
    <x v="0"/>
    <x v="1"/>
    <x v="3"/>
    <m/>
    <x v="0"/>
    <b v="0"/>
    <s v="No está en VPC"/>
    <n v="446"/>
    <s v="NO EXISTE PG"/>
    <s v="NO EXISTE ISEL"/>
    <n v="0"/>
    <s v="NO TIENE L3OUT"/>
    <n v="198"/>
    <n v="54"/>
  </r>
  <r>
    <n v="444"/>
    <x v="1"/>
    <x v="42"/>
    <s v="eth1/44"/>
    <x v="0"/>
    <x v="1"/>
    <x v="3"/>
    <m/>
    <x v="0"/>
    <b v="0"/>
    <s v="No está en VPC"/>
    <n v="444"/>
    <s v="NO EXISTE PG"/>
    <s v="NO EXISTE ISEL"/>
    <n v="0"/>
    <s v="NO TIENE L3OUT"/>
    <n v="234"/>
    <n v="54"/>
  </r>
  <r>
    <n v="701"/>
    <x v="2"/>
    <x v="43"/>
    <s v="eth1/44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44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44"/>
    <x v="0"/>
    <x v="0"/>
    <x v="0"/>
    <s v="To_ITHEA1B_eth3"/>
    <x v="0"/>
    <b v="0"/>
    <s v="No está en VPC"/>
    <n v="448"/>
    <s v="INTPG_ACC_448_1.44"/>
    <s v="ISEL-1.44"/>
    <n v="4"/>
    <s v="NO TIENE L3OUT"/>
    <n v="46"/>
    <n v="54"/>
  </r>
  <r>
    <n v="704"/>
    <x v="2"/>
    <x v="46"/>
    <s v="eth1/44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44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44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44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44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44"/>
    <x v="1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44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44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44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44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44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44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44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44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44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44"/>
    <x v="0"/>
    <x v="1"/>
    <x v="1"/>
    <m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44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44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44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44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44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44"/>
    <x v="1"/>
    <x v="1"/>
    <x v="3"/>
    <m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44"/>
    <x v="1"/>
    <x v="1"/>
    <x v="3"/>
    <m/>
    <x v="0"/>
    <b v="0"/>
    <s v="No está en VPC"/>
    <n v="780"/>
    <s v="NO EXISTE PG"/>
    <s v="NO EXISTE ISEL"/>
    <n v="0"/>
    <s v="NO TIENE L3OUT"/>
    <n v="26"/>
    <n v="54"/>
  </r>
  <r>
    <n v="812"/>
    <x v="2"/>
    <x v="70"/>
    <s v="eth1/44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44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44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44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44"/>
    <x v="0"/>
    <x v="0"/>
    <x v="0"/>
    <s v="LINK_TO_ITHHWCRMPEN01 /X3-10GE 3 /Principal"/>
    <x v="0"/>
    <b v="0"/>
    <s v="No está en VPC"/>
    <n v="824"/>
    <s v="INTPG_VPC_819_1.41-42_44-45_824_1.41-42_44-45"/>
    <s v="ISEL-1.44"/>
    <n v="1"/>
    <s v="NO TIENE L3OUT"/>
    <n v="70"/>
    <n v="54"/>
  </r>
  <r>
    <n v="819"/>
    <x v="2"/>
    <x v="75"/>
    <s v="eth1/44"/>
    <x v="0"/>
    <x v="0"/>
    <x v="0"/>
    <s v="LINK_TO_ITHHWCRMPEN01 /X3-10GE 4 /Redundante"/>
    <x v="0"/>
    <b v="0"/>
    <s v="No está en VPC"/>
    <n v="819"/>
    <s v="INTPG_VPC_819_1.41-42_44-45_824_1.41-42_44-45"/>
    <s v="ISEL-1.44"/>
    <n v="1"/>
    <s v="NO TIENE L3OUT"/>
    <n v="70"/>
    <n v="54"/>
  </r>
  <r>
    <n v="737"/>
    <x v="2"/>
    <x v="76"/>
    <s v="eth1/44"/>
    <x v="0"/>
    <x v="1"/>
    <x v="1"/>
    <m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44"/>
    <x v="0"/>
    <x v="0"/>
    <x v="0"/>
    <s v="LINK_TO_ITHFHWCRMPLCN115 / Slot1.2_34 / Principal"/>
    <x v="0"/>
    <b v="0"/>
    <s v="No está en VPC"/>
    <n v="844"/>
    <s v="INTPG_ACC_844_1.44"/>
    <s v="ISEL-1.44"/>
    <n v="2"/>
    <s v="NO TIENE L3OUT"/>
    <n v="282"/>
    <n v="54"/>
  </r>
  <r>
    <n v="843"/>
    <x v="2"/>
    <x v="78"/>
    <s v="eth1/44"/>
    <x v="0"/>
    <x v="0"/>
    <x v="0"/>
    <s v="LINK_TO_ITHFHWSEQLIMPS30 / Slot 4 PTO 1 / Principal"/>
    <x v="0"/>
    <b v="0"/>
    <s v="No está en VPC"/>
    <n v="843"/>
    <s v="INTPG_ACC_843_1.44"/>
    <s v="ISEL-1.44"/>
    <n v="1"/>
    <s v="NO TIENE L3OUT"/>
    <n v="38"/>
    <n v="54"/>
  </r>
  <r>
    <n v="797"/>
    <x v="2"/>
    <x v="79"/>
    <s v="eth1/44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44"/>
    <x v="0"/>
    <x v="0"/>
    <x v="0"/>
    <s v="LINK_TO_ITHFHWCBSPSUSBD34 / Slot7.2_6 / Redundante"/>
    <x v="0"/>
    <b v="0"/>
    <s v="No está en VPC"/>
    <n v="839"/>
    <s v="INTPG_VPC_834_1.44_839_1.44"/>
    <s v="ISEL-1.44"/>
    <n v="1"/>
    <s v="NO TIENE L3OUT"/>
    <n v="0"/>
    <n v="54"/>
  </r>
  <r>
    <n v="847"/>
    <x v="2"/>
    <x v="81"/>
    <s v="eth1/44"/>
    <x v="0"/>
    <x v="0"/>
    <x v="0"/>
    <s v="LINK_TO_ITHFHWCRMPLCN153 / Slot7.1_8 / Redundante"/>
    <x v="0"/>
    <b v="0"/>
    <s v="No está en VPC"/>
    <n v="847"/>
    <s v="INTPG_ACC_847_1.44"/>
    <s v="ISEL-1.44"/>
    <n v="6"/>
    <s v="NO TIENE L3OUT"/>
    <n v="204"/>
    <n v="54"/>
  </r>
  <r>
    <n v="848"/>
    <x v="2"/>
    <x v="82"/>
    <s v="eth1/44"/>
    <x v="0"/>
    <x v="0"/>
    <x v="0"/>
    <s v="VPC_2DCRMP_BDA10_1"/>
    <x v="0"/>
    <b v="0"/>
    <s v="No está en VPC"/>
    <n v="848"/>
    <s v="INTPG_VPC_855_1.44_848_1.44"/>
    <s v="ISEL-1.44"/>
    <n v="6"/>
    <s v="NO TIENE L3OUT"/>
    <n v="254"/>
    <n v="54"/>
  </r>
  <r>
    <n v="846"/>
    <x v="2"/>
    <x v="83"/>
    <s v="eth1/44"/>
    <x v="0"/>
    <x v="0"/>
    <x v="0"/>
    <s v="LINK_TO_ITHFHWCRMPLCN86 / Slot1.2_30 / Principal"/>
    <x v="0"/>
    <b v="0"/>
    <s v="No está en VPC"/>
    <n v="846"/>
    <s v="INTPG_ACC_846_1.44"/>
    <s v="ISEL-1.44"/>
    <n v="2"/>
    <s v="NO TIENE L3OUT"/>
    <n v="242"/>
    <n v="54"/>
  </r>
  <r>
    <n v="838"/>
    <x v="2"/>
    <x v="84"/>
    <s v="eth1/44"/>
    <x v="0"/>
    <x v="0"/>
    <x v="0"/>
    <s v="LINK_TO_ITHFHWSEQLIMPS30 / Slot 5 PTO 1 / Redundante"/>
    <x v="0"/>
    <b v="0"/>
    <s v="No está en VPC"/>
    <n v="838"/>
    <s v="INTPG_ACC_838_1.44"/>
    <s v="ISEL-1.44"/>
    <n v="1"/>
    <s v="NO TIENE L3OUT"/>
    <n v="38"/>
    <n v="54"/>
  </r>
  <r>
    <n v="849"/>
    <x v="2"/>
    <x v="85"/>
    <s v="eth1/44"/>
    <x v="0"/>
    <x v="0"/>
    <x v="0"/>
    <s v="LINK_TO_ITHFHWCRMPLCN149 / Slot7.1_32 / Redundante"/>
    <x v="0"/>
    <b v="0"/>
    <s v="No está en VPC"/>
    <n v="849"/>
    <s v="INTPG_ACC_849_1.44"/>
    <s v="ISEL-1.44"/>
    <n v="6"/>
    <s v="NO TIENE L3OUT"/>
    <n v="286"/>
    <n v="54"/>
  </r>
  <r>
    <n v="845"/>
    <x v="2"/>
    <x v="86"/>
    <s v="eth1/44"/>
    <x v="0"/>
    <x v="0"/>
    <x v="0"/>
    <s v="LINK_TO_ITHFHWCRMPLCN98 / Slot1.3_28 / Principal"/>
    <x v="0"/>
    <b v="0"/>
    <s v="No está en VPC"/>
    <n v="845"/>
    <s v="INTPG_ACC_845_1.44"/>
    <s v="ISEL-1.44"/>
    <n v="1"/>
    <s v="NO TIENE L3OUT"/>
    <n v="258"/>
    <n v="54"/>
  </r>
  <r>
    <n v="873"/>
    <x v="2"/>
    <x v="87"/>
    <s v="eth1/44"/>
    <x v="0"/>
    <x v="0"/>
    <x v="0"/>
    <s v="To_ITHFHWCRMDLCN38_Redundante"/>
    <x v="0"/>
    <b v="0"/>
    <s v="No está en VPC"/>
    <n v="873"/>
    <s v="INTPG_ACC_873_1.44"/>
    <s v="ISEL-1.44"/>
    <n v="2"/>
    <s v="NO TIENE L3OUT"/>
    <n v="248"/>
    <n v="54"/>
  </r>
  <r>
    <n v="864"/>
    <x v="2"/>
    <x v="88"/>
    <s v="eth1/44"/>
    <x v="0"/>
    <x v="0"/>
    <x v="0"/>
    <s v="To_VPC_2DCBSD_WR50_2"/>
    <x v="0"/>
    <b v="0"/>
    <s v="No está en VPC"/>
    <n v="864"/>
    <s v="INTPG_VPC_859_1.44_864_1.44"/>
    <s v="ISEL-1.44"/>
    <n v="1"/>
    <s v="NO TIENE L3OUT"/>
    <n v="0"/>
    <n v="54"/>
  </r>
  <r>
    <n v="836"/>
    <x v="2"/>
    <x v="89"/>
    <s v="eth1/44"/>
    <x v="0"/>
    <x v="0"/>
    <x v="0"/>
    <s v="LINK_TO_ITHFHWCBSPSHD29 / Slot1.1_22 / Principal"/>
    <x v="0"/>
    <b v="0"/>
    <s v="No está en VPC"/>
    <n v="836"/>
    <s v="INTPG_VPC_836_1.44_841_1.44"/>
    <s v="ISEL-1.44"/>
    <n v="2"/>
    <s v="NO TIENE L3OUT"/>
    <n v="0"/>
    <n v="54"/>
  </r>
  <r>
    <n v="834"/>
    <x v="2"/>
    <x v="90"/>
    <s v="eth1/44"/>
    <x v="0"/>
    <x v="0"/>
    <x v="0"/>
    <s v="LINK_TO_ITHFHWCBSPSUSBD34 / Slot1.2_6 / Principal"/>
    <x v="0"/>
    <b v="0"/>
    <s v="No está en VPC"/>
    <n v="834"/>
    <s v="INTPG_VPC_834_1.44_839_1.44"/>
    <s v="ISEL-1.44"/>
    <n v="1"/>
    <s v="NO TIENE L3OUT"/>
    <n v="0"/>
    <n v="54"/>
  </r>
  <r>
    <n v="872"/>
    <x v="2"/>
    <x v="91"/>
    <s v="eth1/44"/>
    <x v="0"/>
    <x v="0"/>
    <x v="0"/>
    <s v="TO_ITHFHWCRMDLCN51_Principal"/>
    <x v="0"/>
    <b v="0"/>
    <s v="No está en VPC"/>
    <n v="872"/>
    <s v="INTPG_ACC_872_1.44"/>
    <s v="ISEL-1.44"/>
    <n v="1"/>
    <s v="NO TIENE L3OUT"/>
    <n v="288"/>
    <n v="54"/>
  </r>
  <r>
    <n v="842"/>
    <x v="2"/>
    <x v="92"/>
    <s v="eth1/44"/>
    <x v="0"/>
    <x v="0"/>
    <x v="0"/>
    <s v="LINK_To_ITHFHWCBSPSHD22 / Slot7.3_20 / Redundante"/>
    <x v="0"/>
    <b v="0"/>
    <s v="No está en VPC"/>
    <n v="842"/>
    <s v="INTPG_VPC_837_1.44_842_1.44"/>
    <s v="ISEL-1.44"/>
    <n v="1"/>
    <s v="NO TIENE L3OUT"/>
    <n v="8"/>
    <n v="54"/>
  </r>
  <r>
    <n v="828"/>
    <x v="2"/>
    <x v="93"/>
    <s v="eth1/44"/>
    <x v="0"/>
    <x v="0"/>
    <x v="0"/>
    <s v="To_ITHFHWCRMDLCN41_Principal"/>
    <x v="0"/>
    <b v="0"/>
    <s v="No está en VPC"/>
    <n v="828"/>
    <s v="INTPG_ACC_828_1.44"/>
    <s v="ISEL-1.44"/>
    <n v="1"/>
    <s v="NO TIENE L3OUT"/>
    <n v="192"/>
    <n v="54"/>
  </r>
  <r>
    <n v="870"/>
    <x v="2"/>
    <x v="94"/>
    <s v="eth1/44"/>
    <x v="0"/>
    <x v="0"/>
    <x v="0"/>
    <s v="To_ITHFHWCRMDLCN38_Principal"/>
    <x v="0"/>
    <b v="0"/>
    <s v="No está en VPC"/>
    <n v="870"/>
    <s v="INTPG_ACC_870_1.44"/>
    <s v="ISEL-1.44"/>
    <n v="2"/>
    <s v="NO TIENE L3OUT"/>
    <n v="248"/>
    <n v="54"/>
  </r>
  <r>
    <n v="866"/>
    <x v="2"/>
    <x v="95"/>
    <s v="eth1/44"/>
    <x v="0"/>
    <x v="0"/>
    <x v="0"/>
    <s v="To_VPC_2DCBSD_WR36_1"/>
    <x v="0"/>
    <b v="0"/>
    <s v="No está en VPC"/>
    <n v="866"/>
    <s v="INTPG_VPC_861_1.44_866_1.44"/>
    <s v="ISEL-1.44"/>
    <n v="2"/>
    <s v="NO TIENE L3OUT"/>
    <n v="8"/>
    <n v="54"/>
  </r>
  <r>
    <n v="862"/>
    <x v="2"/>
    <x v="96"/>
    <s v="eth1/44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44"/>
    <x v="0"/>
    <x v="0"/>
    <x v="0"/>
    <s v="VPC_2DCRMP_BDA10_1"/>
    <x v="0"/>
    <b v="0"/>
    <s v="No está en VPC"/>
    <n v="855"/>
    <s v="INTPG_VPC_855_1.44_848_1.44"/>
    <s v="ISEL-1.44"/>
    <n v="6"/>
    <s v="NO TIENE L3OUT"/>
    <n v="254"/>
    <n v="54"/>
  </r>
  <r>
    <n v="871"/>
    <x v="2"/>
    <x v="98"/>
    <s v="eth1/44"/>
    <x v="0"/>
    <x v="0"/>
    <x v="0"/>
    <s v="To_ITHFHWCRMDLCN68_Principal"/>
    <x v="0"/>
    <b v="0"/>
    <s v="No está en VPC"/>
    <n v="871"/>
    <s v="INTPG_ACC_871_1.44"/>
    <s v="ISEL-1.44"/>
    <n v="2"/>
    <s v="NO TIENE L3OUT"/>
    <n v="246"/>
    <n v="54"/>
  </r>
  <r>
    <n v="841"/>
    <x v="2"/>
    <x v="99"/>
    <s v="eth1/44"/>
    <x v="0"/>
    <x v="0"/>
    <x v="0"/>
    <s v="LINK_TO_ITHFHWCBSPSHD29 / Slot7.1_22 / Redundante"/>
    <x v="0"/>
    <b v="0"/>
    <s v="No está en VPC"/>
    <n v="841"/>
    <s v="INTPG_VPC_836_1.44_841_1.44"/>
    <s v="ISEL-1.44"/>
    <n v="2"/>
    <s v="NO TIENE L3OUT"/>
    <n v="0"/>
    <n v="54"/>
  </r>
  <r>
    <n v="868"/>
    <x v="2"/>
    <x v="100"/>
    <s v="eth1/44"/>
    <x v="0"/>
    <x v="0"/>
    <x v="0"/>
    <s v="To_ITHFHWCRMDLCN68_Redundante"/>
    <x v="0"/>
    <b v="0"/>
    <s v="No está en VPC"/>
    <n v="868"/>
    <s v="INTPG_ACC_868_1.44"/>
    <s v="ISEL-1.44"/>
    <n v="2"/>
    <s v="NO TIENE L3OUT"/>
    <n v="246"/>
    <n v="54"/>
  </r>
  <r>
    <n v="869"/>
    <x v="2"/>
    <x v="101"/>
    <s v="eth1/44"/>
    <x v="0"/>
    <x v="0"/>
    <x v="0"/>
    <s v="TO_ITHFHWCRMDLCN51_Redundante"/>
    <x v="0"/>
    <b v="0"/>
    <s v="No está en VPC"/>
    <n v="869"/>
    <s v="INTPG_ACC_869_1.44"/>
    <s v="ISEL-1.44"/>
    <n v="1"/>
    <s v="NO TIENE L3OUT"/>
    <n v="288"/>
    <n v="54"/>
  </r>
  <r>
    <n v="861"/>
    <x v="2"/>
    <x v="102"/>
    <s v="eth1/44"/>
    <x v="0"/>
    <x v="0"/>
    <x v="0"/>
    <s v="To_VPC_2DCBSD_WR36_1"/>
    <x v="0"/>
    <b v="0"/>
    <s v="No está en VPC"/>
    <n v="861"/>
    <s v="INTPG_VPC_861_1.44_866_1.44"/>
    <s v="ISEL-1.44"/>
    <n v="2"/>
    <s v="NO TIENE L3OUT"/>
    <n v="8"/>
    <n v="54"/>
  </r>
  <r>
    <n v="874"/>
    <x v="2"/>
    <x v="103"/>
    <s v="eth1/44"/>
    <x v="0"/>
    <x v="0"/>
    <x v="0"/>
    <s v="A_ITHFHWSEQLDPS04_Redundante"/>
    <x v="4"/>
    <b v="0"/>
    <s v="No está en VPC"/>
    <n v="874"/>
    <s v="INTPG_ACC_874_1.44"/>
    <s v="ISEL-1.44"/>
    <n v="1"/>
    <s v="NO TIENE L3OUT"/>
    <n v="92"/>
    <n v="54"/>
  </r>
  <r>
    <n v="865"/>
    <x v="2"/>
    <x v="104"/>
    <s v="eth1/44"/>
    <x v="0"/>
    <x v="0"/>
    <x v="0"/>
    <s v="To_VPC_2DCBSD_WR40_2"/>
    <x v="0"/>
    <b v="0"/>
    <s v="No está en VPC"/>
    <n v="865"/>
    <s v="INTPG_VPC_860_1.44_865_1.44"/>
    <s v="ISEL-1.44"/>
    <n v="1"/>
    <s v="NO TIENE L3OUT"/>
    <n v="0"/>
    <n v="54"/>
  </r>
  <r>
    <n v="753"/>
    <x v="2"/>
    <x v="105"/>
    <s v="eth1/44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44"/>
    <x v="0"/>
    <x v="1"/>
    <x v="3"/>
    <m/>
    <x v="0"/>
    <b v="0"/>
    <s v="No está en VPC"/>
    <n v="708"/>
    <s v="NO EXISTE PG"/>
    <s v="NO EXISTE ISEL"/>
    <n v="0"/>
    <s v="NO TIENE L3OUT"/>
    <n v="0"/>
    <n v="54"/>
  </r>
  <r>
    <n v="710"/>
    <x v="2"/>
    <x v="107"/>
    <s v="eth1/44"/>
    <x v="1"/>
    <x v="1"/>
    <x v="3"/>
    <m/>
    <x v="0"/>
    <b v="0"/>
    <s v="No está en VPC"/>
    <n v="710"/>
    <s v="NO EXISTE PG"/>
    <s v="NO EXISTE ISEL"/>
    <n v="0"/>
    <s v="NO TIENE L3OUT"/>
    <n v="16"/>
    <n v="54"/>
  </r>
  <r>
    <n v="713"/>
    <x v="2"/>
    <x v="108"/>
    <s v="eth1/44"/>
    <x v="1"/>
    <x v="1"/>
    <x v="3"/>
    <m/>
    <x v="0"/>
    <b v="0"/>
    <s v="No está en VPC"/>
    <n v="713"/>
    <s v="NO EXISTE PG"/>
    <s v="NO EXISTE ISEL"/>
    <n v="0"/>
    <s v="NO TIENE L3OUT"/>
    <n v="32"/>
    <n v="54"/>
  </r>
  <r>
    <n v="735"/>
    <x v="2"/>
    <x v="109"/>
    <s v="eth1/44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44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44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44"/>
    <x v="1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44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44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44"/>
    <x v="0"/>
    <x v="0"/>
    <x v="0"/>
    <s v="LINK_TO_ITHFHWCBSDSWR21 /10GE.1 /Principal"/>
    <x v="0"/>
    <b v="0"/>
    <s v="No está en VPC"/>
    <n v="826"/>
    <s v="INTPG_VPC_826_1.44_830_1.44"/>
    <s v="ISEL-1.44"/>
    <n v="1"/>
    <s v="NO TIENE L3OUT"/>
    <n v="12"/>
    <n v="54"/>
  </r>
  <r>
    <n v="726"/>
    <x v="2"/>
    <x v="117"/>
    <s v="eth1/44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44"/>
    <x v="0"/>
    <x v="1"/>
    <x v="1"/>
    <m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44"/>
    <x v="1"/>
    <x v="1"/>
    <x v="3"/>
    <m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44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44"/>
    <x v="1"/>
    <x v="1"/>
    <x v="3"/>
    <m/>
    <x v="0"/>
    <b v="0"/>
    <s v="No está en VPC"/>
    <n v="721"/>
    <s v="ACC-LAP_TEST"/>
    <s v="ISEL-1.44-TEST"/>
    <n v="0"/>
    <s v="NO TIENE L3OUT"/>
    <n v="20"/>
    <n v="54"/>
  </r>
  <r>
    <n v="788"/>
    <x v="2"/>
    <x v="122"/>
    <s v="eth1/44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44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44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44"/>
    <x v="1"/>
    <x v="1"/>
    <x v="3"/>
    <m/>
    <x v="0"/>
    <b v="0"/>
    <s v="No está en VPC"/>
    <n v="709"/>
    <s v="NO EXISTE PG"/>
    <s v="NO EXISTE ISEL"/>
    <n v="0"/>
    <s v="NO TIENE L3OUT"/>
    <n v="0"/>
    <n v="54"/>
  </r>
  <r>
    <n v="454"/>
    <x v="1"/>
    <x v="126"/>
    <s v="eth1/44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44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44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44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44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44"/>
    <x v="0"/>
    <x v="1"/>
    <x v="1"/>
    <m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44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44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44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44"/>
    <x v="0"/>
    <x v="1"/>
    <x v="3"/>
    <m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44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44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44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44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44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44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44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44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44"/>
    <x v="0"/>
    <x v="0"/>
    <x v="0"/>
    <s v="ithenmr13e2r2_BAY2/X9"/>
    <x v="0"/>
    <b v="0"/>
    <s v="No está en VPC"/>
    <n v="773"/>
    <s v="INTPG_ACC_773_1.44"/>
    <s v="ISEL-1.44"/>
    <n v="20"/>
    <s v="NO TIENE L3OUT"/>
    <n v="78"/>
    <n v="54"/>
  </r>
  <r>
    <n v="794"/>
    <x v="2"/>
    <x v="146"/>
    <s v="eth1/44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44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44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44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44"/>
    <x v="1"/>
    <x v="1"/>
    <x v="3"/>
    <m/>
    <x v="0"/>
    <b v="0"/>
    <s v="No está en VPC"/>
    <n v="781"/>
    <s v="NO EXISTE PG"/>
    <s v="NO EXISTE ISEL"/>
    <n v="0"/>
    <s v="NO TIENE L3OUT"/>
    <n v="26"/>
    <n v="54"/>
  </r>
  <r>
    <n v="793"/>
    <x v="2"/>
    <x v="151"/>
    <s v="eth1/44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44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44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44"/>
    <x v="1"/>
    <x v="1"/>
    <x v="3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44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44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44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44"/>
    <x v="0"/>
    <x v="1"/>
    <x v="1"/>
    <m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44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44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44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44"/>
    <x v="0"/>
    <x v="0"/>
    <x v="0"/>
    <s v="LINK_TO_ITHFHWCBSDSWR21 /Slot5.1 /Redundante"/>
    <x v="0"/>
    <b v="0"/>
    <s v="No está en VPC"/>
    <n v="830"/>
    <s v="INTPG_VPC_826_1.44_830_1.44"/>
    <s v="ISEL-1.44"/>
    <n v="1"/>
    <s v="NO TIENE L3OUT"/>
    <n v="12"/>
    <n v="54"/>
  </r>
  <r>
    <n v="821"/>
    <x v="2"/>
    <x v="163"/>
    <s v="eth1/44"/>
    <x v="0"/>
    <x v="0"/>
    <x v="0"/>
    <s v="LINK_TO_ITHFHWCBSPSWR21 /Slot5.1 /Redundante"/>
    <x v="0"/>
    <b v="0"/>
    <s v="No está en VPC"/>
    <n v="821"/>
    <s v="INTPG_VPC_816_1.44_821_1.44"/>
    <s v="ISEL-1.44"/>
    <n v="1"/>
    <s v="NO TIENE L3OUT"/>
    <n v="0"/>
    <n v="54"/>
  </r>
  <r>
    <n v="738"/>
    <x v="2"/>
    <x v="164"/>
    <s v="eth1/44"/>
    <x v="0"/>
    <x v="1"/>
    <x v="1"/>
    <m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44"/>
    <x v="0"/>
    <x v="1"/>
    <x v="3"/>
    <m/>
    <x v="0"/>
    <b v="0"/>
    <s v="No está en VPC"/>
    <n v="820"/>
    <s v="NO EXISTE PG"/>
    <s v="NO EXISTE ISEL"/>
    <n v="0"/>
    <s v="NO TIENE L3OUT"/>
    <n v="72"/>
    <n v="54"/>
  </r>
  <r>
    <n v="804"/>
    <x v="2"/>
    <x v="166"/>
    <s v="eth1/44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44"/>
    <x v="1"/>
    <x v="1"/>
    <x v="3"/>
    <m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44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44"/>
    <x v="0"/>
    <x v="0"/>
    <x v="0"/>
    <s v="LINK_TO_ITHFHWCBSDSWR31 /Slot5.2 /Principal"/>
    <x v="0"/>
    <b v="0"/>
    <s v="No está en VPC"/>
    <n v="827"/>
    <s v="INTPG_VPC_827_1.44_831_1.44"/>
    <s v="ISEL-1.44"/>
    <n v="2"/>
    <s v="NO TIENE L3OUT"/>
    <n v="14"/>
    <n v="54"/>
  </r>
  <r>
    <n v="809"/>
    <x v="2"/>
    <x v="170"/>
    <s v="eth1/44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44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44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44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44"/>
    <x v="1"/>
    <x v="1"/>
    <x v="3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44"/>
    <x v="0"/>
    <x v="0"/>
    <x v="0"/>
    <s v="ithenmr13e2r2_BAY1/X9"/>
    <x v="0"/>
    <b v="0"/>
    <s v="No está en VPC"/>
    <n v="772"/>
    <s v="INTPG_ACC_772_1.44"/>
    <s v="ISEL-1.44"/>
    <n v="20"/>
    <s v="NO TIENE L3OUT"/>
    <n v="82"/>
    <n v="54"/>
  </r>
  <r>
    <n v="785"/>
    <x v="2"/>
    <x v="176"/>
    <s v="eth1/44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44"/>
    <x v="0"/>
    <x v="0"/>
    <x v="0"/>
    <s v="LINK_TO_ITHFHWCRMPLCN115 / Slot7.2_34 / Redundante"/>
    <x v="0"/>
    <b v="0"/>
    <s v="No está en VPC"/>
    <n v="851"/>
    <s v="INTPG_ACC_851_1.44"/>
    <s v="ISEL-1.44"/>
    <n v="2"/>
    <s v="NO TIENE L3OUT"/>
    <n v="282"/>
    <n v="54"/>
  </r>
  <r>
    <n v="798"/>
    <x v="2"/>
    <x v="178"/>
    <s v="eth1/44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44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44"/>
    <x v="0"/>
    <x v="0"/>
    <x v="0"/>
    <s v="LINK_TO_ITHFHWCRMPLCN98 / Slot7.3_28 / Redundante"/>
    <x v="0"/>
    <b v="0"/>
    <s v="No está en VPC"/>
    <n v="852"/>
    <s v="INTPG_ACC_852_1.44"/>
    <s v="ISEL-1.44"/>
    <n v="1"/>
    <s v="NO TIENE L3OUT"/>
    <n v="258"/>
    <n v="54"/>
  </r>
  <r>
    <n v="817"/>
    <x v="2"/>
    <x v="181"/>
    <s v="eth1/44"/>
    <x v="0"/>
    <x v="0"/>
    <x v="0"/>
    <s v="LINK_TO_ITHFHWCBSPSWR28 /10GE.1 /Principal"/>
    <x v="0"/>
    <b v="0"/>
    <s v="No está en VPC"/>
    <n v="817"/>
    <s v="INTPG_VPC_817_1.44_822_1.44"/>
    <s v="ISEL-1.44"/>
    <n v="1"/>
    <s v="NO TIENE L3OUT"/>
    <n v="0"/>
    <n v="54"/>
  </r>
  <r>
    <n v="832"/>
    <x v="2"/>
    <x v="182"/>
    <s v="eth1/44"/>
    <x v="0"/>
    <x v="0"/>
    <x v="0"/>
    <s v="To_ITHFHWCRMDLCN41_Redundante"/>
    <x v="0"/>
    <b v="0"/>
    <s v="No está en VPC"/>
    <n v="832"/>
    <s v="INTPG_ACC_832_1.44"/>
    <s v="ISEL-1.44"/>
    <n v="1"/>
    <s v="NO TIENE L3OUT"/>
    <n v="192"/>
    <n v="54"/>
  </r>
  <r>
    <n v="816"/>
    <x v="2"/>
    <x v="183"/>
    <s v="eth1/44"/>
    <x v="0"/>
    <x v="0"/>
    <x v="0"/>
    <s v="LINK_TO_ITHFHWCBSPSWR21 /10GE.1 /Principal"/>
    <x v="0"/>
    <b v="0"/>
    <s v="No está en VPC"/>
    <n v="816"/>
    <s v="INTPG_VPC_816_1.44_821_1.44"/>
    <s v="ISEL-1.44"/>
    <n v="1"/>
    <s v="NO TIENE L3OUT"/>
    <n v="0"/>
    <n v="54"/>
  </r>
  <r>
    <n v="825"/>
    <x v="2"/>
    <x v="184"/>
    <s v="eth1/44"/>
    <x v="0"/>
    <x v="1"/>
    <x v="3"/>
    <m/>
    <x v="0"/>
    <b v="0"/>
    <s v="No está en VPC"/>
    <n v="825"/>
    <s v="NO EXISTE PG"/>
    <s v="NO EXISTE ISEL"/>
    <n v="0"/>
    <s v="NO TIENE L3OUT"/>
    <n v="72"/>
    <n v="54"/>
  </r>
  <r>
    <n v="800"/>
    <x v="2"/>
    <x v="185"/>
    <s v="eth1/44"/>
    <x v="0"/>
    <x v="0"/>
    <x v="0"/>
    <s v="TO-ITHFDEOCP1LWR12-REDUNDANTE"/>
    <x v="0"/>
    <b v="0"/>
    <s v="No está en VPC"/>
    <n v="800"/>
    <s v="INTPG_ACC_800_1.44"/>
    <s v="ISEL-1.44"/>
    <n v="1"/>
    <s v="NO TIENE L3OUT"/>
    <n v="78"/>
    <n v="54"/>
  </r>
  <r>
    <n v="801"/>
    <x v="2"/>
    <x v="186"/>
    <s v="eth1/44"/>
    <x v="0"/>
    <x v="0"/>
    <x v="0"/>
    <s v="TO-ITHFDEOCP1LWR12-PRINCIPAL"/>
    <x v="0"/>
    <b v="0"/>
    <s v="No está en VPC"/>
    <n v="801"/>
    <s v="INTPG_ACC_801_1.44"/>
    <s v="ISEL-1.44"/>
    <n v="1"/>
    <s v="NO TIENE L3OUT"/>
    <n v="78"/>
    <n v="54"/>
  </r>
  <r>
    <n v="823"/>
    <x v="2"/>
    <x v="187"/>
    <s v="eth1/44"/>
    <x v="0"/>
    <x v="0"/>
    <x v="0"/>
    <s v="LINK_TO_ITHFHWCBSPSWR39 /Slot7.2 /Redundante"/>
    <x v="0"/>
    <b v="0"/>
    <s v="No está en VPC"/>
    <n v="823"/>
    <s v="INTPG_VPC_818_1.44_823_1.44"/>
    <s v="ISEL-1.44"/>
    <n v="2"/>
    <s v="NO TIENE L3OUT"/>
    <n v="8"/>
    <n v="54"/>
  </r>
  <r>
    <n v="837"/>
    <x v="2"/>
    <x v="188"/>
    <s v="eth1/44"/>
    <x v="0"/>
    <x v="0"/>
    <x v="0"/>
    <s v="LINK_To_ITHFHWCBSPSHD22 / Slot1.3_20 / Principal"/>
    <x v="0"/>
    <b v="0"/>
    <s v="No está en VPC"/>
    <n v="837"/>
    <s v="INTPG_VPC_837_1.44_842_1.44"/>
    <s v="ISEL-1.44"/>
    <n v="1"/>
    <s v="NO TIENE L3OUT"/>
    <n v="8"/>
    <n v="54"/>
  </r>
  <r>
    <n v="867"/>
    <x v="2"/>
    <x v="189"/>
    <s v="eth1/44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44"/>
    <x v="0"/>
    <x v="0"/>
    <x v="0"/>
    <s v="To_VPC_2DCRMD_SBD05_3_Principal"/>
    <x v="0"/>
    <b v="0"/>
    <s v="No está en VPC"/>
    <n v="829"/>
    <s v="INTPG_VPC_829_1.44_833_1.44"/>
    <s v="ISEL-1.44"/>
    <n v="1"/>
    <s v="NO TIENE L3OUT"/>
    <n v="224"/>
    <n v="54"/>
  </r>
  <r>
    <n v="831"/>
    <x v="2"/>
    <x v="191"/>
    <s v="eth1/44"/>
    <x v="0"/>
    <x v="0"/>
    <x v="0"/>
    <s v="LINK_TO_ITHFHWCBSDSWR31 /Slot7.2 /Redundante"/>
    <x v="0"/>
    <b v="0"/>
    <s v="No está en VPC"/>
    <n v="831"/>
    <s v="INTPG_VPC_827_1.44_831_1.44"/>
    <s v="ISEL-1.44"/>
    <n v="2"/>
    <s v="NO TIENE L3OUT"/>
    <n v="14"/>
    <n v="54"/>
  </r>
  <r>
    <n v="802"/>
    <x v="2"/>
    <x v="192"/>
    <s v="eth1/44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44"/>
    <x v="0"/>
    <x v="0"/>
    <x v="0"/>
    <s v="LINK_TO_ITHFHWCBSPSHDCTL06 / Slot1.1_12 / Principal"/>
    <x v="0"/>
    <b v="0"/>
    <s v="No está en VPC"/>
    <n v="835"/>
    <s v="INTPG_VPC_835_1.44_840_1.44"/>
    <s v="ISEL-1.44"/>
    <n v="2"/>
    <s v="NO TIENE L3OUT"/>
    <n v="8"/>
    <n v="54"/>
  </r>
  <r>
    <n v="822"/>
    <x v="2"/>
    <x v="194"/>
    <s v="eth1/44"/>
    <x v="0"/>
    <x v="0"/>
    <x v="0"/>
    <s v="LINK_TO_ITHFHWCBSPSWR28 /Slot5.1 /Redundante"/>
    <x v="0"/>
    <b v="0"/>
    <s v="No está en VPC"/>
    <n v="822"/>
    <s v="INTPG_VPC_817_1.44_822_1.44"/>
    <s v="ISEL-1.44"/>
    <n v="1"/>
    <s v="NO TIENE L3OUT"/>
    <n v="0"/>
    <n v="54"/>
  </r>
  <r>
    <n v="854"/>
    <x v="2"/>
    <x v="195"/>
    <s v="eth1/44"/>
    <x v="0"/>
    <x v="0"/>
    <x v="0"/>
    <s v="LINK_TO_ITHFHWCRMPLCN153 / Slot1.1_8 / Principal"/>
    <x v="0"/>
    <b v="0"/>
    <s v="No está en VPC"/>
    <n v="854"/>
    <s v="INTPG_ACC_854_1.44"/>
    <s v="ISEL-1.44"/>
    <n v="6"/>
    <s v="NO TIENE L3OUT"/>
    <n v="204"/>
    <n v="54"/>
  </r>
  <r>
    <n v="858"/>
    <x v="2"/>
    <x v="196"/>
    <s v="eth1/44"/>
    <x v="0"/>
    <x v="0"/>
    <x v="0"/>
    <s v="To_ITHHWD6KV65100015DKC01_Principal"/>
    <x v="0"/>
    <b v="0"/>
    <s v="No está en VPC"/>
    <n v="858"/>
    <s v="INTPG_ACC_858_1.44"/>
    <s v="ISEL-1.44"/>
    <n v="1"/>
    <s v="NO TIENE L3OUT"/>
    <n v="8"/>
    <n v="54"/>
  </r>
  <r>
    <n v="857"/>
    <x v="2"/>
    <x v="197"/>
    <s v="eth1/44"/>
    <x v="0"/>
    <x v="0"/>
    <x v="0"/>
    <s v="LINKT_TO_ITHFHWCRMPLCN130 / Slot1.1_30 / Principal"/>
    <x v="0"/>
    <b v="0"/>
    <s v="No está en VPC"/>
    <n v="857"/>
    <s v="INTPG_ACC_857_1.44"/>
    <s v="ISEL-1.44"/>
    <n v="6"/>
    <s v="NO TIENE L3OUT"/>
    <n v="288"/>
    <n v="54"/>
  </r>
  <r>
    <n v="859"/>
    <x v="2"/>
    <x v="198"/>
    <s v="eth1/44"/>
    <x v="0"/>
    <x v="0"/>
    <x v="0"/>
    <s v="To_VPC_2DCBSD_WR50_2"/>
    <x v="0"/>
    <b v="0"/>
    <s v="No está en VPC"/>
    <n v="859"/>
    <s v="INTPG_VPC_859_1.44_864_1.44"/>
    <s v="ISEL-1.44"/>
    <n v="1"/>
    <s v="NO TIENE L3OUT"/>
    <n v="0"/>
    <n v="54"/>
  </r>
  <r>
    <n v="833"/>
    <x v="2"/>
    <x v="199"/>
    <s v="eth1/44"/>
    <x v="0"/>
    <x v="0"/>
    <x v="0"/>
    <s v="To_VPC_2DCRMD_SBD05_3_Redundancia"/>
    <x v="0"/>
    <b v="0"/>
    <s v="No está en VPC"/>
    <n v="833"/>
    <s v="INTPG_VPC_829_1.44_833_1.44"/>
    <s v="ISEL-1.44"/>
    <n v="1"/>
    <s v="NO TIENE L3OUT"/>
    <n v="224"/>
    <n v="54"/>
  </r>
  <r>
    <n v="818"/>
    <x v="2"/>
    <x v="200"/>
    <s v="eth1/44"/>
    <x v="0"/>
    <x v="0"/>
    <x v="0"/>
    <s v="LINK_TO_ITHFHWCBSPSWR39 /Slot5.2 /Principal"/>
    <x v="0"/>
    <b v="0"/>
    <s v="No está en VPC"/>
    <n v="818"/>
    <s v="INTPG_VPC_818_1.44_823_1.44"/>
    <s v="ISEL-1.44"/>
    <n v="2"/>
    <s v="NO TIENE L3OUT"/>
    <n v="8"/>
    <n v="54"/>
  </r>
  <r>
    <n v="850"/>
    <x v="2"/>
    <x v="201"/>
    <s v="eth1/44"/>
    <x v="0"/>
    <x v="0"/>
    <x v="0"/>
    <s v="LINKT_TO_ITHFHWCRMPLCN130 / Slot7.1_30 / Redundante"/>
    <x v="0"/>
    <b v="0"/>
    <s v="No está en VPC"/>
    <n v="850"/>
    <s v="INTPG_ACC_850_1.44"/>
    <s v="ISEL-1.44"/>
    <n v="6"/>
    <s v="NO TIENE L3OUT"/>
    <n v="288"/>
    <n v="54"/>
  </r>
  <r>
    <n v="860"/>
    <x v="2"/>
    <x v="202"/>
    <s v="eth1/44"/>
    <x v="0"/>
    <x v="0"/>
    <x v="0"/>
    <s v="To_VPC_2DCBSD_WR40_2"/>
    <x v="0"/>
    <b v="0"/>
    <s v="No está en VPC"/>
    <n v="860"/>
    <s v="INTPG_VPC_860_1.44_865_1.44"/>
    <s v="ISEL-1.44"/>
    <n v="1"/>
    <s v="NO TIENE L3OUT"/>
    <n v="0"/>
    <n v="54"/>
  </r>
  <r>
    <n v="853"/>
    <x v="2"/>
    <x v="203"/>
    <s v="eth1/44"/>
    <x v="0"/>
    <x v="0"/>
    <x v="0"/>
    <s v="LINK_TO_ITHFHWCRMPLCN86 / Slot7.2_30 / Redundante"/>
    <x v="0"/>
    <b v="0"/>
    <s v="No está en VPC"/>
    <n v="853"/>
    <s v="INTPG_ACC_853_1.44"/>
    <s v="ISEL-1.44"/>
    <n v="2"/>
    <s v="NO TIENE L3OUT"/>
    <n v="242"/>
    <n v="54"/>
  </r>
  <r>
    <n v="790"/>
    <x v="2"/>
    <x v="204"/>
    <s v="eth1/44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44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44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44"/>
    <x v="0"/>
    <x v="1"/>
    <x v="1"/>
    <m/>
    <x v="6"/>
    <b v="0"/>
    <s v="No está en VPC"/>
    <n v="104"/>
    <s v="NO EXISTE PG"/>
    <s v="NO EXISTE ISEL"/>
    <n v="0"/>
    <s v="NO TIENE L3OUT"/>
    <n v="194"/>
    <n v="96"/>
  </r>
  <r>
    <n v="158"/>
    <x v="0"/>
    <x v="208"/>
    <s v="eth1/44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44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44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44"/>
    <x v="0"/>
    <x v="0"/>
    <x v="0"/>
    <m/>
    <x v="6"/>
    <b v="0"/>
    <s v="No está en VPC"/>
    <n v="108"/>
    <s v="INTPG_ACC_108_1.44"/>
    <s v="ISEL-1.44"/>
    <n v="1"/>
    <s v="NO TIENE L3OUT"/>
    <n v="126"/>
    <n v="96"/>
  </r>
  <r>
    <n v="112"/>
    <x v="0"/>
    <x v="212"/>
    <s v="eth1/44"/>
    <x v="0"/>
    <x v="1"/>
    <x v="1"/>
    <s v="HP Report OptimizireRack 300"/>
    <x v="6"/>
    <b v="0"/>
    <s v="No está en VPC"/>
    <n v="112"/>
    <s v="INTPG_ACC_112_1.44"/>
    <s v="ISEL-1.44"/>
    <n v="1"/>
    <s v="NO TIENE L3OUT"/>
    <n v="144"/>
    <n v="96"/>
  </r>
  <r>
    <n v="107"/>
    <x v="0"/>
    <x v="213"/>
    <s v="eth1/44"/>
    <x v="0"/>
    <x v="0"/>
    <x v="0"/>
    <s v="COMISIONES"/>
    <x v="6"/>
    <b v="0"/>
    <s v="No está en VPC"/>
    <n v="107"/>
    <s v="INTPG_ACC_107_1.44"/>
    <s v="ISEL-1.44"/>
    <n v="1"/>
    <s v="NO TIENE L3OUT"/>
    <n v="118"/>
    <n v="96"/>
  </r>
  <r>
    <n v="109"/>
    <x v="0"/>
    <x v="214"/>
    <s v="eth1/44"/>
    <x v="0"/>
    <x v="0"/>
    <x v="0"/>
    <m/>
    <x v="6"/>
    <b v="0"/>
    <s v="No está en VPC"/>
    <n v="109"/>
    <s v="INTPG_ACC_109_1.44"/>
    <s v="ISEL-1.44"/>
    <n v="1"/>
    <s v="NO TIENE L3OUT"/>
    <n v="126"/>
    <n v="96"/>
  </r>
  <r>
    <n v="113"/>
    <x v="0"/>
    <x v="215"/>
    <s v="eth1/44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44"/>
    <x v="0"/>
    <x v="1"/>
    <x v="1"/>
    <s v="SAPCCRATING02"/>
    <x v="6"/>
    <b v="0"/>
    <s v="No está en VPC"/>
    <n v="114"/>
    <s v="INTPG_VPC_112_1.47_114_1.44"/>
    <s v="ISEL-1.44"/>
    <n v="1"/>
    <s v="NO TIENE L3OUT"/>
    <n v="144"/>
    <n v="96"/>
  </r>
  <r>
    <n v="124"/>
    <x v="0"/>
    <x v="217"/>
    <s v="eth1/44"/>
    <x v="0"/>
    <x v="0"/>
    <x v="0"/>
    <s v="MONITOREO DE SWITCHS EXTREME OSS EN SPECTRUM"/>
    <x v="6"/>
    <b v="0"/>
    <s v="No está en VPC"/>
    <n v="124"/>
    <s v="INTPG_ACC_124_1.44"/>
    <s v="ISEL-1.44"/>
    <n v="1"/>
    <s v="NO TIENE L3OUT"/>
    <n v="80"/>
    <n v="96"/>
  </r>
  <r>
    <n v="118"/>
    <x v="0"/>
    <x v="218"/>
    <s v="eth1/44"/>
    <x v="0"/>
    <x v="0"/>
    <x v="0"/>
    <s v="INGE6"/>
    <x v="6"/>
    <b v="0"/>
    <s v="No está en VPC"/>
    <n v="118"/>
    <s v="INTPG_ACC_118_1.44"/>
    <s v="ISEL-1.44"/>
    <n v="1"/>
    <s v="NO TIENE L3OUT"/>
    <n v="180"/>
    <n v="96"/>
  </r>
  <r>
    <n v="159"/>
    <x v="0"/>
    <x v="219"/>
    <s v="eth1/44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44"/>
    <x v="0"/>
    <x v="0"/>
    <x v="0"/>
    <s v="LINK_TO_ITHFHWCBSPSHDCTL06 / Slot7.1_12 / Redundante"/>
    <x v="0"/>
    <b v="0"/>
    <s v="No está en VPC"/>
    <n v="840"/>
    <s v="INTPG_VPC_835_1.44_840_1.44"/>
    <s v="ISEL-1.44"/>
    <n v="2"/>
    <s v="NO TIENE L3OUT"/>
    <n v="8"/>
    <n v="54"/>
  </r>
  <r>
    <n v="856"/>
    <x v="2"/>
    <x v="221"/>
    <s v="eth1/44"/>
    <x v="0"/>
    <x v="0"/>
    <x v="0"/>
    <s v="LINK_TO_ITHFHWCRMPLCN149 / Slot1.1_32 / Principal"/>
    <x v="0"/>
    <b v="0"/>
    <s v="No está en VPC"/>
    <n v="856"/>
    <s v="INTPG_ACC_856_1.44"/>
    <s v="ISEL-1.44"/>
    <n v="6"/>
    <s v="NO TIENE L3OUT"/>
    <n v="286"/>
    <n v="54"/>
  </r>
  <r>
    <n v="110"/>
    <x v="0"/>
    <x v="222"/>
    <s v="eth1/44"/>
    <x v="0"/>
    <x v="1"/>
    <x v="1"/>
    <s v="SUN6900_E25K"/>
    <x v="6"/>
    <b v="0"/>
    <s v="No está en VPC"/>
    <n v="110"/>
    <s v="INTPG_ACC_110_1.44"/>
    <s v="ISEL-1.44"/>
    <n v="1"/>
    <s v="NO TIENE L3OUT"/>
    <n v="102"/>
    <n v="96"/>
  </r>
  <r>
    <n v="163"/>
    <x v="0"/>
    <x v="223"/>
    <s v="eth1/44"/>
    <x v="0"/>
    <x v="1"/>
    <x v="1"/>
    <m/>
    <x v="6"/>
    <b v="0"/>
    <s v="No está en VPC"/>
    <n v="163"/>
    <s v="INTPG_VPC_163_1.44_161_1.39"/>
    <s v="ISEL-1.44"/>
    <n v="1"/>
    <s v="NO TIENE L3OUT"/>
    <n v="140"/>
    <n v="96"/>
  </r>
  <r>
    <n v="407"/>
    <x v="1"/>
    <x v="224"/>
    <s v="eth1/44"/>
    <x v="0"/>
    <x v="0"/>
    <x v="0"/>
    <s v="CPP_4_15"/>
    <x v="6"/>
    <b v="0"/>
    <s v="No está en VPC"/>
    <n v="407"/>
    <s v="INTPG_ACC_407_1.44"/>
    <s v="ISEL-1.44"/>
    <n v="1"/>
    <s v="NO TIENE L3OUT"/>
    <n v="122"/>
    <n v="96"/>
  </r>
  <r>
    <n v="171"/>
    <x v="0"/>
    <x v="225"/>
    <s v="eth1/44"/>
    <x v="0"/>
    <x v="0"/>
    <x v="0"/>
    <s v="HP_Performance_Insight"/>
    <x v="6"/>
    <b v="0"/>
    <s v="No está en VPC"/>
    <n v="171"/>
    <s v="INTPG_ACC_171_1.44"/>
    <s v="ISEL-1.44"/>
    <n v="1"/>
    <s v="NO TIENE L3OUT"/>
    <n v="114"/>
    <n v="96"/>
  </r>
  <r>
    <n v="421"/>
    <x v="1"/>
    <x v="226"/>
    <s v="eth1/44"/>
    <x v="0"/>
    <x v="0"/>
    <x v="0"/>
    <s v="PortalCautivo2_f5em01_mgmt"/>
    <x v="6"/>
    <b v="0"/>
    <s v="No está en VPC"/>
    <n v="421"/>
    <s v="INTPG_ACC_421_1.44"/>
    <s v="ISEL-1.44"/>
    <n v="1"/>
    <s v="NO TIENE L3OUT"/>
    <n v="72"/>
    <n v="96"/>
  </r>
  <r>
    <n v="173"/>
    <x v="0"/>
    <x v="227"/>
    <s v="eth1/44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44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44"/>
    <x v="0"/>
    <x v="0"/>
    <x v="0"/>
    <s v="SRS (Speedy Rating System)"/>
    <x v="6"/>
    <b v="0"/>
    <s v="No está en VPC"/>
    <n v="172"/>
    <s v="INTPG_ACC_172_1.44"/>
    <s v="ISEL-1.44"/>
    <n v="1"/>
    <s v="NO TIENE L3OUT"/>
    <n v="104"/>
    <n v="96"/>
  </r>
  <r>
    <n v="420"/>
    <x v="1"/>
    <x v="230"/>
    <s v="eth1/44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44"/>
    <x v="0"/>
    <x v="0"/>
    <x v="0"/>
    <s v="SPECSERVER2_ADMIN2"/>
    <x v="6"/>
    <b v="0"/>
    <s v="No está en VPC"/>
    <n v="423"/>
    <s v="INTPG_ACC_423_1.44"/>
    <s v="ISEL-1.44"/>
    <n v="1"/>
    <s v="NO TIENE L3OUT"/>
    <n v="86"/>
    <n v="96"/>
  </r>
  <r>
    <n v="415"/>
    <x v="1"/>
    <x v="232"/>
    <s v="eth1/44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44"/>
    <x v="1"/>
    <x v="1"/>
    <x v="2"/>
    <s v="IXTLA4_VC1:VMTLCLAMX5:VC1  X4"/>
    <x v="6"/>
    <b v="0"/>
    <s v="No está en VPC"/>
    <n v="102"/>
    <s v="INTPG_PC_102_1.41-48"/>
    <s v="ISEL-1.44"/>
    <n v="0"/>
    <s v="NO TIENE L3OUT"/>
    <n v="228"/>
    <n v="96"/>
  </r>
  <r>
    <n v="863"/>
    <x v="2"/>
    <x v="234"/>
    <s v="eth1/44"/>
    <x v="0"/>
    <x v="0"/>
    <x v="0"/>
    <s v="To_ITHHWD6KV65100015DKC01_Redundante"/>
    <x v="0"/>
    <b v="0"/>
    <s v="No está en VPC"/>
    <n v="863"/>
    <s v="INTPG_ACC_863_1.44"/>
    <s v="ISEL-1.44"/>
    <n v="1"/>
    <s v="NO TIENE L3OUT"/>
    <n v="8"/>
    <n v="54"/>
  </r>
  <r>
    <n v="876"/>
    <x v="2"/>
    <x v="235"/>
    <s v="eth1/44"/>
    <x v="0"/>
    <x v="0"/>
    <x v="0"/>
    <s v="A_ITHFHWSEQLDPS04_Principal"/>
    <x v="4"/>
    <b v="0"/>
    <s v="No está en VPC"/>
    <n v="876"/>
    <s v="INTPG_ACC_876_1.44"/>
    <s v="ISEL-1.44"/>
    <n v="1"/>
    <s v="NO TIENE L3OUT"/>
    <n v="92"/>
    <n v="54"/>
  </r>
  <r>
    <n v="877"/>
    <x v="2"/>
    <x v="236"/>
    <s v="eth1/44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44"/>
    <x v="1"/>
    <x v="1"/>
    <x v="2"/>
    <s v="ZFS X5-2"/>
    <x v="6"/>
    <b v="0"/>
    <s v="No está en VPC"/>
    <n v="122"/>
    <s v="INTPG_ACC_122_1.44"/>
    <s v="ISEL-1.44"/>
    <n v="0"/>
    <s v="NO TIENE L3OUT"/>
    <n v="148"/>
    <n v="96"/>
  </r>
  <r>
    <n v="157"/>
    <x v="0"/>
    <x v="238"/>
    <s v="eth1/44"/>
    <x v="0"/>
    <x v="0"/>
    <x v="0"/>
    <s v="CIRCULO AZUL 1"/>
    <x v="6"/>
    <b v="0"/>
    <s v="No está en VPC"/>
    <n v="157"/>
    <s v="INTPG_ACC_157_1.44"/>
    <s v="ISEL-1.44"/>
    <n v="1"/>
    <s v="NO TIENE L3OUT"/>
    <n v="202"/>
    <n v="96"/>
  </r>
  <r>
    <n v="408"/>
    <x v="1"/>
    <x v="239"/>
    <s v="eth1/44"/>
    <x v="0"/>
    <x v="0"/>
    <x v="0"/>
    <s v="HNMP101A"/>
    <x v="6"/>
    <b v="0"/>
    <s v="No está en VPC"/>
    <n v="408"/>
    <s v="INTPG_ACC_408_1.44"/>
    <s v="ISEL-1.44"/>
    <n v="1"/>
    <s v="NO TIENE L3OUT"/>
    <n v="152"/>
    <n v="96"/>
  </r>
  <r>
    <n v="405"/>
    <x v="1"/>
    <x v="240"/>
    <s v="eth1/44"/>
    <x v="0"/>
    <x v="0"/>
    <x v="0"/>
    <s v="ITHSGHP0"/>
    <x v="6"/>
    <b v="0"/>
    <s v="No está en VPC"/>
    <n v="405"/>
    <s v="INTPG_ACC_405_1.44"/>
    <s v="ISEL-1.44"/>
    <n v="1"/>
    <s v="NO TIENE L3OUT"/>
    <n v="138"/>
    <n v="96"/>
  </r>
  <r>
    <n v="169"/>
    <x v="0"/>
    <x v="241"/>
    <s v="eth1/44"/>
    <x v="0"/>
    <x v="0"/>
    <x v="0"/>
    <s v="Commvault_Gestion"/>
    <x v="6"/>
    <b v="0"/>
    <s v="No está en VPC"/>
    <n v="169"/>
    <s v="INTPG_ACC_169_1.44"/>
    <s v="ISEL-1.44"/>
    <n v="1"/>
    <s v="NO TIENE L3OUT"/>
    <n v="76"/>
    <n v="96"/>
  </r>
  <r>
    <n v="165"/>
    <x v="0"/>
    <x v="242"/>
    <s v="eth1/44"/>
    <x v="0"/>
    <x v="0"/>
    <x v="0"/>
    <s v="NOMINA_uxnomaps"/>
    <x v="6"/>
    <b v="0"/>
    <s v="No está en VPC"/>
    <n v="165"/>
    <s v="INTPG_ACC_165_1.44"/>
    <s v="ISEL-1.44"/>
    <n v="1"/>
    <s v="NO TIENE L3OUT"/>
    <n v="86"/>
    <n v="96"/>
  </r>
  <r>
    <n v="417"/>
    <x v="1"/>
    <x v="243"/>
    <s v="eth1/44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44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44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44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44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44"/>
    <x v="0"/>
    <x v="0"/>
    <x v="0"/>
    <s v="TC3_ithmomce1_VC2_X5"/>
    <x v="6"/>
    <b v="0"/>
    <s v="No está en VPC"/>
    <n v="438"/>
    <s v="INTPG_ACC_438_1.44"/>
    <s v="ISEL-1.44"/>
    <n v="7"/>
    <s v="NO TIENE L3OUT"/>
    <n v="170"/>
    <n v="96"/>
  </r>
  <r>
    <n v="406"/>
    <x v="1"/>
    <x v="249"/>
    <s v="eth1/44"/>
    <x v="0"/>
    <x v="0"/>
    <x v="0"/>
    <s v="VIOSDES1-VIOSDES1_CLT"/>
    <x v="6"/>
    <b v="0"/>
    <s v="No está en VPC"/>
    <n v="406"/>
    <s v="INTPG_VPC_404_1.43-44_406_1.43-44"/>
    <s v="ISEL-1.44"/>
    <n v="1"/>
    <s v="NO TIENE L3OUT"/>
    <n v="82"/>
    <n v="96"/>
  </r>
  <r>
    <n v="414"/>
    <x v="1"/>
    <x v="250"/>
    <s v="eth1/44"/>
    <x v="0"/>
    <x v="0"/>
    <x v="0"/>
    <s v="Exadata4"/>
    <x v="6"/>
    <b v="0"/>
    <s v="No está en VPC"/>
    <n v="414"/>
    <s v="INTPG_ACC_414_1.44"/>
    <s v="ISEL-1.44"/>
    <n v="1"/>
    <s v="NO TIENE L3OUT"/>
    <n v="144"/>
    <n v="96"/>
  </r>
  <r>
    <n v="416"/>
    <x v="1"/>
    <x v="251"/>
    <s v="eth1/44"/>
    <x v="0"/>
    <x v="0"/>
    <x v="0"/>
    <s v="DESC"/>
    <x v="6"/>
    <b v="0"/>
    <s v="No está en VPC"/>
    <n v="416"/>
    <s v="INTPG_PC_416_1.40-45"/>
    <s v="ISEL-1.44"/>
    <n v="7"/>
    <s v="NO TIENE L3OUT"/>
    <n v="110"/>
    <n v="96"/>
  </r>
  <r>
    <n v="418"/>
    <x v="1"/>
    <x v="252"/>
    <s v="eth1/44"/>
    <x v="0"/>
    <x v="0"/>
    <x v="0"/>
    <s v="DESC"/>
    <x v="6"/>
    <b v="0"/>
    <s v="No está en VPC"/>
    <n v="418"/>
    <s v="INTPG_PC_418_1.40-45"/>
    <s v="ISEL-1.44"/>
    <n v="7"/>
    <s v="NO TIENE L3OUT"/>
    <n v="152"/>
    <n v="96"/>
  </r>
  <r>
    <n v="413"/>
    <x v="1"/>
    <x v="253"/>
    <s v="eth1/44"/>
    <x v="1"/>
    <x v="1"/>
    <x v="2"/>
    <s v="To-uxingemc2 ldom 2 uxsmart03"/>
    <x v="6"/>
    <b v="0"/>
    <s v="No está en VPC"/>
    <n v="413"/>
    <s v="INTPG_ACC_413_1.44"/>
    <s v="ISEL-1.44"/>
    <n v="0"/>
    <s v="NO TIENE L3OUT"/>
    <n v="126"/>
    <n v="96"/>
  </r>
  <r>
    <n v="403"/>
    <x v="1"/>
    <x v="254"/>
    <s v="eth1/44"/>
    <x v="1"/>
    <x v="1"/>
    <x v="2"/>
    <s v="AUTOABASTECIMIENTO_CFE"/>
    <x v="6"/>
    <b v="0"/>
    <s v="No está en VPC"/>
    <n v="403"/>
    <s v="INTPG_ACC_403_1.44"/>
    <s v="ISEL-1.44"/>
    <n v="1"/>
    <s v="NO TIENE L3OUT"/>
    <n v="150"/>
    <n v="96"/>
  </r>
  <r>
    <n v="125"/>
    <x v="0"/>
    <x v="255"/>
    <s v="eth1/44"/>
    <x v="0"/>
    <x v="0"/>
    <x v="0"/>
    <m/>
    <x v="6"/>
    <b v="0"/>
    <s v="No está en VPC"/>
    <n v="125"/>
    <s v="INTPG_ACC_125_1.44"/>
    <s v="ISEL-1.44"/>
    <n v="1"/>
    <s v="NO TIENE L3OUT"/>
    <n v="72"/>
    <n v="96"/>
  </r>
  <r>
    <n v="166"/>
    <x v="0"/>
    <x v="256"/>
    <s v="eth1/44"/>
    <x v="1"/>
    <x v="1"/>
    <x v="2"/>
    <s v="NOMINA_hmcNomina1"/>
    <x v="6"/>
    <b v="0"/>
    <s v="No está en VPC"/>
    <n v="166"/>
    <s v="INTPG_ACC_166_1.44"/>
    <s v="ISEL-1.44"/>
    <n v="1"/>
    <s v="NO TIENE L3OUT"/>
    <n v="84"/>
    <n v="96"/>
  </r>
  <r>
    <n v="111"/>
    <x v="0"/>
    <x v="257"/>
    <s v="eth1/44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44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44"/>
    <x v="0"/>
    <x v="0"/>
    <x v="0"/>
    <s v="COMISIONES"/>
    <x v="6"/>
    <b v="0"/>
    <s v="No está en VPC"/>
    <n v="106"/>
    <s v="INTPG_ACC_106_1.44"/>
    <s v="ISEL-1.44"/>
    <n v="1"/>
    <s v="NO TIENE L3OUT"/>
    <n v="122"/>
    <n v="96"/>
  </r>
  <r>
    <n v="126"/>
    <x v="0"/>
    <x v="260"/>
    <s v="eth1/44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44"/>
    <x v="0"/>
    <x v="0"/>
    <x v="0"/>
    <s v="ITHPA04_eth1_IPMP-Pasiva"/>
    <x v="6"/>
    <b v="0"/>
    <s v="No está en VPC"/>
    <n v="425"/>
    <s v="INTPG_ACC_425_1.44"/>
    <s v="ISEL-1.44"/>
    <n v="1"/>
    <s v="NO TIENE L3OUT"/>
    <n v="86"/>
    <n v="96"/>
  </r>
  <r>
    <n v="151"/>
    <x v="0"/>
    <x v="262"/>
    <s v="eth1/44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44"/>
    <x v="0"/>
    <x v="0"/>
    <x v="0"/>
    <s v="TO-sfovmp02-LAN0-PRINCIPAL"/>
    <x v="6"/>
    <b v="0"/>
    <s v="No está en VPC"/>
    <n v="430"/>
    <s v="INTPG_ACC_430_1.44"/>
    <s v="ISEL-1.44"/>
    <n v="1"/>
    <s v="NO TIENE L3OUT"/>
    <n v="86"/>
    <n v="96"/>
  </r>
  <r>
    <n v="419"/>
    <x v="1"/>
    <x v="264"/>
    <s v="eth1/44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44"/>
    <x v="0"/>
    <x v="0"/>
    <x v="0"/>
    <s v="COBROS NAVEGACION"/>
    <x v="6"/>
    <b v="0"/>
    <s v="No está en VPC"/>
    <n v="155"/>
    <s v="INTPG_ACC_155_1.44"/>
    <s v="ISEL-1.44"/>
    <n v="1"/>
    <s v="NO TIENE L3OUT"/>
    <n v="198"/>
    <n v="96"/>
  </r>
  <r>
    <n v="409"/>
    <x v="1"/>
    <x v="266"/>
    <s v="eth1/44"/>
    <x v="0"/>
    <x v="0"/>
    <x v="0"/>
    <s v="IXTPPMRP01"/>
    <x v="6"/>
    <b v="0"/>
    <s v="No está en VPC"/>
    <n v="409"/>
    <s v="INTPG_ACC_409_1.44"/>
    <s v="ISEL-1.44"/>
    <n v="1"/>
    <s v="NO TIENE L3OUT"/>
    <n v="128"/>
    <n v="96"/>
  </r>
  <r>
    <n v="422"/>
    <x v="1"/>
    <x v="267"/>
    <s v="eth1/44"/>
    <x v="0"/>
    <x v="0"/>
    <x v="0"/>
    <s v="ITHRTC4BEN2OA2"/>
    <x v="6"/>
    <b v="0"/>
    <s v="No está en VPC"/>
    <n v="422"/>
    <s v="INTPG_ACC_422_1.44"/>
    <s v="ISEL-1.44"/>
    <n v="1"/>
    <s v="NO TIENE L3OUT"/>
    <n v="182"/>
    <n v="96"/>
  </r>
  <r>
    <n v="436"/>
    <x v="1"/>
    <x v="268"/>
    <s v="eth1/44"/>
    <x v="0"/>
    <x v="0"/>
    <x v="0"/>
    <s v="DESC"/>
    <x v="6"/>
    <b v="0"/>
    <s v="No está en VPC"/>
    <n v="436"/>
    <s v="INTPG_PC_436_1.40-45"/>
    <s v="ISEL-1.44"/>
    <n v="7"/>
    <s v="NO TIENE L3OUT"/>
    <n v="172"/>
    <n v="96"/>
  </r>
  <r>
    <n v="410"/>
    <x v="1"/>
    <x v="269"/>
    <s v="eth1/44"/>
    <x v="0"/>
    <x v="1"/>
    <x v="1"/>
    <s v="NMS01_S02"/>
    <x v="6"/>
    <b v="0"/>
    <s v="No está en VPC"/>
    <n v="410"/>
    <s v="INTPG_ACC_410_1.44"/>
    <s v="ISEL-1.44"/>
    <n v="1"/>
    <s v="NO TIENE L3OUT"/>
    <n v="178"/>
    <n v="96"/>
  </r>
  <r>
    <n v="161"/>
    <x v="0"/>
    <x v="270"/>
    <s v="eth1/44"/>
    <x v="1"/>
    <x v="1"/>
    <x v="2"/>
    <s v="CELCITE"/>
    <x v="6"/>
    <b v="0"/>
    <s v="No está en VPC"/>
    <n v="161"/>
    <s v="INTPG_ACC_161_1.44"/>
    <s v="ISEL-1.44"/>
    <n v="1"/>
    <s v="NO TIENE L3OUT"/>
    <n v="102"/>
    <n v="96"/>
  </r>
  <r>
    <n v="411"/>
    <x v="1"/>
    <x v="271"/>
    <s v="eth1/44"/>
    <x v="0"/>
    <x v="0"/>
    <x v="0"/>
    <s v="SPIDERNET4"/>
    <x v="6"/>
    <b v="0"/>
    <s v="No está en VPC"/>
    <n v="411"/>
    <s v="INTPG_ACC_411_1.44"/>
    <s v="ISEL-1.44"/>
    <n v="1"/>
    <s v="NO TIENE L3OUT"/>
    <n v="96"/>
    <n v="96"/>
  </r>
  <r>
    <n v="116"/>
    <x v="0"/>
    <x v="272"/>
    <s v="eth1/44"/>
    <x v="0"/>
    <x v="1"/>
    <x v="1"/>
    <s v="USSD TANGO"/>
    <x v="6"/>
    <b v="0"/>
    <s v="No está en VPC"/>
    <n v="116"/>
    <s v="INTPG_ACC_116_1.44"/>
    <s v="ISEL-1.44"/>
    <n v="1"/>
    <s v="NO TIENE L3OUT"/>
    <n v="148"/>
    <n v="96"/>
  </r>
  <r>
    <n v="412"/>
    <x v="1"/>
    <x v="273"/>
    <s v="eth1/44"/>
    <x v="0"/>
    <x v="0"/>
    <x v="0"/>
    <s v="HNMP101B"/>
    <x v="6"/>
    <b v="0"/>
    <s v="No está en VPC"/>
    <n v="412"/>
    <s v="INTPG_ACC_412_1.44"/>
    <s v="ISEL-1.44"/>
    <n v="1"/>
    <s v="NO TIENE L3OUT"/>
    <n v="126"/>
    <n v="96"/>
  </r>
  <r>
    <n v="120"/>
    <x v="0"/>
    <x v="274"/>
    <s v="eth1/44"/>
    <x v="0"/>
    <x v="0"/>
    <x v="0"/>
    <s v="uxcintra-adm"/>
    <x v="6"/>
    <b v="0"/>
    <s v="No está en VPC"/>
    <n v="120"/>
    <s v="INTPG_ACC_120_1.44"/>
    <s v="ISEL-1.44"/>
    <n v="1"/>
    <s v="NO TIENE L3OUT"/>
    <n v="158"/>
    <n v="96"/>
  </r>
  <r>
    <n v="404"/>
    <x v="1"/>
    <x v="275"/>
    <s v="eth1/44"/>
    <x v="0"/>
    <x v="0"/>
    <x v="0"/>
    <s v="VIOSDES1-VIOSDES1_CLT"/>
    <x v="6"/>
    <b v="0"/>
    <s v="No está en VPC"/>
    <n v="404"/>
    <s v="INTPG_VPC_404_1.43-44_406_1.43-44"/>
    <s v="ISEL-1.44"/>
    <n v="1"/>
    <s v="NO TIENE L3OUT"/>
    <n v="92"/>
    <n v="96"/>
  </r>
  <r>
    <n v="167"/>
    <x v="0"/>
    <x v="276"/>
    <s v="eth1/44"/>
    <x v="0"/>
    <x v="0"/>
    <x v="0"/>
    <s v="TO-IXTFDLD690LCS-REDUNDANTE"/>
    <x v="6"/>
    <b v="0"/>
    <s v="No está en VPC"/>
    <n v="167"/>
    <s v="INTPG_ACC_167_1.44"/>
    <s v="ISEL-1.44"/>
    <n v="1"/>
    <s v="NO TIENE L3OUT"/>
    <n v="68"/>
    <n v="96"/>
  </r>
  <r>
    <n v="428"/>
    <x v="1"/>
    <x v="277"/>
    <s v="eth1/44"/>
    <x v="0"/>
    <x v="0"/>
    <x v="0"/>
    <s v="DOC1_PROD1_ILO"/>
    <x v="6"/>
    <b v="0"/>
    <s v="No está en VPC"/>
    <n v="428"/>
    <s v="INTPG_ACC_428_1.44"/>
    <s v="ISEL-1.44"/>
    <n v="1"/>
    <s v="NO TIENE L3OUT"/>
    <n v="102"/>
    <n v="96"/>
  </r>
  <r>
    <n v="128"/>
    <x v="0"/>
    <x v="0"/>
    <s v="eth1/45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45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45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45"/>
    <x v="0"/>
    <x v="0"/>
    <x v="0"/>
    <s v="to ASR2"/>
    <x v="0"/>
    <b v="0"/>
    <s v="No está en VPC"/>
    <n v="101"/>
    <s v="INTPG_ACC_OSPF_101_1.45"/>
    <s v="ISEL-1.45"/>
    <n v="0"/>
    <s v="L3_Out_to_Brocade_CORE_11"/>
    <n v="114"/>
    <n v="54"/>
  </r>
  <r>
    <n v="160"/>
    <x v="0"/>
    <x v="4"/>
    <s v="eth1/45"/>
    <x v="0"/>
    <x v="1"/>
    <x v="1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45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45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45"/>
    <x v="0"/>
    <x v="1"/>
    <x v="3"/>
    <m/>
    <x v="0"/>
    <b v="0"/>
    <s v="No está en VPC"/>
    <n v="401"/>
    <s v="NO EXISTE PG"/>
    <s v="NO EXISTE ISEL"/>
    <n v="0"/>
    <s v="NO TIENE L3OUT"/>
    <n v="40"/>
    <n v="54"/>
  </r>
  <r>
    <n v="402"/>
    <x v="1"/>
    <x v="8"/>
    <s v="eth1/45"/>
    <x v="0"/>
    <x v="1"/>
    <x v="3"/>
    <s v="RSPAN_ARIESO"/>
    <x v="0"/>
    <b v="0"/>
    <s v="No está en VPC"/>
    <n v="402"/>
    <s v="INTPG_ACC_402_1.45"/>
    <s v="ISEL-1.45"/>
    <n v="1"/>
    <s v="NO TIENE L3OUT"/>
    <n v="36"/>
    <n v="54"/>
  </r>
  <r>
    <n v="130"/>
    <x v="0"/>
    <x v="11"/>
    <s v="eth1/45"/>
    <x v="0"/>
    <x v="0"/>
    <x v="0"/>
    <s v="ITHFHWHSMTLCN02-LOM  P1"/>
    <x v="0"/>
    <b v="0"/>
    <s v="No está en VPC"/>
    <n v="130"/>
    <s v="INTPG_ACC_130_1.45"/>
    <s v="ISEL-1.45"/>
    <n v="9"/>
    <s v="NO TIENE L3OUT"/>
    <n v="128"/>
    <n v="54"/>
  </r>
  <r>
    <n v="150"/>
    <x v="0"/>
    <x v="12"/>
    <s v="eth1/45"/>
    <x v="0"/>
    <x v="0"/>
    <x v="0"/>
    <s v="to ASR1"/>
    <x v="0"/>
    <b v="0"/>
    <s v="No está en VPC"/>
    <n v="150"/>
    <s v="INTPG_ACC_OSPF_150_1.45"/>
    <s v="ISEL-1.45"/>
    <n v="0"/>
    <s v="L3_Out_to_Brocade_CORE_11"/>
    <n v="118"/>
    <n v="54"/>
  </r>
  <r>
    <n v="131"/>
    <x v="0"/>
    <x v="13"/>
    <s v="eth1/45"/>
    <x v="0"/>
    <x v="0"/>
    <x v="0"/>
    <s v="ITHFHWHSMTLCN02-LOM  P2"/>
    <x v="0"/>
    <b v="0"/>
    <s v="No está en VPC"/>
    <n v="131"/>
    <s v="INTPG_ACC_131_1.45"/>
    <s v="ISEL-1.45"/>
    <n v="9"/>
    <s v="NO TIENE L3OUT"/>
    <n v="126"/>
    <n v="54"/>
  </r>
  <r>
    <n v="424"/>
    <x v="1"/>
    <x v="18"/>
    <s v="eth1/45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45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45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45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45"/>
    <x v="1"/>
    <x v="1"/>
    <x v="2"/>
    <m/>
    <x v="0"/>
    <b v="0"/>
    <s v="No está en VPC"/>
    <n v="727"/>
    <s v="INTPG-VPC_Fortigate500_727_1.45_726_1.45"/>
    <s v="ISEL-1.45"/>
    <n v="4"/>
    <s v="NO TIENE L3OUT"/>
    <n v="0"/>
    <n v="54"/>
  </r>
  <r>
    <n v="724"/>
    <x v="2"/>
    <x v="23"/>
    <s v="eth1/45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45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45"/>
    <x v="0"/>
    <x v="0"/>
    <x v="0"/>
    <s v="To_ITHEA1A_eth1"/>
    <x v="0"/>
    <b v="0"/>
    <s v="No está en VPC"/>
    <n v="431"/>
    <s v="INTPG_ACC_431_1.45"/>
    <s v="ISEL-1.45"/>
    <n v="2"/>
    <s v="NO TIENE L3OUT"/>
    <n v="46"/>
    <n v="54"/>
  </r>
  <r>
    <n v="433"/>
    <x v="1"/>
    <x v="27"/>
    <s v="eth1/45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45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45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45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45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45"/>
    <x v="1"/>
    <x v="1"/>
    <x v="3"/>
    <m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45"/>
    <x v="1"/>
    <x v="1"/>
    <x v="3"/>
    <m/>
    <x v="0"/>
    <b v="0"/>
    <s v="No está en VPC"/>
    <n v="712"/>
    <s v="NO EXISTE PG"/>
    <s v="NO EXISTE ISEL"/>
    <n v="0"/>
    <s v="NO TIENE L3OUT"/>
    <n v="32"/>
    <n v="54"/>
  </r>
  <r>
    <n v="719"/>
    <x v="2"/>
    <x v="34"/>
    <s v="eth1/45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45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45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45"/>
    <x v="1"/>
    <x v="1"/>
    <x v="3"/>
    <m/>
    <x v="0"/>
    <b v="0"/>
    <s v="No está en VPC"/>
    <n v="711"/>
    <s v="NO EXISTE PG"/>
    <s v="NO EXISTE ISEL"/>
    <n v="0"/>
    <s v="NO TIENE L3OUT"/>
    <n v="16"/>
    <n v="54"/>
  </r>
  <r>
    <n v="716"/>
    <x v="2"/>
    <x v="38"/>
    <s v="eth1/45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45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45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45"/>
    <x v="0"/>
    <x v="1"/>
    <x v="3"/>
    <m/>
    <x v="0"/>
    <b v="0"/>
    <s v="No está en VPC"/>
    <n v="446"/>
    <s v="NO EXISTE PG"/>
    <s v="NO EXISTE ISEL"/>
    <n v="0"/>
    <s v="NO TIENE L3OUT"/>
    <n v="198"/>
    <n v="54"/>
  </r>
  <r>
    <n v="444"/>
    <x v="1"/>
    <x v="42"/>
    <s v="eth1/45"/>
    <x v="0"/>
    <x v="1"/>
    <x v="3"/>
    <s v="File System AM"/>
    <x v="0"/>
    <b v="0"/>
    <s v="No está en VPC"/>
    <n v="444"/>
    <s v="INTPG_ACC_444_1.45"/>
    <s v="ISEL-1.45"/>
    <n v="1"/>
    <s v="NO TIENE L3OUT"/>
    <n v="234"/>
    <n v="54"/>
  </r>
  <r>
    <n v="701"/>
    <x v="2"/>
    <x v="43"/>
    <s v="eth1/45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45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45"/>
    <x v="0"/>
    <x v="0"/>
    <x v="0"/>
    <s v="To_ITHEA1C_eth0"/>
    <x v="0"/>
    <b v="0"/>
    <s v="No está en VPC"/>
    <n v="448"/>
    <s v="INTPG_ACC_448_1.45"/>
    <s v="ISEL-1.45"/>
    <n v="2"/>
    <s v="NO TIENE L3OUT"/>
    <n v="46"/>
    <n v="54"/>
  </r>
  <r>
    <n v="704"/>
    <x v="2"/>
    <x v="46"/>
    <s v="eth1/45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45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45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45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45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45"/>
    <x v="0"/>
    <x v="0"/>
    <x v="0"/>
    <s v="LINK_HACIA_MGMT"/>
    <x v="0"/>
    <b v="0"/>
    <s v="No está en VPC"/>
    <n v="745"/>
    <s v="INTPG_VPC_MGMT_10311_745_1.45_746_1.46"/>
    <s v="ISEL-1.45"/>
    <n v="2"/>
    <s v="NO TIENE L3OUT"/>
    <n v="0"/>
    <n v="54"/>
  </r>
  <r>
    <n v="730"/>
    <x v="2"/>
    <x v="53"/>
    <s v="eth1/45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45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45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45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45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45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45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45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45"/>
    <x v="0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45"/>
    <x v="0"/>
    <x v="1"/>
    <x v="1"/>
    <m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45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45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45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45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45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45"/>
    <x v="1"/>
    <x v="1"/>
    <x v="3"/>
    <m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45"/>
    <x v="1"/>
    <x v="1"/>
    <x v="3"/>
    <m/>
    <x v="0"/>
    <b v="0"/>
    <s v="No está en VPC"/>
    <n v="780"/>
    <s v="NO EXISTE PG"/>
    <s v="NO EXISTE ISEL"/>
    <n v="0"/>
    <s v="NO TIENE L3OUT"/>
    <n v="26"/>
    <n v="54"/>
  </r>
  <r>
    <n v="812"/>
    <x v="2"/>
    <x v="70"/>
    <s v="eth1/45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45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45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45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45"/>
    <x v="0"/>
    <x v="0"/>
    <x v="0"/>
    <s v="LINK_TO_ITHHWCRMPEN01 /X3-10GE 5 /Principal"/>
    <x v="0"/>
    <b v="0"/>
    <s v="No está en VPC"/>
    <n v="824"/>
    <s v="INTPG_VPC_819_1.41-42_44-45_824_1.41-42_44-45"/>
    <s v="ISEL-1.45"/>
    <n v="1"/>
    <s v="NO TIENE L3OUT"/>
    <n v="70"/>
    <n v="54"/>
  </r>
  <r>
    <n v="819"/>
    <x v="2"/>
    <x v="75"/>
    <s v="eth1/45"/>
    <x v="0"/>
    <x v="0"/>
    <x v="0"/>
    <s v="LINK_TO_ITHHWCRMPEN01 /X3-10GE 6 /Redundante"/>
    <x v="0"/>
    <b v="0"/>
    <s v="No está en VPC"/>
    <n v="819"/>
    <s v="INTPG_VPC_819_1.41-42_44-45_824_1.41-42_44-45"/>
    <s v="ISEL-1.45"/>
    <n v="1"/>
    <s v="NO TIENE L3OUT"/>
    <n v="70"/>
    <n v="54"/>
  </r>
  <r>
    <n v="737"/>
    <x v="2"/>
    <x v="76"/>
    <s v="eth1/45"/>
    <x v="0"/>
    <x v="1"/>
    <x v="1"/>
    <m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45"/>
    <x v="0"/>
    <x v="0"/>
    <x v="0"/>
    <s v="LINK_TO_ITHFHWCRMPLCN115 / Slot1.3_34 / Principal"/>
    <x v="0"/>
    <b v="0"/>
    <s v="No está en VPC"/>
    <n v="844"/>
    <s v="INTPG_ACC_844_1.45"/>
    <s v="ISEL-1.45"/>
    <n v="1"/>
    <s v="NO TIENE L3OUT"/>
    <n v="282"/>
    <n v="54"/>
  </r>
  <r>
    <n v="843"/>
    <x v="2"/>
    <x v="78"/>
    <s v="eth1/45"/>
    <x v="0"/>
    <x v="0"/>
    <x v="0"/>
    <s v="LINK_TO_ITHFHWSEQLIMPS31 / Slot 4 PTO 1 / Principal"/>
    <x v="0"/>
    <b v="0"/>
    <s v="No está en VPC"/>
    <n v="843"/>
    <s v="INTPG_ACC_843_1.45"/>
    <s v="ISEL-1.45"/>
    <n v="1"/>
    <s v="NO TIENE L3OUT"/>
    <n v="38"/>
    <n v="54"/>
  </r>
  <r>
    <n v="797"/>
    <x v="2"/>
    <x v="79"/>
    <s v="eth1/45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45"/>
    <x v="0"/>
    <x v="0"/>
    <x v="0"/>
    <s v="LINK_TO_ITHFHWCBSPSUSBD34 / Slot7.3_6 / Redundante"/>
    <x v="0"/>
    <b v="0"/>
    <s v="No está en VPC"/>
    <n v="839"/>
    <s v="INTPG_VPC_834_1.45_839_1.45"/>
    <s v="ISEL-1.45"/>
    <n v="1"/>
    <s v="NO TIENE L3OUT"/>
    <n v="0"/>
    <n v="54"/>
  </r>
  <r>
    <n v="847"/>
    <x v="2"/>
    <x v="81"/>
    <s v="eth1/45"/>
    <x v="0"/>
    <x v="0"/>
    <x v="0"/>
    <s v="LINK_TO_ITHFHWCRMPLCN153 / Slot7.2_8 / Redundante"/>
    <x v="0"/>
    <b v="0"/>
    <s v="No está en VPC"/>
    <n v="847"/>
    <s v="INTPG_ACC_847_1.45"/>
    <s v="ISEL-1.45"/>
    <n v="2"/>
    <s v="NO TIENE L3OUT"/>
    <n v="204"/>
    <n v="54"/>
  </r>
  <r>
    <n v="848"/>
    <x v="2"/>
    <x v="82"/>
    <s v="eth1/45"/>
    <x v="0"/>
    <x v="0"/>
    <x v="0"/>
    <s v="VPC_2DCRMP_BDA10_2"/>
    <x v="0"/>
    <b v="0"/>
    <s v="No está en VPC"/>
    <n v="848"/>
    <s v="INTPG_VPC_855_1.45_848_1.45"/>
    <s v="ISEL-1.45"/>
    <n v="2"/>
    <s v="NO TIENE L3OUT"/>
    <n v="254"/>
    <n v="54"/>
  </r>
  <r>
    <n v="846"/>
    <x v="2"/>
    <x v="83"/>
    <s v="eth1/45"/>
    <x v="0"/>
    <x v="0"/>
    <x v="0"/>
    <s v="LINK_TO_ITHFHWCRMPLCN86 / Slot1.3_30 / Principal"/>
    <x v="0"/>
    <b v="0"/>
    <s v="No está en VPC"/>
    <n v="846"/>
    <s v="INTPG_ACC_846_1.45"/>
    <s v="ISEL-1.45"/>
    <n v="1"/>
    <s v="NO TIENE L3OUT"/>
    <n v="242"/>
    <n v="54"/>
  </r>
  <r>
    <n v="838"/>
    <x v="2"/>
    <x v="84"/>
    <s v="eth1/45"/>
    <x v="0"/>
    <x v="0"/>
    <x v="0"/>
    <s v="LINK_TO_ITHFHWSEQLIMPS31 / Slot 5 PTO 1 / Redundante"/>
    <x v="0"/>
    <b v="0"/>
    <s v="No está en VPC"/>
    <n v="838"/>
    <s v="INTPG_ACC_838_1.45"/>
    <s v="ISEL-1.45"/>
    <n v="1"/>
    <s v="NO TIENE L3OUT"/>
    <n v="38"/>
    <n v="54"/>
  </r>
  <r>
    <n v="849"/>
    <x v="2"/>
    <x v="85"/>
    <s v="eth1/45"/>
    <x v="0"/>
    <x v="0"/>
    <x v="0"/>
    <s v="LINK_TO_ITHFHWCRMPLCN149 / Slot7.2_32 / Redundante"/>
    <x v="0"/>
    <b v="0"/>
    <s v="No está en VPC"/>
    <n v="849"/>
    <s v="INTPG_ACC_849_1.45"/>
    <s v="ISEL-1.45"/>
    <n v="2"/>
    <s v="NO TIENE L3OUT"/>
    <n v="286"/>
    <n v="54"/>
  </r>
  <r>
    <n v="845"/>
    <x v="2"/>
    <x v="86"/>
    <s v="eth1/45"/>
    <x v="0"/>
    <x v="0"/>
    <x v="0"/>
    <s v="LINK_TO_ITHFHWCRMPLCN99 / Slot1.1_30 / Principal"/>
    <x v="0"/>
    <b v="0"/>
    <s v="No está en VPC"/>
    <n v="845"/>
    <s v="INTPG_ACC_845_1.45"/>
    <s v="ISEL-1.45"/>
    <n v="6"/>
    <s v="NO TIENE L3OUT"/>
    <n v="258"/>
    <n v="54"/>
  </r>
  <r>
    <n v="873"/>
    <x v="2"/>
    <x v="87"/>
    <s v="eth1/45"/>
    <x v="0"/>
    <x v="0"/>
    <x v="0"/>
    <s v="To_ITHFHWCRMDLCN38_Redundante"/>
    <x v="0"/>
    <b v="0"/>
    <s v="No está en VPC"/>
    <n v="873"/>
    <s v="INTPG_ACC_873_1.45"/>
    <s v="ISEL-1.45"/>
    <n v="1"/>
    <s v="NO TIENE L3OUT"/>
    <n v="248"/>
    <n v="54"/>
  </r>
  <r>
    <n v="864"/>
    <x v="2"/>
    <x v="88"/>
    <s v="eth1/45"/>
    <x v="0"/>
    <x v="0"/>
    <x v="0"/>
    <s v="To_VPC_2DCBSD_WR50_3"/>
    <x v="0"/>
    <b v="0"/>
    <s v="No está en VPC"/>
    <n v="864"/>
    <s v="INTPG_VPC_859_1.45_864_1.45"/>
    <s v="ISEL-1.45"/>
    <n v="1"/>
    <s v="NO TIENE L3OUT"/>
    <n v="0"/>
    <n v="54"/>
  </r>
  <r>
    <n v="836"/>
    <x v="2"/>
    <x v="89"/>
    <s v="eth1/45"/>
    <x v="0"/>
    <x v="0"/>
    <x v="0"/>
    <s v="LINK_TO_ITHFHWCBSPSHD29 / Slot1.2_22 / Principal"/>
    <x v="0"/>
    <b v="0"/>
    <s v="No está en VPC"/>
    <n v="836"/>
    <s v="INTPG_VPC_836_1.45_841_1.45"/>
    <s v="ISEL-1.45"/>
    <n v="1"/>
    <s v="NO TIENE L3OUT"/>
    <n v="0"/>
    <n v="54"/>
  </r>
  <r>
    <n v="834"/>
    <x v="2"/>
    <x v="90"/>
    <s v="eth1/45"/>
    <x v="0"/>
    <x v="0"/>
    <x v="0"/>
    <s v="LINK_TO_ITHFHWCBSPSUSBD34 / Slot1.3_6 / Principal"/>
    <x v="0"/>
    <b v="0"/>
    <s v="No está en VPC"/>
    <n v="834"/>
    <s v="INTPG_VPC_834_1.45_839_1.45"/>
    <s v="ISEL-1.45"/>
    <n v="1"/>
    <s v="NO TIENE L3OUT"/>
    <n v="0"/>
    <n v="54"/>
  </r>
  <r>
    <n v="872"/>
    <x v="2"/>
    <x v="91"/>
    <s v="eth1/45"/>
    <x v="0"/>
    <x v="0"/>
    <x v="0"/>
    <s v="TO_ITHFHWCRMDLCN52_Principal"/>
    <x v="0"/>
    <b v="0"/>
    <s v="No está en VPC"/>
    <n v="872"/>
    <s v="INTPG_ACC_872_1.45"/>
    <s v="ISEL-1.45"/>
    <n v="6"/>
    <s v="NO TIENE L3OUT"/>
    <n v="288"/>
    <n v="54"/>
  </r>
  <r>
    <n v="842"/>
    <x v="2"/>
    <x v="92"/>
    <s v="eth1/45"/>
    <x v="0"/>
    <x v="0"/>
    <x v="0"/>
    <s v="LINK_To_ITHFHWCBSPSHD23 / Slot7.1_22 / Redundante"/>
    <x v="0"/>
    <b v="0"/>
    <s v="No está en VPC"/>
    <n v="842"/>
    <s v="INTPG_VPC_837_1.45_842_1.45"/>
    <s v="ISEL-1.45"/>
    <n v="2"/>
    <s v="NO TIENE L3OUT"/>
    <n v="8"/>
    <n v="54"/>
  </r>
  <r>
    <n v="828"/>
    <x v="2"/>
    <x v="93"/>
    <s v="eth1/45"/>
    <x v="0"/>
    <x v="0"/>
    <x v="0"/>
    <s v="To_ITHFHWCRMDLCN42_Principal"/>
    <x v="0"/>
    <b v="0"/>
    <s v="No está en VPC"/>
    <n v="828"/>
    <s v="INTPG_ACC_828_1.45"/>
    <s v="ISEL-1.45"/>
    <n v="6"/>
    <s v="NO TIENE L3OUT"/>
    <n v="192"/>
    <n v="54"/>
  </r>
  <r>
    <n v="870"/>
    <x v="2"/>
    <x v="94"/>
    <s v="eth1/45"/>
    <x v="0"/>
    <x v="0"/>
    <x v="0"/>
    <s v="To_ITHFHWCRMDLCN38_Principal"/>
    <x v="0"/>
    <b v="0"/>
    <s v="No está en VPC"/>
    <n v="870"/>
    <s v="INTPG_ACC_870_1.45"/>
    <s v="ISEL-1.45"/>
    <n v="1"/>
    <s v="NO TIENE L3OUT"/>
    <n v="248"/>
    <n v="54"/>
  </r>
  <r>
    <n v="866"/>
    <x v="2"/>
    <x v="95"/>
    <s v="eth1/45"/>
    <x v="0"/>
    <x v="0"/>
    <x v="0"/>
    <s v="To_VPC_2DCBSD_WR36_2"/>
    <x v="0"/>
    <b v="0"/>
    <s v="No está en VPC"/>
    <n v="866"/>
    <s v="INTPG_VPC_861_1.45_866_1.45"/>
    <s v="ISEL-1.45"/>
    <n v="1"/>
    <s v="NO TIENE L3OUT"/>
    <n v="8"/>
    <n v="54"/>
  </r>
  <r>
    <n v="862"/>
    <x v="2"/>
    <x v="96"/>
    <s v="eth1/45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45"/>
    <x v="0"/>
    <x v="0"/>
    <x v="0"/>
    <s v="VPC_2DCRMP_BDA10_2"/>
    <x v="0"/>
    <b v="0"/>
    <s v="No está en VPC"/>
    <n v="855"/>
    <s v="INTPG_VPC_855_1.45_848_1.45"/>
    <s v="ISEL-1.45"/>
    <n v="2"/>
    <s v="NO TIENE L3OUT"/>
    <n v="254"/>
    <n v="54"/>
  </r>
  <r>
    <n v="871"/>
    <x v="2"/>
    <x v="98"/>
    <s v="eth1/45"/>
    <x v="0"/>
    <x v="0"/>
    <x v="0"/>
    <s v="To_ITHFHWCRMDLCN68_Principal"/>
    <x v="0"/>
    <b v="0"/>
    <s v="No está en VPC"/>
    <n v="871"/>
    <s v="INTPG_ACC_871_1.45"/>
    <s v="ISEL-1.45"/>
    <n v="1"/>
    <s v="NO TIENE L3OUT"/>
    <n v="246"/>
    <n v="54"/>
  </r>
  <r>
    <n v="841"/>
    <x v="2"/>
    <x v="99"/>
    <s v="eth1/45"/>
    <x v="0"/>
    <x v="0"/>
    <x v="0"/>
    <s v="LINK_TO_ITHFHWCBSPSHD29 / Slot7.2_22 / Redundante"/>
    <x v="0"/>
    <b v="0"/>
    <s v="No está en VPC"/>
    <n v="841"/>
    <s v="INTPG_VPC_836_1.45_841_1.45"/>
    <s v="ISEL-1.45"/>
    <n v="1"/>
    <s v="NO TIENE L3OUT"/>
    <n v="0"/>
    <n v="54"/>
  </r>
  <r>
    <n v="868"/>
    <x v="2"/>
    <x v="100"/>
    <s v="eth1/45"/>
    <x v="0"/>
    <x v="0"/>
    <x v="0"/>
    <s v="To_ITHFHWCRMDLCN68_Redundante"/>
    <x v="0"/>
    <b v="0"/>
    <s v="No está en VPC"/>
    <n v="868"/>
    <s v="INTPG_ACC_868_1.45"/>
    <s v="ISEL-1.45"/>
    <n v="1"/>
    <s v="NO TIENE L3OUT"/>
    <n v="246"/>
    <n v="54"/>
  </r>
  <r>
    <n v="869"/>
    <x v="2"/>
    <x v="101"/>
    <s v="eth1/45"/>
    <x v="0"/>
    <x v="0"/>
    <x v="0"/>
    <s v="TO_ITHFHWCRMDLCN52_Redundante"/>
    <x v="0"/>
    <b v="0"/>
    <s v="No está en VPC"/>
    <n v="869"/>
    <s v="INTPG_ACC_869_1.45"/>
    <s v="ISEL-1.45"/>
    <n v="6"/>
    <s v="NO TIENE L3OUT"/>
    <n v="288"/>
    <n v="54"/>
  </r>
  <r>
    <n v="861"/>
    <x v="2"/>
    <x v="102"/>
    <s v="eth1/45"/>
    <x v="0"/>
    <x v="0"/>
    <x v="0"/>
    <s v="To_VPC_2DCBSD_WR36_2"/>
    <x v="0"/>
    <b v="0"/>
    <s v="No está en VPC"/>
    <n v="861"/>
    <s v="INTPG_VPC_861_1.45_866_1.45"/>
    <s v="ISEL-1.45"/>
    <n v="1"/>
    <s v="NO TIENE L3OUT"/>
    <n v="8"/>
    <n v="54"/>
  </r>
  <r>
    <n v="874"/>
    <x v="2"/>
    <x v="103"/>
    <s v="eth1/45"/>
    <x v="0"/>
    <x v="0"/>
    <x v="0"/>
    <s v="A_ITHFHWSEQLDPS05_Redundante"/>
    <x v="4"/>
    <b v="0"/>
    <s v="No está en VPC"/>
    <n v="874"/>
    <s v="INTPG_ACC_874_1.45"/>
    <s v="ISEL-1.45"/>
    <n v="1"/>
    <s v="NO TIENE L3OUT"/>
    <n v="92"/>
    <n v="54"/>
  </r>
  <r>
    <n v="865"/>
    <x v="2"/>
    <x v="104"/>
    <s v="eth1/45"/>
    <x v="0"/>
    <x v="0"/>
    <x v="0"/>
    <s v="To_VPC_2DCBSD_WR40_3"/>
    <x v="0"/>
    <b v="0"/>
    <s v="No está en VPC"/>
    <n v="865"/>
    <s v="INTPG_VPC_860_1.45_865_1.45"/>
    <s v="ISEL-1.45"/>
    <n v="1"/>
    <s v="NO TIENE L3OUT"/>
    <n v="0"/>
    <n v="54"/>
  </r>
  <r>
    <n v="753"/>
    <x v="2"/>
    <x v="105"/>
    <s v="eth1/45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45"/>
    <x v="0"/>
    <x v="1"/>
    <x v="3"/>
    <m/>
    <x v="0"/>
    <b v="0"/>
    <s v="No está en VPC"/>
    <n v="708"/>
    <s v="NO EXISTE PG"/>
    <s v="NO EXISTE ISEL"/>
    <n v="0"/>
    <s v="NO TIENE L3OUT"/>
    <n v="0"/>
    <n v="54"/>
  </r>
  <r>
    <n v="710"/>
    <x v="2"/>
    <x v="107"/>
    <s v="eth1/45"/>
    <x v="1"/>
    <x v="1"/>
    <x v="3"/>
    <m/>
    <x v="0"/>
    <b v="0"/>
    <s v="No está en VPC"/>
    <n v="710"/>
    <s v="NO EXISTE PG"/>
    <s v="NO EXISTE ISEL"/>
    <n v="0"/>
    <s v="NO TIENE L3OUT"/>
    <n v="16"/>
    <n v="54"/>
  </r>
  <r>
    <n v="713"/>
    <x v="2"/>
    <x v="108"/>
    <s v="eth1/45"/>
    <x v="1"/>
    <x v="1"/>
    <x v="3"/>
    <m/>
    <x v="0"/>
    <b v="0"/>
    <s v="No está en VPC"/>
    <n v="713"/>
    <s v="NO EXISTE PG"/>
    <s v="NO EXISTE ISEL"/>
    <n v="0"/>
    <s v="NO TIENE L3OUT"/>
    <n v="32"/>
    <n v="54"/>
  </r>
  <r>
    <n v="735"/>
    <x v="2"/>
    <x v="109"/>
    <s v="eth1/45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45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45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45"/>
    <x v="1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45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45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45"/>
    <x v="0"/>
    <x v="0"/>
    <x v="0"/>
    <s v="LINK_TO_ITHFHWCBSDSWR21 /Slot4.2 /Principal"/>
    <x v="0"/>
    <b v="0"/>
    <s v="No está en VPC"/>
    <n v="826"/>
    <s v="INTPG_VPC_826_1.45_830_1.45"/>
    <s v="ISEL-1.45"/>
    <n v="1"/>
    <s v="NO TIENE L3OUT"/>
    <n v="12"/>
    <n v="54"/>
  </r>
  <r>
    <n v="726"/>
    <x v="2"/>
    <x v="117"/>
    <s v="eth1/45"/>
    <x v="1"/>
    <x v="1"/>
    <x v="3"/>
    <m/>
    <x v="0"/>
    <b v="0"/>
    <s v="No está en VPC"/>
    <n v="726"/>
    <s v="INTPG-VPC_Fortigate500_727_1.45_726_1.45"/>
    <s v="ISEL-1.45"/>
    <n v="4"/>
    <s v="NO TIENE L3OUT"/>
    <n v="0"/>
    <n v="54"/>
  </r>
  <r>
    <n v="740"/>
    <x v="2"/>
    <x v="118"/>
    <s v="eth1/45"/>
    <x v="0"/>
    <x v="1"/>
    <x v="1"/>
    <m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45"/>
    <x v="1"/>
    <x v="1"/>
    <x v="3"/>
    <s v="exit"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45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45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45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45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45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45"/>
    <x v="1"/>
    <x v="1"/>
    <x v="2"/>
    <m/>
    <x v="0"/>
    <b v="0"/>
    <s v="No está en VPC"/>
    <n v="709"/>
    <s v="NO EXISTE PG"/>
    <s v="NO EXISTE ISEL"/>
    <n v="0"/>
    <s v="NO TIENE L3OUT"/>
    <n v="0"/>
    <n v="54"/>
  </r>
  <r>
    <n v="454"/>
    <x v="1"/>
    <x v="126"/>
    <s v="eth1/45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45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45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45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45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45"/>
    <x v="0"/>
    <x v="1"/>
    <x v="1"/>
    <m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45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45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45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45"/>
    <x v="0"/>
    <x v="1"/>
    <x v="3"/>
    <m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45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45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45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45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45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45"/>
    <x v="0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45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45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45"/>
    <x v="0"/>
    <x v="0"/>
    <x v="0"/>
    <s v="LINK_HACIA_MGMT"/>
    <x v="0"/>
    <b v="0"/>
    <s v="No está en VPC"/>
    <n v="773"/>
    <s v="INTPG_VPC_MGMT_20413_773_1.45_772_1.46"/>
    <s v="ISEL-1.45"/>
    <n v="1"/>
    <s v="NO TIENE L3OUT"/>
    <n v="78"/>
    <n v="54"/>
  </r>
  <r>
    <n v="794"/>
    <x v="2"/>
    <x v="146"/>
    <s v="eth1/45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45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45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45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45"/>
    <x v="1"/>
    <x v="1"/>
    <x v="3"/>
    <m/>
    <x v="0"/>
    <b v="0"/>
    <s v="No está en VPC"/>
    <n v="781"/>
    <s v="NO EXISTE PG"/>
    <s v="NO EXISTE ISEL"/>
    <n v="0"/>
    <s v="NO TIENE L3OUT"/>
    <n v="26"/>
    <n v="54"/>
  </r>
  <r>
    <n v="793"/>
    <x v="2"/>
    <x v="151"/>
    <s v="eth1/45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45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45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45"/>
    <x v="1"/>
    <x v="1"/>
    <x v="3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45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45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45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45"/>
    <x v="0"/>
    <x v="1"/>
    <x v="1"/>
    <m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45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45"/>
    <x v="0"/>
    <x v="0"/>
    <x v="0"/>
    <s v="LINK_HACIA_MGMT"/>
    <x v="0"/>
    <b v="0"/>
    <s v="No está en VPC"/>
    <n v="791"/>
    <s v="INTPG_VPC_MGMT_20816_791_1.45_790_1.46"/>
    <s v="ISEL-1.45"/>
    <n v="3"/>
    <s v="NO TIENE L3OUT"/>
    <n v="20"/>
    <n v="54"/>
  </r>
  <r>
    <n v="808"/>
    <x v="2"/>
    <x v="161"/>
    <s v="eth1/45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45"/>
    <x v="0"/>
    <x v="0"/>
    <x v="0"/>
    <s v="LINK_TO_ITHFHWCBSDSWR21 /Slot6.2 /Redundante"/>
    <x v="0"/>
    <b v="0"/>
    <s v="No está en VPC"/>
    <n v="830"/>
    <s v="INTPG_VPC_826_1.45_830_1.45"/>
    <s v="ISEL-1.45"/>
    <n v="1"/>
    <s v="NO TIENE L3OUT"/>
    <n v="12"/>
    <n v="54"/>
  </r>
  <r>
    <n v="821"/>
    <x v="2"/>
    <x v="163"/>
    <s v="eth1/45"/>
    <x v="0"/>
    <x v="0"/>
    <x v="0"/>
    <s v="LINK_TO_ITHFHWCBSPSWR21 /Slot6.2 /Redundante"/>
    <x v="0"/>
    <b v="0"/>
    <s v="No está en VPC"/>
    <n v="821"/>
    <s v="INTPG_VPC_816_1.45_821_1.45"/>
    <s v="ISEL-1.45"/>
    <n v="1"/>
    <s v="NO TIENE L3OUT"/>
    <n v="0"/>
    <n v="54"/>
  </r>
  <r>
    <n v="738"/>
    <x v="2"/>
    <x v="164"/>
    <s v="eth1/45"/>
    <x v="0"/>
    <x v="1"/>
    <x v="1"/>
    <m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45"/>
    <x v="0"/>
    <x v="1"/>
    <x v="3"/>
    <m/>
    <x v="0"/>
    <b v="0"/>
    <s v="No está en VPC"/>
    <n v="820"/>
    <s v="NO EXISTE PG"/>
    <s v="NO EXISTE ISEL"/>
    <n v="0"/>
    <s v="NO TIENE L3OUT"/>
    <n v="72"/>
    <n v="54"/>
  </r>
  <r>
    <n v="804"/>
    <x v="2"/>
    <x v="166"/>
    <s v="eth1/45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45"/>
    <x v="1"/>
    <x v="1"/>
    <x v="3"/>
    <m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45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45"/>
    <x v="0"/>
    <x v="0"/>
    <x v="0"/>
    <s v="LINK_TO_ITHFHWCBSDSWR31 /10GE.1 /Principal"/>
    <x v="0"/>
    <b v="0"/>
    <s v="No está en VPC"/>
    <n v="827"/>
    <s v="INTPG_VPC_827_1.45_831_1.45"/>
    <s v="ISEL-1.45"/>
    <n v="1"/>
    <s v="NO TIENE L3OUT"/>
    <n v="14"/>
    <n v="54"/>
  </r>
  <r>
    <n v="809"/>
    <x v="2"/>
    <x v="170"/>
    <s v="eth1/45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45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45"/>
    <x v="0"/>
    <x v="0"/>
    <x v="0"/>
    <s v="LINK_HACIA_MGMT"/>
    <x v="0"/>
    <b v="0"/>
    <s v="No está en VPC"/>
    <n v="761"/>
    <s v="INTPG_VPC_MGMT_10815_761_1.45_760_1.46"/>
    <s v="ISEL-1.45"/>
    <n v="3"/>
    <s v="NO TIENE L3OUT"/>
    <n v="0"/>
    <n v="54"/>
  </r>
  <r>
    <n v="776"/>
    <x v="2"/>
    <x v="173"/>
    <s v="eth1/45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45"/>
    <x v="1"/>
    <x v="1"/>
    <x v="3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45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45"/>
    <x v="0"/>
    <x v="0"/>
    <x v="0"/>
    <s v="DESC"/>
    <x v="0"/>
    <b v="0"/>
    <s v="No está en VPC"/>
    <n v="785"/>
    <s v="INTPG_PC_785_1.45-46"/>
    <s v="ISEL-1.45"/>
    <n v="3"/>
    <s v="NO TIENE L3OUT"/>
    <n v="32"/>
    <n v="54"/>
  </r>
  <r>
    <n v="851"/>
    <x v="2"/>
    <x v="177"/>
    <s v="eth1/45"/>
    <x v="0"/>
    <x v="0"/>
    <x v="0"/>
    <s v="LINK_TO_ITHFHWCRMPLCN115 / Slot7.3_34 / Redundante"/>
    <x v="0"/>
    <b v="0"/>
    <s v="No está en VPC"/>
    <n v="851"/>
    <s v="INTPG_ACC_851_1.45"/>
    <s v="ISEL-1.45"/>
    <n v="1"/>
    <s v="NO TIENE L3OUT"/>
    <n v="282"/>
    <n v="54"/>
  </r>
  <r>
    <n v="798"/>
    <x v="2"/>
    <x v="178"/>
    <s v="eth1/45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45"/>
    <x v="0"/>
    <x v="0"/>
    <x v="0"/>
    <s v="DESC"/>
    <x v="0"/>
    <b v="0"/>
    <s v="No está en VPC"/>
    <n v="782"/>
    <s v="INTPG_PC_782_1.45-46"/>
    <s v="ISEL-1.45"/>
    <n v="3"/>
    <s v="NO TIENE L3OUT"/>
    <n v="32"/>
    <n v="54"/>
  </r>
  <r>
    <n v="852"/>
    <x v="2"/>
    <x v="180"/>
    <s v="eth1/45"/>
    <x v="0"/>
    <x v="0"/>
    <x v="0"/>
    <s v="LINK_TO_ITHFHWCRMPLCN99 / Slot7.1_30 / Redundante"/>
    <x v="0"/>
    <b v="0"/>
    <s v="No está en VPC"/>
    <n v="852"/>
    <s v="INTPG_ACC_852_1.45"/>
    <s v="ISEL-1.45"/>
    <n v="6"/>
    <s v="NO TIENE L3OUT"/>
    <n v="258"/>
    <n v="54"/>
  </r>
  <r>
    <n v="817"/>
    <x v="2"/>
    <x v="181"/>
    <s v="eth1/45"/>
    <x v="0"/>
    <x v="0"/>
    <x v="0"/>
    <s v="LINK_TO_ITHFHWCBSPSWR28 /Slot4.2 /Principal"/>
    <x v="0"/>
    <b v="0"/>
    <s v="No está en VPC"/>
    <n v="817"/>
    <s v="INTPG_VPC_817_1.45_822_1.45"/>
    <s v="ISEL-1.45"/>
    <n v="1"/>
    <s v="NO TIENE L3OUT"/>
    <n v="0"/>
    <n v="54"/>
  </r>
  <r>
    <n v="832"/>
    <x v="2"/>
    <x v="182"/>
    <s v="eth1/45"/>
    <x v="0"/>
    <x v="0"/>
    <x v="0"/>
    <s v="To_ITHFHWCRMDLCN42_Redundante"/>
    <x v="0"/>
    <b v="0"/>
    <s v="No está en VPC"/>
    <n v="832"/>
    <s v="INTPG_ACC_832_1.45"/>
    <s v="ISEL-1.45"/>
    <n v="6"/>
    <s v="NO TIENE L3OUT"/>
    <n v="192"/>
    <n v="54"/>
  </r>
  <r>
    <n v="816"/>
    <x v="2"/>
    <x v="183"/>
    <s v="eth1/45"/>
    <x v="0"/>
    <x v="0"/>
    <x v="0"/>
    <s v="LINK_TO_ITHFHWCBSPSWR21 /Slot4.2 /Principal"/>
    <x v="0"/>
    <b v="0"/>
    <s v="No está en VPC"/>
    <n v="816"/>
    <s v="INTPG_VPC_816_1.45_821_1.45"/>
    <s v="ISEL-1.45"/>
    <n v="1"/>
    <s v="NO TIENE L3OUT"/>
    <n v="0"/>
    <n v="54"/>
  </r>
  <r>
    <n v="825"/>
    <x v="2"/>
    <x v="184"/>
    <s v="eth1/45"/>
    <x v="0"/>
    <x v="1"/>
    <x v="3"/>
    <m/>
    <x v="0"/>
    <b v="0"/>
    <s v="No está en VPC"/>
    <n v="825"/>
    <s v="NO EXISTE PG"/>
    <s v="NO EXISTE ISEL"/>
    <n v="0"/>
    <s v="NO TIENE L3OUT"/>
    <n v="72"/>
    <n v="54"/>
  </r>
  <r>
    <n v="800"/>
    <x v="2"/>
    <x v="185"/>
    <s v="eth1/45"/>
    <x v="0"/>
    <x v="0"/>
    <x v="0"/>
    <s v="TO-ITHFDEOCP1LWR11-REDUNDANTE"/>
    <x v="0"/>
    <b v="0"/>
    <s v="No está en VPC"/>
    <n v="800"/>
    <s v="INTPG_ACC_800_1.45"/>
    <s v="ISEL-1.45"/>
    <n v="1"/>
    <s v="NO TIENE L3OUT"/>
    <n v="78"/>
    <n v="54"/>
  </r>
  <r>
    <n v="801"/>
    <x v="2"/>
    <x v="186"/>
    <s v="eth1/45"/>
    <x v="0"/>
    <x v="0"/>
    <x v="0"/>
    <s v="TO-ITHFDEOCP1LWR11-PRINCIPAL"/>
    <x v="0"/>
    <b v="0"/>
    <s v="No está en VPC"/>
    <n v="801"/>
    <s v="INTPG_ACC_801_1.45"/>
    <s v="ISEL-1.45"/>
    <n v="1"/>
    <s v="NO TIENE L3OUT"/>
    <n v="78"/>
    <n v="54"/>
  </r>
  <r>
    <n v="823"/>
    <x v="2"/>
    <x v="187"/>
    <s v="eth1/45"/>
    <x v="0"/>
    <x v="0"/>
    <x v="0"/>
    <s v="LINK_TO_ITHFHWCBSPSWR39 /Slot5.1 /Redundante"/>
    <x v="0"/>
    <b v="0"/>
    <s v="No está en VPC"/>
    <n v="823"/>
    <s v="INTPG_VPC_818_1.45_823_1.45"/>
    <s v="ISEL-1.45"/>
    <n v="1"/>
    <s v="NO TIENE L3OUT"/>
    <n v="8"/>
    <n v="54"/>
  </r>
  <r>
    <n v="837"/>
    <x v="2"/>
    <x v="188"/>
    <s v="eth1/45"/>
    <x v="0"/>
    <x v="0"/>
    <x v="0"/>
    <s v="LINK_To_ITHFHWCBSPSHD23 / Slot1.1_22 / Principal"/>
    <x v="0"/>
    <b v="0"/>
    <s v="No está en VPC"/>
    <n v="837"/>
    <s v="INTPG_VPC_837_1.45_842_1.45"/>
    <s v="ISEL-1.45"/>
    <n v="2"/>
    <s v="NO TIENE L3OUT"/>
    <n v="8"/>
    <n v="54"/>
  </r>
  <r>
    <n v="867"/>
    <x v="2"/>
    <x v="189"/>
    <s v="eth1/45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45"/>
    <x v="0"/>
    <x v="0"/>
    <x v="0"/>
    <s v="To_VPC_2DCRMD_SBD06_1_Principal"/>
    <x v="0"/>
    <b v="0"/>
    <s v="No está en VPC"/>
    <n v="829"/>
    <s v="INTPG_VPC_829_1.45_833_1.45"/>
    <s v="ISEL-1.45"/>
    <n v="6"/>
    <s v="NO TIENE L3OUT"/>
    <n v="224"/>
    <n v="54"/>
  </r>
  <r>
    <n v="831"/>
    <x v="2"/>
    <x v="191"/>
    <s v="eth1/45"/>
    <x v="0"/>
    <x v="0"/>
    <x v="0"/>
    <s v="LINK_TO_ITHFHWCBSDSWR31 /Slot5.1 /Redundante"/>
    <x v="0"/>
    <b v="0"/>
    <s v="No está en VPC"/>
    <n v="831"/>
    <s v="INTPG_VPC_827_1.45_831_1.45"/>
    <s v="ISEL-1.45"/>
    <n v="1"/>
    <s v="NO TIENE L3OUT"/>
    <n v="14"/>
    <n v="54"/>
  </r>
  <r>
    <n v="802"/>
    <x v="2"/>
    <x v="192"/>
    <s v="eth1/45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45"/>
    <x v="0"/>
    <x v="0"/>
    <x v="0"/>
    <s v="LINK_TO_ITHFHWCBSPSHDCTL06 / Slot1.2_12 / Principal"/>
    <x v="0"/>
    <b v="0"/>
    <s v="No está en VPC"/>
    <n v="835"/>
    <s v="INTPG_VPC_835_1.45_840_1.45"/>
    <s v="ISEL-1.45"/>
    <n v="1"/>
    <s v="NO TIENE L3OUT"/>
    <n v="8"/>
    <n v="54"/>
  </r>
  <r>
    <n v="822"/>
    <x v="2"/>
    <x v="194"/>
    <s v="eth1/45"/>
    <x v="0"/>
    <x v="0"/>
    <x v="0"/>
    <s v="LINK_TO_ITHFHWCBSPSWR28 /Slot6.2 /Redundante"/>
    <x v="0"/>
    <b v="0"/>
    <s v="No está en VPC"/>
    <n v="822"/>
    <s v="INTPG_VPC_817_1.45_822_1.45"/>
    <s v="ISEL-1.45"/>
    <n v="1"/>
    <s v="NO TIENE L3OUT"/>
    <n v="0"/>
    <n v="54"/>
  </r>
  <r>
    <n v="854"/>
    <x v="2"/>
    <x v="195"/>
    <s v="eth1/45"/>
    <x v="0"/>
    <x v="0"/>
    <x v="0"/>
    <s v="LINK_TO_ITHFHWCRMPLCN153 / Slot1.2_8 / Principal"/>
    <x v="0"/>
    <b v="0"/>
    <s v="No está en VPC"/>
    <n v="854"/>
    <s v="INTPG_ACC_854_1.45"/>
    <s v="ISEL-1.45"/>
    <n v="2"/>
    <s v="NO TIENE L3OUT"/>
    <n v="204"/>
    <n v="54"/>
  </r>
  <r>
    <n v="858"/>
    <x v="2"/>
    <x v="196"/>
    <s v="eth1/45"/>
    <x v="0"/>
    <x v="0"/>
    <x v="0"/>
    <s v="To_ITHHWD6KV65100015DKC01_Principal"/>
    <x v="0"/>
    <b v="0"/>
    <s v="No está en VPC"/>
    <n v="858"/>
    <s v="INTPG_ACC_858_1.45"/>
    <s v="ISEL-1.45"/>
    <n v="1"/>
    <s v="NO TIENE L3OUT"/>
    <n v="8"/>
    <n v="54"/>
  </r>
  <r>
    <n v="857"/>
    <x v="2"/>
    <x v="197"/>
    <s v="eth1/45"/>
    <x v="0"/>
    <x v="0"/>
    <x v="0"/>
    <s v="LINKT_TO_ITHFHWCRMPLCN130 / Slot1.2_30 / Principal"/>
    <x v="0"/>
    <b v="0"/>
    <s v="No está en VPC"/>
    <n v="857"/>
    <s v="INTPG_ACC_857_1.45"/>
    <s v="ISEL-1.45"/>
    <n v="2"/>
    <s v="NO TIENE L3OUT"/>
    <n v="288"/>
    <n v="54"/>
  </r>
  <r>
    <n v="859"/>
    <x v="2"/>
    <x v="198"/>
    <s v="eth1/45"/>
    <x v="0"/>
    <x v="0"/>
    <x v="0"/>
    <s v="To_VPC_2DCBSD_WR50_3"/>
    <x v="0"/>
    <b v="0"/>
    <s v="No está en VPC"/>
    <n v="859"/>
    <s v="INTPG_VPC_859_1.45_864_1.45"/>
    <s v="ISEL-1.45"/>
    <n v="1"/>
    <s v="NO TIENE L3OUT"/>
    <n v="0"/>
    <n v="54"/>
  </r>
  <r>
    <n v="833"/>
    <x v="2"/>
    <x v="199"/>
    <s v="eth1/45"/>
    <x v="0"/>
    <x v="0"/>
    <x v="0"/>
    <s v="To_VPC_2DCRMD_SBD06_1_Redundancia"/>
    <x v="0"/>
    <b v="0"/>
    <s v="No está en VPC"/>
    <n v="833"/>
    <s v="INTPG_VPC_829_1.45_833_1.45"/>
    <s v="ISEL-1.45"/>
    <n v="6"/>
    <s v="NO TIENE L3OUT"/>
    <n v="224"/>
    <n v="54"/>
  </r>
  <r>
    <n v="818"/>
    <x v="2"/>
    <x v="200"/>
    <s v="eth1/45"/>
    <x v="0"/>
    <x v="0"/>
    <x v="0"/>
    <s v="LINK_TO_ITHFHWCBSPSWR39 /10GE.1 /Principal"/>
    <x v="0"/>
    <b v="0"/>
    <s v="No está en VPC"/>
    <n v="818"/>
    <s v="INTPG_VPC_818_1.45_823_1.45"/>
    <s v="ISEL-1.45"/>
    <n v="1"/>
    <s v="NO TIENE L3OUT"/>
    <n v="8"/>
    <n v="54"/>
  </r>
  <r>
    <n v="850"/>
    <x v="2"/>
    <x v="201"/>
    <s v="eth1/45"/>
    <x v="0"/>
    <x v="0"/>
    <x v="0"/>
    <s v="LINKT_TO_ITHFHWCRMPLCN130 / Slot7.2_30 / Redundante"/>
    <x v="0"/>
    <b v="0"/>
    <s v="No está en VPC"/>
    <n v="850"/>
    <s v="INTPG_ACC_850_1.45"/>
    <s v="ISEL-1.45"/>
    <n v="2"/>
    <s v="NO TIENE L3OUT"/>
    <n v="288"/>
    <n v="54"/>
  </r>
  <r>
    <n v="860"/>
    <x v="2"/>
    <x v="202"/>
    <s v="eth1/45"/>
    <x v="0"/>
    <x v="0"/>
    <x v="0"/>
    <s v="To_VPC_2DCBSD_WR40_3"/>
    <x v="0"/>
    <b v="0"/>
    <s v="No está en VPC"/>
    <n v="860"/>
    <s v="INTPG_VPC_860_1.45_865_1.45"/>
    <s v="ISEL-1.45"/>
    <n v="1"/>
    <s v="NO TIENE L3OUT"/>
    <n v="0"/>
    <n v="54"/>
  </r>
  <r>
    <n v="853"/>
    <x v="2"/>
    <x v="203"/>
    <s v="eth1/45"/>
    <x v="0"/>
    <x v="0"/>
    <x v="0"/>
    <s v="LINK_TO_ITHFHWCRMPLCN86 / Slot7.3_30 / Redundante"/>
    <x v="0"/>
    <b v="0"/>
    <s v="No está en VPC"/>
    <n v="853"/>
    <s v="INTPG_ACC_853_1.45"/>
    <s v="ISEL-1.45"/>
    <n v="1"/>
    <s v="NO TIENE L3OUT"/>
    <n v="242"/>
    <n v="54"/>
  </r>
  <r>
    <n v="790"/>
    <x v="2"/>
    <x v="204"/>
    <s v="eth1/45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45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45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45"/>
    <x v="0"/>
    <x v="1"/>
    <x v="1"/>
    <m/>
    <x v="6"/>
    <b v="0"/>
    <s v="No está en VPC"/>
    <n v="104"/>
    <s v="NO EXISTE PG"/>
    <s v="NO EXISTE ISEL"/>
    <n v="0"/>
    <s v="NO TIENE L3OUT"/>
    <n v="194"/>
    <n v="96"/>
  </r>
  <r>
    <n v="158"/>
    <x v="0"/>
    <x v="208"/>
    <s v="eth1/45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45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45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45"/>
    <x v="0"/>
    <x v="0"/>
    <x v="0"/>
    <s v="OBIE_1-2"/>
    <x v="6"/>
    <b v="0"/>
    <s v="No está en VPC"/>
    <n v="108"/>
    <s v="INTPG_ACC_108_1.45"/>
    <s v="ISEL-1.45"/>
    <n v="1"/>
    <s v="NO TIENE L3OUT"/>
    <n v="126"/>
    <n v="96"/>
  </r>
  <r>
    <n v="112"/>
    <x v="0"/>
    <x v="212"/>
    <s v="eth1/45"/>
    <x v="0"/>
    <x v="0"/>
    <x v="0"/>
    <s v="DCX3-6"/>
    <x v="6"/>
    <b v="0"/>
    <s v="No está en VPC"/>
    <n v="112"/>
    <s v="INTPG_ACC_112_1.45"/>
    <s v="ISEL-1.45"/>
    <n v="1"/>
    <s v="NO TIENE L3OUT"/>
    <n v="144"/>
    <n v="96"/>
  </r>
  <r>
    <n v="107"/>
    <x v="0"/>
    <x v="213"/>
    <s v="eth1/45"/>
    <x v="1"/>
    <x v="1"/>
    <x v="2"/>
    <s v="COMISIONES"/>
    <x v="6"/>
    <b v="0"/>
    <s v="No está en VPC"/>
    <n v="107"/>
    <s v="INTPG_ACC_107_1.45"/>
    <s v="ISEL-1.45"/>
    <n v="0"/>
    <s v="NO TIENE L3OUT"/>
    <n v="118"/>
    <n v="96"/>
  </r>
  <r>
    <n v="109"/>
    <x v="0"/>
    <x v="214"/>
    <s v="eth1/45"/>
    <x v="0"/>
    <x v="0"/>
    <x v="0"/>
    <s v="EMS_TEKELEC"/>
    <x v="6"/>
    <b v="0"/>
    <s v="No está en VPC"/>
    <n v="109"/>
    <s v="INTPG_ACC_109_1.45"/>
    <s v="ISEL-1.45"/>
    <n v="1"/>
    <s v="NO TIENE L3OUT"/>
    <n v="126"/>
    <n v="96"/>
  </r>
  <r>
    <n v="113"/>
    <x v="0"/>
    <x v="215"/>
    <s v="eth1/45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45"/>
    <x v="0"/>
    <x v="1"/>
    <x v="1"/>
    <s v="SAPCCRATING03"/>
    <x v="6"/>
    <b v="0"/>
    <s v="No está en VPC"/>
    <n v="114"/>
    <s v="INTPG_VPC_112_1.48_114_1.45"/>
    <s v="ISEL-1.45"/>
    <n v="1"/>
    <s v="NO TIENE L3OUT"/>
    <n v="144"/>
    <n v="96"/>
  </r>
  <r>
    <n v="124"/>
    <x v="0"/>
    <x v="217"/>
    <s v="eth1/45"/>
    <x v="0"/>
    <x v="0"/>
    <x v="0"/>
    <s v="DWH_SVA_IBM"/>
    <x v="6"/>
    <b v="0"/>
    <s v="No está en VPC"/>
    <n v="124"/>
    <s v="INTPG_ACC_124_1.45"/>
    <s v="ISEL-1.45"/>
    <n v="1"/>
    <s v="NO TIENE L3OUT"/>
    <n v="80"/>
    <n v="96"/>
  </r>
  <r>
    <n v="118"/>
    <x v="0"/>
    <x v="218"/>
    <s v="eth1/45"/>
    <x v="0"/>
    <x v="1"/>
    <x v="1"/>
    <s v="INGE6"/>
    <x v="6"/>
    <b v="0"/>
    <s v="No está en VPC"/>
    <n v="118"/>
    <s v="INTPG_ACC_118_1.45"/>
    <s v="ISEL-1.45"/>
    <n v="1"/>
    <s v="NO TIENE L3OUT"/>
    <n v="180"/>
    <n v="96"/>
  </r>
  <r>
    <n v="159"/>
    <x v="0"/>
    <x v="219"/>
    <s v="eth1/45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45"/>
    <x v="0"/>
    <x v="0"/>
    <x v="0"/>
    <s v="LINK_TO_ITHFHWCBSPSHDCTL06 / Slot7.2_12 / Redundante"/>
    <x v="0"/>
    <b v="0"/>
    <s v="No está en VPC"/>
    <n v="840"/>
    <s v="INTPG_VPC_835_1.45_840_1.45"/>
    <s v="ISEL-1.45"/>
    <n v="1"/>
    <s v="NO TIENE L3OUT"/>
    <n v="8"/>
    <n v="54"/>
  </r>
  <r>
    <n v="856"/>
    <x v="2"/>
    <x v="221"/>
    <s v="eth1/45"/>
    <x v="0"/>
    <x v="0"/>
    <x v="0"/>
    <s v="LINK_TO_ITHFHWCRMPLCN149 / Slot1.2_32 / Principal"/>
    <x v="0"/>
    <b v="0"/>
    <s v="No está en VPC"/>
    <n v="856"/>
    <s v="INTPG_ACC_856_1.45"/>
    <s v="ISEL-1.45"/>
    <n v="2"/>
    <s v="NO TIENE L3OUT"/>
    <n v="286"/>
    <n v="54"/>
  </r>
  <r>
    <n v="110"/>
    <x v="0"/>
    <x v="222"/>
    <s v="eth1/45"/>
    <x v="0"/>
    <x v="0"/>
    <x v="0"/>
    <s v="SUN6900_E25K"/>
    <x v="6"/>
    <b v="0"/>
    <s v="No está en VPC"/>
    <n v="110"/>
    <s v="INTPG_ACC_110_1.45"/>
    <s v="ISEL-1.45"/>
    <n v="1"/>
    <s v="NO TIENE L3OUT"/>
    <n v="102"/>
    <n v="96"/>
  </r>
  <r>
    <n v="163"/>
    <x v="0"/>
    <x v="223"/>
    <s v="eth1/45"/>
    <x v="0"/>
    <x v="0"/>
    <x v="0"/>
    <s v="MULTIMEDIACION_1"/>
    <x v="6"/>
    <b v="0"/>
    <s v="No está en VPC"/>
    <n v="163"/>
    <s v="INTPG_ACC_163_1.45"/>
    <s v="ISEL-1.45"/>
    <n v="1"/>
    <s v="NO TIENE L3OUT"/>
    <n v="140"/>
    <n v="96"/>
  </r>
  <r>
    <n v="407"/>
    <x v="1"/>
    <x v="224"/>
    <s v="eth1/45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45"/>
    <x v="1"/>
    <x v="1"/>
    <x v="2"/>
    <s v="SRS (Speedy Rating System)"/>
    <x v="6"/>
    <b v="0"/>
    <s v="No está en VPC"/>
    <n v="171"/>
    <s v="INTPG_ACC_171_1.45"/>
    <s v="ISEL-1.45"/>
    <n v="1"/>
    <s v="NO TIENE L3OUT"/>
    <n v="114"/>
    <n v="96"/>
  </r>
  <r>
    <n v="421"/>
    <x v="1"/>
    <x v="226"/>
    <s v="eth1/45"/>
    <x v="0"/>
    <x v="0"/>
    <x v="0"/>
    <s v="PortalCautivo2_f5gwt01_mgmt"/>
    <x v="6"/>
    <b v="0"/>
    <s v="No está en VPC"/>
    <n v="421"/>
    <s v="INTPG_ACC_421_1.45"/>
    <s v="ISEL-1.45"/>
    <n v="1"/>
    <s v="NO TIENE L3OUT"/>
    <n v="72"/>
    <n v="96"/>
  </r>
  <r>
    <n v="173"/>
    <x v="0"/>
    <x v="227"/>
    <s v="eth1/45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45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45"/>
    <x v="0"/>
    <x v="0"/>
    <x v="0"/>
    <s v="SRS (Speedy Rating System)"/>
    <x v="6"/>
    <b v="0"/>
    <s v="No está en VPC"/>
    <n v="172"/>
    <s v="INTPG_ACC_172_1.45"/>
    <s v="ISEL-1.45"/>
    <n v="1"/>
    <s v="NO TIENE L3OUT"/>
    <n v="104"/>
    <n v="96"/>
  </r>
  <r>
    <n v="420"/>
    <x v="1"/>
    <x v="230"/>
    <s v="eth1/45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45"/>
    <x v="0"/>
    <x v="0"/>
    <x v="0"/>
    <s v="HP MSA 2040 (ARREGLO)"/>
    <x v="6"/>
    <b v="0"/>
    <s v="No está en VPC"/>
    <n v="423"/>
    <s v="INTPG_ACC_423_1.45"/>
    <s v="ISEL-1.45"/>
    <n v="1"/>
    <s v="NO TIENE L3OUT"/>
    <n v="86"/>
    <n v="96"/>
  </r>
  <r>
    <n v="415"/>
    <x v="1"/>
    <x v="232"/>
    <s v="eth1/45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45"/>
    <x v="1"/>
    <x v="1"/>
    <x v="2"/>
    <s v="IXTLA4_VC1:VMTLCLAMX5:VC1  X5"/>
    <x v="6"/>
    <b v="0"/>
    <s v="No está en VPC"/>
    <n v="102"/>
    <s v="INTPG_PC_102_1.41-48"/>
    <s v="ISEL-1.45"/>
    <n v="0"/>
    <s v="NO TIENE L3OUT"/>
    <n v="228"/>
    <n v="96"/>
  </r>
  <r>
    <n v="863"/>
    <x v="2"/>
    <x v="234"/>
    <s v="eth1/45"/>
    <x v="0"/>
    <x v="0"/>
    <x v="0"/>
    <s v="To_ITHHWD6KV65100015DKC01_Redundante"/>
    <x v="0"/>
    <b v="0"/>
    <s v="No está en VPC"/>
    <n v="863"/>
    <s v="INTPG_ACC_863_1.45"/>
    <s v="ISEL-1.45"/>
    <n v="1"/>
    <s v="NO TIENE L3OUT"/>
    <n v="8"/>
    <n v="54"/>
  </r>
  <r>
    <n v="876"/>
    <x v="2"/>
    <x v="235"/>
    <s v="eth1/45"/>
    <x v="0"/>
    <x v="0"/>
    <x v="0"/>
    <s v="A_ITHFHWSEQLDPS05_Principal"/>
    <x v="4"/>
    <b v="0"/>
    <s v="No está en VPC"/>
    <n v="876"/>
    <s v="INTPG_ACC_876_1.45"/>
    <s v="ISEL-1.45"/>
    <n v="1"/>
    <s v="NO TIENE L3OUT"/>
    <n v="92"/>
    <n v="54"/>
  </r>
  <r>
    <n v="877"/>
    <x v="2"/>
    <x v="236"/>
    <s v="eth1/45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45"/>
    <x v="1"/>
    <x v="1"/>
    <x v="2"/>
    <s v="ZFS X5-2"/>
    <x v="6"/>
    <b v="0"/>
    <s v="No está en VPC"/>
    <n v="122"/>
    <s v="INTPG_ACC_122_1.45"/>
    <s v="ISEL-1.45"/>
    <n v="0"/>
    <s v="NO TIENE L3OUT"/>
    <n v="148"/>
    <n v="96"/>
  </r>
  <r>
    <n v="157"/>
    <x v="0"/>
    <x v="238"/>
    <s v="eth1/45"/>
    <x v="0"/>
    <x v="0"/>
    <x v="0"/>
    <s v="FW_VPN"/>
    <x v="6"/>
    <b v="0"/>
    <s v="No está en VPC"/>
    <n v="157"/>
    <s v="INTPG_ACC_157_1.45"/>
    <s v="ISEL-1.45"/>
    <n v="1"/>
    <s v="NO TIENE L3OUT"/>
    <n v="202"/>
    <n v="96"/>
  </r>
  <r>
    <n v="408"/>
    <x v="1"/>
    <x v="239"/>
    <s v="eth1/45"/>
    <x v="0"/>
    <x v="0"/>
    <x v="0"/>
    <s v="VBLOCK_IGB0"/>
    <x v="6"/>
    <b v="0"/>
    <s v="No está en VPC"/>
    <n v="408"/>
    <s v="INTPG_ACC_408_1.45"/>
    <s v="ISEL-1.45"/>
    <n v="1"/>
    <s v="NO TIENE L3OUT"/>
    <n v="152"/>
    <n v="96"/>
  </r>
  <r>
    <n v="405"/>
    <x v="1"/>
    <x v="240"/>
    <s v="eth1/45"/>
    <x v="0"/>
    <x v="0"/>
    <x v="0"/>
    <s v="ITHSGHP0"/>
    <x v="6"/>
    <b v="0"/>
    <s v="No está en VPC"/>
    <n v="405"/>
    <s v="INTPG_ACC_405_1.45"/>
    <s v="ISEL-1.45"/>
    <n v="1"/>
    <s v="NO TIENE L3OUT"/>
    <n v="138"/>
    <n v="96"/>
  </r>
  <r>
    <n v="169"/>
    <x v="0"/>
    <x v="241"/>
    <s v="eth1/45"/>
    <x v="0"/>
    <x v="0"/>
    <x v="0"/>
    <s v="F5_PORTALES_LDAP01_PROD"/>
    <x v="6"/>
    <b v="0"/>
    <s v="No está en VPC"/>
    <n v="169"/>
    <s v="INTPG_ACC_169_1.45"/>
    <s v="ISEL-1.45"/>
    <n v="2"/>
    <s v="NO TIENE L3OUT"/>
    <n v="76"/>
    <n v="96"/>
  </r>
  <r>
    <n v="165"/>
    <x v="0"/>
    <x v="242"/>
    <s v="eth1/45"/>
    <x v="0"/>
    <x v="0"/>
    <x v="0"/>
    <s v="NOMINA_uxm4web1"/>
    <x v="6"/>
    <b v="0"/>
    <s v="No está en VPC"/>
    <n v="165"/>
    <s v="INTPG_ACC_165_1.45"/>
    <s v="ISEL-1.45"/>
    <n v="1"/>
    <s v="NO TIENE L3OUT"/>
    <n v="86"/>
    <n v="96"/>
  </r>
  <r>
    <n v="417"/>
    <x v="1"/>
    <x v="243"/>
    <s v="eth1/45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45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45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45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45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45"/>
    <x v="0"/>
    <x v="0"/>
    <x v="0"/>
    <s v="TC3_ithmomce1_VC2_X6"/>
    <x v="6"/>
    <b v="0"/>
    <s v="No está en VPC"/>
    <n v="438"/>
    <s v="INTPG_ACC_438_1.45"/>
    <s v="ISEL-1.45"/>
    <n v="7"/>
    <s v="NO TIENE L3OUT"/>
    <n v="170"/>
    <n v="96"/>
  </r>
  <r>
    <n v="406"/>
    <x v="1"/>
    <x v="249"/>
    <s v="eth1/45"/>
    <x v="0"/>
    <x v="1"/>
    <x v="5"/>
    <s v="VIOSDES2-VIOSDES2_CLT"/>
    <x v="6"/>
    <b v="0"/>
    <s v="No está en VPC"/>
    <n v="406"/>
    <s v="INTPG_VPC_404_1.45-46_406_1.45-46"/>
    <s v="ISEL-1.45"/>
    <n v="1"/>
    <s v="NO TIENE L3OUT"/>
    <n v="82"/>
    <n v="96"/>
  </r>
  <r>
    <n v="414"/>
    <x v="1"/>
    <x v="250"/>
    <s v="eth1/45"/>
    <x v="0"/>
    <x v="0"/>
    <x v="0"/>
    <s v="Exadata_adm2"/>
    <x v="6"/>
    <b v="0"/>
    <s v="No está en VPC"/>
    <n v="414"/>
    <s v="INTPG_ACC_414_1.45"/>
    <s v="ISEL-1.45"/>
    <n v="1"/>
    <s v="NO TIENE L3OUT"/>
    <n v="144"/>
    <n v="96"/>
  </r>
  <r>
    <n v="416"/>
    <x v="1"/>
    <x v="251"/>
    <s v="eth1/45"/>
    <x v="0"/>
    <x v="0"/>
    <x v="0"/>
    <s v="DESC"/>
    <x v="6"/>
    <b v="0"/>
    <s v="No está en VPC"/>
    <n v="416"/>
    <s v="INTPG_PC_416_1.40-45"/>
    <s v="ISEL-1.45"/>
    <n v="7"/>
    <s v="NO TIENE L3OUT"/>
    <n v="110"/>
    <n v="96"/>
  </r>
  <r>
    <n v="418"/>
    <x v="1"/>
    <x v="252"/>
    <s v="eth1/45"/>
    <x v="0"/>
    <x v="0"/>
    <x v="0"/>
    <s v="DESC"/>
    <x v="6"/>
    <b v="0"/>
    <s v="No está en VPC"/>
    <n v="418"/>
    <s v="INTPG_PC_418_1.40-45"/>
    <s v="ISEL-1.45"/>
    <n v="7"/>
    <s v="NO TIENE L3OUT"/>
    <n v="152"/>
    <n v="96"/>
  </r>
  <r>
    <n v="413"/>
    <x v="1"/>
    <x v="253"/>
    <s v="eth1/45"/>
    <x v="0"/>
    <x v="0"/>
    <x v="0"/>
    <s v="To-uxingemc2 ldom 1  uxsmart01"/>
    <x v="6"/>
    <b v="0"/>
    <s v="No está en VPC"/>
    <n v="413"/>
    <s v="INTPG_ACC_413_1.45"/>
    <s v="ISEL-1.45"/>
    <n v="1"/>
    <s v="NO TIENE L3OUT"/>
    <n v="126"/>
    <n v="96"/>
  </r>
  <r>
    <n v="403"/>
    <x v="1"/>
    <x v="254"/>
    <s v="eth1/45"/>
    <x v="0"/>
    <x v="1"/>
    <x v="1"/>
    <s v="SYS_BAY_SVA_DWH"/>
    <x v="6"/>
    <b v="0"/>
    <s v="No está en VPC"/>
    <n v="403"/>
    <s v="INTPG_ACC_403_1.45"/>
    <s v="ISEL-1.45"/>
    <n v="1"/>
    <s v="NO TIENE L3OUT"/>
    <n v="150"/>
    <n v="96"/>
  </r>
  <r>
    <n v="125"/>
    <x v="0"/>
    <x v="255"/>
    <s v="eth1/45"/>
    <x v="0"/>
    <x v="0"/>
    <x v="0"/>
    <m/>
    <x v="6"/>
    <b v="0"/>
    <s v="No está en VPC"/>
    <n v="125"/>
    <s v="INTPG_ACC_125_1.45"/>
    <s v="ISEL-1.45"/>
    <n v="1"/>
    <s v="NO TIENE L3OUT"/>
    <n v="72"/>
    <n v="96"/>
  </r>
  <r>
    <n v="166"/>
    <x v="0"/>
    <x v="256"/>
    <s v="eth1/45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45"/>
    <x v="0"/>
    <x v="0"/>
    <x v="0"/>
    <s v="TO-ITHFDEMCFRPMS01"/>
    <x v="6"/>
    <b v="0"/>
    <s v="No está en VPC"/>
    <n v="111"/>
    <s v="INTPG_VPC_110_1.66_111_1.45"/>
    <s v="ISEL-1.45"/>
    <n v="1"/>
    <s v="NO TIENE L3OUT"/>
    <n v="58"/>
    <n v="96"/>
  </r>
  <r>
    <n v="115"/>
    <x v="0"/>
    <x v="258"/>
    <s v="eth1/45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45"/>
    <x v="0"/>
    <x v="0"/>
    <x v="0"/>
    <s v="COMISIONES"/>
    <x v="6"/>
    <b v="0"/>
    <s v="No está en VPC"/>
    <n v="106"/>
    <s v="INTPG_ACC_106_1.45"/>
    <s v="ISEL-1.45"/>
    <n v="1"/>
    <s v="NO TIENE L3OUT"/>
    <n v="122"/>
    <n v="96"/>
  </r>
  <r>
    <n v="126"/>
    <x v="0"/>
    <x v="260"/>
    <s v="eth1/45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45"/>
    <x v="0"/>
    <x v="0"/>
    <x v="0"/>
    <s v="ITHVC1_ILO1_IPMP-Pasiva"/>
    <x v="6"/>
    <b v="0"/>
    <s v="No está en VPC"/>
    <n v="425"/>
    <s v="INTPG_ACC_425_1.45"/>
    <s v="ISEL-1.45"/>
    <n v="1"/>
    <s v="NO TIENE L3OUT"/>
    <n v="86"/>
    <n v="96"/>
  </r>
  <r>
    <n v="151"/>
    <x v="0"/>
    <x v="262"/>
    <s v="eth1/45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45"/>
    <x v="0"/>
    <x v="1"/>
    <x v="1"/>
    <s v="TO-uxidmbd1-E7-1"/>
    <x v="6"/>
    <b v="0"/>
    <s v="No está en VPC"/>
    <n v="430"/>
    <s v="INTPG_ACC_430_1.45"/>
    <s v="ISEL-1.45"/>
    <n v="1"/>
    <s v="NO TIENE L3OUT"/>
    <n v="86"/>
    <n v="96"/>
  </r>
  <r>
    <n v="419"/>
    <x v="1"/>
    <x v="264"/>
    <s v="eth1/45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45"/>
    <x v="0"/>
    <x v="0"/>
    <x v="0"/>
    <s v="IXT08PP"/>
    <x v="6"/>
    <b v="0"/>
    <s v="No está en VPC"/>
    <n v="155"/>
    <s v="INTPG_ACC_155_1.45"/>
    <s v="ISEL-1.45"/>
    <n v="1"/>
    <s v="NO TIENE L3OUT"/>
    <n v="198"/>
    <n v="96"/>
  </r>
  <r>
    <n v="409"/>
    <x v="1"/>
    <x v="266"/>
    <s v="eth1/45"/>
    <x v="0"/>
    <x v="0"/>
    <x v="0"/>
    <s v="IXTPPMDB01"/>
    <x v="6"/>
    <b v="0"/>
    <s v="No está en VPC"/>
    <n v="409"/>
    <s v="INTPG_ACC_409_1.45"/>
    <s v="ISEL-1.45"/>
    <n v="1"/>
    <s v="NO TIENE L3OUT"/>
    <n v="128"/>
    <n v="96"/>
  </r>
  <r>
    <n v="422"/>
    <x v="1"/>
    <x v="267"/>
    <s v="eth1/45"/>
    <x v="0"/>
    <x v="0"/>
    <x v="0"/>
    <s v="ITHRTC4CSP1"/>
    <x v="6"/>
    <b v="0"/>
    <s v="No está en VPC"/>
    <n v="422"/>
    <s v="INTPG_ACC_422_1.45"/>
    <s v="ISEL-1.45"/>
    <n v="1"/>
    <s v="NO TIENE L3OUT"/>
    <n v="182"/>
    <n v="96"/>
  </r>
  <r>
    <n v="436"/>
    <x v="1"/>
    <x v="268"/>
    <s v="eth1/45"/>
    <x v="0"/>
    <x v="0"/>
    <x v="0"/>
    <s v="DESC"/>
    <x v="6"/>
    <b v="0"/>
    <s v="No está en VPC"/>
    <n v="436"/>
    <s v="INTPG_PC_436_1.40-45"/>
    <s v="ISEL-1.45"/>
    <n v="7"/>
    <s v="NO TIENE L3OUT"/>
    <n v="172"/>
    <n v="96"/>
  </r>
  <r>
    <n v="410"/>
    <x v="1"/>
    <x v="269"/>
    <s v="eth1/45"/>
    <x v="0"/>
    <x v="1"/>
    <x v="1"/>
    <s v="NMS02_S05"/>
    <x v="6"/>
    <b v="0"/>
    <s v="No está en VPC"/>
    <n v="410"/>
    <s v="INTPG_ACC_410_1.45"/>
    <s v="ISEL-1.45"/>
    <n v="1"/>
    <s v="NO TIENE L3OUT"/>
    <n v="178"/>
    <n v="96"/>
  </r>
  <r>
    <n v="161"/>
    <x v="0"/>
    <x v="270"/>
    <s v="eth1/45"/>
    <x v="0"/>
    <x v="0"/>
    <x v="0"/>
    <s v="CELCITE"/>
    <x v="6"/>
    <b v="0"/>
    <s v="No está en VPC"/>
    <n v="161"/>
    <s v="INTPG_ACC_161_1.45"/>
    <s v="ISEL-1.45"/>
    <n v="1"/>
    <s v="NO TIENE L3OUT"/>
    <n v="102"/>
    <n v="96"/>
  </r>
  <r>
    <n v="411"/>
    <x v="1"/>
    <x v="271"/>
    <s v="eth1/45"/>
    <x v="0"/>
    <x v="1"/>
    <x v="1"/>
    <s v="Ixt_guardium01_Principal"/>
    <x v="6"/>
    <b v="0"/>
    <s v="No está en VPC"/>
    <n v="411"/>
    <s v="INTPG_ACC_411_1.45"/>
    <s v="ISEL-1.45"/>
    <n v="1"/>
    <s v="NO TIENE L3OUT"/>
    <n v="96"/>
    <n v="96"/>
  </r>
  <r>
    <n v="116"/>
    <x v="0"/>
    <x v="272"/>
    <s v="eth1/45"/>
    <x v="0"/>
    <x v="1"/>
    <x v="1"/>
    <s v="USSD TANGO"/>
    <x v="6"/>
    <b v="0"/>
    <s v="No está en VPC"/>
    <n v="116"/>
    <s v="INTPG_ACC_116_1.45"/>
    <s v="ISEL-1.45"/>
    <n v="1"/>
    <s v="NO TIENE L3OUT"/>
    <n v="148"/>
    <n v="96"/>
  </r>
  <r>
    <n v="412"/>
    <x v="1"/>
    <x v="273"/>
    <s v="eth1/45"/>
    <x v="0"/>
    <x v="0"/>
    <x v="0"/>
    <s v="HNMP101B"/>
    <x v="6"/>
    <b v="0"/>
    <s v="No está en VPC"/>
    <n v="412"/>
    <s v="INTPG_ACC_412_1.45"/>
    <s v="ISEL-1.45"/>
    <n v="1"/>
    <s v="NO TIENE L3OUT"/>
    <n v="126"/>
    <n v="96"/>
  </r>
  <r>
    <n v="120"/>
    <x v="0"/>
    <x v="274"/>
    <s v="eth1/45"/>
    <x v="0"/>
    <x v="0"/>
    <x v="0"/>
    <s v="Consola serial"/>
    <x v="6"/>
    <b v="0"/>
    <s v="No está en VPC"/>
    <n v="120"/>
    <s v="INTPG_ACC_120_1.45"/>
    <s v="ISEL-1.45"/>
    <n v="1"/>
    <s v="NO TIENE L3OUT"/>
    <n v="158"/>
    <n v="96"/>
  </r>
  <r>
    <n v="404"/>
    <x v="1"/>
    <x v="275"/>
    <s v="eth1/45"/>
    <x v="0"/>
    <x v="1"/>
    <x v="5"/>
    <s v="VIOSDES2-VIOSDES2_CLT"/>
    <x v="6"/>
    <b v="0"/>
    <s v="No está en VPC"/>
    <n v="404"/>
    <s v="INTPG_VPC_404_1.45-46_406_1.45-46"/>
    <s v="ISEL-1.45"/>
    <n v="1"/>
    <s v="NO TIENE L3OUT"/>
    <n v="92"/>
    <n v="96"/>
  </r>
  <r>
    <n v="167"/>
    <x v="0"/>
    <x v="276"/>
    <s v="eth1/45"/>
    <x v="1"/>
    <x v="1"/>
    <x v="2"/>
    <s v="F5_PORTALES_LDAP02_PROD"/>
    <x v="6"/>
    <b v="0"/>
    <s v="No está en VPC"/>
    <n v="167"/>
    <s v="INTPG_ACC_167_1.45"/>
    <s v="ISEL-1.45"/>
    <n v="2"/>
    <s v="NO TIENE L3OUT"/>
    <n v="68"/>
    <n v="96"/>
  </r>
  <r>
    <n v="428"/>
    <x v="1"/>
    <x v="277"/>
    <s v="eth1/45"/>
    <x v="0"/>
    <x v="0"/>
    <x v="0"/>
    <s v="ECAC_PROD1_ILO"/>
    <x v="6"/>
    <b v="0"/>
    <s v="No está en VPC"/>
    <n v="428"/>
    <s v="INTPG_ACC_428_1.45"/>
    <s v="ISEL-1.45"/>
    <n v="1"/>
    <s v="NO TIENE L3OUT"/>
    <n v="102"/>
    <n v="96"/>
  </r>
  <r>
    <n v="128"/>
    <x v="0"/>
    <x v="0"/>
    <s v="eth1/46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46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46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46"/>
    <x v="0"/>
    <x v="0"/>
    <x v="0"/>
    <s v="LINK_HACIA_APIC"/>
    <x v="0"/>
    <b v="0"/>
    <s v="No está en VPC"/>
    <n v="101"/>
    <s v="INTPG_ACC_APIC5_101_1.46"/>
    <s v="ISEL-1.46"/>
    <n v="0"/>
    <s v="NO TIENE L3OUT"/>
    <n v="114"/>
    <n v="54"/>
  </r>
  <r>
    <n v="160"/>
    <x v="0"/>
    <x v="4"/>
    <s v="eth1/46"/>
    <x v="0"/>
    <x v="1"/>
    <x v="1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46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46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46"/>
    <x v="0"/>
    <x v="0"/>
    <x v="0"/>
    <s v="LINK_HACIA_APIC"/>
    <x v="0"/>
    <b v="0"/>
    <s v="No está en VPC"/>
    <n v="401"/>
    <s v="INTPG-ACC_APIC3_401_1.46"/>
    <s v="ISEL-1.46"/>
    <n v="0"/>
    <s v="NO TIENE L3OUT"/>
    <n v="40"/>
    <n v="54"/>
  </r>
  <r>
    <n v="402"/>
    <x v="1"/>
    <x v="8"/>
    <s v="eth1/46"/>
    <x v="0"/>
    <x v="0"/>
    <x v="0"/>
    <s v="LINK_HACIA_APIC"/>
    <x v="0"/>
    <b v="0"/>
    <s v="No está en VPC"/>
    <n v="402"/>
    <s v="INTPG-ACC_APIC3_402_1.46"/>
    <s v="ISEL-1.46"/>
    <n v="0"/>
    <s v="NO TIENE L3OUT"/>
    <n v="36"/>
    <n v="54"/>
  </r>
  <r>
    <n v="130"/>
    <x v="0"/>
    <x v="11"/>
    <s v="eth1/46"/>
    <x v="0"/>
    <x v="0"/>
    <x v="0"/>
    <s v="LAG-smt-comp-01"/>
    <x v="0"/>
    <b v="0"/>
    <s v="No está en VPC"/>
    <n v="130"/>
    <s v="INTPG_VPC_130_1.46-47_131_1.46-47"/>
    <s v="ISEL-1.46"/>
    <n v="4"/>
    <s v="NO TIENE L3OUT"/>
    <n v="128"/>
    <n v="54"/>
  </r>
  <r>
    <n v="150"/>
    <x v="0"/>
    <x v="12"/>
    <s v="eth1/46"/>
    <x v="0"/>
    <x v="0"/>
    <x v="0"/>
    <s v="LINK_HACIA_APIC"/>
    <x v="0"/>
    <b v="0"/>
    <s v="No está en VPC"/>
    <n v="150"/>
    <s v="INTPG_ACC_APIC5_150_1.46"/>
    <s v="ISEL-1.46"/>
    <n v="0"/>
    <s v="NO TIENE L3OUT"/>
    <n v="118"/>
    <n v="54"/>
  </r>
  <r>
    <n v="131"/>
    <x v="0"/>
    <x v="13"/>
    <s v="eth1/46"/>
    <x v="0"/>
    <x v="0"/>
    <x v="0"/>
    <s v="LAG-smt-comp-01"/>
    <x v="0"/>
    <b v="0"/>
    <s v="No está en VPC"/>
    <n v="131"/>
    <s v="INTPG_VPC_130_1.46-47_131_1.46-47"/>
    <s v="ISEL-1.46"/>
    <n v="4"/>
    <s v="NO TIENE L3OUT"/>
    <n v="126"/>
    <n v="54"/>
  </r>
  <r>
    <n v="424"/>
    <x v="1"/>
    <x v="18"/>
    <s v="eth1/46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46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46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46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46"/>
    <x v="1"/>
    <x v="1"/>
    <x v="2"/>
    <m/>
    <x v="0"/>
    <b v="0"/>
    <s v="No está en VPC"/>
    <n v="727"/>
    <s v="INTPG-ACC-OSPF_727_1.46"/>
    <s v="ISEL-1.46"/>
    <n v="0"/>
    <s v="NO TIENE L3OUT"/>
    <n v="0"/>
    <n v="54"/>
  </r>
  <r>
    <n v="724"/>
    <x v="2"/>
    <x v="23"/>
    <s v="eth1/46"/>
    <x v="0"/>
    <x v="0"/>
    <x v="0"/>
    <s v="LINK_HACIA_APIC"/>
    <x v="0"/>
    <b v="0"/>
    <s v="No está en VPC"/>
    <n v="724"/>
    <s v="INTPG-ACC_APIC_2_724_1.46"/>
    <s v="ISEL-1.46"/>
    <n v="0"/>
    <s v="NO TIENE L3OUT"/>
    <n v="0"/>
    <n v="54"/>
  </r>
  <r>
    <n v="725"/>
    <x v="2"/>
    <x v="25"/>
    <s v="eth1/46"/>
    <x v="0"/>
    <x v="0"/>
    <x v="0"/>
    <s v="LINK_HACIA_APIC"/>
    <x v="0"/>
    <b v="0"/>
    <s v="No está en VPC"/>
    <n v="725"/>
    <s v="INTPG-ACC_APIC_2_725_1.46"/>
    <s v="isel-1.46"/>
    <n v="0"/>
    <s v="NO TIENE L3OUT"/>
    <n v="0"/>
    <n v="54"/>
  </r>
  <r>
    <n v="431"/>
    <x v="1"/>
    <x v="26"/>
    <s v="eth1/46"/>
    <x v="0"/>
    <x v="0"/>
    <x v="0"/>
    <s v="To_ITHEA1A_eth3"/>
    <x v="0"/>
    <b v="0"/>
    <s v="No está en VPC"/>
    <n v="431"/>
    <s v="INTPG_ACC_431_1.46"/>
    <s v="ISEL-1.46"/>
    <n v="4"/>
    <s v="NO TIENE L3OUT"/>
    <n v="46"/>
    <n v="54"/>
  </r>
  <r>
    <n v="433"/>
    <x v="1"/>
    <x v="27"/>
    <s v="eth1/46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46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46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46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46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46"/>
    <x v="1"/>
    <x v="1"/>
    <x v="3"/>
    <m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46"/>
    <x v="0"/>
    <x v="0"/>
    <x v="0"/>
    <s v="LINK_HACIA_APIC"/>
    <x v="0"/>
    <b v="0"/>
    <s v="No está en VPC"/>
    <n v="712"/>
    <s v="INTPG-ACC_APIC1_712_1.46"/>
    <s v="ISEL-1.46"/>
    <n v="0"/>
    <s v="NO TIENE L3OUT"/>
    <n v="32"/>
    <n v="54"/>
  </r>
  <r>
    <n v="719"/>
    <x v="2"/>
    <x v="34"/>
    <s v="eth1/46"/>
    <x v="0"/>
    <x v="0"/>
    <x v="0"/>
    <s v="LINK_HACIA_APIC"/>
    <x v="0"/>
    <b v="0"/>
    <s v="No está en VPC"/>
    <n v="719"/>
    <s v="INTPG-ACC_APIC_4_719_1.46"/>
    <s v="ISEL-1.46"/>
    <n v="0"/>
    <s v="NO TIENE L3OUT"/>
    <n v="0"/>
    <n v="54"/>
  </r>
  <r>
    <n v="715"/>
    <x v="2"/>
    <x v="35"/>
    <s v="eth1/46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46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46"/>
    <x v="1"/>
    <x v="1"/>
    <x v="3"/>
    <m/>
    <x v="0"/>
    <b v="0"/>
    <s v="No está en VPC"/>
    <n v="711"/>
    <s v="NO EXISTE PG"/>
    <s v="NO EXISTE ISEL"/>
    <n v="0"/>
    <s v="NO TIENE L3OUT"/>
    <n v="16"/>
    <n v="54"/>
  </r>
  <r>
    <n v="716"/>
    <x v="2"/>
    <x v="38"/>
    <s v="eth1/46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46"/>
    <x v="1"/>
    <x v="1"/>
    <x v="3"/>
    <m/>
    <x v="0"/>
    <b v="0"/>
    <s v="No está en VPC"/>
    <n v="702"/>
    <s v="INTPG-ACC_Forti5001B_702_1.46"/>
    <s v="ISEL-1.46"/>
    <n v="0"/>
    <s v="NO TIENE L3OUT"/>
    <n v="0"/>
    <n v="54"/>
  </r>
  <r>
    <n v="435"/>
    <x v="1"/>
    <x v="40"/>
    <s v="eth1/46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46"/>
    <x v="0"/>
    <x v="0"/>
    <x v="0"/>
    <s v="LINK_HACIA_APIC"/>
    <x v="0"/>
    <b v="0"/>
    <s v="No está en VPC"/>
    <n v="446"/>
    <s v="INTPG_ACC_APIC7_446_1.46"/>
    <s v="ISEL-1.46"/>
    <n v="0"/>
    <s v="NO TIENE L3OUT"/>
    <n v="198"/>
    <n v="54"/>
  </r>
  <r>
    <n v="444"/>
    <x v="1"/>
    <x v="42"/>
    <s v="eth1/46"/>
    <x v="0"/>
    <x v="0"/>
    <x v="0"/>
    <s v="LINK_HACIA_APIC"/>
    <x v="0"/>
    <b v="0"/>
    <s v="No está en VPC"/>
    <n v="444"/>
    <s v="INTPG_ACC_APIC7_444_1.46"/>
    <s v="ISEL-1.46"/>
    <n v="0"/>
    <s v="NO TIENE L3OUT"/>
    <n v="234"/>
    <n v="54"/>
  </r>
  <r>
    <n v="701"/>
    <x v="2"/>
    <x v="43"/>
    <s v="eth1/46"/>
    <x v="1"/>
    <x v="1"/>
    <x v="3"/>
    <m/>
    <x v="0"/>
    <b v="0"/>
    <s v="No está en VPC"/>
    <n v="701"/>
    <s v="INTPG-ACC_Forti5001B_701_1.46"/>
    <s v="ISEL-1.46"/>
    <n v="0"/>
    <s v="NO TIENE L3OUT"/>
    <n v="0"/>
    <n v="54"/>
  </r>
  <r>
    <n v="440"/>
    <x v="1"/>
    <x v="44"/>
    <s v="eth1/46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46"/>
    <x v="0"/>
    <x v="0"/>
    <x v="0"/>
    <s v="To_ITHEA1C_eth2"/>
    <x v="0"/>
    <b v="0"/>
    <s v="No está en VPC"/>
    <n v="448"/>
    <s v="INTPG_ACC_448_1.46"/>
    <s v="ISEL-1.46"/>
    <n v="4"/>
    <s v="NO TIENE L3OUT"/>
    <n v="46"/>
    <n v="54"/>
  </r>
  <r>
    <n v="704"/>
    <x v="2"/>
    <x v="46"/>
    <s v="eth1/46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46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46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46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46"/>
    <x v="0"/>
    <x v="0"/>
    <x v="0"/>
    <s v="LINK_HACIA_MGMT"/>
    <x v="0"/>
    <b v="0"/>
    <s v="No está en VPC"/>
    <n v="746"/>
    <s v="INTPG_VPC_MGMT_10311_745_1.45_746_1.46"/>
    <s v="ISEL-1.46"/>
    <n v="2"/>
    <s v="NO TIENE L3OUT"/>
    <n v="0"/>
    <n v="54"/>
  </r>
  <r>
    <n v="745"/>
    <x v="2"/>
    <x v="52"/>
    <s v="eth1/46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46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46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46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46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46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46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46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46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46"/>
    <x v="0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46"/>
    <x v="0"/>
    <x v="1"/>
    <x v="1"/>
    <m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46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46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46"/>
    <x v="0"/>
    <x v="0"/>
    <x v="0"/>
    <s v="LINK_HACIA_MGMT"/>
    <x v="0"/>
    <b v="0"/>
    <s v="No está en VPC"/>
    <n v="760"/>
    <s v="INTPG_VPC_MGMT_10815_761_1.45_760_1.46"/>
    <s v="ISEL-1.46"/>
    <n v="3"/>
    <s v="NO TIENE L3OUT"/>
    <n v="0"/>
    <n v="54"/>
  </r>
  <r>
    <n v="752"/>
    <x v="2"/>
    <x v="66"/>
    <s v="eth1/46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46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46"/>
    <x v="1"/>
    <x v="1"/>
    <x v="3"/>
    <m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46"/>
    <x v="1"/>
    <x v="1"/>
    <x v="3"/>
    <m/>
    <x v="0"/>
    <b v="0"/>
    <s v="No está en VPC"/>
    <n v="780"/>
    <s v="NO EXISTE PG"/>
    <s v="NO EXISTE ISEL"/>
    <n v="0"/>
    <s v="NO TIENE L3OUT"/>
    <n v="26"/>
    <n v="54"/>
  </r>
  <r>
    <n v="812"/>
    <x v="2"/>
    <x v="70"/>
    <s v="eth1/46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46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46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46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46"/>
    <x v="0"/>
    <x v="0"/>
    <x v="0"/>
    <s v="LINK_TO_ITHHWCRMPEN01 /E4-10GE 1 /Principal"/>
    <x v="0"/>
    <b v="0"/>
    <s v="No está en VPC"/>
    <n v="824"/>
    <s v="INTPG_VPC_819_1.39_46_824_1.39_46"/>
    <s v="ISEL-1.46"/>
    <n v="9"/>
    <s v="NO TIENE L3OUT"/>
    <n v="70"/>
    <n v="54"/>
  </r>
  <r>
    <n v="819"/>
    <x v="2"/>
    <x v="75"/>
    <s v="eth1/46"/>
    <x v="0"/>
    <x v="0"/>
    <x v="0"/>
    <s v="LINK_TO_ITHHWCRMPEN01 /E4-10GE 2 /Redundante"/>
    <x v="0"/>
    <b v="0"/>
    <s v="No está en VPC"/>
    <n v="819"/>
    <s v="INTPG_VPC_819_1.39_46_824_1.39_46"/>
    <s v="ISEL-1.46"/>
    <n v="9"/>
    <s v="NO TIENE L3OUT"/>
    <n v="70"/>
    <n v="54"/>
  </r>
  <r>
    <n v="737"/>
    <x v="2"/>
    <x v="76"/>
    <s v="eth1/46"/>
    <x v="0"/>
    <x v="1"/>
    <x v="1"/>
    <m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46"/>
    <x v="0"/>
    <x v="0"/>
    <x v="0"/>
    <s v="LINK_TO_ITHFHWCRMPLCN116 / Slot1.1_36 / Principal"/>
    <x v="0"/>
    <b v="0"/>
    <s v="No está en VPC"/>
    <n v="844"/>
    <s v="INTPG_ACC_844_1.46"/>
    <s v="ISEL-1.46"/>
    <n v="6"/>
    <s v="NO TIENE L3OUT"/>
    <n v="282"/>
    <n v="54"/>
  </r>
  <r>
    <n v="843"/>
    <x v="2"/>
    <x v="78"/>
    <s v="eth1/46"/>
    <x v="0"/>
    <x v="0"/>
    <x v="0"/>
    <s v="LINK_TO_ITHFHWSEQLIMPS32 / Slot 4 PTO 1 / Principal"/>
    <x v="0"/>
    <b v="0"/>
    <s v="No está en VPC"/>
    <n v="843"/>
    <s v="INTPG_ACC_843_1.46"/>
    <s v="ISEL-1.46"/>
    <n v="1"/>
    <s v="NO TIENE L3OUT"/>
    <n v="38"/>
    <n v="54"/>
  </r>
  <r>
    <n v="797"/>
    <x v="2"/>
    <x v="79"/>
    <s v="eth1/46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46"/>
    <x v="1"/>
    <x v="1"/>
    <x v="3"/>
    <m/>
    <x v="0"/>
    <b v="0"/>
    <s v="No está en VPC"/>
    <n v="839"/>
    <s v="NO EXISTE PG"/>
    <s v="NO EXISTE ISEL"/>
    <n v="0"/>
    <s v="NO TIENE L3OUT"/>
    <n v="0"/>
    <n v="54"/>
  </r>
  <r>
    <n v="847"/>
    <x v="2"/>
    <x v="81"/>
    <s v="eth1/46"/>
    <x v="0"/>
    <x v="0"/>
    <x v="0"/>
    <s v="LINK_TO_ITHFHWCRMPLCN153 / Slot7.3_8 / Redundante"/>
    <x v="0"/>
    <b v="0"/>
    <s v="No está en VPC"/>
    <n v="847"/>
    <s v="INTPG_ACC_847_1.46"/>
    <s v="ISEL-1.46"/>
    <n v="1"/>
    <s v="NO TIENE L3OUT"/>
    <n v="204"/>
    <n v="54"/>
  </r>
  <r>
    <n v="848"/>
    <x v="2"/>
    <x v="82"/>
    <s v="eth1/46"/>
    <x v="0"/>
    <x v="0"/>
    <x v="0"/>
    <s v="VPC_2DCRMP_BDA10_3"/>
    <x v="0"/>
    <b v="0"/>
    <s v="No está en VPC"/>
    <n v="848"/>
    <s v="INTPG_VPC_855_1.46_848_1.46"/>
    <s v="ISEL-1.46"/>
    <n v="1"/>
    <s v="NO TIENE L3OUT"/>
    <n v="254"/>
    <n v="54"/>
  </r>
  <r>
    <n v="846"/>
    <x v="2"/>
    <x v="83"/>
    <s v="eth1/46"/>
    <x v="0"/>
    <x v="0"/>
    <x v="0"/>
    <s v="LINK_TO_ITHFHWCRMPLCN87 / Slot1.1_32 / Principal"/>
    <x v="0"/>
    <b v="0"/>
    <s v="No está en VPC"/>
    <n v="846"/>
    <s v="INTPG_ACC_846_1.46"/>
    <s v="ISEL-1.46"/>
    <n v="6"/>
    <s v="NO TIENE L3OUT"/>
    <n v="242"/>
    <n v="54"/>
  </r>
  <r>
    <n v="838"/>
    <x v="2"/>
    <x v="84"/>
    <s v="eth1/46"/>
    <x v="0"/>
    <x v="0"/>
    <x v="0"/>
    <s v="LINK_TO_ITHFHWSEQLIMPS32 / Slot 5 PTO 1 / Redundante"/>
    <x v="0"/>
    <b v="0"/>
    <s v="No está en VPC"/>
    <n v="838"/>
    <s v="INTPG_ACC_838_1.46"/>
    <s v="ISEL-1.46"/>
    <n v="1"/>
    <s v="NO TIENE L3OUT"/>
    <n v="38"/>
    <n v="54"/>
  </r>
  <r>
    <n v="849"/>
    <x v="2"/>
    <x v="85"/>
    <s v="eth1/46"/>
    <x v="0"/>
    <x v="0"/>
    <x v="0"/>
    <s v="LINK_TO_ITHFHWCRMPLCN149 / Slot7.3_32 / Redundante"/>
    <x v="0"/>
    <b v="0"/>
    <s v="No está en VPC"/>
    <n v="849"/>
    <s v="INTPG_ACC_849_1.46"/>
    <s v="ISEL-1.46"/>
    <n v="1"/>
    <s v="NO TIENE L3OUT"/>
    <n v="286"/>
    <n v="54"/>
  </r>
  <r>
    <n v="845"/>
    <x v="2"/>
    <x v="86"/>
    <s v="eth1/46"/>
    <x v="0"/>
    <x v="0"/>
    <x v="0"/>
    <s v="LINK_TO_ITHFHWCRMPLCN99 / Slot1.2_30 / Principal"/>
    <x v="0"/>
    <b v="0"/>
    <s v="No está en VPC"/>
    <n v="845"/>
    <s v="INTPG_ACC_845_1.46"/>
    <s v="ISEL-1.46"/>
    <n v="2"/>
    <s v="NO TIENE L3OUT"/>
    <n v="258"/>
    <n v="54"/>
  </r>
  <r>
    <n v="873"/>
    <x v="2"/>
    <x v="87"/>
    <s v="eth1/46"/>
    <x v="0"/>
    <x v="0"/>
    <x v="0"/>
    <s v="To_ITHFHWCRMDLCN39_Redundante"/>
    <x v="0"/>
    <b v="0"/>
    <s v="No está en VPC"/>
    <n v="873"/>
    <s v="INTPG_ACC_873_1.46"/>
    <s v="ISEL-1.46"/>
    <n v="6"/>
    <s v="NO TIENE L3OUT"/>
    <n v="248"/>
    <n v="54"/>
  </r>
  <r>
    <n v="864"/>
    <x v="2"/>
    <x v="88"/>
    <s v="eth1/46"/>
    <x v="0"/>
    <x v="0"/>
    <x v="0"/>
    <s v="To_VPC_2DCBSD_WR51_1"/>
    <x v="0"/>
    <b v="0"/>
    <s v="No está en VPC"/>
    <n v="864"/>
    <s v="INTPG_VPC_859_1.46_864_1.46"/>
    <s v="ISEL-1.46"/>
    <n v="2"/>
    <s v="NO TIENE L3OUT"/>
    <n v="0"/>
    <n v="54"/>
  </r>
  <r>
    <n v="836"/>
    <x v="2"/>
    <x v="89"/>
    <s v="eth1/46"/>
    <x v="0"/>
    <x v="0"/>
    <x v="0"/>
    <s v="LINK_TO_ITHFHWCBSPSHD29 / Slot1.3_22 / Principal"/>
    <x v="0"/>
    <b v="0"/>
    <s v="No está en VPC"/>
    <n v="836"/>
    <s v="INTPG_VPC_836_1.46_841_1.46"/>
    <s v="ISEL-1.46"/>
    <n v="1"/>
    <s v="NO TIENE L3OUT"/>
    <n v="0"/>
    <n v="54"/>
  </r>
  <r>
    <n v="834"/>
    <x v="2"/>
    <x v="90"/>
    <s v="eth1/46"/>
    <x v="1"/>
    <x v="1"/>
    <x v="3"/>
    <m/>
    <x v="0"/>
    <b v="0"/>
    <s v="No está en VPC"/>
    <n v="834"/>
    <s v="NO EXISTE PG"/>
    <s v="NO EXISTE ISEL"/>
    <n v="0"/>
    <s v="NO TIENE L3OUT"/>
    <n v="0"/>
    <n v="54"/>
  </r>
  <r>
    <n v="872"/>
    <x v="2"/>
    <x v="91"/>
    <s v="eth1/46"/>
    <x v="0"/>
    <x v="0"/>
    <x v="0"/>
    <s v="TO_ITHFHWCRMDLCN52_Principal"/>
    <x v="0"/>
    <b v="0"/>
    <s v="No está en VPC"/>
    <n v="872"/>
    <s v="INTPG_ACC_872_1.46"/>
    <s v="ISEL-1.46"/>
    <n v="2"/>
    <s v="NO TIENE L3OUT"/>
    <n v="288"/>
    <n v="54"/>
  </r>
  <r>
    <n v="842"/>
    <x v="2"/>
    <x v="92"/>
    <s v="eth1/46"/>
    <x v="0"/>
    <x v="0"/>
    <x v="0"/>
    <s v="LINK_To_ITHFHWCBSPSHD23 / Slot7.2_22 / Redundante"/>
    <x v="0"/>
    <b v="0"/>
    <s v="No está en VPC"/>
    <n v="842"/>
    <s v="INTPG_VPC_837_1.46_842_1.46"/>
    <s v="ISEL-1.46"/>
    <n v="1"/>
    <s v="NO TIENE L3OUT"/>
    <n v="8"/>
    <n v="54"/>
  </r>
  <r>
    <n v="828"/>
    <x v="2"/>
    <x v="93"/>
    <s v="eth1/46"/>
    <x v="0"/>
    <x v="0"/>
    <x v="0"/>
    <s v="To_ITHFHWCRMDLCN42_Principal"/>
    <x v="0"/>
    <b v="0"/>
    <s v="No está en VPC"/>
    <n v="828"/>
    <s v="INTPG_ACC_828_1.46"/>
    <s v="ISEL-1.46"/>
    <n v="2"/>
    <s v="NO TIENE L3OUT"/>
    <n v="192"/>
    <n v="54"/>
  </r>
  <r>
    <n v="870"/>
    <x v="2"/>
    <x v="94"/>
    <s v="eth1/46"/>
    <x v="0"/>
    <x v="0"/>
    <x v="0"/>
    <s v="To_ITHFHWCRMDLCN39_Principal"/>
    <x v="0"/>
    <b v="0"/>
    <s v="No está en VPC"/>
    <n v="870"/>
    <s v="INTPG_ACC_870_1.46"/>
    <s v="ISEL-1.46"/>
    <n v="6"/>
    <s v="NO TIENE L3OUT"/>
    <n v="248"/>
    <n v="54"/>
  </r>
  <r>
    <n v="866"/>
    <x v="2"/>
    <x v="95"/>
    <s v="eth1/46"/>
    <x v="0"/>
    <x v="0"/>
    <x v="0"/>
    <s v="To_VPC_2DCBSD_WR36_3"/>
    <x v="0"/>
    <b v="0"/>
    <s v="No está en VPC"/>
    <n v="866"/>
    <s v="INTPG_VPC_861_1.46_866_1.46"/>
    <s v="ISEL-1.46"/>
    <n v="1"/>
    <s v="NO TIENE L3OUT"/>
    <n v="8"/>
    <n v="54"/>
  </r>
  <r>
    <n v="862"/>
    <x v="2"/>
    <x v="96"/>
    <s v="eth1/46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46"/>
    <x v="0"/>
    <x v="0"/>
    <x v="0"/>
    <s v="VPC_2DCRMP_BDA10_3"/>
    <x v="0"/>
    <b v="0"/>
    <s v="No está en VPC"/>
    <n v="855"/>
    <s v="INTPG_VPC_855_1.46_848_1.46"/>
    <s v="ISEL-1.46"/>
    <n v="1"/>
    <s v="NO TIENE L3OUT"/>
    <n v="254"/>
    <n v="54"/>
  </r>
  <r>
    <n v="871"/>
    <x v="2"/>
    <x v="98"/>
    <s v="eth1/46"/>
    <x v="0"/>
    <x v="0"/>
    <x v="0"/>
    <s v="To_ITHFHWCRMDLCN69_Principal"/>
    <x v="0"/>
    <b v="0"/>
    <s v="No está en VPC"/>
    <n v="871"/>
    <s v="INTPG_ACC_871_1.46"/>
    <s v="ISEL-1.46"/>
    <n v="6"/>
    <s v="NO TIENE L3OUT"/>
    <n v="246"/>
    <n v="54"/>
  </r>
  <r>
    <n v="841"/>
    <x v="2"/>
    <x v="99"/>
    <s v="eth1/46"/>
    <x v="0"/>
    <x v="0"/>
    <x v="0"/>
    <s v="LINK_TO_ITHFHWCBSPSHD29 / Slot7.3_22 / Redundante"/>
    <x v="0"/>
    <b v="0"/>
    <s v="No está en VPC"/>
    <n v="841"/>
    <s v="INTPG_VPC_836_1.46_841_1.46"/>
    <s v="ISEL-1.46"/>
    <n v="1"/>
    <s v="NO TIENE L3OUT"/>
    <n v="0"/>
    <n v="54"/>
  </r>
  <r>
    <n v="868"/>
    <x v="2"/>
    <x v="100"/>
    <s v="eth1/46"/>
    <x v="0"/>
    <x v="0"/>
    <x v="0"/>
    <s v="To_ITHFHWCRMDLCN69_Redundante"/>
    <x v="0"/>
    <b v="0"/>
    <s v="No está en VPC"/>
    <n v="868"/>
    <s v="INTPG_ACC_868_1.46"/>
    <s v="ISEL-1.46"/>
    <n v="6"/>
    <s v="NO TIENE L3OUT"/>
    <n v="246"/>
    <n v="54"/>
  </r>
  <r>
    <n v="869"/>
    <x v="2"/>
    <x v="101"/>
    <s v="eth1/46"/>
    <x v="0"/>
    <x v="0"/>
    <x v="0"/>
    <s v="TO_ITHFHWCRMDLCN52_Redundante"/>
    <x v="0"/>
    <b v="0"/>
    <s v="No está en VPC"/>
    <n v="869"/>
    <s v="INTPG_ACC_869_1.46"/>
    <s v="ISEL-1.46"/>
    <n v="2"/>
    <s v="NO TIENE L3OUT"/>
    <n v="288"/>
    <n v="54"/>
  </r>
  <r>
    <n v="861"/>
    <x v="2"/>
    <x v="102"/>
    <s v="eth1/46"/>
    <x v="0"/>
    <x v="0"/>
    <x v="0"/>
    <s v="To_VPC_2DCBSD_WR36_3"/>
    <x v="0"/>
    <b v="0"/>
    <s v="No está en VPC"/>
    <n v="861"/>
    <s v="INTPG_VPC_861_1.46_866_1.46"/>
    <s v="ISEL-1.46"/>
    <n v="1"/>
    <s v="NO TIENE L3OUT"/>
    <n v="8"/>
    <n v="54"/>
  </r>
  <r>
    <n v="874"/>
    <x v="2"/>
    <x v="103"/>
    <s v="eth1/46"/>
    <x v="0"/>
    <x v="0"/>
    <x v="0"/>
    <s v="A_ITHFHWSEQLDPS06_Redundante"/>
    <x v="4"/>
    <b v="0"/>
    <s v="No está en VPC"/>
    <n v="874"/>
    <s v="INTPG_ACC_874_1.46"/>
    <s v="ISEL-1.46"/>
    <n v="1"/>
    <s v="NO TIENE L3OUT"/>
    <n v="92"/>
    <n v="54"/>
  </r>
  <r>
    <n v="865"/>
    <x v="2"/>
    <x v="104"/>
    <s v="eth1/46"/>
    <x v="0"/>
    <x v="0"/>
    <x v="0"/>
    <s v="To_VPC_2DCBSD_WR41_1"/>
    <x v="0"/>
    <b v="0"/>
    <s v="No está en VPC"/>
    <n v="865"/>
    <s v="INTPG_VPC_860_1.46_865_1.46"/>
    <s v="ISEL-1.46"/>
    <n v="2"/>
    <s v="NO TIENE L3OUT"/>
    <n v="0"/>
    <n v="54"/>
  </r>
  <r>
    <n v="753"/>
    <x v="2"/>
    <x v="105"/>
    <s v="eth1/46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46"/>
    <x v="1"/>
    <x v="1"/>
    <x v="3"/>
    <m/>
    <x v="0"/>
    <b v="0"/>
    <s v="No está en VPC"/>
    <n v="708"/>
    <s v="NO EXISTE PG"/>
    <s v="NO EXISTE ISEL"/>
    <n v="0"/>
    <s v="NO TIENE L3OUT"/>
    <n v="0"/>
    <n v="54"/>
  </r>
  <r>
    <n v="710"/>
    <x v="2"/>
    <x v="107"/>
    <s v="eth1/46"/>
    <x v="1"/>
    <x v="1"/>
    <x v="3"/>
    <m/>
    <x v="0"/>
    <b v="0"/>
    <s v="No está en VPC"/>
    <n v="710"/>
    <s v="NO EXISTE PG"/>
    <s v="NO EXISTE ISEL"/>
    <n v="0"/>
    <s v="NO TIENE L3OUT"/>
    <n v="16"/>
    <n v="54"/>
  </r>
  <r>
    <n v="713"/>
    <x v="2"/>
    <x v="108"/>
    <s v="eth1/46"/>
    <x v="0"/>
    <x v="0"/>
    <x v="0"/>
    <s v="LINK_HACIA_APIC"/>
    <x v="0"/>
    <b v="0"/>
    <s v="No está en VPC"/>
    <n v="713"/>
    <s v="INTPG-ACC_APIC1_713_1.46"/>
    <s v="ISEL-1.46"/>
    <n v="0"/>
    <s v="NO TIENE L3OUT"/>
    <n v="32"/>
    <n v="54"/>
  </r>
  <r>
    <n v="735"/>
    <x v="2"/>
    <x v="109"/>
    <s v="eth1/46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46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46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46"/>
    <x v="1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46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46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46"/>
    <x v="0"/>
    <x v="0"/>
    <x v="0"/>
    <s v="To_ITHFHWCRMDLCN40_Principal"/>
    <x v="0"/>
    <b v="0"/>
    <s v="No está en VPC"/>
    <n v="826"/>
    <s v="INTPG_ACC_826_1.46"/>
    <s v="ISEL-1.46"/>
    <n v="6"/>
    <s v="NO TIENE L3OUT"/>
    <n v="12"/>
    <n v="54"/>
  </r>
  <r>
    <n v="726"/>
    <x v="2"/>
    <x v="117"/>
    <s v="eth1/46"/>
    <x v="1"/>
    <x v="1"/>
    <x v="2"/>
    <m/>
    <x v="0"/>
    <b v="0"/>
    <s v="No está en VPC"/>
    <n v="726"/>
    <s v="INTPG-ACC-OSPF_726_1.46"/>
    <s v="ISEL-1.46"/>
    <n v="0"/>
    <s v="NO TIENE L3OUT"/>
    <n v="0"/>
    <n v="54"/>
  </r>
  <r>
    <n v="740"/>
    <x v="2"/>
    <x v="118"/>
    <s v="eth1/46"/>
    <x v="0"/>
    <x v="1"/>
    <x v="1"/>
    <m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46"/>
    <x v="1"/>
    <x v="1"/>
    <x v="3"/>
    <m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46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46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46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46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46"/>
    <x v="0"/>
    <x v="0"/>
    <x v="0"/>
    <s v="LINK_HACIA_APIC"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46"/>
    <x v="1"/>
    <x v="1"/>
    <x v="3"/>
    <m/>
    <x v="0"/>
    <b v="0"/>
    <s v="No está en VPC"/>
    <n v="709"/>
    <s v="NO EXISTE PG"/>
    <s v="NO EXISTE ISEL"/>
    <n v="0"/>
    <s v="NO TIENE L3OUT"/>
    <n v="0"/>
    <n v="54"/>
  </r>
  <r>
    <n v="454"/>
    <x v="1"/>
    <x v="126"/>
    <s v="eth1/46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46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46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46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46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46"/>
    <x v="0"/>
    <x v="1"/>
    <x v="1"/>
    <m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46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46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46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46"/>
    <x v="0"/>
    <x v="1"/>
    <x v="3"/>
    <m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46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46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46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46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46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46"/>
    <x v="0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46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46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46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46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46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46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46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46"/>
    <x v="1"/>
    <x v="1"/>
    <x v="3"/>
    <m/>
    <x v="0"/>
    <b v="0"/>
    <s v="No está en VPC"/>
    <n v="781"/>
    <s v="NO EXISTE PG"/>
    <s v="NO EXISTE ISEL"/>
    <n v="0"/>
    <s v="NO TIENE L3OUT"/>
    <n v="26"/>
    <n v="54"/>
  </r>
  <r>
    <n v="793"/>
    <x v="2"/>
    <x v="151"/>
    <s v="eth1/46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46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46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46"/>
    <x v="1"/>
    <x v="1"/>
    <x v="3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46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46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46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46"/>
    <x v="0"/>
    <x v="1"/>
    <x v="1"/>
    <m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46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46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46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46"/>
    <x v="0"/>
    <x v="0"/>
    <x v="0"/>
    <s v="To_ITHFHWCRMDLCN40_Redundante"/>
    <x v="0"/>
    <b v="0"/>
    <s v="No está en VPC"/>
    <n v="830"/>
    <s v="INTPG_ACC_830_1.46"/>
    <s v="ISEL-1.46"/>
    <n v="6"/>
    <s v="NO TIENE L3OUT"/>
    <n v="12"/>
    <n v="54"/>
  </r>
  <r>
    <n v="821"/>
    <x v="2"/>
    <x v="163"/>
    <s v="eth1/46"/>
    <x v="0"/>
    <x v="1"/>
    <x v="3"/>
    <m/>
    <x v="0"/>
    <b v="0"/>
    <s v="No está en VPC"/>
    <n v="821"/>
    <s v="NO EXISTE PG"/>
    <s v="NO EXISTE ISEL"/>
    <n v="0"/>
    <s v="NO TIENE L3OUT"/>
    <n v="0"/>
    <n v="54"/>
  </r>
  <r>
    <n v="738"/>
    <x v="2"/>
    <x v="164"/>
    <s v="eth1/46"/>
    <x v="0"/>
    <x v="1"/>
    <x v="1"/>
    <m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46"/>
    <x v="0"/>
    <x v="1"/>
    <x v="3"/>
    <m/>
    <x v="0"/>
    <b v="0"/>
    <s v="No está en VPC"/>
    <n v="820"/>
    <s v="NO EXISTE PG"/>
    <s v="NO EXISTE ISEL"/>
    <n v="0"/>
    <s v="NO TIENE L3OUT"/>
    <n v="72"/>
    <n v="54"/>
  </r>
  <r>
    <n v="804"/>
    <x v="2"/>
    <x v="166"/>
    <s v="eth1/46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46"/>
    <x v="1"/>
    <x v="1"/>
    <x v="3"/>
    <m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46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46"/>
    <x v="0"/>
    <x v="0"/>
    <x v="0"/>
    <s v="LINK_TO_ITHFHWCBSDSWR31 /Slot4.2 /Principal"/>
    <x v="0"/>
    <b v="0"/>
    <s v="No está en VPC"/>
    <n v="827"/>
    <s v="INTPG_VPC_827_1.46_831_1.46"/>
    <s v="ISEL-1.46"/>
    <n v="1"/>
    <s v="NO TIENE L3OUT"/>
    <n v="14"/>
    <n v="54"/>
  </r>
  <r>
    <n v="809"/>
    <x v="2"/>
    <x v="170"/>
    <s v="eth1/46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46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46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46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46"/>
    <x v="1"/>
    <x v="1"/>
    <x v="3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46"/>
    <x v="0"/>
    <x v="0"/>
    <x v="0"/>
    <s v="LINK_HACIA_MGMT"/>
    <x v="0"/>
    <b v="0"/>
    <s v="No está en VPC"/>
    <n v="772"/>
    <s v="INTPG_VPC_MGMT_20413_773_1.45_772_1.46"/>
    <s v="ISEL-1.46"/>
    <n v="1"/>
    <s v="NO TIENE L3OUT"/>
    <n v="82"/>
    <n v="54"/>
  </r>
  <r>
    <n v="785"/>
    <x v="2"/>
    <x v="176"/>
    <s v="eth1/46"/>
    <x v="0"/>
    <x v="0"/>
    <x v="0"/>
    <s v="DESC"/>
    <x v="0"/>
    <b v="0"/>
    <s v="No está en VPC"/>
    <n v="785"/>
    <s v="INTPG_PC_785_1.45-46"/>
    <s v="ISEL-1.46"/>
    <n v="3"/>
    <s v="NO TIENE L3OUT"/>
    <n v="32"/>
    <n v="54"/>
  </r>
  <r>
    <n v="851"/>
    <x v="2"/>
    <x v="177"/>
    <s v="eth1/46"/>
    <x v="0"/>
    <x v="0"/>
    <x v="0"/>
    <s v="LINK_TO_ITHFHWCRMPLCN116 / Slot7.1_36 / Redundante"/>
    <x v="0"/>
    <b v="0"/>
    <s v="No está en VPC"/>
    <n v="851"/>
    <s v="INTPG_ACC_851_1.46"/>
    <s v="ISEL-1.46"/>
    <n v="6"/>
    <s v="NO TIENE L3OUT"/>
    <n v="282"/>
    <n v="54"/>
  </r>
  <r>
    <n v="798"/>
    <x v="2"/>
    <x v="178"/>
    <s v="eth1/46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46"/>
    <x v="0"/>
    <x v="0"/>
    <x v="0"/>
    <s v="DESC"/>
    <x v="0"/>
    <b v="0"/>
    <s v="No está en VPC"/>
    <n v="782"/>
    <s v="INTPG_PC_782_1.45-46"/>
    <s v="ISEL-1.46"/>
    <n v="3"/>
    <s v="NO TIENE L3OUT"/>
    <n v="32"/>
    <n v="54"/>
  </r>
  <r>
    <n v="852"/>
    <x v="2"/>
    <x v="180"/>
    <s v="eth1/46"/>
    <x v="0"/>
    <x v="0"/>
    <x v="0"/>
    <s v="LINK_TO_ITHFHWCRMPLCN99 / Slot7.2_30 / Redundante"/>
    <x v="0"/>
    <b v="0"/>
    <s v="No está en VPC"/>
    <n v="852"/>
    <s v="INTPG_ACC_852_1.46"/>
    <s v="ISEL-1.46"/>
    <n v="2"/>
    <s v="NO TIENE L3OUT"/>
    <n v="258"/>
    <n v="54"/>
  </r>
  <r>
    <n v="817"/>
    <x v="2"/>
    <x v="181"/>
    <s v="eth1/46"/>
    <x v="0"/>
    <x v="0"/>
    <x v="0"/>
    <s v="LINK_TO_ITHFHWCBSPSWR29 /Slot5.2 /Principal"/>
    <x v="0"/>
    <b v="0"/>
    <s v="No está en VPC"/>
    <n v="817"/>
    <s v="INTPG_VPC_817_1.46_822_1.46"/>
    <s v="ISEL-1.46"/>
    <n v="2"/>
    <s v="NO TIENE L3OUT"/>
    <n v="0"/>
    <n v="54"/>
  </r>
  <r>
    <n v="832"/>
    <x v="2"/>
    <x v="182"/>
    <s v="eth1/46"/>
    <x v="0"/>
    <x v="0"/>
    <x v="0"/>
    <s v="To_ITHFHWCRMDLCN42_Redundante"/>
    <x v="0"/>
    <b v="0"/>
    <s v="No está en VPC"/>
    <n v="832"/>
    <s v="INTPG_ACC_832_1.46"/>
    <s v="ISEL-1.46"/>
    <n v="2"/>
    <s v="NO TIENE L3OUT"/>
    <n v="192"/>
    <n v="54"/>
  </r>
  <r>
    <n v="816"/>
    <x v="2"/>
    <x v="183"/>
    <s v="eth1/46"/>
    <x v="0"/>
    <x v="1"/>
    <x v="3"/>
    <m/>
    <x v="0"/>
    <b v="0"/>
    <s v="No está en VPC"/>
    <n v="816"/>
    <s v="NO EXISTE PG"/>
    <s v="NO EXISTE ISEL"/>
    <n v="0"/>
    <s v="NO TIENE L3OUT"/>
    <n v="0"/>
    <n v="54"/>
  </r>
  <r>
    <n v="825"/>
    <x v="2"/>
    <x v="184"/>
    <s v="eth1/46"/>
    <x v="0"/>
    <x v="1"/>
    <x v="3"/>
    <m/>
    <x v="0"/>
    <b v="0"/>
    <s v="No está en VPC"/>
    <n v="825"/>
    <s v="NO EXISTE PG"/>
    <s v="NO EXISTE ISEL"/>
    <n v="0"/>
    <s v="NO TIENE L3OUT"/>
    <n v="72"/>
    <n v="54"/>
  </r>
  <r>
    <n v="800"/>
    <x v="2"/>
    <x v="185"/>
    <s v="eth1/46"/>
    <x v="0"/>
    <x v="0"/>
    <x v="0"/>
    <s v="TO-ITHFDEOCP1LMT03-REDUNDANTE"/>
    <x v="0"/>
    <b v="0"/>
    <s v="No está en VPC"/>
    <n v="800"/>
    <s v="INTPG_ACC_800_1.46"/>
    <s v="ISEL-1.46"/>
    <n v="1"/>
    <s v="NO TIENE L3OUT"/>
    <n v="78"/>
    <n v="54"/>
  </r>
  <r>
    <n v="801"/>
    <x v="2"/>
    <x v="186"/>
    <s v="eth1/46"/>
    <x v="0"/>
    <x v="0"/>
    <x v="0"/>
    <s v="TO-ITHFDEOCP1LMT03-PRINCIPAL"/>
    <x v="0"/>
    <b v="0"/>
    <s v="No está en VPC"/>
    <n v="801"/>
    <s v="INTPG_ACC_801_1.46"/>
    <s v="ISEL-1.46"/>
    <n v="1"/>
    <s v="NO TIENE L3OUT"/>
    <n v="78"/>
    <n v="54"/>
  </r>
  <r>
    <n v="823"/>
    <x v="2"/>
    <x v="187"/>
    <s v="eth1/46"/>
    <x v="0"/>
    <x v="0"/>
    <x v="0"/>
    <s v="LINK_TO_ITHFHWCBSPSWR39 /Slot6.2 /Redundante"/>
    <x v="0"/>
    <b v="0"/>
    <s v="No está en VPC"/>
    <n v="823"/>
    <s v="INTPG_VPC_818_1.46_823_1.46"/>
    <s v="ISEL-1.46"/>
    <n v="1"/>
    <s v="NO TIENE L3OUT"/>
    <n v="8"/>
    <n v="54"/>
  </r>
  <r>
    <n v="837"/>
    <x v="2"/>
    <x v="188"/>
    <s v="eth1/46"/>
    <x v="0"/>
    <x v="0"/>
    <x v="0"/>
    <s v="LINK_To_ITHFHWCBSPSHD23 / Slot1.2_22 / Principal"/>
    <x v="0"/>
    <b v="0"/>
    <s v="No está en VPC"/>
    <n v="837"/>
    <s v="INTPG_VPC_837_1.46_842_1.46"/>
    <s v="ISEL-1.46"/>
    <n v="1"/>
    <s v="NO TIENE L3OUT"/>
    <n v="8"/>
    <n v="54"/>
  </r>
  <r>
    <n v="867"/>
    <x v="2"/>
    <x v="189"/>
    <s v="eth1/46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46"/>
    <x v="0"/>
    <x v="0"/>
    <x v="0"/>
    <s v="To_VPC_2DCRMD_SBD06_2_Principal"/>
    <x v="0"/>
    <b v="0"/>
    <s v="No está en VPC"/>
    <n v="829"/>
    <s v="INTPG_VPC_829_1.46_833_1.46"/>
    <s v="ISEL-1.46"/>
    <n v="2"/>
    <s v="NO TIENE L3OUT"/>
    <n v="224"/>
    <n v="54"/>
  </r>
  <r>
    <n v="831"/>
    <x v="2"/>
    <x v="191"/>
    <s v="eth1/46"/>
    <x v="0"/>
    <x v="0"/>
    <x v="0"/>
    <s v="LINK_TO_ITHFHWCBSDSWR31 /Slot6.2 /Redundante"/>
    <x v="0"/>
    <b v="0"/>
    <s v="No está en VPC"/>
    <n v="831"/>
    <s v="INTPG_VPC_827_1.46_831_1.46"/>
    <s v="ISEL-1.46"/>
    <n v="1"/>
    <s v="NO TIENE L3OUT"/>
    <n v="14"/>
    <n v="54"/>
  </r>
  <r>
    <n v="802"/>
    <x v="2"/>
    <x v="192"/>
    <s v="eth1/46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46"/>
    <x v="0"/>
    <x v="0"/>
    <x v="0"/>
    <s v="LINK_TO_ITHFHWCBSPSHDCTL06 / Slot1.3_12 / Principal"/>
    <x v="0"/>
    <b v="0"/>
    <s v="No está en VPC"/>
    <n v="835"/>
    <s v="INTPG_VPC_835_1.46_840_1.46"/>
    <s v="ISEL-1.46"/>
    <n v="1"/>
    <s v="NO TIENE L3OUT"/>
    <n v="8"/>
    <n v="54"/>
  </r>
  <r>
    <n v="822"/>
    <x v="2"/>
    <x v="194"/>
    <s v="eth1/46"/>
    <x v="0"/>
    <x v="0"/>
    <x v="0"/>
    <s v="LINK_TO_ITHFHWCBSPSWR29 /Slot7.2 /Redundante"/>
    <x v="0"/>
    <b v="0"/>
    <s v="No está en VPC"/>
    <n v="822"/>
    <s v="INTPG_VPC_817_1.46_822_1.46"/>
    <s v="ISEL-1.46"/>
    <n v="2"/>
    <s v="NO TIENE L3OUT"/>
    <n v="0"/>
    <n v="54"/>
  </r>
  <r>
    <n v="854"/>
    <x v="2"/>
    <x v="195"/>
    <s v="eth1/46"/>
    <x v="0"/>
    <x v="0"/>
    <x v="0"/>
    <s v="LINK_TO_ITHFHWCRMPLCN153 / Slot1.3_8 / Principal"/>
    <x v="0"/>
    <b v="0"/>
    <s v="No está en VPC"/>
    <n v="854"/>
    <s v="INTPG_ACC_854_1.46"/>
    <s v="ISEL-1.46"/>
    <n v="1"/>
    <s v="NO TIENE L3OUT"/>
    <n v="204"/>
    <n v="54"/>
  </r>
  <r>
    <n v="858"/>
    <x v="2"/>
    <x v="196"/>
    <s v="eth1/46"/>
    <x v="0"/>
    <x v="0"/>
    <x v="0"/>
    <s v="To_ITHHWD6KV65100015DKC01_Principal"/>
    <x v="0"/>
    <b v="0"/>
    <s v="No está en VPC"/>
    <n v="858"/>
    <s v="INTPG_ACC_858_1.46"/>
    <s v="ISEL-1.46"/>
    <n v="1"/>
    <s v="NO TIENE L3OUT"/>
    <n v="8"/>
    <n v="54"/>
  </r>
  <r>
    <n v="857"/>
    <x v="2"/>
    <x v="197"/>
    <s v="eth1/46"/>
    <x v="0"/>
    <x v="0"/>
    <x v="0"/>
    <s v="LINKT_TO_ITHFHWCRMPLCN130 / Slot1.3_30 / Principal"/>
    <x v="0"/>
    <b v="0"/>
    <s v="No está en VPC"/>
    <n v="857"/>
    <s v="INTPG_ACC_857_1.46"/>
    <s v="ISEL-1.46"/>
    <n v="1"/>
    <s v="NO TIENE L3OUT"/>
    <n v="288"/>
    <n v="54"/>
  </r>
  <r>
    <n v="859"/>
    <x v="2"/>
    <x v="198"/>
    <s v="eth1/46"/>
    <x v="0"/>
    <x v="0"/>
    <x v="0"/>
    <s v="To_VPC_2DCBSD_WR51_1"/>
    <x v="0"/>
    <b v="0"/>
    <s v="No está en VPC"/>
    <n v="859"/>
    <s v="INTPG_VPC_859_1.46_864_1.46"/>
    <s v="ISEL-1.46"/>
    <n v="2"/>
    <s v="NO TIENE L3OUT"/>
    <n v="0"/>
    <n v="54"/>
  </r>
  <r>
    <n v="833"/>
    <x v="2"/>
    <x v="199"/>
    <s v="eth1/46"/>
    <x v="0"/>
    <x v="0"/>
    <x v="0"/>
    <s v="To_VPC_2DCRMD_SBD06_2_Redundancia"/>
    <x v="0"/>
    <b v="0"/>
    <s v="No está en VPC"/>
    <n v="833"/>
    <s v="INTPG_VPC_829_1.46_833_1.46"/>
    <s v="ISEL-1.46"/>
    <n v="2"/>
    <s v="NO TIENE L3OUT"/>
    <n v="224"/>
    <n v="54"/>
  </r>
  <r>
    <n v="818"/>
    <x v="2"/>
    <x v="200"/>
    <s v="eth1/46"/>
    <x v="0"/>
    <x v="0"/>
    <x v="0"/>
    <s v="LINK_TO_ITHFHWCBSPSWR39 /Slot4.2 /Principal"/>
    <x v="0"/>
    <b v="0"/>
    <s v="No está en VPC"/>
    <n v="818"/>
    <s v="INTPG_VPC_818_1.46_823_1.46"/>
    <s v="ISEL-1.46"/>
    <n v="1"/>
    <s v="NO TIENE L3OUT"/>
    <n v="8"/>
    <n v="54"/>
  </r>
  <r>
    <n v="850"/>
    <x v="2"/>
    <x v="201"/>
    <s v="eth1/46"/>
    <x v="0"/>
    <x v="0"/>
    <x v="0"/>
    <s v="LINKT_TO_ITHFHWCRMPLCN130 / Slot7.3_30 / Redundante"/>
    <x v="0"/>
    <b v="0"/>
    <s v="No está en VPC"/>
    <n v="850"/>
    <s v="INTPG_ACC_850_1.46"/>
    <s v="ISEL-1.46"/>
    <n v="1"/>
    <s v="NO TIENE L3OUT"/>
    <n v="288"/>
    <n v="54"/>
  </r>
  <r>
    <n v="860"/>
    <x v="2"/>
    <x v="202"/>
    <s v="eth1/46"/>
    <x v="0"/>
    <x v="0"/>
    <x v="0"/>
    <s v="To_VPC_2DCBSD_WR41_1"/>
    <x v="0"/>
    <b v="0"/>
    <s v="No está en VPC"/>
    <n v="860"/>
    <s v="INTPG_VPC_860_1.46_865_1.46"/>
    <s v="ISEL-1.46"/>
    <n v="2"/>
    <s v="NO TIENE L3OUT"/>
    <n v="0"/>
    <n v="54"/>
  </r>
  <r>
    <n v="853"/>
    <x v="2"/>
    <x v="203"/>
    <s v="eth1/46"/>
    <x v="0"/>
    <x v="0"/>
    <x v="0"/>
    <s v="LINK_TO_ITHFHWCRMPLCN87 / Slot7.1_32 / Redundante"/>
    <x v="0"/>
    <b v="0"/>
    <s v="No está en VPC"/>
    <n v="853"/>
    <s v="INTPG_ACC_853_1.46"/>
    <s v="ISEL-1.46"/>
    <n v="6"/>
    <s v="NO TIENE L3OUT"/>
    <n v="242"/>
    <n v="54"/>
  </r>
  <r>
    <n v="790"/>
    <x v="2"/>
    <x v="204"/>
    <s v="eth1/46"/>
    <x v="0"/>
    <x v="0"/>
    <x v="0"/>
    <s v="LINK_HACIA_MGMT"/>
    <x v="0"/>
    <b v="0"/>
    <s v="No está en VPC"/>
    <n v="790"/>
    <s v="INTPG_VPC_MGMT_20816_791_1.45_790_1.46"/>
    <s v="ISEL-1.46"/>
    <n v="3"/>
    <s v="NO TIENE L3OUT"/>
    <n v="20"/>
    <n v="54"/>
  </r>
  <r>
    <n v="105"/>
    <x v="0"/>
    <x v="205"/>
    <s v="eth1/46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46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46"/>
    <x v="0"/>
    <x v="1"/>
    <x v="1"/>
    <m/>
    <x v="6"/>
    <b v="0"/>
    <s v="No está en VPC"/>
    <n v="104"/>
    <s v="NO EXISTE PG"/>
    <s v="NO EXISTE ISEL"/>
    <n v="0"/>
    <s v="NO TIENE L3OUT"/>
    <n v="194"/>
    <n v="96"/>
  </r>
  <r>
    <n v="158"/>
    <x v="0"/>
    <x v="208"/>
    <s v="eth1/46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46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46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46"/>
    <x v="1"/>
    <x v="1"/>
    <x v="2"/>
    <s v="OBIE_1-2"/>
    <x v="6"/>
    <b v="0"/>
    <s v="No está en VPC"/>
    <n v="108"/>
    <s v="INTPG_ACC_108_1.46"/>
    <s v="ISEL-1.46"/>
    <n v="1"/>
    <s v="NO TIENE L3OUT"/>
    <n v="126"/>
    <n v="96"/>
  </r>
  <r>
    <n v="112"/>
    <x v="0"/>
    <x v="212"/>
    <s v="eth1/46"/>
    <x v="0"/>
    <x v="1"/>
    <x v="1"/>
    <s v="SAPCCRATING01"/>
    <x v="6"/>
    <b v="0"/>
    <s v="No está en VPC"/>
    <n v="112"/>
    <s v="INTPG_VPC_112_1.46_114_1.43"/>
    <s v="ISEL-1.46"/>
    <n v="1"/>
    <s v="NO TIENE L3OUT"/>
    <n v="144"/>
    <n v="96"/>
  </r>
  <r>
    <n v="107"/>
    <x v="0"/>
    <x v="213"/>
    <s v="eth1/46"/>
    <x v="1"/>
    <x v="1"/>
    <x v="2"/>
    <s v="COMISIONES"/>
    <x v="6"/>
    <b v="0"/>
    <s v="No está en VPC"/>
    <n v="107"/>
    <s v="INTPG_ACC_107_1.46"/>
    <s v="ISEL-1.46"/>
    <n v="0"/>
    <s v="NO TIENE L3OUT"/>
    <n v="118"/>
    <n v="96"/>
  </r>
  <r>
    <n v="109"/>
    <x v="0"/>
    <x v="214"/>
    <s v="eth1/46"/>
    <x v="0"/>
    <x v="0"/>
    <x v="0"/>
    <s v="EMS_TEKELEC"/>
    <x v="6"/>
    <b v="0"/>
    <s v="No está en VPC"/>
    <n v="109"/>
    <s v="INTPG_ACC_109_1.46"/>
    <s v="ISEL-1.46"/>
    <n v="1"/>
    <s v="NO TIENE L3OUT"/>
    <n v="126"/>
    <n v="96"/>
  </r>
  <r>
    <n v="113"/>
    <x v="0"/>
    <x v="215"/>
    <s v="eth1/46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46"/>
    <x v="0"/>
    <x v="1"/>
    <x v="1"/>
    <s v="SAPCCRATING04"/>
    <x v="6"/>
    <b v="0"/>
    <s v="No está en VPC"/>
    <n v="114"/>
    <s v="INTPG_VPC_112_1.49_114_1.46"/>
    <s v="ISEL-1.46"/>
    <n v="1"/>
    <s v="NO TIENE L3OUT"/>
    <n v="144"/>
    <n v="96"/>
  </r>
  <r>
    <n v="124"/>
    <x v="0"/>
    <x v="217"/>
    <s v="eth1/46"/>
    <x v="0"/>
    <x v="0"/>
    <x v="0"/>
    <s v="DWH_SVA_IBM"/>
    <x v="6"/>
    <b v="0"/>
    <s v="No está en VPC"/>
    <n v="124"/>
    <s v="INTPG_ACC_124_1.46"/>
    <s v="ISEL-1.46"/>
    <n v="1"/>
    <s v="NO TIENE L3OUT"/>
    <n v="80"/>
    <n v="96"/>
  </r>
  <r>
    <n v="118"/>
    <x v="0"/>
    <x v="218"/>
    <s v="eth1/46"/>
    <x v="1"/>
    <x v="1"/>
    <x v="2"/>
    <s v="DATOS NETCRACKER"/>
    <x v="6"/>
    <b v="0"/>
    <s v="No está en VPC"/>
    <n v="118"/>
    <s v="INTPG_ACC_118_1.46"/>
    <s v="ISEL-1.46"/>
    <n v="1"/>
    <s v="NO TIENE L3OUT"/>
    <n v="180"/>
    <n v="96"/>
  </r>
  <r>
    <n v="159"/>
    <x v="0"/>
    <x v="219"/>
    <s v="eth1/46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46"/>
    <x v="0"/>
    <x v="0"/>
    <x v="0"/>
    <s v="LINK_TO_ITHFHWCBSPSHDCTL06 / Slot7.3_12 / Redundante"/>
    <x v="0"/>
    <b v="0"/>
    <s v="No está en VPC"/>
    <n v="840"/>
    <s v="INTPG_VPC_835_1.46_840_1.46"/>
    <s v="ISEL-1.46"/>
    <n v="1"/>
    <s v="NO TIENE L3OUT"/>
    <n v="8"/>
    <n v="54"/>
  </r>
  <r>
    <n v="856"/>
    <x v="2"/>
    <x v="221"/>
    <s v="eth1/46"/>
    <x v="0"/>
    <x v="0"/>
    <x v="0"/>
    <s v="LINK_TO_ITHFHWCRMPLCN149 / Slot1.3_32 / Principal"/>
    <x v="0"/>
    <b v="0"/>
    <s v="No está en VPC"/>
    <n v="856"/>
    <s v="INTPG_ACC_856_1.46"/>
    <s v="ISEL-1.46"/>
    <n v="1"/>
    <s v="NO TIENE L3OUT"/>
    <n v="286"/>
    <n v="54"/>
  </r>
  <r>
    <n v="110"/>
    <x v="0"/>
    <x v="222"/>
    <s v="eth1/46"/>
    <x v="0"/>
    <x v="0"/>
    <x v="0"/>
    <s v="SUN6900_E25K"/>
    <x v="6"/>
    <b v="0"/>
    <s v="No está en VPC"/>
    <n v="110"/>
    <s v="INTPG_ACC_110_1.46"/>
    <s v="ISEL-1.46"/>
    <n v="1"/>
    <s v="NO TIENE L3OUT"/>
    <n v="102"/>
    <n v="96"/>
  </r>
  <r>
    <n v="163"/>
    <x v="0"/>
    <x v="223"/>
    <s v="eth1/46"/>
    <x v="0"/>
    <x v="1"/>
    <x v="1"/>
    <s v="MULTIMEDIACION_1"/>
    <x v="6"/>
    <b v="0"/>
    <s v="No está en VPC"/>
    <n v="163"/>
    <s v="INTPG_ACC_163_1.46"/>
    <s v="ISEL-1.46"/>
    <n v="1"/>
    <s v="NO TIENE L3OUT"/>
    <n v="140"/>
    <n v="96"/>
  </r>
  <r>
    <n v="407"/>
    <x v="1"/>
    <x v="224"/>
    <s v="eth1/46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46"/>
    <x v="0"/>
    <x v="0"/>
    <x v="0"/>
    <s v="SRS (Speedy Rating System)"/>
    <x v="6"/>
    <b v="0"/>
    <s v="No está en VPC"/>
    <n v="171"/>
    <s v="INTPG_ACC_171_1.46"/>
    <s v="ISEL-1.46"/>
    <n v="1"/>
    <s v="NO TIENE L3OUT"/>
    <n v="114"/>
    <n v="96"/>
  </r>
  <r>
    <n v="421"/>
    <x v="1"/>
    <x v="226"/>
    <s v="eth1/46"/>
    <x v="0"/>
    <x v="0"/>
    <x v="0"/>
    <s v="PortalCautivo2_captiveqa_xscf0"/>
    <x v="6"/>
    <b v="0"/>
    <s v="No está en VPC"/>
    <n v="421"/>
    <s v="INTPG_ACC_421_1.46"/>
    <s v="ISEL-1.46"/>
    <n v="1"/>
    <s v="NO TIENE L3OUT"/>
    <n v="72"/>
    <n v="96"/>
  </r>
  <r>
    <n v="173"/>
    <x v="0"/>
    <x v="227"/>
    <s v="eth1/46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46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46"/>
    <x v="0"/>
    <x v="0"/>
    <x v="0"/>
    <s v="GSM_OSS_GDL"/>
    <x v="6"/>
    <b v="0"/>
    <s v="No está en VPC"/>
    <n v="172"/>
    <s v="INTPG_VPC_171_1.1_70_172_1.1_46"/>
    <s v="ISEL-1.46"/>
    <n v="10"/>
    <s v="NO TIENE L3OUT"/>
    <n v="104"/>
    <n v="96"/>
  </r>
  <r>
    <n v="420"/>
    <x v="1"/>
    <x v="230"/>
    <s v="eth1/46"/>
    <x v="0"/>
    <x v="0"/>
    <x v="0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46"/>
    <x v="0"/>
    <x v="0"/>
    <x v="0"/>
    <s v="SAN SWITCH B"/>
    <x v="6"/>
    <b v="0"/>
    <s v="No está en VPC"/>
    <n v="423"/>
    <s v="INTPG_ACC_423_1.46"/>
    <s v="ISEL-1.46"/>
    <n v="1"/>
    <s v="NO TIENE L3OUT"/>
    <n v="86"/>
    <n v="96"/>
  </r>
  <r>
    <n v="415"/>
    <x v="1"/>
    <x v="232"/>
    <s v="eth1/46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46"/>
    <x v="0"/>
    <x v="1"/>
    <x v="1"/>
    <s v="IXTLA4_VC1:VMTLCLAMX5:VC1  X6"/>
    <x v="6"/>
    <b v="0"/>
    <s v="No está en VPC"/>
    <n v="102"/>
    <s v="INTPG_PC_102_1.41-48"/>
    <s v="ISEL-1.46"/>
    <n v="0"/>
    <s v="NO TIENE L3OUT"/>
    <n v="228"/>
    <n v="96"/>
  </r>
  <r>
    <n v="863"/>
    <x v="2"/>
    <x v="234"/>
    <s v="eth1/46"/>
    <x v="0"/>
    <x v="0"/>
    <x v="0"/>
    <s v="To_ITHHWD6KV65100015DKC01_Redundante"/>
    <x v="0"/>
    <b v="0"/>
    <s v="No está en VPC"/>
    <n v="863"/>
    <s v="INTPG_ACC_863_1.46"/>
    <s v="ISEL-1.46"/>
    <n v="1"/>
    <s v="NO TIENE L3OUT"/>
    <n v="8"/>
    <n v="54"/>
  </r>
  <r>
    <n v="876"/>
    <x v="2"/>
    <x v="235"/>
    <s v="eth1/46"/>
    <x v="0"/>
    <x v="0"/>
    <x v="0"/>
    <s v="A_ITHFHWSEQLDPS06_Principal"/>
    <x v="4"/>
    <b v="0"/>
    <s v="No está en VPC"/>
    <n v="876"/>
    <s v="INTPG_ACC_876_1.46"/>
    <s v="ISEL-1.46"/>
    <n v="1"/>
    <s v="NO TIENE L3OUT"/>
    <n v="92"/>
    <n v="54"/>
  </r>
  <r>
    <n v="877"/>
    <x v="2"/>
    <x v="236"/>
    <s v="eth1/46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46"/>
    <x v="0"/>
    <x v="0"/>
    <x v="0"/>
    <s v="ZFS X5-2"/>
    <x v="6"/>
    <b v="0"/>
    <s v="No está en VPC"/>
    <n v="122"/>
    <s v="INTPG_ACC_122_1.46"/>
    <s v="ISEL-1.46"/>
    <n v="1"/>
    <s v="NO TIENE L3OUT"/>
    <n v="148"/>
    <n v="96"/>
  </r>
  <r>
    <n v="157"/>
    <x v="0"/>
    <x v="238"/>
    <s v="eth1/46"/>
    <x v="0"/>
    <x v="1"/>
    <x v="1"/>
    <s v="uxcofeco"/>
    <x v="6"/>
    <b v="0"/>
    <s v="No está en VPC"/>
    <n v="157"/>
    <s v="INTPG_ACC_157_1.46"/>
    <s v="ISEL-1.46"/>
    <n v="1"/>
    <s v="NO TIENE L3OUT"/>
    <n v="202"/>
    <n v="96"/>
  </r>
  <r>
    <n v="408"/>
    <x v="1"/>
    <x v="239"/>
    <s v="eth1/46"/>
    <x v="0"/>
    <x v="0"/>
    <x v="0"/>
    <s v="HNMP101A"/>
    <x v="6"/>
    <b v="0"/>
    <s v="No está en VPC"/>
    <n v="408"/>
    <s v="INTPG_ACC_408_1.46"/>
    <s v="ISEL-1.46"/>
    <n v="1"/>
    <s v="NO TIENE L3OUT"/>
    <n v="152"/>
    <n v="96"/>
  </r>
  <r>
    <n v="405"/>
    <x v="1"/>
    <x v="240"/>
    <s v="eth1/46"/>
    <x v="0"/>
    <x v="1"/>
    <x v="1"/>
    <s v="ITHSGHP0"/>
    <x v="6"/>
    <b v="0"/>
    <s v="No está en VPC"/>
    <n v="405"/>
    <s v="INTPG_ACC_405_1.46"/>
    <s v="ISEL-1.46"/>
    <n v="1"/>
    <s v="NO TIENE L3OUT"/>
    <n v="138"/>
    <n v="96"/>
  </r>
  <r>
    <n v="169"/>
    <x v="0"/>
    <x v="241"/>
    <s v="eth1/46"/>
    <x v="0"/>
    <x v="0"/>
    <x v="0"/>
    <s v="TO-ITHFDENBURMS01"/>
    <x v="6"/>
    <b v="0"/>
    <s v="No está en VPC"/>
    <n v="169"/>
    <s v="INTPG_VPC_167_1.46_169_1.46"/>
    <s v="ISEL-1.46"/>
    <n v="1"/>
    <s v="NO TIENE L3OUT"/>
    <n v="76"/>
    <n v="96"/>
  </r>
  <r>
    <n v="165"/>
    <x v="0"/>
    <x v="242"/>
    <s v="eth1/46"/>
    <x v="0"/>
    <x v="0"/>
    <x v="0"/>
    <s v="NOMINA_uxm4bd01"/>
    <x v="6"/>
    <b v="0"/>
    <s v="No está en VPC"/>
    <n v="165"/>
    <s v="INTPG_ACC_165_1.46"/>
    <s v="ISEL-1.46"/>
    <n v="1"/>
    <s v="NO TIENE L3OUT"/>
    <n v="86"/>
    <n v="96"/>
  </r>
  <r>
    <n v="417"/>
    <x v="1"/>
    <x v="243"/>
    <s v="eth1/46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46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46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46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46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46"/>
    <x v="0"/>
    <x v="0"/>
    <x v="0"/>
    <s v="TC3_ithmomce1_OA2_MGT"/>
    <x v="6"/>
    <b v="0"/>
    <s v="No está en VPC"/>
    <n v="438"/>
    <s v="INTPG_ACC_438_1.46"/>
    <s v="ISEL-1.46"/>
    <n v="1"/>
    <s v="NO TIENE L3OUT"/>
    <n v="170"/>
    <n v="96"/>
  </r>
  <r>
    <n v="406"/>
    <x v="1"/>
    <x v="249"/>
    <s v="eth1/46"/>
    <x v="0"/>
    <x v="1"/>
    <x v="5"/>
    <s v="VIOSDES2-VIOSDES2_CLT"/>
    <x v="6"/>
    <b v="0"/>
    <s v="No está en VPC"/>
    <n v="406"/>
    <s v="INTPG_VPC_404_1.45-46_406_1.45-46"/>
    <s v="ISEL-1.46"/>
    <n v="1"/>
    <s v="NO TIENE L3OUT"/>
    <n v="82"/>
    <n v="96"/>
  </r>
  <r>
    <n v="414"/>
    <x v="1"/>
    <x v="250"/>
    <s v="eth1/46"/>
    <x v="0"/>
    <x v="0"/>
    <x v="0"/>
    <s v="NMS01_S02"/>
    <x v="6"/>
    <b v="0"/>
    <s v="No está en VPC"/>
    <n v="414"/>
    <s v="INTPG_ACC_414_1.46"/>
    <s v="ISEL-1.46"/>
    <n v="1"/>
    <s v="NO TIENE L3OUT"/>
    <n v="144"/>
    <n v="96"/>
  </r>
  <r>
    <n v="416"/>
    <x v="1"/>
    <x v="251"/>
    <s v="eth1/46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46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46"/>
    <x v="0"/>
    <x v="0"/>
    <x v="0"/>
    <s v="To-uxingemc2  ldom3 ldom2 ldom1"/>
    <x v="6"/>
    <b v="0"/>
    <s v="No está en VPC"/>
    <n v="413"/>
    <s v="INTPG_ACC_413_1.46"/>
    <s v="ISEL-1.46"/>
    <n v="1"/>
    <s v="NO TIENE L3OUT"/>
    <n v="126"/>
    <n v="96"/>
  </r>
  <r>
    <n v="403"/>
    <x v="1"/>
    <x v="254"/>
    <s v="eth1/46"/>
    <x v="0"/>
    <x v="0"/>
    <x v="0"/>
    <s v="ITHSGHP0"/>
    <x v="6"/>
    <b v="0"/>
    <s v="No está en VPC"/>
    <n v="403"/>
    <s v="INTPG_ACC_403_1.46"/>
    <s v="ISEL-1.46"/>
    <n v="1"/>
    <s v="NO TIENE L3OUT"/>
    <n v="150"/>
    <n v="96"/>
  </r>
  <r>
    <n v="125"/>
    <x v="0"/>
    <x v="255"/>
    <s v="eth1/46"/>
    <x v="0"/>
    <x v="0"/>
    <x v="0"/>
    <m/>
    <x v="6"/>
    <b v="0"/>
    <s v="No está en VPC"/>
    <n v="125"/>
    <s v="INTPG_ACC_125_1.46"/>
    <s v="ISEL-1.46"/>
    <n v="1"/>
    <s v="NO TIENE L3OUT"/>
    <n v="72"/>
    <n v="96"/>
  </r>
  <r>
    <n v="166"/>
    <x v="0"/>
    <x v="256"/>
    <s v="eth1/46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46"/>
    <x v="0"/>
    <x v="0"/>
    <x v="0"/>
    <s v="TO-ITHFDEMCFRPMS02"/>
    <x v="6"/>
    <b v="0"/>
    <s v="No está en VPC"/>
    <n v="111"/>
    <s v="INTPG_VPC_110_1.68_111_1.46"/>
    <s v="ISEL-1.46"/>
    <n v="1"/>
    <s v="NO TIENE L3OUT"/>
    <n v="58"/>
    <n v="96"/>
  </r>
  <r>
    <n v="115"/>
    <x v="0"/>
    <x v="258"/>
    <s v="eth1/46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46"/>
    <x v="0"/>
    <x v="0"/>
    <x v="0"/>
    <s v="COMISIONES"/>
    <x v="6"/>
    <b v="0"/>
    <s v="No está en VPC"/>
    <n v="106"/>
    <s v="INTPG_ACC_106_1.46"/>
    <s v="ISEL-1.46"/>
    <n v="1"/>
    <s v="NO TIENE L3OUT"/>
    <n v="122"/>
    <n v="96"/>
  </r>
  <r>
    <n v="126"/>
    <x v="0"/>
    <x v="260"/>
    <s v="eth1/46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46"/>
    <x v="0"/>
    <x v="0"/>
    <x v="0"/>
    <s v="ITHVC1_eth1_IPMP-Pasiva"/>
    <x v="6"/>
    <b v="0"/>
    <s v="No está en VPC"/>
    <n v="425"/>
    <s v="INTPG_ACC_425_1.46"/>
    <s v="ISEL-1.46"/>
    <n v="1"/>
    <s v="NO TIENE L3OUT"/>
    <n v="86"/>
    <n v="96"/>
  </r>
  <r>
    <n v="151"/>
    <x v="0"/>
    <x v="262"/>
    <s v="eth1/46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46"/>
    <x v="0"/>
    <x v="1"/>
    <x v="1"/>
    <s v="TO-uxidmbd-scan-E7-1"/>
    <x v="6"/>
    <b v="0"/>
    <s v="No está en VPC"/>
    <n v="430"/>
    <s v="INTPG_ACC_430_1.46"/>
    <s v="ISEL-1.46"/>
    <n v="1"/>
    <s v="NO TIENE L3OUT"/>
    <n v="86"/>
    <n v="96"/>
  </r>
  <r>
    <n v="419"/>
    <x v="1"/>
    <x v="264"/>
    <s v="eth1/46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46"/>
    <x v="0"/>
    <x v="0"/>
    <x v="0"/>
    <s v="IXT08PP"/>
    <x v="6"/>
    <b v="0"/>
    <s v="No está en VPC"/>
    <n v="155"/>
    <s v="INTPG_ACC_155_1.46"/>
    <s v="ISEL-1.46"/>
    <n v="1"/>
    <s v="NO TIENE L3OUT"/>
    <n v="198"/>
    <n v="96"/>
  </r>
  <r>
    <n v="409"/>
    <x v="1"/>
    <x v="266"/>
    <s v="eth1/46"/>
    <x v="0"/>
    <x v="0"/>
    <x v="0"/>
    <s v="IXTPPMDB02"/>
    <x v="6"/>
    <b v="0"/>
    <s v="No está en VPC"/>
    <n v="409"/>
    <s v="INTPG_ACC_409_1.46"/>
    <s v="ISEL-1.46"/>
    <n v="1"/>
    <s v="NO TIENE L3OUT"/>
    <n v="128"/>
    <n v="96"/>
  </r>
  <r>
    <n v="422"/>
    <x v="1"/>
    <x v="267"/>
    <s v="eth1/46"/>
    <x v="0"/>
    <x v="0"/>
    <x v="0"/>
    <s v="ITHRTC4CSS2"/>
    <x v="6"/>
    <b v="0"/>
    <s v="No está en VPC"/>
    <n v="422"/>
    <s v="INTPG_ACC_422_1.46"/>
    <s v="ISEL-1.46"/>
    <n v="1"/>
    <s v="NO TIENE L3OUT"/>
    <n v="182"/>
    <n v="96"/>
  </r>
  <r>
    <n v="436"/>
    <x v="1"/>
    <x v="268"/>
    <s v="eth1/46"/>
    <x v="0"/>
    <x v="0"/>
    <x v="0"/>
    <s v="TC2_ithmombe1_OA1_MGT"/>
    <x v="6"/>
    <b v="0"/>
    <s v="No está en VPC"/>
    <n v="436"/>
    <s v="INTPG_ACC_436_1.46"/>
    <s v="ISEL-1.46"/>
    <n v="1"/>
    <s v="NO TIENE L3OUT"/>
    <n v="172"/>
    <n v="96"/>
  </r>
  <r>
    <n v="410"/>
    <x v="1"/>
    <x v="269"/>
    <s v="eth1/46"/>
    <x v="0"/>
    <x v="0"/>
    <x v="0"/>
    <s v="APMS01_S09"/>
    <x v="6"/>
    <b v="0"/>
    <s v="No está en VPC"/>
    <n v="410"/>
    <s v="INTPG_ACC_410_1.46"/>
    <s v="ISEL-1.46"/>
    <n v="1"/>
    <s v="NO TIENE L3OUT"/>
    <n v="178"/>
    <n v="96"/>
  </r>
  <r>
    <n v="161"/>
    <x v="0"/>
    <x v="270"/>
    <s v="eth1/46"/>
    <x v="1"/>
    <x v="1"/>
    <x v="2"/>
    <s v="CELCITE"/>
    <x v="6"/>
    <b v="0"/>
    <s v="No está en VPC"/>
    <n v="161"/>
    <s v="INTPG_ACC_161_1.46"/>
    <s v="ISEL-1.46"/>
    <n v="1"/>
    <s v="NO TIENE L3OUT"/>
    <n v="102"/>
    <n v="96"/>
  </r>
  <r>
    <n v="411"/>
    <x v="1"/>
    <x v="271"/>
    <s v="eth1/46"/>
    <x v="0"/>
    <x v="1"/>
    <x v="1"/>
    <s v="Ixt_guardium02_Principal"/>
    <x v="6"/>
    <b v="0"/>
    <s v="No está en VPC"/>
    <n v="411"/>
    <s v="INTPG_ACC_411_1.46"/>
    <s v="ISEL-1.46"/>
    <n v="1"/>
    <s v="NO TIENE L3OUT"/>
    <n v="96"/>
    <n v="96"/>
  </r>
  <r>
    <n v="116"/>
    <x v="0"/>
    <x v="272"/>
    <s v="eth1/46"/>
    <x v="0"/>
    <x v="1"/>
    <x v="1"/>
    <s v="USSD TANGO"/>
    <x v="6"/>
    <b v="0"/>
    <s v="No está en VPC"/>
    <n v="116"/>
    <s v="INTPG_ACC_116_1.46"/>
    <s v="ISEL-1.46"/>
    <n v="1"/>
    <s v="NO TIENE L3OUT"/>
    <n v="148"/>
    <n v="96"/>
  </r>
  <r>
    <n v="412"/>
    <x v="1"/>
    <x v="273"/>
    <s v="eth1/46"/>
    <x v="0"/>
    <x v="0"/>
    <x v="0"/>
    <s v="VBLOCK_NETMGT"/>
    <x v="6"/>
    <b v="0"/>
    <s v="No está en VPC"/>
    <n v="412"/>
    <s v="INTPG_ACC_412_1.46"/>
    <s v="ISEL-1.46"/>
    <n v="1"/>
    <s v="NO TIENE L3OUT"/>
    <n v="126"/>
    <n v="96"/>
  </r>
  <r>
    <n v="120"/>
    <x v="0"/>
    <x v="274"/>
    <s v="eth1/46"/>
    <x v="0"/>
    <x v="0"/>
    <x v="0"/>
    <s v="N/A"/>
    <x v="6"/>
    <b v="0"/>
    <s v="No está en VPC"/>
    <n v="120"/>
    <s v="INTPG_ACC_120_1.46"/>
    <s v="ISEL-1.46"/>
    <n v="1"/>
    <s v="NO TIENE L3OUT"/>
    <n v="158"/>
    <n v="96"/>
  </r>
  <r>
    <n v="404"/>
    <x v="1"/>
    <x v="275"/>
    <s v="eth1/46"/>
    <x v="0"/>
    <x v="1"/>
    <x v="5"/>
    <s v="VIOSDES2-VIOSDES2_CLT"/>
    <x v="6"/>
    <b v="0"/>
    <s v="No está en VPC"/>
    <n v="404"/>
    <s v="INTPG_VPC_404_1.45-46_406_1.45-46"/>
    <s v="ISEL-1.46"/>
    <n v="1"/>
    <s v="NO TIENE L3OUT"/>
    <n v="92"/>
    <n v="96"/>
  </r>
  <r>
    <n v="167"/>
    <x v="0"/>
    <x v="276"/>
    <s v="eth1/46"/>
    <x v="0"/>
    <x v="0"/>
    <x v="0"/>
    <s v="TO-ITHFDENBURMS01"/>
    <x v="6"/>
    <b v="0"/>
    <s v="No está en VPC"/>
    <n v="167"/>
    <s v="INTPG_VPC_167_1.46_169_1.46"/>
    <s v="ISEL-1.46"/>
    <n v="1"/>
    <s v="NO TIENE L3OUT"/>
    <n v="68"/>
    <n v="96"/>
  </r>
  <r>
    <n v="428"/>
    <x v="1"/>
    <x v="277"/>
    <s v="eth1/46"/>
    <x v="0"/>
    <x v="0"/>
    <x v="0"/>
    <s v="TO-ITHFORZDLRXGW01-NET_0"/>
    <x v="6"/>
    <b v="0"/>
    <s v="No está en VPC"/>
    <n v="428"/>
    <s v="INTPG_ACC_428_1.46"/>
    <s v="ISEL-1.46"/>
    <n v="1"/>
    <s v="NO TIENE L3OUT"/>
    <n v="102"/>
    <n v="96"/>
  </r>
  <r>
    <n v="128"/>
    <x v="0"/>
    <x v="0"/>
    <s v="eth1/47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47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47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47"/>
    <x v="0"/>
    <x v="0"/>
    <x v="0"/>
    <m/>
    <x v="0"/>
    <b v="0"/>
    <s v="No está en VPC"/>
    <n v="101"/>
    <s v="INTPG-VPC_101_1.47-48_150_1.47-48"/>
    <s v="ISEL-1.47"/>
    <n v="0"/>
    <s v="NO TIENE L3OUT"/>
    <n v="114"/>
    <n v="54"/>
  </r>
  <r>
    <n v="160"/>
    <x v="0"/>
    <x v="4"/>
    <s v="eth1/47"/>
    <x v="0"/>
    <x v="1"/>
    <x v="1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47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47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47"/>
    <x v="0"/>
    <x v="0"/>
    <x v="0"/>
    <s v="LINK TO DDI BROCADE ROOM 2"/>
    <x v="0"/>
    <b v="0"/>
    <s v="No está en VPC"/>
    <n v="401"/>
    <s v="INTPG_VPC_401_1.47-48_402_1.47-48"/>
    <s v="ISEL-1.47"/>
    <n v="4"/>
    <s v="NO TIENE L3OUT"/>
    <n v="40"/>
    <n v="54"/>
  </r>
  <r>
    <n v="402"/>
    <x v="1"/>
    <x v="8"/>
    <s v="eth1/47"/>
    <x v="0"/>
    <x v="1"/>
    <x v="5"/>
    <s v="LINK TO DDI BROCADE ROOM 2"/>
    <x v="0"/>
    <b v="0"/>
    <s v="No está en VPC"/>
    <n v="402"/>
    <s v="INTPG_VPC_401_1.47-48_402_1.47-48"/>
    <s v="ISEL-1.47"/>
    <n v="4"/>
    <s v="NO TIENE L3OUT"/>
    <n v="36"/>
    <n v="54"/>
  </r>
  <r>
    <n v="130"/>
    <x v="0"/>
    <x v="11"/>
    <s v="eth1/47"/>
    <x v="0"/>
    <x v="0"/>
    <x v="0"/>
    <s v="LAG-smt-comp-01"/>
    <x v="0"/>
    <b v="0"/>
    <s v="No está en VPC"/>
    <n v="130"/>
    <s v="INTPG_VPC_130_1.46-47_131_1.46-47"/>
    <s v="ISEL-1.47"/>
    <n v="4"/>
    <s v="NO TIENE L3OUT"/>
    <n v="128"/>
    <n v="54"/>
  </r>
  <r>
    <n v="150"/>
    <x v="0"/>
    <x v="12"/>
    <s v="eth1/47"/>
    <x v="0"/>
    <x v="0"/>
    <x v="0"/>
    <m/>
    <x v="0"/>
    <b v="0"/>
    <s v="No está en VPC"/>
    <n v="150"/>
    <s v="INTPG-VPC_101_1.47-48_150_1.47-48"/>
    <s v="ISEL-1.47"/>
    <n v="0"/>
    <s v="NO TIENE L3OUT"/>
    <n v="118"/>
    <n v="54"/>
  </r>
  <r>
    <n v="131"/>
    <x v="0"/>
    <x v="13"/>
    <s v="eth1/47"/>
    <x v="0"/>
    <x v="0"/>
    <x v="0"/>
    <s v="LAG-smt-comp-01"/>
    <x v="0"/>
    <b v="0"/>
    <s v="No está en VPC"/>
    <n v="131"/>
    <s v="INTPG_VPC_130_1.46-47_131_1.46-47"/>
    <s v="ISEL-1.47"/>
    <n v="4"/>
    <s v="NO TIENE L3OUT"/>
    <n v="126"/>
    <n v="54"/>
  </r>
  <r>
    <n v="424"/>
    <x v="1"/>
    <x v="18"/>
    <s v="eth1/47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47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47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47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47"/>
    <x v="0"/>
    <x v="0"/>
    <x v="0"/>
    <m/>
    <x v="0"/>
    <b v="0"/>
    <s v="No está en VPC"/>
    <n v="727"/>
    <s v="INTPG-VPC_MGMT-20218_727_1.47_726_1.48"/>
    <s v="ISEL-1.47"/>
    <n v="6"/>
    <s v="NO TIENE L3OUT"/>
    <n v="0"/>
    <n v="54"/>
  </r>
  <r>
    <n v="724"/>
    <x v="2"/>
    <x v="23"/>
    <s v="eth1/47"/>
    <x v="0"/>
    <x v="0"/>
    <x v="0"/>
    <s v="LINK_HACIA_MGMT"/>
    <x v="0"/>
    <b v="0"/>
    <s v="No está en VPC"/>
    <n v="724"/>
    <s v="INTPG-VPC_MGMT-20214_724_1.47_725_1.48"/>
    <s v="ISEL-1.47"/>
    <n v="5"/>
    <s v="NO TIENE L3OUT"/>
    <n v="0"/>
    <n v="54"/>
  </r>
  <r>
    <n v="725"/>
    <x v="2"/>
    <x v="25"/>
    <s v="eth1/47"/>
    <x v="0"/>
    <x v="0"/>
    <x v="0"/>
    <m/>
    <x v="0"/>
    <b v="0"/>
    <s v="No está en VPC"/>
    <n v="725"/>
    <s v="INTPG-VPC_MGMT-20216_725_1.47_724_1.48"/>
    <s v="ISEL-1.47"/>
    <n v="4"/>
    <s v="NO TIENE L3OUT"/>
    <n v="0"/>
    <n v="54"/>
  </r>
  <r>
    <n v="431"/>
    <x v="1"/>
    <x v="26"/>
    <s v="eth1/47"/>
    <x v="0"/>
    <x v="0"/>
    <x v="0"/>
    <s v="To_ITHEA1B_eth0"/>
    <x v="0"/>
    <b v="0"/>
    <s v="No está en VPC"/>
    <n v="431"/>
    <s v="INTPG_ACC_431_1.47"/>
    <s v="ISEL-1.47"/>
    <n v="2"/>
    <s v="NO TIENE L3OUT"/>
    <n v="46"/>
    <n v="54"/>
  </r>
  <r>
    <n v="433"/>
    <x v="1"/>
    <x v="27"/>
    <s v="eth1/47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47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47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47"/>
    <x v="0"/>
    <x v="1"/>
    <x v="1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47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47"/>
    <x v="0"/>
    <x v="0"/>
    <x v="0"/>
    <m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47"/>
    <x v="0"/>
    <x v="0"/>
    <x v="0"/>
    <m/>
    <x v="0"/>
    <b v="0"/>
    <s v="No está en VPC"/>
    <n v="712"/>
    <s v="INTPG-VPC_MGMT-10216_712_1.47_713_1.48"/>
    <s v="ISEL-1.47"/>
    <n v="6"/>
    <s v="NO TIENE L3OUT"/>
    <n v="32"/>
    <n v="54"/>
  </r>
  <r>
    <n v="719"/>
    <x v="2"/>
    <x v="34"/>
    <s v="eth1/47"/>
    <x v="0"/>
    <x v="0"/>
    <x v="0"/>
    <m/>
    <x v="0"/>
    <b v="0"/>
    <s v="No está en VPC"/>
    <n v="719"/>
    <s v="INTPG-VPC_MGMT-20118_719_1.47_720_1.48"/>
    <s v="ISEL-1.47"/>
    <n v="5"/>
    <s v="NO TIENE L3OUT"/>
    <n v="0"/>
    <n v="54"/>
  </r>
  <r>
    <n v="715"/>
    <x v="2"/>
    <x v="35"/>
    <s v="eth1/47"/>
    <x v="0"/>
    <x v="0"/>
    <x v="0"/>
    <m/>
    <x v="0"/>
    <b v="0"/>
    <s v="No está en VPC"/>
    <n v="715"/>
    <s v="INTPG-VPC_MGMT-20112_715_1.47_716_1.48"/>
    <s v="ISEL-1.47"/>
    <n v="3"/>
    <s v="NO TIENE L3OUT"/>
    <n v="0"/>
    <n v="54"/>
  </r>
  <r>
    <n v="427"/>
    <x v="1"/>
    <x v="36"/>
    <s v="eth1/47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47"/>
    <x v="0"/>
    <x v="0"/>
    <x v="0"/>
    <m/>
    <x v="0"/>
    <b v="0"/>
    <s v="No está en VPC"/>
    <n v="711"/>
    <s v="INTPG-VPC_MGMT-10215_711_1.47_710_1.48"/>
    <s v="ISEL-1.47"/>
    <n v="3"/>
    <s v="NO TIENE L3OUT"/>
    <n v="16"/>
    <n v="54"/>
  </r>
  <r>
    <n v="716"/>
    <x v="2"/>
    <x v="38"/>
    <s v="eth1/47"/>
    <x v="0"/>
    <x v="0"/>
    <x v="0"/>
    <m/>
    <x v="0"/>
    <b v="0"/>
    <s v="No está en VPC"/>
    <n v="716"/>
    <s v="INTPG-VPC_MGMT-20113_716_1.47_715_1.48"/>
    <s v="ISEL-1.47"/>
    <n v="4"/>
    <s v="NO TIENE L3OUT"/>
    <n v="0"/>
    <n v="54"/>
  </r>
  <r>
    <n v="702"/>
    <x v="2"/>
    <x v="39"/>
    <s v="eth1/47"/>
    <x v="0"/>
    <x v="0"/>
    <x v="0"/>
    <m/>
    <x v="0"/>
    <b v="0"/>
    <s v="No está en VPC"/>
    <n v="702"/>
    <s v="INTPG-VPC_MGMT-10111_702_1.47_701_1.48"/>
    <s v="ISEL-1.47"/>
    <n v="3"/>
    <s v="NO TIENE L3OUT"/>
    <n v="0"/>
    <n v="54"/>
  </r>
  <r>
    <n v="435"/>
    <x v="1"/>
    <x v="40"/>
    <s v="eth1/47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47"/>
    <x v="0"/>
    <x v="1"/>
    <x v="3"/>
    <m/>
    <x v="0"/>
    <b v="0"/>
    <s v="No está en VPC"/>
    <n v="446"/>
    <s v="NO EXISTE PG"/>
    <s v="NO EXISTE ISEL"/>
    <n v="0"/>
    <s v="NO TIENE L3OUT"/>
    <n v="198"/>
    <n v="54"/>
  </r>
  <r>
    <n v="444"/>
    <x v="1"/>
    <x v="42"/>
    <s v="eth1/47"/>
    <x v="0"/>
    <x v="1"/>
    <x v="3"/>
    <m/>
    <x v="0"/>
    <b v="0"/>
    <s v="No está en VPC"/>
    <n v="444"/>
    <s v="NO EXISTE PG"/>
    <s v="NO EXISTE ISEL"/>
    <n v="0"/>
    <s v="NO TIENE L3OUT"/>
    <n v="234"/>
    <n v="54"/>
  </r>
  <r>
    <n v="701"/>
    <x v="2"/>
    <x v="43"/>
    <s v="eth1/47"/>
    <x v="0"/>
    <x v="0"/>
    <x v="0"/>
    <m/>
    <x v="0"/>
    <b v="0"/>
    <s v="No está en VPC"/>
    <n v="701"/>
    <s v="INTPG-VPC_MGMT-10109_701_1.47_702_1.48"/>
    <s v="ISEL-1.47"/>
    <n v="5"/>
    <s v="NO TIENE L3OUT"/>
    <n v="0"/>
    <n v="54"/>
  </r>
  <r>
    <n v="440"/>
    <x v="1"/>
    <x v="44"/>
    <s v="eth1/47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47"/>
    <x v="0"/>
    <x v="0"/>
    <x v="0"/>
    <s v="To_ITHEA1C_eth1"/>
    <x v="0"/>
    <b v="0"/>
    <s v="No está en VPC"/>
    <n v="448"/>
    <s v="INTPG_ACC_448_1.47"/>
    <s v="ISEL-1.47"/>
    <n v="2"/>
    <s v="NO TIENE L3OUT"/>
    <n v="46"/>
    <n v="54"/>
  </r>
  <r>
    <n v="704"/>
    <x v="2"/>
    <x v="46"/>
    <s v="eth1/47"/>
    <x v="0"/>
    <x v="0"/>
    <x v="0"/>
    <m/>
    <x v="0"/>
    <b v="0"/>
    <s v="No está en VPC"/>
    <n v="704"/>
    <s v="INTPG-VPC_MGMT-10116_704_1.47_703_1.48"/>
    <s v="ISEL-1.47"/>
    <n v="3"/>
    <s v="NO TIENE L3OUT"/>
    <n v="0"/>
    <n v="54"/>
  </r>
  <r>
    <n v="729"/>
    <x v="2"/>
    <x v="47"/>
    <s v="eth1/47"/>
    <x v="0"/>
    <x v="0"/>
    <x v="0"/>
    <m/>
    <x v="0"/>
    <b v="0"/>
    <s v="No está en VPC"/>
    <n v="729"/>
    <s v="INTPG-VPC_MGMT-10316_729_1.47_728_1.48"/>
    <s v="ISEL-1.47"/>
    <n v="2"/>
    <s v="NO TIENE L3OUT"/>
    <n v="4"/>
    <n v="54"/>
  </r>
  <r>
    <n v="728"/>
    <x v="2"/>
    <x v="48"/>
    <s v="eth1/47"/>
    <x v="0"/>
    <x v="0"/>
    <x v="0"/>
    <m/>
    <x v="0"/>
    <b v="0"/>
    <s v="No está en VPC"/>
    <n v="728"/>
    <s v="INTPG-VPC_MGMT-10317_728_1.47_729_1.48"/>
    <s v="ISEL-1.47"/>
    <n v="2"/>
    <s v="NO TIENE L3OUT"/>
    <n v="2"/>
    <n v="54"/>
  </r>
  <r>
    <n v="456"/>
    <x v="1"/>
    <x v="49"/>
    <s v="eth1/47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47"/>
    <x v="0"/>
    <x v="0"/>
    <x v="0"/>
    <m/>
    <x v="0"/>
    <b v="0"/>
    <s v="No está en VPC"/>
    <n v="746"/>
    <s v="INTPG_VPC_MGMT_10308_746_1.47_745_1.48"/>
    <s v="ISEL-1.47"/>
    <n v="8"/>
    <s v="NO TIENE L3OUT"/>
    <n v="0"/>
    <n v="54"/>
  </r>
  <r>
    <n v="745"/>
    <x v="2"/>
    <x v="52"/>
    <s v="eth1/47"/>
    <x v="0"/>
    <x v="0"/>
    <x v="0"/>
    <m/>
    <x v="0"/>
    <b v="0"/>
    <s v="No está en VPC"/>
    <n v="745"/>
    <s v="INTPG_VPC_MGMT_10311_745_1.47_746_1.48"/>
    <s v="ISEL-1.47"/>
    <n v="6"/>
    <s v="NO TIENE L3OUT"/>
    <n v="0"/>
    <n v="54"/>
  </r>
  <r>
    <n v="730"/>
    <x v="2"/>
    <x v="53"/>
    <s v="eth1/47"/>
    <x v="0"/>
    <x v="0"/>
    <x v="0"/>
    <m/>
    <x v="0"/>
    <b v="0"/>
    <s v="No está en VPC"/>
    <n v="730"/>
    <s v="INTPG-VPC_MGMT-10417_730_1.47_731_1.48"/>
    <s v="ISEL-1.47"/>
    <n v="3"/>
    <s v="NO TIENE L3OUT"/>
    <n v="36"/>
    <n v="54"/>
  </r>
  <r>
    <n v="722"/>
    <x v="2"/>
    <x v="54"/>
    <s v="eth1/47"/>
    <x v="0"/>
    <x v="0"/>
    <x v="0"/>
    <m/>
    <x v="0"/>
    <b v="0"/>
    <s v="No está en VPC"/>
    <n v="722"/>
    <s v="INTPG-VPC_MGMT-20212_722_1.47_723_1.48"/>
    <s v="ISEL-1.47"/>
    <n v="3"/>
    <s v="NO TIENE L3OUT"/>
    <n v="0"/>
    <n v="54"/>
  </r>
  <r>
    <n v="733"/>
    <x v="2"/>
    <x v="55"/>
    <s v="eth1/47"/>
    <x v="0"/>
    <x v="0"/>
    <x v="0"/>
    <m/>
    <x v="0"/>
    <b v="0"/>
    <s v="No está en VPC"/>
    <n v="733"/>
    <s v="INTPG-VPC_MGMT-10418_733_1.47_732_1.48"/>
    <s v="ISEL-1.47"/>
    <n v="4"/>
    <s v="NO TIENE L3OUT"/>
    <n v="0"/>
    <n v="54"/>
  </r>
  <r>
    <n v="755"/>
    <x v="2"/>
    <x v="56"/>
    <s v="eth1/47"/>
    <x v="0"/>
    <x v="0"/>
    <x v="0"/>
    <m/>
    <x v="0"/>
    <b v="0"/>
    <s v="No está en VPC"/>
    <n v="755"/>
    <s v="INTPG_VPC_MGMT_10106_755_1.47_756_1.48"/>
    <s v="ISEL-1.47"/>
    <n v="17"/>
    <s v="NO TIENE L3OUT"/>
    <n v="52"/>
    <n v="54"/>
  </r>
  <r>
    <n v="748"/>
    <x v="2"/>
    <x v="57"/>
    <s v="eth1/47"/>
    <x v="0"/>
    <x v="0"/>
    <x v="0"/>
    <m/>
    <x v="0"/>
    <b v="0"/>
    <s v="No está en VPC"/>
    <n v="748"/>
    <s v="INTPG_VPC_MGMT_10414_748_1.47_749_1.48"/>
    <s v="ISEL-1.47"/>
    <n v="4"/>
    <s v="NO TIENE L3OUT"/>
    <n v="2"/>
    <n v="54"/>
  </r>
  <r>
    <n v="756"/>
    <x v="2"/>
    <x v="58"/>
    <s v="eth1/47"/>
    <x v="0"/>
    <x v="0"/>
    <x v="0"/>
    <m/>
    <x v="0"/>
    <b v="0"/>
    <s v="No está en VPC"/>
    <n v="756"/>
    <s v="INTPG_VPC_MGMT_10108_756_1.47_755_1.48"/>
    <s v="ISEL-1.47"/>
    <n v="16"/>
    <s v="NO TIENE L3OUT"/>
    <n v="64"/>
    <n v="54"/>
  </r>
  <r>
    <n v="754"/>
    <x v="2"/>
    <x v="59"/>
    <s v="eth1/47"/>
    <x v="0"/>
    <x v="0"/>
    <x v="0"/>
    <m/>
    <x v="0"/>
    <b v="0"/>
    <s v="No está en VPC"/>
    <n v="754"/>
    <s v="INTPG_VPC_MGMT_10104_754_1.47_753_1.48"/>
    <s v="ISEL-1.47"/>
    <n v="18"/>
    <s v="NO TIENE L3OUT"/>
    <n v="62"/>
    <n v="54"/>
  </r>
  <r>
    <n v="751"/>
    <x v="2"/>
    <x v="60"/>
    <s v="eth1/47"/>
    <x v="0"/>
    <x v="0"/>
    <x v="0"/>
    <m/>
    <x v="0"/>
    <b v="0"/>
    <s v="No está en VPC"/>
    <n v="751"/>
    <s v="INTPG_VPC_MGMT_10409_751_1.47_750_1.48"/>
    <s v="ISEL-1.47"/>
    <n v="6"/>
    <s v="NO TIENE L3OUT"/>
    <n v="0"/>
    <n v="54"/>
  </r>
  <r>
    <n v="769"/>
    <x v="2"/>
    <x v="61"/>
    <s v="eth1/47"/>
    <x v="0"/>
    <x v="0"/>
    <x v="0"/>
    <s v="MGMT OSS POD3"/>
    <x v="0"/>
    <b v="0"/>
    <s v="No está en VPC"/>
    <n v="769"/>
    <s v="INTPG_VPC_MGMT_20419_769_1.47_764_1.48"/>
    <s v="ISEL-1.47"/>
    <n v="11"/>
    <s v="NO TIENE L3OUT"/>
    <n v="60"/>
    <n v="54"/>
  </r>
  <r>
    <n v="742"/>
    <x v="2"/>
    <x v="62"/>
    <s v="eth1/47"/>
    <x v="0"/>
    <x v="1"/>
    <x v="1"/>
    <m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47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47"/>
    <x v="0"/>
    <x v="0"/>
    <x v="0"/>
    <s v="MGMT OSS POD3"/>
    <x v="0"/>
    <b v="0"/>
    <s v="No está en VPC"/>
    <n v="766"/>
    <s v="INTPG_VPC_MGMT_20316_766_1.47_765_1.48"/>
    <s v="ISEL-1.47"/>
    <n v="10"/>
    <s v="NO TIENE L3OUT"/>
    <n v="58"/>
    <n v="54"/>
  </r>
  <r>
    <n v="760"/>
    <x v="2"/>
    <x v="65"/>
    <s v="eth1/47"/>
    <x v="0"/>
    <x v="0"/>
    <x v="0"/>
    <s v="METASAN"/>
    <x v="0"/>
    <b v="0"/>
    <s v="No está en VPC"/>
    <n v="760"/>
    <s v="INTPG_VPC_MGMT_20818_760_1.47_761_1.48"/>
    <s v="ISEL-1.47"/>
    <n v="11"/>
    <s v="NO TIENE L3OUT"/>
    <n v="0"/>
    <n v="54"/>
  </r>
  <r>
    <n v="752"/>
    <x v="2"/>
    <x v="66"/>
    <s v="eth1/47"/>
    <x v="0"/>
    <x v="0"/>
    <x v="0"/>
    <m/>
    <x v="0"/>
    <b v="0"/>
    <s v="No está en VPC"/>
    <n v="752"/>
    <s v="INTPG_VPC_MGMT_10407_752_1.47_747_1.48"/>
    <s v="ISEL-1.47"/>
    <n v="5"/>
    <s v="NO TIENE L3OUT"/>
    <n v="0"/>
    <n v="54"/>
  </r>
  <r>
    <n v="765"/>
    <x v="2"/>
    <x v="67"/>
    <s v="eth1/47"/>
    <x v="0"/>
    <x v="0"/>
    <x v="0"/>
    <s v="MGMT OSS POD3"/>
    <x v="0"/>
    <b v="0"/>
    <s v="No está en VPC"/>
    <n v="765"/>
    <s v="INTPG_VPC_MGMT_20318_765_1.47_766_1.48"/>
    <s v="ISEL-1.47"/>
    <n v="14"/>
    <s v="NO TIENE L3OUT"/>
    <n v="60"/>
    <n v="54"/>
  </r>
  <r>
    <n v="778"/>
    <x v="2"/>
    <x v="68"/>
    <s v="eth1/47"/>
    <x v="0"/>
    <x v="0"/>
    <x v="0"/>
    <m/>
    <x v="0"/>
    <b v="0"/>
    <s v="No está en VPC"/>
    <n v="778"/>
    <s v="INTPG_VPC_MGMT_20207_778_1.47_779_1.48"/>
    <s v="ISEL-1.47"/>
    <n v="12"/>
    <s v="NO TIENE L3OUT"/>
    <n v="26"/>
    <n v="54"/>
  </r>
  <r>
    <n v="780"/>
    <x v="2"/>
    <x v="69"/>
    <s v="eth1/47"/>
    <x v="0"/>
    <x v="0"/>
    <x v="0"/>
    <s v="ENIQ F2"/>
    <x v="0"/>
    <b v="0"/>
    <s v="No está en VPC"/>
    <n v="780"/>
    <s v="INTPG_VPC_MGMT_20305_780_1.47_781_1.48"/>
    <s v="ISEL-1.47"/>
    <n v="8"/>
    <s v="NO TIENE L3OUT"/>
    <n v="26"/>
    <n v="54"/>
  </r>
  <r>
    <n v="812"/>
    <x v="2"/>
    <x v="70"/>
    <s v="eth1/47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47"/>
    <x v="0"/>
    <x v="0"/>
    <x v="0"/>
    <s v="LINK_HACIA_MGMT"/>
    <x v="0"/>
    <b v="0"/>
    <s v="No está en VPC"/>
    <n v="796"/>
    <s v="INTPG_VPC_MGMT_20506_796_1.47_795_1.48"/>
    <s v="ISEL-1.47"/>
    <n v="6"/>
    <s v="NO TIENE L3OUT"/>
    <n v="18"/>
    <n v="54"/>
  </r>
  <r>
    <n v="795"/>
    <x v="2"/>
    <x v="72"/>
    <s v="eth1/47"/>
    <x v="0"/>
    <x v="0"/>
    <x v="0"/>
    <s v="LINK_HACIA_MGMT"/>
    <x v="0"/>
    <b v="0"/>
    <s v="No está en VPC"/>
    <n v="795"/>
    <s v="INTPG_VPC_MGMT_20505_795_1.47_796_1.48"/>
    <s v="ISEL-1.47"/>
    <n v="9"/>
    <s v="NO TIENE L3OUT"/>
    <n v="18"/>
    <n v="54"/>
  </r>
  <r>
    <n v="749"/>
    <x v="2"/>
    <x v="73"/>
    <s v="eth1/47"/>
    <x v="0"/>
    <x v="0"/>
    <x v="0"/>
    <m/>
    <x v="0"/>
    <b v="0"/>
    <s v="No está en VPC"/>
    <n v="749"/>
    <s v="INTPG_VPC_MGMT_10412_749_1.47_748_1.48"/>
    <s v="ISEL-1.47"/>
    <n v="6"/>
    <s v="NO TIENE L3OUT"/>
    <n v="4"/>
    <n v="54"/>
  </r>
  <r>
    <n v="824"/>
    <x v="2"/>
    <x v="74"/>
    <s v="eth1/47"/>
    <x v="0"/>
    <x v="1"/>
    <x v="3"/>
    <m/>
    <x v="0"/>
    <b v="0"/>
    <s v="No está en VPC"/>
    <n v="824"/>
    <s v="NO EXISTE PG"/>
    <s v="NO EXISTE ISEL"/>
    <n v="0"/>
    <s v="NO TIENE L3OUT"/>
    <n v="70"/>
    <n v="54"/>
  </r>
  <r>
    <n v="819"/>
    <x v="2"/>
    <x v="75"/>
    <s v="eth1/47"/>
    <x v="0"/>
    <x v="1"/>
    <x v="3"/>
    <m/>
    <x v="0"/>
    <b v="0"/>
    <s v="No está en VPC"/>
    <n v="819"/>
    <s v="NO EXISTE PG"/>
    <s v="NO EXISTE ISEL"/>
    <n v="0"/>
    <s v="NO TIENE L3OUT"/>
    <n v="70"/>
    <n v="54"/>
  </r>
  <r>
    <n v="737"/>
    <x v="2"/>
    <x v="76"/>
    <s v="eth1/47"/>
    <x v="0"/>
    <x v="1"/>
    <x v="1"/>
    <m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47"/>
    <x v="0"/>
    <x v="0"/>
    <x v="0"/>
    <s v="LINK_HACIA_MGMT"/>
    <x v="0"/>
    <b v="0"/>
    <s v="No está en VPC"/>
    <n v="844"/>
    <s v="INTPG_VPC_MGMT_10918_844_1.47_851_1.48"/>
    <s v="ISEL-1.47"/>
    <n v="2"/>
    <s v="NO TIENE L3OUT"/>
    <n v="282"/>
    <n v="54"/>
  </r>
  <r>
    <n v="843"/>
    <x v="2"/>
    <x v="78"/>
    <s v="eth1/47"/>
    <x v="0"/>
    <x v="0"/>
    <x v="0"/>
    <s v="LINK_TO_ITHFHWSEQLHDPS68 / Slot 4 PTO 1 / Principal"/>
    <x v="0"/>
    <b v="0"/>
    <s v="No está en VPC"/>
    <n v="843"/>
    <s v="INTPG_ACC_843_1.47"/>
    <s v="ISEL-1.47"/>
    <n v="1"/>
    <s v="NO TIENE L3OUT"/>
    <n v="38"/>
    <n v="54"/>
  </r>
  <r>
    <n v="797"/>
    <x v="2"/>
    <x v="79"/>
    <s v="eth1/47"/>
    <x v="0"/>
    <x v="0"/>
    <x v="0"/>
    <s v="LINK_HACIA_MGMT"/>
    <x v="0"/>
    <b v="0"/>
    <s v="No está en VPC"/>
    <n v="797"/>
    <s v="INTPG_VPC_MGMT_10504_797_1.47_802_1.48"/>
    <s v="ISEL-1.47"/>
    <n v="4"/>
    <s v="NO TIENE L3OUT"/>
    <n v="48"/>
    <n v="54"/>
  </r>
  <r>
    <n v="839"/>
    <x v="2"/>
    <x v="80"/>
    <s v="eth1/47"/>
    <x v="0"/>
    <x v="0"/>
    <x v="0"/>
    <s v="LINK_HACIA_MGMT"/>
    <x v="0"/>
    <b v="0"/>
    <s v="No está en VPC"/>
    <n v="839"/>
    <s v="INTPG_VPC_MGMT_21019_839_1.47_834_1.48"/>
    <s v="ISEL-1.47"/>
    <n v="5"/>
    <s v="NO TIENE L3OUT"/>
    <n v="0"/>
    <n v="54"/>
  </r>
  <r>
    <n v="847"/>
    <x v="2"/>
    <x v="81"/>
    <s v="eth1/47"/>
    <x v="0"/>
    <x v="0"/>
    <x v="0"/>
    <s v="LINK_TO_ITHFHWCRMPLCN154 / Slot7.1_10 / Redundante"/>
    <x v="0"/>
    <b v="0"/>
    <s v="No está en VPC"/>
    <n v="847"/>
    <s v="INTPG_ACC_847_1.47"/>
    <s v="ISEL-1.47"/>
    <n v="6"/>
    <s v="NO TIENE L3OUT"/>
    <n v="204"/>
    <n v="54"/>
  </r>
  <r>
    <n v="848"/>
    <x v="2"/>
    <x v="82"/>
    <s v="eth1/47"/>
    <x v="0"/>
    <x v="0"/>
    <x v="0"/>
    <s v="VPC_2DCRMP_BDA11_1"/>
    <x v="0"/>
    <b v="0"/>
    <s v="No está en VPC"/>
    <n v="848"/>
    <s v="INTPG_VPC_855_1.47_848_1.47"/>
    <s v="ISEL-1.47"/>
    <n v="5"/>
    <s v="NO TIENE L3OUT"/>
    <n v="254"/>
    <n v="54"/>
  </r>
  <r>
    <n v="846"/>
    <x v="2"/>
    <x v="83"/>
    <s v="eth1/47"/>
    <x v="0"/>
    <x v="0"/>
    <x v="0"/>
    <s v="LINK_TO_ITHFHWCRMPLCN87 / Slot1.2_32 / Principal"/>
    <x v="0"/>
    <b v="0"/>
    <s v="No está en VPC"/>
    <n v="846"/>
    <s v="INTPG_ACC_846_1.47"/>
    <s v="ISEL-1.47"/>
    <n v="2"/>
    <s v="NO TIENE L3OUT"/>
    <n v="242"/>
    <n v="54"/>
  </r>
  <r>
    <n v="838"/>
    <x v="2"/>
    <x v="84"/>
    <s v="eth1/47"/>
    <x v="0"/>
    <x v="0"/>
    <x v="0"/>
    <s v="LINK_TO_ITHFHWSEQLHDPS68 / Slot 5 PTO 1 / Redundante"/>
    <x v="0"/>
    <b v="0"/>
    <s v="No está en VPC"/>
    <n v="838"/>
    <s v="INTPG_ACC_838_1.47"/>
    <s v="ISEL-1.47"/>
    <n v="1"/>
    <s v="NO TIENE L3OUT"/>
    <n v="38"/>
    <n v="54"/>
  </r>
  <r>
    <n v="849"/>
    <x v="2"/>
    <x v="85"/>
    <s v="eth1/47"/>
    <x v="0"/>
    <x v="0"/>
    <x v="0"/>
    <s v="LINK_TO_ITHFHWCRMPLCN150 / Slot7.1_34 / Redundante"/>
    <x v="0"/>
    <b v="0"/>
    <s v="No está en VPC"/>
    <n v="849"/>
    <s v="INTPG_ACC_849_1.47"/>
    <s v="ISEL-1.47"/>
    <n v="6"/>
    <s v="NO TIENE L3OUT"/>
    <n v="286"/>
    <n v="54"/>
  </r>
  <r>
    <n v="845"/>
    <x v="2"/>
    <x v="86"/>
    <s v="eth1/47"/>
    <x v="0"/>
    <x v="0"/>
    <x v="0"/>
    <s v="LINK_TO_ITHFHWCRMPLCN99 / Slot1.3_30 / Principal"/>
    <x v="0"/>
    <b v="0"/>
    <s v="No está en VPC"/>
    <n v="845"/>
    <s v="INTPG_ACC_845_1.47"/>
    <s v="ISEL-1.47"/>
    <n v="1"/>
    <s v="NO TIENE L3OUT"/>
    <n v="258"/>
    <n v="54"/>
  </r>
  <r>
    <n v="873"/>
    <x v="2"/>
    <x v="87"/>
    <s v="eth1/47"/>
    <x v="0"/>
    <x v="0"/>
    <x v="0"/>
    <s v="To_ITHFHWCRMDLCN39_Redundante"/>
    <x v="0"/>
    <b v="0"/>
    <s v="No está en VPC"/>
    <n v="873"/>
    <s v="INTPG_ACC_873_1.47"/>
    <s v="ISEL-1.47"/>
    <n v="2"/>
    <s v="NO TIENE L3OUT"/>
    <n v="248"/>
    <n v="54"/>
  </r>
  <r>
    <n v="864"/>
    <x v="2"/>
    <x v="88"/>
    <s v="eth1/47"/>
    <x v="0"/>
    <x v="0"/>
    <x v="0"/>
    <s v="To_VPC_2DCBSD_WR51_2"/>
    <x v="0"/>
    <b v="0"/>
    <s v="No está en VPC"/>
    <n v="864"/>
    <s v="INTPG_VPC_859_1.47_864_1.47"/>
    <s v="ISEL-1.47"/>
    <n v="1"/>
    <s v="NO TIENE L3OUT"/>
    <n v="0"/>
    <n v="54"/>
  </r>
  <r>
    <n v="836"/>
    <x v="2"/>
    <x v="89"/>
    <s v="eth1/47"/>
    <x v="0"/>
    <x v="0"/>
    <x v="0"/>
    <s v="LINK_TO_ITHFHWCBSPSHD30 / Slot1.1_24 / Principal"/>
    <x v="0"/>
    <b v="0"/>
    <s v="No está en VPC"/>
    <n v="836"/>
    <s v="INTPG_VPC_836_1.47_841_1.47"/>
    <s v="ISEL-1.47"/>
    <n v="2"/>
    <s v="NO TIENE L3OUT"/>
    <n v="0"/>
    <n v="54"/>
  </r>
  <r>
    <n v="834"/>
    <x v="2"/>
    <x v="90"/>
    <s v="eth1/47"/>
    <x v="0"/>
    <x v="0"/>
    <x v="0"/>
    <s v="LINK_HACIA_MGMT"/>
    <x v="0"/>
    <b v="0"/>
    <s v="No está en VPC"/>
    <n v="834"/>
    <s v="INTPG_VPC_MGMT_20919_834_1.47_839_1.48"/>
    <s v="ISEL-1.47"/>
    <n v="5"/>
    <s v="NO TIENE L3OUT"/>
    <n v="0"/>
    <n v="54"/>
  </r>
  <r>
    <n v="872"/>
    <x v="2"/>
    <x v="91"/>
    <s v="eth1/47"/>
    <x v="0"/>
    <x v="0"/>
    <x v="0"/>
    <s v="TO_ITHFHWCRMDLCN52_Principal"/>
    <x v="0"/>
    <b v="0"/>
    <s v="No está en VPC"/>
    <n v="872"/>
    <s v="INTPG_ACC_872_1.47"/>
    <s v="ISEL-1.47"/>
    <n v="1"/>
    <s v="NO TIENE L3OUT"/>
    <n v="288"/>
    <n v="54"/>
  </r>
  <r>
    <n v="842"/>
    <x v="2"/>
    <x v="92"/>
    <s v="eth1/47"/>
    <x v="0"/>
    <x v="0"/>
    <x v="0"/>
    <s v="LINK_To_ITHFHWCBSPSHD23 / Slot7.3_22 / Redundante"/>
    <x v="0"/>
    <b v="0"/>
    <s v="No está en VPC"/>
    <n v="842"/>
    <s v="INTPG_VPC_837_1.47_842_1.47"/>
    <s v="ISEL-1.47"/>
    <n v="1"/>
    <s v="NO TIENE L3OUT"/>
    <n v="8"/>
    <n v="54"/>
  </r>
  <r>
    <n v="828"/>
    <x v="2"/>
    <x v="93"/>
    <s v="eth1/47"/>
    <x v="0"/>
    <x v="0"/>
    <x v="0"/>
    <s v="To_ITHFHWCRMDLCN42_Principal"/>
    <x v="0"/>
    <b v="0"/>
    <s v="No está en VPC"/>
    <n v="828"/>
    <s v="INTPG_ACC_828_1.47"/>
    <s v="ISEL-1.47"/>
    <n v="1"/>
    <s v="NO TIENE L3OUT"/>
    <n v="192"/>
    <n v="54"/>
  </r>
  <r>
    <n v="870"/>
    <x v="2"/>
    <x v="94"/>
    <s v="eth1/47"/>
    <x v="0"/>
    <x v="0"/>
    <x v="0"/>
    <s v="To_ITHFHWCRMDLCN39_Principal"/>
    <x v="0"/>
    <b v="0"/>
    <s v="No está en VPC"/>
    <n v="870"/>
    <s v="INTPG_ACC_870_1.47"/>
    <s v="ISEL-1.47"/>
    <n v="2"/>
    <s v="NO TIENE L3OUT"/>
    <n v="248"/>
    <n v="54"/>
  </r>
  <r>
    <n v="866"/>
    <x v="2"/>
    <x v="95"/>
    <s v="eth1/47"/>
    <x v="0"/>
    <x v="0"/>
    <x v="0"/>
    <s v="To_VPC_2DCBSD_WR37_1"/>
    <x v="0"/>
    <b v="0"/>
    <s v="No está en VPC"/>
    <n v="866"/>
    <s v="INTPG_VPC_861_1.47_866_1.47"/>
    <s v="ISEL-1.47"/>
    <n v="2"/>
    <s v="NO TIENE L3OUT"/>
    <n v="8"/>
    <n v="54"/>
  </r>
  <r>
    <n v="862"/>
    <x v="2"/>
    <x v="96"/>
    <s v="eth1/47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47"/>
    <x v="0"/>
    <x v="0"/>
    <x v="0"/>
    <s v="VPC_2DCRMP_BDA11_1"/>
    <x v="0"/>
    <b v="0"/>
    <s v="No está en VPC"/>
    <n v="855"/>
    <s v="INTPG_VPC_855_1.47_848_1.47"/>
    <s v="ISEL-1.47"/>
    <n v="5"/>
    <s v="NO TIENE L3OUT"/>
    <n v="254"/>
    <n v="54"/>
  </r>
  <r>
    <n v="871"/>
    <x v="2"/>
    <x v="98"/>
    <s v="eth1/47"/>
    <x v="0"/>
    <x v="0"/>
    <x v="0"/>
    <s v="LINK_HACIA_MGMT"/>
    <x v="0"/>
    <b v="0"/>
    <s v="No está en VPC"/>
    <n v="871"/>
    <s v="INTPG_VPC_MGMT_11418_871_1.47_868_1.48"/>
    <s v="ISEL-1.47"/>
    <n v="2"/>
    <s v="NO TIENE L3OUT"/>
    <n v="246"/>
    <n v="54"/>
  </r>
  <r>
    <n v="841"/>
    <x v="2"/>
    <x v="99"/>
    <s v="eth1/47"/>
    <x v="0"/>
    <x v="0"/>
    <x v="0"/>
    <s v="LINK_TO_ITHFHWCBSPSHD30 / Slot7.1_24 / Redundante"/>
    <x v="0"/>
    <b v="0"/>
    <s v="No está en VPC"/>
    <n v="841"/>
    <s v="INTPG_VPC_836_1.47_841_1.47"/>
    <s v="ISEL-1.47"/>
    <n v="2"/>
    <s v="NO TIENE L3OUT"/>
    <n v="0"/>
    <n v="54"/>
  </r>
  <r>
    <n v="868"/>
    <x v="2"/>
    <x v="100"/>
    <s v="eth1/47"/>
    <x v="0"/>
    <x v="0"/>
    <x v="0"/>
    <s v="LINK_HACIA_MGMT"/>
    <x v="0"/>
    <b v="0"/>
    <s v="No está en VPC"/>
    <n v="868"/>
    <s v="INTPG_VPC_MGMT_11318_868_1.47_871_1.48"/>
    <s v="ISEL-1.47"/>
    <n v="2"/>
    <s v="NO TIENE L3OUT"/>
    <n v="246"/>
    <n v="54"/>
  </r>
  <r>
    <n v="869"/>
    <x v="2"/>
    <x v="101"/>
    <s v="eth1/47"/>
    <x v="0"/>
    <x v="0"/>
    <x v="0"/>
    <s v="TO_ITHFHWCRMDLCN52_Redundante"/>
    <x v="0"/>
    <b v="0"/>
    <s v="No está en VPC"/>
    <n v="869"/>
    <s v="INTPG_ACC_869_1.47"/>
    <s v="ISEL-1.47"/>
    <n v="1"/>
    <s v="NO TIENE L3OUT"/>
    <n v="288"/>
    <n v="54"/>
  </r>
  <r>
    <n v="861"/>
    <x v="2"/>
    <x v="102"/>
    <s v="eth1/47"/>
    <x v="0"/>
    <x v="0"/>
    <x v="0"/>
    <s v="To_VPC_2DCBSD_WR37_1"/>
    <x v="0"/>
    <b v="0"/>
    <s v="No está en VPC"/>
    <n v="861"/>
    <s v="INTPG_VPC_861_1.47_866_1.47"/>
    <s v="ISEL-1.47"/>
    <n v="2"/>
    <s v="NO TIENE L3OUT"/>
    <n v="8"/>
    <n v="54"/>
  </r>
  <r>
    <n v="874"/>
    <x v="2"/>
    <x v="103"/>
    <s v="eth1/47"/>
    <x v="0"/>
    <x v="0"/>
    <x v="0"/>
    <s v="LINK_HACIA_MGMT"/>
    <x v="4"/>
    <b v="0"/>
    <s v="No está en VPC"/>
    <n v="874"/>
    <s v="INTPG_VPC_MGMT_20919_874_1.47_876_1.48"/>
    <s v="ISEL-1.47"/>
    <n v="3"/>
    <s v="NO TIENE L3OUT"/>
    <n v="92"/>
    <n v="54"/>
  </r>
  <r>
    <n v="865"/>
    <x v="2"/>
    <x v="104"/>
    <s v="eth1/47"/>
    <x v="0"/>
    <x v="0"/>
    <x v="0"/>
    <s v="To_VPC_2DCBSD_WR41_2"/>
    <x v="0"/>
    <b v="0"/>
    <s v="No está en VPC"/>
    <n v="865"/>
    <s v="INTPG_VPC_860_1.47_865_1.47"/>
    <s v="ISEL-1.47"/>
    <n v="1"/>
    <s v="NO TIENE L3OUT"/>
    <n v="0"/>
    <n v="54"/>
  </r>
  <r>
    <n v="753"/>
    <x v="2"/>
    <x v="105"/>
    <s v="eth1/47"/>
    <x v="0"/>
    <x v="0"/>
    <x v="0"/>
    <s v="MGMT OSS FASE 2"/>
    <x v="0"/>
    <b v="0"/>
    <s v="No está en VPC"/>
    <n v="753"/>
    <s v="INTPG_VPC_MGMT_10103_753_1.47_754_1.48"/>
    <s v="ISEL-1.47"/>
    <n v="18"/>
    <s v="NO TIENE L3OUT"/>
    <n v="62"/>
    <n v="54"/>
  </r>
  <r>
    <n v="708"/>
    <x v="2"/>
    <x v="106"/>
    <s v="eth1/47"/>
    <x v="0"/>
    <x v="0"/>
    <x v="0"/>
    <m/>
    <x v="0"/>
    <b v="0"/>
    <s v="No está en VPC"/>
    <n v="708"/>
    <s v="INTPG-VPC_MGMT-10211_708_1.47_709_1.48"/>
    <s v="ISEL-1.47"/>
    <n v="3"/>
    <s v="NO TIENE L3OUT"/>
    <n v="0"/>
    <n v="54"/>
  </r>
  <r>
    <n v="710"/>
    <x v="2"/>
    <x v="107"/>
    <s v="eth1/47"/>
    <x v="0"/>
    <x v="0"/>
    <x v="0"/>
    <m/>
    <x v="0"/>
    <b v="0"/>
    <s v="No está en VPC"/>
    <n v="710"/>
    <s v="INTPG-VPC_MGMT-10213_710_1.47_711_1.48"/>
    <s v="ISEL-1.47"/>
    <n v="3"/>
    <s v="NO TIENE L3OUT"/>
    <n v="16"/>
    <n v="54"/>
  </r>
  <r>
    <n v="713"/>
    <x v="2"/>
    <x v="108"/>
    <s v="eth1/47"/>
    <x v="0"/>
    <x v="0"/>
    <x v="0"/>
    <m/>
    <x v="0"/>
    <b v="0"/>
    <s v="No está en VPC"/>
    <n v="713"/>
    <s v="INTPG-VPC_MGMT-10217_713_1.47_712_1.48"/>
    <s v="ISEL-1.47"/>
    <n v="7"/>
    <s v="NO TIENE L3OUT"/>
    <n v="32"/>
    <n v="54"/>
  </r>
  <r>
    <n v="735"/>
    <x v="2"/>
    <x v="109"/>
    <s v="eth1/47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47"/>
    <x v="0"/>
    <x v="0"/>
    <x v="0"/>
    <m/>
    <x v="0"/>
    <b v="0"/>
    <s v="No está en VPC"/>
    <n v="731"/>
    <s v="INTPG-VPC_MGMT-10416_731_1.47_730_1.48"/>
    <s v="ISEL-1.47"/>
    <n v="3"/>
    <s v="NO TIENE L3OUT"/>
    <n v="38"/>
    <n v="54"/>
  </r>
  <r>
    <n v="703"/>
    <x v="2"/>
    <x v="111"/>
    <s v="eth1/47"/>
    <x v="0"/>
    <x v="0"/>
    <x v="0"/>
    <m/>
    <x v="0"/>
    <b v="0"/>
    <s v="No está en VPC"/>
    <n v="703"/>
    <s v="INTPG-VPC_MGMT-10112_703_1.47_704_1.48"/>
    <s v="ISEL-1.47"/>
    <n v="4"/>
    <s v="NO TIENE L3OUT"/>
    <n v="2"/>
    <n v="54"/>
  </r>
  <r>
    <n v="706"/>
    <x v="2"/>
    <x v="112"/>
    <s v="eth1/47"/>
    <x v="0"/>
    <x v="0"/>
    <x v="0"/>
    <m/>
    <x v="0"/>
    <b v="0"/>
    <s v="No está en VPC"/>
    <n v="706"/>
    <s v="INTPG-VPC_MGMT-10118_706_1.47_705_1.48"/>
    <s v="ISEL-1.47"/>
    <n v="6"/>
    <s v="NO TIENE L3OUT"/>
    <n v="16"/>
    <n v="54"/>
  </r>
  <r>
    <n v="762"/>
    <x v="2"/>
    <x v="113"/>
    <s v="eth1/47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47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47"/>
    <x v="0"/>
    <x v="0"/>
    <x v="0"/>
    <s v="LINK_HACIA_MGMT"/>
    <x v="0"/>
    <b v="0"/>
    <s v="No está en VPC"/>
    <n v="826"/>
    <s v="INTPG_VPC_MGMT_11318_826_1.47_830_1.48"/>
    <s v="ISEL-1.47"/>
    <n v="5"/>
    <s v="NO TIENE L3OUT"/>
    <n v="12"/>
    <n v="54"/>
  </r>
  <r>
    <n v="726"/>
    <x v="2"/>
    <x v="117"/>
    <s v="eth1/47"/>
    <x v="0"/>
    <x v="0"/>
    <x v="0"/>
    <m/>
    <x v="0"/>
    <b v="0"/>
    <s v="No está en VPC"/>
    <n v="726"/>
    <s v="INTPG-VPC_MGMT-20217_726_1.47_727_1.48"/>
    <s v="ISEL-1.47"/>
    <n v="5"/>
    <s v="NO TIENE L3OUT"/>
    <n v="0"/>
    <n v="54"/>
  </r>
  <r>
    <n v="740"/>
    <x v="2"/>
    <x v="118"/>
    <s v="eth1/47"/>
    <x v="0"/>
    <x v="1"/>
    <x v="1"/>
    <m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47"/>
    <x v="0"/>
    <x v="0"/>
    <x v="0"/>
    <s v="LINK_HACIA_MGMT"/>
    <x v="0"/>
    <b v="0"/>
    <s v="No está en VPC"/>
    <n v="705"/>
    <s v="INTPG-VPC_MGMT-10117_705_1.47_706_1.48"/>
    <s v="ISEL-1.47"/>
    <n v="6"/>
    <s v="NO TIENE L3OUT"/>
    <n v="16"/>
    <n v="54"/>
  </r>
  <r>
    <n v="723"/>
    <x v="2"/>
    <x v="120"/>
    <s v="eth1/47"/>
    <x v="0"/>
    <x v="0"/>
    <x v="0"/>
    <m/>
    <x v="0"/>
    <b v="0"/>
    <s v="No está en VPC"/>
    <n v="723"/>
    <s v="INTPG-VPC_MGMT-20213_723_1.47_722_1.48"/>
    <s v="ISEL-1.47"/>
    <n v="3"/>
    <s v="NO TIENE L3OUT"/>
    <n v="0"/>
    <n v="54"/>
  </r>
  <r>
    <n v="721"/>
    <x v="2"/>
    <x v="121"/>
    <s v="eth1/47"/>
    <x v="0"/>
    <x v="0"/>
    <x v="0"/>
    <m/>
    <x v="0"/>
    <b v="0"/>
    <s v="No está en VPC"/>
    <n v="721"/>
    <s v="INTPG-VPC_MGMT-20210_721_1.47_714_1.48"/>
    <s v="ISEL-1.47"/>
    <n v="4"/>
    <s v="NO TIENE L3OUT"/>
    <n v="20"/>
    <n v="54"/>
  </r>
  <r>
    <n v="788"/>
    <x v="2"/>
    <x v="122"/>
    <s v="eth1/47"/>
    <x v="0"/>
    <x v="0"/>
    <x v="0"/>
    <s v="TAISHAN"/>
    <x v="0"/>
    <b v="0"/>
    <s v="No está en VPC"/>
    <n v="788"/>
    <s v="INTPG_VPC_MGMT_10204_788_1.47_789_1.48"/>
    <s v="ISEL-1.47"/>
    <n v="3"/>
    <s v="NO TIENE L3OUT"/>
    <n v="4"/>
    <n v="54"/>
  </r>
  <r>
    <n v="732"/>
    <x v="2"/>
    <x v="123"/>
    <s v="eth1/47"/>
    <x v="0"/>
    <x v="0"/>
    <x v="0"/>
    <m/>
    <x v="0"/>
    <b v="0"/>
    <s v="No está en VPC"/>
    <n v="732"/>
    <s v="INTPG-VPC_MGMT-10318_732_1.47_733_1.48"/>
    <s v="ISEL-1.47"/>
    <n v="3"/>
    <s v="NO TIENE L3OUT"/>
    <n v="0"/>
    <n v="54"/>
  </r>
  <r>
    <n v="720"/>
    <x v="2"/>
    <x v="124"/>
    <s v="eth1/47"/>
    <x v="0"/>
    <x v="0"/>
    <x v="0"/>
    <m/>
    <x v="0"/>
    <b v="0"/>
    <s v="No está en VPC"/>
    <n v="720"/>
    <s v="INTPG-VPC_MGMT-20119_720_1.47_719_1.48"/>
    <s v="ISEL-1.47"/>
    <n v="6"/>
    <s v="NO TIENE L3OUT"/>
    <n v="0"/>
    <n v="54"/>
  </r>
  <r>
    <n v="709"/>
    <x v="2"/>
    <x v="125"/>
    <s v="eth1/47"/>
    <x v="0"/>
    <x v="0"/>
    <x v="0"/>
    <m/>
    <x v="0"/>
    <b v="0"/>
    <s v="No está en VPC"/>
    <n v="709"/>
    <s v="INTPG-VPC_MGMT-10212_709_1.47_708_1.48"/>
    <s v="ISEL-1.47"/>
    <n v="3"/>
    <s v="NO TIENE L3OUT"/>
    <n v="0"/>
    <n v="54"/>
  </r>
  <r>
    <n v="454"/>
    <x v="1"/>
    <x v="126"/>
    <s v="eth1/47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47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47"/>
    <x v="0"/>
    <x v="0"/>
    <x v="0"/>
    <m/>
    <x v="0"/>
    <b v="0"/>
    <s v="No está en VPC"/>
    <n v="743"/>
    <s v="INTPG_VPC_MGMT_10313_743_1.47_744_1.48"/>
    <s v="ISEL-1.47"/>
    <n v="6"/>
    <s v="NO TIENE L3OUT"/>
    <n v="4"/>
    <n v="54"/>
  </r>
  <r>
    <n v="718"/>
    <x v="2"/>
    <x v="130"/>
    <s v="eth1/47"/>
    <x v="0"/>
    <x v="0"/>
    <x v="0"/>
    <m/>
    <x v="0"/>
    <b v="0"/>
    <s v="No está en VPC"/>
    <n v="718"/>
    <s v="INTPG-VPC_MGMT-20116_718_1.47_717_1.48"/>
    <s v="ISEL-1.47"/>
    <n v="3"/>
    <s v="NO TIENE L3OUT"/>
    <n v="0"/>
    <n v="54"/>
  </r>
  <r>
    <n v="744"/>
    <x v="2"/>
    <x v="131"/>
    <s v="eth1/47"/>
    <x v="0"/>
    <x v="0"/>
    <x v="0"/>
    <m/>
    <x v="0"/>
    <b v="0"/>
    <s v="No está en VPC"/>
    <n v="744"/>
    <s v="INTPG_VPC_MGMT_10312_744_1.47_743_1.48"/>
    <s v="ISEL-1.47"/>
    <n v="4"/>
    <s v="NO TIENE L3OUT"/>
    <n v="4"/>
    <n v="54"/>
  </r>
  <r>
    <n v="741"/>
    <x v="2"/>
    <x v="132"/>
    <s v="eth1/47"/>
    <x v="0"/>
    <x v="1"/>
    <x v="1"/>
    <m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47"/>
    <x v="0"/>
    <x v="0"/>
    <x v="0"/>
    <s v="ENIQ F2"/>
    <x v="0"/>
    <b v="0"/>
    <s v="No está en VPC"/>
    <n v="787"/>
    <s v="INTPG_VPC_MGMT_20412_787_1.47_786_1.48"/>
    <s v="ISEL-1.47"/>
    <n v="17"/>
    <s v="NO TIENE L3OUT"/>
    <n v="26"/>
    <n v="54"/>
  </r>
  <r>
    <n v="750"/>
    <x v="2"/>
    <x v="134"/>
    <s v="eth1/47"/>
    <x v="0"/>
    <x v="0"/>
    <x v="0"/>
    <m/>
    <x v="0"/>
    <b v="0"/>
    <s v="No está en VPC"/>
    <n v="750"/>
    <s v="INTPG_VPC_MGMT_10411_750_1.47_751_1.48"/>
    <s v="ISEL-1.47"/>
    <n v="4"/>
    <s v="NO TIENE L3OUT"/>
    <n v="2"/>
    <n v="54"/>
  </r>
  <r>
    <n v="792"/>
    <x v="2"/>
    <x v="135"/>
    <s v="eth1/47"/>
    <x v="0"/>
    <x v="0"/>
    <x v="0"/>
    <s v="CRM_CBS"/>
    <x v="0"/>
    <b v="0"/>
    <s v="No está en VPC"/>
    <n v="792"/>
    <s v="INTPG_VPC_MGMT_10403_792_1.47_757_1.48"/>
    <s v="ISEL-1.47"/>
    <n v="4"/>
    <s v="NO TIENE L3OUT"/>
    <n v="0"/>
    <n v="54"/>
  </r>
  <r>
    <n v="736"/>
    <x v="2"/>
    <x v="136"/>
    <s v="eth1/47"/>
    <x v="0"/>
    <x v="1"/>
    <x v="3"/>
    <m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47"/>
    <x v="0"/>
    <x v="0"/>
    <x v="0"/>
    <s v="LINK_HACIA_MGMT"/>
    <x v="0"/>
    <b v="0"/>
    <s v="No está en VPC"/>
    <n v="799"/>
    <s v="INTPG_VPC_MGMT_10507_799_1.47_798_1.48"/>
    <s v="ISEL-1.47"/>
    <n v="6"/>
    <s v="NO TIENE L3OUT"/>
    <n v="52"/>
    <n v="54"/>
  </r>
  <r>
    <n v="768"/>
    <x v="2"/>
    <x v="138"/>
    <s v="eth1/47"/>
    <x v="0"/>
    <x v="0"/>
    <x v="0"/>
    <s v="MGMT OSS POD3"/>
    <x v="0"/>
    <b v="0"/>
    <s v="No está en VPC"/>
    <n v="768"/>
    <s v="INTPG_VPC_MGMT_20313_768_1.47_767_1.48"/>
    <s v="ISEL-1.47"/>
    <n v="8"/>
    <s v="NO TIENE L3OUT"/>
    <n v="62"/>
    <n v="54"/>
  </r>
  <r>
    <n v="714"/>
    <x v="2"/>
    <x v="139"/>
    <s v="eth1/47"/>
    <x v="0"/>
    <x v="0"/>
    <x v="0"/>
    <m/>
    <x v="0"/>
    <b v="0"/>
    <s v="No está en VPC"/>
    <n v="714"/>
    <s v="INTPG-VPC_MGMT-20110_714_1.47_721_1.48"/>
    <s v="ISEL-1.47"/>
    <n v="3"/>
    <s v="NO TIENE L3OUT"/>
    <n v="20"/>
    <n v="54"/>
  </r>
  <r>
    <n v="717"/>
    <x v="2"/>
    <x v="140"/>
    <s v="eth1/47"/>
    <x v="0"/>
    <x v="0"/>
    <x v="0"/>
    <m/>
    <x v="0"/>
    <b v="0"/>
    <s v="No está en VPC"/>
    <n v="717"/>
    <s v="INTPG-VPC_MGMT-20115_717_1.47_718_1.48"/>
    <s v="ISEL-1.47"/>
    <n v="3"/>
    <s v="NO TIENE L3OUT"/>
    <n v="0"/>
    <n v="54"/>
  </r>
  <r>
    <n v="789"/>
    <x v="2"/>
    <x v="141"/>
    <s v="eth1/47"/>
    <x v="0"/>
    <x v="0"/>
    <x v="0"/>
    <s v="TAISHAN"/>
    <x v="0"/>
    <b v="0"/>
    <s v="No está en VPC"/>
    <n v="789"/>
    <s v="INTPG_VPC_MGMT_10206_789_1.47_788_1.48"/>
    <s v="ISEL-1.47"/>
    <n v="1"/>
    <s v="NO TIENE L3OUT"/>
    <n v="0"/>
    <n v="54"/>
  </r>
  <r>
    <n v="764"/>
    <x v="2"/>
    <x v="142"/>
    <s v="eth1/47"/>
    <x v="0"/>
    <x v="0"/>
    <x v="0"/>
    <s v="MGMT OSS POD3"/>
    <x v="0"/>
    <b v="0"/>
    <s v="No está en VPC"/>
    <n v="764"/>
    <s v="INTPG_VPC_MGMT_20319_764_1.47_769_1.48"/>
    <s v="ISEL-1.47"/>
    <n v="13"/>
    <s v="NO TIENE L3OUT"/>
    <n v="62"/>
    <n v="54"/>
  </r>
  <r>
    <n v="783"/>
    <x v="2"/>
    <x v="143"/>
    <s v="eth1/47"/>
    <x v="0"/>
    <x v="0"/>
    <x v="0"/>
    <s v="ENIQ F2"/>
    <x v="0"/>
    <b v="0"/>
    <s v="No está en VPC"/>
    <n v="783"/>
    <s v="INTPG_VPC_MGMT_20310_783_1.47_782_1.48"/>
    <s v="ISEL-1.47"/>
    <n v="9"/>
    <s v="NO TIENE L3OUT"/>
    <n v="26"/>
    <n v="54"/>
  </r>
  <r>
    <n v="774"/>
    <x v="2"/>
    <x v="144"/>
    <s v="eth1/47"/>
    <x v="0"/>
    <x v="0"/>
    <x v="0"/>
    <s v="MGMT CLOUD II"/>
    <x v="0"/>
    <b v="0"/>
    <s v="No está en VPC"/>
    <n v="774"/>
    <s v="INTPG_VPC_MGMT_20104_774_1.47_775_1.48"/>
    <s v="ISEL-1.47"/>
    <n v="4"/>
    <s v="NO TIENE L3OUT"/>
    <n v="0"/>
    <n v="54"/>
  </r>
  <r>
    <n v="773"/>
    <x v="2"/>
    <x v="145"/>
    <s v="eth1/47"/>
    <x v="0"/>
    <x v="0"/>
    <x v="0"/>
    <s v="MGMT OSS POD3"/>
    <x v="0"/>
    <b v="0"/>
    <s v="No está en VPC"/>
    <n v="773"/>
    <s v="INTPG_VPC_MGMT_20413_773_1.47_772_1.48"/>
    <s v="ISEL-1.47"/>
    <n v="5"/>
    <s v="NO TIENE L3OUT"/>
    <n v="78"/>
    <n v="54"/>
  </r>
  <r>
    <n v="794"/>
    <x v="2"/>
    <x v="146"/>
    <s v="eth1/47"/>
    <x v="0"/>
    <x v="0"/>
    <x v="0"/>
    <s v="LINK_HACIA_MGMT"/>
    <x v="0"/>
    <b v="0"/>
    <s v="No está en VPC"/>
    <n v="794"/>
    <s v="INTPG_VPC_MGMT_20713_794_1.47_793_1.48"/>
    <s v="ISEL-1.47"/>
    <n v="5"/>
    <s v="NO TIENE L3OUT"/>
    <n v="12"/>
    <n v="54"/>
  </r>
  <r>
    <n v="803"/>
    <x v="2"/>
    <x v="147"/>
    <s v="eth1/47"/>
    <x v="0"/>
    <x v="0"/>
    <x v="0"/>
    <s v="LINK_HACIA_MGMT"/>
    <x v="0"/>
    <b v="0"/>
    <s v="No está en VPC"/>
    <n v="803"/>
    <s v="INTPG_VPC_MGMT_10605_803_1.47_804_1.48"/>
    <s v="ISEL-1.47"/>
    <n v="4"/>
    <s v="NO TIENE L3OUT"/>
    <n v="48"/>
    <n v="54"/>
  </r>
  <r>
    <n v="786"/>
    <x v="2"/>
    <x v="148"/>
    <s v="eth1/47"/>
    <x v="0"/>
    <x v="0"/>
    <x v="0"/>
    <s v="ENIQ F2"/>
    <x v="0"/>
    <b v="0"/>
    <s v="No está en VPC"/>
    <n v="786"/>
    <s v="INTPG_VPC_MGMT_20410_786_1.47_787_1.48"/>
    <s v="ISEL-1.47"/>
    <n v="16"/>
    <s v="NO TIENE L3OUT"/>
    <n v="26"/>
    <n v="54"/>
  </r>
  <r>
    <n v="757"/>
    <x v="2"/>
    <x v="149"/>
    <s v="eth1/47"/>
    <x v="0"/>
    <x v="0"/>
    <x v="0"/>
    <s v="CRM_CBS"/>
    <x v="0"/>
    <b v="0"/>
    <s v="No está en VPC"/>
    <n v="757"/>
    <s v="INTPG_VPC_MGMT_10406_757_1.47_792_1.48"/>
    <s v="ISEL-1.47"/>
    <n v="4"/>
    <s v="NO TIENE L3OUT"/>
    <n v="0"/>
    <n v="54"/>
  </r>
  <r>
    <n v="781"/>
    <x v="2"/>
    <x v="150"/>
    <s v="eth1/47"/>
    <x v="0"/>
    <x v="0"/>
    <x v="0"/>
    <s v="ENIQ F2"/>
    <x v="0"/>
    <b v="0"/>
    <s v="No está en VPC"/>
    <n v="781"/>
    <s v="INTPG_VPC_MGMT_20307_781_1.47_780_1.48"/>
    <s v="ISEL-1.47"/>
    <n v="8"/>
    <s v="NO TIENE L3OUT"/>
    <n v="26"/>
    <n v="54"/>
  </r>
  <r>
    <n v="793"/>
    <x v="2"/>
    <x v="151"/>
    <s v="eth1/47"/>
    <x v="0"/>
    <x v="0"/>
    <x v="0"/>
    <s v="LINK_HACIA_MGMT"/>
    <x v="0"/>
    <b v="0"/>
    <s v="No está en VPC"/>
    <n v="793"/>
    <s v="INTPG_VPC_MGMT_20712_793_1.47_794_1.48"/>
    <s v="ISEL-1.47"/>
    <n v="6"/>
    <s v="NO TIENE L3OUT"/>
    <n v="12"/>
    <n v="54"/>
  </r>
  <r>
    <n v="747"/>
    <x v="2"/>
    <x v="152"/>
    <s v="eth1/47"/>
    <x v="0"/>
    <x v="0"/>
    <x v="0"/>
    <m/>
    <x v="0"/>
    <b v="0"/>
    <s v="No está en VPC"/>
    <n v="747"/>
    <s v="INTPG_VPC_MGMT_10307_747_1.47_752_1.48"/>
    <s v="ISEL-1.47"/>
    <n v="5"/>
    <s v="NO TIENE L3OUT"/>
    <n v="0"/>
    <n v="54"/>
  </r>
  <r>
    <n v="784"/>
    <x v="2"/>
    <x v="153"/>
    <s v="eth1/47"/>
    <x v="0"/>
    <x v="0"/>
    <x v="0"/>
    <s v="ENIQ F2"/>
    <x v="0"/>
    <b v="0"/>
    <s v="No está en VPC"/>
    <n v="784"/>
    <s v="INTPG_VPC_MGMT_20407_784_1.47_785_1.48"/>
    <s v="ISEL-1.47"/>
    <n v="12"/>
    <s v="NO TIENE L3OUT"/>
    <n v="26"/>
    <n v="54"/>
  </r>
  <r>
    <n v="806"/>
    <x v="2"/>
    <x v="154"/>
    <s v="eth1/47"/>
    <x v="0"/>
    <x v="0"/>
    <x v="0"/>
    <s v="LINK_HACIA_MGMT"/>
    <x v="0"/>
    <b v="0"/>
    <s v="No está en VPC"/>
    <n v="806"/>
    <s v="INTPG_VPC_MGMT_10611_806_1.47_805_1.48"/>
    <s v="ISEL-1.47"/>
    <n v="6"/>
    <s v="NO TIENE L3OUT"/>
    <n v="44"/>
    <n v="54"/>
  </r>
  <r>
    <n v="777"/>
    <x v="2"/>
    <x v="155"/>
    <s v="eth1/47"/>
    <x v="0"/>
    <x v="0"/>
    <x v="0"/>
    <s v="MGMT CLOUD II"/>
    <x v="0"/>
    <b v="0"/>
    <s v="No está en VPC"/>
    <n v="777"/>
    <s v="INTPG_VPC_MGMT_20109_777_1.47_776_1.48"/>
    <s v="ISEL-1.47"/>
    <n v="3"/>
    <s v="NO TIENE L3OUT"/>
    <n v="0"/>
    <n v="54"/>
  </r>
  <r>
    <n v="770"/>
    <x v="2"/>
    <x v="156"/>
    <s v="eth1/47"/>
    <x v="0"/>
    <x v="0"/>
    <x v="0"/>
    <s v="MGMT OSS POD3"/>
    <x v="0"/>
    <b v="0"/>
    <s v="No está en VPC"/>
    <n v="770"/>
    <s v="INTPG_VPC_MGMT_20418_770_1.47_771_1.48"/>
    <s v="ISEL-1.47"/>
    <n v="10"/>
    <s v="NO TIENE L3OUT"/>
    <n v="60"/>
    <n v="54"/>
  </r>
  <r>
    <n v="813"/>
    <x v="2"/>
    <x v="157"/>
    <s v="eth1/47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47"/>
    <x v="0"/>
    <x v="1"/>
    <x v="1"/>
    <m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47"/>
    <x v="0"/>
    <x v="0"/>
    <x v="0"/>
    <s v="MGMT CLOUD II"/>
    <x v="0"/>
    <b v="0"/>
    <s v="No está en VPC"/>
    <n v="775"/>
    <s v="INTPG_VPC_MGMT_20105_775_1.47_774_1.48"/>
    <s v="ISEL-1.47"/>
    <n v="4"/>
    <s v="NO TIENE L3OUT"/>
    <n v="0"/>
    <n v="54"/>
  </r>
  <r>
    <n v="791"/>
    <x v="2"/>
    <x v="160"/>
    <s v="eth1/47"/>
    <x v="0"/>
    <x v="0"/>
    <x v="0"/>
    <s v="TAISHAN_POD7"/>
    <x v="0"/>
    <b v="0"/>
    <s v="No está en VPC"/>
    <n v="791"/>
    <s v="INTPG_VPC_MGMT_20816_791_1.47_790_1.48"/>
    <s v="ISEL-1.47"/>
    <n v="7"/>
    <s v="NO TIENE L3OUT"/>
    <n v="20"/>
    <n v="54"/>
  </r>
  <r>
    <n v="808"/>
    <x v="2"/>
    <x v="161"/>
    <s v="eth1/47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47"/>
    <x v="0"/>
    <x v="0"/>
    <x v="0"/>
    <s v="LINK_HACIA_MGMT"/>
    <x v="0"/>
    <b v="0"/>
    <s v="No está en VPC"/>
    <n v="830"/>
    <s v="INTPG_VPC_MGMT_11418_830_1.47_826_1.48"/>
    <s v="ISEL-1.47"/>
    <n v="5"/>
    <s v="NO TIENE L3OUT"/>
    <n v="12"/>
    <n v="54"/>
  </r>
  <r>
    <n v="821"/>
    <x v="2"/>
    <x v="163"/>
    <s v="eth1/47"/>
    <x v="0"/>
    <x v="0"/>
    <x v="0"/>
    <s v="LINK_HACIA_MGMT"/>
    <x v="0"/>
    <b v="0"/>
    <s v="No está en VPC"/>
    <n v="821"/>
    <s v="INTPG_VPC_MGMT_11018_821_1.47_816_1.48"/>
    <s v="ISEL-1.47"/>
    <n v="4"/>
    <s v="NO TIENE L3OUT"/>
    <n v="0"/>
    <n v="54"/>
  </r>
  <r>
    <n v="738"/>
    <x v="2"/>
    <x v="164"/>
    <s v="eth1/47"/>
    <x v="0"/>
    <x v="1"/>
    <x v="1"/>
    <m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47"/>
    <x v="0"/>
    <x v="1"/>
    <x v="3"/>
    <m/>
    <x v="0"/>
    <b v="0"/>
    <s v="No está en VPC"/>
    <n v="820"/>
    <s v="NO EXISTE PG"/>
    <s v="NO EXISTE ISEL"/>
    <n v="0"/>
    <s v="NO TIENE L3OUT"/>
    <n v="72"/>
    <n v="54"/>
  </r>
  <r>
    <n v="804"/>
    <x v="2"/>
    <x v="166"/>
    <s v="eth1/47"/>
    <x v="0"/>
    <x v="0"/>
    <x v="0"/>
    <s v="LINK_HACIA_MGMT"/>
    <x v="0"/>
    <b v="0"/>
    <s v="No está en VPC"/>
    <n v="804"/>
    <s v="INTPG_VPC_MGMT_10607_804_1.47_803_1.48"/>
    <s v="ISEL-1.47"/>
    <n v="5"/>
    <s v="NO TIENE L3OUT"/>
    <n v="48"/>
    <n v="54"/>
  </r>
  <r>
    <n v="779"/>
    <x v="2"/>
    <x v="167"/>
    <s v="eth1/47"/>
    <x v="0"/>
    <x v="0"/>
    <x v="0"/>
    <m/>
    <x v="0"/>
    <b v="0"/>
    <s v="No está en VPC"/>
    <n v="779"/>
    <s v="INTPG_VPC_MGMT_20208_779_1.47_778_1.48"/>
    <s v="ISEL-1.47"/>
    <n v="11"/>
    <s v="NO TIENE L3OUT"/>
    <n v="30"/>
    <n v="54"/>
  </r>
  <r>
    <n v="767"/>
    <x v="2"/>
    <x v="168"/>
    <s v="eth1/47"/>
    <x v="0"/>
    <x v="0"/>
    <x v="0"/>
    <s v="MGMT OSS POD3"/>
    <x v="0"/>
    <b v="0"/>
    <s v="No está en VPC"/>
    <n v="767"/>
    <s v="INTPG_VPC_MGMT_20314_767_1.47_768_1.48"/>
    <s v="ISEL-1.47"/>
    <n v="9"/>
    <s v="NO TIENE L3OUT"/>
    <n v="60"/>
    <n v="54"/>
  </r>
  <r>
    <n v="827"/>
    <x v="2"/>
    <x v="169"/>
    <s v="eth1/47"/>
    <x v="0"/>
    <x v="0"/>
    <x v="0"/>
    <s v="To_ITHFHWCRMDLCN40_Principal"/>
    <x v="0"/>
    <b v="0"/>
    <s v="No está en VPC"/>
    <n v="827"/>
    <s v="INTPG_ACC_827_1.47"/>
    <s v="ISEL-1.47"/>
    <n v="2"/>
    <s v="NO TIENE L3OUT"/>
    <n v="14"/>
    <n v="54"/>
  </r>
  <r>
    <n v="809"/>
    <x v="2"/>
    <x v="170"/>
    <s v="eth1/47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47"/>
    <x v="0"/>
    <x v="0"/>
    <x v="0"/>
    <s v="MGMT OSS POD3"/>
    <x v="0"/>
    <b v="0"/>
    <s v="No está en VPC"/>
    <n v="771"/>
    <s v="INTPG_VPC_MGMT_20416_771_1.47_770_1.48"/>
    <s v="ISEL-1.47"/>
    <n v="11"/>
    <s v="NO TIENE L3OUT"/>
    <n v="62"/>
    <n v="54"/>
  </r>
  <r>
    <n v="761"/>
    <x v="2"/>
    <x v="172"/>
    <s v="eth1/47"/>
    <x v="0"/>
    <x v="0"/>
    <x v="0"/>
    <s v="METASAN"/>
    <x v="0"/>
    <b v="0"/>
    <s v="No está en VPC"/>
    <n v="761"/>
    <s v="INTPG_VPC_MGMT_10817_761_1.47_760_1.48"/>
    <s v="ISEL-1.47"/>
    <n v="11"/>
    <s v="NO TIENE L3OUT"/>
    <n v="0"/>
    <n v="54"/>
  </r>
  <r>
    <n v="776"/>
    <x v="2"/>
    <x v="173"/>
    <s v="eth1/47"/>
    <x v="0"/>
    <x v="0"/>
    <x v="0"/>
    <s v="MGMT CLOUD II"/>
    <x v="0"/>
    <b v="0"/>
    <s v="No está en VPC"/>
    <n v="776"/>
    <s v="INTPG_VPC_MGMT_20107_776_1.47_777_1.48"/>
    <s v="ISEL-1.47"/>
    <n v="4"/>
    <s v="NO TIENE L3OUT"/>
    <n v="0"/>
    <n v="54"/>
  </r>
  <r>
    <n v="805"/>
    <x v="2"/>
    <x v="174"/>
    <s v="eth1/47"/>
    <x v="0"/>
    <x v="0"/>
    <x v="0"/>
    <s v="LINK_HACIA_MGMT"/>
    <x v="0"/>
    <b v="0"/>
    <s v="No está en VPC"/>
    <n v="805"/>
    <s v="INTPG_VPC_MGMT_10609_805_1.47_806_1.48"/>
    <s v="ISEL-1.47"/>
    <n v="5"/>
    <s v="NO TIENE L3OUT"/>
    <n v="44"/>
    <n v="54"/>
  </r>
  <r>
    <n v="772"/>
    <x v="2"/>
    <x v="175"/>
    <s v="eth1/47"/>
    <x v="0"/>
    <x v="0"/>
    <x v="0"/>
    <s v="MGMT OSS POD3"/>
    <x v="0"/>
    <b v="0"/>
    <s v="No está en VPC"/>
    <n v="772"/>
    <s v="INTPG_VPC_MGMT_20414_772_1.47_773_1.48"/>
    <s v="ISEL-1.47"/>
    <n v="6"/>
    <s v="NO TIENE L3OUT"/>
    <n v="82"/>
    <n v="54"/>
  </r>
  <r>
    <n v="785"/>
    <x v="2"/>
    <x v="176"/>
    <s v="eth1/47"/>
    <x v="0"/>
    <x v="0"/>
    <x v="0"/>
    <s v="ENIQ F2"/>
    <x v="0"/>
    <b v="0"/>
    <s v="No está en VPC"/>
    <n v="785"/>
    <s v="INTPG_VPC_MGMT_20409_785_1.47_784_1.48"/>
    <s v="ISEL-1.47"/>
    <n v="8"/>
    <s v="NO TIENE L3OUT"/>
    <n v="32"/>
    <n v="54"/>
  </r>
  <r>
    <n v="851"/>
    <x v="2"/>
    <x v="177"/>
    <s v="eth1/47"/>
    <x v="0"/>
    <x v="0"/>
    <x v="0"/>
    <s v="LINK_HACIA_MGMT"/>
    <x v="0"/>
    <b v="0"/>
    <s v="No está en VPC"/>
    <n v="851"/>
    <s v="INTPG_VPC_MGMT_11018_851_1.47_844_1.48"/>
    <s v="ISEL-1.47"/>
    <n v="2"/>
    <s v="NO TIENE L3OUT"/>
    <n v="282"/>
    <n v="54"/>
  </r>
  <r>
    <n v="798"/>
    <x v="2"/>
    <x v="178"/>
    <s v="eth1/47"/>
    <x v="0"/>
    <x v="0"/>
    <x v="0"/>
    <s v="LINK_HACIA_MGMT"/>
    <x v="0"/>
    <b v="0"/>
    <s v="No está en VPC"/>
    <n v="798"/>
    <s v="INTPG_VPC_MGMT_10506_798_1.47_799_1.48"/>
    <s v="ISEL-1.47"/>
    <n v="5"/>
    <s v="NO TIENE L3OUT"/>
    <n v="52"/>
    <n v="54"/>
  </r>
  <r>
    <n v="782"/>
    <x v="2"/>
    <x v="179"/>
    <s v="eth1/47"/>
    <x v="0"/>
    <x v="0"/>
    <x v="0"/>
    <s v="ENIQ F2"/>
    <x v="0"/>
    <b v="0"/>
    <s v="No está en VPC"/>
    <n v="782"/>
    <s v="INTPG_VPC_MGMT_20309_782_1.47_783_1.48"/>
    <s v="ISEL-1.47"/>
    <n v="9"/>
    <s v="NO TIENE L3OUT"/>
    <n v="32"/>
    <n v="54"/>
  </r>
  <r>
    <n v="852"/>
    <x v="2"/>
    <x v="180"/>
    <s v="eth1/47"/>
    <x v="0"/>
    <x v="0"/>
    <x v="0"/>
    <s v="LINK_TO_ITHFHWCRMPLCN99 / Slot7.3_30 / Redundante"/>
    <x v="0"/>
    <b v="0"/>
    <s v="No está en VPC"/>
    <n v="852"/>
    <s v="INTPG_ACC_852_1.47"/>
    <s v="ISEL-1.47"/>
    <n v="1"/>
    <s v="NO TIENE L3OUT"/>
    <n v="258"/>
    <n v="54"/>
  </r>
  <r>
    <n v="817"/>
    <x v="2"/>
    <x v="181"/>
    <s v="eth1/47"/>
    <x v="0"/>
    <x v="0"/>
    <x v="0"/>
    <s v="LINK_TO_ITHFHWCBSPSWR29 /10GE.1 /Principal"/>
    <x v="0"/>
    <b v="0"/>
    <s v="No está en VPC"/>
    <n v="817"/>
    <s v="INTPG_VPC_817_1.47_822_1.47"/>
    <s v="ISEL-1.47"/>
    <n v="1"/>
    <s v="NO TIENE L3OUT"/>
    <n v="0"/>
    <n v="54"/>
  </r>
  <r>
    <n v="832"/>
    <x v="2"/>
    <x v="182"/>
    <s v="eth1/47"/>
    <x v="0"/>
    <x v="0"/>
    <x v="0"/>
    <s v="To_ITHFHWCRMDLCN42_Redundante"/>
    <x v="0"/>
    <b v="0"/>
    <s v="No está en VPC"/>
    <n v="832"/>
    <s v="INTPG_ACC_832_1.47"/>
    <s v="ISEL-1.47"/>
    <n v="1"/>
    <s v="NO TIENE L3OUT"/>
    <n v="192"/>
    <n v="54"/>
  </r>
  <r>
    <n v="816"/>
    <x v="2"/>
    <x v="183"/>
    <s v="eth1/47"/>
    <x v="0"/>
    <x v="0"/>
    <x v="0"/>
    <s v="LINK_HACIA_MGMT"/>
    <x v="0"/>
    <b v="0"/>
    <s v="No está en VPC"/>
    <n v="816"/>
    <s v="INTPG_VPC_MGMT_10918_816_1.47_821_1.48"/>
    <s v="ISEL-1.47"/>
    <n v="4"/>
    <s v="NO TIENE L3OUT"/>
    <n v="0"/>
    <n v="54"/>
  </r>
  <r>
    <n v="825"/>
    <x v="2"/>
    <x v="184"/>
    <s v="eth1/47"/>
    <x v="0"/>
    <x v="1"/>
    <x v="3"/>
    <m/>
    <x v="0"/>
    <b v="0"/>
    <s v="No está en VPC"/>
    <n v="825"/>
    <s v="NO EXISTE PG"/>
    <s v="NO EXISTE ISEL"/>
    <n v="0"/>
    <s v="NO TIENE L3OUT"/>
    <n v="72"/>
    <n v="54"/>
  </r>
  <r>
    <n v="800"/>
    <x v="2"/>
    <x v="185"/>
    <s v="eth1/47"/>
    <x v="0"/>
    <x v="0"/>
    <x v="0"/>
    <s v="LINK_HACIA_MGMT"/>
    <x v="0"/>
    <b v="0"/>
    <s v="No está en VPC"/>
    <n v="800"/>
    <s v="INTPG_VPC_MGMT_10510_800_1.47_801_1.48"/>
    <s v="ISEL-1.47"/>
    <n v="6"/>
    <s v="NO TIENE L3OUT"/>
    <n v="78"/>
    <n v="54"/>
  </r>
  <r>
    <n v="801"/>
    <x v="2"/>
    <x v="186"/>
    <s v="eth1/47"/>
    <x v="0"/>
    <x v="0"/>
    <x v="0"/>
    <s v="LINK_HACIA_MGMT"/>
    <x v="0"/>
    <b v="0"/>
    <s v="No está en VPC"/>
    <n v="801"/>
    <s v="INTPG_VPC_MGMT_10513_801_1.47_800_1.48"/>
    <s v="ISEL-1.47"/>
    <n v="6"/>
    <s v="NO TIENE L3OUT"/>
    <n v="78"/>
    <n v="54"/>
  </r>
  <r>
    <n v="823"/>
    <x v="2"/>
    <x v="187"/>
    <s v="eth1/47"/>
    <x v="0"/>
    <x v="1"/>
    <x v="3"/>
    <m/>
    <x v="0"/>
    <b v="0"/>
    <s v="No está en VPC"/>
    <n v="823"/>
    <s v="NO EXISTE PG"/>
    <s v="NO EXISTE ISEL"/>
    <n v="0"/>
    <s v="NO TIENE L3OUT"/>
    <n v="8"/>
    <n v="54"/>
  </r>
  <r>
    <n v="837"/>
    <x v="2"/>
    <x v="188"/>
    <s v="eth1/47"/>
    <x v="0"/>
    <x v="0"/>
    <x v="0"/>
    <s v="LINK_To_ITHFHWCBSPSHD23 / Slot1.3_22 / Principal"/>
    <x v="0"/>
    <b v="0"/>
    <s v="No está en VPC"/>
    <n v="837"/>
    <s v="INTPG_VPC_837_1.47_842_1.47"/>
    <s v="ISEL-1.47"/>
    <n v="1"/>
    <s v="NO TIENE L3OUT"/>
    <n v="8"/>
    <n v="54"/>
  </r>
  <r>
    <n v="867"/>
    <x v="2"/>
    <x v="189"/>
    <s v="eth1/47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47"/>
    <x v="0"/>
    <x v="0"/>
    <x v="0"/>
    <s v="To_VPC_2DCRMD_SBD06_3_Principal"/>
    <x v="0"/>
    <b v="0"/>
    <s v="No está en VPC"/>
    <n v="829"/>
    <s v="INTPG_VPC_829_1.47_833_1.47"/>
    <s v="ISEL-1.47"/>
    <n v="1"/>
    <s v="NO TIENE L3OUT"/>
    <n v="224"/>
    <n v="54"/>
  </r>
  <r>
    <n v="831"/>
    <x v="2"/>
    <x v="191"/>
    <s v="eth1/47"/>
    <x v="0"/>
    <x v="0"/>
    <x v="0"/>
    <s v="To_ITHFHWCRMDLCN40_Redundante"/>
    <x v="0"/>
    <b v="0"/>
    <s v="No está en VPC"/>
    <n v="831"/>
    <s v="INTPG_ACC_831_1.47"/>
    <s v="ISEL-1.47"/>
    <n v="2"/>
    <s v="NO TIENE L3OUT"/>
    <n v="14"/>
    <n v="54"/>
  </r>
  <r>
    <n v="802"/>
    <x v="2"/>
    <x v="192"/>
    <s v="eth1/47"/>
    <x v="0"/>
    <x v="0"/>
    <x v="0"/>
    <s v="LINK_HACIA_MGMT"/>
    <x v="0"/>
    <b v="0"/>
    <s v="No está en VPC"/>
    <n v="802"/>
    <s v="INTPG_VPC_MGMT_10604_802_1.47_797_1.48"/>
    <s v="ISEL-1.47"/>
    <n v="4"/>
    <s v="NO TIENE L3OUT"/>
    <n v="48"/>
    <n v="54"/>
  </r>
  <r>
    <n v="835"/>
    <x v="2"/>
    <x v="193"/>
    <s v="eth1/47"/>
    <x v="0"/>
    <x v="0"/>
    <x v="0"/>
    <s v="LINK_TO_ITHFHWCBSPSUSBD31 / Slot1.1_4 / Principal"/>
    <x v="0"/>
    <b v="0"/>
    <s v="No está en VPC"/>
    <n v="835"/>
    <s v="INTPG_VPC_835_1.47_840_1.47"/>
    <s v="ISEL-1.47"/>
    <n v="2"/>
    <s v="NO TIENE L3OUT"/>
    <n v="8"/>
    <n v="54"/>
  </r>
  <r>
    <n v="822"/>
    <x v="2"/>
    <x v="194"/>
    <s v="eth1/47"/>
    <x v="0"/>
    <x v="0"/>
    <x v="0"/>
    <s v="LINK_TO_ITHFHWCBSPSWR29 /Slot5.1 /Redundante"/>
    <x v="0"/>
    <b v="0"/>
    <s v="No está en VPC"/>
    <n v="822"/>
    <s v="INTPG_VPC_817_1.47_822_1.47"/>
    <s v="ISEL-1.47"/>
    <n v="1"/>
    <s v="NO TIENE L3OUT"/>
    <n v="0"/>
    <n v="54"/>
  </r>
  <r>
    <n v="854"/>
    <x v="2"/>
    <x v="195"/>
    <s v="eth1/47"/>
    <x v="0"/>
    <x v="0"/>
    <x v="0"/>
    <s v="LINK_TO_ITHFHWCRMPLCN154 / Slot1.1_10 / Principal"/>
    <x v="0"/>
    <b v="0"/>
    <s v="No está en VPC"/>
    <n v="854"/>
    <s v="INTPG_ACC_854_1.47"/>
    <s v="ISEL-1.47"/>
    <n v="6"/>
    <s v="NO TIENE L3OUT"/>
    <n v="204"/>
    <n v="54"/>
  </r>
  <r>
    <n v="858"/>
    <x v="2"/>
    <x v="196"/>
    <s v="eth1/47"/>
    <x v="0"/>
    <x v="0"/>
    <x v="0"/>
    <s v="LINK_HACIA_MGMT"/>
    <x v="0"/>
    <b v="0"/>
    <s v="No está en VPC"/>
    <n v="858"/>
    <s v="INTPG_VPC_MGMT_21319_858_1.47_863_1.48"/>
    <s v="ISEL-1.47"/>
    <n v="5"/>
    <s v="NO TIENE L3OUT"/>
    <n v="8"/>
    <n v="54"/>
  </r>
  <r>
    <n v="857"/>
    <x v="2"/>
    <x v="197"/>
    <s v="eth1/47"/>
    <x v="0"/>
    <x v="0"/>
    <x v="0"/>
    <s v="LINKT_TO_ITHFHWCRMPLCN131 / Slot1.1_32 / Principal"/>
    <x v="0"/>
    <b v="0"/>
    <s v="No está en VPC"/>
    <n v="857"/>
    <s v="INTPG_ACC_857_1.47"/>
    <s v="ISEL-1.47"/>
    <n v="6"/>
    <s v="NO TIENE L3OUT"/>
    <n v="288"/>
    <n v="54"/>
  </r>
  <r>
    <n v="859"/>
    <x v="2"/>
    <x v="198"/>
    <s v="eth1/47"/>
    <x v="0"/>
    <x v="0"/>
    <x v="0"/>
    <s v="To_VPC_2DCBSD_WR51_2"/>
    <x v="0"/>
    <b v="0"/>
    <s v="No está en VPC"/>
    <n v="859"/>
    <s v="INTPG_VPC_859_1.47_864_1.47"/>
    <s v="ISEL-1.47"/>
    <n v="1"/>
    <s v="NO TIENE L3OUT"/>
    <n v="0"/>
    <n v="54"/>
  </r>
  <r>
    <n v="833"/>
    <x v="2"/>
    <x v="199"/>
    <s v="eth1/47"/>
    <x v="0"/>
    <x v="0"/>
    <x v="0"/>
    <s v="To_VPC_2DCRMD_SBD06_3_Redundancia"/>
    <x v="0"/>
    <b v="0"/>
    <s v="No está en VPC"/>
    <n v="833"/>
    <s v="INTPG_VPC_829_1.47_833_1.47"/>
    <s v="ISEL-1.47"/>
    <n v="1"/>
    <s v="NO TIENE L3OUT"/>
    <n v="224"/>
    <n v="54"/>
  </r>
  <r>
    <n v="818"/>
    <x v="2"/>
    <x v="200"/>
    <s v="eth1/47"/>
    <x v="0"/>
    <x v="1"/>
    <x v="3"/>
    <m/>
    <x v="0"/>
    <b v="0"/>
    <s v="No está en VPC"/>
    <n v="818"/>
    <s v="NO EXISTE PG"/>
    <s v="NO EXISTE ISEL"/>
    <n v="0"/>
    <s v="NO TIENE L3OUT"/>
    <n v="8"/>
    <n v="54"/>
  </r>
  <r>
    <n v="850"/>
    <x v="2"/>
    <x v="201"/>
    <s v="eth1/47"/>
    <x v="0"/>
    <x v="0"/>
    <x v="0"/>
    <s v="LINKT_TO_ITHFHWCRMPLCN131 / Slot7.1_32 / Redundante"/>
    <x v="0"/>
    <b v="0"/>
    <s v="No está en VPC"/>
    <n v="850"/>
    <s v="INTPG_ACC_850_1.47"/>
    <s v="ISEL-1.47"/>
    <n v="6"/>
    <s v="NO TIENE L3OUT"/>
    <n v="288"/>
    <n v="54"/>
  </r>
  <r>
    <n v="860"/>
    <x v="2"/>
    <x v="202"/>
    <s v="eth1/47"/>
    <x v="0"/>
    <x v="0"/>
    <x v="0"/>
    <s v="To_VPC_2DCBSD_WR41_2"/>
    <x v="0"/>
    <b v="0"/>
    <s v="No está en VPC"/>
    <n v="860"/>
    <s v="INTPG_VPC_860_1.47_865_1.47"/>
    <s v="ISEL-1.47"/>
    <n v="1"/>
    <s v="NO TIENE L3OUT"/>
    <n v="0"/>
    <n v="54"/>
  </r>
  <r>
    <n v="853"/>
    <x v="2"/>
    <x v="203"/>
    <s v="eth1/47"/>
    <x v="0"/>
    <x v="0"/>
    <x v="0"/>
    <s v="LINK_TO_ITHFHWCRMPLCN87 / Slot7.2_32 / Redundante"/>
    <x v="0"/>
    <b v="0"/>
    <s v="No está en VPC"/>
    <n v="853"/>
    <s v="INTPG_ACC_853_1.47"/>
    <s v="ISEL-1.47"/>
    <n v="2"/>
    <s v="NO TIENE L3OUT"/>
    <n v="242"/>
    <n v="54"/>
  </r>
  <r>
    <n v="790"/>
    <x v="2"/>
    <x v="204"/>
    <s v="eth1/47"/>
    <x v="0"/>
    <x v="0"/>
    <x v="0"/>
    <s v="TAISHAN_POD7"/>
    <x v="0"/>
    <b v="0"/>
    <s v="No está en VPC"/>
    <n v="790"/>
    <s v="INTPG_VPC_MGMT_20814_790_1.47_791_1.48"/>
    <s v="ISEL-1.47"/>
    <n v="6"/>
    <s v="NO TIENE L3OUT"/>
    <n v="20"/>
    <n v="54"/>
  </r>
  <r>
    <n v="105"/>
    <x v="0"/>
    <x v="205"/>
    <s v="eth1/47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47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47"/>
    <x v="0"/>
    <x v="0"/>
    <x v="0"/>
    <s v="Citrix Silot"/>
    <x v="6"/>
    <b v="0"/>
    <s v="No está en VPC"/>
    <n v="104"/>
    <s v="INTPG_ACC_104_1.47"/>
    <s v="ISEL-1.47"/>
    <n v="1"/>
    <s v="NO TIENE L3OUT"/>
    <n v="194"/>
    <n v="96"/>
  </r>
  <r>
    <n v="158"/>
    <x v="0"/>
    <x v="208"/>
    <s v="eth1/47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47"/>
    <x v="0"/>
    <x v="0"/>
    <x v="0"/>
    <s v="LINK_HACIA_MGMT"/>
    <x v="4"/>
    <b v="0"/>
    <s v="No está en VPC"/>
    <n v="875"/>
    <s v="INTPG_VPC_MGMT_20919_875_1.47_877_1.48"/>
    <s v="ISEL-1.47"/>
    <n v="4"/>
    <s v="NO TIENE L3OUT"/>
    <n v="2"/>
    <n v="54"/>
  </r>
  <r>
    <n v="879"/>
    <x v="2"/>
    <x v="210"/>
    <s v="eth1/47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47"/>
    <x v="1"/>
    <x v="1"/>
    <x v="2"/>
    <s v="OBIE_1-2"/>
    <x v="6"/>
    <b v="0"/>
    <s v="No está en VPC"/>
    <n v="108"/>
    <s v="INTPG_ACC_108_1.47"/>
    <s v="ISEL-1.47"/>
    <n v="1"/>
    <s v="NO TIENE L3OUT"/>
    <n v="126"/>
    <n v="96"/>
  </r>
  <r>
    <n v="112"/>
    <x v="0"/>
    <x v="212"/>
    <s v="eth1/47"/>
    <x v="0"/>
    <x v="1"/>
    <x v="1"/>
    <s v="SAPCCRATING02"/>
    <x v="6"/>
    <b v="0"/>
    <s v="No está en VPC"/>
    <n v="112"/>
    <s v="INTPG_VPC_112_1.47_114_1.44"/>
    <s v="ISEL-1.47"/>
    <n v="1"/>
    <s v="NO TIENE L3OUT"/>
    <n v="144"/>
    <n v="96"/>
  </r>
  <r>
    <n v="107"/>
    <x v="0"/>
    <x v="213"/>
    <s v="eth1/47"/>
    <x v="1"/>
    <x v="1"/>
    <x v="2"/>
    <s v="COMISIONES"/>
    <x v="6"/>
    <b v="0"/>
    <s v="No está en VPC"/>
    <n v="107"/>
    <s v="INTPG_ACC_107_1.47"/>
    <s v="ISEL-1.47"/>
    <n v="0"/>
    <s v="NO TIENE L3OUT"/>
    <n v="118"/>
    <n v="96"/>
  </r>
  <r>
    <n v="109"/>
    <x v="0"/>
    <x v="214"/>
    <s v="eth1/47"/>
    <x v="0"/>
    <x v="0"/>
    <x v="0"/>
    <m/>
    <x v="6"/>
    <b v="0"/>
    <s v="No está en VPC"/>
    <n v="109"/>
    <s v="INTPG_ACC_109_1.47"/>
    <s v="ISEL-1.47"/>
    <n v="1"/>
    <s v="NO TIENE L3OUT"/>
    <n v="126"/>
    <n v="96"/>
  </r>
  <r>
    <n v="113"/>
    <x v="0"/>
    <x v="215"/>
    <s v="eth1/47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47"/>
    <x v="0"/>
    <x v="1"/>
    <x v="1"/>
    <s v="SAPCCRATING05"/>
    <x v="6"/>
    <b v="0"/>
    <s v="No está en VPC"/>
    <n v="114"/>
    <s v="INTPG_VPC_112_1.50_114_1.47"/>
    <s v="ISEL-1.47"/>
    <n v="1"/>
    <s v="NO TIENE L3OUT"/>
    <n v="144"/>
    <n v="96"/>
  </r>
  <r>
    <n v="124"/>
    <x v="0"/>
    <x v="217"/>
    <s v="eth1/47"/>
    <x v="0"/>
    <x v="0"/>
    <x v="0"/>
    <m/>
    <x v="6"/>
    <b v="0"/>
    <s v="No está en VPC"/>
    <n v="124"/>
    <s v="INTPG_ACC_124_1.47"/>
    <s v="ISEL-1.47"/>
    <n v="1"/>
    <s v="NO TIENE L3OUT"/>
    <n v="80"/>
    <n v="96"/>
  </r>
  <r>
    <n v="118"/>
    <x v="0"/>
    <x v="218"/>
    <s v="eth1/47"/>
    <x v="0"/>
    <x v="0"/>
    <x v="0"/>
    <s v="IXTCDRLON"/>
    <x v="6"/>
    <b v="0"/>
    <s v="No está en VPC"/>
    <n v="118"/>
    <s v="INTPG_ACC_118_1.47"/>
    <s v="ISEL-1.47"/>
    <n v="1"/>
    <s v="NO TIENE L3OUT"/>
    <n v="180"/>
    <n v="96"/>
  </r>
  <r>
    <n v="159"/>
    <x v="0"/>
    <x v="219"/>
    <s v="eth1/47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47"/>
    <x v="0"/>
    <x v="0"/>
    <x v="0"/>
    <s v="LINK_TO_ITHFHWCBSPSUSBD31 / Slot7.1_4 / Redundante"/>
    <x v="0"/>
    <b v="0"/>
    <s v="No está en VPC"/>
    <n v="840"/>
    <s v="INTPG_VPC_835_1.47_840_1.47"/>
    <s v="ISEL-1.47"/>
    <n v="2"/>
    <s v="NO TIENE L3OUT"/>
    <n v="8"/>
    <n v="54"/>
  </r>
  <r>
    <n v="856"/>
    <x v="2"/>
    <x v="221"/>
    <s v="eth1/47"/>
    <x v="0"/>
    <x v="0"/>
    <x v="0"/>
    <s v="LINK_TO_ITHFHWCRMPLCN150 / Slot1.1_34 / Principal"/>
    <x v="0"/>
    <b v="0"/>
    <s v="No está en VPC"/>
    <n v="856"/>
    <s v="INTPG_ACC_856_1.47"/>
    <s v="ISEL-1.47"/>
    <n v="6"/>
    <s v="NO TIENE L3OUT"/>
    <n v="286"/>
    <n v="54"/>
  </r>
  <r>
    <n v="110"/>
    <x v="0"/>
    <x v="222"/>
    <s v="eth1/47"/>
    <x v="0"/>
    <x v="1"/>
    <x v="1"/>
    <s v="SUN6900_E25K"/>
    <x v="6"/>
    <b v="0"/>
    <s v="No está en VPC"/>
    <n v="110"/>
    <s v="INTPG_ACC_110_1.47"/>
    <s v="ISEL-1.47"/>
    <n v="1"/>
    <s v="NO TIENE L3OUT"/>
    <n v="102"/>
    <n v="96"/>
  </r>
  <r>
    <n v="163"/>
    <x v="0"/>
    <x v="223"/>
    <s v="eth1/47"/>
    <x v="0"/>
    <x v="0"/>
    <x v="0"/>
    <s v="MULTIMEDIACION"/>
    <x v="6"/>
    <b v="0"/>
    <s v="No está en VPC"/>
    <n v="163"/>
    <s v="INTPG_ACC_163_1.47"/>
    <s v="ISEL-1.47"/>
    <n v="1"/>
    <s v="NO TIENE L3OUT"/>
    <n v="140"/>
    <n v="96"/>
  </r>
  <r>
    <n v="407"/>
    <x v="1"/>
    <x v="224"/>
    <s v="eth1/47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47"/>
    <x v="0"/>
    <x v="0"/>
    <x v="0"/>
    <s v="SRS (Speedy Rating System)"/>
    <x v="6"/>
    <b v="0"/>
    <s v="No está en VPC"/>
    <n v="171"/>
    <s v="INTPG_ACC_171_1.47"/>
    <s v="ISEL-1.47"/>
    <n v="1"/>
    <s v="NO TIENE L3OUT"/>
    <n v="114"/>
    <n v="96"/>
  </r>
  <r>
    <n v="421"/>
    <x v="1"/>
    <x v="226"/>
    <s v="eth1/47"/>
    <x v="0"/>
    <x v="0"/>
    <x v="0"/>
    <s v="PortalCautivo2_stpcau02_netmgt"/>
    <x v="6"/>
    <b v="0"/>
    <s v="No está en VPC"/>
    <n v="421"/>
    <s v="INTPG_ACC_421_1.47"/>
    <s v="ISEL-1.47"/>
    <n v="1"/>
    <s v="NO TIENE L3OUT"/>
    <n v="72"/>
    <n v="96"/>
  </r>
  <r>
    <n v="173"/>
    <x v="0"/>
    <x v="227"/>
    <s v="eth1/47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47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47"/>
    <x v="0"/>
    <x v="0"/>
    <x v="0"/>
    <s v="SRS (Speedy Rating System)"/>
    <x v="6"/>
    <b v="0"/>
    <s v="No está en VPC"/>
    <n v="172"/>
    <s v="INTPG_ACC_172_1.47"/>
    <s v="ISEL-1.47"/>
    <n v="1"/>
    <s v="NO TIENE L3OUT"/>
    <n v="104"/>
    <n v="96"/>
  </r>
  <r>
    <n v="420"/>
    <x v="1"/>
    <x v="230"/>
    <s v="eth1/47"/>
    <x v="0"/>
    <x v="0"/>
    <x v="0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47"/>
    <x v="0"/>
    <x v="0"/>
    <x v="0"/>
    <s v="HP Proliant DL380p(A)"/>
    <x v="6"/>
    <b v="0"/>
    <s v="No está en VPC"/>
    <n v="423"/>
    <s v="INTPG_ACC_423_1.47"/>
    <s v="ISEL-1.47"/>
    <n v="1"/>
    <s v="NO TIENE L3OUT"/>
    <n v="86"/>
    <n v="96"/>
  </r>
  <r>
    <n v="415"/>
    <x v="1"/>
    <x v="232"/>
    <s v="eth1/47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47"/>
    <x v="1"/>
    <x v="1"/>
    <x v="2"/>
    <s v="IXTLA4_VC1:VMTLCLAMX5:VC1  X7"/>
    <x v="6"/>
    <b v="0"/>
    <s v="No está en VPC"/>
    <n v="102"/>
    <s v="INTPG_PC_102_1.41-48"/>
    <s v="ISEL-1.47"/>
    <n v="0"/>
    <s v="NO TIENE L3OUT"/>
    <n v="228"/>
    <n v="96"/>
  </r>
  <r>
    <n v="863"/>
    <x v="2"/>
    <x v="234"/>
    <s v="eth1/47"/>
    <x v="0"/>
    <x v="0"/>
    <x v="0"/>
    <s v="LINK_HACIA_MGMT"/>
    <x v="0"/>
    <b v="0"/>
    <s v="No está en VPC"/>
    <n v="863"/>
    <s v="INTPG_VPC_MGMT_21419_863_1.47_858_1.48"/>
    <s v="ISEL-1.47"/>
    <n v="5"/>
    <s v="NO TIENE L3OUT"/>
    <n v="8"/>
    <n v="54"/>
  </r>
  <r>
    <n v="876"/>
    <x v="2"/>
    <x v="235"/>
    <s v="eth1/47"/>
    <x v="0"/>
    <x v="0"/>
    <x v="0"/>
    <s v="LINK_HACIA_MGMT"/>
    <x v="4"/>
    <b v="0"/>
    <s v="No está en VPC"/>
    <n v="876"/>
    <s v="INTPG_VPC_MGMT_21019_876_1.47_874_1.48"/>
    <s v="ISEL-1.47"/>
    <n v="4"/>
    <s v="NO TIENE L3OUT"/>
    <n v="92"/>
    <n v="54"/>
  </r>
  <r>
    <n v="877"/>
    <x v="2"/>
    <x v="236"/>
    <s v="eth1/47"/>
    <x v="0"/>
    <x v="0"/>
    <x v="0"/>
    <s v="LINK_HACIA_MGMT"/>
    <x v="4"/>
    <b v="0"/>
    <s v="No está en VPC"/>
    <n v="877"/>
    <s v="INTPG_VPC_MGMT_21019_877_1.47_875_1.48"/>
    <s v="ISEL-1.47"/>
    <n v="4"/>
    <s v="NO TIENE L3OUT"/>
    <n v="2"/>
    <n v="54"/>
  </r>
  <r>
    <n v="122"/>
    <x v="0"/>
    <x v="237"/>
    <s v="eth1/47"/>
    <x v="1"/>
    <x v="1"/>
    <x v="2"/>
    <s v="ZFS X5-2"/>
    <x v="6"/>
    <b v="0"/>
    <s v="No está en VPC"/>
    <n v="122"/>
    <s v="INTPG_ACC_122_1.47"/>
    <s v="ISEL-1.47"/>
    <n v="0"/>
    <s v="NO TIENE L3OUT"/>
    <n v="148"/>
    <n v="96"/>
  </r>
  <r>
    <n v="157"/>
    <x v="0"/>
    <x v="238"/>
    <s v="eth1/47"/>
    <x v="0"/>
    <x v="1"/>
    <x v="1"/>
    <s v="uxcofeco"/>
    <x v="6"/>
    <b v="0"/>
    <s v="No está en VPC"/>
    <n v="157"/>
    <s v="INTPG_ACC_157_1.47"/>
    <s v="ISEL-1.47"/>
    <n v="1"/>
    <s v="NO TIENE L3OUT"/>
    <n v="202"/>
    <n v="96"/>
  </r>
  <r>
    <n v="408"/>
    <x v="1"/>
    <x v="239"/>
    <s v="eth1/47"/>
    <x v="0"/>
    <x v="0"/>
    <x v="0"/>
    <s v="HNMP101A"/>
    <x v="6"/>
    <b v="0"/>
    <s v="No está en VPC"/>
    <n v="408"/>
    <s v="INTPG_ACC_408_1.47"/>
    <s v="ISEL-1.47"/>
    <n v="1"/>
    <s v="NO TIENE L3OUT"/>
    <n v="152"/>
    <n v="96"/>
  </r>
  <r>
    <n v="405"/>
    <x v="1"/>
    <x v="240"/>
    <s v="eth1/47"/>
    <x v="0"/>
    <x v="0"/>
    <x v="0"/>
    <s v="ITHSGHP0"/>
    <x v="6"/>
    <b v="0"/>
    <s v="No está en VPC"/>
    <n v="405"/>
    <s v="INTPG_ACC_405_1.47"/>
    <s v="ISEL-1.47"/>
    <n v="1"/>
    <s v="NO TIENE L3OUT"/>
    <n v="138"/>
    <n v="96"/>
  </r>
  <r>
    <n v="169"/>
    <x v="0"/>
    <x v="241"/>
    <s v="eth1/47"/>
    <x v="0"/>
    <x v="0"/>
    <x v="0"/>
    <s v="TO-ITHFDENBURMS01-PRINCIPAL"/>
    <x v="6"/>
    <b v="0"/>
    <s v="No está en VPC"/>
    <n v="169"/>
    <s v="INTPG_ACC_169_1.47"/>
    <s v="ISEL-1.47"/>
    <n v="1"/>
    <s v="NO TIENE L3OUT"/>
    <n v="76"/>
    <n v="96"/>
  </r>
  <r>
    <n v="165"/>
    <x v="0"/>
    <x v="242"/>
    <s v="eth1/47"/>
    <x v="0"/>
    <x v="0"/>
    <x v="0"/>
    <s v="NOMINA_hmcNomina1"/>
    <x v="6"/>
    <b v="0"/>
    <s v="No está en VPC"/>
    <n v="165"/>
    <s v="INTPG_ACC_165_1.47"/>
    <s v="ISEL-1.47"/>
    <n v="1"/>
    <s v="NO TIENE L3OUT"/>
    <n v="86"/>
    <n v="96"/>
  </r>
  <r>
    <n v="417"/>
    <x v="1"/>
    <x v="243"/>
    <s v="eth1/47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47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47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47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47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47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47"/>
    <x v="0"/>
    <x v="0"/>
    <x v="0"/>
    <s v="VIOSDES3-VIOSDES3_CLT"/>
    <x v="6"/>
    <b v="0"/>
    <s v="No está en VPC"/>
    <n v="406"/>
    <s v="INTPG_VPC_404_1.47-48_406_1.47-48"/>
    <s v="ISEL-1.47"/>
    <n v="1"/>
    <s v="NO TIENE L3OUT"/>
    <n v="82"/>
    <n v="96"/>
  </r>
  <r>
    <n v="414"/>
    <x v="1"/>
    <x v="250"/>
    <s v="eth1/47"/>
    <x v="0"/>
    <x v="0"/>
    <x v="0"/>
    <s v="NMS02_S05"/>
    <x v="6"/>
    <b v="0"/>
    <s v="No está en VPC"/>
    <n v="414"/>
    <s v="INTPG_ACC_414_1.47"/>
    <s v="ISEL-1.47"/>
    <n v="1"/>
    <s v="NO TIENE L3OUT"/>
    <n v="144"/>
    <n v="96"/>
  </r>
  <r>
    <n v="416"/>
    <x v="1"/>
    <x v="251"/>
    <s v="eth1/47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47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47"/>
    <x v="0"/>
    <x v="0"/>
    <x v="0"/>
    <s v="To-uxingemc3 ldom 1 uxinghdr1"/>
    <x v="6"/>
    <b v="0"/>
    <s v="No está en VPC"/>
    <n v="413"/>
    <s v="INTPG_ACC_413_1.47"/>
    <s v="ISEL-1.47"/>
    <n v="1"/>
    <s v="NO TIENE L3OUT"/>
    <n v="126"/>
    <n v="96"/>
  </r>
  <r>
    <n v="403"/>
    <x v="1"/>
    <x v="254"/>
    <s v="eth1/47"/>
    <x v="0"/>
    <x v="0"/>
    <x v="0"/>
    <s v="ITHSGHP0"/>
    <x v="6"/>
    <b v="0"/>
    <s v="No está en VPC"/>
    <n v="403"/>
    <s v="INTPG_ACC_403_1.47"/>
    <s v="ISEL-1.47"/>
    <n v="1"/>
    <s v="NO TIENE L3OUT"/>
    <n v="150"/>
    <n v="96"/>
  </r>
  <r>
    <n v="125"/>
    <x v="0"/>
    <x v="255"/>
    <s v="eth1/47"/>
    <x v="0"/>
    <x v="0"/>
    <x v="0"/>
    <s v="CIRCULO Azul(UXCA)"/>
    <x v="6"/>
    <b v="0"/>
    <s v="No está en VPC"/>
    <n v="125"/>
    <s v="INTPG_ACC_125_1.47"/>
    <s v="ISEL-1.47"/>
    <n v="1"/>
    <s v="NO TIENE L3OUT"/>
    <n v="72"/>
    <n v="96"/>
  </r>
  <r>
    <n v="166"/>
    <x v="0"/>
    <x v="256"/>
    <s v="eth1/47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47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47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47"/>
    <x v="0"/>
    <x v="0"/>
    <x v="0"/>
    <s v="COMISIONES"/>
    <x v="6"/>
    <b v="0"/>
    <s v="No está en VPC"/>
    <n v="106"/>
    <s v="INTPG_ACC_106_1.47"/>
    <s v="ISEL-1.47"/>
    <n v="1"/>
    <s v="NO TIENE L3OUT"/>
    <n v="122"/>
    <n v="96"/>
  </r>
  <r>
    <n v="126"/>
    <x v="0"/>
    <x v="260"/>
    <s v="eth1/47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47"/>
    <x v="0"/>
    <x v="0"/>
    <x v="0"/>
    <s v="ITHVC2_eth1_IPMP-Pasiva"/>
    <x v="6"/>
    <b v="0"/>
    <s v="No está en VPC"/>
    <n v="425"/>
    <s v="INTPG_ACC_425_1.47"/>
    <s v="ISEL-1.47"/>
    <n v="1"/>
    <s v="NO TIENE L3OUT"/>
    <n v="86"/>
    <n v="96"/>
  </r>
  <r>
    <n v="151"/>
    <x v="0"/>
    <x v="262"/>
    <s v="eth1/47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47"/>
    <x v="0"/>
    <x v="0"/>
    <x v="0"/>
    <s v="TO-sfovhd02-LAN0"/>
    <x v="6"/>
    <b v="0"/>
    <s v="No está en VPC"/>
    <n v="430"/>
    <s v="INTPG_ACC_430_1.47"/>
    <s v="ISEL-1.47"/>
    <n v="1"/>
    <s v="NO TIENE L3OUT"/>
    <n v="86"/>
    <n v="96"/>
  </r>
  <r>
    <n v="419"/>
    <x v="1"/>
    <x v="264"/>
    <s v="eth1/47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47"/>
    <x v="0"/>
    <x v="0"/>
    <x v="0"/>
    <s v="IXT08PP"/>
    <x v="6"/>
    <b v="0"/>
    <s v="No está en VPC"/>
    <n v="155"/>
    <s v="INTPG_ACC_155_1.47"/>
    <s v="ISEL-1.47"/>
    <n v="0"/>
    <s v="L3OUT-SNA-IPCORP-A14"/>
    <n v="198"/>
    <n v="96"/>
  </r>
  <r>
    <n v="409"/>
    <x v="1"/>
    <x v="266"/>
    <s v="eth1/47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47"/>
    <x v="0"/>
    <x v="0"/>
    <x v="0"/>
    <s v="TEMIPCLOUD_B01"/>
    <x v="6"/>
    <b v="0"/>
    <s v="No está en VPC"/>
    <n v="422"/>
    <s v="INTPG_ACC_422_1.47"/>
    <s v="ISEL-1.47"/>
    <n v="6"/>
    <s v="NO TIENE L3OUT"/>
    <n v="182"/>
    <n v="96"/>
  </r>
  <r>
    <n v="436"/>
    <x v="1"/>
    <x v="268"/>
    <s v="eth1/47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47"/>
    <x v="0"/>
    <x v="0"/>
    <x v="0"/>
    <s v="MULTI01_S10"/>
    <x v="6"/>
    <b v="0"/>
    <s v="No está en VPC"/>
    <n v="410"/>
    <s v="INTPG_ACC_410_1.47"/>
    <s v="ISEL-1.47"/>
    <n v="1"/>
    <s v="NO TIENE L3OUT"/>
    <n v="178"/>
    <n v="96"/>
  </r>
  <r>
    <n v="161"/>
    <x v="0"/>
    <x v="270"/>
    <s v="eth1/47"/>
    <x v="0"/>
    <x v="0"/>
    <x v="0"/>
    <s v="STORAGE_VNX_0493_BKP1_AND_BKP2"/>
    <x v="6"/>
    <b v="0"/>
    <s v="No está en VPC"/>
    <n v="161"/>
    <s v="INTPG_ACC_161_1.47"/>
    <s v="ISEL-1.47"/>
    <n v="2"/>
    <s v="NO TIENE L3OUT"/>
    <n v="102"/>
    <n v="96"/>
  </r>
  <r>
    <n v="411"/>
    <x v="1"/>
    <x v="271"/>
    <s v="eth1/47"/>
    <x v="0"/>
    <x v="1"/>
    <x v="1"/>
    <s v="F5-IXE-VTAE"/>
    <x v="6"/>
    <b v="0"/>
    <s v="No está en VPC"/>
    <n v="411"/>
    <s v="INTPG_ACC_411_1.47"/>
    <s v="ISEL-1.47"/>
    <n v="2"/>
    <s v="NO TIENE L3OUT"/>
    <n v="96"/>
    <n v="96"/>
  </r>
  <r>
    <n v="116"/>
    <x v="0"/>
    <x v="272"/>
    <s v="eth1/47"/>
    <x v="0"/>
    <x v="1"/>
    <x v="1"/>
    <s v="USSD TANGO"/>
    <x v="6"/>
    <b v="0"/>
    <s v="No está en VPC"/>
    <n v="116"/>
    <s v="INTPG_ACC_116_1.47"/>
    <s v="ISEL-1.47"/>
    <n v="1"/>
    <s v="NO TIENE L3OUT"/>
    <n v="148"/>
    <n v="96"/>
  </r>
  <r>
    <n v="412"/>
    <x v="1"/>
    <x v="273"/>
    <s v="eth1/47"/>
    <x v="0"/>
    <x v="0"/>
    <x v="0"/>
    <s v="HNMP101B"/>
    <x v="6"/>
    <b v="0"/>
    <s v="No está en VPC"/>
    <n v="412"/>
    <s v="INTPG_ACC_412_1.47"/>
    <s v="ISEL-1.47"/>
    <n v="1"/>
    <s v="NO TIENE L3OUT"/>
    <n v="126"/>
    <n v="96"/>
  </r>
  <r>
    <n v="120"/>
    <x v="0"/>
    <x v="274"/>
    <s v="eth1/47"/>
    <x v="0"/>
    <x v="0"/>
    <x v="0"/>
    <s v="ASEGING"/>
    <x v="6"/>
    <b v="0"/>
    <s v="No está en VPC"/>
    <n v="120"/>
    <s v="INTPG_ACC_120_1.47"/>
    <s v="ISEL-1.47"/>
    <n v="1"/>
    <s v="NO TIENE L3OUT"/>
    <n v="158"/>
    <n v="96"/>
  </r>
  <r>
    <n v="404"/>
    <x v="1"/>
    <x v="275"/>
    <s v="eth1/47"/>
    <x v="0"/>
    <x v="0"/>
    <x v="0"/>
    <s v="VIOSDES3-VIOSDES3_CLT"/>
    <x v="6"/>
    <b v="0"/>
    <s v="No está en VPC"/>
    <n v="404"/>
    <s v="INTPG_VPC_404_1.47-48_406_1.47-48"/>
    <s v="ISEL-1.47"/>
    <n v="1"/>
    <s v="NO TIENE L3OUT"/>
    <n v="92"/>
    <n v="96"/>
  </r>
  <r>
    <n v="167"/>
    <x v="0"/>
    <x v="276"/>
    <s v="eth1/47"/>
    <x v="0"/>
    <x v="0"/>
    <x v="0"/>
    <s v="TO-ITHFDENBURMS02"/>
    <x v="6"/>
    <b v="0"/>
    <s v="No está en VPC"/>
    <n v="167"/>
    <s v="INTPG_VPC_167_1.47_169_1.48"/>
    <s v="ISEL-1.47"/>
    <n v="1"/>
    <s v="NO TIENE L3OUT"/>
    <n v="68"/>
    <n v="96"/>
  </r>
  <r>
    <n v="428"/>
    <x v="1"/>
    <x v="277"/>
    <s v="eth1/47"/>
    <x v="0"/>
    <x v="0"/>
    <x v="0"/>
    <s v="TO-ITHFORZDLRXGW01-NET_1"/>
    <x v="6"/>
    <b v="0"/>
    <s v="No está en VPC"/>
    <n v="428"/>
    <s v="INTPG_ACC_428_1.47"/>
    <s v="ISEL-1.47"/>
    <n v="1"/>
    <s v="NO TIENE L3OUT"/>
    <n v="102"/>
    <n v="96"/>
  </r>
  <r>
    <n v="128"/>
    <x v="0"/>
    <x v="0"/>
    <s v="eth1/48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48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48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48"/>
    <x v="0"/>
    <x v="0"/>
    <x v="0"/>
    <m/>
    <x v="0"/>
    <b v="0"/>
    <s v="No está en VPC"/>
    <n v="101"/>
    <s v="INTPG-VPC_101_1.47-48_150_1.47-48"/>
    <s v="ISEL-1.48"/>
    <n v="0"/>
    <s v="NO TIENE L3OUT"/>
    <n v="114"/>
    <n v="54"/>
  </r>
  <r>
    <n v="160"/>
    <x v="0"/>
    <x v="4"/>
    <s v="eth1/48"/>
    <x v="0"/>
    <x v="1"/>
    <x v="1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48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48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48"/>
    <x v="0"/>
    <x v="0"/>
    <x v="0"/>
    <s v="LINK TO DDI BROCADE ROOM 2"/>
    <x v="0"/>
    <b v="0"/>
    <s v="No está en VPC"/>
    <n v="401"/>
    <s v="INTPG_VPC_401_1.47-48_402_1.47-48"/>
    <s v="ISEL-1.48"/>
    <n v="4"/>
    <s v="NO TIENE L3OUT"/>
    <n v="40"/>
    <n v="54"/>
  </r>
  <r>
    <n v="402"/>
    <x v="1"/>
    <x v="8"/>
    <s v="eth1/48"/>
    <x v="0"/>
    <x v="0"/>
    <x v="0"/>
    <s v="LINK TO DDI BROCADE ROOM 2"/>
    <x v="0"/>
    <b v="0"/>
    <s v="No está en VPC"/>
    <n v="402"/>
    <s v="INTPG_VPC_401_1.47-48_402_1.47-48"/>
    <s v="ISEL-1.48"/>
    <n v="4"/>
    <s v="NO TIENE L3OUT"/>
    <n v="36"/>
    <n v="54"/>
  </r>
  <r>
    <n v="130"/>
    <x v="0"/>
    <x v="11"/>
    <s v="eth1/48"/>
    <x v="0"/>
    <x v="0"/>
    <x v="0"/>
    <s v="ITHFHWHSMTLCN01-LOM  P1"/>
    <x v="0"/>
    <b v="0"/>
    <s v="No está en VPC"/>
    <n v="130"/>
    <s v="INTPG_ACC_130_1.48"/>
    <s v="ISEL-1.48"/>
    <n v="9"/>
    <s v="NO TIENE L3OUT"/>
    <n v="128"/>
    <n v="54"/>
  </r>
  <r>
    <n v="150"/>
    <x v="0"/>
    <x v="12"/>
    <s v="eth1/48"/>
    <x v="0"/>
    <x v="0"/>
    <x v="0"/>
    <m/>
    <x v="0"/>
    <b v="0"/>
    <s v="No está en VPC"/>
    <n v="150"/>
    <s v="INTPG-VPC_101_1.47-48_150_1.47-48"/>
    <s v="ISEL-1.48"/>
    <n v="0"/>
    <s v="NO TIENE L3OUT"/>
    <n v="118"/>
    <n v="54"/>
  </r>
  <r>
    <n v="131"/>
    <x v="0"/>
    <x v="13"/>
    <s v="eth1/48"/>
    <x v="0"/>
    <x v="0"/>
    <x v="0"/>
    <s v="ITHFHWHSMTLCN01-LOM  P2"/>
    <x v="0"/>
    <b v="0"/>
    <s v="No está en VPC"/>
    <n v="131"/>
    <s v="INTPG_ACC_131_1.48"/>
    <s v="ISEL-1.48"/>
    <n v="9"/>
    <s v="NO TIENE L3OUT"/>
    <n v="126"/>
    <n v="54"/>
  </r>
  <r>
    <n v="424"/>
    <x v="1"/>
    <x v="18"/>
    <s v="eth1/48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48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48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48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48"/>
    <x v="0"/>
    <x v="0"/>
    <x v="0"/>
    <m/>
    <x v="0"/>
    <b v="0"/>
    <s v="No está en VPC"/>
    <n v="727"/>
    <s v="INTPG-VPC_MGMT-20217_726_1.47_727_1.48"/>
    <s v="ISEL-1.48"/>
    <n v="5"/>
    <s v="NO TIENE L3OUT"/>
    <n v="0"/>
    <n v="54"/>
  </r>
  <r>
    <n v="724"/>
    <x v="2"/>
    <x v="23"/>
    <s v="eth1/48"/>
    <x v="0"/>
    <x v="0"/>
    <x v="0"/>
    <m/>
    <x v="0"/>
    <b v="0"/>
    <s v="No está en VPC"/>
    <n v="724"/>
    <s v="INTPG-VPC_MGMT-20216_725_1.47_724_1.48"/>
    <s v="ISEL-1.48"/>
    <n v="4"/>
    <s v="NO TIENE L3OUT"/>
    <n v="0"/>
    <n v="54"/>
  </r>
  <r>
    <n v="725"/>
    <x v="2"/>
    <x v="25"/>
    <s v="eth1/48"/>
    <x v="0"/>
    <x v="0"/>
    <x v="0"/>
    <s v="LINK_HACIA_MGMT"/>
    <x v="0"/>
    <b v="0"/>
    <s v="No está en VPC"/>
    <n v="725"/>
    <s v="INTPG-VPC_MGMT-20214_724_1.47_725_1.48"/>
    <s v="ISEL-1.48"/>
    <n v="5"/>
    <s v="NO TIENE L3OUT"/>
    <n v="0"/>
    <n v="54"/>
  </r>
  <r>
    <n v="431"/>
    <x v="1"/>
    <x v="26"/>
    <s v="eth1/48"/>
    <x v="0"/>
    <x v="0"/>
    <x v="0"/>
    <s v="To_ITHEA1B_eth2"/>
    <x v="0"/>
    <b v="0"/>
    <s v="No está en VPC"/>
    <n v="431"/>
    <s v="INTPG_ACC_431_1.48"/>
    <s v="ISEL-1.48"/>
    <n v="4"/>
    <s v="NO TIENE L3OUT"/>
    <n v="46"/>
    <n v="54"/>
  </r>
  <r>
    <n v="433"/>
    <x v="1"/>
    <x v="27"/>
    <s v="eth1/48"/>
    <x v="0"/>
    <x v="0"/>
    <x v="0"/>
    <s v="TO-00S2.117.18.RPDUA_RPDU"/>
    <x v="1"/>
    <b v="0"/>
    <s v="No está en VPC"/>
    <n v="433"/>
    <s v="INTPG_ACC_433_1.48"/>
    <s v="ISEL-1.48"/>
    <n v="1"/>
    <s v="NO TIENE L3OUT"/>
    <n v="42"/>
    <n v="54"/>
  </r>
  <r>
    <n v="429"/>
    <x v="1"/>
    <x v="28"/>
    <s v="eth1/48"/>
    <x v="0"/>
    <x v="0"/>
    <x v="0"/>
    <s v="TO-00S2.114.18.RPDUB_RPDU"/>
    <x v="1"/>
    <b v="0"/>
    <s v="No está en VPC"/>
    <n v="429"/>
    <s v="INTPG_ACC_429_1.48"/>
    <s v="ISEL-1.48"/>
    <n v="1"/>
    <s v="NO TIENE L3OUT"/>
    <n v="8"/>
    <n v="54"/>
  </r>
  <r>
    <n v="432"/>
    <x v="1"/>
    <x v="29"/>
    <s v="eth1/48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48"/>
    <x v="0"/>
    <x v="0"/>
    <x v="0"/>
    <s v="TO-00S2.214.17.RPDUB_RPDU"/>
    <x v="1"/>
    <b v="0"/>
    <s v="No está en VPC"/>
    <n v="442"/>
    <s v="INTPG_ACC_442_1.48"/>
    <s v="ISEL-1.48"/>
    <n v="1"/>
    <s v="NO TIENE L3OUT"/>
    <n v="18"/>
    <n v="54"/>
  </r>
  <r>
    <n v="434"/>
    <x v="1"/>
    <x v="31"/>
    <s v="eth1/48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48"/>
    <x v="1"/>
    <x v="1"/>
    <x v="3"/>
    <m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48"/>
    <x v="0"/>
    <x v="0"/>
    <x v="0"/>
    <m/>
    <x v="0"/>
    <b v="0"/>
    <s v="No está en VPC"/>
    <n v="712"/>
    <s v="INTPG-VPC_MGMT-10217_713_1.47_712_1.48"/>
    <s v="ISEL-1.48"/>
    <n v="7"/>
    <s v="NO TIENE L3OUT"/>
    <n v="32"/>
    <n v="54"/>
  </r>
  <r>
    <n v="719"/>
    <x v="2"/>
    <x v="34"/>
    <s v="eth1/48"/>
    <x v="0"/>
    <x v="0"/>
    <x v="0"/>
    <m/>
    <x v="0"/>
    <b v="0"/>
    <s v="No está en VPC"/>
    <n v="719"/>
    <s v="INTPG-VPC_MGMT-20119_720_1.47_719_1.48"/>
    <s v="ISEL-1.48"/>
    <n v="6"/>
    <s v="NO TIENE L3OUT"/>
    <n v="0"/>
    <n v="54"/>
  </r>
  <r>
    <n v="715"/>
    <x v="2"/>
    <x v="35"/>
    <s v="eth1/48"/>
    <x v="0"/>
    <x v="0"/>
    <x v="0"/>
    <m/>
    <x v="0"/>
    <b v="0"/>
    <s v="No está en VPC"/>
    <n v="715"/>
    <s v="INTPG-VPC_MGMT-20113_716_1.47_715_1.48"/>
    <s v="ISEL-1.48"/>
    <n v="4"/>
    <s v="NO TIENE L3OUT"/>
    <n v="0"/>
    <n v="54"/>
  </r>
  <r>
    <n v="427"/>
    <x v="1"/>
    <x v="36"/>
    <s v="eth1/48"/>
    <x v="0"/>
    <x v="0"/>
    <x v="0"/>
    <s v="TO-00S2.114.18.RPDUA_RPDU"/>
    <x v="1"/>
    <b v="0"/>
    <s v="No está en VPC"/>
    <n v="427"/>
    <s v="INTPG_ACC_427_1.48"/>
    <s v="ISEL-1.48"/>
    <n v="1"/>
    <s v="NO TIENE L3OUT"/>
    <n v="10"/>
    <n v="54"/>
  </r>
  <r>
    <n v="711"/>
    <x v="2"/>
    <x v="37"/>
    <s v="eth1/48"/>
    <x v="0"/>
    <x v="0"/>
    <x v="0"/>
    <m/>
    <x v="0"/>
    <b v="0"/>
    <s v="No está en VPC"/>
    <n v="711"/>
    <s v="INTPG-VPC_MGMT-10213_710_1.47_711_1.48"/>
    <s v="ISEL-1.48"/>
    <n v="3"/>
    <s v="NO TIENE L3OUT"/>
    <n v="16"/>
    <n v="54"/>
  </r>
  <r>
    <n v="716"/>
    <x v="2"/>
    <x v="38"/>
    <s v="eth1/48"/>
    <x v="0"/>
    <x v="0"/>
    <x v="0"/>
    <m/>
    <x v="0"/>
    <b v="0"/>
    <s v="No está en VPC"/>
    <n v="716"/>
    <s v="INTPG-VPC_MGMT-20112_715_1.47_716_1.48"/>
    <s v="ISEL-1.48"/>
    <n v="3"/>
    <s v="NO TIENE L3OUT"/>
    <n v="0"/>
    <n v="54"/>
  </r>
  <r>
    <n v="702"/>
    <x v="2"/>
    <x v="39"/>
    <s v="eth1/48"/>
    <x v="0"/>
    <x v="0"/>
    <x v="0"/>
    <m/>
    <x v="0"/>
    <b v="0"/>
    <s v="No está en VPC"/>
    <n v="702"/>
    <s v="INTPG-VPC_MGMT-10109_701_1.47_702_1.48"/>
    <s v="ISEL-1.48"/>
    <n v="5"/>
    <s v="NO TIENE L3OUT"/>
    <n v="0"/>
    <n v="54"/>
  </r>
  <r>
    <n v="435"/>
    <x v="1"/>
    <x v="40"/>
    <s v="eth1/48"/>
    <x v="0"/>
    <x v="0"/>
    <x v="0"/>
    <s v="TO-00S2.117.18.RPDUB_RPDU"/>
    <x v="1"/>
    <b v="0"/>
    <s v="No está en VPC"/>
    <n v="435"/>
    <s v="INTPG_ACC_435_1.48"/>
    <s v="ISEL-1.48"/>
    <n v="1"/>
    <s v="NO TIENE L3OUT"/>
    <n v="34"/>
    <n v="54"/>
  </r>
  <r>
    <n v="446"/>
    <x v="1"/>
    <x v="41"/>
    <s v="eth1/48"/>
    <x v="0"/>
    <x v="1"/>
    <x v="3"/>
    <m/>
    <x v="0"/>
    <b v="0"/>
    <s v="No está en VPC"/>
    <n v="446"/>
    <s v="NO EXISTE PG"/>
    <s v="NO EXISTE ISEL"/>
    <n v="0"/>
    <s v="NO TIENE L3OUT"/>
    <n v="198"/>
    <n v="54"/>
  </r>
  <r>
    <n v="444"/>
    <x v="1"/>
    <x v="42"/>
    <s v="eth1/48"/>
    <x v="0"/>
    <x v="1"/>
    <x v="3"/>
    <m/>
    <x v="0"/>
    <b v="0"/>
    <s v="No está en VPC"/>
    <n v="444"/>
    <s v="NO EXISTE PG"/>
    <s v="NO EXISTE ISEL"/>
    <n v="0"/>
    <s v="NO TIENE L3OUT"/>
    <n v="234"/>
    <n v="54"/>
  </r>
  <r>
    <n v="701"/>
    <x v="2"/>
    <x v="43"/>
    <s v="eth1/48"/>
    <x v="0"/>
    <x v="0"/>
    <x v="0"/>
    <m/>
    <x v="0"/>
    <b v="0"/>
    <s v="No está en VPC"/>
    <n v="701"/>
    <s v="INTPG-VPC_MGMT-10111_702_1.47_701_1.48"/>
    <s v="ISEL-1.48"/>
    <n v="3"/>
    <s v="NO TIENE L3OUT"/>
    <n v="0"/>
    <n v="54"/>
  </r>
  <r>
    <n v="440"/>
    <x v="1"/>
    <x v="44"/>
    <s v="eth1/48"/>
    <x v="0"/>
    <x v="0"/>
    <x v="0"/>
    <s v="TO-00S2.214.17.RPDUA_RPDU"/>
    <x v="1"/>
    <b v="0"/>
    <s v="No está en VPC"/>
    <n v="440"/>
    <s v="INTPG_ACC_440_1.48"/>
    <s v="ISEL-1.48"/>
    <n v="1"/>
    <s v="NO TIENE L3OUT"/>
    <n v="22"/>
    <n v="54"/>
  </r>
  <r>
    <n v="448"/>
    <x v="1"/>
    <x v="45"/>
    <s v="eth1/48"/>
    <x v="0"/>
    <x v="0"/>
    <x v="0"/>
    <s v="To_ITHEA1C_eth3"/>
    <x v="0"/>
    <b v="0"/>
    <s v="No está en VPC"/>
    <n v="448"/>
    <s v="INTPG_ACC_448_1.48"/>
    <s v="ISEL-1.48"/>
    <n v="4"/>
    <s v="NO TIENE L3OUT"/>
    <n v="46"/>
    <n v="54"/>
  </r>
  <r>
    <n v="704"/>
    <x v="2"/>
    <x v="46"/>
    <s v="eth1/48"/>
    <x v="0"/>
    <x v="0"/>
    <x v="0"/>
    <m/>
    <x v="0"/>
    <b v="0"/>
    <s v="No está en VPC"/>
    <n v="704"/>
    <s v="INTPG-VPC_MGMT-10112_703_1.47_704_1.48"/>
    <s v="ISEL-1.48"/>
    <n v="4"/>
    <s v="NO TIENE L3OUT"/>
    <n v="0"/>
    <n v="54"/>
  </r>
  <r>
    <n v="729"/>
    <x v="2"/>
    <x v="47"/>
    <s v="eth1/48"/>
    <x v="0"/>
    <x v="0"/>
    <x v="0"/>
    <m/>
    <x v="0"/>
    <b v="0"/>
    <s v="No está en VPC"/>
    <n v="729"/>
    <s v="INTPG-VPC_MGMT-10317_728_1.47_729_1.48"/>
    <s v="ISEL-1.48"/>
    <n v="2"/>
    <s v="NO TIENE L3OUT"/>
    <n v="4"/>
    <n v="54"/>
  </r>
  <r>
    <n v="728"/>
    <x v="2"/>
    <x v="48"/>
    <s v="eth1/48"/>
    <x v="0"/>
    <x v="0"/>
    <x v="0"/>
    <m/>
    <x v="0"/>
    <b v="0"/>
    <s v="No está en VPC"/>
    <n v="728"/>
    <s v="INTPG-VPC_MGMT-10316_729_1.47_728_1.48"/>
    <s v="ISEL-1.48"/>
    <n v="2"/>
    <s v="NO TIENE L3OUT"/>
    <n v="2"/>
    <n v="54"/>
  </r>
  <r>
    <n v="456"/>
    <x v="1"/>
    <x v="49"/>
    <s v="eth1/48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48"/>
    <x v="0"/>
    <x v="0"/>
    <x v="0"/>
    <m/>
    <x v="0"/>
    <b v="0"/>
    <s v="No está en VPC"/>
    <n v="746"/>
    <s v="INTPG_VPC_MGMT_10311_745_1.47_746_1.48"/>
    <s v="ISEL-1.48"/>
    <n v="6"/>
    <s v="NO TIENE L3OUT"/>
    <n v="0"/>
    <n v="54"/>
  </r>
  <r>
    <n v="745"/>
    <x v="2"/>
    <x v="52"/>
    <s v="eth1/48"/>
    <x v="0"/>
    <x v="0"/>
    <x v="0"/>
    <m/>
    <x v="0"/>
    <b v="0"/>
    <s v="No está en VPC"/>
    <n v="745"/>
    <s v="INTPG_VPC_MGMT_10308_746_1.47_745_1.48"/>
    <s v="ISEL-1.48"/>
    <n v="8"/>
    <s v="NO TIENE L3OUT"/>
    <n v="0"/>
    <n v="54"/>
  </r>
  <r>
    <n v="730"/>
    <x v="2"/>
    <x v="53"/>
    <s v="eth1/48"/>
    <x v="0"/>
    <x v="0"/>
    <x v="0"/>
    <m/>
    <x v="0"/>
    <b v="0"/>
    <s v="No está en VPC"/>
    <n v="730"/>
    <s v="INTPG-VPC_MGMT-10416_731_1.47_730_1.48"/>
    <s v="ISEL-1.48"/>
    <n v="3"/>
    <s v="NO TIENE L3OUT"/>
    <n v="36"/>
    <n v="54"/>
  </r>
  <r>
    <n v="722"/>
    <x v="2"/>
    <x v="54"/>
    <s v="eth1/48"/>
    <x v="0"/>
    <x v="0"/>
    <x v="0"/>
    <m/>
    <x v="0"/>
    <b v="0"/>
    <s v="No está en VPC"/>
    <n v="722"/>
    <s v="INTPG-VPC_MGMT-20213_723_1.47_722_1.48"/>
    <s v="ISEL-1.48"/>
    <n v="3"/>
    <s v="NO TIENE L3OUT"/>
    <n v="0"/>
    <n v="54"/>
  </r>
  <r>
    <n v="733"/>
    <x v="2"/>
    <x v="55"/>
    <s v="eth1/48"/>
    <x v="0"/>
    <x v="0"/>
    <x v="0"/>
    <m/>
    <x v="0"/>
    <b v="0"/>
    <s v="No está en VPC"/>
    <n v="733"/>
    <s v="INTPG-VPC_MGMT-10318_732_1.47_733_1.48"/>
    <s v="ISEL-1.48"/>
    <n v="3"/>
    <s v="NO TIENE L3OUT"/>
    <n v="0"/>
    <n v="54"/>
  </r>
  <r>
    <n v="755"/>
    <x v="2"/>
    <x v="56"/>
    <s v="eth1/48"/>
    <x v="0"/>
    <x v="0"/>
    <x v="0"/>
    <m/>
    <x v="0"/>
    <b v="0"/>
    <s v="No está en VPC"/>
    <n v="755"/>
    <s v="INTPG_VPC_MGMT_10108_756_1.47_755_1.48"/>
    <s v="ISEL-1.48"/>
    <n v="16"/>
    <s v="NO TIENE L3OUT"/>
    <n v="52"/>
    <n v="54"/>
  </r>
  <r>
    <n v="748"/>
    <x v="2"/>
    <x v="57"/>
    <s v="eth1/48"/>
    <x v="0"/>
    <x v="0"/>
    <x v="0"/>
    <m/>
    <x v="0"/>
    <b v="0"/>
    <s v="No está en VPC"/>
    <n v="748"/>
    <s v="INTPG_VPC_MGMT_10412_749_1.47_748_1.48"/>
    <s v="ISEL-1.48"/>
    <n v="6"/>
    <s v="NO TIENE L3OUT"/>
    <n v="2"/>
    <n v="54"/>
  </r>
  <r>
    <n v="756"/>
    <x v="2"/>
    <x v="58"/>
    <s v="eth1/48"/>
    <x v="0"/>
    <x v="0"/>
    <x v="0"/>
    <m/>
    <x v="0"/>
    <b v="0"/>
    <s v="No está en VPC"/>
    <n v="756"/>
    <s v="INTPG_VPC_MGMT_10106_755_1.47_756_1.48"/>
    <s v="ISEL-1.48"/>
    <n v="17"/>
    <s v="NO TIENE L3OUT"/>
    <n v="64"/>
    <n v="54"/>
  </r>
  <r>
    <n v="754"/>
    <x v="2"/>
    <x v="59"/>
    <s v="eth1/48"/>
    <x v="0"/>
    <x v="0"/>
    <x v="0"/>
    <s v="MGMT OSS FASE 2"/>
    <x v="0"/>
    <b v="0"/>
    <s v="No está en VPC"/>
    <n v="754"/>
    <s v="INTPG_VPC_MGMT_10103_753_1.47_754_1.48"/>
    <s v="ISEL-1.48"/>
    <n v="18"/>
    <s v="NO TIENE L3OUT"/>
    <n v="62"/>
    <n v="54"/>
  </r>
  <r>
    <n v="751"/>
    <x v="2"/>
    <x v="60"/>
    <s v="eth1/48"/>
    <x v="0"/>
    <x v="0"/>
    <x v="0"/>
    <m/>
    <x v="0"/>
    <b v="0"/>
    <s v="No está en VPC"/>
    <n v="751"/>
    <s v="INTPG_VPC_MGMT_10411_750_1.47_751_1.48"/>
    <s v="ISEL-1.48"/>
    <n v="4"/>
    <s v="NO TIENE L3OUT"/>
    <n v="0"/>
    <n v="54"/>
  </r>
  <r>
    <n v="769"/>
    <x v="2"/>
    <x v="61"/>
    <s v="eth1/48"/>
    <x v="0"/>
    <x v="0"/>
    <x v="0"/>
    <s v="MGMT OSS POD3"/>
    <x v="0"/>
    <b v="0"/>
    <s v="No está en VPC"/>
    <n v="769"/>
    <s v="INTPG_VPC_MGMT_20319_764_1.47_769_1.48"/>
    <s v="ISEL-1.48"/>
    <n v="13"/>
    <s v="NO TIENE L3OUT"/>
    <n v="60"/>
    <n v="54"/>
  </r>
  <r>
    <n v="742"/>
    <x v="2"/>
    <x v="62"/>
    <s v="eth1/48"/>
    <x v="0"/>
    <x v="1"/>
    <x v="1"/>
    <m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48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48"/>
    <x v="0"/>
    <x v="0"/>
    <x v="0"/>
    <s v="MGMT OSS POD3"/>
    <x v="0"/>
    <b v="0"/>
    <s v="No está en VPC"/>
    <n v="766"/>
    <s v="INTPG_VPC_MGMT_20318_765_1.47_766_1.48"/>
    <s v="ISEL-1.48"/>
    <n v="14"/>
    <s v="NO TIENE L3OUT"/>
    <n v="58"/>
    <n v="54"/>
  </r>
  <r>
    <n v="760"/>
    <x v="2"/>
    <x v="65"/>
    <s v="eth1/48"/>
    <x v="0"/>
    <x v="0"/>
    <x v="0"/>
    <s v="METASAN"/>
    <x v="0"/>
    <b v="0"/>
    <s v="No está en VPC"/>
    <n v="760"/>
    <s v="INTPG_VPC_MGMT_10817_761_1.47_760_1.48"/>
    <s v="ISEL-1.48"/>
    <n v="11"/>
    <s v="NO TIENE L3OUT"/>
    <n v="0"/>
    <n v="54"/>
  </r>
  <r>
    <n v="752"/>
    <x v="2"/>
    <x v="66"/>
    <s v="eth1/48"/>
    <x v="0"/>
    <x v="0"/>
    <x v="0"/>
    <m/>
    <x v="0"/>
    <b v="0"/>
    <s v="No está en VPC"/>
    <n v="752"/>
    <s v="INTPG_VPC_MGMT_10307_747_1.47_752_1.48"/>
    <s v="ISEL-1.48"/>
    <n v="5"/>
    <s v="NO TIENE L3OUT"/>
    <n v="0"/>
    <n v="54"/>
  </r>
  <r>
    <n v="765"/>
    <x v="2"/>
    <x v="67"/>
    <s v="eth1/48"/>
    <x v="0"/>
    <x v="0"/>
    <x v="0"/>
    <s v="MGMT OSS POD3"/>
    <x v="0"/>
    <b v="0"/>
    <s v="No está en VPC"/>
    <n v="765"/>
    <s v="INTPG_VPC_MGMT_20316_766_1.47_765_1.48"/>
    <s v="ISEL-1.48"/>
    <n v="10"/>
    <s v="NO TIENE L3OUT"/>
    <n v="60"/>
    <n v="54"/>
  </r>
  <r>
    <n v="778"/>
    <x v="2"/>
    <x v="68"/>
    <s v="eth1/48"/>
    <x v="0"/>
    <x v="0"/>
    <x v="0"/>
    <m/>
    <x v="0"/>
    <b v="0"/>
    <s v="No está en VPC"/>
    <n v="778"/>
    <s v="INTPG_VPC_MGMT_20208_779_1.47_778_1.48"/>
    <s v="ISEL-1.48"/>
    <n v="11"/>
    <s v="NO TIENE L3OUT"/>
    <n v="26"/>
    <n v="54"/>
  </r>
  <r>
    <n v="780"/>
    <x v="2"/>
    <x v="69"/>
    <s v="eth1/48"/>
    <x v="0"/>
    <x v="0"/>
    <x v="0"/>
    <s v="ENIQ F2"/>
    <x v="0"/>
    <b v="0"/>
    <s v="No está en VPC"/>
    <n v="780"/>
    <s v="INTPG_VPC_MGMT_20307_781_1.47_780_1.48"/>
    <s v="ISEL-1.48"/>
    <n v="8"/>
    <s v="NO TIENE L3OUT"/>
    <n v="26"/>
    <n v="54"/>
  </r>
  <r>
    <n v="812"/>
    <x v="2"/>
    <x v="70"/>
    <s v="eth1/48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48"/>
    <x v="0"/>
    <x v="0"/>
    <x v="0"/>
    <s v="LINK_HACIA_MGMT"/>
    <x v="0"/>
    <b v="0"/>
    <s v="No está en VPC"/>
    <n v="796"/>
    <s v="INTPG_VPC_MGMT_20505_795_1.47_796_1.48"/>
    <s v="ISEL-1.48"/>
    <n v="9"/>
    <s v="NO TIENE L3OUT"/>
    <n v="18"/>
    <n v="54"/>
  </r>
  <r>
    <n v="795"/>
    <x v="2"/>
    <x v="72"/>
    <s v="eth1/48"/>
    <x v="0"/>
    <x v="0"/>
    <x v="0"/>
    <s v="LINK_HACIA_MGMT"/>
    <x v="0"/>
    <b v="0"/>
    <s v="No está en VPC"/>
    <n v="795"/>
    <s v="INTPG_VPC_MGMT_20506_796_1.47_795_1.48"/>
    <s v="ISEL-1.48"/>
    <n v="6"/>
    <s v="NO TIENE L3OUT"/>
    <n v="18"/>
    <n v="54"/>
  </r>
  <r>
    <n v="749"/>
    <x v="2"/>
    <x v="73"/>
    <s v="eth1/48"/>
    <x v="0"/>
    <x v="0"/>
    <x v="0"/>
    <m/>
    <x v="0"/>
    <b v="0"/>
    <s v="No está en VPC"/>
    <n v="749"/>
    <s v="INTPG_VPC_MGMT_10414_748_1.47_749_1.48"/>
    <s v="ISEL-1.48"/>
    <n v="4"/>
    <s v="NO TIENE L3OUT"/>
    <n v="4"/>
    <n v="54"/>
  </r>
  <r>
    <n v="824"/>
    <x v="2"/>
    <x v="74"/>
    <s v="eth1/48"/>
    <x v="0"/>
    <x v="1"/>
    <x v="3"/>
    <m/>
    <x v="0"/>
    <b v="0"/>
    <s v="No está en VPC"/>
    <n v="824"/>
    <s v="NO EXISTE PG"/>
    <s v="NO EXISTE ISEL"/>
    <n v="0"/>
    <s v="NO TIENE L3OUT"/>
    <n v="70"/>
    <n v="54"/>
  </r>
  <r>
    <n v="819"/>
    <x v="2"/>
    <x v="75"/>
    <s v="eth1/48"/>
    <x v="0"/>
    <x v="1"/>
    <x v="3"/>
    <m/>
    <x v="0"/>
    <b v="0"/>
    <s v="No está en VPC"/>
    <n v="819"/>
    <s v="NO EXISTE PG"/>
    <s v="NO EXISTE ISEL"/>
    <n v="0"/>
    <s v="NO TIENE L3OUT"/>
    <n v="70"/>
    <n v="54"/>
  </r>
  <r>
    <n v="737"/>
    <x v="2"/>
    <x v="76"/>
    <s v="eth1/48"/>
    <x v="0"/>
    <x v="1"/>
    <x v="1"/>
    <m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48"/>
    <x v="0"/>
    <x v="0"/>
    <x v="0"/>
    <s v="LINK_HACIA_MGMT"/>
    <x v="0"/>
    <b v="0"/>
    <s v="No está en VPC"/>
    <n v="844"/>
    <s v="INTPG_VPC_MGMT_11018_851_1.47_844_1.48"/>
    <s v="ISEL-1.48"/>
    <n v="2"/>
    <s v="NO TIENE L3OUT"/>
    <n v="282"/>
    <n v="54"/>
  </r>
  <r>
    <n v="843"/>
    <x v="2"/>
    <x v="78"/>
    <s v="eth1/48"/>
    <x v="0"/>
    <x v="0"/>
    <x v="0"/>
    <s v="LINK_TO_ITHFHWSEQLHDPS69 / Slot 4 PTO 1 / Principal"/>
    <x v="0"/>
    <b v="0"/>
    <s v="No está en VPC"/>
    <n v="843"/>
    <s v="INTPG_ACC_843_1.48"/>
    <s v="ISEL-1.48"/>
    <n v="1"/>
    <s v="NO TIENE L3OUT"/>
    <n v="38"/>
    <n v="54"/>
  </r>
  <r>
    <n v="797"/>
    <x v="2"/>
    <x v="79"/>
    <s v="eth1/48"/>
    <x v="0"/>
    <x v="0"/>
    <x v="0"/>
    <s v="LINK_HACIA_MGMT"/>
    <x v="0"/>
    <b v="0"/>
    <s v="No está en VPC"/>
    <n v="797"/>
    <s v="INTPG_VPC_MGMT_10604_802_1.47_797_1.48"/>
    <s v="ISEL-1.48"/>
    <n v="4"/>
    <s v="NO TIENE L3OUT"/>
    <n v="48"/>
    <n v="54"/>
  </r>
  <r>
    <n v="839"/>
    <x v="2"/>
    <x v="80"/>
    <s v="eth1/48"/>
    <x v="0"/>
    <x v="0"/>
    <x v="0"/>
    <s v="LINK_HACIA_MGMT"/>
    <x v="0"/>
    <b v="0"/>
    <s v="No está en VPC"/>
    <n v="839"/>
    <s v="INTPG_VPC_MGMT_20919_834_1.47_839_1.48"/>
    <s v="ISEL-1.48"/>
    <n v="5"/>
    <s v="NO TIENE L3OUT"/>
    <n v="0"/>
    <n v="54"/>
  </r>
  <r>
    <n v="847"/>
    <x v="2"/>
    <x v="81"/>
    <s v="eth1/48"/>
    <x v="0"/>
    <x v="0"/>
    <x v="0"/>
    <s v="LINK_TO_ITHFHWCRMPLCN154 / Slot7.2_10 / Redundante"/>
    <x v="0"/>
    <b v="0"/>
    <s v="No está en VPC"/>
    <n v="847"/>
    <s v="INTPG_ACC_847_1.48"/>
    <s v="ISEL-1.48"/>
    <n v="2"/>
    <s v="NO TIENE L3OUT"/>
    <n v="204"/>
    <n v="54"/>
  </r>
  <r>
    <n v="848"/>
    <x v="2"/>
    <x v="82"/>
    <s v="eth1/48"/>
    <x v="0"/>
    <x v="0"/>
    <x v="0"/>
    <s v="VPC_2DCRMP_BDA11_2"/>
    <x v="0"/>
    <b v="0"/>
    <s v="No está en VPC"/>
    <n v="848"/>
    <s v="INTPG_VPC_855_1.48_848_1.48"/>
    <s v="ISEL-1.48"/>
    <n v="2"/>
    <s v="NO TIENE L3OUT"/>
    <n v="254"/>
    <n v="54"/>
  </r>
  <r>
    <n v="846"/>
    <x v="2"/>
    <x v="83"/>
    <s v="eth1/48"/>
    <x v="0"/>
    <x v="0"/>
    <x v="0"/>
    <s v="LINK_TO_ITHFHWCRMPLCN87 / Slot1.3_32 / Principal"/>
    <x v="0"/>
    <b v="0"/>
    <s v="No está en VPC"/>
    <n v="846"/>
    <s v="INTPG_ACC_846_1.48"/>
    <s v="ISEL-1.48"/>
    <n v="1"/>
    <s v="NO TIENE L3OUT"/>
    <n v="242"/>
    <n v="54"/>
  </r>
  <r>
    <n v="838"/>
    <x v="2"/>
    <x v="84"/>
    <s v="eth1/48"/>
    <x v="0"/>
    <x v="0"/>
    <x v="0"/>
    <s v="LINK_TO_ITHFHWSEQLHDPS69 / Slot 5 PTO 1 / Redundante"/>
    <x v="0"/>
    <b v="0"/>
    <s v="No está en VPC"/>
    <n v="838"/>
    <s v="INTPG_ACC_838_1.48"/>
    <s v="ISEL-1.48"/>
    <n v="1"/>
    <s v="NO TIENE L3OUT"/>
    <n v="38"/>
    <n v="54"/>
  </r>
  <r>
    <n v="849"/>
    <x v="2"/>
    <x v="85"/>
    <s v="eth1/48"/>
    <x v="0"/>
    <x v="0"/>
    <x v="0"/>
    <s v="LINK_TO_ITHFHWCRMPLCN150 / Slot7.2_34 / Redundante"/>
    <x v="0"/>
    <b v="0"/>
    <s v="No está en VPC"/>
    <n v="849"/>
    <s v="INTPG_ACC_849_1.48"/>
    <s v="ISEL-1.48"/>
    <n v="2"/>
    <s v="NO TIENE L3OUT"/>
    <n v="286"/>
    <n v="54"/>
  </r>
  <r>
    <n v="845"/>
    <x v="2"/>
    <x v="86"/>
    <s v="eth1/48"/>
    <x v="0"/>
    <x v="0"/>
    <x v="0"/>
    <s v="VPC_2DCRMP_BDP05_1"/>
    <x v="0"/>
    <b v="0"/>
    <s v="No está en VPC"/>
    <n v="845"/>
    <s v="INTPG_VPC_845_1.48_852_1.48"/>
    <s v="ISEL-1.48"/>
    <n v="6"/>
    <s v="NO TIENE L3OUT"/>
    <n v="258"/>
    <n v="54"/>
  </r>
  <r>
    <n v="873"/>
    <x v="2"/>
    <x v="87"/>
    <s v="eth1/48"/>
    <x v="0"/>
    <x v="0"/>
    <x v="0"/>
    <s v="To_ITHFHWCRMDLCN39_Redundante"/>
    <x v="0"/>
    <b v="0"/>
    <s v="No está en VPC"/>
    <n v="873"/>
    <s v="INTPG_ACC_873_1.48"/>
    <s v="ISEL-1.48"/>
    <n v="1"/>
    <s v="NO TIENE L3OUT"/>
    <n v="248"/>
    <n v="54"/>
  </r>
  <r>
    <n v="864"/>
    <x v="2"/>
    <x v="88"/>
    <s v="eth1/48"/>
    <x v="0"/>
    <x v="0"/>
    <x v="0"/>
    <s v="To_VPC_2DCBSD_WR51_3"/>
    <x v="0"/>
    <b v="0"/>
    <s v="No está en VPC"/>
    <n v="864"/>
    <s v="INTPG_VPC_859_1.48_864_1.48"/>
    <s v="ISEL-1.48"/>
    <n v="1"/>
    <s v="NO TIENE L3OUT"/>
    <n v="0"/>
    <n v="54"/>
  </r>
  <r>
    <n v="836"/>
    <x v="2"/>
    <x v="89"/>
    <s v="eth1/48"/>
    <x v="0"/>
    <x v="0"/>
    <x v="0"/>
    <s v="LINK_TO_ITHFHWCBSPSHD30 / Slot1.2_24 / Principal"/>
    <x v="0"/>
    <b v="0"/>
    <s v="No está en VPC"/>
    <n v="836"/>
    <s v="INTPG_VPC_836_1.48_841_1.48"/>
    <s v="ISEL-1.48"/>
    <n v="1"/>
    <s v="NO TIENE L3OUT"/>
    <n v="0"/>
    <n v="54"/>
  </r>
  <r>
    <n v="834"/>
    <x v="2"/>
    <x v="90"/>
    <s v="eth1/48"/>
    <x v="0"/>
    <x v="0"/>
    <x v="0"/>
    <s v="LINK_HACIA_MGMT"/>
    <x v="0"/>
    <b v="0"/>
    <s v="No está en VPC"/>
    <n v="834"/>
    <s v="INTPG_VPC_MGMT_21019_839_1.47_834_1.48"/>
    <s v="ISEL-1.48"/>
    <n v="5"/>
    <s v="NO TIENE L3OUT"/>
    <n v="0"/>
    <n v="54"/>
  </r>
  <r>
    <n v="872"/>
    <x v="2"/>
    <x v="91"/>
    <s v="eth1/48"/>
    <x v="0"/>
    <x v="0"/>
    <x v="0"/>
    <s v="TO_ITHFHWCRMDLCN53_Principal"/>
    <x v="0"/>
    <b v="0"/>
    <s v="No está en VPC"/>
    <n v="872"/>
    <s v="INTPG_ACC_872_1.48"/>
    <s v="ISEL-1.48"/>
    <n v="6"/>
    <s v="NO TIENE L3OUT"/>
    <n v="288"/>
    <n v="54"/>
  </r>
  <r>
    <n v="842"/>
    <x v="2"/>
    <x v="92"/>
    <s v="eth1/48"/>
    <x v="0"/>
    <x v="0"/>
    <x v="0"/>
    <s v="LINK_To_ITHFHWCBSPSHD24 / Slot7.1_24 / Redundante"/>
    <x v="0"/>
    <b v="0"/>
    <s v="No está en VPC"/>
    <n v="842"/>
    <s v="INTPG_VPC_837_1.48_842_1.48"/>
    <s v="ISEL-1.48"/>
    <n v="2"/>
    <s v="NO TIENE L3OUT"/>
    <n v="8"/>
    <n v="54"/>
  </r>
  <r>
    <n v="828"/>
    <x v="2"/>
    <x v="93"/>
    <s v="eth1/48"/>
    <x v="0"/>
    <x v="0"/>
    <x v="0"/>
    <s v="To_ITHFHWCRMDLCN43_Principal"/>
    <x v="0"/>
    <b v="0"/>
    <s v="No está en VPC"/>
    <n v="828"/>
    <s v="INTPG_ACC_828_1.48"/>
    <s v="ISEL-1.48"/>
    <n v="6"/>
    <s v="NO TIENE L3OUT"/>
    <n v="192"/>
    <n v="54"/>
  </r>
  <r>
    <n v="870"/>
    <x v="2"/>
    <x v="94"/>
    <s v="eth1/48"/>
    <x v="0"/>
    <x v="0"/>
    <x v="0"/>
    <s v="To_ITHFHWCRMDLCN39_Principal"/>
    <x v="0"/>
    <b v="0"/>
    <s v="No está en VPC"/>
    <n v="870"/>
    <s v="INTPG_ACC_870_1.48"/>
    <s v="ISEL-1.48"/>
    <n v="1"/>
    <s v="NO TIENE L3OUT"/>
    <n v="248"/>
    <n v="54"/>
  </r>
  <r>
    <n v="866"/>
    <x v="2"/>
    <x v="95"/>
    <s v="eth1/48"/>
    <x v="0"/>
    <x v="0"/>
    <x v="0"/>
    <s v="To_VPC_2DCBSD_WR37_2"/>
    <x v="0"/>
    <b v="0"/>
    <s v="No está en VPC"/>
    <n v="866"/>
    <s v="INTPG_VPC_861_1.48_866_1.48"/>
    <s v="ISEL-1.48"/>
    <n v="1"/>
    <s v="NO TIENE L3OUT"/>
    <n v="8"/>
    <n v="54"/>
  </r>
  <r>
    <n v="862"/>
    <x v="2"/>
    <x v="96"/>
    <s v="eth1/48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48"/>
    <x v="0"/>
    <x v="0"/>
    <x v="0"/>
    <s v="VPC_2DCRMP_BDA11_2"/>
    <x v="0"/>
    <b v="0"/>
    <s v="No está en VPC"/>
    <n v="855"/>
    <s v="INTPG_VPC_855_1.48_848_1.48"/>
    <s v="ISEL-1.48"/>
    <n v="2"/>
    <s v="NO TIENE L3OUT"/>
    <n v="254"/>
    <n v="54"/>
  </r>
  <r>
    <n v="871"/>
    <x v="2"/>
    <x v="98"/>
    <s v="eth1/48"/>
    <x v="0"/>
    <x v="0"/>
    <x v="0"/>
    <s v="LINK_HACIA_MGMT"/>
    <x v="0"/>
    <b v="0"/>
    <s v="No está en VPC"/>
    <n v="871"/>
    <s v="INTPG_VPC_MGMT_11318_868_1.47_871_1.48"/>
    <s v="ISEL-1.48"/>
    <n v="2"/>
    <s v="NO TIENE L3OUT"/>
    <n v="246"/>
    <n v="54"/>
  </r>
  <r>
    <n v="841"/>
    <x v="2"/>
    <x v="99"/>
    <s v="eth1/48"/>
    <x v="0"/>
    <x v="0"/>
    <x v="0"/>
    <s v="LINK_TO_ITHFHWCBSPSHD30 / Slot7.2_24 / Redundante"/>
    <x v="0"/>
    <b v="0"/>
    <s v="No está en VPC"/>
    <n v="841"/>
    <s v="INTPG_VPC_836_1.48_841_1.48"/>
    <s v="ISEL-1.48"/>
    <n v="1"/>
    <s v="NO TIENE L3OUT"/>
    <n v="0"/>
    <n v="54"/>
  </r>
  <r>
    <n v="868"/>
    <x v="2"/>
    <x v="100"/>
    <s v="eth1/48"/>
    <x v="0"/>
    <x v="0"/>
    <x v="0"/>
    <s v="LINK_HACIA_MGMT"/>
    <x v="0"/>
    <b v="0"/>
    <s v="No está en VPC"/>
    <n v="868"/>
    <s v="INTPG_VPC_MGMT_11418_871_1.47_868_1.48"/>
    <s v="ISEL-1.48"/>
    <n v="2"/>
    <s v="NO TIENE L3OUT"/>
    <n v="246"/>
    <n v="54"/>
  </r>
  <r>
    <n v="869"/>
    <x v="2"/>
    <x v="101"/>
    <s v="eth1/48"/>
    <x v="0"/>
    <x v="0"/>
    <x v="0"/>
    <s v="TO_ITHFHWCRMDLCN53_Redundante"/>
    <x v="0"/>
    <b v="0"/>
    <s v="No está en VPC"/>
    <n v="869"/>
    <s v="INTPG_ACC_869_1.48"/>
    <s v="ISEL-1.48"/>
    <n v="6"/>
    <s v="NO TIENE L3OUT"/>
    <n v="288"/>
    <n v="54"/>
  </r>
  <r>
    <n v="861"/>
    <x v="2"/>
    <x v="102"/>
    <s v="eth1/48"/>
    <x v="0"/>
    <x v="0"/>
    <x v="0"/>
    <s v="To_VPC_2DCBSD_WR37_2"/>
    <x v="0"/>
    <b v="0"/>
    <s v="No está en VPC"/>
    <n v="861"/>
    <s v="INTPG_VPC_861_1.48_866_1.48"/>
    <s v="ISEL-1.48"/>
    <n v="1"/>
    <s v="NO TIENE L3OUT"/>
    <n v="8"/>
    <n v="54"/>
  </r>
  <r>
    <n v="874"/>
    <x v="2"/>
    <x v="103"/>
    <s v="eth1/48"/>
    <x v="0"/>
    <x v="0"/>
    <x v="0"/>
    <s v="LINK_HACIA_MGMT"/>
    <x v="4"/>
    <b v="0"/>
    <s v="No está en VPC"/>
    <n v="874"/>
    <s v="INTPG_VPC_MGMT_21019_876_1.47_874_1.48"/>
    <s v="ISEL-1.48"/>
    <n v="4"/>
    <s v="NO TIENE L3OUT"/>
    <n v="92"/>
    <n v="54"/>
  </r>
  <r>
    <n v="865"/>
    <x v="2"/>
    <x v="104"/>
    <s v="eth1/48"/>
    <x v="0"/>
    <x v="0"/>
    <x v="0"/>
    <s v="To_VPC_2DCBSD_WR41_3"/>
    <x v="0"/>
    <b v="0"/>
    <s v="No está en VPC"/>
    <n v="865"/>
    <s v="INTPG_VPC_860_1.48_865_1.48"/>
    <s v="ISEL-1.48"/>
    <n v="1"/>
    <s v="NO TIENE L3OUT"/>
    <n v="0"/>
    <n v="54"/>
  </r>
  <r>
    <n v="753"/>
    <x v="2"/>
    <x v="105"/>
    <s v="eth1/48"/>
    <x v="0"/>
    <x v="0"/>
    <x v="0"/>
    <m/>
    <x v="0"/>
    <b v="0"/>
    <s v="No está en VPC"/>
    <n v="753"/>
    <s v="INTPG_VPC_MGMT_10104_754_1.47_753_1.48"/>
    <s v="ISEL-1.48"/>
    <n v="18"/>
    <s v="NO TIENE L3OUT"/>
    <n v="62"/>
    <n v="54"/>
  </r>
  <r>
    <n v="708"/>
    <x v="2"/>
    <x v="106"/>
    <s v="eth1/48"/>
    <x v="0"/>
    <x v="0"/>
    <x v="0"/>
    <m/>
    <x v="0"/>
    <b v="0"/>
    <s v="No está en VPC"/>
    <n v="708"/>
    <s v="INTPG-VPC_MGMT-10212_709_1.47_708_1.48"/>
    <s v="ISEL-1.48"/>
    <n v="3"/>
    <s v="NO TIENE L3OUT"/>
    <n v="0"/>
    <n v="54"/>
  </r>
  <r>
    <n v="710"/>
    <x v="2"/>
    <x v="107"/>
    <s v="eth1/48"/>
    <x v="0"/>
    <x v="0"/>
    <x v="0"/>
    <m/>
    <x v="0"/>
    <b v="0"/>
    <s v="No está en VPC"/>
    <n v="710"/>
    <s v="INTPG-VPC_MGMT-10215_711_1.47_710_1.48"/>
    <s v="ISEL-1.48"/>
    <n v="3"/>
    <s v="NO TIENE L3OUT"/>
    <n v="16"/>
    <n v="54"/>
  </r>
  <r>
    <n v="713"/>
    <x v="2"/>
    <x v="108"/>
    <s v="eth1/48"/>
    <x v="0"/>
    <x v="0"/>
    <x v="0"/>
    <m/>
    <x v="0"/>
    <b v="0"/>
    <s v="No está en VPC"/>
    <n v="713"/>
    <s v="INTPG-VPC_MGMT-10216_712_1.47_713_1.48"/>
    <s v="ISEL-1.48"/>
    <n v="6"/>
    <s v="NO TIENE L3OUT"/>
    <n v="32"/>
    <n v="54"/>
  </r>
  <r>
    <n v="735"/>
    <x v="2"/>
    <x v="109"/>
    <s v="eth1/48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48"/>
    <x v="0"/>
    <x v="0"/>
    <x v="0"/>
    <m/>
    <x v="0"/>
    <b v="0"/>
    <s v="No está en VPC"/>
    <n v="731"/>
    <s v="INTPG-VPC_MGMT-10417_730_1.47_731_1.48"/>
    <s v="ISEL-1.48"/>
    <n v="3"/>
    <s v="NO TIENE L3OUT"/>
    <n v="38"/>
    <n v="54"/>
  </r>
  <r>
    <n v="703"/>
    <x v="2"/>
    <x v="111"/>
    <s v="eth1/48"/>
    <x v="0"/>
    <x v="1"/>
    <x v="1"/>
    <m/>
    <x v="0"/>
    <b v="0"/>
    <s v="No está en VPC"/>
    <n v="703"/>
    <s v="INTPG-VPC_MGMT-10116_704_1.47_703_1.48"/>
    <s v="ISEL-1.48"/>
    <n v="3"/>
    <s v="NO TIENE L3OUT"/>
    <n v="2"/>
    <n v="54"/>
  </r>
  <r>
    <n v="706"/>
    <x v="2"/>
    <x v="112"/>
    <s v="eth1/48"/>
    <x v="0"/>
    <x v="0"/>
    <x v="0"/>
    <s v="LINK_HACIA_MGMT"/>
    <x v="0"/>
    <b v="0"/>
    <s v="No está en VPC"/>
    <n v="706"/>
    <s v="INTPG-VPC_MGMT-10117_705_1.47_706_1.48"/>
    <s v="ISEL-1.48"/>
    <n v="6"/>
    <s v="NO TIENE L3OUT"/>
    <n v="16"/>
    <n v="54"/>
  </r>
  <r>
    <n v="762"/>
    <x v="2"/>
    <x v="113"/>
    <s v="eth1/48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48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48"/>
    <x v="0"/>
    <x v="0"/>
    <x v="0"/>
    <s v="LINK_HACIA_MGMT"/>
    <x v="0"/>
    <b v="0"/>
    <s v="No está en VPC"/>
    <n v="826"/>
    <s v="INTPG_VPC_MGMT_11418_830_1.47_826_1.48"/>
    <s v="ISEL-1.48"/>
    <n v="5"/>
    <s v="NO TIENE L3OUT"/>
    <n v="12"/>
    <n v="54"/>
  </r>
  <r>
    <n v="726"/>
    <x v="2"/>
    <x v="117"/>
    <s v="eth1/48"/>
    <x v="0"/>
    <x v="0"/>
    <x v="0"/>
    <m/>
    <x v="0"/>
    <b v="0"/>
    <s v="No está en VPC"/>
    <n v="726"/>
    <s v="INTPG-VPC_MGMT-20218_727_1.47_726_1.48"/>
    <s v="ISEL-1.48"/>
    <n v="6"/>
    <s v="NO TIENE L3OUT"/>
    <n v="0"/>
    <n v="54"/>
  </r>
  <r>
    <n v="740"/>
    <x v="2"/>
    <x v="118"/>
    <s v="eth1/48"/>
    <x v="0"/>
    <x v="1"/>
    <x v="1"/>
    <m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48"/>
    <x v="0"/>
    <x v="0"/>
    <x v="0"/>
    <m/>
    <x v="0"/>
    <b v="0"/>
    <s v="No está en VPC"/>
    <n v="705"/>
    <s v="INTPG-VPC_MGMT-10118_706_1.47_705_1.48"/>
    <s v="ISEL-1.48"/>
    <n v="6"/>
    <s v="NO TIENE L3OUT"/>
    <n v="16"/>
    <n v="54"/>
  </r>
  <r>
    <n v="723"/>
    <x v="2"/>
    <x v="120"/>
    <s v="eth1/48"/>
    <x v="0"/>
    <x v="0"/>
    <x v="0"/>
    <m/>
    <x v="0"/>
    <b v="0"/>
    <s v="No está en VPC"/>
    <n v="723"/>
    <s v="INTPG-VPC_MGMT-20212_722_1.47_723_1.48"/>
    <s v="ISEL-1.48"/>
    <n v="3"/>
    <s v="NO TIENE L3OUT"/>
    <n v="0"/>
    <n v="54"/>
  </r>
  <r>
    <n v="721"/>
    <x v="2"/>
    <x v="121"/>
    <s v="eth1/48"/>
    <x v="0"/>
    <x v="0"/>
    <x v="0"/>
    <m/>
    <x v="0"/>
    <b v="0"/>
    <s v="No está en VPC"/>
    <n v="721"/>
    <s v="INTPG-VPC_MGMT-20110_714_1.47_721_1.48"/>
    <s v="ISEL-1.48"/>
    <n v="3"/>
    <s v="NO TIENE L3OUT"/>
    <n v="20"/>
    <n v="54"/>
  </r>
  <r>
    <n v="788"/>
    <x v="2"/>
    <x v="122"/>
    <s v="eth1/48"/>
    <x v="0"/>
    <x v="0"/>
    <x v="0"/>
    <s v="TAISHAN"/>
    <x v="0"/>
    <b v="0"/>
    <s v="No está en VPC"/>
    <n v="788"/>
    <s v="INTPG_VPC_MGMT_10206_789_1.47_788_1.48"/>
    <s v="ISEL-1.48"/>
    <n v="1"/>
    <s v="NO TIENE L3OUT"/>
    <n v="4"/>
    <n v="54"/>
  </r>
  <r>
    <n v="732"/>
    <x v="2"/>
    <x v="123"/>
    <s v="eth1/48"/>
    <x v="0"/>
    <x v="1"/>
    <x v="1"/>
    <m/>
    <x v="0"/>
    <b v="0"/>
    <s v="No está en VPC"/>
    <n v="732"/>
    <s v="INTPG-VPC_MGMT-10418_733_1.47_732_1.48"/>
    <s v="ISEL-1.48"/>
    <n v="4"/>
    <s v="NO TIENE L3OUT"/>
    <n v="0"/>
    <n v="54"/>
  </r>
  <r>
    <n v="720"/>
    <x v="2"/>
    <x v="124"/>
    <s v="eth1/48"/>
    <x v="0"/>
    <x v="0"/>
    <x v="0"/>
    <m/>
    <x v="0"/>
    <b v="0"/>
    <s v="No está en VPC"/>
    <n v="720"/>
    <s v="INTPG-VPC_MGMT-20118_719_1.47_720_1.48"/>
    <s v="ISEL-1.48"/>
    <n v="5"/>
    <s v="NO TIENE L3OUT"/>
    <n v="0"/>
    <n v="54"/>
  </r>
  <r>
    <n v="709"/>
    <x v="2"/>
    <x v="125"/>
    <s v="eth1/48"/>
    <x v="0"/>
    <x v="0"/>
    <x v="0"/>
    <m/>
    <x v="0"/>
    <b v="0"/>
    <s v="No está en VPC"/>
    <n v="709"/>
    <s v="INTPG-VPC_MGMT-10211_708_1.47_709_1.48"/>
    <s v="ISEL-1.48"/>
    <n v="3"/>
    <s v="NO TIENE L3OUT"/>
    <n v="0"/>
    <n v="54"/>
  </r>
  <r>
    <n v="454"/>
    <x v="1"/>
    <x v="126"/>
    <s v="eth1/48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48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48"/>
    <x v="0"/>
    <x v="1"/>
    <x v="1"/>
    <m/>
    <x v="0"/>
    <b v="0"/>
    <s v="No está en VPC"/>
    <n v="743"/>
    <s v="INTPG_VPC_MGMT_10312_744_1.47_743_1.48"/>
    <s v="ISEL-1.48"/>
    <n v="4"/>
    <s v="NO TIENE L3OUT"/>
    <n v="4"/>
    <n v="54"/>
  </r>
  <r>
    <n v="718"/>
    <x v="2"/>
    <x v="130"/>
    <s v="eth1/48"/>
    <x v="0"/>
    <x v="0"/>
    <x v="0"/>
    <m/>
    <x v="0"/>
    <b v="0"/>
    <s v="No está en VPC"/>
    <n v="718"/>
    <s v="INTPG-VPC_MGMT-20115_717_1.47_718_1.48"/>
    <s v="ISEL-1.48"/>
    <n v="3"/>
    <s v="NO TIENE L3OUT"/>
    <n v="0"/>
    <n v="54"/>
  </r>
  <r>
    <n v="744"/>
    <x v="2"/>
    <x v="131"/>
    <s v="eth1/48"/>
    <x v="0"/>
    <x v="0"/>
    <x v="0"/>
    <m/>
    <x v="0"/>
    <b v="0"/>
    <s v="No está en VPC"/>
    <n v="744"/>
    <s v="INTPG_VPC_MGMT_10313_743_1.47_744_1.48"/>
    <s v="ISEL-1.48"/>
    <n v="6"/>
    <s v="NO TIENE L3OUT"/>
    <n v="4"/>
    <n v="54"/>
  </r>
  <r>
    <n v="741"/>
    <x v="2"/>
    <x v="132"/>
    <s v="eth1/48"/>
    <x v="0"/>
    <x v="1"/>
    <x v="1"/>
    <m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48"/>
    <x v="0"/>
    <x v="0"/>
    <x v="0"/>
    <s v="ENIQ F2"/>
    <x v="0"/>
    <b v="0"/>
    <s v="No está en VPC"/>
    <n v="787"/>
    <s v="INTPG_VPC_MGMT_20410_786_1.47_787_1.48"/>
    <s v="ISEL-1.48"/>
    <n v="16"/>
    <s v="NO TIENE L3OUT"/>
    <n v="26"/>
    <n v="54"/>
  </r>
  <r>
    <n v="750"/>
    <x v="2"/>
    <x v="134"/>
    <s v="eth1/48"/>
    <x v="0"/>
    <x v="0"/>
    <x v="0"/>
    <m/>
    <x v="0"/>
    <b v="0"/>
    <s v="No está en VPC"/>
    <n v="750"/>
    <s v="INTPG_VPC_MGMT_10409_751_1.47_750_1.48"/>
    <s v="ISEL-1.48"/>
    <n v="6"/>
    <s v="NO TIENE L3OUT"/>
    <n v="2"/>
    <n v="54"/>
  </r>
  <r>
    <n v="792"/>
    <x v="2"/>
    <x v="135"/>
    <s v="eth1/48"/>
    <x v="0"/>
    <x v="0"/>
    <x v="0"/>
    <s v="CRM_CBS"/>
    <x v="0"/>
    <b v="0"/>
    <s v="No está en VPC"/>
    <n v="792"/>
    <s v="INTPG_VPC_MGMT_10406_757_1.47_792_1.48"/>
    <s v="ISEL-1.48"/>
    <n v="4"/>
    <s v="NO TIENE L3OUT"/>
    <n v="0"/>
    <n v="54"/>
  </r>
  <r>
    <n v="736"/>
    <x v="2"/>
    <x v="136"/>
    <s v="eth1/48"/>
    <x v="0"/>
    <x v="1"/>
    <x v="3"/>
    <m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48"/>
    <x v="0"/>
    <x v="0"/>
    <x v="0"/>
    <s v="LINK_HACIA_MGMT"/>
    <x v="0"/>
    <b v="0"/>
    <s v="No está en VPC"/>
    <n v="799"/>
    <s v="INTPG_VPC_MGMT_10506_798_1.47_799_1.48"/>
    <s v="ISEL-1.48"/>
    <n v="5"/>
    <s v="NO TIENE L3OUT"/>
    <n v="52"/>
    <n v="54"/>
  </r>
  <r>
    <n v="768"/>
    <x v="2"/>
    <x v="138"/>
    <s v="eth1/48"/>
    <x v="0"/>
    <x v="0"/>
    <x v="0"/>
    <s v="MGMT OSS POD3"/>
    <x v="0"/>
    <b v="0"/>
    <s v="No está en VPC"/>
    <n v="768"/>
    <s v="INTPG_VPC_MGMT_20314_767_1.47_768_1.48"/>
    <s v="ISEL-1.48"/>
    <n v="9"/>
    <s v="NO TIENE L3OUT"/>
    <n v="62"/>
    <n v="54"/>
  </r>
  <r>
    <n v="714"/>
    <x v="2"/>
    <x v="139"/>
    <s v="eth1/48"/>
    <x v="0"/>
    <x v="0"/>
    <x v="0"/>
    <m/>
    <x v="0"/>
    <b v="0"/>
    <s v="No está en VPC"/>
    <n v="714"/>
    <s v="INTPG-VPC_MGMT-20210_721_1.47_714_1.48"/>
    <s v="ISEL-1.48"/>
    <n v="4"/>
    <s v="NO TIENE L3OUT"/>
    <n v="20"/>
    <n v="54"/>
  </r>
  <r>
    <n v="717"/>
    <x v="2"/>
    <x v="140"/>
    <s v="eth1/48"/>
    <x v="0"/>
    <x v="0"/>
    <x v="0"/>
    <m/>
    <x v="0"/>
    <b v="0"/>
    <s v="No está en VPC"/>
    <n v="717"/>
    <s v="INTPG-VPC_MGMT-20116_718_1.47_717_1.48"/>
    <s v="ISEL-1.48"/>
    <n v="3"/>
    <s v="NO TIENE L3OUT"/>
    <n v="0"/>
    <n v="54"/>
  </r>
  <r>
    <n v="789"/>
    <x v="2"/>
    <x v="141"/>
    <s v="eth1/48"/>
    <x v="0"/>
    <x v="0"/>
    <x v="0"/>
    <s v="TAISHAN"/>
    <x v="0"/>
    <b v="0"/>
    <s v="No está en VPC"/>
    <n v="789"/>
    <s v="INTPG_VPC_MGMT_10204_788_1.47_789_1.48"/>
    <s v="ISEL-1.48"/>
    <n v="3"/>
    <s v="NO TIENE L3OUT"/>
    <n v="0"/>
    <n v="54"/>
  </r>
  <r>
    <n v="764"/>
    <x v="2"/>
    <x v="142"/>
    <s v="eth1/48"/>
    <x v="0"/>
    <x v="0"/>
    <x v="0"/>
    <s v="MGMT OSS POD3"/>
    <x v="0"/>
    <b v="0"/>
    <s v="No está en VPC"/>
    <n v="764"/>
    <s v="INTPG_VPC_MGMT_20419_769_1.47_764_1.48"/>
    <s v="ISEL-1.48"/>
    <n v="11"/>
    <s v="NO TIENE L3OUT"/>
    <n v="62"/>
    <n v="54"/>
  </r>
  <r>
    <n v="783"/>
    <x v="2"/>
    <x v="143"/>
    <s v="eth1/48"/>
    <x v="0"/>
    <x v="0"/>
    <x v="0"/>
    <s v="ENIQ F2"/>
    <x v="0"/>
    <b v="0"/>
    <s v="No está en VPC"/>
    <n v="783"/>
    <s v="INTPG_VPC_MGMT_20309_782_1.47_783_1.48"/>
    <s v="ISEL-1.48"/>
    <n v="9"/>
    <s v="NO TIENE L3OUT"/>
    <n v="26"/>
    <n v="54"/>
  </r>
  <r>
    <n v="774"/>
    <x v="2"/>
    <x v="144"/>
    <s v="eth1/48"/>
    <x v="0"/>
    <x v="0"/>
    <x v="0"/>
    <s v="MGMT CLOUD II"/>
    <x v="0"/>
    <b v="0"/>
    <s v="No está en VPC"/>
    <n v="774"/>
    <s v="INTPG_VPC_MGMT_20105_775_1.47_774_1.48"/>
    <s v="ISEL-1.48"/>
    <n v="4"/>
    <s v="NO TIENE L3OUT"/>
    <n v="0"/>
    <n v="54"/>
  </r>
  <r>
    <n v="773"/>
    <x v="2"/>
    <x v="145"/>
    <s v="eth1/48"/>
    <x v="0"/>
    <x v="0"/>
    <x v="0"/>
    <s v="MGMT OSS POD3"/>
    <x v="0"/>
    <b v="0"/>
    <s v="No está en VPC"/>
    <n v="773"/>
    <s v="INTPG_VPC_MGMT_20414_772_1.47_773_1.48"/>
    <s v="ISEL-1.48"/>
    <n v="6"/>
    <s v="NO TIENE L3OUT"/>
    <n v="78"/>
    <n v="54"/>
  </r>
  <r>
    <n v="794"/>
    <x v="2"/>
    <x v="146"/>
    <s v="eth1/48"/>
    <x v="0"/>
    <x v="0"/>
    <x v="0"/>
    <s v="LINK_HACIA_MGMT"/>
    <x v="0"/>
    <b v="0"/>
    <s v="No está en VPC"/>
    <n v="794"/>
    <s v="INTPG_VPC_MGMT_20712_793_1.47_794_1.48"/>
    <s v="ISEL-1.48"/>
    <n v="6"/>
    <s v="NO TIENE L3OUT"/>
    <n v="12"/>
    <n v="54"/>
  </r>
  <r>
    <n v="803"/>
    <x v="2"/>
    <x v="147"/>
    <s v="eth1/48"/>
    <x v="0"/>
    <x v="0"/>
    <x v="0"/>
    <s v="LINK_HACIA_MGMT"/>
    <x v="0"/>
    <b v="0"/>
    <s v="No está en VPC"/>
    <n v="803"/>
    <s v="INTPG_VPC_MGMT_10607_804_1.47_803_1.48"/>
    <s v="ISEL-1.48"/>
    <n v="5"/>
    <s v="NO TIENE L3OUT"/>
    <n v="48"/>
    <n v="54"/>
  </r>
  <r>
    <n v="786"/>
    <x v="2"/>
    <x v="148"/>
    <s v="eth1/48"/>
    <x v="0"/>
    <x v="0"/>
    <x v="0"/>
    <s v="ENIQ F2"/>
    <x v="0"/>
    <b v="0"/>
    <s v="No está en VPC"/>
    <n v="786"/>
    <s v="INTPG_VPC_MGMT_20412_787_1.47_786_1.48"/>
    <s v="ISEL-1.48"/>
    <n v="17"/>
    <s v="NO TIENE L3OUT"/>
    <n v="26"/>
    <n v="54"/>
  </r>
  <r>
    <n v="757"/>
    <x v="2"/>
    <x v="149"/>
    <s v="eth1/48"/>
    <x v="0"/>
    <x v="0"/>
    <x v="0"/>
    <s v="CRM_CBS"/>
    <x v="0"/>
    <b v="0"/>
    <s v="No está en VPC"/>
    <n v="757"/>
    <s v="INTPG_VPC_MGMT_10403_792_1.47_757_1.48"/>
    <s v="ISEL-1.48"/>
    <n v="4"/>
    <s v="NO TIENE L3OUT"/>
    <n v="0"/>
    <n v="54"/>
  </r>
  <r>
    <n v="781"/>
    <x v="2"/>
    <x v="150"/>
    <s v="eth1/48"/>
    <x v="0"/>
    <x v="0"/>
    <x v="0"/>
    <s v="ENIQ F2"/>
    <x v="0"/>
    <b v="0"/>
    <s v="No está en VPC"/>
    <n v="781"/>
    <s v="INTPG_VPC_MGMT_20305_780_1.47_781_1.48"/>
    <s v="ISEL-1.48"/>
    <n v="8"/>
    <s v="NO TIENE L3OUT"/>
    <n v="26"/>
    <n v="54"/>
  </r>
  <r>
    <n v="793"/>
    <x v="2"/>
    <x v="151"/>
    <s v="eth1/48"/>
    <x v="0"/>
    <x v="0"/>
    <x v="0"/>
    <s v="LINK_HACIA_MGMT"/>
    <x v="0"/>
    <b v="0"/>
    <s v="No está en VPC"/>
    <n v="793"/>
    <s v="INTPG_VPC_MGMT_20713_794_1.47_793_1.48"/>
    <s v="ISEL-1.48"/>
    <n v="5"/>
    <s v="NO TIENE L3OUT"/>
    <n v="12"/>
    <n v="54"/>
  </r>
  <r>
    <n v="747"/>
    <x v="2"/>
    <x v="152"/>
    <s v="eth1/48"/>
    <x v="0"/>
    <x v="0"/>
    <x v="0"/>
    <m/>
    <x v="0"/>
    <b v="0"/>
    <s v="No está en VPC"/>
    <n v="747"/>
    <s v="INTPG_VPC_MGMT_10407_752_1.47_747_1.48"/>
    <s v="ISEL-1.48"/>
    <n v="5"/>
    <s v="NO TIENE L3OUT"/>
    <n v="0"/>
    <n v="54"/>
  </r>
  <r>
    <n v="784"/>
    <x v="2"/>
    <x v="153"/>
    <s v="eth1/48"/>
    <x v="0"/>
    <x v="0"/>
    <x v="0"/>
    <s v="ENIQ F2"/>
    <x v="0"/>
    <b v="0"/>
    <s v="No está en VPC"/>
    <n v="784"/>
    <s v="INTPG_VPC_MGMT_20409_785_1.47_784_1.48"/>
    <s v="ISEL-1.48"/>
    <n v="8"/>
    <s v="NO TIENE L3OUT"/>
    <n v="26"/>
    <n v="54"/>
  </r>
  <r>
    <n v="806"/>
    <x v="2"/>
    <x v="154"/>
    <s v="eth1/48"/>
    <x v="0"/>
    <x v="0"/>
    <x v="0"/>
    <s v="LINK_HACIA_MGMT"/>
    <x v="0"/>
    <b v="0"/>
    <s v="No está en VPC"/>
    <n v="806"/>
    <s v="INTPG_VPC_MGMT_10609_805_1.47_806_1.48"/>
    <s v="ISEL-1.48"/>
    <n v="5"/>
    <s v="NO TIENE L3OUT"/>
    <n v="44"/>
    <n v="54"/>
  </r>
  <r>
    <n v="777"/>
    <x v="2"/>
    <x v="155"/>
    <s v="eth1/48"/>
    <x v="0"/>
    <x v="0"/>
    <x v="0"/>
    <s v="MGMT CLOUD II"/>
    <x v="0"/>
    <b v="0"/>
    <s v="No está en VPC"/>
    <n v="777"/>
    <s v="INTPG_VPC_MGMT_20107_776_1.47_777_1.48"/>
    <s v="ISEL-1.48"/>
    <n v="4"/>
    <s v="NO TIENE L3OUT"/>
    <n v="0"/>
    <n v="54"/>
  </r>
  <r>
    <n v="770"/>
    <x v="2"/>
    <x v="156"/>
    <s v="eth1/48"/>
    <x v="0"/>
    <x v="0"/>
    <x v="0"/>
    <s v="MGMT OSS POD3"/>
    <x v="0"/>
    <b v="0"/>
    <s v="No está en VPC"/>
    <n v="770"/>
    <s v="INTPG_VPC_MGMT_20416_771_1.47_770_1.48"/>
    <s v="ISEL-1.48"/>
    <n v="11"/>
    <s v="NO TIENE L3OUT"/>
    <n v="60"/>
    <n v="54"/>
  </r>
  <r>
    <n v="813"/>
    <x v="2"/>
    <x v="157"/>
    <s v="eth1/48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48"/>
    <x v="0"/>
    <x v="1"/>
    <x v="1"/>
    <m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48"/>
    <x v="0"/>
    <x v="0"/>
    <x v="0"/>
    <s v="MGMT CLOUD II"/>
    <x v="0"/>
    <b v="0"/>
    <s v="No está en VPC"/>
    <n v="775"/>
    <s v="INTPG_VPC_MGMT_20104_774_1.47_775_1.48"/>
    <s v="ISEL-1.48"/>
    <n v="4"/>
    <s v="NO TIENE L3OUT"/>
    <n v="0"/>
    <n v="54"/>
  </r>
  <r>
    <n v="791"/>
    <x v="2"/>
    <x v="160"/>
    <s v="eth1/48"/>
    <x v="0"/>
    <x v="0"/>
    <x v="0"/>
    <s v="TAISHAN_POD7"/>
    <x v="0"/>
    <b v="0"/>
    <s v="No está en VPC"/>
    <n v="791"/>
    <s v="INTPG_VPC_MGMT_20814_790_1.47_791_1.48"/>
    <s v="ISEL-1.48"/>
    <n v="6"/>
    <s v="NO TIENE L3OUT"/>
    <n v="20"/>
    <n v="54"/>
  </r>
  <r>
    <n v="808"/>
    <x v="2"/>
    <x v="161"/>
    <s v="eth1/48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48"/>
    <x v="0"/>
    <x v="0"/>
    <x v="0"/>
    <s v="LINK_HACIA_MGMT"/>
    <x v="0"/>
    <b v="0"/>
    <s v="No está en VPC"/>
    <n v="830"/>
    <s v="INTPG_VPC_MGMT_11318_826_1.47_830_1.48"/>
    <s v="ISEL-1.48"/>
    <n v="5"/>
    <s v="NO TIENE L3OUT"/>
    <n v="12"/>
    <n v="54"/>
  </r>
  <r>
    <n v="821"/>
    <x v="2"/>
    <x v="163"/>
    <s v="eth1/48"/>
    <x v="0"/>
    <x v="0"/>
    <x v="0"/>
    <s v="LINK_HACIA_MGMT"/>
    <x v="0"/>
    <b v="0"/>
    <s v="No está en VPC"/>
    <n v="821"/>
    <s v="INTPG_VPC_MGMT_10918_816_1.47_821_1.48"/>
    <s v="ISEL-1.48"/>
    <n v="4"/>
    <s v="NO TIENE L3OUT"/>
    <n v="0"/>
    <n v="54"/>
  </r>
  <r>
    <n v="738"/>
    <x v="2"/>
    <x v="164"/>
    <s v="eth1/48"/>
    <x v="0"/>
    <x v="1"/>
    <x v="1"/>
    <m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48"/>
    <x v="0"/>
    <x v="1"/>
    <x v="1"/>
    <m/>
    <x v="0"/>
    <b v="0"/>
    <s v="No está en VPC"/>
    <n v="820"/>
    <s v="NO EXISTE PG"/>
    <s v="NO EXISTE ISEL"/>
    <n v="0"/>
    <s v="NO TIENE L3OUT"/>
    <n v="72"/>
    <n v="54"/>
  </r>
  <r>
    <n v="804"/>
    <x v="2"/>
    <x v="166"/>
    <s v="eth1/48"/>
    <x v="0"/>
    <x v="0"/>
    <x v="0"/>
    <s v="LINK_HACIA_MGMT"/>
    <x v="0"/>
    <b v="0"/>
    <s v="No está en VPC"/>
    <n v="804"/>
    <s v="INTPG_VPC_MGMT_10605_803_1.47_804_1.48"/>
    <s v="ISEL-1.48"/>
    <n v="4"/>
    <s v="NO TIENE L3OUT"/>
    <n v="48"/>
    <n v="54"/>
  </r>
  <r>
    <n v="779"/>
    <x v="2"/>
    <x v="167"/>
    <s v="eth1/48"/>
    <x v="0"/>
    <x v="0"/>
    <x v="0"/>
    <m/>
    <x v="0"/>
    <b v="0"/>
    <s v="No está en VPC"/>
    <n v="779"/>
    <s v="INTPG_VPC_MGMT_20207_778_1.47_779_1.48"/>
    <s v="ISEL-1.48"/>
    <n v="12"/>
    <s v="NO TIENE L3OUT"/>
    <n v="30"/>
    <n v="54"/>
  </r>
  <r>
    <n v="767"/>
    <x v="2"/>
    <x v="168"/>
    <s v="eth1/48"/>
    <x v="0"/>
    <x v="0"/>
    <x v="0"/>
    <s v="MGMT OSS POD3"/>
    <x v="0"/>
    <b v="0"/>
    <s v="No está en VPC"/>
    <n v="767"/>
    <s v="INTPG_VPC_MGMT_20313_768_1.47_767_1.48"/>
    <s v="ISEL-1.48"/>
    <n v="8"/>
    <s v="NO TIENE L3OUT"/>
    <n v="60"/>
    <n v="54"/>
  </r>
  <r>
    <n v="827"/>
    <x v="2"/>
    <x v="169"/>
    <s v="eth1/48"/>
    <x v="0"/>
    <x v="0"/>
    <x v="0"/>
    <s v="To_ITHFHWCRMDLCN40_Principal"/>
    <x v="0"/>
    <b v="0"/>
    <s v="No está en VPC"/>
    <n v="827"/>
    <s v="INTPG_ACC_827_1.48"/>
    <s v="ISEL-1.48"/>
    <n v="1"/>
    <s v="NO TIENE L3OUT"/>
    <n v="14"/>
    <n v="54"/>
  </r>
  <r>
    <n v="809"/>
    <x v="2"/>
    <x v="170"/>
    <s v="eth1/48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48"/>
    <x v="0"/>
    <x v="0"/>
    <x v="0"/>
    <s v="MGMT OSS POD3"/>
    <x v="0"/>
    <b v="0"/>
    <s v="No está en VPC"/>
    <n v="771"/>
    <s v="INTPG_VPC_MGMT_20418_770_1.47_771_1.48"/>
    <s v="ISEL-1.48"/>
    <n v="10"/>
    <s v="NO TIENE L3OUT"/>
    <n v="62"/>
    <n v="54"/>
  </r>
  <r>
    <n v="761"/>
    <x v="2"/>
    <x v="172"/>
    <s v="eth1/48"/>
    <x v="0"/>
    <x v="0"/>
    <x v="0"/>
    <s v="METASAN"/>
    <x v="0"/>
    <b v="0"/>
    <s v="No está en VPC"/>
    <n v="761"/>
    <s v="INTPG_VPC_MGMT_20818_760_1.47_761_1.48"/>
    <s v="ISEL-1.48"/>
    <n v="11"/>
    <s v="NO TIENE L3OUT"/>
    <n v="0"/>
    <n v="54"/>
  </r>
  <r>
    <n v="776"/>
    <x v="2"/>
    <x v="173"/>
    <s v="eth1/48"/>
    <x v="0"/>
    <x v="0"/>
    <x v="0"/>
    <s v="MGMT CLOUD II"/>
    <x v="0"/>
    <b v="0"/>
    <s v="No está en VPC"/>
    <n v="776"/>
    <s v="INTPG_VPC_MGMT_20109_777_1.47_776_1.48"/>
    <s v="ISEL-1.48"/>
    <n v="3"/>
    <s v="NO TIENE L3OUT"/>
    <n v="0"/>
    <n v="54"/>
  </r>
  <r>
    <n v="805"/>
    <x v="2"/>
    <x v="174"/>
    <s v="eth1/48"/>
    <x v="0"/>
    <x v="0"/>
    <x v="0"/>
    <s v="LINK_HACIA_MGMT"/>
    <x v="0"/>
    <b v="0"/>
    <s v="No está en VPC"/>
    <n v="805"/>
    <s v="INTPG_VPC_MGMT_10611_806_1.47_805_1.48"/>
    <s v="ISEL-1.48"/>
    <n v="6"/>
    <s v="NO TIENE L3OUT"/>
    <n v="44"/>
    <n v="54"/>
  </r>
  <r>
    <n v="772"/>
    <x v="2"/>
    <x v="175"/>
    <s v="eth1/48"/>
    <x v="0"/>
    <x v="0"/>
    <x v="0"/>
    <s v="MGMT OSS POD3"/>
    <x v="0"/>
    <b v="0"/>
    <s v="No está en VPC"/>
    <n v="772"/>
    <s v="INTPG_VPC_MGMT_20413_773_1.47_772_1.48"/>
    <s v="ISEL-1.48"/>
    <n v="5"/>
    <s v="NO TIENE L3OUT"/>
    <n v="82"/>
    <n v="54"/>
  </r>
  <r>
    <n v="785"/>
    <x v="2"/>
    <x v="176"/>
    <s v="eth1/48"/>
    <x v="0"/>
    <x v="0"/>
    <x v="0"/>
    <s v="ENIQ F2"/>
    <x v="0"/>
    <b v="0"/>
    <s v="No está en VPC"/>
    <n v="785"/>
    <s v="INTPG_VPC_MGMT_20407_784_1.47_785_1.48"/>
    <s v="ISEL-1.48"/>
    <n v="12"/>
    <s v="NO TIENE L3OUT"/>
    <n v="32"/>
    <n v="54"/>
  </r>
  <r>
    <n v="851"/>
    <x v="2"/>
    <x v="177"/>
    <s v="eth1/48"/>
    <x v="0"/>
    <x v="0"/>
    <x v="0"/>
    <s v="LINK_HACIA_MGMT"/>
    <x v="0"/>
    <b v="0"/>
    <s v="No está en VPC"/>
    <n v="851"/>
    <s v="INTPG_VPC_MGMT_10918_844_1.47_851_1.48"/>
    <s v="ISEL-1.48"/>
    <n v="2"/>
    <s v="NO TIENE L3OUT"/>
    <n v="282"/>
    <n v="54"/>
  </r>
  <r>
    <n v="798"/>
    <x v="2"/>
    <x v="178"/>
    <s v="eth1/48"/>
    <x v="0"/>
    <x v="0"/>
    <x v="0"/>
    <s v="LINK_HACIA_MGMT"/>
    <x v="0"/>
    <b v="0"/>
    <s v="No está en VPC"/>
    <n v="798"/>
    <s v="INTPG_VPC_MGMT_10507_799_1.47_798_1.48"/>
    <s v="ISEL-1.48"/>
    <n v="6"/>
    <s v="NO TIENE L3OUT"/>
    <n v="52"/>
    <n v="54"/>
  </r>
  <r>
    <n v="782"/>
    <x v="2"/>
    <x v="179"/>
    <s v="eth1/48"/>
    <x v="0"/>
    <x v="0"/>
    <x v="0"/>
    <s v="ENIQ F2"/>
    <x v="0"/>
    <b v="0"/>
    <s v="No está en VPC"/>
    <n v="782"/>
    <s v="INTPG_VPC_MGMT_20310_783_1.47_782_1.48"/>
    <s v="ISEL-1.48"/>
    <n v="9"/>
    <s v="NO TIENE L3OUT"/>
    <n v="32"/>
    <n v="54"/>
  </r>
  <r>
    <n v="852"/>
    <x v="2"/>
    <x v="180"/>
    <s v="eth1/48"/>
    <x v="0"/>
    <x v="0"/>
    <x v="0"/>
    <s v="VPC_2DCRMP_BDP05_1"/>
    <x v="0"/>
    <b v="0"/>
    <s v="No está en VPC"/>
    <n v="852"/>
    <s v="INTPG_VPC_845_1.48_852_1.48"/>
    <s v="ISEL-1.48"/>
    <n v="6"/>
    <s v="NO TIENE L3OUT"/>
    <n v="258"/>
    <n v="54"/>
  </r>
  <r>
    <n v="817"/>
    <x v="2"/>
    <x v="181"/>
    <s v="eth1/48"/>
    <x v="0"/>
    <x v="0"/>
    <x v="0"/>
    <s v="LINK_TO_ITHFHWCBSPSWR29 /Slot4.2 /Principal"/>
    <x v="0"/>
    <b v="0"/>
    <s v="No está en VPC"/>
    <n v="817"/>
    <s v="INTPG_VPC_817_1.48_822_1.48"/>
    <s v="ISEL-1.48"/>
    <n v="1"/>
    <s v="NO TIENE L3OUT"/>
    <n v="0"/>
    <n v="54"/>
  </r>
  <r>
    <n v="832"/>
    <x v="2"/>
    <x v="182"/>
    <s v="eth1/48"/>
    <x v="0"/>
    <x v="0"/>
    <x v="0"/>
    <s v="To_ITHFHWCRMDLCN43_Redundante"/>
    <x v="0"/>
    <b v="0"/>
    <s v="No está en VPC"/>
    <n v="832"/>
    <s v="INTPG_ACC_832_1.48"/>
    <s v="ISEL-1.48"/>
    <n v="6"/>
    <s v="NO TIENE L3OUT"/>
    <n v="192"/>
    <n v="54"/>
  </r>
  <r>
    <n v="816"/>
    <x v="2"/>
    <x v="183"/>
    <s v="eth1/48"/>
    <x v="0"/>
    <x v="0"/>
    <x v="0"/>
    <s v="LINK_HACIA_MGMT"/>
    <x v="0"/>
    <b v="0"/>
    <s v="No está en VPC"/>
    <n v="816"/>
    <s v="INTPG_VPC_MGMT_11018_821_1.47_816_1.48"/>
    <s v="ISEL-1.48"/>
    <n v="4"/>
    <s v="NO TIENE L3OUT"/>
    <n v="0"/>
    <n v="54"/>
  </r>
  <r>
    <n v="825"/>
    <x v="2"/>
    <x v="184"/>
    <s v="eth1/48"/>
    <x v="0"/>
    <x v="1"/>
    <x v="3"/>
    <m/>
    <x v="0"/>
    <b v="0"/>
    <s v="No está en VPC"/>
    <n v="825"/>
    <s v="NO EXISTE PG"/>
    <s v="NO EXISTE ISEL"/>
    <n v="0"/>
    <s v="NO TIENE L3OUT"/>
    <n v="72"/>
    <n v="54"/>
  </r>
  <r>
    <n v="800"/>
    <x v="2"/>
    <x v="185"/>
    <s v="eth1/48"/>
    <x v="0"/>
    <x v="0"/>
    <x v="0"/>
    <s v="LINK_HACIA_MGMT"/>
    <x v="0"/>
    <b v="0"/>
    <s v="No está en VPC"/>
    <n v="800"/>
    <s v="INTPG_VPC_MGMT_10513_801_1.47_800_1.48"/>
    <s v="ISEL-1.48"/>
    <n v="6"/>
    <s v="NO TIENE L3OUT"/>
    <n v="78"/>
    <n v="54"/>
  </r>
  <r>
    <n v="801"/>
    <x v="2"/>
    <x v="186"/>
    <s v="eth1/48"/>
    <x v="0"/>
    <x v="0"/>
    <x v="0"/>
    <s v="LINK_HACIA_MGMT"/>
    <x v="0"/>
    <b v="0"/>
    <s v="No está en VPC"/>
    <n v="801"/>
    <s v="INTPG_VPC_MGMT_10510_800_1.47_801_1.48"/>
    <s v="ISEL-1.48"/>
    <n v="6"/>
    <s v="NO TIENE L3OUT"/>
    <n v="78"/>
    <n v="54"/>
  </r>
  <r>
    <n v="823"/>
    <x v="2"/>
    <x v="187"/>
    <s v="eth1/48"/>
    <x v="0"/>
    <x v="1"/>
    <x v="3"/>
    <m/>
    <x v="0"/>
    <b v="0"/>
    <s v="No está en VPC"/>
    <n v="823"/>
    <s v="NO EXISTE PG"/>
    <s v="NO EXISTE ISEL"/>
    <n v="0"/>
    <s v="NO TIENE L3OUT"/>
    <n v="8"/>
    <n v="54"/>
  </r>
  <r>
    <n v="837"/>
    <x v="2"/>
    <x v="188"/>
    <s v="eth1/48"/>
    <x v="0"/>
    <x v="0"/>
    <x v="0"/>
    <s v="LINK_To_ITHFHWCBSPSHD24 / Slot1.1_24 / Principal"/>
    <x v="0"/>
    <b v="0"/>
    <s v="No está en VPC"/>
    <n v="837"/>
    <s v="INTPG_VPC_837_1.48_842_1.48"/>
    <s v="ISEL-1.48"/>
    <n v="2"/>
    <s v="NO TIENE L3OUT"/>
    <n v="8"/>
    <n v="54"/>
  </r>
  <r>
    <n v="867"/>
    <x v="2"/>
    <x v="189"/>
    <s v="eth1/48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48"/>
    <x v="1"/>
    <x v="1"/>
    <x v="3"/>
    <m/>
    <x v="0"/>
    <b v="0"/>
    <s v="No está en VPC"/>
    <n v="829"/>
    <s v="NO EXISTE PG"/>
    <s v="NO EXISTE ISEL"/>
    <n v="0"/>
    <s v="NO TIENE L3OUT"/>
    <n v="224"/>
    <n v="54"/>
  </r>
  <r>
    <n v="831"/>
    <x v="2"/>
    <x v="191"/>
    <s v="eth1/48"/>
    <x v="0"/>
    <x v="0"/>
    <x v="0"/>
    <s v="To_ITHFHWCRMDLCN40_Redundante"/>
    <x v="0"/>
    <b v="0"/>
    <s v="No está en VPC"/>
    <n v="831"/>
    <s v="INTPG_ACC_831_1.48"/>
    <s v="ISEL-1.48"/>
    <n v="1"/>
    <s v="NO TIENE L3OUT"/>
    <n v="14"/>
    <n v="54"/>
  </r>
  <r>
    <n v="802"/>
    <x v="2"/>
    <x v="192"/>
    <s v="eth1/48"/>
    <x v="0"/>
    <x v="0"/>
    <x v="0"/>
    <s v="LINK_HACIA_MGMT"/>
    <x v="0"/>
    <b v="0"/>
    <s v="No está en VPC"/>
    <n v="802"/>
    <s v="INTPG_VPC_MGMT_10504_797_1.47_802_1.48"/>
    <s v="ISEL-1.48"/>
    <n v="4"/>
    <s v="NO TIENE L3OUT"/>
    <n v="48"/>
    <n v="54"/>
  </r>
  <r>
    <n v="835"/>
    <x v="2"/>
    <x v="193"/>
    <s v="eth1/48"/>
    <x v="0"/>
    <x v="0"/>
    <x v="0"/>
    <s v="LINK_TO_ITHFHWCBSPSUSBD31 / Slot1.2_4 / Principal"/>
    <x v="0"/>
    <b v="0"/>
    <s v="No está en VPC"/>
    <n v="835"/>
    <s v="INTPG_VPC_835_1.48_840_1.48"/>
    <s v="ISEL-1.48"/>
    <n v="1"/>
    <s v="NO TIENE L3OUT"/>
    <n v="8"/>
    <n v="54"/>
  </r>
  <r>
    <n v="822"/>
    <x v="2"/>
    <x v="194"/>
    <s v="eth1/48"/>
    <x v="0"/>
    <x v="0"/>
    <x v="0"/>
    <s v="LINK_TO_ITHFHWCBSPSWR29 /Slot6.2 /Redundante"/>
    <x v="0"/>
    <b v="0"/>
    <s v="No está en VPC"/>
    <n v="822"/>
    <s v="INTPG_VPC_817_1.48_822_1.48"/>
    <s v="ISEL-1.48"/>
    <n v="1"/>
    <s v="NO TIENE L3OUT"/>
    <n v="0"/>
    <n v="54"/>
  </r>
  <r>
    <n v="854"/>
    <x v="2"/>
    <x v="195"/>
    <s v="eth1/48"/>
    <x v="0"/>
    <x v="0"/>
    <x v="0"/>
    <s v="LINK_TO_ITHFHWCRMPLCN154 / Slot1.2_10 / Principal"/>
    <x v="0"/>
    <b v="0"/>
    <s v="No está en VPC"/>
    <n v="854"/>
    <s v="INTPG_ACC_854_1.48"/>
    <s v="ISEL-1.48"/>
    <n v="2"/>
    <s v="NO TIENE L3OUT"/>
    <n v="204"/>
    <n v="54"/>
  </r>
  <r>
    <n v="858"/>
    <x v="2"/>
    <x v="196"/>
    <s v="eth1/48"/>
    <x v="0"/>
    <x v="0"/>
    <x v="0"/>
    <s v="LINK_HACIA_MGMT"/>
    <x v="0"/>
    <b v="0"/>
    <s v="No está en VPC"/>
    <n v="858"/>
    <s v="INTPG_VPC_MGMT_21419_863_1.47_858_1.48"/>
    <s v="ISEL-1.48"/>
    <n v="5"/>
    <s v="NO TIENE L3OUT"/>
    <n v="8"/>
    <n v="54"/>
  </r>
  <r>
    <n v="857"/>
    <x v="2"/>
    <x v="197"/>
    <s v="eth1/48"/>
    <x v="0"/>
    <x v="0"/>
    <x v="0"/>
    <s v="LINKT_TO_ITHFHWCRMPLCN131 / Slot1.2_32 / Principal"/>
    <x v="0"/>
    <b v="0"/>
    <s v="No está en VPC"/>
    <n v="857"/>
    <s v="INTPG_ACC_857_1.48"/>
    <s v="ISEL-1.48"/>
    <n v="2"/>
    <s v="NO TIENE L3OUT"/>
    <n v="288"/>
    <n v="54"/>
  </r>
  <r>
    <n v="859"/>
    <x v="2"/>
    <x v="198"/>
    <s v="eth1/48"/>
    <x v="0"/>
    <x v="0"/>
    <x v="0"/>
    <s v="To_VPC_2DCBSD_WR51_3"/>
    <x v="0"/>
    <b v="0"/>
    <s v="No está en VPC"/>
    <n v="859"/>
    <s v="INTPG_VPC_859_1.48_864_1.48"/>
    <s v="ISEL-1.48"/>
    <n v="1"/>
    <s v="NO TIENE L3OUT"/>
    <n v="0"/>
    <n v="54"/>
  </r>
  <r>
    <n v="833"/>
    <x v="2"/>
    <x v="199"/>
    <s v="eth1/48"/>
    <x v="0"/>
    <x v="1"/>
    <x v="3"/>
    <m/>
    <x v="0"/>
    <b v="0"/>
    <s v="No está en VPC"/>
    <n v="833"/>
    <s v="NO EXISTE PG"/>
    <s v="NO EXISTE ISEL"/>
    <n v="0"/>
    <s v="NO TIENE L3OUT"/>
    <n v="224"/>
    <n v="54"/>
  </r>
  <r>
    <n v="818"/>
    <x v="2"/>
    <x v="200"/>
    <s v="eth1/48"/>
    <x v="0"/>
    <x v="1"/>
    <x v="3"/>
    <m/>
    <x v="0"/>
    <b v="0"/>
    <s v="No está en VPC"/>
    <n v="818"/>
    <s v="NO EXISTE PG"/>
    <s v="NO EXISTE ISEL"/>
    <n v="0"/>
    <s v="NO TIENE L3OUT"/>
    <n v="8"/>
    <n v="54"/>
  </r>
  <r>
    <n v="850"/>
    <x v="2"/>
    <x v="201"/>
    <s v="eth1/48"/>
    <x v="0"/>
    <x v="0"/>
    <x v="0"/>
    <s v="LINKT_TO_ITHFHWCRMPLCN131 / Slot7.2_32 / Redundante"/>
    <x v="0"/>
    <b v="0"/>
    <s v="No está en VPC"/>
    <n v="850"/>
    <s v="INTPG_ACC_850_1.48"/>
    <s v="ISEL-1.48"/>
    <n v="2"/>
    <s v="NO TIENE L3OUT"/>
    <n v="288"/>
    <n v="54"/>
  </r>
  <r>
    <n v="860"/>
    <x v="2"/>
    <x v="202"/>
    <s v="eth1/48"/>
    <x v="0"/>
    <x v="0"/>
    <x v="0"/>
    <s v="To_VPC_2DCBSD_WR41_3"/>
    <x v="0"/>
    <b v="0"/>
    <s v="No está en VPC"/>
    <n v="860"/>
    <s v="INTPG_VPC_860_1.48_865_1.48"/>
    <s v="ISEL-1.48"/>
    <n v="1"/>
    <s v="NO TIENE L3OUT"/>
    <n v="0"/>
    <n v="54"/>
  </r>
  <r>
    <n v="853"/>
    <x v="2"/>
    <x v="203"/>
    <s v="eth1/48"/>
    <x v="0"/>
    <x v="0"/>
    <x v="0"/>
    <s v="LINK_TO_ITHFHWCRMPLCN87 / Slot7.3_32 / Redundante"/>
    <x v="0"/>
    <b v="0"/>
    <s v="No está en VPC"/>
    <n v="853"/>
    <s v="INTPG_ACC_853_1.48"/>
    <s v="ISEL-1.48"/>
    <n v="1"/>
    <s v="NO TIENE L3OUT"/>
    <n v="242"/>
    <n v="54"/>
  </r>
  <r>
    <n v="790"/>
    <x v="2"/>
    <x v="204"/>
    <s v="eth1/48"/>
    <x v="0"/>
    <x v="0"/>
    <x v="0"/>
    <s v="TAISHAN_POD7"/>
    <x v="0"/>
    <b v="0"/>
    <s v="No está en VPC"/>
    <n v="790"/>
    <s v="INTPG_VPC_MGMT_20816_791_1.47_790_1.48"/>
    <s v="ISEL-1.48"/>
    <n v="7"/>
    <s v="NO TIENE L3OUT"/>
    <n v="20"/>
    <n v="54"/>
  </r>
  <r>
    <n v="105"/>
    <x v="0"/>
    <x v="205"/>
    <s v="eth1/48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48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48"/>
    <x v="0"/>
    <x v="0"/>
    <x v="0"/>
    <s v="ITHNETZA"/>
    <x v="6"/>
    <b v="0"/>
    <s v="No está en VPC"/>
    <n v="104"/>
    <s v="INTPG_ACC_104_1.48"/>
    <s v="ISEL-1.48"/>
    <n v="1"/>
    <s v="NO TIENE L3OUT"/>
    <n v="194"/>
    <n v="96"/>
  </r>
  <r>
    <n v="158"/>
    <x v="0"/>
    <x v="208"/>
    <s v="eth1/48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48"/>
    <x v="0"/>
    <x v="0"/>
    <x v="0"/>
    <s v="LINK_HACIA_MGMT"/>
    <x v="4"/>
    <b v="0"/>
    <s v="No está en VPC"/>
    <n v="875"/>
    <s v="INTPG_VPC_MGMT_21019_877_1.47_875_1.48"/>
    <s v="ISEL-1.48"/>
    <n v="4"/>
    <s v="NO TIENE L3OUT"/>
    <n v="2"/>
    <n v="54"/>
  </r>
  <r>
    <n v="879"/>
    <x v="2"/>
    <x v="210"/>
    <s v="eth1/48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48"/>
    <x v="1"/>
    <x v="1"/>
    <x v="2"/>
    <s v="OBIE_1-2"/>
    <x v="6"/>
    <b v="0"/>
    <s v="No está en VPC"/>
    <n v="108"/>
    <s v="INTPG_ACC_108_1.48"/>
    <s v="ISEL-1.48"/>
    <n v="1"/>
    <s v="NO TIENE L3OUT"/>
    <n v="126"/>
    <n v="96"/>
  </r>
  <r>
    <n v="112"/>
    <x v="0"/>
    <x v="212"/>
    <s v="eth1/48"/>
    <x v="0"/>
    <x v="1"/>
    <x v="1"/>
    <s v="SAPCCRATING03"/>
    <x v="6"/>
    <b v="0"/>
    <s v="No está en VPC"/>
    <n v="112"/>
    <s v="INTPG_VPC_112_1.48_114_1.45"/>
    <s v="ISEL-1.48"/>
    <n v="1"/>
    <s v="NO TIENE L3OUT"/>
    <n v="144"/>
    <n v="96"/>
  </r>
  <r>
    <n v="107"/>
    <x v="0"/>
    <x v="213"/>
    <s v="eth1/48"/>
    <x v="1"/>
    <x v="1"/>
    <x v="2"/>
    <s v="COMISIONES"/>
    <x v="6"/>
    <b v="0"/>
    <s v="No está en VPC"/>
    <n v="107"/>
    <s v="INTPG_ACC_107_1.48"/>
    <s v="ISEL-1.48"/>
    <n v="0"/>
    <s v="NO TIENE L3OUT"/>
    <n v="118"/>
    <n v="96"/>
  </r>
  <r>
    <n v="109"/>
    <x v="0"/>
    <x v="214"/>
    <s v="eth1/48"/>
    <x v="0"/>
    <x v="0"/>
    <x v="0"/>
    <m/>
    <x v="6"/>
    <b v="0"/>
    <s v="No está en VPC"/>
    <n v="109"/>
    <s v="INTPG_ACC_109_1.48"/>
    <s v="ISEL-1.48"/>
    <n v="1"/>
    <s v="NO TIENE L3OUT"/>
    <n v="126"/>
    <n v="96"/>
  </r>
  <r>
    <n v="113"/>
    <x v="0"/>
    <x v="215"/>
    <s v="eth1/48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48"/>
    <x v="0"/>
    <x v="1"/>
    <x v="1"/>
    <s v="SAPCCRATING06"/>
    <x v="6"/>
    <b v="0"/>
    <s v="No está en VPC"/>
    <n v="114"/>
    <s v="INTPG_VPC_112_1.51_114_1.48"/>
    <s v="ISEL-1.48"/>
    <n v="1"/>
    <s v="NO TIENE L3OUT"/>
    <n v="144"/>
    <n v="96"/>
  </r>
  <r>
    <n v="124"/>
    <x v="0"/>
    <x v="217"/>
    <s v="eth1/48"/>
    <x v="0"/>
    <x v="0"/>
    <x v="0"/>
    <m/>
    <x v="6"/>
    <b v="0"/>
    <s v="No está en VPC"/>
    <n v="124"/>
    <s v="INTPG_ACC_124_1.48"/>
    <s v="ISEL-1.48"/>
    <n v="1"/>
    <s v="NO TIENE L3OUT"/>
    <n v="80"/>
    <n v="96"/>
  </r>
  <r>
    <n v="118"/>
    <x v="0"/>
    <x v="218"/>
    <s v="eth1/48"/>
    <x v="0"/>
    <x v="0"/>
    <x v="0"/>
    <s v="DATOS NETCRACKER"/>
    <x v="6"/>
    <b v="0"/>
    <s v="No está en VPC"/>
    <n v="118"/>
    <s v="INTPG_ACC_118_1.48"/>
    <s v="ISEL-1.48"/>
    <n v="1"/>
    <s v="NO TIENE L3OUT"/>
    <n v="180"/>
    <n v="96"/>
  </r>
  <r>
    <n v="159"/>
    <x v="0"/>
    <x v="219"/>
    <s v="eth1/48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48"/>
    <x v="0"/>
    <x v="0"/>
    <x v="0"/>
    <s v="LINK_TO_ITHFHWCBSPSUSBD31 / Slot7.2_4 / Redundante"/>
    <x v="0"/>
    <b v="0"/>
    <s v="No está en VPC"/>
    <n v="840"/>
    <s v="INTPG_VPC_835_1.48_840_1.48"/>
    <s v="ISEL-1.48"/>
    <n v="1"/>
    <s v="NO TIENE L3OUT"/>
    <n v="8"/>
    <n v="54"/>
  </r>
  <r>
    <n v="856"/>
    <x v="2"/>
    <x v="221"/>
    <s v="eth1/48"/>
    <x v="0"/>
    <x v="0"/>
    <x v="0"/>
    <s v="LINK_TO_ITHFHWCRMPLCN150 / Slot1.2_34 / Principal"/>
    <x v="0"/>
    <b v="0"/>
    <s v="No está en VPC"/>
    <n v="856"/>
    <s v="INTPG_ACC_856_1.48"/>
    <s v="ISEL-1.48"/>
    <n v="2"/>
    <s v="NO TIENE L3OUT"/>
    <n v="286"/>
    <n v="54"/>
  </r>
  <r>
    <n v="110"/>
    <x v="0"/>
    <x v="222"/>
    <s v="eth1/48"/>
    <x v="0"/>
    <x v="1"/>
    <x v="1"/>
    <s v="SUN6900_E25K"/>
    <x v="6"/>
    <b v="0"/>
    <s v="No está en VPC"/>
    <n v="110"/>
    <s v="INTPG_ACC_110_1.48"/>
    <s v="ISEL-1.48"/>
    <n v="1"/>
    <s v="NO TIENE L3OUT"/>
    <n v="102"/>
    <n v="96"/>
  </r>
  <r>
    <n v="163"/>
    <x v="0"/>
    <x v="223"/>
    <s v="eth1/48"/>
    <x v="0"/>
    <x v="0"/>
    <x v="0"/>
    <s v="MULTIMEDIACION"/>
    <x v="6"/>
    <b v="0"/>
    <s v="No está en VPC"/>
    <n v="163"/>
    <s v="INTPG_ACC_163_1.48"/>
    <s v="ISEL-1.48"/>
    <n v="1"/>
    <s v="NO TIENE L3OUT"/>
    <n v="140"/>
    <n v="96"/>
  </r>
  <r>
    <n v="407"/>
    <x v="1"/>
    <x v="224"/>
    <s v="eth1/48"/>
    <x v="0"/>
    <x v="0"/>
    <x v="0"/>
    <s v="TO-ITHFDEOCP1LWR03-PRINCIPAL"/>
    <x v="6"/>
    <b v="0"/>
    <s v="No está en VPC"/>
    <n v="407"/>
    <s v="INTPG_ACC_407_1.48"/>
    <s v="ISEL-1.48"/>
    <n v="1"/>
    <s v="NO TIENE L3OUT"/>
    <n v="122"/>
    <n v="96"/>
  </r>
  <r>
    <n v="171"/>
    <x v="0"/>
    <x v="225"/>
    <s v="eth1/48"/>
    <x v="1"/>
    <x v="1"/>
    <x v="2"/>
    <s v="SRS (Speedy Rating System)"/>
    <x v="6"/>
    <b v="0"/>
    <s v="No está en VPC"/>
    <n v="171"/>
    <s v="INTPG_ACC_171_1.48"/>
    <s v="ISEL-1.48"/>
    <n v="1"/>
    <s v="NO TIENE L3OUT"/>
    <n v="114"/>
    <n v="96"/>
  </r>
  <r>
    <n v="421"/>
    <x v="1"/>
    <x v="226"/>
    <s v="eth1/48"/>
    <x v="0"/>
    <x v="0"/>
    <x v="0"/>
    <s v="TO-SPECTRUM1-REDUNDANTE"/>
    <x v="6"/>
    <b v="0"/>
    <s v="No está en VPC"/>
    <n v="421"/>
    <s v="INTPG_ACC_421_1.48"/>
    <s v="ISEL-1.48"/>
    <n v="1"/>
    <s v="NO TIENE L3OUT"/>
    <n v="72"/>
    <n v="96"/>
  </r>
  <r>
    <n v="173"/>
    <x v="0"/>
    <x v="227"/>
    <s v="eth1/48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48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48"/>
    <x v="0"/>
    <x v="0"/>
    <x v="0"/>
    <s v="SRS (Speedy Rating System)"/>
    <x v="6"/>
    <b v="0"/>
    <s v="No está en VPC"/>
    <n v="172"/>
    <s v="INTPG_ACC_172_1.48"/>
    <s v="ISEL-1.48"/>
    <n v="1"/>
    <s v="NO TIENE L3OUT"/>
    <n v="104"/>
    <n v="96"/>
  </r>
  <r>
    <n v="420"/>
    <x v="1"/>
    <x v="230"/>
    <s v="eth1/48"/>
    <x v="0"/>
    <x v="0"/>
    <x v="0"/>
    <s v="PORTA_EXP1"/>
    <x v="6"/>
    <b v="0"/>
    <s v="No está en VPC"/>
    <n v="420"/>
    <s v="INTPG_ACC_420_1.48"/>
    <s v="ISEL-1.48"/>
    <n v="1"/>
    <s v="NO TIENE L3OUT"/>
    <n v="158"/>
    <n v="96"/>
  </r>
  <r>
    <n v="423"/>
    <x v="1"/>
    <x v="231"/>
    <s v="eth1/48"/>
    <x v="0"/>
    <x v="0"/>
    <x v="0"/>
    <s v="HP Proliant DL380p(A)"/>
    <x v="6"/>
    <b v="0"/>
    <s v="No está en VPC"/>
    <n v="423"/>
    <s v="INTPG_ACC_423_1.48"/>
    <s v="ISEL-1.48"/>
    <n v="1"/>
    <s v="NO TIENE L3OUT"/>
    <n v="86"/>
    <n v="96"/>
  </r>
  <r>
    <n v="415"/>
    <x v="1"/>
    <x v="232"/>
    <s v="eth1/48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48"/>
    <x v="1"/>
    <x v="1"/>
    <x v="2"/>
    <s v="IXTLA4_VC1:VMTLCLAMX5:VC1  X8"/>
    <x v="6"/>
    <b v="0"/>
    <s v="No está en VPC"/>
    <n v="102"/>
    <s v="INTPG_PC_102_1.41-48"/>
    <s v="ISEL-1.48"/>
    <n v="0"/>
    <s v="NO TIENE L3OUT"/>
    <n v="228"/>
    <n v="96"/>
  </r>
  <r>
    <n v="863"/>
    <x v="2"/>
    <x v="234"/>
    <s v="eth1/48"/>
    <x v="0"/>
    <x v="0"/>
    <x v="0"/>
    <s v="LINK_HACIA_MGMT"/>
    <x v="0"/>
    <b v="0"/>
    <s v="No está en VPC"/>
    <n v="863"/>
    <s v="INTPG_VPC_MGMT_21319_858_1.47_863_1.48"/>
    <s v="ISEL-1.48"/>
    <n v="5"/>
    <s v="NO TIENE L3OUT"/>
    <n v="8"/>
    <n v="54"/>
  </r>
  <r>
    <n v="876"/>
    <x v="2"/>
    <x v="235"/>
    <s v="eth1/48"/>
    <x v="0"/>
    <x v="0"/>
    <x v="0"/>
    <s v="LINK_HACIA_MGMT"/>
    <x v="4"/>
    <b v="0"/>
    <s v="No está en VPC"/>
    <n v="876"/>
    <s v="INTPG_VPC_MGMT_20919_874_1.47_876_1.48"/>
    <s v="ISEL-1.48"/>
    <n v="3"/>
    <s v="NO TIENE L3OUT"/>
    <n v="92"/>
    <n v="54"/>
  </r>
  <r>
    <n v="877"/>
    <x v="2"/>
    <x v="236"/>
    <s v="eth1/48"/>
    <x v="0"/>
    <x v="0"/>
    <x v="0"/>
    <s v="LINK_HACIA_MGMT"/>
    <x v="4"/>
    <b v="0"/>
    <s v="No está en VPC"/>
    <n v="877"/>
    <s v="INTPG_VPC_MGMT_20919_875_1.47_877_1.48"/>
    <s v="ISEL-1.48"/>
    <n v="4"/>
    <s v="NO TIENE L3OUT"/>
    <n v="2"/>
    <n v="54"/>
  </r>
  <r>
    <n v="122"/>
    <x v="0"/>
    <x v="237"/>
    <s v="eth1/48"/>
    <x v="0"/>
    <x v="0"/>
    <x v="0"/>
    <s v="ZFS X5-2"/>
    <x v="6"/>
    <b v="0"/>
    <s v="No está en VPC"/>
    <n v="122"/>
    <s v="INTPG_ACC_122_1.48"/>
    <s v="ISEL-1.48"/>
    <n v="1"/>
    <s v="NO TIENE L3OUT"/>
    <n v="148"/>
    <n v="96"/>
  </r>
  <r>
    <n v="157"/>
    <x v="0"/>
    <x v="238"/>
    <s v="eth1/48"/>
    <x v="0"/>
    <x v="0"/>
    <x v="0"/>
    <s v="DCX-8510-4B 01-03"/>
    <x v="6"/>
    <b v="0"/>
    <s v="No está en VPC"/>
    <n v="157"/>
    <s v="NO EXISTE PG"/>
    <s v="NO EXISTE ISEL"/>
    <n v="1"/>
    <s v="NO TIENE L3OUT"/>
    <n v="202"/>
    <n v="96"/>
  </r>
  <r>
    <n v="408"/>
    <x v="1"/>
    <x v="239"/>
    <s v="eth1/48"/>
    <x v="0"/>
    <x v="0"/>
    <x v="0"/>
    <s v="IBMWASII_01_ILO"/>
    <x v="6"/>
    <b v="0"/>
    <s v="No está en VPC"/>
    <n v="408"/>
    <s v="INTPG_ACC_408_1.48"/>
    <s v="ISEL-1.48"/>
    <n v="1"/>
    <s v="NO TIENE L3OUT"/>
    <n v="152"/>
    <n v="96"/>
  </r>
  <r>
    <n v="405"/>
    <x v="1"/>
    <x v="240"/>
    <s v="eth1/48"/>
    <x v="0"/>
    <x v="1"/>
    <x v="1"/>
    <s v="ITHSGHP0"/>
    <x v="6"/>
    <b v="0"/>
    <s v="No está en VPC"/>
    <n v="405"/>
    <s v="INTPG_ACC_405_1.48"/>
    <s v="ISEL-1.48"/>
    <n v="1"/>
    <s v="NO TIENE L3OUT"/>
    <n v="138"/>
    <n v="96"/>
  </r>
  <r>
    <n v="169"/>
    <x v="0"/>
    <x v="241"/>
    <s v="eth1/48"/>
    <x v="0"/>
    <x v="0"/>
    <x v="0"/>
    <s v="TO-ITHFDENBURMS02"/>
    <x v="6"/>
    <b v="0"/>
    <s v="No está en VPC"/>
    <n v="169"/>
    <s v="INTPG_VPC_167_1.47_169_1.48"/>
    <s v="ISEL-1.48"/>
    <n v="1"/>
    <s v="NO TIENE L3OUT"/>
    <n v="76"/>
    <n v="96"/>
  </r>
  <r>
    <n v="165"/>
    <x v="0"/>
    <x v="242"/>
    <s v="eth1/48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48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48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48"/>
    <x v="0"/>
    <x v="1"/>
    <x v="1"/>
    <s v="IXTCDRLON"/>
    <x v="6"/>
    <b v="0"/>
    <s v="No está en VPC"/>
    <n v="119"/>
    <s v="INTPG_ACC_119_1.48"/>
    <s v="ISEL-1.48"/>
    <n v="1"/>
    <s v="NO TIENE L3OUT"/>
    <n v="70"/>
    <n v="96"/>
  </r>
  <r>
    <n v="156"/>
    <x v="0"/>
    <x v="246"/>
    <s v="eth1/48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48"/>
    <x v="0"/>
    <x v="1"/>
    <x v="1"/>
    <s v="CISCO ANA 01 EHEALTH"/>
    <x v="6"/>
    <b v="0"/>
    <s v="No está en VPC"/>
    <n v="103"/>
    <s v="INTPG_ACC_103_1.48"/>
    <s v="ISEL-1.48"/>
    <n v="1"/>
    <s v="NO TIENE L3OUT"/>
    <n v="70"/>
    <n v="96"/>
  </r>
  <r>
    <n v="438"/>
    <x v="1"/>
    <x v="248"/>
    <s v="eth1/48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48"/>
    <x v="0"/>
    <x v="0"/>
    <x v="0"/>
    <s v="VIOSDES3-VIOSDES3_CLT"/>
    <x v="6"/>
    <b v="0"/>
    <s v="No está en VPC"/>
    <n v="406"/>
    <s v="INTPG_VPC_404_1.47-48_406_1.47-48"/>
    <s v="ISEL-1.48"/>
    <n v="1"/>
    <s v="NO TIENE L3OUT"/>
    <n v="82"/>
    <n v="96"/>
  </r>
  <r>
    <n v="414"/>
    <x v="1"/>
    <x v="250"/>
    <s v="eth1/48"/>
    <x v="0"/>
    <x v="0"/>
    <x v="0"/>
    <s v="APMS01_S09"/>
    <x v="6"/>
    <b v="0"/>
    <s v="No está en VPC"/>
    <n v="414"/>
    <s v="INTPG_ACC_414_1.48"/>
    <s v="ISEL-1.48"/>
    <n v="1"/>
    <s v="NO TIENE L3OUT"/>
    <n v="144"/>
    <n v="96"/>
  </r>
  <r>
    <n v="416"/>
    <x v="1"/>
    <x v="251"/>
    <s v="eth1/48"/>
    <x v="0"/>
    <x v="0"/>
    <x v="0"/>
    <s v="R9MEXIXTDAY-1"/>
    <x v="6"/>
    <b v="0"/>
    <s v="No está en VPC"/>
    <n v="416"/>
    <s v="INTPG_ACC_416_1.48"/>
    <s v="ISEL-1.48"/>
    <n v="1"/>
    <s v="NO TIENE L3OUT"/>
    <n v="110"/>
    <n v="96"/>
  </r>
  <r>
    <n v="418"/>
    <x v="1"/>
    <x v="252"/>
    <s v="eth1/48"/>
    <x v="0"/>
    <x v="0"/>
    <x v="0"/>
    <s v="IXTSD969B"/>
    <x v="6"/>
    <b v="0"/>
    <s v="No está en VPC"/>
    <n v="418"/>
    <s v="INTPG_ACC_418_1.48"/>
    <s v="ISEL-1.48"/>
    <n v="1"/>
    <s v="NO TIENE L3OUT"/>
    <n v="152"/>
    <n v="96"/>
  </r>
  <r>
    <n v="413"/>
    <x v="1"/>
    <x v="253"/>
    <s v="eth1/48"/>
    <x v="0"/>
    <x v="0"/>
    <x v="0"/>
    <s v="To-uxingemc3 ldom2 uxinghdr3"/>
    <x v="6"/>
    <b v="0"/>
    <s v="No está en VPC"/>
    <n v="413"/>
    <s v="INTPG_ACC_413_1.48"/>
    <s v="ISEL-1.48"/>
    <n v="1"/>
    <s v="NO TIENE L3OUT"/>
    <n v="126"/>
    <n v="96"/>
  </r>
  <r>
    <n v="403"/>
    <x v="1"/>
    <x v="254"/>
    <s v="eth1/48"/>
    <x v="0"/>
    <x v="0"/>
    <x v="0"/>
    <s v="ITHSGHP0"/>
    <x v="6"/>
    <b v="0"/>
    <s v="No está en VPC"/>
    <n v="403"/>
    <s v="INTPG_ACC_403_1.48"/>
    <s v="ISEL-1.48"/>
    <n v="1"/>
    <s v="NO TIENE L3OUT"/>
    <n v="150"/>
    <n v="96"/>
  </r>
  <r>
    <n v="125"/>
    <x v="0"/>
    <x v="255"/>
    <s v="eth1/48"/>
    <x v="1"/>
    <x v="1"/>
    <x v="2"/>
    <s v="CIRCULO Azul(UXCA)"/>
    <x v="6"/>
    <b v="0"/>
    <s v="No está en VPC"/>
    <n v="125"/>
    <s v="INTPG_ACC_125_1.48"/>
    <s v="ISEL-1.48"/>
    <n v="0"/>
    <s v="NO TIENE L3OUT"/>
    <n v="72"/>
    <n v="96"/>
  </r>
  <r>
    <n v="166"/>
    <x v="0"/>
    <x v="256"/>
    <s v="eth1/48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48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48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48"/>
    <x v="0"/>
    <x v="0"/>
    <x v="0"/>
    <s v="COMISIONES"/>
    <x v="6"/>
    <b v="0"/>
    <s v="No está en VPC"/>
    <n v="106"/>
    <s v="INTPG_ACC_106_1.48"/>
    <s v="ISEL-1.48"/>
    <n v="1"/>
    <s v="NO TIENE L3OUT"/>
    <n v="122"/>
    <n v="96"/>
  </r>
  <r>
    <n v="126"/>
    <x v="0"/>
    <x v="260"/>
    <s v="eth1/48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48"/>
    <x v="0"/>
    <x v="0"/>
    <x v="0"/>
    <s v="HP Proliant DL380p(f)"/>
    <x v="6"/>
    <b v="0"/>
    <s v="No está en VPC"/>
    <n v="425"/>
    <s v="INTPG_ACC_425_1.48"/>
    <s v="ISEL-1.48"/>
    <n v="1"/>
    <s v="NO TIENE L3OUT"/>
    <n v="86"/>
    <n v="96"/>
  </r>
  <r>
    <n v="151"/>
    <x v="0"/>
    <x v="262"/>
    <s v="eth1/48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48"/>
    <x v="0"/>
    <x v="0"/>
    <x v="0"/>
    <s v="TO-uxidmbd-NET0"/>
    <x v="6"/>
    <b v="0"/>
    <s v="No está en VPC"/>
    <n v="430"/>
    <s v="INTPG_ACC_430_1.48"/>
    <s v="ISEL-1.48"/>
    <n v="1"/>
    <s v="NO TIENE L3OUT"/>
    <n v="86"/>
    <n v="96"/>
  </r>
  <r>
    <n v="419"/>
    <x v="1"/>
    <x v="264"/>
    <s v="eth1/48"/>
    <x v="0"/>
    <x v="0"/>
    <x v="0"/>
    <s v="TO-SPECTRUM1-PRINCIPAL"/>
    <x v="6"/>
    <b v="0"/>
    <s v="No está en VPC"/>
    <n v="419"/>
    <s v="INTPG_ACC_419_1.48"/>
    <s v="ISEL-1.48"/>
    <n v="1"/>
    <s v="NO TIENE L3OUT"/>
    <n v="70"/>
    <n v="96"/>
  </r>
  <r>
    <n v="155"/>
    <x v="0"/>
    <x v="265"/>
    <s v="eth1/48"/>
    <x v="0"/>
    <x v="0"/>
    <x v="0"/>
    <s v="IXT08PP"/>
    <x v="6"/>
    <b v="0"/>
    <s v="No está en VPC"/>
    <n v="155"/>
    <s v="INTPG_ACC_155_1.48"/>
    <s v="ISEL-1.48"/>
    <n v="0"/>
    <s v="L3OUT-SNA-IXT08PP-BGP"/>
    <n v="198"/>
    <n v="96"/>
  </r>
  <r>
    <n v="409"/>
    <x v="1"/>
    <x v="266"/>
    <s v="eth1/48"/>
    <x v="0"/>
    <x v="0"/>
    <x v="0"/>
    <s v="IXTPPMAP02"/>
    <x v="6"/>
    <b v="0"/>
    <s v="No está en VPC"/>
    <n v="409"/>
    <s v="INTPG_ACC_409_1.48"/>
    <s v="ISEL-1.48"/>
    <n v="1"/>
    <s v="NO TIENE L3OUT"/>
    <n v="128"/>
    <n v="96"/>
  </r>
  <r>
    <n v="422"/>
    <x v="1"/>
    <x v="267"/>
    <s v="eth1/48"/>
    <x v="0"/>
    <x v="0"/>
    <x v="0"/>
    <s v="TEMIPCLOUD_B02"/>
    <x v="6"/>
    <b v="0"/>
    <s v="No está en VPC"/>
    <n v="422"/>
    <s v="INTPG_ACC_422_1.48"/>
    <s v="ISEL-1.48"/>
    <n v="6"/>
    <s v="NO TIENE L3OUT"/>
    <n v="182"/>
    <n v="96"/>
  </r>
  <r>
    <n v="436"/>
    <x v="1"/>
    <x v="268"/>
    <s v="eth1/48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48"/>
    <x v="0"/>
    <x v="0"/>
    <x v="0"/>
    <s v="APMS02_S12"/>
    <x v="6"/>
    <b v="0"/>
    <s v="No está en VPC"/>
    <n v="410"/>
    <s v="INTPG_ACC_410_1.48"/>
    <s v="ISEL-1.48"/>
    <n v="1"/>
    <s v="NO TIENE L3OUT"/>
    <n v="178"/>
    <n v="96"/>
  </r>
  <r>
    <n v="161"/>
    <x v="0"/>
    <x v="270"/>
    <s v="eth1/48"/>
    <x v="0"/>
    <x v="0"/>
    <x v="0"/>
    <s v="STORAGE_VNX_0493_BKP1_AND_BKP2"/>
    <x v="6"/>
    <b v="0"/>
    <s v="No está en VPC"/>
    <n v="161"/>
    <s v="INTPG_ACC_161_1.48"/>
    <s v="ISEL-1.48"/>
    <n v="2"/>
    <s v="NO TIENE L3OUT"/>
    <n v="102"/>
    <n v="96"/>
  </r>
  <r>
    <n v="411"/>
    <x v="1"/>
    <x v="271"/>
    <s v="eth1/48"/>
    <x v="0"/>
    <x v="0"/>
    <x v="0"/>
    <s v="ITHSPC1E_A"/>
    <x v="6"/>
    <b v="0"/>
    <s v="No está en VPC"/>
    <n v="411"/>
    <s v="INTPG_ACC_411_1.48"/>
    <s v="ISEL-1.48"/>
    <n v="1"/>
    <s v="NO TIENE L3OUT"/>
    <n v="96"/>
    <n v="96"/>
  </r>
  <r>
    <n v="116"/>
    <x v="0"/>
    <x v="272"/>
    <s v="eth1/48"/>
    <x v="0"/>
    <x v="1"/>
    <x v="1"/>
    <s v="USSD TANGO"/>
    <x v="6"/>
    <b v="0"/>
    <s v="No está en VPC"/>
    <n v="116"/>
    <s v="INTPG_ACC_116_1.48"/>
    <s v="ISEL-1.48"/>
    <n v="1"/>
    <s v="NO TIENE L3OUT"/>
    <n v="148"/>
    <n v="96"/>
  </r>
  <r>
    <n v="412"/>
    <x v="1"/>
    <x v="273"/>
    <s v="eth1/48"/>
    <x v="0"/>
    <x v="0"/>
    <x v="0"/>
    <s v="IBMWASII_01"/>
    <x v="6"/>
    <b v="0"/>
    <s v="No está en VPC"/>
    <n v="412"/>
    <s v="INTPG_ACC_412_1.48"/>
    <s v="ISEL-1.48"/>
    <n v="1"/>
    <s v="NO TIENE L3OUT"/>
    <n v="126"/>
    <n v="96"/>
  </r>
  <r>
    <n v="120"/>
    <x v="0"/>
    <x v="274"/>
    <s v="eth1/48"/>
    <x v="0"/>
    <x v="0"/>
    <x v="0"/>
    <s v="ASEGING"/>
    <x v="6"/>
    <b v="0"/>
    <s v="No está en VPC"/>
    <n v="120"/>
    <s v="INTPG_ACC_120_1.48"/>
    <s v="ISEL-1.48"/>
    <n v="1"/>
    <s v="NO TIENE L3OUT"/>
    <n v="158"/>
    <n v="96"/>
  </r>
  <r>
    <n v="404"/>
    <x v="1"/>
    <x v="275"/>
    <s v="eth1/48"/>
    <x v="0"/>
    <x v="0"/>
    <x v="0"/>
    <s v="VIOSDES3-VIOSDES3_CLT"/>
    <x v="6"/>
    <b v="0"/>
    <s v="No está en VPC"/>
    <n v="404"/>
    <s v="INTPG_VPC_404_1.47-48_406_1.47-48"/>
    <s v="ISEL-1.48"/>
    <n v="1"/>
    <s v="NO TIENE L3OUT"/>
    <n v="92"/>
    <n v="96"/>
  </r>
  <r>
    <n v="167"/>
    <x v="0"/>
    <x v="276"/>
    <s v="eth1/48"/>
    <x v="0"/>
    <x v="0"/>
    <x v="0"/>
    <s v="TO-ITHFDENBURMS03"/>
    <x v="6"/>
    <b v="0"/>
    <s v="No está en VPC"/>
    <n v="167"/>
    <s v="INTPG_VPC_167_1.48_169_1.50"/>
    <s v="ISEL-1.48"/>
    <n v="1"/>
    <s v="NO TIENE L3OUT"/>
    <n v="68"/>
    <n v="96"/>
  </r>
  <r>
    <n v="428"/>
    <x v="1"/>
    <x v="277"/>
    <s v="eth1/48"/>
    <x v="0"/>
    <x v="0"/>
    <x v="0"/>
    <s v="DCX BB3_S2_CP1"/>
    <x v="6"/>
    <b v="0"/>
    <s v="No está en VPC"/>
    <n v="428"/>
    <s v="INTPG_ACC_428_1.48"/>
    <s v="ISEL-1.48"/>
    <n v="1"/>
    <s v="NO TIENE L3OUT"/>
    <n v="102"/>
    <n v="96"/>
  </r>
  <r>
    <n v="128"/>
    <x v="0"/>
    <x v="0"/>
    <s v="eth1/49"/>
    <x v="0"/>
    <x v="0"/>
    <x v="0"/>
    <s v="LINK_HACIA_SPINE"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49"/>
    <x v="0"/>
    <x v="0"/>
    <x v="0"/>
    <s v="LINK_HACIA_SPINE"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49"/>
    <x v="0"/>
    <x v="0"/>
    <x v="0"/>
    <s v="LINK_HACIA_SPINE"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49"/>
    <x v="0"/>
    <x v="0"/>
    <x v="0"/>
    <s v="LINK_HACIA_SPINE"/>
    <x v="0"/>
    <b v="0"/>
    <s v="No está en VPC"/>
    <n v="101"/>
    <s v="NO EXISTE PG"/>
    <s v="NO EXISTE ISEL"/>
    <n v="0"/>
    <s v="NO TIENE L3OUT"/>
    <n v="114"/>
    <n v="54"/>
  </r>
  <r>
    <n v="160"/>
    <x v="0"/>
    <x v="4"/>
    <s v="eth1/49"/>
    <x v="0"/>
    <x v="0"/>
    <x v="0"/>
    <s v="LINK_HACIA_SPINE"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49"/>
    <x v="0"/>
    <x v="0"/>
    <x v="0"/>
    <s v="LINK_HACIA_SPINE"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49"/>
    <x v="0"/>
    <x v="0"/>
    <x v="0"/>
    <s v="LINK_HACIA_SPINE"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49"/>
    <x v="0"/>
    <x v="0"/>
    <x v="0"/>
    <s v="LINK_HACIA_SPINE"/>
    <x v="0"/>
    <b v="0"/>
    <s v="No está en VPC"/>
    <n v="401"/>
    <s v="NO EXISTE PG"/>
    <s v="NO EXISTE ISEL"/>
    <n v="0"/>
    <s v="NO TIENE L3OUT"/>
    <n v="40"/>
    <n v="54"/>
  </r>
  <r>
    <n v="402"/>
    <x v="1"/>
    <x v="8"/>
    <s v="eth1/49"/>
    <x v="0"/>
    <x v="0"/>
    <x v="0"/>
    <s v="LINK_HACIA_SPINE"/>
    <x v="0"/>
    <b v="0"/>
    <s v="No está en VPC"/>
    <n v="402"/>
    <s v="NO EXISTE PG"/>
    <s v="NO EXISTE ISEL"/>
    <n v="0"/>
    <s v="NO TIENE L3OUT"/>
    <n v="36"/>
    <n v="54"/>
  </r>
  <r>
    <n v="130"/>
    <x v="0"/>
    <x v="11"/>
    <s v="eth1/49"/>
    <x v="0"/>
    <x v="0"/>
    <x v="0"/>
    <s v="LINK_HACIA_SPINE"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49"/>
    <x v="0"/>
    <x v="0"/>
    <x v="0"/>
    <s v="LINK_HACIA_SPINE"/>
    <x v="0"/>
    <b v="0"/>
    <s v="No está en VPC"/>
    <n v="150"/>
    <s v="NO EXISTE PG"/>
    <s v="NO EXISTE ISEL"/>
    <n v="0"/>
    <s v="NO TIENE L3OUT"/>
    <n v="118"/>
    <n v="54"/>
  </r>
  <r>
    <n v="131"/>
    <x v="0"/>
    <x v="13"/>
    <s v="eth1/49"/>
    <x v="0"/>
    <x v="0"/>
    <x v="0"/>
    <s v="LINK_HACIA_SPINE"/>
    <x v="0"/>
    <b v="0"/>
    <s v="No está en VPC"/>
    <n v="131"/>
    <s v="NO EXISTE PG"/>
    <s v="NO EXISTE ISEL"/>
    <n v="0"/>
    <s v="NO TIENE L3OUT"/>
    <n v="126"/>
    <n v="54"/>
  </r>
  <r>
    <n v="424"/>
    <x v="1"/>
    <x v="18"/>
    <s v="eth1/49"/>
    <x v="0"/>
    <x v="0"/>
    <x v="0"/>
    <s v="LINK_HACIA_SPINE"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49"/>
    <x v="0"/>
    <x v="0"/>
    <x v="0"/>
    <s v="LINK_HACIA_SPINE"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49"/>
    <x v="0"/>
    <x v="0"/>
    <x v="0"/>
    <s v="LINK_HACIA_SPINE"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49"/>
    <x v="0"/>
    <x v="0"/>
    <x v="0"/>
    <s v="LINK_HACIA_SPINE"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49"/>
    <x v="0"/>
    <x v="0"/>
    <x v="0"/>
    <s v="LINK_HACIA_SPINE"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49"/>
    <x v="0"/>
    <x v="0"/>
    <x v="0"/>
    <s v="LINK_HACIA_SPINE"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49"/>
    <x v="0"/>
    <x v="0"/>
    <x v="0"/>
    <s v="LINK_HACIA_SPINE"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49"/>
    <x v="0"/>
    <x v="0"/>
    <x v="0"/>
    <s v="LINK_HACIA_SPINE"/>
    <x v="0"/>
    <b v="0"/>
    <s v="No está en VPC"/>
    <n v="431"/>
    <s v="NO EXISTE PG"/>
    <s v="NO EXISTE ISEL"/>
    <n v="0"/>
    <s v="NO TIENE L3OUT"/>
    <n v="46"/>
    <n v="54"/>
  </r>
  <r>
    <n v="433"/>
    <x v="1"/>
    <x v="27"/>
    <s v="eth1/49"/>
    <x v="0"/>
    <x v="0"/>
    <x v="0"/>
    <s v="LINK_HACIA_SPINE"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49"/>
    <x v="0"/>
    <x v="0"/>
    <x v="0"/>
    <s v="LINK_HACIA_SPINE"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49"/>
    <x v="0"/>
    <x v="0"/>
    <x v="0"/>
    <s v="LINK_HACIA_SPINE"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49"/>
    <x v="0"/>
    <x v="0"/>
    <x v="0"/>
    <s v="LINK_HACIA_SPINE"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49"/>
    <x v="0"/>
    <x v="0"/>
    <x v="0"/>
    <s v="LINK_HACIA_SPINE"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49"/>
    <x v="0"/>
    <x v="0"/>
    <x v="0"/>
    <s v="LINK_HACIA_SPINE"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49"/>
    <x v="0"/>
    <x v="0"/>
    <x v="0"/>
    <s v="LINK_HACIA_SPINE"/>
    <x v="0"/>
    <b v="0"/>
    <s v="No está en VPC"/>
    <n v="712"/>
    <s v="NO EXISTE PG"/>
    <s v="NO EXISTE ISEL"/>
    <n v="0"/>
    <s v="NO TIENE L3OUT"/>
    <n v="32"/>
    <n v="54"/>
  </r>
  <r>
    <n v="719"/>
    <x v="2"/>
    <x v="34"/>
    <s v="eth1/49"/>
    <x v="0"/>
    <x v="0"/>
    <x v="0"/>
    <s v="LINK_HACIA_SPINE"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49"/>
    <x v="0"/>
    <x v="0"/>
    <x v="0"/>
    <s v="LINK_HACIA_SPINE"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49"/>
    <x v="0"/>
    <x v="0"/>
    <x v="0"/>
    <s v="LINK_HACIA_SPINE"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49"/>
    <x v="0"/>
    <x v="0"/>
    <x v="0"/>
    <s v="LINK_HACIA_SPINE"/>
    <x v="0"/>
    <b v="0"/>
    <s v="No está en VPC"/>
    <n v="711"/>
    <s v="NO EXISTE PG"/>
    <s v="NO EXISTE ISEL"/>
    <n v="0"/>
    <s v="NO TIENE L3OUT"/>
    <n v="16"/>
    <n v="54"/>
  </r>
  <r>
    <n v="716"/>
    <x v="2"/>
    <x v="38"/>
    <s v="eth1/49"/>
    <x v="0"/>
    <x v="0"/>
    <x v="0"/>
    <s v="LINK_HACIA_SPINE"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49"/>
    <x v="0"/>
    <x v="0"/>
    <x v="0"/>
    <s v="LINK_HACIA_SPINE"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49"/>
    <x v="0"/>
    <x v="0"/>
    <x v="0"/>
    <s v="LINK_HACIA_SPINE"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49"/>
    <x v="0"/>
    <x v="0"/>
    <x v="0"/>
    <s v="LINK_HACIA_SPINE"/>
    <x v="0"/>
    <b v="0"/>
    <s v="No está en VPC"/>
    <n v="446"/>
    <s v="NO EXISTE PG"/>
    <s v="NO EXISTE ISEL"/>
    <n v="0"/>
    <s v="NO TIENE L3OUT"/>
    <n v="198"/>
    <n v="54"/>
  </r>
  <r>
    <n v="444"/>
    <x v="1"/>
    <x v="42"/>
    <s v="eth1/49"/>
    <x v="0"/>
    <x v="0"/>
    <x v="0"/>
    <s v="LINK_HACIA_SPINE"/>
    <x v="0"/>
    <b v="0"/>
    <s v="No está en VPC"/>
    <n v="444"/>
    <s v="NO EXISTE PG"/>
    <s v="NO EXISTE ISEL"/>
    <n v="0"/>
    <s v="NO TIENE L3OUT"/>
    <n v="234"/>
    <n v="54"/>
  </r>
  <r>
    <n v="701"/>
    <x v="2"/>
    <x v="43"/>
    <s v="eth1/49"/>
    <x v="0"/>
    <x v="0"/>
    <x v="0"/>
    <s v="LINK_HACIA_SPINE"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49"/>
    <x v="0"/>
    <x v="0"/>
    <x v="0"/>
    <s v="LINK_HACIA_SPINE"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49"/>
    <x v="0"/>
    <x v="0"/>
    <x v="0"/>
    <s v="LINK_HACIA_SPINE"/>
    <x v="0"/>
    <b v="0"/>
    <s v="No está en VPC"/>
    <n v="448"/>
    <s v="NO EXISTE PG"/>
    <s v="NO EXISTE ISEL"/>
    <n v="0"/>
    <s v="NO TIENE L3OUT"/>
    <n v="46"/>
    <n v="54"/>
  </r>
  <r>
    <n v="704"/>
    <x v="2"/>
    <x v="46"/>
    <s v="eth1/49"/>
    <x v="0"/>
    <x v="0"/>
    <x v="0"/>
    <s v="LINK_HACIA_SPINE"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49"/>
    <x v="0"/>
    <x v="0"/>
    <x v="0"/>
    <s v="LINK_HACIA_SPINE"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49"/>
    <x v="0"/>
    <x v="0"/>
    <x v="0"/>
    <s v="LINK_HACIA_SPINE"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49"/>
    <x v="0"/>
    <x v="0"/>
    <x v="0"/>
    <s v="LINK_HACIA_SPINE"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49"/>
    <x v="0"/>
    <x v="0"/>
    <x v="0"/>
    <s v="LINK_HACIA_SPINE"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49"/>
    <x v="0"/>
    <x v="0"/>
    <x v="0"/>
    <s v="LINK_HACIA_SPINE"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49"/>
    <x v="0"/>
    <x v="0"/>
    <x v="0"/>
    <s v="LINK_HACIA_SPINE"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49"/>
    <x v="0"/>
    <x v="0"/>
    <x v="0"/>
    <s v="LINK_HACIA_SPINE"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49"/>
    <x v="0"/>
    <x v="0"/>
    <x v="0"/>
    <s v="LINK_HACIA_SPINE"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49"/>
    <x v="0"/>
    <x v="0"/>
    <x v="0"/>
    <s v="LINK_HACIA_SPINE"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49"/>
    <x v="0"/>
    <x v="0"/>
    <x v="0"/>
    <s v="LINK_HACIA_SPINE"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49"/>
    <x v="0"/>
    <x v="0"/>
    <x v="0"/>
    <s v="LINK_HACIA_SPINE"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49"/>
    <x v="0"/>
    <x v="0"/>
    <x v="0"/>
    <s v="LINK_HACIA_SPINE"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49"/>
    <x v="0"/>
    <x v="0"/>
    <x v="0"/>
    <s v="LINK_HACIA_SPINE"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49"/>
    <x v="0"/>
    <x v="0"/>
    <x v="0"/>
    <s v="LINK_HACIA_SPINE"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49"/>
    <x v="0"/>
    <x v="1"/>
    <x v="3"/>
    <m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49"/>
    <x v="0"/>
    <x v="0"/>
    <x v="0"/>
    <s v="LINK_HACIA_SPINE"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49"/>
    <x v="0"/>
    <x v="0"/>
    <x v="0"/>
    <s v="LINK_HACIA_SPINE"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49"/>
    <x v="0"/>
    <x v="0"/>
    <x v="0"/>
    <s v="LINK_HACIA_SPINE"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49"/>
    <x v="0"/>
    <x v="0"/>
    <x v="0"/>
    <s v="LINK_HACIA_SPINE"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49"/>
    <x v="0"/>
    <x v="0"/>
    <x v="0"/>
    <s v="LINK_HACIA_SPINE"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49"/>
    <x v="0"/>
    <x v="0"/>
    <x v="0"/>
    <s v="LINK_HACIA_SPINE"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49"/>
    <x v="0"/>
    <x v="0"/>
    <x v="0"/>
    <s v="LINK_HACIA_SPINE"/>
    <x v="0"/>
    <b v="0"/>
    <s v="No está en VPC"/>
    <n v="780"/>
    <s v="NO EXISTE PG"/>
    <s v="NO EXISTE ISEL"/>
    <n v="0"/>
    <s v="NO TIENE L3OUT"/>
    <n v="26"/>
    <n v="54"/>
  </r>
  <r>
    <n v="812"/>
    <x v="2"/>
    <x v="70"/>
    <s v="eth1/49"/>
    <x v="0"/>
    <x v="0"/>
    <x v="0"/>
    <s v="LINK_HACIA_SPINE"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49"/>
    <x v="0"/>
    <x v="0"/>
    <x v="0"/>
    <s v="LINK_HACIA_SPINE"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49"/>
    <x v="0"/>
    <x v="0"/>
    <x v="0"/>
    <s v="LINK_HACIA_SPINE"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49"/>
    <x v="0"/>
    <x v="0"/>
    <x v="0"/>
    <s v="LINK_HACIA_SPINE"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49"/>
    <x v="0"/>
    <x v="0"/>
    <x v="0"/>
    <s v="LINK_HACIA_SPINE"/>
    <x v="0"/>
    <b v="0"/>
    <s v="No está en VPC"/>
    <n v="824"/>
    <s v="NO EXISTE PG"/>
    <s v="NO EXISTE ISEL"/>
    <n v="0"/>
    <s v="NO TIENE L3OUT"/>
    <n v="70"/>
    <n v="54"/>
  </r>
  <r>
    <n v="819"/>
    <x v="2"/>
    <x v="75"/>
    <s v="eth1/49"/>
    <x v="0"/>
    <x v="0"/>
    <x v="0"/>
    <s v="LINK_HACIA_SPINE"/>
    <x v="0"/>
    <b v="0"/>
    <s v="No está en VPC"/>
    <n v="819"/>
    <s v="NO EXISTE PG"/>
    <s v="NO EXISTE ISEL"/>
    <n v="0"/>
    <s v="NO TIENE L3OUT"/>
    <n v="70"/>
    <n v="54"/>
  </r>
  <r>
    <n v="737"/>
    <x v="2"/>
    <x v="76"/>
    <s v="eth1/49"/>
    <x v="0"/>
    <x v="1"/>
    <x v="3"/>
    <m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49"/>
    <x v="0"/>
    <x v="0"/>
    <x v="0"/>
    <s v="LINK_HACIA_SPINE"/>
    <x v="0"/>
    <b v="0"/>
    <s v="No está en VPC"/>
    <n v="844"/>
    <s v="NO EXISTE PG"/>
    <s v="NO EXISTE ISEL"/>
    <n v="0"/>
    <s v="NO TIENE L3OUT"/>
    <n v="282"/>
    <n v="54"/>
  </r>
  <r>
    <n v="843"/>
    <x v="2"/>
    <x v="78"/>
    <s v="eth1/49"/>
    <x v="0"/>
    <x v="0"/>
    <x v="0"/>
    <s v="LINK_HACIA_SPINE"/>
    <x v="0"/>
    <b v="0"/>
    <s v="No está en VPC"/>
    <n v="843"/>
    <s v="NO EXISTE PG"/>
    <s v="NO EXISTE ISEL"/>
    <n v="0"/>
    <s v="NO TIENE L3OUT"/>
    <n v="38"/>
    <n v="54"/>
  </r>
  <r>
    <n v="797"/>
    <x v="2"/>
    <x v="79"/>
    <s v="eth1/49"/>
    <x v="0"/>
    <x v="0"/>
    <x v="0"/>
    <s v="LINK_HACIA_SPINE"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49"/>
    <x v="0"/>
    <x v="0"/>
    <x v="0"/>
    <s v="LINK_HACIA_SPINE"/>
    <x v="0"/>
    <b v="0"/>
    <s v="No está en VPC"/>
    <n v="839"/>
    <s v="NO EXISTE PG"/>
    <s v="NO EXISTE ISEL"/>
    <n v="0"/>
    <s v="NO TIENE L3OUT"/>
    <n v="0"/>
    <n v="54"/>
  </r>
  <r>
    <n v="847"/>
    <x v="2"/>
    <x v="81"/>
    <s v="eth1/49"/>
    <x v="0"/>
    <x v="0"/>
    <x v="0"/>
    <s v="LINK_HACIA_SPINE"/>
    <x v="0"/>
    <b v="0"/>
    <s v="No está en VPC"/>
    <n v="847"/>
    <s v="NO EXISTE PG"/>
    <s v="NO EXISTE ISEL"/>
    <n v="0"/>
    <s v="NO TIENE L3OUT"/>
    <n v="204"/>
    <n v="54"/>
  </r>
  <r>
    <n v="848"/>
    <x v="2"/>
    <x v="82"/>
    <s v="eth1/49"/>
    <x v="0"/>
    <x v="0"/>
    <x v="0"/>
    <s v="LINK_HACIA_SPINE"/>
    <x v="0"/>
    <b v="0"/>
    <s v="No está en VPC"/>
    <n v="848"/>
    <s v="NO EXISTE PG"/>
    <s v="NO EXISTE ISEL"/>
    <n v="0"/>
    <s v="NO TIENE L3OUT"/>
    <n v="254"/>
    <n v="54"/>
  </r>
  <r>
    <n v="846"/>
    <x v="2"/>
    <x v="83"/>
    <s v="eth1/49"/>
    <x v="0"/>
    <x v="0"/>
    <x v="0"/>
    <s v="LINK_HACIA_SPINE"/>
    <x v="0"/>
    <b v="0"/>
    <s v="No está en VPC"/>
    <n v="846"/>
    <s v="NO EXISTE PG"/>
    <s v="NO EXISTE ISEL"/>
    <n v="0"/>
    <s v="NO TIENE L3OUT"/>
    <n v="242"/>
    <n v="54"/>
  </r>
  <r>
    <n v="838"/>
    <x v="2"/>
    <x v="84"/>
    <s v="eth1/49"/>
    <x v="0"/>
    <x v="0"/>
    <x v="0"/>
    <s v="LINK_HACIA_SPINE"/>
    <x v="0"/>
    <b v="0"/>
    <s v="No está en VPC"/>
    <n v="838"/>
    <s v="NO EXISTE PG"/>
    <s v="NO EXISTE ISEL"/>
    <n v="0"/>
    <s v="NO TIENE L3OUT"/>
    <n v="38"/>
    <n v="54"/>
  </r>
  <r>
    <n v="849"/>
    <x v="2"/>
    <x v="85"/>
    <s v="eth1/49"/>
    <x v="0"/>
    <x v="0"/>
    <x v="0"/>
    <s v="LINK_HACIA_SPINE"/>
    <x v="0"/>
    <b v="0"/>
    <s v="No está en VPC"/>
    <n v="849"/>
    <s v="NO EXISTE PG"/>
    <s v="NO EXISTE ISEL"/>
    <n v="0"/>
    <s v="NO TIENE L3OUT"/>
    <n v="286"/>
    <n v="54"/>
  </r>
  <r>
    <n v="845"/>
    <x v="2"/>
    <x v="86"/>
    <s v="eth1/49"/>
    <x v="0"/>
    <x v="0"/>
    <x v="0"/>
    <s v="LINK_HACIA_SPINE"/>
    <x v="0"/>
    <b v="0"/>
    <s v="No está en VPC"/>
    <n v="845"/>
    <s v="NO EXISTE PG"/>
    <s v="NO EXISTE ISEL"/>
    <n v="0"/>
    <s v="NO TIENE L3OUT"/>
    <n v="258"/>
    <n v="54"/>
  </r>
  <r>
    <n v="873"/>
    <x v="2"/>
    <x v="87"/>
    <s v="eth1/49"/>
    <x v="0"/>
    <x v="0"/>
    <x v="0"/>
    <s v="LINK_HACIA_SPINE"/>
    <x v="0"/>
    <b v="0"/>
    <s v="No está en VPC"/>
    <n v="873"/>
    <s v="NO EXISTE PG"/>
    <s v="NO EXISTE ISEL"/>
    <n v="0"/>
    <s v="NO TIENE L3OUT"/>
    <n v="248"/>
    <n v="54"/>
  </r>
  <r>
    <n v="864"/>
    <x v="2"/>
    <x v="88"/>
    <s v="eth1/49"/>
    <x v="0"/>
    <x v="0"/>
    <x v="0"/>
    <s v="LINK_HACIA_SPINE"/>
    <x v="0"/>
    <b v="0"/>
    <s v="No está en VPC"/>
    <n v="864"/>
    <s v="NO EXISTE PG"/>
    <s v="NO EXISTE ISEL"/>
    <n v="0"/>
    <s v="NO TIENE L3OUT"/>
    <n v="0"/>
    <n v="54"/>
  </r>
  <r>
    <n v="836"/>
    <x v="2"/>
    <x v="89"/>
    <s v="eth1/49"/>
    <x v="0"/>
    <x v="0"/>
    <x v="0"/>
    <s v="LINK_HACIA_SPINE"/>
    <x v="0"/>
    <b v="0"/>
    <s v="No está en VPC"/>
    <n v="836"/>
    <s v="NO EXISTE PG"/>
    <s v="NO EXISTE ISEL"/>
    <n v="0"/>
    <s v="NO TIENE L3OUT"/>
    <n v="0"/>
    <n v="54"/>
  </r>
  <r>
    <n v="834"/>
    <x v="2"/>
    <x v="90"/>
    <s v="eth1/49"/>
    <x v="0"/>
    <x v="0"/>
    <x v="0"/>
    <s v="LINK_HACIA_SPINE"/>
    <x v="0"/>
    <b v="0"/>
    <s v="No está en VPC"/>
    <n v="834"/>
    <s v="NO EXISTE PG"/>
    <s v="NO EXISTE ISEL"/>
    <n v="0"/>
    <s v="NO TIENE L3OUT"/>
    <n v="0"/>
    <n v="54"/>
  </r>
  <r>
    <n v="872"/>
    <x v="2"/>
    <x v="91"/>
    <s v="eth1/49"/>
    <x v="0"/>
    <x v="0"/>
    <x v="0"/>
    <s v="LINK_HACIA_SPINE"/>
    <x v="0"/>
    <b v="0"/>
    <s v="No está en VPC"/>
    <n v="872"/>
    <s v="NO EXISTE PG"/>
    <s v="NO EXISTE ISEL"/>
    <n v="0"/>
    <s v="NO TIENE L3OUT"/>
    <n v="288"/>
    <n v="54"/>
  </r>
  <r>
    <n v="842"/>
    <x v="2"/>
    <x v="92"/>
    <s v="eth1/49"/>
    <x v="0"/>
    <x v="0"/>
    <x v="0"/>
    <s v="LINK_HACIA_SPINE"/>
    <x v="0"/>
    <b v="0"/>
    <s v="No está en VPC"/>
    <n v="842"/>
    <s v="NO EXISTE PG"/>
    <s v="NO EXISTE ISEL"/>
    <n v="0"/>
    <s v="NO TIENE L3OUT"/>
    <n v="8"/>
    <n v="54"/>
  </r>
  <r>
    <n v="828"/>
    <x v="2"/>
    <x v="93"/>
    <s v="eth1/49"/>
    <x v="0"/>
    <x v="0"/>
    <x v="0"/>
    <s v="LINK_HACIA_SPINE"/>
    <x v="0"/>
    <b v="0"/>
    <s v="No está en VPC"/>
    <n v="828"/>
    <s v="NO EXISTE PG"/>
    <s v="NO EXISTE ISEL"/>
    <n v="0"/>
    <s v="NO TIENE L3OUT"/>
    <n v="192"/>
    <n v="54"/>
  </r>
  <r>
    <n v="870"/>
    <x v="2"/>
    <x v="94"/>
    <s v="eth1/49"/>
    <x v="0"/>
    <x v="0"/>
    <x v="0"/>
    <s v="LINK_HACIA_SPINE"/>
    <x v="0"/>
    <b v="0"/>
    <s v="No está en VPC"/>
    <n v="870"/>
    <s v="NO EXISTE PG"/>
    <s v="NO EXISTE ISEL"/>
    <n v="0"/>
    <s v="NO TIENE L3OUT"/>
    <n v="248"/>
    <n v="54"/>
  </r>
  <r>
    <n v="866"/>
    <x v="2"/>
    <x v="95"/>
    <s v="eth1/49"/>
    <x v="0"/>
    <x v="0"/>
    <x v="0"/>
    <s v="LINK_HACIA_SPINE"/>
    <x v="0"/>
    <b v="0"/>
    <s v="No está en VPC"/>
    <n v="866"/>
    <s v="NO EXISTE PG"/>
    <s v="NO EXISTE ISEL"/>
    <n v="0"/>
    <s v="NO TIENE L3OUT"/>
    <n v="8"/>
    <n v="54"/>
  </r>
  <r>
    <n v="862"/>
    <x v="2"/>
    <x v="96"/>
    <s v="eth1/49"/>
    <x v="0"/>
    <x v="0"/>
    <x v="0"/>
    <s v="LINK_HACIA_SPINE"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49"/>
    <x v="0"/>
    <x v="0"/>
    <x v="0"/>
    <s v="LINK_HACIA_SPINE"/>
    <x v="0"/>
    <b v="0"/>
    <s v="No está en VPC"/>
    <n v="855"/>
    <s v="NO EXISTE PG"/>
    <s v="NO EXISTE ISEL"/>
    <n v="0"/>
    <s v="NO TIENE L3OUT"/>
    <n v="254"/>
    <n v="54"/>
  </r>
  <r>
    <n v="871"/>
    <x v="2"/>
    <x v="98"/>
    <s v="eth1/49"/>
    <x v="0"/>
    <x v="0"/>
    <x v="0"/>
    <s v="LINK_HACIA_SPINE"/>
    <x v="0"/>
    <b v="0"/>
    <s v="No está en VPC"/>
    <n v="871"/>
    <s v="NO EXISTE PG"/>
    <s v="NO EXISTE ISEL"/>
    <n v="0"/>
    <s v="NO TIENE L3OUT"/>
    <n v="246"/>
    <n v="54"/>
  </r>
  <r>
    <n v="841"/>
    <x v="2"/>
    <x v="99"/>
    <s v="eth1/49"/>
    <x v="0"/>
    <x v="0"/>
    <x v="0"/>
    <s v="LINK_HACIA_SPINE"/>
    <x v="0"/>
    <b v="0"/>
    <s v="No está en VPC"/>
    <n v="841"/>
    <s v="NO EXISTE PG"/>
    <s v="NO EXISTE ISEL"/>
    <n v="0"/>
    <s v="NO TIENE L3OUT"/>
    <n v="0"/>
    <n v="54"/>
  </r>
  <r>
    <n v="868"/>
    <x v="2"/>
    <x v="100"/>
    <s v="eth1/49"/>
    <x v="0"/>
    <x v="0"/>
    <x v="0"/>
    <s v="LINK_HACIA_SPINE"/>
    <x v="0"/>
    <b v="0"/>
    <s v="No está en VPC"/>
    <n v="868"/>
    <s v="NO EXISTE PG"/>
    <s v="NO EXISTE ISEL"/>
    <n v="0"/>
    <s v="NO TIENE L3OUT"/>
    <n v="246"/>
    <n v="54"/>
  </r>
  <r>
    <n v="869"/>
    <x v="2"/>
    <x v="101"/>
    <s v="eth1/49"/>
    <x v="0"/>
    <x v="0"/>
    <x v="0"/>
    <s v="LINK_HACIA_SPINE"/>
    <x v="0"/>
    <b v="0"/>
    <s v="No está en VPC"/>
    <n v="869"/>
    <s v="NO EXISTE PG"/>
    <s v="NO EXISTE ISEL"/>
    <n v="0"/>
    <s v="NO TIENE L3OUT"/>
    <n v="288"/>
    <n v="54"/>
  </r>
  <r>
    <n v="861"/>
    <x v="2"/>
    <x v="102"/>
    <s v="eth1/49"/>
    <x v="0"/>
    <x v="0"/>
    <x v="0"/>
    <s v="LINK_HACIA_SPINE"/>
    <x v="0"/>
    <b v="0"/>
    <s v="No está en VPC"/>
    <n v="861"/>
    <s v="NO EXISTE PG"/>
    <s v="NO EXISTE ISEL"/>
    <n v="0"/>
    <s v="NO TIENE L3OUT"/>
    <n v="8"/>
    <n v="54"/>
  </r>
  <r>
    <n v="874"/>
    <x v="2"/>
    <x v="103"/>
    <s v="eth1/49"/>
    <x v="0"/>
    <x v="0"/>
    <x v="0"/>
    <s v="LINK_HACIA_SPINE"/>
    <x v="4"/>
    <b v="0"/>
    <s v="No está en VPC"/>
    <n v="874"/>
    <s v="NO EXISTE PG"/>
    <s v="NO EXISTE ISEL"/>
    <n v="0"/>
    <s v="NO TIENE L3OUT"/>
    <n v="92"/>
    <n v="54"/>
  </r>
  <r>
    <n v="865"/>
    <x v="2"/>
    <x v="104"/>
    <s v="eth1/49"/>
    <x v="0"/>
    <x v="0"/>
    <x v="0"/>
    <s v="LINK_HACIA_SPINE"/>
    <x v="0"/>
    <b v="0"/>
    <s v="No está en VPC"/>
    <n v="865"/>
    <s v="NO EXISTE PG"/>
    <s v="NO EXISTE ISEL"/>
    <n v="0"/>
    <s v="NO TIENE L3OUT"/>
    <n v="0"/>
    <n v="54"/>
  </r>
  <r>
    <n v="753"/>
    <x v="2"/>
    <x v="105"/>
    <s v="eth1/49"/>
    <x v="0"/>
    <x v="0"/>
    <x v="0"/>
    <s v="LINK_HACIA_SPINE"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49"/>
    <x v="0"/>
    <x v="0"/>
    <x v="0"/>
    <s v="LINK_HACIA_SPINE"/>
    <x v="0"/>
    <b v="0"/>
    <s v="No está en VPC"/>
    <n v="708"/>
    <s v="NO EXISTE PG"/>
    <s v="NO EXISTE ISEL"/>
    <n v="0"/>
    <s v="NO TIENE L3OUT"/>
    <n v="0"/>
    <n v="54"/>
  </r>
  <r>
    <n v="710"/>
    <x v="2"/>
    <x v="107"/>
    <s v="eth1/49"/>
    <x v="0"/>
    <x v="0"/>
    <x v="0"/>
    <s v="LINK_HACIA_SPINE"/>
    <x v="0"/>
    <b v="0"/>
    <s v="No está en VPC"/>
    <n v="710"/>
    <s v="NO EXISTE PG"/>
    <s v="NO EXISTE ISEL"/>
    <n v="0"/>
    <s v="NO TIENE L3OUT"/>
    <n v="16"/>
    <n v="54"/>
  </r>
  <r>
    <n v="713"/>
    <x v="2"/>
    <x v="108"/>
    <s v="eth1/49"/>
    <x v="0"/>
    <x v="0"/>
    <x v="0"/>
    <s v="LINK_HACIA_SPINE"/>
    <x v="0"/>
    <b v="0"/>
    <s v="No está en VPC"/>
    <n v="713"/>
    <s v="NO EXISTE PG"/>
    <s v="NO EXISTE ISEL"/>
    <n v="0"/>
    <s v="NO TIENE L3OUT"/>
    <n v="32"/>
    <n v="54"/>
  </r>
  <r>
    <n v="735"/>
    <x v="2"/>
    <x v="109"/>
    <s v="eth1/49"/>
    <x v="0"/>
    <x v="1"/>
    <x v="3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49"/>
    <x v="0"/>
    <x v="0"/>
    <x v="0"/>
    <s v="LINK_HACIA_SPINE"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49"/>
    <x v="0"/>
    <x v="0"/>
    <x v="0"/>
    <s v="LINK_HACIA_SPINE"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49"/>
    <x v="0"/>
    <x v="0"/>
    <x v="0"/>
    <s v="LINK_HACIA_SPINE"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49"/>
    <x v="0"/>
    <x v="0"/>
    <x v="0"/>
    <s v="LINK_HACIA_SPINE"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49"/>
    <x v="0"/>
    <x v="0"/>
    <x v="0"/>
    <s v="LINK_HACIA_SPINE"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49"/>
    <x v="0"/>
    <x v="0"/>
    <x v="0"/>
    <s v="LINK_HACIA_SPINE"/>
    <x v="0"/>
    <b v="0"/>
    <s v="No está en VPC"/>
    <n v="826"/>
    <s v="NO EXISTE PG"/>
    <s v="NO EXISTE ISEL"/>
    <n v="0"/>
    <s v="NO TIENE L3OUT"/>
    <n v="12"/>
    <n v="54"/>
  </r>
  <r>
    <n v="726"/>
    <x v="2"/>
    <x v="117"/>
    <s v="eth1/49"/>
    <x v="0"/>
    <x v="0"/>
    <x v="0"/>
    <s v="LINK_HACIA_SPINE"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49"/>
    <x v="0"/>
    <x v="1"/>
    <x v="3"/>
    <m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49"/>
    <x v="0"/>
    <x v="0"/>
    <x v="0"/>
    <s v="LINK_HACIA_SPINE"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49"/>
    <x v="0"/>
    <x v="0"/>
    <x v="0"/>
    <s v="LINK_HACIA_SPINE"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49"/>
    <x v="0"/>
    <x v="0"/>
    <x v="0"/>
    <s v="LINK_HACIA_SPINE"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49"/>
    <x v="0"/>
    <x v="0"/>
    <x v="0"/>
    <s v="LINK_HACIA_SPINE"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49"/>
    <x v="0"/>
    <x v="0"/>
    <x v="0"/>
    <s v="LINK_HACIA_SPINE"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49"/>
    <x v="0"/>
    <x v="0"/>
    <x v="0"/>
    <s v="LINK_HACIA_SPINE"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49"/>
    <x v="0"/>
    <x v="0"/>
    <x v="0"/>
    <s v="LINK_HACIA_SPINE"/>
    <x v="0"/>
    <b v="0"/>
    <s v="No está en VPC"/>
    <n v="709"/>
    <s v="NO EXISTE PG"/>
    <s v="NO EXISTE ISEL"/>
    <n v="0"/>
    <s v="NO TIENE L3OUT"/>
    <n v="0"/>
    <n v="54"/>
  </r>
  <r>
    <n v="454"/>
    <x v="1"/>
    <x v="126"/>
    <s v="eth1/49"/>
    <x v="0"/>
    <x v="0"/>
    <x v="0"/>
    <s v="LINK_HACIA_SPINE"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49"/>
    <x v="0"/>
    <x v="1"/>
    <x v="3"/>
    <m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49"/>
    <x v="0"/>
    <x v="0"/>
    <x v="0"/>
    <s v="LINK_HACIA_SPINE"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49"/>
    <x v="0"/>
    <x v="0"/>
    <x v="0"/>
    <s v="LINK_HACIA_SPINE"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49"/>
    <x v="0"/>
    <x v="0"/>
    <x v="0"/>
    <s v="LINK_HACIA_SPINE"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49"/>
    <x v="0"/>
    <x v="1"/>
    <x v="3"/>
    <m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49"/>
    <x v="0"/>
    <x v="0"/>
    <x v="0"/>
    <s v="LINK_HACIA_SPINE"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49"/>
    <x v="0"/>
    <x v="0"/>
    <x v="0"/>
    <s v="LINK_HACIA_SPINE"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49"/>
    <x v="0"/>
    <x v="0"/>
    <x v="0"/>
    <s v="LINK_HACIA_SPINE"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49"/>
    <x v="0"/>
    <x v="0"/>
    <x v="0"/>
    <s v="LINK_HACIA_SPINE"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49"/>
    <x v="0"/>
    <x v="0"/>
    <x v="0"/>
    <s v="LINK_HACIA_SPINE"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49"/>
    <x v="0"/>
    <x v="0"/>
    <x v="0"/>
    <s v="LINK_HACIA_SPINE"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49"/>
    <x v="0"/>
    <x v="0"/>
    <x v="0"/>
    <s v="LINK_HACIA_SPINE"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49"/>
    <x v="0"/>
    <x v="0"/>
    <x v="0"/>
    <s v="LINK_HACIA_SPINE"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49"/>
    <x v="0"/>
    <x v="0"/>
    <x v="0"/>
    <s v="LINK_HACIA_SPINE"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49"/>
    <x v="0"/>
    <x v="0"/>
    <x v="0"/>
    <s v="LINK_HACIA_SPINE"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49"/>
    <x v="0"/>
    <x v="0"/>
    <x v="0"/>
    <s v="LINK_HACIA_SPINE"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49"/>
    <x v="0"/>
    <x v="0"/>
    <x v="0"/>
    <s v="LINK_HACIA_SPINE"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49"/>
    <x v="0"/>
    <x v="0"/>
    <x v="0"/>
    <s v="LINK_HACIA_SPINE"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49"/>
    <x v="0"/>
    <x v="0"/>
    <x v="0"/>
    <s v="LINK_HACIA_SPINE"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49"/>
    <x v="0"/>
    <x v="0"/>
    <x v="0"/>
    <s v="LINK_HACIA_SPINE"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49"/>
    <x v="0"/>
    <x v="0"/>
    <x v="0"/>
    <s v="LINK_HACIA_SPINE"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49"/>
    <x v="0"/>
    <x v="0"/>
    <x v="0"/>
    <s v="LINK_HACIA_SPINE"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49"/>
    <x v="0"/>
    <x v="0"/>
    <x v="0"/>
    <s v="LINK_HACIA_SPINE"/>
    <x v="0"/>
    <b v="0"/>
    <s v="No está en VPC"/>
    <n v="781"/>
    <s v="NO EXISTE PG"/>
    <s v="NO EXISTE ISEL"/>
    <n v="0"/>
    <s v="NO TIENE L3OUT"/>
    <n v="26"/>
    <n v="54"/>
  </r>
  <r>
    <n v="793"/>
    <x v="2"/>
    <x v="151"/>
    <s v="eth1/49"/>
    <x v="0"/>
    <x v="0"/>
    <x v="0"/>
    <s v="LINK_HACIA_SPINE"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49"/>
    <x v="0"/>
    <x v="0"/>
    <x v="0"/>
    <s v="LINK_HACIA_SPINE"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49"/>
    <x v="0"/>
    <x v="0"/>
    <x v="0"/>
    <s v="LINK_HACIA_SPINE"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49"/>
    <x v="0"/>
    <x v="0"/>
    <x v="0"/>
    <s v="LINK_HACIA_SPINE"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49"/>
    <x v="0"/>
    <x v="0"/>
    <x v="0"/>
    <s v="LINK_HACIA_SPINE"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49"/>
    <x v="0"/>
    <x v="0"/>
    <x v="0"/>
    <s v="LINK_HACIA_SPINE"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49"/>
    <x v="0"/>
    <x v="0"/>
    <x v="0"/>
    <s v="LINK_HACIA_SPINE"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49"/>
    <x v="0"/>
    <x v="1"/>
    <x v="3"/>
    <m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49"/>
    <x v="0"/>
    <x v="0"/>
    <x v="0"/>
    <s v="LINK_HACIA_SPINE"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49"/>
    <x v="0"/>
    <x v="0"/>
    <x v="0"/>
    <s v="LINK_HACIA_SPINE"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49"/>
    <x v="0"/>
    <x v="0"/>
    <x v="0"/>
    <s v="LINK_HACIA_SPINE"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49"/>
    <x v="0"/>
    <x v="0"/>
    <x v="0"/>
    <s v="LINK_HACIA_SPINE"/>
    <x v="0"/>
    <b v="0"/>
    <s v="No está en VPC"/>
    <n v="830"/>
    <s v="NO EXISTE PG"/>
    <s v="NO EXISTE ISEL"/>
    <n v="0"/>
    <s v="NO TIENE L3OUT"/>
    <n v="12"/>
    <n v="54"/>
  </r>
  <r>
    <n v="821"/>
    <x v="2"/>
    <x v="163"/>
    <s v="eth1/49"/>
    <x v="0"/>
    <x v="0"/>
    <x v="0"/>
    <s v="LINK_HACIA_SPINE"/>
    <x v="0"/>
    <b v="0"/>
    <s v="No está en VPC"/>
    <n v="821"/>
    <s v="NO EXISTE PG"/>
    <s v="NO EXISTE ISEL"/>
    <n v="0"/>
    <s v="NO TIENE L3OUT"/>
    <n v="0"/>
    <n v="54"/>
  </r>
  <r>
    <n v="738"/>
    <x v="2"/>
    <x v="164"/>
    <s v="eth1/49"/>
    <x v="0"/>
    <x v="1"/>
    <x v="3"/>
    <m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49"/>
    <x v="0"/>
    <x v="0"/>
    <x v="0"/>
    <s v="LINK_HACIA_SPINE"/>
    <x v="0"/>
    <b v="0"/>
    <s v="No está en VPC"/>
    <n v="820"/>
    <s v="NO EXISTE PG"/>
    <s v="NO EXISTE ISEL"/>
    <n v="0"/>
    <s v="NO TIENE L3OUT"/>
    <n v="72"/>
    <n v="54"/>
  </r>
  <r>
    <n v="804"/>
    <x v="2"/>
    <x v="166"/>
    <s v="eth1/49"/>
    <x v="0"/>
    <x v="0"/>
    <x v="0"/>
    <s v="LINK_HACIA_SPINE"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49"/>
    <x v="0"/>
    <x v="0"/>
    <x v="0"/>
    <s v="LINK_HACIA_SPINE"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49"/>
    <x v="0"/>
    <x v="0"/>
    <x v="0"/>
    <s v="LINK_HACIA_SPINE"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49"/>
    <x v="0"/>
    <x v="0"/>
    <x v="0"/>
    <s v="LINK_HACIA_SPINE"/>
    <x v="0"/>
    <b v="0"/>
    <s v="No está en VPC"/>
    <n v="827"/>
    <s v="NO EXISTE PG"/>
    <s v="NO EXISTE ISEL"/>
    <n v="0"/>
    <s v="NO TIENE L3OUT"/>
    <n v="14"/>
    <n v="54"/>
  </r>
  <r>
    <n v="809"/>
    <x v="2"/>
    <x v="170"/>
    <s v="eth1/49"/>
    <x v="0"/>
    <x v="0"/>
    <x v="0"/>
    <s v="LINK_HACIA_SPINE"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49"/>
    <x v="0"/>
    <x v="0"/>
    <x v="0"/>
    <s v="LINK_HACIA_SPINE"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49"/>
    <x v="0"/>
    <x v="0"/>
    <x v="0"/>
    <s v="LINK_HACIA_SPINE"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49"/>
    <x v="0"/>
    <x v="0"/>
    <x v="0"/>
    <s v="LINK_HACIA_SPINE"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49"/>
    <x v="0"/>
    <x v="0"/>
    <x v="0"/>
    <s v="LINK_HACIA_SPINE"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49"/>
    <x v="0"/>
    <x v="0"/>
    <x v="0"/>
    <s v="LINK_HACIA_SPINE"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49"/>
    <x v="0"/>
    <x v="0"/>
    <x v="0"/>
    <s v="LINK_HACIA_SPINE"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49"/>
    <x v="0"/>
    <x v="0"/>
    <x v="0"/>
    <s v="LINK_HACIA_SPINE"/>
    <x v="0"/>
    <b v="0"/>
    <s v="No está en VPC"/>
    <n v="851"/>
    <s v="NO EXISTE PG"/>
    <s v="NO EXISTE ISEL"/>
    <n v="0"/>
    <s v="NO TIENE L3OUT"/>
    <n v="282"/>
    <n v="54"/>
  </r>
  <r>
    <n v="798"/>
    <x v="2"/>
    <x v="178"/>
    <s v="eth1/49"/>
    <x v="0"/>
    <x v="0"/>
    <x v="0"/>
    <s v="LINK_HACIA_SPINE"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49"/>
    <x v="0"/>
    <x v="0"/>
    <x v="0"/>
    <s v="LINK_HACIA_SPINE"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49"/>
    <x v="0"/>
    <x v="0"/>
    <x v="0"/>
    <s v="LINK_HACIA_SPINE"/>
    <x v="0"/>
    <b v="0"/>
    <s v="No está en VPC"/>
    <n v="852"/>
    <s v="NO EXISTE PG"/>
    <s v="NO EXISTE ISEL"/>
    <n v="0"/>
    <s v="NO TIENE L3OUT"/>
    <n v="258"/>
    <n v="54"/>
  </r>
  <r>
    <n v="817"/>
    <x v="2"/>
    <x v="181"/>
    <s v="eth1/49"/>
    <x v="0"/>
    <x v="0"/>
    <x v="0"/>
    <s v="LINK_HACIA_SPINE"/>
    <x v="0"/>
    <b v="0"/>
    <s v="No está en VPC"/>
    <n v="817"/>
    <s v="NO EXISTE PG"/>
    <s v="NO EXISTE ISEL"/>
    <n v="0"/>
    <s v="NO TIENE L3OUT"/>
    <n v="0"/>
    <n v="54"/>
  </r>
  <r>
    <n v="832"/>
    <x v="2"/>
    <x v="182"/>
    <s v="eth1/49"/>
    <x v="0"/>
    <x v="0"/>
    <x v="0"/>
    <s v="LINK_HACIA_SPINE"/>
    <x v="0"/>
    <b v="0"/>
    <s v="No está en VPC"/>
    <n v="832"/>
    <s v="NO EXISTE PG"/>
    <s v="NO EXISTE ISEL"/>
    <n v="0"/>
    <s v="NO TIENE L3OUT"/>
    <n v="192"/>
    <n v="54"/>
  </r>
  <r>
    <n v="816"/>
    <x v="2"/>
    <x v="183"/>
    <s v="eth1/49"/>
    <x v="0"/>
    <x v="0"/>
    <x v="0"/>
    <s v="LINK_HACIA_SPINE"/>
    <x v="0"/>
    <b v="0"/>
    <s v="No está en VPC"/>
    <n v="816"/>
    <s v="NO EXISTE PG"/>
    <s v="NO EXISTE ISEL"/>
    <n v="0"/>
    <s v="NO TIENE L3OUT"/>
    <n v="0"/>
    <n v="54"/>
  </r>
  <r>
    <n v="825"/>
    <x v="2"/>
    <x v="184"/>
    <s v="eth1/49"/>
    <x v="0"/>
    <x v="0"/>
    <x v="0"/>
    <s v="LINK_HACIA_SPINE"/>
    <x v="0"/>
    <b v="0"/>
    <s v="No está en VPC"/>
    <n v="825"/>
    <s v="NO EXISTE PG"/>
    <s v="NO EXISTE ISEL"/>
    <n v="0"/>
    <s v="NO TIENE L3OUT"/>
    <n v="72"/>
    <n v="54"/>
  </r>
  <r>
    <n v="800"/>
    <x v="2"/>
    <x v="185"/>
    <s v="eth1/49"/>
    <x v="0"/>
    <x v="0"/>
    <x v="0"/>
    <s v="LINK_HACIA_SPINE"/>
    <x v="0"/>
    <b v="0"/>
    <s v="No está en VPC"/>
    <n v="800"/>
    <s v="NO EXISTE PG"/>
    <s v="NO EXISTE ISEL"/>
    <n v="0"/>
    <s v="NO TIENE L3OUT"/>
    <n v="78"/>
    <n v="54"/>
  </r>
  <r>
    <n v="801"/>
    <x v="2"/>
    <x v="186"/>
    <s v="eth1/49"/>
    <x v="0"/>
    <x v="0"/>
    <x v="0"/>
    <s v="LINK_HACIA_SPINE"/>
    <x v="0"/>
    <b v="0"/>
    <s v="No está en VPC"/>
    <n v="801"/>
    <s v="NO EXISTE PG"/>
    <s v="NO EXISTE ISEL"/>
    <n v="0"/>
    <s v="NO TIENE L3OUT"/>
    <n v="78"/>
    <n v="54"/>
  </r>
  <r>
    <n v="823"/>
    <x v="2"/>
    <x v="187"/>
    <s v="eth1/49"/>
    <x v="0"/>
    <x v="0"/>
    <x v="0"/>
    <s v="LINK_HACIA_SPINE"/>
    <x v="0"/>
    <b v="0"/>
    <s v="No está en VPC"/>
    <n v="823"/>
    <s v="NO EXISTE PG"/>
    <s v="NO EXISTE ISEL"/>
    <n v="0"/>
    <s v="NO TIENE L3OUT"/>
    <n v="8"/>
    <n v="54"/>
  </r>
  <r>
    <n v="837"/>
    <x v="2"/>
    <x v="188"/>
    <s v="eth1/49"/>
    <x v="0"/>
    <x v="0"/>
    <x v="0"/>
    <s v="LINK_HACIA_SPINE"/>
    <x v="0"/>
    <b v="0"/>
    <s v="No está en VPC"/>
    <n v="837"/>
    <s v="NO EXISTE PG"/>
    <s v="NO EXISTE ISEL"/>
    <n v="0"/>
    <s v="NO TIENE L3OUT"/>
    <n v="8"/>
    <n v="54"/>
  </r>
  <r>
    <n v="867"/>
    <x v="2"/>
    <x v="189"/>
    <s v="eth1/49"/>
    <x v="0"/>
    <x v="0"/>
    <x v="0"/>
    <s v="LINK_HACIA_SPINE"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49"/>
    <x v="0"/>
    <x v="0"/>
    <x v="0"/>
    <s v="LINK_HACIA_SPINE"/>
    <x v="0"/>
    <b v="0"/>
    <s v="No está en VPC"/>
    <n v="829"/>
    <s v="NO EXISTE PG"/>
    <s v="NO EXISTE ISEL"/>
    <n v="0"/>
    <s v="NO TIENE L3OUT"/>
    <n v="224"/>
    <n v="54"/>
  </r>
  <r>
    <n v="831"/>
    <x v="2"/>
    <x v="191"/>
    <s v="eth1/49"/>
    <x v="0"/>
    <x v="0"/>
    <x v="0"/>
    <s v="LINK_HACIA_SPINE"/>
    <x v="0"/>
    <b v="0"/>
    <s v="No está en VPC"/>
    <n v="831"/>
    <s v="NO EXISTE PG"/>
    <s v="NO EXISTE ISEL"/>
    <n v="0"/>
    <s v="NO TIENE L3OUT"/>
    <n v="14"/>
    <n v="54"/>
  </r>
  <r>
    <n v="802"/>
    <x v="2"/>
    <x v="192"/>
    <s v="eth1/49"/>
    <x v="0"/>
    <x v="0"/>
    <x v="0"/>
    <s v="LINK_HACIA_SPINE"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49"/>
    <x v="0"/>
    <x v="0"/>
    <x v="0"/>
    <s v="LINK_HACIA_SPINE"/>
    <x v="0"/>
    <b v="0"/>
    <s v="No está en VPC"/>
    <n v="835"/>
    <s v="NO EXISTE PG"/>
    <s v="NO EXISTE ISEL"/>
    <n v="0"/>
    <s v="NO TIENE L3OUT"/>
    <n v="8"/>
    <n v="54"/>
  </r>
  <r>
    <n v="822"/>
    <x v="2"/>
    <x v="194"/>
    <s v="eth1/49"/>
    <x v="0"/>
    <x v="0"/>
    <x v="0"/>
    <s v="LINK_HACIA_SPINE"/>
    <x v="0"/>
    <b v="0"/>
    <s v="No está en VPC"/>
    <n v="822"/>
    <s v="NO EXISTE PG"/>
    <s v="NO EXISTE ISEL"/>
    <n v="0"/>
    <s v="NO TIENE L3OUT"/>
    <n v="0"/>
    <n v="54"/>
  </r>
  <r>
    <n v="854"/>
    <x v="2"/>
    <x v="195"/>
    <s v="eth1/49"/>
    <x v="0"/>
    <x v="0"/>
    <x v="0"/>
    <s v="LINK_HACIA_SPINE"/>
    <x v="0"/>
    <b v="0"/>
    <s v="No está en VPC"/>
    <n v="854"/>
    <s v="NO EXISTE PG"/>
    <s v="NO EXISTE ISEL"/>
    <n v="0"/>
    <s v="NO TIENE L3OUT"/>
    <n v="204"/>
    <n v="54"/>
  </r>
  <r>
    <n v="858"/>
    <x v="2"/>
    <x v="196"/>
    <s v="eth1/49"/>
    <x v="0"/>
    <x v="0"/>
    <x v="0"/>
    <s v="LINK_HACIA_SPINE"/>
    <x v="0"/>
    <b v="0"/>
    <s v="No está en VPC"/>
    <n v="858"/>
    <s v="NO EXISTE PG"/>
    <s v="NO EXISTE ISEL"/>
    <n v="0"/>
    <s v="NO TIENE L3OUT"/>
    <n v="8"/>
    <n v="54"/>
  </r>
  <r>
    <n v="857"/>
    <x v="2"/>
    <x v="197"/>
    <s v="eth1/49"/>
    <x v="0"/>
    <x v="0"/>
    <x v="0"/>
    <s v="LINK_HACIA_SPINE"/>
    <x v="0"/>
    <b v="0"/>
    <s v="No está en VPC"/>
    <n v="857"/>
    <s v="NO EXISTE PG"/>
    <s v="NO EXISTE ISEL"/>
    <n v="0"/>
    <s v="NO TIENE L3OUT"/>
    <n v="288"/>
    <n v="54"/>
  </r>
  <r>
    <n v="859"/>
    <x v="2"/>
    <x v="198"/>
    <s v="eth1/49"/>
    <x v="0"/>
    <x v="0"/>
    <x v="0"/>
    <s v="LINK_HACIA_SPINE"/>
    <x v="0"/>
    <b v="0"/>
    <s v="No está en VPC"/>
    <n v="859"/>
    <s v="NO EXISTE PG"/>
    <s v="NO EXISTE ISEL"/>
    <n v="0"/>
    <s v="NO TIENE L3OUT"/>
    <n v="0"/>
    <n v="54"/>
  </r>
  <r>
    <n v="833"/>
    <x v="2"/>
    <x v="199"/>
    <s v="eth1/49"/>
    <x v="0"/>
    <x v="0"/>
    <x v="0"/>
    <s v="LINK_HACIA_SPINE"/>
    <x v="0"/>
    <b v="0"/>
    <s v="No está en VPC"/>
    <n v="833"/>
    <s v="NO EXISTE PG"/>
    <s v="NO EXISTE ISEL"/>
    <n v="0"/>
    <s v="NO TIENE L3OUT"/>
    <n v="224"/>
    <n v="54"/>
  </r>
  <r>
    <n v="818"/>
    <x v="2"/>
    <x v="200"/>
    <s v="eth1/49"/>
    <x v="0"/>
    <x v="0"/>
    <x v="0"/>
    <s v="LINK_HACIA_SPINE"/>
    <x v="0"/>
    <b v="0"/>
    <s v="No está en VPC"/>
    <n v="818"/>
    <s v="NO EXISTE PG"/>
    <s v="NO EXISTE ISEL"/>
    <n v="0"/>
    <s v="NO TIENE L3OUT"/>
    <n v="8"/>
    <n v="54"/>
  </r>
  <r>
    <n v="850"/>
    <x v="2"/>
    <x v="201"/>
    <s v="eth1/49"/>
    <x v="0"/>
    <x v="0"/>
    <x v="0"/>
    <s v="LINK_HACIA_SPINE"/>
    <x v="0"/>
    <b v="0"/>
    <s v="No está en VPC"/>
    <n v="850"/>
    <s v="NO EXISTE PG"/>
    <s v="NO EXISTE ISEL"/>
    <n v="0"/>
    <s v="NO TIENE L3OUT"/>
    <n v="288"/>
    <n v="54"/>
  </r>
  <r>
    <n v="860"/>
    <x v="2"/>
    <x v="202"/>
    <s v="eth1/49"/>
    <x v="0"/>
    <x v="0"/>
    <x v="0"/>
    <s v="LINK_HACIA_SPINE"/>
    <x v="0"/>
    <b v="0"/>
    <s v="No está en VPC"/>
    <n v="860"/>
    <s v="NO EXISTE PG"/>
    <s v="NO EXISTE ISEL"/>
    <n v="0"/>
    <s v="NO TIENE L3OUT"/>
    <n v="0"/>
    <n v="54"/>
  </r>
  <r>
    <n v="853"/>
    <x v="2"/>
    <x v="203"/>
    <s v="eth1/49"/>
    <x v="0"/>
    <x v="0"/>
    <x v="0"/>
    <s v="LINK_HACIA_SPINE"/>
    <x v="0"/>
    <b v="0"/>
    <s v="No está en VPC"/>
    <n v="853"/>
    <s v="NO EXISTE PG"/>
    <s v="NO EXISTE ISEL"/>
    <n v="0"/>
    <s v="NO TIENE L3OUT"/>
    <n v="242"/>
    <n v="54"/>
  </r>
  <r>
    <n v="790"/>
    <x v="2"/>
    <x v="204"/>
    <s v="eth1/49"/>
    <x v="0"/>
    <x v="0"/>
    <x v="0"/>
    <s v="LINK_HACIA_SPINE"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49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49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49"/>
    <x v="0"/>
    <x v="0"/>
    <x v="0"/>
    <s v="ITHNETZA"/>
    <x v="6"/>
    <b v="0"/>
    <s v="No está en VPC"/>
    <n v="104"/>
    <s v="INTPG_ACC_104_1.49"/>
    <s v="ISEL-1.49"/>
    <n v="1"/>
    <s v="NO TIENE L3OUT"/>
    <n v="194"/>
    <n v="96"/>
  </r>
  <r>
    <n v="158"/>
    <x v="0"/>
    <x v="208"/>
    <s v="eth1/49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49"/>
    <x v="0"/>
    <x v="0"/>
    <x v="0"/>
    <s v="LINK_HACIA_SPINE"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49"/>
    <x v="0"/>
    <x v="0"/>
    <x v="0"/>
    <s v="LINK_HACIA_SPINE"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49"/>
    <x v="1"/>
    <x v="1"/>
    <x v="2"/>
    <s v="OBIE_1-2"/>
    <x v="6"/>
    <b v="0"/>
    <s v="No está en VPC"/>
    <n v="108"/>
    <s v="INTPG_ACC_108_1.49"/>
    <s v="ISEL-1.49"/>
    <n v="1"/>
    <s v="NO TIENE L3OUT"/>
    <n v="126"/>
    <n v="96"/>
  </r>
  <r>
    <n v="112"/>
    <x v="0"/>
    <x v="212"/>
    <s v="eth1/49"/>
    <x v="0"/>
    <x v="1"/>
    <x v="1"/>
    <s v="SAPCCRATING04"/>
    <x v="6"/>
    <b v="0"/>
    <s v="No está en VPC"/>
    <n v="112"/>
    <s v="INTPG_VPC_112_1.49_114_1.46"/>
    <s v="ISEL-1.49"/>
    <n v="1"/>
    <s v="NO TIENE L3OUT"/>
    <n v="144"/>
    <n v="96"/>
  </r>
  <r>
    <n v="107"/>
    <x v="0"/>
    <x v="213"/>
    <s v="eth1/49"/>
    <x v="1"/>
    <x v="1"/>
    <x v="2"/>
    <s v="COMISIONES"/>
    <x v="6"/>
    <b v="0"/>
    <s v="No está en VPC"/>
    <n v="107"/>
    <s v="INTPG_ACC_107_1.49"/>
    <s v="ISEL-1.49"/>
    <n v="0"/>
    <s v="NO TIENE L3OUT"/>
    <n v="118"/>
    <n v="96"/>
  </r>
  <r>
    <n v="109"/>
    <x v="0"/>
    <x v="214"/>
    <s v="eth1/49"/>
    <x v="0"/>
    <x v="0"/>
    <x v="0"/>
    <s v="OBIE_1-2"/>
    <x v="6"/>
    <b v="0"/>
    <s v="No está en VPC"/>
    <n v="109"/>
    <s v="INTPG_ACC_109_1.49"/>
    <s v="ISEL-1.49"/>
    <n v="1"/>
    <s v="NO TIENE L3OUT"/>
    <n v="126"/>
    <n v="96"/>
  </r>
  <r>
    <n v="113"/>
    <x v="0"/>
    <x v="215"/>
    <s v="eth1/49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49"/>
    <x v="0"/>
    <x v="1"/>
    <x v="1"/>
    <s v="SAPCCRATING07"/>
    <x v="6"/>
    <b v="0"/>
    <s v="No está en VPC"/>
    <n v="114"/>
    <s v="INTPG_VPC_112_1.52_114_1.49"/>
    <s v="ISEL-1.49"/>
    <n v="1"/>
    <s v="NO TIENE L3OUT"/>
    <n v="144"/>
    <n v="96"/>
  </r>
  <r>
    <n v="124"/>
    <x v="0"/>
    <x v="217"/>
    <s v="eth1/49"/>
    <x v="0"/>
    <x v="0"/>
    <x v="0"/>
    <s v="CIRCULO Azul(UXCA)"/>
    <x v="6"/>
    <b v="0"/>
    <s v="No está en VPC"/>
    <n v="124"/>
    <s v="INTPG_ACC_124_1.49"/>
    <s v="ISEL-1.49"/>
    <n v="1"/>
    <s v="NO TIENE L3OUT"/>
    <n v="80"/>
    <n v="96"/>
  </r>
  <r>
    <n v="118"/>
    <x v="0"/>
    <x v="218"/>
    <s v="eth1/49"/>
    <x v="1"/>
    <x v="1"/>
    <x v="2"/>
    <s v="DATOS NETCRACKER"/>
    <x v="6"/>
    <b v="0"/>
    <s v="No está en VPC"/>
    <n v="118"/>
    <s v="INTPG_ACC_118_1.49"/>
    <s v="ISEL-1.49"/>
    <n v="1"/>
    <s v="NO TIENE L3OUT"/>
    <n v="180"/>
    <n v="96"/>
  </r>
  <r>
    <n v="159"/>
    <x v="0"/>
    <x v="219"/>
    <s v="eth1/49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49"/>
    <x v="0"/>
    <x v="0"/>
    <x v="0"/>
    <s v="LINK_HACIA_SPINE"/>
    <x v="0"/>
    <b v="0"/>
    <s v="No está en VPC"/>
    <n v="840"/>
    <s v="NO EXISTE PG"/>
    <s v="NO EXISTE ISEL"/>
    <n v="0"/>
    <s v="NO TIENE L3OUT"/>
    <n v="8"/>
    <n v="54"/>
  </r>
  <r>
    <n v="856"/>
    <x v="2"/>
    <x v="221"/>
    <s v="eth1/49"/>
    <x v="0"/>
    <x v="0"/>
    <x v="0"/>
    <s v="LINK_HACIA_SPINE"/>
    <x v="0"/>
    <b v="0"/>
    <s v="No está en VPC"/>
    <n v="856"/>
    <s v="NO EXISTE PG"/>
    <s v="NO EXISTE ISEL"/>
    <n v="0"/>
    <s v="NO TIENE L3OUT"/>
    <n v="286"/>
    <n v="54"/>
  </r>
  <r>
    <n v="110"/>
    <x v="0"/>
    <x v="222"/>
    <s v="eth1/49"/>
    <x v="0"/>
    <x v="0"/>
    <x v="0"/>
    <s v="RENACE"/>
    <x v="6"/>
    <b v="0"/>
    <s v="No está en VPC"/>
    <n v="110"/>
    <s v="INTPG_ACC_110_1.49"/>
    <s v="ISEL-1.49"/>
    <n v="1"/>
    <s v="NO TIENE L3OUT"/>
    <n v="102"/>
    <n v="96"/>
  </r>
  <r>
    <n v="163"/>
    <x v="0"/>
    <x v="223"/>
    <s v="eth1/49"/>
    <x v="1"/>
    <x v="1"/>
    <x v="2"/>
    <s v="CELCITE"/>
    <x v="6"/>
    <b v="0"/>
    <s v="No está en VPC"/>
    <n v="163"/>
    <s v="INTPG_ACC_163_1.49"/>
    <s v="ISEL-1.49"/>
    <n v="1"/>
    <s v="NO TIENE L3OUT"/>
    <n v="140"/>
    <n v="96"/>
  </r>
  <r>
    <n v="407"/>
    <x v="1"/>
    <x v="224"/>
    <s v="eth1/49"/>
    <x v="0"/>
    <x v="0"/>
    <x v="0"/>
    <s v="TO-ITHFDEOCP1LWR02-PRINCIPAL"/>
    <x v="6"/>
    <b v="0"/>
    <s v="No está en VPC"/>
    <n v="407"/>
    <s v="INTPG_ACC_407_1.49"/>
    <s v="ISEL-1.49"/>
    <n v="1"/>
    <s v="NO TIENE L3OUT"/>
    <n v="122"/>
    <n v="96"/>
  </r>
  <r>
    <n v="171"/>
    <x v="0"/>
    <x v="225"/>
    <s v="eth1/49"/>
    <x v="0"/>
    <x v="0"/>
    <x v="0"/>
    <s v="SRS (Speedy Rating System)"/>
    <x v="6"/>
    <b v="0"/>
    <s v="No está en VPC"/>
    <n v="171"/>
    <s v="INTPG_ACC_171_1.49"/>
    <s v="ISEL-1.49"/>
    <n v="1"/>
    <s v="NO TIENE L3OUT"/>
    <n v="114"/>
    <n v="96"/>
  </r>
  <r>
    <n v="421"/>
    <x v="1"/>
    <x v="226"/>
    <s v="eth1/49"/>
    <x v="0"/>
    <x v="0"/>
    <x v="0"/>
    <s v="TO-SPECTRUM2-REDUNDANTE"/>
    <x v="6"/>
    <b v="0"/>
    <s v="No está en VPC"/>
    <n v="421"/>
    <s v="INTPG_ACC_421_1.49"/>
    <s v="ISEL-1.49"/>
    <n v="1"/>
    <s v="NO TIENE L3OUT"/>
    <n v="72"/>
    <n v="96"/>
  </r>
  <r>
    <n v="173"/>
    <x v="0"/>
    <x v="227"/>
    <s v="eth1/49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49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49"/>
    <x v="0"/>
    <x v="0"/>
    <x v="0"/>
    <s v="SRS (Speedy Rating System)"/>
    <x v="6"/>
    <b v="0"/>
    <s v="No está en VPC"/>
    <n v="172"/>
    <s v="INTPG_ACC_172_1.49"/>
    <s v="ISEL-1.49"/>
    <n v="1"/>
    <s v="NO TIENE L3OUT"/>
    <n v="104"/>
    <n v="96"/>
  </r>
  <r>
    <n v="420"/>
    <x v="1"/>
    <x v="230"/>
    <s v="eth1/49"/>
    <x v="0"/>
    <x v="0"/>
    <x v="0"/>
    <s v="PORTA_EXP2"/>
    <x v="6"/>
    <b v="0"/>
    <s v="No está en VPC"/>
    <n v="420"/>
    <s v="INTPG_ACC_420_1.49"/>
    <s v="ISEL-1.49"/>
    <n v="1"/>
    <s v="NO TIENE L3OUT"/>
    <n v="158"/>
    <n v="96"/>
  </r>
  <r>
    <n v="423"/>
    <x v="1"/>
    <x v="231"/>
    <s v="eth1/49"/>
    <x v="0"/>
    <x v="0"/>
    <x v="0"/>
    <s v="HP Proliant DL380p(A)"/>
    <x v="6"/>
    <b v="0"/>
    <s v="No está en VPC"/>
    <n v="423"/>
    <s v="INTPG_ACC_423_1.49"/>
    <s v="ISEL-1.49"/>
    <n v="1"/>
    <s v="NO TIENE L3OUT"/>
    <n v="86"/>
    <n v="96"/>
  </r>
  <r>
    <n v="415"/>
    <x v="1"/>
    <x v="232"/>
    <s v="eth1/49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49"/>
    <x v="0"/>
    <x v="0"/>
    <x v="0"/>
    <s v="Citrix Silot:Avocen:net0"/>
    <x v="6"/>
    <b v="0"/>
    <s v="No está en VPC"/>
    <n v="102"/>
    <s v="INTPG_ACC_102_1.49"/>
    <s v="ISEL-1.49"/>
    <n v="1"/>
    <s v="NO TIENE L3OUT"/>
    <n v="228"/>
    <n v="96"/>
  </r>
  <r>
    <n v="863"/>
    <x v="2"/>
    <x v="234"/>
    <s v="eth1/49"/>
    <x v="0"/>
    <x v="0"/>
    <x v="0"/>
    <s v="LINK_HACIA_SPINE"/>
    <x v="0"/>
    <b v="0"/>
    <s v="No está en VPC"/>
    <n v="863"/>
    <s v="NO EXISTE PG"/>
    <s v="NO EXISTE ISEL"/>
    <n v="0"/>
    <s v="NO TIENE L3OUT"/>
    <n v="8"/>
    <n v="54"/>
  </r>
  <r>
    <n v="876"/>
    <x v="2"/>
    <x v="235"/>
    <s v="eth1/49"/>
    <x v="0"/>
    <x v="0"/>
    <x v="0"/>
    <s v="LINK_HACIA_SPINE"/>
    <x v="4"/>
    <b v="0"/>
    <s v="No está en VPC"/>
    <n v="876"/>
    <s v="NO EXISTE PG"/>
    <s v="NO EXISTE ISEL"/>
    <n v="0"/>
    <s v="NO TIENE L3OUT"/>
    <n v="92"/>
    <n v="54"/>
  </r>
  <r>
    <n v="877"/>
    <x v="2"/>
    <x v="236"/>
    <s v="eth1/49"/>
    <x v="0"/>
    <x v="0"/>
    <x v="0"/>
    <s v="LINK_HACIA_SPINE"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49"/>
    <x v="0"/>
    <x v="0"/>
    <x v="0"/>
    <s v="ZFS X5-2"/>
    <x v="6"/>
    <b v="0"/>
    <s v="No está en VPC"/>
    <n v="122"/>
    <s v="INTPG_ACC_122_1.49"/>
    <s v="ISEL-1.49"/>
    <n v="1"/>
    <s v="NO TIENE L3OUT"/>
    <n v="148"/>
    <n v="96"/>
  </r>
  <r>
    <n v="157"/>
    <x v="0"/>
    <x v="238"/>
    <s v="eth1/49"/>
    <x v="0"/>
    <x v="0"/>
    <x v="0"/>
    <s v="PORTAL CAUTIVO"/>
    <x v="6"/>
    <b v="0"/>
    <s v="No está en VPC"/>
    <n v="157"/>
    <s v="INTPG_ACC_157_1.49"/>
    <s v="ISEL-1.49"/>
    <n v="1"/>
    <s v="NO TIENE L3OUT"/>
    <n v="202"/>
    <n v="96"/>
  </r>
  <r>
    <n v="408"/>
    <x v="1"/>
    <x v="239"/>
    <s v="eth1/49"/>
    <x v="0"/>
    <x v="0"/>
    <x v="0"/>
    <s v="M0N1T_uxwasix705_PAC"/>
    <x v="6"/>
    <b v="0"/>
    <s v="No está en VPC"/>
    <n v="408"/>
    <s v="INTPG_ACC_408_1.49"/>
    <s v="ISEL-1.49"/>
    <n v="1"/>
    <s v="NO TIENE L3OUT"/>
    <n v="152"/>
    <n v="96"/>
  </r>
  <r>
    <n v="405"/>
    <x v="1"/>
    <x v="240"/>
    <s v="eth1/49"/>
    <x v="0"/>
    <x v="0"/>
    <x v="0"/>
    <s v="ITHSGHP0"/>
    <x v="6"/>
    <b v="0"/>
    <s v="No está en VPC"/>
    <n v="405"/>
    <s v="INTPG_ACC_405_1.49"/>
    <s v="ISEL-1.49"/>
    <n v="1"/>
    <s v="NO TIENE L3OUT"/>
    <n v="138"/>
    <n v="96"/>
  </r>
  <r>
    <n v="169"/>
    <x v="0"/>
    <x v="241"/>
    <s v="eth1/49"/>
    <x v="0"/>
    <x v="0"/>
    <x v="0"/>
    <s v="TO-ITHFDENBURMS02-PRINCIPAL"/>
    <x v="6"/>
    <b v="0"/>
    <s v="No está en VPC"/>
    <n v="169"/>
    <s v="INTPG_ACC_169_1.49"/>
    <s v="ISEL-1.49"/>
    <n v="1"/>
    <s v="NO TIENE L3OUT"/>
    <n v="76"/>
    <n v="96"/>
  </r>
  <r>
    <n v="165"/>
    <x v="0"/>
    <x v="242"/>
    <s v="eth1/49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49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49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49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49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49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49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49"/>
    <x v="0"/>
    <x v="0"/>
    <x v="0"/>
    <s v="VIOSDES4-VIOSDES4_CLT"/>
    <x v="6"/>
    <b v="0"/>
    <s v="No está en VPC"/>
    <n v="406"/>
    <s v="INTPG_VPC_404_1.49-50_406_1.49-50"/>
    <s v="ISEL-1.49"/>
    <n v="1"/>
    <s v="NO TIENE L3OUT"/>
    <n v="82"/>
    <n v="96"/>
  </r>
  <r>
    <n v="414"/>
    <x v="1"/>
    <x v="250"/>
    <s v="eth1/49"/>
    <x v="0"/>
    <x v="0"/>
    <x v="0"/>
    <s v="MULTI01_S10"/>
    <x v="6"/>
    <b v="0"/>
    <s v="No está en VPC"/>
    <n v="414"/>
    <s v="INTPG_ACC_414_1.49"/>
    <s v="ISEL-1.49"/>
    <n v="1"/>
    <s v="NO TIENE L3OUT"/>
    <n v="144"/>
    <n v="96"/>
  </r>
  <r>
    <n v="416"/>
    <x v="1"/>
    <x v="251"/>
    <s v="eth1/49"/>
    <x v="0"/>
    <x v="0"/>
    <x v="0"/>
    <s v="R9MEXIXTDAY-2"/>
    <x v="6"/>
    <b v="0"/>
    <s v="No está en VPC"/>
    <n v="416"/>
    <s v="INTPG_ACC_416_1.49"/>
    <s v="ISEL-1.49"/>
    <n v="1"/>
    <s v="NO TIENE L3OUT"/>
    <n v="110"/>
    <n v="96"/>
  </r>
  <r>
    <n v="418"/>
    <x v="1"/>
    <x v="252"/>
    <s v="eth1/49"/>
    <x v="0"/>
    <x v="0"/>
    <x v="0"/>
    <s v="IXTSD970A"/>
    <x v="6"/>
    <b v="0"/>
    <s v="No está en VPC"/>
    <n v="418"/>
    <s v="INTPG_ACC_418_1.49"/>
    <s v="ISEL-1.49"/>
    <n v="1"/>
    <s v="NO TIENE L3OUT"/>
    <n v="152"/>
    <n v="96"/>
  </r>
  <r>
    <n v="413"/>
    <x v="1"/>
    <x v="253"/>
    <s v="eth1/49"/>
    <x v="0"/>
    <x v="0"/>
    <x v="0"/>
    <s v="To-uxingemc3 ldom3 uxinghdr5"/>
    <x v="6"/>
    <b v="0"/>
    <s v="No está en VPC"/>
    <n v="413"/>
    <s v="INTPG_ACC_413_1.49"/>
    <s v="ISEL-1.49"/>
    <n v="1"/>
    <s v="NO TIENE L3OUT"/>
    <n v="126"/>
    <n v="96"/>
  </r>
  <r>
    <n v="403"/>
    <x v="1"/>
    <x v="254"/>
    <s v="eth1/49"/>
    <x v="0"/>
    <x v="1"/>
    <x v="1"/>
    <s v="ITHSGHP0"/>
    <x v="6"/>
    <b v="0"/>
    <s v="No está en VPC"/>
    <n v="403"/>
    <s v="INTPG_ACC_403_1.49"/>
    <s v="ISEL-1.49"/>
    <n v="1"/>
    <s v="NO TIENE L3OUT"/>
    <n v="150"/>
    <n v="96"/>
  </r>
  <r>
    <n v="125"/>
    <x v="0"/>
    <x v="255"/>
    <s v="eth1/49"/>
    <x v="1"/>
    <x v="1"/>
    <x v="2"/>
    <s v="CIRCULO Azul(UXCA)"/>
    <x v="6"/>
    <b v="0"/>
    <s v="No está en VPC"/>
    <n v="125"/>
    <s v="INTPG_ACC_125_1.49"/>
    <s v="ISEL-1.49"/>
    <n v="0"/>
    <s v="NO TIENE L3OUT"/>
    <n v="72"/>
    <n v="96"/>
  </r>
  <r>
    <n v="166"/>
    <x v="0"/>
    <x v="256"/>
    <s v="eth1/49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49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49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49"/>
    <x v="0"/>
    <x v="0"/>
    <x v="0"/>
    <s v="COMISIONES"/>
    <x v="6"/>
    <b v="0"/>
    <s v="No está en VPC"/>
    <n v="106"/>
    <s v="INTPG_ACC_106_1.49"/>
    <s v="ISEL-1.49"/>
    <n v="1"/>
    <s v="NO TIENE L3OUT"/>
    <n v="122"/>
    <n v="96"/>
  </r>
  <r>
    <n v="126"/>
    <x v="0"/>
    <x v="260"/>
    <s v="eth1/49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49"/>
    <x v="0"/>
    <x v="0"/>
    <x v="0"/>
    <s v="HP Proliant DL380p(f)"/>
    <x v="6"/>
    <b v="0"/>
    <s v="No está en VPC"/>
    <n v="425"/>
    <s v="INTPG_ACC_425_1.49"/>
    <s v="ISEL-1.49"/>
    <n v="1"/>
    <s v="NO TIENE L3OUT"/>
    <n v="86"/>
    <n v="96"/>
  </r>
  <r>
    <n v="151"/>
    <x v="0"/>
    <x v="262"/>
    <s v="eth1/49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49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49"/>
    <x v="0"/>
    <x v="0"/>
    <x v="0"/>
    <s v="TO-SPECTRUM2-PRINCIPAL"/>
    <x v="6"/>
    <b v="0"/>
    <s v="No está en VPC"/>
    <n v="419"/>
    <s v="INTPG_ACC_419_1.49"/>
    <s v="ISEL-1.49"/>
    <n v="1"/>
    <s v="NO TIENE L3OUT"/>
    <n v="70"/>
    <n v="96"/>
  </r>
  <r>
    <n v="155"/>
    <x v="0"/>
    <x v="265"/>
    <s v="eth1/49"/>
    <x v="0"/>
    <x v="1"/>
    <x v="1"/>
    <s v="uxcofeco"/>
    <x v="6"/>
    <b v="0"/>
    <s v="No está en VPC"/>
    <n v="155"/>
    <s v="INTPG_ACC_155_1.49"/>
    <s v="ISEL-1.49"/>
    <n v="1"/>
    <s v="NO TIENE L3OUT"/>
    <n v="198"/>
    <n v="96"/>
  </r>
  <r>
    <n v="409"/>
    <x v="1"/>
    <x v="266"/>
    <s v="eth1/49"/>
    <x v="0"/>
    <x v="0"/>
    <x v="0"/>
    <s v="IXTPPMBR02"/>
    <x v="6"/>
    <b v="0"/>
    <s v="No está en VPC"/>
    <n v="409"/>
    <s v="INTPG_ACC_409_1.49"/>
    <s v="ISEL-1.49"/>
    <n v="1"/>
    <s v="NO TIENE L3OUT"/>
    <n v="128"/>
    <n v="96"/>
  </r>
  <r>
    <n v="422"/>
    <x v="1"/>
    <x v="267"/>
    <s v="eth1/49"/>
    <x v="0"/>
    <x v="0"/>
    <x v="0"/>
    <s v="TEMIPCLOUD_B05"/>
    <x v="6"/>
    <b v="0"/>
    <s v="No está en VPC"/>
    <n v="422"/>
    <s v="INTPG_ACC_422_1.49"/>
    <s v="ISEL-1.49"/>
    <n v="6"/>
    <s v="NO TIENE L3OUT"/>
    <n v="182"/>
    <n v="96"/>
  </r>
  <r>
    <n v="436"/>
    <x v="1"/>
    <x v="268"/>
    <s v="eth1/49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49"/>
    <x v="0"/>
    <x v="0"/>
    <x v="0"/>
    <s v="MULTI02_S13"/>
    <x v="6"/>
    <b v="0"/>
    <s v="No está en VPC"/>
    <n v="410"/>
    <s v="INTPG_ACC_410_1.49"/>
    <s v="ISEL-1.49"/>
    <n v="1"/>
    <s v="NO TIENE L3OUT"/>
    <n v="178"/>
    <n v="96"/>
  </r>
  <r>
    <n v="161"/>
    <x v="0"/>
    <x v="270"/>
    <s v="eth1/49"/>
    <x v="0"/>
    <x v="0"/>
    <x v="0"/>
    <s v="CELCITE"/>
    <x v="6"/>
    <b v="0"/>
    <s v="No está en VPC"/>
    <n v="161"/>
    <s v="INTPG_ACC_161_1.49"/>
    <s v="ISEL-1.49"/>
    <n v="1"/>
    <s v="NO TIENE L3OUT"/>
    <n v="102"/>
    <n v="96"/>
  </r>
  <r>
    <n v="411"/>
    <x v="1"/>
    <x v="271"/>
    <s v="eth1/49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49"/>
    <x v="0"/>
    <x v="1"/>
    <x v="1"/>
    <s v="USSD TANGO"/>
    <x v="6"/>
    <b v="0"/>
    <s v="No está en VPC"/>
    <n v="116"/>
    <s v="INTPG_ACC_116_1.49"/>
    <s v="ISEL-1.49"/>
    <n v="1"/>
    <s v="NO TIENE L3OUT"/>
    <n v="148"/>
    <n v="96"/>
  </r>
  <r>
    <n v="412"/>
    <x v="1"/>
    <x v="273"/>
    <s v="eth1/49"/>
    <x v="0"/>
    <x v="0"/>
    <x v="0"/>
    <s v="IBMWASII_01"/>
    <x v="6"/>
    <b v="0"/>
    <s v="No está en VPC"/>
    <n v="412"/>
    <s v="INTPG_ACC_412_1.49"/>
    <s v="ISEL-1.49"/>
    <n v="1"/>
    <s v="NO TIENE L3OUT"/>
    <n v="126"/>
    <n v="96"/>
  </r>
  <r>
    <n v="120"/>
    <x v="0"/>
    <x v="274"/>
    <s v="eth1/49"/>
    <x v="0"/>
    <x v="0"/>
    <x v="0"/>
    <s v="IXTCDRLON"/>
    <x v="6"/>
    <b v="0"/>
    <s v="No está en VPC"/>
    <n v="120"/>
    <s v="INTPG_ACC_120_1.49"/>
    <s v="ISEL-1.49"/>
    <n v="1"/>
    <s v="NO TIENE L3OUT"/>
    <n v="158"/>
    <n v="96"/>
  </r>
  <r>
    <n v="404"/>
    <x v="1"/>
    <x v="275"/>
    <s v="eth1/49"/>
    <x v="0"/>
    <x v="0"/>
    <x v="0"/>
    <s v="VIOSDES4-VIOSDES4_CLT"/>
    <x v="6"/>
    <b v="0"/>
    <s v="No está en VPC"/>
    <n v="404"/>
    <s v="INTPG_VPC_404_1.49-50_406_1.49-50"/>
    <s v="ISEL-1.49"/>
    <n v="1"/>
    <s v="NO TIENE L3OUT"/>
    <n v="92"/>
    <n v="96"/>
  </r>
  <r>
    <n v="167"/>
    <x v="0"/>
    <x v="276"/>
    <s v="eth1/49"/>
    <x v="0"/>
    <x v="0"/>
    <x v="0"/>
    <s v="TO-ITHFDENBURMS04"/>
    <x v="6"/>
    <b v="0"/>
    <s v="No está en VPC"/>
    <n v="167"/>
    <s v="INTPG_VPC_167_1.49_169_1.52"/>
    <s v="ISEL-1.49"/>
    <n v="1"/>
    <s v="NO TIENE L3OUT"/>
    <n v="68"/>
    <n v="96"/>
  </r>
  <r>
    <n v="428"/>
    <x v="1"/>
    <x v="277"/>
    <s v="eth1/49"/>
    <x v="0"/>
    <x v="0"/>
    <x v="0"/>
    <s v="DCX BB4_S2_CP1"/>
    <x v="6"/>
    <b v="0"/>
    <s v="No está en VPC"/>
    <n v="428"/>
    <s v="INTPG_ACC_428_1.49"/>
    <s v="ISEL-1.49"/>
    <n v="1"/>
    <s v="NO TIENE L3OUT"/>
    <n v="102"/>
    <n v="96"/>
  </r>
  <r>
    <n v="128"/>
    <x v="0"/>
    <x v="0"/>
    <s v="eth1/5"/>
    <x v="0"/>
    <x v="0"/>
    <x v="0"/>
    <s v="HUECOS DC_S1"/>
    <x v="0"/>
    <b v="0"/>
    <s v="No está en VPC"/>
    <n v="128"/>
    <s v="INTPG_VPC_128_1.1-6_129_1.1-6"/>
    <s v="ISEL-1.5"/>
    <n v="1"/>
    <s v="NO TIENE L3OUT"/>
    <n v="0"/>
    <n v="54"/>
  </r>
  <r>
    <n v="123"/>
    <x v="0"/>
    <x v="1"/>
    <s v="eth1/5"/>
    <x v="0"/>
    <x v="0"/>
    <x v="0"/>
    <m/>
    <x v="1"/>
    <b v="0"/>
    <s v="No está en VPC"/>
    <n v="123"/>
    <s v="INTPG_ACC_123_1.5"/>
    <s v="ISEL-1.5"/>
    <n v="1"/>
    <s v="NO TIENE L3OUT"/>
    <n v="20"/>
    <n v="54"/>
  </r>
  <r>
    <n v="152"/>
    <x v="0"/>
    <x v="2"/>
    <s v="eth1/5"/>
    <x v="0"/>
    <x v="0"/>
    <x v="0"/>
    <s v="DASHBOARD_GESTION"/>
    <x v="1"/>
    <b v="0"/>
    <s v="No está en VPC"/>
    <n v="152"/>
    <s v="INTPG_ACC_152_1.5"/>
    <s v="ISEL-1.5"/>
    <n v="1"/>
    <s v="NO TIENE L3OUT"/>
    <n v="38"/>
    <n v="54"/>
  </r>
  <r>
    <n v="101"/>
    <x v="0"/>
    <x v="3"/>
    <s v="eth1/5"/>
    <x v="0"/>
    <x v="0"/>
    <x v="0"/>
    <s v="DESC"/>
    <x v="0"/>
    <b v="0"/>
    <s v="No está en VPC"/>
    <n v="101"/>
    <s v="INTPG_PC_101_1.3-5"/>
    <s v="ISEL-1.5"/>
    <n v="15"/>
    <s v="NO TIENE L3OUT"/>
    <n v="114"/>
    <n v="54"/>
  </r>
  <r>
    <n v="160"/>
    <x v="0"/>
    <x v="4"/>
    <s v="eth1/5"/>
    <x v="0"/>
    <x v="1"/>
    <x v="1"/>
    <s v="TRAP"/>
    <x v="1"/>
    <b v="0"/>
    <s v="No está en VPC"/>
    <n v="160"/>
    <s v="INTPG_PC_160_1.3-8"/>
    <s v="ISEL-1.5"/>
    <n v="12"/>
    <s v="NO TIENE L3OUT"/>
    <n v="68"/>
    <n v="54"/>
  </r>
  <r>
    <n v="121"/>
    <x v="0"/>
    <x v="5"/>
    <s v="eth1/5"/>
    <x v="0"/>
    <x v="0"/>
    <x v="0"/>
    <s v="TEMIP"/>
    <x v="1"/>
    <b v="0"/>
    <s v="No está en VPC"/>
    <n v="121"/>
    <s v="INTPG_ACC_121_1.5"/>
    <s v="ISEL-1.5"/>
    <n v="1"/>
    <s v="NO TIENE L3OUT"/>
    <n v="14"/>
    <n v="54"/>
  </r>
  <r>
    <n v="129"/>
    <x v="0"/>
    <x v="6"/>
    <s v="eth1/5"/>
    <x v="0"/>
    <x v="0"/>
    <x v="0"/>
    <s v="HUECOS DC_S1"/>
    <x v="0"/>
    <b v="0"/>
    <s v="No está en VPC"/>
    <n v="129"/>
    <s v="INTPG_VPC_128_1.1-6_129_1.1-6"/>
    <s v="ISEL-1.5"/>
    <n v="1"/>
    <s v="NO TIENE L3OUT"/>
    <n v="0"/>
    <n v="54"/>
  </r>
  <r>
    <n v="401"/>
    <x v="1"/>
    <x v="7"/>
    <s v="eth1/5"/>
    <x v="0"/>
    <x v="0"/>
    <x v="0"/>
    <s v="TO-ITHFDEOVITRBD01"/>
    <x v="0"/>
    <b v="0"/>
    <s v="No está en VPC"/>
    <n v="401"/>
    <s v="INTPG_VPC_401_1.5_402_1.5"/>
    <s v="ISEL-1.5"/>
    <n v="1"/>
    <s v="NO TIENE L3OUT"/>
    <n v="40"/>
    <n v="54"/>
  </r>
  <r>
    <n v="402"/>
    <x v="1"/>
    <x v="8"/>
    <s v="eth1/5"/>
    <x v="0"/>
    <x v="0"/>
    <x v="0"/>
    <s v="TO-ITHFDEOVITRBD01"/>
    <x v="0"/>
    <b v="0"/>
    <s v="No está en VPC"/>
    <n v="402"/>
    <s v="INTPG_VPC_401_1.5_402_1.5"/>
    <s v="ISEL-1.5"/>
    <n v="1"/>
    <s v="NO TIENE L3OUT"/>
    <n v="36"/>
    <n v="54"/>
  </r>
  <r>
    <n v="447"/>
    <x v="1"/>
    <x v="9"/>
    <s v="eth1/5"/>
    <x v="0"/>
    <x v="0"/>
    <x v="0"/>
    <s v="YB_DESARROLLO_ETH-TRUNK_5"/>
    <x v="2"/>
    <b v="0"/>
    <s v="No está en VPC"/>
    <n v="447"/>
    <s v="INTPG_VPC_445_1.5_447_1.5"/>
    <s v="ISEL-1.5"/>
    <n v="1"/>
    <s v="NO TIENE L3OUT"/>
    <n v="16"/>
    <n v="42"/>
  </r>
  <r>
    <n v="445"/>
    <x v="1"/>
    <x v="10"/>
    <s v="eth1/5"/>
    <x v="0"/>
    <x v="0"/>
    <x v="0"/>
    <s v="YB_DESARROLLO_ETH-TRUNK_5"/>
    <x v="2"/>
    <b v="0"/>
    <s v="No está en VPC"/>
    <n v="445"/>
    <s v="INTPG_VPC_445_1.5_447_1.5"/>
    <s v="ISEL-1.5"/>
    <n v="1"/>
    <s v="NO TIENE L3OUT"/>
    <n v="16"/>
    <n v="42"/>
  </r>
  <r>
    <n v="130"/>
    <x v="0"/>
    <x v="11"/>
    <s v="eth1/5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5"/>
    <x v="0"/>
    <x v="0"/>
    <x v="0"/>
    <s v="DESC"/>
    <x v="0"/>
    <b v="0"/>
    <s v="No está en VPC"/>
    <n v="150"/>
    <s v="INTPG_PC_150_1.3-5"/>
    <s v="ISEL-1.5"/>
    <n v="15"/>
    <s v="NO TIENE L3OUT"/>
    <n v="118"/>
    <n v="54"/>
  </r>
  <r>
    <n v="131"/>
    <x v="0"/>
    <x v="13"/>
    <s v="eth1/5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5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5"/>
    <x v="0"/>
    <x v="0"/>
    <x v="0"/>
    <s v="TO-ITHFHWCCEXEN01-CCEX LAG 01_OCS_Transforma"/>
    <x v="2"/>
    <b v="0"/>
    <s v="No está en VPC"/>
    <n v="758"/>
    <s v="INTPG_VPC_758_1.5_759_1.5"/>
    <s v="ISEL-1.5"/>
    <n v="49"/>
    <s v="NO TIENE L3OUT"/>
    <n v="0"/>
    <n v="42"/>
  </r>
  <r>
    <n v="759"/>
    <x v="2"/>
    <x v="16"/>
    <s v="eth1/5"/>
    <x v="0"/>
    <x v="0"/>
    <x v="0"/>
    <s v="TO-ITHFHWCCEXEN01-CCEX LAG 01_OCS_Transforma"/>
    <x v="2"/>
    <b v="0"/>
    <s v="No está en VPC"/>
    <n v="759"/>
    <s v="INTPG_VPC_758_1.5_759_1.5"/>
    <s v="ISEL-1.5"/>
    <n v="49"/>
    <s v="NO TIENE L3OUT"/>
    <n v="0"/>
    <n v="42"/>
  </r>
  <r>
    <n v="302"/>
    <x v="0"/>
    <x v="17"/>
    <s v="eth1/5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5"/>
    <x v="0"/>
    <x v="0"/>
    <x v="0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5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5"/>
    <x v="0"/>
    <x v="0"/>
    <x v="0"/>
    <s v="HUECOS DC_S2"/>
    <x v="0"/>
    <b v="0"/>
    <s v="No está en VPC"/>
    <n v="452"/>
    <s v="INTPG_VPC_450_1.1-6_452_1.1-6"/>
    <s v="ISEL-1.5"/>
    <n v="1"/>
    <s v="NO TIENE L3OUT"/>
    <n v="0"/>
    <n v="54"/>
  </r>
  <r>
    <n v="450"/>
    <x v="1"/>
    <x v="21"/>
    <s v="eth1/5"/>
    <x v="0"/>
    <x v="0"/>
    <x v="0"/>
    <s v="HUECOS DC_S2"/>
    <x v="0"/>
    <b v="0"/>
    <s v="No está en VPC"/>
    <n v="450"/>
    <s v="INTPG_VPC_450_1.1-6_452_1.1-6"/>
    <s v="ISEL-1.5"/>
    <n v="1"/>
    <s v="NO TIENE L3OUT"/>
    <n v="0"/>
    <n v="54"/>
  </r>
  <r>
    <n v="727"/>
    <x v="2"/>
    <x v="22"/>
    <s v="eth1/5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5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5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5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5"/>
    <x v="0"/>
    <x v="0"/>
    <x v="0"/>
    <s v="VBLOCK1"/>
    <x v="0"/>
    <b v="0"/>
    <s v="No está en VPC"/>
    <n v="431"/>
    <s v="INTPG_VPC_431_1.5-6_448_1.5-6"/>
    <s v="ISEL-1.5"/>
    <n v="10"/>
    <s v="NO TIENE L3OUT"/>
    <n v="46"/>
    <n v="54"/>
  </r>
  <r>
    <n v="433"/>
    <x v="1"/>
    <x v="27"/>
    <s v="eth1/5"/>
    <x v="0"/>
    <x v="0"/>
    <x v="0"/>
    <s v="TO-ABF_R9_IXTLA_FORTI_1-Principal"/>
    <x v="1"/>
    <b v="0"/>
    <s v="No está en VPC"/>
    <n v="433"/>
    <s v="INTPG_ACC_433_1.5"/>
    <s v="ISEL-1.5"/>
    <n v="1"/>
    <s v="NO TIENE L3OUT"/>
    <n v="42"/>
    <n v="54"/>
  </r>
  <r>
    <n v="429"/>
    <x v="1"/>
    <x v="28"/>
    <s v="eth1/5"/>
    <x v="0"/>
    <x v="0"/>
    <x v="0"/>
    <s v="FASE_1.5_REDKNEE_produccion_4_client_LAG"/>
    <x v="1"/>
    <b v="0"/>
    <s v="No está en VPC"/>
    <n v="429"/>
    <s v="INTPG_VPC_427_1.2-3_429_1.5-6"/>
    <s v="ISEL-1.5"/>
    <n v="2"/>
    <s v="NO TIENE L3OUT"/>
    <n v="8"/>
    <n v="54"/>
  </r>
  <r>
    <n v="432"/>
    <x v="1"/>
    <x v="29"/>
    <s v="eth1/5"/>
    <x v="0"/>
    <x v="0"/>
    <x v="0"/>
    <s v="SSO"/>
    <x v="1"/>
    <b v="0"/>
    <s v="No está en VPC"/>
    <n v="432"/>
    <s v="INTPG_ACC_432_1.5"/>
    <s v="ISEL-1.5"/>
    <n v="1"/>
    <s v="NO TIENE L3OUT"/>
    <n v="54"/>
    <n v="54"/>
  </r>
  <r>
    <n v="442"/>
    <x v="1"/>
    <x v="30"/>
    <s v="eth1/5"/>
    <x v="0"/>
    <x v="0"/>
    <x v="0"/>
    <s v="INTELIGN_COMERCIAL_LAG4"/>
    <x v="1"/>
    <b v="0"/>
    <s v="No está en VPC"/>
    <n v="442"/>
    <s v="INTPG_VPC_440_1.5_442_1.5"/>
    <s v="ISEL-1.5"/>
    <n v="1"/>
    <s v="NO TIENE L3OUT"/>
    <n v="18"/>
    <n v="54"/>
  </r>
  <r>
    <n v="434"/>
    <x v="1"/>
    <x v="31"/>
    <s v="eth1/5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5"/>
    <x v="0"/>
    <x v="0"/>
    <x v="0"/>
    <s v="CEM:ITHCEMG2DAT03:LOM P1"/>
    <x v="0"/>
    <b v="0"/>
    <s v="No está en VPC"/>
    <n v="707"/>
    <s v="INTPG_ACC_707_1.5"/>
    <s v="ISEL-1.5"/>
    <n v="1"/>
    <s v="NO TIENE L3OUT"/>
    <n v="54"/>
    <n v="54"/>
  </r>
  <r>
    <n v="712"/>
    <x v="2"/>
    <x v="33"/>
    <s v="eth1/5"/>
    <x v="0"/>
    <x v="0"/>
    <x v="0"/>
    <s v="CEM:ITHCEMB2DAT03:LOM P1"/>
    <x v="0"/>
    <b v="0"/>
    <s v="No está en VPC"/>
    <n v="712"/>
    <s v="INTPG_ACC_712_1.5"/>
    <s v="ISEL-1.5"/>
    <n v="1"/>
    <s v="NO TIENE L3OUT"/>
    <n v="32"/>
    <n v="54"/>
  </r>
  <r>
    <n v="719"/>
    <x v="2"/>
    <x v="34"/>
    <s v="eth1/5"/>
    <x v="0"/>
    <x v="0"/>
    <x v="0"/>
    <m/>
    <x v="0"/>
    <b v="0"/>
    <s v="No está en VPC"/>
    <n v="719"/>
    <s v="INTPG-VPC_HDD05_719_1.5_720_1.6"/>
    <s v="ISEL-1.5"/>
    <n v="1"/>
    <s v="NO TIENE L3OUT"/>
    <n v="0"/>
    <n v="54"/>
  </r>
  <r>
    <n v="715"/>
    <x v="2"/>
    <x v="35"/>
    <s v="eth1/5"/>
    <x v="0"/>
    <x v="0"/>
    <x v="0"/>
    <m/>
    <x v="0"/>
    <b v="0"/>
    <s v="No está en VPC"/>
    <n v="715"/>
    <s v="INTPG-VPC_HDD46_715_1.5_716_1.6"/>
    <s v="ISEL-1.5"/>
    <n v="1"/>
    <s v="NO TIENE L3OUT"/>
    <n v="0"/>
    <n v="54"/>
  </r>
  <r>
    <n v="427"/>
    <x v="1"/>
    <x v="36"/>
    <s v="eth1/5"/>
    <x v="0"/>
    <x v="0"/>
    <x v="0"/>
    <s v="FASE_1.5_REDKNEE_produccion_3_client_LAG"/>
    <x v="1"/>
    <b v="0"/>
    <s v="No está en VPC"/>
    <n v="427"/>
    <s v="INTPG_VPC_427_1.4-5_429_1.2-3"/>
    <s v="ISEL-1.5"/>
    <n v="5"/>
    <s v="NO TIENE L3OUT"/>
    <n v="10"/>
    <n v="54"/>
  </r>
  <r>
    <n v="711"/>
    <x v="2"/>
    <x v="37"/>
    <s v="eth1/5"/>
    <x v="0"/>
    <x v="0"/>
    <x v="0"/>
    <s v="CEM:ITHCEMC2DAT03:LOM P1"/>
    <x v="0"/>
    <b v="0"/>
    <s v="No está en VPC"/>
    <n v="711"/>
    <s v="INTPG_ACC_711_1.5"/>
    <s v="ISEL-1.5"/>
    <n v="1"/>
    <s v="NO TIENE L3OUT"/>
    <n v="16"/>
    <n v="54"/>
  </r>
  <r>
    <n v="716"/>
    <x v="2"/>
    <x v="38"/>
    <s v="eth1/5"/>
    <x v="0"/>
    <x v="0"/>
    <x v="0"/>
    <m/>
    <x v="0"/>
    <b v="0"/>
    <s v="No está en VPC"/>
    <n v="716"/>
    <s v="INTPG-VPC_HDD37_716_1.5_715_1.6"/>
    <s v="ISEL-1.5"/>
    <n v="1"/>
    <s v="NO TIENE L3OUT"/>
    <n v="0"/>
    <n v="54"/>
  </r>
  <r>
    <n v="702"/>
    <x v="2"/>
    <x v="39"/>
    <s v="eth1/5"/>
    <x v="0"/>
    <x v="0"/>
    <x v="0"/>
    <m/>
    <x v="0"/>
    <b v="0"/>
    <s v="No está en VPC"/>
    <n v="702"/>
    <s v="INTPG_VPC_702_1.5_701_1.6"/>
    <s v="ISEL-1.5"/>
    <n v="1"/>
    <s v="NO TIENE L3OUT"/>
    <n v="0"/>
    <n v="54"/>
  </r>
  <r>
    <n v="435"/>
    <x v="1"/>
    <x v="40"/>
    <s v="eth1/5"/>
    <x v="0"/>
    <x v="0"/>
    <x v="0"/>
    <s v="TO-ABF_R9_IXTLA_FORTI_2-Redundante"/>
    <x v="1"/>
    <b v="0"/>
    <s v="No está en VPC"/>
    <n v="435"/>
    <s v="INTPG_ACC_435_1.5"/>
    <s v="ISEL-1.5"/>
    <n v="1"/>
    <s v="NO TIENE L3OUT"/>
    <n v="34"/>
    <n v="54"/>
  </r>
  <r>
    <n v="446"/>
    <x v="1"/>
    <x v="41"/>
    <s v="eth1/5"/>
    <x v="0"/>
    <x v="0"/>
    <x v="0"/>
    <m/>
    <x v="0"/>
    <b v="0"/>
    <s v="No está en VPC"/>
    <n v="446"/>
    <s v="INTPG_ACC_446_1.5"/>
    <s v="ISEL-1.5"/>
    <n v="9"/>
    <s v="NO TIENE L3OUT"/>
    <n v="198"/>
    <n v="54"/>
  </r>
  <r>
    <n v="444"/>
    <x v="1"/>
    <x v="42"/>
    <s v="eth1/5"/>
    <x v="0"/>
    <x v="0"/>
    <x v="0"/>
    <s v="TO-ITHFHPNBURBKP05"/>
    <x v="0"/>
    <b v="0"/>
    <s v="No está en VPC"/>
    <n v="444"/>
    <s v="INTPG_VPC_444_1.5_446_1.6"/>
    <s v="ISEL-1.5"/>
    <n v="1"/>
    <s v="NO TIENE L3OUT"/>
    <n v="234"/>
    <n v="54"/>
  </r>
  <r>
    <n v="701"/>
    <x v="2"/>
    <x v="43"/>
    <s v="eth1/5"/>
    <x v="0"/>
    <x v="0"/>
    <x v="0"/>
    <m/>
    <x v="0"/>
    <b v="0"/>
    <s v="No está en VPC"/>
    <n v="701"/>
    <s v="INTPG_VPC_701_1.5_702_1.6"/>
    <s v="ISEL-1.5"/>
    <n v="1"/>
    <s v="NO TIENE L3OUT"/>
    <n v="0"/>
    <n v="54"/>
  </r>
  <r>
    <n v="440"/>
    <x v="1"/>
    <x v="44"/>
    <s v="eth1/5"/>
    <x v="0"/>
    <x v="0"/>
    <x v="0"/>
    <s v="INTELIGN_COMERCIAL_LAG4"/>
    <x v="1"/>
    <b v="0"/>
    <s v="No está en VPC"/>
    <n v="440"/>
    <s v="INTPG_VPC_440_1.5_442_1.5"/>
    <s v="ISEL-1.5"/>
    <n v="1"/>
    <s v="NO TIENE L3OUT"/>
    <n v="22"/>
    <n v="54"/>
  </r>
  <r>
    <n v="448"/>
    <x v="1"/>
    <x v="45"/>
    <s v="eth1/5"/>
    <x v="0"/>
    <x v="0"/>
    <x v="0"/>
    <s v="VBLOCK1"/>
    <x v="0"/>
    <b v="0"/>
    <s v="No está en VPC"/>
    <n v="448"/>
    <s v="INTPG_VPC_431_1.5-6_448_1.5-6"/>
    <s v="ISEL-1.5"/>
    <n v="10"/>
    <s v="NO TIENE L3OUT"/>
    <n v="46"/>
    <n v="54"/>
  </r>
  <r>
    <n v="704"/>
    <x v="2"/>
    <x v="46"/>
    <s v="eth1/5"/>
    <x v="0"/>
    <x v="0"/>
    <x v="0"/>
    <m/>
    <x v="0"/>
    <b v="0"/>
    <s v="No está en VPC"/>
    <n v="704"/>
    <s v="INTPG_VPC_704_1.5_703_1.6"/>
    <s v="ISEL-1.5"/>
    <n v="1"/>
    <s v="NO TIENE L3OUT"/>
    <n v="0"/>
    <n v="54"/>
  </r>
  <r>
    <n v="729"/>
    <x v="2"/>
    <x v="47"/>
    <s v="eth1/5"/>
    <x v="0"/>
    <x v="0"/>
    <x v="0"/>
    <s v="eth-trunk-32"/>
    <x v="0"/>
    <b v="0"/>
    <s v="No está en VPC"/>
    <n v="729"/>
    <s v="INTPG_VPC_728_1.5_8_729_1.5_8"/>
    <s v="ISEL-1.5"/>
    <n v="11"/>
    <s v="NO TIENE L3OUT"/>
    <n v="4"/>
    <n v="54"/>
  </r>
  <r>
    <n v="728"/>
    <x v="2"/>
    <x v="48"/>
    <s v="eth1/5"/>
    <x v="0"/>
    <x v="0"/>
    <x v="0"/>
    <s v="eth-trunk-32"/>
    <x v="0"/>
    <b v="0"/>
    <s v="No está en VPC"/>
    <n v="728"/>
    <s v="INTPG_VPC_728_1.5_8_729_1.5_8"/>
    <s v="ISEL-1.5"/>
    <n v="11"/>
    <s v="NO TIENE L3OUT"/>
    <n v="2"/>
    <n v="54"/>
  </r>
  <r>
    <n v="456"/>
    <x v="1"/>
    <x v="49"/>
    <s v="eth1/5"/>
    <x v="0"/>
    <x v="0"/>
    <x v="0"/>
    <s v="HACIA_CSI-B-OSCP-F4-05_SECUNDARIO"/>
    <x v="4"/>
    <b v="0"/>
    <s v="No está en VPC"/>
    <n v="456"/>
    <s v="INTPG_VPC_454_1.5_456_1.5"/>
    <s v="ISEL-1.5"/>
    <n v="2"/>
    <s v="NO TIENE L3OUT"/>
    <n v="4"/>
    <n v="54"/>
  </r>
  <r>
    <n v="603"/>
    <x v="1"/>
    <x v="50"/>
    <s v="eth1/5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5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5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5"/>
    <x v="0"/>
    <x v="0"/>
    <x v="0"/>
    <s v="Server_Pre-R02-CBS-RH2288-01"/>
    <x v="0"/>
    <b v="0"/>
    <s v="No está en VPC"/>
    <n v="730"/>
    <s v="INTPG_ACC_730_1.5"/>
    <s v="ISEL-1.5"/>
    <n v="3"/>
    <s v="NO TIENE L3OUT"/>
    <n v="36"/>
    <n v="54"/>
  </r>
  <r>
    <n v="722"/>
    <x v="2"/>
    <x v="54"/>
    <s v="eth1/5"/>
    <x v="0"/>
    <x v="0"/>
    <x v="0"/>
    <m/>
    <x v="0"/>
    <b v="0"/>
    <s v="No está en VPC"/>
    <n v="722"/>
    <s v="INTPG-VPC_HDD131_722_1.5_723_1.6"/>
    <s v="ISEL-1.5"/>
    <n v="1"/>
    <s v="NO TIENE L3OUT"/>
    <n v="0"/>
    <n v="54"/>
  </r>
  <r>
    <n v="733"/>
    <x v="2"/>
    <x v="55"/>
    <s v="eth1/5"/>
    <x v="0"/>
    <x v="0"/>
    <x v="0"/>
    <s v="eth-trunk 22 fase 2 bes"/>
    <x v="0"/>
    <b v="0"/>
    <s v="No está en VPC"/>
    <n v="733"/>
    <s v="INTPG_VPC_732_1.5_8_733_1.5_8"/>
    <s v="ISEL-1.5"/>
    <n v="9"/>
    <s v="NO TIENE L3OUT"/>
    <n v="0"/>
    <n v="54"/>
  </r>
  <r>
    <n v="755"/>
    <x v="2"/>
    <x v="56"/>
    <s v="eth1/5"/>
    <x v="0"/>
    <x v="0"/>
    <x v="0"/>
    <s v="OSS F1:ithenmr06bl01nas1r9b:PCIe3 Slot 1/1"/>
    <x v="0"/>
    <b v="0"/>
    <s v="No está en VPC"/>
    <n v="755"/>
    <s v="INTPG_PC_755_1.3-6"/>
    <s v="ISEL-1.5"/>
    <n v="1"/>
    <s v="NO TIENE L3OUT"/>
    <n v="52"/>
    <n v="54"/>
  </r>
  <r>
    <n v="748"/>
    <x v="2"/>
    <x v="57"/>
    <s v="eth1/5"/>
    <x v="0"/>
    <x v="0"/>
    <x v="0"/>
    <s v="trunk13 Bes-Production"/>
    <x v="0"/>
    <b v="0"/>
    <s v="No está en VPC"/>
    <n v="748"/>
    <s v="INTPG_VPC_748_1.5_8_749_1.5_8"/>
    <s v="ISEL-1.5"/>
    <n v="14"/>
    <s v="NO TIENE L3OUT"/>
    <n v="2"/>
    <n v="54"/>
  </r>
  <r>
    <n v="756"/>
    <x v="2"/>
    <x v="58"/>
    <s v="eth1/5"/>
    <x v="0"/>
    <x v="0"/>
    <x v="0"/>
    <s v="OSS F1:ithenmr08bl03lms1r9a:PORT 1"/>
    <x v="0"/>
    <b v="0"/>
    <s v="No está en VPC"/>
    <n v="756"/>
    <s v="INTPG_ACC_756_1.5"/>
    <s v="ISEL-1.5"/>
    <n v="1"/>
    <s v="NO TIENE L3OUT"/>
    <n v="64"/>
    <n v="54"/>
  </r>
  <r>
    <n v="754"/>
    <x v="2"/>
    <x v="59"/>
    <s v="eth1/5"/>
    <x v="0"/>
    <x v="0"/>
    <x v="0"/>
    <s v="OSS F1:ithenmr04bl04ombsr9b:PORT 1"/>
    <x v="0"/>
    <b v="0"/>
    <s v="No está en VPC"/>
    <n v="754"/>
    <s v="INTPG_PC_754_1.5-8"/>
    <s v="ISEL-1.5"/>
    <n v="2"/>
    <s v="NO TIENE L3OUT"/>
    <n v="62"/>
    <n v="54"/>
  </r>
  <r>
    <n v="751"/>
    <x v="2"/>
    <x v="60"/>
    <s v="eth1/5"/>
    <x v="0"/>
    <x v="0"/>
    <x v="0"/>
    <s v="trunk17 Bes-Production"/>
    <x v="0"/>
    <b v="0"/>
    <s v="No está en VPC"/>
    <n v="751"/>
    <s v="INTPG_VPC_750_1.5_8_751_1.5_8"/>
    <s v="ISEL-1.5"/>
    <n v="13"/>
    <s v="NO TIENE L3OUT"/>
    <n v="0"/>
    <n v="54"/>
  </r>
  <r>
    <n v="769"/>
    <x v="2"/>
    <x v="61"/>
    <s v="eth1/5"/>
    <x v="0"/>
    <x v="0"/>
    <x v="0"/>
    <s v="Portchannel_6_R4A"/>
    <x v="0"/>
    <b v="0"/>
    <s v="No está en VPC"/>
    <n v="769"/>
    <s v="INTPG_PC_769_1.3-6"/>
    <s v="ISEL-1.5"/>
    <n v="1"/>
    <s v="NO TIENE L3OUT"/>
    <n v="60"/>
    <n v="54"/>
  </r>
  <r>
    <n v="742"/>
    <x v="2"/>
    <x v="62"/>
    <s v="eth1/5"/>
    <x v="0"/>
    <x v="1"/>
    <x v="1"/>
    <s v="CEM:ITHCEMA2DAT03:LOM P3"/>
    <x v="5"/>
    <b v="0"/>
    <s v="No está en VPC"/>
    <n v="742"/>
    <s v="INTPG_ACC_742_1.5"/>
    <s v="ISEL-1.5"/>
    <n v="1"/>
    <s v="NO TIENE L3OUT"/>
    <n v="64"/>
    <n v="54"/>
  </r>
  <r>
    <n v="763"/>
    <x v="2"/>
    <x v="63"/>
    <s v="eth1/5"/>
    <x v="0"/>
    <x v="0"/>
    <x v="0"/>
    <s v="PAAS:ithhwoscopap005:LOM PORT 3"/>
    <x v="0"/>
    <b v="0"/>
    <s v="No está en VPC"/>
    <n v="763"/>
    <s v="INTPG_VPC_762_1.5_763_1.5"/>
    <s v="ISEL-1.5"/>
    <n v="15"/>
    <s v="NO TIENE L3OUT"/>
    <n v="2"/>
    <n v="54"/>
  </r>
  <r>
    <n v="766"/>
    <x v="2"/>
    <x v="64"/>
    <s v="eth1/5"/>
    <x v="0"/>
    <x v="0"/>
    <x v="0"/>
    <s v="Portchannel_3_R6B"/>
    <x v="0"/>
    <b v="0"/>
    <s v="No está en VPC"/>
    <n v="766"/>
    <s v="INTPG_PC_766_1.5-6"/>
    <s v="ISEL-1.5"/>
    <n v="8"/>
    <s v="NO TIENE L3OUT"/>
    <n v="58"/>
    <n v="54"/>
  </r>
  <r>
    <n v="760"/>
    <x v="2"/>
    <x v="65"/>
    <s v="eth1/5"/>
    <x v="0"/>
    <x v="1"/>
    <x v="1"/>
    <m/>
    <x v="0"/>
    <b v="0"/>
    <s v="No está en VPC"/>
    <n v="760"/>
    <s v="INTPG_VPC_760_1.5-8_761_1.5-8"/>
    <s v="ISEL-1.5"/>
    <n v="0"/>
    <s v="L3OUT-EXACLOUD"/>
    <n v="0"/>
    <n v="54"/>
  </r>
  <r>
    <n v="752"/>
    <x v="2"/>
    <x v="66"/>
    <s v="eth1/5"/>
    <x v="0"/>
    <x v="0"/>
    <x v="0"/>
    <s v="PAAS:ithhwoscopap003:Slot4.1"/>
    <x v="0"/>
    <b v="0"/>
    <s v="No está en VPC"/>
    <n v="752"/>
    <s v="INTPG_VPC_747_1.5_752_1.5"/>
    <s v="ISEL-1.5"/>
    <n v="25"/>
    <s v="NO TIENE L3OUT"/>
    <n v="0"/>
    <n v="54"/>
  </r>
  <r>
    <n v="765"/>
    <x v="2"/>
    <x v="67"/>
    <s v="eth1/5"/>
    <x v="0"/>
    <x v="0"/>
    <x v="0"/>
    <s v="OSS_ENM"/>
    <x v="0"/>
    <b v="0"/>
    <s v="No está en VPC"/>
    <n v="765"/>
    <s v="INTPG_ACC_765_1.5"/>
    <s v="ISEL-1.5"/>
    <n v="1"/>
    <s v="NO TIENE L3OUT"/>
    <n v="60"/>
    <n v="54"/>
  </r>
  <r>
    <n v="778"/>
    <x v="2"/>
    <x v="68"/>
    <s v="eth1/5"/>
    <x v="0"/>
    <x v="0"/>
    <x v="0"/>
    <s v="ENIQ F1:itheniqr07nas1r2:Slot 2/2"/>
    <x v="0"/>
    <b v="0"/>
    <s v="No está en VPC"/>
    <n v="778"/>
    <s v="INTPG_PC_778_1.3-6"/>
    <s v="ISEL-1.5"/>
    <n v="1"/>
    <s v="NO TIENE L3OUT"/>
    <n v="26"/>
    <n v="54"/>
  </r>
  <r>
    <n v="780"/>
    <x v="2"/>
    <x v="69"/>
    <s v="eth1/5"/>
    <x v="0"/>
    <x v="0"/>
    <x v="0"/>
    <s v="LACP_NAS1_ENIQ1"/>
    <x v="0"/>
    <b v="0"/>
    <s v="No está en VPC"/>
    <n v="780"/>
    <s v="INTPG_PC_780_1.3-6"/>
    <s v="ISEL-1.5"/>
    <n v="1"/>
    <s v="NO TIENE L3OUT"/>
    <n v="26"/>
    <n v="54"/>
  </r>
  <r>
    <n v="812"/>
    <x v="2"/>
    <x v="70"/>
    <s v="eth1/5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5"/>
    <x v="0"/>
    <x v="0"/>
    <x v="0"/>
    <s v="ITHFHWTSHNLCN03_VMs-03_Taishan_IT"/>
    <x v="0"/>
    <b v="0"/>
    <s v="No está en VPC"/>
    <n v="796"/>
    <s v="INTPG_VPC_795_1.5_796_1.5"/>
    <s v="ISEL-1.5"/>
    <n v="14"/>
    <s v="NO TIENE L3OUT"/>
    <n v="18"/>
    <n v="54"/>
  </r>
  <r>
    <n v="795"/>
    <x v="2"/>
    <x v="72"/>
    <s v="eth1/5"/>
    <x v="0"/>
    <x v="0"/>
    <x v="0"/>
    <s v="ITHFHWTSHNLCN03_VMs-03_Taishan_IT"/>
    <x v="0"/>
    <b v="0"/>
    <s v="No está en VPC"/>
    <n v="795"/>
    <s v="INTPG_VPC_795_1.5_796_1.5"/>
    <s v="ISEL-1.5"/>
    <n v="14"/>
    <s v="NO TIENE L3OUT"/>
    <n v="18"/>
    <n v="54"/>
  </r>
  <r>
    <n v="749"/>
    <x v="2"/>
    <x v="73"/>
    <s v="eth1/5"/>
    <x v="0"/>
    <x v="0"/>
    <x v="0"/>
    <s v="trunk13 Bes-Production"/>
    <x v="0"/>
    <b v="0"/>
    <s v="No está en VPC"/>
    <n v="749"/>
    <s v="INTPG_VPC_748_1.5_8_749_1.5_8"/>
    <s v="ISEL-1.5"/>
    <n v="14"/>
    <s v="NO TIENE L3OUT"/>
    <n v="4"/>
    <n v="54"/>
  </r>
  <r>
    <n v="824"/>
    <x v="2"/>
    <x v="74"/>
    <s v="eth1/5"/>
    <x v="0"/>
    <x v="0"/>
    <x v="0"/>
    <s v="LINK_TO_ITHHWD6K60012DKC01 /CtrlA_IOM1.P1 /Redundante"/>
    <x v="0"/>
    <b v="0"/>
    <s v="No está en VPC"/>
    <n v="824"/>
    <s v="INTPG_ACC_824_1.5"/>
    <s v="ISEL-1.5"/>
    <n v="1"/>
    <s v="NO TIENE L3OUT"/>
    <n v="70"/>
    <n v="54"/>
  </r>
  <r>
    <n v="819"/>
    <x v="2"/>
    <x v="75"/>
    <s v="eth1/5"/>
    <x v="0"/>
    <x v="0"/>
    <x v="0"/>
    <s v="LINK_TO_ITHHWD6K60012DKC01 /CtrlA_IOM1.P0 /Principal"/>
    <x v="0"/>
    <b v="0"/>
    <s v="No está en VPC"/>
    <n v="819"/>
    <s v="INTPG_ACC_819_1.5"/>
    <s v="ISEL-1.5"/>
    <n v="1"/>
    <s v="NO TIENE L3OUT"/>
    <n v="70"/>
    <n v="54"/>
  </r>
  <r>
    <n v="737"/>
    <x v="2"/>
    <x v="76"/>
    <s v="eth1/5"/>
    <x v="0"/>
    <x v="0"/>
    <x v="0"/>
    <s v="CEM:ITHCEMF2DAT03:LOM P3"/>
    <x v="5"/>
    <b v="0"/>
    <s v="No está en VPC"/>
    <n v="737"/>
    <s v="INTPG_ACC_737_1.5"/>
    <s v="ISEL-1.5"/>
    <n v="1"/>
    <s v="NO TIENE L3OUT"/>
    <n v="72"/>
    <n v="54"/>
  </r>
  <r>
    <n v="844"/>
    <x v="2"/>
    <x v="77"/>
    <s v="eth1/5"/>
    <x v="0"/>
    <x v="0"/>
    <x v="0"/>
    <s v="LINK_TO_ITHFHWCRMPLCN102 / Slot1.2_8 / Principal"/>
    <x v="0"/>
    <b v="0"/>
    <s v="No está en VPC"/>
    <n v="844"/>
    <s v="INTPG_ACC_844_1.5"/>
    <s v="ISEL-1.5"/>
    <n v="2"/>
    <s v="NO TIENE L3OUT"/>
    <n v="282"/>
    <n v="54"/>
  </r>
  <r>
    <n v="843"/>
    <x v="2"/>
    <x v="78"/>
    <s v="eth1/5"/>
    <x v="0"/>
    <x v="0"/>
    <x v="0"/>
    <s v="LINK_To_ITHFHWCBSPSHDCTL04 / Slot7.3_12 / Redundante"/>
    <x v="0"/>
    <b v="0"/>
    <s v="No está en VPC"/>
    <n v="843"/>
    <s v="INTPG_VPC_838_1.5_843_1.5"/>
    <s v="ISEL-1.5"/>
    <n v="1"/>
    <s v="NO TIENE L3OUT"/>
    <n v="38"/>
    <n v="54"/>
  </r>
  <r>
    <n v="797"/>
    <x v="2"/>
    <x v="79"/>
    <s v="eth1/5"/>
    <x v="0"/>
    <x v="0"/>
    <x v="0"/>
    <s v="TO-HDPS_07-MSP"/>
    <x v="0"/>
    <b v="0"/>
    <s v="No está en VPC"/>
    <n v="797"/>
    <s v="INTPG_ACC_797_1.5"/>
    <s v="ISEL-1.5"/>
    <n v="1"/>
    <s v="NO TIENE L3OUT"/>
    <n v="48"/>
    <n v="54"/>
  </r>
  <r>
    <n v="839"/>
    <x v="2"/>
    <x v="80"/>
    <s v="eth1/5"/>
    <x v="0"/>
    <x v="0"/>
    <x v="0"/>
    <s v="LINK_TO_ITHFHWCBSPSHD44 / Slot7.2_6 / Redundante"/>
    <x v="0"/>
    <b v="0"/>
    <s v="No está en VPC"/>
    <n v="839"/>
    <s v="INTPG_VPC_834_1.5_839_1.5"/>
    <s v="ISEL-1.5"/>
    <n v="1"/>
    <s v="NO TIENE L3OUT"/>
    <n v="0"/>
    <n v="54"/>
  </r>
  <r>
    <n v="847"/>
    <x v="2"/>
    <x v="81"/>
    <s v="eth1/5"/>
    <x v="0"/>
    <x v="0"/>
    <x v="0"/>
    <s v="LINK_TO_ITHFHWCRMPSBDA06 / Slot1.2_6 / Principal"/>
    <x v="0"/>
    <b v="0"/>
    <s v="No está en VPC"/>
    <n v="847"/>
    <s v="INTPG_VPC_847_1.5_854_1.5"/>
    <s v="ISEL-1.5"/>
    <n v="2"/>
    <s v="NO TIENE L3OUT"/>
    <n v="204"/>
    <n v="54"/>
  </r>
  <r>
    <n v="848"/>
    <x v="2"/>
    <x v="82"/>
    <s v="eth1/5"/>
    <x v="0"/>
    <x v="0"/>
    <x v="0"/>
    <s v="LINK_TO_ITHFHWCRMPLCN156 / Slot7.1_14 / Redundante"/>
    <x v="0"/>
    <b v="0"/>
    <s v="No está en VPC"/>
    <n v="848"/>
    <s v="INTPG_ACC_848_1.5"/>
    <s v="ISEL-1.5"/>
    <n v="6"/>
    <s v="NO TIENE L3OUT"/>
    <n v="254"/>
    <n v="54"/>
  </r>
  <r>
    <n v="846"/>
    <x v="2"/>
    <x v="83"/>
    <s v="eth1/5"/>
    <x v="0"/>
    <x v="0"/>
    <x v="0"/>
    <s v="VPC_2DCRMP_BDP06_3"/>
    <x v="0"/>
    <b v="0"/>
    <s v="No está en VPC"/>
    <n v="846"/>
    <s v="INTPG_VPC_846_1.5_853_1.5"/>
    <s v="ISEL-1.5"/>
    <n v="1"/>
    <s v="NO TIENE L3OUT"/>
    <n v="242"/>
    <n v="54"/>
  </r>
  <r>
    <n v="838"/>
    <x v="2"/>
    <x v="84"/>
    <s v="eth1/5"/>
    <x v="0"/>
    <x v="0"/>
    <x v="0"/>
    <s v="LINK_To_ITHFHWCBSPSHDCTL04 / Slot1.3_12 / Principal"/>
    <x v="0"/>
    <b v="0"/>
    <s v="No está en VPC"/>
    <n v="838"/>
    <s v="INTPG_VPC_838_1.5_843_1.5"/>
    <s v="ISEL-1.5"/>
    <n v="1"/>
    <s v="NO TIENE L3OUT"/>
    <n v="38"/>
    <n v="54"/>
  </r>
  <r>
    <n v="849"/>
    <x v="2"/>
    <x v="85"/>
    <s v="eth1/5"/>
    <x v="0"/>
    <x v="0"/>
    <x v="0"/>
    <s v="LINK_TO_ITHFHWCRMPLCN136 / Slot7.1_6 / Redundante"/>
    <x v="0"/>
    <b v="0"/>
    <s v="No está en VPC"/>
    <n v="849"/>
    <s v="INTPG_ACC_849_1.5"/>
    <s v="ISEL-1.5"/>
    <n v="6"/>
    <s v="NO TIENE L3OUT"/>
    <n v="286"/>
    <n v="54"/>
  </r>
  <r>
    <n v="845"/>
    <x v="2"/>
    <x v="86"/>
    <s v="eth1/5"/>
    <x v="0"/>
    <x v="0"/>
    <x v="0"/>
    <s v="LINK_TO_ITHFHWCRMPLCN117 / Slot1.3_38 / Principal"/>
    <x v="0"/>
    <b v="0"/>
    <s v="No está en VPC"/>
    <n v="845"/>
    <s v="INTPG_ACC_845_1.5"/>
    <s v="ISEL-1.5"/>
    <n v="1"/>
    <s v="NO TIENE L3OUT"/>
    <n v="258"/>
    <n v="54"/>
  </r>
  <r>
    <n v="873"/>
    <x v="2"/>
    <x v="87"/>
    <s v="eth1/5"/>
    <x v="0"/>
    <x v="0"/>
    <x v="0"/>
    <s v="TO_ITHFHWCRMDLCN54_Principal"/>
    <x v="0"/>
    <b v="0"/>
    <s v="No está en VPC"/>
    <n v="873"/>
    <s v="INTPG_ACC_873_1.5"/>
    <s v="ISEL-1.5"/>
    <n v="1"/>
    <s v="NO TIENE L3OUT"/>
    <n v="248"/>
    <n v="54"/>
  </r>
  <r>
    <n v="864"/>
    <x v="2"/>
    <x v="88"/>
    <s v="eth1/5"/>
    <x v="0"/>
    <x v="0"/>
    <x v="0"/>
    <s v="To_VPC_2DCBSD_HD32_2"/>
    <x v="0"/>
    <b v="0"/>
    <s v="No está en VPC"/>
    <n v="864"/>
    <s v="INTPG_VPC_859_1.5_864_1.5"/>
    <s v="ISEL-1.5"/>
    <n v="1"/>
    <s v="NO TIENE L3OUT"/>
    <n v="0"/>
    <n v="54"/>
  </r>
  <r>
    <n v="836"/>
    <x v="2"/>
    <x v="89"/>
    <s v="eth1/5"/>
    <x v="0"/>
    <x v="0"/>
    <x v="0"/>
    <s v="LINK_TO_ITHFHWCBSPSUSBD35 / Slot1.1_8 / Principal"/>
    <x v="0"/>
    <b v="0"/>
    <s v="No está en VPC"/>
    <n v="836"/>
    <s v="INTPG_VPC_836_1.5_841_1.5"/>
    <s v="ISEL-1.5"/>
    <n v="2"/>
    <s v="NO TIENE L3OUT"/>
    <n v="0"/>
    <n v="54"/>
  </r>
  <r>
    <n v="834"/>
    <x v="2"/>
    <x v="90"/>
    <s v="eth1/5"/>
    <x v="0"/>
    <x v="0"/>
    <x v="0"/>
    <s v="LINK_TO_ITHFHWCBSPSHD44 / Slot1.2_6 / Principal"/>
    <x v="0"/>
    <b v="0"/>
    <s v="No está en VPC"/>
    <n v="834"/>
    <s v="INTPG_VPC_834_1.5_839_1.5"/>
    <s v="ISEL-1.5"/>
    <n v="1"/>
    <s v="NO TIENE L3OUT"/>
    <n v="0"/>
    <n v="54"/>
  </r>
  <r>
    <n v="872"/>
    <x v="2"/>
    <x v="91"/>
    <s v="eth1/5"/>
    <x v="0"/>
    <x v="0"/>
    <x v="0"/>
    <s v="To_ITHFHWCRMDLCN70_Principal"/>
    <x v="0"/>
    <b v="0"/>
    <s v="No está en VPC"/>
    <n v="872"/>
    <s v="INTPG_ACC_872_1.5"/>
    <s v="ISEL-1.5"/>
    <n v="1"/>
    <s v="NO TIENE L3OUT"/>
    <n v="288"/>
    <n v="54"/>
  </r>
  <r>
    <n v="842"/>
    <x v="2"/>
    <x v="92"/>
    <s v="eth1/5"/>
    <x v="0"/>
    <x v="0"/>
    <x v="0"/>
    <s v="LINK_TO_ITHFHWCBSPSUSBD24 / Slot7.1_4 / Redundante"/>
    <x v="0"/>
    <b v="0"/>
    <s v="No está en VPC"/>
    <n v="842"/>
    <s v="INTPG_VPC_837_1.5_842_1.5"/>
    <s v="ISEL-1.5"/>
    <n v="2"/>
    <s v="NO TIENE L3OUT"/>
    <n v="8"/>
    <n v="54"/>
  </r>
  <r>
    <n v="828"/>
    <x v="2"/>
    <x v="93"/>
    <s v="eth1/5"/>
    <x v="0"/>
    <x v="0"/>
    <x v="0"/>
    <s v="LINK_TO_ITHFHWCBSDSWR33 /10GE.1 /Principal"/>
    <x v="0"/>
    <b v="0"/>
    <s v="No está en VPC"/>
    <n v="828"/>
    <s v="INTPG_VPC_828_1.5_832_1.5"/>
    <s v="ISEL-1.5"/>
    <n v="1"/>
    <s v="NO TIENE L3OUT"/>
    <n v="192"/>
    <n v="54"/>
  </r>
  <r>
    <n v="870"/>
    <x v="2"/>
    <x v="94"/>
    <s v="eth1/5"/>
    <x v="0"/>
    <x v="0"/>
    <x v="0"/>
    <s v="TO_ITHFHWCRMDLCN54_Redundante"/>
    <x v="0"/>
    <b v="0"/>
    <s v="No está en VPC"/>
    <n v="870"/>
    <s v="INTPG_ACC_870_1.5"/>
    <s v="ISEL-1.5"/>
    <n v="1"/>
    <s v="NO TIENE L3OUT"/>
    <n v="248"/>
    <n v="54"/>
  </r>
  <r>
    <n v="866"/>
    <x v="2"/>
    <x v="95"/>
    <s v="eth1/5"/>
    <x v="0"/>
    <x v="0"/>
    <x v="0"/>
    <s v="To_ITHHWD6KV65100016DKC01_Redundante"/>
    <x v="0"/>
    <b v="0"/>
    <s v="No está en VPC"/>
    <n v="866"/>
    <s v="INTPG_ACC_866_1.5"/>
    <s v="ISEL-1.5"/>
    <n v="1"/>
    <s v="NO TIENE L3OUT"/>
    <n v="8"/>
    <n v="54"/>
  </r>
  <r>
    <n v="862"/>
    <x v="2"/>
    <x v="96"/>
    <s v="eth1/5"/>
    <x v="0"/>
    <x v="0"/>
    <x v="0"/>
    <s v="To_ITHHWD6KV65100013DKC01_Principal"/>
    <x v="0"/>
    <b v="0"/>
    <s v="No está en VPC"/>
    <n v="862"/>
    <s v="INTPG_ACC_862_1.5"/>
    <s v="ISEL-1.5"/>
    <n v="1"/>
    <s v="NO TIENE L3OUT"/>
    <n v="44"/>
    <n v="54"/>
  </r>
  <r>
    <n v="855"/>
    <x v="2"/>
    <x v="97"/>
    <s v="eth1/5"/>
    <x v="0"/>
    <x v="0"/>
    <x v="0"/>
    <s v="LINK_TO_ITHFHWCRMPLCN156 / Slot1.1_14 / Principal"/>
    <x v="0"/>
    <b v="0"/>
    <s v="No está en VPC"/>
    <n v="855"/>
    <s v="INTPG_ACC_855_1.5"/>
    <s v="ISEL-1.5"/>
    <n v="6"/>
    <s v="NO TIENE L3OUT"/>
    <n v="254"/>
    <n v="54"/>
  </r>
  <r>
    <n v="871"/>
    <x v="2"/>
    <x v="98"/>
    <s v="eth1/5"/>
    <x v="0"/>
    <x v="0"/>
    <x v="0"/>
    <s v="TO_ITHFHWCRMDLCN82_Principal"/>
    <x v="0"/>
    <b v="0"/>
    <s v="No está en VPC"/>
    <n v="871"/>
    <s v="INTPG_ACC_871_1.5"/>
    <s v="ISEL-1.5"/>
    <n v="2"/>
    <s v="NO TIENE L3OUT"/>
    <n v="246"/>
    <n v="54"/>
  </r>
  <r>
    <n v="841"/>
    <x v="2"/>
    <x v="99"/>
    <s v="eth1/5"/>
    <x v="0"/>
    <x v="0"/>
    <x v="0"/>
    <s v="LINK_TO_ITHFHWCBSPSUSBD35 / Slot7.1_8 / Redundante"/>
    <x v="0"/>
    <b v="0"/>
    <s v="No está en VPC"/>
    <n v="841"/>
    <s v="INTPG_VPC_836_1.5_841_1.5"/>
    <s v="ISEL-1.5"/>
    <n v="2"/>
    <s v="NO TIENE L3OUT"/>
    <n v="0"/>
    <n v="54"/>
  </r>
  <r>
    <n v="868"/>
    <x v="2"/>
    <x v="100"/>
    <s v="eth1/5"/>
    <x v="0"/>
    <x v="0"/>
    <x v="0"/>
    <s v="TO_ITHFHWCRMDLCN82_Redundante"/>
    <x v="0"/>
    <b v="0"/>
    <s v="No está en VPC"/>
    <n v="868"/>
    <s v="INTPG_ACC_868_1.5"/>
    <s v="ISEL-1.5"/>
    <n v="2"/>
    <s v="NO TIENE L3OUT"/>
    <n v="246"/>
    <n v="54"/>
  </r>
  <r>
    <n v="869"/>
    <x v="2"/>
    <x v="101"/>
    <s v="eth1/5"/>
    <x v="0"/>
    <x v="0"/>
    <x v="0"/>
    <s v="To_ITHFHWCRMDLCN70_Redundante"/>
    <x v="0"/>
    <b v="0"/>
    <s v="No está en VPC"/>
    <n v="869"/>
    <s v="INTPG_ACC_869_1.5"/>
    <s v="ISEL-1.5"/>
    <n v="1"/>
    <s v="NO TIENE L3OUT"/>
    <n v="288"/>
    <n v="54"/>
  </r>
  <r>
    <n v="861"/>
    <x v="2"/>
    <x v="102"/>
    <s v="eth1/5"/>
    <x v="0"/>
    <x v="0"/>
    <x v="0"/>
    <s v="To_ITHHWD6KV65100016DKC01_Principal"/>
    <x v="0"/>
    <b v="0"/>
    <s v="No está en VPC"/>
    <n v="861"/>
    <s v="INTPG_ACC_861_1.5"/>
    <s v="ISEL-1.5"/>
    <n v="1"/>
    <s v="NO TIENE L3OUT"/>
    <n v="8"/>
    <n v="54"/>
  </r>
  <r>
    <n v="874"/>
    <x v="2"/>
    <x v="103"/>
    <s v="eth1/5"/>
    <x v="0"/>
    <x v="0"/>
    <x v="0"/>
    <s v="LINK_TO_ITHFHWSEQLHDPS74 / Slot 5 PTO 1 / Redundante"/>
    <x v="4"/>
    <b v="0"/>
    <s v="No está en VPC"/>
    <n v="874"/>
    <s v="INTPG_ACC_874_1.5"/>
    <s v="ISEL-1.5"/>
    <n v="1"/>
    <s v="NO TIENE L3OUT"/>
    <n v="92"/>
    <n v="54"/>
  </r>
  <r>
    <n v="865"/>
    <x v="2"/>
    <x v="104"/>
    <s v="eth1/5"/>
    <x v="0"/>
    <x v="0"/>
    <x v="0"/>
    <s v="To_VPC_2DCBSD_WR53_2"/>
    <x v="0"/>
    <b v="0"/>
    <s v="No está en VPC"/>
    <n v="865"/>
    <s v="INTPG_VPC_860_1.5_865_1.5"/>
    <s v="ISEL-1.5"/>
    <n v="1"/>
    <s v="NO TIENE L3OUT"/>
    <n v="0"/>
    <n v="54"/>
  </r>
  <r>
    <n v="753"/>
    <x v="2"/>
    <x v="105"/>
    <s v="eth1/5"/>
    <x v="0"/>
    <x v="0"/>
    <x v="0"/>
    <s v="OSS F1:ithenmr03bl03lms1r9c:PORT 1"/>
    <x v="0"/>
    <b v="0"/>
    <s v="No está en VPC"/>
    <n v="753"/>
    <s v="INTPG_ACC_753_1.5"/>
    <s v="ISEL-1.5"/>
    <n v="1"/>
    <s v="NO TIENE L3OUT"/>
    <n v="62"/>
    <n v="54"/>
  </r>
  <r>
    <n v="708"/>
    <x v="2"/>
    <x v="106"/>
    <s v="eth1/5"/>
    <x v="0"/>
    <x v="1"/>
    <x v="5"/>
    <s v="CEM:ITHCEMF2DAT03:LOM P1"/>
    <x v="0"/>
    <b v="0"/>
    <s v="No está en VPC"/>
    <n v="708"/>
    <s v="INTPG_VPC_708_1.5_709_1.6"/>
    <s v="ISEL-1.5"/>
    <n v="1"/>
    <s v="NO TIENE L3OUT"/>
    <n v="0"/>
    <n v="54"/>
  </r>
  <r>
    <n v="710"/>
    <x v="2"/>
    <x v="107"/>
    <s v="eth1/5"/>
    <x v="0"/>
    <x v="1"/>
    <x v="5"/>
    <s v="CEM:ITHCEMD2DAT03:LOM P1"/>
    <x v="0"/>
    <b v="0"/>
    <s v="No está en VPC"/>
    <n v="710"/>
    <s v="INTPG_VPC_710_1.5_711_1.6"/>
    <s v="ISEL-1.5"/>
    <n v="1"/>
    <s v="NO TIENE L3OUT"/>
    <n v="16"/>
    <n v="54"/>
  </r>
  <r>
    <n v="713"/>
    <x v="2"/>
    <x v="108"/>
    <s v="eth1/5"/>
    <x v="0"/>
    <x v="0"/>
    <x v="0"/>
    <s v="CEM:ITHCEMA2DAT03:LOM P1"/>
    <x v="0"/>
    <b v="0"/>
    <s v="No está en VPC"/>
    <n v="713"/>
    <s v="INTPG_ACC_713_1.5"/>
    <s v="ISEL-1.5"/>
    <n v="1"/>
    <s v="NO TIENE L3OUT"/>
    <n v="32"/>
    <n v="54"/>
  </r>
  <r>
    <n v="735"/>
    <x v="2"/>
    <x v="109"/>
    <s v="eth1/5"/>
    <x v="0"/>
    <x v="1"/>
    <x v="1"/>
    <s v="CEM:ITHCEMA1DAT03:LOM P3"/>
    <x v="5"/>
    <b v="0"/>
    <s v="No está en VPC"/>
    <n v="735"/>
    <s v="INTPG_ACC_735_1.5"/>
    <s v="ISEL-1.5"/>
    <n v="1"/>
    <s v="NO TIENE L3OUT"/>
    <n v="34"/>
    <n v="54"/>
  </r>
  <r>
    <n v="731"/>
    <x v="2"/>
    <x v="110"/>
    <s v="eth1/5"/>
    <x v="0"/>
    <x v="0"/>
    <x v="0"/>
    <s v="Server_Pre-R02-CBS-RH2288-01"/>
    <x v="0"/>
    <b v="0"/>
    <s v="No está en VPC"/>
    <n v="731"/>
    <s v="INTPG_ACC_731_1.5"/>
    <s v="ISEL-1.5"/>
    <n v="3"/>
    <s v="NO TIENE L3OUT"/>
    <n v="38"/>
    <n v="54"/>
  </r>
  <r>
    <n v="703"/>
    <x v="2"/>
    <x v="111"/>
    <s v="eth1/5"/>
    <x v="0"/>
    <x v="0"/>
    <x v="0"/>
    <m/>
    <x v="0"/>
    <b v="0"/>
    <s v="No está en VPC"/>
    <n v="703"/>
    <s v="INTPG_VPC_703_1.5_704_1.6"/>
    <s v="ISEL-1.5"/>
    <n v="1"/>
    <s v="NO TIENE L3OUT"/>
    <n v="2"/>
    <n v="54"/>
  </r>
  <r>
    <n v="706"/>
    <x v="2"/>
    <x v="112"/>
    <s v="eth1/5"/>
    <x v="0"/>
    <x v="0"/>
    <x v="0"/>
    <s v="CEM:ITHCEMA1DAT03:LOM  P1"/>
    <x v="0"/>
    <b v="0"/>
    <s v="No está en VPC"/>
    <n v="706"/>
    <s v="INTPG_ACC_706_1.5"/>
    <s v="ISEL-1.5"/>
    <n v="1"/>
    <s v="NO TIENE L3OUT"/>
    <n v="16"/>
    <n v="54"/>
  </r>
  <r>
    <n v="762"/>
    <x v="2"/>
    <x v="113"/>
    <s v="eth1/5"/>
    <x v="0"/>
    <x v="0"/>
    <x v="0"/>
    <s v="PAAS:ithhwoscopap005:FlexIO.1"/>
    <x v="0"/>
    <b v="0"/>
    <s v="No está en VPC"/>
    <n v="762"/>
    <s v="INTPG_VPC_762_1.5_763_1.5"/>
    <s v="ISEL-1.5"/>
    <n v="15"/>
    <s v="NO TIENE L3OUT"/>
    <n v="0"/>
    <n v="54"/>
  </r>
  <r>
    <n v="814"/>
    <x v="2"/>
    <x v="114"/>
    <s v="eth1/5"/>
    <x v="0"/>
    <x v="0"/>
    <x v="0"/>
    <s v="A_ITHHPGRLKEN06_Principal"/>
    <x v="2"/>
    <b v="0"/>
    <s v="No está en VPC"/>
    <n v="814"/>
    <s v="INTPG_VPC_814_1.5_815_1.5"/>
    <s v="ISEL-1.5"/>
    <n v="98"/>
    <s v="NO TIENE L3OUT"/>
    <n v="0"/>
    <n v="42"/>
  </r>
  <r>
    <n v="878"/>
    <x v="2"/>
    <x v="115"/>
    <s v="eth1/5"/>
    <x v="0"/>
    <x v="0"/>
    <x v="0"/>
    <s v="HACIA_CSI-B-OSCP-F4-09_PRIMARIO"/>
    <x v="4"/>
    <b v="0"/>
    <s v="No está en VPC"/>
    <n v="878"/>
    <s v="INTPG_VPC_878_1.5_879_1.5"/>
    <s v="ISEL-1.5"/>
    <n v="2"/>
    <s v="NO TIENE L3OUT"/>
    <n v="0"/>
    <n v="54"/>
  </r>
  <r>
    <n v="826"/>
    <x v="2"/>
    <x v="116"/>
    <s v="eth1/5"/>
    <x v="0"/>
    <x v="0"/>
    <x v="0"/>
    <s v="LINK_TO_ITHFHWCBSDSUSBD05 /10GE.1 /Principal"/>
    <x v="0"/>
    <b v="0"/>
    <s v="No está en VPC"/>
    <n v="826"/>
    <s v="INTPG_VPC_826_1.5_830_1.5"/>
    <s v="ISEL-1.5"/>
    <n v="1"/>
    <s v="NO TIENE L3OUT"/>
    <n v="12"/>
    <n v="54"/>
  </r>
  <r>
    <n v="726"/>
    <x v="2"/>
    <x v="117"/>
    <s v="eth1/5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5"/>
    <x v="0"/>
    <x v="1"/>
    <x v="1"/>
    <s v="CEM:ITHCEMC2DAT03:LOM P3"/>
    <x v="5"/>
    <b v="0"/>
    <s v="No está en VPC"/>
    <n v="740"/>
    <s v="INTPG_ACC_740_1.5"/>
    <s v="ISEL-1.5"/>
    <n v="1"/>
    <s v="NO TIENE L3OUT"/>
    <n v="72"/>
    <n v="54"/>
  </r>
  <r>
    <n v="705"/>
    <x v="2"/>
    <x v="119"/>
    <s v="eth1/5"/>
    <x v="0"/>
    <x v="0"/>
    <x v="0"/>
    <s v="CEM:ITHOIDB1SVR03:LOM  P2"/>
    <x v="0"/>
    <b v="0"/>
    <s v="No está en VPC"/>
    <n v="705"/>
    <s v="INTPG_VPC_705_1.5_706_1.6"/>
    <s v="ISEL-1.5"/>
    <n v="2"/>
    <s v="NO TIENE L3OUT"/>
    <n v="16"/>
    <n v="54"/>
  </r>
  <r>
    <n v="723"/>
    <x v="2"/>
    <x v="120"/>
    <s v="eth1/5"/>
    <x v="0"/>
    <x v="0"/>
    <x v="0"/>
    <m/>
    <x v="0"/>
    <b v="0"/>
    <s v="No está en VPC"/>
    <n v="723"/>
    <s v="INTPG-VPC_HDD118_723_1.5_722_1.6"/>
    <s v="ISEL-1.5"/>
    <n v="1"/>
    <s v="NO TIENE L3OUT"/>
    <n v="0"/>
    <n v="54"/>
  </r>
  <r>
    <n v="721"/>
    <x v="2"/>
    <x v="121"/>
    <s v="eth1/5"/>
    <x v="0"/>
    <x v="0"/>
    <x v="0"/>
    <s v="TO-ITHFHWVRALCN08"/>
    <x v="0"/>
    <b v="0"/>
    <s v="No está en VPC"/>
    <n v="721"/>
    <s v="INTPG_VPC_714_1.6_721_1.5"/>
    <s v="ISEL-1.5"/>
    <n v="108"/>
    <s v="NO TIENE L3OUT"/>
    <n v="20"/>
    <n v="54"/>
  </r>
  <r>
    <n v="788"/>
    <x v="2"/>
    <x v="122"/>
    <s v="eth1/5"/>
    <x v="0"/>
    <x v="0"/>
    <x v="0"/>
    <s v="TO-ITHFHPMEDIRAP03"/>
    <x v="0"/>
    <b v="0"/>
    <s v="No está en VPC"/>
    <n v="788"/>
    <s v="INTPG_VPC_788_1.5_789_1.5"/>
    <s v="ISEL-1.5"/>
    <n v="1"/>
    <s v="NO TIENE L3OUT"/>
    <n v="4"/>
    <n v="54"/>
  </r>
  <r>
    <n v="732"/>
    <x v="2"/>
    <x v="123"/>
    <s v="eth1/5"/>
    <x v="0"/>
    <x v="0"/>
    <x v="0"/>
    <s v="eth-trunk 22 fase 2 bes"/>
    <x v="0"/>
    <b v="0"/>
    <s v="No está en VPC"/>
    <n v="732"/>
    <s v="INTPG_VPC_732_1.5_8_733_1.5_8"/>
    <s v="ISEL-1.5"/>
    <n v="9"/>
    <s v="NO TIENE L3OUT"/>
    <n v="0"/>
    <n v="54"/>
  </r>
  <r>
    <n v="720"/>
    <x v="2"/>
    <x v="124"/>
    <s v="eth1/5"/>
    <x v="0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5"/>
    <x v="0"/>
    <x v="1"/>
    <x v="5"/>
    <s v="CEM:ITHCEME2DAT03:LOM P1"/>
    <x v="0"/>
    <b v="0"/>
    <s v="No está en VPC"/>
    <n v="709"/>
    <s v="INTPG_VPC_708_1.6_709_1.5"/>
    <s v="ISEL-1.5"/>
    <n v="1"/>
    <s v="NO TIENE L3OUT"/>
    <n v="0"/>
    <n v="54"/>
  </r>
  <r>
    <n v="454"/>
    <x v="1"/>
    <x v="126"/>
    <s v="eth1/5"/>
    <x v="0"/>
    <x v="0"/>
    <x v="0"/>
    <s v="HACIA_CSI-B-OSCP-F4-05_PRIMARIO"/>
    <x v="4"/>
    <b v="0"/>
    <s v="No está en VPC"/>
    <n v="454"/>
    <s v="INTPG_VPC_454_1.5_456_1.5"/>
    <s v="ISEL-1.5"/>
    <n v="2"/>
    <s v="NO TIENE L3OUT"/>
    <n v="4"/>
    <n v="54"/>
  </r>
  <r>
    <n v="734"/>
    <x v="2"/>
    <x v="127"/>
    <s v="eth1/5"/>
    <x v="0"/>
    <x v="1"/>
    <x v="1"/>
    <s v="CEM_HADOOP"/>
    <x v="5"/>
    <b v="0"/>
    <s v="No está en VPC"/>
    <n v="734"/>
    <s v="INTPG_ACC_734_1.5"/>
    <s v="ISEL-1.5"/>
    <n v="1"/>
    <s v="NO TIENE L3OUT"/>
    <n v="32"/>
    <n v="54"/>
  </r>
  <r>
    <n v="815"/>
    <x v="2"/>
    <x v="128"/>
    <s v="eth1/5"/>
    <x v="0"/>
    <x v="0"/>
    <x v="0"/>
    <s v="A_ITHHPGRLKEN06_Redundante"/>
    <x v="2"/>
    <b v="0"/>
    <s v="No está en VPC"/>
    <n v="815"/>
    <s v="INTPG_VPC_814_1.5_815_1.5"/>
    <s v="ISEL-1.5"/>
    <n v="98"/>
    <s v="NO TIENE L3OUT"/>
    <n v="0"/>
    <n v="42"/>
  </r>
  <r>
    <n v="743"/>
    <x v="2"/>
    <x v="129"/>
    <s v="eth1/5"/>
    <x v="0"/>
    <x v="0"/>
    <x v="0"/>
    <s v="trunk21 Bes-Production"/>
    <x v="0"/>
    <b v="0"/>
    <s v="No está en VPC"/>
    <n v="743"/>
    <s v="INTPG_VPC_743_1.5_8_744_1.5_8"/>
    <s v="ISEL-1.5"/>
    <n v="13"/>
    <s v="NO TIENE L3OUT"/>
    <n v="4"/>
    <n v="54"/>
  </r>
  <r>
    <n v="718"/>
    <x v="2"/>
    <x v="130"/>
    <s v="eth1/5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5"/>
    <x v="0"/>
    <x v="0"/>
    <x v="0"/>
    <s v="trunk21 Bes-Production"/>
    <x v="0"/>
    <b v="0"/>
    <s v="No está en VPC"/>
    <n v="744"/>
    <s v="INTPG_VPC_743_1.5_8_744_1.5_8"/>
    <s v="ISEL-1.5"/>
    <n v="13"/>
    <s v="NO TIENE L3OUT"/>
    <n v="4"/>
    <n v="54"/>
  </r>
  <r>
    <n v="741"/>
    <x v="2"/>
    <x v="132"/>
    <s v="eth1/5"/>
    <x v="0"/>
    <x v="1"/>
    <x v="1"/>
    <s v="CEM:ITHCEMB2DAT03:LOM P3"/>
    <x v="5"/>
    <b v="0"/>
    <s v="No está en VPC"/>
    <n v="741"/>
    <s v="INTPG_ACC_741_1.5"/>
    <s v="ISEL-1.5"/>
    <n v="1"/>
    <s v="NO TIENE L3OUT"/>
    <n v="62"/>
    <n v="54"/>
  </r>
  <r>
    <n v="787"/>
    <x v="2"/>
    <x v="133"/>
    <s v="eth1/5"/>
    <x v="0"/>
    <x v="0"/>
    <x v="0"/>
    <s v="ENIQ F2:itheniqr16bl01nas1r4a:Slot 2/2"/>
    <x v="0"/>
    <b v="0"/>
    <s v="No está en VPC"/>
    <n v="787"/>
    <s v="INTPG_PC_787_1.3-6"/>
    <s v="ISEL-1.5"/>
    <n v="1"/>
    <s v="NO TIENE L3OUT"/>
    <n v="26"/>
    <n v="54"/>
  </r>
  <r>
    <n v="750"/>
    <x v="2"/>
    <x v="134"/>
    <s v="eth1/5"/>
    <x v="0"/>
    <x v="0"/>
    <x v="0"/>
    <s v="trunk17 Bes-Production"/>
    <x v="0"/>
    <b v="0"/>
    <s v="No está en VPC"/>
    <n v="750"/>
    <s v="INTPG_VPC_750_1.5_8_751_1.5_8"/>
    <s v="ISEL-1.5"/>
    <n v="13"/>
    <s v="NO TIENE L3OUT"/>
    <n v="2"/>
    <n v="54"/>
  </r>
  <r>
    <n v="792"/>
    <x v="2"/>
    <x v="135"/>
    <s v="eth1/5"/>
    <x v="0"/>
    <x v="0"/>
    <x v="0"/>
    <s v="CRM, CBS:TB-R03-F03:X3-10GE 2"/>
    <x v="0"/>
    <b v="0"/>
    <s v="No está en VPC"/>
    <n v="792"/>
    <s v="INTPG_VPC_757_1.4-5_792_1.4-5"/>
    <s v="ISEL-1.5"/>
    <n v="3"/>
    <s v="NO TIENE L3OUT"/>
    <n v="0"/>
    <n v="54"/>
  </r>
  <r>
    <n v="736"/>
    <x v="2"/>
    <x v="136"/>
    <s v="eth1/5"/>
    <x v="0"/>
    <x v="0"/>
    <x v="0"/>
    <s v="CEM:ITHCEMG2DAT03:LOM  P2"/>
    <x v="0"/>
    <b v="0"/>
    <s v="No está en VPC"/>
    <n v="736"/>
    <s v="INTPG_ACC_736_1.5"/>
    <s v="ISEL-1.5"/>
    <n v="1"/>
    <s v="NO TIENE L3OUT"/>
    <n v="48"/>
    <n v="54"/>
  </r>
  <r>
    <n v="799"/>
    <x v="2"/>
    <x v="137"/>
    <s v="eth1/5"/>
    <x v="0"/>
    <x v="0"/>
    <x v="0"/>
    <s v="TO-IMC_PS19-MSP"/>
    <x v="0"/>
    <b v="0"/>
    <s v="No está en VPC"/>
    <n v="799"/>
    <s v="INTPG_ACC_799_1.5"/>
    <s v="ISEL-1.5"/>
    <n v="1"/>
    <s v="NO TIENE L3OUT"/>
    <n v="52"/>
    <n v="54"/>
  </r>
  <r>
    <n v="768"/>
    <x v="2"/>
    <x v="138"/>
    <s v="eth1/5"/>
    <x v="0"/>
    <x v="0"/>
    <x v="0"/>
    <s v="OSS_ENM"/>
    <x v="0"/>
    <b v="0"/>
    <s v="No está en VPC"/>
    <n v="768"/>
    <s v="INTPG_ACC_768_1.5"/>
    <s v="ISEL-1.5"/>
    <n v="1"/>
    <s v="NO TIENE L3OUT"/>
    <n v="62"/>
    <n v="54"/>
  </r>
  <r>
    <n v="714"/>
    <x v="2"/>
    <x v="139"/>
    <s v="eth1/5"/>
    <x v="0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5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5"/>
    <x v="0"/>
    <x v="0"/>
    <x v="0"/>
    <s v="TO-ITHFHPMEDIRAP03"/>
    <x v="0"/>
    <b v="0"/>
    <s v="No está en VPC"/>
    <n v="789"/>
    <s v="INTPG_VPC_788_1.5_789_1.5"/>
    <s v="ISEL-1.5"/>
    <n v="1"/>
    <s v="NO TIENE L3OUT"/>
    <n v="0"/>
    <n v="54"/>
  </r>
  <r>
    <n v="764"/>
    <x v="2"/>
    <x v="142"/>
    <s v="eth1/5"/>
    <x v="0"/>
    <x v="0"/>
    <x v="0"/>
    <s v="OSS_ENM"/>
    <x v="0"/>
    <b v="0"/>
    <s v="No está en VPC"/>
    <n v="764"/>
    <s v="INTPG_ACC_764_1.5"/>
    <s v="ISEL-1.5"/>
    <n v="1"/>
    <s v="NO TIENE L3OUT"/>
    <n v="62"/>
    <n v="54"/>
  </r>
  <r>
    <n v="783"/>
    <x v="2"/>
    <x v="143"/>
    <s v="eth1/5"/>
    <x v="0"/>
    <x v="0"/>
    <x v="0"/>
    <s v="LACP_NAS1_ENIQ9A"/>
    <x v="0"/>
    <b v="0"/>
    <s v="No está en VPC"/>
    <n v="783"/>
    <s v="INTPG_PC_783_1.3-6"/>
    <s v="ISEL-1.5"/>
    <n v="1"/>
    <s v="NO TIENE L3OUT"/>
    <n v="26"/>
    <n v="54"/>
  </r>
  <r>
    <n v="774"/>
    <x v="2"/>
    <x v="144"/>
    <s v="eth1/5"/>
    <x v="0"/>
    <x v="0"/>
    <x v="0"/>
    <s v="CLOUD PASS PAYG F3:ITHHWOSCOPAP022:FLEX I/O P1"/>
    <x v="0"/>
    <b v="0"/>
    <s v="No está en VPC"/>
    <n v="774"/>
    <s v="INTPG_VPC_774_1.5_775_1.5"/>
    <s v="ISEL-1.5"/>
    <n v="23"/>
    <s v="NO TIENE L3OUT"/>
    <n v="0"/>
    <n v="54"/>
  </r>
  <r>
    <n v="773"/>
    <x v="2"/>
    <x v="145"/>
    <s v="eth1/5"/>
    <x v="0"/>
    <x v="0"/>
    <x v="0"/>
    <s v="Portchannel_7_R2"/>
    <x v="0"/>
    <b v="0"/>
    <s v="No está en VPC"/>
    <n v="773"/>
    <s v="INTPG_PC_773_1.3-6"/>
    <s v="ISEL-1.5"/>
    <n v="1"/>
    <s v="NO TIENE L3OUT"/>
    <n v="78"/>
    <n v="54"/>
  </r>
  <r>
    <n v="794"/>
    <x v="2"/>
    <x v="146"/>
    <s v="eth1/5"/>
    <x v="0"/>
    <x v="0"/>
    <x v="0"/>
    <s v="DESC"/>
    <x v="0"/>
    <b v="0"/>
    <s v="No está en VPC"/>
    <n v="794"/>
    <s v="INTPG_VPC_793_1.5_7_794_1.5_7"/>
    <s v="ISEL-1.5"/>
    <n v="1"/>
    <s v="NO TIENE L3OUT"/>
    <n v="12"/>
    <n v="54"/>
  </r>
  <r>
    <n v="803"/>
    <x v="2"/>
    <x v="147"/>
    <s v="eth1/5"/>
    <x v="0"/>
    <x v="0"/>
    <x v="0"/>
    <s v="TO-HDPS_31-MSP"/>
    <x v="0"/>
    <b v="0"/>
    <s v="No está en VPC"/>
    <n v="803"/>
    <s v="INTPG_ACC_803_1.5"/>
    <s v="ISEL-1.5"/>
    <n v="1"/>
    <s v="NO TIENE L3OUT"/>
    <n v="48"/>
    <n v="54"/>
  </r>
  <r>
    <n v="786"/>
    <x v="2"/>
    <x v="148"/>
    <s v="eth1/5"/>
    <x v="0"/>
    <x v="0"/>
    <x v="0"/>
    <s v="ENIQ F2:itheniqr14bl01nas1r4b:Slot 2/2"/>
    <x v="0"/>
    <b v="0"/>
    <s v="No está en VPC"/>
    <n v="786"/>
    <s v="INTPG_PC_786_1.3-6"/>
    <s v="ISEL-1.5"/>
    <n v="1"/>
    <s v="NO TIENE L3OUT"/>
    <n v="26"/>
    <n v="54"/>
  </r>
  <r>
    <n v="757"/>
    <x v="2"/>
    <x v="149"/>
    <s v="eth1/5"/>
    <x v="0"/>
    <x v="0"/>
    <x v="0"/>
    <s v="CRM, CBS:ITHHWTBRK12CH1:X3-10GE 1"/>
    <x v="0"/>
    <b v="0"/>
    <s v="No está en VPC"/>
    <n v="757"/>
    <s v="INTPG_VPC_757_1.4-5_792_1.4-5"/>
    <s v="ISEL-1.5"/>
    <n v="3"/>
    <s v="NO TIENE L3OUT"/>
    <n v="0"/>
    <n v="54"/>
  </r>
  <r>
    <n v="781"/>
    <x v="2"/>
    <x v="150"/>
    <s v="eth1/5"/>
    <x v="0"/>
    <x v="0"/>
    <x v="0"/>
    <s v="LACP_NAS1_ENIQ9C"/>
    <x v="0"/>
    <b v="0"/>
    <s v="No está en VPC"/>
    <n v="781"/>
    <s v="INTPG_PC_781_1.3-6"/>
    <s v="ISEL-1.5"/>
    <n v="1"/>
    <s v="NO TIENE L3OUT"/>
    <n v="26"/>
    <n v="54"/>
  </r>
  <r>
    <n v="793"/>
    <x v="2"/>
    <x v="151"/>
    <s v="eth1/5"/>
    <x v="0"/>
    <x v="0"/>
    <x v="0"/>
    <s v="DESC"/>
    <x v="0"/>
    <b v="0"/>
    <s v="No está en VPC"/>
    <n v="793"/>
    <s v="INTPG_VPC_793_1.5_7_794_1.5_7"/>
    <s v="ISEL-1.5"/>
    <n v="1"/>
    <s v="NO TIENE L3OUT"/>
    <n v="12"/>
    <n v="54"/>
  </r>
  <r>
    <n v="747"/>
    <x v="2"/>
    <x v="152"/>
    <s v="eth1/5"/>
    <x v="0"/>
    <x v="0"/>
    <x v="0"/>
    <s v="PAAS:ithhwoscopap005:LOM PORT 1"/>
    <x v="0"/>
    <b v="0"/>
    <s v="No está en VPC"/>
    <n v="747"/>
    <s v="INTPG_VPC_747_1.5_752_1.5"/>
    <s v="ISEL-1.5"/>
    <n v="25"/>
    <s v="NO TIENE L3OUT"/>
    <n v="0"/>
    <n v="54"/>
  </r>
  <r>
    <n v="784"/>
    <x v="2"/>
    <x v="153"/>
    <s v="eth1/5"/>
    <x v="0"/>
    <x v="0"/>
    <x v="0"/>
    <s v="ENIQ F2:itheniqr12bl01nas1r6b:Slot 2/2"/>
    <x v="0"/>
    <b v="0"/>
    <s v="No está en VPC"/>
    <n v="784"/>
    <s v="INTPG_PC_784_1.3-6"/>
    <s v="ISEL-1.5"/>
    <n v="1"/>
    <s v="NO TIENE L3OUT"/>
    <n v="26"/>
    <n v="54"/>
  </r>
  <r>
    <n v="806"/>
    <x v="2"/>
    <x v="154"/>
    <s v="eth1/5"/>
    <x v="0"/>
    <x v="0"/>
    <x v="0"/>
    <s v="TO-HDPS_55-MSP"/>
    <x v="0"/>
    <b v="0"/>
    <s v="No está en VPC"/>
    <n v="806"/>
    <s v="INTPG_ACC_806_1.5"/>
    <s v="ISEL-1.5"/>
    <n v="1"/>
    <s v="NO TIENE L3OUT"/>
    <n v="44"/>
    <n v="54"/>
  </r>
  <r>
    <n v="777"/>
    <x v="2"/>
    <x v="155"/>
    <s v="eth1/5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5"/>
    <x v="0"/>
    <x v="0"/>
    <x v="0"/>
    <s v="Portchannel_3_R4A"/>
    <x v="0"/>
    <b v="0"/>
    <s v="No está en VPC"/>
    <n v="770"/>
    <s v="INTPG_PC_770_1.5-6"/>
    <s v="ISEL-1.5"/>
    <n v="8"/>
    <s v="NO TIENE L3OUT"/>
    <n v="60"/>
    <n v="54"/>
  </r>
  <r>
    <n v="813"/>
    <x v="2"/>
    <x v="157"/>
    <s v="eth1/5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5"/>
    <x v="0"/>
    <x v="0"/>
    <x v="0"/>
    <s v="CEM:ITHCEMD2DAT03:LOM P3"/>
    <x v="5"/>
    <b v="0"/>
    <s v="No está en VPC"/>
    <n v="739"/>
    <s v="INTPG_ACC_739_1.5"/>
    <s v="ISEL-1.5"/>
    <n v="1"/>
    <s v="NO TIENE L3OUT"/>
    <n v="72"/>
    <n v="54"/>
  </r>
  <r>
    <n v="775"/>
    <x v="2"/>
    <x v="159"/>
    <s v="eth1/5"/>
    <x v="0"/>
    <x v="0"/>
    <x v="0"/>
    <s v="CLOUD PASS PAYG F3:ITHHWOSCOPAP022:LOM P3"/>
    <x v="0"/>
    <b v="0"/>
    <s v="No está en VPC"/>
    <n v="775"/>
    <s v="INTPG_VPC_774_1.5_775_1.5"/>
    <s v="ISEL-1.5"/>
    <n v="23"/>
    <s v="NO TIENE L3OUT"/>
    <n v="0"/>
    <n v="54"/>
  </r>
  <r>
    <n v="791"/>
    <x v="2"/>
    <x v="160"/>
    <s v="eth1/5"/>
    <x v="0"/>
    <x v="0"/>
    <x v="0"/>
    <s v="U2020_TO_ITHHWUMT12SW02"/>
    <x v="0"/>
    <b v="0"/>
    <s v="No está en VPC"/>
    <n v="791"/>
    <s v="INTPG_ACC_791_1.5"/>
    <s v="ISEL-1.5"/>
    <n v="2"/>
    <s v="NO TIENE L3OUT"/>
    <n v="20"/>
    <n v="54"/>
  </r>
  <r>
    <n v="808"/>
    <x v="2"/>
    <x v="161"/>
    <s v="eth1/5"/>
    <x v="0"/>
    <x v="0"/>
    <x v="0"/>
    <s v="HUECOS DC_S3"/>
    <x v="0"/>
    <b v="0"/>
    <s v="No está en VPC"/>
    <n v="808"/>
    <s v="INTPG_VPC_808_1.1-6_809_1.1-6"/>
    <s v="ISEL-1.5"/>
    <n v="1"/>
    <s v="NO TIENE L3OUT"/>
    <n v="0"/>
    <n v="54"/>
  </r>
  <r>
    <n v="830"/>
    <x v="2"/>
    <x v="162"/>
    <s v="eth1/5"/>
    <x v="0"/>
    <x v="0"/>
    <x v="0"/>
    <s v="LINK_TO_ITHFHWCBSDSUSBD05 /Slot5.1 /Redundante"/>
    <x v="0"/>
    <b v="0"/>
    <s v="No está en VPC"/>
    <n v="830"/>
    <s v="INTPG_VPC_826_1.5_830_1.5"/>
    <s v="ISEL-1.5"/>
    <n v="1"/>
    <s v="NO TIENE L3OUT"/>
    <n v="12"/>
    <n v="54"/>
  </r>
  <r>
    <n v="821"/>
    <x v="2"/>
    <x v="163"/>
    <s v="eth1/5"/>
    <x v="0"/>
    <x v="0"/>
    <x v="0"/>
    <s v="LINK_TO_ITHFHWCBSPSUSBD09 /Slot5.1 /Redundante"/>
    <x v="0"/>
    <b v="0"/>
    <s v="No está en VPC"/>
    <n v="821"/>
    <s v="INTPG_VPC_816_1.5_821_1.5"/>
    <s v="ISEL-1.5"/>
    <n v="1"/>
    <s v="NO TIENE L3OUT"/>
    <n v="0"/>
    <n v="54"/>
  </r>
  <r>
    <n v="738"/>
    <x v="2"/>
    <x v="164"/>
    <s v="eth1/5"/>
    <x v="0"/>
    <x v="0"/>
    <x v="0"/>
    <s v="CEM:ITHCEME2DAT03:LOM P3"/>
    <x v="5"/>
    <b v="0"/>
    <s v="No está en VPC"/>
    <n v="738"/>
    <s v="INTPG_ACC_738_1.5"/>
    <s v="ISEL-1.5"/>
    <n v="1"/>
    <s v="NO TIENE L3OUT"/>
    <n v="72"/>
    <n v="54"/>
  </r>
  <r>
    <n v="820"/>
    <x v="2"/>
    <x v="165"/>
    <s v="eth1/5"/>
    <x v="0"/>
    <x v="0"/>
    <x v="0"/>
    <s v="LINK_TO_ITHHWCRMPEN02 /E1-10GE 2 /Redundante"/>
    <x v="0"/>
    <b v="0"/>
    <s v="No está en VPC"/>
    <n v="820"/>
    <s v="INTPG_VPC_820_1.5_12_825_1.5_12"/>
    <s v="ISEL-1.5"/>
    <n v="9"/>
    <s v="NO TIENE L3OUT"/>
    <n v="72"/>
    <n v="54"/>
  </r>
  <r>
    <n v="804"/>
    <x v="2"/>
    <x v="166"/>
    <s v="eth1/5"/>
    <x v="0"/>
    <x v="0"/>
    <x v="0"/>
    <s v="TO-HDPS_31-MSP"/>
    <x v="0"/>
    <b v="0"/>
    <s v="No está en VPC"/>
    <n v="804"/>
    <s v="INTPG_ACC_804_1.5"/>
    <s v="ISEL-1.5"/>
    <n v="1"/>
    <s v="NO TIENE L3OUT"/>
    <n v="48"/>
    <n v="54"/>
  </r>
  <r>
    <n v="779"/>
    <x v="2"/>
    <x v="167"/>
    <s v="eth1/5"/>
    <x v="0"/>
    <x v="0"/>
    <x v="0"/>
    <s v="ENIQ F1:itheniqr08nas1r3:Slot 2/2"/>
    <x v="0"/>
    <b v="0"/>
    <s v="No está en VPC"/>
    <n v="779"/>
    <s v="INTPG_PC_779_1.3-6"/>
    <s v="ISEL-1.5"/>
    <n v="1"/>
    <s v="NO TIENE L3OUT"/>
    <n v="30"/>
    <n v="54"/>
  </r>
  <r>
    <n v="767"/>
    <x v="2"/>
    <x v="168"/>
    <s v="eth1/5"/>
    <x v="0"/>
    <x v="0"/>
    <x v="0"/>
    <s v="Portchannel_6_R6B"/>
    <x v="0"/>
    <b v="0"/>
    <s v="No está en VPC"/>
    <n v="767"/>
    <s v="INTPG_PC_767_1.3-6"/>
    <s v="ISEL-1.5"/>
    <n v="1"/>
    <s v="NO TIENE L3OUT"/>
    <n v="60"/>
    <n v="54"/>
  </r>
  <r>
    <n v="827"/>
    <x v="2"/>
    <x v="169"/>
    <s v="eth1/5"/>
    <x v="0"/>
    <x v="0"/>
    <x v="0"/>
    <s v="LINK_TO_ITHHWD6KV60013DKC01 /CtrlA_IOM1.P0 /Principal"/>
    <x v="0"/>
    <b v="0"/>
    <s v="No está en VPC"/>
    <n v="827"/>
    <s v="INTPG_ACC_827_1.5"/>
    <s v="ISEL-1.5"/>
    <n v="1"/>
    <s v="NO TIENE L3OUT"/>
    <n v="14"/>
    <n v="54"/>
  </r>
  <r>
    <n v="809"/>
    <x v="2"/>
    <x v="170"/>
    <s v="eth1/5"/>
    <x v="0"/>
    <x v="0"/>
    <x v="0"/>
    <s v="HUECOS DC_S3"/>
    <x v="0"/>
    <b v="0"/>
    <s v="No está en VPC"/>
    <n v="809"/>
    <s v="INTPG_VPC_808_1.1-6_809_1.1-6"/>
    <s v="ISEL-1.5"/>
    <n v="1"/>
    <s v="NO TIENE L3OUT"/>
    <n v="0"/>
    <n v="54"/>
  </r>
  <r>
    <n v="771"/>
    <x v="2"/>
    <x v="171"/>
    <s v="eth1/5"/>
    <x v="0"/>
    <x v="0"/>
    <x v="0"/>
    <s v="OSS_ENM"/>
    <x v="0"/>
    <b v="0"/>
    <s v="No está en VPC"/>
    <n v="771"/>
    <s v="INTPG_ACC_771_1.5"/>
    <s v="ISEL-1.5"/>
    <n v="1"/>
    <s v="NO TIENE L3OUT"/>
    <n v="62"/>
    <n v="54"/>
  </r>
  <r>
    <n v="761"/>
    <x v="2"/>
    <x v="172"/>
    <s v="eth1/5"/>
    <x v="0"/>
    <x v="1"/>
    <x v="1"/>
    <m/>
    <x v="0"/>
    <b v="0"/>
    <s v="No está en VPC"/>
    <n v="761"/>
    <s v="INTPG_VPC_760_1.5-8_761_1.5-8"/>
    <s v="ISEL-1.5"/>
    <n v="0"/>
    <s v="L3OUT-EXACLOUD"/>
    <n v="0"/>
    <n v="54"/>
  </r>
  <r>
    <n v="776"/>
    <x v="2"/>
    <x v="173"/>
    <s v="eth1/5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5"/>
    <x v="0"/>
    <x v="0"/>
    <x v="0"/>
    <s v="TO-HDPS_55-MSP"/>
    <x v="0"/>
    <b v="0"/>
    <s v="No está en VPC"/>
    <n v="805"/>
    <s v="INTPG_ACC_805_1.5"/>
    <s v="ISEL-1.5"/>
    <n v="1"/>
    <s v="NO TIENE L3OUT"/>
    <n v="44"/>
    <n v="54"/>
  </r>
  <r>
    <n v="772"/>
    <x v="2"/>
    <x v="175"/>
    <s v="eth1/5"/>
    <x v="0"/>
    <x v="0"/>
    <x v="0"/>
    <s v="OSS_ENM"/>
    <x v="0"/>
    <b v="0"/>
    <s v="No está en VPC"/>
    <n v="772"/>
    <s v="INTPG_ACC_772_1.5"/>
    <s v="ISEL-1.5"/>
    <n v="1"/>
    <s v="NO TIENE L3OUT"/>
    <n v="82"/>
    <n v="54"/>
  </r>
  <r>
    <n v="785"/>
    <x v="2"/>
    <x v="176"/>
    <s v="eth1/5"/>
    <x v="0"/>
    <x v="0"/>
    <x v="0"/>
    <s v="ENIQ F2:itheniqr13bl01nas1r6a:Slot 2/2"/>
    <x v="0"/>
    <b v="0"/>
    <s v="No está en VPC"/>
    <n v="785"/>
    <s v="INTPG_PC_785_1.3-6"/>
    <s v="ISEL-1.5"/>
    <n v="1"/>
    <s v="NO TIENE L3OUT"/>
    <n v="32"/>
    <n v="54"/>
  </r>
  <r>
    <n v="851"/>
    <x v="2"/>
    <x v="177"/>
    <s v="eth1/5"/>
    <x v="0"/>
    <x v="0"/>
    <x v="0"/>
    <s v="LINK_TO_ITHFHWCRMPLCN102 / Slot7.2_8 / Redundante"/>
    <x v="0"/>
    <b v="0"/>
    <s v="No está en VPC"/>
    <n v="851"/>
    <s v="INTPG_ACC_851_1.5"/>
    <s v="ISEL-1.5"/>
    <n v="2"/>
    <s v="NO TIENE L3OUT"/>
    <n v="282"/>
    <n v="54"/>
  </r>
  <r>
    <n v="798"/>
    <x v="2"/>
    <x v="178"/>
    <s v="eth1/5"/>
    <x v="0"/>
    <x v="0"/>
    <x v="0"/>
    <s v="TO-IMC_PS19-MSP"/>
    <x v="0"/>
    <b v="0"/>
    <s v="No está en VPC"/>
    <n v="798"/>
    <s v="INTPG_ACC_798_1.5"/>
    <s v="ISEL-1.5"/>
    <n v="1"/>
    <s v="NO TIENE L3OUT"/>
    <n v="52"/>
    <n v="54"/>
  </r>
  <r>
    <n v="782"/>
    <x v="2"/>
    <x v="179"/>
    <s v="eth1/5"/>
    <x v="0"/>
    <x v="0"/>
    <x v="0"/>
    <s v="LACP_NAS1_ENIQ9B"/>
    <x v="0"/>
    <b v="0"/>
    <s v="No está en VPC"/>
    <n v="782"/>
    <s v="INTPG_PC_782_1.3-6"/>
    <s v="ISEL-1.5"/>
    <n v="1"/>
    <s v="NO TIENE L3OUT"/>
    <n v="32"/>
    <n v="54"/>
  </r>
  <r>
    <n v="852"/>
    <x v="2"/>
    <x v="180"/>
    <s v="eth1/5"/>
    <x v="0"/>
    <x v="0"/>
    <x v="0"/>
    <s v="LINK_TO_ITHFHWCRMPLCN117 / Slot7.3_38 / Redundante"/>
    <x v="0"/>
    <b v="0"/>
    <s v="No está en VPC"/>
    <n v="852"/>
    <s v="INTPG_ACC_852_1.5"/>
    <s v="ISEL-1.5"/>
    <n v="1"/>
    <s v="NO TIENE L3OUT"/>
    <n v="258"/>
    <n v="54"/>
  </r>
  <r>
    <n v="817"/>
    <x v="2"/>
    <x v="181"/>
    <s v="eth1/5"/>
    <x v="0"/>
    <x v="0"/>
    <x v="0"/>
    <s v="LINK_TO_ITHFHWCBSPSWR23 /10GE.1 /Principal"/>
    <x v="0"/>
    <b v="0"/>
    <s v="No está en VPC"/>
    <n v="817"/>
    <s v="INTPG_VPC_817_1.5_822_1.5"/>
    <s v="ISEL-1.5"/>
    <n v="1"/>
    <s v="NO TIENE L3OUT"/>
    <n v="0"/>
    <n v="54"/>
  </r>
  <r>
    <n v="832"/>
    <x v="2"/>
    <x v="182"/>
    <s v="eth1/5"/>
    <x v="0"/>
    <x v="0"/>
    <x v="0"/>
    <s v="LINK_TO_ITHFHWCBSDSWR33 /Slot5.1 /Redundante"/>
    <x v="0"/>
    <b v="0"/>
    <s v="No está en VPC"/>
    <n v="832"/>
    <s v="INTPG_VPC_828_1.5_832_1.5"/>
    <s v="ISEL-1.5"/>
    <n v="1"/>
    <s v="NO TIENE L3OUT"/>
    <n v="192"/>
    <n v="54"/>
  </r>
  <r>
    <n v="816"/>
    <x v="2"/>
    <x v="183"/>
    <s v="eth1/5"/>
    <x v="0"/>
    <x v="0"/>
    <x v="0"/>
    <s v="LINK_TO_ITHFHWCBSPSUSBD09 /10GE.1 /Principal"/>
    <x v="0"/>
    <b v="0"/>
    <s v="No está en VPC"/>
    <n v="816"/>
    <s v="INTPG_VPC_816_1.5_821_1.5"/>
    <s v="ISEL-1.5"/>
    <n v="1"/>
    <s v="NO TIENE L3OUT"/>
    <n v="0"/>
    <n v="54"/>
  </r>
  <r>
    <n v="825"/>
    <x v="2"/>
    <x v="184"/>
    <s v="eth1/5"/>
    <x v="0"/>
    <x v="0"/>
    <x v="0"/>
    <s v="LINK_TO_ITHHWCRMPEN02 /E1-10GE 1 /Principal"/>
    <x v="0"/>
    <b v="0"/>
    <s v="No está en VPC"/>
    <n v="825"/>
    <s v="INTPG_VPC_820_1.5_12_825_1.5_12"/>
    <s v="ISEL-1.5"/>
    <n v="9"/>
    <s v="NO TIENE L3OUT"/>
    <n v="72"/>
    <n v="54"/>
  </r>
  <r>
    <n v="800"/>
    <x v="2"/>
    <x v="185"/>
    <s v="eth1/5"/>
    <x v="0"/>
    <x v="0"/>
    <x v="0"/>
    <s v="TO-CEPS_01-MSP"/>
    <x v="0"/>
    <b v="0"/>
    <s v="No está en VPC"/>
    <n v="800"/>
    <s v="INTPG_ACC_800_1.5"/>
    <s v="ISEL-1.5"/>
    <n v="1"/>
    <s v="NO TIENE L3OUT"/>
    <n v="78"/>
    <n v="54"/>
  </r>
  <r>
    <n v="801"/>
    <x v="2"/>
    <x v="186"/>
    <s v="eth1/5"/>
    <x v="0"/>
    <x v="0"/>
    <x v="0"/>
    <s v="TO-CEPS_01-MSP"/>
    <x v="0"/>
    <b v="0"/>
    <s v="No está en VPC"/>
    <n v="801"/>
    <s v="INTPG_ACC_801_1.5"/>
    <s v="ISEL-1.5"/>
    <n v="1"/>
    <s v="NO TIENE L3OUT"/>
    <n v="78"/>
    <n v="54"/>
  </r>
  <r>
    <n v="823"/>
    <x v="2"/>
    <x v="187"/>
    <s v="eth1/5"/>
    <x v="0"/>
    <x v="0"/>
    <x v="0"/>
    <s v="LINK_TO_ITHFHWCBSPSWR31 /Slot5.1 /Redundante"/>
    <x v="0"/>
    <b v="0"/>
    <s v="No está en VPC"/>
    <n v="823"/>
    <s v="INTPG_VPC_818_1.5_823_1.5"/>
    <s v="ISEL-1.5"/>
    <n v="1"/>
    <s v="NO TIENE L3OUT"/>
    <n v="8"/>
    <n v="54"/>
  </r>
  <r>
    <n v="837"/>
    <x v="2"/>
    <x v="188"/>
    <s v="eth1/5"/>
    <x v="0"/>
    <x v="0"/>
    <x v="0"/>
    <s v="LINK_TO_ITHFHWCBSPSUSBD24 / Slot1.1_4 / Principal"/>
    <x v="0"/>
    <b v="0"/>
    <s v="No está en VPC"/>
    <n v="837"/>
    <s v="INTPG_VPC_837_1.5_842_1.5"/>
    <s v="ISEL-1.5"/>
    <n v="2"/>
    <s v="NO TIENE L3OUT"/>
    <n v="8"/>
    <n v="54"/>
  </r>
  <r>
    <n v="867"/>
    <x v="2"/>
    <x v="189"/>
    <s v="eth1/5"/>
    <x v="0"/>
    <x v="0"/>
    <x v="0"/>
    <s v="To_ITHHWD6KV65100013DKC01_Redundante"/>
    <x v="0"/>
    <b v="0"/>
    <s v="No está en VPC"/>
    <n v="867"/>
    <s v="INTPG_ACC_867_1.5"/>
    <s v="ISEL-1.5"/>
    <n v="1"/>
    <s v="NO TIENE L3OUT"/>
    <n v="44"/>
    <n v="54"/>
  </r>
  <r>
    <n v="829"/>
    <x v="2"/>
    <x v="190"/>
    <s v="eth1/5"/>
    <x v="0"/>
    <x v="0"/>
    <x v="0"/>
    <s v="LINK_TO_ITHFHWCRMDLCN29 /Slot5.1 /Redundante"/>
    <x v="0"/>
    <b v="0"/>
    <s v="No está en VPC"/>
    <n v="829"/>
    <s v="INTPG_ACC_829_1.5"/>
    <s v="ISEL-1.5"/>
    <n v="2"/>
    <s v="NO TIENE L3OUT"/>
    <n v="224"/>
    <n v="54"/>
  </r>
  <r>
    <n v="831"/>
    <x v="2"/>
    <x v="191"/>
    <s v="eth1/5"/>
    <x v="0"/>
    <x v="0"/>
    <x v="0"/>
    <s v="LINK_TO_ITHHWD6KV60013DKC01 /CtrlA_IOM1.P1 /Redundante"/>
    <x v="0"/>
    <b v="0"/>
    <s v="No está en VPC"/>
    <n v="831"/>
    <s v="INTPG_ACC_831_1.5"/>
    <s v="ISEL-1.5"/>
    <n v="1"/>
    <s v="NO TIENE L3OUT"/>
    <n v="14"/>
    <n v="54"/>
  </r>
  <r>
    <n v="802"/>
    <x v="2"/>
    <x v="192"/>
    <s v="eth1/5"/>
    <x v="0"/>
    <x v="0"/>
    <x v="0"/>
    <s v="TO-HDPS_07-MSP"/>
    <x v="0"/>
    <b v="0"/>
    <s v="No está en VPC"/>
    <n v="802"/>
    <s v="INTPG_ACC_802_1.5"/>
    <s v="ISEL-1.5"/>
    <n v="1"/>
    <s v="NO TIENE L3OUT"/>
    <n v="48"/>
    <n v="54"/>
  </r>
  <r>
    <n v="835"/>
    <x v="2"/>
    <x v="193"/>
    <s v="eth1/5"/>
    <x v="0"/>
    <x v="0"/>
    <x v="0"/>
    <s v="LINK_TO_ITHFHWCBSPSUSBD38 / Slot1.2_10 / Principal"/>
    <x v="0"/>
    <b v="0"/>
    <s v="No está en VPC"/>
    <n v="835"/>
    <s v="INTPG_VPC_835_1.5_840_1.5"/>
    <s v="ISEL-1.5"/>
    <n v="1"/>
    <s v="NO TIENE L3OUT"/>
    <n v="8"/>
    <n v="54"/>
  </r>
  <r>
    <n v="822"/>
    <x v="2"/>
    <x v="194"/>
    <s v="eth1/5"/>
    <x v="0"/>
    <x v="0"/>
    <x v="0"/>
    <s v="LINK_TO_ITHFHWCBSPSWR23 /Slot5.1 /Redundante"/>
    <x v="0"/>
    <b v="0"/>
    <s v="No está en VPC"/>
    <n v="822"/>
    <s v="INTPG_VPC_817_1.5_822_1.5"/>
    <s v="ISEL-1.5"/>
    <n v="1"/>
    <s v="NO TIENE L3OUT"/>
    <n v="0"/>
    <n v="54"/>
  </r>
  <r>
    <n v="854"/>
    <x v="2"/>
    <x v="195"/>
    <s v="eth1/5"/>
    <x v="0"/>
    <x v="0"/>
    <x v="0"/>
    <s v="LINK_TO_ITHFHWCRMPSBDA06 / Slot7.2_6 / Redundante"/>
    <x v="0"/>
    <b v="0"/>
    <s v="No está en VPC"/>
    <n v="854"/>
    <s v="INTPG_VPC_847_1.5_854_1.5"/>
    <s v="ISEL-1.5"/>
    <n v="2"/>
    <s v="NO TIENE L3OUT"/>
    <n v="204"/>
    <n v="54"/>
  </r>
  <r>
    <n v="858"/>
    <x v="2"/>
    <x v="196"/>
    <s v="eth1/5"/>
    <x v="0"/>
    <x v="0"/>
    <x v="0"/>
    <s v="To_VPC_2DCBSD_HD38_2"/>
    <x v="0"/>
    <b v="0"/>
    <s v="No está en VPC"/>
    <n v="858"/>
    <s v="INTPG_VPC_858_1.5_863_1.5"/>
    <s v="ISEL-1.5"/>
    <n v="1"/>
    <s v="NO TIENE L3OUT"/>
    <n v="8"/>
    <n v="54"/>
  </r>
  <r>
    <n v="857"/>
    <x v="2"/>
    <x v="197"/>
    <s v="eth1/5"/>
    <x v="0"/>
    <x v="0"/>
    <x v="0"/>
    <s v="LINK_TO_ITHFHWCRMPLCN152 / Slot1.1_38 / Principal"/>
    <x v="0"/>
    <b v="0"/>
    <s v="No está en VPC"/>
    <n v="857"/>
    <s v="INTPG_ACC_857_1.5"/>
    <s v="ISEL-1.5"/>
    <n v="6"/>
    <s v="NO TIENE L3OUT"/>
    <n v="288"/>
    <n v="54"/>
  </r>
  <r>
    <n v="859"/>
    <x v="2"/>
    <x v="198"/>
    <s v="eth1/5"/>
    <x v="0"/>
    <x v="0"/>
    <x v="0"/>
    <s v="To_VPC_2DCBSD_HD32_2"/>
    <x v="0"/>
    <b v="0"/>
    <s v="No está en VPC"/>
    <n v="859"/>
    <s v="INTPG_VPC_859_1.5_864_1.5"/>
    <s v="ISEL-1.5"/>
    <n v="1"/>
    <s v="NO TIENE L3OUT"/>
    <n v="0"/>
    <n v="54"/>
  </r>
  <r>
    <n v="833"/>
    <x v="2"/>
    <x v="199"/>
    <s v="eth1/5"/>
    <x v="0"/>
    <x v="0"/>
    <x v="0"/>
    <s v="LINK_TO_ITHFHWCRMDLCN29 /10GE.1 /Principal"/>
    <x v="0"/>
    <b v="0"/>
    <s v="No está en VPC"/>
    <n v="833"/>
    <s v="INTPG_ACC_833_1.5"/>
    <s v="ISEL-1.5"/>
    <n v="2"/>
    <s v="NO TIENE L3OUT"/>
    <n v="224"/>
    <n v="54"/>
  </r>
  <r>
    <n v="818"/>
    <x v="2"/>
    <x v="200"/>
    <s v="eth1/5"/>
    <x v="0"/>
    <x v="0"/>
    <x v="0"/>
    <s v="LINK_TO_ITHFHWCBSPSWR31 /10GE.1 /Principal"/>
    <x v="0"/>
    <b v="0"/>
    <s v="No está en VPC"/>
    <n v="818"/>
    <s v="INTPG_VPC_818_1.5_823_1.5"/>
    <s v="ISEL-1.5"/>
    <n v="1"/>
    <s v="NO TIENE L3OUT"/>
    <n v="8"/>
    <n v="54"/>
  </r>
  <r>
    <n v="850"/>
    <x v="2"/>
    <x v="201"/>
    <s v="eth1/5"/>
    <x v="0"/>
    <x v="0"/>
    <x v="0"/>
    <s v="LINK_TO_ITHFHWCRMPLCN152 / Slot7.1_38 / Redundante"/>
    <x v="0"/>
    <b v="0"/>
    <s v="No está en VPC"/>
    <n v="850"/>
    <s v="INTPG_ACC_850_1.5"/>
    <s v="ISEL-1.5"/>
    <n v="6"/>
    <s v="NO TIENE L3OUT"/>
    <n v="288"/>
    <n v="54"/>
  </r>
  <r>
    <n v="860"/>
    <x v="2"/>
    <x v="202"/>
    <s v="eth1/5"/>
    <x v="0"/>
    <x v="0"/>
    <x v="0"/>
    <s v="To_VPC_2DCBSD_WR53_2"/>
    <x v="0"/>
    <b v="0"/>
    <s v="No está en VPC"/>
    <n v="860"/>
    <s v="INTPG_VPC_860_1.5_865_1.5"/>
    <s v="ISEL-1.5"/>
    <n v="1"/>
    <s v="NO TIENE L3OUT"/>
    <n v="0"/>
    <n v="54"/>
  </r>
  <r>
    <n v="853"/>
    <x v="2"/>
    <x v="203"/>
    <s v="eth1/5"/>
    <x v="0"/>
    <x v="0"/>
    <x v="0"/>
    <s v="VPC_2DCRMP_BDP06_3"/>
    <x v="0"/>
    <b v="0"/>
    <s v="No está en VPC"/>
    <n v="853"/>
    <s v="INTPG_VPC_846_1.5_853_1.5"/>
    <s v="ISEL-1.5"/>
    <n v="1"/>
    <s v="NO TIENE L3OUT"/>
    <n v="242"/>
    <n v="54"/>
  </r>
  <r>
    <n v="790"/>
    <x v="2"/>
    <x v="204"/>
    <s v="eth1/5"/>
    <x v="0"/>
    <x v="0"/>
    <x v="0"/>
    <s v="U2020_TO_ITHHWUMT12SW01"/>
    <x v="0"/>
    <b v="0"/>
    <s v="No está en VPC"/>
    <n v="790"/>
    <s v="INTPG_ACC_790_1.5"/>
    <s v="ISEL-1.5"/>
    <n v="2"/>
    <s v="NO TIENE L3OUT"/>
    <n v="20"/>
    <n v="54"/>
  </r>
  <r>
    <n v="105"/>
    <x v="0"/>
    <x v="205"/>
    <s v="eth1/5"/>
    <x v="0"/>
    <x v="1"/>
    <x v="1"/>
    <s v="CORREO AMERICA MOVIL"/>
    <x v="6"/>
    <b v="0"/>
    <s v="No está en VPC"/>
    <n v="105"/>
    <s v="INTPG_ACC_105_1.5"/>
    <s v="ISEL-1.5"/>
    <n v="1"/>
    <s v="NO TIENE L3OUT"/>
    <n v="106"/>
    <n v="96"/>
  </r>
  <r>
    <n v="117"/>
    <x v="0"/>
    <x v="206"/>
    <s v="eth1/5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5"/>
    <x v="0"/>
    <x v="0"/>
    <x v="0"/>
    <s v="File System AM"/>
    <x v="6"/>
    <b v="0"/>
    <s v="No está en VPC"/>
    <n v="104"/>
    <s v="INTPG_ACC_104_1.5"/>
    <s v="ISEL-1.5"/>
    <n v="1"/>
    <s v="NO TIENE L3OUT"/>
    <n v="194"/>
    <n v="96"/>
  </r>
  <r>
    <n v="158"/>
    <x v="0"/>
    <x v="208"/>
    <s v="eth1/5"/>
    <x v="1"/>
    <x v="1"/>
    <x v="2"/>
    <s v="RED CRICKET"/>
    <x v="6"/>
    <b v="0"/>
    <s v="No está en VPC"/>
    <n v="158"/>
    <s v="INTPG_ACC_158_1.5"/>
    <s v="ISEL-1.5"/>
    <n v="2"/>
    <s v="NO TIENE L3OUT"/>
    <n v="30"/>
    <n v="96"/>
  </r>
  <r>
    <n v="875"/>
    <x v="2"/>
    <x v="209"/>
    <s v="eth1/5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5"/>
    <x v="0"/>
    <x v="0"/>
    <x v="0"/>
    <s v="HACIA_CSI-B-OSCP-F4-09_PRIMARIO"/>
    <x v="4"/>
    <b v="0"/>
    <s v="No está en VPC"/>
    <n v="879"/>
    <s v="INTPG_VPC_878_1.5_879_1.5"/>
    <s v="ISEL-1.5"/>
    <n v="2"/>
    <s v="NO TIENE L3OUT"/>
    <n v="0"/>
    <n v="54"/>
  </r>
  <r>
    <n v="108"/>
    <x v="0"/>
    <x v="211"/>
    <s v="eth1/5"/>
    <x v="0"/>
    <x v="0"/>
    <x v="0"/>
    <m/>
    <x v="6"/>
    <b v="0"/>
    <s v="No está en VPC"/>
    <n v="108"/>
    <s v="INTPG_ACC_108_1.5"/>
    <s v="ISEL-1.5"/>
    <n v="1"/>
    <s v="NO TIENE L3OUT"/>
    <n v="126"/>
    <n v="96"/>
  </r>
  <r>
    <n v="112"/>
    <x v="0"/>
    <x v="212"/>
    <s v="eth1/5"/>
    <x v="1"/>
    <x v="1"/>
    <x v="2"/>
    <s v="NPG_1"/>
    <x v="6"/>
    <b v="0"/>
    <s v="No está en VPC"/>
    <n v="112"/>
    <s v="INTPG_ACC_112_1.5"/>
    <s v="ISEL-1.5"/>
    <n v="1"/>
    <s v="NO TIENE L3OUT"/>
    <n v="144"/>
    <n v="96"/>
  </r>
  <r>
    <n v="107"/>
    <x v="0"/>
    <x v="213"/>
    <s v="eth1/5"/>
    <x v="0"/>
    <x v="0"/>
    <x v="0"/>
    <m/>
    <x v="6"/>
    <b v="0"/>
    <s v="No está en VPC"/>
    <n v="107"/>
    <s v="INTPG_ACC_107_1.5"/>
    <s v="ISEL-1.5"/>
    <n v="1"/>
    <s v="NO TIENE L3OUT"/>
    <n v="118"/>
    <n v="96"/>
  </r>
  <r>
    <n v="109"/>
    <x v="0"/>
    <x v="214"/>
    <s v="eth1/5"/>
    <x v="0"/>
    <x v="0"/>
    <x v="0"/>
    <m/>
    <x v="6"/>
    <b v="0"/>
    <s v="No está en VPC"/>
    <n v="109"/>
    <s v="INTPG_ACC_109_1.5"/>
    <s v="ISEL-1.5"/>
    <n v="1"/>
    <s v="NO TIENE L3OUT"/>
    <n v="126"/>
    <n v="96"/>
  </r>
  <r>
    <n v="113"/>
    <x v="0"/>
    <x v="215"/>
    <s v="eth1/5"/>
    <x v="0"/>
    <x v="0"/>
    <x v="0"/>
    <s v="sfecpp01"/>
    <x v="6"/>
    <b v="0"/>
    <s v="No está en VPC"/>
    <n v="113"/>
    <s v="INTPG_VPC_113_1.5_115_1.4"/>
    <s v="ISEL-1.5"/>
    <n v="1"/>
    <s v="NO TIENE L3OUT"/>
    <n v="52"/>
    <n v="96"/>
  </r>
  <r>
    <n v="114"/>
    <x v="0"/>
    <x v="216"/>
    <s v="eth1/5"/>
    <x v="1"/>
    <x v="1"/>
    <x v="2"/>
    <s v="NPG_1"/>
    <x v="6"/>
    <b v="0"/>
    <s v="No está en VPC"/>
    <n v="114"/>
    <s v="INTPG_ACC_114_1.5"/>
    <s v="ISEL-1.5"/>
    <n v="1"/>
    <s v="NO TIENE L3OUT"/>
    <n v="144"/>
    <n v="96"/>
  </r>
  <r>
    <n v="124"/>
    <x v="0"/>
    <x v="217"/>
    <s v="eth1/5"/>
    <x v="0"/>
    <x v="0"/>
    <x v="0"/>
    <s v="GSM_ENIQ_MEX_R9"/>
    <x v="6"/>
    <b v="0"/>
    <s v="No está en VPC"/>
    <n v="124"/>
    <s v="INTPG_VPC_124_1.5_125_1.6"/>
    <s v="ISEL-1.5"/>
    <n v="10"/>
    <s v="NO TIENE L3OUT"/>
    <n v="80"/>
    <n v="96"/>
  </r>
  <r>
    <n v="118"/>
    <x v="0"/>
    <x v="218"/>
    <s v="eth1/5"/>
    <x v="0"/>
    <x v="0"/>
    <x v="0"/>
    <s v="COBROS NAVEGACION"/>
    <x v="6"/>
    <b v="0"/>
    <s v="No está en VPC"/>
    <n v="118"/>
    <s v="INTPG_ACC_118_1.5"/>
    <s v="ISEL-1.5"/>
    <n v="1"/>
    <s v="NO TIENE L3OUT"/>
    <n v="180"/>
    <n v="96"/>
  </r>
  <r>
    <n v="159"/>
    <x v="0"/>
    <x v="219"/>
    <s v="eth1/5"/>
    <x v="0"/>
    <x v="1"/>
    <x v="1"/>
    <s v="TRAP"/>
    <x v="6"/>
    <b v="0"/>
    <s v="No está en VPC"/>
    <n v="159"/>
    <s v="INTPG_PC_159_1.2-7"/>
    <s v="ISEL-1.5"/>
    <n v="12"/>
    <s v="NO TIENE L3OUT"/>
    <n v="72"/>
    <n v="96"/>
  </r>
  <r>
    <n v="840"/>
    <x v="2"/>
    <x v="220"/>
    <s v="eth1/5"/>
    <x v="0"/>
    <x v="0"/>
    <x v="0"/>
    <s v="LINK_TO_ITHFHWCBSPSUSBD38 / Slot7.2_10 / Redundante"/>
    <x v="0"/>
    <b v="0"/>
    <s v="No está en VPC"/>
    <n v="840"/>
    <s v="INTPG_VPC_835_1.5_840_1.5"/>
    <s v="ISEL-1.5"/>
    <n v="1"/>
    <s v="NO TIENE L3OUT"/>
    <n v="8"/>
    <n v="54"/>
  </r>
  <r>
    <n v="856"/>
    <x v="2"/>
    <x v="221"/>
    <s v="eth1/5"/>
    <x v="0"/>
    <x v="0"/>
    <x v="0"/>
    <s v="LINK_TO_ITHFHWCRMPLCN136 / Slot1.1_6 / Principal"/>
    <x v="0"/>
    <b v="0"/>
    <s v="No está en VPC"/>
    <n v="856"/>
    <s v="INTPG_ACC_856_1.5"/>
    <s v="ISEL-1.5"/>
    <n v="6"/>
    <s v="NO TIENE L3OUT"/>
    <n v="286"/>
    <n v="54"/>
  </r>
  <r>
    <n v="110"/>
    <x v="0"/>
    <x v="222"/>
    <s v="eth1/5"/>
    <x v="0"/>
    <x v="1"/>
    <x v="8"/>
    <s v="OCUDR_1"/>
    <x v="6"/>
    <b v="0"/>
    <s v="No está en VPC"/>
    <n v="110"/>
    <s v="INTPG_ACC_110_1.5"/>
    <s v="ISEL-1.5"/>
    <n v="1"/>
    <s v="NO TIENE L3OUT"/>
    <n v="102"/>
    <n v="96"/>
  </r>
  <r>
    <n v="163"/>
    <x v="0"/>
    <x v="223"/>
    <s v="eth1/5"/>
    <x v="0"/>
    <x v="1"/>
    <x v="1"/>
    <s v="IBM SICOD"/>
    <x v="6"/>
    <b v="0"/>
    <s v="No está en VPC"/>
    <n v="163"/>
    <s v="INTPG_ACC_163_1.5"/>
    <s v="ISEL-1.5"/>
    <n v="1"/>
    <s v="NO TIENE L3OUT"/>
    <n v="140"/>
    <n v="96"/>
  </r>
  <r>
    <n v="407"/>
    <x v="1"/>
    <x v="224"/>
    <s v="eth1/5"/>
    <x v="0"/>
    <x v="0"/>
    <x v="0"/>
    <s v="RLR2ARI04"/>
    <x v="6"/>
    <b v="0"/>
    <s v="No está en VPC"/>
    <n v="407"/>
    <s v="INTPG_ACC_407_1.5"/>
    <s v="ISEL-1.5"/>
    <n v="1"/>
    <s v="NO TIENE L3OUT"/>
    <n v="122"/>
    <n v="96"/>
  </r>
  <r>
    <n v="171"/>
    <x v="0"/>
    <x v="225"/>
    <s v="eth1/5"/>
    <x v="0"/>
    <x v="0"/>
    <x v="0"/>
    <s v="ENIQ3GMX_CLIENT1"/>
    <x v="6"/>
    <b v="0"/>
    <s v="No está en VPC"/>
    <n v="171"/>
    <s v="INTPG_VPC_171_1.5_15_172_1.5_67"/>
    <s v="ISEL-1.5"/>
    <n v="10"/>
    <s v="NO TIENE L3OUT"/>
    <n v="114"/>
    <n v="96"/>
  </r>
  <r>
    <n v="421"/>
    <x v="1"/>
    <x v="226"/>
    <s v="eth1/5"/>
    <x v="0"/>
    <x v="0"/>
    <x v="0"/>
    <s v="DESC"/>
    <x v="6"/>
    <b v="0"/>
    <s v="No está en VPC"/>
    <n v="421"/>
    <s v="INTPG_PC_421_5-6"/>
    <s v="ISEL-1.5"/>
    <n v="1"/>
    <s v="NO TIENE L3OUT"/>
    <n v="72"/>
    <n v="96"/>
  </r>
  <r>
    <n v="173"/>
    <x v="0"/>
    <x v="227"/>
    <s v="eth1/5"/>
    <x v="0"/>
    <x v="0"/>
    <x v="0"/>
    <s v="ENIQ"/>
    <x v="6"/>
    <b v="0"/>
    <s v="No está en VPC"/>
    <n v="173"/>
    <s v="INTPG_ACC_173_1.5"/>
    <s v="ISEL-1.5"/>
    <n v="1"/>
    <s v="NO TIENE L3OUT"/>
    <n v="66"/>
    <n v="96"/>
  </r>
  <r>
    <n v="154"/>
    <x v="0"/>
    <x v="228"/>
    <s v="eth1/5"/>
    <x v="0"/>
    <x v="0"/>
    <x v="0"/>
    <s v="BLOQUEO EMEI"/>
    <x v="6"/>
    <b v="0"/>
    <s v="No está en VPC"/>
    <n v="154"/>
    <s v="INTPG_ACC_154_1.5"/>
    <s v="ISEL-1.5"/>
    <n v="1"/>
    <s v="NO TIENE L3OUT"/>
    <n v="62"/>
    <n v="96"/>
  </r>
  <r>
    <n v="172"/>
    <x v="0"/>
    <x v="229"/>
    <s v="eth1/5"/>
    <x v="0"/>
    <x v="0"/>
    <x v="0"/>
    <s v="ENIQ3GMX_CLIENT1"/>
    <x v="6"/>
    <b v="0"/>
    <s v="No está en VPC"/>
    <n v="172"/>
    <s v="INTPG_VPC_171_1.5_15_172_1.5_67"/>
    <s v="ISEL-1.5"/>
    <n v="10"/>
    <s v="NO TIENE L3OUT"/>
    <n v="104"/>
    <n v="96"/>
  </r>
  <r>
    <n v="420"/>
    <x v="1"/>
    <x v="230"/>
    <s v="eth1/5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5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5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5"/>
    <x v="0"/>
    <x v="1"/>
    <x v="1"/>
    <s v="SFLDI:RLDIBI201:1"/>
    <x v="6"/>
    <b v="0"/>
    <s v="No está en VPC"/>
    <n v="102"/>
    <s v="INTPG_ACC_102_1.5"/>
    <s v="ISEL-1.5"/>
    <n v="1"/>
    <s v="NO TIENE L3OUT"/>
    <n v="228"/>
    <n v="96"/>
  </r>
  <r>
    <n v="863"/>
    <x v="2"/>
    <x v="234"/>
    <s v="eth1/5"/>
    <x v="0"/>
    <x v="0"/>
    <x v="0"/>
    <s v="To_VPC_2DCBSD_HD38_2"/>
    <x v="0"/>
    <b v="0"/>
    <s v="No está en VPC"/>
    <n v="863"/>
    <s v="INTPG_VPC_858_1.5_863_1.5"/>
    <s v="ISEL-1.5"/>
    <n v="1"/>
    <s v="NO TIENE L3OUT"/>
    <n v="8"/>
    <n v="54"/>
  </r>
  <r>
    <n v="876"/>
    <x v="2"/>
    <x v="235"/>
    <s v="eth1/5"/>
    <x v="0"/>
    <x v="0"/>
    <x v="0"/>
    <s v="LINK_TO_ITHFHWSEQLHDPS74 / Slot 4 PTO 1 / Principal"/>
    <x v="4"/>
    <b v="0"/>
    <s v="No está en VPC"/>
    <n v="876"/>
    <s v="INTPG_ACC_876_1.5"/>
    <s v="ISEL-1.5"/>
    <n v="1"/>
    <s v="NO TIENE L3OUT"/>
    <n v="92"/>
    <n v="54"/>
  </r>
  <r>
    <n v="877"/>
    <x v="2"/>
    <x v="236"/>
    <s v="eth1/5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5"/>
    <x v="0"/>
    <x v="0"/>
    <x v="0"/>
    <s v="DESC"/>
    <x v="6"/>
    <b v="0"/>
    <s v="No está en VPC"/>
    <n v="122"/>
    <s v="INTPG_PC_122_1.4-8"/>
    <s v="ISEL-1.5"/>
    <n v="1"/>
    <s v="NO TIENE L3OUT"/>
    <n v="148"/>
    <n v="96"/>
  </r>
  <r>
    <n v="157"/>
    <x v="0"/>
    <x v="238"/>
    <s v="eth1/5"/>
    <x v="0"/>
    <x v="0"/>
    <x v="0"/>
    <s v="COBROS NAVEGACION"/>
    <x v="6"/>
    <b v="0"/>
    <s v="No está en VPC"/>
    <n v="157"/>
    <s v="INTPG_ACC_157_1.5"/>
    <s v="ISEL-1.5"/>
    <n v="1"/>
    <s v="NO TIENE L3OUT"/>
    <n v="202"/>
    <n v="96"/>
  </r>
  <r>
    <n v="408"/>
    <x v="1"/>
    <x v="239"/>
    <s v="eth1/5"/>
    <x v="0"/>
    <x v="1"/>
    <x v="1"/>
    <s v="Suspend2"/>
    <x v="6"/>
    <b v="0"/>
    <s v="No está en VPC"/>
    <n v="408"/>
    <s v="INTPG_ACC_408_1.5"/>
    <s v="ISEL-1.5"/>
    <n v="1"/>
    <s v="NO TIENE L3OUT"/>
    <n v="152"/>
    <n v="96"/>
  </r>
  <r>
    <n v="405"/>
    <x v="1"/>
    <x v="240"/>
    <s v="eth1/5"/>
    <x v="0"/>
    <x v="0"/>
    <x v="0"/>
    <s v="IXT_ARIESO4_LDR5"/>
    <x v="6"/>
    <b v="0"/>
    <s v="No está en VPC"/>
    <n v="405"/>
    <s v="INTPG_ACC_405_1.5"/>
    <s v="ISEL-1.5"/>
    <n v="1"/>
    <s v="NO TIENE L3OUT"/>
    <n v="138"/>
    <n v="96"/>
  </r>
  <r>
    <n v="169"/>
    <x v="0"/>
    <x v="241"/>
    <s v="eth1/5"/>
    <x v="0"/>
    <x v="0"/>
    <x v="0"/>
    <s v="DCX_BKP1_BPK2_S1"/>
    <x v="6"/>
    <b v="0"/>
    <s v="No está en VPC"/>
    <n v="169"/>
    <s v="INTPG_ACC_169_1.5"/>
    <s v="ISEL-1.5"/>
    <n v="1"/>
    <s v="NO TIENE L3OUT"/>
    <n v="76"/>
    <n v="96"/>
  </r>
  <r>
    <n v="165"/>
    <x v="0"/>
    <x v="242"/>
    <s v="eth1/5"/>
    <x v="0"/>
    <x v="0"/>
    <x v="0"/>
    <s v="AMS500_Unity_MGMT"/>
    <x v="6"/>
    <b v="0"/>
    <s v="No está en VPC"/>
    <n v="165"/>
    <s v="INTPG_ACC_165_1.5"/>
    <s v="ISEL-1.5"/>
    <n v="1"/>
    <s v="NO TIENE L3OUT"/>
    <n v="86"/>
    <n v="96"/>
  </r>
  <r>
    <n v="417"/>
    <x v="1"/>
    <x v="243"/>
    <s v="eth1/5"/>
    <x v="0"/>
    <x v="0"/>
    <x v="0"/>
    <s v="To-uxingemc4"/>
    <x v="6"/>
    <b v="0"/>
    <s v="No está en VPC"/>
    <n v="417"/>
    <s v="INTPG_ACC_417_1.5"/>
    <s v="ISEL-1.5"/>
    <n v="1"/>
    <s v="NO TIENE L3OUT"/>
    <n v="56"/>
    <n v="96"/>
  </r>
  <r>
    <n v="153"/>
    <x v="0"/>
    <x v="244"/>
    <s v="eth1/5"/>
    <x v="0"/>
    <x v="1"/>
    <x v="1"/>
    <m/>
    <x v="6"/>
    <b v="0"/>
    <s v="No está en VPC"/>
    <n v="153"/>
    <s v="INTPG_ACC_153_1.5"/>
    <s v="ISEL-1.5"/>
    <n v="1"/>
    <s v="NO TIENE L3OUT"/>
    <n v="42"/>
    <n v="96"/>
  </r>
  <r>
    <n v="119"/>
    <x v="0"/>
    <x v="245"/>
    <s v="eth1/5"/>
    <x v="1"/>
    <x v="1"/>
    <x v="2"/>
    <s v="RLBAC"/>
    <x v="6"/>
    <b v="0"/>
    <s v="No está en VPC"/>
    <n v="119"/>
    <s v="INTPG_ACC_119_1.5"/>
    <s v="ISEL-1.5"/>
    <n v="1"/>
    <s v="NO TIENE L3OUT"/>
    <n v="70"/>
    <n v="96"/>
  </r>
  <r>
    <n v="156"/>
    <x v="0"/>
    <x v="246"/>
    <s v="eth1/5"/>
    <x v="1"/>
    <x v="1"/>
    <x v="2"/>
    <s v="RED CRICKET"/>
    <x v="6"/>
    <b v="0"/>
    <s v="No está en VPC"/>
    <n v="156"/>
    <s v="INTPG_ACC_156_1.5"/>
    <s v="ISEL-1.5"/>
    <n v="2"/>
    <s v="NO TIENE L3OUT"/>
    <n v="40"/>
    <n v="96"/>
  </r>
  <r>
    <n v="103"/>
    <x v="0"/>
    <x v="247"/>
    <s v="eth1/5"/>
    <x v="1"/>
    <x v="1"/>
    <x v="2"/>
    <s v="ROAMING_ENCLOSURE:SFROAP01:VC2-1"/>
    <x v="6"/>
    <b v="0"/>
    <s v="No está en VPC"/>
    <n v="103"/>
    <s v="INTPG_PC_103_5_6_41"/>
    <s v="ISEL-1.5"/>
    <n v="2"/>
    <s v="NO TIENE L3OUT"/>
    <n v="70"/>
    <n v="96"/>
  </r>
  <r>
    <n v="438"/>
    <x v="1"/>
    <x v="248"/>
    <s v="eth1/5"/>
    <x v="0"/>
    <x v="1"/>
    <x v="1"/>
    <s v="uxdomaine"/>
    <x v="6"/>
    <b v="0"/>
    <s v="No está en VPC"/>
    <n v="438"/>
    <s v="INTPG_ACC_438_1.5"/>
    <s v="ISEL-1.5"/>
    <n v="1"/>
    <s v="NO TIENE L3OUT"/>
    <n v="170"/>
    <n v="96"/>
  </r>
  <r>
    <n v="406"/>
    <x v="1"/>
    <x v="249"/>
    <s v="eth1/5"/>
    <x v="0"/>
    <x v="0"/>
    <x v="0"/>
    <s v="DESC"/>
    <x v="6"/>
    <b v="0"/>
    <s v="No está en VPC"/>
    <n v="406"/>
    <s v="INTPG_PC_406_1.5-6"/>
    <s v="ISEL-1.5"/>
    <n v="1"/>
    <s v="NO TIENE L3OUT"/>
    <n v="82"/>
    <n v="96"/>
  </r>
  <r>
    <n v="414"/>
    <x v="1"/>
    <x v="250"/>
    <s v="eth1/5"/>
    <x v="0"/>
    <x v="0"/>
    <x v="0"/>
    <s v="IXTPA4PC"/>
    <x v="6"/>
    <b v="0"/>
    <s v="No está en VPC"/>
    <n v="414"/>
    <s v="INTPG_ACC_414_1.5"/>
    <s v="ISEL-1.5"/>
    <n v="1"/>
    <s v="NO TIENE L3OUT"/>
    <n v="144"/>
    <n v="96"/>
  </r>
  <r>
    <n v="416"/>
    <x v="1"/>
    <x v="251"/>
    <s v="eth1/5"/>
    <x v="0"/>
    <x v="0"/>
    <x v="0"/>
    <s v="sfbcvp02-MEDVOZ_CLIENT1"/>
    <x v="6"/>
    <b v="0"/>
    <s v="No está en VPC"/>
    <n v="416"/>
    <s v="INTPG_VPC_416_1.5_418_1.5"/>
    <s v="ISEL-1.5"/>
    <n v="1"/>
    <s v="NO TIENE L3OUT"/>
    <n v="110"/>
    <n v="96"/>
  </r>
  <r>
    <n v="418"/>
    <x v="1"/>
    <x v="252"/>
    <s v="eth1/5"/>
    <x v="0"/>
    <x v="0"/>
    <x v="0"/>
    <s v="sfbcvp02-MEDVOZ_CLIENT1"/>
    <x v="6"/>
    <b v="0"/>
    <s v="No está en VPC"/>
    <n v="418"/>
    <s v="INTPG_VPC_416_1.5_418_1.5"/>
    <s v="ISEL-1.5"/>
    <n v="1"/>
    <s v="NO TIENE L3OUT"/>
    <n v="152"/>
    <n v="96"/>
  </r>
  <r>
    <n v="413"/>
    <x v="1"/>
    <x v="253"/>
    <s v="eth1/5"/>
    <x v="0"/>
    <x v="0"/>
    <x v="0"/>
    <s v="DESC"/>
    <x v="6"/>
    <b v="0"/>
    <s v="No está en VPC"/>
    <n v="413"/>
    <s v="INTPG_PC_413_1.5-8"/>
    <s v="ISEL-1.5"/>
    <n v="1"/>
    <s v="NO TIENE L3OUT"/>
    <n v="126"/>
    <n v="96"/>
  </r>
  <r>
    <n v="403"/>
    <x v="1"/>
    <x v="254"/>
    <s v="eth1/5"/>
    <x v="0"/>
    <x v="0"/>
    <x v="0"/>
    <s v="IXT_ARIESO4_LDR5"/>
    <x v="6"/>
    <b v="0"/>
    <s v="No está en VPC"/>
    <n v="403"/>
    <s v="INTPG_ACC_403_1.5"/>
    <s v="ISEL-1.5"/>
    <n v="1"/>
    <s v="NO TIENE L3OUT"/>
    <n v="150"/>
    <n v="96"/>
  </r>
  <r>
    <n v="125"/>
    <x v="0"/>
    <x v="255"/>
    <s v="eth1/5"/>
    <x v="0"/>
    <x v="1"/>
    <x v="1"/>
    <s v="GSM_ENIQ_QRO_R6"/>
    <x v="6"/>
    <b v="0"/>
    <s v="No está en VPC"/>
    <n v="125"/>
    <s v="INTPG_ACC_125_1.5"/>
    <s v="ISEL-1.5"/>
    <n v="1"/>
    <s v="NO TIENE L3OUT"/>
    <n v="72"/>
    <n v="96"/>
  </r>
  <r>
    <n v="166"/>
    <x v="0"/>
    <x v="256"/>
    <s v="eth1/5"/>
    <x v="0"/>
    <x v="0"/>
    <x v="0"/>
    <s v="Nomina"/>
    <x v="6"/>
    <b v="0"/>
    <s v="No está en VPC"/>
    <n v="166"/>
    <s v="INTPG_ACC_166_1.5"/>
    <s v="ISEL-1.5"/>
    <n v="1"/>
    <s v="NO TIENE L3OUT"/>
    <n v="84"/>
    <n v="96"/>
  </r>
  <r>
    <n v="111"/>
    <x v="0"/>
    <x v="257"/>
    <s v="eth1/5"/>
    <x v="0"/>
    <x v="0"/>
    <x v="0"/>
    <s v="BANCA MOVIL: Notificaciones"/>
    <x v="6"/>
    <b v="0"/>
    <s v="No está en VPC"/>
    <n v="111"/>
    <s v="INTPG_ACC_111_1.5"/>
    <s v="ISEL-1.5"/>
    <n v="1"/>
    <s v="NO TIENE L3OUT"/>
    <n v="58"/>
    <n v="96"/>
  </r>
  <r>
    <n v="115"/>
    <x v="0"/>
    <x v="258"/>
    <s v="eth1/5"/>
    <x v="0"/>
    <x v="0"/>
    <x v="0"/>
    <s v="sfecpp03"/>
    <x v="6"/>
    <b v="0"/>
    <s v="No está en VPC"/>
    <n v="115"/>
    <s v="INTPG_VPC_113_1.6_115_1.5"/>
    <s v="ISEL-1.5"/>
    <n v="1"/>
    <s v="NO TIENE L3OUT"/>
    <n v="42"/>
    <n v="96"/>
  </r>
  <r>
    <n v="106"/>
    <x v="0"/>
    <x v="259"/>
    <s v="eth1/5"/>
    <x v="0"/>
    <x v="1"/>
    <x v="1"/>
    <s v="OPEN VIEW BACK FASE2_1"/>
    <x v="6"/>
    <b v="0"/>
    <s v="No está en VPC"/>
    <n v="106"/>
    <s v="INTPG_ACC_106_1.5"/>
    <s v="ISEL-1.5"/>
    <n v="1"/>
    <s v="NO TIENE L3OUT"/>
    <n v="122"/>
    <n v="96"/>
  </r>
  <r>
    <n v="126"/>
    <x v="0"/>
    <x v="260"/>
    <s v="eth1/5"/>
    <x v="0"/>
    <x v="1"/>
    <x v="1"/>
    <s v="U2000_IPRAN"/>
    <x v="6"/>
    <b v="0"/>
    <s v="No está en VPC"/>
    <n v="126"/>
    <s v="INTPG_ACC_126_1.5"/>
    <s v="ISEL-1.5"/>
    <n v="1"/>
    <s v="NO TIENE L3OUT"/>
    <n v="54"/>
    <n v="96"/>
  </r>
  <r>
    <n v="425"/>
    <x v="1"/>
    <x v="261"/>
    <s v="eth1/5"/>
    <x v="0"/>
    <x v="1"/>
    <x v="1"/>
    <s v="VTA_uxvta073_Net0"/>
    <x v="6"/>
    <b v="0"/>
    <s v="No está en VPC"/>
    <n v="425"/>
    <s v="INTPG_ACC_425_1.5"/>
    <s v="ISEL-1.5"/>
    <n v="1"/>
    <s v="NO TIENE L3OUT"/>
    <n v="86"/>
    <n v="96"/>
  </r>
  <r>
    <n v="151"/>
    <x v="0"/>
    <x v="262"/>
    <s v="eth1/5"/>
    <x v="1"/>
    <x v="1"/>
    <x v="2"/>
    <s v="PLANTA_LINEAGE_POWER"/>
    <x v="6"/>
    <b v="0"/>
    <s v="No está en VPC"/>
    <n v="151"/>
    <s v="INTPG_ACC_151_1.5"/>
    <s v="ISEL-1.5"/>
    <n v="1"/>
    <s v="NO TIENE L3OUT"/>
    <n v="86"/>
    <n v="96"/>
  </r>
  <r>
    <n v="430"/>
    <x v="1"/>
    <x v="263"/>
    <s v="eth1/5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5"/>
    <x v="0"/>
    <x v="0"/>
    <x v="0"/>
    <s v="DESC"/>
    <x v="6"/>
    <b v="0"/>
    <s v="No está en VPC"/>
    <n v="419"/>
    <s v="INTPG_PC_419_5-6"/>
    <s v="ISEL-1.5"/>
    <n v="1"/>
    <s v="NO TIENE L3OUT"/>
    <n v="70"/>
    <n v="96"/>
  </r>
  <r>
    <n v="155"/>
    <x v="0"/>
    <x v="265"/>
    <s v="eth1/5"/>
    <x v="0"/>
    <x v="0"/>
    <x v="0"/>
    <s v="UXINGE"/>
    <x v="6"/>
    <b v="0"/>
    <s v="No está en VPC"/>
    <n v="155"/>
    <s v="INTPG_ACC_155_1.5"/>
    <s v="ISEL-1.5"/>
    <n v="1"/>
    <s v="NO TIENE L3OUT"/>
    <n v="198"/>
    <n v="96"/>
  </r>
  <r>
    <n v="409"/>
    <x v="1"/>
    <x v="266"/>
    <s v="eth1/5"/>
    <x v="0"/>
    <x v="0"/>
    <x v="0"/>
    <s v="RLR2ARI09"/>
    <x v="6"/>
    <b v="0"/>
    <s v="No está en VPC"/>
    <n v="409"/>
    <s v="INTPG_ACC_409_1.5"/>
    <s v="ISEL-1.5"/>
    <n v="1"/>
    <s v="NO TIENE L3OUT"/>
    <n v="128"/>
    <n v="96"/>
  </r>
  <r>
    <n v="422"/>
    <x v="1"/>
    <x v="267"/>
    <s v="eth1/5"/>
    <x v="0"/>
    <x v="0"/>
    <x v="0"/>
    <s v="GESTION_ FORTIMANAGER"/>
    <x v="6"/>
    <b v="0"/>
    <s v="No está en VPC"/>
    <n v="422"/>
    <s v="INTPG_ACC_422_1.5"/>
    <s v="ISEL-1.5"/>
    <n v="1"/>
    <s v="NO TIENE L3OUT"/>
    <n v="182"/>
    <n v="96"/>
  </r>
  <r>
    <n v="436"/>
    <x v="1"/>
    <x v="268"/>
    <s v="eth1/5"/>
    <x v="0"/>
    <x v="1"/>
    <x v="1"/>
    <s v="uxdomaine"/>
    <x v="6"/>
    <b v="0"/>
    <s v="No está en VPC"/>
    <n v="436"/>
    <s v="INTPG_ACC_436_1.5"/>
    <s v="ISEL-1.5"/>
    <n v="1"/>
    <s v="NO TIENE L3OUT"/>
    <n v="172"/>
    <n v="96"/>
  </r>
  <r>
    <n v="410"/>
    <x v="1"/>
    <x v="269"/>
    <s v="eth1/5"/>
    <x v="0"/>
    <x v="0"/>
    <x v="0"/>
    <s v="9UCS-IXTLA-WEBEX-SERV3"/>
    <x v="6"/>
    <b v="0"/>
    <s v="No está en VPC"/>
    <n v="410"/>
    <s v="INTPG_ACC_410_1.5"/>
    <s v="ISEL-1.5"/>
    <n v="1"/>
    <s v="NO TIENE L3OUT"/>
    <n v="178"/>
    <n v="96"/>
  </r>
  <r>
    <n v="161"/>
    <x v="0"/>
    <x v="270"/>
    <s v="eth1/5"/>
    <x v="0"/>
    <x v="1"/>
    <x v="1"/>
    <s v="IBM SICOD"/>
    <x v="6"/>
    <b v="0"/>
    <s v="No está en VPC"/>
    <n v="161"/>
    <s v="INTPG_ACC_161_1.5"/>
    <s v="ISEL-1.5"/>
    <n v="1"/>
    <s v="NO TIENE L3OUT"/>
    <n v="102"/>
    <n v="96"/>
  </r>
  <r>
    <n v="411"/>
    <x v="1"/>
    <x v="271"/>
    <s v="eth1/5"/>
    <x v="0"/>
    <x v="0"/>
    <x v="0"/>
    <s v="DESC"/>
    <x v="6"/>
    <b v="0"/>
    <s v="No está en VPC"/>
    <n v="411"/>
    <s v="INTPG_PC_411_1.5-8"/>
    <s v="ISEL-1.5"/>
    <n v="1"/>
    <s v="NO TIENE L3OUT"/>
    <n v="96"/>
    <n v="96"/>
  </r>
  <r>
    <n v="116"/>
    <x v="0"/>
    <x v="272"/>
    <s v="eth1/5"/>
    <x v="0"/>
    <x v="0"/>
    <x v="0"/>
    <s v="ASAP BATCH"/>
    <x v="6"/>
    <b v="0"/>
    <s v="No está en VPC"/>
    <n v="116"/>
    <s v="INTPG_ACC_116_1.5"/>
    <s v="ISEL-1.5"/>
    <n v="1"/>
    <s v="NO TIENE L3OUT"/>
    <n v="148"/>
    <n v="96"/>
  </r>
  <r>
    <n v="412"/>
    <x v="1"/>
    <x v="273"/>
    <s v="eth1/5"/>
    <x v="0"/>
    <x v="0"/>
    <x v="0"/>
    <s v="HMCDes01_ADMIN"/>
    <x v="6"/>
    <b v="0"/>
    <s v="No está en VPC"/>
    <n v="412"/>
    <s v="INTPG_ACC_412_1.5"/>
    <s v="ISEL-1.5"/>
    <n v="1"/>
    <s v="NO TIENE L3OUT"/>
    <n v="126"/>
    <n v="96"/>
  </r>
  <r>
    <n v="120"/>
    <x v="0"/>
    <x v="274"/>
    <s v="eth1/5"/>
    <x v="0"/>
    <x v="0"/>
    <x v="0"/>
    <s v="TemipAMX1"/>
    <x v="6"/>
    <b v="0"/>
    <s v="No está en VPC"/>
    <n v="120"/>
    <s v="INTPG_PC_120_1.4-8"/>
    <s v="ISEL-1.5"/>
    <n v="1"/>
    <s v="NO TIENE L3OUT"/>
    <n v="158"/>
    <n v="96"/>
  </r>
  <r>
    <n v="404"/>
    <x v="1"/>
    <x v="275"/>
    <s v="eth1/5"/>
    <x v="0"/>
    <x v="0"/>
    <x v="0"/>
    <s v="DESC"/>
    <x v="6"/>
    <b v="0"/>
    <s v="No está en VPC"/>
    <n v="404"/>
    <s v="INTPG_PC_404_1.5-6"/>
    <s v="ISEL-1.5"/>
    <n v="1"/>
    <s v="NO TIENE L3OUT"/>
    <n v="92"/>
    <n v="96"/>
  </r>
  <r>
    <n v="167"/>
    <x v="0"/>
    <x v="276"/>
    <s v="eth1/5"/>
    <x v="0"/>
    <x v="0"/>
    <x v="0"/>
    <s v="DCX_BKP1_BPK2_S1"/>
    <x v="6"/>
    <b v="0"/>
    <s v="No está en VPC"/>
    <n v="167"/>
    <s v="INTPG_ACC_167_1.5"/>
    <s v="ISEL-1.5"/>
    <n v="1"/>
    <s v="NO TIENE L3OUT"/>
    <n v="68"/>
    <n v="96"/>
  </r>
  <r>
    <n v="428"/>
    <x v="1"/>
    <x v="277"/>
    <s v="eth1/5"/>
    <x v="1"/>
    <x v="1"/>
    <x v="2"/>
    <s v="LDAP-IDM_DESARROLLO"/>
    <x v="6"/>
    <b v="0"/>
    <s v="No está en VPC"/>
    <n v="428"/>
    <s v="INTPG_PC_428_1.5-9"/>
    <s v="ISEL-1.5"/>
    <n v="1"/>
    <s v="NO TIENE L3OUT"/>
    <n v="102"/>
    <n v="96"/>
  </r>
  <r>
    <n v="903"/>
    <x v="2"/>
    <x v="278"/>
    <s v="eth1/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50"/>
    <x v="0"/>
    <x v="0"/>
    <x v="0"/>
    <s v="LINK_HACIA_SPINE"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50"/>
    <x v="0"/>
    <x v="0"/>
    <x v="0"/>
    <s v="LINK_HACIA_SPINE"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50"/>
    <x v="0"/>
    <x v="0"/>
    <x v="0"/>
    <s v="LINK_HACIA_SPINE"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50"/>
    <x v="0"/>
    <x v="0"/>
    <x v="0"/>
    <s v="LINK_HACIA_SPINE"/>
    <x v="0"/>
    <b v="0"/>
    <s v="No está en VPC"/>
    <n v="101"/>
    <s v="NO EXISTE PG"/>
    <s v="NO EXISTE ISEL"/>
    <n v="0"/>
    <s v="NO TIENE L3OUT"/>
    <n v="114"/>
    <n v="54"/>
  </r>
  <r>
    <n v="160"/>
    <x v="0"/>
    <x v="4"/>
    <s v="eth1/50"/>
    <x v="0"/>
    <x v="0"/>
    <x v="0"/>
    <s v="LINK_HACIA_SPINE"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50"/>
    <x v="0"/>
    <x v="0"/>
    <x v="0"/>
    <s v="LINK_HACIA_SPINE"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50"/>
    <x v="0"/>
    <x v="0"/>
    <x v="0"/>
    <s v="LINK_HACIA_SPINE"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50"/>
    <x v="0"/>
    <x v="0"/>
    <x v="0"/>
    <s v="LINK_HACIA_SPINE"/>
    <x v="0"/>
    <b v="0"/>
    <s v="No está en VPC"/>
    <n v="401"/>
    <s v="NO EXISTE PG"/>
    <s v="NO EXISTE ISEL"/>
    <n v="0"/>
    <s v="NO TIENE L3OUT"/>
    <n v="40"/>
    <n v="54"/>
  </r>
  <r>
    <n v="402"/>
    <x v="1"/>
    <x v="8"/>
    <s v="eth1/50"/>
    <x v="0"/>
    <x v="0"/>
    <x v="0"/>
    <s v="LINK_HACIA_SPINE"/>
    <x v="0"/>
    <b v="0"/>
    <s v="No está en VPC"/>
    <n v="402"/>
    <s v="NO EXISTE PG"/>
    <s v="NO EXISTE ISEL"/>
    <n v="0"/>
    <s v="NO TIENE L3OUT"/>
    <n v="36"/>
    <n v="54"/>
  </r>
  <r>
    <n v="130"/>
    <x v="0"/>
    <x v="11"/>
    <s v="eth1/50"/>
    <x v="0"/>
    <x v="0"/>
    <x v="0"/>
    <s v="LINK_HACIA_SPINE"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50"/>
    <x v="0"/>
    <x v="0"/>
    <x v="0"/>
    <s v="LINK_HACIA_SPINE"/>
    <x v="0"/>
    <b v="0"/>
    <s v="No está en VPC"/>
    <n v="150"/>
    <s v="NO EXISTE PG"/>
    <s v="NO EXISTE ISEL"/>
    <n v="0"/>
    <s v="NO TIENE L3OUT"/>
    <n v="118"/>
    <n v="54"/>
  </r>
  <r>
    <n v="131"/>
    <x v="0"/>
    <x v="13"/>
    <s v="eth1/50"/>
    <x v="0"/>
    <x v="0"/>
    <x v="0"/>
    <s v="LINK_HACIA_SPINE"/>
    <x v="0"/>
    <b v="0"/>
    <s v="No está en VPC"/>
    <n v="131"/>
    <s v="NO EXISTE PG"/>
    <s v="NO EXISTE ISEL"/>
    <n v="0"/>
    <s v="NO TIENE L3OUT"/>
    <n v="126"/>
    <n v="54"/>
  </r>
  <r>
    <n v="424"/>
    <x v="1"/>
    <x v="18"/>
    <s v="eth1/50"/>
    <x v="0"/>
    <x v="0"/>
    <x v="0"/>
    <s v="LINK_HACIA_SPINE"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50"/>
    <x v="0"/>
    <x v="0"/>
    <x v="0"/>
    <s v="LINK_HACIA_SPINE"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50"/>
    <x v="0"/>
    <x v="0"/>
    <x v="0"/>
    <s v="LINK_HACIA_SPINE"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50"/>
    <x v="1"/>
    <x v="1"/>
    <x v="2"/>
    <s v="LINK_HACIA_SPINE"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50"/>
    <x v="0"/>
    <x v="0"/>
    <x v="0"/>
    <s v="LINK_HACIA_SPINE"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50"/>
    <x v="0"/>
    <x v="0"/>
    <x v="0"/>
    <s v="LINK_HACIA_SPINE"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50"/>
    <x v="1"/>
    <x v="1"/>
    <x v="3"/>
    <s v="LINK_HACIA_SPINE"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50"/>
    <x v="0"/>
    <x v="0"/>
    <x v="0"/>
    <s v="LINK_HACIA_SPINE"/>
    <x v="0"/>
    <b v="0"/>
    <s v="No está en VPC"/>
    <n v="431"/>
    <s v="NO EXISTE PG"/>
    <s v="NO EXISTE ISEL"/>
    <n v="0"/>
    <s v="NO TIENE L3OUT"/>
    <n v="46"/>
    <n v="54"/>
  </r>
  <r>
    <n v="433"/>
    <x v="1"/>
    <x v="27"/>
    <s v="eth1/50"/>
    <x v="0"/>
    <x v="0"/>
    <x v="0"/>
    <s v="LINK_HACIA_SPINE"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50"/>
    <x v="0"/>
    <x v="0"/>
    <x v="0"/>
    <s v="LINK_HACIA_SPINE"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50"/>
    <x v="0"/>
    <x v="0"/>
    <x v="0"/>
    <s v="LINK_HACIA_SPINE"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50"/>
    <x v="0"/>
    <x v="0"/>
    <x v="0"/>
    <s v="LINK_HACIA_SPINE"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50"/>
    <x v="0"/>
    <x v="0"/>
    <x v="0"/>
    <s v="LINK_HACIA_SPINE"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50"/>
    <x v="0"/>
    <x v="0"/>
    <x v="0"/>
    <s v="LINK_HACIA_SPINE"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50"/>
    <x v="0"/>
    <x v="0"/>
    <x v="0"/>
    <s v="LINK_HACIA_SPINE"/>
    <x v="0"/>
    <b v="0"/>
    <s v="No está en VPC"/>
    <n v="712"/>
    <s v="NO EXISTE PG"/>
    <s v="NO EXISTE ISEL"/>
    <n v="0"/>
    <s v="NO TIENE L3OUT"/>
    <n v="32"/>
    <n v="54"/>
  </r>
  <r>
    <n v="719"/>
    <x v="2"/>
    <x v="34"/>
    <s v="eth1/50"/>
    <x v="0"/>
    <x v="0"/>
    <x v="0"/>
    <s v="LINK_HACIA_SPINE"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50"/>
    <x v="0"/>
    <x v="0"/>
    <x v="0"/>
    <s v="LINK_HACIA_SPINE"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50"/>
    <x v="0"/>
    <x v="0"/>
    <x v="0"/>
    <s v="LINK_HACIA_SPINE"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50"/>
    <x v="0"/>
    <x v="0"/>
    <x v="0"/>
    <s v="LINK_HACIA_SPINE"/>
    <x v="0"/>
    <b v="0"/>
    <s v="No está en VPC"/>
    <n v="711"/>
    <s v="NO EXISTE PG"/>
    <s v="NO EXISTE ISEL"/>
    <n v="0"/>
    <s v="NO TIENE L3OUT"/>
    <n v="16"/>
    <n v="54"/>
  </r>
  <r>
    <n v="716"/>
    <x v="2"/>
    <x v="38"/>
    <s v="eth1/50"/>
    <x v="0"/>
    <x v="0"/>
    <x v="0"/>
    <s v="LINK_HACIA_SPINE"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50"/>
    <x v="0"/>
    <x v="0"/>
    <x v="0"/>
    <s v="LINK_HACIA_SPINE"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50"/>
    <x v="0"/>
    <x v="0"/>
    <x v="0"/>
    <s v="LINK_HACIA_SPINE"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50"/>
    <x v="0"/>
    <x v="0"/>
    <x v="0"/>
    <s v="LINK_HACIA_SPINE"/>
    <x v="0"/>
    <b v="0"/>
    <s v="No está en VPC"/>
    <n v="446"/>
    <s v="NO EXISTE PG"/>
    <s v="NO EXISTE ISEL"/>
    <n v="0"/>
    <s v="NO TIENE L3OUT"/>
    <n v="198"/>
    <n v="54"/>
  </r>
  <r>
    <n v="444"/>
    <x v="1"/>
    <x v="42"/>
    <s v="eth1/50"/>
    <x v="0"/>
    <x v="0"/>
    <x v="0"/>
    <s v="LINK_HACIA_SPINE"/>
    <x v="0"/>
    <b v="0"/>
    <s v="No está en VPC"/>
    <n v="444"/>
    <s v="NO EXISTE PG"/>
    <s v="NO EXISTE ISEL"/>
    <n v="0"/>
    <s v="NO TIENE L3OUT"/>
    <n v="234"/>
    <n v="54"/>
  </r>
  <r>
    <n v="701"/>
    <x v="2"/>
    <x v="43"/>
    <s v="eth1/50"/>
    <x v="0"/>
    <x v="0"/>
    <x v="0"/>
    <s v="LINK_HACIA_SPINE"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50"/>
    <x v="0"/>
    <x v="0"/>
    <x v="0"/>
    <s v="LINK_HACIA_SPINE"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50"/>
    <x v="0"/>
    <x v="0"/>
    <x v="0"/>
    <s v="LINK_HACIA_SPINE"/>
    <x v="0"/>
    <b v="0"/>
    <s v="No está en VPC"/>
    <n v="448"/>
    <s v="NO EXISTE PG"/>
    <s v="NO EXISTE ISEL"/>
    <n v="0"/>
    <s v="NO TIENE L3OUT"/>
    <n v="46"/>
    <n v="54"/>
  </r>
  <r>
    <n v="704"/>
    <x v="2"/>
    <x v="46"/>
    <s v="eth1/50"/>
    <x v="0"/>
    <x v="0"/>
    <x v="0"/>
    <s v="LINK_HACIA_SPINE"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50"/>
    <x v="0"/>
    <x v="0"/>
    <x v="0"/>
    <s v="LINK_HACIA_SPINE"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50"/>
    <x v="0"/>
    <x v="0"/>
    <x v="0"/>
    <s v="LINK_HACIA_SPINE"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50"/>
    <x v="0"/>
    <x v="0"/>
    <x v="0"/>
    <s v="LINK_HACIA_SPINE"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50"/>
    <x v="0"/>
    <x v="0"/>
    <x v="0"/>
    <s v="LINK_HACIA_SPINE"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50"/>
    <x v="0"/>
    <x v="0"/>
    <x v="0"/>
    <s v="LINK_HACIA_SPINE"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50"/>
    <x v="0"/>
    <x v="0"/>
    <x v="0"/>
    <s v="LINK_HACIA_SPINE"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50"/>
    <x v="0"/>
    <x v="0"/>
    <x v="0"/>
    <s v="LINK_HACIA_SPINE"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50"/>
    <x v="0"/>
    <x v="0"/>
    <x v="0"/>
    <s v="LINK_HACIA_SPINE"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50"/>
    <x v="0"/>
    <x v="0"/>
    <x v="0"/>
    <s v="LINK_HACIA_SPINE"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50"/>
    <x v="0"/>
    <x v="0"/>
    <x v="0"/>
    <s v="LINK_HACIA_SPINE"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50"/>
    <x v="0"/>
    <x v="0"/>
    <x v="0"/>
    <s v="LINK_HACIA_SPINE"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50"/>
    <x v="0"/>
    <x v="0"/>
    <x v="0"/>
    <s v="LINK_HACIA_SPINE"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50"/>
    <x v="0"/>
    <x v="0"/>
    <x v="0"/>
    <s v="LINK_HACIA_SPINE"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50"/>
    <x v="0"/>
    <x v="0"/>
    <x v="0"/>
    <s v="LINK_HACIA_SPINE"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50"/>
    <x v="0"/>
    <x v="1"/>
    <x v="3"/>
    <m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50"/>
    <x v="0"/>
    <x v="0"/>
    <x v="0"/>
    <s v="LINK_HACIA_SPINE"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50"/>
    <x v="0"/>
    <x v="0"/>
    <x v="0"/>
    <s v="LINK_HACIA_SPINE"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50"/>
    <x v="0"/>
    <x v="0"/>
    <x v="0"/>
    <s v="LINK_HACIA_SPINE"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50"/>
    <x v="0"/>
    <x v="0"/>
    <x v="0"/>
    <s v="LINK_HACIA_SPINE"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50"/>
    <x v="0"/>
    <x v="0"/>
    <x v="0"/>
    <s v="LINK_HACIA_SPINE"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50"/>
    <x v="0"/>
    <x v="0"/>
    <x v="0"/>
    <s v="LINK_HACIA_SPINE"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50"/>
    <x v="0"/>
    <x v="0"/>
    <x v="0"/>
    <s v="LINK_HACIA_SPINE"/>
    <x v="0"/>
    <b v="0"/>
    <s v="No está en VPC"/>
    <n v="780"/>
    <s v="NO EXISTE PG"/>
    <s v="NO EXISTE ISEL"/>
    <n v="0"/>
    <s v="NO TIENE L3OUT"/>
    <n v="26"/>
    <n v="54"/>
  </r>
  <r>
    <n v="812"/>
    <x v="2"/>
    <x v="70"/>
    <s v="eth1/50"/>
    <x v="0"/>
    <x v="0"/>
    <x v="0"/>
    <s v="LINK_HACIA_SPINE"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50"/>
    <x v="0"/>
    <x v="0"/>
    <x v="0"/>
    <s v="LINK_HACIA_SPINE"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50"/>
    <x v="0"/>
    <x v="0"/>
    <x v="0"/>
    <s v="LINK_HACIA_SPINE"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50"/>
    <x v="0"/>
    <x v="0"/>
    <x v="0"/>
    <s v="LINK_HACIA_SPINE"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50"/>
    <x v="0"/>
    <x v="0"/>
    <x v="0"/>
    <s v="LINK_HACIA_SPINE"/>
    <x v="0"/>
    <b v="0"/>
    <s v="No está en VPC"/>
    <n v="824"/>
    <s v="NO EXISTE PG"/>
    <s v="NO EXISTE ISEL"/>
    <n v="0"/>
    <s v="NO TIENE L3OUT"/>
    <n v="70"/>
    <n v="54"/>
  </r>
  <r>
    <n v="819"/>
    <x v="2"/>
    <x v="75"/>
    <s v="eth1/50"/>
    <x v="0"/>
    <x v="0"/>
    <x v="0"/>
    <s v="LINK_HACIA_SPINE"/>
    <x v="0"/>
    <b v="0"/>
    <s v="No está en VPC"/>
    <n v="819"/>
    <s v="NO EXISTE PG"/>
    <s v="NO EXISTE ISEL"/>
    <n v="0"/>
    <s v="NO TIENE L3OUT"/>
    <n v="70"/>
    <n v="54"/>
  </r>
  <r>
    <n v="737"/>
    <x v="2"/>
    <x v="76"/>
    <s v="eth1/50"/>
    <x v="0"/>
    <x v="1"/>
    <x v="3"/>
    <m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50"/>
    <x v="0"/>
    <x v="0"/>
    <x v="0"/>
    <s v="LINK_HACIA_SPINE"/>
    <x v="0"/>
    <b v="0"/>
    <s v="No está en VPC"/>
    <n v="844"/>
    <s v="NO EXISTE PG"/>
    <s v="NO EXISTE ISEL"/>
    <n v="0"/>
    <s v="NO TIENE L3OUT"/>
    <n v="282"/>
    <n v="54"/>
  </r>
  <r>
    <n v="843"/>
    <x v="2"/>
    <x v="78"/>
    <s v="eth1/50"/>
    <x v="0"/>
    <x v="0"/>
    <x v="0"/>
    <s v="LINK_HACIA_SPINE"/>
    <x v="0"/>
    <b v="0"/>
    <s v="No está en VPC"/>
    <n v="843"/>
    <s v="NO EXISTE PG"/>
    <s v="NO EXISTE ISEL"/>
    <n v="0"/>
    <s v="NO TIENE L3OUT"/>
    <n v="38"/>
    <n v="54"/>
  </r>
  <r>
    <n v="797"/>
    <x v="2"/>
    <x v="79"/>
    <s v="eth1/50"/>
    <x v="0"/>
    <x v="0"/>
    <x v="0"/>
    <s v="LINK_HACIA_SPINE"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50"/>
    <x v="0"/>
    <x v="0"/>
    <x v="0"/>
    <s v="LINK_HACIA_SPINE"/>
    <x v="0"/>
    <b v="0"/>
    <s v="No está en VPC"/>
    <n v="839"/>
    <s v="NO EXISTE PG"/>
    <s v="NO EXISTE ISEL"/>
    <n v="0"/>
    <s v="NO TIENE L3OUT"/>
    <n v="0"/>
    <n v="54"/>
  </r>
  <r>
    <n v="847"/>
    <x v="2"/>
    <x v="81"/>
    <s v="eth1/50"/>
    <x v="0"/>
    <x v="0"/>
    <x v="0"/>
    <s v="LINK_HACIA_SPINE"/>
    <x v="0"/>
    <b v="0"/>
    <s v="No está en VPC"/>
    <n v="847"/>
    <s v="NO EXISTE PG"/>
    <s v="NO EXISTE ISEL"/>
    <n v="0"/>
    <s v="NO TIENE L3OUT"/>
    <n v="204"/>
    <n v="54"/>
  </r>
  <r>
    <n v="848"/>
    <x v="2"/>
    <x v="82"/>
    <s v="eth1/50"/>
    <x v="0"/>
    <x v="0"/>
    <x v="0"/>
    <s v="LINK_HACIA_SPINE"/>
    <x v="0"/>
    <b v="0"/>
    <s v="No está en VPC"/>
    <n v="848"/>
    <s v="NO EXISTE PG"/>
    <s v="NO EXISTE ISEL"/>
    <n v="0"/>
    <s v="NO TIENE L3OUT"/>
    <n v="254"/>
    <n v="54"/>
  </r>
  <r>
    <n v="846"/>
    <x v="2"/>
    <x v="83"/>
    <s v="eth1/50"/>
    <x v="0"/>
    <x v="0"/>
    <x v="0"/>
    <s v="LINK_HACIA_SPINE"/>
    <x v="0"/>
    <b v="0"/>
    <s v="No está en VPC"/>
    <n v="846"/>
    <s v="NO EXISTE PG"/>
    <s v="NO EXISTE ISEL"/>
    <n v="0"/>
    <s v="NO TIENE L3OUT"/>
    <n v="242"/>
    <n v="54"/>
  </r>
  <r>
    <n v="838"/>
    <x v="2"/>
    <x v="84"/>
    <s v="eth1/50"/>
    <x v="0"/>
    <x v="0"/>
    <x v="0"/>
    <s v="LINK_HACIA_SPINE"/>
    <x v="0"/>
    <b v="0"/>
    <s v="No está en VPC"/>
    <n v="838"/>
    <s v="NO EXISTE PG"/>
    <s v="NO EXISTE ISEL"/>
    <n v="0"/>
    <s v="NO TIENE L3OUT"/>
    <n v="38"/>
    <n v="54"/>
  </r>
  <r>
    <n v="849"/>
    <x v="2"/>
    <x v="85"/>
    <s v="eth1/50"/>
    <x v="0"/>
    <x v="0"/>
    <x v="0"/>
    <s v="LINK_HACIA_SPINE"/>
    <x v="0"/>
    <b v="0"/>
    <s v="No está en VPC"/>
    <n v="849"/>
    <s v="NO EXISTE PG"/>
    <s v="NO EXISTE ISEL"/>
    <n v="0"/>
    <s v="NO TIENE L3OUT"/>
    <n v="286"/>
    <n v="54"/>
  </r>
  <r>
    <n v="845"/>
    <x v="2"/>
    <x v="86"/>
    <s v="eth1/50"/>
    <x v="0"/>
    <x v="0"/>
    <x v="0"/>
    <s v="LINK_HACIA_SPINE"/>
    <x v="0"/>
    <b v="0"/>
    <s v="No está en VPC"/>
    <n v="845"/>
    <s v="NO EXISTE PG"/>
    <s v="NO EXISTE ISEL"/>
    <n v="0"/>
    <s v="NO TIENE L3OUT"/>
    <n v="258"/>
    <n v="54"/>
  </r>
  <r>
    <n v="873"/>
    <x v="2"/>
    <x v="87"/>
    <s v="eth1/50"/>
    <x v="0"/>
    <x v="0"/>
    <x v="0"/>
    <s v="LINK_HACIA_SPINE"/>
    <x v="0"/>
    <b v="0"/>
    <s v="No está en VPC"/>
    <n v="873"/>
    <s v="NO EXISTE PG"/>
    <s v="NO EXISTE ISEL"/>
    <n v="0"/>
    <s v="NO TIENE L3OUT"/>
    <n v="248"/>
    <n v="54"/>
  </r>
  <r>
    <n v="864"/>
    <x v="2"/>
    <x v="88"/>
    <s v="eth1/50"/>
    <x v="0"/>
    <x v="0"/>
    <x v="0"/>
    <s v="LINK_HACIA_SPINE"/>
    <x v="0"/>
    <b v="0"/>
    <s v="No está en VPC"/>
    <n v="864"/>
    <s v="NO EXISTE PG"/>
    <s v="NO EXISTE ISEL"/>
    <n v="0"/>
    <s v="NO TIENE L3OUT"/>
    <n v="0"/>
    <n v="54"/>
  </r>
  <r>
    <n v="836"/>
    <x v="2"/>
    <x v="89"/>
    <s v="eth1/50"/>
    <x v="0"/>
    <x v="0"/>
    <x v="0"/>
    <s v="LINK_HACIA_SPINE"/>
    <x v="0"/>
    <b v="0"/>
    <s v="No está en VPC"/>
    <n v="836"/>
    <s v="NO EXISTE PG"/>
    <s v="NO EXISTE ISEL"/>
    <n v="0"/>
    <s v="NO TIENE L3OUT"/>
    <n v="0"/>
    <n v="54"/>
  </r>
  <r>
    <n v="834"/>
    <x v="2"/>
    <x v="90"/>
    <s v="eth1/50"/>
    <x v="0"/>
    <x v="0"/>
    <x v="0"/>
    <s v="LINK_HACIA_SPINE"/>
    <x v="0"/>
    <b v="0"/>
    <s v="No está en VPC"/>
    <n v="834"/>
    <s v="NO EXISTE PG"/>
    <s v="NO EXISTE ISEL"/>
    <n v="0"/>
    <s v="NO TIENE L3OUT"/>
    <n v="0"/>
    <n v="54"/>
  </r>
  <r>
    <n v="872"/>
    <x v="2"/>
    <x v="91"/>
    <s v="eth1/50"/>
    <x v="0"/>
    <x v="0"/>
    <x v="0"/>
    <s v="LINK_HACIA_SPINE"/>
    <x v="0"/>
    <b v="0"/>
    <s v="No está en VPC"/>
    <n v="872"/>
    <s v="NO EXISTE PG"/>
    <s v="NO EXISTE ISEL"/>
    <n v="0"/>
    <s v="NO TIENE L3OUT"/>
    <n v="288"/>
    <n v="54"/>
  </r>
  <r>
    <n v="842"/>
    <x v="2"/>
    <x v="92"/>
    <s v="eth1/50"/>
    <x v="0"/>
    <x v="0"/>
    <x v="0"/>
    <s v="LINK_HACIA_SPINE"/>
    <x v="0"/>
    <b v="0"/>
    <s v="No está en VPC"/>
    <n v="842"/>
    <s v="NO EXISTE PG"/>
    <s v="NO EXISTE ISEL"/>
    <n v="0"/>
    <s v="NO TIENE L3OUT"/>
    <n v="8"/>
    <n v="54"/>
  </r>
  <r>
    <n v="828"/>
    <x v="2"/>
    <x v="93"/>
    <s v="eth1/50"/>
    <x v="0"/>
    <x v="0"/>
    <x v="0"/>
    <s v="LINK_HACIA_SPINE"/>
    <x v="0"/>
    <b v="0"/>
    <s v="No está en VPC"/>
    <n v="828"/>
    <s v="NO EXISTE PG"/>
    <s v="NO EXISTE ISEL"/>
    <n v="0"/>
    <s v="NO TIENE L3OUT"/>
    <n v="192"/>
    <n v="54"/>
  </r>
  <r>
    <n v="870"/>
    <x v="2"/>
    <x v="94"/>
    <s v="eth1/50"/>
    <x v="0"/>
    <x v="0"/>
    <x v="0"/>
    <s v="LINK_HACIA_SPINE"/>
    <x v="0"/>
    <b v="0"/>
    <s v="No está en VPC"/>
    <n v="870"/>
    <s v="NO EXISTE PG"/>
    <s v="NO EXISTE ISEL"/>
    <n v="0"/>
    <s v="NO TIENE L3OUT"/>
    <n v="248"/>
    <n v="54"/>
  </r>
  <r>
    <n v="866"/>
    <x v="2"/>
    <x v="95"/>
    <s v="eth1/50"/>
    <x v="0"/>
    <x v="0"/>
    <x v="0"/>
    <s v="LINK_HACIA_SPINE"/>
    <x v="0"/>
    <b v="0"/>
    <s v="No está en VPC"/>
    <n v="866"/>
    <s v="NO EXISTE PG"/>
    <s v="NO EXISTE ISEL"/>
    <n v="0"/>
    <s v="NO TIENE L3OUT"/>
    <n v="8"/>
    <n v="54"/>
  </r>
  <r>
    <n v="862"/>
    <x v="2"/>
    <x v="96"/>
    <s v="eth1/50"/>
    <x v="0"/>
    <x v="0"/>
    <x v="0"/>
    <s v="LINK_HACIA_SPINE"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50"/>
    <x v="0"/>
    <x v="0"/>
    <x v="0"/>
    <s v="LINK_HACIA_SPINE"/>
    <x v="0"/>
    <b v="0"/>
    <s v="No está en VPC"/>
    <n v="855"/>
    <s v="NO EXISTE PG"/>
    <s v="NO EXISTE ISEL"/>
    <n v="0"/>
    <s v="NO TIENE L3OUT"/>
    <n v="254"/>
    <n v="54"/>
  </r>
  <r>
    <n v="871"/>
    <x v="2"/>
    <x v="98"/>
    <s v="eth1/50"/>
    <x v="0"/>
    <x v="0"/>
    <x v="0"/>
    <s v="LINK_HACIA_SPINE"/>
    <x v="0"/>
    <b v="0"/>
    <s v="No está en VPC"/>
    <n v="871"/>
    <s v="NO EXISTE PG"/>
    <s v="NO EXISTE ISEL"/>
    <n v="0"/>
    <s v="NO TIENE L3OUT"/>
    <n v="246"/>
    <n v="54"/>
  </r>
  <r>
    <n v="841"/>
    <x v="2"/>
    <x v="99"/>
    <s v="eth1/50"/>
    <x v="0"/>
    <x v="0"/>
    <x v="0"/>
    <s v="LINK_HACIA_SPINE"/>
    <x v="0"/>
    <b v="0"/>
    <s v="No está en VPC"/>
    <n v="841"/>
    <s v="NO EXISTE PG"/>
    <s v="NO EXISTE ISEL"/>
    <n v="0"/>
    <s v="NO TIENE L3OUT"/>
    <n v="0"/>
    <n v="54"/>
  </r>
  <r>
    <n v="868"/>
    <x v="2"/>
    <x v="100"/>
    <s v="eth1/50"/>
    <x v="0"/>
    <x v="0"/>
    <x v="0"/>
    <s v="LINK_HACIA_SPINE"/>
    <x v="0"/>
    <b v="0"/>
    <s v="No está en VPC"/>
    <n v="868"/>
    <s v="NO EXISTE PG"/>
    <s v="NO EXISTE ISEL"/>
    <n v="0"/>
    <s v="NO TIENE L3OUT"/>
    <n v="246"/>
    <n v="54"/>
  </r>
  <r>
    <n v="869"/>
    <x v="2"/>
    <x v="101"/>
    <s v="eth1/50"/>
    <x v="0"/>
    <x v="0"/>
    <x v="0"/>
    <s v="LINK_HACIA_SPINE"/>
    <x v="0"/>
    <b v="0"/>
    <s v="No está en VPC"/>
    <n v="869"/>
    <s v="NO EXISTE PG"/>
    <s v="NO EXISTE ISEL"/>
    <n v="0"/>
    <s v="NO TIENE L3OUT"/>
    <n v="288"/>
    <n v="54"/>
  </r>
  <r>
    <n v="861"/>
    <x v="2"/>
    <x v="102"/>
    <s v="eth1/50"/>
    <x v="0"/>
    <x v="0"/>
    <x v="0"/>
    <s v="LINK_HACIA_SPINE"/>
    <x v="0"/>
    <b v="0"/>
    <s v="No está en VPC"/>
    <n v="861"/>
    <s v="NO EXISTE PG"/>
    <s v="NO EXISTE ISEL"/>
    <n v="0"/>
    <s v="NO TIENE L3OUT"/>
    <n v="8"/>
    <n v="54"/>
  </r>
  <r>
    <n v="874"/>
    <x v="2"/>
    <x v="103"/>
    <s v="eth1/50"/>
    <x v="0"/>
    <x v="0"/>
    <x v="0"/>
    <s v="LINK_HACIA_SPINE"/>
    <x v="4"/>
    <b v="0"/>
    <s v="No está en VPC"/>
    <n v="874"/>
    <s v="NO EXISTE PG"/>
    <s v="NO EXISTE ISEL"/>
    <n v="0"/>
    <s v="NO TIENE L3OUT"/>
    <n v="92"/>
    <n v="54"/>
  </r>
  <r>
    <n v="865"/>
    <x v="2"/>
    <x v="104"/>
    <s v="eth1/50"/>
    <x v="0"/>
    <x v="0"/>
    <x v="0"/>
    <s v="LINK_HACIA_SPINE"/>
    <x v="0"/>
    <b v="0"/>
    <s v="No está en VPC"/>
    <n v="865"/>
    <s v="NO EXISTE PG"/>
    <s v="NO EXISTE ISEL"/>
    <n v="0"/>
    <s v="NO TIENE L3OUT"/>
    <n v="0"/>
    <n v="54"/>
  </r>
  <r>
    <n v="753"/>
    <x v="2"/>
    <x v="105"/>
    <s v="eth1/50"/>
    <x v="0"/>
    <x v="0"/>
    <x v="0"/>
    <s v="LINK_HACIA_SPINE"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50"/>
    <x v="0"/>
    <x v="0"/>
    <x v="0"/>
    <s v="LINK_HACIA_SPINE"/>
    <x v="0"/>
    <b v="0"/>
    <s v="No está en VPC"/>
    <n v="708"/>
    <s v="NO EXISTE PG"/>
    <s v="NO EXISTE ISEL"/>
    <n v="0"/>
    <s v="NO TIENE L3OUT"/>
    <n v="0"/>
    <n v="54"/>
  </r>
  <r>
    <n v="710"/>
    <x v="2"/>
    <x v="107"/>
    <s v="eth1/50"/>
    <x v="0"/>
    <x v="0"/>
    <x v="0"/>
    <s v="LINK_HACIA_SPINE"/>
    <x v="0"/>
    <b v="0"/>
    <s v="No está en VPC"/>
    <n v="710"/>
    <s v="NO EXISTE PG"/>
    <s v="NO EXISTE ISEL"/>
    <n v="0"/>
    <s v="NO TIENE L3OUT"/>
    <n v="16"/>
    <n v="54"/>
  </r>
  <r>
    <n v="713"/>
    <x v="2"/>
    <x v="108"/>
    <s v="eth1/50"/>
    <x v="0"/>
    <x v="0"/>
    <x v="0"/>
    <s v="LINK_HACIA_SPINE"/>
    <x v="0"/>
    <b v="0"/>
    <s v="No está en VPC"/>
    <n v="713"/>
    <s v="NO EXISTE PG"/>
    <s v="NO EXISTE ISEL"/>
    <n v="0"/>
    <s v="NO TIENE L3OUT"/>
    <n v="32"/>
    <n v="54"/>
  </r>
  <r>
    <n v="735"/>
    <x v="2"/>
    <x v="109"/>
    <s v="eth1/50"/>
    <x v="0"/>
    <x v="1"/>
    <x v="3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50"/>
    <x v="0"/>
    <x v="0"/>
    <x v="0"/>
    <s v="LINK_HACIA_SPINE"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50"/>
    <x v="0"/>
    <x v="0"/>
    <x v="0"/>
    <s v="LINK_HACIA_SPINE"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50"/>
    <x v="0"/>
    <x v="0"/>
    <x v="0"/>
    <s v="LINK_HACIA_SPINE"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50"/>
    <x v="0"/>
    <x v="0"/>
    <x v="0"/>
    <s v="LINK_HACIA_SPINE"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50"/>
    <x v="0"/>
    <x v="0"/>
    <x v="0"/>
    <s v="LINK_HACIA_SPINE"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50"/>
    <x v="0"/>
    <x v="0"/>
    <x v="0"/>
    <s v="LINK_HACIA_SPINE"/>
    <x v="0"/>
    <b v="0"/>
    <s v="No está en VPC"/>
    <n v="826"/>
    <s v="NO EXISTE PG"/>
    <s v="NO EXISTE ISEL"/>
    <n v="0"/>
    <s v="NO TIENE L3OUT"/>
    <n v="12"/>
    <n v="54"/>
  </r>
  <r>
    <n v="726"/>
    <x v="2"/>
    <x v="117"/>
    <s v="eth1/50"/>
    <x v="0"/>
    <x v="0"/>
    <x v="0"/>
    <s v="LINK_HACIA_SPINE"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50"/>
    <x v="0"/>
    <x v="1"/>
    <x v="3"/>
    <m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50"/>
    <x v="0"/>
    <x v="0"/>
    <x v="0"/>
    <s v="LINK_HACIA_SPINE"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50"/>
    <x v="0"/>
    <x v="0"/>
    <x v="0"/>
    <s v="LINK_HACIA_SPINE"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50"/>
    <x v="0"/>
    <x v="0"/>
    <x v="0"/>
    <s v="LINK_HACIA_SPINE"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50"/>
    <x v="0"/>
    <x v="0"/>
    <x v="0"/>
    <s v="LINK_HACIA_SPINE"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50"/>
    <x v="0"/>
    <x v="0"/>
    <x v="0"/>
    <s v="LINK_HACIA_SPINE"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50"/>
    <x v="0"/>
    <x v="0"/>
    <x v="0"/>
    <s v="LINK_HACIA_SPINE"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50"/>
    <x v="0"/>
    <x v="0"/>
    <x v="0"/>
    <s v="LINK_HACIA_SPINE"/>
    <x v="0"/>
    <b v="0"/>
    <s v="No está en VPC"/>
    <n v="709"/>
    <s v="NO EXISTE PG"/>
    <s v="NO EXISTE ISEL"/>
    <n v="0"/>
    <s v="NO TIENE L3OUT"/>
    <n v="0"/>
    <n v="54"/>
  </r>
  <r>
    <n v="454"/>
    <x v="1"/>
    <x v="126"/>
    <s v="eth1/50"/>
    <x v="0"/>
    <x v="0"/>
    <x v="0"/>
    <s v="LINK_HACIA_SPINE"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50"/>
    <x v="0"/>
    <x v="1"/>
    <x v="3"/>
    <m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50"/>
    <x v="0"/>
    <x v="0"/>
    <x v="0"/>
    <s v="LINK_HACIA_SPINE"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50"/>
    <x v="0"/>
    <x v="0"/>
    <x v="0"/>
    <s v="LINK_HACIA_SPINE"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50"/>
    <x v="0"/>
    <x v="0"/>
    <x v="0"/>
    <s v="LINK_HACIA_SPINE"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50"/>
    <x v="0"/>
    <x v="1"/>
    <x v="3"/>
    <m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50"/>
    <x v="0"/>
    <x v="0"/>
    <x v="0"/>
    <s v="LINK_HACIA_SPINE"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50"/>
    <x v="0"/>
    <x v="0"/>
    <x v="0"/>
    <s v="LINK_HACIA_SPINE"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50"/>
    <x v="0"/>
    <x v="0"/>
    <x v="0"/>
    <s v="LINK_HACIA_SPINE"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50"/>
    <x v="0"/>
    <x v="0"/>
    <x v="0"/>
    <s v="LINK_HACIA_SPINE"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50"/>
    <x v="0"/>
    <x v="0"/>
    <x v="0"/>
    <s v="LINK_HACIA_SPINE"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50"/>
    <x v="0"/>
    <x v="0"/>
    <x v="0"/>
    <s v="LINK_HACIA_SPINE"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50"/>
    <x v="0"/>
    <x v="0"/>
    <x v="0"/>
    <s v="LINK_HACIA_SPINE"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50"/>
    <x v="0"/>
    <x v="0"/>
    <x v="0"/>
    <s v="LINK_HACIA_SPINE"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50"/>
    <x v="0"/>
    <x v="0"/>
    <x v="0"/>
    <s v="LINK_HACIA_SPINE"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50"/>
    <x v="0"/>
    <x v="0"/>
    <x v="0"/>
    <s v="LINK_HACIA_SPINE"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50"/>
    <x v="0"/>
    <x v="0"/>
    <x v="0"/>
    <s v="LINK_HACIA_SPINE"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50"/>
    <x v="0"/>
    <x v="0"/>
    <x v="0"/>
    <s v="LINK_HACIA_SPINE"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50"/>
    <x v="0"/>
    <x v="0"/>
    <x v="0"/>
    <s v="LINK_HACIA_SPINE"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50"/>
    <x v="0"/>
    <x v="0"/>
    <x v="0"/>
    <s v="LINK_HACIA_SPINE"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50"/>
    <x v="0"/>
    <x v="0"/>
    <x v="0"/>
    <s v="LINK_HACIA_SPINE"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50"/>
    <x v="0"/>
    <x v="0"/>
    <x v="0"/>
    <s v="LINK_HACIA_SPINE"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50"/>
    <x v="0"/>
    <x v="0"/>
    <x v="0"/>
    <s v="LINK_HACIA_SPINE"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50"/>
    <x v="0"/>
    <x v="0"/>
    <x v="0"/>
    <s v="LINK_HACIA_SPINE"/>
    <x v="0"/>
    <b v="0"/>
    <s v="No está en VPC"/>
    <n v="781"/>
    <s v="NO EXISTE PG"/>
    <s v="NO EXISTE ISEL"/>
    <n v="0"/>
    <s v="NO TIENE L3OUT"/>
    <n v="26"/>
    <n v="54"/>
  </r>
  <r>
    <n v="793"/>
    <x v="2"/>
    <x v="151"/>
    <s v="eth1/50"/>
    <x v="0"/>
    <x v="0"/>
    <x v="0"/>
    <s v="LINK_HACIA_SPINE"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50"/>
    <x v="0"/>
    <x v="0"/>
    <x v="0"/>
    <s v="LINK_HACIA_SPINE"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50"/>
    <x v="0"/>
    <x v="0"/>
    <x v="0"/>
    <s v="LINK_HACIA_SPINE"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50"/>
    <x v="0"/>
    <x v="0"/>
    <x v="0"/>
    <s v="LINK_HACIA_SPINE"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50"/>
    <x v="0"/>
    <x v="0"/>
    <x v="0"/>
    <s v="LINK_HACIA_SPINE"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50"/>
    <x v="0"/>
    <x v="0"/>
    <x v="0"/>
    <s v="LINK_HACIA_SPINE"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50"/>
    <x v="0"/>
    <x v="0"/>
    <x v="0"/>
    <s v="LINK_HACIA_SPINE"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50"/>
    <x v="0"/>
    <x v="1"/>
    <x v="3"/>
    <m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50"/>
    <x v="0"/>
    <x v="0"/>
    <x v="0"/>
    <s v="LINK_HACIA_SPINE"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50"/>
    <x v="0"/>
    <x v="0"/>
    <x v="0"/>
    <s v="LINK_HACIA_SPINE"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50"/>
    <x v="0"/>
    <x v="0"/>
    <x v="0"/>
    <s v="LINK_HACIA_SPINE"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50"/>
    <x v="0"/>
    <x v="0"/>
    <x v="0"/>
    <s v="LINK_HACIA_SPINE"/>
    <x v="0"/>
    <b v="0"/>
    <s v="No está en VPC"/>
    <n v="830"/>
    <s v="NO EXISTE PG"/>
    <s v="NO EXISTE ISEL"/>
    <n v="0"/>
    <s v="NO TIENE L3OUT"/>
    <n v="12"/>
    <n v="54"/>
  </r>
  <r>
    <n v="821"/>
    <x v="2"/>
    <x v="163"/>
    <s v="eth1/50"/>
    <x v="0"/>
    <x v="0"/>
    <x v="0"/>
    <s v="LINK_HACIA_SPINE"/>
    <x v="0"/>
    <b v="0"/>
    <s v="No está en VPC"/>
    <n v="821"/>
    <s v="NO EXISTE PG"/>
    <s v="NO EXISTE ISEL"/>
    <n v="0"/>
    <s v="NO TIENE L3OUT"/>
    <n v="0"/>
    <n v="54"/>
  </r>
  <r>
    <n v="738"/>
    <x v="2"/>
    <x v="164"/>
    <s v="eth1/50"/>
    <x v="0"/>
    <x v="1"/>
    <x v="3"/>
    <m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50"/>
    <x v="0"/>
    <x v="0"/>
    <x v="0"/>
    <s v="LINK_HACIA_SPINE"/>
    <x v="0"/>
    <b v="0"/>
    <s v="No está en VPC"/>
    <n v="820"/>
    <s v="NO EXISTE PG"/>
    <s v="NO EXISTE ISEL"/>
    <n v="0"/>
    <s v="NO TIENE L3OUT"/>
    <n v="72"/>
    <n v="54"/>
  </r>
  <r>
    <n v="804"/>
    <x v="2"/>
    <x v="166"/>
    <s v="eth1/50"/>
    <x v="0"/>
    <x v="0"/>
    <x v="0"/>
    <s v="LINK_HACIA_SPINE"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50"/>
    <x v="0"/>
    <x v="0"/>
    <x v="0"/>
    <s v="LINK_HACIA_SPINE"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50"/>
    <x v="0"/>
    <x v="0"/>
    <x v="0"/>
    <s v="LINK_HACIA_SPINE"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50"/>
    <x v="0"/>
    <x v="0"/>
    <x v="0"/>
    <s v="LINK_HACIA_SPINE"/>
    <x v="0"/>
    <b v="0"/>
    <s v="No está en VPC"/>
    <n v="827"/>
    <s v="NO EXISTE PG"/>
    <s v="NO EXISTE ISEL"/>
    <n v="0"/>
    <s v="NO TIENE L3OUT"/>
    <n v="14"/>
    <n v="54"/>
  </r>
  <r>
    <n v="809"/>
    <x v="2"/>
    <x v="170"/>
    <s v="eth1/50"/>
    <x v="0"/>
    <x v="0"/>
    <x v="0"/>
    <s v="LINK_HACIA_SPINE"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50"/>
    <x v="0"/>
    <x v="0"/>
    <x v="0"/>
    <s v="LINK_HACIA_SPINE"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50"/>
    <x v="0"/>
    <x v="0"/>
    <x v="0"/>
    <s v="LINK_HACIA_SPINE"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50"/>
    <x v="0"/>
    <x v="0"/>
    <x v="0"/>
    <s v="LINK_HACIA_SPINE"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50"/>
    <x v="0"/>
    <x v="0"/>
    <x v="0"/>
    <s v="LINK_HACIA_SPINE"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50"/>
    <x v="0"/>
    <x v="0"/>
    <x v="0"/>
    <s v="LINK_HACIA_SPINE"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50"/>
    <x v="0"/>
    <x v="0"/>
    <x v="0"/>
    <s v="LINK_HACIA_SPINE"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50"/>
    <x v="0"/>
    <x v="0"/>
    <x v="0"/>
    <s v="LINK_HACIA_SPINE"/>
    <x v="0"/>
    <b v="0"/>
    <s v="No está en VPC"/>
    <n v="851"/>
    <s v="NO EXISTE PG"/>
    <s v="NO EXISTE ISEL"/>
    <n v="0"/>
    <s v="NO TIENE L3OUT"/>
    <n v="282"/>
    <n v="54"/>
  </r>
  <r>
    <n v="798"/>
    <x v="2"/>
    <x v="178"/>
    <s v="eth1/50"/>
    <x v="0"/>
    <x v="0"/>
    <x v="0"/>
    <s v="LINK_HACIA_SPINE"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50"/>
    <x v="0"/>
    <x v="0"/>
    <x v="0"/>
    <s v="LINK_HACIA_SPINE"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50"/>
    <x v="0"/>
    <x v="0"/>
    <x v="0"/>
    <s v="LINK_HACIA_SPINE"/>
    <x v="0"/>
    <b v="0"/>
    <s v="No está en VPC"/>
    <n v="852"/>
    <s v="NO EXISTE PG"/>
    <s v="NO EXISTE ISEL"/>
    <n v="0"/>
    <s v="NO TIENE L3OUT"/>
    <n v="258"/>
    <n v="54"/>
  </r>
  <r>
    <n v="817"/>
    <x v="2"/>
    <x v="181"/>
    <s v="eth1/50"/>
    <x v="0"/>
    <x v="0"/>
    <x v="0"/>
    <s v="LINK_HACIA_SPINE"/>
    <x v="0"/>
    <b v="0"/>
    <s v="No está en VPC"/>
    <n v="817"/>
    <s v="NO EXISTE PG"/>
    <s v="NO EXISTE ISEL"/>
    <n v="0"/>
    <s v="NO TIENE L3OUT"/>
    <n v="0"/>
    <n v="54"/>
  </r>
  <r>
    <n v="832"/>
    <x v="2"/>
    <x v="182"/>
    <s v="eth1/50"/>
    <x v="0"/>
    <x v="0"/>
    <x v="0"/>
    <s v="LINK_HACIA_SPINE"/>
    <x v="0"/>
    <b v="0"/>
    <s v="No está en VPC"/>
    <n v="832"/>
    <s v="NO EXISTE PG"/>
    <s v="NO EXISTE ISEL"/>
    <n v="0"/>
    <s v="NO TIENE L3OUT"/>
    <n v="192"/>
    <n v="54"/>
  </r>
  <r>
    <n v="816"/>
    <x v="2"/>
    <x v="183"/>
    <s v="eth1/50"/>
    <x v="0"/>
    <x v="0"/>
    <x v="0"/>
    <s v="LINK_HACIA_SPINE"/>
    <x v="0"/>
    <b v="0"/>
    <s v="No está en VPC"/>
    <n v="816"/>
    <s v="NO EXISTE PG"/>
    <s v="NO EXISTE ISEL"/>
    <n v="0"/>
    <s v="NO TIENE L3OUT"/>
    <n v="0"/>
    <n v="54"/>
  </r>
  <r>
    <n v="825"/>
    <x v="2"/>
    <x v="184"/>
    <s v="eth1/50"/>
    <x v="0"/>
    <x v="0"/>
    <x v="0"/>
    <s v="LINK_HACIA_SPINE"/>
    <x v="0"/>
    <b v="0"/>
    <s v="No está en VPC"/>
    <n v="825"/>
    <s v="NO EXISTE PG"/>
    <s v="NO EXISTE ISEL"/>
    <n v="0"/>
    <s v="NO TIENE L3OUT"/>
    <n v="72"/>
    <n v="54"/>
  </r>
  <r>
    <n v="800"/>
    <x v="2"/>
    <x v="185"/>
    <s v="eth1/50"/>
    <x v="0"/>
    <x v="0"/>
    <x v="0"/>
    <s v="LINK_HACIA_SPINE"/>
    <x v="0"/>
    <b v="0"/>
    <s v="No está en VPC"/>
    <n v="800"/>
    <s v="NO EXISTE PG"/>
    <s v="NO EXISTE ISEL"/>
    <n v="0"/>
    <s v="NO TIENE L3OUT"/>
    <n v="78"/>
    <n v="54"/>
  </r>
  <r>
    <n v="801"/>
    <x v="2"/>
    <x v="186"/>
    <s v="eth1/50"/>
    <x v="0"/>
    <x v="0"/>
    <x v="0"/>
    <s v="LINK_HACIA_SPINE"/>
    <x v="0"/>
    <b v="0"/>
    <s v="No está en VPC"/>
    <n v="801"/>
    <s v="NO EXISTE PG"/>
    <s v="NO EXISTE ISEL"/>
    <n v="0"/>
    <s v="NO TIENE L3OUT"/>
    <n v="78"/>
    <n v="54"/>
  </r>
  <r>
    <n v="823"/>
    <x v="2"/>
    <x v="187"/>
    <s v="eth1/50"/>
    <x v="0"/>
    <x v="0"/>
    <x v="0"/>
    <s v="LINK_HACIA_SPINE"/>
    <x v="0"/>
    <b v="0"/>
    <s v="No está en VPC"/>
    <n v="823"/>
    <s v="NO EXISTE PG"/>
    <s v="NO EXISTE ISEL"/>
    <n v="0"/>
    <s v="NO TIENE L3OUT"/>
    <n v="8"/>
    <n v="54"/>
  </r>
  <r>
    <n v="837"/>
    <x v="2"/>
    <x v="188"/>
    <s v="eth1/50"/>
    <x v="0"/>
    <x v="0"/>
    <x v="0"/>
    <s v="LINK_HACIA_SPINE"/>
    <x v="0"/>
    <b v="0"/>
    <s v="No está en VPC"/>
    <n v="837"/>
    <s v="NO EXISTE PG"/>
    <s v="NO EXISTE ISEL"/>
    <n v="0"/>
    <s v="NO TIENE L3OUT"/>
    <n v="8"/>
    <n v="54"/>
  </r>
  <r>
    <n v="867"/>
    <x v="2"/>
    <x v="189"/>
    <s v="eth1/50"/>
    <x v="0"/>
    <x v="0"/>
    <x v="0"/>
    <s v="LINK_HACIA_SPINE"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50"/>
    <x v="0"/>
    <x v="0"/>
    <x v="0"/>
    <s v="LINK_HACIA_SPINE"/>
    <x v="0"/>
    <b v="0"/>
    <s v="No está en VPC"/>
    <n v="829"/>
    <s v="NO EXISTE PG"/>
    <s v="NO EXISTE ISEL"/>
    <n v="0"/>
    <s v="NO TIENE L3OUT"/>
    <n v="224"/>
    <n v="54"/>
  </r>
  <r>
    <n v="831"/>
    <x v="2"/>
    <x v="191"/>
    <s v="eth1/50"/>
    <x v="0"/>
    <x v="0"/>
    <x v="0"/>
    <s v="LINK_HACIA_SPINE"/>
    <x v="0"/>
    <b v="0"/>
    <s v="No está en VPC"/>
    <n v="831"/>
    <s v="NO EXISTE PG"/>
    <s v="NO EXISTE ISEL"/>
    <n v="0"/>
    <s v="NO TIENE L3OUT"/>
    <n v="14"/>
    <n v="54"/>
  </r>
  <r>
    <n v="802"/>
    <x v="2"/>
    <x v="192"/>
    <s v="eth1/50"/>
    <x v="0"/>
    <x v="0"/>
    <x v="0"/>
    <s v="LINK_HACIA_SPINE"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50"/>
    <x v="0"/>
    <x v="0"/>
    <x v="0"/>
    <s v="LINK_HACIA_SPINE"/>
    <x v="0"/>
    <b v="0"/>
    <s v="No está en VPC"/>
    <n v="835"/>
    <s v="NO EXISTE PG"/>
    <s v="NO EXISTE ISEL"/>
    <n v="0"/>
    <s v="NO TIENE L3OUT"/>
    <n v="8"/>
    <n v="54"/>
  </r>
  <r>
    <n v="822"/>
    <x v="2"/>
    <x v="194"/>
    <s v="eth1/50"/>
    <x v="0"/>
    <x v="0"/>
    <x v="0"/>
    <s v="LINK_HACIA_SPINE"/>
    <x v="0"/>
    <b v="0"/>
    <s v="No está en VPC"/>
    <n v="822"/>
    <s v="NO EXISTE PG"/>
    <s v="NO EXISTE ISEL"/>
    <n v="0"/>
    <s v="NO TIENE L3OUT"/>
    <n v="0"/>
    <n v="54"/>
  </r>
  <r>
    <n v="854"/>
    <x v="2"/>
    <x v="195"/>
    <s v="eth1/50"/>
    <x v="0"/>
    <x v="0"/>
    <x v="0"/>
    <s v="LINK_HACIA_SPINE"/>
    <x v="0"/>
    <b v="0"/>
    <s v="No está en VPC"/>
    <n v="854"/>
    <s v="NO EXISTE PG"/>
    <s v="NO EXISTE ISEL"/>
    <n v="0"/>
    <s v="NO TIENE L3OUT"/>
    <n v="204"/>
    <n v="54"/>
  </r>
  <r>
    <n v="858"/>
    <x v="2"/>
    <x v="196"/>
    <s v="eth1/50"/>
    <x v="0"/>
    <x v="0"/>
    <x v="0"/>
    <s v="LINK_HACIA_SPINE"/>
    <x v="0"/>
    <b v="0"/>
    <s v="No está en VPC"/>
    <n v="858"/>
    <s v="NO EXISTE PG"/>
    <s v="NO EXISTE ISEL"/>
    <n v="0"/>
    <s v="NO TIENE L3OUT"/>
    <n v="8"/>
    <n v="54"/>
  </r>
  <r>
    <n v="857"/>
    <x v="2"/>
    <x v="197"/>
    <s v="eth1/50"/>
    <x v="0"/>
    <x v="0"/>
    <x v="0"/>
    <s v="LINK_HACIA_SPINE"/>
    <x v="0"/>
    <b v="0"/>
    <s v="No está en VPC"/>
    <n v="857"/>
    <s v="NO EXISTE PG"/>
    <s v="NO EXISTE ISEL"/>
    <n v="0"/>
    <s v="NO TIENE L3OUT"/>
    <n v="288"/>
    <n v="54"/>
  </r>
  <r>
    <n v="859"/>
    <x v="2"/>
    <x v="198"/>
    <s v="eth1/50"/>
    <x v="0"/>
    <x v="0"/>
    <x v="0"/>
    <s v="LINK_HACIA_SPINE"/>
    <x v="0"/>
    <b v="0"/>
    <s v="No está en VPC"/>
    <n v="859"/>
    <s v="NO EXISTE PG"/>
    <s v="NO EXISTE ISEL"/>
    <n v="0"/>
    <s v="NO TIENE L3OUT"/>
    <n v="0"/>
    <n v="54"/>
  </r>
  <r>
    <n v="833"/>
    <x v="2"/>
    <x v="199"/>
    <s v="eth1/50"/>
    <x v="0"/>
    <x v="0"/>
    <x v="0"/>
    <s v="LINK_HACIA_SPINE"/>
    <x v="0"/>
    <b v="0"/>
    <s v="No está en VPC"/>
    <n v="833"/>
    <s v="NO EXISTE PG"/>
    <s v="NO EXISTE ISEL"/>
    <n v="0"/>
    <s v="NO TIENE L3OUT"/>
    <n v="224"/>
    <n v="54"/>
  </r>
  <r>
    <n v="818"/>
    <x v="2"/>
    <x v="200"/>
    <s v="eth1/50"/>
    <x v="0"/>
    <x v="0"/>
    <x v="0"/>
    <s v="LINK_HACIA_SPINE"/>
    <x v="0"/>
    <b v="0"/>
    <s v="No está en VPC"/>
    <n v="818"/>
    <s v="NO EXISTE PG"/>
    <s v="NO EXISTE ISEL"/>
    <n v="0"/>
    <s v="NO TIENE L3OUT"/>
    <n v="8"/>
    <n v="54"/>
  </r>
  <r>
    <n v="850"/>
    <x v="2"/>
    <x v="201"/>
    <s v="eth1/50"/>
    <x v="0"/>
    <x v="0"/>
    <x v="0"/>
    <s v="LINK_HACIA_SPINE"/>
    <x v="0"/>
    <b v="0"/>
    <s v="No está en VPC"/>
    <n v="850"/>
    <s v="NO EXISTE PG"/>
    <s v="NO EXISTE ISEL"/>
    <n v="0"/>
    <s v="NO TIENE L3OUT"/>
    <n v="288"/>
    <n v="54"/>
  </r>
  <r>
    <n v="860"/>
    <x v="2"/>
    <x v="202"/>
    <s v="eth1/50"/>
    <x v="0"/>
    <x v="0"/>
    <x v="0"/>
    <s v="LINK_HACIA_SPINE"/>
    <x v="0"/>
    <b v="0"/>
    <s v="No está en VPC"/>
    <n v="860"/>
    <s v="NO EXISTE PG"/>
    <s v="NO EXISTE ISEL"/>
    <n v="0"/>
    <s v="NO TIENE L3OUT"/>
    <n v="0"/>
    <n v="54"/>
  </r>
  <r>
    <n v="853"/>
    <x v="2"/>
    <x v="203"/>
    <s v="eth1/50"/>
    <x v="0"/>
    <x v="0"/>
    <x v="0"/>
    <s v="LINK_HACIA_SPINE"/>
    <x v="0"/>
    <b v="0"/>
    <s v="No está en VPC"/>
    <n v="853"/>
    <s v="NO EXISTE PG"/>
    <s v="NO EXISTE ISEL"/>
    <n v="0"/>
    <s v="NO TIENE L3OUT"/>
    <n v="242"/>
    <n v="54"/>
  </r>
  <r>
    <n v="790"/>
    <x v="2"/>
    <x v="204"/>
    <s v="eth1/50"/>
    <x v="0"/>
    <x v="0"/>
    <x v="0"/>
    <s v="LINK_HACIA_SPINE"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50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50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50"/>
    <x v="0"/>
    <x v="0"/>
    <x v="0"/>
    <s v="ITHNETZB"/>
    <x v="6"/>
    <b v="0"/>
    <s v="No está en VPC"/>
    <n v="104"/>
    <s v="INTPG_ACC_104_1.50"/>
    <s v="ISEL-1.50"/>
    <n v="1"/>
    <s v="NO TIENE L3OUT"/>
    <n v="194"/>
    <n v="96"/>
  </r>
  <r>
    <n v="158"/>
    <x v="0"/>
    <x v="208"/>
    <s v="eth1/50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50"/>
    <x v="0"/>
    <x v="0"/>
    <x v="0"/>
    <s v="LINK_HACIA_SPINE"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50"/>
    <x v="0"/>
    <x v="0"/>
    <x v="0"/>
    <s v="LINK_HACIA_SPINE"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50"/>
    <x v="0"/>
    <x v="0"/>
    <x v="0"/>
    <s v="OBIE_1-2"/>
    <x v="6"/>
    <b v="0"/>
    <s v="No está en VPC"/>
    <n v="108"/>
    <s v="INTPG_ACC_108_1.50"/>
    <s v="ISEL-1.50"/>
    <n v="1"/>
    <s v="NO TIENE L3OUT"/>
    <n v="126"/>
    <n v="96"/>
  </r>
  <r>
    <n v="112"/>
    <x v="0"/>
    <x v="212"/>
    <s v="eth1/50"/>
    <x v="0"/>
    <x v="1"/>
    <x v="1"/>
    <s v="SAPCCRATING05"/>
    <x v="6"/>
    <b v="0"/>
    <s v="No está en VPC"/>
    <n v="112"/>
    <s v="INTPG_VPC_112_1.50_114_1.47"/>
    <s v="ISEL-1.50"/>
    <n v="1"/>
    <s v="NO TIENE L3OUT"/>
    <n v="144"/>
    <n v="96"/>
  </r>
  <r>
    <n v="107"/>
    <x v="0"/>
    <x v="213"/>
    <s v="eth1/50"/>
    <x v="1"/>
    <x v="1"/>
    <x v="2"/>
    <s v="COMISIONES"/>
    <x v="6"/>
    <b v="0"/>
    <s v="No está en VPC"/>
    <n v="107"/>
    <s v="INTPG_ACC_107_1.50"/>
    <s v="ISEL-1.50"/>
    <n v="0"/>
    <s v="NO TIENE L3OUT"/>
    <n v="118"/>
    <n v="96"/>
  </r>
  <r>
    <n v="109"/>
    <x v="0"/>
    <x v="214"/>
    <s v="eth1/50"/>
    <x v="0"/>
    <x v="0"/>
    <x v="0"/>
    <s v="OBIE_1-2"/>
    <x v="6"/>
    <b v="0"/>
    <s v="No está en VPC"/>
    <n v="109"/>
    <s v="INTPG_ACC_109_1.50"/>
    <s v="ISEL-1.50"/>
    <n v="1"/>
    <s v="NO TIENE L3OUT"/>
    <n v="126"/>
    <n v="96"/>
  </r>
  <r>
    <n v="113"/>
    <x v="0"/>
    <x v="215"/>
    <s v="eth1/50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50"/>
    <x v="0"/>
    <x v="1"/>
    <x v="1"/>
    <s v="SAPCCRATING08"/>
    <x v="6"/>
    <b v="0"/>
    <s v="No está en VPC"/>
    <n v="114"/>
    <s v="INTPG_VPC_112_1.53_114_1.50"/>
    <s v="ISEL-1.50"/>
    <n v="1"/>
    <s v="NO TIENE L3OUT"/>
    <n v="144"/>
    <n v="96"/>
  </r>
  <r>
    <n v="124"/>
    <x v="0"/>
    <x v="217"/>
    <s v="eth1/50"/>
    <x v="1"/>
    <x v="1"/>
    <x v="2"/>
    <s v="CIRCULO Azul(UXCA)"/>
    <x v="6"/>
    <b v="0"/>
    <s v="No está en VPC"/>
    <n v="124"/>
    <s v="INTPG_ACC_124_1.50"/>
    <s v="ISEL-1.50"/>
    <n v="0"/>
    <s v="NO TIENE L3OUT"/>
    <n v="80"/>
    <n v="96"/>
  </r>
  <r>
    <n v="118"/>
    <x v="0"/>
    <x v="218"/>
    <s v="eth1/50"/>
    <x v="0"/>
    <x v="0"/>
    <x v="0"/>
    <s v="DATOS NETCRACKER"/>
    <x v="6"/>
    <b v="0"/>
    <s v="No está en VPC"/>
    <n v="118"/>
    <s v="INTPG_ACC_118_1.50"/>
    <s v="ISEL-1.50"/>
    <n v="1"/>
    <s v="NO TIENE L3OUT"/>
    <n v="180"/>
    <n v="96"/>
  </r>
  <r>
    <n v="159"/>
    <x v="0"/>
    <x v="219"/>
    <s v="eth1/50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50"/>
    <x v="0"/>
    <x v="0"/>
    <x v="0"/>
    <s v="LINK_HACIA_SPINE"/>
    <x v="0"/>
    <b v="0"/>
    <s v="No está en VPC"/>
    <n v="840"/>
    <s v="NO EXISTE PG"/>
    <s v="NO EXISTE ISEL"/>
    <n v="0"/>
    <s v="NO TIENE L3OUT"/>
    <n v="8"/>
    <n v="54"/>
  </r>
  <r>
    <n v="856"/>
    <x v="2"/>
    <x v="221"/>
    <s v="eth1/50"/>
    <x v="0"/>
    <x v="0"/>
    <x v="0"/>
    <s v="LINK_HACIA_SPINE"/>
    <x v="0"/>
    <b v="0"/>
    <s v="No está en VPC"/>
    <n v="856"/>
    <s v="NO EXISTE PG"/>
    <s v="NO EXISTE ISEL"/>
    <n v="0"/>
    <s v="NO TIENE L3OUT"/>
    <n v="286"/>
    <n v="54"/>
  </r>
  <r>
    <n v="110"/>
    <x v="0"/>
    <x v="222"/>
    <s v="eth1/50"/>
    <x v="0"/>
    <x v="0"/>
    <x v="0"/>
    <s v="RENACE"/>
    <x v="6"/>
    <b v="0"/>
    <s v="No está en VPC"/>
    <n v="110"/>
    <s v="INTPG_ACC_110_1.50"/>
    <s v="ISEL-1.50"/>
    <n v="1"/>
    <s v="NO TIENE L3OUT"/>
    <n v="102"/>
    <n v="96"/>
  </r>
  <r>
    <n v="163"/>
    <x v="0"/>
    <x v="223"/>
    <s v="eth1/50"/>
    <x v="1"/>
    <x v="1"/>
    <x v="2"/>
    <s v="CELCITE"/>
    <x v="6"/>
    <b v="0"/>
    <s v="No está en VPC"/>
    <n v="163"/>
    <s v="INTPG_ACC_163_1.50"/>
    <s v="ISEL-1.50"/>
    <n v="1"/>
    <s v="NO TIENE L3OUT"/>
    <n v="140"/>
    <n v="96"/>
  </r>
  <r>
    <n v="407"/>
    <x v="1"/>
    <x v="224"/>
    <s v="eth1/50"/>
    <x v="0"/>
    <x v="0"/>
    <x v="0"/>
    <s v="TO-ITHFDEOCP1LWR01-REDUNDANTE"/>
    <x v="6"/>
    <b v="0"/>
    <s v="No está en VPC"/>
    <n v="407"/>
    <s v="INTPG_ACC_407_1.50"/>
    <s v="ISEL-1.50"/>
    <n v="1"/>
    <s v="NO TIENE L3OUT"/>
    <n v="122"/>
    <n v="96"/>
  </r>
  <r>
    <n v="171"/>
    <x v="0"/>
    <x v="225"/>
    <s v="eth1/50"/>
    <x v="0"/>
    <x v="0"/>
    <x v="0"/>
    <s v="SRS (Speedy Rating System)"/>
    <x v="6"/>
    <b v="0"/>
    <s v="No está en VPC"/>
    <n v="171"/>
    <s v="INTPG_ACC_171_1.50"/>
    <s v="ISEL-1.50"/>
    <n v="1"/>
    <s v="NO TIENE L3OUT"/>
    <n v="114"/>
    <n v="96"/>
  </r>
  <r>
    <n v="421"/>
    <x v="1"/>
    <x v="226"/>
    <s v="eth1/50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50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50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50"/>
    <x v="0"/>
    <x v="0"/>
    <x v="0"/>
    <s v="SRS (Speedy Rating System)"/>
    <x v="6"/>
    <b v="0"/>
    <s v="No está en VPC"/>
    <n v="172"/>
    <s v="INTPG_ACC_172_1.50"/>
    <s v="ISEL-1.50"/>
    <n v="1"/>
    <s v="NO TIENE L3OUT"/>
    <n v="104"/>
    <n v="96"/>
  </r>
  <r>
    <n v="420"/>
    <x v="1"/>
    <x v="230"/>
    <s v="eth1/50"/>
    <x v="0"/>
    <x v="1"/>
    <x v="1"/>
    <s v="PORTA_EXP_ILOM"/>
    <x v="6"/>
    <b v="0"/>
    <s v="No está en VPC"/>
    <n v="420"/>
    <s v="INTPG_ACC_420_1.50"/>
    <s v="ISEL-1.50"/>
    <n v="1"/>
    <s v="NO TIENE L3OUT"/>
    <n v="158"/>
    <n v="96"/>
  </r>
  <r>
    <n v="423"/>
    <x v="1"/>
    <x v="231"/>
    <s v="eth1/50"/>
    <x v="0"/>
    <x v="0"/>
    <x v="0"/>
    <s v="HP Proliant DL380p(A)"/>
    <x v="6"/>
    <b v="0"/>
    <s v="No está en VPC"/>
    <n v="423"/>
    <s v="INTPG_ACC_423_1.50"/>
    <s v="ISEL-1.50"/>
    <n v="1"/>
    <s v="NO TIENE L3OUT"/>
    <n v="86"/>
    <n v="96"/>
  </r>
  <r>
    <n v="415"/>
    <x v="1"/>
    <x v="232"/>
    <s v="eth1/50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50"/>
    <x v="1"/>
    <x v="1"/>
    <x v="2"/>
    <s v="Citrix Silot"/>
    <x v="6"/>
    <b v="0"/>
    <s v="No está en VPC"/>
    <n v="102"/>
    <s v="INTPG_ACC_102_1.50"/>
    <s v="ISEL-1.50"/>
    <n v="0"/>
    <s v="NO TIENE L3OUT"/>
    <n v="228"/>
    <n v="96"/>
  </r>
  <r>
    <n v="863"/>
    <x v="2"/>
    <x v="234"/>
    <s v="eth1/50"/>
    <x v="0"/>
    <x v="0"/>
    <x v="0"/>
    <s v="LINK_HACIA_SPINE"/>
    <x v="0"/>
    <b v="0"/>
    <s v="No está en VPC"/>
    <n v="863"/>
    <s v="NO EXISTE PG"/>
    <s v="NO EXISTE ISEL"/>
    <n v="0"/>
    <s v="NO TIENE L3OUT"/>
    <n v="8"/>
    <n v="54"/>
  </r>
  <r>
    <n v="876"/>
    <x v="2"/>
    <x v="235"/>
    <s v="eth1/50"/>
    <x v="0"/>
    <x v="0"/>
    <x v="0"/>
    <s v="LINK_HACIA_SPINE"/>
    <x v="4"/>
    <b v="0"/>
    <s v="No está en VPC"/>
    <n v="876"/>
    <s v="NO EXISTE PG"/>
    <s v="NO EXISTE ISEL"/>
    <n v="0"/>
    <s v="NO TIENE L3OUT"/>
    <n v="92"/>
    <n v="54"/>
  </r>
  <r>
    <n v="877"/>
    <x v="2"/>
    <x v="236"/>
    <s v="eth1/50"/>
    <x v="1"/>
    <x v="1"/>
    <x v="3"/>
    <s v="LINK_HACIA_SPINE_PUERTO_FALLA"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50"/>
    <x v="0"/>
    <x v="0"/>
    <x v="0"/>
    <s v="INTRANET CORPORATIVA"/>
    <x v="6"/>
    <b v="0"/>
    <s v="No está en VPC"/>
    <n v="122"/>
    <s v="INTPG_ACC_122_1.50"/>
    <s v="ISEL-1.50"/>
    <n v="1"/>
    <s v="NO TIENE L3OUT"/>
    <n v="148"/>
    <n v="96"/>
  </r>
  <r>
    <n v="157"/>
    <x v="0"/>
    <x v="238"/>
    <s v="eth1/50"/>
    <x v="0"/>
    <x v="0"/>
    <x v="0"/>
    <s v="PORTAL CAUTIVO"/>
    <x v="6"/>
    <b v="0"/>
    <s v="No está en VPC"/>
    <n v="157"/>
    <s v="INTPG_ACC_157_1.50"/>
    <s v="ISEL-1.50"/>
    <n v="1"/>
    <s v="NO TIENE L3OUT"/>
    <n v="202"/>
    <n v="96"/>
  </r>
  <r>
    <n v="408"/>
    <x v="1"/>
    <x v="239"/>
    <s v="eth1/50"/>
    <x v="0"/>
    <x v="0"/>
    <x v="0"/>
    <s v="IBMWASII_01"/>
    <x v="6"/>
    <b v="0"/>
    <s v="No está en VPC"/>
    <n v="408"/>
    <s v="INTPG_ACC_408_1.50"/>
    <s v="ISEL-1.50"/>
    <n v="1"/>
    <s v="NO TIENE L3OUT"/>
    <n v="152"/>
    <n v="96"/>
  </r>
  <r>
    <n v="405"/>
    <x v="1"/>
    <x v="240"/>
    <s v="eth1/50"/>
    <x v="0"/>
    <x v="1"/>
    <x v="1"/>
    <s v="SYS_BAY_CONSOLIDA"/>
    <x v="6"/>
    <b v="0"/>
    <s v="No está en VPC"/>
    <n v="405"/>
    <s v="INTPG_ACC_405_1.50"/>
    <s v="ISEL-1.50"/>
    <n v="1"/>
    <s v="NO TIENE L3OUT"/>
    <n v="138"/>
    <n v="96"/>
  </r>
  <r>
    <n v="169"/>
    <x v="0"/>
    <x v="241"/>
    <s v="eth1/50"/>
    <x v="0"/>
    <x v="0"/>
    <x v="0"/>
    <s v="TO-ITHFDENBURMS03"/>
    <x v="6"/>
    <b v="0"/>
    <s v="No está en VPC"/>
    <n v="169"/>
    <s v="INTPG_VPC_167_1.48_169_1.50"/>
    <s v="ISEL-1.50"/>
    <n v="1"/>
    <s v="NO TIENE L3OUT"/>
    <n v="76"/>
    <n v="96"/>
  </r>
  <r>
    <n v="165"/>
    <x v="0"/>
    <x v="242"/>
    <s v="eth1/50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50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50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50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50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50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50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50"/>
    <x v="0"/>
    <x v="0"/>
    <x v="0"/>
    <s v="VIOSDES4-VIOSDES4_CLT"/>
    <x v="6"/>
    <b v="0"/>
    <s v="No está en VPC"/>
    <n v="406"/>
    <s v="INTPG_VPC_404_1.49-50_406_1.49-50"/>
    <s v="ISEL-1.50"/>
    <n v="1"/>
    <s v="NO TIENE L3OUT"/>
    <n v="82"/>
    <n v="96"/>
  </r>
  <r>
    <n v="414"/>
    <x v="1"/>
    <x v="250"/>
    <s v="eth1/50"/>
    <x v="0"/>
    <x v="0"/>
    <x v="0"/>
    <s v="APMS02_S12"/>
    <x v="6"/>
    <b v="0"/>
    <s v="No está en VPC"/>
    <n v="414"/>
    <s v="INTPG_ACC_414_1.50"/>
    <s v="ISEL-1.50"/>
    <n v="1"/>
    <s v="NO TIENE L3OUT"/>
    <n v="144"/>
    <n v="96"/>
  </r>
  <r>
    <n v="416"/>
    <x v="1"/>
    <x v="251"/>
    <s v="eth1/50"/>
    <x v="0"/>
    <x v="0"/>
    <x v="0"/>
    <s v="R9MEXIXTDAY-3"/>
    <x v="6"/>
    <b v="0"/>
    <s v="No está en VPC"/>
    <n v="416"/>
    <s v="INTPG_ACC_416_1.50"/>
    <s v="ISEL-1.50"/>
    <n v="1"/>
    <s v="NO TIENE L3OUT"/>
    <n v="110"/>
    <n v="96"/>
  </r>
  <r>
    <n v="418"/>
    <x v="1"/>
    <x v="252"/>
    <s v="eth1/50"/>
    <x v="0"/>
    <x v="0"/>
    <x v="0"/>
    <s v="IXTSD970A"/>
    <x v="6"/>
    <b v="0"/>
    <s v="No está en VPC"/>
    <n v="418"/>
    <s v="INTPG_ACC_418_1.50"/>
    <s v="ISEL-1.50"/>
    <n v="1"/>
    <s v="NO TIENE L3OUT"/>
    <n v="152"/>
    <n v="96"/>
  </r>
  <r>
    <n v="413"/>
    <x v="1"/>
    <x v="253"/>
    <s v="eth1/50"/>
    <x v="0"/>
    <x v="0"/>
    <x v="0"/>
    <s v="To-uxingemc3 ldom1 ldom2 ldom3"/>
    <x v="6"/>
    <b v="0"/>
    <s v="No está en VPC"/>
    <n v="413"/>
    <s v="INTPG_ACC_413_1.50"/>
    <s v="ISEL-1.50"/>
    <n v="1"/>
    <s v="NO TIENE L3OUT"/>
    <n v="126"/>
    <n v="96"/>
  </r>
  <r>
    <n v="403"/>
    <x v="1"/>
    <x v="254"/>
    <s v="eth1/50"/>
    <x v="0"/>
    <x v="0"/>
    <x v="0"/>
    <s v="ITHSGHP0"/>
    <x v="6"/>
    <b v="0"/>
    <s v="No está en VPC"/>
    <n v="403"/>
    <s v="INTPG_ACC_403_1.50"/>
    <s v="ISEL-1.50"/>
    <n v="1"/>
    <s v="NO TIENE L3OUT"/>
    <n v="150"/>
    <n v="96"/>
  </r>
  <r>
    <n v="125"/>
    <x v="0"/>
    <x v="255"/>
    <s v="eth1/50"/>
    <x v="0"/>
    <x v="0"/>
    <x v="0"/>
    <s v="CIRCULO Azul(UXCA)"/>
    <x v="6"/>
    <b v="0"/>
    <s v="No está en VPC"/>
    <n v="125"/>
    <s v="INTPG_ACC_125_1.50"/>
    <s v="ISEL-1.50"/>
    <n v="1"/>
    <s v="NO TIENE L3OUT"/>
    <n v="72"/>
    <n v="96"/>
  </r>
  <r>
    <n v="166"/>
    <x v="0"/>
    <x v="256"/>
    <s v="eth1/50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50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50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50"/>
    <x v="0"/>
    <x v="0"/>
    <x v="0"/>
    <s v="COMISIONES"/>
    <x v="6"/>
    <b v="0"/>
    <s v="No está en VPC"/>
    <n v="106"/>
    <s v="INTPG_ACC_106_1.50"/>
    <s v="ISEL-1.50"/>
    <n v="1"/>
    <s v="NO TIENE L3OUT"/>
    <n v="122"/>
    <n v="96"/>
  </r>
  <r>
    <n v="126"/>
    <x v="0"/>
    <x v="260"/>
    <s v="eth1/50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50"/>
    <x v="0"/>
    <x v="0"/>
    <x v="0"/>
    <s v="HP Proliant DL380p(f)"/>
    <x v="6"/>
    <b v="0"/>
    <s v="No está en VPC"/>
    <n v="425"/>
    <s v="INTPG_ACC_425_1.50"/>
    <s v="ISEL-1.50"/>
    <n v="1"/>
    <s v="NO TIENE L3OUT"/>
    <n v="86"/>
    <n v="96"/>
  </r>
  <r>
    <n v="151"/>
    <x v="0"/>
    <x v="262"/>
    <s v="eth1/50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50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50"/>
    <x v="0"/>
    <x v="0"/>
    <x v="0"/>
    <s v="SPECSERVER1_ETH0"/>
    <x v="6"/>
    <b v="0"/>
    <s v="No está en VPC"/>
    <n v="419"/>
    <s v="INTPG_ACC_419_1.50"/>
    <s v="ISEL-1.50"/>
    <n v="1"/>
    <s v="NO TIENE L3OUT"/>
    <n v="70"/>
    <n v="96"/>
  </r>
  <r>
    <n v="155"/>
    <x v="0"/>
    <x v="265"/>
    <s v="eth1/50"/>
    <x v="0"/>
    <x v="0"/>
    <x v="0"/>
    <s v="uxcofeco"/>
    <x v="6"/>
    <b v="0"/>
    <s v="No está en VPC"/>
    <n v="155"/>
    <s v="INTPG_ACC_155_1.50"/>
    <s v="ISEL-1.50"/>
    <n v="1"/>
    <s v="NO TIENE L3OUT"/>
    <n v="198"/>
    <n v="96"/>
  </r>
  <r>
    <n v="409"/>
    <x v="1"/>
    <x v="266"/>
    <s v="eth1/50"/>
    <x v="0"/>
    <x v="0"/>
    <x v="0"/>
    <s v="IXTPPMZS02"/>
    <x v="6"/>
    <b v="0"/>
    <s v="No está en VPC"/>
    <n v="409"/>
    <s v="INTPG_ACC_409_1.50"/>
    <s v="ISEL-1.50"/>
    <n v="1"/>
    <s v="NO TIENE L3OUT"/>
    <n v="128"/>
    <n v="96"/>
  </r>
  <r>
    <n v="422"/>
    <x v="1"/>
    <x v="267"/>
    <s v="eth1/50"/>
    <x v="0"/>
    <x v="0"/>
    <x v="0"/>
    <s v="TEMIPCLOUD_B12"/>
    <x v="6"/>
    <b v="0"/>
    <s v="No está en VPC"/>
    <n v="422"/>
    <s v="INTPG_ACC_422_1.50"/>
    <s v="ISEL-1.50"/>
    <n v="1"/>
    <s v="NO TIENE L3OUT"/>
    <n v="182"/>
    <n v="96"/>
  </r>
  <r>
    <n v="436"/>
    <x v="1"/>
    <x v="268"/>
    <s v="eth1/50"/>
    <x v="0"/>
    <x v="0"/>
    <x v="0"/>
    <s v="TC3_ithmomce1_VC1_X1"/>
    <x v="6"/>
    <b v="0"/>
    <s v="No está en VPC"/>
    <n v="436"/>
    <s v="INTPG_ACC_436_1.50"/>
    <s v="ISEL-1.50"/>
    <n v="7"/>
    <s v="NO TIENE L3OUT"/>
    <n v="172"/>
    <n v="96"/>
  </r>
  <r>
    <n v="410"/>
    <x v="1"/>
    <x v="269"/>
    <s v="eth1/50"/>
    <x v="0"/>
    <x v="0"/>
    <x v="0"/>
    <s v="KPAM01_S11"/>
    <x v="6"/>
    <b v="0"/>
    <s v="No está en VPC"/>
    <n v="410"/>
    <s v="INTPG_ACC_410_1.50"/>
    <s v="ISEL-1.50"/>
    <n v="1"/>
    <s v="NO TIENE L3OUT"/>
    <n v="178"/>
    <n v="96"/>
  </r>
  <r>
    <n v="161"/>
    <x v="0"/>
    <x v="270"/>
    <s v="eth1/50"/>
    <x v="0"/>
    <x v="0"/>
    <x v="0"/>
    <s v="CELCITE"/>
    <x v="6"/>
    <b v="0"/>
    <s v="No está en VPC"/>
    <n v="161"/>
    <s v="INTPG_ACC_161_1.50"/>
    <s v="ISEL-1.50"/>
    <n v="1"/>
    <s v="NO TIENE L3OUT"/>
    <n v="102"/>
    <n v="96"/>
  </r>
  <r>
    <n v="411"/>
    <x v="1"/>
    <x v="271"/>
    <s v="eth1/50"/>
    <x v="0"/>
    <x v="0"/>
    <x v="0"/>
    <s v="TO-SERVICE AVAILABILITY1-PRINCIPAL"/>
    <x v="6"/>
    <b v="0"/>
    <s v="No está en VPC"/>
    <n v="411"/>
    <s v="INTPG_ACC_411_1.50"/>
    <s v="ISEL-1.50"/>
    <n v="1"/>
    <s v="NO TIENE L3OUT"/>
    <n v="96"/>
    <n v="96"/>
  </r>
  <r>
    <n v="116"/>
    <x v="0"/>
    <x v="272"/>
    <s v="eth1/50"/>
    <x v="0"/>
    <x v="1"/>
    <x v="1"/>
    <s v="NOTIFICATION SERVER TANGO"/>
    <x v="6"/>
    <b v="0"/>
    <s v="No está en VPC"/>
    <n v="116"/>
    <s v="INTPG_ACC_116_1.50"/>
    <s v="ISEL-1.50"/>
    <n v="1"/>
    <s v="NO TIENE L3OUT"/>
    <n v="148"/>
    <n v="96"/>
  </r>
  <r>
    <n v="412"/>
    <x v="1"/>
    <x v="273"/>
    <s v="eth1/50"/>
    <x v="0"/>
    <x v="0"/>
    <x v="0"/>
    <s v="IBMWASII_01"/>
    <x v="6"/>
    <b v="0"/>
    <s v="No está en VPC"/>
    <n v="412"/>
    <s v="INTPG_ACC_412_1.50"/>
    <s v="ISEL-1.50"/>
    <n v="1"/>
    <s v="NO TIENE L3OUT"/>
    <n v="126"/>
    <n v="96"/>
  </r>
  <r>
    <n v="120"/>
    <x v="0"/>
    <x v="274"/>
    <s v="eth1/50"/>
    <x v="0"/>
    <x v="0"/>
    <x v="0"/>
    <s v="IXTTRAP-ETL"/>
    <x v="6"/>
    <b v="0"/>
    <s v="No está en VPC"/>
    <n v="120"/>
    <s v="INTPG_ACC_120_1.50"/>
    <s v="ISEL-1.50"/>
    <n v="1"/>
    <s v="NO TIENE L3OUT"/>
    <n v="158"/>
    <n v="96"/>
  </r>
  <r>
    <n v="404"/>
    <x v="1"/>
    <x v="275"/>
    <s v="eth1/50"/>
    <x v="0"/>
    <x v="0"/>
    <x v="0"/>
    <s v="VIOSDES4-VIOSDES4_CLT"/>
    <x v="6"/>
    <b v="0"/>
    <s v="No está en VPC"/>
    <n v="404"/>
    <s v="INTPG_VPC_404_1.49-50_406_1.49-50"/>
    <s v="ISEL-1.50"/>
    <n v="1"/>
    <s v="NO TIENE L3OUT"/>
    <n v="92"/>
    <n v="96"/>
  </r>
  <r>
    <n v="167"/>
    <x v="0"/>
    <x v="276"/>
    <s v="eth1/50"/>
    <x v="0"/>
    <x v="0"/>
    <x v="0"/>
    <s v="TO-ITHFDENBURMS05"/>
    <x v="6"/>
    <b v="0"/>
    <s v="No está en VPC"/>
    <n v="167"/>
    <s v="INTPG_VPC_167_1.50_169_1.54"/>
    <s v="ISEL-1.50"/>
    <n v="1"/>
    <s v="NO TIENE L3OUT"/>
    <n v="68"/>
    <n v="96"/>
  </r>
  <r>
    <n v="428"/>
    <x v="1"/>
    <x v="277"/>
    <s v="eth1/50"/>
    <x v="0"/>
    <x v="0"/>
    <x v="0"/>
    <s v="eth0_vert01hpov_Primario"/>
    <x v="6"/>
    <b v="0"/>
    <s v="No está en VPC"/>
    <n v="428"/>
    <s v="INTPG_ACC_428_1.50"/>
    <s v="ISEL-1.50"/>
    <n v="1"/>
    <s v="NO TIENE L3OUT"/>
    <n v="102"/>
    <n v="96"/>
  </r>
  <r>
    <n v="128"/>
    <x v="0"/>
    <x v="0"/>
    <s v="eth1/51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51"/>
    <x v="0"/>
    <x v="1"/>
    <x v="3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51"/>
    <x v="0"/>
    <x v="1"/>
    <x v="3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51"/>
    <x v="0"/>
    <x v="1"/>
    <x v="3"/>
    <m/>
    <x v="0"/>
    <b v="0"/>
    <s v="No está en VPC"/>
    <n v="101"/>
    <s v="NO EXISTE PG"/>
    <s v="NO EXISTE ISEL"/>
    <n v="0"/>
    <s v="NO TIENE L3OUT"/>
    <n v="114"/>
    <n v="54"/>
  </r>
  <r>
    <n v="160"/>
    <x v="0"/>
    <x v="4"/>
    <s v="eth1/51"/>
    <x v="0"/>
    <x v="1"/>
    <x v="3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51"/>
    <x v="0"/>
    <x v="1"/>
    <x v="3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51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51"/>
    <x v="0"/>
    <x v="1"/>
    <x v="3"/>
    <m/>
    <x v="0"/>
    <b v="0"/>
    <s v="No está en VPC"/>
    <n v="401"/>
    <s v="NO EXISTE PG"/>
    <s v="NO EXISTE ISEL"/>
    <n v="0"/>
    <s v="NO TIENE L3OUT"/>
    <n v="40"/>
    <n v="54"/>
  </r>
  <r>
    <n v="402"/>
    <x v="1"/>
    <x v="8"/>
    <s v="eth1/51"/>
    <x v="0"/>
    <x v="1"/>
    <x v="3"/>
    <m/>
    <x v="0"/>
    <b v="0"/>
    <s v="No está en VPC"/>
    <n v="402"/>
    <s v="NO EXISTE PG"/>
    <s v="NO EXISTE ISEL"/>
    <n v="0"/>
    <s v="NO TIENE L3OUT"/>
    <n v="36"/>
    <n v="54"/>
  </r>
  <r>
    <n v="130"/>
    <x v="0"/>
    <x v="11"/>
    <s v="eth1/51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51"/>
    <x v="0"/>
    <x v="1"/>
    <x v="3"/>
    <m/>
    <x v="0"/>
    <b v="0"/>
    <s v="No está en VPC"/>
    <n v="150"/>
    <s v="NO EXISTE PG"/>
    <s v="NO EXISTE ISEL"/>
    <n v="0"/>
    <s v="NO TIENE L3OUT"/>
    <n v="118"/>
    <n v="54"/>
  </r>
  <r>
    <n v="131"/>
    <x v="0"/>
    <x v="13"/>
    <s v="eth1/51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424"/>
    <x v="1"/>
    <x v="18"/>
    <s v="eth1/51"/>
    <x v="0"/>
    <x v="1"/>
    <x v="3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51"/>
    <x v="1"/>
    <x v="1"/>
    <x v="3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51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51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51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51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51"/>
    <x v="0"/>
    <x v="0"/>
    <x v="0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51"/>
    <x v="1"/>
    <x v="1"/>
    <x v="3"/>
    <m/>
    <x v="0"/>
    <b v="0"/>
    <s v="No está en VPC"/>
    <n v="431"/>
    <s v="NO EXISTE PG"/>
    <s v="NO EXISTE ISEL"/>
    <n v="0"/>
    <s v="NO TIENE L3OUT"/>
    <n v="46"/>
    <n v="54"/>
  </r>
  <r>
    <n v="433"/>
    <x v="1"/>
    <x v="27"/>
    <s v="eth1/51"/>
    <x v="1"/>
    <x v="1"/>
    <x v="3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51"/>
    <x v="1"/>
    <x v="1"/>
    <x v="3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51"/>
    <x v="1"/>
    <x v="1"/>
    <x v="3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51"/>
    <x v="1"/>
    <x v="1"/>
    <x v="3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51"/>
    <x v="1"/>
    <x v="1"/>
    <x v="3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51"/>
    <x v="1"/>
    <x v="1"/>
    <x v="3"/>
    <m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51"/>
    <x v="1"/>
    <x v="1"/>
    <x v="3"/>
    <m/>
    <x v="0"/>
    <b v="0"/>
    <s v="No está en VPC"/>
    <n v="712"/>
    <s v="NO EXISTE PG"/>
    <s v="NO EXISTE ISEL"/>
    <n v="0"/>
    <s v="NO TIENE L3OUT"/>
    <n v="32"/>
    <n v="54"/>
  </r>
  <r>
    <n v="719"/>
    <x v="2"/>
    <x v="34"/>
    <s v="eth1/51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51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51"/>
    <x v="1"/>
    <x v="1"/>
    <x v="3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51"/>
    <x v="1"/>
    <x v="1"/>
    <x v="3"/>
    <m/>
    <x v="0"/>
    <b v="0"/>
    <s v="No está en VPC"/>
    <n v="711"/>
    <s v="NO EXISTE PG"/>
    <s v="NO EXISTE ISEL"/>
    <n v="0"/>
    <s v="NO TIENE L3OUT"/>
    <n v="16"/>
    <n v="54"/>
  </r>
  <r>
    <n v="716"/>
    <x v="2"/>
    <x v="38"/>
    <s v="eth1/51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51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51"/>
    <x v="1"/>
    <x v="1"/>
    <x v="3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51"/>
    <x v="0"/>
    <x v="1"/>
    <x v="3"/>
    <m/>
    <x v="0"/>
    <b v="0"/>
    <s v="No está en VPC"/>
    <n v="446"/>
    <s v="NO EXISTE PG"/>
    <s v="NO EXISTE ISEL"/>
    <n v="0"/>
    <s v="NO TIENE L3OUT"/>
    <n v="198"/>
    <n v="54"/>
  </r>
  <r>
    <n v="444"/>
    <x v="1"/>
    <x v="42"/>
    <s v="eth1/51"/>
    <x v="0"/>
    <x v="1"/>
    <x v="3"/>
    <m/>
    <x v="0"/>
    <b v="0"/>
    <s v="No está en VPC"/>
    <n v="444"/>
    <s v="NO EXISTE PG"/>
    <s v="NO EXISTE ISEL"/>
    <n v="0"/>
    <s v="NO TIENE L3OUT"/>
    <n v="234"/>
    <n v="54"/>
  </r>
  <r>
    <n v="701"/>
    <x v="2"/>
    <x v="43"/>
    <s v="eth1/51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51"/>
    <x v="1"/>
    <x v="1"/>
    <x v="3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51"/>
    <x v="1"/>
    <x v="1"/>
    <x v="3"/>
    <m/>
    <x v="0"/>
    <b v="0"/>
    <s v="No está en VPC"/>
    <n v="448"/>
    <s v="NO EXISTE PG"/>
    <s v="NO EXISTE ISEL"/>
    <n v="0"/>
    <s v="NO TIENE L3OUT"/>
    <n v="46"/>
    <n v="54"/>
  </r>
  <r>
    <n v="704"/>
    <x v="2"/>
    <x v="46"/>
    <s v="eth1/51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51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51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51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51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51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51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51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51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51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51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51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51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51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51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51"/>
    <x v="0"/>
    <x v="1"/>
    <x v="3"/>
    <m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51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51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51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51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51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51"/>
    <x v="1"/>
    <x v="1"/>
    <x v="3"/>
    <m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51"/>
    <x v="1"/>
    <x v="1"/>
    <x v="3"/>
    <m/>
    <x v="0"/>
    <b v="0"/>
    <s v="No está en VPC"/>
    <n v="780"/>
    <s v="NO EXISTE PG"/>
    <s v="NO EXISTE ISEL"/>
    <n v="0"/>
    <s v="NO TIENE L3OUT"/>
    <n v="26"/>
    <n v="54"/>
  </r>
  <r>
    <n v="812"/>
    <x v="2"/>
    <x v="70"/>
    <s v="eth1/51"/>
    <x v="1"/>
    <x v="1"/>
    <x v="3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51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51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51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51"/>
    <x v="0"/>
    <x v="1"/>
    <x v="3"/>
    <m/>
    <x v="0"/>
    <b v="0"/>
    <s v="No está en VPC"/>
    <n v="824"/>
    <s v="NO EXISTE PG"/>
    <s v="NO EXISTE ISEL"/>
    <n v="0"/>
    <s v="NO TIENE L3OUT"/>
    <n v="70"/>
    <n v="54"/>
  </r>
  <r>
    <n v="819"/>
    <x v="2"/>
    <x v="75"/>
    <s v="eth1/51"/>
    <x v="0"/>
    <x v="1"/>
    <x v="3"/>
    <m/>
    <x v="0"/>
    <b v="0"/>
    <s v="No está en VPC"/>
    <n v="819"/>
    <s v="NO EXISTE PG"/>
    <s v="NO EXISTE ISEL"/>
    <n v="0"/>
    <s v="NO TIENE L3OUT"/>
    <n v="70"/>
    <n v="54"/>
  </r>
  <r>
    <n v="737"/>
    <x v="2"/>
    <x v="76"/>
    <s v="eth1/51"/>
    <x v="0"/>
    <x v="1"/>
    <x v="3"/>
    <m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51"/>
    <x v="1"/>
    <x v="1"/>
    <x v="3"/>
    <m/>
    <x v="0"/>
    <b v="0"/>
    <s v="No está en VPC"/>
    <n v="844"/>
    <s v="NO EXISTE PG"/>
    <s v="NO EXISTE ISEL"/>
    <n v="0"/>
    <s v="NO TIENE L3OUT"/>
    <n v="282"/>
    <n v="54"/>
  </r>
  <r>
    <n v="843"/>
    <x v="2"/>
    <x v="78"/>
    <s v="eth1/51"/>
    <x v="1"/>
    <x v="1"/>
    <x v="3"/>
    <m/>
    <x v="0"/>
    <b v="0"/>
    <s v="No está en VPC"/>
    <n v="843"/>
    <s v="NO EXISTE PG"/>
    <s v="NO EXISTE ISEL"/>
    <n v="0"/>
    <s v="NO TIENE L3OUT"/>
    <n v="38"/>
    <n v="54"/>
  </r>
  <r>
    <n v="797"/>
    <x v="2"/>
    <x v="79"/>
    <s v="eth1/51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51"/>
    <x v="1"/>
    <x v="1"/>
    <x v="3"/>
    <m/>
    <x v="0"/>
    <b v="0"/>
    <s v="No está en VPC"/>
    <n v="839"/>
    <s v="NO EXISTE PG"/>
    <s v="NO EXISTE ISEL"/>
    <n v="0"/>
    <s v="NO TIENE L3OUT"/>
    <n v="0"/>
    <n v="54"/>
  </r>
  <r>
    <n v="847"/>
    <x v="2"/>
    <x v="81"/>
    <s v="eth1/51"/>
    <x v="1"/>
    <x v="1"/>
    <x v="3"/>
    <m/>
    <x v="0"/>
    <b v="0"/>
    <s v="No está en VPC"/>
    <n v="847"/>
    <s v="NO EXISTE PG"/>
    <s v="NO EXISTE ISEL"/>
    <n v="0"/>
    <s v="NO TIENE L3OUT"/>
    <n v="204"/>
    <n v="54"/>
  </r>
  <r>
    <n v="848"/>
    <x v="2"/>
    <x v="82"/>
    <s v="eth1/51"/>
    <x v="1"/>
    <x v="1"/>
    <x v="3"/>
    <m/>
    <x v="0"/>
    <b v="0"/>
    <s v="No está en VPC"/>
    <n v="848"/>
    <s v="NO EXISTE PG"/>
    <s v="NO EXISTE ISEL"/>
    <n v="0"/>
    <s v="NO TIENE L3OUT"/>
    <n v="254"/>
    <n v="54"/>
  </r>
  <r>
    <n v="846"/>
    <x v="2"/>
    <x v="83"/>
    <s v="eth1/51"/>
    <x v="1"/>
    <x v="1"/>
    <x v="3"/>
    <m/>
    <x v="0"/>
    <b v="0"/>
    <s v="No está en VPC"/>
    <n v="846"/>
    <s v="NO EXISTE PG"/>
    <s v="NO EXISTE ISEL"/>
    <n v="0"/>
    <s v="NO TIENE L3OUT"/>
    <n v="242"/>
    <n v="54"/>
  </r>
  <r>
    <n v="838"/>
    <x v="2"/>
    <x v="84"/>
    <s v="eth1/51"/>
    <x v="1"/>
    <x v="1"/>
    <x v="3"/>
    <m/>
    <x v="0"/>
    <b v="0"/>
    <s v="No está en VPC"/>
    <n v="838"/>
    <s v="NO EXISTE PG"/>
    <s v="NO EXISTE ISEL"/>
    <n v="0"/>
    <s v="NO TIENE L3OUT"/>
    <n v="38"/>
    <n v="54"/>
  </r>
  <r>
    <n v="849"/>
    <x v="2"/>
    <x v="85"/>
    <s v="eth1/51"/>
    <x v="1"/>
    <x v="1"/>
    <x v="3"/>
    <m/>
    <x v="0"/>
    <b v="0"/>
    <s v="No está en VPC"/>
    <n v="849"/>
    <s v="NO EXISTE PG"/>
    <s v="NO EXISTE ISEL"/>
    <n v="0"/>
    <s v="NO TIENE L3OUT"/>
    <n v="286"/>
    <n v="54"/>
  </r>
  <r>
    <n v="845"/>
    <x v="2"/>
    <x v="86"/>
    <s v="eth1/51"/>
    <x v="1"/>
    <x v="1"/>
    <x v="3"/>
    <m/>
    <x v="0"/>
    <b v="0"/>
    <s v="No está en VPC"/>
    <n v="845"/>
    <s v="NO EXISTE PG"/>
    <s v="NO EXISTE ISEL"/>
    <n v="0"/>
    <s v="NO TIENE L3OUT"/>
    <n v="258"/>
    <n v="54"/>
  </r>
  <r>
    <n v="873"/>
    <x v="2"/>
    <x v="87"/>
    <s v="eth1/51"/>
    <x v="1"/>
    <x v="1"/>
    <x v="3"/>
    <m/>
    <x v="0"/>
    <b v="0"/>
    <s v="No está en VPC"/>
    <n v="873"/>
    <s v="NO EXISTE PG"/>
    <s v="NO EXISTE ISEL"/>
    <n v="0"/>
    <s v="NO TIENE L3OUT"/>
    <n v="248"/>
    <n v="54"/>
  </r>
  <r>
    <n v="864"/>
    <x v="2"/>
    <x v="88"/>
    <s v="eth1/51"/>
    <x v="1"/>
    <x v="1"/>
    <x v="3"/>
    <m/>
    <x v="0"/>
    <b v="0"/>
    <s v="No está en VPC"/>
    <n v="864"/>
    <s v="NO EXISTE PG"/>
    <s v="NO EXISTE ISEL"/>
    <n v="0"/>
    <s v="NO TIENE L3OUT"/>
    <n v="0"/>
    <n v="54"/>
  </r>
  <r>
    <n v="836"/>
    <x v="2"/>
    <x v="89"/>
    <s v="eth1/51"/>
    <x v="1"/>
    <x v="1"/>
    <x v="3"/>
    <m/>
    <x v="0"/>
    <b v="0"/>
    <s v="No está en VPC"/>
    <n v="836"/>
    <s v="NO EXISTE PG"/>
    <s v="NO EXISTE ISEL"/>
    <n v="0"/>
    <s v="NO TIENE L3OUT"/>
    <n v="0"/>
    <n v="54"/>
  </r>
  <r>
    <n v="834"/>
    <x v="2"/>
    <x v="90"/>
    <s v="eth1/51"/>
    <x v="1"/>
    <x v="1"/>
    <x v="3"/>
    <m/>
    <x v="0"/>
    <b v="0"/>
    <s v="No está en VPC"/>
    <n v="834"/>
    <s v="NO EXISTE PG"/>
    <s v="NO EXISTE ISEL"/>
    <n v="0"/>
    <s v="NO TIENE L3OUT"/>
    <n v="0"/>
    <n v="54"/>
  </r>
  <r>
    <n v="872"/>
    <x v="2"/>
    <x v="91"/>
    <s v="eth1/51"/>
    <x v="1"/>
    <x v="1"/>
    <x v="3"/>
    <m/>
    <x v="0"/>
    <b v="0"/>
    <s v="No está en VPC"/>
    <n v="872"/>
    <s v="NO EXISTE PG"/>
    <s v="NO EXISTE ISEL"/>
    <n v="0"/>
    <s v="NO TIENE L3OUT"/>
    <n v="288"/>
    <n v="54"/>
  </r>
  <r>
    <n v="842"/>
    <x v="2"/>
    <x v="92"/>
    <s v="eth1/51"/>
    <x v="1"/>
    <x v="1"/>
    <x v="3"/>
    <m/>
    <x v="0"/>
    <b v="0"/>
    <s v="No está en VPC"/>
    <n v="842"/>
    <s v="NO EXISTE PG"/>
    <s v="NO EXISTE ISEL"/>
    <n v="0"/>
    <s v="NO TIENE L3OUT"/>
    <n v="8"/>
    <n v="54"/>
  </r>
  <r>
    <n v="828"/>
    <x v="2"/>
    <x v="93"/>
    <s v="eth1/51"/>
    <x v="1"/>
    <x v="1"/>
    <x v="3"/>
    <m/>
    <x v="0"/>
    <b v="0"/>
    <s v="No está en VPC"/>
    <n v="828"/>
    <s v="NO EXISTE PG"/>
    <s v="NO EXISTE ISEL"/>
    <n v="0"/>
    <s v="NO TIENE L3OUT"/>
    <n v="192"/>
    <n v="54"/>
  </r>
  <r>
    <n v="870"/>
    <x v="2"/>
    <x v="94"/>
    <s v="eth1/51"/>
    <x v="1"/>
    <x v="1"/>
    <x v="3"/>
    <m/>
    <x v="0"/>
    <b v="0"/>
    <s v="No está en VPC"/>
    <n v="870"/>
    <s v="NO EXISTE PG"/>
    <s v="NO EXISTE ISEL"/>
    <n v="0"/>
    <s v="NO TIENE L3OUT"/>
    <n v="248"/>
    <n v="54"/>
  </r>
  <r>
    <n v="866"/>
    <x v="2"/>
    <x v="95"/>
    <s v="eth1/51"/>
    <x v="1"/>
    <x v="1"/>
    <x v="3"/>
    <m/>
    <x v="0"/>
    <b v="0"/>
    <s v="No está en VPC"/>
    <n v="866"/>
    <s v="NO EXISTE PG"/>
    <s v="NO EXISTE ISEL"/>
    <n v="0"/>
    <s v="NO TIENE L3OUT"/>
    <n v="8"/>
    <n v="54"/>
  </r>
  <r>
    <n v="862"/>
    <x v="2"/>
    <x v="96"/>
    <s v="eth1/51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51"/>
    <x v="1"/>
    <x v="1"/>
    <x v="3"/>
    <m/>
    <x v="0"/>
    <b v="0"/>
    <s v="No está en VPC"/>
    <n v="855"/>
    <s v="NO EXISTE PG"/>
    <s v="NO EXISTE ISEL"/>
    <n v="0"/>
    <s v="NO TIENE L3OUT"/>
    <n v="254"/>
    <n v="54"/>
  </r>
  <r>
    <n v="871"/>
    <x v="2"/>
    <x v="98"/>
    <s v="eth1/51"/>
    <x v="1"/>
    <x v="1"/>
    <x v="3"/>
    <m/>
    <x v="0"/>
    <b v="0"/>
    <s v="No está en VPC"/>
    <n v="871"/>
    <s v="NO EXISTE PG"/>
    <s v="NO EXISTE ISEL"/>
    <n v="0"/>
    <s v="NO TIENE L3OUT"/>
    <n v="246"/>
    <n v="54"/>
  </r>
  <r>
    <n v="841"/>
    <x v="2"/>
    <x v="99"/>
    <s v="eth1/51"/>
    <x v="1"/>
    <x v="1"/>
    <x v="3"/>
    <m/>
    <x v="0"/>
    <b v="0"/>
    <s v="No está en VPC"/>
    <n v="841"/>
    <s v="NO EXISTE PG"/>
    <s v="NO EXISTE ISEL"/>
    <n v="0"/>
    <s v="NO TIENE L3OUT"/>
    <n v="0"/>
    <n v="54"/>
  </r>
  <r>
    <n v="868"/>
    <x v="2"/>
    <x v="100"/>
    <s v="eth1/51"/>
    <x v="1"/>
    <x v="1"/>
    <x v="3"/>
    <m/>
    <x v="0"/>
    <b v="0"/>
    <s v="No está en VPC"/>
    <n v="868"/>
    <s v="NO EXISTE PG"/>
    <s v="NO EXISTE ISEL"/>
    <n v="0"/>
    <s v="NO TIENE L3OUT"/>
    <n v="246"/>
    <n v="54"/>
  </r>
  <r>
    <n v="869"/>
    <x v="2"/>
    <x v="101"/>
    <s v="eth1/51"/>
    <x v="1"/>
    <x v="1"/>
    <x v="3"/>
    <m/>
    <x v="0"/>
    <b v="0"/>
    <s v="No está en VPC"/>
    <n v="869"/>
    <s v="NO EXISTE PG"/>
    <s v="NO EXISTE ISEL"/>
    <n v="0"/>
    <s v="NO TIENE L3OUT"/>
    <n v="288"/>
    <n v="54"/>
  </r>
  <r>
    <n v="861"/>
    <x v="2"/>
    <x v="102"/>
    <s v="eth1/51"/>
    <x v="1"/>
    <x v="1"/>
    <x v="3"/>
    <m/>
    <x v="0"/>
    <b v="0"/>
    <s v="No está en VPC"/>
    <n v="861"/>
    <s v="NO EXISTE PG"/>
    <s v="NO EXISTE ISEL"/>
    <n v="0"/>
    <s v="NO TIENE L3OUT"/>
    <n v="8"/>
    <n v="54"/>
  </r>
  <r>
    <n v="874"/>
    <x v="2"/>
    <x v="103"/>
    <s v="eth1/51"/>
    <x v="1"/>
    <x v="1"/>
    <x v="3"/>
    <m/>
    <x v="4"/>
    <b v="0"/>
    <s v="No está en VPC"/>
    <n v="874"/>
    <s v="NO EXISTE PG"/>
    <s v="NO EXISTE ISEL"/>
    <n v="0"/>
    <s v="NO TIENE L3OUT"/>
    <n v="92"/>
    <n v="54"/>
  </r>
  <r>
    <n v="865"/>
    <x v="2"/>
    <x v="104"/>
    <s v="eth1/51"/>
    <x v="1"/>
    <x v="1"/>
    <x v="3"/>
    <m/>
    <x v="0"/>
    <b v="0"/>
    <s v="No está en VPC"/>
    <n v="865"/>
    <s v="NO EXISTE PG"/>
    <s v="NO EXISTE ISEL"/>
    <n v="0"/>
    <s v="NO TIENE L3OUT"/>
    <n v="0"/>
    <n v="54"/>
  </r>
  <r>
    <n v="753"/>
    <x v="2"/>
    <x v="105"/>
    <s v="eth1/51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51"/>
    <x v="1"/>
    <x v="1"/>
    <x v="3"/>
    <m/>
    <x v="0"/>
    <b v="0"/>
    <s v="No está en VPC"/>
    <n v="708"/>
    <s v="NO EXISTE PG"/>
    <s v="NO EXISTE ISEL"/>
    <n v="0"/>
    <s v="NO TIENE L3OUT"/>
    <n v="0"/>
    <n v="54"/>
  </r>
  <r>
    <n v="710"/>
    <x v="2"/>
    <x v="107"/>
    <s v="eth1/51"/>
    <x v="1"/>
    <x v="1"/>
    <x v="3"/>
    <m/>
    <x v="0"/>
    <b v="0"/>
    <s v="No está en VPC"/>
    <n v="710"/>
    <s v="NO EXISTE PG"/>
    <s v="NO EXISTE ISEL"/>
    <n v="0"/>
    <s v="NO TIENE L3OUT"/>
    <n v="16"/>
    <n v="54"/>
  </r>
  <r>
    <n v="713"/>
    <x v="2"/>
    <x v="108"/>
    <s v="eth1/51"/>
    <x v="1"/>
    <x v="1"/>
    <x v="3"/>
    <m/>
    <x v="0"/>
    <b v="0"/>
    <s v="No está en VPC"/>
    <n v="713"/>
    <s v="NO EXISTE PG"/>
    <s v="NO EXISTE ISEL"/>
    <n v="0"/>
    <s v="NO TIENE L3OUT"/>
    <n v="32"/>
    <n v="54"/>
  </r>
  <r>
    <n v="735"/>
    <x v="2"/>
    <x v="109"/>
    <s v="eth1/51"/>
    <x v="0"/>
    <x v="1"/>
    <x v="3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51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51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51"/>
    <x v="1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51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51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51"/>
    <x v="1"/>
    <x v="1"/>
    <x v="3"/>
    <m/>
    <x v="0"/>
    <b v="0"/>
    <s v="No está en VPC"/>
    <n v="826"/>
    <s v="NO EXISTE PG"/>
    <s v="NO EXISTE ISEL"/>
    <n v="0"/>
    <s v="NO TIENE L3OUT"/>
    <n v="12"/>
    <n v="54"/>
  </r>
  <r>
    <n v="726"/>
    <x v="2"/>
    <x v="117"/>
    <s v="eth1/51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51"/>
    <x v="0"/>
    <x v="1"/>
    <x v="3"/>
    <m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51"/>
    <x v="1"/>
    <x v="1"/>
    <x v="3"/>
    <m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51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51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51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51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51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51"/>
    <x v="1"/>
    <x v="1"/>
    <x v="3"/>
    <m/>
    <x v="0"/>
    <b v="0"/>
    <s v="No está en VPC"/>
    <n v="709"/>
    <s v="NO EXISTE PG"/>
    <s v="NO EXISTE ISEL"/>
    <n v="0"/>
    <s v="NO TIENE L3OUT"/>
    <n v="0"/>
    <n v="54"/>
  </r>
  <r>
    <n v="454"/>
    <x v="1"/>
    <x v="126"/>
    <s v="eth1/51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51"/>
    <x v="0"/>
    <x v="1"/>
    <x v="3"/>
    <m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51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51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51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51"/>
    <x v="0"/>
    <x v="1"/>
    <x v="3"/>
    <m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51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51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51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51"/>
    <x v="0"/>
    <x v="1"/>
    <x v="3"/>
    <m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51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51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51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51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51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51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51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51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51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51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51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51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51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51"/>
    <x v="1"/>
    <x v="1"/>
    <x v="3"/>
    <m/>
    <x v="0"/>
    <b v="0"/>
    <s v="No está en VPC"/>
    <n v="781"/>
    <s v="NO EXISTE PG"/>
    <s v="NO EXISTE ISEL"/>
    <n v="0"/>
    <s v="NO TIENE L3OUT"/>
    <n v="26"/>
    <n v="54"/>
  </r>
  <r>
    <n v="793"/>
    <x v="2"/>
    <x v="151"/>
    <s v="eth1/51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51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51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51"/>
    <x v="1"/>
    <x v="1"/>
    <x v="3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51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51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51"/>
    <x v="1"/>
    <x v="1"/>
    <x v="3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51"/>
    <x v="0"/>
    <x v="1"/>
    <x v="3"/>
    <m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51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51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51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51"/>
    <x v="1"/>
    <x v="1"/>
    <x v="3"/>
    <m/>
    <x v="0"/>
    <b v="0"/>
    <s v="No está en VPC"/>
    <n v="830"/>
    <s v="NO EXISTE PG"/>
    <s v="NO EXISTE ISEL"/>
    <n v="0"/>
    <s v="NO TIENE L3OUT"/>
    <n v="12"/>
    <n v="54"/>
  </r>
  <r>
    <n v="821"/>
    <x v="2"/>
    <x v="163"/>
    <s v="eth1/51"/>
    <x v="0"/>
    <x v="1"/>
    <x v="3"/>
    <m/>
    <x v="0"/>
    <b v="0"/>
    <s v="No está en VPC"/>
    <n v="821"/>
    <s v="NO EXISTE PG"/>
    <s v="NO EXISTE ISEL"/>
    <n v="0"/>
    <s v="NO TIENE L3OUT"/>
    <n v="0"/>
    <n v="54"/>
  </r>
  <r>
    <n v="738"/>
    <x v="2"/>
    <x v="164"/>
    <s v="eth1/51"/>
    <x v="0"/>
    <x v="1"/>
    <x v="3"/>
    <m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51"/>
    <x v="0"/>
    <x v="1"/>
    <x v="3"/>
    <m/>
    <x v="0"/>
    <b v="0"/>
    <s v="No está en VPC"/>
    <n v="820"/>
    <s v="NO EXISTE PG"/>
    <s v="NO EXISTE ISEL"/>
    <n v="0"/>
    <s v="NO TIENE L3OUT"/>
    <n v="72"/>
    <n v="54"/>
  </r>
  <r>
    <n v="804"/>
    <x v="2"/>
    <x v="166"/>
    <s v="eth1/51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51"/>
    <x v="1"/>
    <x v="1"/>
    <x v="3"/>
    <m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51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51"/>
    <x v="1"/>
    <x v="1"/>
    <x v="3"/>
    <m/>
    <x v="0"/>
    <b v="0"/>
    <s v="No está en VPC"/>
    <n v="827"/>
    <s v="NO EXISTE PG"/>
    <s v="NO EXISTE ISEL"/>
    <n v="0"/>
    <s v="NO TIENE L3OUT"/>
    <n v="14"/>
    <n v="54"/>
  </r>
  <r>
    <n v="809"/>
    <x v="2"/>
    <x v="170"/>
    <s v="eth1/51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51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51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51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51"/>
    <x v="1"/>
    <x v="1"/>
    <x v="3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51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51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51"/>
    <x v="1"/>
    <x v="1"/>
    <x v="3"/>
    <m/>
    <x v="0"/>
    <b v="0"/>
    <s v="No está en VPC"/>
    <n v="851"/>
    <s v="NO EXISTE PG"/>
    <s v="NO EXISTE ISEL"/>
    <n v="0"/>
    <s v="NO TIENE L3OUT"/>
    <n v="282"/>
    <n v="54"/>
  </r>
  <r>
    <n v="798"/>
    <x v="2"/>
    <x v="178"/>
    <s v="eth1/51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51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51"/>
    <x v="1"/>
    <x v="1"/>
    <x v="3"/>
    <m/>
    <x v="0"/>
    <b v="0"/>
    <s v="No está en VPC"/>
    <n v="852"/>
    <s v="NO EXISTE PG"/>
    <s v="NO EXISTE ISEL"/>
    <n v="0"/>
    <s v="NO TIENE L3OUT"/>
    <n v="258"/>
    <n v="54"/>
  </r>
  <r>
    <n v="817"/>
    <x v="2"/>
    <x v="181"/>
    <s v="eth1/51"/>
    <x v="1"/>
    <x v="1"/>
    <x v="3"/>
    <m/>
    <x v="0"/>
    <b v="0"/>
    <s v="No está en VPC"/>
    <n v="817"/>
    <s v="NO EXISTE PG"/>
    <s v="NO EXISTE ISEL"/>
    <n v="0"/>
    <s v="NO TIENE L3OUT"/>
    <n v="0"/>
    <n v="54"/>
  </r>
  <r>
    <n v="832"/>
    <x v="2"/>
    <x v="182"/>
    <s v="eth1/51"/>
    <x v="1"/>
    <x v="1"/>
    <x v="3"/>
    <m/>
    <x v="0"/>
    <b v="0"/>
    <s v="No está en VPC"/>
    <n v="832"/>
    <s v="NO EXISTE PG"/>
    <s v="NO EXISTE ISEL"/>
    <n v="0"/>
    <s v="NO TIENE L3OUT"/>
    <n v="192"/>
    <n v="54"/>
  </r>
  <r>
    <n v="816"/>
    <x v="2"/>
    <x v="183"/>
    <s v="eth1/51"/>
    <x v="0"/>
    <x v="1"/>
    <x v="3"/>
    <m/>
    <x v="0"/>
    <b v="0"/>
    <s v="No está en VPC"/>
    <n v="816"/>
    <s v="NO EXISTE PG"/>
    <s v="NO EXISTE ISEL"/>
    <n v="0"/>
    <s v="NO TIENE L3OUT"/>
    <n v="0"/>
    <n v="54"/>
  </r>
  <r>
    <n v="825"/>
    <x v="2"/>
    <x v="184"/>
    <s v="eth1/51"/>
    <x v="0"/>
    <x v="1"/>
    <x v="3"/>
    <m/>
    <x v="0"/>
    <b v="0"/>
    <s v="No está en VPC"/>
    <n v="825"/>
    <s v="NO EXISTE PG"/>
    <s v="NO EXISTE ISEL"/>
    <n v="0"/>
    <s v="NO TIENE L3OUT"/>
    <n v="72"/>
    <n v="54"/>
  </r>
  <r>
    <n v="800"/>
    <x v="2"/>
    <x v="185"/>
    <s v="eth1/51"/>
    <x v="1"/>
    <x v="1"/>
    <x v="3"/>
    <m/>
    <x v="0"/>
    <b v="0"/>
    <s v="No está en VPC"/>
    <n v="800"/>
    <s v="NO EXISTE PG"/>
    <s v="NO EXISTE ISEL"/>
    <n v="0"/>
    <s v="NO TIENE L3OUT"/>
    <n v="78"/>
    <n v="54"/>
  </r>
  <r>
    <n v="801"/>
    <x v="2"/>
    <x v="186"/>
    <s v="eth1/51"/>
    <x v="1"/>
    <x v="1"/>
    <x v="3"/>
    <m/>
    <x v="0"/>
    <b v="0"/>
    <s v="No está en VPC"/>
    <n v="801"/>
    <s v="NO EXISTE PG"/>
    <s v="NO EXISTE ISEL"/>
    <n v="0"/>
    <s v="NO TIENE L3OUT"/>
    <n v="78"/>
    <n v="54"/>
  </r>
  <r>
    <n v="823"/>
    <x v="2"/>
    <x v="187"/>
    <s v="eth1/51"/>
    <x v="0"/>
    <x v="1"/>
    <x v="3"/>
    <m/>
    <x v="0"/>
    <b v="0"/>
    <s v="No está en VPC"/>
    <n v="823"/>
    <s v="NO EXISTE PG"/>
    <s v="NO EXISTE ISEL"/>
    <n v="0"/>
    <s v="NO TIENE L3OUT"/>
    <n v="8"/>
    <n v="54"/>
  </r>
  <r>
    <n v="837"/>
    <x v="2"/>
    <x v="188"/>
    <s v="eth1/51"/>
    <x v="1"/>
    <x v="1"/>
    <x v="3"/>
    <m/>
    <x v="0"/>
    <b v="0"/>
    <s v="No está en VPC"/>
    <n v="837"/>
    <s v="NO EXISTE PG"/>
    <s v="NO EXISTE ISEL"/>
    <n v="0"/>
    <s v="NO TIENE L3OUT"/>
    <n v="8"/>
    <n v="54"/>
  </r>
  <r>
    <n v="867"/>
    <x v="2"/>
    <x v="189"/>
    <s v="eth1/51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51"/>
    <x v="1"/>
    <x v="1"/>
    <x v="3"/>
    <m/>
    <x v="0"/>
    <b v="0"/>
    <s v="No está en VPC"/>
    <n v="829"/>
    <s v="NO EXISTE PG"/>
    <s v="NO EXISTE ISEL"/>
    <n v="0"/>
    <s v="NO TIENE L3OUT"/>
    <n v="224"/>
    <n v="54"/>
  </r>
  <r>
    <n v="831"/>
    <x v="2"/>
    <x v="191"/>
    <s v="eth1/51"/>
    <x v="1"/>
    <x v="1"/>
    <x v="3"/>
    <m/>
    <x v="0"/>
    <b v="0"/>
    <s v="No está en VPC"/>
    <n v="831"/>
    <s v="NO EXISTE PG"/>
    <s v="NO EXISTE ISEL"/>
    <n v="0"/>
    <s v="NO TIENE L3OUT"/>
    <n v="14"/>
    <n v="54"/>
  </r>
  <r>
    <n v="802"/>
    <x v="2"/>
    <x v="192"/>
    <s v="eth1/51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51"/>
    <x v="1"/>
    <x v="1"/>
    <x v="3"/>
    <m/>
    <x v="0"/>
    <b v="0"/>
    <s v="No está en VPC"/>
    <n v="835"/>
    <s v="NO EXISTE PG"/>
    <s v="NO EXISTE ISEL"/>
    <n v="0"/>
    <s v="NO TIENE L3OUT"/>
    <n v="8"/>
    <n v="54"/>
  </r>
  <r>
    <n v="822"/>
    <x v="2"/>
    <x v="194"/>
    <s v="eth1/51"/>
    <x v="0"/>
    <x v="1"/>
    <x v="3"/>
    <m/>
    <x v="0"/>
    <b v="0"/>
    <s v="No está en VPC"/>
    <n v="822"/>
    <s v="NO EXISTE PG"/>
    <s v="NO EXISTE ISEL"/>
    <n v="0"/>
    <s v="NO TIENE L3OUT"/>
    <n v="0"/>
    <n v="54"/>
  </r>
  <r>
    <n v="854"/>
    <x v="2"/>
    <x v="195"/>
    <s v="eth1/51"/>
    <x v="1"/>
    <x v="1"/>
    <x v="3"/>
    <m/>
    <x v="0"/>
    <b v="0"/>
    <s v="No está en VPC"/>
    <n v="854"/>
    <s v="NO EXISTE PG"/>
    <s v="NO EXISTE ISEL"/>
    <n v="0"/>
    <s v="NO TIENE L3OUT"/>
    <n v="204"/>
    <n v="54"/>
  </r>
  <r>
    <n v="858"/>
    <x v="2"/>
    <x v="196"/>
    <s v="eth1/51"/>
    <x v="1"/>
    <x v="1"/>
    <x v="3"/>
    <m/>
    <x v="0"/>
    <b v="0"/>
    <s v="No está en VPC"/>
    <n v="858"/>
    <s v="NO EXISTE PG"/>
    <s v="NO EXISTE ISEL"/>
    <n v="0"/>
    <s v="NO TIENE L3OUT"/>
    <n v="8"/>
    <n v="54"/>
  </r>
  <r>
    <n v="857"/>
    <x v="2"/>
    <x v="197"/>
    <s v="eth1/51"/>
    <x v="1"/>
    <x v="1"/>
    <x v="3"/>
    <m/>
    <x v="0"/>
    <b v="0"/>
    <s v="No está en VPC"/>
    <n v="857"/>
    <s v="NO EXISTE PG"/>
    <s v="NO EXISTE ISEL"/>
    <n v="0"/>
    <s v="NO TIENE L3OUT"/>
    <n v="288"/>
    <n v="54"/>
  </r>
  <r>
    <n v="859"/>
    <x v="2"/>
    <x v="198"/>
    <s v="eth1/51"/>
    <x v="1"/>
    <x v="1"/>
    <x v="3"/>
    <m/>
    <x v="0"/>
    <b v="0"/>
    <s v="No está en VPC"/>
    <n v="859"/>
    <s v="NO EXISTE PG"/>
    <s v="NO EXISTE ISEL"/>
    <n v="0"/>
    <s v="NO TIENE L3OUT"/>
    <n v="0"/>
    <n v="54"/>
  </r>
  <r>
    <n v="833"/>
    <x v="2"/>
    <x v="199"/>
    <s v="eth1/51"/>
    <x v="1"/>
    <x v="1"/>
    <x v="3"/>
    <m/>
    <x v="0"/>
    <b v="0"/>
    <s v="No está en VPC"/>
    <n v="833"/>
    <s v="NO EXISTE PG"/>
    <s v="NO EXISTE ISEL"/>
    <n v="0"/>
    <s v="NO TIENE L3OUT"/>
    <n v="224"/>
    <n v="54"/>
  </r>
  <r>
    <n v="818"/>
    <x v="2"/>
    <x v="200"/>
    <s v="eth1/51"/>
    <x v="0"/>
    <x v="1"/>
    <x v="3"/>
    <m/>
    <x v="0"/>
    <b v="0"/>
    <s v="No está en VPC"/>
    <n v="818"/>
    <s v="NO EXISTE PG"/>
    <s v="NO EXISTE ISEL"/>
    <n v="0"/>
    <s v="NO TIENE L3OUT"/>
    <n v="8"/>
    <n v="54"/>
  </r>
  <r>
    <n v="850"/>
    <x v="2"/>
    <x v="201"/>
    <s v="eth1/51"/>
    <x v="1"/>
    <x v="1"/>
    <x v="3"/>
    <m/>
    <x v="0"/>
    <b v="0"/>
    <s v="No está en VPC"/>
    <n v="850"/>
    <s v="NO EXISTE PG"/>
    <s v="NO EXISTE ISEL"/>
    <n v="0"/>
    <s v="NO TIENE L3OUT"/>
    <n v="288"/>
    <n v="54"/>
  </r>
  <r>
    <n v="860"/>
    <x v="2"/>
    <x v="202"/>
    <s v="eth1/51"/>
    <x v="1"/>
    <x v="1"/>
    <x v="3"/>
    <m/>
    <x v="0"/>
    <b v="0"/>
    <s v="No está en VPC"/>
    <n v="860"/>
    <s v="NO EXISTE PG"/>
    <s v="NO EXISTE ISEL"/>
    <n v="0"/>
    <s v="NO TIENE L3OUT"/>
    <n v="0"/>
    <n v="54"/>
  </r>
  <r>
    <n v="853"/>
    <x v="2"/>
    <x v="203"/>
    <s v="eth1/51"/>
    <x v="1"/>
    <x v="1"/>
    <x v="3"/>
    <m/>
    <x v="0"/>
    <b v="0"/>
    <s v="No está en VPC"/>
    <n v="853"/>
    <s v="NO EXISTE PG"/>
    <s v="NO EXISTE ISEL"/>
    <n v="0"/>
    <s v="NO TIENE L3OUT"/>
    <n v="242"/>
    <n v="54"/>
  </r>
  <r>
    <n v="790"/>
    <x v="2"/>
    <x v="204"/>
    <s v="eth1/51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51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51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51"/>
    <x v="0"/>
    <x v="1"/>
    <x v="1"/>
    <s v="CISCO ANA 01 EHEALTH"/>
    <x v="6"/>
    <b v="0"/>
    <s v="No está en VPC"/>
    <n v="104"/>
    <s v="INTPG_ACC_104_1.51"/>
    <s v="ISEL-1.51"/>
    <n v="1"/>
    <s v="NO TIENE L3OUT"/>
    <n v="194"/>
    <n v="96"/>
  </r>
  <r>
    <n v="158"/>
    <x v="0"/>
    <x v="208"/>
    <s v="eth1/51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51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51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51"/>
    <x v="0"/>
    <x v="0"/>
    <x v="0"/>
    <s v="DESC"/>
    <x v="6"/>
    <b v="0"/>
    <s v="No está en VPC"/>
    <n v="108"/>
    <s v="INTPG_PC_108_1.51-52"/>
    <s v="ISEL-1.51"/>
    <n v="1"/>
    <s v="NO TIENE L3OUT"/>
    <n v="126"/>
    <n v="96"/>
  </r>
  <r>
    <n v="112"/>
    <x v="0"/>
    <x v="212"/>
    <s v="eth1/51"/>
    <x v="0"/>
    <x v="1"/>
    <x v="1"/>
    <s v="SAPCCRATING06"/>
    <x v="6"/>
    <b v="0"/>
    <s v="No está en VPC"/>
    <n v="112"/>
    <s v="INTPG_VPC_112_1.51_114_1.48"/>
    <s v="ISEL-1.51"/>
    <n v="1"/>
    <s v="NO TIENE L3OUT"/>
    <n v="144"/>
    <n v="96"/>
  </r>
  <r>
    <n v="107"/>
    <x v="0"/>
    <x v="213"/>
    <s v="eth1/51"/>
    <x v="0"/>
    <x v="0"/>
    <x v="0"/>
    <s v="COMISIONES"/>
    <x v="6"/>
    <b v="0"/>
    <s v="No está en VPC"/>
    <n v="107"/>
    <s v="INTPG_ACC_107_1.51"/>
    <s v="ISEL-1.51"/>
    <n v="1"/>
    <s v="NO TIENE L3OUT"/>
    <n v="118"/>
    <n v="96"/>
  </r>
  <r>
    <n v="109"/>
    <x v="0"/>
    <x v="214"/>
    <s v="eth1/51"/>
    <x v="0"/>
    <x v="0"/>
    <x v="0"/>
    <s v="OBIE_1-2"/>
    <x v="6"/>
    <b v="0"/>
    <s v="No está en VPC"/>
    <n v="109"/>
    <s v="INTPG_ACC_109_1.51"/>
    <s v="ISEL-1.51"/>
    <n v="1"/>
    <s v="NO TIENE L3OUT"/>
    <n v="126"/>
    <n v="96"/>
  </r>
  <r>
    <n v="113"/>
    <x v="0"/>
    <x v="215"/>
    <s v="eth1/51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51"/>
    <x v="0"/>
    <x v="1"/>
    <x v="1"/>
    <s v="SAPCCRATING09"/>
    <x v="6"/>
    <b v="0"/>
    <s v="No está en VPC"/>
    <n v="114"/>
    <s v="INTPG_VPC_112_1.54_114_1.51"/>
    <s v="ISEL-1.51"/>
    <n v="1"/>
    <s v="NO TIENE L3OUT"/>
    <n v="144"/>
    <n v="96"/>
  </r>
  <r>
    <n v="124"/>
    <x v="0"/>
    <x v="217"/>
    <s v="eth1/51"/>
    <x v="1"/>
    <x v="1"/>
    <x v="2"/>
    <s v="CIRCULO Azul(UXCA)"/>
    <x v="6"/>
    <b v="0"/>
    <s v="No está en VPC"/>
    <n v="124"/>
    <s v="INTPG_ACC_124_1.51"/>
    <s v="ISEL-1.51"/>
    <n v="0"/>
    <s v="NO TIENE L3OUT"/>
    <n v="80"/>
    <n v="96"/>
  </r>
  <r>
    <n v="118"/>
    <x v="0"/>
    <x v="218"/>
    <s v="eth1/51"/>
    <x v="0"/>
    <x v="0"/>
    <x v="0"/>
    <s v="USSD TANGO"/>
    <x v="6"/>
    <b v="0"/>
    <s v="No está en VPC"/>
    <n v="118"/>
    <s v="INTPG_ACC_118_1.51"/>
    <s v="ISEL-1.51"/>
    <n v="1"/>
    <s v="NO TIENE L3OUT"/>
    <n v="180"/>
    <n v="96"/>
  </r>
  <r>
    <n v="159"/>
    <x v="0"/>
    <x v="219"/>
    <s v="eth1/51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51"/>
    <x v="1"/>
    <x v="1"/>
    <x v="3"/>
    <m/>
    <x v="0"/>
    <b v="0"/>
    <s v="No está en VPC"/>
    <n v="840"/>
    <s v="NO EXISTE PG"/>
    <s v="NO EXISTE ISEL"/>
    <n v="0"/>
    <s v="NO TIENE L3OUT"/>
    <n v="8"/>
    <n v="54"/>
  </r>
  <r>
    <n v="856"/>
    <x v="2"/>
    <x v="221"/>
    <s v="eth1/51"/>
    <x v="1"/>
    <x v="1"/>
    <x v="3"/>
    <m/>
    <x v="0"/>
    <b v="0"/>
    <s v="No está en VPC"/>
    <n v="856"/>
    <s v="NO EXISTE PG"/>
    <s v="NO EXISTE ISEL"/>
    <n v="0"/>
    <s v="NO TIENE L3OUT"/>
    <n v="286"/>
    <n v="54"/>
  </r>
  <r>
    <n v="110"/>
    <x v="0"/>
    <x v="222"/>
    <s v="eth1/51"/>
    <x v="0"/>
    <x v="0"/>
    <x v="0"/>
    <s v="STORAGE_VNX_0493_BKP1_AND_BKP2"/>
    <x v="6"/>
    <b v="0"/>
    <s v="No está en VPC"/>
    <n v="110"/>
    <s v="INTPG_ACC_110_1.51"/>
    <s v="ISEL-1.51"/>
    <n v="1"/>
    <s v="NO TIENE L3OUT"/>
    <n v="102"/>
    <n v="96"/>
  </r>
  <r>
    <n v="163"/>
    <x v="0"/>
    <x v="223"/>
    <s v="eth1/51"/>
    <x v="1"/>
    <x v="1"/>
    <x v="2"/>
    <s v="CELCITE"/>
    <x v="6"/>
    <b v="0"/>
    <s v="No está en VPC"/>
    <n v="163"/>
    <s v="INTPG_ACC_163_1.51"/>
    <s v="ISEL-1.51"/>
    <n v="1"/>
    <s v="NO TIENE L3OUT"/>
    <n v="140"/>
    <n v="96"/>
  </r>
  <r>
    <n v="407"/>
    <x v="1"/>
    <x v="224"/>
    <s v="eth1/51"/>
    <x v="0"/>
    <x v="0"/>
    <x v="0"/>
    <s v="TO-ITHFDEOCP1LWR03-PRINCIPAL"/>
    <x v="6"/>
    <b v="0"/>
    <s v="No está en VPC"/>
    <n v="407"/>
    <s v="INTPG_ACC_407_1.51"/>
    <s v="ISEL-1.51"/>
    <n v="1"/>
    <s v="NO TIENE L3OUT"/>
    <n v="122"/>
    <n v="96"/>
  </r>
  <r>
    <n v="171"/>
    <x v="0"/>
    <x v="225"/>
    <s v="eth1/51"/>
    <x v="0"/>
    <x v="0"/>
    <x v="0"/>
    <s v="SRS (Speedy Rating System)"/>
    <x v="6"/>
    <b v="0"/>
    <s v="No está en VPC"/>
    <n v="171"/>
    <s v="INTPG_ACC_171_1.51"/>
    <s v="ISEL-1.51"/>
    <n v="1"/>
    <s v="NO TIENE L3OUT"/>
    <n v="114"/>
    <n v="96"/>
  </r>
  <r>
    <n v="421"/>
    <x v="1"/>
    <x v="226"/>
    <s v="eth1/51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51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51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51"/>
    <x v="0"/>
    <x v="0"/>
    <x v="0"/>
    <s v="SRS (Speedy Rating System)"/>
    <x v="6"/>
    <b v="0"/>
    <s v="No está en VPC"/>
    <n v="172"/>
    <s v="INTPG_ACC_172_1.51"/>
    <s v="ISEL-1.51"/>
    <n v="1"/>
    <s v="NO TIENE L3OUT"/>
    <n v="104"/>
    <n v="96"/>
  </r>
  <r>
    <n v="420"/>
    <x v="1"/>
    <x v="230"/>
    <s v="eth1/51"/>
    <x v="0"/>
    <x v="1"/>
    <x v="1"/>
    <s v="PORTAB_EXP1"/>
    <x v="6"/>
    <b v="0"/>
    <s v="No está en VPC"/>
    <n v="420"/>
    <s v="INTPG_ACC_420_1.51"/>
    <s v="ISEL-1.51"/>
    <n v="1"/>
    <s v="NO TIENE L3OUT"/>
    <n v="158"/>
    <n v="96"/>
  </r>
  <r>
    <n v="423"/>
    <x v="1"/>
    <x v="231"/>
    <s v="eth1/51"/>
    <x v="0"/>
    <x v="0"/>
    <x v="0"/>
    <s v="HP Proliant DL380p(b)"/>
    <x v="6"/>
    <b v="0"/>
    <s v="No está en VPC"/>
    <n v="423"/>
    <s v="INTPG_ACC_423_1.51"/>
    <s v="ISEL-1.51"/>
    <n v="1"/>
    <s v="NO TIENE L3OUT"/>
    <n v="86"/>
    <n v="96"/>
  </r>
  <r>
    <n v="415"/>
    <x v="1"/>
    <x v="232"/>
    <s v="eth1/51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51"/>
    <x v="0"/>
    <x v="1"/>
    <x v="1"/>
    <s v="CFD"/>
    <x v="6"/>
    <b v="0"/>
    <s v="No está en VPC"/>
    <n v="102"/>
    <s v="INTPG_ACC_102_1.51"/>
    <s v="ISEL-1.51"/>
    <n v="1"/>
    <s v="NO TIENE L3OUT"/>
    <n v="228"/>
    <n v="96"/>
  </r>
  <r>
    <n v="863"/>
    <x v="2"/>
    <x v="234"/>
    <s v="eth1/51"/>
    <x v="1"/>
    <x v="1"/>
    <x v="3"/>
    <m/>
    <x v="0"/>
    <b v="0"/>
    <s v="No está en VPC"/>
    <n v="863"/>
    <s v="NO EXISTE PG"/>
    <s v="NO EXISTE ISEL"/>
    <n v="0"/>
    <s v="NO TIENE L3OUT"/>
    <n v="8"/>
    <n v="54"/>
  </r>
  <r>
    <n v="876"/>
    <x v="2"/>
    <x v="235"/>
    <s v="eth1/51"/>
    <x v="1"/>
    <x v="1"/>
    <x v="3"/>
    <m/>
    <x v="4"/>
    <b v="0"/>
    <s v="No está en VPC"/>
    <n v="876"/>
    <s v="NO EXISTE PG"/>
    <s v="NO EXISTE ISEL"/>
    <n v="0"/>
    <s v="NO TIENE L3OUT"/>
    <n v="92"/>
    <n v="54"/>
  </r>
  <r>
    <n v="877"/>
    <x v="2"/>
    <x v="236"/>
    <s v="eth1/51"/>
    <x v="0"/>
    <x v="0"/>
    <x v="0"/>
    <s v="LINK_HACIA_SPINE"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51"/>
    <x v="1"/>
    <x v="1"/>
    <x v="2"/>
    <s v="INTRANET CORPORATIVA"/>
    <x v="6"/>
    <b v="0"/>
    <s v="No está en VPC"/>
    <n v="122"/>
    <s v="INTPG_ACC_122_1.51"/>
    <s v="ISEL-1.51"/>
    <n v="1"/>
    <s v="NO TIENE L3OUT"/>
    <n v="148"/>
    <n v="96"/>
  </r>
  <r>
    <n v="157"/>
    <x v="0"/>
    <x v="238"/>
    <s v="eth1/51"/>
    <x v="0"/>
    <x v="0"/>
    <x v="0"/>
    <s v="PORTAL CAUTIVO"/>
    <x v="6"/>
    <b v="0"/>
    <s v="No está en VPC"/>
    <n v="157"/>
    <s v="INTPG_ACC_157_1.51"/>
    <s v="ISEL-1.51"/>
    <n v="1"/>
    <s v="NO TIENE L3OUT"/>
    <n v="202"/>
    <n v="96"/>
  </r>
  <r>
    <n v="408"/>
    <x v="1"/>
    <x v="239"/>
    <s v="eth1/51"/>
    <x v="0"/>
    <x v="0"/>
    <x v="0"/>
    <s v="IBMWASII_01"/>
    <x v="6"/>
    <b v="0"/>
    <s v="No está en VPC"/>
    <n v="408"/>
    <s v="INTPG_ACC_408_1.51"/>
    <s v="ISEL-1.51"/>
    <n v="1"/>
    <s v="NO TIENE L3OUT"/>
    <n v="152"/>
    <n v="96"/>
  </r>
  <r>
    <n v="405"/>
    <x v="1"/>
    <x v="240"/>
    <s v="eth1/51"/>
    <x v="0"/>
    <x v="0"/>
    <x v="0"/>
    <s v="CCURE_9000"/>
    <x v="6"/>
    <b v="0"/>
    <s v="No está en VPC"/>
    <n v="405"/>
    <s v="INTPG_ACC_405_1.51"/>
    <s v="ISEL-1.51"/>
    <n v="1"/>
    <s v="NO TIENE L3OUT"/>
    <n v="138"/>
    <n v="96"/>
  </r>
  <r>
    <n v="169"/>
    <x v="0"/>
    <x v="241"/>
    <s v="eth1/51"/>
    <x v="0"/>
    <x v="1"/>
    <x v="1"/>
    <s v="TO-ITHFDENBURMS03-PRINCIPAL"/>
    <x v="6"/>
    <b v="0"/>
    <s v="No está en VPC"/>
    <n v="169"/>
    <s v="INTPG_ACC_169_1.51"/>
    <s v="ISEL-1.51"/>
    <n v="1"/>
    <s v="NO TIENE L3OUT"/>
    <n v="76"/>
    <n v="96"/>
  </r>
  <r>
    <n v="165"/>
    <x v="0"/>
    <x v="242"/>
    <s v="eth1/51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51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51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51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51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51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51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51"/>
    <x v="0"/>
    <x v="0"/>
    <x v="0"/>
    <s v="DESC"/>
    <x v="6"/>
    <b v="0"/>
    <s v="No está en VPC"/>
    <n v="406"/>
    <s v="INTPG_PC_406_1.51-52"/>
    <s v="ISEL-1.51"/>
    <n v="1"/>
    <s v="NO TIENE L3OUT"/>
    <n v="82"/>
    <n v="96"/>
  </r>
  <r>
    <n v="414"/>
    <x v="1"/>
    <x v="250"/>
    <s v="eth1/51"/>
    <x v="0"/>
    <x v="0"/>
    <x v="0"/>
    <s v="MULTI02_S13"/>
    <x v="6"/>
    <b v="0"/>
    <s v="No está en VPC"/>
    <n v="414"/>
    <s v="INTPG_ACC_414_1.51"/>
    <s v="ISEL-1.51"/>
    <n v="1"/>
    <s v="NO TIENE L3OUT"/>
    <n v="144"/>
    <n v="96"/>
  </r>
  <r>
    <n v="416"/>
    <x v="1"/>
    <x v="251"/>
    <s v="eth1/51"/>
    <x v="0"/>
    <x v="0"/>
    <x v="0"/>
    <s v="R9MEXIXTOAE-1"/>
    <x v="6"/>
    <b v="0"/>
    <s v="No está en VPC"/>
    <n v="416"/>
    <s v="INTPG_ACC_416_1.51"/>
    <s v="ISEL-1.51"/>
    <n v="1"/>
    <s v="NO TIENE L3OUT"/>
    <n v="110"/>
    <n v="96"/>
  </r>
  <r>
    <n v="418"/>
    <x v="1"/>
    <x v="252"/>
    <s v="eth1/51"/>
    <x v="0"/>
    <x v="0"/>
    <x v="0"/>
    <s v="IXTSD970B"/>
    <x v="6"/>
    <b v="0"/>
    <s v="No está en VPC"/>
    <n v="418"/>
    <s v="INTPG_ACC_418_1.51"/>
    <s v="ISEL-1.51"/>
    <n v="1"/>
    <s v="NO TIENE L3OUT"/>
    <n v="152"/>
    <n v="96"/>
  </r>
  <r>
    <n v="413"/>
    <x v="1"/>
    <x v="253"/>
    <s v="eth1/51"/>
    <x v="0"/>
    <x v="0"/>
    <x v="0"/>
    <s v="To-uxingemc3"/>
    <x v="6"/>
    <b v="0"/>
    <s v="No está en VPC"/>
    <n v="413"/>
    <s v="INTPG_ACC_413_1.51"/>
    <s v="ISEL-1.51"/>
    <n v="1"/>
    <s v="NO TIENE L3OUT"/>
    <n v="126"/>
    <n v="96"/>
  </r>
  <r>
    <n v="403"/>
    <x v="1"/>
    <x v="254"/>
    <s v="eth1/51"/>
    <x v="0"/>
    <x v="1"/>
    <x v="1"/>
    <s v="ITHSGHP0"/>
    <x v="6"/>
    <b v="0"/>
    <s v="No está en VPC"/>
    <n v="403"/>
    <s v="INTPG_ACC_403_1.51"/>
    <s v="ISEL-1.51"/>
    <n v="1"/>
    <s v="NO TIENE L3OUT"/>
    <n v="150"/>
    <n v="96"/>
  </r>
  <r>
    <n v="125"/>
    <x v="0"/>
    <x v="255"/>
    <s v="eth1/51"/>
    <x v="0"/>
    <x v="0"/>
    <x v="0"/>
    <s v="CIRCULO Azul(UXCA)"/>
    <x v="6"/>
    <b v="0"/>
    <s v="No está en VPC"/>
    <n v="125"/>
    <s v="INTPG_ACC_125_1.51"/>
    <s v="ISEL-1.51"/>
    <n v="1"/>
    <s v="NO TIENE L3OUT"/>
    <n v="72"/>
    <n v="96"/>
  </r>
  <r>
    <n v="166"/>
    <x v="0"/>
    <x v="256"/>
    <s v="eth1/51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51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51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51"/>
    <x v="0"/>
    <x v="0"/>
    <x v="0"/>
    <s v="COMISIONES"/>
    <x v="6"/>
    <b v="0"/>
    <s v="No está en VPC"/>
    <n v="106"/>
    <s v="INTPG_ACC_106_1.51"/>
    <s v="ISEL-1.51"/>
    <n v="1"/>
    <s v="NO TIENE L3OUT"/>
    <n v="122"/>
    <n v="96"/>
  </r>
  <r>
    <n v="126"/>
    <x v="0"/>
    <x v="260"/>
    <s v="eth1/51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51"/>
    <x v="0"/>
    <x v="0"/>
    <x v="0"/>
    <s v="HP_Proliant_DL360_Gen9"/>
    <x v="6"/>
    <b v="0"/>
    <s v="No está en VPC"/>
    <n v="425"/>
    <s v="INTPG_ACC_425_1.51"/>
    <s v="ISEL-1.51"/>
    <n v="1"/>
    <s v="NO TIENE L3OUT"/>
    <n v="86"/>
    <n v="96"/>
  </r>
  <r>
    <n v="151"/>
    <x v="0"/>
    <x v="262"/>
    <s v="eth1/51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51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51"/>
    <x v="0"/>
    <x v="0"/>
    <x v="0"/>
    <s v="SPECSERVER1_ETH2"/>
    <x v="6"/>
    <b v="0"/>
    <s v="No está en VPC"/>
    <n v="419"/>
    <s v="INTPG_ACC_419_1.51"/>
    <s v="ISEL-1.51"/>
    <n v="1"/>
    <s v="NO TIENE L3OUT"/>
    <n v="70"/>
    <n v="96"/>
  </r>
  <r>
    <n v="155"/>
    <x v="0"/>
    <x v="265"/>
    <s v="eth1/51"/>
    <x v="0"/>
    <x v="0"/>
    <x v="0"/>
    <s v="FW_VPN"/>
    <x v="6"/>
    <b v="0"/>
    <s v="No está en VPC"/>
    <n v="155"/>
    <s v="INTPG_ACC_155_1.51"/>
    <s v="ISEL-1.51"/>
    <n v="1"/>
    <s v="NO TIENE L3OUT"/>
    <n v="198"/>
    <n v="96"/>
  </r>
  <r>
    <n v="409"/>
    <x v="1"/>
    <x v="266"/>
    <s v="eth1/51"/>
    <x v="0"/>
    <x v="0"/>
    <x v="0"/>
    <s v="TO-ITHFDEOCP1LWR03-REDUNDANTE"/>
    <x v="6"/>
    <b v="0"/>
    <s v="No está en VPC"/>
    <n v="409"/>
    <s v="INTPG_ACC_409_1.51"/>
    <s v="ISEL-1.51"/>
    <n v="1"/>
    <s v="NO TIENE L3OUT"/>
    <n v="128"/>
    <n v="96"/>
  </r>
  <r>
    <n v="422"/>
    <x v="1"/>
    <x v="267"/>
    <s v="eth1/51"/>
    <x v="0"/>
    <x v="0"/>
    <x v="0"/>
    <s v="DCX_PROD1"/>
    <x v="6"/>
    <b v="0"/>
    <s v="No está en VPC"/>
    <n v="422"/>
    <s v="INTPG_ACC_422_1.51"/>
    <s v="ISEL-1.51"/>
    <n v="1"/>
    <s v="NO TIENE L3OUT"/>
    <n v="182"/>
    <n v="96"/>
  </r>
  <r>
    <n v="436"/>
    <x v="1"/>
    <x v="268"/>
    <s v="eth1/51"/>
    <x v="0"/>
    <x v="0"/>
    <x v="0"/>
    <s v="TC3_ithmomce1_VC1_X2"/>
    <x v="6"/>
    <b v="0"/>
    <s v="No está en VPC"/>
    <n v="436"/>
    <s v="INTPG_ACC_436_1.51"/>
    <s v="ISEL-1.51"/>
    <n v="7"/>
    <s v="NO TIENE L3OUT"/>
    <n v="172"/>
    <n v="96"/>
  </r>
  <r>
    <n v="410"/>
    <x v="1"/>
    <x v="269"/>
    <s v="eth1/51"/>
    <x v="0"/>
    <x v="0"/>
    <x v="0"/>
    <s v="ODA1"/>
    <x v="6"/>
    <b v="0"/>
    <s v="No está en VPC"/>
    <n v="410"/>
    <s v="INTPG_ACC_410_1.51"/>
    <s v="ISEL-1.51"/>
    <n v="1"/>
    <s v="NO TIENE L3OUT"/>
    <n v="178"/>
    <n v="96"/>
  </r>
  <r>
    <n v="161"/>
    <x v="0"/>
    <x v="270"/>
    <s v="eth1/51"/>
    <x v="0"/>
    <x v="0"/>
    <x v="0"/>
    <s v="CELCITE"/>
    <x v="6"/>
    <b v="0"/>
    <s v="No está en VPC"/>
    <n v="161"/>
    <s v="INTPG_ACC_161_1.51"/>
    <s v="ISEL-1.51"/>
    <n v="1"/>
    <s v="NO TIENE L3OUT"/>
    <n v="102"/>
    <n v="96"/>
  </r>
  <r>
    <n v="411"/>
    <x v="1"/>
    <x v="271"/>
    <s v="eth1/51"/>
    <x v="0"/>
    <x v="0"/>
    <x v="0"/>
    <s v="TO-SERVICE AVAILABILITY2-PRINCIPAL"/>
    <x v="6"/>
    <b v="0"/>
    <s v="No está en VPC"/>
    <n v="411"/>
    <s v="INTPG_ACC_411_1.51"/>
    <s v="ISEL-1.51"/>
    <n v="1"/>
    <s v="NO TIENE L3OUT"/>
    <n v="96"/>
    <n v="96"/>
  </r>
  <r>
    <n v="116"/>
    <x v="0"/>
    <x v="272"/>
    <s v="eth1/51"/>
    <x v="0"/>
    <x v="1"/>
    <x v="1"/>
    <s v="NOTIFICATION SERVER TANGO"/>
    <x v="6"/>
    <b v="0"/>
    <s v="No está en VPC"/>
    <n v="116"/>
    <s v="INTPG_ACC_116_1.51"/>
    <s v="ISEL-1.51"/>
    <n v="1"/>
    <s v="NO TIENE L3OUT"/>
    <n v="148"/>
    <n v="96"/>
  </r>
  <r>
    <n v="412"/>
    <x v="1"/>
    <x v="273"/>
    <s v="eth1/51"/>
    <x v="0"/>
    <x v="0"/>
    <x v="0"/>
    <s v="IBMWASII_01"/>
    <x v="6"/>
    <b v="0"/>
    <s v="No está en VPC"/>
    <n v="412"/>
    <s v="INTPG_ACC_412_1.51"/>
    <s v="ISEL-1.51"/>
    <n v="1"/>
    <s v="NO TIENE L3OUT"/>
    <n v="126"/>
    <n v="96"/>
  </r>
  <r>
    <n v="120"/>
    <x v="0"/>
    <x v="274"/>
    <s v="eth1/51"/>
    <x v="0"/>
    <x v="0"/>
    <x v="0"/>
    <s v="IXTTRAP-ETL"/>
    <x v="6"/>
    <b v="0"/>
    <s v="No está en VPC"/>
    <n v="120"/>
    <s v="INTPG_ACC_120_1.51"/>
    <s v="ISEL-1.51"/>
    <n v="1"/>
    <s v="NO TIENE L3OUT"/>
    <n v="158"/>
    <n v="96"/>
  </r>
  <r>
    <n v="404"/>
    <x v="1"/>
    <x v="275"/>
    <s v="eth1/51"/>
    <x v="0"/>
    <x v="0"/>
    <x v="0"/>
    <s v="DESC"/>
    <x v="6"/>
    <b v="0"/>
    <s v="No está en VPC"/>
    <n v="404"/>
    <s v="INTPG_PC_404_1.51-52"/>
    <s v="ISEL-1.51"/>
    <n v="1"/>
    <s v="NO TIENE L3OUT"/>
    <n v="92"/>
    <n v="96"/>
  </r>
  <r>
    <n v="167"/>
    <x v="0"/>
    <x v="276"/>
    <s v="eth1/51"/>
    <x v="0"/>
    <x v="0"/>
    <x v="0"/>
    <s v="TO-ITHFDENBURMS06"/>
    <x v="6"/>
    <b v="0"/>
    <s v="No está en VPC"/>
    <n v="167"/>
    <s v="INTPG_VPC_167_1.51_169_1.56"/>
    <s v="ISEL-1.51"/>
    <n v="1"/>
    <s v="NO TIENE L3OUT"/>
    <n v="68"/>
    <n v="96"/>
  </r>
  <r>
    <n v="428"/>
    <x v="1"/>
    <x v="277"/>
    <s v="eth1/51"/>
    <x v="0"/>
    <x v="0"/>
    <x v="0"/>
    <s v="eth0_vert02hpov_Primario"/>
    <x v="6"/>
    <b v="0"/>
    <s v="No está en VPC"/>
    <n v="428"/>
    <s v="INTPG_ACC_428_1.51"/>
    <s v="ISEL-1.51"/>
    <n v="1"/>
    <s v="NO TIENE L3OUT"/>
    <n v="102"/>
    <n v="96"/>
  </r>
  <r>
    <n v="128"/>
    <x v="0"/>
    <x v="0"/>
    <s v="eth1/52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52"/>
    <x v="0"/>
    <x v="1"/>
    <x v="3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52"/>
    <x v="0"/>
    <x v="1"/>
    <x v="3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52"/>
    <x v="0"/>
    <x v="1"/>
    <x v="3"/>
    <m/>
    <x v="0"/>
    <b v="0"/>
    <s v="No está en VPC"/>
    <n v="101"/>
    <s v="NO EXISTE PG"/>
    <s v="NO EXISTE ISEL"/>
    <n v="0"/>
    <s v="NO TIENE L3OUT"/>
    <n v="114"/>
    <n v="54"/>
  </r>
  <r>
    <n v="160"/>
    <x v="0"/>
    <x v="4"/>
    <s v="eth1/52"/>
    <x v="0"/>
    <x v="1"/>
    <x v="3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52"/>
    <x v="0"/>
    <x v="1"/>
    <x v="3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52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52"/>
    <x v="0"/>
    <x v="1"/>
    <x v="3"/>
    <m/>
    <x v="0"/>
    <b v="0"/>
    <s v="No está en VPC"/>
    <n v="401"/>
    <s v="NO EXISTE PG"/>
    <s v="NO EXISTE ISEL"/>
    <n v="0"/>
    <s v="NO TIENE L3OUT"/>
    <n v="40"/>
    <n v="54"/>
  </r>
  <r>
    <n v="402"/>
    <x v="1"/>
    <x v="8"/>
    <s v="eth1/52"/>
    <x v="0"/>
    <x v="1"/>
    <x v="3"/>
    <m/>
    <x v="0"/>
    <b v="0"/>
    <s v="No está en VPC"/>
    <n v="402"/>
    <s v="NO EXISTE PG"/>
    <s v="NO EXISTE ISEL"/>
    <n v="0"/>
    <s v="NO TIENE L3OUT"/>
    <n v="36"/>
    <n v="54"/>
  </r>
  <r>
    <n v="130"/>
    <x v="0"/>
    <x v="11"/>
    <s v="eth1/52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52"/>
    <x v="0"/>
    <x v="1"/>
    <x v="3"/>
    <m/>
    <x v="0"/>
    <b v="0"/>
    <s v="No está en VPC"/>
    <n v="150"/>
    <s v="NO EXISTE PG"/>
    <s v="NO EXISTE ISEL"/>
    <n v="0"/>
    <s v="NO TIENE L3OUT"/>
    <n v="118"/>
    <n v="54"/>
  </r>
  <r>
    <n v="131"/>
    <x v="0"/>
    <x v="13"/>
    <s v="eth1/52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424"/>
    <x v="1"/>
    <x v="18"/>
    <s v="eth1/52"/>
    <x v="0"/>
    <x v="1"/>
    <x v="3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52"/>
    <x v="1"/>
    <x v="1"/>
    <x v="3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52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52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52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52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52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52"/>
    <x v="1"/>
    <x v="1"/>
    <x v="3"/>
    <m/>
    <x v="0"/>
    <b v="0"/>
    <s v="No está en VPC"/>
    <n v="431"/>
    <s v="NO EXISTE PG"/>
    <s v="NO EXISTE ISEL"/>
    <n v="0"/>
    <s v="NO TIENE L3OUT"/>
    <n v="46"/>
    <n v="54"/>
  </r>
  <r>
    <n v="433"/>
    <x v="1"/>
    <x v="27"/>
    <s v="eth1/52"/>
    <x v="1"/>
    <x v="1"/>
    <x v="3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52"/>
    <x v="1"/>
    <x v="1"/>
    <x v="3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52"/>
    <x v="1"/>
    <x v="1"/>
    <x v="3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52"/>
    <x v="1"/>
    <x v="1"/>
    <x v="3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52"/>
    <x v="1"/>
    <x v="1"/>
    <x v="3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52"/>
    <x v="1"/>
    <x v="1"/>
    <x v="3"/>
    <m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52"/>
    <x v="1"/>
    <x v="1"/>
    <x v="3"/>
    <m/>
    <x v="0"/>
    <b v="0"/>
    <s v="No está en VPC"/>
    <n v="712"/>
    <s v="NO EXISTE PG"/>
    <s v="NO EXISTE ISEL"/>
    <n v="0"/>
    <s v="NO TIENE L3OUT"/>
    <n v="32"/>
    <n v="54"/>
  </r>
  <r>
    <n v="719"/>
    <x v="2"/>
    <x v="34"/>
    <s v="eth1/52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52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52"/>
    <x v="1"/>
    <x v="1"/>
    <x v="3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52"/>
    <x v="1"/>
    <x v="1"/>
    <x v="3"/>
    <m/>
    <x v="0"/>
    <b v="0"/>
    <s v="No está en VPC"/>
    <n v="711"/>
    <s v="NO EXISTE PG"/>
    <s v="NO EXISTE ISEL"/>
    <n v="0"/>
    <s v="NO TIENE L3OUT"/>
    <n v="16"/>
    <n v="54"/>
  </r>
  <r>
    <n v="716"/>
    <x v="2"/>
    <x v="38"/>
    <s v="eth1/52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52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52"/>
    <x v="1"/>
    <x v="1"/>
    <x v="3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52"/>
    <x v="0"/>
    <x v="1"/>
    <x v="3"/>
    <m/>
    <x v="0"/>
    <b v="0"/>
    <s v="No está en VPC"/>
    <n v="446"/>
    <s v="NO EXISTE PG"/>
    <s v="NO EXISTE ISEL"/>
    <n v="0"/>
    <s v="NO TIENE L3OUT"/>
    <n v="198"/>
    <n v="54"/>
  </r>
  <r>
    <n v="444"/>
    <x v="1"/>
    <x v="42"/>
    <s v="eth1/52"/>
    <x v="0"/>
    <x v="1"/>
    <x v="3"/>
    <m/>
    <x v="0"/>
    <b v="0"/>
    <s v="No está en VPC"/>
    <n v="444"/>
    <s v="NO EXISTE PG"/>
    <s v="NO EXISTE ISEL"/>
    <n v="0"/>
    <s v="NO TIENE L3OUT"/>
    <n v="234"/>
    <n v="54"/>
  </r>
  <r>
    <n v="701"/>
    <x v="2"/>
    <x v="43"/>
    <s v="eth1/52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52"/>
    <x v="1"/>
    <x v="1"/>
    <x v="3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52"/>
    <x v="1"/>
    <x v="1"/>
    <x v="3"/>
    <m/>
    <x v="0"/>
    <b v="0"/>
    <s v="No está en VPC"/>
    <n v="448"/>
    <s v="NO EXISTE PG"/>
    <s v="NO EXISTE ISEL"/>
    <n v="0"/>
    <s v="NO TIENE L3OUT"/>
    <n v="46"/>
    <n v="54"/>
  </r>
  <r>
    <n v="704"/>
    <x v="2"/>
    <x v="46"/>
    <s v="eth1/52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52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52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52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52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52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52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52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52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52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52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52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52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52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52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52"/>
    <x v="0"/>
    <x v="1"/>
    <x v="3"/>
    <m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52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52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52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52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52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52"/>
    <x v="1"/>
    <x v="1"/>
    <x v="3"/>
    <m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52"/>
    <x v="1"/>
    <x v="1"/>
    <x v="3"/>
    <m/>
    <x v="0"/>
    <b v="0"/>
    <s v="No está en VPC"/>
    <n v="780"/>
    <s v="NO EXISTE PG"/>
    <s v="NO EXISTE ISEL"/>
    <n v="0"/>
    <s v="NO TIENE L3OUT"/>
    <n v="26"/>
    <n v="54"/>
  </r>
  <r>
    <n v="812"/>
    <x v="2"/>
    <x v="70"/>
    <s v="eth1/52"/>
    <x v="1"/>
    <x v="1"/>
    <x v="3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52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52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52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52"/>
    <x v="0"/>
    <x v="1"/>
    <x v="3"/>
    <m/>
    <x v="0"/>
    <b v="0"/>
    <s v="No está en VPC"/>
    <n v="824"/>
    <s v="NO EXISTE PG"/>
    <s v="NO EXISTE ISEL"/>
    <n v="0"/>
    <s v="NO TIENE L3OUT"/>
    <n v="70"/>
    <n v="54"/>
  </r>
  <r>
    <n v="819"/>
    <x v="2"/>
    <x v="75"/>
    <s v="eth1/52"/>
    <x v="0"/>
    <x v="1"/>
    <x v="3"/>
    <m/>
    <x v="0"/>
    <b v="0"/>
    <s v="No está en VPC"/>
    <n v="819"/>
    <s v="NO EXISTE PG"/>
    <s v="NO EXISTE ISEL"/>
    <n v="0"/>
    <s v="NO TIENE L3OUT"/>
    <n v="70"/>
    <n v="54"/>
  </r>
  <r>
    <n v="737"/>
    <x v="2"/>
    <x v="76"/>
    <s v="eth1/52"/>
    <x v="0"/>
    <x v="1"/>
    <x v="3"/>
    <m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52"/>
    <x v="1"/>
    <x v="1"/>
    <x v="3"/>
    <m/>
    <x v="0"/>
    <b v="0"/>
    <s v="No está en VPC"/>
    <n v="844"/>
    <s v="NO EXISTE PG"/>
    <s v="NO EXISTE ISEL"/>
    <n v="0"/>
    <s v="NO TIENE L3OUT"/>
    <n v="282"/>
    <n v="54"/>
  </r>
  <r>
    <n v="843"/>
    <x v="2"/>
    <x v="78"/>
    <s v="eth1/52"/>
    <x v="1"/>
    <x v="1"/>
    <x v="3"/>
    <m/>
    <x v="0"/>
    <b v="0"/>
    <s v="No está en VPC"/>
    <n v="843"/>
    <s v="NO EXISTE PG"/>
    <s v="NO EXISTE ISEL"/>
    <n v="0"/>
    <s v="NO TIENE L3OUT"/>
    <n v="38"/>
    <n v="54"/>
  </r>
  <r>
    <n v="797"/>
    <x v="2"/>
    <x v="79"/>
    <s v="eth1/52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52"/>
    <x v="1"/>
    <x v="1"/>
    <x v="3"/>
    <m/>
    <x v="0"/>
    <b v="0"/>
    <s v="No está en VPC"/>
    <n v="839"/>
    <s v="NO EXISTE PG"/>
    <s v="NO EXISTE ISEL"/>
    <n v="0"/>
    <s v="NO TIENE L3OUT"/>
    <n v="0"/>
    <n v="54"/>
  </r>
  <r>
    <n v="847"/>
    <x v="2"/>
    <x v="81"/>
    <s v="eth1/52"/>
    <x v="1"/>
    <x v="1"/>
    <x v="3"/>
    <m/>
    <x v="0"/>
    <b v="0"/>
    <s v="No está en VPC"/>
    <n v="847"/>
    <s v="NO EXISTE PG"/>
    <s v="NO EXISTE ISEL"/>
    <n v="0"/>
    <s v="NO TIENE L3OUT"/>
    <n v="204"/>
    <n v="54"/>
  </r>
  <r>
    <n v="848"/>
    <x v="2"/>
    <x v="82"/>
    <s v="eth1/52"/>
    <x v="1"/>
    <x v="1"/>
    <x v="3"/>
    <m/>
    <x v="0"/>
    <b v="0"/>
    <s v="No está en VPC"/>
    <n v="848"/>
    <s v="NO EXISTE PG"/>
    <s v="NO EXISTE ISEL"/>
    <n v="0"/>
    <s v="NO TIENE L3OUT"/>
    <n v="254"/>
    <n v="54"/>
  </r>
  <r>
    <n v="846"/>
    <x v="2"/>
    <x v="83"/>
    <s v="eth1/52"/>
    <x v="1"/>
    <x v="1"/>
    <x v="3"/>
    <m/>
    <x v="0"/>
    <b v="0"/>
    <s v="No está en VPC"/>
    <n v="846"/>
    <s v="NO EXISTE PG"/>
    <s v="NO EXISTE ISEL"/>
    <n v="0"/>
    <s v="NO TIENE L3OUT"/>
    <n v="242"/>
    <n v="54"/>
  </r>
  <r>
    <n v="838"/>
    <x v="2"/>
    <x v="84"/>
    <s v="eth1/52"/>
    <x v="1"/>
    <x v="1"/>
    <x v="3"/>
    <m/>
    <x v="0"/>
    <b v="0"/>
    <s v="No está en VPC"/>
    <n v="838"/>
    <s v="NO EXISTE PG"/>
    <s v="NO EXISTE ISEL"/>
    <n v="0"/>
    <s v="NO TIENE L3OUT"/>
    <n v="38"/>
    <n v="54"/>
  </r>
  <r>
    <n v="849"/>
    <x v="2"/>
    <x v="85"/>
    <s v="eth1/52"/>
    <x v="1"/>
    <x v="1"/>
    <x v="3"/>
    <m/>
    <x v="0"/>
    <b v="0"/>
    <s v="No está en VPC"/>
    <n v="849"/>
    <s v="NO EXISTE PG"/>
    <s v="NO EXISTE ISEL"/>
    <n v="0"/>
    <s v="NO TIENE L3OUT"/>
    <n v="286"/>
    <n v="54"/>
  </r>
  <r>
    <n v="845"/>
    <x v="2"/>
    <x v="86"/>
    <s v="eth1/52"/>
    <x v="1"/>
    <x v="1"/>
    <x v="3"/>
    <m/>
    <x v="0"/>
    <b v="0"/>
    <s v="No está en VPC"/>
    <n v="845"/>
    <s v="NO EXISTE PG"/>
    <s v="NO EXISTE ISEL"/>
    <n v="0"/>
    <s v="NO TIENE L3OUT"/>
    <n v="258"/>
    <n v="54"/>
  </r>
  <r>
    <n v="873"/>
    <x v="2"/>
    <x v="87"/>
    <s v="eth1/52"/>
    <x v="1"/>
    <x v="1"/>
    <x v="3"/>
    <m/>
    <x v="0"/>
    <b v="0"/>
    <s v="No está en VPC"/>
    <n v="873"/>
    <s v="NO EXISTE PG"/>
    <s v="NO EXISTE ISEL"/>
    <n v="0"/>
    <s v="NO TIENE L3OUT"/>
    <n v="248"/>
    <n v="54"/>
  </r>
  <r>
    <n v="864"/>
    <x v="2"/>
    <x v="88"/>
    <s v="eth1/52"/>
    <x v="1"/>
    <x v="1"/>
    <x v="3"/>
    <m/>
    <x v="0"/>
    <b v="0"/>
    <s v="No está en VPC"/>
    <n v="864"/>
    <s v="NO EXISTE PG"/>
    <s v="NO EXISTE ISEL"/>
    <n v="0"/>
    <s v="NO TIENE L3OUT"/>
    <n v="0"/>
    <n v="54"/>
  </r>
  <r>
    <n v="836"/>
    <x v="2"/>
    <x v="89"/>
    <s v="eth1/52"/>
    <x v="1"/>
    <x v="1"/>
    <x v="3"/>
    <m/>
    <x v="0"/>
    <b v="0"/>
    <s v="No está en VPC"/>
    <n v="836"/>
    <s v="NO EXISTE PG"/>
    <s v="NO EXISTE ISEL"/>
    <n v="0"/>
    <s v="NO TIENE L3OUT"/>
    <n v="0"/>
    <n v="54"/>
  </r>
  <r>
    <n v="834"/>
    <x v="2"/>
    <x v="90"/>
    <s v="eth1/52"/>
    <x v="1"/>
    <x v="1"/>
    <x v="3"/>
    <m/>
    <x v="0"/>
    <b v="0"/>
    <s v="No está en VPC"/>
    <n v="834"/>
    <s v="NO EXISTE PG"/>
    <s v="NO EXISTE ISEL"/>
    <n v="0"/>
    <s v="NO TIENE L3OUT"/>
    <n v="0"/>
    <n v="54"/>
  </r>
  <r>
    <n v="872"/>
    <x v="2"/>
    <x v="91"/>
    <s v="eth1/52"/>
    <x v="1"/>
    <x v="1"/>
    <x v="3"/>
    <m/>
    <x v="0"/>
    <b v="0"/>
    <s v="No está en VPC"/>
    <n v="872"/>
    <s v="NO EXISTE PG"/>
    <s v="NO EXISTE ISEL"/>
    <n v="0"/>
    <s v="NO TIENE L3OUT"/>
    <n v="288"/>
    <n v="54"/>
  </r>
  <r>
    <n v="842"/>
    <x v="2"/>
    <x v="92"/>
    <s v="eth1/52"/>
    <x v="1"/>
    <x v="1"/>
    <x v="3"/>
    <m/>
    <x v="0"/>
    <b v="0"/>
    <s v="No está en VPC"/>
    <n v="842"/>
    <s v="NO EXISTE PG"/>
    <s v="NO EXISTE ISEL"/>
    <n v="0"/>
    <s v="NO TIENE L3OUT"/>
    <n v="8"/>
    <n v="54"/>
  </r>
  <r>
    <n v="828"/>
    <x v="2"/>
    <x v="93"/>
    <s v="eth1/52"/>
    <x v="1"/>
    <x v="1"/>
    <x v="3"/>
    <m/>
    <x v="0"/>
    <b v="0"/>
    <s v="No está en VPC"/>
    <n v="828"/>
    <s v="NO EXISTE PG"/>
    <s v="NO EXISTE ISEL"/>
    <n v="0"/>
    <s v="NO TIENE L3OUT"/>
    <n v="192"/>
    <n v="54"/>
  </r>
  <r>
    <n v="870"/>
    <x v="2"/>
    <x v="94"/>
    <s v="eth1/52"/>
    <x v="1"/>
    <x v="1"/>
    <x v="3"/>
    <m/>
    <x v="0"/>
    <b v="0"/>
    <s v="No está en VPC"/>
    <n v="870"/>
    <s v="NO EXISTE PG"/>
    <s v="NO EXISTE ISEL"/>
    <n v="0"/>
    <s v="NO TIENE L3OUT"/>
    <n v="248"/>
    <n v="54"/>
  </r>
  <r>
    <n v="866"/>
    <x v="2"/>
    <x v="95"/>
    <s v="eth1/52"/>
    <x v="1"/>
    <x v="1"/>
    <x v="3"/>
    <m/>
    <x v="0"/>
    <b v="0"/>
    <s v="No está en VPC"/>
    <n v="866"/>
    <s v="NO EXISTE PG"/>
    <s v="NO EXISTE ISEL"/>
    <n v="0"/>
    <s v="NO TIENE L3OUT"/>
    <n v="8"/>
    <n v="54"/>
  </r>
  <r>
    <n v="862"/>
    <x v="2"/>
    <x v="96"/>
    <s v="eth1/52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52"/>
    <x v="1"/>
    <x v="1"/>
    <x v="3"/>
    <m/>
    <x v="0"/>
    <b v="0"/>
    <s v="No está en VPC"/>
    <n v="855"/>
    <s v="NO EXISTE PG"/>
    <s v="NO EXISTE ISEL"/>
    <n v="0"/>
    <s v="NO TIENE L3OUT"/>
    <n v="254"/>
    <n v="54"/>
  </r>
  <r>
    <n v="871"/>
    <x v="2"/>
    <x v="98"/>
    <s v="eth1/52"/>
    <x v="1"/>
    <x v="1"/>
    <x v="3"/>
    <m/>
    <x v="0"/>
    <b v="0"/>
    <s v="No está en VPC"/>
    <n v="871"/>
    <s v="NO EXISTE PG"/>
    <s v="NO EXISTE ISEL"/>
    <n v="0"/>
    <s v="NO TIENE L3OUT"/>
    <n v="246"/>
    <n v="54"/>
  </r>
  <r>
    <n v="841"/>
    <x v="2"/>
    <x v="99"/>
    <s v="eth1/52"/>
    <x v="1"/>
    <x v="1"/>
    <x v="3"/>
    <m/>
    <x v="0"/>
    <b v="0"/>
    <s v="No está en VPC"/>
    <n v="841"/>
    <s v="NO EXISTE PG"/>
    <s v="NO EXISTE ISEL"/>
    <n v="0"/>
    <s v="NO TIENE L3OUT"/>
    <n v="0"/>
    <n v="54"/>
  </r>
  <r>
    <n v="868"/>
    <x v="2"/>
    <x v="100"/>
    <s v="eth1/52"/>
    <x v="1"/>
    <x v="1"/>
    <x v="3"/>
    <m/>
    <x v="0"/>
    <b v="0"/>
    <s v="No está en VPC"/>
    <n v="868"/>
    <s v="NO EXISTE PG"/>
    <s v="NO EXISTE ISEL"/>
    <n v="0"/>
    <s v="NO TIENE L3OUT"/>
    <n v="246"/>
    <n v="54"/>
  </r>
  <r>
    <n v="869"/>
    <x v="2"/>
    <x v="101"/>
    <s v="eth1/52"/>
    <x v="1"/>
    <x v="1"/>
    <x v="3"/>
    <m/>
    <x v="0"/>
    <b v="0"/>
    <s v="No está en VPC"/>
    <n v="869"/>
    <s v="NO EXISTE PG"/>
    <s v="NO EXISTE ISEL"/>
    <n v="0"/>
    <s v="NO TIENE L3OUT"/>
    <n v="288"/>
    <n v="54"/>
  </r>
  <r>
    <n v="861"/>
    <x v="2"/>
    <x v="102"/>
    <s v="eth1/52"/>
    <x v="1"/>
    <x v="1"/>
    <x v="3"/>
    <m/>
    <x v="0"/>
    <b v="0"/>
    <s v="No está en VPC"/>
    <n v="861"/>
    <s v="NO EXISTE PG"/>
    <s v="NO EXISTE ISEL"/>
    <n v="0"/>
    <s v="NO TIENE L3OUT"/>
    <n v="8"/>
    <n v="54"/>
  </r>
  <r>
    <n v="874"/>
    <x v="2"/>
    <x v="103"/>
    <s v="eth1/52"/>
    <x v="1"/>
    <x v="1"/>
    <x v="3"/>
    <m/>
    <x v="4"/>
    <b v="0"/>
    <s v="No está en VPC"/>
    <n v="874"/>
    <s v="NO EXISTE PG"/>
    <s v="NO EXISTE ISEL"/>
    <n v="0"/>
    <s v="NO TIENE L3OUT"/>
    <n v="92"/>
    <n v="54"/>
  </r>
  <r>
    <n v="865"/>
    <x v="2"/>
    <x v="104"/>
    <s v="eth1/52"/>
    <x v="1"/>
    <x v="1"/>
    <x v="3"/>
    <m/>
    <x v="0"/>
    <b v="0"/>
    <s v="No está en VPC"/>
    <n v="865"/>
    <s v="NO EXISTE PG"/>
    <s v="NO EXISTE ISEL"/>
    <n v="0"/>
    <s v="NO TIENE L3OUT"/>
    <n v="0"/>
    <n v="54"/>
  </r>
  <r>
    <n v="753"/>
    <x v="2"/>
    <x v="105"/>
    <s v="eth1/52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52"/>
    <x v="1"/>
    <x v="1"/>
    <x v="3"/>
    <m/>
    <x v="0"/>
    <b v="0"/>
    <s v="No está en VPC"/>
    <n v="708"/>
    <s v="NO EXISTE PG"/>
    <s v="NO EXISTE ISEL"/>
    <n v="0"/>
    <s v="NO TIENE L3OUT"/>
    <n v="0"/>
    <n v="54"/>
  </r>
  <r>
    <n v="710"/>
    <x v="2"/>
    <x v="107"/>
    <s v="eth1/52"/>
    <x v="1"/>
    <x v="1"/>
    <x v="3"/>
    <m/>
    <x v="0"/>
    <b v="0"/>
    <s v="No está en VPC"/>
    <n v="710"/>
    <s v="NO EXISTE PG"/>
    <s v="NO EXISTE ISEL"/>
    <n v="0"/>
    <s v="NO TIENE L3OUT"/>
    <n v="16"/>
    <n v="54"/>
  </r>
  <r>
    <n v="713"/>
    <x v="2"/>
    <x v="108"/>
    <s v="eth1/52"/>
    <x v="1"/>
    <x v="1"/>
    <x v="3"/>
    <m/>
    <x v="0"/>
    <b v="0"/>
    <s v="No está en VPC"/>
    <n v="713"/>
    <s v="NO EXISTE PG"/>
    <s v="NO EXISTE ISEL"/>
    <n v="0"/>
    <s v="NO TIENE L3OUT"/>
    <n v="32"/>
    <n v="54"/>
  </r>
  <r>
    <n v="735"/>
    <x v="2"/>
    <x v="109"/>
    <s v="eth1/52"/>
    <x v="0"/>
    <x v="1"/>
    <x v="3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52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52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52"/>
    <x v="1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52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52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52"/>
    <x v="1"/>
    <x v="1"/>
    <x v="3"/>
    <m/>
    <x v="0"/>
    <b v="0"/>
    <s v="No está en VPC"/>
    <n v="826"/>
    <s v="NO EXISTE PG"/>
    <s v="NO EXISTE ISEL"/>
    <n v="0"/>
    <s v="NO TIENE L3OUT"/>
    <n v="12"/>
    <n v="54"/>
  </r>
  <r>
    <n v="726"/>
    <x v="2"/>
    <x v="117"/>
    <s v="eth1/52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52"/>
    <x v="0"/>
    <x v="1"/>
    <x v="3"/>
    <m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52"/>
    <x v="1"/>
    <x v="1"/>
    <x v="3"/>
    <m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52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52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52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52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52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52"/>
    <x v="1"/>
    <x v="1"/>
    <x v="3"/>
    <m/>
    <x v="0"/>
    <b v="0"/>
    <s v="No está en VPC"/>
    <n v="709"/>
    <s v="NO EXISTE PG"/>
    <s v="NO EXISTE ISEL"/>
    <n v="0"/>
    <s v="NO TIENE L3OUT"/>
    <n v="0"/>
    <n v="54"/>
  </r>
  <r>
    <n v="454"/>
    <x v="1"/>
    <x v="126"/>
    <s v="eth1/52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52"/>
    <x v="0"/>
    <x v="1"/>
    <x v="3"/>
    <m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52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52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52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52"/>
    <x v="0"/>
    <x v="1"/>
    <x v="3"/>
    <m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52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52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52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52"/>
    <x v="0"/>
    <x v="1"/>
    <x v="3"/>
    <m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52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52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52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52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52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52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52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52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52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52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52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52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52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52"/>
    <x v="1"/>
    <x v="1"/>
    <x v="3"/>
    <m/>
    <x v="0"/>
    <b v="0"/>
    <s v="No está en VPC"/>
    <n v="781"/>
    <s v="NO EXISTE PG"/>
    <s v="NO EXISTE ISEL"/>
    <n v="0"/>
    <s v="NO TIENE L3OUT"/>
    <n v="26"/>
    <n v="54"/>
  </r>
  <r>
    <n v="793"/>
    <x v="2"/>
    <x v="151"/>
    <s v="eth1/52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52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52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52"/>
    <x v="1"/>
    <x v="1"/>
    <x v="3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52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52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52"/>
    <x v="1"/>
    <x v="1"/>
    <x v="3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52"/>
    <x v="0"/>
    <x v="1"/>
    <x v="3"/>
    <m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52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52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52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52"/>
    <x v="1"/>
    <x v="1"/>
    <x v="3"/>
    <m/>
    <x v="0"/>
    <b v="0"/>
    <s v="No está en VPC"/>
    <n v="830"/>
    <s v="NO EXISTE PG"/>
    <s v="NO EXISTE ISEL"/>
    <n v="0"/>
    <s v="NO TIENE L3OUT"/>
    <n v="12"/>
    <n v="54"/>
  </r>
  <r>
    <n v="821"/>
    <x v="2"/>
    <x v="163"/>
    <s v="eth1/52"/>
    <x v="0"/>
    <x v="1"/>
    <x v="3"/>
    <m/>
    <x v="0"/>
    <b v="0"/>
    <s v="No está en VPC"/>
    <n v="821"/>
    <s v="NO EXISTE PG"/>
    <s v="NO EXISTE ISEL"/>
    <n v="0"/>
    <s v="NO TIENE L3OUT"/>
    <n v="0"/>
    <n v="54"/>
  </r>
  <r>
    <n v="738"/>
    <x v="2"/>
    <x v="164"/>
    <s v="eth1/52"/>
    <x v="0"/>
    <x v="1"/>
    <x v="3"/>
    <m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52"/>
    <x v="0"/>
    <x v="1"/>
    <x v="3"/>
    <m/>
    <x v="0"/>
    <b v="0"/>
    <s v="No está en VPC"/>
    <n v="820"/>
    <s v="NO EXISTE PG"/>
    <s v="NO EXISTE ISEL"/>
    <n v="0"/>
    <s v="NO TIENE L3OUT"/>
    <n v="72"/>
    <n v="54"/>
  </r>
  <r>
    <n v="804"/>
    <x v="2"/>
    <x v="166"/>
    <s v="eth1/52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52"/>
    <x v="1"/>
    <x v="1"/>
    <x v="3"/>
    <m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52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52"/>
    <x v="1"/>
    <x v="1"/>
    <x v="3"/>
    <m/>
    <x v="0"/>
    <b v="0"/>
    <s v="No está en VPC"/>
    <n v="827"/>
    <s v="NO EXISTE PG"/>
    <s v="NO EXISTE ISEL"/>
    <n v="0"/>
    <s v="NO TIENE L3OUT"/>
    <n v="14"/>
    <n v="54"/>
  </r>
  <r>
    <n v="809"/>
    <x v="2"/>
    <x v="170"/>
    <s v="eth1/52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52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52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52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52"/>
    <x v="1"/>
    <x v="1"/>
    <x v="3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52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52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52"/>
    <x v="1"/>
    <x v="1"/>
    <x v="3"/>
    <m/>
    <x v="0"/>
    <b v="0"/>
    <s v="No está en VPC"/>
    <n v="851"/>
    <s v="NO EXISTE PG"/>
    <s v="NO EXISTE ISEL"/>
    <n v="0"/>
    <s v="NO TIENE L3OUT"/>
    <n v="282"/>
    <n v="54"/>
  </r>
  <r>
    <n v="798"/>
    <x v="2"/>
    <x v="178"/>
    <s v="eth1/52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52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52"/>
    <x v="1"/>
    <x v="1"/>
    <x v="3"/>
    <m/>
    <x v="0"/>
    <b v="0"/>
    <s v="No está en VPC"/>
    <n v="852"/>
    <s v="NO EXISTE PG"/>
    <s v="NO EXISTE ISEL"/>
    <n v="0"/>
    <s v="NO TIENE L3OUT"/>
    <n v="258"/>
    <n v="54"/>
  </r>
  <r>
    <n v="817"/>
    <x v="2"/>
    <x v="181"/>
    <s v="eth1/52"/>
    <x v="1"/>
    <x v="1"/>
    <x v="3"/>
    <m/>
    <x v="0"/>
    <b v="0"/>
    <s v="No está en VPC"/>
    <n v="817"/>
    <s v="NO EXISTE PG"/>
    <s v="NO EXISTE ISEL"/>
    <n v="0"/>
    <s v="NO TIENE L3OUT"/>
    <n v="0"/>
    <n v="54"/>
  </r>
  <r>
    <n v="832"/>
    <x v="2"/>
    <x v="182"/>
    <s v="eth1/52"/>
    <x v="1"/>
    <x v="1"/>
    <x v="3"/>
    <m/>
    <x v="0"/>
    <b v="0"/>
    <s v="No está en VPC"/>
    <n v="832"/>
    <s v="NO EXISTE PG"/>
    <s v="NO EXISTE ISEL"/>
    <n v="0"/>
    <s v="NO TIENE L3OUT"/>
    <n v="192"/>
    <n v="54"/>
  </r>
  <r>
    <n v="816"/>
    <x v="2"/>
    <x v="183"/>
    <s v="eth1/52"/>
    <x v="0"/>
    <x v="1"/>
    <x v="3"/>
    <m/>
    <x v="0"/>
    <b v="0"/>
    <s v="No está en VPC"/>
    <n v="816"/>
    <s v="NO EXISTE PG"/>
    <s v="NO EXISTE ISEL"/>
    <n v="0"/>
    <s v="NO TIENE L3OUT"/>
    <n v="0"/>
    <n v="54"/>
  </r>
  <r>
    <n v="825"/>
    <x v="2"/>
    <x v="184"/>
    <s v="eth1/52"/>
    <x v="0"/>
    <x v="1"/>
    <x v="3"/>
    <m/>
    <x v="0"/>
    <b v="0"/>
    <s v="No está en VPC"/>
    <n v="825"/>
    <s v="NO EXISTE PG"/>
    <s v="NO EXISTE ISEL"/>
    <n v="0"/>
    <s v="NO TIENE L3OUT"/>
    <n v="72"/>
    <n v="54"/>
  </r>
  <r>
    <n v="800"/>
    <x v="2"/>
    <x v="185"/>
    <s v="eth1/52"/>
    <x v="1"/>
    <x v="1"/>
    <x v="3"/>
    <m/>
    <x v="0"/>
    <b v="0"/>
    <s v="No está en VPC"/>
    <n v="800"/>
    <s v="NO EXISTE PG"/>
    <s v="NO EXISTE ISEL"/>
    <n v="0"/>
    <s v="NO TIENE L3OUT"/>
    <n v="78"/>
    <n v="54"/>
  </r>
  <r>
    <n v="801"/>
    <x v="2"/>
    <x v="186"/>
    <s v="eth1/52"/>
    <x v="1"/>
    <x v="1"/>
    <x v="3"/>
    <m/>
    <x v="0"/>
    <b v="0"/>
    <s v="No está en VPC"/>
    <n v="801"/>
    <s v="NO EXISTE PG"/>
    <s v="NO EXISTE ISEL"/>
    <n v="0"/>
    <s v="NO TIENE L3OUT"/>
    <n v="78"/>
    <n v="54"/>
  </r>
  <r>
    <n v="823"/>
    <x v="2"/>
    <x v="187"/>
    <s v="eth1/52"/>
    <x v="0"/>
    <x v="1"/>
    <x v="3"/>
    <m/>
    <x v="0"/>
    <b v="0"/>
    <s v="No está en VPC"/>
    <n v="823"/>
    <s v="NO EXISTE PG"/>
    <s v="NO EXISTE ISEL"/>
    <n v="0"/>
    <s v="NO TIENE L3OUT"/>
    <n v="8"/>
    <n v="54"/>
  </r>
  <r>
    <n v="837"/>
    <x v="2"/>
    <x v="188"/>
    <s v="eth1/52"/>
    <x v="1"/>
    <x v="1"/>
    <x v="3"/>
    <m/>
    <x v="0"/>
    <b v="0"/>
    <s v="No está en VPC"/>
    <n v="837"/>
    <s v="NO EXISTE PG"/>
    <s v="NO EXISTE ISEL"/>
    <n v="0"/>
    <s v="NO TIENE L3OUT"/>
    <n v="8"/>
    <n v="54"/>
  </r>
  <r>
    <n v="867"/>
    <x v="2"/>
    <x v="189"/>
    <s v="eth1/52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52"/>
    <x v="1"/>
    <x v="1"/>
    <x v="3"/>
    <m/>
    <x v="0"/>
    <b v="0"/>
    <s v="No está en VPC"/>
    <n v="829"/>
    <s v="NO EXISTE PG"/>
    <s v="NO EXISTE ISEL"/>
    <n v="0"/>
    <s v="NO TIENE L3OUT"/>
    <n v="224"/>
    <n v="54"/>
  </r>
  <r>
    <n v="831"/>
    <x v="2"/>
    <x v="191"/>
    <s v="eth1/52"/>
    <x v="1"/>
    <x v="1"/>
    <x v="3"/>
    <m/>
    <x v="0"/>
    <b v="0"/>
    <s v="No está en VPC"/>
    <n v="831"/>
    <s v="NO EXISTE PG"/>
    <s v="NO EXISTE ISEL"/>
    <n v="0"/>
    <s v="NO TIENE L3OUT"/>
    <n v="14"/>
    <n v="54"/>
  </r>
  <r>
    <n v="802"/>
    <x v="2"/>
    <x v="192"/>
    <s v="eth1/52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52"/>
    <x v="1"/>
    <x v="1"/>
    <x v="3"/>
    <m/>
    <x v="0"/>
    <b v="0"/>
    <s v="No está en VPC"/>
    <n v="835"/>
    <s v="NO EXISTE PG"/>
    <s v="NO EXISTE ISEL"/>
    <n v="0"/>
    <s v="NO TIENE L3OUT"/>
    <n v="8"/>
    <n v="54"/>
  </r>
  <r>
    <n v="822"/>
    <x v="2"/>
    <x v="194"/>
    <s v="eth1/52"/>
    <x v="0"/>
    <x v="1"/>
    <x v="3"/>
    <m/>
    <x v="0"/>
    <b v="0"/>
    <s v="No está en VPC"/>
    <n v="822"/>
    <s v="NO EXISTE PG"/>
    <s v="NO EXISTE ISEL"/>
    <n v="0"/>
    <s v="NO TIENE L3OUT"/>
    <n v="0"/>
    <n v="54"/>
  </r>
  <r>
    <n v="854"/>
    <x v="2"/>
    <x v="195"/>
    <s v="eth1/52"/>
    <x v="1"/>
    <x v="1"/>
    <x v="3"/>
    <m/>
    <x v="0"/>
    <b v="0"/>
    <s v="No está en VPC"/>
    <n v="854"/>
    <s v="NO EXISTE PG"/>
    <s v="NO EXISTE ISEL"/>
    <n v="0"/>
    <s v="NO TIENE L3OUT"/>
    <n v="204"/>
    <n v="54"/>
  </r>
  <r>
    <n v="858"/>
    <x v="2"/>
    <x v="196"/>
    <s v="eth1/52"/>
    <x v="1"/>
    <x v="1"/>
    <x v="3"/>
    <m/>
    <x v="0"/>
    <b v="0"/>
    <s v="No está en VPC"/>
    <n v="858"/>
    <s v="NO EXISTE PG"/>
    <s v="NO EXISTE ISEL"/>
    <n v="0"/>
    <s v="NO TIENE L3OUT"/>
    <n v="8"/>
    <n v="54"/>
  </r>
  <r>
    <n v="857"/>
    <x v="2"/>
    <x v="197"/>
    <s v="eth1/52"/>
    <x v="1"/>
    <x v="1"/>
    <x v="3"/>
    <m/>
    <x v="0"/>
    <b v="0"/>
    <s v="No está en VPC"/>
    <n v="857"/>
    <s v="NO EXISTE PG"/>
    <s v="NO EXISTE ISEL"/>
    <n v="0"/>
    <s v="NO TIENE L3OUT"/>
    <n v="288"/>
    <n v="54"/>
  </r>
  <r>
    <n v="859"/>
    <x v="2"/>
    <x v="198"/>
    <s v="eth1/52"/>
    <x v="1"/>
    <x v="1"/>
    <x v="3"/>
    <m/>
    <x v="0"/>
    <b v="0"/>
    <s v="No está en VPC"/>
    <n v="859"/>
    <s v="NO EXISTE PG"/>
    <s v="NO EXISTE ISEL"/>
    <n v="0"/>
    <s v="NO TIENE L3OUT"/>
    <n v="0"/>
    <n v="54"/>
  </r>
  <r>
    <n v="833"/>
    <x v="2"/>
    <x v="199"/>
    <s v="eth1/52"/>
    <x v="1"/>
    <x v="1"/>
    <x v="3"/>
    <m/>
    <x v="0"/>
    <b v="0"/>
    <s v="No está en VPC"/>
    <n v="833"/>
    <s v="NO EXISTE PG"/>
    <s v="NO EXISTE ISEL"/>
    <n v="0"/>
    <s v="NO TIENE L3OUT"/>
    <n v="224"/>
    <n v="54"/>
  </r>
  <r>
    <n v="818"/>
    <x v="2"/>
    <x v="200"/>
    <s v="eth1/52"/>
    <x v="0"/>
    <x v="1"/>
    <x v="3"/>
    <m/>
    <x v="0"/>
    <b v="0"/>
    <s v="No está en VPC"/>
    <n v="818"/>
    <s v="NO EXISTE PG"/>
    <s v="NO EXISTE ISEL"/>
    <n v="0"/>
    <s v="NO TIENE L3OUT"/>
    <n v="8"/>
    <n v="54"/>
  </r>
  <r>
    <n v="850"/>
    <x v="2"/>
    <x v="201"/>
    <s v="eth1/52"/>
    <x v="1"/>
    <x v="1"/>
    <x v="3"/>
    <m/>
    <x v="0"/>
    <b v="0"/>
    <s v="No está en VPC"/>
    <n v="850"/>
    <s v="NO EXISTE PG"/>
    <s v="NO EXISTE ISEL"/>
    <n v="0"/>
    <s v="NO TIENE L3OUT"/>
    <n v="288"/>
    <n v="54"/>
  </r>
  <r>
    <n v="860"/>
    <x v="2"/>
    <x v="202"/>
    <s v="eth1/52"/>
    <x v="1"/>
    <x v="1"/>
    <x v="3"/>
    <m/>
    <x v="0"/>
    <b v="0"/>
    <s v="No está en VPC"/>
    <n v="860"/>
    <s v="NO EXISTE PG"/>
    <s v="NO EXISTE ISEL"/>
    <n v="0"/>
    <s v="NO TIENE L3OUT"/>
    <n v="0"/>
    <n v="54"/>
  </r>
  <r>
    <n v="853"/>
    <x v="2"/>
    <x v="203"/>
    <s v="eth1/52"/>
    <x v="1"/>
    <x v="1"/>
    <x v="3"/>
    <m/>
    <x v="0"/>
    <b v="0"/>
    <s v="No está en VPC"/>
    <n v="853"/>
    <s v="NO EXISTE PG"/>
    <s v="NO EXISTE ISEL"/>
    <n v="0"/>
    <s v="NO TIENE L3OUT"/>
    <n v="242"/>
    <n v="54"/>
  </r>
  <r>
    <n v="790"/>
    <x v="2"/>
    <x v="204"/>
    <s v="eth1/52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52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52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52"/>
    <x v="0"/>
    <x v="1"/>
    <x v="1"/>
    <s v="CISCO ANA 01 EHEALTH"/>
    <x v="6"/>
    <b v="0"/>
    <s v="No está en VPC"/>
    <n v="104"/>
    <s v="INTPG_ACC_104_1.52"/>
    <s v="ISEL-1.52"/>
    <n v="1"/>
    <s v="NO TIENE L3OUT"/>
    <n v="194"/>
    <n v="96"/>
  </r>
  <r>
    <n v="158"/>
    <x v="0"/>
    <x v="208"/>
    <s v="eth1/52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52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52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52"/>
    <x v="0"/>
    <x v="0"/>
    <x v="0"/>
    <s v="DESC"/>
    <x v="6"/>
    <b v="0"/>
    <s v="No está en VPC"/>
    <n v="108"/>
    <s v="INTPG_PC_108_1.51-52"/>
    <s v="ISEL-1.52"/>
    <n v="1"/>
    <s v="NO TIENE L3OUT"/>
    <n v="126"/>
    <n v="96"/>
  </r>
  <r>
    <n v="112"/>
    <x v="0"/>
    <x v="212"/>
    <s v="eth1/52"/>
    <x v="0"/>
    <x v="1"/>
    <x v="1"/>
    <s v="SAPCCRATING07"/>
    <x v="6"/>
    <b v="0"/>
    <s v="No está en VPC"/>
    <n v="112"/>
    <s v="INTPG_VPC_112_1.52_114_1.49"/>
    <s v="ISEL-1.52"/>
    <n v="1"/>
    <s v="NO TIENE L3OUT"/>
    <n v="144"/>
    <n v="96"/>
  </r>
  <r>
    <n v="107"/>
    <x v="0"/>
    <x v="213"/>
    <s v="eth1/52"/>
    <x v="0"/>
    <x v="0"/>
    <x v="0"/>
    <s v="COMISIONES"/>
    <x v="6"/>
    <b v="0"/>
    <s v="No está en VPC"/>
    <n v="107"/>
    <s v="INTPG_ACC_107_1.52"/>
    <s v="ISEL-1.52"/>
    <n v="1"/>
    <s v="NO TIENE L3OUT"/>
    <n v="118"/>
    <n v="96"/>
  </r>
  <r>
    <n v="109"/>
    <x v="0"/>
    <x v="214"/>
    <s v="eth1/52"/>
    <x v="1"/>
    <x v="1"/>
    <x v="2"/>
    <s v="OBIE_1-2"/>
    <x v="6"/>
    <b v="0"/>
    <s v="No está en VPC"/>
    <n v="109"/>
    <s v="INTPG_ACC_109_1.52"/>
    <s v="ISEL-1.52"/>
    <n v="1"/>
    <s v="NO TIENE L3OUT"/>
    <n v="126"/>
    <n v="96"/>
  </r>
  <r>
    <n v="113"/>
    <x v="0"/>
    <x v="215"/>
    <s v="eth1/52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52"/>
    <x v="0"/>
    <x v="1"/>
    <x v="1"/>
    <s v="SAPCCRATING10"/>
    <x v="6"/>
    <b v="0"/>
    <s v="No está en VPC"/>
    <n v="114"/>
    <s v="INTPG_VPC_112_1.55_114_1.52"/>
    <s v="ISEL-1.52"/>
    <n v="1"/>
    <s v="NO TIENE L3OUT"/>
    <n v="144"/>
    <n v="96"/>
  </r>
  <r>
    <n v="124"/>
    <x v="0"/>
    <x v="217"/>
    <s v="eth1/52"/>
    <x v="0"/>
    <x v="0"/>
    <x v="0"/>
    <s v="CIRCULO Azul(UXCA)"/>
    <x v="6"/>
    <b v="0"/>
    <s v="No está en VPC"/>
    <n v="124"/>
    <s v="INTPG_ACC_124_1.52"/>
    <s v="ISEL-1.52"/>
    <n v="1"/>
    <s v="NO TIENE L3OUT"/>
    <n v="80"/>
    <n v="96"/>
  </r>
  <r>
    <n v="118"/>
    <x v="0"/>
    <x v="218"/>
    <s v="eth1/52"/>
    <x v="0"/>
    <x v="1"/>
    <x v="1"/>
    <s v="USSD TANGO"/>
    <x v="6"/>
    <b v="0"/>
    <s v="No está en VPC"/>
    <n v="118"/>
    <s v="INTPG_ACC_118_1.52"/>
    <s v="ISEL-1.52"/>
    <n v="1"/>
    <s v="NO TIENE L3OUT"/>
    <n v="180"/>
    <n v="96"/>
  </r>
  <r>
    <n v="159"/>
    <x v="0"/>
    <x v="219"/>
    <s v="eth1/52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52"/>
    <x v="1"/>
    <x v="1"/>
    <x v="3"/>
    <m/>
    <x v="0"/>
    <b v="0"/>
    <s v="No está en VPC"/>
    <n v="840"/>
    <s v="NO EXISTE PG"/>
    <s v="NO EXISTE ISEL"/>
    <n v="0"/>
    <s v="NO TIENE L3OUT"/>
    <n v="8"/>
    <n v="54"/>
  </r>
  <r>
    <n v="856"/>
    <x v="2"/>
    <x v="221"/>
    <s v="eth1/52"/>
    <x v="1"/>
    <x v="1"/>
    <x v="3"/>
    <m/>
    <x v="0"/>
    <b v="0"/>
    <s v="No está en VPC"/>
    <n v="856"/>
    <s v="NO EXISTE PG"/>
    <s v="NO EXISTE ISEL"/>
    <n v="0"/>
    <s v="NO TIENE L3OUT"/>
    <n v="286"/>
    <n v="54"/>
  </r>
  <r>
    <n v="110"/>
    <x v="0"/>
    <x v="222"/>
    <s v="eth1/52"/>
    <x v="0"/>
    <x v="0"/>
    <x v="0"/>
    <s v="STORAGE_VNX_0493_BKP1_AND_BKP2"/>
    <x v="6"/>
    <b v="0"/>
    <s v="No está en VPC"/>
    <n v="110"/>
    <s v="INTPG_ACC_110_1.52"/>
    <s v="ISEL-1.52"/>
    <n v="1"/>
    <s v="NO TIENE L3OUT"/>
    <n v="102"/>
    <n v="96"/>
  </r>
  <r>
    <n v="163"/>
    <x v="0"/>
    <x v="223"/>
    <s v="eth1/52"/>
    <x v="0"/>
    <x v="0"/>
    <x v="0"/>
    <s v="CELCITE"/>
    <x v="6"/>
    <b v="0"/>
    <s v="No está en VPC"/>
    <n v="163"/>
    <s v="INTPG_ACC_163_1.52"/>
    <s v="ISEL-1.52"/>
    <n v="1"/>
    <s v="NO TIENE L3OUT"/>
    <n v="140"/>
    <n v="96"/>
  </r>
  <r>
    <n v="407"/>
    <x v="1"/>
    <x v="224"/>
    <s v="eth1/52"/>
    <x v="0"/>
    <x v="0"/>
    <x v="0"/>
    <s v="TO-ITHFDEOCP1LWR02-PRINCIPAL"/>
    <x v="6"/>
    <b v="0"/>
    <s v="No está en VPC"/>
    <n v="407"/>
    <s v="INTPG_ACC_407_1.52"/>
    <s v="ISEL-1.52"/>
    <n v="1"/>
    <s v="NO TIENE L3OUT"/>
    <n v="122"/>
    <n v="96"/>
  </r>
  <r>
    <n v="171"/>
    <x v="0"/>
    <x v="225"/>
    <s v="eth1/52"/>
    <x v="0"/>
    <x v="0"/>
    <x v="0"/>
    <s v="SRS (Speedy Rating System)"/>
    <x v="6"/>
    <b v="0"/>
    <s v="No está en VPC"/>
    <n v="171"/>
    <s v="INTPG_ACC_171_1.52"/>
    <s v="ISEL-1.52"/>
    <n v="1"/>
    <s v="NO TIENE L3OUT"/>
    <n v="114"/>
    <n v="96"/>
  </r>
  <r>
    <n v="421"/>
    <x v="1"/>
    <x v="226"/>
    <s v="eth1/52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52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52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52"/>
    <x v="0"/>
    <x v="0"/>
    <x v="0"/>
    <s v="SRS (Speedy Rating System)"/>
    <x v="6"/>
    <b v="0"/>
    <s v="No está en VPC"/>
    <n v="172"/>
    <s v="INTPG_ACC_172_1.52"/>
    <s v="ISEL-1.52"/>
    <n v="1"/>
    <s v="NO TIENE L3OUT"/>
    <n v="104"/>
    <n v="96"/>
  </r>
  <r>
    <n v="420"/>
    <x v="1"/>
    <x v="230"/>
    <s v="eth1/52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52"/>
    <x v="0"/>
    <x v="0"/>
    <x v="0"/>
    <s v="HP Proliant DL380p(b)"/>
    <x v="6"/>
    <b v="0"/>
    <s v="No está en VPC"/>
    <n v="423"/>
    <s v="INTPG_ACC_423_1.52"/>
    <s v="ISEL-1.52"/>
    <n v="1"/>
    <s v="NO TIENE L3OUT"/>
    <n v="86"/>
    <n v="96"/>
  </r>
  <r>
    <n v="415"/>
    <x v="1"/>
    <x v="232"/>
    <s v="eth1/52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52"/>
    <x v="0"/>
    <x v="1"/>
    <x v="1"/>
    <s v="BLACKBERRY:SECURITY TEST:VC2-X8"/>
    <x v="6"/>
    <b v="0"/>
    <s v="No está en VPC"/>
    <n v="102"/>
    <s v="INTPG_PC_102_1.52_57-63"/>
    <s v="ISEL-1.52"/>
    <n v="32"/>
    <s v="NO TIENE L3OUT"/>
    <n v="228"/>
    <n v="96"/>
  </r>
  <r>
    <n v="863"/>
    <x v="2"/>
    <x v="234"/>
    <s v="eth1/52"/>
    <x v="1"/>
    <x v="1"/>
    <x v="3"/>
    <m/>
    <x v="0"/>
    <b v="0"/>
    <s v="No está en VPC"/>
    <n v="863"/>
    <s v="NO EXISTE PG"/>
    <s v="NO EXISTE ISEL"/>
    <n v="0"/>
    <s v="NO TIENE L3OUT"/>
    <n v="8"/>
    <n v="54"/>
  </r>
  <r>
    <n v="876"/>
    <x v="2"/>
    <x v="235"/>
    <s v="eth1/52"/>
    <x v="1"/>
    <x v="1"/>
    <x v="3"/>
    <m/>
    <x v="4"/>
    <b v="0"/>
    <s v="No está en VPC"/>
    <n v="876"/>
    <s v="NO EXISTE PG"/>
    <s v="NO EXISTE ISEL"/>
    <n v="0"/>
    <s v="NO TIENE L3OUT"/>
    <n v="92"/>
    <n v="54"/>
  </r>
  <r>
    <n v="877"/>
    <x v="2"/>
    <x v="236"/>
    <s v="eth1/52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52"/>
    <x v="0"/>
    <x v="0"/>
    <x v="0"/>
    <s v="Consola serial"/>
    <x v="6"/>
    <b v="0"/>
    <s v="No está en VPC"/>
    <n v="122"/>
    <s v="INTPG_ACC_122_1.52"/>
    <s v="ISEL-1.52"/>
    <n v="1"/>
    <s v="NO TIENE L3OUT"/>
    <n v="148"/>
    <n v="96"/>
  </r>
  <r>
    <n v="157"/>
    <x v="0"/>
    <x v="238"/>
    <s v="eth1/52"/>
    <x v="0"/>
    <x v="0"/>
    <x v="0"/>
    <s v="UXINGE"/>
    <x v="6"/>
    <b v="0"/>
    <s v="No está en VPC"/>
    <n v="157"/>
    <s v="INTPG_ACC_157_1.52"/>
    <s v="ISEL-1.52"/>
    <n v="1"/>
    <s v="NO TIENE L3OUT"/>
    <n v="202"/>
    <n v="96"/>
  </r>
  <r>
    <n v="408"/>
    <x v="1"/>
    <x v="239"/>
    <s v="eth1/52"/>
    <x v="0"/>
    <x v="0"/>
    <x v="0"/>
    <s v="IBMWASII_01"/>
    <x v="6"/>
    <b v="0"/>
    <s v="No está en VPC"/>
    <n v="408"/>
    <s v="INTPG_ACC_408_1.52"/>
    <s v="ISEL-1.52"/>
    <n v="1"/>
    <s v="NO TIENE L3OUT"/>
    <n v="152"/>
    <n v="96"/>
  </r>
  <r>
    <n v="405"/>
    <x v="1"/>
    <x v="240"/>
    <s v="eth1/52"/>
    <x v="0"/>
    <x v="0"/>
    <x v="0"/>
    <s v="CCURE_9000"/>
    <x v="6"/>
    <b v="0"/>
    <s v="No está en VPC"/>
    <n v="405"/>
    <s v="INTPG_ACC_405_1.52"/>
    <s v="ISEL-1.52"/>
    <n v="1"/>
    <s v="NO TIENE L3OUT"/>
    <n v="138"/>
    <n v="96"/>
  </r>
  <r>
    <n v="169"/>
    <x v="0"/>
    <x v="241"/>
    <s v="eth1/52"/>
    <x v="0"/>
    <x v="0"/>
    <x v="0"/>
    <s v="TO-ITHFDENBURMS04"/>
    <x v="6"/>
    <b v="0"/>
    <s v="No está en VPC"/>
    <n v="169"/>
    <s v="INTPG_VPC_167_1.49_169_1.52"/>
    <s v="ISEL-1.52"/>
    <n v="1"/>
    <s v="NO TIENE L3OUT"/>
    <n v="76"/>
    <n v="96"/>
  </r>
  <r>
    <n v="165"/>
    <x v="0"/>
    <x v="242"/>
    <s v="eth1/52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52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52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52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52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52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52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52"/>
    <x v="0"/>
    <x v="0"/>
    <x v="0"/>
    <s v="DESC"/>
    <x v="6"/>
    <b v="0"/>
    <s v="No está en VPC"/>
    <n v="406"/>
    <s v="INTPG_PC_406_1.51-52"/>
    <s v="ISEL-1.52"/>
    <n v="1"/>
    <s v="NO TIENE L3OUT"/>
    <n v="82"/>
    <n v="96"/>
  </r>
  <r>
    <n v="414"/>
    <x v="1"/>
    <x v="250"/>
    <s v="eth1/52"/>
    <x v="0"/>
    <x v="0"/>
    <x v="0"/>
    <s v="KPAM02_S14"/>
    <x v="6"/>
    <b v="0"/>
    <s v="No está en VPC"/>
    <n v="414"/>
    <s v="INTPG_ACC_414_1.52"/>
    <s v="ISEL-1.52"/>
    <n v="1"/>
    <s v="NO TIENE L3OUT"/>
    <n v="144"/>
    <n v="96"/>
  </r>
  <r>
    <n v="416"/>
    <x v="1"/>
    <x v="251"/>
    <s v="eth1/52"/>
    <x v="0"/>
    <x v="0"/>
    <x v="0"/>
    <s v="R9MEXIXTVIC-1"/>
    <x v="6"/>
    <b v="0"/>
    <s v="No está en VPC"/>
    <n v="416"/>
    <s v="INTPG_ACC_416_1.52"/>
    <s v="ISEL-1.52"/>
    <n v="1"/>
    <s v="NO TIENE L3OUT"/>
    <n v="110"/>
    <n v="96"/>
  </r>
  <r>
    <n v="418"/>
    <x v="1"/>
    <x v="252"/>
    <s v="eth1/52"/>
    <x v="0"/>
    <x v="0"/>
    <x v="0"/>
    <s v="IXTSD970B"/>
    <x v="6"/>
    <b v="0"/>
    <s v="No está en VPC"/>
    <n v="418"/>
    <s v="INTPG_ACC_418_1.52"/>
    <s v="ISEL-1.52"/>
    <n v="1"/>
    <s v="NO TIENE L3OUT"/>
    <n v="152"/>
    <n v="96"/>
  </r>
  <r>
    <n v="413"/>
    <x v="1"/>
    <x v="253"/>
    <s v="eth1/52"/>
    <x v="0"/>
    <x v="0"/>
    <x v="0"/>
    <s v="To-uxingemc4 ldom1 uxinghdr2"/>
    <x v="6"/>
    <b v="0"/>
    <s v="No está en VPC"/>
    <n v="413"/>
    <s v="INTPG_ACC_413_1.52"/>
    <s v="ISEL-1.52"/>
    <n v="1"/>
    <s v="NO TIENE L3OUT"/>
    <n v="126"/>
    <n v="96"/>
  </r>
  <r>
    <n v="403"/>
    <x v="1"/>
    <x v="254"/>
    <s v="eth1/52"/>
    <x v="0"/>
    <x v="0"/>
    <x v="0"/>
    <s v="ITHSGHP0"/>
    <x v="6"/>
    <b v="0"/>
    <s v="No está en VPC"/>
    <n v="403"/>
    <s v="INTPG_ACC_403_1.52"/>
    <s v="ISEL-1.52"/>
    <n v="1"/>
    <s v="NO TIENE L3OUT"/>
    <n v="150"/>
    <n v="96"/>
  </r>
  <r>
    <n v="125"/>
    <x v="0"/>
    <x v="255"/>
    <s v="eth1/52"/>
    <x v="0"/>
    <x v="0"/>
    <x v="0"/>
    <s v="CIRCULO Azul(UXCA)"/>
    <x v="6"/>
    <b v="0"/>
    <s v="No está en VPC"/>
    <n v="125"/>
    <s v="INTPG_ACC_125_1.52"/>
    <s v="ISEL-1.52"/>
    <n v="1"/>
    <s v="NO TIENE L3OUT"/>
    <n v="72"/>
    <n v="96"/>
  </r>
  <r>
    <n v="166"/>
    <x v="0"/>
    <x v="256"/>
    <s v="eth1/52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52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52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52"/>
    <x v="0"/>
    <x v="1"/>
    <x v="1"/>
    <s v="COMISIONES"/>
    <x v="6"/>
    <b v="0"/>
    <s v="No está en VPC"/>
    <n v="106"/>
    <s v="INTPG_ACC_106_1.52"/>
    <s v="ISEL-1.52"/>
    <n v="1"/>
    <s v="NO TIENE L3OUT"/>
    <n v="122"/>
    <n v="96"/>
  </r>
  <r>
    <n v="126"/>
    <x v="0"/>
    <x v="260"/>
    <s v="eth1/52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52"/>
    <x v="0"/>
    <x v="0"/>
    <x v="0"/>
    <s v="VMAX_FLASH_V0_1"/>
    <x v="6"/>
    <b v="0"/>
    <s v="No está en VPC"/>
    <n v="425"/>
    <s v="INTPG_ACC_425_1.52"/>
    <s v="ISEL-1.52"/>
    <n v="1"/>
    <s v="NO TIENE L3OUT"/>
    <n v="86"/>
    <n v="96"/>
  </r>
  <r>
    <n v="151"/>
    <x v="0"/>
    <x v="262"/>
    <s v="eth1/52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52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52"/>
    <x v="0"/>
    <x v="0"/>
    <x v="0"/>
    <s v="SPECSERVER1_ETH4"/>
    <x v="6"/>
    <b v="0"/>
    <s v="No está en VPC"/>
    <n v="419"/>
    <s v="INTPG_ACC_419_1.52"/>
    <s v="ISEL-1.52"/>
    <n v="1"/>
    <s v="NO TIENE L3OUT"/>
    <n v="70"/>
    <n v="96"/>
  </r>
  <r>
    <n v="155"/>
    <x v="0"/>
    <x v="265"/>
    <s v="eth1/52"/>
    <x v="0"/>
    <x v="0"/>
    <x v="0"/>
    <s v="DCX-8510-4B 01-03"/>
    <x v="6"/>
    <b v="0"/>
    <s v="No está en VPC"/>
    <n v="155"/>
    <s v="INTPG_ACC_155_1.52"/>
    <s v="ISEL-1.52"/>
    <n v="1"/>
    <s v="NO TIENE L3OUT"/>
    <n v="198"/>
    <n v="96"/>
  </r>
  <r>
    <n v="409"/>
    <x v="1"/>
    <x v="266"/>
    <s v="eth1/52"/>
    <x v="0"/>
    <x v="0"/>
    <x v="0"/>
    <s v="TO-ITHFDEOCP1LWR02-REDUNDANTE"/>
    <x v="6"/>
    <b v="0"/>
    <s v="No está en VPC"/>
    <n v="409"/>
    <s v="INTPG_ACC_409_1.52"/>
    <s v="ISEL-1.52"/>
    <n v="1"/>
    <s v="NO TIENE L3OUT"/>
    <n v="128"/>
    <n v="96"/>
  </r>
  <r>
    <n v="422"/>
    <x v="1"/>
    <x v="267"/>
    <s v="eth1/52"/>
    <x v="0"/>
    <x v="0"/>
    <x v="0"/>
    <s v="ixtf5oss01_MGMT"/>
    <x v="6"/>
    <b v="0"/>
    <s v="No está en VPC"/>
    <n v="422"/>
    <s v="INTPG_ACC_422_1.52"/>
    <s v="ISEL-1.52"/>
    <n v="1"/>
    <s v="NO TIENE L3OUT"/>
    <n v="182"/>
    <n v="96"/>
  </r>
  <r>
    <n v="436"/>
    <x v="1"/>
    <x v="268"/>
    <s v="eth1/52"/>
    <x v="0"/>
    <x v="0"/>
    <x v="0"/>
    <s v="TC3_ithmomce1_VC1_X3"/>
    <x v="6"/>
    <b v="0"/>
    <s v="No está en VPC"/>
    <n v="436"/>
    <s v="INTPG_ACC_436_1.52"/>
    <s v="ISEL-1.52"/>
    <n v="7"/>
    <s v="NO TIENE L3OUT"/>
    <n v="172"/>
    <n v="96"/>
  </r>
  <r>
    <n v="410"/>
    <x v="1"/>
    <x v="269"/>
    <s v="eth1/52"/>
    <x v="0"/>
    <x v="0"/>
    <x v="0"/>
    <s v="ODA2"/>
    <x v="6"/>
    <b v="0"/>
    <s v="No está en VPC"/>
    <n v="410"/>
    <s v="INTPG_ACC_410_1.52"/>
    <s v="ISEL-1.52"/>
    <n v="1"/>
    <s v="NO TIENE L3OUT"/>
    <n v="178"/>
    <n v="96"/>
  </r>
  <r>
    <n v="161"/>
    <x v="0"/>
    <x v="270"/>
    <s v="eth1/52"/>
    <x v="0"/>
    <x v="0"/>
    <x v="0"/>
    <s v="CELCITE"/>
    <x v="6"/>
    <b v="0"/>
    <s v="No está en VPC"/>
    <n v="161"/>
    <s v="INTPG_ACC_161_1.52"/>
    <s v="ISEL-1.52"/>
    <n v="1"/>
    <s v="NO TIENE L3OUT"/>
    <n v="102"/>
    <n v="96"/>
  </r>
  <r>
    <n v="411"/>
    <x v="1"/>
    <x v="271"/>
    <s v="eth1/52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52"/>
    <x v="0"/>
    <x v="1"/>
    <x v="1"/>
    <s v="NOTIFICATION SERVER TANGO"/>
    <x v="6"/>
    <b v="0"/>
    <s v="No está en VPC"/>
    <n v="116"/>
    <s v="INTPG_ACC_116_1.52"/>
    <s v="ISEL-1.52"/>
    <n v="1"/>
    <s v="NO TIENE L3OUT"/>
    <n v="148"/>
    <n v="96"/>
  </r>
  <r>
    <n v="412"/>
    <x v="1"/>
    <x v="273"/>
    <s v="eth1/52"/>
    <x v="0"/>
    <x v="0"/>
    <x v="0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52"/>
    <x v="0"/>
    <x v="0"/>
    <x v="0"/>
    <s v="IXTTRAP-ETL"/>
    <x v="6"/>
    <b v="0"/>
    <s v="No está en VPC"/>
    <n v="120"/>
    <s v="INTPG_ACC_120_1.52"/>
    <s v="ISEL-1.52"/>
    <n v="1"/>
    <s v="NO TIENE L3OUT"/>
    <n v="158"/>
    <n v="96"/>
  </r>
  <r>
    <n v="404"/>
    <x v="1"/>
    <x v="275"/>
    <s v="eth1/52"/>
    <x v="0"/>
    <x v="0"/>
    <x v="0"/>
    <s v="DESC"/>
    <x v="6"/>
    <b v="0"/>
    <s v="No está en VPC"/>
    <n v="404"/>
    <s v="INTPG_PC_404_1.51-52"/>
    <s v="ISEL-1.52"/>
    <n v="1"/>
    <s v="NO TIENE L3OUT"/>
    <n v="92"/>
    <n v="96"/>
  </r>
  <r>
    <n v="167"/>
    <x v="0"/>
    <x v="276"/>
    <s v="eth1/52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52"/>
    <x v="0"/>
    <x v="0"/>
    <x v="0"/>
    <s v="eth0_vert03hpov_Primario"/>
    <x v="6"/>
    <b v="0"/>
    <s v="No está en VPC"/>
    <n v="428"/>
    <s v="INTPG_ACC_428_1.52"/>
    <s v="ISEL-1.52"/>
    <n v="1"/>
    <s v="NO TIENE L3OUT"/>
    <n v="102"/>
    <n v="96"/>
  </r>
  <r>
    <n v="128"/>
    <x v="0"/>
    <x v="0"/>
    <s v="eth1/53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53"/>
    <x v="0"/>
    <x v="1"/>
    <x v="3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53"/>
    <x v="0"/>
    <x v="1"/>
    <x v="3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53"/>
    <x v="0"/>
    <x v="1"/>
    <x v="3"/>
    <m/>
    <x v="0"/>
    <b v="0"/>
    <s v="No está en VPC"/>
    <n v="101"/>
    <s v="NO EXISTE PG"/>
    <s v="NO EXISTE ISEL"/>
    <n v="0"/>
    <s v="NO TIENE L3OUT"/>
    <n v="114"/>
    <n v="54"/>
  </r>
  <r>
    <n v="160"/>
    <x v="0"/>
    <x v="4"/>
    <s v="eth1/53"/>
    <x v="0"/>
    <x v="1"/>
    <x v="3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53"/>
    <x v="0"/>
    <x v="1"/>
    <x v="3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53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53"/>
    <x v="0"/>
    <x v="1"/>
    <x v="3"/>
    <m/>
    <x v="0"/>
    <b v="0"/>
    <s v="No está en VPC"/>
    <n v="401"/>
    <s v="NO EXISTE PG"/>
    <s v="NO EXISTE ISEL"/>
    <n v="0"/>
    <s v="NO TIENE L3OUT"/>
    <n v="40"/>
    <n v="54"/>
  </r>
  <r>
    <n v="402"/>
    <x v="1"/>
    <x v="8"/>
    <s v="eth1/53"/>
    <x v="0"/>
    <x v="1"/>
    <x v="3"/>
    <m/>
    <x v="0"/>
    <b v="0"/>
    <s v="No está en VPC"/>
    <n v="402"/>
    <s v="NO EXISTE PG"/>
    <s v="NO EXISTE ISEL"/>
    <n v="0"/>
    <s v="NO TIENE L3OUT"/>
    <n v="36"/>
    <n v="54"/>
  </r>
  <r>
    <n v="130"/>
    <x v="0"/>
    <x v="11"/>
    <s v="eth1/53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53"/>
    <x v="0"/>
    <x v="1"/>
    <x v="3"/>
    <m/>
    <x v="0"/>
    <b v="0"/>
    <s v="No está en VPC"/>
    <n v="150"/>
    <s v="NO EXISTE PG"/>
    <s v="NO EXISTE ISEL"/>
    <n v="0"/>
    <s v="NO TIENE L3OUT"/>
    <n v="118"/>
    <n v="54"/>
  </r>
  <r>
    <n v="131"/>
    <x v="0"/>
    <x v="13"/>
    <s v="eth1/53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424"/>
    <x v="1"/>
    <x v="18"/>
    <s v="eth1/53"/>
    <x v="0"/>
    <x v="1"/>
    <x v="3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53"/>
    <x v="1"/>
    <x v="1"/>
    <x v="3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53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53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53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53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53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53"/>
    <x v="1"/>
    <x v="1"/>
    <x v="3"/>
    <m/>
    <x v="0"/>
    <b v="0"/>
    <s v="No está en VPC"/>
    <n v="431"/>
    <s v="NO EXISTE PG"/>
    <s v="NO EXISTE ISEL"/>
    <n v="0"/>
    <s v="NO TIENE L3OUT"/>
    <n v="46"/>
    <n v="54"/>
  </r>
  <r>
    <n v="433"/>
    <x v="1"/>
    <x v="27"/>
    <s v="eth1/53"/>
    <x v="1"/>
    <x v="1"/>
    <x v="3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53"/>
    <x v="1"/>
    <x v="1"/>
    <x v="3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53"/>
    <x v="1"/>
    <x v="1"/>
    <x v="3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53"/>
    <x v="1"/>
    <x v="1"/>
    <x v="3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53"/>
    <x v="1"/>
    <x v="1"/>
    <x v="3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53"/>
    <x v="1"/>
    <x v="1"/>
    <x v="3"/>
    <m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53"/>
    <x v="1"/>
    <x v="1"/>
    <x v="3"/>
    <m/>
    <x v="0"/>
    <b v="0"/>
    <s v="No está en VPC"/>
    <n v="712"/>
    <s v="NO EXISTE PG"/>
    <s v="NO EXISTE ISEL"/>
    <n v="0"/>
    <s v="NO TIENE L3OUT"/>
    <n v="32"/>
    <n v="54"/>
  </r>
  <r>
    <n v="719"/>
    <x v="2"/>
    <x v="34"/>
    <s v="eth1/53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53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53"/>
    <x v="1"/>
    <x v="1"/>
    <x v="3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53"/>
    <x v="1"/>
    <x v="1"/>
    <x v="3"/>
    <m/>
    <x v="0"/>
    <b v="0"/>
    <s v="No está en VPC"/>
    <n v="711"/>
    <s v="NO EXISTE PG"/>
    <s v="NO EXISTE ISEL"/>
    <n v="0"/>
    <s v="NO TIENE L3OUT"/>
    <n v="16"/>
    <n v="54"/>
  </r>
  <r>
    <n v="716"/>
    <x v="2"/>
    <x v="38"/>
    <s v="eth1/53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53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53"/>
    <x v="1"/>
    <x v="1"/>
    <x v="3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53"/>
    <x v="0"/>
    <x v="1"/>
    <x v="3"/>
    <m/>
    <x v="0"/>
    <b v="0"/>
    <s v="No está en VPC"/>
    <n v="446"/>
    <s v="NO EXISTE PG"/>
    <s v="NO EXISTE ISEL"/>
    <n v="0"/>
    <s v="NO TIENE L3OUT"/>
    <n v="198"/>
    <n v="54"/>
  </r>
  <r>
    <n v="444"/>
    <x v="1"/>
    <x v="42"/>
    <s v="eth1/53"/>
    <x v="0"/>
    <x v="1"/>
    <x v="3"/>
    <m/>
    <x v="0"/>
    <b v="0"/>
    <s v="No está en VPC"/>
    <n v="444"/>
    <s v="NO EXISTE PG"/>
    <s v="NO EXISTE ISEL"/>
    <n v="0"/>
    <s v="NO TIENE L3OUT"/>
    <n v="234"/>
    <n v="54"/>
  </r>
  <r>
    <n v="701"/>
    <x v="2"/>
    <x v="43"/>
    <s v="eth1/53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53"/>
    <x v="1"/>
    <x v="1"/>
    <x v="3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53"/>
    <x v="1"/>
    <x v="1"/>
    <x v="3"/>
    <m/>
    <x v="0"/>
    <b v="0"/>
    <s v="No está en VPC"/>
    <n v="448"/>
    <s v="NO EXISTE PG"/>
    <s v="NO EXISTE ISEL"/>
    <n v="0"/>
    <s v="NO TIENE L3OUT"/>
    <n v="46"/>
    <n v="54"/>
  </r>
  <r>
    <n v="704"/>
    <x v="2"/>
    <x v="46"/>
    <s v="eth1/53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53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53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53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53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53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53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53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53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53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53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53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53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53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53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53"/>
    <x v="0"/>
    <x v="0"/>
    <x v="0"/>
    <s v="LINK_HACIA_SPINE"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53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53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53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53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53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53"/>
    <x v="1"/>
    <x v="1"/>
    <x v="3"/>
    <m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53"/>
    <x v="1"/>
    <x v="1"/>
    <x v="3"/>
    <m/>
    <x v="0"/>
    <b v="0"/>
    <s v="No está en VPC"/>
    <n v="780"/>
    <s v="NO EXISTE PG"/>
    <s v="NO EXISTE ISEL"/>
    <n v="0"/>
    <s v="NO TIENE L3OUT"/>
    <n v="26"/>
    <n v="54"/>
  </r>
  <r>
    <n v="812"/>
    <x v="2"/>
    <x v="70"/>
    <s v="eth1/53"/>
    <x v="1"/>
    <x v="1"/>
    <x v="3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53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53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53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53"/>
    <x v="0"/>
    <x v="1"/>
    <x v="3"/>
    <m/>
    <x v="0"/>
    <b v="0"/>
    <s v="No está en VPC"/>
    <n v="824"/>
    <s v="NO EXISTE PG"/>
    <s v="NO EXISTE ISEL"/>
    <n v="0"/>
    <s v="NO TIENE L3OUT"/>
    <n v="70"/>
    <n v="54"/>
  </r>
  <r>
    <n v="819"/>
    <x v="2"/>
    <x v="75"/>
    <s v="eth1/53"/>
    <x v="0"/>
    <x v="1"/>
    <x v="3"/>
    <m/>
    <x v="0"/>
    <b v="0"/>
    <s v="No está en VPC"/>
    <n v="819"/>
    <s v="NO EXISTE PG"/>
    <s v="NO EXISTE ISEL"/>
    <n v="0"/>
    <s v="NO TIENE L3OUT"/>
    <n v="70"/>
    <n v="54"/>
  </r>
  <r>
    <n v="737"/>
    <x v="2"/>
    <x v="76"/>
    <s v="eth1/53"/>
    <x v="0"/>
    <x v="0"/>
    <x v="0"/>
    <s v="LINK_HACIA_SPINE"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53"/>
    <x v="1"/>
    <x v="1"/>
    <x v="3"/>
    <m/>
    <x v="0"/>
    <b v="0"/>
    <s v="No está en VPC"/>
    <n v="844"/>
    <s v="NO EXISTE PG"/>
    <s v="NO EXISTE ISEL"/>
    <n v="0"/>
    <s v="NO TIENE L3OUT"/>
    <n v="282"/>
    <n v="54"/>
  </r>
  <r>
    <n v="843"/>
    <x v="2"/>
    <x v="78"/>
    <s v="eth1/53"/>
    <x v="1"/>
    <x v="1"/>
    <x v="3"/>
    <m/>
    <x v="0"/>
    <b v="0"/>
    <s v="No está en VPC"/>
    <n v="843"/>
    <s v="NO EXISTE PG"/>
    <s v="NO EXISTE ISEL"/>
    <n v="0"/>
    <s v="NO TIENE L3OUT"/>
    <n v="38"/>
    <n v="54"/>
  </r>
  <r>
    <n v="797"/>
    <x v="2"/>
    <x v="79"/>
    <s v="eth1/53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53"/>
    <x v="1"/>
    <x v="1"/>
    <x v="3"/>
    <m/>
    <x v="0"/>
    <b v="0"/>
    <s v="No está en VPC"/>
    <n v="839"/>
    <s v="NO EXISTE PG"/>
    <s v="NO EXISTE ISEL"/>
    <n v="0"/>
    <s v="NO TIENE L3OUT"/>
    <n v="0"/>
    <n v="54"/>
  </r>
  <r>
    <n v="847"/>
    <x v="2"/>
    <x v="81"/>
    <s v="eth1/53"/>
    <x v="1"/>
    <x v="1"/>
    <x v="3"/>
    <m/>
    <x v="0"/>
    <b v="0"/>
    <s v="No está en VPC"/>
    <n v="847"/>
    <s v="NO EXISTE PG"/>
    <s v="NO EXISTE ISEL"/>
    <n v="0"/>
    <s v="NO TIENE L3OUT"/>
    <n v="204"/>
    <n v="54"/>
  </r>
  <r>
    <n v="848"/>
    <x v="2"/>
    <x v="82"/>
    <s v="eth1/53"/>
    <x v="1"/>
    <x v="1"/>
    <x v="3"/>
    <m/>
    <x v="0"/>
    <b v="0"/>
    <s v="No está en VPC"/>
    <n v="848"/>
    <s v="NO EXISTE PG"/>
    <s v="NO EXISTE ISEL"/>
    <n v="0"/>
    <s v="NO TIENE L3OUT"/>
    <n v="254"/>
    <n v="54"/>
  </r>
  <r>
    <n v="846"/>
    <x v="2"/>
    <x v="83"/>
    <s v="eth1/53"/>
    <x v="1"/>
    <x v="1"/>
    <x v="3"/>
    <m/>
    <x v="0"/>
    <b v="0"/>
    <s v="No está en VPC"/>
    <n v="846"/>
    <s v="NO EXISTE PG"/>
    <s v="NO EXISTE ISEL"/>
    <n v="0"/>
    <s v="NO TIENE L3OUT"/>
    <n v="242"/>
    <n v="54"/>
  </r>
  <r>
    <n v="838"/>
    <x v="2"/>
    <x v="84"/>
    <s v="eth1/53"/>
    <x v="1"/>
    <x v="1"/>
    <x v="3"/>
    <m/>
    <x v="0"/>
    <b v="0"/>
    <s v="No está en VPC"/>
    <n v="838"/>
    <s v="NO EXISTE PG"/>
    <s v="NO EXISTE ISEL"/>
    <n v="0"/>
    <s v="NO TIENE L3OUT"/>
    <n v="38"/>
    <n v="54"/>
  </r>
  <r>
    <n v="849"/>
    <x v="2"/>
    <x v="85"/>
    <s v="eth1/53"/>
    <x v="1"/>
    <x v="1"/>
    <x v="3"/>
    <m/>
    <x v="0"/>
    <b v="0"/>
    <s v="No está en VPC"/>
    <n v="849"/>
    <s v="NO EXISTE PG"/>
    <s v="NO EXISTE ISEL"/>
    <n v="0"/>
    <s v="NO TIENE L3OUT"/>
    <n v="286"/>
    <n v="54"/>
  </r>
  <r>
    <n v="845"/>
    <x v="2"/>
    <x v="86"/>
    <s v="eth1/53"/>
    <x v="1"/>
    <x v="1"/>
    <x v="3"/>
    <m/>
    <x v="0"/>
    <b v="0"/>
    <s v="No está en VPC"/>
    <n v="845"/>
    <s v="NO EXISTE PG"/>
    <s v="NO EXISTE ISEL"/>
    <n v="0"/>
    <s v="NO TIENE L3OUT"/>
    <n v="258"/>
    <n v="54"/>
  </r>
  <r>
    <n v="873"/>
    <x v="2"/>
    <x v="87"/>
    <s v="eth1/53"/>
    <x v="1"/>
    <x v="1"/>
    <x v="3"/>
    <m/>
    <x v="0"/>
    <b v="0"/>
    <s v="No está en VPC"/>
    <n v="873"/>
    <s v="NO EXISTE PG"/>
    <s v="NO EXISTE ISEL"/>
    <n v="0"/>
    <s v="NO TIENE L3OUT"/>
    <n v="248"/>
    <n v="54"/>
  </r>
  <r>
    <n v="864"/>
    <x v="2"/>
    <x v="88"/>
    <s v="eth1/53"/>
    <x v="1"/>
    <x v="1"/>
    <x v="3"/>
    <m/>
    <x v="0"/>
    <b v="0"/>
    <s v="No está en VPC"/>
    <n v="864"/>
    <s v="NO EXISTE PG"/>
    <s v="NO EXISTE ISEL"/>
    <n v="0"/>
    <s v="NO TIENE L3OUT"/>
    <n v="0"/>
    <n v="54"/>
  </r>
  <r>
    <n v="836"/>
    <x v="2"/>
    <x v="89"/>
    <s v="eth1/53"/>
    <x v="1"/>
    <x v="1"/>
    <x v="3"/>
    <m/>
    <x v="0"/>
    <b v="0"/>
    <s v="No está en VPC"/>
    <n v="836"/>
    <s v="NO EXISTE PG"/>
    <s v="NO EXISTE ISEL"/>
    <n v="0"/>
    <s v="NO TIENE L3OUT"/>
    <n v="0"/>
    <n v="54"/>
  </r>
  <r>
    <n v="834"/>
    <x v="2"/>
    <x v="90"/>
    <s v="eth1/53"/>
    <x v="1"/>
    <x v="1"/>
    <x v="3"/>
    <m/>
    <x v="0"/>
    <b v="0"/>
    <s v="No está en VPC"/>
    <n v="834"/>
    <s v="NO EXISTE PG"/>
    <s v="NO EXISTE ISEL"/>
    <n v="0"/>
    <s v="NO TIENE L3OUT"/>
    <n v="0"/>
    <n v="54"/>
  </r>
  <r>
    <n v="872"/>
    <x v="2"/>
    <x v="91"/>
    <s v="eth1/53"/>
    <x v="1"/>
    <x v="1"/>
    <x v="3"/>
    <m/>
    <x v="0"/>
    <b v="0"/>
    <s v="No está en VPC"/>
    <n v="872"/>
    <s v="NO EXISTE PG"/>
    <s v="NO EXISTE ISEL"/>
    <n v="0"/>
    <s v="NO TIENE L3OUT"/>
    <n v="288"/>
    <n v="54"/>
  </r>
  <r>
    <n v="842"/>
    <x v="2"/>
    <x v="92"/>
    <s v="eth1/53"/>
    <x v="1"/>
    <x v="1"/>
    <x v="3"/>
    <m/>
    <x v="0"/>
    <b v="0"/>
    <s v="No está en VPC"/>
    <n v="842"/>
    <s v="NO EXISTE PG"/>
    <s v="NO EXISTE ISEL"/>
    <n v="0"/>
    <s v="NO TIENE L3OUT"/>
    <n v="8"/>
    <n v="54"/>
  </r>
  <r>
    <n v="828"/>
    <x v="2"/>
    <x v="93"/>
    <s v="eth1/53"/>
    <x v="1"/>
    <x v="1"/>
    <x v="3"/>
    <m/>
    <x v="0"/>
    <b v="0"/>
    <s v="No está en VPC"/>
    <n v="828"/>
    <s v="NO EXISTE PG"/>
    <s v="NO EXISTE ISEL"/>
    <n v="0"/>
    <s v="NO TIENE L3OUT"/>
    <n v="192"/>
    <n v="54"/>
  </r>
  <r>
    <n v="870"/>
    <x v="2"/>
    <x v="94"/>
    <s v="eth1/53"/>
    <x v="1"/>
    <x v="1"/>
    <x v="3"/>
    <m/>
    <x v="0"/>
    <b v="0"/>
    <s v="No está en VPC"/>
    <n v="870"/>
    <s v="NO EXISTE PG"/>
    <s v="NO EXISTE ISEL"/>
    <n v="0"/>
    <s v="NO TIENE L3OUT"/>
    <n v="248"/>
    <n v="54"/>
  </r>
  <r>
    <n v="866"/>
    <x v="2"/>
    <x v="95"/>
    <s v="eth1/53"/>
    <x v="1"/>
    <x v="1"/>
    <x v="3"/>
    <m/>
    <x v="0"/>
    <b v="0"/>
    <s v="No está en VPC"/>
    <n v="866"/>
    <s v="NO EXISTE PG"/>
    <s v="NO EXISTE ISEL"/>
    <n v="0"/>
    <s v="NO TIENE L3OUT"/>
    <n v="8"/>
    <n v="54"/>
  </r>
  <r>
    <n v="862"/>
    <x v="2"/>
    <x v="96"/>
    <s v="eth1/53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53"/>
    <x v="1"/>
    <x v="1"/>
    <x v="3"/>
    <m/>
    <x v="0"/>
    <b v="0"/>
    <s v="No está en VPC"/>
    <n v="855"/>
    <s v="NO EXISTE PG"/>
    <s v="NO EXISTE ISEL"/>
    <n v="0"/>
    <s v="NO TIENE L3OUT"/>
    <n v="254"/>
    <n v="54"/>
  </r>
  <r>
    <n v="871"/>
    <x v="2"/>
    <x v="98"/>
    <s v="eth1/53"/>
    <x v="1"/>
    <x v="1"/>
    <x v="3"/>
    <m/>
    <x v="0"/>
    <b v="0"/>
    <s v="No está en VPC"/>
    <n v="871"/>
    <s v="NO EXISTE PG"/>
    <s v="NO EXISTE ISEL"/>
    <n v="0"/>
    <s v="NO TIENE L3OUT"/>
    <n v="246"/>
    <n v="54"/>
  </r>
  <r>
    <n v="841"/>
    <x v="2"/>
    <x v="99"/>
    <s v="eth1/53"/>
    <x v="1"/>
    <x v="1"/>
    <x v="3"/>
    <m/>
    <x v="0"/>
    <b v="0"/>
    <s v="No está en VPC"/>
    <n v="841"/>
    <s v="NO EXISTE PG"/>
    <s v="NO EXISTE ISEL"/>
    <n v="0"/>
    <s v="NO TIENE L3OUT"/>
    <n v="0"/>
    <n v="54"/>
  </r>
  <r>
    <n v="868"/>
    <x v="2"/>
    <x v="100"/>
    <s v="eth1/53"/>
    <x v="1"/>
    <x v="1"/>
    <x v="3"/>
    <m/>
    <x v="0"/>
    <b v="0"/>
    <s v="No está en VPC"/>
    <n v="868"/>
    <s v="NO EXISTE PG"/>
    <s v="NO EXISTE ISEL"/>
    <n v="0"/>
    <s v="NO TIENE L3OUT"/>
    <n v="246"/>
    <n v="54"/>
  </r>
  <r>
    <n v="869"/>
    <x v="2"/>
    <x v="101"/>
    <s v="eth1/53"/>
    <x v="1"/>
    <x v="1"/>
    <x v="3"/>
    <m/>
    <x v="0"/>
    <b v="0"/>
    <s v="No está en VPC"/>
    <n v="869"/>
    <s v="NO EXISTE PG"/>
    <s v="NO EXISTE ISEL"/>
    <n v="0"/>
    <s v="NO TIENE L3OUT"/>
    <n v="288"/>
    <n v="54"/>
  </r>
  <r>
    <n v="861"/>
    <x v="2"/>
    <x v="102"/>
    <s v="eth1/53"/>
    <x v="1"/>
    <x v="1"/>
    <x v="3"/>
    <m/>
    <x v="0"/>
    <b v="0"/>
    <s v="No está en VPC"/>
    <n v="861"/>
    <s v="NO EXISTE PG"/>
    <s v="NO EXISTE ISEL"/>
    <n v="0"/>
    <s v="NO TIENE L3OUT"/>
    <n v="8"/>
    <n v="54"/>
  </r>
  <r>
    <n v="874"/>
    <x v="2"/>
    <x v="103"/>
    <s v="eth1/53"/>
    <x v="1"/>
    <x v="1"/>
    <x v="3"/>
    <m/>
    <x v="4"/>
    <b v="0"/>
    <s v="No está en VPC"/>
    <n v="874"/>
    <s v="NO EXISTE PG"/>
    <s v="NO EXISTE ISEL"/>
    <n v="0"/>
    <s v="NO TIENE L3OUT"/>
    <n v="92"/>
    <n v="54"/>
  </r>
  <r>
    <n v="865"/>
    <x v="2"/>
    <x v="104"/>
    <s v="eth1/53"/>
    <x v="1"/>
    <x v="1"/>
    <x v="3"/>
    <m/>
    <x v="0"/>
    <b v="0"/>
    <s v="No está en VPC"/>
    <n v="865"/>
    <s v="NO EXISTE PG"/>
    <s v="NO EXISTE ISEL"/>
    <n v="0"/>
    <s v="NO TIENE L3OUT"/>
    <n v="0"/>
    <n v="54"/>
  </r>
  <r>
    <n v="753"/>
    <x v="2"/>
    <x v="105"/>
    <s v="eth1/53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53"/>
    <x v="1"/>
    <x v="1"/>
    <x v="3"/>
    <m/>
    <x v="0"/>
    <b v="0"/>
    <s v="No está en VPC"/>
    <n v="708"/>
    <s v="NO EXISTE PG"/>
    <s v="NO EXISTE ISEL"/>
    <n v="0"/>
    <s v="NO TIENE L3OUT"/>
    <n v="0"/>
    <n v="54"/>
  </r>
  <r>
    <n v="710"/>
    <x v="2"/>
    <x v="107"/>
    <s v="eth1/53"/>
    <x v="1"/>
    <x v="1"/>
    <x v="3"/>
    <m/>
    <x v="0"/>
    <b v="0"/>
    <s v="No está en VPC"/>
    <n v="710"/>
    <s v="NO EXISTE PG"/>
    <s v="NO EXISTE ISEL"/>
    <n v="0"/>
    <s v="NO TIENE L3OUT"/>
    <n v="16"/>
    <n v="54"/>
  </r>
  <r>
    <n v="713"/>
    <x v="2"/>
    <x v="108"/>
    <s v="eth1/53"/>
    <x v="1"/>
    <x v="1"/>
    <x v="3"/>
    <m/>
    <x v="0"/>
    <b v="0"/>
    <s v="No está en VPC"/>
    <n v="713"/>
    <s v="NO EXISTE PG"/>
    <s v="NO EXISTE ISEL"/>
    <n v="0"/>
    <s v="NO TIENE L3OUT"/>
    <n v="32"/>
    <n v="54"/>
  </r>
  <r>
    <n v="735"/>
    <x v="2"/>
    <x v="109"/>
    <s v="eth1/53"/>
    <x v="0"/>
    <x v="0"/>
    <x v="0"/>
    <s v="LINK_HACIA_SPINE"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53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53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53"/>
    <x v="1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53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53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53"/>
    <x v="1"/>
    <x v="1"/>
    <x v="3"/>
    <m/>
    <x v="0"/>
    <b v="0"/>
    <s v="No está en VPC"/>
    <n v="826"/>
    <s v="NO EXISTE PG"/>
    <s v="NO EXISTE ISEL"/>
    <n v="0"/>
    <s v="NO TIENE L3OUT"/>
    <n v="12"/>
    <n v="54"/>
  </r>
  <r>
    <n v="726"/>
    <x v="2"/>
    <x v="117"/>
    <s v="eth1/53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53"/>
    <x v="0"/>
    <x v="0"/>
    <x v="0"/>
    <s v="LINK_HACIA_SPINE"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53"/>
    <x v="1"/>
    <x v="1"/>
    <x v="3"/>
    <m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53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53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53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53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53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53"/>
    <x v="1"/>
    <x v="1"/>
    <x v="3"/>
    <m/>
    <x v="0"/>
    <b v="0"/>
    <s v="No está en VPC"/>
    <n v="709"/>
    <s v="NO EXISTE PG"/>
    <s v="NO EXISTE ISEL"/>
    <n v="0"/>
    <s v="NO TIENE L3OUT"/>
    <n v="0"/>
    <n v="54"/>
  </r>
  <r>
    <n v="454"/>
    <x v="1"/>
    <x v="126"/>
    <s v="eth1/53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53"/>
    <x v="0"/>
    <x v="0"/>
    <x v="0"/>
    <s v="LINK_HACIA_SPINE"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53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53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53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53"/>
    <x v="0"/>
    <x v="0"/>
    <x v="0"/>
    <s v="LINK_HACIA_SPINE"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53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53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53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53"/>
    <x v="0"/>
    <x v="1"/>
    <x v="3"/>
    <m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53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53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53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53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53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53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53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53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53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53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53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53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53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53"/>
    <x v="1"/>
    <x v="1"/>
    <x v="3"/>
    <m/>
    <x v="0"/>
    <b v="0"/>
    <s v="No está en VPC"/>
    <n v="781"/>
    <s v="NO EXISTE PG"/>
    <s v="NO EXISTE ISEL"/>
    <n v="0"/>
    <s v="NO TIENE L3OUT"/>
    <n v="26"/>
    <n v="54"/>
  </r>
  <r>
    <n v="793"/>
    <x v="2"/>
    <x v="151"/>
    <s v="eth1/53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53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53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53"/>
    <x v="1"/>
    <x v="1"/>
    <x v="3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53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53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53"/>
    <x v="1"/>
    <x v="1"/>
    <x v="3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53"/>
    <x v="0"/>
    <x v="0"/>
    <x v="0"/>
    <s v="LINK_HACIA_SPINE"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53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53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53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53"/>
    <x v="1"/>
    <x v="1"/>
    <x v="3"/>
    <m/>
    <x v="0"/>
    <b v="0"/>
    <s v="No está en VPC"/>
    <n v="830"/>
    <s v="NO EXISTE PG"/>
    <s v="NO EXISTE ISEL"/>
    <n v="0"/>
    <s v="NO TIENE L3OUT"/>
    <n v="12"/>
    <n v="54"/>
  </r>
  <r>
    <n v="821"/>
    <x v="2"/>
    <x v="163"/>
    <s v="eth1/53"/>
    <x v="0"/>
    <x v="1"/>
    <x v="3"/>
    <m/>
    <x v="0"/>
    <b v="0"/>
    <s v="No está en VPC"/>
    <n v="821"/>
    <s v="NO EXISTE PG"/>
    <s v="NO EXISTE ISEL"/>
    <n v="0"/>
    <s v="NO TIENE L3OUT"/>
    <n v="0"/>
    <n v="54"/>
  </r>
  <r>
    <n v="738"/>
    <x v="2"/>
    <x v="164"/>
    <s v="eth1/53"/>
    <x v="0"/>
    <x v="0"/>
    <x v="0"/>
    <s v="LINK_HACIA_SPINE"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53"/>
    <x v="0"/>
    <x v="1"/>
    <x v="3"/>
    <m/>
    <x v="0"/>
    <b v="0"/>
    <s v="No está en VPC"/>
    <n v="820"/>
    <s v="NO EXISTE PG"/>
    <s v="NO EXISTE ISEL"/>
    <n v="0"/>
    <s v="NO TIENE L3OUT"/>
    <n v="72"/>
    <n v="54"/>
  </r>
  <r>
    <n v="804"/>
    <x v="2"/>
    <x v="166"/>
    <s v="eth1/53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53"/>
    <x v="1"/>
    <x v="1"/>
    <x v="3"/>
    <m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53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53"/>
    <x v="1"/>
    <x v="1"/>
    <x v="3"/>
    <m/>
    <x v="0"/>
    <b v="0"/>
    <s v="No está en VPC"/>
    <n v="827"/>
    <s v="NO EXISTE PG"/>
    <s v="NO EXISTE ISEL"/>
    <n v="0"/>
    <s v="NO TIENE L3OUT"/>
    <n v="14"/>
    <n v="54"/>
  </r>
  <r>
    <n v="809"/>
    <x v="2"/>
    <x v="170"/>
    <s v="eth1/53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53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53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53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53"/>
    <x v="1"/>
    <x v="1"/>
    <x v="3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53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53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53"/>
    <x v="1"/>
    <x v="1"/>
    <x v="3"/>
    <m/>
    <x v="0"/>
    <b v="0"/>
    <s v="No está en VPC"/>
    <n v="851"/>
    <s v="NO EXISTE PG"/>
    <s v="NO EXISTE ISEL"/>
    <n v="0"/>
    <s v="NO TIENE L3OUT"/>
    <n v="282"/>
    <n v="54"/>
  </r>
  <r>
    <n v="798"/>
    <x v="2"/>
    <x v="178"/>
    <s v="eth1/53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53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53"/>
    <x v="1"/>
    <x v="1"/>
    <x v="3"/>
    <m/>
    <x v="0"/>
    <b v="0"/>
    <s v="No está en VPC"/>
    <n v="852"/>
    <s v="NO EXISTE PG"/>
    <s v="NO EXISTE ISEL"/>
    <n v="0"/>
    <s v="NO TIENE L3OUT"/>
    <n v="258"/>
    <n v="54"/>
  </r>
  <r>
    <n v="817"/>
    <x v="2"/>
    <x v="181"/>
    <s v="eth1/53"/>
    <x v="1"/>
    <x v="1"/>
    <x v="3"/>
    <m/>
    <x v="0"/>
    <b v="0"/>
    <s v="No está en VPC"/>
    <n v="817"/>
    <s v="NO EXISTE PG"/>
    <s v="NO EXISTE ISEL"/>
    <n v="0"/>
    <s v="NO TIENE L3OUT"/>
    <n v="0"/>
    <n v="54"/>
  </r>
  <r>
    <n v="832"/>
    <x v="2"/>
    <x v="182"/>
    <s v="eth1/53"/>
    <x v="1"/>
    <x v="1"/>
    <x v="3"/>
    <m/>
    <x v="0"/>
    <b v="0"/>
    <s v="No está en VPC"/>
    <n v="832"/>
    <s v="NO EXISTE PG"/>
    <s v="NO EXISTE ISEL"/>
    <n v="0"/>
    <s v="NO TIENE L3OUT"/>
    <n v="192"/>
    <n v="54"/>
  </r>
  <r>
    <n v="816"/>
    <x v="2"/>
    <x v="183"/>
    <s v="eth1/53"/>
    <x v="0"/>
    <x v="1"/>
    <x v="3"/>
    <m/>
    <x v="0"/>
    <b v="0"/>
    <s v="No está en VPC"/>
    <n v="816"/>
    <s v="NO EXISTE PG"/>
    <s v="NO EXISTE ISEL"/>
    <n v="0"/>
    <s v="NO TIENE L3OUT"/>
    <n v="0"/>
    <n v="54"/>
  </r>
  <r>
    <n v="825"/>
    <x v="2"/>
    <x v="184"/>
    <s v="eth1/53"/>
    <x v="0"/>
    <x v="1"/>
    <x v="3"/>
    <m/>
    <x v="0"/>
    <b v="0"/>
    <s v="No está en VPC"/>
    <n v="825"/>
    <s v="NO EXISTE PG"/>
    <s v="NO EXISTE ISEL"/>
    <n v="0"/>
    <s v="NO TIENE L3OUT"/>
    <n v="72"/>
    <n v="54"/>
  </r>
  <r>
    <n v="800"/>
    <x v="2"/>
    <x v="185"/>
    <s v="eth1/53"/>
    <x v="1"/>
    <x v="1"/>
    <x v="3"/>
    <m/>
    <x v="0"/>
    <b v="0"/>
    <s v="No está en VPC"/>
    <n v="800"/>
    <s v="NO EXISTE PG"/>
    <s v="NO EXISTE ISEL"/>
    <n v="0"/>
    <s v="NO TIENE L3OUT"/>
    <n v="78"/>
    <n v="54"/>
  </r>
  <r>
    <n v="801"/>
    <x v="2"/>
    <x v="186"/>
    <s v="eth1/53"/>
    <x v="1"/>
    <x v="1"/>
    <x v="3"/>
    <m/>
    <x v="0"/>
    <b v="0"/>
    <s v="No está en VPC"/>
    <n v="801"/>
    <s v="NO EXISTE PG"/>
    <s v="NO EXISTE ISEL"/>
    <n v="0"/>
    <s v="NO TIENE L3OUT"/>
    <n v="78"/>
    <n v="54"/>
  </r>
  <r>
    <n v="823"/>
    <x v="2"/>
    <x v="187"/>
    <s v="eth1/53"/>
    <x v="0"/>
    <x v="1"/>
    <x v="3"/>
    <m/>
    <x v="0"/>
    <b v="0"/>
    <s v="No está en VPC"/>
    <n v="823"/>
    <s v="NO EXISTE PG"/>
    <s v="NO EXISTE ISEL"/>
    <n v="0"/>
    <s v="NO TIENE L3OUT"/>
    <n v="8"/>
    <n v="54"/>
  </r>
  <r>
    <n v="837"/>
    <x v="2"/>
    <x v="188"/>
    <s v="eth1/53"/>
    <x v="1"/>
    <x v="1"/>
    <x v="3"/>
    <m/>
    <x v="0"/>
    <b v="0"/>
    <s v="No está en VPC"/>
    <n v="837"/>
    <s v="NO EXISTE PG"/>
    <s v="NO EXISTE ISEL"/>
    <n v="0"/>
    <s v="NO TIENE L3OUT"/>
    <n v="8"/>
    <n v="54"/>
  </r>
  <r>
    <n v="867"/>
    <x v="2"/>
    <x v="189"/>
    <s v="eth1/53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53"/>
    <x v="1"/>
    <x v="1"/>
    <x v="3"/>
    <m/>
    <x v="0"/>
    <b v="0"/>
    <s v="No está en VPC"/>
    <n v="829"/>
    <s v="NO EXISTE PG"/>
    <s v="NO EXISTE ISEL"/>
    <n v="0"/>
    <s v="NO TIENE L3OUT"/>
    <n v="224"/>
    <n v="54"/>
  </r>
  <r>
    <n v="831"/>
    <x v="2"/>
    <x v="191"/>
    <s v="eth1/53"/>
    <x v="1"/>
    <x v="1"/>
    <x v="3"/>
    <m/>
    <x v="0"/>
    <b v="0"/>
    <s v="No está en VPC"/>
    <n v="831"/>
    <s v="NO EXISTE PG"/>
    <s v="NO EXISTE ISEL"/>
    <n v="0"/>
    <s v="NO TIENE L3OUT"/>
    <n v="14"/>
    <n v="54"/>
  </r>
  <r>
    <n v="802"/>
    <x v="2"/>
    <x v="192"/>
    <s v="eth1/53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53"/>
    <x v="1"/>
    <x v="1"/>
    <x v="3"/>
    <m/>
    <x v="0"/>
    <b v="0"/>
    <s v="No está en VPC"/>
    <n v="835"/>
    <s v="NO EXISTE PG"/>
    <s v="NO EXISTE ISEL"/>
    <n v="0"/>
    <s v="NO TIENE L3OUT"/>
    <n v="8"/>
    <n v="54"/>
  </r>
  <r>
    <n v="822"/>
    <x v="2"/>
    <x v="194"/>
    <s v="eth1/53"/>
    <x v="0"/>
    <x v="1"/>
    <x v="3"/>
    <m/>
    <x v="0"/>
    <b v="0"/>
    <s v="No está en VPC"/>
    <n v="822"/>
    <s v="NO EXISTE PG"/>
    <s v="NO EXISTE ISEL"/>
    <n v="0"/>
    <s v="NO TIENE L3OUT"/>
    <n v="0"/>
    <n v="54"/>
  </r>
  <r>
    <n v="854"/>
    <x v="2"/>
    <x v="195"/>
    <s v="eth1/53"/>
    <x v="1"/>
    <x v="1"/>
    <x v="3"/>
    <m/>
    <x v="0"/>
    <b v="0"/>
    <s v="No está en VPC"/>
    <n v="854"/>
    <s v="NO EXISTE PG"/>
    <s v="NO EXISTE ISEL"/>
    <n v="0"/>
    <s v="NO TIENE L3OUT"/>
    <n v="204"/>
    <n v="54"/>
  </r>
  <r>
    <n v="858"/>
    <x v="2"/>
    <x v="196"/>
    <s v="eth1/53"/>
    <x v="1"/>
    <x v="1"/>
    <x v="3"/>
    <m/>
    <x v="0"/>
    <b v="0"/>
    <s v="No está en VPC"/>
    <n v="858"/>
    <s v="NO EXISTE PG"/>
    <s v="NO EXISTE ISEL"/>
    <n v="0"/>
    <s v="NO TIENE L3OUT"/>
    <n v="8"/>
    <n v="54"/>
  </r>
  <r>
    <n v="857"/>
    <x v="2"/>
    <x v="197"/>
    <s v="eth1/53"/>
    <x v="1"/>
    <x v="1"/>
    <x v="3"/>
    <m/>
    <x v="0"/>
    <b v="0"/>
    <s v="No está en VPC"/>
    <n v="857"/>
    <s v="NO EXISTE PG"/>
    <s v="NO EXISTE ISEL"/>
    <n v="0"/>
    <s v="NO TIENE L3OUT"/>
    <n v="288"/>
    <n v="54"/>
  </r>
  <r>
    <n v="859"/>
    <x v="2"/>
    <x v="198"/>
    <s v="eth1/53"/>
    <x v="1"/>
    <x v="1"/>
    <x v="3"/>
    <m/>
    <x v="0"/>
    <b v="0"/>
    <s v="No está en VPC"/>
    <n v="859"/>
    <s v="NO EXISTE PG"/>
    <s v="NO EXISTE ISEL"/>
    <n v="0"/>
    <s v="NO TIENE L3OUT"/>
    <n v="0"/>
    <n v="54"/>
  </r>
  <r>
    <n v="833"/>
    <x v="2"/>
    <x v="199"/>
    <s v="eth1/53"/>
    <x v="1"/>
    <x v="1"/>
    <x v="3"/>
    <m/>
    <x v="0"/>
    <b v="0"/>
    <s v="No está en VPC"/>
    <n v="833"/>
    <s v="NO EXISTE PG"/>
    <s v="NO EXISTE ISEL"/>
    <n v="0"/>
    <s v="NO TIENE L3OUT"/>
    <n v="224"/>
    <n v="54"/>
  </r>
  <r>
    <n v="818"/>
    <x v="2"/>
    <x v="200"/>
    <s v="eth1/53"/>
    <x v="0"/>
    <x v="1"/>
    <x v="3"/>
    <m/>
    <x v="0"/>
    <b v="0"/>
    <s v="No está en VPC"/>
    <n v="818"/>
    <s v="NO EXISTE PG"/>
    <s v="NO EXISTE ISEL"/>
    <n v="0"/>
    <s v="NO TIENE L3OUT"/>
    <n v="8"/>
    <n v="54"/>
  </r>
  <r>
    <n v="850"/>
    <x v="2"/>
    <x v="201"/>
    <s v="eth1/53"/>
    <x v="1"/>
    <x v="1"/>
    <x v="3"/>
    <m/>
    <x v="0"/>
    <b v="0"/>
    <s v="No está en VPC"/>
    <n v="850"/>
    <s v="NO EXISTE PG"/>
    <s v="NO EXISTE ISEL"/>
    <n v="0"/>
    <s v="NO TIENE L3OUT"/>
    <n v="288"/>
    <n v="54"/>
  </r>
  <r>
    <n v="860"/>
    <x v="2"/>
    <x v="202"/>
    <s v="eth1/53"/>
    <x v="1"/>
    <x v="1"/>
    <x v="3"/>
    <m/>
    <x v="0"/>
    <b v="0"/>
    <s v="No está en VPC"/>
    <n v="860"/>
    <s v="NO EXISTE PG"/>
    <s v="NO EXISTE ISEL"/>
    <n v="0"/>
    <s v="NO TIENE L3OUT"/>
    <n v="0"/>
    <n v="54"/>
  </r>
  <r>
    <n v="853"/>
    <x v="2"/>
    <x v="203"/>
    <s v="eth1/53"/>
    <x v="1"/>
    <x v="1"/>
    <x v="3"/>
    <m/>
    <x v="0"/>
    <b v="0"/>
    <s v="No está en VPC"/>
    <n v="853"/>
    <s v="NO EXISTE PG"/>
    <s v="NO EXISTE ISEL"/>
    <n v="0"/>
    <s v="NO TIENE L3OUT"/>
    <n v="242"/>
    <n v="54"/>
  </r>
  <r>
    <n v="790"/>
    <x v="2"/>
    <x v="204"/>
    <s v="eth1/53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53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53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53"/>
    <x v="0"/>
    <x v="1"/>
    <x v="1"/>
    <s v="CISCO ANA 01 EHEALTH"/>
    <x v="6"/>
    <b v="0"/>
    <s v="No está en VPC"/>
    <n v="104"/>
    <s v="INTPG_ACC_104_1.53"/>
    <s v="ISEL-1.53"/>
    <n v="1"/>
    <s v="NO TIENE L3OUT"/>
    <n v="194"/>
    <n v="96"/>
  </r>
  <r>
    <n v="158"/>
    <x v="0"/>
    <x v="208"/>
    <s v="eth1/53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53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53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53"/>
    <x v="0"/>
    <x v="0"/>
    <x v="0"/>
    <s v="DESC"/>
    <x v="6"/>
    <b v="0"/>
    <s v="No está en VPC"/>
    <n v="108"/>
    <s v="INTPG_PC_108_1.53-54"/>
    <s v="ISEL-1.53"/>
    <n v="1"/>
    <s v="NO TIENE L3OUT"/>
    <n v="126"/>
    <n v="96"/>
  </r>
  <r>
    <n v="112"/>
    <x v="0"/>
    <x v="212"/>
    <s v="eth1/53"/>
    <x v="0"/>
    <x v="1"/>
    <x v="1"/>
    <s v="SAPCCRATING08"/>
    <x v="6"/>
    <b v="0"/>
    <s v="No está en VPC"/>
    <n v="112"/>
    <s v="INTPG_VPC_112_1.53_114_1.50"/>
    <s v="ISEL-1.53"/>
    <n v="1"/>
    <s v="NO TIENE L3OUT"/>
    <n v="144"/>
    <n v="96"/>
  </r>
  <r>
    <n v="107"/>
    <x v="0"/>
    <x v="213"/>
    <s v="eth1/53"/>
    <x v="0"/>
    <x v="0"/>
    <x v="0"/>
    <s v="COMISIONES"/>
    <x v="6"/>
    <b v="0"/>
    <s v="No está en VPC"/>
    <n v="107"/>
    <s v="INTPG_ACC_107_1.53"/>
    <s v="ISEL-1.53"/>
    <n v="1"/>
    <s v="NO TIENE L3OUT"/>
    <n v="118"/>
    <n v="96"/>
  </r>
  <r>
    <n v="109"/>
    <x v="0"/>
    <x v="214"/>
    <s v="eth1/53"/>
    <x v="1"/>
    <x v="1"/>
    <x v="2"/>
    <s v="OBIE_1-2"/>
    <x v="6"/>
    <b v="0"/>
    <s v="No está en VPC"/>
    <n v="109"/>
    <s v="INTPG_ACC_109_1.53"/>
    <s v="ISEL-1.53"/>
    <n v="1"/>
    <s v="NO TIENE L3OUT"/>
    <n v="126"/>
    <n v="96"/>
  </r>
  <r>
    <n v="113"/>
    <x v="0"/>
    <x v="215"/>
    <s v="eth1/53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53"/>
    <x v="0"/>
    <x v="1"/>
    <x v="1"/>
    <s v="SAPCCRATING11"/>
    <x v="6"/>
    <b v="0"/>
    <s v="No está en VPC"/>
    <n v="114"/>
    <s v="INTPG_VPC_112_1.56_114_1.53"/>
    <s v="ISEL-1.53"/>
    <n v="1"/>
    <s v="NO TIENE L3OUT"/>
    <n v="144"/>
    <n v="96"/>
  </r>
  <r>
    <n v="124"/>
    <x v="0"/>
    <x v="217"/>
    <s v="eth1/53"/>
    <x v="1"/>
    <x v="1"/>
    <x v="2"/>
    <s v="CIRCULO Azul(UXCA)"/>
    <x v="6"/>
    <b v="0"/>
    <s v="No está en VPC"/>
    <n v="124"/>
    <s v="INTPG_ACC_124_1.53"/>
    <s v="ISEL-1.53"/>
    <n v="1"/>
    <s v="NO TIENE L3OUT"/>
    <n v="80"/>
    <n v="96"/>
  </r>
  <r>
    <n v="118"/>
    <x v="0"/>
    <x v="218"/>
    <s v="eth1/53"/>
    <x v="0"/>
    <x v="1"/>
    <x v="1"/>
    <s v="USSD TANGO"/>
    <x v="6"/>
    <b v="0"/>
    <s v="No está en VPC"/>
    <n v="118"/>
    <s v="INTPG_ACC_118_1.53"/>
    <s v="ISEL-1.53"/>
    <n v="1"/>
    <s v="NO TIENE L3OUT"/>
    <n v="180"/>
    <n v="96"/>
  </r>
  <r>
    <n v="159"/>
    <x v="0"/>
    <x v="219"/>
    <s v="eth1/53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53"/>
    <x v="1"/>
    <x v="1"/>
    <x v="3"/>
    <m/>
    <x v="0"/>
    <b v="0"/>
    <s v="No está en VPC"/>
    <n v="840"/>
    <s v="NO EXISTE PG"/>
    <s v="NO EXISTE ISEL"/>
    <n v="0"/>
    <s v="NO TIENE L3OUT"/>
    <n v="8"/>
    <n v="54"/>
  </r>
  <r>
    <n v="856"/>
    <x v="2"/>
    <x v="221"/>
    <s v="eth1/53"/>
    <x v="1"/>
    <x v="1"/>
    <x v="3"/>
    <m/>
    <x v="0"/>
    <b v="0"/>
    <s v="No está en VPC"/>
    <n v="856"/>
    <s v="NO EXISTE PG"/>
    <s v="NO EXISTE ISEL"/>
    <n v="0"/>
    <s v="NO TIENE L3OUT"/>
    <n v="286"/>
    <n v="54"/>
  </r>
  <r>
    <n v="110"/>
    <x v="0"/>
    <x v="222"/>
    <s v="eth1/53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53"/>
    <x v="1"/>
    <x v="1"/>
    <x v="2"/>
    <s v="CELCITE"/>
    <x v="6"/>
    <b v="0"/>
    <s v="No está en VPC"/>
    <n v="163"/>
    <s v="INTPG_ACC_163_1.53"/>
    <s v="ISEL-1.53"/>
    <n v="1"/>
    <s v="NO TIENE L3OUT"/>
    <n v="140"/>
    <n v="96"/>
  </r>
  <r>
    <n v="407"/>
    <x v="1"/>
    <x v="224"/>
    <s v="eth1/53"/>
    <x v="0"/>
    <x v="0"/>
    <x v="0"/>
    <s v="TO-ITHFDEOCP1LWR01-PRINCIPAL"/>
    <x v="6"/>
    <b v="0"/>
    <s v="No está en VPC"/>
    <n v="407"/>
    <s v="INTPG_ACC_407_1.53"/>
    <s v="ISEL-1.53"/>
    <n v="1"/>
    <s v="NO TIENE L3OUT"/>
    <n v="122"/>
    <n v="96"/>
  </r>
  <r>
    <n v="171"/>
    <x v="0"/>
    <x v="225"/>
    <s v="eth1/53"/>
    <x v="0"/>
    <x v="0"/>
    <x v="0"/>
    <s v="SRS (Speedy Rating System)"/>
    <x v="6"/>
    <b v="0"/>
    <s v="No está en VPC"/>
    <n v="171"/>
    <s v="INTPG_ACC_171_1.53"/>
    <s v="ISEL-1.53"/>
    <n v="1"/>
    <s v="NO TIENE L3OUT"/>
    <n v="114"/>
    <n v="96"/>
  </r>
  <r>
    <n v="421"/>
    <x v="1"/>
    <x v="226"/>
    <s v="eth1/53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53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53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53"/>
    <x v="0"/>
    <x v="0"/>
    <x v="0"/>
    <s v="SRS (Speedy Rating System)"/>
    <x v="6"/>
    <b v="0"/>
    <s v="No está en VPC"/>
    <n v="172"/>
    <s v="INTPG_ACC_172_1.53"/>
    <s v="ISEL-1.53"/>
    <n v="1"/>
    <s v="NO TIENE L3OUT"/>
    <n v="104"/>
    <n v="96"/>
  </r>
  <r>
    <n v="420"/>
    <x v="1"/>
    <x v="230"/>
    <s v="eth1/53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53"/>
    <x v="0"/>
    <x v="0"/>
    <x v="0"/>
    <s v="HP Proliant DL380p(b)"/>
    <x v="6"/>
    <b v="0"/>
    <s v="No está en VPC"/>
    <n v="423"/>
    <s v="INTPG_ACC_423_1.53"/>
    <s v="ISEL-1.53"/>
    <n v="1"/>
    <s v="NO TIENE L3OUT"/>
    <n v="86"/>
    <n v="96"/>
  </r>
  <r>
    <n v="415"/>
    <x v="1"/>
    <x v="232"/>
    <s v="eth1/53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53"/>
    <x v="0"/>
    <x v="1"/>
    <x v="1"/>
    <m/>
    <x v="6"/>
    <b v="0"/>
    <s v="No está en VPC"/>
    <n v="102"/>
    <s v="NO EXISTE PG"/>
    <s v="NO EXISTE ISEL"/>
    <n v="0"/>
    <s v="NO TIENE L3OUT"/>
    <n v="228"/>
    <n v="96"/>
  </r>
  <r>
    <n v="863"/>
    <x v="2"/>
    <x v="234"/>
    <s v="eth1/53"/>
    <x v="1"/>
    <x v="1"/>
    <x v="3"/>
    <m/>
    <x v="0"/>
    <b v="0"/>
    <s v="No está en VPC"/>
    <n v="863"/>
    <s v="NO EXISTE PG"/>
    <s v="NO EXISTE ISEL"/>
    <n v="0"/>
    <s v="NO TIENE L3OUT"/>
    <n v="8"/>
    <n v="54"/>
  </r>
  <r>
    <n v="876"/>
    <x v="2"/>
    <x v="235"/>
    <s v="eth1/53"/>
    <x v="1"/>
    <x v="1"/>
    <x v="3"/>
    <m/>
    <x v="4"/>
    <b v="0"/>
    <s v="No está en VPC"/>
    <n v="876"/>
    <s v="NO EXISTE PG"/>
    <s v="NO EXISTE ISEL"/>
    <n v="0"/>
    <s v="NO TIENE L3OUT"/>
    <n v="92"/>
    <n v="54"/>
  </r>
  <r>
    <n v="877"/>
    <x v="2"/>
    <x v="236"/>
    <s v="eth1/53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53"/>
    <x v="0"/>
    <x v="0"/>
    <x v="0"/>
    <s v="Consola serial"/>
    <x v="6"/>
    <b v="0"/>
    <s v="No está en VPC"/>
    <n v="122"/>
    <s v="INTPG_ACC_122_1.53"/>
    <s v="ISEL-1.53"/>
    <n v="1"/>
    <s v="NO TIENE L3OUT"/>
    <n v="148"/>
    <n v="96"/>
  </r>
  <r>
    <n v="157"/>
    <x v="0"/>
    <x v="238"/>
    <s v="eth1/53"/>
    <x v="0"/>
    <x v="0"/>
    <x v="0"/>
    <s v="UXINGE"/>
    <x v="6"/>
    <b v="0"/>
    <s v="No está en VPC"/>
    <n v="157"/>
    <s v="INTPG_ACC_157_1.53"/>
    <s v="ISEL-1.53"/>
    <n v="1"/>
    <s v="NO TIENE L3OUT"/>
    <n v="202"/>
    <n v="96"/>
  </r>
  <r>
    <n v="408"/>
    <x v="1"/>
    <x v="239"/>
    <s v="eth1/53"/>
    <x v="0"/>
    <x v="0"/>
    <x v="0"/>
    <s v="DESC"/>
    <x v="6"/>
    <b v="0"/>
    <s v="No está en VPC"/>
    <n v="408"/>
    <s v="INTPG_PC_408_1.53-54"/>
    <s v="ISEL-1.53"/>
    <n v="1"/>
    <s v="NO TIENE L3OUT"/>
    <n v="152"/>
    <n v="96"/>
  </r>
  <r>
    <n v="405"/>
    <x v="1"/>
    <x v="240"/>
    <s v="eth1/53"/>
    <x v="0"/>
    <x v="0"/>
    <x v="0"/>
    <s v="CCURE_9000"/>
    <x v="6"/>
    <b v="0"/>
    <s v="No está en VPC"/>
    <n v="405"/>
    <s v="INTPG_ACC_405_1.53"/>
    <s v="ISEL-1.53"/>
    <n v="1"/>
    <s v="NO TIENE L3OUT"/>
    <n v="138"/>
    <n v="96"/>
  </r>
  <r>
    <n v="169"/>
    <x v="0"/>
    <x v="241"/>
    <s v="eth1/53"/>
    <x v="0"/>
    <x v="1"/>
    <x v="1"/>
    <s v="TO-ITHFDENBURMS04-PRINCIPAL"/>
    <x v="6"/>
    <b v="0"/>
    <s v="No está en VPC"/>
    <n v="169"/>
    <s v="INTPG_ACC_169_1.53"/>
    <s v="ISEL-1.53"/>
    <n v="1"/>
    <s v="NO TIENE L3OUT"/>
    <n v="76"/>
    <n v="96"/>
  </r>
  <r>
    <n v="165"/>
    <x v="0"/>
    <x v="242"/>
    <s v="eth1/53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53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53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53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53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53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53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53"/>
    <x v="0"/>
    <x v="0"/>
    <x v="0"/>
    <s v="DESC"/>
    <x v="6"/>
    <b v="0"/>
    <s v="No está en VPC"/>
    <n v="406"/>
    <s v="INTPG_PC_406_1.53-54"/>
    <s v="ISEL-1.53"/>
    <n v="1"/>
    <s v="NO TIENE L3OUT"/>
    <n v="82"/>
    <n v="96"/>
  </r>
  <r>
    <n v="414"/>
    <x v="1"/>
    <x v="250"/>
    <s v="eth1/53"/>
    <x v="0"/>
    <x v="0"/>
    <x v="0"/>
    <s v="ODA1"/>
    <x v="6"/>
    <b v="0"/>
    <s v="No está en VPC"/>
    <n v="414"/>
    <s v="INTPG_ACC_414_1.53"/>
    <s v="ISEL-1.53"/>
    <n v="1"/>
    <s v="NO TIENE L3OUT"/>
    <n v="144"/>
    <n v="96"/>
  </r>
  <r>
    <n v="416"/>
    <x v="1"/>
    <x v="251"/>
    <s v="eth1/53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53"/>
    <x v="0"/>
    <x v="0"/>
    <x v="0"/>
    <s v="IXTSD971A"/>
    <x v="6"/>
    <b v="0"/>
    <s v="No está en VPC"/>
    <n v="418"/>
    <s v="INTPG_ACC_418_1.53"/>
    <s v="ISEL-1.53"/>
    <n v="1"/>
    <s v="NO TIENE L3OUT"/>
    <n v="152"/>
    <n v="96"/>
  </r>
  <r>
    <n v="413"/>
    <x v="1"/>
    <x v="253"/>
    <s v="eth1/53"/>
    <x v="0"/>
    <x v="0"/>
    <x v="0"/>
    <s v="To-uxingemc4 ldom2 uxinghdr4"/>
    <x v="6"/>
    <b v="0"/>
    <s v="No está en VPC"/>
    <n v="413"/>
    <s v="INTPG_ACC_413_1.53"/>
    <s v="ISEL-1.53"/>
    <n v="1"/>
    <s v="NO TIENE L3OUT"/>
    <n v="126"/>
    <n v="96"/>
  </r>
  <r>
    <n v="403"/>
    <x v="1"/>
    <x v="254"/>
    <s v="eth1/53"/>
    <x v="0"/>
    <x v="0"/>
    <x v="0"/>
    <s v="CCURE_9000"/>
    <x v="6"/>
    <b v="0"/>
    <s v="No está en VPC"/>
    <n v="403"/>
    <s v="INTPG_ACC_403_1.53"/>
    <s v="ISEL-1.53"/>
    <n v="1"/>
    <s v="NO TIENE L3OUT"/>
    <n v="150"/>
    <n v="96"/>
  </r>
  <r>
    <n v="125"/>
    <x v="0"/>
    <x v="255"/>
    <s v="eth1/53"/>
    <x v="0"/>
    <x v="0"/>
    <x v="0"/>
    <s v="CIRCULO Azul(UXCA)"/>
    <x v="6"/>
    <b v="0"/>
    <s v="No está en VPC"/>
    <n v="125"/>
    <s v="INTPG_ACC_125_1.53"/>
    <s v="ISEL-1.53"/>
    <n v="1"/>
    <s v="NO TIENE L3OUT"/>
    <n v="72"/>
    <n v="96"/>
  </r>
  <r>
    <n v="166"/>
    <x v="0"/>
    <x v="256"/>
    <s v="eth1/53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53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53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53"/>
    <x v="0"/>
    <x v="0"/>
    <x v="0"/>
    <s v="COMISIONES"/>
    <x v="6"/>
    <b v="0"/>
    <s v="No está en VPC"/>
    <n v="106"/>
    <s v="INTPG_ACC_106_1.53"/>
    <s v="ISEL-1.53"/>
    <n v="1"/>
    <s v="NO TIENE L3OUT"/>
    <n v="122"/>
    <n v="96"/>
  </r>
  <r>
    <n v="126"/>
    <x v="0"/>
    <x v="260"/>
    <s v="eth1/53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53"/>
    <x v="0"/>
    <x v="0"/>
    <x v="0"/>
    <s v="PMAX_S2_2DO"/>
    <x v="6"/>
    <b v="0"/>
    <s v="No está en VPC"/>
    <n v="425"/>
    <s v="INTPG_ACC_425_1.53"/>
    <s v="ISEL-1.53"/>
    <n v="1"/>
    <s v="NO TIENE L3OUT"/>
    <n v="86"/>
    <n v="96"/>
  </r>
  <r>
    <n v="151"/>
    <x v="0"/>
    <x v="262"/>
    <s v="eth1/53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53"/>
    <x v="0"/>
    <x v="0"/>
    <x v="0"/>
    <s v="TO-sfdacd08-NET2"/>
    <x v="6"/>
    <b v="0"/>
    <s v="No está en VPC"/>
    <n v="430"/>
    <s v="INTPG_ACC_430_1.53"/>
    <s v="ISEL-1.53"/>
    <n v="1"/>
    <s v="NO TIENE L3OUT"/>
    <n v="86"/>
    <n v="96"/>
  </r>
  <r>
    <n v="419"/>
    <x v="1"/>
    <x v="264"/>
    <s v="eth1/53"/>
    <x v="0"/>
    <x v="0"/>
    <x v="0"/>
    <s v="SPECSERVER1_ILOM"/>
    <x v="6"/>
    <b v="0"/>
    <s v="No está en VPC"/>
    <n v="419"/>
    <s v="INTPG_ACC_419_1.53"/>
    <s v="ISEL-1.53"/>
    <n v="1"/>
    <s v="NO TIENE L3OUT"/>
    <n v="70"/>
    <n v="96"/>
  </r>
  <r>
    <n v="155"/>
    <x v="0"/>
    <x v="265"/>
    <s v="eth1/53"/>
    <x v="0"/>
    <x v="0"/>
    <x v="0"/>
    <s v="PORTAL CAUTIVO"/>
    <x v="6"/>
    <b v="0"/>
    <s v="No está en VPC"/>
    <n v="155"/>
    <s v="INTPG_ACC_155_1.53"/>
    <s v="ISEL-1.53"/>
    <n v="1"/>
    <s v="NO TIENE L3OUT"/>
    <n v="198"/>
    <n v="96"/>
  </r>
  <r>
    <n v="409"/>
    <x v="1"/>
    <x v="266"/>
    <s v="eth1/53"/>
    <x v="0"/>
    <x v="0"/>
    <x v="0"/>
    <s v="TO-ITHFDEOCP1LWR01-REDUNDANTE"/>
    <x v="6"/>
    <b v="0"/>
    <s v="No está en VPC"/>
    <n v="409"/>
    <s v="INTPG_ACC_409_1.53"/>
    <s v="ISEL-1.53"/>
    <n v="1"/>
    <s v="NO TIENE L3OUT"/>
    <n v="128"/>
    <n v="96"/>
  </r>
  <r>
    <n v="422"/>
    <x v="1"/>
    <x v="267"/>
    <s v="eth1/53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53"/>
    <x v="0"/>
    <x v="0"/>
    <x v="0"/>
    <s v="TC3_ithmomce1_VC1_X4"/>
    <x v="6"/>
    <b v="0"/>
    <s v="No está en VPC"/>
    <n v="436"/>
    <s v="INTPG_ACC_436_1.53"/>
    <s v="ISEL-1.53"/>
    <n v="7"/>
    <s v="NO TIENE L3OUT"/>
    <n v="172"/>
    <n v="96"/>
  </r>
  <r>
    <n v="410"/>
    <x v="1"/>
    <x v="269"/>
    <s v="eth1/53"/>
    <x v="0"/>
    <x v="0"/>
    <x v="0"/>
    <s v="ITHRTC12VC2X4"/>
    <x v="6"/>
    <b v="0"/>
    <s v="No está en VPC"/>
    <n v="410"/>
    <s v="INTPG_ACC_410_1.53"/>
    <s v="ISEL-1.53"/>
    <n v="1"/>
    <s v="NO TIENE L3OUT"/>
    <n v="178"/>
    <n v="96"/>
  </r>
  <r>
    <n v="161"/>
    <x v="0"/>
    <x v="270"/>
    <s v="eth1/53"/>
    <x v="0"/>
    <x v="1"/>
    <x v="1"/>
    <s v="MULTIMEDIACION"/>
    <x v="6"/>
    <b v="0"/>
    <s v="No está en VPC"/>
    <n v="161"/>
    <s v="INTPG_ACC_161_1.53"/>
    <s v="ISEL-1.53"/>
    <n v="1"/>
    <s v="NO TIENE L3OUT"/>
    <n v="102"/>
    <n v="96"/>
  </r>
  <r>
    <n v="411"/>
    <x v="1"/>
    <x v="271"/>
    <s v="eth1/53"/>
    <x v="0"/>
    <x v="0"/>
    <x v="0"/>
    <s v="VNX5400_NETAC"/>
    <x v="6"/>
    <b v="0"/>
    <s v="No está en VPC"/>
    <n v="411"/>
    <s v="INTPG_ACC_411_1.53"/>
    <s v="ISEL-1.53"/>
    <n v="1"/>
    <s v="NO TIENE L3OUT"/>
    <n v="96"/>
    <n v="96"/>
  </r>
  <r>
    <n v="116"/>
    <x v="0"/>
    <x v="272"/>
    <s v="eth1/53"/>
    <x v="0"/>
    <x v="1"/>
    <x v="1"/>
    <s v="NOTIFICATION SERVER TANGO"/>
    <x v="6"/>
    <b v="0"/>
    <s v="No está en VPC"/>
    <n v="116"/>
    <s v="INTPG_ACC_116_1.53"/>
    <s v="ISEL-1.53"/>
    <n v="1"/>
    <s v="NO TIENE L3OUT"/>
    <n v="148"/>
    <n v="96"/>
  </r>
  <r>
    <n v="412"/>
    <x v="1"/>
    <x v="273"/>
    <s v="eth1/53"/>
    <x v="0"/>
    <x v="0"/>
    <x v="0"/>
    <s v="ITHRTC51VC2X4"/>
    <x v="6"/>
    <b v="0"/>
    <s v="No está en VPC"/>
    <n v="412"/>
    <s v="INTPG_ACC_412_1.53"/>
    <s v="ISEL-1.53"/>
    <n v="1"/>
    <s v="NO TIENE L3OUT"/>
    <n v="126"/>
    <n v="96"/>
  </r>
  <r>
    <n v="120"/>
    <x v="0"/>
    <x v="274"/>
    <s v="eth1/53"/>
    <x v="0"/>
    <x v="0"/>
    <x v="0"/>
    <s v="IXTTRAP-ETL"/>
    <x v="6"/>
    <b v="0"/>
    <s v="No está en VPC"/>
    <n v="120"/>
    <s v="INTPG_ACC_120_1.53"/>
    <s v="ISEL-1.53"/>
    <n v="1"/>
    <s v="NO TIENE L3OUT"/>
    <n v="158"/>
    <n v="96"/>
  </r>
  <r>
    <n v="404"/>
    <x v="1"/>
    <x v="275"/>
    <s v="eth1/53"/>
    <x v="0"/>
    <x v="0"/>
    <x v="0"/>
    <m/>
    <x v="6"/>
    <b v="0"/>
    <s v="No está en VPC"/>
    <n v="404"/>
    <s v="NO EXISTE PG"/>
    <s v="NO EXISTE ISEL"/>
    <n v="0"/>
    <s v="NO TIENE L3OUT"/>
    <n v="92"/>
    <n v="96"/>
  </r>
  <r>
    <n v="167"/>
    <x v="0"/>
    <x v="276"/>
    <s v="eth1/53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53"/>
    <x v="0"/>
    <x v="0"/>
    <x v="0"/>
    <s v="eth0_ora01hpov_Primario"/>
    <x v="6"/>
    <b v="0"/>
    <s v="No está en VPC"/>
    <n v="428"/>
    <s v="INTPG_ACC_428_1.53"/>
    <s v="ISEL-1.53"/>
    <n v="1"/>
    <s v="NO TIENE L3OUT"/>
    <n v="102"/>
    <n v="96"/>
  </r>
  <r>
    <n v="128"/>
    <x v="0"/>
    <x v="0"/>
    <s v="eth1/54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54"/>
    <x v="0"/>
    <x v="1"/>
    <x v="3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54"/>
    <x v="0"/>
    <x v="1"/>
    <x v="3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54"/>
    <x v="0"/>
    <x v="1"/>
    <x v="3"/>
    <m/>
    <x v="0"/>
    <b v="0"/>
    <s v="No está en VPC"/>
    <n v="101"/>
    <s v="NO EXISTE PG"/>
    <s v="NO EXISTE ISEL"/>
    <n v="0"/>
    <s v="NO TIENE L3OUT"/>
    <n v="114"/>
    <n v="54"/>
  </r>
  <r>
    <n v="160"/>
    <x v="0"/>
    <x v="4"/>
    <s v="eth1/54"/>
    <x v="0"/>
    <x v="1"/>
    <x v="3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54"/>
    <x v="0"/>
    <x v="1"/>
    <x v="3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54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54"/>
    <x v="0"/>
    <x v="1"/>
    <x v="3"/>
    <m/>
    <x v="0"/>
    <b v="0"/>
    <s v="No está en VPC"/>
    <n v="401"/>
    <s v="NO EXISTE PG"/>
    <s v="NO EXISTE ISEL"/>
    <n v="0"/>
    <s v="NO TIENE L3OUT"/>
    <n v="40"/>
    <n v="54"/>
  </r>
  <r>
    <n v="402"/>
    <x v="1"/>
    <x v="8"/>
    <s v="eth1/54"/>
    <x v="0"/>
    <x v="1"/>
    <x v="3"/>
    <m/>
    <x v="0"/>
    <b v="0"/>
    <s v="No está en VPC"/>
    <n v="402"/>
    <s v="NO EXISTE PG"/>
    <s v="NO EXISTE ISEL"/>
    <n v="0"/>
    <s v="NO TIENE L3OUT"/>
    <n v="36"/>
    <n v="54"/>
  </r>
  <r>
    <n v="130"/>
    <x v="0"/>
    <x v="11"/>
    <s v="eth1/54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54"/>
    <x v="0"/>
    <x v="1"/>
    <x v="3"/>
    <m/>
    <x v="0"/>
    <b v="0"/>
    <s v="No está en VPC"/>
    <n v="150"/>
    <s v="NO EXISTE PG"/>
    <s v="NO EXISTE ISEL"/>
    <n v="0"/>
    <s v="NO TIENE L3OUT"/>
    <n v="118"/>
    <n v="54"/>
  </r>
  <r>
    <n v="131"/>
    <x v="0"/>
    <x v="13"/>
    <s v="eth1/54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424"/>
    <x v="1"/>
    <x v="18"/>
    <s v="eth1/54"/>
    <x v="0"/>
    <x v="1"/>
    <x v="3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54"/>
    <x v="1"/>
    <x v="1"/>
    <x v="3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54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54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54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54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54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54"/>
    <x v="1"/>
    <x v="1"/>
    <x v="3"/>
    <m/>
    <x v="0"/>
    <b v="0"/>
    <s v="No está en VPC"/>
    <n v="431"/>
    <s v="NO EXISTE PG"/>
    <s v="NO EXISTE ISEL"/>
    <n v="0"/>
    <s v="NO TIENE L3OUT"/>
    <n v="46"/>
    <n v="54"/>
  </r>
  <r>
    <n v="433"/>
    <x v="1"/>
    <x v="27"/>
    <s v="eth1/54"/>
    <x v="1"/>
    <x v="1"/>
    <x v="3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54"/>
    <x v="1"/>
    <x v="1"/>
    <x v="3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54"/>
    <x v="1"/>
    <x v="1"/>
    <x v="3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54"/>
    <x v="1"/>
    <x v="1"/>
    <x v="3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54"/>
    <x v="1"/>
    <x v="1"/>
    <x v="3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54"/>
    <x v="1"/>
    <x v="1"/>
    <x v="3"/>
    <m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54"/>
    <x v="1"/>
    <x v="1"/>
    <x v="3"/>
    <m/>
    <x v="0"/>
    <b v="0"/>
    <s v="No está en VPC"/>
    <n v="712"/>
    <s v="NO EXISTE PG"/>
    <s v="NO EXISTE ISEL"/>
    <n v="0"/>
    <s v="NO TIENE L3OUT"/>
    <n v="32"/>
    <n v="54"/>
  </r>
  <r>
    <n v="719"/>
    <x v="2"/>
    <x v="34"/>
    <s v="eth1/54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54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54"/>
    <x v="1"/>
    <x v="1"/>
    <x v="3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54"/>
    <x v="1"/>
    <x v="1"/>
    <x v="3"/>
    <m/>
    <x v="0"/>
    <b v="0"/>
    <s v="No está en VPC"/>
    <n v="711"/>
    <s v="NO EXISTE PG"/>
    <s v="NO EXISTE ISEL"/>
    <n v="0"/>
    <s v="NO TIENE L3OUT"/>
    <n v="16"/>
    <n v="54"/>
  </r>
  <r>
    <n v="716"/>
    <x v="2"/>
    <x v="38"/>
    <s v="eth1/54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54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54"/>
    <x v="1"/>
    <x v="1"/>
    <x v="3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54"/>
    <x v="0"/>
    <x v="1"/>
    <x v="3"/>
    <m/>
    <x v="0"/>
    <b v="0"/>
    <s v="No está en VPC"/>
    <n v="446"/>
    <s v="NO EXISTE PG"/>
    <s v="NO EXISTE ISEL"/>
    <n v="0"/>
    <s v="NO TIENE L3OUT"/>
    <n v="198"/>
    <n v="54"/>
  </r>
  <r>
    <n v="444"/>
    <x v="1"/>
    <x v="42"/>
    <s v="eth1/54"/>
    <x v="0"/>
    <x v="1"/>
    <x v="3"/>
    <m/>
    <x v="0"/>
    <b v="0"/>
    <s v="No está en VPC"/>
    <n v="444"/>
    <s v="NO EXISTE PG"/>
    <s v="NO EXISTE ISEL"/>
    <n v="0"/>
    <s v="NO TIENE L3OUT"/>
    <n v="234"/>
    <n v="54"/>
  </r>
  <r>
    <n v="701"/>
    <x v="2"/>
    <x v="43"/>
    <s v="eth1/54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54"/>
    <x v="1"/>
    <x v="1"/>
    <x v="3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54"/>
    <x v="1"/>
    <x v="1"/>
    <x v="3"/>
    <m/>
    <x v="0"/>
    <b v="0"/>
    <s v="No está en VPC"/>
    <n v="448"/>
    <s v="NO EXISTE PG"/>
    <s v="NO EXISTE ISEL"/>
    <n v="0"/>
    <s v="NO TIENE L3OUT"/>
    <n v="46"/>
    <n v="54"/>
  </r>
  <r>
    <n v="704"/>
    <x v="2"/>
    <x v="46"/>
    <s v="eth1/54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54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54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54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54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54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54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54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54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54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54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54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54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54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54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54"/>
    <x v="0"/>
    <x v="0"/>
    <x v="0"/>
    <s v="LINK_HACIA_SPINE"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54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54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54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54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54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54"/>
    <x v="1"/>
    <x v="1"/>
    <x v="3"/>
    <m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54"/>
    <x v="1"/>
    <x v="1"/>
    <x v="3"/>
    <m/>
    <x v="0"/>
    <b v="0"/>
    <s v="No está en VPC"/>
    <n v="780"/>
    <s v="NO EXISTE PG"/>
    <s v="NO EXISTE ISEL"/>
    <n v="0"/>
    <s v="NO TIENE L3OUT"/>
    <n v="26"/>
    <n v="54"/>
  </r>
  <r>
    <n v="812"/>
    <x v="2"/>
    <x v="70"/>
    <s v="eth1/54"/>
    <x v="1"/>
    <x v="1"/>
    <x v="3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54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54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54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54"/>
    <x v="0"/>
    <x v="1"/>
    <x v="3"/>
    <m/>
    <x v="0"/>
    <b v="0"/>
    <s v="No está en VPC"/>
    <n v="824"/>
    <s v="NO EXISTE PG"/>
    <s v="NO EXISTE ISEL"/>
    <n v="0"/>
    <s v="NO TIENE L3OUT"/>
    <n v="70"/>
    <n v="54"/>
  </r>
  <r>
    <n v="819"/>
    <x v="2"/>
    <x v="75"/>
    <s v="eth1/54"/>
    <x v="0"/>
    <x v="1"/>
    <x v="3"/>
    <m/>
    <x v="0"/>
    <b v="0"/>
    <s v="No está en VPC"/>
    <n v="819"/>
    <s v="NO EXISTE PG"/>
    <s v="NO EXISTE ISEL"/>
    <n v="0"/>
    <s v="NO TIENE L3OUT"/>
    <n v="70"/>
    <n v="54"/>
  </r>
  <r>
    <n v="737"/>
    <x v="2"/>
    <x v="76"/>
    <s v="eth1/54"/>
    <x v="0"/>
    <x v="0"/>
    <x v="0"/>
    <s v="LINK_HACIA_SPINE"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54"/>
    <x v="1"/>
    <x v="1"/>
    <x v="3"/>
    <m/>
    <x v="0"/>
    <b v="0"/>
    <s v="No está en VPC"/>
    <n v="844"/>
    <s v="NO EXISTE PG"/>
    <s v="NO EXISTE ISEL"/>
    <n v="0"/>
    <s v="NO TIENE L3OUT"/>
    <n v="282"/>
    <n v="54"/>
  </r>
  <r>
    <n v="843"/>
    <x v="2"/>
    <x v="78"/>
    <s v="eth1/54"/>
    <x v="1"/>
    <x v="1"/>
    <x v="3"/>
    <m/>
    <x v="0"/>
    <b v="0"/>
    <s v="No está en VPC"/>
    <n v="843"/>
    <s v="NO EXISTE PG"/>
    <s v="NO EXISTE ISEL"/>
    <n v="0"/>
    <s v="NO TIENE L3OUT"/>
    <n v="38"/>
    <n v="54"/>
  </r>
  <r>
    <n v="797"/>
    <x v="2"/>
    <x v="79"/>
    <s v="eth1/54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54"/>
    <x v="1"/>
    <x v="1"/>
    <x v="3"/>
    <m/>
    <x v="0"/>
    <b v="0"/>
    <s v="No está en VPC"/>
    <n v="839"/>
    <s v="NO EXISTE PG"/>
    <s v="NO EXISTE ISEL"/>
    <n v="0"/>
    <s v="NO TIENE L3OUT"/>
    <n v="0"/>
    <n v="54"/>
  </r>
  <r>
    <n v="847"/>
    <x v="2"/>
    <x v="81"/>
    <s v="eth1/54"/>
    <x v="1"/>
    <x v="1"/>
    <x v="3"/>
    <m/>
    <x v="0"/>
    <b v="0"/>
    <s v="No está en VPC"/>
    <n v="847"/>
    <s v="NO EXISTE PG"/>
    <s v="NO EXISTE ISEL"/>
    <n v="0"/>
    <s v="NO TIENE L3OUT"/>
    <n v="204"/>
    <n v="54"/>
  </r>
  <r>
    <n v="848"/>
    <x v="2"/>
    <x v="82"/>
    <s v="eth1/54"/>
    <x v="1"/>
    <x v="1"/>
    <x v="3"/>
    <m/>
    <x v="0"/>
    <b v="0"/>
    <s v="No está en VPC"/>
    <n v="848"/>
    <s v="NO EXISTE PG"/>
    <s v="NO EXISTE ISEL"/>
    <n v="0"/>
    <s v="NO TIENE L3OUT"/>
    <n v="254"/>
    <n v="54"/>
  </r>
  <r>
    <n v="846"/>
    <x v="2"/>
    <x v="83"/>
    <s v="eth1/54"/>
    <x v="1"/>
    <x v="1"/>
    <x v="3"/>
    <m/>
    <x v="0"/>
    <b v="0"/>
    <s v="No está en VPC"/>
    <n v="846"/>
    <s v="NO EXISTE PG"/>
    <s v="NO EXISTE ISEL"/>
    <n v="0"/>
    <s v="NO TIENE L3OUT"/>
    <n v="242"/>
    <n v="54"/>
  </r>
  <r>
    <n v="838"/>
    <x v="2"/>
    <x v="84"/>
    <s v="eth1/54"/>
    <x v="1"/>
    <x v="1"/>
    <x v="3"/>
    <m/>
    <x v="0"/>
    <b v="0"/>
    <s v="No está en VPC"/>
    <n v="838"/>
    <s v="NO EXISTE PG"/>
    <s v="NO EXISTE ISEL"/>
    <n v="0"/>
    <s v="NO TIENE L3OUT"/>
    <n v="38"/>
    <n v="54"/>
  </r>
  <r>
    <n v="849"/>
    <x v="2"/>
    <x v="85"/>
    <s v="eth1/54"/>
    <x v="1"/>
    <x v="1"/>
    <x v="3"/>
    <m/>
    <x v="0"/>
    <b v="0"/>
    <s v="No está en VPC"/>
    <n v="849"/>
    <s v="NO EXISTE PG"/>
    <s v="NO EXISTE ISEL"/>
    <n v="0"/>
    <s v="NO TIENE L3OUT"/>
    <n v="286"/>
    <n v="54"/>
  </r>
  <r>
    <n v="845"/>
    <x v="2"/>
    <x v="86"/>
    <s v="eth1/54"/>
    <x v="1"/>
    <x v="1"/>
    <x v="3"/>
    <m/>
    <x v="0"/>
    <b v="0"/>
    <s v="No está en VPC"/>
    <n v="845"/>
    <s v="NO EXISTE PG"/>
    <s v="NO EXISTE ISEL"/>
    <n v="0"/>
    <s v="NO TIENE L3OUT"/>
    <n v="258"/>
    <n v="54"/>
  </r>
  <r>
    <n v="873"/>
    <x v="2"/>
    <x v="87"/>
    <s v="eth1/54"/>
    <x v="1"/>
    <x v="1"/>
    <x v="3"/>
    <m/>
    <x v="0"/>
    <b v="0"/>
    <s v="No está en VPC"/>
    <n v="873"/>
    <s v="NO EXISTE PG"/>
    <s v="NO EXISTE ISEL"/>
    <n v="0"/>
    <s v="NO TIENE L3OUT"/>
    <n v="248"/>
    <n v="54"/>
  </r>
  <r>
    <n v="864"/>
    <x v="2"/>
    <x v="88"/>
    <s v="eth1/54"/>
    <x v="1"/>
    <x v="1"/>
    <x v="3"/>
    <m/>
    <x v="0"/>
    <b v="0"/>
    <s v="No está en VPC"/>
    <n v="864"/>
    <s v="NO EXISTE PG"/>
    <s v="NO EXISTE ISEL"/>
    <n v="0"/>
    <s v="NO TIENE L3OUT"/>
    <n v="0"/>
    <n v="54"/>
  </r>
  <r>
    <n v="836"/>
    <x v="2"/>
    <x v="89"/>
    <s v="eth1/54"/>
    <x v="1"/>
    <x v="1"/>
    <x v="3"/>
    <m/>
    <x v="0"/>
    <b v="0"/>
    <s v="No está en VPC"/>
    <n v="836"/>
    <s v="NO EXISTE PG"/>
    <s v="NO EXISTE ISEL"/>
    <n v="0"/>
    <s v="NO TIENE L3OUT"/>
    <n v="0"/>
    <n v="54"/>
  </r>
  <r>
    <n v="834"/>
    <x v="2"/>
    <x v="90"/>
    <s v="eth1/54"/>
    <x v="1"/>
    <x v="1"/>
    <x v="3"/>
    <m/>
    <x v="0"/>
    <b v="0"/>
    <s v="No está en VPC"/>
    <n v="834"/>
    <s v="NO EXISTE PG"/>
    <s v="NO EXISTE ISEL"/>
    <n v="0"/>
    <s v="NO TIENE L3OUT"/>
    <n v="0"/>
    <n v="54"/>
  </r>
  <r>
    <n v="872"/>
    <x v="2"/>
    <x v="91"/>
    <s v="eth1/54"/>
    <x v="1"/>
    <x v="1"/>
    <x v="3"/>
    <m/>
    <x v="0"/>
    <b v="0"/>
    <s v="No está en VPC"/>
    <n v="872"/>
    <s v="NO EXISTE PG"/>
    <s v="NO EXISTE ISEL"/>
    <n v="0"/>
    <s v="NO TIENE L3OUT"/>
    <n v="288"/>
    <n v="54"/>
  </r>
  <r>
    <n v="842"/>
    <x v="2"/>
    <x v="92"/>
    <s v="eth1/54"/>
    <x v="1"/>
    <x v="1"/>
    <x v="3"/>
    <m/>
    <x v="0"/>
    <b v="0"/>
    <s v="No está en VPC"/>
    <n v="842"/>
    <s v="NO EXISTE PG"/>
    <s v="NO EXISTE ISEL"/>
    <n v="0"/>
    <s v="NO TIENE L3OUT"/>
    <n v="8"/>
    <n v="54"/>
  </r>
  <r>
    <n v="828"/>
    <x v="2"/>
    <x v="93"/>
    <s v="eth1/54"/>
    <x v="1"/>
    <x v="1"/>
    <x v="3"/>
    <m/>
    <x v="0"/>
    <b v="0"/>
    <s v="No está en VPC"/>
    <n v="828"/>
    <s v="NO EXISTE PG"/>
    <s v="NO EXISTE ISEL"/>
    <n v="0"/>
    <s v="NO TIENE L3OUT"/>
    <n v="192"/>
    <n v="54"/>
  </r>
  <r>
    <n v="870"/>
    <x v="2"/>
    <x v="94"/>
    <s v="eth1/54"/>
    <x v="1"/>
    <x v="1"/>
    <x v="3"/>
    <m/>
    <x v="0"/>
    <b v="0"/>
    <s v="No está en VPC"/>
    <n v="870"/>
    <s v="NO EXISTE PG"/>
    <s v="NO EXISTE ISEL"/>
    <n v="0"/>
    <s v="NO TIENE L3OUT"/>
    <n v="248"/>
    <n v="54"/>
  </r>
  <r>
    <n v="866"/>
    <x v="2"/>
    <x v="95"/>
    <s v="eth1/54"/>
    <x v="1"/>
    <x v="1"/>
    <x v="3"/>
    <m/>
    <x v="0"/>
    <b v="0"/>
    <s v="No está en VPC"/>
    <n v="866"/>
    <s v="NO EXISTE PG"/>
    <s v="NO EXISTE ISEL"/>
    <n v="0"/>
    <s v="NO TIENE L3OUT"/>
    <n v="8"/>
    <n v="54"/>
  </r>
  <r>
    <n v="862"/>
    <x v="2"/>
    <x v="96"/>
    <s v="eth1/54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54"/>
    <x v="1"/>
    <x v="1"/>
    <x v="3"/>
    <m/>
    <x v="0"/>
    <b v="0"/>
    <s v="No está en VPC"/>
    <n v="855"/>
    <s v="NO EXISTE PG"/>
    <s v="NO EXISTE ISEL"/>
    <n v="0"/>
    <s v="NO TIENE L3OUT"/>
    <n v="254"/>
    <n v="54"/>
  </r>
  <r>
    <n v="871"/>
    <x v="2"/>
    <x v="98"/>
    <s v="eth1/54"/>
    <x v="1"/>
    <x v="1"/>
    <x v="3"/>
    <m/>
    <x v="0"/>
    <b v="0"/>
    <s v="No está en VPC"/>
    <n v="871"/>
    <s v="NO EXISTE PG"/>
    <s v="NO EXISTE ISEL"/>
    <n v="0"/>
    <s v="NO TIENE L3OUT"/>
    <n v="246"/>
    <n v="54"/>
  </r>
  <r>
    <n v="841"/>
    <x v="2"/>
    <x v="99"/>
    <s v="eth1/54"/>
    <x v="1"/>
    <x v="1"/>
    <x v="3"/>
    <m/>
    <x v="0"/>
    <b v="0"/>
    <s v="No está en VPC"/>
    <n v="841"/>
    <s v="NO EXISTE PG"/>
    <s v="NO EXISTE ISEL"/>
    <n v="0"/>
    <s v="NO TIENE L3OUT"/>
    <n v="0"/>
    <n v="54"/>
  </r>
  <r>
    <n v="868"/>
    <x v="2"/>
    <x v="100"/>
    <s v="eth1/54"/>
    <x v="1"/>
    <x v="1"/>
    <x v="3"/>
    <m/>
    <x v="0"/>
    <b v="0"/>
    <s v="No está en VPC"/>
    <n v="868"/>
    <s v="NO EXISTE PG"/>
    <s v="NO EXISTE ISEL"/>
    <n v="0"/>
    <s v="NO TIENE L3OUT"/>
    <n v="246"/>
    <n v="54"/>
  </r>
  <r>
    <n v="869"/>
    <x v="2"/>
    <x v="101"/>
    <s v="eth1/54"/>
    <x v="1"/>
    <x v="1"/>
    <x v="3"/>
    <m/>
    <x v="0"/>
    <b v="0"/>
    <s v="No está en VPC"/>
    <n v="869"/>
    <s v="NO EXISTE PG"/>
    <s v="NO EXISTE ISEL"/>
    <n v="0"/>
    <s v="NO TIENE L3OUT"/>
    <n v="288"/>
    <n v="54"/>
  </r>
  <r>
    <n v="861"/>
    <x v="2"/>
    <x v="102"/>
    <s v="eth1/54"/>
    <x v="1"/>
    <x v="1"/>
    <x v="3"/>
    <m/>
    <x v="0"/>
    <b v="0"/>
    <s v="No está en VPC"/>
    <n v="861"/>
    <s v="NO EXISTE PG"/>
    <s v="NO EXISTE ISEL"/>
    <n v="0"/>
    <s v="NO TIENE L3OUT"/>
    <n v="8"/>
    <n v="54"/>
  </r>
  <r>
    <n v="874"/>
    <x v="2"/>
    <x v="103"/>
    <s v="eth1/54"/>
    <x v="1"/>
    <x v="1"/>
    <x v="3"/>
    <m/>
    <x v="4"/>
    <b v="0"/>
    <s v="No está en VPC"/>
    <n v="874"/>
    <s v="NO EXISTE PG"/>
    <s v="NO EXISTE ISEL"/>
    <n v="0"/>
    <s v="NO TIENE L3OUT"/>
    <n v="92"/>
    <n v="54"/>
  </r>
  <r>
    <n v="865"/>
    <x v="2"/>
    <x v="104"/>
    <s v="eth1/54"/>
    <x v="1"/>
    <x v="1"/>
    <x v="3"/>
    <m/>
    <x v="0"/>
    <b v="0"/>
    <s v="No está en VPC"/>
    <n v="865"/>
    <s v="NO EXISTE PG"/>
    <s v="NO EXISTE ISEL"/>
    <n v="0"/>
    <s v="NO TIENE L3OUT"/>
    <n v="0"/>
    <n v="54"/>
  </r>
  <r>
    <n v="753"/>
    <x v="2"/>
    <x v="105"/>
    <s v="eth1/54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54"/>
    <x v="1"/>
    <x v="1"/>
    <x v="3"/>
    <m/>
    <x v="0"/>
    <b v="0"/>
    <s v="No está en VPC"/>
    <n v="708"/>
    <s v="NO EXISTE PG"/>
    <s v="NO EXISTE ISEL"/>
    <n v="0"/>
    <s v="NO TIENE L3OUT"/>
    <n v="0"/>
    <n v="54"/>
  </r>
  <r>
    <n v="710"/>
    <x v="2"/>
    <x v="107"/>
    <s v="eth1/54"/>
    <x v="1"/>
    <x v="1"/>
    <x v="3"/>
    <m/>
    <x v="0"/>
    <b v="0"/>
    <s v="No está en VPC"/>
    <n v="710"/>
    <s v="NO EXISTE PG"/>
    <s v="NO EXISTE ISEL"/>
    <n v="0"/>
    <s v="NO TIENE L3OUT"/>
    <n v="16"/>
    <n v="54"/>
  </r>
  <r>
    <n v="713"/>
    <x v="2"/>
    <x v="108"/>
    <s v="eth1/54"/>
    <x v="1"/>
    <x v="1"/>
    <x v="3"/>
    <m/>
    <x v="0"/>
    <b v="0"/>
    <s v="No está en VPC"/>
    <n v="713"/>
    <s v="NO EXISTE PG"/>
    <s v="NO EXISTE ISEL"/>
    <n v="0"/>
    <s v="NO TIENE L3OUT"/>
    <n v="32"/>
    <n v="54"/>
  </r>
  <r>
    <n v="735"/>
    <x v="2"/>
    <x v="109"/>
    <s v="eth1/54"/>
    <x v="0"/>
    <x v="0"/>
    <x v="0"/>
    <s v="LINK_HACIA_SPINE"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54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54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54"/>
    <x v="1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54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54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54"/>
    <x v="1"/>
    <x v="1"/>
    <x v="3"/>
    <m/>
    <x v="0"/>
    <b v="0"/>
    <s v="No está en VPC"/>
    <n v="826"/>
    <s v="NO EXISTE PG"/>
    <s v="NO EXISTE ISEL"/>
    <n v="0"/>
    <s v="NO TIENE L3OUT"/>
    <n v="12"/>
    <n v="54"/>
  </r>
  <r>
    <n v="726"/>
    <x v="2"/>
    <x v="117"/>
    <s v="eth1/54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54"/>
    <x v="0"/>
    <x v="0"/>
    <x v="0"/>
    <s v="LINK_HACIA_SPINE"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54"/>
    <x v="1"/>
    <x v="1"/>
    <x v="3"/>
    <m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54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54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54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54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54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54"/>
    <x v="1"/>
    <x v="1"/>
    <x v="3"/>
    <m/>
    <x v="0"/>
    <b v="0"/>
    <s v="No está en VPC"/>
    <n v="709"/>
    <s v="NO EXISTE PG"/>
    <s v="NO EXISTE ISEL"/>
    <n v="0"/>
    <s v="NO TIENE L3OUT"/>
    <n v="0"/>
    <n v="54"/>
  </r>
  <r>
    <n v="454"/>
    <x v="1"/>
    <x v="126"/>
    <s v="eth1/54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54"/>
    <x v="0"/>
    <x v="0"/>
    <x v="0"/>
    <s v="LINK_HACIA_SPINE"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54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54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54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54"/>
    <x v="0"/>
    <x v="0"/>
    <x v="0"/>
    <s v="LINK_HACIA_SPINE"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54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54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54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54"/>
    <x v="0"/>
    <x v="1"/>
    <x v="3"/>
    <m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54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54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54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54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54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54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54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54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54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54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54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54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54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54"/>
    <x v="1"/>
    <x v="1"/>
    <x v="3"/>
    <m/>
    <x v="0"/>
    <b v="0"/>
    <s v="No está en VPC"/>
    <n v="781"/>
    <s v="NO EXISTE PG"/>
    <s v="NO EXISTE ISEL"/>
    <n v="0"/>
    <s v="NO TIENE L3OUT"/>
    <n v="26"/>
    <n v="54"/>
  </r>
  <r>
    <n v="793"/>
    <x v="2"/>
    <x v="151"/>
    <s v="eth1/54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54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54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54"/>
    <x v="1"/>
    <x v="1"/>
    <x v="3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54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54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54"/>
    <x v="1"/>
    <x v="1"/>
    <x v="3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54"/>
    <x v="0"/>
    <x v="0"/>
    <x v="0"/>
    <s v="LINK_HACIA_SPINE"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54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54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54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54"/>
    <x v="1"/>
    <x v="1"/>
    <x v="3"/>
    <m/>
    <x v="0"/>
    <b v="0"/>
    <s v="No está en VPC"/>
    <n v="830"/>
    <s v="NO EXISTE PG"/>
    <s v="NO EXISTE ISEL"/>
    <n v="0"/>
    <s v="NO TIENE L3OUT"/>
    <n v="12"/>
    <n v="54"/>
  </r>
  <r>
    <n v="821"/>
    <x v="2"/>
    <x v="163"/>
    <s v="eth1/54"/>
    <x v="0"/>
    <x v="1"/>
    <x v="3"/>
    <m/>
    <x v="0"/>
    <b v="0"/>
    <s v="No está en VPC"/>
    <n v="821"/>
    <s v="NO EXISTE PG"/>
    <s v="NO EXISTE ISEL"/>
    <n v="0"/>
    <s v="NO TIENE L3OUT"/>
    <n v="0"/>
    <n v="54"/>
  </r>
  <r>
    <n v="738"/>
    <x v="2"/>
    <x v="164"/>
    <s v="eth1/54"/>
    <x v="0"/>
    <x v="0"/>
    <x v="0"/>
    <s v="LINK_HACIA_SPINE"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54"/>
    <x v="0"/>
    <x v="1"/>
    <x v="3"/>
    <m/>
    <x v="0"/>
    <b v="0"/>
    <s v="No está en VPC"/>
    <n v="820"/>
    <s v="NO EXISTE PG"/>
    <s v="NO EXISTE ISEL"/>
    <n v="0"/>
    <s v="NO TIENE L3OUT"/>
    <n v="72"/>
    <n v="54"/>
  </r>
  <r>
    <n v="804"/>
    <x v="2"/>
    <x v="166"/>
    <s v="eth1/54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54"/>
    <x v="1"/>
    <x v="1"/>
    <x v="3"/>
    <m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54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54"/>
    <x v="1"/>
    <x v="1"/>
    <x v="3"/>
    <m/>
    <x v="0"/>
    <b v="0"/>
    <s v="No está en VPC"/>
    <n v="827"/>
    <s v="NO EXISTE PG"/>
    <s v="NO EXISTE ISEL"/>
    <n v="0"/>
    <s v="NO TIENE L3OUT"/>
    <n v="14"/>
    <n v="54"/>
  </r>
  <r>
    <n v="809"/>
    <x v="2"/>
    <x v="170"/>
    <s v="eth1/54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54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54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54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54"/>
    <x v="1"/>
    <x v="1"/>
    <x v="3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54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54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54"/>
    <x v="1"/>
    <x v="1"/>
    <x v="3"/>
    <m/>
    <x v="0"/>
    <b v="0"/>
    <s v="No está en VPC"/>
    <n v="851"/>
    <s v="NO EXISTE PG"/>
    <s v="NO EXISTE ISEL"/>
    <n v="0"/>
    <s v="NO TIENE L3OUT"/>
    <n v="282"/>
    <n v="54"/>
  </r>
  <r>
    <n v="798"/>
    <x v="2"/>
    <x v="178"/>
    <s v="eth1/54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54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54"/>
    <x v="1"/>
    <x v="1"/>
    <x v="3"/>
    <m/>
    <x v="0"/>
    <b v="0"/>
    <s v="No está en VPC"/>
    <n v="852"/>
    <s v="NO EXISTE PG"/>
    <s v="NO EXISTE ISEL"/>
    <n v="0"/>
    <s v="NO TIENE L3OUT"/>
    <n v="258"/>
    <n v="54"/>
  </r>
  <r>
    <n v="817"/>
    <x v="2"/>
    <x v="181"/>
    <s v="eth1/54"/>
    <x v="1"/>
    <x v="1"/>
    <x v="3"/>
    <m/>
    <x v="0"/>
    <b v="0"/>
    <s v="No está en VPC"/>
    <n v="817"/>
    <s v="NO EXISTE PG"/>
    <s v="NO EXISTE ISEL"/>
    <n v="0"/>
    <s v="NO TIENE L3OUT"/>
    <n v="0"/>
    <n v="54"/>
  </r>
  <r>
    <n v="832"/>
    <x v="2"/>
    <x v="182"/>
    <s v="eth1/54"/>
    <x v="1"/>
    <x v="1"/>
    <x v="3"/>
    <m/>
    <x v="0"/>
    <b v="0"/>
    <s v="No está en VPC"/>
    <n v="832"/>
    <s v="NO EXISTE PG"/>
    <s v="NO EXISTE ISEL"/>
    <n v="0"/>
    <s v="NO TIENE L3OUT"/>
    <n v="192"/>
    <n v="54"/>
  </r>
  <r>
    <n v="816"/>
    <x v="2"/>
    <x v="183"/>
    <s v="eth1/54"/>
    <x v="0"/>
    <x v="1"/>
    <x v="3"/>
    <m/>
    <x v="0"/>
    <b v="0"/>
    <s v="No está en VPC"/>
    <n v="816"/>
    <s v="NO EXISTE PG"/>
    <s v="NO EXISTE ISEL"/>
    <n v="0"/>
    <s v="NO TIENE L3OUT"/>
    <n v="0"/>
    <n v="54"/>
  </r>
  <r>
    <n v="825"/>
    <x v="2"/>
    <x v="184"/>
    <s v="eth1/54"/>
    <x v="0"/>
    <x v="1"/>
    <x v="3"/>
    <m/>
    <x v="0"/>
    <b v="0"/>
    <s v="No está en VPC"/>
    <n v="825"/>
    <s v="NO EXISTE PG"/>
    <s v="NO EXISTE ISEL"/>
    <n v="0"/>
    <s v="NO TIENE L3OUT"/>
    <n v="72"/>
    <n v="54"/>
  </r>
  <r>
    <n v="800"/>
    <x v="2"/>
    <x v="185"/>
    <s v="eth1/54"/>
    <x v="1"/>
    <x v="1"/>
    <x v="3"/>
    <m/>
    <x v="0"/>
    <b v="0"/>
    <s v="No está en VPC"/>
    <n v="800"/>
    <s v="NO EXISTE PG"/>
    <s v="NO EXISTE ISEL"/>
    <n v="0"/>
    <s v="NO TIENE L3OUT"/>
    <n v="78"/>
    <n v="54"/>
  </r>
  <r>
    <n v="801"/>
    <x v="2"/>
    <x v="186"/>
    <s v="eth1/54"/>
    <x v="1"/>
    <x v="1"/>
    <x v="3"/>
    <m/>
    <x v="0"/>
    <b v="0"/>
    <s v="No está en VPC"/>
    <n v="801"/>
    <s v="NO EXISTE PG"/>
    <s v="NO EXISTE ISEL"/>
    <n v="0"/>
    <s v="NO TIENE L3OUT"/>
    <n v="78"/>
    <n v="54"/>
  </r>
  <r>
    <n v="823"/>
    <x v="2"/>
    <x v="187"/>
    <s v="eth1/54"/>
    <x v="0"/>
    <x v="1"/>
    <x v="3"/>
    <m/>
    <x v="0"/>
    <b v="0"/>
    <s v="No está en VPC"/>
    <n v="823"/>
    <s v="NO EXISTE PG"/>
    <s v="NO EXISTE ISEL"/>
    <n v="0"/>
    <s v="NO TIENE L3OUT"/>
    <n v="8"/>
    <n v="54"/>
  </r>
  <r>
    <n v="837"/>
    <x v="2"/>
    <x v="188"/>
    <s v="eth1/54"/>
    <x v="1"/>
    <x v="1"/>
    <x v="3"/>
    <m/>
    <x v="0"/>
    <b v="0"/>
    <s v="No está en VPC"/>
    <n v="837"/>
    <s v="NO EXISTE PG"/>
    <s v="NO EXISTE ISEL"/>
    <n v="0"/>
    <s v="NO TIENE L3OUT"/>
    <n v="8"/>
    <n v="54"/>
  </r>
  <r>
    <n v="867"/>
    <x v="2"/>
    <x v="189"/>
    <s v="eth1/54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54"/>
    <x v="1"/>
    <x v="1"/>
    <x v="3"/>
    <m/>
    <x v="0"/>
    <b v="0"/>
    <s v="No está en VPC"/>
    <n v="829"/>
    <s v="NO EXISTE PG"/>
    <s v="NO EXISTE ISEL"/>
    <n v="0"/>
    <s v="NO TIENE L3OUT"/>
    <n v="224"/>
    <n v="54"/>
  </r>
  <r>
    <n v="831"/>
    <x v="2"/>
    <x v="191"/>
    <s v="eth1/54"/>
    <x v="1"/>
    <x v="1"/>
    <x v="3"/>
    <m/>
    <x v="0"/>
    <b v="0"/>
    <s v="No está en VPC"/>
    <n v="831"/>
    <s v="NO EXISTE PG"/>
    <s v="NO EXISTE ISEL"/>
    <n v="0"/>
    <s v="NO TIENE L3OUT"/>
    <n v="14"/>
    <n v="54"/>
  </r>
  <r>
    <n v="802"/>
    <x v="2"/>
    <x v="192"/>
    <s v="eth1/54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54"/>
    <x v="1"/>
    <x v="1"/>
    <x v="3"/>
    <m/>
    <x v="0"/>
    <b v="0"/>
    <s v="No está en VPC"/>
    <n v="835"/>
    <s v="NO EXISTE PG"/>
    <s v="NO EXISTE ISEL"/>
    <n v="0"/>
    <s v="NO TIENE L3OUT"/>
    <n v="8"/>
    <n v="54"/>
  </r>
  <r>
    <n v="822"/>
    <x v="2"/>
    <x v="194"/>
    <s v="eth1/54"/>
    <x v="0"/>
    <x v="1"/>
    <x v="3"/>
    <m/>
    <x v="0"/>
    <b v="0"/>
    <s v="No está en VPC"/>
    <n v="822"/>
    <s v="NO EXISTE PG"/>
    <s v="NO EXISTE ISEL"/>
    <n v="0"/>
    <s v="NO TIENE L3OUT"/>
    <n v="0"/>
    <n v="54"/>
  </r>
  <r>
    <n v="854"/>
    <x v="2"/>
    <x v="195"/>
    <s v="eth1/54"/>
    <x v="1"/>
    <x v="1"/>
    <x v="3"/>
    <m/>
    <x v="0"/>
    <b v="0"/>
    <s v="No está en VPC"/>
    <n v="854"/>
    <s v="NO EXISTE PG"/>
    <s v="NO EXISTE ISEL"/>
    <n v="0"/>
    <s v="NO TIENE L3OUT"/>
    <n v="204"/>
    <n v="54"/>
  </r>
  <r>
    <n v="858"/>
    <x v="2"/>
    <x v="196"/>
    <s v="eth1/54"/>
    <x v="1"/>
    <x v="1"/>
    <x v="3"/>
    <m/>
    <x v="0"/>
    <b v="0"/>
    <s v="No está en VPC"/>
    <n v="858"/>
    <s v="NO EXISTE PG"/>
    <s v="NO EXISTE ISEL"/>
    <n v="0"/>
    <s v="NO TIENE L3OUT"/>
    <n v="8"/>
    <n v="54"/>
  </r>
  <r>
    <n v="857"/>
    <x v="2"/>
    <x v="197"/>
    <s v="eth1/54"/>
    <x v="1"/>
    <x v="1"/>
    <x v="3"/>
    <m/>
    <x v="0"/>
    <b v="0"/>
    <s v="No está en VPC"/>
    <n v="857"/>
    <s v="NO EXISTE PG"/>
    <s v="NO EXISTE ISEL"/>
    <n v="0"/>
    <s v="NO TIENE L3OUT"/>
    <n v="288"/>
    <n v="54"/>
  </r>
  <r>
    <n v="859"/>
    <x v="2"/>
    <x v="198"/>
    <s v="eth1/54"/>
    <x v="1"/>
    <x v="1"/>
    <x v="3"/>
    <m/>
    <x v="0"/>
    <b v="0"/>
    <s v="No está en VPC"/>
    <n v="859"/>
    <s v="NO EXISTE PG"/>
    <s v="NO EXISTE ISEL"/>
    <n v="0"/>
    <s v="NO TIENE L3OUT"/>
    <n v="0"/>
    <n v="54"/>
  </r>
  <r>
    <n v="833"/>
    <x v="2"/>
    <x v="199"/>
    <s v="eth1/54"/>
    <x v="1"/>
    <x v="1"/>
    <x v="3"/>
    <m/>
    <x v="0"/>
    <b v="0"/>
    <s v="No está en VPC"/>
    <n v="833"/>
    <s v="NO EXISTE PG"/>
    <s v="NO EXISTE ISEL"/>
    <n v="0"/>
    <s v="NO TIENE L3OUT"/>
    <n v="224"/>
    <n v="54"/>
  </r>
  <r>
    <n v="818"/>
    <x v="2"/>
    <x v="200"/>
    <s v="eth1/54"/>
    <x v="0"/>
    <x v="1"/>
    <x v="3"/>
    <m/>
    <x v="0"/>
    <b v="0"/>
    <s v="No está en VPC"/>
    <n v="818"/>
    <s v="NO EXISTE PG"/>
    <s v="NO EXISTE ISEL"/>
    <n v="0"/>
    <s v="NO TIENE L3OUT"/>
    <n v="8"/>
    <n v="54"/>
  </r>
  <r>
    <n v="850"/>
    <x v="2"/>
    <x v="201"/>
    <s v="eth1/54"/>
    <x v="1"/>
    <x v="1"/>
    <x v="3"/>
    <m/>
    <x v="0"/>
    <b v="0"/>
    <s v="No está en VPC"/>
    <n v="850"/>
    <s v="NO EXISTE PG"/>
    <s v="NO EXISTE ISEL"/>
    <n v="0"/>
    <s v="NO TIENE L3OUT"/>
    <n v="288"/>
    <n v="54"/>
  </r>
  <r>
    <n v="860"/>
    <x v="2"/>
    <x v="202"/>
    <s v="eth1/54"/>
    <x v="1"/>
    <x v="1"/>
    <x v="3"/>
    <m/>
    <x v="0"/>
    <b v="0"/>
    <s v="No está en VPC"/>
    <n v="860"/>
    <s v="NO EXISTE PG"/>
    <s v="NO EXISTE ISEL"/>
    <n v="0"/>
    <s v="NO TIENE L3OUT"/>
    <n v="0"/>
    <n v="54"/>
  </r>
  <r>
    <n v="853"/>
    <x v="2"/>
    <x v="203"/>
    <s v="eth1/54"/>
    <x v="1"/>
    <x v="1"/>
    <x v="3"/>
    <m/>
    <x v="0"/>
    <b v="0"/>
    <s v="No está en VPC"/>
    <n v="853"/>
    <s v="NO EXISTE PG"/>
    <s v="NO EXISTE ISEL"/>
    <n v="0"/>
    <s v="NO TIENE L3OUT"/>
    <n v="242"/>
    <n v="54"/>
  </r>
  <r>
    <n v="790"/>
    <x v="2"/>
    <x v="204"/>
    <s v="eth1/54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54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54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54"/>
    <x v="0"/>
    <x v="1"/>
    <x v="1"/>
    <s v="CISCO ANA 01 EHEALTH"/>
    <x v="6"/>
    <b v="0"/>
    <s v="No está en VPC"/>
    <n v="104"/>
    <s v="INTPG_ACC_104_1.54"/>
    <s v="ISEL-1.54"/>
    <n v="1"/>
    <s v="NO TIENE L3OUT"/>
    <n v="194"/>
    <n v="96"/>
  </r>
  <r>
    <n v="158"/>
    <x v="0"/>
    <x v="208"/>
    <s v="eth1/54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54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54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54"/>
    <x v="0"/>
    <x v="0"/>
    <x v="0"/>
    <s v="DESC"/>
    <x v="6"/>
    <b v="0"/>
    <s v="No está en VPC"/>
    <n v="108"/>
    <s v="INTPG_PC_108_1.53-54"/>
    <s v="ISEL-1.54"/>
    <n v="1"/>
    <s v="NO TIENE L3OUT"/>
    <n v="126"/>
    <n v="96"/>
  </r>
  <r>
    <n v="112"/>
    <x v="0"/>
    <x v="212"/>
    <s v="eth1/54"/>
    <x v="0"/>
    <x v="1"/>
    <x v="1"/>
    <s v="SAPCCRATING09"/>
    <x v="6"/>
    <b v="0"/>
    <s v="No está en VPC"/>
    <n v="112"/>
    <s v="INTPG_VPC_112_1.54_114_1.51"/>
    <s v="ISEL-1.54"/>
    <n v="1"/>
    <s v="NO TIENE L3OUT"/>
    <n v="144"/>
    <n v="96"/>
  </r>
  <r>
    <n v="107"/>
    <x v="0"/>
    <x v="213"/>
    <s v="eth1/54"/>
    <x v="0"/>
    <x v="0"/>
    <x v="0"/>
    <s v="COMISIONES"/>
    <x v="6"/>
    <b v="0"/>
    <s v="No está en VPC"/>
    <n v="107"/>
    <s v="INTPG_ACC_107_1.54"/>
    <s v="ISEL-1.54"/>
    <n v="1"/>
    <s v="NO TIENE L3OUT"/>
    <n v="118"/>
    <n v="96"/>
  </r>
  <r>
    <n v="109"/>
    <x v="0"/>
    <x v="214"/>
    <s v="eth1/54"/>
    <x v="1"/>
    <x v="1"/>
    <x v="2"/>
    <s v="OBIE_1-2"/>
    <x v="6"/>
    <b v="0"/>
    <s v="No está en VPC"/>
    <n v="109"/>
    <s v="INTPG_ACC_109_1.54"/>
    <s v="ISEL-1.54"/>
    <n v="1"/>
    <s v="NO TIENE L3OUT"/>
    <n v="126"/>
    <n v="96"/>
  </r>
  <r>
    <n v="113"/>
    <x v="0"/>
    <x v="215"/>
    <s v="eth1/54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54"/>
    <x v="0"/>
    <x v="1"/>
    <x v="1"/>
    <s v="SAPCC-TO- SAPCCRATING12_CLIENT1"/>
    <x v="6"/>
    <b v="0"/>
    <s v="No está en VPC"/>
    <n v="114"/>
    <s v="INTPG_VPC_112_1.57_114_1.54"/>
    <s v="ISEL-1.54"/>
    <n v="1"/>
    <s v="NO TIENE L3OUT"/>
    <n v="144"/>
    <n v="96"/>
  </r>
  <r>
    <n v="124"/>
    <x v="0"/>
    <x v="217"/>
    <s v="eth1/54"/>
    <x v="1"/>
    <x v="1"/>
    <x v="2"/>
    <s v="CIRCULO Azul(UXCA)"/>
    <x v="6"/>
    <b v="0"/>
    <s v="No está en VPC"/>
    <n v="124"/>
    <s v="INTPG_ACC_124_1.54"/>
    <s v="ISEL-1.54"/>
    <n v="1"/>
    <s v="NO TIENE L3OUT"/>
    <n v="80"/>
    <n v="96"/>
  </r>
  <r>
    <n v="118"/>
    <x v="0"/>
    <x v="218"/>
    <s v="eth1/54"/>
    <x v="0"/>
    <x v="1"/>
    <x v="1"/>
    <s v="USSD TANGO"/>
    <x v="6"/>
    <b v="0"/>
    <s v="No está en VPC"/>
    <n v="118"/>
    <s v="INTPG_ACC_118_1.54"/>
    <s v="ISEL-1.54"/>
    <n v="1"/>
    <s v="NO TIENE L3OUT"/>
    <n v="180"/>
    <n v="96"/>
  </r>
  <r>
    <n v="159"/>
    <x v="0"/>
    <x v="219"/>
    <s v="eth1/54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54"/>
    <x v="1"/>
    <x v="1"/>
    <x v="3"/>
    <m/>
    <x v="0"/>
    <b v="0"/>
    <s v="No está en VPC"/>
    <n v="840"/>
    <s v="NO EXISTE PG"/>
    <s v="NO EXISTE ISEL"/>
    <n v="0"/>
    <s v="NO TIENE L3OUT"/>
    <n v="8"/>
    <n v="54"/>
  </r>
  <r>
    <n v="856"/>
    <x v="2"/>
    <x v="221"/>
    <s v="eth1/54"/>
    <x v="1"/>
    <x v="1"/>
    <x v="3"/>
    <m/>
    <x v="0"/>
    <b v="0"/>
    <s v="No está en VPC"/>
    <n v="856"/>
    <s v="NO EXISTE PG"/>
    <s v="NO EXISTE ISEL"/>
    <n v="0"/>
    <s v="NO TIENE L3OUT"/>
    <n v="286"/>
    <n v="54"/>
  </r>
  <r>
    <n v="110"/>
    <x v="0"/>
    <x v="222"/>
    <s v="eth1/54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54"/>
    <x v="1"/>
    <x v="1"/>
    <x v="2"/>
    <s v="CELCITE"/>
    <x v="6"/>
    <b v="0"/>
    <s v="No está en VPC"/>
    <n v="163"/>
    <s v="INTPG_ACC_163_1.54"/>
    <s v="ISEL-1.54"/>
    <n v="1"/>
    <s v="NO TIENE L3OUT"/>
    <n v="140"/>
    <n v="96"/>
  </r>
  <r>
    <n v="407"/>
    <x v="1"/>
    <x v="224"/>
    <s v="eth1/54"/>
    <x v="0"/>
    <x v="0"/>
    <x v="0"/>
    <s v="TO-ITHFDEOCP1LMT01-PRINCIPAL"/>
    <x v="6"/>
    <b v="0"/>
    <s v="No está en VPC"/>
    <n v="407"/>
    <s v="INTPG_ACC_407_1.54"/>
    <s v="ISEL-1.54"/>
    <n v="1"/>
    <s v="NO TIENE L3OUT"/>
    <n v="122"/>
    <n v="96"/>
  </r>
  <r>
    <n v="171"/>
    <x v="0"/>
    <x v="225"/>
    <s v="eth1/54"/>
    <x v="1"/>
    <x v="1"/>
    <x v="2"/>
    <s v="SRS (Speedy Rating System)"/>
    <x v="6"/>
    <b v="0"/>
    <s v="No está en VPC"/>
    <n v="171"/>
    <s v="INTPG_ACC_171_1.54"/>
    <s v="ISEL-1.54"/>
    <n v="1"/>
    <s v="NO TIENE L3OUT"/>
    <n v="114"/>
    <n v="96"/>
  </r>
  <r>
    <n v="421"/>
    <x v="1"/>
    <x v="226"/>
    <s v="eth1/54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54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54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54"/>
    <x v="0"/>
    <x v="0"/>
    <x v="0"/>
    <s v="SRS (Speedy Rating System)"/>
    <x v="6"/>
    <b v="0"/>
    <s v="No está en VPC"/>
    <n v="172"/>
    <s v="INTPG_ACC_172_1.54"/>
    <s v="ISEL-1.54"/>
    <n v="1"/>
    <s v="NO TIENE L3OUT"/>
    <n v="104"/>
    <n v="96"/>
  </r>
  <r>
    <n v="420"/>
    <x v="1"/>
    <x v="230"/>
    <s v="eth1/54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54"/>
    <x v="0"/>
    <x v="0"/>
    <x v="0"/>
    <s v="HP Proliant DL380p(c)"/>
    <x v="6"/>
    <b v="0"/>
    <s v="No está en VPC"/>
    <n v="423"/>
    <s v="INTPG_ACC_423_1.54"/>
    <s v="ISEL-1.54"/>
    <n v="1"/>
    <s v="NO TIENE L3OUT"/>
    <n v="86"/>
    <n v="96"/>
  </r>
  <r>
    <n v="415"/>
    <x v="1"/>
    <x v="232"/>
    <s v="eth1/54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54"/>
    <x v="0"/>
    <x v="0"/>
    <x v="0"/>
    <s v="PORTALES:SFPORP01:E8-1"/>
    <x v="6"/>
    <b v="0"/>
    <s v="No está en VPC"/>
    <n v="102"/>
    <s v="INTPG_ACC_102_1.54"/>
    <s v="ISEL-1.54"/>
    <n v="1"/>
    <s v="NO TIENE L3OUT"/>
    <n v="228"/>
    <n v="96"/>
  </r>
  <r>
    <n v="863"/>
    <x v="2"/>
    <x v="234"/>
    <s v="eth1/54"/>
    <x v="1"/>
    <x v="1"/>
    <x v="3"/>
    <m/>
    <x v="0"/>
    <b v="0"/>
    <s v="No está en VPC"/>
    <n v="863"/>
    <s v="NO EXISTE PG"/>
    <s v="NO EXISTE ISEL"/>
    <n v="0"/>
    <s v="NO TIENE L3OUT"/>
    <n v="8"/>
    <n v="54"/>
  </r>
  <r>
    <n v="876"/>
    <x v="2"/>
    <x v="235"/>
    <s v="eth1/54"/>
    <x v="1"/>
    <x v="1"/>
    <x v="3"/>
    <m/>
    <x v="4"/>
    <b v="0"/>
    <s v="No está en VPC"/>
    <n v="876"/>
    <s v="NO EXISTE PG"/>
    <s v="NO EXISTE ISEL"/>
    <n v="0"/>
    <s v="NO TIENE L3OUT"/>
    <n v="92"/>
    <n v="54"/>
  </r>
  <r>
    <n v="877"/>
    <x v="2"/>
    <x v="236"/>
    <s v="eth1/54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54"/>
    <x v="0"/>
    <x v="0"/>
    <x v="0"/>
    <s v="ASEGING"/>
    <x v="6"/>
    <b v="0"/>
    <s v="No está en VPC"/>
    <n v="122"/>
    <s v="INTPG_ACC_122_1.54"/>
    <s v="ISEL-1.54"/>
    <n v="1"/>
    <s v="NO TIENE L3OUT"/>
    <n v="148"/>
    <n v="96"/>
  </r>
  <r>
    <n v="157"/>
    <x v="0"/>
    <x v="238"/>
    <s v="eth1/54"/>
    <x v="0"/>
    <x v="0"/>
    <x v="0"/>
    <s v="UXINGE"/>
    <x v="6"/>
    <b v="0"/>
    <s v="No está en VPC"/>
    <n v="157"/>
    <s v="INTPG_ACC_157_1.54"/>
    <s v="ISEL-1.54"/>
    <n v="1"/>
    <s v="NO TIENE L3OUT"/>
    <n v="202"/>
    <n v="96"/>
  </r>
  <r>
    <n v="408"/>
    <x v="1"/>
    <x v="239"/>
    <s v="eth1/54"/>
    <x v="0"/>
    <x v="0"/>
    <x v="0"/>
    <s v="DESC"/>
    <x v="6"/>
    <b v="0"/>
    <s v="No está en VPC"/>
    <n v="408"/>
    <s v="INTPG_PC_408_1.53-54"/>
    <s v="ISEL-1.54"/>
    <n v="1"/>
    <s v="NO TIENE L3OUT"/>
    <n v="152"/>
    <n v="96"/>
  </r>
  <r>
    <n v="405"/>
    <x v="1"/>
    <x v="240"/>
    <s v="eth1/54"/>
    <x v="0"/>
    <x v="0"/>
    <x v="0"/>
    <s v="CCURE_9000"/>
    <x v="6"/>
    <b v="0"/>
    <s v="No está en VPC"/>
    <n v="405"/>
    <s v="INTPG_ACC_405_1.54"/>
    <s v="ISEL-1.54"/>
    <n v="1"/>
    <s v="NO TIENE L3OUT"/>
    <n v="138"/>
    <n v="96"/>
  </r>
  <r>
    <n v="169"/>
    <x v="0"/>
    <x v="241"/>
    <s v="eth1/54"/>
    <x v="0"/>
    <x v="0"/>
    <x v="0"/>
    <s v="TO-ITHFDENBURMS05"/>
    <x v="6"/>
    <b v="0"/>
    <s v="No está en VPC"/>
    <n v="169"/>
    <s v="INTPG_VPC_167_1.50_169_1.54"/>
    <s v="ISEL-1.54"/>
    <n v="1"/>
    <s v="NO TIENE L3OUT"/>
    <n v="76"/>
    <n v="96"/>
  </r>
  <r>
    <n v="165"/>
    <x v="0"/>
    <x v="242"/>
    <s v="eth1/54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54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54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54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54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54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54"/>
    <x v="0"/>
    <x v="0"/>
    <x v="0"/>
    <s v="P8000_PTO_2"/>
    <x v="6"/>
    <b v="0"/>
    <s v="No está en VPC"/>
    <n v="438"/>
    <s v="INTPG_ACC_438_1.54"/>
    <s v="ISEL-1.54"/>
    <n v="1"/>
    <s v="NO TIENE L3OUT"/>
    <n v="170"/>
    <n v="96"/>
  </r>
  <r>
    <n v="406"/>
    <x v="1"/>
    <x v="249"/>
    <s v="eth1/54"/>
    <x v="0"/>
    <x v="0"/>
    <x v="0"/>
    <s v="DESC"/>
    <x v="6"/>
    <b v="0"/>
    <s v="No está en VPC"/>
    <n v="406"/>
    <s v="INTPG_PC_406_1.53-54"/>
    <s v="ISEL-1.54"/>
    <n v="1"/>
    <s v="NO TIENE L3OUT"/>
    <n v="82"/>
    <n v="96"/>
  </r>
  <r>
    <n v="414"/>
    <x v="1"/>
    <x v="250"/>
    <s v="eth1/54"/>
    <x v="0"/>
    <x v="0"/>
    <x v="0"/>
    <s v="ODA2"/>
    <x v="6"/>
    <b v="0"/>
    <s v="No está en VPC"/>
    <n v="414"/>
    <s v="INTPG_ACC_414_1.54"/>
    <s v="ISEL-1.54"/>
    <n v="1"/>
    <s v="NO TIENE L3OUT"/>
    <n v="144"/>
    <n v="96"/>
  </r>
  <r>
    <n v="416"/>
    <x v="1"/>
    <x v="251"/>
    <s v="eth1/54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54"/>
    <x v="0"/>
    <x v="0"/>
    <x v="0"/>
    <s v="IXTSD971A"/>
    <x v="6"/>
    <b v="0"/>
    <s v="No está en VPC"/>
    <n v="418"/>
    <s v="INTPG_ACC_418_1.54"/>
    <s v="ISEL-1.54"/>
    <n v="1"/>
    <s v="NO TIENE L3OUT"/>
    <n v="152"/>
    <n v="96"/>
  </r>
  <r>
    <n v="413"/>
    <x v="1"/>
    <x v="253"/>
    <s v="eth1/54"/>
    <x v="0"/>
    <x v="0"/>
    <x v="0"/>
    <s v="To-uxingemc4 ldom3 uxinghdr6"/>
    <x v="6"/>
    <b v="0"/>
    <s v="No está en VPC"/>
    <n v="413"/>
    <s v="INTPG_ACC_413_1.54"/>
    <s v="ISEL-1.54"/>
    <n v="1"/>
    <s v="NO TIENE L3OUT"/>
    <n v="126"/>
    <n v="96"/>
  </r>
  <r>
    <n v="403"/>
    <x v="1"/>
    <x v="254"/>
    <s v="eth1/54"/>
    <x v="0"/>
    <x v="0"/>
    <x v="0"/>
    <s v="CCURE_9000"/>
    <x v="6"/>
    <b v="0"/>
    <s v="No está en VPC"/>
    <n v="403"/>
    <s v="INTPG_ACC_403_1.54"/>
    <s v="ISEL-1.54"/>
    <n v="1"/>
    <s v="NO TIENE L3OUT"/>
    <n v="150"/>
    <n v="96"/>
  </r>
  <r>
    <n v="125"/>
    <x v="0"/>
    <x v="255"/>
    <s v="eth1/54"/>
    <x v="0"/>
    <x v="0"/>
    <x v="0"/>
    <s v="IXTCDRLON"/>
    <x v="6"/>
    <b v="0"/>
    <s v="No está en VPC"/>
    <n v="125"/>
    <s v="INTPG_ACC_125_1.54"/>
    <s v="ISEL-1.54"/>
    <n v="1"/>
    <s v="NO TIENE L3OUT"/>
    <n v="72"/>
    <n v="96"/>
  </r>
  <r>
    <n v="166"/>
    <x v="0"/>
    <x v="256"/>
    <s v="eth1/54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54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54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54"/>
    <x v="0"/>
    <x v="0"/>
    <x v="0"/>
    <s v="COMISIONES"/>
    <x v="6"/>
    <b v="0"/>
    <s v="No está en VPC"/>
    <n v="106"/>
    <s v="INTPG_ACC_106_1.54"/>
    <s v="ISEL-1.54"/>
    <n v="1"/>
    <s v="NO TIENE L3OUT"/>
    <n v="122"/>
    <n v="96"/>
  </r>
  <r>
    <n v="126"/>
    <x v="0"/>
    <x v="260"/>
    <s v="eth1/54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54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54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54"/>
    <x v="0"/>
    <x v="0"/>
    <x v="0"/>
    <s v="TO-sfdacd04-NET2"/>
    <x v="6"/>
    <b v="0"/>
    <s v="No está en VPC"/>
    <n v="430"/>
    <s v="INTPG_ACC_430_1.54"/>
    <s v="ISEL-1.54"/>
    <n v="1"/>
    <s v="NO TIENE L3OUT"/>
    <n v="86"/>
    <n v="96"/>
  </r>
  <r>
    <n v="419"/>
    <x v="1"/>
    <x v="264"/>
    <s v="eth1/54"/>
    <x v="0"/>
    <x v="0"/>
    <x v="0"/>
    <s v="SPECSERVER1_VMOTION1"/>
    <x v="6"/>
    <b v="0"/>
    <s v="No está en VPC"/>
    <n v="419"/>
    <s v="INTPG_ACC_419_1.54"/>
    <s v="ISEL-1.54"/>
    <n v="1"/>
    <s v="NO TIENE L3OUT"/>
    <n v="70"/>
    <n v="96"/>
  </r>
  <r>
    <n v="155"/>
    <x v="0"/>
    <x v="265"/>
    <s v="eth1/54"/>
    <x v="0"/>
    <x v="0"/>
    <x v="0"/>
    <s v="PORTAL CAUTIVO"/>
    <x v="6"/>
    <b v="0"/>
    <s v="No está en VPC"/>
    <n v="155"/>
    <s v="INTPG_ACC_155_1.54"/>
    <s v="ISEL-1.54"/>
    <n v="1"/>
    <s v="NO TIENE L3OUT"/>
    <n v="198"/>
    <n v="96"/>
  </r>
  <r>
    <n v="409"/>
    <x v="1"/>
    <x v="266"/>
    <s v="eth1/54"/>
    <x v="0"/>
    <x v="0"/>
    <x v="0"/>
    <s v="TO-ITHFDEOCP1LMT01-REDUNDANTE"/>
    <x v="6"/>
    <b v="0"/>
    <s v="No está en VPC"/>
    <n v="409"/>
    <s v="INTPG_ACC_409_1.54"/>
    <s v="ISEL-1.54"/>
    <n v="1"/>
    <s v="NO TIENE L3OUT"/>
    <n v="128"/>
    <n v="96"/>
  </r>
  <r>
    <n v="422"/>
    <x v="1"/>
    <x v="267"/>
    <s v="eth1/54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54"/>
    <x v="0"/>
    <x v="0"/>
    <x v="0"/>
    <s v="TC3_ithmomce1_VC1_X5"/>
    <x v="6"/>
    <b v="0"/>
    <s v="No está en VPC"/>
    <n v="436"/>
    <s v="INTPG_ACC_436_1.54"/>
    <s v="ISEL-1.54"/>
    <n v="7"/>
    <s v="NO TIENE L3OUT"/>
    <n v="172"/>
    <n v="96"/>
  </r>
  <r>
    <n v="410"/>
    <x v="1"/>
    <x v="269"/>
    <s v="eth1/54"/>
    <x v="0"/>
    <x v="0"/>
    <x v="0"/>
    <s v="ITHRTC11VC2X4"/>
    <x v="6"/>
    <b v="0"/>
    <s v="No está en VPC"/>
    <n v="410"/>
    <s v="INTPG_ACC_410_1.54"/>
    <s v="ISEL-1.54"/>
    <n v="1"/>
    <s v="NO TIENE L3OUT"/>
    <n v="178"/>
    <n v="96"/>
  </r>
  <r>
    <n v="161"/>
    <x v="0"/>
    <x v="270"/>
    <s v="eth1/54"/>
    <x v="0"/>
    <x v="1"/>
    <x v="1"/>
    <s v="MULTIMEDIACION"/>
    <x v="6"/>
    <b v="0"/>
    <s v="No está en VPC"/>
    <n v="161"/>
    <s v="INTPG_ACC_161_1.54"/>
    <s v="ISEL-1.54"/>
    <n v="1"/>
    <s v="NO TIENE L3OUT"/>
    <n v="102"/>
    <n v="96"/>
  </r>
  <r>
    <n v="411"/>
    <x v="1"/>
    <x v="271"/>
    <s v="eth1/54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54"/>
    <x v="0"/>
    <x v="1"/>
    <x v="1"/>
    <s v="NOTIFICATION SERVER TANGO"/>
    <x v="6"/>
    <b v="0"/>
    <s v="No está en VPC"/>
    <n v="116"/>
    <s v="INTPG_ACC_116_1.54"/>
    <s v="ISEL-1.54"/>
    <n v="1"/>
    <s v="NO TIENE L3OUT"/>
    <n v="148"/>
    <n v="96"/>
  </r>
  <r>
    <n v="412"/>
    <x v="1"/>
    <x v="273"/>
    <s v="eth1/54"/>
    <x v="0"/>
    <x v="0"/>
    <x v="0"/>
    <s v="ITHRTC51VC2X4"/>
    <x v="6"/>
    <b v="0"/>
    <s v="No está en VPC"/>
    <n v="412"/>
    <s v="INTPG_ACC_412_1.54"/>
    <s v="ISEL-1.54"/>
    <n v="1"/>
    <s v="NO TIENE L3OUT"/>
    <n v="126"/>
    <n v="96"/>
  </r>
  <r>
    <n v="120"/>
    <x v="0"/>
    <x v="274"/>
    <s v="eth1/54"/>
    <x v="0"/>
    <x v="0"/>
    <x v="0"/>
    <s v="IXTTRAP-ETL"/>
    <x v="6"/>
    <b v="0"/>
    <s v="No está en VPC"/>
    <n v="120"/>
    <s v="INTPG_ACC_120_1.54"/>
    <s v="ISEL-1.54"/>
    <n v="1"/>
    <s v="NO TIENE L3OUT"/>
    <n v="158"/>
    <n v="96"/>
  </r>
  <r>
    <n v="404"/>
    <x v="1"/>
    <x v="275"/>
    <s v="eth1/54"/>
    <x v="0"/>
    <x v="0"/>
    <x v="0"/>
    <m/>
    <x v="6"/>
    <b v="0"/>
    <s v="No está en VPC"/>
    <n v="404"/>
    <s v="NO EXISTE PG"/>
    <s v="NO EXISTE ISEL"/>
    <n v="0"/>
    <s v="NO TIENE L3OUT"/>
    <n v="92"/>
    <n v="96"/>
  </r>
  <r>
    <n v="167"/>
    <x v="0"/>
    <x v="276"/>
    <s v="eth1/54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54"/>
    <x v="0"/>
    <x v="0"/>
    <x v="0"/>
    <s v="eth0_ora02hpov_Primario"/>
    <x v="6"/>
    <b v="0"/>
    <s v="No está en VPC"/>
    <n v="428"/>
    <s v="INTPG_ACC_428_1.54"/>
    <s v="ISEL-1.54"/>
    <n v="1"/>
    <s v="NO TIENE L3OUT"/>
    <n v="102"/>
    <n v="96"/>
  </r>
  <r>
    <n v="105"/>
    <x v="0"/>
    <x v="205"/>
    <s v="eth1/55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55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55"/>
    <x v="0"/>
    <x v="1"/>
    <x v="1"/>
    <m/>
    <x v="6"/>
    <b v="0"/>
    <s v="No está en VPC"/>
    <n v="104"/>
    <s v="INTPG_ACC_104_1.55"/>
    <s v="ISEL-1.55"/>
    <n v="1"/>
    <s v="NO TIENE L3OUT"/>
    <n v="194"/>
    <n v="96"/>
  </r>
  <r>
    <n v="158"/>
    <x v="0"/>
    <x v="208"/>
    <s v="eth1/55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55"/>
    <x v="0"/>
    <x v="0"/>
    <x v="0"/>
    <s v="MEDIACION PREPAGO"/>
    <x v="6"/>
    <b v="0"/>
    <s v="No está en VPC"/>
    <n v="108"/>
    <s v="INTPG_ACC_108_1.55"/>
    <s v="ISEL-1.55"/>
    <n v="1"/>
    <s v="NO TIENE L3OUT"/>
    <n v="126"/>
    <n v="96"/>
  </r>
  <r>
    <n v="112"/>
    <x v="0"/>
    <x v="212"/>
    <s v="eth1/55"/>
    <x v="0"/>
    <x v="1"/>
    <x v="1"/>
    <s v="SAPCCRATING10"/>
    <x v="6"/>
    <b v="0"/>
    <s v="No está en VPC"/>
    <n v="112"/>
    <s v="INTPG_VPC_112_1.55_114_1.52"/>
    <s v="ISEL-1.55"/>
    <n v="1"/>
    <s v="NO TIENE L3OUT"/>
    <n v="144"/>
    <n v="96"/>
  </r>
  <r>
    <n v="107"/>
    <x v="0"/>
    <x v="213"/>
    <s v="eth1/55"/>
    <x v="0"/>
    <x v="0"/>
    <x v="0"/>
    <s v="COMISIONES"/>
    <x v="6"/>
    <b v="0"/>
    <s v="No está en VPC"/>
    <n v="107"/>
    <s v="INTPG_ACC_107_1.55"/>
    <s v="ISEL-1.55"/>
    <n v="1"/>
    <s v="NO TIENE L3OUT"/>
    <n v="118"/>
    <n v="96"/>
  </r>
  <r>
    <n v="109"/>
    <x v="0"/>
    <x v="214"/>
    <s v="eth1/55"/>
    <x v="1"/>
    <x v="1"/>
    <x v="2"/>
    <s v="OBIE_1-2"/>
    <x v="6"/>
    <b v="0"/>
    <s v="No está en VPC"/>
    <n v="109"/>
    <s v="INTPG_ACC_109_1.55"/>
    <s v="ISEL-1.55"/>
    <n v="1"/>
    <s v="NO TIENE L3OUT"/>
    <n v="126"/>
    <n v="96"/>
  </r>
  <r>
    <n v="113"/>
    <x v="0"/>
    <x v="215"/>
    <s v="eth1/55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55"/>
    <x v="0"/>
    <x v="1"/>
    <x v="1"/>
    <s v="SAPCCRATING13"/>
    <x v="6"/>
    <b v="0"/>
    <s v="No está en VPC"/>
    <n v="114"/>
    <s v="INTPG_VPC_112_1.58_114_1.55"/>
    <s v="ISEL-1.55"/>
    <n v="1"/>
    <s v="NO TIENE L3OUT"/>
    <n v="144"/>
    <n v="96"/>
  </r>
  <r>
    <n v="124"/>
    <x v="0"/>
    <x v="217"/>
    <s v="eth1/55"/>
    <x v="0"/>
    <x v="0"/>
    <x v="0"/>
    <s v="CIRCULO Azul(UXCA)"/>
    <x v="6"/>
    <b v="0"/>
    <s v="No está en VPC"/>
    <n v="124"/>
    <s v="INTPG_ACC_124_1.55"/>
    <s v="ISEL-1.55"/>
    <n v="1"/>
    <s v="NO TIENE L3OUT"/>
    <n v="80"/>
    <n v="96"/>
  </r>
  <r>
    <n v="118"/>
    <x v="0"/>
    <x v="218"/>
    <s v="eth1/55"/>
    <x v="0"/>
    <x v="1"/>
    <x v="1"/>
    <s v="USSD TANGO"/>
    <x v="6"/>
    <b v="0"/>
    <s v="No está en VPC"/>
    <n v="118"/>
    <s v="INTPG_ACC_118_1.55"/>
    <s v="ISEL-1.55"/>
    <n v="1"/>
    <s v="NO TIENE L3OUT"/>
    <n v="180"/>
    <n v="96"/>
  </r>
  <r>
    <n v="159"/>
    <x v="0"/>
    <x v="219"/>
    <s v="eth1/55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55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55"/>
    <x v="0"/>
    <x v="0"/>
    <x v="0"/>
    <s v="STORAGE_VNX_0493_BKP1_AND_BKP2"/>
    <x v="6"/>
    <b v="0"/>
    <s v="No está en VPC"/>
    <n v="163"/>
    <s v="INTPG_ACC_163_1.55"/>
    <s v="ISEL-1.55"/>
    <n v="2"/>
    <s v="NO TIENE L3OUT"/>
    <n v="140"/>
    <n v="96"/>
  </r>
  <r>
    <n v="407"/>
    <x v="1"/>
    <x v="224"/>
    <s v="eth1/55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55"/>
    <x v="1"/>
    <x v="1"/>
    <x v="2"/>
    <s v="SRS (Speedy Rating System)"/>
    <x v="6"/>
    <b v="0"/>
    <s v="No está en VPC"/>
    <n v="171"/>
    <s v="INTPG_ACC_171_1.55"/>
    <s v="ISEL-1.55"/>
    <n v="1"/>
    <s v="NO TIENE L3OUT"/>
    <n v="114"/>
    <n v="96"/>
  </r>
  <r>
    <n v="421"/>
    <x v="1"/>
    <x v="226"/>
    <s v="eth1/55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55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55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55"/>
    <x v="0"/>
    <x v="0"/>
    <x v="0"/>
    <s v="SRS (Speedy Rating System)"/>
    <x v="6"/>
    <b v="0"/>
    <s v="No está en VPC"/>
    <n v="172"/>
    <s v="INTPG_ACC_172_1.55"/>
    <s v="ISEL-1.55"/>
    <n v="1"/>
    <s v="NO TIENE L3OUT"/>
    <n v="104"/>
    <n v="96"/>
  </r>
  <r>
    <n v="420"/>
    <x v="1"/>
    <x v="230"/>
    <s v="eth1/55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55"/>
    <x v="0"/>
    <x v="0"/>
    <x v="0"/>
    <s v="HP Proliant DL380p(c)"/>
    <x v="6"/>
    <b v="0"/>
    <s v="No está en VPC"/>
    <n v="423"/>
    <s v="INTPG_ACC_423_1.55"/>
    <s v="ISEL-1.55"/>
    <n v="1"/>
    <s v="NO TIENE L3OUT"/>
    <n v="86"/>
    <n v="96"/>
  </r>
  <r>
    <n v="415"/>
    <x v="1"/>
    <x v="232"/>
    <s v="eth1/55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55"/>
    <x v="0"/>
    <x v="1"/>
    <x v="1"/>
    <m/>
    <x v="6"/>
    <b v="0"/>
    <s v="No está en VPC"/>
    <n v="102"/>
    <s v="NO EXISTE PG"/>
    <s v="NO EXISTE ISEL"/>
    <n v="0"/>
    <s v="NO TIENE L3OUT"/>
    <n v="228"/>
    <n v="96"/>
  </r>
  <r>
    <n v="122"/>
    <x v="0"/>
    <x v="237"/>
    <s v="eth1/55"/>
    <x v="0"/>
    <x v="0"/>
    <x v="0"/>
    <s v="ASEGING"/>
    <x v="6"/>
    <b v="0"/>
    <s v="No está en VPC"/>
    <n v="122"/>
    <s v="INTPG_ACC_122_1.55"/>
    <s v="ISEL-1.55"/>
    <n v="1"/>
    <s v="NO TIENE L3OUT"/>
    <n v="148"/>
    <n v="96"/>
  </r>
  <r>
    <n v="157"/>
    <x v="0"/>
    <x v="238"/>
    <s v="eth1/55"/>
    <x v="0"/>
    <x v="0"/>
    <x v="0"/>
    <s v="PORTAL CAUTIVO"/>
    <x v="6"/>
    <b v="0"/>
    <s v="No está en VPC"/>
    <n v="157"/>
    <s v="INTPG_ACC_157_1.55"/>
    <s v="ISEL-1.55"/>
    <n v="1"/>
    <s v="NO TIENE L3OUT"/>
    <n v="202"/>
    <n v="96"/>
  </r>
  <r>
    <n v="408"/>
    <x v="1"/>
    <x v="239"/>
    <s v="eth1/55"/>
    <x v="0"/>
    <x v="0"/>
    <x v="0"/>
    <s v="DESC"/>
    <x v="6"/>
    <b v="0"/>
    <s v="No está en VPC"/>
    <n v="408"/>
    <s v="INTPG_PC_408_1.55-56"/>
    <s v="ISEL-1.55"/>
    <n v="1"/>
    <s v="NO TIENE L3OUT"/>
    <n v="152"/>
    <n v="96"/>
  </r>
  <r>
    <n v="405"/>
    <x v="1"/>
    <x v="240"/>
    <s v="eth1/55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55"/>
    <x v="0"/>
    <x v="0"/>
    <x v="0"/>
    <s v="TO-ITHFDENBURMS05-PRINCIPAL"/>
    <x v="6"/>
    <b v="0"/>
    <s v="No está en VPC"/>
    <n v="169"/>
    <s v="INTPG_ACC_169_1.55"/>
    <s v="ISEL-1.55"/>
    <n v="1"/>
    <s v="NO TIENE L3OUT"/>
    <n v="76"/>
    <n v="96"/>
  </r>
  <r>
    <n v="165"/>
    <x v="0"/>
    <x v="242"/>
    <s v="eth1/55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55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55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55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55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55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55"/>
    <x v="0"/>
    <x v="0"/>
    <x v="0"/>
    <m/>
    <x v="6"/>
    <b v="0"/>
    <s v="No está en VPC"/>
    <n v="438"/>
    <s v="INTPG_ACC_438_1.55"/>
    <s v="ISEL-1.55"/>
    <n v="1"/>
    <s v="NO TIENE L3OUT"/>
    <n v="170"/>
    <n v="96"/>
  </r>
  <r>
    <n v="406"/>
    <x v="1"/>
    <x v="249"/>
    <s v="eth1/55"/>
    <x v="0"/>
    <x v="0"/>
    <x v="0"/>
    <s v="DESC"/>
    <x v="6"/>
    <b v="0"/>
    <s v="No está en VPC"/>
    <n v="406"/>
    <s v="INTPG_PC_406_1.55-56"/>
    <s v="ISEL-1.55"/>
    <n v="1"/>
    <s v="NO TIENE L3OUT"/>
    <n v="82"/>
    <n v="96"/>
  </r>
  <r>
    <n v="414"/>
    <x v="1"/>
    <x v="250"/>
    <s v="eth1/55"/>
    <x v="0"/>
    <x v="0"/>
    <x v="0"/>
    <s v="APMS01_S09"/>
    <x v="6"/>
    <b v="0"/>
    <s v="No está en VPC"/>
    <n v="414"/>
    <s v="INTPG_ACC_414_1.55"/>
    <s v="ISEL-1.55"/>
    <n v="1"/>
    <s v="NO TIENE L3OUT"/>
    <n v="144"/>
    <n v="96"/>
  </r>
  <r>
    <n v="416"/>
    <x v="1"/>
    <x v="251"/>
    <s v="eth1/55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55"/>
    <x v="0"/>
    <x v="0"/>
    <x v="0"/>
    <s v="IXTSD971B"/>
    <x v="6"/>
    <b v="0"/>
    <s v="No está en VPC"/>
    <n v="418"/>
    <s v="INTPG_ACC_418_1.55"/>
    <s v="ISEL-1.55"/>
    <n v="1"/>
    <s v="NO TIENE L3OUT"/>
    <n v="152"/>
    <n v="96"/>
  </r>
  <r>
    <n v="413"/>
    <x v="1"/>
    <x v="253"/>
    <s v="eth1/55"/>
    <x v="0"/>
    <x v="0"/>
    <x v="0"/>
    <s v="To-uxingemc4 ldom1 ldom2 ldom3"/>
    <x v="6"/>
    <b v="0"/>
    <s v="No está en VPC"/>
    <n v="413"/>
    <s v="INTPG_ACC_413_1.55"/>
    <s v="ISEL-1.55"/>
    <n v="1"/>
    <s v="NO TIENE L3OUT"/>
    <n v="126"/>
    <n v="96"/>
  </r>
  <r>
    <n v="403"/>
    <x v="1"/>
    <x v="254"/>
    <s v="eth1/55"/>
    <x v="0"/>
    <x v="0"/>
    <x v="0"/>
    <s v="CCURE_9000"/>
    <x v="6"/>
    <b v="0"/>
    <s v="No está en VPC"/>
    <n v="403"/>
    <s v="INTPG_ACC_403_1.55"/>
    <s v="ISEL-1.55"/>
    <n v="1"/>
    <s v="NO TIENE L3OUT"/>
    <n v="150"/>
    <n v="96"/>
  </r>
  <r>
    <n v="125"/>
    <x v="0"/>
    <x v="255"/>
    <s v="eth1/55"/>
    <x v="0"/>
    <x v="1"/>
    <x v="1"/>
    <s v="MONITOREO DE SWITCHS EXTREME OSS EN SPECTRUM"/>
    <x v="6"/>
    <b v="0"/>
    <s v="No está en VPC"/>
    <n v="125"/>
    <s v="INTPG_ACC_125_1.55"/>
    <s v="ISEL-1.55"/>
    <n v="1"/>
    <s v="NO TIENE L3OUT"/>
    <n v="72"/>
    <n v="96"/>
  </r>
  <r>
    <n v="166"/>
    <x v="0"/>
    <x v="256"/>
    <s v="eth1/55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55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55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55"/>
    <x v="0"/>
    <x v="0"/>
    <x v="0"/>
    <s v="COMISIONES"/>
    <x v="6"/>
    <b v="0"/>
    <s v="No está en VPC"/>
    <n v="106"/>
    <s v="INTPG_ACC_106_1.55"/>
    <s v="ISEL-1.55"/>
    <n v="1"/>
    <s v="NO TIENE L3OUT"/>
    <n v="122"/>
    <n v="96"/>
  </r>
  <r>
    <n v="126"/>
    <x v="0"/>
    <x v="260"/>
    <s v="eth1/55"/>
    <x v="0"/>
    <x v="1"/>
    <x v="1"/>
    <s v="IXTCDRLON"/>
    <x v="6"/>
    <b v="0"/>
    <s v="No está en VPC"/>
    <n v="126"/>
    <s v="INTPG_ACC_126_1.55"/>
    <s v="ISEL-1.55"/>
    <n v="1"/>
    <s v="NO TIENE L3OUT"/>
    <n v="54"/>
    <n v="96"/>
  </r>
  <r>
    <n v="425"/>
    <x v="1"/>
    <x v="261"/>
    <s v="eth1/55"/>
    <x v="0"/>
    <x v="0"/>
    <x v="0"/>
    <s v="Prime-UCS-CLU2-A"/>
    <x v="6"/>
    <b v="0"/>
    <s v="No está en VPC"/>
    <n v="425"/>
    <s v="INTPG_ACC_425_1.55"/>
    <s v="ISEL-1.55"/>
    <n v="1"/>
    <s v="NO TIENE L3OUT"/>
    <n v="86"/>
    <n v="96"/>
  </r>
  <r>
    <n v="151"/>
    <x v="0"/>
    <x v="262"/>
    <s v="eth1/55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55"/>
    <x v="0"/>
    <x v="0"/>
    <x v="0"/>
    <s v="Gestor_SBCs_Principal"/>
    <x v="6"/>
    <b v="0"/>
    <s v="No está en VPC"/>
    <n v="430"/>
    <s v="INTPG_ACC_430_1.55"/>
    <s v="ISEL-1.55"/>
    <n v="1"/>
    <s v="NO TIENE L3OUT"/>
    <n v="86"/>
    <n v="96"/>
  </r>
  <r>
    <n v="419"/>
    <x v="1"/>
    <x v="264"/>
    <s v="eth1/55"/>
    <x v="0"/>
    <x v="0"/>
    <x v="0"/>
    <s v="SPECSERVER1_ADMIN1"/>
    <x v="6"/>
    <b v="0"/>
    <s v="No está en VPC"/>
    <n v="419"/>
    <s v="INTPG_ACC_419_1.55"/>
    <s v="ISEL-1.55"/>
    <n v="1"/>
    <s v="NO TIENE L3OUT"/>
    <n v="70"/>
    <n v="96"/>
  </r>
  <r>
    <n v="155"/>
    <x v="0"/>
    <x v="265"/>
    <s v="eth1/55"/>
    <x v="0"/>
    <x v="0"/>
    <x v="0"/>
    <s v="PORTAL CAUTIVO"/>
    <x v="6"/>
    <b v="0"/>
    <s v="No está en VPC"/>
    <n v="155"/>
    <s v="INTPG_ACC_155_1.55"/>
    <s v="ISEL-1.55"/>
    <n v="1"/>
    <s v="NO TIENE L3OUT"/>
    <n v="198"/>
    <n v="96"/>
  </r>
  <r>
    <n v="409"/>
    <x v="1"/>
    <x v="266"/>
    <s v="eth1/55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55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55"/>
    <x v="0"/>
    <x v="0"/>
    <x v="0"/>
    <m/>
    <x v="6"/>
    <b v="0"/>
    <s v="No está en VPC"/>
    <n v="436"/>
    <s v="INTPG_ACC_436_1.55"/>
    <s v="ISEL-1.55"/>
    <n v="1"/>
    <s v="NO TIENE L3OUT"/>
    <n v="172"/>
    <n v="96"/>
  </r>
  <r>
    <n v="410"/>
    <x v="1"/>
    <x v="269"/>
    <s v="eth1/55"/>
    <x v="0"/>
    <x v="0"/>
    <x v="0"/>
    <s v="ITHRTC1NB1"/>
    <x v="6"/>
    <b v="0"/>
    <s v="No está en VPC"/>
    <n v="410"/>
    <s v="INTPG_ACC_410_1.55"/>
    <s v="ISEL-1.55"/>
    <n v="1"/>
    <s v="NO TIENE L3OUT"/>
    <n v="178"/>
    <n v="96"/>
  </r>
  <r>
    <n v="161"/>
    <x v="0"/>
    <x v="270"/>
    <s v="eth1/55"/>
    <x v="0"/>
    <x v="1"/>
    <x v="1"/>
    <m/>
    <x v="6"/>
    <b v="0"/>
    <s v="No está en VPC"/>
    <n v="161"/>
    <s v="INTPG_VPC_163_1.63_161_1.55"/>
    <s v="ISEL-1.55"/>
    <n v="1"/>
    <s v="NO TIENE L3OUT"/>
    <n v="102"/>
    <n v="96"/>
  </r>
  <r>
    <n v="411"/>
    <x v="1"/>
    <x v="271"/>
    <s v="eth1/55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55"/>
    <x v="0"/>
    <x v="1"/>
    <x v="1"/>
    <s v="USSD TANGO"/>
    <x v="6"/>
    <b v="0"/>
    <s v="No está en VPC"/>
    <n v="116"/>
    <s v="INTPG_ACC_116_1.55"/>
    <s v="ISEL-1.55"/>
    <n v="1"/>
    <s v="NO TIENE L3OUT"/>
    <n v="148"/>
    <n v="96"/>
  </r>
  <r>
    <n v="412"/>
    <x v="1"/>
    <x v="273"/>
    <s v="eth1/55"/>
    <x v="0"/>
    <x v="0"/>
    <x v="0"/>
    <s v="ITHRTC51OA2"/>
    <x v="6"/>
    <b v="0"/>
    <s v="No está en VPC"/>
    <n v="412"/>
    <s v="INTPG_ACC_412_1.55"/>
    <s v="ISEL-1.55"/>
    <n v="1"/>
    <s v="NO TIENE L3OUT"/>
    <n v="126"/>
    <n v="96"/>
  </r>
  <r>
    <n v="120"/>
    <x v="0"/>
    <x v="274"/>
    <s v="eth1/55"/>
    <x v="0"/>
    <x v="0"/>
    <x v="0"/>
    <s v="IXTTRAP-ETL"/>
    <x v="6"/>
    <b v="0"/>
    <s v="No está en VPC"/>
    <n v="120"/>
    <s v="INTPG_ACC_120_1.55"/>
    <s v="ISEL-1.55"/>
    <n v="1"/>
    <s v="NO TIENE L3OUT"/>
    <n v="158"/>
    <n v="96"/>
  </r>
  <r>
    <n v="404"/>
    <x v="1"/>
    <x v="275"/>
    <s v="eth1/55"/>
    <x v="0"/>
    <x v="0"/>
    <x v="0"/>
    <s v="APMS01_S09"/>
    <x v="6"/>
    <b v="0"/>
    <s v="No está en VPC"/>
    <n v="404"/>
    <s v="INTPG_ACC_404_1.55"/>
    <s v="ISEL-1.55"/>
    <n v="1"/>
    <s v="NO TIENE L3OUT"/>
    <n v="92"/>
    <n v="96"/>
  </r>
  <r>
    <n v="167"/>
    <x v="0"/>
    <x v="276"/>
    <s v="eth1/55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55"/>
    <x v="0"/>
    <x v="0"/>
    <x v="0"/>
    <s v="Ilo_vert01hpov_Primario"/>
    <x v="6"/>
    <b v="0"/>
    <s v="No está en VPC"/>
    <n v="428"/>
    <s v="INTPG_ACC_428_1.55"/>
    <s v="ISEL-1.55"/>
    <n v="1"/>
    <s v="NO TIENE L3OUT"/>
    <n v="102"/>
    <n v="96"/>
  </r>
  <r>
    <n v="105"/>
    <x v="0"/>
    <x v="205"/>
    <s v="eth1/56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56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56"/>
    <x v="0"/>
    <x v="1"/>
    <x v="1"/>
    <s v="SILOT"/>
    <x v="6"/>
    <b v="0"/>
    <s v="No está en VPC"/>
    <n v="104"/>
    <s v="INTPG_ACC_104_1.56"/>
    <s v="ISEL-1.56"/>
    <n v="1"/>
    <s v="NO TIENE L3OUT"/>
    <n v="194"/>
    <n v="96"/>
  </r>
  <r>
    <n v="158"/>
    <x v="0"/>
    <x v="208"/>
    <s v="eth1/56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56"/>
    <x v="1"/>
    <x v="1"/>
    <x v="2"/>
    <s v="TO-UXWAS2_P3-P4"/>
    <x v="6"/>
    <b v="0"/>
    <s v="No está en VPC"/>
    <n v="108"/>
    <s v="INTPG_PC_108_1.56_57"/>
    <s v="ISEL-1.56"/>
    <n v="1"/>
    <s v="NO TIENE L3OUT"/>
    <n v="126"/>
    <n v="96"/>
  </r>
  <r>
    <n v="112"/>
    <x v="0"/>
    <x v="212"/>
    <s v="eth1/56"/>
    <x v="0"/>
    <x v="1"/>
    <x v="1"/>
    <s v="SAPCCRATING11"/>
    <x v="6"/>
    <b v="0"/>
    <s v="No está en VPC"/>
    <n v="112"/>
    <s v="INTPG_VPC_112_1.56_114_1.53"/>
    <s v="ISEL-1.56"/>
    <n v="1"/>
    <s v="NO TIENE L3OUT"/>
    <n v="144"/>
    <n v="96"/>
  </r>
  <r>
    <n v="107"/>
    <x v="0"/>
    <x v="213"/>
    <s v="eth1/56"/>
    <x v="0"/>
    <x v="0"/>
    <x v="0"/>
    <m/>
    <x v="6"/>
    <b v="0"/>
    <s v="No está en VPC"/>
    <n v="107"/>
    <s v="INTPG_ACC_107_1.56"/>
    <s v="ISEL-1.56"/>
    <n v="1"/>
    <s v="NO TIENE L3OUT"/>
    <n v="118"/>
    <n v="96"/>
  </r>
  <r>
    <n v="109"/>
    <x v="0"/>
    <x v="214"/>
    <s v="eth1/56"/>
    <x v="0"/>
    <x v="0"/>
    <x v="0"/>
    <s v="OBIE_1-2"/>
    <x v="6"/>
    <b v="0"/>
    <s v="No está en VPC"/>
    <n v="109"/>
    <s v="INTPG_ACC_109_1.56"/>
    <s v="ISEL-1.56"/>
    <n v="1"/>
    <s v="NO TIENE L3OUT"/>
    <n v="126"/>
    <n v="96"/>
  </r>
  <r>
    <n v="113"/>
    <x v="0"/>
    <x v="215"/>
    <s v="eth1/56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56"/>
    <x v="0"/>
    <x v="1"/>
    <x v="1"/>
    <s v="SAPCC"/>
    <x v="6"/>
    <b v="0"/>
    <s v="No está en VPC"/>
    <n v="114"/>
    <s v="INTPG_ACC_114_1.56"/>
    <s v="ISEL-1.56"/>
    <n v="1"/>
    <s v="NO TIENE L3OUT"/>
    <n v="144"/>
    <n v="96"/>
  </r>
  <r>
    <n v="124"/>
    <x v="0"/>
    <x v="217"/>
    <s v="eth1/56"/>
    <x v="0"/>
    <x v="0"/>
    <x v="0"/>
    <s v="CIRCULO Azul(UXCA)"/>
    <x v="6"/>
    <b v="0"/>
    <s v="No está en VPC"/>
    <n v="124"/>
    <s v="INTPG_ACC_124_1.56"/>
    <s v="ISEL-1.56"/>
    <n v="1"/>
    <s v="NO TIENE L3OUT"/>
    <n v="80"/>
    <n v="96"/>
  </r>
  <r>
    <n v="118"/>
    <x v="0"/>
    <x v="218"/>
    <s v="eth1/56"/>
    <x v="0"/>
    <x v="1"/>
    <x v="1"/>
    <s v="USSD TANGO"/>
    <x v="6"/>
    <b v="0"/>
    <s v="No está en VPC"/>
    <n v="118"/>
    <s v="INTPG_ACC_118_1.56"/>
    <s v="ISEL-1.56"/>
    <n v="1"/>
    <s v="NO TIENE L3OUT"/>
    <n v="180"/>
    <n v="96"/>
  </r>
  <r>
    <n v="159"/>
    <x v="0"/>
    <x v="219"/>
    <s v="eth1/56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56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56"/>
    <x v="0"/>
    <x v="0"/>
    <x v="0"/>
    <s v="STORAGE_VNX_0493_BKP1_AND_BKP2"/>
    <x v="6"/>
    <b v="0"/>
    <s v="No está en VPC"/>
    <n v="163"/>
    <s v="INTPG_ACC_163_1.56"/>
    <s v="ISEL-1.56"/>
    <n v="2"/>
    <s v="NO TIENE L3OUT"/>
    <n v="140"/>
    <n v="96"/>
  </r>
  <r>
    <n v="407"/>
    <x v="1"/>
    <x v="224"/>
    <s v="eth1/56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56"/>
    <x v="1"/>
    <x v="1"/>
    <x v="2"/>
    <s v="SRS (Speedy Rating System)"/>
    <x v="6"/>
    <b v="0"/>
    <s v="No está en VPC"/>
    <n v="171"/>
    <s v="INTPG_ACC_171_1.56"/>
    <s v="ISEL-1.56"/>
    <n v="1"/>
    <s v="NO TIENE L3OUT"/>
    <n v="114"/>
    <n v="96"/>
  </r>
  <r>
    <n v="421"/>
    <x v="1"/>
    <x v="226"/>
    <s v="eth1/56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56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56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56"/>
    <x v="0"/>
    <x v="0"/>
    <x v="0"/>
    <s v="SRS (Speedy Rating System)"/>
    <x v="6"/>
    <b v="0"/>
    <s v="No está en VPC"/>
    <n v="172"/>
    <s v="INTPG_ACC_172_1.56"/>
    <s v="ISEL-1.56"/>
    <n v="1"/>
    <s v="NO TIENE L3OUT"/>
    <n v="104"/>
    <n v="96"/>
  </r>
  <r>
    <n v="420"/>
    <x v="1"/>
    <x v="230"/>
    <s v="eth1/56"/>
    <x v="0"/>
    <x v="0"/>
    <x v="0"/>
    <s v="TEMIPCLOUD_A05"/>
    <x v="6"/>
    <b v="0"/>
    <s v="No está en VPC"/>
    <n v="420"/>
    <s v="INTPG_ACC_420_1.56"/>
    <s v="ISEL-1.56"/>
    <n v="1"/>
    <s v="NO TIENE L3OUT"/>
    <n v="158"/>
    <n v="96"/>
  </r>
  <r>
    <n v="423"/>
    <x v="1"/>
    <x v="231"/>
    <s v="eth1/56"/>
    <x v="0"/>
    <x v="0"/>
    <x v="0"/>
    <s v="HP Proliant DL380p(c)"/>
    <x v="6"/>
    <b v="0"/>
    <s v="No está en VPC"/>
    <n v="423"/>
    <s v="INTPG_ACC_423_1.56"/>
    <s v="ISEL-1.56"/>
    <n v="1"/>
    <s v="NO TIENE L3OUT"/>
    <n v="86"/>
    <n v="96"/>
  </r>
  <r>
    <n v="415"/>
    <x v="1"/>
    <x v="232"/>
    <s v="eth1/56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56"/>
    <x v="0"/>
    <x v="1"/>
    <x v="1"/>
    <s v="BLACKBERRY:SECURITY TEST:OA2"/>
    <x v="6"/>
    <b v="0"/>
    <s v="No está en VPC"/>
    <n v="102"/>
    <s v="INTPG_ACC_102_1.56"/>
    <s v="ISEL-1.56"/>
    <n v="1"/>
    <s v="NO TIENE L3OUT"/>
    <n v="228"/>
    <n v="96"/>
  </r>
  <r>
    <n v="122"/>
    <x v="0"/>
    <x v="237"/>
    <s v="eth1/56"/>
    <x v="0"/>
    <x v="0"/>
    <x v="0"/>
    <s v="ASEGING"/>
    <x v="6"/>
    <b v="0"/>
    <s v="No está en VPC"/>
    <n v="122"/>
    <s v="INTPG_ACC_122_1.56"/>
    <s v="ISEL-1.56"/>
    <n v="1"/>
    <s v="NO TIENE L3OUT"/>
    <n v="148"/>
    <n v="96"/>
  </r>
  <r>
    <n v="157"/>
    <x v="0"/>
    <x v="238"/>
    <s v="eth1/56"/>
    <x v="0"/>
    <x v="0"/>
    <x v="0"/>
    <s v="PORTAL CAUTIVO"/>
    <x v="6"/>
    <b v="0"/>
    <s v="No está en VPC"/>
    <n v="157"/>
    <s v="INTPG_ACC_157_1.56"/>
    <s v="ISEL-1.56"/>
    <n v="1"/>
    <s v="NO TIENE L3OUT"/>
    <n v="202"/>
    <n v="96"/>
  </r>
  <r>
    <n v="408"/>
    <x v="1"/>
    <x v="239"/>
    <s v="eth1/56"/>
    <x v="0"/>
    <x v="0"/>
    <x v="0"/>
    <s v="DESC"/>
    <x v="6"/>
    <b v="0"/>
    <s v="No está en VPC"/>
    <n v="408"/>
    <s v="INTPG_PC_408_1.55-56"/>
    <s v="ISEL-1.56"/>
    <n v="1"/>
    <s v="NO TIENE L3OUT"/>
    <n v="152"/>
    <n v="96"/>
  </r>
  <r>
    <n v="405"/>
    <x v="1"/>
    <x v="240"/>
    <s v="eth1/56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56"/>
    <x v="0"/>
    <x v="0"/>
    <x v="0"/>
    <s v="TO-ITHFDENBURMS06"/>
    <x v="6"/>
    <b v="0"/>
    <s v="No está en VPC"/>
    <n v="169"/>
    <s v="INTPG_VPC_167_1.51_169_1.56"/>
    <s v="ISEL-1.56"/>
    <n v="1"/>
    <s v="NO TIENE L3OUT"/>
    <n v="76"/>
    <n v="96"/>
  </r>
  <r>
    <n v="165"/>
    <x v="0"/>
    <x v="242"/>
    <s v="eth1/56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56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56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56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56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56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56"/>
    <x v="0"/>
    <x v="0"/>
    <x v="0"/>
    <s v="TO-ITHFERNTCTRIS03-Redundante"/>
    <x v="6"/>
    <b v="0"/>
    <s v="No está en VPC"/>
    <n v="438"/>
    <s v="INTPG_ACC_438_1.56"/>
    <s v="ISEL-1.56"/>
    <n v="1"/>
    <s v="NO TIENE L3OUT"/>
    <n v="170"/>
    <n v="96"/>
  </r>
  <r>
    <n v="406"/>
    <x v="1"/>
    <x v="249"/>
    <s v="eth1/56"/>
    <x v="0"/>
    <x v="0"/>
    <x v="0"/>
    <s v="DESC"/>
    <x v="6"/>
    <b v="0"/>
    <s v="No está en VPC"/>
    <n v="406"/>
    <s v="INTPG_PC_406_1.55-56"/>
    <s v="ISEL-1.56"/>
    <n v="1"/>
    <s v="NO TIENE L3OUT"/>
    <n v="82"/>
    <n v="96"/>
  </r>
  <r>
    <n v="414"/>
    <x v="1"/>
    <x v="250"/>
    <s v="eth1/56"/>
    <x v="0"/>
    <x v="0"/>
    <x v="0"/>
    <s v="MULTI01_S10"/>
    <x v="6"/>
    <b v="0"/>
    <s v="No está en VPC"/>
    <n v="414"/>
    <s v="INTPG_ACC_414_1.56"/>
    <s v="ISEL-1.56"/>
    <n v="1"/>
    <s v="NO TIENE L3OUT"/>
    <n v="144"/>
    <n v="96"/>
  </r>
  <r>
    <n v="416"/>
    <x v="1"/>
    <x v="251"/>
    <s v="eth1/56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56"/>
    <x v="0"/>
    <x v="0"/>
    <x v="0"/>
    <s v="IXTSD971B"/>
    <x v="6"/>
    <b v="0"/>
    <s v="No está en VPC"/>
    <n v="418"/>
    <s v="INTPG_ACC_418_1.56"/>
    <s v="ISEL-1.56"/>
    <n v="1"/>
    <s v="NO TIENE L3OUT"/>
    <n v="152"/>
    <n v="96"/>
  </r>
  <r>
    <n v="413"/>
    <x v="1"/>
    <x v="253"/>
    <s v="eth1/56"/>
    <x v="0"/>
    <x v="0"/>
    <x v="0"/>
    <s v="ixtnnmcol01"/>
    <x v="6"/>
    <b v="0"/>
    <s v="No está en VPC"/>
    <n v="413"/>
    <s v="INTPG_ACC_413_1.56"/>
    <s v="ISEL-1.56"/>
    <n v="1"/>
    <s v="NO TIENE L3OUT"/>
    <n v="126"/>
    <n v="96"/>
  </r>
  <r>
    <n v="403"/>
    <x v="1"/>
    <x v="254"/>
    <s v="eth1/56"/>
    <x v="0"/>
    <x v="0"/>
    <x v="0"/>
    <s v="CCURE_9000"/>
    <x v="6"/>
    <b v="0"/>
    <s v="No está en VPC"/>
    <n v="403"/>
    <s v="INTPG_ACC_403_1.56"/>
    <s v="ISEL-1.56"/>
    <n v="1"/>
    <s v="NO TIENE L3OUT"/>
    <n v="150"/>
    <n v="96"/>
  </r>
  <r>
    <n v="125"/>
    <x v="0"/>
    <x v="255"/>
    <s v="eth1/56"/>
    <x v="0"/>
    <x v="1"/>
    <x v="1"/>
    <s v="IXTCDRLON"/>
    <x v="6"/>
    <b v="0"/>
    <s v="No está en VPC"/>
    <n v="125"/>
    <s v="INTPG_ACC_125_1.56"/>
    <s v="ISEL-1.56"/>
    <n v="1"/>
    <s v="NO TIENE L3OUT"/>
    <n v="72"/>
    <n v="96"/>
  </r>
  <r>
    <n v="166"/>
    <x v="0"/>
    <x v="256"/>
    <s v="eth1/56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56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56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56"/>
    <x v="0"/>
    <x v="0"/>
    <x v="0"/>
    <s v="COMISIONES"/>
    <x v="6"/>
    <b v="0"/>
    <s v="No está en VPC"/>
    <n v="106"/>
    <s v="INTPG_ACC_106_1.56"/>
    <s v="ISEL-1.56"/>
    <n v="1"/>
    <s v="NO TIENE L3OUT"/>
    <n v="122"/>
    <n v="96"/>
  </r>
  <r>
    <n v="126"/>
    <x v="0"/>
    <x v="260"/>
    <s v="eth1/56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56"/>
    <x v="0"/>
    <x v="0"/>
    <x v="0"/>
    <s v="Prime-UCS-CLU1-B"/>
    <x v="6"/>
    <b v="0"/>
    <s v="No está en VPC"/>
    <n v="425"/>
    <s v="INTPG_ACC_425_1.56"/>
    <s v="ISEL-1.56"/>
    <n v="1"/>
    <s v="NO TIENE L3OUT"/>
    <n v="86"/>
    <n v="96"/>
  </r>
  <r>
    <n v="151"/>
    <x v="0"/>
    <x v="262"/>
    <s v="eth1/56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56"/>
    <x v="0"/>
    <x v="0"/>
    <x v="0"/>
    <s v="Gestor_SBCs"/>
    <x v="6"/>
    <b v="0"/>
    <s v="No está en VPC"/>
    <n v="430"/>
    <s v="INTPG_ACC_430_1.56"/>
    <s v="ISEL-1.56"/>
    <n v="1"/>
    <s v="NO TIENE L3OUT"/>
    <n v="86"/>
    <n v="96"/>
  </r>
  <r>
    <n v="419"/>
    <x v="1"/>
    <x v="264"/>
    <s v="eth1/56"/>
    <x v="0"/>
    <x v="0"/>
    <x v="0"/>
    <s v="SPECSERVER2_ETH0"/>
    <x v="6"/>
    <b v="0"/>
    <s v="No está en VPC"/>
    <n v="419"/>
    <s v="INTPG_ACC_419_1.56"/>
    <s v="ISEL-1.56"/>
    <n v="1"/>
    <s v="NO TIENE L3OUT"/>
    <n v="70"/>
    <n v="96"/>
  </r>
  <r>
    <n v="155"/>
    <x v="0"/>
    <x v="265"/>
    <s v="eth1/56"/>
    <x v="0"/>
    <x v="0"/>
    <x v="0"/>
    <s v="Consolidaci\u00f3n Aplicaciones Prepago"/>
    <x v="6"/>
    <b v="0"/>
    <s v="No está en VPC"/>
    <n v="155"/>
    <s v="INTPG_ACC_155_1.56"/>
    <s v="ISEL-1.56"/>
    <n v="1"/>
    <s v="NO TIENE L3OUT"/>
    <n v="198"/>
    <n v="96"/>
  </r>
  <r>
    <n v="409"/>
    <x v="1"/>
    <x v="266"/>
    <s v="eth1/56"/>
    <x v="0"/>
    <x v="0"/>
    <x v="0"/>
    <s v="UXIMSI1_IGB4"/>
    <x v="6"/>
    <b v="0"/>
    <s v="No está en VPC"/>
    <n v="409"/>
    <s v="INTPG_ACC_409_1.56"/>
    <s v="ISEL-1.56"/>
    <n v="1"/>
    <s v="NO TIENE L3OUT"/>
    <n v="128"/>
    <n v="96"/>
  </r>
  <r>
    <n v="422"/>
    <x v="1"/>
    <x v="267"/>
    <s v="eth1/56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56"/>
    <x v="0"/>
    <x v="0"/>
    <x v="0"/>
    <m/>
    <x v="6"/>
    <b v="0"/>
    <s v="No está en VPC"/>
    <n v="436"/>
    <s v="INTPG_ACC_436_1.56"/>
    <s v="ISEL-1.56"/>
    <n v="0"/>
    <s v="NO TIENE L3OUT"/>
    <n v="172"/>
    <n v="96"/>
  </r>
  <r>
    <n v="410"/>
    <x v="1"/>
    <x v="269"/>
    <s v="eth1/56"/>
    <x v="0"/>
    <x v="0"/>
    <x v="0"/>
    <s v="ITHRTC1OA2"/>
    <x v="6"/>
    <b v="0"/>
    <s v="No está en VPC"/>
    <n v="410"/>
    <s v="INTPG_ACC_410_1.56"/>
    <s v="ISEL-1.56"/>
    <n v="1"/>
    <s v="NO TIENE L3OUT"/>
    <n v="178"/>
    <n v="96"/>
  </r>
  <r>
    <n v="161"/>
    <x v="0"/>
    <x v="270"/>
    <s v="eth1/56"/>
    <x v="0"/>
    <x v="0"/>
    <x v="0"/>
    <s v="CTG"/>
    <x v="6"/>
    <b v="0"/>
    <s v="No está en VPC"/>
    <n v="161"/>
    <s v="INTPG_VPC_161_1.56_163_1.64"/>
    <s v="ISEL-1.56"/>
    <n v="0"/>
    <s v="NO TIENE L3OUT"/>
    <n v="102"/>
    <n v="96"/>
  </r>
  <r>
    <n v="411"/>
    <x v="1"/>
    <x v="271"/>
    <s v="eth1/56"/>
    <x v="0"/>
    <x v="0"/>
    <x v="0"/>
    <s v="TO-ITHFHPNBURBKP03-PRINCIPAL"/>
    <x v="6"/>
    <b v="0"/>
    <s v="No está en VPC"/>
    <n v="411"/>
    <s v="INTPG_ACC_411_1.56"/>
    <s v="ISEL-1.56"/>
    <n v="1"/>
    <s v="NO TIENE L3OUT"/>
    <n v="96"/>
    <n v="96"/>
  </r>
  <r>
    <n v="116"/>
    <x v="0"/>
    <x v="272"/>
    <s v="eth1/56"/>
    <x v="0"/>
    <x v="1"/>
    <x v="1"/>
    <s v="USSD TANGO"/>
    <x v="6"/>
    <b v="0"/>
    <s v="No está en VPC"/>
    <n v="116"/>
    <s v="INTPG_ACC_116_1.56"/>
    <s v="ISEL-1.56"/>
    <n v="1"/>
    <s v="NO TIENE L3OUT"/>
    <n v="148"/>
    <n v="96"/>
  </r>
  <r>
    <n v="412"/>
    <x v="1"/>
    <x v="273"/>
    <s v="eth1/56"/>
    <x v="0"/>
    <x v="1"/>
    <x v="1"/>
    <s v="ITHRTC52OA2"/>
    <x v="6"/>
    <b v="0"/>
    <s v="No está en VPC"/>
    <n v="412"/>
    <s v="INTPG_ACC_412_1.56"/>
    <s v="ISEL-1.56"/>
    <n v="1"/>
    <s v="NO TIENE L3OUT"/>
    <n v="126"/>
    <n v="96"/>
  </r>
  <r>
    <n v="120"/>
    <x v="0"/>
    <x v="274"/>
    <s v="eth1/56"/>
    <x v="0"/>
    <x v="0"/>
    <x v="0"/>
    <s v="IXTTRAP-ETL"/>
    <x v="6"/>
    <b v="0"/>
    <s v="No está en VPC"/>
    <n v="120"/>
    <s v="INTPG_ACC_120_1.56"/>
    <s v="ISEL-1.56"/>
    <n v="1"/>
    <s v="NO TIENE L3OUT"/>
    <n v="158"/>
    <n v="96"/>
  </r>
  <r>
    <n v="404"/>
    <x v="1"/>
    <x v="275"/>
    <s v="eth1/56"/>
    <x v="0"/>
    <x v="0"/>
    <x v="0"/>
    <s v="MULTI01_S10"/>
    <x v="6"/>
    <b v="0"/>
    <s v="No está en VPC"/>
    <n v="404"/>
    <s v="INTPG_ACC_404_1.56"/>
    <s v="ISEL-1.56"/>
    <n v="1"/>
    <s v="NO TIENE L3OUT"/>
    <n v="92"/>
    <n v="96"/>
  </r>
  <r>
    <n v="167"/>
    <x v="0"/>
    <x v="276"/>
    <s v="eth1/56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56"/>
    <x v="0"/>
    <x v="0"/>
    <x v="0"/>
    <s v="Ilo_vert02hpov_Primario"/>
    <x v="6"/>
    <b v="0"/>
    <s v="No está en VPC"/>
    <n v="428"/>
    <s v="INTPG_ACC_428_1.56"/>
    <s v="ISEL-1.56"/>
    <n v="1"/>
    <s v="NO TIENE L3OUT"/>
    <n v="102"/>
    <n v="96"/>
  </r>
  <r>
    <n v="105"/>
    <x v="0"/>
    <x v="205"/>
    <s v="eth1/57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57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57"/>
    <x v="0"/>
    <x v="1"/>
    <x v="1"/>
    <s v="SILOT"/>
    <x v="6"/>
    <b v="0"/>
    <s v="No está en VPC"/>
    <n v="104"/>
    <s v="INTPG_ACC_104_1.57"/>
    <s v="ISEL-1.57"/>
    <n v="1"/>
    <s v="NO TIENE L3OUT"/>
    <n v="194"/>
    <n v="96"/>
  </r>
  <r>
    <n v="158"/>
    <x v="0"/>
    <x v="208"/>
    <s v="eth1/57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57"/>
    <x v="1"/>
    <x v="1"/>
    <x v="2"/>
    <s v="TO-UXWAS2_P3-P4"/>
    <x v="6"/>
    <b v="0"/>
    <s v="No está en VPC"/>
    <n v="108"/>
    <s v="INTPG_PC_108_1.56_57"/>
    <s v="ISEL-1.57"/>
    <n v="1"/>
    <s v="NO TIENE L3OUT"/>
    <n v="126"/>
    <n v="96"/>
  </r>
  <r>
    <n v="112"/>
    <x v="0"/>
    <x v="212"/>
    <s v="eth1/57"/>
    <x v="0"/>
    <x v="1"/>
    <x v="1"/>
    <s v="SAPCC-TO- SAPCCRATING12_CLIENT1"/>
    <x v="6"/>
    <b v="0"/>
    <s v="No está en VPC"/>
    <n v="112"/>
    <s v="INTPG_VPC_112_1.57_114_1.54"/>
    <s v="ISEL-1.57"/>
    <n v="1"/>
    <s v="NO TIENE L3OUT"/>
    <n v="144"/>
    <n v="96"/>
  </r>
  <r>
    <n v="107"/>
    <x v="0"/>
    <x v="213"/>
    <s v="eth1/57"/>
    <x v="0"/>
    <x v="0"/>
    <x v="0"/>
    <m/>
    <x v="6"/>
    <b v="0"/>
    <s v="No está en VPC"/>
    <n v="107"/>
    <s v="INTPG_ACC_107_1.57"/>
    <s v="ISEL-1.57"/>
    <n v="1"/>
    <s v="NO TIENE L3OUT"/>
    <n v="118"/>
    <n v="96"/>
  </r>
  <r>
    <n v="109"/>
    <x v="0"/>
    <x v="214"/>
    <s v="eth1/57"/>
    <x v="0"/>
    <x v="0"/>
    <x v="0"/>
    <s v="OBIE_1-2"/>
    <x v="6"/>
    <b v="0"/>
    <s v="No está en VPC"/>
    <n v="109"/>
    <s v="INTPG_ACC_109_1.57"/>
    <s v="ISEL-1.57"/>
    <n v="1"/>
    <s v="NO TIENE L3OUT"/>
    <n v="126"/>
    <n v="96"/>
  </r>
  <r>
    <n v="113"/>
    <x v="0"/>
    <x v="215"/>
    <s v="eth1/57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57"/>
    <x v="0"/>
    <x v="1"/>
    <x v="1"/>
    <s v="SAPCC"/>
    <x v="6"/>
    <b v="0"/>
    <s v="No está en VPC"/>
    <n v="114"/>
    <s v="INTPG_ACC_114_1.57"/>
    <s v="ISEL-1.57"/>
    <n v="1"/>
    <s v="NO TIENE L3OUT"/>
    <n v="144"/>
    <n v="96"/>
  </r>
  <r>
    <n v="124"/>
    <x v="0"/>
    <x v="217"/>
    <s v="eth1/57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57"/>
    <x v="0"/>
    <x v="1"/>
    <x v="1"/>
    <s v="USSD TANGO"/>
    <x v="6"/>
    <b v="0"/>
    <s v="No está en VPC"/>
    <n v="118"/>
    <s v="INTPG_ACC_118_1.57"/>
    <s v="ISEL-1.57"/>
    <n v="1"/>
    <s v="NO TIENE L3OUT"/>
    <n v="180"/>
    <n v="96"/>
  </r>
  <r>
    <n v="159"/>
    <x v="0"/>
    <x v="219"/>
    <s v="eth1/57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57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57"/>
    <x v="0"/>
    <x v="0"/>
    <x v="0"/>
    <s v="CELCITE"/>
    <x v="6"/>
    <b v="0"/>
    <s v="No está en VPC"/>
    <n v="163"/>
    <s v="INTPG_ACC_163_1.57"/>
    <s v="ISEL-1.57"/>
    <n v="1"/>
    <s v="NO TIENE L3OUT"/>
    <n v="140"/>
    <n v="96"/>
  </r>
  <r>
    <n v="407"/>
    <x v="1"/>
    <x v="224"/>
    <s v="eth1/57"/>
    <x v="0"/>
    <x v="0"/>
    <x v="0"/>
    <s v="TO-ITHFDEOCP1LMT01-REDUNDANTE"/>
    <x v="6"/>
    <b v="0"/>
    <s v="No está en VPC"/>
    <n v="407"/>
    <s v="INTPG_ACC_407_1.57"/>
    <s v="ISEL-1.57"/>
    <n v="1"/>
    <s v="NO TIENE L3OUT"/>
    <n v="122"/>
    <n v="96"/>
  </r>
  <r>
    <n v="171"/>
    <x v="0"/>
    <x v="225"/>
    <s v="eth1/57"/>
    <x v="1"/>
    <x v="1"/>
    <x v="2"/>
    <s v="SRS (Speedy Rating System)"/>
    <x v="6"/>
    <b v="0"/>
    <s v="No está en VPC"/>
    <n v="171"/>
    <s v="INTPG_ACC_171_1.57"/>
    <s v="ISEL-1.57"/>
    <n v="1"/>
    <s v="NO TIENE L3OUT"/>
    <n v="114"/>
    <n v="96"/>
  </r>
  <r>
    <n v="421"/>
    <x v="1"/>
    <x v="226"/>
    <s v="eth1/57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57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57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57"/>
    <x v="0"/>
    <x v="0"/>
    <x v="0"/>
    <s v="SRS (Speedy Rating System)"/>
    <x v="6"/>
    <b v="0"/>
    <s v="No está en VPC"/>
    <n v="172"/>
    <s v="INTPG_ACC_172_1.57"/>
    <s v="ISEL-1.57"/>
    <n v="1"/>
    <s v="NO TIENE L3OUT"/>
    <n v="104"/>
    <n v="96"/>
  </r>
  <r>
    <n v="420"/>
    <x v="1"/>
    <x v="230"/>
    <s v="eth1/57"/>
    <x v="0"/>
    <x v="0"/>
    <x v="0"/>
    <s v="TEMIPCLOUD_A07"/>
    <x v="6"/>
    <b v="0"/>
    <s v="No está en VPC"/>
    <n v="420"/>
    <s v="INTPG_ACC_420_1.57"/>
    <s v="ISEL-1.57"/>
    <n v="1"/>
    <s v="NO TIENE L3OUT"/>
    <n v="158"/>
    <n v="96"/>
  </r>
  <r>
    <n v="423"/>
    <x v="1"/>
    <x v="231"/>
    <s v="eth1/57"/>
    <x v="0"/>
    <x v="0"/>
    <x v="0"/>
    <s v="HP Proliant DL380p(c)"/>
    <x v="6"/>
    <b v="0"/>
    <s v="No está en VPC"/>
    <n v="423"/>
    <s v="INTPG_ACC_423_1.57"/>
    <s v="ISEL-1.57"/>
    <n v="1"/>
    <s v="NO TIENE L3OUT"/>
    <n v="86"/>
    <n v="96"/>
  </r>
  <r>
    <n v="415"/>
    <x v="1"/>
    <x v="232"/>
    <s v="eth1/57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57"/>
    <x v="0"/>
    <x v="1"/>
    <x v="1"/>
    <s v="BLACKBERRY:SECURITY TEST:VC2-X1"/>
    <x v="6"/>
    <b v="0"/>
    <s v="No está en VPC"/>
    <n v="102"/>
    <s v="INTPG_PC_102_1.52_57-63"/>
    <s v="ISEL-1.57"/>
    <n v="32"/>
    <s v="NO TIENE L3OUT"/>
    <n v="228"/>
    <n v="96"/>
  </r>
  <r>
    <n v="122"/>
    <x v="0"/>
    <x v="237"/>
    <s v="eth1/57"/>
    <x v="0"/>
    <x v="0"/>
    <x v="0"/>
    <s v="IXTTRAP-ETL"/>
    <x v="6"/>
    <b v="0"/>
    <s v="No está en VPC"/>
    <n v="122"/>
    <s v="INTPG_ACC_122_1.57"/>
    <s v="ISEL-1.57"/>
    <n v="1"/>
    <s v="NO TIENE L3OUT"/>
    <n v="148"/>
    <n v="96"/>
  </r>
  <r>
    <n v="157"/>
    <x v="0"/>
    <x v="238"/>
    <s v="eth1/57"/>
    <x v="0"/>
    <x v="0"/>
    <x v="0"/>
    <s v="PORTAL CAUTIVO"/>
    <x v="6"/>
    <b v="0"/>
    <s v="No está en VPC"/>
    <n v="157"/>
    <s v="INTPG_ACC_157_1.57"/>
    <s v="ISEL-1.57"/>
    <n v="1"/>
    <s v="NO TIENE L3OUT"/>
    <n v="202"/>
    <n v="96"/>
  </r>
  <r>
    <n v="408"/>
    <x v="1"/>
    <x v="239"/>
    <s v="eth1/57"/>
    <x v="0"/>
    <x v="0"/>
    <x v="0"/>
    <s v="DESC"/>
    <x v="6"/>
    <b v="0"/>
    <s v="No está en VPC"/>
    <n v="408"/>
    <s v="INTPG_PC_408_1.57-58"/>
    <s v="ISEL-1.57"/>
    <n v="1"/>
    <s v="NO TIENE L3OUT"/>
    <n v="152"/>
    <n v="96"/>
  </r>
  <r>
    <n v="405"/>
    <x v="1"/>
    <x v="240"/>
    <s v="eth1/57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57"/>
    <x v="0"/>
    <x v="0"/>
    <x v="0"/>
    <s v="TO-ITHFDENBURMS06-PRINCIPAL"/>
    <x v="6"/>
    <b v="0"/>
    <s v="No está en VPC"/>
    <n v="169"/>
    <s v="INTPG_ACC_169_1.57"/>
    <s v="ISEL-1.57"/>
    <n v="1"/>
    <s v="NO TIENE L3OUT"/>
    <n v="76"/>
    <n v="96"/>
  </r>
  <r>
    <n v="165"/>
    <x v="0"/>
    <x v="242"/>
    <s v="eth1/57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57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57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57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57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57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57"/>
    <x v="0"/>
    <x v="0"/>
    <x v="0"/>
    <s v="TO_ITHEMCDD69008138DKC0_IDRAC"/>
    <x v="6"/>
    <b v="0"/>
    <s v="No está en VPC"/>
    <n v="438"/>
    <s v="INTPG_ACC_438_1.57"/>
    <s v="ISEL-1.57"/>
    <n v="1"/>
    <s v="NO TIENE L3OUT"/>
    <n v="170"/>
    <n v="96"/>
  </r>
  <r>
    <n v="406"/>
    <x v="1"/>
    <x v="249"/>
    <s v="eth1/57"/>
    <x v="0"/>
    <x v="0"/>
    <x v="0"/>
    <s v="DESC"/>
    <x v="6"/>
    <b v="0"/>
    <s v="No está en VPC"/>
    <n v="406"/>
    <s v="INTPG_PC_406_1.57-58"/>
    <s v="ISEL-1.57"/>
    <n v="1"/>
    <s v="NO TIENE L3OUT"/>
    <n v="82"/>
    <n v="96"/>
  </r>
  <r>
    <n v="414"/>
    <x v="1"/>
    <x v="250"/>
    <s v="eth1/57"/>
    <x v="0"/>
    <x v="0"/>
    <x v="0"/>
    <s v="APMS02_S12"/>
    <x v="6"/>
    <b v="0"/>
    <s v="No está en VPC"/>
    <n v="414"/>
    <s v="INTPG_ACC_414_1.57"/>
    <s v="ISEL-1.57"/>
    <n v="1"/>
    <s v="NO TIENE L3OUT"/>
    <n v="144"/>
    <n v="96"/>
  </r>
  <r>
    <n v="416"/>
    <x v="1"/>
    <x v="251"/>
    <s v="eth1/57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57"/>
    <x v="0"/>
    <x v="0"/>
    <x v="0"/>
    <s v="ITHRTC4AEN2VC1x4"/>
    <x v="6"/>
    <b v="0"/>
    <s v="No está en VPC"/>
    <n v="418"/>
    <s v="INTPG_ACC_418_1.57"/>
    <s v="ISEL-1.57"/>
    <n v="1"/>
    <s v="NO TIENE L3OUT"/>
    <n v="152"/>
    <n v="96"/>
  </r>
  <r>
    <n v="413"/>
    <x v="1"/>
    <x v="253"/>
    <s v="eth1/57"/>
    <x v="0"/>
    <x v="0"/>
    <x v="0"/>
    <s v="none"/>
    <x v="6"/>
    <b v="0"/>
    <s v="No está en VPC"/>
    <n v="413"/>
    <s v="INTPG_ACC_413_1.57"/>
    <s v="ISEL-1.57"/>
    <n v="1"/>
    <s v="NO TIENE L3OUT"/>
    <n v="126"/>
    <n v="96"/>
  </r>
  <r>
    <n v="403"/>
    <x v="1"/>
    <x v="254"/>
    <s v="eth1/57"/>
    <x v="0"/>
    <x v="0"/>
    <x v="0"/>
    <s v="CCURE_9000"/>
    <x v="6"/>
    <b v="0"/>
    <s v="No está en VPC"/>
    <n v="403"/>
    <s v="INTPG_ACC_403_1.57"/>
    <s v="ISEL-1.57"/>
    <n v="1"/>
    <s v="NO TIENE L3OUT"/>
    <n v="150"/>
    <n v="96"/>
  </r>
  <r>
    <n v="125"/>
    <x v="0"/>
    <x v="255"/>
    <s v="eth1/57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57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57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57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57"/>
    <x v="0"/>
    <x v="0"/>
    <x v="0"/>
    <s v="COMISIONES"/>
    <x v="6"/>
    <b v="0"/>
    <s v="No está en VPC"/>
    <n v="106"/>
    <s v="INTPG_ACC_106_1.57"/>
    <s v="ISEL-1.57"/>
    <n v="1"/>
    <s v="NO TIENE L3OUT"/>
    <n v="122"/>
    <n v="96"/>
  </r>
  <r>
    <n v="126"/>
    <x v="0"/>
    <x v="260"/>
    <s v="eth1/57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57"/>
    <x v="0"/>
    <x v="0"/>
    <x v="0"/>
    <s v="VNX5600SPB_4596"/>
    <x v="6"/>
    <b v="0"/>
    <s v="No está en VPC"/>
    <n v="425"/>
    <s v="INTPG_ACC_425_1.57"/>
    <s v="ISEL-1.57"/>
    <n v="1"/>
    <s v="NO TIENE L3OUT"/>
    <n v="86"/>
    <n v="96"/>
  </r>
  <r>
    <n v="151"/>
    <x v="0"/>
    <x v="262"/>
    <s v="eth1/57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57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57"/>
    <x v="0"/>
    <x v="0"/>
    <x v="0"/>
    <s v="SPECSERVER2_ETH2"/>
    <x v="6"/>
    <b v="0"/>
    <s v="No está en VPC"/>
    <n v="419"/>
    <s v="INTPG_ACC_419_1.57"/>
    <s v="ISEL-1.57"/>
    <n v="1"/>
    <s v="NO TIENE L3OUT"/>
    <n v="70"/>
    <n v="96"/>
  </r>
  <r>
    <n v="155"/>
    <x v="0"/>
    <x v="265"/>
    <s v="eth1/57"/>
    <x v="0"/>
    <x v="0"/>
    <x v="0"/>
    <s v="Consolidaci\u00f3n Aplicaciones Prepago_1"/>
    <x v="6"/>
    <b v="0"/>
    <s v="No está en VPC"/>
    <n v="155"/>
    <s v="INTPG_ACC_155_1.57"/>
    <s v="ISEL-1.57"/>
    <n v="1"/>
    <s v="NO TIENE L3OUT"/>
    <n v="198"/>
    <n v="96"/>
  </r>
  <r>
    <n v="409"/>
    <x v="1"/>
    <x v="266"/>
    <s v="eth1/57"/>
    <x v="0"/>
    <x v="0"/>
    <x v="0"/>
    <s v="UXIMSI1_IXGBE2"/>
    <x v="6"/>
    <b v="0"/>
    <s v="No está en VPC"/>
    <n v="409"/>
    <s v="INTPG_ACC_409_1.57"/>
    <s v="ISEL-1.57"/>
    <n v="1"/>
    <s v="NO TIENE L3OUT"/>
    <n v="128"/>
    <n v="96"/>
  </r>
  <r>
    <n v="422"/>
    <x v="1"/>
    <x v="267"/>
    <s v="eth1/57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57"/>
    <x v="0"/>
    <x v="0"/>
    <x v="0"/>
    <m/>
    <x v="6"/>
    <b v="0"/>
    <s v="No está en VPC"/>
    <n v="436"/>
    <s v="INTPG_ACC_436_1.57"/>
    <s v="ISEL-1.57"/>
    <n v="0"/>
    <s v="NO TIENE L3OUT"/>
    <n v="172"/>
    <n v="96"/>
  </r>
  <r>
    <n v="410"/>
    <x v="1"/>
    <x v="269"/>
    <s v="eth1/57"/>
    <x v="0"/>
    <x v="0"/>
    <x v="0"/>
    <s v="ITHRTC2OA2"/>
    <x v="6"/>
    <b v="0"/>
    <s v="No está en VPC"/>
    <n v="410"/>
    <s v="INTPG_ACC_410_1.57"/>
    <s v="ISEL-1.57"/>
    <n v="1"/>
    <s v="NO TIENE L3OUT"/>
    <n v="178"/>
    <n v="96"/>
  </r>
  <r>
    <n v="161"/>
    <x v="0"/>
    <x v="270"/>
    <s v="eth1/57"/>
    <x v="0"/>
    <x v="1"/>
    <x v="1"/>
    <m/>
    <x v="6"/>
    <b v="0"/>
    <s v="No está en VPC"/>
    <n v="161"/>
    <s v="INTPG_VPC_163_1.65_161_1.57"/>
    <s v="ISEL-1.57"/>
    <n v="1"/>
    <s v="NO TIENE L3OUT"/>
    <n v="102"/>
    <n v="96"/>
  </r>
  <r>
    <n v="411"/>
    <x v="1"/>
    <x v="271"/>
    <s v="eth1/57"/>
    <x v="0"/>
    <x v="0"/>
    <x v="0"/>
    <s v="TO-ITHFHPNBURBKP04-PRINCIPAL"/>
    <x v="6"/>
    <b v="0"/>
    <s v="No está en VPC"/>
    <n v="411"/>
    <s v="INTPG_ACC_411_1.57"/>
    <s v="ISEL-1.57"/>
    <n v="1"/>
    <s v="NO TIENE L3OUT"/>
    <n v="96"/>
    <n v="96"/>
  </r>
  <r>
    <n v="116"/>
    <x v="0"/>
    <x v="272"/>
    <s v="eth1/57"/>
    <x v="0"/>
    <x v="1"/>
    <x v="1"/>
    <s v="USSD TANGO"/>
    <x v="6"/>
    <b v="0"/>
    <s v="No está en VPC"/>
    <n v="116"/>
    <s v="INTPG_ACC_116_1.57"/>
    <s v="ISEL-1.57"/>
    <n v="1"/>
    <s v="NO TIENE L3OUT"/>
    <n v="148"/>
    <n v="96"/>
  </r>
  <r>
    <n v="412"/>
    <x v="1"/>
    <x v="273"/>
    <s v="eth1/57"/>
    <x v="0"/>
    <x v="0"/>
    <x v="0"/>
    <s v="ITHRTC5SW1"/>
    <x v="6"/>
    <b v="0"/>
    <s v="No está en VPC"/>
    <n v="412"/>
    <s v="INTPG_ACC_412_1.57"/>
    <s v="ISEL-1.57"/>
    <n v="1"/>
    <s v="NO TIENE L3OUT"/>
    <n v="126"/>
    <n v="96"/>
  </r>
  <r>
    <n v="120"/>
    <x v="0"/>
    <x v="274"/>
    <s v="eth1/57"/>
    <x v="0"/>
    <x v="0"/>
    <x v="0"/>
    <s v="IXTTRAP-ETL"/>
    <x v="6"/>
    <b v="0"/>
    <s v="No está en VPC"/>
    <n v="120"/>
    <s v="INTPG_ACC_120_1.57"/>
    <s v="ISEL-1.57"/>
    <n v="1"/>
    <s v="NO TIENE L3OUT"/>
    <n v="158"/>
    <n v="96"/>
  </r>
  <r>
    <n v="404"/>
    <x v="1"/>
    <x v="275"/>
    <s v="eth1/57"/>
    <x v="0"/>
    <x v="0"/>
    <x v="0"/>
    <s v="APMS02_S12"/>
    <x v="6"/>
    <b v="0"/>
    <s v="No está en VPC"/>
    <n v="404"/>
    <s v="INTPG_ACC_404_1.57"/>
    <s v="ISEL-1.57"/>
    <n v="1"/>
    <s v="NO TIENE L3OUT"/>
    <n v="92"/>
    <n v="96"/>
  </r>
  <r>
    <n v="167"/>
    <x v="0"/>
    <x v="276"/>
    <s v="eth1/57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57"/>
    <x v="0"/>
    <x v="0"/>
    <x v="0"/>
    <s v="Ilo_vert03hpov_Primario"/>
    <x v="6"/>
    <b v="0"/>
    <s v="No está en VPC"/>
    <n v="428"/>
    <s v="INTPG_ACC_428_1.57"/>
    <s v="ISEL-1.57"/>
    <n v="1"/>
    <s v="NO TIENE L3OUT"/>
    <n v="102"/>
    <n v="96"/>
  </r>
  <r>
    <n v="105"/>
    <x v="0"/>
    <x v="205"/>
    <s v="eth1/58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58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58"/>
    <x v="0"/>
    <x v="1"/>
    <x v="1"/>
    <s v="SILOT"/>
    <x v="6"/>
    <b v="0"/>
    <s v="No está en VPC"/>
    <n v="104"/>
    <s v="INTPG_ACC_104_1.58"/>
    <s v="ISEL-1.58"/>
    <n v="1"/>
    <s v="NO TIENE L3OUT"/>
    <n v="194"/>
    <n v="96"/>
  </r>
  <r>
    <n v="158"/>
    <x v="0"/>
    <x v="208"/>
    <s v="eth1/58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58"/>
    <x v="0"/>
    <x v="0"/>
    <x v="0"/>
    <s v="DATAPOWER"/>
    <x v="6"/>
    <b v="0"/>
    <s v="No está en VPC"/>
    <n v="108"/>
    <s v="INTPG_ACC_108_1.58"/>
    <s v="ISEL-1.58"/>
    <n v="1"/>
    <s v="NO TIENE L3OUT"/>
    <n v="126"/>
    <n v="96"/>
  </r>
  <r>
    <n v="112"/>
    <x v="0"/>
    <x v="212"/>
    <s v="eth1/58"/>
    <x v="0"/>
    <x v="1"/>
    <x v="1"/>
    <s v="SAPCCRATING13"/>
    <x v="6"/>
    <b v="0"/>
    <s v="No está en VPC"/>
    <n v="112"/>
    <s v="INTPG_VPC_112_1.58_114_1.55"/>
    <s v="ISEL-1.58"/>
    <n v="1"/>
    <s v="NO TIENE L3OUT"/>
    <n v="144"/>
    <n v="96"/>
  </r>
  <r>
    <n v="107"/>
    <x v="0"/>
    <x v="213"/>
    <s v="eth1/58"/>
    <x v="0"/>
    <x v="1"/>
    <x v="1"/>
    <m/>
    <x v="6"/>
    <b v="0"/>
    <s v="No está en VPC"/>
    <n v="107"/>
    <s v="INTPG_ACC_107_1.58"/>
    <s v="ISEL-1.58"/>
    <n v="1"/>
    <s v="NO TIENE L3OUT"/>
    <n v="118"/>
    <n v="96"/>
  </r>
  <r>
    <n v="109"/>
    <x v="0"/>
    <x v="214"/>
    <s v="eth1/58"/>
    <x v="0"/>
    <x v="0"/>
    <x v="0"/>
    <s v="OBIE_1-2"/>
    <x v="6"/>
    <b v="0"/>
    <s v="No está en VPC"/>
    <n v="109"/>
    <s v="INTPG_ACC_109_1.58"/>
    <s v="ISEL-1.58"/>
    <n v="1"/>
    <s v="NO TIENE L3OUT"/>
    <n v="126"/>
    <n v="96"/>
  </r>
  <r>
    <n v="113"/>
    <x v="0"/>
    <x v="215"/>
    <s v="eth1/58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58"/>
    <x v="0"/>
    <x v="1"/>
    <x v="1"/>
    <s v="SAPCC"/>
    <x v="6"/>
    <b v="0"/>
    <s v="No está en VPC"/>
    <n v="114"/>
    <s v="INTPG_ACC_114_1.58"/>
    <s v="ISEL-1.58"/>
    <n v="1"/>
    <s v="NO TIENE L3OUT"/>
    <n v="144"/>
    <n v="96"/>
  </r>
  <r>
    <n v="124"/>
    <x v="0"/>
    <x v="217"/>
    <s v="eth1/58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58"/>
    <x v="0"/>
    <x v="1"/>
    <x v="1"/>
    <s v="USSD TANGO"/>
    <x v="6"/>
    <b v="0"/>
    <s v="No está en VPC"/>
    <n v="118"/>
    <s v="INTPG_ACC_118_1.58"/>
    <s v="ISEL-1.58"/>
    <n v="1"/>
    <s v="NO TIENE L3OUT"/>
    <n v="180"/>
    <n v="96"/>
  </r>
  <r>
    <n v="159"/>
    <x v="0"/>
    <x v="219"/>
    <s v="eth1/58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58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58"/>
    <x v="0"/>
    <x v="0"/>
    <x v="0"/>
    <s v="CELCITE"/>
    <x v="6"/>
    <b v="0"/>
    <s v="No está en VPC"/>
    <n v="163"/>
    <s v="INTPG_ACC_163_1.58"/>
    <s v="ISEL-1.58"/>
    <n v="1"/>
    <s v="NO TIENE L3OUT"/>
    <n v="140"/>
    <n v="96"/>
  </r>
  <r>
    <n v="407"/>
    <x v="1"/>
    <x v="224"/>
    <s v="eth1/58"/>
    <x v="0"/>
    <x v="0"/>
    <x v="0"/>
    <s v="UXIMSI1_IGB0"/>
    <x v="6"/>
    <b v="0"/>
    <s v="No está en VPC"/>
    <n v="407"/>
    <s v="INTPG_ACC_407_1.58"/>
    <s v="ISEL-1.58"/>
    <n v="1"/>
    <s v="NO TIENE L3OUT"/>
    <n v="122"/>
    <n v="96"/>
  </r>
  <r>
    <n v="171"/>
    <x v="0"/>
    <x v="225"/>
    <s v="eth1/58"/>
    <x v="1"/>
    <x v="1"/>
    <x v="2"/>
    <s v="SRS (Speedy Rating System)"/>
    <x v="6"/>
    <b v="0"/>
    <s v="No está en VPC"/>
    <n v="171"/>
    <s v="INTPG_ACC_171_1.58"/>
    <s v="ISEL-1.58"/>
    <n v="1"/>
    <s v="NO TIENE L3OUT"/>
    <n v="114"/>
    <n v="96"/>
  </r>
  <r>
    <n v="421"/>
    <x v="1"/>
    <x v="226"/>
    <s v="eth1/58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58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58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58"/>
    <x v="0"/>
    <x v="0"/>
    <x v="0"/>
    <s v="SRS (Speedy Rating System)"/>
    <x v="6"/>
    <b v="0"/>
    <s v="No está en VPC"/>
    <n v="172"/>
    <s v="INTPG_ACC_172_1.58"/>
    <s v="ISEL-1.58"/>
    <n v="1"/>
    <s v="NO TIENE L3OUT"/>
    <n v="104"/>
    <n v="96"/>
  </r>
  <r>
    <n v="420"/>
    <x v="1"/>
    <x v="230"/>
    <s v="eth1/58"/>
    <x v="0"/>
    <x v="0"/>
    <x v="0"/>
    <s v="ITHRTC4AEN1VC1x4"/>
    <x v="6"/>
    <b v="0"/>
    <s v="No está en VPC"/>
    <n v="420"/>
    <s v="INTPG_ACC_420_1.58"/>
    <s v="ISEL-1.58"/>
    <n v="1"/>
    <s v="NO TIENE L3OUT"/>
    <n v="158"/>
    <n v="96"/>
  </r>
  <r>
    <n v="423"/>
    <x v="1"/>
    <x v="231"/>
    <s v="eth1/58"/>
    <x v="0"/>
    <x v="0"/>
    <x v="0"/>
    <s v="HP Proliant DL380p(d)"/>
    <x v="6"/>
    <b v="0"/>
    <s v="No está en VPC"/>
    <n v="423"/>
    <s v="INTPG_ACC_423_1.58"/>
    <s v="ISEL-1.58"/>
    <n v="1"/>
    <s v="NO TIENE L3OUT"/>
    <n v="86"/>
    <n v="96"/>
  </r>
  <r>
    <n v="415"/>
    <x v="1"/>
    <x v="232"/>
    <s v="eth1/58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58"/>
    <x v="0"/>
    <x v="1"/>
    <x v="1"/>
    <s v="BLACKBERRY:SECURITY TEST:VC2-X2"/>
    <x v="6"/>
    <b v="0"/>
    <s v="No está en VPC"/>
    <n v="102"/>
    <s v="INTPG_PC_102_1.52_57-63"/>
    <s v="ISEL-1.58"/>
    <n v="32"/>
    <s v="NO TIENE L3OUT"/>
    <n v="228"/>
    <n v="96"/>
  </r>
  <r>
    <n v="122"/>
    <x v="0"/>
    <x v="237"/>
    <s v="eth1/58"/>
    <x v="0"/>
    <x v="0"/>
    <x v="0"/>
    <s v="IXTTRAP-ETL"/>
    <x v="6"/>
    <b v="0"/>
    <s v="No está en VPC"/>
    <n v="122"/>
    <s v="INTPG_ACC_122_1.58"/>
    <s v="ISEL-1.58"/>
    <n v="1"/>
    <s v="NO TIENE L3OUT"/>
    <n v="148"/>
    <n v="96"/>
  </r>
  <r>
    <n v="157"/>
    <x v="0"/>
    <x v="238"/>
    <s v="eth1/58"/>
    <x v="0"/>
    <x v="0"/>
    <x v="0"/>
    <s v="PORTAL CAUTIVO"/>
    <x v="6"/>
    <b v="0"/>
    <s v="No está en VPC"/>
    <n v="157"/>
    <s v="INTPG_ACC_157_1.58"/>
    <s v="ISEL-1.58"/>
    <n v="1"/>
    <s v="NO TIENE L3OUT"/>
    <n v="202"/>
    <n v="96"/>
  </r>
  <r>
    <n v="408"/>
    <x v="1"/>
    <x v="239"/>
    <s v="eth1/58"/>
    <x v="0"/>
    <x v="0"/>
    <x v="0"/>
    <s v="DESC"/>
    <x v="6"/>
    <b v="0"/>
    <s v="No está en VPC"/>
    <n v="408"/>
    <s v="INTPG_PC_408_1.57-58"/>
    <s v="ISEL-1.58"/>
    <n v="1"/>
    <s v="NO TIENE L3OUT"/>
    <n v="152"/>
    <n v="96"/>
  </r>
  <r>
    <n v="405"/>
    <x v="1"/>
    <x v="240"/>
    <s v="eth1/58"/>
    <x v="0"/>
    <x v="0"/>
    <x v="0"/>
    <s v="ITHREDCR1A-CAS"/>
    <x v="6"/>
    <b v="0"/>
    <s v="No está en VPC"/>
    <n v="405"/>
    <s v="INTPG_ACC_405_1.58"/>
    <s v="ISEL-1.58"/>
    <n v="0"/>
    <s v="L3OUT-STATIC-RCG"/>
    <n v="138"/>
    <n v="96"/>
  </r>
  <r>
    <n v="169"/>
    <x v="0"/>
    <x v="241"/>
    <s v="eth1/58"/>
    <x v="0"/>
    <x v="0"/>
    <x v="0"/>
    <s v="TO-ITHEMCDD94009668-PRINCIPAL"/>
    <x v="6"/>
    <b v="0"/>
    <s v="No está en VPC"/>
    <n v="169"/>
    <s v="INTPG_ACC_169_1.58"/>
    <s v="ISEL-1.58"/>
    <n v="1"/>
    <s v="NO TIENE L3OUT"/>
    <n v="76"/>
    <n v="96"/>
  </r>
  <r>
    <n v="165"/>
    <x v="0"/>
    <x v="242"/>
    <s v="eth1/58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58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58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58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58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58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58"/>
    <x v="0"/>
    <x v="0"/>
    <x v="0"/>
    <s v="TO_ITHEMCDD69008138DKC0_INT1.1"/>
    <x v="6"/>
    <b v="0"/>
    <s v="No está en VPC"/>
    <n v="438"/>
    <s v="INTPG_ACC_438_1.58"/>
    <s v="ISEL-1.58"/>
    <n v="1"/>
    <s v="NO TIENE L3OUT"/>
    <n v="170"/>
    <n v="96"/>
  </r>
  <r>
    <n v="406"/>
    <x v="1"/>
    <x v="249"/>
    <s v="eth1/58"/>
    <x v="0"/>
    <x v="0"/>
    <x v="0"/>
    <s v="DESC"/>
    <x v="6"/>
    <b v="0"/>
    <s v="No está en VPC"/>
    <n v="406"/>
    <s v="INTPG_PC_406_1.57-58"/>
    <s v="ISEL-1.58"/>
    <n v="1"/>
    <s v="NO TIENE L3OUT"/>
    <n v="82"/>
    <n v="96"/>
  </r>
  <r>
    <n v="414"/>
    <x v="1"/>
    <x v="250"/>
    <s v="eth1/58"/>
    <x v="0"/>
    <x v="0"/>
    <x v="0"/>
    <s v="MULTI02_S13"/>
    <x v="6"/>
    <b v="0"/>
    <s v="No está en VPC"/>
    <n v="414"/>
    <s v="INTPG_ACC_414_1.58"/>
    <s v="ISEL-1.58"/>
    <n v="1"/>
    <s v="NO TIENE L3OUT"/>
    <n v="144"/>
    <n v="96"/>
  </r>
  <r>
    <n v="416"/>
    <x v="1"/>
    <x v="251"/>
    <s v="eth1/58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58"/>
    <x v="0"/>
    <x v="0"/>
    <x v="0"/>
    <s v="ITHRTC4ANB1"/>
    <x v="6"/>
    <b v="0"/>
    <s v="No está en VPC"/>
    <n v="418"/>
    <s v="INTPG_ACC_418_1.58"/>
    <s v="ISEL-1.58"/>
    <n v="1"/>
    <s v="NO TIENE L3OUT"/>
    <n v="152"/>
    <n v="96"/>
  </r>
  <r>
    <n v="413"/>
    <x v="1"/>
    <x v="253"/>
    <s v="eth1/58"/>
    <x v="0"/>
    <x v="0"/>
    <x v="0"/>
    <s v="ixtnpscol01"/>
    <x v="6"/>
    <b v="0"/>
    <s v="No está en VPC"/>
    <n v="413"/>
    <s v="INTPG_ACC_413_1.58"/>
    <s v="ISEL-1.58"/>
    <n v="1"/>
    <s v="NO TIENE L3OUT"/>
    <n v="126"/>
    <n v="96"/>
  </r>
  <r>
    <n v="403"/>
    <x v="1"/>
    <x v="254"/>
    <s v="eth1/58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58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58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58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58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58"/>
    <x v="0"/>
    <x v="0"/>
    <x v="0"/>
    <s v="COMISIONES"/>
    <x v="6"/>
    <b v="0"/>
    <s v="No está en VPC"/>
    <n v="106"/>
    <s v="INTPG_ACC_106_1.58"/>
    <s v="ISEL-1.58"/>
    <n v="1"/>
    <s v="NO TIENE L3OUT"/>
    <n v="122"/>
    <n v="96"/>
  </r>
  <r>
    <n v="126"/>
    <x v="0"/>
    <x v="260"/>
    <s v="eth1/58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58"/>
    <x v="0"/>
    <x v="0"/>
    <x v="0"/>
    <s v="VTA_uxvta073_Net3"/>
    <x v="6"/>
    <b v="0"/>
    <s v="No está en VPC"/>
    <n v="425"/>
    <s v="INTPG_ACC_425_1.58"/>
    <s v="ISEL-1.58"/>
    <n v="1"/>
    <s v="NO TIENE L3OUT"/>
    <n v="86"/>
    <n v="96"/>
  </r>
  <r>
    <n v="151"/>
    <x v="0"/>
    <x v="262"/>
    <s v="eth1/58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58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58"/>
    <x v="0"/>
    <x v="0"/>
    <x v="0"/>
    <s v="SPECSERVER2_ETH4"/>
    <x v="6"/>
    <b v="0"/>
    <s v="No está en VPC"/>
    <n v="419"/>
    <s v="INTPG_ACC_419_1.58"/>
    <s v="ISEL-1.58"/>
    <n v="1"/>
    <s v="NO TIENE L3OUT"/>
    <n v="70"/>
    <n v="96"/>
  </r>
  <r>
    <n v="155"/>
    <x v="0"/>
    <x v="265"/>
    <s v="eth1/58"/>
    <x v="0"/>
    <x v="0"/>
    <x v="0"/>
    <s v="Consolidaci\u00f3n Aplicaciones Prepago"/>
    <x v="6"/>
    <b v="0"/>
    <s v="No está en VPC"/>
    <n v="155"/>
    <s v="INTPG_ACC_155_1.58"/>
    <s v="ISEL-1.58"/>
    <n v="1"/>
    <s v="NO TIENE L3OUT"/>
    <n v="198"/>
    <n v="96"/>
  </r>
  <r>
    <n v="409"/>
    <x v="1"/>
    <x v="266"/>
    <s v="eth1/58"/>
    <x v="0"/>
    <x v="0"/>
    <x v="0"/>
    <s v="UXIMSI2_NETMGT-2"/>
    <x v="6"/>
    <b v="0"/>
    <s v="No está en VPC"/>
    <n v="409"/>
    <s v="INTPG_ACC_409_1.58"/>
    <s v="ISEL-1.58"/>
    <n v="1"/>
    <s v="NO TIENE L3OUT"/>
    <n v="128"/>
    <n v="96"/>
  </r>
  <r>
    <n v="422"/>
    <x v="1"/>
    <x v="267"/>
    <s v="eth1/58"/>
    <x v="0"/>
    <x v="1"/>
    <x v="1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58"/>
    <x v="0"/>
    <x v="0"/>
    <x v="0"/>
    <m/>
    <x v="6"/>
    <b v="0"/>
    <s v="No está en VPC"/>
    <n v="436"/>
    <s v="INTPG_ACC_436_1.58"/>
    <s v="ISEL-1.58"/>
    <n v="0"/>
    <s v="NO TIENE L3OUT"/>
    <n v="172"/>
    <n v="96"/>
  </r>
  <r>
    <n v="410"/>
    <x v="1"/>
    <x v="269"/>
    <s v="eth1/58"/>
    <x v="0"/>
    <x v="0"/>
    <x v="0"/>
    <s v="ITHRTC22VC2X4"/>
    <x v="6"/>
    <b v="0"/>
    <s v="No está en VPC"/>
    <n v="410"/>
    <s v="INTPG_ACC_410_1.58"/>
    <s v="ISEL-1.58"/>
    <n v="1"/>
    <s v="NO TIENE L3OUT"/>
    <n v="178"/>
    <n v="96"/>
  </r>
  <r>
    <n v="161"/>
    <x v="0"/>
    <x v="270"/>
    <s v="eth1/58"/>
    <x v="0"/>
    <x v="0"/>
    <x v="0"/>
    <s v="MULTIMEDIACION_1"/>
    <x v="6"/>
    <b v="0"/>
    <s v="No está en VPC"/>
    <n v="161"/>
    <s v="INTPG_ACC_161_1.58"/>
    <s v="ISEL-1.58"/>
    <n v="1"/>
    <s v="NO TIENE L3OUT"/>
    <n v="102"/>
    <n v="96"/>
  </r>
  <r>
    <n v="411"/>
    <x v="1"/>
    <x v="271"/>
    <s v="eth1/58"/>
    <x v="0"/>
    <x v="0"/>
    <x v="0"/>
    <s v="TO-ITHFHPNBURBKP05-PRINCIPAL"/>
    <x v="6"/>
    <b v="0"/>
    <s v="No está en VPC"/>
    <n v="411"/>
    <s v="INTPG_ACC_411_1.58"/>
    <s v="ISEL-1.58"/>
    <n v="1"/>
    <s v="NO TIENE L3OUT"/>
    <n v="96"/>
    <n v="96"/>
  </r>
  <r>
    <n v="116"/>
    <x v="0"/>
    <x v="272"/>
    <s v="eth1/58"/>
    <x v="0"/>
    <x v="1"/>
    <x v="1"/>
    <s v="USSD TANGO"/>
    <x v="6"/>
    <b v="0"/>
    <s v="No está en VPC"/>
    <n v="116"/>
    <s v="INTPG_ACC_116_1.58"/>
    <s v="ISEL-1.58"/>
    <n v="1"/>
    <s v="NO TIENE L3OUT"/>
    <n v="148"/>
    <n v="96"/>
  </r>
  <r>
    <n v="412"/>
    <x v="1"/>
    <x v="273"/>
    <s v="eth1/58"/>
    <x v="0"/>
    <x v="0"/>
    <x v="0"/>
    <s v="ITHRTC61VC2X4"/>
    <x v="6"/>
    <b v="0"/>
    <s v="No está en VPC"/>
    <n v="412"/>
    <s v="INTPG_ACC_412_1.58"/>
    <s v="ISEL-1.58"/>
    <n v="1"/>
    <s v="NO TIENE L3OUT"/>
    <n v="126"/>
    <n v="96"/>
  </r>
  <r>
    <n v="120"/>
    <x v="0"/>
    <x v="274"/>
    <s v="eth1/58"/>
    <x v="0"/>
    <x v="0"/>
    <x v="0"/>
    <s v="TRAP"/>
    <x v="6"/>
    <b v="0"/>
    <s v="No está en VPC"/>
    <n v="120"/>
    <s v="INTPG_PC_120_1.58-61"/>
    <s v="ISEL-1.58"/>
    <n v="1"/>
    <s v="NO TIENE L3OUT"/>
    <n v="158"/>
    <n v="96"/>
  </r>
  <r>
    <n v="404"/>
    <x v="1"/>
    <x v="275"/>
    <s v="eth1/58"/>
    <x v="0"/>
    <x v="0"/>
    <x v="0"/>
    <s v="MULTI02_S13"/>
    <x v="6"/>
    <b v="0"/>
    <s v="No está en VPC"/>
    <n v="404"/>
    <s v="INTPG_ACC_404_1.58"/>
    <s v="ISEL-1.58"/>
    <n v="1"/>
    <s v="NO TIENE L3OUT"/>
    <n v="92"/>
    <n v="96"/>
  </r>
  <r>
    <n v="167"/>
    <x v="0"/>
    <x v="276"/>
    <s v="eth1/58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58"/>
    <x v="0"/>
    <x v="0"/>
    <x v="0"/>
    <s v="Ilo_ora01hpov_Primario"/>
    <x v="6"/>
    <b v="0"/>
    <s v="No está en VPC"/>
    <n v="428"/>
    <s v="INTPG_ACC_428_1.58"/>
    <s v="ISEL-1.58"/>
    <n v="1"/>
    <s v="NO TIENE L3OUT"/>
    <n v="102"/>
    <n v="96"/>
  </r>
  <r>
    <n v="105"/>
    <x v="0"/>
    <x v="205"/>
    <s v="eth1/59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59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59"/>
    <x v="0"/>
    <x v="1"/>
    <x v="1"/>
    <s v="SILOT"/>
    <x v="6"/>
    <b v="0"/>
    <s v="No está en VPC"/>
    <n v="104"/>
    <s v="INTPG_ACC_104_1.59"/>
    <s v="ISEL-1.59"/>
    <n v="1"/>
    <s v="NO TIENE L3OUT"/>
    <n v="194"/>
    <n v="96"/>
  </r>
  <r>
    <n v="158"/>
    <x v="0"/>
    <x v="208"/>
    <s v="eth1/59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59"/>
    <x v="0"/>
    <x v="0"/>
    <x v="0"/>
    <s v="DATAPOWER"/>
    <x v="6"/>
    <b v="0"/>
    <s v="No está en VPC"/>
    <n v="108"/>
    <s v="INTPG_ACC_108_1.59"/>
    <s v="ISEL-1.59"/>
    <n v="1"/>
    <s v="NO TIENE L3OUT"/>
    <n v="126"/>
    <n v="96"/>
  </r>
  <r>
    <n v="112"/>
    <x v="0"/>
    <x v="212"/>
    <s v="eth1/59"/>
    <x v="0"/>
    <x v="1"/>
    <x v="1"/>
    <s v="SAPCC"/>
    <x v="6"/>
    <b v="0"/>
    <s v="No está en VPC"/>
    <n v="112"/>
    <s v="INTPG_ACC_112_1.59"/>
    <s v="ISEL-1.59"/>
    <n v="1"/>
    <s v="NO TIENE L3OUT"/>
    <n v="144"/>
    <n v="96"/>
  </r>
  <r>
    <n v="107"/>
    <x v="0"/>
    <x v="213"/>
    <s v="eth1/59"/>
    <x v="0"/>
    <x v="1"/>
    <x v="1"/>
    <m/>
    <x v="6"/>
    <b v="0"/>
    <s v="No está en VPC"/>
    <n v="107"/>
    <s v="INTPG_ACC_107_1.59"/>
    <s v="ISEL-1.59"/>
    <n v="1"/>
    <s v="NO TIENE L3OUT"/>
    <n v="118"/>
    <n v="96"/>
  </r>
  <r>
    <n v="109"/>
    <x v="0"/>
    <x v="214"/>
    <s v="eth1/59"/>
    <x v="0"/>
    <x v="0"/>
    <x v="0"/>
    <m/>
    <x v="6"/>
    <b v="0"/>
    <s v="No está en VPC"/>
    <n v="109"/>
    <s v="NO EXISTE PG"/>
    <s v="NO EXISTE ISEL"/>
    <n v="1"/>
    <s v="NO TIENE L3OUT"/>
    <n v="126"/>
    <n v="96"/>
  </r>
  <r>
    <n v="113"/>
    <x v="0"/>
    <x v="215"/>
    <s v="eth1/59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59"/>
    <x v="0"/>
    <x v="1"/>
    <x v="1"/>
    <s v="SAPCC"/>
    <x v="6"/>
    <b v="0"/>
    <s v="No está en VPC"/>
    <n v="114"/>
    <s v="INTPG_ACC_114_1.59"/>
    <s v="ISEL-1.59"/>
    <n v="1"/>
    <s v="NO TIENE L3OUT"/>
    <n v="144"/>
    <n v="96"/>
  </r>
  <r>
    <n v="124"/>
    <x v="0"/>
    <x v="217"/>
    <s v="eth1/59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59"/>
    <x v="0"/>
    <x v="1"/>
    <x v="1"/>
    <s v="NOTIFICATION SERVER TANGO"/>
    <x v="6"/>
    <b v="0"/>
    <s v="No está en VPC"/>
    <n v="118"/>
    <s v="INTPG_ACC_118_1.59"/>
    <s v="ISEL-1.59"/>
    <n v="1"/>
    <s v="NO TIENE L3OUT"/>
    <n v="180"/>
    <n v="96"/>
  </r>
  <r>
    <n v="159"/>
    <x v="0"/>
    <x v="219"/>
    <s v="eth1/59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59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59"/>
    <x v="0"/>
    <x v="0"/>
    <x v="0"/>
    <s v="CELCITE"/>
    <x v="6"/>
    <b v="0"/>
    <s v="No está en VPC"/>
    <n v="163"/>
    <s v="INTPG_ACC_163_1.59"/>
    <s v="ISEL-1.59"/>
    <n v="1"/>
    <s v="NO TIENE L3OUT"/>
    <n v="140"/>
    <n v="96"/>
  </r>
  <r>
    <n v="407"/>
    <x v="1"/>
    <x v="224"/>
    <s v="eth1/59"/>
    <x v="0"/>
    <x v="0"/>
    <x v="0"/>
    <s v="UXIMSI1_IXGBE0"/>
    <x v="6"/>
    <b v="0"/>
    <s v="No está en VPC"/>
    <n v="407"/>
    <s v="INTPG_ACC_407_1.59"/>
    <s v="ISEL-1.59"/>
    <n v="1"/>
    <s v="NO TIENE L3OUT"/>
    <n v="122"/>
    <n v="96"/>
  </r>
  <r>
    <n v="171"/>
    <x v="0"/>
    <x v="225"/>
    <s v="eth1/59"/>
    <x v="1"/>
    <x v="1"/>
    <x v="2"/>
    <s v="SRS (Speedy Rating System)"/>
    <x v="6"/>
    <b v="0"/>
    <s v="No está en VPC"/>
    <n v="171"/>
    <s v="INTPG_ACC_171_1.59"/>
    <s v="ISEL-1.59"/>
    <n v="1"/>
    <s v="NO TIENE L3OUT"/>
    <n v="114"/>
    <n v="96"/>
  </r>
  <r>
    <n v="421"/>
    <x v="1"/>
    <x v="226"/>
    <s v="eth1/59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59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59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59"/>
    <x v="0"/>
    <x v="0"/>
    <x v="0"/>
    <s v="SRS (Speedy Rating System)"/>
    <x v="6"/>
    <b v="0"/>
    <s v="No está en VPC"/>
    <n v="172"/>
    <s v="INTPG_ACC_172_1.59"/>
    <s v="ISEL-1.59"/>
    <n v="1"/>
    <s v="NO TIENE L3OUT"/>
    <n v="104"/>
    <n v="96"/>
  </r>
  <r>
    <n v="420"/>
    <x v="1"/>
    <x v="230"/>
    <s v="eth1/59"/>
    <x v="0"/>
    <x v="0"/>
    <x v="0"/>
    <s v="MGT-9C-FANA-IXTLA_3_PTO3"/>
    <x v="6"/>
    <b v="0"/>
    <s v="No está en VPC"/>
    <n v="420"/>
    <s v="INTPG_ACC_420_1.59"/>
    <s v="ISEL-1.59"/>
    <n v="1"/>
    <s v="NO TIENE L3OUT"/>
    <n v="158"/>
    <n v="96"/>
  </r>
  <r>
    <n v="423"/>
    <x v="1"/>
    <x v="231"/>
    <s v="eth1/59"/>
    <x v="0"/>
    <x v="0"/>
    <x v="0"/>
    <s v="HP Proliant DL380p(d)"/>
    <x v="6"/>
    <b v="0"/>
    <s v="No está en VPC"/>
    <n v="423"/>
    <s v="INTPG_ACC_423_1.59"/>
    <s v="ISEL-1.59"/>
    <n v="1"/>
    <s v="NO TIENE L3OUT"/>
    <n v="86"/>
    <n v="96"/>
  </r>
  <r>
    <n v="415"/>
    <x v="1"/>
    <x v="232"/>
    <s v="eth1/59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59"/>
    <x v="0"/>
    <x v="1"/>
    <x v="1"/>
    <s v="BLACKBERRY:SECURITY TEST:VC2-X3"/>
    <x v="6"/>
    <b v="0"/>
    <s v="No está en VPC"/>
    <n v="102"/>
    <s v="INTPG_PC_102_1.52_57-63"/>
    <s v="ISEL-1.59"/>
    <n v="32"/>
    <s v="NO TIENE L3OUT"/>
    <n v="228"/>
    <n v="96"/>
  </r>
  <r>
    <n v="122"/>
    <x v="0"/>
    <x v="237"/>
    <s v="eth1/59"/>
    <x v="0"/>
    <x v="0"/>
    <x v="0"/>
    <s v="IXTTRAP-ETL"/>
    <x v="6"/>
    <b v="0"/>
    <s v="No está en VPC"/>
    <n v="122"/>
    <s v="INTPG_ACC_122_1.59"/>
    <s v="ISEL-1.59"/>
    <n v="1"/>
    <s v="NO TIENE L3OUT"/>
    <n v="148"/>
    <n v="96"/>
  </r>
  <r>
    <n v="157"/>
    <x v="0"/>
    <x v="238"/>
    <s v="eth1/59"/>
    <x v="0"/>
    <x v="0"/>
    <x v="0"/>
    <s v="PORTAL CAUTIVO"/>
    <x v="6"/>
    <b v="0"/>
    <s v="No está en VPC"/>
    <n v="157"/>
    <s v="INTPG_ACC_157_1.59"/>
    <s v="ISEL-1.59"/>
    <n v="1"/>
    <s v="NO TIENE L3OUT"/>
    <n v="202"/>
    <n v="96"/>
  </r>
  <r>
    <n v="408"/>
    <x v="1"/>
    <x v="239"/>
    <s v="eth1/59"/>
    <x v="0"/>
    <x v="0"/>
    <x v="0"/>
    <s v="DESC"/>
    <x v="6"/>
    <b v="0"/>
    <s v="No está en VPC"/>
    <n v="408"/>
    <s v="INTPG_PC_408_1.59-60"/>
    <s v="ISEL-1.59"/>
    <n v="1"/>
    <s v="NO TIENE L3OUT"/>
    <n v="152"/>
    <n v="96"/>
  </r>
  <r>
    <n v="405"/>
    <x v="1"/>
    <x v="240"/>
    <s v="eth1/59"/>
    <x v="0"/>
    <x v="1"/>
    <x v="1"/>
    <s v="SRX240-TELCEL2-NODE1"/>
    <x v="6"/>
    <b v="0"/>
    <s v="No está en VPC"/>
    <n v="405"/>
    <s v="INTPG_ACC_405_1.59"/>
    <s v="ISEL-1.59"/>
    <n v="1"/>
    <s v="NO TIENE L3OUT"/>
    <n v="138"/>
    <n v="96"/>
  </r>
  <r>
    <n v="169"/>
    <x v="0"/>
    <x v="241"/>
    <s v="eth1/59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59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59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59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59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59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59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59"/>
    <x v="0"/>
    <x v="0"/>
    <x v="0"/>
    <s v="TO_ITHEMCDD94008139DKC0_IDRAC"/>
    <x v="6"/>
    <b v="0"/>
    <s v="No está en VPC"/>
    <n v="438"/>
    <s v="INTPG_ACC_438_1.59"/>
    <s v="ISEL-1.59"/>
    <n v="1"/>
    <s v="NO TIENE L3OUT"/>
    <n v="170"/>
    <n v="96"/>
  </r>
  <r>
    <n v="406"/>
    <x v="1"/>
    <x v="249"/>
    <s v="eth1/59"/>
    <x v="0"/>
    <x v="0"/>
    <x v="0"/>
    <s v="DESC"/>
    <x v="6"/>
    <b v="0"/>
    <s v="No está en VPC"/>
    <n v="406"/>
    <s v="INTPG_PC_406_1.59-60"/>
    <s v="ISEL-1.59"/>
    <n v="1"/>
    <s v="NO TIENE L3OUT"/>
    <n v="82"/>
    <n v="96"/>
  </r>
  <r>
    <n v="414"/>
    <x v="1"/>
    <x v="250"/>
    <s v="eth1/59"/>
    <x v="0"/>
    <x v="1"/>
    <x v="1"/>
    <s v="uxcompr1"/>
    <x v="6"/>
    <b v="0"/>
    <s v="No está en VPC"/>
    <n v="414"/>
    <s v="INTPG_ACC_414_1.59"/>
    <s v="ISEL-1.59"/>
    <n v="1"/>
    <s v="NO TIENE L3OUT"/>
    <n v="144"/>
    <n v="96"/>
  </r>
  <r>
    <n v="416"/>
    <x v="1"/>
    <x v="251"/>
    <s v="eth1/59"/>
    <x v="0"/>
    <x v="0"/>
    <x v="0"/>
    <s v="MGT-9C-FANA-IXTLA_3_PTO1"/>
    <x v="6"/>
    <b v="0"/>
    <s v="No está en VPC"/>
    <n v="416"/>
    <s v="INTPG_ACC_416_1.59"/>
    <s v="ISEL-1.59"/>
    <n v="1"/>
    <s v="NO TIENE L3OUT"/>
    <n v="110"/>
    <n v="96"/>
  </r>
  <r>
    <n v="418"/>
    <x v="1"/>
    <x v="252"/>
    <s v="eth1/59"/>
    <x v="0"/>
    <x v="0"/>
    <x v="0"/>
    <s v="ITHRTC4AEN1OA1"/>
    <x v="6"/>
    <b v="0"/>
    <s v="No está en VPC"/>
    <n v="418"/>
    <s v="INTPG_ACC_418_1.59"/>
    <s v="ISEL-1.59"/>
    <n v="1"/>
    <s v="NO TIENE L3OUT"/>
    <n v="152"/>
    <n v="96"/>
  </r>
  <r>
    <n v="413"/>
    <x v="1"/>
    <x v="253"/>
    <s v="eth1/59"/>
    <x v="0"/>
    <x v="0"/>
    <x v="0"/>
    <s v="ixtnnmcol01"/>
    <x v="6"/>
    <b v="0"/>
    <s v="No está en VPC"/>
    <n v="413"/>
    <s v="INTPG_ACC_413_1.59"/>
    <s v="ISEL-1.59"/>
    <n v="1"/>
    <s v="NO TIENE L3OUT"/>
    <n v="126"/>
    <n v="96"/>
  </r>
  <r>
    <n v="403"/>
    <x v="1"/>
    <x v="254"/>
    <s v="eth1/59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59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59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59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59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59"/>
    <x v="0"/>
    <x v="1"/>
    <x v="1"/>
    <s v="COMISIONES"/>
    <x v="6"/>
    <b v="0"/>
    <s v="No está en VPC"/>
    <n v="106"/>
    <s v="INTPG_ACC_106_1.59"/>
    <s v="ISEL-1.59"/>
    <n v="1"/>
    <s v="NO TIENE L3OUT"/>
    <n v="122"/>
    <n v="96"/>
  </r>
  <r>
    <n v="126"/>
    <x v="0"/>
    <x v="260"/>
    <s v="eth1/59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59"/>
    <x v="0"/>
    <x v="0"/>
    <x v="0"/>
    <s v="VTA_uxvta074_Net3"/>
    <x v="6"/>
    <b v="0"/>
    <s v="No está en VPC"/>
    <n v="425"/>
    <s v="INTPG_ACC_425_1.59"/>
    <s v="ISEL-1.59"/>
    <n v="1"/>
    <s v="NO TIENE L3OUT"/>
    <n v="86"/>
    <n v="96"/>
  </r>
  <r>
    <n v="151"/>
    <x v="0"/>
    <x v="262"/>
    <s v="eth1/59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59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59"/>
    <x v="0"/>
    <x v="0"/>
    <x v="0"/>
    <s v="SPECSERVER2_VMOTION1"/>
    <x v="6"/>
    <b v="0"/>
    <s v="No está en VPC"/>
    <n v="419"/>
    <s v="INTPG_ACC_419_1.59"/>
    <s v="ISEL-1.59"/>
    <n v="1"/>
    <s v="NO TIENE L3OUT"/>
    <n v="70"/>
    <n v="96"/>
  </r>
  <r>
    <n v="155"/>
    <x v="0"/>
    <x v="265"/>
    <s v="eth1/59"/>
    <x v="0"/>
    <x v="0"/>
    <x v="0"/>
    <s v="Cons. Prepago M8000"/>
    <x v="6"/>
    <b v="0"/>
    <s v="No está en VPC"/>
    <n v="155"/>
    <s v="INTPG_ACC_155_1.59"/>
    <s v="ISEL-1.59"/>
    <n v="1"/>
    <s v="NO TIENE L3OUT"/>
    <n v="198"/>
    <n v="96"/>
  </r>
  <r>
    <n v="409"/>
    <x v="1"/>
    <x v="266"/>
    <s v="eth1/59"/>
    <x v="0"/>
    <x v="0"/>
    <x v="0"/>
    <s v="UXIMSI2_IGB4"/>
    <x v="6"/>
    <b v="0"/>
    <s v="No está en VPC"/>
    <n v="409"/>
    <s v="INTPG_ACC_409_1.59"/>
    <s v="ISEL-1.59"/>
    <n v="1"/>
    <s v="NO TIENE L3OUT"/>
    <n v="128"/>
    <n v="96"/>
  </r>
  <r>
    <n v="422"/>
    <x v="1"/>
    <x v="267"/>
    <s v="eth1/59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59"/>
    <x v="0"/>
    <x v="1"/>
    <x v="1"/>
    <m/>
    <x v="6"/>
    <b v="0"/>
    <s v="No está en VPC"/>
    <n v="436"/>
    <s v="INTPG_ACC_436_1.59"/>
    <s v="ISEL-1.59"/>
    <n v="0"/>
    <s v="NO TIENE L3OUT"/>
    <n v="172"/>
    <n v="96"/>
  </r>
  <r>
    <n v="410"/>
    <x v="1"/>
    <x v="269"/>
    <s v="eth1/59"/>
    <x v="0"/>
    <x v="0"/>
    <x v="0"/>
    <s v="ITHRTC21VC2X4"/>
    <x v="6"/>
    <b v="0"/>
    <s v="No está en VPC"/>
    <n v="410"/>
    <s v="INTPG_ACC_410_1.59"/>
    <s v="ISEL-1.59"/>
    <n v="1"/>
    <s v="NO TIENE L3OUT"/>
    <n v="178"/>
    <n v="96"/>
  </r>
  <r>
    <n v="161"/>
    <x v="0"/>
    <x v="270"/>
    <s v="eth1/59"/>
    <x v="0"/>
    <x v="0"/>
    <x v="0"/>
    <s v="MULTIMEDIACION_1"/>
    <x v="6"/>
    <b v="0"/>
    <s v="No está en VPC"/>
    <n v="161"/>
    <s v="INTPG_ACC_161_1.59"/>
    <s v="ISEL-1.59"/>
    <n v="1"/>
    <s v="NO TIENE L3OUT"/>
    <n v="102"/>
    <n v="96"/>
  </r>
  <r>
    <n v="411"/>
    <x v="1"/>
    <x v="271"/>
    <s v="eth1/59"/>
    <x v="0"/>
    <x v="0"/>
    <x v="0"/>
    <s v="TO-ITHFHPNBURBKP06-PRINCIPAL"/>
    <x v="6"/>
    <b v="0"/>
    <s v="No está en VPC"/>
    <n v="411"/>
    <s v="INTPG_ACC_411_1.59"/>
    <s v="ISEL-1.59"/>
    <n v="1"/>
    <s v="NO TIENE L3OUT"/>
    <n v="96"/>
    <n v="96"/>
  </r>
  <r>
    <n v="116"/>
    <x v="0"/>
    <x v="272"/>
    <s v="eth1/59"/>
    <x v="0"/>
    <x v="1"/>
    <x v="1"/>
    <s v="USSD TANGO"/>
    <x v="6"/>
    <b v="0"/>
    <s v="No está en VPC"/>
    <n v="116"/>
    <s v="INTPG_ACC_116_1.59"/>
    <s v="ISEL-1.59"/>
    <n v="1"/>
    <s v="NO TIENE L3OUT"/>
    <n v="148"/>
    <n v="96"/>
  </r>
  <r>
    <n v="412"/>
    <x v="1"/>
    <x v="273"/>
    <s v="eth1/59"/>
    <x v="0"/>
    <x v="0"/>
    <x v="0"/>
    <s v="ITHRTC62VC2X4"/>
    <x v="6"/>
    <b v="0"/>
    <s v="No está en VPC"/>
    <n v="412"/>
    <s v="INTPG_ACC_412_1.59"/>
    <s v="ISEL-1.59"/>
    <n v="1"/>
    <s v="NO TIENE L3OUT"/>
    <n v="126"/>
    <n v="96"/>
  </r>
  <r>
    <n v="120"/>
    <x v="0"/>
    <x v="274"/>
    <s v="eth1/59"/>
    <x v="0"/>
    <x v="0"/>
    <x v="0"/>
    <s v="TRAP"/>
    <x v="6"/>
    <b v="0"/>
    <s v="No está en VPC"/>
    <n v="120"/>
    <s v="INTPG_PC_120_1.58-61"/>
    <s v="ISEL-1.59"/>
    <n v="1"/>
    <s v="NO TIENE L3OUT"/>
    <n v="158"/>
    <n v="96"/>
  </r>
  <r>
    <n v="404"/>
    <x v="1"/>
    <x v="275"/>
    <s v="eth1/59"/>
    <x v="0"/>
    <x v="1"/>
    <x v="1"/>
    <s v="uxcompr1"/>
    <x v="6"/>
    <b v="0"/>
    <s v="No está en VPC"/>
    <n v="404"/>
    <s v="INTPG_ACC_404_1.59"/>
    <s v="ISEL-1.59"/>
    <n v="1"/>
    <s v="NO TIENE L3OUT"/>
    <n v="92"/>
    <n v="96"/>
  </r>
  <r>
    <n v="167"/>
    <x v="0"/>
    <x v="276"/>
    <s v="eth1/59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59"/>
    <x v="0"/>
    <x v="0"/>
    <x v="0"/>
    <s v="Ilo_ora02hpov_Primario"/>
    <x v="6"/>
    <b v="0"/>
    <s v="No está en VPC"/>
    <n v="428"/>
    <s v="INTPG_ACC_428_1.59"/>
    <s v="ISEL-1.59"/>
    <n v="1"/>
    <s v="NO TIENE L3OUT"/>
    <n v="102"/>
    <n v="96"/>
  </r>
  <r>
    <n v="128"/>
    <x v="0"/>
    <x v="0"/>
    <s v="eth1/6"/>
    <x v="0"/>
    <x v="0"/>
    <x v="0"/>
    <s v="HUECOS DC_S1"/>
    <x v="0"/>
    <b v="0"/>
    <s v="No está en VPC"/>
    <n v="128"/>
    <s v="INTPG_VPC_128_1.1-6_129_1.1-6"/>
    <s v="ISEL-1.6"/>
    <n v="1"/>
    <s v="NO TIENE L3OUT"/>
    <n v="0"/>
    <n v="54"/>
  </r>
  <r>
    <n v="123"/>
    <x v="0"/>
    <x v="1"/>
    <s v="eth1/6"/>
    <x v="0"/>
    <x v="0"/>
    <x v="0"/>
    <m/>
    <x v="1"/>
    <b v="0"/>
    <s v="No está en VPC"/>
    <n v="123"/>
    <s v="INTPG_ACC_123_1.6"/>
    <s v="ISEL-1.6"/>
    <n v="1"/>
    <s v="NO TIENE L3OUT"/>
    <n v="20"/>
    <n v="54"/>
  </r>
  <r>
    <n v="152"/>
    <x v="0"/>
    <x v="2"/>
    <s v="eth1/6"/>
    <x v="0"/>
    <x v="0"/>
    <x v="0"/>
    <s v="DASHBOARD_GESTION"/>
    <x v="1"/>
    <b v="0"/>
    <s v="No está en VPC"/>
    <n v="152"/>
    <s v="INTPG_ACC_152_1.6"/>
    <s v="ISEL-1.6"/>
    <n v="1"/>
    <s v="NO TIENE L3OUT"/>
    <n v="38"/>
    <n v="54"/>
  </r>
  <r>
    <n v="101"/>
    <x v="0"/>
    <x v="3"/>
    <s v="eth1/6"/>
    <x v="0"/>
    <x v="1"/>
    <x v="1"/>
    <s v="DESC"/>
    <x v="0"/>
    <b v="0"/>
    <s v="No está en VPC"/>
    <n v="101"/>
    <s v="INTPG_PC_101_1.2_6"/>
    <s v="ISEL-1.6"/>
    <n v="19"/>
    <s v="NO TIENE L3OUT"/>
    <n v="114"/>
    <n v="54"/>
  </r>
  <r>
    <n v="160"/>
    <x v="0"/>
    <x v="4"/>
    <s v="eth1/6"/>
    <x v="0"/>
    <x v="1"/>
    <x v="1"/>
    <s v="TRAP"/>
    <x v="1"/>
    <b v="0"/>
    <s v="No está en VPC"/>
    <n v="160"/>
    <s v="INTPG_PC_160_1.3-8"/>
    <s v="ISEL-1.6"/>
    <n v="12"/>
    <s v="NO TIENE L3OUT"/>
    <n v="68"/>
    <n v="54"/>
  </r>
  <r>
    <n v="121"/>
    <x v="0"/>
    <x v="5"/>
    <s v="eth1/6"/>
    <x v="1"/>
    <x v="1"/>
    <x v="2"/>
    <s v="TEMIP"/>
    <x v="1"/>
    <b v="0"/>
    <s v="No está en VPC"/>
    <n v="121"/>
    <s v="INTPG_ACC_121_1.6"/>
    <s v="ISEL-1.6"/>
    <n v="1"/>
    <s v="NO TIENE L3OUT"/>
    <n v="14"/>
    <n v="54"/>
  </r>
  <r>
    <n v="129"/>
    <x v="0"/>
    <x v="6"/>
    <s v="eth1/6"/>
    <x v="0"/>
    <x v="0"/>
    <x v="0"/>
    <s v="HUECOS DC_S1"/>
    <x v="0"/>
    <b v="0"/>
    <s v="No está en VPC"/>
    <n v="129"/>
    <s v="INTPG_VPC_128_1.1-6_129_1.1-6"/>
    <s v="ISEL-1.6"/>
    <n v="1"/>
    <s v="NO TIENE L3OUT"/>
    <n v="0"/>
    <n v="54"/>
  </r>
  <r>
    <n v="401"/>
    <x v="1"/>
    <x v="7"/>
    <s v="eth1/6"/>
    <x v="0"/>
    <x v="0"/>
    <x v="0"/>
    <s v="TO-ITHFDEORBIRBD01"/>
    <x v="0"/>
    <b v="0"/>
    <s v="No está en VPC"/>
    <n v="401"/>
    <s v="INTPG_VPC_401_1.6_402_1.6"/>
    <s v="ISEL-1.6"/>
    <n v="1"/>
    <s v="NO TIENE L3OUT"/>
    <n v="40"/>
    <n v="54"/>
  </r>
  <r>
    <n v="402"/>
    <x v="1"/>
    <x v="8"/>
    <s v="eth1/6"/>
    <x v="0"/>
    <x v="0"/>
    <x v="0"/>
    <s v="TO-ITHFDEORBIRBD01"/>
    <x v="0"/>
    <b v="0"/>
    <s v="No está en VPC"/>
    <n v="402"/>
    <s v="INTPG_VPC_401_1.6_402_1.6"/>
    <s v="ISEL-1.6"/>
    <n v="1"/>
    <s v="NO TIENE L3OUT"/>
    <n v="36"/>
    <n v="54"/>
  </r>
  <r>
    <n v="447"/>
    <x v="1"/>
    <x v="9"/>
    <s v="eth1/6"/>
    <x v="0"/>
    <x v="2"/>
    <x v="9"/>
    <m/>
    <x v="2"/>
    <b v="0"/>
    <s v="No está en VPC"/>
    <n v="447"/>
    <s v="INTPG_ACC_BRK_447_1.6"/>
    <s v="ISEL-1.6"/>
    <n v="0"/>
    <s v="NO TIENE L3OUT"/>
    <n v="16"/>
    <n v="42"/>
  </r>
  <r>
    <n v="445"/>
    <x v="1"/>
    <x v="10"/>
    <s v="eth1/6"/>
    <x v="0"/>
    <x v="2"/>
    <x v="9"/>
    <m/>
    <x v="2"/>
    <b v="0"/>
    <s v="No está en VPC"/>
    <n v="445"/>
    <s v="INTPG_ACC_BRK_445_1.6"/>
    <s v="ISEL-1.6"/>
    <n v="0"/>
    <s v="NO TIENE L3OUT"/>
    <n v="16"/>
    <n v="42"/>
  </r>
  <r>
    <n v="130"/>
    <x v="0"/>
    <x v="11"/>
    <s v="eth1/6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6"/>
    <x v="0"/>
    <x v="1"/>
    <x v="1"/>
    <s v="DESC"/>
    <x v="0"/>
    <b v="0"/>
    <s v="No está en VPC"/>
    <n v="150"/>
    <s v="INTPG_PC_150_1.2_6"/>
    <s v="ISEL-1.6"/>
    <n v="19"/>
    <s v="NO TIENE L3OUT"/>
    <n v="118"/>
    <n v="54"/>
  </r>
  <r>
    <n v="131"/>
    <x v="0"/>
    <x v="13"/>
    <s v="eth1/6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6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6"/>
    <x v="0"/>
    <x v="0"/>
    <x v="0"/>
    <s v="TO-ITHFHWCCEXEN01-CCEX BACKUP LAG 01_OCS_Transforma"/>
    <x v="2"/>
    <b v="0"/>
    <s v="No está en VPC"/>
    <n v="758"/>
    <s v="INTPG_VPC_758_1.6_759_1.6"/>
    <s v="ISEL-1.6"/>
    <n v="6"/>
    <s v="NO TIENE L3OUT"/>
    <n v="0"/>
    <n v="42"/>
  </r>
  <r>
    <n v="759"/>
    <x v="2"/>
    <x v="16"/>
    <s v="eth1/6"/>
    <x v="0"/>
    <x v="0"/>
    <x v="0"/>
    <s v="TO-ITHFHWCCEXEN01-CCEX BACKUP LAG 01_OCS_Transforma"/>
    <x v="2"/>
    <b v="0"/>
    <s v="No está en VPC"/>
    <n v="759"/>
    <s v="INTPG_VPC_758_1.6_759_1.6"/>
    <s v="ISEL-1.6"/>
    <n v="6"/>
    <s v="NO TIENE L3OUT"/>
    <n v="0"/>
    <n v="42"/>
  </r>
  <r>
    <n v="302"/>
    <x v="0"/>
    <x v="17"/>
    <s v="eth1/6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6"/>
    <x v="0"/>
    <x v="0"/>
    <x v="0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6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6"/>
    <x v="0"/>
    <x v="0"/>
    <x v="0"/>
    <s v="HUECOS DC_S2"/>
    <x v="0"/>
    <b v="0"/>
    <s v="No está en VPC"/>
    <n v="452"/>
    <s v="INTPG_VPC_450_1.1-6_452_1.1-6"/>
    <s v="ISEL-1.6"/>
    <n v="1"/>
    <s v="NO TIENE L3OUT"/>
    <n v="0"/>
    <n v="54"/>
  </r>
  <r>
    <n v="450"/>
    <x v="1"/>
    <x v="21"/>
    <s v="eth1/6"/>
    <x v="0"/>
    <x v="0"/>
    <x v="0"/>
    <s v="HUECOS DC_S2"/>
    <x v="0"/>
    <b v="0"/>
    <s v="No está en VPC"/>
    <n v="450"/>
    <s v="INTPG_VPC_450_1.1-6_452_1.1-6"/>
    <s v="ISEL-1.6"/>
    <n v="1"/>
    <s v="NO TIENE L3OUT"/>
    <n v="0"/>
    <n v="54"/>
  </r>
  <r>
    <n v="727"/>
    <x v="2"/>
    <x v="22"/>
    <s v="eth1/6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6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6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6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6"/>
    <x v="0"/>
    <x v="0"/>
    <x v="0"/>
    <s v="VBLOCK1"/>
    <x v="0"/>
    <b v="0"/>
    <s v="No está en VPC"/>
    <n v="431"/>
    <s v="INTPG_VPC_431_1.5-6_448_1.5-6"/>
    <s v="ISEL-1.6"/>
    <n v="10"/>
    <s v="NO TIENE L3OUT"/>
    <n v="46"/>
    <n v="54"/>
  </r>
  <r>
    <n v="433"/>
    <x v="1"/>
    <x v="27"/>
    <s v="eth1/6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6"/>
    <x v="0"/>
    <x v="0"/>
    <x v="0"/>
    <s v="FASE_1.5_REDKNEE_produccion_4_client_LAG"/>
    <x v="1"/>
    <b v="0"/>
    <s v="No está en VPC"/>
    <n v="429"/>
    <s v="INTPG_VPC_427_1.2-3_429_1.5-6"/>
    <s v="ISEL-1.6"/>
    <n v="2"/>
    <s v="NO TIENE L3OUT"/>
    <n v="8"/>
    <n v="54"/>
  </r>
  <r>
    <n v="432"/>
    <x v="1"/>
    <x v="29"/>
    <s v="eth1/6"/>
    <x v="0"/>
    <x v="0"/>
    <x v="0"/>
    <s v="SSO"/>
    <x v="1"/>
    <b v="0"/>
    <s v="No está en VPC"/>
    <n v="432"/>
    <s v="INTPG_ACC_432_1.6"/>
    <s v="ISEL-1.6"/>
    <n v="1"/>
    <s v="NO TIENE L3OUT"/>
    <n v="54"/>
    <n v="54"/>
  </r>
  <r>
    <n v="442"/>
    <x v="1"/>
    <x v="30"/>
    <s v="eth1/6"/>
    <x v="0"/>
    <x v="0"/>
    <x v="0"/>
    <s v="HUAWEI_CLOUD_FASE2_LAG3"/>
    <x v="1"/>
    <b v="0"/>
    <s v="No está en VPC"/>
    <n v="442"/>
    <s v="INTPG_VPC_440_1.6_8_442_1.6_8"/>
    <s v="ISEL-1.6"/>
    <n v="6"/>
    <s v="NO TIENE L3OUT"/>
    <n v="18"/>
    <n v="54"/>
  </r>
  <r>
    <n v="434"/>
    <x v="1"/>
    <x v="31"/>
    <s v="eth1/6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6"/>
    <x v="0"/>
    <x v="1"/>
    <x v="3"/>
    <s v="CEM:ITHCEMG2DAT03:LOM P3"/>
    <x v="0"/>
    <b v="0"/>
    <s v="No está en VPC"/>
    <n v="707"/>
    <s v="INTPG_ACC_707_1.6"/>
    <s v="ISEL-1.6"/>
    <n v="1"/>
    <s v="NO TIENE L3OUT"/>
    <n v="54"/>
    <n v="54"/>
  </r>
  <r>
    <n v="712"/>
    <x v="2"/>
    <x v="33"/>
    <s v="eth1/6"/>
    <x v="0"/>
    <x v="0"/>
    <x v="0"/>
    <s v="CEM:ITHCEMA2DAT03:LOM  P2"/>
    <x v="0"/>
    <b v="0"/>
    <s v="No está en VPC"/>
    <n v="712"/>
    <s v="INTPG_ACC_712_1.6"/>
    <s v="ISEL-1.6"/>
    <n v="1"/>
    <s v="NO TIENE L3OUT"/>
    <n v="32"/>
    <n v="54"/>
  </r>
  <r>
    <n v="719"/>
    <x v="2"/>
    <x v="34"/>
    <s v="eth1/6"/>
    <x v="0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6"/>
    <x v="0"/>
    <x v="0"/>
    <x v="0"/>
    <m/>
    <x v="0"/>
    <b v="0"/>
    <s v="No está en VPC"/>
    <n v="715"/>
    <s v="INTPG-VPC_HDD37_716_1.5_715_1.6"/>
    <s v="ISEL-1.6"/>
    <n v="1"/>
    <s v="NO TIENE L3OUT"/>
    <n v="0"/>
    <n v="54"/>
  </r>
  <r>
    <n v="427"/>
    <x v="1"/>
    <x v="36"/>
    <s v="eth1/6"/>
    <x v="0"/>
    <x v="0"/>
    <x v="0"/>
    <s v="RKN_1.5__2248_2.1_Prt_36_PRIMARIO"/>
    <x v="1"/>
    <b v="0"/>
    <s v="No está en VPC"/>
    <n v="427"/>
    <s v="INTPG_ACC_427_1.6"/>
    <s v="ISEL-1.6"/>
    <n v="2"/>
    <s v="NO TIENE L3OUT"/>
    <n v="10"/>
    <n v="54"/>
  </r>
  <r>
    <n v="711"/>
    <x v="2"/>
    <x v="37"/>
    <s v="eth1/6"/>
    <x v="0"/>
    <x v="1"/>
    <x v="5"/>
    <s v="CEM:ITHCEMD2DAT03:LOM  P2"/>
    <x v="0"/>
    <b v="0"/>
    <s v="No está en VPC"/>
    <n v="711"/>
    <s v="INTPG_VPC_710_1.5_711_1.6"/>
    <s v="ISEL-1.6"/>
    <n v="1"/>
    <s v="NO TIENE L3OUT"/>
    <n v="16"/>
    <n v="54"/>
  </r>
  <r>
    <n v="716"/>
    <x v="2"/>
    <x v="38"/>
    <s v="eth1/6"/>
    <x v="0"/>
    <x v="0"/>
    <x v="0"/>
    <m/>
    <x v="0"/>
    <b v="0"/>
    <s v="No está en VPC"/>
    <n v="716"/>
    <s v="INTPG-VPC_HDD46_715_1.5_716_1.6"/>
    <s v="ISEL-1.6"/>
    <n v="1"/>
    <s v="NO TIENE L3OUT"/>
    <n v="0"/>
    <n v="54"/>
  </r>
  <r>
    <n v="702"/>
    <x v="2"/>
    <x v="39"/>
    <s v="eth1/6"/>
    <x v="0"/>
    <x v="0"/>
    <x v="0"/>
    <m/>
    <x v="0"/>
    <b v="0"/>
    <s v="No está en VPC"/>
    <n v="702"/>
    <s v="INTPG_VPC_701_1.5_702_1.6"/>
    <s v="ISEL-1.6"/>
    <n v="1"/>
    <s v="NO TIENE L3OUT"/>
    <n v="0"/>
    <n v="54"/>
  </r>
  <r>
    <n v="435"/>
    <x v="1"/>
    <x v="40"/>
    <s v="eth1/6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6"/>
    <x v="0"/>
    <x v="0"/>
    <x v="0"/>
    <s v="TO-ITHFHPNBURBKP05"/>
    <x v="0"/>
    <b v="0"/>
    <s v="No está en VPC"/>
    <n v="446"/>
    <s v="INTPG_VPC_444_1.5_446_1.6"/>
    <s v="ISEL-1.6"/>
    <n v="1"/>
    <s v="NO TIENE L3OUT"/>
    <n v="198"/>
    <n v="54"/>
  </r>
  <r>
    <n v="444"/>
    <x v="1"/>
    <x v="42"/>
    <s v="eth1/6"/>
    <x v="0"/>
    <x v="0"/>
    <x v="0"/>
    <m/>
    <x v="0"/>
    <b v="0"/>
    <s v="No está en VPC"/>
    <n v="444"/>
    <s v="INTPG_ACC_444_1.6"/>
    <s v="ISEL-1.6"/>
    <n v="9"/>
    <s v="NO TIENE L3OUT"/>
    <n v="234"/>
    <n v="54"/>
  </r>
  <r>
    <n v="701"/>
    <x v="2"/>
    <x v="43"/>
    <s v="eth1/6"/>
    <x v="0"/>
    <x v="0"/>
    <x v="0"/>
    <m/>
    <x v="0"/>
    <b v="0"/>
    <s v="No está en VPC"/>
    <n v="701"/>
    <s v="INTPG_VPC_702_1.5_701_1.6"/>
    <s v="ISEL-1.6"/>
    <n v="1"/>
    <s v="NO TIENE L3OUT"/>
    <n v="0"/>
    <n v="54"/>
  </r>
  <r>
    <n v="440"/>
    <x v="1"/>
    <x v="44"/>
    <s v="eth1/6"/>
    <x v="0"/>
    <x v="0"/>
    <x v="0"/>
    <s v="HUAWEI_CLOUD_FASE2_LAG3"/>
    <x v="1"/>
    <b v="0"/>
    <s v="No está en VPC"/>
    <n v="440"/>
    <s v="INTPG_VPC_440_1.6_8_442_1.6_8"/>
    <s v="ISEL-1.6"/>
    <n v="6"/>
    <s v="NO TIENE L3OUT"/>
    <n v="22"/>
    <n v="54"/>
  </r>
  <r>
    <n v="448"/>
    <x v="1"/>
    <x v="45"/>
    <s v="eth1/6"/>
    <x v="0"/>
    <x v="0"/>
    <x v="0"/>
    <s v="VBLOCK1"/>
    <x v="0"/>
    <b v="0"/>
    <s v="No está en VPC"/>
    <n v="448"/>
    <s v="INTPG_VPC_431_1.5-6_448_1.5-6"/>
    <s v="ISEL-1.6"/>
    <n v="10"/>
    <s v="NO TIENE L3OUT"/>
    <n v="46"/>
    <n v="54"/>
  </r>
  <r>
    <n v="704"/>
    <x v="2"/>
    <x v="46"/>
    <s v="eth1/6"/>
    <x v="0"/>
    <x v="0"/>
    <x v="0"/>
    <m/>
    <x v="0"/>
    <b v="0"/>
    <s v="No está en VPC"/>
    <n v="704"/>
    <s v="INTPG_VPC_703_1.5_704_1.6"/>
    <s v="ISEL-1.6"/>
    <n v="1"/>
    <s v="NO TIENE L3OUT"/>
    <n v="0"/>
    <n v="54"/>
  </r>
  <r>
    <n v="729"/>
    <x v="2"/>
    <x v="47"/>
    <s v="eth1/6"/>
    <x v="0"/>
    <x v="0"/>
    <x v="0"/>
    <s v="eth-trunk-31"/>
    <x v="0"/>
    <b v="0"/>
    <s v="No está en VPC"/>
    <n v="729"/>
    <s v="INTPG_VPC_728_1.6-7_729_1.6-7"/>
    <s v="ISEL-1.6"/>
    <n v="9"/>
    <s v="NO TIENE L3OUT"/>
    <n v="4"/>
    <n v="54"/>
  </r>
  <r>
    <n v="728"/>
    <x v="2"/>
    <x v="48"/>
    <s v="eth1/6"/>
    <x v="0"/>
    <x v="0"/>
    <x v="0"/>
    <s v="eth-trunk-31"/>
    <x v="0"/>
    <b v="0"/>
    <s v="No está en VPC"/>
    <n v="728"/>
    <s v="INTPG_VPC_728_1.6-7_729_1.6-7"/>
    <s v="ISEL-1.6"/>
    <n v="9"/>
    <s v="NO TIENE L3OUT"/>
    <n v="2"/>
    <n v="54"/>
  </r>
  <r>
    <n v="456"/>
    <x v="1"/>
    <x v="49"/>
    <s v="eth1/6"/>
    <x v="0"/>
    <x v="0"/>
    <x v="0"/>
    <s v="HACIA_CSI-B-OSCP-F4-06_SECUNDARIO"/>
    <x v="4"/>
    <b v="0"/>
    <s v="No está en VPC"/>
    <n v="456"/>
    <s v="INTPG_VPC_454_1.6_456_1.6"/>
    <s v="ISEL-1.6"/>
    <n v="2"/>
    <s v="NO TIENE L3OUT"/>
    <n v="4"/>
    <n v="54"/>
  </r>
  <r>
    <n v="603"/>
    <x v="1"/>
    <x v="50"/>
    <s v="eth1/6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6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6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6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6"/>
    <x v="0"/>
    <x v="0"/>
    <x v="0"/>
    <m/>
    <x v="0"/>
    <b v="0"/>
    <s v="No está en VPC"/>
    <n v="722"/>
    <s v="INTPG-VPC_HDD118_723_1.5_722_1.6"/>
    <s v="ISEL-1.6"/>
    <n v="1"/>
    <s v="NO TIENE L3OUT"/>
    <n v="0"/>
    <n v="54"/>
  </r>
  <r>
    <n v="733"/>
    <x v="2"/>
    <x v="55"/>
    <s v="eth1/6"/>
    <x v="0"/>
    <x v="0"/>
    <x v="0"/>
    <s v="TO-TESTBED"/>
    <x v="0"/>
    <b v="0"/>
    <s v="No está en VPC"/>
    <n v="733"/>
    <s v="INTPG_VPC_732_1.6-7_733_1.6-7"/>
    <s v="ISEL-1.6"/>
    <n v="3"/>
    <s v="NO TIENE L3OUT"/>
    <n v="0"/>
    <n v="54"/>
  </r>
  <r>
    <n v="755"/>
    <x v="2"/>
    <x v="56"/>
    <s v="eth1/6"/>
    <x v="0"/>
    <x v="0"/>
    <x v="0"/>
    <s v="OSS F1:ithenmr06bl01nas1r9b:PCIe3 Slot 1/2"/>
    <x v="0"/>
    <b v="0"/>
    <s v="No está en VPC"/>
    <n v="755"/>
    <s v="INTPG_PC_755_1.3-6"/>
    <s v="ISEL-1.6"/>
    <n v="1"/>
    <s v="NO TIENE L3OUT"/>
    <n v="52"/>
    <n v="54"/>
  </r>
  <r>
    <n v="748"/>
    <x v="2"/>
    <x v="57"/>
    <s v="eth1/6"/>
    <x v="0"/>
    <x v="0"/>
    <x v="0"/>
    <s v="trunk14 Bes-Production"/>
    <x v="0"/>
    <b v="0"/>
    <s v="No está en VPC"/>
    <n v="748"/>
    <s v="INTPG_VPC_748_1.6_7_749_1.6_7"/>
    <s v="ISEL-1.6"/>
    <n v="6"/>
    <s v="NO TIENE L3OUT"/>
    <n v="2"/>
    <n v="54"/>
  </r>
  <r>
    <n v="756"/>
    <x v="2"/>
    <x v="58"/>
    <s v="eth1/6"/>
    <x v="0"/>
    <x v="0"/>
    <x v="0"/>
    <s v="OSS F1:ithenmr08bl03lms1r9a:PORT 2"/>
    <x v="0"/>
    <b v="0"/>
    <s v="No está en VPC"/>
    <n v="756"/>
    <s v="INTPG_ACC_756_1.6"/>
    <s v="ISEL-1.6"/>
    <n v="1"/>
    <s v="NO TIENE L3OUT"/>
    <n v="64"/>
    <n v="54"/>
  </r>
  <r>
    <n v="754"/>
    <x v="2"/>
    <x v="59"/>
    <s v="eth1/6"/>
    <x v="0"/>
    <x v="0"/>
    <x v="0"/>
    <s v="OSS F1:ithenmr04bl04ombsr9b:PORT 2"/>
    <x v="0"/>
    <b v="0"/>
    <s v="No está en VPC"/>
    <n v="754"/>
    <s v="INTPG_PC_754_1.5-8"/>
    <s v="ISEL-1.6"/>
    <n v="2"/>
    <s v="NO TIENE L3OUT"/>
    <n v="62"/>
    <n v="54"/>
  </r>
  <r>
    <n v="751"/>
    <x v="2"/>
    <x v="60"/>
    <s v="eth1/6"/>
    <x v="0"/>
    <x v="0"/>
    <x v="0"/>
    <s v="trunk18 Bes-Production"/>
    <x v="0"/>
    <b v="0"/>
    <s v="No está en VPC"/>
    <n v="751"/>
    <s v="INTPG_VPC_750_1.6_7_751_1.6_7"/>
    <s v="ISEL-1.6"/>
    <n v="5"/>
    <s v="NO TIENE L3OUT"/>
    <n v="0"/>
    <n v="54"/>
  </r>
  <r>
    <n v="769"/>
    <x v="2"/>
    <x v="61"/>
    <s v="eth1/6"/>
    <x v="0"/>
    <x v="0"/>
    <x v="0"/>
    <s v="Portchannel_6_R4A"/>
    <x v="0"/>
    <b v="0"/>
    <s v="No está en VPC"/>
    <n v="769"/>
    <s v="INTPG_PC_769_1.3-6"/>
    <s v="ISEL-1.6"/>
    <n v="1"/>
    <s v="NO TIENE L3OUT"/>
    <n v="60"/>
    <n v="54"/>
  </r>
  <r>
    <n v="742"/>
    <x v="2"/>
    <x v="62"/>
    <s v="eth1/6"/>
    <x v="0"/>
    <x v="1"/>
    <x v="1"/>
    <s v="CEM:ITHCEMB2DAT03:FLEXIO P1"/>
    <x v="5"/>
    <b v="0"/>
    <s v="No está en VPC"/>
    <n v="742"/>
    <s v="INTPG_ACC_742_1.6"/>
    <s v="ISEL-1.6"/>
    <n v="1"/>
    <s v="NO TIENE L3OUT"/>
    <n v="64"/>
    <n v="54"/>
  </r>
  <r>
    <n v="763"/>
    <x v="2"/>
    <x v="63"/>
    <s v="eth1/6"/>
    <x v="0"/>
    <x v="0"/>
    <x v="0"/>
    <s v="PAAS:ithhwoscopap006:LOM PORT 3"/>
    <x v="0"/>
    <b v="0"/>
    <s v="No está en VPC"/>
    <n v="763"/>
    <s v="INTPG_VPC_762_1.6_763_1.6"/>
    <s v="ISEL-1.6"/>
    <n v="15"/>
    <s v="NO TIENE L3OUT"/>
    <n v="2"/>
    <n v="54"/>
  </r>
  <r>
    <n v="766"/>
    <x v="2"/>
    <x v="64"/>
    <s v="eth1/6"/>
    <x v="0"/>
    <x v="0"/>
    <x v="0"/>
    <s v="Portchannel_3_R6B"/>
    <x v="0"/>
    <b v="0"/>
    <s v="No está en VPC"/>
    <n v="766"/>
    <s v="INTPG_PC_766_1.5-6"/>
    <s v="ISEL-1.6"/>
    <n v="8"/>
    <s v="NO TIENE L3OUT"/>
    <n v="58"/>
    <n v="54"/>
  </r>
  <r>
    <n v="760"/>
    <x v="2"/>
    <x v="65"/>
    <s v="eth1/6"/>
    <x v="0"/>
    <x v="1"/>
    <x v="1"/>
    <m/>
    <x v="0"/>
    <b v="0"/>
    <s v="No está en VPC"/>
    <n v="760"/>
    <s v="INTPG_VPC_760_1.5-8_761_1.5-8"/>
    <s v="ISEL-1.6"/>
    <n v="0"/>
    <s v="L3OUT-EXACLOUD"/>
    <n v="0"/>
    <n v="54"/>
  </r>
  <r>
    <n v="752"/>
    <x v="2"/>
    <x v="66"/>
    <s v="eth1/6"/>
    <x v="0"/>
    <x v="0"/>
    <x v="0"/>
    <s v="PAAS:ithhwoscopap004:Slot4.1"/>
    <x v="0"/>
    <b v="0"/>
    <s v="No está en VPC"/>
    <n v="752"/>
    <s v="INTPG_VPC_747_1.6_752_1.6"/>
    <s v="ISEL-1.6"/>
    <n v="25"/>
    <s v="NO TIENE L3OUT"/>
    <n v="0"/>
    <n v="54"/>
  </r>
  <r>
    <n v="765"/>
    <x v="2"/>
    <x v="67"/>
    <s v="eth1/6"/>
    <x v="0"/>
    <x v="0"/>
    <x v="0"/>
    <s v="OSS_ENM"/>
    <x v="0"/>
    <b v="0"/>
    <s v="No está en VPC"/>
    <n v="765"/>
    <s v="INTPG_ACC_765_1.6"/>
    <s v="ISEL-1.6"/>
    <n v="1"/>
    <s v="NO TIENE L3OUT"/>
    <n v="60"/>
    <n v="54"/>
  </r>
  <r>
    <n v="778"/>
    <x v="2"/>
    <x v="68"/>
    <s v="eth1/6"/>
    <x v="0"/>
    <x v="0"/>
    <x v="0"/>
    <s v="ENIQ F1:itheniqr07nas1r2:Slot 2/1"/>
    <x v="0"/>
    <b v="0"/>
    <s v="No está en VPC"/>
    <n v="778"/>
    <s v="INTPG_PC_778_1.3-6"/>
    <s v="ISEL-1.6"/>
    <n v="1"/>
    <s v="NO TIENE L3OUT"/>
    <n v="26"/>
    <n v="54"/>
  </r>
  <r>
    <n v="780"/>
    <x v="2"/>
    <x v="69"/>
    <s v="eth1/6"/>
    <x v="0"/>
    <x v="0"/>
    <x v="0"/>
    <s v="LACP_NAS1_ENIQ1"/>
    <x v="0"/>
    <b v="0"/>
    <s v="No está en VPC"/>
    <n v="780"/>
    <s v="INTPG_PC_780_1.3-6"/>
    <s v="ISEL-1.6"/>
    <n v="1"/>
    <s v="NO TIENE L3OUT"/>
    <n v="26"/>
    <n v="54"/>
  </r>
  <r>
    <n v="812"/>
    <x v="2"/>
    <x v="70"/>
    <s v="eth1/6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6"/>
    <x v="0"/>
    <x v="0"/>
    <x v="0"/>
    <s v="TO_ITHFHWDCIMLAP02_REDUNDANTE"/>
    <x v="0"/>
    <b v="0"/>
    <s v="No está en VPC"/>
    <n v="796"/>
    <s v="INTPG_ACC_796_1.4"/>
    <s v="ISEL-1.6"/>
    <n v="1"/>
    <s v="NO TIENE L3OUT"/>
    <n v="18"/>
    <n v="54"/>
  </r>
  <r>
    <n v="795"/>
    <x v="2"/>
    <x v="72"/>
    <s v="eth1/6"/>
    <x v="0"/>
    <x v="0"/>
    <x v="0"/>
    <s v="TO_ITHFHWDCIMLAP02_OCP2.1"/>
    <x v="0"/>
    <b v="0"/>
    <s v="No está en VPC"/>
    <n v="795"/>
    <s v="INTPG_ACC_795_1.4"/>
    <s v="ISEL-1.6"/>
    <n v="1"/>
    <s v="NO TIENE L3OUT"/>
    <n v="18"/>
    <n v="54"/>
  </r>
  <r>
    <n v="749"/>
    <x v="2"/>
    <x v="73"/>
    <s v="eth1/6"/>
    <x v="0"/>
    <x v="0"/>
    <x v="0"/>
    <s v="trunk14 Bes-Production"/>
    <x v="0"/>
    <b v="0"/>
    <s v="No está en VPC"/>
    <n v="749"/>
    <s v="INTPG_VPC_748_1.6_7_749_1.6_7"/>
    <s v="ISEL-1.6"/>
    <n v="6"/>
    <s v="NO TIENE L3OUT"/>
    <n v="4"/>
    <n v="54"/>
  </r>
  <r>
    <n v="824"/>
    <x v="2"/>
    <x v="74"/>
    <s v="eth1/6"/>
    <x v="0"/>
    <x v="0"/>
    <x v="0"/>
    <s v="LINK_TO_ITHHWD6K60012DKC01 /CtrlB_IOM0.P1 /Redundante"/>
    <x v="0"/>
    <b v="0"/>
    <s v="No está en VPC"/>
    <n v="824"/>
    <s v="INTPG_ACC_824_1.6"/>
    <s v="ISEL-1.6"/>
    <n v="1"/>
    <s v="NO TIENE L3OUT"/>
    <n v="70"/>
    <n v="54"/>
  </r>
  <r>
    <n v="819"/>
    <x v="2"/>
    <x v="75"/>
    <s v="eth1/6"/>
    <x v="0"/>
    <x v="0"/>
    <x v="0"/>
    <s v="LINK_TO_ITHHWD6K60012DKC01 /CtrlB_IOM0.P0 /Principal"/>
    <x v="0"/>
    <b v="0"/>
    <s v="No está en VPC"/>
    <n v="819"/>
    <s v="INTPG_ACC_819_1.6"/>
    <s v="ISEL-1.6"/>
    <n v="1"/>
    <s v="NO TIENE L3OUT"/>
    <n v="70"/>
    <n v="54"/>
  </r>
  <r>
    <n v="737"/>
    <x v="2"/>
    <x v="76"/>
    <s v="eth1/6"/>
    <x v="0"/>
    <x v="0"/>
    <x v="0"/>
    <s v="CEM:ITHCEME2DAT03:FLEXIO P1"/>
    <x v="5"/>
    <b v="0"/>
    <s v="No está en VPC"/>
    <n v="737"/>
    <s v="INTPG_ACC_737_1.6"/>
    <s v="ISEL-1.6"/>
    <n v="1"/>
    <s v="NO TIENE L3OUT"/>
    <n v="72"/>
    <n v="54"/>
  </r>
  <r>
    <n v="844"/>
    <x v="2"/>
    <x v="77"/>
    <s v="eth1/6"/>
    <x v="0"/>
    <x v="0"/>
    <x v="0"/>
    <s v="LINK_TO_ITHFHWCRMPLCN102 / Slot1.3_8 / Principal"/>
    <x v="0"/>
    <b v="0"/>
    <s v="No está en VPC"/>
    <n v="844"/>
    <s v="INTPG_ACC_844_1.6"/>
    <s v="ISEL-1.6"/>
    <n v="1"/>
    <s v="NO TIENE L3OUT"/>
    <n v="282"/>
    <n v="54"/>
  </r>
  <r>
    <n v="843"/>
    <x v="2"/>
    <x v="78"/>
    <s v="eth1/6"/>
    <x v="0"/>
    <x v="0"/>
    <x v="0"/>
    <s v="LINK_To_ITHFHWCBSPSUSBD23 / Slot7.1_4 / Redundante"/>
    <x v="0"/>
    <b v="0"/>
    <s v="No está en VPC"/>
    <n v="843"/>
    <s v="INTPG_VPC_838_1.6_843_1.6"/>
    <s v="ISEL-1.6"/>
    <n v="2"/>
    <s v="NO TIENE L3OUT"/>
    <n v="38"/>
    <n v="54"/>
  </r>
  <r>
    <n v="797"/>
    <x v="2"/>
    <x v="79"/>
    <s v="eth1/6"/>
    <x v="0"/>
    <x v="0"/>
    <x v="0"/>
    <s v="TO-HDPS_08-MSP"/>
    <x v="0"/>
    <b v="0"/>
    <s v="No está en VPC"/>
    <n v="797"/>
    <s v="INTPG_ACC_797_1.6"/>
    <s v="ISEL-1.6"/>
    <n v="1"/>
    <s v="NO TIENE L3OUT"/>
    <n v="48"/>
    <n v="54"/>
  </r>
  <r>
    <n v="839"/>
    <x v="2"/>
    <x v="80"/>
    <s v="eth1/6"/>
    <x v="0"/>
    <x v="0"/>
    <x v="0"/>
    <s v="LINK_TO_ITHFHWCBSPSHD44 / Slot7.3_6 / Redundante"/>
    <x v="0"/>
    <b v="0"/>
    <s v="No está en VPC"/>
    <n v="839"/>
    <s v="INTPG_VPC_834_1.6_839_1.6"/>
    <s v="ISEL-1.6"/>
    <n v="1"/>
    <s v="NO TIENE L3OUT"/>
    <n v="0"/>
    <n v="54"/>
  </r>
  <r>
    <n v="847"/>
    <x v="2"/>
    <x v="81"/>
    <s v="eth1/6"/>
    <x v="0"/>
    <x v="0"/>
    <x v="0"/>
    <s v="LINK_TO_ITHFHWCRMPSBDA06 / Slot1.3_6 / Principal"/>
    <x v="0"/>
    <b v="0"/>
    <s v="No está en VPC"/>
    <n v="847"/>
    <s v="INTPG_VPC_847_1.6_854_1.6"/>
    <s v="ISEL-1.6"/>
    <n v="1"/>
    <s v="NO TIENE L3OUT"/>
    <n v="204"/>
    <n v="54"/>
  </r>
  <r>
    <n v="848"/>
    <x v="2"/>
    <x v="82"/>
    <s v="eth1/6"/>
    <x v="0"/>
    <x v="0"/>
    <x v="0"/>
    <s v="LINK_TO_ITHFHWCRMPLCN156 / Slot7.2_14 / Redundante"/>
    <x v="0"/>
    <b v="0"/>
    <s v="No está en VPC"/>
    <n v="848"/>
    <s v="INTPG_ACC_848_1.6"/>
    <s v="ISEL-1.6"/>
    <n v="2"/>
    <s v="NO TIENE L3OUT"/>
    <n v="254"/>
    <n v="54"/>
  </r>
  <r>
    <n v="846"/>
    <x v="2"/>
    <x v="83"/>
    <s v="eth1/6"/>
    <x v="0"/>
    <x v="0"/>
    <x v="0"/>
    <s v="LINK_TO_ITHHWD6KV65100011DKC01 / CTMA_IOM0.P0_34 / Principal"/>
    <x v="0"/>
    <b v="0"/>
    <s v="No está en VPC"/>
    <n v="846"/>
    <s v="INTPG_ACC_846_1.6"/>
    <s v="ISEL-1.6"/>
    <n v="1"/>
    <s v="NO TIENE L3OUT"/>
    <n v="242"/>
    <n v="54"/>
  </r>
  <r>
    <n v="838"/>
    <x v="2"/>
    <x v="84"/>
    <s v="eth1/6"/>
    <x v="0"/>
    <x v="0"/>
    <x v="0"/>
    <s v="LINK_To_ITHFHWCBSPSUSBD23 / Slot1.1_4 / Principal"/>
    <x v="0"/>
    <b v="0"/>
    <s v="No está en VPC"/>
    <n v="838"/>
    <s v="INTPG_VPC_838_1.6_843_1.6"/>
    <s v="ISEL-1.6"/>
    <n v="2"/>
    <s v="NO TIENE L3OUT"/>
    <n v="38"/>
    <n v="54"/>
  </r>
  <r>
    <n v="849"/>
    <x v="2"/>
    <x v="85"/>
    <s v="eth1/6"/>
    <x v="0"/>
    <x v="0"/>
    <x v="0"/>
    <s v="LINK_TO_ITHFHWCRMPLCN136 / Slot7.2_6 / Redundante"/>
    <x v="0"/>
    <b v="0"/>
    <s v="No está en VPC"/>
    <n v="849"/>
    <s v="INTPG_ACC_849_1.6"/>
    <s v="ISEL-1.6"/>
    <n v="2"/>
    <s v="NO TIENE L3OUT"/>
    <n v="286"/>
    <n v="54"/>
  </r>
  <r>
    <n v="845"/>
    <x v="2"/>
    <x v="86"/>
    <s v="eth1/6"/>
    <x v="0"/>
    <x v="0"/>
    <x v="0"/>
    <s v="LINK_TO_ITHFHWCRMPSBDA07 / Slot1.1_4 / Principal"/>
    <x v="0"/>
    <b v="0"/>
    <s v="No está en VPC"/>
    <n v="845"/>
    <s v="INTPG_VPC_845_1.6_852_1.6"/>
    <s v="ISEL-1.6"/>
    <n v="6"/>
    <s v="NO TIENE L3OUT"/>
    <n v="258"/>
    <n v="54"/>
  </r>
  <r>
    <n v="873"/>
    <x v="2"/>
    <x v="87"/>
    <s v="eth1/6"/>
    <x v="0"/>
    <x v="0"/>
    <x v="0"/>
    <s v="TO_ITHFHWCRMDLCN55_Principal"/>
    <x v="0"/>
    <b v="0"/>
    <s v="No está en VPC"/>
    <n v="873"/>
    <s v="INTPG_ACC_873_1.6"/>
    <s v="ISEL-1.6"/>
    <n v="6"/>
    <s v="NO TIENE L3OUT"/>
    <n v="248"/>
    <n v="54"/>
  </r>
  <r>
    <n v="864"/>
    <x v="2"/>
    <x v="88"/>
    <s v="eth1/6"/>
    <x v="0"/>
    <x v="0"/>
    <x v="0"/>
    <s v="To_VPC_2DCBSD_HD32_3"/>
    <x v="0"/>
    <b v="0"/>
    <s v="No está en VPC"/>
    <n v="864"/>
    <s v="INTPG_VPC_859_1.6_864_1.6"/>
    <s v="ISEL-1.6"/>
    <n v="1"/>
    <s v="NO TIENE L3OUT"/>
    <n v="0"/>
    <n v="54"/>
  </r>
  <r>
    <n v="836"/>
    <x v="2"/>
    <x v="89"/>
    <s v="eth1/6"/>
    <x v="0"/>
    <x v="0"/>
    <x v="0"/>
    <s v="LINK_TO_ITHFHWCBSPSUSBD35 / Slot1.2_8 / Principal"/>
    <x v="0"/>
    <b v="0"/>
    <s v="No está en VPC"/>
    <n v="836"/>
    <s v="INTPG_VPC_836_1.6_841_1.6"/>
    <s v="ISEL-1.6"/>
    <n v="1"/>
    <s v="NO TIENE L3OUT"/>
    <n v="0"/>
    <n v="54"/>
  </r>
  <r>
    <n v="834"/>
    <x v="2"/>
    <x v="90"/>
    <s v="eth1/6"/>
    <x v="0"/>
    <x v="0"/>
    <x v="0"/>
    <s v="LINK_TO_ITHFHWCBSPSHD44 / Slot1.3_6 / Principal"/>
    <x v="0"/>
    <b v="0"/>
    <s v="No está en VPC"/>
    <n v="834"/>
    <s v="INTPG_VPC_834_1.6_839_1.6"/>
    <s v="ISEL-1.6"/>
    <n v="1"/>
    <s v="NO TIENE L3OUT"/>
    <n v="0"/>
    <n v="54"/>
  </r>
  <r>
    <n v="872"/>
    <x v="2"/>
    <x v="91"/>
    <s v="eth1/6"/>
    <x v="0"/>
    <x v="0"/>
    <x v="0"/>
    <s v="To_ITHFHWCRMDLCN71_Principal"/>
    <x v="0"/>
    <b v="0"/>
    <s v="No está en VPC"/>
    <n v="872"/>
    <s v="INTPG_ACC_872_1.6"/>
    <s v="ISEL-1.6"/>
    <n v="6"/>
    <s v="NO TIENE L3OUT"/>
    <n v="288"/>
    <n v="54"/>
  </r>
  <r>
    <n v="842"/>
    <x v="2"/>
    <x v="92"/>
    <s v="eth1/6"/>
    <x v="0"/>
    <x v="0"/>
    <x v="0"/>
    <s v="LINK_TO_ITHFHWCBSPSUSBD24 / Slot7.2_4 / Redundante"/>
    <x v="0"/>
    <b v="0"/>
    <s v="No está en VPC"/>
    <n v="842"/>
    <s v="INTPG_VPC_837_1.6_842_1.6"/>
    <s v="ISEL-1.6"/>
    <n v="1"/>
    <s v="NO TIENE L3OUT"/>
    <n v="8"/>
    <n v="54"/>
  </r>
  <r>
    <n v="828"/>
    <x v="2"/>
    <x v="93"/>
    <s v="eth1/6"/>
    <x v="0"/>
    <x v="0"/>
    <x v="0"/>
    <s v="LINK_TO_ITHFHWCBSDSWR33 /Slot4.2 /Principal"/>
    <x v="0"/>
    <b v="0"/>
    <s v="No está en VPC"/>
    <n v="828"/>
    <s v="INTPG_VPC_828_1.6_832_1.6"/>
    <s v="ISEL-1.6"/>
    <n v="1"/>
    <s v="NO TIENE L3OUT"/>
    <n v="192"/>
    <n v="54"/>
  </r>
  <r>
    <n v="870"/>
    <x v="2"/>
    <x v="94"/>
    <s v="eth1/6"/>
    <x v="0"/>
    <x v="0"/>
    <x v="0"/>
    <s v="TO_ITHFHWCRMDLCN55_Redundante"/>
    <x v="0"/>
    <b v="0"/>
    <s v="No está en VPC"/>
    <n v="870"/>
    <s v="INTPG_ACC_870_1.6"/>
    <s v="ISEL-1.6"/>
    <n v="6"/>
    <s v="NO TIENE L3OUT"/>
    <n v="248"/>
    <n v="54"/>
  </r>
  <r>
    <n v="866"/>
    <x v="2"/>
    <x v="95"/>
    <s v="eth1/6"/>
    <x v="0"/>
    <x v="0"/>
    <x v="0"/>
    <s v="To_ITHHWD6KV65100016DKC01_Redundante"/>
    <x v="0"/>
    <b v="0"/>
    <s v="No está en VPC"/>
    <n v="866"/>
    <s v="INTPG_ACC_866_1.6"/>
    <s v="ISEL-1.6"/>
    <n v="1"/>
    <s v="NO TIENE L3OUT"/>
    <n v="8"/>
    <n v="54"/>
  </r>
  <r>
    <n v="862"/>
    <x v="2"/>
    <x v="96"/>
    <s v="eth1/6"/>
    <x v="0"/>
    <x v="0"/>
    <x v="0"/>
    <s v="To_ITHHWD6KV65100013DKC01_Principal"/>
    <x v="0"/>
    <b v="0"/>
    <s v="No está en VPC"/>
    <n v="862"/>
    <s v="INTPG_ACC_862_1.6"/>
    <s v="ISEL-1.6"/>
    <n v="1"/>
    <s v="NO TIENE L3OUT"/>
    <n v="44"/>
    <n v="54"/>
  </r>
  <r>
    <n v="855"/>
    <x v="2"/>
    <x v="97"/>
    <s v="eth1/6"/>
    <x v="0"/>
    <x v="0"/>
    <x v="0"/>
    <s v="LINK_TO_ITHFHWCRMPLCN156 / Slot1.2_14 / Principal"/>
    <x v="0"/>
    <b v="0"/>
    <s v="No está en VPC"/>
    <n v="855"/>
    <s v="INTPG_ACC_855_1.6"/>
    <s v="ISEL-1.6"/>
    <n v="2"/>
    <s v="NO TIENE L3OUT"/>
    <n v="254"/>
    <n v="54"/>
  </r>
  <r>
    <n v="871"/>
    <x v="2"/>
    <x v="98"/>
    <s v="eth1/6"/>
    <x v="0"/>
    <x v="0"/>
    <x v="0"/>
    <s v="TO_ITHFHWCRMDLCN82_Principal"/>
    <x v="0"/>
    <b v="0"/>
    <s v="No está en VPC"/>
    <n v="871"/>
    <s v="INTPG_ACC_871_1.6"/>
    <s v="ISEL-1.6"/>
    <n v="1"/>
    <s v="NO TIENE L3OUT"/>
    <n v="246"/>
    <n v="54"/>
  </r>
  <r>
    <n v="841"/>
    <x v="2"/>
    <x v="99"/>
    <s v="eth1/6"/>
    <x v="0"/>
    <x v="0"/>
    <x v="0"/>
    <s v="LINK_TO_ITHFHWCBSPSUSBD35 / Slot7.2_8 / Redundante"/>
    <x v="0"/>
    <b v="0"/>
    <s v="No está en VPC"/>
    <n v="841"/>
    <s v="INTPG_VPC_836_1.6_841_1.6"/>
    <s v="ISEL-1.6"/>
    <n v="1"/>
    <s v="NO TIENE L3OUT"/>
    <n v="0"/>
    <n v="54"/>
  </r>
  <r>
    <n v="868"/>
    <x v="2"/>
    <x v="100"/>
    <s v="eth1/6"/>
    <x v="0"/>
    <x v="0"/>
    <x v="0"/>
    <s v="TO_ITHFHWCRMDLCN82_Redundante"/>
    <x v="0"/>
    <b v="0"/>
    <s v="No está en VPC"/>
    <n v="868"/>
    <s v="INTPG_ACC_868_1.6"/>
    <s v="ISEL-1.6"/>
    <n v="1"/>
    <s v="NO TIENE L3OUT"/>
    <n v="246"/>
    <n v="54"/>
  </r>
  <r>
    <n v="869"/>
    <x v="2"/>
    <x v="101"/>
    <s v="eth1/6"/>
    <x v="0"/>
    <x v="0"/>
    <x v="0"/>
    <s v="To_ITHFHWCRMDLCN71_Redundante"/>
    <x v="0"/>
    <b v="0"/>
    <s v="No está en VPC"/>
    <n v="869"/>
    <s v="INTPG_ACC_869_1.6"/>
    <s v="ISEL-1.6"/>
    <n v="6"/>
    <s v="NO TIENE L3OUT"/>
    <n v="288"/>
    <n v="54"/>
  </r>
  <r>
    <n v="861"/>
    <x v="2"/>
    <x v="102"/>
    <s v="eth1/6"/>
    <x v="0"/>
    <x v="0"/>
    <x v="0"/>
    <s v="To_ITHHWD6KV65100016DKC01_Principal"/>
    <x v="0"/>
    <b v="0"/>
    <s v="No está en VPC"/>
    <n v="861"/>
    <s v="INTPG_ACC_861_1.6"/>
    <s v="ISEL-1.6"/>
    <n v="1"/>
    <s v="NO TIENE L3OUT"/>
    <n v="8"/>
    <n v="54"/>
  </r>
  <r>
    <n v="874"/>
    <x v="2"/>
    <x v="103"/>
    <s v="eth1/6"/>
    <x v="0"/>
    <x v="0"/>
    <x v="0"/>
    <s v="LINK_TO_ITHFHWSEQLHDPS75 / Slot 5 PTO 1 / Redundante"/>
    <x v="4"/>
    <b v="0"/>
    <s v="No está en VPC"/>
    <n v="874"/>
    <s v="INTPG_ACC_874_1.6"/>
    <s v="ISEL-1.6"/>
    <n v="1"/>
    <s v="NO TIENE L3OUT"/>
    <n v="92"/>
    <n v="54"/>
  </r>
  <r>
    <n v="865"/>
    <x v="2"/>
    <x v="104"/>
    <s v="eth1/6"/>
    <x v="0"/>
    <x v="0"/>
    <x v="0"/>
    <s v="To_VPC_2DCBSD_WR53_3"/>
    <x v="0"/>
    <b v="0"/>
    <s v="No está en VPC"/>
    <n v="865"/>
    <s v="INTPG_VPC_860_1.6_865_1.6"/>
    <s v="ISEL-1.6"/>
    <n v="1"/>
    <s v="NO TIENE L3OUT"/>
    <n v="0"/>
    <n v="54"/>
  </r>
  <r>
    <n v="753"/>
    <x v="2"/>
    <x v="105"/>
    <s v="eth1/6"/>
    <x v="0"/>
    <x v="0"/>
    <x v="0"/>
    <s v="OSS F1:ithenmr03bl03lms1r9c:PORT 2"/>
    <x v="0"/>
    <b v="0"/>
    <s v="No está en VPC"/>
    <n v="753"/>
    <s v="INTPG_ACC_753_1.6"/>
    <s v="ISEL-1.6"/>
    <n v="1"/>
    <s v="NO TIENE L3OUT"/>
    <n v="62"/>
    <n v="54"/>
  </r>
  <r>
    <n v="708"/>
    <x v="2"/>
    <x v="106"/>
    <s v="eth1/6"/>
    <x v="0"/>
    <x v="1"/>
    <x v="5"/>
    <s v="CEM:ITHCEME2DAT03:LOM  P2"/>
    <x v="0"/>
    <b v="0"/>
    <s v="No está en VPC"/>
    <n v="708"/>
    <s v="INTPG_VPC_708_1.6_709_1.5"/>
    <s v="ISEL-1.6"/>
    <n v="1"/>
    <s v="NO TIENE L3OUT"/>
    <n v="0"/>
    <n v="54"/>
  </r>
  <r>
    <n v="710"/>
    <x v="2"/>
    <x v="107"/>
    <s v="eth1/6"/>
    <x v="0"/>
    <x v="0"/>
    <x v="0"/>
    <s v="CEM:ITHCEMC2DAT03:LOM  P2"/>
    <x v="0"/>
    <b v="0"/>
    <s v="No está en VPC"/>
    <n v="710"/>
    <s v="INTPG_ACC_710_1.6"/>
    <s v="ISEL-1.6"/>
    <n v="1"/>
    <s v="NO TIENE L3OUT"/>
    <n v="16"/>
    <n v="54"/>
  </r>
  <r>
    <n v="713"/>
    <x v="2"/>
    <x v="108"/>
    <s v="eth1/6"/>
    <x v="0"/>
    <x v="0"/>
    <x v="0"/>
    <s v="CEM:ITHCEMB2DAT03:LOM  P2"/>
    <x v="0"/>
    <b v="0"/>
    <s v="No está en VPC"/>
    <n v="713"/>
    <s v="INTPG_ACC_713_1.6"/>
    <s v="ISEL-1.6"/>
    <n v="1"/>
    <s v="NO TIENE L3OUT"/>
    <n v="32"/>
    <n v="54"/>
  </r>
  <r>
    <n v="735"/>
    <x v="2"/>
    <x v="109"/>
    <s v="eth1/6"/>
    <x v="0"/>
    <x v="1"/>
    <x v="1"/>
    <s v="CEM_HADOOP"/>
    <x v="5"/>
    <b v="0"/>
    <s v="No está en VPC"/>
    <n v="735"/>
    <s v="INTPG_ACC_735_1.6"/>
    <s v="ISEL-1.6"/>
    <n v="1"/>
    <s v="NO TIENE L3OUT"/>
    <n v="34"/>
    <n v="54"/>
  </r>
  <r>
    <n v="731"/>
    <x v="2"/>
    <x v="110"/>
    <s v="eth1/6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6"/>
    <x v="0"/>
    <x v="0"/>
    <x v="0"/>
    <m/>
    <x v="0"/>
    <b v="0"/>
    <s v="No está en VPC"/>
    <n v="703"/>
    <s v="INTPG_VPC_704_1.5_703_1.6"/>
    <s v="ISEL-1.6"/>
    <n v="1"/>
    <s v="NO TIENE L3OUT"/>
    <n v="2"/>
    <n v="54"/>
  </r>
  <r>
    <n v="706"/>
    <x v="2"/>
    <x v="112"/>
    <s v="eth1/6"/>
    <x v="0"/>
    <x v="0"/>
    <x v="0"/>
    <m/>
    <x v="0"/>
    <b v="0"/>
    <s v="No está en VPC"/>
    <n v="706"/>
    <s v="INTPG_VPC_705_1.5_706_1.6"/>
    <s v="ISEL-1.6"/>
    <n v="2"/>
    <s v="NO TIENE L3OUT"/>
    <n v="16"/>
    <n v="54"/>
  </r>
  <r>
    <n v="762"/>
    <x v="2"/>
    <x v="113"/>
    <s v="eth1/6"/>
    <x v="0"/>
    <x v="0"/>
    <x v="0"/>
    <s v="PAAS:ithhwoscopap006:FlexIO.1"/>
    <x v="0"/>
    <b v="0"/>
    <s v="No está en VPC"/>
    <n v="762"/>
    <s v="INTPG_VPC_762_1.6_763_1.6"/>
    <s v="ISEL-1.6"/>
    <n v="15"/>
    <s v="NO TIENE L3OUT"/>
    <n v="0"/>
    <n v="54"/>
  </r>
  <r>
    <n v="814"/>
    <x v="2"/>
    <x v="114"/>
    <s v="eth1/6"/>
    <x v="0"/>
    <x v="0"/>
    <x v="0"/>
    <s v="A_ITHHPGRLKEN06_Principal"/>
    <x v="2"/>
    <b v="0"/>
    <s v="No está en VPC"/>
    <n v="814"/>
    <s v="INTPG_VPC_814_1.6_815_1.6"/>
    <s v="ISEL-1.6"/>
    <n v="98"/>
    <s v="NO TIENE L3OUT"/>
    <n v="0"/>
    <n v="42"/>
  </r>
  <r>
    <n v="878"/>
    <x v="2"/>
    <x v="115"/>
    <s v="eth1/6"/>
    <x v="0"/>
    <x v="0"/>
    <x v="0"/>
    <s v="HACIA_CSI-B-OSCP-F4-10_PRIMARIO"/>
    <x v="4"/>
    <b v="0"/>
    <s v="No está en VPC"/>
    <n v="878"/>
    <s v="INTPG_VPC_878_1.6_879_1.6"/>
    <s v="ISEL-1.6"/>
    <n v="2"/>
    <s v="NO TIENE L3OUT"/>
    <n v="0"/>
    <n v="54"/>
  </r>
  <r>
    <n v="826"/>
    <x v="2"/>
    <x v="116"/>
    <s v="eth1/6"/>
    <x v="0"/>
    <x v="0"/>
    <x v="0"/>
    <s v="LINK_TO_ITHFHWCBSDSUSBD05 /Slot4.2 /Principal"/>
    <x v="0"/>
    <b v="0"/>
    <s v="No está en VPC"/>
    <n v="826"/>
    <s v="INTPG_VPC_826_1.6_830_1.6"/>
    <s v="ISEL-1.6"/>
    <n v="1"/>
    <s v="NO TIENE L3OUT"/>
    <n v="12"/>
    <n v="54"/>
  </r>
  <r>
    <n v="726"/>
    <x v="2"/>
    <x v="117"/>
    <s v="eth1/6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6"/>
    <x v="0"/>
    <x v="0"/>
    <x v="0"/>
    <s v="CEM:ITHCEMD2DAT03:FLEXIO P1"/>
    <x v="5"/>
    <b v="0"/>
    <s v="No está en VPC"/>
    <n v="740"/>
    <s v="INTPG_ACC_740_1.6"/>
    <s v="ISEL-1.6"/>
    <n v="1"/>
    <s v="NO TIENE L3OUT"/>
    <n v="72"/>
    <n v="54"/>
  </r>
  <r>
    <n v="705"/>
    <x v="2"/>
    <x v="119"/>
    <s v="eth1/6"/>
    <x v="0"/>
    <x v="0"/>
    <x v="0"/>
    <s v="ITHCEMA1DAT03-LOM-P2"/>
    <x v="0"/>
    <b v="0"/>
    <s v="No está en VPC"/>
    <n v="705"/>
    <s v="INTPG_ACC_705_1.6"/>
    <s v="ISEL-1.6"/>
    <n v="1"/>
    <s v="NO TIENE L3OUT"/>
    <n v="16"/>
    <n v="54"/>
  </r>
  <r>
    <n v="723"/>
    <x v="2"/>
    <x v="120"/>
    <s v="eth1/6"/>
    <x v="0"/>
    <x v="0"/>
    <x v="0"/>
    <m/>
    <x v="0"/>
    <b v="0"/>
    <s v="No está en VPC"/>
    <n v="723"/>
    <s v="INTPG-VPC_HDD131_722_1.5_723_1.6"/>
    <s v="ISEL-1.6"/>
    <n v="1"/>
    <s v="NO TIENE L3OUT"/>
    <n v="0"/>
    <n v="54"/>
  </r>
  <r>
    <n v="721"/>
    <x v="2"/>
    <x v="121"/>
    <s v="eth1/6"/>
    <x v="0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6"/>
    <x v="0"/>
    <x v="0"/>
    <x v="0"/>
    <s v="TO-ITHFHPMEDIRAP04"/>
    <x v="0"/>
    <b v="0"/>
    <s v="No está en VPC"/>
    <n v="788"/>
    <s v="INTPG_VPC_788_1.6_789_1.6"/>
    <s v="ISEL-1.6"/>
    <n v="1"/>
    <s v="NO TIENE L3OUT"/>
    <n v="4"/>
    <n v="54"/>
  </r>
  <r>
    <n v="732"/>
    <x v="2"/>
    <x v="123"/>
    <s v="eth1/6"/>
    <x v="0"/>
    <x v="0"/>
    <x v="0"/>
    <s v="TO-TESTBED"/>
    <x v="0"/>
    <b v="0"/>
    <s v="No está en VPC"/>
    <n v="732"/>
    <s v="INTPG_VPC_732_1.6-7_733_1.6-7"/>
    <s v="ISEL-1.6"/>
    <n v="3"/>
    <s v="NO TIENE L3OUT"/>
    <n v="0"/>
    <n v="54"/>
  </r>
  <r>
    <n v="720"/>
    <x v="2"/>
    <x v="124"/>
    <s v="eth1/6"/>
    <x v="0"/>
    <x v="0"/>
    <x v="0"/>
    <m/>
    <x v="0"/>
    <b v="0"/>
    <s v="No está en VPC"/>
    <n v="720"/>
    <s v="INTPG-VPC_HDD05_719_1.5_720_1.6"/>
    <s v="ISEL-1.6"/>
    <n v="1"/>
    <s v="NO TIENE L3OUT"/>
    <n v="0"/>
    <n v="54"/>
  </r>
  <r>
    <n v="709"/>
    <x v="2"/>
    <x v="125"/>
    <s v="eth1/6"/>
    <x v="0"/>
    <x v="1"/>
    <x v="5"/>
    <s v="CEM:ITHCEMF2DAT03:LOM  P2"/>
    <x v="0"/>
    <b v="0"/>
    <s v="No está en VPC"/>
    <n v="709"/>
    <s v="INTPG_VPC_708_1.5_709_1.6"/>
    <s v="ISEL-1.6"/>
    <n v="1"/>
    <s v="NO TIENE L3OUT"/>
    <n v="0"/>
    <n v="54"/>
  </r>
  <r>
    <n v="454"/>
    <x v="1"/>
    <x v="126"/>
    <s v="eth1/6"/>
    <x v="0"/>
    <x v="0"/>
    <x v="0"/>
    <s v="HACIA_CSI-B-OSCP-F4-06_PRIMARIO"/>
    <x v="4"/>
    <b v="0"/>
    <s v="No está en VPC"/>
    <n v="454"/>
    <s v="INTPG_VPC_454_1.6_456_1.6"/>
    <s v="ISEL-1.6"/>
    <n v="2"/>
    <s v="NO TIENE L3OUT"/>
    <n v="4"/>
    <n v="54"/>
  </r>
  <r>
    <n v="734"/>
    <x v="2"/>
    <x v="127"/>
    <s v="eth1/6"/>
    <x v="0"/>
    <x v="1"/>
    <x v="1"/>
    <s v="CEM:ITHCEMA1DAT03:FLEXIO P1"/>
    <x v="5"/>
    <b v="0"/>
    <s v="No está en VPC"/>
    <n v="734"/>
    <s v="INTPG_ACC_734_1.6"/>
    <s v="ISEL-1.6"/>
    <n v="1"/>
    <s v="NO TIENE L3OUT"/>
    <n v="32"/>
    <n v="54"/>
  </r>
  <r>
    <n v="815"/>
    <x v="2"/>
    <x v="128"/>
    <s v="eth1/6"/>
    <x v="0"/>
    <x v="0"/>
    <x v="0"/>
    <s v="A_ITHHPGRLKEN06_Redundante"/>
    <x v="2"/>
    <b v="0"/>
    <s v="No está en VPC"/>
    <n v="815"/>
    <s v="INTPG_VPC_814_1.6_815_1.6"/>
    <s v="ISEL-1.6"/>
    <n v="98"/>
    <s v="NO TIENE L3OUT"/>
    <n v="0"/>
    <n v="42"/>
  </r>
  <r>
    <n v="743"/>
    <x v="2"/>
    <x v="129"/>
    <s v="eth1/6"/>
    <x v="0"/>
    <x v="0"/>
    <x v="0"/>
    <s v="trunk22 Bes-Production"/>
    <x v="0"/>
    <b v="0"/>
    <s v="No está en VPC"/>
    <n v="743"/>
    <s v="INTPG_VPC_743_1.6_7_744_1.6_7"/>
    <s v="ISEL-1.6"/>
    <n v="5"/>
    <s v="NO TIENE L3OUT"/>
    <n v="4"/>
    <n v="54"/>
  </r>
  <r>
    <n v="718"/>
    <x v="2"/>
    <x v="130"/>
    <s v="eth1/6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6"/>
    <x v="0"/>
    <x v="0"/>
    <x v="0"/>
    <s v="trunk22 Bes-Production"/>
    <x v="0"/>
    <b v="0"/>
    <s v="No está en VPC"/>
    <n v="744"/>
    <s v="INTPG_VPC_743_1.6_7_744_1.6_7"/>
    <s v="ISEL-1.6"/>
    <n v="5"/>
    <s v="NO TIENE L3OUT"/>
    <n v="4"/>
    <n v="54"/>
  </r>
  <r>
    <n v="741"/>
    <x v="2"/>
    <x v="132"/>
    <s v="eth1/6"/>
    <x v="0"/>
    <x v="1"/>
    <x v="1"/>
    <s v="CEM:ITHCEMA2DAT03:FLEXIO P1"/>
    <x v="5"/>
    <b v="0"/>
    <s v="No está en VPC"/>
    <n v="741"/>
    <s v="INTPG_ACC_741_1.6"/>
    <s v="ISEL-1.6"/>
    <n v="1"/>
    <s v="NO TIENE L3OUT"/>
    <n v="62"/>
    <n v="54"/>
  </r>
  <r>
    <n v="787"/>
    <x v="2"/>
    <x v="133"/>
    <s v="eth1/6"/>
    <x v="0"/>
    <x v="0"/>
    <x v="0"/>
    <s v="ENIQ F2:itheniqr16bl01nas1r4a:Slot 2/1"/>
    <x v="0"/>
    <b v="0"/>
    <s v="No está en VPC"/>
    <n v="787"/>
    <s v="INTPG_PC_787_1.3-6"/>
    <s v="ISEL-1.6"/>
    <n v="1"/>
    <s v="NO TIENE L3OUT"/>
    <n v="26"/>
    <n v="54"/>
  </r>
  <r>
    <n v="750"/>
    <x v="2"/>
    <x v="134"/>
    <s v="eth1/6"/>
    <x v="0"/>
    <x v="0"/>
    <x v="0"/>
    <s v="trunk18 Bes-Production"/>
    <x v="0"/>
    <b v="0"/>
    <s v="No está en VPC"/>
    <n v="750"/>
    <s v="INTPG_VPC_750_1.6_7_751_1.6_7"/>
    <s v="ISEL-1.6"/>
    <n v="5"/>
    <s v="NO TIENE L3OUT"/>
    <n v="2"/>
    <n v="54"/>
  </r>
  <r>
    <n v="792"/>
    <x v="2"/>
    <x v="135"/>
    <s v="eth1/6"/>
    <x v="0"/>
    <x v="0"/>
    <x v="0"/>
    <s v="CRM, CBS:TB-R03-F03:E4-10GE 2"/>
    <x v="0"/>
    <b v="0"/>
    <s v="No está en VPC"/>
    <n v="792"/>
    <s v="INTPG_VPC_757_1.3_6_792_1.3_6"/>
    <s v="ISEL-1.6"/>
    <n v="9"/>
    <s v="NO TIENE L3OUT"/>
    <n v="0"/>
    <n v="54"/>
  </r>
  <r>
    <n v="736"/>
    <x v="2"/>
    <x v="136"/>
    <s v="eth1/6"/>
    <x v="0"/>
    <x v="1"/>
    <x v="3"/>
    <s v="CEM:ITHCEMG2DAT03:SLOT1 P1"/>
    <x v="0"/>
    <b v="0"/>
    <s v="No está en VPC"/>
    <n v="736"/>
    <s v="INTPG_ACC_736_1.6"/>
    <s v="ISEL-1.6"/>
    <n v="1"/>
    <s v="NO TIENE L3OUT"/>
    <n v="48"/>
    <n v="54"/>
  </r>
  <r>
    <n v="799"/>
    <x v="2"/>
    <x v="137"/>
    <s v="eth1/6"/>
    <x v="0"/>
    <x v="0"/>
    <x v="0"/>
    <s v="TO-IMC_PS20-MSP"/>
    <x v="0"/>
    <b v="0"/>
    <s v="No está en VPC"/>
    <n v="799"/>
    <s v="INTPG_ACC_799_1.6"/>
    <s v="ISEL-1.6"/>
    <n v="1"/>
    <s v="NO TIENE L3OUT"/>
    <n v="52"/>
    <n v="54"/>
  </r>
  <r>
    <n v="768"/>
    <x v="2"/>
    <x v="138"/>
    <s v="eth1/6"/>
    <x v="0"/>
    <x v="0"/>
    <x v="0"/>
    <s v="OSS_ENM"/>
    <x v="0"/>
    <b v="0"/>
    <s v="No está en VPC"/>
    <n v="768"/>
    <s v="INTPG_ACC_768_1.6"/>
    <s v="ISEL-1.6"/>
    <n v="1"/>
    <s v="NO TIENE L3OUT"/>
    <n v="62"/>
    <n v="54"/>
  </r>
  <r>
    <n v="714"/>
    <x v="2"/>
    <x v="139"/>
    <s v="eth1/6"/>
    <x v="0"/>
    <x v="0"/>
    <x v="0"/>
    <s v="TO-ITHFHWVRALCN08"/>
    <x v="0"/>
    <b v="0"/>
    <s v="No está en VPC"/>
    <n v="714"/>
    <s v="INTPG_VPC_714_1.6_721_1.5"/>
    <s v="ISEL-1.6"/>
    <n v="108"/>
    <s v="NO TIENE L3OUT"/>
    <n v="20"/>
    <n v="54"/>
  </r>
  <r>
    <n v="717"/>
    <x v="2"/>
    <x v="140"/>
    <s v="eth1/6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6"/>
    <x v="0"/>
    <x v="0"/>
    <x v="0"/>
    <s v="TO-ITHFHPMEDIRAP04"/>
    <x v="0"/>
    <b v="0"/>
    <s v="No está en VPC"/>
    <n v="789"/>
    <s v="INTPG_VPC_788_1.6_789_1.6"/>
    <s v="ISEL-1.6"/>
    <n v="1"/>
    <s v="NO TIENE L3OUT"/>
    <n v="0"/>
    <n v="54"/>
  </r>
  <r>
    <n v="764"/>
    <x v="2"/>
    <x v="142"/>
    <s v="eth1/6"/>
    <x v="0"/>
    <x v="0"/>
    <x v="0"/>
    <s v="OSS_ENM"/>
    <x v="0"/>
    <b v="0"/>
    <s v="No está en VPC"/>
    <n v="764"/>
    <s v="INTPG_ACC_764_1.6"/>
    <s v="ISEL-1.6"/>
    <n v="1"/>
    <s v="NO TIENE L3OUT"/>
    <n v="62"/>
    <n v="54"/>
  </r>
  <r>
    <n v="783"/>
    <x v="2"/>
    <x v="143"/>
    <s v="eth1/6"/>
    <x v="0"/>
    <x v="0"/>
    <x v="0"/>
    <s v="LACP_NAS1_ENIQ9A"/>
    <x v="0"/>
    <b v="0"/>
    <s v="No está en VPC"/>
    <n v="783"/>
    <s v="INTPG_PC_783_1.3-6"/>
    <s v="ISEL-1.6"/>
    <n v="1"/>
    <s v="NO TIENE L3OUT"/>
    <n v="26"/>
    <n v="54"/>
  </r>
  <r>
    <n v="774"/>
    <x v="2"/>
    <x v="144"/>
    <s v="eth1/6"/>
    <x v="0"/>
    <x v="0"/>
    <x v="0"/>
    <s v="CLOUD PASS PAYG F3:ITHHWOSCOPAP023:FLEX I/O P1"/>
    <x v="0"/>
    <b v="0"/>
    <s v="No está en VPC"/>
    <n v="774"/>
    <s v="INTPG_VPC_774_1.6_775_1.6"/>
    <s v="ISEL-1.6"/>
    <n v="23"/>
    <s v="NO TIENE L3OUT"/>
    <n v="0"/>
    <n v="54"/>
  </r>
  <r>
    <n v="773"/>
    <x v="2"/>
    <x v="145"/>
    <s v="eth1/6"/>
    <x v="0"/>
    <x v="0"/>
    <x v="0"/>
    <s v="Portchannel_7_R2"/>
    <x v="0"/>
    <b v="0"/>
    <s v="No está en VPC"/>
    <n v="773"/>
    <s v="INTPG_PC_773_1.3-6"/>
    <s v="ISEL-1.6"/>
    <n v="1"/>
    <s v="NO TIENE L3OUT"/>
    <n v="78"/>
    <n v="54"/>
  </r>
  <r>
    <n v="794"/>
    <x v="2"/>
    <x v="146"/>
    <s v="eth1/6"/>
    <x v="0"/>
    <x v="0"/>
    <x v="0"/>
    <s v="TO-IXTFDLBKP3RAP03-REDUNDANTE_POWEREDGE"/>
    <x v="0"/>
    <b v="0"/>
    <s v="No está en VPC"/>
    <n v="794"/>
    <s v="INTPG_ACC_794_1.6"/>
    <s v="ISEL-1.6"/>
    <n v="1"/>
    <s v="NO TIENE L3OUT"/>
    <n v="12"/>
    <n v="54"/>
  </r>
  <r>
    <n v="803"/>
    <x v="2"/>
    <x v="147"/>
    <s v="eth1/6"/>
    <x v="0"/>
    <x v="0"/>
    <x v="0"/>
    <s v="TO-HDPS_32-MSP"/>
    <x v="0"/>
    <b v="0"/>
    <s v="No está en VPC"/>
    <n v="803"/>
    <s v="INTPG_ACC_803_1.6"/>
    <s v="ISEL-1.6"/>
    <n v="1"/>
    <s v="NO TIENE L3OUT"/>
    <n v="48"/>
    <n v="54"/>
  </r>
  <r>
    <n v="786"/>
    <x v="2"/>
    <x v="148"/>
    <s v="eth1/6"/>
    <x v="0"/>
    <x v="0"/>
    <x v="0"/>
    <s v="ENIQ F2:itheniqr14bl01nas1r4b:Slot 2/1"/>
    <x v="0"/>
    <b v="0"/>
    <s v="No está en VPC"/>
    <n v="786"/>
    <s v="INTPG_PC_786_1.3-6"/>
    <s v="ISEL-1.6"/>
    <n v="1"/>
    <s v="NO TIENE L3OUT"/>
    <n v="26"/>
    <n v="54"/>
  </r>
  <r>
    <n v="757"/>
    <x v="2"/>
    <x v="149"/>
    <s v="eth1/6"/>
    <x v="0"/>
    <x v="1"/>
    <x v="1"/>
    <s v="CRM, CBS:ITHHWTBRK12CH1:E4-10GE 1"/>
    <x v="0"/>
    <b v="0"/>
    <s v="No está en VPC"/>
    <n v="757"/>
    <s v="INTPG_VPC_757_1.3_6_792_1.3_6"/>
    <s v="ISEL-1.6"/>
    <n v="9"/>
    <s v="NO TIENE L3OUT"/>
    <n v="0"/>
    <n v="54"/>
  </r>
  <r>
    <n v="781"/>
    <x v="2"/>
    <x v="150"/>
    <s v="eth1/6"/>
    <x v="0"/>
    <x v="0"/>
    <x v="0"/>
    <s v="LACP_NAS1_ENIQ9C"/>
    <x v="0"/>
    <b v="0"/>
    <s v="No está en VPC"/>
    <n v="781"/>
    <s v="INTPG_PC_781_1.3-6"/>
    <s v="ISEL-1.6"/>
    <n v="1"/>
    <s v="NO TIENE L3OUT"/>
    <n v="26"/>
    <n v="54"/>
  </r>
  <r>
    <n v="793"/>
    <x v="2"/>
    <x v="151"/>
    <s v="eth1/6"/>
    <x v="0"/>
    <x v="0"/>
    <x v="0"/>
    <s v="TO-IXTFDLBKP3RAP03-PRINCIPAL_POWEREDGE"/>
    <x v="0"/>
    <b v="0"/>
    <s v="No está en VPC"/>
    <n v="793"/>
    <s v="INTPG_ACC_793_1.6"/>
    <s v="ISEL-1.6"/>
    <n v="1"/>
    <s v="NO TIENE L3OUT"/>
    <n v="12"/>
    <n v="54"/>
  </r>
  <r>
    <n v="747"/>
    <x v="2"/>
    <x v="152"/>
    <s v="eth1/6"/>
    <x v="0"/>
    <x v="0"/>
    <x v="0"/>
    <s v="PAAS:ithhwoscopap006:LOM PORT 1"/>
    <x v="0"/>
    <b v="0"/>
    <s v="No está en VPC"/>
    <n v="747"/>
    <s v="INTPG_VPC_747_1.6_752_1.6"/>
    <s v="ISEL-1.6"/>
    <n v="25"/>
    <s v="NO TIENE L3OUT"/>
    <n v="0"/>
    <n v="54"/>
  </r>
  <r>
    <n v="784"/>
    <x v="2"/>
    <x v="153"/>
    <s v="eth1/6"/>
    <x v="0"/>
    <x v="0"/>
    <x v="0"/>
    <s v="ENIQ F2:itheniqr12bl01nas1r6b:Slot 2/1"/>
    <x v="0"/>
    <b v="0"/>
    <s v="No está en VPC"/>
    <n v="784"/>
    <s v="INTPG_PC_784_1.3-6"/>
    <s v="ISEL-1.6"/>
    <n v="1"/>
    <s v="NO TIENE L3OUT"/>
    <n v="26"/>
    <n v="54"/>
  </r>
  <r>
    <n v="806"/>
    <x v="2"/>
    <x v="154"/>
    <s v="eth1/6"/>
    <x v="0"/>
    <x v="0"/>
    <x v="0"/>
    <s v="TO-HDPS_56-MSP"/>
    <x v="0"/>
    <b v="0"/>
    <s v="No está en VPC"/>
    <n v="806"/>
    <s v="INTPG_ACC_806_1.6"/>
    <s v="ISEL-1.6"/>
    <n v="1"/>
    <s v="NO TIENE L3OUT"/>
    <n v="44"/>
    <n v="54"/>
  </r>
  <r>
    <n v="777"/>
    <x v="2"/>
    <x v="155"/>
    <s v="eth1/6"/>
    <x v="0"/>
    <x v="0"/>
    <x v="0"/>
    <s v="TO-ITHHWOSCOAP026"/>
    <x v="0"/>
    <b v="0"/>
    <s v="No está en VPC"/>
    <n v="777"/>
    <s v="INTPG_VPC_776_1.6_777_1.6"/>
    <s v="ISEL-1.6"/>
    <n v="1"/>
    <s v="NO TIENE L3OUT"/>
    <n v="0"/>
    <n v="54"/>
  </r>
  <r>
    <n v="770"/>
    <x v="2"/>
    <x v="156"/>
    <s v="eth1/6"/>
    <x v="0"/>
    <x v="0"/>
    <x v="0"/>
    <s v="Portchannel_3_R4A"/>
    <x v="0"/>
    <b v="0"/>
    <s v="No está en VPC"/>
    <n v="770"/>
    <s v="INTPG_PC_770_1.5-6"/>
    <s v="ISEL-1.6"/>
    <n v="8"/>
    <s v="NO TIENE L3OUT"/>
    <n v="60"/>
    <n v="54"/>
  </r>
  <r>
    <n v="813"/>
    <x v="2"/>
    <x v="157"/>
    <s v="eth1/6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6"/>
    <x v="0"/>
    <x v="1"/>
    <x v="1"/>
    <s v="CEM:ITHCEMC2DAT03:FLEXIO P1"/>
    <x v="5"/>
    <b v="0"/>
    <s v="No está en VPC"/>
    <n v="739"/>
    <s v="INTPG_ACC_739_1.6"/>
    <s v="ISEL-1.6"/>
    <n v="1"/>
    <s v="NO TIENE L3OUT"/>
    <n v="72"/>
    <n v="54"/>
  </r>
  <r>
    <n v="775"/>
    <x v="2"/>
    <x v="159"/>
    <s v="eth1/6"/>
    <x v="0"/>
    <x v="0"/>
    <x v="0"/>
    <s v="CLOUD PASS PAYG F3:ITHHWOSCOPAP023:LOM P3"/>
    <x v="0"/>
    <b v="0"/>
    <s v="No está en VPC"/>
    <n v="775"/>
    <s v="INTPG_VPC_774_1.6_775_1.6"/>
    <s v="ISEL-1.6"/>
    <n v="23"/>
    <s v="NO TIENE L3OUT"/>
    <n v="0"/>
    <n v="54"/>
  </r>
  <r>
    <n v="791"/>
    <x v="2"/>
    <x v="160"/>
    <s v="eth1/6"/>
    <x v="0"/>
    <x v="0"/>
    <x v="0"/>
    <s v="LINK_TO_ITHEMCPS5200TWPT3 / Nodo B IOM 1.1_05 / Redundante"/>
    <x v="0"/>
    <b v="0"/>
    <s v="No está en VPC"/>
    <n v="791"/>
    <s v="INTPG_ACC_791_1.6"/>
    <s v="ISEL-1.6"/>
    <n v="2"/>
    <s v="NO TIENE L3OUT"/>
    <n v="20"/>
    <n v="54"/>
  </r>
  <r>
    <n v="808"/>
    <x v="2"/>
    <x v="161"/>
    <s v="eth1/6"/>
    <x v="0"/>
    <x v="0"/>
    <x v="0"/>
    <s v="HUECOS DC_S3"/>
    <x v="0"/>
    <b v="0"/>
    <s v="No está en VPC"/>
    <n v="808"/>
    <s v="INTPG_VPC_808_1.1-6_809_1.1-6"/>
    <s v="ISEL-1.6"/>
    <n v="1"/>
    <s v="NO TIENE L3OUT"/>
    <n v="0"/>
    <n v="54"/>
  </r>
  <r>
    <n v="830"/>
    <x v="2"/>
    <x v="162"/>
    <s v="eth1/6"/>
    <x v="0"/>
    <x v="0"/>
    <x v="0"/>
    <s v="LINK_TO_ITHFHWCBSDSUSBD05 /Slot6.2 /Redundante"/>
    <x v="0"/>
    <b v="0"/>
    <s v="No está en VPC"/>
    <n v="830"/>
    <s v="INTPG_VPC_826_1.6_830_1.6"/>
    <s v="ISEL-1.6"/>
    <n v="1"/>
    <s v="NO TIENE L3OUT"/>
    <n v="12"/>
    <n v="54"/>
  </r>
  <r>
    <n v="821"/>
    <x v="2"/>
    <x v="163"/>
    <s v="eth1/6"/>
    <x v="0"/>
    <x v="0"/>
    <x v="0"/>
    <s v="LINK_TO_ITHFHWCBSPSUSBD09 /Slot6.2 /Redundante"/>
    <x v="0"/>
    <b v="0"/>
    <s v="No está en VPC"/>
    <n v="821"/>
    <s v="INTPG_VPC_816_1.6_821_1.6"/>
    <s v="ISEL-1.6"/>
    <n v="1"/>
    <s v="NO TIENE L3OUT"/>
    <n v="0"/>
    <n v="54"/>
  </r>
  <r>
    <n v="738"/>
    <x v="2"/>
    <x v="164"/>
    <s v="eth1/6"/>
    <x v="0"/>
    <x v="0"/>
    <x v="0"/>
    <s v="CEM:ITHCEMF2DAT03:FLEXIO P1"/>
    <x v="5"/>
    <b v="0"/>
    <s v="No está en VPC"/>
    <n v="738"/>
    <s v="INTPG_ACC_738_1.6"/>
    <s v="ISEL-1.6"/>
    <n v="1"/>
    <s v="NO TIENE L3OUT"/>
    <n v="72"/>
    <n v="54"/>
  </r>
  <r>
    <n v="820"/>
    <x v="2"/>
    <x v="165"/>
    <s v="eth1/6"/>
    <x v="0"/>
    <x v="0"/>
    <x v="0"/>
    <s v="LINK_TO_ITHHWCRMPEN02 /X2-10GE 2 /Redundante"/>
    <x v="0"/>
    <b v="0"/>
    <s v="No está en VPC"/>
    <n v="820"/>
    <s v="INTPG_VPC_820_1.6_9_825_1.6_9"/>
    <s v="ISEL-1.6"/>
    <n v="4"/>
    <s v="NO TIENE L3OUT"/>
    <n v="72"/>
    <n v="54"/>
  </r>
  <r>
    <n v="804"/>
    <x v="2"/>
    <x v="166"/>
    <s v="eth1/6"/>
    <x v="0"/>
    <x v="0"/>
    <x v="0"/>
    <s v="TO-HDPS_32-MSP"/>
    <x v="0"/>
    <b v="0"/>
    <s v="No está en VPC"/>
    <n v="804"/>
    <s v="INTPG_ACC_804_1.6"/>
    <s v="ISEL-1.6"/>
    <n v="1"/>
    <s v="NO TIENE L3OUT"/>
    <n v="48"/>
    <n v="54"/>
  </r>
  <r>
    <n v="779"/>
    <x v="2"/>
    <x v="167"/>
    <s v="eth1/6"/>
    <x v="0"/>
    <x v="0"/>
    <x v="0"/>
    <s v="ENIQ F1:itheniqr08nas1r3:Slot 2/1"/>
    <x v="0"/>
    <b v="0"/>
    <s v="No está en VPC"/>
    <n v="779"/>
    <s v="INTPG_PC_779_1.3-6"/>
    <s v="ISEL-1.6"/>
    <n v="1"/>
    <s v="NO TIENE L3OUT"/>
    <n v="30"/>
    <n v="54"/>
  </r>
  <r>
    <n v="767"/>
    <x v="2"/>
    <x v="168"/>
    <s v="eth1/6"/>
    <x v="0"/>
    <x v="0"/>
    <x v="0"/>
    <s v="Portchannel_6_R6B"/>
    <x v="0"/>
    <b v="0"/>
    <s v="No está en VPC"/>
    <n v="767"/>
    <s v="INTPG_PC_767_1.3-6"/>
    <s v="ISEL-1.6"/>
    <n v="1"/>
    <s v="NO TIENE L3OUT"/>
    <n v="60"/>
    <n v="54"/>
  </r>
  <r>
    <n v="827"/>
    <x v="2"/>
    <x v="169"/>
    <s v="eth1/6"/>
    <x v="0"/>
    <x v="0"/>
    <x v="0"/>
    <s v="LINK_TO_ITHHWD6KV60013DKC01 /CtrlB_IOM0.P0 /Principal"/>
    <x v="0"/>
    <b v="0"/>
    <s v="No está en VPC"/>
    <n v="827"/>
    <s v="INTPG_ACC_827_1.6"/>
    <s v="ISEL-1.6"/>
    <n v="1"/>
    <s v="NO TIENE L3OUT"/>
    <n v="14"/>
    <n v="54"/>
  </r>
  <r>
    <n v="809"/>
    <x v="2"/>
    <x v="170"/>
    <s v="eth1/6"/>
    <x v="0"/>
    <x v="0"/>
    <x v="0"/>
    <s v="HUECOS DC_S3"/>
    <x v="0"/>
    <b v="0"/>
    <s v="No está en VPC"/>
    <n v="809"/>
    <s v="INTPG_VPC_808_1.1-6_809_1.1-6"/>
    <s v="ISEL-1.6"/>
    <n v="1"/>
    <s v="NO TIENE L3OUT"/>
    <n v="0"/>
    <n v="54"/>
  </r>
  <r>
    <n v="771"/>
    <x v="2"/>
    <x v="171"/>
    <s v="eth1/6"/>
    <x v="0"/>
    <x v="0"/>
    <x v="0"/>
    <s v="OSS_ENM"/>
    <x v="0"/>
    <b v="0"/>
    <s v="No está en VPC"/>
    <n v="771"/>
    <s v="INTPG_ACC_771_1.6"/>
    <s v="ISEL-1.6"/>
    <n v="1"/>
    <s v="NO TIENE L3OUT"/>
    <n v="62"/>
    <n v="54"/>
  </r>
  <r>
    <n v="761"/>
    <x v="2"/>
    <x v="172"/>
    <s v="eth1/6"/>
    <x v="0"/>
    <x v="1"/>
    <x v="1"/>
    <m/>
    <x v="0"/>
    <b v="0"/>
    <s v="No está en VPC"/>
    <n v="761"/>
    <s v="INTPG_VPC_760_1.5-8_761_1.5-8"/>
    <s v="ISEL-1.6"/>
    <n v="0"/>
    <s v="L3OUT-EXACLOUD"/>
    <n v="0"/>
    <n v="54"/>
  </r>
  <r>
    <n v="776"/>
    <x v="2"/>
    <x v="173"/>
    <s v="eth1/6"/>
    <x v="0"/>
    <x v="0"/>
    <x v="0"/>
    <s v="TO-ITHHWOSCOAP026"/>
    <x v="0"/>
    <b v="0"/>
    <s v="No está en VPC"/>
    <n v="776"/>
    <s v="INTPG_VPC_776_1.6_777_1.6"/>
    <s v="ISEL-1.6"/>
    <n v="1"/>
    <s v="NO TIENE L3OUT"/>
    <n v="0"/>
    <n v="54"/>
  </r>
  <r>
    <n v="805"/>
    <x v="2"/>
    <x v="174"/>
    <s v="eth1/6"/>
    <x v="0"/>
    <x v="0"/>
    <x v="0"/>
    <s v="TO-HDPS_56-MSP"/>
    <x v="0"/>
    <b v="0"/>
    <s v="No está en VPC"/>
    <n v="805"/>
    <s v="INTPG_ACC_805_1.6"/>
    <s v="ISEL-1.6"/>
    <n v="1"/>
    <s v="NO TIENE L3OUT"/>
    <n v="44"/>
    <n v="54"/>
  </r>
  <r>
    <n v="772"/>
    <x v="2"/>
    <x v="175"/>
    <s v="eth1/6"/>
    <x v="0"/>
    <x v="0"/>
    <x v="0"/>
    <s v="OSS_ENM"/>
    <x v="0"/>
    <b v="0"/>
    <s v="No está en VPC"/>
    <n v="772"/>
    <s v="INTPG_ACC_772_1.6"/>
    <s v="ISEL-1.6"/>
    <n v="1"/>
    <s v="NO TIENE L3OUT"/>
    <n v="82"/>
    <n v="54"/>
  </r>
  <r>
    <n v="785"/>
    <x v="2"/>
    <x v="176"/>
    <s v="eth1/6"/>
    <x v="0"/>
    <x v="0"/>
    <x v="0"/>
    <s v="ENIQ F2:itheniqr13bl01nas1r6a:Slot 2/1"/>
    <x v="0"/>
    <b v="0"/>
    <s v="No está en VPC"/>
    <n v="785"/>
    <s v="INTPG_PC_785_1.3-6"/>
    <s v="ISEL-1.6"/>
    <n v="1"/>
    <s v="NO TIENE L3OUT"/>
    <n v="32"/>
    <n v="54"/>
  </r>
  <r>
    <n v="851"/>
    <x v="2"/>
    <x v="177"/>
    <s v="eth1/6"/>
    <x v="0"/>
    <x v="0"/>
    <x v="0"/>
    <s v="LINK_TO_ITHFHWCRMPLCN102 / Slot7.3_8 / Redundante"/>
    <x v="0"/>
    <b v="0"/>
    <s v="No está en VPC"/>
    <n v="851"/>
    <s v="INTPG_ACC_851_1.6"/>
    <s v="ISEL-1.6"/>
    <n v="1"/>
    <s v="NO TIENE L3OUT"/>
    <n v="282"/>
    <n v="54"/>
  </r>
  <r>
    <n v="798"/>
    <x v="2"/>
    <x v="178"/>
    <s v="eth1/6"/>
    <x v="0"/>
    <x v="0"/>
    <x v="0"/>
    <s v="TO-IMC_PS20-MSP"/>
    <x v="0"/>
    <b v="0"/>
    <s v="No está en VPC"/>
    <n v="798"/>
    <s v="INTPG_ACC_798_1.6"/>
    <s v="ISEL-1.6"/>
    <n v="1"/>
    <s v="NO TIENE L3OUT"/>
    <n v="52"/>
    <n v="54"/>
  </r>
  <r>
    <n v="782"/>
    <x v="2"/>
    <x v="179"/>
    <s v="eth1/6"/>
    <x v="0"/>
    <x v="0"/>
    <x v="0"/>
    <s v="LACP_NAS1_ENIQ9B"/>
    <x v="0"/>
    <b v="0"/>
    <s v="No está en VPC"/>
    <n v="782"/>
    <s v="INTPG_PC_782_1.3-6"/>
    <s v="ISEL-1.6"/>
    <n v="1"/>
    <s v="NO TIENE L3OUT"/>
    <n v="32"/>
    <n v="54"/>
  </r>
  <r>
    <n v="852"/>
    <x v="2"/>
    <x v="180"/>
    <s v="eth1/6"/>
    <x v="0"/>
    <x v="0"/>
    <x v="0"/>
    <s v="LINK_TO_ITHFHWCRMPSBDA07 / Slot7.1_4 / Redundante"/>
    <x v="0"/>
    <b v="0"/>
    <s v="No está en VPC"/>
    <n v="852"/>
    <s v="INTPG_VPC_845_1.6_852_1.6"/>
    <s v="ISEL-1.6"/>
    <n v="6"/>
    <s v="NO TIENE L3OUT"/>
    <n v="258"/>
    <n v="54"/>
  </r>
  <r>
    <n v="817"/>
    <x v="2"/>
    <x v="181"/>
    <s v="eth1/6"/>
    <x v="0"/>
    <x v="0"/>
    <x v="0"/>
    <s v="LINK_TO_ITHFHWCBSPSWR23 /Slot4.2 /Principal"/>
    <x v="0"/>
    <b v="0"/>
    <s v="No está en VPC"/>
    <n v="817"/>
    <s v="INTPG_VPC_817_1.6_822_1.6"/>
    <s v="ISEL-1.6"/>
    <n v="1"/>
    <s v="NO TIENE L3OUT"/>
    <n v="0"/>
    <n v="54"/>
  </r>
  <r>
    <n v="832"/>
    <x v="2"/>
    <x v="182"/>
    <s v="eth1/6"/>
    <x v="0"/>
    <x v="0"/>
    <x v="0"/>
    <s v="LINK_TO_ITHFHWCBSDSWR33 /Slot6.2 /Redundante"/>
    <x v="0"/>
    <b v="0"/>
    <s v="No está en VPC"/>
    <n v="832"/>
    <s v="INTPG_VPC_828_1.6_832_1.6"/>
    <s v="ISEL-1.6"/>
    <n v="1"/>
    <s v="NO TIENE L3OUT"/>
    <n v="192"/>
    <n v="54"/>
  </r>
  <r>
    <n v="816"/>
    <x v="2"/>
    <x v="183"/>
    <s v="eth1/6"/>
    <x v="0"/>
    <x v="0"/>
    <x v="0"/>
    <s v="LINK_TO_ITHFHWCBSPSUSBD09 /Slot4.2 /Principal"/>
    <x v="0"/>
    <b v="0"/>
    <s v="No está en VPC"/>
    <n v="816"/>
    <s v="INTPG_VPC_816_1.6_821_1.6"/>
    <s v="ISEL-1.6"/>
    <n v="1"/>
    <s v="NO TIENE L3OUT"/>
    <n v="0"/>
    <n v="54"/>
  </r>
  <r>
    <n v="825"/>
    <x v="2"/>
    <x v="184"/>
    <s v="eth1/6"/>
    <x v="0"/>
    <x v="0"/>
    <x v="0"/>
    <s v="LINK_TO_ITHHWCRMPEN02 /X2-10GE 1 /Principal"/>
    <x v="0"/>
    <b v="0"/>
    <s v="No está en VPC"/>
    <n v="825"/>
    <s v="INTPG_VPC_820_1.6_9_825_1.6_9"/>
    <s v="ISEL-1.6"/>
    <n v="4"/>
    <s v="NO TIENE L3OUT"/>
    <n v="72"/>
    <n v="54"/>
  </r>
  <r>
    <n v="800"/>
    <x v="2"/>
    <x v="185"/>
    <s v="eth1/6"/>
    <x v="0"/>
    <x v="0"/>
    <x v="0"/>
    <s v="TO-CEPS_02-MSP"/>
    <x v="0"/>
    <b v="0"/>
    <s v="No está en VPC"/>
    <n v="800"/>
    <s v="INTPG_ACC_800_1.6"/>
    <s v="ISEL-1.6"/>
    <n v="1"/>
    <s v="NO TIENE L3OUT"/>
    <n v="78"/>
    <n v="54"/>
  </r>
  <r>
    <n v="801"/>
    <x v="2"/>
    <x v="186"/>
    <s v="eth1/6"/>
    <x v="0"/>
    <x v="0"/>
    <x v="0"/>
    <s v="TO-CEPS_02-MSP"/>
    <x v="0"/>
    <b v="0"/>
    <s v="No está en VPC"/>
    <n v="801"/>
    <s v="INTPG_ACC_801_1.6"/>
    <s v="ISEL-1.6"/>
    <n v="1"/>
    <s v="NO TIENE L3OUT"/>
    <n v="78"/>
    <n v="54"/>
  </r>
  <r>
    <n v="823"/>
    <x v="2"/>
    <x v="187"/>
    <s v="eth1/6"/>
    <x v="0"/>
    <x v="0"/>
    <x v="0"/>
    <s v="LINK_TO_ITHFHWCBSPSWR31 /Slot6.2 /Redundante"/>
    <x v="0"/>
    <b v="0"/>
    <s v="No está en VPC"/>
    <n v="823"/>
    <s v="INTPG_VPC_818_1.6_823_1.6"/>
    <s v="ISEL-1.6"/>
    <n v="1"/>
    <s v="NO TIENE L3OUT"/>
    <n v="8"/>
    <n v="54"/>
  </r>
  <r>
    <n v="837"/>
    <x v="2"/>
    <x v="188"/>
    <s v="eth1/6"/>
    <x v="0"/>
    <x v="0"/>
    <x v="0"/>
    <s v="LINK_TO_ITHFHWCBSPSUSBD24 / Slot1.2_4 / Principal"/>
    <x v="0"/>
    <b v="0"/>
    <s v="No está en VPC"/>
    <n v="837"/>
    <s v="INTPG_VPC_837_1.6_842_1.6"/>
    <s v="ISEL-1.6"/>
    <n v="1"/>
    <s v="NO TIENE L3OUT"/>
    <n v="8"/>
    <n v="54"/>
  </r>
  <r>
    <n v="867"/>
    <x v="2"/>
    <x v="189"/>
    <s v="eth1/6"/>
    <x v="0"/>
    <x v="0"/>
    <x v="0"/>
    <s v="To_ITHHWD6KV65100013DKC01_Redundante"/>
    <x v="0"/>
    <b v="0"/>
    <s v="No está en VPC"/>
    <n v="867"/>
    <s v="INTPG_ACC_867_1.6"/>
    <s v="ISEL-1.6"/>
    <n v="1"/>
    <s v="NO TIENE L3OUT"/>
    <n v="44"/>
    <n v="54"/>
  </r>
  <r>
    <n v="829"/>
    <x v="2"/>
    <x v="190"/>
    <s v="eth1/6"/>
    <x v="0"/>
    <x v="0"/>
    <x v="0"/>
    <s v="LINK_TO_ITHFHWCRMDLCN29 /Slot6.2 /Redundante"/>
    <x v="0"/>
    <b v="0"/>
    <s v="No está en VPC"/>
    <n v="829"/>
    <s v="INTPG_ACC_829_1.6"/>
    <s v="ISEL-1.6"/>
    <n v="1"/>
    <s v="NO TIENE L3OUT"/>
    <n v="224"/>
    <n v="54"/>
  </r>
  <r>
    <n v="831"/>
    <x v="2"/>
    <x v="191"/>
    <s v="eth1/6"/>
    <x v="0"/>
    <x v="0"/>
    <x v="0"/>
    <s v="LINK_TO_ITHHWD6KV60013DKC01 /CtrlB_IOM0.P1 /Redundante"/>
    <x v="0"/>
    <b v="0"/>
    <s v="No está en VPC"/>
    <n v="831"/>
    <s v="INTPG_ACC_831_1.6"/>
    <s v="ISEL-1.6"/>
    <n v="1"/>
    <s v="NO TIENE L3OUT"/>
    <n v="14"/>
    <n v="54"/>
  </r>
  <r>
    <n v="802"/>
    <x v="2"/>
    <x v="192"/>
    <s v="eth1/6"/>
    <x v="0"/>
    <x v="0"/>
    <x v="0"/>
    <s v="TO-HDPS_08-MSP"/>
    <x v="0"/>
    <b v="0"/>
    <s v="No está en VPC"/>
    <n v="802"/>
    <s v="INTPG_ACC_802_1.6"/>
    <s v="ISEL-1.6"/>
    <n v="1"/>
    <s v="NO TIENE L3OUT"/>
    <n v="48"/>
    <n v="54"/>
  </r>
  <r>
    <n v="835"/>
    <x v="2"/>
    <x v="193"/>
    <s v="eth1/6"/>
    <x v="0"/>
    <x v="0"/>
    <x v="0"/>
    <s v="LINK_TO_ITHFHWCBSPSUSBD38 / Slot1.3_10 / Principal"/>
    <x v="0"/>
    <b v="0"/>
    <s v="No está en VPC"/>
    <n v="835"/>
    <s v="INTPG_VPC_835_1.6_840_1.6"/>
    <s v="ISEL-1.6"/>
    <n v="1"/>
    <s v="NO TIENE L3OUT"/>
    <n v="8"/>
    <n v="54"/>
  </r>
  <r>
    <n v="822"/>
    <x v="2"/>
    <x v="194"/>
    <s v="eth1/6"/>
    <x v="0"/>
    <x v="0"/>
    <x v="0"/>
    <s v="LINK_TO_ITHFHWCBSPSWR23 /Slot6.2 /Redundante"/>
    <x v="0"/>
    <b v="0"/>
    <s v="No está en VPC"/>
    <n v="822"/>
    <s v="INTPG_VPC_817_1.6_822_1.6"/>
    <s v="ISEL-1.6"/>
    <n v="1"/>
    <s v="NO TIENE L3OUT"/>
    <n v="0"/>
    <n v="54"/>
  </r>
  <r>
    <n v="854"/>
    <x v="2"/>
    <x v="195"/>
    <s v="eth1/6"/>
    <x v="0"/>
    <x v="0"/>
    <x v="0"/>
    <s v="LINK_TO_ITHFHWCRMPSBDA06 / Slot7.3_6 / Redundante"/>
    <x v="0"/>
    <b v="0"/>
    <s v="No está en VPC"/>
    <n v="854"/>
    <s v="INTPG_VPC_847_1.6_854_1.6"/>
    <s v="ISEL-1.6"/>
    <n v="1"/>
    <s v="NO TIENE L3OUT"/>
    <n v="204"/>
    <n v="54"/>
  </r>
  <r>
    <n v="858"/>
    <x v="2"/>
    <x v="196"/>
    <s v="eth1/6"/>
    <x v="0"/>
    <x v="0"/>
    <x v="0"/>
    <s v="To_VPC_2DCBSD_HD38_3"/>
    <x v="0"/>
    <b v="0"/>
    <s v="No está en VPC"/>
    <n v="858"/>
    <s v="INTPG_VPC_858_1.6_863_1.6"/>
    <s v="ISEL-1.6"/>
    <n v="1"/>
    <s v="NO TIENE L3OUT"/>
    <n v="8"/>
    <n v="54"/>
  </r>
  <r>
    <n v="857"/>
    <x v="2"/>
    <x v="197"/>
    <s v="eth1/6"/>
    <x v="0"/>
    <x v="0"/>
    <x v="0"/>
    <s v="LINK_TO_ITHFHWCRMPLCN152 / Slot1.2_38 / Principal"/>
    <x v="0"/>
    <b v="0"/>
    <s v="No está en VPC"/>
    <n v="857"/>
    <s v="INTPG_ACC_857_1.6"/>
    <s v="ISEL-1.6"/>
    <n v="2"/>
    <s v="NO TIENE L3OUT"/>
    <n v="288"/>
    <n v="54"/>
  </r>
  <r>
    <n v="859"/>
    <x v="2"/>
    <x v="198"/>
    <s v="eth1/6"/>
    <x v="0"/>
    <x v="0"/>
    <x v="0"/>
    <s v="To_VPC_2DCBSD_HD32_3"/>
    <x v="0"/>
    <b v="0"/>
    <s v="No está en VPC"/>
    <n v="859"/>
    <s v="INTPG_VPC_859_1.6_864_1.6"/>
    <s v="ISEL-1.6"/>
    <n v="1"/>
    <s v="NO TIENE L3OUT"/>
    <n v="0"/>
    <n v="54"/>
  </r>
  <r>
    <n v="833"/>
    <x v="2"/>
    <x v="199"/>
    <s v="eth1/6"/>
    <x v="0"/>
    <x v="0"/>
    <x v="0"/>
    <s v="LINK_TO_ITHFHWCRMDLCN29 /Slot4.2 /Principal"/>
    <x v="0"/>
    <b v="0"/>
    <s v="No está en VPC"/>
    <n v="833"/>
    <s v="INTPG_ACC_833_1.6"/>
    <s v="ISEL-1.6"/>
    <n v="1"/>
    <s v="NO TIENE L3OUT"/>
    <n v="224"/>
    <n v="54"/>
  </r>
  <r>
    <n v="818"/>
    <x v="2"/>
    <x v="200"/>
    <s v="eth1/6"/>
    <x v="0"/>
    <x v="0"/>
    <x v="0"/>
    <s v="LINK_TO_ITHFHWCBSPSWR31 /Slot4.2 /Principal"/>
    <x v="0"/>
    <b v="0"/>
    <s v="No está en VPC"/>
    <n v="818"/>
    <s v="INTPG_VPC_818_1.6_823_1.6"/>
    <s v="ISEL-1.6"/>
    <n v="1"/>
    <s v="NO TIENE L3OUT"/>
    <n v="8"/>
    <n v="54"/>
  </r>
  <r>
    <n v="850"/>
    <x v="2"/>
    <x v="201"/>
    <s v="eth1/6"/>
    <x v="0"/>
    <x v="0"/>
    <x v="0"/>
    <s v="LINK_TO_ITHFHWCRMPLCN152 / Slot7.2_38 / Redundante"/>
    <x v="0"/>
    <b v="0"/>
    <s v="No está en VPC"/>
    <n v="850"/>
    <s v="INTPG_ACC_850_1.6"/>
    <s v="ISEL-1.6"/>
    <n v="2"/>
    <s v="NO TIENE L3OUT"/>
    <n v="288"/>
    <n v="54"/>
  </r>
  <r>
    <n v="860"/>
    <x v="2"/>
    <x v="202"/>
    <s v="eth1/6"/>
    <x v="0"/>
    <x v="0"/>
    <x v="0"/>
    <s v="To_VPC_2DCBSD_WR53_3"/>
    <x v="0"/>
    <b v="0"/>
    <s v="No está en VPC"/>
    <n v="860"/>
    <s v="INTPG_VPC_860_1.6_865_1.6"/>
    <s v="ISEL-1.6"/>
    <n v="1"/>
    <s v="NO TIENE L3OUT"/>
    <n v="0"/>
    <n v="54"/>
  </r>
  <r>
    <n v="853"/>
    <x v="2"/>
    <x v="203"/>
    <s v="eth1/6"/>
    <x v="0"/>
    <x v="0"/>
    <x v="0"/>
    <s v="LINK_TO_ITHHWD6KV65100011DKC01 / CTMA_IOM0.P1_34 / Redundante"/>
    <x v="0"/>
    <b v="0"/>
    <s v="No está en VPC"/>
    <n v="853"/>
    <s v="INTPG_ACC_853_1.6"/>
    <s v="ISEL-1.6"/>
    <n v="1"/>
    <s v="NO TIENE L3OUT"/>
    <n v="242"/>
    <n v="54"/>
  </r>
  <r>
    <n v="790"/>
    <x v="2"/>
    <x v="204"/>
    <s v="eth1/6"/>
    <x v="0"/>
    <x v="0"/>
    <x v="0"/>
    <s v="LINK_TO_ITHEMCPS5200TWPT3 / Nodo B IOM 1.0_05 / Principal"/>
    <x v="0"/>
    <b v="0"/>
    <s v="No está en VPC"/>
    <n v="790"/>
    <s v="INTPG_ACC_790_1.6"/>
    <s v="ISEL-1.6"/>
    <n v="2"/>
    <s v="NO TIENE L3OUT"/>
    <n v="20"/>
    <n v="54"/>
  </r>
  <r>
    <n v="105"/>
    <x v="0"/>
    <x v="205"/>
    <s v="eth1/6"/>
    <x v="0"/>
    <x v="1"/>
    <x v="1"/>
    <s v="DESC"/>
    <x v="6"/>
    <b v="0"/>
    <s v="No está en VPC"/>
    <n v="105"/>
    <s v="INTPG_PC_105_1.6-12_38"/>
    <s v="ISEL-1.6"/>
    <n v="17"/>
    <s v="NO TIENE L3OUT"/>
    <n v="106"/>
    <n v="96"/>
  </r>
  <r>
    <n v="117"/>
    <x v="0"/>
    <x v="206"/>
    <s v="eth1/6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6"/>
    <x v="0"/>
    <x v="1"/>
    <x v="1"/>
    <s v="SFLDI"/>
    <x v="6"/>
    <b v="0"/>
    <s v="No está en VPC"/>
    <n v="104"/>
    <s v="INTPG_ACC_104_1.6"/>
    <s v="ISEL-1.6"/>
    <n v="1"/>
    <s v="NO TIENE L3OUT"/>
    <n v="194"/>
    <n v="96"/>
  </r>
  <r>
    <n v="158"/>
    <x v="0"/>
    <x v="208"/>
    <s v="eth1/6"/>
    <x v="1"/>
    <x v="1"/>
    <x v="2"/>
    <s v="RED CRICKET"/>
    <x v="6"/>
    <b v="0"/>
    <s v="No está en VPC"/>
    <n v="158"/>
    <s v="INTPG_ACC_158_1.6"/>
    <s v="ISEL-1.6"/>
    <n v="1"/>
    <s v="NO TIENE L3OUT"/>
    <n v="30"/>
    <n v="96"/>
  </r>
  <r>
    <n v="875"/>
    <x v="2"/>
    <x v="209"/>
    <s v="eth1/6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6"/>
    <x v="0"/>
    <x v="0"/>
    <x v="0"/>
    <s v="HACIA_CSI-B-OSCP-F4-10_PRIMARIO"/>
    <x v="4"/>
    <b v="0"/>
    <s v="No está en VPC"/>
    <n v="879"/>
    <s v="INTPG_VPC_878_1.6_879_1.6"/>
    <s v="ISEL-1.6"/>
    <n v="2"/>
    <s v="NO TIENE L3OUT"/>
    <n v="0"/>
    <n v="54"/>
  </r>
  <r>
    <n v="108"/>
    <x v="0"/>
    <x v="211"/>
    <s v="eth1/6"/>
    <x v="0"/>
    <x v="0"/>
    <x v="0"/>
    <s v="MEDIACION PREPAGO"/>
    <x v="6"/>
    <b v="0"/>
    <s v="No está en VPC"/>
    <n v="108"/>
    <s v="INTPG_ACC_108_1.6"/>
    <s v="ISEL-1.6"/>
    <n v="1"/>
    <s v="NO TIENE L3OUT"/>
    <n v="126"/>
    <n v="96"/>
  </r>
  <r>
    <n v="112"/>
    <x v="0"/>
    <x v="212"/>
    <s v="eth1/6"/>
    <x v="1"/>
    <x v="1"/>
    <x v="2"/>
    <s v="NPG_1"/>
    <x v="6"/>
    <b v="0"/>
    <s v="No está en VPC"/>
    <n v="112"/>
    <s v="INTPG_ACC_112_1.6"/>
    <s v="ISEL-1.6"/>
    <n v="1"/>
    <s v="NO TIENE L3OUT"/>
    <n v="144"/>
    <n v="96"/>
  </r>
  <r>
    <n v="107"/>
    <x v="0"/>
    <x v="213"/>
    <s v="eth1/6"/>
    <x v="0"/>
    <x v="0"/>
    <x v="0"/>
    <s v="OPEN VIEW BACK FASE2_1"/>
    <x v="6"/>
    <b v="0"/>
    <s v="No está en VPC"/>
    <n v="107"/>
    <s v="INTPG_ACC_107_1.6"/>
    <s v="ISEL-1.6"/>
    <n v="1"/>
    <s v="NO TIENE L3OUT"/>
    <n v="118"/>
    <n v="96"/>
  </r>
  <r>
    <n v="109"/>
    <x v="0"/>
    <x v="214"/>
    <s v="eth1/6"/>
    <x v="0"/>
    <x v="0"/>
    <x v="0"/>
    <m/>
    <x v="6"/>
    <b v="0"/>
    <s v="No está en VPC"/>
    <n v="109"/>
    <s v="INTPG_ACC_109_1.6"/>
    <s v="ISEL-1.6"/>
    <n v="1"/>
    <s v="NO TIENE L3OUT"/>
    <n v="126"/>
    <n v="96"/>
  </r>
  <r>
    <n v="113"/>
    <x v="0"/>
    <x v="215"/>
    <s v="eth1/6"/>
    <x v="0"/>
    <x v="0"/>
    <x v="0"/>
    <s v="sfecpp03"/>
    <x v="6"/>
    <b v="0"/>
    <s v="No está en VPC"/>
    <n v="113"/>
    <s v="INTPG_VPC_113_1.6_115_1.5"/>
    <s v="ISEL-1.6"/>
    <n v="1"/>
    <s v="NO TIENE L3OUT"/>
    <n v="52"/>
    <n v="96"/>
  </r>
  <r>
    <n v="114"/>
    <x v="0"/>
    <x v="216"/>
    <s v="eth1/6"/>
    <x v="0"/>
    <x v="1"/>
    <x v="1"/>
    <s v="NPG_2"/>
    <x v="6"/>
    <b v="0"/>
    <s v="No está en VPC"/>
    <n v="114"/>
    <s v="INTPG_ACC_114_1.6"/>
    <s v="ISEL-1.6"/>
    <n v="1"/>
    <s v="NO TIENE L3OUT"/>
    <n v="144"/>
    <n v="96"/>
  </r>
  <r>
    <n v="124"/>
    <x v="0"/>
    <x v="217"/>
    <s v="eth1/6"/>
    <x v="0"/>
    <x v="0"/>
    <x v="0"/>
    <s v="ENIQ"/>
    <x v="6"/>
    <b v="0"/>
    <s v="No está en VPC"/>
    <n v="124"/>
    <s v="INTPG_VPC_124_1.6_125_1.8"/>
    <s v="ISEL-1.6"/>
    <n v="10"/>
    <s v="NO TIENE L3OUT"/>
    <n v="80"/>
    <n v="96"/>
  </r>
  <r>
    <n v="118"/>
    <x v="0"/>
    <x v="218"/>
    <s v="eth1/6"/>
    <x v="1"/>
    <x v="1"/>
    <x v="2"/>
    <s v="COBROS NAVEGACION"/>
    <x v="6"/>
    <b v="0"/>
    <s v="No está en VPC"/>
    <n v="118"/>
    <s v="INTPG_ACC_118_1.6"/>
    <s v="ISEL-1.6"/>
    <n v="1"/>
    <s v="NO TIENE L3OUT"/>
    <n v="180"/>
    <n v="96"/>
  </r>
  <r>
    <n v="159"/>
    <x v="0"/>
    <x v="219"/>
    <s v="eth1/6"/>
    <x v="0"/>
    <x v="1"/>
    <x v="1"/>
    <s v="TRAP"/>
    <x v="6"/>
    <b v="0"/>
    <s v="No está en VPC"/>
    <n v="159"/>
    <s v="INTPG_PC_159_1.2-7"/>
    <s v="ISEL-1.6"/>
    <n v="12"/>
    <s v="NO TIENE L3OUT"/>
    <n v="72"/>
    <n v="96"/>
  </r>
  <r>
    <n v="840"/>
    <x v="2"/>
    <x v="220"/>
    <s v="eth1/6"/>
    <x v="0"/>
    <x v="0"/>
    <x v="0"/>
    <s v="LINK_TO_ITHFHWCBSPSUSBD38 / Slot7.3_10 / Redundante"/>
    <x v="0"/>
    <b v="0"/>
    <s v="No está en VPC"/>
    <n v="840"/>
    <s v="INTPG_VPC_835_1.6_840_1.6"/>
    <s v="ISEL-1.6"/>
    <n v="1"/>
    <s v="NO TIENE L3OUT"/>
    <n v="8"/>
    <n v="54"/>
  </r>
  <r>
    <n v="856"/>
    <x v="2"/>
    <x v="221"/>
    <s v="eth1/6"/>
    <x v="0"/>
    <x v="0"/>
    <x v="0"/>
    <s v="LINK_TO_ITHFHWCRMPLCN136 / Slot1.2_6 / Principal"/>
    <x v="0"/>
    <b v="0"/>
    <s v="No está en VPC"/>
    <n v="856"/>
    <s v="INTPG_ACC_856_1.6"/>
    <s v="ISEL-1.6"/>
    <n v="2"/>
    <s v="NO TIENE L3OUT"/>
    <n v="286"/>
    <n v="54"/>
  </r>
  <r>
    <n v="110"/>
    <x v="0"/>
    <x v="222"/>
    <s v="eth1/6"/>
    <x v="0"/>
    <x v="1"/>
    <x v="1"/>
    <s v="OCUDR_1"/>
    <x v="6"/>
    <b v="0"/>
    <s v="No está en VPC"/>
    <n v="110"/>
    <s v="INTPG_ACC_110_1.6"/>
    <s v="ISEL-1.6"/>
    <n v="1"/>
    <s v="NO TIENE L3OUT"/>
    <n v="102"/>
    <n v="96"/>
  </r>
  <r>
    <n v="163"/>
    <x v="0"/>
    <x v="223"/>
    <s v="eth1/6"/>
    <x v="0"/>
    <x v="0"/>
    <x v="0"/>
    <m/>
    <x v="6"/>
    <b v="0"/>
    <s v="No está en VPC"/>
    <n v="163"/>
    <s v="INTPG_PC_163_1.2-6"/>
    <s v="ISEL-1.6"/>
    <n v="1"/>
    <s v="NO TIENE L3OUT"/>
    <n v="140"/>
    <n v="96"/>
  </r>
  <r>
    <n v="407"/>
    <x v="1"/>
    <x v="224"/>
    <s v="eth1/6"/>
    <x v="0"/>
    <x v="0"/>
    <x v="0"/>
    <s v="RLR2ARI05"/>
    <x v="6"/>
    <b v="0"/>
    <s v="No está en VPC"/>
    <n v="407"/>
    <s v="INTPG_ACC_407_1.6"/>
    <s v="ISEL-1.6"/>
    <n v="1"/>
    <s v="NO TIENE L3OUT"/>
    <n v="122"/>
    <n v="96"/>
  </r>
  <r>
    <n v="171"/>
    <x v="0"/>
    <x v="225"/>
    <s v="eth1/6"/>
    <x v="0"/>
    <x v="1"/>
    <x v="1"/>
    <s v="OSS_3G_12_2_DATOS"/>
    <x v="6"/>
    <b v="0"/>
    <s v="No está en VPC"/>
    <n v="171"/>
    <s v="INTPG_VPC_171_1.6_17_172_1.6_15"/>
    <s v="ISEL-1.6"/>
    <n v="5"/>
    <s v="NO TIENE L3OUT"/>
    <n v="114"/>
    <n v="96"/>
  </r>
  <r>
    <n v="421"/>
    <x v="1"/>
    <x v="226"/>
    <s v="eth1/6"/>
    <x v="0"/>
    <x v="0"/>
    <x v="0"/>
    <s v="DESC"/>
    <x v="6"/>
    <b v="0"/>
    <s v="No está en VPC"/>
    <n v="421"/>
    <s v="INTPG_PC_421_5-6"/>
    <s v="ISEL-1.6"/>
    <n v="1"/>
    <s v="NO TIENE L3OUT"/>
    <n v="72"/>
    <n v="96"/>
  </r>
  <r>
    <n v="173"/>
    <x v="0"/>
    <x v="227"/>
    <s v="eth1/6"/>
    <x v="0"/>
    <x v="0"/>
    <x v="0"/>
    <s v="ENIQ"/>
    <x v="6"/>
    <b v="0"/>
    <s v="No está en VPC"/>
    <n v="173"/>
    <s v="INTPG_ACC_173_1.6"/>
    <s v="ISEL-1.6"/>
    <n v="1"/>
    <s v="NO TIENE L3OUT"/>
    <n v="66"/>
    <n v="96"/>
  </r>
  <r>
    <n v="154"/>
    <x v="0"/>
    <x v="228"/>
    <s v="eth1/6"/>
    <x v="0"/>
    <x v="1"/>
    <x v="1"/>
    <m/>
    <x v="6"/>
    <b v="0"/>
    <s v="No está en VPC"/>
    <n v="154"/>
    <s v="INTPG_ACC_154_1.6"/>
    <s v="ISEL-1.6"/>
    <n v="1"/>
    <s v="NO TIENE L3OUT"/>
    <n v="62"/>
    <n v="96"/>
  </r>
  <r>
    <n v="172"/>
    <x v="0"/>
    <x v="229"/>
    <s v="eth1/6"/>
    <x v="0"/>
    <x v="1"/>
    <x v="1"/>
    <s v="OSS_3G_12_2_DATOS"/>
    <x v="6"/>
    <b v="0"/>
    <s v="No está en VPC"/>
    <n v="172"/>
    <s v="INTPG_VPC_171_1.6_17_172_1.6_15"/>
    <s v="ISEL-1.6"/>
    <n v="5"/>
    <s v="NO TIENE L3OUT"/>
    <n v="104"/>
    <n v="96"/>
  </r>
  <r>
    <n v="420"/>
    <x v="1"/>
    <x v="230"/>
    <s v="eth1/6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6"/>
    <x v="0"/>
    <x v="0"/>
    <x v="0"/>
    <s v="ITHPA01_ILO_IPMP-Activa"/>
    <x v="6"/>
    <b v="0"/>
    <s v="No está en VPC"/>
    <n v="423"/>
    <s v="INTPG_ACC_423_1.6"/>
    <s v="ISEL-1.6"/>
    <n v="1"/>
    <s v="NO TIENE L3OUT"/>
    <n v="86"/>
    <n v="96"/>
  </r>
  <r>
    <n v="415"/>
    <x v="1"/>
    <x v="232"/>
    <s v="eth1/6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6"/>
    <x v="0"/>
    <x v="1"/>
    <x v="1"/>
    <s v="SFLDI:RLDIBI101:1"/>
    <x v="6"/>
    <b v="0"/>
    <s v="No está en VPC"/>
    <n v="102"/>
    <s v="INTPG_ACC_102_1.6"/>
    <s v="ISEL-1.6"/>
    <n v="1"/>
    <s v="NO TIENE L3OUT"/>
    <n v="228"/>
    <n v="96"/>
  </r>
  <r>
    <n v="863"/>
    <x v="2"/>
    <x v="234"/>
    <s v="eth1/6"/>
    <x v="0"/>
    <x v="0"/>
    <x v="0"/>
    <s v="To_VPC_2DCBSD_HD38_3"/>
    <x v="0"/>
    <b v="0"/>
    <s v="No está en VPC"/>
    <n v="863"/>
    <s v="INTPG_VPC_858_1.6_863_1.6"/>
    <s v="ISEL-1.6"/>
    <n v="1"/>
    <s v="NO TIENE L3OUT"/>
    <n v="8"/>
    <n v="54"/>
  </r>
  <r>
    <n v="876"/>
    <x v="2"/>
    <x v="235"/>
    <s v="eth1/6"/>
    <x v="0"/>
    <x v="0"/>
    <x v="0"/>
    <s v="LINK_TO_ITHFHWSEQLHDPS75 / Slot 4 PTO 1 / Principal"/>
    <x v="4"/>
    <b v="0"/>
    <s v="No está en VPC"/>
    <n v="876"/>
    <s v="INTPG_ACC_876_1.6"/>
    <s v="ISEL-1.6"/>
    <n v="1"/>
    <s v="NO TIENE L3OUT"/>
    <n v="92"/>
    <n v="54"/>
  </r>
  <r>
    <n v="877"/>
    <x v="2"/>
    <x v="236"/>
    <s v="eth1/6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6"/>
    <x v="0"/>
    <x v="0"/>
    <x v="0"/>
    <s v="DESC"/>
    <x v="6"/>
    <b v="0"/>
    <s v="No está en VPC"/>
    <n v="122"/>
    <s v="INTPG_PC_122_1.4-8"/>
    <s v="ISEL-1.6"/>
    <n v="1"/>
    <s v="NO TIENE L3OUT"/>
    <n v="148"/>
    <n v="96"/>
  </r>
  <r>
    <n v="157"/>
    <x v="0"/>
    <x v="238"/>
    <s v="eth1/6"/>
    <x v="0"/>
    <x v="1"/>
    <x v="1"/>
    <s v="COBROS NAVEGACION"/>
    <x v="6"/>
    <b v="0"/>
    <s v="No está en VPC"/>
    <n v="157"/>
    <s v="INTPG_ACC_157_1.6"/>
    <s v="ISEL-1.6"/>
    <n v="1"/>
    <s v="NO TIENE L3OUT"/>
    <n v="202"/>
    <n v="96"/>
  </r>
  <r>
    <n v="408"/>
    <x v="1"/>
    <x v="239"/>
    <s v="eth1/6"/>
    <x v="0"/>
    <x v="1"/>
    <x v="1"/>
    <s v="Suspend4"/>
    <x v="6"/>
    <b v="0"/>
    <s v="No está en VPC"/>
    <n v="408"/>
    <s v="INTPG_ACC_408_1.6"/>
    <s v="ISEL-1.6"/>
    <n v="1"/>
    <s v="NO TIENE L3OUT"/>
    <n v="152"/>
    <n v="96"/>
  </r>
  <r>
    <n v="405"/>
    <x v="1"/>
    <x v="240"/>
    <s v="eth1/6"/>
    <x v="0"/>
    <x v="0"/>
    <x v="0"/>
    <s v="IXT_ARIESO4_LDR6"/>
    <x v="6"/>
    <b v="0"/>
    <s v="No está en VPC"/>
    <n v="405"/>
    <s v="INTPG_ACC_405_1.6"/>
    <s v="ISEL-1.6"/>
    <n v="1"/>
    <s v="NO TIENE L3OUT"/>
    <n v="138"/>
    <n v="96"/>
  </r>
  <r>
    <n v="169"/>
    <x v="0"/>
    <x v="241"/>
    <s v="eth1/6"/>
    <x v="0"/>
    <x v="0"/>
    <x v="0"/>
    <s v="LINKDOWN_HACIA_UCS_9UCS-GEO-IXTLA-SERV1"/>
    <x v="6"/>
    <b v="0"/>
    <s v="No está en VPC"/>
    <n v="169"/>
    <s v="INTPG_ACC_169_1.6"/>
    <s v="ISEL-1.6"/>
    <n v="1"/>
    <s v="NO TIENE L3OUT"/>
    <n v="76"/>
    <n v="96"/>
  </r>
  <r>
    <n v="165"/>
    <x v="0"/>
    <x v="242"/>
    <s v="eth1/6"/>
    <x v="0"/>
    <x v="1"/>
    <x v="1"/>
    <s v="Nomina"/>
    <x v="6"/>
    <b v="0"/>
    <s v="No está en VPC"/>
    <n v="165"/>
    <s v="INTPG_ACC_165_1.6"/>
    <s v="ISEL-1.6"/>
    <n v="1"/>
    <s v="NO TIENE L3OUT"/>
    <n v="86"/>
    <n v="96"/>
  </r>
  <r>
    <n v="417"/>
    <x v="1"/>
    <x v="243"/>
    <s v="eth1/6"/>
    <x v="0"/>
    <x v="0"/>
    <x v="0"/>
    <s v="ixtnnmcol01"/>
    <x v="6"/>
    <b v="0"/>
    <s v="No está en VPC"/>
    <n v="417"/>
    <s v="INTPG_ACC_417_1.6"/>
    <s v="ISEL-1.6"/>
    <n v="1"/>
    <s v="NO TIENE L3OUT"/>
    <n v="56"/>
    <n v="96"/>
  </r>
  <r>
    <n v="153"/>
    <x v="0"/>
    <x v="244"/>
    <s v="eth1/6"/>
    <x v="0"/>
    <x v="0"/>
    <x v="0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6"/>
    <x v="0"/>
    <x v="0"/>
    <x v="0"/>
    <s v="RLBAC"/>
    <x v="6"/>
    <b v="0"/>
    <s v="No está en VPC"/>
    <n v="119"/>
    <s v="INTPG_ACC_119_1.6"/>
    <s v="ISEL-1.6"/>
    <n v="1"/>
    <s v="NO TIENE L3OUT"/>
    <n v="70"/>
    <n v="96"/>
  </r>
  <r>
    <n v="156"/>
    <x v="0"/>
    <x v="246"/>
    <s v="eth1/6"/>
    <x v="1"/>
    <x v="1"/>
    <x v="2"/>
    <s v="RED CRICKET"/>
    <x v="6"/>
    <b v="0"/>
    <s v="No está en VPC"/>
    <n v="156"/>
    <s v="INTPG_ACC_156_1.6"/>
    <s v="ISEL-1.6"/>
    <n v="1"/>
    <s v="NO TIENE L3OUT"/>
    <n v="40"/>
    <n v="96"/>
  </r>
  <r>
    <n v="103"/>
    <x v="0"/>
    <x v="247"/>
    <s v="eth1/6"/>
    <x v="1"/>
    <x v="1"/>
    <x v="2"/>
    <s v="ROAMING_ENCLOSURE:SFROAP01:VC2-2"/>
    <x v="6"/>
    <b v="0"/>
    <s v="No está en VPC"/>
    <n v="103"/>
    <s v="INTPG_PC_103_5_6_41"/>
    <s v="ISEL-1.6"/>
    <n v="2"/>
    <s v="NO TIENE L3OUT"/>
    <n v="70"/>
    <n v="96"/>
  </r>
  <r>
    <n v="438"/>
    <x v="1"/>
    <x v="248"/>
    <s v="eth1/6"/>
    <x v="0"/>
    <x v="0"/>
    <x v="0"/>
    <s v="uxdomaine"/>
    <x v="6"/>
    <b v="0"/>
    <s v="No está en VPC"/>
    <n v="438"/>
    <s v="INTPG_ACC_438_1.6"/>
    <s v="ISEL-1.6"/>
    <n v="1"/>
    <s v="NO TIENE L3OUT"/>
    <n v="170"/>
    <n v="96"/>
  </r>
  <r>
    <n v="406"/>
    <x v="1"/>
    <x v="249"/>
    <s v="eth1/6"/>
    <x v="0"/>
    <x v="0"/>
    <x v="0"/>
    <s v="DESC"/>
    <x v="6"/>
    <b v="0"/>
    <s v="No está en VPC"/>
    <n v="406"/>
    <s v="INTPG_PC_406_1.5-6"/>
    <s v="ISEL-1.6"/>
    <n v="1"/>
    <s v="NO TIENE L3OUT"/>
    <n v="82"/>
    <n v="96"/>
  </r>
  <r>
    <n v="414"/>
    <x v="1"/>
    <x v="250"/>
    <s v="eth1/6"/>
    <x v="0"/>
    <x v="0"/>
    <x v="0"/>
    <s v="9UCS-IXTLA-WEBEX-SERV1"/>
    <x v="6"/>
    <b v="0"/>
    <s v="No está en VPC"/>
    <n v="414"/>
    <s v="INTPG_ACC_414_1.6"/>
    <s v="ISEL-1.6"/>
    <n v="1"/>
    <s v="NO TIENE L3OUT"/>
    <n v="144"/>
    <n v="96"/>
  </r>
  <r>
    <n v="416"/>
    <x v="1"/>
    <x v="251"/>
    <s v="eth1/6"/>
    <x v="0"/>
    <x v="0"/>
    <x v="0"/>
    <s v="sfmedp40-MEDVOZ_CLIENT4"/>
    <x v="6"/>
    <b v="0"/>
    <s v="No está en VPC"/>
    <n v="416"/>
    <s v="INTPG_VPC_416_1.6_418_1.6"/>
    <s v="ISEL-1.6"/>
    <n v="1"/>
    <s v="NO TIENE L3OUT"/>
    <n v="110"/>
    <n v="96"/>
  </r>
  <r>
    <n v="418"/>
    <x v="1"/>
    <x v="252"/>
    <s v="eth1/6"/>
    <x v="0"/>
    <x v="0"/>
    <x v="0"/>
    <s v="sfmedp40-MEDVOZ_CLIENT4"/>
    <x v="6"/>
    <b v="0"/>
    <s v="No está en VPC"/>
    <n v="418"/>
    <s v="INTPG_VPC_416_1.6_418_1.6"/>
    <s v="ISEL-1.6"/>
    <n v="1"/>
    <s v="NO TIENE L3OUT"/>
    <n v="152"/>
    <n v="96"/>
  </r>
  <r>
    <n v="413"/>
    <x v="1"/>
    <x v="253"/>
    <s v="eth1/6"/>
    <x v="0"/>
    <x v="0"/>
    <x v="0"/>
    <s v="DESC"/>
    <x v="6"/>
    <b v="0"/>
    <s v="No está en VPC"/>
    <n v="413"/>
    <s v="INTPG_PC_413_1.5-8"/>
    <s v="ISEL-1.6"/>
    <n v="1"/>
    <s v="NO TIENE L3OUT"/>
    <n v="126"/>
    <n v="96"/>
  </r>
  <r>
    <n v="403"/>
    <x v="1"/>
    <x v="254"/>
    <s v="eth1/6"/>
    <x v="0"/>
    <x v="0"/>
    <x v="0"/>
    <s v="IXT_ARIESO4_LDR6"/>
    <x v="6"/>
    <b v="0"/>
    <s v="No está en VPC"/>
    <n v="403"/>
    <s v="INTPG_ACC_403_1.6"/>
    <s v="ISEL-1.6"/>
    <n v="1"/>
    <s v="NO TIENE L3OUT"/>
    <n v="150"/>
    <n v="96"/>
  </r>
  <r>
    <n v="125"/>
    <x v="0"/>
    <x v="255"/>
    <s v="eth1/6"/>
    <x v="0"/>
    <x v="0"/>
    <x v="0"/>
    <s v="GSM_ENIQ_MEX_R9"/>
    <x v="6"/>
    <b v="0"/>
    <s v="No está en VPC"/>
    <n v="125"/>
    <s v="INTPG_VPC_124_1.5_125_1.6"/>
    <s v="ISEL-1.6"/>
    <n v="10"/>
    <s v="NO TIENE L3OUT"/>
    <n v="72"/>
    <n v="96"/>
  </r>
  <r>
    <n v="166"/>
    <x v="0"/>
    <x v="256"/>
    <s v="eth1/6"/>
    <x v="0"/>
    <x v="1"/>
    <x v="1"/>
    <s v="Nomina"/>
    <x v="6"/>
    <b v="0"/>
    <s v="No está en VPC"/>
    <n v="166"/>
    <s v="INTPG_ACC_166_1.6"/>
    <s v="ISEL-1.6"/>
    <n v="1"/>
    <s v="NO TIENE L3OUT"/>
    <n v="84"/>
    <n v="96"/>
  </r>
  <r>
    <n v="111"/>
    <x v="0"/>
    <x v="257"/>
    <s v="eth1/6"/>
    <x v="0"/>
    <x v="0"/>
    <x v="0"/>
    <s v="BANCA MOVIL: Notificaciones"/>
    <x v="6"/>
    <b v="0"/>
    <s v="No está en VPC"/>
    <n v="111"/>
    <s v="INTPG_ACC_111_1.6"/>
    <s v="ISEL-1.6"/>
    <n v="1"/>
    <s v="NO TIENE L3OUT"/>
    <n v="58"/>
    <n v="96"/>
  </r>
  <r>
    <n v="115"/>
    <x v="0"/>
    <x v="258"/>
    <s v="eth1/6"/>
    <x v="0"/>
    <x v="0"/>
    <x v="0"/>
    <s v="sfecpt01_1"/>
    <x v="6"/>
    <b v="0"/>
    <s v="No está en VPC"/>
    <n v="115"/>
    <s v="INTPG_VPC_113_1.7_115_1.6"/>
    <s v="ISEL-1.6"/>
    <n v="1"/>
    <s v="NO TIENE L3OUT"/>
    <n v="42"/>
    <n v="96"/>
  </r>
  <r>
    <n v="106"/>
    <x v="0"/>
    <x v="259"/>
    <s v="eth1/6"/>
    <x v="0"/>
    <x v="0"/>
    <x v="0"/>
    <m/>
    <x v="6"/>
    <b v="0"/>
    <s v="No está en VPC"/>
    <n v="106"/>
    <s v="INTPG_ACC_106_1.6"/>
    <s v="ISEL-1.6"/>
    <n v="1"/>
    <s v="NO TIENE L3OUT"/>
    <n v="122"/>
    <n v="96"/>
  </r>
  <r>
    <n v="126"/>
    <x v="0"/>
    <x v="260"/>
    <s v="eth1/6"/>
    <x v="1"/>
    <x v="1"/>
    <x v="2"/>
    <s v="U2000_IPRAN"/>
    <x v="6"/>
    <b v="0"/>
    <s v="No está en VPC"/>
    <n v="126"/>
    <s v="INTPG_ACC_126_1.6"/>
    <s v="ISEL-1.6"/>
    <n v="1"/>
    <s v="NO TIENE L3OUT"/>
    <n v="54"/>
    <n v="96"/>
  </r>
  <r>
    <n v="425"/>
    <x v="1"/>
    <x v="261"/>
    <s v="eth1/6"/>
    <x v="0"/>
    <x v="0"/>
    <x v="0"/>
    <s v="VTA_uxvta073_Net0"/>
    <x v="6"/>
    <b v="0"/>
    <s v="No está en VPC"/>
    <n v="425"/>
    <s v="INTPG_ACC_425_1.6"/>
    <s v="ISEL-1.6"/>
    <n v="1"/>
    <s v="NO TIENE L3OUT"/>
    <n v="86"/>
    <n v="96"/>
  </r>
  <r>
    <n v="151"/>
    <x v="0"/>
    <x v="262"/>
    <s v="eth1/6"/>
    <x v="0"/>
    <x v="1"/>
    <x v="1"/>
    <s v="OSS MEX GSM M"/>
    <x v="6"/>
    <b v="0"/>
    <s v="No está en VPC"/>
    <n v="151"/>
    <s v="INTPG_ACC_151_1.6"/>
    <s v="ISEL-1.6"/>
    <n v="1"/>
    <s v="NO TIENE L3OUT"/>
    <n v="86"/>
    <n v="96"/>
  </r>
  <r>
    <n v="430"/>
    <x v="1"/>
    <x v="263"/>
    <s v="eth1/6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6"/>
    <x v="0"/>
    <x v="0"/>
    <x v="0"/>
    <s v="DESC"/>
    <x v="6"/>
    <b v="0"/>
    <s v="No está en VPC"/>
    <n v="419"/>
    <s v="INTPG_PC_419_5-6"/>
    <s v="ISEL-1.6"/>
    <n v="1"/>
    <s v="NO TIENE L3OUT"/>
    <n v="70"/>
    <n v="96"/>
  </r>
  <r>
    <n v="155"/>
    <x v="0"/>
    <x v="265"/>
    <s v="eth1/6"/>
    <x v="0"/>
    <x v="0"/>
    <x v="0"/>
    <s v="UXINGE"/>
    <x v="6"/>
    <b v="0"/>
    <s v="No está en VPC"/>
    <n v="155"/>
    <s v="INTPG_ACC_155_1.6"/>
    <s v="ISEL-1.6"/>
    <n v="1"/>
    <s v="NO TIENE L3OUT"/>
    <n v="198"/>
    <n v="96"/>
  </r>
  <r>
    <n v="409"/>
    <x v="1"/>
    <x v="266"/>
    <s v="eth1/6"/>
    <x v="0"/>
    <x v="0"/>
    <x v="0"/>
    <s v="RLR2ARI10"/>
    <x v="6"/>
    <b v="0"/>
    <s v="No está en VPC"/>
    <n v="409"/>
    <s v="INTPG_ACC_409_1.6"/>
    <s v="ISEL-1.6"/>
    <n v="1"/>
    <s v="NO TIENE L3OUT"/>
    <n v="128"/>
    <n v="96"/>
  </r>
  <r>
    <n v="422"/>
    <x v="1"/>
    <x v="267"/>
    <s v="eth1/6"/>
    <x v="0"/>
    <x v="0"/>
    <x v="0"/>
    <s v="GESTION_ FORTIANALYZER"/>
    <x v="6"/>
    <b v="0"/>
    <s v="No está en VPC"/>
    <n v="422"/>
    <s v="INTPG_ACC_422_1.6"/>
    <s v="ISEL-1.6"/>
    <n v="1"/>
    <s v="NO TIENE L3OUT"/>
    <n v="182"/>
    <n v="96"/>
  </r>
  <r>
    <n v="436"/>
    <x v="1"/>
    <x v="268"/>
    <s v="eth1/6"/>
    <x v="0"/>
    <x v="0"/>
    <x v="0"/>
    <s v="uxdomaine"/>
    <x v="6"/>
    <b v="0"/>
    <s v="No está en VPC"/>
    <n v="436"/>
    <s v="INTPG_ACC_436_1.6"/>
    <s v="ISEL-1.6"/>
    <n v="1"/>
    <s v="NO TIENE L3OUT"/>
    <n v="172"/>
    <n v="96"/>
  </r>
  <r>
    <n v="410"/>
    <x v="1"/>
    <x v="269"/>
    <s v="eth1/6"/>
    <x v="0"/>
    <x v="0"/>
    <x v="0"/>
    <s v="9UCS-IXTLA-WEBEX-SERV4"/>
    <x v="6"/>
    <b v="0"/>
    <s v="No está en VPC"/>
    <n v="410"/>
    <s v="INTPG_ACC_410_1.6"/>
    <s v="ISEL-1.6"/>
    <n v="2"/>
    <s v="NO TIENE L3OUT"/>
    <n v="178"/>
    <n v="96"/>
  </r>
  <r>
    <n v="161"/>
    <x v="0"/>
    <x v="270"/>
    <s v="eth1/6"/>
    <x v="0"/>
    <x v="0"/>
    <x v="0"/>
    <s v="IBM SICOD"/>
    <x v="6"/>
    <b v="0"/>
    <s v="No está en VPC"/>
    <n v="161"/>
    <s v="INTPG_ACC_161_1.6"/>
    <s v="ISEL-1.6"/>
    <n v="1"/>
    <s v="NO TIENE L3OUT"/>
    <n v="102"/>
    <n v="96"/>
  </r>
  <r>
    <n v="411"/>
    <x v="1"/>
    <x v="271"/>
    <s v="eth1/6"/>
    <x v="0"/>
    <x v="0"/>
    <x v="0"/>
    <s v="DESC"/>
    <x v="6"/>
    <b v="0"/>
    <s v="No está en VPC"/>
    <n v="411"/>
    <s v="INTPG_PC_411_1.5-8"/>
    <s v="ISEL-1.6"/>
    <n v="1"/>
    <s v="NO TIENE L3OUT"/>
    <n v="96"/>
    <n v="96"/>
  </r>
  <r>
    <n v="116"/>
    <x v="0"/>
    <x v="272"/>
    <s v="eth1/6"/>
    <x v="1"/>
    <x v="1"/>
    <x v="2"/>
    <s v="DESC"/>
    <x v="6"/>
    <b v="0"/>
    <s v="No está en VPC"/>
    <n v="116"/>
    <s v="INTPG_PC_116_1.6-7"/>
    <s v="ISEL-1.6"/>
    <n v="0"/>
    <s v="NO TIENE L3OUT"/>
    <n v="148"/>
    <n v="96"/>
  </r>
  <r>
    <n v="412"/>
    <x v="1"/>
    <x v="273"/>
    <s v="eth1/6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6"/>
    <x v="0"/>
    <x v="0"/>
    <x v="0"/>
    <s v="TemipAMX1"/>
    <x v="6"/>
    <b v="0"/>
    <s v="No está en VPC"/>
    <n v="120"/>
    <s v="INTPG_PC_120_1.4-8"/>
    <s v="ISEL-1.6"/>
    <n v="1"/>
    <s v="NO TIENE L3OUT"/>
    <n v="158"/>
    <n v="96"/>
  </r>
  <r>
    <n v="404"/>
    <x v="1"/>
    <x v="275"/>
    <s v="eth1/6"/>
    <x v="0"/>
    <x v="0"/>
    <x v="0"/>
    <s v="DESC"/>
    <x v="6"/>
    <b v="0"/>
    <s v="No está en VPC"/>
    <n v="404"/>
    <s v="INTPG_PC_404_1.5-6"/>
    <s v="ISEL-1.6"/>
    <n v="1"/>
    <s v="NO TIENE L3OUT"/>
    <n v="92"/>
    <n v="96"/>
  </r>
  <r>
    <n v="167"/>
    <x v="0"/>
    <x v="276"/>
    <s v="eth1/6"/>
    <x v="0"/>
    <x v="0"/>
    <x v="0"/>
    <s v="LINKDOWN_HACIA_UCS_9UCS-GEO-IXTLA-SERV1"/>
    <x v="6"/>
    <b v="0"/>
    <s v="No está en VPC"/>
    <n v="167"/>
    <s v="INTPG_ACC_167_1.6"/>
    <s v="ISEL-1.6"/>
    <n v="1"/>
    <s v="NO TIENE L3OUT"/>
    <n v="68"/>
    <n v="96"/>
  </r>
  <r>
    <n v="428"/>
    <x v="1"/>
    <x v="277"/>
    <s v="eth1/6"/>
    <x v="0"/>
    <x v="0"/>
    <x v="0"/>
    <s v="LDAP-IDM_DESARROLLO"/>
    <x v="6"/>
    <b v="0"/>
    <s v="No está en VPC"/>
    <n v="428"/>
    <s v="INTPG_PC_428_1.5-9"/>
    <s v="ISEL-1.6"/>
    <n v="1"/>
    <s v="NO TIENE L3OUT"/>
    <n v="102"/>
    <n v="96"/>
  </r>
  <r>
    <n v="903"/>
    <x v="2"/>
    <x v="278"/>
    <s v="eth1/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447"/>
    <x v="1"/>
    <x v="9"/>
    <s v="eth1/6/1"/>
    <x v="0"/>
    <x v="0"/>
    <x v="0"/>
    <s v="ith3bda3sw-ib2 redundante"/>
    <x v="2"/>
    <b v="0"/>
    <s v="No está en VPC"/>
    <n v="447"/>
    <s v="NO EXISTE PG"/>
    <s v="NO EXISTE ISEL"/>
    <n v="1"/>
    <s v="NO TIENE L3OUT"/>
    <n v="16"/>
    <n v="42"/>
  </r>
  <r>
    <n v="445"/>
    <x v="1"/>
    <x v="10"/>
    <s v="eth1/6/1"/>
    <x v="0"/>
    <x v="0"/>
    <x v="0"/>
    <s v="ith3bda3sw-ib2 redundante"/>
    <x v="2"/>
    <b v="0"/>
    <s v="No está en VPC"/>
    <n v="445"/>
    <s v="NO EXISTE PG"/>
    <s v="NO EXISTE ISEL"/>
    <n v="1"/>
    <s v="NO TIENE L3OUT"/>
    <n v="16"/>
    <n v="42"/>
  </r>
  <r>
    <n v="447"/>
    <x v="1"/>
    <x v="9"/>
    <s v="eth1/6/2"/>
    <x v="0"/>
    <x v="0"/>
    <x v="0"/>
    <s v="ith3bda3sw-ib2 redundante"/>
    <x v="2"/>
    <b v="0"/>
    <s v="No está en VPC"/>
    <n v="447"/>
    <s v="NO EXISTE PG"/>
    <s v="NO EXISTE ISEL"/>
    <n v="1"/>
    <s v="NO TIENE L3OUT"/>
    <n v="16"/>
    <n v="42"/>
  </r>
  <r>
    <n v="445"/>
    <x v="1"/>
    <x v="10"/>
    <s v="eth1/6/2"/>
    <x v="0"/>
    <x v="0"/>
    <x v="0"/>
    <s v="ith3bda3sw-ib2 redundante"/>
    <x v="2"/>
    <b v="0"/>
    <s v="No está en VPC"/>
    <n v="445"/>
    <s v="NO EXISTE PG"/>
    <s v="NO EXISTE ISEL"/>
    <n v="1"/>
    <s v="NO TIENE L3OUT"/>
    <n v="16"/>
    <n v="42"/>
  </r>
  <r>
    <n v="447"/>
    <x v="1"/>
    <x v="9"/>
    <s v="eth1/6/3"/>
    <x v="0"/>
    <x v="0"/>
    <x v="0"/>
    <s v="ith3bda3sw-ib2 redundante"/>
    <x v="2"/>
    <b v="0"/>
    <s v="No está en VPC"/>
    <n v="447"/>
    <s v="NO EXISTE PG"/>
    <s v="NO EXISTE ISEL"/>
    <n v="1"/>
    <s v="NO TIENE L3OUT"/>
    <n v="16"/>
    <n v="42"/>
  </r>
  <r>
    <n v="445"/>
    <x v="1"/>
    <x v="10"/>
    <s v="eth1/6/3"/>
    <x v="0"/>
    <x v="0"/>
    <x v="0"/>
    <s v="ith3bda3sw-ib2 redundante"/>
    <x v="2"/>
    <b v="0"/>
    <s v="No está en VPC"/>
    <n v="445"/>
    <s v="NO EXISTE PG"/>
    <s v="NO EXISTE ISEL"/>
    <n v="1"/>
    <s v="NO TIENE L3OUT"/>
    <n v="16"/>
    <n v="42"/>
  </r>
  <r>
    <n v="447"/>
    <x v="1"/>
    <x v="9"/>
    <s v="eth1/6/4"/>
    <x v="0"/>
    <x v="0"/>
    <x v="0"/>
    <s v="ith3bda3sw-ib2 redundante"/>
    <x v="2"/>
    <b v="0"/>
    <s v="No está en VPC"/>
    <n v="447"/>
    <s v="NO EXISTE PG"/>
    <s v="NO EXISTE ISEL"/>
    <n v="1"/>
    <s v="NO TIENE L3OUT"/>
    <n v="16"/>
    <n v="42"/>
  </r>
  <r>
    <n v="445"/>
    <x v="1"/>
    <x v="10"/>
    <s v="eth1/6/4"/>
    <x v="0"/>
    <x v="0"/>
    <x v="0"/>
    <s v="ith3bda3sw-ib2 redundante"/>
    <x v="2"/>
    <b v="0"/>
    <s v="No está en VPC"/>
    <n v="445"/>
    <s v="NO EXISTE PG"/>
    <s v="NO EXISTE ISEL"/>
    <n v="1"/>
    <s v="NO TIENE L3OUT"/>
    <n v="16"/>
    <n v="42"/>
  </r>
  <r>
    <n v="105"/>
    <x v="0"/>
    <x v="205"/>
    <s v="eth1/60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60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60"/>
    <x v="0"/>
    <x v="1"/>
    <x v="1"/>
    <s v="SILOT"/>
    <x v="6"/>
    <b v="0"/>
    <s v="No está en VPC"/>
    <n v="104"/>
    <s v="INTPG_ACC_104_1.60"/>
    <s v="ISEL-1.60"/>
    <n v="1"/>
    <s v="NO TIENE L3OUT"/>
    <n v="194"/>
    <n v="96"/>
  </r>
  <r>
    <n v="158"/>
    <x v="0"/>
    <x v="208"/>
    <s v="eth1/60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60"/>
    <x v="0"/>
    <x v="1"/>
    <x v="1"/>
    <s v="DATAPOWER"/>
    <x v="6"/>
    <b v="0"/>
    <s v="No está en VPC"/>
    <n v="108"/>
    <s v="INTPG_ACC_108_1.60"/>
    <s v="ISEL-1.60"/>
    <n v="1"/>
    <s v="NO TIENE L3OUT"/>
    <n v="126"/>
    <n v="96"/>
  </r>
  <r>
    <n v="112"/>
    <x v="0"/>
    <x v="212"/>
    <s v="eth1/60"/>
    <x v="0"/>
    <x v="1"/>
    <x v="1"/>
    <s v="SAPCC"/>
    <x v="6"/>
    <b v="0"/>
    <s v="No está en VPC"/>
    <n v="112"/>
    <s v="INTPG_ACC_112_1.60"/>
    <s v="ISEL-1.60"/>
    <n v="1"/>
    <s v="NO TIENE L3OUT"/>
    <n v="144"/>
    <n v="96"/>
  </r>
  <r>
    <n v="107"/>
    <x v="0"/>
    <x v="213"/>
    <s v="eth1/60"/>
    <x v="1"/>
    <x v="1"/>
    <x v="2"/>
    <m/>
    <x v="6"/>
    <b v="0"/>
    <s v="No está en VPC"/>
    <n v="107"/>
    <s v="INTPG_PC_107_1.60-63"/>
    <s v="ISEL-1.60"/>
    <n v="0"/>
    <s v="NO TIENE L3OUT"/>
    <n v="118"/>
    <n v="96"/>
  </r>
  <r>
    <n v="109"/>
    <x v="0"/>
    <x v="214"/>
    <s v="eth1/60"/>
    <x v="1"/>
    <x v="1"/>
    <x v="2"/>
    <s v="TO-UXWAS1_P3-P4"/>
    <x v="6"/>
    <b v="0"/>
    <s v="No está en VPC"/>
    <n v="109"/>
    <s v="INTPG_PC_109_1.60_61"/>
    <s v="ISEL-1.60"/>
    <n v="1"/>
    <s v="NO TIENE L3OUT"/>
    <n v="126"/>
    <n v="96"/>
  </r>
  <r>
    <n v="113"/>
    <x v="0"/>
    <x v="215"/>
    <s v="eth1/60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60"/>
    <x v="0"/>
    <x v="1"/>
    <x v="1"/>
    <s v="SAPCC"/>
    <x v="6"/>
    <b v="0"/>
    <s v="No está en VPC"/>
    <n v="114"/>
    <s v="INTPG_ACC_114_1.60"/>
    <s v="ISEL-1.60"/>
    <n v="1"/>
    <s v="NO TIENE L3OUT"/>
    <n v="144"/>
    <n v="96"/>
  </r>
  <r>
    <n v="124"/>
    <x v="0"/>
    <x v="217"/>
    <s v="eth1/60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60"/>
    <x v="0"/>
    <x v="1"/>
    <x v="1"/>
    <s v="NOTIFICATION SERVER TANGO"/>
    <x v="6"/>
    <b v="0"/>
    <s v="No está en VPC"/>
    <n v="118"/>
    <s v="INTPG_ACC_118_1.60"/>
    <s v="ISEL-1.60"/>
    <n v="1"/>
    <s v="NO TIENE L3OUT"/>
    <n v="180"/>
    <n v="96"/>
  </r>
  <r>
    <n v="159"/>
    <x v="0"/>
    <x v="219"/>
    <s v="eth1/60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60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60"/>
    <x v="0"/>
    <x v="0"/>
    <x v="0"/>
    <s v="CELCITE"/>
    <x v="6"/>
    <b v="0"/>
    <s v="No está en VPC"/>
    <n v="163"/>
    <s v="INTPG_ACC_163_1.60"/>
    <s v="ISEL-1.60"/>
    <n v="1"/>
    <s v="NO TIENE L3OUT"/>
    <n v="140"/>
    <n v="96"/>
  </r>
  <r>
    <n v="407"/>
    <x v="1"/>
    <x v="224"/>
    <s v="eth1/60"/>
    <x v="0"/>
    <x v="0"/>
    <x v="0"/>
    <s v="UXIMSI1_NETMGT-1"/>
    <x v="6"/>
    <b v="0"/>
    <s v="No está en VPC"/>
    <n v="407"/>
    <s v="INTPG_ACC_407_1.60"/>
    <s v="ISEL-1.60"/>
    <n v="1"/>
    <s v="NO TIENE L3OUT"/>
    <n v="122"/>
    <n v="96"/>
  </r>
  <r>
    <n v="171"/>
    <x v="0"/>
    <x v="225"/>
    <s v="eth1/60"/>
    <x v="0"/>
    <x v="0"/>
    <x v="0"/>
    <s v="SRS (Speedy Rating System)"/>
    <x v="6"/>
    <b v="0"/>
    <s v="No está en VPC"/>
    <n v="171"/>
    <s v="INTPG_ACC_171_1.60"/>
    <s v="ISEL-1.60"/>
    <n v="1"/>
    <s v="NO TIENE L3OUT"/>
    <n v="114"/>
    <n v="96"/>
  </r>
  <r>
    <n v="421"/>
    <x v="1"/>
    <x v="226"/>
    <s v="eth1/60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60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60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60"/>
    <x v="0"/>
    <x v="0"/>
    <x v="0"/>
    <s v="SRS (Speedy Rating System)"/>
    <x v="6"/>
    <b v="0"/>
    <s v="No está en VPC"/>
    <n v="172"/>
    <s v="INTPG_ACC_172_1.60"/>
    <s v="ISEL-1.60"/>
    <n v="1"/>
    <s v="NO TIENE L3OUT"/>
    <n v="104"/>
    <n v="96"/>
  </r>
  <r>
    <n v="420"/>
    <x v="1"/>
    <x v="230"/>
    <s v="eth1/60"/>
    <x v="0"/>
    <x v="0"/>
    <x v="0"/>
    <s v="R9MEXIXTDAY-2"/>
    <x v="6"/>
    <b v="0"/>
    <s v="No está en VPC"/>
    <n v="420"/>
    <s v="INTPG_ACC_420_1.60"/>
    <s v="ISEL-1.60"/>
    <n v="1"/>
    <s v="NO TIENE L3OUT"/>
    <n v="158"/>
    <n v="96"/>
  </r>
  <r>
    <n v="423"/>
    <x v="1"/>
    <x v="231"/>
    <s v="eth1/60"/>
    <x v="0"/>
    <x v="0"/>
    <x v="0"/>
    <s v="HP Proliant DL380p(d)"/>
    <x v="6"/>
    <b v="0"/>
    <s v="No está en VPC"/>
    <n v="423"/>
    <s v="INTPG_ACC_423_1.60"/>
    <s v="ISEL-1.60"/>
    <n v="1"/>
    <s v="NO TIENE L3OUT"/>
    <n v="86"/>
    <n v="96"/>
  </r>
  <r>
    <n v="415"/>
    <x v="1"/>
    <x v="232"/>
    <s v="eth1/60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60"/>
    <x v="0"/>
    <x v="1"/>
    <x v="1"/>
    <s v="BLACKBERRY:SECURITY TEST:VC2-X4"/>
    <x v="6"/>
    <b v="0"/>
    <s v="No está en VPC"/>
    <n v="102"/>
    <s v="INTPG_PC_102_1.52_57-63"/>
    <s v="ISEL-1.60"/>
    <n v="32"/>
    <s v="NO TIENE L3OUT"/>
    <n v="228"/>
    <n v="96"/>
  </r>
  <r>
    <n v="122"/>
    <x v="0"/>
    <x v="237"/>
    <s v="eth1/60"/>
    <x v="0"/>
    <x v="1"/>
    <x v="1"/>
    <s v="IXTTRAP-ETL"/>
    <x v="6"/>
    <b v="0"/>
    <s v="No está en VPC"/>
    <n v="122"/>
    <s v="INTPG_ACC_122_1.60"/>
    <s v="ISEL-1.60"/>
    <n v="1"/>
    <s v="NO TIENE L3OUT"/>
    <n v="148"/>
    <n v="96"/>
  </r>
  <r>
    <n v="157"/>
    <x v="0"/>
    <x v="238"/>
    <s v="eth1/60"/>
    <x v="0"/>
    <x v="0"/>
    <x v="0"/>
    <s v="PORTAL CAUTIVO"/>
    <x v="6"/>
    <b v="0"/>
    <s v="No está en VPC"/>
    <n v="157"/>
    <s v="INTPG_ACC_157_1.60"/>
    <s v="ISEL-1.60"/>
    <n v="1"/>
    <s v="NO TIENE L3OUT"/>
    <n v="202"/>
    <n v="96"/>
  </r>
  <r>
    <n v="408"/>
    <x v="1"/>
    <x v="239"/>
    <s v="eth1/60"/>
    <x v="0"/>
    <x v="0"/>
    <x v="0"/>
    <s v="DESC"/>
    <x v="6"/>
    <b v="0"/>
    <s v="No está en VPC"/>
    <n v="408"/>
    <s v="INTPG_PC_408_1.59-60"/>
    <s v="ISEL-1.60"/>
    <n v="1"/>
    <s v="NO TIENE L3OUT"/>
    <n v="152"/>
    <n v="96"/>
  </r>
  <r>
    <n v="405"/>
    <x v="1"/>
    <x v="240"/>
    <s v="eth1/60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60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60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60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60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60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60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60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60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60"/>
    <x v="0"/>
    <x v="0"/>
    <x v="0"/>
    <s v="DESC"/>
    <x v="6"/>
    <b v="0"/>
    <s v="No está en VPC"/>
    <n v="406"/>
    <s v="INTPG_PC_406_1.59-60"/>
    <s v="ISEL-1.60"/>
    <n v="1"/>
    <s v="NO TIENE L3OUT"/>
    <n v="82"/>
    <n v="96"/>
  </r>
  <r>
    <n v="414"/>
    <x v="1"/>
    <x v="250"/>
    <s v="eth1/60"/>
    <x v="0"/>
    <x v="1"/>
    <x v="1"/>
    <s v="uxcompr2"/>
    <x v="6"/>
    <b v="0"/>
    <s v="No está en VPC"/>
    <n v="414"/>
    <s v="INTPG_ACC_414_1.60"/>
    <s v="ISEL-1.60"/>
    <n v="1"/>
    <s v="NO TIENE L3OUT"/>
    <n v="144"/>
    <n v="96"/>
  </r>
  <r>
    <n v="416"/>
    <x v="1"/>
    <x v="251"/>
    <s v="eth1/60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60"/>
    <x v="0"/>
    <x v="0"/>
    <x v="0"/>
    <s v="ITHRTC4AEN2OA1"/>
    <x v="6"/>
    <b v="0"/>
    <s v="No está en VPC"/>
    <n v="418"/>
    <s v="INTPG_ACC_418_1.60"/>
    <s v="ISEL-1.60"/>
    <n v="1"/>
    <s v="NO TIENE L3OUT"/>
    <n v="152"/>
    <n v="96"/>
  </r>
  <r>
    <n v="413"/>
    <x v="1"/>
    <x v="253"/>
    <s v="eth1/60"/>
    <x v="0"/>
    <x v="0"/>
    <x v="0"/>
    <s v="ixtshrcol01"/>
    <x v="6"/>
    <b v="0"/>
    <s v="No está en VPC"/>
    <n v="413"/>
    <s v="INTPG_ACC_413_1.60"/>
    <s v="ISEL-1.60"/>
    <n v="1"/>
    <s v="NO TIENE L3OUT"/>
    <n v="126"/>
    <n v="96"/>
  </r>
  <r>
    <n v="403"/>
    <x v="1"/>
    <x v="254"/>
    <s v="eth1/60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60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60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60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60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60"/>
    <x v="0"/>
    <x v="1"/>
    <x v="1"/>
    <s v="COMISIONES"/>
    <x v="6"/>
    <b v="0"/>
    <s v="No está en VPC"/>
    <n v="106"/>
    <s v="INTPG_ACC_106_1.60"/>
    <s v="ISEL-1.60"/>
    <n v="1"/>
    <s v="NO TIENE L3OUT"/>
    <n v="122"/>
    <n v="96"/>
  </r>
  <r>
    <n v="126"/>
    <x v="0"/>
    <x v="260"/>
    <s v="eth1/60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60"/>
    <x v="0"/>
    <x v="0"/>
    <x v="0"/>
    <s v="VTA_uxvta083_Net1"/>
    <x v="6"/>
    <b v="0"/>
    <s v="No está en VPC"/>
    <n v="425"/>
    <s v="INTPG_ACC_425_1.60"/>
    <s v="ISEL-1.60"/>
    <n v="1"/>
    <s v="NO TIENE L3OUT"/>
    <n v="86"/>
    <n v="96"/>
  </r>
  <r>
    <n v="151"/>
    <x v="0"/>
    <x v="262"/>
    <s v="eth1/60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60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60"/>
    <x v="0"/>
    <x v="0"/>
    <x v="0"/>
    <s v="SPECSERVER2_ADMIN1"/>
    <x v="6"/>
    <b v="0"/>
    <s v="No está en VPC"/>
    <n v="419"/>
    <s v="INTPG_ACC_419_1.60"/>
    <s v="ISEL-1.60"/>
    <n v="1"/>
    <s v="NO TIENE L3OUT"/>
    <n v="70"/>
    <n v="96"/>
  </r>
  <r>
    <n v="155"/>
    <x v="0"/>
    <x v="265"/>
    <s v="eth1/60"/>
    <x v="0"/>
    <x v="0"/>
    <x v="0"/>
    <s v="ARIESO_GEOLOCALIZACION"/>
    <x v="6"/>
    <b v="0"/>
    <s v="No está en VPC"/>
    <n v="155"/>
    <s v="INTPG_ACC_155_1.60"/>
    <s v="ISEL-1.60"/>
    <n v="2"/>
    <s v="NO TIENE L3OUT"/>
    <n v="198"/>
    <n v="96"/>
  </r>
  <r>
    <n v="409"/>
    <x v="1"/>
    <x v="266"/>
    <s v="eth1/60"/>
    <x v="0"/>
    <x v="0"/>
    <x v="0"/>
    <s v="UXIMSI2_IXGBE2"/>
    <x v="6"/>
    <b v="0"/>
    <s v="No está en VPC"/>
    <n v="409"/>
    <s v="INTPG_ACC_409_1.60"/>
    <s v="ISEL-1.60"/>
    <n v="1"/>
    <s v="NO TIENE L3OUT"/>
    <n v="128"/>
    <n v="96"/>
  </r>
  <r>
    <n v="422"/>
    <x v="1"/>
    <x v="267"/>
    <s v="eth1/60"/>
    <x v="0"/>
    <x v="0"/>
    <x v="0"/>
    <s v="IXTAI7"/>
    <x v="6"/>
    <b v="0"/>
    <s v="No está en VPC"/>
    <n v="422"/>
    <s v="INTPG_ACC_422_1.60"/>
    <s v="ISEL-1.60"/>
    <n v="1"/>
    <s v="NO TIENE L3OUT"/>
    <n v="182"/>
    <n v="96"/>
  </r>
  <r>
    <n v="436"/>
    <x v="1"/>
    <x v="268"/>
    <s v="eth1/60"/>
    <x v="0"/>
    <x v="0"/>
    <x v="0"/>
    <s v="TO-ITHFERNTCTRIS03-Principal"/>
    <x v="6"/>
    <b v="0"/>
    <s v="No está en VPC"/>
    <n v="436"/>
    <s v="INTPG_ACC_436_1.60"/>
    <s v="ISEL-1.60"/>
    <n v="1"/>
    <s v="NO TIENE L3OUT"/>
    <n v="172"/>
    <n v="96"/>
  </r>
  <r>
    <n v="410"/>
    <x v="1"/>
    <x v="269"/>
    <s v="eth1/60"/>
    <x v="0"/>
    <x v="0"/>
    <x v="0"/>
    <s v="ITHRTC2SW1"/>
    <x v="6"/>
    <b v="0"/>
    <s v="No está en VPC"/>
    <n v="410"/>
    <s v="INTPG_ACC_410_1.60"/>
    <s v="ISEL-1.60"/>
    <n v="1"/>
    <s v="NO TIENE L3OUT"/>
    <n v="178"/>
    <n v="96"/>
  </r>
  <r>
    <n v="161"/>
    <x v="0"/>
    <x v="270"/>
    <s v="eth1/60"/>
    <x v="0"/>
    <x v="0"/>
    <x v="0"/>
    <s v="MULTIMEDIACION_1"/>
    <x v="6"/>
    <b v="0"/>
    <s v="No está en VPC"/>
    <n v="161"/>
    <s v="INTPG_ACC_161_1.60"/>
    <s v="ISEL-1.60"/>
    <n v="1"/>
    <s v="NO TIENE L3OUT"/>
    <n v="102"/>
    <n v="96"/>
  </r>
  <r>
    <n v="411"/>
    <x v="1"/>
    <x v="271"/>
    <s v="eth1/60"/>
    <x v="0"/>
    <x v="0"/>
    <x v="0"/>
    <s v="TO-ITHFHPNBURBKP07-PRINCIPAL"/>
    <x v="6"/>
    <b v="0"/>
    <s v="No está en VPC"/>
    <n v="411"/>
    <s v="INTPG_ACC_411_1.60"/>
    <s v="ISEL-1.60"/>
    <n v="1"/>
    <s v="NO TIENE L3OUT"/>
    <n v="96"/>
    <n v="96"/>
  </r>
  <r>
    <n v="116"/>
    <x v="0"/>
    <x v="272"/>
    <s v="eth1/60"/>
    <x v="0"/>
    <x v="1"/>
    <x v="1"/>
    <s v="USSD TANGO"/>
    <x v="6"/>
    <b v="0"/>
    <s v="No está en VPC"/>
    <n v="116"/>
    <s v="INTPG_ACC_116_1.60"/>
    <s v="ISEL-1.60"/>
    <n v="1"/>
    <s v="NO TIENE L3OUT"/>
    <n v="148"/>
    <n v="96"/>
  </r>
  <r>
    <n v="412"/>
    <x v="1"/>
    <x v="273"/>
    <s v="eth1/60"/>
    <x v="0"/>
    <x v="0"/>
    <x v="0"/>
    <s v="ITHRTC61OA2"/>
    <x v="6"/>
    <b v="0"/>
    <s v="No está en VPC"/>
    <n v="412"/>
    <s v="INTPG_ACC_412_1.60"/>
    <s v="ISEL-1.60"/>
    <n v="1"/>
    <s v="NO TIENE L3OUT"/>
    <n v="126"/>
    <n v="96"/>
  </r>
  <r>
    <n v="120"/>
    <x v="0"/>
    <x v="274"/>
    <s v="eth1/60"/>
    <x v="0"/>
    <x v="0"/>
    <x v="0"/>
    <s v="TRAP"/>
    <x v="6"/>
    <b v="0"/>
    <s v="No está en VPC"/>
    <n v="120"/>
    <s v="INTPG_PC_120_1.58-61"/>
    <s v="ISEL-1.60"/>
    <n v="1"/>
    <s v="NO TIENE L3OUT"/>
    <n v="158"/>
    <n v="96"/>
  </r>
  <r>
    <n v="404"/>
    <x v="1"/>
    <x v="275"/>
    <s v="eth1/60"/>
    <x v="0"/>
    <x v="1"/>
    <x v="1"/>
    <s v="uxcompr2"/>
    <x v="6"/>
    <b v="0"/>
    <s v="No está en VPC"/>
    <n v="404"/>
    <s v="INTPG_ACC_404_1.60"/>
    <s v="ISEL-1.60"/>
    <n v="1"/>
    <s v="NO TIENE L3OUT"/>
    <n v="92"/>
    <n v="96"/>
  </r>
  <r>
    <n v="167"/>
    <x v="0"/>
    <x v="276"/>
    <s v="eth1/60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60"/>
    <x v="0"/>
    <x v="0"/>
    <x v="0"/>
    <s v="ITHSSO1A"/>
    <x v="6"/>
    <b v="0"/>
    <s v="No está en VPC"/>
    <n v="428"/>
    <s v="INTPG_ACC_428_1.60"/>
    <s v="ISEL-1.60"/>
    <n v="1"/>
    <s v="NO TIENE L3OUT"/>
    <n v="102"/>
    <n v="96"/>
  </r>
  <r>
    <n v="105"/>
    <x v="0"/>
    <x v="205"/>
    <s v="eth1/61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61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61"/>
    <x v="0"/>
    <x v="1"/>
    <x v="1"/>
    <m/>
    <x v="6"/>
    <b v="0"/>
    <s v="No está en VPC"/>
    <n v="104"/>
    <s v="INTPG_ACC_104_1.61"/>
    <s v="ISEL-1.61"/>
    <n v="1"/>
    <s v="NO TIENE L3OUT"/>
    <n v="194"/>
    <n v="96"/>
  </r>
  <r>
    <n v="158"/>
    <x v="0"/>
    <x v="208"/>
    <s v="eth1/61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61"/>
    <x v="0"/>
    <x v="1"/>
    <x v="1"/>
    <s v="DATAPOWER"/>
    <x v="6"/>
    <b v="0"/>
    <s v="No está en VPC"/>
    <n v="108"/>
    <s v="INTPG_ACC_108_1.61"/>
    <s v="ISEL-1.61"/>
    <n v="1"/>
    <s v="NO TIENE L3OUT"/>
    <n v="126"/>
    <n v="96"/>
  </r>
  <r>
    <n v="112"/>
    <x v="0"/>
    <x v="212"/>
    <s v="eth1/61"/>
    <x v="0"/>
    <x v="1"/>
    <x v="1"/>
    <s v="SAPCC"/>
    <x v="6"/>
    <b v="0"/>
    <s v="No está en VPC"/>
    <n v="112"/>
    <s v="INTPG_ACC_112_1.61"/>
    <s v="ISEL-1.61"/>
    <n v="1"/>
    <s v="NO TIENE L3OUT"/>
    <n v="144"/>
    <n v="96"/>
  </r>
  <r>
    <n v="107"/>
    <x v="0"/>
    <x v="213"/>
    <s v="eth1/61"/>
    <x v="1"/>
    <x v="1"/>
    <x v="2"/>
    <m/>
    <x v="6"/>
    <b v="0"/>
    <s v="No está en VPC"/>
    <n v="107"/>
    <s v="INTPG_PC_107_1.60-63"/>
    <s v="ISEL-1.61"/>
    <n v="0"/>
    <s v="NO TIENE L3OUT"/>
    <n v="118"/>
    <n v="96"/>
  </r>
  <r>
    <n v="109"/>
    <x v="0"/>
    <x v="214"/>
    <s v="eth1/61"/>
    <x v="1"/>
    <x v="1"/>
    <x v="2"/>
    <s v="TO-UXWAS1_P3-P4"/>
    <x v="6"/>
    <b v="0"/>
    <s v="No está en VPC"/>
    <n v="109"/>
    <s v="INTPG_PC_109_1.60_61"/>
    <s v="ISEL-1.61"/>
    <n v="1"/>
    <s v="NO TIENE L3OUT"/>
    <n v="126"/>
    <n v="96"/>
  </r>
  <r>
    <n v="113"/>
    <x v="0"/>
    <x v="215"/>
    <s v="eth1/61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61"/>
    <x v="0"/>
    <x v="1"/>
    <x v="1"/>
    <s v="SAPCC"/>
    <x v="6"/>
    <b v="0"/>
    <s v="No está en VPC"/>
    <n v="114"/>
    <s v="INTPG_ACC_114_1.61"/>
    <s v="ISEL-1.61"/>
    <n v="1"/>
    <s v="NO TIENE L3OUT"/>
    <n v="144"/>
    <n v="96"/>
  </r>
  <r>
    <n v="124"/>
    <x v="0"/>
    <x v="217"/>
    <s v="eth1/61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61"/>
    <x v="0"/>
    <x v="1"/>
    <x v="1"/>
    <s v="NOTIFICATION SERVER TANGO"/>
    <x v="6"/>
    <b v="0"/>
    <s v="No está en VPC"/>
    <n v="118"/>
    <s v="INTPG_ACC_118_1.61"/>
    <s v="ISEL-1.61"/>
    <n v="1"/>
    <s v="NO TIENE L3OUT"/>
    <n v="180"/>
    <n v="96"/>
  </r>
  <r>
    <n v="159"/>
    <x v="0"/>
    <x v="219"/>
    <s v="eth1/61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61"/>
    <x v="0"/>
    <x v="0"/>
    <x v="0"/>
    <s v="TO-ITHFHWHSMTLCN01_MGMT"/>
    <x v="6"/>
    <b v="0"/>
    <s v="No está en VPC"/>
    <n v="110"/>
    <s v="INTPG_ACC_110_1.61"/>
    <s v="ISEL-1.61"/>
    <n v="1"/>
    <s v="NO TIENE L3OUT"/>
    <n v="102"/>
    <n v="96"/>
  </r>
  <r>
    <n v="163"/>
    <x v="0"/>
    <x v="223"/>
    <s v="eth1/61"/>
    <x v="0"/>
    <x v="1"/>
    <x v="1"/>
    <s v="MULTIMEDIACION"/>
    <x v="6"/>
    <b v="0"/>
    <s v="No está en VPC"/>
    <n v="163"/>
    <s v="INTPG_ACC_163_1.61"/>
    <s v="ISEL-1.61"/>
    <n v="1"/>
    <s v="NO TIENE L3OUT"/>
    <n v="140"/>
    <n v="96"/>
  </r>
  <r>
    <n v="407"/>
    <x v="1"/>
    <x v="224"/>
    <s v="eth1/61"/>
    <x v="0"/>
    <x v="0"/>
    <x v="0"/>
    <s v="UXIMSI2_IGB0"/>
    <x v="6"/>
    <b v="0"/>
    <s v="No está en VPC"/>
    <n v="407"/>
    <s v="INTPG_ACC_407_1.61"/>
    <s v="ISEL-1.61"/>
    <n v="1"/>
    <s v="NO TIENE L3OUT"/>
    <n v="122"/>
    <n v="96"/>
  </r>
  <r>
    <n v="171"/>
    <x v="0"/>
    <x v="225"/>
    <s v="eth1/61"/>
    <x v="1"/>
    <x v="1"/>
    <x v="2"/>
    <s v="SRS (Speedy Rating System)"/>
    <x v="6"/>
    <b v="0"/>
    <s v="No está en VPC"/>
    <n v="171"/>
    <s v="INTPG_ACC_171_1.61"/>
    <s v="ISEL-1.61"/>
    <n v="1"/>
    <s v="NO TIENE L3OUT"/>
    <n v="114"/>
    <n v="96"/>
  </r>
  <r>
    <n v="421"/>
    <x v="1"/>
    <x v="226"/>
    <s v="eth1/61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61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61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61"/>
    <x v="0"/>
    <x v="0"/>
    <x v="0"/>
    <s v="SRS (Speedy Rating System)"/>
    <x v="6"/>
    <b v="0"/>
    <s v="No está en VPC"/>
    <n v="172"/>
    <s v="INTPG_ACC_172_1.61"/>
    <s v="ISEL-1.61"/>
    <n v="1"/>
    <s v="NO TIENE L3OUT"/>
    <n v="104"/>
    <n v="96"/>
  </r>
  <r>
    <n v="420"/>
    <x v="1"/>
    <x v="230"/>
    <s v="eth1/61"/>
    <x v="0"/>
    <x v="0"/>
    <x v="0"/>
    <s v="R9MEXIXTDAY-3"/>
    <x v="6"/>
    <b v="0"/>
    <s v="No está en VPC"/>
    <n v="420"/>
    <s v="INTPG_ACC_420_1.61"/>
    <s v="ISEL-1.61"/>
    <n v="1"/>
    <s v="NO TIENE L3OUT"/>
    <n v="158"/>
    <n v="96"/>
  </r>
  <r>
    <n v="423"/>
    <x v="1"/>
    <x v="231"/>
    <s v="eth1/61"/>
    <x v="0"/>
    <x v="0"/>
    <x v="0"/>
    <s v="HP Proliant DL380p(e)"/>
    <x v="6"/>
    <b v="0"/>
    <s v="No está en VPC"/>
    <n v="423"/>
    <s v="INTPG_ACC_423_1.61"/>
    <s v="ISEL-1.61"/>
    <n v="1"/>
    <s v="NO TIENE L3OUT"/>
    <n v="86"/>
    <n v="96"/>
  </r>
  <r>
    <n v="415"/>
    <x v="1"/>
    <x v="232"/>
    <s v="eth1/61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61"/>
    <x v="0"/>
    <x v="1"/>
    <x v="1"/>
    <s v="BLACKBERRY:SECURITY TEST:VC2-X5"/>
    <x v="6"/>
    <b v="0"/>
    <s v="No está en VPC"/>
    <n v="102"/>
    <s v="INTPG_PC_102_1.52_57-63"/>
    <s v="ISEL-1.61"/>
    <n v="32"/>
    <s v="NO TIENE L3OUT"/>
    <n v="228"/>
    <n v="96"/>
  </r>
  <r>
    <n v="122"/>
    <x v="0"/>
    <x v="237"/>
    <s v="eth1/61"/>
    <x v="0"/>
    <x v="1"/>
    <x v="1"/>
    <s v="IXTTRAP-ETL"/>
    <x v="6"/>
    <b v="0"/>
    <s v="No está en VPC"/>
    <n v="122"/>
    <s v="INTPG_ACC_122_1.61"/>
    <s v="ISEL-1.61"/>
    <n v="1"/>
    <s v="NO TIENE L3OUT"/>
    <n v="148"/>
    <n v="96"/>
  </r>
  <r>
    <n v="157"/>
    <x v="0"/>
    <x v="238"/>
    <s v="eth1/61"/>
    <x v="0"/>
    <x v="0"/>
    <x v="0"/>
    <s v="Consolidaci\u00f3n Aplicaciones Prepago_1"/>
    <x v="6"/>
    <b v="0"/>
    <s v="No está en VPC"/>
    <n v="157"/>
    <s v="INTPG_ACC_157_1.61"/>
    <s v="ISEL-1.61"/>
    <n v="1"/>
    <s v="NO TIENE L3OUT"/>
    <n v="202"/>
    <n v="96"/>
  </r>
  <r>
    <n v="408"/>
    <x v="1"/>
    <x v="239"/>
    <s v="eth1/61"/>
    <x v="0"/>
    <x v="0"/>
    <x v="0"/>
    <s v="DESC"/>
    <x v="6"/>
    <b v="0"/>
    <s v="No está en VPC"/>
    <n v="408"/>
    <s v="INTPG_PC_408_1.61-62"/>
    <s v="ISEL-1.61"/>
    <n v="1"/>
    <s v="NO TIENE L3OUT"/>
    <n v="152"/>
    <n v="96"/>
  </r>
  <r>
    <n v="405"/>
    <x v="1"/>
    <x v="240"/>
    <s v="eth1/61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61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61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61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61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61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61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61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61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61"/>
    <x v="0"/>
    <x v="0"/>
    <x v="0"/>
    <s v="WASII_4B"/>
    <x v="6"/>
    <b v="0"/>
    <s v="No está en VPC"/>
    <n v="406"/>
    <s v="INTPG_PC_406_1.61-62"/>
    <s v="ISEL-1.61"/>
    <n v="1"/>
    <s v="NO TIENE L3OUT"/>
    <n v="82"/>
    <n v="96"/>
  </r>
  <r>
    <n v="414"/>
    <x v="1"/>
    <x v="250"/>
    <s v="eth1/61"/>
    <x v="0"/>
    <x v="1"/>
    <x v="1"/>
    <s v="uxcompr3"/>
    <x v="6"/>
    <b v="0"/>
    <s v="No está en VPC"/>
    <n v="414"/>
    <s v="INTPG_ACC_414_1.61"/>
    <s v="ISEL-1.61"/>
    <n v="1"/>
    <s v="NO TIENE L3OUT"/>
    <n v="144"/>
    <n v="96"/>
  </r>
  <r>
    <n v="416"/>
    <x v="1"/>
    <x v="251"/>
    <s v="eth1/61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61"/>
    <x v="0"/>
    <x v="0"/>
    <x v="0"/>
    <s v="ITHRTC4ANBU1_ILO"/>
    <x v="6"/>
    <b v="0"/>
    <s v="No está en VPC"/>
    <n v="418"/>
    <s v="INTPG_ACC_418_1.61"/>
    <s v="ISEL-1.61"/>
    <n v="1"/>
    <s v="NO TIENE L3OUT"/>
    <n v="152"/>
    <n v="96"/>
  </r>
  <r>
    <n v="413"/>
    <x v="1"/>
    <x v="253"/>
    <s v="eth1/61"/>
    <x v="0"/>
    <x v="0"/>
    <x v="0"/>
    <s v="ECOSS"/>
    <x v="6"/>
    <b v="0"/>
    <s v="No está en VPC"/>
    <n v="413"/>
    <s v="INTPG_ACC_413_1.61"/>
    <s v="ISEL-1.61"/>
    <n v="1"/>
    <s v="NO TIENE L3OUT"/>
    <n v="126"/>
    <n v="96"/>
  </r>
  <r>
    <n v="403"/>
    <x v="1"/>
    <x v="254"/>
    <s v="eth1/61"/>
    <x v="0"/>
    <x v="1"/>
    <x v="1"/>
    <s v="ITHREDCR1A-CAS"/>
    <x v="6"/>
    <b v="0"/>
    <s v="No está en VPC"/>
    <n v="403"/>
    <s v="INTPG_ACC_403_1.61"/>
    <s v="ISEL-1.61"/>
    <n v="1"/>
    <s v="NO TIENE L3OUT"/>
    <n v="150"/>
    <n v="96"/>
  </r>
  <r>
    <n v="125"/>
    <x v="0"/>
    <x v="255"/>
    <s v="eth1/61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61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61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61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61"/>
    <x v="0"/>
    <x v="0"/>
    <x v="0"/>
    <s v="PMAX8_01A_S2"/>
    <x v="6"/>
    <b v="0"/>
    <s v="No está en VPC"/>
    <n v="106"/>
    <s v="INTPG_ACC_106_1.61"/>
    <s v="ISEL-1.61"/>
    <n v="1"/>
    <s v="NO TIENE L3OUT"/>
    <n v="122"/>
    <n v="96"/>
  </r>
  <r>
    <n v="126"/>
    <x v="0"/>
    <x v="260"/>
    <s v="eth1/61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61"/>
    <x v="0"/>
    <x v="0"/>
    <x v="0"/>
    <s v="VTA_uxvta072_Net3"/>
    <x v="6"/>
    <b v="0"/>
    <s v="No está en VPC"/>
    <n v="425"/>
    <s v="INTPG_ACC_425_1.61"/>
    <s v="ISEL-1.61"/>
    <n v="1"/>
    <s v="NO TIENE L3OUT"/>
    <n v="86"/>
    <n v="96"/>
  </r>
  <r>
    <n v="151"/>
    <x v="0"/>
    <x v="262"/>
    <s v="eth1/61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61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61"/>
    <x v="0"/>
    <x v="0"/>
    <x v="0"/>
    <s v="HP MSA 2040 (ARREGLO)"/>
    <x v="6"/>
    <b v="0"/>
    <s v="No está en VPC"/>
    <n v="419"/>
    <s v="INTPG_ACC_419_1.61"/>
    <s v="ISEL-1.61"/>
    <n v="1"/>
    <s v="NO TIENE L3OUT"/>
    <n v="70"/>
    <n v="96"/>
  </r>
  <r>
    <n v="155"/>
    <x v="0"/>
    <x v="265"/>
    <s v="eth1/61"/>
    <x v="0"/>
    <x v="0"/>
    <x v="0"/>
    <s v="ARIESO_GEOLOCALIZACION"/>
    <x v="6"/>
    <b v="0"/>
    <s v="No está en VPC"/>
    <n v="155"/>
    <s v="INTPG_ACC_155_1.61"/>
    <s v="ISEL-1.61"/>
    <n v="2"/>
    <s v="NO TIENE L3OUT"/>
    <n v="198"/>
    <n v="96"/>
  </r>
  <r>
    <n v="409"/>
    <x v="1"/>
    <x v="266"/>
    <s v="eth1/61"/>
    <x v="0"/>
    <x v="0"/>
    <x v="0"/>
    <s v="IMSI_PORT0_SW2"/>
    <x v="6"/>
    <b v="0"/>
    <s v="No está en VPC"/>
    <n v="409"/>
    <s v="INTPG_ACC_409_1.61"/>
    <s v="ISEL-1.61"/>
    <n v="1"/>
    <s v="NO TIENE L3OUT"/>
    <n v="128"/>
    <n v="96"/>
  </r>
  <r>
    <n v="422"/>
    <x v="1"/>
    <x v="267"/>
    <s v="eth1/61"/>
    <x v="0"/>
    <x v="0"/>
    <x v="0"/>
    <s v="IXTAI8"/>
    <x v="6"/>
    <b v="0"/>
    <s v="No está en VPC"/>
    <n v="422"/>
    <s v="INTPG_ACC_422_1.61"/>
    <s v="ISEL-1.61"/>
    <n v="1"/>
    <s v="NO TIENE L3OUT"/>
    <n v="182"/>
    <n v="96"/>
  </r>
  <r>
    <n v="436"/>
    <x v="1"/>
    <x v="268"/>
    <s v="eth1/61"/>
    <x v="0"/>
    <x v="0"/>
    <x v="0"/>
    <s v="TO-ITHFERNTCTLPFS02-Principal"/>
    <x v="6"/>
    <b v="0"/>
    <s v="No está en VPC"/>
    <n v="436"/>
    <s v="INTPG_ACC_436_1.61"/>
    <s v="ISEL-1.61"/>
    <n v="1"/>
    <s v="NO TIENE L3OUT"/>
    <n v="172"/>
    <n v="96"/>
  </r>
  <r>
    <n v="410"/>
    <x v="1"/>
    <x v="269"/>
    <s v="eth1/61"/>
    <x v="0"/>
    <x v="0"/>
    <x v="0"/>
    <s v="ITHRTC2OA2"/>
    <x v="6"/>
    <b v="0"/>
    <s v="No está en VPC"/>
    <n v="410"/>
    <s v="INTPG_ACC_410_1.61"/>
    <s v="ISEL-1.61"/>
    <n v="1"/>
    <s v="NO TIENE L3OUT"/>
    <n v="178"/>
    <n v="96"/>
  </r>
  <r>
    <n v="161"/>
    <x v="0"/>
    <x v="270"/>
    <s v="eth1/61"/>
    <x v="0"/>
    <x v="0"/>
    <x v="0"/>
    <s v="MULTIMEDIACION_1"/>
    <x v="6"/>
    <b v="0"/>
    <s v="No está en VPC"/>
    <n v="161"/>
    <s v="INTPG_ACC_161_1.61"/>
    <s v="ISEL-1.61"/>
    <n v="1"/>
    <s v="NO TIENE L3OUT"/>
    <n v="102"/>
    <n v="96"/>
  </r>
  <r>
    <n v="411"/>
    <x v="1"/>
    <x v="271"/>
    <s v="eth1/61"/>
    <x v="0"/>
    <x v="0"/>
    <x v="0"/>
    <s v="TO-ITHFHPNBURBKP08-PRINCIPAL"/>
    <x v="6"/>
    <b v="0"/>
    <s v="No está en VPC"/>
    <n v="411"/>
    <s v="INTPG_ACC_411_1.61"/>
    <s v="ISEL-1.61"/>
    <n v="1"/>
    <s v="NO TIENE L3OUT"/>
    <n v="96"/>
    <n v="96"/>
  </r>
  <r>
    <n v="116"/>
    <x v="0"/>
    <x v="272"/>
    <s v="eth1/61"/>
    <x v="0"/>
    <x v="1"/>
    <x v="1"/>
    <s v="USSD TANGO"/>
    <x v="6"/>
    <b v="0"/>
    <s v="No está en VPC"/>
    <n v="116"/>
    <s v="INTPG_ACC_116_1.61"/>
    <s v="ISEL-1.61"/>
    <n v="1"/>
    <s v="NO TIENE L3OUT"/>
    <n v="148"/>
    <n v="96"/>
  </r>
  <r>
    <n v="412"/>
    <x v="1"/>
    <x v="273"/>
    <s v="eth1/61"/>
    <x v="0"/>
    <x v="0"/>
    <x v="0"/>
    <s v="ITHRTC62OA2"/>
    <x v="6"/>
    <b v="0"/>
    <s v="No está en VPC"/>
    <n v="412"/>
    <s v="INTPG_ACC_412_1.61"/>
    <s v="ISEL-1.61"/>
    <n v="1"/>
    <s v="NO TIENE L3OUT"/>
    <n v="126"/>
    <n v="96"/>
  </r>
  <r>
    <n v="120"/>
    <x v="0"/>
    <x v="274"/>
    <s v="eth1/61"/>
    <x v="0"/>
    <x v="0"/>
    <x v="0"/>
    <s v="TRAP"/>
    <x v="6"/>
    <b v="0"/>
    <s v="No está en VPC"/>
    <n v="120"/>
    <s v="INTPG_PC_120_1.58-61"/>
    <s v="ISEL-1.61"/>
    <n v="1"/>
    <s v="NO TIENE L3OUT"/>
    <n v="158"/>
    <n v="96"/>
  </r>
  <r>
    <n v="404"/>
    <x v="1"/>
    <x v="275"/>
    <s v="eth1/61"/>
    <x v="0"/>
    <x v="1"/>
    <x v="1"/>
    <s v="uxcompr3"/>
    <x v="6"/>
    <b v="0"/>
    <s v="No está en VPC"/>
    <n v="404"/>
    <s v="INTPG_ACC_404_1.61"/>
    <s v="ISEL-1.61"/>
    <n v="1"/>
    <s v="NO TIENE L3OUT"/>
    <n v="92"/>
    <n v="96"/>
  </r>
  <r>
    <n v="167"/>
    <x v="0"/>
    <x v="276"/>
    <s v="eth1/61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61"/>
    <x v="0"/>
    <x v="0"/>
    <x v="0"/>
    <s v="ITHSSO1A"/>
    <x v="6"/>
    <b v="0"/>
    <s v="No está en VPC"/>
    <n v="428"/>
    <s v="INTPG_ACC_428_1.61"/>
    <s v="ISEL-1.61"/>
    <n v="1"/>
    <s v="NO TIENE L3OUT"/>
    <n v="102"/>
    <n v="96"/>
  </r>
  <r>
    <n v="105"/>
    <x v="0"/>
    <x v="205"/>
    <s v="eth1/62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62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62"/>
    <x v="0"/>
    <x v="1"/>
    <x v="1"/>
    <m/>
    <x v="6"/>
    <b v="0"/>
    <s v="No está en VPC"/>
    <n v="104"/>
    <s v="INTPG_ACC_104_1.62"/>
    <s v="ISEL-1.62"/>
    <n v="1"/>
    <s v="NO TIENE L3OUT"/>
    <n v="194"/>
    <n v="96"/>
  </r>
  <r>
    <n v="158"/>
    <x v="0"/>
    <x v="208"/>
    <s v="eth1/62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62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62"/>
    <x v="0"/>
    <x v="1"/>
    <x v="1"/>
    <s v="SAPCC"/>
    <x v="6"/>
    <b v="0"/>
    <s v="No está en VPC"/>
    <n v="112"/>
    <s v="INTPG_ACC_112_1.62"/>
    <s v="ISEL-1.62"/>
    <n v="1"/>
    <s v="NO TIENE L3OUT"/>
    <n v="144"/>
    <n v="96"/>
  </r>
  <r>
    <n v="107"/>
    <x v="0"/>
    <x v="213"/>
    <s v="eth1/62"/>
    <x v="1"/>
    <x v="1"/>
    <x v="2"/>
    <m/>
    <x v="6"/>
    <b v="0"/>
    <s v="No está en VPC"/>
    <n v="107"/>
    <s v="INTPG_PC_107_1.60-63"/>
    <s v="ISEL-1.62"/>
    <n v="0"/>
    <s v="NO TIENE L3OUT"/>
    <n v="118"/>
    <n v="96"/>
  </r>
  <r>
    <n v="109"/>
    <x v="0"/>
    <x v="214"/>
    <s v="eth1/62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62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62"/>
    <x v="0"/>
    <x v="1"/>
    <x v="1"/>
    <s v="SAPCC"/>
    <x v="6"/>
    <b v="0"/>
    <s v="No está en VPC"/>
    <n v="114"/>
    <s v="INTPG_ACC_114_1.62"/>
    <s v="ISEL-1.62"/>
    <n v="1"/>
    <s v="NO TIENE L3OUT"/>
    <n v="144"/>
    <n v="96"/>
  </r>
  <r>
    <n v="124"/>
    <x v="0"/>
    <x v="217"/>
    <s v="eth1/62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62"/>
    <x v="0"/>
    <x v="1"/>
    <x v="1"/>
    <s v="NOTIFICATION SERVER TANGO"/>
    <x v="6"/>
    <b v="0"/>
    <s v="No está en VPC"/>
    <n v="118"/>
    <s v="INTPG_ACC_118_1.62"/>
    <s v="ISEL-1.62"/>
    <n v="1"/>
    <s v="NO TIENE L3OUT"/>
    <n v="180"/>
    <n v="96"/>
  </r>
  <r>
    <n v="159"/>
    <x v="0"/>
    <x v="219"/>
    <s v="eth1/62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62"/>
    <x v="0"/>
    <x v="0"/>
    <x v="0"/>
    <s v="TO-ITHFHWHSMTLCN02_MGMT"/>
    <x v="6"/>
    <b v="0"/>
    <s v="No está en VPC"/>
    <n v="110"/>
    <s v="INTPG_ACC_110_1.62"/>
    <s v="ISEL-1.62"/>
    <n v="1"/>
    <s v="NO TIENE L3OUT"/>
    <n v="102"/>
    <n v="96"/>
  </r>
  <r>
    <n v="163"/>
    <x v="0"/>
    <x v="223"/>
    <s v="eth1/62"/>
    <x v="0"/>
    <x v="1"/>
    <x v="1"/>
    <s v="MULTIMEDIACION"/>
    <x v="6"/>
    <b v="0"/>
    <s v="No está en VPC"/>
    <n v="163"/>
    <s v="INTPG_ACC_163_1.62"/>
    <s v="ISEL-1.62"/>
    <n v="1"/>
    <s v="NO TIENE L3OUT"/>
    <n v="140"/>
    <n v="96"/>
  </r>
  <r>
    <n v="407"/>
    <x v="1"/>
    <x v="224"/>
    <s v="eth1/62"/>
    <x v="0"/>
    <x v="0"/>
    <x v="0"/>
    <s v="UXIMSI2_IXGBE0"/>
    <x v="6"/>
    <b v="0"/>
    <s v="No está en VPC"/>
    <n v="407"/>
    <s v="INTPG_ACC_407_1.62"/>
    <s v="ISEL-1.62"/>
    <n v="1"/>
    <s v="NO TIENE L3OUT"/>
    <n v="122"/>
    <n v="96"/>
  </r>
  <r>
    <n v="171"/>
    <x v="0"/>
    <x v="225"/>
    <s v="eth1/62"/>
    <x v="1"/>
    <x v="1"/>
    <x v="2"/>
    <s v="SRS (Speedy Rating System)"/>
    <x v="6"/>
    <b v="0"/>
    <s v="No está en VPC"/>
    <n v="171"/>
    <s v="INTPG_ACC_171_1.62"/>
    <s v="ISEL-1.62"/>
    <n v="1"/>
    <s v="NO TIENE L3OUT"/>
    <n v="114"/>
    <n v="96"/>
  </r>
  <r>
    <n v="421"/>
    <x v="1"/>
    <x v="226"/>
    <s v="eth1/62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62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62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62"/>
    <x v="0"/>
    <x v="0"/>
    <x v="0"/>
    <s v="TO-SRSIXT_01_F5"/>
    <x v="6"/>
    <b v="0"/>
    <s v="No está en VPC"/>
    <n v="172"/>
    <s v="INTPG_PC_172_1.62_63"/>
    <s v="ISEL-1.62"/>
    <n v="5"/>
    <s v="NO TIENE L3OUT"/>
    <n v="104"/>
    <n v="96"/>
  </r>
  <r>
    <n v="420"/>
    <x v="1"/>
    <x v="230"/>
    <s v="eth1/62"/>
    <x v="0"/>
    <x v="0"/>
    <x v="0"/>
    <s v="R9IXTILO-9"/>
    <x v="6"/>
    <b v="0"/>
    <s v="No está en VPC"/>
    <n v="420"/>
    <s v="INTPG_ACC_420_1.62"/>
    <s v="ISEL-1.62"/>
    <n v="1"/>
    <s v="NO TIENE L3OUT"/>
    <n v="158"/>
    <n v="96"/>
  </r>
  <r>
    <n v="423"/>
    <x v="1"/>
    <x v="231"/>
    <s v="eth1/62"/>
    <x v="0"/>
    <x v="0"/>
    <x v="0"/>
    <s v="HP Proliant DL380p(e)"/>
    <x v="6"/>
    <b v="0"/>
    <s v="No está en VPC"/>
    <n v="423"/>
    <s v="INTPG_ACC_423_1.62"/>
    <s v="ISEL-1.62"/>
    <n v="1"/>
    <s v="NO TIENE L3OUT"/>
    <n v="86"/>
    <n v="96"/>
  </r>
  <r>
    <n v="415"/>
    <x v="1"/>
    <x v="232"/>
    <s v="eth1/62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62"/>
    <x v="0"/>
    <x v="1"/>
    <x v="1"/>
    <s v="BLACKBERRY:SECURITY TEST:VC2-X6"/>
    <x v="6"/>
    <b v="0"/>
    <s v="No está en VPC"/>
    <n v="102"/>
    <s v="INTPG_PC_102_1.52_57-63"/>
    <s v="ISEL-1.62"/>
    <n v="32"/>
    <s v="NO TIENE L3OUT"/>
    <n v="228"/>
    <n v="96"/>
  </r>
  <r>
    <n v="122"/>
    <x v="0"/>
    <x v="237"/>
    <s v="eth1/62"/>
    <x v="0"/>
    <x v="1"/>
    <x v="1"/>
    <s v="IXTTRAP-ETL"/>
    <x v="6"/>
    <b v="0"/>
    <s v="No está en VPC"/>
    <n v="122"/>
    <s v="INTPG_ACC_122_1.62"/>
    <s v="ISEL-1.62"/>
    <n v="1"/>
    <s v="NO TIENE L3OUT"/>
    <n v="148"/>
    <n v="96"/>
  </r>
  <r>
    <n v="157"/>
    <x v="0"/>
    <x v="238"/>
    <s v="eth1/62"/>
    <x v="0"/>
    <x v="0"/>
    <x v="0"/>
    <s v="Consolidaci\u00f3n Aplicaciones Prepago_1"/>
    <x v="6"/>
    <b v="0"/>
    <s v="No está en VPC"/>
    <n v="157"/>
    <s v="INTPG_ACC_157_1.62"/>
    <s v="ISEL-1.62"/>
    <n v="1"/>
    <s v="NO TIENE L3OUT"/>
    <n v="202"/>
    <n v="96"/>
  </r>
  <r>
    <n v="408"/>
    <x v="1"/>
    <x v="239"/>
    <s v="eth1/62"/>
    <x v="0"/>
    <x v="0"/>
    <x v="0"/>
    <s v="DESC"/>
    <x v="6"/>
    <b v="0"/>
    <s v="No está en VPC"/>
    <n v="408"/>
    <s v="INTPG_PC_408_1.61-62"/>
    <s v="ISEL-1.62"/>
    <n v="1"/>
    <s v="NO TIENE L3OUT"/>
    <n v="152"/>
    <n v="96"/>
  </r>
  <r>
    <n v="405"/>
    <x v="1"/>
    <x v="240"/>
    <s v="eth1/62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62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62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62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62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62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62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62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62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62"/>
    <x v="0"/>
    <x v="0"/>
    <x v="0"/>
    <s v="WASII_4B"/>
    <x v="6"/>
    <b v="0"/>
    <s v="No está en VPC"/>
    <n v="406"/>
    <s v="INTPG_PC_406_1.61-62"/>
    <s v="ISEL-1.62"/>
    <n v="1"/>
    <s v="NO TIENE L3OUT"/>
    <n v="82"/>
    <n v="96"/>
  </r>
  <r>
    <n v="414"/>
    <x v="1"/>
    <x v="250"/>
    <s v="eth1/62"/>
    <x v="0"/>
    <x v="0"/>
    <x v="0"/>
    <s v="HMC_comisiones3"/>
    <x v="6"/>
    <b v="0"/>
    <s v="No está en VPC"/>
    <n v="414"/>
    <s v="INTPG_ACC_414_1.62"/>
    <s v="ISEL-1.62"/>
    <n v="1"/>
    <s v="NO TIENE L3OUT"/>
    <n v="144"/>
    <n v="96"/>
  </r>
  <r>
    <n v="416"/>
    <x v="1"/>
    <x v="251"/>
    <s v="eth1/62"/>
    <x v="0"/>
    <x v="0"/>
    <x v="0"/>
    <s v="GESTION_NETWORK_VIEW_DNS"/>
    <x v="6"/>
    <b v="0"/>
    <s v="No está en VPC"/>
    <n v="416"/>
    <s v="INTPG_ACC_416_1.62"/>
    <s v="ISEL-1.62"/>
    <n v="1"/>
    <s v="NO TIENE L3OUT"/>
    <n v="110"/>
    <n v="96"/>
  </r>
  <r>
    <n v="418"/>
    <x v="1"/>
    <x v="252"/>
    <s v="eth1/62"/>
    <x v="0"/>
    <x v="0"/>
    <x v="0"/>
    <s v="ITHRTC4BEN1VC1x4"/>
    <x v="6"/>
    <b v="0"/>
    <s v="No está en VPC"/>
    <n v="418"/>
    <s v="INTPG_ACC_418_1.62"/>
    <s v="ISEL-1.62"/>
    <n v="1"/>
    <s v="NO TIENE L3OUT"/>
    <n v="152"/>
    <n v="96"/>
  </r>
  <r>
    <n v="413"/>
    <x v="1"/>
    <x v="253"/>
    <s v="eth1/62"/>
    <x v="0"/>
    <x v="0"/>
    <x v="0"/>
    <s v="IXTSRM1"/>
    <x v="6"/>
    <b v="0"/>
    <s v="No está en VPC"/>
    <n v="413"/>
    <s v="INTPG_ACC_413_1.62"/>
    <s v="ISEL-1.62"/>
    <n v="1"/>
    <s v="NO TIENE L3OUT"/>
    <n v="126"/>
    <n v="96"/>
  </r>
  <r>
    <n v="403"/>
    <x v="1"/>
    <x v="254"/>
    <s v="eth1/62"/>
    <x v="0"/>
    <x v="0"/>
    <x v="0"/>
    <s v="SRX240-TELCEL2-NODE0"/>
    <x v="6"/>
    <b v="0"/>
    <s v="No está en VPC"/>
    <n v="403"/>
    <s v="INTPG_ACC_403_1.62"/>
    <s v="ISEL-1.62"/>
    <n v="1"/>
    <s v="NO TIENE L3OUT"/>
    <n v="150"/>
    <n v="96"/>
  </r>
  <r>
    <n v="125"/>
    <x v="0"/>
    <x v="255"/>
    <s v="eth1/62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62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62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62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62"/>
    <x v="0"/>
    <x v="0"/>
    <x v="0"/>
    <s v="TO-UXF5IXT39K01"/>
    <x v="6"/>
    <b v="0"/>
    <s v="No está en VPC"/>
    <n v="106"/>
    <s v="INTPG_VPC_106_1.62_107_1.28"/>
    <s v="ISEL-1.62"/>
    <n v="2"/>
    <s v="NO TIENE L3OUT"/>
    <n v="122"/>
    <n v="96"/>
  </r>
  <r>
    <n v="126"/>
    <x v="0"/>
    <x v="260"/>
    <s v="eth1/62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62"/>
    <x v="0"/>
    <x v="0"/>
    <x v="0"/>
    <s v="VTA_uxvta082_Net3"/>
    <x v="6"/>
    <b v="0"/>
    <s v="No está en VPC"/>
    <n v="425"/>
    <s v="INTPG_ACC_425_1.62"/>
    <s v="ISEL-1.62"/>
    <n v="1"/>
    <s v="NO TIENE L3OUT"/>
    <n v="86"/>
    <n v="96"/>
  </r>
  <r>
    <n v="151"/>
    <x v="0"/>
    <x v="262"/>
    <s v="eth1/62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62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62"/>
    <x v="0"/>
    <x v="0"/>
    <x v="0"/>
    <s v="SAN SWITCH A"/>
    <x v="6"/>
    <b v="0"/>
    <s v="No está en VPC"/>
    <n v="419"/>
    <s v="INTPG_ACC_419_1.62"/>
    <s v="ISEL-1.62"/>
    <n v="1"/>
    <s v="NO TIENE L3OUT"/>
    <n v="70"/>
    <n v="96"/>
  </r>
  <r>
    <n v="155"/>
    <x v="0"/>
    <x v="265"/>
    <s v="eth1/62"/>
    <x v="0"/>
    <x v="0"/>
    <x v="0"/>
    <s v="ARIESO_GEOLOCALIZACION"/>
    <x v="6"/>
    <b v="0"/>
    <s v="No está en VPC"/>
    <n v="155"/>
    <s v="INTPG_ACC_155_1.62"/>
    <s v="ISEL-1.62"/>
    <n v="2"/>
    <s v="NO TIENE L3OUT"/>
    <n v="198"/>
    <n v="96"/>
  </r>
  <r>
    <n v="409"/>
    <x v="1"/>
    <x v="266"/>
    <s v="eth1/62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62"/>
    <x v="0"/>
    <x v="1"/>
    <x v="1"/>
    <s v="PORTAB1"/>
    <x v="6"/>
    <b v="0"/>
    <s v="No está en VPC"/>
    <n v="422"/>
    <s v="INTPG_ACC_422_1.62"/>
    <s v="ISEL-1.62"/>
    <n v="1"/>
    <s v="NO TIENE L3OUT"/>
    <n v="182"/>
    <n v="96"/>
  </r>
  <r>
    <n v="436"/>
    <x v="1"/>
    <x v="268"/>
    <s v="eth1/62"/>
    <x v="0"/>
    <x v="0"/>
    <x v="0"/>
    <s v="TO-ithfdlroamrap01-Principal"/>
    <x v="6"/>
    <b v="0"/>
    <s v="No está en VPC"/>
    <n v="436"/>
    <s v="INTPG_ACC_436_1.62"/>
    <s v="ISEL-1.62"/>
    <n v="1"/>
    <s v="NO TIENE L3OUT"/>
    <n v="172"/>
    <n v="96"/>
  </r>
  <r>
    <n v="410"/>
    <x v="1"/>
    <x v="269"/>
    <s v="eth1/62"/>
    <x v="0"/>
    <x v="0"/>
    <x v="0"/>
    <s v="ITHRTC2OA2"/>
    <x v="6"/>
    <b v="0"/>
    <s v="No está en VPC"/>
    <n v="410"/>
    <s v="INTPG_ACC_410_1.62"/>
    <s v="ISEL-1.62"/>
    <n v="1"/>
    <s v="NO TIENE L3OUT"/>
    <n v="178"/>
    <n v="96"/>
  </r>
  <r>
    <n v="161"/>
    <x v="0"/>
    <x v="270"/>
    <s v="eth1/62"/>
    <x v="0"/>
    <x v="0"/>
    <x v="0"/>
    <s v="UPGRADE _HP_OV"/>
    <x v="6"/>
    <b v="0"/>
    <s v="No está en VPC"/>
    <n v="161"/>
    <s v="INTPG_ACC_161_1.62"/>
    <s v="ISEL-1.62"/>
    <n v="1"/>
    <s v="NO TIENE L3OUT"/>
    <n v="102"/>
    <n v="96"/>
  </r>
  <r>
    <n v="411"/>
    <x v="1"/>
    <x v="271"/>
    <s v="eth1/62"/>
    <x v="0"/>
    <x v="0"/>
    <x v="0"/>
    <s v="TO-ITHFHPNBURBKP09-PRINCIPAL"/>
    <x v="6"/>
    <b v="0"/>
    <s v="No está en VPC"/>
    <n v="411"/>
    <s v="INTPG_ACC_411_1.62"/>
    <s v="ISEL-1.62"/>
    <n v="1"/>
    <s v="NO TIENE L3OUT"/>
    <n v="96"/>
    <n v="96"/>
  </r>
  <r>
    <n v="116"/>
    <x v="0"/>
    <x v="272"/>
    <s v="eth1/62"/>
    <x v="0"/>
    <x v="0"/>
    <x v="0"/>
    <s v="ASAP BATCH"/>
    <x v="6"/>
    <b v="0"/>
    <s v="No está en VPC"/>
    <n v="116"/>
    <s v="INTPG_ACC_116_1.62"/>
    <s v="ISEL-1.62"/>
    <n v="1"/>
    <s v="NO TIENE L3OUT"/>
    <n v="148"/>
    <n v="96"/>
  </r>
  <r>
    <n v="412"/>
    <x v="1"/>
    <x v="273"/>
    <s v="eth1/62"/>
    <x v="0"/>
    <x v="0"/>
    <x v="0"/>
    <s v="ITHRTC2NB2"/>
    <x v="6"/>
    <b v="0"/>
    <s v="No está en VPC"/>
    <n v="412"/>
    <s v="INTPG_ACC_412_1.62"/>
    <s v="ISEL-1.62"/>
    <n v="1"/>
    <s v="NO TIENE L3OUT"/>
    <n v="126"/>
    <n v="96"/>
  </r>
  <r>
    <n v="120"/>
    <x v="0"/>
    <x v="274"/>
    <s v="eth1/62"/>
    <x v="1"/>
    <x v="1"/>
    <x v="2"/>
    <s v="N/A"/>
    <x v="6"/>
    <b v="0"/>
    <s v="No está en VPC"/>
    <n v="120"/>
    <s v="INTPG_ACC_120_1.62"/>
    <s v="ISEL-1.62"/>
    <n v="1"/>
    <s v="NO TIENE L3OUT"/>
    <n v="158"/>
    <n v="96"/>
  </r>
  <r>
    <n v="404"/>
    <x v="1"/>
    <x v="275"/>
    <s v="eth1/62"/>
    <x v="0"/>
    <x v="0"/>
    <x v="0"/>
    <s v="HMC_comisiones3"/>
    <x v="6"/>
    <b v="0"/>
    <s v="No está en VPC"/>
    <n v="404"/>
    <s v="INTPG_ACC_404_1.62"/>
    <s v="ISEL-1.62"/>
    <n v="1"/>
    <s v="NO TIENE L3OUT"/>
    <n v="92"/>
    <n v="96"/>
  </r>
  <r>
    <n v="167"/>
    <x v="0"/>
    <x v="276"/>
    <s v="eth1/62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62"/>
    <x v="0"/>
    <x v="0"/>
    <x v="0"/>
    <s v="ITHSSO1A"/>
    <x v="6"/>
    <b v="0"/>
    <s v="No está en VPC"/>
    <n v="428"/>
    <s v="INTPG_ACC_428_1.62"/>
    <s v="ISEL-1.62"/>
    <n v="1"/>
    <s v="NO TIENE L3OUT"/>
    <n v="102"/>
    <n v="96"/>
  </r>
  <r>
    <n v="105"/>
    <x v="0"/>
    <x v="205"/>
    <s v="eth1/63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63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63"/>
    <x v="0"/>
    <x v="1"/>
    <x v="1"/>
    <m/>
    <x v="6"/>
    <b v="0"/>
    <s v="No está en VPC"/>
    <n v="104"/>
    <s v="INTPG_ACC_104_1.63"/>
    <s v="ISEL-1.63"/>
    <n v="1"/>
    <s v="NO TIENE L3OUT"/>
    <n v="194"/>
    <n v="96"/>
  </r>
  <r>
    <n v="158"/>
    <x v="0"/>
    <x v="208"/>
    <s v="eth1/63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63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63"/>
    <x v="0"/>
    <x v="1"/>
    <x v="1"/>
    <s v="SAPCC"/>
    <x v="6"/>
    <b v="0"/>
    <s v="No está en VPC"/>
    <n v="112"/>
    <s v="INTPG_ACC_112_1.63"/>
    <s v="ISEL-1.63"/>
    <n v="1"/>
    <s v="NO TIENE L3OUT"/>
    <n v="144"/>
    <n v="96"/>
  </r>
  <r>
    <n v="107"/>
    <x v="0"/>
    <x v="213"/>
    <s v="eth1/63"/>
    <x v="1"/>
    <x v="1"/>
    <x v="2"/>
    <m/>
    <x v="6"/>
    <b v="0"/>
    <s v="No está en VPC"/>
    <n v="107"/>
    <s v="INTPG_PC_107_1.60-63"/>
    <s v="ISEL-1.63"/>
    <n v="0"/>
    <s v="NO TIENE L3OUT"/>
    <n v="118"/>
    <n v="96"/>
  </r>
  <r>
    <n v="109"/>
    <x v="0"/>
    <x v="214"/>
    <s v="eth1/63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63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63"/>
    <x v="0"/>
    <x v="0"/>
    <x v="0"/>
    <s v="ITHAS1B RACK 1"/>
    <x v="6"/>
    <b v="0"/>
    <s v="No está en VPC"/>
    <n v="114"/>
    <s v="INTPG_ACC_114_1.63"/>
    <s v="ISEL-1.63"/>
    <n v="1"/>
    <s v="NO TIENE L3OUT"/>
    <n v="144"/>
    <n v="96"/>
  </r>
  <r>
    <n v="124"/>
    <x v="0"/>
    <x v="217"/>
    <s v="eth1/63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63"/>
    <x v="0"/>
    <x v="1"/>
    <x v="1"/>
    <s v="NOTIFICATION SERVER TANGO"/>
    <x v="6"/>
    <b v="0"/>
    <s v="No está en VPC"/>
    <n v="118"/>
    <s v="INTPG_ACC_118_1.63"/>
    <s v="ISEL-1.63"/>
    <n v="1"/>
    <s v="NO TIENE L3OUT"/>
    <n v="180"/>
    <n v="96"/>
  </r>
  <r>
    <n v="159"/>
    <x v="0"/>
    <x v="219"/>
    <s v="eth1/63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63"/>
    <x v="0"/>
    <x v="0"/>
    <x v="0"/>
    <s v="TO-ITHFHWHSMTLCN03_MGMT"/>
    <x v="6"/>
    <b v="0"/>
    <s v="No está en VPC"/>
    <n v="110"/>
    <s v="INTPG_ACC_110_1.63"/>
    <s v="ISEL-1.63"/>
    <n v="1"/>
    <s v="NO TIENE L3OUT"/>
    <n v="102"/>
    <n v="96"/>
  </r>
  <r>
    <n v="163"/>
    <x v="0"/>
    <x v="223"/>
    <s v="eth1/63"/>
    <x v="0"/>
    <x v="1"/>
    <x v="5"/>
    <m/>
    <x v="6"/>
    <b v="0"/>
    <s v="No está en VPC"/>
    <n v="163"/>
    <s v="INTPG_VPC_163_1.63_161_1.55"/>
    <s v="ISEL-1.63"/>
    <n v="1"/>
    <s v="NO TIENE L3OUT"/>
    <n v="140"/>
    <n v="96"/>
  </r>
  <r>
    <n v="407"/>
    <x v="1"/>
    <x v="224"/>
    <s v="eth1/63"/>
    <x v="0"/>
    <x v="0"/>
    <x v="0"/>
    <s v="IMSI_PORT0_SW1"/>
    <x v="6"/>
    <b v="0"/>
    <s v="No está en VPC"/>
    <n v="407"/>
    <s v="INTPG_ACC_407_1.63"/>
    <s v="ISEL-1.63"/>
    <n v="1"/>
    <s v="NO TIENE L3OUT"/>
    <n v="122"/>
    <n v="96"/>
  </r>
  <r>
    <n v="171"/>
    <x v="0"/>
    <x v="225"/>
    <s v="eth1/63"/>
    <x v="1"/>
    <x v="1"/>
    <x v="2"/>
    <s v="SRS (Speedy Rating System)"/>
    <x v="6"/>
    <b v="0"/>
    <s v="No está en VPC"/>
    <n v="171"/>
    <s v="INTPG_ACC_171_1.63"/>
    <s v="ISEL-1.63"/>
    <n v="1"/>
    <s v="NO TIENE L3OUT"/>
    <n v="114"/>
    <n v="96"/>
  </r>
  <r>
    <n v="421"/>
    <x v="1"/>
    <x v="226"/>
    <s v="eth1/63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63"/>
    <x v="0"/>
    <x v="1"/>
    <x v="1"/>
    <s v="SRSIXT02_CLIENT1"/>
    <x v="6"/>
    <b v="0"/>
    <s v="No está en VPC"/>
    <n v="173"/>
    <s v="INTPG_VPC_126_1.66_173_1.63"/>
    <s v="ISEL-1.63"/>
    <n v="1"/>
    <s v="NO TIENE L3OUT"/>
    <n v="66"/>
    <n v="96"/>
  </r>
  <r>
    <n v="154"/>
    <x v="0"/>
    <x v="228"/>
    <s v="eth1/63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63"/>
    <x v="0"/>
    <x v="0"/>
    <x v="0"/>
    <s v="TO-SRSIXT_01_F5"/>
    <x v="6"/>
    <b v="0"/>
    <s v="No está en VPC"/>
    <n v="172"/>
    <s v="INTPG_PC_172_1.62_63"/>
    <s v="ISEL-1.63"/>
    <n v="5"/>
    <s v="NO TIENE L3OUT"/>
    <n v="104"/>
    <n v="96"/>
  </r>
  <r>
    <n v="420"/>
    <x v="1"/>
    <x v="230"/>
    <s v="eth1/63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63"/>
    <x v="0"/>
    <x v="0"/>
    <x v="0"/>
    <s v="HP Proliant DL380p(e)"/>
    <x v="6"/>
    <b v="0"/>
    <s v="No está en VPC"/>
    <n v="423"/>
    <s v="INTPG_ACC_423_1.63"/>
    <s v="ISEL-1.63"/>
    <n v="1"/>
    <s v="NO TIENE L3OUT"/>
    <n v="86"/>
    <n v="96"/>
  </r>
  <r>
    <n v="415"/>
    <x v="1"/>
    <x v="232"/>
    <s v="eth1/63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63"/>
    <x v="0"/>
    <x v="1"/>
    <x v="1"/>
    <s v="BLACKBERRY:SECURITY TEST:VC2-X7"/>
    <x v="6"/>
    <b v="0"/>
    <s v="No está en VPC"/>
    <n v="102"/>
    <s v="INTPG_PC_102_1.52_57-63"/>
    <s v="ISEL-1.63"/>
    <n v="32"/>
    <s v="NO TIENE L3OUT"/>
    <n v="228"/>
    <n v="96"/>
  </r>
  <r>
    <n v="122"/>
    <x v="0"/>
    <x v="237"/>
    <s v="eth1/63"/>
    <x v="0"/>
    <x v="0"/>
    <x v="0"/>
    <s v="IXTTRAP-ETL"/>
    <x v="6"/>
    <b v="0"/>
    <s v="No está en VPC"/>
    <n v="122"/>
    <s v="INTPG_ACC_122_1.63"/>
    <s v="ISEL-1.63"/>
    <n v="1"/>
    <s v="NO TIENE L3OUT"/>
    <n v="148"/>
    <n v="96"/>
  </r>
  <r>
    <n v="157"/>
    <x v="0"/>
    <x v="238"/>
    <s v="eth1/63"/>
    <x v="0"/>
    <x v="0"/>
    <x v="0"/>
    <s v="Consolidaci\u00f3n Aplicaciones Prepago"/>
    <x v="6"/>
    <b v="0"/>
    <s v="No está en VPC"/>
    <n v="157"/>
    <s v="INTPG_ACC_157_1.63"/>
    <s v="ISEL-1.63"/>
    <n v="1"/>
    <s v="NO TIENE L3OUT"/>
    <n v="202"/>
    <n v="96"/>
  </r>
  <r>
    <n v="408"/>
    <x v="1"/>
    <x v="239"/>
    <s v="eth1/63"/>
    <x v="0"/>
    <x v="0"/>
    <x v="0"/>
    <s v="ITHRTC51VC1X4"/>
    <x v="6"/>
    <b v="0"/>
    <s v="No está en VPC"/>
    <n v="408"/>
    <s v="INTPG_ACC_408_1.63"/>
    <s v="ISEL-1.63"/>
    <n v="1"/>
    <s v="NO TIENE L3OUT"/>
    <n v="152"/>
    <n v="96"/>
  </r>
  <r>
    <n v="405"/>
    <x v="1"/>
    <x v="240"/>
    <s v="eth1/63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63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63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63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63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63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63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63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63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63"/>
    <x v="0"/>
    <x v="0"/>
    <x v="0"/>
    <m/>
    <x v="6"/>
    <b v="0"/>
    <s v="No está en VPC"/>
    <n v="406"/>
    <s v="NO EXISTE PG"/>
    <s v="NO EXISTE ISEL"/>
    <n v="0"/>
    <s v="NO TIENE L3OUT"/>
    <n v="82"/>
    <n v="96"/>
  </r>
  <r>
    <n v="414"/>
    <x v="1"/>
    <x v="250"/>
    <s v="eth1/63"/>
    <x v="0"/>
    <x v="1"/>
    <x v="1"/>
    <s v="uxcompr4"/>
    <x v="6"/>
    <b v="0"/>
    <s v="No está en VPC"/>
    <n v="414"/>
    <s v="INTPG_ACC_414_1.63"/>
    <s v="ISEL-1.63"/>
    <n v="1"/>
    <s v="NO TIENE L3OUT"/>
    <n v="144"/>
    <n v="96"/>
  </r>
  <r>
    <n v="416"/>
    <x v="1"/>
    <x v="251"/>
    <s v="eth1/63"/>
    <x v="0"/>
    <x v="0"/>
    <x v="0"/>
    <s v="DNS_NOMINUM"/>
    <x v="6"/>
    <b v="0"/>
    <s v="No está en VPC"/>
    <n v="416"/>
    <s v="INTPG_ACC_416_1.63"/>
    <s v="ISEL-1.63"/>
    <n v="1"/>
    <s v="NO TIENE L3OUT"/>
    <n v="110"/>
    <n v="96"/>
  </r>
  <r>
    <n v="418"/>
    <x v="1"/>
    <x v="252"/>
    <s v="eth1/63"/>
    <x v="0"/>
    <x v="0"/>
    <x v="0"/>
    <s v="ITHRTC4BEN2VC1x4"/>
    <x v="6"/>
    <b v="0"/>
    <s v="No está en VPC"/>
    <n v="418"/>
    <s v="INTPG_ACC_418_1.63"/>
    <s v="ISEL-1.63"/>
    <n v="1"/>
    <s v="NO TIENE L3OUT"/>
    <n v="152"/>
    <n v="96"/>
  </r>
  <r>
    <n v="413"/>
    <x v="1"/>
    <x v="253"/>
    <s v="eth1/63"/>
    <x v="0"/>
    <x v="0"/>
    <x v="0"/>
    <s v="IXTSRM1_VM1"/>
    <x v="6"/>
    <b v="0"/>
    <s v="No está en VPC"/>
    <n v="413"/>
    <s v="INTPG_ACC_413_1.63"/>
    <s v="ISEL-1.63"/>
    <n v="1"/>
    <s v="NO TIENE L3OUT"/>
    <n v="126"/>
    <n v="96"/>
  </r>
  <r>
    <n v="403"/>
    <x v="1"/>
    <x v="254"/>
    <s v="eth1/63"/>
    <x v="0"/>
    <x v="0"/>
    <x v="0"/>
    <s v="TO-ITHFDLMCLWLCN02-Principal"/>
    <x v="6"/>
    <b v="0"/>
    <s v="No está en VPC"/>
    <n v="403"/>
    <s v="INTPG_ACC_403_1.63"/>
    <s v="ISEL-1.63"/>
    <n v="1"/>
    <s v="NO TIENE L3OUT"/>
    <n v="150"/>
    <n v="96"/>
  </r>
  <r>
    <n v="125"/>
    <x v="0"/>
    <x v="255"/>
    <s v="eth1/63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63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63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63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63"/>
    <x v="0"/>
    <x v="0"/>
    <x v="0"/>
    <s v="TO-UXF5IXT39K02"/>
    <x v="6"/>
    <b v="0"/>
    <s v="No está en VPC"/>
    <n v="106"/>
    <s v="INTPG_VPC_106_1.63_107_1.29"/>
    <s v="ISEL-1.63"/>
    <n v="2"/>
    <s v="NO TIENE L3OUT"/>
    <n v="122"/>
    <n v="96"/>
  </r>
  <r>
    <n v="126"/>
    <x v="0"/>
    <x v="260"/>
    <s v="eth1/63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63"/>
    <x v="0"/>
    <x v="0"/>
    <x v="0"/>
    <s v="PROD3_SP1"/>
    <x v="6"/>
    <b v="0"/>
    <s v="No está en VPC"/>
    <n v="425"/>
    <s v="INTPG_ACC_425_1.63"/>
    <s v="ISEL-1.63"/>
    <n v="1"/>
    <s v="NO TIENE L3OUT"/>
    <n v="86"/>
    <n v="96"/>
  </r>
  <r>
    <n v="151"/>
    <x v="0"/>
    <x v="262"/>
    <s v="eth1/63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63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63"/>
    <x v="0"/>
    <x v="0"/>
    <x v="0"/>
    <s v="HP Proliant DL380p(A)"/>
    <x v="6"/>
    <b v="0"/>
    <s v="No está en VPC"/>
    <n v="419"/>
    <s v="INTPG_ACC_419_1.63"/>
    <s v="ISEL-1.63"/>
    <n v="1"/>
    <s v="NO TIENE L3OUT"/>
    <n v="70"/>
    <n v="96"/>
  </r>
  <r>
    <n v="155"/>
    <x v="0"/>
    <x v="265"/>
    <s v="eth1/63"/>
    <x v="0"/>
    <x v="0"/>
    <x v="0"/>
    <s v="ARIESO_GEOLOCALIZACION"/>
    <x v="6"/>
    <b v="0"/>
    <s v="No está en VPC"/>
    <n v="155"/>
    <s v="INTPG_ACC_155_1.63"/>
    <s v="ISEL-1.63"/>
    <n v="2"/>
    <s v="NO TIENE L3OUT"/>
    <n v="198"/>
    <n v="96"/>
  </r>
  <r>
    <n v="409"/>
    <x v="1"/>
    <x v="266"/>
    <s v="eth1/63"/>
    <x v="1"/>
    <x v="1"/>
    <x v="2"/>
    <s v="IXT_SIEU"/>
    <x v="6"/>
    <b v="0"/>
    <s v="No está en VPC"/>
    <n v="409"/>
    <s v="INTPG_ACC_409_1.63"/>
    <s v="ISEL-1.63"/>
    <n v="0"/>
    <s v="NO TIENE L3OUT"/>
    <n v="128"/>
    <n v="96"/>
  </r>
  <r>
    <n v="422"/>
    <x v="1"/>
    <x v="267"/>
    <s v="eth1/63"/>
    <x v="0"/>
    <x v="1"/>
    <x v="1"/>
    <s v="PORTAB2"/>
    <x v="6"/>
    <b v="0"/>
    <s v="No está en VPC"/>
    <n v="422"/>
    <s v="INTPG_ACC_422_1.63"/>
    <s v="ISEL-1.63"/>
    <n v="1"/>
    <s v="NO TIENE L3OUT"/>
    <n v="182"/>
    <n v="96"/>
  </r>
  <r>
    <n v="436"/>
    <x v="1"/>
    <x v="268"/>
    <s v="eth1/63"/>
    <x v="0"/>
    <x v="0"/>
    <x v="0"/>
    <s v="PROD4_MGMT_prueba"/>
    <x v="6"/>
    <b v="0"/>
    <s v="No está en VPC"/>
    <n v="436"/>
    <s v="INTPG_ACC_436_1.63"/>
    <s v="ISEL-1.63"/>
    <n v="1"/>
    <s v="NO TIENE L3OUT"/>
    <n v="172"/>
    <n v="96"/>
  </r>
  <r>
    <n v="410"/>
    <x v="1"/>
    <x v="269"/>
    <s v="eth1/63"/>
    <x v="0"/>
    <x v="0"/>
    <x v="0"/>
    <s v="ITHRTC2NB2"/>
    <x v="6"/>
    <b v="0"/>
    <s v="No está en VPC"/>
    <n v="410"/>
    <s v="INTPG_ACC_410_1.63"/>
    <s v="ISEL-1.63"/>
    <n v="1"/>
    <s v="NO TIENE L3OUT"/>
    <n v="178"/>
    <n v="96"/>
  </r>
  <r>
    <n v="161"/>
    <x v="0"/>
    <x v="270"/>
    <s v="eth1/63"/>
    <x v="0"/>
    <x v="0"/>
    <x v="0"/>
    <s v="UPGRADE _HP_OV"/>
    <x v="6"/>
    <b v="0"/>
    <s v="No está en VPC"/>
    <n v="161"/>
    <s v="INTPG_ACC_161_1.63"/>
    <s v="ISEL-1.63"/>
    <n v="1"/>
    <s v="NO TIENE L3OUT"/>
    <n v="102"/>
    <n v="96"/>
  </r>
  <r>
    <n v="411"/>
    <x v="1"/>
    <x v="271"/>
    <s v="eth1/63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63"/>
    <x v="0"/>
    <x v="0"/>
    <x v="0"/>
    <s v="ASAP BATCH"/>
    <x v="6"/>
    <b v="0"/>
    <s v="No está en VPC"/>
    <n v="116"/>
    <s v="INTPG_ACC_116_1.63"/>
    <s v="ISEL-1.63"/>
    <n v="1"/>
    <s v="NO TIENE L3OUT"/>
    <n v="148"/>
    <n v="96"/>
  </r>
  <r>
    <n v="412"/>
    <x v="1"/>
    <x v="273"/>
    <s v="eth1/63"/>
    <x v="0"/>
    <x v="0"/>
    <x v="0"/>
    <s v="ITHRTCD3CONT3"/>
    <x v="6"/>
    <b v="0"/>
    <s v="No está en VPC"/>
    <n v="412"/>
    <s v="INTPG_ACC_412_1.63"/>
    <s v="ISEL-1.63"/>
    <n v="1"/>
    <s v="NO TIENE L3OUT"/>
    <n v="126"/>
    <n v="96"/>
  </r>
  <r>
    <n v="120"/>
    <x v="0"/>
    <x v="274"/>
    <s v="eth1/63"/>
    <x v="0"/>
    <x v="0"/>
    <x v="0"/>
    <s v="TRAP"/>
    <x v="6"/>
    <b v="0"/>
    <s v="No está en VPC"/>
    <n v="120"/>
    <s v="INTPG_PC_120_1.63-65"/>
    <s v="ISEL-1.63"/>
    <n v="1"/>
    <s v="NO TIENE L3OUT"/>
    <n v="158"/>
    <n v="96"/>
  </r>
  <r>
    <n v="404"/>
    <x v="1"/>
    <x v="275"/>
    <s v="eth1/63"/>
    <x v="0"/>
    <x v="1"/>
    <x v="1"/>
    <s v="uxcompr4"/>
    <x v="6"/>
    <b v="0"/>
    <s v="No está en VPC"/>
    <n v="404"/>
    <s v="INTPG_ACC_404_1.63"/>
    <s v="ISEL-1.63"/>
    <n v="1"/>
    <s v="NO TIENE L3OUT"/>
    <n v="92"/>
    <n v="96"/>
  </r>
  <r>
    <n v="167"/>
    <x v="0"/>
    <x v="276"/>
    <s v="eth1/63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63"/>
    <x v="0"/>
    <x v="0"/>
    <x v="0"/>
    <s v="ITHSSO1A"/>
    <x v="6"/>
    <b v="0"/>
    <s v="No está en VPC"/>
    <n v="428"/>
    <s v="INTPG_ACC_428_1.63"/>
    <s v="ISEL-1.63"/>
    <n v="1"/>
    <s v="NO TIENE L3OUT"/>
    <n v="102"/>
    <n v="96"/>
  </r>
  <r>
    <n v="105"/>
    <x v="0"/>
    <x v="205"/>
    <s v="eth1/64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64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64"/>
    <x v="0"/>
    <x v="1"/>
    <x v="1"/>
    <m/>
    <x v="6"/>
    <b v="0"/>
    <s v="No está en VPC"/>
    <n v="104"/>
    <s v="INTPG_ACC_104_1.64"/>
    <s v="ISEL-1.64"/>
    <n v="1"/>
    <s v="NO TIENE L3OUT"/>
    <n v="194"/>
    <n v="96"/>
  </r>
  <r>
    <n v="158"/>
    <x v="0"/>
    <x v="208"/>
    <s v="eth1/64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64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64"/>
    <x v="0"/>
    <x v="1"/>
    <x v="1"/>
    <s v="SAPCC"/>
    <x v="6"/>
    <b v="0"/>
    <s v="No está en VPC"/>
    <n v="112"/>
    <s v="INTPG_ACC_112_1.64"/>
    <s v="ISEL-1.64"/>
    <n v="1"/>
    <s v="NO TIENE L3OUT"/>
    <n v="144"/>
    <n v="96"/>
  </r>
  <r>
    <n v="107"/>
    <x v="0"/>
    <x v="213"/>
    <s v="eth1/64"/>
    <x v="0"/>
    <x v="0"/>
    <x v="0"/>
    <m/>
    <x v="6"/>
    <b v="0"/>
    <s v="No está en VPC"/>
    <n v="107"/>
    <s v="INTPG_ACC_107_1.64"/>
    <s v="ISEL-1.64"/>
    <n v="1"/>
    <s v="NO TIENE L3OUT"/>
    <n v="118"/>
    <n v="96"/>
  </r>
  <r>
    <n v="109"/>
    <x v="0"/>
    <x v="214"/>
    <s v="eth1/64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64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64"/>
    <x v="0"/>
    <x v="0"/>
    <x v="0"/>
    <s v="ITHAS1B RACK 1"/>
    <x v="6"/>
    <b v="0"/>
    <s v="No está en VPC"/>
    <n v="114"/>
    <s v="INTPG_ACC_114_1.64"/>
    <s v="ISEL-1.64"/>
    <n v="1"/>
    <s v="NO TIENE L3OUT"/>
    <n v="144"/>
    <n v="96"/>
  </r>
  <r>
    <n v="124"/>
    <x v="0"/>
    <x v="217"/>
    <s v="eth1/64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64"/>
    <x v="0"/>
    <x v="1"/>
    <x v="1"/>
    <s v="USSD TANGO"/>
    <x v="6"/>
    <b v="0"/>
    <s v="No está en VPC"/>
    <n v="118"/>
    <s v="INTPG_ACC_118_1.64"/>
    <s v="ISEL-1.64"/>
    <n v="1"/>
    <s v="NO TIENE L3OUT"/>
    <n v="180"/>
    <n v="96"/>
  </r>
  <r>
    <n v="159"/>
    <x v="0"/>
    <x v="219"/>
    <s v="eth1/64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64"/>
    <x v="0"/>
    <x v="0"/>
    <x v="0"/>
    <s v="TO-ITHFHWHSMTLCN04_MGMT"/>
    <x v="6"/>
    <b v="0"/>
    <s v="No está en VPC"/>
    <n v="110"/>
    <s v="INTPG_ACC_110_1.64"/>
    <s v="ISEL-1.64"/>
    <n v="1"/>
    <s v="NO TIENE L3OUT"/>
    <n v="102"/>
    <n v="96"/>
  </r>
  <r>
    <n v="163"/>
    <x v="0"/>
    <x v="223"/>
    <s v="eth1/64"/>
    <x v="0"/>
    <x v="0"/>
    <x v="0"/>
    <s v="CTG"/>
    <x v="6"/>
    <b v="0"/>
    <s v="No está en VPC"/>
    <n v="163"/>
    <s v="INTPG_VPC_161_1.56_163_1.64"/>
    <s v="ISEL-1.64"/>
    <n v="0"/>
    <s v="NO TIENE L3OUT"/>
    <n v="140"/>
    <n v="96"/>
  </r>
  <r>
    <n v="407"/>
    <x v="1"/>
    <x v="224"/>
    <s v="eth1/64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64"/>
    <x v="0"/>
    <x v="1"/>
    <x v="1"/>
    <s v="SRS (Speedy Rating System)"/>
    <x v="6"/>
    <b v="0"/>
    <s v="No está en VPC"/>
    <n v="171"/>
    <s v="INTPG_ACC_171_1.64"/>
    <s v="ISEL-1.64"/>
    <n v="1"/>
    <s v="NO TIENE L3OUT"/>
    <n v="114"/>
    <n v="96"/>
  </r>
  <r>
    <n v="421"/>
    <x v="1"/>
    <x v="226"/>
    <s v="eth1/64"/>
    <x v="0"/>
    <x v="0"/>
    <x v="0"/>
    <s v="XIO_MGMT_A-01"/>
    <x v="6"/>
    <b v="0"/>
    <s v="No está en VPC"/>
    <n v="421"/>
    <s v="INTPG_ACC_421_1.64"/>
    <s v="ISEL-1.64"/>
    <n v="1"/>
    <s v="NO TIENE L3OUT"/>
    <n v="72"/>
    <n v="96"/>
  </r>
  <r>
    <n v="173"/>
    <x v="0"/>
    <x v="227"/>
    <s v="eth1/64"/>
    <x v="0"/>
    <x v="1"/>
    <x v="1"/>
    <s v="SRSIXT022_CLIENT1"/>
    <x v="6"/>
    <b v="0"/>
    <s v="No está en VPC"/>
    <n v="173"/>
    <s v="INTPG_VPC_126_1.67_173_1.64"/>
    <s v="ISEL-1.64"/>
    <n v="1"/>
    <s v="NO TIENE L3OUT"/>
    <n v="66"/>
    <n v="96"/>
  </r>
  <r>
    <n v="154"/>
    <x v="0"/>
    <x v="228"/>
    <s v="eth1/64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64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64"/>
    <x v="0"/>
    <x v="0"/>
    <x v="0"/>
    <s v="R9MEXIXTILO-1"/>
    <x v="6"/>
    <b v="0"/>
    <s v="No está en VPC"/>
    <n v="420"/>
    <s v="INTPG_ACC_420_1.64"/>
    <s v="ISEL-1.64"/>
    <n v="1"/>
    <s v="NO TIENE L3OUT"/>
    <n v="158"/>
    <n v="96"/>
  </r>
  <r>
    <n v="423"/>
    <x v="1"/>
    <x v="231"/>
    <s v="eth1/64"/>
    <x v="0"/>
    <x v="0"/>
    <x v="0"/>
    <s v="HP Proliant DL380p(e)"/>
    <x v="6"/>
    <b v="0"/>
    <s v="No está en VPC"/>
    <n v="423"/>
    <s v="INTPG_ACC_423_1.64"/>
    <s v="ISEL-1.64"/>
    <n v="1"/>
    <s v="NO TIENE L3OUT"/>
    <n v="86"/>
    <n v="96"/>
  </r>
  <r>
    <n v="415"/>
    <x v="1"/>
    <x v="232"/>
    <s v="eth1/64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64"/>
    <x v="1"/>
    <x v="1"/>
    <x v="2"/>
    <s v="ITHNETZA-B:ithnetz1:P11"/>
    <x v="6"/>
    <b v="0"/>
    <s v="No está en VPC"/>
    <n v="102"/>
    <s v="INTPG_ACC_102_1.64"/>
    <s v="ISEL-1.64"/>
    <n v="0"/>
    <s v="NO TIENE L3OUT"/>
    <n v="228"/>
    <n v="96"/>
  </r>
  <r>
    <n v="122"/>
    <x v="0"/>
    <x v="237"/>
    <s v="eth1/64"/>
    <x v="0"/>
    <x v="0"/>
    <x v="0"/>
    <s v="IXTTRAP-ETL"/>
    <x v="6"/>
    <b v="0"/>
    <s v="No está en VPC"/>
    <n v="122"/>
    <s v="INTPG_ACC_122_1.64"/>
    <s v="ISEL-1.64"/>
    <n v="1"/>
    <s v="NO TIENE L3OUT"/>
    <n v="148"/>
    <n v="96"/>
  </r>
  <r>
    <n v="157"/>
    <x v="0"/>
    <x v="238"/>
    <s v="eth1/64"/>
    <x v="0"/>
    <x v="0"/>
    <x v="0"/>
    <s v="ARIESO_GEOLOCALIZACION"/>
    <x v="6"/>
    <b v="0"/>
    <s v="No está en VPC"/>
    <n v="157"/>
    <s v="INTPG_ACC_157_1.64"/>
    <s v="ISEL-1.64"/>
    <n v="2"/>
    <s v="NO TIENE L3OUT"/>
    <n v="202"/>
    <n v="96"/>
  </r>
  <r>
    <n v="408"/>
    <x v="1"/>
    <x v="239"/>
    <s v="eth1/64"/>
    <x v="0"/>
    <x v="0"/>
    <x v="0"/>
    <s v="ITHRTC11VC1X4"/>
    <x v="6"/>
    <b v="0"/>
    <s v="No está en VPC"/>
    <n v="408"/>
    <s v="INTPG_ACC_408_1.64"/>
    <s v="ISEL-1.64"/>
    <n v="1"/>
    <s v="NO TIENE L3OUT"/>
    <n v="152"/>
    <n v="96"/>
  </r>
  <r>
    <n v="405"/>
    <x v="1"/>
    <x v="240"/>
    <s v="eth1/64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64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64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64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64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64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64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64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64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64"/>
    <x v="1"/>
    <x v="1"/>
    <x v="2"/>
    <m/>
    <x v="6"/>
    <b v="0"/>
    <s v="No está en VPC"/>
    <n v="406"/>
    <s v="NO EXISTE PG"/>
    <s v="NO EXISTE ISEL"/>
    <n v="0"/>
    <s v="NO TIENE L3OUT"/>
    <n v="82"/>
    <n v="96"/>
  </r>
  <r>
    <n v="414"/>
    <x v="1"/>
    <x v="250"/>
    <s v="eth1/64"/>
    <x v="0"/>
    <x v="1"/>
    <x v="1"/>
    <s v="uxcompr5"/>
    <x v="6"/>
    <b v="0"/>
    <s v="No está en VPC"/>
    <n v="414"/>
    <s v="INTPG_ACC_414_1.64"/>
    <s v="ISEL-1.64"/>
    <n v="1"/>
    <s v="NO TIENE L3OUT"/>
    <n v="144"/>
    <n v="96"/>
  </r>
  <r>
    <n v="416"/>
    <x v="1"/>
    <x v="251"/>
    <s v="eth1/64"/>
    <x v="0"/>
    <x v="0"/>
    <x v="0"/>
    <s v="GESTION_ FORTIMANAGER"/>
    <x v="6"/>
    <b v="0"/>
    <s v="No está en VPC"/>
    <n v="416"/>
    <s v="INTPG_ACC_416_1.64"/>
    <s v="ISEL-1.64"/>
    <n v="1"/>
    <s v="NO TIENE L3OUT"/>
    <n v="110"/>
    <n v="96"/>
  </r>
  <r>
    <n v="418"/>
    <x v="1"/>
    <x v="252"/>
    <s v="eth1/64"/>
    <x v="0"/>
    <x v="0"/>
    <x v="0"/>
    <s v="ITHRTC4BNB1"/>
    <x v="6"/>
    <b v="0"/>
    <s v="No está en VPC"/>
    <n v="418"/>
    <s v="INTPG_ACC_418_1.64"/>
    <s v="ISEL-1.64"/>
    <n v="1"/>
    <s v="NO TIENE L3OUT"/>
    <n v="152"/>
    <n v="96"/>
  </r>
  <r>
    <n v="413"/>
    <x v="1"/>
    <x v="253"/>
    <s v="eth1/64"/>
    <x v="0"/>
    <x v="0"/>
    <x v="0"/>
    <s v="IXTSRM1_VM2"/>
    <x v="6"/>
    <b v="0"/>
    <s v="No está en VPC"/>
    <n v="413"/>
    <s v="INTPG_ACC_413_1.64"/>
    <s v="ISEL-1.64"/>
    <n v="1"/>
    <s v="NO TIENE L3OUT"/>
    <n v="126"/>
    <n v="96"/>
  </r>
  <r>
    <n v="403"/>
    <x v="1"/>
    <x v="254"/>
    <s v="eth1/64"/>
    <x v="0"/>
    <x v="0"/>
    <x v="0"/>
    <s v="TO-ITHFDLMCLWLCN03-Principal"/>
    <x v="6"/>
    <b v="0"/>
    <s v="No está en VPC"/>
    <n v="403"/>
    <s v="INTPG_ACC_403_1.64"/>
    <s v="ISEL-1.64"/>
    <n v="1"/>
    <s v="NO TIENE L3OUT"/>
    <n v="150"/>
    <n v="96"/>
  </r>
  <r>
    <n v="125"/>
    <x v="0"/>
    <x v="255"/>
    <s v="eth1/64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64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64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64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64"/>
    <x v="0"/>
    <x v="0"/>
    <x v="0"/>
    <s v="TO-UXF5IXT39K01-PRINCIPAL"/>
    <x v="6"/>
    <b v="0"/>
    <s v="No está en VPC"/>
    <n v="106"/>
    <s v="INTPG_ACC_106_1.64"/>
    <s v="ISEL-1.64"/>
    <n v="1"/>
    <s v="NO TIENE L3OUT"/>
    <n v="122"/>
    <n v="96"/>
  </r>
  <r>
    <n v="126"/>
    <x v="0"/>
    <x v="260"/>
    <s v="eth1/64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64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64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64"/>
    <x v="0"/>
    <x v="0"/>
    <x v="0"/>
    <s v="PROVISION1"/>
    <x v="6"/>
    <b v="0"/>
    <s v="No está en VPC"/>
    <n v="430"/>
    <s v="INTPG_ACC_430_1.64"/>
    <s v="ISEL-1.64"/>
    <n v="1"/>
    <s v="NO TIENE L3OUT"/>
    <n v="86"/>
    <n v="96"/>
  </r>
  <r>
    <n v="419"/>
    <x v="1"/>
    <x v="264"/>
    <s v="eth1/64"/>
    <x v="0"/>
    <x v="0"/>
    <x v="0"/>
    <s v="HP Proliant DL380p(A)"/>
    <x v="6"/>
    <b v="0"/>
    <s v="No está en VPC"/>
    <n v="419"/>
    <s v="INTPG_ACC_419_1.64"/>
    <s v="ISEL-1.64"/>
    <n v="1"/>
    <s v="NO TIENE L3OUT"/>
    <n v="70"/>
    <n v="96"/>
  </r>
  <r>
    <n v="155"/>
    <x v="0"/>
    <x v="265"/>
    <s v="eth1/64"/>
    <x v="0"/>
    <x v="0"/>
    <x v="0"/>
    <s v="ARIESO_GEOLOCALIZACION"/>
    <x v="6"/>
    <b v="0"/>
    <s v="No está en VPC"/>
    <n v="155"/>
    <s v="INTPG_ACC_155_1.64"/>
    <s v="ISEL-1.64"/>
    <n v="2"/>
    <s v="NO TIENE L3OUT"/>
    <n v="198"/>
    <n v="96"/>
  </r>
  <r>
    <n v="409"/>
    <x v="1"/>
    <x v="266"/>
    <s v="eth1/64"/>
    <x v="0"/>
    <x v="1"/>
    <x v="1"/>
    <s v="INSIGHTCA4"/>
    <x v="6"/>
    <b v="0"/>
    <s v="No está en VPC"/>
    <n v="409"/>
    <s v="INTPG_ACC_409_1.64"/>
    <s v="ISEL-1.64"/>
    <n v="1"/>
    <s v="NO TIENE L3OUT"/>
    <n v="128"/>
    <n v="96"/>
  </r>
  <r>
    <n v="422"/>
    <x v="1"/>
    <x v="267"/>
    <s v="eth1/64"/>
    <x v="0"/>
    <x v="0"/>
    <x v="0"/>
    <s v="PORTAB_ILOM"/>
    <x v="6"/>
    <b v="0"/>
    <s v="No está en VPC"/>
    <n v="422"/>
    <s v="INTPG_ACC_422_1.64"/>
    <s v="ISEL-1.64"/>
    <n v="1"/>
    <s v="NO TIENE L3OUT"/>
    <n v="182"/>
    <n v="96"/>
  </r>
  <r>
    <n v="436"/>
    <x v="1"/>
    <x v="268"/>
    <s v="eth1/64"/>
    <x v="0"/>
    <x v="0"/>
    <x v="0"/>
    <s v="TO_ITHEMCDD69008138DKC0_INT1.2"/>
    <x v="6"/>
    <b v="0"/>
    <s v="No está en VPC"/>
    <n v="436"/>
    <s v="INTPG_ACC_436_1.64"/>
    <s v="ISEL-1.64"/>
    <n v="1"/>
    <s v="NO TIENE L3OUT"/>
    <n v="172"/>
    <n v="96"/>
  </r>
  <r>
    <n v="410"/>
    <x v="1"/>
    <x v="269"/>
    <s v="eth1/64"/>
    <x v="0"/>
    <x v="0"/>
    <x v="0"/>
    <s v="ITHRTCD1CONT3"/>
    <x v="6"/>
    <b v="0"/>
    <s v="No está en VPC"/>
    <n v="410"/>
    <s v="INTPG_ACC_410_1.64"/>
    <s v="ISEL-1.64"/>
    <n v="1"/>
    <s v="NO TIENE L3OUT"/>
    <n v="178"/>
    <n v="96"/>
  </r>
  <r>
    <n v="161"/>
    <x v="0"/>
    <x v="270"/>
    <s v="eth1/64"/>
    <x v="0"/>
    <x v="0"/>
    <x v="0"/>
    <s v="UPGRADE _HP_OV"/>
    <x v="6"/>
    <b v="0"/>
    <s v="No está en VPC"/>
    <n v="161"/>
    <s v="INTPG_ACC_161_1.64"/>
    <s v="ISEL-1.64"/>
    <n v="1"/>
    <s v="NO TIENE L3OUT"/>
    <n v="102"/>
    <n v="96"/>
  </r>
  <r>
    <n v="411"/>
    <x v="1"/>
    <x v="271"/>
    <s v="eth1/64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64"/>
    <x v="0"/>
    <x v="0"/>
    <x v="0"/>
    <s v="ASAP BATCH"/>
    <x v="6"/>
    <b v="0"/>
    <s v="No está en VPC"/>
    <n v="116"/>
    <s v="INTPG_ACC_116_1.64"/>
    <s v="ISEL-1.64"/>
    <n v="1"/>
    <s v="NO TIENE L3OUT"/>
    <n v="148"/>
    <n v="96"/>
  </r>
  <r>
    <n v="412"/>
    <x v="1"/>
    <x v="273"/>
    <s v="eth1/64"/>
    <x v="0"/>
    <x v="0"/>
    <x v="0"/>
    <s v="ITHRTCD3CONT4"/>
    <x v="6"/>
    <b v="0"/>
    <s v="No está en VPC"/>
    <n v="412"/>
    <s v="INTPG_ACC_412_1.64"/>
    <s v="ISEL-1.64"/>
    <n v="1"/>
    <s v="NO TIENE L3OUT"/>
    <n v="126"/>
    <n v="96"/>
  </r>
  <r>
    <n v="120"/>
    <x v="0"/>
    <x v="274"/>
    <s v="eth1/64"/>
    <x v="0"/>
    <x v="0"/>
    <x v="0"/>
    <s v="TRAP"/>
    <x v="6"/>
    <b v="0"/>
    <s v="No está en VPC"/>
    <n v="120"/>
    <s v="INTPG_PC_120_1.63-65"/>
    <s v="ISEL-1.64"/>
    <n v="1"/>
    <s v="NO TIENE L3OUT"/>
    <n v="158"/>
    <n v="96"/>
  </r>
  <r>
    <n v="404"/>
    <x v="1"/>
    <x v="275"/>
    <s v="eth1/64"/>
    <x v="0"/>
    <x v="1"/>
    <x v="1"/>
    <s v="uxcompr5"/>
    <x v="6"/>
    <b v="0"/>
    <s v="No está en VPC"/>
    <n v="404"/>
    <s v="INTPG_ACC_404_1.64"/>
    <s v="ISEL-1.64"/>
    <n v="1"/>
    <s v="NO TIENE L3OUT"/>
    <n v="92"/>
    <n v="96"/>
  </r>
  <r>
    <n v="167"/>
    <x v="0"/>
    <x v="276"/>
    <s v="eth1/64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64"/>
    <x v="0"/>
    <x v="0"/>
    <x v="0"/>
    <s v="ITHSSO1A"/>
    <x v="6"/>
    <b v="0"/>
    <s v="No está en VPC"/>
    <n v="428"/>
    <s v="INTPG_ACC_428_1.64"/>
    <s v="ISEL-1.64"/>
    <n v="1"/>
    <s v="NO TIENE L3OUT"/>
    <n v="102"/>
    <n v="96"/>
  </r>
  <r>
    <n v="105"/>
    <x v="0"/>
    <x v="205"/>
    <s v="eth1/65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65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65"/>
    <x v="0"/>
    <x v="1"/>
    <x v="1"/>
    <m/>
    <x v="6"/>
    <b v="0"/>
    <s v="No está en VPC"/>
    <n v="104"/>
    <s v="INTPG_ACC_104_1.65"/>
    <s v="ISEL-1.65"/>
    <n v="1"/>
    <s v="NO TIENE L3OUT"/>
    <n v="194"/>
    <n v="96"/>
  </r>
  <r>
    <n v="158"/>
    <x v="0"/>
    <x v="208"/>
    <s v="eth1/65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65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65"/>
    <x v="0"/>
    <x v="0"/>
    <x v="0"/>
    <s v="ITHAS1B RACK 1"/>
    <x v="6"/>
    <b v="0"/>
    <s v="No está en VPC"/>
    <n v="112"/>
    <s v="INTPG_ACC_112_1.65"/>
    <s v="ISEL-1.65"/>
    <n v="1"/>
    <s v="NO TIENE L3OUT"/>
    <n v="144"/>
    <n v="96"/>
  </r>
  <r>
    <n v="107"/>
    <x v="0"/>
    <x v="213"/>
    <s v="eth1/65"/>
    <x v="0"/>
    <x v="0"/>
    <x v="0"/>
    <m/>
    <x v="6"/>
    <b v="0"/>
    <s v="No está en VPC"/>
    <n v="107"/>
    <s v="INTPG_ACC_107_1.65"/>
    <s v="ISEL-1.65"/>
    <n v="1"/>
    <s v="NO TIENE L3OUT"/>
    <n v="118"/>
    <n v="96"/>
  </r>
  <r>
    <n v="109"/>
    <x v="0"/>
    <x v="214"/>
    <s v="eth1/65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65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65"/>
    <x v="0"/>
    <x v="0"/>
    <x v="0"/>
    <s v="ITHAS1B RACK 1"/>
    <x v="6"/>
    <b v="0"/>
    <s v="No está en VPC"/>
    <n v="114"/>
    <s v="INTPG_ACC_114_1.65"/>
    <s v="ISEL-1.65"/>
    <n v="1"/>
    <s v="NO TIENE L3OUT"/>
    <n v="144"/>
    <n v="96"/>
  </r>
  <r>
    <n v="124"/>
    <x v="0"/>
    <x v="217"/>
    <s v="eth1/65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65"/>
    <x v="0"/>
    <x v="1"/>
    <x v="1"/>
    <s v="USSD TANGO"/>
    <x v="6"/>
    <b v="0"/>
    <s v="No está en VPC"/>
    <n v="118"/>
    <s v="INTPG_ACC_118_1.65"/>
    <s v="ISEL-1.65"/>
    <n v="1"/>
    <s v="NO TIENE L3OUT"/>
    <n v="180"/>
    <n v="96"/>
  </r>
  <r>
    <n v="159"/>
    <x v="0"/>
    <x v="219"/>
    <s v="eth1/65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65"/>
    <x v="0"/>
    <x v="0"/>
    <x v="0"/>
    <s v="TO-ITHFDEMCFRPMS01-PRINCIPAL"/>
    <x v="6"/>
    <b v="0"/>
    <s v="No está en VPC"/>
    <n v="110"/>
    <s v="INTPG_ACC_110_1.65"/>
    <s v="ISEL-1.65"/>
    <n v="1"/>
    <s v="NO TIENE L3OUT"/>
    <n v="102"/>
    <n v="96"/>
  </r>
  <r>
    <n v="163"/>
    <x v="0"/>
    <x v="223"/>
    <s v="eth1/65"/>
    <x v="0"/>
    <x v="1"/>
    <x v="5"/>
    <m/>
    <x v="6"/>
    <b v="0"/>
    <s v="No está en VPC"/>
    <n v="163"/>
    <s v="INTPG_VPC_163_1.65_161_1.57"/>
    <s v="ISEL-1.65"/>
    <n v="1"/>
    <s v="NO TIENE L3OUT"/>
    <n v="140"/>
    <n v="96"/>
  </r>
  <r>
    <n v="407"/>
    <x v="1"/>
    <x v="224"/>
    <s v="eth1/65"/>
    <x v="0"/>
    <x v="0"/>
    <x v="0"/>
    <s v="IXT_SIEU"/>
    <x v="6"/>
    <b v="0"/>
    <s v="No está en VPC"/>
    <n v="407"/>
    <s v="INTPG_ACC_407_1.65"/>
    <s v="ISEL-1.65"/>
    <n v="1"/>
    <s v="NO TIENE L3OUT"/>
    <n v="122"/>
    <n v="96"/>
  </r>
  <r>
    <n v="171"/>
    <x v="0"/>
    <x v="225"/>
    <s v="eth1/65"/>
    <x v="0"/>
    <x v="0"/>
    <x v="0"/>
    <s v="SRS (Speedy Rating System)"/>
    <x v="6"/>
    <b v="0"/>
    <s v="No está en VPC"/>
    <n v="171"/>
    <s v="INTPG_ACC_171_1.65"/>
    <s v="ISEL-1.65"/>
    <n v="1"/>
    <s v="NO TIENE L3OUT"/>
    <n v="114"/>
    <n v="96"/>
  </r>
  <r>
    <n v="421"/>
    <x v="1"/>
    <x v="226"/>
    <s v="eth1/65"/>
    <x v="0"/>
    <x v="0"/>
    <x v="0"/>
    <s v="MMSC_GESTION_1RIO"/>
    <x v="6"/>
    <b v="0"/>
    <s v="No está en VPC"/>
    <n v="421"/>
    <s v="INTPG_ACC_421_1.65"/>
    <s v="ISEL-1.65"/>
    <n v="1"/>
    <s v="NO TIENE L3OUT"/>
    <n v="72"/>
    <n v="96"/>
  </r>
  <r>
    <n v="173"/>
    <x v="0"/>
    <x v="227"/>
    <s v="eth1/65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65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65"/>
    <x v="0"/>
    <x v="0"/>
    <x v="0"/>
    <s v="TO-SRSIXT_02_F5_MGMT"/>
    <x v="6"/>
    <b v="0"/>
    <s v="No está en VPC"/>
    <n v="172"/>
    <s v="INTPG_ACC_172_1.65"/>
    <s v="ISEL-1.65"/>
    <n v="1"/>
    <s v="NO TIENE L3OUT"/>
    <n v="104"/>
    <n v="96"/>
  </r>
  <r>
    <n v="420"/>
    <x v="1"/>
    <x v="230"/>
    <s v="eth1/65"/>
    <x v="0"/>
    <x v="0"/>
    <x v="0"/>
    <s v="R9MEXIXTILO-2"/>
    <x v="6"/>
    <b v="0"/>
    <s v="No está en VPC"/>
    <n v="420"/>
    <s v="INTPG_ACC_420_1.65"/>
    <s v="ISEL-1.65"/>
    <n v="1"/>
    <s v="NO TIENE L3OUT"/>
    <n v="158"/>
    <n v="96"/>
  </r>
  <r>
    <n v="423"/>
    <x v="1"/>
    <x v="231"/>
    <s v="eth1/65"/>
    <x v="0"/>
    <x v="0"/>
    <x v="0"/>
    <s v="PROD3_MGMT-prueba"/>
    <x v="6"/>
    <b v="0"/>
    <s v="No está en VPC"/>
    <n v="423"/>
    <s v="INTPG_ACC_423_1.65"/>
    <s v="ISEL-1.65"/>
    <n v="1"/>
    <s v="NO TIENE L3OUT"/>
    <n v="86"/>
    <n v="96"/>
  </r>
  <r>
    <n v="415"/>
    <x v="1"/>
    <x v="232"/>
    <s v="eth1/65"/>
    <x v="1"/>
    <x v="1"/>
    <x v="2"/>
    <s v="GESTION_ FORTIANALYZER"/>
    <x v="6"/>
    <b v="0"/>
    <s v="No está en VPC"/>
    <n v="415"/>
    <s v="INTPG_ACC_416_1.65"/>
    <s v="ISEL-1.65"/>
    <n v="0"/>
    <s v="NO TIENE L3OUT"/>
    <n v="52"/>
    <n v="96"/>
  </r>
  <r>
    <n v="102"/>
    <x v="0"/>
    <x v="233"/>
    <s v="eth1/65"/>
    <x v="1"/>
    <x v="1"/>
    <x v="2"/>
    <s v="ITHNETZA-B_ithnetz2_-"/>
    <x v="6"/>
    <b v="0"/>
    <s v="No está en VPC"/>
    <n v="102"/>
    <s v="INTPG_ACC_102_1.65"/>
    <s v="ISEL-1.65"/>
    <n v="0"/>
    <s v="NO TIENE L3OUT"/>
    <n v="228"/>
    <n v="96"/>
  </r>
  <r>
    <n v="122"/>
    <x v="0"/>
    <x v="237"/>
    <s v="eth1/65"/>
    <x v="0"/>
    <x v="0"/>
    <x v="0"/>
    <s v="IXTTRAP-ETL"/>
    <x v="6"/>
    <b v="0"/>
    <s v="No está en VPC"/>
    <n v="122"/>
    <s v="INTPG_ACC_122_1.65"/>
    <s v="ISEL-1.65"/>
    <n v="1"/>
    <s v="NO TIENE L3OUT"/>
    <n v="148"/>
    <n v="96"/>
  </r>
  <r>
    <n v="157"/>
    <x v="0"/>
    <x v="238"/>
    <s v="eth1/65"/>
    <x v="0"/>
    <x v="0"/>
    <x v="0"/>
    <s v="ARIESO_GEOLOCALIZACION"/>
    <x v="6"/>
    <b v="0"/>
    <s v="No está en VPC"/>
    <n v="157"/>
    <s v="INTPG_ACC_157_1.65"/>
    <s v="ISEL-1.65"/>
    <n v="2"/>
    <s v="NO TIENE L3OUT"/>
    <n v="202"/>
    <n v="96"/>
  </r>
  <r>
    <n v="408"/>
    <x v="1"/>
    <x v="239"/>
    <s v="eth1/65"/>
    <x v="0"/>
    <x v="0"/>
    <x v="0"/>
    <s v="ITHRTC51OA1"/>
    <x v="6"/>
    <b v="0"/>
    <s v="No está en VPC"/>
    <n v="408"/>
    <s v="INTPG_ACC_408_1.65"/>
    <s v="ISEL-1.65"/>
    <n v="1"/>
    <s v="NO TIENE L3OUT"/>
    <n v="152"/>
    <n v="96"/>
  </r>
  <r>
    <n v="405"/>
    <x v="1"/>
    <x v="240"/>
    <s v="eth1/65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65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65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65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65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65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65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65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65"/>
    <x v="0"/>
    <x v="0"/>
    <x v="0"/>
    <s v="INGES_Secundario"/>
    <x v="6"/>
    <b v="0"/>
    <s v="No está en VPC"/>
    <n v="438"/>
    <s v="INTPG_ACC_438_1.65"/>
    <s v="ISEL-1.65"/>
    <n v="1"/>
    <s v="NO TIENE L3OUT"/>
    <n v="170"/>
    <n v="96"/>
  </r>
  <r>
    <n v="406"/>
    <x v="1"/>
    <x v="249"/>
    <s v="eth1/65"/>
    <x v="0"/>
    <x v="0"/>
    <x v="0"/>
    <s v="DESC"/>
    <x v="6"/>
    <b v="0"/>
    <s v="No está en VPC"/>
    <n v="406"/>
    <s v="INTPG_PC_406_1.65-66"/>
    <s v="ISEL-1.65"/>
    <n v="1"/>
    <s v="NO TIENE L3OUT"/>
    <n v="82"/>
    <n v="96"/>
  </r>
  <r>
    <n v="414"/>
    <x v="1"/>
    <x v="250"/>
    <s v="eth1/65"/>
    <x v="0"/>
    <x v="1"/>
    <x v="1"/>
    <s v="uxcompr6"/>
    <x v="6"/>
    <b v="0"/>
    <s v="No está en VPC"/>
    <n v="414"/>
    <s v="INTPG_ACC_414_1.65"/>
    <s v="ISEL-1.65"/>
    <n v="1"/>
    <s v="NO TIENE L3OUT"/>
    <n v="144"/>
    <n v="96"/>
  </r>
  <r>
    <n v="416"/>
    <x v="1"/>
    <x v="251"/>
    <s v="eth1/65"/>
    <x v="0"/>
    <x v="0"/>
    <x v="0"/>
    <m/>
    <x v="6"/>
    <b v="0"/>
    <s v="No está en VPC"/>
    <n v="416"/>
    <s v="NO EXISTE PG"/>
    <s v="NO EXISTE ISEL"/>
    <n v="1"/>
    <s v="NO TIENE L3OUT"/>
    <n v="110"/>
    <n v="96"/>
  </r>
  <r>
    <n v="418"/>
    <x v="1"/>
    <x v="252"/>
    <s v="eth1/65"/>
    <x v="0"/>
    <x v="0"/>
    <x v="0"/>
    <s v="ITHRTC4BEN1OA1"/>
    <x v="6"/>
    <b v="0"/>
    <s v="No está en VPC"/>
    <n v="418"/>
    <s v="INTPG_ACC_418_1.65"/>
    <s v="ISEL-1.65"/>
    <n v="1"/>
    <s v="NO TIENE L3OUT"/>
    <n v="152"/>
    <n v="96"/>
  </r>
  <r>
    <n v="413"/>
    <x v="1"/>
    <x v="253"/>
    <s v="eth1/65"/>
    <x v="0"/>
    <x v="0"/>
    <x v="0"/>
    <s v="IXTSRM1_VM3"/>
    <x v="6"/>
    <b v="0"/>
    <s v="No está en VPC"/>
    <n v="413"/>
    <s v="INTPG_ACC_413_1.65"/>
    <s v="ISEL-1.65"/>
    <n v="1"/>
    <s v="NO TIENE L3OUT"/>
    <n v="126"/>
    <n v="96"/>
  </r>
  <r>
    <n v="403"/>
    <x v="1"/>
    <x v="254"/>
    <s v="eth1/65"/>
    <x v="0"/>
    <x v="0"/>
    <x v="0"/>
    <s v="TO-ITHFDEILDPRAP01-PRINCIPAL"/>
    <x v="6"/>
    <b v="0"/>
    <s v="No está en VPC"/>
    <n v="403"/>
    <s v="INTPG_ACC_403_1.65"/>
    <s v="ISEL-1.65"/>
    <n v="1"/>
    <s v="NO TIENE L3OUT"/>
    <n v="150"/>
    <n v="96"/>
  </r>
  <r>
    <n v="125"/>
    <x v="0"/>
    <x v="255"/>
    <s v="eth1/65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65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65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65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65"/>
    <x v="0"/>
    <x v="0"/>
    <x v="0"/>
    <s v="TO-UXF5IXT39K02-PRINCIPAL"/>
    <x v="6"/>
    <b v="0"/>
    <s v="No está en VPC"/>
    <n v="106"/>
    <s v="INTPG_ACC_106_1.65"/>
    <s v="ISEL-1.65"/>
    <n v="1"/>
    <s v="NO TIENE L3OUT"/>
    <n v="122"/>
    <n v="96"/>
  </r>
  <r>
    <n v="126"/>
    <x v="0"/>
    <x v="260"/>
    <s v="eth1/65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65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65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65"/>
    <x v="0"/>
    <x v="0"/>
    <x v="0"/>
    <s v="PROVISION2"/>
    <x v="6"/>
    <b v="0"/>
    <s v="No está en VPC"/>
    <n v="430"/>
    <s v="INTPG_ACC_430_1.65"/>
    <s v="ISEL-1.65"/>
    <n v="1"/>
    <s v="NO TIENE L3OUT"/>
    <n v="86"/>
    <n v="96"/>
  </r>
  <r>
    <n v="419"/>
    <x v="1"/>
    <x v="264"/>
    <s v="eth1/65"/>
    <x v="0"/>
    <x v="0"/>
    <x v="0"/>
    <s v="HP Proliant DL380p(A)"/>
    <x v="6"/>
    <b v="0"/>
    <s v="No está en VPC"/>
    <n v="419"/>
    <s v="INTPG_ACC_419_1.65"/>
    <s v="ISEL-1.65"/>
    <n v="1"/>
    <s v="NO TIENE L3OUT"/>
    <n v="70"/>
    <n v="96"/>
  </r>
  <r>
    <n v="155"/>
    <x v="0"/>
    <x v="265"/>
    <s v="eth1/65"/>
    <x v="0"/>
    <x v="0"/>
    <x v="0"/>
    <s v="ARIESO_GEOLOCALIZACION"/>
    <x v="6"/>
    <b v="0"/>
    <s v="No está en VPC"/>
    <n v="155"/>
    <s v="INTPG_ACC_155_1.65"/>
    <s v="ISEL-1.65"/>
    <n v="2"/>
    <s v="NO TIENE L3OUT"/>
    <n v="198"/>
    <n v="96"/>
  </r>
  <r>
    <n v="409"/>
    <x v="1"/>
    <x v="266"/>
    <s v="eth1/65"/>
    <x v="0"/>
    <x v="0"/>
    <x v="0"/>
    <s v="INSIGHTCA5"/>
    <x v="6"/>
    <b v="0"/>
    <s v="No está en VPC"/>
    <n v="409"/>
    <s v="INTPG_ACC_409_1.65"/>
    <s v="ISEL-1.65"/>
    <n v="1"/>
    <s v="NO TIENE L3OUT"/>
    <n v="128"/>
    <n v="96"/>
  </r>
  <r>
    <n v="422"/>
    <x v="1"/>
    <x v="267"/>
    <s v="eth1/65"/>
    <x v="0"/>
    <x v="1"/>
    <x v="1"/>
    <s v="PORTABILIDAD_uxgsm10_Eth5"/>
    <x v="6"/>
    <b v="0"/>
    <s v="No está en VPC"/>
    <n v="422"/>
    <s v="INTPG_ACC_422_1.65"/>
    <s v="ISEL-1.65"/>
    <n v="1"/>
    <s v="NO TIENE L3OUT"/>
    <n v="182"/>
    <n v="96"/>
  </r>
  <r>
    <n v="436"/>
    <x v="1"/>
    <x v="268"/>
    <s v="eth1/65"/>
    <x v="0"/>
    <x v="0"/>
    <x v="0"/>
    <s v="INGES_Primario"/>
    <x v="6"/>
    <b v="0"/>
    <s v="No está en VPC"/>
    <n v="436"/>
    <s v="INTPG_ACC_436_1.65"/>
    <s v="ISEL-1.65"/>
    <n v="1"/>
    <s v="NO TIENE L3OUT"/>
    <n v="172"/>
    <n v="96"/>
  </r>
  <r>
    <n v="410"/>
    <x v="1"/>
    <x v="269"/>
    <s v="eth1/65"/>
    <x v="0"/>
    <x v="0"/>
    <x v="0"/>
    <s v="ITHRTCD1CONT4"/>
    <x v="6"/>
    <b v="0"/>
    <s v="No está en VPC"/>
    <n v="410"/>
    <s v="INTPG_ACC_410_1.65"/>
    <s v="ISEL-1.65"/>
    <n v="1"/>
    <s v="NO TIENE L3OUT"/>
    <n v="178"/>
    <n v="96"/>
  </r>
  <r>
    <n v="161"/>
    <x v="0"/>
    <x v="270"/>
    <s v="eth1/65"/>
    <x v="0"/>
    <x v="1"/>
    <x v="1"/>
    <s v="UPGRADE _HP_OV"/>
    <x v="6"/>
    <b v="0"/>
    <s v="No está en VPC"/>
    <n v="161"/>
    <s v="INTPG_ACC_161_1.65"/>
    <s v="ISEL-1.65"/>
    <n v="1"/>
    <s v="NO TIENE L3OUT"/>
    <n v="102"/>
    <n v="96"/>
  </r>
  <r>
    <n v="411"/>
    <x v="1"/>
    <x v="271"/>
    <s v="eth1/65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65"/>
    <x v="0"/>
    <x v="1"/>
    <x v="1"/>
    <s v="ASAP BATCH"/>
    <x v="6"/>
    <b v="0"/>
    <s v="No está en VPC"/>
    <n v="116"/>
    <s v="INTPG_ACC_116_1.65"/>
    <s v="ISEL-1.65"/>
    <n v="1"/>
    <s v="NO TIENE L3OUT"/>
    <n v="148"/>
    <n v="96"/>
  </r>
  <r>
    <n v="412"/>
    <x v="1"/>
    <x v="273"/>
    <s v="eth1/65"/>
    <x v="0"/>
    <x v="0"/>
    <x v="0"/>
    <s v="ITHRTCD3SP11"/>
    <x v="6"/>
    <b v="0"/>
    <s v="No está en VPC"/>
    <n v="412"/>
    <s v="INTPG_ACC_412_1.65"/>
    <s v="ISEL-1.65"/>
    <n v="1"/>
    <s v="NO TIENE L3OUT"/>
    <n v="126"/>
    <n v="96"/>
  </r>
  <r>
    <n v="120"/>
    <x v="0"/>
    <x v="274"/>
    <s v="eth1/65"/>
    <x v="0"/>
    <x v="0"/>
    <x v="0"/>
    <s v="TRAP"/>
    <x v="6"/>
    <b v="0"/>
    <s v="No está en VPC"/>
    <n v="120"/>
    <s v="INTPG_PC_120_1.63-65"/>
    <s v="ISEL-1.65"/>
    <n v="1"/>
    <s v="NO TIENE L3OUT"/>
    <n v="158"/>
    <n v="96"/>
  </r>
  <r>
    <n v="404"/>
    <x v="1"/>
    <x v="275"/>
    <s v="eth1/65"/>
    <x v="0"/>
    <x v="0"/>
    <x v="0"/>
    <s v="DESC"/>
    <x v="6"/>
    <b v="0"/>
    <s v="No está en VPC"/>
    <n v="404"/>
    <s v="INTPG_PC_404_1.65-66"/>
    <s v="ISEL-1.65"/>
    <n v="1"/>
    <s v="NO TIENE L3OUT"/>
    <n v="92"/>
    <n v="96"/>
  </r>
  <r>
    <n v="167"/>
    <x v="0"/>
    <x v="276"/>
    <s v="eth1/65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65"/>
    <x v="0"/>
    <x v="0"/>
    <x v="0"/>
    <s v="SSO"/>
    <x v="6"/>
    <b v="0"/>
    <s v="No está en VPC"/>
    <n v="428"/>
    <s v="INTPG_ACC_428_1.65"/>
    <s v="ISEL-1.65"/>
    <n v="1"/>
    <s v="NO TIENE L3OUT"/>
    <n v="102"/>
    <n v="96"/>
  </r>
  <r>
    <n v="105"/>
    <x v="0"/>
    <x v="205"/>
    <s v="eth1/66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66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66"/>
    <x v="0"/>
    <x v="0"/>
    <x v="0"/>
    <s v="Comp CISCO ANA CSR"/>
    <x v="6"/>
    <b v="0"/>
    <s v="No está en VPC"/>
    <n v="104"/>
    <s v="INTPG_ACC_104_1.66"/>
    <s v="ISEL-1.66"/>
    <n v="1"/>
    <s v="NO TIENE L3OUT"/>
    <n v="194"/>
    <n v="96"/>
  </r>
  <r>
    <n v="158"/>
    <x v="0"/>
    <x v="208"/>
    <s v="eth1/66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66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66"/>
    <x v="0"/>
    <x v="0"/>
    <x v="0"/>
    <s v="ITHAS1B RACK 1"/>
    <x v="6"/>
    <b v="0"/>
    <s v="No está en VPC"/>
    <n v="112"/>
    <s v="INTPG_ACC_112_1.66"/>
    <s v="ISEL-1.66"/>
    <n v="1"/>
    <s v="NO TIENE L3OUT"/>
    <n v="144"/>
    <n v="96"/>
  </r>
  <r>
    <n v="107"/>
    <x v="0"/>
    <x v="213"/>
    <s v="eth1/66"/>
    <x v="1"/>
    <x v="1"/>
    <x v="2"/>
    <m/>
    <x v="6"/>
    <b v="0"/>
    <s v="No está en VPC"/>
    <n v="107"/>
    <s v="INTPG_ACC_107_1.66"/>
    <s v="ISEL-1.66"/>
    <n v="2"/>
    <s v="NO TIENE L3OUT"/>
    <n v="118"/>
    <n v="96"/>
  </r>
  <r>
    <n v="109"/>
    <x v="0"/>
    <x v="214"/>
    <s v="eth1/66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66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66"/>
    <x v="0"/>
    <x v="1"/>
    <x v="1"/>
    <s v="DESC"/>
    <x v="6"/>
    <b v="0"/>
    <s v="No está en VPC"/>
    <n v="114"/>
    <s v="INTPG_PC_114_1.66-71"/>
    <s v="ISEL-1.66"/>
    <n v="12"/>
    <s v="NO TIENE L3OUT"/>
    <n v="144"/>
    <n v="96"/>
  </r>
  <r>
    <n v="124"/>
    <x v="0"/>
    <x v="217"/>
    <s v="eth1/66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66"/>
    <x v="0"/>
    <x v="1"/>
    <x v="1"/>
    <s v="USSD TANGO"/>
    <x v="6"/>
    <b v="0"/>
    <s v="No está en VPC"/>
    <n v="118"/>
    <s v="INTPG_ACC_118_1.66"/>
    <s v="ISEL-1.66"/>
    <n v="1"/>
    <s v="NO TIENE L3OUT"/>
    <n v="180"/>
    <n v="96"/>
  </r>
  <r>
    <n v="159"/>
    <x v="0"/>
    <x v="219"/>
    <s v="eth1/66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66"/>
    <x v="0"/>
    <x v="0"/>
    <x v="0"/>
    <s v="TO-ITHFDEMCFRPMS01"/>
    <x v="6"/>
    <b v="0"/>
    <s v="No está en VPC"/>
    <n v="110"/>
    <s v="INTPG_VPC_110_1.66_111_1.45"/>
    <s v="ISEL-1.66"/>
    <n v="1"/>
    <s v="NO TIENE L3OUT"/>
    <n v="102"/>
    <n v="96"/>
  </r>
  <r>
    <n v="163"/>
    <x v="0"/>
    <x v="223"/>
    <s v="eth1/66"/>
    <x v="0"/>
    <x v="1"/>
    <x v="1"/>
    <s v="Multimediaci\u00f3n 1"/>
    <x v="6"/>
    <b v="0"/>
    <s v="No está en VPC"/>
    <n v="163"/>
    <s v="INTPG_ACC_163_1.66"/>
    <s v="ISEL-1.66"/>
    <n v="1"/>
    <s v="NO TIENE L3OUT"/>
    <n v="140"/>
    <n v="96"/>
  </r>
  <r>
    <n v="407"/>
    <x v="1"/>
    <x v="224"/>
    <s v="eth1/66"/>
    <x v="0"/>
    <x v="1"/>
    <x v="1"/>
    <s v="INSIGHTCA4"/>
    <x v="6"/>
    <b v="0"/>
    <s v="No está en VPC"/>
    <n v="407"/>
    <s v="INTPG_ACC_407_1.66"/>
    <s v="ISEL-1.66"/>
    <n v="1"/>
    <s v="NO TIENE L3OUT"/>
    <n v="122"/>
    <n v="96"/>
  </r>
  <r>
    <n v="171"/>
    <x v="0"/>
    <x v="225"/>
    <s v="eth1/66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66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66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66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66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66"/>
    <x v="0"/>
    <x v="0"/>
    <x v="0"/>
    <s v="R9MEXIXTILO-3"/>
    <x v="6"/>
    <b v="0"/>
    <s v="No está en VPC"/>
    <n v="420"/>
    <s v="INTPG_ACC_420_1.66"/>
    <s v="ISEL-1.66"/>
    <n v="1"/>
    <s v="NO TIENE L3OUT"/>
    <n v="158"/>
    <n v="96"/>
  </r>
  <r>
    <n v="423"/>
    <x v="1"/>
    <x v="231"/>
    <s v="eth1/66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66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66"/>
    <x v="0"/>
    <x v="0"/>
    <x v="0"/>
    <s v="ITHNETZA-B:ithnetz2:"/>
    <x v="6"/>
    <b v="0"/>
    <s v="No está en VPC"/>
    <n v="102"/>
    <s v="INTPG_ACC_102_1.66"/>
    <s v="ISEL-1.66"/>
    <n v="1"/>
    <s v="NO TIENE L3OUT"/>
    <n v="228"/>
    <n v="96"/>
  </r>
  <r>
    <n v="122"/>
    <x v="0"/>
    <x v="237"/>
    <s v="eth1/66"/>
    <x v="0"/>
    <x v="0"/>
    <x v="0"/>
    <s v="TRAP"/>
    <x v="6"/>
    <b v="0"/>
    <s v="No está en VPC"/>
    <n v="122"/>
    <s v="INTPG_PC_122_1.66-69"/>
    <s v="ISEL-1.66"/>
    <n v="1"/>
    <s v="NO TIENE L3OUT"/>
    <n v="148"/>
    <n v="96"/>
  </r>
  <r>
    <n v="157"/>
    <x v="0"/>
    <x v="238"/>
    <s v="eth1/66"/>
    <x v="0"/>
    <x v="0"/>
    <x v="0"/>
    <s v="ARIESO_GEOLOCALIZACION"/>
    <x v="6"/>
    <b v="0"/>
    <s v="No está en VPC"/>
    <n v="157"/>
    <s v="INTPG_ACC_157_1.66"/>
    <s v="ISEL-1.66"/>
    <n v="2"/>
    <s v="NO TIENE L3OUT"/>
    <n v="202"/>
    <n v="96"/>
  </r>
  <r>
    <n v="408"/>
    <x v="1"/>
    <x v="239"/>
    <s v="eth1/66"/>
    <x v="0"/>
    <x v="1"/>
    <x v="1"/>
    <s v="ITHRTC52OA1"/>
    <x v="6"/>
    <b v="0"/>
    <s v="No está en VPC"/>
    <n v="408"/>
    <s v="INTPG_ACC_408_1.66"/>
    <s v="ISEL-1.66"/>
    <n v="1"/>
    <s v="NO TIENE L3OUT"/>
    <n v="152"/>
    <n v="96"/>
  </r>
  <r>
    <n v="405"/>
    <x v="1"/>
    <x v="240"/>
    <s v="eth1/66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66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66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66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66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66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66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66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66"/>
    <x v="0"/>
    <x v="0"/>
    <x v="0"/>
    <s v="1CONSOLA_M8s_Secundario"/>
    <x v="6"/>
    <b v="0"/>
    <s v="No está en VPC"/>
    <n v="438"/>
    <s v="INTPG_ACC_438_1.66"/>
    <s v="ISEL-1.66"/>
    <n v="1"/>
    <s v="NO TIENE L3OUT"/>
    <n v="170"/>
    <n v="96"/>
  </r>
  <r>
    <n v="406"/>
    <x v="1"/>
    <x v="249"/>
    <s v="eth1/66"/>
    <x v="0"/>
    <x v="0"/>
    <x v="0"/>
    <s v="DESC"/>
    <x v="6"/>
    <b v="0"/>
    <s v="No está en VPC"/>
    <n v="406"/>
    <s v="INTPG_PC_406_1.65-66"/>
    <s v="ISEL-1.66"/>
    <n v="1"/>
    <s v="NO TIENE L3OUT"/>
    <n v="82"/>
    <n v="96"/>
  </r>
  <r>
    <n v="414"/>
    <x v="1"/>
    <x v="250"/>
    <s v="eth1/66"/>
    <x v="0"/>
    <x v="1"/>
    <x v="1"/>
    <s v="uxcompr_new"/>
    <x v="6"/>
    <b v="0"/>
    <s v="No está en VPC"/>
    <n v="414"/>
    <s v="INTPG_ACC_414_1.66"/>
    <s v="ISEL-1.66"/>
    <n v="1"/>
    <s v="NO TIENE L3OUT"/>
    <n v="144"/>
    <n v="96"/>
  </r>
  <r>
    <n v="416"/>
    <x v="1"/>
    <x v="251"/>
    <s v="eth1/66"/>
    <x v="0"/>
    <x v="0"/>
    <x v="0"/>
    <s v="B6200A_MGMT_1"/>
    <x v="6"/>
    <b v="0"/>
    <s v="No está en VPC"/>
    <n v="416"/>
    <s v="INTPG_ACC_416_1.66"/>
    <s v="ISEL-1.66"/>
    <n v="1"/>
    <s v="NO TIENE L3OUT"/>
    <n v="110"/>
    <n v="96"/>
  </r>
  <r>
    <n v="418"/>
    <x v="1"/>
    <x v="252"/>
    <s v="eth1/66"/>
    <x v="0"/>
    <x v="0"/>
    <x v="0"/>
    <s v="ITHRTC4BEN2OA1"/>
    <x v="6"/>
    <b v="0"/>
    <s v="No está en VPC"/>
    <n v="418"/>
    <s v="INTPG_ACC_418_1.66"/>
    <s v="ISEL-1.66"/>
    <n v="1"/>
    <s v="NO TIENE L3OUT"/>
    <n v="152"/>
    <n v="96"/>
  </r>
  <r>
    <n v="413"/>
    <x v="1"/>
    <x v="253"/>
    <s v="eth1/66"/>
    <x v="0"/>
    <x v="0"/>
    <x v="0"/>
    <s v="IXTSRM1_VM4"/>
    <x v="6"/>
    <b v="0"/>
    <s v="No está en VPC"/>
    <n v="413"/>
    <s v="INTPG_ACC_413_1.66"/>
    <s v="ISEL-1.66"/>
    <n v="1"/>
    <s v="NO TIENE L3OUT"/>
    <n v="126"/>
    <n v="96"/>
  </r>
  <r>
    <n v="403"/>
    <x v="1"/>
    <x v="254"/>
    <s v="eth1/66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66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66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66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66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66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66"/>
    <x v="0"/>
    <x v="1"/>
    <x v="1"/>
    <s v="SRSIXT02_CLIENT1"/>
    <x v="6"/>
    <b v="0"/>
    <s v="No está en VPC"/>
    <n v="126"/>
    <s v="INTPG_VPC_126_1.66_173_1.63"/>
    <s v="ISEL-1.66"/>
    <n v="1"/>
    <s v="NO TIENE L3OUT"/>
    <n v="54"/>
    <n v="96"/>
  </r>
  <r>
    <n v="425"/>
    <x v="1"/>
    <x v="261"/>
    <s v="eth1/66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66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66"/>
    <x v="0"/>
    <x v="0"/>
    <x v="0"/>
    <s v="RLPNOVB02"/>
    <x v="6"/>
    <b v="0"/>
    <s v="No está en VPC"/>
    <n v="430"/>
    <s v="INTPG_ACC_430_1.66"/>
    <s v="ISEL-1.66"/>
    <n v="1"/>
    <s v="NO TIENE L3OUT"/>
    <n v="86"/>
    <n v="96"/>
  </r>
  <r>
    <n v="419"/>
    <x v="1"/>
    <x v="264"/>
    <s v="eth1/66"/>
    <x v="0"/>
    <x v="0"/>
    <x v="0"/>
    <s v="HP Proliant DL380p(b)"/>
    <x v="6"/>
    <b v="0"/>
    <s v="No está en VPC"/>
    <n v="419"/>
    <s v="INTPG_ACC_419_1.66"/>
    <s v="ISEL-1.66"/>
    <n v="1"/>
    <s v="NO TIENE L3OUT"/>
    <n v="70"/>
    <n v="96"/>
  </r>
  <r>
    <n v="155"/>
    <x v="0"/>
    <x v="265"/>
    <s v="eth1/66"/>
    <x v="0"/>
    <x v="0"/>
    <x v="0"/>
    <s v="ARIESO_GEOLOCALIZACION"/>
    <x v="6"/>
    <b v="0"/>
    <s v="No está en VPC"/>
    <n v="155"/>
    <s v="INTPG_ACC_155_1.66"/>
    <s v="ISEL-1.66"/>
    <n v="2"/>
    <s v="NO TIENE L3OUT"/>
    <n v="198"/>
    <n v="96"/>
  </r>
  <r>
    <n v="409"/>
    <x v="1"/>
    <x v="266"/>
    <s v="eth1/66"/>
    <x v="0"/>
    <x v="0"/>
    <x v="0"/>
    <s v="INSIGHTCA6"/>
    <x v="6"/>
    <b v="0"/>
    <s v="No está en VPC"/>
    <n v="409"/>
    <s v="INTPG_ACC_409_1.66"/>
    <s v="ISEL-1.66"/>
    <n v="1"/>
    <s v="NO TIENE L3OUT"/>
    <n v="128"/>
    <n v="96"/>
  </r>
  <r>
    <n v="422"/>
    <x v="1"/>
    <x v="267"/>
    <s v="eth1/66"/>
    <x v="0"/>
    <x v="0"/>
    <x v="0"/>
    <s v="DCX_BKP1"/>
    <x v="6"/>
    <b v="0"/>
    <s v="No está en VPC"/>
    <n v="422"/>
    <s v="INTPG_ACC_422_1.66"/>
    <s v="ISEL-1.66"/>
    <n v="1"/>
    <s v="NO TIENE L3OUT"/>
    <n v="182"/>
    <n v="96"/>
  </r>
  <r>
    <n v="436"/>
    <x v="1"/>
    <x v="268"/>
    <s v="eth1/66"/>
    <x v="0"/>
    <x v="0"/>
    <x v="0"/>
    <s v="1CONSOLA_M8s_Primario"/>
    <x v="6"/>
    <b v="0"/>
    <s v="No está en VPC"/>
    <n v="436"/>
    <s v="INTPG_ACC_436_1.66"/>
    <s v="ISEL-1.66"/>
    <n v="1"/>
    <s v="NO TIENE L3OUT"/>
    <n v="172"/>
    <n v="96"/>
  </r>
  <r>
    <n v="410"/>
    <x v="1"/>
    <x v="269"/>
    <s v="eth1/66"/>
    <x v="0"/>
    <x v="1"/>
    <x v="1"/>
    <s v="ITHRTCD1SP11"/>
    <x v="6"/>
    <b v="0"/>
    <s v="No está en VPC"/>
    <n v="410"/>
    <s v="INTPG_ACC_410_1.66"/>
    <s v="ISEL-1.66"/>
    <n v="1"/>
    <s v="NO TIENE L3OUT"/>
    <n v="178"/>
    <n v="96"/>
  </r>
  <r>
    <n v="161"/>
    <x v="0"/>
    <x v="270"/>
    <s v="eth1/66"/>
    <x v="0"/>
    <x v="0"/>
    <x v="0"/>
    <s v="Comp CISCO ANA CSR"/>
    <x v="6"/>
    <b v="0"/>
    <s v="No está en VPC"/>
    <n v="161"/>
    <s v="INTPG_ACC_161_1.66"/>
    <s v="ISEL-1.66"/>
    <n v="1"/>
    <s v="NO TIENE L3OUT"/>
    <n v="102"/>
    <n v="96"/>
  </r>
  <r>
    <n v="411"/>
    <x v="1"/>
    <x v="271"/>
    <s v="eth1/66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66"/>
    <x v="0"/>
    <x v="0"/>
    <x v="0"/>
    <s v="ASAP BATCH"/>
    <x v="6"/>
    <b v="0"/>
    <s v="No está en VPC"/>
    <n v="116"/>
    <s v="INTPG_ACC_116_1.66"/>
    <s v="ISEL-1.66"/>
    <n v="1"/>
    <s v="NO TIENE L3OUT"/>
    <n v="148"/>
    <n v="96"/>
  </r>
  <r>
    <n v="412"/>
    <x v="1"/>
    <x v="273"/>
    <s v="eth1/66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66"/>
    <x v="0"/>
    <x v="0"/>
    <x v="0"/>
    <s v="N/A"/>
    <x v="6"/>
    <b v="0"/>
    <s v="No está en VPC"/>
    <n v="120"/>
    <s v="INTPG_ACC_120_1.66"/>
    <s v="ISEL-1.66"/>
    <n v="1"/>
    <s v="NO TIENE L3OUT"/>
    <n v="158"/>
    <n v="96"/>
  </r>
  <r>
    <n v="404"/>
    <x v="1"/>
    <x v="275"/>
    <s v="eth1/66"/>
    <x v="0"/>
    <x v="0"/>
    <x v="0"/>
    <s v="DESC"/>
    <x v="6"/>
    <b v="0"/>
    <s v="No está en VPC"/>
    <n v="404"/>
    <s v="INTPG_PC_404_1.65-66"/>
    <s v="ISEL-1.66"/>
    <n v="1"/>
    <s v="NO TIENE L3OUT"/>
    <n v="92"/>
    <n v="96"/>
  </r>
  <r>
    <n v="167"/>
    <x v="0"/>
    <x v="276"/>
    <s v="eth1/66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66"/>
    <x v="0"/>
    <x v="0"/>
    <x v="0"/>
    <s v="SSO"/>
    <x v="6"/>
    <b v="0"/>
    <s v="No está en VPC"/>
    <n v="428"/>
    <s v="INTPG_ACC_428_1.66"/>
    <s v="ISEL-1.66"/>
    <n v="1"/>
    <s v="NO TIENE L3OUT"/>
    <n v="102"/>
    <n v="96"/>
  </r>
  <r>
    <n v="105"/>
    <x v="0"/>
    <x v="205"/>
    <s v="eth1/67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67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67"/>
    <x v="0"/>
    <x v="1"/>
    <x v="1"/>
    <s v="CISCO ANA 01 EHEALTH"/>
    <x v="6"/>
    <b v="0"/>
    <s v="No está en VPC"/>
    <n v="104"/>
    <s v="INTPG_ACC_104_1.67"/>
    <s v="ISEL-1.67"/>
    <n v="1"/>
    <s v="NO TIENE L3OUT"/>
    <n v="194"/>
    <n v="96"/>
  </r>
  <r>
    <n v="158"/>
    <x v="0"/>
    <x v="208"/>
    <s v="eth1/67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67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67"/>
    <x v="0"/>
    <x v="0"/>
    <x v="0"/>
    <s v="ITHAS1B RACK 1"/>
    <x v="6"/>
    <b v="0"/>
    <s v="No está en VPC"/>
    <n v="112"/>
    <s v="INTPG_ACC_112_1.67"/>
    <s v="ISEL-1.67"/>
    <n v="1"/>
    <s v="NO TIENE L3OUT"/>
    <n v="144"/>
    <n v="96"/>
  </r>
  <r>
    <n v="107"/>
    <x v="0"/>
    <x v="213"/>
    <s v="eth1/67"/>
    <x v="0"/>
    <x v="0"/>
    <x v="0"/>
    <m/>
    <x v="6"/>
    <b v="0"/>
    <s v="No está en VPC"/>
    <n v="107"/>
    <s v="INTPG_ACC_107_1.67"/>
    <s v="ISEL-1.67"/>
    <n v="1"/>
    <s v="NO TIENE L3OUT"/>
    <n v="118"/>
    <n v="96"/>
  </r>
  <r>
    <n v="109"/>
    <x v="0"/>
    <x v="214"/>
    <s v="eth1/67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67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67"/>
    <x v="0"/>
    <x v="1"/>
    <x v="1"/>
    <s v="DESC"/>
    <x v="6"/>
    <b v="0"/>
    <s v="No está en VPC"/>
    <n v="114"/>
    <s v="INTPG_PC_114_1.66-71"/>
    <s v="ISEL-1.67"/>
    <n v="12"/>
    <s v="NO TIENE L3OUT"/>
    <n v="144"/>
    <n v="96"/>
  </r>
  <r>
    <n v="124"/>
    <x v="0"/>
    <x v="217"/>
    <s v="eth1/67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67"/>
    <x v="0"/>
    <x v="1"/>
    <x v="1"/>
    <s v="USSD TANGO"/>
    <x v="6"/>
    <b v="0"/>
    <s v="No está en VPC"/>
    <n v="118"/>
    <s v="INTPG_ACC_118_1.67"/>
    <s v="ISEL-1.67"/>
    <n v="1"/>
    <s v="NO TIENE L3OUT"/>
    <n v="180"/>
    <n v="96"/>
  </r>
  <r>
    <n v="159"/>
    <x v="0"/>
    <x v="219"/>
    <s v="eth1/67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67"/>
    <x v="0"/>
    <x v="0"/>
    <x v="0"/>
    <s v="TO-ITHFDEMCFRPMS02-PRINCIPAL"/>
    <x v="6"/>
    <b v="0"/>
    <s v="No está en VPC"/>
    <n v="110"/>
    <s v="INTPG_ACC_110_1.67"/>
    <s v="ISEL-1.67"/>
    <n v="1"/>
    <s v="NO TIENE L3OUT"/>
    <n v="102"/>
    <n v="96"/>
  </r>
  <r>
    <n v="163"/>
    <x v="0"/>
    <x v="223"/>
    <s v="eth1/67"/>
    <x v="0"/>
    <x v="0"/>
    <x v="0"/>
    <s v="MULTIMEDIACION_1"/>
    <x v="6"/>
    <b v="0"/>
    <s v="No está en VPC"/>
    <n v="163"/>
    <s v="INTPG_ACC_163_1.67"/>
    <s v="ISEL-1.67"/>
    <n v="1"/>
    <s v="NO TIENE L3OUT"/>
    <n v="140"/>
    <n v="96"/>
  </r>
  <r>
    <n v="407"/>
    <x v="1"/>
    <x v="224"/>
    <s v="eth1/67"/>
    <x v="0"/>
    <x v="0"/>
    <x v="0"/>
    <s v="INSIGHTCA5"/>
    <x v="6"/>
    <b v="0"/>
    <s v="No está en VPC"/>
    <n v="407"/>
    <s v="INTPG_ACC_407_1.67"/>
    <s v="ISEL-1.67"/>
    <n v="1"/>
    <s v="NO TIENE L3OUT"/>
    <n v="122"/>
    <n v="96"/>
  </r>
  <r>
    <n v="171"/>
    <x v="0"/>
    <x v="225"/>
    <s v="eth1/67"/>
    <x v="1"/>
    <x v="1"/>
    <x v="2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67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67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67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67"/>
    <x v="0"/>
    <x v="1"/>
    <x v="1"/>
    <s v="ENIQ3GMX_CLIENT1"/>
    <x v="6"/>
    <b v="0"/>
    <s v="No está en VPC"/>
    <n v="172"/>
    <s v="INTPG_VPC_171_1.5_15_172_1.5_67"/>
    <s v="ISEL-1.67"/>
    <n v="10"/>
    <s v="NO TIENE L3OUT"/>
    <n v="104"/>
    <n v="96"/>
  </r>
  <r>
    <n v="420"/>
    <x v="1"/>
    <x v="230"/>
    <s v="eth1/67"/>
    <x v="0"/>
    <x v="0"/>
    <x v="0"/>
    <s v="R9MEXIXTILO-4"/>
    <x v="6"/>
    <b v="0"/>
    <s v="No está en VPC"/>
    <n v="420"/>
    <s v="INTPG_ACC_420_1.67"/>
    <s v="ISEL-1.67"/>
    <n v="1"/>
    <s v="NO TIENE L3OUT"/>
    <n v="158"/>
    <n v="96"/>
  </r>
  <r>
    <n v="423"/>
    <x v="1"/>
    <x v="231"/>
    <s v="eth1/67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67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67"/>
    <x v="0"/>
    <x v="1"/>
    <x v="1"/>
    <s v="SILOT"/>
    <x v="6"/>
    <b v="0"/>
    <s v="No está en VPC"/>
    <n v="102"/>
    <s v="INTPG_ACC_102_1.67"/>
    <s v="ISEL-1.67"/>
    <n v="1"/>
    <s v="NO TIENE L3OUT"/>
    <n v="228"/>
    <n v="96"/>
  </r>
  <r>
    <n v="122"/>
    <x v="0"/>
    <x v="237"/>
    <s v="eth1/67"/>
    <x v="0"/>
    <x v="0"/>
    <x v="0"/>
    <s v="TRAP"/>
    <x v="6"/>
    <b v="0"/>
    <s v="No está en VPC"/>
    <n v="122"/>
    <s v="INTPG_PC_122_1.66-69"/>
    <s v="ISEL-1.67"/>
    <n v="1"/>
    <s v="NO TIENE L3OUT"/>
    <n v="148"/>
    <n v="96"/>
  </r>
  <r>
    <n v="157"/>
    <x v="0"/>
    <x v="238"/>
    <s v="eth1/67"/>
    <x v="0"/>
    <x v="0"/>
    <x v="0"/>
    <s v="ARIESO_GEOLOCALIZACION"/>
    <x v="6"/>
    <b v="0"/>
    <s v="No está en VPC"/>
    <n v="157"/>
    <s v="INTPG_ACC_157_1.67"/>
    <s v="ISEL-1.67"/>
    <n v="2"/>
    <s v="NO TIENE L3OUT"/>
    <n v="202"/>
    <n v="96"/>
  </r>
  <r>
    <n v="408"/>
    <x v="1"/>
    <x v="239"/>
    <s v="eth1/67"/>
    <x v="0"/>
    <x v="0"/>
    <x v="0"/>
    <s v="ITHRTC61VC1X4"/>
    <x v="6"/>
    <b v="0"/>
    <s v="No está en VPC"/>
    <n v="408"/>
    <s v="INTPG_ACC_408_1.67"/>
    <s v="ISEL-1.67"/>
    <n v="1"/>
    <s v="NO TIENE L3OUT"/>
    <n v="152"/>
    <n v="96"/>
  </r>
  <r>
    <n v="405"/>
    <x v="1"/>
    <x v="240"/>
    <s v="eth1/67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67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67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67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67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67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67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67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67"/>
    <x v="0"/>
    <x v="0"/>
    <x v="0"/>
    <s v="3CONSOLA_M8s_Secundario"/>
    <x v="6"/>
    <b v="0"/>
    <s v="No está en VPC"/>
    <n v="438"/>
    <s v="INTPG_ACC_438_1.67"/>
    <s v="ISEL-1.67"/>
    <n v="1"/>
    <s v="NO TIENE L3OUT"/>
    <n v="170"/>
    <n v="96"/>
  </r>
  <r>
    <n v="406"/>
    <x v="1"/>
    <x v="249"/>
    <s v="eth1/67"/>
    <x v="0"/>
    <x v="0"/>
    <x v="0"/>
    <s v="ITHRTC3NB1"/>
    <x v="6"/>
    <b v="0"/>
    <s v="No está en VPC"/>
    <n v="406"/>
    <s v="INTPG_ACC_406_1.67"/>
    <s v="ISEL-1.67"/>
    <n v="1"/>
    <s v="NO TIENE L3OUT"/>
    <n v="82"/>
    <n v="96"/>
  </r>
  <r>
    <n v="414"/>
    <x v="1"/>
    <x v="250"/>
    <s v="eth1/67"/>
    <x v="0"/>
    <x v="0"/>
    <x v="0"/>
    <s v="ent0"/>
    <x v="6"/>
    <b v="0"/>
    <s v="No está en VPC"/>
    <n v="414"/>
    <s v="INTPG_ACC_414_1.67"/>
    <s v="ISEL-1.67"/>
    <n v="1"/>
    <s v="NO TIENE L3OUT"/>
    <n v="144"/>
    <n v="96"/>
  </r>
  <r>
    <n v="416"/>
    <x v="1"/>
    <x v="251"/>
    <s v="eth1/67"/>
    <x v="0"/>
    <x v="0"/>
    <x v="0"/>
    <s v="B6200B_MGMT_1"/>
    <x v="6"/>
    <b v="0"/>
    <s v="No está en VPC"/>
    <n v="416"/>
    <s v="INTPG_ACC_416_1.67"/>
    <s v="ISEL-1.67"/>
    <n v="1"/>
    <s v="NO TIENE L3OUT"/>
    <n v="110"/>
    <n v="96"/>
  </r>
  <r>
    <n v="418"/>
    <x v="1"/>
    <x v="252"/>
    <s v="eth1/67"/>
    <x v="0"/>
    <x v="0"/>
    <x v="0"/>
    <s v="ITHRTC4BNBU1_ILO"/>
    <x v="6"/>
    <b v="0"/>
    <s v="No está en VPC"/>
    <n v="418"/>
    <s v="INTPG_ACC_418_1.67"/>
    <s v="ISEL-1.67"/>
    <n v="1"/>
    <s v="NO TIENE L3OUT"/>
    <n v="152"/>
    <n v="96"/>
  </r>
  <r>
    <n v="413"/>
    <x v="1"/>
    <x v="253"/>
    <s v="eth1/67"/>
    <x v="0"/>
    <x v="0"/>
    <x v="0"/>
    <s v="IXTSRM2"/>
    <x v="6"/>
    <b v="0"/>
    <s v="No está en VPC"/>
    <n v="413"/>
    <s v="INTPG_ACC_413_1.67"/>
    <s v="ISEL-1.67"/>
    <n v="1"/>
    <s v="NO TIENE L3OUT"/>
    <n v="126"/>
    <n v="96"/>
  </r>
  <r>
    <n v="403"/>
    <x v="1"/>
    <x v="254"/>
    <s v="eth1/67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67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67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67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67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67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67"/>
    <x v="0"/>
    <x v="1"/>
    <x v="1"/>
    <s v="SRSIXT022_CLIENT1"/>
    <x v="6"/>
    <b v="0"/>
    <s v="No está en VPC"/>
    <n v="126"/>
    <s v="INTPG_VPC_126_1.67_173_1.64"/>
    <s v="ISEL-1.67"/>
    <n v="1"/>
    <s v="NO TIENE L3OUT"/>
    <n v="54"/>
    <n v="96"/>
  </r>
  <r>
    <n v="425"/>
    <x v="1"/>
    <x v="261"/>
    <s v="eth1/67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67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67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67"/>
    <x v="1"/>
    <x v="1"/>
    <x v="2"/>
    <s v="HP Proliant DL380p(b)"/>
    <x v="6"/>
    <b v="0"/>
    <s v="No está en VPC"/>
    <n v="419"/>
    <s v="INTPG_ACC_419_1.67"/>
    <s v="ISEL-1.67"/>
    <n v="0"/>
    <s v="NO TIENE L3OUT"/>
    <n v="70"/>
    <n v="96"/>
  </r>
  <r>
    <n v="155"/>
    <x v="0"/>
    <x v="265"/>
    <s v="eth1/67"/>
    <x v="0"/>
    <x v="0"/>
    <x v="0"/>
    <s v="ARIESO_GEOLOCALIZACION"/>
    <x v="6"/>
    <b v="0"/>
    <s v="No está en VPC"/>
    <n v="155"/>
    <s v="INTPG_ACC_155_1.67"/>
    <s v="ISEL-1.67"/>
    <n v="2"/>
    <s v="NO TIENE L3OUT"/>
    <n v="198"/>
    <n v="96"/>
  </r>
  <r>
    <n v="409"/>
    <x v="1"/>
    <x v="266"/>
    <s v="eth1/67"/>
    <x v="0"/>
    <x v="1"/>
    <x v="1"/>
    <s v="INSIGHTCA7"/>
    <x v="6"/>
    <b v="0"/>
    <s v="No está en VPC"/>
    <n v="409"/>
    <s v="INTPG_ACC_409_1.67"/>
    <s v="ISEL-1.67"/>
    <n v="1"/>
    <s v="NO TIENE L3OUT"/>
    <n v="128"/>
    <n v="96"/>
  </r>
  <r>
    <n v="422"/>
    <x v="1"/>
    <x v="267"/>
    <s v="eth1/67"/>
    <x v="0"/>
    <x v="0"/>
    <x v="0"/>
    <s v="DCX_BKP2"/>
    <x v="6"/>
    <b v="0"/>
    <s v="No está en VPC"/>
    <n v="422"/>
    <s v="INTPG_ACC_422_1.67"/>
    <s v="ISEL-1.67"/>
    <n v="1"/>
    <s v="NO TIENE L3OUT"/>
    <n v="182"/>
    <n v="96"/>
  </r>
  <r>
    <n v="436"/>
    <x v="1"/>
    <x v="268"/>
    <s v="eth1/67"/>
    <x v="0"/>
    <x v="0"/>
    <x v="0"/>
    <s v="3CONSOLA_M8s_Primario"/>
    <x v="6"/>
    <b v="0"/>
    <s v="No está en VPC"/>
    <n v="436"/>
    <s v="INTPG_ACC_436_1.67"/>
    <s v="ISEL-1.67"/>
    <n v="1"/>
    <s v="NO TIENE L3OUT"/>
    <n v="172"/>
    <n v="96"/>
  </r>
  <r>
    <n v="410"/>
    <x v="1"/>
    <x v="269"/>
    <s v="eth1/67"/>
    <x v="0"/>
    <x v="0"/>
    <x v="0"/>
    <s v="ITHRTCD1SSWB"/>
    <x v="6"/>
    <b v="0"/>
    <s v="No está en VPC"/>
    <n v="410"/>
    <s v="INTPG_ACC_410_1.67"/>
    <s v="ISEL-1.67"/>
    <n v="1"/>
    <s v="NO TIENE L3OUT"/>
    <n v="178"/>
    <n v="96"/>
  </r>
  <r>
    <n v="161"/>
    <x v="0"/>
    <x v="270"/>
    <s v="eth1/67"/>
    <x v="1"/>
    <x v="1"/>
    <x v="2"/>
    <s v="SERTEC_SGH250HXW1_CLIENT1"/>
    <x v="6"/>
    <b v="0"/>
    <s v="No está en VPC"/>
    <n v="161"/>
    <s v="INTPG_VPC_161_1.67_163_1.32"/>
    <s v="ISEL-1.67"/>
    <n v="0"/>
    <s v="NO TIENE L3OUT"/>
    <n v="102"/>
    <n v="96"/>
  </r>
  <r>
    <n v="411"/>
    <x v="1"/>
    <x v="271"/>
    <s v="eth1/67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67"/>
    <x v="0"/>
    <x v="1"/>
    <x v="1"/>
    <s v="COBROS NAVEGACION"/>
    <x v="6"/>
    <b v="0"/>
    <s v="No está en VPC"/>
    <n v="116"/>
    <s v="INTPG_ACC_116_1.67"/>
    <s v="ISEL-1.67"/>
    <n v="1"/>
    <s v="NO TIENE L3OUT"/>
    <n v="148"/>
    <n v="96"/>
  </r>
  <r>
    <n v="412"/>
    <x v="1"/>
    <x v="273"/>
    <s v="eth1/67"/>
    <x v="0"/>
    <x v="0"/>
    <x v="0"/>
    <s v="TO-ITHFDENBUUSW02-PRINCIPAL"/>
    <x v="6"/>
    <b v="0"/>
    <s v="No está en VPC"/>
    <n v="412"/>
    <s v="INTPG_ACC_412_1.67"/>
    <s v="ISEL-1.67"/>
    <n v="1"/>
    <s v="NO TIENE L3OUT"/>
    <n v="126"/>
    <n v="96"/>
  </r>
  <r>
    <n v="120"/>
    <x v="0"/>
    <x v="274"/>
    <s v="eth1/67"/>
    <x v="1"/>
    <x v="1"/>
    <x v="2"/>
    <s v="N/A"/>
    <x v="6"/>
    <b v="0"/>
    <s v="No está en VPC"/>
    <n v="120"/>
    <s v="INTPG_ACC_120_1.67"/>
    <s v="ISEL-1.67"/>
    <n v="1"/>
    <s v="NO TIENE L3OUT"/>
    <n v="158"/>
    <n v="96"/>
  </r>
  <r>
    <n v="404"/>
    <x v="1"/>
    <x v="275"/>
    <s v="eth1/67"/>
    <x v="0"/>
    <x v="1"/>
    <x v="1"/>
    <s v="uxcompr6"/>
    <x v="6"/>
    <b v="0"/>
    <s v="No está en VPC"/>
    <n v="404"/>
    <s v="INTPG_ACC_404_1.67"/>
    <s v="ISEL-1.67"/>
    <n v="1"/>
    <s v="NO TIENE L3OUT"/>
    <n v="92"/>
    <n v="96"/>
  </r>
  <r>
    <n v="167"/>
    <x v="0"/>
    <x v="276"/>
    <s v="eth1/67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67"/>
    <x v="0"/>
    <x v="0"/>
    <x v="0"/>
    <s v="SSO"/>
    <x v="6"/>
    <b v="0"/>
    <s v="No está en VPC"/>
    <n v="428"/>
    <s v="INTPG_ACC_428_1.67"/>
    <s v="ISEL-1.67"/>
    <n v="1"/>
    <s v="NO TIENE L3OUT"/>
    <n v="102"/>
    <n v="96"/>
  </r>
  <r>
    <n v="105"/>
    <x v="0"/>
    <x v="205"/>
    <s v="eth1/68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68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68"/>
    <x v="1"/>
    <x v="1"/>
    <x v="2"/>
    <s v="CISCO ANA 01 EHEALTH"/>
    <x v="6"/>
    <b v="0"/>
    <s v="No está en VPC"/>
    <n v="104"/>
    <s v="INTPG_ACC_104_1.68"/>
    <s v="ISEL-1.68"/>
    <n v="0"/>
    <s v="NO TIENE L3OUT"/>
    <n v="194"/>
    <n v="96"/>
  </r>
  <r>
    <n v="158"/>
    <x v="0"/>
    <x v="208"/>
    <s v="eth1/68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68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68"/>
    <x v="0"/>
    <x v="1"/>
    <x v="1"/>
    <s v="DESC"/>
    <x v="6"/>
    <b v="0"/>
    <s v="No está en VPC"/>
    <n v="112"/>
    <s v="INTPG_PC_112_1.68-73"/>
    <s v="ISEL-1.68"/>
    <n v="12"/>
    <s v="NO TIENE L3OUT"/>
    <n v="144"/>
    <n v="96"/>
  </r>
  <r>
    <n v="107"/>
    <x v="0"/>
    <x v="213"/>
    <s v="eth1/68"/>
    <x v="0"/>
    <x v="1"/>
    <x v="1"/>
    <s v="NETEZZA EMC "/>
    <x v="6"/>
    <b v="0"/>
    <s v="No está en VPC"/>
    <n v="107"/>
    <s v="INTPG_ACC_107_1.68"/>
    <s v="ISEL-1.68"/>
    <n v="1"/>
    <s v="NO TIENE L3OUT"/>
    <n v="118"/>
    <n v="96"/>
  </r>
  <r>
    <n v="109"/>
    <x v="0"/>
    <x v="214"/>
    <s v="eth1/68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68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68"/>
    <x v="0"/>
    <x v="1"/>
    <x v="1"/>
    <s v="DESC"/>
    <x v="6"/>
    <b v="0"/>
    <s v="No está en VPC"/>
    <n v="114"/>
    <s v="INTPG_PC_114_1.66-71"/>
    <s v="ISEL-1.68"/>
    <n v="12"/>
    <s v="NO TIENE L3OUT"/>
    <n v="144"/>
    <n v="96"/>
  </r>
  <r>
    <n v="124"/>
    <x v="0"/>
    <x v="217"/>
    <s v="eth1/68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68"/>
    <x v="0"/>
    <x v="1"/>
    <x v="1"/>
    <s v="USSD TANGO"/>
    <x v="6"/>
    <b v="0"/>
    <s v="No está en VPC"/>
    <n v="118"/>
    <s v="INTPG_ACC_118_1.68"/>
    <s v="ISEL-1.68"/>
    <n v="1"/>
    <s v="NO TIENE L3OUT"/>
    <n v="180"/>
    <n v="96"/>
  </r>
  <r>
    <n v="159"/>
    <x v="0"/>
    <x v="219"/>
    <s v="eth1/68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68"/>
    <x v="0"/>
    <x v="0"/>
    <x v="0"/>
    <s v="TO-ITHFDEMCFRPMS02"/>
    <x v="6"/>
    <b v="0"/>
    <s v="No está en VPC"/>
    <n v="110"/>
    <s v="INTPG_VPC_110_1.68_111_1.46"/>
    <s v="ISEL-1.68"/>
    <n v="1"/>
    <s v="NO TIENE L3OUT"/>
    <n v="102"/>
    <n v="96"/>
  </r>
  <r>
    <n v="163"/>
    <x v="0"/>
    <x v="223"/>
    <s v="eth1/68"/>
    <x v="0"/>
    <x v="0"/>
    <x v="0"/>
    <s v="IMEI"/>
    <x v="6"/>
    <b v="0"/>
    <s v="No está en VPC"/>
    <n v="163"/>
    <s v="INTPG_ACC_163_1.68"/>
    <s v="ISEL-1.68"/>
    <n v="1"/>
    <s v="NO TIENE L3OUT"/>
    <n v="140"/>
    <n v="96"/>
  </r>
  <r>
    <n v="407"/>
    <x v="1"/>
    <x v="224"/>
    <s v="eth1/68"/>
    <x v="0"/>
    <x v="1"/>
    <x v="1"/>
    <s v="INSIGHTCA7"/>
    <x v="6"/>
    <b v="0"/>
    <s v="No está en VPC"/>
    <n v="407"/>
    <s v="INTPG_ACC_407_1.68"/>
    <s v="ISEL-1.68"/>
    <n v="1"/>
    <s v="NO TIENE L3OUT"/>
    <n v="122"/>
    <n v="96"/>
  </r>
  <r>
    <n v="171"/>
    <x v="0"/>
    <x v="225"/>
    <s v="eth1/68"/>
    <x v="0"/>
    <x v="0"/>
    <x v="0"/>
    <s v="TO-SRSIXT_02_F5"/>
    <x v="6"/>
    <b v="0"/>
    <s v="No está en VPC"/>
    <n v="171"/>
    <s v="INTPG_PC_171_1.68_69"/>
    <s v="ISEL-1.68"/>
    <n v="5"/>
    <s v="NO TIENE L3OUT"/>
    <n v="114"/>
    <n v="96"/>
  </r>
  <r>
    <n v="421"/>
    <x v="1"/>
    <x v="226"/>
    <s v="eth1/68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68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68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68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68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68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68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68"/>
    <x v="0"/>
    <x v="1"/>
    <x v="1"/>
    <m/>
    <x v="6"/>
    <b v="0"/>
    <s v="No está en VPC"/>
    <n v="102"/>
    <s v="NO EXISTE PG"/>
    <s v="NO EXISTE ISEL"/>
    <n v="0"/>
    <s v="NO TIENE L3OUT"/>
    <n v="228"/>
    <n v="96"/>
  </r>
  <r>
    <n v="122"/>
    <x v="0"/>
    <x v="237"/>
    <s v="eth1/68"/>
    <x v="0"/>
    <x v="0"/>
    <x v="0"/>
    <s v="TRAP"/>
    <x v="6"/>
    <b v="0"/>
    <s v="No está en VPC"/>
    <n v="122"/>
    <s v="INTPG_PC_122_1.66-69"/>
    <s v="ISEL-1.68"/>
    <n v="1"/>
    <s v="NO TIENE L3OUT"/>
    <n v="148"/>
    <n v="96"/>
  </r>
  <r>
    <n v="157"/>
    <x v="0"/>
    <x v="238"/>
    <s v="eth1/68"/>
    <x v="0"/>
    <x v="0"/>
    <x v="0"/>
    <s v="ARIESO_GEOLOCALIZACION"/>
    <x v="6"/>
    <b v="0"/>
    <s v="No está en VPC"/>
    <n v="157"/>
    <s v="INTPG_ACC_157_1.68"/>
    <s v="ISEL-1.68"/>
    <n v="2"/>
    <s v="NO TIENE L3OUT"/>
    <n v="202"/>
    <n v="96"/>
  </r>
  <r>
    <n v="408"/>
    <x v="1"/>
    <x v="239"/>
    <s v="eth1/68"/>
    <x v="0"/>
    <x v="0"/>
    <x v="0"/>
    <s v="ITHRTC62VC1X4"/>
    <x v="6"/>
    <b v="0"/>
    <s v="No está en VPC"/>
    <n v="408"/>
    <s v="INTPG_ACC_408_1.68"/>
    <s v="ISEL-1.68"/>
    <n v="1"/>
    <s v="NO TIENE L3OUT"/>
    <n v="152"/>
    <n v="96"/>
  </r>
  <r>
    <n v="405"/>
    <x v="1"/>
    <x v="240"/>
    <s v="eth1/68"/>
    <x v="0"/>
    <x v="0"/>
    <x v="0"/>
    <s v="ARIESO_LTE_RLR4ARI11"/>
    <x v="6"/>
    <b v="0"/>
    <s v="No está en VPC"/>
    <n v="405"/>
    <s v="INTPG_ACC_405_1.68"/>
    <s v="ISEL-1.68"/>
    <n v="1"/>
    <s v="NO TIENE L3OUT"/>
    <n v="138"/>
    <n v="96"/>
  </r>
  <r>
    <n v="169"/>
    <x v="0"/>
    <x v="241"/>
    <s v="eth1/68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68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68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68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68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68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68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68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68"/>
    <x v="0"/>
    <x v="0"/>
    <x v="0"/>
    <s v="ITHRTC31OA1"/>
    <x v="6"/>
    <b v="0"/>
    <s v="No está en VPC"/>
    <n v="406"/>
    <s v="INTPG_ACC_406_1.68"/>
    <s v="ISEL-1.68"/>
    <n v="1"/>
    <s v="NO TIENE L3OUT"/>
    <n v="82"/>
    <n v="96"/>
  </r>
  <r>
    <n v="414"/>
    <x v="1"/>
    <x v="250"/>
    <s v="eth1/68"/>
    <x v="0"/>
    <x v="0"/>
    <x v="0"/>
    <s v="ent0"/>
    <x v="6"/>
    <b v="0"/>
    <s v="No está en VPC"/>
    <n v="414"/>
    <s v="INTPG_ACC_414_1.68"/>
    <s v="ISEL-1.68"/>
    <n v="1"/>
    <s v="NO TIENE L3OUT"/>
    <n v="144"/>
    <n v="96"/>
  </r>
  <r>
    <n v="416"/>
    <x v="1"/>
    <x v="251"/>
    <s v="eth1/68"/>
    <x v="0"/>
    <x v="0"/>
    <x v="0"/>
    <s v="B6200C_MGMT_1"/>
    <x v="6"/>
    <b v="0"/>
    <s v="No está en VPC"/>
    <n v="416"/>
    <s v="INTPG_ACC_416_1.68"/>
    <s v="ISEL-1.68"/>
    <n v="1"/>
    <s v="NO TIENE L3OUT"/>
    <n v="110"/>
    <n v="96"/>
  </r>
  <r>
    <n v="418"/>
    <x v="1"/>
    <x v="252"/>
    <s v="eth1/68"/>
    <x v="0"/>
    <x v="0"/>
    <x v="0"/>
    <s v="ITHRTC4CCR4_SL0"/>
    <x v="6"/>
    <b v="0"/>
    <s v="No está en VPC"/>
    <n v="418"/>
    <s v="INTPG_ACC_418_1.68"/>
    <s v="ISEL-1.68"/>
    <n v="1"/>
    <s v="NO TIENE L3OUT"/>
    <n v="152"/>
    <n v="96"/>
  </r>
  <r>
    <n v="413"/>
    <x v="1"/>
    <x v="253"/>
    <s v="eth1/68"/>
    <x v="0"/>
    <x v="0"/>
    <x v="0"/>
    <s v="IXTSRM2_VM1"/>
    <x v="6"/>
    <b v="0"/>
    <s v="No está en VPC"/>
    <n v="413"/>
    <s v="INTPG_ACC_413_1.68"/>
    <s v="ISEL-1.68"/>
    <n v="1"/>
    <s v="NO TIENE L3OUT"/>
    <n v="126"/>
    <n v="96"/>
  </r>
  <r>
    <n v="403"/>
    <x v="1"/>
    <x v="254"/>
    <s v="eth1/68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68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68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68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68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68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68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68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68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68"/>
    <x v="0"/>
    <x v="0"/>
    <x v="0"/>
    <s v="RLPNOVB02"/>
    <x v="6"/>
    <b v="0"/>
    <s v="No está en VPC"/>
    <n v="430"/>
    <s v="INTPG_ACC_430_1.68"/>
    <s v="ISEL-1.68"/>
    <n v="1"/>
    <s v="NO TIENE L3OUT"/>
    <n v="86"/>
    <n v="96"/>
  </r>
  <r>
    <n v="419"/>
    <x v="1"/>
    <x v="264"/>
    <s v="eth1/68"/>
    <x v="0"/>
    <x v="0"/>
    <x v="0"/>
    <s v="HP Proliant DL380p(b)"/>
    <x v="6"/>
    <b v="0"/>
    <s v="No está en VPC"/>
    <n v="419"/>
    <s v="INTPG_ACC_419_1.68"/>
    <s v="ISEL-1.68"/>
    <n v="1"/>
    <s v="NO TIENE L3OUT"/>
    <n v="70"/>
    <n v="96"/>
  </r>
  <r>
    <n v="155"/>
    <x v="0"/>
    <x v="265"/>
    <s v="eth1/68"/>
    <x v="0"/>
    <x v="0"/>
    <x v="0"/>
    <s v="ARIESO_GEOLOCALIZACION"/>
    <x v="6"/>
    <b v="0"/>
    <s v="No está en VPC"/>
    <n v="155"/>
    <s v="INTPG_ACC_155_1.68"/>
    <s v="ISEL-1.68"/>
    <n v="2"/>
    <s v="NO TIENE L3OUT"/>
    <n v="198"/>
    <n v="96"/>
  </r>
  <r>
    <n v="409"/>
    <x v="1"/>
    <x v="266"/>
    <s v="eth1/68"/>
    <x v="1"/>
    <x v="1"/>
    <x v="2"/>
    <s v="INSIGHTCA8"/>
    <x v="6"/>
    <b v="0"/>
    <s v="No está en VPC"/>
    <n v="409"/>
    <s v="INTPG_ACC_409_1.68"/>
    <s v="ISEL-1.68"/>
    <n v="0"/>
    <s v="NO TIENE L3OUT"/>
    <n v="128"/>
    <n v="96"/>
  </r>
  <r>
    <n v="422"/>
    <x v="1"/>
    <x v="267"/>
    <s v="eth1/68"/>
    <x v="0"/>
    <x v="0"/>
    <x v="0"/>
    <s v="sfmevp01"/>
    <x v="6"/>
    <b v="0"/>
    <s v="No está en VPC"/>
    <n v="422"/>
    <s v="INTPG_ACC_422_1.68"/>
    <s v="ISEL-1.68"/>
    <n v="1"/>
    <s v="NO TIENE L3OUT"/>
    <n v="182"/>
    <n v="96"/>
  </r>
  <r>
    <n v="436"/>
    <x v="1"/>
    <x v="268"/>
    <s v="eth1/68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68"/>
    <x v="0"/>
    <x v="0"/>
    <x v="0"/>
    <s v="ITHRTC31VC2-4"/>
    <x v="6"/>
    <b v="0"/>
    <s v="No está en VPC"/>
    <n v="410"/>
    <s v="INTPG_ACC_410_1.68"/>
    <s v="ISEL-1.68"/>
    <n v="1"/>
    <s v="NO TIENE L3OUT"/>
    <n v="178"/>
    <n v="96"/>
  </r>
  <r>
    <n v="161"/>
    <x v="0"/>
    <x v="270"/>
    <s v="eth1/68"/>
    <x v="0"/>
    <x v="1"/>
    <x v="5"/>
    <s v="SERTEC_SGH250HXW2_CLIENT1"/>
    <x v="6"/>
    <b v="0"/>
    <s v="No está en VPC"/>
    <n v="161"/>
    <s v="INTPG_VPC_161_1.68_163_1.95"/>
    <s v="ISEL-1.68"/>
    <n v="1"/>
    <s v="NO TIENE L3OUT"/>
    <n v="102"/>
    <n v="96"/>
  </r>
  <r>
    <n v="411"/>
    <x v="1"/>
    <x v="271"/>
    <s v="eth1/68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68"/>
    <x v="0"/>
    <x v="1"/>
    <x v="1"/>
    <s v="COBROS NAVEGACION"/>
    <x v="6"/>
    <b v="0"/>
    <s v="No está en VPC"/>
    <n v="116"/>
    <s v="INTPG_ACC_116_1.68"/>
    <s v="ISEL-1.68"/>
    <n v="1"/>
    <s v="NO TIENE L3OUT"/>
    <n v="148"/>
    <n v="96"/>
  </r>
  <r>
    <n v="412"/>
    <x v="1"/>
    <x v="273"/>
    <s v="eth1/68"/>
    <x v="0"/>
    <x v="0"/>
    <x v="0"/>
    <s v="TO-ITHFDENBUUSW01-PRINCIPAL"/>
    <x v="6"/>
    <b v="0"/>
    <s v="No está en VPC"/>
    <n v="412"/>
    <s v="INTPG_ACC_412_1.68"/>
    <s v="ISEL-1.68"/>
    <n v="1"/>
    <s v="NO TIENE L3OUT"/>
    <n v="126"/>
    <n v="96"/>
  </r>
  <r>
    <n v="120"/>
    <x v="0"/>
    <x v="274"/>
    <s v="eth1/68"/>
    <x v="1"/>
    <x v="1"/>
    <x v="2"/>
    <s v="N/A"/>
    <x v="6"/>
    <b v="0"/>
    <s v="No está en VPC"/>
    <n v="120"/>
    <s v="INTPG_ACC_120_1.68"/>
    <s v="ISEL-1.68"/>
    <n v="1"/>
    <s v="NO TIENE L3OUT"/>
    <n v="158"/>
    <n v="96"/>
  </r>
  <r>
    <n v="404"/>
    <x v="1"/>
    <x v="275"/>
    <s v="eth1/68"/>
    <x v="0"/>
    <x v="1"/>
    <x v="1"/>
    <s v="uxcompr_new"/>
    <x v="6"/>
    <b v="0"/>
    <s v="No está en VPC"/>
    <n v="404"/>
    <s v="INTPG_ACC_404_1.68"/>
    <s v="ISEL-1.68"/>
    <n v="1"/>
    <s v="NO TIENE L3OUT"/>
    <n v="92"/>
    <n v="96"/>
  </r>
  <r>
    <n v="167"/>
    <x v="0"/>
    <x v="276"/>
    <s v="eth1/68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68"/>
    <x v="0"/>
    <x v="0"/>
    <x v="0"/>
    <s v="SSO"/>
    <x v="6"/>
    <b v="0"/>
    <s v="No está en VPC"/>
    <n v="428"/>
    <s v="INTPG_ACC_428_1.68"/>
    <s v="ISEL-1.68"/>
    <n v="1"/>
    <s v="NO TIENE L3OUT"/>
    <n v="102"/>
    <n v="96"/>
  </r>
  <r>
    <n v="105"/>
    <x v="0"/>
    <x v="205"/>
    <s v="eth1/69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69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69"/>
    <x v="1"/>
    <x v="1"/>
    <x v="2"/>
    <s v="CISCO ANA 01 EHEALTH"/>
    <x v="6"/>
    <b v="0"/>
    <s v="No está en VPC"/>
    <n v="104"/>
    <s v="INTPG_ACC_104_1.69"/>
    <s v="ISEL-1.69"/>
    <n v="0"/>
    <s v="NO TIENE L3OUT"/>
    <n v="194"/>
    <n v="96"/>
  </r>
  <r>
    <n v="158"/>
    <x v="0"/>
    <x v="208"/>
    <s v="eth1/69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69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69"/>
    <x v="0"/>
    <x v="1"/>
    <x v="1"/>
    <s v="DESC"/>
    <x v="6"/>
    <b v="0"/>
    <s v="No está en VPC"/>
    <n v="112"/>
    <s v="INTPG_PC_112_1.68-73"/>
    <s v="ISEL-1.69"/>
    <n v="12"/>
    <s v="NO TIENE L3OUT"/>
    <n v="144"/>
    <n v="96"/>
  </r>
  <r>
    <n v="107"/>
    <x v="0"/>
    <x v="213"/>
    <s v="eth1/69"/>
    <x v="0"/>
    <x v="0"/>
    <x v="0"/>
    <s v="PMAX8_01A_S2"/>
    <x v="6"/>
    <b v="0"/>
    <s v="No está en VPC"/>
    <n v="107"/>
    <s v="INTPG_ACC_107_1.69"/>
    <s v="ISEL-1.69"/>
    <n v="1"/>
    <s v="NO TIENE L3OUT"/>
    <n v="118"/>
    <n v="96"/>
  </r>
  <r>
    <n v="109"/>
    <x v="0"/>
    <x v="214"/>
    <s v="eth1/69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69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69"/>
    <x v="0"/>
    <x v="1"/>
    <x v="1"/>
    <s v="DESC"/>
    <x v="6"/>
    <b v="0"/>
    <s v="No está en VPC"/>
    <n v="114"/>
    <s v="INTPG_PC_114_1.66-71"/>
    <s v="ISEL-1.69"/>
    <n v="12"/>
    <s v="NO TIENE L3OUT"/>
    <n v="144"/>
    <n v="96"/>
  </r>
  <r>
    <n v="124"/>
    <x v="0"/>
    <x v="217"/>
    <s v="eth1/69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69"/>
    <x v="0"/>
    <x v="1"/>
    <x v="1"/>
    <s v="USSD TANGO"/>
    <x v="6"/>
    <b v="0"/>
    <s v="No está en VPC"/>
    <n v="118"/>
    <s v="INTPG_ACC_118_1.69"/>
    <s v="ISEL-1.69"/>
    <n v="1"/>
    <s v="NO TIENE L3OUT"/>
    <n v="180"/>
    <n v="96"/>
  </r>
  <r>
    <n v="159"/>
    <x v="0"/>
    <x v="219"/>
    <s v="eth1/69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69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69"/>
    <x v="0"/>
    <x v="0"/>
    <x v="0"/>
    <s v="Registro Nacional de Celulares"/>
    <x v="6"/>
    <b v="0"/>
    <s v="No está en VPC"/>
    <n v="163"/>
    <s v="INTPG_ACC_163_1.69"/>
    <s v="ISEL-1.69"/>
    <n v="1"/>
    <s v="NO TIENE L3OUT"/>
    <n v="140"/>
    <n v="96"/>
  </r>
  <r>
    <n v="407"/>
    <x v="1"/>
    <x v="224"/>
    <s v="eth1/69"/>
    <x v="0"/>
    <x v="0"/>
    <x v="0"/>
    <s v="INSIGHTCA8"/>
    <x v="6"/>
    <b v="0"/>
    <s v="No está en VPC"/>
    <n v="407"/>
    <s v="INTPG_ACC_407_1.69"/>
    <s v="ISEL-1.69"/>
    <n v="1"/>
    <s v="NO TIENE L3OUT"/>
    <n v="122"/>
    <n v="96"/>
  </r>
  <r>
    <n v="171"/>
    <x v="0"/>
    <x v="225"/>
    <s v="eth1/69"/>
    <x v="0"/>
    <x v="0"/>
    <x v="0"/>
    <s v="TO-SRSIXT_02_F5"/>
    <x v="6"/>
    <b v="0"/>
    <s v="No está en VPC"/>
    <n v="171"/>
    <s v="INTPG_PC_171_1.68_69"/>
    <s v="ISEL-1.69"/>
    <n v="5"/>
    <s v="NO TIENE L3OUT"/>
    <n v="114"/>
    <n v="96"/>
  </r>
  <r>
    <n v="421"/>
    <x v="1"/>
    <x v="226"/>
    <s v="eth1/69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69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69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69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69"/>
    <x v="0"/>
    <x v="0"/>
    <x v="0"/>
    <s v="TO-ITHNM1-PRINCIPAL"/>
    <x v="6"/>
    <b v="0"/>
    <s v="No está en VPC"/>
    <n v="420"/>
    <s v="INTPG_ACC_420_1.69"/>
    <s v="ISEL-1.69"/>
    <n v="1"/>
    <s v="NO TIENE L3OUT"/>
    <n v="158"/>
    <n v="96"/>
  </r>
  <r>
    <n v="423"/>
    <x v="1"/>
    <x v="231"/>
    <s v="eth1/69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69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69"/>
    <x v="0"/>
    <x v="1"/>
    <x v="1"/>
    <m/>
    <x v="6"/>
    <b v="0"/>
    <s v="No está en VPC"/>
    <n v="102"/>
    <s v="NO EXISTE PG"/>
    <s v="NO EXISTE ISEL"/>
    <n v="0"/>
    <s v="NO TIENE L3OUT"/>
    <n v="228"/>
    <n v="96"/>
  </r>
  <r>
    <n v="122"/>
    <x v="0"/>
    <x v="237"/>
    <s v="eth1/69"/>
    <x v="0"/>
    <x v="0"/>
    <x v="0"/>
    <s v="TRAP"/>
    <x v="6"/>
    <b v="0"/>
    <s v="No está en VPC"/>
    <n v="122"/>
    <s v="INTPG_PC_122_1.66-69"/>
    <s v="ISEL-1.69"/>
    <n v="1"/>
    <s v="NO TIENE L3OUT"/>
    <n v="148"/>
    <n v="96"/>
  </r>
  <r>
    <n v="157"/>
    <x v="0"/>
    <x v="238"/>
    <s v="eth1/69"/>
    <x v="0"/>
    <x v="0"/>
    <x v="0"/>
    <s v="ARIESO_GEOLOCALIZACION"/>
    <x v="6"/>
    <b v="0"/>
    <s v="No está en VPC"/>
    <n v="157"/>
    <s v="INTPG_ACC_157_1.69"/>
    <s v="ISEL-1.69"/>
    <n v="2"/>
    <s v="NO TIENE L3OUT"/>
    <n v="202"/>
    <n v="96"/>
  </r>
  <r>
    <n v="408"/>
    <x v="1"/>
    <x v="239"/>
    <s v="eth1/69"/>
    <x v="0"/>
    <x v="0"/>
    <x v="0"/>
    <s v="ITHRTC6NB2"/>
    <x v="6"/>
    <b v="0"/>
    <s v="No está en VPC"/>
    <n v="408"/>
    <s v="INTPG_ACC_408_1.69"/>
    <s v="ISEL-1.69"/>
    <n v="1"/>
    <s v="NO TIENE L3OUT"/>
    <n v="152"/>
    <n v="96"/>
  </r>
  <r>
    <n v="405"/>
    <x v="1"/>
    <x v="240"/>
    <s v="eth1/69"/>
    <x v="0"/>
    <x v="1"/>
    <x v="1"/>
    <s v="XL5 RLR5ARI11 iLO"/>
    <x v="6"/>
    <b v="0"/>
    <s v="No está en VPC"/>
    <n v="405"/>
    <s v="INTPG_ACC_405_1.69"/>
    <s v="ISEL-1.69"/>
    <n v="1"/>
    <s v="NO TIENE L3OUT"/>
    <n v="138"/>
    <n v="96"/>
  </r>
  <r>
    <n v="169"/>
    <x v="0"/>
    <x v="241"/>
    <s v="eth1/69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69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69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69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69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69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69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69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69"/>
    <x v="0"/>
    <x v="0"/>
    <x v="0"/>
    <s v="ITHRTC32OA1"/>
    <x v="6"/>
    <b v="0"/>
    <s v="No está en VPC"/>
    <n v="406"/>
    <s v="INTPG_ACC_406_1.69"/>
    <s v="ISEL-1.69"/>
    <n v="1"/>
    <s v="NO TIENE L3OUT"/>
    <n v="82"/>
    <n v="96"/>
  </r>
  <r>
    <n v="414"/>
    <x v="1"/>
    <x v="250"/>
    <s v="eth1/69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69"/>
    <x v="0"/>
    <x v="0"/>
    <x v="0"/>
    <s v="B6200D_MGMT_1"/>
    <x v="6"/>
    <b v="0"/>
    <s v="No está en VPC"/>
    <n v="416"/>
    <s v="INTPG_ACC_416_1.69"/>
    <s v="ISEL-1.69"/>
    <n v="1"/>
    <s v="NO TIENE L3OUT"/>
    <n v="110"/>
    <n v="96"/>
  </r>
  <r>
    <n v="418"/>
    <x v="1"/>
    <x v="252"/>
    <s v="eth1/69"/>
    <x v="0"/>
    <x v="0"/>
    <x v="0"/>
    <s v="ITHRTC4CCR5_SL2"/>
    <x v="6"/>
    <b v="0"/>
    <s v="No está en VPC"/>
    <n v="418"/>
    <s v="INTPG_ACC_418_1.69"/>
    <s v="ISEL-1.69"/>
    <n v="1"/>
    <s v="NO TIENE L3OUT"/>
    <n v="152"/>
    <n v="96"/>
  </r>
  <r>
    <n v="413"/>
    <x v="1"/>
    <x v="253"/>
    <s v="eth1/69"/>
    <x v="0"/>
    <x v="0"/>
    <x v="0"/>
    <s v="IXTSRM2_VM2"/>
    <x v="6"/>
    <b v="0"/>
    <s v="No está en VPC"/>
    <n v="413"/>
    <s v="INTPG_ACC_413_1.69"/>
    <s v="ISEL-1.69"/>
    <n v="1"/>
    <s v="NO TIENE L3OUT"/>
    <n v="126"/>
    <n v="96"/>
  </r>
  <r>
    <n v="403"/>
    <x v="1"/>
    <x v="254"/>
    <s v="eth1/69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69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69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69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69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69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69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69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69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69"/>
    <x v="0"/>
    <x v="0"/>
    <x v="0"/>
    <s v="RLPNOVB01"/>
    <x v="6"/>
    <b v="0"/>
    <s v="No está en VPC"/>
    <n v="430"/>
    <s v="INTPG_ACC_430_1.69"/>
    <s v="ISEL-1.69"/>
    <n v="1"/>
    <s v="NO TIENE L3OUT"/>
    <n v="86"/>
    <n v="96"/>
  </r>
  <r>
    <n v="419"/>
    <x v="1"/>
    <x v="264"/>
    <s v="eth1/69"/>
    <x v="0"/>
    <x v="0"/>
    <x v="0"/>
    <s v="HP Proliant DL380p(b)"/>
    <x v="6"/>
    <b v="0"/>
    <s v="No está en VPC"/>
    <n v="419"/>
    <s v="INTPG_ACC_419_1.69"/>
    <s v="ISEL-1.69"/>
    <n v="1"/>
    <s v="NO TIENE L3OUT"/>
    <n v="70"/>
    <n v="96"/>
  </r>
  <r>
    <n v="155"/>
    <x v="0"/>
    <x v="265"/>
    <s v="eth1/69"/>
    <x v="0"/>
    <x v="0"/>
    <x v="0"/>
    <s v="ARIESO_GEOLOCALIZACION"/>
    <x v="6"/>
    <b v="0"/>
    <s v="No está en VPC"/>
    <n v="155"/>
    <s v="INTPG_ACC_155_1.69"/>
    <s v="ISEL-1.69"/>
    <n v="2"/>
    <s v="NO TIENE L3OUT"/>
    <n v="198"/>
    <n v="96"/>
  </r>
  <r>
    <n v="409"/>
    <x v="1"/>
    <x v="266"/>
    <s v="eth1/69"/>
    <x v="0"/>
    <x v="0"/>
    <x v="0"/>
    <s v="INSIGHTCA7-ilom"/>
    <x v="6"/>
    <b v="0"/>
    <s v="No está en VPC"/>
    <n v="409"/>
    <s v="INTPG_ACC_409_1.69"/>
    <s v="ISEL-1.69"/>
    <n v="1"/>
    <s v="NO TIENE L3OUT"/>
    <n v="128"/>
    <n v="96"/>
  </r>
  <r>
    <n v="422"/>
    <x v="1"/>
    <x v="267"/>
    <s v="eth1/69"/>
    <x v="0"/>
    <x v="0"/>
    <x v="0"/>
    <s v="sfmevp02"/>
    <x v="6"/>
    <b v="0"/>
    <s v="No está en VPC"/>
    <n v="422"/>
    <s v="INTPG_ACC_422_1.69"/>
    <s v="ISEL-1.69"/>
    <n v="1"/>
    <s v="NO TIENE L3OUT"/>
    <n v="182"/>
    <n v="96"/>
  </r>
  <r>
    <n v="436"/>
    <x v="1"/>
    <x v="268"/>
    <s v="eth1/69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69"/>
    <x v="0"/>
    <x v="0"/>
    <x v="0"/>
    <s v="ITHRTC32VC2-4"/>
    <x v="6"/>
    <b v="0"/>
    <s v="No está en VPC"/>
    <n v="410"/>
    <s v="INTPG_ACC_410_1.69"/>
    <s v="ISEL-1.69"/>
    <n v="1"/>
    <s v="NO TIENE L3OUT"/>
    <n v="178"/>
    <n v="96"/>
  </r>
  <r>
    <n v="161"/>
    <x v="0"/>
    <x v="270"/>
    <s v="eth1/69"/>
    <x v="0"/>
    <x v="1"/>
    <x v="1"/>
    <s v="SERTEC_SGH250HXW3_CLIENT1"/>
    <x v="6"/>
    <b v="0"/>
    <s v="No está en VPC"/>
    <n v="161"/>
    <s v="INTPG_VPC_161_1.69_163_1.96"/>
    <s v="ISEL-1.69"/>
    <n v="1"/>
    <s v="NO TIENE L3OUT"/>
    <n v="102"/>
    <n v="96"/>
  </r>
  <r>
    <n v="411"/>
    <x v="1"/>
    <x v="271"/>
    <s v="eth1/69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69"/>
    <x v="0"/>
    <x v="1"/>
    <x v="1"/>
    <s v="COBROS NAVEGACION"/>
    <x v="6"/>
    <b v="0"/>
    <s v="No está en VPC"/>
    <n v="116"/>
    <s v="INTPG_ACC_116_1.69"/>
    <s v="ISEL-1.69"/>
    <n v="1"/>
    <s v="NO TIENE L3OUT"/>
    <n v="148"/>
    <n v="96"/>
  </r>
  <r>
    <n v="412"/>
    <x v="1"/>
    <x v="273"/>
    <s v="eth1/69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69"/>
    <x v="1"/>
    <x v="1"/>
    <x v="2"/>
    <s v="N/A"/>
    <x v="6"/>
    <b v="0"/>
    <s v="No está en VPC"/>
    <n v="120"/>
    <s v="INTPG_ACC_120_1.69"/>
    <s v="ISEL-1.69"/>
    <n v="1"/>
    <s v="NO TIENE L3OUT"/>
    <n v="158"/>
    <n v="96"/>
  </r>
  <r>
    <n v="404"/>
    <x v="1"/>
    <x v="275"/>
    <s v="eth1/69"/>
    <x v="0"/>
    <x v="0"/>
    <x v="0"/>
    <s v="ITHRTC12VC1X4"/>
    <x v="6"/>
    <b v="0"/>
    <s v="No está en VPC"/>
    <n v="404"/>
    <s v="INTPG_ACC_404_1.69"/>
    <s v="ISEL-1.69"/>
    <n v="1"/>
    <s v="NO TIENE L3OUT"/>
    <n v="92"/>
    <n v="96"/>
  </r>
  <r>
    <n v="167"/>
    <x v="0"/>
    <x v="276"/>
    <s v="eth1/69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69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128"/>
    <x v="0"/>
    <x v="0"/>
    <s v="eth1/7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7"/>
    <x v="0"/>
    <x v="0"/>
    <x v="0"/>
    <m/>
    <x v="1"/>
    <b v="0"/>
    <s v="No está en VPC"/>
    <n v="123"/>
    <s v="INTPG_ACC_123_1.7"/>
    <s v="ISEL-1.7"/>
    <n v="1"/>
    <s v="NO TIENE L3OUT"/>
    <n v="20"/>
    <n v="54"/>
  </r>
  <r>
    <n v="152"/>
    <x v="0"/>
    <x v="2"/>
    <s v="eth1/7"/>
    <x v="0"/>
    <x v="0"/>
    <x v="0"/>
    <s v="DASHBOARD_GESTION"/>
    <x v="1"/>
    <b v="0"/>
    <s v="No está en VPC"/>
    <n v="152"/>
    <s v="INTPG_ACC_152_1.7"/>
    <s v="ISEL-1.7"/>
    <n v="1"/>
    <s v="NO TIENE L3OUT"/>
    <n v="38"/>
    <n v="54"/>
  </r>
  <r>
    <n v="101"/>
    <x v="0"/>
    <x v="3"/>
    <s v="eth1/7"/>
    <x v="0"/>
    <x v="1"/>
    <x v="1"/>
    <s v="DESC"/>
    <x v="0"/>
    <b v="0"/>
    <s v="No está en VPC"/>
    <n v="101"/>
    <s v="INTPG_PC_101_1.7_8"/>
    <s v="ISEL-1.7"/>
    <n v="18"/>
    <s v="NO TIENE L3OUT"/>
    <n v="114"/>
    <n v="54"/>
  </r>
  <r>
    <n v="160"/>
    <x v="0"/>
    <x v="4"/>
    <s v="eth1/7"/>
    <x v="0"/>
    <x v="1"/>
    <x v="1"/>
    <s v="TRAP"/>
    <x v="1"/>
    <b v="0"/>
    <s v="No está en VPC"/>
    <n v="160"/>
    <s v="INTPG_PC_160_1.3-8"/>
    <s v="ISEL-1.7"/>
    <n v="12"/>
    <s v="NO TIENE L3OUT"/>
    <n v="68"/>
    <n v="54"/>
  </r>
  <r>
    <n v="121"/>
    <x v="0"/>
    <x v="5"/>
    <s v="eth1/7"/>
    <x v="0"/>
    <x v="0"/>
    <x v="0"/>
    <s v="TO-ITHERIAPRK1_PDU_01"/>
    <x v="1"/>
    <b v="0"/>
    <s v="No está en VPC"/>
    <n v="121"/>
    <s v="INTPG_ACC_121_1.7"/>
    <s v="ISEL-1.7"/>
    <n v="1"/>
    <s v="NO TIENE L3OUT"/>
    <n v="14"/>
    <n v="54"/>
  </r>
  <r>
    <n v="129"/>
    <x v="0"/>
    <x v="6"/>
    <s v="eth1/7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7"/>
    <x v="0"/>
    <x v="0"/>
    <x v="0"/>
    <s v="TO-ITHFDESPBORBD01"/>
    <x v="0"/>
    <b v="0"/>
    <s v="No está en VPC"/>
    <n v="401"/>
    <s v="INTPG_VPC_401_1.7_402_1.7"/>
    <s v="ISEL-1.7"/>
    <n v="1"/>
    <s v="NO TIENE L3OUT"/>
    <n v="40"/>
    <n v="54"/>
  </r>
  <r>
    <n v="402"/>
    <x v="1"/>
    <x v="8"/>
    <s v="eth1/7"/>
    <x v="0"/>
    <x v="0"/>
    <x v="0"/>
    <s v="TO-ITHFDESPBORBD01"/>
    <x v="0"/>
    <b v="0"/>
    <s v="No está en VPC"/>
    <n v="402"/>
    <s v="INTPG_VPC_401_1.7_402_1.7"/>
    <s v="ISEL-1.7"/>
    <n v="1"/>
    <s v="NO TIENE L3OUT"/>
    <n v="36"/>
    <n v="54"/>
  </r>
  <r>
    <n v="447"/>
    <x v="1"/>
    <x v="9"/>
    <s v="eth1/7"/>
    <x v="0"/>
    <x v="2"/>
    <x v="9"/>
    <m/>
    <x v="2"/>
    <b v="0"/>
    <s v="No está en VPC"/>
    <n v="447"/>
    <s v="INTPG_ACC_BRK_447_1.7"/>
    <s v="ISEL-1.7"/>
    <n v="0"/>
    <s v="NO TIENE L3OUT"/>
    <n v="16"/>
    <n v="42"/>
  </r>
  <r>
    <n v="445"/>
    <x v="1"/>
    <x v="10"/>
    <s v="eth1/7"/>
    <x v="0"/>
    <x v="2"/>
    <x v="9"/>
    <m/>
    <x v="2"/>
    <b v="0"/>
    <s v="No está en VPC"/>
    <n v="445"/>
    <s v="INTPG_ACC_BRK_445_1.7"/>
    <s v="ISEL-1.7"/>
    <n v="0"/>
    <s v="NO TIENE L3OUT"/>
    <n v="16"/>
    <n v="42"/>
  </r>
  <r>
    <n v="130"/>
    <x v="0"/>
    <x v="11"/>
    <s v="eth1/7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7"/>
    <x v="0"/>
    <x v="1"/>
    <x v="1"/>
    <s v="DESC"/>
    <x v="0"/>
    <b v="0"/>
    <s v="No está en VPC"/>
    <n v="150"/>
    <s v="INTPG_PC_150_1.7_8"/>
    <s v="ISEL-1.7"/>
    <n v="18"/>
    <s v="NO TIENE L3OUT"/>
    <n v="118"/>
    <n v="54"/>
  </r>
  <r>
    <n v="131"/>
    <x v="0"/>
    <x v="13"/>
    <s v="eth1/7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7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7"/>
    <x v="0"/>
    <x v="0"/>
    <x v="0"/>
    <s v="TO-ITHFHWCCEXEN02-CCEX LAG 02_OCS_Transforma"/>
    <x v="2"/>
    <b v="0"/>
    <s v="No está en VPC"/>
    <n v="758"/>
    <s v="INTPG_VPC_758_1.7_759_1.7"/>
    <s v="ISEL-1.7"/>
    <n v="49"/>
    <s v="NO TIENE L3OUT"/>
    <n v="0"/>
    <n v="42"/>
  </r>
  <r>
    <n v="759"/>
    <x v="2"/>
    <x v="16"/>
    <s v="eth1/7"/>
    <x v="0"/>
    <x v="0"/>
    <x v="0"/>
    <s v="TO-ITHFHWCCEXEN02-CCEX LAG 02_OCS_Transforma"/>
    <x v="2"/>
    <b v="0"/>
    <s v="No está en VPC"/>
    <n v="759"/>
    <s v="INTPG_VPC_758_1.7_759_1.7"/>
    <s v="ISEL-1.7"/>
    <n v="49"/>
    <s v="NO TIENE L3OUT"/>
    <n v="0"/>
    <n v="42"/>
  </r>
  <r>
    <n v="302"/>
    <x v="0"/>
    <x v="17"/>
    <s v="eth1/7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7"/>
    <x v="0"/>
    <x v="0"/>
    <x v="0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7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7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7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7"/>
    <x v="0"/>
    <x v="0"/>
    <x v="0"/>
    <s v="DESC"/>
    <x v="0"/>
    <b v="0"/>
    <s v="No está en VPC"/>
    <n v="727"/>
    <s v="INTPG_PC_727_1.7-8"/>
    <s v="ISEL-1.7"/>
    <n v="0"/>
    <s v="L3OUT-HCS-MGMT-TELCEL-IPCORP"/>
    <n v="0"/>
    <n v="54"/>
  </r>
  <r>
    <n v="724"/>
    <x v="2"/>
    <x v="23"/>
    <s v="eth1/7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7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7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7"/>
    <x v="0"/>
    <x v="0"/>
    <x v="0"/>
    <s v="Portal_Cautivo_f5gwt01"/>
    <x v="0"/>
    <b v="0"/>
    <s v="No está en VPC"/>
    <n v="431"/>
    <s v="INTPG_VPC_431_1.7_448_1.7"/>
    <s v="ISEL-1.7"/>
    <n v="2"/>
    <s v="NO TIENE L3OUT"/>
    <n v="46"/>
    <n v="54"/>
  </r>
  <r>
    <n v="433"/>
    <x v="1"/>
    <x v="27"/>
    <s v="eth1/7"/>
    <x v="0"/>
    <x v="0"/>
    <x v="0"/>
    <m/>
    <x v="1"/>
    <b v="0"/>
    <s v="No está en VPC"/>
    <n v="433"/>
    <s v="INTPG_ACC_433_1.7"/>
    <s v="ISEL-1.7"/>
    <n v="1"/>
    <s v="NO TIENE L3OUT"/>
    <n v="42"/>
    <n v="54"/>
  </r>
  <r>
    <n v="429"/>
    <x v="1"/>
    <x v="28"/>
    <s v="eth1/7"/>
    <x v="0"/>
    <x v="0"/>
    <x v="0"/>
    <s v="FASE_1.5_REDKNEE_produccion_client_LAG"/>
    <x v="1"/>
    <b v="0"/>
    <s v="No está en VPC"/>
    <n v="429"/>
    <s v="INTPG_VPC_427_1.7_429_1.7"/>
    <s v="ISEL-1.7"/>
    <n v="2"/>
    <s v="NO TIENE L3OUT"/>
    <n v="8"/>
    <n v="54"/>
  </r>
  <r>
    <n v="432"/>
    <x v="1"/>
    <x v="29"/>
    <s v="eth1/7"/>
    <x v="0"/>
    <x v="0"/>
    <x v="0"/>
    <s v="SSO"/>
    <x v="1"/>
    <b v="0"/>
    <s v="No está en VPC"/>
    <n v="432"/>
    <s v="INTPG_ACC_432_1.7"/>
    <s v="ISEL-1.7"/>
    <n v="1"/>
    <s v="NO TIENE L3OUT"/>
    <n v="54"/>
    <n v="54"/>
  </r>
  <r>
    <n v="442"/>
    <x v="1"/>
    <x v="30"/>
    <s v="eth1/7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7"/>
    <x v="0"/>
    <x v="0"/>
    <x v="0"/>
    <s v="TO-sfovmp02-E-0-PRINCIPAL"/>
    <x v="1"/>
    <b v="0"/>
    <s v="No está en VPC"/>
    <n v="434"/>
    <s v="INTPG_ACC_434_1.7"/>
    <s v="ISEL-1.7"/>
    <n v="1"/>
    <s v="NO TIENE L3OUT"/>
    <n v="34"/>
    <n v="54"/>
  </r>
  <r>
    <n v="707"/>
    <x v="2"/>
    <x v="32"/>
    <s v="eth1/7"/>
    <x v="0"/>
    <x v="0"/>
    <x v="0"/>
    <s v="CEM:ITHCEMG2DAT04:LOM P1"/>
    <x v="0"/>
    <b v="0"/>
    <s v="No está en VPC"/>
    <n v="707"/>
    <s v="INTPG_ACC_707_1.7"/>
    <s v="ISEL-1.7"/>
    <n v="1"/>
    <s v="NO TIENE L3OUT"/>
    <n v="54"/>
    <n v="54"/>
  </r>
  <r>
    <n v="712"/>
    <x v="2"/>
    <x v="33"/>
    <s v="eth1/7"/>
    <x v="0"/>
    <x v="0"/>
    <x v="0"/>
    <s v="CEM:ITHCEMB2DAT04:LOM P1"/>
    <x v="0"/>
    <b v="0"/>
    <s v="No está en VPC"/>
    <n v="712"/>
    <s v="INTPG_ACC_712_1.7"/>
    <s v="ISEL-1.7"/>
    <n v="1"/>
    <s v="NO TIENE L3OUT"/>
    <n v="32"/>
    <n v="54"/>
  </r>
  <r>
    <n v="719"/>
    <x v="2"/>
    <x v="34"/>
    <s v="eth1/7"/>
    <x v="0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7"/>
    <x v="0"/>
    <x v="0"/>
    <x v="0"/>
    <m/>
    <x v="0"/>
    <b v="0"/>
    <s v="No está en VPC"/>
    <n v="715"/>
    <s v="INTPG-VPC_HDD45_715_1.7_716_1.8"/>
    <s v="ISEL-1.7"/>
    <n v="1"/>
    <s v="NO TIENE L3OUT"/>
    <n v="0"/>
    <n v="54"/>
  </r>
  <r>
    <n v="427"/>
    <x v="1"/>
    <x v="36"/>
    <s v="eth1/7"/>
    <x v="0"/>
    <x v="0"/>
    <x v="0"/>
    <s v="FASE_1.5_REDKNEE_produccion_client_LAG"/>
    <x v="1"/>
    <b v="0"/>
    <s v="No está en VPC"/>
    <n v="427"/>
    <s v="INTPG_VPC_427_1.7_429_1.7"/>
    <s v="ISEL-1.7"/>
    <n v="2"/>
    <s v="NO TIENE L3OUT"/>
    <n v="10"/>
    <n v="54"/>
  </r>
  <r>
    <n v="711"/>
    <x v="2"/>
    <x v="37"/>
    <s v="eth1/7"/>
    <x v="0"/>
    <x v="0"/>
    <x v="0"/>
    <s v="CEM:ITHCEMC2DAT04:LOM P1"/>
    <x v="0"/>
    <b v="0"/>
    <s v="No está en VPC"/>
    <n v="711"/>
    <s v="INTPG_ACC_711_1.7"/>
    <s v="ISEL-1.7"/>
    <n v="1"/>
    <s v="NO TIENE L3OUT"/>
    <n v="16"/>
    <n v="54"/>
  </r>
  <r>
    <n v="716"/>
    <x v="2"/>
    <x v="38"/>
    <s v="eth1/7"/>
    <x v="0"/>
    <x v="1"/>
    <x v="5"/>
    <m/>
    <x v="0"/>
    <b v="0"/>
    <s v="No está en VPC"/>
    <n v="716"/>
    <s v="INTPG-VPC_HDD36_716_1.7_715_1.8"/>
    <s v="ISEL-1.7"/>
    <n v="1"/>
    <s v="NO TIENE L3OUT"/>
    <n v="0"/>
    <n v="54"/>
  </r>
  <r>
    <n v="702"/>
    <x v="2"/>
    <x v="39"/>
    <s v="eth1/7"/>
    <x v="0"/>
    <x v="0"/>
    <x v="0"/>
    <m/>
    <x v="0"/>
    <b v="0"/>
    <s v="No está en VPC"/>
    <n v="702"/>
    <s v="INTPG_VPC_702_1.7_701_1.8"/>
    <s v="ISEL-1.7"/>
    <n v="1"/>
    <s v="NO TIENE L3OUT"/>
    <n v="0"/>
    <n v="54"/>
  </r>
  <r>
    <n v="435"/>
    <x v="1"/>
    <x v="40"/>
    <s v="eth1/7"/>
    <x v="0"/>
    <x v="0"/>
    <x v="0"/>
    <m/>
    <x v="1"/>
    <b v="0"/>
    <s v="No está en VPC"/>
    <n v="435"/>
    <s v="INTPG_ACC_435_1.7"/>
    <s v="ISEL-1.7"/>
    <n v="0"/>
    <s v="NO TIENE L3OUT"/>
    <n v="34"/>
    <n v="54"/>
  </r>
  <r>
    <n v="446"/>
    <x v="1"/>
    <x v="41"/>
    <s v="eth1/7"/>
    <x v="0"/>
    <x v="0"/>
    <x v="0"/>
    <m/>
    <x v="0"/>
    <b v="0"/>
    <s v="No está en VPC"/>
    <n v="446"/>
    <s v="INTPG_ACC_446_1.7"/>
    <s v="ISEL-1.7"/>
    <n v="9"/>
    <s v="NO TIENE L3OUT"/>
    <n v="198"/>
    <n v="54"/>
  </r>
  <r>
    <n v="444"/>
    <x v="1"/>
    <x v="42"/>
    <s v="eth1/7"/>
    <x v="0"/>
    <x v="0"/>
    <x v="0"/>
    <s v="TO-ITHFHPNBURBKP06"/>
    <x v="0"/>
    <b v="0"/>
    <s v="No está en VPC"/>
    <n v="444"/>
    <s v="INTPG_VPC_444_1.7_446_1.8"/>
    <s v="ISEL-1.7"/>
    <n v="1"/>
    <s v="NO TIENE L3OUT"/>
    <n v="234"/>
    <n v="54"/>
  </r>
  <r>
    <n v="701"/>
    <x v="2"/>
    <x v="43"/>
    <s v="eth1/7"/>
    <x v="0"/>
    <x v="0"/>
    <x v="0"/>
    <m/>
    <x v="0"/>
    <b v="0"/>
    <s v="No está en VPC"/>
    <n v="701"/>
    <s v="INTPG_VPC_701_1.7_702_1.8"/>
    <s v="ISEL-1.7"/>
    <n v="1"/>
    <s v="NO TIENE L3OUT"/>
    <n v="0"/>
    <n v="54"/>
  </r>
  <r>
    <n v="440"/>
    <x v="1"/>
    <x v="44"/>
    <s v="eth1/7"/>
    <x v="0"/>
    <x v="1"/>
    <x v="1"/>
    <s v="TO-TEMP_SALIDA_ROUTER_INTERNET"/>
    <x v="1"/>
    <b v="0"/>
    <s v="No está en VPC"/>
    <n v="440"/>
    <s v="INTPG_ACC_440_1.7"/>
    <s v="ISEL-1.7"/>
    <n v="1"/>
    <s v="NO TIENE L3OUT"/>
    <n v="22"/>
    <n v="54"/>
  </r>
  <r>
    <n v="448"/>
    <x v="1"/>
    <x v="45"/>
    <s v="eth1/7"/>
    <x v="0"/>
    <x v="0"/>
    <x v="0"/>
    <s v="Portal_Cautivo_f5gwt01"/>
    <x v="0"/>
    <b v="0"/>
    <s v="No está en VPC"/>
    <n v="448"/>
    <s v="INTPG_VPC_431_1.7_448_1.7"/>
    <s v="ISEL-1.7"/>
    <n v="2"/>
    <s v="NO TIENE L3OUT"/>
    <n v="46"/>
    <n v="54"/>
  </r>
  <r>
    <n v="704"/>
    <x v="2"/>
    <x v="46"/>
    <s v="eth1/7"/>
    <x v="0"/>
    <x v="0"/>
    <x v="0"/>
    <m/>
    <x v="0"/>
    <b v="0"/>
    <s v="No está en VPC"/>
    <n v="704"/>
    <s v="INTPG_VPC_704_1.7_703_1.8"/>
    <s v="ISEL-1.7"/>
    <n v="1"/>
    <s v="NO TIENE L3OUT"/>
    <n v="0"/>
    <n v="54"/>
  </r>
  <r>
    <n v="729"/>
    <x v="2"/>
    <x v="47"/>
    <s v="eth1/7"/>
    <x v="0"/>
    <x v="0"/>
    <x v="0"/>
    <s v="eth-trunk-31"/>
    <x v="0"/>
    <b v="0"/>
    <s v="No está en VPC"/>
    <n v="729"/>
    <s v="INTPG_VPC_728_1.6-7_729_1.6-7"/>
    <s v="ISEL-1.7"/>
    <n v="9"/>
    <s v="NO TIENE L3OUT"/>
    <n v="4"/>
    <n v="54"/>
  </r>
  <r>
    <n v="728"/>
    <x v="2"/>
    <x v="48"/>
    <s v="eth1/7"/>
    <x v="0"/>
    <x v="0"/>
    <x v="0"/>
    <s v="eth-trunk-31"/>
    <x v="0"/>
    <b v="0"/>
    <s v="No está en VPC"/>
    <n v="728"/>
    <s v="INTPG_VPC_728_1.6-7_729_1.6-7"/>
    <s v="ISEL-1.7"/>
    <n v="9"/>
    <s v="NO TIENE L3OUT"/>
    <n v="2"/>
    <n v="54"/>
  </r>
  <r>
    <n v="456"/>
    <x v="1"/>
    <x v="49"/>
    <s v="eth1/7"/>
    <x v="0"/>
    <x v="0"/>
    <x v="0"/>
    <s v="HACIA_CSI-B-OSCP-F4-07_SECUNDARIO"/>
    <x v="4"/>
    <b v="0"/>
    <s v="No está en VPC"/>
    <n v="456"/>
    <s v="INTPG_VPC_454_1.7_456_1.7"/>
    <s v="ISEL-1.7"/>
    <n v="2"/>
    <s v="NO TIENE L3OUT"/>
    <n v="4"/>
    <n v="54"/>
  </r>
  <r>
    <n v="603"/>
    <x v="1"/>
    <x v="50"/>
    <s v="eth1/7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7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7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7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7"/>
    <x v="0"/>
    <x v="0"/>
    <x v="0"/>
    <m/>
    <x v="0"/>
    <b v="0"/>
    <s v="No está en VPC"/>
    <n v="722"/>
    <s v="INTPG-VPC_HDD130_722_1.7_723_1.8"/>
    <s v="ISEL-1.7"/>
    <n v="1"/>
    <s v="NO TIENE L3OUT"/>
    <n v="0"/>
    <n v="54"/>
  </r>
  <r>
    <n v="733"/>
    <x v="2"/>
    <x v="55"/>
    <s v="eth1/7"/>
    <x v="0"/>
    <x v="0"/>
    <x v="0"/>
    <s v="TO-TESTBED"/>
    <x v="0"/>
    <b v="0"/>
    <s v="No está en VPC"/>
    <n v="733"/>
    <s v="INTPG_VPC_732_1.6-7_733_1.6-7"/>
    <s v="ISEL-1.7"/>
    <n v="3"/>
    <s v="NO TIENE L3OUT"/>
    <n v="0"/>
    <n v="54"/>
  </r>
  <r>
    <n v="755"/>
    <x v="2"/>
    <x v="56"/>
    <s v="eth1/7"/>
    <x v="0"/>
    <x v="0"/>
    <x v="0"/>
    <s v="OSS F1:ithenmr06e1r9b:Bay1/X1"/>
    <x v="0"/>
    <b v="0"/>
    <s v="No está en VPC"/>
    <n v="755"/>
    <s v="INTPG_PC_755_1.7-8"/>
    <s v="ISEL-1.7"/>
    <n v="8"/>
    <s v="NO TIENE L3OUT"/>
    <n v="52"/>
    <n v="54"/>
  </r>
  <r>
    <n v="748"/>
    <x v="2"/>
    <x v="57"/>
    <s v="eth1/7"/>
    <x v="0"/>
    <x v="0"/>
    <x v="0"/>
    <s v="trunk14 Bes-Production"/>
    <x v="0"/>
    <b v="0"/>
    <s v="No está en VPC"/>
    <n v="748"/>
    <s v="INTPG_VPC_748_1.6_7_749_1.6_7"/>
    <s v="ISEL-1.7"/>
    <n v="6"/>
    <s v="NO TIENE L3OUT"/>
    <n v="2"/>
    <n v="54"/>
  </r>
  <r>
    <n v="756"/>
    <x v="2"/>
    <x v="58"/>
    <s v="eth1/7"/>
    <x v="0"/>
    <x v="0"/>
    <x v="0"/>
    <s v="OSS F1:ithenmr08bl03lms1r9a:PCIe3 Slot 1/1"/>
    <x v="0"/>
    <b v="0"/>
    <s v="No está en VPC"/>
    <n v="756"/>
    <s v="INTPG_ACC_756_1.7"/>
    <s v="ISEL-1.7"/>
    <n v="1"/>
    <s v="NO TIENE L3OUT"/>
    <n v="64"/>
    <n v="54"/>
  </r>
  <r>
    <n v="754"/>
    <x v="2"/>
    <x v="59"/>
    <s v="eth1/7"/>
    <x v="0"/>
    <x v="0"/>
    <x v="0"/>
    <s v="OSS F1:ithenmr04bl04ombsr9b:PCIe3 Slot 1/1"/>
    <x v="0"/>
    <b v="0"/>
    <s v="No está en VPC"/>
    <n v="754"/>
    <s v="INTPG_PC_754_1.5-8"/>
    <s v="ISEL-1.7"/>
    <n v="2"/>
    <s v="NO TIENE L3OUT"/>
    <n v="62"/>
    <n v="54"/>
  </r>
  <r>
    <n v="751"/>
    <x v="2"/>
    <x v="60"/>
    <s v="eth1/7"/>
    <x v="0"/>
    <x v="0"/>
    <x v="0"/>
    <s v="trunk18 Bes-Production"/>
    <x v="0"/>
    <b v="0"/>
    <s v="No está en VPC"/>
    <n v="751"/>
    <s v="INTPG_VPC_750_1.6_7_751_1.6_7"/>
    <s v="ISEL-1.7"/>
    <n v="5"/>
    <s v="NO TIENE L3OUT"/>
    <n v="0"/>
    <n v="54"/>
  </r>
  <r>
    <n v="769"/>
    <x v="2"/>
    <x v="61"/>
    <s v="eth1/7"/>
    <x v="0"/>
    <x v="0"/>
    <x v="0"/>
    <s v="OSS_ENM"/>
    <x v="0"/>
    <b v="0"/>
    <s v="No está en VPC"/>
    <n v="769"/>
    <s v="INTPG_ACC_769_1.7"/>
    <s v="ISEL-1.7"/>
    <n v="1"/>
    <s v="NO TIENE L3OUT"/>
    <n v="60"/>
    <n v="54"/>
  </r>
  <r>
    <n v="742"/>
    <x v="2"/>
    <x v="62"/>
    <s v="eth1/7"/>
    <x v="0"/>
    <x v="1"/>
    <x v="1"/>
    <s v="CEM:ITHCEMA2DAT04:LOM P3"/>
    <x v="5"/>
    <b v="0"/>
    <s v="No está en VPC"/>
    <n v="742"/>
    <s v="INTPG_ACC_742_1.7"/>
    <s v="ISEL-1.7"/>
    <n v="1"/>
    <s v="NO TIENE L3OUT"/>
    <n v="64"/>
    <n v="54"/>
  </r>
  <r>
    <n v="763"/>
    <x v="2"/>
    <x v="63"/>
    <s v="eth1/7"/>
    <x v="0"/>
    <x v="0"/>
    <x v="0"/>
    <s v="PAAS:ithhwoscopap007:LOM PORT 3"/>
    <x v="0"/>
    <b v="0"/>
    <s v="No está en VPC"/>
    <n v="763"/>
    <s v="INTPG_VPC_762_1.7_763_1.7"/>
    <s v="ISEL-1.7"/>
    <n v="1"/>
    <s v="NO TIENE L3OUT"/>
    <n v="2"/>
    <n v="54"/>
  </r>
  <r>
    <n v="766"/>
    <x v="2"/>
    <x v="64"/>
    <s v="eth1/7"/>
    <x v="0"/>
    <x v="0"/>
    <x v="0"/>
    <s v="Portchannel_2_R6A"/>
    <x v="0"/>
    <b v="0"/>
    <s v="No está en VPC"/>
    <n v="766"/>
    <s v="INTPG_PC_766_1.7-8"/>
    <s v="ISEL-1.7"/>
    <n v="8"/>
    <s v="NO TIENE L3OUT"/>
    <n v="58"/>
    <n v="54"/>
  </r>
  <r>
    <n v="760"/>
    <x v="2"/>
    <x v="65"/>
    <s v="eth1/7"/>
    <x v="0"/>
    <x v="1"/>
    <x v="1"/>
    <m/>
    <x v="0"/>
    <b v="0"/>
    <s v="No está en VPC"/>
    <n v="760"/>
    <s v="INTPG_VPC_760_1.5-8_761_1.5-8"/>
    <s v="ISEL-1.7"/>
    <n v="0"/>
    <s v="L3OUT-EXACLOUD"/>
    <n v="0"/>
    <n v="54"/>
  </r>
  <r>
    <n v="752"/>
    <x v="2"/>
    <x v="66"/>
    <s v="eth1/7"/>
    <x v="0"/>
    <x v="0"/>
    <x v="0"/>
    <s v="PAAS:ithhwoscopap005:Slot4.1"/>
    <x v="0"/>
    <b v="0"/>
    <s v="No está en VPC"/>
    <n v="752"/>
    <s v="INTPG_VPC_747_1.7_752_1.7"/>
    <s v="ISEL-1.7"/>
    <n v="25"/>
    <s v="NO TIENE L3OUT"/>
    <n v="0"/>
    <n v="54"/>
  </r>
  <r>
    <n v="765"/>
    <x v="2"/>
    <x v="67"/>
    <s v="eth1/7"/>
    <x v="0"/>
    <x v="0"/>
    <x v="0"/>
    <s v="Portchannel_1_R6A"/>
    <x v="0"/>
    <b v="0"/>
    <s v="No está en VPC"/>
    <n v="765"/>
    <s v="INTPG_PC_765_1.7-10"/>
    <s v="ISEL-1.7"/>
    <n v="2"/>
    <s v="NO TIENE L3OUT"/>
    <n v="60"/>
    <n v="54"/>
  </r>
  <r>
    <n v="778"/>
    <x v="2"/>
    <x v="68"/>
    <s v="eth1/7"/>
    <x v="0"/>
    <x v="0"/>
    <x v="0"/>
    <s v="ENIQ F1:itheniqr07ombsr2:LOM PORT 1"/>
    <x v="0"/>
    <b v="0"/>
    <s v="No está en VPC"/>
    <n v="778"/>
    <s v="INTPG_PC_778_1.7-10"/>
    <s v="ISEL-1.7"/>
    <n v="2"/>
    <s v="NO TIENE L3OUT"/>
    <n v="26"/>
    <n v="54"/>
  </r>
  <r>
    <n v="780"/>
    <x v="2"/>
    <x v="69"/>
    <s v="eth1/7"/>
    <x v="0"/>
    <x v="0"/>
    <x v="0"/>
    <s v="LACP_OMBS_ENIQ1"/>
    <x v="0"/>
    <b v="0"/>
    <s v="No está en VPC"/>
    <n v="780"/>
    <s v="INTPG_PC_780_1.7-10"/>
    <s v="ISEL-1.7"/>
    <n v="2"/>
    <s v="NO TIENE L3OUT"/>
    <n v="26"/>
    <n v="54"/>
  </r>
  <r>
    <n v="812"/>
    <x v="2"/>
    <x v="70"/>
    <s v="eth1/7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7"/>
    <x v="0"/>
    <x v="0"/>
    <x v="0"/>
    <s v="ITHFHWTSHNLCN04_VMs-04_Taishan_IT"/>
    <x v="0"/>
    <b v="0"/>
    <s v="No está en VPC"/>
    <n v="796"/>
    <s v="INTPG_VPC_795_1.7_796_1.7"/>
    <s v="ISEL-1.7"/>
    <n v="14"/>
    <s v="NO TIENE L3OUT"/>
    <n v="18"/>
    <n v="54"/>
  </r>
  <r>
    <n v="795"/>
    <x v="2"/>
    <x v="72"/>
    <s v="eth1/7"/>
    <x v="0"/>
    <x v="0"/>
    <x v="0"/>
    <s v="ITHFHWTSHNLCN04_VMs-04_Taishan_IT"/>
    <x v="0"/>
    <b v="0"/>
    <s v="No está en VPC"/>
    <n v="795"/>
    <s v="INTPG_VPC_795_1.7_796_1.7"/>
    <s v="ISEL-1.7"/>
    <n v="14"/>
    <s v="NO TIENE L3OUT"/>
    <n v="18"/>
    <n v="54"/>
  </r>
  <r>
    <n v="749"/>
    <x v="2"/>
    <x v="73"/>
    <s v="eth1/7"/>
    <x v="0"/>
    <x v="0"/>
    <x v="0"/>
    <s v="trunk14 Bes-Production"/>
    <x v="0"/>
    <b v="0"/>
    <s v="No está en VPC"/>
    <n v="749"/>
    <s v="INTPG_VPC_748_1.6_7_749_1.6_7"/>
    <s v="ISEL-1.7"/>
    <n v="6"/>
    <s v="NO TIENE L3OUT"/>
    <n v="4"/>
    <n v="54"/>
  </r>
  <r>
    <n v="824"/>
    <x v="2"/>
    <x v="74"/>
    <s v="eth1/7"/>
    <x v="0"/>
    <x v="0"/>
    <x v="0"/>
    <s v="LINK_TO_ITHHWD6K60012DKC01 /CtrlB_IOM1.P1 /Redundante"/>
    <x v="0"/>
    <b v="0"/>
    <s v="No está en VPC"/>
    <n v="824"/>
    <s v="INTPG_ACC_824_1.7"/>
    <s v="ISEL-1.7"/>
    <n v="1"/>
    <s v="NO TIENE L3OUT"/>
    <n v="70"/>
    <n v="54"/>
  </r>
  <r>
    <n v="819"/>
    <x v="2"/>
    <x v="75"/>
    <s v="eth1/7"/>
    <x v="0"/>
    <x v="0"/>
    <x v="0"/>
    <s v="LINK_TO_ITHHWD6K60012DKC01 /CtrlB_IOM1.P0 /Principal"/>
    <x v="0"/>
    <b v="0"/>
    <s v="No está en VPC"/>
    <n v="819"/>
    <s v="INTPG_ACC_819_1.7"/>
    <s v="ISEL-1.7"/>
    <n v="1"/>
    <s v="NO TIENE L3OUT"/>
    <n v="70"/>
    <n v="54"/>
  </r>
  <r>
    <n v="737"/>
    <x v="2"/>
    <x v="76"/>
    <s v="eth1/7"/>
    <x v="0"/>
    <x v="0"/>
    <x v="0"/>
    <s v="CEM:ITHCEMF2DAT04:LOM P3"/>
    <x v="5"/>
    <b v="0"/>
    <s v="No está en VPC"/>
    <n v="737"/>
    <s v="INTPG_ACC_737_1.7"/>
    <s v="ISEL-1.7"/>
    <n v="1"/>
    <s v="NO TIENE L3OUT"/>
    <n v="72"/>
    <n v="54"/>
  </r>
  <r>
    <n v="844"/>
    <x v="2"/>
    <x v="77"/>
    <s v="eth1/7"/>
    <x v="0"/>
    <x v="0"/>
    <x v="0"/>
    <s v="LINK_TO_ITHFHWCRMPLCN103 / Slot1.1_10 / Principal"/>
    <x v="0"/>
    <b v="0"/>
    <s v="No está en VPC"/>
    <n v="844"/>
    <s v="INTPG_ACC_844_1.7"/>
    <s v="ISEL-1.7"/>
    <n v="6"/>
    <s v="NO TIENE L3OUT"/>
    <n v="282"/>
    <n v="54"/>
  </r>
  <r>
    <n v="843"/>
    <x v="2"/>
    <x v="78"/>
    <s v="eth1/7"/>
    <x v="0"/>
    <x v="0"/>
    <x v="0"/>
    <s v="LINK_To_ITHFHWCBSPSUSBD23 / Slot7.2_4 / Redundante"/>
    <x v="0"/>
    <b v="0"/>
    <s v="No está en VPC"/>
    <n v="843"/>
    <s v="INTPG_VPC_838_1.7_843_1.7"/>
    <s v="ISEL-1.7"/>
    <n v="1"/>
    <s v="NO TIENE L3OUT"/>
    <n v="38"/>
    <n v="54"/>
  </r>
  <r>
    <n v="797"/>
    <x v="2"/>
    <x v="79"/>
    <s v="eth1/7"/>
    <x v="0"/>
    <x v="0"/>
    <x v="0"/>
    <s v="TO-HDPS_09-MSP"/>
    <x v="0"/>
    <b v="0"/>
    <s v="No está en VPC"/>
    <n v="797"/>
    <s v="INTPG_ACC_797_1.7"/>
    <s v="ISEL-1.7"/>
    <n v="1"/>
    <s v="NO TIENE L3OUT"/>
    <n v="48"/>
    <n v="54"/>
  </r>
  <r>
    <n v="839"/>
    <x v="2"/>
    <x v="80"/>
    <s v="eth1/7"/>
    <x v="0"/>
    <x v="0"/>
    <x v="0"/>
    <s v="LINK_TO_ITHFHWCBSPSHD45 / Slot7.1_8 / Redundante"/>
    <x v="0"/>
    <b v="0"/>
    <s v="No está en VPC"/>
    <n v="839"/>
    <s v="INTPG_VPC_834_1.7_839_1.7"/>
    <s v="ISEL-1.7"/>
    <n v="2"/>
    <s v="NO TIENE L3OUT"/>
    <n v="0"/>
    <n v="54"/>
  </r>
  <r>
    <n v="847"/>
    <x v="2"/>
    <x v="81"/>
    <s v="eth1/7"/>
    <x v="0"/>
    <x v="0"/>
    <x v="0"/>
    <s v="LINK_TO_ITHHWD6KV65100018DKC01 / CTMA_IOM0.P0_34 / Principal"/>
    <x v="0"/>
    <b v="0"/>
    <s v="No está en VPC"/>
    <n v="847"/>
    <s v="INTPG_ACC_847_1.7"/>
    <s v="ISEL-1.7"/>
    <n v="1"/>
    <s v="NO TIENE L3OUT"/>
    <n v="204"/>
    <n v="54"/>
  </r>
  <r>
    <n v="848"/>
    <x v="2"/>
    <x v="82"/>
    <s v="eth1/7"/>
    <x v="0"/>
    <x v="0"/>
    <x v="0"/>
    <s v="LINK_TO_ITHFHWCRMPLCN156 / Slot7.3_14 / Redundante"/>
    <x v="0"/>
    <b v="0"/>
    <s v="No está en VPC"/>
    <n v="848"/>
    <s v="INTPG_ACC_848_1.7"/>
    <s v="ISEL-1.7"/>
    <n v="1"/>
    <s v="NO TIENE L3OUT"/>
    <n v="254"/>
    <n v="54"/>
  </r>
  <r>
    <n v="846"/>
    <x v="2"/>
    <x v="83"/>
    <s v="eth1/7"/>
    <x v="0"/>
    <x v="0"/>
    <x v="0"/>
    <s v="LINK_TO_ITHHWD6KV65100011DKC01 / CTMA_IOM1.P0_34 / Principal"/>
    <x v="0"/>
    <b v="0"/>
    <s v="No está en VPC"/>
    <n v="846"/>
    <s v="INTPG_ACC_846_1.7"/>
    <s v="ISEL-1.7"/>
    <n v="1"/>
    <s v="NO TIENE L3OUT"/>
    <n v="242"/>
    <n v="54"/>
  </r>
  <r>
    <n v="838"/>
    <x v="2"/>
    <x v="84"/>
    <s v="eth1/7"/>
    <x v="0"/>
    <x v="0"/>
    <x v="0"/>
    <s v="LINK_To_ITHFHWCBSPSUSBD23 / Slot1.2_4 / Principal"/>
    <x v="0"/>
    <b v="0"/>
    <s v="No está en VPC"/>
    <n v="838"/>
    <s v="INTPG_VPC_838_1.7_843_1.7"/>
    <s v="ISEL-1.7"/>
    <n v="1"/>
    <s v="NO TIENE L3OUT"/>
    <n v="38"/>
    <n v="54"/>
  </r>
  <r>
    <n v="849"/>
    <x v="2"/>
    <x v="85"/>
    <s v="eth1/7"/>
    <x v="0"/>
    <x v="0"/>
    <x v="0"/>
    <s v="LINK_TO_ITHFHWCRMPLCN136 / Slot7.3_6 / Redundante"/>
    <x v="0"/>
    <b v="0"/>
    <s v="No está en VPC"/>
    <n v="849"/>
    <s v="INTPG_ACC_849_1.7"/>
    <s v="ISEL-1.7"/>
    <n v="1"/>
    <s v="NO TIENE L3OUT"/>
    <n v="286"/>
    <n v="54"/>
  </r>
  <r>
    <n v="845"/>
    <x v="2"/>
    <x v="86"/>
    <s v="eth1/7"/>
    <x v="0"/>
    <x v="0"/>
    <x v="0"/>
    <s v="LINK_TO_ITHFHWCRMPSBDA07 / Slot1.2_4 / Principal"/>
    <x v="0"/>
    <b v="0"/>
    <s v="No está en VPC"/>
    <n v="845"/>
    <s v="INTPG_VPC_845_1.7_852_1.7"/>
    <s v="ISEL-1.7"/>
    <n v="2"/>
    <s v="NO TIENE L3OUT"/>
    <n v="258"/>
    <n v="54"/>
  </r>
  <r>
    <n v="873"/>
    <x v="2"/>
    <x v="87"/>
    <s v="eth1/7"/>
    <x v="0"/>
    <x v="0"/>
    <x v="0"/>
    <s v="TO_ITHFHWCRMDLCN55_Principal"/>
    <x v="0"/>
    <b v="0"/>
    <s v="No está en VPC"/>
    <n v="873"/>
    <s v="INTPG_ACC_873_1.7"/>
    <s v="ISEL-1.7"/>
    <n v="2"/>
    <s v="NO TIENE L3OUT"/>
    <n v="248"/>
    <n v="54"/>
  </r>
  <r>
    <n v="864"/>
    <x v="2"/>
    <x v="88"/>
    <s v="eth1/7"/>
    <x v="0"/>
    <x v="0"/>
    <x v="0"/>
    <s v="To_VPC_2DCBSD_HD33_1"/>
    <x v="0"/>
    <b v="0"/>
    <s v="No está en VPC"/>
    <n v="864"/>
    <s v="INTPG_VPC_859_1.7_864_1.7"/>
    <s v="ISEL-1.7"/>
    <n v="2"/>
    <s v="NO TIENE L3OUT"/>
    <n v="0"/>
    <n v="54"/>
  </r>
  <r>
    <n v="836"/>
    <x v="2"/>
    <x v="89"/>
    <s v="eth1/7"/>
    <x v="0"/>
    <x v="0"/>
    <x v="0"/>
    <s v="LINK_TO_ITHFHWCBSPSUSBD35 / Slot1.3_8 / Principal"/>
    <x v="0"/>
    <b v="0"/>
    <s v="No está en VPC"/>
    <n v="836"/>
    <s v="INTPG_VPC_836_1.7_841_1.7"/>
    <s v="ISEL-1.7"/>
    <n v="1"/>
    <s v="NO TIENE L3OUT"/>
    <n v="0"/>
    <n v="54"/>
  </r>
  <r>
    <n v="834"/>
    <x v="2"/>
    <x v="90"/>
    <s v="eth1/7"/>
    <x v="0"/>
    <x v="0"/>
    <x v="0"/>
    <s v="LINK_TO_ITHFHWCBSPSHD45 / Slot1.1_8 / Principal"/>
    <x v="0"/>
    <b v="0"/>
    <s v="No está en VPC"/>
    <n v="834"/>
    <s v="INTPG_VPC_834_1.7_839_1.7"/>
    <s v="ISEL-1.7"/>
    <n v="2"/>
    <s v="NO TIENE L3OUT"/>
    <n v="0"/>
    <n v="54"/>
  </r>
  <r>
    <n v="872"/>
    <x v="2"/>
    <x v="91"/>
    <s v="eth1/7"/>
    <x v="0"/>
    <x v="0"/>
    <x v="0"/>
    <s v="To_ITHFHWCRMDLCN71_Principal"/>
    <x v="0"/>
    <b v="0"/>
    <s v="No está en VPC"/>
    <n v="872"/>
    <s v="INTPG_ACC_872_1.7"/>
    <s v="ISEL-1.7"/>
    <n v="2"/>
    <s v="NO TIENE L3OUT"/>
    <n v="288"/>
    <n v="54"/>
  </r>
  <r>
    <n v="842"/>
    <x v="2"/>
    <x v="92"/>
    <s v="eth1/7"/>
    <x v="0"/>
    <x v="0"/>
    <x v="0"/>
    <s v="LINK_TO_ITHFHWCBSPSUSBD24 / Slot7.3_4 / Redundante"/>
    <x v="0"/>
    <b v="0"/>
    <s v="No está en VPC"/>
    <n v="842"/>
    <s v="INTPG_VPC_837_1.7_842_1.7"/>
    <s v="ISEL-1.7"/>
    <n v="1"/>
    <s v="NO TIENE L3OUT"/>
    <n v="8"/>
    <n v="54"/>
  </r>
  <r>
    <n v="828"/>
    <x v="2"/>
    <x v="93"/>
    <s v="eth1/7"/>
    <x v="0"/>
    <x v="0"/>
    <x v="0"/>
    <s v="LINK_TO_ITHFHWCBSDSWR34 /Slot5.2 /Principal"/>
    <x v="0"/>
    <b v="0"/>
    <s v="No está en VPC"/>
    <n v="828"/>
    <s v="INTPG_VPC_828_1.7_832_1.7"/>
    <s v="ISEL-1.7"/>
    <n v="2"/>
    <s v="NO TIENE L3OUT"/>
    <n v="192"/>
    <n v="54"/>
  </r>
  <r>
    <n v="870"/>
    <x v="2"/>
    <x v="94"/>
    <s v="eth1/7"/>
    <x v="0"/>
    <x v="0"/>
    <x v="0"/>
    <s v="TO_ITHFHWCRMDLCN55_Redundante"/>
    <x v="0"/>
    <b v="0"/>
    <s v="No está en VPC"/>
    <n v="870"/>
    <s v="INTPG_ACC_870_1.7"/>
    <s v="ISEL-1.7"/>
    <n v="2"/>
    <s v="NO TIENE L3OUT"/>
    <n v="248"/>
    <n v="54"/>
  </r>
  <r>
    <n v="866"/>
    <x v="2"/>
    <x v="95"/>
    <s v="eth1/7"/>
    <x v="0"/>
    <x v="0"/>
    <x v="0"/>
    <s v="To_ITHHWD6KV65100016DKC01_Redundante"/>
    <x v="0"/>
    <b v="0"/>
    <s v="No está en VPC"/>
    <n v="866"/>
    <s v="INTPG_ACC_866_1.7"/>
    <s v="ISEL-1.7"/>
    <n v="1"/>
    <s v="NO TIENE L3OUT"/>
    <n v="8"/>
    <n v="54"/>
  </r>
  <r>
    <n v="862"/>
    <x v="2"/>
    <x v="96"/>
    <s v="eth1/7"/>
    <x v="0"/>
    <x v="0"/>
    <x v="0"/>
    <s v="To_ITHHWD6KV65100013DKC01_Principal"/>
    <x v="0"/>
    <b v="0"/>
    <s v="No está en VPC"/>
    <n v="862"/>
    <s v="INTPG_ACC_862_1.7"/>
    <s v="ISEL-1.7"/>
    <n v="1"/>
    <s v="NO TIENE L3OUT"/>
    <n v="44"/>
    <n v="54"/>
  </r>
  <r>
    <n v="855"/>
    <x v="2"/>
    <x v="97"/>
    <s v="eth1/7"/>
    <x v="0"/>
    <x v="0"/>
    <x v="0"/>
    <s v="LINK_TO_ITHFHWCRMPLCN156 / Slot1.3_14 / Principal"/>
    <x v="0"/>
    <b v="0"/>
    <s v="No está en VPC"/>
    <n v="855"/>
    <s v="INTPG_ACC_855_1.7"/>
    <s v="ISEL-1.7"/>
    <n v="1"/>
    <s v="NO TIENE L3OUT"/>
    <n v="254"/>
    <n v="54"/>
  </r>
  <r>
    <n v="871"/>
    <x v="2"/>
    <x v="98"/>
    <s v="eth1/7"/>
    <x v="0"/>
    <x v="0"/>
    <x v="0"/>
    <s v="TO_ITHFHWCRMDLCN83_Principal"/>
    <x v="0"/>
    <b v="0"/>
    <s v="No está en VPC"/>
    <n v="871"/>
    <s v="INTPG_ACC_871_1.7"/>
    <s v="ISEL-1.7"/>
    <n v="6"/>
    <s v="NO TIENE L3OUT"/>
    <n v="246"/>
    <n v="54"/>
  </r>
  <r>
    <n v="841"/>
    <x v="2"/>
    <x v="99"/>
    <s v="eth1/7"/>
    <x v="0"/>
    <x v="0"/>
    <x v="0"/>
    <s v="LINK_TO_ITHFHWCBSPSUSBD35 / Slot7.3_8 / Redundante"/>
    <x v="0"/>
    <b v="0"/>
    <s v="No está en VPC"/>
    <n v="841"/>
    <s v="INTPG_VPC_836_1.7_841_1.7"/>
    <s v="ISEL-1.7"/>
    <n v="1"/>
    <s v="NO TIENE L3OUT"/>
    <n v="0"/>
    <n v="54"/>
  </r>
  <r>
    <n v="868"/>
    <x v="2"/>
    <x v="100"/>
    <s v="eth1/7"/>
    <x v="0"/>
    <x v="0"/>
    <x v="0"/>
    <s v="TO_ITHFHWCRMDLCN83_Redundante"/>
    <x v="0"/>
    <b v="0"/>
    <s v="No está en VPC"/>
    <n v="868"/>
    <s v="INTPG_ACC_868_1.7"/>
    <s v="ISEL-1.7"/>
    <n v="6"/>
    <s v="NO TIENE L3OUT"/>
    <n v="246"/>
    <n v="54"/>
  </r>
  <r>
    <n v="869"/>
    <x v="2"/>
    <x v="101"/>
    <s v="eth1/7"/>
    <x v="0"/>
    <x v="0"/>
    <x v="0"/>
    <s v="To_ITHFHWCRMDLCN71_Redundante"/>
    <x v="0"/>
    <b v="0"/>
    <s v="No está en VPC"/>
    <n v="869"/>
    <s v="INTPG_ACC_869_1.7"/>
    <s v="ISEL-1.7"/>
    <n v="2"/>
    <s v="NO TIENE L3OUT"/>
    <n v="288"/>
    <n v="54"/>
  </r>
  <r>
    <n v="861"/>
    <x v="2"/>
    <x v="102"/>
    <s v="eth1/7"/>
    <x v="0"/>
    <x v="0"/>
    <x v="0"/>
    <s v="To_ITHHWD6KV65100016DKC01_Principal"/>
    <x v="0"/>
    <b v="0"/>
    <s v="No está en VPC"/>
    <n v="861"/>
    <s v="INTPG_ACC_861_1.7"/>
    <s v="ISEL-1.7"/>
    <n v="1"/>
    <s v="NO TIENE L3OUT"/>
    <n v="8"/>
    <n v="54"/>
  </r>
  <r>
    <n v="874"/>
    <x v="2"/>
    <x v="103"/>
    <s v="eth1/7"/>
    <x v="0"/>
    <x v="0"/>
    <x v="0"/>
    <s v="LINK_TO_ITHFHWSEQLCAS30 / Slot 5 PTO 1 / Redundante"/>
    <x v="4"/>
    <b v="0"/>
    <s v="No está en VPC"/>
    <n v="874"/>
    <s v="INTPG_ACC_874_1.7"/>
    <s v="ISEL-1.7"/>
    <n v="1"/>
    <s v="NO TIENE L3OUT"/>
    <n v="92"/>
    <n v="54"/>
  </r>
  <r>
    <n v="865"/>
    <x v="2"/>
    <x v="104"/>
    <s v="eth1/7"/>
    <x v="0"/>
    <x v="0"/>
    <x v="0"/>
    <s v="To_VPC_2DCBSD_HD25_1"/>
    <x v="0"/>
    <b v="0"/>
    <s v="No está en VPC"/>
    <n v="865"/>
    <s v="INTPG_VPC_860_1.7_865_1.7"/>
    <s v="ISEL-1.7"/>
    <n v="2"/>
    <s v="NO TIENE L3OUT"/>
    <n v="0"/>
    <n v="54"/>
  </r>
  <r>
    <n v="753"/>
    <x v="2"/>
    <x v="105"/>
    <s v="eth1/7"/>
    <x v="0"/>
    <x v="0"/>
    <x v="0"/>
    <s v="OSS F1:ithenmr04bl03lms1r9b:Slot 2/1"/>
    <x v="0"/>
    <b v="0"/>
    <s v="No está en VPC"/>
    <n v="753"/>
    <s v="INTPG_ACC_753_1.7"/>
    <s v="ISEL-1.7"/>
    <n v="1"/>
    <s v="NO TIENE L3OUT"/>
    <n v="62"/>
    <n v="54"/>
  </r>
  <r>
    <n v="708"/>
    <x v="2"/>
    <x v="106"/>
    <s v="eth1/7"/>
    <x v="0"/>
    <x v="1"/>
    <x v="5"/>
    <s v="CEM:ITHCEMF2DAT04:LOM P1"/>
    <x v="0"/>
    <b v="0"/>
    <s v="No está en VPC"/>
    <n v="708"/>
    <s v="INTPG_VPC_708_1.7_709_1.8"/>
    <s v="ISEL-1.7"/>
    <n v="1"/>
    <s v="NO TIENE L3OUT"/>
    <n v="0"/>
    <n v="54"/>
  </r>
  <r>
    <n v="710"/>
    <x v="2"/>
    <x v="107"/>
    <s v="eth1/7"/>
    <x v="0"/>
    <x v="1"/>
    <x v="5"/>
    <s v="CEM:ITHCEMD2DAT04:LOM P1"/>
    <x v="0"/>
    <b v="0"/>
    <s v="No está en VPC"/>
    <n v="710"/>
    <s v="INTPG_VPC_710_1.7_711_1.8"/>
    <s v="ISEL-1.7"/>
    <n v="1"/>
    <s v="NO TIENE L3OUT"/>
    <n v="16"/>
    <n v="54"/>
  </r>
  <r>
    <n v="713"/>
    <x v="2"/>
    <x v="108"/>
    <s v="eth1/7"/>
    <x v="0"/>
    <x v="0"/>
    <x v="0"/>
    <s v="CEM:ITHCEMA2DAT04:LOM P1"/>
    <x v="0"/>
    <b v="0"/>
    <s v="No está en VPC"/>
    <n v="713"/>
    <s v="INTPG_ACC_713_1.7"/>
    <s v="ISEL-1.7"/>
    <n v="1"/>
    <s v="NO TIENE L3OUT"/>
    <n v="32"/>
    <n v="54"/>
  </r>
  <r>
    <n v="735"/>
    <x v="2"/>
    <x v="109"/>
    <s v="eth1/7"/>
    <x v="0"/>
    <x v="1"/>
    <x v="1"/>
    <s v="CEM:ITHCEMA1DAT04:LOM P3"/>
    <x v="5"/>
    <b v="0"/>
    <s v="No está en VPC"/>
    <n v="735"/>
    <s v="INTPG_ACC_735_1.7"/>
    <s v="ISEL-1.7"/>
    <n v="1"/>
    <s v="NO TIENE L3OUT"/>
    <n v="34"/>
    <n v="54"/>
  </r>
  <r>
    <n v="731"/>
    <x v="2"/>
    <x v="110"/>
    <s v="eth1/7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7"/>
    <x v="0"/>
    <x v="0"/>
    <x v="0"/>
    <m/>
    <x v="0"/>
    <b v="0"/>
    <s v="No está en VPC"/>
    <n v="703"/>
    <s v="INTPG_VPC_703_1.7_704_1.8"/>
    <s v="ISEL-1.7"/>
    <n v="1"/>
    <s v="NO TIENE L3OUT"/>
    <n v="2"/>
    <n v="54"/>
  </r>
  <r>
    <n v="706"/>
    <x v="2"/>
    <x v="112"/>
    <s v="eth1/7"/>
    <x v="0"/>
    <x v="0"/>
    <x v="0"/>
    <s v="CEM:ITHCEMA1DAT04:LOM  P1"/>
    <x v="0"/>
    <b v="0"/>
    <s v="No está en VPC"/>
    <n v="706"/>
    <s v="INTPG_ACC_706_1.7"/>
    <s v="ISEL-1.7"/>
    <n v="1"/>
    <s v="NO TIENE L3OUT"/>
    <n v="16"/>
    <n v="54"/>
  </r>
  <r>
    <n v="762"/>
    <x v="2"/>
    <x v="113"/>
    <s v="eth1/7"/>
    <x v="0"/>
    <x v="0"/>
    <x v="0"/>
    <s v="PAAS:ithhwoscopap007:FlexIO.1"/>
    <x v="0"/>
    <b v="0"/>
    <s v="No está en VPC"/>
    <n v="762"/>
    <s v="INTPG_VPC_762_1.7_763_1.7"/>
    <s v="ISEL-1.7"/>
    <n v="1"/>
    <s v="NO TIENE L3OUT"/>
    <n v="0"/>
    <n v="54"/>
  </r>
  <r>
    <n v="814"/>
    <x v="2"/>
    <x v="114"/>
    <s v="eth1/7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7"/>
    <x v="0"/>
    <x v="0"/>
    <x v="0"/>
    <s v="HACIA_CSI-B-OSCP-F4-11_PRIMARIO"/>
    <x v="4"/>
    <b v="0"/>
    <s v="No está en VPC"/>
    <n v="878"/>
    <s v="INTPG_VPC_878_1.7_879_1.7"/>
    <s v="ISEL-1.7"/>
    <n v="2"/>
    <s v="NO TIENE L3OUT"/>
    <n v="0"/>
    <n v="54"/>
  </r>
  <r>
    <n v="826"/>
    <x v="2"/>
    <x v="116"/>
    <s v="eth1/7"/>
    <x v="0"/>
    <x v="0"/>
    <x v="0"/>
    <s v="LINK_TO_ITHFHWCBSDSUSBD06 /Slot5.2 /Principal"/>
    <x v="0"/>
    <b v="0"/>
    <s v="No está en VPC"/>
    <n v="826"/>
    <s v="INTPG_VPC_826_1.7_830_1.7"/>
    <s v="ISEL-1.7"/>
    <n v="2"/>
    <s v="NO TIENE L3OUT"/>
    <n v="12"/>
    <n v="54"/>
  </r>
  <r>
    <n v="726"/>
    <x v="2"/>
    <x v="117"/>
    <s v="eth1/7"/>
    <x v="0"/>
    <x v="0"/>
    <x v="0"/>
    <s v="DESC"/>
    <x v="0"/>
    <b v="0"/>
    <s v="No está en VPC"/>
    <n v="726"/>
    <s v="INTPG_PC_726_1.7-8"/>
    <s v="ISEL-1.7"/>
    <n v="0"/>
    <s v="L3OUT-HCS-MGMT-TELCEL-IPCORP"/>
    <n v="0"/>
    <n v="54"/>
  </r>
  <r>
    <n v="740"/>
    <x v="2"/>
    <x v="118"/>
    <s v="eth1/7"/>
    <x v="0"/>
    <x v="1"/>
    <x v="1"/>
    <s v="CEM:ITHCEMC2DAT04:LOM P3"/>
    <x v="5"/>
    <b v="0"/>
    <s v="No está en VPC"/>
    <n v="740"/>
    <s v="INTPG_ACC_740_1.7"/>
    <s v="ISEL-1.7"/>
    <n v="1"/>
    <s v="NO TIENE L3OUT"/>
    <n v="72"/>
    <n v="54"/>
  </r>
  <r>
    <n v="705"/>
    <x v="2"/>
    <x v="119"/>
    <s v="eth1/7"/>
    <x v="0"/>
    <x v="0"/>
    <x v="0"/>
    <s v="CEM:ITHOIDB1SVR04:LOM  P2"/>
    <x v="0"/>
    <b v="0"/>
    <s v="No está en VPC"/>
    <n v="705"/>
    <s v="INTPG_VPC_705_1.7_706_1.8"/>
    <s v="ISEL-1.7"/>
    <n v="2"/>
    <s v="NO TIENE L3OUT"/>
    <n v="16"/>
    <n v="54"/>
  </r>
  <r>
    <n v="723"/>
    <x v="2"/>
    <x v="120"/>
    <s v="eth1/7"/>
    <x v="0"/>
    <x v="0"/>
    <x v="0"/>
    <m/>
    <x v="0"/>
    <b v="0"/>
    <s v="No está en VPC"/>
    <n v="723"/>
    <s v="INTPG-VPC_HDD117_723_1.7_722_1.8"/>
    <s v="ISEL-1.7"/>
    <n v="1"/>
    <s v="NO TIENE L3OUT"/>
    <n v="0"/>
    <n v="54"/>
  </r>
  <r>
    <n v="721"/>
    <x v="2"/>
    <x v="121"/>
    <s v="eth1/7"/>
    <x v="0"/>
    <x v="0"/>
    <x v="0"/>
    <s v="TO-ITHFHWVRALCN07"/>
    <x v="0"/>
    <b v="0"/>
    <s v="No está en VPC"/>
    <n v="721"/>
    <s v="INTPG_VPC_714_1.8_721_1.7"/>
    <s v="ISEL-1.7"/>
    <n v="108"/>
    <s v="NO TIENE L3OUT"/>
    <n v="20"/>
    <n v="54"/>
  </r>
  <r>
    <n v="788"/>
    <x v="2"/>
    <x v="122"/>
    <s v="eth1/7"/>
    <x v="0"/>
    <x v="0"/>
    <x v="0"/>
    <s v="TO-ITHFHPMEDIRAP05"/>
    <x v="0"/>
    <b v="0"/>
    <s v="No está en VPC"/>
    <n v="788"/>
    <s v="INTPG_VPC_788_1.7-8_789_1.7-8"/>
    <s v="ISEL-1.7"/>
    <n v="2"/>
    <s v="NO TIENE L3OUT"/>
    <n v="4"/>
    <n v="54"/>
  </r>
  <r>
    <n v="732"/>
    <x v="2"/>
    <x v="123"/>
    <s v="eth1/7"/>
    <x v="0"/>
    <x v="0"/>
    <x v="0"/>
    <s v="TO-TESTBED"/>
    <x v="0"/>
    <b v="0"/>
    <s v="No está en VPC"/>
    <n v="732"/>
    <s v="INTPG_VPC_732_1.6-7_733_1.6-7"/>
    <s v="ISEL-1.7"/>
    <n v="3"/>
    <s v="NO TIENE L3OUT"/>
    <n v="0"/>
    <n v="54"/>
  </r>
  <r>
    <n v="720"/>
    <x v="2"/>
    <x v="124"/>
    <s v="eth1/7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7"/>
    <x v="0"/>
    <x v="1"/>
    <x v="5"/>
    <s v="CEM:ITHCEME2DAT04:LOM P1"/>
    <x v="0"/>
    <b v="0"/>
    <s v="No está en VPC"/>
    <n v="709"/>
    <s v="INTPG_VPC_708_1.8_709_1.7"/>
    <s v="ISEL-1.7"/>
    <n v="1"/>
    <s v="NO TIENE L3OUT"/>
    <n v="0"/>
    <n v="54"/>
  </r>
  <r>
    <n v="454"/>
    <x v="1"/>
    <x v="126"/>
    <s v="eth1/7"/>
    <x v="0"/>
    <x v="0"/>
    <x v="0"/>
    <s v="HACIA_CSI-B-OSCP-F4-07_PRIMARIO"/>
    <x v="4"/>
    <b v="0"/>
    <s v="No está en VPC"/>
    <n v="454"/>
    <s v="INTPG_VPC_454_1.7_456_1.7"/>
    <s v="ISEL-1.7"/>
    <n v="2"/>
    <s v="NO TIENE L3OUT"/>
    <n v="4"/>
    <n v="54"/>
  </r>
  <r>
    <n v="734"/>
    <x v="2"/>
    <x v="127"/>
    <s v="eth1/7"/>
    <x v="0"/>
    <x v="1"/>
    <x v="1"/>
    <s v="CEM_HADOOP"/>
    <x v="5"/>
    <b v="0"/>
    <s v="No está en VPC"/>
    <n v="734"/>
    <s v="INTPG_ACC_734_1.7"/>
    <s v="ISEL-1.7"/>
    <n v="1"/>
    <s v="NO TIENE L3OUT"/>
    <n v="32"/>
    <n v="54"/>
  </r>
  <r>
    <n v="815"/>
    <x v="2"/>
    <x v="128"/>
    <s v="eth1/7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7"/>
    <x v="0"/>
    <x v="0"/>
    <x v="0"/>
    <s v="trunk22 Bes-Production"/>
    <x v="0"/>
    <b v="0"/>
    <s v="No está en VPC"/>
    <n v="743"/>
    <s v="INTPG_VPC_743_1.6_7_744_1.6_7"/>
    <s v="ISEL-1.7"/>
    <n v="5"/>
    <s v="NO TIENE L3OUT"/>
    <n v="4"/>
    <n v="54"/>
  </r>
  <r>
    <n v="718"/>
    <x v="2"/>
    <x v="130"/>
    <s v="eth1/7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7"/>
    <x v="0"/>
    <x v="0"/>
    <x v="0"/>
    <s v="trunk22 Bes-Production"/>
    <x v="0"/>
    <b v="0"/>
    <s v="No está en VPC"/>
    <n v="744"/>
    <s v="INTPG_VPC_743_1.6_7_744_1.6_7"/>
    <s v="ISEL-1.7"/>
    <n v="5"/>
    <s v="NO TIENE L3OUT"/>
    <n v="4"/>
    <n v="54"/>
  </r>
  <r>
    <n v="741"/>
    <x v="2"/>
    <x v="132"/>
    <s v="eth1/7"/>
    <x v="0"/>
    <x v="1"/>
    <x v="1"/>
    <s v="CEM:ITHCEMB2DAT04:LOM P3"/>
    <x v="5"/>
    <b v="0"/>
    <s v="No está en VPC"/>
    <n v="741"/>
    <s v="INTPG_ACC_741_1.7"/>
    <s v="ISEL-1.7"/>
    <n v="1"/>
    <s v="NO TIENE L3OUT"/>
    <n v="62"/>
    <n v="54"/>
  </r>
  <r>
    <n v="787"/>
    <x v="2"/>
    <x v="133"/>
    <s v="eth1/7"/>
    <x v="0"/>
    <x v="0"/>
    <x v="0"/>
    <s v="ENIQ F2:itheniqr16bl03ombsr4a:LOM PORT 1"/>
    <x v="0"/>
    <b v="0"/>
    <s v="No está en VPC"/>
    <n v="787"/>
    <s v="INTPG_PC_787_1.7-10"/>
    <s v="ISEL-1.7"/>
    <n v="2"/>
    <s v="NO TIENE L3OUT"/>
    <n v="26"/>
    <n v="54"/>
  </r>
  <r>
    <n v="750"/>
    <x v="2"/>
    <x v="134"/>
    <s v="eth1/7"/>
    <x v="0"/>
    <x v="0"/>
    <x v="0"/>
    <s v="trunk18 Bes-Production"/>
    <x v="0"/>
    <b v="0"/>
    <s v="No está en VPC"/>
    <n v="750"/>
    <s v="INTPG_VPC_750_1.6_7_751_1.6_7"/>
    <s v="ISEL-1.7"/>
    <n v="5"/>
    <s v="NO TIENE L3OUT"/>
    <n v="2"/>
    <n v="54"/>
  </r>
  <r>
    <n v="792"/>
    <x v="2"/>
    <x v="135"/>
    <s v="eth1/7"/>
    <x v="0"/>
    <x v="0"/>
    <x v="0"/>
    <s v="CRM, CBS:PR-R10-F07:E1-10GE 2"/>
    <x v="0"/>
    <b v="0"/>
    <s v="No está en VPC"/>
    <n v="792"/>
    <s v="INTPG_VPC_757_1.7_10_792_1.7_10"/>
    <s v="ISEL-1.7"/>
    <n v="13"/>
    <s v="NO TIENE L3OUT"/>
    <n v="0"/>
    <n v="54"/>
  </r>
  <r>
    <n v="736"/>
    <x v="2"/>
    <x v="136"/>
    <s v="eth1/7"/>
    <x v="0"/>
    <x v="0"/>
    <x v="0"/>
    <s v="CEM:ITHCEMG2DAT04:LOM  P2"/>
    <x v="0"/>
    <b v="0"/>
    <s v="No está en VPC"/>
    <n v="736"/>
    <s v="INTPG_ACC_736_1.7"/>
    <s v="ISEL-1.7"/>
    <n v="1"/>
    <s v="NO TIENE L3OUT"/>
    <n v="48"/>
    <n v="54"/>
  </r>
  <r>
    <n v="799"/>
    <x v="2"/>
    <x v="137"/>
    <s v="eth1/7"/>
    <x v="0"/>
    <x v="0"/>
    <x v="0"/>
    <s v="TO-IMC_PS21-MSP"/>
    <x v="0"/>
    <b v="0"/>
    <s v="No está en VPC"/>
    <n v="799"/>
    <s v="INTPG_ACC_799_1.7"/>
    <s v="ISEL-1.7"/>
    <n v="1"/>
    <s v="NO TIENE L3OUT"/>
    <n v="52"/>
    <n v="54"/>
  </r>
  <r>
    <n v="768"/>
    <x v="2"/>
    <x v="138"/>
    <s v="eth1/7"/>
    <x v="0"/>
    <x v="0"/>
    <x v="0"/>
    <s v="Portchannel_1_R3"/>
    <x v="0"/>
    <b v="0"/>
    <s v="No está en VPC"/>
    <n v="768"/>
    <s v="INTPG_PC_768_1.7-10"/>
    <s v="ISEL-1.7"/>
    <n v="2"/>
    <s v="NO TIENE L3OUT"/>
    <n v="62"/>
    <n v="54"/>
  </r>
  <r>
    <n v="714"/>
    <x v="2"/>
    <x v="139"/>
    <s v="eth1/7"/>
    <x v="0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7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7"/>
    <x v="0"/>
    <x v="0"/>
    <x v="0"/>
    <s v="TO-ITHFHPMEDIRAP05"/>
    <x v="0"/>
    <b v="0"/>
    <s v="No está en VPC"/>
    <n v="789"/>
    <s v="INTPG_VPC_788_1.7-8_789_1.7-8"/>
    <s v="ISEL-1.7"/>
    <n v="2"/>
    <s v="NO TIENE L3OUT"/>
    <n v="0"/>
    <n v="54"/>
  </r>
  <r>
    <n v="764"/>
    <x v="2"/>
    <x v="142"/>
    <s v="eth1/7"/>
    <x v="0"/>
    <x v="0"/>
    <x v="0"/>
    <s v="Portchannel_1_R1"/>
    <x v="0"/>
    <b v="0"/>
    <s v="No está en VPC"/>
    <n v="764"/>
    <s v="INTPG_PC_764_1.7-10"/>
    <s v="ISEL-1.7"/>
    <n v="2"/>
    <s v="NO TIENE L3OUT"/>
    <n v="62"/>
    <n v="54"/>
  </r>
  <r>
    <n v="783"/>
    <x v="2"/>
    <x v="143"/>
    <s v="eth1/7"/>
    <x v="0"/>
    <x v="0"/>
    <x v="0"/>
    <s v="LACP_OMBS_ENIQ9A"/>
    <x v="0"/>
    <b v="0"/>
    <s v="No está en VPC"/>
    <n v="783"/>
    <s v="INTPG_PC_783_1.7-10"/>
    <s v="ISEL-1.7"/>
    <n v="2"/>
    <s v="NO TIENE L3OUT"/>
    <n v="26"/>
    <n v="54"/>
  </r>
  <r>
    <n v="774"/>
    <x v="2"/>
    <x v="144"/>
    <s v="eth1/7"/>
    <x v="0"/>
    <x v="0"/>
    <x v="0"/>
    <s v="CLOUD PASS PAYG F3:ITHHWOSCOPAP024:LOM P3"/>
    <x v="0"/>
    <b v="0"/>
    <s v="No está en VPC"/>
    <n v="774"/>
    <s v="INTPG_VPC_774_1.7_775_1.7"/>
    <s v="ISEL-1.7"/>
    <n v="23"/>
    <s v="NO TIENE L3OUT"/>
    <n v="0"/>
    <n v="54"/>
  </r>
  <r>
    <n v="773"/>
    <x v="2"/>
    <x v="145"/>
    <s v="eth1/7"/>
    <x v="0"/>
    <x v="0"/>
    <x v="0"/>
    <s v="OSS_ENM"/>
    <x v="0"/>
    <b v="0"/>
    <s v="No está en VPC"/>
    <n v="773"/>
    <s v="INTPG_ACC_773_1.7"/>
    <s v="ISEL-1.7"/>
    <n v="1"/>
    <s v="NO TIENE L3OUT"/>
    <n v="78"/>
    <n v="54"/>
  </r>
  <r>
    <n v="794"/>
    <x v="2"/>
    <x v="146"/>
    <s v="eth1/7"/>
    <x v="0"/>
    <x v="0"/>
    <x v="0"/>
    <s v="DESC"/>
    <x v="0"/>
    <b v="0"/>
    <s v="No está en VPC"/>
    <n v="794"/>
    <s v="INTPG_VPC_793_1.5_7_794_1.5_7"/>
    <s v="ISEL-1.7"/>
    <n v="1"/>
    <s v="NO TIENE L3OUT"/>
    <n v="12"/>
    <n v="54"/>
  </r>
  <r>
    <n v="803"/>
    <x v="2"/>
    <x v="147"/>
    <s v="eth1/7"/>
    <x v="0"/>
    <x v="0"/>
    <x v="0"/>
    <s v="TO-HDPS_33-MSP"/>
    <x v="0"/>
    <b v="0"/>
    <s v="No está en VPC"/>
    <n v="803"/>
    <s v="INTPG_ACC_803_1.7"/>
    <s v="ISEL-1.7"/>
    <n v="1"/>
    <s v="NO TIENE L3OUT"/>
    <n v="48"/>
    <n v="54"/>
  </r>
  <r>
    <n v="786"/>
    <x v="2"/>
    <x v="148"/>
    <s v="eth1/7"/>
    <x v="0"/>
    <x v="0"/>
    <x v="0"/>
    <s v="ENIQ F2:itheniqr14bl03ombsr4b:LOM PORT 1"/>
    <x v="0"/>
    <b v="0"/>
    <s v="No está en VPC"/>
    <n v="786"/>
    <s v="INTPG_PC_786_1.7-10"/>
    <s v="ISEL-1.7"/>
    <n v="2"/>
    <s v="NO TIENE L3OUT"/>
    <n v="26"/>
    <n v="54"/>
  </r>
  <r>
    <n v="757"/>
    <x v="2"/>
    <x v="149"/>
    <s v="eth1/7"/>
    <x v="0"/>
    <x v="0"/>
    <x v="0"/>
    <s v="CRM, CBS:ITHHWBESRK10CH1:E1-10GE 1"/>
    <x v="0"/>
    <b v="0"/>
    <s v="No está en VPC"/>
    <n v="757"/>
    <s v="INTPG_VPC_757_1.7_10_792_1.7_10"/>
    <s v="ISEL-1.7"/>
    <n v="13"/>
    <s v="NO TIENE L3OUT"/>
    <n v="0"/>
    <n v="54"/>
  </r>
  <r>
    <n v="781"/>
    <x v="2"/>
    <x v="150"/>
    <s v="eth1/7"/>
    <x v="0"/>
    <x v="0"/>
    <x v="0"/>
    <s v="LACP_OMBS_ENIQ9C"/>
    <x v="0"/>
    <b v="0"/>
    <s v="No está en VPC"/>
    <n v="781"/>
    <s v="INTPG_PC_781_1.7-10"/>
    <s v="ISEL-1.7"/>
    <n v="2"/>
    <s v="NO TIENE L3OUT"/>
    <n v="26"/>
    <n v="54"/>
  </r>
  <r>
    <n v="793"/>
    <x v="2"/>
    <x v="151"/>
    <s v="eth1/7"/>
    <x v="0"/>
    <x v="0"/>
    <x v="0"/>
    <s v="DESC"/>
    <x v="0"/>
    <b v="0"/>
    <s v="No está en VPC"/>
    <n v="793"/>
    <s v="INTPG_VPC_793_1.5_7_794_1.5_7"/>
    <s v="ISEL-1.7"/>
    <n v="1"/>
    <s v="NO TIENE L3OUT"/>
    <n v="12"/>
    <n v="54"/>
  </r>
  <r>
    <n v="747"/>
    <x v="2"/>
    <x v="152"/>
    <s v="eth1/7"/>
    <x v="0"/>
    <x v="0"/>
    <x v="0"/>
    <s v="PAAS:ithhwoscopap007:LOM PORT 1"/>
    <x v="0"/>
    <b v="0"/>
    <s v="No está en VPC"/>
    <n v="747"/>
    <s v="INTPG_VPC_747_1.7_752_1.7"/>
    <s v="ISEL-1.7"/>
    <n v="25"/>
    <s v="NO TIENE L3OUT"/>
    <n v="0"/>
    <n v="54"/>
  </r>
  <r>
    <n v="784"/>
    <x v="2"/>
    <x v="153"/>
    <s v="eth1/7"/>
    <x v="0"/>
    <x v="0"/>
    <x v="0"/>
    <s v="ENIQ F2:itheniqr12bl03ombsr6b:LOM PORT 1"/>
    <x v="0"/>
    <b v="0"/>
    <s v="No está en VPC"/>
    <n v="784"/>
    <s v="INTPG_PC_784_1.7-10"/>
    <s v="ISEL-1.7"/>
    <n v="2"/>
    <s v="NO TIENE L3OUT"/>
    <n v="26"/>
    <n v="54"/>
  </r>
  <r>
    <n v="806"/>
    <x v="2"/>
    <x v="154"/>
    <s v="eth1/7"/>
    <x v="0"/>
    <x v="0"/>
    <x v="0"/>
    <s v="TO-HDPS_57-MSP"/>
    <x v="0"/>
    <b v="0"/>
    <s v="No está en VPC"/>
    <n v="806"/>
    <s v="INTPG_ACC_806_1.7"/>
    <s v="ISEL-1.7"/>
    <n v="1"/>
    <s v="NO TIENE L3OUT"/>
    <n v="44"/>
    <n v="54"/>
  </r>
  <r>
    <n v="777"/>
    <x v="2"/>
    <x v="155"/>
    <s v="eth1/7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7"/>
    <x v="0"/>
    <x v="0"/>
    <x v="0"/>
    <s v="Portchannel_2_R4B"/>
    <x v="0"/>
    <b v="0"/>
    <s v="No está en VPC"/>
    <n v="770"/>
    <s v="INTPG_PC_770_1.7-8"/>
    <s v="ISEL-1.7"/>
    <n v="8"/>
    <s v="NO TIENE L3OUT"/>
    <n v="60"/>
    <n v="54"/>
  </r>
  <r>
    <n v="813"/>
    <x v="2"/>
    <x v="157"/>
    <s v="eth1/7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7"/>
    <x v="0"/>
    <x v="0"/>
    <x v="0"/>
    <s v="CEM:ITHCEMD2DAT04:LOM P3"/>
    <x v="5"/>
    <b v="0"/>
    <s v="No está en VPC"/>
    <n v="739"/>
    <s v="INTPG_ACC_739_1.7"/>
    <s v="ISEL-1.7"/>
    <n v="1"/>
    <s v="NO TIENE L3OUT"/>
    <n v="72"/>
    <n v="54"/>
  </r>
  <r>
    <n v="775"/>
    <x v="2"/>
    <x v="159"/>
    <s v="eth1/7"/>
    <x v="0"/>
    <x v="0"/>
    <x v="0"/>
    <s v="CLOUD PASS PAYG F3:ITHHWOSCOPAP024:FLEX I/O P1"/>
    <x v="0"/>
    <b v="0"/>
    <s v="No está en VPC"/>
    <n v="775"/>
    <s v="INTPG_VPC_774_1.7_775_1.7"/>
    <s v="ISEL-1.7"/>
    <n v="23"/>
    <s v="NO TIENE L3OUT"/>
    <n v="0"/>
    <n v="54"/>
  </r>
  <r>
    <n v="791"/>
    <x v="2"/>
    <x v="160"/>
    <s v="eth1/7"/>
    <x v="0"/>
    <x v="0"/>
    <x v="0"/>
    <s v="LINK_TO_ITHEMCPS5200TWPT3 / Nodo B IOM 1.3_05 / Redundante"/>
    <x v="0"/>
    <b v="0"/>
    <s v="No está en VPC"/>
    <n v="791"/>
    <s v="INTPG_ACC_791_1.7"/>
    <s v="ISEL-1.7"/>
    <n v="2"/>
    <s v="NO TIENE L3OUT"/>
    <n v="20"/>
    <n v="54"/>
  </r>
  <r>
    <n v="808"/>
    <x v="2"/>
    <x v="161"/>
    <s v="eth1/7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7"/>
    <x v="0"/>
    <x v="0"/>
    <x v="0"/>
    <s v="LINK_TO_ITHFHWCBSDSUSBD06 /Slot7.2 /Redundante"/>
    <x v="0"/>
    <b v="0"/>
    <s v="No está en VPC"/>
    <n v="830"/>
    <s v="INTPG_VPC_826_1.7_830_1.7"/>
    <s v="ISEL-1.7"/>
    <n v="2"/>
    <s v="NO TIENE L3OUT"/>
    <n v="12"/>
    <n v="54"/>
  </r>
  <r>
    <n v="821"/>
    <x v="2"/>
    <x v="163"/>
    <s v="eth1/7"/>
    <x v="0"/>
    <x v="0"/>
    <x v="0"/>
    <s v="LINK_TO_ITHFHWCBSPSUSBD11 /Slot7.2 /Redundante"/>
    <x v="0"/>
    <b v="0"/>
    <s v="No está en VPC"/>
    <n v="821"/>
    <s v="INTPG_VPC_816_1.7_821_1.7"/>
    <s v="ISEL-1.7"/>
    <n v="2"/>
    <s v="NO TIENE L3OUT"/>
    <n v="0"/>
    <n v="54"/>
  </r>
  <r>
    <n v="738"/>
    <x v="2"/>
    <x v="164"/>
    <s v="eth1/7"/>
    <x v="0"/>
    <x v="0"/>
    <x v="0"/>
    <s v="CEM:ITHCEME2DAT04:LOM P3"/>
    <x v="5"/>
    <b v="0"/>
    <s v="No está en VPC"/>
    <n v="738"/>
    <s v="INTPG_ACC_738_1.7"/>
    <s v="ISEL-1.7"/>
    <n v="1"/>
    <s v="NO TIENE L3OUT"/>
    <n v="72"/>
    <n v="54"/>
  </r>
  <r>
    <n v="820"/>
    <x v="2"/>
    <x v="165"/>
    <s v="eth1/7"/>
    <x v="0"/>
    <x v="0"/>
    <x v="0"/>
    <s v="LINK_TO_ITHHWCRMPEN02 /X2-10GE 4 /Redundante"/>
    <x v="0"/>
    <b v="0"/>
    <s v="No está en VPC"/>
    <n v="820"/>
    <s v="INTPG_VPC_820_1.7-8_10-11_825_1.7-8_10-11"/>
    <s v="ISEL-1.7"/>
    <n v="1"/>
    <s v="NO TIENE L3OUT"/>
    <n v="72"/>
    <n v="54"/>
  </r>
  <r>
    <n v="804"/>
    <x v="2"/>
    <x v="166"/>
    <s v="eth1/7"/>
    <x v="0"/>
    <x v="0"/>
    <x v="0"/>
    <s v="TO-HDPS_33-MSP"/>
    <x v="0"/>
    <b v="0"/>
    <s v="No está en VPC"/>
    <n v="804"/>
    <s v="INTPG_ACC_804_1.7"/>
    <s v="ISEL-1.7"/>
    <n v="1"/>
    <s v="NO TIENE L3OUT"/>
    <n v="48"/>
    <n v="54"/>
  </r>
  <r>
    <n v="779"/>
    <x v="2"/>
    <x v="167"/>
    <s v="eth1/7"/>
    <x v="0"/>
    <x v="0"/>
    <x v="0"/>
    <s v="ENIQ F1:itheniqr08ombsr3:LOM PORT 1"/>
    <x v="0"/>
    <b v="0"/>
    <s v="No está en VPC"/>
    <n v="779"/>
    <s v="INTPG_PC_779_1.7-10"/>
    <s v="ISEL-1.7"/>
    <n v="2"/>
    <s v="NO TIENE L3OUT"/>
    <n v="30"/>
    <n v="54"/>
  </r>
  <r>
    <n v="767"/>
    <x v="2"/>
    <x v="168"/>
    <s v="eth1/7"/>
    <x v="0"/>
    <x v="0"/>
    <x v="0"/>
    <s v="OSS_ENM"/>
    <x v="0"/>
    <b v="0"/>
    <s v="No está en VPC"/>
    <n v="767"/>
    <s v="INTPG_ACC_767_1.7"/>
    <s v="ISEL-1.7"/>
    <n v="1"/>
    <s v="NO TIENE L3OUT"/>
    <n v="60"/>
    <n v="54"/>
  </r>
  <r>
    <n v="827"/>
    <x v="2"/>
    <x v="169"/>
    <s v="eth1/7"/>
    <x v="0"/>
    <x v="0"/>
    <x v="0"/>
    <s v="LINK_TO_ITHHWD6KV60013DKC01 /CtrlB_IOM1.P0 /Principal"/>
    <x v="0"/>
    <b v="0"/>
    <s v="No está en VPC"/>
    <n v="827"/>
    <s v="INTPG_ACC_827_1.7"/>
    <s v="ISEL-1.7"/>
    <n v="1"/>
    <s v="NO TIENE L3OUT"/>
    <n v="14"/>
    <n v="54"/>
  </r>
  <r>
    <n v="809"/>
    <x v="2"/>
    <x v="170"/>
    <s v="eth1/7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7"/>
    <x v="0"/>
    <x v="0"/>
    <x v="0"/>
    <s v="Portchannel_1_R4B"/>
    <x v="0"/>
    <b v="0"/>
    <s v="No está en VPC"/>
    <n v="771"/>
    <s v="INTPG_PC_771_1.7-10"/>
    <s v="ISEL-1.7"/>
    <n v="2"/>
    <s v="NO TIENE L3OUT"/>
    <n v="62"/>
    <n v="54"/>
  </r>
  <r>
    <n v="761"/>
    <x v="2"/>
    <x v="172"/>
    <s v="eth1/7"/>
    <x v="0"/>
    <x v="1"/>
    <x v="1"/>
    <m/>
    <x v="0"/>
    <b v="0"/>
    <s v="No está en VPC"/>
    <n v="761"/>
    <s v="INTPG_VPC_760_1.5-8_761_1.5-8"/>
    <s v="ISEL-1.7"/>
    <n v="0"/>
    <s v="L3OUT-EXACLOUD"/>
    <n v="0"/>
    <n v="54"/>
  </r>
  <r>
    <n v="776"/>
    <x v="2"/>
    <x v="173"/>
    <s v="eth1/7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7"/>
    <x v="0"/>
    <x v="0"/>
    <x v="0"/>
    <s v="TO-HDPS_57-MSP"/>
    <x v="0"/>
    <b v="0"/>
    <s v="No está en VPC"/>
    <n v="805"/>
    <s v="INTPG_ACC_805_1.7"/>
    <s v="ISEL-1.7"/>
    <n v="1"/>
    <s v="NO TIENE L3OUT"/>
    <n v="44"/>
    <n v="54"/>
  </r>
  <r>
    <n v="772"/>
    <x v="2"/>
    <x v="175"/>
    <s v="eth1/7"/>
    <x v="0"/>
    <x v="0"/>
    <x v="0"/>
    <s v="Portchannel_1_R2"/>
    <x v="0"/>
    <b v="0"/>
    <s v="No está en VPC"/>
    <n v="772"/>
    <s v="INTPG_PC_772_1.7-10"/>
    <s v="ISEL-1.7"/>
    <n v="2"/>
    <s v="NO TIENE L3OUT"/>
    <n v="82"/>
    <n v="54"/>
  </r>
  <r>
    <n v="785"/>
    <x v="2"/>
    <x v="176"/>
    <s v="eth1/7"/>
    <x v="0"/>
    <x v="0"/>
    <x v="0"/>
    <s v="ENIQ F2:itheniqr13bl03ombsr6a:LOM PORT 1"/>
    <x v="0"/>
    <b v="0"/>
    <s v="No está en VPC"/>
    <n v="785"/>
    <s v="INTPG_PC_785_1.7-10"/>
    <s v="ISEL-1.7"/>
    <n v="2"/>
    <s v="NO TIENE L3OUT"/>
    <n v="32"/>
    <n v="54"/>
  </r>
  <r>
    <n v="851"/>
    <x v="2"/>
    <x v="177"/>
    <s v="eth1/7"/>
    <x v="0"/>
    <x v="0"/>
    <x v="0"/>
    <s v="LINK_TO_ITHFHWCRMPLCN103 / Slot7.1_10 / Redundante"/>
    <x v="0"/>
    <b v="0"/>
    <s v="No está en VPC"/>
    <n v="851"/>
    <s v="INTPG_ACC_851_1.7"/>
    <s v="ISEL-1.7"/>
    <n v="6"/>
    <s v="NO TIENE L3OUT"/>
    <n v="282"/>
    <n v="54"/>
  </r>
  <r>
    <n v="798"/>
    <x v="2"/>
    <x v="178"/>
    <s v="eth1/7"/>
    <x v="0"/>
    <x v="0"/>
    <x v="0"/>
    <s v="TO-IMC_PS21-MSP"/>
    <x v="0"/>
    <b v="0"/>
    <s v="No está en VPC"/>
    <n v="798"/>
    <s v="INTPG_ACC_798_1.7"/>
    <s v="ISEL-1.7"/>
    <n v="1"/>
    <s v="NO TIENE L3OUT"/>
    <n v="52"/>
    <n v="54"/>
  </r>
  <r>
    <n v="782"/>
    <x v="2"/>
    <x v="179"/>
    <s v="eth1/7"/>
    <x v="0"/>
    <x v="0"/>
    <x v="0"/>
    <s v="LACP_OMBS_ENIQ9B"/>
    <x v="0"/>
    <b v="0"/>
    <s v="No está en VPC"/>
    <n v="782"/>
    <s v="INTPG_PC_782_1.7-10"/>
    <s v="ISEL-1.7"/>
    <n v="2"/>
    <s v="NO TIENE L3OUT"/>
    <n v="32"/>
    <n v="54"/>
  </r>
  <r>
    <n v="852"/>
    <x v="2"/>
    <x v="180"/>
    <s v="eth1/7"/>
    <x v="0"/>
    <x v="0"/>
    <x v="0"/>
    <s v="LINK_TO_ITHFHWCRMPSBDA07 / Slot7.2_4 / Redundante"/>
    <x v="0"/>
    <b v="0"/>
    <s v="No está en VPC"/>
    <n v="852"/>
    <s v="INTPG_VPC_845_1.7_852_1.7"/>
    <s v="ISEL-1.7"/>
    <n v="2"/>
    <s v="NO TIENE L3OUT"/>
    <n v="258"/>
    <n v="54"/>
  </r>
  <r>
    <n v="817"/>
    <x v="2"/>
    <x v="181"/>
    <s v="eth1/7"/>
    <x v="0"/>
    <x v="0"/>
    <x v="0"/>
    <s v="LINK_TO_ITHFHWCBSPSWR24 /Slot5.2 /Principal"/>
    <x v="0"/>
    <b v="0"/>
    <s v="No está en VPC"/>
    <n v="817"/>
    <s v="INTPG_VPC_817_1.7_822_1.7"/>
    <s v="ISEL-1.7"/>
    <n v="2"/>
    <s v="NO TIENE L3OUT"/>
    <n v="0"/>
    <n v="54"/>
  </r>
  <r>
    <n v="832"/>
    <x v="2"/>
    <x v="182"/>
    <s v="eth1/7"/>
    <x v="0"/>
    <x v="0"/>
    <x v="0"/>
    <s v="LINK_TO_ITHFHWCBSDSWR34 /Slot7.2 /Redundante"/>
    <x v="0"/>
    <b v="0"/>
    <s v="No está en VPC"/>
    <n v="832"/>
    <s v="INTPG_VPC_828_1.7_832_1.7"/>
    <s v="ISEL-1.7"/>
    <n v="2"/>
    <s v="NO TIENE L3OUT"/>
    <n v="192"/>
    <n v="54"/>
  </r>
  <r>
    <n v="816"/>
    <x v="2"/>
    <x v="183"/>
    <s v="eth1/7"/>
    <x v="0"/>
    <x v="0"/>
    <x v="0"/>
    <s v="LINK_TO_ITHFHWCBSPSUSBD11 /Slot5.2 /Principal"/>
    <x v="0"/>
    <b v="0"/>
    <s v="No está en VPC"/>
    <n v="816"/>
    <s v="INTPG_VPC_816_1.7_821_1.7"/>
    <s v="ISEL-1.7"/>
    <n v="2"/>
    <s v="NO TIENE L3OUT"/>
    <n v="0"/>
    <n v="54"/>
  </r>
  <r>
    <n v="825"/>
    <x v="2"/>
    <x v="184"/>
    <s v="eth1/7"/>
    <x v="0"/>
    <x v="0"/>
    <x v="0"/>
    <s v="LINK_TO_ITHHWCRMPEN02 /X2-10GE 3 /Principal"/>
    <x v="0"/>
    <b v="0"/>
    <s v="No está en VPC"/>
    <n v="825"/>
    <s v="INTPG_VPC_820_1.7-8_10-11_825_1.7-8_10-11"/>
    <s v="ISEL-1.7"/>
    <n v="1"/>
    <s v="NO TIENE L3OUT"/>
    <n v="72"/>
    <n v="54"/>
  </r>
  <r>
    <n v="800"/>
    <x v="2"/>
    <x v="185"/>
    <s v="eth1/7"/>
    <x v="0"/>
    <x v="0"/>
    <x v="0"/>
    <s v="TO-CEPS_03-MSP"/>
    <x v="0"/>
    <b v="0"/>
    <s v="No está en VPC"/>
    <n v="800"/>
    <s v="INTPG_ACC_800_1.7"/>
    <s v="ISEL-1.7"/>
    <n v="1"/>
    <s v="NO TIENE L3OUT"/>
    <n v="78"/>
    <n v="54"/>
  </r>
  <r>
    <n v="801"/>
    <x v="2"/>
    <x v="186"/>
    <s v="eth1/7"/>
    <x v="0"/>
    <x v="0"/>
    <x v="0"/>
    <s v="TO-CEPS_03-MSP"/>
    <x v="0"/>
    <b v="0"/>
    <s v="No está en VPC"/>
    <n v="801"/>
    <s v="INTPG_ACC_801_1.7"/>
    <s v="ISEL-1.7"/>
    <n v="1"/>
    <s v="NO TIENE L3OUT"/>
    <n v="78"/>
    <n v="54"/>
  </r>
  <r>
    <n v="823"/>
    <x v="2"/>
    <x v="187"/>
    <s v="eth1/7"/>
    <x v="0"/>
    <x v="0"/>
    <x v="0"/>
    <s v="TRANSFORMA PHASE 2C PR"/>
    <x v="0"/>
    <b v="0"/>
    <s v="No está en VPC"/>
    <n v="823"/>
    <s v="INTPG_ACC_823_1.7"/>
    <s v="ISEL-1.7"/>
    <n v="1"/>
    <s v="NO TIENE L3OUT"/>
    <n v="8"/>
    <n v="54"/>
  </r>
  <r>
    <n v="837"/>
    <x v="2"/>
    <x v="188"/>
    <s v="eth1/7"/>
    <x v="0"/>
    <x v="0"/>
    <x v="0"/>
    <s v="LINK_TO_ITHFHWCBSPSUSBD24 / Slot1.3_4 / Principal"/>
    <x v="0"/>
    <b v="0"/>
    <s v="No está en VPC"/>
    <n v="837"/>
    <s v="INTPG_VPC_837_1.7_842_1.7"/>
    <s v="ISEL-1.7"/>
    <n v="1"/>
    <s v="NO TIENE L3OUT"/>
    <n v="8"/>
    <n v="54"/>
  </r>
  <r>
    <n v="867"/>
    <x v="2"/>
    <x v="189"/>
    <s v="eth1/7"/>
    <x v="0"/>
    <x v="0"/>
    <x v="0"/>
    <s v="To_ITHHWD6KV65100013DKC01_Redundante"/>
    <x v="0"/>
    <b v="0"/>
    <s v="No está en VPC"/>
    <n v="867"/>
    <s v="INTPG_ACC_867_1.7"/>
    <s v="ISEL-1.7"/>
    <n v="1"/>
    <s v="NO TIENE L3OUT"/>
    <n v="44"/>
    <n v="54"/>
  </r>
  <r>
    <n v="829"/>
    <x v="2"/>
    <x v="190"/>
    <s v="eth1/7"/>
    <x v="0"/>
    <x v="0"/>
    <x v="0"/>
    <s v="LINK_TO_ITHFHWCRMDLCN30 /Slot7.2 /Redundante"/>
    <x v="0"/>
    <b v="0"/>
    <s v="No está en VPC"/>
    <n v="829"/>
    <s v="INTPG_ACC_829_1.7"/>
    <s v="ISEL-1.7"/>
    <n v="5"/>
    <s v="NO TIENE L3OUT"/>
    <n v="224"/>
    <n v="54"/>
  </r>
  <r>
    <n v="831"/>
    <x v="2"/>
    <x v="191"/>
    <s v="eth1/7"/>
    <x v="0"/>
    <x v="0"/>
    <x v="0"/>
    <s v="LINK_TO_ITHHWD6KV60013DKC01 /CtrlB_IOM1.P1 /Redundante"/>
    <x v="0"/>
    <b v="0"/>
    <s v="No está en VPC"/>
    <n v="831"/>
    <s v="INTPG_ACC_831_1.7"/>
    <s v="ISEL-1.7"/>
    <n v="1"/>
    <s v="NO TIENE L3OUT"/>
    <n v="14"/>
    <n v="54"/>
  </r>
  <r>
    <n v="802"/>
    <x v="2"/>
    <x v="192"/>
    <s v="eth1/7"/>
    <x v="0"/>
    <x v="0"/>
    <x v="0"/>
    <s v="TO-HDPS_09-MSP"/>
    <x v="0"/>
    <b v="0"/>
    <s v="No está en VPC"/>
    <n v="802"/>
    <s v="INTPG_ACC_802_1.7"/>
    <s v="ISEL-1.7"/>
    <n v="1"/>
    <s v="NO TIENE L3OUT"/>
    <n v="48"/>
    <n v="54"/>
  </r>
  <r>
    <n v="835"/>
    <x v="2"/>
    <x v="193"/>
    <s v="eth1/7"/>
    <x v="0"/>
    <x v="0"/>
    <x v="0"/>
    <s v="LINK_TO_ITHFHWCBSPSWR56 / Slot1.1_24 / Principal"/>
    <x v="0"/>
    <b v="0"/>
    <s v="No está en VPC"/>
    <n v="835"/>
    <s v="INTPG_VPC_835_1.7_840_1.7"/>
    <s v="ISEL-1.7"/>
    <n v="2"/>
    <s v="NO TIENE L3OUT"/>
    <n v="8"/>
    <n v="54"/>
  </r>
  <r>
    <n v="822"/>
    <x v="2"/>
    <x v="194"/>
    <s v="eth1/7"/>
    <x v="0"/>
    <x v="0"/>
    <x v="0"/>
    <s v="LINK_TO_ITHFHWCBSPSWR24 /Slot7.2 /Redundante"/>
    <x v="0"/>
    <b v="0"/>
    <s v="No está en VPC"/>
    <n v="822"/>
    <s v="INTPG_VPC_817_1.7_822_1.7"/>
    <s v="ISEL-1.7"/>
    <n v="2"/>
    <s v="NO TIENE L3OUT"/>
    <n v="0"/>
    <n v="54"/>
  </r>
  <r>
    <n v="854"/>
    <x v="2"/>
    <x v="195"/>
    <s v="eth1/7"/>
    <x v="0"/>
    <x v="0"/>
    <x v="0"/>
    <s v="LINK_TO_ITHHWD6KV65100018DKC01 / CTMA_IOM0.P1_34 / Redundante"/>
    <x v="0"/>
    <b v="0"/>
    <s v="No está en VPC"/>
    <n v="854"/>
    <s v="INTPG_ACC_854_1.7"/>
    <s v="ISEL-1.7"/>
    <n v="1"/>
    <s v="NO TIENE L3OUT"/>
    <n v="204"/>
    <n v="54"/>
  </r>
  <r>
    <n v="858"/>
    <x v="2"/>
    <x v="196"/>
    <s v="eth1/7"/>
    <x v="0"/>
    <x v="0"/>
    <x v="0"/>
    <s v="To_VPC_2DCBSD_HD39_1"/>
    <x v="0"/>
    <b v="0"/>
    <s v="No está en VPC"/>
    <n v="858"/>
    <s v="INTPG_VPC_858_1.7_863_1.7"/>
    <s v="ISEL-1.7"/>
    <n v="2"/>
    <s v="NO TIENE L3OUT"/>
    <n v="8"/>
    <n v="54"/>
  </r>
  <r>
    <n v="857"/>
    <x v="2"/>
    <x v="197"/>
    <s v="eth1/7"/>
    <x v="0"/>
    <x v="0"/>
    <x v="0"/>
    <s v="LINK_TO_ITHFHWCRMPLCN152 / Slot1.3_38 / Principal"/>
    <x v="0"/>
    <b v="0"/>
    <s v="No está en VPC"/>
    <n v="857"/>
    <s v="INTPG_ACC_857_1.7"/>
    <s v="ISEL-1.7"/>
    <n v="1"/>
    <s v="NO TIENE L3OUT"/>
    <n v="288"/>
    <n v="54"/>
  </r>
  <r>
    <n v="859"/>
    <x v="2"/>
    <x v="198"/>
    <s v="eth1/7"/>
    <x v="0"/>
    <x v="0"/>
    <x v="0"/>
    <s v="To_VPC_2DCBSD_HD33_1"/>
    <x v="0"/>
    <b v="0"/>
    <s v="No está en VPC"/>
    <n v="859"/>
    <s v="INTPG_VPC_859_1.7_864_1.7"/>
    <s v="ISEL-1.7"/>
    <n v="2"/>
    <s v="NO TIENE L3OUT"/>
    <n v="0"/>
    <n v="54"/>
  </r>
  <r>
    <n v="833"/>
    <x v="2"/>
    <x v="199"/>
    <s v="eth1/7"/>
    <x v="0"/>
    <x v="0"/>
    <x v="0"/>
    <s v="LINK_TO_ITHFHWCRMDLCN30 /Slot5.2 /Principal"/>
    <x v="0"/>
    <b v="0"/>
    <s v="No está en VPC"/>
    <n v="833"/>
    <s v="INTPG_ACC_833_1.7"/>
    <s v="ISEL-1.7"/>
    <n v="5"/>
    <s v="NO TIENE L3OUT"/>
    <n v="224"/>
    <n v="54"/>
  </r>
  <r>
    <n v="818"/>
    <x v="2"/>
    <x v="200"/>
    <s v="eth1/7"/>
    <x v="0"/>
    <x v="0"/>
    <x v="0"/>
    <s v="TRANSFORMA PHASE 2C PR"/>
    <x v="0"/>
    <b v="0"/>
    <s v="No está en VPC"/>
    <n v="818"/>
    <s v="INTPG_ACC_818_1.7"/>
    <s v="ISEL-1.7"/>
    <n v="1"/>
    <s v="NO TIENE L3OUT"/>
    <n v="8"/>
    <n v="54"/>
  </r>
  <r>
    <n v="850"/>
    <x v="2"/>
    <x v="201"/>
    <s v="eth1/7"/>
    <x v="0"/>
    <x v="0"/>
    <x v="0"/>
    <s v="LINK_TO_ITHFHWCRMPLCN152 / Slot7.3_38 / Redundante"/>
    <x v="0"/>
    <b v="0"/>
    <s v="No está en VPC"/>
    <n v="850"/>
    <s v="INTPG_ACC_850_1.7"/>
    <s v="ISEL-1.7"/>
    <n v="1"/>
    <s v="NO TIENE L3OUT"/>
    <n v="288"/>
    <n v="54"/>
  </r>
  <r>
    <n v="860"/>
    <x v="2"/>
    <x v="202"/>
    <s v="eth1/7"/>
    <x v="0"/>
    <x v="0"/>
    <x v="0"/>
    <s v="To_VPC_2DCBSD_HD25_1"/>
    <x v="0"/>
    <b v="0"/>
    <s v="No está en VPC"/>
    <n v="860"/>
    <s v="INTPG_VPC_860_1.7_865_1.7"/>
    <s v="ISEL-1.7"/>
    <n v="2"/>
    <s v="NO TIENE L3OUT"/>
    <n v="0"/>
    <n v="54"/>
  </r>
  <r>
    <n v="853"/>
    <x v="2"/>
    <x v="203"/>
    <s v="eth1/7"/>
    <x v="0"/>
    <x v="0"/>
    <x v="0"/>
    <s v="LINK_TO_ITHHWD6KV65100011DKC01 / CTMA_IOM1.P1_34 / Redundante"/>
    <x v="0"/>
    <b v="0"/>
    <s v="No está en VPC"/>
    <n v="853"/>
    <s v="INTPG_ACC_853_1.7"/>
    <s v="ISEL-1.7"/>
    <n v="1"/>
    <s v="NO TIENE L3OUT"/>
    <n v="242"/>
    <n v="54"/>
  </r>
  <r>
    <n v="790"/>
    <x v="2"/>
    <x v="204"/>
    <s v="eth1/7"/>
    <x v="0"/>
    <x v="0"/>
    <x v="0"/>
    <s v="LINK_TO_ITHEMCPS5200TWPT3 / Nodo B IOM 1.2_05 / Principal"/>
    <x v="0"/>
    <b v="0"/>
    <s v="No está en VPC"/>
    <n v="790"/>
    <s v="INTPG_ACC_790_1.7"/>
    <s v="ISEL-1.7"/>
    <n v="2"/>
    <s v="NO TIENE L3OUT"/>
    <n v="20"/>
    <n v="54"/>
  </r>
  <r>
    <n v="105"/>
    <x v="0"/>
    <x v="205"/>
    <s v="eth1/7"/>
    <x v="0"/>
    <x v="1"/>
    <x v="1"/>
    <s v="DESC"/>
    <x v="6"/>
    <b v="0"/>
    <s v="No está en VPC"/>
    <n v="105"/>
    <s v="INTPG_PC_105_1.6-12_38"/>
    <s v="ISEL-1.7"/>
    <n v="17"/>
    <s v="NO TIENE L3OUT"/>
    <n v="106"/>
    <n v="96"/>
  </r>
  <r>
    <n v="117"/>
    <x v="0"/>
    <x v="206"/>
    <s v="eth1/7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7"/>
    <x v="0"/>
    <x v="1"/>
    <x v="1"/>
    <s v="SFLDI"/>
    <x v="6"/>
    <b v="0"/>
    <s v="No está en VPC"/>
    <n v="104"/>
    <s v="INTPG_ACC_104_1.7"/>
    <s v="ISEL-1.7"/>
    <n v="1"/>
    <s v="NO TIENE L3OUT"/>
    <n v="194"/>
    <n v="96"/>
  </r>
  <r>
    <n v="158"/>
    <x v="0"/>
    <x v="208"/>
    <s v="eth1/7"/>
    <x v="1"/>
    <x v="1"/>
    <x v="2"/>
    <s v="RED CRICKET"/>
    <x v="6"/>
    <b v="0"/>
    <s v="No está en VPC"/>
    <n v="158"/>
    <s v="INTPG_ACC_158_1.7"/>
    <s v="ISEL-1.7"/>
    <n v="1"/>
    <s v="NO TIENE L3OUT"/>
    <n v="30"/>
    <n v="96"/>
  </r>
  <r>
    <n v="875"/>
    <x v="2"/>
    <x v="209"/>
    <s v="eth1/7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7"/>
    <x v="0"/>
    <x v="0"/>
    <x v="0"/>
    <s v="HACIA_CSI-B-OSCP-F4-11_PRIMARIO"/>
    <x v="4"/>
    <b v="0"/>
    <s v="No está en VPC"/>
    <n v="879"/>
    <s v="INTPG_VPC_878_1.7_879_1.7"/>
    <s v="ISEL-1.7"/>
    <n v="2"/>
    <s v="NO TIENE L3OUT"/>
    <n v="0"/>
    <n v="54"/>
  </r>
  <r>
    <n v="108"/>
    <x v="0"/>
    <x v="211"/>
    <s v="eth1/7"/>
    <x v="0"/>
    <x v="0"/>
    <x v="0"/>
    <s v="ZSMART"/>
    <x v="6"/>
    <b v="0"/>
    <s v="No está en VPC"/>
    <n v="108"/>
    <s v="INTPG_ACC_108_1.7"/>
    <s v="ISEL-1.7"/>
    <n v="1"/>
    <s v="NO TIENE L3OUT"/>
    <n v="126"/>
    <n v="96"/>
  </r>
  <r>
    <n v="112"/>
    <x v="0"/>
    <x v="212"/>
    <s v="eth1/7"/>
    <x v="0"/>
    <x v="0"/>
    <x v="0"/>
    <s v="CFD"/>
    <x v="6"/>
    <b v="0"/>
    <s v="No está en VPC"/>
    <n v="112"/>
    <s v="INTPG_ACC_112_1.7"/>
    <s v="ISEL-1.7"/>
    <n v="1"/>
    <s v="NO TIENE L3OUT"/>
    <n v="144"/>
    <n v="96"/>
  </r>
  <r>
    <n v="107"/>
    <x v="0"/>
    <x v="213"/>
    <s v="eth1/7"/>
    <x v="0"/>
    <x v="1"/>
    <x v="1"/>
    <s v="OPEN VIEW BACK FASE2_1"/>
    <x v="6"/>
    <b v="0"/>
    <s v="No está en VPC"/>
    <n v="107"/>
    <s v="INTPG_ACC_107_1.7"/>
    <s v="ISEL-1.7"/>
    <n v="1"/>
    <s v="NO TIENE L3OUT"/>
    <n v="118"/>
    <n v="96"/>
  </r>
  <r>
    <n v="109"/>
    <x v="0"/>
    <x v="214"/>
    <s v="eth1/7"/>
    <x v="0"/>
    <x v="0"/>
    <x v="0"/>
    <m/>
    <x v="6"/>
    <b v="0"/>
    <s v="No está en VPC"/>
    <n v="109"/>
    <s v="INTPG_ACC_109_1.7"/>
    <s v="ISEL-1.7"/>
    <n v="1"/>
    <s v="NO TIENE L3OUT"/>
    <n v="126"/>
    <n v="96"/>
  </r>
  <r>
    <n v="113"/>
    <x v="0"/>
    <x v="215"/>
    <s v="eth1/7"/>
    <x v="0"/>
    <x v="0"/>
    <x v="0"/>
    <s v="sfecpt01_1"/>
    <x v="6"/>
    <b v="0"/>
    <s v="No está en VPC"/>
    <n v="113"/>
    <s v="INTPG_VPC_113_1.7_115_1.6"/>
    <s v="ISEL-1.7"/>
    <n v="1"/>
    <s v="NO TIENE L3OUT"/>
    <n v="52"/>
    <n v="96"/>
  </r>
  <r>
    <n v="114"/>
    <x v="0"/>
    <x v="216"/>
    <s v="eth1/7"/>
    <x v="0"/>
    <x v="1"/>
    <x v="1"/>
    <s v="NPG_1"/>
    <x v="6"/>
    <b v="0"/>
    <s v="No está en VPC"/>
    <n v="114"/>
    <s v="INTPG_ACC_114_1.7"/>
    <s v="ISEL-1.7"/>
    <n v="1"/>
    <s v="NO TIENE L3OUT"/>
    <n v="144"/>
    <n v="96"/>
  </r>
  <r>
    <n v="124"/>
    <x v="0"/>
    <x v="217"/>
    <s v="eth1/7"/>
    <x v="0"/>
    <x v="0"/>
    <x v="0"/>
    <s v="GSM_ENIQ_MTY"/>
    <x v="6"/>
    <b v="0"/>
    <s v="No está en VPC"/>
    <n v="124"/>
    <s v="INTPG_VPC_124_1.7_125_1.12"/>
    <s v="ISEL-1.7"/>
    <n v="10"/>
    <s v="NO TIENE L3OUT"/>
    <n v="80"/>
    <n v="96"/>
  </r>
  <r>
    <n v="118"/>
    <x v="0"/>
    <x v="218"/>
    <s v="eth1/7"/>
    <x v="0"/>
    <x v="0"/>
    <x v="0"/>
    <s v="COBROS NAVEGACION"/>
    <x v="6"/>
    <b v="0"/>
    <s v="No está en VPC"/>
    <n v="118"/>
    <s v="INTPG_ACC_118_1.7"/>
    <s v="ISEL-1.7"/>
    <n v="1"/>
    <s v="NO TIENE L3OUT"/>
    <n v="180"/>
    <n v="96"/>
  </r>
  <r>
    <n v="159"/>
    <x v="0"/>
    <x v="219"/>
    <s v="eth1/7"/>
    <x v="0"/>
    <x v="1"/>
    <x v="1"/>
    <s v="TRAP"/>
    <x v="6"/>
    <b v="0"/>
    <s v="No está en VPC"/>
    <n v="159"/>
    <s v="INTPG_PC_159_1.2-7"/>
    <s v="ISEL-1.7"/>
    <n v="12"/>
    <s v="NO TIENE L3OUT"/>
    <n v="72"/>
    <n v="96"/>
  </r>
  <r>
    <n v="840"/>
    <x v="2"/>
    <x v="220"/>
    <s v="eth1/7"/>
    <x v="0"/>
    <x v="0"/>
    <x v="0"/>
    <s v="LINK_TO_ITHFHWCBSPSWR56 / Slot7.1_24 / Redundante"/>
    <x v="0"/>
    <b v="0"/>
    <s v="No está en VPC"/>
    <n v="840"/>
    <s v="INTPG_VPC_835_1.7_840_1.7"/>
    <s v="ISEL-1.7"/>
    <n v="2"/>
    <s v="NO TIENE L3OUT"/>
    <n v="8"/>
    <n v="54"/>
  </r>
  <r>
    <n v="856"/>
    <x v="2"/>
    <x v="221"/>
    <s v="eth1/7"/>
    <x v="0"/>
    <x v="0"/>
    <x v="0"/>
    <s v="LINK_TO_ITHFHWCRMPLCN136 / Slot1.3_6 / Principal"/>
    <x v="0"/>
    <b v="0"/>
    <s v="No está en VPC"/>
    <n v="856"/>
    <s v="INTPG_ACC_856_1.7"/>
    <s v="ISEL-1.7"/>
    <n v="1"/>
    <s v="NO TIENE L3OUT"/>
    <n v="286"/>
    <n v="54"/>
  </r>
  <r>
    <n v="110"/>
    <x v="0"/>
    <x v="222"/>
    <s v="eth1/7"/>
    <x v="0"/>
    <x v="0"/>
    <x v="0"/>
    <m/>
    <x v="6"/>
    <b v="0"/>
    <s v="No está en VPC"/>
    <n v="110"/>
    <s v="INTPG_ACC_110_1.7"/>
    <s v="ISEL-1.7"/>
    <n v="1"/>
    <s v="NO TIENE L3OUT"/>
    <n v="102"/>
    <n v="96"/>
  </r>
  <r>
    <n v="163"/>
    <x v="0"/>
    <x v="223"/>
    <s v="eth1/7"/>
    <x v="0"/>
    <x v="0"/>
    <x v="0"/>
    <s v="IBM SICOD"/>
    <x v="6"/>
    <b v="0"/>
    <s v="No está en VPC"/>
    <n v="163"/>
    <s v="INTPG_ACC_163_1.7"/>
    <s v="ISEL-1.7"/>
    <n v="1"/>
    <s v="NO TIENE L3OUT"/>
    <n v="140"/>
    <n v="96"/>
  </r>
  <r>
    <n v="407"/>
    <x v="1"/>
    <x v="224"/>
    <s v="eth1/7"/>
    <x v="0"/>
    <x v="0"/>
    <x v="0"/>
    <s v="RLR2ARI01_ilo"/>
    <x v="6"/>
    <b v="0"/>
    <s v="No está en VPC"/>
    <n v="407"/>
    <s v="INTPG_ACC_407_1.7"/>
    <s v="ISEL-1.7"/>
    <n v="1"/>
    <s v="NO TIENE L3OUT"/>
    <n v="122"/>
    <n v="96"/>
  </r>
  <r>
    <n v="171"/>
    <x v="0"/>
    <x v="225"/>
    <s v="eth1/7"/>
    <x v="0"/>
    <x v="1"/>
    <x v="1"/>
    <s v="OSS 3G 12.2 DATOS "/>
    <x v="6"/>
    <b v="0"/>
    <s v="No está en VPC"/>
    <n v="171"/>
    <s v="INTPG_ACC_171_1.7"/>
    <s v="ISEL-1.7"/>
    <n v="1"/>
    <s v="NO TIENE L3OUT"/>
    <n v="114"/>
    <n v="96"/>
  </r>
  <r>
    <n v="421"/>
    <x v="1"/>
    <x v="226"/>
    <s v="eth1/7"/>
    <x v="0"/>
    <x v="0"/>
    <x v="0"/>
    <s v="DESC"/>
    <x v="6"/>
    <b v="0"/>
    <s v="No está en VPC"/>
    <n v="421"/>
    <s v="INTPG_PC_421_7-8"/>
    <s v="ISEL-1.7"/>
    <n v="1"/>
    <s v="NO TIENE L3OUT"/>
    <n v="72"/>
    <n v="96"/>
  </r>
  <r>
    <n v="173"/>
    <x v="0"/>
    <x v="227"/>
    <s v="eth1/7"/>
    <x v="0"/>
    <x v="0"/>
    <x v="0"/>
    <s v="U2000_IPRAN"/>
    <x v="6"/>
    <b v="0"/>
    <s v="No está en VPC"/>
    <n v="173"/>
    <s v="INTPG_ACC_173_1.7"/>
    <s v="ISEL-1.7"/>
    <n v="1"/>
    <s v="NO TIENE L3OUT"/>
    <n v="66"/>
    <n v="96"/>
  </r>
  <r>
    <n v="154"/>
    <x v="0"/>
    <x v="228"/>
    <s v="eth1/7"/>
    <x v="0"/>
    <x v="1"/>
    <x v="1"/>
    <m/>
    <x v="6"/>
    <b v="0"/>
    <s v="No está en VPC"/>
    <n v="154"/>
    <s v="INTPG_ACC_154_1.7"/>
    <s v="ISEL-1.7"/>
    <n v="1"/>
    <s v="NO TIENE L3OUT"/>
    <n v="62"/>
    <n v="96"/>
  </r>
  <r>
    <n v="172"/>
    <x v="0"/>
    <x v="229"/>
    <s v="eth1/7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7"/>
    <x v="0"/>
    <x v="0"/>
    <x v="0"/>
    <s v="IXTAI7"/>
    <x v="6"/>
    <b v="0"/>
    <s v="No está en VPC"/>
    <n v="420"/>
    <s v="INTPG_ACC_420_1.7"/>
    <s v="ISEL-1.7"/>
    <n v="1"/>
    <s v="NO TIENE L3OUT"/>
    <n v="158"/>
    <n v="96"/>
  </r>
  <r>
    <n v="423"/>
    <x v="1"/>
    <x v="231"/>
    <s v="eth1/7"/>
    <x v="0"/>
    <x v="0"/>
    <x v="0"/>
    <s v="ITHPA01_eth0_IPMP-Activa"/>
    <x v="6"/>
    <b v="0"/>
    <s v="No está en VPC"/>
    <n v="423"/>
    <s v="INTPG_ACC_423_1.7"/>
    <s v="ISEL-1.7"/>
    <n v="1"/>
    <s v="NO TIENE L3OUT"/>
    <n v="86"/>
    <n v="96"/>
  </r>
  <r>
    <n v="415"/>
    <x v="1"/>
    <x v="232"/>
    <s v="eth1/7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7"/>
    <x v="0"/>
    <x v="1"/>
    <x v="1"/>
    <s v="SFLDI:RLDICDR05:1"/>
    <x v="6"/>
    <b v="0"/>
    <s v="No está en VPC"/>
    <n v="102"/>
    <s v="INTPG_ACC_102_1.7"/>
    <s v="ISEL-1.7"/>
    <n v="1"/>
    <s v="NO TIENE L3OUT"/>
    <n v="228"/>
    <n v="96"/>
  </r>
  <r>
    <n v="863"/>
    <x v="2"/>
    <x v="234"/>
    <s v="eth1/7"/>
    <x v="0"/>
    <x v="0"/>
    <x v="0"/>
    <s v="To_VPC_2DCBSD_HD39_1"/>
    <x v="0"/>
    <b v="0"/>
    <s v="No está en VPC"/>
    <n v="863"/>
    <s v="INTPG_VPC_858_1.7_863_1.7"/>
    <s v="ISEL-1.7"/>
    <n v="2"/>
    <s v="NO TIENE L3OUT"/>
    <n v="8"/>
    <n v="54"/>
  </r>
  <r>
    <n v="876"/>
    <x v="2"/>
    <x v="235"/>
    <s v="eth1/7"/>
    <x v="0"/>
    <x v="0"/>
    <x v="0"/>
    <s v="LINK_TO_ITHFHWSEQLCAS30 / Slot 4 PTO 1 / Principal"/>
    <x v="4"/>
    <b v="0"/>
    <s v="No está en VPC"/>
    <n v="876"/>
    <s v="INTPG_ACC_876_1.7"/>
    <s v="ISEL-1.7"/>
    <n v="1"/>
    <s v="NO TIENE L3OUT"/>
    <n v="92"/>
    <n v="54"/>
  </r>
  <r>
    <n v="877"/>
    <x v="2"/>
    <x v="236"/>
    <s v="eth1/7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7"/>
    <x v="0"/>
    <x v="0"/>
    <x v="0"/>
    <s v="DESC"/>
    <x v="6"/>
    <b v="0"/>
    <s v="No está en VPC"/>
    <n v="122"/>
    <s v="INTPG_PC_122_1.4-8"/>
    <s v="ISEL-1.7"/>
    <n v="1"/>
    <s v="NO TIENE L3OUT"/>
    <n v="148"/>
    <n v="96"/>
  </r>
  <r>
    <n v="157"/>
    <x v="0"/>
    <x v="238"/>
    <s v="eth1/7"/>
    <x v="0"/>
    <x v="0"/>
    <x v="0"/>
    <s v="COBROS NAVEGACION"/>
    <x v="6"/>
    <b v="0"/>
    <s v="No está en VPC"/>
    <n v="157"/>
    <s v="INTPG_ACC_157_1.7"/>
    <s v="ISEL-1.7"/>
    <n v="1"/>
    <s v="NO TIENE L3OUT"/>
    <n v="202"/>
    <n v="96"/>
  </r>
  <r>
    <n v="408"/>
    <x v="1"/>
    <x v="239"/>
    <s v="eth1/7"/>
    <x v="0"/>
    <x v="1"/>
    <x v="1"/>
    <s v="Suspend5"/>
    <x v="6"/>
    <b v="0"/>
    <s v="No está en VPC"/>
    <n v="408"/>
    <s v="INTPG_ACC_408_1.7"/>
    <s v="ISEL-1.7"/>
    <n v="1"/>
    <s v="NO TIENE L3OUT"/>
    <n v="152"/>
    <n v="96"/>
  </r>
  <r>
    <n v="405"/>
    <x v="1"/>
    <x v="240"/>
    <s v="eth1/7"/>
    <x v="0"/>
    <x v="0"/>
    <x v="0"/>
    <s v="IXT_ARIESO4_LDR7"/>
    <x v="6"/>
    <b v="0"/>
    <s v="No está en VPC"/>
    <n v="405"/>
    <s v="INTPG_ACC_405_1.7"/>
    <s v="ISEL-1.7"/>
    <n v="1"/>
    <s v="NO TIENE L3OUT"/>
    <n v="138"/>
    <n v="96"/>
  </r>
  <r>
    <n v="169"/>
    <x v="0"/>
    <x v="241"/>
    <s v="eth1/7"/>
    <x v="0"/>
    <x v="0"/>
    <x v="0"/>
    <s v="LINKDOWN_HACIA_UCS_9UCS-IXTLA-SERV1"/>
    <x v="6"/>
    <b v="0"/>
    <s v="No está en VPC"/>
    <n v="169"/>
    <s v="INTPG_ACC_169_1.7"/>
    <s v="ISEL-1.7"/>
    <n v="1"/>
    <s v="NO TIENE L3OUT"/>
    <n v="76"/>
    <n v="96"/>
  </r>
  <r>
    <n v="165"/>
    <x v="0"/>
    <x v="242"/>
    <s v="eth1/7"/>
    <x v="0"/>
    <x v="0"/>
    <x v="0"/>
    <s v="Nomina"/>
    <x v="6"/>
    <b v="0"/>
    <s v="No está en VPC"/>
    <n v="165"/>
    <s v="INTPG_ACC_165_1.7"/>
    <s v="ISEL-1.7"/>
    <n v="1"/>
    <s v="NO TIENE L3OUT"/>
    <n v="86"/>
    <n v="96"/>
  </r>
  <r>
    <n v="417"/>
    <x v="1"/>
    <x v="243"/>
    <s v="eth1/7"/>
    <x v="0"/>
    <x v="0"/>
    <x v="0"/>
    <s v="ixtnpscol01"/>
    <x v="6"/>
    <b v="0"/>
    <s v="No está en VPC"/>
    <n v="417"/>
    <s v="INTPG_ACC_417_1.7"/>
    <s v="ISEL-1.7"/>
    <n v="1"/>
    <s v="NO TIENE L3OUT"/>
    <n v="56"/>
    <n v="96"/>
  </r>
  <r>
    <n v="153"/>
    <x v="0"/>
    <x v="244"/>
    <s v="eth1/7"/>
    <x v="0"/>
    <x v="0"/>
    <x v="0"/>
    <s v="TO-ITHFDENBURBKP02(IXTFDLBKP5RAP)-REDUNDANTE"/>
    <x v="6"/>
    <b v="0"/>
    <s v="No está en VPC"/>
    <n v="153"/>
    <s v="INTPG_ACC_153_1.7"/>
    <s v="ISEL-1.7"/>
    <n v="0"/>
    <s v="NO TIENE L3OUT"/>
    <n v="42"/>
    <n v="96"/>
  </r>
  <r>
    <n v="119"/>
    <x v="0"/>
    <x v="245"/>
    <s v="eth1/7"/>
    <x v="0"/>
    <x v="0"/>
    <x v="0"/>
    <s v="DCX_BKP1_BPK2_S1"/>
    <x v="6"/>
    <b v="0"/>
    <s v="No está en VPC"/>
    <n v="119"/>
    <s v="INTPG_ACC_119_1.7"/>
    <s v="ISEL-1.7"/>
    <n v="1"/>
    <s v="NO TIENE L3OUT"/>
    <n v="70"/>
    <n v="96"/>
  </r>
  <r>
    <n v="156"/>
    <x v="0"/>
    <x v="246"/>
    <s v="eth1/7"/>
    <x v="1"/>
    <x v="1"/>
    <x v="2"/>
    <s v="RED CRICKET"/>
    <x v="6"/>
    <b v="0"/>
    <s v="No está en VPC"/>
    <n v="156"/>
    <s v="INTPG_ACC_156_1.7"/>
    <s v="ISEL-1.7"/>
    <n v="1"/>
    <s v="NO TIENE L3OUT"/>
    <n v="40"/>
    <n v="96"/>
  </r>
  <r>
    <n v="103"/>
    <x v="0"/>
    <x v="247"/>
    <s v="eth1/7"/>
    <x v="0"/>
    <x v="0"/>
    <x v="0"/>
    <s v="DESC"/>
    <x v="6"/>
    <b v="0"/>
    <s v="No está en VPC"/>
    <n v="103"/>
    <s v="INTPG_PC_103_1.7-9"/>
    <s v="ISEL-1.7"/>
    <n v="2"/>
    <s v="NO TIENE L3OUT"/>
    <n v="70"/>
    <n v="96"/>
  </r>
  <r>
    <n v="438"/>
    <x v="1"/>
    <x v="248"/>
    <s v="eth1/7"/>
    <x v="0"/>
    <x v="0"/>
    <x v="0"/>
    <s v="uxdxdb01(RENACE)"/>
    <x v="6"/>
    <b v="0"/>
    <s v="No está en VPC"/>
    <n v="438"/>
    <s v="INTPG_ACC_438_1.7"/>
    <s v="ISEL-1.7"/>
    <n v="1"/>
    <s v="NO TIENE L3OUT"/>
    <n v="170"/>
    <n v="96"/>
  </r>
  <r>
    <n v="406"/>
    <x v="1"/>
    <x v="249"/>
    <s v="eth1/7"/>
    <x v="0"/>
    <x v="0"/>
    <x v="0"/>
    <s v="DESC"/>
    <x v="6"/>
    <b v="0"/>
    <s v="No está en VPC"/>
    <n v="406"/>
    <s v="INTPG_PC_406_1.7-8"/>
    <s v="ISEL-1.7"/>
    <n v="1"/>
    <s v="NO TIENE L3OUT"/>
    <n v="82"/>
    <n v="96"/>
  </r>
  <r>
    <n v="414"/>
    <x v="1"/>
    <x v="250"/>
    <s v="eth1/7"/>
    <x v="0"/>
    <x v="0"/>
    <x v="0"/>
    <s v="9UCS-IXTLA-WEBEX-SERV2"/>
    <x v="6"/>
    <b v="0"/>
    <s v="No está en VPC"/>
    <n v="414"/>
    <s v="INTPG_ACC_414_1.7"/>
    <s v="ISEL-1.7"/>
    <n v="1"/>
    <s v="NO TIENE L3OUT"/>
    <n v="144"/>
    <n v="96"/>
  </r>
  <r>
    <n v="416"/>
    <x v="1"/>
    <x v="251"/>
    <s v="eth1/7"/>
    <x v="0"/>
    <x v="0"/>
    <x v="0"/>
    <s v="sfmedp42-MEDVOZ_CLIENT5"/>
    <x v="6"/>
    <b v="0"/>
    <s v="No está en VPC"/>
    <n v="416"/>
    <s v="INTPG_VPC_416_1.7_418_1.7"/>
    <s v="ISEL-1.7"/>
    <n v="1"/>
    <s v="NO TIENE L3OUT"/>
    <n v="110"/>
    <n v="96"/>
  </r>
  <r>
    <n v="418"/>
    <x v="1"/>
    <x v="252"/>
    <s v="eth1/7"/>
    <x v="0"/>
    <x v="0"/>
    <x v="0"/>
    <s v="sfmedp42-MEDVOZ_CLIENT5"/>
    <x v="6"/>
    <b v="0"/>
    <s v="No está en VPC"/>
    <n v="418"/>
    <s v="INTPG_VPC_416_1.7_418_1.7"/>
    <s v="ISEL-1.7"/>
    <n v="1"/>
    <s v="NO TIENE L3OUT"/>
    <n v="152"/>
    <n v="96"/>
  </r>
  <r>
    <n v="413"/>
    <x v="1"/>
    <x v="253"/>
    <s v="eth1/7"/>
    <x v="0"/>
    <x v="0"/>
    <x v="0"/>
    <s v="DESC"/>
    <x v="6"/>
    <b v="0"/>
    <s v="No está en VPC"/>
    <n v="413"/>
    <s v="INTPG_PC_413_1.5-8"/>
    <s v="ISEL-1.7"/>
    <n v="1"/>
    <s v="NO TIENE L3OUT"/>
    <n v="126"/>
    <n v="96"/>
  </r>
  <r>
    <n v="403"/>
    <x v="1"/>
    <x v="254"/>
    <s v="eth1/7"/>
    <x v="0"/>
    <x v="0"/>
    <x v="0"/>
    <s v="IXT_ARIESO4_LDR7"/>
    <x v="6"/>
    <b v="0"/>
    <s v="No está en VPC"/>
    <n v="403"/>
    <s v="INTPG_ACC_403_1.7"/>
    <s v="ISEL-1.7"/>
    <n v="1"/>
    <s v="NO TIENE L3OUT"/>
    <n v="150"/>
    <n v="96"/>
  </r>
  <r>
    <n v="125"/>
    <x v="0"/>
    <x v="255"/>
    <s v="eth1/7"/>
    <x v="0"/>
    <x v="0"/>
    <x v="0"/>
    <s v="GSM_OSS_MEX_R9"/>
    <x v="6"/>
    <b v="0"/>
    <s v="No está en VPC"/>
    <n v="125"/>
    <s v="INTPG_ACC_125_1.7"/>
    <s v="ISEL-1.7"/>
    <n v="1"/>
    <s v="NO TIENE L3OUT"/>
    <n v="72"/>
    <n v="96"/>
  </r>
  <r>
    <n v="166"/>
    <x v="0"/>
    <x v="256"/>
    <s v="eth1/7"/>
    <x v="0"/>
    <x v="0"/>
    <x v="0"/>
    <s v="Nomina"/>
    <x v="6"/>
    <b v="0"/>
    <s v="No está en VPC"/>
    <n v="166"/>
    <s v="INTPG_ACC_166_1.7"/>
    <s v="ISEL-1.7"/>
    <n v="1"/>
    <s v="NO TIENE L3OUT"/>
    <n v="84"/>
    <n v="96"/>
  </r>
  <r>
    <n v="111"/>
    <x v="0"/>
    <x v="257"/>
    <s v="eth1/7"/>
    <x v="1"/>
    <x v="1"/>
    <x v="2"/>
    <m/>
    <x v="6"/>
    <b v="0"/>
    <s v="No está en VPC"/>
    <n v="111"/>
    <s v="INTPG_ACC_111_1.7"/>
    <s v="ISEL-1.7"/>
    <n v="0"/>
    <s v="NO TIENE L3OUT"/>
    <n v="58"/>
    <n v="96"/>
  </r>
  <r>
    <n v="115"/>
    <x v="0"/>
    <x v="258"/>
    <s v="eth1/7"/>
    <x v="0"/>
    <x v="0"/>
    <x v="0"/>
    <m/>
    <x v="6"/>
    <b v="0"/>
    <s v="No está en VPC"/>
    <n v="115"/>
    <s v="NO EXISTE PG"/>
    <s v="NO EXISTE ISEL"/>
    <n v="1"/>
    <s v="NO TIENE L3OUT"/>
    <n v="42"/>
    <n v="96"/>
  </r>
  <r>
    <n v="106"/>
    <x v="0"/>
    <x v="259"/>
    <s v="eth1/7"/>
    <x v="0"/>
    <x v="0"/>
    <x v="0"/>
    <s v="COGNOS"/>
    <x v="6"/>
    <b v="0"/>
    <s v="No está en VPC"/>
    <n v="106"/>
    <s v="INTPG_ACC_106_1.7"/>
    <s v="ISEL-1.7"/>
    <n v="1"/>
    <s v="NO TIENE L3OUT"/>
    <n v="122"/>
    <n v="96"/>
  </r>
  <r>
    <n v="126"/>
    <x v="0"/>
    <x v="260"/>
    <s v="eth1/7"/>
    <x v="0"/>
    <x v="1"/>
    <x v="1"/>
    <s v="U2000_IPRAN"/>
    <x v="6"/>
    <b v="0"/>
    <s v="No está en VPC"/>
    <n v="126"/>
    <s v="INTPG_ACC_126_1.7"/>
    <s v="ISEL-1.7"/>
    <n v="1"/>
    <s v="NO TIENE L3OUT"/>
    <n v="54"/>
    <n v="96"/>
  </r>
  <r>
    <n v="425"/>
    <x v="1"/>
    <x v="261"/>
    <s v="eth1/7"/>
    <x v="0"/>
    <x v="1"/>
    <x v="1"/>
    <s v="VTA_uxvta073_Net0"/>
    <x v="6"/>
    <b v="0"/>
    <s v="No está en VPC"/>
    <n v="425"/>
    <s v="INTPG_ACC_425_1.7"/>
    <s v="ISEL-1.7"/>
    <n v="1"/>
    <s v="NO TIENE L3OUT"/>
    <n v="86"/>
    <n v="96"/>
  </r>
  <r>
    <n v="151"/>
    <x v="0"/>
    <x v="262"/>
    <s v="eth1/7"/>
    <x v="0"/>
    <x v="1"/>
    <x v="1"/>
    <s v="OSS MEX GSM M"/>
    <x v="6"/>
    <b v="0"/>
    <s v="No está en VPC"/>
    <n v="151"/>
    <s v="INTPG_ACC_151_1.7"/>
    <s v="ISEL-1.7"/>
    <n v="1"/>
    <s v="NO TIENE L3OUT"/>
    <n v="86"/>
    <n v="96"/>
  </r>
  <r>
    <n v="430"/>
    <x v="1"/>
    <x v="263"/>
    <s v="eth1/7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7"/>
    <x v="0"/>
    <x v="0"/>
    <x v="0"/>
    <s v="DESC"/>
    <x v="6"/>
    <b v="0"/>
    <s v="No está en VPC"/>
    <n v="419"/>
    <s v="INTPG_PC_419_7-8"/>
    <s v="ISEL-1.7"/>
    <n v="1"/>
    <s v="NO TIENE L3OUT"/>
    <n v="70"/>
    <n v="96"/>
  </r>
  <r>
    <n v="155"/>
    <x v="0"/>
    <x v="265"/>
    <s v="eth1/7"/>
    <x v="0"/>
    <x v="0"/>
    <x v="0"/>
    <s v="UXINGE"/>
    <x v="6"/>
    <b v="0"/>
    <s v="No está en VPC"/>
    <n v="155"/>
    <s v="INTPG_ACC_155_1.7"/>
    <s v="ISEL-1.7"/>
    <n v="1"/>
    <s v="NO TIENE L3OUT"/>
    <n v="198"/>
    <n v="96"/>
  </r>
  <r>
    <n v="409"/>
    <x v="1"/>
    <x v="266"/>
    <s v="eth1/7"/>
    <x v="0"/>
    <x v="0"/>
    <x v="0"/>
    <s v="RLR2ARI06_ilo"/>
    <x v="6"/>
    <b v="0"/>
    <s v="No está en VPC"/>
    <n v="409"/>
    <s v="INTPG_ACC_409_1.7"/>
    <s v="ISEL-1.7"/>
    <n v="1"/>
    <s v="NO TIENE L3OUT"/>
    <n v="128"/>
    <n v="96"/>
  </r>
  <r>
    <n v="422"/>
    <x v="1"/>
    <x v="267"/>
    <s v="eth1/7"/>
    <x v="0"/>
    <x v="0"/>
    <x v="0"/>
    <s v="B6200A_MGMT_2"/>
    <x v="6"/>
    <b v="0"/>
    <s v="No está en VPC"/>
    <n v="422"/>
    <s v="INTPG_ACC_422_1.7"/>
    <s v="ISEL-1.7"/>
    <n v="1"/>
    <s v="NO TIENE L3OUT"/>
    <n v="182"/>
    <n v="96"/>
  </r>
  <r>
    <n v="436"/>
    <x v="1"/>
    <x v="268"/>
    <s v="eth1/7"/>
    <x v="0"/>
    <x v="0"/>
    <x v="0"/>
    <s v="uxdxdb01(RENACE)"/>
    <x v="6"/>
    <b v="0"/>
    <s v="No está en VPC"/>
    <n v="436"/>
    <s v="INTPG_ACC_436_1.7"/>
    <s v="ISEL-1.7"/>
    <n v="1"/>
    <s v="NO TIENE L3OUT"/>
    <n v="172"/>
    <n v="96"/>
  </r>
  <r>
    <n v="410"/>
    <x v="1"/>
    <x v="269"/>
    <s v="eth1/7"/>
    <x v="0"/>
    <x v="1"/>
    <x v="1"/>
    <s v="NEC Femtocel NMS"/>
    <x v="6"/>
    <b v="0"/>
    <s v="No está en VPC"/>
    <n v="410"/>
    <s v="INTPG_ACC_410_1.7"/>
    <s v="ISEL-1.7"/>
    <n v="1"/>
    <s v="NO TIENE L3OUT"/>
    <n v="178"/>
    <n v="96"/>
  </r>
  <r>
    <n v="161"/>
    <x v="0"/>
    <x v="270"/>
    <s v="eth1/7"/>
    <x v="1"/>
    <x v="1"/>
    <x v="2"/>
    <s v="IBM SICOD"/>
    <x v="6"/>
    <b v="0"/>
    <s v="No está en VPC"/>
    <n v="161"/>
    <s v="INTPG_ACC_161_1.7"/>
    <s v="ISEL-1.7"/>
    <n v="0"/>
    <s v="NO TIENE L3OUT"/>
    <n v="102"/>
    <n v="96"/>
  </r>
  <r>
    <n v="411"/>
    <x v="1"/>
    <x v="271"/>
    <s v="eth1/7"/>
    <x v="0"/>
    <x v="0"/>
    <x v="0"/>
    <s v="DESC"/>
    <x v="6"/>
    <b v="0"/>
    <s v="No está en VPC"/>
    <n v="411"/>
    <s v="INTPG_PC_411_1.5-8"/>
    <s v="ISEL-1.7"/>
    <n v="1"/>
    <s v="NO TIENE L3OUT"/>
    <n v="96"/>
    <n v="96"/>
  </r>
  <r>
    <n v="116"/>
    <x v="0"/>
    <x v="272"/>
    <s v="eth1/7"/>
    <x v="1"/>
    <x v="1"/>
    <x v="2"/>
    <s v="DESC"/>
    <x v="6"/>
    <b v="0"/>
    <s v="No está en VPC"/>
    <n v="116"/>
    <s v="INTPG_PC_116_1.6-7"/>
    <s v="ISEL-1.7"/>
    <n v="0"/>
    <s v="NO TIENE L3OUT"/>
    <n v="148"/>
    <n v="96"/>
  </r>
  <r>
    <n v="412"/>
    <x v="1"/>
    <x v="273"/>
    <s v="eth1/7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7"/>
    <x v="0"/>
    <x v="0"/>
    <x v="0"/>
    <s v="TemipAMX1"/>
    <x v="6"/>
    <b v="0"/>
    <s v="No está en VPC"/>
    <n v="120"/>
    <s v="INTPG_PC_120_1.4-8"/>
    <s v="ISEL-1.7"/>
    <n v="1"/>
    <s v="NO TIENE L3OUT"/>
    <n v="158"/>
    <n v="96"/>
  </r>
  <r>
    <n v="404"/>
    <x v="1"/>
    <x v="275"/>
    <s v="eth1/7"/>
    <x v="0"/>
    <x v="0"/>
    <x v="0"/>
    <s v="DESC"/>
    <x v="6"/>
    <b v="0"/>
    <s v="No está en VPC"/>
    <n v="404"/>
    <s v="INTPG_PC_404_1.7-8"/>
    <s v="ISEL-1.7"/>
    <n v="1"/>
    <s v="NO TIENE L3OUT"/>
    <n v="92"/>
    <n v="96"/>
  </r>
  <r>
    <n v="167"/>
    <x v="0"/>
    <x v="276"/>
    <s v="eth1/7"/>
    <x v="0"/>
    <x v="0"/>
    <x v="0"/>
    <s v="ESTANDAR GSS Y TS_1"/>
    <x v="6"/>
    <b v="0"/>
    <s v="No está en VPC"/>
    <n v="167"/>
    <s v="INTPG_ACC_167_1.7"/>
    <s v="ISEL-1.7"/>
    <n v="1"/>
    <s v="NO TIENE L3OUT"/>
    <n v="68"/>
    <n v="96"/>
  </r>
  <r>
    <n v="428"/>
    <x v="1"/>
    <x v="277"/>
    <s v="eth1/7"/>
    <x v="0"/>
    <x v="0"/>
    <x v="0"/>
    <s v="LDAP-IDM_DESARROLLO"/>
    <x v="6"/>
    <b v="0"/>
    <s v="No está en VPC"/>
    <n v="428"/>
    <s v="INTPG_PC_428_1.5-9"/>
    <s v="ISEL-1.7"/>
    <n v="1"/>
    <s v="NO TIENE L3OUT"/>
    <n v="102"/>
    <n v="96"/>
  </r>
  <r>
    <n v="903"/>
    <x v="2"/>
    <x v="278"/>
    <s v="eth1/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447"/>
    <x v="1"/>
    <x v="9"/>
    <s v="eth1/7/1"/>
    <x v="0"/>
    <x v="0"/>
    <x v="0"/>
    <s v="ith3bda3sw-ib2 redundante"/>
    <x v="2"/>
    <b v="0"/>
    <s v="No está en VPC"/>
    <n v="447"/>
    <s v="NO EXISTE PG"/>
    <s v="NO EXISTE ISEL"/>
    <n v="1"/>
    <s v="NO TIENE L3OUT"/>
    <n v="16"/>
    <n v="42"/>
  </r>
  <r>
    <n v="445"/>
    <x v="1"/>
    <x v="10"/>
    <s v="eth1/7/1"/>
    <x v="0"/>
    <x v="0"/>
    <x v="0"/>
    <s v="ith3bda3sw-ib2 redundante"/>
    <x v="2"/>
    <b v="0"/>
    <s v="No está en VPC"/>
    <n v="445"/>
    <s v="NO EXISTE PG"/>
    <s v="NO EXISTE ISEL"/>
    <n v="1"/>
    <s v="NO TIENE L3OUT"/>
    <n v="16"/>
    <n v="42"/>
  </r>
  <r>
    <n v="447"/>
    <x v="1"/>
    <x v="9"/>
    <s v="eth1/7/2"/>
    <x v="0"/>
    <x v="0"/>
    <x v="0"/>
    <s v="ith3bda3sw-ib2 redundante"/>
    <x v="2"/>
    <b v="0"/>
    <s v="No está en VPC"/>
    <n v="447"/>
    <s v="NO EXISTE PG"/>
    <s v="NO EXISTE ISEL"/>
    <n v="1"/>
    <s v="NO TIENE L3OUT"/>
    <n v="16"/>
    <n v="42"/>
  </r>
  <r>
    <n v="445"/>
    <x v="1"/>
    <x v="10"/>
    <s v="eth1/7/2"/>
    <x v="0"/>
    <x v="0"/>
    <x v="0"/>
    <s v="ith3bda3sw-ib2 redundante"/>
    <x v="2"/>
    <b v="0"/>
    <s v="No está en VPC"/>
    <n v="445"/>
    <s v="NO EXISTE PG"/>
    <s v="NO EXISTE ISEL"/>
    <n v="1"/>
    <s v="NO TIENE L3OUT"/>
    <n v="16"/>
    <n v="42"/>
  </r>
  <r>
    <n v="447"/>
    <x v="1"/>
    <x v="9"/>
    <s v="eth1/7/3"/>
    <x v="0"/>
    <x v="0"/>
    <x v="0"/>
    <s v="ith3bda3sw-ib2 redundante"/>
    <x v="2"/>
    <b v="0"/>
    <s v="No está en VPC"/>
    <n v="447"/>
    <s v="NO EXISTE PG"/>
    <s v="NO EXISTE ISEL"/>
    <n v="1"/>
    <s v="NO TIENE L3OUT"/>
    <n v="16"/>
    <n v="42"/>
  </r>
  <r>
    <n v="445"/>
    <x v="1"/>
    <x v="10"/>
    <s v="eth1/7/3"/>
    <x v="0"/>
    <x v="0"/>
    <x v="0"/>
    <s v="ith3bda3sw-ib2 redundante"/>
    <x v="2"/>
    <b v="0"/>
    <s v="No está en VPC"/>
    <n v="445"/>
    <s v="NO EXISTE PG"/>
    <s v="NO EXISTE ISEL"/>
    <n v="1"/>
    <s v="NO TIENE L3OUT"/>
    <n v="16"/>
    <n v="42"/>
  </r>
  <r>
    <n v="447"/>
    <x v="1"/>
    <x v="9"/>
    <s v="eth1/7/4"/>
    <x v="0"/>
    <x v="0"/>
    <x v="0"/>
    <s v="ith3bda3sw-ib2 redundante"/>
    <x v="2"/>
    <b v="0"/>
    <s v="No está en VPC"/>
    <n v="447"/>
    <s v="NO EXISTE PG"/>
    <s v="NO EXISTE ISEL"/>
    <n v="1"/>
    <s v="NO TIENE L3OUT"/>
    <n v="16"/>
    <n v="42"/>
  </r>
  <r>
    <n v="445"/>
    <x v="1"/>
    <x v="10"/>
    <s v="eth1/7/4"/>
    <x v="0"/>
    <x v="0"/>
    <x v="0"/>
    <s v="ith3bda3sw-ib2 redundante"/>
    <x v="2"/>
    <b v="0"/>
    <s v="No está en VPC"/>
    <n v="445"/>
    <s v="NO EXISTE PG"/>
    <s v="NO EXISTE ISEL"/>
    <n v="1"/>
    <s v="NO TIENE L3OUT"/>
    <n v="16"/>
    <n v="42"/>
  </r>
  <r>
    <n v="105"/>
    <x v="0"/>
    <x v="205"/>
    <s v="eth1/70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70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70"/>
    <x v="0"/>
    <x v="0"/>
    <x v="0"/>
    <s v="CISCO ANA 01 EHEALTH"/>
    <x v="6"/>
    <b v="0"/>
    <s v="No está en VPC"/>
    <n v="104"/>
    <s v="INTPG_ACC_104_1.70"/>
    <s v="ISEL-1.70"/>
    <n v="1"/>
    <s v="NO TIENE L3OUT"/>
    <n v="194"/>
    <n v="96"/>
  </r>
  <r>
    <n v="158"/>
    <x v="0"/>
    <x v="208"/>
    <s v="eth1/70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70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70"/>
    <x v="0"/>
    <x v="1"/>
    <x v="1"/>
    <s v="DESC"/>
    <x v="6"/>
    <b v="0"/>
    <s v="No está en VPC"/>
    <n v="112"/>
    <s v="INTPG_PC_112_1.68-73"/>
    <s v="ISEL-1.70"/>
    <n v="12"/>
    <s v="NO TIENE L3OUT"/>
    <n v="144"/>
    <n v="96"/>
  </r>
  <r>
    <n v="107"/>
    <x v="0"/>
    <x v="213"/>
    <s v="eth1/70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70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70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70"/>
    <x v="0"/>
    <x v="1"/>
    <x v="1"/>
    <s v="DESC"/>
    <x v="6"/>
    <b v="0"/>
    <s v="No está en VPC"/>
    <n v="114"/>
    <s v="INTPG_PC_114_1.66-71"/>
    <s v="ISEL-1.70"/>
    <n v="12"/>
    <s v="NO TIENE L3OUT"/>
    <n v="144"/>
    <n v="96"/>
  </r>
  <r>
    <n v="124"/>
    <x v="0"/>
    <x v="217"/>
    <s v="eth1/70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70"/>
    <x v="0"/>
    <x v="1"/>
    <x v="1"/>
    <s v="USSD TANGO"/>
    <x v="6"/>
    <b v="0"/>
    <s v="No está en VPC"/>
    <n v="118"/>
    <s v="INTPG_ACC_118_1.70"/>
    <s v="ISEL-1.70"/>
    <n v="1"/>
    <s v="NO TIENE L3OUT"/>
    <n v="180"/>
    <n v="96"/>
  </r>
  <r>
    <n v="159"/>
    <x v="0"/>
    <x v="219"/>
    <s v="eth1/70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70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70"/>
    <x v="0"/>
    <x v="0"/>
    <x v="0"/>
    <s v="IMEI"/>
    <x v="6"/>
    <b v="0"/>
    <s v="No está en VPC"/>
    <n v="163"/>
    <s v="INTPG_ACC_163_1.70"/>
    <s v="ISEL-1.70"/>
    <n v="1"/>
    <s v="NO TIENE L3OUT"/>
    <n v="140"/>
    <n v="96"/>
  </r>
  <r>
    <n v="407"/>
    <x v="1"/>
    <x v="224"/>
    <s v="eth1/70"/>
    <x v="0"/>
    <x v="0"/>
    <x v="0"/>
    <s v="INSIGHTCA4-ilom"/>
    <x v="6"/>
    <b v="0"/>
    <s v="No está en VPC"/>
    <n v="407"/>
    <s v="INTPG_ACC_407_1.70"/>
    <s v="ISEL-1.70"/>
    <n v="1"/>
    <s v="NO TIENE L3OUT"/>
    <n v="122"/>
    <n v="96"/>
  </r>
  <r>
    <n v="171"/>
    <x v="0"/>
    <x v="225"/>
    <s v="eth1/70"/>
    <x v="0"/>
    <x v="0"/>
    <x v="0"/>
    <s v="GSM_OSS_GDL"/>
    <x v="6"/>
    <b v="0"/>
    <s v="No está en VPC"/>
    <n v="171"/>
    <s v="INTPG_VPC_171_1.1_70_172_1.1_46"/>
    <s v="ISEL-1.70"/>
    <n v="10"/>
    <s v="NO TIENE L3OUT"/>
    <n v="114"/>
    <n v="96"/>
  </r>
  <r>
    <n v="421"/>
    <x v="1"/>
    <x v="226"/>
    <s v="eth1/70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70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70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70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70"/>
    <x v="0"/>
    <x v="0"/>
    <x v="0"/>
    <s v="R9MEXIXTDAY-1"/>
    <x v="6"/>
    <b v="0"/>
    <s v="No está en VPC"/>
    <n v="420"/>
    <s v="INTPG_ACC_420_1.70"/>
    <s v="ISEL-1.70"/>
    <n v="1"/>
    <s v="NO TIENE L3OUT"/>
    <n v="158"/>
    <n v="96"/>
  </r>
  <r>
    <n v="423"/>
    <x v="1"/>
    <x v="231"/>
    <s v="eth1/70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70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70"/>
    <x v="0"/>
    <x v="0"/>
    <x v="0"/>
    <s v="REDES SOCIALES PERU:uxdwhix1:nxge0"/>
    <x v="6"/>
    <b v="0"/>
    <s v="No está en VPC"/>
    <n v="102"/>
    <s v="INTPG_ACC_102_1.70"/>
    <s v="ISEL-1.70"/>
    <n v="1"/>
    <s v="NO TIENE L3OUT"/>
    <n v="228"/>
    <n v="96"/>
  </r>
  <r>
    <n v="122"/>
    <x v="0"/>
    <x v="237"/>
    <s v="eth1/70"/>
    <x v="0"/>
    <x v="1"/>
    <x v="1"/>
    <m/>
    <x v="6"/>
    <b v="0"/>
    <s v="No está en VPC"/>
    <n v="122"/>
    <s v="INTPG_ACC_122_1.70"/>
    <s v="ISEL-1.70"/>
    <n v="1"/>
    <s v="NO TIENE L3OUT"/>
    <n v="148"/>
    <n v="96"/>
  </r>
  <r>
    <n v="157"/>
    <x v="0"/>
    <x v="238"/>
    <s v="eth1/70"/>
    <x v="0"/>
    <x v="0"/>
    <x v="0"/>
    <s v="ARIESO_GEOLOCALIZACION"/>
    <x v="6"/>
    <b v="0"/>
    <s v="No está en VPC"/>
    <n v="157"/>
    <s v="INTPG_ACC_157_1.70"/>
    <s v="ISEL-1.70"/>
    <n v="2"/>
    <s v="NO TIENE L3OUT"/>
    <n v="202"/>
    <n v="96"/>
  </r>
  <r>
    <n v="408"/>
    <x v="1"/>
    <x v="239"/>
    <s v="eth1/70"/>
    <x v="0"/>
    <x v="0"/>
    <x v="0"/>
    <s v="ITHRTC61OA1"/>
    <x v="6"/>
    <b v="0"/>
    <s v="No está en VPC"/>
    <n v="408"/>
    <s v="INTPG_ACC_408_1.70"/>
    <s v="ISEL-1.70"/>
    <n v="1"/>
    <s v="NO TIENE L3OUT"/>
    <n v="152"/>
    <n v="96"/>
  </r>
  <r>
    <n v="405"/>
    <x v="1"/>
    <x v="240"/>
    <s v="eth1/70"/>
    <x v="0"/>
    <x v="0"/>
    <x v="0"/>
    <s v="XL6 RLR7ARI11 ILO"/>
    <x v="6"/>
    <b v="0"/>
    <s v="No está en VPC"/>
    <n v="405"/>
    <s v="INTPG_ACC_405_1.70"/>
    <s v="ISEL-1.70"/>
    <n v="1"/>
    <s v="NO TIENE L3OUT"/>
    <n v="138"/>
    <n v="96"/>
  </r>
  <r>
    <n v="169"/>
    <x v="0"/>
    <x v="241"/>
    <s v="eth1/70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70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70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70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70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70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70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70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70"/>
    <x v="0"/>
    <x v="0"/>
    <x v="0"/>
    <s v="ITHRTC41VC1-4"/>
    <x v="6"/>
    <b v="0"/>
    <s v="No está en VPC"/>
    <n v="406"/>
    <s v="INTPG_ACC_406_1.70"/>
    <s v="ISEL-1.70"/>
    <n v="1"/>
    <s v="NO TIENE L3OUT"/>
    <n v="82"/>
    <n v="96"/>
  </r>
  <r>
    <n v="414"/>
    <x v="1"/>
    <x v="250"/>
    <s v="eth1/70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70"/>
    <x v="0"/>
    <x v="0"/>
    <x v="0"/>
    <s v="B6200A_DT_1"/>
    <x v="6"/>
    <b v="0"/>
    <s v="No está en VPC"/>
    <n v="416"/>
    <s v="INTPG_ACC_416_1.70"/>
    <s v="ISEL-1.70"/>
    <n v="1"/>
    <s v="NO TIENE L3OUT"/>
    <n v="110"/>
    <n v="96"/>
  </r>
  <r>
    <n v="418"/>
    <x v="1"/>
    <x v="252"/>
    <s v="eth1/70"/>
    <x v="0"/>
    <x v="0"/>
    <x v="0"/>
    <s v="ITHRTC4CSP1"/>
    <x v="6"/>
    <b v="0"/>
    <s v="No está en VPC"/>
    <n v="418"/>
    <s v="INTPG_ACC_418_1.70"/>
    <s v="ISEL-1.70"/>
    <n v="1"/>
    <s v="NO TIENE L3OUT"/>
    <n v="152"/>
    <n v="96"/>
  </r>
  <r>
    <n v="413"/>
    <x v="1"/>
    <x v="253"/>
    <s v="eth1/70"/>
    <x v="0"/>
    <x v="0"/>
    <x v="0"/>
    <s v="IXTSRM2_VM3"/>
    <x v="6"/>
    <b v="0"/>
    <s v="No está en VPC"/>
    <n v="413"/>
    <s v="INTPG_ACC_413_1.70"/>
    <s v="ISEL-1.70"/>
    <n v="1"/>
    <s v="NO TIENE L3OUT"/>
    <n v="126"/>
    <n v="96"/>
  </r>
  <r>
    <n v="403"/>
    <x v="1"/>
    <x v="254"/>
    <s v="eth1/70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70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70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70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70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70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70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70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70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70"/>
    <x v="0"/>
    <x v="0"/>
    <x v="0"/>
    <s v="RLPNOVB01"/>
    <x v="6"/>
    <b v="0"/>
    <s v="No está en VPC"/>
    <n v="430"/>
    <s v="INTPG_ACC_430_1.70"/>
    <s v="ISEL-1.70"/>
    <n v="1"/>
    <s v="NO TIENE L3OUT"/>
    <n v="86"/>
    <n v="96"/>
  </r>
  <r>
    <n v="419"/>
    <x v="1"/>
    <x v="264"/>
    <s v="eth1/70"/>
    <x v="0"/>
    <x v="0"/>
    <x v="0"/>
    <s v="HP Proliant DL380p(c)"/>
    <x v="6"/>
    <b v="0"/>
    <s v="No está en VPC"/>
    <n v="419"/>
    <s v="INTPG_ACC_419_1.70"/>
    <s v="ISEL-1.70"/>
    <n v="1"/>
    <s v="NO TIENE L3OUT"/>
    <n v="70"/>
    <n v="96"/>
  </r>
  <r>
    <n v="155"/>
    <x v="0"/>
    <x v="265"/>
    <s v="eth1/70"/>
    <x v="0"/>
    <x v="0"/>
    <x v="0"/>
    <s v="ARIESO_GEOLOCALIZACION"/>
    <x v="6"/>
    <b v="0"/>
    <s v="No está en VPC"/>
    <n v="155"/>
    <s v="INTPG_ACC_155_1.70"/>
    <s v="ISEL-1.70"/>
    <n v="2"/>
    <s v="NO TIENE L3OUT"/>
    <n v="198"/>
    <n v="96"/>
  </r>
  <r>
    <n v="409"/>
    <x v="1"/>
    <x v="266"/>
    <s v="eth1/70"/>
    <x v="0"/>
    <x v="0"/>
    <x v="0"/>
    <s v="INSIGHTCA8-ilom"/>
    <x v="6"/>
    <b v="0"/>
    <s v="No está en VPC"/>
    <n v="409"/>
    <s v="INTPG_ACC_409_1.70"/>
    <s v="ISEL-1.70"/>
    <n v="1"/>
    <s v="NO TIENE L3OUT"/>
    <n v="128"/>
    <n v="96"/>
  </r>
  <r>
    <n v="422"/>
    <x v="1"/>
    <x v="267"/>
    <s v="eth1/70"/>
    <x v="0"/>
    <x v="0"/>
    <x v="0"/>
    <s v="sfmevp03"/>
    <x v="6"/>
    <b v="0"/>
    <s v="No está en VPC"/>
    <n v="422"/>
    <s v="INTPG_ACC_422_1.70"/>
    <s v="ISEL-1.70"/>
    <n v="1"/>
    <s v="NO TIENE L3OUT"/>
    <n v="182"/>
    <n v="96"/>
  </r>
  <r>
    <n v="436"/>
    <x v="1"/>
    <x v="268"/>
    <s v="eth1/70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70"/>
    <x v="0"/>
    <x v="0"/>
    <x v="0"/>
    <s v="ITHRTC3NB1"/>
    <x v="6"/>
    <b v="0"/>
    <s v="No está en VPC"/>
    <n v="410"/>
    <s v="INTPG_ACC_410_1.70"/>
    <s v="ISEL-1.70"/>
    <n v="1"/>
    <s v="NO TIENE L3OUT"/>
    <n v="178"/>
    <n v="96"/>
  </r>
  <r>
    <n v="161"/>
    <x v="0"/>
    <x v="270"/>
    <s v="eth1/70"/>
    <x v="0"/>
    <x v="0"/>
    <x v="0"/>
    <s v="VIRTUAL_MACHINE_SGH250HXW4_CLIENT1"/>
    <x v="6"/>
    <b v="0"/>
    <s v="No está en VPC"/>
    <n v="161"/>
    <s v="INTPG_VPC_161_1.70_163_1.33"/>
    <s v="ISEL-1.70"/>
    <n v="1"/>
    <s v="NO TIENE L3OUT"/>
    <n v="102"/>
    <n v="96"/>
  </r>
  <r>
    <n v="411"/>
    <x v="1"/>
    <x v="271"/>
    <s v="eth1/70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70"/>
    <x v="0"/>
    <x v="1"/>
    <x v="1"/>
    <s v="COBROS NAVEGACION"/>
    <x v="6"/>
    <b v="0"/>
    <s v="No está en VPC"/>
    <n v="116"/>
    <s v="INTPG_ACC_116_1.70"/>
    <s v="ISEL-1.70"/>
    <n v="1"/>
    <s v="NO TIENE L3OUT"/>
    <n v="148"/>
    <n v="96"/>
  </r>
  <r>
    <n v="412"/>
    <x v="1"/>
    <x v="273"/>
    <s v="eth1/70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70"/>
    <x v="1"/>
    <x v="1"/>
    <x v="2"/>
    <s v="N/A"/>
    <x v="6"/>
    <b v="0"/>
    <s v="No está en VPC"/>
    <n v="120"/>
    <s v="INTPG_ACC_120_1.70"/>
    <s v="ISEL-1.70"/>
    <n v="1"/>
    <s v="NO TIENE L3OUT"/>
    <n v="158"/>
    <n v="96"/>
  </r>
  <r>
    <n v="404"/>
    <x v="1"/>
    <x v="275"/>
    <s v="eth1/70"/>
    <x v="0"/>
    <x v="0"/>
    <x v="0"/>
    <s v="ITHRTC11VC1X4"/>
    <x v="6"/>
    <b v="0"/>
    <s v="No está en VPC"/>
    <n v="404"/>
    <s v="INTPG_ACC_404_1.70"/>
    <s v="ISEL-1.70"/>
    <n v="1"/>
    <s v="NO TIENE L3OUT"/>
    <n v="92"/>
    <n v="96"/>
  </r>
  <r>
    <n v="167"/>
    <x v="0"/>
    <x v="276"/>
    <s v="eth1/70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70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105"/>
    <x v="0"/>
    <x v="205"/>
    <s v="eth1/71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71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71"/>
    <x v="0"/>
    <x v="1"/>
    <x v="1"/>
    <s v="CISCO ANA 01 EHEALTH"/>
    <x v="6"/>
    <b v="0"/>
    <s v="No está en VPC"/>
    <n v="104"/>
    <s v="INTPG_ACC_104_1.71"/>
    <s v="ISEL-1.71"/>
    <n v="1"/>
    <s v="NO TIENE L3OUT"/>
    <n v="194"/>
    <n v="96"/>
  </r>
  <r>
    <n v="158"/>
    <x v="0"/>
    <x v="208"/>
    <s v="eth1/71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71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71"/>
    <x v="0"/>
    <x v="1"/>
    <x v="1"/>
    <s v="DESC"/>
    <x v="6"/>
    <b v="0"/>
    <s v="No está en VPC"/>
    <n v="112"/>
    <s v="INTPG_PC_112_1.68-73"/>
    <s v="ISEL-1.71"/>
    <n v="12"/>
    <s v="NO TIENE L3OUT"/>
    <n v="144"/>
    <n v="96"/>
  </r>
  <r>
    <n v="107"/>
    <x v="0"/>
    <x v="213"/>
    <s v="eth1/71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71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71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71"/>
    <x v="0"/>
    <x v="1"/>
    <x v="1"/>
    <s v="DESC"/>
    <x v="6"/>
    <b v="0"/>
    <s v="No está en VPC"/>
    <n v="114"/>
    <s v="INTPG_PC_114_1.66-71"/>
    <s v="ISEL-1.71"/>
    <n v="12"/>
    <s v="NO TIENE L3OUT"/>
    <n v="144"/>
    <n v="96"/>
  </r>
  <r>
    <n v="124"/>
    <x v="0"/>
    <x v="217"/>
    <s v="eth1/71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71"/>
    <x v="1"/>
    <x v="1"/>
    <x v="2"/>
    <s v="ASAP BATCH"/>
    <x v="6"/>
    <b v="0"/>
    <s v="No está en VPC"/>
    <n v="118"/>
    <s v="INTPG_ACC_118_1.71"/>
    <s v="ISEL-1.71"/>
    <n v="0"/>
    <s v="NO TIENE L3OUT"/>
    <n v="180"/>
    <n v="96"/>
  </r>
  <r>
    <n v="159"/>
    <x v="0"/>
    <x v="219"/>
    <s v="eth1/71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71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71"/>
    <x v="0"/>
    <x v="1"/>
    <x v="1"/>
    <s v="MULTIMEDIACION_1"/>
    <x v="6"/>
    <b v="0"/>
    <s v="No está en VPC"/>
    <n v="163"/>
    <s v="INTPG_ACC_163_1.71"/>
    <s v="ISEL-1.71"/>
    <n v="1"/>
    <s v="NO TIENE L3OUT"/>
    <n v="140"/>
    <n v="96"/>
  </r>
  <r>
    <n v="407"/>
    <x v="1"/>
    <x v="224"/>
    <s v="eth1/71"/>
    <x v="0"/>
    <x v="0"/>
    <x v="0"/>
    <s v="INSIGHTCA5-ilom"/>
    <x v="6"/>
    <b v="0"/>
    <s v="No está en VPC"/>
    <n v="407"/>
    <s v="INTPG_ACC_407_1.71"/>
    <s v="ISEL-1.71"/>
    <n v="1"/>
    <s v="NO TIENE L3OUT"/>
    <n v="122"/>
    <n v="96"/>
  </r>
  <r>
    <n v="171"/>
    <x v="0"/>
    <x v="225"/>
    <s v="eth1/71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71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71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71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71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71"/>
    <x v="0"/>
    <x v="0"/>
    <x v="0"/>
    <s v="TO-ITHVRNR640A_1-Principal"/>
    <x v="6"/>
    <b v="0"/>
    <s v="No está en VPC"/>
    <n v="420"/>
    <s v="INTPG_ACC_420_1.71"/>
    <s v="ISEL-1.71"/>
    <n v="1"/>
    <s v="NO TIENE L3OUT"/>
    <n v="158"/>
    <n v="96"/>
  </r>
  <r>
    <n v="423"/>
    <x v="1"/>
    <x v="231"/>
    <s v="eth1/71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71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71"/>
    <x v="0"/>
    <x v="0"/>
    <x v="0"/>
    <s v="REDES SOCIALES PERU_uxgsm001_E1000g2"/>
    <x v="6"/>
    <b v="0"/>
    <s v="No está en VPC"/>
    <n v="102"/>
    <s v="INTPG_ACC_102_1.71"/>
    <s v="ISEL-1.71"/>
    <n v="1"/>
    <s v="NO TIENE L3OUT"/>
    <n v="228"/>
    <n v="96"/>
  </r>
  <r>
    <n v="122"/>
    <x v="0"/>
    <x v="237"/>
    <s v="eth1/71"/>
    <x v="0"/>
    <x v="0"/>
    <x v="0"/>
    <s v="TRAP"/>
    <x v="6"/>
    <b v="0"/>
    <s v="No está en VPC"/>
    <n v="122"/>
    <s v="INTPG_PC_122_1.71-73"/>
    <s v="ISEL-1.71"/>
    <n v="1"/>
    <s v="NO TIENE L3OUT"/>
    <n v="148"/>
    <n v="96"/>
  </r>
  <r>
    <n v="157"/>
    <x v="0"/>
    <x v="238"/>
    <s v="eth1/71"/>
    <x v="0"/>
    <x v="0"/>
    <x v="0"/>
    <s v="ARIESO_GEOLOCALIZACION"/>
    <x v="6"/>
    <b v="0"/>
    <s v="No está en VPC"/>
    <n v="157"/>
    <s v="INTPG_ACC_157_1.71"/>
    <s v="ISEL-1.71"/>
    <n v="2"/>
    <s v="NO TIENE L3OUT"/>
    <n v="202"/>
    <n v="96"/>
  </r>
  <r>
    <n v="408"/>
    <x v="1"/>
    <x v="239"/>
    <s v="eth1/71"/>
    <x v="0"/>
    <x v="0"/>
    <x v="0"/>
    <s v="ITHRTC62OA1"/>
    <x v="6"/>
    <b v="0"/>
    <s v="No está en VPC"/>
    <n v="408"/>
    <s v="INTPG_ACC_408_1.71"/>
    <s v="ISEL-1.71"/>
    <n v="1"/>
    <s v="NO TIENE L3OUT"/>
    <n v="152"/>
    <n v="96"/>
  </r>
  <r>
    <n v="405"/>
    <x v="1"/>
    <x v="240"/>
    <s v="eth1/71"/>
    <x v="0"/>
    <x v="0"/>
    <x v="0"/>
    <s v="ARIESO_LTE_RLR7ARI11"/>
    <x v="6"/>
    <b v="0"/>
    <s v="No está en VPC"/>
    <n v="405"/>
    <s v="INTPG_ACC_405_1.71"/>
    <s v="ISEL-1.71"/>
    <n v="1"/>
    <s v="NO TIENE L3OUT"/>
    <n v="138"/>
    <n v="96"/>
  </r>
  <r>
    <n v="169"/>
    <x v="0"/>
    <x v="241"/>
    <s v="eth1/71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71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71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71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71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71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71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71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71"/>
    <x v="0"/>
    <x v="0"/>
    <x v="0"/>
    <s v="ITHRTC42VC1-4"/>
    <x v="6"/>
    <b v="0"/>
    <s v="No está en VPC"/>
    <n v="406"/>
    <s v="INTPG_ACC_406_1.71"/>
    <s v="ISEL-1.71"/>
    <n v="1"/>
    <s v="NO TIENE L3OUT"/>
    <n v="82"/>
    <n v="96"/>
  </r>
  <r>
    <n v="414"/>
    <x v="1"/>
    <x v="250"/>
    <s v="eth1/71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71"/>
    <x v="0"/>
    <x v="0"/>
    <x v="0"/>
    <s v="B6200B_DT_1"/>
    <x v="6"/>
    <b v="0"/>
    <s v="No está en VPC"/>
    <n v="416"/>
    <s v="INTPG_ACC_416_1.71"/>
    <s v="ISEL-1.71"/>
    <n v="1"/>
    <s v="NO TIENE L3OUT"/>
    <n v="110"/>
    <n v="96"/>
  </r>
  <r>
    <n v="418"/>
    <x v="1"/>
    <x v="252"/>
    <s v="eth1/71"/>
    <x v="0"/>
    <x v="0"/>
    <x v="0"/>
    <s v="ITHRTC4CSS1"/>
    <x v="6"/>
    <b v="0"/>
    <s v="No está en VPC"/>
    <n v="418"/>
    <s v="INTPG_ACC_418_1.71"/>
    <s v="ISEL-1.71"/>
    <n v="1"/>
    <s v="NO TIENE L3OUT"/>
    <n v="152"/>
    <n v="96"/>
  </r>
  <r>
    <n v="413"/>
    <x v="1"/>
    <x v="253"/>
    <s v="eth1/71"/>
    <x v="0"/>
    <x v="0"/>
    <x v="0"/>
    <s v="IXTSRM2_VM4"/>
    <x v="6"/>
    <b v="0"/>
    <s v="No está en VPC"/>
    <n v="413"/>
    <s v="INTPG_ACC_413_1.71"/>
    <s v="ISEL-1.71"/>
    <n v="1"/>
    <s v="NO TIENE L3OUT"/>
    <n v="126"/>
    <n v="96"/>
  </r>
  <r>
    <n v="403"/>
    <x v="1"/>
    <x v="254"/>
    <s v="eth1/71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71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71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71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71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71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71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71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71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71"/>
    <x v="0"/>
    <x v="0"/>
    <x v="0"/>
    <s v="PDU"/>
    <x v="6"/>
    <b v="0"/>
    <s v="No está en VPC"/>
    <n v="430"/>
    <s v="INTPG_ACC_430_1.71"/>
    <s v="ISEL-1.71"/>
    <n v="1"/>
    <s v="NO TIENE L3OUT"/>
    <n v="86"/>
    <n v="96"/>
  </r>
  <r>
    <n v="419"/>
    <x v="1"/>
    <x v="264"/>
    <s v="eth1/71"/>
    <x v="0"/>
    <x v="0"/>
    <x v="0"/>
    <s v="HP Proliant DL380p(c)"/>
    <x v="6"/>
    <b v="0"/>
    <s v="No está en VPC"/>
    <n v="419"/>
    <s v="INTPG_ACC_419_1.71"/>
    <s v="ISEL-1.71"/>
    <n v="1"/>
    <s v="NO TIENE L3OUT"/>
    <n v="70"/>
    <n v="96"/>
  </r>
  <r>
    <n v="155"/>
    <x v="0"/>
    <x v="265"/>
    <s v="eth1/71"/>
    <x v="0"/>
    <x v="0"/>
    <x v="0"/>
    <s v="ARIESO_GEOLOCALIZACION"/>
    <x v="6"/>
    <b v="0"/>
    <s v="No está en VPC"/>
    <n v="155"/>
    <s v="INTPG_ACC_155_1.71"/>
    <s v="ISEL-1.71"/>
    <n v="2"/>
    <s v="NO TIENE L3OUT"/>
    <n v="198"/>
    <n v="96"/>
  </r>
  <r>
    <n v="409"/>
    <x v="1"/>
    <x v="266"/>
    <s v="eth1/71"/>
    <x v="0"/>
    <x v="0"/>
    <x v="0"/>
    <s v="BIGDATA SECUNDARIO"/>
    <x v="6"/>
    <b v="0"/>
    <s v="No está en VPC"/>
    <n v="409"/>
    <s v="INTPG_ACC_409_1.71"/>
    <s v="ISEL-1.71"/>
    <n v="1"/>
    <s v="NO TIENE L3OUT"/>
    <n v="128"/>
    <n v="96"/>
  </r>
  <r>
    <n v="422"/>
    <x v="1"/>
    <x v="267"/>
    <s v="eth1/71"/>
    <x v="0"/>
    <x v="0"/>
    <x v="0"/>
    <s v="sfmevp04"/>
    <x v="6"/>
    <b v="0"/>
    <s v="No está en VPC"/>
    <n v="422"/>
    <s v="INTPG_ACC_422_1.71"/>
    <s v="ISEL-1.71"/>
    <n v="1"/>
    <s v="NO TIENE L3OUT"/>
    <n v="182"/>
    <n v="96"/>
  </r>
  <r>
    <n v="436"/>
    <x v="1"/>
    <x v="268"/>
    <s v="eth1/71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71"/>
    <x v="0"/>
    <x v="0"/>
    <x v="0"/>
    <s v="ITHRTC31OA2"/>
    <x v="6"/>
    <b v="0"/>
    <s v="No está en VPC"/>
    <n v="410"/>
    <s v="INTPG_ACC_410_1.71"/>
    <s v="ISEL-1.71"/>
    <n v="1"/>
    <s v="NO TIENE L3OUT"/>
    <n v="178"/>
    <n v="96"/>
  </r>
  <r>
    <n v="161"/>
    <x v="0"/>
    <x v="270"/>
    <s v="eth1/71"/>
    <x v="0"/>
    <x v="0"/>
    <x v="0"/>
    <s v="CELCITE"/>
    <x v="6"/>
    <b v="0"/>
    <s v="No está en VPC"/>
    <n v="161"/>
    <s v="INTPG_ACC_161_1.71"/>
    <s v="ISEL-1.71"/>
    <n v="1"/>
    <s v="NO TIENE L3OUT"/>
    <n v="102"/>
    <n v="96"/>
  </r>
  <r>
    <n v="411"/>
    <x v="1"/>
    <x v="271"/>
    <s v="eth1/71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71"/>
    <x v="0"/>
    <x v="0"/>
    <x v="0"/>
    <s v="COBROS NAVEGACION"/>
    <x v="6"/>
    <b v="0"/>
    <s v="No está en VPC"/>
    <n v="116"/>
    <s v="INTPG_ACC_116_1.71"/>
    <s v="ISEL-1.71"/>
    <n v="1"/>
    <s v="NO TIENE L3OUT"/>
    <n v="148"/>
    <n v="96"/>
  </r>
  <r>
    <n v="412"/>
    <x v="1"/>
    <x v="273"/>
    <s v="eth1/71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71"/>
    <x v="1"/>
    <x v="1"/>
    <x v="2"/>
    <m/>
    <x v="6"/>
    <b v="0"/>
    <s v="No está en VPC"/>
    <n v="120"/>
    <s v="INTPG_VPC_120_1.71_122_1.79"/>
    <s v="ISEL-1.71"/>
    <n v="1"/>
    <s v="NO TIENE L3OUT"/>
    <n v="158"/>
    <n v="96"/>
  </r>
  <r>
    <n v="404"/>
    <x v="1"/>
    <x v="275"/>
    <s v="eth1/71"/>
    <x v="0"/>
    <x v="0"/>
    <x v="0"/>
    <s v="ITHRTC1NB1"/>
    <x v="6"/>
    <b v="0"/>
    <s v="No está en VPC"/>
    <n v="404"/>
    <s v="INTPG_ACC_404_1.71"/>
    <s v="ISEL-1.71"/>
    <n v="1"/>
    <s v="NO TIENE L3OUT"/>
    <n v="92"/>
    <n v="96"/>
  </r>
  <r>
    <n v="167"/>
    <x v="0"/>
    <x v="276"/>
    <s v="eth1/71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71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105"/>
    <x v="0"/>
    <x v="205"/>
    <s v="eth1/72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72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72"/>
    <x v="0"/>
    <x v="1"/>
    <x v="1"/>
    <s v="CISCO ANA 01 EHEALTH"/>
    <x v="6"/>
    <b v="0"/>
    <s v="No está en VPC"/>
    <n v="104"/>
    <s v="INTPG_ACC_104_1.72"/>
    <s v="ISEL-1.72"/>
    <n v="1"/>
    <s v="NO TIENE L3OUT"/>
    <n v="194"/>
    <n v="96"/>
  </r>
  <r>
    <n v="158"/>
    <x v="0"/>
    <x v="208"/>
    <s v="eth1/72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72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72"/>
    <x v="1"/>
    <x v="1"/>
    <x v="2"/>
    <s v="DESC"/>
    <x v="6"/>
    <b v="0"/>
    <s v="No está en VPC"/>
    <n v="112"/>
    <s v="INTPG_PC_112_1.68-73"/>
    <s v="ISEL-1.72"/>
    <n v="12"/>
    <s v="NO TIENE L3OUT"/>
    <n v="144"/>
    <n v="96"/>
  </r>
  <r>
    <n v="107"/>
    <x v="0"/>
    <x v="213"/>
    <s v="eth1/72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72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72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72"/>
    <x v="1"/>
    <x v="1"/>
    <x v="2"/>
    <s v="RATING FASE2 BLADES"/>
    <x v="6"/>
    <b v="0"/>
    <s v="No está en VPC"/>
    <n v="114"/>
    <s v="INTPG_ACC_114_1.72"/>
    <s v="ISEL-1.72"/>
    <n v="1"/>
    <s v="NO TIENE L3OUT"/>
    <n v="144"/>
    <n v="96"/>
  </r>
  <r>
    <n v="124"/>
    <x v="0"/>
    <x v="217"/>
    <s v="eth1/72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72"/>
    <x v="0"/>
    <x v="1"/>
    <x v="1"/>
    <s v="ASAP BATCH"/>
    <x v="6"/>
    <b v="0"/>
    <s v="No está en VPC"/>
    <n v="118"/>
    <s v="INTPG_ACC_118_1.72"/>
    <s v="ISEL-1.72"/>
    <n v="1"/>
    <s v="NO TIENE L3OUT"/>
    <n v="180"/>
    <n v="96"/>
  </r>
  <r>
    <n v="159"/>
    <x v="0"/>
    <x v="219"/>
    <s v="eth1/72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72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72"/>
    <x v="0"/>
    <x v="0"/>
    <x v="0"/>
    <s v="UPGRADE _HP_OV"/>
    <x v="6"/>
    <b v="0"/>
    <s v="No está en VPC"/>
    <n v="163"/>
    <s v="INTPG_ACC_163_1.72"/>
    <s v="ISEL-1.72"/>
    <n v="1"/>
    <s v="NO TIENE L3OUT"/>
    <n v="140"/>
    <n v="96"/>
  </r>
  <r>
    <n v="407"/>
    <x v="1"/>
    <x v="224"/>
    <s v="eth1/72"/>
    <x v="0"/>
    <x v="0"/>
    <x v="0"/>
    <s v="BIGDATA PRINCIPAL"/>
    <x v="6"/>
    <b v="0"/>
    <s v="No está en VPC"/>
    <n v="407"/>
    <s v="INTPG_ACC_407_1.72"/>
    <s v="ISEL-1.72"/>
    <n v="1"/>
    <s v="NO TIENE L3OUT"/>
    <n v="122"/>
    <n v="96"/>
  </r>
  <r>
    <n v="171"/>
    <x v="0"/>
    <x v="225"/>
    <s v="eth1/72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72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72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72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72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72"/>
    <x v="0"/>
    <x v="0"/>
    <x v="0"/>
    <s v="TO-ITHVRNR640A_2-Principal"/>
    <x v="6"/>
    <b v="0"/>
    <s v="No está en VPC"/>
    <n v="420"/>
    <s v="INTPG_ACC_420_1.72"/>
    <s v="ISEL-1.72"/>
    <n v="1"/>
    <s v="NO TIENE L3OUT"/>
    <n v="158"/>
    <n v="96"/>
  </r>
  <r>
    <n v="423"/>
    <x v="1"/>
    <x v="231"/>
    <s v="eth1/72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72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72"/>
    <x v="0"/>
    <x v="1"/>
    <x v="1"/>
    <s v="SIEMC:uxdomaing:nxge5"/>
    <x v="6"/>
    <b v="0"/>
    <s v="No está en VPC"/>
    <n v="102"/>
    <s v="INTPG_ACC_102_1.72"/>
    <s v="ISEL-1.72"/>
    <n v="1"/>
    <s v="NO TIENE L3OUT"/>
    <n v="228"/>
    <n v="96"/>
  </r>
  <r>
    <n v="122"/>
    <x v="0"/>
    <x v="237"/>
    <s v="eth1/72"/>
    <x v="0"/>
    <x v="0"/>
    <x v="0"/>
    <s v="TRAP"/>
    <x v="6"/>
    <b v="0"/>
    <s v="No está en VPC"/>
    <n v="122"/>
    <s v="INTPG_PC_122_1.71-73"/>
    <s v="ISEL-1.72"/>
    <n v="1"/>
    <s v="NO TIENE L3OUT"/>
    <n v="148"/>
    <n v="96"/>
  </r>
  <r>
    <n v="157"/>
    <x v="0"/>
    <x v="238"/>
    <s v="eth1/72"/>
    <x v="0"/>
    <x v="0"/>
    <x v="0"/>
    <s v="ARIESO_GEOLOCALIZACION"/>
    <x v="6"/>
    <b v="0"/>
    <s v="No está en VPC"/>
    <n v="157"/>
    <s v="INTPG_ACC_157_1.72"/>
    <s v="ISEL-1.72"/>
    <n v="2"/>
    <s v="NO TIENE L3OUT"/>
    <n v="202"/>
    <n v="96"/>
  </r>
  <r>
    <n v="408"/>
    <x v="1"/>
    <x v="239"/>
    <s v="eth1/72"/>
    <x v="0"/>
    <x v="0"/>
    <x v="0"/>
    <s v="ITHRTCD3CONT1"/>
    <x v="6"/>
    <b v="0"/>
    <s v="No está en VPC"/>
    <n v="408"/>
    <s v="INTPG_ACC_408_1.72"/>
    <s v="ISEL-1.72"/>
    <n v="1"/>
    <s v="NO TIENE L3OUT"/>
    <n v="152"/>
    <n v="96"/>
  </r>
  <r>
    <n v="405"/>
    <x v="1"/>
    <x v="240"/>
    <s v="eth1/72"/>
    <x v="0"/>
    <x v="0"/>
    <x v="0"/>
    <s v="SOEM_sec_iLO"/>
    <x v="6"/>
    <b v="0"/>
    <s v="No está en VPC"/>
    <n v="405"/>
    <s v="INTPG_ACC_405_1.72"/>
    <s v="ISEL-1.72"/>
    <n v="1"/>
    <s v="NO TIENE L3OUT"/>
    <n v="138"/>
    <n v="96"/>
  </r>
  <r>
    <n v="169"/>
    <x v="0"/>
    <x v="241"/>
    <s v="eth1/72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72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72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72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72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72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72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72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72"/>
    <x v="0"/>
    <x v="1"/>
    <x v="1"/>
    <s v="ITHRTC4NB2"/>
    <x v="6"/>
    <b v="0"/>
    <s v="No está en VPC"/>
    <n v="406"/>
    <s v="INTPG_ACC_406_1.72"/>
    <s v="ISEL-1.72"/>
    <n v="1"/>
    <s v="NO TIENE L3OUT"/>
    <n v="82"/>
    <n v="96"/>
  </r>
  <r>
    <n v="414"/>
    <x v="1"/>
    <x v="250"/>
    <s v="eth1/72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72"/>
    <x v="0"/>
    <x v="0"/>
    <x v="0"/>
    <s v="B6200C_DT_1"/>
    <x v="6"/>
    <b v="0"/>
    <s v="No está en VPC"/>
    <n v="416"/>
    <s v="INTPG_ACC_416_1.72"/>
    <s v="ISEL-1.72"/>
    <n v="1"/>
    <s v="NO TIENE L3OUT"/>
    <n v="110"/>
    <n v="96"/>
  </r>
  <r>
    <n v="418"/>
    <x v="1"/>
    <x v="252"/>
    <s v="eth1/72"/>
    <x v="0"/>
    <x v="0"/>
    <x v="0"/>
    <s v="TEMIPCLOUD_A01"/>
    <x v="6"/>
    <b v="0"/>
    <s v="No está en VPC"/>
    <n v="418"/>
    <s v="INTPG_ACC_418_1.72"/>
    <s v="ISEL-1.72"/>
    <n v="6"/>
    <s v="NO TIENE L3OUT"/>
    <n v="152"/>
    <n v="96"/>
  </r>
  <r>
    <n v="413"/>
    <x v="1"/>
    <x v="253"/>
    <s v="eth1/72"/>
    <x v="0"/>
    <x v="0"/>
    <x v="0"/>
    <s v="IXTSRM1-ilom"/>
    <x v="6"/>
    <b v="0"/>
    <s v="No está en VPC"/>
    <n v="413"/>
    <s v="INTPG_ACC_413_1.72"/>
    <s v="ISEL-1.72"/>
    <n v="1"/>
    <s v="NO TIENE L3OUT"/>
    <n v="126"/>
    <n v="96"/>
  </r>
  <r>
    <n v="403"/>
    <x v="1"/>
    <x v="254"/>
    <s v="eth1/72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72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72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72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72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72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72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72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72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72"/>
    <x v="0"/>
    <x v="1"/>
    <x v="1"/>
    <s v="DOC1_PROD2_ILO"/>
    <x v="6"/>
    <b v="0"/>
    <s v="No está en VPC"/>
    <n v="430"/>
    <s v="INTPG_ACC_430_1.72"/>
    <s v="ISEL-1.72"/>
    <n v="1"/>
    <s v="NO TIENE L3OUT"/>
    <n v="86"/>
    <n v="96"/>
  </r>
  <r>
    <n v="419"/>
    <x v="1"/>
    <x v="264"/>
    <s v="eth1/72"/>
    <x v="0"/>
    <x v="0"/>
    <x v="0"/>
    <s v="HP Proliant DL380p(c)"/>
    <x v="6"/>
    <b v="0"/>
    <s v="No está en VPC"/>
    <n v="419"/>
    <s v="INTPG_ACC_419_1.72"/>
    <s v="ISEL-1.72"/>
    <n v="1"/>
    <s v="NO TIENE L3OUT"/>
    <n v="70"/>
    <n v="96"/>
  </r>
  <r>
    <n v="155"/>
    <x v="0"/>
    <x v="265"/>
    <s v="eth1/72"/>
    <x v="0"/>
    <x v="0"/>
    <x v="0"/>
    <s v="ARIESO_GEOLOCALIZACION"/>
    <x v="6"/>
    <b v="0"/>
    <s v="No está en VPC"/>
    <n v="155"/>
    <s v="INTPG_ACC_155_1.72"/>
    <s v="ISEL-1.72"/>
    <n v="2"/>
    <s v="NO TIENE L3OUT"/>
    <n v="198"/>
    <n v="96"/>
  </r>
  <r>
    <n v="409"/>
    <x v="1"/>
    <x v="266"/>
    <s v="eth1/72"/>
    <x v="0"/>
    <x v="0"/>
    <x v="0"/>
    <s v="BIGDATA SECUNDARIO"/>
    <x v="6"/>
    <b v="0"/>
    <s v="No está en VPC"/>
    <n v="409"/>
    <s v="INTPG_ACC_409_1.72"/>
    <s v="ISEL-1.72"/>
    <n v="1"/>
    <s v="NO TIENE L3OUT"/>
    <n v="128"/>
    <n v="96"/>
  </r>
  <r>
    <n v="422"/>
    <x v="1"/>
    <x v="267"/>
    <s v="eth1/72"/>
    <x v="0"/>
    <x v="0"/>
    <x v="0"/>
    <s v="sfmevp05"/>
    <x v="6"/>
    <b v="0"/>
    <s v="No está en VPC"/>
    <n v="422"/>
    <s v="INTPG_ACC_422_1.72"/>
    <s v="ISEL-1.72"/>
    <n v="1"/>
    <s v="NO TIENE L3OUT"/>
    <n v="182"/>
    <n v="96"/>
  </r>
  <r>
    <n v="436"/>
    <x v="1"/>
    <x v="268"/>
    <s v="eth1/72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72"/>
    <x v="0"/>
    <x v="0"/>
    <x v="0"/>
    <s v="ITHRTC32OA2"/>
    <x v="6"/>
    <b v="0"/>
    <s v="No está en VPC"/>
    <n v="410"/>
    <s v="INTPG_ACC_410_1.72"/>
    <s v="ISEL-1.72"/>
    <n v="1"/>
    <s v="NO TIENE L3OUT"/>
    <n v="178"/>
    <n v="96"/>
  </r>
  <r>
    <n v="161"/>
    <x v="0"/>
    <x v="270"/>
    <s v="eth1/72"/>
    <x v="0"/>
    <x v="0"/>
    <x v="0"/>
    <s v="CELCITE"/>
    <x v="6"/>
    <b v="0"/>
    <s v="No está en VPC"/>
    <n v="161"/>
    <s v="INTPG_ACC_161_1.72"/>
    <s v="ISEL-1.72"/>
    <n v="1"/>
    <s v="NO TIENE L3OUT"/>
    <n v="102"/>
    <n v="96"/>
  </r>
  <r>
    <n v="411"/>
    <x v="1"/>
    <x v="271"/>
    <s v="eth1/72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72"/>
    <x v="0"/>
    <x v="1"/>
    <x v="1"/>
    <s v="LifeRay_to_ixtprodploym"/>
    <x v="6"/>
    <b v="0"/>
    <s v="No está en VPC"/>
    <n v="116"/>
    <s v="INTPG_ACC_116_1.72"/>
    <s v="ISEL-1.72"/>
    <n v="1"/>
    <s v="NO TIENE L3OUT"/>
    <n v="148"/>
    <n v="96"/>
  </r>
  <r>
    <n v="412"/>
    <x v="1"/>
    <x v="273"/>
    <s v="eth1/72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72"/>
    <x v="1"/>
    <x v="1"/>
    <x v="2"/>
    <s v="N/A"/>
    <x v="6"/>
    <b v="0"/>
    <s v="No está en VPC"/>
    <n v="120"/>
    <s v="INTPG_ACC_120_1.72"/>
    <s v="ISEL-1.72"/>
    <n v="1"/>
    <s v="NO TIENE L3OUT"/>
    <n v="158"/>
    <n v="96"/>
  </r>
  <r>
    <n v="404"/>
    <x v="1"/>
    <x v="275"/>
    <s v="eth1/72"/>
    <x v="0"/>
    <x v="0"/>
    <x v="0"/>
    <s v="ITHRTC1OA1"/>
    <x v="6"/>
    <b v="0"/>
    <s v="No está en VPC"/>
    <n v="404"/>
    <s v="INTPG_ACC_404_1.72"/>
    <s v="ISEL-1.72"/>
    <n v="1"/>
    <s v="NO TIENE L3OUT"/>
    <n v="92"/>
    <n v="96"/>
  </r>
  <r>
    <n v="167"/>
    <x v="0"/>
    <x v="276"/>
    <s v="eth1/72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72"/>
    <x v="0"/>
    <x v="1"/>
    <x v="1"/>
    <s v="sfrevp04_MGMT_RHEV_HUAWEI"/>
    <x v="6"/>
    <b v="0"/>
    <s v="No está en VPC"/>
    <n v="428"/>
    <s v="INTPG_ACC_428_1.72"/>
    <s v="ISEL-1.72"/>
    <n v="1"/>
    <s v="NO TIENE L3OUT"/>
    <n v="102"/>
    <n v="96"/>
  </r>
  <r>
    <n v="105"/>
    <x v="0"/>
    <x v="205"/>
    <s v="eth1/73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73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73"/>
    <x v="0"/>
    <x v="1"/>
    <x v="1"/>
    <s v="CISCO ANA 01 EHEALTH"/>
    <x v="6"/>
    <b v="0"/>
    <s v="No está en VPC"/>
    <n v="104"/>
    <s v="INTPG_ACC_104_1.73"/>
    <s v="ISEL-1.73"/>
    <n v="1"/>
    <s v="NO TIENE L3OUT"/>
    <n v="194"/>
    <n v="96"/>
  </r>
  <r>
    <n v="158"/>
    <x v="0"/>
    <x v="208"/>
    <s v="eth1/73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73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73"/>
    <x v="0"/>
    <x v="1"/>
    <x v="1"/>
    <s v="DESC"/>
    <x v="6"/>
    <b v="0"/>
    <s v="No está en VPC"/>
    <n v="112"/>
    <s v="INTPG_PC_112_1.68-73"/>
    <s v="ISEL-1.73"/>
    <n v="12"/>
    <s v="NO TIENE L3OUT"/>
    <n v="144"/>
    <n v="96"/>
  </r>
  <r>
    <n v="107"/>
    <x v="0"/>
    <x v="213"/>
    <s v="eth1/73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73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73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73"/>
    <x v="0"/>
    <x v="1"/>
    <x v="1"/>
    <s v="CFD"/>
    <x v="6"/>
    <b v="0"/>
    <s v="No está en VPC"/>
    <n v="114"/>
    <s v="INTPG_ACC_114_1.73"/>
    <s v="ISEL-1.73"/>
    <n v="1"/>
    <s v="NO TIENE L3OUT"/>
    <n v="144"/>
    <n v="96"/>
  </r>
  <r>
    <n v="124"/>
    <x v="0"/>
    <x v="217"/>
    <s v="eth1/73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73"/>
    <x v="0"/>
    <x v="0"/>
    <x v="0"/>
    <s v="ASAP BATCH"/>
    <x v="6"/>
    <b v="0"/>
    <s v="No está en VPC"/>
    <n v="118"/>
    <s v="INTPG_ACC_118_1.73"/>
    <s v="ISEL-1.73"/>
    <n v="1"/>
    <s v="NO TIENE L3OUT"/>
    <n v="180"/>
    <n v="96"/>
  </r>
  <r>
    <n v="159"/>
    <x v="0"/>
    <x v="219"/>
    <s v="eth1/73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73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73"/>
    <x v="0"/>
    <x v="0"/>
    <x v="0"/>
    <s v="UPGRADE _HP_OV"/>
    <x v="6"/>
    <b v="0"/>
    <s v="No está en VPC"/>
    <n v="163"/>
    <s v="INTPG_ACC_163_1.73"/>
    <s v="ISEL-1.73"/>
    <n v="1"/>
    <s v="NO TIENE L3OUT"/>
    <n v="140"/>
    <n v="96"/>
  </r>
  <r>
    <n v="407"/>
    <x v="1"/>
    <x v="224"/>
    <s v="eth1/73"/>
    <x v="0"/>
    <x v="0"/>
    <x v="0"/>
    <s v="BIGDATA PRINCIPAL"/>
    <x v="6"/>
    <b v="0"/>
    <s v="No está en VPC"/>
    <n v="407"/>
    <s v="INTPG_ACC_407_1.73"/>
    <s v="ISEL-1.73"/>
    <n v="1"/>
    <s v="NO TIENE L3OUT"/>
    <n v="122"/>
    <n v="96"/>
  </r>
  <r>
    <n v="171"/>
    <x v="0"/>
    <x v="225"/>
    <s v="eth1/73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73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73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73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73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73"/>
    <x v="0"/>
    <x v="1"/>
    <x v="1"/>
    <s v="TO-ITHVRNR640A_3-Principal"/>
    <x v="6"/>
    <b v="0"/>
    <s v="No está en VPC"/>
    <n v="420"/>
    <s v="INTPG_ACC_420_1.73"/>
    <s v="ISEL-1.73"/>
    <n v="1"/>
    <s v="NO TIENE L3OUT"/>
    <n v="158"/>
    <n v="96"/>
  </r>
  <r>
    <n v="423"/>
    <x v="1"/>
    <x v="231"/>
    <s v="eth1/73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73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73"/>
    <x v="0"/>
    <x v="0"/>
    <x v="0"/>
    <s v="SIEMC:uxedatum:onboard net0"/>
    <x v="6"/>
    <b v="0"/>
    <s v="No está en VPC"/>
    <n v="102"/>
    <s v="INTPG_ACC_102_1.73"/>
    <s v="ISEL-1.73"/>
    <n v="1"/>
    <s v="NO TIENE L3OUT"/>
    <n v="228"/>
    <n v="96"/>
  </r>
  <r>
    <n v="122"/>
    <x v="0"/>
    <x v="237"/>
    <s v="eth1/73"/>
    <x v="0"/>
    <x v="0"/>
    <x v="0"/>
    <s v="TRAP"/>
    <x v="6"/>
    <b v="0"/>
    <s v="No está en VPC"/>
    <n v="122"/>
    <s v="INTPG_PC_122_1.71-73"/>
    <s v="ISEL-1.73"/>
    <n v="1"/>
    <s v="NO TIENE L3OUT"/>
    <n v="148"/>
    <n v="96"/>
  </r>
  <r>
    <n v="157"/>
    <x v="0"/>
    <x v="238"/>
    <s v="eth1/73"/>
    <x v="0"/>
    <x v="0"/>
    <x v="0"/>
    <s v="ARIESO_GEOLOCALIZACION"/>
    <x v="6"/>
    <b v="0"/>
    <s v="No está en VPC"/>
    <n v="157"/>
    <s v="INTPG_ACC_157_1.73"/>
    <s v="ISEL-1.73"/>
    <n v="2"/>
    <s v="NO TIENE L3OUT"/>
    <n v="202"/>
    <n v="96"/>
  </r>
  <r>
    <n v="408"/>
    <x v="1"/>
    <x v="239"/>
    <s v="eth1/73"/>
    <x v="0"/>
    <x v="0"/>
    <x v="0"/>
    <s v="ITHRTCD3CONT2"/>
    <x v="6"/>
    <b v="0"/>
    <s v="No está en VPC"/>
    <n v="408"/>
    <s v="INTPG_ACC_408_1.73"/>
    <s v="ISEL-1.73"/>
    <n v="1"/>
    <s v="NO TIENE L3OUT"/>
    <n v="152"/>
    <n v="96"/>
  </r>
  <r>
    <n v="405"/>
    <x v="1"/>
    <x v="240"/>
    <s v="eth1/73"/>
    <x v="0"/>
    <x v="0"/>
    <x v="0"/>
    <s v="SOEM_prim_eth1"/>
    <x v="6"/>
    <b v="0"/>
    <s v="No está en VPC"/>
    <n v="405"/>
    <s v="INTPG_ACC_405_1.73"/>
    <s v="ISEL-1.73"/>
    <n v="1"/>
    <s v="NO TIENE L3OUT"/>
    <n v="138"/>
    <n v="96"/>
  </r>
  <r>
    <n v="169"/>
    <x v="0"/>
    <x v="241"/>
    <s v="eth1/73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73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73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73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73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73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73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73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73"/>
    <x v="0"/>
    <x v="0"/>
    <x v="0"/>
    <s v="ITHRTC41OA1"/>
    <x v="6"/>
    <b v="0"/>
    <s v="No está en VPC"/>
    <n v="406"/>
    <s v="INTPG_ACC_406_1.73"/>
    <s v="ISEL-1.73"/>
    <n v="1"/>
    <s v="NO TIENE L3OUT"/>
    <n v="82"/>
    <n v="96"/>
  </r>
  <r>
    <n v="414"/>
    <x v="1"/>
    <x v="250"/>
    <s v="eth1/73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73"/>
    <x v="0"/>
    <x v="0"/>
    <x v="0"/>
    <s v="B6200D_DT_1"/>
    <x v="6"/>
    <b v="0"/>
    <s v="No está en VPC"/>
    <n v="416"/>
    <s v="INTPG_ACC_416_1.73"/>
    <s v="ISEL-1.73"/>
    <n v="1"/>
    <s v="NO TIENE L3OUT"/>
    <n v="110"/>
    <n v="96"/>
  </r>
  <r>
    <n v="418"/>
    <x v="1"/>
    <x v="252"/>
    <s v="eth1/73"/>
    <x v="0"/>
    <x v="0"/>
    <x v="0"/>
    <s v="TEMIPCLOUD_A02"/>
    <x v="6"/>
    <b v="0"/>
    <s v="No está en VPC"/>
    <n v="418"/>
    <s v="INTPG_ACC_418_1.73"/>
    <s v="ISEL-1.73"/>
    <n v="6"/>
    <s v="NO TIENE L3OUT"/>
    <n v="152"/>
    <n v="96"/>
  </r>
  <r>
    <n v="413"/>
    <x v="1"/>
    <x v="253"/>
    <s v="eth1/73"/>
    <x v="0"/>
    <x v="0"/>
    <x v="0"/>
    <s v="VSP_G1K"/>
    <x v="6"/>
    <b v="0"/>
    <s v="No está en VPC"/>
    <n v="413"/>
    <s v="INTPG_ACC_413_1.73"/>
    <s v="ISEL-1.73"/>
    <n v="1"/>
    <s v="NO TIENE L3OUT"/>
    <n v="126"/>
    <n v="96"/>
  </r>
  <r>
    <n v="403"/>
    <x v="1"/>
    <x v="254"/>
    <s v="eth1/73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73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73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73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73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73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73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73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73"/>
    <x v="0"/>
    <x v="1"/>
    <x v="1"/>
    <s v="ETLI-SACI 8"/>
    <x v="6"/>
    <b v="0"/>
    <s v="No está en VPC"/>
    <n v="151"/>
    <s v="INTPG_ACC_151_1.73"/>
    <s v="ISEL-1.73"/>
    <n v="1"/>
    <s v="NO TIENE L3OUT"/>
    <n v="86"/>
    <n v="96"/>
  </r>
  <r>
    <n v="430"/>
    <x v="1"/>
    <x v="263"/>
    <s v="eth1/73"/>
    <x v="0"/>
    <x v="0"/>
    <x v="0"/>
    <s v="ECAC_PROD2_ILO"/>
    <x v="6"/>
    <b v="0"/>
    <s v="No está en VPC"/>
    <n v="430"/>
    <s v="INTPG_ACC_430_1.73"/>
    <s v="ISEL-1.73"/>
    <n v="1"/>
    <s v="NO TIENE L3OUT"/>
    <n v="86"/>
    <n v="96"/>
  </r>
  <r>
    <n v="419"/>
    <x v="1"/>
    <x v="264"/>
    <s v="eth1/73"/>
    <x v="0"/>
    <x v="0"/>
    <x v="0"/>
    <s v="HP Proliant DL380p(c)"/>
    <x v="6"/>
    <b v="0"/>
    <s v="No está en VPC"/>
    <n v="419"/>
    <s v="INTPG_ACC_419_1.73"/>
    <s v="ISEL-1.73"/>
    <n v="1"/>
    <s v="NO TIENE L3OUT"/>
    <n v="70"/>
    <n v="96"/>
  </r>
  <r>
    <n v="155"/>
    <x v="0"/>
    <x v="265"/>
    <s v="eth1/73"/>
    <x v="0"/>
    <x v="0"/>
    <x v="0"/>
    <s v="ARIESO_GEOLOCALIZACION"/>
    <x v="6"/>
    <b v="0"/>
    <s v="No está en VPC"/>
    <n v="155"/>
    <s v="INTPG_ACC_155_1.73"/>
    <s v="ISEL-1.73"/>
    <n v="2"/>
    <s v="NO TIENE L3OUT"/>
    <n v="198"/>
    <n v="96"/>
  </r>
  <r>
    <n v="409"/>
    <x v="1"/>
    <x v="266"/>
    <s v="eth1/73"/>
    <x v="0"/>
    <x v="0"/>
    <x v="0"/>
    <s v="BIGDATA SECUNDARIO"/>
    <x v="6"/>
    <b v="0"/>
    <s v="No está en VPC"/>
    <n v="409"/>
    <s v="INTPG_ACC_409_1.73"/>
    <s v="ISEL-1.73"/>
    <n v="1"/>
    <s v="NO TIENE L3OUT"/>
    <n v="128"/>
    <n v="96"/>
  </r>
  <r>
    <n v="422"/>
    <x v="1"/>
    <x v="267"/>
    <s v="eth1/73"/>
    <x v="0"/>
    <x v="0"/>
    <x v="0"/>
    <s v="sfmevp06"/>
    <x v="6"/>
    <b v="0"/>
    <s v="No está en VPC"/>
    <n v="422"/>
    <s v="INTPG_ACC_422_1.73"/>
    <s v="ISEL-1.73"/>
    <n v="1"/>
    <s v="NO TIENE L3OUT"/>
    <n v="182"/>
    <n v="96"/>
  </r>
  <r>
    <n v="436"/>
    <x v="1"/>
    <x v="268"/>
    <s v="eth1/73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73"/>
    <x v="0"/>
    <x v="1"/>
    <x v="1"/>
    <s v="ITHRTC3LSW1"/>
    <x v="6"/>
    <b v="0"/>
    <s v="No está en VPC"/>
    <n v="410"/>
    <s v="INTPG_ACC_410_1.73"/>
    <s v="ISEL-1.73"/>
    <n v="1"/>
    <s v="NO TIENE L3OUT"/>
    <n v="178"/>
    <n v="96"/>
  </r>
  <r>
    <n v="161"/>
    <x v="0"/>
    <x v="270"/>
    <s v="eth1/73"/>
    <x v="0"/>
    <x v="0"/>
    <x v="0"/>
    <s v="CELCITE"/>
    <x v="6"/>
    <b v="0"/>
    <s v="No está en VPC"/>
    <n v="161"/>
    <s v="INTPG_ACC_161_1.73"/>
    <s v="ISEL-1.73"/>
    <n v="1"/>
    <s v="NO TIENE L3OUT"/>
    <n v="102"/>
    <n v="96"/>
  </r>
  <r>
    <n v="411"/>
    <x v="1"/>
    <x v="271"/>
    <s v="eth1/73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73"/>
    <x v="0"/>
    <x v="1"/>
    <x v="1"/>
    <m/>
    <x v="6"/>
    <b v="0"/>
    <s v="No está en VPC"/>
    <n v="116"/>
    <s v="NO EXISTE PG"/>
    <s v="NO EXISTE ISEL"/>
    <n v="0"/>
    <s v="NO TIENE L3OUT"/>
    <n v="148"/>
    <n v="96"/>
  </r>
  <r>
    <n v="412"/>
    <x v="1"/>
    <x v="273"/>
    <s v="eth1/73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73"/>
    <x v="0"/>
    <x v="0"/>
    <x v="0"/>
    <s v="N/A"/>
    <x v="6"/>
    <b v="0"/>
    <s v="No está en VPC"/>
    <n v="120"/>
    <s v="INTPG_ACC_120_1.73"/>
    <s v="ISEL-1.73"/>
    <n v="1"/>
    <s v="NO TIENE L3OUT"/>
    <n v="158"/>
    <n v="96"/>
  </r>
  <r>
    <n v="404"/>
    <x v="1"/>
    <x v="275"/>
    <s v="eth1/73"/>
    <x v="0"/>
    <x v="0"/>
    <x v="0"/>
    <s v="ITHRTC2OA1"/>
    <x v="6"/>
    <b v="0"/>
    <s v="No está en VPC"/>
    <n v="404"/>
    <s v="INTPG_ACC_404_1.73"/>
    <s v="ISEL-1.73"/>
    <n v="1"/>
    <s v="NO TIENE L3OUT"/>
    <n v="92"/>
    <n v="96"/>
  </r>
  <r>
    <n v="167"/>
    <x v="0"/>
    <x v="276"/>
    <s v="eth1/73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73"/>
    <x v="0"/>
    <x v="1"/>
    <x v="1"/>
    <s v="sfrevp12_MGMT_RHEV_HUAWEI"/>
    <x v="6"/>
    <b v="0"/>
    <s v="No está en VPC"/>
    <n v="428"/>
    <s v="INTPG_ACC_428_1.73"/>
    <s v="ISEL-1.73"/>
    <n v="1"/>
    <s v="NO TIENE L3OUT"/>
    <n v="102"/>
    <n v="96"/>
  </r>
  <r>
    <n v="105"/>
    <x v="0"/>
    <x v="205"/>
    <s v="eth1/74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74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74"/>
    <x v="0"/>
    <x v="0"/>
    <x v="0"/>
    <s v="DataWharehosue"/>
    <x v="6"/>
    <b v="0"/>
    <s v="No está en VPC"/>
    <n v="104"/>
    <s v="INTPG_ACC_104_1.74"/>
    <s v="ISEL-1.74"/>
    <n v="1"/>
    <s v="NO TIENE L3OUT"/>
    <n v="194"/>
    <n v="96"/>
  </r>
  <r>
    <n v="158"/>
    <x v="0"/>
    <x v="208"/>
    <s v="eth1/74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74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74"/>
    <x v="0"/>
    <x v="1"/>
    <x v="1"/>
    <s v="RATING FASE2 BLADES"/>
    <x v="6"/>
    <b v="0"/>
    <s v="No está en VPC"/>
    <n v="112"/>
    <s v="INTPG_ACC_112_1.74"/>
    <s v="ISEL-1.74"/>
    <n v="1"/>
    <s v="NO TIENE L3OUT"/>
    <n v="144"/>
    <n v="96"/>
  </r>
  <r>
    <n v="107"/>
    <x v="0"/>
    <x v="213"/>
    <s v="eth1/74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74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74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74"/>
    <x v="0"/>
    <x v="1"/>
    <x v="1"/>
    <m/>
    <x v="6"/>
    <b v="0"/>
    <s v="No está en VPC"/>
    <n v="114"/>
    <s v="INTPG_VPC_114_1.74_112_1.75"/>
    <s v="ISEL-1.74"/>
    <n v="1"/>
    <s v="NO TIENE L3OUT"/>
    <n v="144"/>
    <n v="96"/>
  </r>
  <r>
    <n v="124"/>
    <x v="0"/>
    <x v="217"/>
    <s v="eth1/74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74"/>
    <x v="0"/>
    <x v="0"/>
    <x v="0"/>
    <s v="ASAP BATCH"/>
    <x v="6"/>
    <b v="0"/>
    <s v="No está en VPC"/>
    <n v="118"/>
    <s v="INTPG_ACC_118_1.74"/>
    <s v="ISEL-1.74"/>
    <n v="1"/>
    <s v="NO TIENE L3OUT"/>
    <n v="180"/>
    <n v="96"/>
  </r>
  <r>
    <n v="159"/>
    <x v="0"/>
    <x v="219"/>
    <s v="eth1/74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74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74"/>
    <x v="0"/>
    <x v="0"/>
    <x v="0"/>
    <s v="UPGRADE _HP_OV"/>
    <x v="6"/>
    <b v="0"/>
    <s v="No está en VPC"/>
    <n v="163"/>
    <s v="INTPG_ACC_163_1.74"/>
    <s v="ISEL-1.74"/>
    <n v="1"/>
    <s v="NO TIENE L3OUT"/>
    <n v="140"/>
    <n v="96"/>
  </r>
  <r>
    <n v="407"/>
    <x v="1"/>
    <x v="224"/>
    <s v="eth1/74"/>
    <x v="0"/>
    <x v="0"/>
    <x v="0"/>
    <s v="Ithuimbd1"/>
    <x v="6"/>
    <b v="0"/>
    <s v="No está en VPC"/>
    <n v="407"/>
    <s v="INTPG_VPC_407_1.74_409_1.74"/>
    <s v="ISEL-1.74"/>
    <n v="1"/>
    <s v="NO TIENE L3OUT"/>
    <n v="122"/>
    <n v="96"/>
  </r>
  <r>
    <n v="171"/>
    <x v="0"/>
    <x v="225"/>
    <s v="eth1/74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74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74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74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74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74"/>
    <x v="0"/>
    <x v="0"/>
    <x v="0"/>
    <s v="TO-ITHVRNR640A_4-Principal"/>
    <x v="6"/>
    <b v="0"/>
    <s v="No está en VPC"/>
    <n v="420"/>
    <s v="INTPG_ACC_420_1.74"/>
    <s v="ISEL-1.74"/>
    <n v="1"/>
    <s v="NO TIENE L3OUT"/>
    <n v="158"/>
    <n v="96"/>
  </r>
  <r>
    <n v="423"/>
    <x v="1"/>
    <x v="231"/>
    <s v="eth1/74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74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74"/>
    <x v="0"/>
    <x v="0"/>
    <x v="0"/>
    <s v="SILOT:b0abf28e4n:LAN 1"/>
    <x v="6"/>
    <b v="0"/>
    <s v="No está en VPC"/>
    <n v="102"/>
    <s v="INTPG_ACC_102_1.74"/>
    <s v="ISEL-1.74"/>
    <n v="1"/>
    <s v="NO TIENE L3OUT"/>
    <n v="228"/>
    <n v="96"/>
  </r>
  <r>
    <n v="122"/>
    <x v="0"/>
    <x v="237"/>
    <s v="eth1/74"/>
    <x v="0"/>
    <x v="0"/>
    <x v="0"/>
    <m/>
    <x v="6"/>
    <b v="0"/>
    <s v="No está en VPC"/>
    <n v="122"/>
    <s v="INTPG_ACC_122_1.74"/>
    <s v="ISEL-1.74"/>
    <n v="1"/>
    <s v="NO TIENE L3OUT"/>
    <n v="148"/>
    <n v="96"/>
  </r>
  <r>
    <n v="157"/>
    <x v="0"/>
    <x v="238"/>
    <s v="eth1/74"/>
    <x v="0"/>
    <x v="0"/>
    <x v="0"/>
    <s v="ARIESO_GEOLOCALIZACION"/>
    <x v="6"/>
    <b v="0"/>
    <s v="No está en VPC"/>
    <n v="157"/>
    <s v="INTPG_ACC_157_1.74"/>
    <s v="ISEL-1.74"/>
    <n v="2"/>
    <s v="NO TIENE L3OUT"/>
    <n v="202"/>
    <n v="96"/>
  </r>
  <r>
    <n v="408"/>
    <x v="1"/>
    <x v="239"/>
    <s v="eth1/74"/>
    <x v="0"/>
    <x v="0"/>
    <x v="0"/>
    <s v="ITHRTCD3SP12"/>
    <x v="6"/>
    <b v="0"/>
    <s v="No está en VPC"/>
    <n v="408"/>
    <s v="INTPG_ACC_408_1.74"/>
    <s v="ISEL-1.74"/>
    <n v="1"/>
    <s v="NO TIENE L3OUT"/>
    <n v="152"/>
    <n v="96"/>
  </r>
  <r>
    <n v="405"/>
    <x v="1"/>
    <x v="240"/>
    <s v="eth1/74"/>
    <x v="0"/>
    <x v="0"/>
    <x v="0"/>
    <s v="SOEM_prim_eth4"/>
    <x v="6"/>
    <b v="0"/>
    <s v="No está en VPC"/>
    <n v="405"/>
    <s v="INTPG_ACC_405_1.74"/>
    <s v="ISEL-1.74"/>
    <n v="1"/>
    <s v="NO TIENE L3OUT"/>
    <n v="138"/>
    <n v="96"/>
  </r>
  <r>
    <n v="169"/>
    <x v="0"/>
    <x v="241"/>
    <s v="eth1/74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74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74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74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74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74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74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74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74"/>
    <x v="0"/>
    <x v="1"/>
    <x v="1"/>
    <s v="ITHRTC42OA1"/>
    <x v="6"/>
    <b v="0"/>
    <s v="No está en VPC"/>
    <n v="406"/>
    <s v="INTPG_ACC_406_1.74"/>
    <s v="ISEL-1.74"/>
    <n v="1"/>
    <s v="NO TIENE L3OUT"/>
    <n v="82"/>
    <n v="96"/>
  </r>
  <r>
    <n v="414"/>
    <x v="1"/>
    <x v="250"/>
    <s v="eth1/74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74"/>
    <x v="0"/>
    <x v="0"/>
    <x v="0"/>
    <s v="ESL_G3_IO"/>
    <x v="6"/>
    <b v="0"/>
    <s v="No está en VPC"/>
    <n v="416"/>
    <s v="INTPG_ACC_416_1.74"/>
    <s v="ISEL-1.74"/>
    <n v="1"/>
    <s v="NO TIENE L3OUT"/>
    <n v="110"/>
    <n v="96"/>
  </r>
  <r>
    <n v="418"/>
    <x v="1"/>
    <x v="252"/>
    <s v="eth1/74"/>
    <x v="0"/>
    <x v="0"/>
    <x v="0"/>
    <s v="TEMIPCLOUD_A04"/>
    <x v="6"/>
    <b v="0"/>
    <s v="No está en VPC"/>
    <n v="418"/>
    <s v="INTPG_ACC_418_1.74"/>
    <s v="ISEL-1.74"/>
    <n v="6"/>
    <s v="NO TIENE L3OUT"/>
    <n v="152"/>
    <n v="96"/>
  </r>
  <r>
    <n v="413"/>
    <x v="1"/>
    <x v="253"/>
    <s v="eth1/74"/>
    <x v="0"/>
    <x v="1"/>
    <x v="1"/>
    <s v="F5_MASIVAS_f5-zryy-ajml_mgmt"/>
    <x v="6"/>
    <b v="0"/>
    <s v="No está en VPC"/>
    <n v="413"/>
    <s v="INTPG_ACC_413_1.74"/>
    <s v="ISEL-1.74"/>
    <n v="1"/>
    <s v="NO TIENE L3OUT"/>
    <n v="126"/>
    <n v="96"/>
  </r>
  <r>
    <n v="403"/>
    <x v="1"/>
    <x v="254"/>
    <s v="eth1/74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74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74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74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74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74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74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74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74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74"/>
    <x v="0"/>
    <x v="0"/>
    <x v="0"/>
    <s v="TO-ITHFORZDLRXGW01-NET_MGT"/>
    <x v="6"/>
    <b v="0"/>
    <s v="No está en VPC"/>
    <n v="430"/>
    <s v="INTPG_ACC_430_1.74"/>
    <s v="ISEL-1.74"/>
    <n v="1"/>
    <s v="NO TIENE L3OUT"/>
    <n v="86"/>
    <n v="96"/>
  </r>
  <r>
    <n v="419"/>
    <x v="1"/>
    <x v="264"/>
    <s v="eth1/74"/>
    <x v="0"/>
    <x v="0"/>
    <x v="0"/>
    <s v="HP Proliant DL380p(d)"/>
    <x v="6"/>
    <b v="0"/>
    <s v="No está en VPC"/>
    <n v="419"/>
    <s v="INTPG_ACC_419_1.74"/>
    <s v="ISEL-1.74"/>
    <n v="1"/>
    <s v="NO TIENE L3OUT"/>
    <n v="70"/>
    <n v="96"/>
  </r>
  <r>
    <n v="155"/>
    <x v="0"/>
    <x v="265"/>
    <s v="eth1/74"/>
    <x v="0"/>
    <x v="0"/>
    <x v="0"/>
    <s v="Consolidaci\u00f3n Aplicaciones Prepago"/>
    <x v="6"/>
    <b v="0"/>
    <s v="No está en VPC"/>
    <n v="155"/>
    <s v="INTPG_ACC_155_1.74"/>
    <s v="ISEL-1.74"/>
    <n v="1"/>
    <s v="NO TIENE L3OUT"/>
    <n v="198"/>
    <n v="96"/>
  </r>
  <r>
    <n v="409"/>
    <x v="1"/>
    <x v="266"/>
    <s v="eth1/74"/>
    <x v="0"/>
    <x v="0"/>
    <x v="0"/>
    <s v="Ithuimbd1"/>
    <x v="6"/>
    <b v="0"/>
    <s v="No está en VPC"/>
    <n v="409"/>
    <s v="INTPG_VPC_407_1.74_409_1.74"/>
    <s v="ISEL-1.74"/>
    <n v="1"/>
    <s v="NO TIENE L3OUT"/>
    <n v="128"/>
    <n v="96"/>
  </r>
  <r>
    <n v="422"/>
    <x v="1"/>
    <x v="267"/>
    <s v="eth1/74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74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74"/>
    <x v="0"/>
    <x v="0"/>
    <x v="0"/>
    <s v="ITHRTC41VC2-4"/>
    <x v="6"/>
    <b v="0"/>
    <s v="No está en VPC"/>
    <n v="410"/>
    <s v="INTPG_ACC_410_1.74"/>
    <s v="ISEL-1.74"/>
    <n v="1"/>
    <s v="NO TIENE L3OUT"/>
    <n v="178"/>
    <n v="96"/>
  </r>
  <r>
    <n v="161"/>
    <x v="0"/>
    <x v="270"/>
    <s v="eth1/74"/>
    <x v="0"/>
    <x v="0"/>
    <x v="0"/>
    <s v="IMEISRE_i4"/>
    <x v="6"/>
    <b v="0"/>
    <s v="No está en VPC"/>
    <n v="161"/>
    <s v="INTPG_VPC_161_1.74-75_163_1.85-86"/>
    <s v="ISEL-1.74"/>
    <n v="1"/>
    <s v="NO TIENE L3OUT"/>
    <n v="102"/>
    <n v="96"/>
  </r>
  <r>
    <n v="411"/>
    <x v="1"/>
    <x v="271"/>
    <s v="eth1/74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74"/>
    <x v="0"/>
    <x v="1"/>
    <x v="1"/>
    <m/>
    <x v="6"/>
    <b v="0"/>
    <s v="No está en VPC"/>
    <n v="116"/>
    <s v="NO EXISTE PG"/>
    <s v="NO EXISTE ISEL"/>
    <n v="0"/>
    <s v="NO TIENE L3OUT"/>
    <n v="148"/>
    <n v="96"/>
  </r>
  <r>
    <n v="412"/>
    <x v="1"/>
    <x v="273"/>
    <s v="eth1/74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74"/>
    <x v="0"/>
    <x v="0"/>
    <x v="0"/>
    <s v="N/A"/>
    <x v="6"/>
    <b v="0"/>
    <s v="No está en VPC"/>
    <n v="120"/>
    <s v="INTPG_ACC_120_1.74"/>
    <s v="ISEL-1.74"/>
    <n v="1"/>
    <s v="NO TIENE L3OUT"/>
    <n v="158"/>
    <n v="96"/>
  </r>
  <r>
    <n v="404"/>
    <x v="1"/>
    <x v="275"/>
    <s v="eth1/74"/>
    <x v="0"/>
    <x v="0"/>
    <x v="0"/>
    <s v="ITHRTC21VC1"/>
    <x v="6"/>
    <b v="0"/>
    <s v="No está en VPC"/>
    <n v="404"/>
    <s v="INTPG_ACC_404_1.74"/>
    <s v="ISEL-1.74"/>
    <n v="1"/>
    <s v="NO TIENE L3OUT"/>
    <n v="92"/>
    <n v="96"/>
  </r>
  <r>
    <n v="167"/>
    <x v="0"/>
    <x v="276"/>
    <s v="eth1/74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74"/>
    <x v="0"/>
    <x v="1"/>
    <x v="1"/>
    <s v="s6800t_PTO2_MGMT_RHEV_HUAWEI"/>
    <x v="6"/>
    <b v="0"/>
    <s v="No está en VPC"/>
    <n v="428"/>
    <s v="INTPG_ACC_428_1.74"/>
    <s v="ISEL-1.74"/>
    <n v="1"/>
    <s v="NO TIENE L3OUT"/>
    <n v="102"/>
    <n v="96"/>
  </r>
  <r>
    <n v="105"/>
    <x v="0"/>
    <x v="205"/>
    <s v="eth1/75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75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75"/>
    <x v="0"/>
    <x v="0"/>
    <x v="0"/>
    <s v="SILOT"/>
    <x v="6"/>
    <b v="0"/>
    <s v="No está en VPC"/>
    <n v="104"/>
    <s v="INTPG_ACC_104_1.75"/>
    <s v="ISEL-1.75"/>
    <n v="1"/>
    <s v="NO TIENE L3OUT"/>
    <n v="194"/>
    <n v="96"/>
  </r>
  <r>
    <n v="158"/>
    <x v="0"/>
    <x v="208"/>
    <s v="eth1/75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75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75"/>
    <x v="0"/>
    <x v="1"/>
    <x v="1"/>
    <m/>
    <x v="6"/>
    <b v="0"/>
    <s v="No está en VPC"/>
    <n v="112"/>
    <s v="INTPG_VPC_114_1.74_112_1.75"/>
    <s v="ISEL-1.75"/>
    <n v="1"/>
    <s v="NO TIENE L3OUT"/>
    <n v="144"/>
    <n v="96"/>
  </r>
  <r>
    <n v="107"/>
    <x v="0"/>
    <x v="213"/>
    <s v="eth1/75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75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75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75"/>
    <x v="0"/>
    <x v="0"/>
    <x v="0"/>
    <s v="VIRTUAL MACHINE 3"/>
    <x v="6"/>
    <b v="0"/>
    <s v="No está en VPC"/>
    <n v="114"/>
    <s v="INTPG_ACC_114_1.75"/>
    <s v="ISEL-1.75"/>
    <n v="1"/>
    <s v="NO TIENE L3OUT"/>
    <n v="144"/>
    <n v="96"/>
  </r>
  <r>
    <n v="124"/>
    <x v="0"/>
    <x v="217"/>
    <s v="eth1/75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75"/>
    <x v="1"/>
    <x v="1"/>
    <x v="2"/>
    <s v="ASAP BATCH"/>
    <x v="6"/>
    <b v="0"/>
    <s v="No está en VPC"/>
    <n v="118"/>
    <s v="INTPG_ACC_118_1.75"/>
    <s v="ISEL-1.75"/>
    <n v="0"/>
    <s v="NO TIENE L3OUT"/>
    <n v="180"/>
    <n v="96"/>
  </r>
  <r>
    <n v="159"/>
    <x v="0"/>
    <x v="219"/>
    <s v="eth1/75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75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75"/>
    <x v="0"/>
    <x v="0"/>
    <x v="0"/>
    <s v="UPGRADE _HP_OV"/>
    <x v="6"/>
    <b v="0"/>
    <s v="No está en VPC"/>
    <n v="163"/>
    <s v="INTPG_ACC_163_1.75"/>
    <s v="ISEL-1.75"/>
    <n v="1"/>
    <s v="NO TIENE L3OUT"/>
    <n v="140"/>
    <n v="96"/>
  </r>
  <r>
    <n v="407"/>
    <x v="1"/>
    <x v="224"/>
    <s v="eth1/75"/>
    <x v="0"/>
    <x v="0"/>
    <x v="0"/>
    <s v="Ithuimapp1"/>
    <x v="6"/>
    <b v="0"/>
    <s v="No está en VPC"/>
    <n v="407"/>
    <s v="INTPG_VPC_407_1.75_409_1.75"/>
    <s v="ISEL-1.75"/>
    <n v="1"/>
    <s v="NO TIENE L3OUT"/>
    <n v="122"/>
    <n v="96"/>
  </r>
  <r>
    <n v="171"/>
    <x v="0"/>
    <x v="225"/>
    <s v="eth1/75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75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75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75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75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75"/>
    <x v="0"/>
    <x v="1"/>
    <x v="1"/>
    <s v="To_BOTSINK3500_Pto_0"/>
    <x v="6"/>
    <b v="0"/>
    <s v="No está en VPC"/>
    <n v="420"/>
    <s v="INTPG_ACC_420_1.75"/>
    <s v="ISEL-1.75"/>
    <n v="1"/>
    <s v="NO TIENE L3OUT"/>
    <n v="158"/>
    <n v="96"/>
  </r>
  <r>
    <n v="423"/>
    <x v="1"/>
    <x v="231"/>
    <s v="eth1/75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75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75"/>
    <x v="0"/>
    <x v="1"/>
    <x v="1"/>
    <s v="SILOT:uxsilacs:GLAN0"/>
    <x v="6"/>
    <b v="0"/>
    <s v="No está en VPC"/>
    <n v="102"/>
    <s v="INTPG_ACC_102_1.75"/>
    <s v="ISEL-1.75"/>
    <n v="1"/>
    <s v="NO TIENE L3OUT"/>
    <n v="228"/>
    <n v="96"/>
  </r>
  <r>
    <n v="122"/>
    <x v="0"/>
    <x v="237"/>
    <s v="eth1/75"/>
    <x v="1"/>
    <x v="1"/>
    <x v="2"/>
    <s v="INTRANET CORPORATIVA"/>
    <x v="6"/>
    <b v="0"/>
    <s v="No está en VPC"/>
    <n v="122"/>
    <s v="INTPG_ACC_122_1.75"/>
    <s v="ISEL-1.75"/>
    <n v="1"/>
    <s v="NO TIENE L3OUT"/>
    <n v="148"/>
    <n v="96"/>
  </r>
  <r>
    <n v="157"/>
    <x v="0"/>
    <x v="238"/>
    <s v="eth1/75"/>
    <x v="0"/>
    <x v="0"/>
    <x v="0"/>
    <s v="ARIESO_GEOLOCALIZACION"/>
    <x v="6"/>
    <b v="0"/>
    <s v="No está en VPC"/>
    <n v="157"/>
    <s v="INTPG_ACC_157_1.75"/>
    <s v="ISEL-1.75"/>
    <n v="2"/>
    <s v="NO TIENE L3OUT"/>
    <n v="202"/>
    <n v="96"/>
  </r>
  <r>
    <n v="408"/>
    <x v="1"/>
    <x v="239"/>
    <s v="eth1/75"/>
    <x v="0"/>
    <x v="0"/>
    <x v="0"/>
    <s v="ITHRTCD3SSW1"/>
    <x v="6"/>
    <b v="0"/>
    <s v="No está en VPC"/>
    <n v="408"/>
    <s v="INTPG_ACC_408_1.75"/>
    <s v="ISEL-1.75"/>
    <n v="1"/>
    <s v="NO TIENE L3OUT"/>
    <n v="152"/>
    <n v="96"/>
  </r>
  <r>
    <n v="405"/>
    <x v="1"/>
    <x v="240"/>
    <s v="eth1/75"/>
    <x v="0"/>
    <x v="0"/>
    <x v="0"/>
    <s v="SOEM_sec_eth0"/>
    <x v="6"/>
    <b v="0"/>
    <s v="No está en VPC"/>
    <n v="405"/>
    <s v="INTPG_ACC_405_1.75"/>
    <s v="ISEL-1.75"/>
    <n v="1"/>
    <s v="NO TIENE L3OUT"/>
    <n v="138"/>
    <n v="96"/>
  </r>
  <r>
    <n v="169"/>
    <x v="0"/>
    <x v="241"/>
    <s v="eth1/75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75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75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75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75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75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75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75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75"/>
    <x v="0"/>
    <x v="0"/>
    <x v="0"/>
    <s v="ITHRTCD2CONT1"/>
    <x v="6"/>
    <b v="0"/>
    <s v="No está en VPC"/>
    <n v="406"/>
    <s v="INTPG_ACC_406_1.75"/>
    <s v="ISEL-1.75"/>
    <n v="1"/>
    <s v="NO TIENE L3OUT"/>
    <n v="82"/>
    <n v="96"/>
  </r>
  <r>
    <n v="414"/>
    <x v="1"/>
    <x v="250"/>
    <s v="eth1/75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75"/>
    <x v="0"/>
    <x v="0"/>
    <x v="0"/>
    <s v="FAZ-FORTINETR9"/>
    <x v="6"/>
    <b v="0"/>
    <s v="No está en VPC"/>
    <n v="416"/>
    <s v="INTPG_ACC_416_1.75"/>
    <s v="ISEL-1.75"/>
    <n v="1"/>
    <s v="NO TIENE L3OUT"/>
    <n v="110"/>
    <n v="96"/>
  </r>
  <r>
    <n v="418"/>
    <x v="1"/>
    <x v="252"/>
    <s v="eth1/75"/>
    <x v="0"/>
    <x v="0"/>
    <x v="0"/>
    <s v="TEMIPCLOUD_A05"/>
    <x v="6"/>
    <b v="0"/>
    <s v="No está en VPC"/>
    <n v="418"/>
    <s v="INTPG_ACC_418_1.75"/>
    <s v="ISEL-1.75"/>
    <n v="6"/>
    <s v="NO TIENE L3OUT"/>
    <n v="152"/>
    <n v="96"/>
  </r>
  <r>
    <n v="413"/>
    <x v="1"/>
    <x v="253"/>
    <s v="eth1/75"/>
    <x v="0"/>
    <x v="1"/>
    <x v="1"/>
    <s v="F5_MASIVAS_f5-zryy-ajml_1.1"/>
    <x v="6"/>
    <b v="0"/>
    <s v="No está en VPC"/>
    <n v="413"/>
    <s v="INTPG_ACC_413_1.75"/>
    <s v="ISEL-1.75"/>
    <n v="1"/>
    <s v="NO TIENE L3OUT"/>
    <n v="126"/>
    <n v="96"/>
  </r>
  <r>
    <n v="403"/>
    <x v="1"/>
    <x v="254"/>
    <s v="eth1/75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75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75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75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75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75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75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75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75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75"/>
    <x v="0"/>
    <x v="0"/>
    <x v="0"/>
    <s v="TO-ITHORAZDLRSW01-PORT_48"/>
    <x v="6"/>
    <b v="0"/>
    <s v="No está en VPC"/>
    <n v="430"/>
    <s v="INTPG_ACC_430_1.75"/>
    <s v="ISEL-1.75"/>
    <n v="1"/>
    <s v="NO TIENE L3OUT"/>
    <n v="86"/>
    <n v="96"/>
  </r>
  <r>
    <n v="419"/>
    <x v="1"/>
    <x v="264"/>
    <s v="eth1/75"/>
    <x v="0"/>
    <x v="0"/>
    <x v="0"/>
    <s v="HP Proliant DL380p(d)"/>
    <x v="6"/>
    <b v="0"/>
    <s v="No está en VPC"/>
    <n v="419"/>
    <s v="INTPG_ACC_419_1.75"/>
    <s v="ISEL-1.75"/>
    <n v="1"/>
    <s v="NO TIENE L3OUT"/>
    <n v="70"/>
    <n v="96"/>
  </r>
  <r>
    <n v="155"/>
    <x v="0"/>
    <x v="265"/>
    <s v="eth1/75"/>
    <x v="0"/>
    <x v="0"/>
    <x v="0"/>
    <s v="Consolidaci\u00f3n Aplicaciones Prepago"/>
    <x v="6"/>
    <b v="0"/>
    <s v="No está en VPC"/>
    <n v="155"/>
    <s v="INTPG_ACC_155_1.75"/>
    <s v="ISEL-1.75"/>
    <n v="1"/>
    <s v="NO TIENE L3OUT"/>
    <n v="198"/>
    <n v="96"/>
  </r>
  <r>
    <n v="409"/>
    <x v="1"/>
    <x v="266"/>
    <s v="eth1/75"/>
    <x v="0"/>
    <x v="0"/>
    <x v="0"/>
    <s v="Ithuimapp1"/>
    <x v="6"/>
    <b v="0"/>
    <s v="No está en VPC"/>
    <n v="409"/>
    <s v="INTPG_VPC_407_1.75_409_1.75"/>
    <s v="ISEL-1.75"/>
    <n v="1"/>
    <s v="NO TIENE L3OUT"/>
    <n v="128"/>
    <n v="96"/>
  </r>
  <r>
    <n v="422"/>
    <x v="1"/>
    <x v="267"/>
    <s v="eth1/75"/>
    <x v="0"/>
    <x v="1"/>
    <x v="1"/>
    <s v="SMUIXTLA5_ILO"/>
    <x v="6"/>
    <b v="0"/>
    <s v="No está en VPC"/>
    <n v="422"/>
    <s v="INTPG_ACC_422_1.75"/>
    <s v="ISEL-1.75"/>
    <n v="1"/>
    <s v="NO TIENE L3OUT"/>
    <n v="182"/>
    <n v="96"/>
  </r>
  <r>
    <n v="436"/>
    <x v="1"/>
    <x v="268"/>
    <s v="eth1/75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75"/>
    <x v="0"/>
    <x v="0"/>
    <x v="0"/>
    <s v="ITHRTC42VC2-4"/>
    <x v="6"/>
    <b v="0"/>
    <s v="No está en VPC"/>
    <n v="410"/>
    <s v="INTPG_ACC_410_1.75"/>
    <s v="ISEL-1.75"/>
    <n v="1"/>
    <s v="NO TIENE L3OUT"/>
    <n v="178"/>
    <n v="96"/>
  </r>
  <r>
    <n v="161"/>
    <x v="0"/>
    <x v="270"/>
    <s v="eth1/75"/>
    <x v="0"/>
    <x v="0"/>
    <x v="0"/>
    <s v="IMEISRE_i4"/>
    <x v="6"/>
    <b v="0"/>
    <s v="No está en VPC"/>
    <n v="161"/>
    <s v="INTPG_VPC_161_1.74-75_163_1.85-86"/>
    <s v="ISEL-1.75"/>
    <n v="1"/>
    <s v="NO TIENE L3OUT"/>
    <n v="102"/>
    <n v="96"/>
  </r>
  <r>
    <n v="411"/>
    <x v="1"/>
    <x v="271"/>
    <s v="eth1/75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75"/>
    <x v="0"/>
    <x v="1"/>
    <x v="1"/>
    <m/>
    <x v="6"/>
    <b v="0"/>
    <s v="No está en VPC"/>
    <n v="116"/>
    <s v="NO EXISTE PG"/>
    <s v="NO EXISTE ISEL"/>
    <n v="0"/>
    <s v="NO TIENE L3OUT"/>
    <n v="148"/>
    <n v="96"/>
  </r>
  <r>
    <n v="412"/>
    <x v="1"/>
    <x v="273"/>
    <s v="eth1/75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75"/>
    <x v="1"/>
    <x v="1"/>
    <x v="2"/>
    <s v="N/A"/>
    <x v="6"/>
    <b v="0"/>
    <s v="No está en VPC"/>
    <n v="120"/>
    <s v="INTPG_ACC_120_1.75"/>
    <s v="ISEL-1.75"/>
    <n v="1"/>
    <s v="NO TIENE L3OUT"/>
    <n v="158"/>
    <n v="96"/>
  </r>
  <r>
    <n v="404"/>
    <x v="1"/>
    <x v="275"/>
    <s v="eth1/75"/>
    <x v="0"/>
    <x v="0"/>
    <x v="0"/>
    <s v="ITHRTC2NB2"/>
    <x v="6"/>
    <b v="0"/>
    <s v="No está en VPC"/>
    <n v="404"/>
    <s v="INTPG_ACC_404_1.75"/>
    <s v="ISEL-1.75"/>
    <n v="1"/>
    <s v="NO TIENE L3OUT"/>
    <n v="92"/>
    <n v="96"/>
  </r>
  <r>
    <n v="167"/>
    <x v="0"/>
    <x v="276"/>
    <s v="eth1/75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75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105"/>
    <x v="0"/>
    <x v="205"/>
    <s v="eth1/76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76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76"/>
    <x v="0"/>
    <x v="1"/>
    <x v="1"/>
    <s v="SILOT"/>
    <x v="6"/>
    <b v="0"/>
    <s v="No está en VPC"/>
    <n v="104"/>
    <s v="INTPG_ACC_104_1.76"/>
    <s v="ISEL-1.76"/>
    <n v="1"/>
    <s v="NO TIENE L3OUT"/>
    <n v="194"/>
    <n v="96"/>
  </r>
  <r>
    <n v="158"/>
    <x v="0"/>
    <x v="208"/>
    <s v="eth1/76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76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76"/>
    <x v="0"/>
    <x v="0"/>
    <x v="0"/>
    <m/>
    <x v="6"/>
    <b v="0"/>
    <s v="No está en VPC"/>
    <n v="112"/>
    <s v="INTPG_VPC_114_1.76_112_1.76"/>
    <s v="ISEL-1.76"/>
    <n v="1"/>
    <s v="NO TIENE L3OUT"/>
    <n v="144"/>
    <n v="96"/>
  </r>
  <r>
    <n v="107"/>
    <x v="0"/>
    <x v="213"/>
    <s v="eth1/76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76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76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76"/>
    <x v="0"/>
    <x v="0"/>
    <x v="0"/>
    <m/>
    <x v="6"/>
    <b v="0"/>
    <s v="No está en VPC"/>
    <n v="114"/>
    <s v="INTPG_VPC_114_1.76_112_1.76"/>
    <s v="ISEL-1.76"/>
    <n v="1"/>
    <s v="NO TIENE L3OUT"/>
    <n v="144"/>
    <n v="96"/>
  </r>
  <r>
    <n v="124"/>
    <x v="0"/>
    <x v="217"/>
    <s v="eth1/76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76"/>
    <x v="0"/>
    <x v="1"/>
    <x v="1"/>
    <s v="COBROS NAVEGACION"/>
    <x v="6"/>
    <b v="0"/>
    <s v="No está en VPC"/>
    <n v="118"/>
    <s v="INTPG_ACC_118_1.76"/>
    <s v="ISEL-1.76"/>
    <n v="1"/>
    <s v="NO TIENE L3OUT"/>
    <n v="180"/>
    <n v="96"/>
  </r>
  <r>
    <n v="159"/>
    <x v="0"/>
    <x v="219"/>
    <s v="eth1/76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76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76"/>
    <x v="0"/>
    <x v="0"/>
    <x v="0"/>
    <s v="Comp CISCO ANA CSR"/>
    <x v="6"/>
    <b v="0"/>
    <s v="No está en VPC"/>
    <n v="163"/>
    <s v="INTPG_ACC_163_1.76"/>
    <s v="ISEL-1.76"/>
    <n v="1"/>
    <s v="NO TIENE L3OUT"/>
    <n v="140"/>
    <n v="96"/>
  </r>
  <r>
    <n v="407"/>
    <x v="1"/>
    <x v="224"/>
    <s v="eth1/76"/>
    <x v="0"/>
    <x v="0"/>
    <x v="0"/>
    <s v="PM_EHEALTH_UIM_1_ILOM_Primario"/>
    <x v="6"/>
    <b v="0"/>
    <s v="No está en VPC"/>
    <n v="407"/>
    <s v="INTPG_ACC_407_1.76"/>
    <s v="ISEL-1.76"/>
    <n v="1"/>
    <s v="NO TIENE L3OUT"/>
    <n v="122"/>
    <n v="96"/>
  </r>
  <r>
    <n v="171"/>
    <x v="0"/>
    <x v="225"/>
    <s v="eth1/76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76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76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76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76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76"/>
    <x v="0"/>
    <x v="1"/>
    <x v="1"/>
    <s v="To_BOTSINK3500_Pto_1"/>
    <x v="6"/>
    <b v="0"/>
    <s v="No está en VPC"/>
    <n v="420"/>
    <s v="INTPG_ACC_420_1.76"/>
    <s v="ISEL-1.76"/>
    <n v="1"/>
    <s v="NO TIENE L3OUT"/>
    <n v="158"/>
    <n v="96"/>
  </r>
  <r>
    <n v="423"/>
    <x v="1"/>
    <x v="231"/>
    <s v="eth1/76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76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76"/>
    <x v="0"/>
    <x v="1"/>
    <x v="1"/>
    <s v="CORREO AMERICA MOVIL:OPENSTACK 1 :OA1"/>
    <x v="6"/>
    <b v="0"/>
    <s v="No está en VPC"/>
    <n v="102"/>
    <s v="INTPG_ACC_102_1.76"/>
    <s v="ISEL-1.76"/>
    <n v="1"/>
    <s v="NO TIENE L3OUT"/>
    <n v="228"/>
    <n v="96"/>
  </r>
  <r>
    <n v="122"/>
    <x v="0"/>
    <x v="237"/>
    <s v="eth1/76"/>
    <x v="1"/>
    <x v="1"/>
    <x v="2"/>
    <s v="INTRANET CORPORATIVA"/>
    <x v="6"/>
    <b v="0"/>
    <s v="No está en VPC"/>
    <n v="122"/>
    <s v="INTPG_ACC_122_1.76"/>
    <s v="ISEL-1.76"/>
    <n v="1"/>
    <s v="NO TIENE L3OUT"/>
    <n v="148"/>
    <n v="96"/>
  </r>
  <r>
    <n v="157"/>
    <x v="0"/>
    <x v="238"/>
    <s v="eth1/76"/>
    <x v="0"/>
    <x v="0"/>
    <x v="0"/>
    <s v="ARIESO_GEOLOCALIZACION"/>
    <x v="6"/>
    <b v="0"/>
    <s v="No está en VPC"/>
    <n v="157"/>
    <s v="INTPG_ACC_157_1.76"/>
    <s v="ISEL-1.76"/>
    <n v="2"/>
    <s v="NO TIENE L3OUT"/>
    <n v="202"/>
    <n v="96"/>
  </r>
  <r>
    <n v="408"/>
    <x v="1"/>
    <x v="239"/>
    <s v="eth1/76"/>
    <x v="0"/>
    <x v="1"/>
    <x v="1"/>
    <s v="ITHRTCNBU1_1"/>
    <x v="6"/>
    <b v="0"/>
    <s v="No está en VPC"/>
    <n v="408"/>
    <s v="INTPG_ACC_408_1.76"/>
    <s v="ISEL-1.76"/>
    <n v="1"/>
    <s v="NO TIENE L3OUT"/>
    <n v="152"/>
    <n v="96"/>
  </r>
  <r>
    <n v="405"/>
    <x v="1"/>
    <x v="240"/>
    <s v="eth1/76"/>
    <x v="0"/>
    <x v="0"/>
    <x v="0"/>
    <s v="SOEM_sec_eth2"/>
    <x v="6"/>
    <b v="0"/>
    <s v="No está en VPC"/>
    <n v="405"/>
    <s v="INTPG_ACC_405_1.76"/>
    <s v="ISEL-1.76"/>
    <n v="1"/>
    <s v="NO TIENE L3OUT"/>
    <n v="138"/>
    <n v="96"/>
  </r>
  <r>
    <n v="169"/>
    <x v="0"/>
    <x v="241"/>
    <s v="eth1/76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76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76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76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76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76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76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76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76"/>
    <x v="0"/>
    <x v="0"/>
    <x v="0"/>
    <s v="ITHRTCD2CONT3"/>
    <x v="6"/>
    <b v="0"/>
    <s v="No está en VPC"/>
    <n v="406"/>
    <s v="INTPG_ACC_406_1.76"/>
    <s v="ISEL-1.76"/>
    <n v="1"/>
    <s v="NO TIENE L3OUT"/>
    <n v="82"/>
    <n v="96"/>
  </r>
  <r>
    <n v="414"/>
    <x v="1"/>
    <x v="250"/>
    <s v="eth1/76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76"/>
    <x v="0"/>
    <x v="0"/>
    <x v="0"/>
    <s v="TO_ITHNM1-eno2"/>
    <x v="6"/>
    <b v="0"/>
    <s v="No está en VPC"/>
    <n v="416"/>
    <s v="INTPG_ACC_416_1.76"/>
    <s v="ISEL-1.76"/>
    <n v="1"/>
    <s v="NO TIENE L3OUT"/>
    <n v="110"/>
    <n v="96"/>
  </r>
  <r>
    <n v="418"/>
    <x v="1"/>
    <x v="252"/>
    <s v="eth1/76"/>
    <x v="0"/>
    <x v="0"/>
    <x v="0"/>
    <s v="TEMIPCLOUD_A12"/>
    <x v="6"/>
    <b v="0"/>
    <s v="No está en VPC"/>
    <n v="418"/>
    <s v="INTPG_ACC_418_1.76"/>
    <s v="ISEL-1.76"/>
    <n v="1"/>
    <s v="NO TIENE L3OUT"/>
    <n v="152"/>
    <n v="96"/>
  </r>
  <r>
    <n v="413"/>
    <x v="1"/>
    <x v="253"/>
    <s v="eth1/76"/>
    <x v="0"/>
    <x v="0"/>
    <x v="0"/>
    <s v="SPIDERNET1"/>
    <x v="6"/>
    <b v="0"/>
    <s v="No está en VPC"/>
    <n v="413"/>
    <s v="INTPG_ACC_413_1.76"/>
    <s v="ISEL-1.76"/>
    <n v="1"/>
    <s v="NO TIENE L3OUT"/>
    <n v="126"/>
    <n v="96"/>
  </r>
  <r>
    <n v="403"/>
    <x v="1"/>
    <x v="254"/>
    <s v="eth1/76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76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76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76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76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76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76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76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76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76"/>
    <x v="0"/>
    <x v="0"/>
    <x v="0"/>
    <s v="DCX BB3_S2_CP1"/>
    <x v="6"/>
    <b v="0"/>
    <s v="No está en VPC"/>
    <n v="430"/>
    <s v="INTPG_ACC_430_1.76"/>
    <s v="ISEL-1.76"/>
    <n v="1"/>
    <s v="NO TIENE L3OUT"/>
    <n v="86"/>
    <n v="96"/>
  </r>
  <r>
    <n v="419"/>
    <x v="1"/>
    <x v="264"/>
    <s v="eth1/76"/>
    <x v="0"/>
    <x v="0"/>
    <x v="0"/>
    <s v="HP Proliant DL380p(d)"/>
    <x v="6"/>
    <b v="0"/>
    <s v="No está en VPC"/>
    <n v="419"/>
    <s v="INTPG_ACC_419_1.76"/>
    <s v="ISEL-1.76"/>
    <n v="1"/>
    <s v="NO TIENE L3OUT"/>
    <n v="70"/>
    <n v="96"/>
  </r>
  <r>
    <n v="155"/>
    <x v="0"/>
    <x v="265"/>
    <s v="eth1/76"/>
    <x v="0"/>
    <x v="0"/>
    <x v="0"/>
    <s v="Consolidaci\u00f3n Aplicaciones Prepago"/>
    <x v="6"/>
    <b v="0"/>
    <s v="No está en VPC"/>
    <n v="155"/>
    <s v="INTPG_ACC_155_1.76"/>
    <s v="ISEL-1.76"/>
    <n v="1"/>
    <s v="NO TIENE L3OUT"/>
    <n v="198"/>
    <n v="96"/>
  </r>
  <r>
    <n v="409"/>
    <x v="1"/>
    <x v="266"/>
    <s v="eth1/76"/>
    <x v="0"/>
    <x v="0"/>
    <x v="0"/>
    <s v="PM_EHEALTH_UIM_2_ILOM_Secundario"/>
    <x v="6"/>
    <b v="0"/>
    <s v="No está en VPC"/>
    <n v="409"/>
    <s v="INTPG_ACC_409_1.76"/>
    <s v="ISEL-1.76"/>
    <n v="1"/>
    <s v="NO TIENE L3OUT"/>
    <n v="128"/>
    <n v="96"/>
  </r>
  <r>
    <n v="422"/>
    <x v="1"/>
    <x v="267"/>
    <s v="eth1/76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76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76"/>
    <x v="0"/>
    <x v="0"/>
    <x v="0"/>
    <s v="ITHRTC41OA2"/>
    <x v="6"/>
    <b v="0"/>
    <s v="No está en VPC"/>
    <n v="410"/>
    <s v="INTPG_ACC_410_1.76"/>
    <s v="ISEL-1.76"/>
    <n v="1"/>
    <s v="NO TIENE L3OUT"/>
    <n v="178"/>
    <n v="96"/>
  </r>
  <r>
    <n v="161"/>
    <x v="0"/>
    <x v="270"/>
    <s v="eth1/76"/>
    <x v="0"/>
    <x v="0"/>
    <x v="0"/>
    <s v="IMEISRE_i2"/>
    <x v="6"/>
    <b v="0"/>
    <s v="No está en VPC"/>
    <n v="161"/>
    <s v="INTPG_VPC_161_1.76_163_1.87"/>
    <s v="ISEL-1.76"/>
    <n v="1"/>
    <s v="NO TIENE L3OUT"/>
    <n v="102"/>
    <n v="96"/>
  </r>
  <r>
    <n v="411"/>
    <x v="1"/>
    <x v="271"/>
    <s v="eth1/76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76"/>
    <x v="0"/>
    <x v="1"/>
    <x v="1"/>
    <m/>
    <x v="6"/>
    <b v="0"/>
    <s v="No está en VPC"/>
    <n v="116"/>
    <s v="NO EXISTE PG"/>
    <s v="NO EXISTE ISEL"/>
    <n v="0"/>
    <s v="NO TIENE L3OUT"/>
    <n v="148"/>
    <n v="96"/>
  </r>
  <r>
    <n v="412"/>
    <x v="1"/>
    <x v="273"/>
    <s v="eth1/76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76"/>
    <x v="1"/>
    <x v="1"/>
    <x v="2"/>
    <s v="N/A"/>
    <x v="6"/>
    <b v="0"/>
    <s v="No está en VPC"/>
    <n v="120"/>
    <s v="INTPG_ACC_120_1.76"/>
    <s v="ISEL-1.76"/>
    <n v="1"/>
    <s v="NO TIENE L3OUT"/>
    <n v="158"/>
    <n v="96"/>
  </r>
  <r>
    <n v="404"/>
    <x v="1"/>
    <x v="275"/>
    <s v="eth1/76"/>
    <x v="0"/>
    <x v="0"/>
    <x v="0"/>
    <s v="ITHRTC2OA1"/>
    <x v="6"/>
    <b v="0"/>
    <s v="No está en VPC"/>
    <n v="404"/>
    <s v="INTPG_ACC_404_1.76"/>
    <s v="ISEL-1.76"/>
    <n v="1"/>
    <s v="NO TIENE L3OUT"/>
    <n v="92"/>
    <n v="96"/>
  </r>
  <r>
    <n v="167"/>
    <x v="0"/>
    <x v="276"/>
    <s v="eth1/76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76"/>
    <x v="0"/>
    <x v="1"/>
    <x v="1"/>
    <s v="MSL6480_PAPERLESS_2"/>
    <x v="6"/>
    <b v="0"/>
    <s v="No está en VPC"/>
    <n v="428"/>
    <s v="INTPG_ACC_428_1.76"/>
    <s v="ISEL-1.76"/>
    <n v="1"/>
    <s v="NO TIENE L3OUT"/>
    <n v="102"/>
    <n v="96"/>
  </r>
  <r>
    <n v="105"/>
    <x v="0"/>
    <x v="205"/>
    <s v="eth1/77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77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77"/>
    <x v="0"/>
    <x v="1"/>
    <x v="1"/>
    <s v="CISCO ANA 01 EHEALTH"/>
    <x v="6"/>
    <b v="0"/>
    <s v="No está en VPC"/>
    <n v="104"/>
    <s v="INTPG_ACC_104_1.77"/>
    <s v="ISEL-1.77"/>
    <n v="1"/>
    <s v="NO TIENE L3OUT"/>
    <n v="194"/>
    <n v="96"/>
  </r>
  <r>
    <n v="158"/>
    <x v="0"/>
    <x v="208"/>
    <s v="eth1/77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77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77"/>
    <x v="1"/>
    <x v="1"/>
    <x v="2"/>
    <m/>
    <x v="6"/>
    <b v="0"/>
    <s v="No está en VPC"/>
    <n v="112"/>
    <s v="INTPG_VPC_112_1.77_114_1.95"/>
    <s v="ISEL-1.77"/>
    <n v="1"/>
    <s v="NO TIENE L3OUT"/>
    <n v="144"/>
    <n v="96"/>
  </r>
  <r>
    <n v="107"/>
    <x v="0"/>
    <x v="213"/>
    <s v="eth1/77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77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77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77"/>
    <x v="0"/>
    <x v="1"/>
    <x v="1"/>
    <s v="SAPCCRATING14"/>
    <x v="6"/>
    <b v="0"/>
    <s v="No está en VPC"/>
    <n v="114"/>
    <s v="INTPG_VPC_112_1.79_114_1.77"/>
    <s v="ISEL-1.77"/>
    <n v="1"/>
    <s v="NO TIENE L3OUT"/>
    <n v="144"/>
    <n v="96"/>
  </r>
  <r>
    <n v="124"/>
    <x v="0"/>
    <x v="217"/>
    <s v="eth1/77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77"/>
    <x v="0"/>
    <x v="1"/>
    <x v="1"/>
    <s v="COBROS NAVEGACION"/>
    <x v="6"/>
    <b v="0"/>
    <s v="No está en VPC"/>
    <n v="118"/>
    <s v="INTPG_ACC_118_1.77"/>
    <s v="ISEL-1.77"/>
    <n v="1"/>
    <s v="NO TIENE L3OUT"/>
    <n v="180"/>
    <n v="96"/>
  </r>
  <r>
    <n v="159"/>
    <x v="0"/>
    <x v="219"/>
    <s v="eth1/77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77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77"/>
    <x v="0"/>
    <x v="0"/>
    <x v="0"/>
    <s v="Comp CISCO ANA CSR"/>
    <x v="6"/>
    <b v="0"/>
    <s v="No está en VPC"/>
    <n v="163"/>
    <s v="INTPG_ACC_163_1.77"/>
    <s v="ISEL-1.77"/>
    <n v="1"/>
    <s v="NO TIENE L3OUT"/>
    <n v="140"/>
    <n v="96"/>
  </r>
  <r>
    <n v="407"/>
    <x v="1"/>
    <x v="224"/>
    <s v="eth1/77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77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77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77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77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77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77"/>
    <x v="0"/>
    <x v="1"/>
    <x v="1"/>
    <s v="To_BOTSINK3500_Pto_2"/>
    <x v="6"/>
    <b v="0"/>
    <s v="No está en VPC"/>
    <n v="420"/>
    <s v="INTPG_ACC_420_1.77"/>
    <s v="ISEL-1.77"/>
    <n v="25"/>
    <s v="NO TIENE L3OUT"/>
    <n v="158"/>
    <n v="96"/>
  </r>
  <r>
    <n v="423"/>
    <x v="1"/>
    <x v="231"/>
    <s v="eth1/77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77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77"/>
    <x v="0"/>
    <x v="1"/>
    <x v="1"/>
    <s v="CORREO AMERICA MOVIL_OPENSTACK 1 _VC1-X1"/>
    <x v="6"/>
    <b v="0"/>
    <s v="No está en VPC"/>
    <n v="102"/>
    <s v="INTPG_PC_102_1.77-84"/>
    <s v="ISEL-1.77"/>
    <n v="15"/>
    <s v="NO TIENE L3OUT"/>
    <n v="228"/>
    <n v="96"/>
  </r>
  <r>
    <n v="122"/>
    <x v="0"/>
    <x v="237"/>
    <s v="eth1/77"/>
    <x v="1"/>
    <x v="1"/>
    <x v="2"/>
    <s v="INTRANET CORPORATIVA"/>
    <x v="6"/>
    <b v="0"/>
    <s v="No está en VPC"/>
    <n v="122"/>
    <s v="INTPG_ACC_122_1.77"/>
    <s v="ISEL-1.77"/>
    <n v="1"/>
    <s v="NO TIENE L3OUT"/>
    <n v="148"/>
    <n v="96"/>
  </r>
  <r>
    <n v="157"/>
    <x v="0"/>
    <x v="238"/>
    <s v="eth1/77"/>
    <x v="0"/>
    <x v="0"/>
    <x v="0"/>
    <s v="ARIESO_GEOLOCALIZACION"/>
    <x v="6"/>
    <b v="0"/>
    <s v="No está en VPC"/>
    <n v="157"/>
    <s v="INTPG_ACC_157_1.77"/>
    <s v="ISEL-1.77"/>
    <n v="2"/>
    <s v="NO TIENE L3OUT"/>
    <n v="202"/>
    <n v="96"/>
  </r>
  <r>
    <n v="408"/>
    <x v="1"/>
    <x v="239"/>
    <s v="eth1/77"/>
    <x v="0"/>
    <x v="0"/>
    <x v="0"/>
    <s v="ITHRTCNBU1_2"/>
    <x v="6"/>
    <b v="0"/>
    <s v="No está en VPC"/>
    <n v="408"/>
    <s v="INTPG_ACC_408_1.77"/>
    <s v="ISEL-1.77"/>
    <n v="1"/>
    <s v="NO TIENE L3OUT"/>
    <n v="152"/>
    <n v="96"/>
  </r>
  <r>
    <n v="405"/>
    <x v="1"/>
    <x v="240"/>
    <s v="eth1/77"/>
    <x v="0"/>
    <x v="0"/>
    <x v="0"/>
    <s v="SOEM_sec_eth5"/>
    <x v="6"/>
    <b v="0"/>
    <s v="No está en VPC"/>
    <n v="405"/>
    <s v="INTPG_ACC_405_1.77"/>
    <s v="ISEL-1.77"/>
    <n v="1"/>
    <s v="NO TIENE L3OUT"/>
    <n v="138"/>
    <n v="96"/>
  </r>
  <r>
    <n v="169"/>
    <x v="0"/>
    <x v="241"/>
    <s v="eth1/77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77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77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77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77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77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77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77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77"/>
    <x v="0"/>
    <x v="0"/>
    <x v="0"/>
    <s v="ITHRTCD2SP1"/>
    <x v="6"/>
    <b v="0"/>
    <s v="No está en VPC"/>
    <n v="406"/>
    <s v="INTPG_ACC_406_1.77"/>
    <s v="ISEL-1.77"/>
    <n v="1"/>
    <s v="NO TIENE L3OUT"/>
    <n v="82"/>
    <n v="96"/>
  </r>
  <r>
    <n v="414"/>
    <x v="1"/>
    <x v="250"/>
    <s v="eth1/77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77"/>
    <x v="0"/>
    <x v="0"/>
    <x v="0"/>
    <s v="TO_ITHNM1-eno6"/>
    <x v="6"/>
    <b v="0"/>
    <s v="No está en VPC"/>
    <n v="416"/>
    <s v="INTPG_ACC_416_1.77"/>
    <s v="ISEL-1.77"/>
    <n v="1"/>
    <s v="NO TIENE L3OUT"/>
    <n v="110"/>
    <n v="96"/>
  </r>
  <r>
    <n v="418"/>
    <x v="1"/>
    <x v="252"/>
    <s v="eth1/77"/>
    <x v="0"/>
    <x v="0"/>
    <x v="0"/>
    <s v="DCX_PROD1"/>
    <x v="6"/>
    <b v="0"/>
    <s v="No está en VPC"/>
    <n v="418"/>
    <s v="INTPG_ACC_418_1.77"/>
    <s v="ISEL-1.77"/>
    <n v="1"/>
    <s v="NO TIENE L3OUT"/>
    <n v="152"/>
    <n v="96"/>
  </r>
  <r>
    <n v="413"/>
    <x v="1"/>
    <x v="253"/>
    <s v="eth1/77"/>
    <x v="0"/>
    <x v="0"/>
    <x v="0"/>
    <s v="SPIDERNET2"/>
    <x v="6"/>
    <b v="0"/>
    <s v="No está en VPC"/>
    <n v="413"/>
    <s v="INTPG_ACC_413_1.77"/>
    <s v="ISEL-1.77"/>
    <n v="1"/>
    <s v="NO TIENE L3OUT"/>
    <n v="126"/>
    <n v="96"/>
  </r>
  <r>
    <n v="403"/>
    <x v="1"/>
    <x v="254"/>
    <s v="eth1/77"/>
    <x v="0"/>
    <x v="0"/>
    <x v="0"/>
    <s v="ARIESO_LTE_RLR4ARI11"/>
    <x v="6"/>
    <b v="0"/>
    <s v="No está en VPC"/>
    <n v="403"/>
    <s v="INTPG_ACC_403_1.77"/>
    <s v="ISEL-1.77"/>
    <n v="1"/>
    <s v="NO TIENE L3OUT"/>
    <n v="150"/>
    <n v="96"/>
  </r>
  <r>
    <n v="125"/>
    <x v="0"/>
    <x v="255"/>
    <s v="eth1/77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77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77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77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77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77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77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77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77"/>
    <x v="0"/>
    <x v="0"/>
    <x v="0"/>
    <s v="DCX BB3_S2_CP1"/>
    <x v="6"/>
    <b v="0"/>
    <s v="No está en VPC"/>
    <n v="430"/>
    <s v="INTPG_ACC_430_1.77"/>
    <s v="ISEL-1.77"/>
    <n v="1"/>
    <s v="NO TIENE L3OUT"/>
    <n v="86"/>
    <n v="96"/>
  </r>
  <r>
    <n v="419"/>
    <x v="1"/>
    <x v="264"/>
    <s v="eth1/77"/>
    <x v="0"/>
    <x v="0"/>
    <x v="0"/>
    <s v="HP Proliant DL380p(e)"/>
    <x v="6"/>
    <b v="0"/>
    <s v="No está en VPC"/>
    <n v="419"/>
    <s v="INTPG_ACC_419_1.77"/>
    <s v="ISEL-1.77"/>
    <n v="1"/>
    <s v="NO TIENE L3OUT"/>
    <n v="70"/>
    <n v="96"/>
  </r>
  <r>
    <n v="155"/>
    <x v="0"/>
    <x v="265"/>
    <s v="eth1/77"/>
    <x v="0"/>
    <x v="0"/>
    <x v="0"/>
    <s v="Consolidaci\u00f3n Aplicaciones Prepago"/>
    <x v="6"/>
    <b v="0"/>
    <s v="No está en VPC"/>
    <n v="155"/>
    <s v="INTPG_ACC_155_1.77"/>
    <s v="ISEL-1.77"/>
    <n v="1"/>
    <s v="NO TIENE L3OUT"/>
    <n v="198"/>
    <n v="96"/>
  </r>
  <r>
    <n v="409"/>
    <x v="1"/>
    <x v="266"/>
    <s v="eth1/77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77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77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77"/>
    <x v="0"/>
    <x v="1"/>
    <x v="1"/>
    <s v="ITHRTC42OA2"/>
    <x v="6"/>
    <b v="0"/>
    <s v="No está en VPC"/>
    <n v="410"/>
    <s v="INTPG_ACC_410_1.77"/>
    <s v="ISEL-1.77"/>
    <n v="1"/>
    <s v="NO TIENE L3OUT"/>
    <n v="178"/>
    <n v="96"/>
  </r>
  <r>
    <n v="161"/>
    <x v="0"/>
    <x v="270"/>
    <s v="eth1/77"/>
    <x v="0"/>
    <x v="0"/>
    <x v="0"/>
    <s v="IMEISRE_i3"/>
    <x v="6"/>
    <b v="0"/>
    <s v="No está en VPC"/>
    <n v="161"/>
    <s v="INTPG_VPC_161_1.77_163_1.88"/>
    <s v="ISEL-1.77"/>
    <n v="1"/>
    <s v="NO TIENE L3OUT"/>
    <n v="102"/>
    <n v="96"/>
  </r>
  <r>
    <n v="411"/>
    <x v="1"/>
    <x v="271"/>
    <s v="eth1/77"/>
    <x v="0"/>
    <x v="0"/>
    <x v="0"/>
    <s v="MGMT-01_ROBOT_IBM_S2-ANACONDA"/>
    <x v="6"/>
    <b v="0"/>
    <s v="No está en VPC"/>
    <n v="411"/>
    <s v="INTPG_ACC_411_1.77"/>
    <s v="ISEL-1.77"/>
    <n v="1"/>
    <s v="NO TIENE L3OUT"/>
    <n v="96"/>
    <n v="96"/>
  </r>
  <r>
    <n v="116"/>
    <x v="0"/>
    <x v="272"/>
    <s v="eth1/77"/>
    <x v="0"/>
    <x v="0"/>
    <x v="0"/>
    <s v="LA-47R VIRTUALIZACION BLADES"/>
    <x v="6"/>
    <b v="0"/>
    <s v="No está en VPC"/>
    <n v="116"/>
    <s v="INTPG_ACC_116_1.77"/>
    <s v="ISEL-1.77"/>
    <n v="1"/>
    <s v="NO TIENE L3OUT"/>
    <n v="148"/>
    <n v="96"/>
  </r>
  <r>
    <n v="412"/>
    <x v="1"/>
    <x v="273"/>
    <s v="eth1/77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77"/>
    <x v="1"/>
    <x v="1"/>
    <x v="2"/>
    <s v="N/A"/>
    <x v="6"/>
    <b v="0"/>
    <s v="No está en VPC"/>
    <n v="120"/>
    <s v="INTPG_ACC_120_1.77"/>
    <s v="ISEL-1.77"/>
    <n v="1"/>
    <s v="NO TIENE L3OUT"/>
    <n v="158"/>
    <n v="96"/>
  </r>
  <r>
    <n v="404"/>
    <x v="1"/>
    <x v="275"/>
    <s v="eth1/77"/>
    <x v="0"/>
    <x v="0"/>
    <x v="0"/>
    <s v="ITHRTC2OA1"/>
    <x v="6"/>
    <b v="0"/>
    <s v="No está en VPC"/>
    <n v="404"/>
    <s v="INTPG_ACC_404_1.77"/>
    <s v="ISEL-1.77"/>
    <n v="1"/>
    <s v="NO TIENE L3OUT"/>
    <n v="92"/>
    <n v="96"/>
  </r>
  <r>
    <n v="167"/>
    <x v="0"/>
    <x v="276"/>
    <s v="eth1/77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77"/>
    <x v="0"/>
    <x v="0"/>
    <x v="0"/>
    <s v="SecAnLG_Gb1_01-Aplicativo-IXTSALG_SAS1"/>
    <x v="6"/>
    <b v="0"/>
    <s v="No está en VPC"/>
    <n v="428"/>
    <s v="INTPG_ACC_428_1.77"/>
    <s v="ISEL-1.77"/>
    <n v="1"/>
    <s v="NO TIENE L3OUT"/>
    <n v="102"/>
    <n v="96"/>
  </r>
  <r>
    <n v="105"/>
    <x v="0"/>
    <x v="205"/>
    <s v="eth1/78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78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78"/>
    <x v="0"/>
    <x v="1"/>
    <x v="1"/>
    <s v="SIEMC"/>
    <x v="6"/>
    <b v="0"/>
    <s v="No está en VPC"/>
    <n v="104"/>
    <s v="INTPG_ACC_104_1.78"/>
    <s v="ISEL-1.78"/>
    <n v="1"/>
    <s v="NO TIENE L3OUT"/>
    <n v="194"/>
    <n v="96"/>
  </r>
  <r>
    <n v="158"/>
    <x v="0"/>
    <x v="208"/>
    <s v="eth1/78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78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78"/>
    <x v="1"/>
    <x v="1"/>
    <x v="2"/>
    <m/>
    <x v="6"/>
    <b v="0"/>
    <s v="No está en VPC"/>
    <n v="112"/>
    <s v="INTPG_VPC_112_1.78_114_1.96"/>
    <s v="ISEL-1.78"/>
    <n v="1"/>
    <s v="NO TIENE L3OUT"/>
    <n v="144"/>
    <n v="96"/>
  </r>
  <r>
    <n v="107"/>
    <x v="0"/>
    <x v="213"/>
    <s v="eth1/78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78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78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78"/>
    <x v="0"/>
    <x v="1"/>
    <x v="1"/>
    <s v="SAPCCRATING15"/>
    <x v="6"/>
    <b v="0"/>
    <s v="No está en VPC"/>
    <n v="114"/>
    <s v="INTPG_VPC_112_1.80_114_1.78"/>
    <s v="ISEL-1.78"/>
    <n v="1"/>
    <s v="NO TIENE L3OUT"/>
    <n v="144"/>
    <n v="96"/>
  </r>
  <r>
    <n v="124"/>
    <x v="0"/>
    <x v="217"/>
    <s v="eth1/78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78"/>
    <x v="0"/>
    <x v="1"/>
    <x v="1"/>
    <s v="COBROS NAVEGACION"/>
    <x v="6"/>
    <b v="0"/>
    <s v="No está en VPC"/>
    <n v="118"/>
    <s v="INTPG_ACC_118_1.78"/>
    <s v="ISEL-1.78"/>
    <n v="1"/>
    <s v="NO TIENE L3OUT"/>
    <n v="180"/>
    <n v="96"/>
  </r>
  <r>
    <n v="159"/>
    <x v="0"/>
    <x v="219"/>
    <s v="eth1/78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78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78"/>
    <x v="0"/>
    <x v="1"/>
    <x v="1"/>
    <s v="Multimediacion 2"/>
    <x v="6"/>
    <b v="0"/>
    <s v="No está en VPC"/>
    <n v="163"/>
    <s v="INTPG_ACC_163_1.78"/>
    <s v="ISEL-1.78"/>
    <n v="1"/>
    <s v="NO TIENE L3OUT"/>
    <n v="140"/>
    <n v="96"/>
  </r>
  <r>
    <n v="407"/>
    <x v="1"/>
    <x v="224"/>
    <s v="eth1/78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78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78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78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78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78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78"/>
    <x v="0"/>
    <x v="0"/>
    <x v="0"/>
    <s v="TO-ITHNM2-REDUNDANTE"/>
    <x v="6"/>
    <b v="0"/>
    <s v="No está en VPC"/>
    <n v="420"/>
    <s v="INTPG_ACC_420_1.78"/>
    <s v="ISEL-1.78"/>
    <n v="1"/>
    <s v="NO TIENE L3OUT"/>
    <n v="158"/>
    <n v="96"/>
  </r>
  <r>
    <n v="423"/>
    <x v="1"/>
    <x v="231"/>
    <s v="eth1/78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78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78"/>
    <x v="0"/>
    <x v="1"/>
    <x v="1"/>
    <s v="CORREO AMERICA MOVIL:OPENSTACK 1 :VC1-X2"/>
    <x v="6"/>
    <b v="0"/>
    <s v="No está en VPC"/>
    <n v="102"/>
    <s v="INTPG_PC_102_1.77-84"/>
    <s v="ISEL-1.78"/>
    <n v="15"/>
    <s v="NO TIENE L3OUT"/>
    <n v="228"/>
    <n v="96"/>
  </r>
  <r>
    <n v="122"/>
    <x v="0"/>
    <x v="237"/>
    <s v="eth1/78"/>
    <x v="1"/>
    <x v="1"/>
    <x v="2"/>
    <s v="INTRANET CORPORATIVA"/>
    <x v="6"/>
    <b v="0"/>
    <s v="No está en VPC"/>
    <n v="122"/>
    <s v="INTPG_ACC_122_1.78"/>
    <s v="ISEL-1.78"/>
    <n v="1"/>
    <s v="NO TIENE L3OUT"/>
    <n v="148"/>
    <n v="96"/>
  </r>
  <r>
    <n v="157"/>
    <x v="0"/>
    <x v="238"/>
    <s v="eth1/78"/>
    <x v="0"/>
    <x v="0"/>
    <x v="0"/>
    <s v="ARIESO_GEOLOCALIZACION"/>
    <x v="6"/>
    <b v="0"/>
    <s v="No está en VPC"/>
    <n v="157"/>
    <s v="INTPG_ACC_157_1.78"/>
    <s v="ISEL-1.78"/>
    <n v="2"/>
    <s v="NO TIENE L3OUT"/>
    <n v="202"/>
    <n v="96"/>
  </r>
  <r>
    <n v="408"/>
    <x v="1"/>
    <x v="239"/>
    <s v="eth1/78"/>
    <x v="0"/>
    <x v="0"/>
    <x v="0"/>
    <s v="IXTPA4LE"/>
    <x v="6"/>
    <b v="0"/>
    <s v="No está en VPC"/>
    <n v="408"/>
    <s v="INTPG_ACC_408_1.78"/>
    <s v="ISEL-1.78"/>
    <n v="1"/>
    <s v="NO TIENE L3OUT"/>
    <n v="152"/>
    <n v="96"/>
  </r>
  <r>
    <n v="405"/>
    <x v="1"/>
    <x v="240"/>
    <s v="eth1/78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78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78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78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78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78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78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78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78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78"/>
    <x v="0"/>
    <x v="0"/>
    <x v="0"/>
    <s v="ITHRTCD2SSW1"/>
    <x v="6"/>
    <b v="0"/>
    <s v="No está en VPC"/>
    <n v="406"/>
    <s v="INTPG_ACC_406_1.78"/>
    <s v="ISEL-1.78"/>
    <n v="1"/>
    <s v="NO TIENE L3OUT"/>
    <n v="82"/>
    <n v="96"/>
  </r>
  <r>
    <n v="414"/>
    <x v="1"/>
    <x v="250"/>
    <s v="eth1/78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78"/>
    <x v="0"/>
    <x v="0"/>
    <x v="0"/>
    <s v="TO_ITHNM2-eno2"/>
    <x v="6"/>
    <b v="0"/>
    <s v="No está en VPC"/>
    <n v="416"/>
    <s v="INTPG_ACC_416_1.78"/>
    <s v="ISEL-1.78"/>
    <n v="1"/>
    <s v="NO TIENE L3OUT"/>
    <n v="110"/>
    <n v="96"/>
  </r>
  <r>
    <n v="418"/>
    <x v="1"/>
    <x v="252"/>
    <s v="eth1/78"/>
    <x v="0"/>
    <x v="0"/>
    <x v="0"/>
    <s v="ixtf5oss01_MGMT"/>
    <x v="6"/>
    <b v="0"/>
    <s v="No está en VPC"/>
    <n v="418"/>
    <s v="INTPG_ACC_418_1.78"/>
    <s v="ISEL-1.78"/>
    <n v="1"/>
    <s v="NO TIENE L3OUT"/>
    <n v="152"/>
    <n v="96"/>
  </r>
  <r>
    <n v="413"/>
    <x v="1"/>
    <x v="253"/>
    <s v="eth1/78"/>
    <x v="0"/>
    <x v="0"/>
    <x v="0"/>
    <s v="SPIDERNET3"/>
    <x v="6"/>
    <b v="0"/>
    <s v="No está en VPC"/>
    <n v="413"/>
    <s v="INTPG_ACC_413_1.78"/>
    <s v="ISEL-1.78"/>
    <n v="1"/>
    <s v="NO TIENE L3OUT"/>
    <n v="126"/>
    <n v="96"/>
  </r>
  <r>
    <n v="403"/>
    <x v="1"/>
    <x v="254"/>
    <s v="eth1/78"/>
    <x v="0"/>
    <x v="0"/>
    <x v="0"/>
    <s v="XL5 RLR5ARI11"/>
    <x v="6"/>
    <b v="0"/>
    <s v="No está en VPC"/>
    <n v="403"/>
    <s v="INTPG_ACC_403_1.78"/>
    <s v="ISEL-1.78"/>
    <n v="1"/>
    <s v="NO TIENE L3OUT"/>
    <n v="150"/>
    <n v="96"/>
  </r>
  <r>
    <n v="125"/>
    <x v="0"/>
    <x v="255"/>
    <s v="eth1/78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78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78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78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78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78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78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78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78"/>
    <x v="0"/>
    <x v="0"/>
    <x v="0"/>
    <s v="eth1_vert01hpov_Secundario"/>
    <x v="6"/>
    <b v="0"/>
    <s v="No está en VPC"/>
    <n v="430"/>
    <s v="INTPG_ACC_430_1.78"/>
    <s v="ISEL-1.78"/>
    <n v="1"/>
    <s v="NO TIENE L3OUT"/>
    <n v="86"/>
    <n v="96"/>
  </r>
  <r>
    <n v="419"/>
    <x v="1"/>
    <x v="264"/>
    <s v="eth1/78"/>
    <x v="0"/>
    <x v="0"/>
    <x v="0"/>
    <s v="HP Proliant DL380p(e)"/>
    <x v="6"/>
    <b v="0"/>
    <s v="No está en VPC"/>
    <n v="419"/>
    <s v="INTPG_ACC_419_1.78"/>
    <s v="ISEL-1.78"/>
    <n v="1"/>
    <s v="NO TIENE L3OUT"/>
    <n v="70"/>
    <n v="96"/>
  </r>
  <r>
    <n v="155"/>
    <x v="0"/>
    <x v="265"/>
    <s v="eth1/78"/>
    <x v="0"/>
    <x v="0"/>
    <x v="0"/>
    <s v="Consolidaci\u00f3n Aplicaciones Prepago"/>
    <x v="6"/>
    <b v="0"/>
    <s v="No está en VPC"/>
    <n v="155"/>
    <s v="INTPG_ACC_155_1.78"/>
    <s v="ISEL-1.78"/>
    <n v="1"/>
    <s v="NO TIENE L3OUT"/>
    <n v="198"/>
    <n v="96"/>
  </r>
  <r>
    <n v="409"/>
    <x v="1"/>
    <x v="266"/>
    <s v="eth1/78"/>
    <x v="0"/>
    <x v="0"/>
    <x v="0"/>
    <s v="ARIESO_LTE_RLR3"/>
    <x v="6"/>
    <b v="0"/>
    <s v="No está en VPC"/>
    <n v="409"/>
    <s v="INTPG_ACC_409_1.78"/>
    <s v="ISEL-1.78"/>
    <n v="1"/>
    <s v="NO TIENE L3OUT"/>
    <n v="128"/>
    <n v="96"/>
  </r>
  <r>
    <n v="422"/>
    <x v="1"/>
    <x v="267"/>
    <s v="eth1/78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78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78"/>
    <x v="0"/>
    <x v="0"/>
    <x v="0"/>
    <s v="ITHRTC4NB2"/>
    <x v="6"/>
    <b v="0"/>
    <s v="No está en VPC"/>
    <n v="410"/>
    <s v="INTPG_ACC_410_1.78"/>
    <s v="ISEL-1.78"/>
    <n v="1"/>
    <s v="NO TIENE L3OUT"/>
    <n v="178"/>
    <n v="96"/>
  </r>
  <r>
    <n v="161"/>
    <x v="0"/>
    <x v="270"/>
    <s v="eth1/78"/>
    <x v="0"/>
    <x v="0"/>
    <x v="0"/>
    <s v="SFODPP02"/>
    <x v="6"/>
    <b v="0"/>
    <s v="No está en VPC"/>
    <n v="161"/>
    <s v="INTPG_VPC_161_1.78_163_1.89"/>
    <s v="ISEL-1.78"/>
    <n v="1"/>
    <s v="NO TIENE L3OUT"/>
    <n v="102"/>
    <n v="96"/>
  </r>
  <r>
    <n v="411"/>
    <x v="1"/>
    <x v="271"/>
    <s v="eth1/78"/>
    <x v="0"/>
    <x v="0"/>
    <x v="0"/>
    <s v="TIMEPICTRA-GESTION"/>
    <x v="6"/>
    <b v="0"/>
    <s v="No está en VPC"/>
    <n v="411"/>
    <s v="INTPG_ACC_411_1.78"/>
    <s v="ISEL-1.78"/>
    <n v="1"/>
    <s v="NO TIENE L3OUT"/>
    <n v="96"/>
    <n v="96"/>
  </r>
  <r>
    <n v="116"/>
    <x v="0"/>
    <x v="272"/>
    <s v="eth1/78"/>
    <x v="0"/>
    <x v="0"/>
    <x v="0"/>
    <s v="LA-47R VIRTUALIZACION BLADES"/>
    <x v="6"/>
    <b v="0"/>
    <s v="No está en VPC"/>
    <n v="116"/>
    <s v="INTPG_ACC_116_1.78"/>
    <s v="ISEL-1.78"/>
    <n v="1"/>
    <s v="NO TIENE L3OUT"/>
    <n v="148"/>
    <n v="96"/>
  </r>
  <r>
    <n v="412"/>
    <x v="1"/>
    <x v="273"/>
    <s v="eth1/78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78"/>
    <x v="1"/>
    <x v="1"/>
    <x v="2"/>
    <m/>
    <x v="6"/>
    <b v="0"/>
    <s v="No está en VPC"/>
    <n v="120"/>
    <s v="INTPG_VPC_120_1.78_122_1.85"/>
    <s v="ISEL-1.78"/>
    <n v="1"/>
    <s v="NO TIENE L3OUT"/>
    <n v="158"/>
    <n v="96"/>
  </r>
  <r>
    <n v="404"/>
    <x v="1"/>
    <x v="275"/>
    <s v="eth1/78"/>
    <x v="0"/>
    <x v="0"/>
    <x v="0"/>
    <s v="ITHRTC2NB2"/>
    <x v="6"/>
    <b v="0"/>
    <s v="No está en VPC"/>
    <n v="404"/>
    <s v="INTPG_ACC_404_1.78"/>
    <s v="ISEL-1.78"/>
    <n v="1"/>
    <s v="NO TIENE L3OUT"/>
    <n v="92"/>
    <n v="96"/>
  </r>
  <r>
    <n v="167"/>
    <x v="0"/>
    <x v="276"/>
    <s v="eth1/78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78"/>
    <x v="0"/>
    <x v="0"/>
    <x v="0"/>
    <s v="SecAnLG_Gb1_02-Correlacionador-IXTSALG_ESA1"/>
    <x v="6"/>
    <b v="0"/>
    <s v="No está en VPC"/>
    <n v="428"/>
    <s v="INTPG_ACC_428_1.78"/>
    <s v="ISEL-1.78"/>
    <n v="1"/>
    <s v="NO TIENE L3OUT"/>
    <n v="102"/>
    <n v="96"/>
  </r>
  <r>
    <n v="105"/>
    <x v="0"/>
    <x v="205"/>
    <s v="eth1/79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79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79"/>
    <x v="0"/>
    <x v="1"/>
    <x v="1"/>
    <s v="SIEMC"/>
    <x v="6"/>
    <b v="0"/>
    <s v="No está en VPC"/>
    <n v="104"/>
    <s v="INTPG_ACC_104_1.79"/>
    <s v="ISEL-1.79"/>
    <n v="1"/>
    <s v="NO TIENE L3OUT"/>
    <n v="194"/>
    <n v="96"/>
  </r>
  <r>
    <n v="158"/>
    <x v="0"/>
    <x v="208"/>
    <s v="eth1/79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79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79"/>
    <x v="0"/>
    <x v="1"/>
    <x v="1"/>
    <s v="SAPCCRATING14"/>
    <x v="6"/>
    <b v="0"/>
    <s v="No está en VPC"/>
    <n v="112"/>
    <s v="INTPG_VPC_112_1.79_114_1.77"/>
    <s v="ISEL-1.79"/>
    <n v="1"/>
    <s v="NO TIENE L3OUT"/>
    <n v="144"/>
    <n v="96"/>
  </r>
  <r>
    <n v="107"/>
    <x v="0"/>
    <x v="213"/>
    <s v="eth1/79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79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79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79"/>
    <x v="0"/>
    <x v="1"/>
    <x v="1"/>
    <s v="SAPCCRATING16"/>
    <x v="6"/>
    <b v="0"/>
    <s v="No está en VPC"/>
    <n v="114"/>
    <s v="INTPG_VPC_112_1.81_114_1.79"/>
    <s v="ISEL-1.79"/>
    <n v="1"/>
    <s v="NO TIENE L3OUT"/>
    <n v="144"/>
    <n v="96"/>
  </r>
  <r>
    <n v="124"/>
    <x v="0"/>
    <x v="217"/>
    <s v="eth1/79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79"/>
    <x v="0"/>
    <x v="1"/>
    <x v="1"/>
    <s v="COBROS NAVEGACION"/>
    <x v="6"/>
    <b v="0"/>
    <s v="No está en VPC"/>
    <n v="118"/>
    <s v="INTPG_ACC_118_1.79"/>
    <s v="ISEL-1.79"/>
    <n v="1"/>
    <s v="NO TIENE L3OUT"/>
    <n v="180"/>
    <n v="96"/>
  </r>
  <r>
    <n v="159"/>
    <x v="0"/>
    <x v="219"/>
    <s v="eth1/79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79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79"/>
    <x v="0"/>
    <x v="1"/>
    <x v="1"/>
    <s v="Multimediacion 2"/>
    <x v="6"/>
    <b v="0"/>
    <s v="No está en VPC"/>
    <n v="163"/>
    <s v="INTPG_ACC_163_1.79"/>
    <s v="ISEL-1.79"/>
    <n v="1"/>
    <s v="NO TIENE L3OUT"/>
    <n v="140"/>
    <n v="96"/>
  </r>
  <r>
    <n v="407"/>
    <x v="1"/>
    <x v="224"/>
    <s v="eth1/79"/>
    <x v="1"/>
    <x v="1"/>
    <x v="0"/>
    <m/>
    <x v="6"/>
    <b v="0"/>
    <s v="No está en VPC"/>
    <n v="407"/>
    <s v="NO EXISTE PG"/>
    <s v="NO EXISTE ISEL"/>
    <n v="1"/>
    <s v="NO TIENE L3OUT"/>
    <n v="122"/>
    <n v="96"/>
  </r>
  <r>
    <n v="171"/>
    <x v="0"/>
    <x v="225"/>
    <s v="eth1/79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79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79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79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79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79"/>
    <x v="0"/>
    <x v="0"/>
    <x v="0"/>
    <s v="TO-ITHNM2-PRINCIPAL"/>
    <x v="6"/>
    <b v="0"/>
    <s v="No está en VPC"/>
    <n v="420"/>
    <s v="INTPG_ACC_420_1.79"/>
    <s v="ISEL-1.79"/>
    <n v="1"/>
    <s v="NO TIENE L3OUT"/>
    <n v="158"/>
    <n v="96"/>
  </r>
  <r>
    <n v="423"/>
    <x v="1"/>
    <x v="231"/>
    <s v="eth1/79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79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79"/>
    <x v="0"/>
    <x v="1"/>
    <x v="1"/>
    <s v="CORREO AMERICA MOVIL:OPENSTACK 1 :VC1-X3"/>
    <x v="6"/>
    <b v="0"/>
    <s v="No está en VPC"/>
    <n v="102"/>
    <s v="INTPG_PC_102_1.77-84"/>
    <s v="ISEL-1.79"/>
    <n v="15"/>
    <s v="NO TIENE L3OUT"/>
    <n v="228"/>
    <n v="96"/>
  </r>
  <r>
    <n v="122"/>
    <x v="0"/>
    <x v="237"/>
    <s v="eth1/79"/>
    <x v="1"/>
    <x v="1"/>
    <x v="2"/>
    <m/>
    <x v="6"/>
    <b v="0"/>
    <s v="No está en VPC"/>
    <n v="122"/>
    <s v="INTPG_VPC_120_1.71_122_1.79"/>
    <s v="ISEL-1.79"/>
    <n v="1"/>
    <s v="NO TIENE L3OUT"/>
    <n v="148"/>
    <n v="96"/>
  </r>
  <r>
    <n v="157"/>
    <x v="0"/>
    <x v="238"/>
    <s v="eth1/79"/>
    <x v="0"/>
    <x v="0"/>
    <x v="0"/>
    <s v="ARIESO_GEOLOCALIZACION"/>
    <x v="6"/>
    <b v="0"/>
    <s v="No está en VPC"/>
    <n v="157"/>
    <s v="INTPG_ACC_157_1.79"/>
    <s v="ISEL-1.79"/>
    <n v="2"/>
    <s v="NO TIENE L3OUT"/>
    <n v="202"/>
    <n v="96"/>
  </r>
  <r>
    <n v="408"/>
    <x v="1"/>
    <x v="239"/>
    <s v="eth1/79"/>
    <x v="0"/>
    <x v="0"/>
    <x v="0"/>
    <s v="9UCS-IXTLA-WEBEX-SERV1"/>
    <x v="6"/>
    <b v="0"/>
    <s v="No está en VPC"/>
    <n v="408"/>
    <s v="INTPG_ACC_408_1.79"/>
    <s v="ISEL-1.79"/>
    <n v="1"/>
    <s v="NO TIENE L3OUT"/>
    <n v="152"/>
    <n v="96"/>
  </r>
  <r>
    <n v="405"/>
    <x v="1"/>
    <x v="240"/>
    <s v="eth1/79"/>
    <x v="0"/>
    <x v="0"/>
    <x v="0"/>
    <s v="TO-ithfhpmvnorap01"/>
    <x v="6"/>
    <b v="0"/>
    <s v="No está en VPC"/>
    <n v="405"/>
    <s v="INTPG_VPC_403_1.89_405_1.79"/>
    <s v="ISEL-1.79"/>
    <n v="1"/>
    <s v="NO TIENE L3OUT"/>
    <n v="138"/>
    <n v="96"/>
  </r>
  <r>
    <n v="169"/>
    <x v="0"/>
    <x v="241"/>
    <s v="eth1/79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79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79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79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79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79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79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79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79"/>
    <x v="0"/>
    <x v="0"/>
    <x v="0"/>
    <s v="ETH0_uxppldb1"/>
    <x v="6"/>
    <b v="0"/>
    <s v="No está en VPC"/>
    <n v="406"/>
    <s v="INTPG_ACC_406_1.79"/>
    <s v="ISEL-1.79"/>
    <n v="1"/>
    <s v="NO TIENE L3OUT"/>
    <n v="82"/>
    <n v="96"/>
  </r>
  <r>
    <n v="414"/>
    <x v="1"/>
    <x v="250"/>
    <s v="eth1/79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79"/>
    <x v="0"/>
    <x v="0"/>
    <x v="0"/>
    <s v="TO_ITHNM2-eno6"/>
    <x v="6"/>
    <b v="0"/>
    <s v="No está en VPC"/>
    <n v="416"/>
    <s v="INTPG_ACC_416_1.79"/>
    <s v="ISEL-1.79"/>
    <n v="1"/>
    <s v="NO TIENE L3OUT"/>
    <n v="110"/>
    <n v="96"/>
  </r>
  <r>
    <n v="418"/>
    <x v="1"/>
    <x v="252"/>
    <s v="eth1/79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79"/>
    <x v="0"/>
    <x v="0"/>
    <x v="0"/>
    <s v="SPIDERNET4"/>
    <x v="6"/>
    <b v="0"/>
    <s v="No está en VPC"/>
    <n v="413"/>
    <s v="INTPG_ACC_413_1.79"/>
    <s v="ISEL-1.79"/>
    <n v="1"/>
    <s v="NO TIENE L3OUT"/>
    <n v="126"/>
    <n v="96"/>
  </r>
  <r>
    <n v="403"/>
    <x v="1"/>
    <x v="254"/>
    <s v="eth1/79"/>
    <x v="0"/>
    <x v="0"/>
    <x v="0"/>
    <s v="XL6 RLR6ARI08"/>
    <x v="6"/>
    <b v="0"/>
    <s v="No está en VPC"/>
    <n v="403"/>
    <s v="INTPG_ACC_403_1.79"/>
    <s v="ISEL-1.79"/>
    <n v="1"/>
    <s v="NO TIENE L3OUT"/>
    <n v="150"/>
    <n v="96"/>
  </r>
  <r>
    <n v="125"/>
    <x v="0"/>
    <x v="255"/>
    <s v="eth1/79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79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79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79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79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79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79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79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79"/>
    <x v="0"/>
    <x v="0"/>
    <x v="0"/>
    <s v="eth1_vert02hpov_Secundario"/>
    <x v="6"/>
    <b v="0"/>
    <s v="No está en VPC"/>
    <n v="430"/>
    <s v="INTPG_ACC_430_1.79"/>
    <s v="ISEL-1.79"/>
    <n v="1"/>
    <s v="NO TIENE L3OUT"/>
    <n v="86"/>
    <n v="96"/>
  </r>
  <r>
    <n v="419"/>
    <x v="1"/>
    <x v="264"/>
    <s v="eth1/79"/>
    <x v="0"/>
    <x v="0"/>
    <x v="0"/>
    <s v="HP Proliant DL380p(e)"/>
    <x v="6"/>
    <b v="0"/>
    <s v="No está en VPC"/>
    <n v="419"/>
    <s v="INTPG_ACC_419_1.79"/>
    <s v="ISEL-1.79"/>
    <n v="1"/>
    <s v="NO TIENE L3OUT"/>
    <n v="70"/>
    <n v="96"/>
  </r>
  <r>
    <n v="155"/>
    <x v="0"/>
    <x v="265"/>
    <s v="eth1/79"/>
    <x v="0"/>
    <x v="0"/>
    <x v="0"/>
    <s v="Consolidaci\u00f3n Aplicaciones Prepago"/>
    <x v="6"/>
    <b v="0"/>
    <s v="No está en VPC"/>
    <n v="155"/>
    <s v="INTPG_ACC_155_1.79"/>
    <s v="ISEL-1.79"/>
    <n v="1"/>
    <s v="NO TIENE L3OUT"/>
    <n v="198"/>
    <n v="96"/>
  </r>
  <r>
    <n v="409"/>
    <x v="1"/>
    <x v="266"/>
    <s v="eth1/79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79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79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79"/>
    <x v="0"/>
    <x v="0"/>
    <x v="0"/>
    <s v="ITHRTCD2CONT2"/>
    <x v="6"/>
    <b v="0"/>
    <s v="No está en VPC"/>
    <n v="410"/>
    <s v="INTPG_ACC_410_1.79"/>
    <s v="ISEL-1.79"/>
    <n v="1"/>
    <s v="NO TIENE L3OUT"/>
    <n v="178"/>
    <n v="96"/>
  </r>
  <r>
    <n v="161"/>
    <x v="0"/>
    <x v="270"/>
    <s v="eth1/79"/>
    <x v="0"/>
    <x v="0"/>
    <x v="0"/>
    <s v="SFCTGP01"/>
    <x v="6"/>
    <b v="0"/>
    <s v="No está en VPC"/>
    <n v="161"/>
    <s v="INTPG_VPC_161_1.79_163_1.90"/>
    <s v="ISEL-1.79"/>
    <n v="1"/>
    <s v="NO TIENE L3OUT"/>
    <n v="102"/>
    <n v="96"/>
  </r>
  <r>
    <n v="411"/>
    <x v="1"/>
    <x v="271"/>
    <s v="eth1/79"/>
    <x v="0"/>
    <x v="0"/>
    <x v="0"/>
    <s v="TIMEPICTRA-CONSOLA"/>
    <x v="6"/>
    <b v="0"/>
    <s v="No está en VPC"/>
    <n v="411"/>
    <s v="INTPG_ACC_411_1.79"/>
    <s v="ISEL-1.79"/>
    <n v="1"/>
    <s v="NO TIENE L3OUT"/>
    <n v="96"/>
    <n v="96"/>
  </r>
  <r>
    <n v="116"/>
    <x v="0"/>
    <x v="272"/>
    <s v="eth1/79"/>
    <x v="0"/>
    <x v="0"/>
    <x v="0"/>
    <s v="LA-47R VIRTUALIZACION BLADES"/>
    <x v="6"/>
    <b v="0"/>
    <s v="No está en VPC"/>
    <n v="116"/>
    <s v="INTPG_ACC_116_1.79"/>
    <s v="ISEL-1.79"/>
    <n v="1"/>
    <s v="NO TIENE L3OUT"/>
    <n v="148"/>
    <n v="96"/>
  </r>
  <r>
    <n v="412"/>
    <x v="1"/>
    <x v="273"/>
    <s v="eth1/79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79"/>
    <x v="1"/>
    <x v="1"/>
    <x v="2"/>
    <s v="N/A"/>
    <x v="6"/>
    <b v="0"/>
    <s v="No está en VPC"/>
    <n v="120"/>
    <s v="INTPG_ACC_120_1.79"/>
    <s v="ISEL-1.79"/>
    <n v="1"/>
    <s v="NO TIENE L3OUT"/>
    <n v="158"/>
    <n v="96"/>
  </r>
  <r>
    <n v="404"/>
    <x v="1"/>
    <x v="275"/>
    <s v="eth1/79"/>
    <x v="0"/>
    <x v="0"/>
    <x v="0"/>
    <s v="ITHRTCD1CONT1"/>
    <x v="6"/>
    <b v="0"/>
    <s v="No está en VPC"/>
    <n v="404"/>
    <s v="INTPG_ACC_404_1.79"/>
    <s v="ISEL-1.79"/>
    <n v="1"/>
    <s v="NO TIENE L3OUT"/>
    <n v="92"/>
    <n v="96"/>
  </r>
  <r>
    <n v="167"/>
    <x v="0"/>
    <x v="276"/>
    <s v="eth1/79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79"/>
    <x v="0"/>
    <x v="0"/>
    <x v="0"/>
    <s v="SecAnLG_Gb1_03-Colector_R1toR8_SA-IXTSALG_H1_8SA"/>
    <x v="6"/>
    <b v="0"/>
    <s v="No está en VPC"/>
    <n v="428"/>
    <s v="INTPG_ACC_428_1.79"/>
    <s v="ISEL-1.79"/>
    <n v="1"/>
    <s v="NO TIENE L3OUT"/>
    <n v="102"/>
    <n v="96"/>
  </r>
  <r>
    <n v="128"/>
    <x v="0"/>
    <x v="0"/>
    <s v="eth1/8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8"/>
    <x v="0"/>
    <x v="0"/>
    <x v="0"/>
    <m/>
    <x v="1"/>
    <b v="0"/>
    <s v="No está en VPC"/>
    <n v="123"/>
    <s v="INTPG_ACC_123_1.8"/>
    <s v="ISEL-1.8"/>
    <n v="1"/>
    <s v="NO TIENE L3OUT"/>
    <n v="20"/>
    <n v="54"/>
  </r>
  <r>
    <n v="152"/>
    <x v="0"/>
    <x v="2"/>
    <s v="eth1/8"/>
    <x v="0"/>
    <x v="1"/>
    <x v="1"/>
    <s v="HUAWEI"/>
    <x v="1"/>
    <b v="0"/>
    <s v="No está en VPC"/>
    <n v="152"/>
    <s v="INTPG_ACC_152_1.8"/>
    <s v="ISEL-1.8"/>
    <n v="1"/>
    <s v="NO TIENE L3OUT"/>
    <n v="38"/>
    <n v="54"/>
  </r>
  <r>
    <n v="101"/>
    <x v="0"/>
    <x v="3"/>
    <s v="eth1/8"/>
    <x v="0"/>
    <x v="1"/>
    <x v="1"/>
    <s v="DESC"/>
    <x v="0"/>
    <b v="0"/>
    <s v="No está en VPC"/>
    <n v="101"/>
    <s v="INTPG_PC_101_1.7_8"/>
    <s v="ISEL-1.8"/>
    <n v="18"/>
    <s v="NO TIENE L3OUT"/>
    <n v="114"/>
    <n v="54"/>
  </r>
  <r>
    <n v="160"/>
    <x v="0"/>
    <x v="4"/>
    <s v="eth1/8"/>
    <x v="0"/>
    <x v="1"/>
    <x v="1"/>
    <s v="TRAP"/>
    <x v="1"/>
    <b v="0"/>
    <s v="No está en VPC"/>
    <n v="160"/>
    <s v="INTPG_PC_160_1.3-8"/>
    <s v="ISEL-1.8"/>
    <n v="12"/>
    <s v="NO TIENE L3OUT"/>
    <n v="68"/>
    <n v="54"/>
  </r>
  <r>
    <n v="121"/>
    <x v="0"/>
    <x v="5"/>
    <s v="eth1/8"/>
    <x v="0"/>
    <x v="0"/>
    <x v="0"/>
    <s v="TO-ITHERIAPRK2_PDU_01"/>
    <x v="1"/>
    <b v="0"/>
    <s v="No está en VPC"/>
    <n v="121"/>
    <s v="INTPG_ACC_121_1.8"/>
    <s v="ISEL-1.8"/>
    <n v="1"/>
    <s v="NO TIENE L3OUT"/>
    <n v="14"/>
    <n v="54"/>
  </r>
  <r>
    <n v="129"/>
    <x v="0"/>
    <x v="6"/>
    <s v="eth1/8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8"/>
    <x v="0"/>
    <x v="0"/>
    <x v="0"/>
    <m/>
    <x v="0"/>
    <b v="0"/>
    <s v="No está en VPC"/>
    <n v="401"/>
    <s v="INTPG_ACC_401_1.8"/>
    <s v="ISEL-1.8"/>
    <n v="0"/>
    <s v="NO TIENE L3OUT"/>
    <n v="40"/>
    <n v="54"/>
  </r>
  <r>
    <n v="402"/>
    <x v="1"/>
    <x v="8"/>
    <s v="eth1/8"/>
    <x v="0"/>
    <x v="0"/>
    <x v="0"/>
    <m/>
    <x v="0"/>
    <b v="0"/>
    <s v="No está en VPC"/>
    <n v="402"/>
    <s v="INTPG_ACC_402_1.8"/>
    <s v="ISEL-1.8"/>
    <n v="0"/>
    <s v="NO TIENE L3OUT"/>
    <n v="36"/>
    <n v="54"/>
  </r>
  <r>
    <n v="447"/>
    <x v="1"/>
    <x v="9"/>
    <s v="eth1/8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8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8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8"/>
    <x v="0"/>
    <x v="1"/>
    <x v="1"/>
    <s v="DESC"/>
    <x v="0"/>
    <b v="0"/>
    <s v="No está en VPC"/>
    <n v="150"/>
    <s v="INTPG_PC_150_1.7_8"/>
    <s v="ISEL-1.8"/>
    <n v="18"/>
    <s v="NO TIENE L3OUT"/>
    <n v="118"/>
    <n v="54"/>
  </r>
  <r>
    <n v="131"/>
    <x v="0"/>
    <x v="13"/>
    <s v="eth1/8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8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8"/>
    <x v="0"/>
    <x v="0"/>
    <x v="0"/>
    <s v="TO-ITHFHWCCEXEN02-CCEX BACKUP LAG 02_OCS_Transforma"/>
    <x v="2"/>
    <b v="0"/>
    <s v="No está en VPC"/>
    <n v="758"/>
    <s v="INTPG_VPC_758_1.8_759_1.8"/>
    <s v="ISEL-1.8"/>
    <n v="6"/>
    <s v="NO TIENE L3OUT"/>
    <n v="0"/>
    <n v="42"/>
  </r>
  <r>
    <n v="759"/>
    <x v="2"/>
    <x v="16"/>
    <s v="eth1/8"/>
    <x v="0"/>
    <x v="0"/>
    <x v="0"/>
    <s v="TO-ITHFHWCCEXEN02-CCEX BACKUP LAG 02_OCS_Transforma"/>
    <x v="2"/>
    <b v="0"/>
    <s v="No está en VPC"/>
    <n v="759"/>
    <s v="INTPG_VPC_758_1.8_759_1.8"/>
    <s v="ISEL-1.8"/>
    <n v="6"/>
    <s v="NO TIENE L3OUT"/>
    <n v="0"/>
    <n v="42"/>
  </r>
  <r>
    <n v="302"/>
    <x v="0"/>
    <x v="17"/>
    <s v="eth1/8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8"/>
    <x v="0"/>
    <x v="0"/>
    <x v="0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8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8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8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8"/>
    <x v="0"/>
    <x v="0"/>
    <x v="0"/>
    <s v="DESC"/>
    <x v="0"/>
    <b v="0"/>
    <s v="No está en VPC"/>
    <n v="727"/>
    <s v="INTPG_PC_727_1.7-8"/>
    <s v="ISEL-1.8"/>
    <n v="0"/>
    <s v="L3OUT-HCS-MGMT-TELCEL-IPCORP"/>
    <n v="0"/>
    <n v="54"/>
  </r>
  <r>
    <n v="724"/>
    <x v="2"/>
    <x v="23"/>
    <s v="eth1/8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8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8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8"/>
    <x v="0"/>
    <x v="0"/>
    <x v="0"/>
    <s v="Portal_Cautivo_f5gwt02"/>
    <x v="0"/>
    <b v="0"/>
    <s v="No está en VPC"/>
    <n v="431"/>
    <s v="INTPG_VPC_431_1.8_448_1.8"/>
    <s v="ISEL-1.8"/>
    <n v="2"/>
    <s v="NO TIENE L3OUT"/>
    <n v="46"/>
    <n v="54"/>
  </r>
  <r>
    <n v="433"/>
    <x v="1"/>
    <x v="27"/>
    <s v="eth1/8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8"/>
    <x v="0"/>
    <x v="0"/>
    <x v="0"/>
    <s v="FASE_1.5_REDKNEE_produccion_1_client_LAG"/>
    <x v="1"/>
    <b v="0"/>
    <s v="No está en VPC"/>
    <n v="429"/>
    <s v="INTPG_VPC_427_1.8_429_1.8"/>
    <s v="ISEL-1.8"/>
    <n v="2"/>
    <s v="NO TIENE L3OUT"/>
    <n v="8"/>
    <n v="54"/>
  </r>
  <r>
    <n v="432"/>
    <x v="1"/>
    <x v="29"/>
    <s v="eth1/8"/>
    <x v="0"/>
    <x v="0"/>
    <x v="0"/>
    <s v="SSO"/>
    <x v="1"/>
    <b v="0"/>
    <s v="No está en VPC"/>
    <n v="432"/>
    <s v="INTPG_ACC_432_1.8"/>
    <s v="ISEL-1.8"/>
    <n v="1"/>
    <s v="NO TIENE L3OUT"/>
    <n v="54"/>
    <n v="54"/>
  </r>
  <r>
    <n v="442"/>
    <x v="1"/>
    <x v="30"/>
    <s v="eth1/8"/>
    <x v="0"/>
    <x v="0"/>
    <x v="0"/>
    <s v="HUAWEI_CLOUD_FASE2_LAG3"/>
    <x v="1"/>
    <b v="0"/>
    <s v="No está en VPC"/>
    <n v="442"/>
    <s v="INTPG_VPC_440_1.6_8_442_1.6_8"/>
    <s v="ISEL-1.8"/>
    <n v="6"/>
    <s v="NO TIENE L3OUT"/>
    <n v="18"/>
    <n v="54"/>
  </r>
  <r>
    <n v="434"/>
    <x v="1"/>
    <x v="31"/>
    <s v="eth1/8"/>
    <x v="0"/>
    <x v="1"/>
    <x v="1"/>
    <s v="TO-uxidmbd-E3-1"/>
    <x v="1"/>
    <b v="0"/>
    <s v="No está en VPC"/>
    <n v="434"/>
    <s v="INTPG_ACC_434_1.8"/>
    <s v="ISEL-1.8"/>
    <n v="1"/>
    <s v="NO TIENE L3OUT"/>
    <n v="34"/>
    <n v="54"/>
  </r>
  <r>
    <n v="707"/>
    <x v="2"/>
    <x v="32"/>
    <s v="eth1/8"/>
    <x v="0"/>
    <x v="1"/>
    <x v="3"/>
    <s v="CEM:ITHCEMG2DAT04:LOM P3"/>
    <x v="0"/>
    <b v="0"/>
    <s v="No está en VPC"/>
    <n v="707"/>
    <s v="INTPG_ACC_707_1.8"/>
    <s v="ISEL-1.8"/>
    <n v="1"/>
    <s v="NO TIENE L3OUT"/>
    <n v="54"/>
    <n v="54"/>
  </r>
  <r>
    <n v="712"/>
    <x v="2"/>
    <x v="33"/>
    <s v="eth1/8"/>
    <x v="0"/>
    <x v="0"/>
    <x v="0"/>
    <s v="CEM:ITHCEMA2DAT04:LOM  P2"/>
    <x v="0"/>
    <b v="0"/>
    <s v="No está en VPC"/>
    <n v="712"/>
    <s v="INTPG_ACC_712_1.8"/>
    <s v="ISEL-1.8"/>
    <n v="1"/>
    <s v="NO TIENE L3OUT"/>
    <n v="32"/>
    <n v="54"/>
  </r>
  <r>
    <n v="719"/>
    <x v="2"/>
    <x v="34"/>
    <s v="eth1/8"/>
    <x v="0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8"/>
    <x v="0"/>
    <x v="1"/>
    <x v="1"/>
    <m/>
    <x v="0"/>
    <b v="0"/>
    <s v="No está en VPC"/>
    <n v="715"/>
    <s v="INTPG-VPC_HDD36_716_1.7_715_1.8"/>
    <s v="ISEL-1.8"/>
    <n v="1"/>
    <s v="NO TIENE L3OUT"/>
    <n v="0"/>
    <n v="54"/>
  </r>
  <r>
    <n v="427"/>
    <x v="1"/>
    <x v="36"/>
    <s v="eth1/8"/>
    <x v="0"/>
    <x v="0"/>
    <x v="0"/>
    <s v="FASE_1.5_REDKNEE_produccion_1_client_LAG"/>
    <x v="1"/>
    <b v="0"/>
    <s v="No está en VPC"/>
    <n v="427"/>
    <s v="INTPG_VPC_427_1.8_429_1.8"/>
    <s v="ISEL-1.8"/>
    <n v="2"/>
    <s v="NO TIENE L3OUT"/>
    <n v="10"/>
    <n v="54"/>
  </r>
  <r>
    <n v="711"/>
    <x v="2"/>
    <x v="37"/>
    <s v="eth1/8"/>
    <x v="0"/>
    <x v="1"/>
    <x v="5"/>
    <s v="CEM:ITHCEMD2DAT04:LOM  P2"/>
    <x v="0"/>
    <b v="0"/>
    <s v="No está en VPC"/>
    <n v="711"/>
    <s v="INTPG_VPC_710_1.7_711_1.8"/>
    <s v="ISEL-1.8"/>
    <n v="1"/>
    <s v="NO TIENE L3OUT"/>
    <n v="16"/>
    <n v="54"/>
  </r>
  <r>
    <n v="716"/>
    <x v="2"/>
    <x v="38"/>
    <s v="eth1/8"/>
    <x v="0"/>
    <x v="0"/>
    <x v="0"/>
    <m/>
    <x v="0"/>
    <b v="0"/>
    <s v="No está en VPC"/>
    <n v="716"/>
    <s v="INTPG-VPC_HDD45_715_1.7_716_1.8"/>
    <s v="ISEL-1.8"/>
    <n v="1"/>
    <s v="NO TIENE L3OUT"/>
    <n v="0"/>
    <n v="54"/>
  </r>
  <r>
    <n v="702"/>
    <x v="2"/>
    <x v="39"/>
    <s v="eth1/8"/>
    <x v="0"/>
    <x v="0"/>
    <x v="0"/>
    <m/>
    <x v="0"/>
    <b v="0"/>
    <s v="No está en VPC"/>
    <n v="702"/>
    <s v="INTPG_VPC_701_1.7_702_1.8"/>
    <s v="ISEL-1.8"/>
    <n v="1"/>
    <s v="NO TIENE L3OUT"/>
    <n v="0"/>
    <n v="54"/>
  </r>
  <r>
    <n v="435"/>
    <x v="1"/>
    <x v="40"/>
    <s v="eth1/8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8"/>
    <x v="0"/>
    <x v="0"/>
    <x v="0"/>
    <s v="TO-ITHFHPNBURBKP06"/>
    <x v="0"/>
    <b v="0"/>
    <s v="No está en VPC"/>
    <n v="446"/>
    <s v="INTPG_VPC_444_1.7_446_1.8"/>
    <s v="ISEL-1.8"/>
    <n v="1"/>
    <s v="NO TIENE L3OUT"/>
    <n v="198"/>
    <n v="54"/>
  </r>
  <r>
    <n v="444"/>
    <x v="1"/>
    <x v="42"/>
    <s v="eth1/8"/>
    <x v="0"/>
    <x v="0"/>
    <x v="0"/>
    <m/>
    <x v="0"/>
    <b v="0"/>
    <s v="No está en VPC"/>
    <n v="444"/>
    <s v="INTPG_ACC_444_1.8"/>
    <s v="ISEL-1.8"/>
    <n v="9"/>
    <s v="NO TIENE L3OUT"/>
    <n v="234"/>
    <n v="54"/>
  </r>
  <r>
    <n v="701"/>
    <x v="2"/>
    <x v="43"/>
    <s v="eth1/8"/>
    <x v="0"/>
    <x v="0"/>
    <x v="0"/>
    <m/>
    <x v="0"/>
    <b v="0"/>
    <s v="No está en VPC"/>
    <n v="701"/>
    <s v="INTPG_VPC_702_1.7_701_1.8"/>
    <s v="ISEL-1.8"/>
    <n v="1"/>
    <s v="NO TIENE L3OUT"/>
    <n v="0"/>
    <n v="54"/>
  </r>
  <r>
    <n v="440"/>
    <x v="1"/>
    <x v="44"/>
    <s v="eth1/8"/>
    <x v="0"/>
    <x v="0"/>
    <x v="0"/>
    <s v="HUAWEI_CLOUD_FASE2_LAG3"/>
    <x v="1"/>
    <b v="0"/>
    <s v="No está en VPC"/>
    <n v="440"/>
    <s v="INTPG_VPC_440_1.6_8_442_1.6_8"/>
    <s v="ISEL-1.8"/>
    <n v="6"/>
    <s v="NO TIENE L3OUT"/>
    <n v="22"/>
    <n v="54"/>
  </r>
  <r>
    <n v="448"/>
    <x v="1"/>
    <x v="45"/>
    <s v="eth1/8"/>
    <x v="0"/>
    <x v="0"/>
    <x v="0"/>
    <s v="Portal_Cautivo_f5gwt02"/>
    <x v="0"/>
    <b v="0"/>
    <s v="No está en VPC"/>
    <n v="448"/>
    <s v="INTPG_VPC_431_1.8_448_1.8"/>
    <s v="ISEL-1.8"/>
    <n v="2"/>
    <s v="NO TIENE L3OUT"/>
    <n v="46"/>
    <n v="54"/>
  </r>
  <r>
    <n v="704"/>
    <x v="2"/>
    <x v="46"/>
    <s v="eth1/8"/>
    <x v="0"/>
    <x v="0"/>
    <x v="0"/>
    <m/>
    <x v="0"/>
    <b v="0"/>
    <s v="No está en VPC"/>
    <n v="704"/>
    <s v="INTPG_VPC_703_1.7_704_1.8"/>
    <s v="ISEL-1.8"/>
    <n v="1"/>
    <s v="NO TIENE L3OUT"/>
    <n v="0"/>
    <n v="54"/>
  </r>
  <r>
    <n v="729"/>
    <x v="2"/>
    <x v="47"/>
    <s v="eth1/8"/>
    <x v="0"/>
    <x v="0"/>
    <x v="0"/>
    <s v="eth-trunk-32"/>
    <x v="0"/>
    <b v="0"/>
    <s v="No está en VPC"/>
    <n v="729"/>
    <s v="INTPG_VPC_728_1.5_8_729_1.5_8"/>
    <s v="ISEL-1.8"/>
    <n v="11"/>
    <s v="NO TIENE L3OUT"/>
    <n v="4"/>
    <n v="54"/>
  </r>
  <r>
    <n v="728"/>
    <x v="2"/>
    <x v="48"/>
    <s v="eth1/8"/>
    <x v="0"/>
    <x v="0"/>
    <x v="0"/>
    <s v="eth-trunk-32"/>
    <x v="0"/>
    <b v="0"/>
    <s v="No está en VPC"/>
    <n v="728"/>
    <s v="INTPG_VPC_728_1.5_8_729_1.5_8"/>
    <s v="ISEL-1.8"/>
    <n v="11"/>
    <s v="NO TIENE L3OUT"/>
    <n v="2"/>
    <n v="54"/>
  </r>
  <r>
    <n v="456"/>
    <x v="1"/>
    <x v="49"/>
    <s v="eth1/8"/>
    <x v="0"/>
    <x v="0"/>
    <x v="0"/>
    <s v="HACIA_CSI-B-OSCP-F4-08_SECUNDARIO"/>
    <x v="4"/>
    <b v="0"/>
    <s v="No está en VPC"/>
    <n v="456"/>
    <s v="INTPG_VPC_454_1.8_456_1.8"/>
    <s v="ISEL-1.8"/>
    <n v="2"/>
    <s v="NO TIENE L3OUT"/>
    <n v="4"/>
    <n v="54"/>
  </r>
  <r>
    <n v="603"/>
    <x v="1"/>
    <x v="50"/>
    <s v="eth1/8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8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8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8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8"/>
    <x v="0"/>
    <x v="0"/>
    <x v="0"/>
    <m/>
    <x v="0"/>
    <b v="0"/>
    <s v="No está en VPC"/>
    <n v="722"/>
    <s v="INTPG-VPC_HDD117_723_1.7_722_1.8"/>
    <s v="ISEL-1.8"/>
    <n v="1"/>
    <s v="NO TIENE L3OUT"/>
    <n v="0"/>
    <n v="54"/>
  </r>
  <r>
    <n v="733"/>
    <x v="2"/>
    <x v="55"/>
    <s v="eth1/8"/>
    <x v="0"/>
    <x v="0"/>
    <x v="0"/>
    <s v="eth-trunk 22 fase 2 bes"/>
    <x v="0"/>
    <b v="0"/>
    <s v="No está en VPC"/>
    <n v="733"/>
    <s v="INTPG_VPC_732_1.5_8_733_1.5_8"/>
    <s v="ISEL-1.8"/>
    <n v="9"/>
    <s v="NO TIENE L3OUT"/>
    <n v="0"/>
    <n v="54"/>
  </r>
  <r>
    <n v="755"/>
    <x v="2"/>
    <x v="56"/>
    <s v="eth1/8"/>
    <x v="0"/>
    <x v="0"/>
    <x v="0"/>
    <s v="OSS F1:ithenmr06e1r9b:Bay1/X2"/>
    <x v="0"/>
    <b v="0"/>
    <s v="No está en VPC"/>
    <n v="755"/>
    <s v="INTPG_PC_755_1.7-8"/>
    <s v="ISEL-1.8"/>
    <n v="8"/>
    <s v="NO TIENE L3OUT"/>
    <n v="52"/>
    <n v="54"/>
  </r>
  <r>
    <n v="748"/>
    <x v="2"/>
    <x v="57"/>
    <s v="eth1/8"/>
    <x v="0"/>
    <x v="0"/>
    <x v="0"/>
    <s v="trunk13 Bes-Production"/>
    <x v="0"/>
    <b v="0"/>
    <s v="No está en VPC"/>
    <n v="748"/>
    <s v="INTPG_VPC_748_1.5_8_749_1.5_8"/>
    <s v="ISEL-1.8"/>
    <n v="14"/>
    <s v="NO TIENE L3OUT"/>
    <n v="2"/>
    <n v="54"/>
  </r>
  <r>
    <n v="756"/>
    <x v="2"/>
    <x v="58"/>
    <s v="eth1/8"/>
    <x v="0"/>
    <x v="0"/>
    <x v="0"/>
    <s v="OSS F1:ithenmr08bl03lms1r9a:PCIe3 Slot 1/2"/>
    <x v="0"/>
    <b v="0"/>
    <s v="No está en VPC"/>
    <n v="756"/>
    <s v="INTPG_ACC_756_1.8"/>
    <s v="ISEL-1.8"/>
    <n v="1"/>
    <s v="NO TIENE L3OUT"/>
    <n v="64"/>
    <n v="54"/>
  </r>
  <r>
    <n v="754"/>
    <x v="2"/>
    <x v="59"/>
    <s v="eth1/8"/>
    <x v="0"/>
    <x v="0"/>
    <x v="0"/>
    <s v="OSS F1:ithenmr04bl04ombsr9b:PCIe3 Slot 1/2"/>
    <x v="0"/>
    <b v="0"/>
    <s v="No está en VPC"/>
    <n v="754"/>
    <s v="INTPG_PC_754_1.5-8"/>
    <s v="ISEL-1.8"/>
    <n v="2"/>
    <s v="NO TIENE L3OUT"/>
    <n v="62"/>
    <n v="54"/>
  </r>
  <r>
    <n v="751"/>
    <x v="2"/>
    <x v="60"/>
    <s v="eth1/8"/>
    <x v="0"/>
    <x v="0"/>
    <x v="0"/>
    <s v="trunk17 Bes-Production"/>
    <x v="0"/>
    <b v="0"/>
    <s v="No está en VPC"/>
    <n v="751"/>
    <s v="INTPG_VPC_750_1.5_8_751_1.5_8"/>
    <s v="ISEL-1.8"/>
    <n v="13"/>
    <s v="NO TIENE L3OUT"/>
    <n v="0"/>
    <n v="54"/>
  </r>
  <r>
    <n v="769"/>
    <x v="2"/>
    <x v="61"/>
    <s v="eth1/8"/>
    <x v="0"/>
    <x v="0"/>
    <x v="0"/>
    <s v="OSS_ENM"/>
    <x v="0"/>
    <b v="0"/>
    <s v="No está en VPC"/>
    <n v="769"/>
    <s v="INTPG_ACC_769_1.8"/>
    <s v="ISEL-1.8"/>
    <n v="1"/>
    <s v="NO TIENE L3OUT"/>
    <n v="60"/>
    <n v="54"/>
  </r>
  <r>
    <n v="742"/>
    <x v="2"/>
    <x v="62"/>
    <s v="eth1/8"/>
    <x v="0"/>
    <x v="1"/>
    <x v="1"/>
    <s v="CEM:ITHCEMB2DAT04:FLEXIO P1"/>
    <x v="5"/>
    <b v="0"/>
    <s v="No está en VPC"/>
    <n v="742"/>
    <s v="INTPG_ACC_742_1.8"/>
    <s v="ISEL-1.8"/>
    <n v="1"/>
    <s v="NO TIENE L3OUT"/>
    <n v="64"/>
    <n v="54"/>
  </r>
  <r>
    <n v="763"/>
    <x v="2"/>
    <x v="63"/>
    <s v="eth1/8"/>
    <x v="0"/>
    <x v="0"/>
    <x v="0"/>
    <s v="PAAS:ithhwoscopap008:LOM PORT 3"/>
    <x v="0"/>
    <b v="0"/>
    <s v="No está en VPC"/>
    <n v="763"/>
    <s v="INTPG_VPC_762_1.8_763_1.8"/>
    <s v="ISEL-1.8"/>
    <n v="15"/>
    <s v="NO TIENE L3OUT"/>
    <n v="2"/>
    <n v="54"/>
  </r>
  <r>
    <n v="766"/>
    <x v="2"/>
    <x v="64"/>
    <s v="eth1/8"/>
    <x v="0"/>
    <x v="0"/>
    <x v="0"/>
    <s v="Portchannel_2_R6A"/>
    <x v="0"/>
    <b v="0"/>
    <s v="No está en VPC"/>
    <n v="766"/>
    <s v="INTPG_PC_766_1.7-8"/>
    <s v="ISEL-1.8"/>
    <n v="8"/>
    <s v="NO TIENE L3OUT"/>
    <n v="58"/>
    <n v="54"/>
  </r>
  <r>
    <n v="760"/>
    <x v="2"/>
    <x v="65"/>
    <s v="eth1/8"/>
    <x v="0"/>
    <x v="1"/>
    <x v="1"/>
    <m/>
    <x v="0"/>
    <b v="0"/>
    <s v="No está en VPC"/>
    <n v="760"/>
    <s v="INTPG_VPC_760_1.5-8_761_1.5-8"/>
    <s v="ISEL-1.8"/>
    <n v="0"/>
    <s v="L3OUT-EXACLOUD"/>
    <n v="0"/>
    <n v="54"/>
  </r>
  <r>
    <n v="752"/>
    <x v="2"/>
    <x v="66"/>
    <s v="eth1/8"/>
    <x v="0"/>
    <x v="0"/>
    <x v="0"/>
    <s v="PAAS:ithhwoscopap006:Slot4.1"/>
    <x v="0"/>
    <b v="0"/>
    <s v="No está en VPC"/>
    <n v="752"/>
    <s v="INTPG_VPC_747_1.8_752_1.8"/>
    <s v="ISEL-1.8"/>
    <n v="25"/>
    <s v="NO TIENE L3OUT"/>
    <n v="0"/>
    <n v="54"/>
  </r>
  <r>
    <n v="765"/>
    <x v="2"/>
    <x v="67"/>
    <s v="eth1/8"/>
    <x v="0"/>
    <x v="0"/>
    <x v="0"/>
    <s v="Portchannel_1_R6A"/>
    <x v="0"/>
    <b v="0"/>
    <s v="No está en VPC"/>
    <n v="765"/>
    <s v="INTPG_PC_765_1.7-10"/>
    <s v="ISEL-1.8"/>
    <n v="2"/>
    <s v="NO TIENE L3OUT"/>
    <n v="60"/>
    <n v="54"/>
  </r>
  <r>
    <n v="778"/>
    <x v="2"/>
    <x v="68"/>
    <s v="eth1/8"/>
    <x v="0"/>
    <x v="0"/>
    <x v="0"/>
    <s v="ENIQ F1:itheniqr07ombsr2:LOM PORT 2"/>
    <x v="0"/>
    <b v="0"/>
    <s v="No está en VPC"/>
    <n v="778"/>
    <s v="INTPG_PC_778_1.7-10"/>
    <s v="ISEL-1.8"/>
    <n v="2"/>
    <s v="NO TIENE L3OUT"/>
    <n v="26"/>
    <n v="54"/>
  </r>
  <r>
    <n v="780"/>
    <x v="2"/>
    <x v="69"/>
    <s v="eth1/8"/>
    <x v="0"/>
    <x v="0"/>
    <x v="0"/>
    <s v="LACP_OMBS_ENIQ1"/>
    <x v="0"/>
    <b v="0"/>
    <s v="No está en VPC"/>
    <n v="780"/>
    <s v="INTPG_PC_780_1.7-10"/>
    <s v="ISEL-1.8"/>
    <n v="2"/>
    <s v="NO TIENE L3OUT"/>
    <n v="26"/>
    <n v="54"/>
  </r>
  <r>
    <n v="812"/>
    <x v="2"/>
    <x v="70"/>
    <s v="eth1/8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8"/>
    <x v="0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8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8"/>
    <x v="0"/>
    <x v="0"/>
    <x v="0"/>
    <s v="trunk13 Bes-Production"/>
    <x v="0"/>
    <b v="0"/>
    <s v="No está en VPC"/>
    <n v="749"/>
    <s v="INTPG_VPC_748_1.5_8_749_1.5_8"/>
    <s v="ISEL-1.8"/>
    <n v="14"/>
    <s v="NO TIENE L3OUT"/>
    <n v="4"/>
    <n v="54"/>
  </r>
  <r>
    <n v="824"/>
    <x v="2"/>
    <x v="74"/>
    <s v="eth1/8"/>
    <x v="0"/>
    <x v="0"/>
    <x v="0"/>
    <s v="LINK_TO_ITHFHWCMVWPMA08 /Slot7.2 /Redundante"/>
    <x v="0"/>
    <b v="0"/>
    <s v="No está en VPC"/>
    <n v="824"/>
    <s v="INTPG_ACC_824_1.8"/>
    <s v="ISEL-1.8"/>
    <n v="1"/>
    <s v="NO TIENE L3OUT"/>
    <n v="70"/>
    <n v="54"/>
  </r>
  <r>
    <n v="819"/>
    <x v="2"/>
    <x v="75"/>
    <s v="eth1/8"/>
    <x v="0"/>
    <x v="0"/>
    <x v="0"/>
    <s v="LINK_TO_ITHFHWCMVWPMA08 /Slot5.2 /Principal"/>
    <x v="0"/>
    <b v="0"/>
    <s v="No está en VPC"/>
    <n v="819"/>
    <s v="INTPG_ACC_819_1.8"/>
    <s v="ISEL-1.8"/>
    <n v="1"/>
    <s v="NO TIENE L3OUT"/>
    <n v="70"/>
    <n v="54"/>
  </r>
  <r>
    <n v="737"/>
    <x v="2"/>
    <x v="76"/>
    <s v="eth1/8"/>
    <x v="0"/>
    <x v="0"/>
    <x v="0"/>
    <s v="CEM:ITHCEME2DAT04:FLEXIO P1"/>
    <x v="5"/>
    <b v="0"/>
    <s v="No está en VPC"/>
    <n v="737"/>
    <s v="INTPG_ACC_737_1.8"/>
    <s v="ISEL-1.8"/>
    <n v="1"/>
    <s v="NO TIENE L3OUT"/>
    <n v="72"/>
    <n v="54"/>
  </r>
  <r>
    <n v="844"/>
    <x v="2"/>
    <x v="77"/>
    <s v="eth1/8"/>
    <x v="0"/>
    <x v="0"/>
    <x v="0"/>
    <s v="LINK_TO_ITHFHWCRMPLCN103 / Slot1.2_10 / Principal"/>
    <x v="0"/>
    <b v="0"/>
    <s v="No está en VPC"/>
    <n v="844"/>
    <s v="INTPG_ACC_844_1.8"/>
    <s v="ISEL-1.8"/>
    <n v="2"/>
    <s v="NO TIENE L3OUT"/>
    <n v="282"/>
    <n v="54"/>
  </r>
  <r>
    <n v="843"/>
    <x v="2"/>
    <x v="78"/>
    <s v="eth1/8"/>
    <x v="0"/>
    <x v="0"/>
    <x v="0"/>
    <s v="LINK_To_ITHFHWCBSPSUSBD23 / Slot7.3_4 / Redundante"/>
    <x v="0"/>
    <b v="0"/>
    <s v="No está en VPC"/>
    <n v="843"/>
    <s v="INTPG_VPC_838_1.8_843_1.8"/>
    <s v="ISEL-1.8"/>
    <n v="1"/>
    <s v="NO TIENE L3OUT"/>
    <n v="38"/>
    <n v="54"/>
  </r>
  <r>
    <n v="797"/>
    <x v="2"/>
    <x v="79"/>
    <s v="eth1/8"/>
    <x v="0"/>
    <x v="0"/>
    <x v="0"/>
    <s v="TO-HDPS_10-MSP"/>
    <x v="0"/>
    <b v="0"/>
    <s v="No está en VPC"/>
    <n v="797"/>
    <s v="INTPG_ACC_797_1.8"/>
    <s v="ISEL-1.8"/>
    <n v="1"/>
    <s v="NO TIENE L3OUT"/>
    <n v="48"/>
    <n v="54"/>
  </r>
  <r>
    <n v="839"/>
    <x v="2"/>
    <x v="80"/>
    <s v="eth1/8"/>
    <x v="0"/>
    <x v="0"/>
    <x v="0"/>
    <s v="LINK_TO_ITHFHWCBSPSHD45 / Slot7.2_8 / Redundante"/>
    <x v="0"/>
    <b v="0"/>
    <s v="No está en VPC"/>
    <n v="839"/>
    <s v="INTPG_VPC_834_1.8_839_1.8"/>
    <s v="ISEL-1.8"/>
    <n v="1"/>
    <s v="NO TIENE L3OUT"/>
    <n v="0"/>
    <n v="54"/>
  </r>
  <r>
    <n v="847"/>
    <x v="2"/>
    <x v="81"/>
    <s v="eth1/8"/>
    <x v="0"/>
    <x v="0"/>
    <x v="0"/>
    <s v="LINK_TO_ITHHWD6KV65100018DKC01 / CTMA_IOM1.P0_34 / Principal"/>
    <x v="0"/>
    <b v="0"/>
    <s v="No está en VPC"/>
    <n v="847"/>
    <s v="INTPG_ACC_847_1.8"/>
    <s v="ISEL-1.8"/>
    <n v="1"/>
    <s v="NO TIENE L3OUT"/>
    <n v="204"/>
    <n v="54"/>
  </r>
  <r>
    <n v="848"/>
    <x v="2"/>
    <x v="82"/>
    <s v="eth1/8"/>
    <x v="0"/>
    <x v="0"/>
    <x v="0"/>
    <s v="LINK_TO_ITHFHWCRMPLCN157 / Slot7.1_16 / Redundante"/>
    <x v="0"/>
    <b v="0"/>
    <s v="No está en VPC"/>
    <n v="848"/>
    <s v="INTPG_ACC_848_1.8"/>
    <s v="ISEL-1.8"/>
    <n v="6"/>
    <s v="NO TIENE L3OUT"/>
    <n v="254"/>
    <n v="54"/>
  </r>
  <r>
    <n v="846"/>
    <x v="2"/>
    <x v="83"/>
    <s v="eth1/8"/>
    <x v="0"/>
    <x v="0"/>
    <x v="0"/>
    <s v="LINK_TO_ITHHWD6KV65100011DKC01 / CTMB_IOM0.P0_34 / Principal"/>
    <x v="0"/>
    <b v="0"/>
    <s v="No está en VPC"/>
    <n v="846"/>
    <s v="INTPG_ACC_846_1.8"/>
    <s v="ISEL-1.8"/>
    <n v="1"/>
    <s v="NO TIENE L3OUT"/>
    <n v="242"/>
    <n v="54"/>
  </r>
  <r>
    <n v="838"/>
    <x v="2"/>
    <x v="84"/>
    <s v="eth1/8"/>
    <x v="0"/>
    <x v="0"/>
    <x v="0"/>
    <s v="LINK_To_ITHFHWCBSPSUSBD23 / Slot1.3_4 / Principal"/>
    <x v="0"/>
    <b v="0"/>
    <s v="No está en VPC"/>
    <n v="838"/>
    <s v="INTPG_VPC_838_1.8_843_1.8"/>
    <s v="ISEL-1.8"/>
    <n v="1"/>
    <s v="NO TIENE L3OUT"/>
    <n v="38"/>
    <n v="54"/>
  </r>
  <r>
    <n v="849"/>
    <x v="2"/>
    <x v="85"/>
    <s v="eth1/8"/>
    <x v="0"/>
    <x v="0"/>
    <x v="0"/>
    <s v="LINK_TO_ITHFHWCRMPLCN137 / Slot7.1_8 / Redundante"/>
    <x v="0"/>
    <b v="0"/>
    <s v="No está en VPC"/>
    <n v="849"/>
    <s v="INTPG_ACC_849_1.8"/>
    <s v="ISEL-1.8"/>
    <n v="6"/>
    <s v="NO TIENE L3OUT"/>
    <n v="286"/>
    <n v="54"/>
  </r>
  <r>
    <n v="845"/>
    <x v="2"/>
    <x v="86"/>
    <s v="eth1/8"/>
    <x v="0"/>
    <x v="0"/>
    <x v="0"/>
    <s v="LINK_TO_ITHFHWCRMPSBDA07 / Slot1.3_4 / Principal"/>
    <x v="0"/>
    <b v="0"/>
    <s v="No está en VPC"/>
    <n v="845"/>
    <s v="INTPG_VPC_845_1.8_852_1.8"/>
    <s v="ISEL-1.8"/>
    <n v="1"/>
    <s v="NO TIENE L3OUT"/>
    <n v="258"/>
    <n v="54"/>
  </r>
  <r>
    <n v="873"/>
    <x v="2"/>
    <x v="87"/>
    <s v="eth1/8"/>
    <x v="0"/>
    <x v="0"/>
    <x v="0"/>
    <s v="TO_ITHFHWCRMDLCN55_Principal"/>
    <x v="0"/>
    <b v="0"/>
    <s v="No está en VPC"/>
    <n v="873"/>
    <s v="INTPG_ACC_873_1.8"/>
    <s v="ISEL-1.8"/>
    <n v="1"/>
    <s v="NO TIENE L3OUT"/>
    <n v="248"/>
    <n v="54"/>
  </r>
  <r>
    <n v="864"/>
    <x v="2"/>
    <x v="88"/>
    <s v="eth1/8"/>
    <x v="0"/>
    <x v="0"/>
    <x v="0"/>
    <s v="To_VPC_2DCBSD_HD33_2"/>
    <x v="0"/>
    <b v="0"/>
    <s v="No está en VPC"/>
    <n v="864"/>
    <s v="INTPG_VPC_859_1.8_864_1.8"/>
    <s v="ISEL-1.8"/>
    <n v="1"/>
    <s v="NO TIENE L3OUT"/>
    <n v="0"/>
    <n v="54"/>
  </r>
  <r>
    <n v="836"/>
    <x v="2"/>
    <x v="89"/>
    <s v="eth1/8"/>
    <x v="0"/>
    <x v="0"/>
    <x v="0"/>
    <s v="LINK_TO_ITHFHWCBSPSUSBD37 / Slot1.1_10 / Principal"/>
    <x v="0"/>
    <b v="0"/>
    <s v="No está en VPC"/>
    <n v="836"/>
    <s v="INTPG_VPC_836_1.8_841_1.8"/>
    <s v="ISEL-1.8"/>
    <n v="2"/>
    <s v="NO TIENE L3OUT"/>
    <n v="0"/>
    <n v="54"/>
  </r>
  <r>
    <n v="834"/>
    <x v="2"/>
    <x v="90"/>
    <s v="eth1/8"/>
    <x v="0"/>
    <x v="0"/>
    <x v="0"/>
    <s v="LINK_TO_ITHFHWCBSPSHD45 / Slot1.2_8 / Principal"/>
    <x v="0"/>
    <b v="0"/>
    <s v="No está en VPC"/>
    <n v="834"/>
    <s v="INTPG_VPC_834_1.8_839_1.8"/>
    <s v="ISEL-1.8"/>
    <n v="1"/>
    <s v="NO TIENE L3OUT"/>
    <n v="0"/>
    <n v="54"/>
  </r>
  <r>
    <n v="872"/>
    <x v="2"/>
    <x v="91"/>
    <s v="eth1/8"/>
    <x v="0"/>
    <x v="0"/>
    <x v="0"/>
    <s v="To_ITHFHWCRMDLCN71_Principal"/>
    <x v="0"/>
    <b v="0"/>
    <s v="No está en VPC"/>
    <n v="872"/>
    <s v="INTPG_ACC_872_1.8"/>
    <s v="ISEL-1.8"/>
    <n v="1"/>
    <s v="NO TIENE L3OUT"/>
    <n v="288"/>
    <n v="54"/>
  </r>
  <r>
    <n v="842"/>
    <x v="2"/>
    <x v="92"/>
    <s v="eth1/8"/>
    <x v="0"/>
    <x v="0"/>
    <x v="0"/>
    <s v="LINK_TO_ITHFHWCBSPSUSBD26 / Slot7.1_6 / Redundante"/>
    <x v="0"/>
    <b v="0"/>
    <s v="No está en VPC"/>
    <n v="842"/>
    <s v="INTPG_VPC_837_1.8_842_1.8"/>
    <s v="ISEL-1.8"/>
    <n v="2"/>
    <s v="NO TIENE L3OUT"/>
    <n v="8"/>
    <n v="54"/>
  </r>
  <r>
    <n v="828"/>
    <x v="2"/>
    <x v="93"/>
    <s v="eth1/8"/>
    <x v="0"/>
    <x v="0"/>
    <x v="0"/>
    <s v="LINK_TO_ITHFHWCBSDSWR34 /10GE.1 /Principal"/>
    <x v="0"/>
    <b v="0"/>
    <s v="No está en VPC"/>
    <n v="828"/>
    <s v="INTPG_VPC_828_1.8_832_1.8"/>
    <s v="ISEL-1.8"/>
    <n v="1"/>
    <s v="NO TIENE L3OUT"/>
    <n v="192"/>
    <n v="54"/>
  </r>
  <r>
    <n v="870"/>
    <x v="2"/>
    <x v="94"/>
    <s v="eth1/8"/>
    <x v="0"/>
    <x v="0"/>
    <x v="0"/>
    <s v="TO_ITHFHWCRMDLCN55_Redundante"/>
    <x v="0"/>
    <b v="0"/>
    <s v="No está en VPC"/>
    <n v="870"/>
    <s v="INTPG_ACC_870_1.8"/>
    <s v="ISEL-1.8"/>
    <n v="1"/>
    <s v="NO TIENE L3OUT"/>
    <n v="248"/>
    <n v="54"/>
  </r>
  <r>
    <n v="866"/>
    <x v="2"/>
    <x v="95"/>
    <s v="eth1/8"/>
    <x v="0"/>
    <x v="0"/>
    <x v="0"/>
    <s v="To_VPC_2DCBSD_HD19_1"/>
    <x v="0"/>
    <b v="0"/>
    <s v="No está en VPC"/>
    <n v="866"/>
    <s v="INTPG_VPC_861_1.8_866_1.8"/>
    <s v="ISEL-1.8"/>
    <n v="2"/>
    <s v="NO TIENE L3OUT"/>
    <n v="8"/>
    <n v="54"/>
  </r>
  <r>
    <n v="862"/>
    <x v="2"/>
    <x v="96"/>
    <s v="eth1/8"/>
    <x v="0"/>
    <x v="0"/>
    <x v="0"/>
    <s v="To_ITHHWD6KV65100013DKC01_Principal"/>
    <x v="0"/>
    <b v="0"/>
    <s v="No está en VPC"/>
    <n v="862"/>
    <s v="INTPG_ACC_862_1.8"/>
    <s v="ISEL-1.8"/>
    <n v="1"/>
    <s v="NO TIENE L3OUT"/>
    <n v="44"/>
    <n v="54"/>
  </r>
  <r>
    <n v="855"/>
    <x v="2"/>
    <x v="97"/>
    <s v="eth1/8"/>
    <x v="0"/>
    <x v="0"/>
    <x v="0"/>
    <s v="LINK_TO_ITHFHWCRMPLCN157 / Slot1.1_16 / Principal"/>
    <x v="0"/>
    <b v="0"/>
    <s v="No está en VPC"/>
    <n v="855"/>
    <s v="INTPG_ACC_855_1.8"/>
    <s v="ISEL-1.8"/>
    <n v="6"/>
    <s v="NO TIENE L3OUT"/>
    <n v="254"/>
    <n v="54"/>
  </r>
  <r>
    <n v="871"/>
    <x v="2"/>
    <x v="98"/>
    <s v="eth1/8"/>
    <x v="0"/>
    <x v="0"/>
    <x v="0"/>
    <s v="TO_ITHFHWCRMDLCN83_Principal"/>
    <x v="0"/>
    <b v="0"/>
    <s v="No está en VPC"/>
    <n v="871"/>
    <s v="INTPG_ACC_871_1.8"/>
    <s v="ISEL-1.8"/>
    <n v="2"/>
    <s v="NO TIENE L3OUT"/>
    <n v="246"/>
    <n v="54"/>
  </r>
  <r>
    <n v="841"/>
    <x v="2"/>
    <x v="99"/>
    <s v="eth1/8"/>
    <x v="0"/>
    <x v="0"/>
    <x v="0"/>
    <s v="LINK_TO_ITHFHWCBSPSUSBD37 / Slot7.1_10 / Redundante"/>
    <x v="0"/>
    <b v="0"/>
    <s v="No está en VPC"/>
    <n v="841"/>
    <s v="INTPG_VPC_836_1.8_841_1.8"/>
    <s v="ISEL-1.8"/>
    <n v="2"/>
    <s v="NO TIENE L3OUT"/>
    <n v="0"/>
    <n v="54"/>
  </r>
  <r>
    <n v="868"/>
    <x v="2"/>
    <x v="100"/>
    <s v="eth1/8"/>
    <x v="0"/>
    <x v="0"/>
    <x v="0"/>
    <s v="TO_ITHFHWCRMDLCN83_Redundante"/>
    <x v="0"/>
    <b v="0"/>
    <s v="No está en VPC"/>
    <n v="868"/>
    <s v="INTPG_ACC_868_1.8"/>
    <s v="ISEL-1.8"/>
    <n v="2"/>
    <s v="NO TIENE L3OUT"/>
    <n v="246"/>
    <n v="54"/>
  </r>
  <r>
    <n v="869"/>
    <x v="2"/>
    <x v="101"/>
    <s v="eth1/8"/>
    <x v="0"/>
    <x v="0"/>
    <x v="0"/>
    <s v="To_ITHFHWCRMDLCN71_Redundante"/>
    <x v="0"/>
    <b v="0"/>
    <s v="No está en VPC"/>
    <n v="869"/>
    <s v="INTPG_ACC_869_1.8"/>
    <s v="ISEL-1.8"/>
    <n v="1"/>
    <s v="NO TIENE L3OUT"/>
    <n v="288"/>
    <n v="54"/>
  </r>
  <r>
    <n v="861"/>
    <x v="2"/>
    <x v="102"/>
    <s v="eth1/8"/>
    <x v="0"/>
    <x v="0"/>
    <x v="0"/>
    <s v="To_VPC_2DCBSD_HD19_1"/>
    <x v="0"/>
    <b v="0"/>
    <s v="No está en VPC"/>
    <n v="861"/>
    <s v="INTPG_VPC_861_1.8_866_1.8"/>
    <s v="ISEL-1.8"/>
    <n v="2"/>
    <s v="NO TIENE L3OUT"/>
    <n v="8"/>
    <n v="54"/>
  </r>
  <r>
    <n v="874"/>
    <x v="2"/>
    <x v="103"/>
    <s v="eth1/8"/>
    <x v="0"/>
    <x v="0"/>
    <x v="0"/>
    <s v="LINK_TO_ITHFHWSEQLCAS31 / Slot 5 PTO 1 / Redundante"/>
    <x v="4"/>
    <b v="0"/>
    <s v="No está en VPC"/>
    <n v="874"/>
    <s v="INTPG_ACC_874_1.8"/>
    <s v="ISEL-1.8"/>
    <n v="1"/>
    <s v="NO TIENE L3OUT"/>
    <n v="92"/>
    <n v="54"/>
  </r>
  <r>
    <n v="865"/>
    <x v="2"/>
    <x v="104"/>
    <s v="eth1/8"/>
    <x v="0"/>
    <x v="0"/>
    <x v="0"/>
    <s v="To_VPC_2DCBSD_HD25_2"/>
    <x v="0"/>
    <b v="0"/>
    <s v="No está en VPC"/>
    <n v="865"/>
    <s v="INTPG_VPC_860_1.8_865_1.8"/>
    <s v="ISEL-1.8"/>
    <n v="1"/>
    <s v="NO TIENE L3OUT"/>
    <n v="0"/>
    <n v="54"/>
  </r>
  <r>
    <n v="753"/>
    <x v="2"/>
    <x v="105"/>
    <s v="eth1/8"/>
    <x v="0"/>
    <x v="0"/>
    <x v="0"/>
    <s v="OSS F1:ithenmr04bl03lms1r9b:Slot 2/2"/>
    <x v="0"/>
    <b v="0"/>
    <s v="No está en VPC"/>
    <n v="753"/>
    <s v="INTPG_ACC_753_1.8"/>
    <s v="ISEL-1.8"/>
    <n v="1"/>
    <s v="NO TIENE L3OUT"/>
    <n v="62"/>
    <n v="54"/>
  </r>
  <r>
    <n v="708"/>
    <x v="2"/>
    <x v="106"/>
    <s v="eth1/8"/>
    <x v="0"/>
    <x v="1"/>
    <x v="5"/>
    <s v="CEM:ITHCEME2DAT04:LOM  P2"/>
    <x v="0"/>
    <b v="0"/>
    <s v="No está en VPC"/>
    <n v="708"/>
    <s v="INTPG_VPC_708_1.8_709_1.7"/>
    <s v="ISEL-1.8"/>
    <n v="1"/>
    <s v="NO TIENE L3OUT"/>
    <n v="0"/>
    <n v="54"/>
  </r>
  <r>
    <n v="710"/>
    <x v="2"/>
    <x v="107"/>
    <s v="eth1/8"/>
    <x v="0"/>
    <x v="0"/>
    <x v="0"/>
    <s v="CEM:ITHCEMC2DAT04:LOM  P2"/>
    <x v="0"/>
    <b v="0"/>
    <s v="No está en VPC"/>
    <n v="710"/>
    <s v="INTPG_ACC_710_1.8"/>
    <s v="ISEL-1.8"/>
    <n v="1"/>
    <s v="NO TIENE L3OUT"/>
    <n v="16"/>
    <n v="54"/>
  </r>
  <r>
    <n v="713"/>
    <x v="2"/>
    <x v="108"/>
    <s v="eth1/8"/>
    <x v="0"/>
    <x v="0"/>
    <x v="0"/>
    <s v="CEM:ITHCEMB2DAT04:LOM  P2"/>
    <x v="0"/>
    <b v="0"/>
    <s v="No está en VPC"/>
    <n v="713"/>
    <s v="INTPG_ACC_713_1.8"/>
    <s v="ISEL-1.8"/>
    <n v="1"/>
    <s v="NO TIENE L3OUT"/>
    <n v="32"/>
    <n v="54"/>
  </r>
  <r>
    <n v="735"/>
    <x v="2"/>
    <x v="109"/>
    <s v="eth1/8"/>
    <x v="0"/>
    <x v="1"/>
    <x v="1"/>
    <s v="CEM_HADOOP"/>
    <x v="5"/>
    <b v="0"/>
    <s v="No está en VPC"/>
    <n v="735"/>
    <s v="INTPG_ACC_735_1.8"/>
    <s v="ISEL-1.8"/>
    <n v="1"/>
    <s v="NO TIENE L3OUT"/>
    <n v="34"/>
    <n v="54"/>
  </r>
  <r>
    <n v="731"/>
    <x v="2"/>
    <x v="110"/>
    <s v="eth1/8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8"/>
    <x v="0"/>
    <x v="0"/>
    <x v="0"/>
    <m/>
    <x v="0"/>
    <b v="0"/>
    <s v="No está en VPC"/>
    <n v="703"/>
    <s v="INTPG_VPC_704_1.7_703_1.8"/>
    <s v="ISEL-1.8"/>
    <n v="1"/>
    <s v="NO TIENE L3OUT"/>
    <n v="2"/>
    <n v="54"/>
  </r>
  <r>
    <n v="706"/>
    <x v="2"/>
    <x v="112"/>
    <s v="eth1/8"/>
    <x v="0"/>
    <x v="0"/>
    <x v="0"/>
    <m/>
    <x v="0"/>
    <b v="0"/>
    <s v="No está en VPC"/>
    <n v="706"/>
    <s v="INTPG_VPC_705_1.7_706_1.8"/>
    <s v="ISEL-1.8"/>
    <n v="2"/>
    <s v="NO TIENE L3OUT"/>
    <n v="16"/>
    <n v="54"/>
  </r>
  <r>
    <n v="762"/>
    <x v="2"/>
    <x v="113"/>
    <s v="eth1/8"/>
    <x v="0"/>
    <x v="0"/>
    <x v="0"/>
    <s v="PAAS:ithhwoscopap008:FlexIO.1"/>
    <x v="0"/>
    <b v="0"/>
    <s v="No está en VPC"/>
    <n v="762"/>
    <s v="INTPG_VPC_762_1.8_763_1.8"/>
    <s v="ISEL-1.8"/>
    <n v="15"/>
    <s v="NO TIENE L3OUT"/>
    <n v="0"/>
    <n v="54"/>
  </r>
  <r>
    <n v="814"/>
    <x v="2"/>
    <x v="114"/>
    <s v="eth1/8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8"/>
    <x v="0"/>
    <x v="0"/>
    <x v="0"/>
    <s v="HACIA_CSI-B-OSCP-F4-12_PRIMARIO"/>
    <x v="4"/>
    <b v="0"/>
    <s v="No está en VPC"/>
    <n v="878"/>
    <s v="INTPG_VPC_878_1.8_879_1.8"/>
    <s v="ISEL-1.8"/>
    <n v="2"/>
    <s v="NO TIENE L3OUT"/>
    <n v="0"/>
    <n v="54"/>
  </r>
  <r>
    <n v="826"/>
    <x v="2"/>
    <x v="116"/>
    <s v="eth1/8"/>
    <x v="0"/>
    <x v="0"/>
    <x v="0"/>
    <s v="LINK_TO_ITHFHWCBSDSUSBD06 /10GE.1 /Principal"/>
    <x v="0"/>
    <b v="0"/>
    <s v="No está en VPC"/>
    <n v="826"/>
    <s v="INTPG_VPC_826_1.8_830_1.8"/>
    <s v="ISEL-1.8"/>
    <n v="1"/>
    <s v="NO TIENE L3OUT"/>
    <n v="12"/>
    <n v="54"/>
  </r>
  <r>
    <n v="726"/>
    <x v="2"/>
    <x v="117"/>
    <s v="eth1/8"/>
    <x v="0"/>
    <x v="0"/>
    <x v="0"/>
    <s v="DESC"/>
    <x v="0"/>
    <b v="0"/>
    <s v="No está en VPC"/>
    <n v="726"/>
    <s v="INTPG_PC_726_1.7-8"/>
    <s v="ISEL-1.8"/>
    <n v="0"/>
    <s v="L3OUT-HCS-MGMT-TELCEL-IPCORP"/>
    <n v="0"/>
    <n v="54"/>
  </r>
  <r>
    <n v="740"/>
    <x v="2"/>
    <x v="118"/>
    <s v="eth1/8"/>
    <x v="0"/>
    <x v="0"/>
    <x v="0"/>
    <s v="CEM:ITHCEMD2DAT04:FLEXIO P1"/>
    <x v="5"/>
    <b v="0"/>
    <s v="No está en VPC"/>
    <n v="740"/>
    <s v="INTPG_ACC_740_1.8"/>
    <s v="ISEL-1.8"/>
    <n v="1"/>
    <s v="NO TIENE L3OUT"/>
    <n v="72"/>
    <n v="54"/>
  </r>
  <r>
    <n v="705"/>
    <x v="2"/>
    <x v="119"/>
    <s v="eth1/8"/>
    <x v="0"/>
    <x v="0"/>
    <x v="0"/>
    <s v="ITHCEMA1DAT04-LOM-P2"/>
    <x v="0"/>
    <b v="0"/>
    <s v="No está en VPC"/>
    <n v="705"/>
    <s v="INTPG_ACC_705_1.8"/>
    <s v="ISEL-1.8"/>
    <n v="1"/>
    <s v="NO TIENE L3OUT"/>
    <n v="16"/>
    <n v="54"/>
  </r>
  <r>
    <n v="723"/>
    <x v="2"/>
    <x v="120"/>
    <s v="eth1/8"/>
    <x v="0"/>
    <x v="0"/>
    <x v="0"/>
    <m/>
    <x v="0"/>
    <b v="0"/>
    <s v="No está en VPC"/>
    <n v="723"/>
    <s v="INTPG-VPC_HDD130_722_1.7_723_1.8"/>
    <s v="ISEL-1.8"/>
    <n v="1"/>
    <s v="NO TIENE L3OUT"/>
    <n v="0"/>
    <n v="54"/>
  </r>
  <r>
    <n v="721"/>
    <x v="2"/>
    <x v="121"/>
    <s v="eth1/8"/>
    <x v="0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8"/>
    <x v="0"/>
    <x v="0"/>
    <x v="0"/>
    <s v="TO-ITHFHPMEDIRAP05"/>
    <x v="0"/>
    <b v="0"/>
    <s v="No está en VPC"/>
    <n v="788"/>
    <s v="INTPG_VPC_788_1.7-8_789_1.7-8"/>
    <s v="ISEL-1.8"/>
    <n v="2"/>
    <s v="NO TIENE L3OUT"/>
    <n v="4"/>
    <n v="54"/>
  </r>
  <r>
    <n v="732"/>
    <x v="2"/>
    <x v="123"/>
    <s v="eth1/8"/>
    <x v="0"/>
    <x v="0"/>
    <x v="0"/>
    <s v="eth-trunk 22 fase 2 bes"/>
    <x v="0"/>
    <b v="0"/>
    <s v="No está en VPC"/>
    <n v="732"/>
    <s v="INTPG_VPC_732_1.5_8_733_1.5_8"/>
    <s v="ISEL-1.8"/>
    <n v="9"/>
    <s v="NO TIENE L3OUT"/>
    <n v="0"/>
    <n v="54"/>
  </r>
  <r>
    <n v="720"/>
    <x v="2"/>
    <x v="124"/>
    <s v="eth1/8"/>
    <x v="0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8"/>
    <x v="0"/>
    <x v="1"/>
    <x v="5"/>
    <s v="CEM:ITHCEMF2DAT04:LOM  P2"/>
    <x v="0"/>
    <b v="0"/>
    <s v="No está en VPC"/>
    <n v="709"/>
    <s v="INTPG_VPC_708_1.7_709_1.8"/>
    <s v="ISEL-1.8"/>
    <n v="1"/>
    <s v="NO TIENE L3OUT"/>
    <n v="0"/>
    <n v="54"/>
  </r>
  <r>
    <n v="454"/>
    <x v="1"/>
    <x v="126"/>
    <s v="eth1/8"/>
    <x v="0"/>
    <x v="0"/>
    <x v="0"/>
    <s v="HACIA_CSI-B-OSCP-F4-08_PRIMARIO"/>
    <x v="4"/>
    <b v="0"/>
    <s v="No está en VPC"/>
    <n v="454"/>
    <s v="INTPG_VPC_454_1.8_456_1.8"/>
    <s v="ISEL-1.8"/>
    <n v="2"/>
    <s v="NO TIENE L3OUT"/>
    <n v="4"/>
    <n v="54"/>
  </r>
  <r>
    <n v="734"/>
    <x v="2"/>
    <x v="127"/>
    <s v="eth1/8"/>
    <x v="0"/>
    <x v="1"/>
    <x v="1"/>
    <s v="CEM:ITHCEMA1DAT04:FLEXIO P1"/>
    <x v="5"/>
    <b v="0"/>
    <s v="No está en VPC"/>
    <n v="734"/>
    <s v="INTPG_ACC_734_1.8"/>
    <s v="ISEL-1.8"/>
    <n v="1"/>
    <s v="NO TIENE L3OUT"/>
    <n v="32"/>
    <n v="54"/>
  </r>
  <r>
    <n v="815"/>
    <x v="2"/>
    <x v="128"/>
    <s v="eth1/8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8"/>
    <x v="0"/>
    <x v="0"/>
    <x v="0"/>
    <s v="trunk21 Bes-Production"/>
    <x v="0"/>
    <b v="0"/>
    <s v="No está en VPC"/>
    <n v="743"/>
    <s v="INTPG_VPC_743_1.5_8_744_1.5_8"/>
    <s v="ISEL-1.8"/>
    <n v="13"/>
    <s v="NO TIENE L3OUT"/>
    <n v="4"/>
    <n v="54"/>
  </r>
  <r>
    <n v="718"/>
    <x v="2"/>
    <x v="130"/>
    <s v="eth1/8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8"/>
    <x v="0"/>
    <x v="0"/>
    <x v="0"/>
    <s v="trunk21 Bes-Production"/>
    <x v="0"/>
    <b v="0"/>
    <s v="No está en VPC"/>
    <n v="744"/>
    <s v="INTPG_VPC_743_1.5_8_744_1.5_8"/>
    <s v="ISEL-1.8"/>
    <n v="13"/>
    <s v="NO TIENE L3OUT"/>
    <n v="4"/>
    <n v="54"/>
  </r>
  <r>
    <n v="741"/>
    <x v="2"/>
    <x v="132"/>
    <s v="eth1/8"/>
    <x v="0"/>
    <x v="1"/>
    <x v="1"/>
    <s v="CEM:ITHCEMA2DAT04:FLEXIO P1"/>
    <x v="5"/>
    <b v="0"/>
    <s v="No está en VPC"/>
    <n v="741"/>
    <s v="INTPG_ACC_741_1.8"/>
    <s v="ISEL-1.8"/>
    <n v="1"/>
    <s v="NO TIENE L3OUT"/>
    <n v="62"/>
    <n v="54"/>
  </r>
  <r>
    <n v="787"/>
    <x v="2"/>
    <x v="133"/>
    <s v="eth1/8"/>
    <x v="0"/>
    <x v="0"/>
    <x v="0"/>
    <s v="ENIQ F2:itheniqr16bl03ombsr4a:LOM PORT 2"/>
    <x v="0"/>
    <b v="0"/>
    <s v="No está en VPC"/>
    <n v="787"/>
    <s v="INTPG_PC_787_1.7-10"/>
    <s v="ISEL-1.8"/>
    <n v="2"/>
    <s v="NO TIENE L3OUT"/>
    <n v="26"/>
    <n v="54"/>
  </r>
  <r>
    <n v="750"/>
    <x v="2"/>
    <x v="134"/>
    <s v="eth1/8"/>
    <x v="0"/>
    <x v="0"/>
    <x v="0"/>
    <s v="trunk17 Bes-Production"/>
    <x v="0"/>
    <b v="0"/>
    <s v="No está en VPC"/>
    <n v="750"/>
    <s v="INTPG_VPC_750_1.5_8_751_1.5_8"/>
    <s v="ISEL-1.8"/>
    <n v="13"/>
    <s v="NO TIENE L3OUT"/>
    <n v="2"/>
    <n v="54"/>
  </r>
  <r>
    <n v="792"/>
    <x v="2"/>
    <x v="135"/>
    <s v="eth1/8"/>
    <x v="0"/>
    <x v="0"/>
    <x v="0"/>
    <s v="CRM, CBS:PR-R10-F07:X2-10GE 2"/>
    <x v="0"/>
    <b v="0"/>
    <s v="No está en VPC"/>
    <n v="792"/>
    <s v="INTPG_VPC_757_1.8-9_792_1.8-9"/>
    <s v="ISEL-1.8"/>
    <n v="6"/>
    <s v="NO TIENE L3OUT"/>
    <n v="0"/>
    <n v="54"/>
  </r>
  <r>
    <n v="736"/>
    <x v="2"/>
    <x v="136"/>
    <s v="eth1/8"/>
    <x v="0"/>
    <x v="1"/>
    <x v="3"/>
    <s v="CEM:ITHCEMG2DAT04:SLOT1 P1"/>
    <x v="0"/>
    <b v="0"/>
    <s v="No está en VPC"/>
    <n v="736"/>
    <s v="INTPG_ACC_736_1.8"/>
    <s v="ISEL-1.8"/>
    <n v="1"/>
    <s v="NO TIENE L3OUT"/>
    <n v="48"/>
    <n v="54"/>
  </r>
  <r>
    <n v="799"/>
    <x v="2"/>
    <x v="137"/>
    <s v="eth1/8"/>
    <x v="0"/>
    <x v="0"/>
    <x v="0"/>
    <s v="TO-IMC_PS22-MSP"/>
    <x v="0"/>
    <b v="0"/>
    <s v="No está en VPC"/>
    <n v="799"/>
    <s v="INTPG_ACC_799_1.8"/>
    <s v="ISEL-1.8"/>
    <n v="1"/>
    <s v="NO TIENE L3OUT"/>
    <n v="52"/>
    <n v="54"/>
  </r>
  <r>
    <n v="768"/>
    <x v="2"/>
    <x v="138"/>
    <s v="eth1/8"/>
    <x v="0"/>
    <x v="0"/>
    <x v="0"/>
    <s v="Portchannel_1_R3"/>
    <x v="0"/>
    <b v="0"/>
    <s v="No está en VPC"/>
    <n v="768"/>
    <s v="INTPG_PC_768_1.7-10"/>
    <s v="ISEL-1.8"/>
    <n v="2"/>
    <s v="NO TIENE L3OUT"/>
    <n v="62"/>
    <n v="54"/>
  </r>
  <r>
    <n v="714"/>
    <x v="2"/>
    <x v="139"/>
    <s v="eth1/8"/>
    <x v="0"/>
    <x v="0"/>
    <x v="0"/>
    <s v="TO-ITHFHWVRALCN07"/>
    <x v="0"/>
    <b v="0"/>
    <s v="No está en VPC"/>
    <n v="714"/>
    <s v="INTPG_VPC_714_1.8_721_1.7"/>
    <s v="ISEL-1.8"/>
    <n v="108"/>
    <s v="NO TIENE L3OUT"/>
    <n v="20"/>
    <n v="54"/>
  </r>
  <r>
    <n v="717"/>
    <x v="2"/>
    <x v="140"/>
    <s v="eth1/8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8"/>
    <x v="0"/>
    <x v="0"/>
    <x v="0"/>
    <s v="TO-ITHFHPMEDIRAP05"/>
    <x v="0"/>
    <b v="0"/>
    <s v="No está en VPC"/>
    <n v="789"/>
    <s v="INTPG_VPC_788_1.7-8_789_1.7-8"/>
    <s v="ISEL-1.8"/>
    <n v="2"/>
    <s v="NO TIENE L3OUT"/>
    <n v="0"/>
    <n v="54"/>
  </r>
  <r>
    <n v="764"/>
    <x v="2"/>
    <x v="142"/>
    <s v="eth1/8"/>
    <x v="0"/>
    <x v="0"/>
    <x v="0"/>
    <s v="Portchannel_1_R1"/>
    <x v="0"/>
    <b v="0"/>
    <s v="No está en VPC"/>
    <n v="764"/>
    <s v="INTPG_PC_764_1.7-10"/>
    <s v="ISEL-1.8"/>
    <n v="2"/>
    <s v="NO TIENE L3OUT"/>
    <n v="62"/>
    <n v="54"/>
  </r>
  <r>
    <n v="783"/>
    <x v="2"/>
    <x v="143"/>
    <s v="eth1/8"/>
    <x v="0"/>
    <x v="0"/>
    <x v="0"/>
    <s v="LACP_OMBS_ENIQ9A"/>
    <x v="0"/>
    <b v="0"/>
    <s v="No está en VPC"/>
    <n v="783"/>
    <s v="INTPG_PC_783_1.7-10"/>
    <s v="ISEL-1.8"/>
    <n v="2"/>
    <s v="NO TIENE L3OUT"/>
    <n v="26"/>
    <n v="54"/>
  </r>
  <r>
    <n v="774"/>
    <x v="2"/>
    <x v="144"/>
    <s v="eth1/8"/>
    <x v="0"/>
    <x v="0"/>
    <x v="0"/>
    <s v="CLOUD PASS PAYG F3:ITHHWOSCOPAP025:LOM P3"/>
    <x v="0"/>
    <b v="0"/>
    <s v="No está en VPC"/>
    <n v="774"/>
    <s v="INTPG_VPC_774_1.8_775_1.8"/>
    <s v="ISEL-1.8"/>
    <n v="23"/>
    <s v="NO TIENE L3OUT"/>
    <n v="0"/>
    <n v="54"/>
  </r>
  <r>
    <n v="773"/>
    <x v="2"/>
    <x v="145"/>
    <s v="eth1/8"/>
    <x v="0"/>
    <x v="0"/>
    <x v="0"/>
    <s v="OSS_ENM"/>
    <x v="0"/>
    <b v="0"/>
    <s v="No está en VPC"/>
    <n v="773"/>
    <s v="INTPG_ACC_773_1.8"/>
    <s v="ISEL-1.8"/>
    <n v="1"/>
    <s v="NO TIENE L3OUT"/>
    <n v="78"/>
    <n v="54"/>
  </r>
  <r>
    <n v="794"/>
    <x v="2"/>
    <x v="146"/>
    <s v="eth1/8"/>
    <x v="0"/>
    <x v="0"/>
    <x v="0"/>
    <s v="TO-IXTFDLBKP4RAP04-REDUNDANTE_POWEREDGE"/>
    <x v="0"/>
    <b v="0"/>
    <s v="No está en VPC"/>
    <n v="794"/>
    <s v="INTPG_ACC_794_1.8"/>
    <s v="ISEL-1.8"/>
    <n v="1"/>
    <s v="NO TIENE L3OUT"/>
    <n v="12"/>
    <n v="54"/>
  </r>
  <r>
    <n v="803"/>
    <x v="2"/>
    <x v="147"/>
    <s v="eth1/8"/>
    <x v="0"/>
    <x v="0"/>
    <x v="0"/>
    <s v="TO-HDPS_34-MSP"/>
    <x v="0"/>
    <b v="0"/>
    <s v="No está en VPC"/>
    <n v="803"/>
    <s v="INTPG_ACC_803_1.8"/>
    <s v="ISEL-1.8"/>
    <n v="1"/>
    <s v="NO TIENE L3OUT"/>
    <n v="48"/>
    <n v="54"/>
  </r>
  <r>
    <n v="786"/>
    <x v="2"/>
    <x v="148"/>
    <s v="eth1/8"/>
    <x v="0"/>
    <x v="0"/>
    <x v="0"/>
    <s v="ENIQ F2:itheniqr14bl03ombsr4b:LOM PORT 2"/>
    <x v="0"/>
    <b v="0"/>
    <s v="No está en VPC"/>
    <n v="786"/>
    <s v="INTPG_PC_786_1.7-10"/>
    <s v="ISEL-1.8"/>
    <n v="2"/>
    <s v="NO TIENE L3OUT"/>
    <n v="26"/>
    <n v="54"/>
  </r>
  <r>
    <n v="757"/>
    <x v="2"/>
    <x v="149"/>
    <s v="eth1/8"/>
    <x v="0"/>
    <x v="0"/>
    <x v="0"/>
    <s v="CRM, CBS:ITHHWBESRK10CH1:X2-10GE 1"/>
    <x v="0"/>
    <b v="0"/>
    <s v="No está en VPC"/>
    <n v="757"/>
    <s v="INTPG_VPC_757_1.8-9_792_1.8-9"/>
    <s v="ISEL-1.8"/>
    <n v="6"/>
    <s v="NO TIENE L3OUT"/>
    <n v="0"/>
    <n v="54"/>
  </r>
  <r>
    <n v="781"/>
    <x v="2"/>
    <x v="150"/>
    <s v="eth1/8"/>
    <x v="0"/>
    <x v="0"/>
    <x v="0"/>
    <s v="LACP_OMBS_ENIQ9C"/>
    <x v="0"/>
    <b v="0"/>
    <s v="No está en VPC"/>
    <n v="781"/>
    <s v="INTPG_PC_781_1.7-10"/>
    <s v="ISEL-1.8"/>
    <n v="2"/>
    <s v="NO TIENE L3OUT"/>
    <n v="26"/>
    <n v="54"/>
  </r>
  <r>
    <n v="793"/>
    <x v="2"/>
    <x v="151"/>
    <s v="eth1/8"/>
    <x v="0"/>
    <x v="0"/>
    <x v="0"/>
    <s v="TO-IXTFDLBKP4RAP04-PRINCIPAL_POWEREDGE"/>
    <x v="0"/>
    <b v="0"/>
    <s v="No está en VPC"/>
    <n v="793"/>
    <s v="INTPG_ACC_793_1.8"/>
    <s v="ISEL-1.8"/>
    <n v="1"/>
    <s v="NO TIENE L3OUT"/>
    <n v="12"/>
    <n v="54"/>
  </r>
  <r>
    <n v="747"/>
    <x v="2"/>
    <x v="152"/>
    <s v="eth1/8"/>
    <x v="0"/>
    <x v="0"/>
    <x v="0"/>
    <s v="PAAS:ithhwoscopap008:LOM PORT 1"/>
    <x v="0"/>
    <b v="0"/>
    <s v="No está en VPC"/>
    <n v="747"/>
    <s v="INTPG_VPC_747_1.8_752_1.8"/>
    <s v="ISEL-1.8"/>
    <n v="25"/>
    <s v="NO TIENE L3OUT"/>
    <n v="0"/>
    <n v="54"/>
  </r>
  <r>
    <n v="784"/>
    <x v="2"/>
    <x v="153"/>
    <s v="eth1/8"/>
    <x v="0"/>
    <x v="0"/>
    <x v="0"/>
    <s v="ENIQ F2:itheniqr12bl03ombsr6b:LOM PORT 2"/>
    <x v="0"/>
    <b v="0"/>
    <s v="No está en VPC"/>
    <n v="784"/>
    <s v="INTPG_PC_784_1.7-10"/>
    <s v="ISEL-1.8"/>
    <n v="2"/>
    <s v="NO TIENE L3OUT"/>
    <n v="26"/>
    <n v="54"/>
  </r>
  <r>
    <n v="806"/>
    <x v="2"/>
    <x v="154"/>
    <s v="eth1/8"/>
    <x v="0"/>
    <x v="0"/>
    <x v="0"/>
    <s v="TO-HDPS_58-MSP"/>
    <x v="0"/>
    <b v="0"/>
    <s v="No está en VPC"/>
    <n v="806"/>
    <s v="INTPG_ACC_806_1.8"/>
    <s v="ISEL-1.8"/>
    <n v="1"/>
    <s v="NO TIENE L3OUT"/>
    <n v="44"/>
    <n v="54"/>
  </r>
  <r>
    <n v="777"/>
    <x v="2"/>
    <x v="155"/>
    <s v="eth1/8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8"/>
    <x v="0"/>
    <x v="0"/>
    <x v="0"/>
    <s v="Portchannel_2_R4B"/>
    <x v="0"/>
    <b v="0"/>
    <s v="No está en VPC"/>
    <n v="770"/>
    <s v="INTPG_PC_770_1.7-8"/>
    <s v="ISEL-1.8"/>
    <n v="8"/>
    <s v="NO TIENE L3OUT"/>
    <n v="60"/>
    <n v="54"/>
  </r>
  <r>
    <n v="813"/>
    <x v="2"/>
    <x v="157"/>
    <s v="eth1/8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8"/>
    <x v="0"/>
    <x v="1"/>
    <x v="1"/>
    <s v="CEM:ITHCEMC2DAT04:FLEXIO P1"/>
    <x v="5"/>
    <b v="0"/>
    <s v="No está en VPC"/>
    <n v="739"/>
    <s v="INTPG_ACC_739_1.8"/>
    <s v="ISEL-1.8"/>
    <n v="1"/>
    <s v="NO TIENE L3OUT"/>
    <n v="72"/>
    <n v="54"/>
  </r>
  <r>
    <n v="775"/>
    <x v="2"/>
    <x v="159"/>
    <s v="eth1/8"/>
    <x v="0"/>
    <x v="0"/>
    <x v="0"/>
    <s v="CLOUD PASS PAYG F3:ITHHWOSCOPAP025:FLEX I/O P1"/>
    <x v="0"/>
    <b v="0"/>
    <s v="No está en VPC"/>
    <n v="775"/>
    <s v="INTPG_VPC_774_1.8_775_1.8"/>
    <s v="ISEL-1.8"/>
    <n v="23"/>
    <s v="NO TIENE L3OUT"/>
    <n v="0"/>
    <n v="54"/>
  </r>
  <r>
    <n v="791"/>
    <x v="2"/>
    <x v="160"/>
    <s v="eth1/8"/>
    <x v="0"/>
    <x v="0"/>
    <x v="0"/>
    <s v="LINK_TO_ITHEMCPS5200TWPT3 / Nodo A IOM 1.1_04 / Redundante"/>
    <x v="0"/>
    <b v="0"/>
    <s v="No está en VPC"/>
    <n v="791"/>
    <s v="INTPG_ACC_791_1.8"/>
    <s v="ISEL-1.8"/>
    <n v="2"/>
    <s v="NO TIENE L3OUT"/>
    <n v="20"/>
    <n v="54"/>
  </r>
  <r>
    <n v="808"/>
    <x v="2"/>
    <x v="161"/>
    <s v="eth1/8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8"/>
    <x v="0"/>
    <x v="0"/>
    <x v="0"/>
    <s v="LINK_TO_ITHFHWCBSDSUSBD06 /Slot5.1 /Redundante"/>
    <x v="0"/>
    <b v="0"/>
    <s v="No está en VPC"/>
    <n v="830"/>
    <s v="INTPG_VPC_826_1.8_830_1.8"/>
    <s v="ISEL-1.8"/>
    <n v="1"/>
    <s v="NO TIENE L3OUT"/>
    <n v="12"/>
    <n v="54"/>
  </r>
  <r>
    <n v="821"/>
    <x v="2"/>
    <x v="163"/>
    <s v="eth1/8"/>
    <x v="0"/>
    <x v="0"/>
    <x v="0"/>
    <s v="LINK_TO_ITHFHWCBSPSUSBD11 /Slot5.1 /Redundante"/>
    <x v="0"/>
    <b v="0"/>
    <s v="No está en VPC"/>
    <n v="821"/>
    <s v="INTPG_VPC_816_1.8_821_1.8"/>
    <s v="ISEL-1.8"/>
    <n v="1"/>
    <s v="NO TIENE L3OUT"/>
    <n v="0"/>
    <n v="54"/>
  </r>
  <r>
    <n v="738"/>
    <x v="2"/>
    <x v="164"/>
    <s v="eth1/8"/>
    <x v="0"/>
    <x v="0"/>
    <x v="0"/>
    <s v="CEM:ITHCEMF2DAT04:FLEXIO P1"/>
    <x v="5"/>
    <b v="0"/>
    <s v="No está en VPC"/>
    <n v="738"/>
    <s v="INTPG_ACC_738_1.8"/>
    <s v="ISEL-1.8"/>
    <n v="1"/>
    <s v="NO TIENE L3OUT"/>
    <n v="72"/>
    <n v="54"/>
  </r>
  <r>
    <n v="820"/>
    <x v="2"/>
    <x v="165"/>
    <s v="eth1/8"/>
    <x v="0"/>
    <x v="0"/>
    <x v="0"/>
    <s v="LINK_TO_ITHHWCRMPEN02 /X2-10GE 6 /Redundante"/>
    <x v="0"/>
    <b v="0"/>
    <s v="No está en VPC"/>
    <n v="820"/>
    <s v="INTPG_VPC_820_1.7-8_10-11_825_1.7-8_10-11"/>
    <s v="ISEL-1.8"/>
    <n v="1"/>
    <s v="NO TIENE L3OUT"/>
    <n v="72"/>
    <n v="54"/>
  </r>
  <r>
    <n v="804"/>
    <x v="2"/>
    <x v="166"/>
    <s v="eth1/8"/>
    <x v="0"/>
    <x v="0"/>
    <x v="0"/>
    <s v="TO-HDPS_34-MSP"/>
    <x v="0"/>
    <b v="0"/>
    <s v="No está en VPC"/>
    <n v="804"/>
    <s v="INTPG_ACC_804_1.8"/>
    <s v="ISEL-1.8"/>
    <n v="1"/>
    <s v="NO TIENE L3OUT"/>
    <n v="48"/>
    <n v="54"/>
  </r>
  <r>
    <n v="779"/>
    <x v="2"/>
    <x v="167"/>
    <s v="eth1/8"/>
    <x v="0"/>
    <x v="0"/>
    <x v="0"/>
    <s v="ENIQ F1:itheniqr08ombsr3:LOM PORT 2"/>
    <x v="0"/>
    <b v="0"/>
    <s v="No está en VPC"/>
    <n v="779"/>
    <s v="INTPG_PC_779_1.7-10"/>
    <s v="ISEL-1.8"/>
    <n v="2"/>
    <s v="NO TIENE L3OUT"/>
    <n v="30"/>
    <n v="54"/>
  </r>
  <r>
    <n v="767"/>
    <x v="2"/>
    <x v="168"/>
    <s v="eth1/8"/>
    <x v="0"/>
    <x v="0"/>
    <x v="0"/>
    <s v="OSS_ENM"/>
    <x v="0"/>
    <b v="0"/>
    <s v="No está en VPC"/>
    <n v="767"/>
    <s v="INTPG_ACC_767_1.8"/>
    <s v="ISEL-1.8"/>
    <n v="1"/>
    <s v="NO TIENE L3OUT"/>
    <n v="60"/>
    <n v="54"/>
  </r>
  <r>
    <n v="827"/>
    <x v="2"/>
    <x v="169"/>
    <s v="eth1/8"/>
    <x v="0"/>
    <x v="0"/>
    <x v="0"/>
    <s v="LINK_TO_ITHFHWCBSDSUSBD08 /Slot5.2 /Principal"/>
    <x v="0"/>
    <b v="0"/>
    <s v="No está en VPC"/>
    <n v="827"/>
    <s v="INTPG_VPC_827_1.8_831_1.8"/>
    <s v="ISEL-1.8"/>
    <n v="2"/>
    <s v="NO TIENE L3OUT"/>
    <n v="14"/>
    <n v="54"/>
  </r>
  <r>
    <n v="809"/>
    <x v="2"/>
    <x v="170"/>
    <s v="eth1/8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8"/>
    <x v="0"/>
    <x v="0"/>
    <x v="0"/>
    <s v="Portchannel_1_R4B"/>
    <x v="0"/>
    <b v="0"/>
    <s v="No está en VPC"/>
    <n v="771"/>
    <s v="INTPG_PC_771_1.7-10"/>
    <s v="ISEL-1.8"/>
    <n v="2"/>
    <s v="NO TIENE L3OUT"/>
    <n v="62"/>
    <n v="54"/>
  </r>
  <r>
    <n v="761"/>
    <x v="2"/>
    <x v="172"/>
    <s v="eth1/8"/>
    <x v="0"/>
    <x v="1"/>
    <x v="1"/>
    <m/>
    <x v="0"/>
    <b v="0"/>
    <s v="No está en VPC"/>
    <n v="761"/>
    <s v="INTPG_VPC_760_1.5-8_761_1.5-8"/>
    <s v="ISEL-1.8"/>
    <n v="0"/>
    <s v="L3OUT-EXACLOUD"/>
    <n v="0"/>
    <n v="54"/>
  </r>
  <r>
    <n v="776"/>
    <x v="2"/>
    <x v="173"/>
    <s v="eth1/8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8"/>
    <x v="0"/>
    <x v="0"/>
    <x v="0"/>
    <s v="TO-HDPS_58-MSP"/>
    <x v="0"/>
    <b v="0"/>
    <s v="No está en VPC"/>
    <n v="805"/>
    <s v="INTPG_ACC_805_1.8"/>
    <s v="ISEL-1.8"/>
    <n v="1"/>
    <s v="NO TIENE L3OUT"/>
    <n v="44"/>
    <n v="54"/>
  </r>
  <r>
    <n v="772"/>
    <x v="2"/>
    <x v="175"/>
    <s v="eth1/8"/>
    <x v="0"/>
    <x v="0"/>
    <x v="0"/>
    <s v="Portchannel_1_R2"/>
    <x v="0"/>
    <b v="0"/>
    <s v="No está en VPC"/>
    <n v="772"/>
    <s v="INTPG_PC_772_1.7-10"/>
    <s v="ISEL-1.8"/>
    <n v="2"/>
    <s v="NO TIENE L3OUT"/>
    <n v="82"/>
    <n v="54"/>
  </r>
  <r>
    <n v="785"/>
    <x v="2"/>
    <x v="176"/>
    <s v="eth1/8"/>
    <x v="0"/>
    <x v="0"/>
    <x v="0"/>
    <s v="ENIQ F2:itheniqr13bl03ombsr6a:LOM PORT 2"/>
    <x v="0"/>
    <b v="0"/>
    <s v="No está en VPC"/>
    <n v="785"/>
    <s v="INTPG_PC_785_1.7-10"/>
    <s v="ISEL-1.8"/>
    <n v="2"/>
    <s v="NO TIENE L3OUT"/>
    <n v="32"/>
    <n v="54"/>
  </r>
  <r>
    <n v="851"/>
    <x v="2"/>
    <x v="177"/>
    <s v="eth1/8"/>
    <x v="0"/>
    <x v="0"/>
    <x v="0"/>
    <s v="LINK_TO_ITHFHWCRMPLCN103 / Slot7.2_10 / Redundante"/>
    <x v="0"/>
    <b v="0"/>
    <s v="No está en VPC"/>
    <n v="851"/>
    <s v="INTPG_ACC_851_1.8"/>
    <s v="ISEL-1.8"/>
    <n v="2"/>
    <s v="NO TIENE L3OUT"/>
    <n v="282"/>
    <n v="54"/>
  </r>
  <r>
    <n v="798"/>
    <x v="2"/>
    <x v="178"/>
    <s v="eth1/8"/>
    <x v="0"/>
    <x v="0"/>
    <x v="0"/>
    <s v="TO-IMC_PS22-MSP"/>
    <x v="0"/>
    <b v="0"/>
    <s v="No está en VPC"/>
    <n v="798"/>
    <s v="INTPG_ACC_798_1.8"/>
    <s v="ISEL-1.8"/>
    <n v="1"/>
    <s v="NO TIENE L3OUT"/>
    <n v="52"/>
    <n v="54"/>
  </r>
  <r>
    <n v="782"/>
    <x v="2"/>
    <x v="179"/>
    <s v="eth1/8"/>
    <x v="0"/>
    <x v="0"/>
    <x v="0"/>
    <s v="LACP_OMBS_ENIQ9B"/>
    <x v="0"/>
    <b v="0"/>
    <s v="No está en VPC"/>
    <n v="782"/>
    <s v="INTPG_PC_782_1.7-10"/>
    <s v="ISEL-1.8"/>
    <n v="2"/>
    <s v="NO TIENE L3OUT"/>
    <n v="32"/>
    <n v="54"/>
  </r>
  <r>
    <n v="852"/>
    <x v="2"/>
    <x v="180"/>
    <s v="eth1/8"/>
    <x v="0"/>
    <x v="0"/>
    <x v="0"/>
    <s v="LINK_TO_ITHFHWCRMPSBDA07 / Slot7.3_4 / Redundante"/>
    <x v="0"/>
    <b v="0"/>
    <s v="No está en VPC"/>
    <n v="852"/>
    <s v="INTPG_VPC_845_1.8_852_1.8"/>
    <s v="ISEL-1.8"/>
    <n v="1"/>
    <s v="NO TIENE L3OUT"/>
    <n v="258"/>
    <n v="54"/>
  </r>
  <r>
    <n v="817"/>
    <x v="2"/>
    <x v="181"/>
    <s v="eth1/8"/>
    <x v="0"/>
    <x v="0"/>
    <x v="0"/>
    <s v="LINK_TO_ITHFHWCBSPSWR24 /10GE.1 /Principal"/>
    <x v="0"/>
    <b v="0"/>
    <s v="No está en VPC"/>
    <n v="817"/>
    <s v="INTPG_VPC_817_1.8_822_1.8"/>
    <s v="ISEL-1.8"/>
    <n v="1"/>
    <s v="NO TIENE L3OUT"/>
    <n v="0"/>
    <n v="54"/>
  </r>
  <r>
    <n v="832"/>
    <x v="2"/>
    <x v="182"/>
    <s v="eth1/8"/>
    <x v="0"/>
    <x v="0"/>
    <x v="0"/>
    <s v="LINK_TO_ITHFHWCBSDSWR34 /Slot5.1 /Redundante"/>
    <x v="0"/>
    <b v="0"/>
    <s v="No está en VPC"/>
    <n v="832"/>
    <s v="INTPG_VPC_828_1.8_832_1.8"/>
    <s v="ISEL-1.8"/>
    <n v="1"/>
    <s v="NO TIENE L3OUT"/>
    <n v="192"/>
    <n v="54"/>
  </r>
  <r>
    <n v="816"/>
    <x v="2"/>
    <x v="183"/>
    <s v="eth1/8"/>
    <x v="0"/>
    <x v="0"/>
    <x v="0"/>
    <s v="LINK_TO_ITHFHWCBSPSUSBD11 /10GE.1 /Principal"/>
    <x v="0"/>
    <b v="0"/>
    <s v="No está en VPC"/>
    <n v="816"/>
    <s v="INTPG_VPC_816_1.8_821_1.8"/>
    <s v="ISEL-1.8"/>
    <n v="1"/>
    <s v="NO TIENE L3OUT"/>
    <n v="0"/>
    <n v="54"/>
  </r>
  <r>
    <n v="825"/>
    <x v="2"/>
    <x v="184"/>
    <s v="eth1/8"/>
    <x v="0"/>
    <x v="0"/>
    <x v="0"/>
    <s v="LINK_TO_ITHHWCRMPEN02 /X2-10GE 5 /Principal"/>
    <x v="0"/>
    <b v="0"/>
    <s v="No está en VPC"/>
    <n v="825"/>
    <s v="INTPG_VPC_820_1.7-8_10-11_825_1.7-8_10-11"/>
    <s v="ISEL-1.8"/>
    <n v="1"/>
    <s v="NO TIENE L3OUT"/>
    <n v="72"/>
    <n v="54"/>
  </r>
  <r>
    <n v="800"/>
    <x v="2"/>
    <x v="185"/>
    <s v="eth1/8"/>
    <x v="0"/>
    <x v="0"/>
    <x v="0"/>
    <s v="TO-CEPS_04-MSP"/>
    <x v="0"/>
    <b v="0"/>
    <s v="No está en VPC"/>
    <n v="800"/>
    <s v="INTPG_ACC_800_1.8"/>
    <s v="ISEL-1.8"/>
    <n v="1"/>
    <s v="NO TIENE L3OUT"/>
    <n v="78"/>
    <n v="54"/>
  </r>
  <r>
    <n v="801"/>
    <x v="2"/>
    <x v="186"/>
    <s v="eth1/8"/>
    <x v="0"/>
    <x v="0"/>
    <x v="0"/>
    <s v="TO-CEPS_04-MSP"/>
    <x v="0"/>
    <b v="0"/>
    <s v="No está en VPC"/>
    <n v="801"/>
    <s v="INTPG_ACC_801_1.8"/>
    <s v="ISEL-1.8"/>
    <n v="1"/>
    <s v="NO TIENE L3OUT"/>
    <n v="78"/>
    <n v="54"/>
  </r>
  <r>
    <n v="823"/>
    <x v="2"/>
    <x v="187"/>
    <s v="eth1/8"/>
    <x v="0"/>
    <x v="0"/>
    <x v="0"/>
    <s v="TRANSFORMA PHASE 2C PR"/>
    <x v="0"/>
    <b v="0"/>
    <s v="No está en VPC"/>
    <n v="823"/>
    <s v="INTPG_ACC_823_1.8"/>
    <s v="ISEL-1.8"/>
    <n v="1"/>
    <s v="NO TIENE L3OUT"/>
    <n v="8"/>
    <n v="54"/>
  </r>
  <r>
    <n v="837"/>
    <x v="2"/>
    <x v="188"/>
    <s v="eth1/8"/>
    <x v="0"/>
    <x v="0"/>
    <x v="0"/>
    <s v="LINK_TO_ITHFHWCBSPSUSBD26 / Slot1.1_6 / Principal"/>
    <x v="0"/>
    <b v="0"/>
    <s v="No está en VPC"/>
    <n v="837"/>
    <s v="INTPG_VPC_837_1.8_842_1.8"/>
    <s v="ISEL-1.8"/>
    <n v="2"/>
    <s v="NO TIENE L3OUT"/>
    <n v="8"/>
    <n v="54"/>
  </r>
  <r>
    <n v="867"/>
    <x v="2"/>
    <x v="189"/>
    <s v="eth1/8"/>
    <x v="0"/>
    <x v="0"/>
    <x v="0"/>
    <s v="To_ITHHWD6KV65100013DKC01_Redundante"/>
    <x v="0"/>
    <b v="0"/>
    <s v="No está en VPC"/>
    <n v="867"/>
    <s v="INTPG_ACC_867_1.8"/>
    <s v="ISEL-1.8"/>
    <n v="1"/>
    <s v="NO TIENE L3OUT"/>
    <n v="44"/>
    <n v="54"/>
  </r>
  <r>
    <n v="829"/>
    <x v="2"/>
    <x v="190"/>
    <s v="eth1/8"/>
    <x v="0"/>
    <x v="0"/>
    <x v="0"/>
    <s v="LINK_TO_ITHFHWCRMDLCN30 /Slot5.1 /Redundante"/>
    <x v="0"/>
    <b v="0"/>
    <s v="No está en VPC"/>
    <n v="829"/>
    <s v="INTPG_ACC_829_1.8"/>
    <s v="ISEL-1.8"/>
    <n v="2"/>
    <s v="NO TIENE L3OUT"/>
    <n v="224"/>
    <n v="54"/>
  </r>
  <r>
    <n v="831"/>
    <x v="2"/>
    <x v="191"/>
    <s v="eth1/8"/>
    <x v="0"/>
    <x v="0"/>
    <x v="0"/>
    <s v="LINK_TO_ITHFHWCBSDSUSBD08 /Slot7.2 /Redundante"/>
    <x v="0"/>
    <b v="0"/>
    <s v="No está en VPC"/>
    <n v="831"/>
    <s v="INTPG_VPC_827_1.8_831_1.8"/>
    <s v="ISEL-1.8"/>
    <n v="2"/>
    <s v="NO TIENE L3OUT"/>
    <n v="14"/>
    <n v="54"/>
  </r>
  <r>
    <n v="802"/>
    <x v="2"/>
    <x v="192"/>
    <s v="eth1/8"/>
    <x v="0"/>
    <x v="0"/>
    <x v="0"/>
    <s v="TO-HDPS_10-MSP"/>
    <x v="0"/>
    <b v="0"/>
    <s v="No está en VPC"/>
    <n v="802"/>
    <s v="INTPG_ACC_802_1.8"/>
    <s v="ISEL-1.8"/>
    <n v="1"/>
    <s v="NO TIENE L3OUT"/>
    <n v="48"/>
    <n v="54"/>
  </r>
  <r>
    <n v="835"/>
    <x v="2"/>
    <x v="193"/>
    <s v="eth1/8"/>
    <x v="0"/>
    <x v="0"/>
    <x v="0"/>
    <s v="LINK_TO_ITHFHWCBSPSWR56 / Slot1.2_24 / Principal"/>
    <x v="0"/>
    <b v="0"/>
    <s v="No está en VPC"/>
    <n v="835"/>
    <s v="INTPG_VPC_835_1.8_840_1.8"/>
    <s v="ISEL-1.8"/>
    <n v="1"/>
    <s v="NO TIENE L3OUT"/>
    <n v="8"/>
    <n v="54"/>
  </r>
  <r>
    <n v="822"/>
    <x v="2"/>
    <x v="194"/>
    <s v="eth1/8"/>
    <x v="0"/>
    <x v="0"/>
    <x v="0"/>
    <s v="LINK_TO_ITHFHWCBSPSWR24 /Slot5.1 /Redundante"/>
    <x v="0"/>
    <b v="0"/>
    <s v="No está en VPC"/>
    <n v="822"/>
    <s v="INTPG_VPC_817_1.8_822_1.8"/>
    <s v="ISEL-1.8"/>
    <n v="1"/>
    <s v="NO TIENE L3OUT"/>
    <n v="0"/>
    <n v="54"/>
  </r>
  <r>
    <n v="854"/>
    <x v="2"/>
    <x v="195"/>
    <s v="eth1/8"/>
    <x v="0"/>
    <x v="0"/>
    <x v="0"/>
    <s v="LINK_TO_ITHHWD6KV65100018DKC01 / CTMA_IOM1.P1_34 / Redundante"/>
    <x v="0"/>
    <b v="0"/>
    <s v="No está en VPC"/>
    <n v="854"/>
    <s v="INTPG_ACC_854_1.8"/>
    <s v="ISEL-1.8"/>
    <n v="1"/>
    <s v="NO TIENE L3OUT"/>
    <n v="204"/>
    <n v="54"/>
  </r>
  <r>
    <n v="858"/>
    <x v="2"/>
    <x v="196"/>
    <s v="eth1/8"/>
    <x v="0"/>
    <x v="0"/>
    <x v="0"/>
    <s v="To_VPC_2DCBSD_HD39_2"/>
    <x v="0"/>
    <b v="0"/>
    <s v="No está en VPC"/>
    <n v="858"/>
    <s v="INTPG_VPC_858_1.8_863_1.8"/>
    <s v="ISEL-1.8"/>
    <n v="1"/>
    <s v="NO TIENE L3OUT"/>
    <n v="8"/>
    <n v="54"/>
  </r>
  <r>
    <n v="857"/>
    <x v="2"/>
    <x v="197"/>
    <s v="eth1/8"/>
    <x v="0"/>
    <x v="0"/>
    <x v="0"/>
    <s v="LINKT_TO_ITHFHWCRMPLCN118 / Slot1.1_6 / Principal"/>
    <x v="0"/>
    <b v="0"/>
    <s v="No está en VPC"/>
    <n v="857"/>
    <s v="INTPG_ACC_857_1.8"/>
    <s v="ISEL-1.8"/>
    <n v="6"/>
    <s v="NO TIENE L3OUT"/>
    <n v="288"/>
    <n v="54"/>
  </r>
  <r>
    <n v="859"/>
    <x v="2"/>
    <x v="198"/>
    <s v="eth1/8"/>
    <x v="0"/>
    <x v="0"/>
    <x v="0"/>
    <s v="To_VPC_2DCBSD_HD33_2"/>
    <x v="0"/>
    <b v="0"/>
    <s v="No está en VPC"/>
    <n v="859"/>
    <s v="INTPG_VPC_859_1.8_864_1.8"/>
    <s v="ISEL-1.8"/>
    <n v="1"/>
    <s v="NO TIENE L3OUT"/>
    <n v="0"/>
    <n v="54"/>
  </r>
  <r>
    <n v="833"/>
    <x v="2"/>
    <x v="199"/>
    <s v="eth1/8"/>
    <x v="0"/>
    <x v="0"/>
    <x v="0"/>
    <s v="LINK_TO_ITHFHWCRMDLCN30 /10GE.1 /Principal"/>
    <x v="0"/>
    <b v="0"/>
    <s v="No está en VPC"/>
    <n v="833"/>
    <s v="INTPG_ACC_833_1.8"/>
    <s v="ISEL-1.8"/>
    <n v="2"/>
    <s v="NO TIENE L3OUT"/>
    <n v="224"/>
    <n v="54"/>
  </r>
  <r>
    <n v="818"/>
    <x v="2"/>
    <x v="200"/>
    <s v="eth1/8"/>
    <x v="0"/>
    <x v="0"/>
    <x v="0"/>
    <s v="TRANSFORMA PHASE 2C PR"/>
    <x v="0"/>
    <b v="0"/>
    <s v="No está en VPC"/>
    <n v="818"/>
    <s v="INTPG_ACC_818_1.8"/>
    <s v="ISEL-1.8"/>
    <n v="1"/>
    <s v="NO TIENE L3OUT"/>
    <n v="8"/>
    <n v="54"/>
  </r>
  <r>
    <n v="850"/>
    <x v="2"/>
    <x v="201"/>
    <s v="eth1/8"/>
    <x v="0"/>
    <x v="0"/>
    <x v="0"/>
    <s v="LINKT_TO_ITHFHWCRMPLCN118 / Slot7.1_6 / Redundante"/>
    <x v="0"/>
    <b v="0"/>
    <s v="No está en VPC"/>
    <n v="850"/>
    <s v="INTPG_ACC_850_1.8"/>
    <s v="ISEL-1.8"/>
    <n v="6"/>
    <s v="NO TIENE L3OUT"/>
    <n v="288"/>
    <n v="54"/>
  </r>
  <r>
    <n v="860"/>
    <x v="2"/>
    <x v="202"/>
    <s v="eth1/8"/>
    <x v="0"/>
    <x v="0"/>
    <x v="0"/>
    <s v="To_VPC_2DCBSD_HD25_2"/>
    <x v="0"/>
    <b v="0"/>
    <s v="No está en VPC"/>
    <n v="860"/>
    <s v="INTPG_VPC_860_1.8_865_1.8"/>
    <s v="ISEL-1.8"/>
    <n v="1"/>
    <s v="NO TIENE L3OUT"/>
    <n v="0"/>
    <n v="54"/>
  </r>
  <r>
    <n v="853"/>
    <x v="2"/>
    <x v="203"/>
    <s v="eth1/8"/>
    <x v="0"/>
    <x v="0"/>
    <x v="0"/>
    <s v="LINK_TO_ITHHWD6KV65100011DKC01 / CTMB_IOM0.P1_34 / Redundante"/>
    <x v="0"/>
    <b v="0"/>
    <s v="No está en VPC"/>
    <n v="853"/>
    <s v="INTPG_ACC_853_1.8"/>
    <s v="ISEL-1.8"/>
    <n v="1"/>
    <s v="NO TIENE L3OUT"/>
    <n v="242"/>
    <n v="54"/>
  </r>
  <r>
    <n v="790"/>
    <x v="2"/>
    <x v="204"/>
    <s v="eth1/8"/>
    <x v="0"/>
    <x v="0"/>
    <x v="0"/>
    <s v="LINK_TO_ITHEMCPS5200TWPT3 / Nodo A IOM 1.0_04 / Principal"/>
    <x v="0"/>
    <b v="0"/>
    <s v="No está en VPC"/>
    <n v="790"/>
    <s v="INTPG_ACC_790_1.8"/>
    <s v="ISEL-1.8"/>
    <n v="2"/>
    <s v="NO TIENE L3OUT"/>
    <n v="20"/>
    <n v="54"/>
  </r>
  <r>
    <n v="105"/>
    <x v="0"/>
    <x v="205"/>
    <s v="eth1/8"/>
    <x v="0"/>
    <x v="1"/>
    <x v="1"/>
    <s v="DESC"/>
    <x v="6"/>
    <b v="0"/>
    <s v="No está en VPC"/>
    <n v="105"/>
    <s v="INTPG_PC_105_1.6-12_38"/>
    <s v="ISEL-1.8"/>
    <n v="17"/>
    <s v="NO TIENE L3OUT"/>
    <n v="106"/>
    <n v="96"/>
  </r>
  <r>
    <n v="117"/>
    <x v="0"/>
    <x v="206"/>
    <s v="eth1/8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8"/>
    <x v="0"/>
    <x v="1"/>
    <x v="1"/>
    <s v="SFLDI"/>
    <x v="6"/>
    <b v="0"/>
    <s v="No está en VPC"/>
    <n v="104"/>
    <s v="INTPG_ACC_104_1.8"/>
    <s v="ISEL-1.8"/>
    <n v="1"/>
    <s v="NO TIENE L3OUT"/>
    <n v="194"/>
    <n v="96"/>
  </r>
  <r>
    <n v="158"/>
    <x v="0"/>
    <x v="208"/>
    <s v="eth1/8"/>
    <x v="1"/>
    <x v="1"/>
    <x v="2"/>
    <s v="RED CRICKET"/>
    <x v="6"/>
    <b v="0"/>
    <s v="No está en VPC"/>
    <n v="158"/>
    <s v="INTPG_ACC_158_1.8"/>
    <s v="ISEL-1.8"/>
    <n v="2"/>
    <s v="NO TIENE L3OUT"/>
    <n v="30"/>
    <n v="96"/>
  </r>
  <r>
    <n v="875"/>
    <x v="2"/>
    <x v="209"/>
    <s v="eth1/8"/>
    <x v="1"/>
    <x v="1"/>
    <x v="2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8"/>
    <x v="0"/>
    <x v="0"/>
    <x v="0"/>
    <s v="HACIA_CSI-B-OSCP-F4-12_PRIMARIO"/>
    <x v="4"/>
    <b v="0"/>
    <s v="No está en VPC"/>
    <n v="879"/>
    <s v="INTPG_VPC_878_1.8_879_1.8"/>
    <s v="ISEL-1.8"/>
    <n v="2"/>
    <s v="NO TIENE L3OUT"/>
    <n v="0"/>
    <n v="54"/>
  </r>
  <r>
    <n v="108"/>
    <x v="0"/>
    <x v="211"/>
    <s v="eth1/8"/>
    <x v="0"/>
    <x v="0"/>
    <x v="0"/>
    <s v="ZSMART"/>
    <x v="6"/>
    <b v="0"/>
    <s v="No está en VPC"/>
    <n v="108"/>
    <s v="INTPG_ACC_108_1.8"/>
    <s v="ISEL-1.8"/>
    <n v="1"/>
    <s v="NO TIENE L3OUT"/>
    <n v="126"/>
    <n v="96"/>
  </r>
  <r>
    <n v="112"/>
    <x v="0"/>
    <x v="212"/>
    <s v="eth1/8"/>
    <x v="0"/>
    <x v="1"/>
    <x v="1"/>
    <s v="CFD"/>
    <x v="6"/>
    <b v="0"/>
    <s v="No está en VPC"/>
    <n v="112"/>
    <s v="INTPG_ACC_112_1.8"/>
    <s v="ISEL-1.8"/>
    <n v="1"/>
    <s v="NO TIENE L3OUT"/>
    <n v="144"/>
    <n v="96"/>
  </r>
  <r>
    <n v="107"/>
    <x v="0"/>
    <x v="213"/>
    <s v="eth1/8"/>
    <x v="0"/>
    <x v="1"/>
    <x v="1"/>
    <s v="OPEN VIEW BACK FASE2_1"/>
    <x v="6"/>
    <b v="0"/>
    <s v="No está en VPC"/>
    <n v="107"/>
    <s v="INTPG_ACC_107_1.8"/>
    <s v="ISEL-1.8"/>
    <n v="1"/>
    <s v="NO TIENE L3OUT"/>
    <n v="118"/>
    <n v="96"/>
  </r>
  <r>
    <n v="109"/>
    <x v="0"/>
    <x v="214"/>
    <s v="eth1/8"/>
    <x v="0"/>
    <x v="0"/>
    <x v="0"/>
    <m/>
    <x v="6"/>
    <b v="0"/>
    <s v="No está en VPC"/>
    <n v="109"/>
    <s v="INTPG_ACC_109_1.8"/>
    <s v="ISEL-1.8"/>
    <n v="1"/>
    <s v="NO TIENE L3OUT"/>
    <n v="126"/>
    <n v="96"/>
  </r>
  <r>
    <n v="113"/>
    <x v="0"/>
    <x v="215"/>
    <s v="eth1/8"/>
    <x v="0"/>
    <x v="0"/>
    <x v="0"/>
    <m/>
    <x v="6"/>
    <b v="0"/>
    <s v="No está en VPC"/>
    <n v="113"/>
    <s v="NO EXISTE PG"/>
    <s v="NO EXISTE ISEL"/>
    <n v="1"/>
    <s v="NO TIENE L3OUT"/>
    <n v="52"/>
    <n v="96"/>
  </r>
  <r>
    <n v="114"/>
    <x v="0"/>
    <x v="216"/>
    <s v="eth1/8"/>
    <x v="1"/>
    <x v="1"/>
    <x v="2"/>
    <s v="NPG_1"/>
    <x v="6"/>
    <b v="0"/>
    <s v="No está en VPC"/>
    <n v="114"/>
    <s v="INTPG_ACC_114_1.8"/>
    <s v="ISEL-1.8"/>
    <n v="1"/>
    <s v="NO TIENE L3OUT"/>
    <n v="144"/>
    <n v="96"/>
  </r>
  <r>
    <n v="124"/>
    <x v="0"/>
    <x v="217"/>
    <s v="eth1/8"/>
    <x v="0"/>
    <x v="1"/>
    <x v="1"/>
    <s v="GSM_ENIQ_MTY"/>
    <x v="6"/>
    <b v="0"/>
    <s v="No está en VPC"/>
    <n v="124"/>
    <s v="INTPG_ACC_124_1.8"/>
    <s v="ISEL-1.8"/>
    <n v="1"/>
    <s v="NO TIENE L3OUT"/>
    <n v="80"/>
    <n v="96"/>
  </r>
  <r>
    <n v="118"/>
    <x v="0"/>
    <x v="218"/>
    <s v="eth1/8"/>
    <x v="0"/>
    <x v="0"/>
    <x v="0"/>
    <s v="COBROS NAVEGACION"/>
    <x v="6"/>
    <b v="0"/>
    <s v="No está en VPC"/>
    <n v="118"/>
    <s v="INTPG_ACC_118_1.8"/>
    <s v="ISEL-1.8"/>
    <n v="1"/>
    <s v="NO TIENE L3OUT"/>
    <n v="180"/>
    <n v="96"/>
  </r>
  <r>
    <n v="159"/>
    <x v="0"/>
    <x v="219"/>
    <s v="eth1/8"/>
    <x v="0"/>
    <x v="1"/>
    <x v="1"/>
    <s v="Servidores Virtuales LA"/>
    <x v="6"/>
    <b v="0"/>
    <s v="No está en VPC"/>
    <n v="159"/>
    <s v="INTPG_ACC_159_1.8"/>
    <s v="ISEL-1.8"/>
    <n v="1"/>
    <s v="NO TIENE L3OUT"/>
    <n v="72"/>
    <n v="96"/>
  </r>
  <r>
    <n v="840"/>
    <x v="2"/>
    <x v="220"/>
    <s v="eth1/8"/>
    <x v="0"/>
    <x v="0"/>
    <x v="0"/>
    <s v="LINK_TO_ITHFHWCBSPSWR56 / Slot7.2_24 / Redundante"/>
    <x v="0"/>
    <b v="0"/>
    <s v="No está en VPC"/>
    <n v="840"/>
    <s v="INTPG_VPC_835_1.8_840_1.8"/>
    <s v="ISEL-1.8"/>
    <n v="1"/>
    <s v="NO TIENE L3OUT"/>
    <n v="8"/>
    <n v="54"/>
  </r>
  <r>
    <n v="856"/>
    <x v="2"/>
    <x v="221"/>
    <s v="eth1/8"/>
    <x v="0"/>
    <x v="0"/>
    <x v="0"/>
    <s v="LINK_TO_ITHFHWCRMPLCN137 / Slot1.1_8 / Principal"/>
    <x v="0"/>
    <b v="0"/>
    <s v="No está en VPC"/>
    <n v="856"/>
    <s v="INTPG_ACC_856_1.8"/>
    <s v="ISEL-1.8"/>
    <n v="6"/>
    <s v="NO TIENE L3OUT"/>
    <n v="286"/>
    <n v="54"/>
  </r>
  <r>
    <n v="110"/>
    <x v="0"/>
    <x v="222"/>
    <s v="eth1/8"/>
    <x v="0"/>
    <x v="0"/>
    <x v="0"/>
    <m/>
    <x v="6"/>
    <b v="0"/>
    <s v="No está en VPC"/>
    <n v="110"/>
    <s v="INTPG_ACC_110_1.8"/>
    <s v="ISEL-1.8"/>
    <n v="1"/>
    <s v="NO TIENE L3OUT"/>
    <n v="102"/>
    <n v="96"/>
  </r>
  <r>
    <n v="163"/>
    <x v="0"/>
    <x v="223"/>
    <s v="eth1/8"/>
    <x v="0"/>
    <x v="0"/>
    <x v="0"/>
    <m/>
    <x v="6"/>
    <b v="0"/>
    <s v="No está en VPC"/>
    <n v="163"/>
    <s v="INTPG_PC_163_1.1-8"/>
    <s v="ISEL-1.8"/>
    <n v="1"/>
    <s v="NO TIENE L3OUT"/>
    <n v="140"/>
    <n v="96"/>
  </r>
  <r>
    <n v="407"/>
    <x v="1"/>
    <x v="224"/>
    <s v="eth1/8"/>
    <x v="0"/>
    <x v="0"/>
    <x v="0"/>
    <s v="RLR2ARI02_ilo"/>
    <x v="6"/>
    <b v="0"/>
    <s v="No está en VPC"/>
    <n v="407"/>
    <s v="INTPG_ACC_407_1.8"/>
    <s v="ISEL-1.8"/>
    <n v="1"/>
    <s v="NO TIENE L3OUT"/>
    <n v="122"/>
    <n v="96"/>
  </r>
  <r>
    <n v="171"/>
    <x v="0"/>
    <x v="225"/>
    <s v="eth1/8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8"/>
    <x v="0"/>
    <x v="0"/>
    <x v="0"/>
    <s v="DESC"/>
    <x v="6"/>
    <b v="0"/>
    <s v="No está en VPC"/>
    <n v="421"/>
    <s v="INTPG_PC_421_7-8"/>
    <s v="ISEL-1.8"/>
    <n v="1"/>
    <s v="NO TIENE L3OUT"/>
    <n v="72"/>
    <n v="96"/>
  </r>
  <r>
    <n v="173"/>
    <x v="0"/>
    <x v="227"/>
    <s v="eth1/8"/>
    <x v="0"/>
    <x v="0"/>
    <x v="0"/>
    <s v="U2000_IPRAN"/>
    <x v="6"/>
    <b v="0"/>
    <s v="No está en VPC"/>
    <n v="173"/>
    <s v="INTPG_ACC_173_1.8"/>
    <s v="ISEL-1.8"/>
    <n v="1"/>
    <s v="NO TIENE L3OUT"/>
    <n v="66"/>
    <n v="96"/>
  </r>
  <r>
    <n v="154"/>
    <x v="0"/>
    <x v="228"/>
    <s v="eth1/8"/>
    <x v="0"/>
    <x v="0"/>
    <x v="0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8"/>
    <x v="0"/>
    <x v="1"/>
    <x v="1"/>
    <s v="OSS_3G_12_2_DATOS"/>
    <x v="6"/>
    <b v="0"/>
    <s v="No está en VPC"/>
    <n v="172"/>
    <s v="INTPG_VPC_171_1.9_172_1.8"/>
    <s v="ISEL-1.8"/>
    <n v="10"/>
    <s v="NO TIENE L3OUT"/>
    <n v="104"/>
    <n v="96"/>
  </r>
  <r>
    <n v="420"/>
    <x v="1"/>
    <x v="230"/>
    <s v="eth1/8"/>
    <x v="0"/>
    <x v="0"/>
    <x v="0"/>
    <s v="IXTAI8"/>
    <x v="6"/>
    <b v="0"/>
    <s v="No está en VPC"/>
    <n v="420"/>
    <s v="INTPG_ACC_420_1.8"/>
    <s v="ISEL-1.8"/>
    <n v="1"/>
    <s v="NO TIENE L3OUT"/>
    <n v="158"/>
    <n v="96"/>
  </r>
  <r>
    <n v="423"/>
    <x v="1"/>
    <x v="231"/>
    <s v="eth1/8"/>
    <x v="0"/>
    <x v="0"/>
    <x v="0"/>
    <s v="ITHPA02_ILO_IPMP-Activa"/>
    <x v="6"/>
    <b v="0"/>
    <s v="No está en VPC"/>
    <n v="423"/>
    <s v="INTPG_ACC_423_1.8"/>
    <s v="ISEL-1.8"/>
    <n v="1"/>
    <s v="NO TIENE L3OUT"/>
    <n v="86"/>
    <n v="96"/>
  </r>
  <r>
    <n v="415"/>
    <x v="1"/>
    <x v="232"/>
    <s v="eth1/8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8"/>
    <x v="1"/>
    <x v="1"/>
    <x v="2"/>
    <s v="SFLDI:RLDICDR03:1"/>
    <x v="6"/>
    <b v="0"/>
    <s v="No está en VPC"/>
    <n v="102"/>
    <s v="INTPG_ACC_102_1.8"/>
    <s v="ISEL-1.8"/>
    <n v="0"/>
    <s v="NO TIENE L3OUT"/>
    <n v="228"/>
    <n v="96"/>
  </r>
  <r>
    <n v="863"/>
    <x v="2"/>
    <x v="234"/>
    <s v="eth1/8"/>
    <x v="0"/>
    <x v="0"/>
    <x v="0"/>
    <s v="To_VPC_2DCBSD_HD39_2"/>
    <x v="0"/>
    <b v="0"/>
    <s v="No está en VPC"/>
    <n v="863"/>
    <s v="INTPG_VPC_858_1.8_863_1.8"/>
    <s v="ISEL-1.8"/>
    <n v="1"/>
    <s v="NO TIENE L3OUT"/>
    <n v="8"/>
    <n v="54"/>
  </r>
  <r>
    <n v="876"/>
    <x v="2"/>
    <x v="235"/>
    <s v="eth1/8"/>
    <x v="0"/>
    <x v="0"/>
    <x v="0"/>
    <s v="LINK_TO_ITHFHWSEQLCAS31 / Slot 4 PTO 1 / Principal"/>
    <x v="4"/>
    <b v="0"/>
    <s v="No está en VPC"/>
    <n v="876"/>
    <s v="INTPG_ACC_876_1.8"/>
    <s v="ISEL-1.8"/>
    <n v="1"/>
    <s v="NO TIENE L3OUT"/>
    <n v="92"/>
    <n v="54"/>
  </r>
  <r>
    <n v="877"/>
    <x v="2"/>
    <x v="236"/>
    <s v="eth1/8"/>
    <x v="1"/>
    <x v="1"/>
    <x v="2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8"/>
    <x v="0"/>
    <x v="0"/>
    <x v="0"/>
    <s v="DESC"/>
    <x v="6"/>
    <b v="0"/>
    <s v="No está en VPC"/>
    <n v="122"/>
    <s v="INTPG_PC_122_1.4-8"/>
    <s v="ISEL-1.8"/>
    <n v="1"/>
    <s v="NO TIENE L3OUT"/>
    <n v="148"/>
    <n v="96"/>
  </r>
  <r>
    <n v="157"/>
    <x v="0"/>
    <x v="238"/>
    <s v="eth1/8"/>
    <x v="1"/>
    <x v="1"/>
    <x v="2"/>
    <s v="COBROS NAVEGACION"/>
    <x v="6"/>
    <b v="0"/>
    <s v="No está en VPC"/>
    <n v="157"/>
    <s v="INTPG_ACC_157_1.8"/>
    <s v="ISEL-1.8"/>
    <n v="1"/>
    <s v="NO TIENE L3OUT"/>
    <n v="202"/>
    <n v="96"/>
  </r>
  <r>
    <n v="408"/>
    <x v="1"/>
    <x v="239"/>
    <s v="eth1/8"/>
    <x v="0"/>
    <x v="1"/>
    <x v="1"/>
    <s v="Suspend6"/>
    <x v="6"/>
    <b v="0"/>
    <s v="No está en VPC"/>
    <n v="408"/>
    <s v="INTPG_ACC_408_1.8"/>
    <s v="ISEL-1.8"/>
    <n v="1"/>
    <s v="NO TIENE L3OUT"/>
    <n v="152"/>
    <n v="96"/>
  </r>
  <r>
    <n v="405"/>
    <x v="1"/>
    <x v="240"/>
    <s v="eth1/8"/>
    <x v="0"/>
    <x v="0"/>
    <x v="0"/>
    <s v="IXT_ARIESO4_LDR8"/>
    <x v="6"/>
    <b v="0"/>
    <s v="No está en VPC"/>
    <n v="405"/>
    <s v="INTPG_ACC_405_1.8"/>
    <s v="ISEL-1.8"/>
    <n v="1"/>
    <s v="NO TIENE L3OUT"/>
    <n v="138"/>
    <n v="96"/>
  </r>
  <r>
    <n v="169"/>
    <x v="0"/>
    <x v="241"/>
    <s v="eth1/8"/>
    <x v="0"/>
    <x v="0"/>
    <x v="0"/>
    <s v="LINKDOWN_HACIA_UCS_9UCS-IXTLA-SERV2"/>
    <x v="6"/>
    <b v="0"/>
    <s v="No está en VPC"/>
    <n v="169"/>
    <s v="INTPG_ACC_169_1.8"/>
    <s v="ISEL-1.8"/>
    <n v="1"/>
    <s v="NO TIENE L3OUT"/>
    <n v="76"/>
    <n v="96"/>
  </r>
  <r>
    <n v="165"/>
    <x v="0"/>
    <x v="242"/>
    <s v="eth1/8"/>
    <x v="0"/>
    <x v="1"/>
    <x v="1"/>
    <s v="Nomina"/>
    <x v="6"/>
    <b v="0"/>
    <s v="No está en VPC"/>
    <n v="165"/>
    <s v="INTPG_ACC_165_1.8"/>
    <s v="ISEL-1.8"/>
    <n v="1"/>
    <s v="NO TIENE L3OUT"/>
    <n v="86"/>
    <n v="96"/>
  </r>
  <r>
    <n v="417"/>
    <x v="1"/>
    <x v="243"/>
    <s v="eth1/8"/>
    <x v="0"/>
    <x v="0"/>
    <x v="0"/>
    <s v="ixtshrcol01"/>
    <x v="6"/>
    <b v="0"/>
    <s v="No está en VPC"/>
    <n v="417"/>
    <s v="INTPG_ACC_417_1.8"/>
    <s v="ISEL-1.8"/>
    <n v="1"/>
    <s v="NO TIENE L3OUT"/>
    <n v="56"/>
    <n v="96"/>
  </r>
  <r>
    <n v="153"/>
    <x v="0"/>
    <x v="244"/>
    <s v="eth1/8"/>
    <x v="0"/>
    <x v="0"/>
    <x v="0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8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8"/>
    <x v="0"/>
    <x v="0"/>
    <x v="0"/>
    <s v="RED CRICKET"/>
    <x v="6"/>
    <b v="0"/>
    <s v="No está en VPC"/>
    <n v="156"/>
    <s v="INTPG_ACC_156_1.8"/>
    <s v="ISEL-1.8"/>
    <n v="2"/>
    <s v="NO TIENE L3OUT"/>
    <n v="40"/>
    <n v="96"/>
  </r>
  <r>
    <n v="103"/>
    <x v="0"/>
    <x v="247"/>
    <s v="eth1/8"/>
    <x v="0"/>
    <x v="0"/>
    <x v="0"/>
    <s v="DESC"/>
    <x v="6"/>
    <b v="0"/>
    <s v="No está en VPC"/>
    <n v="103"/>
    <s v="INTPG_PC_103_1.7-9"/>
    <s v="ISEL-1.8"/>
    <n v="2"/>
    <s v="NO TIENE L3OUT"/>
    <n v="70"/>
    <n v="96"/>
  </r>
  <r>
    <n v="438"/>
    <x v="1"/>
    <x v="248"/>
    <s v="eth1/8"/>
    <x v="0"/>
    <x v="0"/>
    <x v="0"/>
    <s v="uxdxdb02(RENACE)"/>
    <x v="6"/>
    <b v="0"/>
    <s v="No está en VPC"/>
    <n v="438"/>
    <s v="INTPG_ACC_438_1.8"/>
    <s v="ISEL-1.8"/>
    <n v="1"/>
    <s v="NO TIENE L3OUT"/>
    <n v="170"/>
    <n v="96"/>
  </r>
  <r>
    <n v="406"/>
    <x v="1"/>
    <x v="249"/>
    <s v="eth1/8"/>
    <x v="0"/>
    <x v="0"/>
    <x v="0"/>
    <s v="DESC"/>
    <x v="6"/>
    <b v="0"/>
    <s v="No está en VPC"/>
    <n v="406"/>
    <s v="INTPG_PC_406_1.7-8"/>
    <s v="ISEL-1.8"/>
    <n v="1"/>
    <s v="NO TIENE L3OUT"/>
    <n v="82"/>
    <n v="96"/>
  </r>
  <r>
    <n v="414"/>
    <x v="1"/>
    <x v="250"/>
    <s v="eth1/8"/>
    <x v="0"/>
    <x v="0"/>
    <x v="0"/>
    <s v="9UCS-IXTLA-WEBEX-SERV3"/>
    <x v="6"/>
    <b v="0"/>
    <s v="No está en VPC"/>
    <n v="414"/>
    <s v="INTPG_ACC_414_1.8"/>
    <s v="ISEL-1.8"/>
    <n v="1"/>
    <s v="NO TIENE L3OUT"/>
    <n v="144"/>
    <n v="96"/>
  </r>
  <r>
    <n v="416"/>
    <x v="1"/>
    <x v="251"/>
    <s v="eth1/8"/>
    <x v="0"/>
    <x v="0"/>
    <x v="0"/>
    <s v="sfmedp44-MEDVOZ_CLIENT6"/>
    <x v="6"/>
    <b v="0"/>
    <s v="No está en VPC"/>
    <n v="416"/>
    <s v="INTPG_VPC_416_1.8_418_1.8"/>
    <s v="ISEL-1.8"/>
    <n v="1"/>
    <s v="NO TIENE L3OUT"/>
    <n v="110"/>
    <n v="96"/>
  </r>
  <r>
    <n v="418"/>
    <x v="1"/>
    <x v="252"/>
    <s v="eth1/8"/>
    <x v="0"/>
    <x v="0"/>
    <x v="0"/>
    <s v="sfmedp44-MEDVOZ_CLIENT6"/>
    <x v="6"/>
    <b v="0"/>
    <s v="No está en VPC"/>
    <n v="418"/>
    <s v="INTPG_VPC_416_1.8_418_1.8"/>
    <s v="ISEL-1.8"/>
    <n v="1"/>
    <s v="NO TIENE L3OUT"/>
    <n v="152"/>
    <n v="96"/>
  </r>
  <r>
    <n v="413"/>
    <x v="1"/>
    <x v="253"/>
    <s v="eth1/8"/>
    <x v="0"/>
    <x v="0"/>
    <x v="0"/>
    <s v="DESC"/>
    <x v="6"/>
    <b v="0"/>
    <s v="No está en VPC"/>
    <n v="413"/>
    <s v="INTPG_PC_413_1.5-8"/>
    <s v="ISEL-1.8"/>
    <n v="1"/>
    <s v="NO TIENE L3OUT"/>
    <n v="126"/>
    <n v="96"/>
  </r>
  <r>
    <n v="403"/>
    <x v="1"/>
    <x v="254"/>
    <s v="eth1/8"/>
    <x v="0"/>
    <x v="0"/>
    <x v="0"/>
    <s v="IXT_ARIESO4_LDR8"/>
    <x v="6"/>
    <b v="0"/>
    <s v="No está en VPC"/>
    <n v="403"/>
    <s v="INTPG_ACC_403_1.8"/>
    <s v="ISEL-1.8"/>
    <n v="1"/>
    <s v="NO TIENE L3OUT"/>
    <n v="150"/>
    <n v="96"/>
  </r>
  <r>
    <n v="125"/>
    <x v="0"/>
    <x v="255"/>
    <s v="eth1/8"/>
    <x v="0"/>
    <x v="0"/>
    <x v="0"/>
    <s v="ENIQ"/>
    <x v="6"/>
    <b v="0"/>
    <s v="No está en VPC"/>
    <n v="125"/>
    <s v="INTPG_VPC_124_1.6_125_1.8"/>
    <s v="ISEL-1.8"/>
    <n v="10"/>
    <s v="NO TIENE L3OUT"/>
    <n v="72"/>
    <n v="96"/>
  </r>
  <r>
    <n v="166"/>
    <x v="0"/>
    <x v="256"/>
    <s v="eth1/8"/>
    <x v="0"/>
    <x v="1"/>
    <x v="1"/>
    <s v="Nomina"/>
    <x v="6"/>
    <b v="0"/>
    <s v="No está en VPC"/>
    <n v="166"/>
    <s v="INTPG_ACC_166_1.8"/>
    <s v="ISEL-1.8"/>
    <n v="1"/>
    <s v="NO TIENE L3OUT"/>
    <n v="84"/>
    <n v="96"/>
  </r>
  <r>
    <n v="111"/>
    <x v="0"/>
    <x v="257"/>
    <s v="eth1/8"/>
    <x v="1"/>
    <x v="1"/>
    <x v="2"/>
    <s v="Storage"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8"/>
    <x v="0"/>
    <x v="0"/>
    <x v="0"/>
    <s v="VYCAN"/>
    <x v="6"/>
    <b v="0"/>
    <s v="No está en VPC"/>
    <n v="115"/>
    <s v="INTPG_ACC_115_1.8"/>
    <s v="ISEL-1.8"/>
    <n v="1"/>
    <s v="NO TIENE L3OUT"/>
    <n v="42"/>
    <n v="96"/>
  </r>
  <r>
    <n v="106"/>
    <x v="0"/>
    <x v="259"/>
    <s v="eth1/8"/>
    <x v="0"/>
    <x v="0"/>
    <x v="0"/>
    <s v="COGNOS"/>
    <x v="6"/>
    <b v="0"/>
    <s v="No está en VPC"/>
    <n v="106"/>
    <s v="INTPG_ACC_106_1.8"/>
    <s v="ISEL-1.8"/>
    <n v="1"/>
    <s v="NO TIENE L3OUT"/>
    <n v="122"/>
    <n v="96"/>
  </r>
  <r>
    <n v="126"/>
    <x v="0"/>
    <x v="260"/>
    <s v="eth1/8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8"/>
    <x v="0"/>
    <x v="1"/>
    <x v="1"/>
    <s v="VTA_uxvta073_Net0"/>
    <x v="6"/>
    <b v="0"/>
    <s v="No está en VPC"/>
    <n v="425"/>
    <s v="INTPG_ACC_425_1.8"/>
    <s v="ISEL-1.8"/>
    <n v="1"/>
    <s v="NO TIENE L3OUT"/>
    <n v="86"/>
    <n v="96"/>
  </r>
  <r>
    <n v="151"/>
    <x v="0"/>
    <x v="262"/>
    <s v="eth1/8"/>
    <x v="0"/>
    <x v="1"/>
    <x v="1"/>
    <s v="OSS MEX GSM M"/>
    <x v="6"/>
    <b v="0"/>
    <s v="No está en VPC"/>
    <n v="151"/>
    <s v="INTPG_ACC_151_1.8"/>
    <s v="ISEL-1.8"/>
    <n v="1"/>
    <s v="NO TIENE L3OUT"/>
    <n v="86"/>
    <n v="96"/>
  </r>
  <r>
    <n v="430"/>
    <x v="1"/>
    <x v="263"/>
    <s v="eth1/8"/>
    <x v="0"/>
    <x v="0"/>
    <x v="0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8"/>
    <x v="0"/>
    <x v="0"/>
    <x v="0"/>
    <s v="DESC"/>
    <x v="6"/>
    <b v="0"/>
    <s v="No está en VPC"/>
    <n v="419"/>
    <s v="INTPG_PC_419_7-8"/>
    <s v="ISEL-1.8"/>
    <n v="1"/>
    <s v="NO TIENE L3OUT"/>
    <n v="70"/>
    <n v="96"/>
  </r>
  <r>
    <n v="155"/>
    <x v="0"/>
    <x v="265"/>
    <s v="eth1/8"/>
    <x v="0"/>
    <x v="0"/>
    <x v="0"/>
    <m/>
    <x v="6"/>
    <b v="0"/>
    <s v="No está en VPC"/>
    <n v="155"/>
    <s v="INTPG_ACC_155_1.8"/>
    <s v="ISEL-1.8"/>
    <n v="1"/>
    <s v="NO TIENE L3OUT"/>
    <n v="198"/>
    <n v="96"/>
  </r>
  <r>
    <n v="409"/>
    <x v="1"/>
    <x v="266"/>
    <s v="eth1/8"/>
    <x v="0"/>
    <x v="0"/>
    <x v="0"/>
    <s v="RLR2ARI07_ilo"/>
    <x v="6"/>
    <b v="0"/>
    <s v="No está en VPC"/>
    <n v="409"/>
    <s v="INTPG_ACC_409_1.8"/>
    <s v="ISEL-1.8"/>
    <n v="1"/>
    <s v="NO TIENE L3OUT"/>
    <n v="128"/>
    <n v="96"/>
  </r>
  <r>
    <n v="422"/>
    <x v="1"/>
    <x v="267"/>
    <s v="eth1/8"/>
    <x v="0"/>
    <x v="0"/>
    <x v="0"/>
    <s v="B6200B_MGMT_2"/>
    <x v="6"/>
    <b v="0"/>
    <s v="No está en VPC"/>
    <n v="422"/>
    <s v="INTPG_ACC_422_1.8"/>
    <s v="ISEL-1.8"/>
    <n v="1"/>
    <s v="NO TIENE L3OUT"/>
    <n v="182"/>
    <n v="96"/>
  </r>
  <r>
    <n v="436"/>
    <x v="1"/>
    <x v="268"/>
    <s v="eth1/8"/>
    <x v="0"/>
    <x v="0"/>
    <x v="0"/>
    <s v="uxdxdb02(RENACE)"/>
    <x v="6"/>
    <b v="0"/>
    <s v="No está en VPC"/>
    <n v="436"/>
    <s v="INTPG_ACC_436_1.8"/>
    <s v="ISEL-1.8"/>
    <n v="1"/>
    <s v="NO TIENE L3OUT"/>
    <n v="172"/>
    <n v="96"/>
  </r>
  <r>
    <n v="410"/>
    <x v="1"/>
    <x v="269"/>
    <s v="eth1/8"/>
    <x v="0"/>
    <x v="0"/>
    <x v="0"/>
    <s v="NEC Femtocel NMS"/>
    <x v="6"/>
    <b v="0"/>
    <s v="No está en VPC"/>
    <n v="410"/>
    <s v="INTPG_ACC_410_1.8"/>
    <s v="ISEL-1.8"/>
    <n v="1"/>
    <s v="NO TIENE L3OUT"/>
    <n v="178"/>
    <n v="96"/>
  </r>
  <r>
    <n v="161"/>
    <x v="0"/>
    <x v="270"/>
    <s v="eth1/8"/>
    <x v="0"/>
    <x v="0"/>
    <x v="0"/>
    <s v="IBM SICOD"/>
    <x v="6"/>
    <b v="0"/>
    <s v="No está en VPC"/>
    <n v="161"/>
    <s v="INTPG_ACC_161_1.8"/>
    <s v="ISEL-1.8"/>
    <n v="1"/>
    <s v="NO TIENE L3OUT"/>
    <n v="102"/>
    <n v="96"/>
  </r>
  <r>
    <n v="411"/>
    <x v="1"/>
    <x v="271"/>
    <s v="eth1/8"/>
    <x v="0"/>
    <x v="0"/>
    <x v="0"/>
    <s v="DESC"/>
    <x v="6"/>
    <b v="0"/>
    <s v="No está en VPC"/>
    <n v="411"/>
    <s v="INTPG_PC_411_1.5-8"/>
    <s v="ISEL-1.8"/>
    <n v="1"/>
    <s v="NO TIENE L3OUT"/>
    <n v="96"/>
    <n v="96"/>
  </r>
  <r>
    <n v="116"/>
    <x v="0"/>
    <x v="272"/>
    <s v="eth1/8"/>
    <x v="0"/>
    <x v="0"/>
    <x v="0"/>
    <s v="COBROS NAVEGACION"/>
    <x v="6"/>
    <b v="0"/>
    <s v="No está en VPC"/>
    <n v="116"/>
    <s v="INTPG_ACC_116_1.8"/>
    <s v="ISEL-1.8"/>
    <n v="1"/>
    <s v="NO TIENE L3OUT"/>
    <n v="148"/>
    <n v="96"/>
  </r>
  <r>
    <n v="412"/>
    <x v="1"/>
    <x v="273"/>
    <s v="eth1/8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8"/>
    <x v="0"/>
    <x v="0"/>
    <x v="0"/>
    <s v="TemipAMX1"/>
    <x v="6"/>
    <b v="0"/>
    <s v="No está en VPC"/>
    <n v="120"/>
    <s v="INTPG_PC_120_1.4-8"/>
    <s v="ISEL-1.8"/>
    <n v="1"/>
    <s v="NO TIENE L3OUT"/>
    <n v="158"/>
    <n v="96"/>
  </r>
  <r>
    <n v="404"/>
    <x v="1"/>
    <x v="275"/>
    <s v="eth1/8"/>
    <x v="0"/>
    <x v="0"/>
    <x v="0"/>
    <s v="DESC"/>
    <x v="6"/>
    <b v="0"/>
    <s v="No está en VPC"/>
    <n v="404"/>
    <s v="INTPG_PC_404_1.7-8"/>
    <s v="ISEL-1.8"/>
    <n v="1"/>
    <s v="NO TIENE L3OUT"/>
    <n v="92"/>
    <n v="96"/>
  </r>
  <r>
    <n v="167"/>
    <x v="0"/>
    <x v="276"/>
    <s v="eth1/8"/>
    <x v="0"/>
    <x v="0"/>
    <x v="0"/>
    <s v="ESTANDAR GSS Y TS"/>
    <x v="6"/>
    <b v="0"/>
    <s v="No está en VPC"/>
    <n v="167"/>
    <s v="INTPG_ACC_167_1.8"/>
    <s v="ISEL-1.8"/>
    <n v="1"/>
    <s v="NO TIENE L3OUT"/>
    <n v="68"/>
    <n v="96"/>
  </r>
  <r>
    <n v="428"/>
    <x v="1"/>
    <x v="277"/>
    <s v="eth1/8"/>
    <x v="0"/>
    <x v="0"/>
    <x v="0"/>
    <s v="LDAP-IDM_DESARROLLO"/>
    <x v="6"/>
    <b v="0"/>
    <s v="No está en VPC"/>
    <n v="428"/>
    <s v="INTPG_PC_428_1.5-9"/>
    <s v="ISEL-1.8"/>
    <n v="1"/>
    <s v="NO TIENE L3OUT"/>
    <n v="102"/>
    <n v="96"/>
  </r>
  <r>
    <n v="903"/>
    <x v="2"/>
    <x v="278"/>
    <s v="eth1/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05"/>
    <x v="0"/>
    <x v="205"/>
    <s v="eth1/80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80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80"/>
    <x v="0"/>
    <x v="0"/>
    <x v="0"/>
    <s v="SIEMC"/>
    <x v="6"/>
    <b v="0"/>
    <s v="No está en VPC"/>
    <n v="104"/>
    <s v="INTPG_ACC_104_1.80"/>
    <s v="ISEL-1.80"/>
    <n v="1"/>
    <s v="NO TIENE L3OUT"/>
    <n v="194"/>
    <n v="96"/>
  </r>
  <r>
    <n v="158"/>
    <x v="0"/>
    <x v="208"/>
    <s v="eth1/80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80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80"/>
    <x v="0"/>
    <x v="1"/>
    <x v="1"/>
    <s v="SAPCCRATING15"/>
    <x v="6"/>
    <b v="0"/>
    <s v="No está en VPC"/>
    <n v="112"/>
    <s v="INTPG_VPC_112_1.80_114_1.78"/>
    <s v="ISEL-1.80"/>
    <n v="1"/>
    <s v="NO TIENE L3OUT"/>
    <n v="144"/>
    <n v="96"/>
  </r>
  <r>
    <n v="107"/>
    <x v="0"/>
    <x v="213"/>
    <s v="eth1/80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80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80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80"/>
    <x v="0"/>
    <x v="1"/>
    <x v="1"/>
    <s v="SAPCCRATING17"/>
    <x v="6"/>
    <b v="0"/>
    <s v="No está en VPC"/>
    <n v="114"/>
    <s v="INTPG_VPC_112_1.82_114_1.80"/>
    <s v="ISEL-1.80"/>
    <n v="1"/>
    <s v="NO TIENE L3OUT"/>
    <n v="144"/>
    <n v="96"/>
  </r>
  <r>
    <n v="124"/>
    <x v="0"/>
    <x v="217"/>
    <s v="eth1/80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80"/>
    <x v="0"/>
    <x v="0"/>
    <x v="0"/>
    <s v="COBROS NAVEGACION"/>
    <x v="6"/>
    <b v="0"/>
    <s v="No está en VPC"/>
    <n v="118"/>
    <s v="INTPG_ACC_118_1.80"/>
    <s v="ISEL-1.80"/>
    <n v="1"/>
    <s v="NO TIENE L3OUT"/>
    <n v="180"/>
    <n v="96"/>
  </r>
  <r>
    <n v="159"/>
    <x v="0"/>
    <x v="219"/>
    <s v="eth1/80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80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80"/>
    <x v="0"/>
    <x v="1"/>
    <x v="1"/>
    <s v="CELCITE"/>
    <x v="6"/>
    <b v="0"/>
    <s v="No está en VPC"/>
    <n v="163"/>
    <s v="INTPG_ACC_163_1.80"/>
    <s v="ISEL-1.80"/>
    <n v="1"/>
    <s v="NO TIENE L3OUT"/>
    <n v="140"/>
    <n v="96"/>
  </r>
  <r>
    <n v="407"/>
    <x v="1"/>
    <x v="224"/>
    <s v="eth1/80"/>
    <x v="1"/>
    <x v="1"/>
    <x v="0"/>
    <m/>
    <x v="6"/>
    <b v="0"/>
    <s v="No está en VPC"/>
    <n v="407"/>
    <s v="NO EXISTE PG"/>
    <s v="NO EXISTE ISEL"/>
    <n v="1"/>
    <s v="NO TIENE L3OUT"/>
    <n v="122"/>
    <n v="96"/>
  </r>
  <r>
    <n v="171"/>
    <x v="0"/>
    <x v="225"/>
    <s v="eth1/80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80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80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80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80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80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80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80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80"/>
    <x v="0"/>
    <x v="1"/>
    <x v="1"/>
    <s v="CORREO AMERICA MOVIL:OPENSTACK 1 :VC1-X4"/>
    <x v="6"/>
    <b v="0"/>
    <s v="No está en VPC"/>
    <n v="102"/>
    <s v="INTPG_PC_102_1.77-84"/>
    <s v="ISEL-1.80"/>
    <n v="15"/>
    <s v="NO TIENE L3OUT"/>
    <n v="228"/>
    <n v="96"/>
  </r>
  <r>
    <n v="122"/>
    <x v="0"/>
    <x v="237"/>
    <s v="eth1/80"/>
    <x v="1"/>
    <x v="1"/>
    <x v="2"/>
    <s v="INTRANET CORPORATIVA"/>
    <x v="6"/>
    <b v="0"/>
    <s v="No está en VPC"/>
    <n v="122"/>
    <s v="INTPG_ACC_122_1.80"/>
    <s v="ISEL-1.80"/>
    <n v="1"/>
    <s v="NO TIENE L3OUT"/>
    <n v="148"/>
    <n v="96"/>
  </r>
  <r>
    <n v="157"/>
    <x v="0"/>
    <x v="238"/>
    <s v="eth1/80"/>
    <x v="0"/>
    <x v="0"/>
    <x v="0"/>
    <s v="ARIESO_GEOLOCALIZACION"/>
    <x v="6"/>
    <b v="0"/>
    <s v="No está en VPC"/>
    <n v="157"/>
    <s v="INTPG_ACC_157_1.80"/>
    <s v="ISEL-1.80"/>
    <n v="2"/>
    <s v="NO TIENE L3OUT"/>
    <n v="202"/>
    <n v="96"/>
  </r>
  <r>
    <n v="408"/>
    <x v="1"/>
    <x v="239"/>
    <s v="eth1/80"/>
    <x v="0"/>
    <x v="0"/>
    <x v="0"/>
    <s v="9UCS-IXTLA-WEBEX-SERV2"/>
    <x v="6"/>
    <b v="0"/>
    <s v="No está en VPC"/>
    <n v="408"/>
    <s v="INTPG_ACC_408_1.80"/>
    <s v="ISEL-1.80"/>
    <n v="1"/>
    <s v="NO TIENE L3OUT"/>
    <n v="152"/>
    <n v="96"/>
  </r>
  <r>
    <n v="405"/>
    <x v="1"/>
    <x v="240"/>
    <s v="eth1/80"/>
    <x v="0"/>
    <x v="0"/>
    <x v="0"/>
    <s v="TO-ithfhpmvnorbd01"/>
    <x v="6"/>
    <b v="0"/>
    <s v="No está en VPC"/>
    <n v="405"/>
    <s v="INTPG_VPC_403_1.91_405_1.80"/>
    <s v="ISEL-1.80"/>
    <n v="1"/>
    <s v="NO TIENE L3OUT"/>
    <n v="138"/>
    <n v="96"/>
  </r>
  <r>
    <n v="169"/>
    <x v="0"/>
    <x v="241"/>
    <s v="eth1/80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80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80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80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80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80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80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80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80"/>
    <x v="0"/>
    <x v="0"/>
    <x v="0"/>
    <s v="ETH0_uxppldb2"/>
    <x v="6"/>
    <b v="0"/>
    <s v="No está en VPC"/>
    <n v="406"/>
    <s v="INTPG_ACC_406_1.80"/>
    <s v="ISEL-1.80"/>
    <n v="1"/>
    <s v="NO TIENE L3OUT"/>
    <n v="82"/>
    <n v="96"/>
  </r>
  <r>
    <n v="414"/>
    <x v="1"/>
    <x v="250"/>
    <s v="eth1/80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80"/>
    <x v="0"/>
    <x v="0"/>
    <x v="0"/>
    <s v="IXTAI5_SERVER"/>
    <x v="6"/>
    <b v="0"/>
    <s v="No está en VPC"/>
    <n v="416"/>
    <s v="INTPG_ACC_416_1.80"/>
    <s v="ISEL-1.80"/>
    <n v="1"/>
    <s v="NO TIENE L3OUT"/>
    <n v="110"/>
    <n v="96"/>
  </r>
  <r>
    <n v="418"/>
    <x v="1"/>
    <x v="252"/>
    <s v="eth1/80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80"/>
    <x v="0"/>
    <x v="1"/>
    <x v="1"/>
    <s v="Ixt_guardium01_Secundario"/>
    <x v="6"/>
    <b v="0"/>
    <s v="No está en VPC"/>
    <n v="413"/>
    <s v="INTPG_ACC_413_1.80"/>
    <s v="ISEL-1.80"/>
    <n v="1"/>
    <s v="NO TIENE L3OUT"/>
    <n v="126"/>
    <n v="96"/>
  </r>
  <r>
    <n v="403"/>
    <x v="1"/>
    <x v="254"/>
    <s v="eth1/80"/>
    <x v="0"/>
    <x v="0"/>
    <x v="0"/>
    <s v="ARIESO_LTE_RLR7ARI11"/>
    <x v="6"/>
    <b v="0"/>
    <s v="No está en VPC"/>
    <n v="403"/>
    <s v="INTPG_ACC_403_1.80"/>
    <s v="ISEL-1.80"/>
    <n v="1"/>
    <s v="NO TIENE L3OUT"/>
    <n v="150"/>
    <n v="96"/>
  </r>
  <r>
    <n v="125"/>
    <x v="0"/>
    <x v="255"/>
    <s v="eth1/80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80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80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80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80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80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80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80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80"/>
    <x v="0"/>
    <x v="0"/>
    <x v="0"/>
    <s v="eth1_vert03hpov_Secundario"/>
    <x v="6"/>
    <b v="0"/>
    <s v="No está en VPC"/>
    <n v="430"/>
    <s v="INTPG_ACC_430_1.80"/>
    <s v="ISEL-1.80"/>
    <n v="1"/>
    <s v="NO TIENE L3OUT"/>
    <n v="86"/>
    <n v="96"/>
  </r>
  <r>
    <n v="419"/>
    <x v="1"/>
    <x v="264"/>
    <s v="eth1/80"/>
    <x v="0"/>
    <x v="0"/>
    <x v="0"/>
    <s v="HP Proliant DL380p(f)"/>
    <x v="6"/>
    <b v="0"/>
    <s v="No está en VPC"/>
    <n v="419"/>
    <s v="INTPG_ACC_419_1.80"/>
    <s v="ISEL-1.80"/>
    <n v="1"/>
    <s v="NO TIENE L3OUT"/>
    <n v="70"/>
    <n v="96"/>
  </r>
  <r>
    <n v="155"/>
    <x v="0"/>
    <x v="265"/>
    <s v="eth1/80"/>
    <x v="0"/>
    <x v="1"/>
    <x v="1"/>
    <s v="GESTOR HUAWEI U2000 MW Tx"/>
    <x v="6"/>
    <b v="0"/>
    <s v="No está en VPC"/>
    <n v="155"/>
    <s v="INTPG_ACC_155_1.80"/>
    <s v="ISEL-1.80"/>
    <n v="1"/>
    <s v="NO TIENE L3OUT"/>
    <n v="198"/>
    <n v="96"/>
  </r>
  <r>
    <n v="409"/>
    <x v="1"/>
    <x v="266"/>
    <s v="eth1/80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80"/>
    <x v="0"/>
    <x v="0"/>
    <x v="0"/>
    <s v="TO_ITHAI9-eno2"/>
    <x v="6"/>
    <b v="0"/>
    <s v="No está en VPC"/>
    <n v="422"/>
    <s v="INTPG_ACC_422_1.80"/>
    <s v="ISEL-1.80"/>
    <n v="1"/>
    <s v="NO TIENE L3OUT"/>
    <n v="182"/>
    <n v="96"/>
  </r>
  <r>
    <n v="436"/>
    <x v="1"/>
    <x v="268"/>
    <s v="eth1/80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80"/>
    <x v="0"/>
    <x v="0"/>
    <x v="0"/>
    <s v="ITHRTCD2CONT4"/>
    <x v="6"/>
    <b v="0"/>
    <s v="No está en VPC"/>
    <n v="410"/>
    <s v="INTPG_ACC_410_1.80"/>
    <s v="ISEL-1.80"/>
    <n v="1"/>
    <s v="NO TIENE L3OUT"/>
    <n v="178"/>
    <n v="96"/>
  </r>
  <r>
    <n v="161"/>
    <x v="0"/>
    <x v="270"/>
    <s v="eth1/80"/>
    <x v="0"/>
    <x v="0"/>
    <x v="0"/>
    <s v="SFTMPP01"/>
    <x v="6"/>
    <b v="0"/>
    <s v="No está en VPC"/>
    <n v="161"/>
    <s v="INTPG_VPC_161_1.80_163_1.92"/>
    <s v="ISEL-1.80"/>
    <n v="1"/>
    <s v="NO TIENE L3OUT"/>
    <n v="102"/>
    <n v="96"/>
  </r>
  <r>
    <n v="411"/>
    <x v="1"/>
    <x v="271"/>
    <s v="eth1/80"/>
    <x v="0"/>
    <x v="0"/>
    <x v="0"/>
    <s v="OCC ITHCC1 GESTION"/>
    <x v="6"/>
    <b v="0"/>
    <s v="No está en VPC"/>
    <n v="411"/>
    <s v="INTPG_ACC_411_1.80"/>
    <s v="ISEL-1.80"/>
    <n v="1"/>
    <s v="NO TIENE L3OUT"/>
    <n v="96"/>
    <n v="96"/>
  </r>
  <r>
    <n v="116"/>
    <x v="0"/>
    <x v="272"/>
    <s v="eth1/80"/>
    <x v="0"/>
    <x v="0"/>
    <x v="0"/>
    <s v="LA-47R VIRTUALIZACION BLADES"/>
    <x v="6"/>
    <b v="0"/>
    <s v="No está en VPC"/>
    <n v="116"/>
    <s v="INTPG_ACC_116_1.80"/>
    <s v="ISEL-1.80"/>
    <n v="1"/>
    <s v="NO TIENE L3OUT"/>
    <n v="148"/>
    <n v="96"/>
  </r>
  <r>
    <n v="412"/>
    <x v="1"/>
    <x v="273"/>
    <s v="eth1/80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80"/>
    <x v="0"/>
    <x v="1"/>
    <x v="1"/>
    <s v="N/A"/>
    <x v="6"/>
    <b v="0"/>
    <s v="No está en VPC"/>
    <n v="120"/>
    <s v="INTPG_ACC_120_1.80"/>
    <s v="ISEL-1.80"/>
    <n v="1"/>
    <s v="NO TIENE L3OUT"/>
    <n v="158"/>
    <n v="96"/>
  </r>
  <r>
    <n v="404"/>
    <x v="1"/>
    <x v="275"/>
    <s v="eth1/80"/>
    <x v="0"/>
    <x v="0"/>
    <x v="0"/>
    <s v="ITHRTCD1CONT2"/>
    <x v="6"/>
    <b v="0"/>
    <s v="No está en VPC"/>
    <n v="404"/>
    <s v="INTPG_ACC_404_1.80"/>
    <s v="ISEL-1.80"/>
    <n v="1"/>
    <s v="NO TIENE L3OUT"/>
    <n v="92"/>
    <n v="96"/>
  </r>
  <r>
    <n v="167"/>
    <x v="0"/>
    <x v="276"/>
    <s v="eth1/80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80"/>
    <x v="0"/>
    <x v="0"/>
    <x v="0"/>
    <s v="SecAnLG_Gb1_04-Colector_R9-SA_IXTSALG_H9SA"/>
    <x v="6"/>
    <b v="0"/>
    <s v="No está en VPC"/>
    <n v="428"/>
    <s v="INTPG_ACC_428_1.80"/>
    <s v="ISEL-1.80"/>
    <n v="1"/>
    <s v="NO TIENE L3OUT"/>
    <n v="102"/>
    <n v="96"/>
  </r>
  <r>
    <n v="105"/>
    <x v="0"/>
    <x v="205"/>
    <s v="eth1/81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81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81"/>
    <x v="0"/>
    <x v="1"/>
    <x v="1"/>
    <m/>
    <x v="6"/>
    <b v="0"/>
    <s v="No está en VPC"/>
    <n v="104"/>
    <s v="NO EXISTE PG"/>
    <s v="NO EXISTE ISEL"/>
    <n v="0"/>
    <s v="NO TIENE L3OUT"/>
    <n v="194"/>
    <n v="96"/>
  </r>
  <r>
    <n v="158"/>
    <x v="0"/>
    <x v="208"/>
    <s v="eth1/81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81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81"/>
    <x v="0"/>
    <x v="1"/>
    <x v="1"/>
    <s v="SAPCCRATING16"/>
    <x v="6"/>
    <b v="0"/>
    <s v="No está en VPC"/>
    <n v="112"/>
    <s v="INTPG_VPC_112_1.81_114_1.79"/>
    <s v="ISEL-1.81"/>
    <n v="1"/>
    <s v="NO TIENE L3OUT"/>
    <n v="144"/>
    <n v="96"/>
  </r>
  <r>
    <n v="107"/>
    <x v="0"/>
    <x v="213"/>
    <s v="eth1/81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81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81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81"/>
    <x v="0"/>
    <x v="1"/>
    <x v="1"/>
    <s v="SAPCCRATING18"/>
    <x v="6"/>
    <b v="0"/>
    <s v="No está en VPC"/>
    <n v="114"/>
    <s v="INTPG_VPC_112_1.83_114_1.81"/>
    <s v="ISEL-1.81"/>
    <n v="1"/>
    <s v="NO TIENE L3OUT"/>
    <n v="144"/>
    <n v="96"/>
  </r>
  <r>
    <n v="124"/>
    <x v="0"/>
    <x v="217"/>
    <s v="eth1/81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81"/>
    <x v="0"/>
    <x v="0"/>
    <x v="0"/>
    <s v="COBROS NAVEGACION"/>
    <x v="6"/>
    <b v="0"/>
    <s v="No está en VPC"/>
    <n v="118"/>
    <s v="INTPG_ACC_118_1.81"/>
    <s v="ISEL-1.81"/>
    <n v="1"/>
    <s v="NO TIENE L3OUT"/>
    <n v="180"/>
    <n v="96"/>
  </r>
  <r>
    <n v="159"/>
    <x v="0"/>
    <x v="219"/>
    <s v="eth1/81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81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81"/>
    <x v="0"/>
    <x v="1"/>
    <x v="1"/>
    <s v="VIRTUAL MACHINE 1"/>
    <x v="6"/>
    <b v="0"/>
    <s v="No está en VPC"/>
    <n v="163"/>
    <s v="INTPG_ACC_163_1.81"/>
    <s v="ISEL-1.81"/>
    <n v="1"/>
    <s v="NO TIENE L3OUT"/>
    <n v="140"/>
    <n v="96"/>
  </r>
  <r>
    <n v="407"/>
    <x v="1"/>
    <x v="224"/>
    <s v="eth1/81"/>
    <x v="1"/>
    <x v="1"/>
    <x v="0"/>
    <m/>
    <x v="6"/>
    <b v="0"/>
    <s v="No está en VPC"/>
    <n v="407"/>
    <s v="NO EXISTE PG"/>
    <s v="NO EXISTE ISEL"/>
    <n v="1"/>
    <s v="NO TIENE L3OUT"/>
    <n v="122"/>
    <n v="96"/>
  </r>
  <r>
    <n v="171"/>
    <x v="0"/>
    <x v="225"/>
    <s v="eth1/81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81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81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81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81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81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81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81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81"/>
    <x v="0"/>
    <x v="1"/>
    <x v="1"/>
    <s v="CORREO AMERICA MOVIL:OPENSTACK 1 :VC1-X5"/>
    <x v="6"/>
    <b v="0"/>
    <s v="No está en VPC"/>
    <n v="102"/>
    <s v="INTPG_PC_102_1.77-84"/>
    <s v="ISEL-1.81"/>
    <n v="15"/>
    <s v="NO TIENE L3OUT"/>
    <n v="228"/>
    <n v="96"/>
  </r>
  <r>
    <n v="122"/>
    <x v="0"/>
    <x v="237"/>
    <s v="eth1/81"/>
    <x v="1"/>
    <x v="1"/>
    <x v="2"/>
    <s v="INTRANET CORPORATIVA"/>
    <x v="6"/>
    <b v="0"/>
    <s v="No está en VPC"/>
    <n v="122"/>
    <s v="INTPG_ACC_122_1.81"/>
    <s v="ISEL-1.81"/>
    <n v="0"/>
    <s v="NO TIENE L3OUT"/>
    <n v="148"/>
    <n v="96"/>
  </r>
  <r>
    <n v="157"/>
    <x v="0"/>
    <x v="238"/>
    <s v="eth1/81"/>
    <x v="0"/>
    <x v="0"/>
    <x v="0"/>
    <s v="Consolidaci\u00f3n Aplicaciones Prepago"/>
    <x v="6"/>
    <b v="0"/>
    <s v="No está en VPC"/>
    <n v="157"/>
    <s v="INTPG_ACC_157_1.81"/>
    <s v="ISEL-1.81"/>
    <n v="1"/>
    <s v="NO TIENE L3OUT"/>
    <n v="202"/>
    <n v="96"/>
  </r>
  <r>
    <n v="408"/>
    <x v="1"/>
    <x v="239"/>
    <s v="eth1/81"/>
    <x v="0"/>
    <x v="0"/>
    <x v="0"/>
    <s v="9UCS-IXTLA-WEBEX-SERV3"/>
    <x v="6"/>
    <b v="0"/>
    <s v="No está en VPC"/>
    <n v="408"/>
    <s v="INTPG_ACC_408_1.81"/>
    <s v="ISEL-1.81"/>
    <n v="1"/>
    <s v="NO TIENE L3OUT"/>
    <n v="152"/>
    <n v="96"/>
  </r>
  <r>
    <n v="405"/>
    <x v="1"/>
    <x v="240"/>
    <s v="eth1/81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81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81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81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81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81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81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81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81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81"/>
    <x v="0"/>
    <x v="0"/>
    <x v="0"/>
    <s v="uxhdr01b"/>
    <x v="6"/>
    <b v="0"/>
    <s v="No está en VPC"/>
    <n v="406"/>
    <s v="INTPG_ACC_406_1.81"/>
    <s v="ISEL-1.81"/>
    <n v="1"/>
    <s v="NO TIENE L3OUT"/>
    <n v="82"/>
    <n v="96"/>
  </r>
  <r>
    <n v="414"/>
    <x v="1"/>
    <x v="250"/>
    <s v="eth1/81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81"/>
    <x v="0"/>
    <x v="0"/>
    <x v="0"/>
    <s v="IXTAI6_SERVER"/>
    <x v="6"/>
    <b v="0"/>
    <s v="No está en VPC"/>
    <n v="416"/>
    <s v="INTPG_ACC_416_1.81"/>
    <s v="ISEL-1.81"/>
    <n v="1"/>
    <s v="NO TIENE L3OUT"/>
    <n v="110"/>
    <n v="96"/>
  </r>
  <r>
    <n v="418"/>
    <x v="1"/>
    <x v="252"/>
    <s v="eth1/81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81"/>
    <x v="0"/>
    <x v="1"/>
    <x v="1"/>
    <s v="Ixt_guardium02_Secundario"/>
    <x v="6"/>
    <b v="0"/>
    <s v="No está en VPC"/>
    <n v="413"/>
    <s v="INTPG_ACC_413_1.81"/>
    <s v="ISEL-1.81"/>
    <n v="1"/>
    <s v="NO TIENE L3OUT"/>
    <n v="126"/>
    <n v="96"/>
  </r>
  <r>
    <n v="403"/>
    <x v="1"/>
    <x v="254"/>
    <s v="eth1/81"/>
    <x v="0"/>
    <x v="0"/>
    <x v="0"/>
    <s v="SOEM_prim_iLO"/>
    <x v="6"/>
    <b v="0"/>
    <s v="No está en VPC"/>
    <n v="403"/>
    <s v="INTPG_ACC_403_1.81"/>
    <s v="ISEL-1.81"/>
    <n v="1"/>
    <s v="NO TIENE L3OUT"/>
    <n v="150"/>
    <n v="96"/>
  </r>
  <r>
    <n v="125"/>
    <x v="0"/>
    <x v="255"/>
    <s v="eth1/81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81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81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81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81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81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81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81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81"/>
    <x v="0"/>
    <x v="0"/>
    <x v="0"/>
    <s v="eth1_ora01hpov_Secundario"/>
    <x v="6"/>
    <b v="0"/>
    <s v="No está en VPC"/>
    <n v="430"/>
    <s v="INTPG_ACC_430_1.81"/>
    <s v="ISEL-1.81"/>
    <n v="1"/>
    <s v="NO TIENE L3OUT"/>
    <n v="86"/>
    <n v="96"/>
  </r>
  <r>
    <n v="419"/>
    <x v="1"/>
    <x v="264"/>
    <s v="eth1/81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81"/>
    <x v="0"/>
    <x v="1"/>
    <x v="1"/>
    <s v="GESTOR HUAWEI U2000 MW Tx"/>
    <x v="6"/>
    <b v="0"/>
    <s v="No está en VPC"/>
    <n v="155"/>
    <s v="INTPG_ACC_155_1.81"/>
    <s v="ISEL-1.81"/>
    <n v="1"/>
    <s v="NO TIENE L3OUT"/>
    <n v="198"/>
    <n v="96"/>
  </r>
  <r>
    <n v="409"/>
    <x v="1"/>
    <x v="266"/>
    <s v="eth1/81"/>
    <x v="1"/>
    <x v="1"/>
    <x v="0"/>
    <m/>
    <x v="6"/>
    <b v="0"/>
    <s v="No está en VPC"/>
    <n v="409"/>
    <s v="NO EXISTE PG"/>
    <s v="NO EXISTE ISEL"/>
    <n v="1"/>
    <s v="NO TIENE L3OUT"/>
    <n v="128"/>
    <n v="96"/>
  </r>
  <r>
    <n v="422"/>
    <x v="1"/>
    <x v="267"/>
    <s v="eth1/81"/>
    <x v="0"/>
    <x v="0"/>
    <x v="0"/>
    <s v="TO_ITHAI9-eno6"/>
    <x v="6"/>
    <b v="0"/>
    <s v="No está en VPC"/>
    <n v="422"/>
    <s v="INTPG_ACC_422_1.81"/>
    <s v="ISEL-1.81"/>
    <n v="1"/>
    <s v="NO TIENE L3OUT"/>
    <n v="182"/>
    <n v="96"/>
  </r>
  <r>
    <n v="436"/>
    <x v="1"/>
    <x v="268"/>
    <s v="eth1/81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81"/>
    <x v="0"/>
    <x v="0"/>
    <x v="0"/>
    <s v="ITHRTCD2SP1"/>
    <x v="6"/>
    <b v="0"/>
    <s v="No está en VPC"/>
    <n v="410"/>
    <s v="INTPG_ACC_410_1.81"/>
    <s v="ISEL-1.81"/>
    <n v="1"/>
    <s v="NO TIENE L3OUT"/>
    <n v="178"/>
    <n v="96"/>
  </r>
  <r>
    <n v="161"/>
    <x v="0"/>
    <x v="270"/>
    <s v="eth1/81"/>
    <x v="0"/>
    <x v="0"/>
    <x v="0"/>
    <s v="SFODPP02_CM"/>
    <x v="6"/>
    <b v="0"/>
    <s v="No está en VPC"/>
    <n v="161"/>
    <s v="INTPG_VPC_161_1.81_163_1.93"/>
    <s v="ISEL-1.81"/>
    <n v="1"/>
    <s v="NO TIENE L3OUT"/>
    <n v="102"/>
    <n v="96"/>
  </r>
  <r>
    <n v="411"/>
    <x v="1"/>
    <x v="271"/>
    <s v="eth1/81"/>
    <x v="0"/>
    <x v="0"/>
    <x v="0"/>
    <s v="OCC ITHCC1 TRAFICO GY-RO"/>
    <x v="6"/>
    <b v="0"/>
    <s v="No está en VPC"/>
    <n v="411"/>
    <s v="INTPG_ACC_411_1.81"/>
    <s v="ISEL-1.81"/>
    <n v="1"/>
    <s v="NO TIENE L3OUT"/>
    <n v="96"/>
    <n v="96"/>
  </r>
  <r>
    <n v="116"/>
    <x v="0"/>
    <x v="272"/>
    <s v="eth1/81"/>
    <x v="0"/>
    <x v="0"/>
    <x v="0"/>
    <s v="LA-47R VIRTUALIZACION BLADES"/>
    <x v="6"/>
    <b v="0"/>
    <s v="No está en VPC"/>
    <n v="116"/>
    <s v="INTPG_ACC_116_1.81"/>
    <s v="ISEL-1.81"/>
    <n v="1"/>
    <s v="NO TIENE L3OUT"/>
    <n v="148"/>
    <n v="96"/>
  </r>
  <r>
    <n v="412"/>
    <x v="1"/>
    <x v="273"/>
    <s v="eth1/81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81"/>
    <x v="0"/>
    <x v="0"/>
    <x v="0"/>
    <s v="N/A"/>
    <x v="6"/>
    <b v="0"/>
    <s v="No está en VPC"/>
    <n v="120"/>
    <s v="INTPG_ACC_120_1.81"/>
    <s v="ISEL-1.81"/>
    <n v="1"/>
    <s v="NO TIENE L3OUT"/>
    <n v="158"/>
    <n v="96"/>
  </r>
  <r>
    <n v="404"/>
    <x v="1"/>
    <x v="275"/>
    <s v="eth1/81"/>
    <x v="0"/>
    <x v="0"/>
    <x v="0"/>
    <s v="ITHRTCD1SP12"/>
    <x v="6"/>
    <b v="0"/>
    <s v="No está en VPC"/>
    <n v="404"/>
    <s v="INTPG_ACC_404_1.81"/>
    <s v="ISEL-1.81"/>
    <n v="1"/>
    <s v="NO TIENE L3OUT"/>
    <n v="92"/>
    <n v="96"/>
  </r>
  <r>
    <n v="167"/>
    <x v="0"/>
    <x v="276"/>
    <s v="eth1/81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81"/>
    <x v="0"/>
    <x v="0"/>
    <x v="0"/>
    <s v="SecAnLG_Gb1_05-Colector_R1toR8_RD-IXTSALG_H1_8RD"/>
    <x v="6"/>
    <b v="0"/>
    <s v="No está en VPC"/>
    <n v="428"/>
    <s v="INTPG_ACC_428_1.81"/>
    <s v="ISEL-1.81"/>
    <n v="1"/>
    <s v="NO TIENE L3OUT"/>
    <n v="102"/>
    <n v="96"/>
  </r>
  <r>
    <n v="105"/>
    <x v="0"/>
    <x v="205"/>
    <s v="eth1/82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82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82"/>
    <x v="0"/>
    <x v="1"/>
    <x v="1"/>
    <m/>
    <x v="6"/>
    <b v="0"/>
    <s v="No está en VPC"/>
    <n v="104"/>
    <s v="NO EXISTE PG"/>
    <s v="NO EXISTE ISEL"/>
    <n v="0"/>
    <s v="NO TIENE L3OUT"/>
    <n v="194"/>
    <n v="96"/>
  </r>
  <r>
    <n v="158"/>
    <x v="0"/>
    <x v="208"/>
    <s v="eth1/82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82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82"/>
    <x v="0"/>
    <x v="1"/>
    <x v="1"/>
    <s v="SAPCCRATING17"/>
    <x v="6"/>
    <b v="0"/>
    <s v="No está en VPC"/>
    <n v="112"/>
    <s v="INTPG_VPC_112_1.82_114_1.80"/>
    <s v="ISEL-1.82"/>
    <n v="1"/>
    <s v="NO TIENE L3OUT"/>
    <n v="144"/>
    <n v="96"/>
  </r>
  <r>
    <n v="107"/>
    <x v="0"/>
    <x v="213"/>
    <s v="eth1/82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82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82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82"/>
    <x v="0"/>
    <x v="1"/>
    <x v="1"/>
    <s v="SAPCCRATING19"/>
    <x v="6"/>
    <b v="0"/>
    <s v="No está en VPC"/>
    <n v="114"/>
    <s v="INTPG_VPC_112_1.84_114_1.82"/>
    <s v="ISEL-1.82"/>
    <n v="1"/>
    <s v="NO TIENE L3OUT"/>
    <n v="144"/>
    <n v="96"/>
  </r>
  <r>
    <n v="124"/>
    <x v="0"/>
    <x v="217"/>
    <s v="eth1/82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82"/>
    <x v="0"/>
    <x v="1"/>
    <x v="1"/>
    <m/>
    <x v="6"/>
    <b v="0"/>
    <s v="No está en VPC"/>
    <n v="118"/>
    <s v="NO EXISTE PG"/>
    <s v="NO EXISTE ISEL"/>
    <n v="0"/>
    <s v="NO TIENE L3OUT"/>
    <n v="180"/>
    <n v="96"/>
  </r>
  <r>
    <n v="159"/>
    <x v="0"/>
    <x v="219"/>
    <s v="eth1/82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82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82"/>
    <x v="0"/>
    <x v="0"/>
    <x v="0"/>
    <s v="CELCITE"/>
    <x v="6"/>
    <b v="0"/>
    <s v="No está en VPC"/>
    <n v="163"/>
    <s v="INTPG_ACC_163_1.82"/>
    <s v="ISEL-1.82"/>
    <n v="1"/>
    <s v="NO TIENE L3OUT"/>
    <n v="140"/>
    <n v="96"/>
  </r>
  <r>
    <n v="407"/>
    <x v="1"/>
    <x v="224"/>
    <s v="eth1/82"/>
    <x v="1"/>
    <x v="1"/>
    <x v="0"/>
    <m/>
    <x v="6"/>
    <b v="0"/>
    <s v="No está en VPC"/>
    <n v="407"/>
    <s v="NO EXISTE PG"/>
    <s v="NO EXISTE ISEL"/>
    <n v="1"/>
    <s v="NO TIENE L3OUT"/>
    <n v="122"/>
    <n v="96"/>
  </r>
  <r>
    <n v="171"/>
    <x v="0"/>
    <x v="225"/>
    <s v="eth1/82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82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82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82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82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82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82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82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82"/>
    <x v="0"/>
    <x v="1"/>
    <x v="1"/>
    <s v="CORREO AMERICA MOVIL:OPENSTACK 1 :VC1-X6"/>
    <x v="6"/>
    <b v="0"/>
    <s v="No está en VPC"/>
    <n v="102"/>
    <s v="INTPG_PC_102_1.77-84"/>
    <s v="ISEL-1.82"/>
    <n v="15"/>
    <s v="NO TIENE L3OUT"/>
    <n v="228"/>
    <n v="96"/>
  </r>
  <r>
    <n v="122"/>
    <x v="0"/>
    <x v="237"/>
    <s v="eth1/82"/>
    <x v="1"/>
    <x v="1"/>
    <x v="2"/>
    <s v="INTRANET CORPORATIVA"/>
    <x v="6"/>
    <b v="0"/>
    <s v="No está en VPC"/>
    <n v="122"/>
    <s v="INTPG_ACC_122_1.82"/>
    <s v="ISEL-1.82"/>
    <n v="1"/>
    <s v="NO TIENE L3OUT"/>
    <n v="148"/>
    <n v="96"/>
  </r>
  <r>
    <n v="157"/>
    <x v="0"/>
    <x v="238"/>
    <s v="eth1/82"/>
    <x v="0"/>
    <x v="0"/>
    <x v="0"/>
    <s v="Consolidaci\u00f3n Aplicaciones Prepago"/>
    <x v="6"/>
    <b v="0"/>
    <s v="No está en VPC"/>
    <n v="157"/>
    <s v="INTPG_ACC_157_1.82"/>
    <s v="ISEL-1.82"/>
    <n v="1"/>
    <s v="NO TIENE L3OUT"/>
    <n v="202"/>
    <n v="96"/>
  </r>
  <r>
    <n v="408"/>
    <x v="1"/>
    <x v="239"/>
    <s v="eth1/82"/>
    <x v="0"/>
    <x v="0"/>
    <x v="0"/>
    <s v="9UCS-IXTLA-WEBEX-SERV4"/>
    <x v="6"/>
    <b v="0"/>
    <s v="No está en VPC"/>
    <n v="408"/>
    <s v="INTPG_ACC_408_1.82"/>
    <s v="ISEL-1.82"/>
    <n v="1"/>
    <s v="NO TIENE L3OUT"/>
    <n v="152"/>
    <n v="96"/>
  </r>
  <r>
    <n v="405"/>
    <x v="1"/>
    <x v="240"/>
    <s v="eth1/82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82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82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82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82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82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82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82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82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82"/>
    <x v="0"/>
    <x v="0"/>
    <x v="0"/>
    <s v="ETH1_uxppldb1"/>
    <x v="6"/>
    <b v="0"/>
    <s v="No está en VPC"/>
    <n v="406"/>
    <s v="INTPG_ACC_406_1.82"/>
    <s v="ISEL-1.82"/>
    <n v="1"/>
    <s v="NO TIENE L3OUT"/>
    <n v="82"/>
    <n v="96"/>
  </r>
  <r>
    <n v="414"/>
    <x v="1"/>
    <x v="250"/>
    <s v="eth1/82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82"/>
    <x v="0"/>
    <x v="0"/>
    <x v="0"/>
    <s v="IXTSD969A"/>
    <x v="6"/>
    <b v="0"/>
    <s v="No está en VPC"/>
    <n v="416"/>
    <s v="INTPG_ACC_416_1.82"/>
    <s v="ISEL-1.82"/>
    <n v="1"/>
    <s v="NO TIENE L3OUT"/>
    <n v="110"/>
    <n v="96"/>
  </r>
  <r>
    <n v="418"/>
    <x v="1"/>
    <x v="252"/>
    <s v="eth1/82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82"/>
    <x v="0"/>
    <x v="1"/>
    <x v="1"/>
    <s v="F5-IXE-VTAE"/>
    <x v="6"/>
    <b v="0"/>
    <s v="No está en VPC"/>
    <n v="413"/>
    <s v="INTPG_ACC_413_1.82"/>
    <s v="ISEL-1.82"/>
    <n v="2"/>
    <s v="NO TIENE L3OUT"/>
    <n v="126"/>
    <n v="96"/>
  </r>
  <r>
    <n v="403"/>
    <x v="1"/>
    <x v="254"/>
    <s v="eth1/82"/>
    <x v="0"/>
    <x v="0"/>
    <x v="0"/>
    <s v="SOEM_prim_eth0"/>
    <x v="6"/>
    <b v="0"/>
    <s v="No está en VPC"/>
    <n v="403"/>
    <s v="INTPG_ACC_403_1.82"/>
    <s v="ISEL-1.82"/>
    <n v="1"/>
    <s v="NO TIENE L3OUT"/>
    <n v="150"/>
    <n v="96"/>
  </r>
  <r>
    <n v="125"/>
    <x v="0"/>
    <x v="255"/>
    <s v="eth1/82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82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82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82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82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82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82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82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82"/>
    <x v="0"/>
    <x v="0"/>
    <x v="0"/>
    <s v="eth1_ora02hpov_Secundario"/>
    <x v="6"/>
    <b v="0"/>
    <s v="No está en VPC"/>
    <n v="430"/>
    <s v="INTPG_ACC_430_1.82"/>
    <s v="ISEL-1.82"/>
    <n v="1"/>
    <s v="NO TIENE L3OUT"/>
    <n v="86"/>
    <n v="96"/>
  </r>
  <r>
    <n v="419"/>
    <x v="1"/>
    <x v="264"/>
    <s v="eth1/82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82"/>
    <x v="0"/>
    <x v="0"/>
    <x v="0"/>
    <s v="SNA TEST BED"/>
    <x v="6"/>
    <b v="0"/>
    <s v="No está en VPC"/>
    <n v="155"/>
    <s v="INTPG_ACC_155_1.82"/>
    <s v="ISEL-1.82"/>
    <n v="0"/>
    <s v="L3OUT-SNA-IPCORP-A21"/>
    <n v="198"/>
    <n v="96"/>
  </r>
  <r>
    <n v="409"/>
    <x v="1"/>
    <x v="266"/>
    <s v="eth1/82"/>
    <x v="1"/>
    <x v="1"/>
    <x v="0"/>
    <m/>
    <x v="6"/>
    <b v="0"/>
    <s v="No está en VPC"/>
    <n v="409"/>
    <s v="NO EXISTE PG"/>
    <s v="NO EXISTE ISEL"/>
    <n v="1"/>
    <s v="NO TIENE L3OUT"/>
    <n v="128"/>
    <n v="96"/>
  </r>
  <r>
    <n v="422"/>
    <x v="1"/>
    <x v="267"/>
    <s v="eth1/82"/>
    <x v="0"/>
    <x v="0"/>
    <x v="0"/>
    <s v="TO_ITHAI10-eno2"/>
    <x v="6"/>
    <b v="0"/>
    <s v="No está en VPC"/>
    <n v="422"/>
    <s v="INTPG_ACC_422_1.82"/>
    <s v="ISEL-1.82"/>
    <n v="1"/>
    <s v="NO TIENE L3OUT"/>
    <n v="182"/>
    <n v="96"/>
  </r>
  <r>
    <n v="436"/>
    <x v="1"/>
    <x v="268"/>
    <s v="eth1/82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82"/>
    <x v="0"/>
    <x v="0"/>
    <x v="0"/>
    <s v="ITHRTCD2SSW2"/>
    <x v="6"/>
    <b v="0"/>
    <s v="No está en VPC"/>
    <n v="410"/>
    <s v="INTPG_ACC_410_1.82"/>
    <s v="ISEL-1.82"/>
    <n v="1"/>
    <s v="NO TIENE L3OUT"/>
    <n v="178"/>
    <n v="96"/>
  </r>
  <r>
    <n v="161"/>
    <x v="0"/>
    <x v="270"/>
    <s v="eth1/82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82"/>
    <x v="0"/>
    <x v="0"/>
    <x v="0"/>
    <s v="OCC ITHCC1  TRAFICO SCTP CIP"/>
    <x v="6"/>
    <b v="0"/>
    <s v="No está en VPC"/>
    <n v="411"/>
    <s v="INTPG_ACC_411_1.82"/>
    <s v="ISEL-1.82"/>
    <n v="1"/>
    <s v="NO TIENE L3OUT"/>
    <n v="96"/>
    <n v="96"/>
  </r>
  <r>
    <n v="116"/>
    <x v="0"/>
    <x v="272"/>
    <s v="eth1/82"/>
    <x v="0"/>
    <x v="0"/>
    <x v="0"/>
    <s v="LA-47R VIRTUALIZACION BLADES"/>
    <x v="6"/>
    <b v="0"/>
    <s v="No está en VPC"/>
    <n v="116"/>
    <s v="INTPG_ACC_116_1.82"/>
    <s v="ISEL-1.82"/>
    <n v="1"/>
    <s v="NO TIENE L3OUT"/>
    <n v="148"/>
    <n v="96"/>
  </r>
  <r>
    <n v="412"/>
    <x v="1"/>
    <x v="273"/>
    <s v="eth1/82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82"/>
    <x v="0"/>
    <x v="0"/>
    <x v="0"/>
    <s v="N/A"/>
    <x v="6"/>
    <b v="0"/>
    <s v="No está en VPC"/>
    <n v="120"/>
    <s v="INTPG_ACC_120_1.82"/>
    <s v="ISEL-1.82"/>
    <n v="1"/>
    <s v="NO TIENE L3OUT"/>
    <n v="158"/>
    <n v="96"/>
  </r>
  <r>
    <n v="404"/>
    <x v="1"/>
    <x v="275"/>
    <s v="eth1/82"/>
    <x v="0"/>
    <x v="0"/>
    <x v="0"/>
    <s v="ITHRTCD1SSWA"/>
    <x v="6"/>
    <b v="0"/>
    <s v="No está en VPC"/>
    <n v="404"/>
    <s v="INTPG_ACC_404_1.82"/>
    <s v="ISEL-1.82"/>
    <n v="1"/>
    <s v="NO TIENE L3OUT"/>
    <n v="92"/>
    <n v="96"/>
  </r>
  <r>
    <n v="167"/>
    <x v="0"/>
    <x v="276"/>
    <s v="eth1/82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82"/>
    <x v="0"/>
    <x v="0"/>
    <x v="0"/>
    <s v="SecAnLG_Gb1_06-Colector_R9_RD-IXTSALG_H9RD"/>
    <x v="6"/>
    <b v="0"/>
    <s v="No está en VPC"/>
    <n v="428"/>
    <s v="INTPG_ACC_428_1.82"/>
    <s v="ISEL-1.82"/>
    <n v="1"/>
    <s v="NO TIENE L3OUT"/>
    <n v="102"/>
    <n v="96"/>
  </r>
  <r>
    <n v="105"/>
    <x v="0"/>
    <x v="205"/>
    <s v="eth1/83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83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83"/>
    <x v="0"/>
    <x v="1"/>
    <x v="1"/>
    <s v="CORREO AMERICA MOVIL"/>
    <x v="6"/>
    <b v="0"/>
    <s v="No está en VPC"/>
    <n v="104"/>
    <s v="INTPG_ACC_104_1.83"/>
    <s v="ISEL-1.83"/>
    <n v="1"/>
    <s v="NO TIENE L3OUT"/>
    <n v="194"/>
    <n v="96"/>
  </r>
  <r>
    <n v="158"/>
    <x v="0"/>
    <x v="208"/>
    <s v="eth1/83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83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83"/>
    <x v="0"/>
    <x v="1"/>
    <x v="1"/>
    <s v="SAPCCRATING18"/>
    <x v="6"/>
    <b v="0"/>
    <s v="No está en VPC"/>
    <n v="112"/>
    <s v="INTPG_VPC_112_1.83_114_1.81"/>
    <s v="ISEL-1.83"/>
    <n v="1"/>
    <s v="NO TIENE L3OUT"/>
    <n v="144"/>
    <n v="96"/>
  </r>
  <r>
    <n v="107"/>
    <x v="0"/>
    <x v="213"/>
    <s v="eth1/83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83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83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83"/>
    <x v="0"/>
    <x v="1"/>
    <x v="1"/>
    <s v="SAPCCRATING20"/>
    <x v="6"/>
    <b v="0"/>
    <s v="No está en VPC"/>
    <n v="114"/>
    <s v="INTPG_VPC_112_1.85_114_1.83"/>
    <s v="ISEL-1.83"/>
    <n v="1"/>
    <s v="NO TIENE L3OUT"/>
    <n v="144"/>
    <n v="96"/>
  </r>
  <r>
    <n v="124"/>
    <x v="0"/>
    <x v="217"/>
    <s v="eth1/83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83"/>
    <x v="0"/>
    <x v="1"/>
    <x v="1"/>
    <m/>
    <x v="6"/>
    <b v="0"/>
    <s v="No está en VPC"/>
    <n v="118"/>
    <s v="NO EXISTE PG"/>
    <s v="NO EXISTE ISEL"/>
    <n v="0"/>
    <s v="NO TIENE L3OUT"/>
    <n v="180"/>
    <n v="96"/>
  </r>
  <r>
    <n v="159"/>
    <x v="0"/>
    <x v="219"/>
    <s v="eth1/83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83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83"/>
    <x v="0"/>
    <x v="0"/>
    <x v="0"/>
    <s v="CELCITE"/>
    <x v="6"/>
    <b v="0"/>
    <s v="No está en VPC"/>
    <n v="163"/>
    <s v="INTPG_ACC_163_1.83"/>
    <s v="ISEL-1.83"/>
    <n v="1"/>
    <s v="NO TIENE L3OUT"/>
    <n v="140"/>
    <n v="96"/>
  </r>
  <r>
    <n v="407"/>
    <x v="1"/>
    <x v="224"/>
    <s v="eth1/83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83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83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83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83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83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83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83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83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83"/>
    <x v="0"/>
    <x v="1"/>
    <x v="1"/>
    <s v="CORREO AMERICA MOVIL:OPENSTACK 1 :VC1-X7"/>
    <x v="6"/>
    <b v="0"/>
    <s v="No está en VPC"/>
    <n v="102"/>
    <s v="INTPG_PC_102_1.77-84"/>
    <s v="ISEL-1.83"/>
    <n v="15"/>
    <s v="NO TIENE L3OUT"/>
    <n v="228"/>
    <n v="96"/>
  </r>
  <r>
    <n v="122"/>
    <x v="0"/>
    <x v="237"/>
    <s v="eth1/83"/>
    <x v="1"/>
    <x v="1"/>
    <x v="2"/>
    <s v="INTRANET CORPORATIVA"/>
    <x v="6"/>
    <b v="0"/>
    <s v="No está en VPC"/>
    <n v="122"/>
    <s v="INTPG_ACC_122_1.83"/>
    <s v="ISEL-1.83"/>
    <n v="1"/>
    <s v="NO TIENE L3OUT"/>
    <n v="148"/>
    <n v="96"/>
  </r>
  <r>
    <n v="157"/>
    <x v="0"/>
    <x v="238"/>
    <s v="eth1/83"/>
    <x v="0"/>
    <x v="0"/>
    <x v="0"/>
    <s v="Consolidaci\u00f3n Aplicaciones Prepago"/>
    <x v="6"/>
    <b v="0"/>
    <s v="No está en VPC"/>
    <n v="157"/>
    <s v="INTPG_ACC_157_1.83"/>
    <s v="ISEL-1.83"/>
    <n v="1"/>
    <s v="NO TIENE L3OUT"/>
    <n v="202"/>
    <n v="96"/>
  </r>
  <r>
    <n v="408"/>
    <x v="1"/>
    <x v="239"/>
    <s v="eth1/83"/>
    <x v="0"/>
    <x v="0"/>
    <x v="0"/>
    <s v="9UCS-IXTLA-WEBEX-SERV1"/>
    <x v="6"/>
    <b v="0"/>
    <s v="No está en VPC"/>
    <n v="408"/>
    <s v="INTPG_ACC_408_1.83"/>
    <s v="ISEL-1.83"/>
    <n v="1"/>
    <s v="NO TIENE L3OUT"/>
    <n v="152"/>
    <n v="96"/>
  </r>
  <r>
    <n v="405"/>
    <x v="1"/>
    <x v="240"/>
    <s v="eth1/83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83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83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83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83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83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83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83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83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83"/>
    <x v="1"/>
    <x v="1"/>
    <x v="2"/>
    <m/>
    <x v="6"/>
    <b v="0"/>
    <s v="No está en VPC"/>
    <n v="406"/>
    <s v="NO EXISTE PG"/>
    <s v="NO EXISTE ISEL"/>
    <n v="0"/>
    <s v="NO TIENE L3OUT"/>
    <n v="82"/>
    <n v="96"/>
  </r>
  <r>
    <n v="414"/>
    <x v="1"/>
    <x v="250"/>
    <s v="eth1/83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83"/>
    <x v="0"/>
    <x v="0"/>
    <x v="0"/>
    <s v="IXTSD969A"/>
    <x v="6"/>
    <b v="0"/>
    <s v="No está en VPC"/>
    <n v="416"/>
    <s v="INTPG_ACC_416_1.83"/>
    <s v="ISEL-1.83"/>
    <n v="1"/>
    <s v="NO TIENE L3OUT"/>
    <n v="110"/>
    <n v="96"/>
  </r>
  <r>
    <n v="418"/>
    <x v="1"/>
    <x v="252"/>
    <s v="eth1/83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83"/>
    <x v="0"/>
    <x v="0"/>
    <x v="0"/>
    <s v="ECAC_PROD1_ILO"/>
    <x v="6"/>
    <b v="0"/>
    <s v="No está en VPC"/>
    <n v="413"/>
    <s v="INTPG_ACC_413_1.83"/>
    <s v="ISEL-1.83"/>
    <n v="1"/>
    <s v="NO TIENE L3OUT"/>
    <n v="126"/>
    <n v="96"/>
  </r>
  <r>
    <n v="403"/>
    <x v="1"/>
    <x v="254"/>
    <s v="eth1/83"/>
    <x v="0"/>
    <x v="0"/>
    <x v="0"/>
    <s v="SOEM_prim_eth2"/>
    <x v="6"/>
    <b v="0"/>
    <s v="No está en VPC"/>
    <n v="403"/>
    <s v="INTPG_ACC_403_1.83"/>
    <s v="ISEL-1.83"/>
    <n v="1"/>
    <s v="NO TIENE L3OUT"/>
    <n v="150"/>
    <n v="96"/>
  </r>
  <r>
    <n v="125"/>
    <x v="0"/>
    <x v="255"/>
    <s v="eth1/83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83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83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83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83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83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83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83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83"/>
    <x v="0"/>
    <x v="0"/>
    <x v="0"/>
    <s v="VSP_02_G1K"/>
    <x v="6"/>
    <b v="0"/>
    <s v="No está en VPC"/>
    <n v="430"/>
    <s v="INTPG_ACC_430_1.83"/>
    <s v="ISEL-1.83"/>
    <n v="1"/>
    <s v="NO TIENE L3OUT"/>
    <n v="86"/>
    <n v="96"/>
  </r>
  <r>
    <n v="419"/>
    <x v="1"/>
    <x v="264"/>
    <s v="eth1/83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83"/>
    <x v="0"/>
    <x v="0"/>
    <x v="0"/>
    <s v="SNA TEST BED"/>
    <x v="6"/>
    <b v="0"/>
    <s v="No está en VPC"/>
    <n v="155"/>
    <s v="INTPG_ACC_155_1.83"/>
    <s v="ISEL-1.83"/>
    <n v="0"/>
    <s v="L3OUT-SNA-TRIM-SITE-BGP"/>
    <n v="198"/>
    <n v="96"/>
  </r>
  <r>
    <n v="409"/>
    <x v="1"/>
    <x v="266"/>
    <s v="eth1/83"/>
    <x v="1"/>
    <x v="1"/>
    <x v="0"/>
    <m/>
    <x v="6"/>
    <b v="0"/>
    <s v="No está en VPC"/>
    <n v="409"/>
    <s v="NO EXISTE PG"/>
    <s v="NO EXISTE ISEL"/>
    <n v="1"/>
    <s v="NO TIENE L3OUT"/>
    <n v="128"/>
    <n v="96"/>
  </r>
  <r>
    <n v="422"/>
    <x v="1"/>
    <x v="267"/>
    <s v="eth1/83"/>
    <x v="0"/>
    <x v="0"/>
    <x v="0"/>
    <s v="TO_ITHAI10-eno6"/>
    <x v="6"/>
    <b v="0"/>
    <s v="No está en VPC"/>
    <n v="422"/>
    <s v="INTPG_ACC_422_1.83"/>
    <s v="ISEL-1.83"/>
    <n v="1"/>
    <s v="NO TIENE L3OUT"/>
    <n v="182"/>
    <n v="96"/>
  </r>
  <r>
    <n v="436"/>
    <x v="1"/>
    <x v="268"/>
    <s v="eth1/83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83"/>
    <x v="0"/>
    <x v="0"/>
    <x v="0"/>
    <s v="ETH4_uxppldb1"/>
    <x v="6"/>
    <b v="0"/>
    <s v="No está en VPC"/>
    <n v="410"/>
    <s v="INTPG_ACC_410_1.83"/>
    <s v="ISEL-1.83"/>
    <n v="1"/>
    <s v="NO TIENE L3OUT"/>
    <n v="178"/>
    <n v="96"/>
  </r>
  <r>
    <n v="161"/>
    <x v="0"/>
    <x v="270"/>
    <s v="eth1/83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83"/>
    <x v="0"/>
    <x v="0"/>
    <x v="0"/>
    <s v="OCC ITHCC1 ALARMAS"/>
    <x v="6"/>
    <b v="0"/>
    <s v="No está en VPC"/>
    <n v="411"/>
    <s v="INTPG_ACC_411_1.83"/>
    <s v="ISEL-1.83"/>
    <n v="1"/>
    <s v="NO TIENE L3OUT"/>
    <n v="96"/>
    <n v="96"/>
  </r>
  <r>
    <n v="116"/>
    <x v="0"/>
    <x v="272"/>
    <s v="eth1/83"/>
    <x v="0"/>
    <x v="1"/>
    <x v="1"/>
    <s v="LifeRay_Portal"/>
    <x v="6"/>
    <b v="0"/>
    <s v="No está en VPC"/>
    <n v="116"/>
    <s v="INTPG_ACC_116_1.83"/>
    <s v="ISEL-1.83"/>
    <n v="1"/>
    <s v="NO TIENE L3OUT"/>
    <n v="148"/>
    <n v="96"/>
  </r>
  <r>
    <n v="412"/>
    <x v="1"/>
    <x v="273"/>
    <s v="eth1/83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83"/>
    <x v="0"/>
    <x v="0"/>
    <x v="0"/>
    <s v="IXTZFSBK1"/>
    <x v="6"/>
    <b v="0"/>
    <s v="No está en VPC"/>
    <n v="120"/>
    <s v="INTPG_ACC_120_1.83"/>
    <s v="ISEL-1.83"/>
    <n v="1"/>
    <s v="NO TIENE L3OUT"/>
    <n v="158"/>
    <n v="96"/>
  </r>
  <r>
    <n v="404"/>
    <x v="1"/>
    <x v="275"/>
    <s v="eth1/83"/>
    <x v="0"/>
    <x v="0"/>
    <x v="0"/>
    <s v="ITHRTC31VC1-4"/>
    <x v="6"/>
    <b v="0"/>
    <s v="No está en VPC"/>
    <n v="404"/>
    <s v="INTPG_ACC_404_1.83"/>
    <s v="ISEL-1.83"/>
    <n v="1"/>
    <s v="NO TIENE L3OUT"/>
    <n v="92"/>
    <n v="96"/>
  </r>
  <r>
    <n v="167"/>
    <x v="0"/>
    <x v="276"/>
    <s v="eth1/83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83"/>
    <x v="0"/>
    <x v="0"/>
    <x v="0"/>
    <s v="SecAnLG_Gb1_07-Archiver-IXTSALG_ARC1"/>
    <x v="6"/>
    <b v="0"/>
    <s v="No está en VPC"/>
    <n v="428"/>
    <s v="INTPG_ACC_428_1.83"/>
    <s v="ISEL-1.83"/>
    <n v="1"/>
    <s v="NO TIENE L3OUT"/>
    <n v="102"/>
    <n v="96"/>
  </r>
  <r>
    <n v="105"/>
    <x v="0"/>
    <x v="205"/>
    <s v="eth1/84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84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84"/>
    <x v="0"/>
    <x v="1"/>
    <x v="1"/>
    <s v="DESC"/>
    <x v="6"/>
    <b v="0"/>
    <s v="No está en VPC"/>
    <n v="104"/>
    <s v="INTPG_PC_104_1.84-91"/>
    <s v="ISEL-1.84"/>
    <n v="32"/>
    <s v="NO TIENE L3OUT"/>
    <n v="194"/>
    <n v="96"/>
  </r>
  <r>
    <n v="158"/>
    <x v="0"/>
    <x v="208"/>
    <s v="eth1/84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84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84"/>
    <x v="0"/>
    <x v="1"/>
    <x v="1"/>
    <s v="SAPCCRATING19"/>
    <x v="6"/>
    <b v="0"/>
    <s v="No está en VPC"/>
    <n v="112"/>
    <s v="INTPG_VPC_112_1.84_114_1.82"/>
    <s v="ISEL-1.84"/>
    <n v="1"/>
    <s v="NO TIENE L3OUT"/>
    <n v="144"/>
    <n v="96"/>
  </r>
  <r>
    <n v="107"/>
    <x v="0"/>
    <x v="213"/>
    <s v="eth1/84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84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84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84"/>
    <x v="0"/>
    <x v="1"/>
    <x v="1"/>
    <s v="SAPCCRATING21"/>
    <x v="6"/>
    <b v="0"/>
    <s v="No está en VPC"/>
    <n v="114"/>
    <s v="INTPG_VPC_112_1.86_114_1.84"/>
    <s v="ISEL-1.84"/>
    <n v="1"/>
    <s v="NO TIENE L3OUT"/>
    <n v="144"/>
    <n v="96"/>
  </r>
  <r>
    <n v="124"/>
    <x v="0"/>
    <x v="217"/>
    <s v="eth1/84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84"/>
    <x v="0"/>
    <x v="1"/>
    <x v="1"/>
    <m/>
    <x v="6"/>
    <b v="0"/>
    <s v="No está en VPC"/>
    <n v="118"/>
    <s v="NO EXISTE PG"/>
    <s v="NO EXISTE ISEL"/>
    <n v="0"/>
    <s v="NO TIENE L3OUT"/>
    <n v="180"/>
    <n v="96"/>
  </r>
  <r>
    <n v="159"/>
    <x v="0"/>
    <x v="219"/>
    <s v="eth1/84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84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84"/>
    <x v="0"/>
    <x v="0"/>
    <x v="0"/>
    <s v="CELCITE"/>
    <x v="6"/>
    <b v="0"/>
    <s v="No está en VPC"/>
    <n v="163"/>
    <s v="INTPG_ACC_163_1.84"/>
    <s v="ISEL-1.84"/>
    <n v="1"/>
    <s v="NO TIENE L3OUT"/>
    <n v="140"/>
    <n v="96"/>
  </r>
  <r>
    <n v="407"/>
    <x v="1"/>
    <x v="224"/>
    <s v="eth1/84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84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84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84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84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84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84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84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84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84"/>
    <x v="0"/>
    <x v="1"/>
    <x v="1"/>
    <s v="CORREO AMERICA MOVIL:OPENSTACK 1 :VC1-X8"/>
    <x v="6"/>
    <b v="0"/>
    <s v="No está en VPC"/>
    <n v="102"/>
    <s v="INTPG_PC_102_1.77-84"/>
    <s v="ISEL-1.84"/>
    <n v="15"/>
    <s v="NO TIENE L3OUT"/>
    <n v="228"/>
    <n v="96"/>
  </r>
  <r>
    <n v="122"/>
    <x v="0"/>
    <x v="237"/>
    <s v="eth1/84"/>
    <x v="1"/>
    <x v="1"/>
    <x v="2"/>
    <s v="INTRANET CORPORATIVA"/>
    <x v="6"/>
    <b v="0"/>
    <s v="No está en VPC"/>
    <n v="122"/>
    <s v="INTPG_ACC_122_1.84"/>
    <s v="ISEL-1.84"/>
    <n v="1"/>
    <s v="NO TIENE L3OUT"/>
    <n v="148"/>
    <n v="96"/>
  </r>
  <r>
    <n v="157"/>
    <x v="0"/>
    <x v="238"/>
    <s v="eth1/84"/>
    <x v="0"/>
    <x v="0"/>
    <x v="0"/>
    <s v="Consolidaci\u00f3n Aplicaciones Prepago"/>
    <x v="6"/>
    <b v="0"/>
    <s v="No está en VPC"/>
    <n v="157"/>
    <s v="INTPG_ACC_157_1.84"/>
    <s v="ISEL-1.84"/>
    <n v="1"/>
    <s v="NO TIENE L3OUT"/>
    <n v="202"/>
    <n v="96"/>
  </r>
  <r>
    <n v="408"/>
    <x v="1"/>
    <x v="239"/>
    <s v="eth1/84"/>
    <x v="0"/>
    <x v="0"/>
    <x v="0"/>
    <s v="9UCS-IXTLA-WEBEX-SERV2"/>
    <x v="6"/>
    <b v="0"/>
    <s v="No está en VPC"/>
    <n v="408"/>
    <s v="INTPG_ACC_408_1.84"/>
    <s v="ISEL-1.84"/>
    <n v="1"/>
    <s v="NO TIENE L3OUT"/>
    <n v="152"/>
    <n v="96"/>
  </r>
  <r>
    <n v="405"/>
    <x v="1"/>
    <x v="240"/>
    <s v="eth1/84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84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84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84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84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84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84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84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84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84"/>
    <x v="0"/>
    <x v="0"/>
    <x v="0"/>
    <s v="HMCDes01_ADMIN"/>
    <x v="6"/>
    <b v="0"/>
    <s v="No está en VPC"/>
    <n v="406"/>
    <s v="INTPG_ACC_406_1.84"/>
    <s v="ISEL-1.84"/>
    <n v="1"/>
    <s v="NO TIENE L3OUT"/>
    <n v="82"/>
    <n v="96"/>
  </r>
  <r>
    <n v="414"/>
    <x v="1"/>
    <x v="250"/>
    <s v="eth1/84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84"/>
    <x v="0"/>
    <x v="0"/>
    <x v="0"/>
    <s v="IXTSD969B"/>
    <x v="6"/>
    <b v="0"/>
    <s v="No está en VPC"/>
    <n v="416"/>
    <s v="INTPG_ACC_416_1.84"/>
    <s v="ISEL-1.84"/>
    <n v="1"/>
    <s v="NO TIENE L3OUT"/>
    <n v="110"/>
    <n v="96"/>
  </r>
  <r>
    <n v="418"/>
    <x v="1"/>
    <x v="252"/>
    <s v="eth1/84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84"/>
    <x v="1"/>
    <x v="1"/>
    <x v="2"/>
    <m/>
    <x v="6"/>
    <b v="0"/>
    <s v="No está en VPC"/>
    <n v="413"/>
    <s v="NO EXISTE PG"/>
    <s v="NO EXISTE ISEL"/>
    <n v="0"/>
    <s v="NO TIENE L3OUT"/>
    <n v="126"/>
    <n v="96"/>
  </r>
  <r>
    <n v="403"/>
    <x v="1"/>
    <x v="254"/>
    <s v="eth1/84"/>
    <x v="0"/>
    <x v="0"/>
    <x v="0"/>
    <s v="SOEM_prim_eth5"/>
    <x v="6"/>
    <b v="0"/>
    <s v="No está en VPC"/>
    <n v="403"/>
    <s v="INTPG_ACC_403_1.84"/>
    <s v="ISEL-1.84"/>
    <n v="1"/>
    <s v="NO TIENE L3OUT"/>
    <n v="150"/>
    <n v="96"/>
  </r>
  <r>
    <n v="125"/>
    <x v="0"/>
    <x v="255"/>
    <s v="eth1/84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84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84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84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84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84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84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84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84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84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84"/>
    <x v="0"/>
    <x v="0"/>
    <x v="0"/>
    <s v="COBROS NAVEGACION"/>
    <x v="6"/>
    <b v="0"/>
    <s v="No está en VPC"/>
    <n v="155"/>
    <s v="INTPG_ACC_155_1.84"/>
    <s v="ISEL-1.84"/>
    <n v="1"/>
    <s v="NO TIENE L3OUT"/>
    <n v="198"/>
    <n v="96"/>
  </r>
  <r>
    <n v="409"/>
    <x v="1"/>
    <x v="266"/>
    <s v="eth1/84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84"/>
    <x v="0"/>
    <x v="0"/>
    <x v="0"/>
    <s v="TO-ITHFDEOCP1LWR04-REDUNDANTE"/>
    <x v="6"/>
    <b v="0"/>
    <s v="No está en VPC"/>
    <n v="422"/>
    <s v="INTPG_ACC_422_1.84"/>
    <s v="ISEL-1.84"/>
    <n v="1"/>
    <s v="NO TIENE L3OUT"/>
    <n v="182"/>
    <n v="96"/>
  </r>
  <r>
    <n v="436"/>
    <x v="1"/>
    <x v="268"/>
    <s v="eth1/84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84"/>
    <x v="0"/>
    <x v="0"/>
    <x v="0"/>
    <s v="ETH4_uxppldb2"/>
    <x v="6"/>
    <b v="0"/>
    <s v="No está en VPC"/>
    <n v="410"/>
    <s v="INTPG_ACC_410_1.84"/>
    <s v="ISEL-1.84"/>
    <n v="1"/>
    <s v="NO TIENE L3OUT"/>
    <n v="178"/>
    <n v="96"/>
  </r>
  <r>
    <n v="161"/>
    <x v="0"/>
    <x v="270"/>
    <s v="eth1/84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84"/>
    <x v="0"/>
    <x v="0"/>
    <x v="0"/>
    <s v="OCC ITHCC1  ILO MANAGMENT"/>
    <x v="6"/>
    <b v="0"/>
    <s v="No está en VPC"/>
    <n v="411"/>
    <s v="INTPG_ACC_411_1.84"/>
    <s v="ISEL-1.84"/>
    <n v="1"/>
    <s v="NO TIENE L3OUT"/>
    <n v="96"/>
    <n v="96"/>
  </r>
  <r>
    <n v="116"/>
    <x v="0"/>
    <x v="272"/>
    <s v="eth1/84"/>
    <x v="0"/>
    <x v="1"/>
    <x v="1"/>
    <s v="LifeRay_Portal"/>
    <x v="6"/>
    <b v="0"/>
    <s v="No está en VPC"/>
    <n v="116"/>
    <s v="INTPG_ACC_116_1.84"/>
    <s v="ISEL-1.84"/>
    <n v="1"/>
    <s v="NO TIENE L3OUT"/>
    <n v="148"/>
    <n v="96"/>
  </r>
  <r>
    <n v="412"/>
    <x v="1"/>
    <x v="273"/>
    <s v="eth1/84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84"/>
    <x v="1"/>
    <x v="1"/>
    <x v="2"/>
    <s v="IXTZFSBK1"/>
    <x v="6"/>
    <b v="0"/>
    <s v="No está en VPC"/>
    <n v="120"/>
    <s v="INTPG_ACC_120_1.84"/>
    <s v="ISEL-1.84"/>
    <n v="0"/>
    <s v="NO TIENE L3OUT"/>
    <n v="158"/>
    <n v="96"/>
  </r>
  <r>
    <n v="404"/>
    <x v="1"/>
    <x v="275"/>
    <s v="eth1/84"/>
    <x v="0"/>
    <x v="0"/>
    <x v="0"/>
    <s v="ITHRTC32VC1-4"/>
    <x v="6"/>
    <b v="0"/>
    <s v="No está en VPC"/>
    <n v="404"/>
    <s v="INTPG_ACC_404_1.84"/>
    <s v="ISEL-1.84"/>
    <n v="1"/>
    <s v="NO TIENE L3OUT"/>
    <n v="92"/>
    <n v="96"/>
  </r>
  <r>
    <n v="167"/>
    <x v="0"/>
    <x v="276"/>
    <s v="eth1/84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84"/>
    <x v="1"/>
    <x v="1"/>
    <x v="2"/>
    <s v="SNS2224-2_MGMT_RHEV_HUAWEI"/>
    <x v="6"/>
    <b v="0"/>
    <s v="No está en VPC"/>
    <n v="428"/>
    <s v="INTPG_ACC_428_1.84"/>
    <s v="ISEL-1.84"/>
    <n v="0"/>
    <s v="NO TIENE L3OUT"/>
    <n v="102"/>
    <n v="96"/>
  </r>
  <r>
    <n v="105"/>
    <x v="0"/>
    <x v="205"/>
    <s v="eth1/85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85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85"/>
    <x v="0"/>
    <x v="1"/>
    <x v="1"/>
    <s v="DESC"/>
    <x v="6"/>
    <b v="0"/>
    <s v="No está en VPC"/>
    <n v="104"/>
    <s v="INTPG_PC_104_1.84-91"/>
    <s v="ISEL-1.85"/>
    <n v="32"/>
    <s v="NO TIENE L3OUT"/>
    <n v="194"/>
    <n v="96"/>
  </r>
  <r>
    <n v="158"/>
    <x v="0"/>
    <x v="208"/>
    <s v="eth1/85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85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85"/>
    <x v="0"/>
    <x v="1"/>
    <x v="1"/>
    <s v="SAPCCRATING20"/>
    <x v="6"/>
    <b v="0"/>
    <s v="No está en VPC"/>
    <n v="112"/>
    <s v="INTPG_VPC_112_1.85_114_1.83"/>
    <s v="ISEL-1.85"/>
    <n v="1"/>
    <s v="NO TIENE L3OUT"/>
    <n v="144"/>
    <n v="96"/>
  </r>
  <r>
    <n v="107"/>
    <x v="0"/>
    <x v="213"/>
    <s v="eth1/85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85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85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85"/>
    <x v="0"/>
    <x v="1"/>
    <x v="1"/>
    <s v="SAPCCRATING22"/>
    <x v="6"/>
    <b v="0"/>
    <s v="No está en VPC"/>
    <n v="114"/>
    <s v="INTPG_VPC_112_1.87_114_1.85"/>
    <s v="ISEL-1.85"/>
    <n v="1"/>
    <s v="NO TIENE L3OUT"/>
    <n v="144"/>
    <n v="96"/>
  </r>
  <r>
    <n v="124"/>
    <x v="0"/>
    <x v="217"/>
    <s v="eth1/85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85"/>
    <x v="0"/>
    <x v="0"/>
    <x v="0"/>
    <s v="LA-47R VIRTUALIZACION BLADES"/>
    <x v="6"/>
    <b v="0"/>
    <s v="No está en VPC"/>
    <n v="118"/>
    <s v="INTPG_ACC_118_1.85"/>
    <s v="ISEL-1.85"/>
    <n v="1"/>
    <s v="NO TIENE L3OUT"/>
    <n v="180"/>
    <n v="96"/>
  </r>
  <r>
    <n v="159"/>
    <x v="0"/>
    <x v="219"/>
    <s v="eth1/85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85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85"/>
    <x v="0"/>
    <x v="0"/>
    <x v="0"/>
    <s v="IMEISRE_i4"/>
    <x v="6"/>
    <b v="0"/>
    <s v="No está en VPC"/>
    <n v="163"/>
    <s v="INTPG_VPC_161_1.74-75_163_1.85-86"/>
    <s v="ISEL-1.85"/>
    <n v="1"/>
    <s v="NO TIENE L3OUT"/>
    <n v="140"/>
    <n v="96"/>
  </r>
  <r>
    <n v="407"/>
    <x v="1"/>
    <x v="224"/>
    <s v="eth1/85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85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85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85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85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85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85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85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85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85"/>
    <x v="0"/>
    <x v="1"/>
    <x v="1"/>
    <s v="CORREO AMERICA MOVIL:OPENSTACK 2:OA2"/>
    <x v="6"/>
    <b v="0"/>
    <s v="No está en VPC"/>
    <n v="102"/>
    <s v="INTPG_ACC_102_1.85"/>
    <s v="ISEL-1.85"/>
    <n v="1"/>
    <s v="NO TIENE L3OUT"/>
    <n v="228"/>
    <n v="96"/>
  </r>
  <r>
    <n v="122"/>
    <x v="0"/>
    <x v="237"/>
    <s v="eth1/85"/>
    <x v="1"/>
    <x v="1"/>
    <x v="2"/>
    <m/>
    <x v="6"/>
    <b v="0"/>
    <s v="No está en VPC"/>
    <n v="122"/>
    <s v="INTPG_VPC_120_1.78_122_1.85"/>
    <s v="ISEL-1.85"/>
    <n v="1"/>
    <s v="NO TIENE L3OUT"/>
    <n v="148"/>
    <n v="96"/>
  </r>
  <r>
    <n v="157"/>
    <x v="0"/>
    <x v="238"/>
    <s v="eth1/85"/>
    <x v="0"/>
    <x v="0"/>
    <x v="0"/>
    <s v="Consolidaci\u00f3n Aplicaciones Prepago"/>
    <x v="6"/>
    <b v="0"/>
    <s v="No está en VPC"/>
    <n v="157"/>
    <s v="INTPG_ACC_157_1.85"/>
    <s v="ISEL-1.85"/>
    <n v="1"/>
    <s v="NO TIENE L3OUT"/>
    <n v="202"/>
    <n v="96"/>
  </r>
  <r>
    <n v="408"/>
    <x v="1"/>
    <x v="239"/>
    <s v="eth1/85"/>
    <x v="1"/>
    <x v="1"/>
    <x v="2"/>
    <m/>
    <x v="6"/>
    <b v="0"/>
    <s v="No está en VPC"/>
    <n v="408"/>
    <s v="NO EXISTE PG"/>
    <s v="NO EXISTE ISEL"/>
    <n v="0"/>
    <s v="NO TIENE L3OUT"/>
    <n v="152"/>
    <n v="96"/>
  </r>
  <r>
    <n v="405"/>
    <x v="1"/>
    <x v="240"/>
    <s v="eth1/85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85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85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85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85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85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85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85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85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85"/>
    <x v="0"/>
    <x v="0"/>
    <x v="0"/>
    <s v="uxhdr01b_ILOM"/>
    <x v="6"/>
    <b v="0"/>
    <s v="No está en VPC"/>
    <n v="406"/>
    <s v="INTPG_ACC_406_1.85"/>
    <s v="ISEL-1.85"/>
    <n v="1"/>
    <s v="NO TIENE L3OUT"/>
    <n v="82"/>
    <n v="96"/>
  </r>
  <r>
    <n v="414"/>
    <x v="1"/>
    <x v="250"/>
    <s v="eth1/85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85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85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85"/>
    <x v="0"/>
    <x v="0"/>
    <x v="0"/>
    <s v="IMANA_2"/>
    <x v="6"/>
    <b v="0"/>
    <s v="No está en VPC"/>
    <n v="413"/>
    <s v="INTPG_ACC_413_1.85"/>
    <s v="ISEL-1.85"/>
    <n v="1"/>
    <s v="NO TIENE L3OUT"/>
    <n v="126"/>
    <n v="96"/>
  </r>
  <r>
    <n v="403"/>
    <x v="1"/>
    <x v="254"/>
    <s v="eth1/85"/>
    <x v="0"/>
    <x v="0"/>
    <x v="0"/>
    <s v="SOEM_sec_eth1"/>
    <x v="6"/>
    <b v="0"/>
    <s v="No está en VPC"/>
    <n v="403"/>
    <s v="INTPG_ACC_403_1.85"/>
    <s v="ISEL-1.85"/>
    <n v="1"/>
    <s v="NO TIENE L3OUT"/>
    <n v="150"/>
    <n v="96"/>
  </r>
  <r>
    <n v="125"/>
    <x v="0"/>
    <x v="255"/>
    <s v="eth1/85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85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85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85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85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85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85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85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85"/>
    <x v="0"/>
    <x v="0"/>
    <x v="0"/>
    <s v="MSL6480_PAPERLESS_2"/>
    <x v="6"/>
    <b v="0"/>
    <s v="No está en VPC"/>
    <n v="430"/>
    <s v="INTPG_ACC_430_1.85"/>
    <s v="ISEL-1.85"/>
    <n v="1"/>
    <s v="NO TIENE L3OUT"/>
    <n v="86"/>
    <n v="96"/>
  </r>
  <r>
    <n v="419"/>
    <x v="1"/>
    <x v="264"/>
    <s v="eth1/85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85"/>
    <x v="0"/>
    <x v="0"/>
    <x v="0"/>
    <s v="COBROS NAVEGACION"/>
    <x v="6"/>
    <b v="0"/>
    <s v="No está en VPC"/>
    <n v="155"/>
    <s v="INTPG_ACC_155_1.85"/>
    <s v="ISEL-1.85"/>
    <n v="1"/>
    <s v="NO TIENE L3OUT"/>
    <n v="198"/>
    <n v="96"/>
  </r>
  <r>
    <n v="409"/>
    <x v="1"/>
    <x v="266"/>
    <s v="eth1/85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85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85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85"/>
    <x v="1"/>
    <x v="1"/>
    <x v="2"/>
    <m/>
    <x v="6"/>
    <b v="0"/>
    <s v="No está en VPC"/>
    <n v="410"/>
    <s v="NO EXISTE PG"/>
    <s v="NO EXISTE ISEL"/>
    <n v="0"/>
    <s v="NO TIENE L3OUT"/>
    <n v="178"/>
    <n v="96"/>
  </r>
  <r>
    <n v="161"/>
    <x v="0"/>
    <x v="270"/>
    <s v="eth1/85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85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85"/>
    <x v="0"/>
    <x v="1"/>
    <x v="1"/>
    <s v="LifeRay_Portal"/>
    <x v="6"/>
    <b v="0"/>
    <s v="No está en VPC"/>
    <n v="116"/>
    <s v="INTPG_ACC_116_1.85"/>
    <s v="ISEL-1.85"/>
    <n v="1"/>
    <s v="NO TIENE L3OUT"/>
    <n v="148"/>
    <n v="96"/>
  </r>
  <r>
    <n v="412"/>
    <x v="1"/>
    <x v="273"/>
    <s v="eth1/85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85"/>
    <x v="0"/>
    <x v="0"/>
    <x v="0"/>
    <s v="MASTER SERVER"/>
    <x v="6"/>
    <b v="0"/>
    <s v="No está en VPC"/>
    <n v="120"/>
    <s v="INTPG_ACC_120_1.85"/>
    <s v="ISEL-1.85"/>
    <n v="1"/>
    <s v="NO TIENE L3OUT"/>
    <n v="158"/>
    <n v="96"/>
  </r>
  <r>
    <n v="404"/>
    <x v="1"/>
    <x v="275"/>
    <s v="eth1/85"/>
    <x v="0"/>
    <x v="0"/>
    <x v="0"/>
    <s v="ITHRTC22VC1"/>
    <x v="6"/>
    <b v="0"/>
    <s v="No está en VPC"/>
    <n v="404"/>
    <s v="INTPG_ACC_404_1.85"/>
    <s v="ISEL-1.85"/>
    <n v="1"/>
    <s v="NO TIENE L3OUT"/>
    <n v="92"/>
    <n v="96"/>
  </r>
  <r>
    <n v="167"/>
    <x v="0"/>
    <x v="276"/>
    <s v="eth1/85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85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105"/>
    <x v="0"/>
    <x v="205"/>
    <s v="eth1/86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86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86"/>
    <x v="0"/>
    <x v="1"/>
    <x v="1"/>
    <s v="DESC"/>
    <x v="6"/>
    <b v="0"/>
    <s v="No está en VPC"/>
    <n v="104"/>
    <s v="INTPG_PC_104_1.84-91"/>
    <s v="ISEL-1.86"/>
    <n v="32"/>
    <s v="NO TIENE L3OUT"/>
    <n v="194"/>
    <n v="96"/>
  </r>
  <r>
    <n v="158"/>
    <x v="0"/>
    <x v="208"/>
    <s v="eth1/86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86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86"/>
    <x v="0"/>
    <x v="1"/>
    <x v="1"/>
    <s v="SAPCCRATING21"/>
    <x v="6"/>
    <b v="0"/>
    <s v="No está en VPC"/>
    <n v="112"/>
    <s v="INTPG_VPC_112_1.86_114_1.84"/>
    <s v="ISEL-1.86"/>
    <n v="1"/>
    <s v="NO TIENE L3OUT"/>
    <n v="144"/>
    <n v="96"/>
  </r>
  <r>
    <n v="107"/>
    <x v="0"/>
    <x v="213"/>
    <s v="eth1/86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86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86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86"/>
    <x v="0"/>
    <x v="1"/>
    <x v="1"/>
    <s v="SAPCCRATING23"/>
    <x v="6"/>
    <b v="0"/>
    <s v="No está en VPC"/>
    <n v="114"/>
    <s v="INTPG_VPC_112_1.88_114_1.86"/>
    <s v="ISEL-1.86"/>
    <n v="1"/>
    <s v="NO TIENE L3OUT"/>
    <n v="144"/>
    <n v="96"/>
  </r>
  <r>
    <n v="124"/>
    <x v="0"/>
    <x v="217"/>
    <s v="eth1/86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86"/>
    <x v="0"/>
    <x v="0"/>
    <x v="0"/>
    <s v="LA-47R VIRTUALIZACION BLADES"/>
    <x v="6"/>
    <b v="0"/>
    <s v="No está en VPC"/>
    <n v="118"/>
    <s v="INTPG_ACC_118_1.86"/>
    <s v="ISEL-1.86"/>
    <n v="1"/>
    <s v="NO TIENE L3OUT"/>
    <n v="180"/>
    <n v="96"/>
  </r>
  <r>
    <n v="159"/>
    <x v="0"/>
    <x v="219"/>
    <s v="eth1/86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86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86"/>
    <x v="0"/>
    <x v="0"/>
    <x v="0"/>
    <s v="IMEISRE_i4"/>
    <x v="6"/>
    <b v="0"/>
    <s v="No está en VPC"/>
    <n v="163"/>
    <s v="INTPG_VPC_161_1.74-75_163_1.85-86"/>
    <s v="ISEL-1.86"/>
    <n v="1"/>
    <s v="NO TIENE L3OUT"/>
    <n v="140"/>
    <n v="96"/>
  </r>
  <r>
    <n v="407"/>
    <x v="1"/>
    <x v="224"/>
    <s v="eth1/86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86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86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86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86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86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86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86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86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86"/>
    <x v="0"/>
    <x v="1"/>
    <x v="1"/>
    <s v="CORREO AMERICA MOVIL:OPENSTACK 2:VC1-X1"/>
    <x v="6"/>
    <b v="0"/>
    <s v="No está en VPC"/>
    <n v="102"/>
    <s v="INTPG_PC_102_1.86-93"/>
    <s v="ISEL-1.86"/>
    <n v="15"/>
    <s v="NO TIENE L3OUT"/>
    <n v="228"/>
    <n v="96"/>
  </r>
  <r>
    <n v="122"/>
    <x v="0"/>
    <x v="237"/>
    <s v="eth1/86"/>
    <x v="1"/>
    <x v="1"/>
    <x v="2"/>
    <s v="INTRANET CORPORATIVA"/>
    <x v="6"/>
    <b v="0"/>
    <s v="No está en VPC"/>
    <n v="122"/>
    <s v="INTPG_ACC_122_1.86"/>
    <s v="ISEL-1.86"/>
    <n v="1"/>
    <s v="NO TIENE L3OUT"/>
    <n v="148"/>
    <n v="96"/>
  </r>
  <r>
    <n v="157"/>
    <x v="0"/>
    <x v="238"/>
    <s v="eth1/86"/>
    <x v="0"/>
    <x v="0"/>
    <x v="0"/>
    <s v="Consolidaci\u00f3n Aplicaciones Prepago"/>
    <x v="6"/>
    <b v="0"/>
    <s v="No está en VPC"/>
    <n v="157"/>
    <s v="INTPG_ACC_157_1.86"/>
    <s v="ISEL-1.86"/>
    <n v="1"/>
    <s v="NO TIENE L3OUT"/>
    <n v="202"/>
    <n v="96"/>
  </r>
  <r>
    <n v="408"/>
    <x v="1"/>
    <x v="239"/>
    <s v="eth1/86"/>
    <x v="1"/>
    <x v="1"/>
    <x v="2"/>
    <m/>
    <x v="6"/>
    <b v="0"/>
    <s v="No está en VPC"/>
    <n v="408"/>
    <s v="NO EXISTE PG"/>
    <s v="NO EXISTE ISEL"/>
    <n v="0"/>
    <s v="NO TIENE L3OUT"/>
    <n v="152"/>
    <n v="96"/>
  </r>
  <r>
    <n v="405"/>
    <x v="1"/>
    <x v="240"/>
    <s v="eth1/86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86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86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86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86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86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86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86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86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86"/>
    <x v="1"/>
    <x v="1"/>
    <x v="2"/>
    <m/>
    <x v="6"/>
    <b v="0"/>
    <s v="No está en VPC"/>
    <n v="406"/>
    <s v="NO EXISTE PG"/>
    <s v="NO EXISTE ISEL"/>
    <n v="0"/>
    <s v="NO TIENE L3OUT"/>
    <n v="82"/>
    <n v="96"/>
  </r>
  <r>
    <n v="414"/>
    <x v="1"/>
    <x v="250"/>
    <s v="eth1/86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86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86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86"/>
    <x v="0"/>
    <x v="0"/>
    <x v="0"/>
    <s v="To_lagidmhlapvp08_produccion1"/>
    <x v="6"/>
    <b v="0"/>
    <s v="No está en VPC"/>
    <n v="413"/>
    <s v="INTPG_VPC_411_1.26-29_413_1.19-20_22_86"/>
    <s v="ISEL-1.86"/>
    <n v="2"/>
    <s v="NO TIENE L3OUT"/>
    <n v="126"/>
    <n v="96"/>
  </r>
  <r>
    <n v="403"/>
    <x v="1"/>
    <x v="254"/>
    <s v="eth1/86"/>
    <x v="0"/>
    <x v="0"/>
    <x v="0"/>
    <s v="SOEM_sec_eth4"/>
    <x v="6"/>
    <b v="0"/>
    <s v="No está en VPC"/>
    <n v="403"/>
    <s v="INTPG_ACC_403_1.86"/>
    <s v="ISEL-1.86"/>
    <n v="1"/>
    <s v="NO TIENE L3OUT"/>
    <n v="150"/>
    <n v="96"/>
  </r>
  <r>
    <n v="125"/>
    <x v="0"/>
    <x v="255"/>
    <s v="eth1/86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86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86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86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86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86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86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86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86"/>
    <x v="0"/>
    <x v="0"/>
    <x v="0"/>
    <s v="TO-uxidmbd-NET0"/>
    <x v="6"/>
    <b v="0"/>
    <s v="No está en VPC"/>
    <n v="430"/>
    <s v="INTPG_ACC_430_1.86"/>
    <s v="ISEL-1.86"/>
    <n v="1"/>
    <s v="NO TIENE L3OUT"/>
    <n v="86"/>
    <n v="96"/>
  </r>
  <r>
    <n v="419"/>
    <x v="1"/>
    <x v="264"/>
    <s v="eth1/86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86"/>
    <x v="0"/>
    <x v="0"/>
    <x v="0"/>
    <s v="COBROS NAVEGACION"/>
    <x v="6"/>
    <b v="0"/>
    <s v="No está en VPC"/>
    <n v="155"/>
    <s v="INTPG_ACC_155_1.86"/>
    <s v="ISEL-1.86"/>
    <n v="1"/>
    <s v="NO TIENE L3OUT"/>
    <n v="198"/>
    <n v="96"/>
  </r>
  <r>
    <n v="409"/>
    <x v="1"/>
    <x v="266"/>
    <s v="eth1/86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86"/>
    <x v="0"/>
    <x v="0"/>
    <x v="0"/>
    <s v="TEMIPCLOUD_B04"/>
    <x v="6"/>
    <b v="0"/>
    <s v="No está en VPC"/>
    <n v="422"/>
    <s v="INTPG_ACC_422_1.86"/>
    <s v="ISEL-1.86"/>
    <n v="6"/>
    <s v="NO TIENE L3OUT"/>
    <n v="182"/>
    <n v="96"/>
  </r>
  <r>
    <n v="436"/>
    <x v="1"/>
    <x v="268"/>
    <s v="eth1/86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86"/>
    <x v="0"/>
    <x v="1"/>
    <x v="1"/>
    <s v="IXTNS11-DD_RESPALDO_CS5_NET1"/>
    <x v="6"/>
    <b v="0"/>
    <s v="No está en VPC"/>
    <n v="410"/>
    <s v="INTPG_ACC_410_1.86"/>
    <s v="ISEL-1.86"/>
    <n v="1"/>
    <s v="NO TIENE L3OUT"/>
    <n v="178"/>
    <n v="96"/>
  </r>
  <r>
    <n v="161"/>
    <x v="0"/>
    <x v="270"/>
    <s v="eth1/86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86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86"/>
    <x v="0"/>
    <x v="0"/>
    <x v="0"/>
    <s v="RLBAC"/>
    <x v="6"/>
    <b v="0"/>
    <s v="No está en VPC"/>
    <n v="116"/>
    <s v="INTPG_ACC_116_1.86"/>
    <s v="ISEL-1.86"/>
    <n v="1"/>
    <s v="NO TIENE L3OUT"/>
    <n v="148"/>
    <n v="96"/>
  </r>
  <r>
    <n v="412"/>
    <x v="1"/>
    <x v="273"/>
    <s v="eth1/86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86"/>
    <x v="0"/>
    <x v="0"/>
    <x v="0"/>
    <s v="MASTER SERVER"/>
    <x v="6"/>
    <b v="0"/>
    <s v="No está en VPC"/>
    <n v="120"/>
    <s v="INTPG_ACC_120_1.86"/>
    <s v="ISEL-1.86"/>
    <n v="1"/>
    <s v="NO TIENE L3OUT"/>
    <n v="158"/>
    <n v="96"/>
  </r>
  <r>
    <n v="404"/>
    <x v="1"/>
    <x v="275"/>
    <s v="eth1/86"/>
    <x v="0"/>
    <x v="0"/>
    <x v="0"/>
    <s v="none"/>
    <x v="6"/>
    <b v="0"/>
    <s v="No está en VPC"/>
    <n v="404"/>
    <s v="INTPG_ACC_404_1.86"/>
    <s v="ISEL-1.86"/>
    <n v="1"/>
    <s v="NO TIENE L3OUT"/>
    <n v="92"/>
    <n v="96"/>
  </r>
  <r>
    <n v="167"/>
    <x v="0"/>
    <x v="276"/>
    <s v="eth1/86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86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105"/>
    <x v="0"/>
    <x v="205"/>
    <s v="eth1/87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87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87"/>
    <x v="0"/>
    <x v="1"/>
    <x v="1"/>
    <s v="DESC"/>
    <x v="6"/>
    <b v="0"/>
    <s v="No está en VPC"/>
    <n v="104"/>
    <s v="INTPG_PC_104_1.84-91"/>
    <s v="ISEL-1.87"/>
    <n v="32"/>
    <s v="NO TIENE L3OUT"/>
    <n v="194"/>
    <n v="96"/>
  </r>
  <r>
    <n v="158"/>
    <x v="0"/>
    <x v="208"/>
    <s v="eth1/87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87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87"/>
    <x v="0"/>
    <x v="1"/>
    <x v="1"/>
    <s v="SAPCCRATING22"/>
    <x v="6"/>
    <b v="0"/>
    <s v="No está en VPC"/>
    <n v="112"/>
    <s v="INTPG_VPC_112_1.87_114_1.85"/>
    <s v="ISEL-1.87"/>
    <n v="1"/>
    <s v="NO TIENE L3OUT"/>
    <n v="144"/>
    <n v="96"/>
  </r>
  <r>
    <n v="107"/>
    <x v="0"/>
    <x v="213"/>
    <s v="eth1/87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87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87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87"/>
    <x v="0"/>
    <x v="1"/>
    <x v="1"/>
    <s v="SAPCCRATING24"/>
    <x v="6"/>
    <b v="0"/>
    <s v="No está en VPC"/>
    <n v="114"/>
    <s v="INTPG_VPC_112_1.89_114_1.87"/>
    <s v="ISEL-1.87"/>
    <n v="1"/>
    <s v="NO TIENE L3OUT"/>
    <n v="144"/>
    <n v="96"/>
  </r>
  <r>
    <n v="124"/>
    <x v="0"/>
    <x v="217"/>
    <s v="eth1/87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87"/>
    <x v="0"/>
    <x v="0"/>
    <x v="0"/>
    <s v="LA-47R VIRTUALIZACION BLADES"/>
    <x v="6"/>
    <b v="0"/>
    <s v="No está en VPC"/>
    <n v="118"/>
    <s v="INTPG_ACC_118_1.87"/>
    <s v="ISEL-1.87"/>
    <n v="1"/>
    <s v="NO TIENE L3OUT"/>
    <n v="180"/>
    <n v="96"/>
  </r>
  <r>
    <n v="159"/>
    <x v="0"/>
    <x v="219"/>
    <s v="eth1/87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87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87"/>
    <x v="0"/>
    <x v="0"/>
    <x v="0"/>
    <s v="IMEISRE_i2"/>
    <x v="6"/>
    <b v="0"/>
    <s v="No está en VPC"/>
    <n v="163"/>
    <s v="INTPG_VPC_161_1.76_163_1.87"/>
    <s v="ISEL-1.87"/>
    <n v="1"/>
    <s v="NO TIENE L3OUT"/>
    <n v="140"/>
    <n v="96"/>
  </r>
  <r>
    <n v="407"/>
    <x v="1"/>
    <x v="224"/>
    <s v="eth1/87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87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87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87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87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87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87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87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87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87"/>
    <x v="0"/>
    <x v="1"/>
    <x v="1"/>
    <s v="CORREO AMERICA MOVIL:OPENSTACK 2:VC1-X2"/>
    <x v="6"/>
    <b v="0"/>
    <s v="No está en VPC"/>
    <n v="102"/>
    <s v="INTPG_PC_102_1.86-93"/>
    <s v="ISEL-1.87"/>
    <n v="15"/>
    <s v="NO TIENE L3OUT"/>
    <n v="228"/>
    <n v="96"/>
  </r>
  <r>
    <n v="122"/>
    <x v="0"/>
    <x v="237"/>
    <s v="eth1/87"/>
    <x v="0"/>
    <x v="1"/>
    <x v="1"/>
    <s v="INTRANET CORPORATIVA"/>
    <x v="6"/>
    <b v="0"/>
    <s v="No está en VPC"/>
    <n v="122"/>
    <s v="INTPG_ACC_122_1.87"/>
    <s v="ISEL-1.87"/>
    <n v="1"/>
    <s v="NO TIENE L3OUT"/>
    <n v="148"/>
    <n v="96"/>
  </r>
  <r>
    <n v="157"/>
    <x v="0"/>
    <x v="238"/>
    <s v="eth1/87"/>
    <x v="0"/>
    <x v="1"/>
    <x v="1"/>
    <s v="GESTOR HUAWEI U2000 MW Tx"/>
    <x v="6"/>
    <b v="0"/>
    <s v="No está en VPC"/>
    <n v="157"/>
    <s v="INTPG_ACC_157_1.87"/>
    <s v="ISEL-1.87"/>
    <n v="1"/>
    <s v="NO TIENE L3OUT"/>
    <n v="202"/>
    <n v="96"/>
  </r>
  <r>
    <n v="408"/>
    <x v="1"/>
    <x v="239"/>
    <s v="eth1/87"/>
    <x v="1"/>
    <x v="1"/>
    <x v="2"/>
    <m/>
    <x v="6"/>
    <b v="0"/>
    <s v="No está en VPC"/>
    <n v="408"/>
    <s v="NO EXISTE PG"/>
    <s v="NO EXISTE ISEL"/>
    <n v="0"/>
    <s v="NO TIENE L3OUT"/>
    <n v="152"/>
    <n v="96"/>
  </r>
  <r>
    <n v="405"/>
    <x v="1"/>
    <x v="240"/>
    <s v="eth1/87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87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87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87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87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87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87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87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87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87"/>
    <x v="1"/>
    <x v="1"/>
    <x v="2"/>
    <m/>
    <x v="6"/>
    <b v="0"/>
    <s v="No está en VPC"/>
    <n v="406"/>
    <s v="NO EXISTE PG"/>
    <s v="NO EXISTE ISEL"/>
    <n v="0"/>
    <s v="NO TIENE L3OUT"/>
    <n v="82"/>
    <n v="96"/>
  </r>
  <r>
    <n v="414"/>
    <x v="1"/>
    <x v="250"/>
    <s v="eth1/87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87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87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87"/>
    <x v="1"/>
    <x v="1"/>
    <x v="2"/>
    <m/>
    <x v="6"/>
    <b v="0"/>
    <s v="No está en VPC"/>
    <n v="413"/>
    <s v="NO EXISTE PG"/>
    <s v="NO EXISTE ISEL"/>
    <n v="0"/>
    <s v="NO TIENE L3OUT"/>
    <n v="126"/>
    <n v="96"/>
  </r>
  <r>
    <n v="403"/>
    <x v="1"/>
    <x v="254"/>
    <s v="eth1/87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87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87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87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87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87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87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87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87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87"/>
    <x v="0"/>
    <x v="0"/>
    <x v="0"/>
    <s v="RLPNOVB01"/>
    <x v="6"/>
    <b v="0"/>
    <s v="No está en VPC"/>
    <n v="430"/>
    <s v="INTPG_ACC_430_1.87"/>
    <s v="ISEL-1.87"/>
    <n v="1"/>
    <s v="NO TIENE L3OUT"/>
    <n v="86"/>
    <n v="96"/>
  </r>
  <r>
    <n v="419"/>
    <x v="1"/>
    <x v="264"/>
    <s v="eth1/87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87"/>
    <x v="0"/>
    <x v="0"/>
    <x v="0"/>
    <s v="COBROS NAVEGACION"/>
    <x v="6"/>
    <b v="0"/>
    <s v="No está en VPC"/>
    <n v="155"/>
    <s v="INTPG_ACC_155_1.87"/>
    <s v="ISEL-1.87"/>
    <n v="1"/>
    <s v="NO TIENE L3OUT"/>
    <n v="198"/>
    <n v="96"/>
  </r>
  <r>
    <n v="409"/>
    <x v="1"/>
    <x v="266"/>
    <s v="eth1/87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87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87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87"/>
    <x v="1"/>
    <x v="1"/>
    <x v="2"/>
    <m/>
    <x v="6"/>
    <b v="0"/>
    <s v="No está en VPC"/>
    <n v="410"/>
    <s v="NO EXISTE PG"/>
    <s v="NO EXISTE ISEL"/>
    <n v="0"/>
    <s v="NO TIENE L3OUT"/>
    <n v="178"/>
    <n v="96"/>
  </r>
  <r>
    <n v="161"/>
    <x v="0"/>
    <x v="270"/>
    <s v="eth1/87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87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87"/>
    <x v="1"/>
    <x v="1"/>
    <x v="2"/>
    <s v="DESC"/>
    <x v="6"/>
    <b v="0"/>
    <s v="No está en VPC"/>
    <n v="116"/>
    <s v="INTPG_PC_116_1.87-94"/>
    <s v="ISEL-1.87"/>
    <n v="0"/>
    <s v="NO TIENE L3OUT"/>
    <n v="148"/>
    <n v="96"/>
  </r>
  <r>
    <n v="412"/>
    <x v="1"/>
    <x v="273"/>
    <s v="eth1/87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87"/>
    <x v="0"/>
    <x v="0"/>
    <x v="0"/>
    <s v="MASTER SERVER"/>
    <x v="6"/>
    <b v="0"/>
    <s v="No está en VPC"/>
    <n v="120"/>
    <s v="INTPG_ACC_120_1.87"/>
    <s v="ISEL-1.87"/>
    <n v="1"/>
    <s v="NO TIENE L3OUT"/>
    <n v="158"/>
    <n v="96"/>
  </r>
  <r>
    <n v="404"/>
    <x v="1"/>
    <x v="275"/>
    <s v="eth1/87"/>
    <x v="1"/>
    <x v="1"/>
    <x v="2"/>
    <m/>
    <x v="6"/>
    <b v="0"/>
    <s v="No está en VPC"/>
    <n v="404"/>
    <s v="NO EXISTE PG"/>
    <s v="NO EXISTE ISEL"/>
    <n v="0"/>
    <s v="NO TIENE L3OUT"/>
    <n v="92"/>
    <n v="96"/>
  </r>
  <r>
    <n v="167"/>
    <x v="0"/>
    <x v="276"/>
    <s v="eth1/87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87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105"/>
    <x v="0"/>
    <x v="205"/>
    <s v="eth1/88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88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88"/>
    <x v="0"/>
    <x v="1"/>
    <x v="1"/>
    <s v="DESC"/>
    <x v="6"/>
    <b v="0"/>
    <s v="No está en VPC"/>
    <n v="104"/>
    <s v="INTPG_PC_104_1.84-91"/>
    <s v="ISEL-1.88"/>
    <n v="32"/>
    <s v="NO TIENE L3OUT"/>
    <n v="194"/>
    <n v="96"/>
  </r>
  <r>
    <n v="158"/>
    <x v="0"/>
    <x v="208"/>
    <s v="eth1/88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88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88"/>
    <x v="0"/>
    <x v="1"/>
    <x v="1"/>
    <s v="SAPCCRATING23"/>
    <x v="6"/>
    <b v="0"/>
    <s v="No está en VPC"/>
    <n v="112"/>
    <s v="INTPG_VPC_112_1.88_114_1.86"/>
    <s v="ISEL-1.88"/>
    <n v="1"/>
    <s v="NO TIENE L3OUT"/>
    <n v="144"/>
    <n v="96"/>
  </r>
  <r>
    <n v="107"/>
    <x v="0"/>
    <x v="213"/>
    <s v="eth1/88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88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88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88"/>
    <x v="0"/>
    <x v="1"/>
    <x v="1"/>
    <s v="SAPCCRATING25"/>
    <x v="6"/>
    <b v="0"/>
    <s v="No está en VPC"/>
    <n v="114"/>
    <s v="INTPG_VPC_112_1.90_114_1.88"/>
    <s v="ISEL-1.88"/>
    <n v="1"/>
    <s v="NO TIENE L3OUT"/>
    <n v="144"/>
    <n v="96"/>
  </r>
  <r>
    <n v="124"/>
    <x v="0"/>
    <x v="217"/>
    <s v="eth1/88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88"/>
    <x v="0"/>
    <x v="0"/>
    <x v="0"/>
    <s v="LA-47R VIRTUALIZACION BLADES"/>
    <x v="6"/>
    <b v="0"/>
    <s v="No está en VPC"/>
    <n v="118"/>
    <s v="INTPG_ACC_118_1.88"/>
    <s v="ISEL-1.88"/>
    <n v="1"/>
    <s v="NO TIENE L3OUT"/>
    <n v="180"/>
    <n v="96"/>
  </r>
  <r>
    <n v="159"/>
    <x v="0"/>
    <x v="219"/>
    <s v="eth1/88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88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88"/>
    <x v="0"/>
    <x v="0"/>
    <x v="0"/>
    <s v="IMEISRE_i3"/>
    <x v="6"/>
    <b v="0"/>
    <s v="No está en VPC"/>
    <n v="163"/>
    <s v="INTPG_VPC_161_1.77_163_1.88"/>
    <s v="ISEL-1.88"/>
    <n v="1"/>
    <s v="NO TIENE L3OUT"/>
    <n v="140"/>
    <n v="96"/>
  </r>
  <r>
    <n v="407"/>
    <x v="1"/>
    <x v="224"/>
    <s v="eth1/88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88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88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88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88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88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88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88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88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88"/>
    <x v="0"/>
    <x v="1"/>
    <x v="1"/>
    <s v="CORREO AMERICA MOVIL:OPENSTACK 2:VC1-X3"/>
    <x v="6"/>
    <b v="0"/>
    <s v="No está en VPC"/>
    <n v="102"/>
    <s v="INTPG_PC_102_1.86-93"/>
    <s v="ISEL-1.88"/>
    <n v="15"/>
    <s v="NO TIENE L3OUT"/>
    <n v="228"/>
    <n v="96"/>
  </r>
  <r>
    <n v="122"/>
    <x v="0"/>
    <x v="237"/>
    <s v="eth1/88"/>
    <x v="0"/>
    <x v="0"/>
    <x v="0"/>
    <s v="INTRANET CORPORATIVA"/>
    <x v="6"/>
    <b v="0"/>
    <s v="No está en VPC"/>
    <n v="122"/>
    <s v="INTPG_ACC_122_1.88"/>
    <s v="ISEL-1.88"/>
    <n v="1"/>
    <s v="NO TIENE L3OUT"/>
    <n v="148"/>
    <n v="96"/>
  </r>
  <r>
    <n v="157"/>
    <x v="0"/>
    <x v="238"/>
    <s v="eth1/88"/>
    <x v="0"/>
    <x v="1"/>
    <x v="1"/>
    <s v="GESTOR HUAWEI U2000 MW Tx"/>
    <x v="6"/>
    <b v="0"/>
    <s v="No está en VPC"/>
    <n v="157"/>
    <s v="INTPG_ACC_157_1.88"/>
    <s v="ISEL-1.88"/>
    <n v="1"/>
    <s v="NO TIENE L3OUT"/>
    <n v="202"/>
    <n v="96"/>
  </r>
  <r>
    <n v="408"/>
    <x v="1"/>
    <x v="239"/>
    <s v="eth1/88"/>
    <x v="1"/>
    <x v="1"/>
    <x v="2"/>
    <m/>
    <x v="6"/>
    <b v="0"/>
    <s v="No está en VPC"/>
    <n v="408"/>
    <s v="NO EXISTE PG"/>
    <s v="NO EXISTE ISEL"/>
    <n v="0"/>
    <s v="NO TIENE L3OUT"/>
    <n v="152"/>
    <n v="96"/>
  </r>
  <r>
    <n v="405"/>
    <x v="1"/>
    <x v="240"/>
    <s v="eth1/88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88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88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88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88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88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88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88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88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88"/>
    <x v="1"/>
    <x v="1"/>
    <x v="2"/>
    <m/>
    <x v="6"/>
    <b v="0"/>
    <s v="No está en VPC"/>
    <n v="406"/>
    <s v="NO EXISTE PG"/>
    <s v="NO EXISTE ISEL"/>
    <n v="0"/>
    <s v="NO TIENE L3OUT"/>
    <n v="82"/>
    <n v="96"/>
  </r>
  <r>
    <n v="414"/>
    <x v="1"/>
    <x v="250"/>
    <s v="eth1/88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88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88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88"/>
    <x v="1"/>
    <x v="1"/>
    <x v="2"/>
    <m/>
    <x v="6"/>
    <b v="0"/>
    <s v="No está en VPC"/>
    <n v="413"/>
    <s v="NO EXISTE PG"/>
    <s v="NO EXISTE ISEL"/>
    <n v="0"/>
    <s v="NO TIENE L3OUT"/>
    <n v="126"/>
    <n v="96"/>
  </r>
  <r>
    <n v="403"/>
    <x v="1"/>
    <x v="254"/>
    <s v="eth1/88"/>
    <x v="0"/>
    <x v="0"/>
    <x v="0"/>
    <s v="TO-ithfhpmvnorap01-Principal"/>
    <x v="6"/>
    <b v="0"/>
    <s v="No está en VPC"/>
    <n v="403"/>
    <s v="INTPG_ACC_403_1.88"/>
    <s v="ISEL-1.88"/>
    <n v="1"/>
    <s v="NO TIENE L3OUT"/>
    <n v="150"/>
    <n v="96"/>
  </r>
  <r>
    <n v="125"/>
    <x v="0"/>
    <x v="255"/>
    <s v="eth1/88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88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88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88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88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88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88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88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88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88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88"/>
    <x v="0"/>
    <x v="0"/>
    <x v="0"/>
    <s v="VTAE"/>
    <x v="6"/>
    <b v="0"/>
    <s v="No está en VPC"/>
    <n v="155"/>
    <s v="INTPG_ACC_155_1.88"/>
    <s v="ISEL-1.88"/>
    <n v="1"/>
    <s v="NO TIENE L3OUT"/>
    <n v="198"/>
    <n v="96"/>
  </r>
  <r>
    <n v="409"/>
    <x v="1"/>
    <x v="266"/>
    <s v="eth1/88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88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88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88"/>
    <x v="0"/>
    <x v="0"/>
    <x v="0"/>
    <s v="IXTNS11-DD_RESPALDO_CS5_NET1"/>
    <x v="6"/>
    <b v="0"/>
    <s v="No está en VPC"/>
    <n v="410"/>
    <s v="INTPG_ACC_410_1.88"/>
    <s v="ISEL-1.88"/>
    <n v="1"/>
    <s v="NO TIENE L3OUT"/>
    <n v="178"/>
    <n v="96"/>
  </r>
  <r>
    <n v="161"/>
    <x v="0"/>
    <x v="270"/>
    <s v="eth1/88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88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88"/>
    <x v="1"/>
    <x v="1"/>
    <x v="2"/>
    <s v="DESC"/>
    <x v="6"/>
    <b v="0"/>
    <s v="No está en VPC"/>
    <n v="116"/>
    <s v="INTPG_PC_116_1.87-94"/>
    <s v="ISEL-1.88"/>
    <n v="0"/>
    <s v="NO TIENE L3OUT"/>
    <n v="148"/>
    <n v="96"/>
  </r>
  <r>
    <n v="412"/>
    <x v="1"/>
    <x v="273"/>
    <s v="eth1/88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88"/>
    <x v="0"/>
    <x v="0"/>
    <x v="0"/>
    <s v="MASTER SERVER"/>
    <x v="6"/>
    <b v="0"/>
    <s v="No está en VPC"/>
    <n v="120"/>
    <s v="INTPG_ACC_120_1.88"/>
    <s v="ISEL-1.88"/>
    <n v="1"/>
    <s v="NO TIENE L3OUT"/>
    <n v="158"/>
    <n v="96"/>
  </r>
  <r>
    <n v="404"/>
    <x v="1"/>
    <x v="275"/>
    <s v="eth1/88"/>
    <x v="1"/>
    <x v="1"/>
    <x v="2"/>
    <m/>
    <x v="6"/>
    <b v="0"/>
    <s v="No está en VPC"/>
    <n v="404"/>
    <s v="NO EXISTE PG"/>
    <s v="NO EXISTE ISEL"/>
    <n v="0"/>
    <s v="NO TIENE L3OUT"/>
    <n v="92"/>
    <n v="96"/>
  </r>
  <r>
    <n v="167"/>
    <x v="0"/>
    <x v="276"/>
    <s v="eth1/88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88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105"/>
    <x v="0"/>
    <x v="205"/>
    <s v="eth1/89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89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89"/>
    <x v="0"/>
    <x v="1"/>
    <x v="1"/>
    <s v="DESC"/>
    <x v="6"/>
    <b v="0"/>
    <s v="No está en VPC"/>
    <n v="104"/>
    <s v="INTPG_PC_104_1.84-91"/>
    <s v="ISEL-1.89"/>
    <n v="32"/>
    <s v="NO TIENE L3OUT"/>
    <n v="194"/>
    <n v="96"/>
  </r>
  <r>
    <n v="158"/>
    <x v="0"/>
    <x v="208"/>
    <s v="eth1/89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89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89"/>
    <x v="0"/>
    <x v="1"/>
    <x v="1"/>
    <s v="SAPCCRATING24"/>
    <x v="6"/>
    <b v="0"/>
    <s v="No está en VPC"/>
    <n v="112"/>
    <s v="INTPG_VPC_112_1.89_114_1.87"/>
    <s v="ISEL-1.89"/>
    <n v="1"/>
    <s v="NO TIENE L3OUT"/>
    <n v="144"/>
    <n v="96"/>
  </r>
  <r>
    <n v="107"/>
    <x v="0"/>
    <x v="213"/>
    <s v="eth1/89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89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89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89"/>
    <x v="0"/>
    <x v="1"/>
    <x v="1"/>
    <s v="SAPCCRATING26"/>
    <x v="6"/>
    <b v="0"/>
    <s v="No está en VPC"/>
    <n v="114"/>
    <s v="INTPG_VPC_112_1.91_114_1.89"/>
    <s v="ISEL-1.89"/>
    <n v="1"/>
    <s v="NO TIENE L3OUT"/>
    <n v="144"/>
    <n v="96"/>
  </r>
  <r>
    <n v="124"/>
    <x v="0"/>
    <x v="217"/>
    <s v="eth1/89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89"/>
    <x v="0"/>
    <x v="0"/>
    <x v="0"/>
    <s v="LA-47R VIRTUALIZACION BLADES"/>
    <x v="6"/>
    <b v="0"/>
    <s v="No está en VPC"/>
    <n v="118"/>
    <s v="INTPG_ACC_118_1.89"/>
    <s v="ISEL-1.89"/>
    <n v="1"/>
    <s v="NO TIENE L3OUT"/>
    <n v="180"/>
    <n v="96"/>
  </r>
  <r>
    <n v="159"/>
    <x v="0"/>
    <x v="219"/>
    <s v="eth1/89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89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89"/>
    <x v="0"/>
    <x v="0"/>
    <x v="0"/>
    <s v="SFODPP02"/>
    <x v="6"/>
    <b v="0"/>
    <s v="No está en VPC"/>
    <n v="163"/>
    <s v="INTPG_VPC_161_1.78_163_1.89"/>
    <s v="ISEL-1.89"/>
    <n v="1"/>
    <s v="NO TIENE L3OUT"/>
    <n v="140"/>
    <n v="96"/>
  </r>
  <r>
    <n v="407"/>
    <x v="1"/>
    <x v="224"/>
    <s v="eth1/89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89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89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89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89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89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89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89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89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89"/>
    <x v="0"/>
    <x v="1"/>
    <x v="1"/>
    <s v="CORREO AMERICA MOVIL:OPENSTACK 2:VC1-X4"/>
    <x v="6"/>
    <b v="0"/>
    <s v="No está en VPC"/>
    <n v="102"/>
    <s v="INTPG_PC_102_1.86-93"/>
    <s v="ISEL-1.89"/>
    <n v="15"/>
    <s v="NO TIENE L3OUT"/>
    <n v="228"/>
    <n v="96"/>
  </r>
  <r>
    <n v="122"/>
    <x v="0"/>
    <x v="237"/>
    <s v="eth1/89"/>
    <x v="0"/>
    <x v="0"/>
    <x v="0"/>
    <s v="INTRANET CORPORATIVA"/>
    <x v="6"/>
    <b v="0"/>
    <s v="No está en VPC"/>
    <n v="122"/>
    <s v="INTPG_ACC_122_1.89"/>
    <s v="ISEL-1.89"/>
    <n v="1"/>
    <s v="NO TIENE L3OUT"/>
    <n v="148"/>
    <n v="96"/>
  </r>
  <r>
    <n v="157"/>
    <x v="0"/>
    <x v="238"/>
    <s v="eth1/89"/>
    <x v="0"/>
    <x v="0"/>
    <x v="0"/>
    <s v="SNA TEST BED"/>
    <x v="6"/>
    <b v="0"/>
    <s v="No está en VPC"/>
    <n v="157"/>
    <s v="INTPG_ACC_157_1.89"/>
    <s v="ISEL-1.89"/>
    <n v="0"/>
    <s v="L3OUT-SNA-IPCORP-A21"/>
    <n v="202"/>
    <n v="96"/>
  </r>
  <r>
    <n v="408"/>
    <x v="1"/>
    <x v="239"/>
    <s v="eth1/89"/>
    <x v="1"/>
    <x v="1"/>
    <x v="2"/>
    <m/>
    <x v="6"/>
    <b v="0"/>
    <s v="No está en VPC"/>
    <n v="408"/>
    <s v="NO EXISTE PG"/>
    <s v="NO EXISTE ISEL"/>
    <n v="0"/>
    <s v="NO TIENE L3OUT"/>
    <n v="152"/>
    <n v="96"/>
  </r>
  <r>
    <n v="405"/>
    <x v="1"/>
    <x v="240"/>
    <s v="eth1/89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89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89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89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89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89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89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89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89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89"/>
    <x v="1"/>
    <x v="1"/>
    <x v="2"/>
    <m/>
    <x v="6"/>
    <b v="0"/>
    <s v="No está en VPC"/>
    <n v="406"/>
    <s v="NO EXISTE PG"/>
    <s v="NO EXISTE ISEL"/>
    <n v="0"/>
    <s v="NO TIENE L3OUT"/>
    <n v="82"/>
    <n v="96"/>
  </r>
  <r>
    <n v="414"/>
    <x v="1"/>
    <x v="250"/>
    <s v="eth1/89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89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89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89"/>
    <x v="1"/>
    <x v="1"/>
    <x v="2"/>
    <m/>
    <x v="6"/>
    <b v="0"/>
    <s v="No está en VPC"/>
    <n v="413"/>
    <s v="NO EXISTE PG"/>
    <s v="NO EXISTE ISEL"/>
    <n v="0"/>
    <s v="NO TIENE L3OUT"/>
    <n v="126"/>
    <n v="96"/>
  </r>
  <r>
    <n v="403"/>
    <x v="1"/>
    <x v="254"/>
    <s v="eth1/89"/>
    <x v="0"/>
    <x v="0"/>
    <x v="0"/>
    <s v="TO-ithfhpmvnorap01"/>
    <x v="6"/>
    <b v="0"/>
    <s v="No está en VPC"/>
    <n v="403"/>
    <s v="INTPG_VPC_403_1.89_405_1.79"/>
    <s v="ISEL-1.89"/>
    <n v="1"/>
    <s v="NO TIENE L3OUT"/>
    <n v="150"/>
    <n v="96"/>
  </r>
  <r>
    <n v="125"/>
    <x v="0"/>
    <x v="255"/>
    <s v="eth1/89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89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89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89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89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89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89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89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89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89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89"/>
    <x v="0"/>
    <x v="0"/>
    <x v="0"/>
    <s v="VTAE"/>
    <x v="6"/>
    <b v="0"/>
    <s v="No está en VPC"/>
    <n v="155"/>
    <s v="INTPG_ACC_155_1.89"/>
    <s v="ISEL-1.89"/>
    <n v="1"/>
    <s v="NO TIENE L3OUT"/>
    <n v="198"/>
    <n v="96"/>
  </r>
  <r>
    <n v="409"/>
    <x v="1"/>
    <x v="266"/>
    <s v="eth1/89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89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89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89"/>
    <x v="1"/>
    <x v="1"/>
    <x v="2"/>
    <m/>
    <x v="6"/>
    <b v="0"/>
    <s v="No está en VPC"/>
    <n v="410"/>
    <s v="NO EXISTE PG"/>
    <s v="NO EXISTE ISEL"/>
    <n v="0"/>
    <s v="NO TIENE L3OUT"/>
    <n v="178"/>
    <n v="96"/>
  </r>
  <r>
    <n v="161"/>
    <x v="0"/>
    <x v="270"/>
    <s v="eth1/89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89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89"/>
    <x v="1"/>
    <x v="1"/>
    <x v="2"/>
    <s v="DESC"/>
    <x v="6"/>
    <b v="0"/>
    <s v="No está en VPC"/>
    <n v="116"/>
    <s v="INTPG_PC_116_1.87-94"/>
    <s v="ISEL-1.89"/>
    <n v="0"/>
    <s v="NO TIENE L3OUT"/>
    <n v="148"/>
    <n v="96"/>
  </r>
  <r>
    <n v="412"/>
    <x v="1"/>
    <x v="273"/>
    <s v="eth1/89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89"/>
    <x v="0"/>
    <x v="0"/>
    <x v="0"/>
    <s v="MASTER SERVER"/>
    <x v="6"/>
    <b v="0"/>
    <s v="No está en VPC"/>
    <n v="120"/>
    <s v="INTPG_ACC_120_1.89"/>
    <s v="ISEL-1.89"/>
    <n v="1"/>
    <s v="NO TIENE L3OUT"/>
    <n v="158"/>
    <n v="96"/>
  </r>
  <r>
    <n v="404"/>
    <x v="1"/>
    <x v="275"/>
    <s v="eth1/89"/>
    <x v="1"/>
    <x v="1"/>
    <x v="2"/>
    <m/>
    <x v="6"/>
    <b v="0"/>
    <s v="No está en VPC"/>
    <n v="404"/>
    <s v="NO EXISTE PG"/>
    <s v="NO EXISTE ISEL"/>
    <n v="0"/>
    <s v="NO TIENE L3OUT"/>
    <n v="92"/>
    <n v="96"/>
  </r>
  <r>
    <n v="167"/>
    <x v="0"/>
    <x v="276"/>
    <s v="eth1/89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89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128"/>
    <x v="0"/>
    <x v="0"/>
    <s v="eth1/9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9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9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9"/>
    <x v="0"/>
    <x v="0"/>
    <x v="0"/>
    <s v="DESC"/>
    <x v="0"/>
    <b v="0"/>
    <s v="No está en VPC"/>
    <n v="101"/>
    <s v="INTPG_PC_101_1.9-10"/>
    <s v="ISEL-1.9"/>
    <n v="1"/>
    <s v="NO TIENE L3OUT"/>
    <n v="114"/>
    <n v="54"/>
  </r>
  <r>
    <n v="160"/>
    <x v="0"/>
    <x v="4"/>
    <s v="eth1/9"/>
    <x v="0"/>
    <x v="1"/>
    <x v="1"/>
    <s v="Servidores Virtuales LA"/>
    <x v="1"/>
    <b v="0"/>
    <s v="No está en VPC"/>
    <n v="160"/>
    <s v="INTPG_ACC_160_1.9"/>
    <s v="ISEL-1.9"/>
    <n v="1"/>
    <s v="NO TIENE L3OUT"/>
    <n v="68"/>
    <n v="54"/>
  </r>
  <r>
    <n v="121"/>
    <x v="0"/>
    <x v="5"/>
    <s v="eth1/9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9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9"/>
    <x v="0"/>
    <x v="0"/>
    <x v="0"/>
    <m/>
    <x v="0"/>
    <b v="0"/>
    <s v="No está en VPC"/>
    <n v="401"/>
    <s v="INTPG_ACC_401_1.9"/>
    <s v="ISEL-1.9"/>
    <n v="1"/>
    <s v="NO TIENE L3OUT"/>
    <n v="40"/>
    <n v="54"/>
  </r>
  <r>
    <n v="402"/>
    <x v="1"/>
    <x v="8"/>
    <s v="eth1/9"/>
    <x v="0"/>
    <x v="0"/>
    <x v="0"/>
    <m/>
    <x v="0"/>
    <b v="0"/>
    <s v="No está en VPC"/>
    <n v="402"/>
    <s v="INTPG_ACC_402_1.9"/>
    <s v="ISEL-1.9"/>
    <n v="0"/>
    <s v="NO TIENE L3OUT"/>
    <n v="36"/>
    <n v="54"/>
  </r>
  <r>
    <n v="447"/>
    <x v="1"/>
    <x v="9"/>
    <s v="eth1/9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9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9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9"/>
    <x v="0"/>
    <x v="0"/>
    <x v="0"/>
    <s v="DESC"/>
    <x v="0"/>
    <b v="0"/>
    <s v="No está en VPC"/>
    <n v="150"/>
    <s v="INTPG_PC_150_1.9-10"/>
    <s v="ISEL-1.9"/>
    <n v="1"/>
    <s v="NO TIENE L3OUT"/>
    <n v="118"/>
    <n v="54"/>
  </r>
  <r>
    <n v="131"/>
    <x v="0"/>
    <x v="13"/>
    <s v="eth1/9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9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9"/>
    <x v="0"/>
    <x v="0"/>
    <x v="0"/>
    <s v="vTMIP-LAG01"/>
    <x v="2"/>
    <b v="0"/>
    <s v="No está en VPC"/>
    <n v="758"/>
    <s v="INTPG_VPC_758_1.9_759_1.9"/>
    <s v="ISEL-1.9"/>
    <n v="9"/>
    <s v="NO TIENE L3OUT"/>
    <n v="0"/>
    <n v="42"/>
  </r>
  <r>
    <n v="759"/>
    <x v="2"/>
    <x v="16"/>
    <s v="eth1/9"/>
    <x v="0"/>
    <x v="0"/>
    <x v="0"/>
    <s v="vTMIP-LAG01"/>
    <x v="2"/>
    <b v="0"/>
    <s v="No está en VPC"/>
    <n v="759"/>
    <s v="INTPG_VPC_758_1.9_759_1.9"/>
    <s v="ISEL-1.9"/>
    <n v="9"/>
    <s v="NO TIENE L3OUT"/>
    <n v="0"/>
    <n v="42"/>
  </r>
  <r>
    <n v="302"/>
    <x v="0"/>
    <x v="17"/>
    <s v="eth1/9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9"/>
    <x v="0"/>
    <x v="0"/>
    <x v="0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9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9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9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9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9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9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9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9"/>
    <x v="0"/>
    <x v="1"/>
    <x v="3"/>
    <s v="VBLOCK2"/>
    <x v="0"/>
    <b v="0"/>
    <s v="No está en VPC"/>
    <n v="431"/>
    <s v="INTPG_VPC_431_1.9-10_448_1.9-10"/>
    <s v="ISEL-1.9"/>
    <n v="10"/>
    <s v="NO TIENE L3OUT"/>
    <n v="46"/>
    <n v="54"/>
  </r>
  <r>
    <n v="433"/>
    <x v="1"/>
    <x v="27"/>
    <s v="eth1/9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9"/>
    <x v="0"/>
    <x v="0"/>
    <x v="0"/>
    <s v="RKN_1.5__PTO_21_SECUNDARIO"/>
    <x v="1"/>
    <b v="0"/>
    <s v="No está en VPC"/>
    <n v="429"/>
    <s v="INTPG_ACC_429_1.9"/>
    <s v="ISEL-1.9"/>
    <n v="2"/>
    <s v="NO TIENE L3OUT"/>
    <n v="8"/>
    <n v="54"/>
  </r>
  <r>
    <n v="432"/>
    <x v="1"/>
    <x v="29"/>
    <s v="eth1/9"/>
    <x v="0"/>
    <x v="0"/>
    <x v="0"/>
    <s v="SSO"/>
    <x v="1"/>
    <b v="0"/>
    <s v="No está en VPC"/>
    <n v="432"/>
    <s v="INTPG_ACC_432_1.9"/>
    <s v="ISEL-1.9"/>
    <n v="1"/>
    <s v="NO TIENE L3OUT"/>
    <n v="54"/>
    <n v="54"/>
  </r>
  <r>
    <n v="442"/>
    <x v="1"/>
    <x v="30"/>
    <s v="eth1/9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9"/>
    <x v="0"/>
    <x v="1"/>
    <x v="1"/>
    <s v="TO-uxidmbd2 -E3-1"/>
    <x v="1"/>
    <b v="0"/>
    <s v="No está en VPC"/>
    <n v="434"/>
    <s v="INTPG_ACC_434_1.9"/>
    <s v="ISEL-1.9"/>
    <n v="1"/>
    <s v="NO TIENE L3OUT"/>
    <n v="34"/>
    <n v="54"/>
  </r>
  <r>
    <n v="707"/>
    <x v="2"/>
    <x v="32"/>
    <s v="eth1/9"/>
    <x v="0"/>
    <x v="0"/>
    <x v="0"/>
    <s v="CEM:ITHCEMG2DAT05:LOM P1"/>
    <x v="0"/>
    <b v="0"/>
    <s v="No está en VPC"/>
    <n v="707"/>
    <s v="INTPG_ACC_707_1.9"/>
    <s v="ISEL-1.9"/>
    <n v="1"/>
    <s v="NO TIENE L3OUT"/>
    <n v="54"/>
    <n v="54"/>
  </r>
  <r>
    <n v="712"/>
    <x v="2"/>
    <x v="33"/>
    <s v="eth1/9"/>
    <x v="0"/>
    <x v="0"/>
    <x v="0"/>
    <s v="CEM:ITHCEMB2DAT05:LOM P1"/>
    <x v="0"/>
    <b v="0"/>
    <s v="No está en VPC"/>
    <n v="712"/>
    <s v="INTPG_ACC_712_1.9"/>
    <s v="ISEL-1.9"/>
    <n v="1"/>
    <s v="NO TIENE L3OUT"/>
    <n v="32"/>
    <n v="54"/>
  </r>
  <r>
    <n v="719"/>
    <x v="2"/>
    <x v="34"/>
    <s v="eth1/9"/>
    <x v="0"/>
    <x v="0"/>
    <x v="0"/>
    <m/>
    <x v="0"/>
    <b v="0"/>
    <s v="No está en VPC"/>
    <n v="719"/>
    <s v="INTPG-VPC_HDD03_719_1.9_720_1.10"/>
    <s v="ISEL-1.9"/>
    <n v="1"/>
    <s v="NO TIENE L3OUT"/>
    <n v="0"/>
    <n v="54"/>
  </r>
  <r>
    <n v="715"/>
    <x v="2"/>
    <x v="35"/>
    <s v="eth1/9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9"/>
    <x v="0"/>
    <x v="0"/>
    <x v="0"/>
    <s v="TO-ITHFHPSMEPRAP01_ILO"/>
    <x v="1"/>
    <b v="0"/>
    <s v="No está en VPC"/>
    <n v="427"/>
    <s v="INTPG_ACC_427_1.9"/>
    <s v="ISEL-1.9"/>
    <n v="1"/>
    <s v="NO TIENE L3OUT"/>
    <n v="10"/>
    <n v="54"/>
  </r>
  <r>
    <n v="711"/>
    <x v="2"/>
    <x v="37"/>
    <s v="eth1/9"/>
    <x v="0"/>
    <x v="0"/>
    <x v="0"/>
    <s v="CEM:ITHCEMC2DAT05:LOM P1"/>
    <x v="0"/>
    <b v="0"/>
    <s v="No está en VPC"/>
    <n v="711"/>
    <s v="INTPG_ACC_711_1.9"/>
    <s v="ISEL-1.9"/>
    <n v="1"/>
    <s v="NO TIENE L3OUT"/>
    <n v="16"/>
    <n v="54"/>
  </r>
  <r>
    <n v="716"/>
    <x v="2"/>
    <x v="38"/>
    <s v="eth1/9"/>
    <x v="0"/>
    <x v="0"/>
    <x v="0"/>
    <m/>
    <x v="0"/>
    <b v="0"/>
    <s v="No está en VPC"/>
    <n v="716"/>
    <s v="INTPG-VPC_HDD35_716_1.9_715_1.10"/>
    <s v="ISEL-1.9"/>
    <n v="1"/>
    <s v="NO TIENE L3OUT"/>
    <n v="0"/>
    <n v="54"/>
  </r>
  <r>
    <n v="702"/>
    <x v="2"/>
    <x v="39"/>
    <s v="eth1/9"/>
    <x v="0"/>
    <x v="0"/>
    <x v="0"/>
    <m/>
    <x v="0"/>
    <b v="0"/>
    <s v="No está en VPC"/>
    <n v="702"/>
    <s v="INTPG_VPC_702_1.9_701_1.10"/>
    <s v="ISEL-1.9"/>
    <n v="1"/>
    <s v="NO TIENE L3OUT"/>
    <n v="0"/>
    <n v="54"/>
  </r>
  <r>
    <n v="435"/>
    <x v="1"/>
    <x v="40"/>
    <s v="eth1/9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9"/>
    <x v="0"/>
    <x v="0"/>
    <x v="0"/>
    <m/>
    <x v="0"/>
    <b v="0"/>
    <s v="No está en VPC"/>
    <n v="446"/>
    <s v="INTPG_ACC_446_1.9"/>
    <s v="ISEL-1.9"/>
    <n v="9"/>
    <s v="NO TIENE L3OUT"/>
    <n v="198"/>
    <n v="54"/>
  </r>
  <r>
    <n v="444"/>
    <x v="1"/>
    <x v="42"/>
    <s v="eth1/9"/>
    <x v="0"/>
    <x v="0"/>
    <x v="0"/>
    <s v="TO-ITHFHPNBURBKP07"/>
    <x v="0"/>
    <b v="0"/>
    <s v="No está en VPC"/>
    <n v="444"/>
    <s v="INTPG_VPC_444_1.9_446_1.10"/>
    <s v="ISEL-1.9"/>
    <n v="1"/>
    <s v="NO TIENE L3OUT"/>
    <n v="234"/>
    <n v="54"/>
  </r>
  <r>
    <n v="701"/>
    <x v="2"/>
    <x v="43"/>
    <s v="eth1/9"/>
    <x v="0"/>
    <x v="0"/>
    <x v="0"/>
    <m/>
    <x v="0"/>
    <b v="0"/>
    <s v="No está en VPC"/>
    <n v="701"/>
    <s v="INTPG_VPC_701_1.9_702_1.10"/>
    <s v="ISEL-1.9"/>
    <n v="1"/>
    <s v="NO TIENE L3OUT"/>
    <n v="0"/>
    <n v="54"/>
  </r>
  <r>
    <n v="440"/>
    <x v="1"/>
    <x v="44"/>
    <s v="eth1/9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9"/>
    <x v="0"/>
    <x v="1"/>
    <x v="3"/>
    <s v="VBLOCK2"/>
    <x v="0"/>
    <b v="0"/>
    <s v="No está en VPC"/>
    <n v="448"/>
    <s v="INTPG_VPC_431_1.9-10_448_1.9-10"/>
    <s v="ISEL-1.9"/>
    <n v="10"/>
    <s v="NO TIENE L3OUT"/>
    <n v="46"/>
    <n v="54"/>
  </r>
  <r>
    <n v="704"/>
    <x v="2"/>
    <x v="46"/>
    <s v="eth1/9"/>
    <x v="0"/>
    <x v="0"/>
    <x v="0"/>
    <m/>
    <x v="0"/>
    <b v="0"/>
    <s v="No está en VPC"/>
    <n v="704"/>
    <s v="INTPG_VPC_704_1.9_703_1.10"/>
    <s v="ISEL-1.9"/>
    <n v="1"/>
    <s v="NO TIENE L3OUT"/>
    <n v="0"/>
    <n v="54"/>
  </r>
  <r>
    <n v="729"/>
    <x v="2"/>
    <x v="47"/>
    <s v="eth1/9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9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9"/>
    <x v="0"/>
    <x v="0"/>
    <x v="0"/>
    <s v="HACIA_MGMT-OSCP-F4-05_SECUNDARIO"/>
    <x v="4"/>
    <b v="0"/>
    <s v="No está en VPC"/>
    <n v="456"/>
    <s v="INTPG_VPC_454_1.9_456_1.9"/>
    <s v="ISEL-1.9"/>
    <n v="1"/>
    <s v="NO TIENE L3OUT"/>
    <n v="4"/>
    <n v="54"/>
  </r>
  <r>
    <n v="603"/>
    <x v="1"/>
    <x v="50"/>
    <s v="eth1/9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9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9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9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9"/>
    <x v="0"/>
    <x v="1"/>
    <x v="5"/>
    <m/>
    <x v="0"/>
    <b v="0"/>
    <s v="No está en VPC"/>
    <n v="722"/>
    <s v="INTPG-VPC_HDD129_722_1.9_723_1.10"/>
    <s v="ISEL-1.9"/>
    <n v="1"/>
    <s v="NO TIENE L3OUT"/>
    <n v="0"/>
    <n v="54"/>
  </r>
  <r>
    <n v="733"/>
    <x v="2"/>
    <x v="55"/>
    <s v="eth1/9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9"/>
    <x v="0"/>
    <x v="0"/>
    <x v="0"/>
    <s v="OSS F1:ithenmr08bl02nas2r9a:PORT 1"/>
    <x v="0"/>
    <b v="0"/>
    <s v="No está en VPC"/>
    <n v="755"/>
    <s v="INTPG_PC_755_1.9-12"/>
    <s v="ISEL-1.9"/>
    <n v="1"/>
    <s v="NO TIENE L3OUT"/>
    <n v="52"/>
    <n v="54"/>
  </r>
  <r>
    <n v="748"/>
    <x v="2"/>
    <x v="57"/>
    <s v="eth1/9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9"/>
    <x v="0"/>
    <x v="0"/>
    <x v="0"/>
    <s v="OSS F1:ithenmr08bl04ombsr9a:PORT 1"/>
    <x v="0"/>
    <b v="0"/>
    <s v="No está en VPC"/>
    <n v="756"/>
    <s v="INTPG_PC_756_1.9-12"/>
    <s v="ISEL-1.9"/>
    <n v="2"/>
    <s v="NO TIENE L3OUT"/>
    <n v="64"/>
    <n v="54"/>
  </r>
  <r>
    <n v="754"/>
    <x v="2"/>
    <x v="59"/>
    <s v="eth1/9"/>
    <x v="0"/>
    <x v="0"/>
    <x v="0"/>
    <s v="OSS F1:ithenmr04e2r9b:Bay1/X1"/>
    <x v="0"/>
    <b v="0"/>
    <s v="No está en VPC"/>
    <n v="754"/>
    <s v="INTPG_PC_754_1.9-10"/>
    <s v="ISEL-1.9"/>
    <n v="8"/>
    <s v="NO TIENE L3OUT"/>
    <n v="62"/>
    <n v="54"/>
  </r>
  <r>
    <n v="751"/>
    <x v="2"/>
    <x v="60"/>
    <s v="eth1/9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9"/>
    <x v="0"/>
    <x v="0"/>
    <x v="0"/>
    <s v="Portchannel_2_R4A"/>
    <x v="0"/>
    <b v="0"/>
    <s v="No está en VPC"/>
    <n v="769"/>
    <s v="INTPG_PC_769_1.9-10"/>
    <s v="ISEL-1.9"/>
    <n v="8"/>
    <s v="NO TIENE L3OUT"/>
    <n v="60"/>
    <n v="54"/>
  </r>
  <r>
    <n v="742"/>
    <x v="2"/>
    <x v="62"/>
    <s v="eth1/9"/>
    <x v="0"/>
    <x v="1"/>
    <x v="1"/>
    <s v="CEM:ITHCEMA2DAT05:LOM P3"/>
    <x v="5"/>
    <b v="0"/>
    <s v="No está en VPC"/>
    <n v="742"/>
    <s v="INTPG_ACC_742_1.9"/>
    <s v="ISEL-1.9"/>
    <n v="0"/>
    <s v="NO TIENE L3OUT"/>
    <n v="64"/>
    <n v="54"/>
  </r>
  <r>
    <n v="763"/>
    <x v="2"/>
    <x v="63"/>
    <s v="eth1/9"/>
    <x v="0"/>
    <x v="0"/>
    <x v="0"/>
    <s v="PAAS:ithhwoscopap009:LOM PORT 3"/>
    <x v="0"/>
    <b v="0"/>
    <s v="No está en VPC"/>
    <n v="763"/>
    <s v="INTPG_VPC_762_1.9_763_1.9"/>
    <s v="ISEL-1.9"/>
    <n v="15"/>
    <s v="NO TIENE L3OUT"/>
    <n v="2"/>
    <n v="54"/>
  </r>
  <r>
    <n v="766"/>
    <x v="2"/>
    <x v="64"/>
    <s v="eth1/9"/>
    <x v="0"/>
    <x v="0"/>
    <x v="0"/>
    <s v="Portchannel_7_R6A"/>
    <x v="0"/>
    <b v="0"/>
    <s v="No está en VPC"/>
    <n v="766"/>
    <s v="INTPG_PC_766_1.9-12"/>
    <s v="ISEL-1.9"/>
    <n v="1"/>
    <s v="NO TIENE L3OUT"/>
    <n v="58"/>
    <n v="54"/>
  </r>
  <r>
    <n v="760"/>
    <x v="2"/>
    <x v="65"/>
    <s v="eth1/9"/>
    <x v="0"/>
    <x v="1"/>
    <x v="1"/>
    <m/>
    <x v="0"/>
    <b v="0"/>
    <s v="No está en VPC"/>
    <n v="760"/>
    <s v="INTPG_VPC_760_1.9-12_761_1.9-12"/>
    <s v="ISEL-1.9"/>
    <n v="0"/>
    <s v="L3OUT-EXACLOUD"/>
    <n v="0"/>
    <n v="54"/>
  </r>
  <r>
    <n v="752"/>
    <x v="2"/>
    <x v="66"/>
    <s v="eth1/9"/>
    <x v="0"/>
    <x v="0"/>
    <x v="0"/>
    <s v="PAAS:ithhwoscopap007:Slot4.1"/>
    <x v="0"/>
    <b v="0"/>
    <s v="No está en VPC"/>
    <n v="752"/>
    <s v="INTPG_VPC_747_1.9_752_1.9"/>
    <s v="ISEL-1.9"/>
    <n v="25"/>
    <s v="NO TIENE L3OUT"/>
    <n v="0"/>
    <n v="54"/>
  </r>
  <r>
    <n v="765"/>
    <x v="2"/>
    <x v="67"/>
    <s v="eth1/9"/>
    <x v="0"/>
    <x v="0"/>
    <x v="0"/>
    <s v="Portchannel_1_R6A"/>
    <x v="0"/>
    <b v="0"/>
    <s v="No está en VPC"/>
    <n v="765"/>
    <s v="INTPG_PC_765_1.7-10"/>
    <s v="ISEL-1.9"/>
    <n v="2"/>
    <s v="NO TIENE L3OUT"/>
    <n v="60"/>
    <n v="54"/>
  </r>
  <r>
    <n v="778"/>
    <x v="2"/>
    <x v="68"/>
    <s v="eth1/9"/>
    <x v="0"/>
    <x v="0"/>
    <x v="0"/>
    <s v="ENIQ F1:itheniqr07ombsr2:Slot 2/2"/>
    <x v="0"/>
    <b v="0"/>
    <s v="No está en VPC"/>
    <n v="778"/>
    <s v="INTPG_PC_778_1.7-10"/>
    <s v="ISEL-1.9"/>
    <n v="2"/>
    <s v="NO TIENE L3OUT"/>
    <n v="26"/>
    <n v="54"/>
  </r>
  <r>
    <n v="780"/>
    <x v="2"/>
    <x v="69"/>
    <s v="eth1/9"/>
    <x v="0"/>
    <x v="0"/>
    <x v="0"/>
    <s v="LACP_OMBS_ENIQ1"/>
    <x v="0"/>
    <b v="0"/>
    <s v="No está en VPC"/>
    <n v="780"/>
    <s v="INTPG_PC_780_1.7-10"/>
    <s v="ISEL-1.9"/>
    <n v="2"/>
    <s v="NO TIENE L3OUT"/>
    <n v="26"/>
    <n v="54"/>
  </r>
  <r>
    <n v="812"/>
    <x v="2"/>
    <x v="70"/>
    <s v="eth1/9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9"/>
    <x v="0"/>
    <x v="0"/>
    <x v="0"/>
    <s v="ITHFHWTSHNLCN05_VMs-05_Taishan_IT"/>
    <x v="0"/>
    <b v="0"/>
    <s v="No está en VPC"/>
    <n v="796"/>
    <s v="INTPG_VPC_795_1.9_796_1.9"/>
    <s v="ISEL-1.9"/>
    <n v="14"/>
    <s v="NO TIENE L3OUT"/>
    <n v="18"/>
    <n v="54"/>
  </r>
  <r>
    <n v="795"/>
    <x v="2"/>
    <x v="72"/>
    <s v="eth1/9"/>
    <x v="0"/>
    <x v="0"/>
    <x v="0"/>
    <s v="ITHFHWTSHNLCN05_VMs-05_Taishan_IT"/>
    <x v="0"/>
    <b v="0"/>
    <s v="No está en VPC"/>
    <n v="795"/>
    <s v="INTPG_VPC_795_1.9_796_1.9"/>
    <s v="ISEL-1.9"/>
    <n v="14"/>
    <s v="NO TIENE L3OUT"/>
    <n v="18"/>
    <n v="54"/>
  </r>
  <r>
    <n v="749"/>
    <x v="2"/>
    <x v="73"/>
    <s v="eth1/9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9"/>
    <x v="0"/>
    <x v="0"/>
    <x v="0"/>
    <s v="LINK_TO_ITHFHWCMVWPMA08 /Slot5.1 /Redundante"/>
    <x v="0"/>
    <b v="0"/>
    <s v="No está en VPC"/>
    <n v="824"/>
    <s v="INTPG_ACC_824_1.9"/>
    <s v="ISEL-1.9"/>
    <n v="1"/>
    <s v="NO TIENE L3OUT"/>
    <n v="70"/>
    <n v="54"/>
  </r>
  <r>
    <n v="819"/>
    <x v="2"/>
    <x v="75"/>
    <s v="eth1/9"/>
    <x v="0"/>
    <x v="0"/>
    <x v="0"/>
    <s v="LINK_TO_ITHFHWCMVWPMA08 /10GE.1 /Principal"/>
    <x v="0"/>
    <b v="0"/>
    <s v="No está en VPC"/>
    <n v="819"/>
    <s v="INTPG_ACC_819_1.9"/>
    <s v="ISEL-1.9"/>
    <n v="1"/>
    <s v="NO TIENE L3OUT"/>
    <n v="70"/>
    <n v="54"/>
  </r>
  <r>
    <n v="737"/>
    <x v="2"/>
    <x v="76"/>
    <s v="eth1/9"/>
    <x v="0"/>
    <x v="0"/>
    <x v="0"/>
    <s v="CEM:ITHCEMF2DAT05:LOM P3"/>
    <x v="5"/>
    <b v="0"/>
    <s v="No está en VPC"/>
    <n v="737"/>
    <s v="INTPG_ACC_737_1.9"/>
    <s v="ISEL-1.9"/>
    <n v="1"/>
    <s v="NO TIENE L3OUT"/>
    <n v="72"/>
    <n v="54"/>
  </r>
  <r>
    <n v="844"/>
    <x v="2"/>
    <x v="77"/>
    <s v="eth1/9"/>
    <x v="0"/>
    <x v="0"/>
    <x v="0"/>
    <s v="LINK_TO_ITHFHWCRMPLCN103 / Slot1.3_10 / Principal"/>
    <x v="0"/>
    <b v="0"/>
    <s v="No está en VPC"/>
    <n v="844"/>
    <s v="INTPG_ACC_844_1.9"/>
    <s v="ISEL-1.9"/>
    <n v="1"/>
    <s v="NO TIENE L3OUT"/>
    <n v="282"/>
    <n v="54"/>
  </r>
  <r>
    <n v="843"/>
    <x v="2"/>
    <x v="78"/>
    <s v="eth1/9"/>
    <x v="0"/>
    <x v="0"/>
    <x v="0"/>
    <s v="LINK_To_ITHFHWCBSPSUSBD25 / Slot7.1_6 / Redundante"/>
    <x v="0"/>
    <b v="0"/>
    <s v="No está en VPC"/>
    <n v="843"/>
    <s v="INTPG_VPC_838_1.9_843_1.9"/>
    <s v="ISEL-1.9"/>
    <n v="2"/>
    <s v="NO TIENE L3OUT"/>
    <n v="38"/>
    <n v="54"/>
  </r>
  <r>
    <n v="797"/>
    <x v="2"/>
    <x v="79"/>
    <s v="eth1/9"/>
    <x v="0"/>
    <x v="0"/>
    <x v="0"/>
    <s v="TO-HDPS_11-MSP"/>
    <x v="0"/>
    <b v="0"/>
    <s v="No está en VPC"/>
    <n v="797"/>
    <s v="INTPG_ACC_797_1.9"/>
    <s v="ISEL-1.9"/>
    <n v="1"/>
    <s v="NO TIENE L3OUT"/>
    <n v="48"/>
    <n v="54"/>
  </r>
  <r>
    <n v="839"/>
    <x v="2"/>
    <x v="80"/>
    <s v="eth1/9"/>
    <x v="0"/>
    <x v="0"/>
    <x v="0"/>
    <s v="LINK_TO_ITHFHWCBSPSHD45 / Slot7.3_8 / Redundante"/>
    <x v="0"/>
    <b v="0"/>
    <s v="No está en VPC"/>
    <n v="839"/>
    <s v="INTPG_VPC_834_1.9_839_1.9"/>
    <s v="ISEL-1.9"/>
    <n v="1"/>
    <s v="NO TIENE L3OUT"/>
    <n v="0"/>
    <n v="54"/>
  </r>
  <r>
    <n v="847"/>
    <x v="2"/>
    <x v="81"/>
    <s v="eth1/9"/>
    <x v="0"/>
    <x v="0"/>
    <x v="0"/>
    <s v="LINK_TO_ITHHWD6KV65100018DKC01 / CTMB_IOM0.P0_34 / Principal"/>
    <x v="0"/>
    <b v="0"/>
    <s v="No está en VPC"/>
    <n v="847"/>
    <s v="INTPG_ACC_847_1.9"/>
    <s v="ISEL-1.9"/>
    <n v="1"/>
    <s v="NO TIENE L3OUT"/>
    <n v="204"/>
    <n v="54"/>
  </r>
  <r>
    <n v="848"/>
    <x v="2"/>
    <x v="82"/>
    <s v="eth1/9"/>
    <x v="0"/>
    <x v="0"/>
    <x v="0"/>
    <s v="LINK_TO_ITHFHWCRMPLCN157 / Slot7.2_16 / Redundante"/>
    <x v="0"/>
    <b v="0"/>
    <s v="No está en VPC"/>
    <n v="848"/>
    <s v="INTPG_ACC_848_1.9"/>
    <s v="ISEL-1.9"/>
    <n v="2"/>
    <s v="NO TIENE L3OUT"/>
    <n v="254"/>
    <n v="54"/>
  </r>
  <r>
    <n v="846"/>
    <x v="2"/>
    <x v="83"/>
    <s v="eth1/9"/>
    <x v="0"/>
    <x v="0"/>
    <x v="0"/>
    <s v="LINK_TO_ITHHWD6KV65100011DKC01 / CTMB_IOM1.P0_34 / Principal"/>
    <x v="0"/>
    <b v="0"/>
    <s v="No está en VPC"/>
    <n v="846"/>
    <s v="INTPG_ACC_846_1.9"/>
    <s v="ISEL-1.9"/>
    <n v="1"/>
    <s v="NO TIENE L3OUT"/>
    <n v="242"/>
    <n v="54"/>
  </r>
  <r>
    <n v="838"/>
    <x v="2"/>
    <x v="84"/>
    <s v="eth1/9"/>
    <x v="0"/>
    <x v="0"/>
    <x v="0"/>
    <s v="LINK_To_ITHFHWCBSPSUSBD25 / Slot1.1_6 / Principal"/>
    <x v="0"/>
    <b v="0"/>
    <s v="No está en VPC"/>
    <n v="838"/>
    <s v="INTPG_VPC_838_1.9_843_1.9"/>
    <s v="ISEL-1.9"/>
    <n v="2"/>
    <s v="NO TIENE L3OUT"/>
    <n v="38"/>
    <n v="54"/>
  </r>
  <r>
    <n v="849"/>
    <x v="2"/>
    <x v="85"/>
    <s v="eth1/9"/>
    <x v="0"/>
    <x v="0"/>
    <x v="0"/>
    <s v="LINK_TO_ITHFHWCRMPLCN137 / Slot7.2_8 / Redundante"/>
    <x v="0"/>
    <b v="0"/>
    <s v="No está en VPC"/>
    <n v="849"/>
    <s v="INTPG_ACC_849_1.9"/>
    <s v="ISEL-1.9"/>
    <n v="2"/>
    <s v="NO TIENE L3OUT"/>
    <n v="286"/>
    <n v="54"/>
  </r>
  <r>
    <n v="845"/>
    <x v="2"/>
    <x v="86"/>
    <s v="eth1/9"/>
    <x v="0"/>
    <x v="0"/>
    <x v="0"/>
    <s v="LINK_TO_ITHFHWCRMPLCN100 / Slot1.1_32 / Principal"/>
    <x v="0"/>
    <b v="0"/>
    <s v="No está en VPC"/>
    <n v="845"/>
    <s v="INTPG_ACC_845_1.9"/>
    <s v="ISEL-1.9"/>
    <n v="6"/>
    <s v="NO TIENE L3OUT"/>
    <n v="258"/>
    <n v="54"/>
  </r>
  <r>
    <n v="873"/>
    <x v="2"/>
    <x v="87"/>
    <s v="eth1/9"/>
    <x v="0"/>
    <x v="0"/>
    <x v="0"/>
    <s v="TO_ITHFHWCRMDLCN56_Principal"/>
    <x v="0"/>
    <b v="0"/>
    <s v="No está en VPC"/>
    <n v="873"/>
    <s v="INTPG_ACC_873_1.9"/>
    <s v="ISEL-1.9"/>
    <n v="6"/>
    <s v="NO TIENE L3OUT"/>
    <n v="248"/>
    <n v="54"/>
  </r>
  <r>
    <n v="864"/>
    <x v="2"/>
    <x v="88"/>
    <s v="eth1/9"/>
    <x v="0"/>
    <x v="0"/>
    <x v="0"/>
    <s v="To_VPC_2DCBSD_HD33_3"/>
    <x v="0"/>
    <b v="0"/>
    <s v="No está en VPC"/>
    <n v="864"/>
    <s v="INTPG_VPC_859_1.9_864_1.9"/>
    <s v="ISEL-1.9"/>
    <n v="1"/>
    <s v="NO TIENE L3OUT"/>
    <n v="0"/>
    <n v="54"/>
  </r>
  <r>
    <n v="836"/>
    <x v="2"/>
    <x v="89"/>
    <s v="eth1/9"/>
    <x v="0"/>
    <x v="0"/>
    <x v="0"/>
    <s v="LINK_TO_ITHFHWCBSPSUSBD37 / Slot1.2_10 / Principal"/>
    <x v="0"/>
    <b v="0"/>
    <s v="No está en VPC"/>
    <n v="836"/>
    <s v="INTPG_VPC_836_1.9_841_1.9"/>
    <s v="ISEL-1.9"/>
    <n v="1"/>
    <s v="NO TIENE L3OUT"/>
    <n v="0"/>
    <n v="54"/>
  </r>
  <r>
    <n v="834"/>
    <x v="2"/>
    <x v="90"/>
    <s v="eth1/9"/>
    <x v="0"/>
    <x v="0"/>
    <x v="0"/>
    <s v="LINK_TO_ITHFHWCBSPSHD45 / Slot1.3_8 / Principal"/>
    <x v="0"/>
    <b v="0"/>
    <s v="No está en VPC"/>
    <n v="834"/>
    <s v="INTPG_VPC_834_1.9_839_1.9"/>
    <s v="ISEL-1.9"/>
    <n v="1"/>
    <s v="NO TIENE L3OUT"/>
    <n v="0"/>
    <n v="54"/>
  </r>
  <r>
    <n v="872"/>
    <x v="2"/>
    <x v="91"/>
    <s v="eth1/9"/>
    <x v="0"/>
    <x v="0"/>
    <x v="0"/>
    <s v="To_ITHFHWCRMDLCN72_Principal"/>
    <x v="0"/>
    <b v="0"/>
    <s v="No está en VPC"/>
    <n v="872"/>
    <s v="INTPG_ACC_872_1.9"/>
    <s v="ISEL-1.9"/>
    <n v="6"/>
    <s v="NO TIENE L3OUT"/>
    <n v="288"/>
    <n v="54"/>
  </r>
  <r>
    <n v="842"/>
    <x v="2"/>
    <x v="92"/>
    <s v="eth1/9"/>
    <x v="0"/>
    <x v="0"/>
    <x v="0"/>
    <s v="LINK_TO_ITHFHWCBSPSUSBD26 / Slot7.2_6 / Redundante"/>
    <x v="0"/>
    <b v="0"/>
    <s v="No está en VPC"/>
    <n v="842"/>
    <s v="INTPG_VPC_837_1.9_842_1.9"/>
    <s v="ISEL-1.9"/>
    <n v="1"/>
    <s v="NO TIENE L3OUT"/>
    <n v="8"/>
    <n v="54"/>
  </r>
  <r>
    <n v="828"/>
    <x v="2"/>
    <x v="93"/>
    <s v="eth1/9"/>
    <x v="0"/>
    <x v="0"/>
    <x v="0"/>
    <s v="LINK_TO_ITHFHWCBSDSWR34 /Slot4.2 /Principal"/>
    <x v="0"/>
    <b v="0"/>
    <s v="No está en VPC"/>
    <n v="828"/>
    <s v="INTPG_VPC_828_1.9_832_1.9"/>
    <s v="ISEL-1.9"/>
    <n v="1"/>
    <s v="NO TIENE L3OUT"/>
    <n v="192"/>
    <n v="54"/>
  </r>
  <r>
    <n v="870"/>
    <x v="2"/>
    <x v="94"/>
    <s v="eth1/9"/>
    <x v="0"/>
    <x v="0"/>
    <x v="0"/>
    <s v="TO_ITHFHWCRMDLCN56_Redundante"/>
    <x v="0"/>
    <b v="0"/>
    <s v="No está en VPC"/>
    <n v="870"/>
    <s v="INTPG_ACC_870_1.9"/>
    <s v="ISEL-1.9"/>
    <n v="6"/>
    <s v="NO TIENE L3OUT"/>
    <n v="248"/>
    <n v="54"/>
  </r>
  <r>
    <n v="866"/>
    <x v="2"/>
    <x v="95"/>
    <s v="eth1/9"/>
    <x v="0"/>
    <x v="0"/>
    <x v="0"/>
    <s v="To_VPC_2DCBSD_HD19_2"/>
    <x v="0"/>
    <b v="0"/>
    <s v="No está en VPC"/>
    <n v="866"/>
    <s v="INTPG_VPC_861_1.9_866_1.9"/>
    <s v="ISEL-1.9"/>
    <n v="1"/>
    <s v="NO TIENE L3OUT"/>
    <n v="8"/>
    <n v="54"/>
  </r>
  <r>
    <n v="862"/>
    <x v="2"/>
    <x v="96"/>
    <s v="eth1/9"/>
    <x v="0"/>
    <x v="0"/>
    <x v="0"/>
    <s v="TO-ITHFSUEXG2XCN01_PCI3.P1"/>
    <x v="0"/>
    <b v="0"/>
    <s v="No está en VPC"/>
    <n v="862"/>
    <s v="INTPG_ACC_862_1.9"/>
    <s v="ISEL-1.9"/>
    <n v="2"/>
    <s v="NO TIENE L3OUT"/>
    <n v="44"/>
    <n v="54"/>
  </r>
  <r>
    <n v="855"/>
    <x v="2"/>
    <x v="97"/>
    <s v="eth1/9"/>
    <x v="0"/>
    <x v="0"/>
    <x v="0"/>
    <s v="LINK_TO_ITHFHWCRMPLCN157 / Slot1.2_16 / Principal"/>
    <x v="0"/>
    <b v="0"/>
    <s v="No está en VPC"/>
    <n v="855"/>
    <s v="INTPG_ACC_855_1.9"/>
    <s v="ISEL-1.9"/>
    <n v="2"/>
    <s v="NO TIENE L3OUT"/>
    <n v="254"/>
    <n v="54"/>
  </r>
  <r>
    <n v="871"/>
    <x v="2"/>
    <x v="98"/>
    <s v="eth1/9"/>
    <x v="0"/>
    <x v="0"/>
    <x v="0"/>
    <s v="TO_ITHFHWCRMDLCN83_Principal"/>
    <x v="0"/>
    <b v="0"/>
    <s v="No está en VPC"/>
    <n v="871"/>
    <s v="INTPG_ACC_871_1.9"/>
    <s v="ISEL-1.9"/>
    <n v="1"/>
    <s v="NO TIENE L3OUT"/>
    <n v="246"/>
    <n v="54"/>
  </r>
  <r>
    <n v="841"/>
    <x v="2"/>
    <x v="99"/>
    <s v="eth1/9"/>
    <x v="0"/>
    <x v="0"/>
    <x v="0"/>
    <s v="LINK_TO_ITHFHWCBSPSUSBD37 / Slot7.2_10 / Redundante"/>
    <x v="0"/>
    <b v="0"/>
    <s v="No está en VPC"/>
    <n v="841"/>
    <s v="INTPG_VPC_836_1.9_841_1.9"/>
    <s v="ISEL-1.9"/>
    <n v="1"/>
    <s v="NO TIENE L3OUT"/>
    <n v="0"/>
    <n v="54"/>
  </r>
  <r>
    <n v="868"/>
    <x v="2"/>
    <x v="100"/>
    <s v="eth1/9"/>
    <x v="0"/>
    <x v="0"/>
    <x v="0"/>
    <s v="TO_ITHFHWCRMDLCN83_Redundante"/>
    <x v="0"/>
    <b v="0"/>
    <s v="No está en VPC"/>
    <n v="868"/>
    <s v="INTPG_ACC_868_1.9"/>
    <s v="ISEL-1.9"/>
    <n v="1"/>
    <s v="NO TIENE L3OUT"/>
    <n v="246"/>
    <n v="54"/>
  </r>
  <r>
    <n v="869"/>
    <x v="2"/>
    <x v="101"/>
    <s v="eth1/9"/>
    <x v="0"/>
    <x v="0"/>
    <x v="0"/>
    <s v="To_ITHFHWCRMDLCN72_Redundante"/>
    <x v="0"/>
    <b v="0"/>
    <s v="No está en VPC"/>
    <n v="869"/>
    <s v="INTPG_ACC_869_1.9"/>
    <s v="ISEL-1.9"/>
    <n v="6"/>
    <s v="NO TIENE L3OUT"/>
    <n v="288"/>
    <n v="54"/>
  </r>
  <r>
    <n v="861"/>
    <x v="2"/>
    <x v="102"/>
    <s v="eth1/9"/>
    <x v="0"/>
    <x v="0"/>
    <x v="0"/>
    <s v="To_VPC_2DCBSD_HD19_2"/>
    <x v="0"/>
    <b v="0"/>
    <s v="No está en VPC"/>
    <n v="861"/>
    <s v="INTPG_VPC_861_1.9_866_1.9"/>
    <s v="ISEL-1.9"/>
    <n v="1"/>
    <s v="NO TIENE L3OUT"/>
    <n v="8"/>
    <n v="54"/>
  </r>
  <r>
    <n v="874"/>
    <x v="2"/>
    <x v="103"/>
    <s v="eth1/9"/>
    <x v="0"/>
    <x v="0"/>
    <x v="0"/>
    <s v="LINK_TO_ITHFHWSEQLCAS32 / Slot 5 PTO 1 / Redundante"/>
    <x v="4"/>
    <b v="0"/>
    <s v="No está en VPC"/>
    <n v="874"/>
    <s v="INTPG_ACC_874_1.9"/>
    <s v="ISEL-1.9"/>
    <n v="1"/>
    <s v="NO TIENE L3OUT"/>
    <n v="92"/>
    <n v="54"/>
  </r>
  <r>
    <n v="865"/>
    <x v="2"/>
    <x v="104"/>
    <s v="eth1/9"/>
    <x v="0"/>
    <x v="0"/>
    <x v="0"/>
    <s v="To_VPC_2DCBSD_HD25_3"/>
    <x v="0"/>
    <b v="0"/>
    <s v="No está en VPC"/>
    <n v="865"/>
    <s v="INTPG_VPC_860_1.9_865_1.9"/>
    <s v="ISEL-1.9"/>
    <n v="1"/>
    <s v="NO TIENE L3OUT"/>
    <n v="0"/>
    <n v="54"/>
  </r>
  <r>
    <n v="753"/>
    <x v="2"/>
    <x v="105"/>
    <s v="eth1/9"/>
    <x v="0"/>
    <x v="0"/>
    <x v="0"/>
    <s v="OSS F1:ithenmr03bl04ombsr9c:PORT 1"/>
    <x v="0"/>
    <b v="0"/>
    <s v="No está en VPC"/>
    <n v="753"/>
    <s v="INTPG_PC_753_1.9-12"/>
    <s v="ISEL-1.9"/>
    <n v="2"/>
    <s v="NO TIENE L3OUT"/>
    <n v="62"/>
    <n v="54"/>
  </r>
  <r>
    <n v="708"/>
    <x v="2"/>
    <x v="106"/>
    <s v="eth1/9"/>
    <x v="0"/>
    <x v="1"/>
    <x v="5"/>
    <s v="CEM:ITHCEMF2DAT05:LOM P1"/>
    <x v="0"/>
    <b v="0"/>
    <s v="No está en VPC"/>
    <n v="708"/>
    <s v="INTPG_VPC_708_1.9_709_1.10"/>
    <s v="ISEL-1.9"/>
    <n v="1"/>
    <s v="NO TIENE L3OUT"/>
    <n v="0"/>
    <n v="54"/>
  </r>
  <r>
    <n v="710"/>
    <x v="2"/>
    <x v="107"/>
    <s v="eth1/9"/>
    <x v="0"/>
    <x v="1"/>
    <x v="5"/>
    <s v="CEM:ITHCEMD2DAT05:LOM P1"/>
    <x v="0"/>
    <b v="0"/>
    <s v="No está en VPC"/>
    <n v="710"/>
    <s v="INTPG_VPC_710_1.9_711_1.10"/>
    <s v="ISEL-1.9"/>
    <n v="1"/>
    <s v="NO TIENE L3OUT"/>
    <n v="16"/>
    <n v="54"/>
  </r>
  <r>
    <n v="713"/>
    <x v="2"/>
    <x v="108"/>
    <s v="eth1/9"/>
    <x v="0"/>
    <x v="0"/>
    <x v="0"/>
    <s v="CEM:ITHCEMA2DAT05:LOM P1"/>
    <x v="0"/>
    <b v="0"/>
    <s v="No está en VPC"/>
    <n v="713"/>
    <s v="INTPG_ACC_713_1.9"/>
    <s v="ISEL-1.9"/>
    <n v="1"/>
    <s v="NO TIENE L3OUT"/>
    <n v="32"/>
    <n v="54"/>
  </r>
  <r>
    <n v="735"/>
    <x v="2"/>
    <x v="109"/>
    <s v="eth1/9"/>
    <x v="0"/>
    <x v="1"/>
    <x v="1"/>
    <s v="CEM:ITHCEMA1DAT05:LOM P3"/>
    <x v="5"/>
    <b v="0"/>
    <s v="No está en VPC"/>
    <n v="735"/>
    <s v="INTPG_ACC_735_1.9"/>
    <s v="ISEL-1.9"/>
    <n v="1"/>
    <s v="NO TIENE L3OUT"/>
    <n v="34"/>
    <n v="54"/>
  </r>
  <r>
    <n v="731"/>
    <x v="2"/>
    <x v="110"/>
    <s v="eth1/9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9"/>
    <x v="0"/>
    <x v="0"/>
    <x v="0"/>
    <m/>
    <x v="0"/>
    <b v="0"/>
    <s v="No está en VPC"/>
    <n v="703"/>
    <s v="INTPG_VPC_703_1.9_704_1.10"/>
    <s v="ISEL-1.9"/>
    <n v="1"/>
    <s v="NO TIENE L3OUT"/>
    <n v="2"/>
    <n v="54"/>
  </r>
  <r>
    <n v="706"/>
    <x v="2"/>
    <x v="112"/>
    <s v="eth1/9"/>
    <x v="0"/>
    <x v="0"/>
    <x v="0"/>
    <s v="CEM:ITHCEMA1DAT05:LOM  P1"/>
    <x v="0"/>
    <b v="0"/>
    <s v="No está en VPC"/>
    <n v="706"/>
    <s v="INTPG_ACC_706_1.9"/>
    <s v="ISEL-1.9"/>
    <n v="1"/>
    <s v="NO TIENE L3OUT"/>
    <n v="16"/>
    <n v="54"/>
  </r>
  <r>
    <n v="762"/>
    <x v="2"/>
    <x v="113"/>
    <s v="eth1/9"/>
    <x v="0"/>
    <x v="0"/>
    <x v="0"/>
    <s v="PAAS:ithhwoscopap009:FlexIO.1"/>
    <x v="0"/>
    <b v="0"/>
    <s v="No está en VPC"/>
    <n v="762"/>
    <s v="INTPG_VPC_762_1.9_763_1.9"/>
    <s v="ISEL-1.9"/>
    <n v="15"/>
    <s v="NO TIENE L3OUT"/>
    <n v="0"/>
    <n v="54"/>
  </r>
  <r>
    <n v="814"/>
    <x v="2"/>
    <x v="114"/>
    <s v="eth1/9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9"/>
    <x v="0"/>
    <x v="0"/>
    <x v="0"/>
    <s v="HACIA_MGMT-OSCP-F4-09_PRINCIPAL"/>
    <x v="4"/>
    <b v="0"/>
    <s v="No está en VPC"/>
    <n v="878"/>
    <s v="INTPG_VPC_878_1.9_879_1.9"/>
    <s v="ISEL-1.9"/>
    <n v="1"/>
    <s v="NO TIENE L3OUT"/>
    <n v="0"/>
    <n v="54"/>
  </r>
  <r>
    <n v="826"/>
    <x v="2"/>
    <x v="116"/>
    <s v="eth1/9"/>
    <x v="0"/>
    <x v="0"/>
    <x v="0"/>
    <s v="LINK_TO_ITHFHWCBSDSUSBD06 /Slot4.2 /Principal"/>
    <x v="0"/>
    <b v="0"/>
    <s v="No está en VPC"/>
    <n v="826"/>
    <s v="INTPG_VPC_826_1.9_830_1.9"/>
    <s v="ISEL-1.9"/>
    <n v="1"/>
    <s v="NO TIENE L3OUT"/>
    <n v="12"/>
    <n v="54"/>
  </r>
  <r>
    <n v="726"/>
    <x v="2"/>
    <x v="117"/>
    <s v="eth1/9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9"/>
    <x v="0"/>
    <x v="1"/>
    <x v="1"/>
    <s v="CEM:ITHCEMC2DAT05:LOM P3"/>
    <x v="5"/>
    <b v="0"/>
    <s v="No está en VPC"/>
    <n v="740"/>
    <s v="INTPG_ACC_740_1.9"/>
    <s v="ISEL-1.9"/>
    <n v="1"/>
    <s v="NO TIENE L3OUT"/>
    <n v="72"/>
    <n v="54"/>
  </r>
  <r>
    <n v="705"/>
    <x v="2"/>
    <x v="119"/>
    <s v="eth1/9"/>
    <x v="0"/>
    <x v="0"/>
    <x v="0"/>
    <s v="CEM:ITHOIDB1SVR05:LOM  P2"/>
    <x v="0"/>
    <b v="0"/>
    <s v="No está en VPC"/>
    <n v="705"/>
    <s v="INTPG_VPC_705_1.9_706_1.10"/>
    <s v="ISEL-1.9"/>
    <n v="2"/>
    <s v="NO TIENE L3OUT"/>
    <n v="16"/>
    <n v="54"/>
  </r>
  <r>
    <n v="723"/>
    <x v="2"/>
    <x v="120"/>
    <s v="eth1/9"/>
    <x v="0"/>
    <x v="0"/>
    <x v="0"/>
    <m/>
    <x v="0"/>
    <b v="0"/>
    <s v="No está en VPC"/>
    <n v="723"/>
    <s v="INTPG-VPC_HDD116_723_1.9_722_1.10"/>
    <s v="ISEL-1.9"/>
    <n v="1"/>
    <s v="NO TIENE L3OUT"/>
    <n v="0"/>
    <n v="54"/>
  </r>
  <r>
    <n v="721"/>
    <x v="2"/>
    <x v="121"/>
    <s v="eth1/9"/>
    <x v="0"/>
    <x v="0"/>
    <x v="0"/>
    <s v="TO-ITHFHWVRALCN06"/>
    <x v="0"/>
    <b v="0"/>
    <s v="No está en VPC"/>
    <n v="721"/>
    <s v="INTPG_VPC_714_1.10_721_1.9"/>
    <s v="ISEL-1.9"/>
    <n v="108"/>
    <s v="NO TIENE L3OUT"/>
    <n v="20"/>
    <n v="54"/>
  </r>
  <r>
    <n v="788"/>
    <x v="2"/>
    <x v="122"/>
    <s v="eth1/9"/>
    <x v="0"/>
    <x v="0"/>
    <x v="0"/>
    <s v="TO-ITHFHPMEDIRAP01-Principal"/>
    <x v="0"/>
    <b v="0"/>
    <s v="No está en VPC"/>
    <n v="788"/>
    <s v="INTPG_ACC_788_1.9"/>
    <s v="ISEL-1.9"/>
    <n v="1"/>
    <s v="NO TIENE L3OUT"/>
    <n v="4"/>
    <n v="54"/>
  </r>
  <r>
    <n v="732"/>
    <x v="2"/>
    <x v="123"/>
    <s v="eth1/9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9"/>
    <x v="0"/>
    <x v="0"/>
    <x v="0"/>
    <m/>
    <x v="0"/>
    <b v="0"/>
    <s v="No está en VPC"/>
    <n v="720"/>
    <s v="INTPG-VPC_MGN01_720_1.9_719_1.10"/>
    <s v="ISEL-1.9"/>
    <n v="1"/>
    <s v="NO TIENE L3OUT"/>
    <n v="0"/>
    <n v="54"/>
  </r>
  <r>
    <n v="709"/>
    <x v="2"/>
    <x v="125"/>
    <s v="eth1/9"/>
    <x v="0"/>
    <x v="1"/>
    <x v="5"/>
    <s v="CEM:ITHCEME2DAT05:LOM P1"/>
    <x v="0"/>
    <b v="0"/>
    <s v="No está en VPC"/>
    <n v="709"/>
    <s v="INTPG_VPC_708_1.10_709_1.9"/>
    <s v="ISEL-1.9"/>
    <n v="1"/>
    <s v="NO TIENE L3OUT"/>
    <n v="0"/>
    <n v="54"/>
  </r>
  <r>
    <n v="454"/>
    <x v="1"/>
    <x v="126"/>
    <s v="eth1/9"/>
    <x v="0"/>
    <x v="0"/>
    <x v="0"/>
    <s v="HACIA_MGMT-OSCP-F4-05_PRINCIPAL"/>
    <x v="4"/>
    <b v="0"/>
    <s v="No está en VPC"/>
    <n v="454"/>
    <s v="INTPG_VPC_454_1.9_456_1.9"/>
    <s v="ISEL-1.9"/>
    <n v="1"/>
    <s v="NO TIENE L3OUT"/>
    <n v="4"/>
    <n v="54"/>
  </r>
  <r>
    <n v="734"/>
    <x v="2"/>
    <x v="127"/>
    <s v="eth1/9"/>
    <x v="0"/>
    <x v="1"/>
    <x v="1"/>
    <s v="CEM_HADOOP"/>
    <x v="5"/>
    <b v="0"/>
    <s v="No está en VPC"/>
    <n v="734"/>
    <s v="INTPG_ACC_734_1.9"/>
    <s v="ISEL-1.9"/>
    <n v="1"/>
    <s v="NO TIENE L3OUT"/>
    <n v="32"/>
    <n v="54"/>
  </r>
  <r>
    <n v="815"/>
    <x v="2"/>
    <x v="128"/>
    <s v="eth1/9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9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9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9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9"/>
    <x v="0"/>
    <x v="1"/>
    <x v="1"/>
    <s v="CEM:ITHCEMB2DAT05:LOM P3"/>
    <x v="5"/>
    <b v="0"/>
    <s v="No está en VPC"/>
    <n v="741"/>
    <s v="INTPG_ACC_741_1.9"/>
    <s v="ISEL-1.9"/>
    <n v="1"/>
    <s v="NO TIENE L3OUT"/>
    <n v="62"/>
    <n v="54"/>
  </r>
  <r>
    <n v="787"/>
    <x v="2"/>
    <x v="133"/>
    <s v="eth1/9"/>
    <x v="0"/>
    <x v="1"/>
    <x v="5"/>
    <s v="ENIQ F2:itheniqr16bl03ombsr4a:Slot 2/2"/>
    <x v="0"/>
    <b v="0"/>
    <s v="No está en VPC"/>
    <n v="787"/>
    <s v="INTPG_PC_787_1.7-10"/>
    <s v="ISEL-1.9"/>
    <n v="2"/>
    <s v="NO TIENE L3OUT"/>
    <n v="26"/>
    <n v="54"/>
  </r>
  <r>
    <n v="750"/>
    <x v="2"/>
    <x v="134"/>
    <s v="eth1/9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9"/>
    <x v="0"/>
    <x v="0"/>
    <x v="0"/>
    <s v="CRM, CBS:PR-R10-F07:X3-10GE 2"/>
    <x v="0"/>
    <b v="0"/>
    <s v="No está en VPC"/>
    <n v="792"/>
    <s v="INTPG_VPC_757_1.8-9_792_1.8-9"/>
    <s v="ISEL-1.9"/>
    <n v="6"/>
    <s v="NO TIENE L3OUT"/>
    <n v="0"/>
    <n v="54"/>
  </r>
  <r>
    <n v="736"/>
    <x v="2"/>
    <x v="136"/>
    <s v="eth1/9"/>
    <x v="0"/>
    <x v="0"/>
    <x v="0"/>
    <s v="CEM:ITHCEMG2DAT05:LOM  P2"/>
    <x v="0"/>
    <b v="0"/>
    <s v="No está en VPC"/>
    <n v="736"/>
    <s v="INTPG_ACC_736_1.9"/>
    <s v="ISEL-1.9"/>
    <n v="1"/>
    <s v="NO TIENE L3OUT"/>
    <n v="48"/>
    <n v="54"/>
  </r>
  <r>
    <n v="799"/>
    <x v="2"/>
    <x v="137"/>
    <s v="eth1/9"/>
    <x v="0"/>
    <x v="0"/>
    <x v="0"/>
    <s v="TO-IMC_PS23-MSP"/>
    <x v="0"/>
    <b v="0"/>
    <s v="No está en VPC"/>
    <n v="799"/>
    <s v="INTPG_ACC_799_1.9"/>
    <s v="ISEL-1.9"/>
    <n v="1"/>
    <s v="NO TIENE L3OUT"/>
    <n v="52"/>
    <n v="54"/>
  </r>
  <r>
    <n v="768"/>
    <x v="2"/>
    <x v="138"/>
    <s v="eth1/9"/>
    <x v="0"/>
    <x v="0"/>
    <x v="0"/>
    <s v="Portchannel_1_R3"/>
    <x v="0"/>
    <b v="0"/>
    <s v="No está en VPC"/>
    <n v="768"/>
    <s v="INTPG_PC_768_1.7-10"/>
    <s v="ISEL-1.9"/>
    <n v="2"/>
    <s v="NO TIENE L3OUT"/>
    <n v="62"/>
    <n v="54"/>
  </r>
  <r>
    <n v="714"/>
    <x v="2"/>
    <x v="139"/>
    <s v="eth1/9"/>
    <x v="0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9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9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9"/>
    <x v="0"/>
    <x v="0"/>
    <x v="0"/>
    <s v="Portchannel_1_R1"/>
    <x v="0"/>
    <b v="0"/>
    <s v="No está en VPC"/>
    <n v="764"/>
    <s v="INTPG_PC_764_1.7-10"/>
    <s v="ISEL-1.9"/>
    <n v="2"/>
    <s v="NO TIENE L3OUT"/>
    <n v="62"/>
    <n v="54"/>
  </r>
  <r>
    <n v="783"/>
    <x v="2"/>
    <x v="143"/>
    <s v="eth1/9"/>
    <x v="0"/>
    <x v="0"/>
    <x v="0"/>
    <s v="LACP_OMBS_ENIQ9A"/>
    <x v="0"/>
    <b v="0"/>
    <s v="No está en VPC"/>
    <n v="783"/>
    <s v="INTPG_PC_783_1.7-10"/>
    <s v="ISEL-1.9"/>
    <n v="2"/>
    <s v="NO TIENE L3OUT"/>
    <n v="26"/>
    <n v="54"/>
  </r>
  <r>
    <n v="774"/>
    <x v="2"/>
    <x v="144"/>
    <s v="eth1/9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9"/>
    <x v="0"/>
    <x v="0"/>
    <x v="0"/>
    <s v="Portchannel_4_R2"/>
    <x v="0"/>
    <b v="0"/>
    <s v="No está en VPC"/>
    <n v="773"/>
    <s v="INTPG_PC_773_1.9-10"/>
    <s v="ISEL-1.9"/>
    <n v="8"/>
    <s v="NO TIENE L3OUT"/>
    <n v="78"/>
    <n v="54"/>
  </r>
  <r>
    <n v="794"/>
    <x v="2"/>
    <x v="146"/>
    <s v="eth1/9"/>
    <x v="0"/>
    <x v="0"/>
    <x v="0"/>
    <s v="DESC"/>
    <x v="0"/>
    <b v="0"/>
    <s v="No está en VPC"/>
    <n v="794"/>
    <s v="INTPG_VPC_793_1.9_11_794_1.9_11"/>
    <s v="ISEL-1.9"/>
    <n v="1"/>
    <s v="NO TIENE L3OUT"/>
    <n v="12"/>
    <n v="54"/>
  </r>
  <r>
    <n v="803"/>
    <x v="2"/>
    <x v="147"/>
    <s v="eth1/9"/>
    <x v="0"/>
    <x v="0"/>
    <x v="0"/>
    <s v="TO-HDPS_35-MSP"/>
    <x v="0"/>
    <b v="0"/>
    <s v="No está en VPC"/>
    <n v="803"/>
    <s v="INTPG_ACC_803_1.9"/>
    <s v="ISEL-1.9"/>
    <n v="1"/>
    <s v="NO TIENE L3OUT"/>
    <n v="48"/>
    <n v="54"/>
  </r>
  <r>
    <n v="786"/>
    <x v="2"/>
    <x v="148"/>
    <s v="eth1/9"/>
    <x v="0"/>
    <x v="0"/>
    <x v="0"/>
    <s v="ENIQ F2:itheniqr14bl03ombsr4b:Slot 2/2"/>
    <x v="0"/>
    <b v="0"/>
    <s v="No está en VPC"/>
    <n v="786"/>
    <s v="INTPG_PC_786_1.7-10"/>
    <s v="ISEL-1.9"/>
    <n v="2"/>
    <s v="NO TIENE L3OUT"/>
    <n v="26"/>
    <n v="54"/>
  </r>
  <r>
    <n v="757"/>
    <x v="2"/>
    <x v="149"/>
    <s v="eth1/9"/>
    <x v="0"/>
    <x v="0"/>
    <x v="0"/>
    <s v="CRM, CBS:ITHHWBESRK10CH1:X3-10GE 1"/>
    <x v="0"/>
    <b v="0"/>
    <s v="No está en VPC"/>
    <n v="757"/>
    <s v="INTPG_VPC_757_1.8-9_792_1.8-9"/>
    <s v="ISEL-1.9"/>
    <n v="6"/>
    <s v="NO TIENE L3OUT"/>
    <n v="0"/>
    <n v="54"/>
  </r>
  <r>
    <n v="781"/>
    <x v="2"/>
    <x v="150"/>
    <s v="eth1/9"/>
    <x v="0"/>
    <x v="0"/>
    <x v="0"/>
    <s v="LACP_OMBS_ENIQ9C"/>
    <x v="0"/>
    <b v="0"/>
    <s v="No está en VPC"/>
    <n v="781"/>
    <s v="INTPG_PC_781_1.7-10"/>
    <s v="ISEL-1.9"/>
    <n v="2"/>
    <s v="NO TIENE L3OUT"/>
    <n v="26"/>
    <n v="54"/>
  </r>
  <r>
    <n v="793"/>
    <x v="2"/>
    <x v="151"/>
    <s v="eth1/9"/>
    <x v="0"/>
    <x v="0"/>
    <x v="0"/>
    <s v="DESC"/>
    <x v="0"/>
    <b v="0"/>
    <s v="No está en VPC"/>
    <n v="793"/>
    <s v="INTPG_VPC_793_1.9_11_794_1.9_11"/>
    <s v="ISEL-1.9"/>
    <n v="1"/>
    <s v="NO TIENE L3OUT"/>
    <n v="12"/>
    <n v="54"/>
  </r>
  <r>
    <n v="747"/>
    <x v="2"/>
    <x v="152"/>
    <s v="eth1/9"/>
    <x v="0"/>
    <x v="0"/>
    <x v="0"/>
    <s v="PAAS:ithhwoscopap009:LOM PORT 1"/>
    <x v="0"/>
    <b v="0"/>
    <s v="No está en VPC"/>
    <n v="747"/>
    <s v="INTPG_VPC_747_1.9_752_1.9"/>
    <s v="ISEL-1.9"/>
    <n v="25"/>
    <s v="NO TIENE L3OUT"/>
    <n v="0"/>
    <n v="54"/>
  </r>
  <r>
    <n v="784"/>
    <x v="2"/>
    <x v="153"/>
    <s v="eth1/9"/>
    <x v="0"/>
    <x v="0"/>
    <x v="0"/>
    <s v="ENIQ F2:itheniqr12bl03ombsr6b:Slot 2/2"/>
    <x v="0"/>
    <b v="0"/>
    <s v="No está en VPC"/>
    <n v="784"/>
    <s v="INTPG_PC_784_1.7-10"/>
    <s v="ISEL-1.9"/>
    <n v="2"/>
    <s v="NO TIENE L3OUT"/>
    <n v="26"/>
    <n v="54"/>
  </r>
  <r>
    <n v="806"/>
    <x v="2"/>
    <x v="154"/>
    <s v="eth1/9"/>
    <x v="0"/>
    <x v="0"/>
    <x v="0"/>
    <s v="TO-HDPS_59-MSP"/>
    <x v="0"/>
    <b v="0"/>
    <s v="No está en VPC"/>
    <n v="806"/>
    <s v="INTPG_ACC_806_1.9"/>
    <s v="ISEL-1.9"/>
    <n v="1"/>
    <s v="NO TIENE L3OUT"/>
    <n v="44"/>
    <n v="54"/>
  </r>
  <r>
    <n v="777"/>
    <x v="2"/>
    <x v="155"/>
    <s v="eth1/9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9"/>
    <x v="0"/>
    <x v="0"/>
    <x v="0"/>
    <s v="Portchannel_7_R4B"/>
    <x v="0"/>
    <b v="0"/>
    <s v="No está en VPC"/>
    <n v="770"/>
    <s v="INTPG_PC_770_1.9-12"/>
    <s v="ISEL-1.9"/>
    <n v="1"/>
    <s v="NO TIENE L3OUT"/>
    <n v="60"/>
    <n v="54"/>
  </r>
  <r>
    <n v="813"/>
    <x v="2"/>
    <x v="157"/>
    <s v="eth1/9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9"/>
    <x v="0"/>
    <x v="0"/>
    <x v="0"/>
    <s v="CEM:ITHCEMD2DAT05:LOM P3"/>
    <x v="5"/>
    <b v="0"/>
    <s v="No está en VPC"/>
    <n v="739"/>
    <s v="INTPG_ACC_739_1.9"/>
    <s v="ISEL-1.9"/>
    <n v="1"/>
    <s v="NO TIENE L3OUT"/>
    <n v="72"/>
    <n v="54"/>
  </r>
  <r>
    <n v="775"/>
    <x v="2"/>
    <x v="159"/>
    <s v="eth1/9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9"/>
    <x v="0"/>
    <x v="0"/>
    <x v="0"/>
    <s v="LINK_TO_ITHEMCPS5200TWPT3 / Nodo A IOM 1.3_04 / Redundante"/>
    <x v="0"/>
    <b v="0"/>
    <s v="No está en VPC"/>
    <n v="791"/>
    <s v="INTPG_ACC_791_1.9"/>
    <s v="ISEL-1.9"/>
    <n v="2"/>
    <s v="NO TIENE L3OUT"/>
    <n v="20"/>
    <n v="54"/>
  </r>
  <r>
    <n v="808"/>
    <x v="2"/>
    <x v="161"/>
    <s v="eth1/9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9"/>
    <x v="0"/>
    <x v="0"/>
    <x v="0"/>
    <s v="LINK_TO_ITHFHWCBSDSUSBD06 /Slot6.2 /Redundante"/>
    <x v="0"/>
    <b v="0"/>
    <s v="No está en VPC"/>
    <n v="830"/>
    <s v="INTPG_VPC_826_1.9_830_1.9"/>
    <s v="ISEL-1.9"/>
    <n v="1"/>
    <s v="NO TIENE L3OUT"/>
    <n v="12"/>
    <n v="54"/>
  </r>
  <r>
    <n v="821"/>
    <x v="2"/>
    <x v="163"/>
    <s v="eth1/9"/>
    <x v="0"/>
    <x v="0"/>
    <x v="0"/>
    <s v="LINK_TO_ITHFHWCBSPSUSBD11 /Slot6.2 /Redundante"/>
    <x v="0"/>
    <b v="0"/>
    <s v="No está en VPC"/>
    <n v="821"/>
    <s v="INTPG_VPC_816_1.9_821_1.9"/>
    <s v="ISEL-1.9"/>
    <n v="1"/>
    <s v="NO TIENE L3OUT"/>
    <n v="0"/>
    <n v="54"/>
  </r>
  <r>
    <n v="738"/>
    <x v="2"/>
    <x v="164"/>
    <s v="eth1/9"/>
    <x v="0"/>
    <x v="0"/>
    <x v="0"/>
    <s v="CEM:ITHCEME2DAT05:LOM P3"/>
    <x v="5"/>
    <b v="0"/>
    <s v="No está en VPC"/>
    <n v="738"/>
    <s v="INTPG_ACC_738_1.9"/>
    <s v="ISEL-1.9"/>
    <n v="1"/>
    <s v="NO TIENE L3OUT"/>
    <n v="72"/>
    <n v="54"/>
  </r>
  <r>
    <n v="820"/>
    <x v="2"/>
    <x v="165"/>
    <s v="eth1/9"/>
    <x v="0"/>
    <x v="0"/>
    <x v="0"/>
    <s v="LINK_TO_ITHHWCRMPEN02 /X3-10GE 2 /Redundante"/>
    <x v="0"/>
    <b v="0"/>
    <s v="No está en VPC"/>
    <n v="820"/>
    <s v="INTPG_VPC_820_1.6_9_825_1.6_9"/>
    <s v="ISEL-1.9"/>
    <n v="4"/>
    <s v="NO TIENE L3OUT"/>
    <n v="72"/>
    <n v="54"/>
  </r>
  <r>
    <n v="804"/>
    <x v="2"/>
    <x v="166"/>
    <s v="eth1/9"/>
    <x v="0"/>
    <x v="0"/>
    <x v="0"/>
    <s v="TO-HDPS_35-MSP"/>
    <x v="0"/>
    <b v="0"/>
    <s v="No está en VPC"/>
    <n v="804"/>
    <s v="INTPG_ACC_804_1.9"/>
    <s v="ISEL-1.9"/>
    <n v="1"/>
    <s v="NO TIENE L3OUT"/>
    <n v="48"/>
    <n v="54"/>
  </r>
  <r>
    <n v="779"/>
    <x v="2"/>
    <x v="167"/>
    <s v="eth1/9"/>
    <x v="0"/>
    <x v="0"/>
    <x v="0"/>
    <s v="ENIQ F1:itheniqr08ombsr3:Slot 2/2"/>
    <x v="0"/>
    <b v="0"/>
    <s v="No está en VPC"/>
    <n v="779"/>
    <s v="INTPG_PC_779_1.7-10"/>
    <s v="ISEL-1.9"/>
    <n v="2"/>
    <s v="NO TIENE L3OUT"/>
    <n v="30"/>
    <n v="54"/>
  </r>
  <r>
    <n v="767"/>
    <x v="2"/>
    <x v="168"/>
    <s v="eth1/9"/>
    <x v="0"/>
    <x v="0"/>
    <x v="0"/>
    <s v="Portchannel_2_R6B"/>
    <x v="0"/>
    <b v="0"/>
    <s v="No está en VPC"/>
    <n v="767"/>
    <s v="INTPG_PC_767_1.9-10"/>
    <s v="ISEL-1.9"/>
    <n v="8"/>
    <s v="NO TIENE L3OUT"/>
    <n v="60"/>
    <n v="54"/>
  </r>
  <r>
    <n v="827"/>
    <x v="2"/>
    <x v="169"/>
    <s v="eth1/9"/>
    <x v="0"/>
    <x v="0"/>
    <x v="0"/>
    <s v="LINK_TO_ITHFHWCBSDSUSBD08 /10GE.1 /Principal"/>
    <x v="0"/>
    <b v="0"/>
    <s v="No está en VPC"/>
    <n v="827"/>
    <s v="INTPG_VPC_827_1.9_831_1.9"/>
    <s v="ISEL-1.9"/>
    <n v="1"/>
    <s v="NO TIENE L3OUT"/>
    <n v="14"/>
    <n v="54"/>
  </r>
  <r>
    <n v="809"/>
    <x v="2"/>
    <x v="170"/>
    <s v="eth1/9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9"/>
    <x v="0"/>
    <x v="0"/>
    <x v="0"/>
    <s v="Portchannel_1_R4B"/>
    <x v="0"/>
    <b v="0"/>
    <s v="No está en VPC"/>
    <n v="771"/>
    <s v="INTPG_PC_771_1.7-10"/>
    <s v="ISEL-1.9"/>
    <n v="2"/>
    <s v="NO TIENE L3OUT"/>
    <n v="62"/>
    <n v="54"/>
  </r>
  <r>
    <n v="761"/>
    <x v="2"/>
    <x v="172"/>
    <s v="eth1/9"/>
    <x v="0"/>
    <x v="1"/>
    <x v="1"/>
    <m/>
    <x v="0"/>
    <b v="0"/>
    <s v="No está en VPC"/>
    <n v="761"/>
    <s v="INTPG_VPC_760_1.9-12_761_1.9-12"/>
    <s v="ISEL-1.9"/>
    <n v="0"/>
    <s v="L3OUT-EXACLOUD"/>
    <n v="0"/>
    <n v="54"/>
  </r>
  <r>
    <n v="776"/>
    <x v="2"/>
    <x v="173"/>
    <s v="eth1/9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9"/>
    <x v="0"/>
    <x v="0"/>
    <x v="0"/>
    <s v="TO-HDPS_59-MSP"/>
    <x v="0"/>
    <b v="0"/>
    <s v="No está en VPC"/>
    <n v="805"/>
    <s v="INTPG_ACC_805_1.9"/>
    <s v="ISEL-1.9"/>
    <n v="1"/>
    <s v="NO TIENE L3OUT"/>
    <n v="44"/>
    <n v="54"/>
  </r>
  <r>
    <n v="772"/>
    <x v="2"/>
    <x v="175"/>
    <s v="eth1/9"/>
    <x v="0"/>
    <x v="0"/>
    <x v="0"/>
    <s v="Portchannel_1_R2"/>
    <x v="0"/>
    <b v="0"/>
    <s v="No está en VPC"/>
    <n v="772"/>
    <s v="INTPG_PC_772_1.7-10"/>
    <s v="ISEL-1.9"/>
    <n v="2"/>
    <s v="NO TIENE L3OUT"/>
    <n v="82"/>
    <n v="54"/>
  </r>
  <r>
    <n v="785"/>
    <x v="2"/>
    <x v="176"/>
    <s v="eth1/9"/>
    <x v="0"/>
    <x v="0"/>
    <x v="0"/>
    <s v="ENIQ F2:itheniqr13bl03ombsr6a:Slot 2/2"/>
    <x v="0"/>
    <b v="0"/>
    <s v="No está en VPC"/>
    <n v="785"/>
    <s v="INTPG_PC_785_1.7-10"/>
    <s v="ISEL-1.9"/>
    <n v="2"/>
    <s v="NO TIENE L3OUT"/>
    <n v="32"/>
    <n v="54"/>
  </r>
  <r>
    <n v="851"/>
    <x v="2"/>
    <x v="177"/>
    <s v="eth1/9"/>
    <x v="0"/>
    <x v="0"/>
    <x v="0"/>
    <s v="LINK_TO_ITHFHWCRMPLCN103 / Slot7.3_10 / Redundante"/>
    <x v="0"/>
    <b v="0"/>
    <s v="No está en VPC"/>
    <n v="851"/>
    <s v="INTPG_ACC_851_1.9"/>
    <s v="ISEL-1.9"/>
    <n v="1"/>
    <s v="NO TIENE L3OUT"/>
    <n v="282"/>
    <n v="54"/>
  </r>
  <r>
    <n v="798"/>
    <x v="2"/>
    <x v="178"/>
    <s v="eth1/9"/>
    <x v="0"/>
    <x v="0"/>
    <x v="0"/>
    <s v="TO-IMC_PS23-MSP"/>
    <x v="0"/>
    <b v="0"/>
    <s v="No está en VPC"/>
    <n v="798"/>
    <s v="INTPG_ACC_798_1.9"/>
    <s v="ISEL-1.9"/>
    <n v="1"/>
    <s v="NO TIENE L3OUT"/>
    <n v="52"/>
    <n v="54"/>
  </r>
  <r>
    <n v="782"/>
    <x v="2"/>
    <x v="179"/>
    <s v="eth1/9"/>
    <x v="0"/>
    <x v="0"/>
    <x v="0"/>
    <s v="LACP_OMBS_ENIQ9B"/>
    <x v="0"/>
    <b v="0"/>
    <s v="No está en VPC"/>
    <n v="782"/>
    <s v="INTPG_PC_782_1.7-10"/>
    <s v="ISEL-1.9"/>
    <n v="2"/>
    <s v="NO TIENE L3OUT"/>
    <n v="32"/>
    <n v="54"/>
  </r>
  <r>
    <n v="852"/>
    <x v="2"/>
    <x v="180"/>
    <s v="eth1/9"/>
    <x v="0"/>
    <x v="0"/>
    <x v="0"/>
    <s v="LINK_TO_ITHFHWCRMPLCN100 / Slot7.1_32 / Redundante"/>
    <x v="0"/>
    <b v="0"/>
    <s v="No está en VPC"/>
    <n v="852"/>
    <s v="INTPG_ACC_852_1.9"/>
    <s v="ISEL-1.9"/>
    <n v="6"/>
    <s v="NO TIENE L3OUT"/>
    <n v="258"/>
    <n v="54"/>
  </r>
  <r>
    <n v="817"/>
    <x v="2"/>
    <x v="181"/>
    <s v="eth1/9"/>
    <x v="0"/>
    <x v="0"/>
    <x v="0"/>
    <s v="LINK_TO_ITHFHWCBSPSWR24 /Slot4.2 /Principal"/>
    <x v="0"/>
    <b v="0"/>
    <s v="No está en VPC"/>
    <n v="817"/>
    <s v="INTPG_VPC_817_1.9_822_1.9"/>
    <s v="ISEL-1.9"/>
    <n v="1"/>
    <s v="NO TIENE L3OUT"/>
    <n v="0"/>
    <n v="54"/>
  </r>
  <r>
    <n v="832"/>
    <x v="2"/>
    <x v="182"/>
    <s v="eth1/9"/>
    <x v="0"/>
    <x v="0"/>
    <x v="0"/>
    <s v="LINK_TO_ITHFHWCBSDSWR34 /Slot6.2 /Redundante"/>
    <x v="0"/>
    <b v="0"/>
    <s v="No está en VPC"/>
    <n v="832"/>
    <s v="INTPG_VPC_828_1.9_832_1.9"/>
    <s v="ISEL-1.9"/>
    <n v="1"/>
    <s v="NO TIENE L3OUT"/>
    <n v="192"/>
    <n v="54"/>
  </r>
  <r>
    <n v="816"/>
    <x v="2"/>
    <x v="183"/>
    <s v="eth1/9"/>
    <x v="0"/>
    <x v="0"/>
    <x v="0"/>
    <s v="LINK_TO_ITHFHWCBSPSUSBD11 /Slot4.2 /Principal"/>
    <x v="0"/>
    <b v="0"/>
    <s v="No está en VPC"/>
    <n v="816"/>
    <s v="INTPG_VPC_816_1.9_821_1.9"/>
    <s v="ISEL-1.9"/>
    <n v="1"/>
    <s v="NO TIENE L3OUT"/>
    <n v="0"/>
    <n v="54"/>
  </r>
  <r>
    <n v="825"/>
    <x v="2"/>
    <x v="184"/>
    <s v="eth1/9"/>
    <x v="0"/>
    <x v="0"/>
    <x v="0"/>
    <s v="LINK_TO_ITHHWCRMPEN02 /X3-10GE 1 /Principal"/>
    <x v="0"/>
    <b v="0"/>
    <s v="No está en VPC"/>
    <n v="825"/>
    <s v="INTPG_VPC_820_1.6_9_825_1.6_9"/>
    <s v="ISEL-1.9"/>
    <n v="4"/>
    <s v="NO TIENE L3OUT"/>
    <n v="72"/>
    <n v="54"/>
  </r>
  <r>
    <n v="800"/>
    <x v="2"/>
    <x v="185"/>
    <s v="eth1/9"/>
    <x v="0"/>
    <x v="0"/>
    <x v="0"/>
    <s v="TO-CEPS_05-MSP"/>
    <x v="0"/>
    <b v="0"/>
    <s v="No está en VPC"/>
    <n v="800"/>
    <s v="INTPG_ACC_800_1.9"/>
    <s v="ISEL-1.9"/>
    <n v="1"/>
    <s v="NO TIENE L3OUT"/>
    <n v="78"/>
    <n v="54"/>
  </r>
  <r>
    <n v="801"/>
    <x v="2"/>
    <x v="186"/>
    <s v="eth1/9"/>
    <x v="0"/>
    <x v="0"/>
    <x v="0"/>
    <s v="TO-CEPS_05-MSP"/>
    <x v="0"/>
    <b v="0"/>
    <s v="No está en VPC"/>
    <n v="801"/>
    <s v="INTPG_ACC_801_1.9"/>
    <s v="ISEL-1.9"/>
    <n v="1"/>
    <s v="NO TIENE L3OUT"/>
    <n v="78"/>
    <n v="54"/>
  </r>
  <r>
    <n v="823"/>
    <x v="2"/>
    <x v="187"/>
    <s v="eth1/9"/>
    <x v="0"/>
    <x v="0"/>
    <x v="0"/>
    <s v="TRANSFORMA PHASE 2C PR"/>
    <x v="0"/>
    <b v="0"/>
    <s v="No está en VPC"/>
    <n v="823"/>
    <s v="INTPG_ACC_823_1.9"/>
    <s v="ISEL-1.9"/>
    <n v="1"/>
    <s v="NO TIENE L3OUT"/>
    <n v="8"/>
    <n v="54"/>
  </r>
  <r>
    <n v="837"/>
    <x v="2"/>
    <x v="188"/>
    <s v="eth1/9"/>
    <x v="0"/>
    <x v="0"/>
    <x v="0"/>
    <s v="LINK_TO_ITHFHWCBSPSUSBD26 / Slot1.2_6 / Principal"/>
    <x v="0"/>
    <b v="0"/>
    <s v="No está en VPC"/>
    <n v="837"/>
    <s v="INTPG_VPC_837_1.9_842_1.9"/>
    <s v="ISEL-1.9"/>
    <n v="1"/>
    <s v="NO TIENE L3OUT"/>
    <n v="8"/>
    <n v="54"/>
  </r>
  <r>
    <n v="867"/>
    <x v="2"/>
    <x v="189"/>
    <s v="eth1/9"/>
    <x v="0"/>
    <x v="0"/>
    <x v="0"/>
    <s v="TO-ITHFSUEXG2XCN01_PCI3.P2"/>
    <x v="0"/>
    <b v="0"/>
    <s v="No está en VPC"/>
    <n v="867"/>
    <s v="INTPG_ACC_867_1.9"/>
    <s v="ISEL-1.9"/>
    <n v="2"/>
    <s v="NO TIENE L3OUT"/>
    <n v="44"/>
    <n v="54"/>
  </r>
  <r>
    <n v="829"/>
    <x v="2"/>
    <x v="190"/>
    <s v="eth1/9"/>
    <x v="0"/>
    <x v="0"/>
    <x v="0"/>
    <s v="LINK_TO_ITHFHWCRMDLCN30 /Slot6.2 /Redundante"/>
    <x v="0"/>
    <b v="0"/>
    <s v="No está en VPC"/>
    <n v="829"/>
    <s v="INTPG_ACC_829_1.9"/>
    <s v="ISEL-1.9"/>
    <n v="1"/>
    <s v="NO TIENE L3OUT"/>
    <n v="224"/>
    <n v="54"/>
  </r>
  <r>
    <n v="831"/>
    <x v="2"/>
    <x v="191"/>
    <s v="eth1/9"/>
    <x v="0"/>
    <x v="0"/>
    <x v="0"/>
    <s v="LINK_TO_ITHFHWCBSDSUSBD08 /Slot5.1 /Redundante"/>
    <x v="0"/>
    <b v="0"/>
    <s v="No está en VPC"/>
    <n v="831"/>
    <s v="INTPG_VPC_827_1.9_831_1.9"/>
    <s v="ISEL-1.9"/>
    <n v="1"/>
    <s v="NO TIENE L3OUT"/>
    <n v="14"/>
    <n v="54"/>
  </r>
  <r>
    <n v="802"/>
    <x v="2"/>
    <x v="192"/>
    <s v="eth1/9"/>
    <x v="0"/>
    <x v="0"/>
    <x v="0"/>
    <s v="TO-HDPS_11-MSP"/>
    <x v="0"/>
    <b v="0"/>
    <s v="No está en VPC"/>
    <n v="802"/>
    <s v="INTPG_ACC_802_1.9"/>
    <s v="ISEL-1.9"/>
    <n v="1"/>
    <s v="NO TIENE L3OUT"/>
    <n v="48"/>
    <n v="54"/>
  </r>
  <r>
    <n v="835"/>
    <x v="2"/>
    <x v="193"/>
    <s v="eth1/9"/>
    <x v="0"/>
    <x v="0"/>
    <x v="0"/>
    <s v="LINK_TO_ITHFHWCBSPSWR56 / Slot1.3_24 / Principal"/>
    <x v="0"/>
    <b v="0"/>
    <s v="No está en VPC"/>
    <n v="835"/>
    <s v="INTPG_VPC_835_1.9_840_1.9"/>
    <s v="ISEL-1.9"/>
    <n v="1"/>
    <s v="NO TIENE L3OUT"/>
    <n v="8"/>
    <n v="54"/>
  </r>
  <r>
    <n v="822"/>
    <x v="2"/>
    <x v="194"/>
    <s v="eth1/9"/>
    <x v="0"/>
    <x v="0"/>
    <x v="0"/>
    <s v="LINK_TO_ITHFHWCBSPSWR24 /Slot6.2 /Redundante"/>
    <x v="0"/>
    <b v="0"/>
    <s v="No está en VPC"/>
    <n v="822"/>
    <s v="INTPG_VPC_817_1.9_822_1.9"/>
    <s v="ISEL-1.9"/>
    <n v="1"/>
    <s v="NO TIENE L3OUT"/>
    <n v="0"/>
    <n v="54"/>
  </r>
  <r>
    <n v="854"/>
    <x v="2"/>
    <x v="195"/>
    <s v="eth1/9"/>
    <x v="0"/>
    <x v="0"/>
    <x v="0"/>
    <s v="LINK_TO_ITHHWD6KV65100018DKC01 / CTMB_IOM0.P1_34 / Redundante"/>
    <x v="0"/>
    <b v="0"/>
    <s v="No está en VPC"/>
    <n v="854"/>
    <s v="INTPG_ACC_854_1.9"/>
    <s v="ISEL-1.9"/>
    <n v="1"/>
    <s v="NO TIENE L3OUT"/>
    <n v="204"/>
    <n v="54"/>
  </r>
  <r>
    <n v="858"/>
    <x v="2"/>
    <x v="196"/>
    <s v="eth1/9"/>
    <x v="0"/>
    <x v="0"/>
    <x v="0"/>
    <s v="To_VPC_2DCBSD_HD39_3"/>
    <x v="0"/>
    <b v="0"/>
    <s v="No está en VPC"/>
    <n v="858"/>
    <s v="INTPG_VPC_858_1.9_863_1.9"/>
    <s v="ISEL-1.9"/>
    <n v="1"/>
    <s v="NO TIENE L3OUT"/>
    <n v="8"/>
    <n v="54"/>
  </r>
  <r>
    <n v="857"/>
    <x v="2"/>
    <x v="197"/>
    <s v="eth1/9"/>
    <x v="0"/>
    <x v="0"/>
    <x v="0"/>
    <s v="LINKT_TO_ITHFHWCRMPLCN118 / Slot1.2_6 / Principal"/>
    <x v="0"/>
    <b v="0"/>
    <s v="No está en VPC"/>
    <n v="857"/>
    <s v="INTPG_ACC_857_1.9"/>
    <s v="ISEL-1.9"/>
    <n v="2"/>
    <s v="NO TIENE L3OUT"/>
    <n v="288"/>
    <n v="54"/>
  </r>
  <r>
    <n v="859"/>
    <x v="2"/>
    <x v="198"/>
    <s v="eth1/9"/>
    <x v="0"/>
    <x v="0"/>
    <x v="0"/>
    <s v="To_VPC_2DCBSD_HD33_3"/>
    <x v="0"/>
    <b v="0"/>
    <s v="No está en VPC"/>
    <n v="859"/>
    <s v="INTPG_VPC_859_1.9_864_1.9"/>
    <s v="ISEL-1.9"/>
    <n v="1"/>
    <s v="NO TIENE L3OUT"/>
    <n v="0"/>
    <n v="54"/>
  </r>
  <r>
    <n v="833"/>
    <x v="2"/>
    <x v="199"/>
    <s v="eth1/9"/>
    <x v="0"/>
    <x v="0"/>
    <x v="0"/>
    <s v="LINK_TO_ITHFHWCRMDLCN30 /Slot4.2 /Principal"/>
    <x v="0"/>
    <b v="0"/>
    <s v="No está en VPC"/>
    <n v="833"/>
    <s v="INTPG_ACC_833_1.9"/>
    <s v="ISEL-1.9"/>
    <n v="1"/>
    <s v="NO TIENE L3OUT"/>
    <n v="224"/>
    <n v="54"/>
  </r>
  <r>
    <n v="818"/>
    <x v="2"/>
    <x v="200"/>
    <s v="eth1/9"/>
    <x v="0"/>
    <x v="0"/>
    <x v="0"/>
    <s v="TRANSFORMA PHASE 2C PR"/>
    <x v="0"/>
    <b v="0"/>
    <s v="No está en VPC"/>
    <n v="818"/>
    <s v="INTPG_ACC_818_1.9"/>
    <s v="ISEL-1.9"/>
    <n v="1"/>
    <s v="NO TIENE L3OUT"/>
    <n v="8"/>
    <n v="54"/>
  </r>
  <r>
    <n v="850"/>
    <x v="2"/>
    <x v="201"/>
    <s v="eth1/9"/>
    <x v="0"/>
    <x v="0"/>
    <x v="0"/>
    <s v="LINKT_TO_ITHFHWCRMPLCN118 / Slot7.2_6 / Redundante"/>
    <x v="0"/>
    <b v="0"/>
    <s v="No está en VPC"/>
    <n v="850"/>
    <s v="INTPG_ACC_850_1.9"/>
    <s v="ISEL-1.9"/>
    <n v="2"/>
    <s v="NO TIENE L3OUT"/>
    <n v="288"/>
    <n v="54"/>
  </r>
  <r>
    <n v="860"/>
    <x v="2"/>
    <x v="202"/>
    <s v="eth1/9"/>
    <x v="0"/>
    <x v="0"/>
    <x v="0"/>
    <s v="To_VPC_2DCBSD_HD25_3"/>
    <x v="0"/>
    <b v="0"/>
    <s v="No está en VPC"/>
    <n v="860"/>
    <s v="INTPG_VPC_860_1.9_865_1.9"/>
    <s v="ISEL-1.9"/>
    <n v="1"/>
    <s v="NO TIENE L3OUT"/>
    <n v="0"/>
    <n v="54"/>
  </r>
  <r>
    <n v="853"/>
    <x v="2"/>
    <x v="203"/>
    <s v="eth1/9"/>
    <x v="0"/>
    <x v="0"/>
    <x v="0"/>
    <s v="LINK_TO_ITHHWD6KV65100011DKC01 / CTMB_IOM1.P1_34 / Redundante"/>
    <x v="0"/>
    <b v="0"/>
    <s v="No está en VPC"/>
    <n v="853"/>
    <s v="INTPG_ACC_853_1.9"/>
    <s v="ISEL-1.9"/>
    <n v="1"/>
    <s v="NO TIENE L3OUT"/>
    <n v="242"/>
    <n v="54"/>
  </r>
  <r>
    <n v="790"/>
    <x v="2"/>
    <x v="204"/>
    <s v="eth1/9"/>
    <x v="0"/>
    <x v="0"/>
    <x v="0"/>
    <s v="LINK_TO_ITHEMCPS5200TWPT3 / Nodo A IOM 1.2_04 / Principal"/>
    <x v="0"/>
    <b v="0"/>
    <s v="No está en VPC"/>
    <n v="790"/>
    <s v="INTPG_ACC_790_1.9"/>
    <s v="ISEL-1.9"/>
    <n v="2"/>
    <s v="NO TIENE L3OUT"/>
    <n v="20"/>
    <n v="54"/>
  </r>
  <r>
    <n v="105"/>
    <x v="0"/>
    <x v="205"/>
    <s v="eth1/9"/>
    <x v="0"/>
    <x v="1"/>
    <x v="1"/>
    <s v="DESC"/>
    <x v="6"/>
    <b v="0"/>
    <s v="No está en VPC"/>
    <n v="105"/>
    <s v="INTPG_PC_105_1.6-12_38"/>
    <s v="ISEL-1.9"/>
    <n v="17"/>
    <s v="NO TIENE L3OUT"/>
    <n v="106"/>
    <n v="96"/>
  </r>
  <r>
    <n v="117"/>
    <x v="0"/>
    <x v="206"/>
    <s v="eth1/9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9"/>
    <x v="0"/>
    <x v="1"/>
    <x v="1"/>
    <s v="SFLDI"/>
    <x v="6"/>
    <b v="0"/>
    <s v="No está en VPC"/>
    <n v="104"/>
    <s v="INTPG_ACC_104_1.9"/>
    <s v="ISEL-1.9"/>
    <n v="1"/>
    <s v="NO TIENE L3OUT"/>
    <n v="194"/>
    <n v="96"/>
  </r>
  <r>
    <n v="158"/>
    <x v="0"/>
    <x v="208"/>
    <s v="eth1/9"/>
    <x v="0"/>
    <x v="0"/>
    <x v="0"/>
    <s v="RED CRICKET"/>
    <x v="6"/>
    <b v="0"/>
    <s v="No está en VPC"/>
    <n v="158"/>
    <s v="INTPG_ACC_158_1.9"/>
    <s v="ISEL-1.9"/>
    <n v="1"/>
    <s v="NO TIENE L3OUT"/>
    <n v="30"/>
    <n v="96"/>
  </r>
  <r>
    <n v="875"/>
    <x v="2"/>
    <x v="209"/>
    <s v="eth1/9"/>
    <x v="1"/>
    <x v="1"/>
    <x v="2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9"/>
    <x v="0"/>
    <x v="0"/>
    <x v="0"/>
    <s v="HACIA_MGMT-OSCP-F4-09_PRINCIPAL"/>
    <x v="4"/>
    <b v="0"/>
    <s v="No está en VPC"/>
    <n v="879"/>
    <s v="INTPG_VPC_878_1.9_879_1.9"/>
    <s v="ISEL-1.9"/>
    <n v="1"/>
    <s v="NO TIENE L3OUT"/>
    <n v="0"/>
    <n v="54"/>
  </r>
  <r>
    <n v="108"/>
    <x v="0"/>
    <x v="211"/>
    <s v="eth1/9"/>
    <x v="0"/>
    <x v="0"/>
    <x v="0"/>
    <s v="ZSMART"/>
    <x v="6"/>
    <b v="0"/>
    <s v="No está en VPC"/>
    <n v="108"/>
    <s v="INTPG_ACC_108_1.9"/>
    <s v="ISEL-1.9"/>
    <n v="1"/>
    <s v="NO TIENE L3OUT"/>
    <n v="126"/>
    <n v="96"/>
  </r>
  <r>
    <n v="112"/>
    <x v="0"/>
    <x v="212"/>
    <s v="eth1/9"/>
    <x v="0"/>
    <x v="1"/>
    <x v="1"/>
    <s v="MARCACIONES"/>
    <x v="6"/>
    <b v="0"/>
    <s v="No está en VPC"/>
    <n v="112"/>
    <s v="INTPG_ACC_112_1.9"/>
    <s v="ISEL-1.9"/>
    <n v="1"/>
    <s v="NO TIENE L3OUT"/>
    <n v="144"/>
    <n v="96"/>
  </r>
  <r>
    <n v="107"/>
    <x v="0"/>
    <x v="213"/>
    <s v="eth1/9"/>
    <x v="0"/>
    <x v="0"/>
    <x v="0"/>
    <s v="COGNOS"/>
    <x v="6"/>
    <b v="0"/>
    <s v="No está en VPC"/>
    <n v="107"/>
    <s v="INTPG_ACC_107_1.9"/>
    <s v="ISEL-1.9"/>
    <n v="1"/>
    <s v="NO TIENE L3OUT"/>
    <n v="118"/>
    <n v="96"/>
  </r>
  <r>
    <n v="109"/>
    <x v="0"/>
    <x v="214"/>
    <s v="eth1/9"/>
    <x v="0"/>
    <x v="1"/>
    <x v="1"/>
    <s v="ZSMART"/>
    <x v="6"/>
    <b v="0"/>
    <s v="No está en VPC"/>
    <n v="109"/>
    <s v="INTPG_ACC_109_1.9"/>
    <s v="ISEL-1.9"/>
    <n v="1"/>
    <s v="NO TIENE L3OUT"/>
    <n v="126"/>
    <n v="96"/>
  </r>
  <r>
    <n v="113"/>
    <x v="0"/>
    <x v="215"/>
    <s v="eth1/9"/>
    <x v="0"/>
    <x v="0"/>
    <x v="0"/>
    <m/>
    <x v="6"/>
    <b v="0"/>
    <s v="No está en VPC"/>
    <n v="113"/>
    <s v="NO EXISTE PG"/>
    <s v="NO EXISTE ISEL"/>
    <n v="1"/>
    <s v="NO TIENE L3OUT"/>
    <n v="52"/>
    <n v="96"/>
  </r>
  <r>
    <n v="114"/>
    <x v="0"/>
    <x v="216"/>
    <s v="eth1/9"/>
    <x v="0"/>
    <x v="1"/>
    <x v="1"/>
    <s v="CONSOLA"/>
    <x v="6"/>
    <b v="0"/>
    <s v="No está en VPC"/>
    <n v="114"/>
    <s v="INTPG_ACC_114_1.9"/>
    <s v="ISEL-1.9"/>
    <n v="1"/>
    <s v="NO TIENE L3OUT"/>
    <n v="144"/>
    <n v="96"/>
  </r>
  <r>
    <n v="124"/>
    <x v="0"/>
    <x v="217"/>
    <s v="eth1/9"/>
    <x v="0"/>
    <x v="0"/>
    <x v="0"/>
    <s v="GSM_OSS_TIJ"/>
    <x v="6"/>
    <b v="0"/>
    <s v="No está en VPC"/>
    <n v="124"/>
    <s v="INTPG_VPC_124_1.9_125_1.14"/>
    <s v="ISEL-1.9"/>
    <n v="10"/>
    <s v="NO TIENE L3OUT"/>
    <n v="80"/>
    <n v="96"/>
  </r>
  <r>
    <n v="118"/>
    <x v="0"/>
    <x v="218"/>
    <s v="eth1/9"/>
    <x v="0"/>
    <x v="0"/>
    <x v="0"/>
    <s v="COBROS NAVEGACION"/>
    <x v="6"/>
    <b v="0"/>
    <s v="No está en VPC"/>
    <n v="118"/>
    <s v="INTPG_ACC_118_1.9"/>
    <s v="ISEL-1.9"/>
    <n v="1"/>
    <s v="NO TIENE L3OUT"/>
    <n v="180"/>
    <n v="96"/>
  </r>
  <r>
    <n v="159"/>
    <x v="0"/>
    <x v="219"/>
    <s v="eth1/9"/>
    <x v="0"/>
    <x v="1"/>
    <x v="1"/>
    <s v="ArrobaDOC Y CF"/>
    <x v="6"/>
    <b v="0"/>
    <s v="No está en VPC"/>
    <n v="159"/>
    <s v="INTPG_ACC_159_1.9"/>
    <s v="ISEL-1.9"/>
    <n v="1"/>
    <s v="NO TIENE L3OUT"/>
    <n v="72"/>
    <n v="96"/>
  </r>
  <r>
    <n v="840"/>
    <x v="2"/>
    <x v="220"/>
    <s v="eth1/9"/>
    <x v="0"/>
    <x v="0"/>
    <x v="0"/>
    <s v="LINK_TO_ITHFHWCBSPSWR56 / Slot7.3_24 / Redundante"/>
    <x v="0"/>
    <b v="0"/>
    <s v="No está en VPC"/>
    <n v="840"/>
    <s v="INTPG_VPC_835_1.9_840_1.9"/>
    <s v="ISEL-1.9"/>
    <n v="1"/>
    <s v="NO TIENE L3OUT"/>
    <n v="8"/>
    <n v="54"/>
  </r>
  <r>
    <n v="856"/>
    <x v="2"/>
    <x v="221"/>
    <s v="eth1/9"/>
    <x v="0"/>
    <x v="0"/>
    <x v="0"/>
    <s v="LINK_TO_ITHFHWCRMPLCN137 / Slot1.2_8 / Principal"/>
    <x v="0"/>
    <b v="0"/>
    <s v="No está en VPC"/>
    <n v="856"/>
    <s v="INTPG_ACC_856_1.9"/>
    <s v="ISEL-1.9"/>
    <n v="2"/>
    <s v="NO TIENE L3OUT"/>
    <n v="286"/>
    <n v="54"/>
  </r>
  <r>
    <n v="110"/>
    <x v="0"/>
    <x v="222"/>
    <s v="eth1/9"/>
    <x v="0"/>
    <x v="0"/>
    <x v="0"/>
    <m/>
    <x v="6"/>
    <b v="0"/>
    <s v="No está en VPC"/>
    <n v="110"/>
    <s v="INTPG_ACC_110_1.9"/>
    <s v="ISEL-1.9"/>
    <n v="1"/>
    <s v="NO TIENE L3OUT"/>
    <n v="102"/>
    <n v="96"/>
  </r>
  <r>
    <n v="163"/>
    <x v="0"/>
    <x v="223"/>
    <s v="eth1/9"/>
    <x v="1"/>
    <x v="1"/>
    <x v="2"/>
    <s v="DESC"/>
    <x v="6"/>
    <b v="0"/>
    <s v="No está en VPC"/>
    <n v="163"/>
    <s v="INTPG_PC_163_1.9-11"/>
    <s v="ISEL-1.9"/>
    <n v="0"/>
    <s v="NO TIENE L3OUT"/>
    <n v="140"/>
    <n v="96"/>
  </r>
  <r>
    <n v="407"/>
    <x v="1"/>
    <x v="224"/>
    <s v="eth1/9"/>
    <x v="0"/>
    <x v="0"/>
    <x v="0"/>
    <s v="RLR2ARI03_ilo"/>
    <x v="6"/>
    <b v="0"/>
    <s v="No está en VPC"/>
    <n v="407"/>
    <s v="INTPG_ACC_407_1.9"/>
    <s v="ISEL-1.9"/>
    <n v="1"/>
    <s v="NO TIENE L3OUT"/>
    <n v="122"/>
    <n v="96"/>
  </r>
  <r>
    <n v="171"/>
    <x v="0"/>
    <x v="225"/>
    <s v="eth1/9"/>
    <x v="0"/>
    <x v="1"/>
    <x v="1"/>
    <s v="OSS_3G_12_2_DATOS"/>
    <x v="6"/>
    <b v="0"/>
    <s v="No está en VPC"/>
    <n v="171"/>
    <s v="INTPG_VPC_171_1.9_172_1.8"/>
    <s v="ISEL-1.9"/>
    <n v="10"/>
    <s v="NO TIENE L3OUT"/>
    <n v="114"/>
    <n v="96"/>
  </r>
  <r>
    <n v="421"/>
    <x v="1"/>
    <x v="226"/>
    <s v="eth1/9"/>
    <x v="0"/>
    <x v="0"/>
    <x v="0"/>
    <s v="Portal_Cautivo_f5em01"/>
    <x v="6"/>
    <b v="0"/>
    <s v="No está en VPC"/>
    <n v="421"/>
    <s v="INTPG_VPC_419_1.9_421_1.9"/>
    <s v="ISEL-1.9"/>
    <n v="1"/>
    <s v="NO TIENE L3OUT"/>
    <n v="72"/>
    <n v="96"/>
  </r>
  <r>
    <n v="173"/>
    <x v="0"/>
    <x v="227"/>
    <s v="eth1/9"/>
    <x v="0"/>
    <x v="0"/>
    <x v="0"/>
    <s v="U2000_IPRAN"/>
    <x v="6"/>
    <b v="0"/>
    <s v="No está en VPC"/>
    <n v="173"/>
    <s v="INTPG_ACC_173_1.9"/>
    <s v="ISEL-1.9"/>
    <n v="1"/>
    <s v="NO TIENE L3OUT"/>
    <n v="66"/>
    <n v="96"/>
  </r>
  <r>
    <n v="154"/>
    <x v="0"/>
    <x v="228"/>
    <s v="eth1/9"/>
    <x v="0"/>
    <x v="0"/>
    <x v="0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9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9"/>
    <x v="0"/>
    <x v="1"/>
    <x v="1"/>
    <s v="PORTAB1"/>
    <x v="6"/>
    <b v="0"/>
    <s v="No está en VPC"/>
    <n v="420"/>
    <s v="INTPG_ACC_420_1.9"/>
    <s v="ISEL-1.9"/>
    <n v="1"/>
    <s v="NO TIENE L3OUT"/>
    <n v="158"/>
    <n v="96"/>
  </r>
  <r>
    <n v="423"/>
    <x v="1"/>
    <x v="231"/>
    <s v="eth1/9"/>
    <x v="0"/>
    <x v="0"/>
    <x v="0"/>
    <s v="ITHPA02_eth0_IPMP-Activa"/>
    <x v="6"/>
    <b v="0"/>
    <s v="No está en VPC"/>
    <n v="423"/>
    <s v="INTPG_ACC_423_1.9"/>
    <s v="ISEL-1.9"/>
    <n v="1"/>
    <s v="NO TIENE L3OUT"/>
    <n v="86"/>
    <n v="96"/>
  </r>
  <r>
    <n v="415"/>
    <x v="1"/>
    <x v="232"/>
    <s v="eth1/9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9"/>
    <x v="0"/>
    <x v="1"/>
    <x v="1"/>
    <s v="SFLDI:RLDICDR01:1"/>
    <x v="6"/>
    <b v="0"/>
    <s v="No está en VPC"/>
    <n v="102"/>
    <s v="INTPG_ACC_102_1.9"/>
    <s v="ISEL-1.9"/>
    <n v="1"/>
    <s v="NO TIENE L3OUT"/>
    <n v="228"/>
    <n v="96"/>
  </r>
  <r>
    <n v="863"/>
    <x v="2"/>
    <x v="234"/>
    <s v="eth1/9"/>
    <x v="0"/>
    <x v="0"/>
    <x v="0"/>
    <s v="To_VPC_2DCBSD_HD39_3"/>
    <x v="0"/>
    <b v="0"/>
    <s v="No está en VPC"/>
    <n v="863"/>
    <s v="INTPG_VPC_858_1.9_863_1.9"/>
    <s v="ISEL-1.9"/>
    <n v="1"/>
    <s v="NO TIENE L3OUT"/>
    <n v="8"/>
    <n v="54"/>
  </r>
  <r>
    <n v="876"/>
    <x v="2"/>
    <x v="235"/>
    <s v="eth1/9"/>
    <x v="0"/>
    <x v="0"/>
    <x v="0"/>
    <s v="LINK_TO_ITHFHWSEQLCAS32 / Slot 4 PTO 1 / Principal"/>
    <x v="4"/>
    <b v="0"/>
    <s v="No está en VPC"/>
    <n v="876"/>
    <s v="INTPG_ACC_876_1.9"/>
    <s v="ISEL-1.9"/>
    <n v="1"/>
    <s v="NO TIENE L3OUT"/>
    <n v="92"/>
    <n v="54"/>
  </r>
  <r>
    <n v="877"/>
    <x v="2"/>
    <x v="236"/>
    <s v="eth1/9"/>
    <x v="1"/>
    <x v="1"/>
    <x v="2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9"/>
    <x v="0"/>
    <x v="0"/>
    <x v="0"/>
    <s v="TEMIPAMX"/>
    <x v="6"/>
    <b v="0"/>
    <s v="No está en VPC"/>
    <n v="122"/>
    <s v="INTPG_ACC_122_1.9"/>
    <s v="ISEL-1.9"/>
    <n v="1"/>
    <s v="NO TIENE L3OUT"/>
    <n v="148"/>
    <n v="96"/>
  </r>
  <r>
    <n v="157"/>
    <x v="0"/>
    <x v="238"/>
    <s v="eth1/9"/>
    <x v="0"/>
    <x v="0"/>
    <x v="0"/>
    <s v="COBROS NAVEGACION"/>
    <x v="6"/>
    <b v="0"/>
    <s v="No está en VPC"/>
    <n v="157"/>
    <s v="INTPG_ACC_157_1.9"/>
    <s v="ISEL-1.9"/>
    <n v="1"/>
    <s v="NO TIENE L3OUT"/>
    <n v="202"/>
    <n v="96"/>
  </r>
  <r>
    <n v="408"/>
    <x v="1"/>
    <x v="239"/>
    <s v="eth1/9"/>
    <x v="0"/>
    <x v="0"/>
    <x v="0"/>
    <s v="RESPAL_CS5_ASAP8"/>
    <x v="6"/>
    <b v="0"/>
    <s v="No está en VPC"/>
    <n v="408"/>
    <s v="INTPG_ACC_408_1.9"/>
    <s v="ISEL-1.9"/>
    <n v="1"/>
    <s v="NO TIENE L3OUT"/>
    <n v="152"/>
    <n v="96"/>
  </r>
  <r>
    <n v="405"/>
    <x v="1"/>
    <x v="240"/>
    <s v="eth1/9"/>
    <x v="0"/>
    <x v="0"/>
    <x v="0"/>
    <s v="IXT_ARIESO4_ NAS1"/>
    <x v="6"/>
    <b v="0"/>
    <s v="No está en VPC"/>
    <n v="405"/>
    <s v="INTPG_ACC_405_1.9"/>
    <s v="ISEL-1.9"/>
    <n v="1"/>
    <s v="NO TIENE L3OUT"/>
    <n v="138"/>
    <n v="96"/>
  </r>
  <r>
    <n v="169"/>
    <x v="0"/>
    <x v="241"/>
    <s v="eth1/9"/>
    <x v="0"/>
    <x v="0"/>
    <x v="0"/>
    <s v="LINKDOWN_HACIA_UCS_9UCS-IXTLA-SERV3"/>
    <x v="6"/>
    <b v="0"/>
    <s v="No está en VPC"/>
    <n v="169"/>
    <s v="INTPG_ACC_169_1.9"/>
    <s v="ISEL-1.9"/>
    <n v="1"/>
    <s v="NO TIENE L3OUT"/>
    <n v="76"/>
    <n v="96"/>
  </r>
  <r>
    <n v="165"/>
    <x v="0"/>
    <x v="242"/>
    <s v="eth1/9"/>
    <x v="0"/>
    <x v="0"/>
    <x v="0"/>
    <s v="Nomina"/>
    <x v="6"/>
    <b v="0"/>
    <s v="No está en VPC"/>
    <n v="165"/>
    <s v="INTPG_ACC_165_1.9"/>
    <s v="ISEL-1.9"/>
    <n v="1"/>
    <s v="NO TIENE L3OUT"/>
    <n v="86"/>
    <n v="96"/>
  </r>
  <r>
    <n v="417"/>
    <x v="1"/>
    <x v="243"/>
    <s v="eth1/9"/>
    <x v="0"/>
    <x v="0"/>
    <x v="0"/>
    <s v="ixtnpscol01"/>
    <x v="6"/>
    <b v="0"/>
    <s v="No está en VPC"/>
    <n v="417"/>
    <s v="INTPG_ACC_417_1.9"/>
    <s v="ISEL-1.9"/>
    <n v="1"/>
    <s v="NO TIENE L3OUT"/>
    <n v="56"/>
    <n v="96"/>
  </r>
  <r>
    <n v="153"/>
    <x v="0"/>
    <x v="244"/>
    <s v="eth1/9"/>
    <x v="0"/>
    <x v="0"/>
    <x v="0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9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9"/>
    <x v="0"/>
    <x v="0"/>
    <x v="0"/>
    <s v="ARIESO_GEOLOCALIZACION"/>
    <x v="6"/>
    <b v="0"/>
    <s v="No está en VPC"/>
    <n v="156"/>
    <s v="INTPG_ACC_156_1.9"/>
    <s v="ISEL-1.9"/>
    <n v="1"/>
    <s v="NO TIENE L3OUT"/>
    <n v="40"/>
    <n v="96"/>
  </r>
  <r>
    <n v="103"/>
    <x v="0"/>
    <x v="247"/>
    <s v="eth1/9"/>
    <x v="0"/>
    <x v="0"/>
    <x v="0"/>
    <s v="DESC"/>
    <x v="6"/>
    <b v="0"/>
    <s v="No está en VPC"/>
    <n v="103"/>
    <s v="INTPG_PC_103_1.7-9"/>
    <s v="ISEL-1.9"/>
    <n v="2"/>
    <s v="NO TIENE L3OUT"/>
    <n v="70"/>
    <n v="96"/>
  </r>
  <r>
    <n v="438"/>
    <x v="1"/>
    <x v="248"/>
    <s v="eth1/9"/>
    <x v="0"/>
    <x v="0"/>
    <x v="0"/>
    <s v="uxdxdb03(RENACE)"/>
    <x v="6"/>
    <b v="0"/>
    <s v="No está en VPC"/>
    <n v="438"/>
    <s v="INTPG_ACC_438_1.9"/>
    <s v="ISEL-1.9"/>
    <n v="1"/>
    <s v="NO TIENE L3OUT"/>
    <n v="170"/>
    <n v="96"/>
  </r>
  <r>
    <n v="406"/>
    <x v="1"/>
    <x v="249"/>
    <s v="eth1/9"/>
    <x v="0"/>
    <x v="0"/>
    <x v="0"/>
    <s v="DESC"/>
    <x v="6"/>
    <b v="0"/>
    <s v="No está en VPC"/>
    <n v="406"/>
    <s v="INTPG_PC_406_1.9-10"/>
    <s v="ISEL-1.9"/>
    <n v="1"/>
    <s v="NO TIENE L3OUT"/>
    <n v="82"/>
    <n v="96"/>
  </r>
  <r>
    <n v="414"/>
    <x v="1"/>
    <x v="250"/>
    <s v="eth1/9"/>
    <x v="0"/>
    <x v="0"/>
    <x v="0"/>
    <s v="9UCS-IXTLA-WEBEX-SERV4"/>
    <x v="6"/>
    <b v="0"/>
    <s v="No está en VPC"/>
    <n v="414"/>
    <s v="INTPG_ACC_414_1.9"/>
    <s v="ISEL-1.9"/>
    <n v="1"/>
    <s v="NO TIENE L3OUT"/>
    <n v="144"/>
    <n v="96"/>
  </r>
  <r>
    <n v="416"/>
    <x v="1"/>
    <x v="251"/>
    <s v="eth1/9"/>
    <x v="0"/>
    <x v="1"/>
    <x v="5"/>
    <s v="sfmedp50-MEDVOZ_CLIENT7"/>
    <x v="6"/>
    <b v="0"/>
    <s v="No está en VPC"/>
    <n v="416"/>
    <s v="INTPG_VPC_416_1.9_418_1.9"/>
    <s v="ISEL-1.9"/>
    <n v="1"/>
    <s v="NO TIENE L3OUT"/>
    <n v="110"/>
    <n v="96"/>
  </r>
  <r>
    <n v="418"/>
    <x v="1"/>
    <x v="252"/>
    <s v="eth1/9"/>
    <x v="0"/>
    <x v="1"/>
    <x v="5"/>
    <s v="sfmedp50-MEDVOZ_CLIENT7"/>
    <x v="6"/>
    <b v="0"/>
    <s v="No está en VPC"/>
    <n v="418"/>
    <s v="INTPG_VPC_416_1.9_418_1.9"/>
    <s v="ISEL-1.9"/>
    <n v="1"/>
    <s v="NO TIENE L3OUT"/>
    <n v="152"/>
    <n v="96"/>
  </r>
  <r>
    <n v="413"/>
    <x v="1"/>
    <x v="253"/>
    <s v="eth1/9"/>
    <x v="0"/>
    <x v="0"/>
    <x v="0"/>
    <s v="DESC"/>
    <x v="6"/>
    <b v="0"/>
    <s v="No está en VPC"/>
    <n v="413"/>
    <s v="INTPG_PC_413_1.9-12"/>
    <s v="ISEL-1.9"/>
    <n v="1"/>
    <s v="NO TIENE L3OUT"/>
    <n v="126"/>
    <n v="96"/>
  </r>
  <r>
    <n v="403"/>
    <x v="1"/>
    <x v="254"/>
    <s v="eth1/9"/>
    <x v="0"/>
    <x v="0"/>
    <x v="0"/>
    <s v="IXT_ARIESO4_ NAS1"/>
    <x v="6"/>
    <b v="0"/>
    <s v="No está en VPC"/>
    <n v="403"/>
    <s v="INTPG_ACC_403_1.9"/>
    <s v="ISEL-1.9"/>
    <n v="1"/>
    <s v="NO TIENE L3OUT"/>
    <n v="150"/>
    <n v="96"/>
  </r>
  <r>
    <n v="125"/>
    <x v="0"/>
    <x v="255"/>
    <s v="eth1/9"/>
    <x v="1"/>
    <x v="1"/>
    <x v="2"/>
    <s v="GSM_ENIQ_MEX_R9"/>
    <x v="6"/>
    <b v="0"/>
    <s v="No está en VPC"/>
    <n v="125"/>
    <s v="INTPG_ACC_125_1.9"/>
    <s v="ISEL-1.9"/>
    <n v="1"/>
    <s v="NO TIENE L3OUT"/>
    <n v="72"/>
    <n v="96"/>
  </r>
  <r>
    <n v="166"/>
    <x v="0"/>
    <x v="256"/>
    <s v="eth1/9"/>
    <x v="0"/>
    <x v="0"/>
    <x v="0"/>
    <s v="Nomina"/>
    <x v="6"/>
    <b v="0"/>
    <s v="No está en VPC"/>
    <n v="166"/>
    <s v="INTPG_ACC_166_1.9"/>
    <s v="ISEL-1.9"/>
    <n v="1"/>
    <s v="NO TIENE L3OUT"/>
    <n v="84"/>
    <n v="96"/>
  </r>
  <r>
    <n v="111"/>
    <x v="0"/>
    <x v="257"/>
    <s v="eth1/9"/>
    <x v="0"/>
    <x v="0"/>
    <x v="0"/>
    <s v="SUN6900_E25K"/>
    <x v="6"/>
    <b v="0"/>
    <s v="No está en VPC"/>
    <n v="111"/>
    <s v="INTPG_ACC_111_1.9"/>
    <s v="ISEL-1.9"/>
    <n v="1"/>
    <s v="NO TIENE L3OUT"/>
    <n v="58"/>
    <n v="96"/>
  </r>
  <r>
    <n v="115"/>
    <x v="0"/>
    <x v="258"/>
    <s v="eth1/9"/>
    <x v="0"/>
    <x v="0"/>
    <x v="0"/>
    <s v="VYCAN"/>
    <x v="6"/>
    <b v="0"/>
    <s v="No está en VPC"/>
    <n v="115"/>
    <s v="INTPG_ACC_115_1.9"/>
    <s v="ISEL-1.9"/>
    <n v="1"/>
    <s v="NO TIENE L3OUT"/>
    <n v="42"/>
    <n v="96"/>
  </r>
  <r>
    <n v="106"/>
    <x v="0"/>
    <x v="259"/>
    <s v="eth1/9"/>
    <x v="0"/>
    <x v="0"/>
    <x v="0"/>
    <s v="PLATAFORMA NUMERACION "/>
    <x v="6"/>
    <b v="0"/>
    <s v="No está en VPC"/>
    <n v="106"/>
    <s v="INTPG_ACC_106_1.9"/>
    <s v="ISEL-1.9"/>
    <n v="1"/>
    <s v="NO TIENE L3OUT"/>
    <n v="122"/>
    <n v="96"/>
  </r>
  <r>
    <n v="126"/>
    <x v="0"/>
    <x v="260"/>
    <s v="eth1/9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9"/>
    <x v="0"/>
    <x v="1"/>
    <x v="1"/>
    <s v="VTA_uxvta073_Net0"/>
    <x v="6"/>
    <b v="0"/>
    <s v="No está en VPC"/>
    <n v="425"/>
    <s v="INTPG_ACC_425_1.9"/>
    <s v="ISEL-1.9"/>
    <n v="1"/>
    <s v="NO TIENE L3OUT"/>
    <n v="86"/>
    <n v="96"/>
  </r>
  <r>
    <n v="151"/>
    <x v="0"/>
    <x v="262"/>
    <s v="eth1/9"/>
    <x v="0"/>
    <x v="1"/>
    <x v="1"/>
    <s v="OSS MEX GSM M"/>
    <x v="6"/>
    <b v="0"/>
    <s v="No está en VPC"/>
    <n v="151"/>
    <s v="INTPG_ACC_151_1.9"/>
    <s v="ISEL-1.9"/>
    <n v="1"/>
    <s v="NO TIENE L3OUT"/>
    <n v="86"/>
    <n v="96"/>
  </r>
  <r>
    <n v="430"/>
    <x v="1"/>
    <x v="263"/>
    <s v="eth1/9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9"/>
    <x v="0"/>
    <x v="0"/>
    <x v="0"/>
    <s v="Portal_Cautivo_f5em01"/>
    <x v="6"/>
    <b v="0"/>
    <s v="No está en VPC"/>
    <n v="419"/>
    <s v="INTPG_VPC_419_1.9_421_1.9"/>
    <s v="ISEL-1.9"/>
    <n v="1"/>
    <s v="NO TIENE L3OUT"/>
    <n v="70"/>
    <n v="96"/>
  </r>
  <r>
    <n v="155"/>
    <x v="0"/>
    <x v="265"/>
    <s v="eth1/9"/>
    <x v="1"/>
    <x v="1"/>
    <x v="2"/>
    <s v="Circulo Azul M5000"/>
    <x v="6"/>
    <b v="0"/>
    <s v="No está en VPC"/>
    <n v="155"/>
    <s v="INTPG_ACC_155_1.9"/>
    <s v="ISEL-1.9"/>
    <n v="0"/>
    <s v="NO TIENE L3OUT"/>
    <n v="198"/>
    <n v="96"/>
  </r>
  <r>
    <n v="409"/>
    <x v="1"/>
    <x v="266"/>
    <s v="eth1/9"/>
    <x v="0"/>
    <x v="0"/>
    <x v="0"/>
    <s v="RLR2ARI08_ilo"/>
    <x v="6"/>
    <b v="0"/>
    <s v="No está en VPC"/>
    <n v="409"/>
    <s v="INTPG_ACC_409_1.9"/>
    <s v="ISEL-1.9"/>
    <n v="1"/>
    <s v="NO TIENE L3OUT"/>
    <n v="128"/>
    <n v="96"/>
  </r>
  <r>
    <n v="422"/>
    <x v="1"/>
    <x v="267"/>
    <s v="eth1/9"/>
    <x v="0"/>
    <x v="0"/>
    <x v="0"/>
    <s v="B6200C_MGMT_2"/>
    <x v="6"/>
    <b v="0"/>
    <s v="No está en VPC"/>
    <n v="422"/>
    <s v="INTPG_ACC_422_1.9"/>
    <s v="ISEL-1.9"/>
    <n v="1"/>
    <s v="NO TIENE L3OUT"/>
    <n v="182"/>
    <n v="96"/>
  </r>
  <r>
    <n v="436"/>
    <x v="1"/>
    <x v="268"/>
    <s v="eth1/9"/>
    <x v="0"/>
    <x v="0"/>
    <x v="0"/>
    <s v="uxdxdb03(RENACE)"/>
    <x v="6"/>
    <b v="0"/>
    <s v="No está en VPC"/>
    <n v="436"/>
    <s v="INTPG_ACC_436_1.9"/>
    <s v="ISEL-1.9"/>
    <n v="1"/>
    <s v="NO TIENE L3OUT"/>
    <n v="172"/>
    <n v="96"/>
  </r>
  <r>
    <n v="410"/>
    <x v="1"/>
    <x v="269"/>
    <s v="eth1/9"/>
    <x v="0"/>
    <x v="0"/>
    <x v="0"/>
    <s v="NEC Femtocel NMS"/>
    <x v="6"/>
    <b v="0"/>
    <s v="No está en VPC"/>
    <n v="410"/>
    <s v="INTPG_ACC_410_1.9"/>
    <s v="ISEL-1.9"/>
    <n v="1"/>
    <s v="NO TIENE L3OUT"/>
    <n v="178"/>
    <n v="96"/>
  </r>
  <r>
    <n v="161"/>
    <x v="0"/>
    <x v="270"/>
    <s v="eth1/9"/>
    <x v="0"/>
    <x v="0"/>
    <x v="0"/>
    <s v="DESC"/>
    <x v="6"/>
    <b v="0"/>
    <s v="No está en VPC"/>
    <n v="161"/>
    <s v="INTPG_PC_161_1.9_11_13"/>
    <s v="ISEL-1.9"/>
    <n v="1"/>
    <s v="NO TIENE L3OUT"/>
    <n v="102"/>
    <n v="96"/>
  </r>
  <r>
    <n v="411"/>
    <x v="1"/>
    <x v="271"/>
    <s v="eth1/9"/>
    <x v="0"/>
    <x v="0"/>
    <x v="0"/>
    <s v="DESC"/>
    <x v="6"/>
    <b v="0"/>
    <s v="No está en VPC"/>
    <n v="411"/>
    <s v="INTPG_PC_411_1.9-12"/>
    <s v="ISEL-1.9"/>
    <n v="1"/>
    <s v="NO TIENE L3OUT"/>
    <n v="96"/>
    <n v="96"/>
  </r>
  <r>
    <n v="116"/>
    <x v="0"/>
    <x v="272"/>
    <s v="eth1/9"/>
    <x v="0"/>
    <x v="0"/>
    <x v="0"/>
    <s v="COBROS NAVEGACION"/>
    <x v="6"/>
    <b v="0"/>
    <s v="No está en VPC"/>
    <n v="116"/>
    <s v="INTPG_ACC_116_1.9"/>
    <s v="ISEL-1.9"/>
    <n v="1"/>
    <s v="NO TIENE L3OUT"/>
    <n v="148"/>
    <n v="96"/>
  </r>
  <r>
    <n v="412"/>
    <x v="1"/>
    <x v="273"/>
    <s v="eth1/9"/>
    <x v="0"/>
    <x v="1"/>
    <x v="1"/>
    <s v="Suspend1"/>
    <x v="6"/>
    <b v="0"/>
    <s v="No está en VPC"/>
    <n v="412"/>
    <s v="INTPG_ACC_412_1.9"/>
    <s v="ISEL-1.9"/>
    <n v="1"/>
    <s v="NO TIENE L3OUT"/>
    <n v="126"/>
    <n v="96"/>
  </r>
  <r>
    <n v="120"/>
    <x v="0"/>
    <x v="274"/>
    <s v="eth1/9"/>
    <x v="0"/>
    <x v="0"/>
    <x v="0"/>
    <s v="TEMIPAMX"/>
    <x v="6"/>
    <b v="0"/>
    <s v="No está en VPC"/>
    <n v="120"/>
    <s v="INTPG_ACC_120_1.9"/>
    <s v="ISEL-1.9"/>
    <n v="1"/>
    <s v="NO TIENE L3OUT"/>
    <n v="158"/>
    <n v="96"/>
  </r>
  <r>
    <n v="404"/>
    <x v="1"/>
    <x v="275"/>
    <s v="eth1/9"/>
    <x v="0"/>
    <x v="0"/>
    <x v="0"/>
    <s v="DESC"/>
    <x v="6"/>
    <b v="0"/>
    <s v="No está en VPC"/>
    <n v="404"/>
    <s v="INTPG_PC_404_1.9-10"/>
    <s v="ISEL-1.9"/>
    <n v="1"/>
    <s v="NO TIENE L3OUT"/>
    <n v="92"/>
    <n v="96"/>
  </r>
  <r>
    <n v="167"/>
    <x v="0"/>
    <x v="276"/>
    <s v="eth1/9"/>
    <x v="0"/>
    <x v="0"/>
    <x v="0"/>
    <s v="TO-ITHFDENBURBKP01(IXTFDLBKP6RAP)-REDUNDANTE"/>
    <x v="6"/>
    <b v="0"/>
    <s v="No está en VPC"/>
    <n v="167"/>
    <s v="INTPG_ACC_167_1.9"/>
    <s v="ISEL-1.9"/>
    <n v="1"/>
    <s v="NO TIENE L3OUT"/>
    <n v="68"/>
    <n v="96"/>
  </r>
  <r>
    <n v="428"/>
    <x v="1"/>
    <x v="277"/>
    <s v="eth1/9"/>
    <x v="0"/>
    <x v="0"/>
    <x v="0"/>
    <s v="LDAP-IDM_DESARROLLO"/>
    <x v="6"/>
    <b v="0"/>
    <s v="No está en VPC"/>
    <n v="428"/>
    <s v="INTPG_PC_428_1.5-9"/>
    <s v="ISEL-1.9"/>
    <n v="1"/>
    <s v="NO TIENE L3OUT"/>
    <n v="102"/>
    <n v="96"/>
  </r>
  <r>
    <n v="903"/>
    <x v="2"/>
    <x v="278"/>
    <s v="eth1/9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9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05"/>
    <x v="0"/>
    <x v="205"/>
    <s v="eth1/90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90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90"/>
    <x v="0"/>
    <x v="1"/>
    <x v="1"/>
    <s v="DESC"/>
    <x v="6"/>
    <b v="0"/>
    <s v="No está en VPC"/>
    <n v="104"/>
    <s v="INTPG_PC_104_1.84-91"/>
    <s v="ISEL-1.90"/>
    <n v="32"/>
    <s v="NO TIENE L3OUT"/>
    <n v="194"/>
    <n v="96"/>
  </r>
  <r>
    <n v="158"/>
    <x v="0"/>
    <x v="208"/>
    <s v="eth1/90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90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90"/>
    <x v="0"/>
    <x v="1"/>
    <x v="1"/>
    <s v="SAPCCRATING25"/>
    <x v="6"/>
    <b v="0"/>
    <s v="No está en VPC"/>
    <n v="112"/>
    <s v="INTPG_VPC_112_1.90_114_1.88"/>
    <s v="ISEL-1.90"/>
    <n v="1"/>
    <s v="NO TIENE L3OUT"/>
    <n v="144"/>
    <n v="96"/>
  </r>
  <r>
    <n v="107"/>
    <x v="0"/>
    <x v="213"/>
    <s v="eth1/90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90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90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90"/>
    <x v="0"/>
    <x v="1"/>
    <x v="1"/>
    <s v="SAPCC"/>
    <x v="6"/>
    <b v="0"/>
    <s v="No está en VPC"/>
    <n v="114"/>
    <s v="INTPG_ACC_114_1.90"/>
    <s v="ISEL-1.90"/>
    <n v="1"/>
    <s v="NO TIENE L3OUT"/>
    <n v="144"/>
    <n v="96"/>
  </r>
  <r>
    <n v="124"/>
    <x v="0"/>
    <x v="217"/>
    <s v="eth1/90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90"/>
    <x v="0"/>
    <x v="0"/>
    <x v="0"/>
    <s v="LA-47R VIRTUALIZACION BLADES"/>
    <x v="6"/>
    <b v="0"/>
    <s v="No está en VPC"/>
    <n v="118"/>
    <s v="INTPG_ACC_118_1.90"/>
    <s v="ISEL-1.90"/>
    <n v="1"/>
    <s v="NO TIENE L3OUT"/>
    <n v="180"/>
    <n v="96"/>
  </r>
  <r>
    <n v="159"/>
    <x v="0"/>
    <x v="219"/>
    <s v="eth1/90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90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90"/>
    <x v="0"/>
    <x v="0"/>
    <x v="0"/>
    <s v="SFCTGP01"/>
    <x v="6"/>
    <b v="0"/>
    <s v="No está en VPC"/>
    <n v="163"/>
    <s v="INTPG_VPC_161_1.79_163_1.90"/>
    <s v="ISEL-1.90"/>
    <n v="1"/>
    <s v="NO TIENE L3OUT"/>
    <n v="140"/>
    <n v="96"/>
  </r>
  <r>
    <n v="407"/>
    <x v="1"/>
    <x v="224"/>
    <s v="eth1/90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90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90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90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90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90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90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90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90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90"/>
    <x v="0"/>
    <x v="1"/>
    <x v="1"/>
    <s v="CORREO AMERICA MOVIL:OPENSTACK 2:VC1-X5"/>
    <x v="6"/>
    <b v="0"/>
    <s v="No está en VPC"/>
    <n v="102"/>
    <s v="INTPG_PC_102_1.86-93"/>
    <s v="ISEL-1.90"/>
    <n v="15"/>
    <s v="NO TIENE L3OUT"/>
    <n v="228"/>
    <n v="96"/>
  </r>
  <r>
    <n v="122"/>
    <x v="0"/>
    <x v="237"/>
    <s v="eth1/90"/>
    <x v="0"/>
    <x v="0"/>
    <x v="0"/>
    <s v="IXTZFSBK1"/>
    <x v="6"/>
    <b v="0"/>
    <s v="No está en VPC"/>
    <n v="122"/>
    <s v="INTPG_ACC_122_1.90"/>
    <s v="ISEL-1.90"/>
    <n v="1"/>
    <s v="NO TIENE L3OUT"/>
    <n v="148"/>
    <n v="96"/>
  </r>
  <r>
    <n v="157"/>
    <x v="0"/>
    <x v="238"/>
    <s v="eth1/90"/>
    <x v="0"/>
    <x v="0"/>
    <x v="0"/>
    <s v="SNA TEST BED"/>
    <x v="6"/>
    <b v="0"/>
    <s v="No está en VPC"/>
    <n v="157"/>
    <s v="INTPG_ACC_157_1.90"/>
    <s v="ISEL-1.90"/>
    <n v="0"/>
    <s v="L3OUT-SNA-TRIM-SITE-BGP"/>
    <n v="202"/>
    <n v="96"/>
  </r>
  <r>
    <n v="408"/>
    <x v="1"/>
    <x v="239"/>
    <s v="eth1/90"/>
    <x v="1"/>
    <x v="1"/>
    <x v="2"/>
    <m/>
    <x v="6"/>
    <b v="0"/>
    <s v="No está en VPC"/>
    <n v="408"/>
    <s v="NO EXISTE PG"/>
    <s v="NO EXISTE ISEL"/>
    <n v="0"/>
    <s v="NO TIENE L3OUT"/>
    <n v="152"/>
    <n v="96"/>
  </r>
  <r>
    <n v="405"/>
    <x v="1"/>
    <x v="240"/>
    <s v="eth1/90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90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90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90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90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90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90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90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90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90"/>
    <x v="1"/>
    <x v="1"/>
    <x v="2"/>
    <m/>
    <x v="6"/>
    <b v="0"/>
    <s v="No está en VPC"/>
    <n v="406"/>
    <s v="NO EXISTE PG"/>
    <s v="NO EXISTE ISEL"/>
    <n v="0"/>
    <s v="NO TIENE L3OUT"/>
    <n v="82"/>
    <n v="96"/>
  </r>
  <r>
    <n v="414"/>
    <x v="1"/>
    <x v="250"/>
    <s v="eth1/90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90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90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90"/>
    <x v="1"/>
    <x v="1"/>
    <x v="2"/>
    <m/>
    <x v="6"/>
    <b v="0"/>
    <s v="No está en VPC"/>
    <n v="413"/>
    <s v="NO EXISTE PG"/>
    <s v="NO EXISTE ISEL"/>
    <n v="0"/>
    <s v="NO TIENE L3OUT"/>
    <n v="126"/>
    <n v="96"/>
  </r>
  <r>
    <n v="403"/>
    <x v="1"/>
    <x v="254"/>
    <s v="eth1/90"/>
    <x v="0"/>
    <x v="0"/>
    <x v="0"/>
    <s v="TO-ithfhpmvnorbd01-Principal"/>
    <x v="6"/>
    <b v="0"/>
    <s v="No está en VPC"/>
    <n v="403"/>
    <s v="INTPG_ACC_403_1.90"/>
    <s v="ISEL-1.90"/>
    <n v="1"/>
    <s v="NO TIENE L3OUT"/>
    <n v="150"/>
    <n v="96"/>
  </r>
  <r>
    <n v="125"/>
    <x v="0"/>
    <x v="255"/>
    <s v="eth1/90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90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90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90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90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90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90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90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90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90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90"/>
    <x v="0"/>
    <x v="0"/>
    <x v="0"/>
    <s v="VTAE"/>
    <x v="6"/>
    <b v="0"/>
    <s v="No está en VPC"/>
    <n v="155"/>
    <s v="INTPG_ACC_155_1.90"/>
    <s v="ISEL-1.90"/>
    <n v="1"/>
    <s v="NO TIENE L3OUT"/>
    <n v="198"/>
    <n v="96"/>
  </r>
  <r>
    <n v="409"/>
    <x v="1"/>
    <x v="266"/>
    <s v="eth1/90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90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90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90"/>
    <x v="1"/>
    <x v="1"/>
    <x v="2"/>
    <m/>
    <x v="6"/>
    <b v="0"/>
    <s v="No está en VPC"/>
    <n v="410"/>
    <s v="NO EXISTE PG"/>
    <s v="NO EXISTE ISEL"/>
    <n v="0"/>
    <s v="NO TIENE L3OUT"/>
    <n v="178"/>
    <n v="96"/>
  </r>
  <r>
    <n v="161"/>
    <x v="0"/>
    <x v="270"/>
    <s v="eth1/90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90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90"/>
    <x v="1"/>
    <x v="1"/>
    <x v="2"/>
    <s v="DESC"/>
    <x v="6"/>
    <b v="0"/>
    <s v="No está en VPC"/>
    <n v="116"/>
    <s v="INTPG_PC_116_1.87-94"/>
    <s v="ISEL-1.90"/>
    <n v="0"/>
    <s v="NO TIENE L3OUT"/>
    <n v="148"/>
    <n v="96"/>
  </r>
  <r>
    <n v="412"/>
    <x v="1"/>
    <x v="273"/>
    <s v="eth1/90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90"/>
    <x v="0"/>
    <x v="0"/>
    <x v="0"/>
    <s v="MASTER SERVER"/>
    <x v="6"/>
    <b v="0"/>
    <s v="No está en VPC"/>
    <n v="120"/>
    <s v="INTPG_ACC_120_1.90"/>
    <s v="ISEL-1.90"/>
    <n v="1"/>
    <s v="NO TIENE L3OUT"/>
    <n v="158"/>
    <n v="96"/>
  </r>
  <r>
    <n v="404"/>
    <x v="1"/>
    <x v="275"/>
    <s v="eth1/90"/>
    <x v="1"/>
    <x v="1"/>
    <x v="2"/>
    <m/>
    <x v="6"/>
    <b v="0"/>
    <s v="No está en VPC"/>
    <n v="404"/>
    <s v="NO EXISTE PG"/>
    <s v="NO EXISTE ISEL"/>
    <n v="0"/>
    <s v="NO TIENE L3OUT"/>
    <n v="92"/>
    <n v="96"/>
  </r>
  <r>
    <n v="167"/>
    <x v="0"/>
    <x v="276"/>
    <s v="eth1/90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90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105"/>
    <x v="0"/>
    <x v="205"/>
    <s v="eth1/91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91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91"/>
    <x v="0"/>
    <x v="1"/>
    <x v="1"/>
    <s v="DESC"/>
    <x v="6"/>
    <b v="0"/>
    <s v="No está en VPC"/>
    <n v="104"/>
    <s v="INTPG_PC_104_1.84-91"/>
    <s v="ISEL-1.91"/>
    <n v="32"/>
    <s v="NO TIENE L3OUT"/>
    <n v="194"/>
    <n v="96"/>
  </r>
  <r>
    <n v="158"/>
    <x v="0"/>
    <x v="208"/>
    <s v="eth1/91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91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91"/>
    <x v="0"/>
    <x v="1"/>
    <x v="1"/>
    <s v="SAPCCRATING26"/>
    <x v="6"/>
    <b v="0"/>
    <s v="No está en VPC"/>
    <n v="112"/>
    <s v="INTPG_VPC_112_1.91_114_1.89"/>
    <s v="ISEL-1.91"/>
    <n v="1"/>
    <s v="NO TIENE L3OUT"/>
    <n v="144"/>
    <n v="96"/>
  </r>
  <r>
    <n v="107"/>
    <x v="0"/>
    <x v="213"/>
    <s v="eth1/91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91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91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91"/>
    <x v="0"/>
    <x v="1"/>
    <x v="1"/>
    <s v="SAPCC"/>
    <x v="6"/>
    <b v="0"/>
    <s v="No está en VPC"/>
    <n v="114"/>
    <s v="INTPG_ACC_114_1.91"/>
    <s v="ISEL-1.91"/>
    <n v="1"/>
    <s v="NO TIENE L3OUT"/>
    <n v="144"/>
    <n v="96"/>
  </r>
  <r>
    <n v="124"/>
    <x v="0"/>
    <x v="217"/>
    <s v="eth1/91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91"/>
    <x v="0"/>
    <x v="0"/>
    <x v="0"/>
    <s v="LA-47R VIRTUALIZACION BLADES"/>
    <x v="6"/>
    <b v="0"/>
    <s v="No está en VPC"/>
    <n v="118"/>
    <s v="INTPG_ACC_118_1.91"/>
    <s v="ISEL-1.91"/>
    <n v="1"/>
    <s v="NO TIENE L3OUT"/>
    <n v="180"/>
    <n v="96"/>
  </r>
  <r>
    <n v="159"/>
    <x v="0"/>
    <x v="219"/>
    <s v="eth1/91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91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91"/>
    <x v="0"/>
    <x v="0"/>
    <x v="0"/>
    <s v="VPARTITION"/>
    <x v="6"/>
    <b v="0"/>
    <s v="No está en VPC"/>
    <n v="163"/>
    <s v="INTPG_ACC_163_1.91"/>
    <s v="ISEL-1.91"/>
    <n v="1"/>
    <s v="NO TIENE L3OUT"/>
    <n v="140"/>
    <n v="96"/>
  </r>
  <r>
    <n v="407"/>
    <x v="1"/>
    <x v="224"/>
    <s v="eth1/91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91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91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91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91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91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91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91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91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91"/>
    <x v="0"/>
    <x v="1"/>
    <x v="1"/>
    <s v="CORREO AMERICA MOVIL:OPENSTACK 2:VC1-X6"/>
    <x v="6"/>
    <b v="0"/>
    <s v="No está en VPC"/>
    <n v="102"/>
    <s v="INTPG_PC_102_1.86-93"/>
    <s v="ISEL-1.91"/>
    <n v="15"/>
    <s v="NO TIENE L3OUT"/>
    <n v="228"/>
    <n v="96"/>
  </r>
  <r>
    <n v="122"/>
    <x v="0"/>
    <x v="237"/>
    <s v="eth1/91"/>
    <x v="0"/>
    <x v="0"/>
    <x v="0"/>
    <s v="SWITCH LAN"/>
    <x v="6"/>
    <b v="0"/>
    <s v="No está en VPC"/>
    <n v="122"/>
    <s v="INTPG_ACC_122_1.91"/>
    <s v="ISEL-1.91"/>
    <n v="1"/>
    <s v="NO TIENE L3OUT"/>
    <n v="148"/>
    <n v="96"/>
  </r>
  <r>
    <n v="157"/>
    <x v="0"/>
    <x v="238"/>
    <s v="eth1/91"/>
    <x v="0"/>
    <x v="0"/>
    <x v="0"/>
    <s v="COBROS NAVEGACION"/>
    <x v="6"/>
    <b v="0"/>
    <s v="No está en VPC"/>
    <n v="157"/>
    <s v="INTPG_ACC_157_1.91"/>
    <s v="ISEL-1.91"/>
    <n v="1"/>
    <s v="NO TIENE L3OUT"/>
    <n v="202"/>
    <n v="96"/>
  </r>
  <r>
    <n v="408"/>
    <x v="1"/>
    <x v="239"/>
    <s v="eth1/91"/>
    <x v="1"/>
    <x v="1"/>
    <x v="2"/>
    <m/>
    <x v="6"/>
    <b v="0"/>
    <s v="No está en VPC"/>
    <n v="408"/>
    <s v="NO EXISTE PG"/>
    <s v="NO EXISTE ISEL"/>
    <n v="0"/>
    <s v="NO TIENE L3OUT"/>
    <n v="152"/>
    <n v="96"/>
  </r>
  <r>
    <n v="405"/>
    <x v="1"/>
    <x v="240"/>
    <s v="eth1/91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91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91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91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91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91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91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91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91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91"/>
    <x v="1"/>
    <x v="1"/>
    <x v="2"/>
    <m/>
    <x v="6"/>
    <b v="0"/>
    <s v="No está en VPC"/>
    <n v="406"/>
    <s v="NO EXISTE PG"/>
    <s v="NO EXISTE ISEL"/>
    <n v="0"/>
    <s v="NO TIENE L3OUT"/>
    <n v="82"/>
    <n v="96"/>
  </r>
  <r>
    <n v="414"/>
    <x v="1"/>
    <x v="250"/>
    <s v="eth1/91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91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91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91"/>
    <x v="1"/>
    <x v="1"/>
    <x v="2"/>
    <m/>
    <x v="6"/>
    <b v="0"/>
    <s v="No está en VPC"/>
    <n v="413"/>
    <s v="NO EXISTE PG"/>
    <s v="NO EXISTE ISEL"/>
    <n v="0"/>
    <s v="NO TIENE L3OUT"/>
    <n v="126"/>
    <n v="96"/>
  </r>
  <r>
    <n v="403"/>
    <x v="1"/>
    <x v="254"/>
    <s v="eth1/91"/>
    <x v="0"/>
    <x v="0"/>
    <x v="0"/>
    <s v="TO-ithfhpmvnorbd01"/>
    <x v="6"/>
    <b v="0"/>
    <s v="No está en VPC"/>
    <n v="403"/>
    <s v="INTPG_VPC_403_1.91_405_1.80"/>
    <s v="ISEL-1.91"/>
    <n v="1"/>
    <s v="NO TIENE L3OUT"/>
    <n v="150"/>
    <n v="96"/>
  </r>
  <r>
    <n v="125"/>
    <x v="0"/>
    <x v="255"/>
    <s v="eth1/91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91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91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91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91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91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91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91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91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91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91"/>
    <x v="0"/>
    <x v="0"/>
    <x v="0"/>
    <s v="VTAE"/>
    <x v="6"/>
    <b v="0"/>
    <s v="No está en VPC"/>
    <n v="155"/>
    <s v="INTPG_ACC_155_1.91"/>
    <s v="ISEL-1.91"/>
    <n v="1"/>
    <s v="NO TIENE L3OUT"/>
    <n v="198"/>
    <n v="96"/>
  </r>
  <r>
    <n v="409"/>
    <x v="1"/>
    <x v="266"/>
    <s v="eth1/91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91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91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91"/>
    <x v="1"/>
    <x v="1"/>
    <x v="2"/>
    <m/>
    <x v="6"/>
    <b v="0"/>
    <s v="No está en VPC"/>
    <n v="410"/>
    <s v="NO EXISTE PG"/>
    <s v="NO EXISTE ISEL"/>
    <n v="0"/>
    <s v="NO TIENE L3OUT"/>
    <n v="178"/>
    <n v="96"/>
  </r>
  <r>
    <n v="161"/>
    <x v="0"/>
    <x v="270"/>
    <s v="eth1/91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91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91"/>
    <x v="1"/>
    <x v="1"/>
    <x v="2"/>
    <s v="DESC"/>
    <x v="6"/>
    <b v="0"/>
    <s v="No está en VPC"/>
    <n v="116"/>
    <s v="INTPG_PC_116_1.87-94"/>
    <s v="ISEL-1.91"/>
    <n v="0"/>
    <s v="NO TIENE L3OUT"/>
    <n v="148"/>
    <n v="96"/>
  </r>
  <r>
    <n v="412"/>
    <x v="1"/>
    <x v="273"/>
    <s v="eth1/91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91"/>
    <x v="0"/>
    <x v="0"/>
    <x v="0"/>
    <s v="MASTER SERVER"/>
    <x v="6"/>
    <b v="0"/>
    <s v="No está en VPC"/>
    <n v="120"/>
    <s v="INTPG_ACC_120_1.91"/>
    <s v="ISEL-1.91"/>
    <n v="1"/>
    <s v="NO TIENE L3OUT"/>
    <n v="158"/>
    <n v="96"/>
  </r>
  <r>
    <n v="404"/>
    <x v="1"/>
    <x v="275"/>
    <s v="eth1/91"/>
    <x v="1"/>
    <x v="1"/>
    <x v="2"/>
    <m/>
    <x v="6"/>
    <b v="0"/>
    <s v="No está en VPC"/>
    <n v="404"/>
    <s v="NO EXISTE PG"/>
    <s v="NO EXISTE ISEL"/>
    <n v="0"/>
    <s v="NO TIENE L3OUT"/>
    <n v="92"/>
    <n v="96"/>
  </r>
  <r>
    <n v="167"/>
    <x v="0"/>
    <x v="276"/>
    <s v="eth1/91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91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105"/>
    <x v="0"/>
    <x v="205"/>
    <s v="eth1/92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92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92"/>
    <x v="0"/>
    <x v="1"/>
    <x v="1"/>
    <s v="CORREO AMERICA MOVIL"/>
    <x v="6"/>
    <b v="0"/>
    <s v="No está en VPC"/>
    <n v="104"/>
    <s v="INTPG_ACC_104_1.92"/>
    <s v="ISEL-1.92"/>
    <n v="1"/>
    <s v="NO TIENE L3OUT"/>
    <n v="194"/>
    <n v="96"/>
  </r>
  <r>
    <n v="158"/>
    <x v="0"/>
    <x v="208"/>
    <s v="eth1/92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92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92"/>
    <x v="0"/>
    <x v="1"/>
    <x v="1"/>
    <s v="SAPCC"/>
    <x v="6"/>
    <b v="0"/>
    <s v="No está en VPC"/>
    <n v="112"/>
    <s v="INTPG_ACC_112_1.92"/>
    <s v="ISEL-1.92"/>
    <n v="1"/>
    <s v="NO TIENE L3OUT"/>
    <n v="144"/>
    <n v="96"/>
  </r>
  <r>
    <n v="107"/>
    <x v="0"/>
    <x v="213"/>
    <s v="eth1/92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92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92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92"/>
    <x v="0"/>
    <x v="1"/>
    <x v="1"/>
    <s v="SAPCC"/>
    <x v="6"/>
    <b v="0"/>
    <s v="No está en VPC"/>
    <n v="114"/>
    <s v="INTPG_ACC_114_1.92"/>
    <s v="ISEL-1.92"/>
    <n v="1"/>
    <s v="NO TIENE L3OUT"/>
    <n v="144"/>
    <n v="96"/>
  </r>
  <r>
    <n v="124"/>
    <x v="0"/>
    <x v="217"/>
    <s v="eth1/92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92"/>
    <x v="0"/>
    <x v="1"/>
    <x v="1"/>
    <s v="LifeRay_Portal"/>
    <x v="6"/>
    <b v="0"/>
    <s v="No está en VPC"/>
    <n v="118"/>
    <s v="INTPG_ACC_118_1.92"/>
    <s v="ISEL-1.92"/>
    <n v="1"/>
    <s v="NO TIENE L3OUT"/>
    <n v="180"/>
    <n v="96"/>
  </r>
  <r>
    <n v="159"/>
    <x v="0"/>
    <x v="219"/>
    <s v="eth1/92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92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92"/>
    <x v="0"/>
    <x v="0"/>
    <x v="0"/>
    <s v="SFTMPP01"/>
    <x v="6"/>
    <b v="0"/>
    <s v="No está en VPC"/>
    <n v="163"/>
    <s v="INTPG_VPC_161_1.80_163_1.92"/>
    <s v="ISEL-1.92"/>
    <n v="1"/>
    <s v="NO TIENE L3OUT"/>
    <n v="140"/>
    <n v="96"/>
  </r>
  <r>
    <n v="407"/>
    <x v="1"/>
    <x v="224"/>
    <s v="eth1/92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92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92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92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92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92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92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92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92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92"/>
    <x v="0"/>
    <x v="1"/>
    <x v="1"/>
    <s v="CORREO AMERICA MOVIL:OPENSTACK 2:VC1-X7"/>
    <x v="6"/>
    <b v="0"/>
    <s v="No está en VPC"/>
    <n v="102"/>
    <s v="INTPG_PC_102_1.86-93"/>
    <s v="ISEL-1.92"/>
    <n v="15"/>
    <s v="NO TIENE L3OUT"/>
    <n v="228"/>
    <n v="96"/>
  </r>
  <r>
    <n v="122"/>
    <x v="0"/>
    <x v="237"/>
    <s v="eth1/92"/>
    <x v="0"/>
    <x v="0"/>
    <x v="0"/>
    <s v="MASTER SERVER"/>
    <x v="6"/>
    <b v="0"/>
    <s v="No está en VPC"/>
    <n v="122"/>
    <s v="INTPG_ACC_122_1.92"/>
    <s v="ISEL-1.92"/>
    <n v="1"/>
    <s v="NO TIENE L3OUT"/>
    <n v="148"/>
    <n v="96"/>
  </r>
  <r>
    <n v="157"/>
    <x v="0"/>
    <x v="238"/>
    <s v="eth1/92"/>
    <x v="0"/>
    <x v="0"/>
    <x v="0"/>
    <s v="COBROS NAVEGACION"/>
    <x v="6"/>
    <b v="0"/>
    <s v="No está en VPC"/>
    <n v="157"/>
    <s v="INTPG_ACC_157_1.92"/>
    <s v="ISEL-1.92"/>
    <n v="1"/>
    <s v="NO TIENE L3OUT"/>
    <n v="202"/>
    <n v="96"/>
  </r>
  <r>
    <n v="408"/>
    <x v="1"/>
    <x v="239"/>
    <s v="eth1/92"/>
    <x v="1"/>
    <x v="1"/>
    <x v="2"/>
    <m/>
    <x v="6"/>
    <b v="0"/>
    <s v="No está en VPC"/>
    <n v="408"/>
    <s v="NO EXISTE PG"/>
    <s v="NO EXISTE ISEL"/>
    <n v="0"/>
    <s v="NO TIENE L3OUT"/>
    <n v="152"/>
    <n v="96"/>
  </r>
  <r>
    <n v="405"/>
    <x v="1"/>
    <x v="240"/>
    <s v="eth1/92"/>
    <x v="1"/>
    <x v="1"/>
    <x v="2"/>
    <s v="To OoB APIC 7"/>
    <x v="6"/>
    <b v="0"/>
    <s v="No está en VPC"/>
    <n v="405"/>
    <s v="INTPG_ACC_405_1.92"/>
    <s v="ISEL-1.92"/>
    <n v="1"/>
    <s v="NO TIENE L3OUT"/>
    <n v="138"/>
    <n v="96"/>
  </r>
  <r>
    <n v="169"/>
    <x v="0"/>
    <x v="241"/>
    <s v="eth1/92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92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92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92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92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92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92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92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92"/>
    <x v="1"/>
    <x v="1"/>
    <x v="2"/>
    <m/>
    <x v="6"/>
    <b v="0"/>
    <s v="No está en VPC"/>
    <n v="406"/>
    <s v="NO EXISTE PG"/>
    <s v="NO EXISTE ISEL"/>
    <n v="0"/>
    <s v="NO TIENE L3OUT"/>
    <n v="82"/>
    <n v="96"/>
  </r>
  <r>
    <n v="414"/>
    <x v="1"/>
    <x v="250"/>
    <s v="eth1/92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92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92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92"/>
    <x v="1"/>
    <x v="1"/>
    <x v="2"/>
    <m/>
    <x v="6"/>
    <b v="0"/>
    <s v="No está en VPC"/>
    <n v="413"/>
    <s v="NO EXISTE PG"/>
    <s v="NO EXISTE ISEL"/>
    <n v="0"/>
    <s v="NO TIENE L3OUT"/>
    <n v="126"/>
    <n v="96"/>
  </r>
  <r>
    <n v="403"/>
    <x v="1"/>
    <x v="254"/>
    <s v="eth1/92"/>
    <x v="1"/>
    <x v="1"/>
    <x v="2"/>
    <s v="EMS_Pantallas_en_CACs"/>
    <x v="6"/>
    <b v="0"/>
    <s v="No está en VPC"/>
    <n v="403"/>
    <s v="INTPG_ACC_403_1.92"/>
    <s v="ISEL-1.92"/>
    <n v="0"/>
    <s v="NO TIENE L3OUT"/>
    <n v="150"/>
    <n v="96"/>
  </r>
  <r>
    <n v="125"/>
    <x v="0"/>
    <x v="255"/>
    <s v="eth1/92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92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92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92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92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92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92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92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92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92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92"/>
    <x v="0"/>
    <x v="0"/>
    <x v="0"/>
    <s v="UXINGE"/>
    <x v="6"/>
    <b v="0"/>
    <s v="No está en VPC"/>
    <n v="155"/>
    <s v="INTPG_ACC_155_1.92"/>
    <s v="ISEL-1.92"/>
    <n v="1"/>
    <s v="NO TIENE L3OUT"/>
    <n v="198"/>
    <n v="96"/>
  </r>
  <r>
    <n v="409"/>
    <x v="1"/>
    <x v="266"/>
    <s v="eth1/92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92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92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92"/>
    <x v="1"/>
    <x v="1"/>
    <x v="2"/>
    <m/>
    <x v="6"/>
    <b v="0"/>
    <s v="No está en VPC"/>
    <n v="410"/>
    <s v="NO EXISTE PG"/>
    <s v="NO EXISTE ISEL"/>
    <n v="0"/>
    <s v="NO TIENE L3OUT"/>
    <n v="178"/>
    <n v="96"/>
  </r>
  <r>
    <n v="161"/>
    <x v="0"/>
    <x v="270"/>
    <s v="eth1/92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92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92"/>
    <x v="1"/>
    <x v="1"/>
    <x v="2"/>
    <s v="DESC"/>
    <x v="6"/>
    <b v="0"/>
    <s v="No está en VPC"/>
    <n v="116"/>
    <s v="INTPG_PC_116_1.87-94"/>
    <s v="ISEL-1.92"/>
    <n v="0"/>
    <s v="NO TIENE L3OUT"/>
    <n v="148"/>
    <n v="96"/>
  </r>
  <r>
    <n v="412"/>
    <x v="1"/>
    <x v="273"/>
    <s v="eth1/92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92"/>
    <x v="0"/>
    <x v="0"/>
    <x v="0"/>
    <s v="MASTER SERVER"/>
    <x v="6"/>
    <b v="0"/>
    <s v="No está en VPC"/>
    <n v="120"/>
    <s v="INTPG_ACC_120_1.92"/>
    <s v="ISEL-1.92"/>
    <n v="1"/>
    <s v="NO TIENE L3OUT"/>
    <n v="158"/>
    <n v="96"/>
  </r>
  <r>
    <n v="404"/>
    <x v="1"/>
    <x v="275"/>
    <s v="eth1/92"/>
    <x v="1"/>
    <x v="1"/>
    <x v="2"/>
    <m/>
    <x v="6"/>
    <b v="0"/>
    <s v="No está en VPC"/>
    <n v="404"/>
    <s v="NO EXISTE PG"/>
    <s v="NO EXISTE ISEL"/>
    <n v="0"/>
    <s v="NO TIENE L3OUT"/>
    <n v="92"/>
    <n v="96"/>
  </r>
  <r>
    <n v="167"/>
    <x v="0"/>
    <x v="276"/>
    <s v="eth1/92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92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105"/>
    <x v="0"/>
    <x v="205"/>
    <s v="eth1/93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93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93"/>
    <x v="0"/>
    <x v="1"/>
    <x v="1"/>
    <m/>
    <x v="6"/>
    <b v="0"/>
    <s v="No está en VPC"/>
    <n v="104"/>
    <s v="NO EXISTE PG"/>
    <s v="NO EXISTE ISEL"/>
    <n v="0"/>
    <s v="NO TIENE L3OUT"/>
    <n v="194"/>
    <n v="96"/>
  </r>
  <r>
    <n v="158"/>
    <x v="0"/>
    <x v="208"/>
    <s v="eth1/93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93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93"/>
    <x v="0"/>
    <x v="1"/>
    <x v="1"/>
    <s v="SAPCC"/>
    <x v="6"/>
    <b v="0"/>
    <s v="No está en VPC"/>
    <n v="112"/>
    <s v="INTPG_ACC_112_1.93"/>
    <s v="ISEL-1.93"/>
    <n v="1"/>
    <s v="NO TIENE L3OUT"/>
    <n v="144"/>
    <n v="96"/>
  </r>
  <r>
    <n v="107"/>
    <x v="0"/>
    <x v="213"/>
    <s v="eth1/93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93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93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93"/>
    <x v="0"/>
    <x v="1"/>
    <x v="1"/>
    <s v="SAPCC"/>
    <x v="6"/>
    <b v="0"/>
    <s v="No está en VPC"/>
    <n v="114"/>
    <s v="INTPG_ACC_114_1.93"/>
    <s v="ISEL-1.93"/>
    <n v="1"/>
    <s v="NO TIENE L3OUT"/>
    <n v="144"/>
    <n v="96"/>
  </r>
  <r>
    <n v="124"/>
    <x v="0"/>
    <x v="217"/>
    <s v="eth1/93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93"/>
    <x v="0"/>
    <x v="0"/>
    <x v="0"/>
    <s v="DESC"/>
    <x v="6"/>
    <b v="0"/>
    <s v="No está en VPC"/>
    <n v="118"/>
    <s v="INTPG_PC_118_1.93-94"/>
    <s v="ISEL-1.93"/>
    <n v="3"/>
    <s v="NO TIENE L3OUT"/>
    <n v="180"/>
    <n v="96"/>
  </r>
  <r>
    <n v="159"/>
    <x v="0"/>
    <x v="219"/>
    <s v="eth1/93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93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93"/>
    <x v="0"/>
    <x v="0"/>
    <x v="0"/>
    <s v="SFODPP02_CM"/>
    <x v="6"/>
    <b v="0"/>
    <s v="No está en VPC"/>
    <n v="163"/>
    <s v="INTPG_VPC_161_1.81_163_1.93"/>
    <s v="ISEL-1.93"/>
    <n v="1"/>
    <s v="NO TIENE L3OUT"/>
    <n v="140"/>
    <n v="96"/>
  </r>
  <r>
    <n v="407"/>
    <x v="1"/>
    <x v="224"/>
    <s v="eth1/93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93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93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93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93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93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93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93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93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93"/>
    <x v="0"/>
    <x v="1"/>
    <x v="1"/>
    <s v="CORREO AMERICA MOVIL:OPENSTACK 2:VC1-X8"/>
    <x v="6"/>
    <b v="0"/>
    <s v="No está en VPC"/>
    <n v="102"/>
    <s v="INTPG_PC_102_1.86-93"/>
    <s v="ISEL-1.93"/>
    <n v="15"/>
    <s v="NO TIENE L3OUT"/>
    <n v="228"/>
    <n v="96"/>
  </r>
  <r>
    <n v="122"/>
    <x v="0"/>
    <x v="237"/>
    <s v="eth1/93"/>
    <x v="1"/>
    <x v="1"/>
    <x v="2"/>
    <s v="MASTER SERVER"/>
    <x v="6"/>
    <b v="0"/>
    <s v="No está en VPC"/>
    <n v="122"/>
    <s v="INTPG_ACC_122_1.93"/>
    <s v="ISEL-1.93"/>
    <n v="0"/>
    <s v="NO TIENE L3OUT"/>
    <n v="148"/>
    <n v="96"/>
  </r>
  <r>
    <n v="157"/>
    <x v="0"/>
    <x v="238"/>
    <s v="eth1/93"/>
    <x v="0"/>
    <x v="0"/>
    <x v="0"/>
    <s v="COBROS NAVEGACION"/>
    <x v="6"/>
    <b v="0"/>
    <s v="No está en VPC"/>
    <n v="157"/>
    <s v="INTPG_ACC_157_1.93"/>
    <s v="ISEL-1.93"/>
    <n v="1"/>
    <s v="NO TIENE L3OUT"/>
    <n v="202"/>
    <n v="96"/>
  </r>
  <r>
    <n v="408"/>
    <x v="1"/>
    <x v="239"/>
    <s v="eth1/93"/>
    <x v="1"/>
    <x v="1"/>
    <x v="2"/>
    <m/>
    <x v="6"/>
    <b v="0"/>
    <s v="No está en VPC"/>
    <n v="408"/>
    <s v="NO EXISTE PG"/>
    <s v="NO EXISTE ISEL"/>
    <n v="0"/>
    <s v="NO TIENE L3OUT"/>
    <n v="152"/>
    <n v="96"/>
  </r>
  <r>
    <n v="405"/>
    <x v="1"/>
    <x v="240"/>
    <s v="eth1/93"/>
    <x v="0"/>
    <x v="0"/>
    <x v="0"/>
    <s v="To CIMC APIC 7"/>
    <x v="6"/>
    <b v="0"/>
    <s v="No está en VPC"/>
    <n v="405"/>
    <s v="INTPG_ACC_405_1.93"/>
    <s v="ISEL-1.93"/>
    <n v="1"/>
    <s v="NO TIENE L3OUT"/>
    <n v="138"/>
    <n v="96"/>
  </r>
  <r>
    <n v="169"/>
    <x v="0"/>
    <x v="241"/>
    <s v="eth1/93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93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93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93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93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93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93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93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93"/>
    <x v="1"/>
    <x v="1"/>
    <x v="2"/>
    <m/>
    <x v="6"/>
    <b v="0"/>
    <s v="No está en VPC"/>
    <n v="406"/>
    <s v="NO EXISTE PG"/>
    <s v="NO EXISTE ISEL"/>
    <n v="0"/>
    <s v="NO TIENE L3OUT"/>
    <n v="82"/>
    <n v="96"/>
  </r>
  <r>
    <n v="414"/>
    <x v="1"/>
    <x v="250"/>
    <s v="eth1/93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93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93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93"/>
    <x v="1"/>
    <x v="1"/>
    <x v="2"/>
    <m/>
    <x v="6"/>
    <b v="0"/>
    <s v="No está en VPC"/>
    <n v="413"/>
    <s v="NO EXISTE PG"/>
    <s v="NO EXISTE ISEL"/>
    <n v="0"/>
    <s v="NO TIENE L3OUT"/>
    <n v="126"/>
    <n v="96"/>
  </r>
  <r>
    <n v="403"/>
    <x v="1"/>
    <x v="254"/>
    <s v="eth1/93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93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93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93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93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93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93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93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93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93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93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93"/>
    <x v="0"/>
    <x v="0"/>
    <x v="0"/>
    <s v="UXINGE"/>
    <x v="6"/>
    <b v="0"/>
    <s v="No está en VPC"/>
    <n v="155"/>
    <s v="INTPG_ACC_155_1.93"/>
    <s v="ISEL-1.93"/>
    <n v="1"/>
    <s v="NO TIENE L3OUT"/>
    <n v="198"/>
    <n v="96"/>
  </r>
  <r>
    <n v="409"/>
    <x v="1"/>
    <x v="266"/>
    <s v="eth1/93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93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93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93"/>
    <x v="1"/>
    <x v="1"/>
    <x v="2"/>
    <m/>
    <x v="6"/>
    <b v="0"/>
    <s v="No está en VPC"/>
    <n v="410"/>
    <s v="NO EXISTE PG"/>
    <s v="NO EXISTE ISEL"/>
    <n v="0"/>
    <s v="NO TIENE L3OUT"/>
    <n v="178"/>
    <n v="96"/>
  </r>
  <r>
    <n v="161"/>
    <x v="0"/>
    <x v="270"/>
    <s v="eth1/93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93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93"/>
    <x v="1"/>
    <x v="1"/>
    <x v="2"/>
    <s v="DESC"/>
    <x v="6"/>
    <b v="0"/>
    <s v="No está en VPC"/>
    <n v="116"/>
    <s v="INTPG_PC_116_1.87-94"/>
    <s v="ISEL-1.93"/>
    <n v="0"/>
    <s v="NO TIENE L3OUT"/>
    <n v="148"/>
    <n v="96"/>
  </r>
  <r>
    <n v="412"/>
    <x v="1"/>
    <x v="273"/>
    <s v="eth1/93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93"/>
    <x v="0"/>
    <x v="0"/>
    <x v="0"/>
    <s v="MASTER SERVER"/>
    <x v="6"/>
    <b v="0"/>
    <s v="No está en VPC"/>
    <n v="120"/>
    <s v="INTPG_ACC_120_1.93"/>
    <s v="ISEL-1.93"/>
    <n v="1"/>
    <s v="NO TIENE L3OUT"/>
    <n v="158"/>
    <n v="96"/>
  </r>
  <r>
    <n v="404"/>
    <x v="1"/>
    <x v="275"/>
    <s v="eth1/93"/>
    <x v="1"/>
    <x v="1"/>
    <x v="2"/>
    <m/>
    <x v="6"/>
    <b v="0"/>
    <s v="No está en VPC"/>
    <n v="404"/>
    <s v="NO EXISTE PG"/>
    <s v="NO EXISTE ISEL"/>
    <n v="0"/>
    <s v="NO TIENE L3OUT"/>
    <n v="92"/>
    <n v="96"/>
  </r>
  <r>
    <n v="167"/>
    <x v="0"/>
    <x v="276"/>
    <s v="eth1/93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93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105"/>
    <x v="0"/>
    <x v="205"/>
    <s v="eth1/94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94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94"/>
    <x v="0"/>
    <x v="1"/>
    <x v="1"/>
    <m/>
    <x v="6"/>
    <b v="0"/>
    <s v="No está en VPC"/>
    <n v="104"/>
    <s v="NO EXISTE PG"/>
    <s v="NO EXISTE ISEL"/>
    <n v="0"/>
    <s v="NO TIENE L3OUT"/>
    <n v="194"/>
    <n v="96"/>
  </r>
  <r>
    <n v="158"/>
    <x v="0"/>
    <x v="208"/>
    <s v="eth1/94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94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94"/>
    <x v="0"/>
    <x v="1"/>
    <x v="1"/>
    <s v="SAPCC"/>
    <x v="6"/>
    <b v="0"/>
    <s v="No está en VPC"/>
    <n v="112"/>
    <s v="INTPG_ACC_112_1.94"/>
    <s v="ISEL-1.94"/>
    <n v="1"/>
    <s v="NO TIENE L3OUT"/>
    <n v="144"/>
    <n v="96"/>
  </r>
  <r>
    <n v="107"/>
    <x v="0"/>
    <x v="213"/>
    <s v="eth1/94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94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94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94"/>
    <x v="0"/>
    <x v="1"/>
    <x v="1"/>
    <s v="SAPCC"/>
    <x v="6"/>
    <b v="0"/>
    <s v="No está en VPC"/>
    <n v="114"/>
    <s v="INTPG_ACC_114_1.94"/>
    <s v="ISEL-1.94"/>
    <n v="1"/>
    <s v="NO TIENE L3OUT"/>
    <n v="144"/>
    <n v="96"/>
  </r>
  <r>
    <n v="124"/>
    <x v="0"/>
    <x v="217"/>
    <s v="eth1/94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94"/>
    <x v="0"/>
    <x v="0"/>
    <x v="0"/>
    <s v="DESC"/>
    <x v="6"/>
    <b v="0"/>
    <s v="No está en VPC"/>
    <n v="118"/>
    <s v="INTPG_PC_118_1.93-94"/>
    <s v="ISEL-1.94"/>
    <n v="3"/>
    <s v="NO TIENE L3OUT"/>
    <n v="180"/>
    <n v="96"/>
  </r>
  <r>
    <n v="159"/>
    <x v="0"/>
    <x v="219"/>
    <s v="eth1/94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94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94"/>
    <x v="0"/>
    <x v="0"/>
    <x v="0"/>
    <s v="VM5"/>
    <x v="6"/>
    <b v="0"/>
    <s v="No está en VPC"/>
    <n v="163"/>
    <s v="INTPG_ACC_163_1.94"/>
    <s v="ISEL-1.94"/>
    <n v="1"/>
    <s v="NO TIENE L3OUT"/>
    <n v="140"/>
    <n v="96"/>
  </r>
  <r>
    <n v="407"/>
    <x v="1"/>
    <x v="224"/>
    <s v="eth1/94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94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94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94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94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94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94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94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94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94"/>
    <x v="0"/>
    <x v="1"/>
    <x v="1"/>
    <s v="EHEALTH:ehealthp05:NET0"/>
    <x v="6"/>
    <b v="0"/>
    <s v="No está en VPC"/>
    <n v="102"/>
    <s v="INTPG_ACC_102_1.94"/>
    <s v="ISEL-1.94"/>
    <n v="1"/>
    <s v="NO TIENE L3OUT"/>
    <n v="228"/>
    <n v="96"/>
  </r>
  <r>
    <n v="122"/>
    <x v="0"/>
    <x v="237"/>
    <s v="eth1/94"/>
    <x v="0"/>
    <x v="0"/>
    <x v="0"/>
    <s v="MASTER SERVER"/>
    <x v="6"/>
    <b v="0"/>
    <s v="No está en VPC"/>
    <n v="122"/>
    <s v="INTPG_ACC_122_1.94"/>
    <s v="ISEL-1.94"/>
    <n v="1"/>
    <s v="NO TIENE L3OUT"/>
    <n v="148"/>
    <n v="96"/>
  </r>
  <r>
    <n v="157"/>
    <x v="0"/>
    <x v="238"/>
    <s v="eth1/94"/>
    <x v="0"/>
    <x v="0"/>
    <x v="0"/>
    <s v="COBROS NAVEGACION"/>
    <x v="6"/>
    <b v="0"/>
    <s v="No está en VPC"/>
    <n v="157"/>
    <s v="INTPG_ACC_157_1.94"/>
    <s v="ISEL-1.94"/>
    <n v="1"/>
    <s v="NO TIENE L3OUT"/>
    <n v="202"/>
    <n v="96"/>
  </r>
  <r>
    <n v="408"/>
    <x v="1"/>
    <x v="239"/>
    <s v="eth1/94"/>
    <x v="1"/>
    <x v="1"/>
    <x v="2"/>
    <m/>
    <x v="6"/>
    <b v="0"/>
    <s v="No está en VPC"/>
    <n v="408"/>
    <s v="NO EXISTE PG"/>
    <s v="NO EXISTE ISEL"/>
    <n v="0"/>
    <s v="NO TIENE L3OUT"/>
    <n v="152"/>
    <n v="96"/>
  </r>
  <r>
    <n v="405"/>
    <x v="1"/>
    <x v="240"/>
    <s v="eth1/94"/>
    <x v="1"/>
    <x v="1"/>
    <x v="2"/>
    <s v="RSPAN_ARIESO"/>
    <x v="6"/>
    <b v="0"/>
    <s v="No está en VPC"/>
    <n v="405"/>
    <s v="INTPG_ACC_405_1.94"/>
    <s v="ISEL-1.94"/>
    <n v="1"/>
    <s v="NO TIENE L3OUT"/>
    <n v="138"/>
    <n v="96"/>
  </r>
  <r>
    <n v="169"/>
    <x v="0"/>
    <x v="241"/>
    <s v="eth1/94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94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94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94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94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94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94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94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94"/>
    <x v="1"/>
    <x v="1"/>
    <x v="2"/>
    <m/>
    <x v="6"/>
    <b v="0"/>
    <s v="No está en VPC"/>
    <n v="406"/>
    <s v="NO EXISTE PG"/>
    <s v="NO EXISTE ISEL"/>
    <n v="0"/>
    <s v="NO TIENE L3OUT"/>
    <n v="82"/>
    <n v="96"/>
  </r>
  <r>
    <n v="414"/>
    <x v="1"/>
    <x v="250"/>
    <s v="eth1/94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94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94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94"/>
    <x v="1"/>
    <x v="1"/>
    <x v="2"/>
    <m/>
    <x v="6"/>
    <b v="0"/>
    <s v="No está en VPC"/>
    <n v="413"/>
    <s v="NO EXISTE PG"/>
    <s v="NO EXISTE ISEL"/>
    <n v="0"/>
    <s v="NO TIENE L3OUT"/>
    <n v="126"/>
    <n v="96"/>
  </r>
  <r>
    <n v="403"/>
    <x v="1"/>
    <x v="254"/>
    <s v="eth1/94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94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94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94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94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94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94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94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94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94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94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94"/>
    <x v="0"/>
    <x v="0"/>
    <x v="0"/>
    <s v="UXINGE"/>
    <x v="6"/>
    <b v="0"/>
    <s v="No está en VPC"/>
    <n v="155"/>
    <s v="INTPG_ACC_155_1.94"/>
    <s v="ISEL-1.94"/>
    <n v="1"/>
    <s v="NO TIENE L3OUT"/>
    <n v="198"/>
    <n v="96"/>
  </r>
  <r>
    <n v="409"/>
    <x v="1"/>
    <x v="266"/>
    <s v="eth1/94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94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94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94"/>
    <x v="1"/>
    <x v="1"/>
    <x v="2"/>
    <m/>
    <x v="6"/>
    <b v="0"/>
    <s v="No está en VPC"/>
    <n v="410"/>
    <s v="NO EXISTE PG"/>
    <s v="NO EXISTE ISEL"/>
    <n v="0"/>
    <s v="NO TIENE L3OUT"/>
    <n v="178"/>
    <n v="96"/>
  </r>
  <r>
    <n v="161"/>
    <x v="0"/>
    <x v="270"/>
    <s v="eth1/94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94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94"/>
    <x v="1"/>
    <x v="1"/>
    <x v="2"/>
    <s v="DESC"/>
    <x v="6"/>
    <b v="0"/>
    <s v="No está en VPC"/>
    <n v="116"/>
    <s v="INTPG_PC_116_1.87-94"/>
    <s v="ISEL-1.94"/>
    <n v="0"/>
    <s v="NO TIENE L3OUT"/>
    <n v="148"/>
    <n v="96"/>
  </r>
  <r>
    <n v="412"/>
    <x v="1"/>
    <x v="273"/>
    <s v="eth1/94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94"/>
    <x v="0"/>
    <x v="0"/>
    <x v="0"/>
    <s v="MASTER SERVER"/>
    <x v="6"/>
    <b v="0"/>
    <s v="No está en VPC"/>
    <n v="120"/>
    <s v="INTPG_ACC_120_1.94"/>
    <s v="ISEL-1.94"/>
    <n v="1"/>
    <s v="NO TIENE L3OUT"/>
    <n v="158"/>
    <n v="96"/>
  </r>
  <r>
    <n v="404"/>
    <x v="1"/>
    <x v="275"/>
    <s v="eth1/94"/>
    <x v="1"/>
    <x v="1"/>
    <x v="2"/>
    <m/>
    <x v="6"/>
    <b v="0"/>
    <s v="No está en VPC"/>
    <n v="404"/>
    <s v="NO EXISTE PG"/>
    <s v="NO EXISTE ISEL"/>
    <n v="0"/>
    <s v="NO TIENE L3OUT"/>
    <n v="92"/>
    <n v="96"/>
  </r>
  <r>
    <n v="167"/>
    <x v="0"/>
    <x v="276"/>
    <s v="eth1/94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94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105"/>
    <x v="0"/>
    <x v="205"/>
    <s v="eth1/95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95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95"/>
    <x v="0"/>
    <x v="1"/>
    <x v="1"/>
    <m/>
    <x v="6"/>
    <b v="0"/>
    <s v="No está en VPC"/>
    <n v="104"/>
    <s v="NO EXISTE PG"/>
    <s v="NO EXISTE ISEL"/>
    <n v="0"/>
    <s v="NO TIENE L3OUT"/>
    <n v="194"/>
    <n v="96"/>
  </r>
  <r>
    <n v="158"/>
    <x v="0"/>
    <x v="208"/>
    <s v="eth1/95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95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95"/>
    <x v="0"/>
    <x v="1"/>
    <x v="1"/>
    <s v="SAPCC"/>
    <x v="6"/>
    <b v="0"/>
    <s v="No está en VPC"/>
    <n v="112"/>
    <s v="INTPG_ACC_112_1.95"/>
    <s v="ISEL-1.95"/>
    <n v="1"/>
    <s v="NO TIENE L3OUT"/>
    <n v="144"/>
    <n v="96"/>
  </r>
  <r>
    <n v="107"/>
    <x v="0"/>
    <x v="213"/>
    <s v="eth1/95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95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95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95"/>
    <x v="1"/>
    <x v="1"/>
    <x v="2"/>
    <m/>
    <x v="6"/>
    <b v="0"/>
    <s v="No está en VPC"/>
    <n v="114"/>
    <s v="INTPG_VPC_112_1.77_114_1.95"/>
    <s v="ISEL-1.95"/>
    <n v="1"/>
    <s v="NO TIENE L3OUT"/>
    <n v="144"/>
    <n v="96"/>
  </r>
  <r>
    <n v="124"/>
    <x v="0"/>
    <x v="217"/>
    <s v="eth1/95"/>
    <x v="0"/>
    <x v="1"/>
    <x v="1"/>
    <s v="IXTCDRLON"/>
    <x v="6"/>
    <b v="0"/>
    <s v="No está en VPC"/>
    <n v="124"/>
    <s v="INTPG_ACC_124_1.95"/>
    <s v="ISEL-1.95"/>
    <n v="1"/>
    <s v="NO TIENE L3OUT"/>
    <n v="80"/>
    <n v="96"/>
  </r>
  <r>
    <n v="118"/>
    <x v="0"/>
    <x v="218"/>
    <s v="eth1/95"/>
    <x v="0"/>
    <x v="1"/>
    <x v="1"/>
    <m/>
    <x v="6"/>
    <b v="0"/>
    <s v="No está en VPC"/>
    <n v="118"/>
    <s v="NO EXISTE PG"/>
    <s v="NO EXISTE ISEL"/>
    <n v="0"/>
    <s v="NO TIENE L3OUT"/>
    <n v="180"/>
    <n v="96"/>
  </r>
  <r>
    <n v="159"/>
    <x v="0"/>
    <x v="219"/>
    <s v="eth1/95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95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95"/>
    <x v="0"/>
    <x v="1"/>
    <x v="1"/>
    <s v="SERTEC_SGH250HXW2_CLIENT1"/>
    <x v="6"/>
    <b v="0"/>
    <s v="No está en VPC"/>
    <n v="163"/>
    <s v="INTPG_VPC_161_1.68_163_1.95"/>
    <s v="ISEL-1.95"/>
    <n v="1"/>
    <s v="NO TIENE L3OUT"/>
    <n v="140"/>
    <n v="96"/>
  </r>
  <r>
    <n v="407"/>
    <x v="1"/>
    <x v="224"/>
    <s v="eth1/95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95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95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95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95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95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95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95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95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95"/>
    <x v="0"/>
    <x v="1"/>
    <x v="1"/>
    <s v="EHEALTH:ehealthp06:NET0"/>
    <x v="6"/>
    <b v="0"/>
    <s v="No está en VPC"/>
    <n v="102"/>
    <s v="INTPG_ACC_102_1.95"/>
    <s v="ISEL-1.95"/>
    <n v="1"/>
    <s v="NO TIENE L3OUT"/>
    <n v="228"/>
    <n v="96"/>
  </r>
  <r>
    <n v="122"/>
    <x v="0"/>
    <x v="237"/>
    <s v="eth1/95"/>
    <x v="0"/>
    <x v="0"/>
    <x v="0"/>
    <s v="MASTER SERVER"/>
    <x v="6"/>
    <b v="0"/>
    <s v="No está en VPC"/>
    <n v="122"/>
    <s v="INTPG_ACC_122_1.95"/>
    <s v="ISEL-1.95"/>
    <n v="1"/>
    <s v="NO TIENE L3OUT"/>
    <n v="148"/>
    <n v="96"/>
  </r>
  <r>
    <n v="157"/>
    <x v="0"/>
    <x v="238"/>
    <s v="eth1/95"/>
    <x v="0"/>
    <x v="0"/>
    <x v="0"/>
    <s v="COBROS NAVEGACION"/>
    <x v="6"/>
    <b v="0"/>
    <s v="No está en VPC"/>
    <n v="157"/>
    <s v="INTPG_ACC_157_1.95"/>
    <s v="ISEL-1.95"/>
    <n v="1"/>
    <s v="NO TIENE L3OUT"/>
    <n v="202"/>
    <n v="96"/>
  </r>
  <r>
    <n v="408"/>
    <x v="1"/>
    <x v="239"/>
    <s v="eth1/95"/>
    <x v="1"/>
    <x v="1"/>
    <x v="2"/>
    <m/>
    <x v="6"/>
    <b v="0"/>
    <s v="No está en VPC"/>
    <n v="408"/>
    <s v="NO EXISTE PG"/>
    <s v="NO EXISTE ISEL"/>
    <n v="0"/>
    <s v="NO TIENE L3OUT"/>
    <n v="152"/>
    <n v="96"/>
  </r>
  <r>
    <n v="405"/>
    <x v="1"/>
    <x v="240"/>
    <s v="eth1/95"/>
    <x v="0"/>
    <x v="0"/>
    <x v="0"/>
    <s v="VMWARE_DEMO_TO_APIC"/>
    <x v="6"/>
    <b v="0"/>
    <s v="No está en VPC"/>
    <n v="405"/>
    <s v="INTPG_ACC_405_1.95"/>
    <s v="ISEL-1.95"/>
    <n v="1"/>
    <s v="NO TIENE L3OUT"/>
    <n v="138"/>
    <n v="96"/>
  </r>
  <r>
    <n v="169"/>
    <x v="0"/>
    <x v="241"/>
    <s v="eth1/95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95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95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95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95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95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95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95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95"/>
    <x v="1"/>
    <x v="1"/>
    <x v="2"/>
    <m/>
    <x v="6"/>
    <b v="0"/>
    <s v="No está en VPC"/>
    <n v="406"/>
    <s v="NO EXISTE PG"/>
    <s v="NO EXISTE ISEL"/>
    <n v="0"/>
    <s v="NO TIENE L3OUT"/>
    <n v="82"/>
    <n v="96"/>
  </r>
  <r>
    <n v="414"/>
    <x v="1"/>
    <x v="250"/>
    <s v="eth1/95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95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95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95"/>
    <x v="1"/>
    <x v="1"/>
    <x v="2"/>
    <m/>
    <x v="6"/>
    <b v="0"/>
    <s v="No está en VPC"/>
    <n v="413"/>
    <s v="NO EXISTE PG"/>
    <s v="NO EXISTE ISEL"/>
    <n v="0"/>
    <s v="NO TIENE L3OUT"/>
    <n v="126"/>
    <n v="96"/>
  </r>
  <r>
    <n v="403"/>
    <x v="1"/>
    <x v="254"/>
    <s v="eth1/95"/>
    <x v="0"/>
    <x v="1"/>
    <x v="1"/>
    <m/>
    <x v="6"/>
    <b v="0"/>
    <s v="No está en VPC"/>
    <n v="403"/>
    <s v="ACC-LAP_TEST"/>
    <s v="ISEL-1.95"/>
    <n v="0"/>
    <s v="NO TIENE L3OUT"/>
    <n v="150"/>
    <n v="96"/>
  </r>
  <r>
    <n v="125"/>
    <x v="0"/>
    <x v="255"/>
    <s v="eth1/95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95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95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95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95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95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95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95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95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95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95"/>
    <x v="0"/>
    <x v="0"/>
    <x v="0"/>
    <s v="Respaldos"/>
    <x v="6"/>
    <b v="0"/>
    <s v="No está en VPC"/>
    <n v="155"/>
    <s v="INTPG_ACC_155_1.95"/>
    <s v="ISEL-1.95"/>
    <n v="1"/>
    <s v="NO TIENE L3OUT"/>
    <n v="198"/>
    <n v="96"/>
  </r>
  <r>
    <n v="409"/>
    <x v="1"/>
    <x v="266"/>
    <s v="eth1/95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95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95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95"/>
    <x v="1"/>
    <x v="1"/>
    <x v="2"/>
    <m/>
    <x v="6"/>
    <b v="0"/>
    <s v="No está en VPC"/>
    <n v="410"/>
    <s v="NO EXISTE PG"/>
    <s v="NO EXISTE ISEL"/>
    <n v="0"/>
    <s v="NO TIENE L3OUT"/>
    <n v="178"/>
    <n v="96"/>
  </r>
  <r>
    <n v="161"/>
    <x v="0"/>
    <x v="270"/>
    <s v="eth1/95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95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95"/>
    <x v="1"/>
    <x v="1"/>
    <x v="2"/>
    <s v="RLBAC"/>
    <x v="6"/>
    <b v="0"/>
    <s v="No está en VPC"/>
    <n v="116"/>
    <s v="INTPG_ACC_116_1.95"/>
    <s v="ISEL-1.95"/>
    <n v="0"/>
    <s v="NO TIENE L3OUT"/>
    <n v="148"/>
    <n v="96"/>
  </r>
  <r>
    <n v="412"/>
    <x v="1"/>
    <x v="273"/>
    <s v="eth1/95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95"/>
    <x v="0"/>
    <x v="0"/>
    <x v="0"/>
    <s v="MASTER SERVER"/>
    <x v="6"/>
    <b v="0"/>
    <s v="No está en VPC"/>
    <n v="120"/>
    <s v="INTPG_ACC_120_1.95"/>
    <s v="ISEL-1.95"/>
    <n v="1"/>
    <s v="NO TIENE L3OUT"/>
    <n v="158"/>
    <n v="96"/>
  </r>
  <r>
    <n v="404"/>
    <x v="1"/>
    <x v="275"/>
    <s v="eth1/95"/>
    <x v="1"/>
    <x v="1"/>
    <x v="2"/>
    <m/>
    <x v="6"/>
    <b v="0"/>
    <s v="No está en VPC"/>
    <n v="404"/>
    <s v="NO EXISTE PG"/>
    <s v="NO EXISTE ISEL"/>
    <n v="0"/>
    <s v="NO TIENE L3OUT"/>
    <n v="92"/>
    <n v="96"/>
  </r>
  <r>
    <n v="167"/>
    <x v="0"/>
    <x v="276"/>
    <s v="eth1/95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95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105"/>
    <x v="0"/>
    <x v="205"/>
    <s v="eth1/96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96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96"/>
    <x v="0"/>
    <x v="1"/>
    <x v="1"/>
    <m/>
    <x v="6"/>
    <b v="0"/>
    <s v="No está en VPC"/>
    <n v="104"/>
    <s v="NO EXISTE PG"/>
    <s v="NO EXISTE ISEL"/>
    <n v="0"/>
    <s v="NO TIENE L3OUT"/>
    <n v="194"/>
    <n v="96"/>
  </r>
  <r>
    <n v="158"/>
    <x v="0"/>
    <x v="208"/>
    <s v="eth1/96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96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96"/>
    <x v="0"/>
    <x v="1"/>
    <x v="1"/>
    <s v="SAPCC"/>
    <x v="6"/>
    <b v="0"/>
    <s v="No está en VPC"/>
    <n v="112"/>
    <s v="INTPG_ACC_112_1.96"/>
    <s v="ISEL-1.96"/>
    <n v="1"/>
    <s v="NO TIENE L3OUT"/>
    <n v="144"/>
    <n v="96"/>
  </r>
  <r>
    <n v="107"/>
    <x v="0"/>
    <x v="213"/>
    <s v="eth1/96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96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96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96"/>
    <x v="1"/>
    <x v="1"/>
    <x v="2"/>
    <m/>
    <x v="6"/>
    <b v="0"/>
    <s v="No está en VPC"/>
    <n v="114"/>
    <s v="INTPG_VPC_112_1.78_114_1.96"/>
    <s v="ISEL-1.96"/>
    <n v="1"/>
    <s v="NO TIENE L3OUT"/>
    <n v="144"/>
    <n v="96"/>
  </r>
  <r>
    <n v="124"/>
    <x v="0"/>
    <x v="217"/>
    <s v="eth1/96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96"/>
    <x v="0"/>
    <x v="1"/>
    <x v="1"/>
    <m/>
    <x v="6"/>
    <b v="0"/>
    <s v="No está en VPC"/>
    <n v="118"/>
    <s v="NO EXISTE PG"/>
    <s v="NO EXISTE ISEL"/>
    <n v="0"/>
    <s v="NO TIENE L3OUT"/>
    <n v="180"/>
    <n v="96"/>
  </r>
  <r>
    <n v="159"/>
    <x v="0"/>
    <x v="219"/>
    <s v="eth1/96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96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96"/>
    <x v="0"/>
    <x v="1"/>
    <x v="5"/>
    <s v="SERTEC_SGH250HXW3_CLIENT1"/>
    <x v="6"/>
    <b v="0"/>
    <s v="No está en VPC"/>
    <n v="163"/>
    <s v="INTPG_VPC_161_1.69_163_1.96"/>
    <s v="ISEL-1.96"/>
    <n v="1"/>
    <s v="NO TIENE L3OUT"/>
    <n v="140"/>
    <n v="96"/>
  </r>
  <r>
    <n v="407"/>
    <x v="1"/>
    <x v="224"/>
    <s v="eth1/96"/>
    <x v="0"/>
    <x v="0"/>
    <x v="0"/>
    <s v="TO-00S2.105.18.RPDUA_RPDU"/>
    <x v="6"/>
    <b v="0"/>
    <s v="No está en VPC"/>
    <n v="407"/>
    <s v="INTPG_ACC_407_1.96"/>
    <s v="ISEL-1.96"/>
    <n v="1"/>
    <s v="NO TIENE L3OUT"/>
    <n v="122"/>
    <n v="96"/>
  </r>
  <r>
    <n v="171"/>
    <x v="0"/>
    <x v="225"/>
    <s v="eth1/96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96"/>
    <x v="0"/>
    <x v="0"/>
    <x v="0"/>
    <s v="TO-00S2.111.18.RPDUB_RPDU"/>
    <x v="6"/>
    <b v="0"/>
    <s v="No está en VPC"/>
    <n v="421"/>
    <s v="INTPG_ACC_421_1.96"/>
    <s v="ISEL-1.96"/>
    <n v="1"/>
    <s v="NO TIENE L3OUT"/>
    <n v="72"/>
    <n v="96"/>
  </r>
  <r>
    <n v="173"/>
    <x v="0"/>
    <x v="227"/>
    <s v="eth1/96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96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96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96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96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96"/>
    <x v="0"/>
    <x v="1"/>
    <x v="1"/>
    <s v="VSP_G1K"/>
    <x v="6"/>
    <b v="0"/>
    <s v="No está en VPC"/>
    <n v="415"/>
    <s v="INTPG_ACC_415_1.96"/>
    <s v="ISEL-1.96"/>
    <n v="1"/>
    <s v="NO TIENE L3OUT"/>
    <n v="52"/>
    <n v="96"/>
  </r>
  <r>
    <n v="102"/>
    <x v="0"/>
    <x v="233"/>
    <s v="eth1/96"/>
    <x v="0"/>
    <x v="1"/>
    <x v="1"/>
    <m/>
    <x v="6"/>
    <b v="0"/>
    <s v="No está en VPC"/>
    <n v="102"/>
    <s v="NO EXISTE PG"/>
    <s v="NO EXISTE ISEL"/>
    <n v="0"/>
    <s v="NO TIENE L3OUT"/>
    <n v="228"/>
    <n v="96"/>
  </r>
  <r>
    <n v="122"/>
    <x v="0"/>
    <x v="237"/>
    <s v="eth1/96"/>
    <x v="1"/>
    <x v="1"/>
    <x v="2"/>
    <s v="MASTER SERVER"/>
    <x v="6"/>
    <b v="0"/>
    <s v="No está en VPC"/>
    <n v="122"/>
    <s v="INTPG_ACC_122_1.96"/>
    <s v="ISEL-1.96"/>
    <n v="0"/>
    <s v="NO TIENE L3OUT"/>
    <n v="148"/>
    <n v="96"/>
  </r>
  <r>
    <n v="157"/>
    <x v="0"/>
    <x v="238"/>
    <s v="eth1/96"/>
    <x v="0"/>
    <x v="0"/>
    <x v="0"/>
    <s v="ARIESO_GEOLOCALIZACION"/>
    <x v="6"/>
    <b v="0"/>
    <s v="No está en VPC"/>
    <n v="157"/>
    <s v="INTPG_ACC_157_1.96"/>
    <s v="ISEL-1.96"/>
    <n v="1"/>
    <s v="NO TIENE L3OUT"/>
    <n v="202"/>
    <n v="96"/>
  </r>
  <r>
    <n v="408"/>
    <x v="1"/>
    <x v="239"/>
    <s v="eth1/96"/>
    <x v="0"/>
    <x v="1"/>
    <x v="1"/>
    <m/>
    <x v="6"/>
    <b v="0"/>
    <s v="No está en VPC"/>
    <n v="408"/>
    <s v="NO EXISTE PG"/>
    <s v="NO EXISTE ISEL"/>
    <n v="0"/>
    <s v="NO TIENE L3OUT"/>
    <n v="152"/>
    <n v="96"/>
  </r>
  <r>
    <n v="405"/>
    <x v="1"/>
    <x v="240"/>
    <s v="eth1/96"/>
    <x v="0"/>
    <x v="0"/>
    <x v="0"/>
    <s v="TO-00S2.102.18.RPDUB_RPDU"/>
    <x v="6"/>
    <b v="0"/>
    <s v="No está en VPC"/>
    <n v="405"/>
    <s v="INTPG_ACC_405_1.96"/>
    <s v="ISEL-1.96"/>
    <n v="1"/>
    <s v="NO TIENE L3OUT"/>
    <n v="138"/>
    <n v="96"/>
  </r>
  <r>
    <n v="169"/>
    <x v="0"/>
    <x v="241"/>
    <s v="eth1/96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96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96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96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96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96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96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96"/>
    <x v="0"/>
    <x v="0"/>
    <x v="0"/>
    <s v="TO-00S2.211.17.RPDUB_RPDU"/>
    <x v="6"/>
    <b v="0"/>
    <s v="No está en VPC"/>
    <n v="438"/>
    <s v="INTPG_ACC_438_1.96"/>
    <s v="ISEL-1.96"/>
    <n v="1"/>
    <s v="NO TIENE L3OUT"/>
    <n v="170"/>
    <n v="96"/>
  </r>
  <r>
    <n v="406"/>
    <x v="1"/>
    <x v="249"/>
    <s v="eth1/96"/>
    <x v="0"/>
    <x v="0"/>
    <x v="0"/>
    <s v="TO-00S2.202.17.RPDUB_RPDU"/>
    <x v="6"/>
    <b v="0"/>
    <s v="No está en VPC"/>
    <n v="406"/>
    <s v="INTPG_ACC_406_1.96"/>
    <s v="ISEL-1.96"/>
    <n v="1"/>
    <s v="NO TIENE L3OUT"/>
    <n v="82"/>
    <n v="96"/>
  </r>
  <r>
    <n v="414"/>
    <x v="1"/>
    <x v="250"/>
    <s v="eth1/96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96"/>
    <x v="0"/>
    <x v="0"/>
    <x v="0"/>
    <s v="TO-00S2.205.17.RPDUA_RPDU"/>
    <x v="6"/>
    <b v="0"/>
    <s v="No está en VPC"/>
    <n v="416"/>
    <s v="INTPG_ACC_416_1.96"/>
    <s v="ISEL-1.96"/>
    <n v="1"/>
    <s v="NO TIENE L3OUT"/>
    <n v="110"/>
    <n v="96"/>
  </r>
  <r>
    <n v="418"/>
    <x v="1"/>
    <x v="252"/>
    <s v="eth1/96"/>
    <x v="0"/>
    <x v="0"/>
    <x v="0"/>
    <s v="TO-00S2.205.17.RPDUB_RPDU"/>
    <x v="6"/>
    <b v="0"/>
    <s v="No está en VPC"/>
    <n v="418"/>
    <s v="INTPG_ACC_418_1.96"/>
    <s v="ISEL-1.96"/>
    <n v="1"/>
    <s v="NO TIENE L3OUT"/>
    <n v="152"/>
    <n v="96"/>
  </r>
  <r>
    <n v="413"/>
    <x v="1"/>
    <x v="253"/>
    <s v="eth1/96"/>
    <x v="0"/>
    <x v="0"/>
    <x v="0"/>
    <s v="TO-00S2.108.18.RPDUB_RPDU"/>
    <x v="6"/>
    <b v="0"/>
    <s v="No está en VPC"/>
    <n v="413"/>
    <s v="INTPG_ACC_413_1.96"/>
    <s v="ISEL-1.96"/>
    <n v="1"/>
    <s v="NO TIENE L3OUT"/>
    <n v="126"/>
    <n v="96"/>
  </r>
  <r>
    <n v="403"/>
    <x v="1"/>
    <x v="254"/>
    <s v="eth1/96"/>
    <x v="0"/>
    <x v="0"/>
    <x v="0"/>
    <s v="TO-00S2.102.18.RPDUA_RPDU"/>
    <x v="6"/>
    <b v="0"/>
    <s v="No está en VPC"/>
    <n v="403"/>
    <s v="INTPG_ACC_403_1.96"/>
    <s v="ISEL-1.96"/>
    <n v="1"/>
    <s v="NO TIENE L3OUT"/>
    <n v="150"/>
    <n v="96"/>
  </r>
  <r>
    <n v="125"/>
    <x v="0"/>
    <x v="255"/>
    <s v="eth1/96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96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96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96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96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96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96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96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96"/>
    <x v="0"/>
    <x v="0"/>
    <x v="0"/>
    <s v="TO-00S2.208.17.RPDUB_RPDU"/>
    <x v="6"/>
    <b v="0"/>
    <s v="No está en VPC"/>
    <n v="430"/>
    <s v="INTPG_ACC_430_1.96"/>
    <s v="ISEL-1.96"/>
    <n v="1"/>
    <s v="NO TIENE L3OUT"/>
    <n v="86"/>
    <n v="96"/>
  </r>
  <r>
    <n v="419"/>
    <x v="1"/>
    <x v="264"/>
    <s v="eth1/96"/>
    <x v="0"/>
    <x v="0"/>
    <x v="0"/>
    <s v="TO-00S2.111.18.RPDUA_RPDU"/>
    <x v="6"/>
    <b v="0"/>
    <s v="No está en VPC"/>
    <n v="419"/>
    <s v="INTPG_ACC_419_1.96"/>
    <s v="ISEL-1.96"/>
    <n v="1"/>
    <s v="NO TIENE L3OUT"/>
    <n v="70"/>
    <n v="96"/>
  </r>
  <r>
    <n v="155"/>
    <x v="0"/>
    <x v="265"/>
    <s v="eth1/96"/>
    <x v="0"/>
    <x v="1"/>
    <x v="1"/>
    <m/>
    <x v="6"/>
    <b v="0"/>
    <s v="No está en VPC"/>
    <n v="155"/>
    <s v="NO EXISTE PG"/>
    <s v="NO EXISTE ISEL"/>
    <n v="0"/>
    <s v="NO TIENE L3OUT"/>
    <n v="198"/>
    <n v="96"/>
  </r>
  <r>
    <n v="409"/>
    <x v="1"/>
    <x v="266"/>
    <s v="eth1/96"/>
    <x v="0"/>
    <x v="0"/>
    <x v="0"/>
    <s v="TO-00S2.105.18.RPDUB_RPDU"/>
    <x v="6"/>
    <b v="0"/>
    <s v="No está en VPC"/>
    <n v="409"/>
    <s v="INTPG_ACC_409_1.96"/>
    <s v="ISEL-1.96"/>
    <n v="1"/>
    <s v="NO TIENE L3OUT"/>
    <n v="128"/>
    <n v="96"/>
  </r>
  <r>
    <n v="422"/>
    <x v="1"/>
    <x v="267"/>
    <s v="eth1/96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96"/>
    <x v="0"/>
    <x v="0"/>
    <x v="0"/>
    <s v="TO-00S2.211.17.RPDUA_RPDU"/>
    <x v="6"/>
    <b v="0"/>
    <s v="No está en VPC"/>
    <n v="436"/>
    <s v="INTPG_ACC_436_1.96"/>
    <s v="ISEL-1.96"/>
    <n v="1"/>
    <s v="NO TIENE L3OUT"/>
    <n v="172"/>
    <n v="96"/>
  </r>
  <r>
    <n v="410"/>
    <x v="1"/>
    <x v="269"/>
    <s v="eth1/96"/>
    <x v="1"/>
    <x v="1"/>
    <x v="2"/>
    <m/>
    <x v="6"/>
    <b v="0"/>
    <s v="No está en VPC"/>
    <n v="410"/>
    <s v="NO EXISTE PG"/>
    <s v="NO EXISTE ISEL"/>
    <n v="0"/>
    <s v="NO TIENE L3OUT"/>
    <n v="178"/>
    <n v="96"/>
  </r>
  <r>
    <n v="161"/>
    <x v="0"/>
    <x v="270"/>
    <s v="eth1/96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96"/>
    <x v="0"/>
    <x v="0"/>
    <x v="0"/>
    <s v="TO-00S2.108.18.RPDUA_RPDU"/>
    <x v="6"/>
    <b v="0"/>
    <s v="No está en VPC"/>
    <n v="411"/>
    <s v="INTPG_ACC_411_1.96"/>
    <s v="ISEL-1.96"/>
    <n v="1"/>
    <s v="NO TIENE L3OUT"/>
    <n v="96"/>
    <n v="96"/>
  </r>
  <r>
    <n v="116"/>
    <x v="0"/>
    <x v="272"/>
    <s v="eth1/96"/>
    <x v="0"/>
    <x v="0"/>
    <x v="0"/>
    <s v="DCX_BKP1_BPK2_S1"/>
    <x v="6"/>
    <b v="0"/>
    <s v="No está en VPC"/>
    <n v="116"/>
    <s v="INTPG_ACC_116_1.96"/>
    <s v="ISEL-1.96"/>
    <n v="1"/>
    <s v="NO TIENE L3OUT"/>
    <n v="148"/>
    <n v="96"/>
  </r>
  <r>
    <n v="412"/>
    <x v="1"/>
    <x v="273"/>
    <s v="eth1/96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96"/>
    <x v="0"/>
    <x v="1"/>
    <x v="1"/>
    <m/>
    <x v="6"/>
    <b v="0"/>
    <s v="No está en VPC"/>
    <n v="120"/>
    <s v="NO EXISTE PG"/>
    <s v="NO EXISTE ISEL"/>
    <n v="0"/>
    <s v="NO TIENE L3OUT"/>
    <n v="158"/>
    <n v="96"/>
  </r>
  <r>
    <n v="404"/>
    <x v="1"/>
    <x v="275"/>
    <s v="eth1/96"/>
    <x v="0"/>
    <x v="0"/>
    <x v="0"/>
    <s v="TO-00S2.202.17.RPDUA_RPDU"/>
    <x v="6"/>
    <b v="0"/>
    <s v="No está en VPC"/>
    <n v="404"/>
    <s v="INTPG_ACC_404_1.96"/>
    <s v="ISEL-1.96"/>
    <n v="1"/>
    <s v="NO TIENE L3OUT"/>
    <n v="92"/>
    <n v="96"/>
  </r>
  <r>
    <n v="167"/>
    <x v="0"/>
    <x v="276"/>
    <s v="eth1/96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96"/>
    <x v="0"/>
    <x v="0"/>
    <x v="0"/>
    <s v="TO-00S2.208.17.RPDUA_RPDU"/>
    <x v="6"/>
    <b v="0"/>
    <s v="No está en VPC"/>
    <n v="428"/>
    <s v="INTPG_ACC_428_1.96"/>
    <s v="ISEL-1.96"/>
    <n v="1"/>
    <s v="NO TIENE L3OUT"/>
    <n v="102"/>
    <n v="96"/>
  </r>
  <r>
    <n v="303"/>
    <x v="0"/>
    <x v="14"/>
    <s v="eth2/1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1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1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1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10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10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10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10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10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10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11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11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11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11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1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1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12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12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12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12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1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1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13"/>
    <x v="1"/>
    <x v="1"/>
    <x v="3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13"/>
    <x v="1"/>
    <x v="1"/>
    <x v="3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13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13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1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1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14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14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14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14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1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1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15"/>
    <x v="1"/>
    <x v="1"/>
    <x v="3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15"/>
    <x v="1"/>
    <x v="1"/>
    <x v="3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15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15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1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1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16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16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16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16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1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1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17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17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17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17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1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1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18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18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18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18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1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1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19"/>
    <x v="1"/>
    <x v="1"/>
    <x v="3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19"/>
    <x v="1"/>
    <x v="1"/>
    <x v="3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19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19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19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19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2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2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2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2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20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20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20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20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20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20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21"/>
    <x v="1"/>
    <x v="1"/>
    <x v="3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21"/>
    <x v="1"/>
    <x v="1"/>
    <x v="3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21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21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2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2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22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22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22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22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22"/>
    <x v="0"/>
    <x v="0"/>
    <x v="0"/>
    <s v="9LF_IXT3_10407_01"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2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23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23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23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23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2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2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24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24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24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24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2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2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25"/>
    <x v="0"/>
    <x v="1"/>
    <x v="3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25"/>
    <x v="0"/>
    <x v="1"/>
    <x v="3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25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25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2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2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26"/>
    <x v="0"/>
    <x v="1"/>
    <x v="3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26"/>
    <x v="0"/>
    <x v="1"/>
    <x v="3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26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26"/>
    <x v="1"/>
    <x v="1"/>
    <x v="2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2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2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27"/>
    <x v="0"/>
    <x v="1"/>
    <x v="3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27"/>
    <x v="0"/>
    <x v="1"/>
    <x v="3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27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27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2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2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28"/>
    <x v="0"/>
    <x v="1"/>
    <x v="3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28"/>
    <x v="0"/>
    <x v="1"/>
    <x v="3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28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28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2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2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29"/>
    <x v="0"/>
    <x v="1"/>
    <x v="3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29"/>
    <x v="0"/>
    <x v="1"/>
    <x v="3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29"/>
    <x v="0"/>
    <x v="1"/>
    <x v="3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29"/>
    <x v="0"/>
    <x v="1"/>
    <x v="3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29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29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3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3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3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3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30"/>
    <x v="0"/>
    <x v="1"/>
    <x v="3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30"/>
    <x v="0"/>
    <x v="1"/>
    <x v="3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30"/>
    <x v="0"/>
    <x v="1"/>
    <x v="3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30"/>
    <x v="0"/>
    <x v="1"/>
    <x v="3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30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30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31"/>
    <x v="0"/>
    <x v="1"/>
    <x v="3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31"/>
    <x v="0"/>
    <x v="1"/>
    <x v="3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31"/>
    <x v="0"/>
    <x v="1"/>
    <x v="3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31"/>
    <x v="0"/>
    <x v="1"/>
    <x v="3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3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3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32"/>
    <x v="0"/>
    <x v="0"/>
    <x v="0"/>
    <s v="LINK_HACIA_RMAC"/>
    <x v="3"/>
    <b v="0"/>
    <s v="No está en VPC"/>
    <n v="303"/>
    <s v="NO EXISTE PG"/>
    <s v="NO EXISTE ISEL"/>
    <n v="0"/>
    <s v="multipod"/>
    <n v="0"/>
    <s v="SPINE"/>
  </r>
  <r>
    <n v="302"/>
    <x v="0"/>
    <x v="17"/>
    <s v="eth2/32"/>
    <x v="0"/>
    <x v="0"/>
    <x v="0"/>
    <s v="LINK_HACIA_RMAC"/>
    <x v="3"/>
    <b v="0"/>
    <s v="No está en VPC"/>
    <n v="302"/>
    <s v="NO EXISTE PG"/>
    <s v="NO EXISTE ISEL"/>
    <n v="0"/>
    <s v="multipod"/>
    <n v="0"/>
    <s v="SPINE"/>
  </r>
  <r>
    <n v="602"/>
    <x v="1"/>
    <x v="24"/>
    <s v="eth2/32"/>
    <x v="0"/>
    <x v="0"/>
    <x v="0"/>
    <s v="LINK_HACIA_RMAC"/>
    <x v="3"/>
    <b v="0"/>
    <s v="No está en VPC"/>
    <n v="602"/>
    <s v="NO EXISTE PG"/>
    <s v="NO EXISTE ISEL"/>
    <n v="0"/>
    <s v="multipod"/>
    <n v="0"/>
    <s v="SPINE"/>
  </r>
  <r>
    <n v="603"/>
    <x v="1"/>
    <x v="50"/>
    <s v="eth2/32"/>
    <x v="0"/>
    <x v="0"/>
    <x v="0"/>
    <s v="LINK_HACIA_RMAC"/>
    <x v="3"/>
    <b v="0"/>
    <s v="No está en VPC"/>
    <n v="603"/>
    <s v="NO EXISTE PG"/>
    <s v="NO EXISTE ISEL"/>
    <n v="0"/>
    <s v="multipod"/>
    <n v="0"/>
    <s v="SPINE"/>
  </r>
  <r>
    <n v="903"/>
    <x v="2"/>
    <x v="278"/>
    <s v="eth2/3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3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4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4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4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4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5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5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5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5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6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6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6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6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7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7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7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7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8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8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8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8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9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9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9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9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9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9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10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10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1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1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1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1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1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1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1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1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1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1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1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1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1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1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1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1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19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19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20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20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2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2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2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2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2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2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2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2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2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2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2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2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2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2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2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2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29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29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30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30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3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3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3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3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9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9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10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10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1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1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1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1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1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1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1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1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1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1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1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1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1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1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1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1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19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19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20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20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2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2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2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2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2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2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2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2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2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2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2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2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2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2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2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2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29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29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30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30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3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3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3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3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9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9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10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10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1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1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1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1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1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1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1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1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1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1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1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1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1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1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1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1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19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19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20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20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2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2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2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2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2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2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2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2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2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2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2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2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2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2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2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2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29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29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30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30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3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3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3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3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9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9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10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10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1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1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1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1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1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1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1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1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1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1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1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1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1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1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1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1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19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19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20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20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21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21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22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22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23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23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24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24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25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25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26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26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27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27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28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28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29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29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30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30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31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31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32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32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33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33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34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34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35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35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36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36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9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9"/>
    <x v="0"/>
    <x v="0"/>
    <x v="0"/>
    <m/>
    <x v="7"/>
    <b v="0"/>
    <s v="No está en VPC"/>
    <n v="902"/>
    <s v="NO EXISTE PG"/>
    <s v="NO EXISTE ISEL"/>
    <n v="0"/>
    <s v="NO TIENE L3OUT"/>
    <n v="0"/>
    <s v="SPINE"/>
  </r>
</pivotCacheRecords>
</file>

<file path=xl/pivotCache/pivotCacheRecords2.xml><?xml version="1.0" encoding="utf-8"?>
<pivotCacheRecords xmlns="http://schemas.openxmlformats.org/spreadsheetml/2006/main" count="18132">
  <r>
    <n v="128"/>
    <x v="0"/>
    <x v="0"/>
    <s v="eth1/1"/>
    <x v="0"/>
    <x v="0"/>
    <x v="0"/>
    <s v="HUECOS DC_S1"/>
    <x v="0"/>
    <b v="0"/>
    <s v="No está en VPC"/>
    <n v="128"/>
    <s v="INTPG_VPC_128_1.1-6_129_1.1-6"/>
    <s v="ISEL-1.1"/>
    <n v="1"/>
    <s v="NO TIENE L3OUT"/>
    <n v="0"/>
    <m/>
  </r>
  <r>
    <n v="123"/>
    <x v="0"/>
    <x v="1"/>
    <s v="eth1/1"/>
    <x v="0"/>
    <x v="0"/>
    <x v="0"/>
    <s v="DASHBD02.19.8"/>
    <x v="1"/>
    <b v="0"/>
    <s v="No está en VPC"/>
    <n v="123"/>
    <s v="INTPG_ACC_123_1.1"/>
    <s v="ISEL-1.1"/>
    <n v="1"/>
    <s v="NO TIENE L3OUT"/>
    <n v="20"/>
    <n v="54"/>
  </r>
  <r>
    <n v="152"/>
    <x v="0"/>
    <x v="2"/>
    <s v="eth1/1"/>
    <x v="0"/>
    <x v="0"/>
    <x v="0"/>
    <s v="DASHBOARD"/>
    <x v="1"/>
    <b v="0"/>
    <s v="No está en VPC"/>
    <n v="152"/>
    <s v="INTPG_ACC_152_1.1"/>
    <s v="ISEL-1.1"/>
    <n v="1"/>
    <s v="NO TIENE L3OUT"/>
    <n v="38"/>
    <n v="54"/>
  </r>
  <r>
    <n v="101"/>
    <x v="0"/>
    <x v="3"/>
    <s v="eth1/1"/>
    <x v="0"/>
    <x v="0"/>
    <x v="0"/>
    <s v="TO-ITHFDEVYCWPAP01"/>
    <x v="0"/>
    <b v="0"/>
    <s v="No está en VPC"/>
    <n v="101"/>
    <s v="INTPG_VPC_101_1.1_150_1.1"/>
    <s v="ISEL-1.1"/>
    <n v="2"/>
    <s v="NO TIENE L3OUT"/>
    <n v="114"/>
    <n v="54"/>
  </r>
  <r>
    <n v="160"/>
    <x v="0"/>
    <x v="4"/>
    <s v="eth1/1"/>
    <x v="0"/>
    <x v="1"/>
    <x v="1"/>
    <s v="CONVERGENT_AND_CHARGING_VSP_2"/>
    <x v="1"/>
    <b v="0"/>
    <s v="No está en VPC"/>
    <n v="160"/>
    <s v="INTPG_ACC_160_1.1"/>
    <s v="ISEL-1.1"/>
    <n v="1"/>
    <s v="NO TIENE L3OUT"/>
    <n v="68"/>
    <n v="54"/>
  </r>
  <r>
    <n v="121"/>
    <x v="0"/>
    <x v="5"/>
    <s v="eth1/1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1"/>
    <x v="0"/>
    <x v="0"/>
    <x v="0"/>
    <s v="HUECOS DC_S1"/>
    <x v="0"/>
    <b v="0"/>
    <s v="No está en VPC"/>
    <n v="129"/>
    <s v="INTPG_VPC_128_1.1-6_129_1.1-6"/>
    <s v="ISEL-1.1"/>
    <n v="1"/>
    <s v="NO TIENE L3OUT"/>
    <n v="0"/>
    <n v="54"/>
  </r>
  <r>
    <n v="401"/>
    <x v="1"/>
    <x v="7"/>
    <s v="eth1/1"/>
    <x v="0"/>
    <x v="0"/>
    <x v="0"/>
    <s v="M10-ACTIVO1"/>
    <x v="0"/>
    <b v="0"/>
    <s v="No está en VPC"/>
    <n v="401"/>
    <s v="INTPG_ACC_401_1.1"/>
    <s v="ISEL-1.1"/>
    <n v="4"/>
    <s v="NO TIENE L3OUT"/>
    <n v="40"/>
    <n v="54"/>
  </r>
  <r>
    <n v="402"/>
    <x v="1"/>
    <x v="8"/>
    <s v="eth1/1"/>
    <x v="1"/>
    <x v="1"/>
    <x v="2"/>
    <s v="M10-PASIVO1"/>
    <x v="0"/>
    <b v="0"/>
    <s v="No está en VPC"/>
    <n v="402"/>
    <s v="INTPG_ACC_402_1.1"/>
    <s v="ISEL-1.1"/>
    <n v="2"/>
    <s v="NO TIENE L3OUT"/>
    <n v="36"/>
    <n v="54"/>
  </r>
  <r>
    <n v="447"/>
    <x v="1"/>
    <x v="9"/>
    <s v="eth1/1"/>
    <x v="0"/>
    <x v="0"/>
    <x v="0"/>
    <s v="YB_PRODUCCION_ETH-TRUNK_1"/>
    <x v="2"/>
    <b v="0"/>
    <s v="No está en VPC"/>
    <n v="447"/>
    <s v="INTPG_VPC_445_1.1_447_1.1"/>
    <s v="ISEL-1.1"/>
    <n v="1"/>
    <s v="NO TIENE L3OUT"/>
    <n v="16"/>
    <n v="42"/>
  </r>
  <r>
    <n v="445"/>
    <x v="1"/>
    <x v="10"/>
    <s v="eth1/1"/>
    <x v="0"/>
    <x v="0"/>
    <x v="0"/>
    <s v="YB_PRODUCCION_ETH-TRUNK_1"/>
    <x v="2"/>
    <b v="0"/>
    <s v="No está en VPC"/>
    <n v="445"/>
    <s v="INTPG_VPC_445_1.1_447_1.1"/>
    <s v="ISEL-1.1"/>
    <n v="1"/>
    <s v="NO TIENE L3OUT"/>
    <n v="16"/>
    <n v="42"/>
  </r>
  <r>
    <n v="130"/>
    <x v="0"/>
    <x v="11"/>
    <s v="eth1/1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1"/>
    <x v="0"/>
    <x v="0"/>
    <x v="0"/>
    <s v="TO-ITHFDEVYCWPAP01"/>
    <x v="0"/>
    <b v="0"/>
    <s v="No está en VPC"/>
    <n v="150"/>
    <s v="INTPG_VPC_101_1.1_150_1.1"/>
    <s v="ISEL-1.1"/>
    <n v="2"/>
    <s v="NO TIENE L3OUT"/>
    <n v="118"/>
    <n v="54"/>
  </r>
  <r>
    <n v="131"/>
    <x v="0"/>
    <x v="13"/>
    <s v="eth1/1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1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1"/>
    <x v="0"/>
    <x v="0"/>
    <x v="0"/>
    <s v="TelcelCloudStack:ithhwtcs01en01:2X 40G P1"/>
    <x v="2"/>
    <b v="0"/>
    <s v="No está en VPC"/>
    <n v="758"/>
    <s v="INTPG_VPC_758_1.1-2_759_1.1-2"/>
    <s v="ISEL-1.1"/>
    <n v="124"/>
    <s v="NO TIENE L3OUT"/>
    <n v="0"/>
    <n v="42"/>
  </r>
  <r>
    <n v="759"/>
    <x v="2"/>
    <x v="16"/>
    <s v="eth1/1"/>
    <x v="0"/>
    <x v="0"/>
    <x v="0"/>
    <s v="TelcelCloudStack:ithhwtcs01en01:3X 40G P1"/>
    <x v="2"/>
    <b v="0"/>
    <s v="No está en VPC"/>
    <n v="759"/>
    <s v="INTPG_VPC_758_1.1-2_759_1.1-2"/>
    <s v="ISEL-1.1"/>
    <n v="124"/>
    <s v="NO TIENE L3OUT"/>
    <n v="0"/>
    <n v="42"/>
  </r>
  <r>
    <n v="302"/>
    <x v="0"/>
    <x v="17"/>
    <s v="eth1/1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1"/>
    <x v="0"/>
    <x v="0"/>
    <x v="0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1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1"/>
    <x v="0"/>
    <x v="0"/>
    <x v="0"/>
    <s v="HUECOS DC_S2"/>
    <x v="0"/>
    <b v="0"/>
    <s v="No está en VPC"/>
    <n v="452"/>
    <s v="INTPG_VPC_450_1.1-6_452_1.1-6"/>
    <s v="ISEL-1.1"/>
    <n v="1"/>
    <s v="NO TIENE L3OUT"/>
    <n v="0"/>
    <n v="54"/>
  </r>
  <r>
    <n v="450"/>
    <x v="1"/>
    <x v="21"/>
    <s v="eth1/1"/>
    <x v="0"/>
    <x v="0"/>
    <x v="0"/>
    <s v="HUECOS DC_S2"/>
    <x v="0"/>
    <b v="0"/>
    <s v="No está en VPC"/>
    <n v="450"/>
    <s v="INTPG_VPC_450_1.1-6_452_1.1-6"/>
    <s v="ISEL-1.1"/>
    <n v="1"/>
    <s v="NO TIENE L3OUT"/>
    <n v="0"/>
    <n v="54"/>
  </r>
  <r>
    <n v="727"/>
    <x v="2"/>
    <x v="22"/>
    <s v="eth1/1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1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1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1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1"/>
    <x v="0"/>
    <x v="0"/>
    <x v="0"/>
    <s v="HUAWEI_CLOUD_FASE2_LAG1"/>
    <x v="0"/>
    <b v="0"/>
    <s v="No está en VPC"/>
    <n v="431"/>
    <s v="INTPG_VPC_431_1.1-2_448_1.1-2"/>
    <s v="ISEL-1.1"/>
    <n v="46"/>
    <s v="NO TIENE L3OUT"/>
    <n v="46"/>
    <n v="54"/>
  </r>
  <r>
    <n v="433"/>
    <x v="1"/>
    <x v="27"/>
    <s v="eth1/1"/>
    <x v="0"/>
    <x v="1"/>
    <x v="1"/>
    <s v="Firewall_Fortinet_Mgmt"/>
    <x v="1"/>
    <b v="0"/>
    <s v="No está en VPC"/>
    <n v="433"/>
    <s v="INTPG_ACC_433_1.1"/>
    <s v="ISEL-1.1"/>
    <n v="1"/>
    <s v="NO TIENE L3OUT"/>
    <n v="42"/>
    <n v="54"/>
  </r>
  <r>
    <n v="429"/>
    <x v="1"/>
    <x v="28"/>
    <s v="eth1/1"/>
    <x v="0"/>
    <x v="0"/>
    <x v="0"/>
    <s v="RKN_1.5__2248_1.1_Prt-37_SECUNDARIO"/>
    <x v="1"/>
    <b v="0"/>
    <s v="No está en VPC"/>
    <n v="429"/>
    <s v="INTPG_ACC_429_1.1"/>
    <s v="ISEL-1.1"/>
    <n v="1"/>
    <s v="NO TIENE L3OUT"/>
    <n v="8"/>
    <n v="54"/>
  </r>
  <r>
    <n v="432"/>
    <x v="1"/>
    <x v="29"/>
    <s v="eth1/1"/>
    <x v="0"/>
    <x v="0"/>
    <x v="0"/>
    <s v="SSO"/>
    <x v="1"/>
    <b v="0"/>
    <s v="No está en VPC"/>
    <n v="432"/>
    <s v="INTPG_ACC_432_1.1"/>
    <s v="ISEL-1.1"/>
    <n v="1"/>
    <s v="NO TIENE L3OUT"/>
    <n v="54"/>
    <n v="54"/>
  </r>
  <r>
    <n v="442"/>
    <x v="1"/>
    <x v="30"/>
    <s v="eth1/1"/>
    <x v="0"/>
    <x v="0"/>
    <x v="0"/>
    <s v="CONECTIVIDAD_HUAWEI_CLOUD_SALA_2_gestion_client_LAG"/>
    <x v="1"/>
    <b v="0"/>
    <s v="No está en VPC"/>
    <n v="442"/>
    <s v="INTPG_VPC_440_1.1-2_442_1.1-2"/>
    <s v="ISEL-1.1"/>
    <n v="2"/>
    <s v="NO TIENE L3OUT"/>
    <n v="18"/>
    <n v="54"/>
  </r>
  <r>
    <n v="434"/>
    <x v="1"/>
    <x v="31"/>
    <s v="eth1/1"/>
    <x v="0"/>
    <x v="0"/>
    <x v="0"/>
    <s v="TO-sfdacd10-MGT"/>
    <x v="1"/>
    <b v="0"/>
    <s v="No está en VPC"/>
    <n v="434"/>
    <s v="INTPG_ACC_434_1.1"/>
    <s v="ISEL-1.1"/>
    <n v="1"/>
    <s v="NO TIENE L3OUT"/>
    <n v="34"/>
    <n v="54"/>
  </r>
  <r>
    <n v="707"/>
    <x v="2"/>
    <x v="32"/>
    <s v="eth1/1"/>
    <x v="0"/>
    <x v="0"/>
    <x v="0"/>
    <s v="CEM:ITHCEMG2DAT01:LOM P1"/>
    <x v="0"/>
    <b v="0"/>
    <s v="No está en VPC"/>
    <n v="707"/>
    <s v="INTPG_ACC_707_1.1"/>
    <s v="ISEL-1.1"/>
    <n v="1"/>
    <s v="NO TIENE L3OUT"/>
    <n v="54"/>
    <n v="54"/>
  </r>
  <r>
    <n v="712"/>
    <x v="2"/>
    <x v="33"/>
    <s v="eth1/1"/>
    <x v="0"/>
    <x v="0"/>
    <x v="0"/>
    <s v="CEM:ITHCEMB2DAT01:LOM P1"/>
    <x v="0"/>
    <b v="0"/>
    <s v="No está en VPC"/>
    <n v="712"/>
    <s v="INTPG_ACC_712_1.1"/>
    <s v="ISEL-1.1"/>
    <n v="1"/>
    <s v="NO TIENE L3OUT"/>
    <n v="32"/>
    <n v="54"/>
  </r>
  <r>
    <n v="719"/>
    <x v="2"/>
    <x v="34"/>
    <s v="eth1/1"/>
    <x v="0"/>
    <x v="0"/>
    <x v="0"/>
    <m/>
    <x v="0"/>
    <b v="0"/>
    <s v="No está en VPC"/>
    <n v="719"/>
    <s v="INTPG-VPC_HDD07_719_1.1_720_1.2"/>
    <s v="ISEL-1.1"/>
    <n v="0"/>
    <s v="NO TIENE L3OUT"/>
    <n v="0"/>
    <n v="54"/>
  </r>
  <r>
    <n v="715"/>
    <x v="2"/>
    <x v="35"/>
    <s v="eth1/1"/>
    <x v="0"/>
    <x v="0"/>
    <x v="0"/>
    <m/>
    <x v="0"/>
    <b v="0"/>
    <s v="No está en VPC"/>
    <n v="715"/>
    <s v="INTPG-VPC_HDD48_715_1.1_716_1.2"/>
    <s v="ISEL-1.1"/>
    <n v="1"/>
    <s v="NO TIENE L3OUT"/>
    <n v="0"/>
    <n v="54"/>
  </r>
  <r>
    <n v="427"/>
    <x v="1"/>
    <x v="36"/>
    <s v="eth1/1"/>
    <x v="0"/>
    <x v="0"/>
    <x v="0"/>
    <s v="FASE_1.5_REDKNEE_produccion_5_client_LAG"/>
    <x v="1"/>
    <b v="0"/>
    <s v="No está en VPC"/>
    <n v="427"/>
    <s v="INTPG_VPC_427_1.1_429_1.4"/>
    <s v="ISEL-1.1"/>
    <n v="1"/>
    <s v="NO TIENE L3OUT"/>
    <n v="10"/>
    <n v="54"/>
  </r>
  <r>
    <n v="711"/>
    <x v="2"/>
    <x v="37"/>
    <s v="eth1/1"/>
    <x v="0"/>
    <x v="0"/>
    <x v="0"/>
    <s v="CEM:ITHCEMC2DAT01:LOM P1"/>
    <x v="0"/>
    <b v="0"/>
    <s v="No está en VPC"/>
    <n v="711"/>
    <s v="INTPG_ACC_711_1.1"/>
    <s v="ISEL-1.1"/>
    <n v="1"/>
    <s v="NO TIENE L3OUT"/>
    <n v="16"/>
    <n v="54"/>
  </r>
  <r>
    <n v="716"/>
    <x v="2"/>
    <x v="38"/>
    <s v="eth1/1"/>
    <x v="0"/>
    <x v="0"/>
    <x v="0"/>
    <m/>
    <x v="0"/>
    <b v="0"/>
    <s v="No está en VPC"/>
    <n v="716"/>
    <s v="INTPG-VPC_HDD39_716_1.1_715_1.2"/>
    <s v="ISEL-1.1"/>
    <n v="1"/>
    <s v="NO TIENE L3OUT"/>
    <n v="0"/>
    <n v="54"/>
  </r>
  <r>
    <n v="702"/>
    <x v="2"/>
    <x v="39"/>
    <s v="eth1/1"/>
    <x v="0"/>
    <x v="0"/>
    <x v="0"/>
    <m/>
    <x v="0"/>
    <b v="0"/>
    <s v="No está en VPC"/>
    <n v="702"/>
    <s v="INTPG_VPC_702_1.1_701_1.2"/>
    <s v="ISEL-1.1"/>
    <n v="1"/>
    <s v="NO TIENE L3OUT"/>
    <n v="0"/>
    <n v="54"/>
  </r>
  <r>
    <n v="435"/>
    <x v="1"/>
    <x v="40"/>
    <s v="eth1/1"/>
    <x v="0"/>
    <x v="1"/>
    <x v="1"/>
    <s v="Firewall_Fortinet"/>
    <x v="1"/>
    <b v="0"/>
    <s v="No está en VPC"/>
    <n v="435"/>
    <s v="INTPG_ACC_435_1.1"/>
    <s v="ISEL-1.1"/>
    <n v="1"/>
    <s v="NO TIENE L3OUT"/>
    <n v="34"/>
    <n v="54"/>
  </r>
  <r>
    <n v="446"/>
    <x v="1"/>
    <x v="41"/>
    <s v="eth1/1"/>
    <x v="0"/>
    <x v="0"/>
    <x v="0"/>
    <s v="TO-ITHFHPNBURBKP03"/>
    <x v="0"/>
    <b v="0"/>
    <s v="No está en VPC"/>
    <n v="446"/>
    <s v="INTPG_VPC_444_1.1_446_1.1"/>
    <s v="ISEL-1.1"/>
    <n v="1"/>
    <s v="NO TIENE L3OUT"/>
    <n v="198"/>
    <n v="54"/>
  </r>
  <r>
    <n v="444"/>
    <x v="1"/>
    <x v="42"/>
    <s v="eth1/1"/>
    <x v="0"/>
    <x v="1"/>
    <x v="4"/>
    <s v="TO-ITHFHPNBURBKP03"/>
    <x v="0"/>
    <b v="0"/>
    <s v="No está en VPC"/>
    <n v="444"/>
    <s v="INTPG_VPC_444_1.1_446_1.1"/>
    <s v="ISEL-1.1"/>
    <n v="1"/>
    <s v="NO TIENE L3OUT"/>
    <n v="234"/>
    <n v="54"/>
  </r>
  <r>
    <n v="701"/>
    <x v="2"/>
    <x v="43"/>
    <s v="eth1/1"/>
    <x v="0"/>
    <x v="0"/>
    <x v="0"/>
    <m/>
    <x v="0"/>
    <b v="0"/>
    <s v="No está en VPC"/>
    <n v="701"/>
    <s v="INTPG_VPC_701_1.1_702_1.2"/>
    <s v="ISEL-1.1"/>
    <n v="1"/>
    <s v="NO TIENE L3OUT"/>
    <n v="0"/>
    <n v="54"/>
  </r>
  <r>
    <n v="440"/>
    <x v="1"/>
    <x v="44"/>
    <s v="eth1/1"/>
    <x v="0"/>
    <x v="0"/>
    <x v="0"/>
    <s v="CONECTIVIDAD_HUAWEI_CLOUD_SALA_2_gestion_client_LAG"/>
    <x v="1"/>
    <b v="0"/>
    <s v="No está en VPC"/>
    <n v="440"/>
    <s v="INTPG_VPC_440_1.1-2_442_1.1-2"/>
    <s v="ISEL-1.1"/>
    <n v="2"/>
    <s v="NO TIENE L3OUT"/>
    <n v="22"/>
    <n v="54"/>
  </r>
  <r>
    <n v="448"/>
    <x v="1"/>
    <x v="45"/>
    <s v="eth1/1"/>
    <x v="0"/>
    <x v="0"/>
    <x v="0"/>
    <s v="HUAWEI_CLOUD_FASE2_LAG1"/>
    <x v="0"/>
    <b v="0"/>
    <s v="No está en VPC"/>
    <n v="448"/>
    <s v="INTPG_VPC_431_1.1-2_448_1.1-2"/>
    <s v="ISEL-1.1"/>
    <n v="46"/>
    <s v="NO TIENE L3OUT"/>
    <n v="46"/>
    <n v="54"/>
  </r>
  <r>
    <n v="704"/>
    <x v="2"/>
    <x v="46"/>
    <s v="eth1/1"/>
    <x v="0"/>
    <x v="0"/>
    <x v="0"/>
    <m/>
    <x v="0"/>
    <b v="0"/>
    <s v="No está en VPC"/>
    <n v="704"/>
    <s v="INTPG_VPC_704_1.1_703_1.2"/>
    <s v="ISEL-1.1"/>
    <n v="1"/>
    <s v="NO TIENE L3OUT"/>
    <n v="0"/>
    <n v="54"/>
  </r>
  <r>
    <n v="729"/>
    <x v="2"/>
    <x v="47"/>
    <s v="eth1/1"/>
    <x v="0"/>
    <x v="0"/>
    <x v="0"/>
    <s v="eth-trunk-22"/>
    <x v="0"/>
    <b v="0"/>
    <s v="No está en VPC"/>
    <n v="729"/>
    <s v="INTPG_VPC_728_1.1_4_729_1.1_4"/>
    <s v="ISEL-1.1"/>
    <n v="11"/>
    <s v="NO TIENE L3OUT"/>
    <n v="4"/>
    <n v="54"/>
  </r>
  <r>
    <n v="728"/>
    <x v="2"/>
    <x v="48"/>
    <s v="eth1/1"/>
    <x v="0"/>
    <x v="0"/>
    <x v="0"/>
    <s v="eth-trunk-22"/>
    <x v="0"/>
    <b v="0"/>
    <s v="No está en VPC"/>
    <n v="728"/>
    <s v="INTPG_VPC_728_1.1_4_729_1.1_4"/>
    <s v="ISEL-1.1"/>
    <n v="11"/>
    <s v="NO TIENE L3OUT"/>
    <n v="2"/>
    <n v="54"/>
  </r>
  <r>
    <n v="456"/>
    <x v="1"/>
    <x v="49"/>
    <s v="eth1/1"/>
    <x v="0"/>
    <x v="0"/>
    <x v="0"/>
    <s v="HACIA_CSI-A-OSCP-F4-05_SECUNDARIO"/>
    <x v="4"/>
    <b v="0"/>
    <s v="No está en VPC"/>
    <n v="456"/>
    <s v="INTPG_VPC_454_1.1_456_1.1"/>
    <s v="ISEL-1.1"/>
    <n v="2"/>
    <s v="NO TIENE L3OUT"/>
    <n v="4"/>
    <n v="54"/>
  </r>
  <r>
    <n v="603"/>
    <x v="1"/>
    <x v="50"/>
    <s v="eth1/1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1"/>
    <x v="0"/>
    <x v="0"/>
    <x v="0"/>
    <s v="CRM, CBS:ITHHWBESRK11CH1:E1-10GE 1"/>
    <x v="0"/>
    <b v="0"/>
    <s v="No está en VPC"/>
    <n v="746"/>
    <s v="INTPG_VPC_745_1.1_4_746_1.1_4"/>
    <s v="ISEL-1.1"/>
    <n v="13"/>
    <s v="NO TIENE L3OUT"/>
    <n v="0"/>
    <n v="54"/>
  </r>
  <r>
    <n v="745"/>
    <x v="2"/>
    <x v="52"/>
    <s v="eth1/1"/>
    <x v="0"/>
    <x v="0"/>
    <x v="0"/>
    <s v="CRM, CBS:PR-R11-F08:E1-10GE 2"/>
    <x v="0"/>
    <b v="0"/>
    <s v="No está en VPC"/>
    <n v="745"/>
    <s v="INTPG_VPC_745_1.1_4_746_1.1_4"/>
    <s v="ISEL-1.1"/>
    <n v="13"/>
    <s v="NO TIENE L3OUT"/>
    <n v="0"/>
    <n v="54"/>
  </r>
  <r>
    <n v="730"/>
    <x v="2"/>
    <x v="53"/>
    <s v="eth1/1"/>
    <x v="0"/>
    <x v="0"/>
    <x v="0"/>
    <s v="eth-trunk-2"/>
    <x v="0"/>
    <b v="0"/>
    <s v="No está en VPC"/>
    <n v="730"/>
    <s v="INTPG_VPC_730_1.1_4_731_1.1_4"/>
    <s v="ISEL-1.1"/>
    <n v="11"/>
    <s v="NO TIENE L3OUT"/>
    <n v="36"/>
    <n v="54"/>
  </r>
  <r>
    <n v="722"/>
    <x v="2"/>
    <x v="54"/>
    <s v="eth1/1"/>
    <x v="0"/>
    <x v="0"/>
    <x v="0"/>
    <m/>
    <x v="0"/>
    <b v="0"/>
    <s v="No está en VPC"/>
    <n v="722"/>
    <s v="INTPG-VPC_HDD133_722_1.1_723_1.2"/>
    <s v="ISEL-1.1"/>
    <n v="1"/>
    <s v="NO TIENE L3OUT"/>
    <n v="0"/>
    <n v="54"/>
  </r>
  <r>
    <n v="733"/>
    <x v="2"/>
    <x v="55"/>
    <s v="eth1/1"/>
    <x v="0"/>
    <x v="0"/>
    <x v="0"/>
    <s v="eth-trunk 12 fase 2 bes"/>
    <x v="0"/>
    <b v="0"/>
    <s v="No está en VPC"/>
    <n v="733"/>
    <s v="INTPG_VPC_732_1.1_4_733_1.1_4"/>
    <s v="ISEL-1.1"/>
    <n v="9"/>
    <s v="NO TIENE L3OUT"/>
    <n v="0"/>
    <n v="54"/>
  </r>
  <r>
    <n v="755"/>
    <x v="2"/>
    <x v="56"/>
    <s v="eth1/1"/>
    <x v="0"/>
    <x v="0"/>
    <x v="0"/>
    <s v="OSS F1:ithenmr06e2r9a:Bay1/X1"/>
    <x v="0"/>
    <b v="0"/>
    <s v="No está en VPC"/>
    <n v="755"/>
    <s v="INTPG_PC_755_1.1-2"/>
    <s v="ISEL-1.1"/>
    <n v="8"/>
    <s v="NO TIENE L3OUT"/>
    <n v="52"/>
    <n v="54"/>
  </r>
  <r>
    <n v="748"/>
    <x v="2"/>
    <x v="57"/>
    <s v="eth1/1"/>
    <x v="0"/>
    <x v="0"/>
    <x v="0"/>
    <s v="trunk11 Bes-Production"/>
    <x v="0"/>
    <b v="0"/>
    <s v="No está en VPC"/>
    <n v="748"/>
    <s v="INTPG_VPC_748_1.1_4_749_1.1_4"/>
    <s v="ISEL-1.1"/>
    <n v="14"/>
    <s v="NO TIENE L3OUT"/>
    <n v="2"/>
    <n v="54"/>
  </r>
  <r>
    <n v="756"/>
    <x v="2"/>
    <x v="58"/>
    <s v="eth1/1"/>
    <x v="0"/>
    <x v="0"/>
    <x v="0"/>
    <s v="OSS F1:ithenmr08bl01nas1r9a:PORT 1"/>
    <x v="0"/>
    <b v="0"/>
    <s v="No está en VPC"/>
    <n v="756"/>
    <s v="INTPG_PC_756_1.1-4"/>
    <s v="ISEL-1.1"/>
    <n v="1"/>
    <s v="NO TIENE L3OUT"/>
    <n v="64"/>
    <n v="54"/>
  </r>
  <r>
    <n v="754"/>
    <x v="2"/>
    <x v="59"/>
    <s v="eth1/1"/>
    <x v="0"/>
    <x v="0"/>
    <x v="0"/>
    <s v="OSS F1:ithenmr04bl03lms1r9b:PORT 1"/>
    <x v="0"/>
    <b v="0"/>
    <s v="No está en VPC"/>
    <n v="754"/>
    <s v="INTPG_ACC_754_1.1"/>
    <s v="ISEL-1.1"/>
    <n v="1"/>
    <s v="NO TIENE L3OUT"/>
    <n v="62"/>
    <n v="54"/>
  </r>
  <r>
    <n v="751"/>
    <x v="2"/>
    <x v="60"/>
    <s v="eth1/1"/>
    <x v="0"/>
    <x v="0"/>
    <x v="0"/>
    <s v="trunk15 Bes-Production"/>
    <x v="0"/>
    <b v="0"/>
    <s v="No está en VPC"/>
    <n v="751"/>
    <s v="INTPG_VPC_750_1.1_4_751_1.1_4"/>
    <s v="ISEL-1.1"/>
    <n v="14"/>
    <s v="NO TIENE L3OUT"/>
    <n v="0"/>
    <n v="54"/>
  </r>
  <r>
    <n v="769"/>
    <x v="2"/>
    <x v="61"/>
    <s v="eth1/1"/>
    <x v="0"/>
    <x v="0"/>
    <x v="0"/>
    <s v="Portchannel_3_R1"/>
    <x v="0"/>
    <b v="0"/>
    <s v="No está en VPC"/>
    <n v="769"/>
    <s v="INTPG_PC_769_1.1-2"/>
    <s v="ISEL-1.1"/>
    <n v="8"/>
    <s v="NO TIENE L3OUT"/>
    <n v="60"/>
    <n v="54"/>
  </r>
  <r>
    <n v="742"/>
    <x v="2"/>
    <x v="62"/>
    <s v="eth1/1"/>
    <x v="0"/>
    <x v="1"/>
    <x v="1"/>
    <s v="CEM:ITHCEMA2DAT01:LOM P3"/>
    <x v="5"/>
    <b v="0"/>
    <s v="No está en VPC"/>
    <n v="742"/>
    <s v="INTPG_ACC_742_1.1"/>
    <s v="ISEL-1.1"/>
    <n v="1"/>
    <s v="NO TIENE L3OUT"/>
    <n v="64"/>
    <n v="54"/>
  </r>
  <r>
    <n v="763"/>
    <x v="2"/>
    <x v="63"/>
    <s v="eth1/1"/>
    <x v="0"/>
    <x v="0"/>
    <x v="0"/>
    <s v="PAAS:ithhwoscopap001:LOM PORT 3"/>
    <x v="0"/>
    <b v="0"/>
    <s v="No está en VPC"/>
    <n v="763"/>
    <s v="INTPG_VPC_762_1.1_763_1.1"/>
    <s v="ISEL-1.1"/>
    <n v="1"/>
    <s v="NO TIENE L3OUT"/>
    <n v="2"/>
    <n v="54"/>
  </r>
  <r>
    <n v="766"/>
    <x v="2"/>
    <x v="64"/>
    <s v="eth1/1"/>
    <x v="0"/>
    <x v="0"/>
    <x v="0"/>
    <s v="Portchannel_1_R6B"/>
    <x v="0"/>
    <b v="0"/>
    <s v="No está en VPC"/>
    <n v="766"/>
    <s v="INTPG_PC_766_1.1-4"/>
    <s v="ISEL-1.1"/>
    <n v="2"/>
    <s v="NO TIENE L3OUT"/>
    <n v="58"/>
    <n v="54"/>
  </r>
  <r>
    <n v="760"/>
    <x v="2"/>
    <x v="65"/>
    <s v="eth1/1"/>
    <x v="0"/>
    <x v="1"/>
    <x v="1"/>
    <m/>
    <x v="0"/>
    <b v="0"/>
    <s v="No está en VPC"/>
    <n v="760"/>
    <s v="INTPG_VPC_760_1.1-4_761_1.1-4"/>
    <s v="ISEL-1.1"/>
    <n v="0"/>
    <s v="L3OUT-EXACLOUD"/>
    <n v="0"/>
    <n v="54"/>
  </r>
  <r>
    <n v="752"/>
    <x v="2"/>
    <x v="66"/>
    <s v="eth1/1"/>
    <x v="0"/>
    <x v="0"/>
    <x v="0"/>
    <s v="PAAS:ithhwosstpap009:LOM PORT 3"/>
    <x v="0"/>
    <b v="0"/>
    <s v="No está en VPC"/>
    <n v="752"/>
    <s v="INTPG_VPC_747_1.1_752_1.1"/>
    <s v="ISEL-1.1"/>
    <n v="25"/>
    <s v="NO TIENE L3OUT"/>
    <n v="0"/>
    <n v="54"/>
  </r>
  <r>
    <n v="765"/>
    <x v="2"/>
    <x v="67"/>
    <s v="eth1/1"/>
    <x v="0"/>
    <x v="0"/>
    <x v="0"/>
    <s v="Portchannel_6_R6A"/>
    <x v="0"/>
    <b v="0"/>
    <s v="No está en VPC"/>
    <n v="765"/>
    <s v="INTPG_PC_765_1.1-4"/>
    <s v="ISEL-1.1"/>
    <n v="1"/>
    <s v="NO TIENE L3OUT"/>
    <n v="60"/>
    <n v="54"/>
  </r>
  <r>
    <n v="778"/>
    <x v="2"/>
    <x v="68"/>
    <s v="eth1/1"/>
    <x v="0"/>
    <x v="0"/>
    <x v="0"/>
    <s v="ENIQ F1:itheniqr07enclr2:BAY1/X1"/>
    <x v="0"/>
    <b v="0"/>
    <s v="No está en VPC"/>
    <n v="778"/>
    <s v="INTPG_PC_778_1.1-2"/>
    <s v="ISEL-1.1"/>
    <n v="3"/>
    <s v="NO TIENE L3OUT"/>
    <n v="26"/>
    <n v="54"/>
  </r>
  <r>
    <n v="780"/>
    <x v="2"/>
    <x v="69"/>
    <s v="eth1/1"/>
    <x v="0"/>
    <x v="0"/>
    <x v="0"/>
    <s v="LACP_VC1_ENIQ1"/>
    <x v="0"/>
    <b v="0"/>
    <s v="No está en VPC"/>
    <n v="780"/>
    <s v="INTPG_PC_780_1.1-2"/>
    <s v="ISEL-1.1"/>
    <n v="3"/>
    <s v="NO TIENE L3OUT"/>
    <n v="26"/>
    <n v="54"/>
  </r>
  <r>
    <n v="812"/>
    <x v="2"/>
    <x v="70"/>
    <s v="eth1/1"/>
    <x v="0"/>
    <x v="0"/>
    <x v="0"/>
    <s v="POWER_STORE_NAS_NODO_B"/>
    <x v="1"/>
    <b v="0"/>
    <s v="No está en VPC"/>
    <n v="812"/>
    <s v="INTPG_VPC_812_1.1_813_1.1"/>
    <s v="ISEL-1.1"/>
    <n v="11"/>
    <s v="NO TIENE L3OUT"/>
    <n v="0"/>
    <n v="54"/>
  </r>
  <r>
    <n v="796"/>
    <x v="2"/>
    <x v="71"/>
    <s v="eth1/1"/>
    <x v="0"/>
    <x v="0"/>
    <x v="0"/>
    <s v="ITHFHWTSHNLCN01_VMs-01_Taishan_IT"/>
    <x v="0"/>
    <b v="0"/>
    <s v="No está en VPC"/>
    <n v="796"/>
    <s v="INTPG_VPC_795_1.1_796_1.1"/>
    <s v="ISEL-1.1"/>
    <n v="14"/>
    <s v="NO TIENE L3OUT"/>
    <n v="18"/>
    <n v="54"/>
  </r>
  <r>
    <n v="795"/>
    <x v="2"/>
    <x v="72"/>
    <s v="eth1/1"/>
    <x v="0"/>
    <x v="0"/>
    <x v="0"/>
    <s v="ITHFHWTSHNLCN01_VMs-01_Taishan_IT"/>
    <x v="0"/>
    <b v="0"/>
    <s v="No está en VPC"/>
    <n v="795"/>
    <s v="INTPG_VPC_795_1.1_796_1.1"/>
    <s v="ISEL-1.1"/>
    <n v="14"/>
    <s v="NO TIENE L3OUT"/>
    <n v="18"/>
    <n v="54"/>
  </r>
  <r>
    <n v="749"/>
    <x v="2"/>
    <x v="73"/>
    <s v="eth1/1"/>
    <x v="0"/>
    <x v="0"/>
    <x v="0"/>
    <s v="trunk11 Bes-Production"/>
    <x v="0"/>
    <b v="0"/>
    <s v="No está en VPC"/>
    <n v="749"/>
    <s v="INTPG_VPC_748_1.1_4_749_1.1_4"/>
    <s v="ISEL-1.1"/>
    <n v="14"/>
    <s v="NO TIENE L3OUT"/>
    <n v="4"/>
    <n v="54"/>
  </r>
  <r>
    <n v="824"/>
    <x v="2"/>
    <x v="74"/>
    <s v="eth1/1"/>
    <x v="0"/>
    <x v="0"/>
    <x v="0"/>
    <s v="LINK_TO_ITHFHWCBSPSWR40 /Slot7.2 /Redundante"/>
    <x v="0"/>
    <b v="0"/>
    <s v="No está en VPC"/>
    <n v="824"/>
    <s v="INTPG_VPC_819_1.1_824_1.1"/>
    <s v="ISEL-1.1"/>
    <n v="2"/>
    <s v="NO TIENE L3OUT"/>
    <n v="70"/>
    <n v="54"/>
  </r>
  <r>
    <n v="819"/>
    <x v="2"/>
    <x v="75"/>
    <s v="eth1/1"/>
    <x v="0"/>
    <x v="0"/>
    <x v="0"/>
    <s v="LINK_TO_ITHFHWCBSPSWR40 /Slot5.2 /Principal"/>
    <x v="0"/>
    <b v="0"/>
    <s v="No está en VPC"/>
    <n v="819"/>
    <s v="INTPG_VPC_819_1.1_824_1.1"/>
    <s v="ISEL-1.1"/>
    <n v="2"/>
    <s v="NO TIENE L3OUT"/>
    <n v="70"/>
    <n v="54"/>
  </r>
  <r>
    <n v="737"/>
    <x v="2"/>
    <x v="76"/>
    <s v="eth1/1"/>
    <x v="0"/>
    <x v="0"/>
    <x v="0"/>
    <s v="CEM:ITHCEMF2DAT01:LOM P3"/>
    <x v="5"/>
    <b v="0"/>
    <s v="No está en VPC"/>
    <n v="737"/>
    <s v="INTPG_ACC_737_1.1"/>
    <s v="ISEL-1.1"/>
    <n v="1"/>
    <s v="NO TIENE L3OUT"/>
    <n v="72"/>
    <n v="54"/>
  </r>
  <r>
    <n v="844"/>
    <x v="2"/>
    <x v="77"/>
    <s v="eth1/1"/>
    <x v="0"/>
    <x v="0"/>
    <x v="0"/>
    <s v="LINK_TO_ITHFHWCRMPLCN101 / Slot1.1_6 / Principal"/>
    <x v="0"/>
    <b v="0"/>
    <s v="No está en VPC"/>
    <n v="844"/>
    <s v="INTPG_ACC_844_1.1"/>
    <s v="ISEL-1.1"/>
    <n v="6"/>
    <s v="NO TIENE L3OUT"/>
    <n v="282"/>
    <n v="54"/>
  </r>
  <r>
    <n v="843"/>
    <x v="2"/>
    <x v="78"/>
    <s v="eth1/1"/>
    <x v="0"/>
    <x v="0"/>
    <x v="0"/>
    <s v="LINK_To_ITHFHWCBSPSHD24 / Slot7.2_24 / Redundante"/>
    <x v="0"/>
    <b v="0"/>
    <s v="No está en VPC"/>
    <n v="843"/>
    <s v="INTPG_VPC_838_1.1_843_1.1"/>
    <s v="ISEL-1.1"/>
    <n v="1"/>
    <s v="NO TIENE L3OUT"/>
    <n v="38"/>
    <n v="54"/>
  </r>
  <r>
    <n v="797"/>
    <x v="2"/>
    <x v="79"/>
    <s v="eth1/1"/>
    <x v="0"/>
    <x v="0"/>
    <x v="0"/>
    <s v="TO-HMS_03-MSP"/>
    <x v="0"/>
    <b v="0"/>
    <s v="No está en VPC"/>
    <n v="797"/>
    <s v="INTPG_ACC_797_1.1"/>
    <s v="ISEL-1.1"/>
    <n v="1"/>
    <s v="NO TIENE L3OUT"/>
    <n v="48"/>
    <n v="54"/>
  </r>
  <r>
    <n v="839"/>
    <x v="2"/>
    <x v="80"/>
    <s v="eth1/1"/>
    <x v="0"/>
    <x v="0"/>
    <x v="0"/>
    <s v="LINK_TO_ITHFHWCBSPSHD43 / Slot7.1_4 / Redundante"/>
    <x v="0"/>
    <b v="0"/>
    <s v="No está en VPC"/>
    <n v="839"/>
    <s v="INTPG_VPC_834_1.1_839_1.1"/>
    <s v="ISEL-1.1"/>
    <n v="2"/>
    <s v="NO TIENE L3OUT"/>
    <n v="0"/>
    <n v="54"/>
  </r>
  <r>
    <n v="847"/>
    <x v="2"/>
    <x v="81"/>
    <s v="eth1/1"/>
    <x v="0"/>
    <x v="0"/>
    <x v="0"/>
    <s v="LINK_TO_ITHFHWCRMPSBDA05 / Slot1.1_4 / Principal"/>
    <x v="0"/>
    <b v="0"/>
    <s v="No está en VPC"/>
    <n v="847"/>
    <s v="INTPG_VPC_847_1.1_854_1.1"/>
    <s v="ISEL-1.1"/>
    <n v="6"/>
    <s v="NO TIENE L3OUT"/>
    <n v="204"/>
    <n v="54"/>
  </r>
  <r>
    <n v="848"/>
    <x v="2"/>
    <x v="82"/>
    <s v="eth1/1"/>
    <x v="0"/>
    <x v="0"/>
    <x v="0"/>
    <s v="LINK_TO_ITHFHWCRMPLCN154 / Slot7.3_10 / Redundante"/>
    <x v="0"/>
    <b v="0"/>
    <s v="No está en VPC"/>
    <n v="848"/>
    <s v="INTPG_ACC_848_1.1"/>
    <s v="ISEL-1.1"/>
    <n v="1"/>
    <s v="NO TIENE L3OUT"/>
    <n v="254"/>
    <n v="54"/>
  </r>
  <r>
    <n v="846"/>
    <x v="2"/>
    <x v="83"/>
    <s v="eth1/1"/>
    <x v="0"/>
    <x v="0"/>
    <x v="0"/>
    <s v="VPC_2DCRMP_BDP05_2"/>
    <x v="0"/>
    <b v="0"/>
    <s v="No está en VPC"/>
    <n v="846"/>
    <s v="INTPG_VPC_846_1.1_853_1.1"/>
    <s v="ISEL-1.1"/>
    <n v="2"/>
    <s v="NO TIENE L3OUT"/>
    <n v="242"/>
    <n v="54"/>
  </r>
  <r>
    <n v="838"/>
    <x v="2"/>
    <x v="84"/>
    <s v="eth1/1"/>
    <x v="0"/>
    <x v="0"/>
    <x v="0"/>
    <s v="LINK_To_ITHFHWCBSPSHD24 / Slot1.2_24 / Principal"/>
    <x v="0"/>
    <b v="0"/>
    <s v="No está en VPC"/>
    <n v="838"/>
    <s v="INTPG_VPC_838_1.1_843_1.1"/>
    <s v="ISEL-1.1"/>
    <n v="1"/>
    <s v="NO TIENE L3OUT"/>
    <n v="38"/>
    <n v="54"/>
  </r>
  <r>
    <n v="849"/>
    <x v="2"/>
    <x v="85"/>
    <s v="eth1/1"/>
    <x v="0"/>
    <x v="0"/>
    <x v="0"/>
    <s v="VPC_2DCRMP_BDA11_3"/>
    <x v="0"/>
    <b v="0"/>
    <s v="No está en VPC"/>
    <n v="849"/>
    <s v="INTPG_VPC_856_1.1_849_1.1"/>
    <s v="ISEL-1.1"/>
    <n v="1"/>
    <s v="NO TIENE L3OUT"/>
    <n v="286"/>
    <n v="54"/>
  </r>
  <r>
    <n v="845"/>
    <x v="2"/>
    <x v="86"/>
    <s v="eth1/1"/>
    <x v="0"/>
    <x v="0"/>
    <x v="0"/>
    <s v="LINK_TO_ITHFHWCRMPLCN116 / Slot1.2_36 / Principal"/>
    <x v="0"/>
    <b v="0"/>
    <s v="No está en VPC"/>
    <n v="845"/>
    <s v="INTPG_ACC_845_1.1"/>
    <s v="ISEL-1.1"/>
    <n v="2"/>
    <s v="NO TIENE L3OUT"/>
    <n v="258"/>
    <n v="54"/>
  </r>
  <r>
    <n v="873"/>
    <x v="2"/>
    <x v="87"/>
    <s v="eth1/1"/>
    <x v="0"/>
    <x v="0"/>
    <x v="0"/>
    <s v="TO_ITHFHWCRMDLCN53_Principal"/>
    <x v="0"/>
    <b v="0"/>
    <s v="No está en VPC"/>
    <n v="873"/>
    <s v="INTPG_ACC_873_1.1"/>
    <s v="ISEL-1.1"/>
    <n v="2"/>
    <s v="NO TIENE L3OUT"/>
    <n v="248"/>
    <n v="54"/>
  </r>
  <r>
    <n v="864"/>
    <x v="2"/>
    <x v="88"/>
    <s v="eth1/1"/>
    <x v="0"/>
    <x v="0"/>
    <x v="0"/>
    <s v="To_VPC_2DCBSD_HD31_1"/>
    <x v="0"/>
    <b v="0"/>
    <s v="No está en VPC"/>
    <n v="864"/>
    <s v="INTPG_VPC_859_1.1_864_1.1"/>
    <s v="ISEL-1.1"/>
    <n v="2"/>
    <s v="NO TIENE L3OUT"/>
    <n v="0"/>
    <n v="54"/>
  </r>
  <r>
    <n v="836"/>
    <x v="2"/>
    <x v="89"/>
    <s v="eth1/1"/>
    <x v="0"/>
    <x v="0"/>
    <x v="0"/>
    <s v="LINK_TO_ITHFHWCBSPSUSBD31 / Slot1.3_4 / Principal"/>
    <x v="0"/>
    <b v="0"/>
    <s v="No está en VPC"/>
    <n v="836"/>
    <s v="INTPG_VPC_836_1.1_841_1.1"/>
    <s v="ISEL-1.1"/>
    <n v="1"/>
    <s v="NO TIENE L3OUT"/>
    <n v="0"/>
    <n v="54"/>
  </r>
  <r>
    <n v="834"/>
    <x v="2"/>
    <x v="90"/>
    <s v="eth1/1"/>
    <x v="0"/>
    <x v="0"/>
    <x v="0"/>
    <s v="LINK_TO_ITHFHWCBSPSHD43 / Slot1.1_4 / Principal"/>
    <x v="0"/>
    <b v="0"/>
    <s v="No está en VPC"/>
    <n v="834"/>
    <s v="INTPG_VPC_834_1.1_839_1.1"/>
    <s v="ISEL-1.1"/>
    <n v="2"/>
    <s v="NO TIENE L3OUT"/>
    <n v="0"/>
    <n v="54"/>
  </r>
  <r>
    <n v="872"/>
    <x v="2"/>
    <x v="91"/>
    <s v="eth1/1"/>
    <x v="0"/>
    <x v="0"/>
    <x v="0"/>
    <s v="To_ITHFHWCRMDLCN69_Principal"/>
    <x v="0"/>
    <b v="0"/>
    <s v="No está en VPC"/>
    <n v="872"/>
    <s v="INTPG_ACC_872_1.1"/>
    <s v="ISEL-1.1"/>
    <n v="2"/>
    <s v="NO TIENE L3OUT"/>
    <n v="288"/>
    <n v="54"/>
  </r>
  <r>
    <n v="842"/>
    <x v="2"/>
    <x v="92"/>
    <s v="eth1/1"/>
    <x v="0"/>
    <x v="0"/>
    <x v="0"/>
    <s v="LINK_TO_ITHFHWCBSPSHD30 / Slot7.3_24 / Redundante"/>
    <x v="0"/>
    <b v="0"/>
    <s v="No está en VPC"/>
    <n v="842"/>
    <s v="INTPG_VPC_837_1.1_842_1.1"/>
    <s v="ISEL-1.1"/>
    <n v="1"/>
    <s v="NO TIENE L3OUT"/>
    <n v="8"/>
    <n v="54"/>
  </r>
  <r>
    <n v="828"/>
    <x v="2"/>
    <x v="93"/>
    <s v="eth1/1"/>
    <x v="0"/>
    <x v="0"/>
    <x v="0"/>
    <s v="LINK_TO_ITHFHWCBSDSWR32 /Slot5.2 /Principal"/>
    <x v="0"/>
    <b v="0"/>
    <s v="No está en VPC"/>
    <n v="828"/>
    <s v="INTPG_VPC_828_1.1_832_1.1"/>
    <s v="ISEL-1.1"/>
    <n v="2"/>
    <s v="NO TIENE L3OUT"/>
    <n v="192"/>
    <n v="54"/>
  </r>
  <r>
    <n v="870"/>
    <x v="2"/>
    <x v="94"/>
    <s v="eth1/1"/>
    <x v="0"/>
    <x v="0"/>
    <x v="0"/>
    <s v="TO_ITHFHWCRMDLCN53_Redundante"/>
    <x v="0"/>
    <b v="0"/>
    <s v="No está en VPC"/>
    <n v="870"/>
    <s v="INTPG_ACC_870_1.1"/>
    <s v="ISEL-1.1"/>
    <n v="2"/>
    <s v="NO TIENE L3OUT"/>
    <n v="248"/>
    <n v="54"/>
  </r>
  <r>
    <n v="866"/>
    <x v="2"/>
    <x v="95"/>
    <s v="eth1/1"/>
    <x v="0"/>
    <x v="0"/>
    <x v="0"/>
    <s v="To_VPC_2DCBSD_WR42_1"/>
    <x v="0"/>
    <b v="0"/>
    <s v="No está en VPC"/>
    <n v="866"/>
    <s v="INTPG_VPC_861_1.1_866_1.1"/>
    <s v="ISEL-1.1"/>
    <n v="2"/>
    <s v="NO TIENE L3OUT"/>
    <n v="8"/>
    <n v="54"/>
  </r>
  <r>
    <n v="862"/>
    <x v="2"/>
    <x v="96"/>
    <s v="eth1/1"/>
    <x v="0"/>
    <x v="0"/>
    <x v="0"/>
    <s v="To_VPC_2DCBSD_WR37_3"/>
    <x v="0"/>
    <b v="0"/>
    <s v="No está en VPC"/>
    <n v="862"/>
    <s v="INTPG_VPC_862_1.1_867_1.1"/>
    <s v="ISEL-1.1"/>
    <n v="1"/>
    <s v="NO TIENE L3OUT"/>
    <n v="44"/>
    <n v="54"/>
  </r>
  <r>
    <n v="855"/>
    <x v="2"/>
    <x v="97"/>
    <s v="eth1/1"/>
    <x v="0"/>
    <x v="0"/>
    <x v="0"/>
    <s v="LINK_TO_ITHFHWCRMPLCN154 / Slot1.3_10 / Principal"/>
    <x v="0"/>
    <b v="0"/>
    <s v="No está en VPC"/>
    <n v="855"/>
    <s v="INTPG_ACC_855_1.1"/>
    <s v="ISEL-1.1"/>
    <n v="1"/>
    <s v="NO TIENE L3OUT"/>
    <n v="254"/>
    <n v="54"/>
  </r>
  <r>
    <n v="871"/>
    <x v="2"/>
    <x v="98"/>
    <s v="eth1/1"/>
    <x v="0"/>
    <x v="0"/>
    <x v="0"/>
    <s v="TO_ITHFHWCRMDLCN81_Principal"/>
    <x v="0"/>
    <b v="0"/>
    <s v="No está en VPC"/>
    <n v="871"/>
    <s v="INTPG_ACC_871_1.1"/>
    <s v="ISEL-1.1"/>
    <n v="6"/>
    <s v="NO TIENE L3OUT"/>
    <n v="246"/>
    <n v="54"/>
  </r>
  <r>
    <n v="841"/>
    <x v="2"/>
    <x v="99"/>
    <s v="eth1/1"/>
    <x v="0"/>
    <x v="0"/>
    <x v="0"/>
    <s v="LINK_TO_ITHFHWCBSPSUSBD31 / Slot7.3_4 / Redundante"/>
    <x v="0"/>
    <b v="0"/>
    <s v="No está en VPC"/>
    <n v="841"/>
    <s v="INTPG_VPC_836_1.1_841_1.1"/>
    <s v="ISEL-1.1"/>
    <n v="1"/>
    <s v="NO TIENE L3OUT"/>
    <n v="0"/>
    <n v="54"/>
  </r>
  <r>
    <n v="868"/>
    <x v="2"/>
    <x v="100"/>
    <s v="eth1/1"/>
    <x v="0"/>
    <x v="0"/>
    <x v="0"/>
    <s v="TO_ITHFHWCRMDLCN81_Redundante"/>
    <x v="0"/>
    <b v="0"/>
    <s v="No está en VPC"/>
    <n v="868"/>
    <s v="INTPG_ACC_868_1.1"/>
    <s v="ISEL-1.1"/>
    <n v="6"/>
    <s v="NO TIENE L3OUT"/>
    <n v="246"/>
    <n v="54"/>
  </r>
  <r>
    <n v="869"/>
    <x v="2"/>
    <x v="101"/>
    <s v="eth1/1"/>
    <x v="0"/>
    <x v="0"/>
    <x v="0"/>
    <s v="To_ITHFHWCRMDLCN69_Redundante"/>
    <x v="0"/>
    <b v="0"/>
    <s v="No está en VPC"/>
    <n v="869"/>
    <s v="INTPG_ACC_869_1.1"/>
    <s v="ISEL-1.1"/>
    <n v="2"/>
    <s v="NO TIENE L3OUT"/>
    <n v="288"/>
    <n v="54"/>
  </r>
  <r>
    <n v="861"/>
    <x v="2"/>
    <x v="102"/>
    <s v="eth1/1"/>
    <x v="0"/>
    <x v="0"/>
    <x v="0"/>
    <s v="To_VPC_2DCBSD_WR42_1"/>
    <x v="0"/>
    <b v="0"/>
    <s v="No está en VPC"/>
    <n v="861"/>
    <s v="INTPG_VPC_861_1.1_866_1.1"/>
    <s v="ISEL-1.1"/>
    <n v="2"/>
    <s v="NO TIENE L3OUT"/>
    <n v="8"/>
    <n v="54"/>
  </r>
  <r>
    <n v="874"/>
    <x v="2"/>
    <x v="103"/>
    <s v="eth1/1"/>
    <x v="0"/>
    <x v="0"/>
    <x v="0"/>
    <s v="LINK_TO_ITHFHWSEQLHDPS70 / Slot 5 PTO 1 / Redundante"/>
    <x v="4"/>
    <b v="0"/>
    <s v="No está en VPC"/>
    <n v="874"/>
    <s v="INTPG_ACC_874_1.1"/>
    <s v="ISEL-1.1"/>
    <n v="1"/>
    <s v="NO TIENE L3OUT"/>
    <n v="92"/>
    <n v="54"/>
  </r>
  <r>
    <n v="865"/>
    <x v="2"/>
    <x v="104"/>
    <s v="eth1/1"/>
    <x v="0"/>
    <x v="0"/>
    <x v="0"/>
    <s v="To_VPC_2DCBSD_WR52_1"/>
    <x v="0"/>
    <b v="0"/>
    <s v="No está en VPC"/>
    <n v="865"/>
    <s v="INTPG_VPC_860_1.1_865_1.1"/>
    <s v="ISEL-1.1"/>
    <n v="2"/>
    <s v="NO TIENE L3OUT"/>
    <n v="0"/>
    <n v="54"/>
  </r>
  <r>
    <n v="753"/>
    <x v="2"/>
    <x v="105"/>
    <s v="eth1/1"/>
    <x v="0"/>
    <x v="0"/>
    <x v="0"/>
    <s v="OSS F1:ithenmr03bl01nas1r9c:PORT 1"/>
    <x v="0"/>
    <b v="0"/>
    <s v="No está en VPC"/>
    <n v="753"/>
    <s v="INTPG_PC_753_1.1-4"/>
    <s v="ISEL-1.1"/>
    <n v="1"/>
    <s v="NO TIENE L3OUT"/>
    <n v="62"/>
    <n v="54"/>
  </r>
  <r>
    <n v="708"/>
    <x v="2"/>
    <x v="106"/>
    <s v="eth1/1"/>
    <x v="0"/>
    <x v="1"/>
    <x v="5"/>
    <s v="CEM:ITHCEMF2DAT01:LOM P1"/>
    <x v="0"/>
    <b v="0"/>
    <s v="No está en VPC"/>
    <n v="708"/>
    <s v="INTPG_VPC_708_1.1_709_1.2"/>
    <s v="ISEL-1.1"/>
    <n v="1"/>
    <s v="NO TIENE L3OUT"/>
    <n v="0"/>
    <n v="54"/>
  </r>
  <r>
    <n v="710"/>
    <x v="2"/>
    <x v="107"/>
    <s v="eth1/1"/>
    <x v="0"/>
    <x v="1"/>
    <x v="5"/>
    <s v="CEM:ITHCEMD2DAT01:LOM P1"/>
    <x v="0"/>
    <b v="0"/>
    <s v="No está en VPC"/>
    <n v="710"/>
    <s v="INTPG_VPC_710_1.1_711_1.2"/>
    <s v="ISEL-1.1"/>
    <n v="1"/>
    <s v="NO TIENE L3OUT"/>
    <n v="16"/>
    <n v="54"/>
  </r>
  <r>
    <n v="713"/>
    <x v="2"/>
    <x v="108"/>
    <s v="eth1/1"/>
    <x v="0"/>
    <x v="0"/>
    <x v="0"/>
    <s v="CEM:ITHCEMA2DAT01:LOM P1"/>
    <x v="0"/>
    <b v="0"/>
    <s v="No está en VPC"/>
    <n v="713"/>
    <s v="INTPG_ACC_713_1.1"/>
    <s v="ISEL-1.1"/>
    <n v="1"/>
    <s v="NO TIENE L3OUT"/>
    <n v="32"/>
    <n v="54"/>
  </r>
  <r>
    <n v="735"/>
    <x v="2"/>
    <x v="109"/>
    <s v="eth1/1"/>
    <x v="0"/>
    <x v="1"/>
    <x v="1"/>
    <s v="CEM:ITHCEMA1DAT01:LOM P3"/>
    <x v="5"/>
    <b v="0"/>
    <s v="No está en VPC"/>
    <n v="735"/>
    <s v="INTPG_ACC_735_1.1"/>
    <s v="ISEL-1.1"/>
    <n v="1"/>
    <s v="NO TIENE L3OUT"/>
    <n v="34"/>
    <n v="54"/>
  </r>
  <r>
    <n v="731"/>
    <x v="2"/>
    <x v="110"/>
    <s v="eth1/1"/>
    <x v="0"/>
    <x v="0"/>
    <x v="0"/>
    <s v="eth-trunk-2"/>
    <x v="0"/>
    <b v="0"/>
    <s v="No está en VPC"/>
    <n v="731"/>
    <s v="INTPG_VPC_730_1.1_4_731_1.1_4"/>
    <s v="ISEL-1.1"/>
    <n v="11"/>
    <s v="NO TIENE L3OUT"/>
    <n v="38"/>
    <n v="54"/>
  </r>
  <r>
    <n v="703"/>
    <x v="2"/>
    <x v="111"/>
    <s v="eth1/1"/>
    <x v="0"/>
    <x v="0"/>
    <x v="0"/>
    <m/>
    <x v="0"/>
    <b v="0"/>
    <s v="No está en VPC"/>
    <n v="703"/>
    <s v="INTPG_VPC_703_1.1_704_1.2"/>
    <s v="ISEL-1.1"/>
    <n v="1"/>
    <s v="NO TIENE L3OUT"/>
    <n v="2"/>
    <n v="54"/>
  </r>
  <r>
    <n v="706"/>
    <x v="2"/>
    <x v="112"/>
    <s v="eth1/1"/>
    <x v="0"/>
    <x v="0"/>
    <x v="0"/>
    <s v="CEM:ITHCEMA1DAT01:LOM P1"/>
    <x v="0"/>
    <b v="0"/>
    <s v="No está en VPC"/>
    <n v="706"/>
    <s v="INTPG_ACC_706_1.1"/>
    <s v="ISEL-1.1"/>
    <n v="1"/>
    <s v="NO TIENE L3OUT"/>
    <n v="16"/>
    <n v="54"/>
  </r>
  <r>
    <n v="762"/>
    <x v="2"/>
    <x v="113"/>
    <s v="eth1/1"/>
    <x v="0"/>
    <x v="0"/>
    <x v="0"/>
    <s v="PAAS:ithhwoscopap001:FlexIO.1"/>
    <x v="0"/>
    <b v="0"/>
    <s v="No está en VPC"/>
    <n v="762"/>
    <s v="INTPG_VPC_762_1.1_763_1.1"/>
    <s v="ISEL-1.1"/>
    <n v="1"/>
    <s v="NO TIENE L3OUT"/>
    <n v="0"/>
    <n v="54"/>
  </r>
  <r>
    <n v="814"/>
    <x v="2"/>
    <x v="114"/>
    <s v="eth1/1"/>
    <x v="0"/>
    <x v="0"/>
    <x v="0"/>
    <s v="LINK_TO_9S_BESPR_IXTLA3_1/40GE.3/Principal"/>
    <x v="2"/>
    <b v="0"/>
    <s v="No está en VPC"/>
    <n v="814"/>
    <s v="INTPG_VPC_814_1.1-2_815_1.1-2"/>
    <s v="ISEL-1.1"/>
    <n v="20"/>
    <s v="NO TIENE L3OUT"/>
    <n v="0"/>
    <n v="42"/>
  </r>
  <r>
    <n v="878"/>
    <x v="2"/>
    <x v="115"/>
    <s v="eth1/1"/>
    <x v="0"/>
    <x v="0"/>
    <x v="0"/>
    <s v="HACIA_CSI-A-OSCP-F4-09_PRINCIPAL"/>
    <x v="4"/>
    <b v="0"/>
    <s v="No está en VPC"/>
    <n v="878"/>
    <s v="INTPG_VPC_878_1.1_879_1.1"/>
    <s v="ISEL-1.1"/>
    <n v="2"/>
    <s v="NO TIENE L3OUT"/>
    <n v="0"/>
    <n v="54"/>
  </r>
  <r>
    <n v="826"/>
    <x v="2"/>
    <x v="116"/>
    <s v="eth1/1"/>
    <x v="0"/>
    <x v="0"/>
    <x v="0"/>
    <s v="LINK_TO_ITHFHWCBSDSUSBD04 /Slot5.2 /Principal"/>
    <x v="0"/>
    <b v="0"/>
    <s v="No está en VPC"/>
    <n v="826"/>
    <s v="INTPG_VPC_826_1.1_830_1.1"/>
    <s v="ISEL-1.1"/>
    <n v="2"/>
    <s v="NO TIENE L3OUT"/>
    <n v="12"/>
    <n v="54"/>
  </r>
  <r>
    <n v="726"/>
    <x v="2"/>
    <x v="117"/>
    <s v="eth1/1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1"/>
    <x v="0"/>
    <x v="1"/>
    <x v="1"/>
    <s v="CEM:ITHCEMC2DAT01:LOM P3"/>
    <x v="5"/>
    <b v="0"/>
    <s v="No está en VPC"/>
    <n v="740"/>
    <s v="INTPG_ACC_740_1.1"/>
    <s v="ISEL-1.1"/>
    <n v="1"/>
    <s v="NO TIENE L3OUT"/>
    <n v="72"/>
    <n v="54"/>
  </r>
  <r>
    <n v="705"/>
    <x v="2"/>
    <x v="119"/>
    <s v="eth1/1"/>
    <x v="0"/>
    <x v="0"/>
    <x v="0"/>
    <s v="CEM:ITHOIDB1SVR01:LOM  P2"/>
    <x v="0"/>
    <b v="0"/>
    <s v="No está en VPC"/>
    <n v="705"/>
    <s v="INTPG_VPC_705_1.1_706_1.2"/>
    <s v="ISEL-1.1"/>
    <n v="2"/>
    <s v="NO TIENE L3OUT"/>
    <n v="16"/>
    <n v="54"/>
  </r>
  <r>
    <n v="723"/>
    <x v="2"/>
    <x v="120"/>
    <s v="eth1/1"/>
    <x v="0"/>
    <x v="1"/>
    <x v="5"/>
    <m/>
    <x v="0"/>
    <b v="0"/>
    <s v="No está en VPC"/>
    <n v="723"/>
    <s v="INTPG-VPC_HDD120_723_1.1_722_1.2"/>
    <s v="ISEL-1.1"/>
    <n v="1"/>
    <s v="NO TIENE L3OUT"/>
    <n v="0"/>
    <n v="54"/>
  </r>
  <r>
    <n v="721"/>
    <x v="2"/>
    <x v="121"/>
    <s v="eth1/1"/>
    <x v="0"/>
    <x v="0"/>
    <x v="0"/>
    <s v="TO-ITHFHWVRALCN10"/>
    <x v="0"/>
    <b v="0"/>
    <s v="No está en VPC"/>
    <n v="721"/>
    <s v="INTPG_VPC_714_1.2_721_1.1"/>
    <s v="ISEL-1.1"/>
    <n v="108"/>
    <s v="NO TIENE L3OUT"/>
    <n v="20"/>
    <n v="54"/>
  </r>
  <r>
    <n v="788"/>
    <x v="2"/>
    <x v="122"/>
    <s v="eth1/1"/>
    <x v="0"/>
    <x v="0"/>
    <x v="0"/>
    <s v="U2020:ITHHWUMT06SW03:10GE1/0/41"/>
    <x v="0"/>
    <b v="0"/>
    <s v="No está en VPC"/>
    <n v="788"/>
    <s v="INTPG_VPC_788_1.1-2_789_1.1-2"/>
    <s v="ISEL-1.1"/>
    <n v="1"/>
    <s v="NO TIENE L3OUT"/>
    <n v="4"/>
    <n v="54"/>
  </r>
  <r>
    <n v="732"/>
    <x v="2"/>
    <x v="123"/>
    <s v="eth1/1"/>
    <x v="0"/>
    <x v="0"/>
    <x v="0"/>
    <s v="eth-trunk 12 fase 2 bes"/>
    <x v="0"/>
    <b v="0"/>
    <s v="No está en VPC"/>
    <n v="732"/>
    <s v="INTPG_VPC_732_1.1_4_733_1.1_4"/>
    <s v="ISEL-1.1"/>
    <n v="9"/>
    <s v="NO TIENE L3OUT"/>
    <n v="0"/>
    <n v="54"/>
  </r>
  <r>
    <n v="720"/>
    <x v="2"/>
    <x v="124"/>
    <s v="eth1/1"/>
    <x v="0"/>
    <x v="1"/>
    <x v="5"/>
    <m/>
    <x v="0"/>
    <b v="0"/>
    <s v="No está en VPC"/>
    <n v="720"/>
    <s v="INTPG-VPC_HDD02_720_1.1_719_1.2"/>
    <s v="ISEL-1.1"/>
    <n v="0"/>
    <s v="NO TIENE L3OUT"/>
    <n v="0"/>
    <n v="54"/>
  </r>
  <r>
    <n v="709"/>
    <x v="2"/>
    <x v="125"/>
    <s v="eth1/1"/>
    <x v="0"/>
    <x v="1"/>
    <x v="5"/>
    <s v="CEM:ITHCEME2DAT01:LOM P1"/>
    <x v="0"/>
    <b v="0"/>
    <s v="No está en VPC"/>
    <n v="709"/>
    <s v="INTPG_VPC_708_1.2_709_1.1"/>
    <s v="ISEL-1.1"/>
    <n v="1"/>
    <s v="NO TIENE L3OUT"/>
    <n v="0"/>
    <n v="54"/>
  </r>
  <r>
    <n v="454"/>
    <x v="1"/>
    <x v="126"/>
    <s v="eth1/1"/>
    <x v="0"/>
    <x v="0"/>
    <x v="0"/>
    <s v="HACIA_CSI-A-OSCP-F4-05_PRINCIPAL"/>
    <x v="4"/>
    <b v="0"/>
    <s v="No está en VPC"/>
    <n v="454"/>
    <s v="INTPG_VPC_454_1.1_456_1.1"/>
    <s v="ISEL-1.1"/>
    <n v="2"/>
    <s v="NO TIENE L3OUT"/>
    <n v="4"/>
    <n v="54"/>
  </r>
  <r>
    <n v="734"/>
    <x v="2"/>
    <x v="127"/>
    <s v="eth1/1"/>
    <x v="0"/>
    <x v="0"/>
    <x v="0"/>
    <s v="ITHCEMA1APP19"/>
    <x v="5"/>
    <b v="0"/>
    <s v="No está en VPC"/>
    <n v="734"/>
    <s v="INTPG_ACC_734_1.1"/>
    <s v="ISEL-1.1"/>
    <n v="1"/>
    <s v="NO TIENE L3OUT"/>
    <n v="32"/>
    <n v="54"/>
  </r>
  <r>
    <n v="815"/>
    <x v="2"/>
    <x v="128"/>
    <s v="eth1/1"/>
    <x v="0"/>
    <x v="0"/>
    <x v="0"/>
    <s v="LINK_TO_9S_BESPR_IXTLA3_2/40GE.3/Redundante"/>
    <x v="2"/>
    <b v="0"/>
    <s v="No está en VPC"/>
    <n v="815"/>
    <s v="INTPG_VPC_814_1.1-2_815_1.1-2"/>
    <s v="ISEL-1.1"/>
    <n v="20"/>
    <s v="NO TIENE L3OUT"/>
    <n v="0"/>
    <n v="42"/>
  </r>
  <r>
    <n v="743"/>
    <x v="2"/>
    <x v="129"/>
    <s v="eth1/1"/>
    <x v="0"/>
    <x v="0"/>
    <x v="0"/>
    <s v="trunk19 Bes-Production"/>
    <x v="0"/>
    <b v="0"/>
    <s v="No está en VPC"/>
    <n v="743"/>
    <s v="INTPG_VPC_743_1.1_4_744_1.1_4"/>
    <s v="ISEL-1.1"/>
    <n v="13"/>
    <s v="NO TIENE L3OUT"/>
    <n v="4"/>
    <n v="54"/>
  </r>
  <r>
    <n v="718"/>
    <x v="2"/>
    <x v="130"/>
    <s v="eth1/1"/>
    <x v="0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1"/>
    <x v="0"/>
    <x v="0"/>
    <x v="0"/>
    <s v="trunk19 Bes-Production"/>
    <x v="0"/>
    <b v="0"/>
    <s v="No está en VPC"/>
    <n v="744"/>
    <s v="INTPG_VPC_743_1.1_4_744_1.1_4"/>
    <s v="ISEL-1.1"/>
    <n v="13"/>
    <s v="NO TIENE L3OUT"/>
    <n v="4"/>
    <n v="54"/>
  </r>
  <r>
    <n v="741"/>
    <x v="2"/>
    <x v="132"/>
    <s v="eth1/1"/>
    <x v="0"/>
    <x v="1"/>
    <x v="1"/>
    <s v="CEM:ITHCEMB2DAT01:LOM P3"/>
    <x v="5"/>
    <b v="0"/>
    <s v="No está en VPC"/>
    <n v="741"/>
    <s v="INTPG_ACC_741_1.1"/>
    <s v="ISEL-1.1"/>
    <n v="1"/>
    <s v="NO TIENE L3OUT"/>
    <n v="62"/>
    <n v="54"/>
  </r>
  <r>
    <n v="787"/>
    <x v="2"/>
    <x v="133"/>
    <s v="eth1/1"/>
    <x v="0"/>
    <x v="0"/>
    <x v="0"/>
    <s v="ENIQ F2:itheniqr16e1r4a:BAY1/X1"/>
    <x v="0"/>
    <b v="0"/>
    <s v="No está en VPC"/>
    <n v="787"/>
    <s v="INTPG_PC_787_1.1-2"/>
    <s v="ISEL-1.1"/>
    <n v="3"/>
    <s v="NO TIENE L3OUT"/>
    <n v="26"/>
    <n v="54"/>
  </r>
  <r>
    <n v="750"/>
    <x v="2"/>
    <x v="134"/>
    <s v="eth1/1"/>
    <x v="0"/>
    <x v="0"/>
    <x v="0"/>
    <s v="trunk15 Bes-Production"/>
    <x v="0"/>
    <b v="0"/>
    <s v="No está en VPC"/>
    <n v="750"/>
    <s v="INTPG_VPC_750_1.1_4_751_1.1_4"/>
    <s v="ISEL-1.1"/>
    <n v="14"/>
    <s v="NO TIENE L3OUT"/>
    <n v="2"/>
    <n v="54"/>
  </r>
  <r>
    <n v="792"/>
    <x v="2"/>
    <x v="135"/>
    <s v="eth1/1"/>
    <x v="0"/>
    <x v="1"/>
    <x v="3"/>
    <s v="CRM, CBS:Testbed-R03-RH2288-BKP01:10GE 1"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1"/>
    <x v="0"/>
    <x v="0"/>
    <x v="0"/>
    <s v="CEM:ITHCEMG2DAT01:LOM  P2"/>
    <x v="0"/>
    <b v="0"/>
    <s v="No está en VPC"/>
    <n v="736"/>
    <s v="INTPG_ACC_736_1.1"/>
    <s v="ISEL-1.1"/>
    <n v="1"/>
    <s v="NO TIENE L3OUT"/>
    <n v="48"/>
    <n v="54"/>
  </r>
  <r>
    <n v="799"/>
    <x v="2"/>
    <x v="137"/>
    <s v="eth1/1"/>
    <x v="0"/>
    <x v="0"/>
    <x v="0"/>
    <s v="TO-IMC_PS15-MSP"/>
    <x v="0"/>
    <b v="0"/>
    <s v="No está en VPC"/>
    <n v="799"/>
    <s v="INTPG_ACC_799_1.1"/>
    <s v="ISEL-1.1"/>
    <n v="1"/>
    <s v="NO TIENE L3OUT"/>
    <n v="52"/>
    <n v="54"/>
  </r>
  <r>
    <n v="768"/>
    <x v="2"/>
    <x v="138"/>
    <s v="eth1/1"/>
    <x v="0"/>
    <x v="0"/>
    <x v="0"/>
    <s v="Portchannel_6_R3"/>
    <x v="0"/>
    <b v="0"/>
    <s v="No está en VPC"/>
    <n v="768"/>
    <s v="INTPG_PC_768_1.1-4"/>
    <s v="ISEL-1.1"/>
    <n v="1"/>
    <s v="NO TIENE L3OUT"/>
    <n v="62"/>
    <n v="54"/>
  </r>
  <r>
    <n v="714"/>
    <x v="2"/>
    <x v="139"/>
    <s v="eth1/1"/>
    <x v="0"/>
    <x v="0"/>
    <x v="0"/>
    <m/>
    <x v="0"/>
    <b v="0"/>
    <s v="No está en VPC"/>
    <n v="714"/>
    <s v="INTPG-VPC_HDD60_714_1.1_721_1.2"/>
    <s v="ISEL-1.1"/>
    <n v="2"/>
    <s v="NO TIENE L3OUT"/>
    <n v="20"/>
    <n v="54"/>
  </r>
  <r>
    <n v="717"/>
    <x v="2"/>
    <x v="140"/>
    <s v="eth1/1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1"/>
    <x v="0"/>
    <x v="0"/>
    <x v="0"/>
    <s v="U2020:ITHHWUMT06SW04:10GE2/0/41"/>
    <x v="0"/>
    <b v="0"/>
    <s v="No está en VPC"/>
    <n v="789"/>
    <s v="INTPG_VPC_788_1.1-2_789_1.1-2"/>
    <s v="ISEL-1.1"/>
    <n v="1"/>
    <s v="NO TIENE L3OUT"/>
    <n v="0"/>
    <n v="54"/>
  </r>
  <r>
    <n v="764"/>
    <x v="2"/>
    <x v="142"/>
    <s v="eth1/1"/>
    <x v="0"/>
    <x v="0"/>
    <x v="0"/>
    <s v="Portchannel_6_R1"/>
    <x v="0"/>
    <b v="0"/>
    <s v="No está en VPC"/>
    <n v="764"/>
    <s v="INTPG_PC_764_1.1-4"/>
    <s v="ISEL-1.1"/>
    <n v="1"/>
    <s v="NO TIENE L3OUT"/>
    <n v="62"/>
    <n v="54"/>
  </r>
  <r>
    <n v="783"/>
    <x v="2"/>
    <x v="143"/>
    <s v="eth1/1"/>
    <x v="0"/>
    <x v="0"/>
    <x v="0"/>
    <s v="LACP_VC1_ENIQ9A"/>
    <x v="0"/>
    <b v="0"/>
    <s v="No está en VPC"/>
    <n v="783"/>
    <s v="INTPG_PC_783_1.1-2"/>
    <s v="ISEL-1.1"/>
    <n v="3"/>
    <s v="NO TIENE L3OUT"/>
    <n v="26"/>
    <n v="54"/>
  </r>
  <r>
    <n v="774"/>
    <x v="2"/>
    <x v="144"/>
    <s v="eth1/1"/>
    <x v="0"/>
    <x v="0"/>
    <x v="0"/>
    <s v="PAAS:ithhwoscopap016:GE /Pto 1"/>
    <x v="0"/>
    <b v="0"/>
    <s v="No está en VPC"/>
    <n v="774"/>
    <s v="INTPG_VPC_774_1.1_775_1.2"/>
    <s v="ISEL-1.1"/>
    <n v="24"/>
    <s v="NO TIENE L3OUT"/>
    <n v="0"/>
    <n v="54"/>
  </r>
  <r>
    <n v="773"/>
    <x v="2"/>
    <x v="145"/>
    <s v="eth1/1"/>
    <x v="0"/>
    <x v="0"/>
    <x v="0"/>
    <s v="Portchannel_3_R2"/>
    <x v="0"/>
    <b v="0"/>
    <s v="No está en VPC"/>
    <n v="773"/>
    <s v="INTPG_PC_773_1.1-2"/>
    <s v="ISEL-1.1"/>
    <n v="8"/>
    <s v="NO TIENE L3OUT"/>
    <n v="78"/>
    <n v="54"/>
  </r>
  <r>
    <n v="794"/>
    <x v="2"/>
    <x v="146"/>
    <s v="eth1/1"/>
    <x v="0"/>
    <x v="0"/>
    <x v="0"/>
    <s v="DESC"/>
    <x v="0"/>
    <b v="0"/>
    <s v="No está en VPC"/>
    <n v="794"/>
    <s v="INTPG_VPC_793_1.1_3_794_1.1_3"/>
    <s v="ISEL-1.1"/>
    <n v="1"/>
    <s v="NO TIENE L3OUT"/>
    <n v="12"/>
    <n v="54"/>
  </r>
  <r>
    <n v="803"/>
    <x v="2"/>
    <x v="147"/>
    <s v="eth1/1"/>
    <x v="0"/>
    <x v="0"/>
    <x v="0"/>
    <s v="TO-HDPS_27-MSP"/>
    <x v="0"/>
    <b v="0"/>
    <s v="No está en VPC"/>
    <n v="803"/>
    <s v="INTPG_ACC_803_1.1"/>
    <s v="ISEL-1.1"/>
    <n v="1"/>
    <s v="NO TIENE L3OUT"/>
    <n v="48"/>
    <n v="54"/>
  </r>
  <r>
    <n v="786"/>
    <x v="2"/>
    <x v="148"/>
    <s v="eth1/1"/>
    <x v="0"/>
    <x v="0"/>
    <x v="0"/>
    <s v="ENIQ F2:itheniqr14e1r4b:BAY1/X1"/>
    <x v="0"/>
    <b v="0"/>
    <s v="No está en VPC"/>
    <n v="786"/>
    <s v="INTPG_PC_786_1.1-2"/>
    <s v="ISEL-1.1"/>
    <n v="3"/>
    <s v="NO TIENE L3OUT"/>
    <n v="26"/>
    <n v="54"/>
  </r>
  <r>
    <n v="757"/>
    <x v="2"/>
    <x v="149"/>
    <s v="eth1/1"/>
    <x v="0"/>
    <x v="1"/>
    <x v="3"/>
    <s v="CRM, CBS:ITHHWTBRK12BCK01:10GE 2"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1"/>
    <x v="0"/>
    <x v="0"/>
    <x v="0"/>
    <s v="LACP_VC1_ENIQ9C"/>
    <x v="0"/>
    <b v="0"/>
    <s v="No está en VPC"/>
    <n v="781"/>
    <s v="INTPG_PC_781_1.1-2"/>
    <s v="ISEL-1.1"/>
    <n v="3"/>
    <s v="NO TIENE L3OUT"/>
    <n v="26"/>
    <n v="54"/>
  </r>
  <r>
    <n v="793"/>
    <x v="2"/>
    <x v="151"/>
    <s v="eth1/1"/>
    <x v="0"/>
    <x v="1"/>
    <x v="1"/>
    <s v="DESC"/>
    <x v="0"/>
    <b v="0"/>
    <s v="No está en VPC"/>
    <n v="793"/>
    <s v="INTPG_VPC_793_1.1_3_794_1.1_3"/>
    <s v="ISEL-1.1"/>
    <n v="1"/>
    <s v="NO TIENE L3OUT"/>
    <n v="12"/>
    <n v="54"/>
  </r>
  <r>
    <n v="747"/>
    <x v="2"/>
    <x v="152"/>
    <s v="eth1/1"/>
    <x v="0"/>
    <x v="0"/>
    <x v="0"/>
    <s v="PAAS:ithhwoscopap001:LOM PORT 1"/>
    <x v="0"/>
    <b v="0"/>
    <s v="No está en VPC"/>
    <n v="747"/>
    <s v="INTPG_VPC_747_1.1_752_1.1"/>
    <s v="ISEL-1.1"/>
    <n v="25"/>
    <s v="NO TIENE L3OUT"/>
    <n v="0"/>
    <n v="54"/>
  </r>
  <r>
    <n v="784"/>
    <x v="2"/>
    <x v="153"/>
    <s v="eth1/1"/>
    <x v="0"/>
    <x v="0"/>
    <x v="0"/>
    <s v="ENIQ F2:itheniqr12e1r6b:BAY1/X1"/>
    <x v="0"/>
    <b v="0"/>
    <s v="No está en VPC"/>
    <n v="784"/>
    <s v="INTPG_PC_784_1.1-2"/>
    <s v="ISEL-1.1"/>
    <n v="3"/>
    <s v="NO TIENE L3OUT"/>
    <n v="26"/>
    <n v="54"/>
  </r>
  <r>
    <n v="806"/>
    <x v="2"/>
    <x v="154"/>
    <s v="eth1/1"/>
    <x v="0"/>
    <x v="0"/>
    <x v="0"/>
    <s v="TO-HDPS_51-MSP"/>
    <x v="0"/>
    <b v="0"/>
    <s v="No está en VPC"/>
    <n v="806"/>
    <s v="INTPG_ACC_806_1.1"/>
    <s v="ISEL-1.1"/>
    <n v="1"/>
    <s v="NO TIENE L3OUT"/>
    <n v="44"/>
    <n v="54"/>
  </r>
  <r>
    <n v="777"/>
    <x v="2"/>
    <x v="155"/>
    <s v="eth1/1"/>
    <x v="0"/>
    <x v="0"/>
    <x v="0"/>
    <s v="PAAS:ithhwoscopap020:GE /Pto 1"/>
    <x v="0"/>
    <b v="0"/>
    <s v="No está en VPC"/>
    <n v="777"/>
    <s v="INTPG_VPC_776_1.2_777_1.1"/>
    <s v="ISEL-1.1"/>
    <n v="24"/>
    <s v="NO TIENE L3OUT"/>
    <n v="0"/>
    <n v="54"/>
  </r>
  <r>
    <n v="770"/>
    <x v="2"/>
    <x v="156"/>
    <s v="eth1/1"/>
    <x v="0"/>
    <x v="0"/>
    <x v="0"/>
    <s v="Portchannel_1_R4A"/>
    <x v="0"/>
    <b v="0"/>
    <s v="No está en VPC"/>
    <n v="770"/>
    <s v="INTPG_PC_770_1.1-4"/>
    <s v="ISEL-1.1"/>
    <n v="2"/>
    <s v="NO TIENE L3OUT"/>
    <n v="60"/>
    <n v="54"/>
  </r>
  <r>
    <n v="813"/>
    <x v="2"/>
    <x v="157"/>
    <s v="eth1/1"/>
    <x v="0"/>
    <x v="0"/>
    <x v="0"/>
    <s v="POWER_STORE_NAS_NODO_B"/>
    <x v="1"/>
    <b v="0"/>
    <s v="No está en VPC"/>
    <n v="813"/>
    <s v="INTPG_VPC_812_1.1_813_1.1"/>
    <s v="ISEL-1.1"/>
    <n v="11"/>
    <s v="NO TIENE L3OUT"/>
    <n v="0"/>
    <n v="54"/>
  </r>
  <r>
    <n v="739"/>
    <x v="2"/>
    <x v="158"/>
    <s v="eth1/1"/>
    <x v="0"/>
    <x v="0"/>
    <x v="0"/>
    <s v="CEM:ITHCEMD2DAT01:LOM P3"/>
    <x v="5"/>
    <b v="0"/>
    <s v="No está en VPC"/>
    <n v="739"/>
    <s v="INTPG_ACC_739_1.1"/>
    <s v="ISEL-1.1"/>
    <n v="1"/>
    <s v="NO TIENE L3OUT"/>
    <n v="72"/>
    <n v="54"/>
  </r>
  <r>
    <n v="775"/>
    <x v="2"/>
    <x v="159"/>
    <s v="eth1/1"/>
    <x v="0"/>
    <x v="0"/>
    <x v="0"/>
    <s v="PAAS:ithhwoscopap018:GE /Pto 1"/>
    <x v="0"/>
    <b v="0"/>
    <s v="No está en VPC"/>
    <n v="775"/>
    <s v="INTPG_VPC_774_1.3_775_1.1"/>
    <s v="ISEL-1.1"/>
    <n v="24"/>
    <s v="NO TIENE L3OUT"/>
    <n v="0"/>
    <n v="54"/>
  </r>
  <r>
    <n v="791"/>
    <x v="2"/>
    <x v="160"/>
    <s v="eth1/1"/>
    <x v="0"/>
    <x v="0"/>
    <x v="0"/>
    <s v="LAGU2020R5"/>
    <x v="0"/>
    <b v="0"/>
    <s v="No está en VPC"/>
    <n v="791"/>
    <s v="INTPG_VPC_790_1.2_4_791_1.1_3"/>
    <s v="ISEL-1.1"/>
    <n v="1"/>
    <s v="NO TIENE L3OUT"/>
    <n v="20"/>
    <n v="54"/>
  </r>
  <r>
    <n v="808"/>
    <x v="2"/>
    <x v="161"/>
    <s v="eth1/1"/>
    <x v="0"/>
    <x v="0"/>
    <x v="0"/>
    <s v="HUECOS DC_S3"/>
    <x v="0"/>
    <b v="0"/>
    <s v="No está en VPC"/>
    <n v="808"/>
    <s v="INTPG_VPC_808_1.1-6_809_1.1-6"/>
    <s v="ISEL-1.1"/>
    <n v="1"/>
    <s v="NO TIENE L3OUT"/>
    <n v="0"/>
    <n v="54"/>
  </r>
  <r>
    <n v="830"/>
    <x v="2"/>
    <x v="162"/>
    <s v="eth1/1"/>
    <x v="0"/>
    <x v="0"/>
    <x v="0"/>
    <s v="LINK_TO_ITHFHWCBSDSUSBD04 /Slot7.2 /Redundante"/>
    <x v="0"/>
    <b v="0"/>
    <s v="No está en VPC"/>
    <n v="830"/>
    <s v="INTPG_VPC_826_1.1_830_1.1"/>
    <s v="ISEL-1.1"/>
    <n v="2"/>
    <s v="NO TIENE L3OUT"/>
    <n v="12"/>
    <n v="54"/>
  </r>
  <r>
    <n v="821"/>
    <x v="2"/>
    <x v="163"/>
    <s v="eth1/1"/>
    <x v="0"/>
    <x v="0"/>
    <x v="0"/>
    <s v="LINK_TO_ITHFHWCBSPSUSBD07 /Slot7.2 /Redundante"/>
    <x v="0"/>
    <b v="0"/>
    <s v="No está en VPC"/>
    <n v="821"/>
    <s v="INTPG_VPC_816_1.1_821_1.1"/>
    <s v="ISEL-1.1"/>
    <n v="2"/>
    <s v="NO TIENE L3OUT"/>
    <n v="0"/>
    <n v="54"/>
  </r>
  <r>
    <n v="738"/>
    <x v="2"/>
    <x v="164"/>
    <s v="eth1/1"/>
    <x v="0"/>
    <x v="0"/>
    <x v="0"/>
    <s v="CEM:ITHCEME2DAT01:LOM P3"/>
    <x v="5"/>
    <b v="0"/>
    <s v="No está en VPC"/>
    <n v="738"/>
    <s v="INTPG_ACC_738_1.1"/>
    <s v="ISEL-1.1"/>
    <n v="1"/>
    <s v="NO TIENE L3OUT"/>
    <n v="72"/>
    <n v="54"/>
  </r>
  <r>
    <n v="820"/>
    <x v="2"/>
    <x v="165"/>
    <s v="eth1/1"/>
    <x v="0"/>
    <x v="0"/>
    <x v="0"/>
    <s v="LINK_TO_ITHHWD6K60015DKC01 /CtrlA_IOM0.P1 /Redundante"/>
    <x v="0"/>
    <b v="0"/>
    <s v="No está en VPC"/>
    <n v="820"/>
    <s v="INTPG_ACC_820_1.1"/>
    <s v="ISEL-1.1"/>
    <n v="1"/>
    <s v="NO TIENE L3OUT"/>
    <n v="72"/>
    <n v="54"/>
  </r>
  <r>
    <n v="804"/>
    <x v="2"/>
    <x v="166"/>
    <s v="eth1/1"/>
    <x v="0"/>
    <x v="0"/>
    <x v="0"/>
    <s v="TO-HDPS_27-MSP"/>
    <x v="0"/>
    <b v="0"/>
    <s v="No está en VPC"/>
    <n v="804"/>
    <s v="INTPG_ACC_804_1.1"/>
    <s v="ISEL-1.1"/>
    <n v="1"/>
    <s v="NO TIENE L3OUT"/>
    <n v="48"/>
    <n v="54"/>
  </r>
  <r>
    <n v="779"/>
    <x v="2"/>
    <x v="167"/>
    <s v="eth1/1"/>
    <x v="0"/>
    <x v="0"/>
    <x v="0"/>
    <s v="ENIQ F1:itheniqr08enclr3:BAY1/X1"/>
    <x v="0"/>
    <b v="0"/>
    <s v="No está en VPC"/>
    <n v="779"/>
    <s v="INTPG_PC_779_1.1-2"/>
    <s v="ISEL-1.1"/>
    <n v="3"/>
    <s v="NO TIENE L3OUT"/>
    <n v="30"/>
    <n v="54"/>
  </r>
  <r>
    <n v="767"/>
    <x v="2"/>
    <x v="168"/>
    <s v="eth1/1"/>
    <x v="0"/>
    <x v="0"/>
    <x v="0"/>
    <s v="Portchannel_3_R3"/>
    <x v="0"/>
    <b v="0"/>
    <s v="No está en VPC"/>
    <n v="767"/>
    <s v="INTPG_PC_767_1.1-2"/>
    <s v="ISEL-1.1"/>
    <n v="8"/>
    <s v="NO TIENE L3OUT"/>
    <n v="60"/>
    <n v="54"/>
  </r>
  <r>
    <n v="827"/>
    <x v="2"/>
    <x v="169"/>
    <s v="eth1/1"/>
    <x v="0"/>
    <x v="0"/>
    <x v="0"/>
    <s v="LINK_TO_ITHFHWCBSDSWR22 /Slot5.2 /Principal"/>
    <x v="0"/>
    <b v="0"/>
    <s v="No está en VPC"/>
    <n v="827"/>
    <s v="INTPG_VPC_827_1.1_831_1.1"/>
    <s v="ISEL-1.1"/>
    <n v="2"/>
    <s v="NO TIENE L3OUT"/>
    <n v="14"/>
    <n v="54"/>
  </r>
  <r>
    <n v="809"/>
    <x v="2"/>
    <x v="170"/>
    <s v="eth1/1"/>
    <x v="0"/>
    <x v="0"/>
    <x v="0"/>
    <s v="HUECOS DC_S3"/>
    <x v="0"/>
    <b v="0"/>
    <s v="No está en VPC"/>
    <n v="809"/>
    <s v="INTPG_VPC_808_1.1-6_809_1.1-6"/>
    <s v="ISEL-1.1"/>
    <n v="1"/>
    <s v="NO TIENE L3OUT"/>
    <n v="0"/>
    <n v="54"/>
  </r>
  <r>
    <n v="771"/>
    <x v="2"/>
    <x v="171"/>
    <s v="eth1/1"/>
    <x v="0"/>
    <x v="0"/>
    <x v="0"/>
    <s v="Portchannel_6_R6B"/>
    <x v="0"/>
    <b v="0"/>
    <s v="No está en VPC"/>
    <n v="771"/>
    <s v="INTPG_PC_771_1.1-4"/>
    <s v="ISEL-1.1"/>
    <n v="2"/>
    <s v="NO TIENE L3OUT"/>
    <n v="62"/>
    <n v="54"/>
  </r>
  <r>
    <n v="761"/>
    <x v="2"/>
    <x v="172"/>
    <s v="eth1/1"/>
    <x v="0"/>
    <x v="1"/>
    <x v="1"/>
    <m/>
    <x v="0"/>
    <b v="0"/>
    <s v="No está en VPC"/>
    <n v="761"/>
    <s v="INTPG_VPC_760_1.1-4_761_1.1-4"/>
    <s v="ISEL-1.1"/>
    <n v="0"/>
    <s v="L3OUT-EXACLOUD"/>
    <n v="0"/>
    <n v="54"/>
  </r>
  <r>
    <n v="776"/>
    <x v="2"/>
    <x v="173"/>
    <s v="eth1/1"/>
    <x v="0"/>
    <x v="0"/>
    <x v="0"/>
    <s v="PAAS:ithhwoscopap019:GE /Pto 1"/>
    <x v="0"/>
    <b v="0"/>
    <s v="No está en VPC"/>
    <n v="776"/>
    <s v="INTPG_VPC_776_1.1_777_1.2"/>
    <s v="ISEL-1.1"/>
    <n v="24"/>
    <s v="NO TIENE L3OUT"/>
    <n v="0"/>
    <n v="54"/>
  </r>
  <r>
    <n v="805"/>
    <x v="2"/>
    <x v="174"/>
    <s v="eth1/1"/>
    <x v="0"/>
    <x v="0"/>
    <x v="0"/>
    <s v="TO-HDPS_51-MSP"/>
    <x v="0"/>
    <b v="0"/>
    <s v="No está en VPC"/>
    <n v="805"/>
    <s v="INTPG_ACC_805_1.1"/>
    <s v="ISEL-1.1"/>
    <n v="1"/>
    <s v="NO TIENE L3OUT"/>
    <n v="44"/>
    <n v="54"/>
  </r>
  <r>
    <n v="772"/>
    <x v="2"/>
    <x v="175"/>
    <s v="eth1/1"/>
    <x v="0"/>
    <x v="0"/>
    <x v="0"/>
    <s v="Portchannel_6_R2"/>
    <x v="0"/>
    <b v="0"/>
    <s v="No está en VPC"/>
    <n v="772"/>
    <s v="INTPG_PC_772_1.1-4"/>
    <s v="ISEL-1.1"/>
    <n v="1"/>
    <s v="NO TIENE L3OUT"/>
    <n v="82"/>
    <n v="54"/>
  </r>
  <r>
    <n v="785"/>
    <x v="2"/>
    <x v="176"/>
    <s v="eth1/1"/>
    <x v="0"/>
    <x v="0"/>
    <x v="0"/>
    <s v="ENIQ F2:itheniqr13e1r6a:BAY1/X1"/>
    <x v="0"/>
    <b v="0"/>
    <s v="No está en VPC"/>
    <n v="785"/>
    <s v="INTPG_PC_785_1.1-2"/>
    <s v="ISEL-1.1"/>
    <n v="3"/>
    <s v="NO TIENE L3OUT"/>
    <n v="32"/>
    <n v="54"/>
  </r>
  <r>
    <n v="851"/>
    <x v="2"/>
    <x v="177"/>
    <s v="eth1/1"/>
    <x v="0"/>
    <x v="0"/>
    <x v="0"/>
    <s v="LINK_TO_ITHFHWCRMPLCN101 / Slot7.1_6 / Redundante"/>
    <x v="0"/>
    <b v="0"/>
    <s v="No está en VPC"/>
    <n v="851"/>
    <s v="INTPG_ACC_851_1.1"/>
    <s v="ISEL-1.1"/>
    <n v="6"/>
    <s v="NO TIENE L3OUT"/>
    <n v="282"/>
    <n v="54"/>
  </r>
  <r>
    <n v="798"/>
    <x v="2"/>
    <x v="178"/>
    <s v="eth1/1"/>
    <x v="0"/>
    <x v="0"/>
    <x v="0"/>
    <s v="TO-IMC_PS15-MSP"/>
    <x v="0"/>
    <b v="0"/>
    <s v="No está en VPC"/>
    <n v="798"/>
    <s v="INTPG_ACC_798_1.1"/>
    <s v="ISEL-1.1"/>
    <n v="1"/>
    <s v="NO TIENE L3OUT"/>
    <n v="52"/>
    <n v="54"/>
  </r>
  <r>
    <n v="782"/>
    <x v="2"/>
    <x v="179"/>
    <s v="eth1/1"/>
    <x v="0"/>
    <x v="0"/>
    <x v="0"/>
    <s v="LACP_VC1_ENIQ9B"/>
    <x v="0"/>
    <b v="0"/>
    <s v="No está en VPC"/>
    <n v="782"/>
    <s v="INTPG_PC_782_1.1-2"/>
    <s v="ISEL-1.1"/>
    <n v="3"/>
    <s v="NO TIENE L3OUT"/>
    <n v="32"/>
    <n v="54"/>
  </r>
  <r>
    <n v="852"/>
    <x v="2"/>
    <x v="180"/>
    <s v="eth1/1"/>
    <x v="0"/>
    <x v="0"/>
    <x v="0"/>
    <s v="LINK_TO_ITHFHWCRMPLCN116 / Slot7.2_36 / Redundante"/>
    <x v="0"/>
    <b v="0"/>
    <s v="No está en VPC"/>
    <n v="852"/>
    <s v="INTPG_ACC_852_1.1"/>
    <s v="ISEL-1.1"/>
    <n v="2"/>
    <s v="NO TIENE L3OUT"/>
    <n v="258"/>
    <n v="54"/>
  </r>
  <r>
    <n v="817"/>
    <x v="2"/>
    <x v="181"/>
    <s v="eth1/1"/>
    <x v="0"/>
    <x v="0"/>
    <x v="0"/>
    <s v="LINK_TO_ITHFHWCBSPSWR22 /Slot5.2 /Principal"/>
    <x v="0"/>
    <b v="0"/>
    <s v="No está en VPC"/>
    <n v="817"/>
    <s v="INTPG_VPC_817_1.1_822_1.1"/>
    <s v="ISEL-1.1"/>
    <n v="2"/>
    <s v="NO TIENE L3OUT"/>
    <n v="0"/>
    <n v="54"/>
  </r>
  <r>
    <n v="832"/>
    <x v="2"/>
    <x v="182"/>
    <s v="eth1/1"/>
    <x v="0"/>
    <x v="0"/>
    <x v="0"/>
    <s v="LINK_TO_ITHFHWCBSDSWR32 /Slot7.2 /Redundante"/>
    <x v="0"/>
    <b v="0"/>
    <s v="No está en VPC"/>
    <n v="832"/>
    <s v="INTPG_VPC_828_1.1_832_1.1"/>
    <s v="ISEL-1.1"/>
    <n v="2"/>
    <s v="NO TIENE L3OUT"/>
    <n v="192"/>
    <n v="54"/>
  </r>
  <r>
    <n v="816"/>
    <x v="2"/>
    <x v="183"/>
    <s v="eth1/1"/>
    <x v="0"/>
    <x v="0"/>
    <x v="0"/>
    <s v="LINK_TO_ITHFHWCBSPSUSBD07 /Slot5.2 /Principal"/>
    <x v="0"/>
    <b v="0"/>
    <s v="No está en VPC"/>
    <n v="816"/>
    <s v="INTPG_VPC_816_1.1_821_1.1"/>
    <s v="ISEL-1.1"/>
    <n v="2"/>
    <s v="NO TIENE L3OUT"/>
    <n v="0"/>
    <n v="54"/>
  </r>
  <r>
    <n v="825"/>
    <x v="2"/>
    <x v="184"/>
    <s v="eth1/1"/>
    <x v="0"/>
    <x v="0"/>
    <x v="0"/>
    <s v="LINK_TO_ITHHWD6K60015DKC01 /CtrlA_IOM0.P0 /Principal"/>
    <x v="0"/>
    <b v="0"/>
    <s v="No está en VPC"/>
    <n v="825"/>
    <s v="INTPG_ACC_825_1.1"/>
    <s v="ISEL-1.1"/>
    <n v="1"/>
    <s v="NO TIENE L3OUT"/>
    <n v="72"/>
    <n v="54"/>
  </r>
  <r>
    <n v="800"/>
    <x v="2"/>
    <x v="185"/>
    <s v="eth1/1"/>
    <x v="0"/>
    <x v="0"/>
    <x v="0"/>
    <s v="TO-ITHFHWSEQLCAS10-MSP"/>
    <x v="0"/>
    <b v="0"/>
    <s v="No está en VPC"/>
    <n v="800"/>
    <s v="INTPG_ACC_800_1.1"/>
    <s v="ISEL-1.1"/>
    <n v="1"/>
    <s v="NO TIENE L3OUT"/>
    <n v="78"/>
    <n v="54"/>
  </r>
  <r>
    <n v="801"/>
    <x v="2"/>
    <x v="186"/>
    <s v="eth1/1"/>
    <x v="0"/>
    <x v="0"/>
    <x v="0"/>
    <s v="TO-ITHFHWSEQLCAS10-MSP"/>
    <x v="0"/>
    <b v="0"/>
    <s v="No está en VPC"/>
    <n v="801"/>
    <s v="INTPG_ACC_801_1.1"/>
    <s v="ISEL-1.1"/>
    <n v="1"/>
    <s v="NO TIENE L3OUT"/>
    <n v="78"/>
    <n v="54"/>
  </r>
  <r>
    <n v="823"/>
    <x v="2"/>
    <x v="187"/>
    <s v="eth1/1"/>
    <x v="0"/>
    <x v="0"/>
    <x v="0"/>
    <s v="LINK_TO_ITHFHWCBSPSWR30 /Slot7.2 /Redundante"/>
    <x v="0"/>
    <b v="0"/>
    <s v="No está en VPC"/>
    <n v="823"/>
    <s v="INTPG_VPC_818_1.1_823_1.1"/>
    <s v="ISEL-1.1"/>
    <n v="2"/>
    <s v="NO TIENE L3OUT"/>
    <n v="8"/>
    <n v="54"/>
  </r>
  <r>
    <n v="837"/>
    <x v="2"/>
    <x v="188"/>
    <s v="eth1/1"/>
    <x v="0"/>
    <x v="0"/>
    <x v="0"/>
    <s v="LINK_TO_ITHFHWCBSPSHD30 / Slot1.3_24 / Principal"/>
    <x v="0"/>
    <b v="0"/>
    <s v="No está en VPC"/>
    <n v="837"/>
    <s v="INTPG_VPC_837_1.1_842_1.1"/>
    <s v="ISEL-1.1"/>
    <n v="1"/>
    <s v="NO TIENE L3OUT"/>
    <n v="8"/>
    <n v="54"/>
  </r>
  <r>
    <n v="867"/>
    <x v="2"/>
    <x v="189"/>
    <s v="eth1/1"/>
    <x v="0"/>
    <x v="0"/>
    <x v="0"/>
    <s v="To_VPC_2DCBSD_WR37_3"/>
    <x v="0"/>
    <b v="0"/>
    <s v="No está en VPC"/>
    <n v="867"/>
    <s v="INTPG_VPC_862_1.1_867_1.1"/>
    <s v="ISEL-1.1"/>
    <n v="1"/>
    <s v="NO TIENE L3OUT"/>
    <n v="44"/>
    <n v="54"/>
  </r>
  <r>
    <n v="829"/>
    <x v="2"/>
    <x v="190"/>
    <s v="eth1/1"/>
    <x v="0"/>
    <x v="0"/>
    <x v="0"/>
    <s v="LINK_TO_ITHFHWCRMDLCN28 /Slot7.2 /Redundante"/>
    <x v="0"/>
    <b v="0"/>
    <s v="No está en VPC"/>
    <n v="829"/>
    <s v="INTPG_ACC_829_1.1"/>
    <s v="ISEL-1.1"/>
    <n v="5"/>
    <s v="NO TIENE L3OUT"/>
    <n v="224"/>
    <n v="54"/>
  </r>
  <r>
    <n v="831"/>
    <x v="2"/>
    <x v="191"/>
    <s v="eth1/1"/>
    <x v="0"/>
    <x v="0"/>
    <x v="0"/>
    <s v="LINK_TO_ITHFHWCBSDSWR22 /Slot7.2 /Redundante"/>
    <x v="0"/>
    <b v="0"/>
    <s v="No está en VPC"/>
    <n v="831"/>
    <s v="INTPG_VPC_827_1.1_831_1.1"/>
    <s v="ISEL-1.1"/>
    <n v="2"/>
    <s v="NO TIENE L3OUT"/>
    <n v="14"/>
    <n v="54"/>
  </r>
  <r>
    <n v="802"/>
    <x v="2"/>
    <x v="192"/>
    <s v="eth1/1"/>
    <x v="0"/>
    <x v="0"/>
    <x v="0"/>
    <s v="TO-HMS_03-MSP"/>
    <x v="0"/>
    <b v="0"/>
    <s v="No está en VPC"/>
    <n v="802"/>
    <s v="INTPG_ACC_802_1.1"/>
    <s v="ISEL-1.1"/>
    <n v="1"/>
    <s v="NO TIENE L3OUT"/>
    <n v="48"/>
    <n v="54"/>
  </r>
  <r>
    <n v="835"/>
    <x v="2"/>
    <x v="193"/>
    <s v="eth1/1"/>
    <x v="0"/>
    <x v="0"/>
    <x v="0"/>
    <s v="LINK_TO_ITHFHWCBSPSUSBD36 / Slot1.1_8 / Principal"/>
    <x v="0"/>
    <b v="0"/>
    <s v="No está en VPC"/>
    <n v="835"/>
    <s v="INTPG_VPC_835_1.1_840_1.1"/>
    <s v="ISEL-1.1"/>
    <n v="2"/>
    <s v="NO TIENE L3OUT"/>
    <n v="8"/>
    <n v="54"/>
  </r>
  <r>
    <n v="822"/>
    <x v="2"/>
    <x v="194"/>
    <s v="eth1/1"/>
    <x v="0"/>
    <x v="0"/>
    <x v="0"/>
    <s v="LINK_TO_ITHFHWCBSPSWR22 /Slot7.2 /Redundante"/>
    <x v="0"/>
    <b v="0"/>
    <s v="No está en VPC"/>
    <n v="822"/>
    <s v="INTPG_VPC_817_1.1_822_1.1"/>
    <s v="ISEL-1.1"/>
    <n v="2"/>
    <s v="NO TIENE L3OUT"/>
    <n v="0"/>
    <n v="54"/>
  </r>
  <r>
    <n v="854"/>
    <x v="2"/>
    <x v="195"/>
    <s v="eth1/1"/>
    <x v="0"/>
    <x v="0"/>
    <x v="0"/>
    <s v="LINK_TO_ITHFHWCRMPSBDA05 / Slot7.1_4 / Redundante"/>
    <x v="0"/>
    <b v="0"/>
    <s v="No está en VPC"/>
    <n v="854"/>
    <s v="INTPG_VPC_847_1.1_854_1.1"/>
    <s v="ISEL-1.1"/>
    <n v="6"/>
    <s v="NO TIENE L3OUT"/>
    <n v="204"/>
    <n v="54"/>
  </r>
  <r>
    <n v="858"/>
    <x v="2"/>
    <x v="196"/>
    <s v="eth1/1"/>
    <x v="0"/>
    <x v="0"/>
    <x v="0"/>
    <s v="To_VPC_2DCBSD_HD37_1"/>
    <x v="0"/>
    <b v="0"/>
    <s v="No está en VPC"/>
    <n v="858"/>
    <s v="INTPG_VPC_858_1.1_863_1.1"/>
    <s v="ISEL-1.1"/>
    <n v="2"/>
    <s v="NO TIENE L3OUT"/>
    <n v="8"/>
    <n v="54"/>
  </r>
  <r>
    <n v="857"/>
    <x v="2"/>
    <x v="197"/>
    <s v="eth1/1"/>
    <x v="0"/>
    <x v="0"/>
    <x v="0"/>
    <s v="LINK_TO_ITHFHWCRMPLCN150 / Slot1.3_34 / Principal"/>
    <x v="0"/>
    <b v="0"/>
    <s v="No está en VPC"/>
    <n v="857"/>
    <s v="INTPG_ACC_857_1.1"/>
    <s v="ISEL-1.1"/>
    <n v="1"/>
    <s v="NO TIENE L3OUT"/>
    <n v="288"/>
    <n v="54"/>
  </r>
  <r>
    <n v="859"/>
    <x v="2"/>
    <x v="198"/>
    <s v="eth1/1"/>
    <x v="0"/>
    <x v="0"/>
    <x v="0"/>
    <s v="To_VPC_2DCBSD_HD31_1"/>
    <x v="0"/>
    <b v="0"/>
    <s v="No está en VPC"/>
    <n v="859"/>
    <s v="INTPG_VPC_859_1.1_864_1.1"/>
    <s v="ISEL-1.1"/>
    <n v="2"/>
    <s v="NO TIENE L3OUT"/>
    <n v="0"/>
    <n v="54"/>
  </r>
  <r>
    <n v="833"/>
    <x v="2"/>
    <x v="199"/>
    <s v="eth1/1"/>
    <x v="0"/>
    <x v="0"/>
    <x v="0"/>
    <s v="LINK_TO_ITHFHWCRMDLCN28 /Slot5.2 /Principal"/>
    <x v="0"/>
    <b v="0"/>
    <s v="No está en VPC"/>
    <n v="833"/>
    <s v="INTPG_ACC_833_1.1"/>
    <s v="ISEL-1.1"/>
    <n v="5"/>
    <s v="NO TIENE L3OUT"/>
    <n v="224"/>
    <n v="54"/>
  </r>
  <r>
    <n v="818"/>
    <x v="2"/>
    <x v="200"/>
    <s v="eth1/1"/>
    <x v="0"/>
    <x v="0"/>
    <x v="0"/>
    <s v="LINK_TO_ITHFHWCBSPSWR30 /Slot5.2 /Principal"/>
    <x v="0"/>
    <b v="0"/>
    <s v="No está en VPC"/>
    <n v="818"/>
    <s v="INTPG_VPC_818_1.1_823_1.1"/>
    <s v="ISEL-1.1"/>
    <n v="2"/>
    <s v="NO TIENE L3OUT"/>
    <n v="8"/>
    <n v="54"/>
  </r>
  <r>
    <n v="850"/>
    <x v="2"/>
    <x v="201"/>
    <s v="eth1/1"/>
    <x v="0"/>
    <x v="0"/>
    <x v="0"/>
    <s v="LINK_TO_ITHFHWCRMPLCN150 / Slot7.3_34 / Redundante"/>
    <x v="0"/>
    <b v="0"/>
    <s v="No está en VPC"/>
    <n v="850"/>
    <s v="INTPG_ACC_850_1.1"/>
    <s v="ISEL-1.1"/>
    <n v="1"/>
    <s v="NO TIENE L3OUT"/>
    <n v="288"/>
    <n v="54"/>
  </r>
  <r>
    <n v="860"/>
    <x v="2"/>
    <x v="202"/>
    <s v="eth1/1"/>
    <x v="0"/>
    <x v="0"/>
    <x v="0"/>
    <s v="To_VPC_2DCBSD_WR52_1"/>
    <x v="0"/>
    <b v="0"/>
    <s v="No está en VPC"/>
    <n v="860"/>
    <s v="INTPG_VPC_860_1.1_865_1.1"/>
    <s v="ISEL-1.1"/>
    <n v="2"/>
    <s v="NO TIENE L3OUT"/>
    <n v="0"/>
    <n v="54"/>
  </r>
  <r>
    <n v="853"/>
    <x v="2"/>
    <x v="203"/>
    <s v="eth1/1"/>
    <x v="0"/>
    <x v="0"/>
    <x v="0"/>
    <s v="VPC_2DCRMP_BDP05_2"/>
    <x v="0"/>
    <b v="0"/>
    <s v="No está en VPC"/>
    <n v="853"/>
    <s v="INTPG_VPC_846_1.1_853_1.1"/>
    <s v="ISEL-1.1"/>
    <n v="2"/>
    <s v="NO TIENE L3OUT"/>
    <n v="242"/>
    <n v="54"/>
  </r>
  <r>
    <n v="790"/>
    <x v="2"/>
    <x v="204"/>
    <s v="eth1/1"/>
    <x v="0"/>
    <x v="0"/>
    <x v="0"/>
    <s v="LAGU2020R8"/>
    <x v="0"/>
    <b v="0"/>
    <s v="No está en VPC"/>
    <n v="790"/>
    <s v="INTPG_VPC_790_1.1_3_791_1.2_4"/>
    <s v="ISEL-1.1"/>
    <n v="1"/>
    <s v="NO TIENE L3OUT"/>
    <n v="20"/>
    <n v="54"/>
  </r>
  <r>
    <n v="105"/>
    <x v="0"/>
    <x v="205"/>
    <s v="eth1/1"/>
    <x v="0"/>
    <x v="1"/>
    <x v="1"/>
    <s v="DESC"/>
    <x v="6"/>
    <b v="0"/>
    <s v="No está en VPC"/>
    <n v="105"/>
    <s v="INTPG_PC_105_1.1-4_32-35"/>
    <s v="ISEL-1.1"/>
    <n v="17"/>
    <s v="NO TIENE L3OUT"/>
    <n v="106"/>
    <n v="96"/>
  </r>
  <r>
    <n v="117"/>
    <x v="0"/>
    <x v="206"/>
    <s v="eth1/1"/>
    <x v="0"/>
    <x v="0"/>
    <x v="0"/>
    <s v="TO-LENOVOSR530"/>
    <x v="6"/>
    <b v="0"/>
    <s v="No está en VPC"/>
    <n v="117"/>
    <s v="INTPG_ACC_117_1.1"/>
    <s v="ISEL-1.1"/>
    <n v="1"/>
    <s v="NO TIENE L3OUT"/>
    <n v="4"/>
    <n v="96"/>
  </r>
  <r>
    <n v="104"/>
    <x v="0"/>
    <x v="207"/>
    <s v="eth1/1"/>
    <x v="0"/>
    <x v="1"/>
    <x v="1"/>
    <s v="SFLDI"/>
    <x v="6"/>
    <b v="0"/>
    <s v="No está en VPC"/>
    <n v="104"/>
    <s v="INTPG_ACC_104_1.1"/>
    <s v="ISEL-1.1"/>
    <n v="1"/>
    <s v="NO TIENE L3OUT"/>
    <n v="194"/>
    <n v="96"/>
  </r>
  <r>
    <n v="158"/>
    <x v="0"/>
    <x v="208"/>
    <s v="eth1/1"/>
    <x v="0"/>
    <x v="0"/>
    <x v="0"/>
    <s v="ARIESO_GEOLOCALIZACION"/>
    <x v="6"/>
    <b v="0"/>
    <s v="No está en VPC"/>
    <n v="158"/>
    <s v="INTPG_ACC_158_1.1"/>
    <s v="ISEL-1.1"/>
    <n v="1"/>
    <s v="NO TIENE L3OUT"/>
    <n v="30"/>
    <n v="96"/>
  </r>
  <r>
    <n v="875"/>
    <x v="2"/>
    <x v="209"/>
    <s v="eth1/1"/>
    <x v="0"/>
    <x v="0"/>
    <x v="0"/>
    <s v="A_ITHFHWSEQLDSS02_Redundante"/>
    <x v="4"/>
    <b v="0"/>
    <s v="No está en VPC"/>
    <n v="875"/>
    <s v="INTPG_ACC_875_1.1"/>
    <s v="ISEL-1.1"/>
    <n v="1"/>
    <s v="NO TIENE L3OUT"/>
    <n v="2"/>
    <n v="54"/>
  </r>
  <r>
    <n v="879"/>
    <x v="2"/>
    <x v="210"/>
    <s v="eth1/1"/>
    <x v="0"/>
    <x v="0"/>
    <x v="0"/>
    <s v="HACIA_CSI-A-OSCP-F4-09_PRINCIPAL"/>
    <x v="4"/>
    <b v="0"/>
    <s v="No está en VPC"/>
    <n v="879"/>
    <s v="INTPG_VPC_878_1.1_879_1.1"/>
    <s v="ISEL-1.1"/>
    <n v="2"/>
    <s v="NO TIENE L3OUT"/>
    <n v="0"/>
    <n v="54"/>
  </r>
  <r>
    <n v="108"/>
    <x v="0"/>
    <x v="211"/>
    <s v="eth1/1"/>
    <x v="0"/>
    <x v="0"/>
    <x v="0"/>
    <m/>
    <x v="6"/>
    <b v="0"/>
    <s v="No está en VPC"/>
    <n v="108"/>
    <s v="INTPG_ACC_108_1.1"/>
    <s v="ISEL-1.1"/>
    <n v="1"/>
    <s v="NO TIENE L3OUT"/>
    <n v="126"/>
    <n v="96"/>
  </r>
  <r>
    <n v="112"/>
    <x v="0"/>
    <x v="212"/>
    <s v="eth1/1"/>
    <x v="0"/>
    <x v="0"/>
    <x v="0"/>
    <s v="CFD"/>
    <x v="6"/>
    <b v="0"/>
    <s v="No está en VPC"/>
    <n v="112"/>
    <s v="INTPG_ACC_112_1.1"/>
    <s v="ISEL-1.1"/>
    <n v="1"/>
    <s v="NO TIENE L3OUT"/>
    <n v="144"/>
    <n v="96"/>
  </r>
  <r>
    <n v="107"/>
    <x v="0"/>
    <x v="213"/>
    <s v="eth1/1"/>
    <x v="0"/>
    <x v="0"/>
    <x v="0"/>
    <m/>
    <x v="6"/>
    <b v="0"/>
    <s v="No está en VPC"/>
    <n v="107"/>
    <s v="INTPG_ACC_107_1.1"/>
    <s v="ISEL-1.1"/>
    <n v="1"/>
    <s v="NO TIENE L3OUT"/>
    <n v="118"/>
    <n v="96"/>
  </r>
  <r>
    <n v="109"/>
    <x v="0"/>
    <x v="214"/>
    <s v="eth1/1"/>
    <x v="0"/>
    <x v="0"/>
    <x v="0"/>
    <m/>
    <x v="6"/>
    <b v="0"/>
    <s v="No está en VPC"/>
    <n v="109"/>
    <s v="INTPG_ACC_109_1.1"/>
    <s v="ISEL-1.1"/>
    <n v="1"/>
    <s v="NO TIENE L3OUT"/>
    <n v="126"/>
    <n v="96"/>
  </r>
  <r>
    <n v="113"/>
    <x v="0"/>
    <x v="215"/>
    <s v="eth1/1"/>
    <x v="0"/>
    <x v="1"/>
    <x v="1"/>
    <s v="SAPCC"/>
    <x v="6"/>
    <b v="0"/>
    <s v="No está en VPC"/>
    <n v="113"/>
    <s v="INTPG_ACC_113_1.1"/>
    <s v="ISEL-1.1"/>
    <n v="1"/>
    <s v="NO TIENE L3OUT"/>
    <n v="52"/>
    <n v="96"/>
  </r>
  <r>
    <n v="114"/>
    <x v="0"/>
    <x v="216"/>
    <s v="eth1/1"/>
    <x v="0"/>
    <x v="0"/>
    <x v="0"/>
    <s v="CFD"/>
    <x v="6"/>
    <b v="0"/>
    <s v="No está en VPC"/>
    <n v="114"/>
    <s v="INTPG_ACC_114_1.1"/>
    <s v="ISEL-1.1"/>
    <n v="1"/>
    <s v="NO TIENE L3OUT"/>
    <n v="144"/>
    <n v="96"/>
  </r>
  <r>
    <n v="124"/>
    <x v="0"/>
    <x v="217"/>
    <s v="eth1/1"/>
    <x v="0"/>
    <x v="0"/>
    <x v="0"/>
    <s v="GSM_OSS_MTY"/>
    <x v="6"/>
    <b v="0"/>
    <s v="No está en VPC"/>
    <n v="124"/>
    <s v="INTPG_VPC_124_1.1_125_1.10"/>
    <s v="ISEL-1.1"/>
    <n v="10"/>
    <s v="NO TIENE L3OUT"/>
    <n v="80"/>
    <n v="96"/>
  </r>
  <r>
    <n v="118"/>
    <x v="0"/>
    <x v="218"/>
    <s v="eth1/1"/>
    <x v="1"/>
    <x v="1"/>
    <x v="2"/>
    <s v="UXWEPD38"/>
    <x v="6"/>
    <b v="0"/>
    <s v="No está en VPC"/>
    <n v="118"/>
    <s v="INTPG_ACC_118_1.1"/>
    <s v="ISEL-1.1"/>
    <n v="1"/>
    <s v="NO TIENE L3OUT"/>
    <n v="180"/>
    <n v="96"/>
  </r>
  <r>
    <n v="159"/>
    <x v="0"/>
    <x v="219"/>
    <s v="eth1/1"/>
    <x v="0"/>
    <x v="1"/>
    <x v="1"/>
    <s v="Sys_Bay_V40k"/>
    <x v="6"/>
    <b v="0"/>
    <s v="No está en VPC"/>
    <n v="159"/>
    <s v="INTPG_ACC_159_1.1"/>
    <s v="ISEL-1.1"/>
    <n v="1"/>
    <s v="NO TIENE L3OUT"/>
    <n v="72"/>
    <n v="96"/>
  </r>
  <r>
    <n v="840"/>
    <x v="2"/>
    <x v="220"/>
    <s v="eth1/1"/>
    <x v="0"/>
    <x v="0"/>
    <x v="0"/>
    <s v="LINK_TO_ITHFHWCBSPSUSBD36 / Slot7.1_8 / Redundante"/>
    <x v="0"/>
    <b v="0"/>
    <s v="No está en VPC"/>
    <n v="840"/>
    <s v="INTPG_VPC_835_1.1_840_1.1"/>
    <s v="ISEL-1.1"/>
    <n v="2"/>
    <s v="NO TIENE L3OUT"/>
    <n v="8"/>
    <n v="54"/>
  </r>
  <r>
    <n v="856"/>
    <x v="2"/>
    <x v="221"/>
    <s v="eth1/1"/>
    <x v="0"/>
    <x v="0"/>
    <x v="0"/>
    <s v="VPC_2DCRMP_BDA11_3"/>
    <x v="0"/>
    <b v="0"/>
    <s v="No está en VPC"/>
    <n v="856"/>
    <s v="INTPG_VPC_856_1.1_849_1.1"/>
    <s v="ISEL-1.1"/>
    <n v="1"/>
    <s v="NO TIENE L3OUT"/>
    <n v="286"/>
    <n v="54"/>
  </r>
  <r>
    <n v="110"/>
    <x v="0"/>
    <x v="222"/>
    <s v="eth1/1"/>
    <x v="0"/>
    <x v="0"/>
    <x v="0"/>
    <s v="OCUDR_1"/>
    <x v="6"/>
    <b v="0"/>
    <s v="No está en VPC"/>
    <n v="110"/>
    <s v="INTPG_ACC_110_1.1"/>
    <s v="ISEL-1.1"/>
    <n v="1"/>
    <s v="NO TIENE L3OUT"/>
    <n v="102"/>
    <n v="96"/>
  </r>
  <r>
    <n v="163"/>
    <x v="0"/>
    <x v="223"/>
    <s v="eth1/1"/>
    <x v="0"/>
    <x v="0"/>
    <x v="0"/>
    <m/>
    <x v="6"/>
    <b v="0"/>
    <s v="No está en VPC"/>
    <n v="163"/>
    <s v="INTPG_PC_163_1.1-8"/>
    <s v="ISEL-1.1"/>
    <n v="1"/>
    <s v="NO TIENE L3OUT"/>
    <n v="140"/>
    <n v="96"/>
  </r>
  <r>
    <n v="407"/>
    <x v="1"/>
    <x v="224"/>
    <s v="eth1/1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1"/>
    <x v="0"/>
    <x v="1"/>
    <x v="1"/>
    <s v="GSM_OSS_GDL"/>
    <x v="6"/>
    <b v="0"/>
    <s v="No está en VPC"/>
    <n v="171"/>
    <s v="INTPG_VPC_171_1.1_70_172_1.1_46"/>
    <s v="ISEL-1.1"/>
    <n v="10"/>
    <s v="NO TIENE L3OUT"/>
    <n v="114"/>
    <n v="96"/>
  </r>
  <r>
    <n v="421"/>
    <x v="1"/>
    <x v="226"/>
    <s v="eth1/1"/>
    <x v="0"/>
    <x v="0"/>
    <x v="0"/>
    <s v="Prime-UCS-CLU2-A_client_LAG1_CISCOPRIME"/>
    <x v="6"/>
    <b v="0"/>
    <s v="No está en VPC"/>
    <n v="421"/>
    <s v="INTPG_VPC_419_1.1_421_1.1"/>
    <s v="ISEL-1.1"/>
    <n v="3"/>
    <s v="NO TIENE L3OUT"/>
    <n v="72"/>
    <n v="96"/>
  </r>
  <r>
    <n v="173"/>
    <x v="0"/>
    <x v="227"/>
    <s v="eth1/1"/>
    <x v="1"/>
    <x v="1"/>
    <x v="2"/>
    <s v="HUB_SMS_SVA"/>
    <x v="6"/>
    <b v="0"/>
    <s v="No está en VPC"/>
    <n v="173"/>
    <s v="INTPG_VPC_126_1.1-2_173_1.1-2"/>
    <s v="ISEL-1.1"/>
    <n v="3"/>
    <s v="NO TIENE L3OUT"/>
    <n v="66"/>
    <n v="96"/>
  </r>
  <r>
    <n v="154"/>
    <x v="0"/>
    <x v="228"/>
    <s v="eth1/1"/>
    <x v="0"/>
    <x v="0"/>
    <x v="0"/>
    <s v="Precios DEUR"/>
    <x v="6"/>
    <b v="0"/>
    <s v="No está en VPC"/>
    <n v="154"/>
    <s v="INTPG_ACC_154_1.1"/>
    <s v="ISEL-1.1"/>
    <n v="1"/>
    <s v="NO TIENE L3OUT"/>
    <n v="62"/>
    <n v="96"/>
  </r>
  <r>
    <n v="172"/>
    <x v="0"/>
    <x v="229"/>
    <s v="eth1/1"/>
    <x v="0"/>
    <x v="1"/>
    <x v="1"/>
    <s v="GSM_OSS_GDL"/>
    <x v="6"/>
    <b v="0"/>
    <s v="No está en VPC"/>
    <n v="172"/>
    <s v="INTPG_VPC_171_1.1_70_172_1.1_46"/>
    <s v="ISEL-1.1"/>
    <n v="10"/>
    <s v="NO TIENE L3OUT"/>
    <n v="104"/>
    <n v="96"/>
  </r>
  <r>
    <n v="420"/>
    <x v="1"/>
    <x v="230"/>
    <s v="eth1/1"/>
    <x v="0"/>
    <x v="0"/>
    <x v="0"/>
    <s v="junos_space1"/>
    <x v="6"/>
    <b v="0"/>
    <s v="No está en VPC"/>
    <n v="420"/>
    <s v="INTPG_ACC_420_1.1"/>
    <s v="ISEL-1.1"/>
    <n v="1"/>
    <s v="NO TIENE L3OUT"/>
    <n v="158"/>
    <n v="96"/>
  </r>
  <r>
    <n v="423"/>
    <x v="1"/>
    <x v="231"/>
    <s v="eth1/1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1"/>
    <x v="0"/>
    <x v="0"/>
    <x v="0"/>
    <s v="TO-SERVICE AVAILABILITY1-REDUNDANTE"/>
    <x v="6"/>
    <b v="0"/>
    <s v="No está en VPC"/>
    <n v="415"/>
    <s v="INTPG_ACC_415_1.1"/>
    <s v="ISEL-1.1"/>
    <n v="1"/>
    <s v="NO TIENE L3OUT"/>
    <n v="52"/>
    <n v="96"/>
  </r>
  <r>
    <n v="102"/>
    <x v="0"/>
    <x v="233"/>
    <s v="eth1/1"/>
    <x v="0"/>
    <x v="1"/>
    <x v="1"/>
    <m/>
    <x v="6"/>
    <b v="0"/>
    <s v="No está en VPC"/>
    <n v="102"/>
    <s v="NO EXISTE PG"/>
    <s v="NO EXISTE ISEL"/>
    <n v="0"/>
    <s v="NO TIENE L3OUT"/>
    <n v="228"/>
    <n v="96"/>
  </r>
  <r>
    <n v="863"/>
    <x v="2"/>
    <x v="234"/>
    <s v="eth1/1"/>
    <x v="0"/>
    <x v="0"/>
    <x v="0"/>
    <s v="To_VPC_2DCBSD_HD37_1"/>
    <x v="0"/>
    <b v="0"/>
    <s v="No está en VPC"/>
    <n v="863"/>
    <s v="INTPG_VPC_858_1.1_863_1.1"/>
    <s v="ISEL-1.1"/>
    <n v="2"/>
    <s v="NO TIENE L3OUT"/>
    <n v="8"/>
    <n v="54"/>
  </r>
  <r>
    <n v="876"/>
    <x v="2"/>
    <x v="235"/>
    <s v="eth1/1"/>
    <x v="0"/>
    <x v="0"/>
    <x v="0"/>
    <s v="LINK_TO_ITHFHWSEQLHDPS70 / Slot 4 PTO 1 / Principal"/>
    <x v="4"/>
    <b v="0"/>
    <s v="No está en VPC"/>
    <n v="876"/>
    <s v="INTPG_ACC_876_1.1"/>
    <s v="ISEL-1.1"/>
    <n v="1"/>
    <s v="NO TIENE L3OUT"/>
    <n v="92"/>
    <n v="54"/>
  </r>
  <r>
    <n v="877"/>
    <x v="2"/>
    <x v="236"/>
    <s v="eth1/1"/>
    <x v="0"/>
    <x v="0"/>
    <x v="0"/>
    <s v="A_ITHFHWSEQLDSS02_Principal"/>
    <x v="4"/>
    <b v="0"/>
    <s v="No está en VPC"/>
    <n v="877"/>
    <s v="INTPG_ACC_877_1.1"/>
    <s v="ISEL-1.1"/>
    <n v="1"/>
    <s v="NO TIENE L3OUT"/>
    <n v="2"/>
    <n v="54"/>
  </r>
  <r>
    <n v="122"/>
    <x v="0"/>
    <x v="237"/>
    <s v="eth1/1"/>
    <x v="0"/>
    <x v="0"/>
    <x v="0"/>
    <s v="RACK1-NZTF24"/>
    <x v="6"/>
    <b v="0"/>
    <s v="No está en VPC"/>
    <n v="122"/>
    <s v="INTPG_ACC_122_1.1"/>
    <s v="ISEL-1.1"/>
    <n v="1"/>
    <s v="NO TIENE L3OUT"/>
    <n v="148"/>
    <n v="96"/>
  </r>
  <r>
    <n v="157"/>
    <x v="0"/>
    <x v="238"/>
    <s v="eth1/1"/>
    <x v="0"/>
    <x v="0"/>
    <x v="0"/>
    <m/>
    <x v="6"/>
    <b v="0"/>
    <s v="No está en VPC"/>
    <n v="157"/>
    <s v="INTPG_ACC_157_1.1"/>
    <s v="ISEL-1.1"/>
    <n v="1"/>
    <s v="NO TIENE L3OUT"/>
    <n v="202"/>
    <n v="96"/>
  </r>
  <r>
    <n v="408"/>
    <x v="1"/>
    <x v="239"/>
    <s v="eth1/1"/>
    <x v="1"/>
    <x v="1"/>
    <x v="2"/>
    <m/>
    <x v="6"/>
    <b v="0"/>
    <s v="No está en VPC"/>
    <n v="408"/>
    <s v="NO EXISTE PG"/>
    <s v="NO EXISTE ISEL"/>
    <n v="0"/>
    <s v="NO TIENE L3OUT"/>
    <n v="152"/>
    <n v="96"/>
  </r>
  <r>
    <n v="405"/>
    <x v="1"/>
    <x v="240"/>
    <s v="eth1/1"/>
    <x v="0"/>
    <x v="0"/>
    <x v="0"/>
    <s v="IXT_ARIESO4_LDR1"/>
    <x v="6"/>
    <b v="0"/>
    <s v="No está en VPC"/>
    <n v="405"/>
    <s v="INTPG_ACC_405_1.1"/>
    <s v="ISEL-1.1"/>
    <n v="1"/>
    <s v="NO TIENE L3OUT"/>
    <n v="138"/>
    <n v="96"/>
  </r>
  <r>
    <n v="169"/>
    <x v="0"/>
    <x v="241"/>
    <s v="eth1/1"/>
    <x v="1"/>
    <x v="1"/>
    <x v="2"/>
    <s v="RBT"/>
    <x v="6"/>
    <b v="0"/>
    <s v="No está en VPC"/>
    <n v="169"/>
    <s v="INTPG_VPC_167_1.2-3_169_1.1-2"/>
    <s v="ISEL-1.1"/>
    <n v="3"/>
    <s v="NO TIENE L3OUT"/>
    <n v="76"/>
    <n v="96"/>
  </r>
  <r>
    <n v="165"/>
    <x v="0"/>
    <x v="242"/>
    <s v="eth1/1"/>
    <x v="0"/>
    <x v="1"/>
    <x v="1"/>
    <s v="TAGMA_SUPERDOME_VSP3"/>
    <x v="6"/>
    <b v="0"/>
    <s v="No está en VPC"/>
    <n v="165"/>
    <s v="INTPG_ACC_165_1.1"/>
    <s v="ISEL-1.1"/>
    <n v="1"/>
    <s v="NO TIENE L3OUT"/>
    <n v="86"/>
    <n v="96"/>
  </r>
  <r>
    <n v="417"/>
    <x v="1"/>
    <x v="243"/>
    <s v="eth1/1"/>
    <x v="0"/>
    <x v="0"/>
    <x v="0"/>
    <s v="To-uxingemc4"/>
    <x v="6"/>
    <b v="0"/>
    <s v="No está en VPC"/>
    <n v="417"/>
    <s v="INTPG_ACC_417_1.1"/>
    <s v="ISEL-1.1"/>
    <n v="1"/>
    <s v="NO TIENE L3OUT"/>
    <n v="56"/>
    <n v="96"/>
  </r>
  <r>
    <n v="153"/>
    <x v="0"/>
    <x v="244"/>
    <s v="eth1/1"/>
    <x v="0"/>
    <x v="1"/>
    <x v="1"/>
    <s v="SEGURIDAD OPERATIVA"/>
    <x v="6"/>
    <b v="0"/>
    <s v="No está en VPC"/>
    <n v="153"/>
    <s v="INTPG_ACC_153_1.1"/>
    <s v="ISEL-1.1"/>
    <n v="1"/>
    <s v="NO TIENE L3OUT"/>
    <n v="42"/>
    <n v="96"/>
  </r>
  <r>
    <n v="119"/>
    <x v="0"/>
    <x v="245"/>
    <s v="eth1/1"/>
    <x v="1"/>
    <x v="1"/>
    <x v="2"/>
    <s v="DESC"/>
    <x v="6"/>
    <b v="0"/>
    <s v="No está en VPC"/>
    <n v="119"/>
    <s v="INTPG_PC_119_1.1-4_17-20"/>
    <s v="ISEL-1.1"/>
    <n v="31"/>
    <s v="NO TIENE L3OUT"/>
    <n v="70"/>
    <n v="96"/>
  </r>
  <r>
    <n v="156"/>
    <x v="0"/>
    <x v="246"/>
    <s v="eth1/1"/>
    <x v="0"/>
    <x v="0"/>
    <x v="0"/>
    <s v="ARIESO_GEOLOCALIZACION"/>
    <x v="6"/>
    <b v="0"/>
    <s v="No está en VPC"/>
    <n v="156"/>
    <s v="INTPG_ACC_156_1.1"/>
    <s v="ISEL-1.1"/>
    <n v="1"/>
    <s v="NO TIENE L3OUT"/>
    <n v="40"/>
    <n v="96"/>
  </r>
  <r>
    <n v="103"/>
    <x v="0"/>
    <x v="247"/>
    <s v="eth1/1"/>
    <x v="0"/>
    <x v="1"/>
    <x v="1"/>
    <s v="EHEALTH:ehealthp04:NET0"/>
    <x v="6"/>
    <b v="0"/>
    <s v="No está en VPC"/>
    <n v="103"/>
    <s v="INTPG_ACC_103_1.1"/>
    <s v="ISEL-1.1"/>
    <n v="1"/>
    <s v="NO TIENE L3OUT"/>
    <n v="70"/>
    <n v="96"/>
  </r>
  <r>
    <n v="438"/>
    <x v="1"/>
    <x v="248"/>
    <s v="eth1/1"/>
    <x v="0"/>
    <x v="0"/>
    <x v="0"/>
    <s v="uxdomaine"/>
    <x v="6"/>
    <b v="0"/>
    <s v="No está en VPC"/>
    <n v="438"/>
    <s v="INTPG_ACC_438_1.1"/>
    <s v="ISEL-1.1"/>
    <n v="1"/>
    <s v="NO TIENE L3OUT"/>
    <n v="170"/>
    <n v="96"/>
  </r>
  <r>
    <n v="406"/>
    <x v="1"/>
    <x v="249"/>
    <s v="eth1/1"/>
    <x v="0"/>
    <x v="0"/>
    <x v="0"/>
    <s v="Lag2_SMT"/>
    <x v="6"/>
    <b v="0"/>
    <s v="No está en VPC"/>
    <n v="406"/>
    <s v="INTPG_PC_406_1.1-2"/>
    <s v="ISEL-1.1"/>
    <n v="3"/>
    <s v="NO TIENE L3OUT"/>
    <n v="82"/>
    <n v="96"/>
  </r>
  <r>
    <n v="414"/>
    <x v="1"/>
    <x v="250"/>
    <s v="eth1/1"/>
    <x v="0"/>
    <x v="0"/>
    <x v="0"/>
    <s v="ITHRTCD3SSW2"/>
    <x v="6"/>
    <b v="0"/>
    <s v="No está en VPC"/>
    <n v="414"/>
    <s v="INTPG_ACC_414_1.1"/>
    <s v="ISEL-1.1"/>
    <n v="1"/>
    <s v="NO TIENE L3OUT"/>
    <n v="144"/>
    <n v="96"/>
  </r>
  <r>
    <n v="416"/>
    <x v="1"/>
    <x v="251"/>
    <s v="eth1/1"/>
    <x v="0"/>
    <x v="0"/>
    <x v="0"/>
    <s v="ITHRTC4AEN2VC1"/>
    <x v="6"/>
    <b v="0"/>
    <s v="No está en VPC"/>
    <n v="416"/>
    <s v="INTPG_VPC_416_1.1_418_1.1"/>
    <s v="ISEL-1.1"/>
    <n v="1"/>
    <s v="NO TIENE L3OUT"/>
    <n v="110"/>
    <n v="96"/>
  </r>
  <r>
    <n v="418"/>
    <x v="1"/>
    <x v="252"/>
    <s v="eth1/1"/>
    <x v="0"/>
    <x v="0"/>
    <x v="0"/>
    <s v="ITHRTC4AEN2VC1"/>
    <x v="6"/>
    <b v="0"/>
    <s v="No está en VPC"/>
    <n v="418"/>
    <s v="INTPG_VPC_416_1.1_418_1.1"/>
    <s v="ISEL-1.1"/>
    <n v="1"/>
    <s v="NO TIENE L3OUT"/>
    <n v="152"/>
    <n v="96"/>
  </r>
  <r>
    <n v="413"/>
    <x v="1"/>
    <x v="253"/>
    <s v="eth1/1"/>
    <x v="0"/>
    <x v="0"/>
    <x v="0"/>
    <s v="ECOSS"/>
    <x v="6"/>
    <b v="0"/>
    <s v="No está en VPC"/>
    <n v="413"/>
    <s v="INTPG_VPC_411_1.1-2_413_1.1-2"/>
    <s v="ISEL-1.1"/>
    <n v="6"/>
    <s v="NO TIENE L3OUT"/>
    <n v="126"/>
    <n v="96"/>
  </r>
  <r>
    <n v="403"/>
    <x v="1"/>
    <x v="254"/>
    <s v="eth1/1"/>
    <x v="0"/>
    <x v="0"/>
    <x v="0"/>
    <s v="IXT_ARIESO4_LDR1"/>
    <x v="6"/>
    <b v="0"/>
    <s v="No está en VPC"/>
    <n v="403"/>
    <s v="INTPG_ACC_403_1.1"/>
    <s v="ISEL-1.1"/>
    <n v="1"/>
    <s v="NO TIENE L3OUT"/>
    <n v="150"/>
    <n v="96"/>
  </r>
  <r>
    <n v="125"/>
    <x v="0"/>
    <x v="255"/>
    <s v="eth1/1"/>
    <x v="0"/>
    <x v="1"/>
    <x v="1"/>
    <s v="OSSDD890 Rack1"/>
    <x v="6"/>
    <b v="0"/>
    <s v="No está en VPC"/>
    <n v="125"/>
    <s v="INTPG_ACC_125_1.1"/>
    <s v="ISEL-1.1"/>
    <n v="1"/>
    <s v="NO TIENE L3OUT"/>
    <n v="72"/>
    <n v="96"/>
  </r>
  <r>
    <n v="166"/>
    <x v="0"/>
    <x v="256"/>
    <s v="eth1/1"/>
    <x v="0"/>
    <x v="1"/>
    <x v="1"/>
    <s v="ANTES_PTO_1.6_NOMINA"/>
    <x v="6"/>
    <b v="0"/>
    <s v="No está en VPC"/>
    <n v="166"/>
    <s v="INTPG_ACC_166_1.1"/>
    <s v="ISEL-1.1"/>
    <n v="0"/>
    <s v="NO TIENE L3OUT"/>
    <n v="84"/>
    <n v="96"/>
  </r>
  <r>
    <n v="111"/>
    <x v="0"/>
    <x v="257"/>
    <s v="eth1/1"/>
    <x v="0"/>
    <x v="0"/>
    <x v="0"/>
    <s v="OCUDR_1"/>
    <x v="6"/>
    <b v="0"/>
    <s v="No está en VPC"/>
    <n v="111"/>
    <s v="INTPG_ACC_111_1.1"/>
    <s v="ISEL-1.1"/>
    <n v="1"/>
    <s v="NO TIENE L3OUT"/>
    <n v="58"/>
    <n v="96"/>
  </r>
  <r>
    <n v="115"/>
    <x v="0"/>
    <x v="258"/>
    <s v="eth1/1"/>
    <x v="0"/>
    <x v="0"/>
    <x v="0"/>
    <s v="ASAP"/>
    <x v="6"/>
    <b v="0"/>
    <s v="No está en VPC"/>
    <n v="115"/>
    <s v="INTPG_ACC_115_1.1"/>
    <s v="ISEL-1.1"/>
    <n v="1"/>
    <s v="NO TIENE L3OUT"/>
    <n v="42"/>
    <n v="96"/>
  </r>
  <r>
    <n v="106"/>
    <x v="0"/>
    <x v="259"/>
    <s v="eth1/1"/>
    <x v="0"/>
    <x v="0"/>
    <x v="0"/>
    <m/>
    <x v="6"/>
    <b v="0"/>
    <s v="No está en VPC"/>
    <n v="106"/>
    <s v="INTPG_ACC_106_1.1"/>
    <s v="ISEL-1.1"/>
    <n v="1"/>
    <s v="NO TIENE L3OUT"/>
    <n v="122"/>
    <n v="96"/>
  </r>
  <r>
    <n v="126"/>
    <x v="0"/>
    <x v="260"/>
    <s v="eth1/1"/>
    <x v="0"/>
    <x v="0"/>
    <x v="0"/>
    <s v="HUB_SMS_SVA"/>
    <x v="6"/>
    <b v="0"/>
    <s v="No está en VPC"/>
    <n v="126"/>
    <s v="INTPG_VPC_126_1.1-2_173_1.1-2"/>
    <s v="ISEL-1.1"/>
    <n v="3"/>
    <s v="NO TIENE L3OUT"/>
    <n v="54"/>
    <n v="96"/>
  </r>
  <r>
    <n v="425"/>
    <x v="1"/>
    <x v="261"/>
    <s v="eth1/1"/>
    <x v="0"/>
    <x v="0"/>
    <x v="0"/>
    <s v="VTA_uxvta081_Net3"/>
    <x v="6"/>
    <b v="0"/>
    <s v="No está en VPC"/>
    <n v="425"/>
    <s v="INTPG_ACC_425_1.1"/>
    <s v="ISEL-1.1"/>
    <n v="1"/>
    <s v="NO TIENE L3OUT"/>
    <n v="86"/>
    <n v="96"/>
  </r>
  <r>
    <n v="151"/>
    <x v="0"/>
    <x v="262"/>
    <s v="eth1/1"/>
    <x v="0"/>
    <x v="0"/>
    <x v="0"/>
    <s v="Gesti\u00f3n de los sistemas electromec\u00e1nicos de Ixtlahuaca"/>
    <x v="6"/>
    <b v="0"/>
    <s v="No está en VPC"/>
    <n v="151"/>
    <s v="INTPG_ACC_151_1.1"/>
    <s v="ISEL-1.1"/>
    <n v="1"/>
    <s v="NO TIENE L3OUT"/>
    <n v="86"/>
    <n v="96"/>
  </r>
  <r>
    <n v="430"/>
    <x v="1"/>
    <x v="263"/>
    <s v="eth1/1"/>
    <x v="0"/>
    <x v="0"/>
    <x v="0"/>
    <s v="DOC1_1"/>
    <x v="6"/>
    <b v="0"/>
    <s v="No está en VPC"/>
    <n v="430"/>
    <s v="INTPG_VPC_428_1.1_430_1.1"/>
    <s v="ISEL-1.1"/>
    <n v="1"/>
    <s v="NO TIENE L3OUT"/>
    <n v="86"/>
    <n v="96"/>
  </r>
  <r>
    <n v="419"/>
    <x v="1"/>
    <x v="264"/>
    <s v="eth1/1"/>
    <x v="0"/>
    <x v="0"/>
    <x v="0"/>
    <s v="Prime-UCS-CLU2-A_client_LAG1_CISCOPRIME"/>
    <x v="6"/>
    <b v="0"/>
    <s v="No está en VPC"/>
    <n v="419"/>
    <s v="INTPG_VPC_419_1.1_421_1.1"/>
    <s v="ISEL-1.1"/>
    <n v="3"/>
    <s v="NO TIENE L3OUT"/>
    <n v="70"/>
    <n v="96"/>
  </r>
  <r>
    <n v="155"/>
    <x v="0"/>
    <x v="265"/>
    <s v="eth1/1"/>
    <x v="0"/>
    <x v="0"/>
    <x v="0"/>
    <s v="UXINGE"/>
    <x v="6"/>
    <b v="0"/>
    <s v="No está en VPC"/>
    <n v="155"/>
    <s v="INTPG_ACC_155_1.1"/>
    <s v="ISEL-1.1"/>
    <n v="1"/>
    <s v="NO TIENE L3OUT"/>
    <n v="198"/>
    <n v="96"/>
  </r>
  <r>
    <n v="409"/>
    <x v="1"/>
    <x v="266"/>
    <s v="eth1/1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1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1"/>
    <x v="0"/>
    <x v="0"/>
    <x v="0"/>
    <s v="uxdomaine"/>
    <x v="6"/>
    <b v="0"/>
    <s v="No está en VPC"/>
    <n v="436"/>
    <s v="INTPG_ACC_436_1.1"/>
    <s v="ISEL-1.1"/>
    <n v="1"/>
    <s v="NO TIENE L3OUT"/>
    <n v="172"/>
    <n v="96"/>
  </r>
  <r>
    <n v="410"/>
    <x v="1"/>
    <x v="269"/>
    <s v="eth1/1"/>
    <x v="0"/>
    <x v="0"/>
    <x v="0"/>
    <s v="9UCS-IXTLA-WEBEX-SERV3"/>
    <x v="6"/>
    <b v="0"/>
    <s v="No está en VPC"/>
    <n v="410"/>
    <s v="INTPG_ACC_410_1.1"/>
    <s v="ISEL-1.1"/>
    <n v="1"/>
    <s v="NO TIENE L3OUT"/>
    <n v="178"/>
    <n v="96"/>
  </r>
  <r>
    <n v="161"/>
    <x v="0"/>
    <x v="270"/>
    <s v="eth1/1"/>
    <x v="0"/>
    <x v="1"/>
    <x v="1"/>
    <s v="Storage"/>
    <x v="6"/>
    <b v="0"/>
    <s v="No está en VPC"/>
    <n v="161"/>
    <s v="INTPG_ACC_161_1.1"/>
    <s v="ISEL-1.1"/>
    <n v="1"/>
    <s v="NO TIENE L3OUT"/>
    <n v="102"/>
    <n v="96"/>
  </r>
  <r>
    <n v="411"/>
    <x v="1"/>
    <x v="271"/>
    <s v="eth1/1"/>
    <x v="0"/>
    <x v="0"/>
    <x v="0"/>
    <s v="ECOSS"/>
    <x v="6"/>
    <b v="0"/>
    <s v="No está en VPC"/>
    <n v="411"/>
    <s v="INTPG_VPC_411_1.1-2_413_1.1-2"/>
    <s v="ISEL-1.1"/>
    <n v="6"/>
    <s v="NO TIENE L3OUT"/>
    <n v="96"/>
    <n v="96"/>
  </r>
  <r>
    <n v="116"/>
    <x v="0"/>
    <x v="272"/>
    <s v="eth1/1"/>
    <x v="1"/>
    <x v="1"/>
    <x v="2"/>
    <s v="UXWEPD38"/>
    <x v="6"/>
    <b v="0"/>
    <s v="No está en VPC"/>
    <n v="116"/>
    <s v="INTPG_ACC_116_1.1"/>
    <s v="ISEL-1.1"/>
    <n v="0"/>
    <s v="NO TIENE L3OUT"/>
    <n v="148"/>
    <n v="96"/>
  </r>
  <r>
    <n v="412"/>
    <x v="1"/>
    <x v="273"/>
    <s v="eth1/1"/>
    <x v="0"/>
    <x v="0"/>
    <x v="0"/>
    <s v="uxhdr01b_ilo"/>
    <x v="6"/>
    <b v="0"/>
    <s v="No está en VPC"/>
    <n v="412"/>
    <s v="INTPG_ACC_412_1.1"/>
    <s v="ISEL-1.1"/>
    <n v="1"/>
    <s v="NO TIENE L3OUT"/>
    <n v="126"/>
    <n v="96"/>
  </r>
  <r>
    <n v="120"/>
    <x v="0"/>
    <x v="274"/>
    <s v="eth1/1"/>
    <x v="0"/>
    <x v="0"/>
    <x v="0"/>
    <s v="RACK1-NZTF24"/>
    <x v="6"/>
    <b v="0"/>
    <s v="No está en VPC"/>
    <n v="120"/>
    <s v="INTPG_ACC_120_1.1"/>
    <s v="ISEL-1.1"/>
    <n v="1"/>
    <s v="NO TIENE L3OUT"/>
    <n v="158"/>
    <n v="96"/>
  </r>
  <r>
    <n v="404"/>
    <x v="1"/>
    <x v="275"/>
    <s v="eth1/1"/>
    <x v="1"/>
    <x v="1"/>
    <x v="2"/>
    <s v="Lag1_SMT"/>
    <x v="6"/>
    <b v="0"/>
    <s v="No está en VPC"/>
    <n v="404"/>
    <s v="INTPG_PC_404_1.1-2"/>
    <s v="ISEL-1.1"/>
    <n v="1"/>
    <s v="NO TIENE L3OUT"/>
    <n v="92"/>
    <n v="96"/>
  </r>
  <r>
    <n v="167"/>
    <x v="0"/>
    <x v="276"/>
    <s v="eth1/1"/>
    <x v="0"/>
    <x v="0"/>
    <x v="0"/>
    <s v="RBT"/>
    <x v="6"/>
    <b v="0"/>
    <s v="No está en VPC"/>
    <n v="167"/>
    <s v="INTPG_VPC_167_1.1_33_169_1.3_24"/>
    <s v="ISEL-1.1"/>
    <n v="3"/>
    <s v="NO TIENE L3OUT"/>
    <n v="68"/>
    <n v="96"/>
  </r>
  <r>
    <n v="428"/>
    <x v="1"/>
    <x v="277"/>
    <s v="eth1/1"/>
    <x v="0"/>
    <x v="0"/>
    <x v="0"/>
    <s v="DOC1_1"/>
    <x v="6"/>
    <b v="0"/>
    <s v="No está en VPC"/>
    <n v="428"/>
    <s v="INTPG_VPC_428_1.1_430_1.1"/>
    <s v="ISEL-1.1"/>
    <n v="1"/>
    <s v="NO TIENE L3OUT"/>
    <n v="102"/>
    <n v="96"/>
  </r>
  <r>
    <n v="903"/>
    <x v="2"/>
    <x v="278"/>
    <s v="eth1/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10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10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10"/>
    <x v="0"/>
    <x v="0"/>
    <x v="0"/>
    <s v="ETLI-SACI"/>
    <x v="1"/>
    <b v="0"/>
    <s v="No está en VPC"/>
    <n v="152"/>
    <s v="INTPG_ACC_152_1.10"/>
    <s v="ISEL-1.10"/>
    <n v="1"/>
    <s v="NO TIENE L3OUT"/>
    <n v="38"/>
    <n v="54"/>
  </r>
  <r>
    <n v="101"/>
    <x v="0"/>
    <x v="3"/>
    <s v="eth1/10"/>
    <x v="0"/>
    <x v="0"/>
    <x v="0"/>
    <s v="DESC"/>
    <x v="0"/>
    <b v="0"/>
    <s v="No está en VPC"/>
    <n v="101"/>
    <s v="INTPG_PC_101_1.9-10"/>
    <s v="ISEL-1.10"/>
    <n v="1"/>
    <s v="NO TIENE L3OUT"/>
    <n v="114"/>
    <n v="54"/>
  </r>
  <r>
    <n v="160"/>
    <x v="0"/>
    <x v="4"/>
    <s v="eth1/10"/>
    <x v="1"/>
    <x v="1"/>
    <x v="2"/>
    <m/>
    <x v="1"/>
    <b v="0"/>
    <s v="No está en VPC"/>
    <n v="160"/>
    <s v="INTPG_ACC_160_1.10"/>
    <s v="ISEL-1.10"/>
    <n v="0"/>
    <s v="NO TIENE L3OUT"/>
    <n v="68"/>
    <n v="54"/>
  </r>
  <r>
    <n v="121"/>
    <x v="0"/>
    <x v="5"/>
    <s v="eth1/10"/>
    <x v="0"/>
    <x v="0"/>
    <x v="0"/>
    <m/>
    <x v="1"/>
    <b v="0"/>
    <s v="No está en VPC"/>
    <n v="121"/>
    <s v="INTPG_ACC_121_1.10"/>
    <s v="ISEL-1.10"/>
    <n v="0"/>
    <s v="NO TIENE L3OUT"/>
    <n v="14"/>
    <n v="54"/>
  </r>
  <r>
    <n v="129"/>
    <x v="0"/>
    <x v="6"/>
    <s v="eth1/10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10"/>
    <x v="0"/>
    <x v="0"/>
    <x v="0"/>
    <s v="ithbda2a_pto0_PRINCIPAL"/>
    <x v="0"/>
    <b v="0"/>
    <s v="No está en VPC"/>
    <n v="401"/>
    <s v="INTPG_ACC_401_1.10"/>
    <s v="ISEL-1.10"/>
    <n v="1"/>
    <s v="NO TIENE L3OUT"/>
    <n v="40"/>
    <n v="54"/>
  </r>
  <r>
    <n v="402"/>
    <x v="1"/>
    <x v="8"/>
    <s v="eth1/10"/>
    <x v="0"/>
    <x v="0"/>
    <x v="0"/>
    <s v="ithbda2b_pto0_SECUNDARIO"/>
    <x v="0"/>
    <b v="0"/>
    <s v="No está en VPC"/>
    <n v="402"/>
    <s v="INTPG_ACC_402_1.10"/>
    <s v="ISEL-1.10"/>
    <n v="1"/>
    <s v="NO TIENE L3OUT"/>
    <n v="36"/>
    <n v="54"/>
  </r>
  <r>
    <n v="447"/>
    <x v="1"/>
    <x v="9"/>
    <s v="eth1/10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10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10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10"/>
    <x v="0"/>
    <x v="0"/>
    <x v="0"/>
    <s v="DESC"/>
    <x v="0"/>
    <b v="0"/>
    <s v="No está en VPC"/>
    <n v="150"/>
    <s v="INTPG_PC_150_1.9-10"/>
    <s v="ISEL-1.10"/>
    <n v="1"/>
    <s v="NO TIENE L3OUT"/>
    <n v="118"/>
    <n v="54"/>
  </r>
  <r>
    <n v="131"/>
    <x v="0"/>
    <x v="13"/>
    <s v="eth1/10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10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10"/>
    <x v="0"/>
    <x v="0"/>
    <x v="0"/>
    <s v="vTMIP-LAG02"/>
    <x v="2"/>
    <b v="0"/>
    <s v="No está en VPC"/>
    <n v="758"/>
    <s v="INTPG_VPC_758_1.10_759_1.10"/>
    <s v="ISEL-1.10"/>
    <n v="9"/>
    <s v="NO TIENE L3OUT"/>
    <n v="0"/>
    <n v="42"/>
  </r>
  <r>
    <n v="759"/>
    <x v="2"/>
    <x v="16"/>
    <s v="eth1/10"/>
    <x v="0"/>
    <x v="0"/>
    <x v="0"/>
    <s v="vTMIP-LAG02"/>
    <x v="2"/>
    <b v="0"/>
    <s v="No está en VPC"/>
    <n v="759"/>
    <s v="INTPG_VPC_758_1.10_759_1.10"/>
    <s v="ISEL-1.10"/>
    <n v="9"/>
    <s v="NO TIENE L3OUT"/>
    <n v="0"/>
    <n v="42"/>
  </r>
  <r>
    <n v="302"/>
    <x v="0"/>
    <x v="17"/>
    <s v="eth1/10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10"/>
    <x v="0"/>
    <x v="0"/>
    <x v="0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10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10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10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10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10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10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10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10"/>
    <x v="0"/>
    <x v="1"/>
    <x v="3"/>
    <s v="VBLOCK2"/>
    <x v="0"/>
    <b v="0"/>
    <s v="No está en VPC"/>
    <n v="431"/>
    <s v="INTPG_VPC_431_1.9-10_448_1.9-10"/>
    <s v="ISEL-1.10"/>
    <n v="10"/>
    <s v="NO TIENE L3OUT"/>
    <n v="46"/>
    <n v="54"/>
  </r>
  <r>
    <n v="433"/>
    <x v="1"/>
    <x v="27"/>
    <s v="eth1/10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10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10"/>
    <x v="0"/>
    <x v="0"/>
    <x v="0"/>
    <s v="SSO"/>
    <x v="1"/>
    <b v="0"/>
    <s v="No está en VPC"/>
    <n v="432"/>
    <s v="INTPG_ACC_432_1.10"/>
    <s v="ISEL-1.10"/>
    <n v="1"/>
    <s v="NO TIENE L3OUT"/>
    <n v="54"/>
    <n v="54"/>
  </r>
  <r>
    <n v="442"/>
    <x v="1"/>
    <x v="30"/>
    <s v="eth1/10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10"/>
    <x v="0"/>
    <x v="0"/>
    <x v="0"/>
    <s v="TO-sfovhd02-NET 1"/>
    <x v="1"/>
    <b v="0"/>
    <s v="No está en VPC"/>
    <n v="434"/>
    <s v="INTPG_ACC_434_1.10"/>
    <s v="ISEL-1.10"/>
    <n v="1"/>
    <s v="NO TIENE L3OUT"/>
    <n v="34"/>
    <n v="54"/>
  </r>
  <r>
    <n v="707"/>
    <x v="2"/>
    <x v="32"/>
    <s v="eth1/10"/>
    <x v="0"/>
    <x v="1"/>
    <x v="3"/>
    <s v="CEM:ITHCEMG2DAT05:LOM P3"/>
    <x v="0"/>
    <b v="0"/>
    <s v="No está en VPC"/>
    <n v="707"/>
    <s v="INTPG_ACC_707_1.10"/>
    <s v="ISEL-1.10"/>
    <n v="1"/>
    <s v="NO TIENE L3OUT"/>
    <n v="54"/>
    <n v="54"/>
  </r>
  <r>
    <n v="712"/>
    <x v="2"/>
    <x v="33"/>
    <s v="eth1/10"/>
    <x v="0"/>
    <x v="0"/>
    <x v="0"/>
    <s v="CEM:ITHCEMA2DAT05:LOM  P2"/>
    <x v="0"/>
    <b v="0"/>
    <s v="No está en VPC"/>
    <n v="712"/>
    <s v="INTPG_ACC_712_1.10"/>
    <s v="ISEL-1.10"/>
    <n v="1"/>
    <s v="NO TIENE L3OUT"/>
    <n v="32"/>
    <n v="54"/>
  </r>
  <r>
    <n v="719"/>
    <x v="2"/>
    <x v="34"/>
    <s v="eth1/10"/>
    <x v="0"/>
    <x v="1"/>
    <x v="1"/>
    <m/>
    <x v="0"/>
    <b v="0"/>
    <s v="No está en VPC"/>
    <n v="719"/>
    <s v="INTPG-VPC_MGN01_720_1.9_719_1.10"/>
    <s v="ISEL-1.10"/>
    <n v="1"/>
    <s v="NO TIENE L3OUT"/>
    <n v="0"/>
    <n v="54"/>
  </r>
  <r>
    <n v="715"/>
    <x v="2"/>
    <x v="35"/>
    <s v="eth1/10"/>
    <x v="0"/>
    <x v="0"/>
    <x v="0"/>
    <m/>
    <x v="0"/>
    <b v="0"/>
    <s v="No está en VPC"/>
    <n v="715"/>
    <s v="INTPG-VPC_HDD35_716_1.9_715_1.10"/>
    <s v="ISEL-1.10"/>
    <n v="1"/>
    <s v="NO TIENE L3OUT"/>
    <n v="0"/>
    <n v="54"/>
  </r>
  <r>
    <n v="427"/>
    <x v="1"/>
    <x v="36"/>
    <s v="eth1/10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10"/>
    <x v="0"/>
    <x v="1"/>
    <x v="5"/>
    <s v="CEM:ITHCEMD2DAT05:LOM  P2"/>
    <x v="0"/>
    <b v="0"/>
    <s v="No está en VPC"/>
    <n v="711"/>
    <s v="INTPG_VPC_710_1.9_711_1.10"/>
    <s v="ISEL-1.10"/>
    <n v="1"/>
    <s v="NO TIENE L3OUT"/>
    <n v="16"/>
    <n v="54"/>
  </r>
  <r>
    <n v="716"/>
    <x v="2"/>
    <x v="38"/>
    <s v="eth1/10"/>
    <x v="0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10"/>
    <x v="0"/>
    <x v="0"/>
    <x v="0"/>
    <m/>
    <x v="0"/>
    <b v="0"/>
    <s v="No está en VPC"/>
    <n v="702"/>
    <s v="INTPG_VPC_701_1.9_702_1.10"/>
    <s v="ISEL-1.10"/>
    <n v="1"/>
    <s v="NO TIENE L3OUT"/>
    <n v="0"/>
    <n v="54"/>
  </r>
  <r>
    <n v="435"/>
    <x v="1"/>
    <x v="40"/>
    <s v="eth1/10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10"/>
    <x v="0"/>
    <x v="0"/>
    <x v="0"/>
    <s v="TO-ITHFHPNBURBKP07"/>
    <x v="0"/>
    <b v="0"/>
    <s v="No está en VPC"/>
    <n v="446"/>
    <s v="INTPG_VPC_444_1.9_446_1.10"/>
    <s v="ISEL-1.10"/>
    <n v="1"/>
    <s v="NO TIENE L3OUT"/>
    <n v="198"/>
    <n v="54"/>
  </r>
  <r>
    <n v="444"/>
    <x v="1"/>
    <x v="42"/>
    <s v="eth1/10"/>
    <x v="0"/>
    <x v="0"/>
    <x v="0"/>
    <m/>
    <x v="0"/>
    <b v="0"/>
    <s v="No está en VPC"/>
    <n v="444"/>
    <s v="INTPG_ACC_444_1.10"/>
    <s v="ISEL-1.10"/>
    <n v="9"/>
    <s v="NO TIENE L3OUT"/>
    <n v="234"/>
    <n v="54"/>
  </r>
  <r>
    <n v="701"/>
    <x v="2"/>
    <x v="43"/>
    <s v="eth1/10"/>
    <x v="0"/>
    <x v="0"/>
    <x v="0"/>
    <m/>
    <x v="0"/>
    <b v="0"/>
    <s v="No está en VPC"/>
    <n v="701"/>
    <s v="INTPG_VPC_702_1.9_701_1.10"/>
    <s v="ISEL-1.10"/>
    <n v="1"/>
    <s v="NO TIENE L3OUT"/>
    <n v="0"/>
    <n v="54"/>
  </r>
  <r>
    <n v="440"/>
    <x v="1"/>
    <x v="44"/>
    <s v="eth1/10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10"/>
    <x v="0"/>
    <x v="1"/>
    <x v="3"/>
    <s v="VBLOCK2"/>
    <x v="0"/>
    <b v="0"/>
    <s v="No está en VPC"/>
    <n v="448"/>
    <s v="INTPG_VPC_431_1.9-10_448_1.9-10"/>
    <s v="ISEL-1.10"/>
    <n v="10"/>
    <s v="NO TIENE L3OUT"/>
    <n v="46"/>
    <n v="54"/>
  </r>
  <r>
    <n v="704"/>
    <x v="2"/>
    <x v="46"/>
    <s v="eth1/10"/>
    <x v="0"/>
    <x v="0"/>
    <x v="0"/>
    <m/>
    <x v="0"/>
    <b v="0"/>
    <s v="No está en VPC"/>
    <n v="704"/>
    <s v="INTPG_VPC_703_1.9_704_1.10"/>
    <s v="ISEL-1.10"/>
    <n v="1"/>
    <s v="NO TIENE L3OUT"/>
    <n v="0"/>
    <n v="54"/>
  </r>
  <r>
    <n v="729"/>
    <x v="2"/>
    <x v="47"/>
    <s v="eth1/10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10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10"/>
    <x v="0"/>
    <x v="0"/>
    <x v="0"/>
    <s v="HACIA_MGMT-OSCP-F4-06_SECUNDARIO"/>
    <x v="4"/>
    <b v="0"/>
    <s v="No está en VPC"/>
    <n v="456"/>
    <s v="INTPG_VPC_454_1.10_456_1.10"/>
    <s v="ISEL-1.10"/>
    <n v="1"/>
    <s v="NO TIENE L3OUT"/>
    <n v="4"/>
    <n v="54"/>
  </r>
  <r>
    <n v="603"/>
    <x v="1"/>
    <x v="50"/>
    <s v="eth1/10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10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10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10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10"/>
    <x v="0"/>
    <x v="0"/>
    <x v="0"/>
    <m/>
    <x v="0"/>
    <b v="0"/>
    <s v="No está en VPC"/>
    <n v="722"/>
    <s v="INTPG-VPC_HDD116_723_1.9_722_1.10"/>
    <s v="ISEL-1.10"/>
    <n v="1"/>
    <s v="NO TIENE L3OUT"/>
    <n v="0"/>
    <n v="54"/>
  </r>
  <r>
    <n v="733"/>
    <x v="2"/>
    <x v="55"/>
    <s v="eth1/10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10"/>
    <x v="0"/>
    <x v="0"/>
    <x v="0"/>
    <s v="OSS F1:ithenmr08bl02nas2r9a:PORT 2"/>
    <x v="0"/>
    <b v="0"/>
    <s v="No está en VPC"/>
    <n v="755"/>
    <s v="INTPG_PC_755_1.9-12"/>
    <s v="ISEL-1.10"/>
    <n v="1"/>
    <s v="NO TIENE L3OUT"/>
    <n v="52"/>
    <n v="54"/>
  </r>
  <r>
    <n v="748"/>
    <x v="2"/>
    <x v="57"/>
    <s v="eth1/10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10"/>
    <x v="0"/>
    <x v="0"/>
    <x v="0"/>
    <s v="OSS F1:ithenmr08bl04ombsr9a:PORT 2"/>
    <x v="0"/>
    <b v="0"/>
    <s v="No está en VPC"/>
    <n v="756"/>
    <s v="INTPG_PC_756_1.9-12"/>
    <s v="ISEL-1.10"/>
    <n v="2"/>
    <s v="NO TIENE L3OUT"/>
    <n v="64"/>
    <n v="54"/>
  </r>
  <r>
    <n v="754"/>
    <x v="2"/>
    <x v="59"/>
    <s v="eth1/10"/>
    <x v="0"/>
    <x v="0"/>
    <x v="0"/>
    <s v="OSS F1:ithenmr04e2r9b:Bay1/X2"/>
    <x v="0"/>
    <b v="0"/>
    <s v="No está en VPC"/>
    <n v="754"/>
    <s v="INTPG_PC_754_1.9-10"/>
    <s v="ISEL-1.10"/>
    <n v="8"/>
    <s v="NO TIENE L3OUT"/>
    <n v="62"/>
    <n v="54"/>
  </r>
  <r>
    <n v="751"/>
    <x v="2"/>
    <x v="60"/>
    <s v="eth1/10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10"/>
    <x v="0"/>
    <x v="0"/>
    <x v="0"/>
    <s v="Portchannel_2_R4A"/>
    <x v="0"/>
    <b v="0"/>
    <s v="No está en VPC"/>
    <n v="769"/>
    <s v="INTPG_PC_769_1.9-10"/>
    <s v="ISEL-1.10"/>
    <n v="8"/>
    <s v="NO TIENE L3OUT"/>
    <n v="60"/>
    <n v="54"/>
  </r>
  <r>
    <n v="742"/>
    <x v="2"/>
    <x v="62"/>
    <s v="eth1/10"/>
    <x v="0"/>
    <x v="1"/>
    <x v="1"/>
    <s v="CEM:ITHCEMB2DAT05:FLEXIO P1"/>
    <x v="5"/>
    <b v="0"/>
    <s v="No está en VPC"/>
    <n v="742"/>
    <s v="INTPG_ACC_742_1.10"/>
    <s v="ISEL-1.10"/>
    <n v="1"/>
    <s v="NO TIENE L3OUT"/>
    <n v="64"/>
    <n v="54"/>
  </r>
  <r>
    <n v="763"/>
    <x v="2"/>
    <x v="63"/>
    <s v="eth1/10"/>
    <x v="0"/>
    <x v="0"/>
    <x v="0"/>
    <s v="PAAS:ithhwoscopap010:LOM PORT 3"/>
    <x v="0"/>
    <b v="0"/>
    <s v="No está en VPC"/>
    <n v="763"/>
    <s v="INTPG_VPC_762_1.10_763_1.10"/>
    <s v="ISEL-1.10"/>
    <n v="15"/>
    <s v="NO TIENE L3OUT"/>
    <n v="2"/>
    <n v="54"/>
  </r>
  <r>
    <n v="766"/>
    <x v="2"/>
    <x v="64"/>
    <s v="eth1/10"/>
    <x v="0"/>
    <x v="0"/>
    <x v="0"/>
    <s v="Portchannel_7_R6A"/>
    <x v="0"/>
    <b v="0"/>
    <s v="No está en VPC"/>
    <n v="766"/>
    <s v="INTPG_PC_766_1.9-12"/>
    <s v="ISEL-1.10"/>
    <n v="1"/>
    <s v="NO TIENE L3OUT"/>
    <n v="58"/>
    <n v="54"/>
  </r>
  <r>
    <n v="760"/>
    <x v="2"/>
    <x v="65"/>
    <s v="eth1/10"/>
    <x v="0"/>
    <x v="1"/>
    <x v="1"/>
    <m/>
    <x v="0"/>
    <b v="0"/>
    <s v="No está en VPC"/>
    <n v="760"/>
    <s v="INTPG_VPC_760_1.9-12_761_1.9-12"/>
    <s v="ISEL-1.10"/>
    <n v="0"/>
    <s v="L3OUT-EXACLOUD"/>
    <n v="0"/>
    <n v="54"/>
  </r>
  <r>
    <n v="752"/>
    <x v="2"/>
    <x v="66"/>
    <s v="eth1/10"/>
    <x v="0"/>
    <x v="0"/>
    <x v="0"/>
    <s v="PAAS:ithhwosstpap001:Slot6.1"/>
    <x v="0"/>
    <b v="0"/>
    <s v="No está en VPC"/>
    <n v="752"/>
    <s v="INTPG_VPC_747_1.10_752_1.10"/>
    <s v="ISEL-1.10"/>
    <n v="25"/>
    <s v="NO TIENE L3OUT"/>
    <n v="0"/>
    <n v="54"/>
  </r>
  <r>
    <n v="765"/>
    <x v="2"/>
    <x v="67"/>
    <s v="eth1/10"/>
    <x v="0"/>
    <x v="0"/>
    <x v="0"/>
    <s v="Portchannel_1_R6A"/>
    <x v="0"/>
    <b v="0"/>
    <s v="No está en VPC"/>
    <n v="765"/>
    <s v="INTPG_PC_765_1.7-10"/>
    <s v="ISEL-1.10"/>
    <n v="2"/>
    <s v="NO TIENE L3OUT"/>
    <n v="60"/>
    <n v="54"/>
  </r>
  <r>
    <n v="778"/>
    <x v="2"/>
    <x v="68"/>
    <s v="eth1/10"/>
    <x v="0"/>
    <x v="0"/>
    <x v="0"/>
    <s v="ENIQ F1:itheniqr07ombsr2:Slot 2/1"/>
    <x v="0"/>
    <b v="0"/>
    <s v="No está en VPC"/>
    <n v="778"/>
    <s v="INTPG_PC_778_1.7-10"/>
    <s v="ISEL-1.10"/>
    <n v="2"/>
    <s v="NO TIENE L3OUT"/>
    <n v="26"/>
    <n v="54"/>
  </r>
  <r>
    <n v="780"/>
    <x v="2"/>
    <x v="69"/>
    <s v="eth1/10"/>
    <x v="0"/>
    <x v="0"/>
    <x v="0"/>
    <s v="LACP_OMBS_ENIQ1"/>
    <x v="0"/>
    <b v="0"/>
    <s v="No está en VPC"/>
    <n v="780"/>
    <s v="INTPG_PC_780_1.7-10"/>
    <s v="ISEL-1.10"/>
    <n v="2"/>
    <s v="NO TIENE L3OUT"/>
    <n v="26"/>
    <n v="54"/>
  </r>
  <r>
    <n v="812"/>
    <x v="2"/>
    <x v="70"/>
    <s v="eth1/10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10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10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10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10"/>
    <x v="0"/>
    <x v="0"/>
    <x v="0"/>
    <s v="LINK_TO_ITHFHWCMVWPMA08 /Slot6.2 /Redundante"/>
    <x v="0"/>
    <b v="0"/>
    <s v="No está en VPC"/>
    <n v="824"/>
    <s v="INTPG_ACC_824_1.10"/>
    <s v="ISEL-1.10"/>
    <n v="1"/>
    <s v="NO TIENE L3OUT"/>
    <n v="70"/>
    <n v="54"/>
  </r>
  <r>
    <n v="819"/>
    <x v="2"/>
    <x v="75"/>
    <s v="eth1/10"/>
    <x v="0"/>
    <x v="0"/>
    <x v="0"/>
    <s v="LINK_TO_ITHFHWCMVWPMA08 /Slot4.2 /Principal"/>
    <x v="0"/>
    <b v="0"/>
    <s v="No está en VPC"/>
    <n v="819"/>
    <s v="INTPG_ACC_819_1.10"/>
    <s v="ISEL-1.10"/>
    <n v="1"/>
    <s v="NO TIENE L3OUT"/>
    <n v="70"/>
    <n v="54"/>
  </r>
  <r>
    <n v="737"/>
    <x v="2"/>
    <x v="76"/>
    <s v="eth1/10"/>
    <x v="0"/>
    <x v="0"/>
    <x v="0"/>
    <s v="CEM:ITHCEME2DAT05:FLEXIO P1"/>
    <x v="5"/>
    <b v="0"/>
    <s v="No está en VPC"/>
    <n v="737"/>
    <s v="INTPG_ACC_737_1.10"/>
    <s v="ISEL-1.10"/>
    <n v="1"/>
    <s v="NO TIENE L3OUT"/>
    <n v="72"/>
    <n v="54"/>
  </r>
  <r>
    <n v="844"/>
    <x v="2"/>
    <x v="77"/>
    <s v="eth1/10"/>
    <x v="0"/>
    <x v="0"/>
    <x v="0"/>
    <s v="LINK_TO_ITHFHWCRMPLCN104 / Slot1.1_12 / Principal"/>
    <x v="0"/>
    <b v="0"/>
    <s v="No está en VPC"/>
    <n v="844"/>
    <s v="INTPG_ACC_844_1.10"/>
    <s v="ISEL-1.10"/>
    <n v="6"/>
    <s v="NO TIENE L3OUT"/>
    <n v="282"/>
    <n v="54"/>
  </r>
  <r>
    <n v="843"/>
    <x v="2"/>
    <x v="78"/>
    <s v="eth1/10"/>
    <x v="0"/>
    <x v="0"/>
    <x v="0"/>
    <s v="LINK_To_ITHFHWCBSPSUSBD25 / Slot7.2_6 / Redundante"/>
    <x v="0"/>
    <b v="0"/>
    <s v="No está en VPC"/>
    <n v="843"/>
    <s v="INTPG_VPC_838_1.10_843_1.10"/>
    <s v="ISEL-1.10"/>
    <n v="1"/>
    <s v="NO TIENE L3OUT"/>
    <n v="38"/>
    <n v="54"/>
  </r>
  <r>
    <n v="797"/>
    <x v="2"/>
    <x v="79"/>
    <s v="eth1/10"/>
    <x v="0"/>
    <x v="0"/>
    <x v="0"/>
    <s v="TO-HDPS_12-MSP"/>
    <x v="0"/>
    <b v="0"/>
    <s v="No está en VPC"/>
    <n v="797"/>
    <s v="INTPG_ACC_797_1.10"/>
    <s v="ISEL-1.10"/>
    <n v="1"/>
    <s v="NO TIENE L3OUT"/>
    <n v="48"/>
    <n v="54"/>
  </r>
  <r>
    <n v="839"/>
    <x v="2"/>
    <x v="80"/>
    <s v="eth1/10"/>
    <x v="0"/>
    <x v="0"/>
    <x v="0"/>
    <s v="LINK_TO_ITHFHWCBSPSWR61 / Slot7.1_10 / Redundante"/>
    <x v="0"/>
    <b v="0"/>
    <s v="No está en VPC"/>
    <n v="839"/>
    <s v="INTPG_VPC_834_1.10_839_1.10"/>
    <s v="ISEL-1.10"/>
    <n v="2"/>
    <s v="NO TIENE L3OUT"/>
    <n v="0"/>
    <n v="54"/>
  </r>
  <r>
    <n v="847"/>
    <x v="2"/>
    <x v="81"/>
    <s v="eth1/10"/>
    <x v="0"/>
    <x v="0"/>
    <x v="0"/>
    <s v="LINK_TO_ITHHWD6KV65100018DKC01 / CTMB_IOM1.P0_34 / Principal"/>
    <x v="0"/>
    <b v="0"/>
    <s v="No está en VPC"/>
    <n v="847"/>
    <s v="INTPG_ACC_847_1.10"/>
    <s v="ISEL-1.10"/>
    <n v="1"/>
    <s v="NO TIENE L3OUT"/>
    <n v="204"/>
    <n v="54"/>
  </r>
  <r>
    <n v="848"/>
    <x v="2"/>
    <x v="82"/>
    <s v="eth1/10"/>
    <x v="0"/>
    <x v="0"/>
    <x v="0"/>
    <s v="LINK_TO_ITHFHWCRMPLCN157 / Slot7.3_16 / Redundante"/>
    <x v="0"/>
    <b v="0"/>
    <s v="No está en VPC"/>
    <n v="848"/>
    <s v="INTPG_ACC_848_1.10"/>
    <s v="ISEL-1.10"/>
    <n v="1"/>
    <s v="NO TIENE L3OUT"/>
    <n v="254"/>
    <n v="54"/>
  </r>
  <r>
    <n v="846"/>
    <x v="2"/>
    <x v="83"/>
    <s v="eth1/10"/>
    <x v="0"/>
    <x v="0"/>
    <x v="0"/>
    <s v="LINK_TO_ITHFHWCRMPLCN75 / Slot1.1_8 / Principal"/>
    <x v="0"/>
    <b v="0"/>
    <s v="No está en VPC"/>
    <n v="846"/>
    <s v="INTPG_ACC_846_1.10"/>
    <s v="ISEL-1.10"/>
    <n v="6"/>
    <s v="NO TIENE L3OUT"/>
    <n v="242"/>
    <n v="54"/>
  </r>
  <r>
    <n v="838"/>
    <x v="2"/>
    <x v="84"/>
    <s v="eth1/10"/>
    <x v="0"/>
    <x v="0"/>
    <x v="0"/>
    <s v="LINK_To_ITHFHWCBSPSUSBD25 / Slot1.2_6 / Principal"/>
    <x v="0"/>
    <b v="0"/>
    <s v="No está en VPC"/>
    <n v="838"/>
    <s v="INTPG_VPC_838_1.10_843_1.10"/>
    <s v="ISEL-1.10"/>
    <n v="1"/>
    <s v="NO TIENE L3OUT"/>
    <n v="38"/>
    <n v="54"/>
  </r>
  <r>
    <n v="849"/>
    <x v="2"/>
    <x v="85"/>
    <s v="eth1/10"/>
    <x v="0"/>
    <x v="0"/>
    <x v="0"/>
    <s v="LINK_TO_ITHFHWCRMPLCN137 / Slot7.3_8 / Redundante"/>
    <x v="0"/>
    <b v="0"/>
    <s v="No está en VPC"/>
    <n v="849"/>
    <s v="INTPG_ACC_849_1.10"/>
    <s v="ISEL-1.10"/>
    <n v="1"/>
    <s v="NO TIENE L3OUT"/>
    <n v="286"/>
    <n v="54"/>
  </r>
  <r>
    <n v="845"/>
    <x v="2"/>
    <x v="86"/>
    <s v="eth1/10"/>
    <x v="0"/>
    <x v="0"/>
    <x v="0"/>
    <s v="LINK_TO_ITHFHWCRMPLCN100 / Slot1.2_32 / Principal"/>
    <x v="0"/>
    <b v="0"/>
    <s v="No está en VPC"/>
    <n v="845"/>
    <s v="INTPG_ACC_845_1.10"/>
    <s v="ISEL-1.10"/>
    <n v="2"/>
    <s v="NO TIENE L3OUT"/>
    <n v="258"/>
    <n v="54"/>
  </r>
  <r>
    <n v="873"/>
    <x v="2"/>
    <x v="87"/>
    <s v="eth1/10"/>
    <x v="0"/>
    <x v="0"/>
    <x v="0"/>
    <s v="TO_ITHFHWCRMDLCN56_Principal"/>
    <x v="0"/>
    <b v="0"/>
    <s v="No está en VPC"/>
    <n v="873"/>
    <s v="INTPG_ACC_873_1.10"/>
    <s v="ISEL-1.10"/>
    <n v="2"/>
    <s v="NO TIENE L3OUT"/>
    <n v="248"/>
    <n v="54"/>
  </r>
  <r>
    <n v="864"/>
    <x v="2"/>
    <x v="88"/>
    <s v="eth1/10"/>
    <x v="0"/>
    <x v="0"/>
    <x v="0"/>
    <s v="To_VPC_2DCBSD_HD34_1"/>
    <x v="0"/>
    <b v="0"/>
    <s v="No está en VPC"/>
    <n v="864"/>
    <s v="INTPG_VPC_859_1.10_864_1.10"/>
    <s v="ISEL-1.10"/>
    <n v="2"/>
    <s v="NO TIENE L3OUT"/>
    <n v="0"/>
    <n v="54"/>
  </r>
  <r>
    <n v="836"/>
    <x v="2"/>
    <x v="89"/>
    <s v="eth1/10"/>
    <x v="0"/>
    <x v="0"/>
    <x v="0"/>
    <s v="LINK_TO_ITHFHWCBSPSUSBD37 / Slot1.3_10 / Principal"/>
    <x v="0"/>
    <b v="0"/>
    <s v="No está en VPC"/>
    <n v="836"/>
    <s v="INTPG_VPC_836_1.10_841_1.10"/>
    <s v="ISEL-1.10"/>
    <n v="1"/>
    <s v="NO TIENE L3OUT"/>
    <n v="0"/>
    <n v="54"/>
  </r>
  <r>
    <n v="834"/>
    <x v="2"/>
    <x v="90"/>
    <s v="eth1/10"/>
    <x v="0"/>
    <x v="0"/>
    <x v="0"/>
    <s v="LINK_TO_ITHFHWCBSPSWR61 / Slot1.1_10 / Principal"/>
    <x v="0"/>
    <b v="0"/>
    <s v="No está en VPC"/>
    <n v="834"/>
    <s v="INTPG_VPC_834_1.10_839_1.10"/>
    <s v="ISEL-1.10"/>
    <n v="2"/>
    <s v="NO TIENE L3OUT"/>
    <n v="0"/>
    <n v="54"/>
  </r>
  <r>
    <n v="872"/>
    <x v="2"/>
    <x v="91"/>
    <s v="eth1/10"/>
    <x v="0"/>
    <x v="0"/>
    <x v="0"/>
    <s v="To_ITHFHWCRMDLCN72_Principal"/>
    <x v="0"/>
    <b v="0"/>
    <s v="No está en VPC"/>
    <n v="872"/>
    <s v="INTPG_ACC_872_1.10"/>
    <s v="ISEL-1.10"/>
    <n v="2"/>
    <s v="NO TIENE L3OUT"/>
    <n v="288"/>
    <n v="54"/>
  </r>
  <r>
    <n v="842"/>
    <x v="2"/>
    <x v="92"/>
    <s v="eth1/10"/>
    <x v="0"/>
    <x v="0"/>
    <x v="0"/>
    <s v="LINK_TO_ITHFHWCBSPSUSBD26 / Slot7.3_6 / Redundante"/>
    <x v="0"/>
    <b v="0"/>
    <s v="No está en VPC"/>
    <n v="842"/>
    <s v="INTPG_VPC_837_1.10_842_1.10"/>
    <s v="ISEL-1.10"/>
    <n v="1"/>
    <s v="NO TIENE L3OUT"/>
    <n v="8"/>
    <n v="54"/>
  </r>
  <r>
    <n v="828"/>
    <x v="2"/>
    <x v="93"/>
    <s v="eth1/10"/>
    <x v="0"/>
    <x v="0"/>
    <x v="0"/>
    <s v="LINK_TO_ITHHWD6KV60014DKC01 /CtrlA_IOM0.P0 /Principal"/>
    <x v="0"/>
    <b v="0"/>
    <s v="No está en VPC"/>
    <n v="828"/>
    <s v="INTPG_ACC_828_1.10"/>
    <s v="ISEL-1.10"/>
    <n v="1"/>
    <s v="NO TIENE L3OUT"/>
    <n v="192"/>
    <n v="54"/>
  </r>
  <r>
    <n v="870"/>
    <x v="2"/>
    <x v="94"/>
    <s v="eth1/10"/>
    <x v="0"/>
    <x v="0"/>
    <x v="0"/>
    <s v="TO_ITHFHWCRMDLCN56_Redundante"/>
    <x v="0"/>
    <b v="0"/>
    <s v="No está en VPC"/>
    <n v="870"/>
    <s v="INTPG_ACC_870_1.10"/>
    <s v="ISEL-1.10"/>
    <n v="2"/>
    <s v="NO TIENE L3OUT"/>
    <n v="248"/>
    <n v="54"/>
  </r>
  <r>
    <n v="866"/>
    <x v="2"/>
    <x v="95"/>
    <s v="eth1/10"/>
    <x v="0"/>
    <x v="0"/>
    <x v="0"/>
    <s v="To_VPC_2DCBSD_HD19_3"/>
    <x v="0"/>
    <b v="0"/>
    <s v="No está en VPC"/>
    <n v="866"/>
    <s v="INTPG_VPC_861_1.10_866_1.10"/>
    <s v="ISEL-1.10"/>
    <n v="1"/>
    <s v="NO TIENE L3OUT"/>
    <n v="8"/>
    <n v="54"/>
  </r>
  <r>
    <n v="862"/>
    <x v="2"/>
    <x v="96"/>
    <s v="eth1/10"/>
    <x v="0"/>
    <x v="0"/>
    <x v="0"/>
    <s v="TO-ITHFSUEXG2XCN01_PCI8.P1"/>
    <x v="0"/>
    <b v="0"/>
    <s v="No está en VPC"/>
    <n v="862"/>
    <s v="INTPG_ACC_862_1.10"/>
    <s v="ISEL-1.10"/>
    <n v="2"/>
    <s v="NO TIENE L3OUT"/>
    <n v="44"/>
    <n v="54"/>
  </r>
  <r>
    <n v="855"/>
    <x v="2"/>
    <x v="97"/>
    <s v="eth1/10"/>
    <x v="0"/>
    <x v="0"/>
    <x v="0"/>
    <s v="LINK_TO_ITHFHWCRMPLCN157 / Slot1.3_16 / Principal"/>
    <x v="0"/>
    <b v="0"/>
    <s v="No está en VPC"/>
    <n v="855"/>
    <s v="INTPG_ACC_855_1.10"/>
    <s v="ISEL-1.10"/>
    <n v="1"/>
    <s v="NO TIENE L3OUT"/>
    <n v="254"/>
    <n v="54"/>
  </r>
  <r>
    <n v="871"/>
    <x v="2"/>
    <x v="98"/>
    <s v="eth1/10"/>
    <x v="0"/>
    <x v="0"/>
    <x v="0"/>
    <s v="TO_ITHFHWCRMDLCN84_Principal"/>
    <x v="0"/>
    <b v="0"/>
    <s v="No está en VPC"/>
    <n v="871"/>
    <s v="INTPG_ACC_871_1.10"/>
    <s v="ISEL-1.10"/>
    <n v="6"/>
    <s v="NO TIENE L3OUT"/>
    <n v="246"/>
    <n v="54"/>
  </r>
  <r>
    <n v="841"/>
    <x v="2"/>
    <x v="99"/>
    <s v="eth1/10"/>
    <x v="0"/>
    <x v="0"/>
    <x v="0"/>
    <s v="LINK_TO_ITHFHWCBSPSUSBD37 / Slot7.3_10 / Redundante"/>
    <x v="0"/>
    <b v="0"/>
    <s v="No está en VPC"/>
    <n v="841"/>
    <s v="INTPG_VPC_836_1.10_841_1.10"/>
    <s v="ISEL-1.10"/>
    <n v="1"/>
    <s v="NO TIENE L3OUT"/>
    <n v="0"/>
    <n v="54"/>
  </r>
  <r>
    <n v="868"/>
    <x v="2"/>
    <x v="100"/>
    <s v="eth1/10"/>
    <x v="0"/>
    <x v="0"/>
    <x v="0"/>
    <s v="TO_ITHFHWCRMDLCN84_Redundante"/>
    <x v="0"/>
    <b v="0"/>
    <s v="No está en VPC"/>
    <n v="868"/>
    <s v="INTPG_ACC_868_1.10"/>
    <s v="ISEL-1.10"/>
    <n v="6"/>
    <s v="NO TIENE L3OUT"/>
    <n v="246"/>
    <n v="54"/>
  </r>
  <r>
    <n v="869"/>
    <x v="2"/>
    <x v="101"/>
    <s v="eth1/10"/>
    <x v="0"/>
    <x v="0"/>
    <x v="0"/>
    <s v="To_ITHFHWCRMDLCN72_Redundante"/>
    <x v="0"/>
    <b v="0"/>
    <s v="No está en VPC"/>
    <n v="869"/>
    <s v="INTPG_ACC_869_1.10"/>
    <s v="ISEL-1.10"/>
    <n v="2"/>
    <s v="NO TIENE L3OUT"/>
    <n v="288"/>
    <n v="54"/>
  </r>
  <r>
    <n v="861"/>
    <x v="2"/>
    <x v="102"/>
    <s v="eth1/10"/>
    <x v="0"/>
    <x v="0"/>
    <x v="0"/>
    <s v="To_VPC_2DCBSD_HD19_3"/>
    <x v="0"/>
    <b v="0"/>
    <s v="No está en VPC"/>
    <n v="861"/>
    <s v="INTPG_VPC_861_1.10_866_1.10"/>
    <s v="ISEL-1.10"/>
    <n v="1"/>
    <s v="NO TIENE L3OUT"/>
    <n v="8"/>
    <n v="54"/>
  </r>
  <r>
    <n v="874"/>
    <x v="2"/>
    <x v="103"/>
    <s v="eth1/10"/>
    <x v="0"/>
    <x v="0"/>
    <x v="0"/>
    <s v="LINK_TO_ITHFHWSEQLCAS33 (GMR 1) / Slot 5 PTO 1 / Redundante"/>
    <x v="4"/>
    <b v="0"/>
    <s v="No está en VPC"/>
    <n v="874"/>
    <s v="INTPG_ACC_874_1.10"/>
    <s v="ISEL-1.10"/>
    <n v="1"/>
    <s v="NO TIENE L3OUT"/>
    <n v="92"/>
    <n v="54"/>
  </r>
  <r>
    <n v="865"/>
    <x v="2"/>
    <x v="104"/>
    <s v="eth1/10"/>
    <x v="0"/>
    <x v="0"/>
    <x v="0"/>
    <s v="To_VPC_2DCBSD_HD26_1"/>
    <x v="0"/>
    <b v="0"/>
    <s v="No está en VPC"/>
    <n v="865"/>
    <s v="INTPG_VPC_860_1.10_865_1.10"/>
    <s v="ISEL-1.10"/>
    <n v="2"/>
    <s v="NO TIENE L3OUT"/>
    <n v="0"/>
    <n v="54"/>
  </r>
  <r>
    <n v="753"/>
    <x v="2"/>
    <x v="105"/>
    <s v="eth1/10"/>
    <x v="0"/>
    <x v="1"/>
    <x v="1"/>
    <s v="OSS F1:ithenmr03bl04ombsr9c:PORT 2"/>
    <x v="0"/>
    <b v="0"/>
    <s v="No está en VPC"/>
    <n v="753"/>
    <s v="INTPG_PC_753_1.9-12"/>
    <s v="ISEL-1.10"/>
    <n v="2"/>
    <s v="NO TIENE L3OUT"/>
    <n v="62"/>
    <n v="54"/>
  </r>
  <r>
    <n v="708"/>
    <x v="2"/>
    <x v="106"/>
    <s v="eth1/10"/>
    <x v="0"/>
    <x v="1"/>
    <x v="5"/>
    <s v="CEM:ITHCEME2DAT05:LOM  P2"/>
    <x v="0"/>
    <b v="0"/>
    <s v="No está en VPC"/>
    <n v="708"/>
    <s v="INTPG_VPC_708_1.10_709_1.9"/>
    <s v="ISEL-1.10"/>
    <n v="1"/>
    <s v="NO TIENE L3OUT"/>
    <n v="0"/>
    <n v="54"/>
  </r>
  <r>
    <n v="710"/>
    <x v="2"/>
    <x v="107"/>
    <s v="eth1/10"/>
    <x v="0"/>
    <x v="0"/>
    <x v="0"/>
    <s v="CEM:ITHCEMC2DAT05:LOM  P2"/>
    <x v="0"/>
    <b v="0"/>
    <s v="No está en VPC"/>
    <n v="710"/>
    <s v="INTPG_ACC_710_1.10"/>
    <s v="ISEL-1.10"/>
    <n v="1"/>
    <s v="NO TIENE L3OUT"/>
    <n v="16"/>
    <n v="54"/>
  </r>
  <r>
    <n v="713"/>
    <x v="2"/>
    <x v="108"/>
    <s v="eth1/10"/>
    <x v="0"/>
    <x v="0"/>
    <x v="0"/>
    <s v="CEM:ITHCEMB2DAT05:LOM  P2"/>
    <x v="0"/>
    <b v="0"/>
    <s v="No está en VPC"/>
    <n v="713"/>
    <s v="INTPG_ACC_713_1.10"/>
    <s v="ISEL-1.10"/>
    <n v="1"/>
    <s v="NO TIENE L3OUT"/>
    <n v="32"/>
    <n v="54"/>
  </r>
  <r>
    <n v="735"/>
    <x v="2"/>
    <x v="109"/>
    <s v="eth1/10"/>
    <x v="0"/>
    <x v="1"/>
    <x v="1"/>
    <s v="CEM_HADOOP"/>
    <x v="5"/>
    <b v="0"/>
    <s v="No está en VPC"/>
    <n v="735"/>
    <s v="INTPG_ACC_735_1.10"/>
    <s v="ISEL-1.10"/>
    <n v="1"/>
    <s v="NO TIENE L3OUT"/>
    <n v="34"/>
    <n v="54"/>
  </r>
  <r>
    <n v="731"/>
    <x v="2"/>
    <x v="110"/>
    <s v="eth1/10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10"/>
    <x v="0"/>
    <x v="0"/>
    <x v="0"/>
    <m/>
    <x v="0"/>
    <b v="0"/>
    <s v="No está en VPC"/>
    <n v="703"/>
    <s v="INTPG_VPC_704_1.9_703_1.10"/>
    <s v="ISEL-1.10"/>
    <n v="1"/>
    <s v="NO TIENE L3OUT"/>
    <n v="2"/>
    <n v="54"/>
  </r>
  <r>
    <n v="706"/>
    <x v="2"/>
    <x v="112"/>
    <s v="eth1/10"/>
    <x v="0"/>
    <x v="0"/>
    <x v="0"/>
    <m/>
    <x v="0"/>
    <b v="0"/>
    <s v="No está en VPC"/>
    <n v="706"/>
    <s v="INTPG_VPC_705_1.9_706_1.10"/>
    <s v="ISEL-1.10"/>
    <n v="2"/>
    <s v="NO TIENE L3OUT"/>
    <n v="16"/>
    <n v="54"/>
  </r>
  <r>
    <n v="762"/>
    <x v="2"/>
    <x v="113"/>
    <s v="eth1/10"/>
    <x v="0"/>
    <x v="0"/>
    <x v="0"/>
    <s v="PAAS:ithhwoscopap010:FlexIO.1"/>
    <x v="0"/>
    <b v="0"/>
    <s v="No está en VPC"/>
    <n v="762"/>
    <s v="INTPG_VPC_762_1.10_763_1.10"/>
    <s v="ISEL-1.10"/>
    <n v="15"/>
    <s v="NO TIENE L3OUT"/>
    <n v="0"/>
    <n v="54"/>
  </r>
  <r>
    <n v="814"/>
    <x v="2"/>
    <x v="114"/>
    <s v="eth1/10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10"/>
    <x v="0"/>
    <x v="0"/>
    <x v="0"/>
    <s v="HACIA_MGMT-OSCP-F4-10_PRINCIPAL"/>
    <x v="4"/>
    <b v="0"/>
    <s v="No está en VPC"/>
    <n v="878"/>
    <s v="INTPG_VPC_878_1.10_879_1.10"/>
    <s v="ISEL-1.10"/>
    <n v="1"/>
    <s v="NO TIENE L3OUT"/>
    <n v="0"/>
    <n v="54"/>
  </r>
  <r>
    <n v="826"/>
    <x v="2"/>
    <x v="116"/>
    <s v="eth1/10"/>
    <x v="0"/>
    <x v="0"/>
    <x v="0"/>
    <s v="LINK_TO_ITHFHWCBSDSUSBD07 /Slot5.2 /Principal"/>
    <x v="0"/>
    <b v="0"/>
    <s v="No está en VPC"/>
    <n v="826"/>
    <s v="INTPG_VPC_826_1.10_830_1.10"/>
    <s v="ISEL-1.10"/>
    <n v="2"/>
    <s v="NO TIENE L3OUT"/>
    <n v="12"/>
    <n v="54"/>
  </r>
  <r>
    <n v="726"/>
    <x v="2"/>
    <x v="117"/>
    <s v="eth1/10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10"/>
    <x v="0"/>
    <x v="0"/>
    <x v="0"/>
    <s v="CEM:ITHCEMD2DAT05:FLEXIO P1"/>
    <x v="5"/>
    <b v="0"/>
    <s v="No está en VPC"/>
    <n v="740"/>
    <s v="INTPG_ACC_740_1.10"/>
    <s v="ISEL-1.10"/>
    <n v="1"/>
    <s v="NO TIENE L3OUT"/>
    <n v="72"/>
    <n v="54"/>
  </r>
  <r>
    <n v="705"/>
    <x v="2"/>
    <x v="119"/>
    <s v="eth1/10"/>
    <x v="0"/>
    <x v="0"/>
    <x v="0"/>
    <s v="ITHCEMA1DAT05-LOM-P2"/>
    <x v="0"/>
    <b v="0"/>
    <s v="No está en VPC"/>
    <n v="705"/>
    <s v="INTPG_ACC_705_1.10"/>
    <s v="ISEL-1.10"/>
    <n v="1"/>
    <s v="NO TIENE L3OUT"/>
    <n v="16"/>
    <n v="54"/>
  </r>
  <r>
    <n v="723"/>
    <x v="2"/>
    <x v="120"/>
    <s v="eth1/10"/>
    <x v="0"/>
    <x v="1"/>
    <x v="1"/>
    <m/>
    <x v="0"/>
    <b v="0"/>
    <s v="No está en VPC"/>
    <n v="723"/>
    <s v="INTPG-VPC_HDD129_722_1.9_723_1.10"/>
    <s v="ISEL-1.10"/>
    <n v="1"/>
    <s v="NO TIENE L3OUT"/>
    <n v="0"/>
    <n v="54"/>
  </r>
  <r>
    <n v="721"/>
    <x v="2"/>
    <x v="121"/>
    <s v="eth1/10"/>
    <x v="0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10"/>
    <x v="0"/>
    <x v="0"/>
    <x v="0"/>
    <s v="TO-ITHFHPMEDIRAP05-Principal"/>
    <x v="0"/>
    <b v="0"/>
    <s v="No está en VPC"/>
    <n v="788"/>
    <s v="INTPG_ACC_788_1.10"/>
    <s v="ISEL-1.10"/>
    <n v="1"/>
    <s v="NO TIENE L3OUT"/>
    <n v="4"/>
    <n v="54"/>
  </r>
  <r>
    <n v="732"/>
    <x v="2"/>
    <x v="123"/>
    <s v="eth1/10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10"/>
    <x v="0"/>
    <x v="0"/>
    <x v="0"/>
    <m/>
    <x v="0"/>
    <b v="0"/>
    <s v="No está en VPC"/>
    <n v="720"/>
    <s v="INTPG-VPC_HDD03_719_1.9_720_1.10"/>
    <s v="ISEL-1.10"/>
    <n v="1"/>
    <s v="NO TIENE L3OUT"/>
    <n v="0"/>
    <n v="54"/>
  </r>
  <r>
    <n v="709"/>
    <x v="2"/>
    <x v="125"/>
    <s v="eth1/10"/>
    <x v="0"/>
    <x v="1"/>
    <x v="5"/>
    <s v="CEM:ITHCEMF2DAT05:LOM  P2"/>
    <x v="0"/>
    <b v="0"/>
    <s v="No está en VPC"/>
    <n v="709"/>
    <s v="INTPG_VPC_708_1.9_709_1.10"/>
    <s v="ISEL-1.10"/>
    <n v="1"/>
    <s v="NO TIENE L3OUT"/>
    <n v="0"/>
    <n v="54"/>
  </r>
  <r>
    <n v="454"/>
    <x v="1"/>
    <x v="126"/>
    <s v="eth1/10"/>
    <x v="0"/>
    <x v="0"/>
    <x v="0"/>
    <s v="HACIA_MGMT-OSCP-F4-06_PRINCIPAL"/>
    <x v="4"/>
    <b v="0"/>
    <s v="No está en VPC"/>
    <n v="454"/>
    <s v="INTPG_VPC_454_1.10_456_1.10"/>
    <s v="ISEL-1.10"/>
    <n v="1"/>
    <s v="NO TIENE L3OUT"/>
    <n v="4"/>
    <n v="54"/>
  </r>
  <r>
    <n v="734"/>
    <x v="2"/>
    <x v="127"/>
    <s v="eth1/10"/>
    <x v="0"/>
    <x v="1"/>
    <x v="1"/>
    <s v="CEM:ITHCEMA1DAT05:FLEXIO P1"/>
    <x v="5"/>
    <b v="0"/>
    <s v="No está en VPC"/>
    <n v="734"/>
    <s v="INTPG_ACC_734_1.10"/>
    <s v="ISEL-1.10"/>
    <n v="1"/>
    <s v="NO TIENE L3OUT"/>
    <n v="32"/>
    <n v="54"/>
  </r>
  <r>
    <n v="815"/>
    <x v="2"/>
    <x v="128"/>
    <s v="eth1/10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10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10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10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10"/>
    <x v="0"/>
    <x v="1"/>
    <x v="1"/>
    <s v="CEM:ITHCEMA2DAT05:FLEXIO P1"/>
    <x v="5"/>
    <b v="0"/>
    <s v="No está en VPC"/>
    <n v="741"/>
    <s v="INTPG_ACC_741_1.10"/>
    <s v="ISEL-1.10"/>
    <n v="1"/>
    <s v="NO TIENE L3OUT"/>
    <n v="62"/>
    <n v="54"/>
  </r>
  <r>
    <n v="787"/>
    <x v="2"/>
    <x v="133"/>
    <s v="eth1/10"/>
    <x v="0"/>
    <x v="0"/>
    <x v="0"/>
    <s v="ENIQ F2:itheniqr16bl03ombsr4a:Slot 2/1"/>
    <x v="0"/>
    <b v="0"/>
    <s v="No está en VPC"/>
    <n v="787"/>
    <s v="INTPG_PC_787_1.7-10"/>
    <s v="ISEL-1.10"/>
    <n v="2"/>
    <s v="NO TIENE L3OUT"/>
    <n v="26"/>
    <n v="54"/>
  </r>
  <r>
    <n v="750"/>
    <x v="2"/>
    <x v="134"/>
    <s v="eth1/10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10"/>
    <x v="0"/>
    <x v="0"/>
    <x v="0"/>
    <s v="CRM, CBS:PR-R10-F07:E4-10GE 2"/>
    <x v="0"/>
    <b v="0"/>
    <s v="No está en VPC"/>
    <n v="792"/>
    <s v="INTPG_VPC_757_1.7_10_792_1.7_10"/>
    <s v="ISEL-1.10"/>
    <n v="13"/>
    <s v="NO TIENE L3OUT"/>
    <n v="0"/>
    <n v="54"/>
  </r>
  <r>
    <n v="736"/>
    <x v="2"/>
    <x v="136"/>
    <s v="eth1/10"/>
    <x v="0"/>
    <x v="1"/>
    <x v="3"/>
    <s v="CEM:ITHCEMG2DAT05:SLOT1 P1"/>
    <x v="0"/>
    <b v="0"/>
    <s v="No está en VPC"/>
    <n v="736"/>
    <s v="INTPG_ACC_736_1.10"/>
    <s v="ISEL-1.10"/>
    <n v="0"/>
    <s v="NO TIENE L3OUT"/>
    <n v="48"/>
    <n v="54"/>
  </r>
  <r>
    <n v="799"/>
    <x v="2"/>
    <x v="137"/>
    <s v="eth1/10"/>
    <x v="0"/>
    <x v="0"/>
    <x v="0"/>
    <s v="TO-IMC_PS24-MSP"/>
    <x v="0"/>
    <b v="0"/>
    <s v="No está en VPC"/>
    <n v="799"/>
    <s v="INTPG_ACC_799_1.10"/>
    <s v="ISEL-1.10"/>
    <n v="1"/>
    <s v="NO TIENE L3OUT"/>
    <n v="52"/>
    <n v="54"/>
  </r>
  <r>
    <n v="768"/>
    <x v="2"/>
    <x v="138"/>
    <s v="eth1/10"/>
    <x v="0"/>
    <x v="0"/>
    <x v="0"/>
    <s v="Portchannel_1_R3"/>
    <x v="0"/>
    <b v="0"/>
    <s v="No está en VPC"/>
    <n v="768"/>
    <s v="INTPG_PC_768_1.7-10"/>
    <s v="ISEL-1.10"/>
    <n v="2"/>
    <s v="NO TIENE L3OUT"/>
    <n v="62"/>
    <n v="54"/>
  </r>
  <r>
    <n v="714"/>
    <x v="2"/>
    <x v="139"/>
    <s v="eth1/10"/>
    <x v="0"/>
    <x v="0"/>
    <x v="0"/>
    <s v="TO-ITHFHWVRALCN06"/>
    <x v="0"/>
    <b v="0"/>
    <s v="No está en VPC"/>
    <n v="714"/>
    <s v="INTPG_VPC_714_1.10_721_1.9"/>
    <s v="ISEL-1.10"/>
    <n v="108"/>
    <s v="NO TIENE L3OUT"/>
    <n v="20"/>
    <n v="54"/>
  </r>
  <r>
    <n v="717"/>
    <x v="2"/>
    <x v="140"/>
    <s v="eth1/10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10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10"/>
    <x v="0"/>
    <x v="0"/>
    <x v="0"/>
    <s v="Portchannel_1_R1"/>
    <x v="0"/>
    <b v="0"/>
    <s v="No está en VPC"/>
    <n v="764"/>
    <s v="INTPG_PC_764_1.7-10"/>
    <s v="ISEL-1.10"/>
    <n v="2"/>
    <s v="NO TIENE L3OUT"/>
    <n v="62"/>
    <n v="54"/>
  </r>
  <r>
    <n v="783"/>
    <x v="2"/>
    <x v="143"/>
    <s v="eth1/10"/>
    <x v="0"/>
    <x v="0"/>
    <x v="0"/>
    <s v="LACP_OMBS_ENIQ9A"/>
    <x v="0"/>
    <b v="0"/>
    <s v="No está en VPC"/>
    <n v="783"/>
    <s v="INTPG_PC_783_1.7-10"/>
    <s v="ISEL-1.10"/>
    <n v="2"/>
    <s v="NO TIENE L3OUT"/>
    <n v="26"/>
    <n v="54"/>
  </r>
  <r>
    <n v="774"/>
    <x v="2"/>
    <x v="144"/>
    <s v="eth1/10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10"/>
    <x v="0"/>
    <x v="0"/>
    <x v="0"/>
    <s v="Portchannel_4_R2"/>
    <x v="0"/>
    <b v="0"/>
    <s v="No está en VPC"/>
    <n v="773"/>
    <s v="INTPG_PC_773_1.9-10"/>
    <s v="ISEL-1.10"/>
    <n v="8"/>
    <s v="NO TIENE L3OUT"/>
    <n v="78"/>
    <n v="54"/>
  </r>
  <r>
    <n v="794"/>
    <x v="2"/>
    <x v="146"/>
    <s v="eth1/10"/>
    <x v="0"/>
    <x v="0"/>
    <x v="0"/>
    <s v="TO-ITHSTOBKPDDC2-PRINCIPAL_DATA DOMAIN"/>
    <x v="0"/>
    <b v="0"/>
    <s v="No está en VPC"/>
    <n v="794"/>
    <s v="INTPG_ACC_794_1.10"/>
    <s v="ISEL-1.10"/>
    <n v="1"/>
    <s v="NO TIENE L3OUT"/>
    <n v="12"/>
    <n v="54"/>
  </r>
  <r>
    <n v="803"/>
    <x v="2"/>
    <x v="147"/>
    <s v="eth1/10"/>
    <x v="0"/>
    <x v="0"/>
    <x v="0"/>
    <s v="TO-HDPS_36-MSP"/>
    <x v="0"/>
    <b v="0"/>
    <s v="No está en VPC"/>
    <n v="803"/>
    <s v="INTPG_ACC_803_1.10"/>
    <s v="ISEL-1.10"/>
    <n v="1"/>
    <s v="NO TIENE L3OUT"/>
    <n v="48"/>
    <n v="54"/>
  </r>
  <r>
    <n v="786"/>
    <x v="2"/>
    <x v="148"/>
    <s v="eth1/10"/>
    <x v="0"/>
    <x v="0"/>
    <x v="0"/>
    <s v="ENIQ F2:itheniqr14bl03ombsr4b:Slot 2/1"/>
    <x v="0"/>
    <b v="0"/>
    <s v="No está en VPC"/>
    <n v="786"/>
    <s v="INTPG_PC_786_1.7-10"/>
    <s v="ISEL-1.10"/>
    <n v="2"/>
    <s v="NO TIENE L3OUT"/>
    <n v="26"/>
    <n v="54"/>
  </r>
  <r>
    <n v="757"/>
    <x v="2"/>
    <x v="149"/>
    <s v="eth1/10"/>
    <x v="0"/>
    <x v="0"/>
    <x v="0"/>
    <s v="CRM, CBS:ITHHWBESRK10CH1:E4-10GE 1"/>
    <x v="0"/>
    <b v="0"/>
    <s v="No está en VPC"/>
    <n v="757"/>
    <s v="INTPG_VPC_757_1.7_10_792_1.7_10"/>
    <s v="ISEL-1.10"/>
    <n v="13"/>
    <s v="NO TIENE L3OUT"/>
    <n v="0"/>
    <n v="54"/>
  </r>
  <r>
    <n v="781"/>
    <x v="2"/>
    <x v="150"/>
    <s v="eth1/10"/>
    <x v="0"/>
    <x v="0"/>
    <x v="0"/>
    <s v="LACP_OMBS_ENIQ9C"/>
    <x v="0"/>
    <b v="0"/>
    <s v="No está en VPC"/>
    <n v="781"/>
    <s v="INTPG_PC_781_1.7-10"/>
    <s v="ISEL-1.10"/>
    <n v="2"/>
    <s v="NO TIENE L3OUT"/>
    <n v="26"/>
    <n v="54"/>
  </r>
  <r>
    <n v="793"/>
    <x v="2"/>
    <x v="151"/>
    <s v="eth1/10"/>
    <x v="0"/>
    <x v="0"/>
    <x v="0"/>
    <s v="TO-ITHSTOBKPDDC2-REDUNDANTE_DATA DOMAIN"/>
    <x v="0"/>
    <b v="0"/>
    <s v="No está en VPC"/>
    <n v="793"/>
    <s v="INTPG_ACC_793_1.10"/>
    <s v="ISEL-1.10"/>
    <n v="1"/>
    <s v="NO TIENE L3OUT"/>
    <n v="12"/>
    <n v="54"/>
  </r>
  <r>
    <n v="747"/>
    <x v="2"/>
    <x v="152"/>
    <s v="eth1/10"/>
    <x v="0"/>
    <x v="0"/>
    <x v="0"/>
    <s v="PAAS:ithhwoscopap010:LOM PORT 1"/>
    <x v="0"/>
    <b v="0"/>
    <s v="No está en VPC"/>
    <n v="747"/>
    <s v="INTPG_VPC_747_1.10_752_1.10"/>
    <s v="ISEL-1.10"/>
    <n v="25"/>
    <s v="NO TIENE L3OUT"/>
    <n v="0"/>
    <n v="54"/>
  </r>
  <r>
    <n v="784"/>
    <x v="2"/>
    <x v="153"/>
    <s v="eth1/10"/>
    <x v="0"/>
    <x v="1"/>
    <x v="1"/>
    <s v="ENIQ F2:itheniqr12bl03ombsr6b:Slot 2/1"/>
    <x v="0"/>
    <b v="0"/>
    <s v="No está en VPC"/>
    <n v="784"/>
    <s v="INTPG_PC_784_1.7-10"/>
    <s v="ISEL-1.10"/>
    <n v="2"/>
    <s v="NO TIENE L3OUT"/>
    <n v="26"/>
    <n v="54"/>
  </r>
  <r>
    <n v="806"/>
    <x v="2"/>
    <x v="154"/>
    <s v="eth1/10"/>
    <x v="0"/>
    <x v="0"/>
    <x v="0"/>
    <s v="TO-HDPS_60-MSP"/>
    <x v="0"/>
    <b v="0"/>
    <s v="No está en VPC"/>
    <n v="806"/>
    <s v="INTPG_ACC_806_1.10"/>
    <s v="ISEL-1.10"/>
    <n v="1"/>
    <s v="NO TIENE L3OUT"/>
    <n v="44"/>
    <n v="54"/>
  </r>
  <r>
    <n v="777"/>
    <x v="2"/>
    <x v="155"/>
    <s v="eth1/10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10"/>
    <x v="0"/>
    <x v="0"/>
    <x v="0"/>
    <s v="Portchannel_7_R4B"/>
    <x v="0"/>
    <b v="0"/>
    <s v="No está en VPC"/>
    <n v="770"/>
    <s v="INTPG_PC_770_1.9-12"/>
    <s v="ISEL-1.10"/>
    <n v="1"/>
    <s v="NO TIENE L3OUT"/>
    <n v="60"/>
    <n v="54"/>
  </r>
  <r>
    <n v="813"/>
    <x v="2"/>
    <x v="157"/>
    <s v="eth1/10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10"/>
    <x v="0"/>
    <x v="1"/>
    <x v="1"/>
    <s v="CEM:ITHCEMC2DAT05:FLEXIO P1"/>
    <x v="5"/>
    <b v="0"/>
    <s v="No está en VPC"/>
    <n v="739"/>
    <s v="INTPG_ACC_739_1.10"/>
    <s v="ISEL-1.10"/>
    <n v="1"/>
    <s v="NO TIENE L3OUT"/>
    <n v="72"/>
    <n v="54"/>
  </r>
  <r>
    <n v="775"/>
    <x v="2"/>
    <x v="159"/>
    <s v="eth1/10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10"/>
    <x v="0"/>
    <x v="0"/>
    <x v="0"/>
    <s v="LINK_TO_VPCB_NAS_ITHEMCPS5200TWPT3 / Nodo B INT 0.3 / Redundante"/>
    <x v="0"/>
    <b v="0"/>
    <s v="No está en VPC"/>
    <n v="791"/>
    <s v="INTPG_VPC_790_1.10_791_1.10"/>
    <s v="ISEL-1.10"/>
    <n v="3"/>
    <s v="NO TIENE L3OUT"/>
    <n v="20"/>
    <n v="54"/>
  </r>
  <r>
    <n v="808"/>
    <x v="2"/>
    <x v="161"/>
    <s v="eth1/10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10"/>
    <x v="0"/>
    <x v="0"/>
    <x v="0"/>
    <s v="LINK_TO_ITHFHWCBSDSUSBD07 /Slot7.2 /Redundante"/>
    <x v="0"/>
    <b v="0"/>
    <s v="No está en VPC"/>
    <n v="830"/>
    <s v="INTPG_VPC_826_1.10_830_1.10"/>
    <s v="ISEL-1.10"/>
    <n v="2"/>
    <s v="NO TIENE L3OUT"/>
    <n v="12"/>
    <n v="54"/>
  </r>
  <r>
    <n v="821"/>
    <x v="2"/>
    <x v="163"/>
    <s v="eth1/10"/>
    <x v="0"/>
    <x v="0"/>
    <x v="0"/>
    <s v="LINK_TO_ITHFHWCBSPSUSBD13 /Slot7.2 /Redundante"/>
    <x v="0"/>
    <b v="0"/>
    <s v="No está en VPC"/>
    <n v="821"/>
    <s v="INTPG_VPC_816_1.10_821_1.10"/>
    <s v="ISEL-1.10"/>
    <n v="2"/>
    <s v="NO TIENE L3OUT"/>
    <n v="0"/>
    <n v="54"/>
  </r>
  <r>
    <n v="738"/>
    <x v="2"/>
    <x v="164"/>
    <s v="eth1/10"/>
    <x v="0"/>
    <x v="0"/>
    <x v="0"/>
    <s v="CEM:ITHCEMF2DAT05:FLEXIO P1"/>
    <x v="5"/>
    <b v="0"/>
    <s v="No está en VPC"/>
    <n v="738"/>
    <s v="INTPG_ACC_738_1.10"/>
    <s v="ISEL-1.10"/>
    <n v="1"/>
    <s v="NO TIENE L3OUT"/>
    <n v="72"/>
    <n v="54"/>
  </r>
  <r>
    <n v="820"/>
    <x v="2"/>
    <x v="165"/>
    <s v="eth1/10"/>
    <x v="0"/>
    <x v="0"/>
    <x v="0"/>
    <s v="LINK_TO_ITHHWCRMPEN02 /X3-10GE 4 /Redundante"/>
    <x v="0"/>
    <b v="0"/>
    <s v="No está en VPC"/>
    <n v="820"/>
    <s v="INTPG_VPC_820_1.7-8_10-11_825_1.7-8_10-11"/>
    <s v="ISEL-1.10"/>
    <n v="1"/>
    <s v="NO TIENE L3OUT"/>
    <n v="72"/>
    <n v="54"/>
  </r>
  <r>
    <n v="804"/>
    <x v="2"/>
    <x v="166"/>
    <s v="eth1/10"/>
    <x v="0"/>
    <x v="0"/>
    <x v="0"/>
    <s v="TO-HDPS_36-MSP"/>
    <x v="0"/>
    <b v="0"/>
    <s v="No está en VPC"/>
    <n v="804"/>
    <s v="INTPG_ACC_804_1.10"/>
    <s v="ISEL-1.10"/>
    <n v="1"/>
    <s v="NO TIENE L3OUT"/>
    <n v="48"/>
    <n v="54"/>
  </r>
  <r>
    <n v="779"/>
    <x v="2"/>
    <x v="167"/>
    <s v="eth1/10"/>
    <x v="0"/>
    <x v="0"/>
    <x v="0"/>
    <s v="ENIQ F1:itheniqr08ombsr3:Slot 2/1"/>
    <x v="0"/>
    <b v="0"/>
    <s v="No está en VPC"/>
    <n v="779"/>
    <s v="INTPG_PC_779_1.7-10"/>
    <s v="ISEL-1.10"/>
    <n v="2"/>
    <s v="NO TIENE L3OUT"/>
    <n v="30"/>
    <n v="54"/>
  </r>
  <r>
    <n v="767"/>
    <x v="2"/>
    <x v="168"/>
    <s v="eth1/10"/>
    <x v="0"/>
    <x v="0"/>
    <x v="0"/>
    <s v="Portchannel_2_R6B"/>
    <x v="0"/>
    <b v="0"/>
    <s v="No está en VPC"/>
    <n v="767"/>
    <s v="INTPG_PC_767_1.9-10"/>
    <s v="ISEL-1.10"/>
    <n v="8"/>
    <s v="NO TIENE L3OUT"/>
    <n v="60"/>
    <n v="54"/>
  </r>
  <r>
    <n v="827"/>
    <x v="2"/>
    <x v="169"/>
    <s v="eth1/10"/>
    <x v="0"/>
    <x v="0"/>
    <x v="0"/>
    <s v="LINK_TO_ITHFHWCBSDSUSBD08 /Slot4.2 /Principal"/>
    <x v="0"/>
    <b v="0"/>
    <s v="No está en VPC"/>
    <n v="827"/>
    <s v="INTPG_VPC_827_1.10_831_1.10"/>
    <s v="ISEL-1.10"/>
    <n v="1"/>
    <s v="NO TIENE L3OUT"/>
    <n v="14"/>
    <n v="54"/>
  </r>
  <r>
    <n v="809"/>
    <x v="2"/>
    <x v="170"/>
    <s v="eth1/10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10"/>
    <x v="0"/>
    <x v="0"/>
    <x v="0"/>
    <s v="Portchannel_1_R4B"/>
    <x v="0"/>
    <b v="0"/>
    <s v="No está en VPC"/>
    <n v="771"/>
    <s v="INTPG_PC_771_1.7-10"/>
    <s v="ISEL-1.10"/>
    <n v="2"/>
    <s v="NO TIENE L3OUT"/>
    <n v="62"/>
    <n v="54"/>
  </r>
  <r>
    <n v="761"/>
    <x v="2"/>
    <x v="172"/>
    <s v="eth1/10"/>
    <x v="0"/>
    <x v="1"/>
    <x v="1"/>
    <m/>
    <x v="0"/>
    <b v="0"/>
    <s v="No está en VPC"/>
    <n v="761"/>
    <s v="INTPG_VPC_760_1.9-12_761_1.9-12"/>
    <s v="ISEL-1.10"/>
    <n v="0"/>
    <s v="L3OUT-EXACLOUD"/>
    <n v="0"/>
    <n v="54"/>
  </r>
  <r>
    <n v="776"/>
    <x v="2"/>
    <x v="173"/>
    <s v="eth1/10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10"/>
    <x v="0"/>
    <x v="0"/>
    <x v="0"/>
    <s v="TO-HDPS_60-MSP"/>
    <x v="0"/>
    <b v="0"/>
    <s v="No está en VPC"/>
    <n v="805"/>
    <s v="INTPG_ACC_805_1.10"/>
    <s v="ISEL-1.10"/>
    <n v="1"/>
    <s v="NO TIENE L3OUT"/>
    <n v="44"/>
    <n v="54"/>
  </r>
  <r>
    <n v="772"/>
    <x v="2"/>
    <x v="175"/>
    <s v="eth1/10"/>
    <x v="0"/>
    <x v="0"/>
    <x v="0"/>
    <s v="Portchannel_1_R2"/>
    <x v="0"/>
    <b v="0"/>
    <s v="No está en VPC"/>
    <n v="772"/>
    <s v="INTPG_PC_772_1.7-10"/>
    <s v="ISEL-1.10"/>
    <n v="2"/>
    <s v="NO TIENE L3OUT"/>
    <n v="82"/>
    <n v="54"/>
  </r>
  <r>
    <n v="785"/>
    <x v="2"/>
    <x v="176"/>
    <s v="eth1/10"/>
    <x v="0"/>
    <x v="0"/>
    <x v="0"/>
    <s v="ENIQ F2:itheniqr13bl03ombsr6a:Slot 2/1"/>
    <x v="0"/>
    <b v="0"/>
    <s v="No está en VPC"/>
    <n v="785"/>
    <s v="INTPG_PC_785_1.7-10"/>
    <s v="ISEL-1.10"/>
    <n v="2"/>
    <s v="NO TIENE L3OUT"/>
    <n v="32"/>
    <n v="54"/>
  </r>
  <r>
    <n v="851"/>
    <x v="2"/>
    <x v="177"/>
    <s v="eth1/10"/>
    <x v="0"/>
    <x v="0"/>
    <x v="0"/>
    <s v="LINK_TO_ITHFHWCRMPLCN104 / Slot7.1_12 / Redundante"/>
    <x v="0"/>
    <b v="0"/>
    <s v="No está en VPC"/>
    <n v="851"/>
    <s v="INTPG_ACC_851_1.10"/>
    <s v="ISEL-1.10"/>
    <n v="6"/>
    <s v="NO TIENE L3OUT"/>
    <n v="282"/>
    <n v="54"/>
  </r>
  <r>
    <n v="798"/>
    <x v="2"/>
    <x v="178"/>
    <s v="eth1/10"/>
    <x v="0"/>
    <x v="0"/>
    <x v="0"/>
    <s v="TO-IMC_PS24-MSP"/>
    <x v="0"/>
    <b v="0"/>
    <s v="No está en VPC"/>
    <n v="798"/>
    <s v="INTPG_ACC_798_1.10"/>
    <s v="ISEL-1.10"/>
    <n v="1"/>
    <s v="NO TIENE L3OUT"/>
    <n v="52"/>
    <n v="54"/>
  </r>
  <r>
    <n v="782"/>
    <x v="2"/>
    <x v="179"/>
    <s v="eth1/10"/>
    <x v="0"/>
    <x v="0"/>
    <x v="0"/>
    <s v="LACP_OMBS_ENIQ9B"/>
    <x v="0"/>
    <b v="0"/>
    <s v="No está en VPC"/>
    <n v="782"/>
    <s v="INTPG_PC_782_1.7-10"/>
    <s v="ISEL-1.10"/>
    <n v="2"/>
    <s v="NO TIENE L3OUT"/>
    <n v="32"/>
    <n v="54"/>
  </r>
  <r>
    <n v="852"/>
    <x v="2"/>
    <x v="180"/>
    <s v="eth1/10"/>
    <x v="0"/>
    <x v="0"/>
    <x v="0"/>
    <s v="LINK_TO_ITHFHWCRMPLCN100 / Slot7.2_32 / Redundante"/>
    <x v="0"/>
    <b v="0"/>
    <s v="No está en VPC"/>
    <n v="852"/>
    <s v="INTPG_ACC_852_1.10"/>
    <s v="ISEL-1.10"/>
    <n v="2"/>
    <s v="NO TIENE L3OUT"/>
    <n v="258"/>
    <n v="54"/>
  </r>
  <r>
    <n v="817"/>
    <x v="2"/>
    <x v="181"/>
    <s v="eth1/10"/>
    <x v="0"/>
    <x v="0"/>
    <x v="0"/>
    <s v="LINK_TO_ITHFHWCBSPSUSBD08 /Slot5.2 /Principal"/>
    <x v="0"/>
    <b v="0"/>
    <s v="No está en VPC"/>
    <n v="817"/>
    <s v="INTPG_VPC_817_1.10_822_1.10"/>
    <s v="ISEL-1.10"/>
    <n v="2"/>
    <s v="NO TIENE L3OUT"/>
    <n v="0"/>
    <n v="54"/>
  </r>
  <r>
    <n v="832"/>
    <x v="2"/>
    <x v="182"/>
    <s v="eth1/10"/>
    <x v="0"/>
    <x v="0"/>
    <x v="0"/>
    <s v="LINK_TO_ITHHWD6KV60014DKC01 /CtrlA_IOM0.P1 /Redundante"/>
    <x v="0"/>
    <b v="0"/>
    <s v="No está en VPC"/>
    <n v="832"/>
    <s v="INTPG_ACC_832_1.10"/>
    <s v="ISEL-1.10"/>
    <n v="1"/>
    <s v="NO TIENE L3OUT"/>
    <n v="192"/>
    <n v="54"/>
  </r>
  <r>
    <n v="816"/>
    <x v="2"/>
    <x v="183"/>
    <s v="eth1/10"/>
    <x v="0"/>
    <x v="0"/>
    <x v="0"/>
    <s v="LINK_TO_ITHFHWCBSPSUSBD13 /Slot5.2 /Principal"/>
    <x v="0"/>
    <b v="0"/>
    <s v="No está en VPC"/>
    <n v="816"/>
    <s v="INTPG_VPC_816_1.10_821_1.10"/>
    <s v="ISEL-1.10"/>
    <n v="2"/>
    <s v="NO TIENE L3OUT"/>
    <n v="0"/>
    <n v="54"/>
  </r>
  <r>
    <n v="825"/>
    <x v="2"/>
    <x v="184"/>
    <s v="eth1/10"/>
    <x v="0"/>
    <x v="0"/>
    <x v="0"/>
    <s v="LINK_TO_ITHHWCRMPEN02 /X3-10GE 3 /Principal"/>
    <x v="0"/>
    <b v="0"/>
    <s v="No está en VPC"/>
    <n v="825"/>
    <s v="INTPG_VPC_820_1.7-8_10-11_825_1.7-8_10-11"/>
    <s v="ISEL-1.10"/>
    <n v="1"/>
    <s v="NO TIENE L3OUT"/>
    <n v="72"/>
    <n v="54"/>
  </r>
  <r>
    <n v="800"/>
    <x v="2"/>
    <x v="185"/>
    <s v="eth1/10"/>
    <x v="0"/>
    <x v="0"/>
    <x v="0"/>
    <s v="TO-CEPS_06-MSP"/>
    <x v="0"/>
    <b v="0"/>
    <s v="No está en VPC"/>
    <n v="800"/>
    <s v="INTPG_ACC_800_1.10"/>
    <s v="ISEL-1.10"/>
    <n v="1"/>
    <s v="NO TIENE L3OUT"/>
    <n v="78"/>
    <n v="54"/>
  </r>
  <r>
    <n v="801"/>
    <x v="2"/>
    <x v="186"/>
    <s v="eth1/10"/>
    <x v="0"/>
    <x v="0"/>
    <x v="0"/>
    <s v="TO-CEPS_06-MSP"/>
    <x v="0"/>
    <b v="0"/>
    <s v="No está en VPC"/>
    <n v="801"/>
    <s v="INTPG_ACC_801_1.10"/>
    <s v="ISEL-1.10"/>
    <n v="1"/>
    <s v="NO TIENE L3OUT"/>
    <n v="78"/>
    <n v="54"/>
  </r>
  <r>
    <n v="823"/>
    <x v="2"/>
    <x v="187"/>
    <s v="eth1/10"/>
    <x v="0"/>
    <x v="0"/>
    <x v="0"/>
    <s v="TRANSFORMA PHASE 2C PR"/>
    <x v="0"/>
    <b v="0"/>
    <s v="No está en VPC"/>
    <n v="823"/>
    <s v="INTPG_ACC_823_1.10"/>
    <s v="ISEL-1.10"/>
    <n v="1"/>
    <s v="NO TIENE L3OUT"/>
    <n v="8"/>
    <n v="54"/>
  </r>
  <r>
    <n v="837"/>
    <x v="2"/>
    <x v="188"/>
    <s v="eth1/10"/>
    <x v="0"/>
    <x v="0"/>
    <x v="0"/>
    <s v="LINK_TO_ITHFHWCBSPSUSBD26 / Slot1.3_6 / Principal"/>
    <x v="0"/>
    <b v="0"/>
    <s v="No está en VPC"/>
    <n v="837"/>
    <s v="INTPG_VPC_837_1.10_842_1.10"/>
    <s v="ISEL-1.10"/>
    <n v="1"/>
    <s v="NO TIENE L3OUT"/>
    <n v="8"/>
    <n v="54"/>
  </r>
  <r>
    <n v="867"/>
    <x v="2"/>
    <x v="189"/>
    <s v="eth1/10"/>
    <x v="0"/>
    <x v="0"/>
    <x v="0"/>
    <s v="TO-ITHFSUEXG2XCN01_PCI8.P2"/>
    <x v="0"/>
    <b v="0"/>
    <s v="No está en VPC"/>
    <n v="867"/>
    <s v="INTPG_ACC_867_1.10"/>
    <s v="ISEL-1.10"/>
    <n v="2"/>
    <s v="NO TIENE L3OUT"/>
    <n v="44"/>
    <n v="54"/>
  </r>
  <r>
    <n v="829"/>
    <x v="2"/>
    <x v="190"/>
    <s v="eth1/10"/>
    <x v="0"/>
    <x v="0"/>
    <x v="0"/>
    <s v="LINK_TO_ITHFHWCRMDLCN31 /Slot7.2 /Redundante"/>
    <x v="0"/>
    <b v="0"/>
    <s v="No está en VPC"/>
    <n v="829"/>
    <s v="INTPG_ACC_829_1.10"/>
    <s v="ISEL-1.10"/>
    <n v="5"/>
    <s v="NO TIENE L3OUT"/>
    <n v="224"/>
    <n v="54"/>
  </r>
  <r>
    <n v="831"/>
    <x v="2"/>
    <x v="191"/>
    <s v="eth1/10"/>
    <x v="0"/>
    <x v="0"/>
    <x v="0"/>
    <s v="LINK_TO_ITHFHWCBSDSUSBD08 /Slot6.2 /Redundante"/>
    <x v="0"/>
    <b v="0"/>
    <s v="No está en VPC"/>
    <n v="831"/>
    <s v="INTPG_VPC_827_1.10_831_1.10"/>
    <s v="ISEL-1.10"/>
    <n v="1"/>
    <s v="NO TIENE L3OUT"/>
    <n v="14"/>
    <n v="54"/>
  </r>
  <r>
    <n v="802"/>
    <x v="2"/>
    <x v="192"/>
    <s v="eth1/10"/>
    <x v="0"/>
    <x v="0"/>
    <x v="0"/>
    <s v="TO-HDPS_12-MSP"/>
    <x v="0"/>
    <b v="0"/>
    <s v="No está en VPC"/>
    <n v="802"/>
    <s v="INTPG_ACC_802_1.10"/>
    <s v="ISEL-1.10"/>
    <n v="1"/>
    <s v="NO TIENE L3OUT"/>
    <n v="48"/>
    <n v="54"/>
  </r>
  <r>
    <n v="835"/>
    <x v="2"/>
    <x v="193"/>
    <s v="eth1/10"/>
    <x v="0"/>
    <x v="0"/>
    <x v="0"/>
    <s v="LINK_TO_ITHFHWCBSPSWR57 / Slot1.1_26 / Principal"/>
    <x v="0"/>
    <b v="0"/>
    <s v="No está en VPC"/>
    <n v="835"/>
    <s v="INTPG_VPC_835_1.10_840_1.10"/>
    <s v="ISEL-1.10"/>
    <n v="2"/>
    <s v="NO TIENE L3OUT"/>
    <n v="8"/>
    <n v="54"/>
  </r>
  <r>
    <n v="822"/>
    <x v="2"/>
    <x v="194"/>
    <s v="eth1/10"/>
    <x v="0"/>
    <x v="0"/>
    <x v="0"/>
    <s v="LINK_TO_ITHFHWCBSPSUSBD08 /Slot7.2 /Redundante"/>
    <x v="0"/>
    <b v="0"/>
    <s v="No está en VPC"/>
    <n v="822"/>
    <s v="INTPG_VPC_817_1.10_822_1.10"/>
    <s v="ISEL-1.10"/>
    <n v="2"/>
    <s v="NO TIENE L3OUT"/>
    <n v="0"/>
    <n v="54"/>
  </r>
  <r>
    <n v="854"/>
    <x v="2"/>
    <x v="195"/>
    <s v="eth1/10"/>
    <x v="0"/>
    <x v="0"/>
    <x v="0"/>
    <s v="LINK_TO_ITHHWD6KV65100018DKC01 / CTMB_IOM1.P1_34 / Redundante"/>
    <x v="0"/>
    <b v="0"/>
    <s v="No está en VPC"/>
    <n v="854"/>
    <s v="INTPG_ACC_854_1.10"/>
    <s v="ISEL-1.10"/>
    <n v="1"/>
    <s v="NO TIENE L3OUT"/>
    <n v="204"/>
    <n v="54"/>
  </r>
  <r>
    <n v="858"/>
    <x v="2"/>
    <x v="196"/>
    <s v="eth1/10"/>
    <x v="0"/>
    <x v="0"/>
    <x v="0"/>
    <s v="To_VPC_2DCBSD_HD40_1"/>
    <x v="0"/>
    <b v="0"/>
    <s v="No está en VPC"/>
    <n v="858"/>
    <s v="INTPG_VPC_858_1.10_863_1.10"/>
    <s v="ISEL-1.10"/>
    <n v="2"/>
    <s v="NO TIENE L3OUT"/>
    <n v="8"/>
    <n v="54"/>
  </r>
  <r>
    <n v="857"/>
    <x v="2"/>
    <x v="197"/>
    <s v="eth1/10"/>
    <x v="0"/>
    <x v="0"/>
    <x v="0"/>
    <s v="LINKT_TO_ITHFHWCRMPLCN118 / Slot1.3_6 / Principal"/>
    <x v="0"/>
    <b v="0"/>
    <s v="No está en VPC"/>
    <n v="857"/>
    <s v="INTPG_ACC_857_1.10"/>
    <s v="ISEL-1.10"/>
    <n v="1"/>
    <s v="NO TIENE L3OUT"/>
    <n v="288"/>
    <n v="54"/>
  </r>
  <r>
    <n v="859"/>
    <x v="2"/>
    <x v="198"/>
    <s v="eth1/10"/>
    <x v="0"/>
    <x v="0"/>
    <x v="0"/>
    <s v="To_VPC_2DCBSD_HD34_1"/>
    <x v="0"/>
    <b v="0"/>
    <s v="No está en VPC"/>
    <n v="859"/>
    <s v="INTPG_VPC_859_1.10_864_1.10"/>
    <s v="ISEL-1.10"/>
    <n v="2"/>
    <s v="NO TIENE L3OUT"/>
    <n v="0"/>
    <n v="54"/>
  </r>
  <r>
    <n v="833"/>
    <x v="2"/>
    <x v="199"/>
    <s v="eth1/10"/>
    <x v="0"/>
    <x v="0"/>
    <x v="0"/>
    <s v="LINK_TO_ITHFHWCRMDLCN31 /Slot5.2 /Principal"/>
    <x v="0"/>
    <b v="0"/>
    <s v="No está en VPC"/>
    <n v="833"/>
    <s v="INTPG_ACC_833_1.10"/>
    <s v="ISEL-1.10"/>
    <n v="5"/>
    <s v="NO TIENE L3OUT"/>
    <n v="224"/>
    <n v="54"/>
  </r>
  <r>
    <n v="818"/>
    <x v="2"/>
    <x v="200"/>
    <s v="eth1/10"/>
    <x v="0"/>
    <x v="0"/>
    <x v="0"/>
    <s v="TRANSFORMA PHASE 2C PR"/>
    <x v="0"/>
    <b v="0"/>
    <s v="No está en VPC"/>
    <n v="818"/>
    <s v="INTPG_ACC_818_1.10"/>
    <s v="ISEL-1.10"/>
    <n v="1"/>
    <s v="NO TIENE L3OUT"/>
    <n v="8"/>
    <n v="54"/>
  </r>
  <r>
    <n v="850"/>
    <x v="2"/>
    <x v="201"/>
    <s v="eth1/10"/>
    <x v="0"/>
    <x v="0"/>
    <x v="0"/>
    <s v="LINKT_TO_ITHFHWCRMPLCN118 / Slot7.3_6 / Redundante"/>
    <x v="0"/>
    <b v="0"/>
    <s v="No está en VPC"/>
    <n v="850"/>
    <s v="INTPG_ACC_850_1.10"/>
    <s v="ISEL-1.10"/>
    <n v="1"/>
    <s v="NO TIENE L3OUT"/>
    <n v="288"/>
    <n v="54"/>
  </r>
  <r>
    <n v="860"/>
    <x v="2"/>
    <x v="202"/>
    <s v="eth1/10"/>
    <x v="0"/>
    <x v="0"/>
    <x v="0"/>
    <s v="To_VPC_2DCBSD_HD26_1"/>
    <x v="0"/>
    <b v="0"/>
    <s v="No está en VPC"/>
    <n v="860"/>
    <s v="INTPG_VPC_860_1.10_865_1.10"/>
    <s v="ISEL-1.10"/>
    <n v="2"/>
    <s v="NO TIENE L3OUT"/>
    <n v="0"/>
    <n v="54"/>
  </r>
  <r>
    <n v="853"/>
    <x v="2"/>
    <x v="203"/>
    <s v="eth1/10"/>
    <x v="0"/>
    <x v="0"/>
    <x v="0"/>
    <s v="LINK_TO_ITHFHWCRMPLCN75 / Slot7.1_8 / Redundante"/>
    <x v="0"/>
    <b v="0"/>
    <s v="No está en VPC"/>
    <n v="853"/>
    <s v="INTPG_ACC_853_1.10"/>
    <s v="ISEL-1.10"/>
    <n v="6"/>
    <s v="NO TIENE L3OUT"/>
    <n v="242"/>
    <n v="54"/>
  </r>
  <r>
    <n v="790"/>
    <x v="2"/>
    <x v="204"/>
    <s v="eth1/10"/>
    <x v="0"/>
    <x v="0"/>
    <x v="0"/>
    <s v="LINK_TO_VPCB_NAS_ITHEMCPS5200TWPT3 / Nodo B INT 0.2 / Principal"/>
    <x v="0"/>
    <b v="0"/>
    <s v="No está en VPC"/>
    <n v="790"/>
    <s v="INTPG_VPC_790_1.10_791_1.10"/>
    <s v="ISEL-1.10"/>
    <n v="3"/>
    <s v="NO TIENE L3OUT"/>
    <n v="20"/>
    <n v="54"/>
  </r>
  <r>
    <n v="105"/>
    <x v="0"/>
    <x v="205"/>
    <s v="eth1/10"/>
    <x v="0"/>
    <x v="1"/>
    <x v="1"/>
    <s v="DESC"/>
    <x v="6"/>
    <b v="0"/>
    <s v="No está en VPC"/>
    <n v="105"/>
    <s v="INTPG_PC_105_1.6-12_38"/>
    <s v="ISEL-1.10"/>
    <n v="17"/>
    <s v="NO TIENE L3OUT"/>
    <n v="106"/>
    <n v="96"/>
  </r>
  <r>
    <n v="117"/>
    <x v="0"/>
    <x v="206"/>
    <s v="eth1/10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10"/>
    <x v="0"/>
    <x v="1"/>
    <x v="1"/>
    <s v="SFLDI"/>
    <x v="6"/>
    <b v="0"/>
    <s v="No está en VPC"/>
    <n v="104"/>
    <s v="INTPG_ACC_104_1.10"/>
    <s v="ISEL-1.10"/>
    <n v="1"/>
    <s v="NO TIENE L3OUT"/>
    <n v="194"/>
    <n v="96"/>
  </r>
  <r>
    <n v="158"/>
    <x v="0"/>
    <x v="208"/>
    <s v="eth1/10"/>
    <x v="0"/>
    <x v="0"/>
    <x v="0"/>
    <s v="DCX1500 B"/>
    <x v="6"/>
    <b v="0"/>
    <s v="No está en VPC"/>
    <n v="158"/>
    <s v="INTPG_ACC_158_1.10"/>
    <s v="ISEL-1.10"/>
    <n v="1"/>
    <s v="NO TIENE L3OUT"/>
    <n v="30"/>
    <n v="96"/>
  </r>
  <r>
    <n v="875"/>
    <x v="2"/>
    <x v="209"/>
    <s v="eth1/10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10"/>
    <x v="0"/>
    <x v="0"/>
    <x v="0"/>
    <s v="HACIA_MGMT-OSCP-F4-10_PRINCIPAL"/>
    <x v="4"/>
    <b v="0"/>
    <s v="No está en VPC"/>
    <n v="879"/>
    <s v="INTPG_VPC_878_1.10_879_1.10"/>
    <s v="ISEL-1.10"/>
    <n v="1"/>
    <s v="NO TIENE L3OUT"/>
    <n v="0"/>
    <n v="54"/>
  </r>
  <r>
    <n v="108"/>
    <x v="0"/>
    <x v="211"/>
    <s v="eth1/10"/>
    <x v="0"/>
    <x v="0"/>
    <x v="0"/>
    <s v="ZSMART"/>
    <x v="6"/>
    <b v="0"/>
    <s v="No está en VPC"/>
    <n v="108"/>
    <s v="INTPG_ACC_108_1.10"/>
    <s v="ISEL-1.10"/>
    <n v="1"/>
    <s v="NO TIENE L3OUT"/>
    <n v="126"/>
    <n v="96"/>
  </r>
  <r>
    <n v="112"/>
    <x v="0"/>
    <x v="212"/>
    <s v="eth1/10"/>
    <x v="0"/>
    <x v="1"/>
    <x v="1"/>
    <s v="MARCACIONES"/>
    <x v="6"/>
    <b v="0"/>
    <s v="No está en VPC"/>
    <n v="112"/>
    <s v="INTPG_ACC_112_1.10"/>
    <s v="ISEL-1.10"/>
    <n v="1"/>
    <s v="NO TIENE L3OUT"/>
    <n v="144"/>
    <n v="96"/>
  </r>
  <r>
    <n v="107"/>
    <x v="0"/>
    <x v="213"/>
    <s v="eth1/10"/>
    <x v="0"/>
    <x v="0"/>
    <x v="0"/>
    <s v="COGNOS"/>
    <x v="6"/>
    <b v="0"/>
    <s v="No está en VPC"/>
    <n v="107"/>
    <s v="INTPG_ACC_107_1.10"/>
    <s v="ISEL-1.10"/>
    <n v="1"/>
    <s v="NO TIENE L3OUT"/>
    <n v="118"/>
    <n v="96"/>
  </r>
  <r>
    <n v="109"/>
    <x v="0"/>
    <x v="214"/>
    <s v="eth1/10"/>
    <x v="0"/>
    <x v="1"/>
    <x v="1"/>
    <s v="ZSMART"/>
    <x v="6"/>
    <b v="0"/>
    <s v="No está en VPC"/>
    <n v="109"/>
    <s v="INTPG_ACC_109_1.10"/>
    <s v="ISEL-1.10"/>
    <n v="1"/>
    <s v="NO TIENE L3OUT"/>
    <n v="126"/>
    <n v="96"/>
  </r>
  <r>
    <n v="113"/>
    <x v="0"/>
    <x v="215"/>
    <s v="eth1/10"/>
    <x v="0"/>
    <x v="0"/>
    <x v="0"/>
    <s v="VYCAN"/>
    <x v="6"/>
    <b v="0"/>
    <s v="No está en VPC"/>
    <n v="113"/>
    <s v="INTPG_ACC_113_1.10"/>
    <s v="ISEL-1.10"/>
    <n v="1"/>
    <s v="NO TIENE L3OUT"/>
    <n v="52"/>
    <n v="96"/>
  </r>
  <r>
    <n v="114"/>
    <x v="0"/>
    <x v="216"/>
    <s v="eth1/10"/>
    <x v="0"/>
    <x v="0"/>
    <x v="0"/>
    <s v="BD FOLIOS"/>
    <x v="6"/>
    <b v="0"/>
    <s v="No está en VPC"/>
    <n v="114"/>
    <s v="INTPG_ACC_114_1.10"/>
    <s v="ISEL-1.10"/>
    <n v="1"/>
    <s v="NO TIENE L3OUT"/>
    <n v="144"/>
    <n v="96"/>
  </r>
  <r>
    <n v="124"/>
    <x v="0"/>
    <x v="217"/>
    <s v="eth1/10"/>
    <x v="1"/>
    <x v="1"/>
    <x v="2"/>
    <s v="GSM_OSS_TIJ"/>
    <x v="6"/>
    <b v="0"/>
    <s v="No está en VPC"/>
    <n v="124"/>
    <s v="INTPG_ACC_124_1.10"/>
    <s v="ISEL-1.10"/>
    <n v="1"/>
    <s v="NO TIENE L3OUT"/>
    <n v="80"/>
    <n v="96"/>
  </r>
  <r>
    <n v="118"/>
    <x v="0"/>
    <x v="218"/>
    <s v="eth1/10"/>
    <x v="0"/>
    <x v="1"/>
    <x v="1"/>
    <s v="COBROS NAVEGACION"/>
    <x v="6"/>
    <b v="0"/>
    <s v="No está en VPC"/>
    <n v="118"/>
    <s v="INTPG_ACC_118_1.10"/>
    <s v="ISEL-1.10"/>
    <n v="1"/>
    <s v="NO TIENE L3OUT"/>
    <n v="180"/>
    <n v="96"/>
  </r>
  <r>
    <n v="159"/>
    <x v="0"/>
    <x v="219"/>
    <s v="eth1/10"/>
    <x v="0"/>
    <x v="1"/>
    <x v="1"/>
    <s v="ArrobaDOC Y CF"/>
    <x v="6"/>
    <b v="0"/>
    <s v="No está en VPC"/>
    <n v="159"/>
    <s v="INTPG_ACC_159_1.10"/>
    <s v="ISEL-1.10"/>
    <n v="1"/>
    <s v="NO TIENE L3OUT"/>
    <n v="72"/>
    <n v="96"/>
  </r>
  <r>
    <n v="840"/>
    <x v="2"/>
    <x v="220"/>
    <s v="eth1/10"/>
    <x v="0"/>
    <x v="0"/>
    <x v="0"/>
    <s v="LINK_TO_ITHFHWCBSPSWR57 / Slot7.1_26 / Redundante"/>
    <x v="0"/>
    <b v="0"/>
    <s v="No está en VPC"/>
    <n v="840"/>
    <s v="INTPG_VPC_835_1.10_840_1.10"/>
    <s v="ISEL-1.10"/>
    <n v="2"/>
    <s v="NO TIENE L3OUT"/>
    <n v="8"/>
    <n v="54"/>
  </r>
  <r>
    <n v="856"/>
    <x v="2"/>
    <x v="221"/>
    <s v="eth1/10"/>
    <x v="0"/>
    <x v="0"/>
    <x v="0"/>
    <s v="LINK_TO_ITHFHWCRMPLCN137 / Slot1.3_8 / Principal"/>
    <x v="0"/>
    <b v="0"/>
    <s v="No está en VPC"/>
    <n v="856"/>
    <s v="INTPG_ACC_856_1.10"/>
    <s v="ISEL-1.10"/>
    <n v="1"/>
    <s v="NO TIENE L3OUT"/>
    <n v="286"/>
    <n v="54"/>
  </r>
  <r>
    <n v="110"/>
    <x v="0"/>
    <x v="222"/>
    <s v="eth1/10"/>
    <x v="0"/>
    <x v="0"/>
    <x v="0"/>
    <s v="BANCA MOVIL: Notificaciones"/>
    <x v="6"/>
    <b v="0"/>
    <s v="No está en VPC"/>
    <n v="110"/>
    <s v="INTPG_ACC_110_1.10"/>
    <s v="ISEL-1.10"/>
    <n v="1"/>
    <s v="NO TIENE L3OUT"/>
    <n v="102"/>
    <n v="96"/>
  </r>
  <r>
    <n v="163"/>
    <x v="0"/>
    <x v="223"/>
    <s v="eth1/10"/>
    <x v="0"/>
    <x v="0"/>
    <x v="0"/>
    <s v="DESC"/>
    <x v="6"/>
    <b v="0"/>
    <s v="No está en VPC"/>
    <n v="163"/>
    <s v="INTPG_PC_163_1.9-11"/>
    <s v="ISEL-1.10"/>
    <n v="0"/>
    <s v="NO TIENE L3OUT"/>
    <n v="140"/>
    <n v="96"/>
  </r>
  <r>
    <n v="407"/>
    <x v="1"/>
    <x v="224"/>
    <s v="eth1/10"/>
    <x v="0"/>
    <x v="0"/>
    <x v="0"/>
    <s v="RLR2ARI04_ilo"/>
    <x v="6"/>
    <b v="0"/>
    <s v="No está en VPC"/>
    <n v="407"/>
    <s v="INTPG_ACC_407_1.10"/>
    <s v="ISEL-1.10"/>
    <n v="1"/>
    <s v="NO TIENE L3OUT"/>
    <n v="122"/>
    <n v="96"/>
  </r>
  <r>
    <n v="171"/>
    <x v="0"/>
    <x v="225"/>
    <s v="eth1/10"/>
    <x v="0"/>
    <x v="0"/>
    <x v="0"/>
    <s v="OSS 3G 12.2 DATOS "/>
    <x v="6"/>
    <b v="0"/>
    <s v="No está en VPC"/>
    <n v="171"/>
    <s v="INTPG_ACC_171_1.10"/>
    <s v="ISEL-1.10"/>
    <n v="1"/>
    <s v="NO TIENE L3OUT"/>
    <n v="114"/>
    <n v="96"/>
  </r>
  <r>
    <n v="421"/>
    <x v="1"/>
    <x v="226"/>
    <s v="eth1/10"/>
    <x v="0"/>
    <x v="0"/>
    <x v="0"/>
    <s v="Portal_Cautivo_f5em02"/>
    <x v="6"/>
    <b v="0"/>
    <s v="No está en VPC"/>
    <n v="421"/>
    <s v="INTPG_VPC_419_1.10_421_1.10"/>
    <s v="ISEL-1.10"/>
    <n v="1"/>
    <s v="NO TIENE L3OUT"/>
    <n v="72"/>
    <n v="96"/>
  </r>
  <r>
    <n v="173"/>
    <x v="0"/>
    <x v="227"/>
    <s v="eth1/10"/>
    <x v="0"/>
    <x v="0"/>
    <x v="0"/>
    <s v="U2000_IPRAN"/>
    <x v="6"/>
    <b v="0"/>
    <s v="No está en VPC"/>
    <n v="173"/>
    <s v="INTPG_ACC_173_1.10"/>
    <s v="ISEL-1.10"/>
    <n v="1"/>
    <s v="NO TIENE L3OUT"/>
    <n v="66"/>
    <n v="96"/>
  </r>
  <r>
    <n v="154"/>
    <x v="0"/>
    <x v="228"/>
    <s v="eth1/10"/>
    <x v="0"/>
    <x v="0"/>
    <x v="0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10"/>
    <x v="0"/>
    <x v="1"/>
    <x v="1"/>
    <s v="OSS 3G 12.2 DATOS "/>
    <x v="6"/>
    <b v="0"/>
    <s v="No está en VPC"/>
    <n v="172"/>
    <s v="INTPG_ACC_172_1.10"/>
    <s v="ISEL-1.10"/>
    <n v="1"/>
    <s v="NO TIENE L3OUT"/>
    <n v="104"/>
    <n v="96"/>
  </r>
  <r>
    <n v="420"/>
    <x v="1"/>
    <x v="230"/>
    <s v="eth1/10"/>
    <x v="0"/>
    <x v="0"/>
    <x v="0"/>
    <s v="PORTAB2"/>
    <x v="6"/>
    <b v="0"/>
    <s v="No está en VPC"/>
    <n v="420"/>
    <s v="INTPG_ACC_420_1.10"/>
    <s v="ISEL-1.10"/>
    <n v="1"/>
    <s v="NO TIENE L3OUT"/>
    <n v="158"/>
    <n v="96"/>
  </r>
  <r>
    <n v="423"/>
    <x v="1"/>
    <x v="231"/>
    <s v="eth1/10"/>
    <x v="0"/>
    <x v="0"/>
    <x v="0"/>
    <s v="ITHPA03_ILO_IPMP-Activa"/>
    <x v="6"/>
    <b v="0"/>
    <s v="No está en VPC"/>
    <n v="423"/>
    <s v="INTPG_ACC_423_1.10"/>
    <s v="ISEL-1.10"/>
    <n v="1"/>
    <s v="NO TIENE L3OUT"/>
    <n v="86"/>
    <n v="96"/>
  </r>
  <r>
    <n v="415"/>
    <x v="1"/>
    <x v="232"/>
    <s v="eth1/10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10"/>
    <x v="0"/>
    <x v="1"/>
    <x v="1"/>
    <s v="SFLDI:RLDISTG02:1"/>
    <x v="6"/>
    <b v="0"/>
    <s v="No está en VPC"/>
    <n v="102"/>
    <s v="INTPG_ACC_102_1.10"/>
    <s v="ISEL-1.10"/>
    <n v="1"/>
    <s v="NO TIENE L3OUT"/>
    <n v="228"/>
    <n v="96"/>
  </r>
  <r>
    <n v="863"/>
    <x v="2"/>
    <x v="234"/>
    <s v="eth1/10"/>
    <x v="0"/>
    <x v="0"/>
    <x v="0"/>
    <s v="To_VPC_2DCBSD_HD40_1"/>
    <x v="0"/>
    <b v="0"/>
    <s v="No está en VPC"/>
    <n v="863"/>
    <s v="INTPG_VPC_858_1.10_863_1.10"/>
    <s v="ISEL-1.10"/>
    <n v="2"/>
    <s v="NO TIENE L3OUT"/>
    <n v="8"/>
    <n v="54"/>
  </r>
  <r>
    <n v="876"/>
    <x v="2"/>
    <x v="235"/>
    <s v="eth1/10"/>
    <x v="0"/>
    <x v="0"/>
    <x v="0"/>
    <s v="LINK_TO_ITHFHWSEQLCAS33 (GMR 1) / Slot 4 PTO 1 / Principal"/>
    <x v="4"/>
    <b v="0"/>
    <s v="No está en VPC"/>
    <n v="876"/>
    <s v="INTPG_ACC_876_1.10"/>
    <s v="ISEL-1.10"/>
    <n v="1"/>
    <s v="NO TIENE L3OUT"/>
    <n v="92"/>
    <n v="54"/>
  </r>
  <r>
    <n v="877"/>
    <x v="2"/>
    <x v="236"/>
    <s v="eth1/10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10"/>
    <x v="0"/>
    <x v="0"/>
    <x v="0"/>
    <s v="DESC"/>
    <x v="6"/>
    <b v="0"/>
    <s v="No está en VPC"/>
    <n v="122"/>
    <s v="INTPG_PC_122_1.10-14"/>
    <s v="ISEL-1.10"/>
    <n v="1"/>
    <s v="NO TIENE L3OUT"/>
    <n v="148"/>
    <n v="96"/>
  </r>
  <r>
    <n v="157"/>
    <x v="0"/>
    <x v="238"/>
    <s v="eth1/10"/>
    <x v="0"/>
    <x v="0"/>
    <x v="0"/>
    <s v="COBROS NAVEGACION"/>
    <x v="6"/>
    <b v="0"/>
    <s v="No está en VPC"/>
    <n v="157"/>
    <s v="INTPG_ACC_157_1.10"/>
    <s v="ISEL-1.10"/>
    <n v="1"/>
    <s v="NO TIENE L3OUT"/>
    <n v="202"/>
    <n v="96"/>
  </r>
  <r>
    <n v="408"/>
    <x v="1"/>
    <x v="239"/>
    <s v="eth1/10"/>
    <x v="0"/>
    <x v="0"/>
    <x v="0"/>
    <s v="RESPAL_CS5_ASAP8"/>
    <x v="6"/>
    <b v="0"/>
    <s v="No está en VPC"/>
    <n v="408"/>
    <s v="INTPG_ACC_408_1.10"/>
    <s v="ISEL-1.10"/>
    <n v="1"/>
    <s v="NO TIENE L3OUT"/>
    <n v="152"/>
    <n v="96"/>
  </r>
  <r>
    <n v="405"/>
    <x v="1"/>
    <x v="240"/>
    <s v="eth1/10"/>
    <x v="0"/>
    <x v="0"/>
    <x v="0"/>
    <s v="IXT_ARIESO4_BD1"/>
    <x v="6"/>
    <b v="0"/>
    <s v="No está en VPC"/>
    <n v="405"/>
    <s v="INTPG_ACC_405_1.10"/>
    <s v="ISEL-1.10"/>
    <n v="1"/>
    <s v="NO TIENE L3OUT"/>
    <n v="138"/>
    <n v="96"/>
  </r>
  <r>
    <n v="169"/>
    <x v="0"/>
    <x v="241"/>
    <s v="eth1/10"/>
    <x v="0"/>
    <x v="0"/>
    <x v="0"/>
    <s v="LINKDOWN_HACIA_UCS_9UCS-IXTLA-SERV4"/>
    <x v="6"/>
    <b v="0"/>
    <s v="No está en VPC"/>
    <n v="169"/>
    <s v="INTPG_ACC_169_1.10"/>
    <s v="ISEL-1.10"/>
    <n v="1"/>
    <s v="NO TIENE L3OUT"/>
    <n v="76"/>
    <n v="96"/>
  </r>
  <r>
    <n v="165"/>
    <x v="0"/>
    <x v="242"/>
    <s v="eth1/10"/>
    <x v="0"/>
    <x v="0"/>
    <x v="0"/>
    <s v="Nomina"/>
    <x v="6"/>
    <b v="0"/>
    <s v="No está en VPC"/>
    <n v="165"/>
    <s v="INTPG_ACC_165_1.10"/>
    <s v="ISEL-1.10"/>
    <n v="1"/>
    <s v="NO TIENE L3OUT"/>
    <n v="86"/>
    <n v="96"/>
  </r>
  <r>
    <n v="417"/>
    <x v="1"/>
    <x v="243"/>
    <s v="eth1/10"/>
    <x v="0"/>
    <x v="1"/>
    <x v="1"/>
    <s v="ECOSS"/>
    <x v="6"/>
    <b v="0"/>
    <s v="No está en VPC"/>
    <n v="417"/>
    <s v="INTPG_ACC_417_1.10"/>
    <s v="ISEL-1.10"/>
    <n v="1"/>
    <s v="NO TIENE L3OUT"/>
    <n v="56"/>
    <n v="96"/>
  </r>
  <r>
    <n v="153"/>
    <x v="0"/>
    <x v="244"/>
    <s v="eth1/10"/>
    <x v="0"/>
    <x v="0"/>
    <x v="0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10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10"/>
    <x v="0"/>
    <x v="0"/>
    <x v="0"/>
    <s v="ARIESO_GEOLOCALIZACION"/>
    <x v="6"/>
    <b v="0"/>
    <s v="No está en VPC"/>
    <n v="156"/>
    <s v="INTPG_ACC_156_1.10"/>
    <s v="ISEL-1.10"/>
    <n v="1"/>
    <s v="NO TIENE L3OUT"/>
    <n v="40"/>
    <n v="96"/>
  </r>
  <r>
    <n v="103"/>
    <x v="0"/>
    <x v="247"/>
    <s v="eth1/10"/>
    <x v="0"/>
    <x v="1"/>
    <x v="1"/>
    <s v="CAMPANAS 01-02:uxcamp02:en0"/>
    <x v="6"/>
    <b v="0"/>
    <s v="No está en VPC"/>
    <n v="103"/>
    <s v="INTPG_ACC_103_1.10"/>
    <s v="ISEL-1.10"/>
    <n v="1"/>
    <s v="NO TIENE L3OUT"/>
    <n v="70"/>
    <n v="96"/>
  </r>
  <r>
    <n v="438"/>
    <x v="1"/>
    <x v="248"/>
    <s v="eth1/10"/>
    <x v="0"/>
    <x v="0"/>
    <x v="0"/>
    <s v="uxdxdb04(RENACE)"/>
    <x v="6"/>
    <b v="0"/>
    <s v="No está en VPC"/>
    <n v="438"/>
    <s v="INTPG_ACC_438_1.10"/>
    <s v="ISEL-1.10"/>
    <n v="1"/>
    <s v="NO TIENE L3OUT"/>
    <n v="170"/>
    <n v="96"/>
  </r>
  <r>
    <n v="406"/>
    <x v="1"/>
    <x v="249"/>
    <s v="eth1/10"/>
    <x v="0"/>
    <x v="0"/>
    <x v="0"/>
    <s v="DESC"/>
    <x v="6"/>
    <b v="0"/>
    <s v="No está en VPC"/>
    <n v="406"/>
    <s v="INTPG_PC_406_1.9-10"/>
    <s v="ISEL-1.10"/>
    <n v="1"/>
    <s v="NO TIENE L3OUT"/>
    <n v="82"/>
    <n v="96"/>
  </r>
  <r>
    <n v="414"/>
    <x v="1"/>
    <x v="250"/>
    <s v="eth1/10"/>
    <x v="0"/>
    <x v="0"/>
    <x v="0"/>
    <s v="9UCS-IXTLA-WEBEX-SERV1"/>
    <x v="6"/>
    <b v="0"/>
    <s v="No está en VPC"/>
    <n v="414"/>
    <s v="INTPG_ACC_414_1.10"/>
    <s v="ISEL-1.10"/>
    <n v="1"/>
    <s v="NO TIENE L3OUT"/>
    <n v="144"/>
    <n v="96"/>
  </r>
  <r>
    <n v="416"/>
    <x v="1"/>
    <x v="251"/>
    <s v="eth1/10"/>
    <x v="0"/>
    <x v="0"/>
    <x v="0"/>
    <s v="sfmedp52-MEDVOZ_CLIENT8"/>
    <x v="6"/>
    <b v="0"/>
    <s v="No está en VPC"/>
    <n v="416"/>
    <s v="INTPG_VPC_416_1.10_418_1.10"/>
    <s v="ISEL-1.10"/>
    <n v="1"/>
    <s v="NO TIENE L3OUT"/>
    <n v="110"/>
    <n v="96"/>
  </r>
  <r>
    <n v="418"/>
    <x v="1"/>
    <x v="252"/>
    <s v="eth1/10"/>
    <x v="0"/>
    <x v="0"/>
    <x v="0"/>
    <s v="sfmedp52-MEDVOZ_CLIENT8"/>
    <x v="6"/>
    <b v="0"/>
    <s v="No está en VPC"/>
    <n v="418"/>
    <s v="INTPG_VPC_416_1.10_418_1.10"/>
    <s v="ISEL-1.10"/>
    <n v="1"/>
    <s v="NO TIENE L3OUT"/>
    <n v="152"/>
    <n v="96"/>
  </r>
  <r>
    <n v="413"/>
    <x v="1"/>
    <x v="253"/>
    <s v="eth1/10"/>
    <x v="0"/>
    <x v="0"/>
    <x v="0"/>
    <s v="DESC"/>
    <x v="6"/>
    <b v="0"/>
    <s v="No está en VPC"/>
    <n v="413"/>
    <s v="INTPG_PC_413_1.9-12"/>
    <s v="ISEL-1.10"/>
    <n v="1"/>
    <s v="NO TIENE L3OUT"/>
    <n v="126"/>
    <n v="96"/>
  </r>
  <r>
    <n v="403"/>
    <x v="1"/>
    <x v="254"/>
    <s v="eth1/10"/>
    <x v="0"/>
    <x v="0"/>
    <x v="0"/>
    <s v="IXT_ARIESO4_BD1"/>
    <x v="6"/>
    <b v="0"/>
    <s v="No está en VPC"/>
    <n v="403"/>
    <s v="INTPG_ACC_403_1.10"/>
    <s v="ISEL-1.10"/>
    <n v="1"/>
    <s v="NO TIENE L3OUT"/>
    <n v="150"/>
    <n v="96"/>
  </r>
  <r>
    <n v="125"/>
    <x v="0"/>
    <x v="255"/>
    <s v="eth1/10"/>
    <x v="0"/>
    <x v="0"/>
    <x v="0"/>
    <s v="GSM_OSS_MTY"/>
    <x v="6"/>
    <b v="0"/>
    <s v="No está en VPC"/>
    <n v="125"/>
    <s v="INTPG_VPC_124_1.1_125_1.10"/>
    <s v="ISEL-1.10"/>
    <n v="10"/>
    <s v="NO TIENE L3OUT"/>
    <n v="72"/>
    <n v="96"/>
  </r>
  <r>
    <n v="166"/>
    <x v="0"/>
    <x v="256"/>
    <s v="eth1/10"/>
    <x v="0"/>
    <x v="1"/>
    <x v="1"/>
    <s v="UXDAT012 "/>
    <x v="6"/>
    <b v="0"/>
    <s v="No está en VPC"/>
    <n v="166"/>
    <s v="INTPG_ACC_166_1.10"/>
    <s v="ISEL-1.10"/>
    <n v="1"/>
    <s v="NO TIENE L3OUT"/>
    <n v="84"/>
    <n v="96"/>
  </r>
  <r>
    <n v="111"/>
    <x v="0"/>
    <x v="257"/>
    <s v="eth1/10"/>
    <x v="1"/>
    <x v="1"/>
    <x v="2"/>
    <s v="SUN6900_E25K"/>
    <x v="6"/>
    <b v="0"/>
    <s v="No está en VPC"/>
    <n v="111"/>
    <s v="INTPG_ACC_111_1.10"/>
    <s v="ISEL-1.10"/>
    <n v="0"/>
    <s v="NO TIENE L3OUT"/>
    <n v="58"/>
    <n v="96"/>
  </r>
  <r>
    <n v="115"/>
    <x v="0"/>
    <x v="258"/>
    <s v="eth1/10"/>
    <x v="0"/>
    <x v="0"/>
    <x v="0"/>
    <s v="VYCAN"/>
    <x v="6"/>
    <b v="0"/>
    <s v="No está en VPC"/>
    <n v="115"/>
    <s v="INTPG_ACC_115_1.10"/>
    <s v="ISEL-1.10"/>
    <n v="1"/>
    <s v="NO TIENE L3OUT"/>
    <n v="42"/>
    <n v="96"/>
  </r>
  <r>
    <n v="106"/>
    <x v="0"/>
    <x v="259"/>
    <s v="eth1/10"/>
    <x v="0"/>
    <x v="0"/>
    <x v="0"/>
    <s v="EVOLVING"/>
    <x v="6"/>
    <b v="0"/>
    <s v="No está en VPC"/>
    <n v="106"/>
    <s v="INTPG_ACC_106_1.10"/>
    <s v="ISEL-1.10"/>
    <n v="3"/>
    <s v="NO TIENE L3OUT"/>
    <n v="122"/>
    <n v="96"/>
  </r>
  <r>
    <n v="126"/>
    <x v="0"/>
    <x v="260"/>
    <s v="eth1/10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10"/>
    <x v="0"/>
    <x v="1"/>
    <x v="1"/>
    <s v="VTA_F5_eth3"/>
    <x v="6"/>
    <b v="0"/>
    <s v="No está en VPC"/>
    <n v="425"/>
    <s v="INTPG_ACC_425_1.10"/>
    <s v="ISEL-1.10"/>
    <n v="1"/>
    <s v="NO TIENE L3OUT"/>
    <n v="86"/>
    <n v="96"/>
  </r>
  <r>
    <n v="151"/>
    <x v="0"/>
    <x v="262"/>
    <s v="eth1/10"/>
    <x v="0"/>
    <x v="1"/>
    <x v="1"/>
    <s v="OSS MEX GSM M"/>
    <x v="6"/>
    <b v="0"/>
    <s v="No está en VPC"/>
    <n v="151"/>
    <s v="INTPG_ACC_151_1.10"/>
    <s v="ISEL-1.10"/>
    <n v="1"/>
    <s v="NO TIENE L3OUT"/>
    <n v="86"/>
    <n v="96"/>
  </r>
  <r>
    <n v="430"/>
    <x v="1"/>
    <x v="263"/>
    <s v="eth1/10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10"/>
    <x v="0"/>
    <x v="0"/>
    <x v="0"/>
    <s v="Portal_Cautivo_f5em02"/>
    <x v="6"/>
    <b v="0"/>
    <s v="No está en VPC"/>
    <n v="419"/>
    <s v="INTPG_VPC_419_1.10_421_1.10"/>
    <s v="ISEL-1.10"/>
    <n v="1"/>
    <s v="NO TIENE L3OUT"/>
    <n v="70"/>
    <n v="96"/>
  </r>
  <r>
    <n v="155"/>
    <x v="0"/>
    <x v="265"/>
    <s v="eth1/10"/>
    <x v="0"/>
    <x v="0"/>
    <x v="0"/>
    <s v="Circulo Azul M5000"/>
    <x v="6"/>
    <b v="0"/>
    <s v="No está en VPC"/>
    <n v="155"/>
    <s v="INTPG_ACC_155_1.10"/>
    <s v="ISEL-1.10"/>
    <n v="1"/>
    <s v="NO TIENE L3OUT"/>
    <n v="198"/>
    <n v="96"/>
  </r>
  <r>
    <n v="409"/>
    <x v="1"/>
    <x v="266"/>
    <s v="eth1/10"/>
    <x v="0"/>
    <x v="0"/>
    <x v="0"/>
    <s v="RLR2ARI09_ilo"/>
    <x v="6"/>
    <b v="0"/>
    <s v="No está en VPC"/>
    <n v="409"/>
    <s v="INTPG_ACC_409_1.10"/>
    <s v="ISEL-1.10"/>
    <n v="1"/>
    <s v="NO TIENE L3OUT"/>
    <n v="128"/>
    <n v="96"/>
  </r>
  <r>
    <n v="422"/>
    <x v="1"/>
    <x v="267"/>
    <s v="eth1/10"/>
    <x v="0"/>
    <x v="0"/>
    <x v="0"/>
    <s v="B6200D_MGMT_2"/>
    <x v="6"/>
    <b v="0"/>
    <s v="No está en VPC"/>
    <n v="422"/>
    <s v="INTPG_ACC_422_1.10"/>
    <s v="ISEL-1.10"/>
    <n v="1"/>
    <s v="NO TIENE L3OUT"/>
    <n v="182"/>
    <n v="96"/>
  </r>
  <r>
    <n v="436"/>
    <x v="1"/>
    <x v="268"/>
    <s v="eth1/10"/>
    <x v="0"/>
    <x v="0"/>
    <x v="0"/>
    <s v="uxdxdb04(RENACE)"/>
    <x v="6"/>
    <b v="0"/>
    <s v="No está en VPC"/>
    <n v="436"/>
    <s v="INTPG_ACC_436_1.10"/>
    <s v="ISEL-1.10"/>
    <n v="1"/>
    <s v="NO TIENE L3OUT"/>
    <n v="172"/>
    <n v="96"/>
  </r>
  <r>
    <n v="410"/>
    <x v="1"/>
    <x v="269"/>
    <s v="eth1/10"/>
    <x v="0"/>
    <x v="0"/>
    <x v="0"/>
    <s v="NEC Femtocel NMS"/>
    <x v="6"/>
    <b v="0"/>
    <s v="No está en VPC"/>
    <n v="410"/>
    <s v="INTPG_ACC_410_1.10"/>
    <s v="ISEL-1.10"/>
    <n v="1"/>
    <s v="NO TIENE L3OUT"/>
    <n v="178"/>
    <n v="96"/>
  </r>
  <r>
    <n v="161"/>
    <x v="0"/>
    <x v="270"/>
    <s v="eth1/10"/>
    <x v="0"/>
    <x v="0"/>
    <x v="0"/>
    <m/>
    <x v="6"/>
    <b v="0"/>
    <s v="No está en VPC"/>
    <n v="161"/>
    <s v="INTPG_PC_161_1.15-10"/>
    <s v="ISEL-1.10"/>
    <n v="1"/>
    <s v="NO TIENE L3OUT"/>
    <n v="102"/>
    <n v="96"/>
  </r>
  <r>
    <n v="411"/>
    <x v="1"/>
    <x v="271"/>
    <s v="eth1/10"/>
    <x v="0"/>
    <x v="0"/>
    <x v="0"/>
    <s v="DESC"/>
    <x v="6"/>
    <b v="0"/>
    <s v="No está en VPC"/>
    <n v="411"/>
    <s v="INTPG_PC_411_1.9-12"/>
    <s v="ISEL-1.10"/>
    <n v="1"/>
    <s v="NO TIENE L3OUT"/>
    <n v="96"/>
    <n v="96"/>
  </r>
  <r>
    <n v="116"/>
    <x v="0"/>
    <x v="272"/>
    <s v="eth1/10"/>
    <x v="0"/>
    <x v="0"/>
    <x v="0"/>
    <s v="COBROS NAVEGACION"/>
    <x v="6"/>
    <b v="0"/>
    <s v="No está en VPC"/>
    <n v="116"/>
    <s v="INTPG_ACC_116_1.10"/>
    <s v="ISEL-1.10"/>
    <n v="1"/>
    <s v="NO TIENE L3OUT"/>
    <n v="148"/>
    <n v="96"/>
  </r>
  <r>
    <n v="412"/>
    <x v="1"/>
    <x v="273"/>
    <s v="eth1/10"/>
    <x v="0"/>
    <x v="1"/>
    <x v="1"/>
    <s v="Suspend2"/>
    <x v="6"/>
    <b v="0"/>
    <s v="No está en VPC"/>
    <n v="412"/>
    <s v="INTPG_ACC_412_1.10"/>
    <s v="ISEL-1.10"/>
    <n v="1"/>
    <s v="NO TIENE L3OUT"/>
    <n v="126"/>
    <n v="96"/>
  </r>
  <r>
    <n v="120"/>
    <x v="0"/>
    <x v="274"/>
    <s v="eth1/10"/>
    <x v="1"/>
    <x v="1"/>
    <x v="2"/>
    <s v="DESC"/>
    <x v="6"/>
    <b v="0"/>
    <s v="No está en VPC"/>
    <n v="120"/>
    <s v="INTPG_PC_120_1.10-14"/>
    <s v="ISEL-1.10"/>
    <n v="1"/>
    <s v="NO TIENE L3OUT"/>
    <n v="158"/>
    <n v="96"/>
  </r>
  <r>
    <n v="404"/>
    <x v="1"/>
    <x v="275"/>
    <s v="eth1/10"/>
    <x v="0"/>
    <x v="0"/>
    <x v="0"/>
    <s v="DESC"/>
    <x v="6"/>
    <b v="0"/>
    <s v="No está en VPC"/>
    <n v="404"/>
    <s v="INTPG_PC_404_1.9-10"/>
    <s v="ISEL-1.10"/>
    <n v="1"/>
    <s v="NO TIENE L3OUT"/>
    <n v="92"/>
    <n v="96"/>
  </r>
  <r>
    <n v="167"/>
    <x v="0"/>
    <x v="276"/>
    <s v="eth1/10"/>
    <x v="0"/>
    <x v="0"/>
    <x v="0"/>
    <s v="TO-ITHFDENBURBKP01(IXTFDLBKP6RAP)-REDUNDANTE"/>
    <x v="6"/>
    <b v="0"/>
    <s v="No está en VPC"/>
    <n v="167"/>
    <s v="INTPG_ACC_167_1.10"/>
    <s v="ISEL-1.10"/>
    <n v="1"/>
    <s v="NO TIENE L3OUT"/>
    <n v="68"/>
    <n v="96"/>
  </r>
  <r>
    <n v="428"/>
    <x v="1"/>
    <x v="277"/>
    <s v="eth1/10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903"/>
    <x v="2"/>
    <x v="278"/>
    <s v="eth1/10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10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11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11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11"/>
    <x v="0"/>
    <x v="0"/>
    <x v="0"/>
    <s v="IXTPA2LE"/>
    <x v="1"/>
    <b v="0"/>
    <s v="No está en VPC"/>
    <n v="152"/>
    <s v="INTPG_ACC_152_1.11"/>
    <s v="ISEL-1.11"/>
    <n v="1"/>
    <s v="NO TIENE L3OUT"/>
    <n v="38"/>
    <n v="54"/>
  </r>
  <r>
    <n v="101"/>
    <x v="0"/>
    <x v="3"/>
    <s v="eth1/11"/>
    <x v="1"/>
    <x v="1"/>
    <x v="2"/>
    <s v="MSP_PROBES_Rack_2"/>
    <x v="0"/>
    <b v="0"/>
    <s v="No está en VPC"/>
    <n v="101"/>
    <s v="INTPG_VPC_101_1.11_150_1.11"/>
    <s v="ISEL-1.11"/>
    <n v="1"/>
    <s v="NO TIENE L3OUT"/>
    <n v="114"/>
    <n v="54"/>
  </r>
  <r>
    <n v="160"/>
    <x v="0"/>
    <x v="4"/>
    <s v="eth1/11"/>
    <x v="0"/>
    <x v="1"/>
    <x v="1"/>
    <s v="ArrobaDOC Y CF"/>
    <x v="1"/>
    <b v="0"/>
    <s v="No está en VPC"/>
    <n v="160"/>
    <s v="INTPG_ACC_160_1.11"/>
    <s v="ISEL-1.11"/>
    <n v="1"/>
    <s v="NO TIENE L3OUT"/>
    <n v="68"/>
    <n v="54"/>
  </r>
  <r>
    <n v="121"/>
    <x v="0"/>
    <x v="5"/>
    <s v="eth1/11"/>
    <x v="0"/>
    <x v="1"/>
    <x v="1"/>
    <s v="TEMIP_MGMT1"/>
    <x v="1"/>
    <b v="0"/>
    <s v="No está en VPC"/>
    <n v="121"/>
    <s v="INTPG_ACC_121_1.11"/>
    <s v="ISEL-1.11"/>
    <n v="1"/>
    <s v="NO TIENE L3OUT"/>
    <n v="14"/>
    <n v="54"/>
  </r>
  <r>
    <n v="129"/>
    <x v="0"/>
    <x v="6"/>
    <s v="eth1/11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11"/>
    <x v="0"/>
    <x v="0"/>
    <x v="0"/>
    <s v="TO-ITHFHPSMEPRAP02"/>
    <x v="0"/>
    <b v="0"/>
    <s v="No está en VPC"/>
    <n v="401"/>
    <s v="INTPG_VPC_401_1.11_402_1.11"/>
    <s v="ISEL-1.11"/>
    <n v="3"/>
    <s v="NO TIENE L3OUT"/>
    <n v="40"/>
    <n v="54"/>
  </r>
  <r>
    <n v="402"/>
    <x v="1"/>
    <x v="8"/>
    <s v="eth1/11"/>
    <x v="0"/>
    <x v="0"/>
    <x v="0"/>
    <s v="TO-ITHFHPSMEPRAP02"/>
    <x v="0"/>
    <b v="0"/>
    <s v="No está en VPC"/>
    <n v="402"/>
    <s v="INTPG_VPC_401_1.11_402_1.11"/>
    <s v="ISEL-1.11"/>
    <n v="3"/>
    <s v="NO TIENE L3OUT"/>
    <n v="36"/>
    <n v="54"/>
  </r>
  <r>
    <n v="447"/>
    <x v="1"/>
    <x v="9"/>
    <s v="eth1/11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11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11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11"/>
    <x v="1"/>
    <x v="1"/>
    <x v="2"/>
    <s v="MSP_PROBES_Rack_2"/>
    <x v="0"/>
    <b v="0"/>
    <s v="No está en VPC"/>
    <n v="150"/>
    <s v="INTPG_VPC_101_1.11_150_1.11"/>
    <s v="ISEL-1.11"/>
    <n v="1"/>
    <s v="NO TIENE L3OUT"/>
    <n v="118"/>
    <n v="54"/>
  </r>
  <r>
    <n v="131"/>
    <x v="0"/>
    <x v="13"/>
    <s v="eth1/11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11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11"/>
    <x v="0"/>
    <x v="0"/>
    <x v="0"/>
    <s v="GRLK LAG 01"/>
    <x v="2"/>
    <b v="0"/>
    <s v="No está en VPC"/>
    <n v="758"/>
    <s v="INTPG_VPC_758_1.11_759_1.11"/>
    <s v="ISEL-1.11"/>
    <n v="89"/>
    <s v="NO TIENE L3OUT"/>
    <n v="0"/>
    <n v="42"/>
  </r>
  <r>
    <n v="759"/>
    <x v="2"/>
    <x v="16"/>
    <s v="eth1/11"/>
    <x v="0"/>
    <x v="0"/>
    <x v="0"/>
    <s v="GRLK LAG 01"/>
    <x v="2"/>
    <b v="0"/>
    <s v="No está en VPC"/>
    <n v="759"/>
    <s v="INTPG_VPC_758_1.11_759_1.11"/>
    <s v="ISEL-1.11"/>
    <n v="89"/>
    <s v="NO TIENE L3OUT"/>
    <n v="0"/>
    <n v="42"/>
  </r>
  <r>
    <n v="302"/>
    <x v="0"/>
    <x v="17"/>
    <s v="eth1/11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11"/>
    <x v="0"/>
    <x v="0"/>
    <x v="0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11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11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11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11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11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11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11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11"/>
    <x v="0"/>
    <x v="0"/>
    <x v="0"/>
    <s v="Monitoreo_VOLTE_produccion_client_LAG"/>
    <x v="0"/>
    <b v="0"/>
    <s v="No está en VPC"/>
    <n v="431"/>
    <s v="INTPG_VPC_431_1.11_448_1.11"/>
    <s v="ISEL-1.11"/>
    <n v="4"/>
    <s v="NO TIENE L3OUT"/>
    <n v="46"/>
    <n v="54"/>
  </r>
  <r>
    <n v="433"/>
    <x v="1"/>
    <x v="27"/>
    <s v="eth1/11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11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11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11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11"/>
    <x v="0"/>
    <x v="0"/>
    <x v="0"/>
    <s v="TO-uxidmbd-NET1"/>
    <x v="1"/>
    <b v="0"/>
    <s v="No está en VPC"/>
    <n v="434"/>
    <s v="INTPG_ACC_434_1.11"/>
    <s v="ISEL-1.11"/>
    <n v="1"/>
    <s v="NO TIENE L3OUT"/>
    <n v="34"/>
    <n v="54"/>
  </r>
  <r>
    <n v="707"/>
    <x v="2"/>
    <x v="32"/>
    <s v="eth1/11"/>
    <x v="0"/>
    <x v="0"/>
    <x v="0"/>
    <s v="CEM:ITHCEMG2DAT06:LOM P1"/>
    <x v="0"/>
    <b v="0"/>
    <s v="No está en VPC"/>
    <n v="707"/>
    <s v="INTPG_ACC_707_1.11"/>
    <s v="ISEL-1.11"/>
    <n v="1"/>
    <s v="NO TIENE L3OUT"/>
    <n v="54"/>
    <n v="54"/>
  </r>
  <r>
    <n v="712"/>
    <x v="2"/>
    <x v="33"/>
    <s v="eth1/11"/>
    <x v="0"/>
    <x v="0"/>
    <x v="0"/>
    <s v="CEM:ITHCEMB2DAT06:LOM P1"/>
    <x v="0"/>
    <b v="0"/>
    <s v="No está en VPC"/>
    <n v="712"/>
    <s v="INTPG_ACC_712_1.11"/>
    <s v="ISEL-1.11"/>
    <n v="1"/>
    <s v="NO TIENE L3OUT"/>
    <n v="32"/>
    <n v="54"/>
  </r>
  <r>
    <n v="719"/>
    <x v="2"/>
    <x v="34"/>
    <s v="eth1/11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11"/>
    <x v="0"/>
    <x v="0"/>
    <x v="0"/>
    <m/>
    <x v="0"/>
    <b v="0"/>
    <s v="No está en VPC"/>
    <n v="715"/>
    <s v="INTPG-VPC_HDD43_715_1.11_716_1.12"/>
    <s v="ISEL-1.11"/>
    <n v="1"/>
    <s v="NO TIENE L3OUT"/>
    <n v="0"/>
    <n v="54"/>
  </r>
  <r>
    <n v="427"/>
    <x v="1"/>
    <x v="36"/>
    <s v="eth1/11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11"/>
    <x v="0"/>
    <x v="0"/>
    <x v="0"/>
    <s v="CEM:ITHCEMC2DAT06:LOM P1"/>
    <x v="0"/>
    <b v="0"/>
    <s v="No está en VPC"/>
    <n v="711"/>
    <s v="INTPG_ACC_711_1.11"/>
    <s v="ISEL-1.11"/>
    <n v="1"/>
    <s v="NO TIENE L3OUT"/>
    <n v="16"/>
    <n v="54"/>
  </r>
  <r>
    <n v="716"/>
    <x v="2"/>
    <x v="38"/>
    <s v="eth1/11"/>
    <x v="0"/>
    <x v="0"/>
    <x v="0"/>
    <m/>
    <x v="0"/>
    <b v="0"/>
    <s v="No está en VPC"/>
    <n v="716"/>
    <s v="INTPG-VPC_HDD34_716_1.11_715_1.12"/>
    <s v="ISEL-1.11"/>
    <n v="1"/>
    <s v="NO TIENE L3OUT"/>
    <n v="0"/>
    <n v="54"/>
  </r>
  <r>
    <n v="702"/>
    <x v="2"/>
    <x v="39"/>
    <s v="eth1/11"/>
    <x v="0"/>
    <x v="0"/>
    <x v="0"/>
    <m/>
    <x v="0"/>
    <b v="0"/>
    <s v="No está en VPC"/>
    <n v="702"/>
    <s v="INTPG_VPC_702_1.11_701_1.12"/>
    <s v="ISEL-1.11"/>
    <n v="1"/>
    <s v="NO TIENE L3OUT"/>
    <n v="0"/>
    <n v="54"/>
  </r>
  <r>
    <n v="435"/>
    <x v="1"/>
    <x v="40"/>
    <s v="eth1/11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11"/>
    <x v="0"/>
    <x v="0"/>
    <x v="0"/>
    <m/>
    <x v="0"/>
    <b v="0"/>
    <s v="No está en VPC"/>
    <n v="446"/>
    <s v="INTPG_ACC_446_1.11"/>
    <s v="ISEL-1.11"/>
    <n v="9"/>
    <s v="NO TIENE L3OUT"/>
    <n v="198"/>
    <n v="54"/>
  </r>
  <r>
    <n v="444"/>
    <x v="1"/>
    <x v="42"/>
    <s v="eth1/11"/>
    <x v="0"/>
    <x v="0"/>
    <x v="0"/>
    <s v="TO-ITHFHPNBURBKP08"/>
    <x v="0"/>
    <b v="0"/>
    <s v="No está en VPC"/>
    <n v="444"/>
    <s v="INTPG_VPC_444_1.11_446_1.12"/>
    <s v="ISEL-1.11"/>
    <n v="1"/>
    <s v="NO TIENE L3OUT"/>
    <n v="234"/>
    <n v="54"/>
  </r>
  <r>
    <n v="701"/>
    <x v="2"/>
    <x v="43"/>
    <s v="eth1/11"/>
    <x v="0"/>
    <x v="0"/>
    <x v="0"/>
    <m/>
    <x v="0"/>
    <b v="0"/>
    <s v="No está en VPC"/>
    <n v="701"/>
    <s v="INTPG_VPC_701_1.11_702_1.12"/>
    <s v="ISEL-1.11"/>
    <n v="2"/>
    <s v="NO TIENE L3OUT"/>
    <n v="0"/>
    <n v="54"/>
  </r>
  <r>
    <n v="440"/>
    <x v="1"/>
    <x v="44"/>
    <s v="eth1/11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11"/>
    <x v="0"/>
    <x v="0"/>
    <x v="0"/>
    <s v="Monitoreo_VOLTE_produccion_client_LAG"/>
    <x v="0"/>
    <b v="0"/>
    <s v="No está en VPC"/>
    <n v="448"/>
    <s v="INTPG_VPC_431_1.11_448_1.11"/>
    <s v="ISEL-1.11"/>
    <n v="4"/>
    <s v="NO TIENE L3OUT"/>
    <n v="46"/>
    <n v="54"/>
  </r>
  <r>
    <n v="704"/>
    <x v="2"/>
    <x v="46"/>
    <s v="eth1/11"/>
    <x v="0"/>
    <x v="1"/>
    <x v="5"/>
    <m/>
    <x v="0"/>
    <b v="0"/>
    <s v="No está en VPC"/>
    <n v="704"/>
    <s v="INTPG_VPC_704_1.11_703_1.12"/>
    <s v="ISEL-1.11"/>
    <n v="1"/>
    <s v="NO TIENE L3OUT"/>
    <n v="0"/>
    <n v="54"/>
  </r>
  <r>
    <n v="729"/>
    <x v="2"/>
    <x v="47"/>
    <s v="eth1/11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11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11"/>
    <x v="0"/>
    <x v="0"/>
    <x v="0"/>
    <s v="HACIA_MGMT-OSCP-F4-07_SECUNDARIO"/>
    <x v="4"/>
    <b v="0"/>
    <s v="No está en VPC"/>
    <n v="456"/>
    <s v="INTPG_VPC_454_1.11_456_1.11"/>
    <s v="ISEL-1.11"/>
    <n v="1"/>
    <s v="NO TIENE L3OUT"/>
    <n v="4"/>
    <n v="54"/>
  </r>
  <r>
    <n v="603"/>
    <x v="1"/>
    <x v="50"/>
    <s v="eth1/11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11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11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11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11"/>
    <x v="0"/>
    <x v="0"/>
    <x v="0"/>
    <m/>
    <x v="0"/>
    <b v="0"/>
    <s v="No está en VPC"/>
    <n v="722"/>
    <s v="INTPG-VPC_HDD128_722_1.11_723_1.12"/>
    <s v="ISEL-1.11"/>
    <n v="1"/>
    <s v="NO TIENE L3OUT"/>
    <n v="0"/>
    <n v="54"/>
  </r>
  <r>
    <n v="733"/>
    <x v="2"/>
    <x v="55"/>
    <s v="eth1/11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11"/>
    <x v="0"/>
    <x v="0"/>
    <x v="0"/>
    <s v="OSS F1:ithenmr08bl02nas2r9a:PCIe3 Slot 1/1"/>
    <x v="0"/>
    <b v="0"/>
    <s v="No está en VPC"/>
    <n v="755"/>
    <s v="INTPG_PC_755_1.9-12"/>
    <s v="ISEL-1.11"/>
    <n v="1"/>
    <s v="NO TIENE L3OUT"/>
    <n v="52"/>
    <n v="54"/>
  </r>
  <r>
    <n v="748"/>
    <x v="2"/>
    <x v="57"/>
    <s v="eth1/11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11"/>
    <x v="0"/>
    <x v="0"/>
    <x v="0"/>
    <s v="OSS F1:ithenmr08bl04ombsr9a:PCIe3 Slot 1/1"/>
    <x v="0"/>
    <b v="0"/>
    <s v="No está en VPC"/>
    <n v="756"/>
    <s v="INTPG_PC_756_1.9-12"/>
    <s v="ISEL-1.11"/>
    <n v="2"/>
    <s v="NO TIENE L3OUT"/>
    <n v="64"/>
    <n v="54"/>
  </r>
  <r>
    <n v="754"/>
    <x v="2"/>
    <x v="59"/>
    <s v="eth1/11"/>
    <x v="0"/>
    <x v="0"/>
    <x v="0"/>
    <s v="OSS F1:ithenmr04e1r9c:Bay1/X1"/>
    <x v="0"/>
    <b v="0"/>
    <s v="No está en VPC"/>
    <n v="754"/>
    <s v="INTPG_PC_754_1.11-12"/>
    <s v="ISEL-1.11"/>
    <n v="8"/>
    <s v="NO TIENE L3OUT"/>
    <n v="62"/>
    <n v="54"/>
  </r>
  <r>
    <n v="751"/>
    <x v="2"/>
    <x v="60"/>
    <s v="eth1/11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11"/>
    <x v="0"/>
    <x v="0"/>
    <x v="0"/>
    <s v="Portchannel_7_R1"/>
    <x v="0"/>
    <b v="0"/>
    <s v="No está en VPC"/>
    <n v="769"/>
    <s v="INTPG_PC_769_1.11-14"/>
    <s v="ISEL-1.11"/>
    <n v="1"/>
    <s v="NO TIENE L3OUT"/>
    <n v="60"/>
    <n v="54"/>
  </r>
  <r>
    <n v="742"/>
    <x v="2"/>
    <x v="62"/>
    <s v="eth1/11"/>
    <x v="0"/>
    <x v="1"/>
    <x v="1"/>
    <s v="CEM:ITHCEMA2DAT06:LOM P3"/>
    <x v="5"/>
    <b v="0"/>
    <s v="No está en VPC"/>
    <n v="742"/>
    <s v="INTPG_ACC_742_1.11"/>
    <s v="ISEL-1.11"/>
    <n v="1"/>
    <s v="NO TIENE L3OUT"/>
    <n v="64"/>
    <n v="54"/>
  </r>
  <r>
    <n v="763"/>
    <x v="2"/>
    <x v="63"/>
    <s v="eth1/11"/>
    <x v="0"/>
    <x v="0"/>
    <x v="0"/>
    <s v="PAAS:ithhwoscopap011:LOM PORT 3"/>
    <x v="0"/>
    <b v="0"/>
    <s v="No está en VPC"/>
    <n v="763"/>
    <s v="INTPG_VPC_762_1.11_763_1.11"/>
    <s v="ISEL-1.11"/>
    <n v="15"/>
    <s v="NO TIENE L3OUT"/>
    <n v="2"/>
    <n v="54"/>
  </r>
  <r>
    <n v="766"/>
    <x v="2"/>
    <x v="64"/>
    <s v="eth1/11"/>
    <x v="0"/>
    <x v="0"/>
    <x v="0"/>
    <s v="Portchannel_7_R6A"/>
    <x v="0"/>
    <b v="0"/>
    <s v="No está en VPC"/>
    <n v="766"/>
    <s v="INTPG_PC_766_1.9-12"/>
    <s v="ISEL-1.11"/>
    <n v="1"/>
    <s v="NO TIENE L3OUT"/>
    <n v="58"/>
    <n v="54"/>
  </r>
  <r>
    <n v="760"/>
    <x v="2"/>
    <x v="65"/>
    <s v="eth1/11"/>
    <x v="0"/>
    <x v="1"/>
    <x v="1"/>
    <m/>
    <x v="0"/>
    <b v="0"/>
    <s v="No está en VPC"/>
    <n v="760"/>
    <s v="INTPG_VPC_760_1.9-12_761_1.9-12"/>
    <s v="ISEL-1.11"/>
    <n v="0"/>
    <s v="L3OUT-EXACLOUD"/>
    <n v="0"/>
    <n v="54"/>
  </r>
  <r>
    <n v="752"/>
    <x v="2"/>
    <x v="66"/>
    <s v="eth1/11"/>
    <x v="0"/>
    <x v="0"/>
    <x v="0"/>
    <s v="PAAS:ithhwosstpap002:Slot6.1"/>
    <x v="0"/>
    <b v="0"/>
    <s v="No está en VPC"/>
    <n v="752"/>
    <s v="INTPG_VPC_747_1.11_752_1.11"/>
    <s v="ISEL-1.11"/>
    <n v="25"/>
    <s v="NO TIENE L3OUT"/>
    <n v="0"/>
    <n v="54"/>
  </r>
  <r>
    <n v="765"/>
    <x v="2"/>
    <x v="67"/>
    <s v="eth1/11"/>
    <x v="0"/>
    <x v="0"/>
    <x v="0"/>
    <s v="Portchannel_3_R6A"/>
    <x v="0"/>
    <b v="0"/>
    <s v="No está en VPC"/>
    <n v="765"/>
    <s v="INTPG_PC_765_1.11-12"/>
    <s v="ISEL-1.11"/>
    <n v="8"/>
    <s v="NO TIENE L3OUT"/>
    <n v="60"/>
    <n v="54"/>
  </r>
  <r>
    <n v="778"/>
    <x v="2"/>
    <x v="68"/>
    <s v="eth1/11"/>
    <x v="0"/>
    <x v="0"/>
    <x v="0"/>
    <s v="ENIQ F1:itheniqr07mwsr2:Slot 2/2"/>
    <x v="0"/>
    <b v="0"/>
    <s v="No está en VPC"/>
    <n v="778"/>
    <s v="INTPG_ACC_778_1.11"/>
    <s v="ISEL-1.11"/>
    <n v="1"/>
    <s v="NO TIENE L3OUT"/>
    <n v="26"/>
    <n v="54"/>
  </r>
  <r>
    <n v="780"/>
    <x v="2"/>
    <x v="69"/>
    <s v="eth1/11"/>
    <x v="0"/>
    <x v="0"/>
    <x v="0"/>
    <s v="itheniqr04bl04mws1r1"/>
    <x v="0"/>
    <b v="0"/>
    <s v="No está en VPC"/>
    <n v="780"/>
    <s v="INTPG_ACC_780_1.11"/>
    <s v="ISEL-1.11"/>
    <n v="1"/>
    <s v="NO TIENE L3OUT"/>
    <n v="26"/>
    <n v="54"/>
  </r>
  <r>
    <n v="812"/>
    <x v="2"/>
    <x v="70"/>
    <s v="eth1/11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11"/>
    <x v="0"/>
    <x v="0"/>
    <x v="0"/>
    <s v="ITHFHWTSHNLCN06_VMs-06_Taishan_IT"/>
    <x v="0"/>
    <b v="0"/>
    <s v="No está en VPC"/>
    <n v="796"/>
    <s v="INTPG_VPC_795_1.11_796_1.11"/>
    <s v="ISEL-1.11"/>
    <n v="14"/>
    <s v="NO TIENE L3OUT"/>
    <n v="18"/>
    <n v="54"/>
  </r>
  <r>
    <n v="795"/>
    <x v="2"/>
    <x v="72"/>
    <s v="eth1/11"/>
    <x v="0"/>
    <x v="0"/>
    <x v="0"/>
    <s v="ITHFHWTSHNLCN06_VMs-06_Taishan_IT"/>
    <x v="0"/>
    <b v="0"/>
    <s v="No está en VPC"/>
    <n v="795"/>
    <s v="INTPG_VPC_795_1.11_796_1.11"/>
    <s v="ISEL-1.11"/>
    <n v="14"/>
    <s v="NO TIENE L3OUT"/>
    <n v="18"/>
    <n v="54"/>
  </r>
  <r>
    <n v="749"/>
    <x v="2"/>
    <x v="73"/>
    <s v="eth1/11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11"/>
    <x v="0"/>
    <x v="0"/>
    <x v="0"/>
    <s v="LINK_TO_ITHFHWCMVWPMA09 /Slot7.2 /Redundante"/>
    <x v="0"/>
    <b v="0"/>
    <s v="No está en VPC"/>
    <n v="824"/>
    <s v="INTPG_ACC_824_1.11"/>
    <s v="ISEL-1.11"/>
    <n v="1"/>
    <s v="NO TIENE L3OUT"/>
    <n v="70"/>
    <n v="54"/>
  </r>
  <r>
    <n v="819"/>
    <x v="2"/>
    <x v="75"/>
    <s v="eth1/11"/>
    <x v="0"/>
    <x v="0"/>
    <x v="0"/>
    <s v="LINK_TO_ITHFHWCMVWPMA09 /Slot5.2 /Principal"/>
    <x v="0"/>
    <b v="0"/>
    <s v="No está en VPC"/>
    <n v="819"/>
    <s v="INTPG_ACC_819_1.11"/>
    <s v="ISEL-1.11"/>
    <n v="1"/>
    <s v="NO TIENE L3OUT"/>
    <n v="70"/>
    <n v="54"/>
  </r>
  <r>
    <n v="737"/>
    <x v="2"/>
    <x v="76"/>
    <s v="eth1/11"/>
    <x v="0"/>
    <x v="0"/>
    <x v="0"/>
    <s v="CEM:ITHCEMF2DAT06:LOM P3"/>
    <x v="5"/>
    <b v="0"/>
    <s v="No está en VPC"/>
    <n v="737"/>
    <s v="INTPG_ACC_737_1.11"/>
    <s v="ISEL-1.11"/>
    <n v="1"/>
    <s v="NO TIENE L3OUT"/>
    <n v="72"/>
    <n v="54"/>
  </r>
  <r>
    <n v="844"/>
    <x v="2"/>
    <x v="77"/>
    <s v="eth1/11"/>
    <x v="0"/>
    <x v="0"/>
    <x v="0"/>
    <s v="LINK_TO_ITHFHWCRMPLCN104 / Slot1.2_12 / Principal"/>
    <x v="0"/>
    <b v="0"/>
    <s v="No está en VPC"/>
    <n v="844"/>
    <s v="INTPG_ACC_844_1.11"/>
    <s v="ISEL-1.11"/>
    <n v="2"/>
    <s v="NO TIENE L3OUT"/>
    <n v="282"/>
    <n v="54"/>
  </r>
  <r>
    <n v="843"/>
    <x v="2"/>
    <x v="78"/>
    <s v="eth1/11"/>
    <x v="0"/>
    <x v="0"/>
    <x v="0"/>
    <s v="LINK_To_ITHFHWCBSPSUSBD25 / Slot7.3_6 / Redundante"/>
    <x v="0"/>
    <b v="0"/>
    <s v="No está en VPC"/>
    <n v="843"/>
    <s v="INTPG_VPC_838_1.11_843_1.11"/>
    <s v="ISEL-1.11"/>
    <n v="1"/>
    <s v="NO TIENE L3OUT"/>
    <n v="38"/>
    <n v="54"/>
  </r>
  <r>
    <n v="797"/>
    <x v="2"/>
    <x v="79"/>
    <s v="eth1/11"/>
    <x v="0"/>
    <x v="0"/>
    <x v="0"/>
    <s v="TO-HDPS_13-MSP"/>
    <x v="0"/>
    <b v="0"/>
    <s v="No está en VPC"/>
    <n v="797"/>
    <s v="INTPG_ACC_797_1.11"/>
    <s v="ISEL-1.11"/>
    <n v="1"/>
    <s v="NO TIENE L3OUT"/>
    <n v="48"/>
    <n v="54"/>
  </r>
  <r>
    <n v="839"/>
    <x v="2"/>
    <x v="80"/>
    <s v="eth1/11"/>
    <x v="0"/>
    <x v="0"/>
    <x v="0"/>
    <s v="LINK_TO_ITHFHWCBSPSWR61 / Slot7.2_10 / Redundante"/>
    <x v="0"/>
    <b v="0"/>
    <s v="No está en VPC"/>
    <n v="839"/>
    <s v="INTPG_VPC_834_1.11_839_1.11"/>
    <s v="ISEL-1.11"/>
    <n v="1"/>
    <s v="NO TIENE L3OUT"/>
    <n v="0"/>
    <n v="54"/>
  </r>
  <r>
    <n v="847"/>
    <x v="2"/>
    <x v="81"/>
    <s v="eth1/11"/>
    <x v="0"/>
    <x v="0"/>
    <x v="0"/>
    <s v="LINK_TO_ITHFHWCRMPLCN169 / Slot7.1_8 / Redundante"/>
    <x v="0"/>
    <b v="0"/>
    <s v="No está en VPC"/>
    <n v="847"/>
    <s v="INTPG_ACC_847_1.11"/>
    <s v="ISEL-1.11"/>
    <n v="6"/>
    <s v="NO TIENE L3OUT"/>
    <n v="204"/>
    <n v="54"/>
  </r>
  <r>
    <n v="848"/>
    <x v="2"/>
    <x v="82"/>
    <s v="eth1/11"/>
    <x v="0"/>
    <x v="0"/>
    <x v="0"/>
    <s v="LINK_TO_ITHFHWCRMPLCN158 / Slot7.1_18 / Redundante"/>
    <x v="0"/>
    <b v="0"/>
    <s v="No está en VPC"/>
    <n v="848"/>
    <s v="INTPG_ACC_848_1.11"/>
    <s v="ISEL-1.11"/>
    <n v="6"/>
    <s v="NO TIENE L3OUT"/>
    <n v="254"/>
    <n v="54"/>
  </r>
  <r>
    <n v="846"/>
    <x v="2"/>
    <x v="83"/>
    <s v="eth1/11"/>
    <x v="0"/>
    <x v="0"/>
    <x v="0"/>
    <s v="LINK_TO_ITHFHWCRMPLCN75 / Slot1.2_8 / Principal"/>
    <x v="0"/>
    <b v="0"/>
    <s v="No está en VPC"/>
    <n v="846"/>
    <s v="INTPG_ACC_846_1.11"/>
    <s v="ISEL-1.11"/>
    <n v="2"/>
    <s v="NO TIENE L3OUT"/>
    <n v="242"/>
    <n v="54"/>
  </r>
  <r>
    <n v="838"/>
    <x v="2"/>
    <x v="84"/>
    <s v="eth1/11"/>
    <x v="0"/>
    <x v="0"/>
    <x v="0"/>
    <s v="LINK_To_ITHFHWCBSPSUSBD25 / Slot1.3_6 / Principal"/>
    <x v="0"/>
    <b v="0"/>
    <s v="No está en VPC"/>
    <n v="838"/>
    <s v="INTPG_VPC_838_1.11_843_1.11"/>
    <s v="ISEL-1.11"/>
    <n v="1"/>
    <s v="NO TIENE L3OUT"/>
    <n v="38"/>
    <n v="54"/>
  </r>
  <r>
    <n v="849"/>
    <x v="2"/>
    <x v="85"/>
    <s v="eth1/11"/>
    <x v="0"/>
    <x v="0"/>
    <x v="0"/>
    <s v="LINK_TO_ITHFHWCRMPLCN138 / Slot7.1_10 / Redundante"/>
    <x v="0"/>
    <b v="0"/>
    <s v="No está en VPC"/>
    <n v="849"/>
    <s v="INTPG_ACC_849_1.11"/>
    <s v="ISEL-1.11"/>
    <n v="6"/>
    <s v="NO TIENE L3OUT"/>
    <n v="286"/>
    <n v="54"/>
  </r>
  <r>
    <n v="845"/>
    <x v="2"/>
    <x v="86"/>
    <s v="eth1/11"/>
    <x v="0"/>
    <x v="0"/>
    <x v="0"/>
    <s v="LINK_TO_ITHFHWCRMPLCN100 / Slot1.3_32 / Principal"/>
    <x v="0"/>
    <b v="0"/>
    <s v="No está en VPC"/>
    <n v="845"/>
    <s v="INTPG_ACC_845_1.11"/>
    <s v="ISEL-1.11"/>
    <n v="1"/>
    <s v="NO TIENE L3OUT"/>
    <n v="258"/>
    <n v="54"/>
  </r>
  <r>
    <n v="873"/>
    <x v="2"/>
    <x v="87"/>
    <s v="eth1/11"/>
    <x v="0"/>
    <x v="0"/>
    <x v="0"/>
    <s v="TO_ITHFHWCRMDLCN56_Principal"/>
    <x v="0"/>
    <b v="0"/>
    <s v="No está en VPC"/>
    <n v="873"/>
    <s v="INTPG_ACC_873_1.11"/>
    <s v="ISEL-1.11"/>
    <n v="1"/>
    <s v="NO TIENE L3OUT"/>
    <n v="248"/>
    <n v="54"/>
  </r>
  <r>
    <n v="864"/>
    <x v="2"/>
    <x v="88"/>
    <s v="eth1/11"/>
    <x v="0"/>
    <x v="0"/>
    <x v="0"/>
    <s v="To_VPC_2DCBSD_HD34_2"/>
    <x v="0"/>
    <b v="0"/>
    <s v="No está en VPC"/>
    <n v="864"/>
    <s v="INTPG_VPC_859_1.11_864_1.11"/>
    <s v="ISEL-1.11"/>
    <n v="1"/>
    <s v="NO TIENE L3OUT"/>
    <n v="0"/>
    <n v="54"/>
  </r>
  <r>
    <n v="836"/>
    <x v="2"/>
    <x v="89"/>
    <s v="eth1/11"/>
    <x v="0"/>
    <x v="0"/>
    <x v="0"/>
    <s v="LINK_TO_ITHFHWCBSPSWR49 / Slot1.1_26 / Principal"/>
    <x v="0"/>
    <b v="0"/>
    <s v="No está en VPC"/>
    <n v="836"/>
    <s v="INTPG_VPC_836_1.11_841_1.11"/>
    <s v="ISEL-1.11"/>
    <n v="2"/>
    <s v="NO TIENE L3OUT"/>
    <n v="0"/>
    <n v="54"/>
  </r>
  <r>
    <n v="834"/>
    <x v="2"/>
    <x v="90"/>
    <s v="eth1/11"/>
    <x v="0"/>
    <x v="0"/>
    <x v="0"/>
    <s v="LINK_TO_ITHFHWCBSPSWR61 / Slot1.2_10 / Principal"/>
    <x v="0"/>
    <b v="0"/>
    <s v="No está en VPC"/>
    <n v="834"/>
    <s v="INTPG_VPC_834_1.11_839_1.11"/>
    <s v="ISEL-1.11"/>
    <n v="1"/>
    <s v="NO TIENE L3OUT"/>
    <n v="0"/>
    <n v="54"/>
  </r>
  <r>
    <n v="872"/>
    <x v="2"/>
    <x v="91"/>
    <s v="eth1/11"/>
    <x v="0"/>
    <x v="0"/>
    <x v="0"/>
    <s v="To_ITHFHWCRMDLCN72_Principal"/>
    <x v="0"/>
    <b v="0"/>
    <s v="No está en VPC"/>
    <n v="872"/>
    <s v="INTPG_ACC_872_1.11"/>
    <s v="ISEL-1.11"/>
    <n v="1"/>
    <s v="NO TIENE L3OUT"/>
    <n v="288"/>
    <n v="54"/>
  </r>
  <r>
    <n v="842"/>
    <x v="2"/>
    <x v="92"/>
    <s v="eth1/11"/>
    <x v="0"/>
    <x v="0"/>
    <x v="0"/>
    <s v="LINK_TO_ITHFHWCBSPSUSBD28 / Slot7.1_8 / Redundante"/>
    <x v="0"/>
    <b v="0"/>
    <s v="No está en VPC"/>
    <n v="842"/>
    <s v="INTPG_VPC_837_1.11_842_1.11"/>
    <s v="ISEL-1.11"/>
    <n v="2"/>
    <s v="NO TIENE L3OUT"/>
    <n v="8"/>
    <n v="54"/>
  </r>
  <r>
    <n v="828"/>
    <x v="2"/>
    <x v="93"/>
    <s v="eth1/11"/>
    <x v="0"/>
    <x v="0"/>
    <x v="0"/>
    <s v="LINK_TO_ITHHWD6KV60014DKC01 /CtrlA_IOM1.P0 /Principal"/>
    <x v="0"/>
    <b v="0"/>
    <s v="No está en VPC"/>
    <n v="828"/>
    <s v="INTPG_ACC_828_1.11"/>
    <s v="ISEL-1.11"/>
    <n v="1"/>
    <s v="NO TIENE L3OUT"/>
    <n v="192"/>
    <n v="54"/>
  </r>
  <r>
    <n v="870"/>
    <x v="2"/>
    <x v="94"/>
    <s v="eth1/11"/>
    <x v="0"/>
    <x v="0"/>
    <x v="0"/>
    <s v="TO_ITHFHWCRMDLCN56_Redundante"/>
    <x v="0"/>
    <b v="0"/>
    <s v="No está en VPC"/>
    <n v="870"/>
    <s v="INTPG_ACC_870_1.11"/>
    <s v="ISEL-1.11"/>
    <n v="1"/>
    <s v="NO TIENE L3OUT"/>
    <n v="248"/>
    <n v="54"/>
  </r>
  <r>
    <n v="866"/>
    <x v="2"/>
    <x v="95"/>
    <s v="eth1/11"/>
    <x v="0"/>
    <x v="0"/>
    <x v="0"/>
    <s v="To_VPC_2DCBSD_HD20_1"/>
    <x v="0"/>
    <b v="0"/>
    <s v="No está en VPC"/>
    <n v="866"/>
    <s v="INTPG_VPC_861_1.11_866_1.11"/>
    <s v="ISEL-1.11"/>
    <n v="2"/>
    <s v="NO TIENE L3OUT"/>
    <n v="8"/>
    <n v="54"/>
  </r>
  <r>
    <n v="862"/>
    <x v="2"/>
    <x v="96"/>
    <s v="eth1/11"/>
    <x v="0"/>
    <x v="0"/>
    <x v="0"/>
    <s v="TO-ITHFSUEXG2XCN02_PCI3.P1"/>
    <x v="0"/>
    <b v="0"/>
    <s v="No está en VPC"/>
    <n v="862"/>
    <s v="INTPG_ACC_862_1.11"/>
    <s v="ISEL-1.11"/>
    <n v="2"/>
    <s v="NO TIENE L3OUT"/>
    <n v="44"/>
    <n v="54"/>
  </r>
  <r>
    <n v="855"/>
    <x v="2"/>
    <x v="97"/>
    <s v="eth1/11"/>
    <x v="0"/>
    <x v="0"/>
    <x v="0"/>
    <s v="LINK_TO_ITHFHWCRMPLCN158 / Slot1.1_18 / Principal"/>
    <x v="0"/>
    <b v="0"/>
    <s v="No está en VPC"/>
    <n v="855"/>
    <s v="INTPG_ACC_855_1.11"/>
    <s v="ISEL-1.11"/>
    <n v="6"/>
    <s v="NO TIENE L3OUT"/>
    <n v="254"/>
    <n v="54"/>
  </r>
  <r>
    <n v="871"/>
    <x v="2"/>
    <x v="98"/>
    <s v="eth1/11"/>
    <x v="0"/>
    <x v="0"/>
    <x v="0"/>
    <s v="TO_ITHFHWCRMDLCN84_Principal"/>
    <x v="0"/>
    <b v="0"/>
    <s v="No está en VPC"/>
    <n v="871"/>
    <s v="INTPG_ACC_871_1.11"/>
    <s v="ISEL-1.11"/>
    <n v="2"/>
    <s v="NO TIENE L3OUT"/>
    <n v="246"/>
    <n v="54"/>
  </r>
  <r>
    <n v="841"/>
    <x v="2"/>
    <x v="99"/>
    <s v="eth1/11"/>
    <x v="0"/>
    <x v="0"/>
    <x v="0"/>
    <s v="LINK_TO_ITHFHWCBSPSWR49 / Slot7.1_26 / Redundante"/>
    <x v="0"/>
    <b v="0"/>
    <s v="No está en VPC"/>
    <n v="841"/>
    <s v="INTPG_VPC_836_1.11_841_1.11"/>
    <s v="ISEL-1.11"/>
    <n v="2"/>
    <s v="NO TIENE L3OUT"/>
    <n v="0"/>
    <n v="54"/>
  </r>
  <r>
    <n v="868"/>
    <x v="2"/>
    <x v="100"/>
    <s v="eth1/11"/>
    <x v="0"/>
    <x v="0"/>
    <x v="0"/>
    <s v="TO_ITHFHWCRMDLCN84_Redundante"/>
    <x v="0"/>
    <b v="0"/>
    <s v="No está en VPC"/>
    <n v="868"/>
    <s v="INTPG_ACC_868_1.11"/>
    <s v="ISEL-1.11"/>
    <n v="2"/>
    <s v="NO TIENE L3OUT"/>
    <n v="246"/>
    <n v="54"/>
  </r>
  <r>
    <n v="869"/>
    <x v="2"/>
    <x v="101"/>
    <s v="eth1/11"/>
    <x v="0"/>
    <x v="0"/>
    <x v="0"/>
    <s v="To_ITHFHWCRMDLCN72_Redundante"/>
    <x v="0"/>
    <b v="0"/>
    <s v="No está en VPC"/>
    <n v="869"/>
    <s v="INTPG_ACC_869_1.11"/>
    <s v="ISEL-1.11"/>
    <n v="1"/>
    <s v="NO TIENE L3OUT"/>
    <n v="288"/>
    <n v="54"/>
  </r>
  <r>
    <n v="861"/>
    <x v="2"/>
    <x v="102"/>
    <s v="eth1/11"/>
    <x v="0"/>
    <x v="0"/>
    <x v="0"/>
    <s v="To_VPC_2DCBSD_HD20_1"/>
    <x v="0"/>
    <b v="0"/>
    <s v="No está en VPC"/>
    <n v="861"/>
    <s v="INTPG_VPC_861_1.11_866_1.11"/>
    <s v="ISEL-1.11"/>
    <n v="2"/>
    <s v="NO TIENE L3OUT"/>
    <n v="8"/>
    <n v="54"/>
  </r>
  <r>
    <n v="874"/>
    <x v="2"/>
    <x v="103"/>
    <s v="eth1/11"/>
    <x v="0"/>
    <x v="0"/>
    <x v="0"/>
    <s v="LINK_TO_ITHFHWSEQLCAS34 (GMR 2) / Slot 5 PTO 1 / Redundante"/>
    <x v="4"/>
    <b v="0"/>
    <s v="No está en VPC"/>
    <n v="874"/>
    <s v="INTPG_ACC_874_1.11"/>
    <s v="ISEL-1.11"/>
    <n v="1"/>
    <s v="NO TIENE L3OUT"/>
    <n v="92"/>
    <n v="54"/>
  </r>
  <r>
    <n v="865"/>
    <x v="2"/>
    <x v="104"/>
    <s v="eth1/11"/>
    <x v="0"/>
    <x v="0"/>
    <x v="0"/>
    <s v="To_VPC_2DCBSD_HD26_2"/>
    <x v="0"/>
    <b v="0"/>
    <s v="No está en VPC"/>
    <n v="865"/>
    <s v="INTPG_VPC_860_1.11_865_1.11"/>
    <s v="ISEL-1.11"/>
    <n v="1"/>
    <s v="NO TIENE L3OUT"/>
    <n v="0"/>
    <n v="54"/>
  </r>
  <r>
    <n v="753"/>
    <x v="2"/>
    <x v="105"/>
    <s v="eth1/11"/>
    <x v="0"/>
    <x v="0"/>
    <x v="0"/>
    <s v="OSS F1:ithenmr03bl04ombsr9c:PCIe3 Slot 1/1"/>
    <x v="0"/>
    <b v="0"/>
    <s v="No está en VPC"/>
    <n v="753"/>
    <s v="INTPG_PC_753_1.9-12"/>
    <s v="ISEL-1.11"/>
    <n v="2"/>
    <s v="NO TIENE L3OUT"/>
    <n v="62"/>
    <n v="54"/>
  </r>
  <r>
    <n v="708"/>
    <x v="2"/>
    <x v="106"/>
    <s v="eth1/11"/>
    <x v="0"/>
    <x v="1"/>
    <x v="5"/>
    <s v="CEM:ITHCEMF2DAT06:LOM P1"/>
    <x v="0"/>
    <b v="0"/>
    <s v="No está en VPC"/>
    <n v="708"/>
    <s v="INTPG_VPC_708_1.11_709_1.12"/>
    <s v="ISEL-1.11"/>
    <n v="1"/>
    <s v="NO TIENE L3OUT"/>
    <n v="0"/>
    <n v="54"/>
  </r>
  <r>
    <n v="710"/>
    <x v="2"/>
    <x v="107"/>
    <s v="eth1/11"/>
    <x v="0"/>
    <x v="1"/>
    <x v="5"/>
    <s v="CEM:ITHCEMD2DAT06:LOM P1"/>
    <x v="0"/>
    <b v="0"/>
    <s v="No está en VPC"/>
    <n v="710"/>
    <s v="INTPG_VPC_710_1.11_711_1.12"/>
    <s v="ISEL-1.11"/>
    <n v="1"/>
    <s v="NO TIENE L3OUT"/>
    <n v="16"/>
    <n v="54"/>
  </r>
  <r>
    <n v="713"/>
    <x v="2"/>
    <x v="108"/>
    <s v="eth1/11"/>
    <x v="0"/>
    <x v="0"/>
    <x v="0"/>
    <s v="CEM:ITHCEMA2DAT06:LOM P1"/>
    <x v="0"/>
    <b v="0"/>
    <s v="No está en VPC"/>
    <n v="713"/>
    <s v="INTPG_ACC_713_1.11"/>
    <s v="ISEL-1.11"/>
    <n v="1"/>
    <s v="NO TIENE L3OUT"/>
    <n v="32"/>
    <n v="54"/>
  </r>
  <r>
    <n v="735"/>
    <x v="2"/>
    <x v="109"/>
    <s v="eth1/11"/>
    <x v="0"/>
    <x v="1"/>
    <x v="1"/>
    <s v="CEM:ITHCEMA1DAT06:LOM P3"/>
    <x v="5"/>
    <b v="0"/>
    <s v="No está en VPC"/>
    <n v="735"/>
    <s v="INTPG_ACC_735_1.11"/>
    <s v="ISEL-1.11"/>
    <n v="1"/>
    <s v="NO TIENE L3OUT"/>
    <n v="34"/>
    <n v="54"/>
  </r>
  <r>
    <n v="731"/>
    <x v="2"/>
    <x v="110"/>
    <s v="eth1/11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11"/>
    <x v="0"/>
    <x v="1"/>
    <x v="5"/>
    <m/>
    <x v="0"/>
    <b v="0"/>
    <s v="No está en VPC"/>
    <n v="703"/>
    <s v="INTPG_VPC_703_1.11_704_1.12"/>
    <s v="ISEL-1.11"/>
    <n v="1"/>
    <s v="NO TIENE L3OUT"/>
    <n v="2"/>
    <n v="54"/>
  </r>
  <r>
    <n v="706"/>
    <x v="2"/>
    <x v="112"/>
    <s v="eth1/11"/>
    <x v="0"/>
    <x v="0"/>
    <x v="0"/>
    <s v="CEM:ITHCEMA1DAT06:LOM  P1"/>
    <x v="0"/>
    <b v="0"/>
    <s v="No está en VPC"/>
    <n v="706"/>
    <s v="INTPG_ACC_706_1.11"/>
    <s v="ISEL-1.11"/>
    <n v="1"/>
    <s v="NO TIENE L3OUT"/>
    <n v="16"/>
    <n v="54"/>
  </r>
  <r>
    <n v="762"/>
    <x v="2"/>
    <x v="113"/>
    <s v="eth1/11"/>
    <x v="0"/>
    <x v="0"/>
    <x v="0"/>
    <s v="PAAS:ithhwoscopap011:FlexIO.1"/>
    <x v="0"/>
    <b v="0"/>
    <s v="No está en VPC"/>
    <n v="762"/>
    <s v="INTPG_VPC_762_1.11_763_1.11"/>
    <s v="ISEL-1.11"/>
    <n v="15"/>
    <s v="NO TIENE L3OUT"/>
    <n v="0"/>
    <n v="54"/>
  </r>
  <r>
    <n v="814"/>
    <x v="2"/>
    <x v="114"/>
    <s v="eth1/11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11"/>
    <x v="0"/>
    <x v="0"/>
    <x v="0"/>
    <s v="HACIA_MGMT-OSCP-F4-11_PRINCIPAL"/>
    <x v="4"/>
    <b v="0"/>
    <s v="No está en VPC"/>
    <n v="878"/>
    <s v="INTPG_VPC_878_1.11_879_1.11"/>
    <s v="ISEL-1.11"/>
    <n v="1"/>
    <s v="NO TIENE L3OUT"/>
    <n v="0"/>
    <n v="54"/>
  </r>
  <r>
    <n v="826"/>
    <x v="2"/>
    <x v="116"/>
    <s v="eth1/11"/>
    <x v="0"/>
    <x v="0"/>
    <x v="0"/>
    <s v="LINK_TO_ITHFHWCBSDSUSBD07 /10GE.1 /Principal"/>
    <x v="0"/>
    <b v="0"/>
    <s v="No está en VPC"/>
    <n v="826"/>
    <s v="INTPG_VPC_826_1.11_830_1.11"/>
    <s v="ISEL-1.11"/>
    <n v="1"/>
    <s v="NO TIENE L3OUT"/>
    <n v="12"/>
    <n v="54"/>
  </r>
  <r>
    <n v="726"/>
    <x v="2"/>
    <x v="117"/>
    <s v="eth1/11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11"/>
    <x v="0"/>
    <x v="1"/>
    <x v="1"/>
    <s v="CEM:ITHCEMC2DAT06:LOM P3"/>
    <x v="5"/>
    <b v="0"/>
    <s v="No está en VPC"/>
    <n v="740"/>
    <s v="INTPG_ACC_740_1.11"/>
    <s v="ISEL-1.11"/>
    <n v="1"/>
    <s v="NO TIENE L3OUT"/>
    <n v="72"/>
    <n v="54"/>
  </r>
  <r>
    <n v="705"/>
    <x v="2"/>
    <x v="119"/>
    <s v="eth1/11"/>
    <x v="0"/>
    <x v="0"/>
    <x v="0"/>
    <s v="CEM:ITHOIDB1SVR06:LOM  P2"/>
    <x v="0"/>
    <b v="0"/>
    <s v="No está en VPC"/>
    <n v="705"/>
    <s v="INTPG_VPC_705_1.11_706_1.12"/>
    <s v="ISEL-1.11"/>
    <n v="2"/>
    <s v="NO TIENE L3OUT"/>
    <n v="16"/>
    <n v="54"/>
  </r>
  <r>
    <n v="723"/>
    <x v="2"/>
    <x v="120"/>
    <s v="eth1/11"/>
    <x v="0"/>
    <x v="1"/>
    <x v="5"/>
    <m/>
    <x v="0"/>
    <b v="0"/>
    <s v="No está en VPC"/>
    <n v="723"/>
    <s v="INTPG-VPC_HDD115_723_1.11_722_1.12"/>
    <s v="ISEL-1.11"/>
    <n v="1"/>
    <s v="NO TIENE L3OUT"/>
    <n v="0"/>
    <n v="54"/>
  </r>
  <r>
    <n v="721"/>
    <x v="2"/>
    <x v="121"/>
    <s v="eth1/11"/>
    <x v="0"/>
    <x v="0"/>
    <x v="0"/>
    <s v="TO-ITHFHWVRALCN05"/>
    <x v="0"/>
    <b v="0"/>
    <s v="No está en VPC"/>
    <n v="721"/>
    <s v="INTPG_VPC_714_1.12_721_1.11"/>
    <s v="ISEL-1.11"/>
    <n v="108"/>
    <s v="NO TIENE L3OUT"/>
    <n v="20"/>
    <n v="54"/>
  </r>
  <r>
    <n v="788"/>
    <x v="2"/>
    <x v="122"/>
    <s v="eth1/11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11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11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11"/>
    <x v="0"/>
    <x v="1"/>
    <x v="5"/>
    <s v="CEM:ITHCEME2DAT06:LOM P1"/>
    <x v="0"/>
    <b v="0"/>
    <s v="No está en VPC"/>
    <n v="709"/>
    <s v="INTPG_VPC_708_1.12_709_1.11"/>
    <s v="ISEL-1.11"/>
    <n v="1"/>
    <s v="NO TIENE L3OUT"/>
    <n v="0"/>
    <n v="54"/>
  </r>
  <r>
    <n v="454"/>
    <x v="1"/>
    <x v="126"/>
    <s v="eth1/11"/>
    <x v="0"/>
    <x v="0"/>
    <x v="0"/>
    <s v="HACIA_MGMT-OSCP-F4-07_PRINCIPAL"/>
    <x v="4"/>
    <b v="0"/>
    <s v="No está en VPC"/>
    <n v="454"/>
    <s v="INTPG_VPC_454_1.11_456_1.11"/>
    <s v="ISEL-1.11"/>
    <n v="1"/>
    <s v="NO TIENE L3OUT"/>
    <n v="4"/>
    <n v="54"/>
  </r>
  <r>
    <n v="734"/>
    <x v="2"/>
    <x v="127"/>
    <s v="eth1/11"/>
    <x v="0"/>
    <x v="1"/>
    <x v="1"/>
    <s v="CEM_HADOOP"/>
    <x v="5"/>
    <b v="0"/>
    <s v="No está en VPC"/>
    <n v="734"/>
    <s v="INTPG_ACC_734_1.11"/>
    <s v="ISEL-1.11"/>
    <n v="1"/>
    <s v="NO TIENE L3OUT"/>
    <n v="32"/>
    <n v="54"/>
  </r>
  <r>
    <n v="815"/>
    <x v="2"/>
    <x v="128"/>
    <s v="eth1/11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11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11"/>
    <x v="0"/>
    <x v="0"/>
    <x v="0"/>
    <m/>
    <x v="0"/>
    <b v="0"/>
    <s v="No está en VPC"/>
    <n v="718"/>
    <s v="INTPG-VPC_HDD12_718_1.11_717_1.12"/>
    <s v="ISEL-1.11"/>
    <n v="1"/>
    <s v="NO TIENE L3OUT"/>
    <n v="0"/>
    <n v="54"/>
  </r>
  <r>
    <n v="744"/>
    <x v="2"/>
    <x v="131"/>
    <s v="eth1/11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11"/>
    <x v="0"/>
    <x v="1"/>
    <x v="1"/>
    <s v="CEM:ITHCEMB2DAT06:LOM P3"/>
    <x v="5"/>
    <b v="0"/>
    <s v="No está en VPC"/>
    <n v="741"/>
    <s v="INTPG_ACC_741_1.11"/>
    <s v="ISEL-1.11"/>
    <n v="1"/>
    <s v="NO TIENE L3OUT"/>
    <n v="62"/>
    <n v="54"/>
  </r>
  <r>
    <n v="787"/>
    <x v="2"/>
    <x v="133"/>
    <s v="eth1/11"/>
    <x v="0"/>
    <x v="0"/>
    <x v="0"/>
    <s v="ENIQ F2:itheniqr16bl04mws1r4a:Slot 2/2"/>
    <x v="0"/>
    <b v="0"/>
    <s v="No está en VPC"/>
    <n v="787"/>
    <s v="INTPG_ACC_787_1.11"/>
    <s v="ISEL-1.11"/>
    <n v="1"/>
    <s v="NO TIENE L3OUT"/>
    <n v="26"/>
    <n v="54"/>
  </r>
  <r>
    <n v="750"/>
    <x v="2"/>
    <x v="134"/>
    <s v="eth1/11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11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11"/>
    <x v="0"/>
    <x v="0"/>
    <x v="0"/>
    <s v="CEM:ITHCEMG2DAT06:LOM  P2"/>
    <x v="0"/>
    <b v="0"/>
    <s v="No está en VPC"/>
    <n v="736"/>
    <s v="INTPG_ACC_736_1.11"/>
    <s v="ISEL-1.11"/>
    <n v="1"/>
    <s v="NO TIENE L3OUT"/>
    <n v="48"/>
    <n v="54"/>
  </r>
  <r>
    <n v="799"/>
    <x v="2"/>
    <x v="137"/>
    <s v="eth1/11"/>
    <x v="0"/>
    <x v="0"/>
    <x v="0"/>
    <s v="TO-IMC_PS25-MSP"/>
    <x v="0"/>
    <b v="0"/>
    <s v="No está en VPC"/>
    <n v="799"/>
    <s v="INTPG_ACC_799_1.11"/>
    <s v="ISEL-1.11"/>
    <n v="1"/>
    <s v="NO TIENE L3OUT"/>
    <n v="52"/>
    <n v="54"/>
  </r>
  <r>
    <n v="768"/>
    <x v="2"/>
    <x v="138"/>
    <s v="eth1/11"/>
    <x v="0"/>
    <x v="0"/>
    <x v="0"/>
    <s v="Portchannel_2_R3"/>
    <x v="0"/>
    <b v="0"/>
    <s v="No está en VPC"/>
    <n v="768"/>
    <s v="INTPG_PC_768_1.11-12"/>
    <s v="ISEL-1.11"/>
    <n v="8"/>
    <s v="NO TIENE L3OUT"/>
    <n v="62"/>
    <n v="54"/>
  </r>
  <r>
    <n v="714"/>
    <x v="2"/>
    <x v="139"/>
    <s v="eth1/11"/>
    <x v="0"/>
    <x v="0"/>
    <x v="0"/>
    <m/>
    <x v="0"/>
    <b v="0"/>
    <s v="No está en VPC"/>
    <n v="714"/>
    <s v="INTPG-VPC_HDD55_714_1.11_721_1.12"/>
    <s v="ISEL-1.11"/>
    <n v="2"/>
    <s v="NO TIENE L3OUT"/>
    <n v="20"/>
    <n v="54"/>
  </r>
  <r>
    <n v="717"/>
    <x v="2"/>
    <x v="140"/>
    <s v="eth1/11"/>
    <x v="0"/>
    <x v="0"/>
    <x v="0"/>
    <m/>
    <x v="0"/>
    <b v="0"/>
    <s v="No está en VPC"/>
    <n v="717"/>
    <s v="INTPG-VPC_HDD22_717_1.11_718_1.12"/>
    <s v="ISEL-1.11"/>
    <n v="1"/>
    <s v="NO TIENE L3OUT"/>
    <n v="0"/>
    <n v="54"/>
  </r>
  <r>
    <n v="789"/>
    <x v="2"/>
    <x v="141"/>
    <s v="eth1/11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11"/>
    <x v="0"/>
    <x v="0"/>
    <x v="0"/>
    <s v="Portchannel_2_R1"/>
    <x v="0"/>
    <b v="0"/>
    <s v="No está en VPC"/>
    <n v="764"/>
    <s v="INTPG_PC_764_1.11-12"/>
    <s v="ISEL-1.11"/>
    <n v="8"/>
    <s v="NO TIENE L3OUT"/>
    <n v="62"/>
    <n v="54"/>
  </r>
  <r>
    <n v="783"/>
    <x v="2"/>
    <x v="143"/>
    <s v="eth1/11"/>
    <x v="0"/>
    <x v="0"/>
    <x v="0"/>
    <s v="itheniqr09bl04mws1r9a"/>
    <x v="0"/>
    <b v="0"/>
    <s v="No está en VPC"/>
    <n v="783"/>
    <s v="INTPG_ACC_783_1.11"/>
    <s v="ISEL-1.11"/>
    <n v="1"/>
    <s v="NO TIENE L3OUT"/>
    <n v="26"/>
    <n v="54"/>
  </r>
  <r>
    <n v="774"/>
    <x v="2"/>
    <x v="144"/>
    <s v="eth1/11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11"/>
    <x v="0"/>
    <x v="0"/>
    <x v="0"/>
    <s v="TO-ITHFF5IOTUPLB01"/>
    <x v="0"/>
    <b v="0"/>
    <s v="No está en VPC"/>
    <n v="773"/>
    <s v="INTPG_VPC_772_1.15_773_1.11"/>
    <s v="ISEL-1.11"/>
    <n v="4"/>
    <s v="NO TIENE L3OUT"/>
    <n v="78"/>
    <n v="54"/>
  </r>
  <r>
    <n v="794"/>
    <x v="2"/>
    <x v="146"/>
    <s v="eth1/11"/>
    <x v="0"/>
    <x v="0"/>
    <x v="0"/>
    <s v="DESC"/>
    <x v="0"/>
    <b v="0"/>
    <s v="No está en VPC"/>
    <n v="794"/>
    <s v="INTPG_VPC_793_1.9_11_794_1.9_11"/>
    <s v="ISEL-1.11"/>
    <n v="1"/>
    <s v="NO TIENE L3OUT"/>
    <n v="12"/>
    <n v="54"/>
  </r>
  <r>
    <n v="803"/>
    <x v="2"/>
    <x v="147"/>
    <s v="eth1/11"/>
    <x v="0"/>
    <x v="1"/>
    <x v="1"/>
    <s v="TO-HDPS_37-MSP"/>
    <x v="0"/>
    <b v="0"/>
    <s v="No está en VPC"/>
    <n v="803"/>
    <s v="INTPG_ACC_803_1.11"/>
    <s v="ISEL-1.11"/>
    <n v="1"/>
    <s v="NO TIENE L3OUT"/>
    <n v="48"/>
    <n v="54"/>
  </r>
  <r>
    <n v="786"/>
    <x v="2"/>
    <x v="148"/>
    <s v="eth1/11"/>
    <x v="0"/>
    <x v="0"/>
    <x v="0"/>
    <s v="ENIQ F2:itheniqr14bl04mws1r4b:Slot 2/2"/>
    <x v="0"/>
    <b v="0"/>
    <s v="No está en VPC"/>
    <n v="786"/>
    <s v="INTPG_ACC_786_1.11"/>
    <s v="ISEL-1.11"/>
    <n v="1"/>
    <s v="NO TIENE L3OUT"/>
    <n v="26"/>
    <n v="54"/>
  </r>
  <r>
    <n v="757"/>
    <x v="2"/>
    <x v="149"/>
    <s v="eth1/11"/>
    <x v="0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11"/>
    <x v="0"/>
    <x v="0"/>
    <x v="0"/>
    <s v="itheniqr07bl04mws1r9c"/>
    <x v="0"/>
    <b v="0"/>
    <s v="No está en VPC"/>
    <n v="781"/>
    <s v="INTPG_ACC_781_1.11"/>
    <s v="ISEL-1.11"/>
    <n v="1"/>
    <s v="NO TIENE L3OUT"/>
    <n v="26"/>
    <n v="54"/>
  </r>
  <r>
    <n v="793"/>
    <x v="2"/>
    <x v="151"/>
    <s v="eth1/11"/>
    <x v="0"/>
    <x v="0"/>
    <x v="0"/>
    <s v="DESC"/>
    <x v="0"/>
    <b v="0"/>
    <s v="No está en VPC"/>
    <n v="793"/>
    <s v="INTPG_VPC_793_1.9_11_794_1.9_11"/>
    <s v="ISEL-1.11"/>
    <n v="1"/>
    <s v="NO TIENE L3OUT"/>
    <n v="12"/>
    <n v="54"/>
  </r>
  <r>
    <n v="747"/>
    <x v="2"/>
    <x v="152"/>
    <s v="eth1/11"/>
    <x v="0"/>
    <x v="0"/>
    <x v="0"/>
    <s v="PAAS:ithhwoscopap011:LOM PORT 1"/>
    <x v="0"/>
    <b v="0"/>
    <s v="No está en VPC"/>
    <n v="747"/>
    <s v="INTPG_VPC_747_1.11_752_1.11"/>
    <s v="ISEL-1.11"/>
    <n v="25"/>
    <s v="NO TIENE L3OUT"/>
    <n v="0"/>
    <n v="54"/>
  </r>
  <r>
    <n v="784"/>
    <x v="2"/>
    <x v="153"/>
    <s v="eth1/11"/>
    <x v="0"/>
    <x v="0"/>
    <x v="0"/>
    <s v="ENIQ F2:itheniqr12bl04mws1r6b:Slot 2/2"/>
    <x v="0"/>
    <b v="0"/>
    <s v="No está en VPC"/>
    <n v="784"/>
    <s v="INTPG_ACC_784_1.11"/>
    <s v="ISEL-1.11"/>
    <n v="1"/>
    <s v="NO TIENE L3OUT"/>
    <n v="26"/>
    <n v="54"/>
  </r>
  <r>
    <n v="806"/>
    <x v="2"/>
    <x v="154"/>
    <s v="eth1/11"/>
    <x v="0"/>
    <x v="0"/>
    <x v="0"/>
    <s v="TO-HDPS_61-MSP"/>
    <x v="0"/>
    <b v="0"/>
    <s v="No está en VPC"/>
    <n v="806"/>
    <s v="INTPG_ACC_806_1.11"/>
    <s v="ISEL-1.11"/>
    <n v="1"/>
    <s v="NO TIENE L3OUT"/>
    <n v="44"/>
    <n v="54"/>
  </r>
  <r>
    <n v="777"/>
    <x v="2"/>
    <x v="155"/>
    <s v="eth1/11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11"/>
    <x v="0"/>
    <x v="0"/>
    <x v="0"/>
    <s v="Portchannel_7_R4B"/>
    <x v="0"/>
    <b v="0"/>
    <s v="No está en VPC"/>
    <n v="770"/>
    <s v="INTPG_PC_770_1.9-12"/>
    <s v="ISEL-1.11"/>
    <n v="1"/>
    <s v="NO TIENE L3OUT"/>
    <n v="60"/>
    <n v="54"/>
  </r>
  <r>
    <n v="813"/>
    <x v="2"/>
    <x v="157"/>
    <s v="eth1/11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11"/>
    <x v="0"/>
    <x v="0"/>
    <x v="0"/>
    <s v="CEM:ITHCEMD2DAT06:LOM P3"/>
    <x v="5"/>
    <b v="0"/>
    <s v="No está en VPC"/>
    <n v="739"/>
    <s v="INTPG_ACC_739_1.11"/>
    <s v="ISEL-1.11"/>
    <n v="1"/>
    <s v="NO TIENE L3OUT"/>
    <n v="72"/>
    <n v="54"/>
  </r>
  <r>
    <n v="775"/>
    <x v="2"/>
    <x v="159"/>
    <s v="eth1/11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11"/>
    <x v="0"/>
    <x v="0"/>
    <x v="0"/>
    <s v="LINK_TO_VPCA_NAS_ITHEMCPS5200TWPT3 / Nodo A INT 0.3 / Redundante"/>
    <x v="0"/>
    <b v="0"/>
    <s v="No está en VPC"/>
    <n v="791"/>
    <s v="INTPG_VPC_790_1.11_791_1.11"/>
    <s v="ISEL-1.11"/>
    <n v="3"/>
    <s v="NO TIENE L3OUT"/>
    <n v="20"/>
    <n v="54"/>
  </r>
  <r>
    <n v="808"/>
    <x v="2"/>
    <x v="161"/>
    <s v="eth1/11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11"/>
    <x v="0"/>
    <x v="0"/>
    <x v="0"/>
    <s v="LINK_TO_ITHFHWCBSDSUSBD07 /Slot5.1 /Redundante"/>
    <x v="0"/>
    <b v="0"/>
    <s v="No está en VPC"/>
    <n v="830"/>
    <s v="INTPG_VPC_826_1.11_830_1.11"/>
    <s v="ISEL-1.11"/>
    <n v="1"/>
    <s v="NO TIENE L3OUT"/>
    <n v="12"/>
    <n v="54"/>
  </r>
  <r>
    <n v="821"/>
    <x v="2"/>
    <x v="163"/>
    <s v="eth1/11"/>
    <x v="0"/>
    <x v="0"/>
    <x v="0"/>
    <s v="LINK_TO_ITHFHWCBSPSUSBD13 /Slot5.1 /Redundante"/>
    <x v="0"/>
    <b v="0"/>
    <s v="No está en VPC"/>
    <n v="821"/>
    <s v="INTPG_VPC_816_1.11_821_1.11"/>
    <s v="ISEL-1.11"/>
    <n v="1"/>
    <s v="NO TIENE L3OUT"/>
    <n v="0"/>
    <n v="54"/>
  </r>
  <r>
    <n v="738"/>
    <x v="2"/>
    <x v="164"/>
    <s v="eth1/11"/>
    <x v="0"/>
    <x v="0"/>
    <x v="0"/>
    <s v="CEM:ITHCEME2DAT06:LOM P3"/>
    <x v="5"/>
    <b v="0"/>
    <s v="No está en VPC"/>
    <n v="738"/>
    <s v="INTPG_ACC_738_1.11"/>
    <s v="ISEL-1.11"/>
    <n v="1"/>
    <s v="NO TIENE L3OUT"/>
    <n v="72"/>
    <n v="54"/>
  </r>
  <r>
    <n v="820"/>
    <x v="2"/>
    <x v="165"/>
    <s v="eth1/11"/>
    <x v="0"/>
    <x v="0"/>
    <x v="0"/>
    <s v="LINK_TO_ITHHWCRMPEN02 /X3-10GE 6 /Redundante"/>
    <x v="0"/>
    <b v="0"/>
    <s v="No está en VPC"/>
    <n v="820"/>
    <s v="INTPG_VPC_820_1.7-8_10-11_825_1.7-8_10-11"/>
    <s v="ISEL-1.11"/>
    <n v="1"/>
    <s v="NO TIENE L3OUT"/>
    <n v="72"/>
    <n v="54"/>
  </r>
  <r>
    <n v="804"/>
    <x v="2"/>
    <x v="166"/>
    <s v="eth1/11"/>
    <x v="0"/>
    <x v="0"/>
    <x v="0"/>
    <s v="TO-HDPS_37-MSP"/>
    <x v="0"/>
    <b v="0"/>
    <s v="No está en VPC"/>
    <n v="804"/>
    <s v="INTPG_ACC_804_1.11"/>
    <s v="ISEL-1.11"/>
    <n v="1"/>
    <s v="NO TIENE L3OUT"/>
    <n v="48"/>
    <n v="54"/>
  </r>
  <r>
    <n v="779"/>
    <x v="2"/>
    <x v="167"/>
    <s v="eth1/11"/>
    <x v="0"/>
    <x v="0"/>
    <x v="0"/>
    <s v="ENIQ F1:itheniqr08mwsr3:Slot 2/2"/>
    <x v="0"/>
    <b v="0"/>
    <s v="No está en VPC"/>
    <n v="779"/>
    <s v="INTPG_ACC_779_1.11"/>
    <s v="ISEL-1.11"/>
    <n v="1"/>
    <s v="NO TIENE L3OUT"/>
    <n v="30"/>
    <n v="54"/>
  </r>
  <r>
    <n v="767"/>
    <x v="2"/>
    <x v="168"/>
    <s v="eth1/11"/>
    <x v="0"/>
    <x v="0"/>
    <x v="0"/>
    <s v="Portchannel_7_R3"/>
    <x v="0"/>
    <b v="0"/>
    <s v="No está en VPC"/>
    <n v="767"/>
    <s v="INTPG_PC_767_1.11-14"/>
    <s v="ISEL-1.11"/>
    <n v="1"/>
    <s v="NO TIENE L3OUT"/>
    <n v="60"/>
    <n v="54"/>
  </r>
  <r>
    <n v="827"/>
    <x v="2"/>
    <x v="169"/>
    <s v="eth1/11"/>
    <x v="0"/>
    <x v="0"/>
    <x v="0"/>
    <s v="LINK_TO_ITHFHWCBSDSUSBD09 /Slot5.2 /Principal"/>
    <x v="0"/>
    <b v="0"/>
    <s v="No está en VPC"/>
    <n v="827"/>
    <s v="INTPG_VPC_827_1.11_831_1.11"/>
    <s v="ISEL-1.11"/>
    <n v="2"/>
    <s v="NO TIENE L3OUT"/>
    <n v="14"/>
    <n v="54"/>
  </r>
  <r>
    <n v="809"/>
    <x v="2"/>
    <x v="170"/>
    <s v="eth1/11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11"/>
    <x v="0"/>
    <x v="0"/>
    <x v="0"/>
    <s v="Portchannel_3_R4B"/>
    <x v="0"/>
    <b v="0"/>
    <s v="No está en VPC"/>
    <n v="771"/>
    <s v="INTPG_PC_771_1.11-12"/>
    <s v="ISEL-1.11"/>
    <n v="8"/>
    <s v="NO TIENE L3OUT"/>
    <n v="62"/>
    <n v="54"/>
  </r>
  <r>
    <n v="761"/>
    <x v="2"/>
    <x v="172"/>
    <s v="eth1/11"/>
    <x v="0"/>
    <x v="1"/>
    <x v="1"/>
    <m/>
    <x v="0"/>
    <b v="0"/>
    <s v="No está en VPC"/>
    <n v="761"/>
    <s v="INTPG_VPC_760_1.9-12_761_1.9-12"/>
    <s v="ISEL-1.11"/>
    <n v="0"/>
    <s v="L3OUT-EXACLOUD"/>
    <n v="0"/>
    <n v="54"/>
  </r>
  <r>
    <n v="776"/>
    <x v="2"/>
    <x v="173"/>
    <s v="eth1/11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11"/>
    <x v="0"/>
    <x v="0"/>
    <x v="0"/>
    <s v="TO-HDPS_61-MSP"/>
    <x v="0"/>
    <b v="0"/>
    <s v="No está en VPC"/>
    <n v="805"/>
    <s v="INTPG_ACC_805_1.11"/>
    <s v="ISEL-1.11"/>
    <n v="1"/>
    <s v="NO TIENE L3OUT"/>
    <n v="44"/>
    <n v="54"/>
  </r>
  <r>
    <n v="772"/>
    <x v="2"/>
    <x v="175"/>
    <s v="eth1/11"/>
    <x v="0"/>
    <x v="0"/>
    <x v="0"/>
    <s v="Portchannel_2_R2"/>
    <x v="0"/>
    <b v="0"/>
    <s v="No está en VPC"/>
    <n v="772"/>
    <s v="INTPG_PC_772_1.11-12"/>
    <s v="ISEL-1.11"/>
    <n v="8"/>
    <s v="NO TIENE L3OUT"/>
    <n v="82"/>
    <n v="54"/>
  </r>
  <r>
    <n v="785"/>
    <x v="2"/>
    <x v="176"/>
    <s v="eth1/11"/>
    <x v="0"/>
    <x v="0"/>
    <x v="0"/>
    <s v="ENIQ F2:itheniqr13bl04mws1r6a:Slot 2/2"/>
    <x v="0"/>
    <b v="0"/>
    <s v="No está en VPC"/>
    <n v="785"/>
    <s v="INTPG_ACC_785_1.11"/>
    <s v="ISEL-1.11"/>
    <n v="1"/>
    <s v="NO TIENE L3OUT"/>
    <n v="32"/>
    <n v="54"/>
  </r>
  <r>
    <n v="851"/>
    <x v="2"/>
    <x v="177"/>
    <s v="eth1/11"/>
    <x v="0"/>
    <x v="0"/>
    <x v="0"/>
    <s v="LINK_TO_ITHFHWCRMPLCN104 / Slot7.2_12 / Redundante"/>
    <x v="0"/>
    <b v="0"/>
    <s v="No está en VPC"/>
    <n v="851"/>
    <s v="INTPG_ACC_851_1.11"/>
    <s v="ISEL-1.11"/>
    <n v="2"/>
    <s v="NO TIENE L3OUT"/>
    <n v="282"/>
    <n v="54"/>
  </r>
  <r>
    <n v="798"/>
    <x v="2"/>
    <x v="178"/>
    <s v="eth1/11"/>
    <x v="0"/>
    <x v="0"/>
    <x v="0"/>
    <s v="TO-IMC_PS25-MSP"/>
    <x v="0"/>
    <b v="0"/>
    <s v="No está en VPC"/>
    <n v="798"/>
    <s v="INTPG_ACC_798_1.11"/>
    <s v="ISEL-1.11"/>
    <n v="1"/>
    <s v="NO TIENE L3OUT"/>
    <n v="52"/>
    <n v="54"/>
  </r>
  <r>
    <n v="782"/>
    <x v="2"/>
    <x v="179"/>
    <s v="eth1/11"/>
    <x v="0"/>
    <x v="0"/>
    <x v="0"/>
    <s v="itheniqr08bl04mws1r9b"/>
    <x v="0"/>
    <b v="0"/>
    <s v="No está en VPC"/>
    <n v="782"/>
    <s v="INTPG_ACC_782_1.11"/>
    <s v="ISEL-1.11"/>
    <n v="1"/>
    <s v="NO TIENE L3OUT"/>
    <n v="32"/>
    <n v="54"/>
  </r>
  <r>
    <n v="852"/>
    <x v="2"/>
    <x v="180"/>
    <s v="eth1/11"/>
    <x v="0"/>
    <x v="0"/>
    <x v="0"/>
    <s v="LINK_TO_ITHFHWCRMPLCN100 / Slot7.3_32 / Redundante"/>
    <x v="0"/>
    <b v="0"/>
    <s v="No está en VPC"/>
    <n v="852"/>
    <s v="INTPG_ACC_852_1.11"/>
    <s v="ISEL-1.11"/>
    <n v="1"/>
    <s v="NO TIENE L3OUT"/>
    <n v="258"/>
    <n v="54"/>
  </r>
  <r>
    <n v="817"/>
    <x v="2"/>
    <x v="181"/>
    <s v="eth1/11"/>
    <x v="0"/>
    <x v="0"/>
    <x v="0"/>
    <s v="LINK_TO_ITHFHWCBSPSUSBD08 /10GE.1 /Principal"/>
    <x v="0"/>
    <b v="0"/>
    <s v="No está en VPC"/>
    <n v="817"/>
    <s v="INTPG_VPC_817_1.11_822_1.11"/>
    <s v="ISEL-1.11"/>
    <n v="1"/>
    <s v="NO TIENE L3OUT"/>
    <n v="0"/>
    <n v="54"/>
  </r>
  <r>
    <n v="832"/>
    <x v="2"/>
    <x v="182"/>
    <s v="eth1/11"/>
    <x v="0"/>
    <x v="0"/>
    <x v="0"/>
    <s v="LINK_TO_ITHHWD6KV60014DKC01 /CtrlA_IOM1.P1 /Redundante"/>
    <x v="0"/>
    <b v="0"/>
    <s v="No está en VPC"/>
    <n v="832"/>
    <s v="INTPG_ACC_832_1.11"/>
    <s v="ISEL-1.11"/>
    <n v="1"/>
    <s v="NO TIENE L3OUT"/>
    <n v="192"/>
    <n v="54"/>
  </r>
  <r>
    <n v="816"/>
    <x v="2"/>
    <x v="183"/>
    <s v="eth1/11"/>
    <x v="0"/>
    <x v="0"/>
    <x v="0"/>
    <s v="LINK_TO_ITHFHWCBSPSUSBD13 /10GE.1 /Principal"/>
    <x v="0"/>
    <b v="0"/>
    <s v="No está en VPC"/>
    <n v="816"/>
    <s v="INTPG_VPC_816_1.11_821_1.11"/>
    <s v="ISEL-1.11"/>
    <n v="1"/>
    <s v="NO TIENE L3OUT"/>
    <n v="0"/>
    <n v="54"/>
  </r>
  <r>
    <n v="825"/>
    <x v="2"/>
    <x v="184"/>
    <s v="eth1/11"/>
    <x v="0"/>
    <x v="0"/>
    <x v="0"/>
    <s v="LINK_TO_ITHHWCRMPEN02 /X3-10GE 5 /Principal"/>
    <x v="0"/>
    <b v="0"/>
    <s v="No está en VPC"/>
    <n v="825"/>
    <s v="INTPG_VPC_820_1.7-8_10-11_825_1.7-8_10-11"/>
    <s v="ISEL-1.11"/>
    <n v="1"/>
    <s v="NO TIENE L3OUT"/>
    <n v="72"/>
    <n v="54"/>
  </r>
  <r>
    <n v="800"/>
    <x v="2"/>
    <x v="185"/>
    <s v="eth1/11"/>
    <x v="0"/>
    <x v="0"/>
    <x v="0"/>
    <s v="TO-CEPS_07-MSP"/>
    <x v="0"/>
    <b v="0"/>
    <s v="No está en VPC"/>
    <n v="800"/>
    <s v="INTPG_ACC_800_1.11"/>
    <s v="ISEL-1.11"/>
    <n v="1"/>
    <s v="NO TIENE L3OUT"/>
    <n v="78"/>
    <n v="54"/>
  </r>
  <r>
    <n v="801"/>
    <x v="2"/>
    <x v="186"/>
    <s v="eth1/11"/>
    <x v="0"/>
    <x v="0"/>
    <x v="0"/>
    <s v="TO-CEPS_07-MSP"/>
    <x v="0"/>
    <b v="0"/>
    <s v="No está en VPC"/>
    <n v="801"/>
    <s v="INTPG_ACC_801_1.11"/>
    <s v="ISEL-1.11"/>
    <n v="1"/>
    <s v="NO TIENE L3OUT"/>
    <n v="78"/>
    <n v="54"/>
  </r>
  <r>
    <n v="823"/>
    <x v="2"/>
    <x v="187"/>
    <s v="eth1/11"/>
    <x v="0"/>
    <x v="0"/>
    <x v="0"/>
    <s v="LINK_TO_ITHFHWCBSPSUSBD15 /Slot7.2 /Redundante"/>
    <x v="0"/>
    <b v="0"/>
    <s v="No está en VPC"/>
    <n v="823"/>
    <s v="INTPG_VPC_818_1.11_823_1.11"/>
    <s v="ISEL-1.11"/>
    <n v="2"/>
    <s v="NO TIENE L3OUT"/>
    <n v="8"/>
    <n v="54"/>
  </r>
  <r>
    <n v="837"/>
    <x v="2"/>
    <x v="188"/>
    <s v="eth1/11"/>
    <x v="0"/>
    <x v="0"/>
    <x v="0"/>
    <s v="LINK_TO_ITHFHWCBSPSUSBD28 / Slot1.1_8 / Principal"/>
    <x v="0"/>
    <b v="0"/>
    <s v="No está en VPC"/>
    <n v="837"/>
    <s v="INTPG_VPC_837_1.11_842_1.11"/>
    <s v="ISEL-1.11"/>
    <n v="2"/>
    <s v="NO TIENE L3OUT"/>
    <n v="8"/>
    <n v="54"/>
  </r>
  <r>
    <n v="867"/>
    <x v="2"/>
    <x v="189"/>
    <s v="eth1/11"/>
    <x v="0"/>
    <x v="0"/>
    <x v="0"/>
    <s v="TO-ITHFSUEXG2XCN02_PCI3.P2"/>
    <x v="0"/>
    <b v="0"/>
    <s v="No está en VPC"/>
    <n v="867"/>
    <s v="INTPG_ACC_867_1.11"/>
    <s v="ISEL-1.11"/>
    <n v="2"/>
    <s v="NO TIENE L3OUT"/>
    <n v="44"/>
    <n v="54"/>
  </r>
  <r>
    <n v="829"/>
    <x v="2"/>
    <x v="190"/>
    <s v="eth1/11"/>
    <x v="0"/>
    <x v="0"/>
    <x v="0"/>
    <s v="LINK_TO_ITHFHWCRMDLCN31 /Slot5.1 /Redundante"/>
    <x v="0"/>
    <b v="0"/>
    <s v="No está en VPC"/>
    <n v="829"/>
    <s v="INTPG_ACC_829_1.11"/>
    <s v="ISEL-1.11"/>
    <n v="2"/>
    <s v="NO TIENE L3OUT"/>
    <n v="224"/>
    <n v="54"/>
  </r>
  <r>
    <n v="831"/>
    <x v="2"/>
    <x v="191"/>
    <s v="eth1/11"/>
    <x v="0"/>
    <x v="0"/>
    <x v="0"/>
    <s v="LINK_TO_ITHFHWCBSDSUSBD09 /Slot7.2 /Redundante"/>
    <x v="0"/>
    <b v="0"/>
    <s v="No está en VPC"/>
    <n v="831"/>
    <s v="INTPG_VPC_827_1.11_831_1.11"/>
    <s v="ISEL-1.11"/>
    <n v="2"/>
    <s v="NO TIENE L3OUT"/>
    <n v="14"/>
    <n v="54"/>
  </r>
  <r>
    <n v="802"/>
    <x v="2"/>
    <x v="192"/>
    <s v="eth1/11"/>
    <x v="0"/>
    <x v="0"/>
    <x v="0"/>
    <s v="TO-HDPS_13-MSP"/>
    <x v="0"/>
    <b v="0"/>
    <s v="No está en VPC"/>
    <n v="802"/>
    <s v="INTPG_ACC_802_1.11"/>
    <s v="ISEL-1.11"/>
    <n v="1"/>
    <s v="NO TIENE L3OUT"/>
    <n v="48"/>
    <n v="54"/>
  </r>
  <r>
    <n v="835"/>
    <x v="2"/>
    <x v="193"/>
    <s v="eth1/11"/>
    <x v="0"/>
    <x v="0"/>
    <x v="0"/>
    <s v="LINK_TO_ITHFHWCBSPSWR57 / Slot1.2_26 / Principal"/>
    <x v="0"/>
    <b v="0"/>
    <s v="No está en VPC"/>
    <n v="835"/>
    <s v="INTPG_VPC_835_1.11_840_1.11"/>
    <s v="ISEL-1.11"/>
    <n v="1"/>
    <s v="NO TIENE L3OUT"/>
    <n v="8"/>
    <n v="54"/>
  </r>
  <r>
    <n v="822"/>
    <x v="2"/>
    <x v="194"/>
    <s v="eth1/11"/>
    <x v="0"/>
    <x v="0"/>
    <x v="0"/>
    <s v="LINK_TO_ITHFHWCBSPSUSBD08 /Slot5.1 /Redundante"/>
    <x v="0"/>
    <b v="0"/>
    <s v="No está en VPC"/>
    <n v="822"/>
    <s v="INTPG_VPC_817_1.11_822_1.11"/>
    <s v="ISEL-1.11"/>
    <n v="1"/>
    <s v="NO TIENE L3OUT"/>
    <n v="0"/>
    <n v="54"/>
  </r>
  <r>
    <n v="854"/>
    <x v="2"/>
    <x v="195"/>
    <s v="eth1/11"/>
    <x v="0"/>
    <x v="0"/>
    <x v="0"/>
    <s v="LINK_TO_ITHFHWCRMPLCN169 / Slot1.1_8 / Principal"/>
    <x v="0"/>
    <b v="0"/>
    <s v="No está en VPC"/>
    <n v="854"/>
    <s v="INTPG_ACC_854_1.11"/>
    <s v="ISEL-1.11"/>
    <n v="6"/>
    <s v="NO TIENE L3OUT"/>
    <n v="204"/>
    <n v="54"/>
  </r>
  <r>
    <n v="858"/>
    <x v="2"/>
    <x v="196"/>
    <s v="eth1/11"/>
    <x v="0"/>
    <x v="0"/>
    <x v="0"/>
    <s v="To_VPC_2DCBSD_HD40_2"/>
    <x v="0"/>
    <b v="0"/>
    <s v="No está en VPC"/>
    <n v="858"/>
    <s v="INTPG_VPC_858_1.11_863_1.11"/>
    <s v="ISEL-1.11"/>
    <n v="1"/>
    <s v="NO TIENE L3OUT"/>
    <n v="8"/>
    <n v="54"/>
  </r>
  <r>
    <n v="857"/>
    <x v="2"/>
    <x v="197"/>
    <s v="eth1/11"/>
    <x v="0"/>
    <x v="0"/>
    <x v="0"/>
    <s v="LINKT_TO_ITHFHWCRMPLCN119 / Slot1.1_8 / Principal"/>
    <x v="0"/>
    <b v="0"/>
    <s v="No está en VPC"/>
    <n v="857"/>
    <s v="INTPG_ACC_857_1.11"/>
    <s v="ISEL-1.11"/>
    <n v="6"/>
    <s v="NO TIENE L3OUT"/>
    <n v="288"/>
    <n v="54"/>
  </r>
  <r>
    <n v="859"/>
    <x v="2"/>
    <x v="198"/>
    <s v="eth1/11"/>
    <x v="0"/>
    <x v="0"/>
    <x v="0"/>
    <s v="To_VPC_2DCBSD_HD34_2"/>
    <x v="0"/>
    <b v="0"/>
    <s v="No está en VPC"/>
    <n v="859"/>
    <s v="INTPG_VPC_859_1.11_864_1.11"/>
    <s v="ISEL-1.11"/>
    <n v="1"/>
    <s v="NO TIENE L3OUT"/>
    <n v="0"/>
    <n v="54"/>
  </r>
  <r>
    <n v="833"/>
    <x v="2"/>
    <x v="199"/>
    <s v="eth1/11"/>
    <x v="0"/>
    <x v="0"/>
    <x v="0"/>
    <s v="LINK_TO_ITHFHWCRMDLCN31 /10GE.1 /Principal"/>
    <x v="0"/>
    <b v="0"/>
    <s v="No está en VPC"/>
    <n v="833"/>
    <s v="INTPG_ACC_833_1.11"/>
    <s v="ISEL-1.11"/>
    <n v="2"/>
    <s v="NO TIENE L3OUT"/>
    <n v="224"/>
    <n v="54"/>
  </r>
  <r>
    <n v="818"/>
    <x v="2"/>
    <x v="200"/>
    <s v="eth1/11"/>
    <x v="0"/>
    <x v="0"/>
    <x v="0"/>
    <s v="LINK_TO_ITHFHWCBSPSUSBD15 /Slot5.2 /Principal"/>
    <x v="0"/>
    <b v="0"/>
    <s v="No está en VPC"/>
    <n v="818"/>
    <s v="INTPG_VPC_818_1.11_823_1.11"/>
    <s v="ISEL-1.11"/>
    <n v="2"/>
    <s v="NO TIENE L3OUT"/>
    <n v="8"/>
    <n v="54"/>
  </r>
  <r>
    <n v="850"/>
    <x v="2"/>
    <x v="201"/>
    <s v="eth1/11"/>
    <x v="0"/>
    <x v="0"/>
    <x v="0"/>
    <s v="LINKT_TO_ITHFHWCRMPLCN119 / Slot7.1_8 / Redundante"/>
    <x v="0"/>
    <b v="0"/>
    <s v="No está en VPC"/>
    <n v="850"/>
    <s v="INTPG_ACC_850_1.11"/>
    <s v="ISEL-1.11"/>
    <n v="6"/>
    <s v="NO TIENE L3OUT"/>
    <n v="288"/>
    <n v="54"/>
  </r>
  <r>
    <n v="860"/>
    <x v="2"/>
    <x v="202"/>
    <s v="eth1/11"/>
    <x v="0"/>
    <x v="0"/>
    <x v="0"/>
    <s v="To_VPC_2DCBSD_HD26_2"/>
    <x v="0"/>
    <b v="0"/>
    <s v="No está en VPC"/>
    <n v="860"/>
    <s v="INTPG_VPC_860_1.11_865_1.11"/>
    <s v="ISEL-1.11"/>
    <n v="1"/>
    <s v="NO TIENE L3OUT"/>
    <n v="0"/>
    <n v="54"/>
  </r>
  <r>
    <n v="853"/>
    <x v="2"/>
    <x v="203"/>
    <s v="eth1/11"/>
    <x v="0"/>
    <x v="0"/>
    <x v="0"/>
    <s v="LINK_TO_ITHFHWCRMPLCN75 / Slot7.2_8 / Redundante"/>
    <x v="0"/>
    <b v="0"/>
    <s v="No está en VPC"/>
    <n v="853"/>
    <s v="INTPG_ACC_853_1.11"/>
    <s v="ISEL-1.11"/>
    <n v="2"/>
    <s v="NO TIENE L3OUT"/>
    <n v="242"/>
    <n v="54"/>
  </r>
  <r>
    <n v="790"/>
    <x v="2"/>
    <x v="204"/>
    <s v="eth1/11"/>
    <x v="0"/>
    <x v="0"/>
    <x v="0"/>
    <s v="LINK_TO_VPCA_NAS_ITHEMCPS5200TWPT3 / Nodo A INT 0.2 / Principal"/>
    <x v="0"/>
    <b v="0"/>
    <s v="No está en VPC"/>
    <n v="790"/>
    <s v="INTPG_VPC_790_1.11_791_1.11"/>
    <s v="ISEL-1.11"/>
    <n v="3"/>
    <s v="NO TIENE L3OUT"/>
    <n v="20"/>
    <n v="54"/>
  </r>
  <r>
    <n v="105"/>
    <x v="0"/>
    <x v="205"/>
    <s v="eth1/11"/>
    <x v="0"/>
    <x v="1"/>
    <x v="1"/>
    <s v="DESC"/>
    <x v="6"/>
    <b v="0"/>
    <s v="No está en VPC"/>
    <n v="105"/>
    <s v="INTPG_PC_105_1.6-12_38"/>
    <s v="ISEL-1.11"/>
    <n v="17"/>
    <s v="NO TIENE L3OUT"/>
    <n v="106"/>
    <n v="96"/>
  </r>
  <r>
    <n v="117"/>
    <x v="0"/>
    <x v="206"/>
    <s v="eth1/11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11"/>
    <x v="0"/>
    <x v="1"/>
    <x v="1"/>
    <s v="SFLDI"/>
    <x v="6"/>
    <b v="0"/>
    <s v="No está en VPC"/>
    <n v="104"/>
    <s v="INTPG_ACC_104_1.11"/>
    <s v="ISEL-1.11"/>
    <n v="1"/>
    <s v="NO TIENE L3OUT"/>
    <n v="194"/>
    <n v="96"/>
  </r>
  <r>
    <n v="158"/>
    <x v="0"/>
    <x v="208"/>
    <s v="eth1/11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11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11"/>
    <x v="0"/>
    <x v="0"/>
    <x v="0"/>
    <s v="HACIA_MGMT-OSCP-F4-11_PRINCIPAL"/>
    <x v="4"/>
    <b v="0"/>
    <s v="No está en VPC"/>
    <n v="879"/>
    <s v="INTPG_VPC_878_1.11_879_1.11"/>
    <s v="ISEL-1.11"/>
    <n v="1"/>
    <s v="NO TIENE L3OUT"/>
    <n v="0"/>
    <n v="54"/>
  </r>
  <r>
    <n v="108"/>
    <x v="0"/>
    <x v="211"/>
    <s v="eth1/11"/>
    <x v="0"/>
    <x v="0"/>
    <x v="0"/>
    <s v="IXT01PP, IXT02PP, IXT05PP"/>
    <x v="6"/>
    <b v="0"/>
    <s v="No está en VPC"/>
    <n v="108"/>
    <s v="INTPG_ACC_108_1.11"/>
    <s v="ISEL-1.11"/>
    <n v="1"/>
    <s v="NO TIENE L3OUT"/>
    <n v="126"/>
    <n v="96"/>
  </r>
  <r>
    <n v="112"/>
    <x v="0"/>
    <x v="212"/>
    <s v="eth1/11"/>
    <x v="0"/>
    <x v="0"/>
    <x v="0"/>
    <s v="TO-ITHFHPNBURBKP01-PRINCIPAL"/>
    <x v="6"/>
    <b v="0"/>
    <s v="No está en VPC"/>
    <n v="112"/>
    <s v="INTPG_ACC_112_1.11"/>
    <s v="ISEL-1.11"/>
    <n v="1"/>
    <s v="NO TIENE L3OUT"/>
    <n v="144"/>
    <n v="96"/>
  </r>
  <r>
    <n v="107"/>
    <x v="0"/>
    <x v="213"/>
    <s v="eth1/11"/>
    <x v="0"/>
    <x v="0"/>
    <x v="0"/>
    <s v="PLATAFORMA NUMERACION "/>
    <x v="6"/>
    <b v="0"/>
    <s v="No está en VPC"/>
    <n v="107"/>
    <s v="INTPG_ACC_107_1.11"/>
    <s v="ISEL-1.11"/>
    <n v="1"/>
    <s v="NO TIENE L3OUT"/>
    <n v="118"/>
    <n v="96"/>
  </r>
  <r>
    <n v="109"/>
    <x v="0"/>
    <x v="214"/>
    <s v="eth1/11"/>
    <x v="0"/>
    <x v="0"/>
    <x v="0"/>
    <s v="ZSMART"/>
    <x v="6"/>
    <b v="0"/>
    <s v="No está en VPC"/>
    <n v="109"/>
    <s v="INTPG_ACC_109_1.11"/>
    <s v="ISEL-1.11"/>
    <n v="1"/>
    <s v="NO TIENE L3OUT"/>
    <n v="126"/>
    <n v="96"/>
  </r>
  <r>
    <n v="113"/>
    <x v="0"/>
    <x v="215"/>
    <s v="eth1/11"/>
    <x v="0"/>
    <x v="0"/>
    <x v="0"/>
    <s v="VYCAN"/>
    <x v="6"/>
    <b v="0"/>
    <s v="No está en VPC"/>
    <n v="113"/>
    <s v="INTPG_ACC_113_1.11"/>
    <s v="ISEL-1.11"/>
    <n v="1"/>
    <s v="NO TIENE L3OUT"/>
    <n v="52"/>
    <n v="96"/>
  </r>
  <r>
    <n v="114"/>
    <x v="0"/>
    <x v="216"/>
    <s v="eth1/11"/>
    <x v="0"/>
    <x v="1"/>
    <x v="1"/>
    <s v="SECAM"/>
    <x v="6"/>
    <b v="0"/>
    <s v="No está en VPC"/>
    <n v="114"/>
    <s v="INTPG_ACC_114_1.11"/>
    <s v="ISEL-1.11"/>
    <n v="1"/>
    <s v="NO TIENE L3OUT"/>
    <n v="144"/>
    <n v="96"/>
  </r>
  <r>
    <n v="124"/>
    <x v="0"/>
    <x v="217"/>
    <s v="eth1/11"/>
    <x v="0"/>
    <x v="1"/>
    <x v="1"/>
    <s v="GSM_ENIQ_TIJ"/>
    <x v="6"/>
    <b v="0"/>
    <s v="No está en VPC"/>
    <n v="124"/>
    <s v="INTPG_VPC_124_1.11_125_1.16"/>
    <s v="ISEL-1.11"/>
    <n v="10"/>
    <s v="NO TIENE L3OUT"/>
    <n v="80"/>
    <n v="96"/>
  </r>
  <r>
    <n v="118"/>
    <x v="0"/>
    <x v="218"/>
    <s v="eth1/11"/>
    <x v="1"/>
    <x v="1"/>
    <x v="2"/>
    <s v="COBROS NAVEGACION"/>
    <x v="6"/>
    <b v="0"/>
    <s v="No está en VPC"/>
    <n v="118"/>
    <s v="INTPG_ACC_118_1.11"/>
    <s v="ISEL-1.11"/>
    <n v="1"/>
    <s v="NO TIENE L3OUT"/>
    <n v="180"/>
    <n v="96"/>
  </r>
  <r>
    <n v="159"/>
    <x v="0"/>
    <x v="219"/>
    <s v="eth1/11"/>
    <x v="0"/>
    <x v="0"/>
    <x v="0"/>
    <s v="ArrobaDOC Y CF"/>
    <x v="6"/>
    <b v="0"/>
    <s v="No está en VPC"/>
    <n v="159"/>
    <s v="INTPG_ACC_159_1.11"/>
    <s v="ISEL-1.11"/>
    <n v="1"/>
    <s v="NO TIENE L3OUT"/>
    <n v="72"/>
    <n v="96"/>
  </r>
  <r>
    <n v="840"/>
    <x v="2"/>
    <x v="220"/>
    <s v="eth1/11"/>
    <x v="0"/>
    <x v="0"/>
    <x v="0"/>
    <s v="LINK_TO_ITHFHWCBSPSWR57 / Slot7.2_26 / Redundante"/>
    <x v="0"/>
    <b v="0"/>
    <s v="No está en VPC"/>
    <n v="840"/>
    <s v="INTPG_VPC_835_1.11_840_1.11"/>
    <s v="ISEL-1.11"/>
    <n v="1"/>
    <s v="NO TIENE L3OUT"/>
    <n v="8"/>
    <n v="54"/>
  </r>
  <r>
    <n v="856"/>
    <x v="2"/>
    <x v="221"/>
    <s v="eth1/11"/>
    <x v="0"/>
    <x v="0"/>
    <x v="0"/>
    <s v="LINK_TO_ITHFHWCRMPLCN138 / Slot1.1_10 / Principal"/>
    <x v="0"/>
    <b v="0"/>
    <s v="No está en VPC"/>
    <n v="856"/>
    <s v="INTPG_ACC_856_1.11"/>
    <s v="ISEL-1.11"/>
    <n v="6"/>
    <s v="NO TIENE L3OUT"/>
    <n v="286"/>
    <n v="54"/>
  </r>
  <r>
    <n v="110"/>
    <x v="0"/>
    <x v="222"/>
    <s v="eth1/11"/>
    <x v="1"/>
    <x v="1"/>
    <x v="2"/>
    <s v="BANCA MOVIL: Notificaciones"/>
    <x v="6"/>
    <b v="0"/>
    <s v="No está en VPC"/>
    <n v="110"/>
    <s v="INTPG_ACC_110_1.11"/>
    <s v="ISEL-1.11"/>
    <n v="0"/>
    <s v="NO TIENE L3OUT"/>
    <n v="102"/>
    <n v="96"/>
  </r>
  <r>
    <n v="163"/>
    <x v="0"/>
    <x v="223"/>
    <s v="eth1/11"/>
    <x v="0"/>
    <x v="0"/>
    <x v="0"/>
    <s v="DESC"/>
    <x v="6"/>
    <b v="0"/>
    <s v="No está en VPC"/>
    <n v="163"/>
    <s v="INTPG_PC_163_1.9-11"/>
    <s v="ISEL-1.11"/>
    <n v="0"/>
    <s v="NO TIENE L3OUT"/>
    <n v="140"/>
    <n v="96"/>
  </r>
  <r>
    <n v="407"/>
    <x v="1"/>
    <x v="224"/>
    <s v="eth1/11"/>
    <x v="0"/>
    <x v="0"/>
    <x v="0"/>
    <s v="RLR2ARI05_ilo"/>
    <x v="6"/>
    <b v="0"/>
    <s v="No está en VPC"/>
    <n v="407"/>
    <s v="INTPG_ACC_407_1.11"/>
    <s v="ISEL-1.11"/>
    <n v="1"/>
    <s v="NO TIENE L3OUT"/>
    <n v="122"/>
    <n v="96"/>
  </r>
  <r>
    <n v="171"/>
    <x v="0"/>
    <x v="225"/>
    <s v="eth1/11"/>
    <x v="0"/>
    <x v="0"/>
    <x v="0"/>
    <s v="OSS3GMX_CLIENT1"/>
    <x v="6"/>
    <b v="0"/>
    <s v="No está en VPC"/>
    <n v="171"/>
    <s v="INTPG_VPC_171_1.4_11_172_1.4_13"/>
    <s v="ISEL-1.11"/>
    <n v="10"/>
    <s v="NO TIENE L3OUT"/>
    <n v="114"/>
    <n v="96"/>
  </r>
  <r>
    <n v="421"/>
    <x v="1"/>
    <x v="226"/>
    <s v="eth1/11"/>
    <x v="0"/>
    <x v="0"/>
    <x v="0"/>
    <s v="VBLOCK3"/>
    <x v="6"/>
    <b v="0"/>
    <s v="No está en VPC"/>
    <n v="421"/>
    <s v="INTPG_VPC_419_1.11-12_421_1.11-12"/>
    <s v="ISEL-1.11"/>
    <n v="3"/>
    <s v="NO TIENE L3OUT"/>
    <n v="72"/>
    <n v="96"/>
  </r>
  <r>
    <n v="173"/>
    <x v="0"/>
    <x v="227"/>
    <s v="eth1/11"/>
    <x v="0"/>
    <x v="1"/>
    <x v="1"/>
    <s v="ENIQ"/>
    <x v="6"/>
    <b v="0"/>
    <s v="No está en VPC"/>
    <n v="173"/>
    <s v="INTPG_ACC_173_1.11"/>
    <s v="ISEL-1.11"/>
    <n v="1"/>
    <s v="NO TIENE L3OUT"/>
    <n v="66"/>
    <n v="96"/>
  </r>
  <r>
    <n v="154"/>
    <x v="0"/>
    <x v="228"/>
    <s v="eth1/11"/>
    <x v="0"/>
    <x v="0"/>
    <x v="0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11"/>
    <x v="0"/>
    <x v="0"/>
    <x v="0"/>
    <m/>
    <x v="6"/>
    <b v="0"/>
    <s v="No está en VPC"/>
    <n v="172"/>
    <s v="INTPG_ACC_172_1.11"/>
    <s v="ISEL-1.11"/>
    <n v="1"/>
    <s v="NO TIENE L3OUT"/>
    <n v="104"/>
    <n v="96"/>
  </r>
  <r>
    <n v="420"/>
    <x v="1"/>
    <x v="230"/>
    <s v="eth1/11"/>
    <x v="0"/>
    <x v="1"/>
    <x v="1"/>
    <s v="PORTAB_ILOM"/>
    <x v="6"/>
    <b v="0"/>
    <s v="No está en VPC"/>
    <n v="420"/>
    <s v="INTPG_ACC_420_1.11"/>
    <s v="ISEL-1.11"/>
    <n v="1"/>
    <s v="NO TIENE L3OUT"/>
    <n v="158"/>
    <n v="96"/>
  </r>
  <r>
    <n v="423"/>
    <x v="1"/>
    <x v="231"/>
    <s v="eth1/11"/>
    <x v="0"/>
    <x v="0"/>
    <x v="0"/>
    <s v="ITHPA03_eth0_IPMP-Activa"/>
    <x v="6"/>
    <b v="0"/>
    <s v="No está en VPC"/>
    <n v="423"/>
    <s v="INTPG_ACC_423_1.11"/>
    <s v="ISEL-1.11"/>
    <n v="1"/>
    <s v="NO TIENE L3OUT"/>
    <n v="86"/>
    <n v="96"/>
  </r>
  <r>
    <n v="415"/>
    <x v="1"/>
    <x v="232"/>
    <s v="eth1/11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11"/>
    <x v="0"/>
    <x v="0"/>
    <x v="0"/>
    <s v="SFLDI:RLDIWEB04:1"/>
    <x v="6"/>
    <b v="0"/>
    <s v="No está en VPC"/>
    <n v="102"/>
    <s v="INTPG_ACC_102_1.11"/>
    <s v="ISEL-1.11"/>
    <n v="1"/>
    <s v="NO TIENE L3OUT"/>
    <n v="228"/>
    <n v="96"/>
  </r>
  <r>
    <n v="863"/>
    <x v="2"/>
    <x v="234"/>
    <s v="eth1/11"/>
    <x v="0"/>
    <x v="0"/>
    <x v="0"/>
    <s v="To_VPC_2DCBSD_HD40_2"/>
    <x v="0"/>
    <b v="0"/>
    <s v="No está en VPC"/>
    <n v="863"/>
    <s v="INTPG_VPC_858_1.11_863_1.11"/>
    <s v="ISEL-1.11"/>
    <n v="1"/>
    <s v="NO TIENE L3OUT"/>
    <n v="8"/>
    <n v="54"/>
  </r>
  <r>
    <n v="876"/>
    <x v="2"/>
    <x v="235"/>
    <s v="eth1/11"/>
    <x v="0"/>
    <x v="0"/>
    <x v="0"/>
    <s v="LINK_TO_ITHFHWSEQLCAS34 (GMR 2) / Slot 4 PTO 1 / Principal"/>
    <x v="4"/>
    <b v="0"/>
    <s v="No está en VPC"/>
    <n v="876"/>
    <s v="INTPG_ACC_876_1.11"/>
    <s v="ISEL-1.11"/>
    <n v="1"/>
    <s v="NO TIENE L3OUT"/>
    <n v="92"/>
    <n v="54"/>
  </r>
  <r>
    <n v="877"/>
    <x v="2"/>
    <x v="236"/>
    <s v="eth1/11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11"/>
    <x v="0"/>
    <x v="0"/>
    <x v="0"/>
    <s v="DESC"/>
    <x v="6"/>
    <b v="0"/>
    <s v="No está en VPC"/>
    <n v="122"/>
    <s v="INTPG_PC_122_1.10-14"/>
    <s v="ISEL-1.11"/>
    <n v="1"/>
    <s v="NO TIENE L3OUT"/>
    <n v="148"/>
    <n v="96"/>
  </r>
  <r>
    <n v="157"/>
    <x v="0"/>
    <x v="238"/>
    <s v="eth1/11"/>
    <x v="0"/>
    <x v="0"/>
    <x v="0"/>
    <s v="COBROS NAVEGACION"/>
    <x v="6"/>
    <b v="0"/>
    <s v="No está en VPC"/>
    <n v="157"/>
    <s v="INTPG_ACC_157_1.11"/>
    <s v="ISEL-1.11"/>
    <n v="1"/>
    <s v="NO TIENE L3OUT"/>
    <n v="202"/>
    <n v="96"/>
  </r>
  <r>
    <n v="408"/>
    <x v="1"/>
    <x v="239"/>
    <s v="eth1/11"/>
    <x v="0"/>
    <x v="0"/>
    <x v="0"/>
    <s v="RESPAL_CS5_ASAP8"/>
    <x v="6"/>
    <b v="0"/>
    <s v="No está en VPC"/>
    <n v="408"/>
    <s v="INTPG_ACC_408_1.11"/>
    <s v="ISEL-1.11"/>
    <n v="1"/>
    <s v="NO TIENE L3OUT"/>
    <n v="152"/>
    <n v="96"/>
  </r>
  <r>
    <n v="405"/>
    <x v="1"/>
    <x v="240"/>
    <s v="eth1/11"/>
    <x v="0"/>
    <x v="0"/>
    <x v="0"/>
    <s v="XL5 RLR5ARI01 iLO"/>
    <x v="6"/>
    <b v="0"/>
    <s v="No está en VPC"/>
    <n v="405"/>
    <s v="INTPG_ACC_405_1.11"/>
    <s v="ISEL-1.11"/>
    <n v="1"/>
    <s v="NO TIENE L3OUT"/>
    <n v="138"/>
    <n v="96"/>
  </r>
  <r>
    <n v="169"/>
    <x v="0"/>
    <x v="241"/>
    <s v="eth1/11"/>
    <x v="0"/>
    <x v="0"/>
    <x v="0"/>
    <s v="CIMC_HACIA_UCS_9UCS-IXTLA-SERV3"/>
    <x v="6"/>
    <b v="0"/>
    <s v="No está en VPC"/>
    <n v="169"/>
    <s v="INTPG_ACC_169_1.11"/>
    <s v="ISEL-1.11"/>
    <n v="1"/>
    <s v="NO TIENE L3OUT"/>
    <n v="76"/>
    <n v="96"/>
  </r>
  <r>
    <n v="165"/>
    <x v="0"/>
    <x v="242"/>
    <s v="eth1/11"/>
    <x v="0"/>
    <x v="1"/>
    <x v="1"/>
    <s v="Nomina"/>
    <x v="6"/>
    <b v="0"/>
    <s v="No está en VPC"/>
    <n v="165"/>
    <s v="INTPG_ACC_165_1.11"/>
    <s v="ISEL-1.11"/>
    <n v="1"/>
    <s v="NO TIENE L3OUT"/>
    <n v="86"/>
    <n v="96"/>
  </r>
  <r>
    <n v="417"/>
    <x v="1"/>
    <x v="243"/>
    <s v="eth1/11"/>
    <x v="0"/>
    <x v="0"/>
    <x v="0"/>
    <s v="IXTSRM1"/>
    <x v="6"/>
    <b v="0"/>
    <s v="No está en VPC"/>
    <n v="417"/>
    <s v="INTPG_ACC_417_1.11"/>
    <s v="ISEL-1.11"/>
    <n v="1"/>
    <s v="NO TIENE L3OUT"/>
    <n v="56"/>
    <n v="96"/>
  </r>
  <r>
    <n v="153"/>
    <x v="0"/>
    <x v="244"/>
    <s v="eth1/11"/>
    <x v="0"/>
    <x v="0"/>
    <x v="0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11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11"/>
    <x v="1"/>
    <x v="1"/>
    <x v="2"/>
    <s v="RED CRICKET"/>
    <x v="6"/>
    <b v="0"/>
    <s v="No está en VPC"/>
    <n v="156"/>
    <s v="INTPG_ACC_156_1.11"/>
    <s v="ISEL-1.11"/>
    <n v="1"/>
    <s v="NO TIENE L3OUT"/>
    <n v="40"/>
    <n v="96"/>
  </r>
  <r>
    <n v="103"/>
    <x v="0"/>
    <x v="247"/>
    <s v="eth1/11"/>
    <x v="0"/>
    <x v="1"/>
    <x v="1"/>
    <s v="CAMPANAS 01-02:uxcamp01:ent0"/>
    <x v="6"/>
    <b v="0"/>
    <s v="No está en VPC"/>
    <n v="103"/>
    <s v="INTPG_ACC_103_1.11"/>
    <s v="ISEL-1.11"/>
    <n v="1"/>
    <s v="NO TIENE L3OUT"/>
    <n v="70"/>
    <n v="96"/>
  </r>
  <r>
    <n v="438"/>
    <x v="1"/>
    <x v="248"/>
    <s v="eth1/11"/>
    <x v="0"/>
    <x v="0"/>
    <x v="0"/>
    <s v="uxdxsw1(RENACE)"/>
    <x v="6"/>
    <b v="0"/>
    <s v="No está en VPC"/>
    <n v="438"/>
    <s v="INTPG_ACC_438_1.11"/>
    <s v="ISEL-1.11"/>
    <n v="1"/>
    <s v="NO TIENE L3OUT"/>
    <n v="170"/>
    <n v="96"/>
  </r>
  <r>
    <n v="406"/>
    <x v="1"/>
    <x v="249"/>
    <s v="eth1/11"/>
    <x v="0"/>
    <x v="0"/>
    <x v="0"/>
    <s v="DESC"/>
    <x v="6"/>
    <b v="0"/>
    <s v="No está en VPC"/>
    <n v="406"/>
    <s v="INTPG_PC_406_1.11-12"/>
    <s v="ISEL-1.11"/>
    <n v="1"/>
    <s v="NO TIENE L3OUT"/>
    <n v="82"/>
    <n v="96"/>
  </r>
  <r>
    <n v="414"/>
    <x v="1"/>
    <x v="250"/>
    <s v="eth1/11"/>
    <x v="0"/>
    <x v="0"/>
    <x v="0"/>
    <s v="9UCS-IXTLA-WEBEX-SERV2"/>
    <x v="6"/>
    <b v="0"/>
    <s v="No está en VPC"/>
    <n v="414"/>
    <s v="INTPG_ACC_414_1.11"/>
    <s v="ISEL-1.11"/>
    <n v="1"/>
    <s v="NO TIENE L3OUT"/>
    <n v="144"/>
    <n v="96"/>
  </r>
  <r>
    <n v="416"/>
    <x v="1"/>
    <x v="251"/>
    <s v="eth1/11"/>
    <x v="0"/>
    <x v="0"/>
    <x v="0"/>
    <s v="sfmedp54-MEDVOZ_CLIENT9"/>
    <x v="6"/>
    <b v="0"/>
    <s v="No está en VPC"/>
    <n v="416"/>
    <s v="INTPG_VPC_416_1.11_418_1.11"/>
    <s v="ISEL-1.11"/>
    <n v="1"/>
    <s v="NO TIENE L3OUT"/>
    <n v="110"/>
    <n v="96"/>
  </r>
  <r>
    <n v="418"/>
    <x v="1"/>
    <x v="252"/>
    <s v="eth1/11"/>
    <x v="0"/>
    <x v="0"/>
    <x v="0"/>
    <s v="sfmedp54-MEDVOZ_CLIENT9"/>
    <x v="6"/>
    <b v="0"/>
    <s v="No está en VPC"/>
    <n v="418"/>
    <s v="INTPG_VPC_416_1.11_418_1.11"/>
    <s v="ISEL-1.11"/>
    <n v="1"/>
    <s v="NO TIENE L3OUT"/>
    <n v="152"/>
    <n v="96"/>
  </r>
  <r>
    <n v="413"/>
    <x v="1"/>
    <x v="253"/>
    <s v="eth1/11"/>
    <x v="0"/>
    <x v="0"/>
    <x v="0"/>
    <s v="DESC"/>
    <x v="6"/>
    <b v="0"/>
    <s v="No está en VPC"/>
    <n v="413"/>
    <s v="INTPG_PC_413_1.9-12"/>
    <s v="ISEL-1.11"/>
    <n v="1"/>
    <s v="NO TIENE L3OUT"/>
    <n v="126"/>
    <n v="96"/>
  </r>
  <r>
    <n v="403"/>
    <x v="1"/>
    <x v="254"/>
    <s v="eth1/11"/>
    <x v="0"/>
    <x v="0"/>
    <x v="0"/>
    <s v="XL5 RLR5ARI01"/>
    <x v="6"/>
    <b v="0"/>
    <s v="No está en VPC"/>
    <n v="403"/>
    <s v="INTPG_ACC_403_1.11"/>
    <s v="ISEL-1.11"/>
    <n v="1"/>
    <s v="NO TIENE L3OUT"/>
    <n v="150"/>
    <n v="96"/>
  </r>
  <r>
    <n v="125"/>
    <x v="0"/>
    <x v="255"/>
    <s v="eth1/11"/>
    <x v="0"/>
    <x v="0"/>
    <x v="0"/>
    <s v="GSM_OSS_MTY"/>
    <x v="6"/>
    <b v="0"/>
    <s v="No está en VPC"/>
    <n v="125"/>
    <s v="INTPG_ACC_125_1.11"/>
    <s v="ISEL-1.11"/>
    <n v="1"/>
    <s v="NO TIENE L3OUT"/>
    <n v="72"/>
    <n v="96"/>
  </r>
  <r>
    <n v="166"/>
    <x v="0"/>
    <x v="256"/>
    <s v="eth1/11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11"/>
    <x v="1"/>
    <x v="1"/>
    <x v="2"/>
    <s v="SUN6900_E25K"/>
    <x v="6"/>
    <b v="0"/>
    <s v="No está en VPC"/>
    <n v="111"/>
    <s v="INTPG_ACC_111_1.11"/>
    <s v="ISEL-1.11"/>
    <n v="0"/>
    <s v="NO TIENE L3OUT"/>
    <n v="58"/>
    <n v="96"/>
  </r>
  <r>
    <n v="115"/>
    <x v="0"/>
    <x v="258"/>
    <s v="eth1/11"/>
    <x v="0"/>
    <x v="1"/>
    <x v="1"/>
    <s v="ENCLOSURES VMTLCLAMX2"/>
    <x v="6"/>
    <b v="0"/>
    <s v="No está en VPC"/>
    <n v="115"/>
    <s v="INTPG_ACC_115_1.11"/>
    <s v="ISEL-1.11"/>
    <n v="1"/>
    <s v="NO TIENE L3OUT"/>
    <n v="42"/>
    <n v="96"/>
  </r>
  <r>
    <n v="106"/>
    <x v="0"/>
    <x v="259"/>
    <s v="eth1/11"/>
    <x v="0"/>
    <x v="0"/>
    <x v="0"/>
    <s v="PLATAFORMA NUMERACION "/>
    <x v="6"/>
    <b v="0"/>
    <s v="No está en VPC"/>
    <n v="106"/>
    <s v="INTPG_ACC_106_1.11"/>
    <s v="ISEL-1.11"/>
    <n v="1"/>
    <s v="NO TIENE L3OUT"/>
    <n v="122"/>
    <n v="96"/>
  </r>
  <r>
    <n v="126"/>
    <x v="0"/>
    <x v="260"/>
    <s v="eth1/11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11"/>
    <x v="0"/>
    <x v="1"/>
    <x v="1"/>
    <s v="VTA_F5_2_eth3"/>
    <x v="6"/>
    <b v="0"/>
    <s v="No está en VPC"/>
    <n v="425"/>
    <s v="INTPG_ACC_425_1.11"/>
    <s v="ISEL-1.11"/>
    <n v="1"/>
    <s v="NO TIENE L3OUT"/>
    <n v="86"/>
    <n v="96"/>
  </r>
  <r>
    <n v="151"/>
    <x v="0"/>
    <x v="262"/>
    <s v="eth1/11"/>
    <x v="0"/>
    <x v="0"/>
    <x v="0"/>
    <s v="DASHBOARD"/>
    <x v="6"/>
    <b v="0"/>
    <s v="No está en VPC"/>
    <n v="151"/>
    <s v="INTPG_ACC_151_1.11"/>
    <s v="ISEL-1.11"/>
    <n v="1"/>
    <s v="NO TIENE L3OUT"/>
    <n v="86"/>
    <n v="96"/>
  </r>
  <r>
    <n v="430"/>
    <x v="1"/>
    <x v="263"/>
    <s v="eth1/11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11"/>
    <x v="0"/>
    <x v="0"/>
    <x v="0"/>
    <s v="VBLOCK3"/>
    <x v="6"/>
    <b v="0"/>
    <s v="No está en VPC"/>
    <n v="419"/>
    <s v="INTPG_VPC_419_1.11-12_421_1.11-12"/>
    <s v="ISEL-1.11"/>
    <n v="3"/>
    <s v="NO TIENE L3OUT"/>
    <n v="70"/>
    <n v="96"/>
  </r>
  <r>
    <n v="155"/>
    <x v="0"/>
    <x v="265"/>
    <s v="eth1/11"/>
    <x v="1"/>
    <x v="1"/>
    <x v="2"/>
    <s v="Circulo Azul M5000"/>
    <x v="6"/>
    <b v="0"/>
    <s v="No está en VPC"/>
    <n v="155"/>
    <s v="INTPG_ACC_155_1.11"/>
    <s v="ISEL-1.11"/>
    <n v="1"/>
    <s v="NO TIENE L3OUT"/>
    <n v="198"/>
    <n v="96"/>
  </r>
  <r>
    <n v="409"/>
    <x v="1"/>
    <x v="266"/>
    <s v="eth1/11"/>
    <x v="0"/>
    <x v="1"/>
    <x v="1"/>
    <s v="VBLOCK2_CLNT"/>
    <x v="6"/>
    <b v="0"/>
    <s v="No está en VPC"/>
    <n v="409"/>
    <s v="INTPG_VPC_407_1.12_409_1.11"/>
    <s v="ISEL-1.11"/>
    <n v="3"/>
    <s v="NO TIENE L3OUT"/>
    <n v="128"/>
    <n v="96"/>
  </r>
  <r>
    <n v="422"/>
    <x v="1"/>
    <x v="267"/>
    <s v="eth1/11"/>
    <x v="0"/>
    <x v="0"/>
    <x v="0"/>
    <s v="B6200A_DT_2"/>
    <x v="6"/>
    <b v="0"/>
    <s v="No está en VPC"/>
    <n v="422"/>
    <s v="INTPG_ACC_422_1.11"/>
    <s v="ISEL-1.11"/>
    <n v="1"/>
    <s v="NO TIENE L3OUT"/>
    <n v="182"/>
    <n v="96"/>
  </r>
  <r>
    <n v="436"/>
    <x v="1"/>
    <x v="268"/>
    <s v="eth1/11"/>
    <x v="0"/>
    <x v="0"/>
    <x v="0"/>
    <s v="uxdxpdu1(RENACE)"/>
    <x v="6"/>
    <b v="0"/>
    <s v="No está en VPC"/>
    <n v="436"/>
    <s v="INTPG_ACC_436_1.11"/>
    <s v="ISEL-1.11"/>
    <n v="1"/>
    <s v="NO TIENE L3OUT"/>
    <n v="172"/>
    <n v="96"/>
  </r>
  <r>
    <n v="410"/>
    <x v="1"/>
    <x v="269"/>
    <s v="eth1/11"/>
    <x v="1"/>
    <x v="1"/>
    <x v="2"/>
    <m/>
    <x v="6"/>
    <b v="0"/>
    <s v="No está en VPC"/>
    <n v="410"/>
    <s v="NO EXISTE PG"/>
    <s v="NO EXISTE ISEL"/>
    <n v="0"/>
    <s v="NO TIENE L3OUT"/>
    <n v="178"/>
    <n v="96"/>
  </r>
  <r>
    <n v="161"/>
    <x v="0"/>
    <x v="270"/>
    <s v="eth1/11"/>
    <x v="0"/>
    <x v="0"/>
    <x v="0"/>
    <s v="DESC"/>
    <x v="6"/>
    <b v="0"/>
    <s v="No está en VPC"/>
    <n v="161"/>
    <s v="INTPG_PC_161_1.9_11_13"/>
    <s v="ISEL-1.11"/>
    <n v="1"/>
    <s v="NO TIENE L3OUT"/>
    <n v="102"/>
    <n v="96"/>
  </r>
  <r>
    <n v="411"/>
    <x v="1"/>
    <x v="271"/>
    <s v="eth1/11"/>
    <x v="0"/>
    <x v="0"/>
    <x v="0"/>
    <s v="DESC"/>
    <x v="6"/>
    <b v="0"/>
    <s v="No está en VPC"/>
    <n v="411"/>
    <s v="INTPG_PC_411_1.9-12"/>
    <s v="ISEL-1.11"/>
    <n v="1"/>
    <s v="NO TIENE L3OUT"/>
    <n v="96"/>
    <n v="96"/>
  </r>
  <r>
    <n v="116"/>
    <x v="0"/>
    <x v="272"/>
    <s v="eth1/11"/>
    <x v="0"/>
    <x v="0"/>
    <x v="0"/>
    <s v="COBROS NAVEGACION"/>
    <x v="6"/>
    <b v="0"/>
    <s v="No está en VPC"/>
    <n v="116"/>
    <s v="INTPG_ACC_116_1.11"/>
    <s v="ISEL-1.11"/>
    <n v="1"/>
    <s v="NO TIENE L3OUT"/>
    <n v="148"/>
    <n v="96"/>
  </r>
  <r>
    <n v="412"/>
    <x v="1"/>
    <x v="273"/>
    <s v="eth1/11"/>
    <x v="0"/>
    <x v="1"/>
    <x v="1"/>
    <s v="Suspend4"/>
    <x v="6"/>
    <b v="0"/>
    <s v="No está en VPC"/>
    <n v="412"/>
    <s v="INTPG_ACC_412_1.11"/>
    <s v="ISEL-1.11"/>
    <n v="1"/>
    <s v="NO TIENE L3OUT"/>
    <n v="126"/>
    <n v="96"/>
  </r>
  <r>
    <n v="120"/>
    <x v="0"/>
    <x v="274"/>
    <s v="eth1/11"/>
    <x v="1"/>
    <x v="1"/>
    <x v="2"/>
    <s v="DESC"/>
    <x v="6"/>
    <b v="0"/>
    <s v="No está en VPC"/>
    <n v="120"/>
    <s v="INTPG_PC_120_1.10-14"/>
    <s v="ISEL-1.11"/>
    <n v="1"/>
    <s v="NO TIENE L3OUT"/>
    <n v="158"/>
    <n v="96"/>
  </r>
  <r>
    <n v="404"/>
    <x v="1"/>
    <x v="275"/>
    <s v="eth1/11"/>
    <x v="0"/>
    <x v="0"/>
    <x v="0"/>
    <s v="DESC"/>
    <x v="6"/>
    <b v="0"/>
    <s v="No está en VPC"/>
    <n v="404"/>
    <s v="INTPG_PC_404_1.11-12"/>
    <s v="ISEL-1.11"/>
    <n v="1"/>
    <s v="NO TIENE L3OUT"/>
    <n v="92"/>
    <n v="96"/>
  </r>
  <r>
    <n v="167"/>
    <x v="0"/>
    <x v="276"/>
    <s v="eth1/11"/>
    <x v="0"/>
    <x v="0"/>
    <x v="0"/>
    <s v="LINKDOWN_HACIA_UCS_9UCS-IXTLA-SERV1"/>
    <x v="6"/>
    <b v="0"/>
    <s v="No está en VPC"/>
    <n v="167"/>
    <s v="INTPG_ACC_167_1.11"/>
    <s v="ISEL-1.11"/>
    <n v="1"/>
    <s v="NO TIENE L3OUT"/>
    <n v="68"/>
    <n v="96"/>
  </r>
  <r>
    <n v="428"/>
    <x v="1"/>
    <x v="277"/>
    <s v="eth1/11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903"/>
    <x v="2"/>
    <x v="278"/>
    <s v="eth1/1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1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12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12"/>
    <x v="0"/>
    <x v="0"/>
    <x v="0"/>
    <m/>
    <x v="1"/>
    <b v="0"/>
    <s v="No está en VPC"/>
    <n v="123"/>
    <s v="INTPG_ACC_123_1.12"/>
    <s v="ISEL-1.12"/>
    <n v="1"/>
    <s v="NO TIENE L3OUT"/>
    <n v="20"/>
    <n v="54"/>
  </r>
  <r>
    <n v="152"/>
    <x v="0"/>
    <x v="2"/>
    <s v="eth1/12"/>
    <x v="0"/>
    <x v="0"/>
    <x v="0"/>
    <s v="IXTPA2LS"/>
    <x v="1"/>
    <b v="0"/>
    <s v="No está en VPC"/>
    <n v="152"/>
    <s v="INTPG_ACC_152_1.12"/>
    <s v="ISEL-1.12"/>
    <n v="1"/>
    <s v="NO TIENE L3OUT"/>
    <n v="38"/>
    <n v="54"/>
  </r>
  <r>
    <n v="101"/>
    <x v="0"/>
    <x v="3"/>
    <s v="eth1/12"/>
    <x v="0"/>
    <x v="0"/>
    <x v="0"/>
    <s v="MSP_PROBES_Rack_2"/>
    <x v="0"/>
    <b v="0"/>
    <s v="No está en VPC"/>
    <n v="101"/>
    <s v="INTPG_VPC_101_1.12_150_1.12"/>
    <s v="ISEL-1.12"/>
    <n v="2"/>
    <s v="NO TIENE L3OUT"/>
    <n v="114"/>
    <n v="54"/>
  </r>
  <r>
    <n v="160"/>
    <x v="0"/>
    <x v="4"/>
    <s v="eth1/12"/>
    <x v="0"/>
    <x v="0"/>
    <x v="0"/>
    <s v="ArrobaDOC Y CF"/>
    <x v="1"/>
    <b v="0"/>
    <s v="No está en VPC"/>
    <n v="160"/>
    <s v="INTPG_ACC_160_1.12"/>
    <s v="ISEL-1.12"/>
    <n v="1"/>
    <s v="NO TIENE L3OUT"/>
    <n v="68"/>
    <n v="54"/>
  </r>
  <r>
    <n v="121"/>
    <x v="0"/>
    <x v="5"/>
    <s v="eth1/12"/>
    <x v="0"/>
    <x v="1"/>
    <x v="1"/>
    <s v="TEMIP_MGMT3"/>
    <x v="1"/>
    <b v="0"/>
    <s v="No está en VPC"/>
    <n v="121"/>
    <s v="INTPG_ACC_121_1.12"/>
    <s v="ISEL-1.12"/>
    <n v="1"/>
    <s v="NO TIENE L3OUT"/>
    <n v="14"/>
    <n v="54"/>
  </r>
  <r>
    <n v="129"/>
    <x v="0"/>
    <x v="6"/>
    <s v="eth1/12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12"/>
    <x v="0"/>
    <x v="1"/>
    <x v="3"/>
    <m/>
    <x v="0"/>
    <b v="0"/>
    <s v="No está en VPC"/>
    <n v="401"/>
    <s v="NO EXISTE PG"/>
    <s v="NO EXISTE ISEL"/>
    <n v="0"/>
    <s v="NO TIENE L3OUT"/>
    <n v="40"/>
    <n v="54"/>
  </r>
  <r>
    <n v="402"/>
    <x v="1"/>
    <x v="8"/>
    <s v="eth1/12"/>
    <x v="0"/>
    <x v="1"/>
    <x v="3"/>
    <m/>
    <x v="0"/>
    <b v="0"/>
    <s v="No está en VPC"/>
    <n v="402"/>
    <s v="NO EXISTE PG"/>
    <s v="NO EXISTE ISEL"/>
    <n v="0"/>
    <s v="NO TIENE L3OUT"/>
    <n v="36"/>
    <n v="54"/>
  </r>
  <r>
    <n v="447"/>
    <x v="1"/>
    <x v="9"/>
    <s v="eth1/12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12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12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12"/>
    <x v="0"/>
    <x v="0"/>
    <x v="0"/>
    <s v="MSP_PROBES_Rack_2"/>
    <x v="0"/>
    <b v="0"/>
    <s v="No está en VPC"/>
    <n v="150"/>
    <s v="INTPG_VPC_101_1.12_150_1.12"/>
    <s v="ISEL-1.12"/>
    <n v="2"/>
    <s v="NO TIENE L3OUT"/>
    <n v="118"/>
    <n v="54"/>
  </r>
  <r>
    <n v="131"/>
    <x v="0"/>
    <x v="13"/>
    <s v="eth1/12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12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12"/>
    <x v="0"/>
    <x v="0"/>
    <x v="0"/>
    <s v="GRLK LAG 02"/>
    <x v="2"/>
    <b v="0"/>
    <s v="No está en VPC"/>
    <n v="758"/>
    <s v="INTPG_VPC_758_1.12_759_1.12"/>
    <s v="ISEL-1.12"/>
    <n v="90"/>
    <s v="NO TIENE L3OUT"/>
    <n v="0"/>
    <n v="42"/>
  </r>
  <r>
    <n v="759"/>
    <x v="2"/>
    <x v="16"/>
    <s v="eth1/12"/>
    <x v="0"/>
    <x v="0"/>
    <x v="0"/>
    <s v="GRLK LAG 02"/>
    <x v="2"/>
    <b v="0"/>
    <s v="No está en VPC"/>
    <n v="759"/>
    <s v="INTPG_VPC_758_1.12_759_1.12"/>
    <s v="ISEL-1.12"/>
    <n v="90"/>
    <s v="NO TIENE L3OUT"/>
    <n v="0"/>
    <n v="42"/>
  </r>
  <r>
    <n v="302"/>
    <x v="0"/>
    <x v="17"/>
    <s v="eth1/12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12"/>
    <x v="0"/>
    <x v="0"/>
    <x v="0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12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12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12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12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12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12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12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12"/>
    <x v="0"/>
    <x v="0"/>
    <x v="0"/>
    <s v="TO-CONECTIVIDAD_HUAWEI_CLOUD_SALA_2_produccion_client_LAG"/>
    <x v="0"/>
    <b v="0"/>
    <s v="No está en VPC"/>
    <n v="431"/>
    <s v="INTPG_VPC_431_1.12-13_448_1.12-13"/>
    <s v="ISEL-1.12"/>
    <n v="52"/>
    <s v="NO TIENE L3OUT"/>
    <n v="46"/>
    <n v="54"/>
  </r>
  <r>
    <n v="433"/>
    <x v="1"/>
    <x v="27"/>
    <s v="eth1/12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12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12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12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12"/>
    <x v="0"/>
    <x v="0"/>
    <x v="0"/>
    <s v="TO-uxidmbd-NET1"/>
    <x v="1"/>
    <b v="0"/>
    <s v="No está en VPC"/>
    <n v="434"/>
    <s v="INTPG_ACC_434_1.12"/>
    <s v="ISEL-1.12"/>
    <n v="1"/>
    <s v="NO TIENE L3OUT"/>
    <n v="34"/>
    <n v="54"/>
  </r>
  <r>
    <n v="707"/>
    <x v="2"/>
    <x v="32"/>
    <s v="eth1/12"/>
    <x v="0"/>
    <x v="1"/>
    <x v="3"/>
    <s v="CEM:ITHCEMG2DAT06:LOM P3"/>
    <x v="0"/>
    <b v="0"/>
    <s v="No está en VPC"/>
    <n v="707"/>
    <s v="INTPG_ACC_707_1.12"/>
    <s v="ISEL-1.12"/>
    <n v="1"/>
    <s v="NO TIENE L3OUT"/>
    <n v="54"/>
    <n v="54"/>
  </r>
  <r>
    <n v="712"/>
    <x v="2"/>
    <x v="33"/>
    <s v="eth1/12"/>
    <x v="0"/>
    <x v="0"/>
    <x v="0"/>
    <s v="CEM:ITHCEMA2DAT06:LOM  P2"/>
    <x v="0"/>
    <b v="0"/>
    <s v="No está en VPC"/>
    <n v="712"/>
    <s v="INTPG_ACC_712_1.12"/>
    <s v="ISEL-1.12"/>
    <n v="1"/>
    <s v="NO TIENE L3OUT"/>
    <n v="32"/>
    <n v="54"/>
  </r>
  <r>
    <n v="719"/>
    <x v="2"/>
    <x v="34"/>
    <s v="eth1/12"/>
    <x v="0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12"/>
    <x v="0"/>
    <x v="0"/>
    <x v="0"/>
    <m/>
    <x v="0"/>
    <b v="0"/>
    <s v="No está en VPC"/>
    <n v="715"/>
    <s v="INTPG-VPC_HDD34_716_1.11_715_1.12"/>
    <s v="ISEL-1.12"/>
    <n v="1"/>
    <s v="NO TIENE L3OUT"/>
    <n v="0"/>
    <n v="54"/>
  </r>
  <r>
    <n v="427"/>
    <x v="1"/>
    <x v="36"/>
    <s v="eth1/12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12"/>
    <x v="0"/>
    <x v="1"/>
    <x v="5"/>
    <s v="CEM:ITHCEMD2DAT06:LOM  P2"/>
    <x v="0"/>
    <b v="0"/>
    <s v="No está en VPC"/>
    <n v="711"/>
    <s v="INTPG_VPC_710_1.11_711_1.12"/>
    <s v="ISEL-1.12"/>
    <n v="1"/>
    <s v="NO TIENE L3OUT"/>
    <n v="16"/>
    <n v="54"/>
  </r>
  <r>
    <n v="716"/>
    <x v="2"/>
    <x v="38"/>
    <s v="eth1/12"/>
    <x v="0"/>
    <x v="0"/>
    <x v="0"/>
    <m/>
    <x v="0"/>
    <b v="0"/>
    <s v="No está en VPC"/>
    <n v="716"/>
    <s v="INTPG-VPC_HDD43_715_1.11_716_1.12"/>
    <s v="ISEL-1.12"/>
    <n v="1"/>
    <s v="NO TIENE L3OUT"/>
    <n v="0"/>
    <n v="54"/>
  </r>
  <r>
    <n v="702"/>
    <x v="2"/>
    <x v="39"/>
    <s v="eth1/12"/>
    <x v="0"/>
    <x v="0"/>
    <x v="0"/>
    <m/>
    <x v="0"/>
    <b v="0"/>
    <s v="No está en VPC"/>
    <n v="702"/>
    <s v="INTPG_VPC_701_1.11_702_1.12"/>
    <s v="ISEL-1.12"/>
    <n v="2"/>
    <s v="NO TIENE L3OUT"/>
    <n v="0"/>
    <n v="54"/>
  </r>
  <r>
    <n v="435"/>
    <x v="1"/>
    <x v="40"/>
    <s v="eth1/12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12"/>
    <x v="0"/>
    <x v="0"/>
    <x v="0"/>
    <s v="TO-ITHFHPNBURBKP08"/>
    <x v="0"/>
    <b v="0"/>
    <s v="No está en VPC"/>
    <n v="446"/>
    <s v="INTPG_VPC_444_1.11_446_1.12"/>
    <s v="ISEL-1.12"/>
    <n v="1"/>
    <s v="NO TIENE L3OUT"/>
    <n v="198"/>
    <n v="54"/>
  </r>
  <r>
    <n v="444"/>
    <x v="1"/>
    <x v="42"/>
    <s v="eth1/12"/>
    <x v="0"/>
    <x v="0"/>
    <x v="0"/>
    <m/>
    <x v="0"/>
    <b v="0"/>
    <s v="No está en VPC"/>
    <n v="444"/>
    <s v="INTPG_ACC_444_1.12"/>
    <s v="ISEL-1.12"/>
    <n v="9"/>
    <s v="NO TIENE L3OUT"/>
    <n v="234"/>
    <n v="54"/>
  </r>
  <r>
    <n v="701"/>
    <x v="2"/>
    <x v="43"/>
    <s v="eth1/12"/>
    <x v="0"/>
    <x v="0"/>
    <x v="0"/>
    <m/>
    <x v="0"/>
    <b v="0"/>
    <s v="No está en VPC"/>
    <n v="701"/>
    <s v="INTPG_VPC_702_1.11_701_1.12"/>
    <s v="ISEL-1.12"/>
    <n v="1"/>
    <s v="NO TIENE L3OUT"/>
    <n v="0"/>
    <n v="54"/>
  </r>
  <r>
    <n v="440"/>
    <x v="1"/>
    <x v="44"/>
    <s v="eth1/12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12"/>
    <x v="0"/>
    <x v="0"/>
    <x v="0"/>
    <s v="TO-CONECTIVIDAD_HUAWEI_CLOUD_SALA_2_produccion_client_LAG"/>
    <x v="0"/>
    <b v="0"/>
    <s v="No está en VPC"/>
    <n v="448"/>
    <s v="INTPG_VPC_431_1.12-13_448_1.12-13"/>
    <s v="ISEL-1.12"/>
    <n v="52"/>
    <s v="NO TIENE L3OUT"/>
    <n v="46"/>
    <n v="54"/>
  </r>
  <r>
    <n v="704"/>
    <x v="2"/>
    <x v="46"/>
    <s v="eth1/12"/>
    <x v="0"/>
    <x v="0"/>
    <x v="0"/>
    <m/>
    <x v="0"/>
    <b v="0"/>
    <s v="No está en VPC"/>
    <n v="704"/>
    <s v="INTPG_VPC_703_1.11_704_1.12"/>
    <s v="ISEL-1.12"/>
    <n v="1"/>
    <s v="NO TIENE L3OUT"/>
    <n v="0"/>
    <n v="54"/>
  </r>
  <r>
    <n v="729"/>
    <x v="2"/>
    <x v="47"/>
    <s v="eth1/12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12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12"/>
    <x v="0"/>
    <x v="0"/>
    <x v="0"/>
    <s v="HACIA_MGMT-OSCP-F4-08_SECUNDARIO"/>
    <x v="4"/>
    <b v="0"/>
    <s v="No está en VPC"/>
    <n v="456"/>
    <s v="INTPG_VPC_454_1.12_456_1.12"/>
    <s v="ISEL-1.12"/>
    <n v="1"/>
    <s v="NO TIENE L3OUT"/>
    <n v="4"/>
    <n v="54"/>
  </r>
  <r>
    <n v="603"/>
    <x v="1"/>
    <x v="50"/>
    <s v="eth1/12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12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12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12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12"/>
    <x v="0"/>
    <x v="1"/>
    <x v="1"/>
    <m/>
    <x v="0"/>
    <b v="0"/>
    <s v="No está en VPC"/>
    <n v="722"/>
    <s v="INTPG-VPC_HDD115_723_1.11_722_1.12"/>
    <s v="ISEL-1.12"/>
    <n v="1"/>
    <s v="NO TIENE L3OUT"/>
    <n v="0"/>
    <n v="54"/>
  </r>
  <r>
    <n v="733"/>
    <x v="2"/>
    <x v="55"/>
    <s v="eth1/12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12"/>
    <x v="0"/>
    <x v="0"/>
    <x v="0"/>
    <s v="OSS F1:ithenmr08bl02nas2r9a:PCIe3 Slot 1/2"/>
    <x v="0"/>
    <b v="0"/>
    <s v="No está en VPC"/>
    <n v="755"/>
    <s v="INTPG_PC_755_1.9-12"/>
    <s v="ISEL-1.12"/>
    <n v="1"/>
    <s v="NO TIENE L3OUT"/>
    <n v="52"/>
    <n v="54"/>
  </r>
  <r>
    <n v="748"/>
    <x v="2"/>
    <x v="57"/>
    <s v="eth1/12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12"/>
    <x v="0"/>
    <x v="0"/>
    <x v="0"/>
    <s v="OSS F1:ithenmr08bl04ombsr9a:PCIe3 Slot 1/2"/>
    <x v="0"/>
    <b v="0"/>
    <s v="No está en VPC"/>
    <n v="756"/>
    <s v="INTPG_PC_756_1.9-12"/>
    <s v="ISEL-1.12"/>
    <n v="2"/>
    <s v="NO TIENE L3OUT"/>
    <n v="64"/>
    <n v="54"/>
  </r>
  <r>
    <n v="754"/>
    <x v="2"/>
    <x v="59"/>
    <s v="eth1/12"/>
    <x v="0"/>
    <x v="0"/>
    <x v="0"/>
    <s v="OSS F1:ithenmr04e1r9c:Bay1/X2"/>
    <x v="0"/>
    <b v="0"/>
    <s v="No está en VPC"/>
    <n v="754"/>
    <s v="INTPG_PC_754_1.11-12"/>
    <s v="ISEL-1.12"/>
    <n v="8"/>
    <s v="NO TIENE L3OUT"/>
    <n v="62"/>
    <n v="54"/>
  </r>
  <r>
    <n v="751"/>
    <x v="2"/>
    <x v="60"/>
    <s v="eth1/12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12"/>
    <x v="0"/>
    <x v="0"/>
    <x v="0"/>
    <s v="Portchannel_7_R1"/>
    <x v="0"/>
    <b v="0"/>
    <s v="No está en VPC"/>
    <n v="769"/>
    <s v="INTPG_PC_769_1.11-14"/>
    <s v="ISEL-1.12"/>
    <n v="1"/>
    <s v="NO TIENE L3OUT"/>
    <n v="60"/>
    <n v="54"/>
  </r>
  <r>
    <n v="742"/>
    <x v="2"/>
    <x v="62"/>
    <s v="eth1/12"/>
    <x v="0"/>
    <x v="1"/>
    <x v="1"/>
    <s v="CEM:ITHCEMB2DAT06:FLEXIO P1"/>
    <x v="5"/>
    <b v="0"/>
    <s v="No está en VPC"/>
    <n v="742"/>
    <s v="INTPG_ACC_742_1.12"/>
    <s v="ISEL-1.12"/>
    <n v="1"/>
    <s v="NO TIENE L3OUT"/>
    <n v="64"/>
    <n v="54"/>
  </r>
  <r>
    <n v="763"/>
    <x v="2"/>
    <x v="63"/>
    <s v="eth1/12"/>
    <x v="0"/>
    <x v="0"/>
    <x v="0"/>
    <s v="PAAS:ithhwoscopap012:LOM PORT 3"/>
    <x v="0"/>
    <b v="0"/>
    <s v="No está en VPC"/>
    <n v="763"/>
    <s v="INTPG_VPC_762_1.12_763_1.12"/>
    <s v="ISEL-1.12"/>
    <n v="15"/>
    <s v="NO TIENE L3OUT"/>
    <n v="2"/>
    <n v="54"/>
  </r>
  <r>
    <n v="766"/>
    <x v="2"/>
    <x v="64"/>
    <s v="eth1/12"/>
    <x v="0"/>
    <x v="0"/>
    <x v="0"/>
    <s v="Portchannel_7_R6A"/>
    <x v="0"/>
    <b v="0"/>
    <s v="No está en VPC"/>
    <n v="766"/>
    <s v="INTPG_PC_766_1.9-12"/>
    <s v="ISEL-1.12"/>
    <n v="1"/>
    <s v="NO TIENE L3OUT"/>
    <n v="58"/>
    <n v="54"/>
  </r>
  <r>
    <n v="760"/>
    <x v="2"/>
    <x v="65"/>
    <s v="eth1/12"/>
    <x v="0"/>
    <x v="1"/>
    <x v="1"/>
    <m/>
    <x v="0"/>
    <b v="0"/>
    <s v="No está en VPC"/>
    <n v="760"/>
    <s v="INTPG_VPC_760_1.9-12_761_1.9-12"/>
    <s v="ISEL-1.12"/>
    <n v="0"/>
    <s v="L3OUT-EXACLOUD"/>
    <n v="0"/>
    <n v="54"/>
  </r>
  <r>
    <n v="752"/>
    <x v="2"/>
    <x v="66"/>
    <s v="eth1/12"/>
    <x v="0"/>
    <x v="0"/>
    <x v="0"/>
    <s v="PAAS:ithhwosstpap003:Slot6.1"/>
    <x v="0"/>
    <b v="0"/>
    <s v="No está en VPC"/>
    <n v="752"/>
    <s v="INTPG_VPC_747_1.12_752_1.12"/>
    <s v="ISEL-1.12"/>
    <n v="25"/>
    <s v="NO TIENE L3OUT"/>
    <n v="0"/>
    <n v="54"/>
  </r>
  <r>
    <n v="765"/>
    <x v="2"/>
    <x v="67"/>
    <s v="eth1/12"/>
    <x v="0"/>
    <x v="0"/>
    <x v="0"/>
    <s v="Portchannel_3_R6A"/>
    <x v="0"/>
    <b v="0"/>
    <s v="No está en VPC"/>
    <n v="765"/>
    <s v="INTPG_PC_765_1.11-12"/>
    <s v="ISEL-1.12"/>
    <n v="8"/>
    <s v="NO TIENE L3OUT"/>
    <n v="60"/>
    <n v="54"/>
  </r>
  <r>
    <n v="778"/>
    <x v="2"/>
    <x v="68"/>
    <s v="eth1/12"/>
    <x v="0"/>
    <x v="0"/>
    <x v="0"/>
    <s v="ENIQ F1:itheniqr07mwsr2:Slot 2/1"/>
    <x v="0"/>
    <b v="0"/>
    <s v="No está en VPC"/>
    <n v="778"/>
    <s v="INTPG_ACC_778_1.12"/>
    <s v="ISEL-1.12"/>
    <n v="1"/>
    <s v="NO TIENE L3OUT"/>
    <n v="26"/>
    <n v="54"/>
  </r>
  <r>
    <n v="780"/>
    <x v="2"/>
    <x v="69"/>
    <s v="eth1/12"/>
    <x v="0"/>
    <x v="0"/>
    <x v="0"/>
    <s v="itheniqr04bl04mws1r1"/>
    <x v="0"/>
    <b v="0"/>
    <s v="No está en VPC"/>
    <n v="780"/>
    <s v="INTPG_ACC_780_1.12"/>
    <s v="ISEL-1.12"/>
    <n v="1"/>
    <s v="NO TIENE L3OUT"/>
    <n v="26"/>
    <n v="54"/>
  </r>
  <r>
    <n v="812"/>
    <x v="2"/>
    <x v="70"/>
    <s v="eth1/12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12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12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12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12"/>
    <x v="0"/>
    <x v="0"/>
    <x v="0"/>
    <s v="LINK_TO_ITHFHWCMVWPMA09 /Slot5.1 /Redundante"/>
    <x v="0"/>
    <b v="0"/>
    <s v="No está en VPC"/>
    <n v="824"/>
    <s v="INTPG_ACC_824_1.12"/>
    <s v="ISEL-1.12"/>
    <n v="1"/>
    <s v="NO TIENE L3OUT"/>
    <n v="70"/>
    <n v="54"/>
  </r>
  <r>
    <n v="819"/>
    <x v="2"/>
    <x v="75"/>
    <s v="eth1/12"/>
    <x v="0"/>
    <x v="0"/>
    <x v="0"/>
    <s v="LINK_TO_ITHFHWCMVWPMA09 /10GE.1 /Principal"/>
    <x v="0"/>
    <b v="0"/>
    <s v="No está en VPC"/>
    <n v="819"/>
    <s v="INTPG_ACC_819_1.12"/>
    <s v="ISEL-1.12"/>
    <n v="1"/>
    <s v="NO TIENE L3OUT"/>
    <n v="70"/>
    <n v="54"/>
  </r>
  <r>
    <n v="737"/>
    <x v="2"/>
    <x v="76"/>
    <s v="eth1/12"/>
    <x v="0"/>
    <x v="0"/>
    <x v="0"/>
    <s v="CEM:ITHCEME2DAT06:FLEXIO P1"/>
    <x v="5"/>
    <b v="0"/>
    <s v="No está en VPC"/>
    <n v="737"/>
    <s v="INTPG_ACC_737_1.12"/>
    <s v="ISEL-1.12"/>
    <n v="1"/>
    <s v="NO TIENE L3OUT"/>
    <n v="72"/>
    <n v="54"/>
  </r>
  <r>
    <n v="844"/>
    <x v="2"/>
    <x v="77"/>
    <s v="eth1/12"/>
    <x v="0"/>
    <x v="0"/>
    <x v="0"/>
    <s v="LINK_TO_ITHFHWCRMPLCN104 / Slot1.3_12 / Principal"/>
    <x v="0"/>
    <b v="0"/>
    <s v="No está en VPC"/>
    <n v="844"/>
    <s v="INTPG_ACC_844_1.12"/>
    <s v="ISEL-1.12"/>
    <n v="1"/>
    <s v="NO TIENE L3OUT"/>
    <n v="282"/>
    <n v="54"/>
  </r>
  <r>
    <n v="843"/>
    <x v="2"/>
    <x v="78"/>
    <s v="eth1/12"/>
    <x v="0"/>
    <x v="0"/>
    <x v="0"/>
    <s v="LINK_To_ITHFHWCBSPSUSBD27 / Slot7.1_8 / Redundante"/>
    <x v="0"/>
    <b v="0"/>
    <s v="No está en VPC"/>
    <n v="843"/>
    <s v="INTPG_VPC_838_1.12_843_1.12"/>
    <s v="ISEL-1.12"/>
    <n v="2"/>
    <s v="NO TIENE L3OUT"/>
    <n v="38"/>
    <n v="54"/>
  </r>
  <r>
    <n v="797"/>
    <x v="2"/>
    <x v="79"/>
    <s v="eth1/12"/>
    <x v="0"/>
    <x v="0"/>
    <x v="0"/>
    <s v="TO-HDPS_14-MSP"/>
    <x v="0"/>
    <b v="0"/>
    <s v="No está en VPC"/>
    <n v="797"/>
    <s v="INTPG_ACC_797_1.12"/>
    <s v="ISEL-1.12"/>
    <n v="1"/>
    <s v="NO TIENE L3OUT"/>
    <n v="48"/>
    <n v="54"/>
  </r>
  <r>
    <n v="839"/>
    <x v="2"/>
    <x v="80"/>
    <s v="eth1/12"/>
    <x v="0"/>
    <x v="0"/>
    <x v="0"/>
    <s v="LINK_TO_ITHFHWCBSPSWR61 / Slot7.3_10 / Redundante"/>
    <x v="0"/>
    <b v="0"/>
    <s v="No está en VPC"/>
    <n v="839"/>
    <s v="INTPG_VPC_834_1.12_839_1.12"/>
    <s v="ISEL-1.12"/>
    <n v="1"/>
    <s v="NO TIENE L3OUT"/>
    <n v="0"/>
    <n v="54"/>
  </r>
  <r>
    <n v="847"/>
    <x v="2"/>
    <x v="81"/>
    <s v="eth1/12"/>
    <x v="0"/>
    <x v="0"/>
    <x v="0"/>
    <s v="LINK_TO_ITHFHWCRMPLCN169 / Slot7.2_8 / Redundante"/>
    <x v="0"/>
    <b v="0"/>
    <s v="No está en VPC"/>
    <n v="847"/>
    <s v="INTPG_ACC_847_1.12"/>
    <s v="ISEL-1.12"/>
    <n v="2"/>
    <s v="NO TIENE L3OUT"/>
    <n v="204"/>
    <n v="54"/>
  </r>
  <r>
    <n v="848"/>
    <x v="2"/>
    <x v="82"/>
    <s v="eth1/12"/>
    <x v="0"/>
    <x v="0"/>
    <x v="0"/>
    <s v="LINK_TO_ITHFHWCRMPLCN158 / Slot7.2_18 / Redundante"/>
    <x v="0"/>
    <b v="0"/>
    <s v="No está en VPC"/>
    <n v="848"/>
    <s v="INTPG_ACC_848_1.12"/>
    <s v="ISEL-1.12"/>
    <n v="2"/>
    <s v="NO TIENE L3OUT"/>
    <n v="254"/>
    <n v="54"/>
  </r>
  <r>
    <n v="846"/>
    <x v="2"/>
    <x v="83"/>
    <s v="eth1/12"/>
    <x v="0"/>
    <x v="0"/>
    <x v="0"/>
    <s v="LINK_TO_ITHFHWCRMPLCN75 / Slot1.3_8 / Principal"/>
    <x v="0"/>
    <b v="0"/>
    <s v="No está en VPC"/>
    <n v="846"/>
    <s v="INTPG_ACC_846_1.12"/>
    <s v="ISEL-1.12"/>
    <n v="1"/>
    <s v="NO TIENE L3OUT"/>
    <n v="242"/>
    <n v="54"/>
  </r>
  <r>
    <n v="838"/>
    <x v="2"/>
    <x v="84"/>
    <s v="eth1/12"/>
    <x v="0"/>
    <x v="0"/>
    <x v="0"/>
    <s v="LINK_To_ITHFHWCBSPSUSBD27 / Slot1.1_8 / Principal"/>
    <x v="0"/>
    <b v="0"/>
    <s v="No está en VPC"/>
    <n v="838"/>
    <s v="INTPG_VPC_838_1.12_843_1.12"/>
    <s v="ISEL-1.12"/>
    <n v="2"/>
    <s v="NO TIENE L3OUT"/>
    <n v="38"/>
    <n v="54"/>
  </r>
  <r>
    <n v="849"/>
    <x v="2"/>
    <x v="85"/>
    <s v="eth1/12"/>
    <x v="0"/>
    <x v="0"/>
    <x v="0"/>
    <s v="LINK_TO_ITHFHWCRMPLCN138 / Slot7.2_10 / Redundante"/>
    <x v="0"/>
    <b v="0"/>
    <s v="No está en VPC"/>
    <n v="849"/>
    <s v="INTPG_ACC_849_1.12"/>
    <s v="ISEL-1.12"/>
    <n v="2"/>
    <s v="NO TIENE L3OUT"/>
    <n v="286"/>
    <n v="54"/>
  </r>
  <r>
    <n v="845"/>
    <x v="2"/>
    <x v="86"/>
    <s v="eth1/12"/>
    <x v="0"/>
    <x v="0"/>
    <x v="0"/>
    <s v="LINK_TO_ITHFHWCRMPLCN88 / Slot1.1_8 / Principal"/>
    <x v="0"/>
    <b v="0"/>
    <s v="No está en VPC"/>
    <n v="845"/>
    <s v="INTPG_ACC_845_1.12"/>
    <s v="ISEL-1.12"/>
    <n v="6"/>
    <s v="NO TIENE L3OUT"/>
    <n v="258"/>
    <n v="54"/>
  </r>
  <r>
    <n v="873"/>
    <x v="2"/>
    <x v="87"/>
    <s v="eth1/12"/>
    <x v="0"/>
    <x v="0"/>
    <x v="0"/>
    <s v="TO_ITHFHWCRMDLCN57_Principal"/>
    <x v="0"/>
    <b v="0"/>
    <s v="No está en VPC"/>
    <n v="873"/>
    <s v="INTPG_ACC_873_1.12"/>
    <s v="ISEL-1.12"/>
    <n v="6"/>
    <s v="NO TIENE L3OUT"/>
    <n v="248"/>
    <n v="54"/>
  </r>
  <r>
    <n v="864"/>
    <x v="2"/>
    <x v="88"/>
    <s v="eth1/12"/>
    <x v="0"/>
    <x v="0"/>
    <x v="0"/>
    <s v="To_VPC_2DCBSD_HD34_3"/>
    <x v="0"/>
    <b v="0"/>
    <s v="No está en VPC"/>
    <n v="864"/>
    <s v="INTPG_VPC_859_1.12_864_1.12"/>
    <s v="ISEL-1.12"/>
    <n v="1"/>
    <s v="NO TIENE L3OUT"/>
    <n v="0"/>
    <n v="54"/>
  </r>
  <r>
    <n v="836"/>
    <x v="2"/>
    <x v="89"/>
    <s v="eth1/12"/>
    <x v="0"/>
    <x v="0"/>
    <x v="0"/>
    <s v="LINK_TO_ITHFHWCBSPSWR49 / Slot1.2_26 / Principal"/>
    <x v="0"/>
    <b v="0"/>
    <s v="No está en VPC"/>
    <n v="836"/>
    <s v="INTPG_VPC_836_1.12_841_1.12"/>
    <s v="ISEL-1.12"/>
    <n v="1"/>
    <s v="NO TIENE L3OUT"/>
    <n v="0"/>
    <n v="54"/>
  </r>
  <r>
    <n v="834"/>
    <x v="2"/>
    <x v="90"/>
    <s v="eth1/12"/>
    <x v="0"/>
    <x v="0"/>
    <x v="0"/>
    <s v="LINK_TO_ITHFHWCBSPSWR61 / Slot1.3_10 / Principal"/>
    <x v="0"/>
    <b v="0"/>
    <s v="No está en VPC"/>
    <n v="834"/>
    <s v="INTPG_VPC_834_1.12_839_1.12"/>
    <s v="ISEL-1.12"/>
    <n v="1"/>
    <s v="NO TIENE L3OUT"/>
    <n v="0"/>
    <n v="54"/>
  </r>
  <r>
    <n v="872"/>
    <x v="2"/>
    <x v="91"/>
    <s v="eth1/12"/>
    <x v="0"/>
    <x v="0"/>
    <x v="0"/>
    <s v="To_ITHFHWCRMDLCN73_Principal"/>
    <x v="0"/>
    <b v="0"/>
    <s v="No está en VPC"/>
    <n v="872"/>
    <s v="INTPG_ACC_872_1.12"/>
    <s v="ISEL-1.12"/>
    <n v="6"/>
    <s v="NO TIENE L3OUT"/>
    <n v="288"/>
    <n v="54"/>
  </r>
  <r>
    <n v="842"/>
    <x v="2"/>
    <x v="92"/>
    <s v="eth1/12"/>
    <x v="0"/>
    <x v="0"/>
    <x v="0"/>
    <s v="LINK_TO_ITHFHWCBSPSUSBD28 / Slot7.2_8 / Redundante"/>
    <x v="0"/>
    <b v="0"/>
    <s v="No está en VPC"/>
    <n v="842"/>
    <s v="INTPG_VPC_837_1.12_842_1.12"/>
    <s v="ISEL-1.12"/>
    <n v="1"/>
    <s v="NO TIENE L3OUT"/>
    <n v="8"/>
    <n v="54"/>
  </r>
  <r>
    <n v="828"/>
    <x v="2"/>
    <x v="93"/>
    <s v="eth1/12"/>
    <x v="0"/>
    <x v="0"/>
    <x v="0"/>
    <s v="LINK_TO_ITHHWD6KV60014DKC01 /CtrlB_IOM0.P0 /Principal"/>
    <x v="0"/>
    <b v="0"/>
    <s v="No está en VPC"/>
    <n v="828"/>
    <s v="INTPG_ACC_828_1.12"/>
    <s v="ISEL-1.12"/>
    <n v="1"/>
    <s v="NO TIENE L3OUT"/>
    <n v="192"/>
    <n v="54"/>
  </r>
  <r>
    <n v="870"/>
    <x v="2"/>
    <x v="94"/>
    <s v="eth1/12"/>
    <x v="0"/>
    <x v="0"/>
    <x v="0"/>
    <s v="TO_ITHFHWCRMDLCN57_Redundante"/>
    <x v="0"/>
    <b v="0"/>
    <s v="No está en VPC"/>
    <n v="870"/>
    <s v="INTPG_ACC_870_1.12"/>
    <s v="ISEL-1.12"/>
    <n v="6"/>
    <s v="NO TIENE L3OUT"/>
    <n v="248"/>
    <n v="54"/>
  </r>
  <r>
    <n v="866"/>
    <x v="2"/>
    <x v="95"/>
    <s v="eth1/12"/>
    <x v="0"/>
    <x v="0"/>
    <x v="0"/>
    <s v="To_VPC_2DCBSD_HD20_2"/>
    <x v="0"/>
    <b v="0"/>
    <s v="No está en VPC"/>
    <n v="866"/>
    <s v="INTPG_VPC_861_1.12_866_1.12"/>
    <s v="ISEL-1.12"/>
    <n v="1"/>
    <s v="NO TIENE L3OUT"/>
    <n v="8"/>
    <n v="54"/>
  </r>
  <r>
    <n v="862"/>
    <x v="2"/>
    <x v="96"/>
    <s v="eth1/12"/>
    <x v="0"/>
    <x v="0"/>
    <x v="0"/>
    <s v="TO-ITHFSUEXG2XCN02_PCI8.P1"/>
    <x v="0"/>
    <b v="0"/>
    <s v="No está en VPC"/>
    <n v="862"/>
    <s v="INTPG_ACC_862_1.12"/>
    <s v="ISEL-1.12"/>
    <n v="2"/>
    <s v="NO TIENE L3OUT"/>
    <n v="44"/>
    <n v="54"/>
  </r>
  <r>
    <n v="855"/>
    <x v="2"/>
    <x v="97"/>
    <s v="eth1/12"/>
    <x v="0"/>
    <x v="0"/>
    <x v="0"/>
    <s v="LINK_TO_ITHFHWCRMPLCN158 / Slot1.2_18 / Principal"/>
    <x v="0"/>
    <b v="0"/>
    <s v="No está en VPC"/>
    <n v="855"/>
    <s v="INTPG_ACC_855_1.12"/>
    <s v="ISEL-1.12"/>
    <n v="2"/>
    <s v="NO TIENE L3OUT"/>
    <n v="254"/>
    <n v="54"/>
  </r>
  <r>
    <n v="871"/>
    <x v="2"/>
    <x v="98"/>
    <s v="eth1/12"/>
    <x v="0"/>
    <x v="0"/>
    <x v="0"/>
    <s v="TO_ITHFHWCRMDLCN84_Principal"/>
    <x v="0"/>
    <b v="0"/>
    <s v="No está en VPC"/>
    <n v="871"/>
    <s v="INTPG_ACC_871_1.12"/>
    <s v="ISEL-1.12"/>
    <n v="1"/>
    <s v="NO TIENE L3OUT"/>
    <n v="246"/>
    <n v="54"/>
  </r>
  <r>
    <n v="841"/>
    <x v="2"/>
    <x v="99"/>
    <s v="eth1/12"/>
    <x v="0"/>
    <x v="0"/>
    <x v="0"/>
    <s v="LINK_TO_ITHFHWCBSPSWR49 / Slot7.2_26 / Redundante"/>
    <x v="0"/>
    <b v="0"/>
    <s v="No está en VPC"/>
    <n v="841"/>
    <s v="INTPG_VPC_836_1.12_841_1.12"/>
    <s v="ISEL-1.12"/>
    <n v="1"/>
    <s v="NO TIENE L3OUT"/>
    <n v="0"/>
    <n v="54"/>
  </r>
  <r>
    <n v="868"/>
    <x v="2"/>
    <x v="100"/>
    <s v="eth1/12"/>
    <x v="0"/>
    <x v="0"/>
    <x v="0"/>
    <s v="TO_ITHFHWCRMDLCN84_Redundante"/>
    <x v="0"/>
    <b v="0"/>
    <s v="No está en VPC"/>
    <n v="868"/>
    <s v="INTPG_ACC_868_1.12"/>
    <s v="ISEL-1.12"/>
    <n v="1"/>
    <s v="NO TIENE L3OUT"/>
    <n v="246"/>
    <n v="54"/>
  </r>
  <r>
    <n v="869"/>
    <x v="2"/>
    <x v="101"/>
    <s v="eth1/12"/>
    <x v="0"/>
    <x v="0"/>
    <x v="0"/>
    <s v="To_ITHFHWCRMDLCN73_Redundante"/>
    <x v="0"/>
    <b v="0"/>
    <s v="No está en VPC"/>
    <n v="869"/>
    <s v="INTPG_ACC_869_1.12"/>
    <s v="ISEL-1.12"/>
    <n v="6"/>
    <s v="NO TIENE L3OUT"/>
    <n v="288"/>
    <n v="54"/>
  </r>
  <r>
    <n v="861"/>
    <x v="2"/>
    <x v="102"/>
    <s v="eth1/12"/>
    <x v="0"/>
    <x v="0"/>
    <x v="0"/>
    <s v="To_VPC_2DCBSD_HD20_2"/>
    <x v="0"/>
    <b v="0"/>
    <s v="No está en VPC"/>
    <n v="861"/>
    <s v="INTPG_VPC_861_1.12_866_1.12"/>
    <s v="ISEL-1.12"/>
    <n v="1"/>
    <s v="NO TIENE L3OUT"/>
    <n v="8"/>
    <n v="54"/>
  </r>
  <r>
    <n v="874"/>
    <x v="2"/>
    <x v="103"/>
    <s v="eth1/12"/>
    <x v="0"/>
    <x v="0"/>
    <x v="0"/>
    <s v="LINK_TO_ITHFHWSEQLCAS35 (GMR 3) / Slot 5 PTO 1 / Redundante"/>
    <x v="4"/>
    <b v="0"/>
    <s v="No está en VPC"/>
    <n v="874"/>
    <s v="INTPG_ACC_874_1.12"/>
    <s v="ISEL-1.12"/>
    <n v="1"/>
    <s v="NO TIENE L3OUT"/>
    <n v="92"/>
    <n v="54"/>
  </r>
  <r>
    <n v="865"/>
    <x v="2"/>
    <x v="104"/>
    <s v="eth1/12"/>
    <x v="0"/>
    <x v="0"/>
    <x v="0"/>
    <s v="To_VPC_2DCBSD_HD26_3"/>
    <x v="0"/>
    <b v="0"/>
    <s v="No está en VPC"/>
    <n v="865"/>
    <s v="INTPG_VPC_860_1.12_865_1.12"/>
    <s v="ISEL-1.12"/>
    <n v="1"/>
    <s v="NO TIENE L3OUT"/>
    <n v="0"/>
    <n v="54"/>
  </r>
  <r>
    <n v="753"/>
    <x v="2"/>
    <x v="105"/>
    <s v="eth1/12"/>
    <x v="0"/>
    <x v="0"/>
    <x v="0"/>
    <s v="OSS F1:ithenmr03bl04ombsr9c:PCIe3 Slot 1/2"/>
    <x v="0"/>
    <b v="0"/>
    <s v="No está en VPC"/>
    <n v="753"/>
    <s v="INTPG_PC_753_1.9-12"/>
    <s v="ISEL-1.12"/>
    <n v="2"/>
    <s v="NO TIENE L3OUT"/>
    <n v="62"/>
    <n v="54"/>
  </r>
  <r>
    <n v="708"/>
    <x v="2"/>
    <x v="106"/>
    <s v="eth1/12"/>
    <x v="0"/>
    <x v="1"/>
    <x v="1"/>
    <s v="CEM:ITHCEME2DAT06:LOM  P2"/>
    <x v="0"/>
    <b v="0"/>
    <s v="No está en VPC"/>
    <n v="708"/>
    <s v="INTPG_VPC_708_1.12_709_1.11"/>
    <s v="ISEL-1.12"/>
    <n v="1"/>
    <s v="NO TIENE L3OUT"/>
    <n v="0"/>
    <n v="54"/>
  </r>
  <r>
    <n v="710"/>
    <x v="2"/>
    <x v="107"/>
    <s v="eth1/12"/>
    <x v="0"/>
    <x v="0"/>
    <x v="0"/>
    <s v="CEM:ITHCEMC2DAT06:LOM  P2"/>
    <x v="0"/>
    <b v="0"/>
    <s v="No está en VPC"/>
    <n v="710"/>
    <s v="INTPG_ACC_710_1.12"/>
    <s v="ISEL-1.12"/>
    <n v="1"/>
    <s v="NO TIENE L3OUT"/>
    <n v="16"/>
    <n v="54"/>
  </r>
  <r>
    <n v="713"/>
    <x v="2"/>
    <x v="108"/>
    <s v="eth1/12"/>
    <x v="0"/>
    <x v="0"/>
    <x v="0"/>
    <s v="CEM:ITHCEMB2DAT06:LOM  P2"/>
    <x v="0"/>
    <b v="0"/>
    <s v="No está en VPC"/>
    <n v="713"/>
    <s v="INTPG_ACC_713_1.12"/>
    <s v="ISEL-1.12"/>
    <n v="1"/>
    <s v="NO TIENE L3OUT"/>
    <n v="32"/>
    <n v="54"/>
  </r>
  <r>
    <n v="735"/>
    <x v="2"/>
    <x v="109"/>
    <s v="eth1/12"/>
    <x v="0"/>
    <x v="1"/>
    <x v="1"/>
    <s v="ixtamws2"/>
    <x v="5"/>
    <b v="0"/>
    <s v="No está en VPC"/>
    <n v="735"/>
    <s v="INTPG_ACC_735_1.12"/>
    <s v="ISEL-1.12"/>
    <n v="1"/>
    <s v="NO TIENE L3OUT"/>
    <n v="34"/>
    <n v="54"/>
  </r>
  <r>
    <n v="731"/>
    <x v="2"/>
    <x v="110"/>
    <s v="eth1/12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12"/>
    <x v="0"/>
    <x v="0"/>
    <x v="0"/>
    <m/>
    <x v="0"/>
    <b v="0"/>
    <s v="No está en VPC"/>
    <n v="703"/>
    <s v="INTPG_VPC_704_1.11_703_1.12"/>
    <s v="ISEL-1.12"/>
    <n v="1"/>
    <s v="NO TIENE L3OUT"/>
    <n v="2"/>
    <n v="54"/>
  </r>
  <r>
    <n v="706"/>
    <x v="2"/>
    <x v="112"/>
    <s v="eth1/12"/>
    <x v="0"/>
    <x v="0"/>
    <x v="0"/>
    <m/>
    <x v="0"/>
    <b v="0"/>
    <s v="No está en VPC"/>
    <n v="706"/>
    <s v="INTPG_VPC_705_1.11_706_1.12"/>
    <s v="ISEL-1.12"/>
    <n v="2"/>
    <s v="NO TIENE L3OUT"/>
    <n v="16"/>
    <n v="54"/>
  </r>
  <r>
    <n v="762"/>
    <x v="2"/>
    <x v="113"/>
    <s v="eth1/12"/>
    <x v="0"/>
    <x v="0"/>
    <x v="0"/>
    <s v="PAAS:ithhwoscopap012:FlexIO.1"/>
    <x v="0"/>
    <b v="0"/>
    <s v="No está en VPC"/>
    <n v="762"/>
    <s v="INTPG_VPC_762_1.12_763_1.12"/>
    <s v="ISEL-1.12"/>
    <n v="15"/>
    <s v="NO TIENE L3OUT"/>
    <n v="0"/>
    <n v="54"/>
  </r>
  <r>
    <n v="814"/>
    <x v="2"/>
    <x v="114"/>
    <s v="eth1/12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12"/>
    <x v="0"/>
    <x v="0"/>
    <x v="0"/>
    <s v="HACIA_MGMT-OSCP-F4-12_PRINCIPAL"/>
    <x v="4"/>
    <b v="0"/>
    <s v="No está en VPC"/>
    <n v="878"/>
    <s v="INTPG_VPC_878_1.12_879_1.12"/>
    <s v="ISEL-1.12"/>
    <n v="1"/>
    <s v="NO TIENE L3OUT"/>
    <n v="0"/>
    <n v="54"/>
  </r>
  <r>
    <n v="826"/>
    <x v="2"/>
    <x v="116"/>
    <s v="eth1/12"/>
    <x v="0"/>
    <x v="0"/>
    <x v="0"/>
    <s v="LINK_TO_ITHFHWCBSDSUSBD07 /Slot4.2 /Principal"/>
    <x v="0"/>
    <b v="0"/>
    <s v="No está en VPC"/>
    <n v="826"/>
    <s v="INTPG_VPC_826_1.12_830_1.12"/>
    <s v="ISEL-1.12"/>
    <n v="1"/>
    <s v="NO TIENE L3OUT"/>
    <n v="12"/>
    <n v="54"/>
  </r>
  <r>
    <n v="726"/>
    <x v="2"/>
    <x v="117"/>
    <s v="eth1/12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12"/>
    <x v="0"/>
    <x v="0"/>
    <x v="0"/>
    <s v="CEM:ITHCEMD2DAT06:FLEXIO P1"/>
    <x v="5"/>
    <b v="0"/>
    <s v="No está en VPC"/>
    <n v="740"/>
    <s v="INTPG_ACC_740_1.12"/>
    <s v="ISEL-1.12"/>
    <n v="1"/>
    <s v="NO TIENE L3OUT"/>
    <n v="72"/>
    <n v="54"/>
  </r>
  <r>
    <n v="705"/>
    <x v="2"/>
    <x v="119"/>
    <s v="eth1/12"/>
    <x v="0"/>
    <x v="0"/>
    <x v="0"/>
    <s v="ITHCEMA1DAT06-LOM-P2"/>
    <x v="0"/>
    <b v="0"/>
    <s v="No está en VPC"/>
    <n v="705"/>
    <s v="INTPG_ACC_705_1.12"/>
    <s v="ISEL-1.12"/>
    <n v="1"/>
    <s v="NO TIENE L3OUT"/>
    <n v="16"/>
    <n v="54"/>
  </r>
  <r>
    <n v="723"/>
    <x v="2"/>
    <x v="120"/>
    <s v="eth1/12"/>
    <x v="0"/>
    <x v="0"/>
    <x v="0"/>
    <m/>
    <x v="0"/>
    <b v="0"/>
    <s v="No está en VPC"/>
    <n v="723"/>
    <s v="INTPG-VPC_HDD128_722_1.11_723_1.12"/>
    <s v="ISEL-1.12"/>
    <n v="1"/>
    <s v="NO TIENE L3OUT"/>
    <n v="0"/>
    <n v="54"/>
  </r>
  <r>
    <n v="721"/>
    <x v="2"/>
    <x v="121"/>
    <s v="eth1/12"/>
    <x v="0"/>
    <x v="0"/>
    <x v="0"/>
    <m/>
    <x v="0"/>
    <b v="0"/>
    <s v="No está en VPC"/>
    <n v="721"/>
    <s v="INTPG-VPC_HDD55_714_1.11_721_1.12"/>
    <s v="ISEL-1.12"/>
    <n v="2"/>
    <s v="NO TIENE L3OUT"/>
    <n v="20"/>
    <n v="54"/>
  </r>
  <r>
    <n v="788"/>
    <x v="2"/>
    <x v="122"/>
    <s v="eth1/12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12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12"/>
    <x v="0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12"/>
    <x v="0"/>
    <x v="1"/>
    <x v="5"/>
    <s v="CEM:ITHCEMF2DAT06:LOM  P2"/>
    <x v="0"/>
    <b v="0"/>
    <s v="No está en VPC"/>
    <n v="709"/>
    <s v="INTPG_VPC_708_1.11_709_1.12"/>
    <s v="ISEL-1.12"/>
    <n v="1"/>
    <s v="NO TIENE L3OUT"/>
    <n v="0"/>
    <n v="54"/>
  </r>
  <r>
    <n v="454"/>
    <x v="1"/>
    <x v="126"/>
    <s v="eth1/12"/>
    <x v="0"/>
    <x v="0"/>
    <x v="0"/>
    <s v="HACIA_MGMT-OSCP-F4-08_PRINCIPAL"/>
    <x v="4"/>
    <b v="0"/>
    <s v="No está en VPC"/>
    <n v="454"/>
    <s v="INTPG_VPC_454_1.12_456_1.12"/>
    <s v="ISEL-1.12"/>
    <n v="1"/>
    <s v="NO TIENE L3OUT"/>
    <n v="4"/>
    <n v="54"/>
  </r>
  <r>
    <n v="734"/>
    <x v="2"/>
    <x v="127"/>
    <s v="eth1/12"/>
    <x v="0"/>
    <x v="1"/>
    <x v="1"/>
    <s v="CEM:ITHCEMA1DAT06:FLEXIO P1"/>
    <x v="5"/>
    <b v="0"/>
    <s v="No está en VPC"/>
    <n v="734"/>
    <s v="INTPG_ACC_734_1.12"/>
    <s v="ISEL-1.12"/>
    <n v="1"/>
    <s v="NO TIENE L3OUT"/>
    <n v="32"/>
    <n v="54"/>
  </r>
  <r>
    <n v="815"/>
    <x v="2"/>
    <x v="128"/>
    <s v="eth1/12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12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12"/>
    <x v="0"/>
    <x v="0"/>
    <x v="0"/>
    <m/>
    <x v="0"/>
    <b v="0"/>
    <s v="No está en VPC"/>
    <n v="718"/>
    <s v="INTPG-VPC_HDD22_717_1.11_718_1.12"/>
    <s v="ISEL-1.12"/>
    <n v="1"/>
    <s v="NO TIENE L3OUT"/>
    <n v="0"/>
    <n v="54"/>
  </r>
  <r>
    <n v="744"/>
    <x v="2"/>
    <x v="131"/>
    <s v="eth1/12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12"/>
    <x v="0"/>
    <x v="1"/>
    <x v="1"/>
    <s v="CEM:ITHCEMA2DAT06:FLEXIO P1"/>
    <x v="5"/>
    <b v="0"/>
    <s v="No está en VPC"/>
    <n v="741"/>
    <s v="INTPG_ACC_741_1.12"/>
    <s v="ISEL-1.12"/>
    <n v="1"/>
    <s v="NO TIENE L3OUT"/>
    <n v="62"/>
    <n v="54"/>
  </r>
  <r>
    <n v="787"/>
    <x v="2"/>
    <x v="133"/>
    <s v="eth1/12"/>
    <x v="0"/>
    <x v="0"/>
    <x v="0"/>
    <s v="ENIQ F2:itheniqr16bl04mws1r4a:Slot 2/1"/>
    <x v="0"/>
    <b v="0"/>
    <s v="No está en VPC"/>
    <n v="787"/>
    <s v="INTPG_ACC_787_1.12"/>
    <s v="ISEL-1.12"/>
    <n v="1"/>
    <s v="NO TIENE L3OUT"/>
    <n v="26"/>
    <n v="54"/>
  </r>
  <r>
    <n v="750"/>
    <x v="2"/>
    <x v="134"/>
    <s v="eth1/12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12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12"/>
    <x v="0"/>
    <x v="1"/>
    <x v="3"/>
    <s v="CEM:ITHCEMG2DAT06:SLOT1 P1"/>
    <x v="0"/>
    <b v="0"/>
    <s v="No está en VPC"/>
    <n v="736"/>
    <s v="INTPG_ACC_736_1.12"/>
    <s v="ISEL-1.12"/>
    <n v="1"/>
    <s v="NO TIENE L3OUT"/>
    <n v="48"/>
    <n v="54"/>
  </r>
  <r>
    <n v="799"/>
    <x v="2"/>
    <x v="137"/>
    <s v="eth1/12"/>
    <x v="0"/>
    <x v="0"/>
    <x v="0"/>
    <s v="TO-HMS_01-MSP"/>
    <x v="0"/>
    <b v="0"/>
    <s v="No está en VPC"/>
    <n v="799"/>
    <s v="INTPG_ACC_799_1.12"/>
    <s v="ISEL-1.12"/>
    <n v="1"/>
    <s v="NO TIENE L3OUT"/>
    <n v="52"/>
    <n v="54"/>
  </r>
  <r>
    <n v="768"/>
    <x v="2"/>
    <x v="138"/>
    <s v="eth1/12"/>
    <x v="0"/>
    <x v="0"/>
    <x v="0"/>
    <s v="Portchannel_2_R3"/>
    <x v="0"/>
    <b v="0"/>
    <s v="No está en VPC"/>
    <n v="768"/>
    <s v="INTPG_PC_768_1.11-12"/>
    <s v="ISEL-1.12"/>
    <n v="8"/>
    <s v="NO TIENE L3OUT"/>
    <n v="62"/>
    <n v="54"/>
  </r>
  <r>
    <n v="714"/>
    <x v="2"/>
    <x v="139"/>
    <s v="eth1/12"/>
    <x v="0"/>
    <x v="0"/>
    <x v="0"/>
    <s v="TO-ITHFHWVRALCN05"/>
    <x v="0"/>
    <b v="0"/>
    <s v="No está en VPC"/>
    <n v="714"/>
    <s v="INTPG_VPC_714_1.12_721_1.11"/>
    <s v="ISEL-1.12"/>
    <n v="108"/>
    <s v="NO TIENE L3OUT"/>
    <n v="20"/>
    <n v="54"/>
  </r>
  <r>
    <n v="717"/>
    <x v="2"/>
    <x v="140"/>
    <s v="eth1/12"/>
    <x v="0"/>
    <x v="0"/>
    <x v="0"/>
    <m/>
    <x v="0"/>
    <b v="0"/>
    <s v="No está en VPC"/>
    <n v="717"/>
    <s v="INTPG-VPC_HDD12_718_1.11_717_1.12"/>
    <s v="ISEL-1.12"/>
    <n v="1"/>
    <s v="NO TIENE L3OUT"/>
    <n v="0"/>
    <n v="54"/>
  </r>
  <r>
    <n v="789"/>
    <x v="2"/>
    <x v="141"/>
    <s v="eth1/12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12"/>
    <x v="0"/>
    <x v="0"/>
    <x v="0"/>
    <s v="Portchannel_2_R1"/>
    <x v="0"/>
    <b v="0"/>
    <s v="No está en VPC"/>
    <n v="764"/>
    <s v="INTPG_PC_764_1.11-12"/>
    <s v="ISEL-1.12"/>
    <n v="8"/>
    <s v="NO TIENE L3OUT"/>
    <n v="62"/>
    <n v="54"/>
  </r>
  <r>
    <n v="783"/>
    <x v="2"/>
    <x v="143"/>
    <s v="eth1/12"/>
    <x v="0"/>
    <x v="0"/>
    <x v="0"/>
    <s v="itheniqr09bl04mws1r9a"/>
    <x v="0"/>
    <b v="0"/>
    <s v="No está en VPC"/>
    <n v="783"/>
    <s v="INTPG_ACC_783_1.12"/>
    <s v="ISEL-1.12"/>
    <n v="1"/>
    <s v="NO TIENE L3OUT"/>
    <n v="26"/>
    <n v="54"/>
  </r>
  <r>
    <n v="774"/>
    <x v="2"/>
    <x v="144"/>
    <s v="eth1/12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12"/>
    <x v="0"/>
    <x v="0"/>
    <x v="0"/>
    <s v="TO-ITHFF5IOTUPLB02"/>
    <x v="0"/>
    <b v="0"/>
    <s v="No está en VPC"/>
    <n v="773"/>
    <s v="INTPG_VPC_772_1.16_773_1.12"/>
    <s v="ISEL-1.12"/>
    <n v="4"/>
    <s v="NO TIENE L3OUT"/>
    <n v="78"/>
    <n v="54"/>
  </r>
  <r>
    <n v="794"/>
    <x v="2"/>
    <x v="146"/>
    <s v="eth1/12"/>
    <x v="0"/>
    <x v="0"/>
    <x v="0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12"/>
    <x v="0"/>
    <x v="0"/>
    <x v="0"/>
    <s v="TO-HDPS_38-MSP"/>
    <x v="0"/>
    <b v="0"/>
    <s v="No está en VPC"/>
    <n v="803"/>
    <s v="INTPG_ACC_803_1.12"/>
    <s v="ISEL-1.12"/>
    <n v="1"/>
    <s v="NO TIENE L3OUT"/>
    <n v="48"/>
    <n v="54"/>
  </r>
  <r>
    <n v="786"/>
    <x v="2"/>
    <x v="148"/>
    <s v="eth1/12"/>
    <x v="0"/>
    <x v="0"/>
    <x v="0"/>
    <s v="ENIQ F2:itheniqr14bl04mws1r4b:Slot 2/1"/>
    <x v="0"/>
    <b v="0"/>
    <s v="No está en VPC"/>
    <n v="786"/>
    <s v="INTPG_ACC_786_1.12"/>
    <s v="ISEL-1.12"/>
    <n v="1"/>
    <s v="NO TIENE L3OUT"/>
    <n v="26"/>
    <n v="54"/>
  </r>
  <r>
    <n v="757"/>
    <x v="2"/>
    <x v="149"/>
    <s v="eth1/12"/>
    <x v="0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12"/>
    <x v="0"/>
    <x v="0"/>
    <x v="0"/>
    <s v="itheniqr07bl04mws1r9c"/>
    <x v="0"/>
    <b v="0"/>
    <s v="No está en VPC"/>
    <n v="781"/>
    <s v="INTPG_ACC_781_1.12"/>
    <s v="ISEL-1.12"/>
    <n v="1"/>
    <s v="NO TIENE L3OUT"/>
    <n v="26"/>
    <n v="54"/>
  </r>
  <r>
    <n v="793"/>
    <x v="2"/>
    <x v="151"/>
    <s v="eth1/12"/>
    <x v="0"/>
    <x v="0"/>
    <x v="0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12"/>
    <x v="0"/>
    <x v="0"/>
    <x v="0"/>
    <s v="PAAS:ithhwoscopap012:LOM PORT 1"/>
    <x v="0"/>
    <b v="0"/>
    <s v="No está en VPC"/>
    <n v="747"/>
    <s v="INTPG_VPC_747_1.12_752_1.12"/>
    <s v="ISEL-1.12"/>
    <n v="25"/>
    <s v="NO TIENE L3OUT"/>
    <n v="0"/>
    <n v="54"/>
  </r>
  <r>
    <n v="784"/>
    <x v="2"/>
    <x v="153"/>
    <s v="eth1/12"/>
    <x v="0"/>
    <x v="0"/>
    <x v="0"/>
    <s v="ENIQ F2:itheniqr12bl04mws1r6b:Slot 2/1"/>
    <x v="0"/>
    <b v="0"/>
    <s v="No está en VPC"/>
    <n v="784"/>
    <s v="INTPG_ACC_784_1.12"/>
    <s v="ISEL-1.12"/>
    <n v="1"/>
    <s v="NO TIENE L3OUT"/>
    <n v="26"/>
    <n v="54"/>
  </r>
  <r>
    <n v="806"/>
    <x v="2"/>
    <x v="154"/>
    <s v="eth1/12"/>
    <x v="0"/>
    <x v="0"/>
    <x v="0"/>
    <s v="TO-HDPS_62-MSP"/>
    <x v="0"/>
    <b v="0"/>
    <s v="No está en VPC"/>
    <n v="806"/>
    <s v="INTPG_ACC_806_1.12"/>
    <s v="ISEL-1.12"/>
    <n v="1"/>
    <s v="NO TIENE L3OUT"/>
    <n v="44"/>
    <n v="54"/>
  </r>
  <r>
    <n v="777"/>
    <x v="2"/>
    <x v="155"/>
    <s v="eth1/12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12"/>
    <x v="0"/>
    <x v="0"/>
    <x v="0"/>
    <s v="Portchannel_7_R4B"/>
    <x v="0"/>
    <b v="0"/>
    <s v="No está en VPC"/>
    <n v="770"/>
    <s v="INTPG_PC_770_1.9-12"/>
    <s v="ISEL-1.12"/>
    <n v="1"/>
    <s v="NO TIENE L3OUT"/>
    <n v="60"/>
    <n v="54"/>
  </r>
  <r>
    <n v="813"/>
    <x v="2"/>
    <x v="157"/>
    <s v="eth1/12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12"/>
    <x v="0"/>
    <x v="1"/>
    <x v="1"/>
    <s v="CEM:ITHCEMC2DAT06:FLEXIO P1"/>
    <x v="5"/>
    <b v="0"/>
    <s v="No está en VPC"/>
    <n v="739"/>
    <s v="INTPG_ACC_739_1.12"/>
    <s v="ISEL-1.12"/>
    <n v="1"/>
    <s v="NO TIENE L3OUT"/>
    <n v="72"/>
    <n v="54"/>
  </r>
  <r>
    <n v="775"/>
    <x v="2"/>
    <x v="159"/>
    <s v="eth1/12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12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12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12"/>
    <x v="0"/>
    <x v="0"/>
    <x v="0"/>
    <s v="LINK_TO_ITHFHWCBSDSUSBD07 /Slot6.2 /Redundante"/>
    <x v="0"/>
    <b v="0"/>
    <s v="No está en VPC"/>
    <n v="830"/>
    <s v="INTPG_VPC_826_1.12_830_1.12"/>
    <s v="ISEL-1.12"/>
    <n v="1"/>
    <s v="NO TIENE L3OUT"/>
    <n v="12"/>
    <n v="54"/>
  </r>
  <r>
    <n v="821"/>
    <x v="2"/>
    <x v="163"/>
    <s v="eth1/12"/>
    <x v="0"/>
    <x v="0"/>
    <x v="0"/>
    <s v="LINK_TO_ITHFHWCBSPSUSBD13 /Slot6.2 /Redundante"/>
    <x v="0"/>
    <b v="0"/>
    <s v="No está en VPC"/>
    <n v="821"/>
    <s v="INTPG_VPC_816_1.12_821_1.12"/>
    <s v="ISEL-1.12"/>
    <n v="1"/>
    <s v="NO TIENE L3OUT"/>
    <n v="0"/>
    <n v="54"/>
  </r>
  <r>
    <n v="738"/>
    <x v="2"/>
    <x v="164"/>
    <s v="eth1/12"/>
    <x v="0"/>
    <x v="0"/>
    <x v="0"/>
    <s v="CEM:ITHCEMF2DAT06:FLEXIO P1"/>
    <x v="5"/>
    <b v="0"/>
    <s v="No está en VPC"/>
    <n v="738"/>
    <s v="INTPG_ACC_738_1.12"/>
    <s v="ISEL-1.12"/>
    <n v="1"/>
    <s v="NO TIENE L3OUT"/>
    <n v="72"/>
    <n v="54"/>
  </r>
  <r>
    <n v="820"/>
    <x v="2"/>
    <x v="165"/>
    <s v="eth1/12"/>
    <x v="0"/>
    <x v="0"/>
    <x v="0"/>
    <s v="LINK_TO_ITHHWCRMPEN02 /E4-10GE 2 /Redundante"/>
    <x v="0"/>
    <b v="0"/>
    <s v="No está en VPC"/>
    <n v="820"/>
    <s v="INTPG_VPC_820_1.5_12_825_1.5_12"/>
    <s v="ISEL-1.12"/>
    <n v="9"/>
    <s v="NO TIENE L3OUT"/>
    <n v="72"/>
    <n v="54"/>
  </r>
  <r>
    <n v="804"/>
    <x v="2"/>
    <x v="166"/>
    <s v="eth1/12"/>
    <x v="0"/>
    <x v="0"/>
    <x v="0"/>
    <s v="TO-HDPS_38-MSP"/>
    <x v="0"/>
    <b v="0"/>
    <s v="No está en VPC"/>
    <n v="804"/>
    <s v="INTPG_ACC_804_1.12"/>
    <s v="ISEL-1.12"/>
    <n v="1"/>
    <s v="NO TIENE L3OUT"/>
    <n v="48"/>
    <n v="54"/>
  </r>
  <r>
    <n v="779"/>
    <x v="2"/>
    <x v="167"/>
    <s v="eth1/12"/>
    <x v="0"/>
    <x v="0"/>
    <x v="0"/>
    <s v="ENIQ F1:itheniqr08mwsr3:Slot 2/1"/>
    <x v="0"/>
    <b v="0"/>
    <s v="No está en VPC"/>
    <n v="779"/>
    <s v="INTPG_ACC_779_1.12"/>
    <s v="ISEL-1.12"/>
    <n v="1"/>
    <s v="NO TIENE L3OUT"/>
    <n v="30"/>
    <n v="54"/>
  </r>
  <r>
    <n v="767"/>
    <x v="2"/>
    <x v="168"/>
    <s v="eth1/12"/>
    <x v="0"/>
    <x v="0"/>
    <x v="0"/>
    <s v="Portchannel_7_R3"/>
    <x v="0"/>
    <b v="0"/>
    <s v="No está en VPC"/>
    <n v="767"/>
    <s v="INTPG_PC_767_1.11-14"/>
    <s v="ISEL-1.12"/>
    <n v="1"/>
    <s v="NO TIENE L3OUT"/>
    <n v="60"/>
    <n v="54"/>
  </r>
  <r>
    <n v="827"/>
    <x v="2"/>
    <x v="169"/>
    <s v="eth1/12"/>
    <x v="0"/>
    <x v="0"/>
    <x v="0"/>
    <s v="LINK_TO_ITHFHWCBSDSUSBD09 /10GE.1 /Principal"/>
    <x v="0"/>
    <b v="0"/>
    <s v="No está en VPC"/>
    <n v="827"/>
    <s v="INTPG_VPC_827_1.12_831_1.12"/>
    <s v="ISEL-1.12"/>
    <n v="1"/>
    <s v="NO TIENE L3OUT"/>
    <n v="14"/>
    <n v="54"/>
  </r>
  <r>
    <n v="809"/>
    <x v="2"/>
    <x v="170"/>
    <s v="eth1/12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12"/>
    <x v="0"/>
    <x v="0"/>
    <x v="0"/>
    <s v="Portchannel_3_R4B"/>
    <x v="0"/>
    <b v="0"/>
    <s v="No está en VPC"/>
    <n v="771"/>
    <s v="INTPG_PC_771_1.11-12"/>
    <s v="ISEL-1.12"/>
    <n v="8"/>
    <s v="NO TIENE L3OUT"/>
    <n v="62"/>
    <n v="54"/>
  </r>
  <r>
    <n v="761"/>
    <x v="2"/>
    <x v="172"/>
    <s v="eth1/12"/>
    <x v="0"/>
    <x v="1"/>
    <x v="1"/>
    <m/>
    <x v="0"/>
    <b v="0"/>
    <s v="No está en VPC"/>
    <n v="761"/>
    <s v="INTPG_VPC_760_1.9-12_761_1.9-12"/>
    <s v="ISEL-1.12"/>
    <n v="0"/>
    <s v="L3OUT-EXACLOUD"/>
    <n v="0"/>
    <n v="54"/>
  </r>
  <r>
    <n v="776"/>
    <x v="2"/>
    <x v="173"/>
    <s v="eth1/12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12"/>
    <x v="0"/>
    <x v="0"/>
    <x v="0"/>
    <s v="TO-HDPS_62-MSP"/>
    <x v="0"/>
    <b v="0"/>
    <s v="No está en VPC"/>
    <n v="805"/>
    <s v="INTPG_ACC_805_1.12"/>
    <s v="ISEL-1.12"/>
    <n v="1"/>
    <s v="NO TIENE L3OUT"/>
    <n v="44"/>
    <n v="54"/>
  </r>
  <r>
    <n v="772"/>
    <x v="2"/>
    <x v="175"/>
    <s v="eth1/12"/>
    <x v="0"/>
    <x v="0"/>
    <x v="0"/>
    <s v="Portchannel_2_R2"/>
    <x v="0"/>
    <b v="0"/>
    <s v="No está en VPC"/>
    <n v="772"/>
    <s v="INTPG_PC_772_1.11-12"/>
    <s v="ISEL-1.12"/>
    <n v="8"/>
    <s v="NO TIENE L3OUT"/>
    <n v="82"/>
    <n v="54"/>
  </r>
  <r>
    <n v="785"/>
    <x v="2"/>
    <x v="176"/>
    <s v="eth1/12"/>
    <x v="0"/>
    <x v="0"/>
    <x v="0"/>
    <s v="ENIQ F2:itheniqr13bl04mws1r6a:Slot 2/1"/>
    <x v="0"/>
    <b v="0"/>
    <s v="No está en VPC"/>
    <n v="785"/>
    <s v="INTPG_ACC_785_1.12"/>
    <s v="ISEL-1.12"/>
    <n v="1"/>
    <s v="NO TIENE L3OUT"/>
    <n v="32"/>
    <n v="54"/>
  </r>
  <r>
    <n v="851"/>
    <x v="2"/>
    <x v="177"/>
    <s v="eth1/12"/>
    <x v="0"/>
    <x v="0"/>
    <x v="0"/>
    <s v="LINK_TO_ITHFHWCRMPLCN104 / Slot7.3_12 / Redundante"/>
    <x v="0"/>
    <b v="0"/>
    <s v="No está en VPC"/>
    <n v="851"/>
    <s v="INTPG_ACC_851_1.12"/>
    <s v="ISEL-1.12"/>
    <n v="1"/>
    <s v="NO TIENE L3OUT"/>
    <n v="282"/>
    <n v="54"/>
  </r>
  <r>
    <n v="798"/>
    <x v="2"/>
    <x v="178"/>
    <s v="eth1/12"/>
    <x v="0"/>
    <x v="0"/>
    <x v="0"/>
    <s v="TO-HMS_01-MSP"/>
    <x v="0"/>
    <b v="0"/>
    <s v="No está en VPC"/>
    <n v="798"/>
    <s v="INTPG_ACC_798_1.12"/>
    <s v="ISEL-1.12"/>
    <n v="1"/>
    <s v="NO TIENE L3OUT"/>
    <n v="52"/>
    <n v="54"/>
  </r>
  <r>
    <n v="782"/>
    <x v="2"/>
    <x v="179"/>
    <s v="eth1/12"/>
    <x v="0"/>
    <x v="0"/>
    <x v="0"/>
    <s v="itheniqr08bl04mws1r9b"/>
    <x v="0"/>
    <b v="0"/>
    <s v="No está en VPC"/>
    <n v="782"/>
    <s v="INTPG_ACC_782_1.12"/>
    <s v="ISEL-1.12"/>
    <n v="1"/>
    <s v="NO TIENE L3OUT"/>
    <n v="32"/>
    <n v="54"/>
  </r>
  <r>
    <n v="852"/>
    <x v="2"/>
    <x v="180"/>
    <s v="eth1/12"/>
    <x v="0"/>
    <x v="0"/>
    <x v="0"/>
    <s v="LINK_TO_ITHFHWCRMPLCN88 / Slot7.1_8 / Redundante"/>
    <x v="0"/>
    <b v="0"/>
    <s v="No está en VPC"/>
    <n v="852"/>
    <s v="INTPG_ACC_852_1.12"/>
    <s v="ISEL-1.12"/>
    <n v="6"/>
    <s v="NO TIENE L3OUT"/>
    <n v="258"/>
    <n v="54"/>
  </r>
  <r>
    <n v="817"/>
    <x v="2"/>
    <x v="181"/>
    <s v="eth1/12"/>
    <x v="0"/>
    <x v="0"/>
    <x v="0"/>
    <s v="LINK_TO_ITHFHWCBSPSUSBD08 /Slot4.2 /Principal"/>
    <x v="0"/>
    <b v="0"/>
    <s v="No está en VPC"/>
    <n v="817"/>
    <s v="INTPG_VPC_817_1.12_822_1.12"/>
    <s v="ISEL-1.12"/>
    <n v="1"/>
    <s v="NO TIENE L3OUT"/>
    <n v="0"/>
    <n v="54"/>
  </r>
  <r>
    <n v="832"/>
    <x v="2"/>
    <x v="182"/>
    <s v="eth1/12"/>
    <x v="0"/>
    <x v="0"/>
    <x v="0"/>
    <s v="LINK_TO_ITHHWD6KV60014DKC01 /CtrlB_IOM0.P1 /Redundante"/>
    <x v="0"/>
    <b v="0"/>
    <s v="No está en VPC"/>
    <n v="832"/>
    <s v="INTPG_ACC_832_1.12"/>
    <s v="ISEL-1.12"/>
    <n v="1"/>
    <s v="NO TIENE L3OUT"/>
    <n v="192"/>
    <n v="54"/>
  </r>
  <r>
    <n v="816"/>
    <x v="2"/>
    <x v="183"/>
    <s v="eth1/12"/>
    <x v="0"/>
    <x v="0"/>
    <x v="0"/>
    <s v="LINK_TO_ITHFHWCBSPSUSBD13 /Slot4.2 /Principal"/>
    <x v="0"/>
    <b v="0"/>
    <s v="No está en VPC"/>
    <n v="816"/>
    <s v="INTPG_VPC_816_1.12_821_1.12"/>
    <s v="ISEL-1.12"/>
    <n v="1"/>
    <s v="NO TIENE L3OUT"/>
    <n v="0"/>
    <n v="54"/>
  </r>
  <r>
    <n v="825"/>
    <x v="2"/>
    <x v="184"/>
    <s v="eth1/12"/>
    <x v="0"/>
    <x v="0"/>
    <x v="0"/>
    <s v="LINK_TO_ITHHWCRMPEN02 /E4-10GE 1 /Principal"/>
    <x v="0"/>
    <b v="0"/>
    <s v="No está en VPC"/>
    <n v="825"/>
    <s v="INTPG_VPC_820_1.5_12_825_1.5_12"/>
    <s v="ISEL-1.12"/>
    <n v="9"/>
    <s v="NO TIENE L3OUT"/>
    <n v="72"/>
    <n v="54"/>
  </r>
  <r>
    <n v="800"/>
    <x v="2"/>
    <x v="185"/>
    <s v="eth1/12"/>
    <x v="0"/>
    <x v="0"/>
    <x v="0"/>
    <s v="TO-CEPS_08-MSP"/>
    <x v="0"/>
    <b v="0"/>
    <s v="No está en VPC"/>
    <n v="800"/>
    <s v="INTPG_ACC_800_1.12"/>
    <s v="ISEL-1.12"/>
    <n v="1"/>
    <s v="NO TIENE L3OUT"/>
    <n v="78"/>
    <n v="54"/>
  </r>
  <r>
    <n v="801"/>
    <x v="2"/>
    <x v="186"/>
    <s v="eth1/12"/>
    <x v="0"/>
    <x v="0"/>
    <x v="0"/>
    <s v="TO-CEPS_08-MSP"/>
    <x v="0"/>
    <b v="0"/>
    <s v="No está en VPC"/>
    <n v="801"/>
    <s v="INTPG_ACC_801_1.12"/>
    <s v="ISEL-1.12"/>
    <n v="1"/>
    <s v="NO TIENE L3OUT"/>
    <n v="78"/>
    <n v="54"/>
  </r>
  <r>
    <n v="823"/>
    <x v="2"/>
    <x v="187"/>
    <s v="eth1/12"/>
    <x v="0"/>
    <x v="0"/>
    <x v="0"/>
    <s v="LINK_TO_ITHFHWCBSPSUSBD15 /Slot5.1 /Redundante"/>
    <x v="0"/>
    <b v="0"/>
    <s v="No está en VPC"/>
    <n v="823"/>
    <s v="INTPG_VPC_818_1.12_823_1.12"/>
    <s v="ISEL-1.12"/>
    <n v="1"/>
    <s v="NO TIENE L3OUT"/>
    <n v="8"/>
    <n v="54"/>
  </r>
  <r>
    <n v="837"/>
    <x v="2"/>
    <x v="188"/>
    <s v="eth1/12"/>
    <x v="0"/>
    <x v="0"/>
    <x v="0"/>
    <s v="LINK_TO_ITHFHWCBSPSUSBD28 / Slot1.2_8 / Principal"/>
    <x v="0"/>
    <b v="0"/>
    <s v="No está en VPC"/>
    <n v="837"/>
    <s v="INTPG_VPC_837_1.12_842_1.12"/>
    <s v="ISEL-1.12"/>
    <n v="1"/>
    <s v="NO TIENE L3OUT"/>
    <n v="8"/>
    <n v="54"/>
  </r>
  <r>
    <n v="867"/>
    <x v="2"/>
    <x v="189"/>
    <s v="eth1/12"/>
    <x v="0"/>
    <x v="0"/>
    <x v="0"/>
    <s v="TO-ITHFSUEXG2XCN02_PCI8.P2"/>
    <x v="0"/>
    <b v="0"/>
    <s v="No está en VPC"/>
    <n v="867"/>
    <s v="INTPG_ACC_867_1.12"/>
    <s v="ISEL-1.12"/>
    <n v="2"/>
    <s v="NO TIENE L3OUT"/>
    <n v="44"/>
    <n v="54"/>
  </r>
  <r>
    <n v="829"/>
    <x v="2"/>
    <x v="190"/>
    <s v="eth1/12"/>
    <x v="0"/>
    <x v="0"/>
    <x v="0"/>
    <s v="LINK_TO_ITHFHWCRMDLCN31 /Slot6.2 /Redundante"/>
    <x v="0"/>
    <b v="0"/>
    <s v="No está en VPC"/>
    <n v="829"/>
    <s v="INTPG_ACC_829_1.12"/>
    <s v="ISEL-1.12"/>
    <n v="1"/>
    <s v="NO TIENE L3OUT"/>
    <n v="224"/>
    <n v="54"/>
  </r>
  <r>
    <n v="831"/>
    <x v="2"/>
    <x v="191"/>
    <s v="eth1/12"/>
    <x v="0"/>
    <x v="0"/>
    <x v="0"/>
    <s v="LINK_TO_ITHFHWCBSDSUSBD09 /Slot5.1 /Redundante"/>
    <x v="0"/>
    <b v="0"/>
    <s v="No está en VPC"/>
    <n v="831"/>
    <s v="INTPG_VPC_827_1.12_831_1.12"/>
    <s v="ISEL-1.12"/>
    <n v="1"/>
    <s v="NO TIENE L3OUT"/>
    <n v="14"/>
    <n v="54"/>
  </r>
  <r>
    <n v="802"/>
    <x v="2"/>
    <x v="192"/>
    <s v="eth1/12"/>
    <x v="0"/>
    <x v="0"/>
    <x v="0"/>
    <s v="TO-HDPS_14-MSP"/>
    <x v="0"/>
    <b v="0"/>
    <s v="No está en VPC"/>
    <n v="802"/>
    <s v="INTPG_ACC_802_1.12"/>
    <s v="ISEL-1.12"/>
    <n v="1"/>
    <s v="NO TIENE L3OUT"/>
    <n v="48"/>
    <n v="54"/>
  </r>
  <r>
    <n v="835"/>
    <x v="2"/>
    <x v="193"/>
    <s v="eth1/12"/>
    <x v="0"/>
    <x v="0"/>
    <x v="0"/>
    <s v="LINK_TO_ITHFHWCBSPSWR57 / Slot1.3_26 / Principal"/>
    <x v="0"/>
    <b v="0"/>
    <s v="No está en VPC"/>
    <n v="835"/>
    <s v="INTPG_VPC_835_1.12_840_1.12"/>
    <s v="ISEL-1.12"/>
    <n v="1"/>
    <s v="NO TIENE L3OUT"/>
    <n v="8"/>
    <n v="54"/>
  </r>
  <r>
    <n v="822"/>
    <x v="2"/>
    <x v="194"/>
    <s v="eth1/12"/>
    <x v="0"/>
    <x v="0"/>
    <x v="0"/>
    <s v="LINK_TO_ITHFHWCBSPSUSBD08 /Slot6.2 /Redundante"/>
    <x v="0"/>
    <b v="0"/>
    <s v="No está en VPC"/>
    <n v="822"/>
    <s v="INTPG_VPC_817_1.12_822_1.12"/>
    <s v="ISEL-1.12"/>
    <n v="1"/>
    <s v="NO TIENE L3OUT"/>
    <n v="0"/>
    <n v="54"/>
  </r>
  <r>
    <n v="854"/>
    <x v="2"/>
    <x v="195"/>
    <s v="eth1/12"/>
    <x v="0"/>
    <x v="0"/>
    <x v="0"/>
    <s v="LINK_TO_ITHFHWCRMPLCN169 / Slot1.2_8 / Principal"/>
    <x v="0"/>
    <b v="0"/>
    <s v="No está en VPC"/>
    <n v="854"/>
    <s v="INTPG_ACC_854_1.12"/>
    <s v="ISEL-1.12"/>
    <n v="2"/>
    <s v="NO TIENE L3OUT"/>
    <n v="204"/>
    <n v="54"/>
  </r>
  <r>
    <n v="858"/>
    <x v="2"/>
    <x v="196"/>
    <s v="eth1/12"/>
    <x v="0"/>
    <x v="0"/>
    <x v="0"/>
    <s v="To_VPC_2DCBSD_HD40_3"/>
    <x v="0"/>
    <b v="0"/>
    <s v="No está en VPC"/>
    <n v="858"/>
    <s v="INTPG_VPC_858_1.12_863_1.12"/>
    <s v="ISEL-1.12"/>
    <n v="1"/>
    <s v="NO TIENE L3OUT"/>
    <n v="8"/>
    <n v="54"/>
  </r>
  <r>
    <n v="857"/>
    <x v="2"/>
    <x v="197"/>
    <s v="eth1/12"/>
    <x v="0"/>
    <x v="0"/>
    <x v="0"/>
    <s v="LINKT_TO_ITHFHWCRMPLCN119 / Slot1.2_8 / Principal"/>
    <x v="0"/>
    <b v="0"/>
    <s v="No está en VPC"/>
    <n v="857"/>
    <s v="INTPG_ACC_857_1.12"/>
    <s v="ISEL-1.12"/>
    <n v="2"/>
    <s v="NO TIENE L3OUT"/>
    <n v="288"/>
    <n v="54"/>
  </r>
  <r>
    <n v="859"/>
    <x v="2"/>
    <x v="198"/>
    <s v="eth1/12"/>
    <x v="0"/>
    <x v="0"/>
    <x v="0"/>
    <s v="To_VPC_2DCBSD_HD34_3"/>
    <x v="0"/>
    <b v="0"/>
    <s v="No está en VPC"/>
    <n v="859"/>
    <s v="INTPG_VPC_859_1.12_864_1.12"/>
    <s v="ISEL-1.12"/>
    <n v="1"/>
    <s v="NO TIENE L3OUT"/>
    <n v="0"/>
    <n v="54"/>
  </r>
  <r>
    <n v="833"/>
    <x v="2"/>
    <x v="199"/>
    <s v="eth1/12"/>
    <x v="0"/>
    <x v="0"/>
    <x v="0"/>
    <s v="LINK_TO_ITHFHWCRMDLCN31 /Slot4.2 /Principal"/>
    <x v="0"/>
    <b v="0"/>
    <s v="No está en VPC"/>
    <n v="833"/>
    <s v="INTPG_ACC_833_1.12"/>
    <s v="ISEL-1.12"/>
    <n v="1"/>
    <s v="NO TIENE L3OUT"/>
    <n v="224"/>
    <n v="54"/>
  </r>
  <r>
    <n v="818"/>
    <x v="2"/>
    <x v="200"/>
    <s v="eth1/12"/>
    <x v="0"/>
    <x v="0"/>
    <x v="0"/>
    <s v="LINK_TO_ITHFHWCBSPSUSBD15 /10GE.1 /Principal"/>
    <x v="0"/>
    <b v="0"/>
    <s v="No está en VPC"/>
    <n v="818"/>
    <s v="INTPG_VPC_818_1.12_823_1.12"/>
    <s v="ISEL-1.12"/>
    <n v="1"/>
    <s v="NO TIENE L3OUT"/>
    <n v="8"/>
    <n v="54"/>
  </r>
  <r>
    <n v="850"/>
    <x v="2"/>
    <x v="201"/>
    <s v="eth1/12"/>
    <x v="0"/>
    <x v="0"/>
    <x v="0"/>
    <s v="LINKT_TO_ITHFHWCRMPLCN119 / Slot7.2_8 / Redundante"/>
    <x v="0"/>
    <b v="0"/>
    <s v="No está en VPC"/>
    <n v="850"/>
    <s v="INTPG_ACC_850_1.12"/>
    <s v="ISEL-1.12"/>
    <n v="2"/>
    <s v="NO TIENE L3OUT"/>
    <n v="288"/>
    <n v="54"/>
  </r>
  <r>
    <n v="860"/>
    <x v="2"/>
    <x v="202"/>
    <s v="eth1/12"/>
    <x v="0"/>
    <x v="0"/>
    <x v="0"/>
    <s v="To_VPC_2DCBSD_HD26_3"/>
    <x v="0"/>
    <b v="0"/>
    <s v="No está en VPC"/>
    <n v="860"/>
    <s v="INTPG_VPC_860_1.12_865_1.12"/>
    <s v="ISEL-1.12"/>
    <n v="1"/>
    <s v="NO TIENE L3OUT"/>
    <n v="0"/>
    <n v="54"/>
  </r>
  <r>
    <n v="853"/>
    <x v="2"/>
    <x v="203"/>
    <s v="eth1/12"/>
    <x v="0"/>
    <x v="0"/>
    <x v="0"/>
    <s v="LINK_TO_ITHFHWCRMPLCN75 / Slot7.3_8 / Redundante"/>
    <x v="0"/>
    <b v="0"/>
    <s v="No está en VPC"/>
    <n v="853"/>
    <s v="INTPG_ACC_853_1.12"/>
    <s v="ISEL-1.12"/>
    <n v="1"/>
    <s v="NO TIENE L3OUT"/>
    <n v="242"/>
    <n v="54"/>
  </r>
  <r>
    <n v="790"/>
    <x v="2"/>
    <x v="204"/>
    <s v="eth1/12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12"/>
    <x v="0"/>
    <x v="1"/>
    <x v="1"/>
    <s v="DESC"/>
    <x v="6"/>
    <b v="0"/>
    <s v="No está en VPC"/>
    <n v="105"/>
    <s v="INTPG_PC_105_1.6-12_38"/>
    <s v="ISEL-1.12"/>
    <n v="17"/>
    <s v="NO TIENE L3OUT"/>
    <n v="106"/>
    <n v="96"/>
  </r>
  <r>
    <n v="117"/>
    <x v="0"/>
    <x v="206"/>
    <s v="eth1/12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12"/>
    <x v="0"/>
    <x v="1"/>
    <x v="1"/>
    <s v="SFLDI"/>
    <x v="6"/>
    <b v="0"/>
    <s v="No está en VPC"/>
    <n v="104"/>
    <s v="INTPG_ACC_104_1.12"/>
    <s v="ISEL-1.12"/>
    <n v="1"/>
    <s v="NO TIENE L3OUT"/>
    <n v="194"/>
    <n v="96"/>
  </r>
  <r>
    <n v="158"/>
    <x v="0"/>
    <x v="208"/>
    <s v="eth1/12"/>
    <x v="0"/>
    <x v="0"/>
    <x v="0"/>
    <s v="CIRCULO AZUL"/>
    <x v="6"/>
    <b v="0"/>
    <s v="No está en VPC"/>
    <n v="158"/>
    <s v="INTPG_ACC_158_1.12"/>
    <s v="ISEL-1.12"/>
    <n v="1"/>
    <s v="NO TIENE L3OUT"/>
    <n v="30"/>
    <n v="96"/>
  </r>
  <r>
    <n v="875"/>
    <x v="2"/>
    <x v="209"/>
    <s v="eth1/12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12"/>
    <x v="0"/>
    <x v="0"/>
    <x v="0"/>
    <s v="HACIA_MGMT-OSCP-F4-12_PRINCIPAL"/>
    <x v="4"/>
    <b v="0"/>
    <s v="No está en VPC"/>
    <n v="879"/>
    <s v="INTPG_VPC_878_1.12_879_1.12"/>
    <s v="ISEL-1.12"/>
    <n v="1"/>
    <s v="NO TIENE L3OUT"/>
    <n v="0"/>
    <n v="54"/>
  </r>
  <r>
    <n v="108"/>
    <x v="0"/>
    <x v="211"/>
    <s v="eth1/12"/>
    <x v="1"/>
    <x v="1"/>
    <x v="2"/>
    <s v="sttsm01"/>
    <x v="6"/>
    <b v="0"/>
    <s v="No está en VPC"/>
    <n v="108"/>
    <s v="INTPG_ACC_108_1.12"/>
    <s v="ISEL-1.12"/>
    <n v="1"/>
    <s v="NO TIENE L3OUT"/>
    <n v="126"/>
    <n v="96"/>
  </r>
  <r>
    <n v="112"/>
    <x v="0"/>
    <x v="212"/>
    <s v="eth1/12"/>
    <x v="0"/>
    <x v="0"/>
    <x v="0"/>
    <s v="TO-ITHFHPNBURBKP01-PRINCIPAL"/>
    <x v="6"/>
    <b v="0"/>
    <s v="No está en VPC"/>
    <n v="112"/>
    <s v="INTPG_ACC_112_1.12"/>
    <s v="ISEL-1.12"/>
    <n v="1"/>
    <s v="NO TIENE L3OUT"/>
    <n v="144"/>
    <n v="96"/>
  </r>
  <r>
    <n v="107"/>
    <x v="0"/>
    <x v="213"/>
    <s v="eth1/12"/>
    <x v="0"/>
    <x v="0"/>
    <x v="0"/>
    <s v="PLATAFORMA NUMERACION "/>
    <x v="6"/>
    <b v="0"/>
    <s v="No está en VPC"/>
    <n v="107"/>
    <s v="INTPG_ACC_107_1.12"/>
    <s v="ISEL-1.12"/>
    <n v="3"/>
    <s v="NO TIENE L3OUT"/>
    <n v="118"/>
    <n v="96"/>
  </r>
  <r>
    <n v="109"/>
    <x v="0"/>
    <x v="214"/>
    <s v="eth1/12"/>
    <x v="1"/>
    <x v="1"/>
    <x v="2"/>
    <s v="sttsm01"/>
    <x v="6"/>
    <b v="0"/>
    <s v="No está en VPC"/>
    <n v="109"/>
    <s v="INTPG_ACC_109_1.12"/>
    <s v="ISEL-1.12"/>
    <n v="1"/>
    <s v="NO TIENE L3OUT"/>
    <n v="126"/>
    <n v="96"/>
  </r>
  <r>
    <n v="113"/>
    <x v="0"/>
    <x v="215"/>
    <s v="eth1/12"/>
    <x v="0"/>
    <x v="0"/>
    <x v="0"/>
    <s v="VYCAN"/>
    <x v="6"/>
    <b v="0"/>
    <s v="No está en VPC"/>
    <n v="113"/>
    <s v="INTPG_ACC_113_1.12"/>
    <s v="ISEL-1.12"/>
    <n v="1"/>
    <s v="NO TIENE L3OUT"/>
    <n v="52"/>
    <n v="96"/>
  </r>
  <r>
    <n v="114"/>
    <x v="0"/>
    <x v="216"/>
    <s v="eth1/12"/>
    <x v="0"/>
    <x v="0"/>
    <x v="0"/>
    <s v="APROVISIONAMIENTO DE SERVICIOS"/>
    <x v="6"/>
    <b v="0"/>
    <s v="No está en VPC"/>
    <n v="114"/>
    <s v="INTPG_ACC_114_1.12"/>
    <s v="ISEL-1.12"/>
    <n v="1"/>
    <s v="NO TIENE L3OUT"/>
    <n v="144"/>
    <n v="96"/>
  </r>
  <r>
    <n v="124"/>
    <x v="0"/>
    <x v="217"/>
    <s v="eth1/12"/>
    <x v="0"/>
    <x v="1"/>
    <x v="1"/>
    <s v="GSM_ENIQ_TIJ"/>
    <x v="6"/>
    <b v="0"/>
    <s v="No está en VPC"/>
    <n v="124"/>
    <s v="INTPG_ACC_124_1.12"/>
    <s v="ISEL-1.12"/>
    <n v="1"/>
    <s v="NO TIENE L3OUT"/>
    <n v="80"/>
    <n v="96"/>
  </r>
  <r>
    <n v="118"/>
    <x v="0"/>
    <x v="218"/>
    <s v="eth1/12"/>
    <x v="1"/>
    <x v="1"/>
    <x v="2"/>
    <s v="COBROS NAVEGACION"/>
    <x v="6"/>
    <b v="0"/>
    <s v="No está en VPC"/>
    <n v="118"/>
    <s v="INTPG_ACC_118_1.12"/>
    <s v="ISEL-1.12"/>
    <n v="1"/>
    <s v="NO TIENE L3OUT"/>
    <n v="180"/>
    <n v="96"/>
  </r>
  <r>
    <n v="159"/>
    <x v="0"/>
    <x v="219"/>
    <s v="eth1/12"/>
    <x v="1"/>
    <x v="1"/>
    <x v="2"/>
    <m/>
    <x v="6"/>
    <b v="0"/>
    <s v="No está en VPC"/>
    <n v="159"/>
    <s v="INTPG_ACC_159_1.12"/>
    <s v="ISEL-1.12"/>
    <n v="0"/>
    <s v="NO TIENE L3OUT"/>
    <n v="72"/>
    <n v="96"/>
  </r>
  <r>
    <n v="840"/>
    <x v="2"/>
    <x v="220"/>
    <s v="eth1/12"/>
    <x v="0"/>
    <x v="0"/>
    <x v="0"/>
    <s v="LINK_TO_ITHFHWCBSPSWR57 / Slot7.3_26 / Redundante"/>
    <x v="0"/>
    <b v="0"/>
    <s v="No está en VPC"/>
    <n v="840"/>
    <s v="INTPG_VPC_835_1.12_840_1.12"/>
    <s v="ISEL-1.12"/>
    <n v="1"/>
    <s v="NO TIENE L3OUT"/>
    <n v="8"/>
    <n v="54"/>
  </r>
  <r>
    <n v="856"/>
    <x v="2"/>
    <x v="221"/>
    <s v="eth1/12"/>
    <x v="0"/>
    <x v="0"/>
    <x v="0"/>
    <s v="LINK_TO_ITHFHWCRMPLCN138 / Slot1.2_10 / Principal"/>
    <x v="0"/>
    <b v="0"/>
    <s v="No está en VPC"/>
    <n v="856"/>
    <s v="INTPG_ACC_856_1.12"/>
    <s v="ISEL-1.12"/>
    <n v="2"/>
    <s v="NO TIENE L3OUT"/>
    <n v="286"/>
    <n v="54"/>
  </r>
  <r>
    <n v="110"/>
    <x v="0"/>
    <x v="222"/>
    <s v="eth1/12"/>
    <x v="0"/>
    <x v="0"/>
    <x v="0"/>
    <m/>
    <x v="6"/>
    <b v="0"/>
    <s v="No está en VPC"/>
    <n v="110"/>
    <s v="INTPG_ACC_110_1.12"/>
    <s v="ISEL-1.12"/>
    <n v="1"/>
    <s v="NO TIENE L3OUT"/>
    <n v="102"/>
    <n v="96"/>
  </r>
  <r>
    <n v="163"/>
    <x v="0"/>
    <x v="223"/>
    <s v="eth1/12"/>
    <x v="0"/>
    <x v="0"/>
    <x v="0"/>
    <s v="IBM SICOD"/>
    <x v="6"/>
    <b v="0"/>
    <s v="No está en VPC"/>
    <n v="163"/>
    <s v="INTPG_ACC_163_1.12"/>
    <s v="ISEL-1.12"/>
    <n v="1"/>
    <s v="NO TIENE L3OUT"/>
    <n v="140"/>
    <n v="96"/>
  </r>
  <r>
    <n v="407"/>
    <x v="1"/>
    <x v="224"/>
    <s v="eth1/12"/>
    <x v="0"/>
    <x v="1"/>
    <x v="1"/>
    <s v="VBLOCK2_CLNT"/>
    <x v="6"/>
    <b v="0"/>
    <s v="No está en VPC"/>
    <n v="407"/>
    <s v="INTPG_VPC_407_1.12_409_1.11"/>
    <s v="ISEL-1.12"/>
    <n v="3"/>
    <s v="NO TIENE L3OUT"/>
    <n v="122"/>
    <n v="96"/>
  </r>
  <r>
    <n v="171"/>
    <x v="0"/>
    <x v="225"/>
    <s v="eth1/12"/>
    <x v="0"/>
    <x v="0"/>
    <x v="0"/>
    <m/>
    <x v="6"/>
    <b v="0"/>
    <s v="No está en VPC"/>
    <n v="171"/>
    <s v="INTPG_ACC_171_1.12"/>
    <s v="ISEL-1.12"/>
    <n v="1"/>
    <s v="NO TIENE L3OUT"/>
    <n v="114"/>
    <n v="96"/>
  </r>
  <r>
    <n v="421"/>
    <x v="1"/>
    <x v="226"/>
    <s v="eth1/12"/>
    <x v="0"/>
    <x v="0"/>
    <x v="0"/>
    <s v="VBLOCK3"/>
    <x v="6"/>
    <b v="0"/>
    <s v="No está en VPC"/>
    <n v="421"/>
    <s v="INTPG_VPC_419_1.11-12_421_1.11-12"/>
    <s v="ISEL-1.12"/>
    <n v="3"/>
    <s v="NO TIENE L3OUT"/>
    <n v="72"/>
    <n v="96"/>
  </r>
  <r>
    <n v="173"/>
    <x v="0"/>
    <x v="227"/>
    <s v="eth1/12"/>
    <x v="0"/>
    <x v="0"/>
    <x v="0"/>
    <s v="ENIQ"/>
    <x v="6"/>
    <b v="0"/>
    <s v="No está en VPC"/>
    <n v="173"/>
    <s v="INTPG_ACC_173_1.12"/>
    <s v="ISEL-1.12"/>
    <n v="1"/>
    <s v="NO TIENE L3OUT"/>
    <n v="66"/>
    <n v="96"/>
  </r>
  <r>
    <n v="154"/>
    <x v="0"/>
    <x v="228"/>
    <s v="eth1/12"/>
    <x v="0"/>
    <x v="0"/>
    <x v="0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12"/>
    <x v="1"/>
    <x v="1"/>
    <x v="2"/>
    <m/>
    <x v="6"/>
    <b v="0"/>
    <s v="No está en VPC"/>
    <n v="172"/>
    <s v="INTPG_ACC_172_1.12"/>
    <s v="ISEL-1.12"/>
    <n v="0"/>
    <s v="NO TIENE L3OUT"/>
    <n v="104"/>
    <n v="96"/>
  </r>
  <r>
    <n v="420"/>
    <x v="1"/>
    <x v="230"/>
    <s v="eth1/12"/>
    <x v="0"/>
    <x v="1"/>
    <x v="1"/>
    <s v="PORTABILIDAD_uxgsm10_Eth2"/>
    <x v="6"/>
    <b v="0"/>
    <s v="No está en VPC"/>
    <n v="420"/>
    <s v="INTPG_ACC_420_1.12"/>
    <s v="ISEL-1.12"/>
    <n v="1"/>
    <s v="NO TIENE L3OUT"/>
    <n v="158"/>
    <n v="96"/>
  </r>
  <r>
    <n v="423"/>
    <x v="1"/>
    <x v="231"/>
    <s v="eth1/12"/>
    <x v="0"/>
    <x v="0"/>
    <x v="0"/>
    <s v="ITHPA04_ILO_IPMP-Activa"/>
    <x v="6"/>
    <b v="0"/>
    <s v="No está en VPC"/>
    <n v="423"/>
    <s v="INTPG_ACC_423_1.12"/>
    <s v="ISEL-1.12"/>
    <n v="1"/>
    <s v="NO TIENE L3OUT"/>
    <n v="86"/>
    <n v="96"/>
  </r>
  <r>
    <n v="415"/>
    <x v="1"/>
    <x v="232"/>
    <s v="eth1/12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12"/>
    <x v="0"/>
    <x v="1"/>
    <x v="1"/>
    <s v="SFLDI"/>
    <x v="6"/>
    <b v="0"/>
    <s v="No está en VPC"/>
    <n v="102"/>
    <s v="INTPG_ACC_102_1.12"/>
    <s v="ISEL-1.12"/>
    <n v="1"/>
    <s v="NO TIENE L3OUT"/>
    <n v="228"/>
    <n v="96"/>
  </r>
  <r>
    <n v="863"/>
    <x v="2"/>
    <x v="234"/>
    <s v="eth1/12"/>
    <x v="0"/>
    <x v="0"/>
    <x v="0"/>
    <s v="To_VPC_2DCBSD_HD40_3"/>
    <x v="0"/>
    <b v="0"/>
    <s v="No está en VPC"/>
    <n v="863"/>
    <s v="INTPG_VPC_858_1.12_863_1.12"/>
    <s v="ISEL-1.12"/>
    <n v="1"/>
    <s v="NO TIENE L3OUT"/>
    <n v="8"/>
    <n v="54"/>
  </r>
  <r>
    <n v="876"/>
    <x v="2"/>
    <x v="235"/>
    <s v="eth1/12"/>
    <x v="0"/>
    <x v="0"/>
    <x v="0"/>
    <s v="LINK_TO_ITHFHWSEQLCAS35 (GMR 3) / Slot 4 PTO 1 / Principal"/>
    <x v="4"/>
    <b v="0"/>
    <s v="No está en VPC"/>
    <n v="876"/>
    <s v="INTPG_ACC_876_1.12"/>
    <s v="ISEL-1.12"/>
    <n v="1"/>
    <s v="NO TIENE L3OUT"/>
    <n v="92"/>
    <n v="54"/>
  </r>
  <r>
    <n v="877"/>
    <x v="2"/>
    <x v="236"/>
    <s v="eth1/12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12"/>
    <x v="0"/>
    <x v="0"/>
    <x v="0"/>
    <s v="DESC"/>
    <x v="6"/>
    <b v="0"/>
    <s v="No está en VPC"/>
    <n v="122"/>
    <s v="INTPG_PC_122_1.10-14"/>
    <s v="ISEL-1.12"/>
    <n v="1"/>
    <s v="NO TIENE L3OUT"/>
    <n v="148"/>
    <n v="96"/>
  </r>
  <r>
    <n v="157"/>
    <x v="0"/>
    <x v="238"/>
    <s v="eth1/12"/>
    <x v="0"/>
    <x v="0"/>
    <x v="0"/>
    <s v="COBROS NAVEGACION"/>
    <x v="6"/>
    <b v="0"/>
    <s v="No está en VPC"/>
    <n v="157"/>
    <s v="INTPG_ACC_157_1.12"/>
    <s v="ISEL-1.12"/>
    <n v="1"/>
    <s v="NO TIENE L3OUT"/>
    <n v="202"/>
    <n v="96"/>
  </r>
  <r>
    <n v="408"/>
    <x v="1"/>
    <x v="239"/>
    <s v="eth1/12"/>
    <x v="0"/>
    <x v="0"/>
    <x v="0"/>
    <s v="RESPAL_CS5_ASAP8"/>
    <x v="6"/>
    <b v="0"/>
    <s v="No está en VPC"/>
    <n v="408"/>
    <s v="INTPG_ACC_408_1.12"/>
    <s v="ISEL-1.12"/>
    <n v="1"/>
    <s v="NO TIENE L3OUT"/>
    <n v="152"/>
    <n v="96"/>
  </r>
  <r>
    <n v="405"/>
    <x v="1"/>
    <x v="240"/>
    <s v="eth1/12"/>
    <x v="0"/>
    <x v="0"/>
    <x v="0"/>
    <s v="XL5 RLR5ARI02  iLO"/>
    <x v="6"/>
    <b v="0"/>
    <s v="No está en VPC"/>
    <n v="405"/>
    <s v="INTPG_ACC_405_1.12"/>
    <s v="ISEL-1.12"/>
    <n v="1"/>
    <s v="NO TIENE L3OUT"/>
    <n v="138"/>
    <n v="96"/>
  </r>
  <r>
    <n v="169"/>
    <x v="0"/>
    <x v="241"/>
    <s v="eth1/12"/>
    <x v="0"/>
    <x v="0"/>
    <x v="0"/>
    <s v="CIMC_HACIA_UCS_9UCS-IXTLA-SERV4"/>
    <x v="6"/>
    <b v="0"/>
    <s v="No está en VPC"/>
    <n v="169"/>
    <s v="INTPG_ACC_169_1.12"/>
    <s v="ISEL-1.12"/>
    <n v="1"/>
    <s v="NO TIENE L3OUT"/>
    <n v="76"/>
    <n v="96"/>
  </r>
  <r>
    <n v="165"/>
    <x v="0"/>
    <x v="242"/>
    <s v="eth1/12"/>
    <x v="0"/>
    <x v="0"/>
    <x v="0"/>
    <s v="Nomina"/>
    <x v="6"/>
    <b v="0"/>
    <s v="No está en VPC"/>
    <n v="165"/>
    <s v="INTPG_ACC_165_1.12"/>
    <s v="ISEL-1.12"/>
    <n v="1"/>
    <s v="NO TIENE L3OUT"/>
    <n v="86"/>
    <n v="96"/>
  </r>
  <r>
    <n v="417"/>
    <x v="1"/>
    <x v="243"/>
    <s v="eth1/12"/>
    <x v="0"/>
    <x v="0"/>
    <x v="0"/>
    <s v="IXTSRM1_VM1"/>
    <x v="6"/>
    <b v="0"/>
    <s v="No está en VPC"/>
    <n v="417"/>
    <s v="INTPG_ACC_417_1.12"/>
    <s v="ISEL-1.12"/>
    <n v="1"/>
    <s v="NO TIENE L3OUT"/>
    <n v="56"/>
    <n v="96"/>
  </r>
  <r>
    <n v="153"/>
    <x v="0"/>
    <x v="244"/>
    <s v="eth1/12"/>
    <x v="0"/>
    <x v="0"/>
    <x v="0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12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12"/>
    <x v="0"/>
    <x v="0"/>
    <x v="0"/>
    <s v="ARIESO_GEOLOCALIZACION"/>
    <x v="6"/>
    <b v="0"/>
    <s v="No está en VPC"/>
    <n v="156"/>
    <s v="INTPG_ACC_156_1.12"/>
    <s v="ISEL-1.12"/>
    <n v="2"/>
    <s v="NO TIENE L3OUT"/>
    <n v="40"/>
    <n v="96"/>
  </r>
  <r>
    <n v="103"/>
    <x v="0"/>
    <x v="247"/>
    <s v="eth1/12"/>
    <x v="0"/>
    <x v="1"/>
    <x v="1"/>
    <s v="CAMPANAS 01-02:uxtsmmdr:"/>
    <x v="6"/>
    <b v="0"/>
    <s v="No está en VPC"/>
    <n v="103"/>
    <s v="INTPG_ACC_103_1.12"/>
    <s v="ISEL-1.12"/>
    <n v="1"/>
    <s v="NO TIENE L3OUT"/>
    <n v="70"/>
    <n v="96"/>
  </r>
  <r>
    <n v="438"/>
    <x v="1"/>
    <x v="248"/>
    <s v="eth1/12"/>
    <x v="0"/>
    <x v="0"/>
    <x v="0"/>
    <s v="uxdxsw2(RENACE)"/>
    <x v="6"/>
    <b v="0"/>
    <s v="No está en VPC"/>
    <n v="438"/>
    <s v="INTPG_ACC_438_1.12"/>
    <s v="ISEL-1.12"/>
    <n v="1"/>
    <s v="NO TIENE L3OUT"/>
    <n v="170"/>
    <n v="96"/>
  </r>
  <r>
    <n v="406"/>
    <x v="1"/>
    <x v="249"/>
    <s v="eth1/12"/>
    <x v="0"/>
    <x v="0"/>
    <x v="0"/>
    <s v="DESC"/>
    <x v="6"/>
    <b v="0"/>
    <s v="No está en VPC"/>
    <n v="406"/>
    <s v="INTPG_PC_406_1.11-12"/>
    <s v="ISEL-1.12"/>
    <n v="1"/>
    <s v="NO TIENE L3OUT"/>
    <n v="82"/>
    <n v="96"/>
  </r>
  <r>
    <n v="414"/>
    <x v="1"/>
    <x v="250"/>
    <s v="eth1/12"/>
    <x v="0"/>
    <x v="0"/>
    <x v="0"/>
    <s v="9UCS-IXTLA-WEBEX-SERV3"/>
    <x v="6"/>
    <b v="0"/>
    <s v="No está en VPC"/>
    <n v="414"/>
    <s v="INTPG_ACC_414_1.12"/>
    <s v="ISEL-1.12"/>
    <n v="1"/>
    <s v="NO TIENE L3OUT"/>
    <n v="144"/>
    <n v="96"/>
  </r>
  <r>
    <n v="416"/>
    <x v="1"/>
    <x v="251"/>
    <s v="eth1/12"/>
    <x v="0"/>
    <x v="0"/>
    <x v="0"/>
    <s v="sfmedp60-MEDVOZ_CLIENT10"/>
    <x v="6"/>
    <b v="0"/>
    <s v="No está en VPC"/>
    <n v="416"/>
    <s v="INTPG_VPC_416_1.12_418_1.12"/>
    <s v="ISEL-1.12"/>
    <n v="1"/>
    <s v="NO TIENE L3OUT"/>
    <n v="110"/>
    <n v="96"/>
  </r>
  <r>
    <n v="418"/>
    <x v="1"/>
    <x v="252"/>
    <s v="eth1/12"/>
    <x v="0"/>
    <x v="0"/>
    <x v="0"/>
    <s v="sfmedp60-MEDVOZ_CLIENT10"/>
    <x v="6"/>
    <b v="0"/>
    <s v="No está en VPC"/>
    <n v="418"/>
    <s v="INTPG_VPC_416_1.12_418_1.12"/>
    <s v="ISEL-1.12"/>
    <n v="1"/>
    <s v="NO TIENE L3OUT"/>
    <n v="152"/>
    <n v="96"/>
  </r>
  <r>
    <n v="413"/>
    <x v="1"/>
    <x v="253"/>
    <s v="eth1/12"/>
    <x v="0"/>
    <x v="0"/>
    <x v="0"/>
    <s v="DESC"/>
    <x v="6"/>
    <b v="0"/>
    <s v="No está en VPC"/>
    <n v="413"/>
    <s v="INTPG_PC_413_1.9-12"/>
    <s v="ISEL-1.12"/>
    <n v="1"/>
    <s v="NO TIENE L3OUT"/>
    <n v="126"/>
    <n v="96"/>
  </r>
  <r>
    <n v="403"/>
    <x v="1"/>
    <x v="254"/>
    <s v="eth1/12"/>
    <x v="0"/>
    <x v="0"/>
    <x v="0"/>
    <s v="XL5 RLR5ARI02"/>
    <x v="6"/>
    <b v="0"/>
    <s v="No está en VPC"/>
    <n v="403"/>
    <s v="INTPG_ACC_403_1.12"/>
    <s v="ISEL-1.12"/>
    <n v="1"/>
    <s v="NO TIENE L3OUT"/>
    <n v="150"/>
    <n v="96"/>
  </r>
  <r>
    <n v="125"/>
    <x v="0"/>
    <x v="255"/>
    <s v="eth1/12"/>
    <x v="0"/>
    <x v="0"/>
    <x v="0"/>
    <s v="GSM_ENIQ_MTY"/>
    <x v="6"/>
    <b v="0"/>
    <s v="No está en VPC"/>
    <n v="125"/>
    <s v="INTPG_VPC_124_1.7_125_1.12"/>
    <s v="ISEL-1.12"/>
    <n v="10"/>
    <s v="NO TIENE L3OUT"/>
    <n v="72"/>
    <n v="96"/>
  </r>
  <r>
    <n v="166"/>
    <x v="0"/>
    <x v="256"/>
    <s v="eth1/12"/>
    <x v="0"/>
    <x v="0"/>
    <x v="0"/>
    <s v="UXLDAP_1"/>
    <x v="6"/>
    <b v="0"/>
    <s v="No está en VPC"/>
    <n v="166"/>
    <s v="INTPG_ACC_166_1.12"/>
    <s v="ISEL-1.12"/>
    <n v="1"/>
    <s v="NO TIENE L3OUT"/>
    <n v="84"/>
    <n v="96"/>
  </r>
  <r>
    <n v="111"/>
    <x v="0"/>
    <x v="257"/>
    <s v="eth1/12"/>
    <x v="0"/>
    <x v="0"/>
    <x v="0"/>
    <s v="RENACE"/>
    <x v="6"/>
    <b v="0"/>
    <s v="No está en VPC"/>
    <n v="111"/>
    <s v="INTPG_ACC_111_1.12"/>
    <s v="ISEL-1.12"/>
    <n v="1"/>
    <s v="NO TIENE L3OUT"/>
    <n v="58"/>
    <n v="96"/>
  </r>
  <r>
    <n v="115"/>
    <x v="0"/>
    <x v="258"/>
    <s v="eth1/12"/>
    <x v="0"/>
    <x v="0"/>
    <x v="0"/>
    <s v="TO-ITHFERNTCTRIS01-Redundante"/>
    <x v="6"/>
    <b v="0"/>
    <s v="No está en VPC"/>
    <n v="115"/>
    <s v="INTPG_ACC_115_1.12"/>
    <s v="ISEL-1.12"/>
    <n v="1"/>
    <s v="NO TIENE L3OUT"/>
    <n v="42"/>
    <n v="96"/>
  </r>
  <r>
    <n v="106"/>
    <x v="0"/>
    <x v="259"/>
    <s v="eth1/12"/>
    <x v="0"/>
    <x v="0"/>
    <x v="0"/>
    <s v="TRIAL COPS_SON "/>
    <x v="6"/>
    <b v="0"/>
    <s v="No está en VPC"/>
    <n v="106"/>
    <s v="INTPG_ACC_106_1.12"/>
    <s v="ISEL-1.12"/>
    <n v="1"/>
    <s v="NO TIENE L3OUT"/>
    <n v="122"/>
    <n v="96"/>
  </r>
  <r>
    <n v="126"/>
    <x v="0"/>
    <x v="260"/>
    <s v="eth1/12"/>
    <x v="0"/>
    <x v="0"/>
    <x v="0"/>
    <s v="CISCO ANA 01 EHEALTH"/>
    <x v="6"/>
    <b v="0"/>
    <s v="No está en VPC"/>
    <n v="126"/>
    <s v="INTPG_ACC_126_1.12"/>
    <s v="ISEL-1.12"/>
    <n v="1"/>
    <s v="NO TIENE L3OUT"/>
    <n v="54"/>
    <n v="96"/>
  </r>
  <r>
    <n v="425"/>
    <x v="1"/>
    <x v="261"/>
    <s v="eth1/12"/>
    <x v="0"/>
    <x v="0"/>
    <x v="0"/>
    <s v="PortalCautivo2_f5em01_mgmt"/>
    <x v="6"/>
    <b v="0"/>
    <s v="No está en VPC"/>
    <n v="425"/>
    <s v="INTPG_ACC_425_1.12"/>
    <s v="ISEL-1.12"/>
    <n v="1"/>
    <s v="NO TIENE L3OUT"/>
    <n v="86"/>
    <n v="96"/>
  </r>
  <r>
    <n v="151"/>
    <x v="0"/>
    <x v="262"/>
    <s v="eth1/12"/>
    <x v="0"/>
    <x v="0"/>
    <x v="0"/>
    <s v="DASHBOARD"/>
    <x v="6"/>
    <b v="0"/>
    <s v="No está en VPC"/>
    <n v="151"/>
    <s v="INTPG_ACC_151_1.12"/>
    <s v="ISEL-1.12"/>
    <n v="1"/>
    <s v="NO TIENE L3OUT"/>
    <n v="86"/>
    <n v="96"/>
  </r>
  <r>
    <n v="430"/>
    <x v="1"/>
    <x v="263"/>
    <s v="eth1/12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12"/>
    <x v="0"/>
    <x v="0"/>
    <x v="0"/>
    <s v="VBLOCK3"/>
    <x v="6"/>
    <b v="0"/>
    <s v="No está en VPC"/>
    <n v="419"/>
    <s v="INTPG_VPC_419_1.11-12_421_1.11-12"/>
    <s v="ISEL-1.12"/>
    <n v="3"/>
    <s v="NO TIENE L3OUT"/>
    <n v="70"/>
    <n v="96"/>
  </r>
  <r>
    <n v="155"/>
    <x v="0"/>
    <x v="265"/>
    <s v="eth1/12"/>
    <x v="0"/>
    <x v="0"/>
    <x v="0"/>
    <s v="Provider -1"/>
    <x v="6"/>
    <b v="0"/>
    <s v="No está en VPC"/>
    <n v="155"/>
    <s v="INTPG_ACC_155_1.12"/>
    <s v="ISEL-1.12"/>
    <n v="1"/>
    <s v="NO TIENE L3OUT"/>
    <n v="198"/>
    <n v="96"/>
  </r>
  <r>
    <n v="409"/>
    <x v="1"/>
    <x v="266"/>
    <s v="eth1/12"/>
    <x v="0"/>
    <x v="0"/>
    <x v="0"/>
    <s v="ITHHPGRLKEN11_FLM2 MGMT"/>
    <x v="6"/>
    <b v="0"/>
    <s v="No está en VPC"/>
    <n v="409"/>
    <s v="INTPG_ACC_409_1.12"/>
    <s v="ISEL-1.12"/>
    <n v="1"/>
    <s v="NO TIENE L3OUT"/>
    <n v="128"/>
    <n v="96"/>
  </r>
  <r>
    <n v="422"/>
    <x v="1"/>
    <x v="267"/>
    <s v="eth1/12"/>
    <x v="0"/>
    <x v="0"/>
    <x v="0"/>
    <s v="B6200B_DT_2"/>
    <x v="6"/>
    <b v="0"/>
    <s v="No está en VPC"/>
    <n v="422"/>
    <s v="INTPG_ACC_422_1.12"/>
    <s v="ISEL-1.12"/>
    <n v="1"/>
    <s v="NO TIENE L3OUT"/>
    <n v="182"/>
    <n v="96"/>
  </r>
  <r>
    <n v="436"/>
    <x v="1"/>
    <x v="268"/>
    <s v="eth1/12"/>
    <x v="0"/>
    <x v="0"/>
    <x v="0"/>
    <s v="ZFS_RANECE_ILOM-A"/>
    <x v="6"/>
    <b v="0"/>
    <s v="No está en VPC"/>
    <n v="436"/>
    <s v="INTPG_ACC_436_1.12"/>
    <s v="ISEL-1.12"/>
    <n v="1"/>
    <s v="NO TIENE L3OUT"/>
    <n v="172"/>
    <n v="96"/>
  </r>
  <r>
    <n v="410"/>
    <x v="1"/>
    <x v="269"/>
    <s v="eth1/12"/>
    <x v="1"/>
    <x v="1"/>
    <x v="2"/>
    <m/>
    <x v="6"/>
    <b v="0"/>
    <s v="No está en VPC"/>
    <n v="410"/>
    <s v="NO EXISTE PG"/>
    <s v="NO EXISTE ISEL"/>
    <n v="0"/>
    <s v="NO TIENE L3OUT"/>
    <n v="178"/>
    <n v="96"/>
  </r>
  <r>
    <n v="161"/>
    <x v="0"/>
    <x v="270"/>
    <s v="eth1/12"/>
    <x v="0"/>
    <x v="0"/>
    <x v="0"/>
    <m/>
    <x v="6"/>
    <b v="0"/>
    <s v="No está en VPC"/>
    <n v="161"/>
    <s v="INTPG_PC_161_1.14-12"/>
    <s v="ISEL-1.12"/>
    <n v="1"/>
    <s v="NO TIENE L3OUT"/>
    <n v="102"/>
    <n v="96"/>
  </r>
  <r>
    <n v="411"/>
    <x v="1"/>
    <x v="271"/>
    <s v="eth1/12"/>
    <x v="0"/>
    <x v="0"/>
    <x v="0"/>
    <s v="DESC"/>
    <x v="6"/>
    <b v="0"/>
    <s v="No está en VPC"/>
    <n v="411"/>
    <s v="INTPG_PC_411_1.9-12"/>
    <s v="ISEL-1.12"/>
    <n v="1"/>
    <s v="NO TIENE L3OUT"/>
    <n v="96"/>
    <n v="96"/>
  </r>
  <r>
    <n v="116"/>
    <x v="0"/>
    <x v="272"/>
    <s v="eth1/12"/>
    <x v="0"/>
    <x v="1"/>
    <x v="1"/>
    <s v="COBROS NAVEGACION"/>
    <x v="6"/>
    <b v="0"/>
    <s v="No está en VPC"/>
    <n v="116"/>
    <s v="INTPG_ACC_116_1.12"/>
    <s v="ISEL-1.12"/>
    <n v="1"/>
    <s v="NO TIENE L3OUT"/>
    <n v="148"/>
    <n v="96"/>
  </r>
  <r>
    <n v="412"/>
    <x v="1"/>
    <x v="273"/>
    <s v="eth1/12"/>
    <x v="0"/>
    <x v="1"/>
    <x v="1"/>
    <s v="Suspend6"/>
    <x v="6"/>
    <b v="0"/>
    <s v="No está en VPC"/>
    <n v="412"/>
    <s v="INTPG_ACC_412_1.12"/>
    <s v="ISEL-1.12"/>
    <n v="1"/>
    <s v="NO TIENE L3OUT"/>
    <n v="126"/>
    <n v="96"/>
  </r>
  <r>
    <n v="120"/>
    <x v="0"/>
    <x v="274"/>
    <s v="eth1/12"/>
    <x v="1"/>
    <x v="1"/>
    <x v="2"/>
    <s v="DESC"/>
    <x v="6"/>
    <b v="0"/>
    <s v="No está en VPC"/>
    <n v="120"/>
    <s v="INTPG_PC_120_1.10-14"/>
    <s v="ISEL-1.12"/>
    <n v="1"/>
    <s v="NO TIENE L3OUT"/>
    <n v="158"/>
    <n v="96"/>
  </r>
  <r>
    <n v="404"/>
    <x v="1"/>
    <x v="275"/>
    <s v="eth1/12"/>
    <x v="0"/>
    <x v="0"/>
    <x v="0"/>
    <s v="DESC"/>
    <x v="6"/>
    <b v="0"/>
    <s v="No está en VPC"/>
    <n v="404"/>
    <s v="INTPG_PC_404_1.11-12"/>
    <s v="ISEL-1.12"/>
    <n v="1"/>
    <s v="NO TIENE L3OUT"/>
    <n v="92"/>
    <n v="96"/>
  </r>
  <r>
    <n v="167"/>
    <x v="0"/>
    <x v="276"/>
    <s v="eth1/12"/>
    <x v="0"/>
    <x v="0"/>
    <x v="0"/>
    <s v="LINKDOWN_HACIA_UCS_9UCS-IXTLA-SERV1"/>
    <x v="6"/>
    <b v="0"/>
    <s v="No está en VPC"/>
    <n v="167"/>
    <s v="INTPG_ACC_167_1.12"/>
    <s v="ISEL-1.12"/>
    <n v="1"/>
    <s v="NO TIENE L3OUT"/>
    <n v="68"/>
    <n v="96"/>
  </r>
  <r>
    <n v="428"/>
    <x v="1"/>
    <x v="277"/>
    <s v="eth1/12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903"/>
    <x v="2"/>
    <x v="278"/>
    <s v="eth1/1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1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13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13"/>
    <x v="0"/>
    <x v="0"/>
    <x v="0"/>
    <m/>
    <x v="1"/>
    <b v="0"/>
    <s v="No está en VPC"/>
    <n v="123"/>
    <s v="INTPG_ACC_123_1.13"/>
    <s v="ISEL-1.13"/>
    <n v="1"/>
    <s v="NO TIENE L3OUT"/>
    <n v="20"/>
    <n v="54"/>
  </r>
  <r>
    <n v="152"/>
    <x v="0"/>
    <x v="2"/>
    <s v="eth1/13"/>
    <x v="0"/>
    <x v="0"/>
    <x v="0"/>
    <s v="IXTPA2PC"/>
    <x v="1"/>
    <b v="0"/>
    <s v="No está en VPC"/>
    <n v="152"/>
    <s v="INTPG_ACC_152_1.13"/>
    <s v="ISEL-1.13"/>
    <n v="1"/>
    <s v="NO TIENE L3OUT"/>
    <n v="38"/>
    <n v="54"/>
  </r>
  <r>
    <n v="101"/>
    <x v="0"/>
    <x v="3"/>
    <s v="eth1/13"/>
    <x v="0"/>
    <x v="0"/>
    <x v="0"/>
    <s v="ENIQ_4G_MEX_1"/>
    <x v="0"/>
    <b v="0"/>
    <s v="No está en VPC"/>
    <n v="101"/>
    <s v="INTPG_VPC_101_1.13_150_1.13"/>
    <s v="ISEL-1.13"/>
    <n v="1"/>
    <s v="NO TIENE L3OUT"/>
    <n v="114"/>
    <n v="54"/>
  </r>
  <r>
    <n v="160"/>
    <x v="0"/>
    <x v="4"/>
    <s v="eth1/13"/>
    <x v="0"/>
    <x v="0"/>
    <x v="0"/>
    <s v="ArrobaDOC Y CF"/>
    <x v="1"/>
    <b v="0"/>
    <s v="No está en VPC"/>
    <n v="160"/>
    <s v="INTPG_ACC_160_1.13"/>
    <s v="ISEL-1.13"/>
    <n v="1"/>
    <s v="NO TIENE L3OUT"/>
    <n v="68"/>
    <n v="54"/>
  </r>
  <r>
    <n v="121"/>
    <x v="0"/>
    <x v="5"/>
    <s v="eth1/13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13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13"/>
    <x v="0"/>
    <x v="0"/>
    <x v="0"/>
    <s v="CEMOD1"/>
    <x v="0"/>
    <b v="0"/>
    <s v="No está en VPC"/>
    <n v="401"/>
    <s v="INTPG_VPC_401_1.13_16_402_1.13_16"/>
    <s v="ISEL-1.13"/>
    <n v="2"/>
    <s v="NO TIENE L3OUT"/>
    <n v="40"/>
    <n v="54"/>
  </r>
  <r>
    <n v="402"/>
    <x v="1"/>
    <x v="8"/>
    <s v="eth1/13"/>
    <x v="0"/>
    <x v="0"/>
    <x v="0"/>
    <s v="CEMOD1"/>
    <x v="0"/>
    <b v="0"/>
    <s v="No está en VPC"/>
    <n v="402"/>
    <s v="INTPG_VPC_401_1.13_16_402_1.13_16"/>
    <s v="ISEL-1.13"/>
    <n v="2"/>
    <s v="NO TIENE L3OUT"/>
    <n v="36"/>
    <n v="54"/>
  </r>
  <r>
    <n v="447"/>
    <x v="1"/>
    <x v="9"/>
    <s v="eth1/13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13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13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13"/>
    <x v="0"/>
    <x v="0"/>
    <x v="0"/>
    <s v="ENIQ_4G_MEX_1"/>
    <x v="0"/>
    <b v="0"/>
    <s v="No está en VPC"/>
    <n v="150"/>
    <s v="INTPG_VPC_101_1.13_150_1.13"/>
    <s v="ISEL-1.13"/>
    <n v="1"/>
    <s v="NO TIENE L3OUT"/>
    <n v="118"/>
    <n v="54"/>
  </r>
  <r>
    <n v="131"/>
    <x v="0"/>
    <x v="13"/>
    <s v="eth1/13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13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13"/>
    <x v="0"/>
    <x v="0"/>
    <x v="0"/>
    <s v="GRLK LAG 03"/>
    <x v="2"/>
    <b v="0"/>
    <s v="No está en VPC"/>
    <n v="758"/>
    <s v="INTPG_VPC_758_1.13_759_1.13"/>
    <s v="ISEL-1.13"/>
    <n v="89"/>
    <s v="NO TIENE L3OUT"/>
    <n v="0"/>
    <n v="42"/>
  </r>
  <r>
    <n v="759"/>
    <x v="2"/>
    <x v="16"/>
    <s v="eth1/13"/>
    <x v="0"/>
    <x v="0"/>
    <x v="0"/>
    <s v="GRLK LAG 03"/>
    <x v="2"/>
    <b v="0"/>
    <s v="No está en VPC"/>
    <n v="759"/>
    <s v="INTPG_VPC_758_1.13_759_1.13"/>
    <s v="ISEL-1.13"/>
    <n v="89"/>
    <s v="NO TIENE L3OUT"/>
    <n v="0"/>
    <n v="42"/>
  </r>
  <r>
    <n v="302"/>
    <x v="0"/>
    <x v="17"/>
    <s v="eth1/13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13"/>
    <x v="0"/>
    <x v="0"/>
    <x v="0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13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13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13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13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13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13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13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13"/>
    <x v="0"/>
    <x v="0"/>
    <x v="0"/>
    <s v="TO-CONECTIVIDAD_HUAWEI_CLOUD_SALA_2_produccion_client_LAG"/>
    <x v="0"/>
    <b v="0"/>
    <s v="No está en VPC"/>
    <n v="431"/>
    <s v="INTPG_VPC_431_1.12-13_448_1.12-13"/>
    <s v="ISEL-1.13"/>
    <n v="52"/>
    <s v="NO TIENE L3OUT"/>
    <n v="46"/>
    <n v="54"/>
  </r>
  <r>
    <n v="433"/>
    <x v="1"/>
    <x v="27"/>
    <s v="eth1/13"/>
    <x v="0"/>
    <x v="0"/>
    <x v="0"/>
    <s v="TO-ITHPSFAX50R3006ECHS0-PRINCIPAL"/>
    <x v="1"/>
    <b v="0"/>
    <s v="No está en VPC"/>
    <n v="433"/>
    <s v="INTPG_ACC_433_1.13"/>
    <s v="ISEL-1.13"/>
    <n v="1"/>
    <s v="NO TIENE L3OUT"/>
    <n v="42"/>
    <n v="54"/>
  </r>
  <r>
    <n v="429"/>
    <x v="1"/>
    <x v="28"/>
    <s v="eth1/13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13"/>
    <x v="1"/>
    <x v="1"/>
    <x v="2"/>
    <s v="SNS2224-1_MGMT_RHEV_HUAWEI"/>
    <x v="1"/>
    <b v="0"/>
    <s v="No está en VPC"/>
    <n v="432"/>
    <s v="INTPG_ACC_432_1.13"/>
    <s v="ISEL-1.13"/>
    <n v="0"/>
    <s v="NO TIENE L3OUT"/>
    <n v="54"/>
    <n v="54"/>
  </r>
  <r>
    <n v="442"/>
    <x v="1"/>
    <x v="30"/>
    <s v="eth1/13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13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13"/>
    <x v="0"/>
    <x v="0"/>
    <x v="0"/>
    <s v="CEM:ITHCEMG2DAT07:LOM P1"/>
    <x v="0"/>
    <b v="0"/>
    <s v="No está en VPC"/>
    <n v="707"/>
    <s v="INTPG_ACC_707_1.13"/>
    <s v="ISEL-1.13"/>
    <n v="1"/>
    <s v="NO TIENE L3OUT"/>
    <n v="54"/>
    <n v="54"/>
  </r>
  <r>
    <n v="712"/>
    <x v="2"/>
    <x v="33"/>
    <s v="eth1/13"/>
    <x v="0"/>
    <x v="0"/>
    <x v="0"/>
    <s v="CEM:ITHCEMB2DAT07:LOM P1"/>
    <x v="0"/>
    <b v="0"/>
    <s v="No está en VPC"/>
    <n v="712"/>
    <s v="INTPG_ACC_712_1.13"/>
    <s v="ISEL-1.13"/>
    <n v="1"/>
    <s v="NO TIENE L3OUT"/>
    <n v="32"/>
    <n v="54"/>
  </r>
  <r>
    <n v="719"/>
    <x v="2"/>
    <x v="34"/>
    <s v="eth1/13"/>
    <x v="0"/>
    <x v="0"/>
    <x v="0"/>
    <m/>
    <x v="0"/>
    <b v="0"/>
    <s v="No está en VPC"/>
    <n v="719"/>
    <s v="INTPG-VPC_MGN02_719_1.13_720_1.14"/>
    <s v="ISEL-1.13"/>
    <n v="1"/>
    <s v="NO TIENE L3OUT"/>
    <n v="0"/>
    <n v="54"/>
  </r>
  <r>
    <n v="715"/>
    <x v="2"/>
    <x v="35"/>
    <s v="eth1/13"/>
    <x v="0"/>
    <x v="0"/>
    <x v="0"/>
    <m/>
    <x v="0"/>
    <b v="0"/>
    <s v="No está en VPC"/>
    <n v="715"/>
    <s v="INTPG-VPC_HDD42_715_1.13_716_1.14"/>
    <s v="ISEL-1.13"/>
    <n v="1"/>
    <s v="NO TIENE L3OUT"/>
    <n v="0"/>
    <n v="54"/>
  </r>
  <r>
    <n v="427"/>
    <x v="1"/>
    <x v="36"/>
    <s v="eth1/13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13"/>
    <x v="0"/>
    <x v="0"/>
    <x v="0"/>
    <s v="CEM:ITHCEMC2DAT07:LOM P1"/>
    <x v="0"/>
    <b v="0"/>
    <s v="No está en VPC"/>
    <n v="711"/>
    <s v="INTPG_ACC_711_1.13"/>
    <s v="ISEL-1.13"/>
    <n v="1"/>
    <s v="NO TIENE L3OUT"/>
    <n v="16"/>
    <n v="54"/>
  </r>
  <r>
    <n v="716"/>
    <x v="2"/>
    <x v="38"/>
    <s v="eth1/13"/>
    <x v="0"/>
    <x v="0"/>
    <x v="0"/>
    <m/>
    <x v="0"/>
    <b v="0"/>
    <s v="No está en VPC"/>
    <n v="716"/>
    <s v="INTPG-VPC_HDD33_716_1.13_715_1.14"/>
    <s v="ISEL-1.13"/>
    <n v="1"/>
    <s v="NO TIENE L3OUT"/>
    <n v="0"/>
    <n v="54"/>
  </r>
  <r>
    <n v="702"/>
    <x v="2"/>
    <x v="39"/>
    <s v="eth1/13"/>
    <x v="0"/>
    <x v="0"/>
    <x v="0"/>
    <m/>
    <x v="0"/>
    <b v="0"/>
    <s v="No está en VPC"/>
    <n v="702"/>
    <s v="INTPG_VPC_702_1.13_701_1.14"/>
    <s v="ISEL-1.13"/>
    <n v="1"/>
    <s v="NO TIENE L3OUT"/>
    <n v="0"/>
    <n v="54"/>
  </r>
  <r>
    <n v="435"/>
    <x v="1"/>
    <x v="40"/>
    <s v="eth1/13"/>
    <x v="0"/>
    <x v="0"/>
    <x v="0"/>
    <s v="TO-ITHPSFAX50R3006ECHS0-REDUNDANTE"/>
    <x v="1"/>
    <b v="0"/>
    <s v="No está en VPC"/>
    <n v="435"/>
    <s v="INTPG_ACC_435_1.13"/>
    <s v="ISEL-1.13"/>
    <n v="1"/>
    <s v="NO TIENE L3OUT"/>
    <n v="34"/>
    <n v="54"/>
  </r>
  <r>
    <n v="446"/>
    <x v="1"/>
    <x v="41"/>
    <s v="eth1/13"/>
    <x v="0"/>
    <x v="0"/>
    <x v="0"/>
    <s v="TO-ithhwhccsv04"/>
    <x v="0"/>
    <b v="0"/>
    <s v="No está en VPC"/>
    <n v="446"/>
    <s v="INTPG_VPC_444_1.13-14_446_1.13-14"/>
    <s v="ISEL-1.13"/>
    <n v="10"/>
    <s v="NO TIENE L3OUT"/>
    <n v="198"/>
    <n v="54"/>
  </r>
  <r>
    <n v="444"/>
    <x v="1"/>
    <x v="42"/>
    <s v="eth1/13"/>
    <x v="0"/>
    <x v="0"/>
    <x v="0"/>
    <s v="TO-ithhwhccsv04"/>
    <x v="0"/>
    <b v="0"/>
    <s v="No está en VPC"/>
    <n v="444"/>
    <s v="INTPG_VPC_444_1.13-14_446_1.13-14"/>
    <s v="ISEL-1.13"/>
    <n v="10"/>
    <s v="NO TIENE L3OUT"/>
    <n v="234"/>
    <n v="54"/>
  </r>
  <r>
    <n v="701"/>
    <x v="2"/>
    <x v="43"/>
    <s v="eth1/13"/>
    <x v="0"/>
    <x v="0"/>
    <x v="0"/>
    <m/>
    <x v="0"/>
    <b v="0"/>
    <s v="No está en VPC"/>
    <n v="701"/>
    <s v="INTPG_VPC_701_1.13_702_1.14"/>
    <s v="ISEL-1.13"/>
    <n v="2"/>
    <s v="NO TIENE L3OUT"/>
    <n v="0"/>
    <n v="54"/>
  </r>
  <r>
    <n v="440"/>
    <x v="1"/>
    <x v="44"/>
    <s v="eth1/13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13"/>
    <x v="0"/>
    <x v="0"/>
    <x v="0"/>
    <s v="TO-CONECTIVIDAD_HUAWEI_CLOUD_SALA_2_produccion_client_LAG"/>
    <x v="0"/>
    <b v="0"/>
    <s v="No está en VPC"/>
    <n v="448"/>
    <s v="INTPG_VPC_431_1.12-13_448_1.12-13"/>
    <s v="ISEL-1.13"/>
    <n v="52"/>
    <s v="NO TIENE L3OUT"/>
    <n v="46"/>
    <n v="54"/>
  </r>
  <r>
    <n v="704"/>
    <x v="2"/>
    <x v="46"/>
    <s v="eth1/13"/>
    <x v="0"/>
    <x v="0"/>
    <x v="0"/>
    <m/>
    <x v="0"/>
    <b v="0"/>
    <s v="No está en VPC"/>
    <n v="704"/>
    <s v="INTPG_VPC_704_1.13_703_1.14"/>
    <s v="ISEL-1.13"/>
    <n v="1"/>
    <s v="NO TIENE L3OUT"/>
    <n v="0"/>
    <n v="54"/>
  </r>
  <r>
    <n v="729"/>
    <x v="2"/>
    <x v="47"/>
    <s v="eth1/13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13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13"/>
    <x v="0"/>
    <x v="0"/>
    <x v="0"/>
    <s v="HACIA_CSI-A-OSCP-F4-01_SECUNDARIO"/>
    <x v="4"/>
    <b v="0"/>
    <s v="No está en VPC"/>
    <n v="456"/>
    <s v="INTPG_VPC_454_1.13_456_1.13"/>
    <s v="ISEL-1.13"/>
    <n v="2"/>
    <s v="NO TIENE L3OUT"/>
    <n v="4"/>
    <n v="54"/>
  </r>
  <r>
    <n v="603"/>
    <x v="1"/>
    <x v="50"/>
    <s v="eth1/13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13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13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13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13"/>
    <x v="0"/>
    <x v="0"/>
    <x v="0"/>
    <m/>
    <x v="0"/>
    <b v="0"/>
    <s v="No está en VPC"/>
    <n v="722"/>
    <s v="INTPG-VPC_HDD127_722_1.13_723_1.14"/>
    <s v="ISEL-1.13"/>
    <n v="1"/>
    <s v="NO TIENE L3OUT"/>
    <n v="0"/>
    <n v="54"/>
  </r>
  <r>
    <n v="733"/>
    <x v="2"/>
    <x v="55"/>
    <s v="eth1/13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13"/>
    <x v="0"/>
    <x v="0"/>
    <x v="0"/>
    <s v="OSS F1:ithenmr08e1r9a:Bay2/X1"/>
    <x v="0"/>
    <b v="0"/>
    <s v="No está en VPC"/>
    <n v="755"/>
    <s v="INTPG_PC_755_1.13-14"/>
    <s v="ISEL-1.13"/>
    <n v="8"/>
    <s v="NO TIENE L3OUT"/>
    <n v="52"/>
    <n v="54"/>
  </r>
  <r>
    <n v="748"/>
    <x v="2"/>
    <x v="57"/>
    <s v="eth1/13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13"/>
    <x v="0"/>
    <x v="0"/>
    <x v="0"/>
    <s v="OSS F1:ithenmr08e1r9a:Bay1/X1"/>
    <x v="0"/>
    <b v="0"/>
    <s v="No está en VPC"/>
    <n v="756"/>
    <s v="INTPG_PC_756_1.13-14"/>
    <s v="ISEL-1.13"/>
    <n v="8"/>
    <s v="NO TIENE L3OUT"/>
    <n v="64"/>
    <n v="54"/>
  </r>
  <r>
    <n v="754"/>
    <x v="2"/>
    <x v="59"/>
    <s v="eth1/13"/>
    <x v="0"/>
    <x v="0"/>
    <x v="0"/>
    <s v="OSS F1:ithenmnasr9c:PORT 1"/>
    <x v="0"/>
    <b v="0"/>
    <s v="No está en VPC"/>
    <n v="754"/>
    <s v="INTPG_PC_754_1.13-16"/>
    <s v="ISEL-1.13"/>
    <n v="1"/>
    <s v="NO TIENE L3OUT"/>
    <n v="62"/>
    <n v="54"/>
  </r>
  <r>
    <n v="751"/>
    <x v="2"/>
    <x v="60"/>
    <s v="eth1/13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13"/>
    <x v="0"/>
    <x v="0"/>
    <x v="0"/>
    <s v="Portchannel_7_R1"/>
    <x v="0"/>
    <b v="0"/>
    <s v="No está en VPC"/>
    <n v="769"/>
    <s v="INTPG_PC_769_1.11-14"/>
    <s v="ISEL-1.13"/>
    <n v="1"/>
    <s v="NO TIENE L3OUT"/>
    <n v="60"/>
    <n v="54"/>
  </r>
  <r>
    <n v="742"/>
    <x v="2"/>
    <x v="62"/>
    <s v="eth1/13"/>
    <x v="0"/>
    <x v="1"/>
    <x v="1"/>
    <s v="CEM:ITHCEMA2DAT07:LOM P3"/>
    <x v="5"/>
    <b v="0"/>
    <s v="No está en VPC"/>
    <n v="742"/>
    <s v="INTPG_ACC_742_1.13"/>
    <s v="ISEL-1.13"/>
    <n v="1"/>
    <s v="NO TIENE L3OUT"/>
    <n v="64"/>
    <n v="54"/>
  </r>
  <r>
    <n v="763"/>
    <x v="2"/>
    <x v="63"/>
    <s v="eth1/13"/>
    <x v="0"/>
    <x v="0"/>
    <x v="0"/>
    <s v="PAAS:ithhwoscopap013:LOM PORT 3"/>
    <x v="0"/>
    <b v="0"/>
    <s v="No está en VPC"/>
    <n v="763"/>
    <s v="INTPG_VPC_762_1.13_763_1.13"/>
    <s v="ISEL-1.13"/>
    <n v="15"/>
    <s v="NO TIENE L3OUT"/>
    <n v="2"/>
    <n v="54"/>
  </r>
  <r>
    <n v="766"/>
    <x v="2"/>
    <x v="64"/>
    <s v="eth1/13"/>
    <x v="0"/>
    <x v="0"/>
    <x v="0"/>
    <s v="OSS_ENM"/>
    <x v="0"/>
    <b v="0"/>
    <s v="No está en VPC"/>
    <n v="766"/>
    <s v="INTPG_ACC_766_1.13"/>
    <s v="ISEL-1.13"/>
    <n v="1"/>
    <s v="NO TIENE L3OUT"/>
    <n v="58"/>
    <n v="54"/>
  </r>
  <r>
    <n v="760"/>
    <x v="2"/>
    <x v="65"/>
    <s v="eth1/13"/>
    <x v="0"/>
    <x v="1"/>
    <x v="1"/>
    <m/>
    <x v="0"/>
    <b v="0"/>
    <s v="No está en VPC"/>
    <n v="760"/>
    <s v="INTPG_VPC_760_1.13-16_761_1.13-16"/>
    <s v="ISEL-1.13"/>
    <n v="0"/>
    <s v="L3OUT-EXACLOUD"/>
    <n v="0"/>
    <n v="54"/>
  </r>
  <r>
    <n v="752"/>
    <x v="2"/>
    <x v="66"/>
    <s v="eth1/13"/>
    <x v="0"/>
    <x v="0"/>
    <x v="0"/>
    <s v="PAAS:ithhwosstpap004:Slot6.1"/>
    <x v="0"/>
    <b v="0"/>
    <s v="No está en VPC"/>
    <n v="752"/>
    <s v="INTPG_VPC_747_1.13_752_1.13"/>
    <s v="ISEL-1.13"/>
    <n v="25"/>
    <s v="NO TIENE L3OUT"/>
    <n v="0"/>
    <n v="54"/>
  </r>
  <r>
    <n v="765"/>
    <x v="2"/>
    <x v="67"/>
    <s v="eth1/13"/>
    <x v="0"/>
    <x v="0"/>
    <x v="0"/>
    <s v="Portchannel_7_R6B"/>
    <x v="0"/>
    <b v="0"/>
    <s v="No está en VPC"/>
    <n v="765"/>
    <s v="INTPG_PC_765_1.13-16"/>
    <s v="ISEL-1.13"/>
    <n v="1"/>
    <s v="NO TIENE L3OUT"/>
    <n v="60"/>
    <n v="54"/>
  </r>
  <r>
    <n v="778"/>
    <x v="2"/>
    <x v="68"/>
    <s v="eth1/13"/>
    <x v="0"/>
    <x v="0"/>
    <x v="0"/>
    <s v="ENIQ F1:itheniqr07mwsr2:LOM PORT 1"/>
    <x v="0"/>
    <b v="0"/>
    <s v="No está en VPC"/>
    <n v="778"/>
    <s v="INTPG_ACC_778_1.13"/>
    <s v="ISEL-1.13"/>
    <n v="1"/>
    <s v="NO TIENE L3OUT"/>
    <n v="26"/>
    <n v="54"/>
  </r>
  <r>
    <n v="780"/>
    <x v="2"/>
    <x v="69"/>
    <s v="eth1/13"/>
    <x v="0"/>
    <x v="0"/>
    <x v="0"/>
    <s v="itheniqr04bl04mws1r1"/>
    <x v="0"/>
    <b v="0"/>
    <s v="No está en VPC"/>
    <n v="780"/>
    <s v="INTPG_ACC_780_1.13"/>
    <s v="ISEL-1.13"/>
    <n v="1"/>
    <s v="NO TIENE L3OUT"/>
    <n v="26"/>
    <n v="54"/>
  </r>
  <r>
    <n v="812"/>
    <x v="2"/>
    <x v="70"/>
    <s v="eth1/13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13"/>
    <x v="0"/>
    <x v="0"/>
    <x v="0"/>
    <s v="ITHFHWTSHNLCN07_VMs-07_Taishan_IT"/>
    <x v="0"/>
    <b v="0"/>
    <s v="No está en VPC"/>
    <n v="796"/>
    <s v="INTPG_VPC_795_1.13_796_1.13"/>
    <s v="ISEL-1.13"/>
    <n v="14"/>
    <s v="NO TIENE L3OUT"/>
    <n v="18"/>
    <n v="54"/>
  </r>
  <r>
    <n v="795"/>
    <x v="2"/>
    <x v="72"/>
    <s v="eth1/13"/>
    <x v="0"/>
    <x v="0"/>
    <x v="0"/>
    <s v="ITHFHWTSHNLCN07_VMs-07_Taishan_IT"/>
    <x v="0"/>
    <b v="0"/>
    <s v="No está en VPC"/>
    <n v="795"/>
    <s v="INTPG_VPC_795_1.13_796_1.13"/>
    <s v="ISEL-1.13"/>
    <n v="14"/>
    <s v="NO TIENE L3OUT"/>
    <n v="18"/>
    <n v="54"/>
  </r>
  <r>
    <n v="749"/>
    <x v="2"/>
    <x v="73"/>
    <s v="eth1/13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13"/>
    <x v="0"/>
    <x v="0"/>
    <x v="0"/>
    <s v="LINK_TO_ITHFHWCMVWPMA09 /Slot6.2 /Redundante"/>
    <x v="0"/>
    <b v="0"/>
    <s v="No está en VPC"/>
    <n v="824"/>
    <s v="INTPG_ACC_824_1.13"/>
    <s v="ISEL-1.13"/>
    <n v="1"/>
    <s v="NO TIENE L3OUT"/>
    <n v="70"/>
    <n v="54"/>
  </r>
  <r>
    <n v="819"/>
    <x v="2"/>
    <x v="75"/>
    <s v="eth1/13"/>
    <x v="0"/>
    <x v="0"/>
    <x v="0"/>
    <s v="LINK_TO_ITHFHWCMVWPMA09 /Slot4.2 /Principal"/>
    <x v="0"/>
    <b v="0"/>
    <s v="No está en VPC"/>
    <n v="819"/>
    <s v="INTPG_ACC_819_1.13"/>
    <s v="ISEL-1.13"/>
    <n v="1"/>
    <s v="NO TIENE L3OUT"/>
    <n v="70"/>
    <n v="54"/>
  </r>
  <r>
    <n v="737"/>
    <x v="2"/>
    <x v="76"/>
    <s v="eth1/13"/>
    <x v="0"/>
    <x v="0"/>
    <x v="0"/>
    <s v="CEM:ITHCEMF2DAT07:LOM P3"/>
    <x v="5"/>
    <b v="0"/>
    <s v="No está en VPC"/>
    <n v="737"/>
    <s v="INTPG_ACC_737_1.13"/>
    <s v="ISEL-1.13"/>
    <n v="1"/>
    <s v="NO TIENE L3OUT"/>
    <n v="72"/>
    <n v="54"/>
  </r>
  <r>
    <n v="844"/>
    <x v="2"/>
    <x v="77"/>
    <s v="eth1/13"/>
    <x v="0"/>
    <x v="0"/>
    <x v="0"/>
    <s v="LINK_TO_ITHFHWCRMPLCN105 / Slot1.1_14 / Principal"/>
    <x v="0"/>
    <b v="0"/>
    <s v="No está en VPC"/>
    <n v="844"/>
    <s v="INTPG_ACC_844_1.13"/>
    <s v="ISEL-1.13"/>
    <n v="6"/>
    <s v="NO TIENE L3OUT"/>
    <n v="282"/>
    <n v="54"/>
  </r>
  <r>
    <n v="843"/>
    <x v="2"/>
    <x v="78"/>
    <s v="eth1/13"/>
    <x v="0"/>
    <x v="0"/>
    <x v="0"/>
    <s v="LINK_To_ITHFHWCBSPSUSBD27 / Slot7.2_8 / Redundante"/>
    <x v="0"/>
    <b v="0"/>
    <s v="No está en VPC"/>
    <n v="843"/>
    <s v="INTPG_VPC_838_1.13_843_1.13"/>
    <s v="ISEL-1.13"/>
    <n v="1"/>
    <s v="NO TIENE L3OUT"/>
    <n v="38"/>
    <n v="54"/>
  </r>
  <r>
    <n v="797"/>
    <x v="2"/>
    <x v="79"/>
    <s v="eth1/13"/>
    <x v="0"/>
    <x v="0"/>
    <x v="0"/>
    <s v="TO-HDPS_15-MSP"/>
    <x v="0"/>
    <b v="0"/>
    <s v="No está en VPC"/>
    <n v="797"/>
    <s v="INTPG_ACC_797_1.13"/>
    <s v="ISEL-1.13"/>
    <n v="1"/>
    <s v="NO TIENE L3OUT"/>
    <n v="48"/>
    <n v="54"/>
  </r>
  <r>
    <n v="839"/>
    <x v="2"/>
    <x v="80"/>
    <s v="eth1/13"/>
    <x v="0"/>
    <x v="0"/>
    <x v="0"/>
    <s v="LINK_TO_ITHFHWCBSPSWR62 / Slot7.1_12 / Redundante"/>
    <x v="0"/>
    <b v="0"/>
    <s v="No está en VPC"/>
    <n v="839"/>
    <s v="INTPG_VPC_834_1.13_839_1.13"/>
    <s v="ISEL-1.13"/>
    <n v="2"/>
    <s v="NO TIENE L3OUT"/>
    <n v="0"/>
    <n v="54"/>
  </r>
  <r>
    <n v="847"/>
    <x v="2"/>
    <x v="81"/>
    <s v="eth1/13"/>
    <x v="0"/>
    <x v="0"/>
    <x v="0"/>
    <s v="LINK_TO_ITHFHWCRMPLCN169 / Slot7.3_8 / Redundante"/>
    <x v="0"/>
    <b v="0"/>
    <s v="No está en VPC"/>
    <n v="847"/>
    <s v="INTPG_ACC_847_1.13"/>
    <s v="ISEL-1.13"/>
    <n v="1"/>
    <s v="NO TIENE L3OUT"/>
    <n v="204"/>
    <n v="54"/>
  </r>
  <r>
    <n v="848"/>
    <x v="2"/>
    <x v="82"/>
    <s v="eth1/13"/>
    <x v="0"/>
    <x v="0"/>
    <x v="0"/>
    <s v="LINK_TO_ITHFHWCRMPLCN158 / Slot7.3_18 / Redundante"/>
    <x v="0"/>
    <b v="0"/>
    <s v="No está en VPC"/>
    <n v="848"/>
    <s v="INTPG_ACC_848_1.13"/>
    <s v="ISEL-1.13"/>
    <n v="1"/>
    <s v="NO TIENE L3OUT"/>
    <n v="254"/>
    <n v="54"/>
  </r>
  <r>
    <n v="846"/>
    <x v="2"/>
    <x v="83"/>
    <s v="eth1/13"/>
    <x v="0"/>
    <x v="0"/>
    <x v="0"/>
    <s v="LINK_TO_ITHFHWCRMPLCN76 / Slot1.1_10 / Principal"/>
    <x v="0"/>
    <b v="0"/>
    <s v="No está en VPC"/>
    <n v="846"/>
    <s v="INTPG_ACC_846_1.13"/>
    <s v="ISEL-1.13"/>
    <n v="6"/>
    <s v="NO TIENE L3OUT"/>
    <n v="242"/>
    <n v="54"/>
  </r>
  <r>
    <n v="838"/>
    <x v="2"/>
    <x v="84"/>
    <s v="eth1/13"/>
    <x v="0"/>
    <x v="0"/>
    <x v="0"/>
    <s v="LINK_To_ITHFHWCBSPSUSBD27 / Slot1.2_8 / Principal"/>
    <x v="0"/>
    <b v="0"/>
    <s v="No está en VPC"/>
    <n v="838"/>
    <s v="INTPG_VPC_838_1.13_843_1.13"/>
    <s v="ISEL-1.13"/>
    <n v="1"/>
    <s v="NO TIENE L3OUT"/>
    <n v="38"/>
    <n v="54"/>
  </r>
  <r>
    <n v="849"/>
    <x v="2"/>
    <x v="85"/>
    <s v="eth1/13"/>
    <x v="0"/>
    <x v="0"/>
    <x v="0"/>
    <s v="LINK_TO_ITHFHWCRMPLCN138 / Slot7.3_10 / Redundante"/>
    <x v="0"/>
    <b v="0"/>
    <s v="No está en VPC"/>
    <n v="849"/>
    <s v="INTPG_ACC_849_1.13"/>
    <s v="ISEL-1.13"/>
    <n v="1"/>
    <s v="NO TIENE L3OUT"/>
    <n v="286"/>
    <n v="54"/>
  </r>
  <r>
    <n v="845"/>
    <x v="2"/>
    <x v="86"/>
    <s v="eth1/13"/>
    <x v="0"/>
    <x v="0"/>
    <x v="0"/>
    <s v="LINK_TO_ITHFHWCRMPLCN88 / Slot1.2_8 / Principal"/>
    <x v="0"/>
    <b v="0"/>
    <s v="No está en VPC"/>
    <n v="845"/>
    <s v="INTPG_ACC_845_1.13"/>
    <s v="ISEL-1.13"/>
    <n v="2"/>
    <s v="NO TIENE L3OUT"/>
    <n v="258"/>
    <n v="54"/>
  </r>
  <r>
    <n v="873"/>
    <x v="2"/>
    <x v="87"/>
    <s v="eth1/13"/>
    <x v="0"/>
    <x v="0"/>
    <x v="0"/>
    <s v="TO_ITHFHWCRMDLCN57_Principal"/>
    <x v="0"/>
    <b v="0"/>
    <s v="No está en VPC"/>
    <n v="873"/>
    <s v="INTPG_ACC_873_1.13"/>
    <s v="ISEL-1.13"/>
    <n v="2"/>
    <s v="NO TIENE L3OUT"/>
    <n v="248"/>
    <n v="54"/>
  </r>
  <r>
    <n v="864"/>
    <x v="2"/>
    <x v="88"/>
    <s v="eth1/13"/>
    <x v="0"/>
    <x v="0"/>
    <x v="0"/>
    <s v="To_VPC_2DCBSD_HD35_1"/>
    <x v="0"/>
    <b v="0"/>
    <s v="No está en VPC"/>
    <n v="864"/>
    <s v="INTPG_VPC_859_1.13_864_1.13"/>
    <s v="ISEL-1.13"/>
    <n v="2"/>
    <s v="NO TIENE L3OUT"/>
    <n v="0"/>
    <n v="54"/>
  </r>
  <r>
    <n v="836"/>
    <x v="2"/>
    <x v="89"/>
    <s v="eth1/13"/>
    <x v="0"/>
    <x v="0"/>
    <x v="0"/>
    <s v="LINK_TO_ITHFHWCBSPSWR49 / Slot1.3_26 / Principal"/>
    <x v="0"/>
    <b v="0"/>
    <s v="No está en VPC"/>
    <n v="836"/>
    <s v="INTPG_VPC_836_1.13_841_1.13"/>
    <s v="ISEL-1.13"/>
    <n v="1"/>
    <s v="NO TIENE L3OUT"/>
    <n v="0"/>
    <n v="54"/>
  </r>
  <r>
    <n v="834"/>
    <x v="2"/>
    <x v="90"/>
    <s v="eth1/13"/>
    <x v="0"/>
    <x v="0"/>
    <x v="0"/>
    <s v="LINK_TO_ITHFHWCBSPSWR62 / Slot1.1_12 / Principal"/>
    <x v="0"/>
    <b v="0"/>
    <s v="No está en VPC"/>
    <n v="834"/>
    <s v="INTPG_VPC_834_1.13_839_1.13"/>
    <s v="ISEL-1.13"/>
    <n v="2"/>
    <s v="NO TIENE L3OUT"/>
    <n v="0"/>
    <n v="54"/>
  </r>
  <r>
    <n v="872"/>
    <x v="2"/>
    <x v="91"/>
    <s v="eth1/13"/>
    <x v="0"/>
    <x v="0"/>
    <x v="0"/>
    <s v="To_ITHFHWCRMDLCN73_Principal"/>
    <x v="0"/>
    <b v="0"/>
    <s v="No está en VPC"/>
    <n v="872"/>
    <s v="INTPG_ACC_872_1.13"/>
    <s v="ISEL-1.13"/>
    <n v="2"/>
    <s v="NO TIENE L3OUT"/>
    <n v="288"/>
    <n v="54"/>
  </r>
  <r>
    <n v="842"/>
    <x v="2"/>
    <x v="92"/>
    <s v="eth1/13"/>
    <x v="0"/>
    <x v="0"/>
    <x v="0"/>
    <s v="LINK_TO_ITHFHWCBSPSUSBD28 / Slot7.3_8 / Redundante"/>
    <x v="0"/>
    <b v="0"/>
    <s v="No está en VPC"/>
    <n v="842"/>
    <s v="INTPG_VPC_837_1.13_842_1.13"/>
    <s v="ISEL-1.13"/>
    <n v="1"/>
    <s v="NO TIENE L3OUT"/>
    <n v="8"/>
    <n v="54"/>
  </r>
  <r>
    <n v="828"/>
    <x v="2"/>
    <x v="93"/>
    <s v="eth1/13"/>
    <x v="0"/>
    <x v="0"/>
    <x v="0"/>
    <s v="LINK_TO_ITHHWD6KV60014DKC01 /CtrlB_IOM1.P0 /Principal"/>
    <x v="0"/>
    <b v="0"/>
    <s v="No está en VPC"/>
    <n v="828"/>
    <s v="INTPG_ACC_828_1.13"/>
    <s v="ISEL-1.13"/>
    <n v="1"/>
    <s v="NO TIENE L3OUT"/>
    <n v="192"/>
    <n v="54"/>
  </r>
  <r>
    <n v="870"/>
    <x v="2"/>
    <x v="94"/>
    <s v="eth1/13"/>
    <x v="0"/>
    <x v="0"/>
    <x v="0"/>
    <s v="TO_ITHFHWCRMDLCN57_Redundante"/>
    <x v="0"/>
    <b v="0"/>
    <s v="No está en VPC"/>
    <n v="870"/>
    <s v="INTPG_ACC_870_1.13"/>
    <s v="ISEL-1.13"/>
    <n v="2"/>
    <s v="NO TIENE L3OUT"/>
    <n v="248"/>
    <n v="54"/>
  </r>
  <r>
    <n v="866"/>
    <x v="2"/>
    <x v="95"/>
    <s v="eth1/13"/>
    <x v="0"/>
    <x v="0"/>
    <x v="0"/>
    <s v="To_VPC_2DCBSD_HD20_3"/>
    <x v="0"/>
    <b v="0"/>
    <s v="No está en VPC"/>
    <n v="866"/>
    <s v="INTPG_VPC_861_1.13_866_1.13"/>
    <s v="ISEL-1.13"/>
    <n v="1"/>
    <s v="NO TIENE L3OUT"/>
    <n v="8"/>
    <n v="54"/>
  </r>
  <r>
    <n v="862"/>
    <x v="2"/>
    <x v="96"/>
    <s v="eth1/13"/>
    <x v="0"/>
    <x v="0"/>
    <x v="0"/>
    <s v="TO-ITHFSUEXG2XCN03_PCI3.P1"/>
    <x v="0"/>
    <b v="0"/>
    <s v="No está en VPC"/>
    <n v="862"/>
    <s v="INTPG_ACC_862_1.13"/>
    <s v="ISEL-1.13"/>
    <n v="2"/>
    <s v="NO TIENE L3OUT"/>
    <n v="44"/>
    <n v="54"/>
  </r>
  <r>
    <n v="855"/>
    <x v="2"/>
    <x v="97"/>
    <s v="eth1/13"/>
    <x v="0"/>
    <x v="0"/>
    <x v="0"/>
    <s v="LINK_TO_ITHFHWCRMPLCN158 / Slot1.3_18 / Principal"/>
    <x v="0"/>
    <b v="0"/>
    <s v="No está en VPC"/>
    <n v="855"/>
    <s v="INTPG_ACC_855_1.13"/>
    <s v="ISEL-1.13"/>
    <n v="1"/>
    <s v="NO TIENE L3OUT"/>
    <n v="254"/>
    <n v="54"/>
  </r>
  <r>
    <n v="871"/>
    <x v="2"/>
    <x v="98"/>
    <s v="eth1/13"/>
    <x v="0"/>
    <x v="0"/>
    <x v="0"/>
    <s v="TO_ITHFHWCRMDLCN85_Principal"/>
    <x v="0"/>
    <b v="0"/>
    <s v="No está en VPC"/>
    <n v="871"/>
    <s v="INTPG_ACC_871_1.13"/>
    <s v="ISEL-1.13"/>
    <n v="6"/>
    <s v="NO TIENE L3OUT"/>
    <n v="246"/>
    <n v="54"/>
  </r>
  <r>
    <n v="841"/>
    <x v="2"/>
    <x v="99"/>
    <s v="eth1/13"/>
    <x v="0"/>
    <x v="0"/>
    <x v="0"/>
    <s v="LINK_TO_ITHFHWCBSPSWR49 / Slot7.3_26 / Redundante"/>
    <x v="0"/>
    <b v="0"/>
    <s v="No está en VPC"/>
    <n v="841"/>
    <s v="INTPG_VPC_836_1.13_841_1.13"/>
    <s v="ISEL-1.13"/>
    <n v="1"/>
    <s v="NO TIENE L3OUT"/>
    <n v="0"/>
    <n v="54"/>
  </r>
  <r>
    <n v="868"/>
    <x v="2"/>
    <x v="100"/>
    <s v="eth1/13"/>
    <x v="0"/>
    <x v="0"/>
    <x v="0"/>
    <s v="TO_ITHFHWCRMDLCN85_Redundante"/>
    <x v="0"/>
    <b v="0"/>
    <s v="No está en VPC"/>
    <n v="868"/>
    <s v="INTPG_ACC_868_1.13"/>
    <s v="ISEL-1.13"/>
    <n v="6"/>
    <s v="NO TIENE L3OUT"/>
    <n v="246"/>
    <n v="54"/>
  </r>
  <r>
    <n v="869"/>
    <x v="2"/>
    <x v="101"/>
    <s v="eth1/13"/>
    <x v="0"/>
    <x v="0"/>
    <x v="0"/>
    <s v="To_ITHFHWCRMDLCN73_Redundante"/>
    <x v="0"/>
    <b v="0"/>
    <s v="No está en VPC"/>
    <n v="869"/>
    <s v="INTPG_ACC_869_1.13"/>
    <s v="ISEL-1.13"/>
    <n v="2"/>
    <s v="NO TIENE L3OUT"/>
    <n v="288"/>
    <n v="54"/>
  </r>
  <r>
    <n v="861"/>
    <x v="2"/>
    <x v="102"/>
    <s v="eth1/13"/>
    <x v="0"/>
    <x v="0"/>
    <x v="0"/>
    <s v="To_VPC_2DCBSD_HD20_3"/>
    <x v="0"/>
    <b v="0"/>
    <s v="No está en VPC"/>
    <n v="861"/>
    <s v="INTPG_VPC_861_1.13_866_1.13"/>
    <s v="ISEL-1.13"/>
    <n v="1"/>
    <s v="NO TIENE L3OUT"/>
    <n v="8"/>
    <n v="54"/>
  </r>
  <r>
    <n v="874"/>
    <x v="2"/>
    <x v="103"/>
    <s v="eth1/13"/>
    <x v="0"/>
    <x v="0"/>
    <x v="0"/>
    <s v="LINK_TO_ITHFHWSEQLIMPS24 / Slot 5 PTO 1 / Redundante"/>
    <x v="4"/>
    <b v="0"/>
    <s v="No está en VPC"/>
    <n v="874"/>
    <s v="INTPG_ACC_874_1.13"/>
    <s v="ISEL-1.13"/>
    <n v="1"/>
    <s v="NO TIENE L3OUT"/>
    <n v="92"/>
    <n v="54"/>
  </r>
  <r>
    <n v="865"/>
    <x v="2"/>
    <x v="104"/>
    <s v="eth1/13"/>
    <x v="0"/>
    <x v="0"/>
    <x v="0"/>
    <s v="To_VPC_2DCBSD_HD27_1"/>
    <x v="0"/>
    <b v="0"/>
    <s v="No está en VPC"/>
    <n v="865"/>
    <s v="INTPG_VPC_860_1.13_865_1.13"/>
    <s v="ISEL-1.13"/>
    <n v="2"/>
    <s v="NO TIENE L3OUT"/>
    <n v="0"/>
    <n v="54"/>
  </r>
  <r>
    <n v="753"/>
    <x v="2"/>
    <x v="105"/>
    <s v="eth1/13"/>
    <x v="0"/>
    <x v="0"/>
    <x v="0"/>
    <s v="OSS F1:ithenmr03e2r9c:Bay1/X1"/>
    <x v="0"/>
    <b v="0"/>
    <s v="No está en VPC"/>
    <n v="753"/>
    <s v="INTPG_PC_753_1.13-14"/>
    <s v="ISEL-1.13"/>
    <n v="8"/>
    <s v="NO TIENE L3OUT"/>
    <n v="62"/>
    <n v="54"/>
  </r>
  <r>
    <n v="708"/>
    <x v="2"/>
    <x v="106"/>
    <s v="eth1/13"/>
    <x v="0"/>
    <x v="1"/>
    <x v="5"/>
    <s v="CEM:ITHCEMF2DAT07:LOM P1"/>
    <x v="0"/>
    <b v="0"/>
    <s v="No está en VPC"/>
    <n v="708"/>
    <s v="INTPG_VPC_708_1.13_709_1.14"/>
    <s v="ISEL-1.13"/>
    <n v="1"/>
    <s v="NO TIENE L3OUT"/>
    <n v="0"/>
    <n v="54"/>
  </r>
  <r>
    <n v="710"/>
    <x v="2"/>
    <x v="107"/>
    <s v="eth1/13"/>
    <x v="0"/>
    <x v="1"/>
    <x v="5"/>
    <s v="CEM:ITHCEMD2DAT07:LOM P1"/>
    <x v="0"/>
    <b v="0"/>
    <s v="No está en VPC"/>
    <n v="710"/>
    <s v="INTPG_VPC_710_1.13_711_1.14"/>
    <s v="ISEL-1.13"/>
    <n v="1"/>
    <s v="NO TIENE L3OUT"/>
    <n v="16"/>
    <n v="54"/>
  </r>
  <r>
    <n v="713"/>
    <x v="2"/>
    <x v="108"/>
    <s v="eth1/13"/>
    <x v="0"/>
    <x v="0"/>
    <x v="0"/>
    <s v="CEM:ITHCEMA2DAT07:LOM P1"/>
    <x v="0"/>
    <b v="0"/>
    <s v="No está en VPC"/>
    <n v="713"/>
    <s v="INTPG_ACC_713_1.13"/>
    <s v="ISEL-1.13"/>
    <n v="1"/>
    <s v="NO TIENE L3OUT"/>
    <n v="32"/>
    <n v="54"/>
  </r>
  <r>
    <n v="735"/>
    <x v="2"/>
    <x v="109"/>
    <s v="eth1/13"/>
    <x v="0"/>
    <x v="1"/>
    <x v="1"/>
    <s v="CEM:ITHCEMA1DAT07:LOM P3"/>
    <x v="5"/>
    <b v="0"/>
    <s v="No está en VPC"/>
    <n v="735"/>
    <s v="INTPG_ACC_735_1.13"/>
    <s v="ISEL-1.13"/>
    <n v="1"/>
    <s v="NO TIENE L3OUT"/>
    <n v="34"/>
    <n v="54"/>
  </r>
  <r>
    <n v="731"/>
    <x v="2"/>
    <x v="110"/>
    <s v="eth1/13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13"/>
    <x v="0"/>
    <x v="0"/>
    <x v="0"/>
    <m/>
    <x v="0"/>
    <b v="0"/>
    <s v="No está en VPC"/>
    <n v="703"/>
    <s v="INTPG_VPC_703_1.13_704_1.14"/>
    <s v="ISEL-1.13"/>
    <n v="2"/>
    <s v="NO TIENE L3OUT"/>
    <n v="2"/>
    <n v="54"/>
  </r>
  <r>
    <n v="706"/>
    <x v="2"/>
    <x v="112"/>
    <s v="eth1/13"/>
    <x v="0"/>
    <x v="0"/>
    <x v="0"/>
    <s v="CEM:ITHCEMA1DAT07:LOM  P1"/>
    <x v="0"/>
    <b v="0"/>
    <s v="No está en VPC"/>
    <n v="706"/>
    <s v="INTPG_ACC_706_1.13"/>
    <s v="ISEL-1.13"/>
    <n v="1"/>
    <s v="NO TIENE L3OUT"/>
    <n v="16"/>
    <n v="54"/>
  </r>
  <r>
    <n v="762"/>
    <x v="2"/>
    <x v="113"/>
    <s v="eth1/13"/>
    <x v="0"/>
    <x v="0"/>
    <x v="0"/>
    <s v="PAAS:ithhwoscopap013:FlexIO.1"/>
    <x v="0"/>
    <b v="0"/>
    <s v="No está en VPC"/>
    <n v="762"/>
    <s v="INTPG_VPC_762_1.13_763_1.13"/>
    <s v="ISEL-1.13"/>
    <n v="15"/>
    <s v="NO TIENE L3OUT"/>
    <n v="0"/>
    <n v="54"/>
  </r>
  <r>
    <n v="814"/>
    <x v="2"/>
    <x v="114"/>
    <s v="eth1/13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13"/>
    <x v="0"/>
    <x v="0"/>
    <x v="0"/>
    <s v="HACIA_CSI-A-OSCP-F4-13_SECUNDARIO"/>
    <x v="4"/>
    <b v="0"/>
    <s v="No está en VPC"/>
    <n v="878"/>
    <s v="INTPG_VPC_878_1.13_879_1.13"/>
    <s v="ISEL-1.13"/>
    <n v="2"/>
    <s v="NO TIENE L3OUT"/>
    <n v="0"/>
    <n v="54"/>
  </r>
  <r>
    <n v="826"/>
    <x v="2"/>
    <x v="116"/>
    <s v="eth1/13"/>
    <x v="0"/>
    <x v="0"/>
    <x v="0"/>
    <s v="LINK_TO_ITHFHWCBSDSHD14 /Slot5.2 /Principal"/>
    <x v="0"/>
    <b v="0"/>
    <s v="No está en VPC"/>
    <n v="826"/>
    <s v="INTPG_VPC_826_1.13_830_1.13"/>
    <s v="ISEL-1.13"/>
    <n v="2"/>
    <s v="NO TIENE L3OUT"/>
    <n v="12"/>
    <n v="54"/>
  </r>
  <r>
    <n v="726"/>
    <x v="2"/>
    <x v="117"/>
    <s v="eth1/13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13"/>
    <x v="0"/>
    <x v="1"/>
    <x v="1"/>
    <s v="CEM:ITHCEMC2DAT07:LOM P3"/>
    <x v="5"/>
    <b v="0"/>
    <s v="No está en VPC"/>
    <n v="740"/>
    <s v="INTPG_ACC_740_1.13"/>
    <s v="ISEL-1.13"/>
    <n v="1"/>
    <s v="NO TIENE L3OUT"/>
    <n v="72"/>
    <n v="54"/>
  </r>
  <r>
    <n v="705"/>
    <x v="2"/>
    <x v="119"/>
    <s v="eth1/13"/>
    <x v="0"/>
    <x v="0"/>
    <x v="0"/>
    <s v="CEM:ITHOIDB1SVR07:LOM  P2"/>
    <x v="0"/>
    <b v="0"/>
    <s v="No está en VPC"/>
    <n v="705"/>
    <s v="INTPG_VPC_705_1.13_706_1.14"/>
    <s v="ISEL-1.13"/>
    <n v="2"/>
    <s v="NO TIENE L3OUT"/>
    <n v="16"/>
    <n v="54"/>
  </r>
  <r>
    <n v="723"/>
    <x v="2"/>
    <x v="120"/>
    <s v="eth1/13"/>
    <x v="0"/>
    <x v="0"/>
    <x v="0"/>
    <m/>
    <x v="0"/>
    <b v="0"/>
    <s v="No está en VPC"/>
    <n v="723"/>
    <s v="INTPG-VPC_HDD114_723_1.13_722_1.14"/>
    <s v="ISEL-1.13"/>
    <n v="1"/>
    <s v="NO TIENE L3OUT"/>
    <n v="0"/>
    <n v="54"/>
  </r>
  <r>
    <n v="721"/>
    <x v="2"/>
    <x v="121"/>
    <s v="eth1/13"/>
    <x v="0"/>
    <x v="0"/>
    <x v="0"/>
    <s v="TO-ITHFHWVRALCN04"/>
    <x v="0"/>
    <b v="0"/>
    <s v="No está en VPC"/>
    <n v="721"/>
    <s v="INTPG_VPC_714_1.14_721_1.13"/>
    <s v="ISEL-1.13"/>
    <n v="108"/>
    <s v="NO TIENE L3OUT"/>
    <n v="20"/>
    <n v="54"/>
  </r>
  <r>
    <n v="788"/>
    <x v="2"/>
    <x v="122"/>
    <s v="eth1/13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13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13"/>
    <x v="0"/>
    <x v="0"/>
    <x v="0"/>
    <m/>
    <x v="0"/>
    <b v="0"/>
    <s v="No está en VPC"/>
    <n v="720"/>
    <s v="INTPG-VPC_PAP01_720_1.13_719_1.14"/>
    <s v="ISEL-1.13"/>
    <n v="1"/>
    <s v="NO TIENE L3OUT"/>
    <n v="0"/>
    <n v="54"/>
  </r>
  <r>
    <n v="709"/>
    <x v="2"/>
    <x v="125"/>
    <s v="eth1/13"/>
    <x v="0"/>
    <x v="1"/>
    <x v="5"/>
    <s v="CEM:ITHCEME2DAT07:LOM P1"/>
    <x v="0"/>
    <b v="0"/>
    <s v="No está en VPC"/>
    <n v="709"/>
    <s v="INTPG_VPC_708_1.14_709_1.13"/>
    <s v="ISEL-1.13"/>
    <n v="1"/>
    <s v="NO TIENE L3OUT"/>
    <n v="0"/>
    <n v="54"/>
  </r>
  <r>
    <n v="454"/>
    <x v="1"/>
    <x v="126"/>
    <s v="eth1/13"/>
    <x v="0"/>
    <x v="0"/>
    <x v="0"/>
    <s v="HACIA_CSI-A-OSCP-F4-01_PRINCIPAL"/>
    <x v="4"/>
    <b v="0"/>
    <s v="No está en VPC"/>
    <n v="454"/>
    <s v="INTPG_VPC_454_1.13_456_1.13"/>
    <s v="ISEL-1.13"/>
    <n v="2"/>
    <s v="NO TIENE L3OUT"/>
    <n v="4"/>
    <n v="54"/>
  </r>
  <r>
    <n v="734"/>
    <x v="2"/>
    <x v="127"/>
    <s v="eth1/13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13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13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13"/>
    <x v="0"/>
    <x v="0"/>
    <x v="0"/>
    <m/>
    <x v="0"/>
    <b v="0"/>
    <s v="No está en VPC"/>
    <n v="718"/>
    <s v="INTPG-VPC_HDD11_718_1.13_717_1.14"/>
    <s v="ISEL-1.13"/>
    <n v="1"/>
    <s v="NO TIENE L3OUT"/>
    <n v="0"/>
    <n v="54"/>
  </r>
  <r>
    <n v="744"/>
    <x v="2"/>
    <x v="131"/>
    <s v="eth1/13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13"/>
    <x v="0"/>
    <x v="1"/>
    <x v="1"/>
    <s v="CEM:ITHCEMB2DAT07:LOM P3"/>
    <x v="5"/>
    <b v="0"/>
    <s v="No está en VPC"/>
    <n v="741"/>
    <s v="INTPG_ACC_741_1.13"/>
    <s v="ISEL-1.13"/>
    <n v="1"/>
    <s v="NO TIENE L3OUT"/>
    <n v="62"/>
    <n v="54"/>
  </r>
  <r>
    <n v="787"/>
    <x v="2"/>
    <x v="133"/>
    <s v="eth1/13"/>
    <x v="0"/>
    <x v="0"/>
    <x v="0"/>
    <s v="ENIQ F2:itheniqr16bl04mws1r4a:LOM PORT 1"/>
    <x v="0"/>
    <b v="0"/>
    <s v="No está en VPC"/>
    <n v="787"/>
    <s v="INTPG_ACC_787_1.13"/>
    <s v="ISEL-1.13"/>
    <n v="1"/>
    <s v="NO TIENE L3OUT"/>
    <n v="26"/>
    <n v="54"/>
  </r>
  <r>
    <n v="750"/>
    <x v="2"/>
    <x v="134"/>
    <s v="eth1/13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13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13"/>
    <x v="0"/>
    <x v="0"/>
    <x v="0"/>
    <s v="CEM:ITHCEMG2DAT07:LOM  P2"/>
    <x v="0"/>
    <b v="0"/>
    <s v="No está en VPC"/>
    <n v="736"/>
    <s v="INTPG_ACC_736_1.13"/>
    <s v="ISEL-1.13"/>
    <n v="1"/>
    <s v="NO TIENE L3OUT"/>
    <n v="48"/>
    <n v="54"/>
  </r>
  <r>
    <n v="799"/>
    <x v="2"/>
    <x v="137"/>
    <s v="eth1/13"/>
    <x v="0"/>
    <x v="0"/>
    <x v="0"/>
    <s v="TO-HMS_02-MSP"/>
    <x v="0"/>
    <b v="0"/>
    <s v="No está en VPC"/>
    <n v="799"/>
    <s v="INTPG_ACC_799_1.13"/>
    <s v="ISEL-1.13"/>
    <n v="1"/>
    <s v="NO TIENE L3OUT"/>
    <n v="52"/>
    <n v="54"/>
  </r>
  <r>
    <n v="768"/>
    <x v="2"/>
    <x v="138"/>
    <s v="eth1/13"/>
    <x v="0"/>
    <x v="0"/>
    <x v="0"/>
    <s v="Portchannel_5_R3"/>
    <x v="0"/>
    <b v="0"/>
    <s v="No está en VPC"/>
    <n v="768"/>
    <s v="INTPG_PC_768_1.13-14"/>
    <s v="ISEL-1.13"/>
    <n v="8"/>
    <s v="NO TIENE L3OUT"/>
    <n v="62"/>
    <n v="54"/>
  </r>
  <r>
    <n v="714"/>
    <x v="2"/>
    <x v="139"/>
    <s v="eth1/13"/>
    <x v="0"/>
    <x v="0"/>
    <x v="0"/>
    <s v="ITHORNG1DAT07_LOM P1"/>
    <x v="0"/>
    <b v="0"/>
    <s v="No está en VPC"/>
    <n v="714"/>
    <s v="INTPG_ACC_714_1.13"/>
    <s v="ISEL-1.13"/>
    <n v="2"/>
    <s v="NO TIENE L3OUT"/>
    <n v="20"/>
    <n v="54"/>
  </r>
  <r>
    <n v="717"/>
    <x v="2"/>
    <x v="140"/>
    <s v="eth1/13"/>
    <x v="0"/>
    <x v="0"/>
    <x v="0"/>
    <m/>
    <x v="0"/>
    <b v="0"/>
    <s v="No está en VPC"/>
    <n v="717"/>
    <s v="INTPG-VPC_HDD21_717_1.13_718_1.14"/>
    <s v="ISEL-1.13"/>
    <n v="1"/>
    <s v="NO TIENE L3OUT"/>
    <n v="0"/>
    <n v="54"/>
  </r>
  <r>
    <n v="789"/>
    <x v="2"/>
    <x v="141"/>
    <s v="eth1/13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13"/>
    <x v="0"/>
    <x v="0"/>
    <x v="0"/>
    <s v="Portchannel_5_R1"/>
    <x v="0"/>
    <b v="0"/>
    <s v="No está en VPC"/>
    <n v="764"/>
    <s v="INTPG_PC_764_1.13-14"/>
    <s v="ISEL-1.13"/>
    <n v="8"/>
    <s v="NO TIENE L3OUT"/>
    <n v="62"/>
    <n v="54"/>
  </r>
  <r>
    <n v="783"/>
    <x v="2"/>
    <x v="143"/>
    <s v="eth1/13"/>
    <x v="0"/>
    <x v="0"/>
    <x v="0"/>
    <s v="itheniqr09bl04mws1r9a"/>
    <x v="0"/>
    <b v="0"/>
    <s v="No está en VPC"/>
    <n v="783"/>
    <s v="INTPG_ACC_783_1.13"/>
    <s v="ISEL-1.13"/>
    <n v="1"/>
    <s v="NO TIENE L3OUT"/>
    <n v="26"/>
    <n v="54"/>
  </r>
  <r>
    <n v="774"/>
    <x v="2"/>
    <x v="144"/>
    <s v="eth1/13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13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13"/>
    <x v="0"/>
    <x v="0"/>
    <x v="0"/>
    <s v="DESC"/>
    <x v="0"/>
    <b v="0"/>
    <s v="No está en VPC"/>
    <n v="794"/>
    <s v="INTPG_VPC_793_1.13_15_794_1.13_15"/>
    <s v="ISEL-1.13"/>
    <n v="1"/>
    <s v="NO TIENE L3OUT"/>
    <n v="12"/>
    <n v="54"/>
  </r>
  <r>
    <n v="803"/>
    <x v="2"/>
    <x v="147"/>
    <s v="eth1/13"/>
    <x v="0"/>
    <x v="0"/>
    <x v="0"/>
    <s v="TO-HDPS_39-MSP"/>
    <x v="0"/>
    <b v="0"/>
    <s v="No está en VPC"/>
    <n v="803"/>
    <s v="INTPG_ACC_803_1.13"/>
    <s v="ISEL-1.13"/>
    <n v="1"/>
    <s v="NO TIENE L3OUT"/>
    <n v="48"/>
    <n v="54"/>
  </r>
  <r>
    <n v="786"/>
    <x v="2"/>
    <x v="148"/>
    <s v="eth1/13"/>
    <x v="0"/>
    <x v="0"/>
    <x v="0"/>
    <s v="ENIQ F2:itheniqr14bl04mws1r4b:LOM PORT 1"/>
    <x v="0"/>
    <b v="0"/>
    <s v="No está en VPC"/>
    <n v="786"/>
    <s v="INTPG_ACC_786_1.13"/>
    <s v="ISEL-1.13"/>
    <n v="1"/>
    <s v="NO TIENE L3OUT"/>
    <n v="26"/>
    <n v="54"/>
  </r>
  <r>
    <n v="757"/>
    <x v="2"/>
    <x v="149"/>
    <s v="eth1/13"/>
    <x v="0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13"/>
    <x v="0"/>
    <x v="0"/>
    <x v="0"/>
    <s v="itheniqr07bl04mws1r9c"/>
    <x v="0"/>
    <b v="0"/>
    <s v="No está en VPC"/>
    <n v="781"/>
    <s v="INTPG_ACC_781_1.13"/>
    <s v="ISEL-1.13"/>
    <n v="1"/>
    <s v="NO TIENE L3OUT"/>
    <n v="26"/>
    <n v="54"/>
  </r>
  <r>
    <n v="793"/>
    <x v="2"/>
    <x v="151"/>
    <s v="eth1/13"/>
    <x v="0"/>
    <x v="0"/>
    <x v="0"/>
    <s v="DESC"/>
    <x v="0"/>
    <b v="0"/>
    <s v="No está en VPC"/>
    <n v="793"/>
    <s v="INTPG_VPC_793_1.13_15_794_1.13_15"/>
    <s v="ISEL-1.13"/>
    <n v="1"/>
    <s v="NO TIENE L3OUT"/>
    <n v="12"/>
    <n v="54"/>
  </r>
  <r>
    <n v="747"/>
    <x v="2"/>
    <x v="152"/>
    <s v="eth1/13"/>
    <x v="0"/>
    <x v="0"/>
    <x v="0"/>
    <s v="PAAS:ithhwoscopap013:LOM PORT 1"/>
    <x v="0"/>
    <b v="0"/>
    <s v="No está en VPC"/>
    <n v="747"/>
    <s v="INTPG_VPC_747_1.13_752_1.13"/>
    <s v="ISEL-1.13"/>
    <n v="25"/>
    <s v="NO TIENE L3OUT"/>
    <n v="0"/>
    <n v="54"/>
  </r>
  <r>
    <n v="784"/>
    <x v="2"/>
    <x v="153"/>
    <s v="eth1/13"/>
    <x v="0"/>
    <x v="0"/>
    <x v="0"/>
    <s v="ENIQ F2:itheniqr12bl04mws1r6b:LOM PORT 1"/>
    <x v="0"/>
    <b v="0"/>
    <s v="No está en VPC"/>
    <n v="784"/>
    <s v="INTPG_ACC_784_1.13"/>
    <s v="ISEL-1.13"/>
    <n v="1"/>
    <s v="NO TIENE L3OUT"/>
    <n v="26"/>
    <n v="54"/>
  </r>
  <r>
    <n v="806"/>
    <x v="2"/>
    <x v="154"/>
    <s v="eth1/13"/>
    <x v="0"/>
    <x v="0"/>
    <x v="0"/>
    <s v="TO-HDPS_63-MSP"/>
    <x v="0"/>
    <b v="0"/>
    <s v="No está en VPC"/>
    <n v="806"/>
    <s v="INTPG_ACC_806_1.13"/>
    <s v="ISEL-1.13"/>
    <n v="1"/>
    <s v="NO TIENE L3OUT"/>
    <n v="44"/>
    <n v="54"/>
  </r>
  <r>
    <n v="777"/>
    <x v="2"/>
    <x v="155"/>
    <s v="eth1/13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13"/>
    <x v="0"/>
    <x v="0"/>
    <x v="0"/>
    <s v="OSS_ENM"/>
    <x v="0"/>
    <b v="0"/>
    <s v="No está en VPC"/>
    <n v="770"/>
    <s v="INTPG_ACC_770_1.13"/>
    <s v="ISEL-1.13"/>
    <n v="1"/>
    <s v="NO TIENE L3OUT"/>
    <n v="60"/>
    <n v="54"/>
  </r>
  <r>
    <n v="813"/>
    <x v="2"/>
    <x v="157"/>
    <s v="eth1/13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13"/>
    <x v="0"/>
    <x v="0"/>
    <x v="0"/>
    <s v="CEM:ITHCEMD2DAT07:LOM P3"/>
    <x v="5"/>
    <b v="0"/>
    <s v="No está en VPC"/>
    <n v="739"/>
    <s v="INTPG_ACC_739_1.13"/>
    <s v="ISEL-1.13"/>
    <n v="1"/>
    <s v="NO TIENE L3OUT"/>
    <n v="72"/>
    <n v="54"/>
  </r>
  <r>
    <n v="775"/>
    <x v="2"/>
    <x v="159"/>
    <s v="eth1/13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13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13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13"/>
    <x v="0"/>
    <x v="0"/>
    <x v="0"/>
    <s v="LINK_TO_ITHFHWCBSDSHD14 /Slot7.2 /Redundante"/>
    <x v="0"/>
    <b v="0"/>
    <s v="No está en VPC"/>
    <n v="830"/>
    <s v="INTPG_VPC_826_1.13_830_1.13"/>
    <s v="ISEL-1.13"/>
    <n v="2"/>
    <s v="NO TIENE L3OUT"/>
    <n v="12"/>
    <n v="54"/>
  </r>
  <r>
    <n v="821"/>
    <x v="2"/>
    <x v="163"/>
    <s v="eth1/13"/>
    <x v="0"/>
    <x v="0"/>
    <x v="0"/>
    <s v="LINK_TO_ITHFHWCBSPSHD14 /Slot7.2 /Redundante"/>
    <x v="0"/>
    <b v="0"/>
    <s v="No está en VPC"/>
    <n v="821"/>
    <s v="INTPG_VPC_816_1.13_821_1.13"/>
    <s v="ISEL-1.13"/>
    <n v="2"/>
    <s v="NO TIENE L3OUT"/>
    <n v="0"/>
    <n v="54"/>
  </r>
  <r>
    <n v="738"/>
    <x v="2"/>
    <x v="164"/>
    <s v="eth1/13"/>
    <x v="0"/>
    <x v="0"/>
    <x v="0"/>
    <s v="CEM:ITHCEME2DAT07:LOM P3"/>
    <x v="5"/>
    <b v="0"/>
    <s v="No está en VPC"/>
    <n v="738"/>
    <s v="INTPG_ACC_738_1.13"/>
    <s v="ISEL-1.13"/>
    <n v="1"/>
    <s v="NO TIENE L3OUT"/>
    <n v="72"/>
    <n v="54"/>
  </r>
  <r>
    <n v="820"/>
    <x v="2"/>
    <x v="165"/>
    <s v="eth1/13"/>
    <x v="0"/>
    <x v="0"/>
    <x v="0"/>
    <s v="LINK_TO_ITHHWCRMPEN03 /E1-10GE 2 /Redundante"/>
    <x v="0"/>
    <b v="0"/>
    <s v="No está en VPC"/>
    <n v="820"/>
    <s v="INTPG_VPC_820_1.13_20_825_1.13_20"/>
    <s v="ISEL-1.13"/>
    <n v="9"/>
    <s v="NO TIENE L3OUT"/>
    <n v="72"/>
    <n v="54"/>
  </r>
  <r>
    <n v="804"/>
    <x v="2"/>
    <x v="166"/>
    <s v="eth1/13"/>
    <x v="0"/>
    <x v="0"/>
    <x v="0"/>
    <s v="TO-HDPS_39-MSP"/>
    <x v="0"/>
    <b v="0"/>
    <s v="No está en VPC"/>
    <n v="804"/>
    <s v="INTPG_ACC_804_1.13"/>
    <s v="ISEL-1.13"/>
    <n v="1"/>
    <s v="NO TIENE L3OUT"/>
    <n v="48"/>
    <n v="54"/>
  </r>
  <r>
    <n v="779"/>
    <x v="2"/>
    <x v="167"/>
    <s v="eth1/13"/>
    <x v="0"/>
    <x v="0"/>
    <x v="0"/>
    <s v="ENIQ F1:itheniqr08mwsr3:LOM PORT 1"/>
    <x v="0"/>
    <b v="0"/>
    <s v="No está en VPC"/>
    <n v="779"/>
    <s v="INTPG_ACC_779_1.13"/>
    <s v="ISEL-1.13"/>
    <n v="1"/>
    <s v="NO TIENE L3OUT"/>
    <n v="30"/>
    <n v="54"/>
  </r>
  <r>
    <n v="767"/>
    <x v="2"/>
    <x v="168"/>
    <s v="eth1/13"/>
    <x v="0"/>
    <x v="0"/>
    <x v="0"/>
    <s v="Portchannel_7_R3"/>
    <x v="0"/>
    <b v="0"/>
    <s v="No está en VPC"/>
    <n v="767"/>
    <s v="INTPG_PC_767_1.11-14"/>
    <s v="ISEL-1.13"/>
    <n v="1"/>
    <s v="NO TIENE L3OUT"/>
    <n v="60"/>
    <n v="54"/>
  </r>
  <r>
    <n v="827"/>
    <x v="2"/>
    <x v="169"/>
    <s v="eth1/13"/>
    <x v="0"/>
    <x v="0"/>
    <x v="0"/>
    <s v="LINK_TO_ITHFHWCBSDSUSBD09 /Slot4.2 /Principal"/>
    <x v="0"/>
    <b v="0"/>
    <s v="No está en VPC"/>
    <n v="827"/>
    <s v="INTPG_VPC_827_1.13_831_1.13"/>
    <s v="ISEL-1.13"/>
    <n v="1"/>
    <s v="NO TIENE L3OUT"/>
    <n v="14"/>
    <n v="54"/>
  </r>
  <r>
    <n v="809"/>
    <x v="2"/>
    <x v="170"/>
    <s v="eth1/13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13"/>
    <x v="0"/>
    <x v="0"/>
    <x v="0"/>
    <s v="Portchannel_7_R4A"/>
    <x v="0"/>
    <b v="0"/>
    <s v="No está en VPC"/>
    <n v="771"/>
    <s v="INTPG_PC_771_1.13-16"/>
    <s v="ISEL-1.13"/>
    <n v="1"/>
    <s v="NO TIENE L3OUT"/>
    <n v="62"/>
    <n v="54"/>
  </r>
  <r>
    <n v="761"/>
    <x v="2"/>
    <x v="172"/>
    <s v="eth1/13"/>
    <x v="0"/>
    <x v="1"/>
    <x v="1"/>
    <m/>
    <x v="0"/>
    <b v="0"/>
    <s v="No está en VPC"/>
    <n v="761"/>
    <s v="INTPG_VPC_760_1.13-16_761_1.13-16"/>
    <s v="ISEL-1.13"/>
    <n v="0"/>
    <s v="L3OUT-EXACLOUD"/>
    <n v="0"/>
    <n v="54"/>
  </r>
  <r>
    <n v="776"/>
    <x v="2"/>
    <x v="173"/>
    <s v="eth1/13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13"/>
    <x v="0"/>
    <x v="0"/>
    <x v="0"/>
    <s v="TO-HDPS_63-MSP"/>
    <x v="0"/>
    <b v="0"/>
    <s v="No está en VPC"/>
    <n v="805"/>
    <s v="INTPG_ACC_805_1.13"/>
    <s v="ISEL-1.13"/>
    <n v="1"/>
    <s v="NO TIENE L3OUT"/>
    <n v="44"/>
    <n v="54"/>
  </r>
  <r>
    <n v="772"/>
    <x v="2"/>
    <x v="175"/>
    <s v="eth1/13"/>
    <x v="0"/>
    <x v="0"/>
    <x v="0"/>
    <s v="Portchannel_5_R2"/>
    <x v="0"/>
    <b v="0"/>
    <s v="No está en VPC"/>
    <n v="772"/>
    <s v="INTPG_PC_772_1.13-14"/>
    <s v="ISEL-1.13"/>
    <n v="8"/>
    <s v="NO TIENE L3OUT"/>
    <n v="82"/>
    <n v="54"/>
  </r>
  <r>
    <n v="785"/>
    <x v="2"/>
    <x v="176"/>
    <s v="eth1/13"/>
    <x v="0"/>
    <x v="0"/>
    <x v="0"/>
    <s v="ENIQ F2:itheniqr13bl04mws1r6a:LOM PORT 1"/>
    <x v="0"/>
    <b v="0"/>
    <s v="No está en VPC"/>
    <n v="785"/>
    <s v="INTPG_ACC_785_1.13"/>
    <s v="ISEL-1.13"/>
    <n v="1"/>
    <s v="NO TIENE L3OUT"/>
    <n v="32"/>
    <n v="54"/>
  </r>
  <r>
    <n v="851"/>
    <x v="2"/>
    <x v="177"/>
    <s v="eth1/13"/>
    <x v="0"/>
    <x v="0"/>
    <x v="0"/>
    <s v="LINK_TO_ITHFHWCRMPLCN105 / Slot7.1_14 / Redundante"/>
    <x v="0"/>
    <b v="0"/>
    <s v="No está en VPC"/>
    <n v="851"/>
    <s v="INTPG_ACC_851_1.13"/>
    <s v="ISEL-1.13"/>
    <n v="6"/>
    <s v="NO TIENE L3OUT"/>
    <n v="282"/>
    <n v="54"/>
  </r>
  <r>
    <n v="798"/>
    <x v="2"/>
    <x v="178"/>
    <s v="eth1/13"/>
    <x v="0"/>
    <x v="0"/>
    <x v="0"/>
    <s v="TO-HMS_02-MSP"/>
    <x v="0"/>
    <b v="0"/>
    <s v="No está en VPC"/>
    <n v="798"/>
    <s v="INTPG_ACC_798_1.13"/>
    <s v="ISEL-1.13"/>
    <n v="1"/>
    <s v="NO TIENE L3OUT"/>
    <n v="52"/>
    <n v="54"/>
  </r>
  <r>
    <n v="782"/>
    <x v="2"/>
    <x v="179"/>
    <s v="eth1/13"/>
    <x v="0"/>
    <x v="0"/>
    <x v="0"/>
    <s v="itheniqr08bl04mws1r9b"/>
    <x v="0"/>
    <b v="0"/>
    <s v="No está en VPC"/>
    <n v="782"/>
    <s v="INTPG_ACC_782_1.13"/>
    <s v="ISEL-1.13"/>
    <n v="1"/>
    <s v="NO TIENE L3OUT"/>
    <n v="32"/>
    <n v="54"/>
  </r>
  <r>
    <n v="852"/>
    <x v="2"/>
    <x v="180"/>
    <s v="eth1/13"/>
    <x v="0"/>
    <x v="0"/>
    <x v="0"/>
    <s v="LINK_TO_ITHFHWCRMPLCN88 / Slot7.2_8 / Redundante"/>
    <x v="0"/>
    <b v="0"/>
    <s v="No está en VPC"/>
    <n v="852"/>
    <s v="INTPG_ACC_852_1.13"/>
    <s v="ISEL-1.13"/>
    <n v="2"/>
    <s v="NO TIENE L3OUT"/>
    <n v="258"/>
    <n v="54"/>
  </r>
  <r>
    <n v="817"/>
    <x v="2"/>
    <x v="181"/>
    <s v="eth1/13"/>
    <x v="0"/>
    <x v="0"/>
    <x v="0"/>
    <s v="LINK_TO_ITHFHWCBSPSUSBD10 /Slot5.2 /Principal"/>
    <x v="0"/>
    <b v="0"/>
    <s v="No está en VPC"/>
    <n v="817"/>
    <s v="INTPG_VPC_817_1.13_822_1.13"/>
    <s v="ISEL-1.13"/>
    <n v="2"/>
    <s v="NO TIENE L3OUT"/>
    <n v="0"/>
    <n v="54"/>
  </r>
  <r>
    <n v="832"/>
    <x v="2"/>
    <x v="182"/>
    <s v="eth1/13"/>
    <x v="0"/>
    <x v="0"/>
    <x v="0"/>
    <s v="LINK_TO_ITHHWD6KV60014DKC01 /CtrlB_IOM1.P1 /Redundante"/>
    <x v="0"/>
    <b v="0"/>
    <s v="No está en VPC"/>
    <n v="832"/>
    <s v="INTPG_ACC_832_1.13"/>
    <s v="ISEL-1.13"/>
    <n v="1"/>
    <s v="NO TIENE L3OUT"/>
    <n v="192"/>
    <n v="54"/>
  </r>
  <r>
    <n v="816"/>
    <x v="2"/>
    <x v="183"/>
    <s v="eth1/13"/>
    <x v="0"/>
    <x v="0"/>
    <x v="0"/>
    <s v="LINK_TO_ITHFHWCBSPSHD14 /Slot5.2 /Principal"/>
    <x v="0"/>
    <b v="0"/>
    <s v="No está en VPC"/>
    <n v="816"/>
    <s v="INTPG_VPC_816_1.13_821_1.13"/>
    <s v="ISEL-1.13"/>
    <n v="2"/>
    <s v="NO TIENE L3OUT"/>
    <n v="0"/>
    <n v="54"/>
  </r>
  <r>
    <n v="825"/>
    <x v="2"/>
    <x v="184"/>
    <s v="eth1/13"/>
    <x v="0"/>
    <x v="0"/>
    <x v="0"/>
    <s v="LINK_TO_ITHHWCRMPEN03 /E1-10GE 1 /Principal"/>
    <x v="0"/>
    <b v="0"/>
    <s v="No está en VPC"/>
    <n v="825"/>
    <s v="INTPG_VPC_820_1.13_20_825_1.13_20"/>
    <s v="ISEL-1.13"/>
    <n v="9"/>
    <s v="NO TIENE L3OUT"/>
    <n v="72"/>
    <n v="54"/>
  </r>
  <r>
    <n v="800"/>
    <x v="2"/>
    <x v="185"/>
    <s v="eth1/13"/>
    <x v="0"/>
    <x v="0"/>
    <x v="0"/>
    <s v="TO-CEPS_09-MSP"/>
    <x v="0"/>
    <b v="0"/>
    <s v="No está en VPC"/>
    <n v="800"/>
    <s v="INTPG_ACC_800_1.13"/>
    <s v="ISEL-1.13"/>
    <n v="1"/>
    <s v="NO TIENE L3OUT"/>
    <n v="78"/>
    <n v="54"/>
  </r>
  <r>
    <n v="801"/>
    <x v="2"/>
    <x v="186"/>
    <s v="eth1/13"/>
    <x v="0"/>
    <x v="0"/>
    <x v="0"/>
    <s v="TO-CEPS_09-MSP"/>
    <x v="0"/>
    <b v="0"/>
    <s v="No está en VPC"/>
    <n v="801"/>
    <s v="INTPG_ACC_801_1.13"/>
    <s v="ISEL-1.13"/>
    <n v="1"/>
    <s v="NO TIENE L3OUT"/>
    <n v="78"/>
    <n v="54"/>
  </r>
  <r>
    <n v="823"/>
    <x v="2"/>
    <x v="187"/>
    <s v="eth1/13"/>
    <x v="0"/>
    <x v="0"/>
    <x v="0"/>
    <s v="LINK_TO_ITHFHWCBSPSUSBD15 /Slot6.2 /Redundante"/>
    <x v="0"/>
    <b v="0"/>
    <s v="No está en VPC"/>
    <n v="823"/>
    <s v="INTPG_VPC_818_1.13_823_1.13"/>
    <s v="ISEL-1.13"/>
    <n v="1"/>
    <s v="NO TIENE L3OUT"/>
    <n v="8"/>
    <n v="54"/>
  </r>
  <r>
    <n v="837"/>
    <x v="2"/>
    <x v="188"/>
    <s v="eth1/13"/>
    <x v="0"/>
    <x v="0"/>
    <x v="0"/>
    <s v="LINK_TO_ITHFHWCBSPSUSBD28 / Slot1.3_8 / Principal"/>
    <x v="0"/>
    <b v="0"/>
    <s v="No está en VPC"/>
    <n v="837"/>
    <s v="INTPG_VPC_837_1.13_842_1.13"/>
    <s v="ISEL-1.13"/>
    <n v="1"/>
    <s v="NO TIENE L3OUT"/>
    <n v="8"/>
    <n v="54"/>
  </r>
  <r>
    <n v="867"/>
    <x v="2"/>
    <x v="189"/>
    <s v="eth1/13"/>
    <x v="0"/>
    <x v="0"/>
    <x v="0"/>
    <s v="TO-ITHFSUEXG2XCN03_PCI3.P2"/>
    <x v="0"/>
    <b v="0"/>
    <s v="No está en VPC"/>
    <n v="867"/>
    <s v="INTPG_ACC_867_1.13"/>
    <s v="ISEL-1.13"/>
    <n v="2"/>
    <s v="NO TIENE L3OUT"/>
    <n v="44"/>
    <n v="54"/>
  </r>
  <r>
    <n v="829"/>
    <x v="2"/>
    <x v="190"/>
    <s v="eth1/13"/>
    <x v="0"/>
    <x v="0"/>
    <x v="0"/>
    <s v="LINK_TO_ITHFHWCRMDLCN32 /Slot7.2 /Redundante"/>
    <x v="0"/>
    <b v="0"/>
    <s v="No está en VPC"/>
    <n v="829"/>
    <s v="INTPG_ACC_829_1.13"/>
    <s v="ISEL-1.13"/>
    <n v="5"/>
    <s v="NO TIENE L3OUT"/>
    <n v="224"/>
    <n v="54"/>
  </r>
  <r>
    <n v="831"/>
    <x v="2"/>
    <x v="191"/>
    <s v="eth1/13"/>
    <x v="0"/>
    <x v="0"/>
    <x v="0"/>
    <s v="LINK_TO_ITHFHWCBSDSUSBD09 /Slot6.2 /Redundante"/>
    <x v="0"/>
    <b v="0"/>
    <s v="No está en VPC"/>
    <n v="831"/>
    <s v="INTPG_VPC_827_1.13_831_1.13"/>
    <s v="ISEL-1.13"/>
    <n v="1"/>
    <s v="NO TIENE L3OUT"/>
    <n v="14"/>
    <n v="54"/>
  </r>
  <r>
    <n v="802"/>
    <x v="2"/>
    <x v="192"/>
    <s v="eth1/13"/>
    <x v="0"/>
    <x v="0"/>
    <x v="0"/>
    <s v="TO-HDPS_15-MSP"/>
    <x v="0"/>
    <b v="0"/>
    <s v="No está en VPC"/>
    <n v="802"/>
    <s v="INTPG_ACC_802_1.13"/>
    <s v="ISEL-1.13"/>
    <n v="1"/>
    <s v="NO TIENE L3OUT"/>
    <n v="48"/>
    <n v="54"/>
  </r>
  <r>
    <n v="835"/>
    <x v="2"/>
    <x v="193"/>
    <s v="eth1/13"/>
    <x v="0"/>
    <x v="0"/>
    <x v="0"/>
    <s v="LINK_TO_ITHFHWCBSPSWR58 / Slot1.1_28 / Principal"/>
    <x v="0"/>
    <b v="0"/>
    <s v="No está en VPC"/>
    <n v="835"/>
    <s v="INTPG_VPC_835_1.13_840_1.13"/>
    <s v="ISEL-1.13"/>
    <n v="2"/>
    <s v="NO TIENE L3OUT"/>
    <n v="8"/>
    <n v="54"/>
  </r>
  <r>
    <n v="822"/>
    <x v="2"/>
    <x v="194"/>
    <s v="eth1/13"/>
    <x v="0"/>
    <x v="0"/>
    <x v="0"/>
    <s v="LINK_TO_ITHFHWCBSPSUSBD10 /Slot7.2 /Redundante"/>
    <x v="0"/>
    <b v="0"/>
    <s v="No está en VPC"/>
    <n v="822"/>
    <s v="INTPG_VPC_817_1.13_822_1.13"/>
    <s v="ISEL-1.13"/>
    <n v="2"/>
    <s v="NO TIENE L3OUT"/>
    <n v="0"/>
    <n v="54"/>
  </r>
  <r>
    <n v="854"/>
    <x v="2"/>
    <x v="195"/>
    <s v="eth1/13"/>
    <x v="0"/>
    <x v="0"/>
    <x v="0"/>
    <s v="LINK_TO_ITHFHWCRMPLCN169 / Slot1.3_8 / Principal"/>
    <x v="0"/>
    <b v="0"/>
    <s v="No está en VPC"/>
    <n v="854"/>
    <s v="INTPG_ACC_854_1.13"/>
    <s v="ISEL-1.13"/>
    <n v="1"/>
    <s v="NO TIENE L3OUT"/>
    <n v="204"/>
    <n v="54"/>
  </r>
  <r>
    <n v="858"/>
    <x v="2"/>
    <x v="196"/>
    <s v="eth1/13"/>
    <x v="0"/>
    <x v="0"/>
    <x v="0"/>
    <s v="To_VPC_2DCBSD_HD41_1"/>
    <x v="0"/>
    <b v="0"/>
    <s v="No está en VPC"/>
    <n v="858"/>
    <s v="INTPG_VPC_858_1.13_863_1.13"/>
    <s v="ISEL-1.13"/>
    <n v="2"/>
    <s v="NO TIENE L3OUT"/>
    <n v="8"/>
    <n v="54"/>
  </r>
  <r>
    <n v="857"/>
    <x v="2"/>
    <x v="197"/>
    <s v="eth1/13"/>
    <x v="0"/>
    <x v="0"/>
    <x v="0"/>
    <s v="LINKT_TO_ITHFHWCRMPLCN119 / Slot1.3_8 / Principal"/>
    <x v="0"/>
    <b v="0"/>
    <s v="No está en VPC"/>
    <n v="857"/>
    <s v="INTPG_ACC_857_1.13"/>
    <s v="ISEL-1.13"/>
    <n v="1"/>
    <s v="NO TIENE L3OUT"/>
    <n v="288"/>
    <n v="54"/>
  </r>
  <r>
    <n v="859"/>
    <x v="2"/>
    <x v="198"/>
    <s v="eth1/13"/>
    <x v="0"/>
    <x v="0"/>
    <x v="0"/>
    <s v="To_VPC_2DCBSD_HD35_1"/>
    <x v="0"/>
    <b v="0"/>
    <s v="No está en VPC"/>
    <n v="859"/>
    <s v="INTPG_VPC_859_1.13_864_1.13"/>
    <s v="ISEL-1.13"/>
    <n v="2"/>
    <s v="NO TIENE L3OUT"/>
    <n v="0"/>
    <n v="54"/>
  </r>
  <r>
    <n v="833"/>
    <x v="2"/>
    <x v="199"/>
    <s v="eth1/13"/>
    <x v="0"/>
    <x v="0"/>
    <x v="0"/>
    <s v="LINK_TO_ITHFHWCRMDLCN32 /Slot5.2 /Principal"/>
    <x v="0"/>
    <b v="0"/>
    <s v="No está en VPC"/>
    <n v="833"/>
    <s v="INTPG_ACC_833_1.13"/>
    <s v="ISEL-1.13"/>
    <n v="5"/>
    <s v="NO TIENE L3OUT"/>
    <n v="224"/>
    <n v="54"/>
  </r>
  <r>
    <n v="818"/>
    <x v="2"/>
    <x v="200"/>
    <s v="eth1/13"/>
    <x v="0"/>
    <x v="0"/>
    <x v="0"/>
    <s v="LINK_TO_ITHFHWCBSPSUSBD15 /Slot4.2 /Principal"/>
    <x v="0"/>
    <b v="0"/>
    <s v="No está en VPC"/>
    <n v="818"/>
    <s v="INTPG_VPC_818_1.13_823_1.13"/>
    <s v="ISEL-1.13"/>
    <n v="1"/>
    <s v="NO TIENE L3OUT"/>
    <n v="8"/>
    <n v="54"/>
  </r>
  <r>
    <n v="850"/>
    <x v="2"/>
    <x v="201"/>
    <s v="eth1/13"/>
    <x v="0"/>
    <x v="0"/>
    <x v="0"/>
    <s v="LINKT_TO_ITHFHWCRMPLCN119 / Slot7.3_8 / Redundante"/>
    <x v="0"/>
    <b v="0"/>
    <s v="No está en VPC"/>
    <n v="850"/>
    <s v="INTPG_ACC_850_1.13"/>
    <s v="ISEL-1.13"/>
    <n v="1"/>
    <s v="NO TIENE L3OUT"/>
    <n v="288"/>
    <n v="54"/>
  </r>
  <r>
    <n v="860"/>
    <x v="2"/>
    <x v="202"/>
    <s v="eth1/13"/>
    <x v="0"/>
    <x v="0"/>
    <x v="0"/>
    <s v="To_VPC_2DCBSD_HD27_1"/>
    <x v="0"/>
    <b v="0"/>
    <s v="No está en VPC"/>
    <n v="860"/>
    <s v="INTPG_VPC_860_1.13_865_1.13"/>
    <s v="ISEL-1.13"/>
    <n v="2"/>
    <s v="NO TIENE L3OUT"/>
    <n v="0"/>
    <n v="54"/>
  </r>
  <r>
    <n v="853"/>
    <x v="2"/>
    <x v="203"/>
    <s v="eth1/13"/>
    <x v="0"/>
    <x v="0"/>
    <x v="0"/>
    <s v="LINK_TO_ITHFHWCRMPLCN76 / Slot7.1_10 / Redundante"/>
    <x v="0"/>
    <b v="0"/>
    <s v="No está en VPC"/>
    <n v="853"/>
    <s v="INTPG_ACC_853_1.13"/>
    <s v="ISEL-1.13"/>
    <n v="6"/>
    <s v="NO TIENE L3OUT"/>
    <n v="242"/>
    <n v="54"/>
  </r>
  <r>
    <n v="790"/>
    <x v="2"/>
    <x v="204"/>
    <s v="eth1/13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13"/>
    <x v="0"/>
    <x v="0"/>
    <x v="0"/>
    <s v="NETEZZA"/>
    <x v="6"/>
    <b v="0"/>
    <s v="No está en VPC"/>
    <n v="105"/>
    <s v="INTPG_ACC_105_1.13"/>
    <s v="ISEL-1.13"/>
    <n v="1"/>
    <s v="NO TIENE L3OUT"/>
    <n v="106"/>
    <n v="96"/>
  </r>
  <r>
    <n v="117"/>
    <x v="0"/>
    <x v="206"/>
    <s v="eth1/13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13"/>
    <x v="0"/>
    <x v="1"/>
    <x v="1"/>
    <s v="SFLDI"/>
    <x v="6"/>
    <b v="0"/>
    <s v="No está en VPC"/>
    <n v="104"/>
    <s v="INTPG_ACC_104_1.13"/>
    <s v="ISEL-1.13"/>
    <n v="1"/>
    <s v="NO TIENE L3OUT"/>
    <n v="194"/>
    <n v="96"/>
  </r>
  <r>
    <n v="158"/>
    <x v="0"/>
    <x v="208"/>
    <s v="eth1/13"/>
    <x v="0"/>
    <x v="0"/>
    <x v="0"/>
    <s v="CIRCULO AZUL"/>
    <x v="6"/>
    <b v="0"/>
    <s v="No está en VPC"/>
    <n v="158"/>
    <s v="INTPG_ACC_158_1.13"/>
    <s v="ISEL-1.13"/>
    <n v="1"/>
    <s v="NO TIENE L3OUT"/>
    <n v="30"/>
    <n v="96"/>
  </r>
  <r>
    <n v="875"/>
    <x v="2"/>
    <x v="209"/>
    <s v="eth1/13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13"/>
    <x v="0"/>
    <x v="0"/>
    <x v="0"/>
    <s v="HACIA_CSI-A-OSCP-F4-13_SECUNDARIO"/>
    <x v="4"/>
    <b v="0"/>
    <s v="No está en VPC"/>
    <n v="879"/>
    <s v="INTPG_VPC_878_1.13_879_1.13"/>
    <s v="ISEL-1.13"/>
    <n v="2"/>
    <s v="NO TIENE L3OUT"/>
    <n v="0"/>
    <n v="54"/>
  </r>
  <r>
    <n v="108"/>
    <x v="0"/>
    <x v="211"/>
    <s v="eth1/13"/>
    <x v="0"/>
    <x v="0"/>
    <x v="0"/>
    <s v="IXT01PP, IXT02PP, IXT05PP"/>
    <x v="6"/>
    <b v="0"/>
    <s v="No está en VPC"/>
    <n v="108"/>
    <s v="INTPG_ACC_108_1.13"/>
    <s v="ISEL-1.13"/>
    <n v="1"/>
    <s v="NO TIENE L3OUT"/>
    <n v="126"/>
    <n v="96"/>
  </r>
  <r>
    <n v="112"/>
    <x v="0"/>
    <x v="212"/>
    <s v="eth1/13"/>
    <x v="0"/>
    <x v="0"/>
    <x v="0"/>
    <s v="MUDANZA SERV NEZA"/>
    <x v="6"/>
    <b v="0"/>
    <s v="No está en VPC"/>
    <n v="112"/>
    <s v="INTPG_ACC_112_1.13"/>
    <s v="ISEL-1.13"/>
    <n v="1"/>
    <s v="NO TIENE L3OUT"/>
    <n v="144"/>
    <n v="96"/>
  </r>
  <r>
    <n v="107"/>
    <x v="0"/>
    <x v="213"/>
    <s v="eth1/13"/>
    <x v="0"/>
    <x v="0"/>
    <x v="0"/>
    <s v="PLATAFORMA NUMERACION "/>
    <x v="6"/>
    <b v="0"/>
    <s v="No está en VPC"/>
    <n v="107"/>
    <s v="INTPG_ACC_107_1.13"/>
    <s v="ISEL-1.13"/>
    <n v="1"/>
    <s v="NO TIENE L3OUT"/>
    <n v="118"/>
    <n v="96"/>
  </r>
  <r>
    <n v="109"/>
    <x v="0"/>
    <x v="214"/>
    <s v="eth1/13"/>
    <x v="0"/>
    <x v="0"/>
    <x v="0"/>
    <s v="TELLABS"/>
    <x v="6"/>
    <b v="0"/>
    <s v="No está en VPC"/>
    <n v="109"/>
    <s v="INTPG_ACC_109_1.13"/>
    <s v="ISEL-1.13"/>
    <n v="1"/>
    <s v="NO TIENE L3OUT"/>
    <n v="126"/>
    <n v="96"/>
  </r>
  <r>
    <n v="113"/>
    <x v="0"/>
    <x v="215"/>
    <s v="eth1/13"/>
    <x v="0"/>
    <x v="0"/>
    <x v="0"/>
    <s v="VYCAN"/>
    <x v="6"/>
    <b v="0"/>
    <s v="No está en VPC"/>
    <n v="113"/>
    <s v="INTPG_ACC_113_1.13"/>
    <s v="ISEL-1.13"/>
    <n v="1"/>
    <s v="NO TIENE L3OUT"/>
    <n v="52"/>
    <n v="96"/>
  </r>
  <r>
    <n v="114"/>
    <x v="0"/>
    <x v="216"/>
    <s v="eth1/13"/>
    <x v="1"/>
    <x v="1"/>
    <x v="2"/>
    <s v="APROVISIONAMIENTO DE SERVICIOS"/>
    <x v="6"/>
    <b v="0"/>
    <s v="No está en VPC"/>
    <n v="114"/>
    <s v="INTPG_ACC_114_1.13"/>
    <s v="ISEL-1.13"/>
    <n v="0"/>
    <s v="NO TIENE L3OUT"/>
    <n v="144"/>
    <n v="96"/>
  </r>
  <r>
    <n v="124"/>
    <x v="0"/>
    <x v="217"/>
    <s v="eth1/13"/>
    <x v="0"/>
    <x v="0"/>
    <x v="0"/>
    <s v="OSSDD890 Rack1"/>
    <x v="6"/>
    <b v="0"/>
    <s v="No está en VPC"/>
    <n v="124"/>
    <s v="INTPG_ACC_124_1.13"/>
    <s v="ISEL-1.13"/>
    <n v="1"/>
    <s v="NO TIENE L3OUT"/>
    <n v="80"/>
    <n v="96"/>
  </r>
  <r>
    <n v="118"/>
    <x v="0"/>
    <x v="218"/>
    <s v="eth1/13"/>
    <x v="1"/>
    <x v="1"/>
    <x v="2"/>
    <s v="COBROS NAVEGACION"/>
    <x v="6"/>
    <b v="0"/>
    <s v="No está en VPC"/>
    <n v="118"/>
    <s v="INTPG_ACC_118_1.13"/>
    <s v="ISEL-1.13"/>
    <n v="1"/>
    <s v="NO TIENE L3OUT"/>
    <n v="180"/>
    <n v="96"/>
  </r>
  <r>
    <n v="159"/>
    <x v="0"/>
    <x v="219"/>
    <s v="eth1/13"/>
    <x v="0"/>
    <x v="0"/>
    <x v="0"/>
    <m/>
    <x v="6"/>
    <b v="0"/>
    <s v="No está en VPC"/>
    <n v="159"/>
    <s v="INTPG_ACC_159_1.13"/>
    <s v="ISEL-1.13"/>
    <n v="1"/>
    <s v="NO TIENE L3OUT"/>
    <n v="72"/>
    <n v="96"/>
  </r>
  <r>
    <n v="840"/>
    <x v="2"/>
    <x v="220"/>
    <s v="eth1/13"/>
    <x v="0"/>
    <x v="0"/>
    <x v="0"/>
    <s v="LINK_TO_ITHFHWCBSPSWR58 / Slot7.1_28 / Redundante"/>
    <x v="0"/>
    <b v="0"/>
    <s v="No está en VPC"/>
    <n v="840"/>
    <s v="INTPG_VPC_835_1.13_840_1.13"/>
    <s v="ISEL-1.13"/>
    <n v="2"/>
    <s v="NO TIENE L3OUT"/>
    <n v="8"/>
    <n v="54"/>
  </r>
  <r>
    <n v="856"/>
    <x v="2"/>
    <x v="221"/>
    <s v="eth1/13"/>
    <x v="0"/>
    <x v="0"/>
    <x v="0"/>
    <s v="LINK_TO_ITHFHWCRMPLCN138 / Slot1.3_10 / Principal"/>
    <x v="0"/>
    <b v="0"/>
    <s v="No está en VPC"/>
    <n v="856"/>
    <s v="INTPG_ACC_856_1.13"/>
    <s v="ISEL-1.13"/>
    <n v="1"/>
    <s v="NO TIENE L3OUT"/>
    <n v="286"/>
    <n v="54"/>
  </r>
  <r>
    <n v="110"/>
    <x v="0"/>
    <x v="222"/>
    <s v="eth1/13"/>
    <x v="1"/>
    <x v="1"/>
    <x v="2"/>
    <m/>
    <x v="6"/>
    <b v="0"/>
    <s v="No está en VPC"/>
    <n v="110"/>
    <s v="INTPG_ACC_110_1.13"/>
    <s v="ISEL-1.13"/>
    <n v="0"/>
    <s v="NO TIENE L3OUT"/>
    <n v="102"/>
    <n v="96"/>
  </r>
  <r>
    <n v="163"/>
    <x v="0"/>
    <x v="223"/>
    <s v="eth1/13"/>
    <x v="1"/>
    <x v="1"/>
    <x v="2"/>
    <s v="IBM SICOD"/>
    <x v="6"/>
    <b v="0"/>
    <s v="No está en VPC"/>
    <n v="163"/>
    <s v="INTPG_ACC_163_1.13"/>
    <s v="ISEL-1.13"/>
    <n v="0"/>
    <s v="NO TIENE L3OUT"/>
    <n v="140"/>
    <n v="96"/>
  </r>
  <r>
    <n v="407"/>
    <x v="1"/>
    <x v="224"/>
    <s v="eth1/13"/>
    <x v="0"/>
    <x v="0"/>
    <x v="0"/>
    <s v="ITHHPGRLKEN11_FLM1 MGMT"/>
    <x v="6"/>
    <b v="0"/>
    <s v="No está en VPC"/>
    <n v="407"/>
    <s v="INTPG_ACC_407_1.13"/>
    <s v="ISEL-1.13"/>
    <n v="1"/>
    <s v="NO TIENE L3OUT"/>
    <n v="122"/>
    <n v="96"/>
  </r>
  <r>
    <n v="171"/>
    <x v="0"/>
    <x v="225"/>
    <s v="eth1/13"/>
    <x v="0"/>
    <x v="0"/>
    <x v="0"/>
    <m/>
    <x v="6"/>
    <b v="0"/>
    <s v="No está en VPC"/>
    <n v="171"/>
    <s v="INTPG_ACC_171_1.13"/>
    <s v="ISEL-1.13"/>
    <n v="1"/>
    <s v="NO TIENE L3OUT"/>
    <n v="114"/>
    <n v="96"/>
  </r>
  <r>
    <n v="421"/>
    <x v="1"/>
    <x v="226"/>
    <s v="eth1/13"/>
    <x v="0"/>
    <x v="1"/>
    <x v="4"/>
    <s v="VMS_HW_CONTROL"/>
    <x v="6"/>
    <b v="0"/>
    <s v="No está en VPC"/>
    <n v="421"/>
    <s v="INTPG_VPC_419_1.13_421_1.13"/>
    <s v="ISEL-1.13"/>
    <n v="1"/>
    <s v="NO TIENE L3OUT"/>
    <n v="72"/>
    <n v="96"/>
  </r>
  <r>
    <n v="173"/>
    <x v="0"/>
    <x v="227"/>
    <s v="eth1/13"/>
    <x v="0"/>
    <x v="1"/>
    <x v="1"/>
    <s v="ENIQ"/>
    <x v="6"/>
    <b v="0"/>
    <s v="No está en VPC"/>
    <n v="173"/>
    <s v="INTPG_ACC_173_1.13"/>
    <s v="ISEL-1.13"/>
    <n v="1"/>
    <s v="NO TIENE L3OUT"/>
    <n v="66"/>
    <n v="96"/>
  </r>
  <r>
    <n v="154"/>
    <x v="0"/>
    <x v="228"/>
    <s v="eth1/13"/>
    <x v="0"/>
    <x v="0"/>
    <x v="0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13"/>
    <x v="0"/>
    <x v="0"/>
    <x v="0"/>
    <s v="OSS3GMX_CLIENT1"/>
    <x v="6"/>
    <b v="0"/>
    <s v="No está en VPC"/>
    <n v="172"/>
    <s v="INTPG_VPC_171_1.4_11_172_1.4_13"/>
    <s v="ISEL-1.13"/>
    <n v="10"/>
    <s v="NO TIENE L3OUT"/>
    <n v="104"/>
    <n v="96"/>
  </r>
  <r>
    <n v="420"/>
    <x v="1"/>
    <x v="230"/>
    <s v="eth1/13"/>
    <x v="0"/>
    <x v="1"/>
    <x v="1"/>
    <s v="PORTABILIDAD_uxgsm10_Eth1"/>
    <x v="6"/>
    <b v="0"/>
    <s v="No está en VPC"/>
    <n v="420"/>
    <s v="INTPG_ACC_420_1.13"/>
    <s v="ISEL-1.13"/>
    <n v="1"/>
    <s v="NO TIENE L3OUT"/>
    <n v="158"/>
    <n v="96"/>
  </r>
  <r>
    <n v="423"/>
    <x v="1"/>
    <x v="231"/>
    <s v="eth1/13"/>
    <x v="0"/>
    <x v="0"/>
    <x v="0"/>
    <s v="ITHPA04_eth0_IPMP-Activa"/>
    <x v="6"/>
    <b v="0"/>
    <s v="No está en VPC"/>
    <n v="423"/>
    <s v="INTPG_ACC_423_1.13"/>
    <s v="ISEL-1.13"/>
    <n v="1"/>
    <s v="NO TIENE L3OUT"/>
    <n v="86"/>
    <n v="96"/>
  </r>
  <r>
    <n v="415"/>
    <x v="1"/>
    <x v="232"/>
    <s v="eth1/13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13"/>
    <x v="0"/>
    <x v="1"/>
    <x v="1"/>
    <s v="SFLDI"/>
    <x v="6"/>
    <b v="0"/>
    <s v="No está en VPC"/>
    <n v="102"/>
    <s v="INTPG_ACC_102_1.13"/>
    <s v="ISEL-1.13"/>
    <n v="1"/>
    <s v="NO TIENE L3OUT"/>
    <n v="228"/>
    <n v="96"/>
  </r>
  <r>
    <n v="863"/>
    <x v="2"/>
    <x v="234"/>
    <s v="eth1/13"/>
    <x v="0"/>
    <x v="0"/>
    <x v="0"/>
    <s v="To_VPC_2DCBSD_HD41_1"/>
    <x v="0"/>
    <b v="0"/>
    <s v="No está en VPC"/>
    <n v="863"/>
    <s v="INTPG_VPC_858_1.13_863_1.13"/>
    <s v="ISEL-1.13"/>
    <n v="2"/>
    <s v="NO TIENE L3OUT"/>
    <n v="8"/>
    <n v="54"/>
  </r>
  <r>
    <n v="876"/>
    <x v="2"/>
    <x v="235"/>
    <s v="eth1/13"/>
    <x v="0"/>
    <x v="0"/>
    <x v="0"/>
    <s v="LINK_TO_ITHFHWSEQLIMPS24 / Slot 4 PTO 1 / Principal"/>
    <x v="4"/>
    <b v="0"/>
    <s v="No está en VPC"/>
    <n v="876"/>
    <s v="INTPG_ACC_876_1.13"/>
    <s v="ISEL-1.13"/>
    <n v="1"/>
    <s v="NO TIENE L3OUT"/>
    <n v="92"/>
    <n v="54"/>
  </r>
  <r>
    <n v="877"/>
    <x v="2"/>
    <x v="236"/>
    <s v="eth1/13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13"/>
    <x v="0"/>
    <x v="0"/>
    <x v="0"/>
    <s v="DESC"/>
    <x v="6"/>
    <b v="0"/>
    <s v="No está en VPC"/>
    <n v="122"/>
    <s v="INTPG_PC_122_1.10-14"/>
    <s v="ISEL-1.13"/>
    <n v="1"/>
    <s v="NO TIENE L3OUT"/>
    <n v="148"/>
    <n v="96"/>
  </r>
  <r>
    <n v="157"/>
    <x v="0"/>
    <x v="238"/>
    <s v="eth1/13"/>
    <x v="0"/>
    <x v="0"/>
    <x v="0"/>
    <s v="COBROS NAVEGACION"/>
    <x v="6"/>
    <b v="0"/>
    <s v="No está en VPC"/>
    <n v="157"/>
    <s v="INTPG_ACC_157_1.13"/>
    <s v="ISEL-1.13"/>
    <n v="1"/>
    <s v="NO TIENE L3OUT"/>
    <n v="202"/>
    <n v="96"/>
  </r>
  <r>
    <n v="408"/>
    <x v="1"/>
    <x v="239"/>
    <s v="eth1/13"/>
    <x v="0"/>
    <x v="0"/>
    <x v="0"/>
    <s v="RESPAL_CS5_ASAP8"/>
    <x v="6"/>
    <b v="0"/>
    <s v="No está en VPC"/>
    <n v="408"/>
    <s v="INTPG_ACC_408_1.13"/>
    <s v="ISEL-1.13"/>
    <n v="1"/>
    <s v="NO TIENE L3OUT"/>
    <n v="152"/>
    <n v="96"/>
  </r>
  <r>
    <n v="405"/>
    <x v="1"/>
    <x v="240"/>
    <s v="eth1/13"/>
    <x v="0"/>
    <x v="0"/>
    <x v="0"/>
    <s v="XL5 RLR5ARI03 iLO"/>
    <x v="6"/>
    <b v="0"/>
    <s v="No está en VPC"/>
    <n v="405"/>
    <s v="INTPG_ACC_405_1.13"/>
    <s v="ISEL-1.13"/>
    <n v="1"/>
    <s v="NO TIENE L3OUT"/>
    <n v="138"/>
    <n v="96"/>
  </r>
  <r>
    <n v="169"/>
    <x v="0"/>
    <x v="241"/>
    <s v="eth1/13"/>
    <x v="0"/>
    <x v="0"/>
    <x v="0"/>
    <s v="LINKDOWN_HACIA_UCS_9UCS-GEO-IXTLA-SERV2"/>
    <x v="6"/>
    <b v="0"/>
    <s v="No está en VPC"/>
    <n v="169"/>
    <s v="INTPG_ACC_169_1.13"/>
    <s v="ISEL-1.13"/>
    <n v="1"/>
    <s v="NO TIENE L3OUT"/>
    <n v="76"/>
    <n v="96"/>
  </r>
  <r>
    <n v="165"/>
    <x v="0"/>
    <x v="242"/>
    <s v="eth1/13"/>
    <x v="0"/>
    <x v="0"/>
    <x v="0"/>
    <s v="Desarrollo Datamart"/>
    <x v="6"/>
    <b v="0"/>
    <s v="No está en VPC"/>
    <n v="165"/>
    <s v="INTPG_ACC_165_1.13"/>
    <s v="ISEL-1.13"/>
    <n v="1"/>
    <s v="NO TIENE L3OUT"/>
    <n v="86"/>
    <n v="96"/>
  </r>
  <r>
    <n v="417"/>
    <x v="1"/>
    <x v="243"/>
    <s v="eth1/13"/>
    <x v="0"/>
    <x v="0"/>
    <x v="0"/>
    <s v="IXTSRM1_VM2"/>
    <x v="6"/>
    <b v="0"/>
    <s v="No está en VPC"/>
    <n v="417"/>
    <s v="INTPG_ACC_417_1.13"/>
    <s v="ISEL-1.13"/>
    <n v="1"/>
    <s v="NO TIENE L3OUT"/>
    <n v="56"/>
    <n v="96"/>
  </r>
  <r>
    <n v="153"/>
    <x v="0"/>
    <x v="244"/>
    <s v="eth1/13"/>
    <x v="0"/>
    <x v="0"/>
    <x v="0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13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13"/>
    <x v="0"/>
    <x v="0"/>
    <x v="0"/>
    <s v="ARIESO_GEOLOCALIZACION"/>
    <x v="6"/>
    <b v="0"/>
    <s v="No está en VPC"/>
    <n v="156"/>
    <s v="INTPG_ACC_156_1.13"/>
    <s v="ISEL-1.13"/>
    <n v="2"/>
    <s v="NO TIENE L3OUT"/>
    <n v="40"/>
    <n v="96"/>
  </r>
  <r>
    <n v="103"/>
    <x v="0"/>
    <x v="247"/>
    <s v="eth1/13"/>
    <x v="0"/>
    <x v="1"/>
    <x v="1"/>
    <s v="CAMPANAS 01-02:uxobie03:ent0 "/>
    <x v="6"/>
    <b v="0"/>
    <s v="No está en VPC"/>
    <n v="103"/>
    <s v="INTPG_ACC_103_1.13"/>
    <s v="ISEL-1.13"/>
    <n v="1"/>
    <s v="NO TIENE L3OUT"/>
    <n v="70"/>
    <n v="96"/>
  </r>
  <r>
    <n v="438"/>
    <x v="1"/>
    <x v="248"/>
    <s v="eth1/13"/>
    <x v="0"/>
    <x v="0"/>
    <x v="0"/>
    <s v="ZFS_RANECE_ILOM-B"/>
    <x v="6"/>
    <b v="0"/>
    <s v="No está en VPC"/>
    <n v="438"/>
    <s v="INTPG_ACC_438_1.13"/>
    <s v="ISEL-1.13"/>
    <n v="1"/>
    <s v="NO TIENE L3OUT"/>
    <n v="170"/>
    <n v="96"/>
  </r>
  <r>
    <n v="406"/>
    <x v="1"/>
    <x v="249"/>
    <s v="eth1/13"/>
    <x v="0"/>
    <x v="0"/>
    <x v="0"/>
    <s v="ITHRTC31VC1"/>
    <x v="6"/>
    <b v="0"/>
    <s v="No está en VPC"/>
    <n v="406"/>
    <s v="INTPG_VPC_404_1.13_406_1.13"/>
    <s v="ISEL-1.13"/>
    <n v="1"/>
    <s v="NO TIENE L3OUT"/>
    <n v="82"/>
    <n v="96"/>
  </r>
  <r>
    <n v="414"/>
    <x v="1"/>
    <x v="250"/>
    <s v="eth1/13"/>
    <x v="0"/>
    <x v="0"/>
    <x v="0"/>
    <s v="9UCS-IXTLA-WEBEX-SERV4"/>
    <x v="6"/>
    <b v="0"/>
    <s v="No está en VPC"/>
    <n v="414"/>
    <s v="INTPG_ACC_414_1.13"/>
    <s v="ISEL-1.13"/>
    <n v="1"/>
    <s v="NO TIENE L3OUT"/>
    <n v="144"/>
    <n v="96"/>
  </r>
  <r>
    <n v="416"/>
    <x v="1"/>
    <x v="251"/>
    <s v="eth1/13"/>
    <x v="0"/>
    <x v="1"/>
    <x v="5"/>
    <s v="sfmedp62-MEDVOZ_CLIENT11"/>
    <x v="6"/>
    <b v="0"/>
    <s v="No está en VPC"/>
    <n v="416"/>
    <s v="INTPG_VPC_416_1.13_418_1.13"/>
    <s v="ISEL-1.13"/>
    <n v="1"/>
    <s v="NO TIENE L3OUT"/>
    <n v="110"/>
    <n v="96"/>
  </r>
  <r>
    <n v="418"/>
    <x v="1"/>
    <x v="252"/>
    <s v="eth1/13"/>
    <x v="0"/>
    <x v="1"/>
    <x v="5"/>
    <s v="sfmedp62-MEDVOZ_CLIENT11"/>
    <x v="6"/>
    <b v="0"/>
    <s v="No está en VPC"/>
    <n v="418"/>
    <s v="INTPG_VPC_416_1.13_418_1.13"/>
    <s v="ISEL-1.13"/>
    <n v="1"/>
    <s v="NO TIENE L3OUT"/>
    <n v="152"/>
    <n v="96"/>
  </r>
  <r>
    <n v="413"/>
    <x v="1"/>
    <x v="253"/>
    <s v="eth1/13"/>
    <x v="0"/>
    <x v="0"/>
    <x v="0"/>
    <m/>
    <x v="6"/>
    <b v="0"/>
    <s v="No está en VPC"/>
    <n v="413"/>
    <s v="INTPG_ACC_413_1.13"/>
    <s v="ISEL-1.13"/>
    <n v="2"/>
    <s v="NO TIENE L3OUT"/>
    <n v="126"/>
    <n v="96"/>
  </r>
  <r>
    <n v="403"/>
    <x v="1"/>
    <x v="254"/>
    <s v="eth1/13"/>
    <x v="0"/>
    <x v="0"/>
    <x v="0"/>
    <s v="XL5 RLR5ARI03"/>
    <x v="6"/>
    <b v="0"/>
    <s v="No está en VPC"/>
    <n v="403"/>
    <s v="INTPG_ACC_403_1.13"/>
    <s v="ISEL-1.13"/>
    <n v="1"/>
    <s v="NO TIENE L3OUT"/>
    <n v="150"/>
    <n v="96"/>
  </r>
  <r>
    <n v="125"/>
    <x v="0"/>
    <x v="255"/>
    <s v="eth1/13"/>
    <x v="0"/>
    <x v="1"/>
    <x v="1"/>
    <s v="GSM_ENIQ_MTY"/>
    <x v="6"/>
    <b v="0"/>
    <s v="No está en VPC"/>
    <n v="125"/>
    <s v="INTPG_ACC_125_1.13"/>
    <s v="ISEL-1.13"/>
    <n v="1"/>
    <s v="NO TIENE L3OUT"/>
    <n v="72"/>
    <n v="96"/>
  </r>
  <r>
    <n v="166"/>
    <x v="0"/>
    <x v="256"/>
    <s v="eth1/13"/>
    <x v="0"/>
    <x v="0"/>
    <x v="0"/>
    <s v="UXLDAP"/>
    <x v="6"/>
    <b v="0"/>
    <s v="No está en VPC"/>
    <n v="166"/>
    <s v="INTPG_ACC_166_1.13"/>
    <s v="ISEL-1.13"/>
    <n v="1"/>
    <s v="NO TIENE L3OUT"/>
    <n v="84"/>
    <n v="96"/>
  </r>
  <r>
    <n v="111"/>
    <x v="0"/>
    <x v="257"/>
    <s v="eth1/13"/>
    <x v="0"/>
    <x v="0"/>
    <x v="0"/>
    <s v="RENACE"/>
    <x v="6"/>
    <b v="0"/>
    <s v="No está en VPC"/>
    <n v="111"/>
    <s v="INTPG_ACC_111_1.13"/>
    <s v="ISEL-1.13"/>
    <n v="1"/>
    <s v="NO TIENE L3OUT"/>
    <n v="58"/>
    <n v="96"/>
  </r>
  <r>
    <n v="115"/>
    <x v="0"/>
    <x v="258"/>
    <s v="eth1/13"/>
    <x v="0"/>
    <x v="0"/>
    <x v="0"/>
    <s v="TO-ITHFERNTCTRIS02-Redundante"/>
    <x v="6"/>
    <b v="0"/>
    <s v="No está en VPC"/>
    <n v="115"/>
    <s v="INTPG_ACC_115_1.13"/>
    <s v="ISEL-1.13"/>
    <n v="1"/>
    <s v="NO TIENE L3OUT"/>
    <n v="42"/>
    <n v="96"/>
  </r>
  <r>
    <n v="106"/>
    <x v="0"/>
    <x v="259"/>
    <s v="eth1/13"/>
    <x v="0"/>
    <x v="0"/>
    <x v="0"/>
    <m/>
    <x v="6"/>
    <b v="0"/>
    <s v="No está en VPC"/>
    <n v="106"/>
    <s v="INTPG_ACC_106_1.13"/>
    <s v="ISEL-1.13"/>
    <n v="1"/>
    <s v="NO TIENE L3OUT"/>
    <n v="122"/>
    <n v="96"/>
  </r>
  <r>
    <n v="126"/>
    <x v="0"/>
    <x v="260"/>
    <s v="eth1/13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13"/>
    <x v="0"/>
    <x v="0"/>
    <x v="0"/>
    <s v="PortalCautivo2_f5gwt01_mgmt"/>
    <x v="6"/>
    <b v="0"/>
    <s v="No está en VPC"/>
    <n v="425"/>
    <s v="INTPG_ACC_425_1.13"/>
    <s v="ISEL-1.13"/>
    <n v="1"/>
    <s v="NO TIENE L3OUT"/>
    <n v="86"/>
    <n v="96"/>
  </r>
  <r>
    <n v="151"/>
    <x v="0"/>
    <x v="262"/>
    <s v="eth1/13"/>
    <x v="0"/>
    <x v="0"/>
    <x v="0"/>
    <s v="DASHBOARD"/>
    <x v="6"/>
    <b v="0"/>
    <s v="No está en VPC"/>
    <n v="151"/>
    <s v="INTPG_ACC_151_1.13"/>
    <s v="ISEL-1.13"/>
    <n v="1"/>
    <s v="NO TIENE L3OUT"/>
    <n v="86"/>
    <n v="96"/>
  </r>
  <r>
    <n v="430"/>
    <x v="1"/>
    <x v="263"/>
    <s v="eth1/13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13"/>
    <x v="0"/>
    <x v="0"/>
    <x v="0"/>
    <s v="VMS_HW_CONTROL"/>
    <x v="6"/>
    <b v="0"/>
    <s v="No está en VPC"/>
    <n v="419"/>
    <s v="INTPG_VPC_419_1.13_421_1.13"/>
    <s v="ISEL-1.13"/>
    <n v="1"/>
    <s v="NO TIENE L3OUT"/>
    <n v="70"/>
    <n v="96"/>
  </r>
  <r>
    <n v="155"/>
    <x v="0"/>
    <x v="265"/>
    <s v="eth1/13"/>
    <x v="0"/>
    <x v="0"/>
    <x v="0"/>
    <s v="COBROS NAVEGACION"/>
    <x v="6"/>
    <b v="0"/>
    <s v="No está en VPC"/>
    <n v="155"/>
    <s v="INTPG_ACC_155_1.13"/>
    <s v="ISEL-1.13"/>
    <n v="1"/>
    <s v="NO TIENE L3OUT"/>
    <n v="198"/>
    <n v="96"/>
  </r>
  <r>
    <n v="409"/>
    <x v="1"/>
    <x v="266"/>
    <s v="eth1/13"/>
    <x v="0"/>
    <x v="0"/>
    <x v="0"/>
    <s v="ITHHPGRLKEN12_ICM3 Q1"/>
    <x v="6"/>
    <b v="0"/>
    <s v="No está en VPC"/>
    <n v="409"/>
    <s v="INTPG_ACC_409_1.13"/>
    <s v="ISEL-1.13"/>
    <n v="1"/>
    <s v="NO TIENE L3OUT"/>
    <n v="128"/>
    <n v="96"/>
  </r>
  <r>
    <n v="422"/>
    <x v="1"/>
    <x v="267"/>
    <s v="eth1/13"/>
    <x v="0"/>
    <x v="0"/>
    <x v="0"/>
    <s v="B6200C_DT_2"/>
    <x v="6"/>
    <b v="0"/>
    <s v="No está en VPC"/>
    <n v="422"/>
    <s v="INTPG_ACC_422_1.13"/>
    <s v="ISEL-1.13"/>
    <n v="1"/>
    <s v="NO TIENE L3OUT"/>
    <n v="182"/>
    <n v="96"/>
  </r>
  <r>
    <n v="436"/>
    <x v="1"/>
    <x v="268"/>
    <s v="eth1/13"/>
    <x v="0"/>
    <x v="0"/>
    <x v="0"/>
    <s v="ZFS_RANECE_MGMT_A-01"/>
    <x v="6"/>
    <b v="0"/>
    <s v="No está en VPC"/>
    <n v="436"/>
    <s v="INTPG_ACC_436_1.13"/>
    <s v="ISEL-1.13"/>
    <n v="1"/>
    <s v="NO TIENE L3OUT"/>
    <n v="172"/>
    <n v="96"/>
  </r>
  <r>
    <n v="410"/>
    <x v="1"/>
    <x v="269"/>
    <s v="eth1/13"/>
    <x v="0"/>
    <x v="0"/>
    <x v="0"/>
    <s v="UTP_ZFS_CAMPANAS"/>
    <x v="6"/>
    <b v="0"/>
    <s v="No está en VPC"/>
    <n v="410"/>
    <s v="INTPG_ACC_410_1.13"/>
    <s v="ISEL-1.13"/>
    <n v="1"/>
    <s v="NO TIENE L3OUT"/>
    <n v="178"/>
    <n v="96"/>
  </r>
  <r>
    <n v="161"/>
    <x v="0"/>
    <x v="270"/>
    <s v="eth1/13"/>
    <x v="0"/>
    <x v="0"/>
    <x v="0"/>
    <s v="DESC"/>
    <x v="6"/>
    <b v="0"/>
    <s v="No está en VPC"/>
    <n v="161"/>
    <s v="INTPG_PC_161_1.9_11_13"/>
    <s v="ISEL-1.13"/>
    <n v="1"/>
    <s v="NO TIENE L3OUT"/>
    <n v="102"/>
    <n v="96"/>
  </r>
  <r>
    <n v="411"/>
    <x v="1"/>
    <x v="271"/>
    <s v="eth1/13"/>
    <x v="0"/>
    <x v="0"/>
    <x v="0"/>
    <s v="GESTOR"/>
    <x v="6"/>
    <b v="0"/>
    <s v="No está en VPC"/>
    <n v="411"/>
    <s v="INTPG_ACC_411_1.13"/>
    <s v="ISEL-1.13"/>
    <n v="1"/>
    <s v="NO TIENE L3OUT"/>
    <n v="96"/>
    <n v="96"/>
  </r>
  <r>
    <n v="116"/>
    <x v="0"/>
    <x v="272"/>
    <s v="eth1/13"/>
    <x v="0"/>
    <x v="1"/>
    <x v="1"/>
    <s v="COBROS NAVEGACION"/>
    <x v="6"/>
    <b v="0"/>
    <s v="No está en VPC"/>
    <n v="116"/>
    <s v="INTPG_ACC_116_1.13"/>
    <s v="ISEL-1.13"/>
    <n v="1"/>
    <s v="NO TIENE L3OUT"/>
    <n v="148"/>
    <n v="96"/>
  </r>
  <r>
    <n v="412"/>
    <x v="1"/>
    <x v="273"/>
    <s v="eth1/13"/>
    <x v="0"/>
    <x v="0"/>
    <x v="0"/>
    <s v="RESPAL_CS5_ASAP8"/>
    <x v="6"/>
    <b v="0"/>
    <s v="No está en VPC"/>
    <n v="412"/>
    <s v="INTPG_ACC_412_1.13"/>
    <s v="ISEL-1.13"/>
    <n v="1"/>
    <s v="NO TIENE L3OUT"/>
    <n v="126"/>
    <n v="96"/>
  </r>
  <r>
    <n v="120"/>
    <x v="0"/>
    <x v="274"/>
    <s v="eth1/13"/>
    <x v="1"/>
    <x v="1"/>
    <x v="2"/>
    <s v="DESC"/>
    <x v="6"/>
    <b v="0"/>
    <s v="No está en VPC"/>
    <n v="120"/>
    <s v="INTPG_PC_120_1.10-14"/>
    <s v="ISEL-1.13"/>
    <n v="1"/>
    <s v="NO TIENE L3OUT"/>
    <n v="158"/>
    <n v="96"/>
  </r>
  <r>
    <n v="404"/>
    <x v="1"/>
    <x v="275"/>
    <s v="eth1/13"/>
    <x v="0"/>
    <x v="0"/>
    <x v="0"/>
    <s v="ITHRTC31VC1"/>
    <x v="6"/>
    <b v="0"/>
    <s v="No está en VPC"/>
    <n v="404"/>
    <s v="INTPG_VPC_404_1.13_406_1.13"/>
    <s v="ISEL-1.13"/>
    <n v="1"/>
    <s v="NO TIENE L3OUT"/>
    <n v="92"/>
    <n v="96"/>
  </r>
  <r>
    <n v="167"/>
    <x v="0"/>
    <x v="276"/>
    <s v="eth1/13"/>
    <x v="0"/>
    <x v="0"/>
    <x v="0"/>
    <s v="LINKDOWN_HACIA_UCS_9UCS-IXTLA-SERV2"/>
    <x v="6"/>
    <b v="0"/>
    <s v="No está en VPC"/>
    <n v="167"/>
    <s v="INTPG_ACC_167_1.13"/>
    <s v="ISEL-1.13"/>
    <n v="1"/>
    <s v="NO TIENE L3OUT"/>
    <n v="68"/>
    <n v="96"/>
  </r>
  <r>
    <n v="428"/>
    <x v="1"/>
    <x v="277"/>
    <s v="eth1/13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903"/>
    <x v="2"/>
    <x v="278"/>
    <s v="eth1/1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1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14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14"/>
    <x v="1"/>
    <x v="1"/>
    <x v="2"/>
    <m/>
    <x v="1"/>
    <b v="0"/>
    <s v="No está en VPC"/>
    <n v="123"/>
    <s v="INTPG_ACC_123_1.14"/>
    <s v="ISEL-1.14"/>
    <n v="0"/>
    <s v="NO TIENE L3OUT"/>
    <n v="20"/>
    <n v="54"/>
  </r>
  <r>
    <n v="152"/>
    <x v="0"/>
    <x v="2"/>
    <s v="eth1/14"/>
    <x v="0"/>
    <x v="0"/>
    <x v="0"/>
    <s v="IXTPA3LE"/>
    <x v="1"/>
    <b v="0"/>
    <s v="No está en VPC"/>
    <n v="152"/>
    <s v="INTPG_ACC_152_1.14"/>
    <s v="ISEL-1.14"/>
    <n v="1"/>
    <s v="NO TIENE L3OUT"/>
    <n v="38"/>
    <n v="54"/>
  </r>
  <r>
    <n v="101"/>
    <x v="0"/>
    <x v="3"/>
    <s v="eth1/14"/>
    <x v="0"/>
    <x v="1"/>
    <x v="4"/>
    <s v="ENIQ_4G_MEX_2"/>
    <x v="0"/>
    <b v="0"/>
    <s v="No está en VPC"/>
    <n v="101"/>
    <s v="INTPG_VPC_101_1.14_150_1.14"/>
    <s v="ISEL-1.14"/>
    <n v="1"/>
    <s v="NO TIENE L3OUT"/>
    <n v="114"/>
    <n v="54"/>
  </r>
  <r>
    <n v="160"/>
    <x v="0"/>
    <x v="4"/>
    <s v="eth1/14"/>
    <x v="0"/>
    <x v="0"/>
    <x v="0"/>
    <m/>
    <x v="1"/>
    <b v="0"/>
    <s v="No está en VPC"/>
    <n v="160"/>
    <s v="INTPG_ACC_160_1.14"/>
    <s v="ISEL-1.14"/>
    <n v="1"/>
    <s v="NO TIENE L3OUT"/>
    <n v="68"/>
    <n v="54"/>
  </r>
  <r>
    <n v="121"/>
    <x v="0"/>
    <x v="5"/>
    <s v="eth1/14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14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14"/>
    <x v="0"/>
    <x v="0"/>
    <x v="0"/>
    <s v="M10-ACTIVO1"/>
    <x v="0"/>
    <b v="0"/>
    <s v="No está en VPC"/>
    <n v="401"/>
    <s v="INTPG_ACC_401_1.14"/>
    <s v="ISEL-1.14"/>
    <n v="4"/>
    <s v="NO TIENE L3OUT"/>
    <n v="40"/>
    <n v="54"/>
  </r>
  <r>
    <n v="402"/>
    <x v="1"/>
    <x v="8"/>
    <s v="eth1/14"/>
    <x v="1"/>
    <x v="1"/>
    <x v="2"/>
    <s v="M10-PASIVO1"/>
    <x v="0"/>
    <b v="0"/>
    <s v="No está en VPC"/>
    <n v="402"/>
    <s v="INTPG_ACC_402_1.14"/>
    <s v="ISEL-1.14"/>
    <n v="2"/>
    <s v="NO TIENE L3OUT"/>
    <n v="36"/>
    <n v="54"/>
  </r>
  <r>
    <n v="447"/>
    <x v="1"/>
    <x v="9"/>
    <s v="eth1/14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14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14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14"/>
    <x v="1"/>
    <x v="1"/>
    <x v="2"/>
    <s v="ENIQ_4G_MEX_2"/>
    <x v="0"/>
    <b v="0"/>
    <s v="No está en VPC"/>
    <n v="150"/>
    <s v="INTPG_VPC_101_1.14_150_1.14"/>
    <s v="ISEL-1.14"/>
    <n v="1"/>
    <s v="NO TIENE L3OUT"/>
    <n v="118"/>
    <n v="54"/>
  </r>
  <r>
    <n v="131"/>
    <x v="0"/>
    <x v="13"/>
    <s v="eth1/14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14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14"/>
    <x v="0"/>
    <x v="0"/>
    <x v="0"/>
    <s v="GRLK LAG 04"/>
    <x v="2"/>
    <b v="0"/>
    <s v="No está en VPC"/>
    <n v="758"/>
    <s v="INTPG_VPC_758_1.14_759_1.14"/>
    <s v="ISEL-1.14"/>
    <n v="89"/>
    <s v="NO TIENE L3OUT"/>
    <n v="0"/>
    <n v="42"/>
  </r>
  <r>
    <n v="759"/>
    <x v="2"/>
    <x v="16"/>
    <s v="eth1/14"/>
    <x v="0"/>
    <x v="0"/>
    <x v="0"/>
    <s v="GRLK LAG 04"/>
    <x v="2"/>
    <b v="0"/>
    <s v="No está en VPC"/>
    <n v="759"/>
    <s v="INTPG_VPC_758_1.14_759_1.14"/>
    <s v="ISEL-1.14"/>
    <n v="89"/>
    <s v="NO TIENE L3OUT"/>
    <n v="0"/>
    <n v="42"/>
  </r>
  <r>
    <n v="302"/>
    <x v="0"/>
    <x v="17"/>
    <s v="eth1/14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14"/>
    <x v="0"/>
    <x v="0"/>
    <x v="0"/>
    <s v="PORTA_EXP1"/>
    <x v="1"/>
    <b v="0"/>
    <s v="No está en VPC"/>
    <n v="424"/>
    <s v="INTPG_ACC_424_1.14"/>
    <s v="ISEL-1.14"/>
    <n v="1"/>
    <s v="NO TIENE L3OUT"/>
    <n v="16"/>
    <n v="54"/>
  </r>
  <r>
    <n v="426"/>
    <x v="1"/>
    <x v="19"/>
    <s v="eth1/14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14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14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14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14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14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14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14"/>
    <x v="0"/>
    <x v="0"/>
    <x v="0"/>
    <s v="INTELIGN_COMERCIAL_LAG5"/>
    <x v="0"/>
    <b v="0"/>
    <s v="No está en VPC"/>
    <n v="431"/>
    <s v="INTPG_VPC_431_1.14_448_1.14"/>
    <s v="ISEL-1.14"/>
    <n v="3"/>
    <s v="NO TIENE L3OUT"/>
    <n v="46"/>
    <n v="54"/>
  </r>
  <r>
    <n v="433"/>
    <x v="1"/>
    <x v="27"/>
    <s v="eth1/14"/>
    <x v="0"/>
    <x v="0"/>
    <x v="0"/>
    <s v="IXT_PM_1_eth1_Primario"/>
    <x v="1"/>
    <b v="0"/>
    <s v="No está en VPC"/>
    <n v="433"/>
    <s v="INTPG_ACC_433_1.14"/>
    <s v="ISEL-1.14"/>
    <n v="1"/>
    <s v="NO TIENE L3OUT"/>
    <n v="42"/>
    <n v="54"/>
  </r>
  <r>
    <n v="429"/>
    <x v="1"/>
    <x v="28"/>
    <s v="eth1/14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14"/>
    <x v="0"/>
    <x v="1"/>
    <x v="1"/>
    <s v="sfrevp02_MGMT_RHEV_HUAWEI"/>
    <x v="1"/>
    <b v="0"/>
    <s v="No está en VPC"/>
    <n v="432"/>
    <s v="INTPG_ACC_432_1.14"/>
    <s v="ISEL-1.14"/>
    <n v="1"/>
    <s v="NO TIENE L3OUT"/>
    <n v="54"/>
    <n v="54"/>
  </r>
  <r>
    <n v="442"/>
    <x v="1"/>
    <x v="30"/>
    <s v="eth1/14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14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14"/>
    <x v="0"/>
    <x v="1"/>
    <x v="3"/>
    <s v="CEM:ITHCEMG2DAT07:LOM P3"/>
    <x v="0"/>
    <b v="0"/>
    <s v="No está en VPC"/>
    <n v="707"/>
    <s v="INTPG_ACC_707_1.14"/>
    <s v="ISEL-1.14"/>
    <n v="1"/>
    <s v="NO TIENE L3OUT"/>
    <n v="54"/>
    <n v="54"/>
  </r>
  <r>
    <n v="712"/>
    <x v="2"/>
    <x v="33"/>
    <s v="eth1/14"/>
    <x v="0"/>
    <x v="0"/>
    <x v="0"/>
    <s v="CEM:ITHCEMA2DAT07:LOM  P2"/>
    <x v="0"/>
    <b v="0"/>
    <s v="No está en VPC"/>
    <n v="712"/>
    <s v="INTPG_ACC_712_1.14"/>
    <s v="ISEL-1.14"/>
    <n v="1"/>
    <s v="NO TIENE L3OUT"/>
    <n v="32"/>
    <n v="54"/>
  </r>
  <r>
    <n v="719"/>
    <x v="2"/>
    <x v="34"/>
    <s v="eth1/14"/>
    <x v="0"/>
    <x v="0"/>
    <x v="0"/>
    <m/>
    <x v="0"/>
    <b v="0"/>
    <s v="No está en VPC"/>
    <n v="719"/>
    <s v="INTPG-VPC_PAP01_720_1.13_719_1.14"/>
    <s v="ISEL-1.14"/>
    <n v="1"/>
    <s v="NO TIENE L3OUT"/>
    <n v="0"/>
    <n v="54"/>
  </r>
  <r>
    <n v="715"/>
    <x v="2"/>
    <x v="35"/>
    <s v="eth1/14"/>
    <x v="0"/>
    <x v="0"/>
    <x v="0"/>
    <m/>
    <x v="0"/>
    <b v="0"/>
    <s v="No está en VPC"/>
    <n v="715"/>
    <s v="INTPG-VPC_HDD33_716_1.13_715_1.14"/>
    <s v="ISEL-1.14"/>
    <n v="1"/>
    <s v="NO TIENE L3OUT"/>
    <n v="0"/>
    <n v="54"/>
  </r>
  <r>
    <n v="427"/>
    <x v="1"/>
    <x v="36"/>
    <s v="eth1/14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14"/>
    <x v="0"/>
    <x v="1"/>
    <x v="5"/>
    <s v="CEM:ITHCEMD2DAT07:LOM  P2"/>
    <x v="0"/>
    <b v="0"/>
    <s v="No está en VPC"/>
    <n v="711"/>
    <s v="INTPG_VPC_710_1.13_711_1.14"/>
    <s v="ISEL-1.14"/>
    <n v="1"/>
    <s v="NO TIENE L3OUT"/>
    <n v="16"/>
    <n v="54"/>
  </r>
  <r>
    <n v="716"/>
    <x v="2"/>
    <x v="38"/>
    <s v="eth1/14"/>
    <x v="0"/>
    <x v="0"/>
    <x v="0"/>
    <m/>
    <x v="0"/>
    <b v="0"/>
    <s v="No está en VPC"/>
    <n v="716"/>
    <s v="INTPG-VPC_HDD42_715_1.13_716_1.14"/>
    <s v="ISEL-1.14"/>
    <n v="1"/>
    <s v="NO TIENE L3OUT"/>
    <n v="0"/>
    <n v="54"/>
  </r>
  <r>
    <n v="702"/>
    <x v="2"/>
    <x v="39"/>
    <s v="eth1/14"/>
    <x v="0"/>
    <x v="0"/>
    <x v="0"/>
    <m/>
    <x v="0"/>
    <b v="0"/>
    <s v="No está en VPC"/>
    <n v="702"/>
    <s v="INTPG_VPC_701_1.13_702_1.14"/>
    <s v="ISEL-1.14"/>
    <n v="2"/>
    <s v="NO TIENE L3OUT"/>
    <n v="0"/>
    <n v="54"/>
  </r>
  <r>
    <n v="435"/>
    <x v="1"/>
    <x v="40"/>
    <s v="eth1/14"/>
    <x v="0"/>
    <x v="0"/>
    <x v="0"/>
    <s v="IXT_PM_1_eth2_Secundario"/>
    <x v="1"/>
    <b v="0"/>
    <s v="No está en VPC"/>
    <n v="435"/>
    <s v="INTPG_ACC_435_1.14"/>
    <s v="ISEL-1.14"/>
    <n v="1"/>
    <s v="NO TIENE L3OUT"/>
    <n v="34"/>
    <n v="54"/>
  </r>
  <r>
    <n v="446"/>
    <x v="1"/>
    <x v="41"/>
    <s v="eth1/14"/>
    <x v="0"/>
    <x v="0"/>
    <x v="0"/>
    <s v="TO-ithhwhccsv04"/>
    <x v="0"/>
    <b v="0"/>
    <s v="No está en VPC"/>
    <n v="446"/>
    <s v="INTPG_VPC_444_1.13-14_446_1.13-14"/>
    <s v="ISEL-1.14"/>
    <n v="10"/>
    <s v="NO TIENE L3OUT"/>
    <n v="198"/>
    <n v="54"/>
  </r>
  <r>
    <n v="444"/>
    <x v="1"/>
    <x v="42"/>
    <s v="eth1/14"/>
    <x v="0"/>
    <x v="0"/>
    <x v="0"/>
    <s v="TO-ithhwhccsv04"/>
    <x v="0"/>
    <b v="0"/>
    <s v="No está en VPC"/>
    <n v="444"/>
    <s v="INTPG_VPC_444_1.13-14_446_1.13-14"/>
    <s v="ISEL-1.14"/>
    <n v="10"/>
    <s v="NO TIENE L3OUT"/>
    <n v="234"/>
    <n v="54"/>
  </r>
  <r>
    <n v="701"/>
    <x v="2"/>
    <x v="43"/>
    <s v="eth1/14"/>
    <x v="0"/>
    <x v="0"/>
    <x v="0"/>
    <m/>
    <x v="0"/>
    <b v="0"/>
    <s v="No está en VPC"/>
    <n v="701"/>
    <s v="INTPG_VPC_702_1.13_701_1.14"/>
    <s v="ISEL-1.14"/>
    <n v="1"/>
    <s v="NO TIENE L3OUT"/>
    <n v="0"/>
    <n v="54"/>
  </r>
  <r>
    <n v="440"/>
    <x v="1"/>
    <x v="44"/>
    <s v="eth1/14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14"/>
    <x v="0"/>
    <x v="0"/>
    <x v="0"/>
    <s v="INTELIGN_COMERCIAL_LAG5"/>
    <x v="0"/>
    <b v="0"/>
    <s v="No está en VPC"/>
    <n v="448"/>
    <s v="INTPG_VPC_431_1.14_448_1.14"/>
    <s v="ISEL-1.14"/>
    <n v="3"/>
    <s v="NO TIENE L3OUT"/>
    <n v="46"/>
    <n v="54"/>
  </r>
  <r>
    <n v="704"/>
    <x v="2"/>
    <x v="46"/>
    <s v="eth1/14"/>
    <x v="0"/>
    <x v="0"/>
    <x v="0"/>
    <m/>
    <x v="0"/>
    <b v="0"/>
    <s v="No está en VPC"/>
    <n v="704"/>
    <s v="INTPG_VPC_703_1.13_704_1.14"/>
    <s v="ISEL-1.14"/>
    <n v="2"/>
    <s v="NO TIENE L3OUT"/>
    <n v="0"/>
    <n v="54"/>
  </r>
  <r>
    <n v="729"/>
    <x v="2"/>
    <x v="47"/>
    <s v="eth1/14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14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14"/>
    <x v="0"/>
    <x v="0"/>
    <x v="0"/>
    <s v="HACIA_CSI-A-OSCP-F4-02_SECUNDARIO"/>
    <x v="4"/>
    <b v="0"/>
    <s v="No está en VPC"/>
    <n v="456"/>
    <s v="INTPG_VPC_454_1.14_456_1.14"/>
    <s v="ISEL-1.14"/>
    <n v="2"/>
    <s v="NO TIENE L3OUT"/>
    <n v="4"/>
    <n v="54"/>
  </r>
  <r>
    <n v="603"/>
    <x v="1"/>
    <x v="50"/>
    <s v="eth1/14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14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14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14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14"/>
    <x v="0"/>
    <x v="0"/>
    <x v="0"/>
    <m/>
    <x v="0"/>
    <b v="0"/>
    <s v="No está en VPC"/>
    <n v="722"/>
    <s v="INTPG-VPC_HDD114_723_1.13_722_1.14"/>
    <s v="ISEL-1.14"/>
    <n v="1"/>
    <s v="NO TIENE L3OUT"/>
    <n v="0"/>
    <n v="54"/>
  </r>
  <r>
    <n v="733"/>
    <x v="2"/>
    <x v="55"/>
    <s v="eth1/14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14"/>
    <x v="0"/>
    <x v="0"/>
    <x v="0"/>
    <s v="OSS F1:ithenmr08e1r9a:4"/>
    <x v="0"/>
    <b v="0"/>
    <s v="No está en VPC"/>
    <n v="755"/>
    <s v="INTPG_PC_755_1.13-14"/>
    <s v="ISEL-1.14"/>
    <n v="8"/>
    <s v="NO TIENE L3OUT"/>
    <n v="52"/>
    <n v="54"/>
  </r>
  <r>
    <n v="748"/>
    <x v="2"/>
    <x v="57"/>
    <s v="eth1/14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14"/>
    <x v="0"/>
    <x v="0"/>
    <x v="0"/>
    <s v="OSS F1:ithenmr08e1r9a:Bay1/X2"/>
    <x v="0"/>
    <b v="0"/>
    <s v="No está en VPC"/>
    <n v="756"/>
    <s v="INTPG_PC_756_1.13-14"/>
    <s v="ISEL-1.14"/>
    <n v="8"/>
    <s v="NO TIENE L3OUT"/>
    <n v="64"/>
    <n v="54"/>
  </r>
  <r>
    <n v="754"/>
    <x v="2"/>
    <x v="59"/>
    <s v="eth1/14"/>
    <x v="0"/>
    <x v="0"/>
    <x v="0"/>
    <s v="OSS F1:ithenmnasr9c:PORT 2"/>
    <x v="0"/>
    <b v="0"/>
    <s v="No está en VPC"/>
    <n v="754"/>
    <s v="INTPG_PC_754_1.13-16"/>
    <s v="ISEL-1.14"/>
    <n v="1"/>
    <s v="NO TIENE L3OUT"/>
    <n v="62"/>
    <n v="54"/>
  </r>
  <r>
    <n v="751"/>
    <x v="2"/>
    <x v="60"/>
    <s v="eth1/14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14"/>
    <x v="0"/>
    <x v="0"/>
    <x v="0"/>
    <s v="Portchannel_7_R1"/>
    <x v="0"/>
    <b v="0"/>
    <s v="No está en VPC"/>
    <n v="769"/>
    <s v="INTPG_PC_769_1.11-14"/>
    <s v="ISEL-1.14"/>
    <n v="1"/>
    <s v="NO TIENE L3OUT"/>
    <n v="60"/>
    <n v="54"/>
  </r>
  <r>
    <n v="742"/>
    <x v="2"/>
    <x v="62"/>
    <s v="eth1/14"/>
    <x v="0"/>
    <x v="1"/>
    <x v="1"/>
    <s v="CEM:ITHCEMB2DAT07:FLEXIO P1"/>
    <x v="5"/>
    <b v="0"/>
    <s v="No está en VPC"/>
    <n v="742"/>
    <s v="INTPG_ACC_742_1.14"/>
    <s v="ISEL-1.14"/>
    <n v="1"/>
    <s v="NO TIENE L3OUT"/>
    <n v="64"/>
    <n v="54"/>
  </r>
  <r>
    <n v="763"/>
    <x v="2"/>
    <x v="63"/>
    <s v="eth1/14"/>
    <x v="0"/>
    <x v="0"/>
    <x v="0"/>
    <s v="PAAS:ithhwoscopap014:FlexIO.1"/>
    <x v="0"/>
    <b v="0"/>
    <s v="No está en VPC"/>
    <n v="763"/>
    <s v="INTPG_VPC_762_1.14_763_1.14"/>
    <s v="ISEL-1.14"/>
    <n v="15"/>
    <s v="NO TIENE L3OUT"/>
    <n v="2"/>
    <n v="54"/>
  </r>
  <r>
    <n v="766"/>
    <x v="2"/>
    <x v="64"/>
    <s v="eth1/14"/>
    <x v="0"/>
    <x v="0"/>
    <x v="0"/>
    <s v="OSS_ENM"/>
    <x v="0"/>
    <b v="0"/>
    <s v="No está en VPC"/>
    <n v="766"/>
    <s v="INTPG_ACC_766_1.14"/>
    <s v="ISEL-1.14"/>
    <n v="1"/>
    <s v="NO TIENE L3OUT"/>
    <n v="58"/>
    <n v="54"/>
  </r>
  <r>
    <n v="760"/>
    <x v="2"/>
    <x v="65"/>
    <s v="eth1/14"/>
    <x v="0"/>
    <x v="1"/>
    <x v="1"/>
    <m/>
    <x v="0"/>
    <b v="0"/>
    <s v="No está en VPC"/>
    <n v="760"/>
    <s v="INTPG_VPC_760_1.13-16_761_1.13-16"/>
    <s v="ISEL-1.14"/>
    <n v="0"/>
    <s v="L3OUT-EXACLOUD"/>
    <n v="0"/>
    <n v="54"/>
  </r>
  <r>
    <n v="752"/>
    <x v="2"/>
    <x v="66"/>
    <s v="eth1/14"/>
    <x v="0"/>
    <x v="0"/>
    <x v="0"/>
    <s v="PAAS:ithhwoscopap014:Slot6.1"/>
    <x v="0"/>
    <b v="0"/>
    <s v="No está en VPC"/>
    <n v="752"/>
    <s v="INTPG_VPC_747_1.14_752_1.14"/>
    <s v="ISEL-1.14"/>
    <n v="25"/>
    <s v="NO TIENE L3OUT"/>
    <n v="0"/>
    <n v="54"/>
  </r>
  <r>
    <n v="765"/>
    <x v="2"/>
    <x v="67"/>
    <s v="eth1/14"/>
    <x v="0"/>
    <x v="0"/>
    <x v="0"/>
    <s v="Portchannel_7_R6B"/>
    <x v="0"/>
    <b v="0"/>
    <s v="No está en VPC"/>
    <n v="765"/>
    <s v="INTPG_PC_765_1.13-16"/>
    <s v="ISEL-1.14"/>
    <n v="1"/>
    <s v="NO TIENE L3OUT"/>
    <n v="60"/>
    <n v="54"/>
  </r>
  <r>
    <n v="778"/>
    <x v="2"/>
    <x v="68"/>
    <s v="eth1/14"/>
    <x v="0"/>
    <x v="0"/>
    <x v="0"/>
    <s v="ENIQ F1:itheniqr08enclr3:BAY2/X1"/>
    <x v="0"/>
    <b v="0"/>
    <s v="No está en VPC"/>
    <n v="778"/>
    <s v="INTPG_PC_778_1.14-15"/>
    <s v="ISEL-1.14"/>
    <n v="3"/>
    <s v="NO TIENE L3OUT"/>
    <n v="26"/>
    <n v="54"/>
  </r>
  <r>
    <n v="780"/>
    <x v="2"/>
    <x v="69"/>
    <s v="eth1/14"/>
    <x v="0"/>
    <x v="0"/>
    <x v="0"/>
    <s v="LACP_VC2_ENIQ9C"/>
    <x v="0"/>
    <b v="0"/>
    <s v="No está en VPC"/>
    <n v="780"/>
    <s v="INTPG_PC_780_1.14-15"/>
    <s v="ISEL-1.14"/>
    <n v="3"/>
    <s v="NO TIENE L3OUT"/>
    <n v="26"/>
    <n v="54"/>
  </r>
  <r>
    <n v="812"/>
    <x v="2"/>
    <x v="70"/>
    <s v="eth1/14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14"/>
    <x v="0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14"/>
    <x v="0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14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14"/>
    <x v="0"/>
    <x v="0"/>
    <x v="0"/>
    <s v="LINK_TO_ITHFHWCMVWPMA10 /Slot7.2 /Redundante"/>
    <x v="0"/>
    <b v="0"/>
    <s v="No está en VPC"/>
    <n v="824"/>
    <s v="INTPG_ACC_824_1.14"/>
    <s v="ISEL-1.14"/>
    <n v="1"/>
    <s v="NO TIENE L3OUT"/>
    <n v="70"/>
    <n v="54"/>
  </r>
  <r>
    <n v="819"/>
    <x v="2"/>
    <x v="75"/>
    <s v="eth1/14"/>
    <x v="0"/>
    <x v="0"/>
    <x v="0"/>
    <s v="LINK_TO_ITHFHWCMVWPMA10 /Slot5.2 /Principal"/>
    <x v="0"/>
    <b v="0"/>
    <s v="No está en VPC"/>
    <n v="819"/>
    <s v="INTPG_ACC_819_1.14"/>
    <s v="ISEL-1.14"/>
    <n v="1"/>
    <s v="NO TIENE L3OUT"/>
    <n v="70"/>
    <n v="54"/>
  </r>
  <r>
    <n v="737"/>
    <x v="2"/>
    <x v="76"/>
    <s v="eth1/14"/>
    <x v="0"/>
    <x v="0"/>
    <x v="0"/>
    <s v="CEM:ITHCEME2DAT07:FLEXIO P1"/>
    <x v="5"/>
    <b v="0"/>
    <s v="No está en VPC"/>
    <n v="737"/>
    <s v="INTPG_ACC_737_1.14"/>
    <s v="ISEL-1.14"/>
    <n v="1"/>
    <s v="NO TIENE L3OUT"/>
    <n v="72"/>
    <n v="54"/>
  </r>
  <r>
    <n v="844"/>
    <x v="2"/>
    <x v="77"/>
    <s v="eth1/14"/>
    <x v="0"/>
    <x v="0"/>
    <x v="0"/>
    <s v="LINK_TO_ITHFHWCRMPLCN105 / Slot1.2_14 / Principal"/>
    <x v="0"/>
    <b v="0"/>
    <s v="No está en VPC"/>
    <n v="844"/>
    <s v="INTPG_ACC_844_1.14"/>
    <s v="ISEL-1.14"/>
    <n v="2"/>
    <s v="NO TIENE L3OUT"/>
    <n v="282"/>
    <n v="54"/>
  </r>
  <r>
    <n v="843"/>
    <x v="2"/>
    <x v="78"/>
    <s v="eth1/14"/>
    <x v="0"/>
    <x v="0"/>
    <x v="0"/>
    <s v="LINK_To_ITHFHWCBSPSUSBD27 / Slot7.3_8 / Redundante"/>
    <x v="0"/>
    <b v="0"/>
    <s v="No está en VPC"/>
    <n v="843"/>
    <s v="INTPG_VPC_838_1.14_843_1.14"/>
    <s v="ISEL-1.14"/>
    <n v="1"/>
    <s v="NO TIENE L3OUT"/>
    <n v="38"/>
    <n v="54"/>
  </r>
  <r>
    <n v="797"/>
    <x v="2"/>
    <x v="79"/>
    <s v="eth1/14"/>
    <x v="0"/>
    <x v="0"/>
    <x v="0"/>
    <s v="TO-HDPS_16-MSP"/>
    <x v="0"/>
    <b v="0"/>
    <s v="No está en VPC"/>
    <n v="797"/>
    <s v="INTPG_ACC_797_1.14"/>
    <s v="ISEL-1.14"/>
    <n v="1"/>
    <s v="NO TIENE L3OUT"/>
    <n v="48"/>
    <n v="54"/>
  </r>
  <r>
    <n v="839"/>
    <x v="2"/>
    <x v="80"/>
    <s v="eth1/14"/>
    <x v="0"/>
    <x v="0"/>
    <x v="0"/>
    <s v="LINK_TO_ITHFHWCBSPSWR62 / Slot7.2_12 / Redundante"/>
    <x v="0"/>
    <b v="0"/>
    <s v="No está en VPC"/>
    <n v="839"/>
    <s v="INTPG_VPC_834_1.14_839_1.14"/>
    <s v="ISEL-1.14"/>
    <n v="1"/>
    <s v="NO TIENE L3OUT"/>
    <n v="0"/>
    <n v="54"/>
  </r>
  <r>
    <n v="847"/>
    <x v="2"/>
    <x v="81"/>
    <s v="eth1/14"/>
    <x v="0"/>
    <x v="0"/>
    <x v="0"/>
    <s v="LINK_TO_ITHFHWCRMPLCN170 / Slot7.1_10 / Redundante"/>
    <x v="0"/>
    <b v="0"/>
    <s v="No está en VPC"/>
    <n v="847"/>
    <s v="INTPG_ACC_847_1.14"/>
    <s v="ISEL-1.14"/>
    <n v="6"/>
    <s v="NO TIENE L3OUT"/>
    <n v="204"/>
    <n v="54"/>
  </r>
  <r>
    <n v="848"/>
    <x v="2"/>
    <x v="82"/>
    <s v="eth1/14"/>
    <x v="0"/>
    <x v="0"/>
    <x v="0"/>
    <s v="LINK_TO_ITHFHWCRMPLCN159 / Slot7.1_20 / Redundante"/>
    <x v="0"/>
    <b v="0"/>
    <s v="No está en VPC"/>
    <n v="848"/>
    <s v="INTPG_ACC_848_1.14"/>
    <s v="ISEL-1.14"/>
    <n v="6"/>
    <s v="NO TIENE L3OUT"/>
    <n v="254"/>
    <n v="54"/>
  </r>
  <r>
    <n v="846"/>
    <x v="2"/>
    <x v="83"/>
    <s v="eth1/14"/>
    <x v="0"/>
    <x v="0"/>
    <x v="0"/>
    <s v="LINK_TO_ITHFHWCRMPLCN76 / Slot1.2_10 / Principal"/>
    <x v="0"/>
    <b v="0"/>
    <s v="No está en VPC"/>
    <n v="846"/>
    <s v="INTPG_ACC_846_1.14"/>
    <s v="ISEL-1.14"/>
    <n v="2"/>
    <s v="NO TIENE L3OUT"/>
    <n v="242"/>
    <n v="54"/>
  </r>
  <r>
    <n v="838"/>
    <x v="2"/>
    <x v="84"/>
    <s v="eth1/14"/>
    <x v="0"/>
    <x v="0"/>
    <x v="0"/>
    <s v="LINK_To_ITHFHWCBSPSUSBD27 / Slot1.3_8 / Principal"/>
    <x v="0"/>
    <b v="0"/>
    <s v="No está en VPC"/>
    <n v="838"/>
    <s v="INTPG_VPC_838_1.14_843_1.14"/>
    <s v="ISEL-1.14"/>
    <n v="1"/>
    <s v="NO TIENE L3OUT"/>
    <n v="38"/>
    <n v="54"/>
  </r>
  <r>
    <n v="849"/>
    <x v="2"/>
    <x v="85"/>
    <s v="eth1/14"/>
    <x v="0"/>
    <x v="0"/>
    <x v="0"/>
    <s v="LINK_TO_ITHFHWCRMPLCN139 / Slot7.1_12 / Redundante"/>
    <x v="0"/>
    <b v="0"/>
    <s v="No está en VPC"/>
    <n v="849"/>
    <s v="INTPG_ACC_849_1.14"/>
    <s v="ISEL-1.14"/>
    <n v="6"/>
    <s v="NO TIENE L3OUT"/>
    <n v="286"/>
    <n v="54"/>
  </r>
  <r>
    <n v="845"/>
    <x v="2"/>
    <x v="86"/>
    <s v="eth1/14"/>
    <x v="0"/>
    <x v="0"/>
    <x v="0"/>
    <s v="LINK_TO_ITHFHWCRMPLCN88 / Slot1.3_8 / Principal"/>
    <x v="0"/>
    <b v="0"/>
    <s v="No está en VPC"/>
    <n v="845"/>
    <s v="INTPG_ACC_845_1.14"/>
    <s v="ISEL-1.14"/>
    <n v="1"/>
    <s v="NO TIENE L3OUT"/>
    <n v="258"/>
    <n v="54"/>
  </r>
  <r>
    <n v="873"/>
    <x v="2"/>
    <x v="87"/>
    <s v="eth1/14"/>
    <x v="0"/>
    <x v="0"/>
    <x v="0"/>
    <s v="TO_ITHFHWCRMDLCN57_Principal"/>
    <x v="0"/>
    <b v="0"/>
    <s v="No está en VPC"/>
    <n v="873"/>
    <s v="INTPG_ACC_873_1.14"/>
    <s v="ISEL-1.14"/>
    <n v="1"/>
    <s v="NO TIENE L3OUT"/>
    <n v="248"/>
    <n v="54"/>
  </r>
  <r>
    <n v="864"/>
    <x v="2"/>
    <x v="88"/>
    <s v="eth1/14"/>
    <x v="0"/>
    <x v="0"/>
    <x v="0"/>
    <s v="To_VPC_2DCBSD_HD35_2"/>
    <x v="0"/>
    <b v="0"/>
    <s v="No está en VPC"/>
    <n v="864"/>
    <s v="INTPG_VPC_859_1.14_864_1.14"/>
    <s v="ISEL-1.14"/>
    <n v="1"/>
    <s v="NO TIENE L3OUT"/>
    <n v="0"/>
    <n v="54"/>
  </r>
  <r>
    <n v="836"/>
    <x v="2"/>
    <x v="89"/>
    <s v="eth1/14"/>
    <x v="0"/>
    <x v="0"/>
    <x v="0"/>
    <s v="LINK_TO_ITHFHWCBSPSWR50 / Slot1.1_28 / Principal"/>
    <x v="0"/>
    <b v="0"/>
    <s v="No está en VPC"/>
    <n v="836"/>
    <s v="INTPG_VPC_836_1.14_841_1.14"/>
    <s v="ISEL-1.14"/>
    <n v="2"/>
    <s v="NO TIENE L3OUT"/>
    <n v="0"/>
    <n v="54"/>
  </r>
  <r>
    <n v="834"/>
    <x v="2"/>
    <x v="90"/>
    <s v="eth1/14"/>
    <x v="0"/>
    <x v="0"/>
    <x v="0"/>
    <s v="LINK_TO_ITHFHWCBSPSWR62 / Slot1.2_12 / Principal"/>
    <x v="0"/>
    <b v="0"/>
    <s v="No está en VPC"/>
    <n v="834"/>
    <s v="INTPG_VPC_834_1.14_839_1.14"/>
    <s v="ISEL-1.14"/>
    <n v="1"/>
    <s v="NO TIENE L3OUT"/>
    <n v="0"/>
    <n v="54"/>
  </r>
  <r>
    <n v="872"/>
    <x v="2"/>
    <x v="91"/>
    <s v="eth1/14"/>
    <x v="0"/>
    <x v="0"/>
    <x v="0"/>
    <s v="To_ITHFHWCRMDLCN73_Principal"/>
    <x v="0"/>
    <b v="0"/>
    <s v="No está en VPC"/>
    <n v="872"/>
    <s v="INTPG_ACC_872_1.14"/>
    <s v="ISEL-1.14"/>
    <n v="1"/>
    <s v="NO TIENE L3OUT"/>
    <n v="288"/>
    <n v="54"/>
  </r>
  <r>
    <n v="842"/>
    <x v="2"/>
    <x v="92"/>
    <s v="eth1/14"/>
    <x v="0"/>
    <x v="0"/>
    <x v="0"/>
    <s v="LINK_TO_ITHFHWCBSPSUSBD30 / Slot7.1_10 / Redundante"/>
    <x v="0"/>
    <b v="0"/>
    <s v="No está en VPC"/>
    <n v="842"/>
    <s v="INTPG_VPC_837_1.14_842_1.14"/>
    <s v="ISEL-1.14"/>
    <n v="2"/>
    <s v="NO TIENE L3OUT"/>
    <n v="8"/>
    <n v="54"/>
  </r>
  <r>
    <n v="828"/>
    <x v="2"/>
    <x v="93"/>
    <s v="eth1/14"/>
    <x v="0"/>
    <x v="0"/>
    <x v="0"/>
    <s v="LINK_TO_ITHFHWCRMDLCN20 /Slot5.2 /Principal"/>
    <x v="0"/>
    <b v="0"/>
    <s v="No está en VPC"/>
    <n v="828"/>
    <s v="INTPG_ACC_828_1.14"/>
    <s v="ISEL-1.14"/>
    <n v="5"/>
    <s v="NO TIENE L3OUT"/>
    <n v="192"/>
    <n v="54"/>
  </r>
  <r>
    <n v="870"/>
    <x v="2"/>
    <x v="94"/>
    <s v="eth1/14"/>
    <x v="0"/>
    <x v="0"/>
    <x v="0"/>
    <s v="TO_ITHFHWCRMDLCN57_Redundante"/>
    <x v="0"/>
    <b v="0"/>
    <s v="No está en VPC"/>
    <n v="870"/>
    <s v="INTPG_ACC_870_1.14"/>
    <s v="ISEL-1.14"/>
    <n v="1"/>
    <s v="NO TIENE L3OUT"/>
    <n v="248"/>
    <n v="54"/>
  </r>
  <r>
    <n v="866"/>
    <x v="2"/>
    <x v="95"/>
    <s v="eth1/14"/>
    <x v="0"/>
    <x v="0"/>
    <x v="0"/>
    <s v="To_VPC_2DCBSD_HD21_1"/>
    <x v="0"/>
    <b v="0"/>
    <s v="No está en VPC"/>
    <n v="866"/>
    <s v="INTPG_VPC_861_1.14_866_1.14"/>
    <s v="ISEL-1.14"/>
    <n v="2"/>
    <s v="NO TIENE L3OUT"/>
    <n v="8"/>
    <n v="54"/>
  </r>
  <r>
    <n v="862"/>
    <x v="2"/>
    <x v="96"/>
    <s v="eth1/14"/>
    <x v="0"/>
    <x v="0"/>
    <x v="0"/>
    <s v="TO-ITHFSUEXG2XCN03_PCI8.P1"/>
    <x v="0"/>
    <b v="0"/>
    <s v="No está en VPC"/>
    <n v="862"/>
    <s v="INTPG_ACC_862_1.14"/>
    <s v="ISEL-1.14"/>
    <n v="2"/>
    <s v="NO TIENE L3OUT"/>
    <n v="44"/>
    <n v="54"/>
  </r>
  <r>
    <n v="855"/>
    <x v="2"/>
    <x v="97"/>
    <s v="eth1/14"/>
    <x v="0"/>
    <x v="0"/>
    <x v="0"/>
    <s v="LINK_TO_ITHFHWCRMPLCN159 / Slot1.1_20 / Principal"/>
    <x v="0"/>
    <b v="0"/>
    <s v="No está en VPC"/>
    <n v="855"/>
    <s v="INTPG_ACC_855_1.14"/>
    <s v="ISEL-1.14"/>
    <n v="6"/>
    <s v="NO TIENE L3OUT"/>
    <n v="254"/>
    <n v="54"/>
  </r>
  <r>
    <n v="871"/>
    <x v="2"/>
    <x v="98"/>
    <s v="eth1/14"/>
    <x v="0"/>
    <x v="0"/>
    <x v="0"/>
    <s v="TO_ITHFHWCRMDLCN85_Principal"/>
    <x v="0"/>
    <b v="0"/>
    <s v="No está en VPC"/>
    <n v="871"/>
    <s v="INTPG_ACC_871_1.14"/>
    <s v="ISEL-1.14"/>
    <n v="2"/>
    <s v="NO TIENE L3OUT"/>
    <n v="246"/>
    <n v="54"/>
  </r>
  <r>
    <n v="841"/>
    <x v="2"/>
    <x v="99"/>
    <s v="eth1/14"/>
    <x v="0"/>
    <x v="0"/>
    <x v="0"/>
    <s v="LINK_TO_ITHFHWCBSPSWR50 / Slot7.1_28 / Redundante"/>
    <x v="0"/>
    <b v="0"/>
    <s v="No está en VPC"/>
    <n v="841"/>
    <s v="INTPG_VPC_836_1.14_841_1.14"/>
    <s v="ISEL-1.14"/>
    <n v="2"/>
    <s v="NO TIENE L3OUT"/>
    <n v="0"/>
    <n v="54"/>
  </r>
  <r>
    <n v="868"/>
    <x v="2"/>
    <x v="100"/>
    <s v="eth1/14"/>
    <x v="0"/>
    <x v="0"/>
    <x v="0"/>
    <s v="TO_ITHFHWCRMDLCN85_Redundante"/>
    <x v="0"/>
    <b v="0"/>
    <s v="No está en VPC"/>
    <n v="868"/>
    <s v="INTPG_ACC_868_1.14"/>
    <s v="ISEL-1.14"/>
    <n v="2"/>
    <s v="NO TIENE L3OUT"/>
    <n v="246"/>
    <n v="54"/>
  </r>
  <r>
    <n v="869"/>
    <x v="2"/>
    <x v="101"/>
    <s v="eth1/14"/>
    <x v="0"/>
    <x v="0"/>
    <x v="0"/>
    <s v="To_ITHFHWCRMDLCN73_Redundante"/>
    <x v="0"/>
    <b v="0"/>
    <s v="No está en VPC"/>
    <n v="869"/>
    <s v="INTPG_ACC_869_1.14"/>
    <s v="ISEL-1.14"/>
    <n v="1"/>
    <s v="NO TIENE L3OUT"/>
    <n v="288"/>
    <n v="54"/>
  </r>
  <r>
    <n v="861"/>
    <x v="2"/>
    <x v="102"/>
    <s v="eth1/14"/>
    <x v="0"/>
    <x v="0"/>
    <x v="0"/>
    <s v="To_VPC_2DCBSD_HD21_1"/>
    <x v="0"/>
    <b v="0"/>
    <s v="No está en VPC"/>
    <n v="861"/>
    <s v="INTPG_VPC_861_1.14_866_1.14"/>
    <s v="ISEL-1.14"/>
    <n v="2"/>
    <s v="NO TIENE L3OUT"/>
    <n v="8"/>
    <n v="54"/>
  </r>
  <r>
    <n v="874"/>
    <x v="2"/>
    <x v="103"/>
    <s v="eth1/14"/>
    <x v="0"/>
    <x v="0"/>
    <x v="0"/>
    <s v="LINK_TO_ITHFHWSEQLIMPS25 / Slot 5 PTO 1 / Redundante"/>
    <x v="4"/>
    <b v="0"/>
    <s v="No está en VPC"/>
    <n v="874"/>
    <s v="INTPG_ACC_874_1.14"/>
    <s v="ISEL-1.14"/>
    <n v="1"/>
    <s v="NO TIENE L3OUT"/>
    <n v="92"/>
    <n v="54"/>
  </r>
  <r>
    <n v="865"/>
    <x v="2"/>
    <x v="104"/>
    <s v="eth1/14"/>
    <x v="0"/>
    <x v="0"/>
    <x v="0"/>
    <s v="To_VPC_2DCBSD_HD27_2"/>
    <x v="0"/>
    <b v="0"/>
    <s v="No está en VPC"/>
    <n v="865"/>
    <s v="INTPG_VPC_860_1.14_865_1.14"/>
    <s v="ISEL-1.14"/>
    <n v="1"/>
    <s v="NO TIENE L3OUT"/>
    <n v="0"/>
    <n v="54"/>
  </r>
  <r>
    <n v="753"/>
    <x v="2"/>
    <x v="105"/>
    <s v="eth1/14"/>
    <x v="0"/>
    <x v="0"/>
    <x v="0"/>
    <s v="OSS F1:ithenmr03e2r9c:Bay1/X2"/>
    <x v="0"/>
    <b v="0"/>
    <s v="No está en VPC"/>
    <n v="753"/>
    <s v="INTPG_PC_753_1.13-14"/>
    <s v="ISEL-1.14"/>
    <n v="8"/>
    <s v="NO TIENE L3OUT"/>
    <n v="62"/>
    <n v="54"/>
  </r>
  <r>
    <n v="708"/>
    <x v="2"/>
    <x v="106"/>
    <s v="eth1/14"/>
    <x v="0"/>
    <x v="1"/>
    <x v="5"/>
    <s v="CEM:ITHCEME2DAT07:LOM  P2"/>
    <x v="0"/>
    <b v="0"/>
    <s v="No está en VPC"/>
    <n v="708"/>
    <s v="INTPG_VPC_708_1.14_709_1.13"/>
    <s v="ISEL-1.14"/>
    <n v="1"/>
    <s v="NO TIENE L3OUT"/>
    <n v="0"/>
    <n v="54"/>
  </r>
  <r>
    <n v="710"/>
    <x v="2"/>
    <x v="107"/>
    <s v="eth1/14"/>
    <x v="0"/>
    <x v="0"/>
    <x v="0"/>
    <s v="CEM:ITHCEMC2DAT07:LOM  P2"/>
    <x v="0"/>
    <b v="0"/>
    <s v="No está en VPC"/>
    <n v="710"/>
    <s v="INTPG_ACC_710_1.14"/>
    <s v="ISEL-1.14"/>
    <n v="1"/>
    <s v="NO TIENE L3OUT"/>
    <n v="16"/>
    <n v="54"/>
  </r>
  <r>
    <n v="713"/>
    <x v="2"/>
    <x v="108"/>
    <s v="eth1/14"/>
    <x v="0"/>
    <x v="0"/>
    <x v="0"/>
    <s v="CEM:ITHCEMB2DAT07:LOM  P2"/>
    <x v="0"/>
    <b v="0"/>
    <s v="No está en VPC"/>
    <n v="713"/>
    <s v="INTPG_ACC_713_1.14"/>
    <s v="ISEL-1.14"/>
    <n v="1"/>
    <s v="NO TIENE L3OUT"/>
    <n v="32"/>
    <n v="54"/>
  </r>
  <r>
    <n v="735"/>
    <x v="2"/>
    <x v="109"/>
    <s v="eth1/14"/>
    <x v="0"/>
    <x v="1"/>
    <x v="1"/>
    <s v="CEM"/>
    <x v="5"/>
    <b v="0"/>
    <s v="No está en VPC"/>
    <n v="735"/>
    <s v="INTPG_ACC_735_1.14"/>
    <s v="ISEL-1.14"/>
    <n v="0"/>
    <s v="NO TIENE L3OUT"/>
    <n v="34"/>
    <n v="54"/>
  </r>
  <r>
    <n v="731"/>
    <x v="2"/>
    <x v="110"/>
    <s v="eth1/14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14"/>
    <x v="0"/>
    <x v="1"/>
    <x v="5"/>
    <m/>
    <x v="0"/>
    <b v="0"/>
    <s v="No está en VPC"/>
    <n v="703"/>
    <s v="INTPG_VPC_704_1.13_703_1.14"/>
    <s v="ISEL-1.14"/>
    <n v="1"/>
    <s v="NO TIENE L3OUT"/>
    <n v="2"/>
    <n v="54"/>
  </r>
  <r>
    <n v="706"/>
    <x v="2"/>
    <x v="112"/>
    <s v="eth1/14"/>
    <x v="0"/>
    <x v="0"/>
    <x v="0"/>
    <m/>
    <x v="0"/>
    <b v="0"/>
    <s v="No está en VPC"/>
    <n v="706"/>
    <s v="INTPG_VPC_705_1.13_706_1.14"/>
    <s v="ISEL-1.14"/>
    <n v="2"/>
    <s v="NO TIENE L3OUT"/>
    <n v="16"/>
    <n v="54"/>
  </r>
  <r>
    <n v="762"/>
    <x v="2"/>
    <x v="113"/>
    <s v="eth1/14"/>
    <x v="0"/>
    <x v="0"/>
    <x v="0"/>
    <s v="PAAS:ithhwoscopap014:LOM PORT 3"/>
    <x v="0"/>
    <b v="0"/>
    <s v="No está en VPC"/>
    <n v="762"/>
    <s v="INTPG_VPC_762_1.14_763_1.14"/>
    <s v="ISEL-1.14"/>
    <n v="15"/>
    <s v="NO TIENE L3OUT"/>
    <n v="0"/>
    <n v="54"/>
  </r>
  <r>
    <n v="814"/>
    <x v="2"/>
    <x v="114"/>
    <s v="eth1/14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14"/>
    <x v="0"/>
    <x v="0"/>
    <x v="0"/>
    <s v="HACIA_CSI-A-OSCP-F4-14_SECUNDARIO"/>
    <x v="4"/>
    <b v="0"/>
    <s v="No está en VPC"/>
    <n v="878"/>
    <s v="INTPG_VPC_878_1.14_879_1.14"/>
    <s v="ISEL-1.14"/>
    <n v="2"/>
    <s v="NO TIENE L3OUT"/>
    <n v="0"/>
    <n v="54"/>
  </r>
  <r>
    <n v="826"/>
    <x v="2"/>
    <x v="116"/>
    <s v="eth1/14"/>
    <x v="0"/>
    <x v="0"/>
    <x v="0"/>
    <s v="LINK_TO_ITHFHWCBSDSHD14 /10GE.1 /Principal"/>
    <x v="0"/>
    <b v="0"/>
    <s v="No está en VPC"/>
    <n v="826"/>
    <s v="INTPG_VPC_826_1.14_830_1.14"/>
    <s v="ISEL-1.14"/>
    <n v="1"/>
    <s v="NO TIENE L3OUT"/>
    <n v="12"/>
    <n v="54"/>
  </r>
  <r>
    <n v="726"/>
    <x v="2"/>
    <x v="117"/>
    <s v="eth1/14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14"/>
    <x v="0"/>
    <x v="0"/>
    <x v="0"/>
    <s v="CEM:ITHCEMD2DAT07:FLEXIO P1"/>
    <x v="5"/>
    <b v="0"/>
    <s v="No está en VPC"/>
    <n v="740"/>
    <s v="INTPG_ACC_740_1.14"/>
    <s v="ISEL-1.14"/>
    <n v="1"/>
    <s v="NO TIENE L3OUT"/>
    <n v="72"/>
    <n v="54"/>
  </r>
  <r>
    <n v="705"/>
    <x v="2"/>
    <x v="119"/>
    <s v="eth1/14"/>
    <x v="0"/>
    <x v="0"/>
    <x v="0"/>
    <s v="ITHCEMA1DAT07-LOM-P2"/>
    <x v="0"/>
    <b v="0"/>
    <s v="No está en VPC"/>
    <n v="705"/>
    <s v="INTPG_ACC_705_1.14"/>
    <s v="ISEL-1.14"/>
    <n v="1"/>
    <s v="NO TIENE L3OUT"/>
    <n v="16"/>
    <n v="54"/>
  </r>
  <r>
    <n v="723"/>
    <x v="2"/>
    <x v="120"/>
    <s v="eth1/14"/>
    <x v="0"/>
    <x v="0"/>
    <x v="0"/>
    <m/>
    <x v="0"/>
    <b v="0"/>
    <s v="No está en VPC"/>
    <n v="723"/>
    <s v="INTPG-VPC_HDD127_722_1.13_723_1.14"/>
    <s v="ISEL-1.14"/>
    <n v="1"/>
    <s v="NO TIENE L3OUT"/>
    <n v="0"/>
    <n v="54"/>
  </r>
  <r>
    <n v="721"/>
    <x v="2"/>
    <x v="121"/>
    <s v="eth1/14"/>
    <x v="0"/>
    <x v="0"/>
    <x v="0"/>
    <s v="ITHORNG1DAT09_SLOT 4 P1"/>
    <x v="0"/>
    <b v="0"/>
    <s v="No está en VPC"/>
    <n v="721"/>
    <s v="INTPG_ACC_721_1.14"/>
    <s v="ISEL-1.14"/>
    <n v="2"/>
    <s v="NO TIENE L3OUT"/>
    <n v="20"/>
    <n v="54"/>
  </r>
  <r>
    <n v="788"/>
    <x v="2"/>
    <x v="122"/>
    <s v="eth1/14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14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14"/>
    <x v="0"/>
    <x v="1"/>
    <x v="1"/>
    <m/>
    <x v="0"/>
    <b v="0"/>
    <s v="No está en VPC"/>
    <n v="720"/>
    <s v="INTPG-VPC_MGN02_719_1.13_720_1.14"/>
    <s v="ISEL-1.14"/>
    <n v="1"/>
    <s v="NO TIENE L3OUT"/>
    <n v="0"/>
    <n v="54"/>
  </r>
  <r>
    <n v="709"/>
    <x v="2"/>
    <x v="125"/>
    <s v="eth1/14"/>
    <x v="0"/>
    <x v="1"/>
    <x v="5"/>
    <s v="CEM:ITHCEMF2DAT07:LOM  P2"/>
    <x v="0"/>
    <b v="0"/>
    <s v="No está en VPC"/>
    <n v="709"/>
    <s v="INTPG_VPC_708_1.13_709_1.14"/>
    <s v="ISEL-1.14"/>
    <n v="1"/>
    <s v="NO TIENE L3OUT"/>
    <n v="0"/>
    <n v="54"/>
  </r>
  <r>
    <n v="454"/>
    <x v="1"/>
    <x v="126"/>
    <s v="eth1/14"/>
    <x v="0"/>
    <x v="0"/>
    <x v="0"/>
    <s v="HACIA_CSI-A-OSCP-F4-02_PRINCIPAL"/>
    <x v="4"/>
    <b v="0"/>
    <s v="No está en VPC"/>
    <n v="454"/>
    <s v="INTPG_VPC_454_1.14_456_1.14"/>
    <s v="ISEL-1.14"/>
    <n v="2"/>
    <s v="NO TIENE L3OUT"/>
    <n v="4"/>
    <n v="54"/>
  </r>
  <r>
    <n v="734"/>
    <x v="2"/>
    <x v="127"/>
    <s v="eth1/14"/>
    <x v="0"/>
    <x v="1"/>
    <x v="1"/>
    <s v="CEM:ITHCEMA1DAT07:FLEXIO P1"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14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14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14"/>
    <x v="0"/>
    <x v="0"/>
    <x v="0"/>
    <m/>
    <x v="0"/>
    <b v="0"/>
    <s v="No está en VPC"/>
    <n v="718"/>
    <s v="INTPG-VPC_HDD21_717_1.13_718_1.14"/>
    <s v="ISEL-1.14"/>
    <n v="1"/>
    <s v="NO TIENE L3OUT"/>
    <n v="0"/>
    <n v="54"/>
  </r>
  <r>
    <n v="744"/>
    <x v="2"/>
    <x v="131"/>
    <s v="eth1/14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14"/>
    <x v="0"/>
    <x v="1"/>
    <x v="1"/>
    <s v="CEM:ITHCEMA2DAT07:FLEXIO P1"/>
    <x v="5"/>
    <b v="0"/>
    <s v="No está en VPC"/>
    <n v="741"/>
    <s v="INTPG_ACC_741_1.14"/>
    <s v="ISEL-1.14"/>
    <n v="1"/>
    <s v="NO TIENE L3OUT"/>
    <n v="62"/>
    <n v="54"/>
  </r>
  <r>
    <n v="787"/>
    <x v="2"/>
    <x v="133"/>
    <s v="eth1/14"/>
    <x v="0"/>
    <x v="0"/>
    <x v="0"/>
    <s v="ENIQ F2:itheniqr14e1r4b:BAY2/X1"/>
    <x v="0"/>
    <b v="0"/>
    <s v="No está en VPC"/>
    <n v="787"/>
    <s v="INTPG_PC_787_1.14-15"/>
    <s v="ISEL-1.14"/>
    <n v="3"/>
    <s v="NO TIENE L3OUT"/>
    <n v="26"/>
    <n v="54"/>
  </r>
  <r>
    <n v="750"/>
    <x v="2"/>
    <x v="134"/>
    <s v="eth1/14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14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14"/>
    <x v="0"/>
    <x v="1"/>
    <x v="3"/>
    <s v="CEM:ITHCEMG2DAT07:SLOT1 P1"/>
    <x v="0"/>
    <b v="0"/>
    <s v="No está en VPC"/>
    <n v="736"/>
    <s v="INTPG_ACC_736_1.14"/>
    <s v="ISEL-1.14"/>
    <n v="1"/>
    <s v="NO TIENE L3OUT"/>
    <n v="48"/>
    <n v="54"/>
  </r>
  <r>
    <n v="799"/>
    <x v="2"/>
    <x v="137"/>
    <s v="eth1/14"/>
    <x v="0"/>
    <x v="0"/>
    <x v="0"/>
    <s v="TO-IMC_PS02-MSP"/>
    <x v="0"/>
    <b v="0"/>
    <s v="No está en VPC"/>
    <n v="799"/>
    <s v="INTPG_ACC_799_1.14"/>
    <s v="ISEL-1.14"/>
    <n v="1"/>
    <s v="NO TIENE L3OUT"/>
    <n v="52"/>
    <n v="54"/>
  </r>
  <r>
    <n v="768"/>
    <x v="2"/>
    <x v="138"/>
    <s v="eth1/14"/>
    <x v="0"/>
    <x v="0"/>
    <x v="0"/>
    <s v="Portchannel_5_R3"/>
    <x v="0"/>
    <b v="0"/>
    <s v="No está en VPC"/>
    <n v="768"/>
    <s v="INTPG_PC_768_1.13-14"/>
    <s v="ISEL-1.14"/>
    <n v="8"/>
    <s v="NO TIENE L3OUT"/>
    <n v="62"/>
    <n v="54"/>
  </r>
  <r>
    <n v="714"/>
    <x v="2"/>
    <x v="139"/>
    <s v="eth1/14"/>
    <x v="0"/>
    <x v="0"/>
    <x v="0"/>
    <s v="TO-ITHFHWVRALCN04"/>
    <x v="0"/>
    <b v="0"/>
    <s v="No está en VPC"/>
    <n v="714"/>
    <s v="INTPG_VPC_714_1.14_721_1.13"/>
    <s v="ISEL-1.14"/>
    <n v="108"/>
    <s v="NO TIENE L3OUT"/>
    <n v="20"/>
    <n v="54"/>
  </r>
  <r>
    <n v="717"/>
    <x v="2"/>
    <x v="140"/>
    <s v="eth1/14"/>
    <x v="0"/>
    <x v="0"/>
    <x v="0"/>
    <m/>
    <x v="0"/>
    <b v="0"/>
    <s v="No está en VPC"/>
    <n v="717"/>
    <s v="INTPG-VPC_HDD11_718_1.13_717_1.14"/>
    <s v="ISEL-1.14"/>
    <n v="1"/>
    <s v="NO TIENE L3OUT"/>
    <n v="0"/>
    <n v="54"/>
  </r>
  <r>
    <n v="789"/>
    <x v="2"/>
    <x v="141"/>
    <s v="eth1/14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14"/>
    <x v="0"/>
    <x v="0"/>
    <x v="0"/>
    <s v="Portchannel_5_R1"/>
    <x v="0"/>
    <b v="0"/>
    <s v="No está en VPC"/>
    <n v="764"/>
    <s v="INTPG_PC_764_1.13-14"/>
    <s v="ISEL-1.14"/>
    <n v="8"/>
    <s v="NO TIENE L3OUT"/>
    <n v="62"/>
    <n v="54"/>
  </r>
  <r>
    <n v="783"/>
    <x v="2"/>
    <x v="143"/>
    <s v="eth1/14"/>
    <x v="0"/>
    <x v="0"/>
    <x v="0"/>
    <s v="LACP_VC2_ENIQ9B"/>
    <x v="0"/>
    <b v="0"/>
    <s v="No está en VPC"/>
    <n v="783"/>
    <s v="INTPG_PC_783_1.14-15"/>
    <s v="ISEL-1.14"/>
    <n v="3"/>
    <s v="NO TIENE L3OUT"/>
    <n v="26"/>
    <n v="54"/>
  </r>
  <r>
    <n v="774"/>
    <x v="2"/>
    <x v="144"/>
    <s v="eth1/14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14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14"/>
    <x v="0"/>
    <x v="0"/>
    <x v="0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14"/>
    <x v="0"/>
    <x v="0"/>
    <x v="0"/>
    <s v="TO-HDPS_40-MSP"/>
    <x v="0"/>
    <b v="0"/>
    <s v="No está en VPC"/>
    <n v="803"/>
    <s v="INTPG_ACC_803_1.14"/>
    <s v="ISEL-1.14"/>
    <n v="1"/>
    <s v="NO TIENE L3OUT"/>
    <n v="48"/>
    <n v="54"/>
  </r>
  <r>
    <n v="786"/>
    <x v="2"/>
    <x v="148"/>
    <s v="eth1/14"/>
    <x v="0"/>
    <x v="0"/>
    <x v="0"/>
    <s v="ENIQ F2:itheniqr16e1r4a:BAY2/X1"/>
    <x v="0"/>
    <b v="0"/>
    <s v="No está en VPC"/>
    <n v="786"/>
    <s v="INTPG_PC_786_1.14-15"/>
    <s v="ISEL-1.14"/>
    <n v="3"/>
    <s v="NO TIENE L3OUT"/>
    <n v="26"/>
    <n v="54"/>
  </r>
  <r>
    <n v="757"/>
    <x v="2"/>
    <x v="149"/>
    <s v="eth1/14"/>
    <x v="0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14"/>
    <x v="0"/>
    <x v="0"/>
    <x v="0"/>
    <s v="LACP_VC2_ENIQ1"/>
    <x v="0"/>
    <b v="0"/>
    <s v="No está en VPC"/>
    <n v="781"/>
    <s v="INTPG_PC_781_1.14-15"/>
    <s v="ISEL-1.14"/>
    <n v="3"/>
    <s v="NO TIENE L3OUT"/>
    <n v="26"/>
    <n v="54"/>
  </r>
  <r>
    <n v="793"/>
    <x v="2"/>
    <x v="151"/>
    <s v="eth1/14"/>
    <x v="0"/>
    <x v="0"/>
    <x v="0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14"/>
    <x v="0"/>
    <x v="0"/>
    <x v="0"/>
    <s v="PAAS:ithhwoscopap014:Slot4.1"/>
    <x v="0"/>
    <b v="0"/>
    <s v="No está en VPC"/>
    <n v="747"/>
    <s v="INTPG_VPC_747_1.14_752_1.14"/>
    <s v="ISEL-1.14"/>
    <n v="25"/>
    <s v="NO TIENE L3OUT"/>
    <n v="0"/>
    <n v="54"/>
  </r>
  <r>
    <n v="784"/>
    <x v="2"/>
    <x v="153"/>
    <s v="eth1/14"/>
    <x v="0"/>
    <x v="0"/>
    <x v="0"/>
    <s v="ENIQ F2:itheniqr13e1r6a:BAY2/X1"/>
    <x v="0"/>
    <b v="0"/>
    <s v="No está en VPC"/>
    <n v="784"/>
    <s v="INTPG_PC_784_1.14-15"/>
    <s v="ISEL-1.14"/>
    <n v="3"/>
    <s v="NO TIENE L3OUT"/>
    <n v="26"/>
    <n v="54"/>
  </r>
  <r>
    <n v="806"/>
    <x v="2"/>
    <x v="154"/>
    <s v="eth1/14"/>
    <x v="0"/>
    <x v="0"/>
    <x v="0"/>
    <s v="TO-HDPS_64-MSP"/>
    <x v="0"/>
    <b v="0"/>
    <s v="No está en VPC"/>
    <n v="806"/>
    <s v="INTPG_ACC_806_1.14"/>
    <s v="ISEL-1.14"/>
    <n v="1"/>
    <s v="NO TIENE L3OUT"/>
    <n v="44"/>
    <n v="54"/>
  </r>
  <r>
    <n v="777"/>
    <x v="2"/>
    <x v="155"/>
    <s v="eth1/14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14"/>
    <x v="0"/>
    <x v="0"/>
    <x v="0"/>
    <s v="OSS_ENM"/>
    <x v="0"/>
    <b v="0"/>
    <s v="No está en VPC"/>
    <n v="770"/>
    <s v="INTPG_ACC_770_1.14"/>
    <s v="ISEL-1.14"/>
    <n v="1"/>
    <s v="NO TIENE L3OUT"/>
    <n v="60"/>
    <n v="54"/>
  </r>
  <r>
    <n v="813"/>
    <x v="2"/>
    <x v="157"/>
    <s v="eth1/14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14"/>
    <x v="0"/>
    <x v="1"/>
    <x v="1"/>
    <s v="CEM:ITHCEMC2DAT07:FLEXIO P1"/>
    <x v="5"/>
    <b v="0"/>
    <s v="No está en VPC"/>
    <n v="739"/>
    <s v="INTPG_ACC_739_1.14"/>
    <s v="ISEL-1.14"/>
    <n v="1"/>
    <s v="NO TIENE L3OUT"/>
    <n v="72"/>
    <n v="54"/>
  </r>
  <r>
    <n v="775"/>
    <x v="2"/>
    <x v="159"/>
    <s v="eth1/14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14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14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14"/>
    <x v="0"/>
    <x v="0"/>
    <x v="0"/>
    <s v="LINK_TO_ITHFHWCBSDSHD14 /Slot5.1 /Redundante"/>
    <x v="0"/>
    <b v="0"/>
    <s v="No está en VPC"/>
    <n v="830"/>
    <s v="INTPG_VPC_826_1.14_830_1.14"/>
    <s v="ISEL-1.14"/>
    <n v="1"/>
    <s v="NO TIENE L3OUT"/>
    <n v="12"/>
    <n v="54"/>
  </r>
  <r>
    <n v="821"/>
    <x v="2"/>
    <x v="163"/>
    <s v="eth1/14"/>
    <x v="0"/>
    <x v="0"/>
    <x v="0"/>
    <s v="LINK_TO_ITHFHWCBSPSHD14 /Slot5.1 /Redundante"/>
    <x v="0"/>
    <b v="0"/>
    <s v="No está en VPC"/>
    <n v="821"/>
    <s v="INTPG_VPC_816_1.14_821_1.14"/>
    <s v="ISEL-1.14"/>
    <n v="1"/>
    <s v="NO TIENE L3OUT"/>
    <n v="0"/>
    <n v="54"/>
  </r>
  <r>
    <n v="738"/>
    <x v="2"/>
    <x v="164"/>
    <s v="eth1/14"/>
    <x v="0"/>
    <x v="0"/>
    <x v="0"/>
    <s v="CEM:ITHCEMF2DAT07:FLEXIO P1"/>
    <x v="5"/>
    <b v="0"/>
    <s v="No está en VPC"/>
    <n v="738"/>
    <s v="INTPG_ACC_738_1.14"/>
    <s v="ISEL-1.14"/>
    <n v="1"/>
    <s v="NO TIENE L3OUT"/>
    <n v="72"/>
    <n v="54"/>
  </r>
  <r>
    <n v="820"/>
    <x v="2"/>
    <x v="165"/>
    <s v="eth1/14"/>
    <x v="0"/>
    <x v="0"/>
    <x v="0"/>
    <s v="LINK_TO_ITHHWCRMPEN03 /X2-10GE 2 /Redundante"/>
    <x v="0"/>
    <b v="0"/>
    <s v="No está en VPC"/>
    <n v="820"/>
    <s v="INTPG_VPC_820_1.14_17_825_1.14_17"/>
    <s v="ISEL-1.14"/>
    <n v="4"/>
    <s v="NO TIENE L3OUT"/>
    <n v="72"/>
    <n v="54"/>
  </r>
  <r>
    <n v="804"/>
    <x v="2"/>
    <x v="166"/>
    <s v="eth1/14"/>
    <x v="0"/>
    <x v="0"/>
    <x v="0"/>
    <s v="TO-HDPS_40-MSP"/>
    <x v="0"/>
    <b v="0"/>
    <s v="No está en VPC"/>
    <n v="804"/>
    <s v="INTPG_ACC_804_1.14"/>
    <s v="ISEL-1.14"/>
    <n v="1"/>
    <s v="NO TIENE L3OUT"/>
    <n v="48"/>
    <n v="54"/>
  </r>
  <r>
    <n v="779"/>
    <x v="2"/>
    <x v="167"/>
    <s v="eth1/14"/>
    <x v="0"/>
    <x v="0"/>
    <x v="0"/>
    <s v="ENIQ F1:itheniqr07enclr2:BAY2/X1"/>
    <x v="0"/>
    <b v="0"/>
    <s v="No está en VPC"/>
    <n v="779"/>
    <s v="INTPG_PC_779_1.14-15"/>
    <s v="ISEL-1.14"/>
    <n v="3"/>
    <s v="NO TIENE L3OUT"/>
    <n v="30"/>
    <n v="54"/>
  </r>
  <r>
    <n v="767"/>
    <x v="2"/>
    <x v="168"/>
    <s v="eth1/14"/>
    <x v="0"/>
    <x v="0"/>
    <x v="0"/>
    <s v="Portchannel_7_R3"/>
    <x v="0"/>
    <b v="0"/>
    <s v="No está en VPC"/>
    <n v="767"/>
    <s v="INTPG_PC_767_1.11-14"/>
    <s v="ISEL-1.14"/>
    <n v="1"/>
    <s v="NO TIENE L3OUT"/>
    <n v="60"/>
    <n v="54"/>
  </r>
  <r>
    <n v="827"/>
    <x v="2"/>
    <x v="169"/>
    <s v="eth1/14"/>
    <x v="0"/>
    <x v="0"/>
    <x v="0"/>
    <s v="LINK_TO_ITHFHWCBSDSUSBD10 /Slot5.2 /Principal"/>
    <x v="0"/>
    <b v="0"/>
    <s v="No está en VPC"/>
    <n v="827"/>
    <s v="INTPG_VPC_827_1.14_831_1.14"/>
    <s v="ISEL-1.14"/>
    <n v="2"/>
    <s v="NO TIENE L3OUT"/>
    <n v="14"/>
    <n v="54"/>
  </r>
  <r>
    <n v="809"/>
    <x v="2"/>
    <x v="170"/>
    <s v="eth1/14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14"/>
    <x v="0"/>
    <x v="0"/>
    <x v="0"/>
    <s v="Portchannel_7_R4A"/>
    <x v="0"/>
    <b v="0"/>
    <s v="No está en VPC"/>
    <n v="771"/>
    <s v="INTPG_PC_771_1.13-16"/>
    <s v="ISEL-1.14"/>
    <n v="1"/>
    <s v="NO TIENE L3OUT"/>
    <n v="62"/>
    <n v="54"/>
  </r>
  <r>
    <n v="761"/>
    <x v="2"/>
    <x v="172"/>
    <s v="eth1/14"/>
    <x v="0"/>
    <x v="1"/>
    <x v="1"/>
    <m/>
    <x v="0"/>
    <b v="0"/>
    <s v="No está en VPC"/>
    <n v="761"/>
    <s v="INTPG_VPC_760_1.13-16_761_1.13-16"/>
    <s v="ISEL-1.14"/>
    <n v="0"/>
    <s v="L3OUT-EXACLOUD"/>
    <n v="0"/>
    <n v="54"/>
  </r>
  <r>
    <n v="776"/>
    <x v="2"/>
    <x v="173"/>
    <s v="eth1/14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14"/>
    <x v="0"/>
    <x v="0"/>
    <x v="0"/>
    <s v="TO-HDPS_64-MSP"/>
    <x v="0"/>
    <b v="0"/>
    <s v="No está en VPC"/>
    <n v="805"/>
    <s v="INTPG_ACC_805_1.14"/>
    <s v="ISEL-1.14"/>
    <n v="1"/>
    <s v="NO TIENE L3OUT"/>
    <n v="44"/>
    <n v="54"/>
  </r>
  <r>
    <n v="772"/>
    <x v="2"/>
    <x v="175"/>
    <s v="eth1/14"/>
    <x v="0"/>
    <x v="0"/>
    <x v="0"/>
    <s v="Portchannel_5_R2"/>
    <x v="0"/>
    <b v="0"/>
    <s v="No está en VPC"/>
    <n v="772"/>
    <s v="INTPG_PC_772_1.13-14"/>
    <s v="ISEL-1.14"/>
    <n v="8"/>
    <s v="NO TIENE L3OUT"/>
    <n v="82"/>
    <n v="54"/>
  </r>
  <r>
    <n v="785"/>
    <x v="2"/>
    <x v="176"/>
    <s v="eth1/14"/>
    <x v="0"/>
    <x v="0"/>
    <x v="0"/>
    <s v="ENIQ F2:itheniqr12e1r6b:BAY2/X1"/>
    <x v="0"/>
    <b v="0"/>
    <s v="No está en VPC"/>
    <n v="785"/>
    <s v="INTPG_PC_785_1.14-15"/>
    <s v="ISEL-1.14"/>
    <n v="3"/>
    <s v="NO TIENE L3OUT"/>
    <n v="32"/>
    <n v="54"/>
  </r>
  <r>
    <n v="851"/>
    <x v="2"/>
    <x v="177"/>
    <s v="eth1/14"/>
    <x v="0"/>
    <x v="0"/>
    <x v="0"/>
    <s v="LINK_TO_ITHFHWCRMPLCN105 / Slot7.2_14 / Redundante"/>
    <x v="0"/>
    <b v="0"/>
    <s v="No está en VPC"/>
    <n v="851"/>
    <s v="INTPG_ACC_851_1.14"/>
    <s v="ISEL-1.14"/>
    <n v="2"/>
    <s v="NO TIENE L3OUT"/>
    <n v="282"/>
    <n v="54"/>
  </r>
  <r>
    <n v="798"/>
    <x v="2"/>
    <x v="178"/>
    <s v="eth1/14"/>
    <x v="0"/>
    <x v="0"/>
    <x v="0"/>
    <s v="TO-IMC_PS02-MSP"/>
    <x v="0"/>
    <b v="0"/>
    <s v="No está en VPC"/>
    <n v="798"/>
    <s v="INTPG_ACC_798_1.14"/>
    <s v="ISEL-1.14"/>
    <n v="1"/>
    <s v="NO TIENE L3OUT"/>
    <n v="52"/>
    <n v="54"/>
  </r>
  <r>
    <n v="782"/>
    <x v="2"/>
    <x v="179"/>
    <s v="eth1/14"/>
    <x v="0"/>
    <x v="0"/>
    <x v="0"/>
    <s v="LACP_VC2_ENIQ9A"/>
    <x v="0"/>
    <b v="0"/>
    <s v="No está en VPC"/>
    <n v="782"/>
    <s v="INTPG_PC_782_1.14-15"/>
    <s v="ISEL-1.14"/>
    <n v="3"/>
    <s v="NO TIENE L3OUT"/>
    <n v="32"/>
    <n v="54"/>
  </r>
  <r>
    <n v="852"/>
    <x v="2"/>
    <x v="180"/>
    <s v="eth1/14"/>
    <x v="0"/>
    <x v="0"/>
    <x v="0"/>
    <s v="LINK_TO_ITHFHWCRMPLCN88 / Slot7.3_8 / Redundante"/>
    <x v="0"/>
    <b v="0"/>
    <s v="No está en VPC"/>
    <n v="852"/>
    <s v="INTPG_ACC_852_1.14"/>
    <s v="ISEL-1.14"/>
    <n v="1"/>
    <s v="NO TIENE L3OUT"/>
    <n v="258"/>
    <n v="54"/>
  </r>
  <r>
    <n v="817"/>
    <x v="2"/>
    <x v="181"/>
    <s v="eth1/14"/>
    <x v="0"/>
    <x v="0"/>
    <x v="0"/>
    <s v="LINK_TO_ITHFHWCBSPSUSBD10 /10GE.1 /Principal"/>
    <x v="0"/>
    <b v="0"/>
    <s v="No está en VPC"/>
    <n v="817"/>
    <s v="INTPG_VPC_817_1.14_822_1.14"/>
    <s v="ISEL-1.14"/>
    <n v="1"/>
    <s v="NO TIENE L3OUT"/>
    <n v="0"/>
    <n v="54"/>
  </r>
  <r>
    <n v="832"/>
    <x v="2"/>
    <x v="182"/>
    <s v="eth1/14"/>
    <x v="0"/>
    <x v="0"/>
    <x v="0"/>
    <s v="LINK_TO_ITHFHWCRMDLCN20 /Slot7.2 /Redundante"/>
    <x v="0"/>
    <b v="0"/>
    <s v="No está en VPC"/>
    <n v="832"/>
    <s v="INTPG_ACC_832_1.14"/>
    <s v="ISEL-1.14"/>
    <n v="5"/>
    <s v="NO TIENE L3OUT"/>
    <n v="192"/>
    <n v="54"/>
  </r>
  <r>
    <n v="816"/>
    <x v="2"/>
    <x v="183"/>
    <s v="eth1/14"/>
    <x v="0"/>
    <x v="0"/>
    <x v="0"/>
    <s v="LINK_TO_ITHFHWCBSPSHD14 /10GE.1 /Principal"/>
    <x v="0"/>
    <b v="0"/>
    <s v="No está en VPC"/>
    <n v="816"/>
    <s v="INTPG_VPC_816_1.14_821_1.14"/>
    <s v="ISEL-1.14"/>
    <n v="1"/>
    <s v="NO TIENE L3OUT"/>
    <n v="0"/>
    <n v="54"/>
  </r>
  <r>
    <n v="825"/>
    <x v="2"/>
    <x v="184"/>
    <s v="eth1/14"/>
    <x v="0"/>
    <x v="0"/>
    <x v="0"/>
    <s v="LINK_TO_ITHHWCRMPEN03 /X2-10GE 1 /Principal"/>
    <x v="0"/>
    <b v="0"/>
    <s v="No está en VPC"/>
    <n v="825"/>
    <s v="INTPG_VPC_820_1.14_17_825_1.14_17"/>
    <s v="ISEL-1.14"/>
    <n v="4"/>
    <s v="NO TIENE L3OUT"/>
    <n v="72"/>
    <n v="54"/>
  </r>
  <r>
    <n v="800"/>
    <x v="2"/>
    <x v="185"/>
    <s v="eth1/14"/>
    <x v="0"/>
    <x v="0"/>
    <x v="0"/>
    <s v="TO-IMC_PS01-MSP"/>
    <x v="0"/>
    <b v="0"/>
    <s v="No está en VPC"/>
    <n v="800"/>
    <s v="INTPG_ACC_800_1.14"/>
    <s v="ISEL-1.14"/>
    <n v="1"/>
    <s v="NO TIENE L3OUT"/>
    <n v="78"/>
    <n v="54"/>
  </r>
  <r>
    <n v="801"/>
    <x v="2"/>
    <x v="186"/>
    <s v="eth1/14"/>
    <x v="0"/>
    <x v="0"/>
    <x v="0"/>
    <s v="TO-IMC_PS01-MSP"/>
    <x v="0"/>
    <b v="0"/>
    <s v="No está en VPC"/>
    <n v="801"/>
    <s v="INTPG_ACC_801_1.14"/>
    <s v="ISEL-1.14"/>
    <n v="1"/>
    <s v="NO TIENE L3OUT"/>
    <n v="78"/>
    <n v="54"/>
  </r>
  <r>
    <n v="823"/>
    <x v="2"/>
    <x v="187"/>
    <s v="eth1/14"/>
    <x v="0"/>
    <x v="0"/>
    <x v="0"/>
    <s v="LINK_TO_ITHFHWCBSPSUSBD17 /Slot7.2 /Redundante"/>
    <x v="0"/>
    <b v="0"/>
    <s v="No está en VPC"/>
    <n v="823"/>
    <s v="INTPG_VPC_818_1.14_823_1.14"/>
    <s v="ISEL-1.14"/>
    <n v="2"/>
    <s v="NO TIENE L3OUT"/>
    <n v="8"/>
    <n v="54"/>
  </r>
  <r>
    <n v="837"/>
    <x v="2"/>
    <x v="188"/>
    <s v="eth1/14"/>
    <x v="0"/>
    <x v="0"/>
    <x v="0"/>
    <s v="LINK_TO_ITHFHWCBSPSUSBD30 / Slot1.1_10 / Principal"/>
    <x v="0"/>
    <b v="0"/>
    <s v="No está en VPC"/>
    <n v="837"/>
    <s v="INTPG_VPC_837_1.14_842_1.14"/>
    <s v="ISEL-1.14"/>
    <n v="2"/>
    <s v="NO TIENE L3OUT"/>
    <n v="8"/>
    <n v="54"/>
  </r>
  <r>
    <n v="867"/>
    <x v="2"/>
    <x v="189"/>
    <s v="eth1/14"/>
    <x v="0"/>
    <x v="0"/>
    <x v="0"/>
    <s v="TO-ITHFSUEXG2XCN03_PCI8.P2"/>
    <x v="0"/>
    <b v="0"/>
    <s v="No está en VPC"/>
    <n v="867"/>
    <s v="INTPG_ACC_867_1.14"/>
    <s v="ISEL-1.14"/>
    <n v="2"/>
    <s v="NO TIENE L3OUT"/>
    <n v="44"/>
    <n v="54"/>
  </r>
  <r>
    <n v="829"/>
    <x v="2"/>
    <x v="190"/>
    <s v="eth1/14"/>
    <x v="0"/>
    <x v="0"/>
    <x v="0"/>
    <s v="LINK_TO_ITHFHWCRMDLCN32 /Slot5.1 /Redundante"/>
    <x v="0"/>
    <b v="0"/>
    <s v="No está en VPC"/>
    <n v="829"/>
    <s v="INTPG_ACC_829_1.14"/>
    <s v="ISEL-1.14"/>
    <n v="2"/>
    <s v="NO TIENE L3OUT"/>
    <n v="224"/>
    <n v="54"/>
  </r>
  <r>
    <n v="831"/>
    <x v="2"/>
    <x v="191"/>
    <s v="eth1/14"/>
    <x v="0"/>
    <x v="0"/>
    <x v="0"/>
    <s v="LINK_TO_ITHFHWCBSDSUSBD10 /Slot7.2 /Redundante"/>
    <x v="0"/>
    <b v="0"/>
    <s v="No está en VPC"/>
    <n v="831"/>
    <s v="INTPG_VPC_827_1.14_831_1.14"/>
    <s v="ISEL-1.14"/>
    <n v="2"/>
    <s v="NO TIENE L3OUT"/>
    <n v="14"/>
    <n v="54"/>
  </r>
  <r>
    <n v="802"/>
    <x v="2"/>
    <x v="192"/>
    <s v="eth1/14"/>
    <x v="0"/>
    <x v="0"/>
    <x v="0"/>
    <s v="TO-HDPS_16-MSP"/>
    <x v="0"/>
    <b v="0"/>
    <s v="No está en VPC"/>
    <n v="802"/>
    <s v="INTPG_ACC_802_1.14"/>
    <s v="ISEL-1.14"/>
    <n v="1"/>
    <s v="NO TIENE L3OUT"/>
    <n v="48"/>
    <n v="54"/>
  </r>
  <r>
    <n v="835"/>
    <x v="2"/>
    <x v="193"/>
    <s v="eth1/14"/>
    <x v="0"/>
    <x v="0"/>
    <x v="0"/>
    <s v="LINK_TO_ITHFHWCBSPSWR58 / Slot1.2_28 / Principal"/>
    <x v="0"/>
    <b v="0"/>
    <s v="No está en VPC"/>
    <n v="835"/>
    <s v="INTPG_VPC_835_1.14_840_1.14"/>
    <s v="ISEL-1.14"/>
    <n v="1"/>
    <s v="NO TIENE L3OUT"/>
    <n v="8"/>
    <n v="54"/>
  </r>
  <r>
    <n v="822"/>
    <x v="2"/>
    <x v="194"/>
    <s v="eth1/14"/>
    <x v="0"/>
    <x v="0"/>
    <x v="0"/>
    <s v="LINK_TO_ITHFHWCBSPSUSBD10 /Slot5.1 /Redundante"/>
    <x v="0"/>
    <b v="0"/>
    <s v="No está en VPC"/>
    <n v="822"/>
    <s v="INTPG_VPC_817_1.14_822_1.14"/>
    <s v="ISEL-1.14"/>
    <n v="1"/>
    <s v="NO TIENE L3OUT"/>
    <n v="0"/>
    <n v="54"/>
  </r>
  <r>
    <n v="854"/>
    <x v="2"/>
    <x v="195"/>
    <s v="eth1/14"/>
    <x v="0"/>
    <x v="0"/>
    <x v="0"/>
    <s v="LINK_TO_ITHFHWCRMPLCN170 / Slot1.1_10 / Principal"/>
    <x v="0"/>
    <b v="0"/>
    <s v="No está en VPC"/>
    <n v="854"/>
    <s v="INTPG_ACC_854_1.14"/>
    <s v="ISEL-1.14"/>
    <n v="6"/>
    <s v="NO TIENE L3OUT"/>
    <n v="204"/>
    <n v="54"/>
  </r>
  <r>
    <n v="858"/>
    <x v="2"/>
    <x v="196"/>
    <s v="eth1/14"/>
    <x v="0"/>
    <x v="0"/>
    <x v="0"/>
    <s v="To_VPC_2DCBSD_HD41_2"/>
    <x v="0"/>
    <b v="0"/>
    <s v="No está en VPC"/>
    <n v="858"/>
    <s v="INTPG_VPC_858_1.14_863_1.14"/>
    <s v="ISEL-1.14"/>
    <n v="1"/>
    <s v="NO TIENE L3OUT"/>
    <n v="8"/>
    <n v="54"/>
  </r>
  <r>
    <n v="857"/>
    <x v="2"/>
    <x v="197"/>
    <s v="eth1/14"/>
    <x v="0"/>
    <x v="0"/>
    <x v="0"/>
    <s v="LINKT_TO_ITHFHWCRMPLCN120 / Slot1.1_10 / Principal"/>
    <x v="0"/>
    <b v="0"/>
    <s v="No está en VPC"/>
    <n v="857"/>
    <s v="INTPG_ACC_857_1.14"/>
    <s v="ISEL-1.14"/>
    <n v="6"/>
    <s v="NO TIENE L3OUT"/>
    <n v="288"/>
    <n v="54"/>
  </r>
  <r>
    <n v="859"/>
    <x v="2"/>
    <x v="198"/>
    <s v="eth1/14"/>
    <x v="0"/>
    <x v="0"/>
    <x v="0"/>
    <s v="To_VPC_2DCBSD_HD35_2"/>
    <x v="0"/>
    <b v="0"/>
    <s v="No está en VPC"/>
    <n v="859"/>
    <s v="INTPG_VPC_859_1.14_864_1.14"/>
    <s v="ISEL-1.14"/>
    <n v="1"/>
    <s v="NO TIENE L3OUT"/>
    <n v="0"/>
    <n v="54"/>
  </r>
  <r>
    <n v="833"/>
    <x v="2"/>
    <x v="199"/>
    <s v="eth1/14"/>
    <x v="0"/>
    <x v="0"/>
    <x v="0"/>
    <s v="LINK_TO_ITHFHWCRMDLCN32 /10GE.1 /Principal"/>
    <x v="0"/>
    <b v="0"/>
    <s v="No está en VPC"/>
    <n v="833"/>
    <s v="INTPG_ACC_833_1.14"/>
    <s v="ISEL-1.14"/>
    <n v="2"/>
    <s v="NO TIENE L3OUT"/>
    <n v="224"/>
    <n v="54"/>
  </r>
  <r>
    <n v="818"/>
    <x v="2"/>
    <x v="200"/>
    <s v="eth1/14"/>
    <x v="0"/>
    <x v="0"/>
    <x v="0"/>
    <s v="LINK_TO_ITHFHWCBSPSUSBD17 /Slot5.2 /Principal"/>
    <x v="0"/>
    <b v="0"/>
    <s v="No está en VPC"/>
    <n v="818"/>
    <s v="INTPG_VPC_818_1.14_823_1.14"/>
    <s v="ISEL-1.14"/>
    <n v="2"/>
    <s v="NO TIENE L3OUT"/>
    <n v="8"/>
    <n v="54"/>
  </r>
  <r>
    <n v="850"/>
    <x v="2"/>
    <x v="201"/>
    <s v="eth1/14"/>
    <x v="0"/>
    <x v="0"/>
    <x v="0"/>
    <s v="LINKT_TO_ITHFHWCRMPLCN120 / Slot7.1_10 / Redundante"/>
    <x v="0"/>
    <b v="0"/>
    <s v="No está en VPC"/>
    <n v="850"/>
    <s v="INTPG_ACC_850_1.14"/>
    <s v="ISEL-1.14"/>
    <n v="6"/>
    <s v="NO TIENE L3OUT"/>
    <n v="288"/>
    <n v="54"/>
  </r>
  <r>
    <n v="860"/>
    <x v="2"/>
    <x v="202"/>
    <s v="eth1/14"/>
    <x v="0"/>
    <x v="0"/>
    <x v="0"/>
    <s v="To_VPC_2DCBSD_HD27_2"/>
    <x v="0"/>
    <b v="0"/>
    <s v="No está en VPC"/>
    <n v="860"/>
    <s v="INTPG_VPC_860_1.14_865_1.14"/>
    <s v="ISEL-1.14"/>
    <n v="1"/>
    <s v="NO TIENE L3OUT"/>
    <n v="0"/>
    <n v="54"/>
  </r>
  <r>
    <n v="853"/>
    <x v="2"/>
    <x v="203"/>
    <s v="eth1/14"/>
    <x v="0"/>
    <x v="0"/>
    <x v="0"/>
    <s v="LINK_TO_ITHFHWCRMPLCN76 / Slot7.2_10 / Redundante"/>
    <x v="0"/>
    <b v="0"/>
    <s v="No está en VPC"/>
    <n v="853"/>
    <s v="INTPG_ACC_853_1.14"/>
    <s v="ISEL-1.14"/>
    <n v="2"/>
    <s v="NO TIENE L3OUT"/>
    <n v="242"/>
    <n v="54"/>
  </r>
  <r>
    <n v="790"/>
    <x v="2"/>
    <x v="204"/>
    <s v="eth1/14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14"/>
    <x v="0"/>
    <x v="0"/>
    <x v="0"/>
    <s v="NETEZZA"/>
    <x v="6"/>
    <b v="0"/>
    <s v="No está en VPC"/>
    <n v="105"/>
    <s v="INTPG_ACC_105_1.14"/>
    <s v="ISEL-1.14"/>
    <n v="1"/>
    <s v="NO TIENE L3OUT"/>
    <n v="106"/>
    <n v="96"/>
  </r>
  <r>
    <n v="117"/>
    <x v="0"/>
    <x v="206"/>
    <s v="eth1/14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14"/>
    <x v="0"/>
    <x v="1"/>
    <x v="1"/>
    <s v="SFLDI"/>
    <x v="6"/>
    <b v="0"/>
    <s v="No está en VPC"/>
    <n v="104"/>
    <s v="INTPG_ACC_104_1.14"/>
    <s v="ISEL-1.14"/>
    <n v="1"/>
    <s v="NO TIENE L3OUT"/>
    <n v="194"/>
    <n v="96"/>
  </r>
  <r>
    <n v="158"/>
    <x v="0"/>
    <x v="208"/>
    <s v="eth1/14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14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14"/>
    <x v="0"/>
    <x v="0"/>
    <x v="0"/>
    <s v="HACIA_CSI-A-OSCP-F4-14_SECUNDARIO"/>
    <x v="4"/>
    <b v="0"/>
    <s v="No está en VPC"/>
    <n v="879"/>
    <s v="INTPG_VPC_878_1.14_879_1.14"/>
    <s v="ISEL-1.14"/>
    <n v="2"/>
    <s v="NO TIENE L3OUT"/>
    <n v="0"/>
    <n v="54"/>
  </r>
  <r>
    <n v="108"/>
    <x v="0"/>
    <x v="211"/>
    <s v="eth1/14"/>
    <x v="0"/>
    <x v="0"/>
    <x v="0"/>
    <s v="sttsm01"/>
    <x v="6"/>
    <b v="0"/>
    <s v="No está en VPC"/>
    <n v="108"/>
    <s v="INTPG_ACC_108_1.14"/>
    <s v="ISEL-1.14"/>
    <n v="1"/>
    <s v="NO TIENE L3OUT"/>
    <n v="126"/>
    <n v="96"/>
  </r>
  <r>
    <n v="112"/>
    <x v="0"/>
    <x v="212"/>
    <s v="eth1/14"/>
    <x v="0"/>
    <x v="1"/>
    <x v="1"/>
    <s v="SECAM"/>
    <x v="6"/>
    <b v="0"/>
    <s v="No está en VPC"/>
    <n v="112"/>
    <s v="INTPG_ACC_112_1.14"/>
    <s v="ISEL-1.14"/>
    <n v="1"/>
    <s v="NO TIENE L3OUT"/>
    <n v="144"/>
    <n v="96"/>
  </r>
  <r>
    <n v="107"/>
    <x v="0"/>
    <x v="213"/>
    <s v="eth1/14"/>
    <x v="0"/>
    <x v="0"/>
    <x v="0"/>
    <s v="TRIAL COPS_SON "/>
    <x v="6"/>
    <b v="0"/>
    <s v="No está en VPC"/>
    <n v="107"/>
    <s v="INTPG_ACC_107_1.14"/>
    <s v="ISEL-1.14"/>
    <n v="1"/>
    <s v="NO TIENE L3OUT"/>
    <n v="118"/>
    <n v="96"/>
  </r>
  <r>
    <n v="109"/>
    <x v="0"/>
    <x v="214"/>
    <s v="eth1/14"/>
    <x v="0"/>
    <x v="0"/>
    <x v="0"/>
    <s v="TELLABS"/>
    <x v="6"/>
    <b v="0"/>
    <s v="No está en VPC"/>
    <n v="109"/>
    <s v="INTPG_ACC_109_1.14"/>
    <s v="ISEL-1.14"/>
    <n v="1"/>
    <s v="NO TIENE L3OUT"/>
    <n v="126"/>
    <n v="96"/>
  </r>
  <r>
    <n v="113"/>
    <x v="0"/>
    <x v="215"/>
    <s v="eth1/14"/>
    <x v="0"/>
    <x v="1"/>
    <x v="1"/>
    <s v="SIMAEC"/>
    <x v="6"/>
    <b v="0"/>
    <s v="No está en VPC"/>
    <n v="113"/>
    <s v="INTPG_ACC_113_1.14"/>
    <s v="ISEL-1.14"/>
    <n v="1"/>
    <s v="NO TIENE L3OUT"/>
    <n v="52"/>
    <n v="96"/>
  </r>
  <r>
    <n v="114"/>
    <x v="0"/>
    <x v="216"/>
    <s v="eth1/14"/>
    <x v="0"/>
    <x v="0"/>
    <x v="0"/>
    <s v="APROVISIONAMIENTO DE SERVICIOS"/>
    <x v="6"/>
    <b v="0"/>
    <s v="No está en VPC"/>
    <n v="114"/>
    <s v="INTPG_ACC_114_1.14"/>
    <s v="ISEL-1.14"/>
    <n v="1"/>
    <s v="NO TIENE L3OUT"/>
    <n v="144"/>
    <n v="96"/>
  </r>
  <r>
    <n v="124"/>
    <x v="0"/>
    <x v="217"/>
    <s v="eth1/14"/>
    <x v="0"/>
    <x v="1"/>
    <x v="1"/>
    <s v="UXSVA (M5000)"/>
    <x v="6"/>
    <b v="0"/>
    <s v="No está en VPC"/>
    <n v="124"/>
    <s v="INTPG_ACC_124_1.14"/>
    <s v="ISEL-1.14"/>
    <n v="1"/>
    <s v="NO TIENE L3OUT"/>
    <n v="80"/>
    <n v="96"/>
  </r>
  <r>
    <n v="118"/>
    <x v="0"/>
    <x v="218"/>
    <s v="eth1/14"/>
    <x v="0"/>
    <x v="1"/>
    <x v="1"/>
    <s v="COBROS NAVEGACION"/>
    <x v="6"/>
    <b v="0"/>
    <s v="No está en VPC"/>
    <n v="118"/>
    <s v="INTPG_ACC_118_1.14"/>
    <s v="ISEL-1.14"/>
    <n v="1"/>
    <s v="NO TIENE L3OUT"/>
    <n v="180"/>
    <n v="96"/>
  </r>
  <r>
    <n v="159"/>
    <x v="0"/>
    <x v="219"/>
    <s v="eth1/14"/>
    <x v="0"/>
    <x v="0"/>
    <x v="0"/>
    <m/>
    <x v="6"/>
    <b v="0"/>
    <s v="No está en VPC"/>
    <n v="159"/>
    <s v="INTPG_ACC_159_1.14"/>
    <s v="ISEL-1.14"/>
    <n v="1"/>
    <s v="NO TIENE L3OUT"/>
    <n v="72"/>
    <n v="96"/>
  </r>
  <r>
    <n v="840"/>
    <x v="2"/>
    <x v="220"/>
    <s v="eth1/14"/>
    <x v="0"/>
    <x v="0"/>
    <x v="0"/>
    <s v="LINK_TO_ITHFHWCBSPSWR58 / Slot7.2_28 / Redundante"/>
    <x v="0"/>
    <b v="0"/>
    <s v="No está en VPC"/>
    <n v="840"/>
    <s v="INTPG_VPC_835_1.14_840_1.14"/>
    <s v="ISEL-1.14"/>
    <n v="1"/>
    <s v="NO TIENE L3OUT"/>
    <n v="8"/>
    <n v="54"/>
  </r>
  <r>
    <n v="856"/>
    <x v="2"/>
    <x v="221"/>
    <s v="eth1/14"/>
    <x v="0"/>
    <x v="0"/>
    <x v="0"/>
    <s v="LINK_TO_ITHFHWCRMPLCN139 / Slot1.1_12 / Principal"/>
    <x v="0"/>
    <b v="0"/>
    <s v="No está en VPC"/>
    <n v="856"/>
    <s v="INTPG_ACC_856_1.14"/>
    <s v="ISEL-1.14"/>
    <n v="6"/>
    <s v="NO TIENE L3OUT"/>
    <n v="286"/>
    <n v="54"/>
  </r>
  <r>
    <n v="110"/>
    <x v="0"/>
    <x v="222"/>
    <s v="eth1/14"/>
    <x v="0"/>
    <x v="0"/>
    <x v="0"/>
    <m/>
    <x v="6"/>
    <b v="0"/>
    <s v="No está en VPC"/>
    <n v="110"/>
    <s v="INTPG_ACC_110_1.14"/>
    <s v="ISEL-1.14"/>
    <n v="1"/>
    <s v="NO TIENE L3OUT"/>
    <n v="102"/>
    <n v="96"/>
  </r>
  <r>
    <n v="163"/>
    <x v="0"/>
    <x v="223"/>
    <s v="eth1/14"/>
    <x v="0"/>
    <x v="0"/>
    <x v="0"/>
    <s v="SICOP"/>
    <x v="6"/>
    <b v="0"/>
    <s v="No está en VPC"/>
    <n v="163"/>
    <s v="INTPG_ACC_163_1.14"/>
    <s v="ISEL-1.14"/>
    <n v="1"/>
    <s v="NO TIENE L3OUT"/>
    <n v="140"/>
    <n v="96"/>
  </r>
  <r>
    <n v="407"/>
    <x v="1"/>
    <x v="224"/>
    <s v="eth1/14"/>
    <x v="0"/>
    <x v="1"/>
    <x v="1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14"/>
    <x v="0"/>
    <x v="0"/>
    <x v="0"/>
    <m/>
    <x v="6"/>
    <b v="0"/>
    <s v="No está en VPC"/>
    <n v="171"/>
    <s v="INTPG_ACC_171_1.14"/>
    <s v="ISEL-1.14"/>
    <n v="1"/>
    <s v="NO TIENE L3OUT"/>
    <n v="114"/>
    <n v="96"/>
  </r>
  <r>
    <n v="421"/>
    <x v="1"/>
    <x v="226"/>
    <s v="eth1/14"/>
    <x v="1"/>
    <x v="1"/>
    <x v="2"/>
    <s v="VMS_HW_OyM"/>
    <x v="6"/>
    <b v="0"/>
    <s v="No está en VPC"/>
    <n v="421"/>
    <s v="INTPG_VPC_419_1.14_421_1.14"/>
    <s v="ISEL-1.14"/>
    <n v="1"/>
    <s v="NO TIENE L3OUT"/>
    <n v="72"/>
    <n v="96"/>
  </r>
  <r>
    <n v="173"/>
    <x v="0"/>
    <x v="227"/>
    <s v="eth1/14"/>
    <x v="0"/>
    <x v="0"/>
    <x v="0"/>
    <s v="ENIQ"/>
    <x v="6"/>
    <b v="0"/>
    <s v="No está en VPC"/>
    <n v="173"/>
    <s v="INTPG_ACC_173_1.14"/>
    <s v="ISEL-1.14"/>
    <n v="1"/>
    <s v="NO TIENE L3OUT"/>
    <n v="66"/>
    <n v="96"/>
  </r>
  <r>
    <n v="154"/>
    <x v="0"/>
    <x v="228"/>
    <s v="eth1/14"/>
    <x v="0"/>
    <x v="0"/>
    <x v="0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14"/>
    <x v="0"/>
    <x v="0"/>
    <x v="0"/>
    <s v="VNX"/>
    <x v="6"/>
    <b v="0"/>
    <s v="No está en VPC"/>
    <n v="172"/>
    <s v="INTPG_ACC_172_1.14"/>
    <s v="ISEL-1.14"/>
    <n v="1"/>
    <s v="NO TIENE L3OUT"/>
    <n v="104"/>
    <n v="96"/>
  </r>
  <r>
    <n v="420"/>
    <x v="1"/>
    <x v="230"/>
    <s v="eth1/14"/>
    <x v="0"/>
    <x v="0"/>
    <x v="0"/>
    <s v="DCX_BKP1"/>
    <x v="6"/>
    <b v="0"/>
    <s v="No está en VPC"/>
    <n v="420"/>
    <s v="INTPG_ACC_420_1.14"/>
    <s v="ISEL-1.14"/>
    <n v="1"/>
    <s v="NO TIENE L3OUT"/>
    <n v="158"/>
    <n v="96"/>
  </r>
  <r>
    <n v="423"/>
    <x v="1"/>
    <x v="231"/>
    <s v="eth1/14"/>
    <x v="0"/>
    <x v="0"/>
    <x v="0"/>
    <s v="ITHVC1_ILO_IPMP-Activa"/>
    <x v="6"/>
    <b v="0"/>
    <s v="No está en VPC"/>
    <n v="423"/>
    <s v="INTPG_ACC_423_1.14"/>
    <s v="ISEL-1.14"/>
    <n v="1"/>
    <s v="NO TIENE L3OUT"/>
    <n v="86"/>
    <n v="96"/>
  </r>
  <r>
    <n v="415"/>
    <x v="1"/>
    <x v="232"/>
    <s v="eth1/14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14"/>
    <x v="0"/>
    <x v="1"/>
    <x v="1"/>
    <s v="SFLDI"/>
    <x v="6"/>
    <b v="0"/>
    <s v="No está en VPC"/>
    <n v="102"/>
    <s v="INTPG_ACC_102_1.14"/>
    <s v="ISEL-1.14"/>
    <n v="1"/>
    <s v="NO TIENE L3OUT"/>
    <n v="228"/>
    <n v="96"/>
  </r>
  <r>
    <n v="863"/>
    <x v="2"/>
    <x v="234"/>
    <s v="eth1/14"/>
    <x v="0"/>
    <x v="0"/>
    <x v="0"/>
    <s v="To_VPC_2DCBSD_HD41_2"/>
    <x v="0"/>
    <b v="0"/>
    <s v="No está en VPC"/>
    <n v="863"/>
    <s v="INTPG_VPC_858_1.14_863_1.14"/>
    <s v="ISEL-1.14"/>
    <n v="1"/>
    <s v="NO TIENE L3OUT"/>
    <n v="8"/>
    <n v="54"/>
  </r>
  <r>
    <n v="876"/>
    <x v="2"/>
    <x v="235"/>
    <s v="eth1/14"/>
    <x v="0"/>
    <x v="0"/>
    <x v="0"/>
    <s v="LINK_TO_ITHFHWSEQLIMPS25 / Slot 4 PTO 1 / Principal"/>
    <x v="4"/>
    <b v="0"/>
    <s v="No está en VPC"/>
    <n v="876"/>
    <s v="INTPG_ACC_876_1.14"/>
    <s v="ISEL-1.14"/>
    <n v="1"/>
    <s v="NO TIENE L3OUT"/>
    <n v="92"/>
    <n v="54"/>
  </r>
  <r>
    <n v="877"/>
    <x v="2"/>
    <x v="236"/>
    <s v="eth1/14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14"/>
    <x v="0"/>
    <x v="0"/>
    <x v="0"/>
    <s v="DESC"/>
    <x v="6"/>
    <b v="0"/>
    <s v="No está en VPC"/>
    <n v="122"/>
    <s v="INTPG_PC_122_1.10-14"/>
    <s v="ISEL-1.14"/>
    <n v="1"/>
    <s v="NO TIENE L3OUT"/>
    <n v="148"/>
    <n v="96"/>
  </r>
  <r>
    <n v="157"/>
    <x v="0"/>
    <x v="238"/>
    <s v="eth1/14"/>
    <x v="0"/>
    <x v="0"/>
    <x v="0"/>
    <s v="COBROS NAVEGACION"/>
    <x v="6"/>
    <b v="0"/>
    <s v="No está en VPC"/>
    <n v="157"/>
    <s v="INTPG_ACC_157_1.14"/>
    <s v="ISEL-1.14"/>
    <n v="1"/>
    <s v="NO TIENE L3OUT"/>
    <n v="202"/>
    <n v="96"/>
  </r>
  <r>
    <n v="408"/>
    <x v="1"/>
    <x v="239"/>
    <s v="eth1/14"/>
    <x v="0"/>
    <x v="0"/>
    <x v="0"/>
    <s v="RESPAL_CS5_ASAP8"/>
    <x v="6"/>
    <b v="0"/>
    <s v="No está en VPC"/>
    <n v="408"/>
    <s v="INTPG_ACC_408_1.14"/>
    <s v="ISEL-1.14"/>
    <n v="1"/>
    <s v="NO TIENE L3OUT"/>
    <n v="152"/>
    <n v="96"/>
  </r>
  <r>
    <n v="405"/>
    <x v="1"/>
    <x v="240"/>
    <s v="eth1/14"/>
    <x v="0"/>
    <x v="0"/>
    <x v="0"/>
    <s v="XL5 RLR5ARI04  iLO"/>
    <x v="6"/>
    <b v="0"/>
    <s v="No está en VPC"/>
    <n v="405"/>
    <s v="INTPG_ACC_405_1.14"/>
    <s v="ISEL-1.14"/>
    <n v="1"/>
    <s v="NO TIENE L3OUT"/>
    <n v="138"/>
    <n v="96"/>
  </r>
  <r>
    <n v="169"/>
    <x v="0"/>
    <x v="241"/>
    <s v="eth1/14"/>
    <x v="0"/>
    <x v="0"/>
    <x v="0"/>
    <m/>
    <x v="6"/>
    <b v="0"/>
    <s v="No está en VPC"/>
    <n v="169"/>
    <s v="INTPG_ACC_169_1.14"/>
    <s v="ISEL-1.14"/>
    <n v="1"/>
    <s v="NO TIENE L3OUT"/>
    <n v="76"/>
    <n v="96"/>
  </r>
  <r>
    <n v="165"/>
    <x v="0"/>
    <x v="242"/>
    <s v="eth1/14"/>
    <x v="0"/>
    <x v="0"/>
    <x v="0"/>
    <s v="UXLDAP"/>
    <x v="6"/>
    <b v="0"/>
    <s v="No está en VPC"/>
    <n v="165"/>
    <s v="INTPG_ACC_165_1.14"/>
    <s v="ISEL-1.14"/>
    <n v="1"/>
    <s v="NO TIENE L3OUT"/>
    <n v="86"/>
    <n v="96"/>
  </r>
  <r>
    <n v="417"/>
    <x v="1"/>
    <x v="243"/>
    <s v="eth1/14"/>
    <x v="0"/>
    <x v="0"/>
    <x v="0"/>
    <s v="IXTSRM1_VM3"/>
    <x v="6"/>
    <b v="0"/>
    <s v="No está en VPC"/>
    <n v="417"/>
    <s v="INTPG_ACC_417_1.14"/>
    <s v="ISEL-1.14"/>
    <n v="1"/>
    <s v="NO TIENE L3OUT"/>
    <n v="56"/>
    <n v="96"/>
  </r>
  <r>
    <n v="153"/>
    <x v="0"/>
    <x v="244"/>
    <s v="eth1/14"/>
    <x v="0"/>
    <x v="0"/>
    <x v="0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14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14"/>
    <x v="0"/>
    <x v="0"/>
    <x v="0"/>
    <s v="VMAX II SYS"/>
    <x v="6"/>
    <b v="0"/>
    <s v="No está en VPC"/>
    <n v="156"/>
    <s v="INTPG_ACC_156_1.14"/>
    <s v="ISEL-1.14"/>
    <n v="1"/>
    <s v="NO TIENE L3OUT"/>
    <n v="40"/>
    <n v="96"/>
  </r>
  <r>
    <n v="103"/>
    <x v="0"/>
    <x v="247"/>
    <s v="eth1/14"/>
    <x v="0"/>
    <x v="0"/>
    <x v="0"/>
    <s v="DATOS LENOVO"/>
    <x v="6"/>
    <b v="0"/>
    <s v="No está en VPC"/>
    <n v="103"/>
    <s v="INTPG_ACC_103_1.14"/>
    <s v="ISEL-1.14"/>
    <n v="1"/>
    <s v="NO TIENE L3OUT"/>
    <n v="70"/>
    <n v="96"/>
  </r>
  <r>
    <n v="438"/>
    <x v="1"/>
    <x v="248"/>
    <s v="eth1/14"/>
    <x v="0"/>
    <x v="0"/>
    <x v="0"/>
    <s v="ZFS_RANECE_MGMT_B-01"/>
    <x v="6"/>
    <b v="0"/>
    <s v="No está en VPC"/>
    <n v="438"/>
    <s v="INTPG_ACC_438_1.14"/>
    <s v="ISEL-1.14"/>
    <n v="1"/>
    <s v="NO TIENE L3OUT"/>
    <n v="170"/>
    <n v="96"/>
  </r>
  <r>
    <n v="406"/>
    <x v="1"/>
    <x v="249"/>
    <s v="eth1/14"/>
    <x v="1"/>
    <x v="1"/>
    <x v="2"/>
    <s v="ITHRTC31VC2"/>
    <x v="6"/>
    <b v="0"/>
    <s v="No está en VPC"/>
    <n v="406"/>
    <s v="INTPG_VPC_404_1.14_406_1.14"/>
    <s v="ISEL-1.14"/>
    <n v="0"/>
    <s v="NO TIENE L3OUT"/>
    <n v="82"/>
    <n v="96"/>
  </r>
  <r>
    <n v="414"/>
    <x v="1"/>
    <x v="250"/>
    <s v="eth1/14"/>
    <x v="0"/>
    <x v="1"/>
    <x v="1"/>
    <s v="9UCS-IXTLA-WEBEX-SERV1"/>
    <x v="6"/>
    <b v="0"/>
    <s v="No está en VPC"/>
    <n v="414"/>
    <s v="INTPG_ACC_414_1.14"/>
    <s v="ISEL-1.14"/>
    <n v="1"/>
    <s v="NO TIENE L3OUT"/>
    <n v="144"/>
    <n v="96"/>
  </r>
  <r>
    <n v="416"/>
    <x v="1"/>
    <x v="251"/>
    <s v="eth1/14"/>
    <x v="0"/>
    <x v="1"/>
    <x v="5"/>
    <s v="sfrepp02-MEDVOZ_CLIENT2"/>
    <x v="6"/>
    <b v="0"/>
    <s v="No está en VPC"/>
    <n v="416"/>
    <s v="INTPG_VPC_416_1.14_418_1.14"/>
    <s v="ISEL-1.14"/>
    <n v="1"/>
    <s v="NO TIENE L3OUT"/>
    <n v="110"/>
    <n v="96"/>
  </r>
  <r>
    <n v="418"/>
    <x v="1"/>
    <x v="252"/>
    <s v="eth1/14"/>
    <x v="0"/>
    <x v="1"/>
    <x v="1"/>
    <s v="sfrepp02-MEDVOZ_CLIENT2"/>
    <x v="6"/>
    <b v="0"/>
    <s v="No está en VPC"/>
    <n v="418"/>
    <s v="INTPG_VPC_416_1.14_418_1.14"/>
    <s v="ISEL-1.14"/>
    <n v="1"/>
    <s v="NO TIENE L3OUT"/>
    <n v="152"/>
    <n v="96"/>
  </r>
  <r>
    <n v="413"/>
    <x v="1"/>
    <x v="253"/>
    <s v="eth1/14"/>
    <x v="0"/>
    <x v="0"/>
    <x v="0"/>
    <s v="lagidmhlapvp06_produccion1"/>
    <x v="6"/>
    <b v="0"/>
    <s v="No está en VPC"/>
    <n v="413"/>
    <s v="INTPG_VPC_411_1.21-24_413_1.14-17"/>
    <s v="ISEL-1.14"/>
    <n v="2"/>
    <s v="NO TIENE L3OUT"/>
    <n v="126"/>
    <n v="96"/>
  </r>
  <r>
    <n v="403"/>
    <x v="1"/>
    <x v="254"/>
    <s v="eth1/14"/>
    <x v="0"/>
    <x v="0"/>
    <x v="0"/>
    <s v="XL5 RLR5ARI04"/>
    <x v="6"/>
    <b v="0"/>
    <s v="No está en VPC"/>
    <n v="403"/>
    <s v="INTPG_ACC_403_1.14"/>
    <s v="ISEL-1.14"/>
    <n v="1"/>
    <s v="NO TIENE L3OUT"/>
    <n v="150"/>
    <n v="96"/>
  </r>
  <r>
    <n v="125"/>
    <x v="0"/>
    <x v="255"/>
    <s v="eth1/14"/>
    <x v="0"/>
    <x v="0"/>
    <x v="0"/>
    <s v="GSM_OSS_TIJ"/>
    <x v="6"/>
    <b v="0"/>
    <s v="No está en VPC"/>
    <n v="125"/>
    <s v="INTPG_VPC_124_1.9_125_1.14"/>
    <s v="ISEL-1.14"/>
    <n v="10"/>
    <s v="NO TIENE L3OUT"/>
    <n v="72"/>
    <n v="96"/>
  </r>
  <r>
    <n v="166"/>
    <x v="0"/>
    <x v="256"/>
    <s v="eth1/14"/>
    <x v="0"/>
    <x v="0"/>
    <x v="0"/>
    <s v="UXLDAP"/>
    <x v="6"/>
    <b v="0"/>
    <s v="No está en VPC"/>
    <n v="166"/>
    <s v="INTPG_ACC_166_1.14"/>
    <s v="ISEL-1.14"/>
    <n v="1"/>
    <s v="NO TIENE L3OUT"/>
    <n v="84"/>
    <n v="96"/>
  </r>
  <r>
    <n v="111"/>
    <x v="0"/>
    <x v="257"/>
    <s v="eth1/14"/>
    <x v="0"/>
    <x v="0"/>
    <x v="0"/>
    <s v="RENACE"/>
    <x v="6"/>
    <b v="0"/>
    <s v="No está en VPC"/>
    <n v="111"/>
    <s v="INTPG_ACC_111_1.14"/>
    <s v="ISEL-1.14"/>
    <n v="1"/>
    <s v="NO TIENE L3OUT"/>
    <n v="58"/>
    <n v="96"/>
  </r>
  <r>
    <n v="115"/>
    <x v="0"/>
    <x v="258"/>
    <s v="eth1/14"/>
    <x v="0"/>
    <x v="0"/>
    <x v="0"/>
    <s v="TO-ITHFDEVYCWPAP01-PRINCIPAL"/>
    <x v="6"/>
    <b v="0"/>
    <s v="No está en VPC"/>
    <n v="115"/>
    <s v="INTPG_ACC_115_1.14"/>
    <s v="ISEL-1.14"/>
    <n v="1"/>
    <s v="NO TIENE L3OUT"/>
    <n v="42"/>
    <n v="96"/>
  </r>
  <r>
    <n v="106"/>
    <x v="0"/>
    <x v="259"/>
    <s v="eth1/14"/>
    <x v="0"/>
    <x v="0"/>
    <x v="0"/>
    <m/>
    <x v="6"/>
    <b v="0"/>
    <s v="No está en VPC"/>
    <n v="106"/>
    <s v="INTPG_ACC_106_1.14"/>
    <s v="ISEL-1.14"/>
    <n v="1"/>
    <s v="NO TIENE L3OUT"/>
    <n v="122"/>
    <n v="96"/>
  </r>
  <r>
    <n v="126"/>
    <x v="0"/>
    <x v="260"/>
    <s v="eth1/14"/>
    <x v="0"/>
    <x v="0"/>
    <x v="0"/>
    <s v="SAN_ENIQ_2"/>
    <x v="6"/>
    <b v="0"/>
    <s v="No está en VPC"/>
    <n v="126"/>
    <s v="INTPG_ACC_126_1.14"/>
    <s v="ISEL-1.14"/>
    <n v="1"/>
    <s v="NO TIENE L3OUT"/>
    <n v="54"/>
    <n v="96"/>
  </r>
  <r>
    <n v="425"/>
    <x v="1"/>
    <x v="261"/>
    <s v="eth1/14"/>
    <x v="0"/>
    <x v="0"/>
    <x v="0"/>
    <s v="PortalCautivo2_captiveqa_xscf0"/>
    <x v="6"/>
    <b v="0"/>
    <s v="No está en VPC"/>
    <n v="425"/>
    <s v="INTPG_ACC_425_1.14"/>
    <s v="ISEL-1.14"/>
    <n v="1"/>
    <s v="NO TIENE L3OUT"/>
    <n v="86"/>
    <n v="96"/>
  </r>
  <r>
    <n v="151"/>
    <x v="0"/>
    <x v="262"/>
    <s v="eth1/14"/>
    <x v="0"/>
    <x v="0"/>
    <x v="0"/>
    <s v="DASHBOARD"/>
    <x v="6"/>
    <b v="0"/>
    <s v="No está en VPC"/>
    <n v="151"/>
    <s v="INTPG_ACC_151_1.14"/>
    <s v="ISEL-1.14"/>
    <n v="1"/>
    <s v="NO TIENE L3OUT"/>
    <n v="86"/>
    <n v="96"/>
  </r>
  <r>
    <n v="430"/>
    <x v="1"/>
    <x v="263"/>
    <s v="eth1/14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14"/>
    <x v="0"/>
    <x v="0"/>
    <x v="0"/>
    <s v="VMS_HW_OyM"/>
    <x v="6"/>
    <b v="0"/>
    <s v="No está en VPC"/>
    <n v="419"/>
    <s v="INTPG_VPC_419_1.14_421_1.14"/>
    <s v="ISEL-1.14"/>
    <n v="1"/>
    <s v="NO TIENE L3OUT"/>
    <n v="70"/>
    <n v="96"/>
  </r>
  <r>
    <n v="155"/>
    <x v="0"/>
    <x v="265"/>
    <s v="eth1/14"/>
    <x v="1"/>
    <x v="1"/>
    <x v="2"/>
    <s v="COBROS NAVEGACION"/>
    <x v="6"/>
    <b v="0"/>
    <s v="No está en VPC"/>
    <n v="155"/>
    <s v="INTPG_ACC_155_1.14"/>
    <s v="ISEL-1.14"/>
    <n v="1"/>
    <s v="NO TIENE L3OUT"/>
    <n v="198"/>
    <n v="96"/>
  </r>
  <r>
    <n v="409"/>
    <x v="1"/>
    <x v="266"/>
    <s v="eth1/14"/>
    <x v="0"/>
    <x v="0"/>
    <x v="0"/>
    <s v="INSIGHTCA6-ilom"/>
    <x v="6"/>
    <b v="0"/>
    <s v="No está en VPC"/>
    <n v="409"/>
    <s v="INTPG_ACC_409_1.14"/>
    <s v="ISEL-1.14"/>
    <n v="1"/>
    <s v="NO TIENE L3OUT"/>
    <n v="128"/>
    <n v="96"/>
  </r>
  <r>
    <n v="422"/>
    <x v="1"/>
    <x v="267"/>
    <s v="eth1/14"/>
    <x v="0"/>
    <x v="0"/>
    <x v="0"/>
    <s v="B6200D_DT_2"/>
    <x v="6"/>
    <b v="0"/>
    <s v="No está en VPC"/>
    <n v="422"/>
    <s v="INTPG_ACC_422_1.14"/>
    <s v="ISEL-1.14"/>
    <n v="1"/>
    <s v="NO TIENE L3OUT"/>
    <n v="182"/>
    <n v="96"/>
  </r>
  <r>
    <n v="436"/>
    <x v="1"/>
    <x v="268"/>
    <s v="eth1/14"/>
    <x v="0"/>
    <x v="0"/>
    <x v="0"/>
    <s v="DWH_SAPBO_ADMIN_Eth1"/>
    <x v="6"/>
    <b v="0"/>
    <s v="No está en VPC"/>
    <n v="436"/>
    <s v="INTPG_ACC_436_1.14"/>
    <s v="ISEL-1.14"/>
    <n v="1"/>
    <s v="NO TIENE L3OUT"/>
    <n v="172"/>
    <n v="96"/>
  </r>
  <r>
    <n v="410"/>
    <x v="1"/>
    <x v="269"/>
    <s v="eth1/14"/>
    <x v="0"/>
    <x v="0"/>
    <x v="0"/>
    <s v="UTP_ZFS_CAMPANAS"/>
    <x v="6"/>
    <b v="0"/>
    <s v="No está en VPC"/>
    <n v="410"/>
    <s v="INTPG_ACC_410_1.14"/>
    <s v="ISEL-1.14"/>
    <n v="1"/>
    <s v="NO TIENE L3OUT"/>
    <n v="178"/>
    <n v="96"/>
  </r>
  <r>
    <n v="161"/>
    <x v="0"/>
    <x v="270"/>
    <s v="eth1/14"/>
    <x v="0"/>
    <x v="0"/>
    <x v="0"/>
    <m/>
    <x v="6"/>
    <b v="0"/>
    <s v="No está en VPC"/>
    <n v="161"/>
    <s v="INTPG_PC_161_1.14-12"/>
    <s v="ISEL-1.14"/>
    <n v="1"/>
    <s v="NO TIENE L3OUT"/>
    <n v="102"/>
    <n v="96"/>
  </r>
  <r>
    <n v="411"/>
    <x v="1"/>
    <x v="271"/>
    <s v="eth1/14"/>
    <x v="0"/>
    <x v="0"/>
    <x v="0"/>
    <s v="GESTOR"/>
    <x v="6"/>
    <b v="0"/>
    <s v="No está en VPC"/>
    <n v="411"/>
    <s v="INTPG_ACC_411_1.14"/>
    <s v="ISEL-1.14"/>
    <n v="1"/>
    <s v="NO TIENE L3OUT"/>
    <n v="96"/>
    <n v="96"/>
  </r>
  <r>
    <n v="116"/>
    <x v="0"/>
    <x v="272"/>
    <s v="eth1/14"/>
    <x v="0"/>
    <x v="1"/>
    <x v="1"/>
    <s v="COBROS NAVEGACION"/>
    <x v="6"/>
    <b v="0"/>
    <s v="No está en VPC"/>
    <n v="116"/>
    <s v="INTPG_ACC_116_1.14"/>
    <s v="ISEL-1.14"/>
    <n v="1"/>
    <s v="NO TIENE L3OUT"/>
    <n v="148"/>
    <n v="96"/>
  </r>
  <r>
    <n v="412"/>
    <x v="1"/>
    <x v="273"/>
    <s v="eth1/14"/>
    <x v="0"/>
    <x v="0"/>
    <x v="0"/>
    <s v="RESPAL_CS5_ASAP8"/>
    <x v="6"/>
    <b v="0"/>
    <s v="No está en VPC"/>
    <n v="412"/>
    <s v="INTPG_ACC_412_1.14"/>
    <s v="ISEL-1.14"/>
    <n v="1"/>
    <s v="NO TIENE L3OUT"/>
    <n v="126"/>
    <n v="96"/>
  </r>
  <r>
    <n v="120"/>
    <x v="0"/>
    <x v="274"/>
    <s v="eth1/14"/>
    <x v="1"/>
    <x v="1"/>
    <x v="2"/>
    <s v="DESC"/>
    <x v="6"/>
    <b v="0"/>
    <s v="No está en VPC"/>
    <n v="120"/>
    <s v="INTPG_PC_120_1.10-14"/>
    <s v="ISEL-1.14"/>
    <n v="1"/>
    <s v="NO TIENE L3OUT"/>
    <n v="158"/>
    <n v="96"/>
  </r>
  <r>
    <n v="404"/>
    <x v="1"/>
    <x v="275"/>
    <s v="eth1/14"/>
    <x v="0"/>
    <x v="0"/>
    <x v="0"/>
    <s v="ITHRTC31VC2"/>
    <x v="6"/>
    <b v="0"/>
    <s v="No está en VPC"/>
    <n v="404"/>
    <s v="INTPG_VPC_404_1.14_406_1.14"/>
    <s v="ISEL-1.14"/>
    <n v="0"/>
    <s v="NO TIENE L3OUT"/>
    <n v="92"/>
    <n v="96"/>
  </r>
  <r>
    <n v="167"/>
    <x v="0"/>
    <x v="276"/>
    <s v="eth1/14"/>
    <x v="0"/>
    <x v="0"/>
    <x v="0"/>
    <s v="LINKDOWN_HACIA_UCS_9UCS-IXTLA-SERV3"/>
    <x v="6"/>
    <b v="0"/>
    <s v="No está en VPC"/>
    <n v="167"/>
    <s v="INTPG_ACC_167_1.14"/>
    <s v="ISEL-1.14"/>
    <n v="1"/>
    <s v="NO TIENE L3OUT"/>
    <n v="68"/>
    <n v="96"/>
  </r>
  <r>
    <n v="428"/>
    <x v="1"/>
    <x v="277"/>
    <s v="eth1/14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903"/>
    <x v="2"/>
    <x v="278"/>
    <s v="eth1/1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1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15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15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15"/>
    <x v="0"/>
    <x v="0"/>
    <x v="0"/>
    <s v="IXTPA3LS"/>
    <x v="1"/>
    <b v="0"/>
    <s v="No está en VPC"/>
    <n v="152"/>
    <s v="INTPG_ACC_152_1.15"/>
    <s v="ISEL-1.15"/>
    <n v="1"/>
    <s v="NO TIENE L3OUT"/>
    <n v="38"/>
    <n v="54"/>
  </r>
  <r>
    <n v="101"/>
    <x v="0"/>
    <x v="3"/>
    <s v="eth1/15"/>
    <x v="0"/>
    <x v="0"/>
    <x v="0"/>
    <m/>
    <x v="0"/>
    <b v="0"/>
    <s v="No está en VPC"/>
    <n v="101"/>
    <s v="INTPG_PC_101_1.15-16"/>
    <s v="ISEL-1.15"/>
    <n v="0"/>
    <s v="L3OUT-IAP-GPRS-GI-CORP"/>
    <n v="114"/>
    <n v="54"/>
  </r>
  <r>
    <n v="160"/>
    <x v="0"/>
    <x v="4"/>
    <s v="eth1/15"/>
    <x v="1"/>
    <x v="1"/>
    <x v="2"/>
    <m/>
    <x v="1"/>
    <b v="0"/>
    <s v="No está en VPC"/>
    <n v="160"/>
    <s v="INTPG_ACC_160_1.15"/>
    <s v="ISEL-1.15"/>
    <n v="0"/>
    <s v="NO TIENE L3OUT"/>
    <n v="68"/>
    <n v="54"/>
  </r>
  <r>
    <n v="121"/>
    <x v="0"/>
    <x v="5"/>
    <s v="eth1/15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15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15"/>
    <x v="0"/>
    <x v="0"/>
    <x v="0"/>
    <s v="BIGDATA1 Primario"/>
    <x v="0"/>
    <b v="0"/>
    <s v="No está en VPC"/>
    <n v="401"/>
    <s v="INTPG_ACC_401_1.15"/>
    <s v="ISEL-1.15"/>
    <n v="1"/>
    <s v="NO TIENE L3OUT"/>
    <n v="40"/>
    <n v="54"/>
  </r>
  <r>
    <n v="402"/>
    <x v="1"/>
    <x v="8"/>
    <s v="eth1/15"/>
    <x v="0"/>
    <x v="0"/>
    <x v="0"/>
    <s v="BIGDATA2 Secundario"/>
    <x v="0"/>
    <b v="0"/>
    <s v="No está en VPC"/>
    <n v="402"/>
    <s v="INTPG_ACC_402_1.15"/>
    <s v="ISEL-1.15"/>
    <n v="1"/>
    <s v="NO TIENE L3OUT"/>
    <n v="36"/>
    <n v="54"/>
  </r>
  <r>
    <n v="447"/>
    <x v="1"/>
    <x v="9"/>
    <s v="eth1/15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15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15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15"/>
    <x v="0"/>
    <x v="0"/>
    <x v="0"/>
    <s v="PO2_TO_ithenm01nas2r91"/>
    <x v="0"/>
    <b v="0"/>
    <s v="No está en VPC"/>
    <n v="150"/>
    <s v="INTPG_PC_150_1.15-16"/>
    <s v="ISEL-1.15"/>
    <n v="0"/>
    <s v="L3OUT-IAP-GPRS-GI-CORP"/>
    <n v="118"/>
    <n v="54"/>
  </r>
  <r>
    <n v="131"/>
    <x v="0"/>
    <x v="13"/>
    <s v="eth1/15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15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15"/>
    <x v="0"/>
    <x v="0"/>
    <x v="0"/>
    <s v="TO-ITHHPGRLKEN01-ITHFYBSOIDLBD01-YELLOWBRICK-ANDROMEDA"/>
    <x v="2"/>
    <b v="0"/>
    <s v="No está en VPC"/>
    <n v="758"/>
    <s v="INTPG_VPC_758_1.15_759_1.15"/>
    <s v="ISEL-1.15"/>
    <n v="1"/>
    <s v="NO TIENE L3OUT"/>
    <n v="0"/>
    <n v="42"/>
  </r>
  <r>
    <n v="759"/>
    <x v="2"/>
    <x v="16"/>
    <s v="eth1/15"/>
    <x v="0"/>
    <x v="0"/>
    <x v="0"/>
    <s v="TO-ITHHPGRLKEN01-ITHFYBSOIDLBD01-YELLOWBRICK-ANDROMEDA"/>
    <x v="2"/>
    <b v="0"/>
    <s v="No está en VPC"/>
    <n v="759"/>
    <s v="INTPG_VPC_758_1.15_759_1.15"/>
    <s v="ISEL-1.15"/>
    <n v="1"/>
    <s v="NO TIENE L3OUT"/>
    <n v="0"/>
    <n v="42"/>
  </r>
  <r>
    <n v="302"/>
    <x v="0"/>
    <x v="17"/>
    <s v="eth1/15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15"/>
    <x v="0"/>
    <x v="1"/>
    <x v="1"/>
    <s v="PORTA_EXP2"/>
    <x v="1"/>
    <b v="0"/>
    <s v="No está en VPC"/>
    <n v="424"/>
    <s v="INTPG_ACC_424_1.15"/>
    <s v="ISEL-1.15"/>
    <n v="1"/>
    <s v="NO TIENE L3OUT"/>
    <n v="16"/>
    <n v="54"/>
  </r>
  <r>
    <n v="426"/>
    <x v="1"/>
    <x v="19"/>
    <s v="eth1/15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15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15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15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15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15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15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15"/>
    <x v="0"/>
    <x v="0"/>
    <x v="0"/>
    <s v="INTELIGN_COMERCIAL_LAG1"/>
    <x v="0"/>
    <b v="0"/>
    <s v="No está en VPC"/>
    <n v="431"/>
    <s v="INTPG_VPC_431_1.15_448_1.15"/>
    <s v="ISEL-1.15"/>
    <n v="3"/>
    <s v="NO TIENE L3OUT"/>
    <n v="46"/>
    <n v="54"/>
  </r>
  <r>
    <n v="433"/>
    <x v="1"/>
    <x v="27"/>
    <s v="eth1/15"/>
    <x v="0"/>
    <x v="0"/>
    <x v="0"/>
    <s v="IXT_PM_2_eth1_Primario"/>
    <x v="1"/>
    <b v="0"/>
    <s v="No está en VPC"/>
    <n v="433"/>
    <s v="INTPG_ACC_433_1.15"/>
    <s v="ISEL-1.15"/>
    <n v="1"/>
    <s v="NO TIENE L3OUT"/>
    <n v="42"/>
    <n v="54"/>
  </r>
  <r>
    <n v="429"/>
    <x v="1"/>
    <x v="28"/>
    <s v="eth1/15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15"/>
    <x v="0"/>
    <x v="1"/>
    <x v="1"/>
    <s v="sfrevp10_MGMT_RHEV_HUAWEI"/>
    <x v="1"/>
    <b v="0"/>
    <s v="No está en VPC"/>
    <n v="432"/>
    <s v="INTPG_ACC_432_1.15"/>
    <s v="ISEL-1.15"/>
    <n v="1"/>
    <s v="NO TIENE L3OUT"/>
    <n v="54"/>
    <n v="54"/>
  </r>
  <r>
    <n v="442"/>
    <x v="1"/>
    <x v="30"/>
    <s v="eth1/15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15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15"/>
    <x v="0"/>
    <x v="0"/>
    <x v="0"/>
    <s v="CEM:ITHCEMG2DAT08:LOM P1"/>
    <x v="0"/>
    <b v="0"/>
    <s v="No está en VPC"/>
    <n v="707"/>
    <s v="INTPG_ACC_707_1.15"/>
    <s v="ISEL-1.15"/>
    <n v="1"/>
    <s v="NO TIENE L3OUT"/>
    <n v="54"/>
    <n v="54"/>
  </r>
  <r>
    <n v="712"/>
    <x v="2"/>
    <x v="33"/>
    <s v="eth1/15"/>
    <x v="0"/>
    <x v="0"/>
    <x v="0"/>
    <s v="CEM:ITHCEMB2DAT08:LOM P1"/>
    <x v="0"/>
    <b v="0"/>
    <s v="No está en VPC"/>
    <n v="712"/>
    <s v="INTPG_ACC_712_1.15"/>
    <s v="ISEL-1.15"/>
    <n v="1"/>
    <s v="NO TIENE L3OUT"/>
    <n v="32"/>
    <n v="54"/>
  </r>
  <r>
    <n v="719"/>
    <x v="2"/>
    <x v="34"/>
    <s v="eth1/15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15"/>
    <x v="0"/>
    <x v="0"/>
    <x v="0"/>
    <m/>
    <x v="0"/>
    <b v="0"/>
    <s v="No está en VPC"/>
    <n v="715"/>
    <s v="INTPG-VPC_HDD41_715_1.15_716_1.16"/>
    <s v="ISEL-1.15"/>
    <n v="1"/>
    <s v="NO TIENE L3OUT"/>
    <n v="0"/>
    <n v="54"/>
  </r>
  <r>
    <n v="427"/>
    <x v="1"/>
    <x v="36"/>
    <s v="eth1/15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15"/>
    <x v="0"/>
    <x v="0"/>
    <x v="0"/>
    <s v="CEM:ITHCEMC2DAT08:LOM P1"/>
    <x v="0"/>
    <b v="0"/>
    <s v="No está en VPC"/>
    <n v="711"/>
    <s v="INTPG_ACC_711_1.15"/>
    <s v="ISEL-1.15"/>
    <n v="1"/>
    <s v="NO TIENE L3OUT"/>
    <n v="16"/>
    <n v="54"/>
  </r>
  <r>
    <n v="716"/>
    <x v="2"/>
    <x v="38"/>
    <s v="eth1/15"/>
    <x v="0"/>
    <x v="0"/>
    <x v="0"/>
    <m/>
    <x v="0"/>
    <b v="0"/>
    <s v="No está en VPC"/>
    <n v="716"/>
    <s v="INTPG-VPC_HDD32_716_1.15_715_1.16"/>
    <s v="ISEL-1.15"/>
    <n v="1"/>
    <s v="NO TIENE L3OUT"/>
    <n v="0"/>
    <n v="54"/>
  </r>
  <r>
    <n v="702"/>
    <x v="2"/>
    <x v="39"/>
    <s v="eth1/15"/>
    <x v="0"/>
    <x v="0"/>
    <x v="0"/>
    <m/>
    <x v="0"/>
    <b v="0"/>
    <s v="No está en VPC"/>
    <n v="702"/>
    <s v="INTPG_VPC_702_1.15_701_1.16"/>
    <s v="ISEL-1.15"/>
    <n v="1"/>
    <s v="NO TIENE L3OUT"/>
    <n v="0"/>
    <n v="54"/>
  </r>
  <r>
    <n v="435"/>
    <x v="1"/>
    <x v="40"/>
    <s v="eth1/15"/>
    <x v="0"/>
    <x v="0"/>
    <x v="0"/>
    <s v="IXT_PM_2_eth2_Secundario"/>
    <x v="1"/>
    <b v="0"/>
    <s v="No está en VPC"/>
    <n v="435"/>
    <s v="INTPG_ACC_435_1.15"/>
    <s v="ISEL-1.15"/>
    <n v="1"/>
    <s v="NO TIENE L3OUT"/>
    <n v="34"/>
    <n v="54"/>
  </r>
  <r>
    <n v="446"/>
    <x v="1"/>
    <x v="41"/>
    <s v="eth1/15"/>
    <x v="0"/>
    <x v="0"/>
    <x v="0"/>
    <m/>
    <x v="0"/>
    <b v="0"/>
    <s v="No está en VPC"/>
    <n v="446"/>
    <s v="INTPG_ACC_446_1.15"/>
    <s v="ISEL-1.15"/>
    <n v="9"/>
    <s v="NO TIENE L3OUT"/>
    <n v="198"/>
    <n v="54"/>
  </r>
  <r>
    <n v="444"/>
    <x v="1"/>
    <x v="42"/>
    <s v="eth1/15"/>
    <x v="0"/>
    <x v="0"/>
    <x v="0"/>
    <s v="TO-ITHFHPNBURBKP09"/>
    <x v="0"/>
    <b v="0"/>
    <s v="No está en VPC"/>
    <n v="444"/>
    <s v="INTPG_VPC_444_1.15_446_1.16"/>
    <s v="ISEL-1.15"/>
    <n v="1"/>
    <s v="NO TIENE L3OUT"/>
    <n v="234"/>
    <n v="54"/>
  </r>
  <r>
    <n v="701"/>
    <x v="2"/>
    <x v="43"/>
    <s v="eth1/15"/>
    <x v="0"/>
    <x v="0"/>
    <x v="0"/>
    <m/>
    <x v="0"/>
    <b v="0"/>
    <s v="No está en VPC"/>
    <n v="701"/>
    <s v="INTPG_VPC_701_1.15_702_1.16"/>
    <s v="ISEL-1.15"/>
    <n v="2"/>
    <s v="NO TIENE L3OUT"/>
    <n v="0"/>
    <n v="54"/>
  </r>
  <r>
    <n v="440"/>
    <x v="1"/>
    <x v="44"/>
    <s v="eth1/15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15"/>
    <x v="0"/>
    <x v="0"/>
    <x v="0"/>
    <s v="INTELIGN_COMERCIAL_LAG1"/>
    <x v="0"/>
    <b v="0"/>
    <s v="No está en VPC"/>
    <n v="448"/>
    <s v="INTPG_VPC_431_1.15_448_1.15"/>
    <s v="ISEL-1.15"/>
    <n v="3"/>
    <s v="NO TIENE L3OUT"/>
    <n v="46"/>
    <n v="54"/>
  </r>
  <r>
    <n v="704"/>
    <x v="2"/>
    <x v="46"/>
    <s v="eth1/15"/>
    <x v="0"/>
    <x v="0"/>
    <x v="0"/>
    <m/>
    <x v="0"/>
    <b v="0"/>
    <s v="No está en VPC"/>
    <n v="704"/>
    <s v="INTPG_VPC_704_1.15_703_1.16"/>
    <s v="ISEL-1.15"/>
    <n v="1"/>
    <s v="NO TIENE L3OUT"/>
    <n v="0"/>
    <n v="54"/>
  </r>
  <r>
    <n v="729"/>
    <x v="2"/>
    <x v="47"/>
    <s v="eth1/15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15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15"/>
    <x v="0"/>
    <x v="0"/>
    <x v="0"/>
    <s v="HACIA_CSI-A-OSCP-F4-03_SECUNDARIO"/>
    <x v="4"/>
    <b v="0"/>
    <s v="No está en VPC"/>
    <n v="456"/>
    <s v="INTPG_VPC_454_1.15_456_1.15"/>
    <s v="ISEL-1.15"/>
    <n v="2"/>
    <s v="NO TIENE L3OUT"/>
    <n v="4"/>
    <n v="54"/>
  </r>
  <r>
    <n v="603"/>
    <x v="1"/>
    <x v="50"/>
    <s v="eth1/15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15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15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15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15"/>
    <x v="0"/>
    <x v="1"/>
    <x v="5"/>
    <m/>
    <x v="0"/>
    <b v="0"/>
    <s v="No está en VPC"/>
    <n v="722"/>
    <s v="INTPG-VPC_HDD126_722_1.15_723_1.16"/>
    <s v="ISEL-1.15"/>
    <n v="1"/>
    <s v="NO TIENE L3OUT"/>
    <n v="0"/>
    <n v="54"/>
  </r>
  <r>
    <n v="733"/>
    <x v="2"/>
    <x v="55"/>
    <s v="eth1/15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15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15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15"/>
    <x v="0"/>
    <x v="0"/>
    <x v="0"/>
    <s v="OSS F1:ithenmr06e2r9a:Bay2/X1"/>
    <x v="0"/>
    <b v="0"/>
    <s v="No está en VPC"/>
    <n v="756"/>
    <s v="INTPG_PC_756_1.15-18"/>
    <s v="ISEL-1.15"/>
    <n v="1"/>
    <s v="NO TIENE L3OUT"/>
    <n v="64"/>
    <n v="54"/>
  </r>
  <r>
    <n v="754"/>
    <x v="2"/>
    <x v="59"/>
    <s v="eth1/15"/>
    <x v="0"/>
    <x v="0"/>
    <x v="0"/>
    <s v="OSS F1:ithenmnasr9c:PCIe3 Slot 1/1"/>
    <x v="0"/>
    <b v="0"/>
    <s v="No está en VPC"/>
    <n v="754"/>
    <s v="INTPG_PC_754_1.13-16"/>
    <s v="ISEL-1.15"/>
    <n v="1"/>
    <s v="NO TIENE L3OUT"/>
    <n v="62"/>
    <n v="54"/>
  </r>
  <r>
    <n v="751"/>
    <x v="2"/>
    <x v="60"/>
    <s v="eth1/15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15"/>
    <x v="0"/>
    <x v="0"/>
    <x v="0"/>
    <s v="OSS_ENM"/>
    <x v="0"/>
    <b v="0"/>
    <s v="No está en VPC"/>
    <n v="769"/>
    <s v="INTPG_ACC_769_1.15"/>
    <s v="ISEL-1.15"/>
    <n v="1"/>
    <s v="NO TIENE L3OUT"/>
    <n v="60"/>
    <n v="54"/>
  </r>
  <r>
    <n v="742"/>
    <x v="2"/>
    <x v="62"/>
    <s v="eth1/15"/>
    <x v="0"/>
    <x v="1"/>
    <x v="1"/>
    <s v="CEM:ITHCEMA2DAT08:LOM P3"/>
    <x v="5"/>
    <b v="0"/>
    <s v="No está en VPC"/>
    <n v="742"/>
    <s v="INTPG_ACC_742_1.15"/>
    <s v="ISEL-1.15"/>
    <n v="1"/>
    <s v="NO TIENE L3OUT"/>
    <n v="64"/>
    <n v="54"/>
  </r>
  <r>
    <n v="763"/>
    <x v="2"/>
    <x v="63"/>
    <s v="eth1/15"/>
    <x v="0"/>
    <x v="0"/>
    <x v="0"/>
    <s v="PAAS:ithhwoscopap015:FlexIO.1"/>
    <x v="0"/>
    <b v="0"/>
    <s v="No está en VPC"/>
    <n v="763"/>
    <s v="INTPG_VPC_762_1.15_763_1.15"/>
    <s v="ISEL-1.15"/>
    <n v="15"/>
    <s v="NO TIENE L3OUT"/>
    <n v="2"/>
    <n v="54"/>
  </r>
  <r>
    <n v="766"/>
    <x v="2"/>
    <x v="64"/>
    <s v="eth1/15"/>
    <x v="0"/>
    <x v="0"/>
    <x v="0"/>
    <s v="Portchannel_5_R6A"/>
    <x v="0"/>
    <b v="0"/>
    <s v="No está en VPC"/>
    <n v="766"/>
    <s v="INTPG_PC_766_1.15-16"/>
    <s v="ISEL-1.15"/>
    <n v="8"/>
    <s v="NO TIENE L3OUT"/>
    <n v="58"/>
    <n v="54"/>
  </r>
  <r>
    <n v="760"/>
    <x v="2"/>
    <x v="65"/>
    <s v="eth1/15"/>
    <x v="0"/>
    <x v="1"/>
    <x v="1"/>
    <m/>
    <x v="0"/>
    <b v="0"/>
    <s v="No está en VPC"/>
    <n v="760"/>
    <s v="INTPG_VPC_760_1.13-16_761_1.13-16"/>
    <s v="ISEL-1.15"/>
    <n v="0"/>
    <s v="L3OUT-EXACLOUD"/>
    <n v="0"/>
    <n v="54"/>
  </r>
  <r>
    <n v="752"/>
    <x v="2"/>
    <x v="66"/>
    <s v="eth1/15"/>
    <x v="0"/>
    <x v="0"/>
    <x v="0"/>
    <s v="PAAS:ithhwoscopap015:Slot6.1"/>
    <x v="0"/>
    <b v="0"/>
    <s v="No está en VPC"/>
    <n v="752"/>
    <s v="INTPG_VPC_747_1.15_752_1.15"/>
    <s v="ISEL-1.15"/>
    <n v="25"/>
    <s v="NO TIENE L3OUT"/>
    <n v="0"/>
    <n v="54"/>
  </r>
  <r>
    <n v="765"/>
    <x v="2"/>
    <x v="67"/>
    <s v="eth1/15"/>
    <x v="0"/>
    <x v="0"/>
    <x v="0"/>
    <s v="Portchannel_7_R6B"/>
    <x v="0"/>
    <b v="0"/>
    <s v="No está en VPC"/>
    <n v="765"/>
    <s v="INTPG_PC_765_1.13-16"/>
    <s v="ISEL-1.15"/>
    <n v="1"/>
    <s v="NO TIENE L3OUT"/>
    <n v="60"/>
    <n v="54"/>
  </r>
  <r>
    <n v="778"/>
    <x v="2"/>
    <x v="68"/>
    <s v="eth1/15"/>
    <x v="0"/>
    <x v="0"/>
    <x v="0"/>
    <s v="ENIQ F1:itheniqr08enclr3:BAY2/X2"/>
    <x v="0"/>
    <b v="0"/>
    <s v="No está en VPC"/>
    <n v="778"/>
    <s v="INTPG_PC_778_1.14-15"/>
    <s v="ISEL-1.15"/>
    <n v="3"/>
    <s v="NO TIENE L3OUT"/>
    <n v="26"/>
    <n v="54"/>
  </r>
  <r>
    <n v="780"/>
    <x v="2"/>
    <x v="69"/>
    <s v="eth1/15"/>
    <x v="0"/>
    <x v="0"/>
    <x v="0"/>
    <s v="LACP_VC2_ENIQ9C"/>
    <x v="0"/>
    <b v="0"/>
    <s v="No está en VPC"/>
    <n v="780"/>
    <s v="INTPG_PC_780_1.14-15"/>
    <s v="ISEL-1.15"/>
    <n v="3"/>
    <s v="NO TIENE L3OUT"/>
    <n v="26"/>
    <n v="54"/>
  </r>
  <r>
    <n v="812"/>
    <x v="2"/>
    <x v="70"/>
    <s v="eth1/15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15"/>
    <x v="0"/>
    <x v="0"/>
    <x v="0"/>
    <s v="TO_ITHFDEOSPVLMT01"/>
    <x v="0"/>
    <b v="0"/>
    <s v="No está en VPC"/>
    <n v="796"/>
    <s v="INTPG_VPC_795_1.15-17_796_1.15-17"/>
    <s v="ISEL-1.15"/>
    <n v="2"/>
    <s v="NO TIENE L3OUT"/>
    <n v="18"/>
    <n v="54"/>
  </r>
  <r>
    <n v="795"/>
    <x v="2"/>
    <x v="72"/>
    <s v="eth1/15"/>
    <x v="0"/>
    <x v="0"/>
    <x v="0"/>
    <s v="TO_ITHFDEOSPVLMT01"/>
    <x v="0"/>
    <b v="0"/>
    <s v="No está en VPC"/>
    <n v="795"/>
    <s v="INTPG_VPC_795_1.15-17_796_1.15-17"/>
    <s v="ISEL-1.15"/>
    <n v="2"/>
    <s v="NO TIENE L3OUT"/>
    <n v="18"/>
    <n v="54"/>
  </r>
  <r>
    <n v="749"/>
    <x v="2"/>
    <x v="73"/>
    <s v="eth1/15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15"/>
    <x v="0"/>
    <x v="0"/>
    <x v="0"/>
    <s v="LINK_TO_ITHFHWCMVWPMA10 /Slot5.1 /Redundante"/>
    <x v="0"/>
    <b v="0"/>
    <s v="No está en VPC"/>
    <n v="824"/>
    <s v="INTPG_ACC_824_1.15"/>
    <s v="ISEL-1.15"/>
    <n v="1"/>
    <s v="NO TIENE L3OUT"/>
    <n v="70"/>
    <n v="54"/>
  </r>
  <r>
    <n v="819"/>
    <x v="2"/>
    <x v="75"/>
    <s v="eth1/15"/>
    <x v="0"/>
    <x v="0"/>
    <x v="0"/>
    <s v="LINK_TO_ITHFHWCMVWPMA10 /10GE.1 /Principal"/>
    <x v="0"/>
    <b v="0"/>
    <s v="No está en VPC"/>
    <n v="819"/>
    <s v="INTPG_ACC_819_1.15"/>
    <s v="ISEL-1.15"/>
    <n v="1"/>
    <s v="NO TIENE L3OUT"/>
    <n v="70"/>
    <n v="54"/>
  </r>
  <r>
    <n v="737"/>
    <x v="2"/>
    <x v="76"/>
    <s v="eth1/15"/>
    <x v="0"/>
    <x v="0"/>
    <x v="0"/>
    <s v="CEM:ITHCEMF2DAT08:LOM P3"/>
    <x v="5"/>
    <b v="0"/>
    <s v="No está en VPC"/>
    <n v="737"/>
    <s v="INTPG_ACC_737_1.15"/>
    <s v="ISEL-1.15"/>
    <n v="1"/>
    <s v="NO TIENE L3OUT"/>
    <n v="72"/>
    <n v="54"/>
  </r>
  <r>
    <n v="844"/>
    <x v="2"/>
    <x v="77"/>
    <s v="eth1/15"/>
    <x v="0"/>
    <x v="0"/>
    <x v="0"/>
    <s v="LINK_TO_ITHFHWCRMPLCN105 / Slot1.3_14 / Principal"/>
    <x v="0"/>
    <b v="0"/>
    <s v="No está en VPC"/>
    <n v="844"/>
    <s v="INTPG_ACC_844_1.15"/>
    <s v="ISEL-1.15"/>
    <n v="1"/>
    <s v="NO TIENE L3OUT"/>
    <n v="282"/>
    <n v="54"/>
  </r>
  <r>
    <n v="843"/>
    <x v="2"/>
    <x v="78"/>
    <s v="eth1/15"/>
    <x v="0"/>
    <x v="0"/>
    <x v="0"/>
    <s v="LINK_To_ITHFHWCBSPSUSBD29 / Slot7.1_10 / Redundante"/>
    <x v="0"/>
    <b v="0"/>
    <s v="No está en VPC"/>
    <n v="843"/>
    <s v="INTPG_VPC_838_1.15_843_1.15"/>
    <s v="ISEL-1.15"/>
    <n v="2"/>
    <s v="NO TIENE L3OUT"/>
    <n v="38"/>
    <n v="54"/>
  </r>
  <r>
    <n v="797"/>
    <x v="2"/>
    <x v="79"/>
    <s v="eth1/15"/>
    <x v="0"/>
    <x v="0"/>
    <x v="0"/>
    <s v="TO-HDPS_17-MSP"/>
    <x v="0"/>
    <b v="0"/>
    <s v="No está en VPC"/>
    <n v="797"/>
    <s v="INTPG_ACC_797_1.15"/>
    <s v="ISEL-1.15"/>
    <n v="1"/>
    <s v="NO TIENE L3OUT"/>
    <n v="48"/>
    <n v="54"/>
  </r>
  <r>
    <n v="839"/>
    <x v="2"/>
    <x v="80"/>
    <s v="eth1/15"/>
    <x v="0"/>
    <x v="0"/>
    <x v="0"/>
    <s v="LINK_TO_ITHFHWCBSPSWR62 / Slot7.3_12 / Redundante"/>
    <x v="0"/>
    <b v="0"/>
    <s v="No está en VPC"/>
    <n v="839"/>
    <s v="INTPG_VPC_834_1.15_839_1.15"/>
    <s v="ISEL-1.15"/>
    <n v="1"/>
    <s v="NO TIENE L3OUT"/>
    <n v="0"/>
    <n v="54"/>
  </r>
  <r>
    <n v="847"/>
    <x v="2"/>
    <x v="81"/>
    <s v="eth1/15"/>
    <x v="0"/>
    <x v="0"/>
    <x v="0"/>
    <s v="LINK_TO_ITHFHWCRMPLCN170 / Slot7.2_10 / Redundante"/>
    <x v="0"/>
    <b v="0"/>
    <s v="No está en VPC"/>
    <n v="847"/>
    <s v="INTPG_ACC_847_1.15"/>
    <s v="ISEL-1.15"/>
    <n v="2"/>
    <s v="NO TIENE L3OUT"/>
    <n v="204"/>
    <n v="54"/>
  </r>
  <r>
    <n v="848"/>
    <x v="2"/>
    <x v="82"/>
    <s v="eth1/15"/>
    <x v="0"/>
    <x v="0"/>
    <x v="0"/>
    <s v="LINK_TO_ITHFHWCRMPLCN159 / Slot7.2_20 / Redundante"/>
    <x v="0"/>
    <b v="0"/>
    <s v="No está en VPC"/>
    <n v="848"/>
    <s v="INTPG_ACC_848_1.15"/>
    <s v="ISEL-1.15"/>
    <n v="2"/>
    <s v="NO TIENE L3OUT"/>
    <n v="254"/>
    <n v="54"/>
  </r>
  <r>
    <n v="846"/>
    <x v="2"/>
    <x v="83"/>
    <s v="eth1/15"/>
    <x v="0"/>
    <x v="0"/>
    <x v="0"/>
    <s v="LINK_TO_ITHFHWCRMPLCN76 / Slot1.3_10 / Principal"/>
    <x v="0"/>
    <b v="0"/>
    <s v="No está en VPC"/>
    <n v="846"/>
    <s v="INTPG_ACC_846_1.15"/>
    <s v="ISEL-1.15"/>
    <n v="1"/>
    <s v="NO TIENE L3OUT"/>
    <n v="242"/>
    <n v="54"/>
  </r>
  <r>
    <n v="838"/>
    <x v="2"/>
    <x v="84"/>
    <s v="eth1/15"/>
    <x v="0"/>
    <x v="0"/>
    <x v="0"/>
    <s v="LINK_To_ITHFHWCBSPSUSBD29 / Slot1.1_10 / Principal"/>
    <x v="0"/>
    <b v="0"/>
    <s v="No está en VPC"/>
    <n v="838"/>
    <s v="INTPG_VPC_838_1.15_843_1.15"/>
    <s v="ISEL-1.15"/>
    <n v="2"/>
    <s v="NO TIENE L3OUT"/>
    <n v="38"/>
    <n v="54"/>
  </r>
  <r>
    <n v="849"/>
    <x v="2"/>
    <x v="85"/>
    <s v="eth1/15"/>
    <x v="0"/>
    <x v="0"/>
    <x v="0"/>
    <s v="LINK_TO_ITHFHWCRMPLCN139 / Slot7.2_12 / Redundante"/>
    <x v="0"/>
    <b v="0"/>
    <s v="No está en VPC"/>
    <n v="849"/>
    <s v="INTPG_ACC_849_1.15"/>
    <s v="ISEL-1.15"/>
    <n v="2"/>
    <s v="NO TIENE L3OUT"/>
    <n v="286"/>
    <n v="54"/>
  </r>
  <r>
    <n v="845"/>
    <x v="2"/>
    <x v="86"/>
    <s v="eth1/15"/>
    <x v="0"/>
    <x v="0"/>
    <x v="0"/>
    <s v="LINK_TO_ITHFHWCRMPLCN89 / Slot1.1_10 / Principal"/>
    <x v="0"/>
    <b v="0"/>
    <s v="No está en VPC"/>
    <n v="845"/>
    <s v="INTPG_ACC_845_1.15"/>
    <s v="ISEL-1.15"/>
    <n v="6"/>
    <s v="NO TIENE L3OUT"/>
    <n v="258"/>
    <n v="54"/>
  </r>
  <r>
    <n v="873"/>
    <x v="2"/>
    <x v="87"/>
    <s v="eth1/15"/>
    <x v="0"/>
    <x v="0"/>
    <x v="0"/>
    <s v="TO_ITHFHWCRMDLCN58_Principal"/>
    <x v="0"/>
    <b v="0"/>
    <s v="No está en VPC"/>
    <n v="873"/>
    <s v="INTPG_ACC_873_1.15"/>
    <s v="ISEL-1.15"/>
    <n v="6"/>
    <s v="NO TIENE L3OUT"/>
    <n v="248"/>
    <n v="54"/>
  </r>
  <r>
    <n v="864"/>
    <x v="2"/>
    <x v="88"/>
    <s v="eth1/15"/>
    <x v="0"/>
    <x v="0"/>
    <x v="0"/>
    <s v="To_VPC_2DCBSD_HD35_3"/>
    <x v="0"/>
    <b v="0"/>
    <s v="No está en VPC"/>
    <n v="864"/>
    <s v="INTPG_VPC_859_1.15_864_1.15"/>
    <s v="ISEL-1.15"/>
    <n v="1"/>
    <s v="NO TIENE L3OUT"/>
    <n v="0"/>
    <n v="54"/>
  </r>
  <r>
    <n v="836"/>
    <x v="2"/>
    <x v="89"/>
    <s v="eth1/15"/>
    <x v="0"/>
    <x v="0"/>
    <x v="0"/>
    <s v="LINK_TO_ITHFHWCBSPSWR50 / Slot1.2_28 / Principal"/>
    <x v="0"/>
    <b v="0"/>
    <s v="No está en VPC"/>
    <n v="836"/>
    <s v="INTPG_VPC_836_1.15_841_1.15"/>
    <s v="ISEL-1.15"/>
    <n v="1"/>
    <s v="NO TIENE L3OUT"/>
    <n v="0"/>
    <n v="54"/>
  </r>
  <r>
    <n v="834"/>
    <x v="2"/>
    <x v="90"/>
    <s v="eth1/15"/>
    <x v="0"/>
    <x v="0"/>
    <x v="0"/>
    <s v="LINK_TO_ITHFHWCBSPSWR62 / Slot1.3_12 / Principal"/>
    <x v="0"/>
    <b v="0"/>
    <s v="No está en VPC"/>
    <n v="834"/>
    <s v="INTPG_VPC_834_1.15_839_1.15"/>
    <s v="ISEL-1.15"/>
    <n v="1"/>
    <s v="NO TIENE L3OUT"/>
    <n v="0"/>
    <n v="54"/>
  </r>
  <r>
    <n v="872"/>
    <x v="2"/>
    <x v="91"/>
    <s v="eth1/15"/>
    <x v="0"/>
    <x v="0"/>
    <x v="0"/>
    <s v="To_ITHFHWCRMDLCN74_Principal"/>
    <x v="0"/>
    <b v="0"/>
    <s v="No está en VPC"/>
    <n v="872"/>
    <s v="INTPG_ACC_872_1.15"/>
    <s v="ISEL-1.15"/>
    <n v="6"/>
    <s v="NO TIENE L3OUT"/>
    <n v="288"/>
    <n v="54"/>
  </r>
  <r>
    <n v="842"/>
    <x v="2"/>
    <x v="92"/>
    <s v="eth1/15"/>
    <x v="0"/>
    <x v="0"/>
    <x v="0"/>
    <s v="LINK_TO_ITHFHWCBSPSUSBD30 / Slot7.2_10 / Redundante"/>
    <x v="0"/>
    <b v="0"/>
    <s v="No está en VPC"/>
    <n v="842"/>
    <s v="INTPG_VPC_837_1.15_842_1.15"/>
    <s v="ISEL-1.15"/>
    <n v="1"/>
    <s v="NO TIENE L3OUT"/>
    <n v="8"/>
    <n v="54"/>
  </r>
  <r>
    <n v="828"/>
    <x v="2"/>
    <x v="93"/>
    <s v="eth1/15"/>
    <x v="0"/>
    <x v="0"/>
    <x v="0"/>
    <s v="LINK_TO_ITHFHWCRMDLCN20 /10GE.1 /Principal"/>
    <x v="0"/>
    <b v="0"/>
    <s v="No está en VPC"/>
    <n v="828"/>
    <s v="INTPG_ACC_828_1.15"/>
    <s v="ISEL-1.15"/>
    <n v="2"/>
    <s v="NO TIENE L3OUT"/>
    <n v="192"/>
    <n v="54"/>
  </r>
  <r>
    <n v="870"/>
    <x v="2"/>
    <x v="94"/>
    <s v="eth1/15"/>
    <x v="0"/>
    <x v="0"/>
    <x v="0"/>
    <s v="TO_ITHFHWCRMDLCN58_Redundante"/>
    <x v="0"/>
    <b v="0"/>
    <s v="No está en VPC"/>
    <n v="870"/>
    <s v="INTPG_ACC_870_1.15"/>
    <s v="ISEL-1.15"/>
    <n v="6"/>
    <s v="NO TIENE L3OUT"/>
    <n v="248"/>
    <n v="54"/>
  </r>
  <r>
    <n v="866"/>
    <x v="2"/>
    <x v="95"/>
    <s v="eth1/15"/>
    <x v="0"/>
    <x v="0"/>
    <x v="0"/>
    <s v="To_VPC_2DCBSD_HD21_2"/>
    <x v="0"/>
    <b v="0"/>
    <s v="No está en VPC"/>
    <n v="866"/>
    <s v="INTPG_VPC_861_1.15_866_1.15"/>
    <s v="ISEL-1.15"/>
    <n v="1"/>
    <s v="NO TIENE L3OUT"/>
    <n v="8"/>
    <n v="54"/>
  </r>
  <r>
    <n v="862"/>
    <x v="2"/>
    <x v="96"/>
    <s v="eth1/15"/>
    <x v="0"/>
    <x v="0"/>
    <x v="0"/>
    <s v="TO-ITHFSUEXG2XCN04_PCI3.P1"/>
    <x v="0"/>
    <b v="0"/>
    <s v="No está en VPC"/>
    <n v="862"/>
    <s v="INTPG_ACC_862_1.15"/>
    <s v="ISEL-1.15"/>
    <n v="2"/>
    <s v="NO TIENE L3OUT"/>
    <n v="44"/>
    <n v="54"/>
  </r>
  <r>
    <n v="855"/>
    <x v="2"/>
    <x v="97"/>
    <s v="eth1/15"/>
    <x v="0"/>
    <x v="0"/>
    <x v="0"/>
    <s v="LINK_TO_ITHFHWCRMPLCN159 / Slot1.2_20 / Principal"/>
    <x v="0"/>
    <b v="0"/>
    <s v="No está en VPC"/>
    <n v="855"/>
    <s v="INTPG_ACC_855_1.15"/>
    <s v="ISEL-1.15"/>
    <n v="2"/>
    <s v="NO TIENE L3OUT"/>
    <n v="254"/>
    <n v="54"/>
  </r>
  <r>
    <n v="871"/>
    <x v="2"/>
    <x v="98"/>
    <s v="eth1/15"/>
    <x v="0"/>
    <x v="0"/>
    <x v="0"/>
    <s v="TO_ITHFHWCRMDLCN85_Principal"/>
    <x v="0"/>
    <b v="0"/>
    <s v="No está en VPC"/>
    <n v="871"/>
    <s v="INTPG_ACC_871_1.15"/>
    <s v="ISEL-1.15"/>
    <n v="1"/>
    <s v="NO TIENE L3OUT"/>
    <n v="246"/>
    <n v="54"/>
  </r>
  <r>
    <n v="841"/>
    <x v="2"/>
    <x v="99"/>
    <s v="eth1/15"/>
    <x v="0"/>
    <x v="0"/>
    <x v="0"/>
    <s v="LINK_TO_ITHFHWCBSPSWR50 / Slot7.2_28 / Redundante"/>
    <x v="0"/>
    <b v="0"/>
    <s v="No está en VPC"/>
    <n v="841"/>
    <s v="INTPG_VPC_836_1.15_841_1.15"/>
    <s v="ISEL-1.15"/>
    <n v="1"/>
    <s v="NO TIENE L3OUT"/>
    <n v="0"/>
    <n v="54"/>
  </r>
  <r>
    <n v="868"/>
    <x v="2"/>
    <x v="100"/>
    <s v="eth1/15"/>
    <x v="0"/>
    <x v="0"/>
    <x v="0"/>
    <s v="TO_ITHFHWCRMDLCN85_Redundante"/>
    <x v="0"/>
    <b v="0"/>
    <s v="No está en VPC"/>
    <n v="868"/>
    <s v="INTPG_ACC_868_1.15"/>
    <s v="ISEL-1.15"/>
    <n v="1"/>
    <s v="NO TIENE L3OUT"/>
    <n v="246"/>
    <n v="54"/>
  </r>
  <r>
    <n v="869"/>
    <x v="2"/>
    <x v="101"/>
    <s v="eth1/15"/>
    <x v="0"/>
    <x v="0"/>
    <x v="0"/>
    <s v="To_ITHFHWCRMDLCN74_Redundante"/>
    <x v="0"/>
    <b v="0"/>
    <s v="No está en VPC"/>
    <n v="869"/>
    <s v="INTPG_ACC_869_1.15"/>
    <s v="ISEL-1.15"/>
    <n v="6"/>
    <s v="NO TIENE L3OUT"/>
    <n v="288"/>
    <n v="54"/>
  </r>
  <r>
    <n v="861"/>
    <x v="2"/>
    <x v="102"/>
    <s v="eth1/15"/>
    <x v="0"/>
    <x v="0"/>
    <x v="0"/>
    <s v="To_VPC_2DCBSD_HD21_2"/>
    <x v="0"/>
    <b v="0"/>
    <s v="No está en VPC"/>
    <n v="861"/>
    <s v="INTPG_VPC_861_1.15_866_1.15"/>
    <s v="ISEL-1.15"/>
    <n v="1"/>
    <s v="NO TIENE L3OUT"/>
    <n v="8"/>
    <n v="54"/>
  </r>
  <r>
    <n v="874"/>
    <x v="2"/>
    <x v="103"/>
    <s v="eth1/15"/>
    <x v="0"/>
    <x v="0"/>
    <x v="0"/>
    <s v="LINK_TO_ITHFHWSEQLIMPS26 / Slot 5 PTO 1 / Redundante"/>
    <x v="4"/>
    <b v="0"/>
    <s v="No está en VPC"/>
    <n v="874"/>
    <s v="INTPG_ACC_874_1.15"/>
    <s v="ISEL-1.15"/>
    <n v="1"/>
    <s v="NO TIENE L3OUT"/>
    <n v="92"/>
    <n v="54"/>
  </r>
  <r>
    <n v="865"/>
    <x v="2"/>
    <x v="104"/>
    <s v="eth1/15"/>
    <x v="0"/>
    <x v="0"/>
    <x v="0"/>
    <s v="To_VPC_2DCBSD_HD27_3"/>
    <x v="0"/>
    <b v="0"/>
    <s v="No está en VPC"/>
    <n v="865"/>
    <s v="INTPG_VPC_860_1.15_865_1.15"/>
    <s v="ISEL-1.15"/>
    <n v="1"/>
    <s v="NO TIENE L3OUT"/>
    <n v="0"/>
    <n v="54"/>
  </r>
  <r>
    <n v="753"/>
    <x v="2"/>
    <x v="105"/>
    <s v="eth1/15"/>
    <x v="0"/>
    <x v="0"/>
    <x v="0"/>
    <s v="OSS F1:ithenmr04e1r9c:Bay2/X1"/>
    <x v="0"/>
    <b v="0"/>
    <s v="No está en VPC"/>
    <n v="753"/>
    <s v="INTPG_PC_753_1.15-16"/>
    <s v="ISEL-1.15"/>
    <n v="8"/>
    <s v="NO TIENE L3OUT"/>
    <n v="62"/>
    <n v="54"/>
  </r>
  <r>
    <n v="708"/>
    <x v="2"/>
    <x v="106"/>
    <s v="eth1/15"/>
    <x v="0"/>
    <x v="1"/>
    <x v="5"/>
    <s v="CEM:ITHCEMF2DAT08:LOM P1"/>
    <x v="0"/>
    <b v="0"/>
    <s v="No está en VPC"/>
    <n v="708"/>
    <s v="INTPG_VPC_708_1.15_709_1.16"/>
    <s v="ISEL-1.15"/>
    <n v="1"/>
    <s v="NO TIENE L3OUT"/>
    <n v="0"/>
    <n v="54"/>
  </r>
  <r>
    <n v="710"/>
    <x v="2"/>
    <x v="107"/>
    <s v="eth1/15"/>
    <x v="0"/>
    <x v="1"/>
    <x v="5"/>
    <s v="CEM:ITHCEMD2DAT08:LOM P1"/>
    <x v="0"/>
    <b v="0"/>
    <s v="No está en VPC"/>
    <n v="710"/>
    <s v="INTPG_VPC_710_1.15_711_1.16"/>
    <s v="ISEL-1.15"/>
    <n v="1"/>
    <s v="NO TIENE L3OUT"/>
    <n v="16"/>
    <n v="54"/>
  </r>
  <r>
    <n v="713"/>
    <x v="2"/>
    <x v="108"/>
    <s v="eth1/15"/>
    <x v="0"/>
    <x v="0"/>
    <x v="0"/>
    <s v="CEM:ITHCEMA2DAT08:LOM P1"/>
    <x v="0"/>
    <b v="0"/>
    <s v="No está en VPC"/>
    <n v="713"/>
    <s v="INTPG_ACC_713_1.15"/>
    <s v="ISEL-1.15"/>
    <n v="1"/>
    <s v="NO TIENE L3OUT"/>
    <n v="32"/>
    <n v="54"/>
  </r>
  <r>
    <n v="735"/>
    <x v="2"/>
    <x v="109"/>
    <s v="eth1/15"/>
    <x v="0"/>
    <x v="1"/>
    <x v="1"/>
    <s v="CEM:ITHCEMA1DAT08:LOM P3"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15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15"/>
    <x v="0"/>
    <x v="0"/>
    <x v="0"/>
    <m/>
    <x v="0"/>
    <b v="0"/>
    <s v="No está en VPC"/>
    <n v="703"/>
    <s v="INTPG_VPC_703_1.15_704_1.16"/>
    <s v="ISEL-1.15"/>
    <n v="1"/>
    <s v="NO TIENE L3OUT"/>
    <n v="2"/>
    <n v="54"/>
  </r>
  <r>
    <n v="706"/>
    <x v="2"/>
    <x v="112"/>
    <s v="eth1/15"/>
    <x v="0"/>
    <x v="0"/>
    <x v="0"/>
    <s v="CEM:ITHCEMA1DAT08:LOM  P1"/>
    <x v="0"/>
    <b v="0"/>
    <s v="No está en VPC"/>
    <n v="706"/>
    <s v="INTPG_ACC_706_1.15"/>
    <s v="ISEL-1.15"/>
    <n v="1"/>
    <s v="NO TIENE L3OUT"/>
    <n v="16"/>
    <n v="54"/>
  </r>
  <r>
    <n v="762"/>
    <x v="2"/>
    <x v="113"/>
    <s v="eth1/15"/>
    <x v="0"/>
    <x v="0"/>
    <x v="0"/>
    <s v="PAAS:ithhwoscopap015:LOM PORT 3"/>
    <x v="0"/>
    <b v="0"/>
    <s v="No está en VPC"/>
    <n v="762"/>
    <s v="INTPG_VPC_762_1.15_763_1.15"/>
    <s v="ISEL-1.15"/>
    <n v="15"/>
    <s v="NO TIENE L3OUT"/>
    <n v="0"/>
    <n v="54"/>
  </r>
  <r>
    <n v="814"/>
    <x v="2"/>
    <x v="114"/>
    <s v="eth1/15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15"/>
    <x v="0"/>
    <x v="0"/>
    <x v="0"/>
    <s v="HACIA_CSI-A-OSCP-F4-15_SECUNDARIO"/>
    <x v="4"/>
    <b v="0"/>
    <s v="No está en VPC"/>
    <n v="878"/>
    <s v="INTPG_VPC_878_1.15_879_1.15"/>
    <s v="ISEL-1.15"/>
    <n v="2"/>
    <s v="NO TIENE L3OUT"/>
    <n v="0"/>
    <n v="54"/>
  </r>
  <r>
    <n v="826"/>
    <x v="2"/>
    <x v="116"/>
    <s v="eth1/15"/>
    <x v="0"/>
    <x v="0"/>
    <x v="0"/>
    <s v="LINK_TO_ITHFHWCBSDSHD14 /Slot4.2 /Principal"/>
    <x v="0"/>
    <b v="0"/>
    <s v="No está en VPC"/>
    <n v="826"/>
    <s v="INTPG_VPC_826_1.15_830_1.15"/>
    <s v="ISEL-1.15"/>
    <n v="1"/>
    <s v="NO TIENE L3OUT"/>
    <n v="12"/>
    <n v="54"/>
  </r>
  <r>
    <n v="726"/>
    <x v="2"/>
    <x v="117"/>
    <s v="eth1/15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15"/>
    <x v="0"/>
    <x v="1"/>
    <x v="1"/>
    <s v="CEM:ITHCEMC2DAT08:LOM P3"/>
    <x v="5"/>
    <b v="0"/>
    <s v="No está en VPC"/>
    <n v="740"/>
    <s v="INTPG_ACC_740_1.15"/>
    <s v="ISEL-1.15"/>
    <n v="1"/>
    <s v="NO TIENE L3OUT"/>
    <n v="72"/>
    <n v="54"/>
  </r>
  <r>
    <n v="705"/>
    <x v="2"/>
    <x v="119"/>
    <s v="eth1/15"/>
    <x v="0"/>
    <x v="0"/>
    <x v="0"/>
    <s v="CEM:ITHOIDB1SVR08:LOM  P2"/>
    <x v="0"/>
    <b v="0"/>
    <s v="No está en VPC"/>
    <n v="705"/>
    <s v="INTPG_VPC_705_1.15_706_1.16"/>
    <s v="ISEL-1.15"/>
    <n v="1"/>
    <s v="NO TIENE L3OUT"/>
    <n v="16"/>
    <n v="54"/>
  </r>
  <r>
    <n v="723"/>
    <x v="2"/>
    <x v="120"/>
    <s v="eth1/15"/>
    <x v="0"/>
    <x v="1"/>
    <x v="5"/>
    <m/>
    <x v="0"/>
    <b v="0"/>
    <s v="No está en VPC"/>
    <n v="723"/>
    <s v="INTPG-VPC_HDD113_723_1.15_722_1.16"/>
    <s v="ISEL-1.15"/>
    <n v="1"/>
    <s v="NO TIENE L3OUT"/>
    <n v="0"/>
    <n v="54"/>
  </r>
  <r>
    <n v="721"/>
    <x v="2"/>
    <x v="121"/>
    <s v="eth1/15"/>
    <x v="0"/>
    <x v="0"/>
    <x v="0"/>
    <s v="TO-ITHFHWVRALCN03"/>
    <x v="0"/>
    <b v="0"/>
    <s v="No está en VPC"/>
    <n v="721"/>
    <s v="INTPG_VPC_714_1.16_721_1.15"/>
    <s v="ISEL-1.15"/>
    <n v="108"/>
    <s v="NO TIENE L3OUT"/>
    <n v="20"/>
    <n v="54"/>
  </r>
  <r>
    <n v="788"/>
    <x v="2"/>
    <x v="122"/>
    <s v="eth1/15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15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15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15"/>
    <x v="0"/>
    <x v="1"/>
    <x v="5"/>
    <s v="CEM:ITHCEME2DAT08:LOM P1"/>
    <x v="0"/>
    <b v="0"/>
    <s v="No está en VPC"/>
    <n v="709"/>
    <s v="INTPG_VPC_708_1.16_709_1.15"/>
    <s v="ISEL-1.15"/>
    <n v="1"/>
    <s v="NO TIENE L3OUT"/>
    <n v="0"/>
    <n v="54"/>
  </r>
  <r>
    <n v="454"/>
    <x v="1"/>
    <x v="126"/>
    <s v="eth1/15"/>
    <x v="0"/>
    <x v="0"/>
    <x v="0"/>
    <s v="HACIA_CSI-A-OSCP-F4-03_PRINCIPAL"/>
    <x v="4"/>
    <b v="0"/>
    <s v="No está en VPC"/>
    <n v="454"/>
    <s v="INTPG_VPC_454_1.15_456_1.15"/>
    <s v="ISEL-1.15"/>
    <n v="2"/>
    <s v="NO TIENE L3OUT"/>
    <n v="4"/>
    <n v="54"/>
  </r>
  <r>
    <n v="734"/>
    <x v="2"/>
    <x v="127"/>
    <s v="eth1/15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15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15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15"/>
    <x v="0"/>
    <x v="0"/>
    <x v="0"/>
    <m/>
    <x v="0"/>
    <b v="0"/>
    <s v="No está en VPC"/>
    <n v="718"/>
    <s v="INTPG-VPC_HDD10_718_1.15_717_1.16"/>
    <s v="ISEL-1.15"/>
    <n v="1"/>
    <s v="NO TIENE L3OUT"/>
    <n v="0"/>
    <n v="54"/>
  </r>
  <r>
    <n v="744"/>
    <x v="2"/>
    <x v="131"/>
    <s v="eth1/15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15"/>
    <x v="0"/>
    <x v="1"/>
    <x v="1"/>
    <s v="CEM:ITHCEMB2DAT08:LOM P3"/>
    <x v="5"/>
    <b v="0"/>
    <s v="No está en VPC"/>
    <n v="741"/>
    <s v="INTPG_ACC_741_1.15"/>
    <s v="ISEL-1.15"/>
    <n v="1"/>
    <s v="NO TIENE L3OUT"/>
    <n v="62"/>
    <n v="54"/>
  </r>
  <r>
    <n v="787"/>
    <x v="2"/>
    <x v="133"/>
    <s v="eth1/15"/>
    <x v="0"/>
    <x v="0"/>
    <x v="0"/>
    <s v="ENIQ F2:itheniqr14e1r4b:BAY2/X2"/>
    <x v="0"/>
    <b v="0"/>
    <s v="No está en VPC"/>
    <n v="787"/>
    <s v="INTPG_PC_787_1.14-15"/>
    <s v="ISEL-1.15"/>
    <n v="3"/>
    <s v="NO TIENE L3OUT"/>
    <n v="26"/>
    <n v="54"/>
  </r>
  <r>
    <n v="750"/>
    <x v="2"/>
    <x v="134"/>
    <s v="eth1/15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15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15"/>
    <x v="0"/>
    <x v="0"/>
    <x v="0"/>
    <s v="CEM:ITHCEMG2DAT08:LOM  P2"/>
    <x v="0"/>
    <b v="0"/>
    <s v="No está en VPC"/>
    <n v="736"/>
    <s v="INTPG_ACC_736_1.15"/>
    <s v="ISEL-1.15"/>
    <n v="1"/>
    <s v="NO TIENE L3OUT"/>
    <n v="48"/>
    <n v="54"/>
  </r>
  <r>
    <n v="799"/>
    <x v="2"/>
    <x v="137"/>
    <s v="eth1/15"/>
    <x v="0"/>
    <x v="0"/>
    <x v="0"/>
    <s v="TO-IMC_PS03-MSP"/>
    <x v="0"/>
    <b v="0"/>
    <s v="No está en VPC"/>
    <n v="799"/>
    <s v="INTPG_ACC_799_1.15"/>
    <s v="ISEL-1.15"/>
    <n v="1"/>
    <s v="NO TIENE L3OUT"/>
    <n v="52"/>
    <n v="54"/>
  </r>
  <r>
    <n v="768"/>
    <x v="2"/>
    <x v="138"/>
    <s v="eth1/15"/>
    <x v="0"/>
    <x v="0"/>
    <x v="0"/>
    <s v="OSS_ENM"/>
    <x v="0"/>
    <b v="0"/>
    <s v="No está en VPC"/>
    <n v="768"/>
    <s v="INTPG_ACC_768_1.15"/>
    <s v="ISEL-1.15"/>
    <n v="1"/>
    <s v="NO TIENE L3OUT"/>
    <n v="62"/>
    <n v="54"/>
  </r>
  <r>
    <n v="714"/>
    <x v="2"/>
    <x v="139"/>
    <s v="eth1/15"/>
    <x v="0"/>
    <x v="0"/>
    <x v="0"/>
    <s v="ITHORNG1DAT07_SLOT 4 P1"/>
    <x v="0"/>
    <b v="0"/>
    <s v="No está en VPC"/>
    <n v="714"/>
    <s v="INTPG_ACC_714_1.15"/>
    <s v="ISEL-1.15"/>
    <n v="2"/>
    <s v="NO TIENE L3OUT"/>
    <n v="20"/>
    <n v="54"/>
  </r>
  <r>
    <n v="717"/>
    <x v="2"/>
    <x v="140"/>
    <s v="eth1/15"/>
    <x v="0"/>
    <x v="0"/>
    <x v="0"/>
    <m/>
    <x v="0"/>
    <b v="0"/>
    <s v="No está en VPC"/>
    <n v="717"/>
    <s v="INTPG-VPC_HDD20_717_1.15_718_1.16"/>
    <s v="ISEL-1.15"/>
    <n v="1"/>
    <s v="NO TIENE L3OUT"/>
    <n v="0"/>
    <n v="54"/>
  </r>
  <r>
    <n v="789"/>
    <x v="2"/>
    <x v="141"/>
    <s v="eth1/15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15"/>
    <x v="0"/>
    <x v="0"/>
    <x v="0"/>
    <s v="OSS_ENM"/>
    <x v="0"/>
    <b v="0"/>
    <s v="No está en VPC"/>
    <n v="764"/>
    <s v="INTPG_ACC_764_1.15"/>
    <s v="ISEL-1.15"/>
    <n v="1"/>
    <s v="NO TIENE L3OUT"/>
    <n v="62"/>
    <n v="54"/>
  </r>
  <r>
    <n v="783"/>
    <x v="2"/>
    <x v="143"/>
    <s v="eth1/15"/>
    <x v="0"/>
    <x v="0"/>
    <x v="0"/>
    <s v="LACP_VC2_ENIQ9B"/>
    <x v="0"/>
    <b v="0"/>
    <s v="No está en VPC"/>
    <n v="783"/>
    <s v="INTPG_PC_783_1.14-15"/>
    <s v="ISEL-1.15"/>
    <n v="3"/>
    <s v="NO TIENE L3OUT"/>
    <n v="26"/>
    <n v="54"/>
  </r>
  <r>
    <n v="774"/>
    <x v="2"/>
    <x v="144"/>
    <s v="eth1/15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15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15"/>
    <x v="0"/>
    <x v="0"/>
    <x v="0"/>
    <s v="DESC"/>
    <x v="0"/>
    <b v="0"/>
    <s v="No está en VPC"/>
    <n v="794"/>
    <s v="INTPG_VPC_793_1.13_15_794_1.13_15"/>
    <s v="ISEL-1.15"/>
    <n v="1"/>
    <s v="NO TIENE L3OUT"/>
    <n v="12"/>
    <n v="54"/>
  </r>
  <r>
    <n v="803"/>
    <x v="2"/>
    <x v="147"/>
    <s v="eth1/15"/>
    <x v="0"/>
    <x v="0"/>
    <x v="0"/>
    <s v="TO-HDPS_41-MSP"/>
    <x v="0"/>
    <b v="0"/>
    <s v="No está en VPC"/>
    <n v="803"/>
    <s v="INTPG_ACC_803_1.15"/>
    <s v="ISEL-1.15"/>
    <n v="1"/>
    <s v="NO TIENE L3OUT"/>
    <n v="48"/>
    <n v="54"/>
  </r>
  <r>
    <n v="786"/>
    <x v="2"/>
    <x v="148"/>
    <s v="eth1/15"/>
    <x v="0"/>
    <x v="0"/>
    <x v="0"/>
    <s v="ENIQ F2:itheniqr16e1r4a:BAY2/X2"/>
    <x v="0"/>
    <b v="0"/>
    <s v="No está en VPC"/>
    <n v="786"/>
    <s v="INTPG_PC_786_1.14-15"/>
    <s v="ISEL-1.15"/>
    <n v="3"/>
    <s v="NO TIENE L3OUT"/>
    <n v="26"/>
    <n v="54"/>
  </r>
  <r>
    <n v="757"/>
    <x v="2"/>
    <x v="149"/>
    <s v="eth1/15"/>
    <x v="0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15"/>
    <x v="0"/>
    <x v="0"/>
    <x v="0"/>
    <s v="LACP_VC2_ENIQ1"/>
    <x v="0"/>
    <b v="0"/>
    <s v="No está en VPC"/>
    <n v="781"/>
    <s v="INTPG_PC_781_1.14-15"/>
    <s v="ISEL-1.15"/>
    <n v="3"/>
    <s v="NO TIENE L3OUT"/>
    <n v="26"/>
    <n v="54"/>
  </r>
  <r>
    <n v="793"/>
    <x v="2"/>
    <x v="151"/>
    <s v="eth1/15"/>
    <x v="0"/>
    <x v="0"/>
    <x v="0"/>
    <s v="DESC"/>
    <x v="0"/>
    <b v="0"/>
    <s v="No está en VPC"/>
    <n v="793"/>
    <s v="INTPG_VPC_793_1.13_15_794_1.13_15"/>
    <s v="ISEL-1.15"/>
    <n v="1"/>
    <s v="NO TIENE L3OUT"/>
    <n v="12"/>
    <n v="54"/>
  </r>
  <r>
    <n v="747"/>
    <x v="2"/>
    <x v="152"/>
    <s v="eth1/15"/>
    <x v="0"/>
    <x v="0"/>
    <x v="0"/>
    <s v="PAAS:ithhwoscopap015:Slot4.1"/>
    <x v="0"/>
    <b v="0"/>
    <s v="No está en VPC"/>
    <n v="747"/>
    <s v="INTPG_VPC_747_1.15_752_1.15"/>
    <s v="ISEL-1.15"/>
    <n v="25"/>
    <s v="NO TIENE L3OUT"/>
    <n v="0"/>
    <n v="54"/>
  </r>
  <r>
    <n v="784"/>
    <x v="2"/>
    <x v="153"/>
    <s v="eth1/15"/>
    <x v="0"/>
    <x v="0"/>
    <x v="0"/>
    <s v="ENIQ F2:itheniqr13e1r6a:BAY2/X2"/>
    <x v="0"/>
    <b v="0"/>
    <s v="No está en VPC"/>
    <n v="784"/>
    <s v="INTPG_PC_784_1.14-15"/>
    <s v="ISEL-1.15"/>
    <n v="3"/>
    <s v="NO TIENE L3OUT"/>
    <n v="26"/>
    <n v="54"/>
  </r>
  <r>
    <n v="806"/>
    <x v="2"/>
    <x v="154"/>
    <s v="eth1/15"/>
    <x v="0"/>
    <x v="0"/>
    <x v="0"/>
    <s v="TO-HDPS_65-MSP"/>
    <x v="0"/>
    <b v="0"/>
    <s v="No está en VPC"/>
    <n v="806"/>
    <s v="INTPG_ACC_806_1.15"/>
    <s v="ISEL-1.15"/>
    <n v="1"/>
    <s v="NO TIENE L3OUT"/>
    <n v="44"/>
    <n v="54"/>
  </r>
  <r>
    <n v="777"/>
    <x v="2"/>
    <x v="155"/>
    <s v="eth1/15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15"/>
    <x v="0"/>
    <x v="0"/>
    <x v="0"/>
    <s v="Portchannel_5_R4B"/>
    <x v="0"/>
    <b v="0"/>
    <s v="No está en VPC"/>
    <n v="770"/>
    <s v="INTPG_PC_770_1.15-16"/>
    <s v="ISEL-1.15"/>
    <n v="9"/>
    <s v="NO TIENE L3OUT"/>
    <n v="60"/>
    <n v="54"/>
  </r>
  <r>
    <n v="813"/>
    <x v="2"/>
    <x v="157"/>
    <s v="eth1/15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15"/>
    <x v="0"/>
    <x v="0"/>
    <x v="0"/>
    <s v="CEM:ITHCEMD2DAT08:LOM P3"/>
    <x v="5"/>
    <b v="0"/>
    <s v="No está en VPC"/>
    <n v="739"/>
    <s v="INTPG_ACC_739_1.15"/>
    <s v="ISEL-1.15"/>
    <n v="1"/>
    <s v="NO TIENE L3OUT"/>
    <n v="72"/>
    <n v="54"/>
  </r>
  <r>
    <n v="775"/>
    <x v="2"/>
    <x v="159"/>
    <s v="eth1/15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15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15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15"/>
    <x v="0"/>
    <x v="0"/>
    <x v="0"/>
    <s v="LINK_TO_ITHFHWCBSDSHD14 /Slot6.2 /Redundante"/>
    <x v="0"/>
    <b v="0"/>
    <s v="No está en VPC"/>
    <n v="830"/>
    <s v="INTPG_VPC_826_1.15_830_1.15"/>
    <s v="ISEL-1.15"/>
    <n v="1"/>
    <s v="NO TIENE L3OUT"/>
    <n v="12"/>
    <n v="54"/>
  </r>
  <r>
    <n v="821"/>
    <x v="2"/>
    <x v="163"/>
    <s v="eth1/15"/>
    <x v="0"/>
    <x v="0"/>
    <x v="0"/>
    <s v="LINK_TO_ITHFHWCBSPSHD14 /Slot6.2 /Redundante"/>
    <x v="0"/>
    <b v="0"/>
    <s v="No está en VPC"/>
    <n v="821"/>
    <s v="INTPG_VPC_816_1.15_821_1.15"/>
    <s v="ISEL-1.15"/>
    <n v="1"/>
    <s v="NO TIENE L3OUT"/>
    <n v="0"/>
    <n v="54"/>
  </r>
  <r>
    <n v="738"/>
    <x v="2"/>
    <x v="164"/>
    <s v="eth1/15"/>
    <x v="0"/>
    <x v="0"/>
    <x v="0"/>
    <s v="CEM:ITHCEME2DAT08:LOM P3"/>
    <x v="5"/>
    <b v="0"/>
    <s v="No está en VPC"/>
    <n v="738"/>
    <s v="INTPG_ACC_738_1.15"/>
    <s v="ISEL-1.15"/>
    <n v="1"/>
    <s v="NO TIENE L3OUT"/>
    <n v="72"/>
    <n v="54"/>
  </r>
  <r>
    <n v="820"/>
    <x v="2"/>
    <x v="165"/>
    <s v="eth1/15"/>
    <x v="0"/>
    <x v="0"/>
    <x v="0"/>
    <s v="LINK_TO_ITHHWCRMPEN03 /X2-10GE 4 /Redundante"/>
    <x v="0"/>
    <b v="0"/>
    <s v="No está en VPC"/>
    <n v="820"/>
    <s v="INTPG_VPC_820_1.15-16_18-19_825_1.1.15-16_18-19"/>
    <s v="ISEL-1.15"/>
    <n v="1"/>
    <s v="NO TIENE L3OUT"/>
    <n v="72"/>
    <n v="54"/>
  </r>
  <r>
    <n v="804"/>
    <x v="2"/>
    <x v="166"/>
    <s v="eth1/15"/>
    <x v="0"/>
    <x v="1"/>
    <x v="1"/>
    <s v="TO-HDPS_41-MSP"/>
    <x v="0"/>
    <b v="0"/>
    <s v="No está en VPC"/>
    <n v="804"/>
    <s v="INTPG_ACC_804_1.15"/>
    <s v="ISEL-1.15"/>
    <n v="1"/>
    <s v="NO TIENE L3OUT"/>
    <n v="48"/>
    <n v="54"/>
  </r>
  <r>
    <n v="779"/>
    <x v="2"/>
    <x v="167"/>
    <s v="eth1/15"/>
    <x v="0"/>
    <x v="0"/>
    <x v="0"/>
    <s v="ENIQ F1:itheniqr07enclr2:BAY2/X2"/>
    <x v="0"/>
    <b v="0"/>
    <s v="No está en VPC"/>
    <n v="779"/>
    <s v="INTPG_PC_779_1.14-15"/>
    <s v="ISEL-1.15"/>
    <n v="3"/>
    <s v="NO TIENE L3OUT"/>
    <n v="30"/>
    <n v="54"/>
  </r>
  <r>
    <n v="767"/>
    <x v="2"/>
    <x v="168"/>
    <s v="eth1/15"/>
    <x v="0"/>
    <x v="0"/>
    <x v="0"/>
    <s v="OSS_ENM"/>
    <x v="0"/>
    <b v="0"/>
    <s v="No está en VPC"/>
    <n v="767"/>
    <s v="INTPG_ACC_767_1.15"/>
    <s v="ISEL-1.15"/>
    <n v="1"/>
    <s v="NO TIENE L3OUT"/>
    <n v="60"/>
    <n v="54"/>
  </r>
  <r>
    <n v="827"/>
    <x v="2"/>
    <x v="169"/>
    <s v="eth1/15"/>
    <x v="0"/>
    <x v="0"/>
    <x v="0"/>
    <s v="LINK_TO_ITHFHWCBSDSUSBD10 /10GE.1 /Principal"/>
    <x v="0"/>
    <b v="0"/>
    <s v="No está en VPC"/>
    <n v="827"/>
    <s v="INTPG_VPC_827_1.15_831_1.15"/>
    <s v="ISEL-1.15"/>
    <n v="1"/>
    <s v="NO TIENE L3OUT"/>
    <n v="14"/>
    <n v="54"/>
  </r>
  <r>
    <n v="809"/>
    <x v="2"/>
    <x v="170"/>
    <s v="eth1/15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15"/>
    <x v="0"/>
    <x v="0"/>
    <x v="0"/>
    <s v="Portchannel_7_R4A"/>
    <x v="0"/>
    <b v="0"/>
    <s v="No está en VPC"/>
    <n v="771"/>
    <s v="INTPG_PC_771_1.13-16"/>
    <s v="ISEL-1.15"/>
    <n v="1"/>
    <s v="NO TIENE L3OUT"/>
    <n v="62"/>
    <n v="54"/>
  </r>
  <r>
    <n v="761"/>
    <x v="2"/>
    <x v="172"/>
    <s v="eth1/15"/>
    <x v="0"/>
    <x v="1"/>
    <x v="1"/>
    <m/>
    <x v="0"/>
    <b v="0"/>
    <s v="No está en VPC"/>
    <n v="761"/>
    <s v="INTPG_VPC_760_1.13-16_761_1.13-16"/>
    <s v="ISEL-1.15"/>
    <n v="0"/>
    <s v="L3OUT-EXACLOUD"/>
    <n v="0"/>
    <n v="54"/>
  </r>
  <r>
    <n v="776"/>
    <x v="2"/>
    <x v="173"/>
    <s v="eth1/15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15"/>
    <x v="0"/>
    <x v="0"/>
    <x v="0"/>
    <s v="TO-HDPS_65-MSP"/>
    <x v="0"/>
    <b v="0"/>
    <s v="No está en VPC"/>
    <n v="805"/>
    <s v="INTPG_ACC_805_1.15"/>
    <s v="ISEL-1.15"/>
    <n v="1"/>
    <s v="NO TIENE L3OUT"/>
    <n v="44"/>
    <n v="54"/>
  </r>
  <r>
    <n v="772"/>
    <x v="2"/>
    <x v="175"/>
    <s v="eth1/15"/>
    <x v="0"/>
    <x v="0"/>
    <x v="0"/>
    <s v="TO-ITHFF5IOTUPLB01"/>
    <x v="0"/>
    <b v="0"/>
    <s v="No está en VPC"/>
    <n v="772"/>
    <s v="INTPG_VPC_772_1.15_773_1.11"/>
    <s v="ISEL-1.15"/>
    <n v="4"/>
    <s v="NO TIENE L3OUT"/>
    <n v="82"/>
    <n v="54"/>
  </r>
  <r>
    <n v="785"/>
    <x v="2"/>
    <x v="176"/>
    <s v="eth1/15"/>
    <x v="0"/>
    <x v="0"/>
    <x v="0"/>
    <s v="ENIQ F2:itheniqr12e1r6b:BAY2/X2"/>
    <x v="0"/>
    <b v="0"/>
    <s v="No está en VPC"/>
    <n v="785"/>
    <s v="INTPG_PC_785_1.14-15"/>
    <s v="ISEL-1.15"/>
    <n v="3"/>
    <s v="NO TIENE L3OUT"/>
    <n v="32"/>
    <n v="54"/>
  </r>
  <r>
    <n v="851"/>
    <x v="2"/>
    <x v="177"/>
    <s v="eth1/15"/>
    <x v="0"/>
    <x v="0"/>
    <x v="0"/>
    <s v="LINK_TO_ITHFHWCRMPLCN105 / Slot7.3_14 / Redundante"/>
    <x v="0"/>
    <b v="0"/>
    <s v="No está en VPC"/>
    <n v="851"/>
    <s v="INTPG_ACC_851_1.15"/>
    <s v="ISEL-1.15"/>
    <n v="1"/>
    <s v="NO TIENE L3OUT"/>
    <n v="282"/>
    <n v="54"/>
  </r>
  <r>
    <n v="798"/>
    <x v="2"/>
    <x v="178"/>
    <s v="eth1/15"/>
    <x v="0"/>
    <x v="0"/>
    <x v="0"/>
    <s v="TO-IMC_PS03-MSP"/>
    <x v="0"/>
    <b v="0"/>
    <s v="No está en VPC"/>
    <n v="798"/>
    <s v="INTPG_ACC_798_1.15"/>
    <s v="ISEL-1.15"/>
    <n v="1"/>
    <s v="NO TIENE L3OUT"/>
    <n v="52"/>
    <n v="54"/>
  </r>
  <r>
    <n v="782"/>
    <x v="2"/>
    <x v="179"/>
    <s v="eth1/15"/>
    <x v="0"/>
    <x v="0"/>
    <x v="0"/>
    <s v="LACP_VC2_ENIQ9A"/>
    <x v="0"/>
    <b v="0"/>
    <s v="No está en VPC"/>
    <n v="782"/>
    <s v="INTPG_PC_782_1.14-15"/>
    <s v="ISEL-1.15"/>
    <n v="3"/>
    <s v="NO TIENE L3OUT"/>
    <n v="32"/>
    <n v="54"/>
  </r>
  <r>
    <n v="852"/>
    <x v="2"/>
    <x v="180"/>
    <s v="eth1/15"/>
    <x v="0"/>
    <x v="0"/>
    <x v="0"/>
    <s v="LINK_TO_ITHFHWCRMPLCN89 / Slot7.1_10 / Redundante"/>
    <x v="0"/>
    <b v="0"/>
    <s v="No está en VPC"/>
    <n v="852"/>
    <s v="INTPG_ACC_852_1.15"/>
    <s v="ISEL-1.15"/>
    <n v="6"/>
    <s v="NO TIENE L3OUT"/>
    <n v="258"/>
    <n v="54"/>
  </r>
  <r>
    <n v="817"/>
    <x v="2"/>
    <x v="181"/>
    <s v="eth1/15"/>
    <x v="0"/>
    <x v="0"/>
    <x v="0"/>
    <s v="LINK_TO_ITHFHWCBSPSUSBD10 /Slot4.2 /Principal"/>
    <x v="0"/>
    <b v="0"/>
    <s v="No está en VPC"/>
    <n v="817"/>
    <s v="INTPG_VPC_817_1.15_822_1.15"/>
    <s v="ISEL-1.15"/>
    <n v="1"/>
    <s v="NO TIENE L3OUT"/>
    <n v="0"/>
    <n v="54"/>
  </r>
  <r>
    <n v="832"/>
    <x v="2"/>
    <x v="182"/>
    <s v="eth1/15"/>
    <x v="0"/>
    <x v="0"/>
    <x v="0"/>
    <s v="LINK_TO_ITHFHWCRMDLCN20 /Slot5.1 /Redundante"/>
    <x v="0"/>
    <b v="0"/>
    <s v="No está en VPC"/>
    <n v="832"/>
    <s v="INTPG_ACC_832_1.15"/>
    <s v="ISEL-1.15"/>
    <n v="2"/>
    <s v="NO TIENE L3OUT"/>
    <n v="192"/>
    <n v="54"/>
  </r>
  <r>
    <n v="816"/>
    <x v="2"/>
    <x v="183"/>
    <s v="eth1/15"/>
    <x v="0"/>
    <x v="0"/>
    <x v="0"/>
    <s v="LINK_TO_ITHFHWCBSPSHD14 /Slot4.2 /Principal"/>
    <x v="0"/>
    <b v="0"/>
    <s v="No está en VPC"/>
    <n v="816"/>
    <s v="INTPG_VPC_816_1.15_821_1.15"/>
    <s v="ISEL-1.15"/>
    <n v="1"/>
    <s v="NO TIENE L3OUT"/>
    <n v="0"/>
    <n v="54"/>
  </r>
  <r>
    <n v="825"/>
    <x v="2"/>
    <x v="184"/>
    <s v="eth1/15"/>
    <x v="0"/>
    <x v="0"/>
    <x v="0"/>
    <s v="LINK_TO_ITHHWCRMPEN03 /X2-10GE 3 /Principal"/>
    <x v="0"/>
    <b v="0"/>
    <s v="No está en VPC"/>
    <n v="825"/>
    <s v="INTPG_VPC_820_1.15-16_18-19_825_1.1.15-16_18-19"/>
    <s v="ISEL-1.15"/>
    <n v="1"/>
    <s v="NO TIENE L3OUT"/>
    <n v="72"/>
    <n v="54"/>
  </r>
  <r>
    <n v="800"/>
    <x v="2"/>
    <x v="185"/>
    <s v="eth1/15"/>
    <x v="0"/>
    <x v="0"/>
    <x v="0"/>
    <s v="TO-DSS_01-MSP"/>
    <x v="0"/>
    <b v="0"/>
    <s v="No está en VPC"/>
    <n v="800"/>
    <s v="INTPG_ACC_800_1.15"/>
    <s v="ISEL-1.15"/>
    <n v="1"/>
    <s v="NO TIENE L3OUT"/>
    <n v="78"/>
    <n v="54"/>
  </r>
  <r>
    <n v="801"/>
    <x v="2"/>
    <x v="186"/>
    <s v="eth1/15"/>
    <x v="0"/>
    <x v="0"/>
    <x v="0"/>
    <s v="TO-DSS_01-MSP"/>
    <x v="0"/>
    <b v="0"/>
    <s v="No está en VPC"/>
    <n v="801"/>
    <s v="INTPG_ACC_801_1.15"/>
    <s v="ISEL-1.15"/>
    <n v="1"/>
    <s v="NO TIENE L3OUT"/>
    <n v="78"/>
    <n v="54"/>
  </r>
  <r>
    <n v="823"/>
    <x v="2"/>
    <x v="187"/>
    <s v="eth1/15"/>
    <x v="0"/>
    <x v="0"/>
    <x v="0"/>
    <s v="LINK_TO_ITHFHWCBSPSUSBD17 /Slot5.1 /Redundante"/>
    <x v="0"/>
    <b v="0"/>
    <s v="No está en VPC"/>
    <n v="823"/>
    <s v="INTPG_VPC_818_1.15_823_1.15"/>
    <s v="ISEL-1.15"/>
    <n v="1"/>
    <s v="NO TIENE L3OUT"/>
    <n v="8"/>
    <n v="54"/>
  </r>
  <r>
    <n v="837"/>
    <x v="2"/>
    <x v="188"/>
    <s v="eth1/15"/>
    <x v="0"/>
    <x v="0"/>
    <x v="0"/>
    <s v="LINK_TO_ITHFHWCBSPSUSBD30 / Slot1.2_10 / Principal"/>
    <x v="0"/>
    <b v="0"/>
    <s v="No está en VPC"/>
    <n v="837"/>
    <s v="INTPG_VPC_837_1.15_842_1.15"/>
    <s v="ISEL-1.15"/>
    <n v="1"/>
    <s v="NO TIENE L3OUT"/>
    <n v="8"/>
    <n v="54"/>
  </r>
  <r>
    <n v="867"/>
    <x v="2"/>
    <x v="189"/>
    <s v="eth1/15"/>
    <x v="0"/>
    <x v="0"/>
    <x v="0"/>
    <s v="TO-ITHFSUEXG2XCN04_PCI3.P2"/>
    <x v="0"/>
    <b v="0"/>
    <s v="No está en VPC"/>
    <n v="867"/>
    <s v="INTPG_ACC_867_1.15"/>
    <s v="ISEL-1.15"/>
    <n v="2"/>
    <s v="NO TIENE L3OUT"/>
    <n v="44"/>
    <n v="54"/>
  </r>
  <r>
    <n v="829"/>
    <x v="2"/>
    <x v="190"/>
    <s v="eth1/15"/>
    <x v="0"/>
    <x v="0"/>
    <x v="0"/>
    <s v="LINK_TO_ITHFHWCRMDLCN32 /Slot6.2 /Redundante"/>
    <x v="0"/>
    <b v="0"/>
    <s v="No está en VPC"/>
    <n v="829"/>
    <s v="INTPG_ACC_829_1.15"/>
    <s v="ISEL-1.15"/>
    <n v="1"/>
    <s v="NO TIENE L3OUT"/>
    <n v="224"/>
    <n v="54"/>
  </r>
  <r>
    <n v="831"/>
    <x v="2"/>
    <x v="191"/>
    <s v="eth1/15"/>
    <x v="0"/>
    <x v="0"/>
    <x v="0"/>
    <s v="LINK_TO_ITHFHWCBSDSUSBD10 /Slot5.1 /Redundante"/>
    <x v="0"/>
    <b v="0"/>
    <s v="No está en VPC"/>
    <n v="831"/>
    <s v="INTPG_VPC_827_1.15_831_1.15"/>
    <s v="ISEL-1.15"/>
    <n v="1"/>
    <s v="NO TIENE L3OUT"/>
    <n v="14"/>
    <n v="54"/>
  </r>
  <r>
    <n v="802"/>
    <x v="2"/>
    <x v="192"/>
    <s v="eth1/15"/>
    <x v="0"/>
    <x v="0"/>
    <x v="0"/>
    <s v="TO-HDPS_17-MSP"/>
    <x v="0"/>
    <b v="0"/>
    <s v="No está en VPC"/>
    <n v="802"/>
    <s v="INTPG_ACC_802_1.15"/>
    <s v="ISEL-1.15"/>
    <n v="1"/>
    <s v="NO TIENE L3OUT"/>
    <n v="48"/>
    <n v="54"/>
  </r>
  <r>
    <n v="835"/>
    <x v="2"/>
    <x v="193"/>
    <s v="eth1/15"/>
    <x v="0"/>
    <x v="0"/>
    <x v="0"/>
    <s v="LINK_TO_ITHFHWCBSPSWR58 / Slot1.3_28 / Principal"/>
    <x v="0"/>
    <b v="0"/>
    <s v="No está en VPC"/>
    <n v="835"/>
    <s v="INTPG_VPC_835_1.15_840_1.15"/>
    <s v="ISEL-1.15"/>
    <n v="1"/>
    <s v="NO TIENE L3OUT"/>
    <n v="8"/>
    <n v="54"/>
  </r>
  <r>
    <n v="822"/>
    <x v="2"/>
    <x v="194"/>
    <s v="eth1/15"/>
    <x v="0"/>
    <x v="0"/>
    <x v="0"/>
    <s v="LINK_TO_ITHFHWCBSPSUSBD10 /Slot6.2 /Redundante"/>
    <x v="0"/>
    <b v="0"/>
    <s v="No está en VPC"/>
    <n v="822"/>
    <s v="INTPG_VPC_817_1.15_822_1.15"/>
    <s v="ISEL-1.15"/>
    <n v="1"/>
    <s v="NO TIENE L3OUT"/>
    <n v="0"/>
    <n v="54"/>
  </r>
  <r>
    <n v="854"/>
    <x v="2"/>
    <x v="195"/>
    <s v="eth1/15"/>
    <x v="0"/>
    <x v="0"/>
    <x v="0"/>
    <s v="LINK_TO_ITHFHWCRMPLCN170 / Slot1.2_10 / Principal"/>
    <x v="0"/>
    <b v="0"/>
    <s v="No está en VPC"/>
    <n v="854"/>
    <s v="INTPG_ACC_854_1.15"/>
    <s v="ISEL-1.15"/>
    <n v="2"/>
    <s v="NO TIENE L3OUT"/>
    <n v="204"/>
    <n v="54"/>
  </r>
  <r>
    <n v="858"/>
    <x v="2"/>
    <x v="196"/>
    <s v="eth1/15"/>
    <x v="0"/>
    <x v="0"/>
    <x v="0"/>
    <s v="To_VPC_2DCBSD_HD41_3"/>
    <x v="0"/>
    <b v="0"/>
    <s v="No está en VPC"/>
    <n v="858"/>
    <s v="INTPG_VPC_858_1.15_863_1.15"/>
    <s v="ISEL-1.15"/>
    <n v="1"/>
    <s v="NO TIENE L3OUT"/>
    <n v="8"/>
    <n v="54"/>
  </r>
  <r>
    <n v="857"/>
    <x v="2"/>
    <x v="197"/>
    <s v="eth1/15"/>
    <x v="0"/>
    <x v="0"/>
    <x v="0"/>
    <s v="LINKT_TO_ITHFHWCRMPLCN120 / Slot1.2_10 / Principal"/>
    <x v="0"/>
    <b v="0"/>
    <s v="No está en VPC"/>
    <n v="857"/>
    <s v="INTPG_ACC_857_1.15"/>
    <s v="ISEL-1.15"/>
    <n v="2"/>
    <s v="NO TIENE L3OUT"/>
    <n v="288"/>
    <n v="54"/>
  </r>
  <r>
    <n v="859"/>
    <x v="2"/>
    <x v="198"/>
    <s v="eth1/15"/>
    <x v="0"/>
    <x v="0"/>
    <x v="0"/>
    <s v="To_VPC_2DCBSD_HD35_3"/>
    <x v="0"/>
    <b v="0"/>
    <s v="No está en VPC"/>
    <n v="859"/>
    <s v="INTPG_VPC_859_1.15_864_1.15"/>
    <s v="ISEL-1.15"/>
    <n v="1"/>
    <s v="NO TIENE L3OUT"/>
    <n v="0"/>
    <n v="54"/>
  </r>
  <r>
    <n v="833"/>
    <x v="2"/>
    <x v="199"/>
    <s v="eth1/15"/>
    <x v="0"/>
    <x v="0"/>
    <x v="0"/>
    <s v="LINK_TO_ITHFHWCRMDLCN32 /Slot4.2 /Principal"/>
    <x v="0"/>
    <b v="0"/>
    <s v="No está en VPC"/>
    <n v="833"/>
    <s v="INTPG_ACC_833_1.15"/>
    <s v="ISEL-1.15"/>
    <n v="1"/>
    <s v="NO TIENE L3OUT"/>
    <n v="224"/>
    <n v="54"/>
  </r>
  <r>
    <n v="818"/>
    <x v="2"/>
    <x v="200"/>
    <s v="eth1/15"/>
    <x v="0"/>
    <x v="0"/>
    <x v="0"/>
    <s v="LINK_TO_ITHFHWCBSPSUSBD17 /10GE.1 /Principal"/>
    <x v="0"/>
    <b v="0"/>
    <s v="No está en VPC"/>
    <n v="818"/>
    <s v="INTPG_VPC_818_1.15_823_1.15"/>
    <s v="ISEL-1.15"/>
    <n v="1"/>
    <s v="NO TIENE L3OUT"/>
    <n v="8"/>
    <n v="54"/>
  </r>
  <r>
    <n v="850"/>
    <x v="2"/>
    <x v="201"/>
    <s v="eth1/15"/>
    <x v="0"/>
    <x v="0"/>
    <x v="0"/>
    <s v="LINKT_TO_ITHFHWCRMPLCN120 / Slot7.2_10 / Redundante"/>
    <x v="0"/>
    <b v="0"/>
    <s v="No está en VPC"/>
    <n v="850"/>
    <s v="INTPG_ACC_850_1.15"/>
    <s v="ISEL-1.15"/>
    <n v="2"/>
    <s v="NO TIENE L3OUT"/>
    <n v="288"/>
    <n v="54"/>
  </r>
  <r>
    <n v="860"/>
    <x v="2"/>
    <x v="202"/>
    <s v="eth1/15"/>
    <x v="0"/>
    <x v="0"/>
    <x v="0"/>
    <s v="To_VPC_2DCBSD_HD27_3"/>
    <x v="0"/>
    <b v="0"/>
    <s v="No está en VPC"/>
    <n v="860"/>
    <s v="INTPG_VPC_860_1.15_865_1.15"/>
    <s v="ISEL-1.15"/>
    <n v="1"/>
    <s v="NO TIENE L3OUT"/>
    <n v="0"/>
    <n v="54"/>
  </r>
  <r>
    <n v="853"/>
    <x v="2"/>
    <x v="203"/>
    <s v="eth1/15"/>
    <x v="0"/>
    <x v="0"/>
    <x v="0"/>
    <s v="LINK_TO_ITHFHWCRMPLCN76 / Slot7.3_10 / Redundante"/>
    <x v="0"/>
    <b v="0"/>
    <s v="No está en VPC"/>
    <n v="853"/>
    <s v="INTPG_ACC_853_1.15"/>
    <s v="ISEL-1.15"/>
    <n v="1"/>
    <s v="NO TIENE L3OUT"/>
    <n v="242"/>
    <n v="54"/>
  </r>
  <r>
    <n v="790"/>
    <x v="2"/>
    <x v="204"/>
    <s v="eth1/15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15"/>
    <x v="0"/>
    <x v="0"/>
    <x v="0"/>
    <s v="NETEZZA"/>
    <x v="6"/>
    <b v="0"/>
    <s v="No está en VPC"/>
    <n v="105"/>
    <s v="INTPG_ACC_105_1.15"/>
    <s v="ISEL-1.15"/>
    <n v="1"/>
    <s v="NO TIENE L3OUT"/>
    <n v="106"/>
    <n v="96"/>
  </r>
  <r>
    <n v="117"/>
    <x v="0"/>
    <x v="206"/>
    <s v="eth1/15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15"/>
    <x v="0"/>
    <x v="1"/>
    <x v="1"/>
    <s v="SFLDI"/>
    <x v="6"/>
    <b v="0"/>
    <s v="No está en VPC"/>
    <n v="104"/>
    <s v="INTPG_ACC_104_1.15"/>
    <s v="ISEL-1.15"/>
    <n v="1"/>
    <s v="NO TIENE L3OUT"/>
    <n v="194"/>
    <n v="96"/>
  </r>
  <r>
    <n v="158"/>
    <x v="0"/>
    <x v="208"/>
    <s v="eth1/15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15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15"/>
    <x v="0"/>
    <x v="0"/>
    <x v="0"/>
    <s v="HACIA_CSI-A-OSCP-F4-15_SECUNDARIO"/>
    <x v="4"/>
    <b v="0"/>
    <s v="No está en VPC"/>
    <n v="879"/>
    <s v="INTPG_VPC_878_1.15_879_1.15"/>
    <s v="ISEL-1.15"/>
    <n v="2"/>
    <s v="NO TIENE L3OUT"/>
    <n v="0"/>
    <n v="54"/>
  </r>
  <r>
    <n v="108"/>
    <x v="0"/>
    <x v="211"/>
    <s v="eth1/15"/>
    <x v="0"/>
    <x v="1"/>
    <x v="1"/>
    <s v="sttsm01"/>
    <x v="6"/>
    <b v="0"/>
    <s v="No está en VPC"/>
    <n v="108"/>
    <s v="INTPG_ACC_108_1.15"/>
    <s v="ISEL-1.15"/>
    <n v="1"/>
    <s v="NO TIENE L3OUT"/>
    <n v="126"/>
    <n v="96"/>
  </r>
  <r>
    <n v="112"/>
    <x v="0"/>
    <x v="212"/>
    <s v="eth1/15"/>
    <x v="0"/>
    <x v="1"/>
    <x v="1"/>
    <s v="SECAM"/>
    <x v="6"/>
    <b v="0"/>
    <s v="No está en VPC"/>
    <n v="112"/>
    <s v="INTPG_ACC_112_1.15"/>
    <s v="ISEL-1.15"/>
    <n v="1"/>
    <s v="NO TIENE L3OUT"/>
    <n v="144"/>
    <n v="96"/>
  </r>
  <r>
    <n v="107"/>
    <x v="0"/>
    <x v="213"/>
    <s v="eth1/15"/>
    <x v="0"/>
    <x v="0"/>
    <x v="0"/>
    <s v="TRIAL COPS_SON "/>
    <x v="6"/>
    <b v="0"/>
    <s v="No está en VPC"/>
    <n v="107"/>
    <s v="INTPG_ACC_107_1.15"/>
    <s v="ISEL-1.15"/>
    <n v="1"/>
    <s v="NO TIENE L3OUT"/>
    <n v="118"/>
    <n v="96"/>
  </r>
  <r>
    <n v="109"/>
    <x v="0"/>
    <x v="214"/>
    <s v="eth1/15"/>
    <x v="0"/>
    <x v="0"/>
    <x v="0"/>
    <s v="TELLABS"/>
    <x v="6"/>
    <b v="0"/>
    <s v="No está en VPC"/>
    <n v="109"/>
    <s v="INTPG_ACC_109_1.15"/>
    <s v="ISEL-1.15"/>
    <n v="1"/>
    <s v="NO TIENE L3OUT"/>
    <n v="126"/>
    <n v="96"/>
  </r>
  <r>
    <n v="113"/>
    <x v="0"/>
    <x v="215"/>
    <s v="eth1/15"/>
    <x v="0"/>
    <x v="1"/>
    <x v="1"/>
    <s v="ENCLOSURES VMTLCLAMX2"/>
    <x v="6"/>
    <b v="0"/>
    <s v="No está en VPC"/>
    <n v="113"/>
    <s v="INTPG_ACC_113_1.15"/>
    <s v="ISEL-1.15"/>
    <n v="1"/>
    <s v="NO TIENE L3OUT"/>
    <n v="52"/>
    <n v="96"/>
  </r>
  <r>
    <n v="114"/>
    <x v="0"/>
    <x v="216"/>
    <s v="eth1/15"/>
    <x v="0"/>
    <x v="0"/>
    <x v="0"/>
    <s v="APROVISIONAMIENTO DE SERVICIOS"/>
    <x v="6"/>
    <b v="0"/>
    <s v="No está en VPC"/>
    <n v="114"/>
    <s v="INTPG_ACC_114_1.15"/>
    <s v="ISEL-1.15"/>
    <n v="1"/>
    <s v="NO TIENE L3OUT"/>
    <n v="144"/>
    <n v="96"/>
  </r>
  <r>
    <n v="124"/>
    <x v="0"/>
    <x v="217"/>
    <s v="eth1/15"/>
    <x v="0"/>
    <x v="1"/>
    <x v="1"/>
    <s v="UXSVA (M5000)"/>
    <x v="6"/>
    <b v="0"/>
    <s v="No está en VPC"/>
    <n v="124"/>
    <s v="INTPG_ACC_124_1.15"/>
    <s v="ISEL-1.15"/>
    <n v="1"/>
    <s v="NO TIENE L3OUT"/>
    <n v="80"/>
    <n v="96"/>
  </r>
  <r>
    <n v="118"/>
    <x v="0"/>
    <x v="218"/>
    <s v="eth1/15"/>
    <x v="0"/>
    <x v="1"/>
    <x v="1"/>
    <s v="COBROS NAVEGACION"/>
    <x v="6"/>
    <b v="0"/>
    <s v="No está en VPC"/>
    <n v="118"/>
    <s v="INTPG_ACC_118_1.15"/>
    <s v="ISEL-1.15"/>
    <n v="1"/>
    <s v="NO TIENE L3OUT"/>
    <n v="180"/>
    <n v="96"/>
  </r>
  <r>
    <n v="159"/>
    <x v="0"/>
    <x v="219"/>
    <s v="eth1/15"/>
    <x v="0"/>
    <x v="0"/>
    <x v="0"/>
    <m/>
    <x v="6"/>
    <b v="0"/>
    <s v="No está en VPC"/>
    <n v="159"/>
    <s v="INTPG_ACC_159_1.15"/>
    <s v="ISEL-1.15"/>
    <n v="1"/>
    <s v="NO TIENE L3OUT"/>
    <n v="72"/>
    <n v="96"/>
  </r>
  <r>
    <n v="840"/>
    <x v="2"/>
    <x v="220"/>
    <s v="eth1/15"/>
    <x v="0"/>
    <x v="0"/>
    <x v="0"/>
    <s v="LINK_TO_ITHFHWCBSPSWR58 / Slot7.3_28 / Redundante"/>
    <x v="0"/>
    <b v="0"/>
    <s v="No está en VPC"/>
    <n v="840"/>
    <s v="INTPG_VPC_835_1.15_840_1.15"/>
    <s v="ISEL-1.15"/>
    <n v="1"/>
    <s v="NO TIENE L3OUT"/>
    <n v="8"/>
    <n v="54"/>
  </r>
  <r>
    <n v="856"/>
    <x v="2"/>
    <x v="221"/>
    <s v="eth1/15"/>
    <x v="0"/>
    <x v="0"/>
    <x v="0"/>
    <s v="LINK_TO_ITHFHWCRMPLCN139 / Slot1.2_12 / Principal"/>
    <x v="0"/>
    <b v="0"/>
    <s v="No está en VPC"/>
    <n v="856"/>
    <s v="INTPG_ACC_856_1.15"/>
    <s v="ISEL-1.15"/>
    <n v="2"/>
    <s v="NO TIENE L3OUT"/>
    <n v="286"/>
    <n v="54"/>
  </r>
  <r>
    <n v="110"/>
    <x v="0"/>
    <x v="222"/>
    <s v="eth1/15"/>
    <x v="0"/>
    <x v="0"/>
    <x v="0"/>
    <s v="DESC"/>
    <x v="6"/>
    <b v="0"/>
    <s v="No está en VPC"/>
    <n v="110"/>
    <s v="INTPG_PC_110_1.15-16_22-23_30"/>
    <s v="ISEL-1.15"/>
    <n v="1"/>
    <s v="NO TIENE L3OUT"/>
    <n v="102"/>
    <n v="96"/>
  </r>
  <r>
    <n v="163"/>
    <x v="0"/>
    <x v="223"/>
    <s v="eth1/15"/>
    <x v="0"/>
    <x v="0"/>
    <x v="0"/>
    <s v="SICOP"/>
    <x v="6"/>
    <b v="0"/>
    <s v="No está en VPC"/>
    <n v="163"/>
    <s v="INTPG_ACC_163_1.15"/>
    <s v="ISEL-1.15"/>
    <n v="1"/>
    <s v="NO TIENE L3OUT"/>
    <n v="140"/>
    <n v="96"/>
  </r>
  <r>
    <n v="407"/>
    <x v="1"/>
    <x v="224"/>
    <s v="eth1/15"/>
    <x v="0"/>
    <x v="0"/>
    <x v="0"/>
    <s v="ITHHPGRLKEN12_ICM2 Q1"/>
    <x v="6"/>
    <b v="0"/>
    <s v="No está en VPC"/>
    <n v="407"/>
    <s v="INTPG_ACC_407_1.15"/>
    <s v="ISEL-1.15"/>
    <n v="1"/>
    <s v="NO TIENE L3OUT"/>
    <n v="122"/>
    <n v="96"/>
  </r>
  <r>
    <n v="171"/>
    <x v="0"/>
    <x v="225"/>
    <s v="eth1/15"/>
    <x v="1"/>
    <x v="1"/>
    <x v="2"/>
    <s v="ENIQ3GMX_CLIENT1"/>
    <x v="6"/>
    <b v="0"/>
    <s v="No está en VPC"/>
    <n v="171"/>
    <s v="INTPG_VPC_171_1.5_15_172_1.5_67"/>
    <s v="ISEL-1.15"/>
    <n v="10"/>
    <s v="NO TIENE L3OUT"/>
    <n v="114"/>
    <n v="96"/>
  </r>
  <r>
    <n v="421"/>
    <x v="1"/>
    <x v="226"/>
    <s v="eth1/15"/>
    <x v="1"/>
    <x v="1"/>
    <x v="2"/>
    <s v="VMS_HW_SERV_DATOS"/>
    <x v="6"/>
    <b v="0"/>
    <s v="No está en VPC"/>
    <n v="421"/>
    <s v="INTPG_VPC_419_1.15_421_1.15"/>
    <s v="ISEL-1.15"/>
    <n v="1"/>
    <s v="NO TIENE L3OUT"/>
    <n v="72"/>
    <n v="96"/>
  </r>
  <r>
    <n v="173"/>
    <x v="0"/>
    <x v="227"/>
    <s v="eth1/15"/>
    <x v="0"/>
    <x v="0"/>
    <x v="0"/>
    <s v="ENIQ"/>
    <x v="6"/>
    <b v="0"/>
    <s v="No está en VPC"/>
    <n v="173"/>
    <s v="INTPG_ACC_173_1.15"/>
    <s v="ISEL-1.15"/>
    <n v="1"/>
    <s v="NO TIENE L3OUT"/>
    <n v="66"/>
    <n v="96"/>
  </r>
  <r>
    <n v="154"/>
    <x v="0"/>
    <x v="228"/>
    <s v="eth1/15"/>
    <x v="0"/>
    <x v="0"/>
    <x v="0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15"/>
    <x v="0"/>
    <x v="1"/>
    <x v="1"/>
    <s v="OSS_3G_12_2_DATOS"/>
    <x v="6"/>
    <b v="0"/>
    <s v="No está en VPC"/>
    <n v="172"/>
    <s v="INTPG_VPC_171_1.6_17_172_1.6_15"/>
    <s v="ISEL-1.15"/>
    <n v="5"/>
    <s v="NO TIENE L3OUT"/>
    <n v="104"/>
    <n v="96"/>
  </r>
  <r>
    <n v="420"/>
    <x v="1"/>
    <x v="230"/>
    <s v="eth1/15"/>
    <x v="0"/>
    <x v="0"/>
    <x v="0"/>
    <s v="DCX_BKP2"/>
    <x v="6"/>
    <b v="0"/>
    <s v="No está en VPC"/>
    <n v="420"/>
    <s v="INTPG_ACC_420_1.15"/>
    <s v="ISEL-1.15"/>
    <n v="1"/>
    <s v="NO TIENE L3OUT"/>
    <n v="158"/>
    <n v="96"/>
  </r>
  <r>
    <n v="423"/>
    <x v="1"/>
    <x v="231"/>
    <s v="eth1/15"/>
    <x v="0"/>
    <x v="0"/>
    <x v="0"/>
    <s v="ITHVC1_eth0_IPMP-Activa"/>
    <x v="6"/>
    <b v="0"/>
    <s v="No está en VPC"/>
    <n v="423"/>
    <s v="INTPG_ACC_423_1.15"/>
    <s v="ISEL-1.15"/>
    <n v="1"/>
    <s v="NO TIENE L3OUT"/>
    <n v="86"/>
    <n v="96"/>
  </r>
  <r>
    <n v="415"/>
    <x v="1"/>
    <x v="232"/>
    <s v="eth1/15"/>
    <x v="0"/>
    <x v="0"/>
    <x v="0"/>
    <s v="TIMEPICTRA-GESTION"/>
    <x v="6"/>
    <b v="0"/>
    <s v="No está en VPC"/>
    <n v="415"/>
    <s v="INTPG_ACC_415_1.15"/>
    <s v="ISEL-1.15"/>
    <n v="1"/>
    <s v="NO TIENE L3OUT"/>
    <n v="52"/>
    <n v="96"/>
  </r>
  <r>
    <n v="102"/>
    <x v="0"/>
    <x v="233"/>
    <s v="eth1/15"/>
    <x v="0"/>
    <x v="1"/>
    <x v="1"/>
    <s v="SFLDI:RLDICDR06:1"/>
    <x v="6"/>
    <b v="0"/>
    <s v="No está en VPC"/>
    <n v="102"/>
    <s v="INTPG_ACC_102_1.15"/>
    <s v="ISEL-1.15"/>
    <n v="1"/>
    <s v="NO TIENE L3OUT"/>
    <n v="228"/>
    <n v="96"/>
  </r>
  <r>
    <n v="863"/>
    <x v="2"/>
    <x v="234"/>
    <s v="eth1/15"/>
    <x v="0"/>
    <x v="0"/>
    <x v="0"/>
    <s v="To_VPC_2DCBSD_HD41_3"/>
    <x v="0"/>
    <b v="0"/>
    <s v="No está en VPC"/>
    <n v="863"/>
    <s v="INTPG_VPC_858_1.15_863_1.15"/>
    <s v="ISEL-1.15"/>
    <n v="1"/>
    <s v="NO TIENE L3OUT"/>
    <n v="8"/>
    <n v="54"/>
  </r>
  <r>
    <n v="876"/>
    <x v="2"/>
    <x v="235"/>
    <s v="eth1/15"/>
    <x v="0"/>
    <x v="0"/>
    <x v="0"/>
    <s v="LINK_TO_ITHFHWSEQLIMPS26 / Slot 4 PTO 1 / Principal"/>
    <x v="4"/>
    <b v="0"/>
    <s v="No está en VPC"/>
    <n v="876"/>
    <s v="INTPG_ACC_876_1.15"/>
    <s v="ISEL-1.15"/>
    <n v="1"/>
    <s v="NO TIENE L3OUT"/>
    <n v="92"/>
    <n v="54"/>
  </r>
  <r>
    <n v="877"/>
    <x v="2"/>
    <x v="236"/>
    <s v="eth1/15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15"/>
    <x v="0"/>
    <x v="0"/>
    <x v="0"/>
    <s v="TEMIPAMX"/>
    <x v="6"/>
    <b v="0"/>
    <s v="No está en VPC"/>
    <n v="122"/>
    <s v="INTPG_ACC_122_1.15"/>
    <s v="ISEL-1.15"/>
    <n v="1"/>
    <s v="NO TIENE L3OUT"/>
    <n v="148"/>
    <n v="96"/>
  </r>
  <r>
    <n v="157"/>
    <x v="0"/>
    <x v="238"/>
    <s v="eth1/15"/>
    <x v="1"/>
    <x v="1"/>
    <x v="2"/>
    <s v="Consolidaci\u00f3n Aplicaciones Prepago"/>
    <x v="6"/>
    <b v="0"/>
    <s v="No está en VPC"/>
    <n v="157"/>
    <s v="INTPG_ACC_157_1.15"/>
    <s v="ISEL-1.15"/>
    <n v="0"/>
    <s v="NO TIENE L3OUT"/>
    <n v="202"/>
    <n v="96"/>
  </r>
  <r>
    <n v="408"/>
    <x v="1"/>
    <x v="239"/>
    <s v="eth1/15"/>
    <x v="0"/>
    <x v="0"/>
    <x v="0"/>
    <s v="RESPAL_CS5_ASAP8"/>
    <x v="6"/>
    <b v="0"/>
    <s v="No está en VPC"/>
    <n v="408"/>
    <s v="INTPG_ACC_408_1.15"/>
    <s v="ISEL-1.15"/>
    <n v="1"/>
    <s v="NO TIENE L3OUT"/>
    <n v="152"/>
    <n v="96"/>
  </r>
  <r>
    <n v="405"/>
    <x v="1"/>
    <x v="240"/>
    <s v="eth1/15"/>
    <x v="0"/>
    <x v="0"/>
    <x v="0"/>
    <s v="XL5 RLR5ARI05 iLO"/>
    <x v="6"/>
    <b v="0"/>
    <s v="No está en VPC"/>
    <n v="405"/>
    <s v="INTPG_ACC_405_1.15"/>
    <s v="ISEL-1.15"/>
    <n v="1"/>
    <s v="NO TIENE L3OUT"/>
    <n v="138"/>
    <n v="96"/>
  </r>
  <r>
    <n v="169"/>
    <x v="0"/>
    <x v="241"/>
    <s v="eth1/15"/>
    <x v="1"/>
    <x v="1"/>
    <x v="2"/>
    <s v="MMSC_WAPGW"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15"/>
    <x v="0"/>
    <x v="0"/>
    <x v="0"/>
    <s v="UXLDAP"/>
    <x v="6"/>
    <b v="0"/>
    <s v="No está en VPC"/>
    <n v="165"/>
    <s v="INTPG_ACC_165_1.15"/>
    <s v="ISEL-1.15"/>
    <n v="1"/>
    <s v="NO TIENE L3OUT"/>
    <n v="86"/>
    <n v="96"/>
  </r>
  <r>
    <n v="417"/>
    <x v="1"/>
    <x v="243"/>
    <s v="eth1/15"/>
    <x v="0"/>
    <x v="0"/>
    <x v="0"/>
    <s v="IXTSRM1_VM4"/>
    <x v="6"/>
    <b v="0"/>
    <s v="No está en VPC"/>
    <n v="417"/>
    <s v="INTPG_ACC_417_1.15"/>
    <s v="ISEL-1.15"/>
    <n v="1"/>
    <s v="NO TIENE L3OUT"/>
    <n v="56"/>
    <n v="96"/>
  </r>
  <r>
    <n v="153"/>
    <x v="0"/>
    <x v="244"/>
    <s v="eth1/15"/>
    <x v="0"/>
    <x v="0"/>
    <x v="0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15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15"/>
    <x v="0"/>
    <x v="0"/>
    <x v="0"/>
    <s v="VMAX II SYS"/>
    <x v="6"/>
    <b v="0"/>
    <s v="No está en VPC"/>
    <n v="156"/>
    <s v="INTPG_ACC_156_1.15"/>
    <s v="ISEL-1.15"/>
    <n v="1"/>
    <s v="NO TIENE L3OUT"/>
    <n v="40"/>
    <n v="96"/>
  </r>
  <r>
    <n v="103"/>
    <x v="0"/>
    <x v="247"/>
    <s v="eth1/15"/>
    <x v="0"/>
    <x v="0"/>
    <x v="0"/>
    <s v="DATOS LENOVO"/>
    <x v="6"/>
    <b v="0"/>
    <s v="No está en VPC"/>
    <n v="103"/>
    <s v="INTPG_ACC_103_1.15"/>
    <s v="ISEL-1.15"/>
    <n v="1"/>
    <s v="NO TIENE L3OUT"/>
    <n v="70"/>
    <n v="96"/>
  </r>
  <r>
    <n v="438"/>
    <x v="1"/>
    <x v="248"/>
    <s v="eth1/15"/>
    <x v="0"/>
    <x v="1"/>
    <x v="5"/>
    <s v="MIGRACION_SAP-BO1"/>
    <x v="6"/>
    <b v="0"/>
    <s v="No está en VPC"/>
    <n v="438"/>
    <s v="INTPG_VPC_436_1.15_438_1.15"/>
    <s v="ISEL-1.15"/>
    <n v="1"/>
    <s v="NO TIENE L3OUT"/>
    <n v="170"/>
    <n v="96"/>
  </r>
  <r>
    <n v="406"/>
    <x v="1"/>
    <x v="249"/>
    <s v="eth1/15"/>
    <x v="0"/>
    <x v="0"/>
    <x v="0"/>
    <s v="ITHRTC32VC1"/>
    <x v="6"/>
    <b v="0"/>
    <s v="No está en VPC"/>
    <n v="406"/>
    <s v="INTPG_VPC_404_1.15_406_1.15"/>
    <s v="ISEL-1.15"/>
    <n v="1"/>
    <s v="NO TIENE L3OUT"/>
    <n v="82"/>
    <n v="96"/>
  </r>
  <r>
    <n v="414"/>
    <x v="1"/>
    <x v="250"/>
    <s v="eth1/15"/>
    <x v="0"/>
    <x v="0"/>
    <x v="0"/>
    <s v="9UCS-IXTLA-WEBEX-SERV2"/>
    <x v="6"/>
    <b v="0"/>
    <s v="No está en VPC"/>
    <n v="414"/>
    <s v="INTPG_ACC_414_1.15"/>
    <s v="ISEL-1.15"/>
    <n v="1"/>
    <s v="NO TIENE L3OUT"/>
    <n v="144"/>
    <n v="96"/>
  </r>
  <r>
    <n v="416"/>
    <x v="1"/>
    <x v="251"/>
    <s v="eth1/15"/>
    <x v="0"/>
    <x v="1"/>
    <x v="5"/>
    <s v="sfroap05-ROAMINGCSG_CLIENT1"/>
    <x v="6"/>
    <b v="0"/>
    <s v="No está en VPC"/>
    <n v="416"/>
    <s v="INTPG_VPC_416_1.15_418_1.15"/>
    <s v="ISEL-1.15"/>
    <n v="1"/>
    <s v="NO TIENE L3OUT"/>
    <n v="110"/>
    <n v="96"/>
  </r>
  <r>
    <n v="418"/>
    <x v="1"/>
    <x v="252"/>
    <s v="eth1/15"/>
    <x v="0"/>
    <x v="1"/>
    <x v="5"/>
    <s v="sfroap05-ROAMINGCSG_CLIENT1"/>
    <x v="6"/>
    <b v="0"/>
    <s v="No está en VPC"/>
    <n v="418"/>
    <s v="INTPG_VPC_416_1.15_418_1.15"/>
    <s v="ISEL-1.15"/>
    <n v="1"/>
    <s v="NO TIENE L3OUT"/>
    <n v="152"/>
    <n v="96"/>
  </r>
  <r>
    <n v="413"/>
    <x v="1"/>
    <x v="253"/>
    <s v="eth1/15"/>
    <x v="0"/>
    <x v="0"/>
    <x v="0"/>
    <s v="lagidmhlapvp06_produccion1"/>
    <x v="6"/>
    <b v="0"/>
    <s v="No está en VPC"/>
    <n v="413"/>
    <s v="INTPG_VPC_411_1.21-24_413_1.14-17"/>
    <s v="ISEL-1.15"/>
    <n v="2"/>
    <s v="NO TIENE L3OUT"/>
    <n v="126"/>
    <n v="96"/>
  </r>
  <r>
    <n v="403"/>
    <x v="1"/>
    <x v="254"/>
    <s v="eth1/15"/>
    <x v="0"/>
    <x v="0"/>
    <x v="0"/>
    <s v="XL5 RLR5ARI05"/>
    <x v="6"/>
    <b v="0"/>
    <s v="No está en VPC"/>
    <n v="403"/>
    <s v="INTPG_ACC_403_1.15"/>
    <s v="ISEL-1.15"/>
    <n v="1"/>
    <s v="NO TIENE L3OUT"/>
    <n v="150"/>
    <n v="96"/>
  </r>
  <r>
    <n v="125"/>
    <x v="0"/>
    <x v="255"/>
    <s v="eth1/15"/>
    <x v="0"/>
    <x v="0"/>
    <x v="0"/>
    <s v="GSM_OSS_TIJ"/>
    <x v="6"/>
    <b v="0"/>
    <s v="No está en VPC"/>
    <n v="125"/>
    <s v="INTPG_ACC_125_1.15"/>
    <s v="ISEL-1.15"/>
    <n v="1"/>
    <s v="NO TIENE L3OUT"/>
    <n v="72"/>
    <n v="96"/>
  </r>
  <r>
    <n v="166"/>
    <x v="0"/>
    <x v="256"/>
    <s v="eth1/15"/>
    <x v="0"/>
    <x v="0"/>
    <x v="0"/>
    <s v="UXLDAP"/>
    <x v="6"/>
    <b v="0"/>
    <s v="No está en VPC"/>
    <n v="166"/>
    <s v="INTPG_ACC_166_1.15"/>
    <s v="ISEL-1.15"/>
    <n v="1"/>
    <s v="NO TIENE L3OUT"/>
    <n v="84"/>
    <n v="96"/>
  </r>
  <r>
    <n v="111"/>
    <x v="0"/>
    <x v="257"/>
    <s v="eth1/15"/>
    <x v="0"/>
    <x v="0"/>
    <x v="0"/>
    <s v="DESC"/>
    <x v="6"/>
    <b v="0"/>
    <s v="No está en VPC"/>
    <n v="111"/>
    <s v="INTPG_PC_111_1.15-16_22-23_30"/>
    <s v="ISEL-1.15"/>
    <n v="1"/>
    <s v="NO TIENE L3OUT"/>
    <n v="58"/>
    <n v="96"/>
  </r>
  <r>
    <n v="115"/>
    <x v="0"/>
    <x v="258"/>
    <s v="eth1/15"/>
    <x v="0"/>
    <x v="0"/>
    <x v="0"/>
    <s v="TO-ITHFDEVYCWPBD01-PRINCIPAL"/>
    <x v="6"/>
    <b v="0"/>
    <s v="No está en VPC"/>
    <n v="115"/>
    <s v="INTPG_ACC_115_1.15"/>
    <s v="ISEL-1.15"/>
    <n v="1"/>
    <s v="NO TIENE L3OUT"/>
    <n v="42"/>
    <n v="96"/>
  </r>
  <r>
    <n v="106"/>
    <x v="0"/>
    <x v="259"/>
    <s v="eth1/15"/>
    <x v="0"/>
    <x v="0"/>
    <x v="0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15"/>
    <x v="0"/>
    <x v="0"/>
    <x v="0"/>
    <s v="SAN_ENIQ_4"/>
    <x v="6"/>
    <b v="0"/>
    <s v="No está en VPC"/>
    <n v="126"/>
    <s v="INTPG_ACC_126_1.15"/>
    <s v="ISEL-1.15"/>
    <n v="1"/>
    <s v="NO TIENE L3OUT"/>
    <n v="54"/>
    <n v="96"/>
  </r>
  <r>
    <n v="425"/>
    <x v="1"/>
    <x v="261"/>
    <s v="eth1/15"/>
    <x v="0"/>
    <x v="0"/>
    <x v="0"/>
    <s v="PortalCautivo2_stpcau02_netmgt"/>
    <x v="6"/>
    <b v="0"/>
    <s v="No está en VPC"/>
    <n v="425"/>
    <s v="INTPG_ACC_425_1.15"/>
    <s v="ISEL-1.15"/>
    <n v="1"/>
    <s v="NO TIENE L3OUT"/>
    <n v="86"/>
    <n v="96"/>
  </r>
  <r>
    <n v="151"/>
    <x v="0"/>
    <x v="262"/>
    <s v="eth1/15"/>
    <x v="0"/>
    <x v="0"/>
    <x v="0"/>
    <s v="DASHBOARD"/>
    <x v="6"/>
    <b v="0"/>
    <s v="No está en VPC"/>
    <n v="151"/>
    <s v="INTPG_ACC_151_1.15"/>
    <s v="ISEL-1.15"/>
    <n v="1"/>
    <s v="NO TIENE L3OUT"/>
    <n v="86"/>
    <n v="96"/>
  </r>
  <r>
    <n v="430"/>
    <x v="1"/>
    <x v="263"/>
    <s v="eth1/15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15"/>
    <x v="0"/>
    <x v="0"/>
    <x v="0"/>
    <s v="VMS_HW_SERV_DATOS"/>
    <x v="6"/>
    <b v="0"/>
    <s v="No está en VPC"/>
    <n v="419"/>
    <s v="INTPG_VPC_419_1.15_421_1.15"/>
    <s v="ISEL-1.15"/>
    <n v="1"/>
    <s v="NO TIENE L3OUT"/>
    <n v="70"/>
    <n v="96"/>
  </r>
  <r>
    <n v="155"/>
    <x v="0"/>
    <x v="265"/>
    <s v="eth1/15"/>
    <x v="0"/>
    <x v="0"/>
    <x v="0"/>
    <s v="COBROS NAVEGACION"/>
    <x v="6"/>
    <b v="0"/>
    <s v="No está en VPC"/>
    <n v="155"/>
    <s v="INTPG_ACC_155_1.15"/>
    <s v="ISEL-1.15"/>
    <n v="1"/>
    <s v="NO TIENE L3OUT"/>
    <n v="198"/>
    <n v="96"/>
  </r>
  <r>
    <n v="409"/>
    <x v="1"/>
    <x v="266"/>
    <s v="eth1/15"/>
    <x v="0"/>
    <x v="0"/>
    <x v="0"/>
    <s v="IXT_SIEU"/>
    <x v="6"/>
    <b v="0"/>
    <s v="No está en VPC"/>
    <n v="409"/>
    <s v="INTPG_ACC_409_1.15"/>
    <s v="ISEL-1.15"/>
    <n v="1"/>
    <s v="NO TIENE L3OUT"/>
    <n v="128"/>
    <n v="96"/>
  </r>
  <r>
    <n v="422"/>
    <x v="1"/>
    <x v="267"/>
    <s v="eth1/15"/>
    <x v="0"/>
    <x v="0"/>
    <x v="0"/>
    <s v="ESL_G3_IO"/>
    <x v="6"/>
    <b v="0"/>
    <s v="No está en VPC"/>
    <n v="422"/>
    <s v="INTPG_ACC_422_1.15"/>
    <s v="ISEL-1.15"/>
    <n v="1"/>
    <s v="NO TIENE L3OUT"/>
    <n v="182"/>
    <n v="96"/>
  </r>
  <r>
    <n v="436"/>
    <x v="1"/>
    <x v="268"/>
    <s v="eth1/15"/>
    <x v="0"/>
    <x v="0"/>
    <x v="0"/>
    <s v="MIGRACION_SAP-BO1"/>
    <x v="6"/>
    <b v="0"/>
    <s v="No está en VPC"/>
    <n v="436"/>
    <s v="INTPG_VPC_436_1.15_438_1.15"/>
    <s v="ISEL-1.15"/>
    <n v="1"/>
    <s v="NO TIENE L3OUT"/>
    <n v="172"/>
    <n v="96"/>
  </r>
  <r>
    <n v="410"/>
    <x v="1"/>
    <x v="269"/>
    <s v="eth1/15"/>
    <x v="0"/>
    <x v="0"/>
    <x v="0"/>
    <s v="NET0"/>
    <x v="6"/>
    <b v="0"/>
    <s v="No está en VPC"/>
    <n v="410"/>
    <s v="INTPG_ACC_410_1.15"/>
    <s v="ISEL-1.15"/>
    <n v="1"/>
    <s v="NO TIENE L3OUT"/>
    <n v="178"/>
    <n v="96"/>
  </r>
  <r>
    <n v="161"/>
    <x v="0"/>
    <x v="270"/>
    <s v="eth1/15"/>
    <x v="0"/>
    <x v="0"/>
    <x v="0"/>
    <m/>
    <x v="6"/>
    <b v="0"/>
    <s v="No está en VPC"/>
    <n v="161"/>
    <s v="INTPG_PC_161_1.15-10"/>
    <s v="ISEL-1.15"/>
    <n v="1"/>
    <s v="NO TIENE L3OUT"/>
    <n v="102"/>
    <n v="96"/>
  </r>
  <r>
    <n v="411"/>
    <x v="1"/>
    <x v="271"/>
    <s v="eth1/15"/>
    <x v="0"/>
    <x v="0"/>
    <x v="0"/>
    <s v="GESTOR"/>
    <x v="6"/>
    <b v="0"/>
    <s v="No está en VPC"/>
    <n v="411"/>
    <s v="INTPG_ACC_411_1.15"/>
    <s v="ISEL-1.15"/>
    <n v="1"/>
    <s v="NO TIENE L3OUT"/>
    <n v="96"/>
    <n v="96"/>
  </r>
  <r>
    <n v="116"/>
    <x v="0"/>
    <x v="272"/>
    <s v="eth1/15"/>
    <x v="0"/>
    <x v="0"/>
    <x v="0"/>
    <s v="COBROS NAVEGACION"/>
    <x v="6"/>
    <b v="0"/>
    <s v="No está en VPC"/>
    <n v="116"/>
    <s v="INTPG_ACC_116_1.15"/>
    <s v="ISEL-1.15"/>
    <n v="1"/>
    <s v="NO TIENE L3OUT"/>
    <n v="148"/>
    <n v="96"/>
  </r>
  <r>
    <n v="412"/>
    <x v="1"/>
    <x v="273"/>
    <s v="eth1/15"/>
    <x v="0"/>
    <x v="0"/>
    <x v="0"/>
    <s v="RESPAL_CS5_ASAP8"/>
    <x v="6"/>
    <b v="0"/>
    <s v="No está en VPC"/>
    <n v="412"/>
    <s v="INTPG_ACC_412_1.15"/>
    <s v="ISEL-1.15"/>
    <n v="1"/>
    <s v="NO TIENE L3OUT"/>
    <n v="126"/>
    <n v="96"/>
  </r>
  <r>
    <n v="120"/>
    <x v="0"/>
    <x v="274"/>
    <s v="eth1/15"/>
    <x v="1"/>
    <x v="1"/>
    <x v="2"/>
    <s v="TEMIPAMX"/>
    <x v="6"/>
    <b v="0"/>
    <s v="No está en VPC"/>
    <n v="120"/>
    <s v="INTPG_ACC_120_1.15"/>
    <s v="ISEL-1.15"/>
    <n v="1"/>
    <s v="NO TIENE L3OUT"/>
    <n v="158"/>
    <n v="96"/>
  </r>
  <r>
    <n v="404"/>
    <x v="1"/>
    <x v="275"/>
    <s v="eth1/15"/>
    <x v="0"/>
    <x v="0"/>
    <x v="0"/>
    <s v="ITHRTC32VC1"/>
    <x v="6"/>
    <b v="0"/>
    <s v="No está en VPC"/>
    <n v="404"/>
    <s v="INTPG_VPC_404_1.15_406_1.15"/>
    <s v="ISEL-1.15"/>
    <n v="1"/>
    <s v="NO TIENE L3OUT"/>
    <n v="92"/>
    <n v="96"/>
  </r>
  <r>
    <n v="167"/>
    <x v="0"/>
    <x v="276"/>
    <s v="eth1/15"/>
    <x v="0"/>
    <x v="0"/>
    <x v="0"/>
    <s v="LINKDOWN_HACIA_UCS_9UCS-IXTLA-SERV4"/>
    <x v="6"/>
    <b v="0"/>
    <s v="No está en VPC"/>
    <n v="167"/>
    <s v="INTPG_ACC_167_1.15"/>
    <s v="ISEL-1.15"/>
    <n v="1"/>
    <s v="NO TIENE L3OUT"/>
    <n v="68"/>
    <n v="96"/>
  </r>
  <r>
    <n v="428"/>
    <x v="1"/>
    <x v="277"/>
    <s v="eth1/15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903"/>
    <x v="2"/>
    <x v="278"/>
    <s v="eth1/1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1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16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16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16"/>
    <x v="0"/>
    <x v="0"/>
    <x v="0"/>
    <s v="IXTPA3PC"/>
    <x v="1"/>
    <b v="0"/>
    <s v="No está en VPC"/>
    <n v="152"/>
    <s v="INTPG_ACC_152_1.16"/>
    <s v="ISEL-1.16"/>
    <n v="1"/>
    <s v="NO TIENE L3OUT"/>
    <n v="38"/>
    <n v="54"/>
  </r>
  <r>
    <n v="101"/>
    <x v="0"/>
    <x v="3"/>
    <s v="eth1/16"/>
    <x v="0"/>
    <x v="0"/>
    <x v="0"/>
    <m/>
    <x v="0"/>
    <b v="0"/>
    <s v="No está en VPC"/>
    <n v="101"/>
    <s v="INTPG_PC_101_1.15-16"/>
    <s v="ISEL-1.16"/>
    <n v="0"/>
    <s v="L3OUT-IAP-GPRS-GI-CORP"/>
    <n v="114"/>
    <n v="54"/>
  </r>
  <r>
    <n v="160"/>
    <x v="0"/>
    <x v="4"/>
    <s v="eth1/16"/>
    <x v="1"/>
    <x v="1"/>
    <x v="2"/>
    <m/>
    <x v="1"/>
    <b v="0"/>
    <s v="No está en VPC"/>
    <n v="160"/>
    <s v="INTPG_ACC_160_1.16"/>
    <s v="ISEL-1.16"/>
    <n v="0"/>
    <s v="NO TIENE L3OUT"/>
    <n v="68"/>
    <n v="54"/>
  </r>
  <r>
    <n v="121"/>
    <x v="0"/>
    <x v="5"/>
    <s v="eth1/16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16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16"/>
    <x v="0"/>
    <x v="0"/>
    <x v="0"/>
    <s v="CEMOD1"/>
    <x v="0"/>
    <b v="0"/>
    <s v="No está en VPC"/>
    <n v="401"/>
    <s v="INTPG_VPC_401_1.13_16_402_1.13_16"/>
    <s v="ISEL-1.16"/>
    <n v="2"/>
    <s v="NO TIENE L3OUT"/>
    <n v="40"/>
    <n v="54"/>
  </r>
  <r>
    <n v="402"/>
    <x v="1"/>
    <x v="8"/>
    <s v="eth1/16"/>
    <x v="0"/>
    <x v="1"/>
    <x v="1"/>
    <s v="CEMOD1"/>
    <x v="0"/>
    <b v="0"/>
    <s v="No está en VPC"/>
    <n v="402"/>
    <s v="INTPG_VPC_401_1.13_16_402_1.13_16"/>
    <s v="ISEL-1.16"/>
    <n v="2"/>
    <s v="NO TIENE L3OUT"/>
    <n v="36"/>
    <n v="54"/>
  </r>
  <r>
    <n v="447"/>
    <x v="1"/>
    <x v="9"/>
    <s v="eth1/16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16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16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16"/>
    <x v="0"/>
    <x v="0"/>
    <x v="0"/>
    <s v="PO2_TO_ithenm01nas2r91"/>
    <x v="0"/>
    <b v="0"/>
    <s v="No está en VPC"/>
    <n v="150"/>
    <s v="INTPG_PC_150_1.15-16"/>
    <s v="ISEL-1.16"/>
    <n v="0"/>
    <s v="L3OUT-IAP-GPRS-GI-CORP"/>
    <n v="118"/>
    <n v="54"/>
  </r>
  <r>
    <n v="131"/>
    <x v="0"/>
    <x v="13"/>
    <s v="eth1/16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16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16"/>
    <x v="0"/>
    <x v="0"/>
    <x v="0"/>
    <s v="TO-ITHHPGRLKEN01-ITHFYBSOIDLBD02-YELLOWBRICK-ANDROMEDA"/>
    <x v="2"/>
    <b v="0"/>
    <s v="No está en VPC"/>
    <n v="758"/>
    <s v="INTPG_VPC_758_1.16_759_1.16"/>
    <s v="ISEL-1.16"/>
    <n v="1"/>
    <s v="NO TIENE L3OUT"/>
    <n v="0"/>
    <n v="42"/>
  </r>
  <r>
    <n v="759"/>
    <x v="2"/>
    <x v="16"/>
    <s v="eth1/16"/>
    <x v="0"/>
    <x v="0"/>
    <x v="0"/>
    <s v="TO-ITHHPGRLKEN01-ITHFYBSOIDLBD02-YELLOWBRICK-ANDROMEDA"/>
    <x v="2"/>
    <b v="0"/>
    <s v="No está en VPC"/>
    <n v="759"/>
    <s v="INTPG_VPC_758_1.16_759_1.16"/>
    <s v="ISEL-1.16"/>
    <n v="1"/>
    <s v="NO TIENE L3OUT"/>
    <n v="0"/>
    <n v="42"/>
  </r>
  <r>
    <n v="302"/>
    <x v="0"/>
    <x v="17"/>
    <s v="eth1/16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16"/>
    <x v="0"/>
    <x v="0"/>
    <x v="0"/>
    <s v="PORTA_EXP_ILOM"/>
    <x v="1"/>
    <b v="0"/>
    <s v="No está en VPC"/>
    <n v="424"/>
    <s v="INTPG_ACC_424_1.16"/>
    <s v="ISEL-1.16"/>
    <n v="1"/>
    <s v="NO TIENE L3OUT"/>
    <n v="16"/>
    <n v="54"/>
  </r>
  <r>
    <n v="426"/>
    <x v="1"/>
    <x v="19"/>
    <s v="eth1/16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16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16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16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16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16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16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16"/>
    <x v="0"/>
    <x v="0"/>
    <x v="0"/>
    <s v="TO- HUAWEI_CLOUD_GAPS_LAG1"/>
    <x v="0"/>
    <b v="0"/>
    <s v="No está en VPC"/>
    <n v="431"/>
    <s v="INTPG_VPC_431_1.16-17_448_1.16-17"/>
    <s v="ISEL-1.16"/>
    <n v="39"/>
    <s v="NO TIENE L3OUT"/>
    <n v="46"/>
    <n v="54"/>
  </r>
  <r>
    <n v="433"/>
    <x v="1"/>
    <x v="27"/>
    <s v="eth1/16"/>
    <x v="0"/>
    <x v="0"/>
    <x v="0"/>
    <s v="IXT_PM_3_eth1_Primario"/>
    <x v="1"/>
    <b v="0"/>
    <s v="No está en VPC"/>
    <n v="433"/>
    <s v="INTPG_ACC_433_1.16"/>
    <s v="ISEL-1.16"/>
    <n v="1"/>
    <s v="NO TIENE L3OUT"/>
    <n v="42"/>
    <n v="54"/>
  </r>
  <r>
    <n v="429"/>
    <x v="1"/>
    <x v="28"/>
    <s v="eth1/16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16"/>
    <x v="0"/>
    <x v="1"/>
    <x v="1"/>
    <s v="s6800t_PTO1_MGMT_RHEV_HUAWEI"/>
    <x v="1"/>
    <b v="0"/>
    <s v="No está en VPC"/>
    <n v="432"/>
    <s v="INTPG_ACC_432_1.16"/>
    <s v="ISEL-1.16"/>
    <n v="1"/>
    <s v="NO TIENE L3OUT"/>
    <n v="54"/>
    <n v="54"/>
  </r>
  <r>
    <n v="442"/>
    <x v="1"/>
    <x v="30"/>
    <s v="eth1/16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16"/>
    <x v="0"/>
    <x v="0"/>
    <x v="0"/>
    <s v="TO-uxidmbd-NET3"/>
    <x v="1"/>
    <b v="0"/>
    <s v="No está en VPC"/>
    <n v="434"/>
    <s v="INTPG_ACC_434_1.16"/>
    <s v="ISEL-1.16"/>
    <n v="1"/>
    <s v="NO TIENE L3OUT"/>
    <n v="34"/>
    <n v="54"/>
  </r>
  <r>
    <n v="707"/>
    <x v="2"/>
    <x v="32"/>
    <s v="eth1/16"/>
    <x v="0"/>
    <x v="1"/>
    <x v="3"/>
    <s v="CEM:ITHCEMG2DAT08:LOM P3"/>
    <x v="0"/>
    <b v="0"/>
    <s v="No está en VPC"/>
    <n v="707"/>
    <s v="INTPG_ACC_707_1.16"/>
    <s v="ISEL-1.16"/>
    <n v="1"/>
    <s v="NO TIENE L3OUT"/>
    <n v="54"/>
    <n v="54"/>
  </r>
  <r>
    <n v="712"/>
    <x v="2"/>
    <x v="33"/>
    <s v="eth1/16"/>
    <x v="0"/>
    <x v="0"/>
    <x v="0"/>
    <s v="CEM:ITHCEMA2DAT08:LOM  P2"/>
    <x v="0"/>
    <b v="0"/>
    <s v="No está en VPC"/>
    <n v="712"/>
    <s v="INTPG_ACC_712_1.16"/>
    <s v="ISEL-1.16"/>
    <n v="1"/>
    <s v="NO TIENE L3OUT"/>
    <n v="32"/>
    <n v="54"/>
  </r>
  <r>
    <n v="719"/>
    <x v="2"/>
    <x v="34"/>
    <s v="eth1/16"/>
    <x v="0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16"/>
    <x v="0"/>
    <x v="0"/>
    <x v="0"/>
    <m/>
    <x v="0"/>
    <b v="0"/>
    <s v="No está en VPC"/>
    <n v="715"/>
    <s v="INTPG-VPC_HDD32_716_1.15_715_1.16"/>
    <s v="ISEL-1.16"/>
    <n v="1"/>
    <s v="NO TIENE L3OUT"/>
    <n v="0"/>
    <n v="54"/>
  </r>
  <r>
    <n v="427"/>
    <x v="1"/>
    <x v="36"/>
    <s v="eth1/16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16"/>
    <x v="0"/>
    <x v="1"/>
    <x v="5"/>
    <s v="CEM:ITHCEMD2DAT08:LOM  P2"/>
    <x v="0"/>
    <b v="0"/>
    <s v="No está en VPC"/>
    <n v="711"/>
    <s v="INTPG_VPC_710_1.15_711_1.16"/>
    <s v="ISEL-1.16"/>
    <n v="1"/>
    <s v="NO TIENE L3OUT"/>
    <n v="16"/>
    <n v="54"/>
  </r>
  <r>
    <n v="716"/>
    <x v="2"/>
    <x v="38"/>
    <s v="eth1/16"/>
    <x v="0"/>
    <x v="0"/>
    <x v="0"/>
    <m/>
    <x v="0"/>
    <b v="0"/>
    <s v="No está en VPC"/>
    <n v="716"/>
    <s v="INTPG-VPC_HDD41_715_1.15_716_1.16"/>
    <s v="ISEL-1.16"/>
    <n v="1"/>
    <s v="NO TIENE L3OUT"/>
    <n v="0"/>
    <n v="54"/>
  </r>
  <r>
    <n v="702"/>
    <x v="2"/>
    <x v="39"/>
    <s v="eth1/16"/>
    <x v="0"/>
    <x v="0"/>
    <x v="0"/>
    <m/>
    <x v="0"/>
    <b v="0"/>
    <s v="No está en VPC"/>
    <n v="702"/>
    <s v="INTPG_VPC_701_1.15_702_1.16"/>
    <s v="ISEL-1.16"/>
    <n v="2"/>
    <s v="NO TIENE L3OUT"/>
    <n v="0"/>
    <n v="54"/>
  </r>
  <r>
    <n v="435"/>
    <x v="1"/>
    <x v="40"/>
    <s v="eth1/16"/>
    <x v="0"/>
    <x v="0"/>
    <x v="0"/>
    <s v="IXT_PM_3_eth2_Secundario"/>
    <x v="1"/>
    <b v="0"/>
    <s v="No está en VPC"/>
    <n v="435"/>
    <s v="INTPG_ACC_435_1.16"/>
    <s v="ISEL-1.16"/>
    <n v="1"/>
    <s v="NO TIENE L3OUT"/>
    <n v="34"/>
    <n v="54"/>
  </r>
  <r>
    <n v="446"/>
    <x v="1"/>
    <x v="41"/>
    <s v="eth1/16"/>
    <x v="0"/>
    <x v="0"/>
    <x v="0"/>
    <s v="TO-ITHFHPNBURBKP09"/>
    <x v="0"/>
    <b v="0"/>
    <s v="No está en VPC"/>
    <n v="446"/>
    <s v="INTPG_VPC_444_1.15_446_1.16"/>
    <s v="ISEL-1.16"/>
    <n v="1"/>
    <s v="NO TIENE L3OUT"/>
    <n v="198"/>
    <n v="54"/>
  </r>
  <r>
    <n v="444"/>
    <x v="1"/>
    <x v="42"/>
    <s v="eth1/16"/>
    <x v="0"/>
    <x v="0"/>
    <x v="0"/>
    <m/>
    <x v="0"/>
    <b v="0"/>
    <s v="No está en VPC"/>
    <n v="444"/>
    <s v="INTPG_ACC_444_1.16"/>
    <s v="ISEL-1.16"/>
    <n v="8"/>
    <s v="NO TIENE L3OUT"/>
    <n v="234"/>
    <n v="54"/>
  </r>
  <r>
    <n v="701"/>
    <x v="2"/>
    <x v="43"/>
    <s v="eth1/16"/>
    <x v="0"/>
    <x v="0"/>
    <x v="0"/>
    <m/>
    <x v="0"/>
    <b v="0"/>
    <s v="No está en VPC"/>
    <n v="701"/>
    <s v="INTPG_VPC_702_1.15_701_1.16"/>
    <s v="ISEL-1.16"/>
    <n v="1"/>
    <s v="NO TIENE L3OUT"/>
    <n v="0"/>
    <n v="54"/>
  </r>
  <r>
    <n v="440"/>
    <x v="1"/>
    <x v="44"/>
    <s v="eth1/16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16"/>
    <x v="0"/>
    <x v="0"/>
    <x v="0"/>
    <s v="TO- HUAWEI_CLOUD_GAPS_LAG1"/>
    <x v="0"/>
    <b v="0"/>
    <s v="No está en VPC"/>
    <n v="448"/>
    <s v="INTPG_VPC_431_1.16-17_448_1.16-17"/>
    <s v="ISEL-1.16"/>
    <n v="39"/>
    <s v="NO TIENE L3OUT"/>
    <n v="46"/>
    <n v="54"/>
  </r>
  <r>
    <n v="704"/>
    <x v="2"/>
    <x v="46"/>
    <s v="eth1/16"/>
    <x v="0"/>
    <x v="0"/>
    <x v="0"/>
    <m/>
    <x v="0"/>
    <b v="0"/>
    <s v="No está en VPC"/>
    <n v="704"/>
    <s v="INTPG_VPC_703_1.15_704_1.16"/>
    <s v="ISEL-1.16"/>
    <n v="1"/>
    <s v="NO TIENE L3OUT"/>
    <n v="0"/>
    <n v="54"/>
  </r>
  <r>
    <n v="729"/>
    <x v="2"/>
    <x v="47"/>
    <s v="eth1/16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16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16"/>
    <x v="0"/>
    <x v="0"/>
    <x v="0"/>
    <s v="HACIA_CSI-A-OSCP-F4-04_SECUNDARIO"/>
    <x v="4"/>
    <b v="0"/>
    <s v="No está en VPC"/>
    <n v="456"/>
    <s v="INTPG_VPC_454_1.16_456_1.16"/>
    <s v="ISEL-1.16"/>
    <n v="2"/>
    <s v="NO TIENE L3OUT"/>
    <n v="4"/>
    <n v="54"/>
  </r>
  <r>
    <n v="603"/>
    <x v="1"/>
    <x v="50"/>
    <s v="eth1/16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16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16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16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16"/>
    <x v="0"/>
    <x v="1"/>
    <x v="1"/>
    <m/>
    <x v="0"/>
    <b v="0"/>
    <s v="No está en VPC"/>
    <n v="722"/>
    <s v="INTPG-VPC_HDD113_723_1.15_722_1.16"/>
    <s v="ISEL-1.16"/>
    <n v="1"/>
    <s v="NO TIENE L3OUT"/>
    <n v="0"/>
    <n v="54"/>
  </r>
  <r>
    <n v="733"/>
    <x v="2"/>
    <x v="55"/>
    <s v="eth1/16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16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16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16"/>
    <x v="0"/>
    <x v="0"/>
    <x v="0"/>
    <s v="OSS F1:ithenmr06e2r9a:Bay2/X2"/>
    <x v="0"/>
    <b v="0"/>
    <s v="No está en VPC"/>
    <n v="756"/>
    <s v="INTPG_PC_756_1.15-18"/>
    <s v="ISEL-1.16"/>
    <n v="1"/>
    <s v="NO TIENE L3OUT"/>
    <n v="64"/>
    <n v="54"/>
  </r>
  <r>
    <n v="754"/>
    <x v="2"/>
    <x v="59"/>
    <s v="eth1/16"/>
    <x v="0"/>
    <x v="0"/>
    <x v="0"/>
    <s v="OSS F1:ithenmnasr9c:PCIe3 Slot 1/2"/>
    <x v="0"/>
    <b v="0"/>
    <s v="No está en VPC"/>
    <n v="754"/>
    <s v="INTPG_PC_754_1.13-16"/>
    <s v="ISEL-1.16"/>
    <n v="1"/>
    <s v="NO TIENE L3OUT"/>
    <n v="62"/>
    <n v="54"/>
  </r>
  <r>
    <n v="751"/>
    <x v="2"/>
    <x v="60"/>
    <s v="eth1/16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16"/>
    <x v="0"/>
    <x v="0"/>
    <x v="0"/>
    <s v="OSS_ENM"/>
    <x v="0"/>
    <b v="0"/>
    <s v="No está en VPC"/>
    <n v="769"/>
    <s v="INTPG_ACC_769_1.16"/>
    <s v="ISEL-1.16"/>
    <n v="1"/>
    <s v="NO TIENE L3OUT"/>
    <n v="60"/>
    <n v="54"/>
  </r>
  <r>
    <n v="742"/>
    <x v="2"/>
    <x v="62"/>
    <s v="eth1/16"/>
    <x v="0"/>
    <x v="1"/>
    <x v="1"/>
    <s v="CEM:ITHCEMB2DAT08:FLEXIO P1"/>
    <x v="5"/>
    <b v="0"/>
    <s v="No está en VPC"/>
    <n v="742"/>
    <s v="INTPG_ACC_742_1.16"/>
    <s v="ISEL-1.16"/>
    <n v="1"/>
    <s v="NO TIENE L3OUT"/>
    <n v="64"/>
    <n v="54"/>
  </r>
  <r>
    <n v="763"/>
    <x v="2"/>
    <x v="63"/>
    <s v="eth1/16"/>
    <x v="0"/>
    <x v="0"/>
    <x v="0"/>
    <s v="PAAS:ithhwosstpap001:FlexIO.1"/>
    <x v="0"/>
    <b v="0"/>
    <s v="No está en VPC"/>
    <n v="763"/>
    <s v="INTPG_VPC_762_1.16_763_1.16"/>
    <s v="ISEL-1.16"/>
    <n v="1"/>
    <s v="NO TIENE L3OUT"/>
    <n v="2"/>
    <n v="54"/>
  </r>
  <r>
    <n v="766"/>
    <x v="2"/>
    <x v="64"/>
    <s v="eth1/16"/>
    <x v="0"/>
    <x v="0"/>
    <x v="0"/>
    <s v="Portchannel_5_R6A"/>
    <x v="0"/>
    <b v="0"/>
    <s v="No está en VPC"/>
    <n v="766"/>
    <s v="INTPG_PC_766_1.15-16"/>
    <s v="ISEL-1.16"/>
    <n v="8"/>
    <s v="NO TIENE L3OUT"/>
    <n v="58"/>
    <n v="54"/>
  </r>
  <r>
    <n v="760"/>
    <x v="2"/>
    <x v="65"/>
    <s v="eth1/16"/>
    <x v="0"/>
    <x v="1"/>
    <x v="1"/>
    <m/>
    <x v="0"/>
    <b v="0"/>
    <s v="No está en VPC"/>
    <n v="760"/>
    <s v="INTPG_VPC_760_1.13-16_761_1.13-16"/>
    <s v="ISEL-1.16"/>
    <n v="0"/>
    <s v="L3OUT-EXACLOUD"/>
    <n v="0"/>
    <n v="54"/>
  </r>
  <r>
    <n v="752"/>
    <x v="2"/>
    <x v="66"/>
    <s v="eth1/16"/>
    <x v="0"/>
    <x v="0"/>
    <x v="0"/>
    <s v="PAAS:ithhwosstpap001:LOM PORT 1"/>
    <x v="0"/>
    <b v="0"/>
    <s v="No está en VPC"/>
    <n v="752"/>
    <s v="INTPG_VPC_747_1.26_752_1.16"/>
    <s v="ISEL-1.16"/>
    <n v="25"/>
    <s v="NO TIENE L3OUT"/>
    <n v="0"/>
    <n v="54"/>
  </r>
  <r>
    <n v="765"/>
    <x v="2"/>
    <x v="67"/>
    <s v="eth1/16"/>
    <x v="0"/>
    <x v="0"/>
    <x v="0"/>
    <s v="Portchannel_7_R6B"/>
    <x v="0"/>
    <b v="0"/>
    <s v="No está en VPC"/>
    <n v="765"/>
    <s v="INTPG_PC_765_1.13-16"/>
    <s v="ISEL-1.16"/>
    <n v="1"/>
    <s v="NO TIENE L3OUT"/>
    <n v="60"/>
    <n v="54"/>
  </r>
  <r>
    <n v="778"/>
    <x v="2"/>
    <x v="68"/>
    <s v="eth1/16"/>
    <x v="0"/>
    <x v="0"/>
    <x v="0"/>
    <s v="ENIQ F1:itheniqr08nas2r3:LOM PORT 1"/>
    <x v="0"/>
    <b v="0"/>
    <s v="No está en VPC"/>
    <n v="778"/>
    <s v="INTPG_PC_778_1.16-19"/>
    <s v="ISEL-1.16"/>
    <n v="1"/>
    <s v="NO TIENE L3OUT"/>
    <n v="26"/>
    <n v="54"/>
  </r>
  <r>
    <n v="780"/>
    <x v="2"/>
    <x v="69"/>
    <s v="eth1/16"/>
    <x v="0"/>
    <x v="0"/>
    <x v="0"/>
    <s v="LACP_NAS2_ENIQ9C"/>
    <x v="0"/>
    <b v="0"/>
    <s v="No está en VPC"/>
    <n v="780"/>
    <s v="INTPG_PC_780_1.16-19"/>
    <s v="ISEL-1.16"/>
    <n v="1"/>
    <s v="NO TIENE L3OUT"/>
    <n v="26"/>
    <n v="54"/>
  </r>
  <r>
    <n v="812"/>
    <x v="2"/>
    <x v="70"/>
    <s v="eth1/16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16"/>
    <x v="0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16"/>
    <x v="0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16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16"/>
    <x v="0"/>
    <x v="0"/>
    <x v="0"/>
    <s v="LINK_TO_ITHFHWCMVWPMA10 /Slot6.2 /Redundante"/>
    <x v="0"/>
    <b v="0"/>
    <s v="No está en VPC"/>
    <n v="824"/>
    <s v="INTPG_ACC_824_1.16"/>
    <s v="ISEL-1.16"/>
    <n v="1"/>
    <s v="NO TIENE L3OUT"/>
    <n v="70"/>
    <n v="54"/>
  </r>
  <r>
    <n v="819"/>
    <x v="2"/>
    <x v="75"/>
    <s v="eth1/16"/>
    <x v="0"/>
    <x v="0"/>
    <x v="0"/>
    <s v="LINK_TO_ITHFHWCMVWPMA10 /Slot4.2 /Principal"/>
    <x v="0"/>
    <b v="0"/>
    <s v="No está en VPC"/>
    <n v="819"/>
    <s v="INTPG_ACC_819_1.16"/>
    <s v="ISEL-1.16"/>
    <n v="1"/>
    <s v="NO TIENE L3OUT"/>
    <n v="70"/>
    <n v="54"/>
  </r>
  <r>
    <n v="737"/>
    <x v="2"/>
    <x v="76"/>
    <s v="eth1/16"/>
    <x v="0"/>
    <x v="0"/>
    <x v="0"/>
    <s v="CEM:ITHCEME2DAT08:FLEXIO P1"/>
    <x v="5"/>
    <b v="0"/>
    <s v="No está en VPC"/>
    <n v="737"/>
    <s v="INTPG_ACC_737_1.16"/>
    <s v="ISEL-1.16"/>
    <n v="1"/>
    <s v="NO TIENE L3OUT"/>
    <n v="72"/>
    <n v="54"/>
  </r>
  <r>
    <n v="844"/>
    <x v="2"/>
    <x v="77"/>
    <s v="eth1/16"/>
    <x v="0"/>
    <x v="0"/>
    <x v="0"/>
    <s v="LINK_TO_ITHFHWCRMPLCN106 / Slot1.1_16 / Principal"/>
    <x v="0"/>
    <b v="0"/>
    <s v="No está en VPC"/>
    <n v="844"/>
    <s v="INTPG_ACC_844_1.16"/>
    <s v="ISEL-1.16"/>
    <n v="6"/>
    <s v="NO TIENE L3OUT"/>
    <n v="282"/>
    <n v="54"/>
  </r>
  <r>
    <n v="843"/>
    <x v="2"/>
    <x v="78"/>
    <s v="eth1/16"/>
    <x v="0"/>
    <x v="0"/>
    <x v="0"/>
    <s v="LINK_To_ITHFHWCBSPSUSBD29 / Slot7.2_10 / Redundante"/>
    <x v="0"/>
    <b v="0"/>
    <s v="No está en VPC"/>
    <n v="843"/>
    <s v="INTPG_VPC_838_1.16_843_1.16"/>
    <s v="ISEL-1.16"/>
    <n v="1"/>
    <s v="NO TIENE L3OUT"/>
    <n v="38"/>
    <n v="54"/>
  </r>
  <r>
    <n v="797"/>
    <x v="2"/>
    <x v="79"/>
    <s v="eth1/16"/>
    <x v="0"/>
    <x v="0"/>
    <x v="0"/>
    <s v="TO-HDPS_18-MSP"/>
    <x v="0"/>
    <b v="0"/>
    <s v="No está en VPC"/>
    <n v="797"/>
    <s v="INTPG_ACC_797_1.16"/>
    <s v="ISEL-1.16"/>
    <n v="1"/>
    <s v="NO TIENE L3OUT"/>
    <n v="48"/>
    <n v="54"/>
  </r>
  <r>
    <n v="839"/>
    <x v="2"/>
    <x v="80"/>
    <s v="eth1/16"/>
    <x v="0"/>
    <x v="0"/>
    <x v="0"/>
    <s v="LINK_TO_ITHFHWCBSPSWR63 / Slot7.1_14 / Redundante"/>
    <x v="0"/>
    <b v="0"/>
    <s v="No está en VPC"/>
    <n v="839"/>
    <s v="INTPG_VPC_834_1.16_839_1.16"/>
    <s v="ISEL-1.16"/>
    <n v="2"/>
    <s v="NO TIENE L3OUT"/>
    <n v="0"/>
    <n v="54"/>
  </r>
  <r>
    <n v="847"/>
    <x v="2"/>
    <x v="81"/>
    <s v="eth1/16"/>
    <x v="0"/>
    <x v="0"/>
    <x v="0"/>
    <s v="LINK_TO_ITHFHWCRMPLCN170 / Slot7.3_10 / Redundante"/>
    <x v="0"/>
    <b v="0"/>
    <s v="No está en VPC"/>
    <n v="847"/>
    <s v="INTPG_ACC_847_1.16"/>
    <s v="ISEL-1.16"/>
    <n v="1"/>
    <s v="NO TIENE L3OUT"/>
    <n v="204"/>
    <n v="54"/>
  </r>
  <r>
    <n v="848"/>
    <x v="2"/>
    <x v="82"/>
    <s v="eth1/16"/>
    <x v="0"/>
    <x v="0"/>
    <x v="0"/>
    <s v="LINK_TO_ITHFHWCRMPLCN159 / Slot7.3_20 / Redundante"/>
    <x v="0"/>
    <b v="0"/>
    <s v="No está en VPC"/>
    <n v="848"/>
    <s v="INTPG_ACC_848_1.16"/>
    <s v="ISEL-1.16"/>
    <n v="1"/>
    <s v="NO TIENE L3OUT"/>
    <n v="254"/>
    <n v="54"/>
  </r>
  <r>
    <n v="846"/>
    <x v="2"/>
    <x v="83"/>
    <s v="eth1/16"/>
    <x v="0"/>
    <x v="0"/>
    <x v="0"/>
    <s v="LINK_TO_ITHFHWCRMPLCN77 / Slot1.1_12 / Principal"/>
    <x v="0"/>
    <b v="0"/>
    <s v="No está en VPC"/>
    <n v="846"/>
    <s v="INTPG_ACC_846_1.16"/>
    <s v="ISEL-1.16"/>
    <n v="6"/>
    <s v="NO TIENE L3OUT"/>
    <n v="242"/>
    <n v="54"/>
  </r>
  <r>
    <n v="838"/>
    <x v="2"/>
    <x v="84"/>
    <s v="eth1/16"/>
    <x v="0"/>
    <x v="0"/>
    <x v="0"/>
    <s v="LINK_To_ITHFHWCBSPSUSBD29 / Slot1.2_10 / Principal"/>
    <x v="0"/>
    <b v="0"/>
    <s v="No está en VPC"/>
    <n v="838"/>
    <s v="INTPG_VPC_838_1.16_843_1.16"/>
    <s v="ISEL-1.16"/>
    <n v="1"/>
    <s v="NO TIENE L3OUT"/>
    <n v="38"/>
    <n v="54"/>
  </r>
  <r>
    <n v="849"/>
    <x v="2"/>
    <x v="85"/>
    <s v="eth1/16"/>
    <x v="0"/>
    <x v="0"/>
    <x v="0"/>
    <s v="LINK_TO_ITHFHWCRMPLCN139 / Slot7.3_12 / Redundante"/>
    <x v="0"/>
    <b v="0"/>
    <s v="No está en VPC"/>
    <n v="849"/>
    <s v="INTPG_ACC_849_1.16"/>
    <s v="ISEL-1.16"/>
    <n v="1"/>
    <s v="NO TIENE L3OUT"/>
    <n v="286"/>
    <n v="54"/>
  </r>
  <r>
    <n v="845"/>
    <x v="2"/>
    <x v="86"/>
    <s v="eth1/16"/>
    <x v="0"/>
    <x v="0"/>
    <x v="0"/>
    <s v="LINK_TO_ITHFHWCRMPLCN89 / Slot1.2_10 / Principal"/>
    <x v="0"/>
    <b v="0"/>
    <s v="No está en VPC"/>
    <n v="845"/>
    <s v="INTPG_ACC_845_1.16"/>
    <s v="ISEL-1.16"/>
    <n v="2"/>
    <s v="NO TIENE L3OUT"/>
    <n v="258"/>
    <n v="54"/>
  </r>
  <r>
    <n v="873"/>
    <x v="2"/>
    <x v="87"/>
    <s v="eth1/16"/>
    <x v="0"/>
    <x v="0"/>
    <x v="0"/>
    <s v="TO_ITHFHWCRMDLCN58_Principal"/>
    <x v="0"/>
    <b v="0"/>
    <s v="No está en VPC"/>
    <n v="873"/>
    <s v="INTPG_ACC_873_1.16"/>
    <s v="ISEL-1.16"/>
    <n v="2"/>
    <s v="NO TIENE L3OUT"/>
    <n v="248"/>
    <n v="54"/>
  </r>
  <r>
    <n v="864"/>
    <x v="2"/>
    <x v="88"/>
    <s v="eth1/16"/>
    <x v="0"/>
    <x v="0"/>
    <x v="0"/>
    <s v="To_VPC_2DCBSD_HD36_1"/>
    <x v="0"/>
    <b v="0"/>
    <s v="No está en VPC"/>
    <n v="864"/>
    <s v="INTPG_VPC_859_1.16_864_1.16"/>
    <s v="ISEL-1.16"/>
    <n v="2"/>
    <s v="NO TIENE L3OUT"/>
    <n v="0"/>
    <n v="54"/>
  </r>
  <r>
    <n v="836"/>
    <x v="2"/>
    <x v="89"/>
    <s v="eth1/16"/>
    <x v="0"/>
    <x v="0"/>
    <x v="0"/>
    <s v="LINK_TO_ITHFHWCBSPSWR50 / Slot1.3_28 / Principal"/>
    <x v="0"/>
    <b v="0"/>
    <s v="No está en VPC"/>
    <n v="836"/>
    <s v="INTPG_VPC_836_1.16_841_1.16"/>
    <s v="ISEL-1.16"/>
    <n v="1"/>
    <s v="NO TIENE L3OUT"/>
    <n v="0"/>
    <n v="54"/>
  </r>
  <r>
    <n v="834"/>
    <x v="2"/>
    <x v="90"/>
    <s v="eth1/16"/>
    <x v="0"/>
    <x v="0"/>
    <x v="0"/>
    <s v="LINK_TO_ITHFHWCBSPSWR63 / Slot1.1_14 / Principal"/>
    <x v="0"/>
    <b v="0"/>
    <s v="No está en VPC"/>
    <n v="834"/>
    <s v="INTPG_VPC_834_1.16_839_1.16"/>
    <s v="ISEL-1.16"/>
    <n v="2"/>
    <s v="NO TIENE L3OUT"/>
    <n v="0"/>
    <n v="54"/>
  </r>
  <r>
    <n v="872"/>
    <x v="2"/>
    <x v="91"/>
    <s v="eth1/16"/>
    <x v="0"/>
    <x v="0"/>
    <x v="0"/>
    <s v="To_ITHFHWCRMDLCN74_Principal"/>
    <x v="0"/>
    <b v="0"/>
    <s v="No está en VPC"/>
    <n v="872"/>
    <s v="INTPG_ACC_872_1.16"/>
    <s v="ISEL-1.16"/>
    <n v="2"/>
    <s v="NO TIENE L3OUT"/>
    <n v="288"/>
    <n v="54"/>
  </r>
  <r>
    <n v="842"/>
    <x v="2"/>
    <x v="92"/>
    <s v="eth1/16"/>
    <x v="0"/>
    <x v="0"/>
    <x v="0"/>
    <s v="LINK_TO_ITHFHWCBSPSUSBD30 / Slot7.3_10 / Redundante"/>
    <x v="0"/>
    <b v="0"/>
    <s v="No está en VPC"/>
    <n v="842"/>
    <s v="INTPG_VPC_837_1.16_842_1.16"/>
    <s v="ISEL-1.16"/>
    <n v="1"/>
    <s v="NO TIENE L3OUT"/>
    <n v="8"/>
    <n v="54"/>
  </r>
  <r>
    <n v="828"/>
    <x v="2"/>
    <x v="93"/>
    <s v="eth1/16"/>
    <x v="0"/>
    <x v="0"/>
    <x v="0"/>
    <s v="LINK_TO_ITHFHWCRMDLCN20 /Slot4.2 /Principal"/>
    <x v="0"/>
    <b v="0"/>
    <s v="No está en VPC"/>
    <n v="828"/>
    <s v="INTPG_ACC_828_1.16"/>
    <s v="ISEL-1.16"/>
    <n v="1"/>
    <s v="NO TIENE L3OUT"/>
    <n v="192"/>
    <n v="54"/>
  </r>
  <r>
    <n v="870"/>
    <x v="2"/>
    <x v="94"/>
    <s v="eth1/16"/>
    <x v="0"/>
    <x v="0"/>
    <x v="0"/>
    <s v="TO_ITHFHWCRMDLCN58_Redundante"/>
    <x v="0"/>
    <b v="0"/>
    <s v="No está en VPC"/>
    <n v="870"/>
    <s v="INTPG_ACC_870_1.16"/>
    <s v="ISEL-1.16"/>
    <n v="2"/>
    <s v="NO TIENE L3OUT"/>
    <n v="248"/>
    <n v="54"/>
  </r>
  <r>
    <n v="866"/>
    <x v="2"/>
    <x v="95"/>
    <s v="eth1/16"/>
    <x v="0"/>
    <x v="0"/>
    <x v="0"/>
    <s v="To_VPC_2DCBSD_HD21_3"/>
    <x v="0"/>
    <b v="0"/>
    <s v="No está en VPC"/>
    <n v="866"/>
    <s v="INTPG_VPC_861_1.16_866_1.16"/>
    <s v="ISEL-1.16"/>
    <n v="1"/>
    <s v="NO TIENE L3OUT"/>
    <n v="8"/>
    <n v="54"/>
  </r>
  <r>
    <n v="862"/>
    <x v="2"/>
    <x v="96"/>
    <s v="eth1/16"/>
    <x v="0"/>
    <x v="0"/>
    <x v="0"/>
    <s v="TO-ITHFSUEXG2XCN04_PCI8.P1"/>
    <x v="0"/>
    <b v="0"/>
    <s v="No está en VPC"/>
    <n v="862"/>
    <s v="INTPG_ACC_862_1.16"/>
    <s v="ISEL-1.16"/>
    <n v="2"/>
    <s v="NO TIENE L3OUT"/>
    <n v="44"/>
    <n v="54"/>
  </r>
  <r>
    <n v="855"/>
    <x v="2"/>
    <x v="97"/>
    <s v="eth1/16"/>
    <x v="0"/>
    <x v="0"/>
    <x v="0"/>
    <s v="LINK_TO_ITHFHWCRMPLCN159 / Slot1.3_20 / Principal"/>
    <x v="0"/>
    <b v="0"/>
    <s v="No está en VPC"/>
    <n v="855"/>
    <s v="INTPG_ACC_855_1.16"/>
    <s v="ISEL-1.16"/>
    <n v="1"/>
    <s v="NO TIENE L3OUT"/>
    <n v="254"/>
    <n v="54"/>
  </r>
  <r>
    <n v="871"/>
    <x v="2"/>
    <x v="98"/>
    <s v="eth1/16"/>
    <x v="0"/>
    <x v="0"/>
    <x v="0"/>
    <s v="TO_ITHFHWCRMDLCN86_Principal"/>
    <x v="0"/>
    <b v="0"/>
    <s v="No está en VPC"/>
    <n v="871"/>
    <s v="INTPG_ACC_871_1.16"/>
    <s v="ISEL-1.16"/>
    <n v="6"/>
    <s v="NO TIENE L3OUT"/>
    <n v="246"/>
    <n v="54"/>
  </r>
  <r>
    <n v="841"/>
    <x v="2"/>
    <x v="99"/>
    <s v="eth1/16"/>
    <x v="0"/>
    <x v="0"/>
    <x v="0"/>
    <s v="LINK_TO_ITHFHWCBSPSWR50 / Slot7.3_28 / Redundante"/>
    <x v="0"/>
    <b v="0"/>
    <s v="No está en VPC"/>
    <n v="841"/>
    <s v="INTPG_VPC_836_1.16_841_1.16"/>
    <s v="ISEL-1.16"/>
    <n v="1"/>
    <s v="NO TIENE L3OUT"/>
    <n v="0"/>
    <n v="54"/>
  </r>
  <r>
    <n v="868"/>
    <x v="2"/>
    <x v="100"/>
    <s v="eth1/16"/>
    <x v="0"/>
    <x v="0"/>
    <x v="0"/>
    <s v="TO_ITHFHWCRMDLCN86_Redundante"/>
    <x v="0"/>
    <b v="0"/>
    <s v="No está en VPC"/>
    <n v="868"/>
    <s v="INTPG_ACC_868_1.16"/>
    <s v="ISEL-1.16"/>
    <n v="6"/>
    <s v="NO TIENE L3OUT"/>
    <n v="246"/>
    <n v="54"/>
  </r>
  <r>
    <n v="869"/>
    <x v="2"/>
    <x v="101"/>
    <s v="eth1/16"/>
    <x v="0"/>
    <x v="0"/>
    <x v="0"/>
    <s v="To_ITHFHWCRMDLCN74_Redundante"/>
    <x v="0"/>
    <b v="0"/>
    <s v="No está en VPC"/>
    <n v="869"/>
    <s v="INTPG_ACC_869_1.16"/>
    <s v="ISEL-1.16"/>
    <n v="2"/>
    <s v="NO TIENE L3OUT"/>
    <n v="288"/>
    <n v="54"/>
  </r>
  <r>
    <n v="861"/>
    <x v="2"/>
    <x v="102"/>
    <s v="eth1/16"/>
    <x v="0"/>
    <x v="0"/>
    <x v="0"/>
    <s v="To_VPC_2DCBSD_HD21_3"/>
    <x v="0"/>
    <b v="0"/>
    <s v="No está en VPC"/>
    <n v="861"/>
    <s v="INTPG_VPC_861_1.16_866_1.16"/>
    <s v="ISEL-1.16"/>
    <n v="1"/>
    <s v="NO TIENE L3OUT"/>
    <n v="8"/>
    <n v="54"/>
  </r>
  <r>
    <n v="874"/>
    <x v="2"/>
    <x v="103"/>
    <s v="eth1/16"/>
    <x v="0"/>
    <x v="0"/>
    <x v="0"/>
    <s v="LINK_TO_ITHFHWSEQLIMPS27 / Slot 5 PTO 1 / Redundante"/>
    <x v="4"/>
    <b v="0"/>
    <s v="No está en VPC"/>
    <n v="874"/>
    <s v="INTPG_ACC_874_1.16"/>
    <s v="ISEL-1.16"/>
    <n v="1"/>
    <s v="NO TIENE L3OUT"/>
    <n v="92"/>
    <n v="54"/>
  </r>
  <r>
    <n v="865"/>
    <x v="2"/>
    <x v="104"/>
    <s v="eth1/16"/>
    <x v="0"/>
    <x v="0"/>
    <x v="0"/>
    <s v="To_VPC_2DCBSD_HD28_1"/>
    <x v="0"/>
    <b v="0"/>
    <s v="No está en VPC"/>
    <n v="865"/>
    <s v="INTPG_VPC_860_1.16_865_1.16"/>
    <s v="ISEL-1.16"/>
    <n v="2"/>
    <s v="NO TIENE L3OUT"/>
    <n v="0"/>
    <n v="54"/>
  </r>
  <r>
    <n v="753"/>
    <x v="2"/>
    <x v="105"/>
    <s v="eth1/16"/>
    <x v="0"/>
    <x v="0"/>
    <x v="0"/>
    <s v="OSS F1:ithenmr04e1r9c:Bay2/X2"/>
    <x v="0"/>
    <b v="0"/>
    <s v="No está en VPC"/>
    <n v="753"/>
    <s v="INTPG_PC_753_1.15-16"/>
    <s v="ISEL-1.16"/>
    <n v="8"/>
    <s v="NO TIENE L3OUT"/>
    <n v="62"/>
    <n v="54"/>
  </r>
  <r>
    <n v="708"/>
    <x v="2"/>
    <x v="106"/>
    <s v="eth1/16"/>
    <x v="0"/>
    <x v="1"/>
    <x v="5"/>
    <s v="CEM:ITHCEME2DAT08:LOM  P2"/>
    <x v="0"/>
    <b v="0"/>
    <s v="No está en VPC"/>
    <n v="708"/>
    <s v="INTPG_VPC_708_1.16_709_1.15"/>
    <s v="ISEL-1.16"/>
    <n v="1"/>
    <s v="NO TIENE L3OUT"/>
    <n v="0"/>
    <n v="54"/>
  </r>
  <r>
    <n v="710"/>
    <x v="2"/>
    <x v="107"/>
    <s v="eth1/16"/>
    <x v="0"/>
    <x v="0"/>
    <x v="0"/>
    <s v="CEM:ITHCEMC2DAT08:LOM  P2"/>
    <x v="0"/>
    <b v="0"/>
    <s v="No está en VPC"/>
    <n v="710"/>
    <s v="INTPG_ACC_710_1.16"/>
    <s v="ISEL-1.16"/>
    <n v="1"/>
    <s v="NO TIENE L3OUT"/>
    <n v="16"/>
    <n v="54"/>
  </r>
  <r>
    <n v="713"/>
    <x v="2"/>
    <x v="108"/>
    <s v="eth1/16"/>
    <x v="0"/>
    <x v="0"/>
    <x v="0"/>
    <s v="CEM:ITHCEMB2DAT08:LOM  P2"/>
    <x v="0"/>
    <b v="0"/>
    <s v="No está en VPC"/>
    <n v="713"/>
    <s v="INTPG_ACC_713_1.16"/>
    <s v="ISEL-1.16"/>
    <n v="1"/>
    <s v="NO TIENE L3OUT"/>
    <n v="32"/>
    <n v="54"/>
  </r>
  <r>
    <n v="735"/>
    <x v="2"/>
    <x v="109"/>
    <s v="eth1/16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16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16"/>
    <x v="0"/>
    <x v="0"/>
    <x v="0"/>
    <m/>
    <x v="0"/>
    <b v="0"/>
    <s v="No está en VPC"/>
    <n v="703"/>
    <s v="INTPG_VPC_704_1.15_703_1.16"/>
    <s v="ISEL-1.16"/>
    <n v="1"/>
    <s v="NO TIENE L3OUT"/>
    <n v="2"/>
    <n v="54"/>
  </r>
  <r>
    <n v="706"/>
    <x v="2"/>
    <x v="112"/>
    <s v="eth1/16"/>
    <x v="0"/>
    <x v="0"/>
    <x v="0"/>
    <m/>
    <x v="0"/>
    <b v="0"/>
    <s v="No está en VPC"/>
    <n v="706"/>
    <s v="INTPG_VPC_705_1.15_706_1.16"/>
    <s v="ISEL-1.16"/>
    <n v="1"/>
    <s v="NO TIENE L3OUT"/>
    <n v="16"/>
    <n v="54"/>
  </r>
  <r>
    <n v="762"/>
    <x v="2"/>
    <x v="113"/>
    <s v="eth1/16"/>
    <x v="0"/>
    <x v="0"/>
    <x v="0"/>
    <s v="PAAS:ithhwosstpap001:LOM PORT 3"/>
    <x v="0"/>
    <b v="0"/>
    <s v="No está en VPC"/>
    <n v="762"/>
    <s v="INTPG_VPC_762_1.16_763_1.16"/>
    <s v="ISEL-1.16"/>
    <n v="1"/>
    <s v="NO TIENE L3OUT"/>
    <n v="0"/>
    <n v="54"/>
  </r>
  <r>
    <n v="814"/>
    <x v="2"/>
    <x v="114"/>
    <s v="eth1/16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16"/>
    <x v="0"/>
    <x v="0"/>
    <x v="0"/>
    <s v="HACIA_CSI-A-OSCP-F4-16_SECUNDARIO"/>
    <x v="4"/>
    <b v="0"/>
    <s v="No está en VPC"/>
    <n v="878"/>
    <s v="INTPG_VPC_878_1.16_879_1.16"/>
    <s v="ISEL-1.16"/>
    <n v="2"/>
    <s v="NO TIENE L3OUT"/>
    <n v="0"/>
    <n v="54"/>
  </r>
  <r>
    <n v="826"/>
    <x v="2"/>
    <x v="116"/>
    <s v="eth1/16"/>
    <x v="0"/>
    <x v="0"/>
    <x v="0"/>
    <s v="LINK_TO_ITHFHWCBSDSHD15 /Slot5.2 /Principal"/>
    <x v="0"/>
    <b v="0"/>
    <s v="No está en VPC"/>
    <n v="826"/>
    <s v="INTPG_VPC_826_1.16_830_1.16"/>
    <s v="ISEL-1.16"/>
    <n v="2"/>
    <s v="NO TIENE L3OUT"/>
    <n v="12"/>
    <n v="54"/>
  </r>
  <r>
    <n v="726"/>
    <x v="2"/>
    <x v="117"/>
    <s v="eth1/16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16"/>
    <x v="0"/>
    <x v="0"/>
    <x v="0"/>
    <s v="CEM:ITHCEMD2DAT08:FLEXIO P1"/>
    <x v="5"/>
    <b v="0"/>
    <s v="No está en VPC"/>
    <n v="740"/>
    <s v="INTPG_ACC_740_1.16"/>
    <s v="ISEL-1.16"/>
    <n v="1"/>
    <s v="NO TIENE L3OUT"/>
    <n v="72"/>
    <n v="54"/>
  </r>
  <r>
    <n v="705"/>
    <x v="2"/>
    <x v="119"/>
    <s v="eth1/16"/>
    <x v="0"/>
    <x v="0"/>
    <x v="0"/>
    <s v="ITHCEMA1DAT08-LOM-P2"/>
    <x v="0"/>
    <b v="0"/>
    <s v="No está en VPC"/>
    <n v="705"/>
    <s v="INTPG_ACC_705_1.16"/>
    <s v="ISEL-1.16"/>
    <n v="1"/>
    <s v="NO TIENE L3OUT"/>
    <n v="16"/>
    <n v="54"/>
  </r>
  <r>
    <n v="723"/>
    <x v="2"/>
    <x v="120"/>
    <s v="eth1/16"/>
    <x v="0"/>
    <x v="1"/>
    <x v="1"/>
    <m/>
    <x v="0"/>
    <b v="0"/>
    <s v="No está en VPC"/>
    <n v="723"/>
    <s v="INTPG-VPC_HDD126_722_1.15_723_1.16"/>
    <s v="ISEL-1.16"/>
    <n v="1"/>
    <s v="NO TIENE L3OUT"/>
    <n v="0"/>
    <n v="54"/>
  </r>
  <r>
    <n v="721"/>
    <x v="2"/>
    <x v="121"/>
    <s v="eth1/16"/>
    <x v="0"/>
    <x v="0"/>
    <x v="0"/>
    <s v="ITHORNG1DAT10_LOM P1"/>
    <x v="0"/>
    <b v="0"/>
    <s v="No está en VPC"/>
    <n v="721"/>
    <s v="INTPG_ACC_721_1.16"/>
    <s v="ISEL-1.16"/>
    <n v="2"/>
    <s v="NO TIENE L3OUT"/>
    <n v="20"/>
    <n v="54"/>
  </r>
  <r>
    <n v="788"/>
    <x v="2"/>
    <x v="122"/>
    <s v="eth1/16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16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16"/>
    <x v="0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16"/>
    <x v="0"/>
    <x v="1"/>
    <x v="5"/>
    <s v="CEM:ITHCEMF2DAT08:LOM  P2"/>
    <x v="0"/>
    <b v="0"/>
    <s v="No está en VPC"/>
    <n v="709"/>
    <s v="INTPG_VPC_708_1.15_709_1.16"/>
    <s v="ISEL-1.16"/>
    <n v="1"/>
    <s v="NO TIENE L3OUT"/>
    <n v="0"/>
    <n v="54"/>
  </r>
  <r>
    <n v="454"/>
    <x v="1"/>
    <x v="126"/>
    <s v="eth1/16"/>
    <x v="0"/>
    <x v="0"/>
    <x v="0"/>
    <s v="HACIA_CSI-A-OSCP-F4-04_PRINCIPAL"/>
    <x v="4"/>
    <b v="0"/>
    <s v="No está en VPC"/>
    <n v="454"/>
    <s v="INTPG_VPC_454_1.16_456_1.16"/>
    <s v="ISEL-1.16"/>
    <n v="2"/>
    <s v="NO TIENE L3OUT"/>
    <n v="4"/>
    <n v="54"/>
  </r>
  <r>
    <n v="734"/>
    <x v="2"/>
    <x v="127"/>
    <s v="eth1/16"/>
    <x v="0"/>
    <x v="1"/>
    <x v="1"/>
    <s v="CEM:ITHCEMA1DAT08:FLEXIO P1"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16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16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16"/>
    <x v="0"/>
    <x v="0"/>
    <x v="0"/>
    <m/>
    <x v="0"/>
    <b v="0"/>
    <s v="No está en VPC"/>
    <n v="718"/>
    <s v="INTPG-VPC_HDD20_717_1.15_718_1.16"/>
    <s v="ISEL-1.16"/>
    <n v="1"/>
    <s v="NO TIENE L3OUT"/>
    <n v="0"/>
    <n v="54"/>
  </r>
  <r>
    <n v="744"/>
    <x v="2"/>
    <x v="131"/>
    <s v="eth1/16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16"/>
    <x v="0"/>
    <x v="1"/>
    <x v="1"/>
    <s v="CEM:ITHCEMA2DAT08:FLEXIO P1"/>
    <x v="5"/>
    <b v="0"/>
    <s v="No está en VPC"/>
    <n v="741"/>
    <s v="INTPG_ACC_741_1.16"/>
    <s v="ISEL-1.16"/>
    <n v="1"/>
    <s v="NO TIENE L3OUT"/>
    <n v="62"/>
    <n v="54"/>
  </r>
  <r>
    <n v="787"/>
    <x v="2"/>
    <x v="133"/>
    <s v="eth1/16"/>
    <x v="0"/>
    <x v="0"/>
    <x v="0"/>
    <s v="ENIQ F2:itheniqr14bl02nas2r4b:LOM PORT 1"/>
    <x v="0"/>
    <b v="0"/>
    <s v="No está en VPC"/>
    <n v="787"/>
    <s v="INTPG_PC_787_1.16-19"/>
    <s v="ISEL-1.16"/>
    <n v="1"/>
    <s v="NO TIENE L3OUT"/>
    <n v="26"/>
    <n v="54"/>
  </r>
  <r>
    <n v="750"/>
    <x v="2"/>
    <x v="134"/>
    <s v="eth1/16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16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16"/>
    <x v="0"/>
    <x v="1"/>
    <x v="3"/>
    <s v="CEM:ITHCEMG2DAT08:FLEXIO P1"/>
    <x v="0"/>
    <b v="0"/>
    <s v="No está en VPC"/>
    <n v="736"/>
    <s v="INTPG_ACC_736_1.16"/>
    <s v="ISEL-1.16"/>
    <n v="1"/>
    <s v="NO TIENE L3OUT"/>
    <n v="48"/>
    <n v="54"/>
  </r>
  <r>
    <n v="799"/>
    <x v="2"/>
    <x v="137"/>
    <s v="eth1/16"/>
    <x v="0"/>
    <x v="0"/>
    <x v="0"/>
    <s v="TO-IMC_PS04-MSP"/>
    <x v="0"/>
    <b v="0"/>
    <s v="No está en VPC"/>
    <n v="799"/>
    <s v="INTPG_ACC_799_1.16"/>
    <s v="ISEL-1.16"/>
    <n v="1"/>
    <s v="NO TIENE L3OUT"/>
    <n v="52"/>
    <n v="54"/>
  </r>
  <r>
    <n v="768"/>
    <x v="2"/>
    <x v="138"/>
    <s v="eth1/16"/>
    <x v="0"/>
    <x v="0"/>
    <x v="0"/>
    <s v="OSS_ENM"/>
    <x v="0"/>
    <b v="0"/>
    <s v="No está en VPC"/>
    <n v="768"/>
    <s v="INTPG_ACC_768_1.16"/>
    <s v="ISEL-1.16"/>
    <n v="1"/>
    <s v="NO TIENE L3OUT"/>
    <n v="62"/>
    <n v="54"/>
  </r>
  <r>
    <n v="714"/>
    <x v="2"/>
    <x v="139"/>
    <s v="eth1/16"/>
    <x v="0"/>
    <x v="0"/>
    <x v="0"/>
    <s v="TO-ITHFHWVRALCN03"/>
    <x v="0"/>
    <b v="0"/>
    <s v="No está en VPC"/>
    <n v="714"/>
    <s v="INTPG_VPC_714_1.16_721_1.15"/>
    <s v="ISEL-1.16"/>
    <n v="108"/>
    <s v="NO TIENE L3OUT"/>
    <n v="20"/>
    <n v="54"/>
  </r>
  <r>
    <n v="717"/>
    <x v="2"/>
    <x v="140"/>
    <s v="eth1/16"/>
    <x v="0"/>
    <x v="0"/>
    <x v="0"/>
    <m/>
    <x v="0"/>
    <b v="0"/>
    <s v="No está en VPC"/>
    <n v="717"/>
    <s v="INTPG-VPC_HDD10_718_1.15_717_1.16"/>
    <s v="ISEL-1.16"/>
    <n v="1"/>
    <s v="NO TIENE L3OUT"/>
    <n v="0"/>
    <n v="54"/>
  </r>
  <r>
    <n v="789"/>
    <x v="2"/>
    <x v="141"/>
    <s v="eth1/16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16"/>
    <x v="0"/>
    <x v="0"/>
    <x v="0"/>
    <s v="OSS_ENM"/>
    <x v="0"/>
    <b v="0"/>
    <s v="No está en VPC"/>
    <n v="764"/>
    <s v="INTPG_ACC_764_1.16"/>
    <s v="ISEL-1.16"/>
    <n v="1"/>
    <s v="NO TIENE L3OUT"/>
    <n v="62"/>
    <n v="54"/>
  </r>
  <r>
    <n v="783"/>
    <x v="2"/>
    <x v="143"/>
    <s v="eth1/16"/>
    <x v="0"/>
    <x v="0"/>
    <x v="0"/>
    <s v="LACP_NAS2_ENIQ9B"/>
    <x v="0"/>
    <b v="0"/>
    <s v="No está en VPC"/>
    <n v="783"/>
    <s v="INTPG_PC_783_1.16-19"/>
    <s v="ISEL-1.16"/>
    <n v="1"/>
    <s v="NO TIENE L3OUT"/>
    <n v="26"/>
    <n v="54"/>
  </r>
  <r>
    <n v="774"/>
    <x v="2"/>
    <x v="144"/>
    <s v="eth1/16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16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16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16"/>
    <x v="0"/>
    <x v="0"/>
    <x v="0"/>
    <s v="TO-HDPS_42-MSP"/>
    <x v="0"/>
    <b v="0"/>
    <s v="No está en VPC"/>
    <n v="803"/>
    <s v="INTPG_ACC_803_1.16"/>
    <s v="ISEL-1.16"/>
    <n v="1"/>
    <s v="NO TIENE L3OUT"/>
    <n v="48"/>
    <n v="54"/>
  </r>
  <r>
    <n v="786"/>
    <x v="2"/>
    <x v="148"/>
    <s v="eth1/16"/>
    <x v="0"/>
    <x v="0"/>
    <x v="0"/>
    <s v="ENIQ F2:itheniqr16bl02nas2r4a:LOM PORT 1"/>
    <x v="0"/>
    <b v="0"/>
    <s v="No está en VPC"/>
    <n v="786"/>
    <s v="INTPG_PC_786_1.16-19"/>
    <s v="ISEL-1.16"/>
    <n v="1"/>
    <s v="NO TIENE L3OUT"/>
    <n v="26"/>
    <n v="54"/>
  </r>
  <r>
    <n v="757"/>
    <x v="2"/>
    <x v="149"/>
    <s v="eth1/16"/>
    <x v="0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16"/>
    <x v="0"/>
    <x v="0"/>
    <x v="0"/>
    <s v="LACP_NAS2_ENIQ1"/>
    <x v="0"/>
    <b v="0"/>
    <s v="No está en VPC"/>
    <n v="781"/>
    <s v="INTPG_PC_781_1.16-19"/>
    <s v="ISEL-1.16"/>
    <n v="1"/>
    <s v="NO TIENE L3OUT"/>
    <n v="26"/>
    <n v="54"/>
  </r>
  <r>
    <n v="793"/>
    <x v="2"/>
    <x v="151"/>
    <s v="eth1/16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16"/>
    <x v="0"/>
    <x v="1"/>
    <x v="3"/>
    <s v="PAAS:ithhwosstpap001:Slot4.1"/>
    <x v="0"/>
    <b v="0"/>
    <s v="No está en VPC"/>
    <n v="747"/>
    <s v="INTPG_VPC_747_1.16_752_1.26"/>
    <s v="ISEL-1.16"/>
    <n v="0"/>
    <s v="NO TIENE L3OUT"/>
    <n v="0"/>
    <n v="54"/>
  </r>
  <r>
    <n v="784"/>
    <x v="2"/>
    <x v="153"/>
    <s v="eth1/16"/>
    <x v="0"/>
    <x v="0"/>
    <x v="0"/>
    <s v="ENIQ F2:itheniqr13bl02nas2r6a:LOM PORT 1"/>
    <x v="0"/>
    <b v="0"/>
    <s v="No está en VPC"/>
    <n v="784"/>
    <s v="INTPG_PC_784_1.16-19"/>
    <s v="ISEL-1.16"/>
    <n v="1"/>
    <s v="NO TIENE L3OUT"/>
    <n v="26"/>
    <n v="54"/>
  </r>
  <r>
    <n v="806"/>
    <x v="2"/>
    <x v="154"/>
    <s v="eth1/16"/>
    <x v="0"/>
    <x v="0"/>
    <x v="0"/>
    <s v="TO-HDPS_66-MSP"/>
    <x v="0"/>
    <b v="0"/>
    <s v="No está en VPC"/>
    <n v="806"/>
    <s v="INTPG_ACC_806_1.16"/>
    <s v="ISEL-1.16"/>
    <n v="1"/>
    <s v="NO TIENE L3OUT"/>
    <n v="44"/>
    <n v="54"/>
  </r>
  <r>
    <n v="777"/>
    <x v="2"/>
    <x v="155"/>
    <s v="eth1/16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16"/>
    <x v="0"/>
    <x v="0"/>
    <x v="0"/>
    <s v="Portchannel_5_R4B"/>
    <x v="0"/>
    <b v="0"/>
    <s v="No está en VPC"/>
    <n v="770"/>
    <s v="INTPG_PC_770_1.15-16"/>
    <s v="ISEL-1.16"/>
    <n v="9"/>
    <s v="NO TIENE L3OUT"/>
    <n v="60"/>
    <n v="54"/>
  </r>
  <r>
    <n v="813"/>
    <x v="2"/>
    <x v="157"/>
    <s v="eth1/16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16"/>
    <x v="0"/>
    <x v="1"/>
    <x v="1"/>
    <s v="CEM:ITHCEMC2DAT08:FLEXIO P1"/>
    <x v="5"/>
    <b v="0"/>
    <s v="No está en VPC"/>
    <n v="739"/>
    <s v="INTPG_ACC_739_1.16"/>
    <s v="ISEL-1.16"/>
    <n v="1"/>
    <s v="NO TIENE L3OUT"/>
    <n v="72"/>
    <n v="54"/>
  </r>
  <r>
    <n v="775"/>
    <x v="2"/>
    <x v="159"/>
    <s v="eth1/16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16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16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16"/>
    <x v="0"/>
    <x v="0"/>
    <x v="0"/>
    <s v="LINK_TO_ITHFHWCBSDSHD15 /Slot7.2 /Redundante"/>
    <x v="0"/>
    <b v="0"/>
    <s v="No está en VPC"/>
    <n v="830"/>
    <s v="INTPG_VPC_826_1.16_830_1.16"/>
    <s v="ISEL-1.16"/>
    <n v="2"/>
    <s v="NO TIENE L3OUT"/>
    <n v="12"/>
    <n v="54"/>
  </r>
  <r>
    <n v="821"/>
    <x v="2"/>
    <x v="163"/>
    <s v="eth1/16"/>
    <x v="0"/>
    <x v="0"/>
    <x v="0"/>
    <s v="LINK_TO_ITHFHWCBSPSHD15 /Slot7.2 /Redundante"/>
    <x v="0"/>
    <b v="0"/>
    <s v="No está en VPC"/>
    <n v="821"/>
    <s v="INTPG_VPC_816_1.16_821_1.16"/>
    <s v="ISEL-1.16"/>
    <n v="2"/>
    <s v="NO TIENE L3OUT"/>
    <n v="0"/>
    <n v="54"/>
  </r>
  <r>
    <n v="738"/>
    <x v="2"/>
    <x v="164"/>
    <s v="eth1/16"/>
    <x v="0"/>
    <x v="0"/>
    <x v="0"/>
    <s v="CEM:ITHCEMF2DAT08:FLEXIO P1"/>
    <x v="5"/>
    <b v="0"/>
    <s v="No está en VPC"/>
    <n v="738"/>
    <s v="INTPG_ACC_738_1.16"/>
    <s v="ISEL-1.16"/>
    <n v="1"/>
    <s v="NO TIENE L3OUT"/>
    <n v="72"/>
    <n v="54"/>
  </r>
  <r>
    <n v="820"/>
    <x v="2"/>
    <x v="165"/>
    <s v="eth1/16"/>
    <x v="0"/>
    <x v="0"/>
    <x v="0"/>
    <s v="LINK_TO_ITHHWCRMPEN03 /X2-10GE 6 /Redundante"/>
    <x v="0"/>
    <b v="0"/>
    <s v="No está en VPC"/>
    <n v="820"/>
    <s v="INTPG_VPC_820_1.15-16_18-19_825_1.1.15-16_18-19"/>
    <s v="ISEL-1.16"/>
    <n v="1"/>
    <s v="NO TIENE L3OUT"/>
    <n v="72"/>
    <n v="54"/>
  </r>
  <r>
    <n v="804"/>
    <x v="2"/>
    <x v="166"/>
    <s v="eth1/16"/>
    <x v="0"/>
    <x v="0"/>
    <x v="0"/>
    <s v="TO-HDPS_42-MSP"/>
    <x v="0"/>
    <b v="0"/>
    <s v="No está en VPC"/>
    <n v="804"/>
    <s v="INTPG_ACC_804_1.16"/>
    <s v="ISEL-1.16"/>
    <n v="1"/>
    <s v="NO TIENE L3OUT"/>
    <n v="48"/>
    <n v="54"/>
  </r>
  <r>
    <n v="779"/>
    <x v="2"/>
    <x v="167"/>
    <s v="eth1/16"/>
    <x v="0"/>
    <x v="0"/>
    <x v="0"/>
    <s v="ENIQ F1:itheniqr07nas2r2:LOM PORT 1"/>
    <x v="0"/>
    <b v="0"/>
    <s v="No está en VPC"/>
    <n v="779"/>
    <s v="INTPG_PC_779_1.16-19"/>
    <s v="ISEL-1.16"/>
    <n v="1"/>
    <s v="NO TIENE L3OUT"/>
    <n v="30"/>
    <n v="54"/>
  </r>
  <r>
    <n v="767"/>
    <x v="2"/>
    <x v="168"/>
    <s v="eth1/16"/>
    <x v="0"/>
    <x v="0"/>
    <x v="0"/>
    <s v="OSS_ENM"/>
    <x v="0"/>
    <b v="0"/>
    <s v="No está en VPC"/>
    <n v="767"/>
    <s v="INTPG_ACC_767_1.16"/>
    <s v="ISEL-1.16"/>
    <n v="1"/>
    <s v="NO TIENE L3OUT"/>
    <n v="60"/>
    <n v="54"/>
  </r>
  <r>
    <n v="827"/>
    <x v="2"/>
    <x v="169"/>
    <s v="eth1/16"/>
    <x v="0"/>
    <x v="0"/>
    <x v="0"/>
    <s v="LINK_TO_ITHFHWCBSDSUSBD10 /Slot4.2 /Principal"/>
    <x v="0"/>
    <b v="0"/>
    <s v="No está en VPC"/>
    <n v="827"/>
    <s v="INTPG_VPC_827_1.16_831_1.16"/>
    <s v="ISEL-1.16"/>
    <n v="1"/>
    <s v="NO TIENE L3OUT"/>
    <n v="14"/>
    <n v="54"/>
  </r>
  <r>
    <n v="809"/>
    <x v="2"/>
    <x v="170"/>
    <s v="eth1/16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16"/>
    <x v="0"/>
    <x v="0"/>
    <x v="0"/>
    <s v="Portchannel_7_R4A"/>
    <x v="0"/>
    <b v="0"/>
    <s v="No está en VPC"/>
    <n v="771"/>
    <s v="INTPG_PC_771_1.13-16"/>
    <s v="ISEL-1.16"/>
    <n v="1"/>
    <s v="NO TIENE L3OUT"/>
    <n v="62"/>
    <n v="54"/>
  </r>
  <r>
    <n v="761"/>
    <x v="2"/>
    <x v="172"/>
    <s v="eth1/16"/>
    <x v="0"/>
    <x v="1"/>
    <x v="1"/>
    <m/>
    <x v="0"/>
    <b v="0"/>
    <s v="No está en VPC"/>
    <n v="761"/>
    <s v="INTPG_VPC_760_1.13-16_761_1.13-16"/>
    <s v="ISEL-1.16"/>
    <n v="0"/>
    <s v="L3OUT-EXACLOUD"/>
    <n v="0"/>
    <n v="54"/>
  </r>
  <r>
    <n v="776"/>
    <x v="2"/>
    <x v="173"/>
    <s v="eth1/16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16"/>
    <x v="0"/>
    <x v="0"/>
    <x v="0"/>
    <s v="TO-HDPS_66-MSP"/>
    <x v="0"/>
    <b v="0"/>
    <s v="No está en VPC"/>
    <n v="805"/>
    <s v="INTPG_ACC_805_1.16"/>
    <s v="ISEL-1.16"/>
    <n v="1"/>
    <s v="NO TIENE L3OUT"/>
    <n v="44"/>
    <n v="54"/>
  </r>
  <r>
    <n v="772"/>
    <x v="2"/>
    <x v="175"/>
    <s v="eth1/16"/>
    <x v="0"/>
    <x v="0"/>
    <x v="0"/>
    <s v="TO-ITHFF5IOTUPLB02"/>
    <x v="0"/>
    <b v="0"/>
    <s v="No está en VPC"/>
    <n v="772"/>
    <s v="INTPG_VPC_772_1.16_773_1.12"/>
    <s v="ISEL-1.16"/>
    <n v="4"/>
    <s v="NO TIENE L3OUT"/>
    <n v="82"/>
    <n v="54"/>
  </r>
  <r>
    <n v="785"/>
    <x v="2"/>
    <x v="176"/>
    <s v="eth1/16"/>
    <x v="0"/>
    <x v="0"/>
    <x v="0"/>
    <s v="ENIQ F2:itheniqr12bl02nas2r6b:LOM PORT 1"/>
    <x v="0"/>
    <b v="0"/>
    <s v="No está en VPC"/>
    <n v="785"/>
    <s v="INTPG_PC_785_1.16-19"/>
    <s v="ISEL-1.16"/>
    <n v="1"/>
    <s v="NO TIENE L3OUT"/>
    <n v="32"/>
    <n v="54"/>
  </r>
  <r>
    <n v="851"/>
    <x v="2"/>
    <x v="177"/>
    <s v="eth1/16"/>
    <x v="0"/>
    <x v="0"/>
    <x v="0"/>
    <s v="LINK_TO_ITHFHWCRMPLCN106 / Slot7.1_16 / Redundante"/>
    <x v="0"/>
    <b v="0"/>
    <s v="No está en VPC"/>
    <n v="851"/>
    <s v="INTPG_ACC_851_1.16"/>
    <s v="ISEL-1.16"/>
    <n v="6"/>
    <s v="NO TIENE L3OUT"/>
    <n v="282"/>
    <n v="54"/>
  </r>
  <r>
    <n v="798"/>
    <x v="2"/>
    <x v="178"/>
    <s v="eth1/16"/>
    <x v="0"/>
    <x v="0"/>
    <x v="0"/>
    <s v="TO-IMC_PS04-MSP"/>
    <x v="0"/>
    <b v="0"/>
    <s v="No está en VPC"/>
    <n v="798"/>
    <s v="INTPG_ACC_798_1.16"/>
    <s v="ISEL-1.16"/>
    <n v="1"/>
    <s v="NO TIENE L3OUT"/>
    <n v="52"/>
    <n v="54"/>
  </r>
  <r>
    <n v="782"/>
    <x v="2"/>
    <x v="179"/>
    <s v="eth1/16"/>
    <x v="0"/>
    <x v="0"/>
    <x v="0"/>
    <s v="LACP_NAS2_ENIQ9A"/>
    <x v="0"/>
    <b v="0"/>
    <s v="No está en VPC"/>
    <n v="782"/>
    <s v="INTPG_PC_782_1.16-19"/>
    <s v="ISEL-1.16"/>
    <n v="1"/>
    <s v="NO TIENE L3OUT"/>
    <n v="32"/>
    <n v="54"/>
  </r>
  <r>
    <n v="852"/>
    <x v="2"/>
    <x v="180"/>
    <s v="eth1/16"/>
    <x v="0"/>
    <x v="0"/>
    <x v="0"/>
    <s v="LINK_TO_ITHFHWCRMPLCN89 / Slot7.2_10 / Redundante"/>
    <x v="0"/>
    <b v="0"/>
    <s v="No está en VPC"/>
    <n v="852"/>
    <s v="INTPG_ACC_852_1.16"/>
    <s v="ISEL-1.16"/>
    <n v="2"/>
    <s v="NO TIENE L3OUT"/>
    <n v="258"/>
    <n v="54"/>
  </r>
  <r>
    <n v="817"/>
    <x v="2"/>
    <x v="181"/>
    <s v="eth1/16"/>
    <x v="0"/>
    <x v="0"/>
    <x v="0"/>
    <s v="LINK_TO_ITHFHWCBSPSUSBD12 /Slot5.2 /Principal"/>
    <x v="0"/>
    <b v="0"/>
    <s v="No está en VPC"/>
    <n v="817"/>
    <s v="INTPG_VPC_817_1.16_822_1.16"/>
    <s v="ISEL-1.16"/>
    <n v="2"/>
    <s v="NO TIENE L3OUT"/>
    <n v="0"/>
    <n v="54"/>
  </r>
  <r>
    <n v="832"/>
    <x v="2"/>
    <x v="182"/>
    <s v="eth1/16"/>
    <x v="0"/>
    <x v="0"/>
    <x v="0"/>
    <s v="LINK_TO_ITHFHWCRMDLCN20 /Slot6.2 /Redundante"/>
    <x v="0"/>
    <b v="0"/>
    <s v="No está en VPC"/>
    <n v="832"/>
    <s v="INTPG_ACC_832_1.16"/>
    <s v="ISEL-1.16"/>
    <n v="1"/>
    <s v="NO TIENE L3OUT"/>
    <n v="192"/>
    <n v="54"/>
  </r>
  <r>
    <n v="816"/>
    <x v="2"/>
    <x v="183"/>
    <s v="eth1/16"/>
    <x v="0"/>
    <x v="0"/>
    <x v="0"/>
    <s v="LINK_TO_ITHFHWCBSPSHD15 /Slot5.2 /Principal"/>
    <x v="0"/>
    <b v="0"/>
    <s v="No está en VPC"/>
    <n v="816"/>
    <s v="INTPG_VPC_816_1.16_821_1.16"/>
    <s v="ISEL-1.16"/>
    <n v="2"/>
    <s v="NO TIENE L3OUT"/>
    <n v="0"/>
    <n v="54"/>
  </r>
  <r>
    <n v="825"/>
    <x v="2"/>
    <x v="184"/>
    <s v="eth1/16"/>
    <x v="0"/>
    <x v="0"/>
    <x v="0"/>
    <s v="LINK_TO_ITHHWCRMPEN03 /X2-10GE 5 /Principal"/>
    <x v="0"/>
    <b v="0"/>
    <s v="No está en VPC"/>
    <n v="825"/>
    <s v="INTPG_VPC_820_1.15-16_18-19_825_1.1.15-16_18-19"/>
    <s v="ISEL-1.16"/>
    <n v="1"/>
    <s v="NO TIENE L3OUT"/>
    <n v="72"/>
    <n v="54"/>
  </r>
  <r>
    <n v="800"/>
    <x v="2"/>
    <x v="185"/>
    <s v="eth1/16"/>
    <x v="0"/>
    <x v="0"/>
    <x v="0"/>
    <s v="TO-WES_01-MSP"/>
    <x v="0"/>
    <b v="0"/>
    <s v="No está en VPC"/>
    <n v="800"/>
    <s v="INTPG_ACC_800_1.16"/>
    <s v="ISEL-1.16"/>
    <n v="1"/>
    <s v="NO TIENE L3OUT"/>
    <n v="78"/>
    <n v="54"/>
  </r>
  <r>
    <n v="801"/>
    <x v="2"/>
    <x v="186"/>
    <s v="eth1/16"/>
    <x v="0"/>
    <x v="1"/>
    <x v="1"/>
    <s v="TO-WES_01-MSP"/>
    <x v="0"/>
    <b v="0"/>
    <s v="No está en VPC"/>
    <n v="801"/>
    <s v="INTPG_ACC_801_1.16"/>
    <s v="ISEL-1.16"/>
    <n v="1"/>
    <s v="NO TIENE L3OUT"/>
    <n v="78"/>
    <n v="54"/>
  </r>
  <r>
    <n v="823"/>
    <x v="2"/>
    <x v="187"/>
    <s v="eth1/16"/>
    <x v="0"/>
    <x v="0"/>
    <x v="0"/>
    <s v="LINK_TO_ITHFHWCBSPSUSBD17 /Slot6.2 /Redundante"/>
    <x v="0"/>
    <b v="0"/>
    <s v="No está en VPC"/>
    <n v="823"/>
    <s v="INTPG_VPC_818_1.16_823_1.16"/>
    <s v="ISEL-1.16"/>
    <n v="1"/>
    <s v="NO TIENE L3OUT"/>
    <n v="8"/>
    <n v="54"/>
  </r>
  <r>
    <n v="837"/>
    <x v="2"/>
    <x v="188"/>
    <s v="eth1/16"/>
    <x v="0"/>
    <x v="0"/>
    <x v="0"/>
    <s v="LINK_TO_ITHFHWCBSPSUSBD30 / Slot1.3_10 / Principal"/>
    <x v="0"/>
    <b v="0"/>
    <s v="No está en VPC"/>
    <n v="837"/>
    <s v="INTPG_VPC_837_1.16_842_1.16"/>
    <s v="ISEL-1.16"/>
    <n v="1"/>
    <s v="NO TIENE L3OUT"/>
    <n v="8"/>
    <n v="54"/>
  </r>
  <r>
    <n v="867"/>
    <x v="2"/>
    <x v="189"/>
    <s v="eth1/16"/>
    <x v="0"/>
    <x v="0"/>
    <x v="0"/>
    <s v="TO-ITHFSUEXG2XCN04_PCI8.P2"/>
    <x v="0"/>
    <b v="0"/>
    <s v="No está en VPC"/>
    <n v="867"/>
    <s v="INTPG_ACC_867_1.16"/>
    <s v="ISEL-1.16"/>
    <n v="2"/>
    <s v="NO TIENE L3OUT"/>
    <n v="44"/>
    <n v="54"/>
  </r>
  <r>
    <n v="829"/>
    <x v="2"/>
    <x v="190"/>
    <s v="eth1/16"/>
    <x v="0"/>
    <x v="0"/>
    <x v="0"/>
    <s v="LINK_TO_ITHFHWCRMDLCN33 /Slot7.2 /Redundante"/>
    <x v="0"/>
    <b v="0"/>
    <s v="No está en VPC"/>
    <n v="829"/>
    <s v="INTPG_ACC_829_1.16"/>
    <s v="ISEL-1.16"/>
    <n v="5"/>
    <s v="NO TIENE L3OUT"/>
    <n v="224"/>
    <n v="54"/>
  </r>
  <r>
    <n v="831"/>
    <x v="2"/>
    <x v="191"/>
    <s v="eth1/16"/>
    <x v="0"/>
    <x v="0"/>
    <x v="0"/>
    <s v="LINK_TO_ITHFHWCBSDSUSBD10 /Slot6.2 /Redundante"/>
    <x v="0"/>
    <b v="0"/>
    <s v="No está en VPC"/>
    <n v="831"/>
    <s v="INTPG_VPC_827_1.16_831_1.16"/>
    <s v="ISEL-1.16"/>
    <n v="1"/>
    <s v="NO TIENE L3OUT"/>
    <n v="14"/>
    <n v="54"/>
  </r>
  <r>
    <n v="802"/>
    <x v="2"/>
    <x v="192"/>
    <s v="eth1/16"/>
    <x v="0"/>
    <x v="0"/>
    <x v="0"/>
    <s v="TO-HDPS_18-MSP"/>
    <x v="0"/>
    <b v="0"/>
    <s v="No está en VPC"/>
    <n v="802"/>
    <s v="INTPG_ACC_802_1.16"/>
    <s v="ISEL-1.16"/>
    <n v="1"/>
    <s v="NO TIENE L3OUT"/>
    <n v="48"/>
    <n v="54"/>
  </r>
  <r>
    <n v="835"/>
    <x v="2"/>
    <x v="193"/>
    <s v="eth1/16"/>
    <x v="0"/>
    <x v="0"/>
    <x v="0"/>
    <s v="LINK_TO_ITHFHWCBSPSWR59 / Slot1.1_30 / Principal"/>
    <x v="0"/>
    <b v="0"/>
    <s v="No está en VPC"/>
    <n v="835"/>
    <s v="INTPG_VPC_835_1.16_840_1.16"/>
    <s v="ISEL-1.16"/>
    <n v="2"/>
    <s v="NO TIENE L3OUT"/>
    <n v="8"/>
    <n v="54"/>
  </r>
  <r>
    <n v="822"/>
    <x v="2"/>
    <x v="194"/>
    <s v="eth1/16"/>
    <x v="0"/>
    <x v="0"/>
    <x v="0"/>
    <s v="LINK_TO_ITHFHWCBSPSUSBD12 /Slot7.2 /Redundante"/>
    <x v="0"/>
    <b v="0"/>
    <s v="No está en VPC"/>
    <n v="822"/>
    <s v="INTPG_VPC_817_1.16_822_1.16"/>
    <s v="ISEL-1.16"/>
    <n v="2"/>
    <s v="NO TIENE L3OUT"/>
    <n v="0"/>
    <n v="54"/>
  </r>
  <r>
    <n v="854"/>
    <x v="2"/>
    <x v="195"/>
    <s v="eth1/16"/>
    <x v="0"/>
    <x v="0"/>
    <x v="0"/>
    <s v="LINK_TO_ITHFHWCRMPLCN170 / Slot1.3_10 / Principal"/>
    <x v="0"/>
    <b v="0"/>
    <s v="No está en VPC"/>
    <n v="854"/>
    <s v="INTPG_ACC_854_1.16"/>
    <s v="ISEL-1.16"/>
    <n v="1"/>
    <s v="NO TIENE L3OUT"/>
    <n v="204"/>
    <n v="54"/>
  </r>
  <r>
    <n v="858"/>
    <x v="2"/>
    <x v="196"/>
    <s v="eth1/16"/>
    <x v="0"/>
    <x v="0"/>
    <x v="0"/>
    <s v="To_VPC_2DCBSD_HD42_1"/>
    <x v="0"/>
    <b v="0"/>
    <s v="No está en VPC"/>
    <n v="858"/>
    <s v="INTPG_VPC_858_1.16_863_1.16"/>
    <s v="ISEL-1.16"/>
    <n v="2"/>
    <s v="NO TIENE L3OUT"/>
    <n v="8"/>
    <n v="54"/>
  </r>
  <r>
    <n v="857"/>
    <x v="2"/>
    <x v="197"/>
    <s v="eth1/16"/>
    <x v="0"/>
    <x v="0"/>
    <x v="0"/>
    <s v="LINKT_TO_ITHFHWCRMPLCN120 / Slot1.3_10 / Principal"/>
    <x v="0"/>
    <b v="0"/>
    <s v="No está en VPC"/>
    <n v="857"/>
    <s v="INTPG_ACC_857_1.16"/>
    <s v="ISEL-1.16"/>
    <n v="1"/>
    <s v="NO TIENE L3OUT"/>
    <n v="288"/>
    <n v="54"/>
  </r>
  <r>
    <n v="859"/>
    <x v="2"/>
    <x v="198"/>
    <s v="eth1/16"/>
    <x v="0"/>
    <x v="0"/>
    <x v="0"/>
    <s v="To_VPC_2DCBSD_HD36_1"/>
    <x v="0"/>
    <b v="0"/>
    <s v="No está en VPC"/>
    <n v="859"/>
    <s v="INTPG_VPC_859_1.16_864_1.16"/>
    <s v="ISEL-1.16"/>
    <n v="2"/>
    <s v="NO TIENE L3OUT"/>
    <n v="0"/>
    <n v="54"/>
  </r>
  <r>
    <n v="833"/>
    <x v="2"/>
    <x v="199"/>
    <s v="eth1/16"/>
    <x v="0"/>
    <x v="0"/>
    <x v="0"/>
    <s v="LINK_TO_ITHFHWCRMDLCN33 /Slot5.2 /Principal"/>
    <x v="0"/>
    <b v="0"/>
    <s v="No está en VPC"/>
    <n v="833"/>
    <s v="INTPG_ACC_833_1.16"/>
    <s v="ISEL-1.16"/>
    <n v="5"/>
    <s v="NO TIENE L3OUT"/>
    <n v="224"/>
    <n v="54"/>
  </r>
  <r>
    <n v="818"/>
    <x v="2"/>
    <x v="200"/>
    <s v="eth1/16"/>
    <x v="0"/>
    <x v="0"/>
    <x v="0"/>
    <s v="LINK_TO_ITHFHWCBSPSUSBD17 /Slot4.2 /Principal"/>
    <x v="0"/>
    <b v="0"/>
    <s v="No está en VPC"/>
    <n v="818"/>
    <s v="INTPG_VPC_818_1.16_823_1.16"/>
    <s v="ISEL-1.16"/>
    <n v="1"/>
    <s v="NO TIENE L3OUT"/>
    <n v="8"/>
    <n v="54"/>
  </r>
  <r>
    <n v="850"/>
    <x v="2"/>
    <x v="201"/>
    <s v="eth1/16"/>
    <x v="0"/>
    <x v="0"/>
    <x v="0"/>
    <s v="LINKT_TO_ITHFHWCRMPLCN120 / Slot7.3_10 / Redundante"/>
    <x v="0"/>
    <b v="0"/>
    <s v="No está en VPC"/>
    <n v="850"/>
    <s v="INTPG_ACC_850_1.16"/>
    <s v="ISEL-1.16"/>
    <n v="1"/>
    <s v="NO TIENE L3OUT"/>
    <n v="288"/>
    <n v="54"/>
  </r>
  <r>
    <n v="860"/>
    <x v="2"/>
    <x v="202"/>
    <s v="eth1/16"/>
    <x v="0"/>
    <x v="0"/>
    <x v="0"/>
    <s v="To_VPC_2DCBSD_HD28_1"/>
    <x v="0"/>
    <b v="0"/>
    <s v="No está en VPC"/>
    <n v="860"/>
    <s v="INTPG_VPC_860_1.16_865_1.16"/>
    <s v="ISEL-1.16"/>
    <n v="2"/>
    <s v="NO TIENE L3OUT"/>
    <n v="0"/>
    <n v="54"/>
  </r>
  <r>
    <n v="853"/>
    <x v="2"/>
    <x v="203"/>
    <s v="eth1/16"/>
    <x v="0"/>
    <x v="0"/>
    <x v="0"/>
    <s v="LINK_TO_ITHFHWCRMPLCN77 / Slot7.1_12 / Redundante"/>
    <x v="0"/>
    <b v="0"/>
    <s v="No está en VPC"/>
    <n v="853"/>
    <s v="INTPG_ACC_853_1.16"/>
    <s v="ISEL-1.16"/>
    <n v="6"/>
    <s v="NO TIENE L3OUT"/>
    <n v="242"/>
    <n v="54"/>
  </r>
  <r>
    <n v="790"/>
    <x v="2"/>
    <x v="204"/>
    <s v="eth1/16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16"/>
    <x v="0"/>
    <x v="0"/>
    <x v="0"/>
    <s v="NETEZZA"/>
    <x v="6"/>
    <b v="0"/>
    <s v="No está en VPC"/>
    <n v="105"/>
    <s v="INTPG_ACC_105_1.16"/>
    <s v="ISEL-1.16"/>
    <n v="1"/>
    <s v="NO TIENE L3OUT"/>
    <n v="106"/>
    <n v="96"/>
  </r>
  <r>
    <n v="117"/>
    <x v="0"/>
    <x v="206"/>
    <s v="eth1/16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16"/>
    <x v="0"/>
    <x v="1"/>
    <x v="1"/>
    <s v="SFLDI"/>
    <x v="6"/>
    <b v="0"/>
    <s v="No está en VPC"/>
    <n v="104"/>
    <s v="INTPG_ACC_104_1.16"/>
    <s v="ISEL-1.16"/>
    <n v="1"/>
    <s v="NO TIENE L3OUT"/>
    <n v="194"/>
    <n v="96"/>
  </r>
  <r>
    <n v="158"/>
    <x v="0"/>
    <x v="208"/>
    <s v="eth1/16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16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16"/>
    <x v="0"/>
    <x v="0"/>
    <x v="0"/>
    <s v="HACIA_CSI-A-OSCP-F4-16_SECUNDARIO"/>
    <x v="4"/>
    <b v="0"/>
    <s v="No está en VPC"/>
    <n v="879"/>
    <s v="INTPG_VPC_878_1.16_879_1.16"/>
    <s v="ISEL-1.16"/>
    <n v="2"/>
    <s v="NO TIENE L3OUT"/>
    <n v="0"/>
    <n v="54"/>
  </r>
  <r>
    <n v="108"/>
    <x v="0"/>
    <x v="211"/>
    <s v="eth1/16"/>
    <x v="0"/>
    <x v="0"/>
    <x v="0"/>
    <s v="TELLABS"/>
    <x v="6"/>
    <b v="0"/>
    <s v="No está en VPC"/>
    <n v="108"/>
    <s v="INTPG_ACC_108_1.16"/>
    <s v="ISEL-1.16"/>
    <n v="1"/>
    <s v="NO TIENE L3OUT"/>
    <n v="126"/>
    <n v="96"/>
  </r>
  <r>
    <n v="112"/>
    <x v="0"/>
    <x v="212"/>
    <s v="eth1/16"/>
    <x v="0"/>
    <x v="0"/>
    <x v="0"/>
    <s v="SECAM"/>
    <x v="6"/>
    <b v="0"/>
    <s v="No está en VPC"/>
    <n v="112"/>
    <s v="INTPG_ACC_112_1.16"/>
    <s v="ISEL-1.16"/>
    <n v="1"/>
    <s v="NO TIENE L3OUT"/>
    <n v="144"/>
    <n v="96"/>
  </r>
  <r>
    <n v="107"/>
    <x v="0"/>
    <x v="213"/>
    <s v="eth1/16"/>
    <x v="0"/>
    <x v="0"/>
    <x v="0"/>
    <m/>
    <x v="6"/>
    <b v="0"/>
    <s v="No está en VPC"/>
    <n v="107"/>
    <s v="INTPG_ACC_107_1.16"/>
    <s v="ISEL-1.16"/>
    <n v="1"/>
    <s v="NO TIENE L3OUT"/>
    <n v="118"/>
    <n v="96"/>
  </r>
  <r>
    <n v="109"/>
    <x v="0"/>
    <x v="214"/>
    <s v="eth1/16"/>
    <x v="0"/>
    <x v="0"/>
    <x v="0"/>
    <s v="TELLABS"/>
    <x v="6"/>
    <b v="0"/>
    <s v="No está en VPC"/>
    <n v="109"/>
    <s v="INTPG_ACC_109_1.16"/>
    <s v="ISEL-1.16"/>
    <n v="1"/>
    <s v="NO TIENE L3OUT"/>
    <n v="126"/>
    <n v="96"/>
  </r>
  <r>
    <n v="113"/>
    <x v="0"/>
    <x v="215"/>
    <s v="eth1/16"/>
    <x v="0"/>
    <x v="0"/>
    <x v="0"/>
    <s v="TO-ITHFERNTCTRIS01-Principal"/>
    <x v="6"/>
    <b v="0"/>
    <s v="No está en VPC"/>
    <n v="113"/>
    <s v="INTPG_ACC_113_1.16"/>
    <s v="ISEL-1.16"/>
    <n v="1"/>
    <s v="NO TIENE L3OUT"/>
    <n v="52"/>
    <n v="96"/>
  </r>
  <r>
    <n v="114"/>
    <x v="0"/>
    <x v="216"/>
    <s v="eth1/16"/>
    <x v="1"/>
    <x v="1"/>
    <x v="2"/>
    <s v="APROVISIONAMIENTO DE SERVICIOS"/>
    <x v="6"/>
    <b v="0"/>
    <s v="No está en VPC"/>
    <n v="114"/>
    <s v="INTPG_ACC_114_1.16"/>
    <s v="ISEL-1.16"/>
    <n v="1"/>
    <s v="NO TIENE L3OUT"/>
    <n v="144"/>
    <n v="96"/>
  </r>
  <r>
    <n v="124"/>
    <x v="0"/>
    <x v="217"/>
    <s v="eth1/16"/>
    <x v="0"/>
    <x v="1"/>
    <x v="1"/>
    <s v="UXSVA (M5000)"/>
    <x v="6"/>
    <b v="0"/>
    <s v="No está en VPC"/>
    <n v="124"/>
    <s v="INTPG_ACC_124_1.16"/>
    <s v="ISEL-1.16"/>
    <n v="1"/>
    <s v="NO TIENE L3OUT"/>
    <n v="80"/>
    <n v="96"/>
  </r>
  <r>
    <n v="118"/>
    <x v="0"/>
    <x v="218"/>
    <s v="eth1/16"/>
    <x v="0"/>
    <x v="1"/>
    <x v="1"/>
    <s v="COBROS NAVEGACION"/>
    <x v="6"/>
    <b v="0"/>
    <s v="No está en VPC"/>
    <n v="118"/>
    <s v="INTPG_ACC_118_1.16"/>
    <s v="ISEL-1.16"/>
    <n v="1"/>
    <s v="NO TIENE L3OUT"/>
    <n v="180"/>
    <n v="96"/>
  </r>
  <r>
    <n v="159"/>
    <x v="0"/>
    <x v="219"/>
    <s v="eth1/16"/>
    <x v="0"/>
    <x v="0"/>
    <x v="0"/>
    <m/>
    <x v="6"/>
    <b v="0"/>
    <s v="No está en VPC"/>
    <n v="159"/>
    <s v="INTPG_ACC_159_1.16"/>
    <s v="ISEL-1.16"/>
    <n v="1"/>
    <s v="NO TIENE L3OUT"/>
    <n v="72"/>
    <n v="96"/>
  </r>
  <r>
    <n v="840"/>
    <x v="2"/>
    <x v="220"/>
    <s v="eth1/16"/>
    <x v="0"/>
    <x v="0"/>
    <x v="0"/>
    <s v="LINK_TO_ITHFHWCBSPSWR59 / Slot7.1_30 / Redundante"/>
    <x v="0"/>
    <b v="0"/>
    <s v="No está en VPC"/>
    <n v="840"/>
    <s v="INTPG_VPC_835_1.16_840_1.16"/>
    <s v="ISEL-1.16"/>
    <n v="2"/>
    <s v="NO TIENE L3OUT"/>
    <n v="8"/>
    <n v="54"/>
  </r>
  <r>
    <n v="856"/>
    <x v="2"/>
    <x v="221"/>
    <s v="eth1/16"/>
    <x v="0"/>
    <x v="0"/>
    <x v="0"/>
    <s v="LINK_TO_ITHFHWCRMPLCN139 / Slot1.3_12 / Principal"/>
    <x v="0"/>
    <b v="0"/>
    <s v="No está en VPC"/>
    <n v="856"/>
    <s v="INTPG_ACC_856_1.16"/>
    <s v="ISEL-1.16"/>
    <n v="1"/>
    <s v="NO TIENE L3OUT"/>
    <n v="286"/>
    <n v="54"/>
  </r>
  <r>
    <n v="110"/>
    <x v="0"/>
    <x v="222"/>
    <s v="eth1/16"/>
    <x v="0"/>
    <x v="0"/>
    <x v="0"/>
    <s v="DESC"/>
    <x v="6"/>
    <b v="0"/>
    <s v="No está en VPC"/>
    <n v="110"/>
    <s v="INTPG_PC_110_1.15-16_22-23_30"/>
    <s v="ISEL-1.16"/>
    <n v="1"/>
    <s v="NO TIENE L3OUT"/>
    <n v="102"/>
    <n v="96"/>
  </r>
  <r>
    <n v="163"/>
    <x v="0"/>
    <x v="223"/>
    <s v="eth1/16"/>
    <x v="0"/>
    <x v="0"/>
    <x v="0"/>
    <s v="SICOP"/>
    <x v="6"/>
    <b v="0"/>
    <s v="No está en VPC"/>
    <n v="163"/>
    <s v="INTPG_ACC_163_1.16"/>
    <s v="ISEL-1.16"/>
    <n v="1"/>
    <s v="NO TIENE L3OUT"/>
    <n v="140"/>
    <n v="96"/>
  </r>
  <r>
    <n v="407"/>
    <x v="1"/>
    <x v="224"/>
    <s v="eth1/16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16"/>
    <x v="0"/>
    <x v="0"/>
    <x v="0"/>
    <s v="Ubicaci\u00f3n f\u00edsica donde se requiere la nueva carga: SITE MODULO 1"/>
    <x v="6"/>
    <b v="0"/>
    <s v="No está en VPC"/>
    <n v="171"/>
    <s v="INTPG_ACC_171_1.16"/>
    <s v="ISEL-1.16"/>
    <n v="1"/>
    <s v="NO TIENE L3OUT"/>
    <n v="114"/>
    <n v="96"/>
  </r>
  <r>
    <n v="421"/>
    <x v="1"/>
    <x v="226"/>
    <s v="eth1/16"/>
    <x v="0"/>
    <x v="1"/>
    <x v="4"/>
    <s v="VMS_HW_SIP"/>
    <x v="6"/>
    <b v="0"/>
    <s v="No está en VPC"/>
    <n v="421"/>
    <s v="INTPG_VPC_419_1.16_421_1.16"/>
    <s v="ISEL-1.16"/>
    <n v="1"/>
    <s v="NO TIENE L3OUT"/>
    <n v="72"/>
    <n v="96"/>
  </r>
  <r>
    <n v="173"/>
    <x v="0"/>
    <x v="227"/>
    <s v="eth1/16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16"/>
    <x v="0"/>
    <x v="0"/>
    <x v="0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16"/>
    <x v="0"/>
    <x v="0"/>
    <x v="0"/>
    <s v="SOP-EAGLE"/>
    <x v="6"/>
    <b v="0"/>
    <s v="No está en VPC"/>
    <n v="172"/>
    <s v="INTPG_ACC_172_1.16"/>
    <s v="ISEL-1.16"/>
    <n v="1"/>
    <s v="NO TIENE L3OUT"/>
    <n v="104"/>
    <n v="96"/>
  </r>
  <r>
    <n v="420"/>
    <x v="1"/>
    <x v="230"/>
    <s v="eth1/16"/>
    <x v="0"/>
    <x v="0"/>
    <x v="0"/>
    <s v="sfmevp01"/>
    <x v="6"/>
    <b v="0"/>
    <s v="No está en VPC"/>
    <n v="420"/>
    <s v="INTPG_ACC_420_1.16"/>
    <s v="ISEL-1.16"/>
    <n v="1"/>
    <s v="NO TIENE L3OUT"/>
    <n v="158"/>
    <n v="96"/>
  </r>
  <r>
    <n v="423"/>
    <x v="1"/>
    <x v="231"/>
    <s v="eth1/16"/>
    <x v="0"/>
    <x v="0"/>
    <x v="0"/>
    <s v="ITHVC2_eth0_IPMP-Activa"/>
    <x v="6"/>
    <b v="0"/>
    <s v="No está en VPC"/>
    <n v="423"/>
    <s v="INTPG_ACC_423_1.16"/>
    <s v="ISEL-1.16"/>
    <n v="1"/>
    <s v="NO TIENE L3OUT"/>
    <n v="86"/>
    <n v="96"/>
  </r>
  <r>
    <n v="415"/>
    <x v="1"/>
    <x v="232"/>
    <s v="eth1/16"/>
    <x v="0"/>
    <x v="0"/>
    <x v="0"/>
    <s v="TIMEPICTRA-CONSOLA"/>
    <x v="6"/>
    <b v="0"/>
    <s v="No está en VPC"/>
    <n v="415"/>
    <s v="INTPG_ACC_415_1.16"/>
    <s v="ISEL-1.16"/>
    <n v="1"/>
    <s v="NO TIENE L3OUT"/>
    <n v="52"/>
    <n v="96"/>
  </r>
  <r>
    <n v="102"/>
    <x v="0"/>
    <x v="233"/>
    <s v="eth1/16"/>
    <x v="0"/>
    <x v="0"/>
    <x v="0"/>
    <s v="SFLDI:RLDICDR04:1"/>
    <x v="6"/>
    <b v="0"/>
    <s v="No está en VPC"/>
    <n v="102"/>
    <s v="INTPG_ACC_102_1.16"/>
    <s v="ISEL-1.16"/>
    <n v="1"/>
    <s v="NO TIENE L3OUT"/>
    <n v="228"/>
    <n v="96"/>
  </r>
  <r>
    <n v="863"/>
    <x v="2"/>
    <x v="234"/>
    <s v="eth1/16"/>
    <x v="0"/>
    <x v="0"/>
    <x v="0"/>
    <s v="To_VPC_2DCBSD_HD42_1"/>
    <x v="0"/>
    <b v="0"/>
    <s v="No está en VPC"/>
    <n v="863"/>
    <s v="INTPG_VPC_858_1.16_863_1.16"/>
    <s v="ISEL-1.16"/>
    <n v="2"/>
    <s v="NO TIENE L3OUT"/>
    <n v="8"/>
    <n v="54"/>
  </r>
  <r>
    <n v="876"/>
    <x v="2"/>
    <x v="235"/>
    <s v="eth1/16"/>
    <x v="0"/>
    <x v="0"/>
    <x v="0"/>
    <s v="LINK_TO_ITHFHWSEQLIMPS27 / Slot 4 PTO 1 / Principal"/>
    <x v="4"/>
    <b v="0"/>
    <s v="No está en VPC"/>
    <n v="876"/>
    <s v="INTPG_ACC_876_1.16"/>
    <s v="ISEL-1.16"/>
    <n v="1"/>
    <s v="NO TIENE L3OUT"/>
    <n v="92"/>
    <n v="54"/>
  </r>
  <r>
    <n v="877"/>
    <x v="2"/>
    <x v="236"/>
    <s v="eth1/16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16"/>
    <x v="0"/>
    <x v="1"/>
    <x v="1"/>
    <s v="ixtamws1"/>
    <x v="6"/>
    <b v="0"/>
    <s v="No está en VPC"/>
    <n v="122"/>
    <s v="INTPG_ACC_122_1.16"/>
    <s v="ISEL-1.16"/>
    <n v="1"/>
    <s v="NO TIENE L3OUT"/>
    <n v="148"/>
    <n v="96"/>
  </r>
  <r>
    <n v="157"/>
    <x v="0"/>
    <x v="238"/>
    <s v="eth1/16"/>
    <x v="1"/>
    <x v="1"/>
    <x v="2"/>
    <s v="Consolidaci\u00f3n Aplicaciones Prepago"/>
    <x v="6"/>
    <b v="0"/>
    <s v="No está en VPC"/>
    <n v="157"/>
    <s v="INTPG_ACC_157_1.16"/>
    <s v="ISEL-1.16"/>
    <n v="0"/>
    <s v="NO TIENE L3OUT"/>
    <n v="202"/>
    <n v="96"/>
  </r>
  <r>
    <n v="408"/>
    <x v="1"/>
    <x v="239"/>
    <s v="eth1/16"/>
    <x v="0"/>
    <x v="0"/>
    <x v="0"/>
    <s v="RESPAL_CS5_ASAP8"/>
    <x v="6"/>
    <b v="0"/>
    <s v="No está en VPC"/>
    <n v="408"/>
    <s v="INTPG_ACC_408_1.16"/>
    <s v="ISEL-1.16"/>
    <n v="1"/>
    <s v="NO TIENE L3OUT"/>
    <n v="152"/>
    <n v="96"/>
  </r>
  <r>
    <n v="405"/>
    <x v="1"/>
    <x v="240"/>
    <s v="eth1/16"/>
    <x v="0"/>
    <x v="0"/>
    <x v="0"/>
    <s v="XL5 RLR5ARI06 iLO"/>
    <x v="6"/>
    <b v="0"/>
    <s v="No está en VPC"/>
    <n v="405"/>
    <s v="INTPG_ACC_405_1.16"/>
    <s v="ISEL-1.16"/>
    <n v="1"/>
    <s v="NO TIENE L3OUT"/>
    <n v="138"/>
    <n v="96"/>
  </r>
  <r>
    <n v="169"/>
    <x v="0"/>
    <x v="241"/>
    <s v="eth1/16"/>
    <x v="1"/>
    <x v="1"/>
    <x v="2"/>
    <s v="MMSC_WAPGW"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16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16"/>
    <x v="0"/>
    <x v="0"/>
    <x v="0"/>
    <s v="IXTSRM2"/>
    <x v="6"/>
    <b v="0"/>
    <s v="No está en VPC"/>
    <n v="417"/>
    <s v="INTPG_ACC_417_1.16"/>
    <s v="ISEL-1.16"/>
    <n v="1"/>
    <s v="NO TIENE L3OUT"/>
    <n v="56"/>
    <n v="96"/>
  </r>
  <r>
    <n v="153"/>
    <x v="0"/>
    <x v="244"/>
    <s v="eth1/16"/>
    <x v="0"/>
    <x v="1"/>
    <x v="1"/>
    <s v="BLOQUEO EMEI"/>
    <x v="6"/>
    <b v="0"/>
    <s v="No está en VPC"/>
    <n v="153"/>
    <s v="INTPG_ACC_153_1.16"/>
    <s v="ISEL-1.16"/>
    <n v="1"/>
    <s v="NO TIENE L3OUT"/>
    <n v="42"/>
    <n v="96"/>
  </r>
  <r>
    <n v="119"/>
    <x v="0"/>
    <x v="245"/>
    <s v="eth1/16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16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16"/>
    <x v="0"/>
    <x v="0"/>
    <x v="0"/>
    <s v="DATOS LENOVO"/>
    <x v="6"/>
    <b v="0"/>
    <s v="No está en VPC"/>
    <n v="103"/>
    <s v="INTPG_ACC_103_1.16"/>
    <s v="ISEL-1.16"/>
    <n v="1"/>
    <s v="NO TIENE L3OUT"/>
    <n v="70"/>
    <n v="96"/>
  </r>
  <r>
    <n v="438"/>
    <x v="1"/>
    <x v="248"/>
    <s v="eth1/16"/>
    <x v="0"/>
    <x v="0"/>
    <x v="0"/>
    <s v="MIGRACION_SAP-BO2"/>
    <x v="6"/>
    <b v="0"/>
    <s v="No está en VPC"/>
    <n v="438"/>
    <s v="INTPG_VPC_436_1.16_438_1.16"/>
    <s v="ISEL-1.16"/>
    <n v="1"/>
    <s v="NO TIENE L3OUT"/>
    <n v="170"/>
    <n v="96"/>
  </r>
  <r>
    <n v="406"/>
    <x v="1"/>
    <x v="249"/>
    <s v="eth1/16"/>
    <x v="0"/>
    <x v="0"/>
    <x v="0"/>
    <s v="ITHRTC32VC2"/>
    <x v="6"/>
    <b v="0"/>
    <s v="No está en VPC"/>
    <n v="406"/>
    <s v="INTPG_VPC_404_1.16_406_1.16"/>
    <s v="ISEL-1.16"/>
    <n v="1"/>
    <s v="NO TIENE L3OUT"/>
    <n v="82"/>
    <n v="96"/>
  </r>
  <r>
    <n v="414"/>
    <x v="1"/>
    <x v="250"/>
    <s v="eth1/16"/>
    <x v="0"/>
    <x v="0"/>
    <x v="0"/>
    <s v="9UCS-IXTLA-WEBEX-SERV3"/>
    <x v="6"/>
    <b v="0"/>
    <s v="No está en VPC"/>
    <n v="414"/>
    <s v="INTPG_ACC_414_1.16"/>
    <s v="ISEL-1.16"/>
    <n v="1"/>
    <s v="NO TIENE L3OUT"/>
    <n v="144"/>
    <n v="96"/>
  </r>
  <r>
    <n v="416"/>
    <x v="1"/>
    <x v="251"/>
    <s v="eth1/16"/>
    <x v="0"/>
    <x v="1"/>
    <x v="5"/>
    <s v="sfroap07-ROAMINGCSG_CLIENT2"/>
    <x v="6"/>
    <b v="0"/>
    <s v="No está en VPC"/>
    <n v="416"/>
    <s v="INTPG_VPC_416_1.16_418_1.16"/>
    <s v="ISEL-1.16"/>
    <n v="1"/>
    <s v="NO TIENE L3OUT"/>
    <n v="110"/>
    <n v="96"/>
  </r>
  <r>
    <n v="418"/>
    <x v="1"/>
    <x v="252"/>
    <s v="eth1/16"/>
    <x v="0"/>
    <x v="1"/>
    <x v="5"/>
    <s v="sfroap07-ROAMINGCSG_CLIENT2"/>
    <x v="6"/>
    <b v="0"/>
    <s v="No está en VPC"/>
    <n v="418"/>
    <s v="INTPG_VPC_416_1.16_418_1.16"/>
    <s v="ISEL-1.16"/>
    <n v="1"/>
    <s v="NO TIENE L3OUT"/>
    <n v="152"/>
    <n v="96"/>
  </r>
  <r>
    <n v="413"/>
    <x v="1"/>
    <x v="253"/>
    <s v="eth1/16"/>
    <x v="0"/>
    <x v="0"/>
    <x v="0"/>
    <s v="lagidmhlapvp06_produccion1"/>
    <x v="6"/>
    <b v="0"/>
    <s v="No está en VPC"/>
    <n v="413"/>
    <s v="INTPG_VPC_411_1.21-24_413_1.14-17"/>
    <s v="ISEL-1.16"/>
    <n v="2"/>
    <s v="NO TIENE L3OUT"/>
    <n v="126"/>
    <n v="96"/>
  </r>
  <r>
    <n v="403"/>
    <x v="1"/>
    <x v="254"/>
    <s v="eth1/16"/>
    <x v="0"/>
    <x v="0"/>
    <x v="0"/>
    <s v="XL5 RLR5ARI06"/>
    <x v="6"/>
    <b v="0"/>
    <s v="No está en VPC"/>
    <n v="403"/>
    <s v="INTPG_ACC_403_1.16"/>
    <s v="ISEL-1.16"/>
    <n v="1"/>
    <s v="NO TIENE L3OUT"/>
    <n v="150"/>
    <n v="96"/>
  </r>
  <r>
    <n v="125"/>
    <x v="0"/>
    <x v="255"/>
    <s v="eth1/16"/>
    <x v="0"/>
    <x v="1"/>
    <x v="1"/>
    <s v="GSM_ENIQ_TIJ"/>
    <x v="6"/>
    <b v="0"/>
    <s v="No está en VPC"/>
    <n v="125"/>
    <s v="INTPG_VPC_124_1.11_125_1.16"/>
    <s v="ISEL-1.16"/>
    <n v="10"/>
    <s v="NO TIENE L3OUT"/>
    <n v="72"/>
    <n v="96"/>
  </r>
  <r>
    <n v="166"/>
    <x v="0"/>
    <x v="256"/>
    <s v="eth1/16"/>
    <x v="0"/>
    <x v="0"/>
    <x v="0"/>
    <s v="UXLDAP"/>
    <x v="6"/>
    <b v="0"/>
    <s v="No está en VPC"/>
    <n v="166"/>
    <s v="INTPG_ACC_166_1.16"/>
    <s v="ISEL-1.16"/>
    <n v="1"/>
    <s v="NO TIENE L3OUT"/>
    <n v="84"/>
    <n v="96"/>
  </r>
  <r>
    <n v="111"/>
    <x v="0"/>
    <x v="257"/>
    <s v="eth1/16"/>
    <x v="0"/>
    <x v="0"/>
    <x v="0"/>
    <s v="DESC"/>
    <x v="6"/>
    <b v="0"/>
    <s v="No está en VPC"/>
    <n v="111"/>
    <s v="INTPG_PC_111_1.15-16_22-23_30"/>
    <s v="ISEL-1.16"/>
    <n v="1"/>
    <s v="NO TIENE L3OUT"/>
    <n v="58"/>
    <n v="96"/>
  </r>
  <r>
    <n v="115"/>
    <x v="0"/>
    <x v="258"/>
    <s v="eth1/16"/>
    <x v="0"/>
    <x v="0"/>
    <x v="0"/>
    <s v="TO-ITHFDEVYCWPBD02-PRINCIPAL"/>
    <x v="6"/>
    <b v="0"/>
    <s v="No está en VPC"/>
    <n v="115"/>
    <s v="INTPG_ACC_115_1.16"/>
    <s v="ISEL-1.16"/>
    <n v="1"/>
    <s v="NO TIENE L3OUT"/>
    <n v="42"/>
    <n v="96"/>
  </r>
  <r>
    <n v="106"/>
    <x v="0"/>
    <x v="259"/>
    <s v="eth1/16"/>
    <x v="0"/>
    <x v="0"/>
    <x v="0"/>
    <s v="CONSOLIDACION_ITHFOCCSLUAP01_PRINCIPAL"/>
    <x v="6"/>
    <b v="0"/>
    <s v="No está en VPC"/>
    <n v="106"/>
    <s v="INTPG_ACC_106_1.16"/>
    <s v="ISEL-1.16"/>
    <n v="1"/>
    <s v="NO TIENE L3OUT"/>
    <n v="122"/>
    <n v="96"/>
  </r>
  <r>
    <n v="126"/>
    <x v="0"/>
    <x v="260"/>
    <s v="eth1/16"/>
    <x v="0"/>
    <x v="0"/>
    <x v="0"/>
    <s v="ENIQ_VNX_5400-2_SPB_2RO"/>
    <x v="6"/>
    <b v="0"/>
    <s v="No está en VPC"/>
    <n v="126"/>
    <s v="INTPG_ACC_126_1.16"/>
    <s v="ISEL-1.16"/>
    <n v="1"/>
    <s v="NO TIENE L3OUT"/>
    <n v="54"/>
    <n v="96"/>
  </r>
  <r>
    <n v="425"/>
    <x v="1"/>
    <x v="261"/>
    <s v="eth1/16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16"/>
    <x v="0"/>
    <x v="0"/>
    <x v="0"/>
    <s v="DASHBOARD"/>
    <x v="6"/>
    <b v="0"/>
    <s v="No está en VPC"/>
    <n v="151"/>
    <s v="INTPG_ACC_151_1.16"/>
    <s v="ISEL-1.16"/>
    <n v="1"/>
    <s v="NO TIENE L3OUT"/>
    <n v="86"/>
    <n v="96"/>
  </r>
  <r>
    <n v="430"/>
    <x v="1"/>
    <x v="263"/>
    <s v="eth1/16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16"/>
    <x v="0"/>
    <x v="0"/>
    <x v="0"/>
    <s v="VMS_HW_SIP"/>
    <x v="6"/>
    <b v="0"/>
    <s v="No está en VPC"/>
    <n v="419"/>
    <s v="INTPG_VPC_419_1.16_421_1.16"/>
    <s v="ISEL-1.16"/>
    <n v="1"/>
    <s v="NO TIENE L3OUT"/>
    <n v="70"/>
    <n v="96"/>
  </r>
  <r>
    <n v="155"/>
    <x v="0"/>
    <x v="265"/>
    <s v="eth1/16"/>
    <x v="0"/>
    <x v="0"/>
    <x v="0"/>
    <s v="COBROS NAVEGACION"/>
    <x v="6"/>
    <b v="0"/>
    <s v="No está en VPC"/>
    <n v="155"/>
    <s v="INTPG_ACC_155_1.16"/>
    <s v="ISEL-1.16"/>
    <n v="1"/>
    <s v="NO TIENE L3OUT"/>
    <n v="198"/>
    <n v="96"/>
  </r>
  <r>
    <n v="409"/>
    <x v="1"/>
    <x v="266"/>
    <s v="eth1/16"/>
    <x v="0"/>
    <x v="1"/>
    <x v="1"/>
    <s v="IXT_SIEU"/>
    <x v="6"/>
    <b v="0"/>
    <s v="No está en VPC"/>
    <n v="409"/>
    <s v="INTPG_ACC_409_1.16"/>
    <s v="ISEL-1.16"/>
    <n v="1"/>
    <s v="NO TIENE L3OUT"/>
    <n v="128"/>
    <n v="96"/>
  </r>
  <r>
    <n v="422"/>
    <x v="1"/>
    <x v="267"/>
    <s v="eth1/16"/>
    <x v="0"/>
    <x v="0"/>
    <x v="0"/>
    <s v="FAZ-FORTINETR9"/>
    <x v="6"/>
    <b v="0"/>
    <s v="No está en VPC"/>
    <n v="422"/>
    <s v="INTPG_ACC_422_1.16"/>
    <s v="ISEL-1.16"/>
    <n v="1"/>
    <s v="NO TIENE L3OUT"/>
    <n v="182"/>
    <n v="96"/>
  </r>
  <r>
    <n v="436"/>
    <x v="1"/>
    <x v="268"/>
    <s v="eth1/16"/>
    <x v="0"/>
    <x v="1"/>
    <x v="5"/>
    <s v="MIGRACION_SAP-BO2"/>
    <x v="6"/>
    <b v="0"/>
    <s v="No está en VPC"/>
    <n v="436"/>
    <s v="INTPG_VPC_436_1.16_438_1.16"/>
    <s v="ISEL-1.16"/>
    <n v="1"/>
    <s v="NO TIENE L3OUT"/>
    <n v="172"/>
    <n v="96"/>
  </r>
  <r>
    <n v="410"/>
    <x v="1"/>
    <x v="269"/>
    <s v="eth1/16"/>
    <x v="0"/>
    <x v="0"/>
    <x v="0"/>
    <s v="NET0"/>
    <x v="6"/>
    <b v="0"/>
    <s v="No está en VPC"/>
    <n v="410"/>
    <s v="INTPG_ACC_410_1.16"/>
    <s v="ISEL-1.16"/>
    <n v="1"/>
    <s v="NO TIENE L3OUT"/>
    <n v="178"/>
    <n v="96"/>
  </r>
  <r>
    <n v="161"/>
    <x v="0"/>
    <x v="270"/>
    <s v="eth1/16"/>
    <x v="0"/>
    <x v="0"/>
    <x v="0"/>
    <s v="SICOP"/>
    <x v="6"/>
    <b v="0"/>
    <s v="No está en VPC"/>
    <n v="161"/>
    <s v="INTPG_ACC_161_1.16"/>
    <s v="ISEL-1.16"/>
    <n v="1"/>
    <s v="NO TIENE L3OUT"/>
    <n v="102"/>
    <n v="96"/>
  </r>
  <r>
    <n v="411"/>
    <x v="1"/>
    <x v="271"/>
    <s v="eth1/16"/>
    <x v="0"/>
    <x v="0"/>
    <x v="0"/>
    <s v="GESTOR"/>
    <x v="6"/>
    <b v="0"/>
    <s v="No está en VPC"/>
    <n v="411"/>
    <s v="INTPG_ACC_411_1.16"/>
    <s v="ISEL-1.16"/>
    <n v="1"/>
    <s v="NO TIENE L3OUT"/>
    <n v="96"/>
    <n v="96"/>
  </r>
  <r>
    <n v="116"/>
    <x v="0"/>
    <x v="272"/>
    <s v="eth1/16"/>
    <x v="0"/>
    <x v="0"/>
    <x v="0"/>
    <s v="COBROS NAVEGACION"/>
    <x v="6"/>
    <b v="0"/>
    <s v="No está en VPC"/>
    <n v="116"/>
    <s v="INTPG_ACC_116_1.16"/>
    <s v="ISEL-1.16"/>
    <n v="1"/>
    <s v="NO TIENE L3OUT"/>
    <n v="148"/>
    <n v="96"/>
  </r>
  <r>
    <n v="412"/>
    <x v="1"/>
    <x v="273"/>
    <s v="eth1/16"/>
    <x v="0"/>
    <x v="0"/>
    <x v="0"/>
    <s v="RESPAL_CS5_ASAP8"/>
    <x v="6"/>
    <b v="0"/>
    <s v="No está en VPC"/>
    <n v="412"/>
    <s v="INTPG_ACC_412_1.16"/>
    <s v="ISEL-1.16"/>
    <n v="1"/>
    <s v="NO TIENE L3OUT"/>
    <n v="126"/>
    <n v="96"/>
  </r>
  <r>
    <n v="120"/>
    <x v="0"/>
    <x v="274"/>
    <s v="eth1/16"/>
    <x v="1"/>
    <x v="1"/>
    <x v="2"/>
    <s v="GESTOR TeMIP AMX"/>
    <x v="6"/>
    <b v="0"/>
    <s v="No está en VPC"/>
    <n v="120"/>
    <s v="INTPG_ACC_120_1.16"/>
    <s v="ISEL-1.16"/>
    <n v="1"/>
    <s v="NO TIENE L3OUT"/>
    <n v="158"/>
    <n v="96"/>
  </r>
  <r>
    <n v="404"/>
    <x v="1"/>
    <x v="275"/>
    <s v="eth1/16"/>
    <x v="0"/>
    <x v="0"/>
    <x v="0"/>
    <s v="ITHRTC32VC2"/>
    <x v="6"/>
    <b v="0"/>
    <s v="No está en VPC"/>
    <n v="404"/>
    <s v="INTPG_VPC_404_1.16_406_1.16"/>
    <s v="ISEL-1.16"/>
    <n v="1"/>
    <s v="NO TIENE L3OUT"/>
    <n v="92"/>
    <n v="96"/>
  </r>
  <r>
    <n v="167"/>
    <x v="0"/>
    <x v="276"/>
    <s v="eth1/16"/>
    <x v="0"/>
    <x v="0"/>
    <x v="0"/>
    <s v="CIMC_HACIA_UCS_9UCS-IXTLA-SERV1"/>
    <x v="6"/>
    <b v="0"/>
    <s v="No está en VPC"/>
    <n v="167"/>
    <s v="INTPG_ACC_167_1.16"/>
    <s v="ISEL-1.16"/>
    <n v="1"/>
    <s v="NO TIENE L3OUT"/>
    <n v="68"/>
    <n v="96"/>
  </r>
  <r>
    <n v="428"/>
    <x v="1"/>
    <x v="277"/>
    <s v="eth1/16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903"/>
    <x v="2"/>
    <x v="278"/>
    <s v="eth1/1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1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17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17"/>
    <x v="0"/>
    <x v="0"/>
    <x v="0"/>
    <m/>
    <x v="1"/>
    <b v="0"/>
    <s v="No está en VPC"/>
    <n v="123"/>
    <s v="INTPG_ACC_123_1.17"/>
    <s v="ISEL-1.17"/>
    <n v="0"/>
    <s v="NO TIENE L3OUT"/>
    <n v="20"/>
    <n v="54"/>
  </r>
  <r>
    <n v="152"/>
    <x v="0"/>
    <x v="2"/>
    <s v="eth1/17"/>
    <x v="0"/>
    <x v="0"/>
    <x v="0"/>
    <s v="DataWharehosue"/>
    <x v="1"/>
    <b v="0"/>
    <s v="No está en VPC"/>
    <n v="152"/>
    <s v="INTPG_ACC_152_1.17"/>
    <s v="ISEL-1.17"/>
    <n v="1"/>
    <s v="NO TIENE L3OUT"/>
    <n v="38"/>
    <n v="54"/>
  </r>
  <r>
    <n v="101"/>
    <x v="0"/>
    <x v="3"/>
    <s v="eth1/17"/>
    <x v="0"/>
    <x v="0"/>
    <x v="0"/>
    <s v="TO-UXF5IXT39K02"/>
    <x v="0"/>
    <b v="0"/>
    <s v="No está en VPC"/>
    <n v="101"/>
    <s v="INTPG_VPC_101_1.17_150_1.17"/>
    <s v="ISEL-1.17"/>
    <n v="2"/>
    <s v="NO TIENE L3OUT"/>
    <n v="114"/>
    <n v="54"/>
  </r>
  <r>
    <n v="160"/>
    <x v="0"/>
    <x v="4"/>
    <s v="eth1/17"/>
    <x v="1"/>
    <x v="1"/>
    <x v="2"/>
    <m/>
    <x v="1"/>
    <b v="0"/>
    <s v="No está en VPC"/>
    <n v="160"/>
    <s v="INTPG_ACC_160_1.17"/>
    <s v="ISEL-1.17"/>
    <n v="0"/>
    <s v="NO TIENE L3OUT"/>
    <n v="68"/>
    <n v="54"/>
  </r>
  <r>
    <n v="121"/>
    <x v="0"/>
    <x v="5"/>
    <s v="eth1/17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17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17"/>
    <x v="0"/>
    <x v="0"/>
    <x v="0"/>
    <s v="M10-ACTIVO2"/>
    <x v="0"/>
    <b v="0"/>
    <s v="No está en VPC"/>
    <n v="401"/>
    <s v="INTPG_ACC_401_1.17"/>
    <s v="ISEL-1.17"/>
    <n v="4"/>
    <s v="NO TIENE L3OUT"/>
    <n v="40"/>
    <n v="54"/>
  </r>
  <r>
    <n v="402"/>
    <x v="1"/>
    <x v="8"/>
    <s v="eth1/17"/>
    <x v="0"/>
    <x v="0"/>
    <x v="0"/>
    <s v="M10-PASIVO2"/>
    <x v="0"/>
    <b v="0"/>
    <s v="No está en VPC"/>
    <n v="402"/>
    <s v="INTPG_ACC_402_1.17"/>
    <s v="ISEL-1.17"/>
    <n v="4"/>
    <s v="NO TIENE L3OUT"/>
    <n v="36"/>
    <n v="54"/>
  </r>
  <r>
    <n v="447"/>
    <x v="1"/>
    <x v="9"/>
    <s v="eth1/17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17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17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17"/>
    <x v="0"/>
    <x v="0"/>
    <x v="0"/>
    <s v="TO-UXF5IXT39K02"/>
    <x v="0"/>
    <b v="0"/>
    <s v="No está en VPC"/>
    <n v="150"/>
    <s v="INTPG_VPC_101_1.17_150_1.17"/>
    <s v="ISEL-1.17"/>
    <n v="2"/>
    <s v="NO TIENE L3OUT"/>
    <n v="118"/>
    <n v="54"/>
  </r>
  <r>
    <n v="131"/>
    <x v="0"/>
    <x v="13"/>
    <s v="eth1/17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17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17"/>
    <x v="0"/>
    <x v="0"/>
    <x v="0"/>
    <s v="TO-ITHHWD6KV60002-NASLACP1-DORADO"/>
    <x v="2"/>
    <b v="0"/>
    <s v="No está en VPC"/>
    <n v="758"/>
    <s v="INTPG_VPC_758_1.17_759_1.17"/>
    <s v="ISEL-1.17"/>
    <n v="15"/>
    <s v="NO TIENE L3OUT"/>
    <n v="0"/>
    <n v="42"/>
  </r>
  <r>
    <n v="759"/>
    <x v="2"/>
    <x v="16"/>
    <s v="eth1/17"/>
    <x v="0"/>
    <x v="0"/>
    <x v="0"/>
    <s v="TO-ITHHWD6KV60002-NASLACP1-DORADO"/>
    <x v="2"/>
    <b v="0"/>
    <s v="No está en VPC"/>
    <n v="759"/>
    <s v="INTPG_VPC_758_1.17_759_1.17"/>
    <s v="ISEL-1.17"/>
    <n v="15"/>
    <s v="NO TIENE L3OUT"/>
    <n v="0"/>
    <n v="42"/>
  </r>
  <r>
    <n v="302"/>
    <x v="0"/>
    <x v="17"/>
    <s v="eth1/17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17"/>
    <x v="0"/>
    <x v="1"/>
    <x v="1"/>
    <s v="PORTAB_EXP1"/>
    <x v="1"/>
    <b v="0"/>
    <s v="No está en VPC"/>
    <n v="424"/>
    <s v="INTPG_ACC_424_1.17"/>
    <s v="ISEL-1.17"/>
    <n v="1"/>
    <s v="NO TIENE L3OUT"/>
    <n v="16"/>
    <n v="54"/>
  </r>
  <r>
    <n v="426"/>
    <x v="1"/>
    <x v="19"/>
    <s v="eth1/17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17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17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17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17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17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17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17"/>
    <x v="0"/>
    <x v="0"/>
    <x v="0"/>
    <s v="TO- HUAWEI_CLOUD_GAPS_LAG1"/>
    <x v="0"/>
    <b v="0"/>
    <s v="No está en VPC"/>
    <n v="431"/>
    <s v="INTPG_VPC_431_1.16-17_448_1.16-17"/>
    <s v="ISEL-1.17"/>
    <n v="39"/>
    <s v="NO TIENE L3OUT"/>
    <n v="46"/>
    <n v="54"/>
  </r>
  <r>
    <n v="433"/>
    <x v="1"/>
    <x v="27"/>
    <s v="eth1/17"/>
    <x v="0"/>
    <x v="0"/>
    <x v="0"/>
    <s v="IXT_PM_1_mgm1_Primario"/>
    <x v="1"/>
    <b v="0"/>
    <s v="No está en VPC"/>
    <n v="433"/>
    <s v="INTPG_ACC_433_1.17"/>
    <s v="ISEL-1.17"/>
    <n v="1"/>
    <s v="NO TIENE L3OUT"/>
    <n v="42"/>
    <n v="54"/>
  </r>
  <r>
    <n v="429"/>
    <x v="1"/>
    <x v="28"/>
    <s v="eth1/17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17"/>
    <x v="0"/>
    <x v="1"/>
    <x v="1"/>
    <s v="SecAnLG_Gb2_01-Aplicativo-IXTSALG_SAS1"/>
    <x v="1"/>
    <b v="0"/>
    <s v="No está en VPC"/>
    <n v="432"/>
    <s v="INTPG_ACC_432_1.17"/>
    <s v="ISEL-1.17"/>
    <n v="1"/>
    <s v="NO TIENE L3OUT"/>
    <n v="54"/>
    <n v="54"/>
  </r>
  <r>
    <n v="442"/>
    <x v="1"/>
    <x v="30"/>
    <s v="eth1/17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17"/>
    <x v="0"/>
    <x v="0"/>
    <x v="0"/>
    <s v="TO_uxidmbd2"/>
    <x v="1"/>
    <b v="0"/>
    <s v="No está en VPC"/>
    <n v="434"/>
    <s v="INTPG_ACC_434_1.17"/>
    <s v="ISEL-1.17"/>
    <n v="1"/>
    <s v="NO TIENE L3OUT"/>
    <n v="34"/>
    <n v="54"/>
  </r>
  <r>
    <n v="707"/>
    <x v="2"/>
    <x v="32"/>
    <s v="eth1/17"/>
    <x v="1"/>
    <x v="1"/>
    <x v="3"/>
    <s v="CEM:ITHCEMG2RTB09:LOM P1"/>
    <x v="0"/>
    <b v="0"/>
    <s v="No está en VPC"/>
    <n v="707"/>
    <s v="INTPG_ACC_707_1.17"/>
    <s v="ISEL-1.17"/>
    <n v="0"/>
    <s v="NO TIENE L3OUT"/>
    <n v="54"/>
    <n v="54"/>
  </r>
  <r>
    <n v="712"/>
    <x v="2"/>
    <x v="33"/>
    <s v="eth1/17"/>
    <x v="0"/>
    <x v="1"/>
    <x v="5"/>
    <s v="CEM:ITHCEMB2AKF09:LOM P1"/>
    <x v="0"/>
    <b v="0"/>
    <s v="No está en VPC"/>
    <n v="712"/>
    <s v="INTPG_VPC_712_1.17_713_1.18"/>
    <s v="ISEL-1.17"/>
    <n v="1"/>
    <s v="NO TIENE L3OUT"/>
    <n v="32"/>
    <n v="54"/>
  </r>
  <r>
    <n v="719"/>
    <x v="2"/>
    <x v="34"/>
    <s v="eth1/17"/>
    <x v="0"/>
    <x v="0"/>
    <x v="0"/>
    <m/>
    <x v="0"/>
    <b v="0"/>
    <s v="No está en VPC"/>
    <n v="719"/>
    <s v="INTPG-VPC_PAP02_719_1.17_720_1.18"/>
    <s v="ISEL-1.17"/>
    <n v="1"/>
    <s v="NO TIENE L3OUT"/>
    <n v="0"/>
    <n v="54"/>
  </r>
  <r>
    <n v="715"/>
    <x v="2"/>
    <x v="35"/>
    <s v="eth1/17"/>
    <x v="0"/>
    <x v="0"/>
    <x v="0"/>
    <m/>
    <x v="0"/>
    <b v="0"/>
    <s v="No está en VPC"/>
    <n v="715"/>
    <s v="INTPG-VPC_HDD40_715_1.17_716_1.18"/>
    <s v="ISEL-1.17"/>
    <n v="1"/>
    <s v="NO TIENE L3OUT"/>
    <n v="0"/>
    <n v="54"/>
  </r>
  <r>
    <n v="427"/>
    <x v="1"/>
    <x v="36"/>
    <s v="eth1/17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17"/>
    <x v="0"/>
    <x v="1"/>
    <x v="5"/>
    <s v="CEM:ITHCEMC2AKF09:LOM P1"/>
    <x v="0"/>
    <b v="0"/>
    <s v="No está en VPC"/>
    <n v="711"/>
    <s v="INTPG_VPC_710_1.18_711_1.17"/>
    <s v="ISEL-1.17"/>
    <n v="1"/>
    <s v="NO TIENE L3OUT"/>
    <n v="16"/>
    <n v="54"/>
  </r>
  <r>
    <n v="716"/>
    <x v="2"/>
    <x v="38"/>
    <s v="eth1/17"/>
    <x v="0"/>
    <x v="0"/>
    <x v="0"/>
    <m/>
    <x v="0"/>
    <b v="0"/>
    <s v="No está en VPC"/>
    <n v="716"/>
    <s v="INTPG-VPC_HDD31_716_1.17_715_1.18"/>
    <s v="ISEL-1.17"/>
    <n v="1"/>
    <s v="NO TIENE L3OUT"/>
    <n v="0"/>
    <n v="54"/>
  </r>
  <r>
    <n v="702"/>
    <x v="2"/>
    <x v="39"/>
    <s v="eth1/17"/>
    <x v="0"/>
    <x v="0"/>
    <x v="0"/>
    <m/>
    <x v="0"/>
    <b v="0"/>
    <s v="No está en VPC"/>
    <n v="702"/>
    <s v="INTPG_VPC_702_1.17_701_1.18"/>
    <s v="ISEL-1.17"/>
    <n v="1"/>
    <s v="NO TIENE L3OUT"/>
    <n v="0"/>
    <n v="54"/>
  </r>
  <r>
    <n v="435"/>
    <x v="1"/>
    <x v="40"/>
    <s v="eth1/17"/>
    <x v="0"/>
    <x v="0"/>
    <x v="0"/>
    <s v="IXT_IS_1_eth1_Secundario"/>
    <x v="1"/>
    <b v="0"/>
    <s v="No está en VPC"/>
    <n v="435"/>
    <s v="INTPG_ACC_435_1.17"/>
    <s v="ISEL-1.17"/>
    <n v="1"/>
    <s v="NO TIENE L3OUT"/>
    <n v="34"/>
    <n v="54"/>
  </r>
  <r>
    <n v="446"/>
    <x v="1"/>
    <x v="41"/>
    <s v="eth1/17"/>
    <x v="0"/>
    <x v="0"/>
    <x v="0"/>
    <m/>
    <x v="0"/>
    <b v="0"/>
    <s v="No está en VPC"/>
    <n v="446"/>
    <s v="INTPG_ACC_446_1.17"/>
    <s v="ISEL-1.17"/>
    <n v="9"/>
    <s v="NO TIENE L3OUT"/>
    <n v="198"/>
    <n v="54"/>
  </r>
  <r>
    <n v="444"/>
    <x v="1"/>
    <x v="42"/>
    <s v="eth1/17"/>
    <x v="0"/>
    <x v="0"/>
    <x v="0"/>
    <s v="TO-ITHFDLMCLWLCN01"/>
    <x v="0"/>
    <b v="0"/>
    <s v="No está en VPC"/>
    <n v="444"/>
    <s v="INTPG_VPC_446_1.18_444_1.17"/>
    <s v="ISEL-1.17"/>
    <n v="3"/>
    <s v="NO TIENE L3OUT"/>
    <n v="234"/>
    <n v="54"/>
  </r>
  <r>
    <n v="701"/>
    <x v="2"/>
    <x v="43"/>
    <s v="eth1/17"/>
    <x v="0"/>
    <x v="0"/>
    <x v="0"/>
    <m/>
    <x v="0"/>
    <b v="0"/>
    <s v="No está en VPC"/>
    <n v="701"/>
    <s v="INTPG_VPC_701_1.17_702_1.18"/>
    <s v="ISEL-1.17"/>
    <n v="2"/>
    <s v="NO TIENE L3OUT"/>
    <n v="0"/>
    <n v="54"/>
  </r>
  <r>
    <n v="440"/>
    <x v="1"/>
    <x v="44"/>
    <s v="eth1/17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17"/>
    <x v="0"/>
    <x v="0"/>
    <x v="0"/>
    <s v="TO- HUAWEI_CLOUD_GAPS_LAG1"/>
    <x v="0"/>
    <b v="0"/>
    <s v="No está en VPC"/>
    <n v="448"/>
    <s v="INTPG_VPC_431_1.16-17_448_1.16-17"/>
    <s v="ISEL-1.17"/>
    <n v="39"/>
    <s v="NO TIENE L3OUT"/>
    <n v="46"/>
    <n v="54"/>
  </r>
  <r>
    <n v="704"/>
    <x v="2"/>
    <x v="46"/>
    <s v="eth1/17"/>
    <x v="0"/>
    <x v="0"/>
    <x v="0"/>
    <m/>
    <x v="0"/>
    <b v="0"/>
    <s v="No está en VPC"/>
    <n v="704"/>
    <s v="INTPG_VPC_704_1.17_703_1.18"/>
    <s v="ISEL-1.17"/>
    <n v="1"/>
    <s v="NO TIENE L3OUT"/>
    <n v="0"/>
    <n v="54"/>
  </r>
  <r>
    <n v="729"/>
    <x v="2"/>
    <x v="47"/>
    <s v="eth1/17"/>
    <x v="0"/>
    <x v="0"/>
    <x v="0"/>
    <s v="Server_Pre-RH2288-BKP02"/>
    <x v="0"/>
    <b v="0"/>
    <s v="No está en VPC"/>
    <n v="729"/>
    <s v="INTPG_ACC_729_1.17"/>
    <s v="ISEL-1.17"/>
    <n v="1"/>
    <s v="NO TIENE L3OUT"/>
    <n v="4"/>
    <n v="54"/>
  </r>
  <r>
    <n v="728"/>
    <x v="2"/>
    <x v="48"/>
    <s v="eth1/17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17"/>
    <x v="0"/>
    <x v="0"/>
    <x v="0"/>
    <s v="HACIA_CSI-B-OSCP-F4-01_SECUNDARIO"/>
    <x v="4"/>
    <b v="0"/>
    <s v="No está en VPC"/>
    <n v="456"/>
    <s v="INTPG_VPC_454_1.17_456_1.17"/>
    <s v="ISEL-1.17"/>
    <n v="2"/>
    <s v="NO TIENE L3OUT"/>
    <n v="4"/>
    <n v="54"/>
  </r>
  <r>
    <n v="603"/>
    <x v="1"/>
    <x v="50"/>
    <s v="eth1/17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17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17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17"/>
    <x v="0"/>
    <x v="0"/>
    <x v="0"/>
    <s v="Server_Pre-R02-CBS-RH2288-01"/>
    <x v="0"/>
    <b v="0"/>
    <s v="No está en VPC"/>
    <n v="730"/>
    <s v="INTPG_ACC_730_1.17"/>
    <s v="ISEL-1.17"/>
    <n v="1"/>
    <s v="NO TIENE L3OUT"/>
    <n v="36"/>
    <n v="54"/>
  </r>
  <r>
    <n v="722"/>
    <x v="2"/>
    <x v="54"/>
    <s v="eth1/17"/>
    <x v="0"/>
    <x v="0"/>
    <x v="0"/>
    <m/>
    <x v="0"/>
    <b v="0"/>
    <s v="No está en VPC"/>
    <n v="722"/>
    <s v="INTPG-VPC_HDD125_722_1.17_723_1.18"/>
    <s v="ISEL-1.17"/>
    <n v="1"/>
    <s v="NO TIENE L3OUT"/>
    <n v="0"/>
    <n v="54"/>
  </r>
  <r>
    <n v="733"/>
    <x v="2"/>
    <x v="55"/>
    <s v="eth1/17"/>
    <x v="0"/>
    <x v="1"/>
    <x v="3"/>
    <m/>
    <x v="0"/>
    <b v="0"/>
    <s v="No está en VPC"/>
    <n v="733"/>
    <s v="INTPG_ACC_733_1.17"/>
    <s v="ISEL-1.17"/>
    <n v="0"/>
    <s v="NO TIENE L3OUT"/>
    <n v="0"/>
    <n v="54"/>
  </r>
  <r>
    <n v="755"/>
    <x v="2"/>
    <x v="56"/>
    <s v="eth1/17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17"/>
    <x v="0"/>
    <x v="0"/>
    <x v="0"/>
    <m/>
    <x v="0"/>
    <b v="0"/>
    <s v="No está en VPC"/>
    <n v="748"/>
    <s v="INTPG_ACC_748_1.17"/>
    <s v="ISEL-1.17"/>
    <n v="0"/>
    <s v="NO TIENE L3OUT"/>
    <n v="2"/>
    <n v="54"/>
  </r>
  <r>
    <n v="756"/>
    <x v="2"/>
    <x v="58"/>
    <s v="eth1/17"/>
    <x v="0"/>
    <x v="0"/>
    <x v="0"/>
    <s v="OSS F1:ithenmr06bl02nas2r9b:PORT 1"/>
    <x v="0"/>
    <b v="0"/>
    <s v="No está en VPC"/>
    <n v="756"/>
    <s v="INTPG_PC_756_1.15-18"/>
    <s v="ISEL-1.17"/>
    <n v="1"/>
    <s v="NO TIENE L3OUT"/>
    <n v="64"/>
    <n v="54"/>
  </r>
  <r>
    <n v="754"/>
    <x v="2"/>
    <x v="59"/>
    <s v="eth1/17"/>
    <x v="0"/>
    <x v="0"/>
    <x v="0"/>
    <s v="OSS F1:enmregion9c:Bay2/X1"/>
    <x v="0"/>
    <b v="0"/>
    <s v="No está en VPC"/>
    <n v="754"/>
    <s v="INTPG_PC_754_1.17_1.19"/>
    <s v="ISEL-1.17"/>
    <n v="8"/>
    <s v="NO TIENE L3OUT"/>
    <n v="62"/>
    <n v="54"/>
  </r>
  <r>
    <n v="751"/>
    <x v="2"/>
    <x v="60"/>
    <s v="eth1/17"/>
    <x v="0"/>
    <x v="0"/>
    <x v="0"/>
    <m/>
    <x v="0"/>
    <b v="0"/>
    <s v="No está en VPC"/>
    <n v="751"/>
    <s v="INTPG_ACC_751_1.17"/>
    <s v="ISEL-1.17"/>
    <n v="0"/>
    <s v="NO TIENE L3OUT"/>
    <n v="0"/>
    <n v="54"/>
  </r>
  <r>
    <n v="769"/>
    <x v="2"/>
    <x v="61"/>
    <s v="eth1/17"/>
    <x v="0"/>
    <x v="0"/>
    <x v="0"/>
    <s v="Portchannel_4_R1"/>
    <x v="0"/>
    <b v="0"/>
    <s v="No está en VPC"/>
    <n v="769"/>
    <s v="INTPG_PC_769_1.17-18"/>
    <s v="ISEL-1.17"/>
    <n v="8"/>
    <s v="NO TIENE L3OUT"/>
    <n v="60"/>
    <n v="54"/>
  </r>
  <r>
    <n v="742"/>
    <x v="2"/>
    <x v="62"/>
    <s v="eth1/17"/>
    <x v="0"/>
    <x v="0"/>
    <x v="0"/>
    <s v="CEM:ITHCEMA2AKF09:LOM P3"/>
    <x v="5"/>
    <b v="0"/>
    <s v="No está en VPC"/>
    <n v="742"/>
    <s v="INTPG_ACC_742_1.17"/>
    <s v="ISEL-1.17"/>
    <n v="1"/>
    <s v="NO TIENE L3OUT"/>
    <n v="64"/>
    <n v="54"/>
  </r>
  <r>
    <n v="763"/>
    <x v="2"/>
    <x v="63"/>
    <s v="eth1/17"/>
    <x v="0"/>
    <x v="0"/>
    <x v="0"/>
    <s v="PAAS:ithhwosstpap002:FlexIO.1"/>
    <x v="0"/>
    <b v="0"/>
    <s v="No está en VPC"/>
    <n v="763"/>
    <s v="INTPG_VPC_762_1.17_763_1.17"/>
    <s v="ISEL-1.17"/>
    <n v="15"/>
    <s v="NO TIENE L3OUT"/>
    <n v="2"/>
    <n v="54"/>
  </r>
  <r>
    <n v="766"/>
    <x v="2"/>
    <x v="64"/>
    <s v="eth1/17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17"/>
    <x v="0"/>
    <x v="1"/>
    <x v="1"/>
    <m/>
    <x v="0"/>
    <b v="0"/>
    <s v="No está en VPC"/>
    <n v="760"/>
    <s v="INTPG_VPC_760_1.17-20_761_1.17-20"/>
    <s v="ISEL-1.17"/>
    <n v="0"/>
    <s v="L3OUT-EXACLOUD"/>
    <n v="0"/>
    <n v="54"/>
  </r>
  <r>
    <n v="752"/>
    <x v="2"/>
    <x v="66"/>
    <s v="eth1/17"/>
    <x v="0"/>
    <x v="0"/>
    <x v="0"/>
    <s v="PAAS:ithhwosstpap002:LOM PORT 1"/>
    <x v="0"/>
    <b v="0"/>
    <s v="No está en VPC"/>
    <n v="752"/>
    <s v="INTPG_VPC_747_1.17_752_1.17"/>
    <s v="ISEL-1.17"/>
    <n v="25"/>
    <s v="NO TIENE L3OUT"/>
    <n v="0"/>
    <n v="54"/>
  </r>
  <r>
    <n v="765"/>
    <x v="2"/>
    <x v="67"/>
    <s v="eth1/17"/>
    <x v="0"/>
    <x v="0"/>
    <x v="0"/>
    <s v="Portchannel_5_R6B"/>
    <x v="0"/>
    <b v="0"/>
    <s v="No está en VPC"/>
    <n v="765"/>
    <s v="INTPG_PC_765_1.17-18"/>
    <s v="ISEL-1.17"/>
    <n v="8"/>
    <s v="NO TIENE L3OUT"/>
    <n v="60"/>
    <n v="54"/>
  </r>
  <r>
    <n v="778"/>
    <x v="2"/>
    <x v="68"/>
    <s v="eth1/17"/>
    <x v="0"/>
    <x v="0"/>
    <x v="0"/>
    <s v="ENIQ F1:itheniqr08nas2r3:LOM PORT 2"/>
    <x v="0"/>
    <b v="0"/>
    <s v="No está en VPC"/>
    <n v="778"/>
    <s v="INTPG_PC_778_1.16-19"/>
    <s v="ISEL-1.17"/>
    <n v="1"/>
    <s v="NO TIENE L3OUT"/>
    <n v="26"/>
    <n v="54"/>
  </r>
  <r>
    <n v="780"/>
    <x v="2"/>
    <x v="69"/>
    <s v="eth1/17"/>
    <x v="0"/>
    <x v="0"/>
    <x v="0"/>
    <s v="LACP_NAS2_ENIQ9C"/>
    <x v="0"/>
    <b v="0"/>
    <s v="No está en VPC"/>
    <n v="780"/>
    <s v="INTPG_PC_780_1.16-19"/>
    <s v="ISEL-1.17"/>
    <n v="1"/>
    <s v="NO TIENE L3OUT"/>
    <n v="26"/>
    <n v="54"/>
  </r>
  <r>
    <n v="812"/>
    <x v="2"/>
    <x v="70"/>
    <s v="eth1/17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17"/>
    <x v="0"/>
    <x v="0"/>
    <x v="0"/>
    <s v="TO_ITHFDEOSPVLMT01"/>
    <x v="0"/>
    <b v="0"/>
    <s v="No está en VPC"/>
    <n v="796"/>
    <s v="INTPG_VPC_795_1.15-17_796_1.15-17"/>
    <s v="ISEL-1.17"/>
    <n v="2"/>
    <s v="NO TIENE L3OUT"/>
    <n v="18"/>
    <n v="54"/>
  </r>
  <r>
    <n v="795"/>
    <x v="2"/>
    <x v="72"/>
    <s v="eth1/17"/>
    <x v="0"/>
    <x v="0"/>
    <x v="0"/>
    <s v="TO_ITHFDEOSPVLMT01"/>
    <x v="0"/>
    <b v="0"/>
    <s v="No está en VPC"/>
    <n v="795"/>
    <s v="INTPG_VPC_795_1.15-17_796_1.15-17"/>
    <s v="ISEL-1.17"/>
    <n v="2"/>
    <s v="NO TIENE L3OUT"/>
    <n v="18"/>
    <n v="54"/>
  </r>
  <r>
    <n v="749"/>
    <x v="2"/>
    <x v="73"/>
    <s v="eth1/17"/>
    <x v="0"/>
    <x v="0"/>
    <x v="0"/>
    <m/>
    <x v="0"/>
    <b v="0"/>
    <s v="No está en VPC"/>
    <n v="749"/>
    <s v="INTPG_ACC_749_1.17"/>
    <s v="ISEL-1.17"/>
    <n v="0"/>
    <s v="NO TIENE L3OUT"/>
    <n v="4"/>
    <n v="54"/>
  </r>
  <r>
    <n v="824"/>
    <x v="2"/>
    <x v="74"/>
    <s v="eth1/17"/>
    <x v="0"/>
    <x v="0"/>
    <x v="0"/>
    <s v="LINK_TO_ITHFHWCMVWPMA11 /Slot7.2 /Redundante"/>
    <x v="0"/>
    <b v="0"/>
    <s v="No está en VPC"/>
    <n v="824"/>
    <s v="INTPG_ACC_824_1.17"/>
    <s v="ISEL-1.17"/>
    <n v="1"/>
    <s v="NO TIENE L3OUT"/>
    <n v="70"/>
    <n v="54"/>
  </r>
  <r>
    <n v="819"/>
    <x v="2"/>
    <x v="75"/>
    <s v="eth1/17"/>
    <x v="0"/>
    <x v="0"/>
    <x v="0"/>
    <s v="LINK_TO_ITHFHWCMVWPMA11 /Slot5.2 /Principal"/>
    <x v="0"/>
    <b v="0"/>
    <s v="No está en VPC"/>
    <n v="819"/>
    <s v="INTPG_ACC_819_1.17"/>
    <s v="ISEL-1.17"/>
    <n v="1"/>
    <s v="NO TIENE L3OUT"/>
    <n v="70"/>
    <n v="54"/>
  </r>
  <r>
    <n v="737"/>
    <x v="2"/>
    <x v="76"/>
    <s v="eth1/17"/>
    <x v="0"/>
    <x v="0"/>
    <x v="0"/>
    <s v="CEM:ITHCEMF2RTB09:LOM P3"/>
    <x v="5"/>
    <b v="0"/>
    <s v="No está en VPC"/>
    <n v="737"/>
    <s v="INTPG_ACC_737_1.17"/>
    <s v="ISEL-1.17"/>
    <n v="1"/>
    <s v="NO TIENE L3OUT"/>
    <n v="72"/>
    <n v="54"/>
  </r>
  <r>
    <n v="844"/>
    <x v="2"/>
    <x v="77"/>
    <s v="eth1/17"/>
    <x v="0"/>
    <x v="0"/>
    <x v="0"/>
    <s v="LINK_TO_ITHFHWCRMPLCN106 / Slot1.2_16 / Principal"/>
    <x v="0"/>
    <b v="0"/>
    <s v="No está en VPC"/>
    <n v="844"/>
    <s v="INTPG_ACC_844_1.17"/>
    <s v="ISEL-1.17"/>
    <n v="2"/>
    <s v="NO TIENE L3OUT"/>
    <n v="282"/>
    <n v="54"/>
  </r>
  <r>
    <n v="843"/>
    <x v="2"/>
    <x v="78"/>
    <s v="eth1/17"/>
    <x v="0"/>
    <x v="0"/>
    <x v="0"/>
    <s v="LINK_To_ITHFHWCBSPSUSBD29 / Slot7.3_10 / Redundante"/>
    <x v="0"/>
    <b v="0"/>
    <s v="No está en VPC"/>
    <n v="843"/>
    <s v="INTPG_VPC_838_1.17_843_1.17"/>
    <s v="ISEL-1.17"/>
    <n v="1"/>
    <s v="NO TIENE L3OUT"/>
    <n v="38"/>
    <n v="54"/>
  </r>
  <r>
    <n v="797"/>
    <x v="2"/>
    <x v="79"/>
    <s v="eth1/17"/>
    <x v="0"/>
    <x v="0"/>
    <x v="0"/>
    <s v="TO-HDPS_19-MSP"/>
    <x v="0"/>
    <b v="0"/>
    <s v="No está en VPC"/>
    <n v="797"/>
    <s v="INTPG_ACC_797_1.17"/>
    <s v="ISEL-1.17"/>
    <n v="1"/>
    <s v="NO TIENE L3OUT"/>
    <n v="48"/>
    <n v="54"/>
  </r>
  <r>
    <n v="839"/>
    <x v="2"/>
    <x v="80"/>
    <s v="eth1/17"/>
    <x v="0"/>
    <x v="0"/>
    <x v="0"/>
    <s v="LINK_TO_ITHFHWCBSPSWR63 / Slot7.2_14 / Redundante"/>
    <x v="0"/>
    <b v="0"/>
    <s v="No está en VPC"/>
    <n v="839"/>
    <s v="INTPG_VPC_834_1.17_839_1.17"/>
    <s v="ISEL-1.17"/>
    <n v="1"/>
    <s v="NO TIENE L3OUT"/>
    <n v="0"/>
    <n v="54"/>
  </r>
  <r>
    <n v="847"/>
    <x v="2"/>
    <x v="81"/>
    <s v="eth1/17"/>
    <x v="0"/>
    <x v="0"/>
    <x v="0"/>
    <s v="LINK_TO_ITHFHWCRMPLCN171 / Slot7.1_12 / Redundante"/>
    <x v="0"/>
    <b v="0"/>
    <s v="No está en VPC"/>
    <n v="847"/>
    <s v="INTPG_ACC_847_1.17"/>
    <s v="ISEL-1.17"/>
    <n v="6"/>
    <s v="NO TIENE L3OUT"/>
    <n v="204"/>
    <n v="54"/>
  </r>
  <r>
    <n v="848"/>
    <x v="2"/>
    <x v="82"/>
    <s v="eth1/17"/>
    <x v="0"/>
    <x v="0"/>
    <x v="0"/>
    <s v="LINK_TO_ITHFHWCRMPLCN160 / Slot7.1_22 / Redundante"/>
    <x v="0"/>
    <b v="0"/>
    <s v="No está en VPC"/>
    <n v="848"/>
    <s v="INTPG_ACC_848_1.17"/>
    <s v="ISEL-1.17"/>
    <n v="6"/>
    <s v="NO TIENE L3OUT"/>
    <n v="254"/>
    <n v="54"/>
  </r>
  <r>
    <n v="846"/>
    <x v="2"/>
    <x v="83"/>
    <s v="eth1/17"/>
    <x v="0"/>
    <x v="0"/>
    <x v="0"/>
    <s v="LINK_TO_ITHFHWCRMPLCN77 / Slot1.2_12 / Principal"/>
    <x v="0"/>
    <b v="0"/>
    <s v="No está en VPC"/>
    <n v="846"/>
    <s v="INTPG_ACC_846_1.17"/>
    <s v="ISEL-1.17"/>
    <n v="2"/>
    <s v="NO TIENE L3OUT"/>
    <n v="242"/>
    <n v="54"/>
  </r>
  <r>
    <n v="838"/>
    <x v="2"/>
    <x v="84"/>
    <s v="eth1/17"/>
    <x v="0"/>
    <x v="0"/>
    <x v="0"/>
    <s v="LINK_To_ITHFHWCBSPSUSBD29 / Slot1.3_10 / Principal"/>
    <x v="0"/>
    <b v="0"/>
    <s v="No está en VPC"/>
    <n v="838"/>
    <s v="INTPG_VPC_838_1.17_843_1.17"/>
    <s v="ISEL-1.17"/>
    <n v="1"/>
    <s v="NO TIENE L3OUT"/>
    <n v="38"/>
    <n v="54"/>
  </r>
  <r>
    <n v="849"/>
    <x v="2"/>
    <x v="85"/>
    <s v="eth1/17"/>
    <x v="0"/>
    <x v="0"/>
    <x v="0"/>
    <s v="LINK_TO_ITHFHWCRMPLCN140 / Slot7.1_14 / Redundante"/>
    <x v="0"/>
    <b v="0"/>
    <s v="No está en VPC"/>
    <n v="849"/>
    <s v="INTPG_ACC_849_1.17"/>
    <s v="ISEL-1.17"/>
    <n v="6"/>
    <s v="NO TIENE L3OUT"/>
    <n v="286"/>
    <n v="54"/>
  </r>
  <r>
    <n v="845"/>
    <x v="2"/>
    <x v="86"/>
    <s v="eth1/17"/>
    <x v="0"/>
    <x v="0"/>
    <x v="0"/>
    <s v="LINK_TO_ITHFHWCRMPLCN89 / Slot1.3_10 / Principal"/>
    <x v="0"/>
    <b v="0"/>
    <s v="No está en VPC"/>
    <n v="845"/>
    <s v="INTPG_ACC_845_1.17"/>
    <s v="ISEL-1.17"/>
    <n v="1"/>
    <s v="NO TIENE L3OUT"/>
    <n v="258"/>
    <n v="54"/>
  </r>
  <r>
    <n v="873"/>
    <x v="2"/>
    <x v="87"/>
    <s v="eth1/17"/>
    <x v="0"/>
    <x v="0"/>
    <x v="0"/>
    <s v="TO_ITHFHWCRMDLCN58_Principal"/>
    <x v="0"/>
    <b v="0"/>
    <s v="No está en VPC"/>
    <n v="873"/>
    <s v="INTPG_ACC_873_1.17"/>
    <s v="ISEL-1.17"/>
    <n v="1"/>
    <s v="NO TIENE L3OUT"/>
    <n v="248"/>
    <n v="54"/>
  </r>
  <r>
    <n v="864"/>
    <x v="2"/>
    <x v="88"/>
    <s v="eth1/17"/>
    <x v="0"/>
    <x v="0"/>
    <x v="0"/>
    <s v="To_VPC_2DCBSD_HD36_2"/>
    <x v="0"/>
    <b v="0"/>
    <s v="No está en VPC"/>
    <n v="864"/>
    <s v="INTPG_VPC_859_1.17_864_1.17"/>
    <s v="ISEL-1.17"/>
    <n v="1"/>
    <s v="NO TIENE L3OUT"/>
    <n v="0"/>
    <n v="54"/>
  </r>
  <r>
    <n v="836"/>
    <x v="2"/>
    <x v="89"/>
    <s v="eth1/17"/>
    <x v="0"/>
    <x v="0"/>
    <x v="0"/>
    <s v="LINK_TO_ITHFHWCBSPSWR51 / Slot1.1_30 / Principal"/>
    <x v="0"/>
    <b v="0"/>
    <s v="No está en VPC"/>
    <n v="836"/>
    <s v="INTPG_VPC_836_1.17_841_1.17"/>
    <s v="ISEL-1.17"/>
    <n v="2"/>
    <s v="NO TIENE L3OUT"/>
    <n v="0"/>
    <n v="54"/>
  </r>
  <r>
    <n v="834"/>
    <x v="2"/>
    <x v="90"/>
    <s v="eth1/17"/>
    <x v="0"/>
    <x v="0"/>
    <x v="0"/>
    <s v="LINK_TO_ITHFHWCBSPSWR63 / Slot1.2_14 / Principal"/>
    <x v="0"/>
    <b v="0"/>
    <s v="No está en VPC"/>
    <n v="834"/>
    <s v="INTPG_VPC_834_1.17_839_1.17"/>
    <s v="ISEL-1.17"/>
    <n v="1"/>
    <s v="NO TIENE L3OUT"/>
    <n v="0"/>
    <n v="54"/>
  </r>
  <r>
    <n v="872"/>
    <x v="2"/>
    <x v="91"/>
    <s v="eth1/17"/>
    <x v="0"/>
    <x v="0"/>
    <x v="0"/>
    <s v="To_ITHFHWCRMDLCN74_Principal"/>
    <x v="0"/>
    <b v="0"/>
    <s v="No está en VPC"/>
    <n v="872"/>
    <s v="INTPG_ACC_872_1.17"/>
    <s v="ISEL-1.17"/>
    <n v="1"/>
    <s v="NO TIENE L3OUT"/>
    <n v="288"/>
    <n v="54"/>
  </r>
  <r>
    <n v="842"/>
    <x v="2"/>
    <x v="92"/>
    <s v="eth1/17"/>
    <x v="0"/>
    <x v="0"/>
    <x v="0"/>
    <s v="LINK_TO_ITHFHWCBSPSWR45 / Slot7.1_26 / Redundante"/>
    <x v="0"/>
    <b v="0"/>
    <s v="No está en VPC"/>
    <n v="842"/>
    <s v="INTPG_VPC_837_1.17_842_1.17"/>
    <s v="ISEL-1.17"/>
    <n v="2"/>
    <s v="NO TIENE L3OUT"/>
    <n v="8"/>
    <n v="54"/>
  </r>
  <r>
    <n v="828"/>
    <x v="2"/>
    <x v="93"/>
    <s v="eth1/17"/>
    <x v="0"/>
    <x v="0"/>
    <x v="0"/>
    <s v="LINK_TO_ITHFHWCRMDLCN21 /Slot5.2 /Principal"/>
    <x v="0"/>
    <b v="0"/>
    <s v="No está en VPC"/>
    <n v="828"/>
    <s v="INTPG_ACC_828_1.17"/>
    <s v="ISEL-1.17"/>
    <n v="5"/>
    <s v="NO TIENE L3OUT"/>
    <n v="192"/>
    <n v="54"/>
  </r>
  <r>
    <n v="870"/>
    <x v="2"/>
    <x v="94"/>
    <s v="eth1/17"/>
    <x v="0"/>
    <x v="0"/>
    <x v="0"/>
    <s v="TO_ITHFHWCRMDLCN58_Redundante"/>
    <x v="0"/>
    <b v="0"/>
    <s v="No está en VPC"/>
    <n v="870"/>
    <s v="INTPG_ACC_870_1.17"/>
    <s v="ISEL-1.17"/>
    <n v="1"/>
    <s v="NO TIENE L3OUT"/>
    <n v="248"/>
    <n v="54"/>
  </r>
  <r>
    <n v="866"/>
    <x v="2"/>
    <x v="95"/>
    <s v="eth1/17"/>
    <x v="0"/>
    <x v="0"/>
    <x v="0"/>
    <s v="To_VPC_2DCBSD_HD22_1"/>
    <x v="0"/>
    <b v="0"/>
    <s v="No está en VPC"/>
    <n v="866"/>
    <s v="INTPG_VPC_861_1.17_866_1.17"/>
    <s v="ISEL-1.17"/>
    <n v="2"/>
    <s v="NO TIENE L3OUT"/>
    <n v="8"/>
    <n v="54"/>
  </r>
  <r>
    <n v="862"/>
    <x v="2"/>
    <x v="96"/>
    <s v="eth1/17"/>
    <x v="0"/>
    <x v="0"/>
    <x v="0"/>
    <s v="TO-ITHFSUEXG2XCP01_PCI6.P1"/>
    <x v="0"/>
    <b v="0"/>
    <s v="No está en VPC"/>
    <n v="862"/>
    <s v="INTPG_ACC_862_1.17"/>
    <s v="ISEL-1.17"/>
    <n v="1"/>
    <s v="NO TIENE L3OUT"/>
    <n v="44"/>
    <n v="54"/>
  </r>
  <r>
    <n v="855"/>
    <x v="2"/>
    <x v="97"/>
    <s v="eth1/17"/>
    <x v="0"/>
    <x v="0"/>
    <x v="0"/>
    <s v="LINK_TO_ITHFHWCRMPLCN160 / Slot1.1_22 / Principal"/>
    <x v="0"/>
    <b v="0"/>
    <s v="No está en VPC"/>
    <n v="855"/>
    <s v="INTPG_ACC_855_1.17"/>
    <s v="ISEL-1.17"/>
    <n v="6"/>
    <s v="NO TIENE L3OUT"/>
    <n v="254"/>
    <n v="54"/>
  </r>
  <r>
    <n v="871"/>
    <x v="2"/>
    <x v="98"/>
    <s v="eth1/17"/>
    <x v="0"/>
    <x v="0"/>
    <x v="0"/>
    <s v="TO_ITHFHWCRMDLCN86_Principal"/>
    <x v="0"/>
    <b v="0"/>
    <s v="No está en VPC"/>
    <n v="871"/>
    <s v="INTPG_ACC_871_1.17"/>
    <s v="ISEL-1.17"/>
    <n v="2"/>
    <s v="NO TIENE L3OUT"/>
    <n v="246"/>
    <n v="54"/>
  </r>
  <r>
    <n v="841"/>
    <x v="2"/>
    <x v="99"/>
    <s v="eth1/17"/>
    <x v="0"/>
    <x v="0"/>
    <x v="0"/>
    <s v="LINK_TO_ITHFHWCBSPSWR51 / Slot7.1_30 / Redundante"/>
    <x v="0"/>
    <b v="0"/>
    <s v="No está en VPC"/>
    <n v="841"/>
    <s v="INTPG_VPC_836_1.17_841_1.17"/>
    <s v="ISEL-1.17"/>
    <n v="2"/>
    <s v="NO TIENE L3OUT"/>
    <n v="0"/>
    <n v="54"/>
  </r>
  <r>
    <n v="868"/>
    <x v="2"/>
    <x v="100"/>
    <s v="eth1/17"/>
    <x v="0"/>
    <x v="0"/>
    <x v="0"/>
    <s v="TO_ITHFHWCRMDLCN86_Redundante"/>
    <x v="0"/>
    <b v="0"/>
    <s v="No está en VPC"/>
    <n v="868"/>
    <s v="INTPG_ACC_868_1.17"/>
    <s v="ISEL-1.17"/>
    <n v="2"/>
    <s v="NO TIENE L3OUT"/>
    <n v="246"/>
    <n v="54"/>
  </r>
  <r>
    <n v="869"/>
    <x v="2"/>
    <x v="101"/>
    <s v="eth1/17"/>
    <x v="0"/>
    <x v="0"/>
    <x v="0"/>
    <s v="To_ITHFHWCRMDLCN74_Redundante"/>
    <x v="0"/>
    <b v="0"/>
    <s v="No está en VPC"/>
    <n v="869"/>
    <s v="INTPG_ACC_869_1.17"/>
    <s v="ISEL-1.17"/>
    <n v="1"/>
    <s v="NO TIENE L3OUT"/>
    <n v="288"/>
    <n v="54"/>
  </r>
  <r>
    <n v="861"/>
    <x v="2"/>
    <x v="102"/>
    <s v="eth1/17"/>
    <x v="0"/>
    <x v="0"/>
    <x v="0"/>
    <s v="To_VPC_2DCBSD_HD22_1"/>
    <x v="0"/>
    <b v="0"/>
    <s v="No está en VPC"/>
    <n v="861"/>
    <s v="INTPG_VPC_861_1.17_866_1.17"/>
    <s v="ISEL-1.17"/>
    <n v="2"/>
    <s v="NO TIENE L3OUT"/>
    <n v="8"/>
    <n v="54"/>
  </r>
  <r>
    <n v="874"/>
    <x v="2"/>
    <x v="103"/>
    <s v="eth1/17"/>
    <x v="0"/>
    <x v="0"/>
    <x v="0"/>
    <s v="LINK_TO_ITHFHWSEQLIMPS28 / Slot 5 PTO 1 / Redundante"/>
    <x v="4"/>
    <b v="0"/>
    <s v="No está en VPC"/>
    <n v="874"/>
    <s v="INTPG_ACC_874_1.17"/>
    <s v="ISEL-1.17"/>
    <n v="1"/>
    <s v="NO TIENE L3OUT"/>
    <n v="92"/>
    <n v="54"/>
  </r>
  <r>
    <n v="865"/>
    <x v="2"/>
    <x v="104"/>
    <s v="eth1/17"/>
    <x v="0"/>
    <x v="0"/>
    <x v="0"/>
    <s v="To_VPC_2DCBSD_HD28_2"/>
    <x v="0"/>
    <b v="0"/>
    <s v="No está en VPC"/>
    <n v="865"/>
    <s v="INTPG_VPC_860_1.17_865_1.17"/>
    <s v="ISEL-1.17"/>
    <n v="1"/>
    <s v="NO TIENE L3OUT"/>
    <n v="0"/>
    <n v="54"/>
  </r>
  <r>
    <n v="753"/>
    <x v="2"/>
    <x v="105"/>
    <s v="eth1/17"/>
    <x v="0"/>
    <x v="0"/>
    <x v="0"/>
    <s v="OSS F1:ithenmr04e2r9b:Bay2/X1"/>
    <x v="0"/>
    <b v="0"/>
    <s v="No está en VPC"/>
    <n v="753"/>
    <s v="INTPG_PC_753_1.17-18"/>
    <s v="ISEL-1.17"/>
    <n v="8"/>
    <s v="NO TIENE L3OUT"/>
    <n v="62"/>
    <n v="54"/>
  </r>
  <r>
    <n v="708"/>
    <x v="2"/>
    <x v="106"/>
    <s v="eth1/17"/>
    <x v="0"/>
    <x v="1"/>
    <x v="5"/>
    <s v="CEM:ITHCEMF2RTB09:LOM P1"/>
    <x v="0"/>
    <b v="0"/>
    <s v="No está en VPC"/>
    <n v="708"/>
    <s v="INTPG_VPC_708_1.17_709_1.18"/>
    <s v="ISEL-1.17"/>
    <n v="1"/>
    <s v="NO TIENE L3OUT"/>
    <n v="0"/>
    <n v="54"/>
  </r>
  <r>
    <n v="710"/>
    <x v="2"/>
    <x v="107"/>
    <s v="eth1/17"/>
    <x v="0"/>
    <x v="1"/>
    <x v="5"/>
    <s v="CEM:ITHCEMD2AKF09:LOM P1"/>
    <x v="0"/>
    <b v="0"/>
    <s v="No está en VPC"/>
    <n v="710"/>
    <s v="INTPG_VPC_710_1.17_711_1.18"/>
    <s v="ISEL-1.17"/>
    <n v="1"/>
    <s v="NO TIENE L3OUT"/>
    <n v="16"/>
    <n v="54"/>
  </r>
  <r>
    <n v="713"/>
    <x v="2"/>
    <x v="108"/>
    <s v="eth1/17"/>
    <x v="0"/>
    <x v="1"/>
    <x v="5"/>
    <s v="CEM:ITHCEMA2ADT09:LOM P1"/>
    <x v="0"/>
    <b v="0"/>
    <s v="No está en VPC"/>
    <n v="713"/>
    <s v="INTPG_VPC_713_1.17_712_1.18"/>
    <s v="ISEL-1.17"/>
    <n v="1"/>
    <s v="NO TIENE L3OUT"/>
    <n v="32"/>
    <n v="54"/>
  </r>
  <r>
    <n v="735"/>
    <x v="2"/>
    <x v="109"/>
    <s v="eth1/17"/>
    <x v="0"/>
    <x v="0"/>
    <x v="0"/>
    <s v="CEM:ITHCEMA1NAM09:LOM P3"/>
    <x v="5"/>
    <b v="0"/>
    <s v="No está en VPC"/>
    <n v="735"/>
    <s v="INTPG_ACC_735_1.17"/>
    <s v="ISEL-1.17"/>
    <n v="1"/>
    <s v="NO TIENE L3OUT"/>
    <n v="34"/>
    <n v="54"/>
  </r>
  <r>
    <n v="731"/>
    <x v="2"/>
    <x v="110"/>
    <s v="eth1/17"/>
    <x v="0"/>
    <x v="0"/>
    <x v="0"/>
    <s v="Server_Pre-R02-CBS-RH2288-01"/>
    <x v="0"/>
    <b v="0"/>
    <s v="No está en VPC"/>
    <n v="731"/>
    <s v="INTPG_ACC_731_1.17"/>
    <s v="ISEL-1.17"/>
    <n v="1"/>
    <s v="NO TIENE L3OUT"/>
    <n v="38"/>
    <n v="54"/>
  </r>
  <r>
    <n v="703"/>
    <x v="2"/>
    <x v="111"/>
    <s v="eth1/17"/>
    <x v="0"/>
    <x v="0"/>
    <x v="0"/>
    <m/>
    <x v="0"/>
    <b v="0"/>
    <s v="No está en VPC"/>
    <n v="703"/>
    <s v="INTPG_VPC_703_1.17_704_1.18"/>
    <s v="ISEL-1.17"/>
    <n v="1"/>
    <s v="NO TIENE L3OUT"/>
    <n v="2"/>
    <n v="54"/>
  </r>
  <r>
    <n v="706"/>
    <x v="2"/>
    <x v="112"/>
    <s v="eth1/17"/>
    <x v="0"/>
    <x v="1"/>
    <x v="5"/>
    <s v="CEM:ITHCEMA1ETL09:LOM  P1"/>
    <x v="0"/>
    <b v="0"/>
    <s v="No está en VPC"/>
    <n v="706"/>
    <s v="INTPG_VPC_706_1.17_705_1.18"/>
    <s v="ISEL-1.17"/>
    <n v="1"/>
    <s v="NO TIENE L3OUT"/>
    <n v="16"/>
    <n v="54"/>
  </r>
  <r>
    <n v="762"/>
    <x v="2"/>
    <x v="113"/>
    <s v="eth1/17"/>
    <x v="0"/>
    <x v="0"/>
    <x v="0"/>
    <s v="PAAS:ithhwosstpap002:LOM PORT 3"/>
    <x v="0"/>
    <b v="0"/>
    <s v="No está en VPC"/>
    <n v="762"/>
    <s v="INTPG_VPC_762_1.17_763_1.17"/>
    <s v="ISEL-1.17"/>
    <n v="15"/>
    <s v="NO TIENE L3OUT"/>
    <n v="0"/>
    <n v="54"/>
  </r>
  <r>
    <n v="814"/>
    <x v="2"/>
    <x v="114"/>
    <s v="eth1/17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17"/>
    <x v="0"/>
    <x v="0"/>
    <x v="0"/>
    <s v="HACIA_CSI-B-OSCP-F4-13_SECUNDARIO"/>
    <x v="4"/>
    <b v="0"/>
    <s v="No está en VPC"/>
    <n v="878"/>
    <s v="INTPG_VPC_878_1.17_879_1.17"/>
    <s v="ISEL-1.17"/>
    <n v="2"/>
    <s v="NO TIENE L3OUT"/>
    <n v="0"/>
    <n v="54"/>
  </r>
  <r>
    <n v="826"/>
    <x v="2"/>
    <x v="116"/>
    <s v="eth1/17"/>
    <x v="0"/>
    <x v="0"/>
    <x v="0"/>
    <s v="LINK_TO_ITHFHWCBSDSHD15 /10GE.1 /Principal"/>
    <x v="0"/>
    <b v="0"/>
    <s v="No está en VPC"/>
    <n v="826"/>
    <s v="INTPG_VPC_826_1.17_830_1.17"/>
    <s v="ISEL-1.17"/>
    <n v="1"/>
    <s v="NO TIENE L3OUT"/>
    <n v="12"/>
    <n v="54"/>
  </r>
  <r>
    <n v="726"/>
    <x v="2"/>
    <x v="117"/>
    <s v="eth1/17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17"/>
    <x v="0"/>
    <x v="0"/>
    <x v="0"/>
    <s v="CEM:ITHCEMC2AKF09:LOM P3"/>
    <x v="5"/>
    <b v="0"/>
    <s v="No está en VPC"/>
    <n v="740"/>
    <s v="INTPG_ACC_740_1.17"/>
    <s v="ISEL-1.17"/>
    <n v="1"/>
    <s v="NO TIENE L3OUT"/>
    <n v="72"/>
    <n v="54"/>
  </r>
  <r>
    <n v="705"/>
    <x v="2"/>
    <x v="119"/>
    <s v="eth1/17"/>
    <x v="0"/>
    <x v="0"/>
    <x v="0"/>
    <s v="CEM:ITHOIDB1SVR09:LOM  P2"/>
    <x v="0"/>
    <b v="0"/>
    <s v="No está en VPC"/>
    <n v="705"/>
    <s v="INTPG_VPC_705_1.17_706_1.18"/>
    <s v="ISEL-1.17"/>
    <n v="1"/>
    <s v="NO TIENE L3OUT"/>
    <n v="16"/>
    <n v="54"/>
  </r>
  <r>
    <n v="723"/>
    <x v="2"/>
    <x v="120"/>
    <s v="eth1/17"/>
    <x v="0"/>
    <x v="1"/>
    <x v="5"/>
    <m/>
    <x v="0"/>
    <b v="0"/>
    <s v="No está en VPC"/>
    <n v="723"/>
    <s v="INTPG-VPC_HDD112_723_1.17_722_1.18"/>
    <s v="ISEL-1.17"/>
    <n v="1"/>
    <s v="NO TIENE L3OUT"/>
    <n v="0"/>
    <n v="54"/>
  </r>
  <r>
    <n v="721"/>
    <x v="2"/>
    <x v="121"/>
    <s v="eth1/17"/>
    <x v="0"/>
    <x v="0"/>
    <x v="0"/>
    <s v="TO-ITHFHWVRALCN02"/>
    <x v="0"/>
    <b v="0"/>
    <s v="No está en VPC"/>
    <n v="721"/>
    <s v="INTPG_VPC_714_1.18_721_1.17"/>
    <s v="ISEL-1.17"/>
    <n v="108"/>
    <s v="NO TIENE L3OUT"/>
    <n v="20"/>
    <n v="54"/>
  </r>
  <r>
    <n v="788"/>
    <x v="2"/>
    <x v="122"/>
    <s v="eth1/17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17"/>
    <x v="0"/>
    <x v="1"/>
    <x v="3"/>
    <m/>
    <x v="0"/>
    <b v="0"/>
    <s v="No está en VPC"/>
    <n v="732"/>
    <s v="INTPG_ACC_732_1.17"/>
    <s v="ISEL-1.17"/>
    <n v="0"/>
    <s v="NO TIENE L3OUT"/>
    <n v="0"/>
    <n v="54"/>
  </r>
  <r>
    <n v="720"/>
    <x v="2"/>
    <x v="124"/>
    <s v="eth1/17"/>
    <x v="0"/>
    <x v="0"/>
    <x v="0"/>
    <m/>
    <x v="0"/>
    <b v="0"/>
    <s v="No está en VPC"/>
    <n v="720"/>
    <s v="INTPG-VPC_CMG01_720_1.17_719_1.18"/>
    <s v="ISEL-1.17"/>
    <n v="1"/>
    <s v="NO TIENE L3OUT"/>
    <n v="0"/>
    <n v="54"/>
  </r>
  <r>
    <n v="709"/>
    <x v="2"/>
    <x v="125"/>
    <s v="eth1/17"/>
    <x v="0"/>
    <x v="1"/>
    <x v="5"/>
    <s v="CEM:ITHCEME2RTB09:LOM P1"/>
    <x v="0"/>
    <b v="0"/>
    <s v="No está en VPC"/>
    <n v="709"/>
    <s v="INTPG_VPC_708_1.18_709_1.17"/>
    <s v="ISEL-1.17"/>
    <n v="1"/>
    <s v="NO TIENE L3OUT"/>
    <n v="0"/>
    <n v="54"/>
  </r>
  <r>
    <n v="454"/>
    <x v="1"/>
    <x v="126"/>
    <s v="eth1/17"/>
    <x v="0"/>
    <x v="0"/>
    <x v="0"/>
    <s v="HACIA_CSI-B-OSCP-F4-01_PRIMARIO"/>
    <x v="4"/>
    <b v="0"/>
    <s v="No está en VPC"/>
    <n v="454"/>
    <s v="INTPG_VPC_454_1.17_456_1.17"/>
    <s v="ISEL-1.17"/>
    <n v="2"/>
    <s v="NO TIENE L3OUT"/>
    <n v="4"/>
    <n v="54"/>
  </r>
  <r>
    <n v="734"/>
    <x v="2"/>
    <x v="127"/>
    <s v="eth1/17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17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17"/>
    <x v="0"/>
    <x v="0"/>
    <x v="0"/>
    <m/>
    <x v="0"/>
    <b v="0"/>
    <s v="No está en VPC"/>
    <n v="743"/>
    <s v="INTPG_PC_743_1.17-18"/>
    <s v="ISEL-1.17"/>
    <n v="2"/>
    <s v="NO TIENE L3OUT"/>
    <n v="4"/>
    <n v="54"/>
  </r>
  <r>
    <n v="718"/>
    <x v="2"/>
    <x v="130"/>
    <s v="eth1/17"/>
    <x v="0"/>
    <x v="0"/>
    <x v="0"/>
    <m/>
    <x v="0"/>
    <b v="0"/>
    <s v="No está en VPC"/>
    <n v="718"/>
    <s v="INTPG-VPC_HDD09_718_1.17_717_1.18"/>
    <s v="ISEL-1.17"/>
    <n v="1"/>
    <s v="NO TIENE L3OUT"/>
    <n v="0"/>
    <n v="54"/>
  </r>
  <r>
    <n v="744"/>
    <x v="2"/>
    <x v="131"/>
    <s v="eth1/17"/>
    <x v="0"/>
    <x v="0"/>
    <x v="0"/>
    <m/>
    <x v="0"/>
    <b v="0"/>
    <s v="No está en VPC"/>
    <n v="744"/>
    <s v="INTPG_PC_744_1.17-18"/>
    <s v="ISEL-1.17"/>
    <n v="2"/>
    <s v="NO TIENE L3OUT"/>
    <n v="4"/>
    <n v="54"/>
  </r>
  <r>
    <n v="741"/>
    <x v="2"/>
    <x v="132"/>
    <s v="eth1/17"/>
    <x v="0"/>
    <x v="0"/>
    <x v="0"/>
    <s v="CEM:ITHCEMB2AKF09:LOM P3"/>
    <x v="5"/>
    <b v="0"/>
    <s v="No está en VPC"/>
    <n v="741"/>
    <s v="INTPG_ACC_741_1.17"/>
    <s v="ISEL-1.17"/>
    <n v="1"/>
    <s v="NO TIENE L3OUT"/>
    <n v="62"/>
    <n v="54"/>
  </r>
  <r>
    <n v="787"/>
    <x v="2"/>
    <x v="133"/>
    <s v="eth1/17"/>
    <x v="0"/>
    <x v="0"/>
    <x v="0"/>
    <s v="ENIQ F2:itheniqr14bl02nas2r4b:LOM PORT 2"/>
    <x v="0"/>
    <b v="0"/>
    <s v="No está en VPC"/>
    <n v="787"/>
    <s v="INTPG_PC_787_1.16-19"/>
    <s v="ISEL-1.17"/>
    <n v="1"/>
    <s v="NO TIENE L3OUT"/>
    <n v="26"/>
    <n v="54"/>
  </r>
  <r>
    <n v="750"/>
    <x v="2"/>
    <x v="134"/>
    <s v="eth1/17"/>
    <x v="0"/>
    <x v="0"/>
    <x v="0"/>
    <m/>
    <x v="0"/>
    <b v="0"/>
    <s v="No está en VPC"/>
    <n v="750"/>
    <s v="INTPG_ACC_750_1.17"/>
    <s v="ISEL-1.17"/>
    <n v="0"/>
    <s v="NO TIENE L3OUT"/>
    <n v="2"/>
    <n v="54"/>
  </r>
  <r>
    <n v="792"/>
    <x v="2"/>
    <x v="135"/>
    <s v="eth1/17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17"/>
    <x v="1"/>
    <x v="1"/>
    <x v="3"/>
    <s v="CEM:ITHCEMG2RTB09:LOM  P2"/>
    <x v="0"/>
    <b v="0"/>
    <s v="No está en VPC"/>
    <n v="736"/>
    <s v="INTPG_ACC_736_1.17"/>
    <s v="ISEL-1.17"/>
    <n v="0"/>
    <s v="NO TIENE L3OUT"/>
    <n v="48"/>
    <n v="54"/>
  </r>
  <r>
    <n v="799"/>
    <x v="2"/>
    <x v="137"/>
    <s v="eth1/17"/>
    <x v="0"/>
    <x v="0"/>
    <x v="0"/>
    <s v="TO-IMC_PS05-MSP"/>
    <x v="0"/>
    <b v="0"/>
    <s v="No está en VPC"/>
    <n v="799"/>
    <s v="INTPG_ACC_799_1.17"/>
    <s v="ISEL-1.17"/>
    <n v="1"/>
    <s v="NO TIENE L3OUT"/>
    <n v="52"/>
    <n v="54"/>
  </r>
  <r>
    <n v="768"/>
    <x v="2"/>
    <x v="138"/>
    <s v="eth1/17"/>
    <x v="0"/>
    <x v="0"/>
    <x v="0"/>
    <s v="Portchannel_4_R6B"/>
    <x v="0"/>
    <b v="0"/>
    <s v="No está en VPC"/>
    <n v="768"/>
    <s v="INTPG_PC_768_1.17-18"/>
    <s v="ISEL-1.17"/>
    <n v="8"/>
    <s v="NO TIENE L3OUT"/>
    <n v="62"/>
    <n v="54"/>
  </r>
  <r>
    <n v="714"/>
    <x v="2"/>
    <x v="139"/>
    <s v="eth1/17"/>
    <x v="0"/>
    <x v="0"/>
    <x v="0"/>
    <s v="ITHORNG1DAT08_LOM P1"/>
    <x v="0"/>
    <b v="0"/>
    <s v="No está en VPC"/>
    <n v="714"/>
    <s v="INTPG_ACC_714_1.17"/>
    <s v="ISEL-1.17"/>
    <n v="2"/>
    <s v="NO TIENE L3OUT"/>
    <n v="20"/>
    <n v="54"/>
  </r>
  <r>
    <n v="717"/>
    <x v="2"/>
    <x v="140"/>
    <s v="eth1/17"/>
    <x v="0"/>
    <x v="0"/>
    <x v="0"/>
    <m/>
    <x v="0"/>
    <b v="0"/>
    <s v="No está en VPC"/>
    <n v="717"/>
    <s v="INTPG-VPC_HDD19_717_1.17_718_1.18"/>
    <s v="ISEL-1.17"/>
    <n v="1"/>
    <s v="NO TIENE L3OUT"/>
    <n v="0"/>
    <n v="54"/>
  </r>
  <r>
    <n v="789"/>
    <x v="2"/>
    <x v="141"/>
    <s v="eth1/17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17"/>
    <x v="0"/>
    <x v="0"/>
    <x v="0"/>
    <s v="Portchannel_4_R4A"/>
    <x v="0"/>
    <b v="0"/>
    <s v="No está en VPC"/>
    <n v="764"/>
    <s v="INTPG_PC_764_1.17-18"/>
    <s v="ISEL-1.17"/>
    <n v="8"/>
    <s v="NO TIENE L3OUT"/>
    <n v="62"/>
    <n v="54"/>
  </r>
  <r>
    <n v="783"/>
    <x v="2"/>
    <x v="143"/>
    <s v="eth1/17"/>
    <x v="0"/>
    <x v="0"/>
    <x v="0"/>
    <s v="LACP_NAS2_ENIQ9B"/>
    <x v="0"/>
    <b v="0"/>
    <s v="No está en VPC"/>
    <n v="783"/>
    <s v="INTPG_PC_783_1.16-19"/>
    <s v="ISEL-1.17"/>
    <n v="1"/>
    <s v="NO TIENE L3OUT"/>
    <n v="26"/>
    <n v="54"/>
  </r>
  <r>
    <n v="774"/>
    <x v="2"/>
    <x v="144"/>
    <s v="eth1/17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17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17"/>
    <x v="0"/>
    <x v="1"/>
    <x v="1"/>
    <s v="DESC"/>
    <x v="0"/>
    <b v="0"/>
    <s v="No está en VPC"/>
    <n v="794"/>
    <s v="INTPG_PC_794_1.17_19_21_23_25_27"/>
    <s v="ISEL-1.17"/>
    <n v="1"/>
    <s v="NO TIENE L3OUT"/>
    <n v="12"/>
    <n v="54"/>
  </r>
  <r>
    <n v="803"/>
    <x v="2"/>
    <x v="147"/>
    <s v="eth1/17"/>
    <x v="0"/>
    <x v="0"/>
    <x v="0"/>
    <s v="TO-HDPS_43-MSP"/>
    <x v="0"/>
    <b v="0"/>
    <s v="No está en VPC"/>
    <n v="803"/>
    <s v="INTPG_ACC_803_1.17"/>
    <s v="ISEL-1.17"/>
    <n v="1"/>
    <s v="NO TIENE L3OUT"/>
    <n v="48"/>
    <n v="54"/>
  </r>
  <r>
    <n v="786"/>
    <x v="2"/>
    <x v="148"/>
    <s v="eth1/17"/>
    <x v="0"/>
    <x v="0"/>
    <x v="0"/>
    <s v="ENIQ F2:itheniqr16bl02nas2r4a:LOM PORT 2"/>
    <x v="0"/>
    <b v="0"/>
    <s v="No está en VPC"/>
    <n v="786"/>
    <s v="INTPG_PC_786_1.16-19"/>
    <s v="ISEL-1.17"/>
    <n v="1"/>
    <s v="NO TIENE L3OUT"/>
    <n v="26"/>
    <n v="54"/>
  </r>
  <r>
    <n v="757"/>
    <x v="2"/>
    <x v="149"/>
    <s v="eth1/17"/>
    <x v="0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17"/>
    <x v="0"/>
    <x v="0"/>
    <x v="0"/>
    <s v="LACP_NAS2_ENIQ1"/>
    <x v="0"/>
    <b v="0"/>
    <s v="No está en VPC"/>
    <n v="781"/>
    <s v="INTPG_PC_781_1.16-19"/>
    <s v="ISEL-1.17"/>
    <n v="1"/>
    <s v="NO TIENE L3OUT"/>
    <n v="26"/>
    <n v="54"/>
  </r>
  <r>
    <n v="793"/>
    <x v="2"/>
    <x v="151"/>
    <s v="eth1/17"/>
    <x v="0"/>
    <x v="0"/>
    <x v="0"/>
    <s v="DESC"/>
    <x v="0"/>
    <b v="0"/>
    <s v="No está en VPC"/>
    <n v="793"/>
    <s v="INTPG_PC_793_1.17_19_21_23_25_27"/>
    <s v="ISEL-1.17"/>
    <n v="1"/>
    <s v="NO TIENE L3OUT"/>
    <n v="12"/>
    <n v="54"/>
  </r>
  <r>
    <n v="747"/>
    <x v="2"/>
    <x v="152"/>
    <s v="eth1/17"/>
    <x v="0"/>
    <x v="0"/>
    <x v="0"/>
    <s v="PAAS:ithhwosstpap002:Slot4.1"/>
    <x v="0"/>
    <b v="0"/>
    <s v="No está en VPC"/>
    <n v="747"/>
    <s v="INTPG_VPC_747_1.17_752_1.17"/>
    <s v="ISEL-1.17"/>
    <n v="25"/>
    <s v="NO TIENE L3OUT"/>
    <n v="0"/>
    <n v="54"/>
  </r>
  <r>
    <n v="784"/>
    <x v="2"/>
    <x v="153"/>
    <s v="eth1/17"/>
    <x v="0"/>
    <x v="0"/>
    <x v="0"/>
    <s v="ENIQ F2:itheniqr13bl02nas2r6a:LOM PORT 2"/>
    <x v="0"/>
    <b v="0"/>
    <s v="No está en VPC"/>
    <n v="784"/>
    <s v="INTPG_PC_784_1.16-19"/>
    <s v="ISEL-1.17"/>
    <n v="1"/>
    <s v="NO TIENE L3OUT"/>
    <n v="26"/>
    <n v="54"/>
  </r>
  <r>
    <n v="806"/>
    <x v="2"/>
    <x v="154"/>
    <s v="eth1/17"/>
    <x v="0"/>
    <x v="0"/>
    <x v="0"/>
    <s v="TO-HDPS_67-MSP"/>
    <x v="0"/>
    <b v="0"/>
    <s v="No está en VPC"/>
    <n v="806"/>
    <s v="INTPG_ACC_806_1.17"/>
    <s v="ISEL-1.17"/>
    <n v="1"/>
    <s v="NO TIENE L3OUT"/>
    <n v="44"/>
    <n v="54"/>
  </r>
  <r>
    <n v="777"/>
    <x v="2"/>
    <x v="155"/>
    <s v="eth1/17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17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17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17"/>
    <x v="0"/>
    <x v="0"/>
    <x v="0"/>
    <s v="CEM:ITHCEMD2AKF09:LOM P3"/>
    <x v="5"/>
    <b v="0"/>
    <s v="No está en VPC"/>
    <n v="739"/>
    <s v="INTPG_ACC_739_1.17"/>
    <s v="ISEL-1.17"/>
    <n v="1"/>
    <s v="NO TIENE L3OUT"/>
    <n v="72"/>
    <n v="54"/>
  </r>
  <r>
    <n v="775"/>
    <x v="2"/>
    <x v="159"/>
    <s v="eth1/17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17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17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17"/>
    <x v="0"/>
    <x v="0"/>
    <x v="0"/>
    <s v="LINK_TO_ITHFHWCBSDSHD15 /Slot5.1 /Redundante"/>
    <x v="0"/>
    <b v="0"/>
    <s v="No está en VPC"/>
    <n v="830"/>
    <s v="INTPG_VPC_826_1.17_830_1.17"/>
    <s v="ISEL-1.17"/>
    <n v="1"/>
    <s v="NO TIENE L3OUT"/>
    <n v="12"/>
    <n v="54"/>
  </r>
  <r>
    <n v="821"/>
    <x v="2"/>
    <x v="163"/>
    <s v="eth1/17"/>
    <x v="0"/>
    <x v="0"/>
    <x v="0"/>
    <s v="LINK_TO_ITHFHWCBSPSHD15 /Slot5.1 /Redundante"/>
    <x v="0"/>
    <b v="0"/>
    <s v="No está en VPC"/>
    <n v="821"/>
    <s v="INTPG_VPC_816_1.17_821_1.17"/>
    <s v="ISEL-1.17"/>
    <n v="1"/>
    <s v="NO TIENE L3OUT"/>
    <n v="0"/>
    <n v="54"/>
  </r>
  <r>
    <n v="738"/>
    <x v="2"/>
    <x v="164"/>
    <s v="eth1/17"/>
    <x v="0"/>
    <x v="0"/>
    <x v="0"/>
    <s v="CEM:ITHCEME2RTB09:LOM P3"/>
    <x v="5"/>
    <b v="0"/>
    <s v="No está en VPC"/>
    <n v="738"/>
    <s v="INTPG_ACC_738_1.17"/>
    <s v="ISEL-1.17"/>
    <n v="1"/>
    <s v="NO TIENE L3OUT"/>
    <n v="72"/>
    <n v="54"/>
  </r>
  <r>
    <n v="820"/>
    <x v="2"/>
    <x v="165"/>
    <s v="eth1/17"/>
    <x v="0"/>
    <x v="0"/>
    <x v="0"/>
    <s v="LINK_TO_ITHHWCRMPEN03 /X3-10GE 2 /Redundante"/>
    <x v="0"/>
    <b v="0"/>
    <s v="No está en VPC"/>
    <n v="820"/>
    <s v="INTPG_VPC_820_1.14_17_825_1.14_17"/>
    <s v="ISEL-1.17"/>
    <n v="4"/>
    <s v="NO TIENE L3OUT"/>
    <n v="72"/>
    <n v="54"/>
  </r>
  <r>
    <n v="804"/>
    <x v="2"/>
    <x v="166"/>
    <s v="eth1/17"/>
    <x v="0"/>
    <x v="0"/>
    <x v="0"/>
    <s v="TO-HDPS_43-MSP"/>
    <x v="0"/>
    <b v="0"/>
    <s v="No está en VPC"/>
    <n v="804"/>
    <s v="INTPG_ACC_804_1.17"/>
    <s v="ISEL-1.17"/>
    <n v="1"/>
    <s v="NO TIENE L3OUT"/>
    <n v="48"/>
    <n v="54"/>
  </r>
  <r>
    <n v="779"/>
    <x v="2"/>
    <x v="167"/>
    <s v="eth1/17"/>
    <x v="0"/>
    <x v="0"/>
    <x v="0"/>
    <s v="ENIQ F1:itheniqr07nas2r2:LOM PORT 2"/>
    <x v="0"/>
    <b v="0"/>
    <s v="No está en VPC"/>
    <n v="779"/>
    <s v="INTPG_PC_779_1.16-19"/>
    <s v="ISEL-1.17"/>
    <n v="1"/>
    <s v="NO TIENE L3OUT"/>
    <n v="30"/>
    <n v="54"/>
  </r>
  <r>
    <n v="767"/>
    <x v="2"/>
    <x v="168"/>
    <s v="eth1/17"/>
    <x v="0"/>
    <x v="0"/>
    <x v="0"/>
    <s v="Portchannel_4_R3"/>
    <x v="0"/>
    <b v="0"/>
    <s v="No está en VPC"/>
    <n v="767"/>
    <s v="INTPG_PC_767_1.17-18"/>
    <s v="ISEL-1.17"/>
    <n v="8"/>
    <s v="NO TIENE L3OUT"/>
    <n v="60"/>
    <n v="54"/>
  </r>
  <r>
    <n v="827"/>
    <x v="2"/>
    <x v="169"/>
    <s v="eth1/17"/>
    <x v="0"/>
    <x v="0"/>
    <x v="0"/>
    <s v="LINK_TO_ITHFHWCBSDSUSBD11 /Slot5.2 /Principal"/>
    <x v="0"/>
    <b v="0"/>
    <s v="No está en VPC"/>
    <n v="827"/>
    <s v="INTPG_VPC_827_1.17_831_1.17"/>
    <s v="ISEL-1.17"/>
    <n v="2"/>
    <s v="NO TIENE L3OUT"/>
    <n v="14"/>
    <n v="54"/>
  </r>
  <r>
    <n v="809"/>
    <x v="2"/>
    <x v="170"/>
    <s v="eth1/17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17"/>
    <x v="0"/>
    <x v="0"/>
    <x v="0"/>
    <s v="Portchannel_5_R4A"/>
    <x v="0"/>
    <b v="0"/>
    <s v="No está en VPC"/>
    <n v="771"/>
    <s v="INTPG_PC_771_1.17-18"/>
    <s v="ISEL-1.17"/>
    <n v="8"/>
    <s v="NO TIENE L3OUT"/>
    <n v="62"/>
    <n v="54"/>
  </r>
  <r>
    <n v="761"/>
    <x v="2"/>
    <x v="172"/>
    <s v="eth1/17"/>
    <x v="0"/>
    <x v="1"/>
    <x v="1"/>
    <m/>
    <x v="0"/>
    <b v="0"/>
    <s v="No está en VPC"/>
    <n v="761"/>
    <s v="INTPG_VPC_760_1.17-20_761_1.17-20"/>
    <s v="ISEL-1.17"/>
    <n v="0"/>
    <s v="L3OUT-EXACLOUD"/>
    <n v="0"/>
    <n v="54"/>
  </r>
  <r>
    <n v="776"/>
    <x v="2"/>
    <x v="173"/>
    <s v="eth1/17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17"/>
    <x v="0"/>
    <x v="0"/>
    <x v="0"/>
    <s v="TO-HDPS_67-MSP"/>
    <x v="0"/>
    <b v="0"/>
    <s v="No está en VPC"/>
    <n v="805"/>
    <s v="INTPG_ACC_805_1.17"/>
    <s v="ISEL-1.17"/>
    <n v="1"/>
    <s v="NO TIENE L3OUT"/>
    <n v="44"/>
    <n v="54"/>
  </r>
  <r>
    <n v="772"/>
    <x v="2"/>
    <x v="175"/>
    <s v="eth1/17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17"/>
    <x v="0"/>
    <x v="0"/>
    <x v="0"/>
    <s v="ENIQ F2:itheniqr12bl02nas2r6b:LOM PORT 2"/>
    <x v="0"/>
    <b v="0"/>
    <s v="No está en VPC"/>
    <n v="785"/>
    <s v="INTPG_PC_785_1.16-19"/>
    <s v="ISEL-1.17"/>
    <n v="1"/>
    <s v="NO TIENE L3OUT"/>
    <n v="32"/>
    <n v="54"/>
  </r>
  <r>
    <n v="851"/>
    <x v="2"/>
    <x v="177"/>
    <s v="eth1/17"/>
    <x v="0"/>
    <x v="0"/>
    <x v="0"/>
    <s v="LINK_TO_ITHFHWCRMPLCN106 / Slot7.2_16 / Redundante"/>
    <x v="0"/>
    <b v="0"/>
    <s v="No está en VPC"/>
    <n v="851"/>
    <s v="INTPG_ACC_851_1.17"/>
    <s v="ISEL-1.17"/>
    <n v="2"/>
    <s v="NO TIENE L3OUT"/>
    <n v="282"/>
    <n v="54"/>
  </r>
  <r>
    <n v="798"/>
    <x v="2"/>
    <x v="178"/>
    <s v="eth1/17"/>
    <x v="0"/>
    <x v="0"/>
    <x v="0"/>
    <s v="TO-IMC_PS05-MSP"/>
    <x v="0"/>
    <b v="0"/>
    <s v="No está en VPC"/>
    <n v="798"/>
    <s v="INTPG_ACC_798_1.17"/>
    <s v="ISEL-1.17"/>
    <n v="1"/>
    <s v="NO TIENE L3OUT"/>
    <n v="52"/>
    <n v="54"/>
  </r>
  <r>
    <n v="782"/>
    <x v="2"/>
    <x v="179"/>
    <s v="eth1/17"/>
    <x v="0"/>
    <x v="0"/>
    <x v="0"/>
    <s v="LACP_NAS2_ENIQ9A"/>
    <x v="0"/>
    <b v="0"/>
    <s v="No está en VPC"/>
    <n v="782"/>
    <s v="INTPG_PC_782_1.16-19"/>
    <s v="ISEL-1.17"/>
    <n v="1"/>
    <s v="NO TIENE L3OUT"/>
    <n v="32"/>
    <n v="54"/>
  </r>
  <r>
    <n v="852"/>
    <x v="2"/>
    <x v="180"/>
    <s v="eth1/17"/>
    <x v="0"/>
    <x v="0"/>
    <x v="0"/>
    <s v="LINK_TO_ITHFHWCRMPLCN89 / Slot7.3_10 / Redundante"/>
    <x v="0"/>
    <b v="0"/>
    <s v="No está en VPC"/>
    <n v="852"/>
    <s v="INTPG_ACC_852_1.17"/>
    <s v="ISEL-1.17"/>
    <n v="1"/>
    <s v="NO TIENE L3OUT"/>
    <n v="258"/>
    <n v="54"/>
  </r>
  <r>
    <n v="817"/>
    <x v="2"/>
    <x v="181"/>
    <s v="eth1/17"/>
    <x v="0"/>
    <x v="0"/>
    <x v="0"/>
    <s v="LINK_TO_ITHFHWCBSPSUSBD12 /10GE.1 /Principal"/>
    <x v="0"/>
    <b v="0"/>
    <s v="No está en VPC"/>
    <n v="817"/>
    <s v="INTPG_VPC_817_1.17_822_1.17"/>
    <s v="ISEL-1.17"/>
    <n v="1"/>
    <s v="NO TIENE L3OUT"/>
    <n v="0"/>
    <n v="54"/>
  </r>
  <r>
    <n v="832"/>
    <x v="2"/>
    <x v="182"/>
    <s v="eth1/17"/>
    <x v="0"/>
    <x v="0"/>
    <x v="0"/>
    <s v="LINK_TO_ITHFHWCRMDLCN21 /Slot7.2 /Redundante"/>
    <x v="0"/>
    <b v="0"/>
    <s v="No está en VPC"/>
    <n v="832"/>
    <s v="INTPG_ACC_832_1.17"/>
    <s v="ISEL-1.17"/>
    <n v="5"/>
    <s v="NO TIENE L3OUT"/>
    <n v="192"/>
    <n v="54"/>
  </r>
  <r>
    <n v="816"/>
    <x v="2"/>
    <x v="183"/>
    <s v="eth1/17"/>
    <x v="0"/>
    <x v="0"/>
    <x v="0"/>
    <s v="LINK_TO_ITHFHWCBSPSHD15 /10GE.1 /Principal"/>
    <x v="0"/>
    <b v="0"/>
    <s v="No está en VPC"/>
    <n v="816"/>
    <s v="INTPG_VPC_816_1.17_821_1.17"/>
    <s v="ISEL-1.17"/>
    <n v="1"/>
    <s v="NO TIENE L3OUT"/>
    <n v="0"/>
    <n v="54"/>
  </r>
  <r>
    <n v="825"/>
    <x v="2"/>
    <x v="184"/>
    <s v="eth1/17"/>
    <x v="0"/>
    <x v="0"/>
    <x v="0"/>
    <s v="LINK_TO_ITHHWCRMPEN03 /X3-10GE 1 /Principal"/>
    <x v="0"/>
    <b v="0"/>
    <s v="No está en VPC"/>
    <n v="825"/>
    <s v="INTPG_VPC_820_1.14_17_825_1.14_17"/>
    <s v="ISEL-1.17"/>
    <n v="4"/>
    <s v="NO TIENE L3OUT"/>
    <n v="72"/>
    <n v="54"/>
  </r>
  <r>
    <n v="800"/>
    <x v="2"/>
    <x v="185"/>
    <s v="eth1/17"/>
    <x v="0"/>
    <x v="0"/>
    <x v="0"/>
    <s v="TO-WES_02-MSP"/>
    <x v="0"/>
    <b v="0"/>
    <s v="No está en VPC"/>
    <n v="800"/>
    <s v="INTPG_ACC_800_1.17"/>
    <s v="ISEL-1.17"/>
    <n v="1"/>
    <s v="NO TIENE L3OUT"/>
    <n v="78"/>
    <n v="54"/>
  </r>
  <r>
    <n v="801"/>
    <x v="2"/>
    <x v="186"/>
    <s v="eth1/17"/>
    <x v="0"/>
    <x v="1"/>
    <x v="1"/>
    <s v="TO-WES_02-MSP"/>
    <x v="0"/>
    <b v="0"/>
    <s v="No está en VPC"/>
    <n v="801"/>
    <s v="INTPG_ACC_801_1.17"/>
    <s v="ISEL-1.17"/>
    <n v="1"/>
    <s v="NO TIENE L3OUT"/>
    <n v="78"/>
    <n v="54"/>
  </r>
  <r>
    <n v="823"/>
    <x v="2"/>
    <x v="187"/>
    <s v="eth1/17"/>
    <x v="0"/>
    <x v="0"/>
    <x v="0"/>
    <s v="LINK_TO_ITHFHWCBSPSUSBD19 /Slot7.2 /Redundante"/>
    <x v="0"/>
    <b v="0"/>
    <s v="No está en VPC"/>
    <n v="823"/>
    <s v="INTPG_VPC_818_1.17_823_1.17"/>
    <s v="ISEL-1.17"/>
    <n v="2"/>
    <s v="NO TIENE L3OUT"/>
    <n v="8"/>
    <n v="54"/>
  </r>
  <r>
    <n v="837"/>
    <x v="2"/>
    <x v="188"/>
    <s v="eth1/17"/>
    <x v="0"/>
    <x v="0"/>
    <x v="0"/>
    <s v="LINK_TO_ITHFHWCBSPSWR45 / Slot1.1_26 / Principal"/>
    <x v="0"/>
    <b v="0"/>
    <s v="No está en VPC"/>
    <n v="837"/>
    <s v="INTPG_VPC_837_1.17_842_1.17"/>
    <s v="ISEL-1.17"/>
    <n v="2"/>
    <s v="NO TIENE L3OUT"/>
    <n v="8"/>
    <n v="54"/>
  </r>
  <r>
    <n v="867"/>
    <x v="2"/>
    <x v="189"/>
    <s v="eth1/17"/>
    <x v="0"/>
    <x v="0"/>
    <x v="0"/>
    <s v="TO-ITHFSUEXG2XCP01_PCI6.P2"/>
    <x v="0"/>
    <b v="0"/>
    <s v="No está en VPC"/>
    <n v="867"/>
    <s v="INTPG_ACC_867_1.17"/>
    <s v="ISEL-1.17"/>
    <n v="1"/>
    <s v="NO TIENE L3OUT"/>
    <n v="44"/>
    <n v="54"/>
  </r>
  <r>
    <n v="829"/>
    <x v="2"/>
    <x v="190"/>
    <s v="eth1/17"/>
    <x v="0"/>
    <x v="0"/>
    <x v="0"/>
    <s v="LINK_TO_ITHFHWCRMDLCN33 /Slot5.1 /Redundante"/>
    <x v="0"/>
    <b v="0"/>
    <s v="No está en VPC"/>
    <n v="829"/>
    <s v="INTPG_ACC_829_1.17"/>
    <s v="ISEL-1.17"/>
    <n v="2"/>
    <s v="NO TIENE L3OUT"/>
    <n v="224"/>
    <n v="54"/>
  </r>
  <r>
    <n v="831"/>
    <x v="2"/>
    <x v="191"/>
    <s v="eth1/17"/>
    <x v="0"/>
    <x v="0"/>
    <x v="0"/>
    <s v="LINK_TO_ITHFHWCBSDSUSBD11 /Slot7.2 /Redundante"/>
    <x v="0"/>
    <b v="0"/>
    <s v="No está en VPC"/>
    <n v="831"/>
    <s v="INTPG_VPC_827_1.17_831_1.17"/>
    <s v="ISEL-1.17"/>
    <n v="2"/>
    <s v="NO TIENE L3OUT"/>
    <n v="14"/>
    <n v="54"/>
  </r>
  <r>
    <n v="802"/>
    <x v="2"/>
    <x v="192"/>
    <s v="eth1/17"/>
    <x v="0"/>
    <x v="0"/>
    <x v="0"/>
    <s v="TO-HDPS_19-MSP"/>
    <x v="0"/>
    <b v="0"/>
    <s v="No está en VPC"/>
    <n v="802"/>
    <s v="INTPG_ACC_802_1.17"/>
    <s v="ISEL-1.17"/>
    <n v="1"/>
    <s v="NO TIENE L3OUT"/>
    <n v="48"/>
    <n v="54"/>
  </r>
  <r>
    <n v="835"/>
    <x v="2"/>
    <x v="193"/>
    <s v="eth1/17"/>
    <x v="0"/>
    <x v="0"/>
    <x v="0"/>
    <s v="LINK_TO_ITHFHWCBSPSWR59 / Slot1.2_30 / Principal"/>
    <x v="0"/>
    <b v="0"/>
    <s v="No está en VPC"/>
    <n v="835"/>
    <s v="INTPG_VPC_835_1.17_840_1.17"/>
    <s v="ISEL-1.17"/>
    <n v="1"/>
    <s v="NO TIENE L3OUT"/>
    <n v="8"/>
    <n v="54"/>
  </r>
  <r>
    <n v="822"/>
    <x v="2"/>
    <x v="194"/>
    <s v="eth1/17"/>
    <x v="0"/>
    <x v="0"/>
    <x v="0"/>
    <s v="LINK_TO_ITHFHWCBSPSUSBD12 /Slot5.1 /Redundante"/>
    <x v="0"/>
    <b v="0"/>
    <s v="No está en VPC"/>
    <n v="822"/>
    <s v="INTPG_VPC_817_1.17_822_1.17"/>
    <s v="ISEL-1.17"/>
    <n v="1"/>
    <s v="NO TIENE L3OUT"/>
    <n v="0"/>
    <n v="54"/>
  </r>
  <r>
    <n v="854"/>
    <x v="2"/>
    <x v="195"/>
    <s v="eth1/17"/>
    <x v="0"/>
    <x v="0"/>
    <x v="0"/>
    <s v="LINK_TO_ITHFHWCRMPLCN171 / Slot1.1_12 / Principal"/>
    <x v="0"/>
    <b v="0"/>
    <s v="No está en VPC"/>
    <n v="854"/>
    <s v="INTPG_ACC_854_1.17"/>
    <s v="ISEL-1.17"/>
    <n v="6"/>
    <s v="NO TIENE L3OUT"/>
    <n v="204"/>
    <n v="54"/>
  </r>
  <r>
    <n v="858"/>
    <x v="2"/>
    <x v="196"/>
    <s v="eth1/17"/>
    <x v="0"/>
    <x v="0"/>
    <x v="0"/>
    <s v="To_VPC_2DCBSD_HD42_2"/>
    <x v="0"/>
    <b v="0"/>
    <s v="No está en VPC"/>
    <n v="858"/>
    <s v="INTPG_VPC_858_1.17_863_1.17"/>
    <s v="ISEL-1.17"/>
    <n v="1"/>
    <s v="NO TIENE L3OUT"/>
    <n v="8"/>
    <n v="54"/>
  </r>
  <r>
    <n v="857"/>
    <x v="2"/>
    <x v="197"/>
    <s v="eth1/17"/>
    <x v="0"/>
    <x v="0"/>
    <x v="0"/>
    <s v="LINKT_TO_ITHFHWCRMPLCN121 / Slot1.1_12 / Principal"/>
    <x v="0"/>
    <b v="0"/>
    <s v="No está en VPC"/>
    <n v="857"/>
    <s v="INTPG_ACC_857_1.17"/>
    <s v="ISEL-1.17"/>
    <n v="6"/>
    <s v="NO TIENE L3OUT"/>
    <n v="288"/>
    <n v="54"/>
  </r>
  <r>
    <n v="859"/>
    <x v="2"/>
    <x v="198"/>
    <s v="eth1/17"/>
    <x v="0"/>
    <x v="0"/>
    <x v="0"/>
    <s v="To_VPC_2DCBSD_HD36_2"/>
    <x v="0"/>
    <b v="0"/>
    <s v="No está en VPC"/>
    <n v="859"/>
    <s v="INTPG_VPC_859_1.17_864_1.17"/>
    <s v="ISEL-1.17"/>
    <n v="1"/>
    <s v="NO TIENE L3OUT"/>
    <n v="0"/>
    <n v="54"/>
  </r>
  <r>
    <n v="833"/>
    <x v="2"/>
    <x v="199"/>
    <s v="eth1/17"/>
    <x v="0"/>
    <x v="0"/>
    <x v="0"/>
    <s v="LINK_TO_ITHFHWCRMDLCN33 /10GE.1 /Principal"/>
    <x v="0"/>
    <b v="0"/>
    <s v="No está en VPC"/>
    <n v="833"/>
    <s v="INTPG_ACC_833_1.17"/>
    <s v="ISEL-1.17"/>
    <n v="2"/>
    <s v="NO TIENE L3OUT"/>
    <n v="224"/>
    <n v="54"/>
  </r>
  <r>
    <n v="818"/>
    <x v="2"/>
    <x v="200"/>
    <s v="eth1/17"/>
    <x v="0"/>
    <x v="0"/>
    <x v="0"/>
    <s v="LINK_TO_ITHFHWCBSPSUSBD19 /Slot5.2 /Principal"/>
    <x v="0"/>
    <b v="0"/>
    <s v="No está en VPC"/>
    <n v="818"/>
    <s v="INTPG_VPC_818_1.17_823_1.17"/>
    <s v="ISEL-1.17"/>
    <n v="2"/>
    <s v="NO TIENE L3OUT"/>
    <n v="8"/>
    <n v="54"/>
  </r>
  <r>
    <n v="850"/>
    <x v="2"/>
    <x v="201"/>
    <s v="eth1/17"/>
    <x v="0"/>
    <x v="0"/>
    <x v="0"/>
    <s v="LINKT_TO_ITHFHWCRMPLCN121 / Slot7.1_12 / Redundante"/>
    <x v="0"/>
    <b v="0"/>
    <s v="No está en VPC"/>
    <n v="850"/>
    <s v="INTPG_ACC_850_1.17"/>
    <s v="ISEL-1.17"/>
    <n v="6"/>
    <s v="NO TIENE L3OUT"/>
    <n v="288"/>
    <n v="54"/>
  </r>
  <r>
    <n v="860"/>
    <x v="2"/>
    <x v="202"/>
    <s v="eth1/17"/>
    <x v="0"/>
    <x v="0"/>
    <x v="0"/>
    <s v="To_VPC_2DCBSD_HD28_2"/>
    <x v="0"/>
    <b v="0"/>
    <s v="No está en VPC"/>
    <n v="860"/>
    <s v="INTPG_VPC_860_1.17_865_1.17"/>
    <s v="ISEL-1.17"/>
    <n v="1"/>
    <s v="NO TIENE L3OUT"/>
    <n v="0"/>
    <n v="54"/>
  </r>
  <r>
    <n v="853"/>
    <x v="2"/>
    <x v="203"/>
    <s v="eth1/17"/>
    <x v="0"/>
    <x v="0"/>
    <x v="0"/>
    <s v="LINK_TO_ITHFHWCRMPLCN77 / Slot7.2_12 / Redundante"/>
    <x v="0"/>
    <b v="0"/>
    <s v="No está en VPC"/>
    <n v="853"/>
    <s v="INTPG_ACC_853_1.17"/>
    <s v="ISEL-1.17"/>
    <n v="2"/>
    <s v="NO TIENE L3OUT"/>
    <n v="242"/>
    <n v="54"/>
  </r>
  <r>
    <n v="790"/>
    <x v="2"/>
    <x v="204"/>
    <s v="eth1/17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17"/>
    <x v="0"/>
    <x v="0"/>
    <x v="0"/>
    <s v="NETEZZA"/>
    <x v="6"/>
    <b v="0"/>
    <s v="No está en VPC"/>
    <n v="105"/>
    <s v="INTPG_ACC_105_1.17"/>
    <s v="ISEL-1.17"/>
    <n v="1"/>
    <s v="NO TIENE L3OUT"/>
    <n v="106"/>
    <n v="96"/>
  </r>
  <r>
    <n v="117"/>
    <x v="0"/>
    <x v="206"/>
    <s v="eth1/17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17"/>
    <x v="0"/>
    <x v="1"/>
    <x v="1"/>
    <s v="SFLDI"/>
    <x v="6"/>
    <b v="0"/>
    <s v="No está en VPC"/>
    <n v="104"/>
    <s v="INTPG_ACC_104_1.17"/>
    <s v="ISEL-1.17"/>
    <n v="1"/>
    <s v="NO TIENE L3OUT"/>
    <n v="194"/>
    <n v="96"/>
  </r>
  <r>
    <n v="158"/>
    <x v="0"/>
    <x v="208"/>
    <s v="eth1/17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17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17"/>
    <x v="0"/>
    <x v="0"/>
    <x v="0"/>
    <s v="HACIA_CSI-B-OSCP-F4-13_SECUNDARIO"/>
    <x v="4"/>
    <b v="0"/>
    <s v="No está en VPC"/>
    <n v="879"/>
    <s v="INTPG_VPC_878_1.17_879_1.17"/>
    <s v="ISEL-1.17"/>
    <n v="2"/>
    <s v="NO TIENE L3OUT"/>
    <n v="0"/>
    <n v="54"/>
  </r>
  <r>
    <n v="108"/>
    <x v="0"/>
    <x v="211"/>
    <s v="eth1/17"/>
    <x v="0"/>
    <x v="0"/>
    <x v="0"/>
    <s v="TELLABS"/>
    <x v="6"/>
    <b v="0"/>
    <s v="No está en VPC"/>
    <n v="108"/>
    <s v="INTPG_ACC_108_1.17"/>
    <s v="ISEL-1.17"/>
    <n v="1"/>
    <s v="NO TIENE L3OUT"/>
    <n v="126"/>
    <n v="96"/>
  </r>
  <r>
    <n v="112"/>
    <x v="0"/>
    <x v="212"/>
    <s v="eth1/17"/>
    <x v="0"/>
    <x v="0"/>
    <x v="0"/>
    <s v="APROVISIONAMIENTO DE SERVICIOS"/>
    <x v="6"/>
    <b v="0"/>
    <s v="No está en VPC"/>
    <n v="112"/>
    <s v="INTPG_ACC_112_1.17"/>
    <s v="ISEL-1.17"/>
    <n v="1"/>
    <s v="NO TIENE L3OUT"/>
    <n v="144"/>
    <n v="96"/>
  </r>
  <r>
    <n v="107"/>
    <x v="0"/>
    <x v="213"/>
    <s v="eth1/17"/>
    <x v="0"/>
    <x v="0"/>
    <x v="0"/>
    <s v="CONSOLIDACION_ITHFOCCSLUAP01_REDUNDANTE"/>
    <x v="6"/>
    <b v="0"/>
    <s v="No está en VPC"/>
    <n v="107"/>
    <s v="INTPG_ACC_107_1.17"/>
    <s v="ISEL-1.17"/>
    <n v="1"/>
    <s v="NO TIENE L3OUT"/>
    <n v="118"/>
    <n v="96"/>
  </r>
  <r>
    <n v="109"/>
    <x v="0"/>
    <x v="214"/>
    <s v="eth1/17"/>
    <x v="0"/>
    <x v="0"/>
    <x v="0"/>
    <s v="TELLABS"/>
    <x v="6"/>
    <b v="0"/>
    <s v="No está en VPC"/>
    <n v="109"/>
    <s v="INTPG_ACC_109_1.17"/>
    <s v="ISEL-1.17"/>
    <n v="1"/>
    <s v="NO TIENE L3OUT"/>
    <n v="126"/>
    <n v="96"/>
  </r>
  <r>
    <n v="113"/>
    <x v="0"/>
    <x v="215"/>
    <s v="eth1/17"/>
    <x v="0"/>
    <x v="0"/>
    <x v="0"/>
    <s v="TO-ITHFERNTCTRIS02-Principal"/>
    <x v="6"/>
    <b v="0"/>
    <s v="No está en VPC"/>
    <n v="113"/>
    <s v="INTPG_ACC_113_1.17"/>
    <s v="ISEL-1.17"/>
    <n v="1"/>
    <s v="NO TIENE L3OUT"/>
    <n v="52"/>
    <n v="96"/>
  </r>
  <r>
    <n v="114"/>
    <x v="0"/>
    <x v="216"/>
    <s v="eth1/17"/>
    <x v="1"/>
    <x v="1"/>
    <x v="2"/>
    <s v="APROVISIONAMIENTO DE SERVICIOS"/>
    <x v="6"/>
    <b v="0"/>
    <s v="No está en VPC"/>
    <n v="114"/>
    <s v="INTPG_ACC_114_1.17"/>
    <s v="ISEL-1.17"/>
    <n v="1"/>
    <s v="NO TIENE L3OUT"/>
    <n v="144"/>
    <n v="96"/>
  </r>
  <r>
    <n v="124"/>
    <x v="0"/>
    <x v="217"/>
    <s v="eth1/17"/>
    <x v="0"/>
    <x v="0"/>
    <x v="0"/>
    <s v="UXSVA (M9000)"/>
    <x v="6"/>
    <b v="0"/>
    <s v="No está en VPC"/>
    <n v="124"/>
    <s v="INTPG_ACC_124_1.17"/>
    <s v="ISEL-1.17"/>
    <n v="1"/>
    <s v="NO TIENE L3OUT"/>
    <n v="80"/>
    <n v="96"/>
  </r>
  <r>
    <n v="118"/>
    <x v="0"/>
    <x v="218"/>
    <s v="eth1/17"/>
    <x v="0"/>
    <x v="0"/>
    <x v="0"/>
    <s v="COBROS NAVEGACION"/>
    <x v="6"/>
    <b v="0"/>
    <s v="No está en VPC"/>
    <n v="118"/>
    <s v="INTPG_ACC_118_1.17"/>
    <s v="ISEL-1.17"/>
    <n v="1"/>
    <s v="NO TIENE L3OUT"/>
    <n v="180"/>
    <n v="96"/>
  </r>
  <r>
    <n v="159"/>
    <x v="0"/>
    <x v="219"/>
    <s v="eth1/17"/>
    <x v="0"/>
    <x v="0"/>
    <x v="0"/>
    <m/>
    <x v="6"/>
    <b v="0"/>
    <s v="No está en VPC"/>
    <n v="159"/>
    <s v="INTPG_ACC_159_1.17"/>
    <s v="ISEL-1.17"/>
    <n v="1"/>
    <s v="NO TIENE L3OUT"/>
    <n v="72"/>
    <n v="96"/>
  </r>
  <r>
    <n v="840"/>
    <x v="2"/>
    <x v="220"/>
    <s v="eth1/17"/>
    <x v="0"/>
    <x v="0"/>
    <x v="0"/>
    <s v="LINK_TO_ITHFHWCBSPSWR59 / Slot7.2_30 / Redundante"/>
    <x v="0"/>
    <b v="0"/>
    <s v="No está en VPC"/>
    <n v="840"/>
    <s v="INTPG_VPC_835_1.17_840_1.17"/>
    <s v="ISEL-1.17"/>
    <n v="1"/>
    <s v="NO TIENE L3OUT"/>
    <n v="8"/>
    <n v="54"/>
  </r>
  <r>
    <n v="856"/>
    <x v="2"/>
    <x v="221"/>
    <s v="eth1/17"/>
    <x v="0"/>
    <x v="0"/>
    <x v="0"/>
    <s v="LINK_TO_ITHFHWCRMPLCN140 / Slot1.1_14 / Principal"/>
    <x v="0"/>
    <b v="0"/>
    <s v="No está en VPC"/>
    <n v="856"/>
    <s v="INTPG_ACC_856_1.17"/>
    <s v="ISEL-1.17"/>
    <n v="6"/>
    <s v="NO TIENE L3OUT"/>
    <n v="286"/>
    <n v="54"/>
  </r>
  <r>
    <n v="110"/>
    <x v="0"/>
    <x v="222"/>
    <s v="eth1/17"/>
    <x v="0"/>
    <x v="0"/>
    <x v="0"/>
    <s v="UXDX-DATOS"/>
    <x v="6"/>
    <b v="0"/>
    <s v="No está en VPC"/>
    <n v="110"/>
    <s v="INTPG_ACC_110_1.17"/>
    <s v="ISEL-1.17"/>
    <n v="1"/>
    <s v="NO TIENE L3OUT"/>
    <n v="102"/>
    <n v="96"/>
  </r>
  <r>
    <n v="163"/>
    <x v="0"/>
    <x v="223"/>
    <s v="eth1/17"/>
    <x v="0"/>
    <x v="0"/>
    <x v="0"/>
    <s v="SICOP"/>
    <x v="6"/>
    <b v="0"/>
    <s v="No está en VPC"/>
    <n v="163"/>
    <s v="INTPG_ACC_163_1.17"/>
    <s v="ISEL-1.17"/>
    <n v="1"/>
    <s v="NO TIENE L3OUT"/>
    <n v="140"/>
    <n v="96"/>
  </r>
  <r>
    <n v="407"/>
    <x v="1"/>
    <x v="224"/>
    <s v="eth1/17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17"/>
    <x v="0"/>
    <x v="1"/>
    <x v="1"/>
    <s v="OSS_3G_12_2_DATOS"/>
    <x v="6"/>
    <b v="0"/>
    <s v="No está en VPC"/>
    <n v="171"/>
    <s v="INTPG_VPC_171_1.6_17_172_1.6_15"/>
    <s v="ISEL-1.17"/>
    <n v="5"/>
    <s v="NO TIENE L3OUT"/>
    <n v="114"/>
    <n v="96"/>
  </r>
  <r>
    <n v="421"/>
    <x v="1"/>
    <x v="226"/>
    <s v="eth1/17"/>
    <x v="0"/>
    <x v="1"/>
    <x v="4"/>
    <s v="VMS_HW_VOZ"/>
    <x v="6"/>
    <b v="0"/>
    <s v="No está en VPC"/>
    <n v="421"/>
    <s v="INTPG_VPC_419_1.17_421_1.17"/>
    <s v="ISEL-1.17"/>
    <n v="1"/>
    <s v="NO TIENE L3OUT"/>
    <n v="72"/>
    <n v="96"/>
  </r>
  <r>
    <n v="173"/>
    <x v="0"/>
    <x v="227"/>
    <s v="eth1/17"/>
    <x v="0"/>
    <x v="0"/>
    <x v="0"/>
    <s v="ENIQ"/>
    <x v="6"/>
    <b v="0"/>
    <s v="No está en VPC"/>
    <n v="173"/>
    <s v="INTPG_ACC_173_1.17"/>
    <s v="ISEL-1.17"/>
    <n v="1"/>
    <s v="NO TIENE L3OUT"/>
    <n v="66"/>
    <n v="96"/>
  </r>
  <r>
    <n v="154"/>
    <x v="0"/>
    <x v="228"/>
    <s v="eth1/17"/>
    <x v="0"/>
    <x v="0"/>
    <x v="0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17"/>
    <x v="0"/>
    <x v="0"/>
    <x v="0"/>
    <s v="SOP-EAGLE"/>
    <x v="6"/>
    <b v="0"/>
    <s v="No está en VPC"/>
    <n v="172"/>
    <s v="INTPG_ACC_172_1.17"/>
    <s v="ISEL-1.17"/>
    <n v="1"/>
    <s v="NO TIENE L3OUT"/>
    <n v="104"/>
    <n v="96"/>
  </r>
  <r>
    <n v="420"/>
    <x v="1"/>
    <x v="230"/>
    <s v="eth1/17"/>
    <x v="0"/>
    <x v="0"/>
    <x v="0"/>
    <s v="sfmevp02"/>
    <x v="6"/>
    <b v="0"/>
    <s v="No está en VPC"/>
    <n v="420"/>
    <s v="INTPG_ACC_420_1.17"/>
    <s v="ISEL-1.17"/>
    <n v="1"/>
    <s v="NO TIENE L3OUT"/>
    <n v="158"/>
    <n v="96"/>
  </r>
  <r>
    <n v="423"/>
    <x v="1"/>
    <x v="231"/>
    <s v="eth1/17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17"/>
    <x v="0"/>
    <x v="0"/>
    <x v="0"/>
    <s v="OCC ITHCC1 GESTION"/>
    <x v="6"/>
    <b v="0"/>
    <s v="No está en VPC"/>
    <n v="415"/>
    <s v="INTPG_ACC_415_1.17"/>
    <s v="ISEL-1.17"/>
    <n v="1"/>
    <s v="NO TIENE L3OUT"/>
    <n v="52"/>
    <n v="96"/>
  </r>
  <r>
    <n v="102"/>
    <x v="0"/>
    <x v="233"/>
    <s v="eth1/17"/>
    <x v="0"/>
    <x v="1"/>
    <x v="1"/>
    <s v="SFLDI:RLDICDR02:1"/>
    <x v="6"/>
    <b v="0"/>
    <s v="No está en VPC"/>
    <n v="102"/>
    <s v="INTPG_ACC_102_1.17"/>
    <s v="ISEL-1.17"/>
    <n v="1"/>
    <s v="NO TIENE L3OUT"/>
    <n v="228"/>
    <n v="96"/>
  </r>
  <r>
    <n v="863"/>
    <x v="2"/>
    <x v="234"/>
    <s v="eth1/17"/>
    <x v="0"/>
    <x v="0"/>
    <x v="0"/>
    <s v="To_VPC_2DCBSD_HD42_2"/>
    <x v="0"/>
    <b v="0"/>
    <s v="No está en VPC"/>
    <n v="863"/>
    <s v="INTPG_VPC_858_1.17_863_1.17"/>
    <s v="ISEL-1.17"/>
    <n v="1"/>
    <s v="NO TIENE L3OUT"/>
    <n v="8"/>
    <n v="54"/>
  </r>
  <r>
    <n v="876"/>
    <x v="2"/>
    <x v="235"/>
    <s v="eth1/17"/>
    <x v="0"/>
    <x v="0"/>
    <x v="0"/>
    <s v="LINK_TO_ITHFHWSEQLIMPS28 / Slot 4 PTO 1 / Principal"/>
    <x v="4"/>
    <b v="0"/>
    <s v="No está en VPC"/>
    <n v="876"/>
    <s v="INTPG_ACC_876_1.17"/>
    <s v="ISEL-1.17"/>
    <n v="1"/>
    <s v="NO TIENE L3OUT"/>
    <n v="92"/>
    <n v="54"/>
  </r>
  <r>
    <n v="877"/>
    <x v="2"/>
    <x v="236"/>
    <s v="eth1/17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17"/>
    <x v="0"/>
    <x v="1"/>
    <x v="1"/>
    <s v="ixtamws2"/>
    <x v="6"/>
    <b v="0"/>
    <s v="No está en VPC"/>
    <n v="122"/>
    <s v="INTPG_ACC_122_1.17"/>
    <s v="ISEL-1.17"/>
    <n v="1"/>
    <s v="NO TIENE L3OUT"/>
    <n v="148"/>
    <n v="96"/>
  </r>
  <r>
    <n v="157"/>
    <x v="0"/>
    <x v="238"/>
    <s v="eth1/17"/>
    <x v="1"/>
    <x v="1"/>
    <x v="2"/>
    <s v="Consolidaci\u00f3n Aplicaciones Prepago"/>
    <x v="6"/>
    <b v="0"/>
    <s v="No está en VPC"/>
    <n v="157"/>
    <s v="INTPG_ACC_157_1.17"/>
    <s v="ISEL-1.17"/>
    <n v="0"/>
    <s v="NO TIENE L3OUT"/>
    <n v="202"/>
    <n v="96"/>
  </r>
  <r>
    <n v="408"/>
    <x v="1"/>
    <x v="239"/>
    <s v="eth1/17"/>
    <x v="0"/>
    <x v="0"/>
    <x v="0"/>
    <s v="UXCA_EXADATA_MGMT"/>
    <x v="6"/>
    <b v="0"/>
    <s v="No está en VPC"/>
    <n v="408"/>
    <s v="INTPG_ACC_408_1.17"/>
    <s v="ISEL-1.17"/>
    <n v="1"/>
    <s v="NO TIENE L3OUT"/>
    <n v="152"/>
    <n v="96"/>
  </r>
  <r>
    <n v="405"/>
    <x v="1"/>
    <x v="240"/>
    <s v="eth1/17"/>
    <x v="0"/>
    <x v="0"/>
    <x v="0"/>
    <s v="XL5 RLR5ARI07 iLO"/>
    <x v="6"/>
    <b v="0"/>
    <s v="No está en VPC"/>
    <n v="405"/>
    <s v="INTPG_ACC_405_1.17"/>
    <s v="ISEL-1.17"/>
    <n v="1"/>
    <s v="NO TIENE L3OUT"/>
    <n v="138"/>
    <n v="96"/>
  </r>
  <r>
    <n v="169"/>
    <x v="0"/>
    <x v="241"/>
    <s v="eth1/17"/>
    <x v="1"/>
    <x v="1"/>
    <x v="2"/>
    <s v="MMSC_WAPGW"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17"/>
    <x v="0"/>
    <x v="1"/>
    <x v="1"/>
    <s v="UXLDAP"/>
    <x v="6"/>
    <b v="0"/>
    <s v="No está en VPC"/>
    <n v="165"/>
    <s v="INTPG_ACC_165_1.17"/>
    <s v="ISEL-1.17"/>
    <n v="1"/>
    <s v="NO TIENE L3OUT"/>
    <n v="86"/>
    <n v="96"/>
  </r>
  <r>
    <n v="417"/>
    <x v="1"/>
    <x v="243"/>
    <s v="eth1/17"/>
    <x v="0"/>
    <x v="0"/>
    <x v="0"/>
    <s v="IXTSRM2_VM1"/>
    <x v="6"/>
    <b v="0"/>
    <s v="No está en VPC"/>
    <n v="417"/>
    <s v="INTPG_ACC_417_1.17"/>
    <s v="ISEL-1.17"/>
    <n v="1"/>
    <s v="NO TIENE L3OUT"/>
    <n v="56"/>
    <n v="96"/>
  </r>
  <r>
    <n v="153"/>
    <x v="0"/>
    <x v="244"/>
    <s v="eth1/17"/>
    <x v="0"/>
    <x v="1"/>
    <x v="1"/>
    <s v="BLOQUEO EMEI"/>
    <x v="6"/>
    <b v="0"/>
    <s v="No está en VPC"/>
    <n v="153"/>
    <s v="INTPG_ACC_153_1.17"/>
    <s v="ISEL-1.17"/>
    <n v="1"/>
    <s v="NO TIENE L3OUT"/>
    <n v="42"/>
    <n v="96"/>
  </r>
  <r>
    <n v="119"/>
    <x v="0"/>
    <x v="245"/>
    <s v="eth1/17"/>
    <x v="1"/>
    <x v="1"/>
    <x v="2"/>
    <s v="DESC"/>
    <x v="6"/>
    <b v="0"/>
    <s v="No está en VPC"/>
    <n v="119"/>
    <s v="INTPG_PC_119_1.1-4_17-20"/>
    <s v="ISEL-1.17"/>
    <n v="31"/>
    <s v="NO TIENE L3OUT"/>
    <n v="70"/>
    <n v="96"/>
  </r>
  <r>
    <n v="156"/>
    <x v="0"/>
    <x v="246"/>
    <s v="eth1/17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17"/>
    <x v="0"/>
    <x v="0"/>
    <x v="0"/>
    <s v="EHEALTH:ehealthp01:ILOM"/>
    <x v="6"/>
    <b v="0"/>
    <s v="No está en VPC"/>
    <n v="103"/>
    <s v="INTPG_ACC_103_1.17"/>
    <s v="ISEL-1.17"/>
    <n v="1"/>
    <s v="NO TIENE L3OUT"/>
    <n v="70"/>
    <n v="96"/>
  </r>
  <r>
    <n v="438"/>
    <x v="1"/>
    <x v="248"/>
    <s v="eth1/17"/>
    <x v="0"/>
    <x v="0"/>
    <x v="0"/>
    <s v="HP_MSA_2040_(ARREGLO)"/>
    <x v="6"/>
    <b v="0"/>
    <s v="No está en VPC"/>
    <n v="438"/>
    <s v="INTPG_ACC_438_1.17"/>
    <s v="ISEL-1.17"/>
    <n v="1"/>
    <s v="NO TIENE L3OUT"/>
    <n v="170"/>
    <n v="96"/>
  </r>
  <r>
    <n v="406"/>
    <x v="1"/>
    <x v="249"/>
    <s v="eth1/17"/>
    <x v="0"/>
    <x v="0"/>
    <x v="0"/>
    <s v="ITHRTC41VC1"/>
    <x v="6"/>
    <b v="0"/>
    <s v="No está en VPC"/>
    <n v="406"/>
    <s v="INTPG_VPC_404_1.17_406_1.17"/>
    <s v="ISEL-1.17"/>
    <n v="1"/>
    <s v="NO TIENE L3OUT"/>
    <n v="82"/>
    <n v="96"/>
  </r>
  <r>
    <n v="414"/>
    <x v="1"/>
    <x v="250"/>
    <s v="eth1/17"/>
    <x v="0"/>
    <x v="0"/>
    <x v="0"/>
    <s v="9UCS-IXTLA-WEBEX-SERV4"/>
    <x v="6"/>
    <b v="0"/>
    <s v="No está en VPC"/>
    <n v="414"/>
    <s v="INTPG_ACC_414_1.17"/>
    <s v="ISEL-1.17"/>
    <n v="2"/>
    <s v="NO TIENE L3OUT"/>
    <n v="144"/>
    <n v="96"/>
  </r>
  <r>
    <n v="416"/>
    <x v="1"/>
    <x v="251"/>
    <s v="eth1/17"/>
    <x v="0"/>
    <x v="0"/>
    <x v="0"/>
    <s v="sftest02-MEDVOZ_CLIENT3"/>
    <x v="6"/>
    <b v="0"/>
    <s v="No está en VPC"/>
    <n v="416"/>
    <s v="INTPG_VPC_416_1.17_418_1.17"/>
    <s v="ISEL-1.17"/>
    <n v="1"/>
    <s v="NO TIENE L3OUT"/>
    <n v="110"/>
    <n v="96"/>
  </r>
  <r>
    <n v="418"/>
    <x v="1"/>
    <x v="252"/>
    <s v="eth1/17"/>
    <x v="0"/>
    <x v="0"/>
    <x v="0"/>
    <s v="sftest02-MEDVOZ_CLIENT3"/>
    <x v="6"/>
    <b v="0"/>
    <s v="No está en VPC"/>
    <n v="418"/>
    <s v="INTPG_VPC_416_1.17_418_1.17"/>
    <s v="ISEL-1.17"/>
    <n v="1"/>
    <s v="NO TIENE L3OUT"/>
    <n v="152"/>
    <n v="96"/>
  </r>
  <r>
    <n v="413"/>
    <x v="1"/>
    <x v="253"/>
    <s v="eth1/17"/>
    <x v="0"/>
    <x v="0"/>
    <x v="0"/>
    <s v="lagidmhlapvp06_produccion1"/>
    <x v="6"/>
    <b v="0"/>
    <s v="No está en VPC"/>
    <n v="413"/>
    <s v="INTPG_VPC_411_1.21-24_413_1.14-17"/>
    <s v="ISEL-1.17"/>
    <n v="2"/>
    <s v="NO TIENE L3OUT"/>
    <n v="126"/>
    <n v="96"/>
  </r>
  <r>
    <n v="403"/>
    <x v="1"/>
    <x v="254"/>
    <s v="eth1/17"/>
    <x v="0"/>
    <x v="0"/>
    <x v="0"/>
    <s v="XL5 RLR5ARI07"/>
    <x v="6"/>
    <b v="0"/>
    <s v="No está en VPC"/>
    <n v="403"/>
    <s v="INTPG_ACC_403_1.17"/>
    <s v="ISEL-1.17"/>
    <n v="1"/>
    <s v="NO TIENE L3OUT"/>
    <n v="150"/>
    <n v="96"/>
  </r>
  <r>
    <n v="125"/>
    <x v="0"/>
    <x v="255"/>
    <s v="eth1/17"/>
    <x v="0"/>
    <x v="1"/>
    <x v="1"/>
    <s v="OSSDD890 Rack1"/>
    <x v="6"/>
    <b v="0"/>
    <s v="No está en VPC"/>
    <n v="125"/>
    <s v="INTPG_ACC_125_1.17"/>
    <s v="ISEL-1.17"/>
    <n v="1"/>
    <s v="NO TIENE L3OUT"/>
    <n v="72"/>
    <n v="96"/>
  </r>
  <r>
    <n v="166"/>
    <x v="0"/>
    <x v="256"/>
    <s v="eth1/17"/>
    <x v="0"/>
    <x v="0"/>
    <x v="0"/>
    <s v="UXLDAP"/>
    <x v="6"/>
    <b v="0"/>
    <s v="No está en VPC"/>
    <n v="166"/>
    <s v="INTPG_ACC_166_1.17"/>
    <s v="ISEL-1.17"/>
    <n v="1"/>
    <s v="NO TIENE L3OUT"/>
    <n v="84"/>
    <n v="96"/>
  </r>
  <r>
    <n v="111"/>
    <x v="0"/>
    <x v="257"/>
    <s v="eth1/17"/>
    <x v="0"/>
    <x v="0"/>
    <x v="0"/>
    <s v="UXDX-DATOS"/>
    <x v="6"/>
    <b v="0"/>
    <s v="No está en VPC"/>
    <n v="111"/>
    <s v="INTPG_ACC_111_1.17"/>
    <s v="ISEL-1.17"/>
    <n v="1"/>
    <s v="NO TIENE L3OUT"/>
    <n v="58"/>
    <n v="96"/>
  </r>
  <r>
    <n v="115"/>
    <x v="0"/>
    <x v="258"/>
    <s v="eth1/17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17"/>
    <x v="0"/>
    <x v="0"/>
    <x v="0"/>
    <m/>
    <x v="6"/>
    <b v="0"/>
    <s v="No está en VPC"/>
    <n v="106"/>
    <s v="INTPG_ACC_106_1.17"/>
    <s v="ISEL-1.17"/>
    <n v="1"/>
    <s v="NO TIENE L3OUT"/>
    <n v="122"/>
    <n v="96"/>
  </r>
  <r>
    <n v="126"/>
    <x v="0"/>
    <x v="260"/>
    <s v="eth1/17"/>
    <x v="0"/>
    <x v="0"/>
    <x v="0"/>
    <s v="ENIQ_VNX_5400-1_SPB_2RO"/>
    <x v="6"/>
    <b v="0"/>
    <s v="No está en VPC"/>
    <n v="126"/>
    <s v="INTPG_ACC_126_1.17"/>
    <s v="ISEL-1.17"/>
    <n v="1"/>
    <s v="NO TIENE L3OUT"/>
    <n v="54"/>
    <n v="96"/>
  </r>
  <r>
    <n v="425"/>
    <x v="1"/>
    <x v="261"/>
    <s v="eth1/17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17"/>
    <x v="0"/>
    <x v="0"/>
    <x v="0"/>
    <s v="NetNumen"/>
    <x v="6"/>
    <b v="0"/>
    <s v="No está en VPC"/>
    <n v="151"/>
    <s v="INTPG_ACC_151_1.17"/>
    <s v="ISEL-1.17"/>
    <n v="1"/>
    <s v="NO TIENE L3OUT"/>
    <n v="86"/>
    <n v="96"/>
  </r>
  <r>
    <n v="430"/>
    <x v="1"/>
    <x v="263"/>
    <s v="eth1/17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17"/>
    <x v="0"/>
    <x v="0"/>
    <x v="0"/>
    <s v="VMS_HW_VOZ"/>
    <x v="6"/>
    <b v="0"/>
    <s v="No está en VPC"/>
    <n v="419"/>
    <s v="INTPG_VPC_419_1.17_421_1.17"/>
    <s v="ISEL-1.17"/>
    <n v="1"/>
    <s v="NO TIENE L3OUT"/>
    <n v="70"/>
    <n v="96"/>
  </r>
  <r>
    <n v="155"/>
    <x v="0"/>
    <x v="265"/>
    <s v="eth1/17"/>
    <x v="0"/>
    <x v="0"/>
    <x v="0"/>
    <s v="COBROS NAVEGACION"/>
    <x v="6"/>
    <b v="0"/>
    <s v="No está en VPC"/>
    <n v="155"/>
    <s v="INTPG_ACC_155_1.17"/>
    <s v="ISEL-1.17"/>
    <n v="1"/>
    <s v="NO TIENE L3OUT"/>
    <n v="198"/>
    <n v="96"/>
  </r>
  <r>
    <n v="409"/>
    <x v="1"/>
    <x v="266"/>
    <s v="eth1/17"/>
    <x v="0"/>
    <x v="0"/>
    <x v="0"/>
    <s v="IXT_SIEU"/>
    <x v="6"/>
    <b v="0"/>
    <s v="No está en VPC"/>
    <n v="409"/>
    <s v="INTPG_ACC_409_1.17"/>
    <s v="ISEL-1.17"/>
    <n v="1"/>
    <s v="NO TIENE L3OUT"/>
    <n v="128"/>
    <n v="96"/>
  </r>
  <r>
    <n v="422"/>
    <x v="1"/>
    <x v="267"/>
    <s v="eth1/17"/>
    <x v="0"/>
    <x v="0"/>
    <x v="0"/>
    <s v="TO-ITHFDEOCP1LWR07-REDUNDANTE"/>
    <x v="6"/>
    <b v="0"/>
    <s v="No está en VPC"/>
    <n v="422"/>
    <s v="INTPG_ACC_422_1.17"/>
    <s v="ISEL-1.17"/>
    <n v="1"/>
    <s v="NO TIENE L3OUT"/>
    <n v="182"/>
    <n v="96"/>
  </r>
  <r>
    <n v="436"/>
    <x v="1"/>
    <x v="268"/>
    <s v="eth1/17"/>
    <x v="0"/>
    <x v="0"/>
    <x v="0"/>
    <s v="HP_MSA_2040_(ARREGLO)"/>
    <x v="6"/>
    <b v="0"/>
    <s v="No está en VPC"/>
    <n v="436"/>
    <s v="INTPG_ACC_436_1.17"/>
    <s v="ISEL-1.17"/>
    <n v="1"/>
    <s v="NO TIENE L3OUT"/>
    <n v="172"/>
    <n v="96"/>
  </r>
  <r>
    <n v="410"/>
    <x v="1"/>
    <x v="269"/>
    <s v="eth1/17"/>
    <x v="0"/>
    <x v="0"/>
    <x v="0"/>
    <s v="ITHMSNUBE1_ITH0"/>
    <x v="6"/>
    <b v="0"/>
    <s v="No está en VPC"/>
    <n v="410"/>
    <s v="INTPG_ACC_410_1.17"/>
    <s v="ISEL-1.17"/>
    <n v="1"/>
    <s v="NO TIENE L3OUT"/>
    <n v="178"/>
    <n v="96"/>
  </r>
  <r>
    <n v="161"/>
    <x v="0"/>
    <x v="270"/>
    <s v="eth1/17"/>
    <x v="0"/>
    <x v="0"/>
    <x v="0"/>
    <s v="SICOP"/>
    <x v="6"/>
    <b v="0"/>
    <s v="No está en VPC"/>
    <n v="161"/>
    <s v="INTPG_ACC_161_1.17"/>
    <s v="ISEL-1.17"/>
    <n v="1"/>
    <s v="NO TIENE L3OUT"/>
    <n v="102"/>
    <n v="96"/>
  </r>
  <r>
    <n v="411"/>
    <x v="1"/>
    <x v="271"/>
    <s v="eth1/17"/>
    <x v="0"/>
    <x v="0"/>
    <x v="0"/>
    <s v="GESTOR"/>
    <x v="6"/>
    <b v="0"/>
    <s v="No está en VPC"/>
    <n v="411"/>
    <s v="INTPG_ACC_411_1.17"/>
    <s v="ISEL-1.17"/>
    <n v="1"/>
    <s v="NO TIENE L3OUT"/>
    <n v="96"/>
    <n v="96"/>
  </r>
  <r>
    <n v="116"/>
    <x v="0"/>
    <x v="272"/>
    <s v="eth1/17"/>
    <x v="0"/>
    <x v="0"/>
    <x v="0"/>
    <s v="COBROS NAVEGACION"/>
    <x v="6"/>
    <b v="0"/>
    <s v="No está en VPC"/>
    <n v="116"/>
    <s v="INTPG_ACC_116_1.17"/>
    <s v="ISEL-1.17"/>
    <n v="1"/>
    <s v="NO TIENE L3OUT"/>
    <n v="148"/>
    <n v="96"/>
  </r>
  <r>
    <n v="412"/>
    <x v="1"/>
    <x v="273"/>
    <s v="eth1/17"/>
    <x v="0"/>
    <x v="0"/>
    <x v="0"/>
    <s v="RESPAL_CS5_ASAP8"/>
    <x v="6"/>
    <b v="0"/>
    <s v="No está en VPC"/>
    <n v="412"/>
    <s v="INTPG_ACC_412_1.17"/>
    <s v="ISEL-1.17"/>
    <n v="1"/>
    <s v="NO TIENE L3OUT"/>
    <n v="126"/>
    <n v="96"/>
  </r>
  <r>
    <n v="120"/>
    <x v="0"/>
    <x v="274"/>
    <s v="eth1/17"/>
    <x v="1"/>
    <x v="1"/>
    <x v="2"/>
    <s v="ixtamws2"/>
    <x v="6"/>
    <b v="0"/>
    <s v="No está en VPC"/>
    <n v="120"/>
    <s v="INTPG_ACC_120_1.17"/>
    <s v="ISEL-1.17"/>
    <n v="1"/>
    <s v="NO TIENE L3OUT"/>
    <n v="158"/>
    <n v="96"/>
  </r>
  <r>
    <n v="404"/>
    <x v="1"/>
    <x v="275"/>
    <s v="eth1/17"/>
    <x v="0"/>
    <x v="0"/>
    <x v="0"/>
    <s v="ITHRTC41VC1"/>
    <x v="6"/>
    <b v="0"/>
    <s v="No está en VPC"/>
    <n v="404"/>
    <s v="INTPG_VPC_404_1.17_406_1.17"/>
    <s v="ISEL-1.17"/>
    <n v="1"/>
    <s v="NO TIENE L3OUT"/>
    <n v="92"/>
    <n v="96"/>
  </r>
  <r>
    <n v="167"/>
    <x v="0"/>
    <x v="276"/>
    <s v="eth1/17"/>
    <x v="0"/>
    <x v="0"/>
    <x v="0"/>
    <s v="CIMC_HACIA_UCS_9UCS-IXTLA-SERV2"/>
    <x v="6"/>
    <b v="0"/>
    <s v="No está en VPC"/>
    <n v="167"/>
    <s v="INTPG_ACC_167_1.17"/>
    <s v="ISEL-1.17"/>
    <n v="1"/>
    <s v="NO TIENE L3OUT"/>
    <n v="68"/>
    <n v="96"/>
  </r>
  <r>
    <n v="428"/>
    <x v="1"/>
    <x v="277"/>
    <s v="eth1/17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903"/>
    <x v="2"/>
    <x v="278"/>
    <s v="eth1/1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1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18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18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18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18"/>
    <x v="0"/>
    <x v="0"/>
    <x v="0"/>
    <s v="TO-ITHFDEVYCWPBD01"/>
    <x v="0"/>
    <b v="0"/>
    <s v="No está en VPC"/>
    <n v="101"/>
    <s v="INTPG_VPC_101_1.18_150_1.18"/>
    <s v="ISEL-1.18"/>
    <n v="1"/>
    <s v="NO TIENE L3OUT"/>
    <n v="114"/>
    <n v="54"/>
  </r>
  <r>
    <n v="160"/>
    <x v="0"/>
    <x v="4"/>
    <s v="eth1/18"/>
    <x v="0"/>
    <x v="0"/>
    <x v="0"/>
    <m/>
    <x v="1"/>
    <b v="0"/>
    <s v="No está en VPC"/>
    <n v="160"/>
    <s v="INTPG_ACC_160_1.18"/>
    <s v="ISEL-1.18"/>
    <n v="1"/>
    <s v="NO TIENE L3OUT"/>
    <n v="68"/>
    <n v="54"/>
  </r>
  <r>
    <n v="121"/>
    <x v="0"/>
    <x v="5"/>
    <s v="eth1/18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18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18"/>
    <x v="0"/>
    <x v="0"/>
    <x v="0"/>
    <s v="MEDIACION_HUAWEI"/>
    <x v="0"/>
    <b v="0"/>
    <s v="No está en VPC"/>
    <n v="401"/>
    <s v="INTPG_VPC_401_1.18_402_1.18"/>
    <s v="ISEL-1.18"/>
    <n v="1"/>
    <s v="NO TIENE L3OUT"/>
    <n v="40"/>
    <n v="54"/>
  </r>
  <r>
    <n v="402"/>
    <x v="1"/>
    <x v="8"/>
    <s v="eth1/18"/>
    <x v="0"/>
    <x v="0"/>
    <x v="0"/>
    <s v="MEDIACION_HUAWEI"/>
    <x v="0"/>
    <b v="0"/>
    <s v="No está en VPC"/>
    <n v="402"/>
    <s v="INTPG_VPC_401_1.18_402_1.18"/>
    <s v="ISEL-1.18"/>
    <n v="1"/>
    <s v="NO TIENE L3OUT"/>
    <n v="36"/>
    <n v="54"/>
  </r>
  <r>
    <n v="447"/>
    <x v="1"/>
    <x v="9"/>
    <s v="eth1/18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18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18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18"/>
    <x v="0"/>
    <x v="0"/>
    <x v="0"/>
    <s v="TO-ITHFDEVYCWPBD01"/>
    <x v="0"/>
    <b v="0"/>
    <s v="No está en VPC"/>
    <n v="150"/>
    <s v="INTPG_VPC_101_1.18_150_1.18"/>
    <s v="ISEL-1.18"/>
    <n v="1"/>
    <s v="NO TIENE L3OUT"/>
    <n v="118"/>
    <n v="54"/>
  </r>
  <r>
    <n v="131"/>
    <x v="0"/>
    <x v="13"/>
    <s v="eth1/18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18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18"/>
    <x v="0"/>
    <x v="0"/>
    <x v="0"/>
    <s v="TO-ITHHWD6KV60002-NASLACP2-DORADO"/>
    <x v="2"/>
    <b v="0"/>
    <s v="No está en VPC"/>
    <n v="758"/>
    <s v="INTPG_VPC_758_1.18_759_1.18"/>
    <s v="ISEL-1.18"/>
    <n v="15"/>
    <s v="NO TIENE L3OUT"/>
    <n v="0"/>
    <n v="42"/>
  </r>
  <r>
    <n v="759"/>
    <x v="2"/>
    <x v="16"/>
    <s v="eth1/18"/>
    <x v="0"/>
    <x v="0"/>
    <x v="0"/>
    <s v="TO-ITHHWD6KV60002-NASLACP2-DORADO"/>
    <x v="2"/>
    <b v="0"/>
    <s v="No está en VPC"/>
    <n v="759"/>
    <s v="INTPG_VPC_758_1.18_759_1.18"/>
    <s v="ISEL-1.18"/>
    <n v="15"/>
    <s v="NO TIENE L3OUT"/>
    <n v="0"/>
    <n v="42"/>
  </r>
  <r>
    <n v="302"/>
    <x v="0"/>
    <x v="17"/>
    <s v="eth1/18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18"/>
    <x v="0"/>
    <x v="0"/>
    <x v="0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18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18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18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18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18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18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18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18"/>
    <x v="0"/>
    <x v="0"/>
    <x v="0"/>
    <s v="ZTE_HADOOP_produccion_client_LAG"/>
    <x v="0"/>
    <b v="0"/>
    <s v="No está en VPC"/>
    <n v="431"/>
    <s v="INTPG_VPC_431_1.18-21_448_1.18-21"/>
    <s v="ISEL-1.18"/>
    <n v="8"/>
    <s v="NO TIENE L3OUT"/>
    <n v="46"/>
    <n v="54"/>
  </r>
  <r>
    <n v="433"/>
    <x v="1"/>
    <x v="27"/>
    <s v="eth1/18"/>
    <x v="0"/>
    <x v="0"/>
    <x v="0"/>
    <s v="IXT_IS_2_eth1_Primario"/>
    <x v="1"/>
    <b v="0"/>
    <s v="No está en VPC"/>
    <n v="433"/>
    <s v="INTPG_ACC_433_1.18"/>
    <s v="ISEL-1.18"/>
    <n v="1"/>
    <s v="NO TIENE L3OUT"/>
    <n v="42"/>
    <n v="54"/>
  </r>
  <r>
    <n v="429"/>
    <x v="1"/>
    <x v="28"/>
    <s v="eth1/18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18"/>
    <x v="0"/>
    <x v="1"/>
    <x v="1"/>
    <s v="SecAnLG_Gb2_02-Correlacionador-IXTSALG_ESA1"/>
    <x v="1"/>
    <b v="0"/>
    <s v="No está en VPC"/>
    <n v="432"/>
    <s v="INTPG_ACC_432_1.18"/>
    <s v="ISEL-1.18"/>
    <n v="1"/>
    <s v="NO TIENE L3OUT"/>
    <n v="54"/>
    <n v="54"/>
  </r>
  <r>
    <n v="442"/>
    <x v="1"/>
    <x v="30"/>
    <s v="eth1/18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18"/>
    <x v="0"/>
    <x v="0"/>
    <x v="0"/>
    <s v="Gestor_SBCs_Secundario"/>
    <x v="1"/>
    <b v="0"/>
    <s v="No está en VPC"/>
    <n v="434"/>
    <s v="INTPG_ACC_434_1.18"/>
    <s v="ISEL-1.18"/>
    <n v="1"/>
    <s v="NO TIENE L3OUT"/>
    <n v="34"/>
    <n v="54"/>
  </r>
  <r>
    <n v="707"/>
    <x v="2"/>
    <x v="32"/>
    <s v="eth1/18"/>
    <x v="0"/>
    <x v="1"/>
    <x v="3"/>
    <s v="CEM:ITHCEMG2RTB09:LOM P3"/>
    <x v="0"/>
    <b v="0"/>
    <s v="No está en VPC"/>
    <n v="707"/>
    <s v="INTPG_ACC_707_1.18"/>
    <s v="ISEL-1.18"/>
    <n v="1"/>
    <s v="NO TIENE L3OUT"/>
    <n v="54"/>
    <n v="54"/>
  </r>
  <r>
    <n v="712"/>
    <x v="2"/>
    <x v="33"/>
    <s v="eth1/18"/>
    <x v="0"/>
    <x v="1"/>
    <x v="5"/>
    <s v="CEM:ITHCEMA2AKF09:LOM  P2"/>
    <x v="0"/>
    <b v="0"/>
    <s v="No está en VPC"/>
    <n v="712"/>
    <s v="INTPG_VPC_713_1.17_712_1.18"/>
    <s v="ISEL-1.18"/>
    <n v="1"/>
    <s v="NO TIENE L3OUT"/>
    <n v="32"/>
    <n v="54"/>
  </r>
  <r>
    <n v="719"/>
    <x v="2"/>
    <x v="34"/>
    <s v="eth1/18"/>
    <x v="0"/>
    <x v="0"/>
    <x v="0"/>
    <m/>
    <x v="0"/>
    <b v="0"/>
    <s v="No está en VPC"/>
    <n v="719"/>
    <s v="INTPG-VPC_CMG01_720_1.17_719_1.18"/>
    <s v="ISEL-1.18"/>
    <n v="1"/>
    <s v="NO TIENE L3OUT"/>
    <n v="0"/>
    <n v="54"/>
  </r>
  <r>
    <n v="715"/>
    <x v="2"/>
    <x v="35"/>
    <s v="eth1/18"/>
    <x v="0"/>
    <x v="0"/>
    <x v="0"/>
    <m/>
    <x v="0"/>
    <b v="0"/>
    <s v="No está en VPC"/>
    <n v="715"/>
    <s v="INTPG-VPC_HDD31_716_1.17_715_1.18"/>
    <s v="ISEL-1.18"/>
    <n v="1"/>
    <s v="NO TIENE L3OUT"/>
    <n v="0"/>
    <n v="54"/>
  </r>
  <r>
    <n v="427"/>
    <x v="1"/>
    <x v="36"/>
    <s v="eth1/18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18"/>
    <x v="0"/>
    <x v="1"/>
    <x v="5"/>
    <s v="CEM:ITHCEMD2AKF09:LOM  P2"/>
    <x v="0"/>
    <b v="0"/>
    <s v="No está en VPC"/>
    <n v="711"/>
    <s v="INTPG_VPC_710_1.17_711_1.18"/>
    <s v="ISEL-1.18"/>
    <n v="1"/>
    <s v="NO TIENE L3OUT"/>
    <n v="16"/>
    <n v="54"/>
  </r>
  <r>
    <n v="716"/>
    <x v="2"/>
    <x v="38"/>
    <s v="eth1/18"/>
    <x v="0"/>
    <x v="0"/>
    <x v="0"/>
    <m/>
    <x v="0"/>
    <b v="0"/>
    <s v="No está en VPC"/>
    <n v="716"/>
    <s v="INTPG-VPC_HDD40_715_1.17_716_1.18"/>
    <s v="ISEL-1.18"/>
    <n v="1"/>
    <s v="NO TIENE L3OUT"/>
    <n v="0"/>
    <n v="54"/>
  </r>
  <r>
    <n v="702"/>
    <x v="2"/>
    <x v="39"/>
    <s v="eth1/18"/>
    <x v="0"/>
    <x v="0"/>
    <x v="0"/>
    <m/>
    <x v="0"/>
    <b v="0"/>
    <s v="No está en VPC"/>
    <n v="702"/>
    <s v="INTPG_VPC_701_1.17_702_1.18"/>
    <s v="ISEL-1.18"/>
    <n v="2"/>
    <s v="NO TIENE L3OUT"/>
    <n v="0"/>
    <n v="54"/>
  </r>
  <r>
    <n v="435"/>
    <x v="1"/>
    <x v="40"/>
    <s v="eth1/18"/>
    <x v="0"/>
    <x v="0"/>
    <x v="0"/>
    <s v="IXT_IS_3_eth1_Secundario"/>
    <x v="1"/>
    <b v="0"/>
    <s v="No está en VPC"/>
    <n v="435"/>
    <s v="INTPG_ACC_435_1.18"/>
    <s v="ISEL-1.18"/>
    <n v="1"/>
    <s v="NO TIENE L3OUT"/>
    <n v="34"/>
    <n v="54"/>
  </r>
  <r>
    <n v="446"/>
    <x v="1"/>
    <x v="41"/>
    <s v="eth1/18"/>
    <x v="0"/>
    <x v="0"/>
    <x v="0"/>
    <s v="TO-ITHFDLMCLWLCN01"/>
    <x v="0"/>
    <b v="0"/>
    <s v="No está en VPC"/>
    <n v="446"/>
    <s v="INTPG_VPC_446_1.18_444_1.17"/>
    <s v="ISEL-1.18"/>
    <n v="3"/>
    <s v="NO TIENE L3OUT"/>
    <n v="198"/>
    <n v="54"/>
  </r>
  <r>
    <n v="444"/>
    <x v="1"/>
    <x v="42"/>
    <s v="eth1/18"/>
    <x v="0"/>
    <x v="0"/>
    <x v="0"/>
    <m/>
    <x v="0"/>
    <b v="0"/>
    <s v="No está en VPC"/>
    <n v="444"/>
    <s v="INTPG_ACC_444_1.18"/>
    <s v="ISEL-1.18"/>
    <n v="9"/>
    <s v="NO TIENE L3OUT"/>
    <n v="234"/>
    <n v="54"/>
  </r>
  <r>
    <n v="701"/>
    <x v="2"/>
    <x v="43"/>
    <s v="eth1/18"/>
    <x v="0"/>
    <x v="0"/>
    <x v="0"/>
    <m/>
    <x v="0"/>
    <b v="0"/>
    <s v="No está en VPC"/>
    <n v="701"/>
    <s v="INTPG_VPC_702_1.17_701_1.18"/>
    <s v="ISEL-1.18"/>
    <n v="1"/>
    <s v="NO TIENE L3OUT"/>
    <n v="0"/>
    <n v="54"/>
  </r>
  <r>
    <n v="440"/>
    <x v="1"/>
    <x v="44"/>
    <s v="eth1/18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18"/>
    <x v="0"/>
    <x v="0"/>
    <x v="0"/>
    <s v="ZTE_HADOOP_produccion_client_LAG"/>
    <x v="0"/>
    <b v="0"/>
    <s v="No está en VPC"/>
    <n v="448"/>
    <s v="INTPG_VPC_431_1.18-21_448_1.18-21"/>
    <s v="ISEL-1.18"/>
    <n v="8"/>
    <s v="NO TIENE L3OUT"/>
    <n v="46"/>
    <n v="54"/>
  </r>
  <r>
    <n v="704"/>
    <x v="2"/>
    <x v="46"/>
    <s v="eth1/18"/>
    <x v="0"/>
    <x v="0"/>
    <x v="0"/>
    <m/>
    <x v="0"/>
    <b v="0"/>
    <s v="No está en VPC"/>
    <n v="704"/>
    <s v="INTPG_VPC_703_1.17_704_1.18"/>
    <s v="ISEL-1.18"/>
    <n v="1"/>
    <s v="NO TIENE L3OUT"/>
    <n v="0"/>
    <n v="54"/>
  </r>
  <r>
    <n v="729"/>
    <x v="2"/>
    <x v="47"/>
    <s v="eth1/18"/>
    <x v="0"/>
    <x v="0"/>
    <x v="0"/>
    <s v="CRM, CBS:PRE-R03-Taishan BCM01:ETH8"/>
    <x v="0"/>
    <b v="0"/>
    <s v="No está en VPC"/>
    <n v="729"/>
    <s v="INTPG_ACC_729_1.18"/>
    <s v="ISEL-1.18"/>
    <n v="1"/>
    <s v="NO TIENE L3OUT"/>
    <n v="4"/>
    <n v="54"/>
  </r>
  <r>
    <n v="728"/>
    <x v="2"/>
    <x v="48"/>
    <s v="eth1/18"/>
    <x v="0"/>
    <x v="0"/>
    <x v="0"/>
    <s v="CRM, CBS:PRE-R03-Taishan BCM01:ETH0"/>
    <x v="0"/>
    <b v="0"/>
    <s v="No está en VPC"/>
    <n v="728"/>
    <s v="INTPG_ACC_728_1.18"/>
    <s v="ISEL-1.18"/>
    <n v="1"/>
    <s v="NO TIENE L3OUT"/>
    <n v="2"/>
    <n v="54"/>
  </r>
  <r>
    <n v="456"/>
    <x v="1"/>
    <x v="49"/>
    <s v="eth1/18"/>
    <x v="0"/>
    <x v="0"/>
    <x v="0"/>
    <s v="HACIA_CSI-B-OSCP-F4-02_SECUNDARIO"/>
    <x v="4"/>
    <b v="0"/>
    <s v="No está en VPC"/>
    <n v="456"/>
    <s v="INTPG_VPC_454_1.18_456_1.18"/>
    <s v="ISEL-1.18"/>
    <n v="2"/>
    <s v="NO TIENE L3OUT"/>
    <n v="4"/>
    <n v="54"/>
  </r>
  <r>
    <n v="603"/>
    <x v="1"/>
    <x v="50"/>
    <s v="eth1/18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18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18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18"/>
    <x v="0"/>
    <x v="0"/>
    <x v="0"/>
    <s v="Server_Pre-R02-CBS-RH2288-02"/>
    <x v="0"/>
    <b v="0"/>
    <s v="No está en VPC"/>
    <n v="730"/>
    <s v="INTPG_ACC_730_1.18"/>
    <s v="ISEL-1.18"/>
    <n v="1"/>
    <s v="NO TIENE L3OUT"/>
    <n v="36"/>
    <n v="54"/>
  </r>
  <r>
    <n v="722"/>
    <x v="2"/>
    <x v="54"/>
    <s v="eth1/18"/>
    <x v="0"/>
    <x v="0"/>
    <x v="0"/>
    <m/>
    <x v="0"/>
    <b v="0"/>
    <s v="No está en VPC"/>
    <n v="722"/>
    <s v="INTPG-VPC_HDD112_723_1.17_722_1.18"/>
    <s v="ISEL-1.18"/>
    <n v="1"/>
    <s v="NO TIENE L3OUT"/>
    <n v="0"/>
    <n v="54"/>
  </r>
  <r>
    <n v="733"/>
    <x v="2"/>
    <x v="55"/>
    <s v="eth1/18"/>
    <x v="0"/>
    <x v="1"/>
    <x v="3"/>
    <m/>
    <x v="0"/>
    <b v="0"/>
    <s v="No está en VPC"/>
    <n v="733"/>
    <s v="INTPG_ACC_733_1.18"/>
    <s v="ISEL-1.18"/>
    <n v="0"/>
    <s v="NO TIENE L3OUT"/>
    <n v="0"/>
    <n v="54"/>
  </r>
  <r>
    <n v="755"/>
    <x v="2"/>
    <x v="56"/>
    <s v="eth1/18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18"/>
    <x v="0"/>
    <x v="0"/>
    <x v="0"/>
    <m/>
    <x v="0"/>
    <b v="0"/>
    <s v="No está en VPC"/>
    <n v="748"/>
    <s v="INTPG_ACC_748_1.18"/>
    <s v="ISEL-1.18"/>
    <n v="0"/>
    <s v="NO TIENE L3OUT"/>
    <n v="2"/>
    <n v="54"/>
  </r>
  <r>
    <n v="756"/>
    <x v="2"/>
    <x v="58"/>
    <s v="eth1/18"/>
    <x v="0"/>
    <x v="0"/>
    <x v="0"/>
    <s v="OSS F1:ithenmr06bl02nas2r9b:PORT 2"/>
    <x v="0"/>
    <b v="0"/>
    <s v="No está en VPC"/>
    <n v="756"/>
    <s v="INTPG_PC_756_1.15-18"/>
    <s v="ISEL-1.18"/>
    <n v="1"/>
    <s v="NO TIENE L3OUT"/>
    <n v="64"/>
    <n v="54"/>
  </r>
  <r>
    <n v="754"/>
    <x v="2"/>
    <x v="59"/>
    <s v="eth1/18"/>
    <x v="0"/>
    <x v="1"/>
    <x v="1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18"/>
    <x v="0"/>
    <x v="0"/>
    <x v="0"/>
    <m/>
    <x v="0"/>
    <b v="0"/>
    <s v="No está en VPC"/>
    <n v="751"/>
    <s v="INTPG_ACC_751_1.18"/>
    <s v="ISEL-1.18"/>
    <n v="0"/>
    <s v="NO TIENE L3OUT"/>
    <n v="0"/>
    <n v="54"/>
  </r>
  <r>
    <n v="769"/>
    <x v="2"/>
    <x v="61"/>
    <s v="eth1/18"/>
    <x v="0"/>
    <x v="0"/>
    <x v="0"/>
    <s v="Portchannel_4_R1"/>
    <x v="0"/>
    <b v="0"/>
    <s v="No está en VPC"/>
    <n v="769"/>
    <s v="INTPG_PC_769_1.17-18"/>
    <s v="ISEL-1.18"/>
    <n v="8"/>
    <s v="NO TIENE L3OUT"/>
    <n v="60"/>
    <n v="54"/>
  </r>
  <r>
    <n v="742"/>
    <x v="2"/>
    <x v="62"/>
    <s v="eth1/18"/>
    <x v="0"/>
    <x v="0"/>
    <x v="0"/>
    <s v="CEM:ITHCEMB2AKF09:SLOT1 P1"/>
    <x v="5"/>
    <b v="0"/>
    <s v="No está en VPC"/>
    <n v="742"/>
    <s v="INTPG_ACC_742_1.18"/>
    <s v="ISEL-1.18"/>
    <n v="1"/>
    <s v="NO TIENE L3OUT"/>
    <n v="64"/>
    <n v="54"/>
  </r>
  <r>
    <n v="763"/>
    <x v="2"/>
    <x v="63"/>
    <s v="eth1/18"/>
    <x v="0"/>
    <x v="0"/>
    <x v="0"/>
    <s v="PAAS:ithhwosstpap003:FlexIO.1"/>
    <x v="0"/>
    <b v="0"/>
    <s v="No está en VPC"/>
    <n v="763"/>
    <s v="INTPG_VPC_762_1.18_763_1.18"/>
    <s v="ISEL-1.18"/>
    <n v="1"/>
    <s v="NO TIENE L3OUT"/>
    <n v="2"/>
    <n v="54"/>
  </r>
  <r>
    <n v="766"/>
    <x v="2"/>
    <x v="64"/>
    <s v="eth1/18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18"/>
    <x v="0"/>
    <x v="1"/>
    <x v="1"/>
    <m/>
    <x v="0"/>
    <b v="0"/>
    <s v="No está en VPC"/>
    <n v="760"/>
    <s v="INTPG_VPC_760_1.17-20_761_1.17-20"/>
    <s v="ISEL-1.18"/>
    <n v="0"/>
    <s v="L3OUT-EXACLOUD"/>
    <n v="0"/>
    <n v="54"/>
  </r>
  <r>
    <n v="752"/>
    <x v="2"/>
    <x v="66"/>
    <s v="eth1/18"/>
    <x v="0"/>
    <x v="0"/>
    <x v="0"/>
    <s v="PAAS:ithhwosstpap003:LOM PORT 1"/>
    <x v="0"/>
    <b v="0"/>
    <s v="No está en VPC"/>
    <n v="752"/>
    <s v="INTPG_VPC_747_1.28_752_1.18"/>
    <s v="ISEL-1.18"/>
    <n v="25"/>
    <s v="NO TIENE L3OUT"/>
    <n v="0"/>
    <n v="54"/>
  </r>
  <r>
    <n v="765"/>
    <x v="2"/>
    <x v="67"/>
    <s v="eth1/18"/>
    <x v="0"/>
    <x v="0"/>
    <x v="0"/>
    <s v="Portchannel_5_R6B"/>
    <x v="0"/>
    <b v="0"/>
    <s v="No está en VPC"/>
    <n v="765"/>
    <s v="INTPG_PC_765_1.17-18"/>
    <s v="ISEL-1.18"/>
    <n v="8"/>
    <s v="NO TIENE L3OUT"/>
    <n v="60"/>
    <n v="54"/>
  </r>
  <r>
    <n v="778"/>
    <x v="2"/>
    <x v="68"/>
    <s v="eth1/18"/>
    <x v="0"/>
    <x v="0"/>
    <x v="0"/>
    <s v="ENIQ F1:itheniqr08nas2r3:Slot 2/2"/>
    <x v="0"/>
    <b v="0"/>
    <s v="No está en VPC"/>
    <n v="778"/>
    <s v="INTPG_PC_778_1.16-19"/>
    <s v="ISEL-1.18"/>
    <n v="1"/>
    <s v="NO TIENE L3OUT"/>
    <n v="26"/>
    <n v="54"/>
  </r>
  <r>
    <n v="780"/>
    <x v="2"/>
    <x v="69"/>
    <s v="eth1/18"/>
    <x v="0"/>
    <x v="0"/>
    <x v="0"/>
    <s v="LACP_NAS2_ENIQ9C"/>
    <x v="0"/>
    <b v="0"/>
    <s v="No está en VPC"/>
    <n v="780"/>
    <s v="INTPG_PC_780_1.16-19"/>
    <s v="ISEL-1.18"/>
    <n v="1"/>
    <s v="NO TIENE L3OUT"/>
    <n v="26"/>
    <n v="54"/>
  </r>
  <r>
    <n v="812"/>
    <x v="2"/>
    <x v="70"/>
    <s v="eth1/18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18"/>
    <x v="0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18"/>
    <x v="0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18"/>
    <x v="0"/>
    <x v="0"/>
    <x v="0"/>
    <m/>
    <x v="0"/>
    <b v="0"/>
    <s v="No está en VPC"/>
    <n v="749"/>
    <s v="INTPG_ACC_749_1.18"/>
    <s v="ISEL-1.18"/>
    <n v="0"/>
    <s v="NO TIENE L3OUT"/>
    <n v="4"/>
    <n v="54"/>
  </r>
  <r>
    <n v="824"/>
    <x v="2"/>
    <x v="74"/>
    <s v="eth1/18"/>
    <x v="0"/>
    <x v="0"/>
    <x v="0"/>
    <s v="LINK_TO_ITHFHWCMVWPMA11 /Slot5.1 /Redundante"/>
    <x v="0"/>
    <b v="0"/>
    <s v="No está en VPC"/>
    <n v="824"/>
    <s v="INTPG_ACC_824_1.18"/>
    <s v="ISEL-1.18"/>
    <n v="1"/>
    <s v="NO TIENE L3OUT"/>
    <n v="70"/>
    <n v="54"/>
  </r>
  <r>
    <n v="819"/>
    <x v="2"/>
    <x v="75"/>
    <s v="eth1/18"/>
    <x v="0"/>
    <x v="0"/>
    <x v="0"/>
    <s v="LINK_TO_ITHFHWCMVWPMA11 /10GE.1 /Principal"/>
    <x v="0"/>
    <b v="0"/>
    <s v="No está en VPC"/>
    <n v="819"/>
    <s v="INTPG_ACC_819_1.18"/>
    <s v="ISEL-1.18"/>
    <n v="1"/>
    <s v="NO TIENE L3OUT"/>
    <n v="70"/>
    <n v="54"/>
  </r>
  <r>
    <n v="737"/>
    <x v="2"/>
    <x v="76"/>
    <s v="eth1/18"/>
    <x v="0"/>
    <x v="0"/>
    <x v="0"/>
    <s v="CEM:ITHCEME2RTB09:SLOT1 P1"/>
    <x v="5"/>
    <b v="0"/>
    <s v="No está en VPC"/>
    <n v="737"/>
    <s v="INTPG_ACC_737_1.18"/>
    <s v="ISEL-1.18"/>
    <n v="1"/>
    <s v="NO TIENE L3OUT"/>
    <n v="72"/>
    <n v="54"/>
  </r>
  <r>
    <n v="844"/>
    <x v="2"/>
    <x v="77"/>
    <s v="eth1/18"/>
    <x v="0"/>
    <x v="0"/>
    <x v="0"/>
    <s v="LINK_TO_ITHFHWCRMPLCN106 / Slot1.3_16 / Principal"/>
    <x v="0"/>
    <b v="0"/>
    <s v="No está en VPC"/>
    <n v="844"/>
    <s v="INTPG_ACC_844_1.18"/>
    <s v="ISEL-1.18"/>
    <n v="1"/>
    <s v="NO TIENE L3OUT"/>
    <n v="282"/>
    <n v="54"/>
  </r>
  <r>
    <n v="843"/>
    <x v="2"/>
    <x v="78"/>
    <s v="eth1/18"/>
    <x v="0"/>
    <x v="0"/>
    <x v="0"/>
    <s v="LINK_To_ITHFHWCBSPSWR41 / Slot7.1_26 / Redundante"/>
    <x v="0"/>
    <b v="0"/>
    <s v="No está en VPC"/>
    <n v="843"/>
    <s v="INTPG_VPC_838_1.18_843_1.18"/>
    <s v="ISEL-1.18"/>
    <n v="2"/>
    <s v="NO TIENE L3OUT"/>
    <n v="38"/>
    <n v="54"/>
  </r>
  <r>
    <n v="797"/>
    <x v="2"/>
    <x v="79"/>
    <s v="eth1/18"/>
    <x v="0"/>
    <x v="0"/>
    <x v="0"/>
    <s v="TO-HDPS_20-MSP"/>
    <x v="0"/>
    <b v="0"/>
    <s v="No está en VPC"/>
    <n v="797"/>
    <s v="INTPG_ACC_797_1.18"/>
    <s v="ISEL-1.18"/>
    <n v="1"/>
    <s v="NO TIENE L3OUT"/>
    <n v="48"/>
    <n v="54"/>
  </r>
  <r>
    <n v="839"/>
    <x v="2"/>
    <x v="80"/>
    <s v="eth1/18"/>
    <x v="0"/>
    <x v="0"/>
    <x v="0"/>
    <s v="LINK_TO_ITHFHWCBSPSWR63 / Slot7.3_14 / Redundante"/>
    <x v="0"/>
    <b v="0"/>
    <s v="No está en VPC"/>
    <n v="839"/>
    <s v="INTPG_VPC_834_1.18_839_1.18"/>
    <s v="ISEL-1.18"/>
    <n v="1"/>
    <s v="NO TIENE L3OUT"/>
    <n v="0"/>
    <n v="54"/>
  </r>
  <r>
    <n v="847"/>
    <x v="2"/>
    <x v="81"/>
    <s v="eth1/18"/>
    <x v="0"/>
    <x v="0"/>
    <x v="0"/>
    <s v="LINK_TO_ITHFHWCRMPLCN171 / Slot7.2_12 / Redundante"/>
    <x v="0"/>
    <b v="0"/>
    <s v="No está en VPC"/>
    <n v="847"/>
    <s v="INTPG_ACC_847_1.18"/>
    <s v="ISEL-1.18"/>
    <n v="2"/>
    <s v="NO TIENE L3OUT"/>
    <n v="204"/>
    <n v="54"/>
  </r>
  <r>
    <n v="848"/>
    <x v="2"/>
    <x v="82"/>
    <s v="eth1/18"/>
    <x v="0"/>
    <x v="0"/>
    <x v="0"/>
    <s v="LINK_TO_ITHFHWCRMPLCN160 / Slot7.2_22 / Redundante"/>
    <x v="0"/>
    <b v="0"/>
    <s v="No está en VPC"/>
    <n v="848"/>
    <s v="INTPG_ACC_848_1.18"/>
    <s v="ISEL-1.18"/>
    <n v="2"/>
    <s v="NO TIENE L3OUT"/>
    <n v="254"/>
    <n v="54"/>
  </r>
  <r>
    <n v="846"/>
    <x v="2"/>
    <x v="83"/>
    <s v="eth1/18"/>
    <x v="0"/>
    <x v="0"/>
    <x v="0"/>
    <s v="LINK_TO_ITHFHWCRMPLCN77 / Slot1.3_12 / Principal"/>
    <x v="0"/>
    <b v="0"/>
    <s v="No está en VPC"/>
    <n v="846"/>
    <s v="INTPG_ACC_846_1.18"/>
    <s v="ISEL-1.18"/>
    <n v="1"/>
    <s v="NO TIENE L3OUT"/>
    <n v="242"/>
    <n v="54"/>
  </r>
  <r>
    <n v="838"/>
    <x v="2"/>
    <x v="84"/>
    <s v="eth1/18"/>
    <x v="0"/>
    <x v="0"/>
    <x v="0"/>
    <s v="LINK_To_ITHFHWCBSPSWR41 / Slot1.1_26 / Principal"/>
    <x v="0"/>
    <b v="0"/>
    <s v="No está en VPC"/>
    <n v="838"/>
    <s v="INTPG_VPC_838_1.18_843_1.18"/>
    <s v="ISEL-1.18"/>
    <n v="2"/>
    <s v="NO TIENE L3OUT"/>
    <n v="38"/>
    <n v="54"/>
  </r>
  <r>
    <n v="849"/>
    <x v="2"/>
    <x v="85"/>
    <s v="eth1/18"/>
    <x v="0"/>
    <x v="0"/>
    <x v="0"/>
    <s v="LINK_TO_ITHFHWCRMPLCN140 / Slot7.2_14 / Redundante"/>
    <x v="0"/>
    <b v="0"/>
    <s v="No está en VPC"/>
    <n v="849"/>
    <s v="INTPG_ACC_849_1.18"/>
    <s v="ISEL-1.18"/>
    <n v="2"/>
    <s v="NO TIENE L3OUT"/>
    <n v="286"/>
    <n v="54"/>
  </r>
  <r>
    <n v="845"/>
    <x v="2"/>
    <x v="86"/>
    <s v="eth1/18"/>
    <x v="0"/>
    <x v="0"/>
    <x v="0"/>
    <s v="LINK_TO_ITHFHWCRMPLCN90 / Slot1.1_12 / Principal"/>
    <x v="0"/>
    <b v="0"/>
    <s v="No está en VPC"/>
    <n v="845"/>
    <s v="INTPG_ACC_845_1.18"/>
    <s v="ISEL-1.18"/>
    <n v="6"/>
    <s v="NO TIENE L3OUT"/>
    <n v="258"/>
    <n v="54"/>
  </r>
  <r>
    <n v="873"/>
    <x v="2"/>
    <x v="87"/>
    <s v="eth1/18"/>
    <x v="0"/>
    <x v="0"/>
    <x v="0"/>
    <s v="TO_ITHFHWCRMDLCN59_Principal"/>
    <x v="0"/>
    <b v="0"/>
    <s v="No está en VPC"/>
    <n v="873"/>
    <s v="INTPG_ACC_873_1.18"/>
    <s v="ISEL-1.18"/>
    <n v="6"/>
    <s v="NO TIENE L3OUT"/>
    <n v="248"/>
    <n v="54"/>
  </r>
  <r>
    <n v="864"/>
    <x v="2"/>
    <x v="88"/>
    <s v="eth1/18"/>
    <x v="0"/>
    <x v="0"/>
    <x v="0"/>
    <s v="To_VPC_2DCBSD_HD36_3"/>
    <x v="0"/>
    <b v="0"/>
    <s v="No está en VPC"/>
    <n v="864"/>
    <s v="INTPG_VPC_859_1.18_864_1.18"/>
    <s v="ISEL-1.18"/>
    <n v="1"/>
    <s v="NO TIENE L3OUT"/>
    <n v="0"/>
    <n v="54"/>
  </r>
  <r>
    <n v="836"/>
    <x v="2"/>
    <x v="89"/>
    <s v="eth1/18"/>
    <x v="0"/>
    <x v="0"/>
    <x v="0"/>
    <s v="LINK_TO_ITHFHWCBSPSWR51 / Slot1.2_30 / Principal"/>
    <x v="0"/>
    <b v="0"/>
    <s v="No está en VPC"/>
    <n v="836"/>
    <s v="INTPG_VPC_836_1.18_841_1.18"/>
    <s v="ISEL-1.18"/>
    <n v="1"/>
    <s v="NO TIENE L3OUT"/>
    <n v="0"/>
    <n v="54"/>
  </r>
  <r>
    <n v="834"/>
    <x v="2"/>
    <x v="90"/>
    <s v="eth1/18"/>
    <x v="0"/>
    <x v="0"/>
    <x v="0"/>
    <s v="LINK_TO_ITHFHWCBSPSWR63 / Slot1.3_14 / Principal"/>
    <x v="0"/>
    <b v="0"/>
    <s v="No está en VPC"/>
    <n v="834"/>
    <s v="INTPG_VPC_834_1.18_839_1.18"/>
    <s v="ISEL-1.18"/>
    <n v="1"/>
    <s v="NO TIENE L3OUT"/>
    <n v="0"/>
    <n v="54"/>
  </r>
  <r>
    <n v="872"/>
    <x v="2"/>
    <x v="91"/>
    <s v="eth1/18"/>
    <x v="0"/>
    <x v="0"/>
    <x v="0"/>
    <s v="To_ITHFHWCRMDLCN75_Principal"/>
    <x v="0"/>
    <b v="0"/>
    <s v="No está en VPC"/>
    <n v="872"/>
    <s v="INTPG_ACC_872_1.18"/>
    <s v="ISEL-1.18"/>
    <n v="6"/>
    <s v="NO TIENE L3OUT"/>
    <n v="288"/>
    <n v="54"/>
  </r>
  <r>
    <n v="842"/>
    <x v="2"/>
    <x v="92"/>
    <s v="eth1/18"/>
    <x v="0"/>
    <x v="0"/>
    <x v="0"/>
    <s v="LINK_TO_ITHFHWCBSPSWR45 / Slot7.2_26 / Redundante"/>
    <x v="0"/>
    <b v="0"/>
    <s v="No está en VPC"/>
    <n v="842"/>
    <s v="INTPG_VPC_837_1.18_842_1.18"/>
    <s v="ISEL-1.18"/>
    <n v="1"/>
    <s v="NO TIENE L3OUT"/>
    <n v="8"/>
    <n v="54"/>
  </r>
  <r>
    <n v="828"/>
    <x v="2"/>
    <x v="93"/>
    <s v="eth1/18"/>
    <x v="0"/>
    <x v="0"/>
    <x v="0"/>
    <s v="LINK_TO_ITHFHWCRMDLCN21 /10GE.1 /Principal"/>
    <x v="0"/>
    <b v="0"/>
    <s v="No está en VPC"/>
    <n v="828"/>
    <s v="INTPG_ACC_828_1.18"/>
    <s v="ISEL-1.18"/>
    <n v="2"/>
    <s v="NO TIENE L3OUT"/>
    <n v="192"/>
    <n v="54"/>
  </r>
  <r>
    <n v="870"/>
    <x v="2"/>
    <x v="94"/>
    <s v="eth1/18"/>
    <x v="0"/>
    <x v="0"/>
    <x v="0"/>
    <s v="TO_ITHFHWCRMDLCN59_Redundante"/>
    <x v="0"/>
    <b v="0"/>
    <s v="No está en VPC"/>
    <n v="870"/>
    <s v="INTPG_ACC_870_1.18"/>
    <s v="ISEL-1.18"/>
    <n v="6"/>
    <s v="NO TIENE L3OUT"/>
    <n v="248"/>
    <n v="54"/>
  </r>
  <r>
    <n v="866"/>
    <x v="2"/>
    <x v="95"/>
    <s v="eth1/18"/>
    <x v="0"/>
    <x v="0"/>
    <x v="0"/>
    <s v="To_VPC_2DCBSD_HD22_2"/>
    <x v="0"/>
    <b v="0"/>
    <s v="No está en VPC"/>
    <n v="866"/>
    <s v="INTPG_VPC_861_1.18_866_1.18"/>
    <s v="ISEL-1.18"/>
    <n v="1"/>
    <s v="NO TIENE L3OUT"/>
    <n v="8"/>
    <n v="54"/>
  </r>
  <r>
    <n v="862"/>
    <x v="2"/>
    <x v="96"/>
    <s v="eth1/18"/>
    <x v="0"/>
    <x v="0"/>
    <x v="0"/>
    <s v="TO-ITHFSUEXG2XCP02_PCI6.P1"/>
    <x v="0"/>
    <b v="0"/>
    <s v="No está en VPC"/>
    <n v="862"/>
    <s v="INTPG_ACC_862_1.18"/>
    <s v="ISEL-1.18"/>
    <n v="1"/>
    <s v="NO TIENE L3OUT"/>
    <n v="44"/>
    <n v="54"/>
  </r>
  <r>
    <n v="855"/>
    <x v="2"/>
    <x v="97"/>
    <s v="eth1/18"/>
    <x v="0"/>
    <x v="0"/>
    <x v="0"/>
    <s v="LINK_TO_ITHFHWCRMPLCN160 / Slot1.2_22 / Principal"/>
    <x v="0"/>
    <b v="0"/>
    <s v="No está en VPC"/>
    <n v="855"/>
    <s v="INTPG_ACC_855_1.18"/>
    <s v="ISEL-1.18"/>
    <n v="2"/>
    <s v="NO TIENE L3OUT"/>
    <n v="254"/>
    <n v="54"/>
  </r>
  <r>
    <n v="871"/>
    <x v="2"/>
    <x v="98"/>
    <s v="eth1/18"/>
    <x v="0"/>
    <x v="0"/>
    <x v="0"/>
    <s v="TO_ITHFHWCRMDLCN86_Principal"/>
    <x v="0"/>
    <b v="0"/>
    <s v="No está en VPC"/>
    <n v="871"/>
    <s v="INTPG_ACC_871_1.18"/>
    <s v="ISEL-1.18"/>
    <n v="1"/>
    <s v="NO TIENE L3OUT"/>
    <n v="246"/>
    <n v="54"/>
  </r>
  <r>
    <n v="841"/>
    <x v="2"/>
    <x v="99"/>
    <s v="eth1/18"/>
    <x v="0"/>
    <x v="0"/>
    <x v="0"/>
    <s v="LINK_TO_ITHFHWCBSPSWR51 / Slot7.2_30 / Redundante"/>
    <x v="0"/>
    <b v="0"/>
    <s v="No está en VPC"/>
    <n v="841"/>
    <s v="INTPG_VPC_836_1.18_841_1.18"/>
    <s v="ISEL-1.18"/>
    <n v="1"/>
    <s v="NO TIENE L3OUT"/>
    <n v="0"/>
    <n v="54"/>
  </r>
  <r>
    <n v="868"/>
    <x v="2"/>
    <x v="100"/>
    <s v="eth1/18"/>
    <x v="0"/>
    <x v="0"/>
    <x v="0"/>
    <s v="TO_ITHFHWCRMDLCN86_Redundante"/>
    <x v="0"/>
    <b v="0"/>
    <s v="No está en VPC"/>
    <n v="868"/>
    <s v="INTPG_ACC_868_1.18"/>
    <s v="ISEL-1.18"/>
    <n v="1"/>
    <s v="NO TIENE L3OUT"/>
    <n v="246"/>
    <n v="54"/>
  </r>
  <r>
    <n v="869"/>
    <x v="2"/>
    <x v="101"/>
    <s v="eth1/18"/>
    <x v="0"/>
    <x v="0"/>
    <x v="0"/>
    <s v="To_ITHFHWCRMDLCN75_Redundante"/>
    <x v="0"/>
    <b v="0"/>
    <s v="No está en VPC"/>
    <n v="869"/>
    <s v="INTPG_ACC_869_1.18"/>
    <s v="ISEL-1.18"/>
    <n v="6"/>
    <s v="NO TIENE L3OUT"/>
    <n v="288"/>
    <n v="54"/>
  </r>
  <r>
    <n v="861"/>
    <x v="2"/>
    <x v="102"/>
    <s v="eth1/18"/>
    <x v="0"/>
    <x v="0"/>
    <x v="0"/>
    <s v="To_VPC_2DCBSD_HD22_2"/>
    <x v="0"/>
    <b v="0"/>
    <s v="No está en VPC"/>
    <n v="861"/>
    <s v="INTPG_VPC_861_1.18_866_1.18"/>
    <s v="ISEL-1.18"/>
    <n v="1"/>
    <s v="NO TIENE L3OUT"/>
    <n v="8"/>
    <n v="54"/>
  </r>
  <r>
    <n v="874"/>
    <x v="2"/>
    <x v="103"/>
    <s v="eth1/18"/>
    <x v="0"/>
    <x v="0"/>
    <x v="0"/>
    <s v="LINK_TO_ITHFHWSEQLIMPS29 / Slot 5 PTO 1 / Redundante"/>
    <x v="4"/>
    <b v="0"/>
    <s v="No está en VPC"/>
    <n v="874"/>
    <s v="INTPG_ACC_874_1.18"/>
    <s v="ISEL-1.18"/>
    <n v="1"/>
    <s v="NO TIENE L3OUT"/>
    <n v="92"/>
    <n v="54"/>
  </r>
  <r>
    <n v="865"/>
    <x v="2"/>
    <x v="104"/>
    <s v="eth1/18"/>
    <x v="0"/>
    <x v="0"/>
    <x v="0"/>
    <s v="To_VPC_2DCBSD_HD28_3"/>
    <x v="0"/>
    <b v="0"/>
    <s v="No está en VPC"/>
    <n v="865"/>
    <s v="INTPG_VPC_860_1.18_865_1.18"/>
    <s v="ISEL-1.18"/>
    <n v="1"/>
    <s v="NO TIENE L3OUT"/>
    <n v="0"/>
    <n v="54"/>
  </r>
  <r>
    <n v="753"/>
    <x v="2"/>
    <x v="105"/>
    <s v="eth1/18"/>
    <x v="0"/>
    <x v="0"/>
    <x v="0"/>
    <s v="OSS F1:ithenmr04e2r9b:Bay2/X2"/>
    <x v="0"/>
    <b v="0"/>
    <s v="No está en VPC"/>
    <n v="753"/>
    <s v="INTPG_PC_753_1.17-18"/>
    <s v="ISEL-1.18"/>
    <n v="8"/>
    <s v="NO TIENE L3OUT"/>
    <n v="62"/>
    <n v="54"/>
  </r>
  <r>
    <n v="708"/>
    <x v="2"/>
    <x v="106"/>
    <s v="eth1/18"/>
    <x v="0"/>
    <x v="1"/>
    <x v="5"/>
    <s v="CEM:ITHCEME2RTB09:LOM  P2"/>
    <x v="0"/>
    <b v="0"/>
    <s v="No está en VPC"/>
    <n v="708"/>
    <s v="INTPG_VPC_708_1.18_709_1.17"/>
    <s v="ISEL-1.18"/>
    <n v="1"/>
    <s v="NO TIENE L3OUT"/>
    <n v="0"/>
    <n v="54"/>
  </r>
  <r>
    <n v="710"/>
    <x v="2"/>
    <x v="107"/>
    <s v="eth1/18"/>
    <x v="0"/>
    <x v="1"/>
    <x v="5"/>
    <s v="CEM:ITHCEMC2AKF09:LOM  P2"/>
    <x v="0"/>
    <b v="0"/>
    <s v="No está en VPC"/>
    <n v="710"/>
    <s v="INTPG_VPC_710_1.18_711_1.17"/>
    <s v="ISEL-1.18"/>
    <n v="1"/>
    <s v="NO TIENE L3OUT"/>
    <n v="16"/>
    <n v="54"/>
  </r>
  <r>
    <n v="713"/>
    <x v="2"/>
    <x v="108"/>
    <s v="eth1/18"/>
    <x v="0"/>
    <x v="1"/>
    <x v="5"/>
    <s v="CEM:ITHCEMB2ADT09:LOM  P2"/>
    <x v="0"/>
    <b v="0"/>
    <s v="No está en VPC"/>
    <n v="713"/>
    <s v="INTPG_VPC_712_1.17_713_1.18"/>
    <s v="ISEL-1.18"/>
    <n v="1"/>
    <s v="NO TIENE L3OUT"/>
    <n v="32"/>
    <n v="54"/>
  </r>
  <r>
    <n v="735"/>
    <x v="2"/>
    <x v="109"/>
    <s v="eth1/18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18"/>
    <x v="0"/>
    <x v="0"/>
    <x v="0"/>
    <s v="Server_Pre-R02-CBS-RH2288-02"/>
    <x v="0"/>
    <b v="0"/>
    <s v="No está en VPC"/>
    <n v="731"/>
    <s v="INTPG_ACC_731_1.18"/>
    <s v="ISEL-1.18"/>
    <n v="1"/>
    <s v="NO TIENE L3OUT"/>
    <n v="38"/>
    <n v="54"/>
  </r>
  <r>
    <n v="703"/>
    <x v="2"/>
    <x v="111"/>
    <s v="eth1/18"/>
    <x v="0"/>
    <x v="0"/>
    <x v="0"/>
    <m/>
    <x v="0"/>
    <b v="0"/>
    <s v="No está en VPC"/>
    <n v="703"/>
    <s v="INTPG_VPC_704_1.17_703_1.18"/>
    <s v="ISEL-1.18"/>
    <n v="1"/>
    <s v="NO TIENE L3OUT"/>
    <n v="2"/>
    <n v="54"/>
  </r>
  <r>
    <n v="706"/>
    <x v="2"/>
    <x v="112"/>
    <s v="eth1/18"/>
    <x v="0"/>
    <x v="0"/>
    <x v="0"/>
    <m/>
    <x v="0"/>
    <b v="0"/>
    <s v="No está en VPC"/>
    <n v="706"/>
    <s v="INTPG_VPC_705_1.17_706_1.18"/>
    <s v="ISEL-1.18"/>
    <n v="1"/>
    <s v="NO TIENE L3OUT"/>
    <n v="16"/>
    <n v="54"/>
  </r>
  <r>
    <n v="762"/>
    <x v="2"/>
    <x v="113"/>
    <s v="eth1/18"/>
    <x v="0"/>
    <x v="0"/>
    <x v="0"/>
    <s v="PAAS:ithhwosstpap003:LOM PORT 3"/>
    <x v="0"/>
    <b v="0"/>
    <s v="No está en VPC"/>
    <n v="762"/>
    <s v="INTPG_VPC_762_1.18_763_1.18"/>
    <s v="ISEL-1.18"/>
    <n v="1"/>
    <s v="NO TIENE L3OUT"/>
    <n v="0"/>
    <n v="54"/>
  </r>
  <r>
    <n v="814"/>
    <x v="2"/>
    <x v="114"/>
    <s v="eth1/18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18"/>
    <x v="0"/>
    <x v="0"/>
    <x v="0"/>
    <s v="HACIA_CSI-B-OSCP-F4-14_SECUNDARIO"/>
    <x v="4"/>
    <b v="0"/>
    <s v="No está en VPC"/>
    <n v="878"/>
    <s v="INTPG_VPC_878_1.18_879_1.18"/>
    <s v="ISEL-1.18"/>
    <n v="2"/>
    <s v="NO TIENE L3OUT"/>
    <n v="0"/>
    <n v="54"/>
  </r>
  <r>
    <n v="826"/>
    <x v="2"/>
    <x v="116"/>
    <s v="eth1/18"/>
    <x v="0"/>
    <x v="0"/>
    <x v="0"/>
    <s v="LINK_TO_ITHFHWCBSDSHD15 /Slot4.2 /Principal"/>
    <x v="0"/>
    <b v="0"/>
    <s v="No está en VPC"/>
    <n v="826"/>
    <s v="INTPG_VPC_826_1.18_830_1.18"/>
    <s v="ISEL-1.18"/>
    <n v="1"/>
    <s v="NO TIENE L3OUT"/>
    <n v="12"/>
    <n v="54"/>
  </r>
  <r>
    <n v="726"/>
    <x v="2"/>
    <x v="117"/>
    <s v="eth1/18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18"/>
    <x v="0"/>
    <x v="0"/>
    <x v="0"/>
    <s v="CEM:ITHCEMD2AKF09:SLOT1 P1"/>
    <x v="5"/>
    <b v="0"/>
    <s v="No está en VPC"/>
    <n v="740"/>
    <s v="INTPG_ACC_740_1.18"/>
    <s v="ISEL-1.18"/>
    <n v="1"/>
    <s v="NO TIENE L3OUT"/>
    <n v="72"/>
    <n v="54"/>
  </r>
  <r>
    <n v="705"/>
    <x v="2"/>
    <x v="119"/>
    <s v="eth1/18"/>
    <x v="0"/>
    <x v="1"/>
    <x v="5"/>
    <m/>
    <x v="0"/>
    <b v="0"/>
    <s v="No está en VPC"/>
    <n v="705"/>
    <s v="INTPG_VPC_706_1.17_705_1.18"/>
    <s v="ISEL-1.18"/>
    <n v="1"/>
    <s v="NO TIENE L3OUT"/>
    <n v="16"/>
    <n v="54"/>
  </r>
  <r>
    <n v="723"/>
    <x v="2"/>
    <x v="120"/>
    <s v="eth1/18"/>
    <x v="0"/>
    <x v="0"/>
    <x v="0"/>
    <m/>
    <x v="0"/>
    <b v="0"/>
    <s v="No está en VPC"/>
    <n v="723"/>
    <s v="INTPG-VPC_HDD125_722_1.17_723_1.18"/>
    <s v="ISEL-1.18"/>
    <n v="1"/>
    <s v="NO TIENE L3OUT"/>
    <n v="0"/>
    <n v="54"/>
  </r>
  <r>
    <n v="721"/>
    <x v="2"/>
    <x v="121"/>
    <s v="eth1/18"/>
    <x v="0"/>
    <x v="0"/>
    <x v="0"/>
    <s v="ITHORNG1DAT10_SLOT 4 P1"/>
    <x v="0"/>
    <b v="0"/>
    <s v="No está en VPC"/>
    <n v="721"/>
    <s v="INTPG_ACC_721_1.18"/>
    <s v="ISEL-1.18"/>
    <n v="2"/>
    <s v="NO TIENE L3OUT"/>
    <n v="20"/>
    <n v="54"/>
  </r>
  <r>
    <n v="788"/>
    <x v="2"/>
    <x v="122"/>
    <s v="eth1/18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18"/>
    <x v="0"/>
    <x v="1"/>
    <x v="3"/>
    <m/>
    <x v="0"/>
    <b v="0"/>
    <s v="No está en VPC"/>
    <n v="732"/>
    <s v="INTPG_ACC_732_1.18"/>
    <s v="ISEL-1.18"/>
    <n v="0"/>
    <s v="NO TIENE L3OUT"/>
    <n v="0"/>
    <n v="54"/>
  </r>
  <r>
    <n v="720"/>
    <x v="2"/>
    <x v="124"/>
    <s v="eth1/18"/>
    <x v="0"/>
    <x v="0"/>
    <x v="0"/>
    <m/>
    <x v="0"/>
    <b v="0"/>
    <s v="No está en VPC"/>
    <n v="720"/>
    <s v="INTPG-VPC_PAP02_719_1.17_720_1.18"/>
    <s v="ISEL-1.18"/>
    <n v="1"/>
    <s v="NO TIENE L3OUT"/>
    <n v="0"/>
    <n v="54"/>
  </r>
  <r>
    <n v="709"/>
    <x v="2"/>
    <x v="125"/>
    <s v="eth1/18"/>
    <x v="0"/>
    <x v="1"/>
    <x v="5"/>
    <s v="CEM:ITHCEMF2RTB09:LOM  P2"/>
    <x v="0"/>
    <b v="0"/>
    <s v="No está en VPC"/>
    <n v="709"/>
    <s v="INTPG_VPC_708_1.17_709_1.18"/>
    <s v="ISEL-1.18"/>
    <n v="1"/>
    <s v="NO TIENE L3OUT"/>
    <n v="0"/>
    <n v="54"/>
  </r>
  <r>
    <n v="454"/>
    <x v="1"/>
    <x v="126"/>
    <s v="eth1/18"/>
    <x v="0"/>
    <x v="0"/>
    <x v="0"/>
    <s v="HACIA_CSI-B-OSCP-F4-02_PRIMARIO"/>
    <x v="4"/>
    <b v="0"/>
    <s v="No está en VPC"/>
    <n v="454"/>
    <s v="INTPG_VPC_454_1.18_456_1.18"/>
    <s v="ISEL-1.18"/>
    <n v="2"/>
    <s v="NO TIENE L3OUT"/>
    <n v="4"/>
    <n v="54"/>
  </r>
  <r>
    <n v="734"/>
    <x v="2"/>
    <x v="127"/>
    <s v="eth1/18"/>
    <x v="0"/>
    <x v="0"/>
    <x v="0"/>
    <s v="CEM:ITHCEMA1NAM09:SLOT1 P1"/>
    <x v="5"/>
    <b v="0"/>
    <s v="No está en VPC"/>
    <n v="734"/>
    <s v="INTPG_ACC_734_1.18"/>
    <s v="ISEL-1.18"/>
    <n v="1"/>
    <s v="NO TIENE L3OUT"/>
    <n v="32"/>
    <n v="54"/>
  </r>
  <r>
    <n v="815"/>
    <x v="2"/>
    <x v="128"/>
    <s v="eth1/18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18"/>
    <x v="0"/>
    <x v="0"/>
    <x v="0"/>
    <m/>
    <x v="0"/>
    <b v="0"/>
    <s v="No está en VPC"/>
    <n v="743"/>
    <s v="INTPG_PC_743_1.17-18"/>
    <s v="ISEL-1.18"/>
    <n v="2"/>
    <s v="NO TIENE L3OUT"/>
    <n v="4"/>
    <n v="54"/>
  </r>
  <r>
    <n v="718"/>
    <x v="2"/>
    <x v="130"/>
    <s v="eth1/18"/>
    <x v="0"/>
    <x v="0"/>
    <x v="0"/>
    <m/>
    <x v="0"/>
    <b v="0"/>
    <s v="No está en VPC"/>
    <n v="718"/>
    <s v="INTPG-VPC_HDD19_717_1.17_718_1.18"/>
    <s v="ISEL-1.18"/>
    <n v="1"/>
    <s v="NO TIENE L3OUT"/>
    <n v="0"/>
    <n v="54"/>
  </r>
  <r>
    <n v="744"/>
    <x v="2"/>
    <x v="131"/>
    <s v="eth1/18"/>
    <x v="0"/>
    <x v="0"/>
    <x v="0"/>
    <m/>
    <x v="0"/>
    <b v="0"/>
    <s v="No está en VPC"/>
    <n v="744"/>
    <s v="INTPG_PC_744_1.17-18"/>
    <s v="ISEL-1.18"/>
    <n v="2"/>
    <s v="NO TIENE L3OUT"/>
    <n v="4"/>
    <n v="54"/>
  </r>
  <r>
    <n v="741"/>
    <x v="2"/>
    <x v="132"/>
    <s v="eth1/18"/>
    <x v="0"/>
    <x v="0"/>
    <x v="0"/>
    <s v="CEM:ITHCEMA2AKF09:SLOT1 P1"/>
    <x v="5"/>
    <b v="0"/>
    <s v="No está en VPC"/>
    <n v="741"/>
    <s v="INTPG_ACC_741_1.18"/>
    <s v="ISEL-1.18"/>
    <n v="1"/>
    <s v="NO TIENE L3OUT"/>
    <n v="62"/>
    <n v="54"/>
  </r>
  <r>
    <n v="787"/>
    <x v="2"/>
    <x v="133"/>
    <s v="eth1/18"/>
    <x v="0"/>
    <x v="0"/>
    <x v="0"/>
    <s v="ENIQ F2:itheniqr14bl02nas2r4b:Slot 2/2"/>
    <x v="0"/>
    <b v="0"/>
    <s v="No está en VPC"/>
    <n v="787"/>
    <s v="INTPG_PC_787_1.16-19"/>
    <s v="ISEL-1.18"/>
    <n v="1"/>
    <s v="NO TIENE L3OUT"/>
    <n v="26"/>
    <n v="54"/>
  </r>
  <r>
    <n v="750"/>
    <x v="2"/>
    <x v="134"/>
    <s v="eth1/18"/>
    <x v="0"/>
    <x v="0"/>
    <x v="0"/>
    <m/>
    <x v="0"/>
    <b v="0"/>
    <s v="No está en VPC"/>
    <n v="750"/>
    <s v="INTPG_ACC_750_1.18"/>
    <s v="ISEL-1.18"/>
    <n v="0"/>
    <s v="NO TIENE L3OUT"/>
    <n v="2"/>
    <n v="54"/>
  </r>
  <r>
    <n v="792"/>
    <x v="2"/>
    <x v="135"/>
    <s v="eth1/18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18"/>
    <x v="0"/>
    <x v="1"/>
    <x v="3"/>
    <s v="CEM:ITHCEMG2RTB09:SLOT1 P1"/>
    <x v="0"/>
    <b v="0"/>
    <s v="No está en VPC"/>
    <n v="736"/>
    <s v="INTPG_ACC_736_1.18"/>
    <s v="ISEL-1.18"/>
    <n v="1"/>
    <s v="NO TIENE L3OUT"/>
    <n v="48"/>
    <n v="54"/>
  </r>
  <r>
    <n v="799"/>
    <x v="2"/>
    <x v="137"/>
    <s v="eth1/18"/>
    <x v="0"/>
    <x v="0"/>
    <x v="0"/>
    <s v="TO-IMC_PS06-MSP"/>
    <x v="0"/>
    <b v="0"/>
    <s v="No está en VPC"/>
    <n v="799"/>
    <s v="INTPG_ACC_799_1.18"/>
    <s v="ISEL-1.18"/>
    <n v="1"/>
    <s v="NO TIENE L3OUT"/>
    <n v="52"/>
    <n v="54"/>
  </r>
  <r>
    <n v="768"/>
    <x v="2"/>
    <x v="138"/>
    <s v="eth1/18"/>
    <x v="0"/>
    <x v="0"/>
    <x v="0"/>
    <s v="Portchannel_4_R6B"/>
    <x v="0"/>
    <b v="0"/>
    <s v="No está en VPC"/>
    <n v="768"/>
    <s v="INTPG_PC_768_1.17-18"/>
    <s v="ISEL-1.18"/>
    <n v="8"/>
    <s v="NO TIENE L3OUT"/>
    <n v="62"/>
    <n v="54"/>
  </r>
  <r>
    <n v="714"/>
    <x v="2"/>
    <x v="139"/>
    <s v="eth1/18"/>
    <x v="0"/>
    <x v="0"/>
    <x v="0"/>
    <s v="TO-ITHFHWVRALCN02"/>
    <x v="0"/>
    <b v="0"/>
    <s v="No está en VPC"/>
    <n v="714"/>
    <s v="INTPG_VPC_714_1.18_721_1.17"/>
    <s v="ISEL-1.18"/>
    <n v="108"/>
    <s v="NO TIENE L3OUT"/>
    <n v="20"/>
    <n v="54"/>
  </r>
  <r>
    <n v="717"/>
    <x v="2"/>
    <x v="140"/>
    <s v="eth1/18"/>
    <x v="0"/>
    <x v="0"/>
    <x v="0"/>
    <m/>
    <x v="0"/>
    <b v="0"/>
    <s v="No está en VPC"/>
    <n v="717"/>
    <s v="INTPG-VPC_HDD09_718_1.17_717_1.18"/>
    <s v="ISEL-1.18"/>
    <n v="1"/>
    <s v="NO TIENE L3OUT"/>
    <n v="0"/>
    <n v="54"/>
  </r>
  <r>
    <n v="789"/>
    <x v="2"/>
    <x v="141"/>
    <s v="eth1/18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18"/>
    <x v="0"/>
    <x v="0"/>
    <x v="0"/>
    <s v="Portchannel_4_R4A"/>
    <x v="0"/>
    <b v="0"/>
    <s v="No está en VPC"/>
    <n v="764"/>
    <s v="INTPG_PC_764_1.17-18"/>
    <s v="ISEL-1.18"/>
    <n v="8"/>
    <s v="NO TIENE L3OUT"/>
    <n v="62"/>
    <n v="54"/>
  </r>
  <r>
    <n v="783"/>
    <x v="2"/>
    <x v="143"/>
    <s v="eth1/18"/>
    <x v="0"/>
    <x v="0"/>
    <x v="0"/>
    <s v="LACP_NAS2_ENIQ9B"/>
    <x v="0"/>
    <b v="0"/>
    <s v="No está en VPC"/>
    <n v="783"/>
    <s v="INTPG_PC_783_1.16-19"/>
    <s v="ISEL-1.18"/>
    <n v="1"/>
    <s v="NO TIENE L3OUT"/>
    <n v="26"/>
    <n v="54"/>
  </r>
  <r>
    <n v="774"/>
    <x v="2"/>
    <x v="144"/>
    <s v="eth1/18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18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18"/>
    <x v="0"/>
    <x v="0"/>
    <x v="0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18"/>
    <x v="0"/>
    <x v="0"/>
    <x v="0"/>
    <s v="TO-HDPS_44-MSP"/>
    <x v="0"/>
    <b v="0"/>
    <s v="No está en VPC"/>
    <n v="803"/>
    <s v="INTPG_ACC_803_1.18"/>
    <s v="ISEL-1.18"/>
    <n v="1"/>
    <s v="NO TIENE L3OUT"/>
    <n v="48"/>
    <n v="54"/>
  </r>
  <r>
    <n v="786"/>
    <x v="2"/>
    <x v="148"/>
    <s v="eth1/18"/>
    <x v="0"/>
    <x v="0"/>
    <x v="0"/>
    <s v="ENIQ F2:itheniqr16bl02nas2r4a:Slot 2/2"/>
    <x v="0"/>
    <b v="0"/>
    <s v="No está en VPC"/>
    <n v="786"/>
    <s v="INTPG_PC_786_1.16-19"/>
    <s v="ISEL-1.18"/>
    <n v="1"/>
    <s v="NO TIENE L3OUT"/>
    <n v="26"/>
    <n v="54"/>
  </r>
  <r>
    <n v="757"/>
    <x v="2"/>
    <x v="149"/>
    <s v="eth1/18"/>
    <x v="0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18"/>
    <x v="0"/>
    <x v="0"/>
    <x v="0"/>
    <s v="LACP_NAS2_ENIQ1"/>
    <x v="0"/>
    <b v="0"/>
    <s v="No está en VPC"/>
    <n v="781"/>
    <s v="INTPG_PC_781_1.16-19"/>
    <s v="ISEL-1.18"/>
    <n v="1"/>
    <s v="NO TIENE L3OUT"/>
    <n v="26"/>
    <n v="54"/>
  </r>
  <r>
    <n v="793"/>
    <x v="2"/>
    <x v="151"/>
    <s v="eth1/18"/>
    <x v="0"/>
    <x v="0"/>
    <x v="0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18"/>
    <x v="0"/>
    <x v="1"/>
    <x v="3"/>
    <s v="PAAS:ithhwosstpap003:Slot4.1"/>
    <x v="0"/>
    <b v="0"/>
    <s v="No está en VPC"/>
    <n v="747"/>
    <s v="INTPG_VPC_747_1.18_752_1.28"/>
    <s v="ISEL-1.18"/>
    <n v="0"/>
    <s v="NO TIENE L3OUT"/>
    <n v="0"/>
    <n v="54"/>
  </r>
  <r>
    <n v="784"/>
    <x v="2"/>
    <x v="153"/>
    <s v="eth1/18"/>
    <x v="0"/>
    <x v="0"/>
    <x v="0"/>
    <s v="ENIQ F2:itheniqr13bl02nas2r6a:Slot 2/2"/>
    <x v="0"/>
    <b v="0"/>
    <s v="No está en VPC"/>
    <n v="784"/>
    <s v="INTPG_PC_784_1.16-19"/>
    <s v="ISEL-1.18"/>
    <n v="1"/>
    <s v="NO TIENE L3OUT"/>
    <n v="26"/>
    <n v="54"/>
  </r>
  <r>
    <n v="806"/>
    <x v="2"/>
    <x v="154"/>
    <s v="eth1/18"/>
    <x v="0"/>
    <x v="0"/>
    <x v="0"/>
    <s v="TO-HDPS_68-MSP"/>
    <x v="0"/>
    <b v="0"/>
    <s v="No está en VPC"/>
    <n v="806"/>
    <s v="INTPG_ACC_806_1.18"/>
    <s v="ISEL-1.18"/>
    <n v="1"/>
    <s v="NO TIENE L3OUT"/>
    <n v="44"/>
    <n v="54"/>
  </r>
  <r>
    <n v="777"/>
    <x v="2"/>
    <x v="155"/>
    <s v="eth1/18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18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18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18"/>
    <x v="0"/>
    <x v="0"/>
    <x v="0"/>
    <s v="CEM:ITHCEMC2AKF09:SLOT1 P1"/>
    <x v="5"/>
    <b v="0"/>
    <s v="No está en VPC"/>
    <n v="739"/>
    <s v="INTPG_ACC_739_1.18"/>
    <s v="ISEL-1.18"/>
    <n v="1"/>
    <s v="NO TIENE L3OUT"/>
    <n v="72"/>
    <n v="54"/>
  </r>
  <r>
    <n v="775"/>
    <x v="2"/>
    <x v="159"/>
    <s v="eth1/18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18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18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18"/>
    <x v="0"/>
    <x v="0"/>
    <x v="0"/>
    <s v="LINK_TO_ITHFHWCBSDSHD15 /Slot6.2 /Redundante"/>
    <x v="0"/>
    <b v="0"/>
    <s v="No está en VPC"/>
    <n v="830"/>
    <s v="INTPG_VPC_826_1.18_830_1.18"/>
    <s v="ISEL-1.18"/>
    <n v="1"/>
    <s v="NO TIENE L3OUT"/>
    <n v="12"/>
    <n v="54"/>
  </r>
  <r>
    <n v="821"/>
    <x v="2"/>
    <x v="163"/>
    <s v="eth1/18"/>
    <x v="0"/>
    <x v="0"/>
    <x v="0"/>
    <s v="LINK_TO_ITHFHWCBSPSHD15 /Slot6.2 /Redundante"/>
    <x v="0"/>
    <b v="0"/>
    <s v="No está en VPC"/>
    <n v="821"/>
    <s v="INTPG_VPC_816_1.18_821_1.18"/>
    <s v="ISEL-1.18"/>
    <n v="1"/>
    <s v="NO TIENE L3OUT"/>
    <n v="0"/>
    <n v="54"/>
  </r>
  <r>
    <n v="738"/>
    <x v="2"/>
    <x v="164"/>
    <s v="eth1/18"/>
    <x v="0"/>
    <x v="0"/>
    <x v="0"/>
    <s v="CEM:ITHCEMF2RTB09:SLOT1 P1"/>
    <x v="5"/>
    <b v="0"/>
    <s v="No está en VPC"/>
    <n v="738"/>
    <s v="INTPG_ACC_738_1.18"/>
    <s v="ISEL-1.18"/>
    <n v="1"/>
    <s v="NO TIENE L3OUT"/>
    <n v="72"/>
    <n v="54"/>
  </r>
  <r>
    <n v="820"/>
    <x v="2"/>
    <x v="165"/>
    <s v="eth1/18"/>
    <x v="0"/>
    <x v="0"/>
    <x v="0"/>
    <s v="LINK_TO_ITHHWCRMPEN03 /X3-10GE 4 /Redundante"/>
    <x v="0"/>
    <b v="0"/>
    <s v="No está en VPC"/>
    <n v="820"/>
    <s v="INTPG_VPC_820_1.15-16_18-19_825_1.1.15-16_18-19"/>
    <s v="ISEL-1.18"/>
    <n v="1"/>
    <s v="NO TIENE L3OUT"/>
    <n v="72"/>
    <n v="54"/>
  </r>
  <r>
    <n v="804"/>
    <x v="2"/>
    <x v="166"/>
    <s v="eth1/18"/>
    <x v="0"/>
    <x v="0"/>
    <x v="0"/>
    <s v="TO-HDPS_44-MSP"/>
    <x v="0"/>
    <b v="0"/>
    <s v="No está en VPC"/>
    <n v="804"/>
    <s v="INTPG_ACC_804_1.18"/>
    <s v="ISEL-1.18"/>
    <n v="1"/>
    <s v="NO TIENE L3OUT"/>
    <n v="48"/>
    <n v="54"/>
  </r>
  <r>
    <n v="779"/>
    <x v="2"/>
    <x v="167"/>
    <s v="eth1/18"/>
    <x v="0"/>
    <x v="0"/>
    <x v="0"/>
    <s v="ENIQ F1:itheniqr07nas2r2:Slot 2/2"/>
    <x v="0"/>
    <b v="0"/>
    <s v="No está en VPC"/>
    <n v="779"/>
    <s v="INTPG_PC_779_1.16-19"/>
    <s v="ISEL-1.18"/>
    <n v="1"/>
    <s v="NO TIENE L3OUT"/>
    <n v="30"/>
    <n v="54"/>
  </r>
  <r>
    <n v="767"/>
    <x v="2"/>
    <x v="168"/>
    <s v="eth1/18"/>
    <x v="0"/>
    <x v="0"/>
    <x v="0"/>
    <s v="Portchannel_4_R3"/>
    <x v="0"/>
    <b v="0"/>
    <s v="No está en VPC"/>
    <n v="767"/>
    <s v="INTPG_PC_767_1.17-18"/>
    <s v="ISEL-1.18"/>
    <n v="8"/>
    <s v="NO TIENE L3OUT"/>
    <n v="60"/>
    <n v="54"/>
  </r>
  <r>
    <n v="827"/>
    <x v="2"/>
    <x v="169"/>
    <s v="eth1/18"/>
    <x v="0"/>
    <x v="0"/>
    <x v="0"/>
    <s v="LINK_TO_ITHFHWCBSDSUSBD11 /10GE.1 /Principal"/>
    <x v="0"/>
    <b v="0"/>
    <s v="No está en VPC"/>
    <n v="827"/>
    <s v="INTPG_VPC_827_1.18_831_1.18"/>
    <s v="ISEL-1.18"/>
    <n v="1"/>
    <s v="NO TIENE L3OUT"/>
    <n v="14"/>
    <n v="54"/>
  </r>
  <r>
    <n v="809"/>
    <x v="2"/>
    <x v="170"/>
    <s v="eth1/18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18"/>
    <x v="0"/>
    <x v="0"/>
    <x v="0"/>
    <s v="Portchannel_5_R4A"/>
    <x v="0"/>
    <b v="0"/>
    <s v="No está en VPC"/>
    <n v="771"/>
    <s v="INTPG_PC_771_1.17-18"/>
    <s v="ISEL-1.18"/>
    <n v="8"/>
    <s v="NO TIENE L3OUT"/>
    <n v="62"/>
    <n v="54"/>
  </r>
  <r>
    <n v="761"/>
    <x v="2"/>
    <x v="172"/>
    <s v="eth1/18"/>
    <x v="0"/>
    <x v="1"/>
    <x v="1"/>
    <m/>
    <x v="0"/>
    <b v="0"/>
    <s v="No está en VPC"/>
    <n v="761"/>
    <s v="INTPG_VPC_760_1.17-20_761_1.17-20"/>
    <s v="ISEL-1.18"/>
    <n v="0"/>
    <s v="L3OUT-EXACLOUD"/>
    <n v="0"/>
    <n v="54"/>
  </r>
  <r>
    <n v="776"/>
    <x v="2"/>
    <x v="173"/>
    <s v="eth1/18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18"/>
    <x v="0"/>
    <x v="0"/>
    <x v="0"/>
    <s v="TO-HDPS_68-MSP"/>
    <x v="0"/>
    <b v="0"/>
    <s v="No está en VPC"/>
    <n v="805"/>
    <s v="INTPG_ACC_805_1.18"/>
    <s v="ISEL-1.18"/>
    <n v="1"/>
    <s v="NO TIENE L3OUT"/>
    <n v="44"/>
    <n v="54"/>
  </r>
  <r>
    <n v="772"/>
    <x v="2"/>
    <x v="175"/>
    <s v="eth1/18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18"/>
    <x v="0"/>
    <x v="0"/>
    <x v="0"/>
    <s v="ENIQ F2:itheniqr12bl02nas2r6b:Slot 2/2"/>
    <x v="0"/>
    <b v="0"/>
    <s v="No está en VPC"/>
    <n v="785"/>
    <s v="INTPG_PC_785_1.16-19"/>
    <s v="ISEL-1.18"/>
    <n v="1"/>
    <s v="NO TIENE L3OUT"/>
    <n v="32"/>
    <n v="54"/>
  </r>
  <r>
    <n v="851"/>
    <x v="2"/>
    <x v="177"/>
    <s v="eth1/18"/>
    <x v="0"/>
    <x v="0"/>
    <x v="0"/>
    <s v="LINK_TO_ITHFHWCRMPLCN106 / Slot7.3_16 / Redundante"/>
    <x v="0"/>
    <b v="0"/>
    <s v="No está en VPC"/>
    <n v="851"/>
    <s v="INTPG_ACC_851_1.18"/>
    <s v="ISEL-1.18"/>
    <n v="1"/>
    <s v="NO TIENE L3OUT"/>
    <n v="282"/>
    <n v="54"/>
  </r>
  <r>
    <n v="798"/>
    <x v="2"/>
    <x v="178"/>
    <s v="eth1/18"/>
    <x v="0"/>
    <x v="0"/>
    <x v="0"/>
    <s v="TO-IMC_PS06-MSP"/>
    <x v="0"/>
    <b v="0"/>
    <s v="No está en VPC"/>
    <n v="798"/>
    <s v="INTPG_ACC_798_1.18"/>
    <s v="ISEL-1.18"/>
    <n v="1"/>
    <s v="NO TIENE L3OUT"/>
    <n v="52"/>
    <n v="54"/>
  </r>
  <r>
    <n v="782"/>
    <x v="2"/>
    <x v="179"/>
    <s v="eth1/18"/>
    <x v="0"/>
    <x v="0"/>
    <x v="0"/>
    <s v="LACP_NAS2_ENIQ9A"/>
    <x v="0"/>
    <b v="0"/>
    <s v="No está en VPC"/>
    <n v="782"/>
    <s v="INTPG_PC_782_1.16-19"/>
    <s v="ISEL-1.18"/>
    <n v="1"/>
    <s v="NO TIENE L3OUT"/>
    <n v="32"/>
    <n v="54"/>
  </r>
  <r>
    <n v="852"/>
    <x v="2"/>
    <x v="180"/>
    <s v="eth1/18"/>
    <x v="0"/>
    <x v="0"/>
    <x v="0"/>
    <s v="LINK_TO_ITHFHWCRMPLCN90 / Slot7.1_12 / Redundante"/>
    <x v="0"/>
    <b v="0"/>
    <s v="No está en VPC"/>
    <n v="852"/>
    <s v="INTPG_ACC_852_1.18"/>
    <s v="ISEL-1.18"/>
    <n v="6"/>
    <s v="NO TIENE L3OUT"/>
    <n v="258"/>
    <n v="54"/>
  </r>
  <r>
    <n v="817"/>
    <x v="2"/>
    <x v="181"/>
    <s v="eth1/18"/>
    <x v="0"/>
    <x v="0"/>
    <x v="0"/>
    <s v="LINK_TO_ITHFHWCBSPSUSBD12 /Slot4.2 /Principal"/>
    <x v="0"/>
    <b v="0"/>
    <s v="No está en VPC"/>
    <n v="817"/>
    <s v="INTPG_VPC_817_1.18_822_1.18"/>
    <s v="ISEL-1.18"/>
    <n v="1"/>
    <s v="NO TIENE L3OUT"/>
    <n v="0"/>
    <n v="54"/>
  </r>
  <r>
    <n v="832"/>
    <x v="2"/>
    <x v="182"/>
    <s v="eth1/18"/>
    <x v="0"/>
    <x v="0"/>
    <x v="0"/>
    <s v="LINK_TO_ITHFHWCRMDLCN21 /Slot5.1 /Redundante"/>
    <x v="0"/>
    <b v="0"/>
    <s v="No está en VPC"/>
    <n v="832"/>
    <s v="INTPG_ACC_832_1.18"/>
    <s v="ISEL-1.18"/>
    <n v="2"/>
    <s v="NO TIENE L3OUT"/>
    <n v="192"/>
    <n v="54"/>
  </r>
  <r>
    <n v="816"/>
    <x v="2"/>
    <x v="183"/>
    <s v="eth1/18"/>
    <x v="0"/>
    <x v="0"/>
    <x v="0"/>
    <s v="LINK_TO_ITHFHWCBSPSHD15 /Slot4.2 /Principal"/>
    <x v="0"/>
    <b v="0"/>
    <s v="No está en VPC"/>
    <n v="816"/>
    <s v="INTPG_VPC_816_1.18_821_1.18"/>
    <s v="ISEL-1.18"/>
    <n v="1"/>
    <s v="NO TIENE L3OUT"/>
    <n v="0"/>
    <n v="54"/>
  </r>
  <r>
    <n v="825"/>
    <x v="2"/>
    <x v="184"/>
    <s v="eth1/18"/>
    <x v="0"/>
    <x v="0"/>
    <x v="0"/>
    <s v="LINK_TO_ITHHWCRMPEN03 /X3-10GE 3 /Principal"/>
    <x v="0"/>
    <b v="0"/>
    <s v="No está en VPC"/>
    <n v="825"/>
    <s v="INTPG_VPC_820_1.15-16_18-19_825_1.1.15-16_18-19"/>
    <s v="ISEL-1.18"/>
    <n v="1"/>
    <s v="NO TIENE L3OUT"/>
    <n v="72"/>
    <n v="54"/>
  </r>
  <r>
    <n v="800"/>
    <x v="2"/>
    <x v="185"/>
    <s v="eth1/18"/>
    <x v="0"/>
    <x v="0"/>
    <x v="0"/>
    <s v="TO-SCHS_01-MSP"/>
    <x v="0"/>
    <b v="0"/>
    <s v="No está en VPC"/>
    <n v="800"/>
    <s v="INTPG_ACC_800_1.18"/>
    <s v="ISEL-1.18"/>
    <n v="1"/>
    <s v="NO TIENE L3OUT"/>
    <n v="78"/>
    <n v="54"/>
  </r>
  <r>
    <n v="801"/>
    <x v="2"/>
    <x v="186"/>
    <s v="eth1/18"/>
    <x v="0"/>
    <x v="0"/>
    <x v="0"/>
    <s v="TO-SCHS_01-MSP"/>
    <x v="0"/>
    <b v="0"/>
    <s v="No está en VPC"/>
    <n v="801"/>
    <s v="INTPG_ACC_801_1.18"/>
    <s v="ISEL-1.18"/>
    <n v="1"/>
    <s v="NO TIENE L3OUT"/>
    <n v="78"/>
    <n v="54"/>
  </r>
  <r>
    <n v="823"/>
    <x v="2"/>
    <x v="187"/>
    <s v="eth1/18"/>
    <x v="0"/>
    <x v="0"/>
    <x v="0"/>
    <s v="LINK_TO_ITHFHWCBSPSUSBD19 /Slot5.1 /Redundante"/>
    <x v="0"/>
    <b v="0"/>
    <s v="No está en VPC"/>
    <n v="823"/>
    <s v="INTPG_VPC_818_1.18_823_1.18"/>
    <s v="ISEL-1.18"/>
    <n v="1"/>
    <s v="NO TIENE L3OUT"/>
    <n v="8"/>
    <n v="54"/>
  </r>
  <r>
    <n v="837"/>
    <x v="2"/>
    <x v="188"/>
    <s v="eth1/18"/>
    <x v="0"/>
    <x v="0"/>
    <x v="0"/>
    <s v="LINK_TO_ITHFHWCBSPSWR45 / Slot1.2_26 / Principal"/>
    <x v="0"/>
    <b v="0"/>
    <s v="No está en VPC"/>
    <n v="837"/>
    <s v="INTPG_VPC_837_1.18_842_1.18"/>
    <s v="ISEL-1.18"/>
    <n v="1"/>
    <s v="NO TIENE L3OUT"/>
    <n v="8"/>
    <n v="54"/>
  </r>
  <r>
    <n v="867"/>
    <x v="2"/>
    <x v="189"/>
    <s v="eth1/18"/>
    <x v="0"/>
    <x v="0"/>
    <x v="0"/>
    <s v="TO-ITHFSUEXG2XCP02_PCI6.P2"/>
    <x v="0"/>
    <b v="0"/>
    <s v="No está en VPC"/>
    <n v="867"/>
    <s v="INTPG_ACC_867_1.18"/>
    <s v="ISEL-1.18"/>
    <n v="1"/>
    <s v="NO TIENE L3OUT"/>
    <n v="44"/>
    <n v="54"/>
  </r>
  <r>
    <n v="829"/>
    <x v="2"/>
    <x v="190"/>
    <s v="eth1/18"/>
    <x v="0"/>
    <x v="0"/>
    <x v="0"/>
    <s v="LINK_TO_ITHFHWCRMDLCN33 /Slot6.2 /Redundante"/>
    <x v="0"/>
    <b v="0"/>
    <s v="No está en VPC"/>
    <n v="829"/>
    <s v="INTPG_ACC_829_1.18"/>
    <s v="ISEL-1.18"/>
    <n v="1"/>
    <s v="NO TIENE L3OUT"/>
    <n v="224"/>
    <n v="54"/>
  </r>
  <r>
    <n v="831"/>
    <x v="2"/>
    <x v="191"/>
    <s v="eth1/18"/>
    <x v="0"/>
    <x v="0"/>
    <x v="0"/>
    <s v="LINK_TO_ITHFHWCBSDSUSBD11 /Slot5.1 /Redundante"/>
    <x v="0"/>
    <b v="0"/>
    <s v="No está en VPC"/>
    <n v="831"/>
    <s v="INTPG_VPC_827_1.18_831_1.18"/>
    <s v="ISEL-1.18"/>
    <n v="1"/>
    <s v="NO TIENE L3OUT"/>
    <n v="14"/>
    <n v="54"/>
  </r>
  <r>
    <n v="802"/>
    <x v="2"/>
    <x v="192"/>
    <s v="eth1/18"/>
    <x v="0"/>
    <x v="0"/>
    <x v="0"/>
    <s v="TO-HDPS_20-MSP"/>
    <x v="0"/>
    <b v="0"/>
    <s v="No está en VPC"/>
    <n v="802"/>
    <s v="INTPG_ACC_802_1.18"/>
    <s v="ISEL-1.18"/>
    <n v="1"/>
    <s v="NO TIENE L3OUT"/>
    <n v="48"/>
    <n v="54"/>
  </r>
  <r>
    <n v="835"/>
    <x v="2"/>
    <x v="193"/>
    <s v="eth1/18"/>
    <x v="0"/>
    <x v="0"/>
    <x v="0"/>
    <s v="LINK_TO_ITHFHWCBSPSWR59 / Slot1.3_30 / Principal"/>
    <x v="0"/>
    <b v="0"/>
    <s v="No está en VPC"/>
    <n v="835"/>
    <s v="INTPG_VPC_835_1.18_840_1.18"/>
    <s v="ISEL-1.18"/>
    <n v="1"/>
    <s v="NO TIENE L3OUT"/>
    <n v="8"/>
    <n v="54"/>
  </r>
  <r>
    <n v="822"/>
    <x v="2"/>
    <x v="194"/>
    <s v="eth1/18"/>
    <x v="0"/>
    <x v="0"/>
    <x v="0"/>
    <s v="LINK_TO_ITHFHWCBSPSUSBD12 /Slot6.2 /Redundante"/>
    <x v="0"/>
    <b v="0"/>
    <s v="No está en VPC"/>
    <n v="822"/>
    <s v="INTPG_VPC_817_1.18_822_1.18"/>
    <s v="ISEL-1.18"/>
    <n v="1"/>
    <s v="NO TIENE L3OUT"/>
    <n v="0"/>
    <n v="54"/>
  </r>
  <r>
    <n v="854"/>
    <x v="2"/>
    <x v="195"/>
    <s v="eth1/18"/>
    <x v="0"/>
    <x v="0"/>
    <x v="0"/>
    <s v="LINK_TO_ITHFHWCRMPLCN171 / Slot1.2_12 / Principal"/>
    <x v="0"/>
    <b v="0"/>
    <s v="No está en VPC"/>
    <n v="854"/>
    <s v="INTPG_ACC_854_1.18"/>
    <s v="ISEL-1.18"/>
    <n v="2"/>
    <s v="NO TIENE L3OUT"/>
    <n v="204"/>
    <n v="54"/>
  </r>
  <r>
    <n v="858"/>
    <x v="2"/>
    <x v="196"/>
    <s v="eth1/18"/>
    <x v="0"/>
    <x v="0"/>
    <x v="0"/>
    <s v="To_VPC_2DCBSD_HD42_3"/>
    <x v="0"/>
    <b v="0"/>
    <s v="No está en VPC"/>
    <n v="858"/>
    <s v="INTPG_VPC_858_1.18_863_1.18"/>
    <s v="ISEL-1.18"/>
    <n v="1"/>
    <s v="NO TIENE L3OUT"/>
    <n v="8"/>
    <n v="54"/>
  </r>
  <r>
    <n v="857"/>
    <x v="2"/>
    <x v="197"/>
    <s v="eth1/18"/>
    <x v="0"/>
    <x v="0"/>
    <x v="0"/>
    <s v="LINKT_TO_ITHFHWCRMPLCN121 / Slot1.2_12 / Principal"/>
    <x v="0"/>
    <b v="0"/>
    <s v="No está en VPC"/>
    <n v="857"/>
    <s v="INTPG_ACC_857_1.18"/>
    <s v="ISEL-1.18"/>
    <n v="2"/>
    <s v="NO TIENE L3OUT"/>
    <n v="288"/>
    <n v="54"/>
  </r>
  <r>
    <n v="859"/>
    <x v="2"/>
    <x v="198"/>
    <s v="eth1/18"/>
    <x v="0"/>
    <x v="0"/>
    <x v="0"/>
    <s v="To_VPC_2DCBSD_HD36_3"/>
    <x v="0"/>
    <b v="0"/>
    <s v="No está en VPC"/>
    <n v="859"/>
    <s v="INTPG_VPC_859_1.18_864_1.18"/>
    <s v="ISEL-1.18"/>
    <n v="1"/>
    <s v="NO TIENE L3OUT"/>
    <n v="0"/>
    <n v="54"/>
  </r>
  <r>
    <n v="833"/>
    <x v="2"/>
    <x v="199"/>
    <s v="eth1/18"/>
    <x v="0"/>
    <x v="0"/>
    <x v="0"/>
    <s v="LINK_TO_ITHFHWCRMDLCN33 /Slot4.2 /Principal"/>
    <x v="0"/>
    <b v="0"/>
    <s v="No está en VPC"/>
    <n v="833"/>
    <s v="INTPG_ACC_833_1.18"/>
    <s v="ISEL-1.18"/>
    <n v="1"/>
    <s v="NO TIENE L3OUT"/>
    <n v="224"/>
    <n v="54"/>
  </r>
  <r>
    <n v="818"/>
    <x v="2"/>
    <x v="200"/>
    <s v="eth1/18"/>
    <x v="0"/>
    <x v="0"/>
    <x v="0"/>
    <s v="LINK_TO_ITHFHWCBSPSUSBD19 /10GE.1 /Principal"/>
    <x v="0"/>
    <b v="0"/>
    <s v="No está en VPC"/>
    <n v="818"/>
    <s v="INTPG_VPC_818_1.18_823_1.18"/>
    <s v="ISEL-1.18"/>
    <n v="1"/>
    <s v="NO TIENE L3OUT"/>
    <n v="8"/>
    <n v="54"/>
  </r>
  <r>
    <n v="850"/>
    <x v="2"/>
    <x v="201"/>
    <s v="eth1/18"/>
    <x v="0"/>
    <x v="0"/>
    <x v="0"/>
    <s v="LINKT_TO_ITHFHWCRMPLCN121 / Slot7.2_12 / Redundante"/>
    <x v="0"/>
    <b v="0"/>
    <s v="No está en VPC"/>
    <n v="850"/>
    <s v="INTPG_ACC_850_1.18"/>
    <s v="ISEL-1.18"/>
    <n v="2"/>
    <s v="NO TIENE L3OUT"/>
    <n v="288"/>
    <n v="54"/>
  </r>
  <r>
    <n v="860"/>
    <x v="2"/>
    <x v="202"/>
    <s v="eth1/18"/>
    <x v="0"/>
    <x v="0"/>
    <x v="0"/>
    <s v="To_VPC_2DCBSD_HD28_3"/>
    <x v="0"/>
    <b v="0"/>
    <s v="No está en VPC"/>
    <n v="860"/>
    <s v="INTPG_VPC_860_1.18_865_1.18"/>
    <s v="ISEL-1.18"/>
    <n v="1"/>
    <s v="NO TIENE L3OUT"/>
    <n v="0"/>
    <n v="54"/>
  </r>
  <r>
    <n v="853"/>
    <x v="2"/>
    <x v="203"/>
    <s v="eth1/18"/>
    <x v="0"/>
    <x v="0"/>
    <x v="0"/>
    <s v="LINK_TO_ITHFHWCRMPLCN77 / Slot7.3_12 / Redundante"/>
    <x v="0"/>
    <b v="0"/>
    <s v="No está en VPC"/>
    <n v="853"/>
    <s v="INTPG_ACC_853_1.18"/>
    <s v="ISEL-1.18"/>
    <n v="1"/>
    <s v="NO TIENE L3OUT"/>
    <n v="242"/>
    <n v="54"/>
  </r>
  <r>
    <n v="790"/>
    <x v="2"/>
    <x v="204"/>
    <s v="eth1/18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18"/>
    <x v="0"/>
    <x v="0"/>
    <x v="0"/>
    <s v="NETEZZA"/>
    <x v="6"/>
    <b v="0"/>
    <s v="No está en VPC"/>
    <n v="105"/>
    <s v="INTPG_ACC_105_1.18"/>
    <s v="ISEL-1.18"/>
    <n v="1"/>
    <s v="NO TIENE L3OUT"/>
    <n v="106"/>
    <n v="96"/>
  </r>
  <r>
    <n v="117"/>
    <x v="0"/>
    <x v="206"/>
    <s v="eth1/18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18"/>
    <x v="0"/>
    <x v="1"/>
    <x v="1"/>
    <s v="SFLDI"/>
    <x v="6"/>
    <b v="0"/>
    <s v="No está en VPC"/>
    <n v="104"/>
    <s v="INTPG_ACC_104_1.18"/>
    <s v="ISEL-1.18"/>
    <n v="1"/>
    <s v="NO TIENE L3OUT"/>
    <n v="194"/>
    <n v="96"/>
  </r>
  <r>
    <n v="158"/>
    <x v="0"/>
    <x v="208"/>
    <s v="eth1/18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18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18"/>
    <x v="0"/>
    <x v="0"/>
    <x v="0"/>
    <s v="HACIA_CSI-B-OSCP-F4-14_SECUNDARIO"/>
    <x v="4"/>
    <b v="0"/>
    <s v="No está en VPC"/>
    <n v="879"/>
    <s v="INTPG_VPC_878_1.18_879_1.18"/>
    <s v="ISEL-1.18"/>
    <n v="2"/>
    <s v="NO TIENE L3OUT"/>
    <n v="0"/>
    <n v="54"/>
  </r>
  <r>
    <n v="108"/>
    <x v="0"/>
    <x v="211"/>
    <s v="eth1/18"/>
    <x v="0"/>
    <x v="0"/>
    <x v="0"/>
    <s v="TELLABS"/>
    <x v="6"/>
    <b v="0"/>
    <s v="No está en VPC"/>
    <n v="108"/>
    <s v="INTPG_ACC_108_1.18"/>
    <s v="ISEL-1.18"/>
    <n v="1"/>
    <s v="NO TIENE L3OUT"/>
    <n v="126"/>
    <n v="96"/>
  </r>
  <r>
    <n v="112"/>
    <x v="0"/>
    <x v="212"/>
    <s v="eth1/18"/>
    <x v="1"/>
    <x v="1"/>
    <x v="2"/>
    <s v="APROVISIONAMIENTO DE SERVICIOS"/>
    <x v="6"/>
    <b v="0"/>
    <s v="No está en VPC"/>
    <n v="112"/>
    <s v="INTPG_ACC_112_1.18"/>
    <s v="ISEL-1.18"/>
    <n v="1"/>
    <s v="NO TIENE L3OUT"/>
    <n v="144"/>
    <n v="96"/>
  </r>
  <r>
    <n v="107"/>
    <x v="0"/>
    <x v="213"/>
    <s v="eth1/18"/>
    <x v="0"/>
    <x v="0"/>
    <x v="0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18"/>
    <x v="0"/>
    <x v="0"/>
    <x v="0"/>
    <s v="TELLABS"/>
    <x v="6"/>
    <b v="0"/>
    <s v="No está en VPC"/>
    <n v="109"/>
    <s v="INTPG_ACC_109_1.18"/>
    <s v="ISEL-1.18"/>
    <n v="1"/>
    <s v="NO TIENE L3OUT"/>
    <n v="126"/>
    <n v="96"/>
  </r>
  <r>
    <n v="113"/>
    <x v="0"/>
    <x v="215"/>
    <s v="eth1/18"/>
    <x v="0"/>
    <x v="0"/>
    <x v="0"/>
    <s v="TO-ITHFERNTCTLPFS01-Principal"/>
    <x v="6"/>
    <b v="0"/>
    <s v="No está en VPC"/>
    <n v="113"/>
    <s v="INTPG_ACC_113_1.18"/>
    <s v="ISEL-1.18"/>
    <n v="1"/>
    <s v="NO TIENE L3OUT"/>
    <n v="52"/>
    <n v="96"/>
  </r>
  <r>
    <n v="114"/>
    <x v="0"/>
    <x v="216"/>
    <s v="eth1/18"/>
    <x v="0"/>
    <x v="0"/>
    <x v="0"/>
    <s v="APROVISIONAMIENTO DE SERVICIOS"/>
    <x v="6"/>
    <b v="0"/>
    <s v="No está en VPC"/>
    <n v="114"/>
    <s v="INTPG_ACC_114_1.18"/>
    <s v="ISEL-1.18"/>
    <n v="1"/>
    <s v="NO TIENE L3OUT"/>
    <n v="144"/>
    <n v="96"/>
  </r>
  <r>
    <n v="124"/>
    <x v="0"/>
    <x v="217"/>
    <s v="eth1/18"/>
    <x v="0"/>
    <x v="0"/>
    <x v="0"/>
    <s v="UXSVA (M9000)"/>
    <x v="6"/>
    <b v="0"/>
    <s v="No está en VPC"/>
    <n v="124"/>
    <s v="INTPG_ACC_124_1.18"/>
    <s v="ISEL-1.18"/>
    <n v="1"/>
    <s v="NO TIENE L3OUT"/>
    <n v="80"/>
    <n v="96"/>
  </r>
  <r>
    <n v="118"/>
    <x v="0"/>
    <x v="218"/>
    <s v="eth1/18"/>
    <x v="0"/>
    <x v="0"/>
    <x v="0"/>
    <s v="COBROS NAVEGACION"/>
    <x v="6"/>
    <b v="0"/>
    <s v="No está en VPC"/>
    <n v="118"/>
    <s v="INTPG_ACC_118_1.18"/>
    <s v="ISEL-1.18"/>
    <n v="1"/>
    <s v="NO TIENE L3OUT"/>
    <n v="180"/>
    <n v="96"/>
  </r>
  <r>
    <n v="159"/>
    <x v="0"/>
    <x v="219"/>
    <s v="eth1/18"/>
    <x v="0"/>
    <x v="0"/>
    <x v="0"/>
    <m/>
    <x v="6"/>
    <b v="0"/>
    <s v="No está en VPC"/>
    <n v="159"/>
    <s v="INTPG_ACC_159_1.18"/>
    <s v="ISEL-1.18"/>
    <n v="1"/>
    <s v="NO TIENE L3OUT"/>
    <n v="72"/>
    <n v="96"/>
  </r>
  <r>
    <n v="840"/>
    <x v="2"/>
    <x v="220"/>
    <s v="eth1/18"/>
    <x v="0"/>
    <x v="0"/>
    <x v="0"/>
    <s v="LINK_TO_ITHFHWCBSPSWR59 / Slot7.3_30 / Redundante"/>
    <x v="0"/>
    <b v="0"/>
    <s v="No está en VPC"/>
    <n v="840"/>
    <s v="INTPG_VPC_835_1.18_840_1.18"/>
    <s v="ISEL-1.18"/>
    <n v="1"/>
    <s v="NO TIENE L3OUT"/>
    <n v="8"/>
    <n v="54"/>
  </r>
  <r>
    <n v="856"/>
    <x v="2"/>
    <x v="221"/>
    <s v="eth1/18"/>
    <x v="0"/>
    <x v="0"/>
    <x v="0"/>
    <s v="LINK_TO_ITHFHWCRMPLCN140 / Slot1.2_14 / Principal"/>
    <x v="0"/>
    <b v="0"/>
    <s v="No está en VPC"/>
    <n v="856"/>
    <s v="INTPG_ACC_856_1.18"/>
    <s v="ISEL-1.18"/>
    <n v="2"/>
    <s v="NO TIENE L3OUT"/>
    <n v="286"/>
    <n v="54"/>
  </r>
  <r>
    <n v="110"/>
    <x v="0"/>
    <x v="222"/>
    <s v="eth1/18"/>
    <x v="1"/>
    <x v="1"/>
    <x v="2"/>
    <s v="UXDX-DATOS"/>
    <x v="6"/>
    <b v="0"/>
    <s v="No está en VPC"/>
    <n v="110"/>
    <s v="INTPG_ACC_110_1.18"/>
    <s v="ISEL-1.18"/>
    <n v="0"/>
    <s v="NO TIENE L3OUT"/>
    <n v="102"/>
    <n v="96"/>
  </r>
  <r>
    <n v="163"/>
    <x v="0"/>
    <x v="223"/>
    <s v="eth1/18"/>
    <x v="0"/>
    <x v="0"/>
    <x v="0"/>
    <s v="SICOP"/>
    <x v="6"/>
    <b v="0"/>
    <s v="No está en VPC"/>
    <n v="163"/>
    <s v="INTPG_ACC_163_1.18"/>
    <s v="ISEL-1.18"/>
    <n v="1"/>
    <s v="NO TIENE L3OUT"/>
    <n v="140"/>
    <n v="96"/>
  </r>
  <r>
    <n v="407"/>
    <x v="1"/>
    <x v="224"/>
    <s v="eth1/18"/>
    <x v="0"/>
    <x v="0"/>
    <x v="0"/>
    <s v="IXT_SIEU"/>
    <x v="6"/>
    <b v="0"/>
    <s v="No está en VPC"/>
    <n v="407"/>
    <s v="INTPG_ACC_407_1.18"/>
    <s v="ISEL-1.18"/>
    <n v="1"/>
    <s v="NO TIENE L3OUT"/>
    <n v="122"/>
    <n v="96"/>
  </r>
  <r>
    <n v="171"/>
    <x v="0"/>
    <x v="225"/>
    <s v="eth1/18"/>
    <x v="0"/>
    <x v="1"/>
    <x v="1"/>
    <s v="Mnemonico Remedy: SIXFIC (oss)"/>
    <x v="6"/>
    <b v="0"/>
    <s v="No está en VPC"/>
    <n v="171"/>
    <s v="INTPG_ACC_171_1.18"/>
    <s v="ISEL-1.18"/>
    <n v="1"/>
    <s v="NO TIENE L3OUT"/>
    <n v="114"/>
    <n v="96"/>
  </r>
  <r>
    <n v="421"/>
    <x v="1"/>
    <x v="226"/>
    <s v="eth1/18"/>
    <x v="0"/>
    <x v="0"/>
    <x v="0"/>
    <s v="HP Proliant DL380p(f)"/>
    <x v="6"/>
    <b v="0"/>
    <s v="No está en VPC"/>
    <n v="421"/>
    <s v="INTPG_ACC_421_1.18"/>
    <s v="ISEL-1.18"/>
    <n v="1"/>
    <s v="NO TIENE L3OUT"/>
    <n v="72"/>
    <n v="96"/>
  </r>
  <r>
    <n v="173"/>
    <x v="0"/>
    <x v="227"/>
    <s v="eth1/18"/>
    <x v="0"/>
    <x v="0"/>
    <x v="0"/>
    <s v="ENIQ"/>
    <x v="6"/>
    <b v="0"/>
    <s v="No está en VPC"/>
    <n v="173"/>
    <s v="INTPG_ACC_173_1.18"/>
    <s v="ISEL-1.18"/>
    <n v="1"/>
    <s v="NO TIENE L3OUT"/>
    <n v="66"/>
    <n v="96"/>
  </r>
  <r>
    <n v="154"/>
    <x v="0"/>
    <x v="228"/>
    <s v="eth1/18"/>
    <x v="0"/>
    <x v="1"/>
    <x v="1"/>
    <s v="BLOQUEO EMEI"/>
    <x v="6"/>
    <b v="0"/>
    <s v="No está en VPC"/>
    <n v="154"/>
    <s v="INTPG_ACC_154_1.18"/>
    <s v="ISEL-1.18"/>
    <n v="1"/>
    <s v="NO TIENE L3OUT"/>
    <n v="62"/>
    <n v="96"/>
  </r>
  <r>
    <n v="172"/>
    <x v="0"/>
    <x v="229"/>
    <s v="eth1/18"/>
    <x v="0"/>
    <x v="0"/>
    <x v="0"/>
    <s v="SOP-EAGLE"/>
    <x v="6"/>
    <b v="0"/>
    <s v="No está en VPC"/>
    <n v="172"/>
    <s v="INTPG_ACC_172_1.18"/>
    <s v="ISEL-1.18"/>
    <n v="1"/>
    <s v="NO TIENE L3OUT"/>
    <n v="104"/>
    <n v="96"/>
  </r>
  <r>
    <n v="420"/>
    <x v="1"/>
    <x v="230"/>
    <s v="eth1/18"/>
    <x v="0"/>
    <x v="0"/>
    <x v="0"/>
    <s v="sfmevp03"/>
    <x v="6"/>
    <b v="0"/>
    <s v="No está en VPC"/>
    <n v="420"/>
    <s v="INTPG_ACC_420_1.18"/>
    <s v="ISEL-1.18"/>
    <n v="1"/>
    <s v="NO TIENE L3OUT"/>
    <n v="158"/>
    <n v="96"/>
  </r>
  <r>
    <n v="423"/>
    <x v="1"/>
    <x v="231"/>
    <s v="eth1/18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18"/>
    <x v="0"/>
    <x v="0"/>
    <x v="0"/>
    <s v="OCC ITHCC1 TRAFICO GY-RO"/>
    <x v="6"/>
    <b v="0"/>
    <s v="No está en VPC"/>
    <n v="415"/>
    <s v="INTPG_ACC_415_1.18"/>
    <s v="ISEL-1.18"/>
    <n v="1"/>
    <s v="NO TIENE L3OUT"/>
    <n v="52"/>
    <n v="96"/>
  </r>
  <r>
    <n v="102"/>
    <x v="0"/>
    <x v="233"/>
    <s v="eth1/18"/>
    <x v="0"/>
    <x v="1"/>
    <x v="1"/>
    <s v="SFLDI:RLDICRS01:1"/>
    <x v="6"/>
    <b v="0"/>
    <s v="No está en VPC"/>
    <n v="102"/>
    <s v="INTPG_ACC_102_1.18"/>
    <s v="ISEL-1.18"/>
    <n v="1"/>
    <s v="NO TIENE L3OUT"/>
    <n v="228"/>
    <n v="96"/>
  </r>
  <r>
    <n v="863"/>
    <x v="2"/>
    <x v="234"/>
    <s v="eth1/18"/>
    <x v="0"/>
    <x v="0"/>
    <x v="0"/>
    <s v="To_VPC_2DCBSD_HD42_3"/>
    <x v="0"/>
    <b v="0"/>
    <s v="No está en VPC"/>
    <n v="863"/>
    <s v="INTPG_VPC_858_1.18_863_1.18"/>
    <s v="ISEL-1.18"/>
    <n v="1"/>
    <s v="NO TIENE L3OUT"/>
    <n v="8"/>
    <n v="54"/>
  </r>
  <r>
    <n v="876"/>
    <x v="2"/>
    <x v="235"/>
    <s v="eth1/18"/>
    <x v="0"/>
    <x v="0"/>
    <x v="0"/>
    <s v="LINK_TO_ITHFHWSEQLIMPS29 / Slot 4 PTO 1 / Principal"/>
    <x v="4"/>
    <b v="0"/>
    <s v="No está en VPC"/>
    <n v="876"/>
    <s v="INTPG_ACC_876_1.18"/>
    <s v="ISEL-1.18"/>
    <n v="1"/>
    <s v="NO TIENE L3OUT"/>
    <n v="92"/>
    <n v="54"/>
  </r>
  <r>
    <n v="877"/>
    <x v="2"/>
    <x v="236"/>
    <s v="eth1/18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18"/>
    <x v="0"/>
    <x v="1"/>
    <x v="1"/>
    <s v="TEMIP_MGMT1"/>
    <x v="6"/>
    <b v="0"/>
    <s v="No está en VPC"/>
    <n v="122"/>
    <s v="INTPG_ACC_122_1.18"/>
    <s v="ISEL-1.18"/>
    <n v="0"/>
    <s v="NO TIENE L3OUT"/>
    <n v="148"/>
    <n v="96"/>
  </r>
  <r>
    <n v="157"/>
    <x v="0"/>
    <x v="238"/>
    <s v="eth1/18"/>
    <x v="0"/>
    <x v="0"/>
    <x v="0"/>
    <s v="Cons. Prepago M8000"/>
    <x v="6"/>
    <b v="0"/>
    <s v="No está en VPC"/>
    <n v="157"/>
    <s v="INTPG_ACC_157_1.18"/>
    <s v="ISEL-1.18"/>
    <n v="1"/>
    <s v="NO TIENE L3OUT"/>
    <n v="202"/>
    <n v="96"/>
  </r>
  <r>
    <n v="408"/>
    <x v="1"/>
    <x v="239"/>
    <s v="eth1/18"/>
    <x v="0"/>
    <x v="1"/>
    <x v="1"/>
    <s v="UXCA_EXADATA"/>
    <x v="6"/>
    <b v="0"/>
    <s v="No está en VPC"/>
    <n v="408"/>
    <s v="INTPG_ACC_408_1.18"/>
    <s v="ISEL-1.18"/>
    <n v="1"/>
    <s v="NO TIENE L3OUT"/>
    <n v="152"/>
    <n v="96"/>
  </r>
  <r>
    <n v="405"/>
    <x v="1"/>
    <x v="240"/>
    <s v="eth1/18"/>
    <x v="0"/>
    <x v="0"/>
    <x v="0"/>
    <s v="XL5 RLR5ARI08 iLO"/>
    <x v="6"/>
    <b v="0"/>
    <s v="No está en VPC"/>
    <n v="405"/>
    <s v="INTPG_ACC_405_1.18"/>
    <s v="ISEL-1.18"/>
    <n v="1"/>
    <s v="NO TIENE L3OUT"/>
    <n v="138"/>
    <n v="96"/>
  </r>
  <r>
    <n v="169"/>
    <x v="0"/>
    <x v="241"/>
    <s v="eth1/18"/>
    <x v="0"/>
    <x v="0"/>
    <x v="0"/>
    <s v="HUAWEI_VMS_VVM_Datos"/>
    <x v="6"/>
    <b v="0"/>
    <s v="No está en VPC"/>
    <n v="169"/>
    <s v="INTPG_VPC_167_1.25_169_1.18"/>
    <s v="ISEL-1.18"/>
    <n v="2"/>
    <s v="NO TIENE L3OUT"/>
    <n v="76"/>
    <n v="96"/>
  </r>
  <r>
    <n v="165"/>
    <x v="0"/>
    <x v="242"/>
    <s v="eth1/18"/>
    <x v="0"/>
    <x v="0"/>
    <x v="0"/>
    <s v="UXLDAP"/>
    <x v="6"/>
    <b v="0"/>
    <s v="No está en VPC"/>
    <n v="165"/>
    <s v="INTPG_ACC_165_1.18"/>
    <s v="ISEL-1.18"/>
    <n v="1"/>
    <s v="NO TIENE L3OUT"/>
    <n v="86"/>
    <n v="96"/>
  </r>
  <r>
    <n v="417"/>
    <x v="1"/>
    <x v="243"/>
    <s v="eth1/18"/>
    <x v="0"/>
    <x v="0"/>
    <x v="0"/>
    <s v="IXTSRM2_VM2"/>
    <x v="6"/>
    <b v="0"/>
    <s v="No está en VPC"/>
    <n v="417"/>
    <s v="INTPG_ACC_417_1.18"/>
    <s v="ISEL-1.18"/>
    <n v="1"/>
    <s v="NO TIENE L3OUT"/>
    <n v="56"/>
    <n v="96"/>
  </r>
  <r>
    <n v="153"/>
    <x v="0"/>
    <x v="244"/>
    <s v="eth1/18"/>
    <x v="0"/>
    <x v="0"/>
    <x v="0"/>
    <s v="CHARGING SYSTEM"/>
    <x v="6"/>
    <b v="0"/>
    <s v="No está en VPC"/>
    <n v="153"/>
    <s v="INTPG_ACC_153_1.18"/>
    <s v="ISEL-1.18"/>
    <n v="1"/>
    <s v="NO TIENE L3OUT"/>
    <n v="42"/>
    <n v="96"/>
  </r>
  <r>
    <n v="119"/>
    <x v="0"/>
    <x v="245"/>
    <s v="eth1/18"/>
    <x v="1"/>
    <x v="1"/>
    <x v="2"/>
    <s v="DESC"/>
    <x v="6"/>
    <b v="0"/>
    <s v="No está en VPC"/>
    <n v="119"/>
    <s v="INTPG_PC_119_1.1-4_17-20"/>
    <s v="ISEL-1.18"/>
    <n v="31"/>
    <s v="NO TIENE L3OUT"/>
    <n v="70"/>
    <n v="96"/>
  </r>
  <r>
    <n v="156"/>
    <x v="0"/>
    <x v="246"/>
    <s v="eth1/18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18"/>
    <x v="0"/>
    <x v="0"/>
    <x v="0"/>
    <s v="EHEALTH:ehealthp02:ILOM"/>
    <x v="6"/>
    <b v="0"/>
    <s v="No está en VPC"/>
    <n v="103"/>
    <s v="INTPG_ACC_103_1.18"/>
    <s v="ISEL-1.18"/>
    <n v="1"/>
    <s v="NO TIENE L3OUT"/>
    <n v="70"/>
    <n v="96"/>
  </r>
  <r>
    <n v="438"/>
    <x v="1"/>
    <x v="248"/>
    <s v="eth1/18"/>
    <x v="0"/>
    <x v="0"/>
    <x v="0"/>
    <s v="HP_Proliant_DL380p(a)"/>
    <x v="6"/>
    <b v="0"/>
    <s v="No está en VPC"/>
    <n v="438"/>
    <s v="INTPG_ACC_438_1.18"/>
    <s v="ISEL-1.18"/>
    <n v="1"/>
    <s v="NO TIENE L3OUT"/>
    <n v="170"/>
    <n v="96"/>
  </r>
  <r>
    <n v="406"/>
    <x v="1"/>
    <x v="249"/>
    <s v="eth1/18"/>
    <x v="0"/>
    <x v="0"/>
    <x v="0"/>
    <s v="ITHRTC41VC2"/>
    <x v="6"/>
    <b v="0"/>
    <s v="No está en VPC"/>
    <n v="406"/>
    <s v="INTPG_VPC_404_1.18_406_1.18"/>
    <s v="ISEL-1.18"/>
    <n v="1"/>
    <s v="NO TIENE L3OUT"/>
    <n v="82"/>
    <n v="96"/>
  </r>
  <r>
    <n v="414"/>
    <x v="1"/>
    <x v="250"/>
    <s v="eth1/18"/>
    <x v="0"/>
    <x v="0"/>
    <x v="0"/>
    <s v="NEC Femtocel NMS"/>
    <x v="6"/>
    <b v="0"/>
    <s v="No está en VPC"/>
    <n v="414"/>
    <s v="INTPG_ACC_414_1.18"/>
    <s v="ISEL-1.18"/>
    <n v="1"/>
    <s v="NO TIENE L3OUT"/>
    <n v="144"/>
    <n v="96"/>
  </r>
  <r>
    <n v="416"/>
    <x v="1"/>
    <x v="251"/>
    <s v="eth1/18"/>
    <x v="0"/>
    <x v="0"/>
    <x v="0"/>
    <s v="TO-ITHFHPSMEPRAP02_ILO"/>
    <x v="6"/>
    <b v="0"/>
    <s v="No está en VPC"/>
    <n v="416"/>
    <s v="INTPG_ACC_416_1.18"/>
    <s v="ISEL-1.18"/>
    <n v="1"/>
    <s v="NO TIENE L3OUT"/>
    <n v="110"/>
    <n v="96"/>
  </r>
  <r>
    <n v="418"/>
    <x v="1"/>
    <x v="252"/>
    <s v="eth1/18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18"/>
    <x v="0"/>
    <x v="0"/>
    <x v="0"/>
    <m/>
    <x v="6"/>
    <b v="0"/>
    <s v="No está en VPC"/>
    <n v="413"/>
    <s v="INTPG_ACC_413_1.18"/>
    <s v="ISEL-1.18"/>
    <n v="2"/>
    <s v="NO TIENE L3OUT"/>
    <n v="126"/>
    <n v="96"/>
  </r>
  <r>
    <n v="403"/>
    <x v="1"/>
    <x v="254"/>
    <s v="eth1/18"/>
    <x v="0"/>
    <x v="0"/>
    <x v="0"/>
    <s v="XL5 RLR5ARI08"/>
    <x v="6"/>
    <b v="0"/>
    <s v="No está en VPC"/>
    <n v="403"/>
    <s v="INTPG_ACC_403_1.18"/>
    <s v="ISEL-1.18"/>
    <n v="1"/>
    <s v="NO TIENE L3OUT"/>
    <n v="150"/>
    <n v="96"/>
  </r>
  <r>
    <n v="125"/>
    <x v="0"/>
    <x v="255"/>
    <s v="eth1/18"/>
    <x v="1"/>
    <x v="1"/>
    <x v="2"/>
    <s v="UXSVA (M5000)"/>
    <x v="6"/>
    <b v="0"/>
    <s v="No está en VPC"/>
    <n v="125"/>
    <s v="INTPG_ACC_125_1.18"/>
    <s v="ISEL-1.18"/>
    <n v="0"/>
    <s v="NO TIENE L3OUT"/>
    <n v="72"/>
    <n v="96"/>
  </r>
  <r>
    <n v="166"/>
    <x v="0"/>
    <x v="256"/>
    <s v="eth1/18"/>
    <x v="0"/>
    <x v="0"/>
    <x v="0"/>
    <s v="UXLDAP"/>
    <x v="6"/>
    <b v="0"/>
    <s v="No está en VPC"/>
    <n v="166"/>
    <s v="INTPG_ACC_166_1.18"/>
    <s v="ISEL-1.18"/>
    <n v="1"/>
    <s v="NO TIENE L3OUT"/>
    <n v="84"/>
    <n v="96"/>
  </r>
  <r>
    <n v="111"/>
    <x v="0"/>
    <x v="257"/>
    <s v="eth1/18"/>
    <x v="0"/>
    <x v="0"/>
    <x v="0"/>
    <s v="UXDX-DATOS"/>
    <x v="6"/>
    <b v="0"/>
    <s v="No está en VPC"/>
    <n v="111"/>
    <s v="INTPG_ACC_111_1.18"/>
    <s v="ISEL-1.18"/>
    <n v="1"/>
    <s v="NO TIENE L3OUT"/>
    <n v="58"/>
    <n v="96"/>
  </r>
  <r>
    <n v="115"/>
    <x v="0"/>
    <x v="258"/>
    <s v="eth1/18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18"/>
    <x v="1"/>
    <x v="1"/>
    <x v="2"/>
    <m/>
    <x v="6"/>
    <b v="0"/>
    <s v="No está en VPC"/>
    <n v="106"/>
    <s v="INTPG_ACC_106_1.18"/>
    <s v="ISEL-1.18"/>
    <n v="1"/>
    <s v="NO TIENE L3OUT"/>
    <n v="122"/>
    <n v="96"/>
  </r>
  <r>
    <n v="126"/>
    <x v="0"/>
    <x v="260"/>
    <s v="eth1/18"/>
    <x v="0"/>
    <x v="0"/>
    <x v="0"/>
    <s v="ENIQ"/>
    <x v="6"/>
    <b v="0"/>
    <s v="No está en VPC"/>
    <n v="126"/>
    <s v="INTPG_ACC_126_1.18"/>
    <s v="ISEL-1.18"/>
    <n v="1"/>
    <s v="NO TIENE L3OUT"/>
    <n v="54"/>
    <n v="96"/>
  </r>
  <r>
    <n v="425"/>
    <x v="1"/>
    <x v="261"/>
    <s v="eth1/18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18"/>
    <x v="0"/>
    <x v="1"/>
    <x v="1"/>
    <s v="HUAWEI"/>
    <x v="6"/>
    <b v="0"/>
    <s v="No está en VPC"/>
    <n v="151"/>
    <s v="INTPG_ACC_151_1.18"/>
    <s v="ISEL-1.18"/>
    <n v="1"/>
    <s v="NO TIENE L3OUT"/>
    <n v="86"/>
    <n v="96"/>
  </r>
  <r>
    <n v="430"/>
    <x v="1"/>
    <x v="263"/>
    <s v="eth1/18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18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18"/>
    <x v="0"/>
    <x v="0"/>
    <x v="0"/>
    <s v="COBROS NAVEGACION"/>
    <x v="6"/>
    <b v="0"/>
    <s v="No está en VPC"/>
    <n v="155"/>
    <s v="INTPG_ACC_155_1.18"/>
    <s v="ISEL-1.18"/>
    <n v="1"/>
    <s v="NO TIENE L3OUT"/>
    <n v="198"/>
    <n v="96"/>
  </r>
  <r>
    <n v="409"/>
    <x v="1"/>
    <x v="266"/>
    <s v="eth1/18"/>
    <x v="0"/>
    <x v="1"/>
    <x v="1"/>
    <s v="IXT_SIEU"/>
    <x v="6"/>
    <b v="0"/>
    <s v="No está en VPC"/>
    <n v="409"/>
    <s v="INTPG_ACC_409_1.18"/>
    <s v="ISEL-1.18"/>
    <n v="1"/>
    <s v="NO TIENE L3OUT"/>
    <n v="128"/>
    <n v="96"/>
  </r>
  <r>
    <n v="422"/>
    <x v="1"/>
    <x v="267"/>
    <s v="eth1/18"/>
    <x v="0"/>
    <x v="0"/>
    <x v="0"/>
    <s v="TO-ITHFDEOCP1LWR06-REDUNDANTE"/>
    <x v="6"/>
    <b v="0"/>
    <s v="No está en VPC"/>
    <n v="422"/>
    <s v="INTPG_ACC_422_1.18"/>
    <s v="ISEL-1.18"/>
    <n v="1"/>
    <s v="NO TIENE L3OUT"/>
    <n v="182"/>
    <n v="96"/>
  </r>
  <r>
    <n v="436"/>
    <x v="1"/>
    <x v="268"/>
    <s v="eth1/18"/>
    <x v="0"/>
    <x v="0"/>
    <x v="0"/>
    <s v="HP_Proliant_DL380p(a)"/>
    <x v="6"/>
    <b v="0"/>
    <s v="No está en VPC"/>
    <n v="436"/>
    <s v="INTPG_ACC_436_1.18"/>
    <s v="ISEL-1.18"/>
    <n v="1"/>
    <s v="NO TIENE L3OUT"/>
    <n v="172"/>
    <n v="96"/>
  </r>
  <r>
    <n v="410"/>
    <x v="1"/>
    <x v="269"/>
    <s v="eth1/18"/>
    <x v="0"/>
    <x v="0"/>
    <x v="0"/>
    <s v="ITHMSVB2_ITH2"/>
    <x v="6"/>
    <b v="0"/>
    <s v="No está en VPC"/>
    <n v="410"/>
    <s v="INTPG_ACC_410_1.18"/>
    <s v="ISEL-1.18"/>
    <n v="1"/>
    <s v="NO TIENE L3OUT"/>
    <n v="178"/>
    <n v="96"/>
  </r>
  <r>
    <n v="161"/>
    <x v="0"/>
    <x v="270"/>
    <s v="eth1/18"/>
    <x v="1"/>
    <x v="1"/>
    <x v="2"/>
    <s v="SICOP"/>
    <x v="6"/>
    <b v="0"/>
    <s v="No está en VPC"/>
    <n v="161"/>
    <s v="INTPG_ACC_161_1.18"/>
    <s v="ISEL-1.18"/>
    <n v="0"/>
    <s v="NO TIENE L3OUT"/>
    <n v="102"/>
    <n v="96"/>
  </r>
  <r>
    <n v="411"/>
    <x v="1"/>
    <x v="271"/>
    <s v="eth1/18"/>
    <x v="0"/>
    <x v="0"/>
    <x v="0"/>
    <s v="GESTOR"/>
    <x v="6"/>
    <b v="0"/>
    <s v="No está en VPC"/>
    <n v="411"/>
    <s v="INTPG_ACC_411_1.18"/>
    <s v="ISEL-1.18"/>
    <n v="2"/>
    <s v="NO TIENE L3OUT"/>
    <n v="96"/>
    <n v="96"/>
  </r>
  <r>
    <n v="116"/>
    <x v="0"/>
    <x v="272"/>
    <s v="eth1/18"/>
    <x v="0"/>
    <x v="0"/>
    <x v="0"/>
    <s v="COBROS NAVEGACION"/>
    <x v="6"/>
    <b v="0"/>
    <s v="No está en VPC"/>
    <n v="116"/>
    <s v="INTPG_ACC_116_1.18"/>
    <s v="ISEL-1.18"/>
    <n v="1"/>
    <s v="NO TIENE L3OUT"/>
    <n v="148"/>
    <n v="96"/>
  </r>
  <r>
    <n v="412"/>
    <x v="1"/>
    <x v="273"/>
    <s v="eth1/18"/>
    <x v="0"/>
    <x v="0"/>
    <x v="0"/>
    <s v="RESPAL_CS5_ASAP8"/>
    <x v="6"/>
    <b v="0"/>
    <s v="No está en VPC"/>
    <n v="412"/>
    <s v="INTPG_ACC_412_1.18"/>
    <s v="ISEL-1.18"/>
    <n v="1"/>
    <s v="NO TIENE L3OUT"/>
    <n v="126"/>
    <n v="96"/>
  </r>
  <r>
    <n v="120"/>
    <x v="0"/>
    <x v="274"/>
    <s v="eth1/18"/>
    <x v="0"/>
    <x v="1"/>
    <x v="1"/>
    <s v="TEMIP_MGMT1"/>
    <x v="6"/>
    <b v="0"/>
    <s v="No está en VPC"/>
    <n v="120"/>
    <s v="INTPG_ACC_120_1.18"/>
    <s v="ISEL-1.18"/>
    <n v="1"/>
    <s v="NO TIENE L3OUT"/>
    <n v="158"/>
    <n v="96"/>
  </r>
  <r>
    <n v="404"/>
    <x v="1"/>
    <x v="275"/>
    <s v="eth1/18"/>
    <x v="0"/>
    <x v="0"/>
    <x v="0"/>
    <s v="ITHRTC41VC2"/>
    <x v="6"/>
    <b v="0"/>
    <s v="No está en VPC"/>
    <n v="404"/>
    <s v="INTPG_VPC_404_1.18_406_1.18"/>
    <s v="ISEL-1.18"/>
    <n v="1"/>
    <s v="NO TIENE L3OUT"/>
    <n v="92"/>
    <n v="96"/>
  </r>
  <r>
    <n v="167"/>
    <x v="0"/>
    <x v="276"/>
    <s v="eth1/18"/>
    <x v="0"/>
    <x v="0"/>
    <x v="0"/>
    <s v="LINKDOWN_HACIA_UCS_9UCS-IXTLA-SERV2"/>
    <x v="6"/>
    <b v="0"/>
    <s v="No está en VPC"/>
    <n v="167"/>
    <s v="INTPG_ACC_167_1.18"/>
    <s v="ISEL-1.18"/>
    <n v="1"/>
    <s v="NO TIENE L3OUT"/>
    <n v="68"/>
    <n v="96"/>
  </r>
  <r>
    <n v="428"/>
    <x v="1"/>
    <x v="277"/>
    <s v="eth1/18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903"/>
    <x v="2"/>
    <x v="278"/>
    <s v="eth1/1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1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19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19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19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19"/>
    <x v="1"/>
    <x v="1"/>
    <x v="3"/>
    <m/>
    <x v="0"/>
    <b v="0"/>
    <s v="No está en VPC"/>
    <n v="101"/>
    <s v="NO EXISTE PG"/>
    <s v="NO EXISTE ISEL"/>
    <n v="0"/>
    <s v="NO TIENE L3OUT"/>
    <n v="114"/>
    <n v="54"/>
  </r>
  <r>
    <n v="160"/>
    <x v="0"/>
    <x v="4"/>
    <s v="eth1/19"/>
    <x v="1"/>
    <x v="1"/>
    <x v="2"/>
    <m/>
    <x v="1"/>
    <b v="0"/>
    <s v="No está en VPC"/>
    <n v="160"/>
    <s v="INTPG_ACC_160_1.19"/>
    <s v="ISEL-1.19"/>
    <n v="1"/>
    <s v="NO TIENE L3OUT"/>
    <n v="68"/>
    <n v="54"/>
  </r>
  <r>
    <n v="121"/>
    <x v="0"/>
    <x v="5"/>
    <s v="eth1/19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19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19"/>
    <x v="0"/>
    <x v="0"/>
    <x v="0"/>
    <s v="MEDIACION_HUAWEI"/>
    <x v="0"/>
    <b v="0"/>
    <s v="No está en VPC"/>
    <n v="401"/>
    <s v="INTPG_VPC_401_1.19_402_1.19"/>
    <s v="ISEL-1.19"/>
    <n v="1"/>
    <s v="NO TIENE L3OUT"/>
    <n v="40"/>
    <n v="54"/>
  </r>
  <r>
    <n v="402"/>
    <x v="1"/>
    <x v="8"/>
    <s v="eth1/19"/>
    <x v="0"/>
    <x v="0"/>
    <x v="0"/>
    <s v="MEDIACION_HUAWEI"/>
    <x v="0"/>
    <b v="0"/>
    <s v="No está en VPC"/>
    <n v="402"/>
    <s v="INTPG_VPC_401_1.19_402_1.19"/>
    <s v="ISEL-1.19"/>
    <n v="1"/>
    <s v="NO TIENE L3OUT"/>
    <n v="36"/>
    <n v="54"/>
  </r>
  <r>
    <n v="447"/>
    <x v="1"/>
    <x v="9"/>
    <s v="eth1/19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19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19"/>
    <x v="0"/>
    <x v="0"/>
    <x v="0"/>
    <s v="LINK_HACIA_APIC"/>
    <x v="0"/>
    <b v="0"/>
    <s v="No está en VPC"/>
    <n v="130"/>
    <s v="INTPG_ACC_APIC6_130_1.19"/>
    <s v="ISEL-1.19"/>
    <n v="0"/>
    <s v="NO TIENE L3OUT"/>
    <n v="128"/>
    <n v="54"/>
  </r>
  <r>
    <n v="150"/>
    <x v="0"/>
    <x v="12"/>
    <s v="eth1/19"/>
    <x v="0"/>
    <x v="0"/>
    <x v="0"/>
    <s v="ITHEMCDD69004197"/>
    <x v="0"/>
    <b v="0"/>
    <s v="No está en VPC"/>
    <n v="150"/>
    <s v="INTPG_ACC_150_1.19"/>
    <s v="ISEL-1.19"/>
    <n v="1"/>
    <s v="NO TIENE L3OUT"/>
    <n v="118"/>
    <n v="54"/>
  </r>
  <r>
    <n v="131"/>
    <x v="0"/>
    <x v="13"/>
    <s v="eth1/19"/>
    <x v="0"/>
    <x v="0"/>
    <x v="0"/>
    <s v="LINK_HACIA_APIC"/>
    <x v="0"/>
    <b v="0"/>
    <s v="No está en VPC"/>
    <n v="131"/>
    <s v="INTPG_ACC_APIC6_131_1.19"/>
    <s v="ISEL-1.19"/>
    <n v="0"/>
    <s v="NO TIENE L3OUT"/>
    <n v="126"/>
    <n v="54"/>
  </r>
  <r>
    <n v="303"/>
    <x v="0"/>
    <x v="14"/>
    <s v="eth1/19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19"/>
    <x v="0"/>
    <x v="0"/>
    <x v="0"/>
    <s v="GRLK-EN03-LAG01"/>
    <x v="2"/>
    <b v="0"/>
    <s v="No está en VPC"/>
    <n v="758"/>
    <s v="INTPG_VPC_758_1.19_759_1.19"/>
    <s v="ISEL-1.19"/>
    <n v="145"/>
    <s v="NO TIENE L3OUT"/>
    <n v="0"/>
    <n v="42"/>
  </r>
  <r>
    <n v="759"/>
    <x v="2"/>
    <x v="16"/>
    <s v="eth1/19"/>
    <x v="0"/>
    <x v="0"/>
    <x v="0"/>
    <s v="GRLK-EN03-LAG01"/>
    <x v="2"/>
    <b v="0"/>
    <s v="No está en VPC"/>
    <n v="759"/>
    <s v="INTPG_VPC_758_1.19_759_1.19"/>
    <s v="ISEL-1.19"/>
    <n v="145"/>
    <s v="NO TIENE L3OUT"/>
    <n v="0"/>
    <n v="42"/>
  </r>
  <r>
    <n v="302"/>
    <x v="0"/>
    <x v="17"/>
    <s v="eth1/19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19"/>
    <x v="0"/>
    <x v="0"/>
    <x v="0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19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19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19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19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19"/>
    <x v="0"/>
    <x v="1"/>
    <x v="5"/>
    <m/>
    <x v="0"/>
    <b v="0"/>
    <s v="No está en VPC"/>
    <n v="724"/>
    <s v="INTPG-VPC_HDD99_724_1.19_725_1.20"/>
    <s v="ISEL-1.19"/>
    <n v="1"/>
    <s v="NO TIENE L3OUT"/>
    <n v="0"/>
    <n v="54"/>
  </r>
  <r>
    <n v="602"/>
    <x v="1"/>
    <x v="24"/>
    <s v="eth1/19"/>
    <x v="0"/>
    <x v="1"/>
    <x v="3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19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19"/>
    <x v="0"/>
    <x v="0"/>
    <x v="0"/>
    <s v="ZTE_HADOOP_produccion_client_LAG"/>
    <x v="0"/>
    <b v="0"/>
    <s v="No está en VPC"/>
    <n v="431"/>
    <s v="INTPG_VPC_431_1.18-21_448_1.18-21"/>
    <s v="ISEL-1.19"/>
    <n v="8"/>
    <s v="NO TIENE L3OUT"/>
    <n v="46"/>
    <n v="54"/>
  </r>
  <r>
    <n v="433"/>
    <x v="1"/>
    <x v="27"/>
    <s v="eth1/19"/>
    <x v="0"/>
    <x v="0"/>
    <x v="0"/>
    <s v="ITHDWCOP1DW01_IDRAC"/>
    <x v="1"/>
    <b v="0"/>
    <s v="No está en VPC"/>
    <n v="433"/>
    <s v="INTPG_ACC_433_1.19"/>
    <s v="ISEL-1.19"/>
    <n v="1"/>
    <s v="NO TIENE L3OUT"/>
    <n v="42"/>
    <n v="54"/>
  </r>
  <r>
    <n v="429"/>
    <x v="1"/>
    <x v="28"/>
    <s v="eth1/19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19"/>
    <x v="0"/>
    <x v="1"/>
    <x v="1"/>
    <s v="SecAnLG_Gb2_03-Colector_R1toR8_SA-IXTSALG_H1_8SA"/>
    <x v="1"/>
    <b v="0"/>
    <s v="No está en VPC"/>
    <n v="432"/>
    <s v="INTPG_ACC_432_1.19"/>
    <s v="ISEL-1.19"/>
    <n v="1"/>
    <s v="NO TIENE L3OUT"/>
    <n v="54"/>
    <n v="54"/>
  </r>
  <r>
    <n v="442"/>
    <x v="1"/>
    <x v="30"/>
    <s v="eth1/19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19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19"/>
    <x v="1"/>
    <x v="1"/>
    <x v="3"/>
    <s v="CEM:ITHCEMG2NAM17:LOM P1"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19"/>
    <x v="0"/>
    <x v="1"/>
    <x v="5"/>
    <s v="CEM:ITHCEMB2AKF10:LOM P1"/>
    <x v="0"/>
    <b v="0"/>
    <s v="No está en VPC"/>
    <n v="712"/>
    <s v="INTPG_VPC_712_1.19_713_1.20"/>
    <s v="ISEL-1.19"/>
    <n v="1"/>
    <s v="NO TIENE L3OUT"/>
    <n v="32"/>
    <n v="54"/>
  </r>
  <r>
    <n v="719"/>
    <x v="2"/>
    <x v="34"/>
    <s v="eth1/19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19"/>
    <x v="0"/>
    <x v="0"/>
    <x v="0"/>
    <m/>
    <x v="0"/>
    <b v="0"/>
    <s v="No está en VPC"/>
    <n v="715"/>
    <s v="INTPG-VPC_SLR04_715_1.19_716_1.20"/>
    <s v="ISEL-1.19"/>
    <n v="1"/>
    <s v="NO TIENE L3OUT"/>
    <n v="0"/>
    <n v="54"/>
  </r>
  <r>
    <n v="427"/>
    <x v="1"/>
    <x v="36"/>
    <s v="eth1/19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19"/>
    <x v="0"/>
    <x v="1"/>
    <x v="5"/>
    <s v="CEM:ITHCEMC2AKF10:LOM P1"/>
    <x v="0"/>
    <b v="0"/>
    <s v="No está en VPC"/>
    <n v="711"/>
    <s v="INTPG_VPC_710_1.20_711_1.19"/>
    <s v="ISEL-1.19"/>
    <n v="1"/>
    <s v="NO TIENE L3OUT"/>
    <n v="16"/>
    <n v="54"/>
  </r>
  <r>
    <n v="716"/>
    <x v="2"/>
    <x v="38"/>
    <s v="eth1/19"/>
    <x v="0"/>
    <x v="0"/>
    <x v="0"/>
    <m/>
    <x v="0"/>
    <b v="0"/>
    <s v="No está en VPC"/>
    <n v="716"/>
    <s v="INTPG-VPC_HDD30_716_1.19_715_1.20"/>
    <s v="ISEL-1.19"/>
    <n v="1"/>
    <s v="NO TIENE L3OUT"/>
    <n v="0"/>
    <n v="54"/>
  </r>
  <r>
    <n v="702"/>
    <x v="2"/>
    <x v="39"/>
    <s v="eth1/19"/>
    <x v="0"/>
    <x v="0"/>
    <x v="0"/>
    <m/>
    <x v="0"/>
    <b v="0"/>
    <s v="No está en VPC"/>
    <n v="702"/>
    <s v="INTPG_VPC_702_1.19_701_1.20"/>
    <s v="ISEL-1.19"/>
    <n v="1"/>
    <s v="NO TIENE L3OUT"/>
    <n v="0"/>
    <n v="54"/>
  </r>
  <r>
    <n v="435"/>
    <x v="1"/>
    <x v="40"/>
    <s v="eth1/19"/>
    <x v="0"/>
    <x v="0"/>
    <x v="0"/>
    <s v="ITHDWCOP1DW01_ETH2"/>
    <x v="1"/>
    <b v="0"/>
    <s v="No está en VPC"/>
    <n v="435"/>
    <s v="INTPG_ACC_435_1.19"/>
    <s v="ISEL-1.19"/>
    <n v="1"/>
    <s v="NO TIENE L3OUT"/>
    <n v="34"/>
    <n v="54"/>
  </r>
  <r>
    <n v="446"/>
    <x v="1"/>
    <x v="41"/>
    <s v="eth1/19"/>
    <x v="0"/>
    <x v="0"/>
    <x v="0"/>
    <m/>
    <x v="0"/>
    <b v="0"/>
    <s v="No está en VPC"/>
    <n v="446"/>
    <s v="INTPG_ACC_446_1.19"/>
    <s v="ISEL-1.19"/>
    <n v="9"/>
    <s v="NO TIENE L3OUT"/>
    <n v="198"/>
    <n v="54"/>
  </r>
  <r>
    <n v="444"/>
    <x v="1"/>
    <x v="42"/>
    <s v="eth1/19"/>
    <x v="0"/>
    <x v="0"/>
    <x v="0"/>
    <s v="TO-ITHFDLMCLWLCN01"/>
    <x v="0"/>
    <b v="0"/>
    <s v="No está en VPC"/>
    <n v="444"/>
    <s v="INTPG_VPC_446_1.20_444_1.19"/>
    <s v="ISEL-1.19"/>
    <n v="1"/>
    <s v="NO TIENE L3OUT"/>
    <n v="234"/>
    <n v="54"/>
  </r>
  <r>
    <n v="701"/>
    <x v="2"/>
    <x v="43"/>
    <s v="eth1/19"/>
    <x v="0"/>
    <x v="0"/>
    <x v="0"/>
    <m/>
    <x v="0"/>
    <b v="0"/>
    <s v="No está en VPC"/>
    <n v="701"/>
    <s v="INTPG_VPC_701_1.19_702_1.20"/>
    <s v="ISEL-1.19"/>
    <n v="2"/>
    <s v="NO TIENE L3OUT"/>
    <n v="0"/>
    <n v="54"/>
  </r>
  <r>
    <n v="440"/>
    <x v="1"/>
    <x v="44"/>
    <s v="eth1/19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19"/>
    <x v="0"/>
    <x v="0"/>
    <x v="0"/>
    <s v="ZTE_HADOOP_produccion_client_LAG"/>
    <x v="0"/>
    <b v="0"/>
    <s v="No está en VPC"/>
    <n v="448"/>
    <s v="INTPG_VPC_431_1.18-21_448_1.18-21"/>
    <s v="ISEL-1.19"/>
    <n v="8"/>
    <s v="NO TIENE L3OUT"/>
    <n v="46"/>
    <n v="54"/>
  </r>
  <r>
    <n v="704"/>
    <x v="2"/>
    <x v="46"/>
    <s v="eth1/19"/>
    <x v="0"/>
    <x v="0"/>
    <x v="0"/>
    <m/>
    <x v="0"/>
    <b v="0"/>
    <s v="No está en VPC"/>
    <n v="704"/>
    <s v="INTPG_VPC_704_1.19_703_1.20"/>
    <s v="ISEL-1.19"/>
    <n v="1"/>
    <s v="NO TIENE L3OUT"/>
    <n v="0"/>
    <n v="54"/>
  </r>
  <r>
    <n v="729"/>
    <x v="2"/>
    <x v="47"/>
    <s v="eth1/19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19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19"/>
    <x v="0"/>
    <x v="0"/>
    <x v="0"/>
    <s v="HACIA_CSI-B-OSCP-F4-03_SECUNDARIO"/>
    <x v="4"/>
    <b v="0"/>
    <s v="No está en VPC"/>
    <n v="456"/>
    <s v="INTPG_VPC_454_1.19_456_1.19"/>
    <s v="ISEL-1.19"/>
    <n v="2"/>
    <s v="NO TIENE L3OUT"/>
    <n v="4"/>
    <n v="54"/>
  </r>
  <r>
    <n v="603"/>
    <x v="1"/>
    <x v="50"/>
    <s v="eth1/19"/>
    <x v="0"/>
    <x v="1"/>
    <x v="3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19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19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19"/>
    <x v="0"/>
    <x v="0"/>
    <x v="0"/>
    <s v="Server_Pre-R02-CBS-RH2288-03"/>
    <x v="0"/>
    <b v="0"/>
    <s v="No está en VPC"/>
    <n v="730"/>
    <s v="INTPG_ACC_730_1.19"/>
    <s v="ISEL-1.19"/>
    <n v="1"/>
    <s v="NO TIENE L3OUT"/>
    <n v="36"/>
    <n v="54"/>
  </r>
  <r>
    <n v="722"/>
    <x v="2"/>
    <x v="54"/>
    <s v="eth1/19"/>
    <x v="0"/>
    <x v="0"/>
    <x v="0"/>
    <m/>
    <x v="0"/>
    <b v="0"/>
    <s v="No está en VPC"/>
    <n v="722"/>
    <s v="INTPG-VPC_HDD124_722_1.19_723_1.20"/>
    <s v="ISEL-1.19"/>
    <n v="1"/>
    <s v="NO TIENE L3OUT"/>
    <n v="0"/>
    <n v="54"/>
  </r>
  <r>
    <n v="733"/>
    <x v="2"/>
    <x v="55"/>
    <s v="eth1/19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19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19"/>
    <x v="0"/>
    <x v="0"/>
    <x v="0"/>
    <m/>
    <x v="0"/>
    <b v="0"/>
    <s v="No está en VPC"/>
    <n v="748"/>
    <s v="INTPG_ACC_748_1.19"/>
    <s v="ISEL-1.19"/>
    <n v="0"/>
    <s v="NO TIENE L3OUT"/>
    <n v="2"/>
    <n v="54"/>
  </r>
  <r>
    <n v="756"/>
    <x v="2"/>
    <x v="58"/>
    <s v="eth1/19"/>
    <x v="0"/>
    <x v="0"/>
    <x v="0"/>
    <s v="OSS F1:ithenmr06bl02nas2r9b:PCIe3 Slot 1/1"/>
    <x v="0"/>
    <b v="0"/>
    <s v="No está en VPC"/>
    <n v="756"/>
    <s v="INTPG_PC_756_1.19-20"/>
    <s v="ISEL-1.19"/>
    <n v="8"/>
    <s v="NO TIENE L3OUT"/>
    <n v="64"/>
    <n v="54"/>
  </r>
  <r>
    <n v="754"/>
    <x v="2"/>
    <x v="59"/>
    <s v="eth1/19"/>
    <x v="0"/>
    <x v="0"/>
    <x v="0"/>
    <s v="OSS F1:enmregion9c:Bay2/X2"/>
    <x v="0"/>
    <b v="0"/>
    <s v="No está en VPC"/>
    <n v="754"/>
    <s v="INTPG_PC_754_1.17_1.19"/>
    <s v="ISEL-1.19"/>
    <n v="8"/>
    <s v="NO TIENE L3OUT"/>
    <n v="62"/>
    <n v="54"/>
  </r>
  <r>
    <n v="751"/>
    <x v="2"/>
    <x v="60"/>
    <s v="eth1/19"/>
    <x v="0"/>
    <x v="0"/>
    <x v="0"/>
    <m/>
    <x v="0"/>
    <b v="0"/>
    <s v="No está en VPC"/>
    <n v="751"/>
    <s v="INTPG_ACC_751_1.19"/>
    <s v="ISEL-1.19"/>
    <n v="0"/>
    <s v="NO TIENE L3OUT"/>
    <n v="0"/>
    <n v="54"/>
  </r>
  <r>
    <n v="769"/>
    <x v="2"/>
    <x v="61"/>
    <s v="eth1/19"/>
    <x v="1"/>
    <x v="1"/>
    <x v="3"/>
    <s v="SFLDI"/>
    <x v="0"/>
    <b v="0"/>
    <s v="No está en VPC"/>
    <n v="769"/>
    <s v="INTPG_ACC_769_1.19"/>
    <s v="ISEL-1.19"/>
    <n v="0"/>
    <s v="NO TIENE L3OUT"/>
    <n v="60"/>
    <n v="54"/>
  </r>
  <r>
    <n v="742"/>
    <x v="2"/>
    <x v="62"/>
    <s v="eth1/19"/>
    <x v="0"/>
    <x v="0"/>
    <x v="0"/>
    <s v="CEM:ITHCEMA2AKF10:LOM P3"/>
    <x v="5"/>
    <b v="0"/>
    <s v="No está en VPC"/>
    <n v="742"/>
    <s v="INTPG_ACC_742_1.19"/>
    <s v="ISEL-1.19"/>
    <n v="1"/>
    <s v="NO TIENE L3OUT"/>
    <n v="64"/>
    <n v="54"/>
  </r>
  <r>
    <n v="763"/>
    <x v="2"/>
    <x v="63"/>
    <s v="eth1/19"/>
    <x v="0"/>
    <x v="0"/>
    <x v="0"/>
    <s v="PAAS:ithhwosstpap004:FlexIO.1"/>
    <x v="0"/>
    <b v="0"/>
    <s v="No está en VPC"/>
    <n v="763"/>
    <s v="INTPG_VPC_762_1.19_763_1.19"/>
    <s v="ISEL-1.19"/>
    <n v="1"/>
    <s v="NO TIENE L3OUT"/>
    <n v="2"/>
    <n v="54"/>
  </r>
  <r>
    <n v="766"/>
    <x v="2"/>
    <x v="64"/>
    <s v="eth1/19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19"/>
    <x v="0"/>
    <x v="1"/>
    <x v="1"/>
    <m/>
    <x v="0"/>
    <b v="0"/>
    <s v="No está en VPC"/>
    <n v="760"/>
    <s v="INTPG_VPC_760_1.17-20_761_1.17-20"/>
    <s v="ISEL-1.19"/>
    <n v="0"/>
    <s v="L3OUT-EXACLOUD"/>
    <n v="0"/>
    <n v="54"/>
  </r>
  <r>
    <n v="752"/>
    <x v="2"/>
    <x v="66"/>
    <s v="eth1/19"/>
    <x v="0"/>
    <x v="0"/>
    <x v="0"/>
    <s v="PAAS:ithhwosstpap004:LOM PORT 1"/>
    <x v="0"/>
    <b v="0"/>
    <s v="No está en VPC"/>
    <n v="752"/>
    <s v="INTPG_VPC_747_1.29_752_1.19"/>
    <s v="ISEL-1.19"/>
    <n v="25"/>
    <s v="NO TIENE L3OUT"/>
    <n v="0"/>
    <n v="54"/>
  </r>
  <r>
    <n v="765"/>
    <x v="2"/>
    <x v="67"/>
    <s v="eth1/19"/>
    <x v="0"/>
    <x v="0"/>
    <x v="0"/>
    <s v="Portchannel_4_R6A"/>
    <x v="0"/>
    <b v="0"/>
    <s v="No está en VPC"/>
    <n v="765"/>
    <s v="INTPG_PC_765_1.19-20"/>
    <s v="ISEL-1.19"/>
    <n v="8"/>
    <s v="NO TIENE L3OUT"/>
    <n v="60"/>
    <n v="54"/>
  </r>
  <r>
    <n v="778"/>
    <x v="2"/>
    <x v="68"/>
    <s v="eth1/19"/>
    <x v="0"/>
    <x v="0"/>
    <x v="0"/>
    <s v="ENIQ F1:itheniqr08nas2r3:Slot 2/1"/>
    <x v="0"/>
    <b v="0"/>
    <s v="No está en VPC"/>
    <n v="778"/>
    <s v="INTPG_PC_778_1.16-19"/>
    <s v="ISEL-1.19"/>
    <n v="1"/>
    <s v="NO TIENE L3OUT"/>
    <n v="26"/>
    <n v="54"/>
  </r>
  <r>
    <n v="780"/>
    <x v="2"/>
    <x v="69"/>
    <s v="eth1/19"/>
    <x v="0"/>
    <x v="0"/>
    <x v="0"/>
    <s v="LACP_NAS2_ENIQ9C"/>
    <x v="0"/>
    <b v="0"/>
    <s v="No está en VPC"/>
    <n v="780"/>
    <s v="INTPG_PC_780_1.16-19"/>
    <s v="ISEL-1.19"/>
    <n v="1"/>
    <s v="NO TIENE L3OUT"/>
    <n v="26"/>
    <n v="54"/>
  </r>
  <r>
    <n v="812"/>
    <x v="2"/>
    <x v="70"/>
    <s v="eth1/19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19"/>
    <x v="0"/>
    <x v="0"/>
    <x v="0"/>
    <s v="TO_ITHFDEOSPVLMT01"/>
    <x v="0"/>
    <b v="0"/>
    <s v="No está en VPC"/>
    <n v="796"/>
    <s v="INTPG_VPC_795_1.19-21_796_1.19-21"/>
    <s v="ISEL-1.19"/>
    <n v="2"/>
    <s v="NO TIENE L3OUT"/>
    <n v="18"/>
    <n v="54"/>
  </r>
  <r>
    <n v="795"/>
    <x v="2"/>
    <x v="72"/>
    <s v="eth1/19"/>
    <x v="0"/>
    <x v="0"/>
    <x v="0"/>
    <s v="TO_ITHFDEOSPVLMT01"/>
    <x v="0"/>
    <b v="0"/>
    <s v="No está en VPC"/>
    <n v="795"/>
    <s v="INTPG_VPC_795_1.19-21_796_1.19-21"/>
    <s v="ISEL-1.19"/>
    <n v="2"/>
    <s v="NO TIENE L3OUT"/>
    <n v="18"/>
    <n v="54"/>
  </r>
  <r>
    <n v="749"/>
    <x v="2"/>
    <x v="73"/>
    <s v="eth1/19"/>
    <x v="0"/>
    <x v="0"/>
    <x v="0"/>
    <m/>
    <x v="0"/>
    <b v="0"/>
    <s v="No está en VPC"/>
    <n v="749"/>
    <s v="INTPG_ACC_749_1.19"/>
    <s v="ISEL-1.19"/>
    <n v="0"/>
    <s v="NO TIENE L3OUT"/>
    <n v="4"/>
    <n v="54"/>
  </r>
  <r>
    <n v="824"/>
    <x v="2"/>
    <x v="74"/>
    <s v="eth1/19"/>
    <x v="0"/>
    <x v="0"/>
    <x v="0"/>
    <s v="LINK_TO_ITHFHWCMVWPMA11 /Slot6.2 /Redundante"/>
    <x v="0"/>
    <b v="0"/>
    <s v="No está en VPC"/>
    <n v="824"/>
    <s v="INTPG_ACC_824_1.19"/>
    <s v="ISEL-1.19"/>
    <n v="1"/>
    <s v="NO TIENE L3OUT"/>
    <n v="70"/>
    <n v="54"/>
  </r>
  <r>
    <n v="819"/>
    <x v="2"/>
    <x v="75"/>
    <s v="eth1/19"/>
    <x v="0"/>
    <x v="0"/>
    <x v="0"/>
    <s v="LINK_TO_ITHFHWCMVWPMA11 /Slot4.2 /Principal"/>
    <x v="0"/>
    <b v="0"/>
    <s v="No está en VPC"/>
    <n v="819"/>
    <s v="INTPG_ACC_819_1.19"/>
    <s v="ISEL-1.19"/>
    <n v="1"/>
    <s v="NO TIENE L3OUT"/>
    <n v="70"/>
    <n v="54"/>
  </r>
  <r>
    <n v="737"/>
    <x v="2"/>
    <x v="76"/>
    <s v="eth1/19"/>
    <x v="0"/>
    <x v="0"/>
    <x v="0"/>
    <s v="CEM:ITHCEMF2RTB10:LOM P3"/>
    <x v="5"/>
    <b v="0"/>
    <s v="No está en VPC"/>
    <n v="737"/>
    <s v="INTPG_ACC_737_1.19"/>
    <s v="ISEL-1.19"/>
    <n v="1"/>
    <s v="NO TIENE L3OUT"/>
    <n v="72"/>
    <n v="54"/>
  </r>
  <r>
    <n v="844"/>
    <x v="2"/>
    <x v="77"/>
    <s v="eth1/19"/>
    <x v="0"/>
    <x v="0"/>
    <x v="0"/>
    <s v="LINK_TO_ITHFHWCRMPLCN107 / Slot1.1_18 / Principal"/>
    <x v="0"/>
    <b v="0"/>
    <s v="No está en VPC"/>
    <n v="844"/>
    <s v="INTPG_ACC_844_1.19"/>
    <s v="ISEL-1.19"/>
    <n v="6"/>
    <s v="NO TIENE L3OUT"/>
    <n v="282"/>
    <n v="54"/>
  </r>
  <r>
    <n v="843"/>
    <x v="2"/>
    <x v="78"/>
    <s v="eth1/19"/>
    <x v="0"/>
    <x v="0"/>
    <x v="0"/>
    <s v="LINK_To_ITHFHWCBSPSWR41 / Slot7.2_26 / Redundante"/>
    <x v="0"/>
    <b v="0"/>
    <s v="No está en VPC"/>
    <n v="843"/>
    <s v="INTPG_VPC_838_1.19_843_1.19"/>
    <s v="ISEL-1.19"/>
    <n v="1"/>
    <s v="NO TIENE L3OUT"/>
    <n v="38"/>
    <n v="54"/>
  </r>
  <r>
    <n v="797"/>
    <x v="2"/>
    <x v="79"/>
    <s v="eth1/19"/>
    <x v="0"/>
    <x v="0"/>
    <x v="0"/>
    <s v="TO-HDPS_21-MSP"/>
    <x v="0"/>
    <b v="0"/>
    <s v="No está en VPC"/>
    <n v="797"/>
    <s v="INTPG_ACC_797_1.19"/>
    <s v="ISEL-1.19"/>
    <n v="1"/>
    <s v="NO TIENE L3OUT"/>
    <n v="48"/>
    <n v="54"/>
  </r>
  <r>
    <n v="839"/>
    <x v="2"/>
    <x v="80"/>
    <s v="eth1/19"/>
    <x v="0"/>
    <x v="0"/>
    <x v="0"/>
    <s v="LINK_TO_ITHFHWCBSPSWR64 / Slot7.1_16 / Redundante"/>
    <x v="0"/>
    <b v="0"/>
    <s v="No está en VPC"/>
    <n v="839"/>
    <s v="INTPG_VPC_834_1.19_839_1.19"/>
    <s v="ISEL-1.19"/>
    <n v="2"/>
    <s v="NO TIENE L3OUT"/>
    <n v="0"/>
    <n v="54"/>
  </r>
  <r>
    <n v="847"/>
    <x v="2"/>
    <x v="81"/>
    <s v="eth1/19"/>
    <x v="0"/>
    <x v="0"/>
    <x v="0"/>
    <s v="LINK_TO_ITHFHWCRMPLCN171 / Slot7.3_12 / Redundante"/>
    <x v="0"/>
    <b v="0"/>
    <s v="No está en VPC"/>
    <n v="847"/>
    <s v="INTPG_ACC_847_1.19"/>
    <s v="ISEL-1.19"/>
    <n v="1"/>
    <s v="NO TIENE L3OUT"/>
    <n v="204"/>
    <n v="54"/>
  </r>
  <r>
    <n v="848"/>
    <x v="2"/>
    <x v="82"/>
    <s v="eth1/19"/>
    <x v="0"/>
    <x v="0"/>
    <x v="0"/>
    <s v="LINK_TO_ITHFHWCRMPLCN160 / Slot7.3_22 / Redundante"/>
    <x v="0"/>
    <b v="0"/>
    <s v="No está en VPC"/>
    <n v="848"/>
    <s v="INTPG_ACC_848_1.19"/>
    <s v="ISEL-1.19"/>
    <n v="1"/>
    <s v="NO TIENE L3OUT"/>
    <n v="254"/>
    <n v="54"/>
  </r>
  <r>
    <n v="846"/>
    <x v="2"/>
    <x v="83"/>
    <s v="eth1/19"/>
    <x v="0"/>
    <x v="0"/>
    <x v="0"/>
    <s v="LINK_TO_ITHFHWCRMPLCN78 / Slot1.1_14 / Principal"/>
    <x v="0"/>
    <b v="0"/>
    <s v="No está en VPC"/>
    <n v="846"/>
    <s v="INTPG_ACC_846_1.19"/>
    <s v="ISEL-1.19"/>
    <n v="6"/>
    <s v="NO TIENE L3OUT"/>
    <n v="242"/>
    <n v="54"/>
  </r>
  <r>
    <n v="838"/>
    <x v="2"/>
    <x v="84"/>
    <s v="eth1/19"/>
    <x v="0"/>
    <x v="0"/>
    <x v="0"/>
    <s v="LINK_To_ITHFHWCBSPSWR41 / Slot1.2_26 / Principal"/>
    <x v="0"/>
    <b v="0"/>
    <s v="No está en VPC"/>
    <n v="838"/>
    <s v="INTPG_VPC_838_1.19_843_1.19"/>
    <s v="ISEL-1.19"/>
    <n v="1"/>
    <s v="NO TIENE L3OUT"/>
    <n v="38"/>
    <n v="54"/>
  </r>
  <r>
    <n v="849"/>
    <x v="2"/>
    <x v="85"/>
    <s v="eth1/19"/>
    <x v="0"/>
    <x v="0"/>
    <x v="0"/>
    <s v="LINK_TO_ITHFHWCRMPLCN140 / Slot7.3_14 / Redundante"/>
    <x v="0"/>
    <b v="0"/>
    <s v="No está en VPC"/>
    <n v="849"/>
    <s v="INTPG_ACC_849_1.19"/>
    <s v="ISEL-1.19"/>
    <n v="1"/>
    <s v="NO TIENE L3OUT"/>
    <n v="286"/>
    <n v="54"/>
  </r>
  <r>
    <n v="845"/>
    <x v="2"/>
    <x v="86"/>
    <s v="eth1/19"/>
    <x v="0"/>
    <x v="0"/>
    <x v="0"/>
    <s v="LINK_TO_ITHFHWCRMPLCN90 / Slot1.2_12 / Principal"/>
    <x v="0"/>
    <b v="0"/>
    <s v="No está en VPC"/>
    <n v="845"/>
    <s v="INTPG_ACC_845_1.19"/>
    <s v="ISEL-1.19"/>
    <n v="2"/>
    <s v="NO TIENE L3OUT"/>
    <n v="258"/>
    <n v="54"/>
  </r>
  <r>
    <n v="873"/>
    <x v="2"/>
    <x v="87"/>
    <s v="eth1/19"/>
    <x v="0"/>
    <x v="0"/>
    <x v="0"/>
    <s v="TO_ITHFHWCRMDLCN59_Principal"/>
    <x v="0"/>
    <b v="0"/>
    <s v="No está en VPC"/>
    <n v="873"/>
    <s v="INTPG_ACC_873_1.19"/>
    <s v="ISEL-1.19"/>
    <n v="2"/>
    <s v="NO TIENE L3OUT"/>
    <n v="248"/>
    <n v="54"/>
  </r>
  <r>
    <n v="864"/>
    <x v="2"/>
    <x v="88"/>
    <s v="eth1/19"/>
    <x v="0"/>
    <x v="0"/>
    <x v="0"/>
    <s v="To_VPC_2DCBSD_TL06_1"/>
    <x v="0"/>
    <b v="0"/>
    <s v="No está en VPC"/>
    <n v="864"/>
    <s v="INTPG_VPC_859_1.19_864_1.19"/>
    <s v="ISEL-1.19"/>
    <n v="2"/>
    <s v="NO TIENE L3OUT"/>
    <n v="0"/>
    <n v="54"/>
  </r>
  <r>
    <n v="836"/>
    <x v="2"/>
    <x v="89"/>
    <s v="eth1/19"/>
    <x v="0"/>
    <x v="0"/>
    <x v="0"/>
    <s v="LINK_TO_ITHFHWCBSPSWR51 / Slot1.3_30 / Principal"/>
    <x v="0"/>
    <b v="0"/>
    <s v="No está en VPC"/>
    <n v="836"/>
    <s v="INTPG_VPC_836_1.19_841_1.19"/>
    <s v="ISEL-1.19"/>
    <n v="1"/>
    <s v="NO TIENE L3OUT"/>
    <n v="0"/>
    <n v="54"/>
  </r>
  <r>
    <n v="834"/>
    <x v="2"/>
    <x v="90"/>
    <s v="eth1/19"/>
    <x v="0"/>
    <x v="0"/>
    <x v="0"/>
    <s v="LINK_TO_ITHFHWCBSPSWR64 / Slot1.1_16 / Principal"/>
    <x v="0"/>
    <b v="0"/>
    <s v="No está en VPC"/>
    <n v="834"/>
    <s v="INTPG_VPC_834_1.19_839_1.19"/>
    <s v="ISEL-1.19"/>
    <n v="2"/>
    <s v="NO TIENE L3OUT"/>
    <n v="0"/>
    <n v="54"/>
  </r>
  <r>
    <n v="872"/>
    <x v="2"/>
    <x v="91"/>
    <s v="eth1/19"/>
    <x v="0"/>
    <x v="0"/>
    <x v="0"/>
    <s v="To_ITHFHWCRMDLCN75_Principal"/>
    <x v="0"/>
    <b v="0"/>
    <s v="No está en VPC"/>
    <n v="872"/>
    <s v="INTPG_ACC_872_1.19"/>
    <s v="ISEL-1.19"/>
    <n v="2"/>
    <s v="NO TIENE L3OUT"/>
    <n v="288"/>
    <n v="54"/>
  </r>
  <r>
    <n v="842"/>
    <x v="2"/>
    <x v="92"/>
    <s v="eth1/19"/>
    <x v="0"/>
    <x v="0"/>
    <x v="0"/>
    <s v="LINK_TO_ITHFHWCBSPSWR45 / Slot7.3_26 / Redundante"/>
    <x v="0"/>
    <b v="0"/>
    <s v="No está en VPC"/>
    <n v="842"/>
    <s v="INTPG_VPC_837_1.19_842_1.19"/>
    <s v="ISEL-1.19"/>
    <n v="1"/>
    <s v="NO TIENE L3OUT"/>
    <n v="8"/>
    <n v="54"/>
  </r>
  <r>
    <n v="828"/>
    <x v="2"/>
    <x v="93"/>
    <s v="eth1/19"/>
    <x v="0"/>
    <x v="0"/>
    <x v="0"/>
    <s v="LINK_TO_ITHFHWCRMDLCN21 /Slot4.2 /Principal"/>
    <x v="0"/>
    <b v="0"/>
    <s v="No está en VPC"/>
    <n v="828"/>
    <s v="INTPG_ACC_828_1.19"/>
    <s v="ISEL-1.19"/>
    <n v="1"/>
    <s v="NO TIENE L3OUT"/>
    <n v="192"/>
    <n v="54"/>
  </r>
  <r>
    <n v="870"/>
    <x v="2"/>
    <x v="94"/>
    <s v="eth1/19"/>
    <x v="0"/>
    <x v="0"/>
    <x v="0"/>
    <s v="TO_ITHFHWCRMDLCN59_Redundante"/>
    <x v="0"/>
    <b v="0"/>
    <s v="No está en VPC"/>
    <n v="870"/>
    <s v="INTPG_ACC_870_1.19"/>
    <s v="ISEL-1.19"/>
    <n v="2"/>
    <s v="NO TIENE L3OUT"/>
    <n v="248"/>
    <n v="54"/>
  </r>
  <r>
    <n v="866"/>
    <x v="2"/>
    <x v="95"/>
    <s v="eth1/19"/>
    <x v="0"/>
    <x v="0"/>
    <x v="0"/>
    <s v="To_VPC_2DCBSD_HD22_3"/>
    <x v="0"/>
    <b v="0"/>
    <s v="No está en VPC"/>
    <n v="866"/>
    <s v="INTPG_VPC_861_1.19_866_1.19"/>
    <s v="ISEL-1.19"/>
    <n v="1"/>
    <s v="NO TIENE L3OUT"/>
    <n v="8"/>
    <n v="54"/>
  </r>
  <r>
    <n v="862"/>
    <x v="2"/>
    <x v="96"/>
    <s v="eth1/19"/>
    <x v="0"/>
    <x v="0"/>
    <x v="0"/>
    <s v="TO-9S_VPNM_IXT3_211_2"/>
    <x v="0"/>
    <b v="0"/>
    <s v="No está en VPC"/>
    <n v="862"/>
    <s v="INTPG_VPC_862_1.19_867_1.19"/>
    <s v="ISEL-1.19"/>
    <n v="15"/>
    <s v="NO TIENE L3OUT"/>
    <n v="44"/>
    <n v="54"/>
  </r>
  <r>
    <n v="855"/>
    <x v="2"/>
    <x v="97"/>
    <s v="eth1/19"/>
    <x v="0"/>
    <x v="0"/>
    <x v="0"/>
    <s v="LINK_TO_ITHFHWCRMPLCN160 / Slot1.3_22 / Principal"/>
    <x v="0"/>
    <b v="0"/>
    <s v="No está en VPC"/>
    <n v="855"/>
    <s v="INTPG_ACC_855_1.19"/>
    <s v="ISEL-1.19"/>
    <n v="1"/>
    <s v="NO TIENE L3OUT"/>
    <n v="254"/>
    <n v="54"/>
  </r>
  <r>
    <n v="871"/>
    <x v="2"/>
    <x v="98"/>
    <s v="eth1/19"/>
    <x v="0"/>
    <x v="0"/>
    <x v="0"/>
    <s v="TO_ITHFHWCRMDLCN87_Principal"/>
    <x v="0"/>
    <b v="0"/>
    <s v="No está en VPC"/>
    <n v="871"/>
    <s v="INTPG_ACC_871_1.19"/>
    <s v="ISEL-1.19"/>
    <n v="6"/>
    <s v="NO TIENE L3OUT"/>
    <n v="246"/>
    <n v="54"/>
  </r>
  <r>
    <n v="841"/>
    <x v="2"/>
    <x v="99"/>
    <s v="eth1/19"/>
    <x v="0"/>
    <x v="0"/>
    <x v="0"/>
    <s v="LINK_TO_ITHFHWCBSPSWR51 / Slot7.3_30 / Redundante"/>
    <x v="0"/>
    <b v="0"/>
    <s v="No está en VPC"/>
    <n v="841"/>
    <s v="INTPG_VPC_836_1.19_841_1.19"/>
    <s v="ISEL-1.19"/>
    <n v="1"/>
    <s v="NO TIENE L3OUT"/>
    <n v="0"/>
    <n v="54"/>
  </r>
  <r>
    <n v="868"/>
    <x v="2"/>
    <x v="100"/>
    <s v="eth1/19"/>
    <x v="0"/>
    <x v="0"/>
    <x v="0"/>
    <s v="TO_ITHFHWCRMDLCN87_Redundante"/>
    <x v="0"/>
    <b v="0"/>
    <s v="No está en VPC"/>
    <n v="868"/>
    <s v="INTPG_ACC_868_1.19"/>
    <s v="ISEL-1.19"/>
    <n v="6"/>
    <s v="NO TIENE L3OUT"/>
    <n v="246"/>
    <n v="54"/>
  </r>
  <r>
    <n v="869"/>
    <x v="2"/>
    <x v="101"/>
    <s v="eth1/19"/>
    <x v="0"/>
    <x v="0"/>
    <x v="0"/>
    <s v="To_ITHFHWCRMDLCN75_Redundante"/>
    <x v="0"/>
    <b v="0"/>
    <s v="No está en VPC"/>
    <n v="869"/>
    <s v="INTPG_ACC_869_1.19"/>
    <s v="ISEL-1.19"/>
    <n v="2"/>
    <s v="NO TIENE L3OUT"/>
    <n v="288"/>
    <n v="54"/>
  </r>
  <r>
    <n v="861"/>
    <x v="2"/>
    <x v="102"/>
    <s v="eth1/19"/>
    <x v="0"/>
    <x v="0"/>
    <x v="0"/>
    <s v="To_VPC_2DCBSD_HD22_3"/>
    <x v="0"/>
    <b v="0"/>
    <s v="No está en VPC"/>
    <n v="861"/>
    <s v="INTPG_VPC_861_1.19_866_1.19"/>
    <s v="ISEL-1.19"/>
    <n v="1"/>
    <s v="NO TIENE L3OUT"/>
    <n v="8"/>
    <n v="54"/>
  </r>
  <r>
    <n v="874"/>
    <x v="2"/>
    <x v="103"/>
    <s v="eth1/19"/>
    <x v="0"/>
    <x v="0"/>
    <x v="0"/>
    <s v="A_ITHFHWSEQLCAS18_Redundante"/>
    <x v="4"/>
    <b v="0"/>
    <s v="No está en VPC"/>
    <n v="874"/>
    <s v="INTPG_ACC_874_1.19"/>
    <s v="ISEL-1.19"/>
    <n v="1"/>
    <s v="NO TIENE L3OUT"/>
    <n v="92"/>
    <n v="54"/>
  </r>
  <r>
    <n v="865"/>
    <x v="2"/>
    <x v="104"/>
    <s v="eth1/19"/>
    <x v="0"/>
    <x v="0"/>
    <x v="0"/>
    <s v="To_VPC_2DCBSD_HD29_1"/>
    <x v="0"/>
    <b v="0"/>
    <s v="No está en VPC"/>
    <n v="865"/>
    <s v="INTPG_VPC_860_1.19_865_1.19"/>
    <s v="ISEL-1.19"/>
    <n v="2"/>
    <s v="NO TIENE L3OUT"/>
    <n v="0"/>
    <n v="54"/>
  </r>
  <r>
    <n v="753"/>
    <x v="2"/>
    <x v="105"/>
    <s v="eth1/19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19"/>
    <x v="0"/>
    <x v="1"/>
    <x v="5"/>
    <s v="CEM:ITHCEMF2RTB10:LOM P1"/>
    <x v="0"/>
    <b v="0"/>
    <s v="No está en VPC"/>
    <n v="708"/>
    <s v="INTPG_VPC_708_1.19_709_1.20"/>
    <s v="ISEL-1.19"/>
    <n v="1"/>
    <s v="NO TIENE L3OUT"/>
    <n v="0"/>
    <n v="54"/>
  </r>
  <r>
    <n v="710"/>
    <x v="2"/>
    <x v="107"/>
    <s v="eth1/19"/>
    <x v="0"/>
    <x v="1"/>
    <x v="5"/>
    <s v="CEM:ITHCEMD2AKF10:LOM P1"/>
    <x v="0"/>
    <b v="0"/>
    <s v="No está en VPC"/>
    <n v="710"/>
    <s v="INTPG_VPC_710_1.19_711_1.20"/>
    <s v="ISEL-1.19"/>
    <n v="1"/>
    <s v="NO TIENE L3OUT"/>
    <n v="16"/>
    <n v="54"/>
  </r>
  <r>
    <n v="713"/>
    <x v="2"/>
    <x v="108"/>
    <s v="eth1/19"/>
    <x v="0"/>
    <x v="1"/>
    <x v="5"/>
    <s v="CEM:ITHCEMA2ADT10:LOM P1"/>
    <x v="0"/>
    <b v="0"/>
    <s v="No está en VPC"/>
    <n v="713"/>
    <s v="INTPG_VPC_713_1.19_712_1.20"/>
    <s v="ISEL-1.19"/>
    <n v="1"/>
    <s v="NO TIENE L3OUT"/>
    <n v="32"/>
    <n v="54"/>
  </r>
  <r>
    <n v="735"/>
    <x v="2"/>
    <x v="109"/>
    <s v="eth1/19"/>
    <x v="0"/>
    <x v="0"/>
    <x v="0"/>
    <s v="CEM:ITHCEMA1KFK10:LOM P3"/>
    <x v="5"/>
    <b v="0"/>
    <s v="No está en VPC"/>
    <n v="735"/>
    <s v="INTPG_ACC_735_1.19"/>
    <s v="ISEL-1.19"/>
    <n v="1"/>
    <s v="NO TIENE L3OUT"/>
    <n v="34"/>
    <n v="54"/>
  </r>
  <r>
    <n v="731"/>
    <x v="2"/>
    <x v="110"/>
    <s v="eth1/19"/>
    <x v="0"/>
    <x v="0"/>
    <x v="0"/>
    <s v="Server_Pre-R02-CBS-RH2288-03"/>
    <x v="0"/>
    <b v="0"/>
    <s v="No está en VPC"/>
    <n v="731"/>
    <s v="INTPG_ACC_731_1.19"/>
    <s v="ISEL-1.19"/>
    <n v="1"/>
    <s v="NO TIENE L3OUT"/>
    <n v="38"/>
    <n v="54"/>
  </r>
  <r>
    <n v="703"/>
    <x v="2"/>
    <x v="111"/>
    <s v="eth1/19"/>
    <x v="0"/>
    <x v="0"/>
    <x v="0"/>
    <m/>
    <x v="0"/>
    <b v="0"/>
    <s v="No está en VPC"/>
    <n v="703"/>
    <s v="INTPG_VPC_703_1.19_704_1.20"/>
    <s v="ISEL-1.19"/>
    <n v="1"/>
    <s v="NO TIENE L3OUT"/>
    <n v="2"/>
    <n v="54"/>
  </r>
  <r>
    <n v="706"/>
    <x v="2"/>
    <x v="112"/>
    <s v="eth1/19"/>
    <x v="0"/>
    <x v="1"/>
    <x v="5"/>
    <s v="CEM:ITHCEMA1ETL10:LOM  P1"/>
    <x v="0"/>
    <b v="0"/>
    <s v="No está en VPC"/>
    <n v="706"/>
    <s v="INTPG_VPC_706_1.19_705_1.20"/>
    <s v="ISEL-1.19"/>
    <n v="1"/>
    <s v="NO TIENE L3OUT"/>
    <n v="16"/>
    <n v="54"/>
  </r>
  <r>
    <n v="762"/>
    <x v="2"/>
    <x v="113"/>
    <s v="eth1/19"/>
    <x v="0"/>
    <x v="0"/>
    <x v="0"/>
    <s v="PAAS:ithhwosstpap004:LOM PORT 3"/>
    <x v="0"/>
    <b v="0"/>
    <s v="No está en VPC"/>
    <n v="762"/>
    <s v="INTPG_VPC_762_1.19_763_1.19"/>
    <s v="ISEL-1.19"/>
    <n v="1"/>
    <s v="NO TIENE L3OUT"/>
    <n v="0"/>
    <n v="54"/>
  </r>
  <r>
    <n v="814"/>
    <x v="2"/>
    <x v="114"/>
    <s v="eth1/19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19"/>
    <x v="0"/>
    <x v="0"/>
    <x v="0"/>
    <s v="HACIA_CSI-B-OSCP-F4-15_SECUNDARIO"/>
    <x v="4"/>
    <b v="0"/>
    <s v="No está en VPC"/>
    <n v="878"/>
    <s v="INTPG_VPC_878_1.19_879_1.19"/>
    <s v="ISEL-1.19"/>
    <n v="2"/>
    <s v="NO TIENE L3OUT"/>
    <n v="0"/>
    <n v="54"/>
  </r>
  <r>
    <n v="826"/>
    <x v="2"/>
    <x v="116"/>
    <s v="eth1/19"/>
    <x v="0"/>
    <x v="0"/>
    <x v="0"/>
    <s v="LINK_TO_ITHFHWCBSDSHD16 /Slot5.2 /Principal"/>
    <x v="0"/>
    <b v="0"/>
    <s v="No está en VPC"/>
    <n v="826"/>
    <s v="INTPG_VPC_826_1.19_830_1.19"/>
    <s v="ISEL-1.19"/>
    <n v="2"/>
    <s v="NO TIENE L3OUT"/>
    <n v="12"/>
    <n v="54"/>
  </r>
  <r>
    <n v="726"/>
    <x v="2"/>
    <x v="117"/>
    <s v="eth1/19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19"/>
    <x v="0"/>
    <x v="0"/>
    <x v="0"/>
    <s v="CEM:ITHCEMC2AKF10:LOM P3"/>
    <x v="5"/>
    <b v="0"/>
    <s v="No está en VPC"/>
    <n v="740"/>
    <s v="INTPG_ACC_740_1.19"/>
    <s v="ISEL-1.19"/>
    <n v="1"/>
    <s v="NO TIENE L3OUT"/>
    <n v="72"/>
    <n v="54"/>
  </r>
  <r>
    <n v="705"/>
    <x v="2"/>
    <x v="119"/>
    <s v="eth1/19"/>
    <x v="0"/>
    <x v="0"/>
    <x v="0"/>
    <s v="CEM:ITHALMB1DAT10:LOM  P2"/>
    <x v="0"/>
    <b v="0"/>
    <s v="No está en VPC"/>
    <n v="705"/>
    <s v="INTPG_VPC_705_1.19_706_1.20"/>
    <s v="ISEL-1.19"/>
    <n v="1"/>
    <s v="NO TIENE L3OUT"/>
    <n v="16"/>
    <n v="54"/>
  </r>
  <r>
    <n v="723"/>
    <x v="2"/>
    <x v="120"/>
    <s v="eth1/19"/>
    <x v="0"/>
    <x v="0"/>
    <x v="0"/>
    <m/>
    <x v="0"/>
    <b v="0"/>
    <s v="No está en VPC"/>
    <n v="723"/>
    <s v="INTPG-VPC_HDD111_723_1.19_722_1.20"/>
    <s v="ISEL-1.19"/>
    <n v="1"/>
    <s v="NO TIENE L3OUT"/>
    <n v="0"/>
    <n v="54"/>
  </r>
  <r>
    <n v="721"/>
    <x v="2"/>
    <x v="121"/>
    <s v="eth1/19"/>
    <x v="0"/>
    <x v="0"/>
    <x v="0"/>
    <s v="TO-ITHFHWVRALCN01"/>
    <x v="0"/>
    <b v="0"/>
    <s v="No está en VPC"/>
    <n v="721"/>
    <s v="INTPG_VPC_714_1.20_721_1.19"/>
    <s v="ISEL-1.19"/>
    <n v="108"/>
    <s v="NO TIENE L3OUT"/>
    <n v="20"/>
    <n v="54"/>
  </r>
  <r>
    <n v="788"/>
    <x v="2"/>
    <x v="122"/>
    <s v="eth1/19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19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19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19"/>
    <x v="0"/>
    <x v="1"/>
    <x v="5"/>
    <s v="CEM:ITHCEME2RTB10:LOM P1"/>
    <x v="0"/>
    <b v="0"/>
    <s v="No está en VPC"/>
    <n v="709"/>
    <s v="INTPG_VPC_708_1.20_709_1.19"/>
    <s v="ISEL-1.19"/>
    <n v="1"/>
    <s v="NO TIENE L3OUT"/>
    <n v="0"/>
    <n v="54"/>
  </r>
  <r>
    <n v="454"/>
    <x v="1"/>
    <x v="126"/>
    <s v="eth1/19"/>
    <x v="0"/>
    <x v="0"/>
    <x v="0"/>
    <s v="HACIA_CSI-B-OSCP-F4-03_PRIMARIO"/>
    <x v="4"/>
    <b v="0"/>
    <s v="No está en VPC"/>
    <n v="454"/>
    <s v="INTPG_VPC_454_1.19_456_1.19"/>
    <s v="ISEL-1.19"/>
    <n v="2"/>
    <s v="NO TIENE L3OUT"/>
    <n v="4"/>
    <n v="54"/>
  </r>
  <r>
    <n v="734"/>
    <x v="2"/>
    <x v="127"/>
    <s v="eth1/19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19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19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19"/>
    <x v="0"/>
    <x v="0"/>
    <x v="0"/>
    <m/>
    <x v="0"/>
    <b v="0"/>
    <s v="No está en VPC"/>
    <n v="718"/>
    <s v="INTPG-VPC_HDD08_718_1.19_717_1.20"/>
    <s v="ISEL-1.19"/>
    <n v="1"/>
    <s v="NO TIENE L3OUT"/>
    <n v="0"/>
    <n v="54"/>
  </r>
  <r>
    <n v="744"/>
    <x v="2"/>
    <x v="131"/>
    <s v="eth1/19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19"/>
    <x v="0"/>
    <x v="0"/>
    <x v="0"/>
    <s v="CEM:ITHCEMB2AKF10:LOM P3"/>
    <x v="5"/>
    <b v="0"/>
    <s v="No está en VPC"/>
    <n v="741"/>
    <s v="INTPG_ACC_741_1.19"/>
    <s v="ISEL-1.19"/>
    <n v="1"/>
    <s v="NO TIENE L3OUT"/>
    <n v="62"/>
    <n v="54"/>
  </r>
  <r>
    <n v="787"/>
    <x v="2"/>
    <x v="133"/>
    <s v="eth1/19"/>
    <x v="0"/>
    <x v="0"/>
    <x v="0"/>
    <s v="ENIQ F2:itheniqr14bl02nas2r4b:Slot 2/1"/>
    <x v="0"/>
    <b v="0"/>
    <s v="No está en VPC"/>
    <n v="787"/>
    <s v="INTPG_PC_787_1.16-19"/>
    <s v="ISEL-1.19"/>
    <n v="1"/>
    <s v="NO TIENE L3OUT"/>
    <n v="26"/>
    <n v="54"/>
  </r>
  <r>
    <n v="750"/>
    <x v="2"/>
    <x v="134"/>
    <s v="eth1/19"/>
    <x v="0"/>
    <x v="0"/>
    <x v="0"/>
    <m/>
    <x v="0"/>
    <b v="0"/>
    <s v="No está en VPC"/>
    <n v="750"/>
    <s v="INTPG_ACC_750_1.19"/>
    <s v="ISEL-1.19"/>
    <n v="0"/>
    <s v="NO TIENE L3OUT"/>
    <n v="2"/>
    <n v="54"/>
  </r>
  <r>
    <n v="792"/>
    <x v="2"/>
    <x v="135"/>
    <s v="eth1/19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19"/>
    <x v="1"/>
    <x v="1"/>
    <x v="3"/>
    <s v="CEM:ITHCEMG2NAM17:LOM  P2"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19"/>
    <x v="0"/>
    <x v="0"/>
    <x v="0"/>
    <s v="TO-IMC_PS07-MSP"/>
    <x v="0"/>
    <b v="0"/>
    <s v="No está en VPC"/>
    <n v="799"/>
    <s v="INTPG_ACC_799_1.19"/>
    <s v="ISEL-1.19"/>
    <n v="1"/>
    <s v="NO TIENE L3OUT"/>
    <n v="52"/>
    <n v="54"/>
  </r>
  <r>
    <n v="768"/>
    <x v="2"/>
    <x v="138"/>
    <s v="eth1/19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19"/>
    <x v="0"/>
    <x v="0"/>
    <x v="0"/>
    <s v="ITHORNG1DAT08_SLOT 4 P1"/>
    <x v="0"/>
    <b v="0"/>
    <s v="No está en VPC"/>
    <n v="714"/>
    <s v="INTPG_ACC_714_1.19"/>
    <s v="ISEL-1.19"/>
    <n v="2"/>
    <s v="NO TIENE L3OUT"/>
    <n v="20"/>
    <n v="54"/>
  </r>
  <r>
    <n v="717"/>
    <x v="2"/>
    <x v="140"/>
    <s v="eth1/19"/>
    <x v="0"/>
    <x v="0"/>
    <x v="0"/>
    <m/>
    <x v="0"/>
    <b v="0"/>
    <s v="No está en VPC"/>
    <n v="717"/>
    <s v="INTPG-VPC_HDD18_717_1.19_718_1.20"/>
    <s v="ISEL-1.19"/>
    <n v="1"/>
    <s v="NO TIENE L3OUT"/>
    <n v="0"/>
    <n v="54"/>
  </r>
  <r>
    <n v="789"/>
    <x v="2"/>
    <x v="141"/>
    <s v="eth1/19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19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19"/>
    <x v="0"/>
    <x v="0"/>
    <x v="0"/>
    <s v="LACP_NAS2_ENIQ9B"/>
    <x v="0"/>
    <b v="0"/>
    <s v="No está en VPC"/>
    <n v="783"/>
    <s v="INTPG_PC_783_1.16-19"/>
    <s v="ISEL-1.19"/>
    <n v="1"/>
    <s v="NO TIENE L3OUT"/>
    <n v="26"/>
    <n v="54"/>
  </r>
  <r>
    <n v="774"/>
    <x v="2"/>
    <x v="144"/>
    <s v="eth1/19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19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19"/>
    <x v="0"/>
    <x v="1"/>
    <x v="1"/>
    <s v="DESC"/>
    <x v="0"/>
    <b v="0"/>
    <s v="No está en VPC"/>
    <n v="794"/>
    <s v="INTPG_PC_794_1.17_19_21_23_25_27"/>
    <s v="ISEL-1.19"/>
    <n v="1"/>
    <s v="NO TIENE L3OUT"/>
    <n v="12"/>
    <n v="54"/>
  </r>
  <r>
    <n v="803"/>
    <x v="2"/>
    <x v="147"/>
    <s v="eth1/19"/>
    <x v="0"/>
    <x v="0"/>
    <x v="0"/>
    <s v="TO-HDPS_45-MSP"/>
    <x v="0"/>
    <b v="0"/>
    <s v="No está en VPC"/>
    <n v="803"/>
    <s v="INTPG_ACC_803_1.19"/>
    <s v="ISEL-1.19"/>
    <n v="1"/>
    <s v="NO TIENE L3OUT"/>
    <n v="48"/>
    <n v="54"/>
  </r>
  <r>
    <n v="786"/>
    <x v="2"/>
    <x v="148"/>
    <s v="eth1/19"/>
    <x v="0"/>
    <x v="0"/>
    <x v="0"/>
    <s v="ENIQ F2:itheniqr16bl02nas2r4a:Slot 2/1"/>
    <x v="0"/>
    <b v="0"/>
    <s v="No está en VPC"/>
    <n v="786"/>
    <s v="INTPG_PC_786_1.16-19"/>
    <s v="ISEL-1.19"/>
    <n v="1"/>
    <s v="NO TIENE L3OUT"/>
    <n v="26"/>
    <n v="54"/>
  </r>
  <r>
    <n v="757"/>
    <x v="2"/>
    <x v="149"/>
    <s v="eth1/19"/>
    <x v="0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19"/>
    <x v="0"/>
    <x v="0"/>
    <x v="0"/>
    <s v="LACP_NAS2_ENIQ1"/>
    <x v="0"/>
    <b v="0"/>
    <s v="No está en VPC"/>
    <n v="781"/>
    <s v="INTPG_PC_781_1.16-19"/>
    <s v="ISEL-1.19"/>
    <n v="1"/>
    <s v="NO TIENE L3OUT"/>
    <n v="26"/>
    <n v="54"/>
  </r>
  <r>
    <n v="793"/>
    <x v="2"/>
    <x v="151"/>
    <s v="eth1/19"/>
    <x v="0"/>
    <x v="0"/>
    <x v="0"/>
    <s v="DESC"/>
    <x v="0"/>
    <b v="0"/>
    <s v="No está en VPC"/>
    <n v="793"/>
    <s v="INTPG_PC_793_1.17_19_21_23_25_27"/>
    <s v="ISEL-1.19"/>
    <n v="1"/>
    <s v="NO TIENE L3OUT"/>
    <n v="12"/>
    <n v="54"/>
  </r>
  <r>
    <n v="747"/>
    <x v="2"/>
    <x v="152"/>
    <s v="eth1/19"/>
    <x v="0"/>
    <x v="1"/>
    <x v="3"/>
    <s v="PAAS:ithhwosstpap004:Slot4.1"/>
    <x v="0"/>
    <b v="0"/>
    <s v="No está en VPC"/>
    <n v="747"/>
    <s v="INTPG_VPC_747_1.19_752_1.29"/>
    <s v="ISEL-1.19"/>
    <n v="0"/>
    <s v="NO TIENE L3OUT"/>
    <n v="0"/>
    <n v="54"/>
  </r>
  <r>
    <n v="784"/>
    <x v="2"/>
    <x v="153"/>
    <s v="eth1/19"/>
    <x v="0"/>
    <x v="0"/>
    <x v="0"/>
    <s v="ENIQ F2:itheniqr13bl02nas2r6a:Slot 2/1"/>
    <x v="0"/>
    <b v="0"/>
    <s v="No está en VPC"/>
    <n v="784"/>
    <s v="INTPG_PC_784_1.16-19"/>
    <s v="ISEL-1.19"/>
    <n v="1"/>
    <s v="NO TIENE L3OUT"/>
    <n v="26"/>
    <n v="54"/>
  </r>
  <r>
    <n v="806"/>
    <x v="2"/>
    <x v="154"/>
    <s v="eth1/19"/>
    <x v="0"/>
    <x v="0"/>
    <x v="0"/>
    <s v="TO-HDPS_69-MSP"/>
    <x v="0"/>
    <b v="0"/>
    <s v="No está en VPC"/>
    <n v="806"/>
    <s v="INTPG_ACC_806_1.19"/>
    <s v="ISEL-1.19"/>
    <n v="1"/>
    <s v="NO TIENE L3OUT"/>
    <n v="44"/>
    <n v="54"/>
  </r>
  <r>
    <n v="777"/>
    <x v="2"/>
    <x v="155"/>
    <s v="eth1/19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19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19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19"/>
    <x v="0"/>
    <x v="0"/>
    <x v="0"/>
    <s v="CEM:ITHCEMD2AKF10:LOM P3"/>
    <x v="5"/>
    <b v="0"/>
    <s v="No está en VPC"/>
    <n v="739"/>
    <s v="INTPG_ACC_739_1.19"/>
    <s v="ISEL-1.19"/>
    <n v="1"/>
    <s v="NO TIENE L3OUT"/>
    <n v="72"/>
    <n v="54"/>
  </r>
  <r>
    <n v="775"/>
    <x v="2"/>
    <x v="159"/>
    <s v="eth1/19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19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19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19"/>
    <x v="0"/>
    <x v="0"/>
    <x v="0"/>
    <s v="LINK_TO_ITHFHWCBSDSHD16 /Slot7.2 /Redundante"/>
    <x v="0"/>
    <b v="0"/>
    <s v="No está en VPC"/>
    <n v="830"/>
    <s v="INTPG_VPC_826_1.19_830_1.19"/>
    <s v="ISEL-1.19"/>
    <n v="2"/>
    <s v="NO TIENE L3OUT"/>
    <n v="12"/>
    <n v="54"/>
  </r>
  <r>
    <n v="821"/>
    <x v="2"/>
    <x v="163"/>
    <s v="eth1/19"/>
    <x v="0"/>
    <x v="0"/>
    <x v="0"/>
    <s v="LINK_TO_ITHFHWCBSPSHD16 /Slot7.2 /Redundante"/>
    <x v="0"/>
    <b v="0"/>
    <s v="No está en VPC"/>
    <n v="821"/>
    <s v="INTPG_VPC_816_1.19_821_1.19"/>
    <s v="ISEL-1.19"/>
    <n v="2"/>
    <s v="NO TIENE L3OUT"/>
    <n v="0"/>
    <n v="54"/>
  </r>
  <r>
    <n v="738"/>
    <x v="2"/>
    <x v="164"/>
    <s v="eth1/19"/>
    <x v="0"/>
    <x v="0"/>
    <x v="0"/>
    <s v="CEM:ITHCEME2RTB10:LOM P3"/>
    <x v="5"/>
    <b v="0"/>
    <s v="No está en VPC"/>
    <n v="738"/>
    <s v="INTPG_ACC_738_1.19"/>
    <s v="ISEL-1.19"/>
    <n v="1"/>
    <s v="NO TIENE L3OUT"/>
    <n v="72"/>
    <n v="54"/>
  </r>
  <r>
    <n v="820"/>
    <x v="2"/>
    <x v="165"/>
    <s v="eth1/19"/>
    <x v="0"/>
    <x v="0"/>
    <x v="0"/>
    <s v="LINK_TO_ITHHWCRMPEN03 /X3-10GE 6 /Redundante"/>
    <x v="0"/>
    <b v="0"/>
    <s v="No está en VPC"/>
    <n v="820"/>
    <s v="INTPG_VPC_820_1.15-16_18-19_825_1.1.15-16_18-19"/>
    <s v="ISEL-1.19"/>
    <n v="1"/>
    <s v="NO TIENE L3OUT"/>
    <n v="72"/>
    <n v="54"/>
  </r>
  <r>
    <n v="804"/>
    <x v="2"/>
    <x v="166"/>
    <s v="eth1/19"/>
    <x v="0"/>
    <x v="0"/>
    <x v="0"/>
    <s v="TO-HDPS_45-MSP"/>
    <x v="0"/>
    <b v="0"/>
    <s v="No está en VPC"/>
    <n v="804"/>
    <s v="INTPG_ACC_804_1.19"/>
    <s v="ISEL-1.19"/>
    <n v="1"/>
    <s v="NO TIENE L3OUT"/>
    <n v="48"/>
    <n v="54"/>
  </r>
  <r>
    <n v="779"/>
    <x v="2"/>
    <x v="167"/>
    <s v="eth1/19"/>
    <x v="0"/>
    <x v="0"/>
    <x v="0"/>
    <s v="ENIQ F1:itheniqr07nas2r2:Slot 2/1"/>
    <x v="0"/>
    <b v="0"/>
    <s v="No está en VPC"/>
    <n v="779"/>
    <s v="INTPG_PC_779_1.16-19"/>
    <s v="ISEL-1.19"/>
    <n v="1"/>
    <s v="NO TIENE L3OUT"/>
    <n v="30"/>
    <n v="54"/>
  </r>
  <r>
    <n v="767"/>
    <x v="2"/>
    <x v="168"/>
    <s v="eth1/19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19"/>
    <x v="0"/>
    <x v="0"/>
    <x v="0"/>
    <s v="LINK_TO_ITHFHWCBSDSUSBD11 /Slot4.2 /Principal"/>
    <x v="0"/>
    <b v="0"/>
    <s v="No está en VPC"/>
    <n v="827"/>
    <s v="INTPG_VPC_827_1.19_831_1.19"/>
    <s v="ISEL-1.19"/>
    <n v="1"/>
    <s v="NO TIENE L3OUT"/>
    <n v="14"/>
    <n v="54"/>
  </r>
  <r>
    <n v="809"/>
    <x v="2"/>
    <x v="170"/>
    <s v="eth1/19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19"/>
    <x v="0"/>
    <x v="0"/>
    <x v="0"/>
    <s v="Portchannel_4_R4B"/>
    <x v="0"/>
    <b v="0"/>
    <s v="No está en VPC"/>
    <n v="771"/>
    <s v="INTPG_PC_771_1.19-20"/>
    <s v="ISEL-1.19"/>
    <n v="8"/>
    <s v="NO TIENE L3OUT"/>
    <n v="62"/>
    <n v="54"/>
  </r>
  <r>
    <n v="761"/>
    <x v="2"/>
    <x v="172"/>
    <s v="eth1/19"/>
    <x v="0"/>
    <x v="1"/>
    <x v="1"/>
    <m/>
    <x v="0"/>
    <b v="0"/>
    <s v="No está en VPC"/>
    <n v="761"/>
    <s v="INTPG_VPC_760_1.17-20_761_1.17-20"/>
    <s v="ISEL-1.19"/>
    <n v="0"/>
    <s v="L3OUT-EXACLOUD"/>
    <n v="0"/>
    <n v="54"/>
  </r>
  <r>
    <n v="776"/>
    <x v="2"/>
    <x v="173"/>
    <s v="eth1/19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19"/>
    <x v="0"/>
    <x v="0"/>
    <x v="0"/>
    <s v="TO-HDPS_69-MSP"/>
    <x v="0"/>
    <b v="0"/>
    <s v="No está en VPC"/>
    <n v="805"/>
    <s v="INTPG_ACC_805_1.19"/>
    <s v="ISEL-1.19"/>
    <n v="1"/>
    <s v="NO TIENE L3OUT"/>
    <n v="44"/>
    <n v="54"/>
  </r>
  <r>
    <n v="772"/>
    <x v="2"/>
    <x v="175"/>
    <s v="eth1/19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19"/>
    <x v="0"/>
    <x v="0"/>
    <x v="0"/>
    <s v="ENIQ F2:itheniqr12bl02nas2r6b:Slot 2/1"/>
    <x v="0"/>
    <b v="0"/>
    <s v="No está en VPC"/>
    <n v="785"/>
    <s v="INTPG_PC_785_1.16-19"/>
    <s v="ISEL-1.19"/>
    <n v="1"/>
    <s v="NO TIENE L3OUT"/>
    <n v="32"/>
    <n v="54"/>
  </r>
  <r>
    <n v="851"/>
    <x v="2"/>
    <x v="177"/>
    <s v="eth1/19"/>
    <x v="0"/>
    <x v="0"/>
    <x v="0"/>
    <s v="LINK_TO_ITHFHWCRMPLCN107 / Slot7.1_18 / Redundante"/>
    <x v="0"/>
    <b v="0"/>
    <s v="No está en VPC"/>
    <n v="851"/>
    <s v="INTPG_ACC_851_1.19"/>
    <s v="ISEL-1.19"/>
    <n v="6"/>
    <s v="NO TIENE L3OUT"/>
    <n v="282"/>
    <n v="54"/>
  </r>
  <r>
    <n v="798"/>
    <x v="2"/>
    <x v="178"/>
    <s v="eth1/19"/>
    <x v="0"/>
    <x v="0"/>
    <x v="0"/>
    <s v="TO-IMC_PS07-MSP"/>
    <x v="0"/>
    <b v="0"/>
    <s v="No está en VPC"/>
    <n v="798"/>
    <s v="INTPG_ACC_798_1.19"/>
    <s v="ISEL-1.19"/>
    <n v="1"/>
    <s v="NO TIENE L3OUT"/>
    <n v="52"/>
    <n v="54"/>
  </r>
  <r>
    <n v="782"/>
    <x v="2"/>
    <x v="179"/>
    <s v="eth1/19"/>
    <x v="0"/>
    <x v="0"/>
    <x v="0"/>
    <s v="LACP_NAS2_ENIQ9A"/>
    <x v="0"/>
    <b v="0"/>
    <s v="No está en VPC"/>
    <n v="782"/>
    <s v="INTPG_PC_782_1.16-19"/>
    <s v="ISEL-1.19"/>
    <n v="1"/>
    <s v="NO TIENE L3OUT"/>
    <n v="32"/>
    <n v="54"/>
  </r>
  <r>
    <n v="852"/>
    <x v="2"/>
    <x v="180"/>
    <s v="eth1/19"/>
    <x v="0"/>
    <x v="0"/>
    <x v="0"/>
    <s v="LINK_TO_ITHFHWCRMPLCN90 / Slot7.2_12 / Redundante"/>
    <x v="0"/>
    <b v="0"/>
    <s v="No está en VPC"/>
    <n v="852"/>
    <s v="INTPG_ACC_852_1.19"/>
    <s v="ISEL-1.19"/>
    <n v="2"/>
    <s v="NO TIENE L3OUT"/>
    <n v="258"/>
    <n v="54"/>
  </r>
  <r>
    <n v="817"/>
    <x v="2"/>
    <x v="181"/>
    <s v="eth1/19"/>
    <x v="0"/>
    <x v="0"/>
    <x v="0"/>
    <s v="LINK_TO_ITHFHWCBSPSUSBD14 /Slot5.2 /Principal"/>
    <x v="0"/>
    <b v="0"/>
    <s v="No está en VPC"/>
    <n v="817"/>
    <s v="INTPG_VPC_817_1.19_822_1.19"/>
    <s v="ISEL-1.19"/>
    <n v="2"/>
    <s v="NO TIENE L3OUT"/>
    <n v="0"/>
    <n v="54"/>
  </r>
  <r>
    <n v="832"/>
    <x v="2"/>
    <x v="182"/>
    <s v="eth1/19"/>
    <x v="0"/>
    <x v="0"/>
    <x v="0"/>
    <s v="LINK_TO_ITHFHWCRMDLCN21 /Slot6.2 /Redundante"/>
    <x v="0"/>
    <b v="0"/>
    <s v="No está en VPC"/>
    <n v="832"/>
    <s v="INTPG_ACC_832_1.19"/>
    <s v="ISEL-1.19"/>
    <n v="1"/>
    <s v="NO TIENE L3OUT"/>
    <n v="192"/>
    <n v="54"/>
  </r>
  <r>
    <n v="816"/>
    <x v="2"/>
    <x v="183"/>
    <s v="eth1/19"/>
    <x v="0"/>
    <x v="0"/>
    <x v="0"/>
    <s v="LINK_TO_ITHFHWCBSPSHD16 /Slot5.2 /Principal"/>
    <x v="0"/>
    <b v="0"/>
    <s v="No está en VPC"/>
    <n v="816"/>
    <s v="INTPG_VPC_816_1.19_821_1.19"/>
    <s v="ISEL-1.19"/>
    <n v="2"/>
    <s v="NO TIENE L3OUT"/>
    <n v="0"/>
    <n v="54"/>
  </r>
  <r>
    <n v="825"/>
    <x v="2"/>
    <x v="184"/>
    <s v="eth1/19"/>
    <x v="0"/>
    <x v="0"/>
    <x v="0"/>
    <s v="LINK_TO_ITHHWCRMPEN03 /X3-10GE 5 /Principal"/>
    <x v="0"/>
    <b v="0"/>
    <s v="No está en VPC"/>
    <n v="825"/>
    <s v="INTPG_VPC_820_1.15-16_18-19_825_1.1.15-16_18-19"/>
    <s v="ISEL-1.19"/>
    <n v="1"/>
    <s v="NO TIENE L3OUT"/>
    <n v="72"/>
    <n v="54"/>
  </r>
  <r>
    <n v="800"/>
    <x v="2"/>
    <x v="185"/>
    <s v="eth1/19"/>
    <x v="0"/>
    <x v="0"/>
    <x v="0"/>
    <s v="TO-ITHFHWSEQLDPS01-MSP"/>
    <x v="0"/>
    <b v="0"/>
    <s v="No está en VPC"/>
    <n v="800"/>
    <s v="INTPG_ACC_800_1.19"/>
    <s v="ISEL-1.19"/>
    <n v="1"/>
    <s v="NO TIENE L3OUT"/>
    <n v="78"/>
    <n v="54"/>
  </r>
  <r>
    <n v="801"/>
    <x v="2"/>
    <x v="186"/>
    <s v="eth1/19"/>
    <x v="0"/>
    <x v="0"/>
    <x v="0"/>
    <s v="TO-ITHFHWSEQLDPS01-MSP"/>
    <x v="0"/>
    <b v="0"/>
    <s v="No está en VPC"/>
    <n v="801"/>
    <s v="INTPG_ACC_801_1.19"/>
    <s v="ISEL-1.19"/>
    <n v="1"/>
    <s v="NO TIENE L3OUT"/>
    <n v="78"/>
    <n v="54"/>
  </r>
  <r>
    <n v="823"/>
    <x v="2"/>
    <x v="187"/>
    <s v="eth1/19"/>
    <x v="0"/>
    <x v="0"/>
    <x v="0"/>
    <s v="LINK_TO_ITHFHWCBSPSUSBD19 /Slot6.2 /Redundante"/>
    <x v="0"/>
    <b v="0"/>
    <s v="No está en VPC"/>
    <n v="823"/>
    <s v="INTPG_VPC_818_1.19_823_1.19"/>
    <s v="ISEL-1.19"/>
    <n v="1"/>
    <s v="NO TIENE L3OUT"/>
    <n v="8"/>
    <n v="54"/>
  </r>
  <r>
    <n v="837"/>
    <x v="2"/>
    <x v="188"/>
    <s v="eth1/19"/>
    <x v="0"/>
    <x v="0"/>
    <x v="0"/>
    <s v="LINK_TO_ITHFHWCBSPSWR45 / Slot1.3_26 / Principal"/>
    <x v="0"/>
    <b v="0"/>
    <s v="No está en VPC"/>
    <n v="837"/>
    <s v="INTPG_VPC_837_1.19_842_1.19"/>
    <s v="ISEL-1.19"/>
    <n v="1"/>
    <s v="NO TIENE L3OUT"/>
    <n v="8"/>
    <n v="54"/>
  </r>
  <r>
    <n v="867"/>
    <x v="2"/>
    <x v="189"/>
    <s v="eth1/19"/>
    <x v="0"/>
    <x v="0"/>
    <x v="0"/>
    <s v="TO-9S_VPNM_IXT3_211_2"/>
    <x v="0"/>
    <b v="0"/>
    <s v="No está en VPC"/>
    <n v="867"/>
    <s v="INTPG_VPC_862_1.19_867_1.19"/>
    <s v="ISEL-1.19"/>
    <n v="15"/>
    <s v="NO TIENE L3OUT"/>
    <n v="44"/>
    <n v="54"/>
  </r>
  <r>
    <n v="829"/>
    <x v="2"/>
    <x v="190"/>
    <s v="eth1/19"/>
    <x v="0"/>
    <x v="0"/>
    <x v="0"/>
    <s v="LINK_TO_ITHFHWCRMDLCN34 /Slot7.2 /Redundante"/>
    <x v="0"/>
    <b v="0"/>
    <s v="No está en VPC"/>
    <n v="829"/>
    <s v="INTPG_ACC_829_1.19"/>
    <s v="ISEL-1.19"/>
    <n v="5"/>
    <s v="NO TIENE L3OUT"/>
    <n v="224"/>
    <n v="54"/>
  </r>
  <r>
    <n v="831"/>
    <x v="2"/>
    <x v="191"/>
    <s v="eth1/19"/>
    <x v="0"/>
    <x v="0"/>
    <x v="0"/>
    <s v="LINK_TO_ITHFHWCBSDSUSBD11 /Slot6.2 /Redundante"/>
    <x v="0"/>
    <b v="0"/>
    <s v="No está en VPC"/>
    <n v="831"/>
    <s v="INTPG_VPC_827_1.19_831_1.19"/>
    <s v="ISEL-1.19"/>
    <n v="1"/>
    <s v="NO TIENE L3OUT"/>
    <n v="14"/>
    <n v="54"/>
  </r>
  <r>
    <n v="802"/>
    <x v="2"/>
    <x v="192"/>
    <s v="eth1/19"/>
    <x v="0"/>
    <x v="0"/>
    <x v="0"/>
    <s v="TO-HDPS_21-MSP"/>
    <x v="0"/>
    <b v="0"/>
    <s v="No está en VPC"/>
    <n v="802"/>
    <s v="INTPG_ACC_802_1.19"/>
    <s v="ISEL-1.19"/>
    <n v="1"/>
    <s v="NO TIENE L3OUT"/>
    <n v="48"/>
    <n v="54"/>
  </r>
  <r>
    <n v="835"/>
    <x v="2"/>
    <x v="193"/>
    <s v="eth1/19"/>
    <x v="0"/>
    <x v="0"/>
    <x v="0"/>
    <s v="LINK_TO_ITHFHWCBSPSWR60 / Slot1.1_32 / Principal"/>
    <x v="0"/>
    <b v="0"/>
    <s v="No está en VPC"/>
    <n v="835"/>
    <s v="INTPG_VPC_835_1.19_840_1.19"/>
    <s v="ISEL-1.19"/>
    <n v="2"/>
    <s v="NO TIENE L3OUT"/>
    <n v="8"/>
    <n v="54"/>
  </r>
  <r>
    <n v="822"/>
    <x v="2"/>
    <x v="194"/>
    <s v="eth1/19"/>
    <x v="0"/>
    <x v="0"/>
    <x v="0"/>
    <s v="LINK_TO_ITHFHWCBSPSUSBD14 /Slot7.2 /Redundante"/>
    <x v="0"/>
    <b v="0"/>
    <s v="No está en VPC"/>
    <n v="822"/>
    <s v="INTPG_VPC_817_1.19_822_1.19"/>
    <s v="ISEL-1.19"/>
    <n v="2"/>
    <s v="NO TIENE L3OUT"/>
    <n v="0"/>
    <n v="54"/>
  </r>
  <r>
    <n v="854"/>
    <x v="2"/>
    <x v="195"/>
    <s v="eth1/19"/>
    <x v="0"/>
    <x v="0"/>
    <x v="0"/>
    <s v="LINK_TO_ITHFHWCRMPLCN171 / Slot1.3_12 / Principal"/>
    <x v="0"/>
    <b v="0"/>
    <s v="No está en VPC"/>
    <n v="854"/>
    <s v="INTPG_ACC_854_1.19"/>
    <s v="ISEL-1.19"/>
    <n v="1"/>
    <s v="NO TIENE L3OUT"/>
    <n v="204"/>
    <n v="54"/>
  </r>
  <r>
    <n v="858"/>
    <x v="2"/>
    <x v="196"/>
    <s v="eth1/19"/>
    <x v="0"/>
    <x v="0"/>
    <x v="0"/>
    <s v="To_VPC_2DCBSD_HD43_1"/>
    <x v="0"/>
    <b v="0"/>
    <s v="No está en VPC"/>
    <n v="858"/>
    <s v="INTPG_VPC_858_1.19_863_1.19"/>
    <s v="ISEL-1.19"/>
    <n v="2"/>
    <s v="NO TIENE L3OUT"/>
    <n v="8"/>
    <n v="54"/>
  </r>
  <r>
    <n v="857"/>
    <x v="2"/>
    <x v="197"/>
    <s v="eth1/19"/>
    <x v="0"/>
    <x v="0"/>
    <x v="0"/>
    <s v="LINKT_TO_ITHFHWCRMPLCN121 / Slot1.3_12 / Principal"/>
    <x v="0"/>
    <b v="0"/>
    <s v="No está en VPC"/>
    <n v="857"/>
    <s v="INTPG_ACC_857_1.19"/>
    <s v="ISEL-1.19"/>
    <n v="1"/>
    <s v="NO TIENE L3OUT"/>
    <n v="288"/>
    <n v="54"/>
  </r>
  <r>
    <n v="859"/>
    <x v="2"/>
    <x v="198"/>
    <s v="eth1/19"/>
    <x v="0"/>
    <x v="0"/>
    <x v="0"/>
    <s v="To_VPC_2DCBSD_TL06_1"/>
    <x v="0"/>
    <b v="0"/>
    <s v="No está en VPC"/>
    <n v="859"/>
    <s v="INTPG_VPC_859_1.19_864_1.19"/>
    <s v="ISEL-1.19"/>
    <n v="2"/>
    <s v="NO TIENE L3OUT"/>
    <n v="0"/>
    <n v="54"/>
  </r>
  <r>
    <n v="833"/>
    <x v="2"/>
    <x v="199"/>
    <s v="eth1/19"/>
    <x v="0"/>
    <x v="0"/>
    <x v="0"/>
    <s v="LINK_TO_ITHFHWCRMDLCN34 /Slot5.2 /Principal"/>
    <x v="0"/>
    <b v="0"/>
    <s v="No está en VPC"/>
    <n v="833"/>
    <s v="INTPG_ACC_833_1.19"/>
    <s v="ISEL-1.19"/>
    <n v="5"/>
    <s v="NO TIENE L3OUT"/>
    <n v="224"/>
    <n v="54"/>
  </r>
  <r>
    <n v="818"/>
    <x v="2"/>
    <x v="200"/>
    <s v="eth1/19"/>
    <x v="0"/>
    <x v="0"/>
    <x v="0"/>
    <s v="LINK_TO_ITHFHWCBSPSUSBD19 /Slot4.2 /Principal"/>
    <x v="0"/>
    <b v="0"/>
    <s v="No está en VPC"/>
    <n v="818"/>
    <s v="INTPG_VPC_818_1.19_823_1.19"/>
    <s v="ISEL-1.19"/>
    <n v="1"/>
    <s v="NO TIENE L3OUT"/>
    <n v="8"/>
    <n v="54"/>
  </r>
  <r>
    <n v="850"/>
    <x v="2"/>
    <x v="201"/>
    <s v="eth1/19"/>
    <x v="0"/>
    <x v="0"/>
    <x v="0"/>
    <s v="LINKT_TO_ITHFHWCRMPLCN121 / Slot7.3_12 / Redundante"/>
    <x v="0"/>
    <b v="0"/>
    <s v="No está en VPC"/>
    <n v="850"/>
    <s v="INTPG_ACC_850_1.19"/>
    <s v="ISEL-1.19"/>
    <n v="1"/>
    <s v="NO TIENE L3OUT"/>
    <n v="288"/>
    <n v="54"/>
  </r>
  <r>
    <n v="860"/>
    <x v="2"/>
    <x v="202"/>
    <s v="eth1/19"/>
    <x v="0"/>
    <x v="0"/>
    <x v="0"/>
    <s v="To_VPC_2DCBSD_HD29_1"/>
    <x v="0"/>
    <b v="0"/>
    <s v="No está en VPC"/>
    <n v="860"/>
    <s v="INTPG_VPC_860_1.19_865_1.19"/>
    <s v="ISEL-1.19"/>
    <n v="2"/>
    <s v="NO TIENE L3OUT"/>
    <n v="0"/>
    <n v="54"/>
  </r>
  <r>
    <n v="853"/>
    <x v="2"/>
    <x v="203"/>
    <s v="eth1/19"/>
    <x v="0"/>
    <x v="0"/>
    <x v="0"/>
    <s v="LINK_TO_ITHFHWCRMPLCN78 / Slot7.1_14 / Redundante"/>
    <x v="0"/>
    <b v="0"/>
    <s v="No está en VPC"/>
    <n v="853"/>
    <s v="INTPG_ACC_853_1.19"/>
    <s v="ISEL-1.19"/>
    <n v="6"/>
    <s v="NO TIENE L3OUT"/>
    <n v="242"/>
    <n v="54"/>
  </r>
  <r>
    <n v="790"/>
    <x v="2"/>
    <x v="204"/>
    <s v="eth1/19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19"/>
    <x v="0"/>
    <x v="1"/>
    <x v="1"/>
    <m/>
    <x v="6"/>
    <b v="0"/>
    <s v="No está en VPC"/>
    <n v="105"/>
    <s v="INTPG_ACC_105_1.19"/>
    <s v="ISEL-1.19"/>
    <n v="0"/>
    <s v="NO TIENE L3OUT"/>
    <n v="106"/>
    <n v="96"/>
  </r>
  <r>
    <n v="117"/>
    <x v="0"/>
    <x v="206"/>
    <s v="eth1/19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19"/>
    <x v="0"/>
    <x v="1"/>
    <x v="1"/>
    <s v="File System AM"/>
    <x v="6"/>
    <b v="0"/>
    <s v="No está en VPC"/>
    <n v="104"/>
    <s v="INTPG_ACC_104_1.19"/>
    <s v="ISEL-1.19"/>
    <n v="1"/>
    <s v="NO TIENE L3OUT"/>
    <n v="194"/>
    <n v="96"/>
  </r>
  <r>
    <n v="158"/>
    <x v="0"/>
    <x v="208"/>
    <s v="eth1/19"/>
    <x v="1"/>
    <x v="1"/>
    <x v="2"/>
    <s v="LANB_IXTMA1_SECUNDARIO"/>
    <x v="6"/>
    <b v="0"/>
    <s v="No está en VPC"/>
    <n v="158"/>
    <s v="INTPG_ACC_158_1.19"/>
    <s v="ISEL-1.19"/>
    <n v="1"/>
    <s v="NO TIENE L3OUT"/>
    <n v="30"/>
    <n v="96"/>
  </r>
  <r>
    <n v="875"/>
    <x v="2"/>
    <x v="209"/>
    <s v="eth1/19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19"/>
    <x v="0"/>
    <x v="0"/>
    <x v="0"/>
    <s v="HACIA_CSI-B-OSCP-F4-15_SECUNDARIO"/>
    <x v="4"/>
    <b v="0"/>
    <s v="No está en VPC"/>
    <n v="879"/>
    <s v="INTPG_VPC_878_1.19_879_1.19"/>
    <s v="ISEL-1.19"/>
    <n v="2"/>
    <s v="NO TIENE L3OUT"/>
    <n v="0"/>
    <n v="54"/>
  </r>
  <r>
    <n v="108"/>
    <x v="0"/>
    <x v="211"/>
    <s v="eth1/19"/>
    <x v="0"/>
    <x v="0"/>
    <x v="0"/>
    <s v="TELLABS"/>
    <x v="6"/>
    <b v="0"/>
    <s v="No está en VPC"/>
    <n v="108"/>
    <s v="INTPG_ACC_108_1.19"/>
    <s v="ISEL-1.19"/>
    <n v="1"/>
    <s v="NO TIENE L3OUT"/>
    <n v="126"/>
    <n v="96"/>
  </r>
  <r>
    <n v="112"/>
    <x v="0"/>
    <x v="212"/>
    <s v="eth1/19"/>
    <x v="0"/>
    <x v="0"/>
    <x v="0"/>
    <s v="APROVISIONAMIENTO DE SERVICIOS"/>
    <x v="6"/>
    <b v="0"/>
    <s v="No está en VPC"/>
    <n v="112"/>
    <s v="INTPG_ACC_112_1.19"/>
    <s v="ISEL-1.19"/>
    <n v="1"/>
    <s v="NO TIENE L3OUT"/>
    <n v="144"/>
    <n v="96"/>
  </r>
  <r>
    <n v="107"/>
    <x v="0"/>
    <x v="213"/>
    <s v="eth1/19"/>
    <x v="0"/>
    <x v="0"/>
    <x v="0"/>
    <s v="Interconexion BLADE"/>
    <x v="6"/>
    <b v="0"/>
    <s v="No está en VPC"/>
    <n v="107"/>
    <s v="INTPG_ACC_107_1.19"/>
    <s v="ISEL-1.19"/>
    <n v="1"/>
    <s v="NO TIENE L3OUT"/>
    <n v="118"/>
    <n v="96"/>
  </r>
  <r>
    <n v="109"/>
    <x v="0"/>
    <x v="214"/>
    <s v="eth1/19"/>
    <x v="0"/>
    <x v="0"/>
    <x v="0"/>
    <m/>
    <x v="6"/>
    <b v="0"/>
    <s v="No está en VPC"/>
    <n v="109"/>
    <s v="NO EXISTE PG"/>
    <s v="NO EXISTE ISEL"/>
    <n v="1"/>
    <s v="NO TIENE L3OUT"/>
    <n v="126"/>
    <n v="96"/>
  </r>
  <r>
    <n v="113"/>
    <x v="0"/>
    <x v="215"/>
    <s v="eth1/19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19"/>
    <x v="0"/>
    <x v="0"/>
    <x v="0"/>
    <s v="APROVISIONAMIENTO DE SERVICIOS"/>
    <x v="6"/>
    <b v="0"/>
    <s v="No está en VPC"/>
    <n v="114"/>
    <s v="INTPG_ACC_114_1.19"/>
    <s v="ISEL-1.19"/>
    <n v="1"/>
    <s v="NO TIENE L3OUT"/>
    <n v="144"/>
    <n v="96"/>
  </r>
  <r>
    <n v="124"/>
    <x v="0"/>
    <x v="217"/>
    <s v="eth1/19"/>
    <x v="0"/>
    <x v="0"/>
    <x v="0"/>
    <s v="UXSVA (M9000)"/>
    <x v="6"/>
    <b v="0"/>
    <s v="No está en VPC"/>
    <n v="124"/>
    <s v="INTPG_ACC_124_1.19"/>
    <s v="ISEL-1.19"/>
    <n v="1"/>
    <s v="NO TIENE L3OUT"/>
    <n v="80"/>
    <n v="96"/>
  </r>
  <r>
    <n v="118"/>
    <x v="0"/>
    <x v="218"/>
    <s v="eth1/19"/>
    <x v="1"/>
    <x v="1"/>
    <x v="2"/>
    <s v="COBROS NAVEGACION"/>
    <x v="6"/>
    <b v="0"/>
    <s v="No está en VPC"/>
    <n v="118"/>
    <s v="INTPG_ACC_118_1.19"/>
    <s v="ISEL-1.19"/>
    <n v="1"/>
    <s v="NO TIENE L3OUT"/>
    <n v="180"/>
    <n v="96"/>
  </r>
  <r>
    <n v="159"/>
    <x v="0"/>
    <x v="219"/>
    <s v="eth1/19"/>
    <x v="0"/>
    <x v="0"/>
    <x v="0"/>
    <m/>
    <x v="6"/>
    <b v="0"/>
    <s v="No está en VPC"/>
    <n v="159"/>
    <s v="INTPG_ACC_159_1.19"/>
    <s v="ISEL-1.19"/>
    <n v="1"/>
    <s v="NO TIENE L3OUT"/>
    <n v="72"/>
    <n v="96"/>
  </r>
  <r>
    <n v="840"/>
    <x v="2"/>
    <x v="220"/>
    <s v="eth1/19"/>
    <x v="0"/>
    <x v="0"/>
    <x v="0"/>
    <s v="LINK_TO_ITHFHWCBSPSWR60 / Slot7.1_32 / Redundante"/>
    <x v="0"/>
    <b v="0"/>
    <s v="No está en VPC"/>
    <n v="840"/>
    <s v="INTPG_VPC_835_1.19_840_1.19"/>
    <s v="ISEL-1.19"/>
    <n v="2"/>
    <s v="NO TIENE L3OUT"/>
    <n v="8"/>
    <n v="54"/>
  </r>
  <r>
    <n v="856"/>
    <x v="2"/>
    <x v="221"/>
    <s v="eth1/19"/>
    <x v="0"/>
    <x v="0"/>
    <x v="0"/>
    <s v="LINK_TO_ITHFHWCRMPLCN140 / Slot1.3_14 / Principal"/>
    <x v="0"/>
    <b v="0"/>
    <s v="No está en VPC"/>
    <n v="856"/>
    <s v="INTPG_ACC_856_1.19"/>
    <s v="ISEL-1.19"/>
    <n v="1"/>
    <s v="NO TIENE L3OUT"/>
    <n v="286"/>
    <n v="54"/>
  </r>
  <r>
    <n v="110"/>
    <x v="0"/>
    <x v="222"/>
    <s v="eth1/19"/>
    <x v="0"/>
    <x v="0"/>
    <x v="0"/>
    <s v="UXDX-DATOS"/>
    <x v="6"/>
    <b v="0"/>
    <s v="No está en VPC"/>
    <n v="110"/>
    <s v="INTPG_ACC_110_1.19"/>
    <s v="ISEL-1.19"/>
    <n v="1"/>
    <s v="NO TIENE L3OUT"/>
    <n v="102"/>
    <n v="96"/>
  </r>
  <r>
    <n v="163"/>
    <x v="0"/>
    <x v="223"/>
    <s v="eth1/19"/>
    <x v="0"/>
    <x v="0"/>
    <x v="0"/>
    <s v="SICOP"/>
    <x v="6"/>
    <b v="0"/>
    <s v="No está en VPC"/>
    <n v="163"/>
    <s v="INTPG_ACC_163_1.19"/>
    <s v="ISEL-1.19"/>
    <n v="1"/>
    <s v="NO TIENE L3OUT"/>
    <n v="140"/>
    <n v="96"/>
  </r>
  <r>
    <n v="407"/>
    <x v="1"/>
    <x v="224"/>
    <s v="eth1/19"/>
    <x v="0"/>
    <x v="0"/>
    <x v="0"/>
    <s v="IXT_SIEU"/>
    <x v="6"/>
    <b v="0"/>
    <s v="No está en VPC"/>
    <n v="407"/>
    <s v="INTPG_ACC_407_1.19"/>
    <s v="ISEL-1.19"/>
    <n v="1"/>
    <s v="NO TIENE L3OUT"/>
    <n v="122"/>
    <n v="96"/>
  </r>
  <r>
    <n v="171"/>
    <x v="0"/>
    <x v="225"/>
    <s v="eth1/19"/>
    <x v="0"/>
    <x v="0"/>
    <x v="0"/>
    <s v="GSM_OSS_GDL_R6"/>
    <x v="6"/>
    <b v="0"/>
    <s v="No está en VPC"/>
    <n v="171"/>
    <s v="INTPG_ACC_171_1.19"/>
    <s v="ISEL-1.19"/>
    <n v="1"/>
    <s v="NO TIENE L3OUT"/>
    <n v="114"/>
    <n v="96"/>
  </r>
  <r>
    <n v="421"/>
    <x v="1"/>
    <x v="226"/>
    <s v="eth1/19"/>
    <x v="0"/>
    <x v="0"/>
    <x v="0"/>
    <s v="HP Proliant DL380p(f)"/>
    <x v="6"/>
    <b v="0"/>
    <s v="No está en VPC"/>
    <n v="421"/>
    <s v="INTPG_ACC_421_1.19"/>
    <s v="ISEL-1.19"/>
    <n v="1"/>
    <s v="NO TIENE L3OUT"/>
    <n v="72"/>
    <n v="96"/>
  </r>
  <r>
    <n v="173"/>
    <x v="0"/>
    <x v="227"/>
    <s v="eth1/19"/>
    <x v="0"/>
    <x v="0"/>
    <x v="0"/>
    <s v="ENIQ"/>
    <x v="6"/>
    <b v="0"/>
    <s v="No está en VPC"/>
    <n v="173"/>
    <s v="INTPG_ACC_173_1.19"/>
    <s v="ISEL-1.19"/>
    <n v="1"/>
    <s v="NO TIENE L3OUT"/>
    <n v="66"/>
    <n v="96"/>
  </r>
  <r>
    <n v="154"/>
    <x v="0"/>
    <x v="228"/>
    <s v="eth1/19"/>
    <x v="0"/>
    <x v="0"/>
    <x v="0"/>
    <s v="CHARGING SYSTEM"/>
    <x v="6"/>
    <b v="0"/>
    <s v="No está en VPC"/>
    <n v="154"/>
    <s v="INTPG_ACC_154_1.19"/>
    <s v="ISEL-1.19"/>
    <n v="1"/>
    <s v="NO TIENE L3OUT"/>
    <n v="62"/>
    <n v="96"/>
  </r>
  <r>
    <n v="172"/>
    <x v="0"/>
    <x v="229"/>
    <s v="eth1/19"/>
    <x v="0"/>
    <x v="0"/>
    <x v="0"/>
    <s v="SOP-EAGLE"/>
    <x v="6"/>
    <b v="0"/>
    <s v="No está en VPC"/>
    <n v="172"/>
    <s v="INTPG_ACC_172_1.19"/>
    <s v="ISEL-1.19"/>
    <n v="1"/>
    <s v="NO TIENE L3OUT"/>
    <n v="104"/>
    <n v="96"/>
  </r>
  <r>
    <n v="420"/>
    <x v="1"/>
    <x v="230"/>
    <s v="eth1/19"/>
    <x v="0"/>
    <x v="0"/>
    <x v="0"/>
    <s v="sfmevp04"/>
    <x v="6"/>
    <b v="0"/>
    <s v="No está en VPC"/>
    <n v="420"/>
    <s v="INTPG_ACC_420_1.19"/>
    <s v="ISEL-1.19"/>
    <n v="1"/>
    <s v="NO TIENE L3OUT"/>
    <n v="158"/>
    <n v="96"/>
  </r>
  <r>
    <n v="423"/>
    <x v="1"/>
    <x v="231"/>
    <s v="eth1/19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19"/>
    <x v="0"/>
    <x v="0"/>
    <x v="0"/>
    <s v="OCC ITHCC1  TRAFICO SCTP CIP"/>
    <x v="6"/>
    <b v="0"/>
    <s v="No está en VPC"/>
    <n v="415"/>
    <s v="INTPG_ACC_415_1.19"/>
    <s v="ISEL-1.19"/>
    <n v="1"/>
    <s v="NO TIENE L3OUT"/>
    <n v="52"/>
    <n v="96"/>
  </r>
  <r>
    <n v="102"/>
    <x v="0"/>
    <x v="233"/>
    <s v="eth1/19"/>
    <x v="0"/>
    <x v="1"/>
    <x v="1"/>
    <s v="SFLDI:RLDISTG01:1"/>
    <x v="6"/>
    <b v="0"/>
    <s v="No está en VPC"/>
    <n v="102"/>
    <s v="INTPG_ACC_102_1.19"/>
    <s v="ISEL-1.19"/>
    <n v="1"/>
    <s v="NO TIENE L3OUT"/>
    <n v="228"/>
    <n v="96"/>
  </r>
  <r>
    <n v="863"/>
    <x v="2"/>
    <x v="234"/>
    <s v="eth1/19"/>
    <x v="0"/>
    <x v="0"/>
    <x v="0"/>
    <s v="To_VPC_2DCBSD_HD43_1"/>
    <x v="0"/>
    <b v="0"/>
    <s v="No está en VPC"/>
    <n v="863"/>
    <s v="INTPG_VPC_858_1.19_863_1.19"/>
    <s v="ISEL-1.19"/>
    <n v="2"/>
    <s v="NO TIENE L3OUT"/>
    <n v="8"/>
    <n v="54"/>
  </r>
  <r>
    <n v="876"/>
    <x v="2"/>
    <x v="235"/>
    <s v="eth1/19"/>
    <x v="0"/>
    <x v="0"/>
    <x v="0"/>
    <s v="A_ITHFHWSEQLCAS18_Principal"/>
    <x v="4"/>
    <b v="0"/>
    <s v="No está en VPC"/>
    <n v="876"/>
    <s v="INTPG_ACC_876_1.19"/>
    <s v="ISEL-1.19"/>
    <n v="1"/>
    <s v="NO TIENE L3OUT"/>
    <n v="92"/>
    <n v="54"/>
  </r>
  <r>
    <n v="877"/>
    <x v="2"/>
    <x v="236"/>
    <s v="eth1/19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19"/>
    <x v="0"/>
    <x v="1"/>
    <x v="1"/>
    <s v="TEMIP_MGMT3"/>
    <x v="6"/>
    <b v="0"/>
    <s v="No está en VPC"/>
    <n v="122"/>
    <s v="INTPG_ACC_122_1.19"/>
    <s v="ISEL-1.19"/>
    <n v="1"/>
    <s v="NO TIENE L3OUT"/>
    <n v="148"/>
    <n v="96"/>
  </r>
  <r>
    <n v="157"/>
    <x v="0"/>
    <x v="238"/>
    <s v="eth1/19"/>
    <x v="0"/>
    <x v="0"/>
    <x v="0"/>
    <s v="Cons. Prepago M8000"/>
    <x v="6"/>
    <b v="0"/>
    <s v="No está en VPC"/>
    <n v="157"/>
    <s v="INTPG_ACC_157_1.19"/>
    <s v="ISEL-1.19"/>
    <n v="1"/>
    <s v="NO TIENE L3OUT"/>
    <n v="202"/>
    <n v="96"/>
  </r>
  <r>
    <n v="408"/>
    <x v="1"/>
    <x v="239"/>
    <s v="eth1/19"/>
    <x v="0"/>
    <x v="0"/>
    <x v="0"/>
    <s v="UXCA_EXADATA_MGMT"/>
    <x v="6"/>
    <b v="0"/>
    <s v="No está en VPC"/>
    <n v="408"/>
    <s v="INTPG_ACC_408_1.19"/>
    <s v="ISEL-1.19"/>
    <n v="1"/>
    <s v="NO TIENE L3OUT"/>
    <n v="152"/>
    <n v="96"/>
  </r>
  <r>
    <n v="405"/>
    <x v="1"/>
    <x v="240"/>
    <s v="eth1/19"/>
    <x v="0"/>
    <x v="0"/>
    <x v="0"/>
    <s v="XL5 RLR5ARI09 iLO"/>
    <x v="6"/>
    <b v="0"/>
    <s v="No está en VPC"/>
    <n v="405"/>
    <s v="INTPG_ACC_405_1.19"/>
    <s v="ISEL-1.19"/>
    <n v="1"/>
    <s v="NO TIENE L3OUT"/>
    <n v="138"/>
    <n v="96"/>
  </r>
  <r>
    <n v="169"/>
    <x v="0"/>
    <x v="241"/>
    <s v="eth1/19"/>
    <x v="0"/>
    <x v="0"/>
    <x v="0"/>
    <s v="CNOC"/>
    <x v="6"/>
    <b v="0"/>
    <s v="No está en VPC"/>
    <n v="169"/>
    <s v="INTPG_ACC_169_1.19"/>
    <s v="ISEL-1.19"/>
    <n v="1"/>
    <s v="NO TIENE L3OUT"/>
    <n v="76"/>
    <n v="96"/>
  </r>
  <r>
    <n v="165"/>
    <x v="0"/>
    <x v="242"/>
    <s v="eth1/19"/>
    <x v="0"/>
    <x v="0"/>
    <x v="0"/>
    <s v="UXLDAP"/>
    <x v="6"/>
    <b v="0"/>
    <s v="No está en VPC"/>
    <n v="165"/>
    <s v="INTPG_ACC_165_1.19"/>
    <s v="ISEL-1.19"/>
    <n v="1"/>
    <s v="NO TIENE L3OUT"/>
    <n v="86"/>
    <n v="96"/>
  </r>
  <r>
    <n v="417"/>
    <x v="1"/>
    <x v="243"/>
    <s v="eth1/19"/>
    <x v="0"/>
    <x v="0"/>
    <x v="0"/>
    <s v="IXTSRM2_VM3"/>
    <x v="6"/>
    <b v="0"/>
    <s v="No está en VPC"/>
    <n v="417"/>
    <s v="INTPG_ACC_417_1.19"/>
    <s v="ISEL-1.19"/>
    <n v="1"/>
    <s v="NO TIENE L3OUT"/>
    <n v="56"/>
    <n v="96"/>
  </r>
  <r>
    <n v="153"/>
    <x v="0"/>
    <x v="244"/>
    <s v="eth1/19"/>
    <x v="0"/>
    <x v="0"/>
    <x v="0"/>
    <m/>
    <x v="6"/>
    <b v="0"/>
    <s v="No está en VPC"/>
    <n v="153"/>
    <s v="INTPG_ACC_153_1.19"/>
    <s v="ISEL-1.19"/>
    <n v="1"/>
    <s v="NO TIENE L3OUT"/>
    <n v="42"/>
    <n v="96"/>
  </r>
  <r>
    <n v="119"/>
    <x v="0"/>
    <x v="245"/>
    <s v="eth1/19"/>
    <x v="1"/>
    <x v="1"/>
    <x v="2"/>
    <s v="DESC"/>
    <x v="6"/>
    <b v="0"/>
    <s v="No está en VPC"/>
    <n v="119"/>
    <s v="INTPG_PC_119_1.1-4_17-20"/>
    <s v="ISEL-1.19"/>
    <n v="31"/>
    <s v="NO TIENE L3OUT"/>
    <n v="70"/>
    <n v="96"/>
  </r>
  <r>
    <n v="156"/>
    <x v="0"/>
    <x v="246"/>
    <s v="eth1/19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19"/>
    <x v="0"/>
    <x v="1"/>
    <x v="1"/>
    <s v="EHEALTH:ehealthp03:ILOM"/>
    <x v="6"/>
    <b v="0"/>
    <s v="No está en VPC"/>
    <n v="103"/>
    <s v="INTPG_ACC_103_1.19"/>
    <s v="ISEL-1.19"/>
    <n v="1"/>
    <s v="NO TIENE L3OUT"/>
    <n v="70"/>
    <n v="96"/>
  </r>
  <r>
    <n v="438"/>
    <x v="1"/>
    <x v="248"/>
    <s v="eth1/19"/>
    <x v="0"/>
    <x v="0"/>
    <x v="0"/>
    <s v="HP_Proliant_DL380p(a)"/>
    <x v="6"/>
    <b v="0"/>
    <s v="No está en VPC"/>
    <n v="438"/>
    <s v="INTPG_ACC_438_1.19"/>
    <s v="ISEL-1.19"/>
    <n v="1"/>
    <s v="NO TIENE L3OUT"/>
    <n v="170"/>
    <n v="96"/>
  </r>
  <r>
    <n v="406"/>
    <x v="1"/>
    <x v="249"/>
    <s v="eth1/19"/>
    <x v="0"/>
    <x v="0"/>
    <x v="0"/>
    <s v="ITHRTC42VC1"/>
    <x v="6"/>
    <b v="0"/>
    <s v="No está en VPC"/>
    <n v="406"/>
    <s v="INTPG_VPC_404_1.19_406_1.19"/>
    <s v="ISEL-1.19"/>
    <n v="1"/>
    <s v="NO TIENE L3OUT"/>
    <n v="82"/>
    <n v="96"/>
  </r>
  <r>
    <n v="414"/>
    <x v="1"/>
    <x v="250"/>
    <s v="eth1/19"/>
    <x v="0"/>
    <x v="0"/>
    <x v="0"/>
    <s v="NEC Femtocel NMS"/>
    <x v="6"/>
    <b v="0"/>
    <s v="No está en VPC"/>
    <n v="414"/>
    <s v="INTPG_ACC_414_1.19"/>
    <s v="ISEL-1.19"/>
    <n v="1"/>
    <s v="NO TIENE L3OUT"/>
    <n v="144"/>
    <n v="96"/>
  </r>
  <r>
    <n v="416"/>
    <x v="1"/>
    <x v="251"/>
    <s v="eth1/19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19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19"/>
    <x v="0"/>
    <x v="0"/>
    <x v="0"/>
    <s v="To_lagidmhlapvp08_produccion1"/>
    <x v="6"/>
    <b v="0"/>
    <s v="No está en VPC"/>
    <n v="413"/>
    <s v="INTPG_VPC_411_1.26-29_413_1.19-20_22_86"/>
    <s v="ISEL-1.19"/>
    <n v="2"/>
    <s v="NO TIENE L3OUT"/>
    <n v="126"/>
    <n v="96"/>
  </r>
  <r>
    <n v="403"/>
    <x v="1"/>
    <x v="254"/>
    <s v="eth1/19"/>
    <x v="0"/>
    <x v="0"/>
    <x v="0"/>
    <s v="XL5 RLR5ARI09"/>
    <x v="6"/>
    <b v="0"/>
    <s v="No está en VPC"/>
    <n v="403"/>
    <s v="INTPG_ACC_403_1.19"/>
    <s v="ISEL-1.19"/>
    <n v="1"/>
    <s v="NO TIENE L3OUT"/>
    <n v="150"/>
    <n v="96"/>
  </r>
  <r>
    <n v="125"/>
    <x v="0"/>
    <x v="255"/>
    <s v="eth1/19"/>
    <x v="1"/>
    <x v="1"/>
    <x v="2"/>
    <s v="UXSVA (M5000)"/>
    <x v="6"/>
    <b v="0"/>
    <s v="No está en VPC"/>
    <n v="125"/>
    <s v="INTPG_ACC_125_1.19"/>
    <s v="ISEL-1.19"/>
    <n v="1"/>
    <s v="NO TIENE L3OUT"/>
    <n v="72"/>
    <n v="96"/>
  </r>
  <r>
    <n v="166"/>
    <x v="0"/>
    <x v="256"/>
    <s v="eth1/19"/>
    <x v="0"/>
    <x v="1"/>
    <x v="1"/>
    <s v="UXLDAP"/>
    <x v="6"/>
    <b v="0"/>
    <s v="No está en VPC"/>
    <n v="166"/>
    <s v="INTPG_ACC_166_1.19"/>
    <s v="ISEL-1.19"/>
    <n v="1"/>
    <s v="NO TIENE L3OUT"/>
    <n v="84"/>
    <n v="96"/>
  </r>
  <r>
    <n v="111"/>
    <x v="0"/>
    <x v="257"/>
    <s v="eth1/19"/>
    <x v="0"/>
    <x v="0"/>
    <x v="0"/>
    <s v="UXDX-DATOS"/>
    <x v="6"/>
    <b v="0"/>
    <s v="No está en VPC"/>
    <n v="111"/>
    <s v="INTPG_ACC_111_1.19"/>
    <s v="ISEL-1.19"/>
    <n v="1"/>
    <s v="NO TIENE L3OUT"/>
    <n v="58"/>
    <n v="96"/>
  </r>
  <r>
    <n v="115"/>
    <x v="0"/>
    <x v="258"/>
    <s v="eth1/19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19"/>
    <x v="0"/>
    <x v="1"/>
    <x v="1"/>
    <m/>
    <x v="6"/>
    <b v="0"/>
    <s v="No está en VPC"/>
    <n v="106"/>
    <s v="INTPG_ACC_106_1.19"/>
    <s v="ISEL-1.19"/>
    <n v="1"/>
    <s v="NO TIENE L3OUT"/>
    <n v="122"/>
    <n v="96"/>
  </r>
  <r>
    <n v="126"/>
    <x v="0"/>
    <x v="260"/>
    <s v="eth1/19"/>
    <x v="0"/>
    <x v="0"/>
    <x v="0"/>
    <s v="ENIQ"/>
    <x v="6"/>
    <b v="0"/>
    <s v="No está en VPC"/>
    <n v="126"/>
    <s v="INTPG_ACC_126_1.19"/>
    <s v="ISEL-1.19"/>
    <n v="1"/>
    <s v="NO TIENE L3OUT"/>
    <n v="54"/>
    <n v="96"/>
  </r>
  <r>
    <n v="425"/>
    <x v="1"/>
    <x v="261"/>
    <s v="eth1/19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19"/>
    <x v="0"/>
    <x v="0"/>
    <x v="0"/>
    <s v="ETLI-SACI 1"/>
    <x v="6"/>
    <b v="0"/>
    <s v="No está en VPC"/>
    <n v="151"/>
    <s v="INTPG_ACC_151_1.19"/>
    <s v="ISEL-1.19"/>
    <n v="1"/>
    <s v="NO TIENE L3OUT"/>
    <n v="86"/>
    <n v="96"/>
  </r>
  <r>
    <n v="430"/>
    <x v="1"/>
    <x v="263"/>
    <s v="eth1/19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19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19"/>
    <x v="0"/>
    <x v="1"/>
    <x v="1"/>
    <s v="COBROS NAVEGACION"/>
    <x v="6"/>
    <b v="0"/>
    <s v="No está en VPC"/>
    <n v="155"/>
    <s v="INTPG_ACC_155_1.19"/>
    <s v="ISEL-1.19"/>
    <n v="1"/>
    <s v="NO TIENE L3OUT"/>
    <n v="198"/>
    <n v="96"/>
  </r>
  <r>
    <n v="409"/>
    <x v="1"/>
    <x v="266"/>
    <s v="eth1/19"/>
    <x v="0"/>
    <x v="0"/>
    <x v="0"/>
    <s v="IXTGLAOSS1_CLIENT1"/>
    <x v="6"/>
    <b v="0"/>
    <s v="No está en VPC"/>
    <n v="409"/>
    <s v="INTPG_VPC_407_1.23_409_1.19"/>
    <s v="ISEL-1.19"/>
    <n v="16"/>
    <s v="NO TIENE L3OUT"/>
    <n v="128"/>
    <n v="96"/>
  </r>
  <r>
    <n v="422"/>
    <x v="1"/>
    <x v="267"/>
    <s v="eth1/19"/>
    <x v="0"/>
    <x v="0"/>
    <x v="0"/>
    <s v="TO-ITHFDEOCP1LWR05-REDUNDANTE"/>
    <x v="6"/>
    <b v="0"/>
    <s v="No está en VPC"/>
    <n v="422"/>
    <s v="INTPG_ACC_422_1.19"/>
    <s v="ISEL-1.19"/>
    <n v="1"/>
    <s v="NO TIENE L3OUT"/>
    <n v="182"/>
    <n v="96"/>
  </r>
  <r>
    <n v="436"/>
    <x v="1"/>
    <x v="268"/>
    <s v="eth1/19"/>
    <x v="0"/>
    <x v="0"/>
    <x v="0"/>
    <s v="HP_Proliant_DL380p(a)"/>
    <x v="6"/>
    <b v="0"/>
    <s v="No está en VPC"/>
    <n v="436"/>
    <s v="INTPG_ACC_436_1.19"/>
    <s v="ISEL-1.19"/>
    <n v="1"/>
    <s v="NO TIENE L3OUT"/>
    <n v="172"/>
    <n v="96"/>
  </r>
  <r>
    <n v="410"/>
    <x v="1"/>
    <x v="269"/>
    <s v="eth1/19"/>
    <x v="0"/>
    <x v="0"/>
    <x v="0"/>
    <s v="ITHMSVB3_ITH0"/>
    <x v="6"/>
    <b v="0"/>
    <s v="No está en VPC"/>
    <n v="410"/>
    <s v="INTPG_ACC_410_1.19"/>
    <s v="ISEL-1.19"/>
    <n v="1"/>
    <s v="NO TIENE L3OUT"/>
    <n v="178"/>
    <n v="96"/>
  </r>
  <r>
    <n v="161"/>
    <x v="0"/>
    <x v="270"/>
    <s v="eth1/19"/>
    <x v="0"/>
    <x v="0"/>
    <x v="0"/>
    <s v="SICOP"/>
    <x v="6"/>
    <b v="0"/>
    <s v="No está en VPC"/>
    <n v="161"/>
    <s v="INTPG_ACC_161_1.19"/>
    <s v="ISEL-1.19"/>
    <n v="1"/>
    <s v="NO TIENE L3OUT"/>
    <n v="102"/>
    <n v="96"/>
  </r>
  <r>
    <n v="411"/>
    <x v="1"/>
    <x v="271"/>
    <s v="eth1/19"/>
    <x v="0"/>
    <x v="0"/>
    <x v="0"/>
    <s v="GESTOR"/>
    <x v="6"/>
    <b v="0"/>
    <s v="No está en VPC"/>
    <n v="411"/>
    <s v="INTPG_ACC_411_1.19"/>
    <s v="ISEL-1.19"/>
    <n v="2"/>
    <s v="NO TIENE L3OUT"/>
    <n v="96"/>
    <n v="96"/>
  </r>
  <r>
    <n v="116"/>
    <x v="0"/>
    <x v="272"/>
    <s v="eth1/19"/>
    <x v="0"/>
    <x v="0"/>
    <x v="0"/>
    <s v="COBROS NAVEGACION"/>
    <x v="6"/>
    <b v="0"/>
    <s v="No está en VPC"/>
    <n v="116"/>
    <s v="INTPG_ACC_116_1.19"/>
    <s v="ISEL-1.19"/>
    <n v="1"/>
    <s v="NO TIENE L3OUT"/>
    <n v="148"/>
    <n v="96"/>
  </r>
  <r>
    <n v="412"/>
    <x v="1"/>
    <x v="273"/>
    <s v="eth1/19"/>
    <x v="0"/>
    <x v="0"/>
    <x v="0"/>
    <s v="RESPAL_CS5_ASAP8"/>
    <x v="6"/>
    <b v="0"/>
    <s v="No está en VPC"/>
    <n v="412"/>
    <s v="INTPG_ACC_412_1.19"/>
    <s v="ISEL-1.19"/>
    <n v="1"/>
    <s v="NO TIENE L3OUT"/>
    <n v="126"/>
    <n v="96"/>
  </r>
  <r>
    <n v="120"/>
    <x v="0"/>
    <x v="274"/>
    <s v="eth1/19"/>
    <x v="0"/>
    <x v="1"/>
    <x v="1"/>
    <s v="TEMIP_MGMT3"/>
    <x v="6"/>
    <b v="0"/>
    <s v="No está en VPC"/>
    <n v="120"/>
    <s v="INTPG_ACC_120_1.19"/>
    <s v="ISEL-1.19"/>
    <n v="1"/>
    <s v="NO TIENE L3OUT"/>
    <n v="158"/>
    <n v="96"/>
  </r>
  <r>
    <n v="404"/>
    <x v="1"/>
    <x v="275"/>
    <s v="eth1/19"/>
    <x v="0"/>
    <x v="0"/>
    <x v="0"/>
    <s v="ITHRTC42VC1"/>
    <x v="6"/>
    <b v="0"/>
    <s v="No está en VPC"/>
    <n v="404"/>
    <s v="INTPG_VPC_404_1.19_406_1.19"/>
    <s v="ISEL-1.19"/>
    <n v="1"/>
    <s v="NO TIENE L3OUT"/>
    <n v="92"/>
    <n v="96"/>
  </r>
  <r>
    <n v="167"/>
    <x v="0"/>
    <x v="276"/>
    <s v="eth1/19"/>
    <x v="0"/>
    <x v="0"/>
    <x v="0"/>
    <s v="LINKDOWN_HACIA_UCS_9UCS-IXTLA-SERV3"/>
    <x v="6"/>
    <b v="0"/>
    <s v="No está en VPC"/>
    <n v="167"/>
    <s v="INTPG_ACC_167_1.19"/>
    <s v="ISEL-1.19"/>
    <n v="1"/>
    <s v="NO TIENE L3OUT"/>
    <n v="68"/>
    <n v="96"/>
  </r>
  <r>
    <n v="428"/>
    <x v="1"/>
    <x v="277"/>
    <s v="eth1/19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903"/>
    <x v="2"/>
    <x v="278"/>
    <s v="eth1/19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19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2"/>
    <x v="0"/>
    <x v="0"/>
    <x v="0"/>
    <s v="HUECOS DC_S1"/>
    <x v="0"/>
    <b v="0"/>
    <s v="No está en VPC"/>
    <n v="128"/>
    <s v="INTPG_VPC_128_1.1-6_129_1.1-6"/>
    <s v="ISEL-1.2"/>
    <n v="1"/>
    <s v="NO TIENE L3OUT"/>
    <n v="0"/>
    <n v="54"/>
  </r>
  <r>
    <n v="123"/>
    <x v="0"/>
    <x v="1"/>
    <s v="eth1/2"/>
    <x v="0"/>
    <x v="0"/>
    <x v="0"/>
    <s v="DASHBD02.19.8"/>
    <x v="1"/>
    <b v="0"/>
    <s v="No está en VPC"/>
    <n v="123"/>
    <s v="INTPG_ACC_123_1.2"/>
    <s v="ISEL-1.2"/>
    <n v="1"/>
    <s v="NO TIENE L3OUT"/>
    <n v="20"/>
    <n v="54"/>
  </r>
  <r>
    <n v="152"/>
    <x v="0"/>
    <x v="2"/>
    <s v="eth1/2"/>
    <x v="0"/>
    <x v="0"/>
    <x v="0"/>
    <s v="DASHBOARD"/>
    <x v="1"/>
    <b v="0"/>
    <s v="No está en VPC"/>
    <n v="152"/>
    <s v="INTPG_ACC_152_1.2"/>
    <s v="ISEL-1.2"/>
    <n v="1"/>
    <s v="NO TIENE L3OUT"/>
    <n v="38"/>
    <n v="54"/>
  </r>
  <r>
    <n v="101"/>
    <x v="0"/>
    <x v="3"/>
    <s v="eth1/2"/>
    <x v="0"/>
    <x v="1"/>
    <x v="1"/>
    <s v="DESC"/>
    <x v="0"/>
    <b v="0"/>
    <s v="No está en VPC"/>
    <n v="101"/>
    <s v="INTPG_PC_101_1.2_6"/>
    <s v="ISEL-1.2"/>
    <n v="19"/>
    <s v="NO TIENE L3OUT"/>
    <n v="114"/>
    <n v="54"/>
  </r>
  <r>
    <n v="160"/>
    <x v="0"/>
    <x v="4"/>
    <s v="eth1/2"/>
    <x v="0"/>
    <x v="1"/>
    <x v="1"/>
    <m/>
    <x v="1"/>
    <b v="0"/>
    <s v="No está en VPC"/>
    <n v="160"/>
    <s v="INTPG_ACC_160_1.2"/>
    <s v="ISEL-1.2"/>
    <n v="1"/>
    <s v="NO TIENE L3OUT"/>
    <n v="68"/>
    <n v="54"/>
  </r>
  <r>
    <n v="121"/>
    <x v="0"/>
    <x v="5"/>
    <s v="eth1/2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2"/>
    <x v="0"/>
    <x v="0"/>
    <x v="0"/>
    <s v="HUECOS DC_S1"/>
    <x v="0"/>
    <b v="0"/>
    <s v="No está en VPC"/>
    <n v="129"/>
    <s v="INTPG_VPC_128_1.1-6_129_1.1-6"/>
    <s v="ISEL-1.2"/>
    <n v="1"/>
    <s v="NO TIENE L3OUT"/>
    <n v="0"/>
    <n v="54"/>
  </r>
  <r>
    <n v="401"/>
    <x v="1"/>
    <x v="7"/>
    <s v="eth1/2"/>
    <x v="0"/>
    <x v="0"/>
    <x v="0"/>
    <s v="M10-ACTIVO2"/>
    <x v="0"/>
    <b v="0"/>
    <s v="No está en VPC"/>
    <n v="401"/>
    <s v="INTPG_ACC_401_1.2"/>
    <s v="ISEL-1.2"/>
    <n v="4"/>
    <s v="NO TIENE L3OUT"/>
    <n v="40"/>
    <n v="54"/>
  </r>
  <r>
    <n v="402"/>
    <x v="1"/>
    <x v="8"/>
    <s v="eth1/2"/>
    <x v="0"/>
    <x v="0"/>
    <x v="0"/>
    <s v="M10-PASIVO2"/>
    <x v="0"/>
    <b v="0"/>
    <s v="No está en VPC"/>
    <n v="402"/>
    <s v="INTPG_ACC_402_1.2"/>
    <s v="ISEL-1.2"/>
    <n v="4"/>
    <s v="NO TIENE L3OUT"/>
    <n v="36"/>
    <n v="54"/>
  </r>
  <r>
    <n v="447"/>
    <x v="1"/>
    <x v="9"/>
    <s v="eth1/2"/>
    <x v="0"/>
    <x v="0"/>
    <x v="0"/>
    <s v="YB_PRODUCCION_ETH-TRUNK_2"/>
    <x v="2"/>
    <b v="0"/>
    <s v="No está en VPC"/>
    <n v="447"/>
    <s v="INTPG_VPC_445_1.2_447_1.2"/>
    <s v="ISEL-1.2"/>
    <n v="1"/>
    <s v="NO TIENE L3OUT"/>
    <n v="16"/>
    <n v="42"/>
  </r>
  <r>
    <n v="445"/>
    <x v="1"/>
    <x v="10"/>
    <s v="eth1/2"/>
    <x v="0"/>
    <x v="0"/>
    <x v="0"/>
    <s v="YB_PRODUCCION_ETH-TRUNK_2"/>
    <x v="2"/>
    <b v="0"/>
    <s v="No está en VPC"/>
    <n v="445"/>
    <s v="INTPG_VPC_445_1.2_447_1.2"/>
    <s v="ISEL-1.2"/>
    <n v="1"/>
    <s v="NO TIENE L3OUT"/>
    <n v="16"/>
    <n v="42"/>
  </r>
  <r>
    <n v="130"/>
    <x v="0"/>
    <x v="11"/>
    <s v="eth1/2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2"/>
    <x v="0"/>
    <x v="1"/>
    <x v="1"/>
    <s v="DESC"/>
    <x v="0"/>
    <b v="0"/>
    <s v="No está en VPC"/>
    <n v="150"/>
    <s v="INTPG_PC_150_1.2_6"/>
    <s v="ISEL-1.2"/>
    <n v="19"/>
    <s v="NO TIENE L3OUT"/>
    <n v="118"/>
    <n v="54"/>
  </r>
  <r>
    <n v="131"/>
    <x v="0"/>
    <x v="13"/>
    <s v="eth1/2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2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2"/>
    <x v="0"/>
    <x v="0"/>
    <x v="0"/>
    <s v="TelcelCloudStack:ithhwtcs01en01:2X 40G P2"/>
    <x v="2"/>
    <b v="0"/>
    <s v="No está en VPC"/>
    <n v="758"/>
    <s v="INTPG_VPC_758_1.1-2_759_1.1-2"/>
    <s v="ISEL-1.2"/>
    <n v="124"/>
    <s v="NO TIENE L3OUT"/>
    <n v="0"/>
    <n v="42"/>
  </r>
  <r>
    <n v="759"/>
    <x v="2"/>
    <x v="16"/>
    <s v="eth1/2"/>
    <x v="0"/>
    <x v="0"/>
    <x v="0"/>
    <s v="TelcelCloudStack:ithhwtcs01en01:3X 40G P2"/>
    <x v="2"/>
    <b v="0"/>
    <s v="No está en VPC"/>
    <n v="759"/>
    <s v="INTPG_VPC_758_1.1-2_759_1.1-2"/>
    <s v="ISEL-1.2"/>
    <n v="124"/>
    <s v="NO TIENE L3OUT"/>
    <n v="0"/>
    <n v="42"/>
  </r>
  <r>
    <n v="302"/>
    <x v="0"/>
    <x v="17"/>
    <s v="eth1/2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2"/>
    <x v="0"/>
    <x v="0"/>
    <x v="0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2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2"/>
    <x v="0"/>
    <x v="0"/>
    <x v="0"/>
    <s v="HUECOS DC_S2"/>
    <x v="0"/>
    <b v="0"/>
    <s v="No está en VPC"/>
    <n v="452"/>
    <s v="INTPG_VPC_450_1.1-6_452_1.1-6"/>
    <s v="ISEL-1.2"/>
    <n v="1"/>
    <s v="NO TIENE L3OUT"/>
    <n v="0"/>
    <n v="54"/>
  </r>
  <r>
    <n v="450"/>
    <x v="1"/>
    <x v="21"/>
    <s v="eth1/2"/>
    <x v="0"/>
    <x v="0"/>
    <x v="0"/>
    <s v="HUECOS DC_S2"/>
    <x v="0"/>
    <b v="0"/>
    <s v="No está en VPC"/>
    <n v="450"/>
    <s v="INTPG_VPC_450_1.1-6_452_1.1-6"/>
    <s v="ISEL-1.2"/>
    <n v="1"/>
    <s v="NO TIENE L3OUT"/>
    <n v="0"/>
    <n v="54"/>
  </r>
  <r>
    <n v="727"/>
    <x v="2"/>
    <x v="22"/>
    <s v="eth1/2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2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2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2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2"/>
    <x v="0"/>
    <x v="0"/>
    <x v="0"/>
    <s v="HUAWEI_CLOUD_FASE2_LAG1"/>
    <x v="0"/>
    <b v="0"/>
    <s v="No está en VPC"/>
    <n v="431"/>
    <s v="INTPG_VPC_431_1.1-2_448_1.1-2"/>
    <s v="ISEL-1.2"/>
    <n v="46"/>
    <s v="NO TIENE L3OUT"/>
    <n v="46"/>
    <n v="54"/>
  </r>
  <r>
    <n v="433"/>
    <x v="1"/>
    <x v="27"/>
    <s v="eth1/2"/>
    <x v="0"/>
    <x v="1"/>
    <x v="1"/>
    <s v="Firewall_Fortinet"/>
    <x v="1"/>
    <b v="0"/>
    <s v="No está en VPC"/>
    <n v="433"/>
    <s v="INTPG_ACC_433_1.2"/>
    <s v="ISEL-1.2"/>
    <n v="1"/>
    <s v="NO TIENE L3OUT"/>
    <n v="42"/>
    <n v="54"/>
  </r>
  <r>
    <n v="429"/>
    <x v="1"/>
    <x v="28"/>
    <s v="eth1/2"/>
    <x v="0"/>
    <x v="0"/>
    <x v="0"/>
    <s v="FASE_1.5_REDKNEE_produccion_3_client_LAG"/>
    <x v="1"/>
    <b v="0"/>
    <s v="No está en VPC"/>
    <n v="429"/>
    <s v="INTPG_VPC_427_1.4-5_429_1.2-3"/>
    <s v="ISEL-1.2"/>
    <n v="5"/>
    <s v="NO TIENE L3OUT"/>
    <n v="8"/>
    <n v="54"/>
  </r>
  <r>
    <n v="432"/>
    <x v="1"/>
    <x v="29"/>
    <s v="eth1/2"/>
    <x v="0"/>
    <x v="0"/>
    <x v="0"/>
    <s v="SSO"/>
    <x v="1"/>
    <b v="0"/>
    <s v="No está en VPC"/>
    <n v="432"/>
    <s v="INTPG_ACC_432_1.2"/>
    <s v="ISEL-1.2"/>
    <n v="1"/>
    <s v="NO TIENE L3OUT"/>
    <n v="54"/>
    <n v="54"/>
  </r>
  <r>
    <n v="442"/>
    <x v="1"/>
    <x v="30"/>
    <s v="eth1/2"/>
    <x v="0"/>
    <x v="0"/>
    <x v="0"/>
    <s v="CONECTIVIDAD_HUAWEI_CLOUD_SALA_2_gestion_client_LAG"/>
    <x v="1"/>
    <b v="0"/>
    <s v="No está en VPC"/>
    <n v="442"/>
    <s v="INTPG_VPC_440_1.1-2_442_1.1-2"/>
    <s v="ISEL-1.2"/>
    <n v="2"/>
    <s v="NO TIENE L3OUT"/>
    <n v="18"/>
    <n v="54"/>
  </r>
  <r>
    <n v="434"/>
    <x v="1"/>
    <x v="31"/>
    <s v="eth1/2"/>
    <x v="0"/>
    <x v="0"/>
    <x v="0"/>
    <s v="TO-sfovmp02-MGT-PRINCIPAL"/>
    <x v="1"/>
    <b v="0"/>
    <s v="No está en VPC"/>
    <n v="434"/>
    <s v="INTPG_ACC_434_1.2"/>
    <s v="ISEL-1.2"/>
    <n v="1"/>
    <s v="NO TIENE L3OUT"/>
    <n v="34"/>
    <n v="54"/>
  </r>
  <r>
    <n v="707"/>
    <x v="2"/>
    <x v="32"/>
    <s v="eth1/2"/>
    <x v="0"/>
    <x v="1"/>
    <x v="3"/>
    <s v="CEM:ITHCEMG2DAT01:LOM P3"/>
    <x v="0"/>
    <b v="0"/>
    <s v="No está en VPC"/>
    <n v="707"/>
    <s v="INTPG_ACC_707_1.2"/>
    <s v="ISEL-1.2"/>
    <n v="1"/>
    <s v="NO TIENE L3OUT"/>
    <n v="54"/>
    <n v="54"/>
  </r>
  <r>
    <n v="712"/>
    <x v="2"/>
    <x v="33"/>
    <s v="eth1/2"/>
    <x v="0"/>
    <x v="0"/>
    <x v="0"/>
    <s v="CEM:ITHCEMA2DAT01:LOM  P2"/>
    <x v="0"/>
    <b v="0"/>
    <s v="No está en VPC"/>
    <n v="712"/>
    <s v="INTPG_ACC_712_1.2"/>
    <s v="ISEL-1.2"/>
    <n v="1"/>
    <s v="NO TIENE L3OUT"/>
    <n v="32"/>
    <n v="54"/>
  </r>
  <r>
    <n v="719"/>
    <x v="2"/>
    <x v="34"/>
    <s v="eth1/2"/>
    <x v="0"/>
    <x v="1"/>
    <x v="1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2"/>
    <x v="0"/>
    <x v="0"/>
    <x v="0"/>
    <m/>
    <x v="0"/>
    <b v="0"/>
    <s v="No está en VPC"/>
    <n v="715"/>
    <s v="INTPG-VPC_HDD39_716_1.1_715_1.2"/>
    <s v="ISEL-1.2"/>
    <n v="1"/>
    <s v="NO TIENE L3OUT"/>
    <n v="0"/>
    <n v="54"/>
  </r>
  <r>
    <n v="427"/>
    <x v="1"/>
    <x v="36"/>
    <s v="eth1/2"/>
    <x v="0"/>
    <x v="0"/>
    <x v="0"/>
    <s v="FASE_1.5_REDKNEE_produccion_4_client_LAG"/>
    <x v="1"/>
    <b v="0"/>
    <s v="No está en VPC"/>
    <n v="427"/>
    <s v="INTPG_VPC_427_1.2-3_429_1.5-6"/>
    <s v="ISEL-1.2"/>
    <n v="2"/>
    <s v="NO TIENE L3OUT"/>
    <n v="10"/>
    <n v="54"/>
  </r>
  <r>
    <n v="711"/>
    <x v="2"/>
    <x v="37"/>
    <s v="eth1/2"/>
    <x v="0"/>
    <x v="1"/>
    <x v="5"/>
    <s v="CEM:ITHCEMD2DAT01:LOM  P2"/>
    <x v="0"/>
    <b v="0"/>
    <s v="No está en VPC"/>
    <n v="711"/>
    <s v="INTPG_VPC_710_1.1_711_1.2"/>
    <s v="ISEL-1.2"/>
    <n v="1"/>
    <s v="NO TIENE L3OUT"/>
    <n v="16"/>
    <n v="54"/>
  </r>
  <r>
    <n v="716"/>
    <x v="2"/>
    <x v="38"/>
    <s v="eth1/2"/>
    <x v="0"/>
    <x v="0"/>
    <x v="0"/>
    <m/>
    <x v="0"/>
    <b v="0"/>
    <s v="No está en VPC"/>
    <n v="716"/>
    <s v="INTPG-VPC_HDD48_715_1.1_716_1.2"/>
    <s v="ISEL-1.2"/>
    <n v="1"/>
    <s v="NO TIENE L3OUT"/>
    <n v="0"/>
    <n v="54"/>
  </r>
  <r>
    <n v="702"/>
    <x v="2"/>
    <x v="39"/>
    <s v="eth1/2"/>
    <x v="0"/>
    <x v="0"/>
    <x v="0"/>
    <m/>
    <x v="0"/>
    <b v="0"/>
    <s v="No está en VPC"/>
    <n v="702"/>
    <s v="INTPG_VPC_701_1.1_702_1.2"/>
    <s v="ISEL-1.2"/>
    <n v="1"/>
    <s v="NO TIENE L3OUT"/>
    <n v="0"/>
    <n v="54"/>
  </r>
  <r>
    <n v="435"/>
    <x v="1"/>
    <x v="40"/>
    <s v="eth1/2"/>
    <x v="0"/>
    <x v="1"/>
    <x v="1"/>
    <s v="Firewall_Fortinet_Mgmt"/>
    <x v="1"/>
    <b v="0"/>
    <s v="No está en VPC"/>
    <n v="435"/>
    <s v="INTPG_ACC_435_1.2"/>
    <s v="ISEL-1.2"/>
    <n v="1"/>
    <s v="NO TIENE L3OUT"/>
    <n v="34"/>
    <n v="54"/>
  </r>
  <r>
    <n v="446"/>
    <x v="1"/>
    <x v="41"/>
    <s v="eth1/2"/>
    <x v="0"/>
    <x v="1"/>
    <x v="4"/>
    <s v="TO-ITHFHPNBURBKP03"/>
    <x v="0"/>
    <b v="0"/>
    <s v="No está en VPC"/>
    <n v="446"/>
    <s v="INTPG_VPC_444_1.2_446_1.2"/>
    <s v="ISEL-1.2"/>
    <n v="1"/>
    <s v="NO TIENE L3OUT"/>
    <n v="198"/>
    <n v="54"/>
  </r>
  <r>
    <n v="444"/>
    <x v="1"/>
    <x v="42"/>
    <s v="eth1/2"/>
    <x v="0"/>
    <x v="0"/>
    <x v="0"/>
    <s v="TO-ITHFHPNBURBKP03"/>
    <x v="0"/>
    <b v="0"/>
    <s v="No está en VPC"/>
    <n v="444"/>
    <s v="INTPG_VPC_444_1.2_446_1.2"/>
    <s v="ISEL-1.2"/>
    <n v="1"/>
    <s v="NO TIENE L3OUT"/>
    <n v="234"/>
    <n v="54"/>
  </r>
  <r>
    <n v="701"/>
    <x v="2"/>
    <x v="43"/>
    <s v="eth1/2"/>
    <x v="0"/>
    <x v="0"/>
    <x v="0"/>
    <m/>
    <x v="0"/>
    <b v="0"/>
    <s v="No está en VPC"/>
    <n v="701"/>
    <s v="INTPG_VPC_702_1.1_701_1.2"/>
    <s v="ISEL-1.2"/>
    <n v="1"/>
    <s v="NO TIENE L3OUT"/>
    <n v="0"/>
    <n v="54"/>
  </r>
  <r>
    <n v="440"/>
    <x v="1"/>
    <x v="44"/>
    <s v="eth1/2"/>
    <x v="0"/>
    <x v="0"/>
    <x v="0"/>
    <s v="CONECTIVIDAD_HUAWEI_CLOUD_SALA_2_gestion_client_LAG"/>
    <x v="1"/>
    <b v="0"/>
    <s v="No está en VPC"/>
    <n v="440"/>
    <s v="INTPG_VPC_440_1.1-2_442_1.1-2"/>
    <s v="ISEL-1.2"/>
    <n v="2"/>
    <s v="NO TIENE L3OUT"/>
    <n v="22"/>
    <n v="54"/>
  </r>
  <r>
    <n v="448"/>
    <x v="1"/>
    <x v="45"/>
    <s v="eth1/2"/>
    <x v="0"/>
    <x v="0"/>
    <x v="0"/>
    <s v="HUAWEI_CLOUD_FASE2_LAG1"/>
    <x v="0"/>
    <b v="0"/>
    <s v="No está en VPC"/>
    <n v="448"/>
    <s v="INTPG_VPC_431_1.1-2_448_1.1-2"/>
    <s v="ISEL-1.2"/>
    <n v="46"/>
    <s v="NO TIENE L3OUT"/>
    <n v="46"/>
    <n v="54"/>
  </r>
  <r>
    <n v="704"/>
    <x v="2"/>
    <x v="46"/>
    <s v="eth1/2"/>
    <x v="0"/>
    <x v="0"/>
    <x v="0"/>
    <m/>
    <x v="0"/>
    <b v="0"/>
    <s v="No está en VPC"/>
    <n v="704"/>
    <s v="INTPG_VPC_703_1.1_704_1.2"/>
    <s v="ISEL-1.2"/>
    <n v="1"/>
    <s v="NO TIENE L3OUT"/>
    <n v="0"/>
    <n v="54"/>
  </r>
  <r>
    <n v="729"/>
    <x v="2"/>
    <x v="47"/>
    <s v="eth1/2"/>
    <x v="0"/>
    <x v="0"/>
    <x v="0"/>
    <s v="eth-trunk-21"/>
    <x v="0"/>
    <b v="0"/>
    <s v="No está en VPC"/>
    <n v="729"/>
    <s v="INTPG_VPC_728_1.2-3_729_1.2-3"/>
    <s v="ISEL-1.2"/>
    <n v="10"/>
    <s v="NO TIENE L3OUT"/>
    <n v="4"/>
    <n v="54"/>
  </r>
  <r>
    <n v="728"/>
    <x v="2"/>
    <x v="48"/>
    <s v="eth1/2"/>
    <x v="0"/>
    <x v="0"/>
    <x v="0"/>
    <s v="eth-trunk-21"/>
    <x v="0"/>
    <b v="0"/>
    <s v="No está en VPC"/>
    <n v="728"/>
    <s v="INTPG_VPC_728_1.2-3_729_1.2-3"/>
    <s v="ISEL-1.2"/>
    <n v="10"/>
    <s v="NO TIENE L3OUT"/>
    <n v="2"/>
    <n v="54"/>
  </r>
  <r>
    <n v="456"/>
    <x v="1"/>
    <x v="49"/>
    <s v="eth1/2"/>
    <x v="0"/>
    <x v="0"/>
    <x v="0"/>
    <s v="HACIA_CSI-A-OSCP-F4-06_SECUNDARIO"/>
    <x v="4"/>
    <b v="0"/>
    <s v="No está en VPC"/>
    <n v="456"/>
    <s v="INTPG_VPC_454_1.2_456_1.2"/>
    <s v="ISEL-1.2"/>
    <n v="2"/>
    <s v="NO TIENE L3OUT"/>
    <n v="4"/>
    <n v="54"/>
  </r>
  <r>
    <n v="603"/>
    <x v="1"/>
    <x v="50"/>
    <s v="eth1/2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2"/>
    <x v="0"/>
    <x v="0"/>
    <x v="0"/>
    <s v="CRM, CBS:ITHHWBESRK11CH1:X2-10GE 1"/>
    <x v="0"/>
    <b v="0"/>
    <s v="No está en VPC"/>
    <n v="746"/>
    <s v="INTPG_VPC_745_1.2-3_746_1.2-3"/>
    <s v="ISEL-1.2"/>
    <n v="5"/>
    <s v="NO TIENE L3OUT"/>
    <n v="0"/>
    <n v="54"/>
  </r>
  <r>
    <n v="745"/>
    <x v="2"/>
    <x v="52"/>
    <s v="eth1/2"/>
    <x v="0"/>
    <x v="0"/>
    <x v="0"/>
    <s v="CRM, CBS:PR-R11-F08:X2-10GE 2"/>
    <x v="0"/>
    <b v="0"/>
    <s v="No está en VPC"/>
    <n v="745"/>
    <s v="INTPG_VPC_745_1.2-3_746_1.2-3"/>
    <s v="ISEL-1.2"/>
    <n v="5"/>
    <s v="NO TIENE L3OUT"/>
    <n v="0"/>
    <n v="54"/>
  </r>
  <r>
    <n v="730"/>
    <x v="2"/>
    <x v="53"/>
    <s v="eth1/2"/>
    <x v="0"/>
    <x v="0"/>
    <x v="0"/>
    <s v="eth-trunk11"/>
    <x v="0"/>
    <b v="0"/>
    <s v="No está en VPC"/>
    <n v="730"/>
    <s v="INTPG_VPC_730_1.2-3_731_1.2-3"/>
    <s v="ISEL-1.2"/>
    <n v="8"/>
    <s v="NO TIENE L3OUT"/>
    <n v="36"/>
    <n v="54"/>
  </r>
  <r>
    <n v="722"/>
    <x v="2"/>
    <x v="54"/>
    <s v="eth1/2"/>
    <x v="0"/>
    <x v="1"/>
    <x v="1"/>
    <m/>
    <x v="0"/>
    <b v="0"/>
    <s v="No está en VPC"/>
    <n v="722"/>
    <s v="INTPG-VPC_HDD120_723_1.1_722_1.2"/>
    <s v="ISEL-1.2"/>
    <n v="1"/>
    <s v="NO TIENE L3OUT"/>
    <n v="0"/>
    <n v="54"/>
  </r>
  <r>
    <n v="733"/>
    <x v="2"/>
    <x v="55"/>
    <s v="eth1/2"/>
    <x v="0"/>
    <x v="0"/>
    <x v="0"/>
    <s v="TO-TESTBED"/>
    <x v="0"/>
    <b v="0"/>
    <s v="No está en VPC"/>
    <n v="733"/>
    <s v="INTPG_VPC_732_1.2-3_733_1.2-3"/>
    <s v="ISEL-1.2"/>
    <n v="3"/>
    <s v="NO TIENE L3OUT"/>
    <n v="0"/>
    <n v="54"/>
  </r>
  <r>
    <n v="755"/>
    <x v="2"/>
    <x v="56"/>
    <s v="eth1/2"/>
    <x v="0"/>
    <x v="0"/>
    <x v="0"/>
    <s v="OSS F1:ithenmr06e2r9a:Bay1/X2"/>
    <x v="0"/>
    <b v="0"/>
    <s v="No está en VPC"/>
    <n v="755"/>
    <s v="INTPG_PC_755_1.1-2"/>
    <s v="ISEL-1.2"/>
    <n v="8"/>
    <s v="NO TIENE L3OUT"/>
    <n v="52"/>
    <n v="54"/>
  </r>
  <r>
    <n v="748"/>
    <x v="2"/>
    <x v="57"/>
    <s v="eth1/2"/>
    <x v="0"/>
    <x v="0"/>
    <x v="0"/>
    <s v="trunk12 Bes-Production"/>
    <x v="0"/>
    <b v="0"/>
    <s v="No está en VPC"/>
    <n v="748"/>
    <s v="INTPG_VPC_748_1.2_3_749_1.2_3"/>
    <s v="ISEL-1.2"/>
    <n v="6"/>
    <s v="NO TIENE L3OUT"/>
    <n v="2"/>
    <n v="54"/>
  </r>
  <r>
    <n v="756"/>
    <x v="2"/>
    <x v="58"/>
    <s v="eth1/2"/>
    <x v="0"/>
    <x v="0"/>
    <x v="0"/>
    <s v="OSS F1:ithenmr08bl01nas1r9a:PORT 2"/>
    <x v="0"/>
    <b v="0"/>
    <s v="No está en VPC"/>
    <n v="756"/>
    <s v="INTPG_PC_756_1.1-4"/>
    <s v="ISEL-1.2"/>
    <n v="1"/>
    <s v="NO TIENE L3OUT"/>
    <n v="64"/>
    <n v="54"/>
  </r>
  <r>
    <n v="754"/>
    <x v="2"/>
    <x v="59"/>
    <s v="eth1/2"/>
    <x v="0"/>
    <x v="0"/>
    <x v="0"/>
    <s v="OSS F1:ithenmr04bl03lms1r9b:PORT 2"/>
    <x v="0"/>
    <b v="0"/>
    <s v="No está en VPC"/>
    <n v="754"/>
    <s v="INTPG_ACC_754_1.2"/>
    <s v="ISEL-1.2"/>
    <n v="1"/>
    <s v="NO TIENE L3OUT"/>
    <n v="62"/>
    <n v="54"/>
  </r>
  <r>
    <n v="751"/>
    <x v="2"/>
    <x v="60"/>
    <s v="eth1/2"/>
    <x v="0"/>
    <x v="0"/>
    <x v="0"/>
    <s v="trunk16 Bes-Production"/>
    <x v="0"/>
    <b v="0"/>
    <s v="No está en VPC"/>
    <n v="751"/>
    <s v="INTPG_VPC_750_1.2_3_751_1.2_3"/>
    <s v="ISEL-1.2"/>
    <n v="6"/>
    <s v="NO TIENE L3OUT"/>
    <n v="0"/>
    <n v="54"/>
  </r>
  <r>
    <n v="769"/>
    <x v="2"/>
    <x v="61"/>
    <s v="eth1/2"/>
    <x v="0"/>
    <x v="0"/>
    <x v="0"/>
    <s v="Portchannel_3_R1"/>
    <x v="0"/>
    <b v="0"/>
    <s v="No está en VPC"/>
    <n v="769"/>
    <s v="INTPG_PC_769_1.1-2"/>
    <s v="ISEL-1.2"/>
    <n v="8"/>
    <s v="NO TIENE L3OUT"/>
    <n v="60"/>
    <n v="54"/>
  </r>
  <r>
    <n v="742"/>
    <x v="2"/>
    <x v="62"/>
    <s v="eth1/2"/>
    <x v="0"/>
    <x v="1"/>
    <x v="1"/>
    <s v="CEM:ITHCEMB2DAT01:FLEXIO P1"/>
    <x v="5"/>
    <b v="0"/>
    <s v="No está en VPC"/>
    <n v="742"/>
    <s v="INTPG_ACC_742_1.2"/>
    <s v="ISEL-1.2"/>
    <n v="1"/>
    <s v="NO TIENE L3OUT"/>
    <n v="64"/>
    <n v="54"/>
  </r>
  <r>
    <n v="763"/>
    <x v="2"/>
    <x v="63"/>
    <s v="eth1/2"/>
    <x v="0"/>
    <x v="0"/>
    <x v="0"/>
    <s v="PAAS:ithhwoscopap002:LOM PORT 3"/>
    <x v="0"/>
    <b v="0"/>
    <s v="No está en VPC"/>
    <n v="763"/>
    <s v="INTPG_VPC_762_1.2_763_1.2"/>
    <s v="ISEL-1.2"/>
    <n v="1"/>
    <s v="NO TIENE L3OUT"/>
    <n v="2"/>
    <n v="54"/>
  </r>
  <r>
    <n v="766"/>
    <x v="2"/>
    <x v="64"/>
    <s v="eth1/2"/>
    <x v="0"/>
    <x v="1"/>
    <x v="5"/>
    <s v="Portchannel_1_R6B"/>
    <x v="0"/>
    <b v="0"/>
    <s v="No está en VPC"/>
    <n v="766"/>
    <s v="INTPG_PC_766_1.1-4"/>
    <s v="ISEL-1.2"/>
    <n v="2"/>
    <s v="NO TIENE L3OUT"/>
    <n v="58"/>
    <n v="54"/>
  </r>
  <r>
    <n v="760"/>
    <x v="2"/>
    <x v="65"/>
    <s v="eth1/2"/>
    <x v="0"/>
    <x v="1"/>
    <x v="1"/>
    <m/>
    <x v="0"/>
    <b v="0"/>
    <s v="No está en VPC"/>
    <n v="760"/>
    <s v="INTPG_VPC_760_1.1-4_761_1.1-4"/>
    <s v="ISEL-1.2"/>
    <n v="0"/>
    <s v="L3OUT-EXACLOUD"/>
    <n v="0"/>
    <n v="54"/>
  </r>
  <r>
    <n v="752"/>
    <x v="2"/>
    <x v="66"/>
    <s v="eth1/2"/>
    <x v="0"/>
    <x v="0"/>
    <x v="0"/>
    <s v="PAAS:ithhwosstpap010:LOM PORT 3"/>
    <x v="0"/>
    <b v="0"/>
    <s v="No está en VPC"/>
    <n v="752"/>
    <s v="INTPG_VPC_747_1.2_752_1.2"/>
    <s v="ISEL-1.2"/>
    <n v="25"/>
    <s v="NO TIENE L3OUT"/>
    <n v="0"/>
    <n v="54"/>
  </r>
  <r>
    <n v="765"/>
    <x v="2"/>
    <x v="67"/>
    <s v="eth1/2"/>
    <x v="0"/>
    <x v="0"/>
    <x v="0"/>
    <s v="Portchannel_6_R6A"/>
    <x v="0"/>
    <b v="0"/>
    <s v="No está en VPC"/>
    <n v="765"/>
    <s v="INTPG_PC_765_1.1-4"/>
    <s v="ISEL-1.2"/>
    <n v="1"/>
    <s v="NO TIENE L3OUT"/>
    <n v="60"/>
    <n v="54"/>
  </r>
  <r>
    <n v="778"/>
    <x v="2"/>
    <x v="68"/>
    <s v="eth1/2"/>
    <x v="0"/>
    <x v="0"/>
    <x v="0"/>
    <s v="ENIQ F1:itheniqr07enclr2:BAY1/X2"/>
    <x v="0"/>
    <b v="0"/>
    <s v="No está en VPC"/>
    <n v="778"/>
    <s v="INTPG_PC_778_1.1-2"/>
    <s v="ISEL-1.2"/>
    <n v="3"/>
    <s v="NO TIENE L3OUT"/>
    <n v="26"/>
    <n v="54"/>
  </r>
  <r>
    <n v="780"/>
    <x v="2"/>
    <x v="69"/>
    <s v="eth1/2"/>
    <x v="0"/>
    <x v="0"/>
    <x v="0"/>
    <s v="LACP_VC1_ENIQ1"/>
    <x v="0"/>
    <b v="0"/>
    <s v="No está en VPC"/>
    <n v="780"/>
    <s v="INTPG_PC_780_1.1-2"/>
    <s v="ISEL-1.2"/>
    <n v="3"/>
    <s v="NO TIENE L3OUT"/>
    <n v="26"/>
    <n v="54"/>
  </r>
  <r>
    <n v="812"/>
    <x v="2"/>
    <x v="70"/>
    <s v="eth1/2"/>
    <x v="0"/>
    <x v="0"/>
    <x v="0"/>
    <s v="POWER_STORE_NAS_NODO_A"/>
    <x v="1"/>
    <b v="0"/>
    <s v="No está en VPC"/>
    <n v="812"/>
    <s v="INTPG_VPC_812_1.2_813_1.2"/>
    <s v="ISEL-1.2"/>
    <n v="11"/>
    <s v="NO TIENE L3OUT"/>
    <n v="0"/>
    <n v="54"/>
  </r>
  <r>
    <n v="796"/>
    <x v="2"/>
    <x v="71"/>
    <s v="eth1/2"/>
    <x v="0"/>
    <x v="0"/>
    <x v="0"/>
    <s v="TO_ITHFHWDCIMLAP03_REDUNDANTE"/>
    <x v="0"/>
    <b v="0"/>
    <s v="No está en VPC"/>
    <n v="796"/>
    <s v="INTPG_ACC_796_1.2"/>
    <s v="ISEL-1.2"/>
    <n v="1"/>
    <s v="NO TIENE L3OUT"/>
    <n v="18"/>
    <n v="54"/>
  </r>
  <r>
    <n v="795"/>
    <x v="2"/>
    <x v="72"/>
    <s v="eth1/2"/>
    <x v="0"/>
    <x v="0"/>
    <x v="0"/>
    <s v="TO_ITHFHWDCIMLAP03_OCP2.1"/>
    <x v="0"/>
    <b v="0"/>
    <s v="No está en VPC"/>
    <n v="795"/>
    <s v="INTPG_ACC_795_1.2"/>
    <s v="ISEL-1.2"/>
    <n v="1"/>
    <s v="NO TIENE L3OUT"/>
    <n v="18"/>
    <n v="54"/>
  </r>
  <r>
    <n v="749"/>
    <x v="2"/>
    <x v="73"/>
    <s v="eth1/2"/>
    <x v="0"/>
    <x v="0"/>
    <x v="0"/>
    <s v="trunk12 Bes-Production"/>
    <x v="0"/>
    <b v="0"/>
    <s v="No está en VPC"/>
    <n v="749"/>
    <s v="INTPG_VPC_748_1.2_3_749_1.2_3"/>
    <s v="ISEL-1.2"/>
    <n v="6"/>
    <s v="NO TIENE L3OUT"/>
    <n v="4"/>
    <n v="54"/>
  </r>
  <r>
    <n v="824"/>
    <x v="2"/>
    <x v="74"/>
    <s v="eth1/2"/>
    <x v="0"/>
    <x v="0"/>
    <x v="0"/>
    <s v="LINK_TO_ITHFHWCBSPSWR40 /Slot5.1 /Redundante"/>
    <x v="0"/>
    <b v="0"/>
    <s v="No está en VPC"/>
    <n v="824"/>
    <s v="INTPG_VPC_819_1.2_824_1.2"/>
    <s v="ISEL-1.2"/>
    <n v="1"/>
    <s v="NO TIENE L3OUT"/>
    <n v="70"/>
    <n v="54"/>
  </r>
  <r>
    <n v="819"/>
    <x v="2"/>
    <x v="75"/>
    <s v="eth1/2"/>
    <x v="0"/>
    <x v="0"/>
    <x v="0"/>
    <s v="LINK_TO_ITHFHWCBSPSWR40 /10GE.1 /Principal"/>
    <x v="0"/>
    <b v="0"/>
    <s v="No está en VPC"/>
    <n v="819"/>
    <s v="INTPG_VPC_819_1.2_824_1.2"/>
    <s v="ISEL-1.2"/>
    <n v="1"/>
    <s v="NO TIENE L3OUT"/>
    <n v="70"/>
    <n v="54"/>
  </r>
  <r>
    <n v="737"/>
    <x v="2"/>
    <x v="76"/>
    <s v="eth1/2"/>
    <x v="0"/>
    <x v="0"/>
    <x v="0"/>
    <s v="CEM:ITHCEME2DAT01:FLEXIO P1"/>
    <x v="5"/>
    <b v="0"/>
    <s v="No está en VPC"/>
    <n v="737"/>
    <s v="INTPG_ACC_737_1.2"/>
    <s v="ISEL-1.2"/>
    <n v="1"/>
    <s v="NO TIENE L3OUT"/>
    <n v="72"/>
    <n v="54"/>
  </r>
  <r>
    <n v="844"/>
    <x v="2"/>
    <x v="77"/>
    <s v="eth1/2"/>
    <x v="0"/>
    <x v="0"/>
    <x v="0"/>
    <s v="LINK_TO_ITHFHWCRMPLCN101 / Slot1.2_6 / Principal"/>
    <x v="0"/>
    <b v="0"/>
    <s v="No está en VPC"/>
    <n v="844"/>
    <s v="INTPG_ACC_844_1.2"/>
    <s v="ISEL-1.2"/>
    <n v="2"/>
    <s v="NO TIENE L3OUT"/>
    <n v="282"/>
    <n v="54"/>
  </r>
  <r>
    <n v="843"/>
    <x v="2"/>
    <x v="78"/>
    <s v="eth1/2"/>
    <x v="0"/>
    <x v="0"/>
    <x v="0"/>
    <s v="LINK_To_ITHFHWCBSPSHD24 / Slot7.3_24 / Redundante"/>
    <x v="0"/>
    <b v="0"/>
    <s v="No está en VPC"/>
    <n v="843"/>
    <s v="INTPG_VPC_838_1.2_843_1.2"/>
    <s v="ISEL-1.2"/>
    <n v="1"/>
    <s v="NO TIENE L3OUT"/>
    <n v="38"/>
    <n v="54"/>
  </r>
  <r>
    <n v="797"/>
    <x v="2"/>
    <x v="79"/>
    <s v="eth1/2"/>
    <x v="0"/>
    <x v="0"/>
    <x v="0"/>
    <s v="TO-HDPS_04-MSP"/>
    <x v="0"/>
    <b v="0"/>
    <s v="No está en VPC"/>
    <n v="797"/>
    <s v="INTPG_ACC_797_1.2"/>
    <s v="ISEL-1.2"/>
    <n v="1"/>
    <s v="NO TIENE L3OUT"/>
    <n v="48"/>
    <n v="54"/>
  </r>
  <r>
    <n v="839"/>
    <x v="2"/>
    <x v="80"/>
    <s v="eth1/2"/>
    <x v="0"/>
    <x v="0"/>
    <x v="0"/>
    <s v="LINK_TO_ITHFHWCBSPSHD43 / Slot7.2_4 / Redundante"/>
    <x v="0"/>
    <b v="0"/>
    <s v="No está en VPC"/>
    <n v="839"/>
    <s v="INTPG_VPC_834_1.2_839_1.2"/>
    <s v="ISEL-1.2"/>
    <n v="1"/>
    <s v="NO TIENE L3OUT"/>
    <n v="0"/>
    <n v="54"/>
  </r>
  <r>
    <n v="847"/>
    <x v="2"/>
    <x v="81"/>
    <s v="eth1/2"/>
    <x v="0"/>
    <x v="0"/>
    <x v="0"/>
    <s v="LINK_TO_ITHFHWCRMPSBDA05 / Slot1.2_4 / Principal"/>
    <x v="0"/>
    <b v="0"/>
    <s v="No está en VPC"/>
    <n v="847"/>
    <s v="INTPG_VPC_847_1.2_854_1.2"/>
    <s v="ISEL-1.2"/>
    <n v="2"/>
    <s v="NO TIENE L3OUT"/>
    <n v="204"/>
    <n v="54"/>
  </r>
  <r>
    <n v="848"/>
    <x v="2"/>
    <x v="82"/>
    <s v="eth1/2"/>
    <x v="0"/>
    <x v="0"/>
    <x v="0"/>
    <s v="LINK_TO_ITHFHWCRMPLCN155 / Slot7.1_12 / Redundante"/>
    <x v="0"/>
    <b v="0"/>
    <s v="No está en VPC"/>
    <n v="848"/>
    <s v="INTPG_ACC_848_1.2"/>
    <s v="ISEL-1.2"/>
    <n v="6"/>
    <s v="NO TIENE L3OUT"/>
    <n v="254"/>
    <n v="54"/>
  </r>
  <r>
    <n v="846"/>
    <x v="2"/>
    <x v="83"/>
    <s v="eth1/2"/>
    <x v="0"/>
    <x v="0"/>
    <x v="0"/>
    <s v="VPC_2DCRMP_BDP05_3"/>
    <x v="0"/>
    <b v="0"/>
    <s v="No está en VPC"/>
    <n v="846"/>
    <s v="INTPG_VPC_846_1.2_853_1.2"/>
    <s v="ISEL-1.2"/>
    <n v="1"/>
    <s v="NO TIENE L3OUT"/>
    <n v="242"/>
    <n v="54"/>
  </r>
  <r>
    <n v="838"/>
    <x v="2"/>
    <x v="84"/>
    <s v="eth1/2"/>
    <x v="0"/>
    <x v="0"/>
    <x v="0"/>
    <s v="LINK_To_ITHFHWCBSPSHD24 / Slot1.3_24 / Principal"/>
    <x v="0"/>
    <b v="0"/>
    <s v="No está en VPC"/>
    <n v="838"/>
    <s v="INTPG_VPC_838_1.2_843_1.2"/>
    <s v="ISEL-1.2"/>
    <n v="1"/>
    <s v="NO TIENE L3OUT"/>
    <n v="38"/>
    <n v="54"/>
  </r>
  <r>
    <n v="849"/>
    <x v="2"/>
    <x v="85"/>
    <s v="eth1/2"/>
    <x v="0"/>
    <x v="0"/>
    <x v="0"/>
    <s v="LINK_TO_ITHFHWCRMPLCN135 / Slot7.1_4 / Redundante"/>
    <x v="0"/>
    <b v="0"/>
    <s v="No está en VPC"/>
    <n v="849"/>
    <s v="INTPG_ACC_849_1.2"/>
    <s v="ISEL-1.2"/>
    <n v="6"/>
    <s v="NO TIENE L3OUT"/>
    <n v="286"/>
    <n v="54"/>
  </r>
  <r>
    <n v="845"/>
    <x v="2"/>
    <x v="86"/>
    <s v="eth1/2"/>
    <x v="0"/>
    <x v="0"/>
    <x v="0"/>
    <s v="LINK_TO_ITHFHWCRMPLCN116 / Slot1.3_36 / Principal"/>
    <x v="0"/>
    <b v="0"/>
    <s v="No está en VPC"/>
    <n v="845"/>
    <s v="INTPG_ACC_845_1.2"/>
    <s v="ISEL-1.2"/>
    <n v="1"/>
    <s v="NO TIENE L3OUT"/>
    <n v="258"/>
    <n v="54"/>
  </r>
  <r>
    <n v="873"/>
    <x v="2"/>
    <x v="87"/>
    <s v="eth1/2"/>
    <x v="0"/>
    <x v="0"/>
    <x v="0"/>
    <s v="TO_ITHFHWCRMDLCN53_Principal"/>
    <x v="0"/>
    <b v="0"/>
    <s v="No está en VPC"/>
    <n v="873"/>
    <s v="INTPG_ACC_873_1.2"/>
    <s v="ISEL-1.2"/>
    <n v="1"/>
    <s v="NO TIENE L3OUT"/>
    <n v="248"/>
    <n v="54"/>
  </r>
  <r>
    <n v="864"/>
    <x v="2"/>
    <x v="88"/>
    <s v="eth1/2"/>
    <x v="0"/>
    <x v="0"/>
    <x v="0"/>
    <s v="To_VPC_2DCBSD_HD31_2"/>
    <x v="0"/>
    <b v="0"/>
    <s v="No está en VPC"/>
    <n v="864"/>
    <s v="INTPG_VPC_859_1.2_864_1.2"/>
    <s v="ISEL-1.2"/>
    <n v="1"/>
    <s v="NO TIENE L3OUT"/>
    <n v="0"/>
    <n v="54"/>
  </r>
  <r>
    <n v="836"/>
    <x v="2"/>
    <x v="89"/>
    <s v="eth1/2"/>
    <x v="0"/>
    <x v="0"/>
    <x v="0"/>
    <s v="LINK_TO_ITHFHWCBSPSUSBD33 / Slot1.1_6 / Principal"/>
    <x v="0"/>
    <b v="0"/>
    <s v="No está en VPC"/>
    <n v="836"/>
    <s v="INTPG_VPC_836_1.2_841_1.2"/>
    <s v="ISEL-1.2"/>
    <n v="2"/>
    <s v="NO TIENE L3OUT"/>
    <n v="0"/>
    <n v="54"/>
  </r>
  <r>
    <n v="834"/>
    <x v="2"/>
    <x v="90"/>
    <s v="eth1/2"/>
    <x v="0"/>
    <x v="0"/>
    <x v="0"/>
    <s v="LINK_TO_ITHFHWCBSPSHD43 / Slot1.2_4 / Principal"/>
    <x v="0"/>
    <b v="0"/>
    <s v="No está en VPC"/>
    <n v="834"/>
    <s v="INTPG_VPC_834_1.2_839_1.2"/>
    <s v="ISEL-1.2"/>
    <n v="1"/>
    <s v="NO TIENE L3OUT"/>
    <n v="0"/>
    <n v="54"/>
  </r>
  <r>
    <n v="872"/>
    <x v="2"/>
    <x v="91"/>
    <s v="eth1/2"/>
    <x v="0"/>
    <x v="0"/>
    <x v="0"/>
    <s v="To_ITHFHWCRMDLCN69_Principal"/>
    <x v="0"/>
    <b v="0"/>
    <s v="No está en VPC"/>
    <n v="872"/>
    <s v="INTPG_ACC_872_1.2"/>
    <s v="ISEL-1.2"/>
    <n v="1"/>
    <s v="NO TIENE L3OUT"/>
    <n v="288"/>
    <n v="54"/>
  </r>
  <r>
    <n v="842"/>
    <x v="2"/>
    <x v="92"/>
    <s v="eth1/2"/>
    <x v="0"/>
    <x v="0"/>
    <x v="0"/>
    <s v="LINK_TO_ITHFHWCBSPSHDCTL05 / Slot7.1_12 / Redundante"/>
    <x v="0"/>
    <b v="0"/>
    <s v="No está en VPC"/>
    <n v="842"/>
    <s v="INTPG_VPC_837_1.2_842_1.2"/>
    <s v="ISEL-1.2"/>
    <n v="2"/>
    <s v="NO TIENE L3OUT"/>
    <n v="8"/>
    <n v="54"/>
  </r>
  <r>
    <n v="828"/>
    <x v="2"/>
    <x v="93"/>
    <s v="eth1/2"/>
    <x v="0"/>
    <x v="0"/>
    <x v="0"/>
    <s v="LINK_TO_ITHFHWCBSDSWR32 /10GE.1 /Principal"/>
    <x v="0"/>
    <b v="0"/>
    <s v="No está en VPC"/>
    <n v="828"/>
    <s v="INTPG_VPC_828_1.2_832_1.2"/>
    <s v="ISEL-1.2"/>
    <n v="1"/>
    <s v="NO TIENE L3OUT"/>
    <n v="192"/>
    <n v="54"/>
  </r>
  <r>
    <n v="870"/>
    <x v="2"/>
    <x v="94"/>
    <s v="eth1/2"/>
    <x v="0"/>
    <x v="0"/>
    <x v="0"/>
    <s v="TO_ITHFHWCRMDLCN53_Redundante"/>
    <x v="0"/>
    <b v="0"/>
    <s v="No está en VPC"/>
    <n v="870"/>
    <s v="INTPG_ACC_870_1.2"/>
    <s v="ISEL-1.2"/>
    <n v="1"/>
    <s v="NO TIENE L3OUT"/>
    <n v="248"/>
    <n v="54"/>
  </r>
  <r>
    <n v="866"/>
    <x v="2"/>
    <x v="95"/>
    <s v="eth1/2"/>
    <x v="0"/>
    <x v="0"/>
    <x v="0"/>
    <s v="To_VPC_2DCBSD_WR42_2"/>
    <x v="0"/>
    <b v="0"/>
    <s v="No está en VPC"/>
    <n v="866"/>
    <s v="INTPG_VPC_861_1.2_866_1.2"/>
    <s v="ISEL-1.2"/>
    <n v="1"/>
    <s v="NO TIENE L3OUT"/>
    <n v="8"/>
    <n v="54"/>
  </r>
  <r>
    <n v="862"/>
    <x v="2"/>
    <x v="96"/>
    <s v="eth1/2"/>
    <x v="0"/>
    <x v="0"/>
    <x v="0"/>
    <s v="To_VPC_2DCBSD_WR38_1"/>
    <x v="0"/>
    <b v="0"/>
    <s v="No está en VPC"/>
    <n v="862"/>
    <s v="INTPG_VPC_862_1.2_867_1.2"/>
    <s v="ISEL-1.2"/>
    <n v="2"/>
    <s v="NO TIENE L3OUT"/>
    <n v="44"/>
    <n v="54"/>
  </r>
  <r>
    <n v="855"/>
    <x v="2"/>
    <x v="97"/>
    <s v="eth1/2"/>
    <x v="0"/>
    <x v="0"/>
    <x v="0"/>
    <s v="LINK_TO_ITHFHWCRMPLCN155 / Slot1.1_12 / Principal"/>
    <x v="0"/>
    <b v="0"/>
    <s v="No está en VPC"/>
    <n v="855"/>
    <s v="INTPG_ACC_855_1.2"/>
    <s v="ISEL-1.2"/>
    <n v="6"/>
    <s v="NO TIENE L3OUT"/>
    <n v="254"/>
    <n v="54"/>
  </r>
  <r>
    <n v="871"/>
    <x v="2"/>
    <x v="98"/>
    <s v="eth1/2"/>
    <x v="0"/>
    <x v="0"/>
    <x v="0"/>
    <s v="TO_ITHFHWCRMDLCN81_Principal"/>
    <x v="0"/>
    <b v="0"/>
    <s v="No está en VPC"/>
    <n v="871"/>
    <s v="INTPG_ACC_871_1.2"/>
    <s v="ISEL-1.2"/>
    <n v="2"/>
    <s v="NO TIENE L3OUT"/>
    <n v="246"/>
    <n v="54"/>
  </r>
  <r>
    <n v="841"/>
    <x v="2"/>
    <x v="99"/>
    <s v="eth1/2"/>
    <x v="0"/>
    <x v="0"/>
    <x v="0"/>
    <s v="LINK_TO_ITHFHWCBSPSUSBD33 / Slot7.1_6 / Redundante"/>
    <x v="0"/>
    <b v="0"/>
    <s v="No está en VPC"/>
    <n v="841"/>
    <s v="INTPG_VPC_836_1.2_841_1.2"/>
    <s v="ISEL-1.2"/>
    <n v="2"/>
    <s v="NO TIENE L3OUT"/>
    <n v="0"/>
    <n v="54"/>
  </r>
  <r>
    <n v="868"/>
    <x v="2"/>
    <x v="100"/>
    <s v="eth1/2"/>
    <x v="0"/>
    <x v="0"/>
    <x v="0"/>
    <s v="TO_ITHFHWCRMDLCN81_Redundante"/>
    <x v="0"/>
    <b v="0"/>
    <s v="No está en VPC"/>
    <n v="868"/>
    <s v="INTPG_ACC_868_1.2"/>
    <s v="ISEL-1.2"/>
    <n v="2"/>
    <s v="NO TIENE L3OUT"/>
    <n v="246"/>
    <n v="54"/>
  </r>
  <r>
    <n v="869"/>
    <x v="2"/>
    <x v="101"/>
    <s v="eth1/2"/>
    <x v="0"/>
    <x v="0"/>
    <x v="0"/>
    <s v="To_ITHFHWCRMDLCN69_Redundante"/>
    <x v="0"/>
    <b v="0"/>
    <s v="No está en VPC"/>
    <n v="869"/>
    <s v="INTPG_ACC_869_1.2"/>
    <s v="ISEL-1.2"/>
    <n v="1"/>
    <s v="NO TIENE L3OUT"/>
    <n v="288"/>
    <n v="54"/>
  </r>
  <r>
    <n v="861"/>
    <x v="2"/>
    <x v="102"/>
    <s v="eth1/2"/>
    <x v="0"/>
    <x v="0"/>
    <x v="0"/>
    <s v="To_VPC_2DCBSD_WR42_2"/>
    <x v="0"/>
    <b v="0"/>
    <s v="No está en VPC"/>
    <n v="861"/>
    <s v="INTPG_VPC_861_1.2_866_1.2"/>
    <s v="ISEL-1.2"/>
    <n v="1"/>
    <s v="NO TIENE L3OUT"/>
    <n v="8"/>
    <n v="54"/>
  </r>
  <r>
    <n v="874"/>
    <x v="2"/>
    <x v="103"/>
    <s v="eth1/2"/>
    <x v="0"/>
    <x v="0"/>
    <x v="0"/>
    <s v="LINK_TO_ITHFHWSEQLHDPS71 / Slot 5 PTO 1 / Redundante"/>
    <x v="4"/>
    <b v="0"/>
    <s v="No está en VPC"/>
    <n v="874"/>
    <s v="INTPG_ACC_874_1.2"/>
    <s v="ISEL-1.2"/>
    <n v="1"/>
    <s v="NO TIENE L3OUT"/>
    <n v="92"/>
    <n v="54"/>
  </r>
  <r>
    <n v="865"/>
    <x v="2"/>
    <x v="104"/>
    <s v="eth1/2"/>
    <x v="0"/>
    <x v="0"/>
    <x v="0"/>
    <s v="To_VPC_2DCBSD_WR52_2"/>
    <x v="0"/>
    <b v="0"/>
    <s v="No está en VPC"/>
    <n v="865"/>
    <s v="INTPG_VPC_860_1.2_865_1.2"/>
    <s v="ISEL-1.2"/>
    <n v="1"/>
    <s v="NO TIENE L3OUT"/>
    <n v="0"/>
    <n v="54"/>
  </r>
  <r>
    <n v="753"/>
    <x v="2"/>
    <x v="105"/>
    <s v="eth1/2"/>
    <x v="0"/>
    <x v="0"/>
    <x v="0"/>
    <s v="OSS F1:ithenmr03bl01nas1r9c:PORT 2"/>
    <x v="0"/>
    <b v="0"/>
    <s v="No está en VPC"/>
    <n v="753"/>
    <s v="INTPG_PC_753_1.1-4"/>
    <s v="ISEL-1.2"/>
    <n v="1"/>
    <s v="NO TIENE L3OUT"/>
    <n v="62"/>
    <n v="54"/>
  </r>
  <r>
    <n v="708"/>
    <x v="2"/>
    <x v="106"/>
    <s v="eth1/2"/>
    <x v="0"/>
    <x v="1"/>
    <x v="5"/>
    <s v="CEM:ITHCEME2DAT01:LOM  P2"/>
    <x v="0"/>
    <b v="0"/>
    <s v="No está en VPC"/>
    <n v="708"/>
    <s v="INTPG_VPC_708_1.2_709_1.1"/>
    <s v="ISEL-1.2"/>
    <n v="1"/>
    <s v="NO TIENE L3OUT"/>
    <n v="0"/>
    <n v="54"/>
  </r>
  <r>
    <n v="710"/>
    <x v="2"/>
    <x v="107"/>
    <s v="eth1/2"/>
    <x v="0"/>
    <x v="0"/>
    <x v="0"/>
    <s v="CEM:ITHCEMC2DAT01:LOM  P2"/>
    <x v="0"/>
    <b v="0"/>
    <s v="No está en VPC"/>
    <n v="710"/>
    <s v="INTPG_ACC_710_1.2"/>
    <s v="ISEL-1.2"/>
    <n v="1"/>
    <s v="NO TIENE L3OUT"/>
    <n v="16"/>
    <n v="54"/>
  </r>
  <r>
    <n v="713"/>
    <x v="2"/>
    <x v="108"/>
    <s v="eth1/2"/>
    <x v="0"/>
    <x v="0"/>
    <x v="0"/>
    <s v="CEM:ITHCEMB2DAT01:LOM  P2"/>
    <x v="0"/>
    <b v="0"/>
    <s v="No está en VPC"/>
    <n v="713"/>
    <s v="INTPG_ACC_713_1.2"/>
    <s v="ISEL-1.2"/>
    <n v="1"/>
    <s v="NO TIENE L3OUT"/>
    <n v="32"/>
    <n v="54"/>
  </r>
  <r>
    <n v="735"/>
    <x v="2"/>
    <x v="109"/>
    <s v="eth1/2"/>
    <x v="0"/>
    <x v="0"/>
    <x v="0"/>
    <s v="CEM_HADOOP"/>
    <x v="5"/>
    <b v="0"/>
    <s v="No está en VPC"/>
    <n v="735"/>
    <s v="INTPG_ACC_735_1.2"/>
    <s v="ISEL-1.2"/>
    <n v="1"/>
    <s v="NO TIENE L3OUT"/>
    <n v="34"/>
    <n v="54"/>
  </r>
  <r>
    <n v="731"/>
    <x v="2"/>
    <x v="110"/>
    <s v="eth1/2"/>
    <x v="0"/>
    <x v="0"/>
    <x v="0"/>
    <s v="eth-trunk11"/>
    <x v="0"/>
    <b v="0"/>
    <s v="No está en VPC"/>
    <n v="731"/>
    <s v="INTPG_VPC_730_1.2-3_731_1.2-3"/>
    <s v="ISEL-1.2"/>
    <n v="8"/>
    <s v="NO TIENE L3OUT"/>
    <n v="38"/>
    <n v="54"/>
  </r>
  <r>
    <n v="703"/>
    <x v="2"/>
    <x v="111"/>
    <s v="eth1/2"/>
    <x v="0"/>
    <x v="0"/>
    <x v="0"/>
    <m/>
    <x v="0"/>
    <b v="0"/>
    <s v="No está en VPC"/>
    <n v="703"/>
    <s v="INTPG_VPC_704_1.1_703_1.2"/>
    <s v="ISEL-1.2"/>
    <n v="1"/>
    <s v="NO TIENE L3OUT"/>
    <n v="2"/>
    <n v="54"/>
  </r>
  <r>
    <n v="706"/>
    <x v="2"/>
    <x v="112"/>
    <s v="eth1/2"/>
    <x v="0"/>
    <x v="0"/>
    <x v="0"/>
    <m/>
    <x v="0"/>
    <b v="0"/>
    <s v="No está en VPC"/>
    <n v="706"/>
    <s v="INTPG_VPC_705_1.1_706_1.2"/>
    <s v="ISEL-1.2"/>
    <n v="2"/>
    <s v="NO TIENE L3OUT"/>
    <n v="16"/>
    <n v="54"/>
  </r>
  <r>
    <n v="762"/>
    <x v="2"/>
    <x v="113"/>
    <s v="eth1/2"/>
    <x v="0"/>
    <x v="0"/>
    <x v="0"/>
    <s v="PAAS:ithhwoscopap002:FlexIO.1"/>
    <x v="0"/>
    <b v="0"/>
    <s v="No está en VPC"/>
    <n v="762"/>
    <s v="INTPG_VPC_762_1.2_763_1.2"/>
    <s v="ISEL-1.2"/>
    <n v="1"/>
    <s v="NO TIENE L3OUT"/>
    <n v="0"/>
    <n v="54"/>
  </r>
  <r>
    <n v="814"/>
    <x v="2"/>
    <x v="114"/>
    <s v="eth1/2"/>
    <x v="0"/>
    <x v="0"/>
    <x v="0"/>
    <s v="LINK_TO_9S_BESPR_IXTLA3_1/40GE.4/Principal"/>
    <x v="2"/>
    <b v="0"/>
    <s v="No está en VPC"/>
    <n v="814"/>
    <s v="INTPG_VPC_814_1.1-2_815_1.1-2"/>
    <s v="ISEL-1.2"/>
    <n v="20"/>
    <s v="NO TIENE L3OUT"/>
    <n v="0"/>
    <n v="42"/>
  </r>
  <r>
    <n v="878"/>
    <x v="2"/>
    <x v="115"/>
    <s v="eth1/2"/>
    <x v="0"/>
    <x v="0"/>
    <x v="0"/>
    <s v="HACIA_CSI-A-OSCP-F4-10_PRINCIPAL"/>
    <x v="4"/>
    <b v="0"/>
    <s v="No está en VPC"/>
    <n v="878"/>
    <s v="INTPG_VPC_878_1.2_879_1.2"/>
    <s v="ISEL-1.2"/>
    <n v="2"/>
    <s v="NO TIENE L3OUT"/>
    <n v="0"/>
    <n v="54"/>
  </r>
  <r>
    <n v="826"/>
    <x v="2"/>
    <x v="116"/>
    <s v="eth1/2"/>
    <x v="0"/>
    <x v="0"/>
    <x v="0"/>
    <s v="LINK_TO_ITHFHWCBSDSUSBD04 /10GE.1 /Principal"/>
    <x v="0"/>
    <b v="0"/>
    <s v="No está en VPC"/>
    <n v="826"/>
    <s v="INTPG_VPC_826_1.2_830_1.2"/>
    <s v="ISEL-1.2"/>
    <n v="1"/>
    <s v="NO TIENE L3OUT"/>
    <n v="12"/>
    <n v="54"/>
  </r>
  <r>
    <n v="726"/>
    <x v="2"/>
    <x v="117"/>
    <s v="eth1/2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2"/>
    <x v="0"/>
    <x v="0"/>
    <x v="0"/>
    <s v="CEM:ITHCEMD2DAT01:FLEXIO P1"/>
    <x v="5"/>
    <b v="0"/>
    <s v="No está en VPC"/>
    <n v="740"/>
    <s v="INTPG_ACC_740_1.2"/>
    <s v="ISEL-1.2"/>
    <n v="1"/>
    <s v="NO TIENE L3OUT"/>
    <n v="72"/>
    <n v="54"/>
  </r>
  <r>
    <n v="705"/>
    <x v="2"/>
    <x v="119"/>
    <s v="eth1/2"/>
    <x v="0"/>
    <x v="0"/>
    <x v="0"/>
    <s v="ITHCEMA1DAT01-LOM-P2"/>
    <x v="0"/>
    <b v="0"/>
    <s v="No está en VPC"/>
    <n v="705"/>
    <s v="INTPG_ACC_705_1.2"/>
    <s v="ISEL-1.2"/>
    <n v="1"/>
    <s v="NO TIENE L3OUT"/>
    <n v="16"/>
    <n v="54"/>
  </r>
  <r>
    <n v="723"/>
    <x v="2"/>
    <x v="120"/>
    <s v="eth1/2"/>
    <x v="0"/>
    <x v="0"/>
    <x v="0"/>
    <m/>
    <x v="0"/>
    <b v="0"/>
    <s v="No está en VPC"/>
    <n v="723"/>
    <s v="INTPG-VPC_HDD133_722_1.1_723_1.2"/>
    <s v="ISEL-1.2"/>
    <n v="1"/>
    <s v="NO TIENE L3OUT"/>
    <n v="0"/>
    <n v="54"/>
  </r>
  <r>
    <n v="721"/>
    <x v="2"/>
    <x v="121"/>
    <s v="eth1/2"/>
    <x v="0"/>
    <x v="0"/>
    <x v="0"/>
    <m/>
    <x v="0"/>
    <b v="0"/>
    <s v="No está en VPC"/>
    <n v="721"/>
    <s v="INTPG-VPC_HDD60_714_1.1_721_1.2"/>
    <s v="ISEL-1.2"/>
    <n v="2"/>
    <s v="NO TIENE L3OUT"/>
    <n v="20"/>
    <n v="54"/>
  </r>
  <r>
    <n v="788"/>
    <x v="2"/>
    <x v="122"/>
    <s v="eth1/2"/>
    <x v="0"/>
    <x v="0"/>
    <x v="0"/>
    <s v="U2020:ITHHWUMT06SW03:10GE1/0/43"/>
    <x v="0"/>
    <b v="0"/>
    <s v="No está en VPC"/>
    <n v="788"/>
    <s v="INTPG_VPC_788_1.1-2_789_1.1-2"/>
    <s v="ISEL-1.2"/>
    <n v="1"/>
    <s v="NO TIENE L3OUT"/>
    <n v="4"/>
    <n v="54"/>
  </r>
  <r>
    <n v="732"/>
    <x v="2"/>
    <x v="123"/>
    <s v="eth1/2"/>
    <x v="0"/>
    <x v="0"/>
    <x v="0"/>
    <s v="TO-TESTBED"/>
    <x v="0"/>
    <b v="0"/>
    <s v="No está en VPC"/>
    <n v="732"/>
    <s v="INTPG_VPC_732_1.2-3_733_1.2-3"/>
    <s v="ISEL-1.2"/>
    <n v="3"/>
    <s v="NO TIENE L3OUT"/>
    <n v="0"/>
    <n v="54"/>
  </r>
  <r>
    <n v="720"/>
    <x v="2"/>
    <x v="124"/>
    <s v="eth1/2"/>
    <x v="0"/>
    <x v="0"/>
    <x v="0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2"/>
    <x v="0"/>
    <x v="1"/>
    <x v="5"/>
    <s v="CEM:ITHCEMF2DAT01:LOM  P2"/>
    <x v="0"/>
    <b v="0"/>
    <s v="No está en VPC"/>
    <n v="709"/>
    <s v="INTPG_VPC_708_1.1_709_1.2"/>
    <s v="ISEL-1.2"/>
    <n v="1"/>
    <s v="NO TIENE L3OUT"/>
    <n v="0"/>
    <n v="54"/>
  </r>
  <r>
    <n v="454"/>
    <x v="1"/>
    <x v="126"/>
    <s v="eth1/2"/>
    <x v="0"/>
    <x v="0"/>
    <x v="0"/>
    <s v="HACIA_CSI-A-OSCP-F4-06_PRINCIPAL"/>
    <x v="4"/>
    <b v="0"/>
    <s v="No está en VPC"/>
    <n v="454"/>
    <s v="INTPG_VPC_454_1.2_456_1.2"/>
    <s v="ISEL-1.2"/>
    <n v="2"/>
    <s v="NO TIENE L3OUT"/>
    <n v="4"/>
    <n v="54"/>
  </r>
  <r>
    <n v="734"/>
    <x v="2"/>
    <x v="127"/>
    <s v="eth1/2"/>
    <x v="0"/>
    <x v="1"/>
    <x v="1"/>
    <s v="CEM:ITHCEMA1DAT01:FLEXIO P1"/>
    <x v="5"/>
    <b v="0"/>
    <s v="No está en VPC"/>
    <n v="734"/>
    <s v="INTPG_ACC_734_1.2"/>
    <s v="ISEL-1.2"/>
    <n v="1"/>
    <s v="NO TIENE L3OUT"/>
    <n v="32"/>
    <n v="54"/>
  </r>
  <r>
    <n v="815"/>
    <x v="2"/>
    <x v="128"/>
    <s v="eth1/2"/>
    <x v="0"/>
    <x v="0"/>
    <x v="0"/>
    <s v="LINK_TO_9S_BESPR_IXTLA3_2/40GE.4/Redundante"/>
    <x v="2"/>
    <b v="0"/>
    <s v="No está en VPC"/>
    <n v="815"/>
    <s v="INTPG_VPC_814_1.1-2_815_1.1-2"/>
    <s v="ISEL-1.2"/>
    <n v="20"/>
    <s v="NO TIENE L3OUT"/>
    <n v="0"/>
    <n v="42"/>
  </r>
  <r>
    <n v="743"/>
    <x v="2"/>
    <x v="129"/>
    <s v="eth1/2"/>
    <x v="0"/>
    <x v="0"/>
    <x v="0"/>
    <s v="trunk20 Bes-Production"/>
    <x v="0"/>
    <b v="0"/>
    <s v="No está en VPC"/>
    <n v="743"/>
    <s v="INTPG_VPC_743_1.2_3_744_1.2_3"/>
    <s v="ISEL-1.2"/>
    <n v="5"/>
    <s v="NO TIENE L3OUT"/>
    <n v="4"/>
    <n v="54"/>
  </r>
  <r>
    <n v="718"/>
    <x v="2"/>
    <x v="130"/>
    <s v="eth1/2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2"/>
    <x v="0"/>
    <x v="0"/>
    <x v="0"/>
    <s v="trunk20 Bes-Production"/>
    <x v="0"/>
    <b v="0"/>
    <s v="No está en VPC"/>
    <n v="744"/>
    <s v="INTPG_VPC_743_1.2_3_744_1.2_3"/>
    <s v="ISEL-1.2"/>
    <n v="5"/>
    <s v="NO TIENE L3OUT"/>
    <n v="4"/>
    <n v="54"/>
  </r>
  <r>
    <n v="741"/>
    <x v="2"/>
    <x v="132"/>
    <s v="eth1/2"/>
    <x v="0"/>
    <x v="1"/>
    <x v="1"/>
    <s v="CEM:ITHCEMA2DAT01:FLEXIO P1"/>
    <x v="5"/>
    <b v="0"/>
    <s v="No está en VPC"/>
    <n v="741"/>
    <s v="INTPG_ACC_741_1.2"/>
    <s v="ISEL-1.2"/>
    <n v="1"/>
    <s v="NO TIENE L3OUT"/>
    <n v="62"/>
    <n v="54"/>
  </r>
  <r>
    <n v="787"/>
    <x v="2"/>
    <x v="133"/>
    <s v="eth1/2"/>
    <x v="0"/>
    <x v="0"/>
    <x v="0"/>
    <s v="ENIQ F2:itheniqr16e1r4a:BAY1/X2"/>
    <x v="0"/>
    <b v="0"/>
    <s v="No está en VPC"/>
    <n v="787"/>
    <s v="INTPG_PC_787_1.1-2"/>
    <s v="ISEL-1.2"/>
    <n v="3"/>
    <s v="NO TIENE L3OUT"/>
    <n v="26"/>
    <n v="54"/>
  </r>
  <r>
    <n v="750"/>
    <x v="2"/>
    <x v="134"/>
    <s v="eth1/2"/>
    <x v="0"/>
    <x v="0"/>
    <x v="0"/>
    <s v="trunk16 Bes-Production"/>
    <x v="0"/>
    <b v="0"/>
    <s v="No está en VPC"/>
    <n v="750"/>
    <s v="INTPG_VPC_750_1.2_3_751_1.2_3"/>
    <s v="ISEL-1.2"/>
    <n v="6"/>
    <s v="NO TIENE L3OUT"/>
    <n v="2"/>
    <n v="54"/>
  </r>
  <r>
    <n v="792"/>
    <x v="2"/>
    <x v="135"/>
    <s v="eth1/2"/>
    <x v="0"/>
    <x v="1"/>
    <x v="3"/>
    <s v="CRM, CBS:Testbed-R03-RH2288-BKP02:10GE 1"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2"/>
    <x v="0"/>
    <x v="1"/>
    <x v="3"/>
    <s v="CEM:ITHCEMG2DAT01:SLOT1 P1"/>
    <x v="0"/>
    <b v="0"/>
    <s v="No está en VPC"/>
    <n v="736"/>
    <s v="INTPG_ACC_736_1.2"/>
    <s v="ISEL-1.2"/>
    <n v="1"/>
    <s v="NO TIENE L3OUT"/>
    <n v="48"/>
    <n v="54"/>
  </r>
  <r>
    <n v="799"/>
    <x v="2"/>
    <x v="137"/>
    <s v="eth1/2"/>
    <x v="0"/>
    <x v="0"/>
    <x v="0"/>
    <s v="TO-IMC_PS16-MSP"/>
    <x v="0"/>
    <b v="0"/>
    <s v="No está en VPC"/>
    <n v="799"/>
    <s v="INTPG_ACC_799_1.2"/>
    <s v="ISEL-1.2"/>
    <n v="1"/>
    <s v="NO TIENE L3OUT"/>
    <n v="52"/>
    <n v="54"/>
  </r>
  <r>
    <n v="768"/>
    <x v="2"/>
    <x v="138"/>
    <s v="eth1/2"/>
    <x v="0"/>
    <x v="0"/>
    <x v="0"/>
    <s v="Portchannel_6_R3"/>
    <x v="0"/>
    <b v="0"/>
    <s v="No está en VPC"/>
    <n v="768"/>
    <s v="INTPG_PC_768_1.1-4"/>
    <s v="ISEL-1.2"/>
    <n v="1"/>
    <s v="NO TIENE L3OUT"/>
    <n v="62"/>
    <n v="54"/>
  </r>
  <r>
    <n v="714"/>
    <x v="2"/>
    <x v="139"/>
    <s v="eth1/2"/>
    <x v="0"/>
    <x v="0"/>
    <x v="0"/>
    <s v="TO-ITHFHWVRALCN10"/>
    <x v="0"/>
    <b v="0"/>
    <s v="No está en VPC"/>
    <n v="714"/>
    <s v="INTPG_VPC_714_1.2_721_1.1"/>
    <s v="ISEL-1.2"/>
    <n v="108"/>
    <s v="NO TIENE L3OUT"/>
    <n v="20"/>
    <n v="54"/>
  </r>
  <r>
    <n v="717"/>
    <x v="2"/>
    <x v="140"/>
    <s v="eth1/2"/>
    <x v="0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2"/>
    <x v="0"/>
    <x v="0"/>
    <x v="0"/>
    <s v="U2020:ITHHWUMT06SW04:10GE2/0/43"/>
    <x v="0"/>
    <b v="0"/>
    <s v="No está en VPC"/>
    <n v="789"/>
    <s v="INTPG_VPC_788_1.1-2_789_1.1-2"/>
    <s v="ISEL-1.2"/>
    <n v="1"/>
    <s v="NO TIENE L3OUT"/>
    <n v="0"/>
    <n v="54"/>
  </r>
  <r>
    <n v="764"/>
    <x v="2"/>
    <x v="142"/>
    <s v="eth1/2"/>
    <x v="0"/>
    <x v="0"/>
    <x v="0"/>
    <s v="Portchannel_6_R1"/>
    <x v="0"/>
    <b v="0"/>
    <s v="No está en VPC"/>
    <n v="764"/>
    <s v="INTPG_PC_764_1.1-4"/>
    <s v="ISEL-1.2"/>
    <n v="1"/>
    <s v="NO TIENE L3OUT"/>
    <n v="62"/>
    <n v="54"/>
  </r>
  <r>
    <n v="783"/>
    <x v="2"/>
    <x v="143"/>
    <s v="eth1/2"/>
    <x v="0"/>
    <x v="0"/>
    <x v="0"/>
    <s v="LACP_VC1_ENIQ9A"/>
    <x v="0"/>
    <b v="0"/>
    <s v="No está en VPC"/>
    <n v="783"/>
    <s v="INTPG_PC_783_1.1-2"/>
    <s v="ISEL-1.2"/>
    <n v="3"/>
    <s v="NO TIENE L3OUT"/>
    <n v="26"/>
    <n v="54"/>
  </r>
  <r>
    <n v="774"/>
    <x v="2"/>
    <x v="144"/>
    <s v="eth1/2"/>
    <x v="0"/>
    <x v="0"/>
    <x v="0"/>
    <s v="PAAS:ithhwoscopap017:GE /Pto 1"/>
    <x v="0"/>
    <b v="0"/>
    <s v="No está en VPC"/>
    <n v="774"/>
    <s v="INTPG_VPC_774_1.2_775_1.3"/>
    <s v="ISEL-1.2"/>
    <n v="24"/>
    <s v="NO TIENE L3OUT"/>
    <n v="0"/>
    <n v="54"/>
  </r>
  <r>
    <n v="773"/>
    <x v="2"/>
    <x v="145"/>
    <s v="eth1/2"/>
    <x v="0"/>
    <x v="0"/>
    <x v="0"/>
    <s v="Portchannel_3_R2"/>
    <x v="0"/>
    <b v="0"/>
    <s v="No está en VPC"/>
    <n v="773"/>
    <s v="INTPG_PC_773_1.1-2"/>
    <s v="ISEL-1.2"/>
    <n v="8"/>
    <s v="NO TIENE L3OUT"/>
    <n v="78"/>
    <n v="54"/>
  </r>
  <r>
    <n v="794"/>
    <x v="2"/>
    <x v="146"/>
    <s v="eth1/2"/>
    <x v="0"/>
    <x v="0"/>
    <x v="0"/>
    <s v="TO-IXTFDLBKP1RAP01-REDUNDANTE_POWEREDGE"/>
    <x v="0"/>
    <b v="0"/>
    <s v="No está en VPC"/>
    <n v="794"/>
    <s v="INTPG_ACC_794_1.2"/>
    <s v="ISEL-1.2"/>
    <n v="1"/>
    <s v="NO TIENE L3OUT"/>
    <n v="12"/>
    <n v="54"/>
  </r>
  <r>
    <n v="803"/>
    <x v="2"/>
    <x v="147"/>
    <s v="eth1/2"/>
    <x v="0"/>
    <x v="0"/>
    <x v="0"/>
    <s v="TO-HDPS_28-MSP"/>
    <x v="0"/>
    <b v="0"/>
    <s v="No está en VPC"/>
    <n v="803"/>
    <s v="INTPG_ACC_803_1.2"/>
    <s v="ISEL-1.2"/>
    <n v="1"/>
    <s v="NO TIENE L3OUT"/>
    <n v="48"/>
    <n v="54"/>
  </r>
  <r>
    <n v="786"/>
    <x v="2"/>
    <x v="148"/>
    <s v="eth1/2"/>
    <x v="0"/>
    <x v="0"/>
    <x v="0"/>
    <s v="ENIQ F2:itheniqr14e1r4b:BAY1/X2"/>
    <x v="0"/>
    <b v="0"/>
    <s v="No está en VPC"/>
    <n v="786"/>
    <s v="INTPG_PC_786_1.1-2"/>
    <s v="ISEL-1.2"/>
    <n v="3"/>
    <s v="NO TIENE L3OUT"/>
    <n v="26"/>
    <n v="54"/>
  </r>
  <r>
    <n v="757"/>
    <x v="2"/>
    <x v="149"/>
    <s v="eth1/2"/>
    <x v="0"/>
    <x v="1"/>
    <x v="3"/>
    <s v="CRM, CBS:ITHHWTBRK12BCK02:10GE 2"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2"/>
    <x v="0"/>
    <x v="0"/>
    <x v="0"/>
    <s v="LACP_VC1_ENIQ9C"/>
    <x v="0"/>
    <b v="0"/>
    <s v="No está en VPC"/>
    <n v="781"/>
    <s v="INTPG_PC_781_1.1-2"/>
    <s v="ISEL-1.2"/>
    <n v="3"/>
    <s v="NO TIENE L3OUT"/>
    <n v="26"/>
    <n v="54"/>
  </r>
  <r>
    <n v="793"/>
    <x v="2"/>
    <x v="151"/>
    <s v="eth1/2"/>
    <x v="0"/>
    <x v="0"/>
    <x v="0"/>
    <s v="TO-IXTFDLBKP1RAP01-PRINCIPAL_POWEREDGE"/>
    <x v="0"/>
    <b v="0"/>
    <s v="No está en VPC"/>
    <n v="793"/>
    <s v="INTPG_ACC_793_1.2"/>
    <s v="ISEL-1.2"/>
    <n v="1"/>
    <s v="NO TIENE L3OUT"/>
    <n v="12"/>
    <n v="54"/>
  </r>
  <r>
    <n v="747"/>
    <x v="2"/>
    <x v="152"/>
    <s v="eth1/2"/>
    <x v="0"/>
    <x v="0"/>
    <x v="0"/>
    <s v="PAAS:ithhwoscopap002:LOM PORT 1"/>
    <x v="0"/>
    <b v="0"/>
    <s v="No está en VPC"/>
    <n v="747"/>
    <s v="INTPG_VPC_747_1.2_752_1.2"/>
    <s v="ISEL-1.2"/>
    <n v="25"/>
    <s v="NO TIENE L3OUT"/>
    <n v="0"/>
    <n v="54"/>
  </r>
  <r>
    <n v="784"/>
    <x v="2"/>
    <x v="153"/>
    <s v="eth1/2"/>
    <x v="0"/>
    <x v="0"/>
    <x v="0"/>
    <s v="ENIQ F2:itheniqr12e1r6b:BAY1/X2"/>
    <x v="0"/>
    <b v="0"/>
    <s v="No está en VPC"/>
    <n v="784"/>
    <s v="INTPG_PC_784_1.1-2"/>
    <s v="ISEL-1.2"/>
    <n v="3"/>
    <s v="NO TIENE L3OUT"/>
    <n v="26"/>
    <n v="54"/>
  </r>
  <r>
    <n v="806"/>
    <x v="2"/>
    <x v="154"/>
    <s v="eth1/2"/>
    <x v="0"/>
    <x v="0"/>
    <x v="0"/>
    <s v="TO-HDPS_52-MSP"/>
    <x v="0"/>
    <b v="0"/>
    <s v="No está en VPC"/>
    <n v="806"/>
    <s v="INTPG_ACC_806_1.2"/>
    <s v="ISEL-1.2"/>
    <n v="1"/>
    <s v="NO TIENE L3OUT"/>
    <n v="44"/>
    <n v="54"/>
  </r>
  <r>
    <n v="777"/>
    <x v="2"/>
    <x v="155"/>
    <s v="eth1/2"/>
    <x v="0"/>
    <x v="0"/>
    <x v="0"/>
    <s v="PAAS:ithhwoscopap019:FlexIO /Pto 1"/>
    <x v="0"/>
    <b v="0"/>
    <s v="No está en VPC"/>
    <n v="777"/>
    <s v="INTPG_VPC_776_1.1_777_1.2"/>
    <s v="ISEL-1.2"/>
    <n v="24"/>
    <s v="NO TIENE L3OUT"/>
    <n v="0"/>
    <n v="54"/>
  </r>
  <r>
    <n v="770"/>
    <x v="2"/>
    <x v="156"/>
    <s v="eth1/2"/>
    <x v="0"/>
    <x v="0"/>
    <x v="0"/>
    <s v="Portchannel_1_R4A"/>
    <x v="0"/>
    <b v="0"/>
    <s v="No está en VPC"/>
    <n v="770"/>
    <s v="INTPG_PC_770_1.1-4"/>
    <s v="ISEL-1.2"/>
    <n v="2"/>
    <s v="NO TIENE L3OUT"/>
    <n v="60"/>
    <n v="54"/>
  </r>
  <r>
    <n v="813"/>
    <x v="2"/>
    <x v="157"/>
    <s v="eth1/2"/>
    <x v="0"/>
    <x v="0"/>
    <x v="0"/>
    <s v="POWER_STORE_NAS_NODO_A"/>
    <x v="1"/>
    <b v="0"/>
    <s v="No está en VPC"/>
    <n v="813"/>
    <s v="INTPG_VPC_812_1.2_813_1.2"/>
    <s v="ISEL-1.2"/>
    <n v="11"/>
    <s v="NO TIENE L3OUT"/>
    <n v="0"/>
    <n v="54"/>
  </r>
  <r>
    <n v="739"/>
    <x v="2"/>
    <x v="158"/>
    <s v="eth1/2"/>
    <x v="0"/>
    <x v="1"/>
    <x v="1"/>
    <s v="CEM:ITHCEMC2DAT01:FLEXIO P1"/>
    <x v="5"/>
    <b v="0"/>
    <s v="No está en VPC"/>
    <n v="739"/>
    <s v="INTPG_ACC_739_1.2"/>
    <s v="ISEL-1.2"/>
    <n v="1"/>
    <s v="NO TIENE L3OUT"/>
    <n v="72"/>
    <n v="54"/>
  </r>
  <r>
    <n v="775"/>
    <x v="2"/>
    <x v="159"/>
    <s v="eth1/2"/>
    <x v="0"/>
    <x v="0"/>
    <x v="0"/>
    <s v="PAAS:ithhwoscopap016:FlexIO /Pto 1"/>
    <x v="0"/>
    <b v="0"/>
    <s v="No está en VPC"/>
    <n v="775"/>
    <s v="INTPG_VPC_774_1.1_775_1.2"/>
    <s v="ISEL-1.2"/>
    <n v="24"/>
    <s v="NO TIENE L3OUT"/>
    <n v="0"/>
    <n v="54"/>
  </r>
  <r>
    <n v="791"/>
    <x v="2"/>
    <x v="160"/>
    <s v="eth1/2"/>
    <x v="0"/>
    <x v="0"/>
    <x v="0"/>
    <s v="LAGU2020R8"/>
    <x v="0"/>
    <b v="0"/>
    <s v="No está en VPC"/>
    <n v="791"/>
    <s v="INTPG_VPC_790_1.1_3_791_1.2_4"/>
    <s v="ISEL-1.2"/>
    <n v="1"/>
    <s v="NO TIENE L3OUT"/>
    <n v="20"/>
    <n v="54"/>
  </r>
  <r>
    <n v="808"/>
    <x v="2"/>
    <x v="161"/>
    <s v="eth1/2"/>
    <x v="0"/>
    <x v="0"/>
    <x v="0"/>
    <s v="HUECOS DC_S3"/>
    <x v="0"/>
    <b v="0"/>
    <s v="No está en VPC"/>
    <n v="808"/>
    <s v="INTPG_VPC_808_1.1-6_809_1.1-6"/>
    <s v="ISEL-1.2"/>
    <n v="1"/>
    <s v="NO TIENE L3OUT"/>
    <n v="0"/>
    <n v="54"/>
  </r>
  <r>
    <n v="830"/>
    <x v="2"/>
    <x v="162"/>
    <s v="eth1/2"/>
    <x v="0"/>
    <x v="0"/>
    <x v="0"/>
    <s v="LINK_TO_ITHFHWCBSDSUSBD04 /Slot5.1 /Redundante"/>
    <x v="0"/>
    <b v="0"/>
    <s v="No está en VPC"/>
    <n v="830"/>
    <s v="INTPG_VPC_826_1.2_830_1.2"/>
    <s v="ISEL-1.2"/>
    <n v="1"/>
    <s v="NO TIENE L3OUT"/>
    <n v="12"/>
    <n v="54"/>
  </r>
  <r>
    <n v="821"/>
    <x v="2"/>
    <x v="163"/>
    <s v="eth1/2"/>
    <x v="0"/>
    <x v="0"/>
    <x v="0"/>
    <s v="LINK_TO_ITHFHWCBSPSUSBD07 /Slot5.1 /Redundante"/>
    <x v="0"/>
    <b v="0"/>
    <s v="No está en VPC"/>
    <n v="821"/>
    <s v="INTPG_VPC_816_1.2_821_1.2"/>
    <s v="ISEL-1.2"/>
    <n v="1"/>
    <s v="NO TIENE L3OUT"/>
    <n v="0"/>
    <n v="54"/>
  </r>
  <r>
    <n v="738"/>
    <x v="2"/>
    <x v="164"/>
    <s v="eth1/2"/>
    <x v="0"/>
    <x v="0"/>
    <x v="0"/>
    <s v="CEM:ITHCEMF2DAT01:FLEXIO P1"/>
    <x v="5"/>
    <b v="0"/>
    <s v="No está en VPC"/>
    <n v="738"/>
    <s v="INTPG_ACC_738_1.2"/>
    <s v="ISEL-1.2"/>
    <n v="1"/>
    <s v="NO TIENE L3OUT"/>
    <n v="72"/>
    <n v="54"/>
  </r>
  <r>
    <n v="820"/>
    <x v="2"/>
    <x v="165"/>
    <s v="eth1/2"/>
    <x v="0"/>
    <x v="0"/>
    <x v="0"/>
    <s v="LINK_TO_ITHHWD6K60015DKC01 /CtrlA_IOM1.P1 /Redundante"/>
    <x v="0"/>
    <b v="0"/>
    <s v="No está en VPC"/>
    <n v="820"/>
    <s v="INTPG_ACC_820_1.2"/>
    <s v="ISEL-1.2"/>
    <n v="1"/>
    <s v="NO TIENE L3OUT"/>
    <n v="72"/>
    <n v="54"/>
  </r>
  <r>
    <n v="804"/>
    <x v="2"/>
    <x v="166"/>
    <s v="eth1/2"/>
    <x v="0"/>
    <x v="0"/>
    <x v="0"/>
    <s v="TO-HDPS_28-MSP"/>
    <x v="0"/>
    <b v="0"/>
    <s v="No está en VPC"/>
    <n v="804"/>
    <s v="INTPG_ACC_804_1.2"/>
    <s v="ISEL-1.2"/>
    <n v="1"/>
    <s v="NO TIENE L3OUT"/>
    <n v="48"/>
    <n v="54"/>
  </r>
  <r>
    <n v="779"/>
    <x v="2"/>
    <x v="167"/>
    <s v="eth1/2"/>
    <x v="0"/>
    <x v="0"/>
    <x v="0"/>
    <s v="ENIQ F1:itheniqr08enclr3:BAY1/X2"/>
    <x v="0"/>
    <b v="0"/>
    <s v="No está en VPC"/>
    <n v="779"/>
    <s v="INTPG_PC_779_1.1-2"/>
    <s v="ISEL-1.2"/>
    <n v="3"/>
    <s v="NO TIENE L3OUT"/>
    <n v="30"/>
    <n v="54"/>
  </r>
  <r>
    <n v="767"/>
    <x v="2"/>
    <x v="168"/>
    <s v="eth1/2"/>
    <x v="0"/>
    <x v="0"/>
    <x v="0"/>
    <s v="Portchannel_3_R3"/>
    <x v="0"/>
    <b v="0"/>
    <s v="No está en VPC"/>
    <n v="767"/>
    <s v="INTPG_PC_767_1.1-2"/>
    <s v="ISEL-1.2"/>
    <n v="8"/>
    <s v="NO TIENE L3OUT"/>
    <n v="60"/>
    <n v="54"/>
  </r>
  <r>
    <n v="827"/>
    <x v="2"/>
    <x v="169"/>
    <s v="eth1/2"/>
    <x v="0"/>
    <x v="0"/>
    <x v="0"/>
    <s v="LINK_TO_ITHFHWCBSDSWR22 /10GE.1 /Principal"/>
    <x v="0"/>
    <b v="0"/>
    <s v="No está en VPC"/>
    <n v="827"/>
    <s v="INTPG_VPC_827_1.2_831_1.2"/>
    <s v="ISEL-1.2"/>
    <n v="1"/>
    <s v="NO TIENE L3OUT"/>
    <n v="14"/>
    <n v="54"/>
  </r>
  <r>
    <n v="809"/>
    <x v="2"/>
    <x v="170"/>
    <s v="eth1/2"/>
    <x v="0"/>
    <x v="0"/>
    <x v="0"/>
    <s v="HUECOS DC_S3"/>
    <x v="0"/>
    <b v="0"/>
    <s v="No está en VPC"/>
    <n v="809"/>
    <s v="INTPG_VPC_808_1.1-6_809_1.1-6"/>
    <s v="ISEL-1.2"/>
    <n v="1"/>
    <s v="NO TIENE L3OUT"/>
    <n v="0"/>
    <n v="54"/>
  </r>
  <r>
    <n v="771"/>
    <x v="2"/>
    <x v="171"/>
    <s v="eth1/2"/>
    <x v="0"/>
    <x v="0"/>
    <x v="0"/>
    <s v="Portchannel_6_R6B"/>
    <x v="0"/>
    <b v="0"/>
    <s v="No está en VPC"/>
    <n v="771"/>
    <s v="INTPG_PC_771_1.1-4"/>
    <s v="ISEL-1.2"/>
    <n v="2"/>
    <s v="NO TIENE L3OUT"/>
    <n v="62"/>
    <n v="54"/>
  </r>
  <r>
    <n v="761"/>
    <x v="2"/>
    <x v="172"/>
    <s v="eth1/2"/>
    <x v="0"/>
    <x v="1"/>
    <x v="1"/>
    <m/>
    <x v="0"/>
    <b v="0"/>
    <s v="No está en VPC"/>
    <n v="761"/>
    <s v="INTPG_VPC_760_1.1-4_761_1.1-4"/>
    <s v="ISEL-1.2"/>
    <n v="0"/>
    <s v="L3OUT-EXACLOUD"/>
    <n v="0"/>
    <n v="54"/>
  </r>
  <r>
    <n v="776"/>
    <x v="2"/>
    <x v="173"/>
    <s v="eth1/2"/>
    <x v="0"/>
    <x v="0"/>
    <x v="0"/>
    <s v="PAAS:ithhwoscopap020:FlexIO /Pto 1"/>
    <x v="0"/>
    <b v="0"/>
    <s v="No está en VPC"/>
    <n v="776"/>
    <s v="INTPG_VPC_776_1.2_777_1.1"/>
    <s v="ISEL-1.2"/>
    <n v="24"/>
    <s v="NO TIENE L3OUT"/>
    <n v="0"/>
    <n v="54"/>
  </r>
  <r>
    <n v="805"/>
    <x v="2"/>
    <x v="174"/>
    <s v="eth1/2"/>
    <x v="0"/>
    <x v="0"/>
    <x v="0"/>
    <s v="TO-HDPS_52-MSP"/>
    <x v="0"/>
    <b v="0"/>
    <s v="No está en VPC"/>
    <n v="805"/>
    <s v="INTPG_ACC_805_1.2"/>
    <s v="ISEL-1.2"/>
    <n v="1"/>
    <s v="NO TIENE L3OUT"/>
    <n v="44"/>
    <n v="54"/>
  </r>
  <r>
    <n v="772"/>
    <x v="2"/>
    <x v="175"/>
    <s v="eth1/2"/>
    <x v="0"/>
    <x v="0"/>
    <x v="0"/>
    <s v="Portchannel_6_R2"/>
    <x v="0"/>
    <b v="0"/>
    <s v="No está en VPC"/>
    <n v="772"/>
    <s v="INTPG_PC_772_1.1-4"/>
    <s v="ISEL-1.2"/>
    <n v="1"/>
    <s v="NO TIENE L3OUT"/>
    <n v="82"/>
    <n v="54"/>
  </r>
  <r>
    <n v="785"/>
    <x v="2"/>
    <x v="176"/>
    <s v="eth1/2"/>
    <x v="0"/>
    <x v="0"/>
    <x v="0"/>
    <s v="ENIQ F2:itheniqr13e1r6a:BAY1/X2"/>
    <x v="0"/>
    <b v="0"/>
    <s v="No está en VPC"/>
    <n v="785"/>
    <s v="INTPG_PC_785_1.1-2"/>
    <s v="ISEL-1.2"/>
    <n v="3"/>
    <s v="NO TIENE L3OUT"/>
    <n v="32"/>
    <n v="54"/>
  </r>
  <r>
    <n v="851"/>
    <x v="2"/>
    <x v="177"/>
    <s v="eth1/2"/>
    <x v="0"/>
    <x v="0"/>
    <x v="0"/>
    <s v="LINK_TO_ITHFHWCRMPLCN101 / Slot7.2_6 / Redundante"/>
    <x v="0"/>
    <b v="0"/>
    <s v="No está en VPC"/>
    <n v="851"/>
    <s v="INTPG_ACC_851_1.2"/>
    <s v="ISEL-1.2"/>
    <n v="2"/>
    <s v="NO TIENE L3OUT"/>
    <n v="282"/>
    <n v="54"/>
  </r>
  <r>
    <n v="798"/>
    <x v="2"/>
    <x v="178"/>
    <s v="eth1/2"/>
    <x v="0"/>
    <x v="0"/>
    <x v="0"/>
    <s v="TO-IMC_PS16-MSP"/>
    <x v="0"/>
    <b v="0"/>
    <s v="No está en VPC"/>
    <n v="798"/>
    <s v="INTPG_ACC_798_1.2"/>
    <s v="ISEL-1.2"/>
    <n v="1"/>
    <s v="NO TIENE L3OUT"/>
    <n v="52"/>
    <n v="54"/>
  </r>
  <r>
    <n v="782"/>
    <x v="2"/>
    <x v="179"/>
    <s v="eth1/2"/>
    <x v="0"/>
    <x v="0"/>
    <x v="0"/>
    <s v="LACP_VC1_ENIQ9B"/>
    <x v="0"/>
    <b v="0"/>
    <s v="No está en VPC"/>
    <n v="782"/>
    <s v="INTPG_PC_782_1.1-2"/>
    <s v="ISEL-1.2"/>
    <n v="3"/>
    <s v="NO TIENE L3OUT"/>
    <n v="32"/>
    <n v="54"/>
  </r>
  <r>
    <n v="852"/>
    <x v="2"/>
    <x v="180"/>
    <s v="eth1/2"/>
    <x v="0"/>
    <x v="0"/>
    <x v="0"/>
    <s v="LINK_TO_ITHFHWCRMPLCN116 / Slot7.3_36 / Redundante"/>
    <x v="0"/>
    <b v="0"/>
    <s v="No está en VPC"/>
    <n v="852"/>
    <s v="INTPG_ACC_852_1.2"/>
    <s v="ISEL-1.2"/>
    <n v="1"/>
    <s v="NO TIENE L3OUT"/>
    <n v="258"/>
    <n v="54"/>
  </r>
  <r>
    <n v="817"/>
    <x v="2"/>
    <x v="181"/>
    <s v="eth1/2"/>
    <x v="0"/>
    <x v="0"/>
    <x v="0"/>
    <s v="LINK_TO_ITHFHWCBSPSWR22 /10GE.1 /Principal"/>
    <x v="0"/>
    <b v="0"/>
    <s v="No está en VPC"/>
    <n v="817"/>
    <s v="INTPG_VPC_817_1.2_822_1.2"/>
    <s v="ISEL-1.2"/>
    <n v="1"/>
    <s v="NO TIENE L3OUT"/>
    <n v="0"/>
    <n v="54"/>
  </r>
  <r>
    <n v="832"/>
    <x v="2"/>
    <x v="182"/>
    <s v="eth1/2"/>
    <x v="0"/>
    <x v="0"/>
    <x v="0"/>
    <s v="LINK_TO_ITHFHWCBSDSWR32 /Slot5.1 /Redundante"/>
    <x v="0"/>
    <b v="0"/>
    <s v="No está en VPC"/>
    <n v="832"/>
    <s v="INTPG_VPC_828_1.2_832_1.2"/>
    <s v="ISEL-1.2"/>
    <n v="1"/>
    <s v="NO TIENE L3OUT"/>
    <n v="192"/>
    <n v="54"/>
  </r>
  <r>
    <n v="816"/>
    <x v="2"/>
    <x v="183"/>
    <s v="eth1/2"/>
    <x v="0"/>
    <x v="0"/>
    <x v="0"/>
    <s v="LINK_TO_ITHFHWCBSPSUSBD07 /10GE.1 /Principal"/>
    <x v="0"/>
    <b v="0"/>
    <s v="No está en VPC"/>
    <n v="816"/>
    <s v="INTPG_VPC_816_1.2_821_1.2"/>
    <s v="ISEL-1.2"/>
    <n v="1"/>
    <s v="NO TIENE L3OUT"/>
    <n v="0"/>
    <n v="54"/>
  </r>
  <r>
    <n v="825"/>
    <x v="2"/>
    <x v="184"/>
    <s v="eth1/2"/>
    <x v="0"/>
    <x v="0"/>
    <x v="0"/>
    <s v="LINK_TO_ITHHWD6K60015DKC01 /CtrlA_IOM1.P0 /Principal"/>
    <x v="0"/>
    <b v="0"/>
    <s v="No está en VPC"/>
    <n v="825"/>
    <s v="INTPG_ACC_825_1.2"/>
    <s v="ISEL-1.2"/>
    <n v="1"/>
    <s v="NO TIENE L3OUT"/>
    <n v="72"/>
    <n v="54"/>
  </r>
  <r>
    <n v="800"/>
    <x v="2"/>
    <x v="185"/>
    <s v="eth1/2"/>
    <x v="0"/>
    <x v="0"/>
    <x v="0"/>
    <s v="TO-ITHFHWSEQLGISS01-MSP"/>
    <x v="0"/>
    <b v="0"/>
    <s v="No está en VPC"/>
    <n v="800"/>
    <s v="INTPG_ACC_800_1.2"/>
    <s v="ISEL-1.2"/>
    <n v="1"/>
    <s v="NO TIENE L3OUT"/>
    <n v="78"/>
    <n v="54"/>
  </r>
  <r>
    <n v="801"/>
    <x v="2"/>
    <x v="186"/>
    <s v="eth1/2"/>
    <x v="0"/>
    <x v="0"/>
    <x v="0"/>
    <s v="TO-ITHFHWSEQLGISS01-MSP"/>
    <x v="0"/>
    <b v="0"/>
    <s v="No está en VPC"/>
    <n v="801"/>
    <s v="INTPG_ACC_801_1.2"/>
    <s v="ISEL-1.2"/>
    <n v="1"/>
    <s v="NO TIENE L3OUT"/>
    <n v="78"/>
    <n v="54"/>
  </r>
  <r>
    <n v="823"/>
    <x v="2"/>
    <x v="187"/>
    <s v="eth1/2"/>
    <x v="0"/>
    <x v="0"/>
    <x v="0"/>
    <s v="LINK_TO_ITHFHWCBSPSWR30 /Slot5.1 /Redundante"/>
    <x v="0"/>
    <b v="0"/>
    <s v="No está en VPC"/>
    <n v="823"/>
    <s v="INTPG_VPC_818_1.2_823_1.2"/>
    <s v="ISEL-1.2"/>
    <n v="1"/>
    <s v="NO TIENE L3OUT"/>
    <n v="8"/>
    <n v="54"/>
  </r>
  <r>
    <n v="837"/>
    <x v="2"/>
    <x v="188"/>
    <s v="eth1/2"/>
    <x v="0"/>
    <x v="0"/>
    <x v="0"/>
    <s v="LINK_TO_ITHFHWCBSPSHDCTL05 / Slot1.1_12 / Principal"/>
    <x v="0"/>
    <b v="0"/>
    <s v="No está en VPC"/>
    <n v="837"/>
    <s v="INTPG_VPC_837_1.2_842_1.2"/>
    <s v="ISEL-1.2"/>
    <n v="2"/>
    <s v="NO TIENE L3OUT"/>
    <n v="8"/>
    <n v="54"/>
  </r>
  <r>
    <n v="867"/>
    <x v="2"/>
    <x v="189"/>
    <s v="eth1/2"/>
    <x v="0"/>
    <x v="0"/>
    <x v="0"/>
    <s v="To_VPC_2DCBSD_WR38_1"/>
    <x v="0"/>
    <b v="0"/>
    <s v="No está en VPC"/>
    <n v="867"/>
    <s v="INTPG_VPC_862_1.2_867_1.2"/>
    <s v="ISEL-1.2"/>
    <n v="2"/>
    <s v="NO TIENE L3OUT"/>
    <n v="44"/>
    <n v="54"/>
  </r>
  <r>
    <n v="829"/>
    <x v="2"/>
    <x v="190"/>
    <s v="eth1/2"/>
    <x v="0"/>
    <x v="0"/>
    <x v="0"/>
    <s v="LINK_TO_ITHFHWCRMDLCN28 /Slot5.1 /Redundante"/>
    <x v="0"/>
    <b v="0"/>
    <s v="No está en VPC"/>
    <n v="829"/>
    <s v="INTPG_ACC_829_1.2"/>
    <s v="ISEL-1.2"/>
    <n v="2"/>
    <s v="NO TIENE L3OUT"/>
    <n v="224"/>
    <n v="54"/>
  </r>
  <r>
    <n v="831"/>
    <x v="2"/>
    <x v="191"/>
    <s v="eth1/2"/>
    <x v="0"/>
    <x v="0"/>
    <x v="0"/>
    <s v="LINK_TO_ITHFHWCBSDSWR22 /Slot5.1 /Redundante"/>
    <x v="0"/>
    <b v="0"/>
    <s v="No está en VPC"/>
    <n v="831"/>
    <s v="INTPG_VPC_827_1.2_831_1.2"/>
    <s v="ISEL-1.2"/>
    <n v="1"/>
    <s v="NO TIENE L3OUT"/>
    <n v="14"/>
    <n v="54"/>
  </r>
  <r>
    <n v="802"/>
    <x v="2"/>
    <x v="192"/>
    <s v="eth1/2"/>
    <x v="0"/>
    <x v="0"/>
    <x v="0"/>
    <s v="TO-HDPS_04-MSP"/>
    <x v="0"/>
    <b v="0"/>
    <s v="No está en VPC"/>
    <n v="802"/>
    <s v="INTPG_ACC_802_1.2"/>
    <s v="ISEL-1.2"/>
    <n v="1"/>
    <s v="NO TIENE L3OUT"/>
    <n v="48"/>
    <n v="54"/>
  </r>
  <r>
    <n v="835"/>
    <x v="2"/>
    <x v="193"/>
    <s v="eth1/2"/>
    <x v="0"/>
    <x v="0"/>
    <x v="0"/>
    <s v="LINK_TO_ITHFHWCBSPSUSBD36 / Slot1.2_8 / Principal"/>
    <x v="0"/>
    <b v="0"/>
    <s v="No está en VPC"/>
    <n v="835"/>
    <s v="INTPG_VPC_835_1.2_840_1.2"/>
    <s v="ISEL-1.2"/>
    <n v="1"/>
    <s v="NO TIENE L3OUT"/>
    <n v="8"/>
    <n v="54"/>
  </r>
  <r>
    <n v="822"/>
    <x v="2"/>
    <x v="194"/>
    <s v="eth1/2"/>
    <x v="0"/>
    <x v="0"/>
    <x v="0"/>
    <s v="LINK_TO_ITHFHWCBSPSWR22 /Slot5.1 /Redundante"/>
    <x v="0"/>
    <b v="0"/>
    <s v="No está en VPC"/>
    <n v="822"/>
    <s v="INTPG_VPC_817_1.2_822_1.2"/>
    <s v="ISEL-1.2"/>
    <n v="1"/>
    <s v="NO TIENE L3OUT"/>
    <n v="0"/>
    <n v="54"/>
  </r>
  <r>
    <n v="854"/>
    <x v="2"/>
    <x v="195"/>
    <s v="eth1/2"/>
    <x v="0"/>
    <x v="0"/>
    <x v="0"/>
    <s v="LINK_TO_ITHFHWCRMPSBDA05 / Slot7.2_4 / Redundante"/>
    <x v="0"/>
    <b v="0"/>
    <s v="No está en VPC"/>
    <n v="854"/>
    <s v="INTPG_VPC_847_1.2_854_1.2"/>
    <s v="ISEL-1.2"/>
    <n v="2"/>
    <s v="NO TIENE L3OUT"/>
    <n v="204"/>
    <n v="54"/>
  </r>
  <r>
    <n v="858"/>
    <x v="2"/>
    <x v="196"/>
    <s v="eth1/2"/>
    <x v="0"/>
    <x v="0"/>
    <x v="0"/>
    <s v="To_VPC_2DCBSD_HD37_2"/>
    <x v="0"/>
    <b v="0"/>
    <s v="No está en VPC"/>
    <n v="858"/>
    <s v="INTPG_VPC_858_1.2_863_1.2"/>
    <s v="ISEL-1.2"/>
    <n v="1"/>
    <s v="NO TIENE L3OUT"/>
    <n v="8"/>
    <n v="54"/>
  </r>
  <r>
    <n v="857"/>
    <x v="2"/>
    <x v="197"/>
    <s v="eth1/2"/>
    <x v="0"/>
    <x v="0"/>
    <x v="0"/>
    <s v="LINK_TO_ITHFHWCRMPLCN151 / Slot1.1_36 / Principal"/>
    <x v="0"/>
    <b v="0"/>
    <s v="No está en VPC"/>
    <n v="857"/>
    <s v="INTPG_ACC_857_1.2"/>
    <s v="ISEL-1.2"/>
    <n v="6"/>
    <s v="NO TIENE L3OUT"/>
    <n v="288"/>
    <n v="54"/>
  </r>
  <r>
    <n v="859"/>
    <x v="2"/>
    <x v="198"/>
    <s v="eth1/2"/>
    <x v="0"/>
    <x v="0"/>
    <x v="0"/>
    <s v="To_VPC_2DCBSD_HD31_2"/>
    <x v="0"/>
    <b v="0"/>
    <s v="No está en VPC"/>
    <n v="859"/>
    <s v="INTPG_VPC_859_1.2_864_1.2"/>
    <s v="ISEL-1.2"/>
    <n v="1"/>
    <s v="NO TIENE L3OUT"/>
    <n v="0"/>
    <n v="54"/>
  </r>
  <r>
    <n v="833"/>
    <x v="2"/>
    <x v="199"/>
    <s v="eth1/2"/>
    <x v="0"/>
    <x v="0"/>
    <x v="0"/>
    <s v="LINK_TO_ITHFHWCRMDLCN28 /10GE.1 /Principal"/>
    <x v="0"/>
    <b v="0"/>
    <s v="No está en VPC"/>
    <n v="833"/>
    <s v="INTPG_ACC_833_1.2"/>
    <s v="ISEL-1.2"/>
    <n v="2"/>
    <s v="NO TIENE L3OUT"/>
    <n v="224"/>
    <n v="54"/>
  </r>
  <r>
    <n v="818"/>
    <x v="2"/>
    <x v="200"/>
    <s v="eth1/2"/>
    <x v="0"/>
    <x v="0"/>
    <x v="0"/>
    <s v="LINK_TO_ITHFHWCBSPSWR30 /10GE.1 /Principal"/>
    <x v="0"/>
    <b v="0"/>
    <s v="No está en VPC"/>
    <n v="818"/>
    <s v="INTPG_VPC_818_1.2_823_1.2"/>
    <s v="ISEL-1.2"/>
    <n v="1"/>
    <s v="NO TIENE L3OUT"/>
    <n v="8"/>
    <n v="54"/>
  </r>
  <r>
    <n v="850"/>
    <x v="2"/>
    <x v="201"/>
    <s v="eth1/2"/>
    <x v="0"/>
    <x v="0"/>
    <x v="0"/>
    <s v="LINK_TO_ITHFHWCRMPLCN151 / Slot7.1_36 / Redundante"/>
    <x v="0"/>
    <b v="0"/>
    <s v="No está en VPC"/>
    <n v="850"/>
    <s v="INTPG_ACC_850_1.2"/>
    <s v="ISEL-1.2"/>
    <n v="6"/>
    <s v="NO TIENE L3OUT"/>
    <n v="288"/>
    <n v="54"/>
  </r>
  <r>
    <n v="860"/>
    <x v="2"/>
    <x v="202"/>
    <s v="eth1/2"/>
    <x v="0"/>
    <x v="0"/>
    <x v="0"/>
    <s v="To_VPC_2DCBSD_WR52_2"/>
    <x v="0"/>
    <b v="0"/>
    <s v="No está en VPC"/>
    <n v="860"/>
    <s v="INTPG_VPC_860_1.2_865_1.2"/>
    <s v="ISEL-1.2"/>
    <n v="1"/>
    <s v="NO TIENE L3OUT"/>
    <n v="0"/>
    <n v="54"/>
  </r>
  <r>
    <n v="853"/>
    <x v="2"/>
    <x v="203"/>
    <s v="eth1/2"/>
    <x v="0"/>
    <x v="0"/>
    <x v="0"/>
    <s v="VPC_2DCRMP_BDP05_3"/>
    <x v="0"/>
    <b v="0"/>
    <s v="No está en VPC"/>
    <n v="853"/>
    <s v="INTPG_VPC_846_1.2_853_1.2"/>
    <s v="ISEL-1.2"/>
    <n v="1"/>
    <s v="NO TIENE L3OUT"/>
    <n v="242"/>
    <n v="54"/>
  </r>
  <r>
    <n v="790"/>
    <x v="2"/>
    <x v="204"/>
    <s v="eth1/2"/>
    <x v="0"/>
    <x v="0"/>
    <x v="0"/>
    <s v="LAGU2020R5"/>
    <x v="0"/>
    <b v="0"/>
    <s v="No está en VPC"/>
    <n v="790"/>
    <s v="INTPG_VPC_790_1.2_4_791_1.1_3"/>
    <s v="ISEL-1.2"/>
    <n v="1"/>
    <s v="NO TIENE L3OUT"/>
    <n v="20"/>
    <n v="54"/>
  </r>
  <r>
    <n v="105"/>
    <x v="0"/>
    <x v="205"/>
    <s v="eth1/2"/>
    <x v="0"/>
    <x v="1"/>
    <x v="1"/>
    <s v="DESC"/>
    <x v="6"/>
    <b v="0"/>
    <s v="No está en VPC"/>
    <n v="105"/>
    <s v="INTPG_PC_105_1.1-4_32-35"/>
    <s v="ISEL-1.2"/>
    <n v="17"/>
    <s v="NO TIENE L3OUT"/>
    <n v="106"/>
    <n v="96"/>
  </r>
  <r>
    <n v="117"/>
    <x v="0"/>
    <x v="206"/>
    <s v="eth1/2"/>
    <x v="0"/>
    <x v="0"/>
    <x v="0"/>
    <s v="TO-LENOVOSR530"/>
    <x v="6"/>
    <b v="0"/>
    <s v="No está en VPC"/>
    <n v="117"/>
    <s v="INTPG_ACC_117_1.2"/>
    <s v="ISEL-1.2"/>
    <n v="1"/>
    <s v="NO TIENE L3OUT"/>
    <n v="4"/>
    <n v="96"/>
  </r>
  <r>
    <n v="104"/>
    <x v="0"/>
    <x v="207"/>
    <s v="eth1/2"/>
    <x v="0"/>
    <x v="1"/>
    <x v="1"/>
    <s v="SFLDI"/>
    <x v="6"/>
    <b v="0"/>
    <s v="No está en VPC"/>
    <n v="104"/>
    <s v="INTPG_ACC_104_1.2"/>
    <s v="ISEL-1.2"/>
    <n v="1"/>
    <s v="NO TIENE L3OUT"/>
    <n v="194"/>
    <n v="96"/>
  </r>
  <r>
    <n v="158"/>
    <x v="0"/>
    <x v="208"/>
    <s v="eth1/2"/>
    <x v="0"/>
    <x v="0"/>
    <x v="0"/>
    <s v="ARIESO_GEOLOCALIZACION"/>
    <x v="6"/>
    <b v="0"/>
    <s v="No está en VPC"/>
    <n v="158"/>
    <s v="INTPG_ACC_158_1.2"/>
    <s v="ISEL-1.2"/>
    <n v="1"/>
    <s v="NO TIENE L3OUT"/>
    <n v="30"/>
    <n v="96"/>
  </r>
  <r>
    <n v="875"/>
    <x v="2"/>
    <x v="209"/>
    <s v="eth1/2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2"/>
    <x v="0"/>
    <x v="0"/>
    <x v="0"/>
    <s v="HACIA_CSI-A-OSCP-F4-10_PRINCIPAL"/>
    <x v="4"/>
    <b v="0"/>
    <s v="No está en VPC"/>
    <n v="879"/>
    <s v="INTPG_VPC_878_1.2_879_1.2"/>
    <s v="ISEL-1.2"/>
    <n v="2"/>
    <s v="NO TIENE L3OUT"/>
    <n v="0"/>
    <n v="54"/>
  </r>
  <r>
    <n v="108"/>
    <x v="0"/>
    <x v="211"/>
    <s v="eth1/2"/>
    <x v="0"/>
    <x v="1"/>
    <x v="1"/>
    <m/>
    <x v="6"/>
    <b v="0"/>
    <s v="No está en VPC"/>
    <n v="108"/>
    <s v="INTPG_ACC_108_1.2"/>
    <s v="ISEL-1.2"/>
    <n v="1"/>
    <s v="NO TIENE L3OUT"/>
    <n v="126"/>
    <n v="96"/>
  </r>
  <r>
    <n v="112"/>
    <x v="0"/>
    <x v="212"/>
    <s v="eth1/2"/>
    <x v="0"/>
    <x v="0"/>
    <x v="0"/>
    <s v="CFD"/>
    <x v="6"/>
    <b v="0"/>
    <s v="No está en VPC"/>
    <n v="112"/>
    <s v="INTPG_ACC_112_1.2"/>
    <s v="ISEL-1.2"/>
    <n v="1"/>
    <s v="NO TIENE L3OUT"/>
    <n v="144"/>
    <n v="96"/>
  </r>
  <r>
    <n v="107"/>
    <x v="0"/>
    <x v="213"/>
    <s v="eth1/2"/>
    <x v="0"/>
    <x v="0"/>
    <x v="0"/>
    <m/>
    <x v="6"/>
    <b v="0"/>
    <s v="No está en VPC"/>
    <n v="107"/>
    <s v="INTPG_ACC_107_1.2"/>
    <s v="ISEL-1.2"/>
    <n v="1"/>
    <s v="NO TIENE L3OUT"/>
    <n v="118"/>
    <n v="96"/>
  </r>
  <r>
    <n v="109"/>
    <x v="0"/>
    <x v="214"/>
    <s v="eth1/2"/>
    <x v="0"/>
    <x v="0"/>
    <x v="0"/>
    <m/>
    <x v="6"/>
    <b v="0"/>
    <s v="No está en VPC"/>
    <n v="109"/>
    <s v="INTPG_ACC_109_1.2"/>
    <s v="ISEL-1.2"/>
    <n v="1"/>
    <s v="NO TIENE L3OUT"/>
    <n v="126"/>
    <n v="96"/>
  </r>
  <r>
    <n v="113"/>
    <x v="0"/>
    <x v="215"/>
    <s v="eth1/2"/>
    <x v="0"/>
    <x v="0"/>
    <x v="0"/>
    <s v="ASAP"/>
    <x v="6"/>
    <b v="0"/>
    <s v="No está en VPC"/>
    <n v="113"/>
    <s v="INTPG_ACC_113_1.2"/>
    <s v="ISEL-1.2"/>
    <n v="1"/>
    <s v="NO TIENE L3OUT"/>
    <n v="52"/>
    <n v="96"/>
  </r>
  <r>
    <n v="114"/>
    <x v="0"/>
    <x v="216"/>
    <s v="eth1/2"/>
    <x v="0"/>
    <x v="0"/>
    <x v="0"/>
    <s v="CFD"/>
    <x v="6"/>
    <b v="0"/>
    <s v="No está en VPC"/>
    <n v="114"/>
    <s v="INTPG_ACC_114_1.2"/>
    <s v="ISEL-1.2"/>
    <n v="1"/>
    <s v="NO TIENE L3OUT"/>
    <n v="144"/>
    <n v="96"/>
  </r>
  <r>
    <n v="124"/>
    <x v="0"/>
    <x v="217"/>
    <s v="eth1/2"/>
    <x v="1"/>
    <x v="1"/>
    <x v="2"/>
    <s v="OSSDD890 Rack1"/>
    <x v="6"/>
    <b v="0"/>
    <s v="No está en VPC"/>
    <n v="124"/>
    <s v="INTPG_ACC_124_1.2"/>
    <s v="ISEL-1.2"/>
    <n v="1"/>
    <s v="NO TIENE L3OUT"/>
    <n v="80"/>
    <n v="96"/>
  </r>
  <r>
    <n v="118"/>
    <x v="0"/>
    <x v="218"/>
    <s v="eth1/2"/>
    <x v="0"/>
    <x v="1"/>
    <x v="1"/>
    <s v="UXWEPD38"/>
    <x v="6"/>
    <b v="0"/>
    <s v="No está en VPC"/>
    <n v="118"/>
    <s v="INTPG_ACC_118_1.2"/>
    <s v="ISEL-1.2"/>
    <n v="1"/>
    <s v="NO TIENE L3OUT"/>
    <n v="180"/>
    <n v="96"/>
  </r>
  <r>
    <n v="159"/>
    <x v="0"/>
    <x v="219"/>
    <s v="eth1/2"/>
    <x v="0"/>
    <x v="1"/>
    <x v="1"/>
    <s v="TRAP"/>
    <x v="6"/>
    <b v="0"/>
    <s v="No está en VPC"/>
    <n v="159"/>
    <s v="INTPG_PC_159_1.2-7"/>
    <s v="ISEL-1.2"/>
    <n v="12"/>
    <s v="NO TIENE L3OUT"/>
    <n v="72"/>
    <n v="96"/>
  </r>
  <r>
    <n v="840"/>
    <x v="2"/>
    <x v="220"/>
    <s v="eth1/2"/>
    <x v="0"/>
    <x v="0"/>
    <x v="0"/>
    <s v="LINK_TO_ITHFHWCBSPSUSBD36 / Slot7.2_8 / Redundante"/>
    <x v="0"/>
    <b v="0"/>
    <s v="No está en VPC"/>
    <n v="840"/>
    <s v="INTPG_VPC_835_1.2_840_1.2"/>
    <s v="ISEL-1.2"/>
    <n v="1"/>
    <s v="NO TIENE L3OUT"/>
    <n v="8"/>
    <n v="54"/>
  </r>
  <r>
    <n v="856"/>
    <x v="2"/>
    <x v="221"/>
    <s v="eth1/2"/>
    <x v="0"/>
    <x v="0"/>
    <x v="0"/>
    <s v="LINK_TO_ITHFHWCRMPLCN135 / Slot1.1_4 / Principal"/>
    <x v="0"/>
    <b v="0"/>
    <s v="No está en VPC"/>
    <n v="856"/>
    <s v="INTPG_ACC_856_1.2"/>
    <s v="ISEL-1.2"/>
    <n v="6"/>
    <s v="NO TIENE L3OUT"/>
    <n v="286"/>
    <n v="54"/>
  </r>
  <r>
    <n v="110"/>
    <x v="0"/>
    <x v="222"/>
    <s v="eth1/2"/>
    <x v="0"/>
    <x v="0"/>
    <x v="0"/>
    <s v="OCUDR_1"/>
    <x v="6"/>
    <b v="0"/>
    <s v="No está en VPC"/>
    <n v="110"/>
    <s v="INTPG_ACC_110_1.2"/>
    <s v="ISEL-1.2"/>
    <n v="1"/>
    <s v="NO TIENE L3OUT"/>
    <n v="102"/>
    <n v="96"/>
  </r>
  <r>
    <n v="163"/>
    <x v="0"/>
    <x v="223"/>
    <s v="eth1/2"/>
    <x v="0"/>
    <x v="0"/>
    <x v="0"/>
    <m/>
    <x v="6"/>
    <b v="0"/>
    <s v="No está en VPC"/>
    <n v="163"/>
    <s v="INTPG_PC_163_1.2-6"/>
    <s v="ISEL-1.2"/>
    <n v="1"/>
    <s v="NO TIENE L3OUT"/>
    <n v="140"/>
    <n v="96"/>
  </r>
  <r>
    <n v="407"/>
    <x v="1"/>
    <x v="224"/>
    <s v="eth1/2"/>
    <x v="0"/>
    <x v="0"/>
    <x v="0"/>
    <s v="RLR2ARI01"/>
    <x v="6"/>
    <b v="0"/>
    <s v="No está en VPC"/>
    <n v="407"/>
    <s v="INTPG_ACC_407_1.2"/>
    <s v="ISEL-1.2"/>
    <n v="1"/>
    <s v="NO TIENE L3OUT"/>
    <n v="122"/>
    <n v="96"/>
  </r>
  <r>
    <n v="171"/>
    <x v="0"/>
    <x v="225"/>
    <s v="eth1/2"/>
    <x v="0"/>
    <x v="0"/>
    <x v="0"/>
    <s v="GSM_ENIQ_GDL_R6"/>
    <x v="6"/>
    <b v="0"/>
    <s v="No está en VPC"/>
    <n v="171"/>
    <s v="INTPG_VPC_171_1.2_172_1.3"/>
    <s v="ISEL-1.2"/>
    <n v="10"/>
    <s v="NO TIENE L3OUT"/>
    <n v="114"/>
    <n v="96"/>
  </r>
  <r>
    <n v="421"/>
    <x v="1"/>
    <x v="226"/>
    <s v="eth1/2"/>
    <x v="0"/>
    <x v="0"/>
    <x v="0"/>
    <s v="Prime-UCS-CLU2-B_client_LAG2_CISCOPRIME"/>
    <x v="6"/>
    <b v="0"/>
    <s v="No está en VPC"/>
    <n v="421"/>
    <s v="INTPG_VPC_419_1.2_421_1.2"/>
    <s v="ISEL-1.2"/>
    <n v="3"/>
    <s v="NO TIENE L3OUT"/>
    <n v="72"/>
    <n v="96"/>
  </r>
  <r>
    <n v="173"/>
    <x v="0"/>
    <x v="227"/>
    <s v="eth1/2"/>
    <x v="1"/>
    <x v="1"/>
    <x v="2"/>
    <s v="HUB_SMS_SVA"/>
    <x v="6"/>
    <b v="0"/>
    <s v="No está en VPC"/>
    <n v="173"/>
    <s v="INTPG_VPC_126_1.1-2_173_1.1-2"/>
    <s v="ISEL-1.2"/>
    <n v="3"/>
    <s v="NO TIENE L3OUT"/>
    <n v="66"/>
    <n v="96"/>
  </r>
  <r>
    <n v="154"/>
    <x v="0"/>
    <x v="228"/>
    <s v="eth1/2"/>
    <x v="0"/>
    <x v="0"/>
    <x v="0"/>
    <s v="Precios DEUR"/>
    <x v="6"/>
    <b v="0"/>
    <s v="No está en VPC"/>
    <n v="154"/>
    <s v="INTPG_ACC_154_1.2"/>
    <s v="ISEL-1.2"/>
    <n v="1"/>
    <s v="NO TIENE L3OUT"/>
    <n v="62"/>
    <n v="96"/>
  </r>
  <r>
    <n v="172"/>
    <x v="0"/>
    <x v="229"/>
    <s v="eth1/2"/>
    <x v="0"/>
    <x v="1"/>
    <x v="1"/>
    <s v="OSS 3G 12.2 DATOS "/>
    <x v="6"/>
    <b v="0"/>
    <s v="No está en VPC"/>
    <n v="172"/>
    <s v="INTPG_ACC_172_1.2"/>
    <s v="ISEL-1.2"/>
    <n v="1"/>
    <s v="NO TIENE L3OUT"/>
    <n v="104"/>
    <n v="96"/>
  </r>
  <r>
    <n v="420"/>
    <x v="1"/>
    <x v="230"/>
    <s v="eth1/2"/>
    <x v="0"/>
    <x v="0"/>
    <x v="0"/>
    <s v="junos_space2"/>
    <x v="6"/>
    <b v="0"/>
    <s v="No está en VPC"/>
    <n v="420"/>
    <s v="INTPG_ACC_420_1.2"/>
    <s v="ISEL-1.2"/>
    <n v="1"/>
    <s v="NO TIENE L3OUT"/>
    <n v="158"/>
    <n v="96"/>
  </r>
  <r>
    <n v="423"/>
    <x v="1"/>
    <x v="231"/>
    <s v="eth1/2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2"/>
    <x v="0"/>
    <x v="0"/>
    <x v="0"/>
    <s v="TO-SERVICE AVAILABILITY2-REDUNDANTE"/>
    <x v="6"/>
    <b v="0"/>
    <s v="No está en VPC"/>
    <n v="415"/>
    <s v="INTPG_ACC_415_1.2"/>
    <s v="ISEL-1.2"/>
    <n v="1"/>
    <s v="NO TIENE L3OUT"/>
    <n v="52"/>
    <n v="96"/>
  </r>
  <r>
    <n v="102"/>
    <x v="0"/>
    <x v="233"/>
    <s v="eth1/2"/>
    <x v="0"/>
    <x v="1"/>
    <x v="1"/>
    <s v="SFLDI_RLDISTG01_1"/>
    <x v="6"/>
    <b v="0"/>
    <s v="No está en VPC"/>
    <n v="102"/>
    <s v="INTPG_ACC_102_1.2"/>
    <s v="ISEL-1.2"/>
    <n v="1"/>
    <s v="NO TIENE L3OUT"/>
    <n v="228"/>
    <n v="96"/>
  </r>
  <r>
    <n v="863"/>
    <x v="2"/>
    <x v="234"/>
    <s v="eth1/2"/>
    <x v="0"/>
    <x v="0"/>
    <x v="0"/>
    <s v="To_VPC_2DCBSD_HD37_2"/>
    <x v="0"/>
    <b v="0"/>
    <s v="No está en VPC"/>
    <n v="863"/>
    <s v="INTPG_VPC_858_1.2_863_1.2"/>
    <s v="ISEL-1.2"/>
    <n v="1"/>
    <s v="NO TIENE L3OUT"/>
    <n v="8"/>
    <n v="54"/>
  </r>
  <r>
    <n v="876"/>
    <x v="2"/>
    <x v="235"/>
    <s v="eth1/2"/>
    <x v="0"/>
    <x v="0"/>
    <x v="0"/>
    <s v="LINK_TO_ITHFHWSEQLHDPS71 / Slot 4 PTO 1 / Principal"/>
    <x v="4"/>
    <b v="0"/>
    <s v="No está en VPC"/>
    <n v="876"/>
    <s v="INTPG_ACC_876_1.2"/>
    <s v="ISEL-1.2"/>
    <n v="1"/>
    <s v="NO TIENE L3OUT"/>
    <n v="92"/>
    <n v="54"/>
  </r>
  <r>
    <n v="877"/>
    <x v="2"/>
    <x v="236"/>
    <s v="eth1/2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2"/>
    <x v="0"/>
    <x v="0"/>
    <x v="0"/>
    <s v="RACK2-NZTF24"/>
    <x v="6"/>
    <b v="0"/>
    <s v="No está en VPC"/>
    <n v="122"/>
    <s v="INTPG_ACC_122_1.2"/>
    <s v="ISEL-1.2"/>
    <n v="1"/>
    <s v="NO TIENE L3OUT"/>
    <n v="148"/>
    <n v="96"/>
  </r>
  <r>
    <n v="157"/>
    <x v="0"/>
    <x v="238"/>
    <s v="eth1/2"/>
    <x v="1"/>
    <x v="1"/>
    <x v="2"/>
    <s v="Circulo Azul M5000"/>
    <x v="6"/>
    <b v="0"/>
    <s v="No está en VPC"/>
    <n v="157"/>
    <s v="INTPG_ACC_157_1.2"/>
    <s v="ISEL-1.2"/>
    <n v="0"/>
    <s v="NO TIENE L3OUT"/>
    <n v="202"/>
    <n v="96"/>
  </r>
  <r>
    <n v="408"/>
    <x v="1"/>
    <x v="239"/>
    <s v="eth1/2"/>
    <x v="1"/>
    <x v="1"/>
    <x v="2"/>
    <m/>
    <x v="6"/>
    <b v="0"/>
    <s v="No está en VPC"/>
    <n v="408"/>
    <s v="NO EXISTE PG"/>
    <s v="NO EXISTE ISEL"/>
    <n v="0"/>
    <s v="NO TIENE L3OUT"/>
    <n v="152"/>
    <n v="96"/>
  </r>
  <r>
    <n v="405"/>
    <x v="1"/>
    <x v="240"/>
    <s v="eth1/2"/>
    <x v="0"/>
    <x v="0"/>
    <x v="0"/>
    <s v="IXT_ARIESO4_LDR2"/>
    <x v="6"/>
    <b v="0"/>
    <s v="No está en VPC"/>
    <n v="405"/>
    <s v="INTPG_ACC_405_1.2"/>
    <s v="ISEL-1.2"/>
    <n v="1"/>
    <s v="NO TIENE L3OUT"/>
    <n v="138"/>
    <n v="96"/>
  </r>
  <r>
    <n v="169"/>
    <x v="0"/>
    <x v="241"/>
    <s v="eth1/2"/>
    <x v="1"/>
    <x v="1"/>
    <x v="2"/>
    <s v="RBT"/>
    <x v="6"/>
    <b v="0"/>
    <s v="No está en VPC"/>
    <n v="169"/>
    <s v="INTPG_VPC_167_1.2-3_169_1.1-2"/>
    <s v="ISEL-1.2"/>
    <n v="3"/>
    <s v="NO TIENE L3OUT"/>
    <n v="76"/>
    <n v="96"/>
  </r>
  <r>
    <n v="165"/>
    <x v="0"/>
    <x v="242"/>
    <s v="eth1/2"/>
    <x v="0"/>
    <x v="1"/>
    <x v="1"/>
    <s v="DHCP_FACTEL "/>
    <x v="6"/>
    <b v="0"/>
    <s v="No está en VPC"/>
    <n v="165"/>
    <s v="INTPG_ACC_165_1.2"/>
    <s v="ISEL-1.2"/>
    <n v="1"/>
    <s v="NO TIENE L3OUT"/>
    <n v="86"/>
    <n v="96"/>
  </r>
  <r>
    <n v="417"/>
    <x v="1"/>
    <x v="243"/>
    <s v="eth1/2"/>
    <x v="0"/>
    <x v="0"/>
    <x v="0"/>
    <s v="To-uxingemc4 ldom1 uxinghdr2"/>
    <x v="6"/>
    <b v="0"/>
    <s v="No está en VPC"/>
    <n v="417"/>
    <s v="INTPG_ACC_417_1.2"/>
    <s v="ISEL-1.2"/>
    <n v="1"/>
    <s v="NO TIENE L3OUT"/>
    <n v="56"/>
    <n v="96"/>
  </r>
  <r>
    <n v="153"/>
    <x v="0"/>
    <x v="244"/>
    <s v="eth1/2"/>
    <x v="0"/>
    <x v="0"/>
    <x v="0"/>
    <s v="BLOQUEO EMEI"/>
    <x v="6"/>
    <b v="0"/>
    <s v="No está en VPC"/>
    <n v="153"/>
    <s v="INTPG_ACC_153_1.2"/>
    <s v="ISEL-1.2"/>
    <n v="1"/>
    <s v="NO TIENE L3OUT"/>
    <n v="42"/>
    <n v="96"/>
  </r>
  <r>
    <n v="119"/>
    <x v="0"/>
    <x v="245"/>
    <s v="eth1/2"/>
    <x v="1"/>
    <x v="1"/>
    <x v="2"/>
    <s v="DESC"/>
    <x v="6"/>
    <b v="0"/>
    <s v="No está en VPC"/>
    <n v="119"/>
    <s v="INTPG_PC_119_1.1-4_17-20"/>
    <s v="ISEL-1.2"/>
    <n v="31"/>
    <s v="NO TIENE L3OUT"/>
    <n v="70"/>
    <n v="96"/>
  </r>
  <r>
    <n v="156"/>
    <x v="0"/>
    <x v="246"/>
    <s v="eth1/2"/>
    <x v="0"/>
    <x v="0"/>
    <x v="0"/>
    <s v="ARIESO_GEOLOCALIZACION"/>
    <x v="6"/>
    <b v="0"/>
    <s v="No está en VPC"/>
    <n v="156"/>
    <s v="INTPG_ACC_156_1.2"/>
    <s v="ISEL-1.2"/>
    <n v="1"/>
    <s v="NO TIENE L3OUT"/>
    <n v="40"/>
    <n v="96"/>
  </r>
  <r>
    <n v="103"/>
    <x v="0"/>
    <x v="247"/>
    <s v="eth1/2"/>
    <x v="0"/>
    <x v="0"/>
    <x v="0"/>
    <s v="EHEALTH:ehealthp01:NET01"/>
    <x v="6"/>
    <b v="0"/>
    <s v="No está en VPC"/>
    <n v="103"/>
    <s v="INTPG_ACC_103_1.2"/>
    <s v="ISEL-1.2"/>
    <n v="1"/>
    <s v="NO TIENE L3OUT"/>
    <n v="70"/>
    <n v="96"/>
  </r>
  <r>
    <n v="438"/>
    <x v="1"/>
    <x v="248"/>
    <s v="eth1/2"/>
    <x v="0"/>
    <x v="0"/>
    <x v="0"/>
    <s v="uxdomaine"/>
    <x v="6"/>
    <b v="0"/>
    <s v="No está en VPC"/>
    <n v="438"/>
    <s v="INTPG_ACC_438_1.2"/>
    <s v="ISEL-1.2"/>
    <n v="1"/>
    <s v="NO TIENE L3OUT"/>
    <n v="170"/>
    <n v="96"/>
  </r>
  <r>
    <n v="406"/>
    <x v="1"/>
    <x v="249"/>
    <s v="eth1/2"/>
    <x v="0"/>
    <x v="0"/>
    <x v="0"/>
    <s v="Lag2_SMT"/>
    <x v="6"/>
    <b v="0"/>
    <s v="No está en VPC"/>
    <n v="406"/>
    <s v="INTPG_PC_406_1.1-2"/>
    <s v="ISEL-1.2"/>
    <n v="3"/>
    <s v="NO TIENE L3OUT"/>
    <n v="82"/>
    <n v="96"/>
  </r>
  <r>
    <n v="414"/>
    <x v="1"/>
    <x v="250"/>
    <s v="eth1/2"/>
    <x v="0"/>
    <x v="0"/>
    <x v="0"/>
    <s v="ITHRTCNBU1_1"/>
    <x v="6"/>
    <b v="0"/>
    <s v="No está en VPC"/>
    <n v="414"/>
    <s v="INTPG_ACC_414_1.2"/>
    <s v="ISEL-1.2"/>
    <n v="1"/>
    <s v="NO TIENE L3OUT"/>
    <n v="144"/>
    <n v="96"/>
  </r>
  <r>
    <n v="416"/>
    <x v="1"/>
    <x v="251"/>
    <s v="eth1/2"/>
    <x v="0"/>
    <x v="0"/>
    <x v="0"/>
    <s v="ITHRTC4AEN2VC2"/>
    <x v="6"/>
    <b v="0"/>
    <s v="No está en VPC"/>
    <n v="416"/>
    <s v="INTPG_VPC_416_1.2_418_1.2"/>
    <s v="ISEL-1.2"/>
    <n v="1"/>
    <s v="NO TIENE L3OUT"/>
    <n v="110"/>
    <n v="96"/>
  </r>
  <r>
    <n v="418"/>
    <x v="1"/>
    <x v="252"/>
    <s v="eth1/2"/>
    <x v="0"/>
    <x v="0"/>
    <x v="0"/>
    <s v="ITHRTC4AEN2VC2"/>
    <x v="6"/>
    <b v="0"/>
    <s v="No está en VPC"/>
    <n v="418"/>
    <s v="INTPG_VPC_416_1.2_418_1.2"/>
    <s v="ISEL-1.2"/>
    <n v="1"/>
    <s v="NO TIENE L3OUT"/>
    <n v="152"/>
    <n v="96"/>
  </r>
  <r>
    <n v="413"/>
    <x v="1"/>
    <x v="253"/>
    <s v="eth1/2"/>
    <x v="0"/>
    <x v="0"/>
    <x v="0"/>
    <s v="ECOSS"/>
    <x v="6"/>
    <b v="0"/>
    <s v="No está en VPC"/>
    <n v="413"/>
    <s v="INTPG_VPC_411_1.1-2_413_1.1-2"/>
    <s v="ISEL-1.2"/>
    <n v="6"/>
    <s v="NO TIENE L3OUT"/>
    <n v="126"/>
    <n v="96"/>
  </r>
  <r>
    <n v="403"/>
    <x v="1"/>
    <x v="254"/>
    <s v="eth1/2"/>
    <x v="0"/>
    <x v="0"/>
    <x v="0"/>
    <s v="IXT_ARIESO4_LDR2"/>
    <x v="6"/>
    <b v="0"/>
    <s v="No está en VPC"/>
    <n v="403"/>
    <s v="INTPG_ACC_403_1.2"/>
    <s v="ISEL-1.2"/>
    <n v="1"/>
    <s v="NO TIENE L3OUT"/>
    <n v="150"/>
    <n v="96"/>
  </r>
  <r>
    <n v="125"/>
    <x v="0"/>
    <x v="255"/>
    <s v="eth1/2"/>
    <x v="0"/>
    <x v="0"/>
    <x v="0"/>
    <s v="GSM_OSS_QRO_R6"/>
    <x v="6"/>
    <b v="0"/>
    <s v="No está en VPC"/>
    <n v="125"/>
    <s v="INTPG_VPC_124_1.3_125_1.2"/>
    <s v="ISEL-1.2"/>
    <n v="10"/>
    <s v="NO TIENE L3OUT"/>
    <n v="72"/>
    <n v="96"/>
  </r>
  <r>
    <n v="166"/>
    <x v="0"/>
    <x v="256"/>
    <s v="eth1/2"/>
    <x v="0"/>
    <x v="0"/>
    <x v="0"/>
    <s v="AMS500_Unity_MGMT"/>
    <x v="6"/>
    <b v="0"/>
    <s v="No está en VPC"/>
    <n v="166"/>
    <s v="INTPG_ACC_166_1.2"/>
    <s v="ISEL-1.2"/>
    <n v="1"/>
    <s v="NO TIENE L3OUT"/>
    <n v="84"/>
    <n v="96"/>
  </r>
  <r>
    <n v="111"/>
    <x v="0"/>
    <x v="257"/>
    <s v="eth1/2"/>
    <x v="0"/>
    <x v="0"/>
    <x v="0"/>
    <s v="OCUDR_1"/>
    <x v="6"/>
    <b v="0"/>
    <s v="No está en VPC"/>
    <n v="111"/>
    <s v="INTPG_ACC_111_1.2"/>
    <s v="ISEL-1.2"/>
    <n v="1"/>
    <s v="NO TIENE L3OUT"/>
    <n v="58"/>
    <n v="96"/>
  </r>
  <r>
    <n v="115"/>
    <x v="0"/>
    <x v="258"/>
    <s v="eth1/2"/>
    <x v="0"/>
    <x v="0"/>
    <x v="0"/>
    <s v="ASAP"/>
    <x v="6"/>
    <b v="0"/>
    <s v="No está en VPC"/>
    <n v="115"/>
    <s v="INTPG_ACC_115_1.2"/>
    <s v="ISEL-1.2"/>
    <n v="1"/>
    <s v="NO TIENE L3OUT"/>
    <n v="42"/>
    <n v="96"/>
  </r>
  <r>
    <n v="106"/>
    <x v="0"/>
    <x v="259"/>
    <s v="eth1/2"/>
    <x v="0"/>
    <x v="1"/>
    <x v="1"/>
    <s v="Consolidaci\u00f3n Aseguramiento de Ingresos "/>
    <x v="6"/>
    <b v="0"/>
    <s v="No está en VPC"/>
    <n v="106"/>
    <s v="INTPG_ACC_106_1.2"/>
    <s v="ISEL-1.2"/>
    <n v="1"/>
    <s v="NO TIENE L3OUT"/>
    <n v="122"/>
    <n v="96"/>
  </r>
  <r>
    <n v="126"/>
    <x v="0"/>
    <x v="260"/>
    <s v="eth1/2"/>
    <x v="0"/>
    <x v="0"/>
    <x v="0"/>
    <s v="HUB_SMS_SVA"/>
    <x v="6"/>
    <b v="0"/>
    <s v="No está en VPC"/>
    <n v="126"/>
    <s v="INTPG_VPC_126_1.1-2_173_1.1-2"/>
    <s v="ISEL-1.2"/>
    <n v="3"/>
    <s v="NO TIENE L3OUT"/>
    <n v="54"/>
    <n v="96"/>
  </r>
  <r>
    <n v="425"/>
    <x v="1"/>
    <x v="261"/>
    <s v="eth1/2"/>
    <x v="0"/>
    <x v="1"/>
    <x v="1"/>
    <s v="VTA_F5_eth1"/>
    <x v="6"/>
    <b v="0"/>
    <s v="No está en VPC"/>
    <n v="425"/>
    <s v="INTPG_ACC_425_1.2"/>
    <s v="ISEL-1.2"/>
    <n v="1"/>
    <s v="NO TIENE L3OUT"/>
    <n v="86"/>
    <n v="96"/>
  </r>
  <r>
    <n v="151"/>
    <x v="0"/>
    <x v="262"/>
    <s v="eth1/2"/>
    <x v="0"/>
    <x v="0"/>
    <x v="0"/>
    <s v="Gesti\u00f3n de los sistemas electromec\u00e1nicos de Ixtlahuaca"/>
    <x v="6"/>
    <b v="0"/>
    <s v="No está en VPC"/>
    <n v="151"/>
    <s v="INTPG_ACC_151_1.2"/>
    <s v="ISEL-1.2"/>
    <n v="1"/>
    <s v="NO TIENE L3OUT"/>
    <n v="86"/>
    <n v="96"/>
  </r>
  <r>
    <n v="430"/>
    <x v="1"/>
    <x v="263"/>
    <s v="eth1/2"/>
    <x v="0"/>
    <x v="0"/>
    <x v="0"/>
    <s v="DOC1_2"/>
    <x v="6"/>
    <b v="0"/>
    <s v="No está en VPC"/>
    <n v="430"/>
    <s v="INTPG_VPC_428_1.2_430_1.2"/>
    <s v="ISEL-1.2"/>
    <n v="1"/>
    <s v="NO TIENE L3OUT"/>
    <n v="86"/>
    <n v="96"/>
  </r>
  <r>
    <n v="419"/>
    <x v="1"/>
    <x v="264"/>
    <s v="eth1/2"/>
    <x v="0"/>
    <x v="0"/>
    <x v="0"/>
    <s v="Prime-UCS-CLU2-B_client_LAG2_CISCOPRIME"/>
    <x v="6"/>
    <b v="0"/>
    <s v="No está en VPC"/>
    <n v="419"/>
    <s v="INTPG_VPC_419_1.2_421_1.2"/>
    <s v="ISEL-1.2"/>
    <n v="3"/>
    <s v="NO TIENE L3OUT"/>
    <n v="70"/>
    <n v="96"/>
  </r>
  <r>
    <n v="155"/>
    <x v="0"/>
    <x v="265"/>
    <s v="eth1/2"/>
    <x v="0"/>
    <x v="0"/>
    <x v="0"/>
    <s v="UXINGE"/>
    <x v="6"/>
    <b v="0"/>
    <s v="No está en VPC"/>
    <n v="155"/>
    <s v="INTPG_ACC_155_1.2"/>
    <s v="ISEL-1.2"/>
    <n v="1"/>
    <s v="NO TIENE L3OUT"/>
    <n v="198"/>
    <n v="96"/>
  </r>
  <r>
    <n v="409"/>
    <x v="1"/>
    <x v="266"/>
    <s v="eth1/2"/>
    <x v="0"/>
    <x v="0"/>
    <x v="0"/>
    <s v="RLR2ARI06"/>
    <x v="6"/>
    <b v="0"/>
    <s v="No está en VPC"/>
    <n v="409"/>
    <s v="INTPG_ACC_409_1.2"/>
    <s v="ISEL-1.2"/>
    <n v="1"/>
    <s v="NO TIENE L3OUT"/>
    <n v="128"/>
    <n v="96"/>
  </r>
  <r>
    <n v="422"/>
    <x v="1"/>
    <x v="267"/>
    <s v="eth1/2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2"/>
    <x v="0"/>
    <x v="1"/>
    <x v="1"/>
    <s v="uxdomaine"/>
    <x v="6"/>
    <b v="0"/>
    <s v="No está en VPC"/>
    <n v="436"/>
    <s v="INTPG_ACC_436_1.2"/>
    <s v="ISEL-1.2"/>
    <n v="1"/>
    <s v="NO TIENE L3OUT"/>
    <n v="172"/>
    <n v="96"/>
  </r>
  <r>
    <n v="410"/>
    <x v="1"/>
    <x v="269"/>
    <s v="eth1/2"/>
    <x v="0"/>
    <x v="0"/>
    <x v="0"/>
    <s v="9UCS-IXTLA-WEBEX-SERV4"/>
    <x v="6"/>
    <b v="0"/>
    <s v="No está en VPC"/>
    <n v="410"/>
    <s v="INTPG_ACC_410_1.2"/>
    <s v="ISEL-1.2"/>
    <n v="1"/>
    <s v="NO TIENE L3OUT"/>
    <n v="178"/>
    <n v="96"/>
  </r>
  <r>
    <n v="161"/>
    <x v="0"/>
    <x v="270"/>
    <s v="eth1/2"/>
    <x v="0"/>
    <x v="0"/>
    <x v="0"/>
    <s v="IBM SICOD"/>
    <x v="6"/>
    <b v="0"/>
    <s v="No está en VPC"/>
    <n v="161"/>
    <s v="INTPG_ACC_161_1.2"/>
    <s v="ISEL-1.2"/>
    <n v="1"/>
    <s v="NO TIENE L3OUT"/>
    <n v="102"/>
    <n v="96"/>
  </r>
  <r>
    <n v="411"/>
    <x v="1"/>
    <x v="271"/>
    <s v="eth1/2"/>
    <x v="0"/>
    <x v="0"/>
    <x v="0"/>
    <s v="ECOSS"/>
    <x v="6"/>
    <b v="0"/>
    <s v="No está en VPC"/>
    <n v="411"/>
    <s v="INTPG_VPC_411_1.1-2_413_1.1-2"/>
    <s v="ISEL-1.2"/>
    <n v="6"/>
    <s v="NO TIENE L3OUT"/>
    <n v="96"/>
    <n v="96"/>
  </r>
  <r>
    <n v="116"/>
    <x v="0"/>
    <x v="272"/>
    <s v="eth1/2"/>
    <x v="0"/>
    <x v="1"/>
    <x v="1"/>
    <s v="UXWEPD38"/>
    <x v="6"/>
    <b v="0"/>
    <s v="No está en VPC"/>
    <n v="116"/>
    <s v="INTPG_ACC_116_1.2"/>
    <s v="ISEL-1.2"/>
    <n v="1"/>
    <s v="NO TIENE L3OUT"/>
    <n v="148"/>
    <n v="96"/>
  </r>
  <r>
    <n v="412"/>
    <x v="1"/>
    <x v="273"/>
    <s v="eth1/2"/>
    <x v="0"/>
    <x v="0"/>
    <x v="0"/>
    <s v="uxhdr01c"/>
    <x v="6"/>
    <b v="0"/>
    <s v="No está en VPC"/>
    <n v="412"/>
    <s v="INTPG_ACC_412_1.2"/>
    <s v="ISEL-1.2"/>
    <n v="1"/>
    <s v="NO TIENE L3OUT"/>
    <n v="126"/>
    <n v="96"/>
  </r>
  <r>
    <n v="120"/>
    <x v="0"/>
    <x v="274"/>
    <s v="eth1/2"/>
    <x v="0"/>
    <x v="0"/>
    <x v="0"/>
    <s v="RACK1-NZTF24"/>
    <x v="6"/>
    <b v="0"/>
    <s v="No está en VPC"/>
    <n v="120"/>
    <s v="INTPG_ACC_120_1.2"/>
    <s v="ISEL-1.2"/>
    <n v="1"/>
    <s v="NO TIENE L3OUT"/>
    <n v="158"/>
    <n v="96"/>
  </r>
  <r>
    <n v="404"/>
    <x v="1"/>
    <x v="275"/>
    <s v="eth1/2"/>
    <x v="0"/>
    <x v="1"/>
    <x v="6"/>
    <s v="Lag1_SMT"/>
    <x v="6"/>
    <b v="0"/>
    <s v="No está en VPC"/>
    <n v="404"/>
    <s v="INTPG_PC_404_1.1-2"/>
    <s v="ISEL-1.2"/>
    <n v="1"/>
    <s v="NO TIENE L3OUT"/>
    <n v="92"/>
    <n v="96"/>
  </r>
  <r>
    <n v="167"/>
    <x v="0"/>
    <x v="276"/>
    <s v="eth1/2"/>
    <x v="0"/>
    <x v="0"/>
    <x v="0"/>
    <s v="RBT"/>
    <x v="6"/>
    <b v="0"/>
    <s v="No está en VPC"/>
    <n v="167"/>
    <s v="INTPG_VPC_167_1.2-3_169_1.1-2"/>
    <s v="ISEL-1.2"/>
    <n v="3"/>
    <s v="NO TIENE L3OUT"/>
    <n v="68"/>
    <n v="96"/>
  </r>
  <r>
    <n v="428"/>
    <x v="1"/>
    <x v="277"/>
    <s v="eth1/2"/>
    <x v="0"/>
    <x v="0"/>
    <x v="0"/>
    <s v="DOC1_2"/>
    <x v="6"/>
    <b v="0"/>
    <s v="No está en VPC"/>
    <n v="428"/>
    <s v="INTPG_VPC_428_1.2_430_1.2"/>
    <s v="ISEL-1.2"/>
    <n v="1"/>
    <s v="NO TIENE L3OUT"/>
    <n v="102"/>
    <n v="96"/>
  </r>
  <r>
    <n v="903"/>
    <x v="2"/>
    <x v="278"/>
    <s v="eth1/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20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20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20"/>
    <x v="0"/>
    <x v="0"/>
    <x v="0"/>
    <s v="TO-ITHEMCDD69007641DKC0-INT1.4"/>
    <x v="1"/>
    <b v="0"/>
    <s v="No está en VPC"/>
    <n v="152"/>
    <s v="INTPG_ACC_152_1.20"/>
    <s v="ISEL-1.20"/>
    <n v="1"/>
    <s v="NO TIENE L3OUT"/>
    <n v="38"/>
    <n v="54"/>
  </r>
  <r>
    <n v="101"/>
    <x v="0"/>
    <x v="3"/>
    <s v="eth1/20"/>
    <x v="0"/>
    <x v="0"/>
    <x v="0"/>
    <s v="TO-ITHFHPNBURBKP01"/>
    <x v="0"/>
    <b v="0"/>
    <s v="No está en VPC"/>
    <n v="101"/>
    <s v="INTPG_VPC_101_1.20_150_1.20"/>
    <s v="ISEL-1.20"/>
    <n v="1"/>
    <s v="NO TIENE L3OUT"/>
    <n v="114"/>
    <n v="54"/>
  </r>
  <r>
    <n v="160"/>
    <x v="0"/>
    <x v="4"/>
    <s v="eth1/20"/>
    <x v="0"/>
    <x v="0"/>
    <x v="0"/>
    <m/>
    <x v="1"/>
    <b v="0"/>
    <s v="No está en VPC"/>
    <n v="160"/>
    <s v="INTPG_ACC_160_1.20"/>
    <s v="ISEL-1.20"/>
    <n v="1"/>
    <s v="NO TIENE L3OUT"/>
    <n v="68"/>
    <n v="54"/>
  </r>
  <r>
    <n v="121"/>
    <x v="0"/>
    <x v="5"/>
    <s v="eth1/20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20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20"/>
    <x v="0"/>
    <x v="0"/>
    <x v="0"/>
    <s v="CONSOLIDACION_ITHFOCCSLUAP02_PRINCIPAL"/>
    <x v="0"/>
    <b v="0"/>
    <s v="No está en VPC"/>
    <n v="401"/>
    <s v="INTPG_ACC_401_1.20"/>
    <s v="ISEL-1.20"/>
    <n v="1"/>
    <s v="NO TIENE L3OUT"/>
    <n v="40"/>
    <n v="54"/>
  </r>
  <r>
    <n v="402"/>
    <x v="1"/>
    <x v="8"/>
    <s v="eth1/20"/>
    <x v="0"/>
    <x v="0"/>
    <x v="0"/>
    <s v="CONSOLIDACION_ITHFOCCSLUAP02_REDUDANTE"/>
    <x v="0"/>
    <b v="0"/>
    <s v="No está en VPC"/>
    <n v="402"/>
    <s v="INTPG_ACC_402_1.20"/>
    <s v="ISEL-1.20"/>
    <n v="1"/>
    <s v="NO TIENE L3OUT"/>
    <n v="36"/>
    <n v="54"/>
  </r>
  <r>
    <n v="447"/>
    <x v="1"/>
    <x v="9"/>
    <s v="eth1/20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20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20"/>
    <x v="0"/>
    <x v="0"/>
    <x v="0"/>
    <s v="TO-ITHEMCDD99000569"/>
    <x v="0"/>
    <b v="0"/>
    <s v="No está en VPC"/>
    <n v="130"/>
    <s v="INTPG_VPC_130_1.20_131_1.20-21"/>
    <s v="ISEL-1.20"/>
    <n v="1"/>
    <s v="NO TIENE L3OUT"/>
    <n v="128"/>
    <n v="54"/>
  </r>
  <r>
    <n v="150"/>
    <x v="0"/>
    <x v="12"/>
    <s v="eth1/20"/>
    <x v="0"/>
    <x v="0"/>
    <x v="0"/>
    <s v="TO-ITHFHPNBURBKP01"/>
    <x v="0"/>
    <b v="0"/>
    <s v="No está en VPC"/>
    <n v="150"/>
    <s v="INTPG_VPC_101_1.20_150_1.20"/>
    <s v="ISEL-1.20"/>
    <n v="1"/>
    <s v="NO TIENE L3OUT"/>
    <n v="118"/>
    <n v="54"/>
  </r>
  <r>
    <n v="131"/>
    <x v="0"/>
    <x v="13"/>
    <s v="eth1/20"/>
    <x v="0"/>
    <x v="0"/>
    <x v="0"/>
    <s v="TO-ITHEMCDD99000569"/>
    <x v="0"/>
    <b v="0"/>
    <s v="No está en VPC"/>
    <n v="131"/>
    <s v="INTPG_VPC_130_1.20_131_1.20-21"/>
    <s v="ISEL-1.20"/>
    <n v="1"/>
    <s v="NO TIENE L3OUT"/>
    <n v="126"/>
    <n v="54"/>
  </r>
  <r>
    <n v="303"/>
    <x v="0"/>
    <x v="14"/>
    <s v="eth1/20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20"/>
    <x v="0"/>
    <x v="0"/>
    <x v="0"/>
    <s v="GRLK-EN03-LAG02"/>
    <x v="2"/>
    <b v="0"/>
    <s v="No está en VPC"/>
    <n v="758"/>
    <s v="INTPG_VPC_758_1.20_759_1.20"/>
    <s v="ISEL-1.20"/>
    <n v="145"/>
    <s v="NO TIENE L3OUT"/>
    <n v="0"/>
    <n v="42"/>
  </r>
  <r>
    <n v="759"/>
    <x v="2"/>
    <x v="16"/>
    <s v="eth1/20"/>
    <x v="0"/>
    <x v="0"/>
    <x v="0"/>
    <s v="GRLK-EN03-LAG02"/>
    <x v="2"/>
    <b v="0"/>
    <s v="No está en VPC"/>
    <n v="759"/>
    <s v="INTPG_VPC_758_1.20_759_1.20"/>
    <s v="ISEL-1.20"/>
    <n v="145"/>
    <s v="NO TIENE L3OUT"/>
    <n v="0"/>
    <n v="42"/>
  </r>
  <r>
    <n v="302"/>
    <x v="0"/>
    <x v="17"/>
    <s v="eth1/20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20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20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20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20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20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20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20"/>
    <x v="0"/>
    <x v="1"/>
    <x v="3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20"/>
    <x v="0"/>
    <x v="1"/>
    <x v="1"/>
    <m/>
    <x v="0"/>
    <b v="0"/>
    <s v="No está en VPC"/>
    <n v="725"/>
    <s v="INTPG-VPC_HDD99_724_1.19_725_1.20"/>
    <s v="ISEL-1.20"/>
    <n v="1"/>
    <s v="NO TIENE L3OUT"/>
    <n v="0"/>
    <n v="54"/>
  </r>
  <r>
    <n v="431"/>
    <x v="1"/>
    <x v="26"/>
    <s v="eth1/20"/>
    <x v="0"/>
    <x v="0"/>
    <x v="0"/>
    <s v="ZTE_HADOOP_produccion_client_LAG"/>
    <x v="0"/>
    <b v="0"/>
    <s v="No está en VPC"/>
    <n v="431"/>
    <s v="INTPG_VPC_431_1.18-21_448_1.18-21"/>
    <s v="ISEL-1.20"/>
    <n v="8"/>
    <s v="NO TIENE L3OUT"/>
    <n v="46"/>
    <n v="54"/>
  </r>
  <r>
    <n v="433"/>
    <x v="1"/>
    <x v="27"/>
    <s v="eth1/20"/>
    <x v="0"/>
    <x v="0"/>
    <x v="0"/>
    <s v="ITHRNCOP2ET01_IDRAC"/>
    <x v="1"/>
    <b v="0"/>
    <s v="No está en VPC"/>
    <n v="433"/>
    <s v="INTPG_ACC_433_1.20"/>
    <s v="ISEL-1.20"/>
    <n v="1"/>
    <s v="NO TIENE L3OUT"/>
    <n v="42"/>
    <n v="54"/>
  </r>
  <r>
    <n v="429"/>
    <x v="1"/>
    <x v="28"/>
    <s v="eth1/20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20"/>
    <x v="0"/>
    <x v="1"/>
    <x v="1"/>
    <s v="SecAnLG_Gb2_04-Colector_R9-SA_IXTSALG_H9SA"/>
    <x v="1"/>
    <b v="0"/>
    <s v="No está en VPC"/>
    <n v="432"/>
    <s v="INTPG_ACC_432_1.20"/>
    <s v="ISEL-1.20"/>
    <n v="1"/>
    <s v="NO TIENE L3OUT"/>
    <n v="54"/>
    <n v="54"/>
  </r>
  <r>
    <n v="442"/>
    <x v="1"/>
    <x v="30"/>
    <s v="eth1/20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20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20"/>
    <x v="0"/>
    <x v="1"/>
    <x v="3"/>
    <s v="CEM:ITHCEMG2NAM17:LOM P3"/>
    <x v="0"/>
    <b v="0"/>
    <s v="No está en VPC"/>
    <n v="707"/>
    <s v="INTPG_ACC_707_1.20"/>
    <s v="ISEL-1.20"/>
    <n v="1"/>
    <s v="NO TIENE L3OUT"/>
    <n v="54"/>
    <n v="54"/>
  </r>
  <r>
    <n v="712"/>
    <x v="2"/>
    <x v="33"/>
    <s v="eth1/20"/>
    <x v="0"/>
    <x v="1"/>
    <x v="5"/>
    <s v="CEM:ITHCEMA2AKF10:LOM  P2"/>
    <x v="0"/>
    <b v="0"/>
    <s v="No está en VPC"/>
    <n v="712"/>
    <s v="INTPG_VPC_713_1.19_712_1.20"/>
    <s v="ISEL-1.20"/>
    <n v="1"/>
    <s v="NO TIENE L3OUT"/>
    <n v="32"/>
    <n v="54"/>
  </r>
  <r>
    <n v="719"/>
    <x v="2"/>
    <x v="34"/>
    <s v="eth1/20"/>
    <x v="0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20"/>
    <x v="0"/>
    <x v="0"/>
    <x v="0"/>
    <m/>
    <x v="0"/>
    <b v="0"/>
    <s v="No está en VPC"/>
    <n v="715"/>
    <s v="INTPG-VPC_HDD30_716_1.19_715_1.20"/>
    <s v="ISEL-1.20"/>
    <n v="1"/>
    <s v="NO TIENE L3OUT"/>
    <n v="0"/>
    <n v="54"/>
  </r>
  <r>
    <n v="427"/>
    <x v="1"/>
    <x v="36"/>
    <s v="eth1/20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20"/>
    <x v="0"/>
    <x v="1"/>
    <x v="5"/>
    <s v="CEM:ITHCEMD2AKF10:LOM  P2"/>
    <x v="0"/>
    <b v="0"/>
    <s v="No está en VPC"/>
    <n v="711"/>
    <s v="INTPG_VPC_710_1.19_711_1.20"/>
    <s v="ISEL-1.20"/>
    <n v="1"/>
    <s v="NO TIENE L3OUT"/>
    <n v="16"/>
    <n v="54"/>
  </r>
  <r>
    <n v="716"/>
    <x v="2"/>
    <x v="38"/>
    <s v="eth1/20"/>
    <x v="0"/>
    <x v="0"/>
    <x v="0"/>
    <m/>
    <x v="0"/>
    <b v="0"/>
    <s v="No está en VPC"/>
    <n v="716"/>
    <s v="INTPG-VPC_SLR04_715_1.19_716_1.20"/>
    <s v="ISEL-1.20"/>
    <n v="1"/>
    <s v="NO TIENE L3OUT"/>
    <n v="0"/>
    <n v="54"/>
  </r>
  <r>
    <n v="702"/>
    <x v="2"/>
    <x v="39"/>
    <s v="eth1/20"/>
    <x v="0"/>
    <x v="0"/>
    <x v="0"/>
    <m/>
    <x v="0"/>
    <b v="0"/>
    <s v="No está en VPC"/>
    <n v="702"/>
    <s v="INTPG_VPC_701_1.19_702_1.20"/>
    <s v="ISEL-1.20"/>
    <n v="2"/>
    <s v="NO TIENE L3OUT"/>
    <n v="0"/>
    <n v="54"/>
  </r>
  <r>
    <n v="435"/>
    <x v="1"/>
    <x v="40"/>
    <s v="eth1/20"/>
    <x v="0"/>
    <x v="0"/>
    <x v="0"/>
    <s v="ITHRNCOP2ET01-ETH2"/>
    <x v="1"/>
    <b v="0"/>
    <s v="No está en VPC"/>
    <n v="435"/>
    <s v="INTPG_ACC_435_1.20"/>
    <s v="ISEL-1.20"/>
    <n v="1"/>
    <s v="NO TIENE L3OUT"/>
    <n v="34"/>
    <n v="54"/>
  </r>
  <r>
    <n v="446"/>
    <x v="1"/>
    <x v="41"/>
    <s v="eth1/20"/>
    <x v="0"/>
    <x v="0"/>
    <x v="0"/>
    <s v="TO-ITHFDLMCLWLCN01"/>
    <x v="0"/>
    <b v="0"/>
    <s v="No está en VPC"/>
    <n v="446"/>
    <s v="INTPG_VPC_446_1.20_444_1.19"/>
    <s v="ISEL-1.20"/>
    <n v="1"/>
    <s v="NO TIENE L3OUT"/>
    <n v="198"/>
    <n v="54"/>
  </r>
  <r>
    <n v="444"/>
    <x v="1"/>
    <x v="42"/>
    <s v="eth1/20"/>
    <x v="0"/>
    <x v="0"/>
    <x v="0"/>
    <m/>
    <x v="0"/>
    <b v="0"/>
    <s v="No está en VPC"/>
    <n v="444"/>
    <s v="INTPG_ACC_444_1.20"/>
    <s v="ISEL-1.20"/>
    <n v="9"/>
    <s v="NO TIENE L3OUT"/>
    <n v="234"/>
    <n v="54"/>
  </r>
  <r>
    <n v="701"/>
    <x v="2"/>
    <x v="43"/>
    <s v="eth1/20"/>
    <x v="0"/>
    <x v="0"/>
    <x v="0"/>
    <m/>
    <x v="0"/>
    <b v="0"/>
    <s v="No está en VPC"/>
    <n v="701"/>
    <s v="INTPG_VPC_702_1.19_701_1.20"/>
    <s v="ISEL-1.20"/>
    <n v="1"/>
    <s v="NO TIENE L3OUT"/>
    <n v="0"/>
    <n v="54"/>
  </r>
  <r>
    <n v="440"/>
    <x v="1"/>
    <x v="44"/>
    <s v="eth1/20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20"/>
    <x v="0"/>
    <x v="0"/>
    <x v="0"/>
    <s v="ZTE_HADOOP_produccion_client_LAG"/>
    <x v="0"/>
    <b v="0"/>
    <s v="No está en VPC"/>
    <n v="448"/>
    <s v="INTPG_VPC_431_1.18-21_448_1.18-21"/>
    <s v="ISEL-1.20"/>
    <n v="8"/>
    <s v="NO TIENE L3OUT"/>
    <n v="46"/>
    <n v="54"/>
  </r>
  <r>
    <n v="704"/>
    <x v="2"/>
    <x v="46"/>
    <s v="eth1/20"/>
    <x v="0"/>
    <x v="0"/>
    <x v="0"/>
    <m/>
    <x v="0"/>
    <b v="0"/>
    <s v="No está en VPC"/>
    <n v="704"/>
    <s v="INTPG_VPC_703_1.19_704_1.20"/>
    <s v="ISEL-1.20"/>
    <n v="1"/>
    <s v="NO TIENE L3OUT"/>
    <n v="0"/>
    <n v="54"/>
  </r>
  <r>
    <n v="729"/>
    <x v="2"/>
    <x v="47"/>
    <s v="eth1/20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20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20"/>
    <x v="0"/>
    <x v="0"/>
    <x v="0"/>
    <s v="HACIA_CSI-B-OSCP-F4-04_SECUNDARIO"/>
    <x v="4"/>
    <b v="0"/>
    <s v="No está en VPC"/>
    <n v="456"/>
    <s v="INTPG_VPC_454_1.20_456_1.20"/>
    <s v="ISEL-1.20"/>
    <n v="2"/>
    <s v="NO TIENE L3OUT"/>
    <n v="4"/>
    <n v="54"/>
  </r>
  <r>
    <n v="603"/>
    <x v="1"/>
    <x v="50"/>
    <s v="eth1/20"/>
    <x v="0"/>
    <x v="1"/>
    <x v="3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20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20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20"/>
    <x v="0"/>
    <x v="0"/>
    <x v="0"/>
    <s v="Server_Pre-R02-CBS-RH2288-04"/>
    <x v="0"/>
    <b v="0"/>
    <s v="No está en VPC"/>
    <n v="730"/>
    <s v="INTPG_ACC_730_1.20"/>
    <s v="ISEL-1.20"/>
    <n v="1"/>
    <s v="NO TIENE L3OUT"/>
    <n v="36"/>
    <n v="54"/>
  </r>
  <r>
    <n v="722"/>
    <x v="2"/>
    <x v="54"/>
    <s v="eth1/20"/>
    <x v="0"/>
    <x v="0"/>
    <x v="0"/>
    <m/>
    <x v="0"/>
    <b v="0"/>
    <s v="No está en VPC"/>
    <n v="722"/>
    <s v="INTPG-VPC_HDD111_723_1.19_722_1.20"/>
    <s v="ISEL-1.20"/>
    <n v="1"/>
    <s v="NO TIENE L3OUT"/>
    <n v="0"/>
    <n v="54"/>
  </r>
  <r>
    <n v="733"/>
    <x v="2"/>
    <x v="55"/>
    <s v="eth1/20"/>
    <x v="0"/>
    <x v="1"/>
    <x v="3"/>
    <s v="TEST"/>
    <x v="0"/>
    <b v="0"/>
    <s v="No está en VPC"/>
    <n v="733"/>
    <s v="INTPG_VPC_732_1.20_733_1.20"/>
    <s v="ISEL-1.20"/>
    <n v="0"/>
    <s v="NO TIENE L3OUT"/>
    <n v="0"/>
    <n v="54"/>
  </r>
  <r>
    <n v="755"/>
    <x v="2"/>
    <x v="56"/>
    <s v="eth1/20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20"/>
    <x v="0"/>
    <x v="0"/>
    <x v="0"/>
    <m/>
    <x v="0"/>
    <b v="0"/>
    <s v="No está en VPC"/>
    <n v="748"/>
    <s v="INTPG_ACC_748_1.20"/>
    <s v="ISEL-1.20"/>
    <n v="0"/>
    <s v="NO TIENE L3OUT"/>
    <n v="2"/>
    <n v="54"/>
  </r>
  <r>
    <n v="756"/>
    <x v="2"/>
    <x v="58"/>
    <s v="eth1/20"/>
    <x v="0"/>
    <x v="0"/>
    <x v="0"/>
    <s v="OSS F1:ithenmr06bl02nas2r9b:PCIe3 Slot 1/2"/>
    <x v="0"/>
    <b v="0"/>
    <s v="No está en VPC"/>
    <n v="756"/>
    <s v="INTPG_PC_756_1.19-20"/>
    <s v="ISEL-1.20"/>
    <n v="8"/>
    <s v="NO TIENE L3OUT"/>
    <n v="64"/>
    <n v="54"/>
  </r>
  <r>
    <n v="754"/>
    <x v="2"/>
    <x v="59"/>
    <s v="eth1/20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20"/>
    <x v="0"/>
    <x v="0"/>
    <x v="0"/>
    <m/>
    <x v="0"/>
    <b v="0"/>
    <s v="No está en VPC"/>
    <n v="751"/>
    <s v="INTPG_ACC_751_1.20"/>
    <s v="ISEL-1.20"/>
    <n v="0"/>
    <s v="NO TIENE L3OUT"/>
    <n v="0"/>
    <n v="54"/>
  </r>
  <r>
    <n v="769"/>
    <x v="2"/>
    <x v="61"/>
    <s v="eth1/20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20"/>
    <x v="0"/>
    <x v="0"/>
    <x v="0"/>
    <s v="CEM:ITHCEMB2AKF10:SLOT1 P1"/>
    <x v="5"/>
    <b v="0"/>
    <s v="No está en VPC"/>
    <n v="742"/>
    <s v="INTPG_ACC_742_1.20"/>
    <s v="ISEL-1.20"/>
    <n v="1"/>
    <s v="NO TIENE L3OUT"/>
    <n v="64"/>
    <n v="54"/>
  </r>
  <r>
    <n v="763"/>
    <x v="2"/>
    <x v="63"/>
    <s v="eth1/20"/>
    <x v="0"/>
    <x v="0"/>
    <x v="0"/>
    <s v="PAAS:ithhwosstpap005:FlexIO.1"/>
    <x v="0"/>
    <b v="0"/>
    <s v="No está en VPC"/>
    <n v="763"/>
    <s v="INTPG_VPC_762_1.20_763_1.20"/>
    <s v="ISEL-1.20"/>
    <n v="1"/>
    <s v="NO TIENE L3OUT"/>
    <n v="2"/>
    <n v="54"/>
  </r>
  <r>
    <n v="766"/>
    <x v="2"/>
    <x v="64"/>
    <s v="eth1/20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20"/>
    <x v="0"/>
    <x v="1"/>
    <x v="1"/>
    <m/>
    <x v="0"/>
    <b v="0"/>
    <s v="No está en VPC"/>
    <n v="760"/>
    <s v="INTPG_VPC_760_1.17-20_761_1.17-20"/>
    <s v="ISEL-1.20"/>
    <n v="0"/>
    <s v="L3OUT-EXACLOUD"/>
    <n v="0"/>
    <n v="54"/>
  </r>
  <r>
    <n v="752"/>
    <x v="2"/>
    <x v="66"/>
    <s v="eth1/20"/>
    <x v="0"/>
    <x v="0"/>
    <x v="0"/>
    <s v="PAAS:ithhwosstpap005:LOM PORT 1"/>
    <x v="0"/>
    <b v="0"/>
    <s v="No está en VPC"/>
    <n v="752"/>
    <s v="INTPG_VPC_747_1.20_752_1.20"/>
    <s v="ISEL-1.20"/>
    <n v="25"/>
    <s v="NO TIENE L3OUT"/>
    <n v="0"/>
    <n v="54"/>
  </r>
  <r>
    <n v="765"/>
    <x v="2"/>
    <x v="67"/>
    <s v="eth1/20"/>
    <x v="0"/>
    <x v="0"/>
    <x v="0"/>
    <s v="Portchannel_4_R6A"/>
    <x v="0"/>
    <b v="0"/>
    <s v="No está en VPC"/>
    <n v="765"/>
    <s v="INTPG_PC_765_1.19-20"/>
    <s v="ISEL-1.20"/>
    <n v="8"/>
    <s v="NO TIENE L3OUT"/>
    <n v="60"/>
    <n v="54"/>
  </r>
  <r>
    <n v="778"/>
    <x v="2"/>
    <x v="68"/>
    <s v="eth1/20"/>
    <x v="0"/>
    <x v="0"/>
    <x v="0"/>
    <s v="VERITAS:ITHFVECONNBST01 :10GbE"/>
    <x v="0"/>
    <b v="0"/>
    <s v="No está en VPC"/>
    <n v="778"/>
    <s v="INTPG_VPC_778_1.20-21_779_1.20-21"/>
    <s v="ISEL-1.20"/>
    <n v="2"/>
    <s v="NO TIENE L3OUT"/>
    <n v="26"/>
    <n v="54"/>
  </r>
  <r>
    <n v="780"/>
    <x v="2"/>
    <x v="69"/>
    <s v="eth1/20"/>
    <x v="0"/>
    <x v="0"/>
    <x v="0"/>
    <s v="CLOUD OPS:ithhwcop02en01:1E P1"/>
    <x v="0"/>
    <b v="0"/>
    <s v="No está en VPC"/>
    <n v="780"/>
    <s v="INTPG_VPC_780_1.20-21_26-27_781_1.20-21_26-27"/>
    <s v="ISEL-1.20"/>
    <n v="23"/>
    <s v="NO TIENE L3OUT"/>
    <n v="26"/>
    <n v="54"/>
  </r>
  <r>
    <n v="812"/>
    <x v="2"/>
    <x v="70"/>
    <s v="eth1/20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20"/>
    <x v="0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20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20"/>
    <x v="0"/>
    <x v="0"/>
    <x v="0"/>
    <m/>
    <x v="0"/>
    <b v="0"/>
    <s v="No está en VPC"/>
    <n v="749"/>
    <s v="INTPG_ACC_749_1.20"/>
    <s v="ISEL-1.20"/>
    <n v="0"/>
    <s v="NO TIENE L3OUT"/>
    <n v="4"/>
    <n v="54"/>
  </r>
  <r>
    <n v="824"/>
    <x v="2"/>
    <x v="74"/>
    <s v="eth1/20"/>
    <x v="0"/>
    <x v="0"/>
    <x v="0"/>
    <s v="LINK_TO_ITHFHWCMVWPMA12 /Slot7.2 /Redundante"/>
    <x v="0"/>
    <b v="0"/>
    <s v="No está en VPC"/>
    <n v="824"/>
    <s v="INTPG_ACC_824_1.20"/>
    <s v="ISEL-1.20"/>
    <n v="1"/>
    <s v="NO TIENE L3OUT"/>
    <n v="70"/>
    <n v="54"/>
  </r>
  <r>
    <n v="819"/>
    <x v="2"/>
    <x v="75"/>
    <s v="eth1/20"/>
    <x v="0"/>
    <x v="0"/>
    <x v="0"/>
    <s v="LINK_TO_ITHFHWCMVWPMA12 /Slot5.2 /Principal"/>
    <x v="0"/>
    <b v="0"/>
    <s v="No está en VPC"/>
    <n v="819"/>
    <s v="INTPG_ACC_819_1.20"/>
    <s v="ISEL-1.20"/>
    <n v="1"/>
    <s v="NO TIENE L3OUT"/>
    <n v="70"/>
    <n v="54"/>
  </r>
  <r>
    <n v="737"/>
    <x v="2"/>
    <x v="76"/>
    <s v="eth1/20"/>
    <x v="0"/>
    <x v="0"/>
    <x v="0"/>
    <s v="CEM:ITHCEME2RTB10:SLOT1 P1"/>
    <x v="5"/>
    <b v="0"/>
    <s v="No está en VPC"/>
    <n v="737"/>
    <s v="INTPG_ACC_737_1.20"/>
    <s v="ISEL-1.20"/>
    <n v="1"/>
    <s v="NO TIENE L3OUT"/>
    <n v="72"/>
    <n v="54"/>
  </r>
  <r>
    <n v="844"/>
    <x v="2"/>
    <x v="77"/>
    <s v="eth1/20"/>
    <x v="0"/>
    <x v="0"/>
    <x v="0"/>
    <s v="LINK_TO_ITHFHWCRMPLCN107 / Slot1.2_18 / Principal"/>
    <x v="0"/>
    <b v="0"/>
    <s v="No está en VPC"/>
    <n v="844"/>
    <s v="INTPG_ACC_844_1.20"/>
    <s v="ISEL-1.20"/>
    <n v="2"/>
    <s v="NO TIENE L3OUT"/>
    <n v="282"/>
    <n v="54"/>
  </r>
  <r>
    <n v="843"/>
    <x v="2"/>
    <x v="78"/>
    <s v="eth1/20"/>
    <x v="0"/>
    <x v="0"/>
    <x v="0"/>
    <s v="LINK_To_ITHFHWCBSPSWR41 / Slot7.3_26 / Redundante"/>
    <x v="0"/>
    <b v="0"/>
    <s v="No está en VPC"/>
    <n v="843"/>
    <s v="INTPG_VPC_838_1.20_843_1.20"/>
    <s v="ISEL-1.20"/>
    <n v="1"/>
    <s v="NO TIENE L3OUT"/>
    <n v="38"/>
    <n v="54"/>
  </r>
  <r>
    <n v="797"/>
    <x v="2"/>
    <x v="79"/>
    <s v="eth1/20"/>
    <x v="0"/>
    <x v="0"/>
    <x v="0"/>
    <s v="TO-HDPS_22-MSP"/>
    <x v="0"/>
    <b v="0"/>
    <s v="No está en VPC"/>
    <n v="797"/>
    <s v="INTPG_ACC_797_1.20"/>
    <s v="ISEL-1.20"/>
    <n v="1"/>
    <s v="NO TIENE L3OUT"/>
    <n v="48"/>
    <n v="54"/>
  </r>
  <r>
    <n v="839"/>
    <x v="2"/>
    <x v="80"/>
    <s v="eth1/20"/>
    <x v="0"/>
    <x v="0"/>
    <x v="0"/>
    <s v="LINK_TO_ITHFHWCBSPSWR64 / Slot7.2_16 / Redundante"/>
    <x v="0"/>
    <b v="0"/>
    <s v="No está en VPC"/>
    <n v="839"/>
    <s v="INTPG_VPC_834_1.20_839_1.20"/>
    <s v="ISEL-1.20"/>
    <n v="1"/>
    <s v="NO TIENE L3OUT"/>
    <n v="0"/>
    <n v="54"/>
  </r>
  <r>
    <n v="847"/>
    <x v="2"/>
    <x v="81"/>
    <s v="eth1/20"/>
    <x v="0"/>
    <x v="0"/>
    <x v="0"/>
    <s v="LINK_TO_ITHFHWCRMPLCN172 / Slot7.1_14 / Redundante"/>
    <x v="0"/>
    <b v="0"/>
    <s v="No está en VPC"/>
    <n v="847"/>
    <s v="INTPG_ACC_847_1.20"/>
    <s v="ISEL-1.20"/>
    <n v="6"/>
    <s v="NO TIENE L3OUT"/>
    <n v="204"/>
    <n v="54"/>
  </r>
  <r>
    <n v="848"/>
    <x v="2"/>
    <x v="82"/>
    <s v="eth1/20"/>
    <x v="0"/>
    <x v="0"/>
    <x v="0"/>
    <s v="LINK_TO_ITHFHWCRMPLCN161 / Slot7.1_24 / Redundante"/>
    <x v="0"/>
    <b v="0"/>
    <s v="No está en VPC"/>
    <n v="848"/>
    <s v="INTPG_ACC_848_1.20"/>
    <s v="ISEL-1.20"/>
    <n v="6"/>
    <s v="NO TIENE L3OUT"/>
    <n v="254"/>
    <n v="54"/>
  </r>
  <r>
    <n v="846"/>
    <x v="2"/>
    <x v="83"/>
    <s v="eth1/20"/>
    <x v="0"/>
    <x v="0"/>
    <x v="0"/>
    <s v="LINK_TO_ITHFHWCRMPLCN78 / Slot1.2_14 / Principal"/>
    <x v="0"/>
    <b v="0"/>
    <s v="No está en VPC"/>
    <n v="846"/>
    <s v="INTPG_ACC_846_1.20"/>
    <s v="ISEL-1.20"/>
    <n v="2"/>
    <s v="NO TIENE L3OUT"/>
    <n v="242"/>
    <n v="54"/>
  </r>
  <r>
    <n v="838"/>
    <x v="2"/>
    <x v="84"/>
    <s v="eth1/20"/>
    <x v="0"/>
    <x v="0"/>
    <x v="0"/>
    <s v="LINK_To_ITHFHWCBSPSWR41 / Slot1.3_26 / Principal"/>
    <x v="0"/>
    <b v="0"/>
    <s v="No está en VPC"/>
    <n v="838"/>
    <s v="INTPG_VPC_838_1.20_843_1.20"/>
    <s v="ISEL-1.20"/>
    <n v="1"/>
    <s v="NO TIENE L3OUT"/>
    <n v="38"/>
    <n v="54"/>
  </r>
  <r>
    <n v="849"/>
    <x v="2"/>
    <x v="85"/>
    <s v="eth1/20"/>
    <x v="0"/>
    <x v="0"/>
    <x v="0"/>
    <s v="LINK_TO_ITHFHWCRMPLCN141 / Slot7.1_16 / Redundante"/>
    <x v="0"/>
    <b v="0"/>
    <s v="No está en VPC"/>
    <n v="849"/>
    <s v="INTPG_ACC_849_1.20"/>
    <s v="ISEL-1.20"/>
    <n v="6"/>
    <s v="NO TIENE L3OUT"/>
    <n v="286"/>
    <n v="54"/>
  </r>
  <r>
    <n v="845"/>
    <x v="2"/>
    <x v="86"/>
    <s v="eth1/20"/>
    <x v="0"/>
    <x v="0"/>
    <x v="0"/>
    <s v="LINK_TO_ITHFHWCRMPLCN90 / Slot1.3_12 / Principal"/>
    <x v="0"/>
    <b v="0"/>
    <s v="No está en VPC"/>
    <n v="845"/>
    <s v="INTPG_ACC_845_1.20"/>
    <s v="ISEL-1.20"/>
    <n v="1"/>
    <s v="NO TIENE L3OUT"/>
    <n v="258"/>
    <n v="54"/>
  </r>
  <r>
    <n v="873"/>
    <x v="2"/>
    <x v="87"/>
    <s v="eth1/20"/>
    <x v="0"/>
    <x v="0"/>
    <x v="0"/>
    <s v="TO_ITHFHWCRMDLCN59_Principal"/>
    <x v="0"/>
    <b v="0"/>
    <s v="No está en VPC"/>
    <n v="873"/>
    <s v="INTPG_ACC_873_1.20"/>
    <s v="ISEL-1.20"/>
    <n v="1"/>
    <s v="NO TIENE L3OUT"/>
    <n v="248"/>
    <n v="54"/>
  </r>
  <r>
    <n v="864"/>
    <x v="2"/>
    <x v="88"/>
    <s v="eth1/20"/>
    <x v="0"/>
    <x v="0"/>
    <x v="0"/>
    <s v="To_VPC_2DCBSD_TL06_2"/>
    <x v="0"/>
    <b v="0"/>
    <s v="No está en VPC"/>
    <n v="864"/>
    <s v="INTPG_VPC_859_1.20_864_1.20"/>
    <s v="ISEL-1.20"/>
    <n v="1"/>
    <s v="NO TIENE L3OUT"/>
    <n v="0"/>
    <n v="54"/>
  </r>
  <r>
    <n v="836"/>
    <x v="2"/>
    <x v="89"/>
    <s v="eth1/20"/>
    <x v="0"/>
    <x v="0"/>
    <x v="0"/>
    <s v="LINK_TO_ITHFHWCBSPSWR52 / Slot1.1_32 / Principal"/>
    <x v="0"/>
    <b v="0"/>
    <s v="No está en VPC"/>
    <n v="836"/>
    <s v="INTPG_VPC_836_1.20_841_1.20"/>
    <s v="ISEL-1.20"/>
    <n v="2"/>
    <s v="NO TIENE L3OUT"/>
    <n v="0"/>
    <n v="54"/>
  </r>
  <r>
    <n v="834"/>
    <x v="2"/>
    <x v="90"/>
    <s v="eth1/20"/>
    <x v="0"/>
    <x v="0"/>
    <x v="0"/>
    <s v="LINK_TO_ITHFHWCBSPSWR64 / Slot1.2_16 / Principal"/>
    <x v="0"/>
    <b v="0"/>
    <s v="No está en VPC"/>
    <n v="834"/>
    <s v="INTPG_VPC_834_1.20_839_1.20"/>
    <s v="ISEL-1.20"/>
    <n v="1"/>
    <s v="NO TIENE L3OUT"/>
    <n v="0"/>
    <n v="54"/>
  </r>
  <r>
    <n v="872"/>
    <x v="2"/>
    <x v="91"/>
    <s v="eth1/20"/>
    <x v="0"/>
    <x v="0"/>
    <x v="0"/>
    <s v="To_ITHFHWCRMDLCN75_Principal"/>
    <x v="0"/>
    <b v="0"/>
    <s v="No está en VPC"/>
    <n v="872"/>
    <s v="INTPG_ACC_872_1.20"/>
    <s v="ISEL-1.20"/>
    <n v="1"/>
    <s v="NO TIENE L3OUT"/>
    <n v="288"/>
    <n v="54"/>
  </r>
  <r>
    <n v="842"/>
    <x v="2"/>
    <x v="92"/>
    <s v="eth1/20"/>
    <x v="0"/>
    <x v="0"/>
    <x v="0"/>
    <s v="LINK_TO_ITHFHWCBSPSWR46 / Slot7.1_28 / Redundante"/>
    <x v="0"/>
    <b v="0"/>
    <s v="No está en VPC"/>
    <n v="842"/>
    <s v="INTPG_VPC_837_1.20_842_1.20"/>
    <s v="ISEL-1.20"/>
    <n v="2"/>
    <s v="NO TIENE L3OUT"/>
    <n v="8"/>
    <n v="54"/>
  </r>
  <r>
    <n v="828"/>
    <x v="2"/>
    <x v="93"/>
    <s v="eth1/20"/>
    <x v="0"/>
    <x v="0"/>
    <x v="0"/>
    <s v="LINK_TO_ITHFHWCRMDLCN22 /Slot5.2 /Principal"/>
    <x v="0"/>
    <b v="0"/>
    <s v="No está en VPC"/>
    <n v="828"/>
    <s v="INTPG_ACC_828_1.20"/>
    <s v="ISEL-1.20"/>
    <n v="5"/>
    <s v="NO TIENE L3OUT"/>
    <n v="192"/>
    <n v="54"/>
  </r>
  <r>
    <n v="870"/>
    <x v="2"/>
    <x v="94"/>
    <s v="eth1/20"/>
    <x v="0"/>
    <x v="0"/>
    <x v="0"/>
    <s v="TO_ITHFHWCRMDLCN59_Redundante"/>
    <x v="0"/>
    <b v="0"/>
    <s v="No está en VPC"/>
    <n v="870"/>
    <s v="INTPG_ACC_870_1.20"/>
    <s v="ISEL-1.20"/>
    <n v="1"/>
    <s v="NO TIENE L3OUT"/>
    <n v="248"/>
    <n v="54"/>
  </r>
  <r>
    <n v="866"/>
    <x v="2"/>
    <x v="95"/>
    <s v="eth1/20"/>
    <x v="0"/>
    <x v="0"/>
    <x v="0"/>
    <s v="To_VPC_2DCBSD_HD23_1"/>
    <x v="0"/>
    <b v="0"/>
    <s v="No está en VPC"/>
    <n v="866"/>
    <s v="INTPG_VPC_861_1.20_866_1.20"/>
    <s v="ISEL-1.20"/>
    <n v="2"/>
    <s v="NO TIENE L3OUT"/>
    <n v="8"/>
    <n v="54"/>
  </r>
  <r>
    <n v="862"/>
    <x v="2"/>
    <x v="96"/>
    <s v="eth1/20"/>
    <x v="0"/>
    <x v="0"/>
    <x v="0"/>
    <s v="TO-9S_BESDR_IXTLA3_1"/>
    <x v="0"/>
    <b v="0"/>
    <s v="No está en VPC"/>
    <n v="862"/>
    <s v="INTPG_VPC_862_1.20-23_867_1.20-23"/>
    <s v="ISEL-1.20"/>
    <n v="25"/>
    <s v="NO TIENE L3OUT"/>
    <n v="44"/>
    <n v="54"/>
  </r>
  <r>
    <n v="855"/>
    <x v="2"/>
    <x v="97"/>
    <s v="eth1/20"/>
    <x v="0"/>
    <x v="0"/>
    <x v="0"/>
    <s v="LINK_TO_ITHFHWCRMPLCN161 / Slot1.1_24 / Principal"/>
    <x v="0"/>
    <b v="0"/>
    <s v="No está en VPC"/>
    <n v="855"/>
    <s v="INTPG_ACC_855_1.20"/>
    <s v="ISEL-1.20"/>
    <n v="6"/>
    <s v="NO TIENE L3OUT"/>
    <n v="254"/>
    <n v="54"/>
  </r>
  <r>
    <n v="871"/>
    <x v="2"/>
    <x v="98"/>
    <s v="eth1/20"/>
    <x v="0"/>
    <x v="0"/>
    <x v="0"/>
    <s v="TO_ITHFHWCRMDLCN87_Principal"/>
    <x v="0"/>
    <b v="0"/>
    <s v="No está en VPC"/>
    <n v="871"/>
    <s v="INTPG_ACC_871_1.20"/>
    <s v="ISEL-1.20"/>
    <n v="2"/>
    <s v="NO TIENE L3OUT"/>
    <n v="246"/>
    <n v="54"/>
  </r>
  <r>
    <n v="841"/>
    <x v="2"/>
    <x v="99"/>
    <s v="eth1/20"/>
    <x v="0"/>
    <x v="0"/>
    <x v="0"/>
    <s v="LINK_TO_ITHFHWCBSPSWR52 / Slot7.1_32 / Redundante"/>
    <x v="0"/>
    <b v="0"/>
    <s v="No está en VPC"/>
    <n v="841"/>
    <s v="INTPG_VPC_836_1.20_841_1.20"/>
    <s v="ISEL-1.20"/>
    <n v="2"/>
    <s v="NO TIENE L3OUT"/>
    <n v="0"/>
    <n v="54"/>
  </r>
  <r>
    <n v="868"/>
    <x v="2"/>
    <x v="100"/>
    <s v="eth1/20"/>
    <x v="0"/>
    <x v="0"/>
    <x v="0"/>
    <s v="TO_ITHFHWCRMDLCN87_Redundante"/>
    <x v="0"/>
    <b v="0"/>
    <s v="No está en VPC"/>
    <n v="868"/>
    <s v="INTPG_ACC_868_1.20"/>
    <s v="ISEL-1.20"/>
    <n v="2"/>
    <s v="NO TIENE L3OUT"/>
    <n v="246"/>
    <n v="54"/>
  </r>
  <r>
    <n v="869"/>
    <x v="2"/>
    <x v="101"/>
    <s v="eth1/20"/>
    <x v="0"/>
    <x v="0"/>
    <x v="0"/>
    <s v="To_ITHFHWCRMDLCN75_Redundante"/>
    <x v="0"/>
    <b v="0"/>
    <s v="No está en VPC"/>
    <n v="869"/>
    <s v="INTPG_ACC_869_1.20"/>
    <s v="ISEL-1.20"/>
    <n v="1"/>
    <s v="NO TIENE L3OUT"/>
    <n v="288"/>
    <n v="54"/>
  </r>
  <r>
    <n v="861"/>
    <x v="2"/>
    <x v="102"/>
    <s v="eth1/20"/>
    <x v="0"/>
    <x v="0"/>
    <x v="0"/>
    <s v="To_VPC_2DCBSD_HD23_1"/>
    <x v="0"/>
    <b v="0"/>
    <s v="No está en VPC"/>
    <n v="861"/>
    <s v="INTPG_VPC_861_1.20_866_1.20"/>
    <s v="ISEL-1.20"/>
    <n v="2"/>
    <s v="NO TIENE L3OUT"/>
    <n v="8"/>
    <n v="54"/>
  </r>
  <r>
    <n v="874"/>
    <x v="2"/>
    <x v="103"/>
    <s v="eth1/20"/>
    <x v="0"/>
    <x v="0"/>
    <x v="0"/>
    <s v="A_ITHFHWSEQLCAS19_Redundante"/>
    <x v="4"/>
    <b v="0"/>
    <s v="No está en VPC"/>
    <n v="874"/>
    <s v="INTPG_ACC_874_1.20"/>
    <s v="ISEL-1.20"/>
    <n v="1"/>
    <s v="NO TIENE L3OUT"/>
    <n v="92"/>
    <n v="54"/>
  </r>
  <r>
    <n v="865"/>
    <x v="2"/>
    <x v="104"/>
    <s v="eth1/20"/>
    <x v="0"/>
    <x v="0"/>
    <x v="0"/>
    <s v="To_VPC_2DCBSD_HD29_2"/>
    <x v="0"/>
    <b v="0"/>
    <s v="No está en VPC"/>
    <n v="865"/>
    <s v="INTPG_VPC_860_1.20_865_1.20"/>
    <s v="ISEL-1.20"/>
    <n v="1"/>
    <s v="NO TIENE L3OUT"/>
    <n v="0"/>
    <n v="54"/>
  </r>
  <r>
    <n v="753"/>
    <x v="2"/>
    <x v="105"/>
    <s v="eth1/20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20"/>
    <x v="0"/>
    <x v="1"/>
    <x v="5"/>
    <s v="CEM:ITHCEME2RTB10:LOM  P2"/>
    <x v="0"/>
    <b v="0"/>
    <s v="No está en VPC"/>
    <n v="708"/>
    <s v="INTPG_VPC_708_1.20_709_1.19"/>
    <s v="ISEL-1.20"/>
    <n v="1"/>
    <s v="NO TIENE L3OUT"/>
    <n v="0"/>
    <n v="54"/>
  </r>
  <r>
    <n v="710"/>
    <x v="2"/>
    <x v="107"/>
    <s v="eth1/20"/>
    <x v="0"/>
    <x v="1"/>
    <x v="5"/>
    <s v="CEM:ITHCEMC2AKF10:LOM  P2"/>
    <x v="0"/>
    <b v="0"/>
    <s v="No está en VPC"/>
    <n v="710"/>
    <s v="INTPG_VPC_710_1.20_711_1.19"/>
    <s v="ISEL-1.20"/>
    <n v="1"/>
    <s v="NO TIENE L3OUT"/>
    <n v="16"/>
    <n v="54"/>
  </r>
  <r>
    <n v="713"/>
    <x v="2"/>
    <x v="108"/>
    <s v="eth1/20"/>
    <x v="0"/>
    <x v="1"/>
    <x v="5"/>
    <s v="CEM:ITHCEMB2ADT10:LOM  P2"/>
    <x v="0"/>
    <b v="0"/>
    <s v="No está en VPC"/>
    <n v="713"/>
    <s v="INTPG_VPC_712_1.19_713_1.20"/>
    <s v="ISEL-1.20"/>
    <n v="1"/>
    <s v="NO TIENE L3OUT"/>
    <n v="32"/>
    <n v="54"/>
  </r>
  <r>
    <n v="735"/>
    <x v="2"/>
    <x v="109"/>
    <s v="eth1/20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20"/>
    <x v="0"/>
    <x v="0"/>
    <x v="0"/>
    <s v="Server_Pre-R02-CBS-RH2288-04"/>
    <x v="0"/>
    <b v="0"/>
    <s v="No está en VPC"/>
    <n v="731"/>
    <s v="INTPG_ACC_731_1.20"/>
    <s v="ISEL-1.20"/>
    <n v="1"/>
    <s v="NO TIENE L3OUT"/>
    <n v="38"/>
    <n v="54"/>
  </r>
  <r>
    <n v="703"/>
    <x v="2"/>
    <x v="111"/>
    <s v="eth1/20"/>
    <x v="0"/>
    <x v="0"/>
    <x v="0"/>
    <m/>
    <x v="0"/>
    <b v="0"/>
    <s v="No está en VPC"/>
    <n v="703"/>
    <s v="INTPG_VPC_704_1.19_703_1.20"/>
    <s v="ISEL-1.20"/>
    <n v="1"/>
    <s v="NO TIENE L3OUT"/>
    <n v="2"/>
    <n v="54"/>
  </r>
  <r>
    <n v="706"/>
    <x v="2"/>
    <x v="112"/>
    <s v="eth1/20"/>
    <x v="0"/>
    <x v="0"/>
    <x v="0"/>
    <m/>
    <x v="0"/>
    <b v="0"/>
    <s v="No está en VPC"/>
    <n v="706"/>
    <s v="INTPG_VPC_705_1.19_706_1.20"/>
    <s v="ISEL-1.20"/>
    <n v="1"/>
    <s v="NO TIENE L3OUT"/>
    <n v="16"/>
    <n v="54"/>
  </r>
  <r>
    <n v="762"/>
    <x v="2"/>
    <x v="113"/>
    <s v="eth1/20"/>
    <x v="0"/>
    <x v="0"/>
    <x v="0"/>
    <s v="PAAS:ithhwosstpap005:LOM PORT 3"/>
    <x v="0"/>
    <b v="0"/>
    <s v="No está en VPC"/>
    <n v="762"/>
    <s v="INTPG_VPC_762_1.20_763_1.20"/>
    <s v="ISEL-1.20"/>
    <n v="1"/>
    <s v="NO TIENE L3OUT"/>
    <n v="0"/>
    <n v="54"/>
  </r>
  <r>
    <n v="814"/>
    <x v="2"/>
    <x v="114"/>
    <s v="eth1/20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20"/>
    <x v="0"/>
    <x v="0"/>
    <x v="0"/>
    <s v="HACIA_CSI-B-OSCP-F4-16_SECUNDARIO"/>
    <x v="4"/>
    <b v="0"/>
    <s v="No está en VPC"/>
    <n v="878"/>
    <s v="INTPG_VPC_878_1.20_879_1.20"/>
    <s v="ISEL-1.20"/>
    <n v="2"/>
    <s v="NO TIENE L3OUT"/>
    <n v="0"/>
    <n v="54"/>
  </r>
  <r>
    <n v="826"/>
    <x v="2"/>
    <x v="116"/>
    <s v="eth1/20"/>
    <x v="0"/>
    <x v="0"/>
    <x v="0"/>
    <s v="LINK_TO_ITHFHWCBSDSHD16 /10GE.1 /Principal"/>
    <x v="0"/>
    <b v="0"/>
    <s v="No está en VPC"/>
    <n v="826"/>
    <s v="INTPG_VPC_826_1.20_830_1.20"/>
    <s v="ISEL-1.20"/>
    <n v="1"/>
    <s v="NO TIENE L3OUT"/>
    <n v="12"/>
    <n v="54"/>
  </r>
  <r>
    <n v="726"/>
    <x v="2"/>
    <x v="117"/>
    <s v="eth1/20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20"/>
    <x v="0"/>
    <x v="0"/>
    <x v="0"/>
    <s v="CEM:ITHCEMD2AKF10:SLOT1 P1"/>
    <x v="5"/>
    <b v="0"/>
    <s v="No está en VPC"/>
    <n v="740"/>
    <s v="INTPG_ACC_740_1.20"/>
    <s v="ISEL-1.20"/>
    <n v="1"/>
    <s v="NO TIENE L3OUT"/>
    <n v="72"/>
    <n v="54"/>
  </r>
  <r>
    <n v="705"/>
    <x v="2"/>
    <x v="119"/>
    <s v="eth1/20"/>
    <x v="0"/>
    <x v="1"/>
    <x v="5"/>
    <m/>
    <x v="0"/>
    <b v="0"/>
    <s v="No está en VPC"/>
    <n v="705"/>
    <s v="INTPG_VPC_706_1.19_705_1.20"/>
    <s v="ISEL-1.20"/>
    <n v="1"/>
    <s v="NO TIENE L3OUT"/>
    <n v="16"/>
    <n v="54"/>
  </r>
  <r>
    <n v="723"/>
    <x v="2"/>
    <x v="120"/>
    <s v="eth1/20"/>
    <x v="0"/>
    <x v="0"/>
    <x v="0"/>
    <m/>
    <x v="0"/>
    <b v="0"/>
    <s v="No está en VPC"/>
    <n v="723"/>
    <s v="INTPG-VPC_HDD124_722_1.19_723_1.20"/>
    <s v="ISEL-1.20"/>
    <n v="1"/>
    <s v="NO TIENE L3OUT"/>
    <n v="0"/>
    <n v="54"/>
  </r>
  <r>
    <n v="721"/>
    <x v="2"/>
    <x v="121"/>
    <s v="eth1/20"/>
    <x v="0"/>
    <x v="0"/>
    <x v="0"/>
    <s v="ITHORNG1DAT11_LOM P1"/>
    <x v="0"/>
    <b v="0"/>
    <s v="No está en VPC"/>
    <n v="721"/>
    <s v="INTPG_ACC_721_1.20"/>
    <s v="ISEL-1.20"/>
    <n v="2"/>
    <s v="NO TIENE L3OUT"/>
    <n v="20"/>
    <n v="54"/>
  </r>
  <r>
    <n v="788"/>
    <x v="2"/>
    <x v="122"/>
    <s v="eth1/20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20"/>
    <x v="0"/>
    <x v="1"/>
    <x v="3"/>
    <s v="TEST"/>
    <x v="0"/>
    <b v="0"/>
    <s v="No está en VPC"/>
    <n v="732"/>
    <s v="INTPG_VPC_732_1.20_733_1.20"/>
    <s v="ISEL-1.20"/>
    <n v="0"/>
    <s v="NO TIENE L3OUT"/>
    <n v="0"/>
    <n v="54"/>
  </r>
  <r>
    <n v="720"/>
    <x v="2"/>
    <x v="124"/>
    <s v="eth1/20"/>
    <x v="0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20"/>
    <x v="0"/>
    <x v="1"/>
    <x v="5"/>
    <s v="CEM:ITHCEMF2RTB10:LOM  P2"/>
    <x v="0"/>
    <b v="0"/>
    <s v="No está en VPC"/>
    <n v="709"/>
    <s v="INTPG_VPC_708_1.19_709_1.20"/>
    <s v="ISEL-1.20"/>
    <n v="1"/>
    <s v="NO TIENE L3OUT"/>
    <n v="0"/>
    <n v="54"/>
  </r>
  <r>
    <n v="454"/>
    <x v="1"/>
    <x v="126"/>
    <s v="eth1/20"/>
    <x v="0"/>
    <x v="0"/>
    <x v="0"/>
    <s v="HACIA_CSI-B-OSCP-F4-04_PRIMARIO"/>
    <x v="4"/>
    <b v="0"/>
    <s v="No está en VPC"/>
    <n v="454"/>
    <s v="INTPG_VPC_454_1.20_456_1.20"/>
    <s v="ISEL-1.20"/>
    <n v="2"/>
    <s v="NO TIENE L3OUT"/>
    <n v="4"/>
    <n v="54"/>
  </r>
  <r>
    <n v="734"/>
    <x v="2"/>
    <x v="127"/>
    <s v="eth1/20"/>
    <x v="0"/>
    <x v="0"/>
    <x v="0"/>
    <s v="CEM:ITHCEMA1KFK10:SLOT1 P1"/>
    <x v="5"/>
    <b v="0"/>
    <s v="No está en VPC"/>
    <n v="734"/>
    <s v="INTPG_ACC_734_1.20"/>
    <s v="ISEL-1.20"/>
    <n v="1"/>
    <s v="NO TIENE L3OUT"/>
    <n v="32"/>
    <n v="54"/>
  </r>
  <r>
    <n v="815"/>
    <x v="2"/>
    <x v="128"/>
    <s v="eth1/20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20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20"/>
    <x v="0"/>
    <x v="0"/>
    <x v="0"/>
    <m/>
    <x v="0"/>
    <b v="0"/>
    <s v="No está en VPC"/>
    <n v="718"/>
    <s v="INTPG-VPC_HDD18_717_1.19_718_1.20"/>
    <s v="ISEL-1.20"/>
    <n v="1"/>
    <s v="NO TIENE L3OUT"/>
    <n v="0"/>
    <n v="54"/>
  </r>
  <r>
    <n v="744"/>
    <x v="2"/>
    <x v="131"/>
    <s v="eth1/20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20"/>
    <x v="0"/>
    <x v="0"/>
    <x v="0"/>
    <s v="CEM:ITHCEMA2AKF10:SLOT1 P1"/>
    <x v="5"/>
    <b v="0"/>
    <s v="No está en VPC"/>
    <n v="741"/>
    <s v="INTPG_ACC_741_1.20"/>
    <s v="ISEL-1.20"/>
    <n v="1"/>
    <s v="NO TIENE L3OUT"/>
    <n v="62"/>
    <n v="54"/>
  </r>
  <r>
    <n v="787"/>
    <x v="2"/>
    <x v="133"/>
    <s v="eth1/20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20"/>
    <x v="0"/>
    <x v="0"/>
    <x v="0"/>
    <m/>
    <x v="0"/>
    <b v="0"/>
    <s v="No está en VPC"/>
    <n v="750"/>
    <s v="INTPG_ACC_750_1.20"/>
    <s v="ISEL-1.20"/>
    <n v="0"/>
    <s v="NO TIENE L3OUT"/>
    <n v="2"/>
    <n v="54"/>
  </r>
  <r>
    <n v="792"/>
    <x v="2"/>
    <x v="135"/>
    <s v="eth1/20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20"/>
    <x v="0"/>
    <x v="1"/>
    <x v="3"/>
    <s v="CEM:ITHCEMG2NAM17:SLOT1 P1"/>
    <x v="0"/>
    <b v="0"/>
    <s v="No está en VPC"/>
    <n v="736"/>
    <s v="INTPG_ACC_736_1.20"/>
    <s v="ISEL-1.20"/>
    <n v="1"/>
    <s v="NO TIENE L3OUT"/>
    <n v="48"/>
    <n v="54"/>
  </r>
  <r>
    <n v="799"/>
    <x v="2"/>
    <x v="137"/>
    <s v="eth1/20"/>
    <x v="0"/>
    <x v="0"/>
    <x v="0"/>
    <s v="TO-IMC_PS08-MSP"/>
    <x v="0"/>
    <b v="0"/>
    <s v="No está en VPC"/>
    <n v="799"/>
    <s v="INTPG_ACC_799_1.20"/>
    <s v="ISEL-1.20"/>
    <n v="1"/>
    <s v="NO TIENE L3OUT"/>
    <n v="52"/>
    <n v="54"/>
  </r>
  <r>
    <n v="768"/>
    <x v="2"/>
    <x v="138"/>
    <s v="eth1/20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20"/>
    <x v="0"/>
    <x v="0"/>
    <x v="0"/>
    <s v="TO-ITHFHWVRALCN01"/>
    <x v="0"/>
    <b v="0"/>
    <s v="No está en VPC"/>
    <n v="714"/>
    <s v="INTPG_VPC_714_1.20_721_1.19"/>
    <s v="ISEL-1.20"/>
    <n v="108"/>
    <s v="NO TIENE L3OUT"/>
    <n v="20"/>
    <n v="54"/>
  </r>
  <r>
    <n v="717"/>
    <x v="2"/>
    <x v="140"/>
    <s v="eth1/20"/>
    <x v="0"/>
    <x v="0"/>
    <x v="0"/>
    <m/>
    <x v="0"/>
    <b v="0"/>
    <s v="No está en VPC"/>
    <n v="717"/>
    <s v="INTPG-VPC_HDD08_718_1.19_717_1.20"/>
    <s v="ISEL-1.20"/>
    <n v="1"/>
    <s v="NO TIENE L3OUT"/>
    <n v="0"/>
    <n v="54"/>
  </r>
  <r>
    <n v="789"/>
    <x v="2"/>
    <x v="141"/>
    <s v="eth1/20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20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20"/>
    <x v="0"/>
    <x v="0"/>
    <x v="0"/>
    <s v="TO-ITHFHWRHV2LMGMT02"/>
    <x v="0"/>
    <b v="0"/>
    <s v="No está en VPC"/>
    <n v="783"/>
    <s v="INTPG_VPC_782_1.20-21_783_1.20-21"/>
    <s v="ISEL-1.20"/>
    <n v="2"/>
    <s v="NO TIENE L3OUT"/>
    <n v="26"/>
    <n v="54"/>
  </r>
  <r>
    <n v="774"/>
    <x v="2"/>
    <x v="144"/>
    <s v="eth1/20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20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20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20"/>
    <x v="0"/>
    <x v="0"/>
    <x v="0"/>
    <s v="TO-HDPS_46-MSP"/>
    <x v="0"/>
    <b v="0"/>
    <s v="No está en VPC"/>
    <n v="803"/>
    <s v="INTPG_ACC_803_1.20"/>
    <s v="ISEL-1.20"/>
    <n v="1"/>
    <s v="NO TIENE L3OUT"/>
    <n v="48"/>
    <n v="54"/>
  </r>
  <r>
    <n v="786"/>
    <x v="2"/>
    <x v="148"/>
    <s v="eth1/20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20"/>
    <x v="0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20"/>
    <x v="0"/>
    <x v="0"/>
    <x v="0"/>
    <s v="CLOUD OPS:ithhwcop02en01:1E P3"/>
    <x v="0"/>
    <b v="0"/>
    <s v="No está en VPC"/>
    <n v="781"/>
    <s v="INTPG_VPC_780_1.20-21_26-27_781_1.20-21_26-27"/>
    <s v="ISEL-1.20"/>
    <n v="23"/>
    <s v="NO TIENE L3OUT"/>
    <n v="26"/>
    <n v="54"/>
  </r>
  <r>
    <n v="793"/>
    <x v="2"/>
    <x v="151"/>
    <s v="eth1/20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20"/>
    <x v="0"/>
    <x v="0"/>
    <x v="0"/>
    <s v="PAAS:ithhwosstpap005:Slot4.1"/>
    <x v="0"/>
    <b v="0"/>
    <s v="No está en VPC"/>
    <n v="747"/>
    <s v="INTPG_VPC_747_1.20_752_1.20"/>
    <s v="ISEL-1.20"/>
    <n v="25"/>
    <s v="NO TIENE L3OUT"/>
    <n v="0"/>
    <n v="54"/>
  </r>
  <r>
    <n v="784"/>
    <x v="2"/>
    <x v="153"/>
    <s v="eth1/20"/>
    <x v="0"/>
    <x v="0"/>
    <x v="0"/>
    <s v="DIGITAL VIEW:ITHFHWDGVEAP01:Slot 3.1"/>
    <x v="0"/>
    <b v="0"/>
    <s v="No está en VPC"/>
    <n v="784"/>
    <s v="INTPG_VPC_784_1.20_785_1.20"/>
    <s v="ISEL-1.20"/>
    <n v="1"/>
    <s v="NO TIENE L3OUT"/>
    <n v="26"/>
    <n v="54"/>
  </r>
  <r>
    <n v="806"/>
    <x v="2"/>
    <x v="154"/>
    <s v="eth1/20"/>
    <x v="0"/>
    <x v="0"/>
    <x v="0"/>
    <s v="TO-HDPS_70-MSP"/>
    <x v="0"/>
    <b v="0"/>
    <s v="No está en VPC"/>
    <n v="806"/>
    <s v="INTPG_ACC_806_1.20"/>
    <s v="ISEL-1.20"/>
    <n v="1"/>
    <s v="NO TIENE L3OUT"/>
    <n v="44"/>
    <n v="54"/>
  </r>
  <r>
    <n v="777"/>
    <x v="2"/>
    <x v="155"/>
    <s v="eth1/20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20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20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20"/>
    <x v="0"/>
    <x v="0"/>
    <x v="0"/>
    <s v="CEM:ITHCEMC2AKF10:SLOT1 P1"/>
    <x v="5"/>
    <b v="0"/>
    <s v="No está en VPC"/>
    <n v="739"/>
    <s v="INTPG_ACC_739_1.20"/>
    <s v="ISEL-1.20"/>
    <n v="1"/>
    <s v="NO TIENE L3OUT"/>
    <n v="72"/>
    <n v="54"/>
  </r>
  <r>
    <n v="775"/>
    <x v="2"/>
    <x v="159"/>
    <s v="eth1/20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20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20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20"/>
    <x v="0"/>
    <x v="0"/>
    <x v="0"/>
    <s v="LINK_TO_ITHFHWCBSDSHD16 /Slot5.1 /Redundante"/>
    <x v="0"/>
    <b v="0"/>
    <s v="No está en VPC"/>
    <n v="830"/>
    <s v="INTPG_VPC_826_1.20_830_1.20"/>
    <s v="ISEL-1.20"/>
    <n v="1"/>
    <s v="NO TIENE L3OUT"/>
    <n v="12"/>
    <n v="54"/>
  </r>
  <r>
    <n v="821"/>
    <x v="2"/>
    <x v="163"/>
    <s v="eth1/20"/>
    <x v="0"/>
    <x v="0"/>
    <x v="0"/>
    <s v="LINK_TO_ITHFHWCBSPSHD16 /Slot5.1 /Redundante"/>
    <x v="0"/>
    <b v="0"/>
    <s v="No está en VPC"/>
    <n v="821"/>
    <s v="INTPG_VPC_816_1.20_821_1.20"/>
    <s v="ISEL-1.20"/>
    <n v="1"/>
    <s v="NO TIENE L3OUT"/>
    <n v="0"/>
    <n v="54"/>
  </r>
  <r>
    <n v="738"/>
    <x v="2"/>
    <x v="164"/>
    <s v="eth1/20"/>
    <x v="0"/>
    <x v="0"/>
    <x v="0"/>
    <s v="CEM:ITHCEMF2RTB10:SLOT1 P1"/>
    <x v="5"/>
    <b v="0"/>
    <s v="No está en VPC"/>
    <n v="738"/>
    <s v="INTPG_ACC_738_1.20"/>
    <s v="ISEL-1.20"/>
    <n v="1"/>
    <s v="NO TIENE L3OUT"/>
    <n v="72"/>
    <n v="54"/>
  </r>
  <r>
    <n v="820"/>
    <x v="2"/>
    <x v="165"/>
    <s v="eth1/20"/>
    <x v="0"/>
    <x v="0"/>
    <x v="0"/>
    <s v="LINK_TO_ITHHWCRMPEN03 /E4-10GE 2 /Redundante"/>
    <x v="0"/>
    <b v="0"/>
    <s v="No está en VPC"/>
    <n v="820"/>
    <s v="INTPG_VPC_820_1.13_20_825_1.13_20"/>
    <s v="ISEL-1.20"/>
    <n v="9"/>
    <s v="NO TIENE L3OUT"/>
    <n v="72"/>
    <n v="54"/>
  </r>
  <r>
    <n v="804"/>
    <x v="2"/>
    <x v="166"/>
    <s v="eth1/20"/>
    <x v="0"/>
    <x v="0"/>
    <x v="0"/>
    <s v="TO-HDPS_46-MSP"/>
    <x v="0"/>
    <b v="0"/>
    <s v="No está en VPC"/>
    <n v="804"/>
    <s v="INTPG_ACC_804_1.20"/>
    <s v="ISEL-1.20"/>
    <n v="1"/>
    <s v="NO TIENE L3OUT"/>
    <n v="48"/>
    <n v="54"/>
  </r>
  <r>
    <n v="779"/>
    <x v="2"/>
    <x v="167"/>
    <s v="eth1/20"/>
    <x v="0"/>
    <x v="0"/>
    <x v="0"/>
    <s v="VERITAS:ITHFVECONNBST01 :10GbE"/>
    <x v="0"/>
    <b v="0"/>
    <s v="No está en VPC"/>
    <n v="779"/>
    <s v="INTPG_VPC_778_1.20-21_779_1.20-21"/>
    <s v="ISEL-1.20"/>
    <n v="2"/>
    <s v="NO TIENE L3OUT"/>
    <n v="30"/>
    <n v="54"/>
  </r>
  <r>
    <n v="767"/>
    <x v="2"/>
    <x v="168"/>
    <s v="eth1/20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20"/>
    <x v="0"/>
    <x v="0"/>
    <x v="0"/>
    <s v="LINK_TO_ITHFHWCBSDSWR23 /Slot5.2 /Principal"/>
    <x v="0"/>
    <b v="0"/>
    <s v="No está en VPC"/>
    <n v="827"/>
    <s v="INTPG_VPC_827_1.20_831_1.20"/>
    <s v="ISEL-1.20"/>
    <n v="2"/>
    <s v="NO TIENE L3OUT"/>
    <n v="14"/>
    <n v="54"/>
  </r>
  <r>
    <n v="809"/>
    <x v="2"/>
    <x v="170"/>
    <s v="eth1/20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20"/>
    <x v="0"/>
    <x v="0"/>
    <x v="0"/>
    <s v="Portchannel_4_R4B"/>
    <x v="0"/>
    <b v="0"/>
    <s v="No está en VPC"/>
    <n v="771"/>
    <s v="INTPG_PC_771_1.19-20"/>
    <s v="ISEL-1.20"/>
    <n v="8"/>
    <s v="NO TIENE L3OUT"/>
    <n v="62"/>
    <n v="54"/>
  </r>
  <r>
    <n v="761"/>
    <x v="2"/>
    <x v="172"/>
    <s v="eth1/20"/>
    <x v="0"/>
    <x v="1"/>
    <x v="1"/>
    <m/>
    <x v="0"/>
    <b v="0"/>
    <s v="No está en VPC"/>
    <n v="761"/>
    <s v="INTPG_VPC_760_1.17-20_761_1.17-20"/>
    <s v="ISEL-1.20"/>
    <n v="0"/>
    <s v="L3OUT-EXACLOUD"/>
    <n v="0"/>
    <n v="54"/>
  </r>
  <r>
    <n v="776"/>
    <x v="2"/>
    <x v="173"/>
    <s v="eth1/20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20"/>
    <x v="0"/>
    <x v="0"/>
    <x v="0"/>
    <s v="TO-HDPS_70-MSP"/>
    <x v="0"/>
    <b v="0"/>
    <s v="No está en VPC"/>
    <n v="805"/>
    <s v="INTPG_ACC_805_1.20"/>
    <s v="ISEL-1.20"/>
    <n v="1"/>
    <s v="NO TIENE L3OUT"/>
    <n v="44"/>
    <n v="54"/>
  </r>
  <r>
    <n v="772"/>
    <x v="2"/>
    <x v="175"/>
    <s v="eth1/20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20"/>
    <x v="0"/>
    <x v="0"/>
    <x v="0"/>
    <s v="DIGITAL VIEW:ITHFHWDGVEAP01:Slot 6.1"/>
    <x v="0"/>
    <b v="0"/>
    <s v="No está en VPC"/>
    <n v="785"/>
    <s v="INTPG_VPC_784_1.20_785_1.20"/>
    <s v="ISEL-1.20"/>
    <n v="1"/>
    <s v="NO TIENE L3OUT"/>
    <n v="32"/>
    <n v="54"/>
  </r>
  <r>
    <n v="851"/>
    <x v="2"/>
    <x v="177"/>
    <s v="eth1/20"/>
    <x v="0"/>
    <x v="0"/>
    <x v="0"/>
    <s v="LINK_TO_ITHFHWCRMPLCN107 / Slot7.2_18 / Redundante"/>
    <x v="0"/>
    <b v="0"/>
    <s v="No está en VPC"/>
    <n v="851"/>
    <s v="INTPG_ACC_851_1.20"/>
    <s v="ISEL-1.20"/>
    <n v="2"/>
    <s v="NO TIENE L3OUT"/>
    <n v="282"/>
    <n v="54"/>
  </r>
  <r>
    <n v="798"/>
    <x v="2"/>
    <x v="178"/>
    <s v="eth1/20"/>
    <x v="0"/>
    <x v="0"/>
    <x v="0"/>
    <s v="TO-IMC_PS08-MSP"/>
    <x v="0"/>
    <b v="0"/>
    <s v="No está en VPC"/>
    <n v="798"/>
    <s v="INTPG_ACC_798_1.20"/>
    <s v="ISEL-1.20"/>
    <n v="1"/>
    <s v="NO TIENE L3OUT"/>
    <n v="52"/>
    <n v="54"/>
  </r>
  <r>
    <n v="782"/>
    <x v="2"/>
    <x v="179"/>
    <s v="eth1/20"/>
    <x v="0"/>
    <x v="0"/>
    <x v="0"/>
    <s v="TO-ITHFHWRHV2LMGMT02"/>
    <x v="0"/>
    <b v="0"/>
    <s v="No está en VPC"/>
    <n v="782"/>
    <s v="INTPG_VPC_782_1.20-21_783_1.20-21"/>
    <s v="ISEL-1.20"/>
    <n v="2"/>
    <s v="NO TIENE L3OUT"/>
    <n v="32"/>
    <n v="54"/>
  </r>
  <r>
    <n v="852"/>
    <x v="2"/>
    <x v="180"/>
    <s v="eth1/20"/>
    <x v="0"/>
    <x v="0"/>
    <x v="0"/>
    <s v="LINK_TO_ITHFHWCRMPLCN90 / Slot7.3_12 / Redundante"/>
    <x v="0"/>
    <b v="0"/>
    <s v="No está en VPC"/>
    <n v="852"/>
    <s v="INTPG_ACC_852_1.20"/>
    <s v="ISEL-1.20"/>
    <n v="1"/>
    <s v="NO TIENE L3OUT"/>
    <n v="258"/>
    <n v="54"/>
  </r>
  <r>
    <n v="817"/>
    <x v="2"/>
    <x v="181"/>
    <s v="eth1/20"/>
    <x v="0"/>
    <x v="0"/>
    <x v="0"/>
    <s v="LINK_TO_ITHFHWCBSPSUSBD14 /10GE.1 /Principal"/>
    <x v="0"/>
    <b v="0"/>
    <s v="No está en VPC"/>
    <n v="817"/>
    <s v="INTPG_VPC_817_1.20_822_1.20"/>
    <s v="ISEL-1.20"/>
    <n v="1"/>
    <s v="NO TIENE L3OUT"/>
    <n v="0"/>
    <n v="54"/>
  </r>
  <r>
    <n v="832"/>
    <x v="2"/>
    <x v="182"/>
    <s v="eth1/20"/>
    <x v="0"/>
    <x v="0"/>
    <x v="0"/>
    <s v="LINK_TO_ITHFHWCRMDLCN22 /Slot7.2 /Redundante"/>
    <x v="0"/>
    <b v="0"/>
    <s v="No está en VPC"/>
    <n v="832"/>
    <s v="INTPG_ACC_832_1.20"/>
    <s v="ISEL-1.20"/>
    <n v="5"/>
    <s v="NO TIENE L3OUT"/>
    <n v="192"/>
    <n v="54"/>
  </r>
  <r>
    <n v="816"/>
    <x v="2"/>
    <x v="183"/>
    <s v="eth1/20"/>
    <x v="0"/>
    <x v="0"/>
    <x v="0"/>
    <s v="LINK_TO_ITHFHWCBSPSHD16 /10GE.1 /Principal"/>
    <x v="0"/>
    <b v="0"/>
    <s v="No está en VPC"/>
    <n v="816"/>
    <s v="INTPG_VPC_816_1.20_821_1.20"/>
    <s v="ISEL-1.20"/>
    <n v="1"/>
    <s v="NO TIENE L3OUT"/>
    <n v="0"/>
    <n v="54"/>
  </r>
  <r>
    <n v="825"/>
    <x v="2"/>
    <x v="184"/>
    <s v="eth1/20"/>
    <x v="0"/>
    <x v="0"/>
    <x v="0"/>
    <s v="LINK_TO_ITHHWCRMPEN03 /E4-10GE 1 /Principal"/>
    <x v="0"/>
    <b v="0"/>
    <s v="No está en VPC"/>
    <n v="825"/>
    <s v="INTPG_VPC_820_1.13_20_825_1.13_20"/>
    <s v="ISEL-1.20"/>
    <n v="9"/>
    <s v="NO TIENE L3OUT"/>
    <n v="72"/>
    <n v="54"/>
  </r>
  <r>
    <n v="800"/>
    <x v="2"/>
    <x v="185"/>
    <s v="eth1/20"/>
    <x v="0"/>
    <x v="0"/>
    <x v="0"/>
    <s v="TO-ITHFHWSEQLDPS02-MSP"/>
    <x v="0"/>
    <b v="0"/>
    <s v="No está en VPC"/>
    <n v="800"/>
    <s v="INTPG_ACC_800_1.20"/>
    <s v="ISEL-1.20"/>
    <n v="1"/>
    <s v="NO TIENE L3OUT"/>
    <n v="78"/>
    <n v="54"/>
  </r>
  <r>
    <n v="801"/>
    <x v="2"/>
    <x v="186"/>
    <s v="eth1/20"/>
    <x v="0"/>
    <x v="0"/>
    <x v="0"/>
    <s v="TO-ITHFHWSEQLDPS02-MSP"/>
    <x v="0"/>
    <b v="0"/>
    <s v="No está en VPC"/>
    <n v="801"/>
    <s v="INTPG_ACC_801_1.20"/>
    <s v="ISEL-1.20"/>
    <n v="1"/>
    <s v="NO TIENE L3OUT"/>
    <n v="78"/>
    <n v="54"/>
  </r>
  <r>
    <n v="823"/>
    <x v="2"/>
    <x v="187"/>
    <s v="eth1/20"/>
    <x v="0"/>
    <x v="0"/>
    <x v="0"/>
    <s v="LINK_TO_ITHFHWCBSPSUSBD21 /Slot7.2 /Redundante"/>
    <x v="0"/>
    <b v="0"/>
    <s v="No está en VPC"/>
    <n v="823"/>
    <s v="INTPG_VPC_818_1.20_823_1.20"/>
    <s v="ISEL-1.20"/>
    <n v="2"/>
    <s v="NO TIENE L3OUT"/>
    <n v="8"/>
    <n v="54"/>
  </r>
  <r>
    <n v="837"/>
    <x v="2"/>
    <x v="188"/>
    <s v="eth1/20"/>
    <x v="0"/>
    <x v="0"/>
    <x v="0"/>
    <s v="LINK_TO_ITHFHWCBSPSWR46 / Slot1.1_28 / Principal"/>
    <x v="0"/>
    <b v="0"/>
    <s v="No está en VPC"/>
    <n v="837"/>
    <s v="INTPG_VPC_837_1.20_842_1.20"/>
    <s v="ISEL-1.20"/>
    <n v="2"/>
    <s v="NO TIENE L3OUT"/>
    <n v="8"/>
    <n v="54"/>
  </r>
  <r>
    <n v="867"/>
    <x v="2"/>
    <x v="189"/>
    <s v="eth1/20"/>
    <x v="0"/>
    <x v="0"/>
    <x v="0"/>
    <s v="TO-9S_BESDR_IXTLA3_1"/>
    <x v="0"/>
    <b v="0"/>
    <s v="No está en VPC"/>
    <n v="867"/>
    <s v="INTPG_VPC_862_1.20-23_867_1.20-23"/>
    <s v="ISEL-1.20"/>
    <n v="25"/>
    <s v="NO TIENE L3OUT"/>
    <n v="44"/>
    <n v="54"/>
  </r>
  <r>
    <n v="829"/>
    <x v="2"/>
    <x v="190"/>
    <s v="eth1/20"/>
    <x v="0"/>
    <x v="0"/>
    <x v="0"/>
    <s v="LINK_TO_ITHFHWCRMDLCN34 /Slot5.1 /Redundante"/>
    <x v="0"/>
    <b v="0"/>
    <s v="No está en VPC"/>
    <n v="829"/>
    <s v="INTPG_ACC_829_1.20"/>
    <s v="ISEL-1.20"/>
    <n v="2"/>
    <s v="NO TIENE L3OUT"/>
    <n v="224"/>
    <n v="54"/>
  </r>
  <r>
    <n v="831"/>
    <x v="2"/>
    <x v="191"/>
    <s v="eth1/20"/>
    <x v="0"/>
    <x v="0"/>
    <x v="0"/>
    <s v="LINK_TO_ITHFHWCBSDSWR23 /Slot7.2 /Redundante"/>
    <x v="0"/>
    <b v="0"/>
    <s v="No está en VPC"/>
    <n v="831"/>
    <s v="INTPG_VPC_827_1.20_831_1.20"/>
    <s v="ISEL-1.20"/>
    <n v="2"/>
    <s v="NO TIENE L3OUT"/>
    <n v="14"/>
    <n v="54"/>
  </r>
  <r>
    <n v="802"/>
    <x v="2"/>
    <x v="192"/>
    <s v="eth1/20"/>
    <x v="0"/>
    <x v="0"/>
    <x v="0"/>
    <s v="TO-HDPS_22-MSP"/>
    <x v="0"/>
    <b v="0"/>
    <s v="No está en VPC"/>
    <n v="802"/>
    <s v="INTPG_ACC_802_1.20"/>
    <s v="ISEL-1.20"/>
    <n v="1"/>
    <s v="NO TIENE L3OUT"/>
    <n v="48"/>
    <n v="54"/>
  </r>
  <r>
    <n v="835"/>
    <x v="2"/>
    <x v="193"/>
    <s v="eth1/20"/>
    <x v="0"/>
    <x v="0"/>
    <x v="0"/>
    <s v="LINK_TO_ITHFHWCBSPSWR60 / Slot1.2_32 / Principal"/>
    <x v="0"/>
    <b v="0"/>
    <s v="No está en VPC"/>
    <n v="835"/>
    <s v="INTPG_VPC_835_1.20_840_1.20"/>
    <s v="ISEL-1.20"/>
    <n v="1"/>
    <s v="NO TIENE L3OUT"/>
    <n v="8"/>
    <n v="54"/>
  </r>
  <r>
    <n v="822"/>
    <x v="2"/>
    <x v="194"/>
    <s v="eth1/20"/>
    <x v="0"/>
    <x v="0"/>
    <x v="0"/>
    <s v="LINK_TO_ITHFHWCBSPSUSBD14 /Slot5.1 /Redundante"/>
    <x v="0"/>
    <b v="0"/>
    <s v="No está en VPC"/>
    <n v="822"/>
    <s v="INTPG_VPC_817_1.20_822_1.20"/>
    <s v="ISEL-1.20"/>
    <n v="1"/>
    <s v="NO TIENE L3OUT"/>
    <n v="0"/>
    <n v="54"/>
  </r>
  <r>
    <n v="854"/>
    <x v="2"/>
    <x v="195"/>
    <s v="eth1/20"/>
    <x v="0"/>
    <x v="0"/>
    <x v="0"/>
    <s v="LINK_TO_ITHFHWCRMPLCN172 / Slot1.1_14 / Principal"/>
    <x v="0"/>
    <b v="0"/>
    <s v="No está en VPC"/>
    <n v="854"/>
    <s v="INTPG_ACC_854_1.20"/>
    <s v="ISEL-1.20"/>
    <n v="6"/>
    <s v="NO TIENE L3OUT"/>
    <n v="204"/>
    <n v="54"/>
  </r>
  <r>
    <n v="858"/>
    <x v="2"/>
    <x v="196"/>
    <s v="eth1/20"/>
    <x v="0"/>
    <x v="0"/>
    <x v="0"/>
    <s v="To_VPC_2DCBSD_HD43_2"/>
    <x v="0"/>
    <b v="0"/>
    <s v="No está en VPC"/>
    <n v="858"/>
    <s v="INTPG_VPC_858_1.20_863_1.20"/>
    <s v="ISEL-1.20"/>
    <n v="1"/>
    <s v="NO TIENE L3OUT"/>
    <n v="8"/>
    <n v="54"/>
  </r>
  <r>
    <n v="857"/>
    <x v="2"/>
    <x v="197"/>
    <s v="eth1/20"/>
    <x v="0"/>
    <x v="0"/>
    <x v="0"/>
    <s v="LINKT_TO_ITHFHWCRMPLCN122 / Slot1.1_14 / Principal"/>
    <x v="0"/>
    <b v="0"/>
    <s v="No está en VPC"/>
    <n v="857"/>
    <s v="INTPG_ACC_857_1.20"/>
    <s v="ISEL-1.20"/>
    <n v="6"/>
    <s v="NO TIENE L3OUT"/>
    <n v="288"/>
    <n v="54"/>
  </r>
  <r>
    <n v="859"/>
    <x v="2"/>
    <x v="198"/>
    <s v="eth1/20"/>
    <x v="0"/>
    <x v="0"/>
    <x v="0"/>
    <s v="To_VPC_2DCBSD_TL06_2"/>
    <x v="0"/>
    <b v="0"/>
    <s v="No está en VPC"/>
    <n v="859"/>
    <s v="INTPG_VPC_859_1.20_864_1.20"/>
    <s v="ISEL-1.20"/>
    <n v="1"/>
    <s v="NO TIENE L3OUT"/>
    <n v="0"/>
    <n v="54"/>
  </r>
  <r>
    <n v="833"/>
    <x v="2"/>
    <x v="199"/>
    <s v="eth1/20"/>
    <x v="0"/>
    <x v="0"/>
    <x v="0"/>
    <s v="LINK_TO_ITHFHWCRMDLCN34 /10GE.1 /Principal"/>
    <x v="0"/>
    <b v="0"/>
    <s v="No está en VPC"/>
    <n v="833"/>
    <s v="INTPG_ACC_833_1.20"/>
    <s v="ISEL-1.20"/>
    <n v="2"/>
    <s v="NO TIENE L3OUT"/>
    <n v="224"/>
    <n v="54"/>
  </r>
  <r>
    <n v="818"/>
    <x v="2"/>
    <x v="200"/>
    <s v="eth1/20"/>
    <x v="0"/>
    <x v="0"/>
    <x v="0"/>
    <s v="LINK_TO_ITHFHWCBSPSUSBD21 /Slot5.2 /Principal"/>
    <x v="0"/>
    <b v="0"/>
    <s v="No está en VPC"/>
    <n v="818"/>
    <s v="INTPG_VPC_818_1.20_823_1.20"/>
    <s v="ISEL-1.20"/>
    <n v="2"/>
    <s v="NO TIENE L3OUT"/>
    <n v="8"/>
    <n v="54"/>
  </r>
  <r>
    <n v="850"/>
    <x v="2"/>
    <x v="201"/>
    <s v="eth1/20"/>
    <x v="0"/>
    <x v="0"/>
    <x v="0"/>
    <s v="LINKT_TO_ITHFHWCRMPLCN122 / Slot7.1_14 / Redundante"/>
    <x v="0"/>
    <b v="0"/>
    <s v="No está en VPC"/>
    <n v="850"/>
    <s v="INTPG_ACC_850_1.20"/>
    <s v="ISEL-1.20"/>
    <n v="6"/>
    <s v="NO TIENE L3OUT"/>
    <n v="288"/>
    <n v="54"/>
  </r>
  <r>
    <n v="860"/>
    <x v="2"/>
    <x v="202"/>
    <s v="eth1/20"/>
    <x v="0"/>
    <x v="0"/>
    <x v="0"/>
    <s v="To_VPC_2DCBSD_HD29_2"/>
    <x v="0"/>
    <b v="0"/>
    <s v="No está en VPC"/>
    <n v="860"/>
    <s v="INTPG_VPC_860_1.20_865_1.20"/>
    <s v="ISEL-1.20"/>
    <n v="1"/>
    <s v="NO TIENE L3OUT"/>
    <n v="0"/>
    <n v="54"/>
  </r>
  <r>
    <n v="853"/>
    <x v="2"/>
    <x v="203"/>
    <s v="eth1/20"/>
    <x v="0"/>
    <x v="0"/>
    <x v="0"/>
    <s v="LINK_TO_ITHFHWCRMPLCN78 / Slot7.2_14 / Redundante"/>
    <x v="0"/>
    <b v="0"/>
    <s v="No está en VPC"/>
    <n v="853"/>
    <s v="INTPG_ACC_853_1.20"/>
    <s v="ISEL-1.20"/>
    <n v="2"/>
    <s v="NO TIENE L3OUT"/>
    <n v="242"/>
    <n v="54"/>
  </r>
  <r>
    <n v="790"/>
    <x v="2"/>
    <x v="204"/>
    <s v="eth1/20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20"/>
    <x v="1"/>
    <x v="1"/>
    <x v="2"/>
    <s v="DESC"/>
    <x v="6"/>
    <b v="0"/>
    <s v="No está en VPC"/>
    <n v="105"/>
    <s v="INTPG_PC_105_1.20_25_37"/>
    <s v="ISEL-1.20"/>
    <n v="2"/>
    <s v="NO TIENE L3OUT"/>
    <n v="106"/>
    <n v="96"/>
  </r>
  <r>
    <n v="117"/>
    <x v="0"/>
    <x v="206"/>
    <s v="eth1/20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20"/>
    <x v="0"/>
    <x v="1"/>
    <x v="1"/>
    <s v="SFLDI"/>
    <x v="6"/>
    <b v="0"/>
    <s v="No está en VPC"/>
    <n v="104"/>
    <s v="INTPG_ACC_104_1.20"/>
    <s v="ISEL-1.20"/>
    <n v="1"/>
    <s v="NO TIENE L3OUT"/>
    <n v="194"/>
    <n v="96"/>
  </r>
  <r>
    <n v="158"/>
    <x v="0"/>
    <x v="208"/>
    <s v="eth1/20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20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20"/>
    <x v="0"/>
    <x v="0"/>
    <x v="0"/>
    <s v="HACIA_CSI-B-OSCP-F4-16_SECUNDARIO"/>
    <x v="4"/>
    <b v="0"/>
    <s v="No está en VPC"/>
    <n v="879"/>
    <s v="INTPG_VPC_878_1.20_879_1.20"/>
    <s v="ISEL-1.20"/>
    <n v="2"/>
    <s v="NO TIENE L3OUT"/>
    <n v="0"/>
    <n v="54"/>
  </r>
  <r>
    <n v="108"/>
    <x v="0"/>
    <x v="211"/>
    <s v="eth1/20"/>
    <x v="0"/>
    <x v="0"/>
    <x v="0"/>
    <s v="TELLABS"/>
    <x v="6"/>
    <b v="0"/>
    <s v="No está en VPC"/>
    <n v="108"/>
    <s v="INTPG_ACC_108_1.20"/>
    <s v="ISEL-1.20"/>
    <n v="1"/>
    <s v="NO TIENE L3OUT"/>
    <n v="126"/>
    <n v="96"/>
  </r>
  <r>
    <n v="112"/>
    <x v="0"/>
    <x v="212"/>
    <s v="eth1/20"/>
    <x v="0"/>
    <x v="0"/>
    <x v="0"/>
    <s v="APROVISIONAMIENTO DE SERVICIOS"/>
    <x v="6"/>
    <b v="0"/>
    <s v="No está en VPC"/>
    <n v="112"/>
    <s v="INTPG_ACC_112_1.20"/>
    <s v="ISEL-1.20"/>
    <n v="1"/>
    <s v="NO TIENE L3OUT"/>
    <n v="144"/>
    <n v="96"/>
  </r>
  <r>
    <n v="107"/>
    <x v="0"/>
    <x v="213"/>
    <s v="eth1/20"/>
    <x v="0"/>
    <x v="0"/>
    <x v="0"/>
    <m/>
    <x v="6"/>
    <b v="0"/>
    <s v="No está en VPC"/>
    <n v="107"/>
    <s v="INTPG_ACC_107_1.20"/>
    <s v="ISEL-1.20"/>
    <n v="1"/>
    <s v="NO TIENE L3OUT"/>
    <n v="118"/>
    <n v="96"/>
  </r>
  <r>
    <n v="109"/>
    <x v="0"/>
    <x v="214"/>
    <s v="eth1/20"/>
    <x v="0"/>
    <x v="0"/>
    <x v="0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20"/>
    <x v="0"/>
    <x v="0"/>
    <x v="0"/>
    <s v="TO-ITHFHWHSMTLCN05_MGMT"/>
    <x v="6"/>
    <b v="0"/>
    <s v="No está en VPC"/>
    <n v="113"/>
    <s v="INTPG_ACC_113_1.20"/>
    <s v="ISEL-1.20"/>
    <n v="1"/>
    <s v="NO TIENE L3OUT"/>
    <n v="52"/>
    <n v="96"/>
  </r>
  <r>
    <n v="114"/>
    <x v="0"/>
    <x v="216"/>
    <s v="eth1/20"/>
    <x v="0"/>
    <x v="0"/>
    <x v="0"/>
    <s v="ASAP"/>
    <x v="6"/>
    <b v="0"/>
    <s v="No está en VPC"/>
    <n v="114"/>
    <s v="INTPG_ACC_114_1.20"/>
    <s v="ISEL-1.20"/>
    <n v="1"/>
    <s v="NO TIENE L3OUT"/>
    <n v="144"/>
    <n v="96"/>
  </r>
  <r>
    <n v="124"/>
    <x v="0"/>
    <x v="217"/>
    <s v="eth1/20"/>
    <x v="0"/>
    <x v="0"/>
    <x v="0"/>
    <s v="UXSVA (M9000)"/>
    <x v="6"/>
    <b v="0"/>
    <s v="No está en VPC"/>
    <n v="124"/>
    <s v="INTPG_ACC_124_1.20"/>
    <s v="ISEL-1.20"/>
    <n v="1"/>
    <s v="NO TIENE L3OUT"/>
    <n v="80"/>
    <n v="96"/>
  </r>
  <r>
    <n v="118"/>
    <x v="0"/>
    <x v="218"/>
    <s v="eth1/20"/>
    <x v="0"/>
    <x v="0"/>
    <x v="0"/>
    <s v="COBROS NAVEGACION"/>
    <x v="6"/>
    <b v="0"/>
    <s v="No está en VPC"/>
    <n v="118"/>
    <s v="INTPG_ACC_118_1.20"/>
    <s v="ISEL-1.20"/>
    <n v="1"/>
    <s v="NO TIENE L3OUT"/>
    <n v="180"/>
    <n v="96"/>
  </r>
  <r>
    <n v="159"/>
    <x v="0"/>
    <x v="219"/>
    <s v="eth1/20"/>
    <x v="0"/>
    <x v="0"/>
    <x v="0"/>
    <m/>
    <x v="6"/>
    <b v="0"/>
    <s v="No está en VPC"/>
    <n v="159"/>
    <s v="INTPG_ACC_159_1.20"/>
    <s v="ISEL-1.20"/>
    <n v="1"/>
    <s v="NO TIENE L3OUT"/>
    <n v="72"/>
    <n v="96"/>
  </r>
  <r>
    <n v="840"/>
    <x v="2"/>
    <x v="220"/>
    <s v="eth1/20"/>
    <x v="0"/>
    <x v="0"/>
    <x v="0"/>
    <s v="LINK_TO_ITHFHWCBSPSWR60 / Slot7.2_32 / Redundante"/>
    <x v="0"/>
    <b v="0"/>
    <s v="No está en VPC"/>
    <n v="840"/>
    <s v="INTPG_VPC_835_1.20_840_1.20"/>
    <s v="ISEL-1.20"/>
    <n v="1"/>
    <s v="NO TIENE L3OUT"/>
    <n v="8"/>
    <n v="54"/>
  </r>
  <r>
    <n v="856"/>
    <x v="2"/>
    <x v="221"/>
    <s v="eth1/20"/>
    <x v="0"/>
    <x v="0"/>
    <x v="0"/>
    <s v="LINK_TO_ITHFHWCRMPLCN141 / Slot1.1_16 / Principal"/>
    <x v="0"/>
    <b v="0"/>
    <s v="No está en VPC"/>
    <n v="856"/>
    <s v="INTPG_ACC_856_1.20"/>
    <s v="ISEL-1.20"/>
    <n v="6"/>
    <s v="NO TIENE L3OUT"/>
    <n v="286"/>
    <n v="54"/>
  </r>
  <r>
    <n v="110"/>
    <x v="0"/>
    <x v="222"/>
    <s v="eth1/20"/>
    <x v="0"/>
    <x v="0"/>
    <x v="0"/>
    <s v="UXDX-DATOS"/>
    <x v="6"/>
    <b v="0"/>
    <s v="No está en VPC"/>
    <n v="110"/>
    <s v="INTPG_ACC_110_1.20"/>
    <s v="ISEL-1.20"/>
    <n v="1"/>
    <s v="NO TIENE L3OUT"/>
    <n v="102"/>
    <n v="96"/>
  </r>
  <r>
    <n v="163"/>
    <x v="0"/>
    <x v="223"/>
    <s v="eth1/20"/>
    <x v="0"/>
    <x v="0"/>
    <x v="0"/>
    <s v="SICOP"/>
    <x v="6"/>
    <b v="0"/>
    <s v="No está en VPC"/>
    <n v="163"/>
    <s v="INTPG_ACC_163_1.20"/>
    <s v="ISEL-1.20"/>
    <n v="1"/>
    <s v="NO TIENE L3OUT"/>
    <n v="140"/>
    <n v="96"/>
  </r>
  <r>
    <n v="407"/>
    <x v="1"/>
    <x v="224"/>
    <s v="eth1/20"/>
    <x v="0"/>
    <x v="0"/>
    <x v="0"/>
    <s v="IXT_SIEU"/>
    <x v="6"/>
    <b v="0"/>
    <s v="No está en VPC"/>
    <n v="407"/>
    <s v="INTPG_ACC_407_1.20"/>
    <s v="ISEL-1.20"/>
    <n v="1"/>
    <s v="NO TIENE L3OUT"/>
    <n v="122"/>
    <n v="96"/>
  </r>
  <r>
    <n v="171"/>
    <x v="0"/>
    <x v="225"/>
    <s v="eth1/20"/>
    <x v="0"/>
    <x v="1"/>
    <x v="1"/>
    <s v="Extensi\u00f3n:1625 (oss)"/>
    <x v="6"/>
    <b v="0"/>
    <s v="No está en VPC"/>
    <n v="171"/>
    <s v="INTPG_ACC_171_1.20"/>
    <s v="ISEL-1.20"/>
    <n v="1"/>
    <s v="NO TIENE L3OUT"/>
    <n v="114"/>
    <n v="96"/>
  </r>
  <r>
    <n v="421"/>
    <x v="1"/>
    <x v="226"/>
    <s v="eth1/20"/>
    <x v="0"/>
    <x v="0"/>
    <x v="0"/>
    <s v="HP Proliant DL380p(f)"/>
    <x v="6"/>
    <b v="0"/>
    <s v="No está en VPC"/>
    <n v="421"/>
    <s v="INTPG_ACC_421_1.20"/>
    <s v="ISEL-1.20"/>
    <n v="1"/>
    <s v="NO TIENE L3OUT"/>
    <n v="72"/>
    <n v="96"/>
  </r>
  <r>
    <n v="173"/>
    <x v="0"/>
    <x v="227"/>
    <s v="eth1/20"/>
    <x v="0"/>
    <x v="0"/>
    <x v="0"/>
    <s v="ENIQ"/>
    <x v="6"/>
    <b v="0"/>
    <s v="No está en VPC"/>
    <n v="173"/>
    <s v="INTPG_ACC_173_1.20"/>
    <s v="ISEL-1.20"/>
    <n v="1"/>
    <s v="NO TIENE L3OUT"/>
    <n v="66"/>
    <n v="96"/>
  </r>
  <r>
    <n v="154"/>
    <x v="0"/>
    <x v="228"/>
    <s v="eth1/20"/>
    <x v="0"/>
    <x v="0"/>
    <x v="0"/>
    <s v="CHARGING SYSTEM"/>
    <x v="6"/>
    <b v="0"/>
    <s v="No está en VPC"/>
    <n v="154"/>
    <s v="INTPG_ACC_154_1.20"/>
    <s v="ISEL-1.20"/>
    <n v="1"/>
    <s v="NO TIENE L3OUT"/>
    <n v="62"/>
    <n v="96"/>
  </r>
  <r>
    <n v="172"/>
    <x v="0"/>
    <x v="229"/>
    <s v="eth1/20"/>
    <x v="0"/>
    <x v="0"/>
    <x v="0"/>
    <s v="SOP-EAGLE"/>
    <x v="6"/>
    <b v="0"/>
    <s v="No está en VPC"/>
    <n v="172"/>
    <s v="INTPG_ACC_172_1.20"/>
    <s v="ISEL-1.20"/>
    <n v="1"/>
    <s v="NO TIENE L3OUT"/>
    <n v="104"/>
    <n v="96"/>
  </r>
  <r>
    <n v="420"/>
    <x v="1"/>
    <x v="230"/>
    <s v="eth1/20"/>
    <x v="0"/>
    <x v="0"/>
    <x v="0"/>
    <s v="sfmevp05"/>
    <x v="6"/>
    <b v="0"/>
    <s v="No está en VPC"/>
    <n v="420"/>
    <s v="INTPG_ACC_420_1.20"/>
    <s v="ISEL-1.20"/>
    <n v="1"/>
    <s v="NO TIENE L3OUT"/>
    <n v="158"/>
    <n v="96"/>
  </r>
  <r>
    <n v="423"/>
    <x v="1"/>
    <x v="231"/>
    <s v="eth1/20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20"/>
    <x v="0"/>
    <x v="0"/>
    <x v="0"/>
    <s v="OCC ITHCC1 ALARMAS"/>
    <x v="6"/>
    <b v="0"/>
    <s v="No está en VPC"/>
    <n v="415"/>
    <s v="INTPG_ACC_415_1.20"/>
    <s v="ISEL-1.20"/>
    <n v="1"/>
    <s v="NO TIENE L3OUT"/>
    <n v="52"/>
    <n v="96"/>
  </r>
  <r>
    <n v="102"/>
    <x v="0"/>
    <x v="233"/>
    <s v="eth1/20"/>
    <x v="0"/>
    <x v="1"/>
    <x v="1"/>
    <s v="SFLDI:RLDIWEB03:1"/>
    <x v="6"/>
    <b v="0"/>
    <s v="No está en VPC"/>
    <n v="102"/>
    <s v="INTPG_ACC_102_1.20"/>
    <s v="ISEL-1.20"/>
    <n v="1"/>
    <s v="NO TIENE L3OUT"/>
    <n v="228"/>
    <n v="96"/>
  </r>
  <r>
    <n v="863"/>
    <x v="2"/>
    <x v="234"/>
    <s v="eth1/20"/>
    <x v="0"/>
    <x v="0"/>
    <x v="0"/>
    <s v="To_VPC_2DCBSD_HD43_2"/>
    <x v="0"/>
    <b v="0"/>
    <s v="No está en VPC"/>
    <n v="863"/>
    <s v="INTPG_VPC_858_1.20_863_1.20"/>
    <s v="ISEL-1.20"/>
    <n v="1"/>
    <s v="NO TIENE L3OUT"/>
    <n v="8"/>
    <n v="54"/>
  </r>
  <r>
    <n v="876"/>
    <x v="2"/>
    <x v="235"/>
    <s v="eth1/20"/>
    <x v="0"/>
    <x v="0"/>
    <x v="0"/>
    <s v="A_ITHFHWSEQLCAS19_Principal"/>
    <x v="4"/>
    <b v="0"/>
    <s v="No está en VPC"/>
    <n v="876"/>
    <s v="INTPG_ACC_876_1.20"/>
    <s v="ISEL-1.20"/>
    <n v="1"/>
    <s v="NO TIENE L3OUT"/>
    <n v="92"/>
    <n v="54"/>
  </r>
  <r>
    <n v="877"/>
    <x v="2"/>
    <x v="236"/>
    <s v="eth1/20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20"/>
    <x v="0"/>
    <x v="0"/>
    <x v="0"/>
    <s v="FCSW2_MGMT"/>
    <x v="6"/>
    <b v="0"/>
    <s v="No está en VPC"/>
    <n v="122"/>
    <s v="INTPG_ACC_122_1.20"/>
    <s v="ISEL-1.20"/>
    <n v="1"/>
    <s v="NO TIENE L3OUT"/>
    <n v="148"/>
    <n v="96"/>
  </r>
  <r>
    <n v="157"/>
    <x v="0"/>
    <x v="238"/>
    <s v="eth1/20"/>
    <x v="0"/>
    <x v="0"/>
    <x v="0"/>
    <s v="Consolidaci\u00f3n Aplicaciones Prepago"/>
    <x v="6"/>
    <b v="0"/>
    <s v="No está en VPC"/>
    <n v="157"/>
    <s v="INTPG_ACC_157_1.20"/>
    <s v="ISEL-1.20"/>
    <n v="1"/>
    <s v="NO TIENE L3OUT"/>
    <n v="202"/>
    <n v="96"/>
  </r>
  <r>
    <n v="408"/>
    <x v="1"/>
    <x v="239"/>
    <s v="eth1/20"/>
    <x v="0"/>
    <x v="0"/>
    <x v="0"/>
    <s v="IXTPF1SV31ILO"/>
    <x v="6"/>
    <b v="0"/>
    <s v="No está en VPC"/>
    <n v="408"/>
    <s v="INTPG_ACC_408_1.20"/>
    <s v="ISEL-1.20"/>
    <n v="1"/>
    <s v="NO TIENE L3OUT"/>
    <n v="152"/>
    <n v="96"/>
  </r>
  <r>
    <n v="405"/>
    <x v="1"/>
    <x v="240"/>
    <s v="eth1/20"/>
    <x v="0"/>
    <x v="0"/>
    <x v="0"/>
    <s v="XL5 RLR5ARI09 iLO"/>
    <x v="6"/>
    <b v="0"/>
    <s v="No está en VPC"/>
    <n v="405"/>
    <s v="INTPG_ACC_405_1.20"/>
    <s v="ISEL-1.20"/>
    <n v="1"/>
    <s v="NO TIENE L3OUT"/>
    <n v="138"/>
    <n v="96"/>
  </r>
  <r>
    <n v="169"/>
    <x v="0"/>
    <x v="241"/>
    <s v="eth1/20"/>
    <x v="0"/>
    <x v="1"/>
    <x v="1"/>
    <s v="MMSC_WAPGW"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20"/>
    <x v="0"/>
    <x v="0"/>
    <x v="0"/>
    <s v="UXLDAP"/>
    <x v="6"/>
    <b v="0"/>
    <s v="No está en VPC"/>
    <n v="165"/>
    <s v="INTPG_ACC_165_1.20"/>
    <s v="ISEL-1.20"/>
    <n v="1"/>
    <s v="NO TIENE L3OUT"/>
    <n v="86"/>
    <n v="96"/>
  </r>
  <r>
    <n v="417"/>
    <x v="1"/>
    <x v="243"/>
    <s v="eth1/20"/>
    <x v="0"/>
    <x v="0"/>
    <x v="0"/>
    <s v="IXTSRM2_VM4"/>
    <x v="6"/>
    <b v="0"/>
    <s v="No está en VPC"/>
    <n v="417"/>
    <s v="INTPG_ACC_417_1.20"/>
    <s v="ISEL-1.20"/>
    <n v="1"/>
    <s v="NO TIENE L3OUT"/>
    <n v="56"/>
    <n v="96"/>
  </r>
  <r>
    <n v="153"/>
    <x v="0"/>
    <x v="244"/>
    <s v="eth1/20"/>
    <x v="0"/>
    <x v="0"/>
    <x v="0"/>
    <s v="CHARGING SYSTEM"/>
    <x v="6"/>
    <b v="0"/>
    <s v="No está en VPC"/>
    <n v="153"/>
    <s v="INTPG_ACC_153_1.20"/>
    <s v="ISEL-1.20"/>
    <n v="1"/>
    <s v="NO TIENE L3OUT"/>
    <n v="42"/>
    <n v="96"/>
  </r>
  <r>
    <n v="119"/>
    <x v="0"/>
    <x v="245"/>
    <s v="eth1/20"/>
    <x v="1"/>
    <x v="1"/>
    <x v="2"/>
    <s v="DESC"/>
    <x v="6"/>
    <b v="0"/>
    <s v="No está en VPC"/>
    <n v="119"/>
    <s v="INTPG_PC_119_1.1-4_17-20"/>
    <s v="ISEL-1.20"/>
    <n v="31"/>
    <s v="NO TIENE L3OUT"/>
    <n v="70"/>
    <n v="96"/>
  </r>
  <r>
    <n v="156"/>
    <x v="0"/>
    <x v="246"/>
    <s v="eth1/20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20"/>
    <x v="0"/>
    <x v="1"/>
    <x v="1"/>
    <s v="EHEALTH:ehealthp07:ILOM"/>
    <x v="6"/>
    <b v="0"/>
    <s v="No está en VPC"/>
    <n v="103"/>
    <s v="INTPG_ACC_103_1.20"/>
    <s v="ISEL-1.20"/>
    <n v="1"/>
    <s v="NO TIENE L3OUT"/>
    <n v="70"/>
    <n v="96"/>
  </r>
  <r>
    <n v="438"/>
    <x v="1"/>
    <x v="248"/>
    <s v="eth1/20"/>
    <x v="0"/>
    <x v="0"/>
    <x v="0"/>
    <s v="HP_Proliant_DL380p(a)"/>
    <x v="6"/>
    <b v="0"/>
    <s v="No está en VPC"/>
    <n v="438"/>
    <s v="INTPG_ACC_438_1.20"/>
    <s v="ISEL-1.20"/>
    <n v="1"/>
    <s v="NO TIENE L3OUT"/>
    <n v="170"/>
    <n v="96"/>
  </r>
  <r>
    <n v="406"/>
    <x v="1"/>
    <x v="249"/>
    <s v="eth1/20"/>
    <x v="0"/>
    <x v="0"/>
    <x v="0"/>
    <s v="ITHRTC42VC2"/>
    <x v="6"/>
    <b v="0"/>
    <s v="No está en VPC"/>
    <n v="406"/>
    <s v="INTPG_VPC_404_1.20_406_1.20"/>
    <s v="ISEL-1.20"/>
    <n v="1"/>
    <s v="NO TIENE L3OUT"/>
    <n v="82"/>
    <n v="96"/>
  </r>
  <r>
    <n v="414"/>
    <x v="1"/>
    <x v="250"/>
    <s v="eth1/20"/>
    <x v="0"/>
    <x v="0"/>
    <x v="0"/>
    <s v="NEC Femtocel NMS"/>
    <x v="6"/>
    <b v="0"/>
    <s v="No está en VPC"/>
    <n v="414"/>
    <s v="INTPG_ACC_414_1.20"/>
    <s v="ISEL-1.20"/>
    <n v="1"/>
    <s v="NO TIENE L3OUT"/>
    <n v="144"/>
    <n v="96"/>
  </r>
  <r>
    <n v="416"/>
    <x v="1"/>
    <x v="251"/>
    <s v="eth1/20"/>
    <x v="0"/>
    <x v="0"/>
    <x v="0"/>
    <s v="TO-ITHEA1A-PRINCIPAL"/>
    <x v="6"/>
    <b v="0"/>
    <s v="No está en VPC"/>
    <n v="416"/>
    <s v="INTPG_ACC_416_1.20"/>
    <s v="ISEL-1.20"/>
    <n v="1"/>
    <s v="NO TIENE L3OUT"/>
    <n v="110"/>
    <n v="96"/>
  </r>
  <r>
    <n v="418"/>
    <x v="1"/>
    <x v="252"/>
    <s v="eth1/20"/>
    <x v="0"/>
    <x v="0"/>
    <x v="0"/>
    <s v="TO-ITHNM1-REDUNDANTE"/>
    <x v="6"/>
    <b v="0"/>
    <s v="No está en VPC"/>
    <n v="418"/>
    <s v="INTPG_ACC_418_1.20"/>
    <s v="ISEL-1.20"/>
    <n v="1"/>
    <s v="NO TIENE L3OUT"/>
    <n v="152"/>
    <n v="96"/>
  </r>
  <r>
    <n v="413"/>
    <x v="1"/>
    <x v="253"/>
    <s v="eth1/20"/>
    <x v="0"/>
    <x v="0"/>
    <x v="0"/>
    <s v="To_lagidmhlapvp08_produccion1"/>
    <x v="6"/>
    <b v="0"/>
    <s v="No está en VPC"/>
    <n v="413"/>
    <s v="INTPG_VPC_411_1.26-29_413_1.19-20_22_86"/>
    <s v="ISEL-1.20"/>
    <n v="2"/>
    <s v="NO TIENE L3OUT"/>
    <n v="126"/>
    <n v="96"/>
  </r>
  <r>
    <n v="403"/>
    <x v="1"/>
    <x v="254"/>
    <s v="eth1/20"/>
    <x v="0"/>
    <x v="0"/>
    <x v="0"/>
    <s v="XL5 RLR5ARI10"/>
    <x v="6"/>
    <b v="0"/>
    <s v="No está en VPC"/>
    <n v="403"/>
    <s v="INTPG_ACC_403_1.20"/>
    <s v="ISEL-1.20"/>
    <n v="1"/>
    <s v="NO TIENE L3OUT"/>
    <n v="150"/>
    <n v="96"/>
  </r>
  <r>
    <n v="125"/>
    <x v="0"/>
    <x v="255"/>
    <s v="eth1/20"/>
    <x v="0"/>
    <x v="1"/>
    <x v="1"/>
    <s v="UXSVA (M5000)"/>
    <x v="6"/>
    <b v="0"/>
    <s v="No está en VPC"/>
    <n v="125"/>
    <s v="INTPG_ACC_125_1.20"/>
    <s v="ISEL-1.20"/>
    <n v="1"/>
    <s v="NO TIENE L3OUT"/>
    <n v="72"/>
    <n v="96"/>
  </r>
  <r>
    <n v="166"/>
    <x v="0"/>
    <x v="256"/>
    <s v="eth1/20"/>
    <x v="1"/>
    <x v="1"/>
    <x v="2"/>
    <s v="UXLDAP"/>
    <x v="6"/>
    <b v="0"/>
    <s v="No está en VPC"/>
    <n v="166"/>
    <s v="INTPG_ACC_166_1.20"/>
    <s v="ISEL-1.20"/>
    <n v="1"/>
    <s v="NO TIENE L3OUT"/>
    <n v="84"/>
    <n v="96"/>
  </r>
  <r>
    <n v="111"/>
    <x v="0"/>
    <x v="257"/>
    <s v="eth1/20"/>
    <x v="0"/>
    <x v="0"/>
    <x v="0"/>
    <s v="UXDX-DATOS"/>
    <x v="6"/>
    <b v="0"/>
    <s v="No está en VPC"/>
    <n v="111"/>
    <s v="INTPG_ACC_111_1.20"/>
    <s v="ISEL-1.20"/>
    <n v="1"/>
    <s v="NO TIENE L3OUT"/>
    <n v="58"/>
    <n v="96"/>
  </r>
  <r>
    <n v="115"/>
    <x v="0"/>
    <x v="258"/>
    <s v="eth1/20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20"/>
    <x v="0"/>
    <x v="1"/>
    <x v="1"/>
    <m/>
    <x v="6"/>
    <b v="0"/>
    <s v="No está en VPC"/>
    <n v="106"/>
    <s v="INTPG_ACC_106_1.20"/>
    <s v="ISEL-1.20"/>
    <n v="1"/>
    <s v="NO TIENE L3OUT"/>
    <n v="122"/>
    <n v="96"/>
  </r>
  <r>
    <n v="126"/>
    <x v="0"/>
    <x v="260"/>
    <s v="eth1/20"/>
    <x v="0"/>
    <x v="0"/>
    <x v="0"/>
    <s v="ENIQ"/>
    <x v="6"/>
    <b v="0"/>
    <s v="No está en VPC"/>
    <n v="126"/>
    <s v="INTPG_ACC_126_1.20"/>
    <s v="ISEL-1.20"/>
    <n v="1"/>
    <s v="NO TIENE L3OUT"/>
    <n v="54"/>
    <n v="96"/>
  </r>
  <r>
    <n v="425"/>
    <x v="1"/>
    <x v="261"/>
    <s v="eth1/20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20"/>
    <x v="0"/>
    <x v="0"/>
    <x v="0"/>
    <s v="ETLI-SACI 2"/>
    <x v="6"/>
    <b v="0"/>
    <s v="No está en VPC"/>
    <n v="151"/>
    <s v="INTPG_ACC_151_1.20"/>
    <s v="ISEL-1.20"/>
    <n v="1"/>
    <s v="NO TIENE L3OUT"/>
    <n v="86"/>
    <n v="96"/>
  </r>
  <r>
    <n v="430"/>
    <x v="1"/>
    <x v="263"/>
    <s v="eth1/20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20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20"/>
    <x v="0"/>
    <x v="1"/>
    <x v="1"/>
    <s v="COBROS NAVEGACION"/>
    <x v="6"/>
    <b v="0"/>
    <s v="No está en VPC"/>
    <n v="155"/>
    <s v="INTPG_ACC_155_1.20"/>
    <s v="ISEL-1.20"/>
    <n v="1"/>
    <s v="NO TIENE L3OUT"/>
    <n v="198"/>
    <n v="96"/>
  </r>
  <r>
    <n v="409"/>
    <x v="1"/>
    <x v="266"/>
    <s v="eth1/20"/>
    <x v="0"/>
    <x v="0"/>
    <x v="0"/>
    <s v="IXTGLAOSS2_CLIENT1"/>
    <x v="6"/>
    <b v="0"/>
    <s v="No está en VPC"/>
    <n v="409"/>
    <s v="INTPG_VPC_407_1.24_409_1.20"/>
    <s v="ISEL-1.20"/>
    <n v="16"/>
    <s v="NO TIENE L3OUT"/>
    <n v="128"/>
    <n v="96"/>
  </r>
  <r>
    <n v="422"/>
    <x v="1"/>
    <x v="267"/>
    <s v="eth1/20"/>
    <x v="0"/>
    <x v="0"/>
    <x v="0"/>
    <s v="IXTAI5_ALOM"/>
    <x v="6"/>
    <b v="0"/>
    <s v="No está en VPC"/>
    <n v="422"/>
    <s v="INTPG_ACC_422_1.20"/>
    <s v="ISEL-1.20"/>
    <n v="1"/>
    <s v="NO TIENE L3OUT"/>
    <n v="182"/>
    <n v="96"/>
  </r>
  <r>
    <n v="436"/>
    <x v="1"/>
    <x v="268"/>
    <s v="eth1/20"/>
    <x v="0"/>
    <x v="0"/>
    <x v="0"/>
    <s v="HP_Proliant_DL380p(a)"/>
    <x v="6"/>
    <b v="0"/>
    <s v="No está en VPC"/>
    <n v="436"/>
    <s v="INTPG_ACC_436_1.20"/>
    <s v="ISEL-1.20"/>
    <n v="1"/>
    <s v="NO TIENE L3OUT"/>
    <n v="172"/>
    <n v="96"/>
  </r>
  <r>
    <n v="410"/>
    <x v="1"/>
    <x v="269"/>
    <s v="eth1/20"/>
    <x v="0"/>
    <x v="0"/>
    <x v="0"/>
    <s v="ITHMSNUBE2_ITH2"/>
    <x v="6"/>
    <b v="0"/>
    <s v="No está en VPC"/>
    <n v="410"/>
    <s v="INTPG_ACC_410_1.20"/>
    <s v="ISEL-1.20"/>
    <n v="1"/>
    <s v="NO TIENE L3OUT"/>
    <n v="178"/>
    <n v="96"/>
  </r>
  <r>
    <n v="161"/>
    <x v="0"/>
    <x v="270"/>
    <s v="eth1/20"/>
    <x v="0"/>
    <x v="0"/>
    <x v="0"/>
    <s v="SICOP"/>
    <x v="6"/>
    <b v="0"/>
    <s v="No está en VPC"/>
    <n v="161"/>
    <s v="INTPG_ACC_161_1.20"/>
    <s v="ISEL-1.20"/>
    <n v="1"/>
    <s v="NO TIENE L3OUT"/>
    <n v="102"/>
    <n v="96"/>
  </r>
  <r>
    <n v="411"/>
    <x v="1"/>
    <x v="271"/>
    <s v="eth1/20"/>
    <x v="0"/>
    <x v="0"/>
    <x v="0"/>
    <m/>
    <x v="6"/>
    <b v="0"/>
    <s v="No está en VPC"/>
    <n v="411"/>
    <s v="INTPG_ACC_411_1.20"/>
    <s v="ISEL-1.20"/>
    <n v="2"/>
    <s v="NO TIENE L3OUT"/>
    <n v="96"/>
    <n v="96"/>
  </r>
  <r>
    <n v="116"/>
    <x v="0"/>
    <x v="272"/>
    <s v="eth1/20"/>
    <x v="0"/>
    <x v="0"/>
    <x v="0"/>
    <s v="COBROS NAVEGACION"/>
    <x v="6"/>
    <b v="0"/>
    <s v="No está en VPC"/>
    <n v="116"/>
    <s v="INTPG_ACC_116_1.20"/>
    <s v="ISEL-1.20"/>
    <n v="1"/>
    <s v="NO TIENE L3OUT"/>
    <n v="148"/>
    <n v="96"/>
  </r>
  <r>
    <n v="412"/>
    <x v="1"/>
    <x v="273"/>
    <s v="eth1/20"/>
    <x v="0"/>
    <x v="0"/>
    <x v="0"/>
    <s v="RESPAL_CS5_ASAP8"/>
    <x v="6"/>
    <b v="0"/>
    <s v="No está en VPC"/>
    <n v="412"/>
    <s v="INTPG_ACC_412_1.20"/>
    <s v="ISEL-1.20"/>
    <n v="1"/>
    <s v="NO TIENE L3OUT"/>
    <n v="126"/>
    <n v="96"/>
  </r>
  <r>
    <n v="120"/>
    <x v="0"/>
    <x v="274"/>
    <s v="eth1/20"/>
    <x v="0"/>
    <x v="0"/>
    <x v="0"/>
    <s v="FCSW1_MGMT"/>
    <x v="6"/>
    <b v="0"/>
    <s v="No está en VPC"/>
    <n v="120"/>
    <s v="INTPG_ACC_120_1.20"/>
    <s v="ISEL-1.20"/>
    <n v="1"/>
    <s v="NO TIENE L3OUT"/>
    <n v="158"/>
    <n v="96"/>
  </r>
  <r>
    <n v="404"/>
    <x v="1"/>
    <x v="275"/>
    <s v="eth1/20"/>
    <x v="0"/>
    <x v="0"/>
    <x v="0"/>
    <s v="ITHRTC42VC2"/>
    <x v="6"/>
    <b v="0"/>
    <s v="No está en VPC"/>
    <n v="404"/>
    <s v="INTPG_VPC_404_1.20_406_1.20"/>
    <s v="ISEL-1.20"/>
    <n v="1"/>
    <s v="NO TIENE L3OUT"/>
    <n v="92"/>
    <n v="96"/>
  </r>
  <r>
    <n v="167"/>
    <x v="0"/>
    <x v="276"/>
    <s v="eth1/20"/>
    <x v="0"/>
    <x v="0"/>
    <x v="0"/>
    <s v="9UCS-GEO-IXTLA-SERV1"/>
    <x v="6"/>
    <b v="0"/>
    <s v="No está en VPC"/>
    <n v="167"/>
    <s v="INTPG_ACC_167_1.20"/>
    <s v="ISEL-1.20"/>
    <n v="1"/>
    <s v="NO TIENE L3OUT"/>
    <n v="68"/>
    <n v="96"/>
  </r>
  <r>
    <n v="428"/>
    <x v="1"/>
    <x v="277"/>
    <s v="eth1/20"/>
    <x v="0"/>
    <x v="1"/>
    <x v="7"/>
    <s v="OSS_3G_TIJUANA_LAG"/>
    <x v="6"/>
    <b v="0"/>
    <s v="No está en VPC"/>
    <n v="428"/>
    <s v="INTPG_VPC_428_1.20_430_1.25"/>
    <s v="ISEL-1.20"/>
    <n v="13"/>
    <s v="NO TIENE L3OUT"/>
    <n v="102"/>
    <n v="96"/>
  </r>
  <r>
    <n v="903"/>
    <x v="2"/>
    <x v="278"/>
    <s v="eth1/20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20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21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21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21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21"/>
    <x v="0"/>
    <x v="0"/>
    <x v="0"/>
    <s v="TO-ITHFHPNBURBKP02"/>
    <x v="0"/>
    <b v="0"/>
    <s v="No está en VPC"/>
    <n v="101"/>
    <s v="INTPG_VPC_101_1.21_150_1.21"/>
    <s v="ISEL-1.21"/>
    <n v="1"/>
    <s v="NO TIENE L3OUT"/>
    <n v="114"/>
    <n v="54"/>
  </r>
  <r>
    <n v="160"/>
    <x v="0"/>
    <x v="4"/>
    <s v="eth1/21"/>
    <x v="0"/>
    <x v="0"/>
    <x v="0"/>
    <m/>
    <x v="1"/>
    <b v="0"/>
    <s v="No está en VPC"/>
    <n v="160"/>
    <s v="INTPG_ACC_160_1.21"/>
    <s v="ISEL-1.21"/>
    <n v="1"/>
    <s v="NO TIENE L3OUT"/>
    <n v="68"/>
    <n v="54"/>
  </r>
  <r>
    <n v="121"/>
    <x v="0"/>
    <x v="5"/>
    <s v="eth1/21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21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21"/>
    <x v="0"/>
    <x v="1"/>
    <x v="3"/>
    <m/>
    <x v="0"/>
    <b v="0"/>
    <s v="No está en VPC"/>
    <n v="401"/>
    <s v="NO EXISTE PG"/>
    <s v="NO EXISTE ISEL"/>
    <n v="0"/>
    <s v="NO TIENE L3OUT"/>
    <n v="40"/>
    <n v="54"/>
  </r>
  <r>
    <n v="402"/>
    <x v="1"/>
    <x v="8"/>
    <s v="eth1/21"/>
    <x v="0"/>
    <x v="1"/>
    <x v="3"/>
    <m/>
    <x v="0"/>
    <b v="0"/>
    <s v="No está en VPC"/>
    <n v="402"/>
    <s v="NO EXISTE PG"/>
    <s v="NO EXISTE ISEL"/>
    <n v="0"/>
    <s v="NO TIENE L3OUT"/>
    <n v="36"/>
    <n v="54"/>
  </r>
  <r>
    <n v="447"/>
    <x v="1"/>
    <x v="9"/>
    <s v="eth1/21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21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21"/>
    <x v="0"/>
    <x v="0"/>
    <x v="0"/>
    <s v="TO-ITHEMCDD99000569"/>
    <x v="0"/>
    <b v="0"/>
    <s v="No está en VPC"/>
    <n v="130"/>
    <s v="INTPG_VPC_130_1.21-22_131_1.22-23"/>
    <s v="ISEL-1.21"/>
    <n v="1"/>
    <s v="NO TIENE L3OUT"/>
    <n v="128"/>
    <n v="54"/>
  </r>
  <r>
    <n v="150"/>
    <x v="0"/>
    <x v="12"/>
    <s v="eth1/21"/>
    <x v="0"/>
    <x v="0"/>
    <x v="0"/>
    <s v="TO-ITHFHPNBURBKP02"/>
    <x v="0"/>
    <b v="0"/>
    <s v="No está en VPC"/>
    <n v="150"/>
    <s v="INTPG_VPC_101_1.21_150_1.21"/>
    <s v="ISEL-1.21"/>
    <n v="1"/>
    <s v="NO TIENE L3OUT"/>
    <n v="118"/>
    <n v="54"/>
  </r>
  <r>
    <n v="131"/>
    <x v="0"/>
    <x v="13"/>
    <s v="eth1/21"/>
    <x v="0"/>
    <x v="0"/>
    <x v="0"/>
    <s v="TO-ITHEMCDD99000569"/>
    <x v="0"/>
    <b v="0"/>
    <s v="No está en VPC"/>
    <n v="131"/>
    <s v="INTPG_VPC_130_1.20_131_1.20-21"/>
    <s v="ISEL-1.21"/>
    <n v="1"/>
    <s v="NO TIENE L3OUT"/>
    <n v="126"/>
    <n v="54"/>
  </r>
  <r>
    <n v="303"/>
    <x v="0"/>
    <x v="14"/>
    <s v="eth1/21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21"/>
    <x v="0"/>
    <x v="0"/>
    <x v="0"/>
    <s v="GRLK-EN04-LAG01"/>
    <x v="2"/>
    <b v="0"/>
    <s v="No está en VPC"/>
    <n v="758"/>
    <s v="INTPG_VPC_758_1.21_759_1.21"/>
    <s v="ISEL-1.21"/>
    <n v="145"/>
    <s v="NO TIENE L3OUT"/>
    <n v="0"/>
    <n v="42"/>
  </r>
  <r>
    <n v="759"/>
    <x v="2"/>
    <x v="16"/>
    <s v="eth1/21"/>
    <x v="0"/>
    <x v="0"/>
    <x v="0"/>
    <s v="GRLK-EN04-LAG01"/>
    <x v="2"/>
    <b v="0"/>
    <s v="No está en VPC"/>
    <n v="759"/>
    <s v="INTPG_VPC_758_1.21_759_1.21"/>
    <s v="ISEL-1.21"/>
    <n v="145"/>
    <s v="NO TIENE L3OUT"/>
    <n v="0"/>
    <n v="42"/>
  </r>
  <r>
    <n v="302"/>
    <x v="0"/>
    <x v="17"/>
    <s v="eth1/21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21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21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21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21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21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21"/>
    <x v="0"/>
    <x v="0"/>
    <x v="0"/>
    <m/>
    <x v="0"/>
    <b v="0"/>
    <s v="No está en VPC"/>
    <n v="724"/>
    <s v="INTPG-VPC_HDD98_724_1.21_725_1.22"/>
    <s v="ISEL-1.21"/>
    <n v="1"/>
    <s v="NO TIENE L3OUT"/>
    <n v="0"/>
    <n v="54"/>
  </r>
  <r>
    <n v="602"/>
    <x v="1"/>
    <x v="24"/>
    <s v="eth1/21"/>
    <x v="0"/>
    <x v="1"/>
    <x v="3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21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21"/>
    <x v="0"/>
    <x v="0"/>
    <x v="0"/>
    <s v="ZTE_HADOOP_produccion_client_LAG"/>
    <x v="0"/>
    <b v="0"/>
    <s v="No está en VPC"/>
    <n v="431"/>
    <s v="INTPG_VPC_431_1.18-21_448_1.18-21"/>
    <s v="ISEL-1.21"/>
    <n v="8"/>
    <s v="NO TIENE L3OUT"/>
    <n v="46"/>
    <n v="54"/>
  </r>
  <r>
    <n v="433"/>
    <x v="1"/>
    <x v="27"/>
    <s v="eth1/21"/>
    <x v="0"/>
    <x v="0"/>
    <x v="0"/>
    <s v="ITHNBCOP3ET02_IDRAC1"/>
    <x v="1"/>
    <b v="0"/>
    <s v="No está en VPC"/>
    <n v="433"/>
    <s v="INTPG_ACC_433_1.21"/>
    <s v="ISEL-1.21"/>
    <n v="1"/>
    <s v="NO TIENE L3OUT"/>
    <n v="42"/>
    <n v="54"/>
  </r>
  <r>
    <n v="429"/>
    <x v="1"/>
    <x v="28"/>
    <s v="eth1/21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21"/>
    <x v="0"/>
    <x v="0"/>
    <x v="0"/>
    <s v="SecAnLG_Gb2_05-Colector_R1toR8_RD-IXTSALG_H1_8RD"/>
    <x v="1"/>
    <b v="0"/>
    <s v="No está en VPC"/>
    <n v="432"/>
    <s v="INTPG_ACC_432_1.21"/>
    <s v="ISEL-1.21"/>
    <n v="1"/>
    <s v="NO TIENE L3OUT"/>
    <n v="54"/>
    <n v="54"/>
  </r>
  <r>
    <n v="442"/>
    <x v="1"/>
    <x v="30"/>
    <s v="eth1/21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21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21"/>
    <x v="0"/>
    <x v="0"/>
    <x v="0"/>
    <s v="CEM_ITHCEMG2APP18"/>
    <x v="0"/>
    <b v="0"/>
    <s v="No está en VPC"/>
    <n v="707"/>
    <s v="INTPG_VPC_707_1.21_736_1.21"/>
    <s v="ISEL-1.21"/>
    <n v="1"/>
    <s v="NO TIENE L3OUT"/>
    <n v="54"/>
    <n v="54"/>
  </r>
  <r>
    <n v="712"/>
    <x v="2"/>
    <x v="33"/>
    <s v="eth1/21"/>
    <x v="0"/>
    <x v="1"/>
    <x v="5"/>
    <s v="CEM:ITHCEMB2AKF11:LOM P1"/>
    <x v="0"/>
    <b v="0"/>
    <s v="No está en VPC"/>
    <n v="712"/>
    <s v="INTPG_VPC_712_1.21_713_1.22"/>
    <s v="ISEL-1.21"/>
    <n v="1"/>
    <s v="NO TIENE L3OUT"/>
    <n v="32"/>
    <n v="54"/>
  </r>
  <r>
    <n v="719"/>
    <x v="2"/>
    <x v="34"/>
    <s v="eth1/21"/>
    <x v="0"/>
    <x v="0"/>
    <x v="0"/>
    <m/>
    <x v="0"/>
    <b v="0"/>
    <s v="No está en VPC"/>
    <n v="719"/>
    <s v="INTPG-VPC_CMY02_719_1.21_720_1.22"/>
    <s v="ISEL-1.21"/>
    <n v="1"/>
    <s v="NO TIENE L3OUT"/>
    <n v="0"/>
    <n v="54"/>
  </r>
  <r>
    <n v="715"/>
    <x v="2"/>
    <x v="35"/>
    <s v="eth1/21"/>
    <x v="0"/>
    <x v="0"/>
    <x v="0"/>
    <m/>
    <x v="0"/>
    <b v="0"/>
    <s v="No está en VPC"/>
    <n v="715"/>
    <s v="INTPG-VPC_SLR03_715_1.21_716_1.22"/>
    <s v="ISEL-1.21"/>
    <n v="1"/>
    <s v="NO TIENE L3OUT"/>
    <n v="0"/>
    <n v="54"/>
  </r>
  <r>
    <n v="427"/>
    <x v="1"/>
    <x v="36"/>
    <s v="eth1/21"/>
    <x v="0"/>
    <x v="1"/>
    <x v="1"/>
    <s v="TO-TEMP_SALIDA_ROUTER_INTERNET"/>
    <x v="1"/>
    <b v="0"/>
    <s v="No está en VPC"/>
    <n v="427"/>
    <s v="INTPG_ACC_427_1.21"/>
    <s v="ISEL-1.21"/>
    <n v="1"/>
    <s v="NO TIENE L3OUT"/>
    <n v="10"/>
    <n v="54"/>
  </r>
  <r>
    <n v="711"/>
    <x v="2"/>
    <x v="37"/>
    <s v="eth1/21"/>
    <x v="0"/>
    <x v="1"/>
    <x v="5"/>
    <s v="CEM:ITHCEMC2AKF11:LOM P1"/>
    <x v="0"/>
    <b v="0"/>
    <s v="No está en VPC"/>
    <n v="711"/>
    <s v="INTPG_VPC_710_1.22_711_1.21"/>
    <s v="ISEL-1.21"/>
    <n v="1"/>
    <s v="NO TIENE L3OUT"/>
    <n v="16"/>
    <n v="54"/>
  </r>
  <r>
    <n v="716"/>
    <x v="2"/>
    <x v="38"/>
    <s v="eth1/21"/>
    <x v="0"/>
    <x v="0"/>
    <x v="0"/>
    <m/>
    <x v="0"/>
    <b v="0"/>
    <s v="No está en VPC"/>
    <n v="716"/>
    <s v="INTPG-VPC_HDD29_716_1.21_715_1.22"/>
    <s v="ISEL-1.21"/>
    <n v="1"/>
    <s v="NO TIENE L3OUT"/>
    <n v="0"/>
    <n v="54"/>
  </r>
  <r>
    <n v="702"/>
    <x v="2"/>
    <x v="39"/>
    <s v="eth1/21"/>
    <x v="0"/>
    <x v="0"/>
    <x v="0"/>
    <m/>
    <x v="0"/>
    <b v="0"/>
    <s v="No está en VPC"/>
    <n v="702"/>
    <s v="INTPG_VPC_702_1.21_701_1.22"/>
    <s v="ISEL-1.21"/>
    <n v="1"/>
    <s v="NO TIENE L3OUT"/>
    <n v="0"/>
    <n v="54"/>
  </r>
  <r>
    <n v="435"/>
    <x v="1"/>
    <x v="40"/>
    <s v="eth1/21"/>
    <x v="0"/>
    <x v="0"/>
    <x v="0"/>
    <s v="ITHNBCOP3ET02_ETH2"/>
    <x v="1"/>
    <b v="0"/>
    <s v="No está en VPC"/>
    <n v="435"/>
    <s v="INTPG_ACC_435_1.21"/>
    <s v="ISEL-1.21"/>
    <n v="1"/>
    <s v="NO TIENE L3OUT"/>
    <n v="34"/>
    <n v="54"/>
  </r>
  <r>
    <n v="446"/>
    <x v="1"/>
    <x v="41"/>
    <s v="eth1/21"/>
    <x v="0"/>
    <x v="0"/>
    <x v="0"/>
    <m/>
    <x v="0"/>
    <b v="0"/>
    <s v="No está en VPC"/>
    <n v="446"/>
    <s v="INTPG_ACC_446_1.21"/>
    <s v="ISEL-1.21"/>
    <n v="9"/>
    <s v="NO TIENE L3OUT"/>
    <n v="198"/>
    <n v="54"/>
  </r>
  <r>
    <n v="444"/>
    <x v="1"/>
    <x v="42"/>
    <s v="eth1/21"/>
    <x v="0"/>
    <x v="0"/>
    <x v="0"/>
    <s v="TO-ITHFDLMCLWLCN02"/>
    <x v="0"/>
    <b v="0"/>
    <s v="No está en VPC"/>
    <n v="444"/>
    <s v="INTPG_VPC_446_1.22_444_1.21"/>
    <s v="ISEL-1.21"/>
    <n v="3"/>
    <s v="NO TIENE L3OUT"/>
    <n v="234"/>
    <n v="54"/>
  </r>
  <r>
    <n v="701"/>
    <x v="2"/>
    <x v="43"/>
    <s v="eth1/21"/>
    <x v="0"/>
    <x v="0"/>
    <x v="0"/>
    <m/>
    <x v="0"/>
    <b v="0"/>
    <s v="No está en VPC"/>
    <n v="701"/>
    <s v="INTPG_VPC_701_1.21_702_1.22"/>
    <s v="ISEL-1.21"/>
    <n v="1"/>
    <s v="NO TIENE L3OUT"/>
    <n v="0"/>
    <n v="54"/>
  </r>
  <r>
    <n v="440"/>
    <x v="1"/>
    <x v="44"/>
    <s v="eth1/21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21"/>
    <x v="0"/>
    <x v="0"/>
    <x v="0"/>
    <s v="ZTE_HADOOP_produccion_client_LAG"/>
    <x v="0"/>
    <b v="0"/>
    <s v="No está en VPC"/>
    <n v="448"/>
    <s v="INTPG_VPC_431_1.18-21_448_1.18-21"/>
    <s v="ISEL-1.21"/>
    <n v="8"/>
    <s v="NO TIENE L3OUT"/>
    <n v="46"/>
    <n v="54"/>
  </r>
  <r>
    <n v="704"/>
    <x v="2"/>
    <x v="46"/>
    <s v="eth1/21"/>
    <x v="0"/>
    <x v="0"/>
    <x v="0"/>
    <m/>
    <x v="0"/>
    <b v="0"/>
    <s v="No está en VPC"/>
    <n v="704"/>
    <s v="INTPG_VPC_704_1.21_703_1.22"/>
    <s v="ISEL-1.21"/>
    <n v="1"/>
    <s v="NO TIENE L3OUT"/>
    <n v="0"/>
    <n v="54"/>
  </r>
  <r>
    <n v="729"/>
    <x v="2"/>
    <x v="47"/>
    <s v="eth1/21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21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21"/>
    <x v="0"/>
    <x v="0"/>
    <x v="0"/>
    <s v="HACIA_MGMT-OSCP-F4-01_SECUNDARIO"/>
    <x v="4"/>
    <b v="0"/>
    <s v="No está en VPC"/>
    <n v="456"/>
    <s v="INTPG_VPC_454_1.21_456_1.21"/>
    <s v="ISEL-1.21"/>
    <n v="1"/>
    <s v="NO TIENE L3OUT"/>
    <n v="4"/>
    <n v="54"/>
  </r>
  <r>
    <n v="603"/>
    <x v="1"/>
    <x v="50"/>
    <s v="eth1/21"/>
    <x v="0"/>
    <x v="1"/>
    <x v="3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21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21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21"/>
    <x v="0"/>
    <x v="0"/>
    <x v="0"/>
    <s v="Server_Pre-R02-CBS-RH2288-05"/>
    <x v="0"/>
    <b v="0"/>
    <s v="No está en VPC"/>
    <n v="730"/>
    <s v="INTPG_ACC_730_1.21"/>
    <s v="ISEL-1.21"/>
    <n v="1"/>
    <s v="NO TIENE L3OUT"/>
    <n v="36"/>
    <n v="54"/>
  </r>
  <r>
    <n v="722"/>
    <x v="2"/>
    <x v="54"/>
    <s v="eth1/21"/>
    <x v="0"/>
    <x v="0"/>
    <x v="0"/>
    <m/>
    <x v="0"/>
    <b v="0"/>
    <s v="No está en VPC"/>
    <n v="722"/>
    <s v="INTPG-VPC_HDD123_722_1.21_723_1.22"/>
    <s v="ISEL-1.21"/>
    <n v="1"/>
    <s v="NO TIENE L3OUT"/>
    <n v="0"/>
    <n v="54"/>
  </r>
  <r>
    <n v="733"/>
    <x v="2"/>
    <x v="55"/>
    <s v="eth1/21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21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21"/>
    <x v="0"/>
    <x v="0"/>
    <x v="0"/>
    <m/>
    <x v="0"/>
    <b v="0"/>
    <s v="No está en VPC"/>
    <n v="748"/>
    <s v="INTPG_ACC_748_1.21"/>
    <s v="ISEL-1.21"/>
    <n v="0"/>
    <s v="NO TIENE L3OUT"/>
    <n v="2"/>
    <n v="54"/>
  </r>
  <r>
    <n v="756"/>
    <x v="2"/>
    <x v="58"/>
    <s v="eth1/21"/>
    <x v="0"/>
    <x v="0"/>
    <x v="0"/>
    <s v="OSS F1:ithenmr06e1r9b:Bay2/X1"/>
    <x v="0"/>
    <b v="0"/>
    <s v="No está en VPC"/>
    <n v="756"/>
    <s v="INTPG_PC_756_1.21-22"/>
    <s v="ISEL-1.21"/>
    <n v="8"/>
    <s v="NO TIENE L3OUT"/>
    <n v="64"/>
    <n v="54"/>
  </r>
  <r>
    <n v="754"/>
    <x v="2"/>
    <x v="59"/>
    <s v="eth1/21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21"/>
    <x v="0"/>
    <x v="0"/>
    <x v="0"/>
    <m/>
    <x v="0"/>
    <b v="0"/>
    <s v="No está en VPC"/>
    <n v="751"/>
    <s v="INTPG_ACC_751_1.21"/>
    <s v="ISEL-1.21"/>
    <n v="0"/>
    <s v="NO TIENE L3OUT"/>
    <n v="0"/>
    <n v="54"/>
  </r>
  <r>
    <n v="769"/>
    <x v="2"/>
    <x v="61"/>
    <s v="eth1/21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21"/>
    <x v="0"/>
    <x v="0"/>
    <x v="0"/>
    <s v="CEM:ITHCEMA2AKF11:LOM P3"/>
    <x v="5"/>
    <b v="0"/>
    <s v="No está en VPC"/>
    <n v="742"/>
    <s v="INTPG_ACC_742_1.21"/>
    <s v="ISEL-1.21"/>
    <n v="1"/>
    <s v="NO TIENE L3OUT"/>
    <n v="64"/>
    <n v="54"/>
  </r>
  <r>
    <n v="763"/>
    <x v="2"/>
    <x v="63"/>
    <s v="eth1/21"/>
    <x v="0"/>
    <x v="0"/>
    <x v="0"/>
    <s v="PAAS:ithhwosstpap006:FlexIO.1"/>
    <x v="0"/>
    <b v="0"/>
    <s v="No está en VPC"/>
    <n v="763"/>
    <s v="INTPG_VPC_762_1.21_763_1.21"/>
    <s v="ISEL-1.21"/>
    <n v="1"/>
    <s v="NO TIENE L3OUT"/>
    <n v="2"/>
    <n v="54"/>
  </r>
  <r>
    <n v="766"/>
    <x v="2"/>
    <x v="64"/>
    <s v="eth1/21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21"/>
    <x v="0"/>
    <x v="0"/>
    <x v="0"/>
    <s v="TO-9S_BESDR_IXTLA3_1"/>
    <x v="0"/>
    <b v="0"/>
    <s v="No está en VPC"/>
    <n v="760"/>
    <s v="INTPG_VPC_760_1.21-24_761_1.21-24"/>
    <s v="ISEL-1.21"/>
    <n v="33"/>
    <s v="NO TIENE L3OUT"/>
    <n v="0"/>
    <n v="54"/>
  </r>
  <r>
    <n v="752"/>
    <x v="2"/>
    <x v="66"/>
    <s v="eth1/21"/>
    <x v="0"/>
    <x v="0"/>
    <x v="0"/>
    <s v="PAAS:ithhwosstpap006:LOM PORT 1"/>
    <x v="0"/>
    <b v="0"/>
    <s v="No está en VPC"/>
    <n v="752"/>
    <s v="INTPG_VPC_747_1.21_752_1.21"/>
    <s v="ISEL-1.21"/>
    <n v="25"/>
    <s v="NO TIENE L3OUT"/>
    <n v="0"/>
    <n v="54"/>
  </r>
  <r>
    <n v="765"/>
    <x v="2"/>
    <x v="67"/>
    <s v="eth1/21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21"/>
    <x v="0"/>
    <x v="0"/>
    <x v="0"/>
    <s v="VERITAS:ITHFVEAPCNBST02 :10GbE"/>
    <x v="0"/>
    <b v="0"/>
    <s v="No está en VPC"/>
    <n v="778"/>
    <s v="INTPG_VPC_778_1.20-21_779_1.20-21"/>
    <s v="ISEL-1.21"/>
    <n v="2"/>
    <s v="NO TIENE L3OUT"/>
    <n v="26"/>
    <n v="54"/>
  </r>
  <r>
    <n v="780"/>
    <x v="2"/>
    <x v="69"/>
    <s v="eth1/21"/>
    <x v="0"/>
    <x v="0"/>
    <x v="0"/>
    <s v="CLOUD OPS:ithhwcop02en01:1E P2"/>
    <x v="0"/>
    <b v="0"/>
    <s v="No está en VPC"/>
    <n v="780"/>
    <s v="INTPG_VPC_780_1.20-21_26-27_781_1.20-21_26-27"/>
    <s v="ISEL-1.21"/>
    <n v="23"/>
    <s v="NO TIENE L3OUT"/>
    <n v="26"/>
    <n v="54"/>
  </r>
  <r>
    <n v="812"/>
    <x v="2"/>
    <x v="70"/>
    <s v="eth1/21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21"/>
    <x v="0"/>
    <x v="0"/>
    <x v="0"/>
    <s v="TO_ITHFDEOSPVLMT01"/>
    <x v="0"/>
    <b v="0"/>
    <s v="No está en VPC"/>
    <n v="796"/>
    <s v="INTPG_VPC_795_1.19-21_796_1.19-21"/>
    <s v="ISEL-1.21"/>
    <n v="2"/>
    <s v="NO TIENE L3OUT"/>
    <n v="18"/>
    <n v="54"/>
  </r>
  <r>
    <n v="795"/>
    <x v="2"/>
    <x v="72"/>
    <s v="eth1/21"/>
    <x v="0"/>
    <x v="0"/>
    <x v="0"/>
    <s v="TO_ITHFDEOSPVLMT01"/>
    <x v="0"/>
    <b v="0"/>
    <s v="No está en VPC"/>
    <n v="795"/>
    <s v="INTPG_VPC_795_1.19-21_796_1.19-21"/>
    <s v="ISEL-1.21"/>
    <n v="2"/>
    <s v="NO TIENE L3OUT"/>
    <n v="18"/>
    <n v="54"/>
  </r>
  <r>
    <n v="749"/>
    <x v="2"/>
    <x v="73"/>
    <s v="eth1/21"/>
    <x v="0"/>
    <x v="0"/>
    <x v="0"/>
    <m/>
    <x v="0"/>
    <b v="0"/>
    <s v="No está en VPC"/>
    <n v="749"/>
    <s v="INTPG_ACC_749_1.21"/>
    <s v="ISEL-1.21"/>
    <n v="0"/>
    <s v="NO TIENE L3OUT"/>
    <n v="4"/>
    <n v="54"/>
  </r>
  <r>
    <n v="824"/>
    <x v="2"/>
    <x v="74"/>
    <s v="eth1/21"/>
    <x v="0"/>
    <x v="0"/>
    <x v="0"/>
    <s v="LINK_TO_ITHFHWCMVWPMA12 /Slot5.1 /Redundante"/>
    <x v="0"/>
    <b v="0"/>
    <s v="No está en VPC"/>
    <n v="824"/>
    <s v="INTPG_ACC_824_1.21"/>
    <s v="ISEL-1.21"/>
    <n v="1"/>
    <s v="NO TIENE L3OUT"/>
    <n v="70"/>
    <n v="54"/>
  </r>
  <r>
    <n v="819"/>
    <x v="2"/>
    <x v="75"/>
    <s v="eth1/21"/>
    <x v="0"/>
    <x v="0"/>
    <x v="0"/>
    <s v="LINK_TO_ITHFHWCMVWPMA12 /10GE.1 /Principal"/>
    <x v="0"/>
    <b v="0"/>
    <s v="No está en VPC"/>
    <n v="819"/>
    <s v="INTPG_ACC_819_1.21"/>
    <s v="ISEL-1.21"/>
    <n v="1"/>
    <s v="NO TIENE L3OUT"/>
    <n v="70"/>
    <n v="54"/>
  </r>
  <r>
    <n v="737"/>
    <x v="2"/>
    <x v="76"/>
    <s v="eth1/21"/>
    <x v="0"/>
    <x v="0"/>
    <x v="0"/>
    <s v="CEM:ITHCEMF2RTB11:LOM P3"/>
    <x v="5"/>
    <b v="0"/>
    <s v="No está en VPC"/>
    <n v="737"/>
    <s v="INTPG_ACC_737_1.21"/>
    <s v="ISEL-1.21"/>
    <n v="1"/>
    <s v="NO TIENE L3OUT"/>
    <n v="72"/>
    <n v="54"/>
  </r>
  <r>
    <n v="844"/>
    <x v="2"/>
    <x v="77"/>
    <s v="eth1/21"/>
    <x v="0"/>
    <x v="0"/>
    <x v="0"/>
    <s v="LINK_TO_ITHFHWCRMPLCN107 / Slot1.3_18 / Principal"/>
    <x v="0"/>
    <b v="0"/>
    <s v="No está en VPC"/>
    <n v="844"/>
    <s v="INTPG_ACC_844_1.21"/>
    <s v="ISEL-1.21"/>
    <n v="1"/>
    <s v="NO TIENE L3OUT"/>
    <n v="282"/>
    <n v="54"/>
  </r>
  <r>
    <n v="843"/>
    <x v="2"/>
    <x v="78"/>
    <s v="eth1/21"/>
    <x v="0"/>
    <x v="0"/>
    <x v="0"/>
    <s v="LINK_To_ITHFHWCBSPSWR42 / Slot7.1_28 / Redundante"/>
    <x v="0"/>
    <b v="0"/>
    <s v="No está en VPC"/>
    <n v="843"/>
    <s v="INTPG_VPC_838_1.21_843_1.21"/>
    <s v="ISEL-1.21"/>
    <n v="2"/>
    <s v="NO TIENE L3OUT"/>
    <n v="38"/>
    <n v="54"/>
  </r>
  <r>
    <n v="797"/>
    <x v="2"/>
    <x v="79"/>
    <s v="eth1/21"/>
    <x v="0"/>
    <x v="0"/>
    <x v="0"/>
    <s v="TO-HDPS_23-MSP"/>
    <x v="0"/>
    <b v="0"/>
    <s v="No está en VPC"/>
    <n v="797"/>
    <s v="INTPG_ACC_797_1.21"/>
    <s v="ISEL-1.21"/>
    <n v="1"/>
    <s v="NO TIENE L3OUT"/>
    <n v="48"/>
    <n v="54"/>
  </r>
  <r>
    <n v="839"/>
    <x v="2"/>
    <x v="80"/>
    <s v="eth1/21"/>
    <x v="0"/>
    <x v="0"/>
    <x v="0"/>
    <s v="LINK_TO_ITHFHWCBSPSWR64 / Slot7.3_16 / Redundante"/>
    <x v="0"/>
    <b v="0"/>
    <s v="No está en VPC"/>
    <n v="839"/>
    <s v="INTPG_VPC_834_1.21_839_1.21"/>
    <s v="ISEL-1.21"/>
    <n v="1"/>
    <s v="NO TIENE L3OUT"/>
    <n v="0"/>
    <n v="54"/>
  </r>
  <r>
    <n v="847"/>
    <x v="2"/>
    <x v="81"/>
    <s v="eth1/21"/>
    <x v="0"/>
    <x v="0"/>
    <x v="0"/>
    <s v="LINK_TO_ITHFHWCRMPLCN172 / Slot7.2_14 / Redundante"/>
    <x v="0"/>
    <b v="0"/>
    <s v="No está en VPC"/>
    <n v="847"/>
    <s v="INTPG_ACC_847_1.21"/>
    <s v="ISEL-1.21"/>
    <n v="2"/>
    <s v="NO TIENE L3OUT"/>
    <n v="204"/>
    <n v="54"/>
  </r>
  <r>
    <n v="848"/>
    <x v="2"/>
    <x v="82"/>
    <s v="eth1/21"/>
    <x v="0"/>
    <x v="0"/>
    <x v="0"/>
    <s v="LINK_TO_ITHFHWCRMPLCN161 / Slot7.2_24 / Redundante"/>
    <x v="0"/>
    <b v="0"/>
    <s v="No está en VPC"/>
    <n v="848"/>
    <s v="INTPG_ACC_848_1.21"/>
    <s v="ISEL-1.21"/>
    <n v="2"/>
    <s v="NO TIENE L3OUT"/>
    <n v="254"/>
    <n v="54"/>
  </r>
  <r>
    <n v="846"/>
    <x v="2"/>
    <x v="83"/>
    <s v="eth1/21"/>
    <x v="0"/>
    <x v="0"/>
    <x v="0"/>
    <s v="LINK_TO_ITHFHWCRMPLCN78 / Slot1.3_14 / Principal"/>
    <x v="0"/>
    <b v="0"/>
    <s v="No está en VPC"/>
    <n v="846"/>
    <s v="INTPG_ACC_846_1.21"/>
    <s v="ISEL-1.21"/>
    <n v="1"/>
    <s v="NO TIENE L3OUT"/>
    <n v="242"/>
    <n v="54"/>
  </r>
  <r>
    <n v="838"/>
    <x v="2"/>
    <x v="84"/>
    <s v="eth1/21"/>
    <x v="0"/>
    <x v="0"/>
    <x v="0"/>
    <s v="LINK_To_ITHFHWCBSPSWR42 / Slot1.1_28 / Principal"/>
    <x v="0"/>
    <b v="0"/>
    <s v="No está en VPC"/>
    <n v="838"/>
    <s v="INTPG_VPC_838_1.21_843_1.21"/>
    <s v="ISEL-1.21"/>
    <n v="2"/>
    <s v="NO TIENE L3OUT"/>
    <n v="38"/>
    <n v="54"/>
  </r>
  <r>
    <n v="849"/>
    <x v="2"/>
    <x v="85"/>
    <s v="eth1/21"/>
    <x v="0"/>
    <x v="0"/>
    <x v="0"/>
    <s v="LINK_TO_ITHFHWCRMPLCN141 / Slot7.2_16 / Redundante"/>
    <x v="0"/>
    <b v="0"/>
    <s v="No está en VPC"/>
    <n v="849"/>
    <s v="INTPG_ACC_849_1.21"/>
    <s v="ISEL-1.21"/>
    <n v="2"/>
    <s v="NO TIENE L3OUT"/>
    <n v="286"/>
    <n v="54"/>
  </r>
  <r>
    <n v="845"/>
    <x v="2"/>
    <x v="86"/>
    <s v="eth1/21"/>
    <x v="0"/>
    <x v="0"/>
    <x v="0"/>
    <s v="LINK_TO_ITHFHWCRMPLCN91 / Slot1.1_14 / Principal"/>
    <x v="0"/>
    <b v="0"/>
    <s v="No está en VPC"/>
    <n v="845"/>
    <s v="INTPG_ACC_845_1.21"/>
    <s v="ISEL-1.21"/>
    <n v="6"/>
    <s v="NO TIENE L3OUT"/>
    <n v="258"/>
    <n v="54"/>
  </r>
  <r>
    <n v="873"/>
    <x v="2"/>
    <x v="87"/>
    <s v="eth1/21"/>
    <x v="0"/>
    <x v="0"/>
    <x v="0"/>
    <s v="TO_ITHFHWCRMDLCN60_Principal"/>
    <x v="0"/>
    <b v="0"/>
    <s v="No está en VPC"/>
    <n v="873"/>
    <s v="INTPG_ACC_873_1.21"/>
    <s v="ISEL-1.21"/>
    <n v="6"/>
    <s v="NO TIENE L3OUT"/>
    <n v="248"/>
    <n v="54"/>
  </r>
  <r>
    <n v="864"/>
    <x v="2"/>
    <x v="88"/>
    <s v="eth1/21"/>
    <x v="0"/>
    <x v="0"/>
    <x v="0"/>
    <s v="To_VPC_2DCBSD_TL06_3"/>
    <x v="0"/>
    <b v="0"/>
    <s v="No está en VPC"/>
    <n v="864"/>
    <s v="INTPG_VPC_859_1.21_864_1.21"/>
    <s v="ISEL-1.21"/>
    <n v="1"/>
    <s v="NO TIENE L3OUT"/>
    <n v="0"/>
    <n v="54"/>
  </r>
  <r>
    <n v="836"/>
    <x v="2"/>
    <x v="89"/>
    <s v="eth1/21"/>
    <x v="0"/>
    <x v="0"/>
    <x v="0"/>
    <s v="LINK_TO_ITHFHWCBSPSWR52 / Slot1.2_32 / Principal"/>
    <x v="0"/>
    <b v="0"/>
    <s v="No está en VPC"/>
    <n v="836"/>
    <s v="INTPG_VPC_836_1.21_841_1.21"/>
    <s v="ISEL-1.21"/>
    <n v="1"/>
    <s v="NO TIENE L3OUT"/>
    <n v="0"/>
    <n v="54"/>
  </r>
  <r>
    <n v="834"/>
    <x v="2"/>
    <x v="90"/>
    <s v="eth1/21"/>
    <x v="0"/>
    <x v="0"/>
    <x v="0"/>
    <s v="LINK_TO_ITHFHWCBSPSWR64 / Slot1.3_16 / Principal"/>
    <x v="0"/>
    <b v="0"/>
    <s v="No está en VPC"/>
    <n v="834"/>
    <s v="INTPG_VPC_834_1.21_839_1.21"/>
    <s v="ISEL-1.21"/>
    <n v="1"/>
    <s v="NO TIENE L3OUT"/>
    <n v="0"/>
    <n v="54"/>
  </r>
  <r>
    <n v="872"/>
    <x v="2"/>
    <x v="91"/>
    <s v="eth1/21"/>
    <x v="0"/>
    <x v="0"/>
    <x v="0"/>
    <s v="To_ITHFHWCRMDLCN76_Principal"/>
    <x v="0"/>
    <b v="0"/>
    <s v="No está en VPC"/>
    <n v="872"/>
    <s v="INTPG_ACC_872_1.21"/>
    <s v="ISEL-1.21"/>
    <n v="6"/>
    <s v="NO TIENE L3OUT"/>
    <n v="288"/>
    <n v="54"/>
  </r>
  <r>
    <n v="842"/>
    <x v="2"/>
    <x v="92"/>
    <s v="eth1/21"/>
    <x v="0"/>
    <x v="0"/>
    <x v="0"/>
    <s v="LINK_TO_ITHFHWCBSPSWR46 / Slot7.2_28 / Redundante"/>
    <x v="0"/>
    <b v="0"/>
    <s v="No está en VPC"/>
    <n v="842"/>
    <s v="INTPG_VPC_837_1.21_842_1.21"/>
    <s v="ISEL-1.21"/>
    <n v="1"/>
    <s v="NO TIENE L3OUT"/>
    <n v="8"/>
    <n v="54"/>
  </r>
  <r>
    <n v="828"/>
    <x v="2"/>
    <x v="93"/>
    <s v="eth1/21"/>
    <x v="0"/>
    <x v="0"/>
    <x v="0"/>
    <s v="LINK_TO_ITHFHWCRMDLCN22 /10GE.1 /Principal"/>
    <x v="0"/>
    <b v="0"/>
    <s v="No está en VPC"/>
    <n v="828"/>
    <s v="INTPG_ACC_828_1.21"/>
    <s v="ISEL-1.21"/>
    <n v="2"/>
    <s v="NO TIENE L3OUT"/>
    <n v="192"/>
    <n v="54"/>
  </r>
  <r>
    <n v="870"/>
    <x v="2"/>
    <x v="94"/>
    <s v="eth1/21"/>
    <x v="0"/>
    <x v="0"/>
    <x v="0"/>
    <s v="TO_ITHFHWCRMDLCN60_Redundante"/>
    <x v="0"/>
    <b v="0"/>
    <s v="No está en VPC"/>
    <n v="870"/>
    <s v="INTPG_ACC_870_1.21"/>
    <s v="ISEL-1.21"/>
    <n v="6"/>
    <s v="NO TIENE L3OUT"/>
    <n v="248"/>
    <n v="54"/>
  </r>
  <r>
    <n v="866"/>
    <x v="2"/>
    <x v="95"/>
    <s v="eth1/21"/>
    <x v="0"/>
    <x v="0"/>
    <x v="0"/>
    <s v="To_VPC_2DCBSD_HD23_2"/>
    <x v="0"/>
    <b v="0"/>
    <s v="No está en VPC"/>
    <n v="866"/>
    <s v="INTPG_VPC_861_1.21_866_1.21"/>
    <s v="ISEL-1.21"/>
    <n v="1"/>
    <s v="NO TIENE L3OUT"/>
    <n v="8"/>
    <n v="54"/>
  </r>
  <r>
    <n v="862"/>
    <x v="2"/>
    <x v="96"/>
    <s v="eth1/21"/>
    <x v="0"/>
    <x v="0"/>
    <x v="0"/>
    <s v="TO-9S_BESDR_IXTLA3_1"/>
    <x v="0"/>
    <b v="0"/>
    <s v="No está en VPC"/>
    <n v="862"/>
    <s v="INTPG_VPC_862_1.20-23_867_1.20-23"/>
    <s v="ISEL-1.21"/>
    <n v="25"/>
    <s v="NO TIENE L3OUT"/>
    <n v="44"/>
    <n v="54"/>
  </r>
  <r>
    <n v="855"/>
    <x v="2"/>
    <x v="97"/>
    <s v="eth1/21"/>
    <x v="0"/>
    <x v="0"/>
    <x v="0"/>
    <s v="LINK_TO_ITHFHWCRMPLCN161 / Slot1.2_24 / Principal"/>
    <x v="0"/>
    <b v="0"/>
    <s v="No está en VPC"/>
    <n v="855"/>
    <s v="INTPG_ACC_855_1.21"/>
    <s v="ISEL-1.21"/>
    <n v="2"/>
    <s v="NO TIENE L3OUT"/>
    <n v="254"/>
    <n v="54"/>
  </r>
  <r>
    <n v="871"/>
    <x v="2"/>
    <x v="98"/>
    <s v="eth1/21"/>
    <x v="0"/>
    <x v="0"/>
    <x v="0"/>
    <s v="TO_ITHFHWCRMDLCN87_Principal"/>
    <x v="0"/>
    <b v="0"/>
    <s v="No está en VPC"/>
    <n v="871"/>
    <s v="INTPG_ACC_871_1.21"/>
    <s v="ISEL-1.21"/>
    <n v="1"/>
    <s v="NO TIENE L3OUT"/>
    <n v="246"/>
    <n v="54"/>
  </r>
  <r>
    <n v="841"/>
    <x v="2"/>
    <x v="99"/>
    <s v="eth1/21"/>
    <x v="0"/>
    <x v="0"/>
    <x v="0"/>
    <s v="LINK_TO_ITHFHWCBSPSWR52 / Slot7.2_32 / Redundante"/>
    <x v="0"/>
    <b v="0"/>
    <s v="No está en VPC"/>
    <n v="841"/>
    <s v="INTPG_VPC_836_1.21_841_1.21"/>
    <s v="ISEL-1.21"/>
    <n v="1"/>
    <s v="NO TIENE L3OUT"/>
    <n v="0"/>
    <n v="54"/>
  </r>
  <r>
    <n v="868"/>
    <x v="2"/>
    <x v="100"/>
    <s v="eth1/21"/>
    <x v="0"/>
    <x v="0"/>
    <x v="0"/>
    <s v="TO_ITHFHWCRMDLCN87_Redundante"/>
    <x v="0"/>
    <b v="0"/>
    <s v="No está en VPC"/>
    <n v="868"/>
    <s v="INTPG_ACC_868_1.21"/>
    <s v="ISEL-1.21"/>
    <n v="1"/>
    <s v="NO TIENE L3OUT"/>
    <n v="246"/>
    <n v="54"/>
  </r>
  <r>
    <n v="869"/>
    <x v="2"/>
    <x v="101"/>
    <s v="eth1/21"/>
    <x v="0"/>
    <x v="0"/>
    <x v="0"/>
    <s v="To_ITHFHWCRMDLCN76_Redundante"/>
    <x v="0"/>
    <b v="0"/>
    <s v="No está en VPC"/>
    <n v="869"/>
    <s v="INTPG_ACC_869_1.21"/>
    <s v="ISEL-1.21"/>
    <n v="6"/>
    <s v="NO TIENE L3OUT"/>
    <n v="288"/>
    <n v="54"/>
  </r>
  <r>
    <n v="861"/>
    <x v="2"/>
    <x v="102"/>
    <s v="eth1/21"/>
    <x v="0"/>
    <x v="0"/>
    <x v="0"/>
    <s v="To_VPC_2DCBSD_HD23_2"/>
    <x v="0"/>
    <b v="0"/>
    <s v="No está en VPC"/>
    <n v="861"/>
    <s v="INTPG_VPC_861_1.21_866_1.21"/>
    <s v="ISEL-1.21"/>
    <n v="1"/>
    <s v="NO TIENE L3OUT"/>
    <n v="8"/>
    <n v="54"/>
  </r>
  <r>
    <n v="874"/>
    <x v="2"/>
    <x v="103"/>
    <s v="eth1/21"/>
    <x v="0"/>
    <x v="0"/>
    <x v="0"/>
    <s v="A_ITHFHWSEQLCAS20_Redundante"/>
    <x v="4"/>
    <b v="0"/>
    <s v="No está en VPC"/>
    <n v="874"/>
    <s v="INTPG_ACC_874_1.21"/>
    <s v="ISEL-1.21"/>
    <n v="1"/>
    <s v="NO TIENE L3OUT"/>
    <n v="92"/>
    <n v="54"/>
  </r>
  <r>
    <n v="865"/>
    <x v="2"/>
    <x v="104"/>
    <s v="eth1/21"/>
    <x v="0"/>
    <x v="0"/>
    <x v="0"/>
    <s v="To_VPC_2DCBSD_HD29_3"/>
    <x v="0"/>
    <b v="0"/>
    <s v="No está en VPC"/>
    <n v="865"/>
    <s v="INTPG_VPC_860_1.21_865_1.21"/>
    <s v="ISEL-1.21"/>
    <n v="1"/>
    <s v="NO TIENE L3OUT"/>
    <n v="0"/>
    <n v="54"/>
  </r>
  <r>
    <n v="753"/>
    <x v="2"/>
    <x v="105"/>
    <s v="eth1/21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21"/>
    <x v="0"/>
    <x v="1"/>
    <x v="5"/>
    <s v="CEM:ITHCEMF2RTB11:LOM P1"/>
    <x v="0"/>
    <b v="0"/>
    <s v="No está en VPC"/>
    <n v="708"/>
    <s v="INTPG_VPC_708_1.21_709_1.22"/>
    <s v="ISEL-1.21"/>
    <n v="1"/>
    <s v="NO TIENE L3OUT"/>
    <n v="0"/>
    <n v="54"/>
  </r>
  <r>
    <n v="710"/>
    <x v="2"/>
    <x v="107"/>
    <s v="eth1/21"/>
    <x v="0"/>
    <x v="1"/>
    <x v="5"/>
    <s v="CEM:ITHCEMD2AKF11:LOM P1"/>
    <x v="0"/>
    <b v="0"/>
    <s v="No está en VPC"/>
    <n v="710"/>
    <s v="INTPG_VPC_710_1.21_711_1.22"/>
    <s v="ISEL-1.21"/>
    <n v="1"/>
    <s v="NO TIENE L3OUT"/>
    <n v="16"/>
    <n v="54"/>
  </r>
  <r>
    <n v="713"/>
    <x v="2"/>
    <x v="108"/>
    <s v="eth1/21"/>
    <x v="0"/>
    <x v="1"/>
    <x v="5"/>
    <s v="CEM:ITHCEMA2ADT11:LOM P1"/>
    <x v="0"/>
    <b v="0"/>
    <s v="No está en VPC"/>
    <n v="713"/>
    <s v="INTPG_VPC_713_1.21_712_1.22"/>
    <s v="ISEL-1.21"/>
    <n v="1"/>
    <s v="NO TIENE L3OUT"/>
    <n v="32"/>
    <n v="54"/>
  </r>
  <r>
    <n v="735"/>
    <x v="2"/>
    <x v="109"/>
    <s v="eth1/21"/>
    <x v="0"/>
    <x v="0"/>
    <x v="0"/>
    <s v="CEM:ITHCEMA1OAM11:LOM P3"/>
    <x v="5"/>
    <b v="0"/>
    <s v="No está en VPC"/>
    <n v="735"/>
    <s v="INTPG_ACC_735_1.21"/>
    <s v="ISEL-1.21"/>
    <n v="1"/>
    <s v="NO TIENE L3OUT"/>
    <n v="34"/>
    <n v="54"/>
  </r>
  <r>
    <n v="731"/>
    <x v="2"/>
    <x v="110"/>
    <s v="eth1/21"/>
    <x v="0"/>
    <x v="0"/>
    <x v="0"/>
    <s v="Server_Pre-R02-CBS-RH2288-05"/>
    <x v="0"/>
    <b v="0"/>
    <s v="No está en VPC"/>
    <n v="731"/>
    <s v="INTPG_ACC_731_1.21"/>
    <s v="ISEL-1.21"/>
    <n v="1"/>
    <s v="NO TIENE L3OUT"/>
    <n v="38"/>
    <n v="54"/>
  </r>
  <r>
    <n v="703"/>
    <x v="2"/>
    <x v="111"/>
    <s v="eth1/21"/>
    <x v="0"/>
    <x v="0"/>
    <x v="0"/>
    <m/>
    <x v="0"/>
    <b v="0"/>
    <s v="No está en VPC"/>
    <n v="703"/>
    <s v="INTPG_VPC_703_1.21_704_1.22"/>
    <s v="ISEL-1.21"/>
    <n v="1"/>
    <s v="NO TIENE L3OUT"/>
    <n v="2"/>
    <n v="54"/>
  </r>
  <r>
    <n v="706"/>
    <x v="2"/>
    <x v="112"/>
    <s v="eth1/21"/>
    <x v="0"/>
    <x v="1"/>
    <x v="5"/>
    <s v="CEM:ITHCEMA1NAM11:LOM  P1"/>
    <x v="0"/>
    <b v="0"/>
    <s v="No está en VPC"/>
    <n v="706"/>
    <s v="INTPG_VPC_705_1.22_706_1.21"/>
    <s v="ISEL-1.21"/>
    <n v="1"/>
    <s v="NO TIENE L3OUT"/>
    <n v="16"/>
    <n v="54"/>
  </r>
  <r>
    <n v="762"/>
    <x v="2"/>
    <x v="113"/>
    <s v="eth1/21"/>
    <x v="0"/>
    <x v="0"/>
    <x v="0"/>
    <s v="PAAS:ithhwosstpap006:LOM PORT 3"/>
    <x v="0"/>
    <b v="0"/>
    <s v="No está en VPC"/>
    <n v="762"/>
    <s v="INTPG_VPC_762_1.21_763_1.21"/>
    <s v="ISEL-1.21"/>
    <n v="1"/>
    <s v="NO TIENE L3OUT"/>
    <n v="0"/>
    <n v="54"/>
  </r>
  <r>
    <n v="814"/>
    <x v="2"/>
    <x v="114"/>
    <s v="eth1/21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21"/>
    <x v="0"/>
    <x v="0"/>
    <x v="0"/>
    <s v="HACIA_MGMT-OSCP-F4-13_SECUNDARIO"/>
    <x v="4"/>
    <b v="0"/>
    <s v="No está en VPC"/>
    <n v="878"/>
    <s v="INTPG_VPC_878_1.21_879_1.21"/>
    <s v="ISEL-1.21"/>
    <n v="1"/>
    <s v="NO TIENE L3OUT"/>
    <n v="0"/>
    <n v="54"/>
  </r>
  <r>
    <n v="826"/>
    <x v="2"/>
    <x v="116"/>
    <s v="eth1/21"/>
    <x v="0"/>
    <x v="0"/>
    <x v="0"/>
    <s v="LINK_TO_ITHFHWCBSDSHD16 /Slot4.2 /Principal"/>
    <x v="0"/>
    <b v="0"/>
    <s v="No está en VPC"/>
    <n v="826"/>
    <s v="INTPG_VPC_826_1.21_830_1.21"/>
    <s v="ISEL-1.21"/>
    <n v="1"/>
    <s v="NO TIENE L3OUT"/>
    <n v="12"/>
    <n v="54"/>
  </r>
  <r>
    <n v="726"/>
    <x v="2"/>
    <x v="117"/>
    <s v="eth1/21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21"/>
    <x v="0"/>
    <x v="0"/>
    <x v="0"/>
    <s v="CEM:ITHCEMC2AKF11:LOM P3"/>
    <x v="5"/>
    <b v="0"/>
    <s v="No está en VPC"/>
    <n v="740"/>
    <s v="INTPG_ACC_740_1.21"/>
    <s v="ISEL-1.21"/>
    <n v="1"/>
    <s v="NO TIENE L3OUT"/>
    <n v="72"/>
    <n v="54"/>
  </r>
  <r>
    <n v="705"/>
    <x v="2"/>
    <x v="119"/>
    <s v="eth1/21"/>
    <x v="0"/>
    <x v="0"/>
    <x v="0"/>
    <s v="CEM:ITHALMB1DAT11:LOM  P2"/>
    <x v="0"/>
    <b v="0"/>
    <s v="No está en VPC"/>
    <n v="705"/>
    <s v="INTPG_VPC_705_1.21_706_1.22"/>
    <s v="ISEL-1.21"/>
    <n v="1"/>
    <s v="NO TIENE L3OUT"/>
    <n v="16"/>
    <n v="54"/>
  </r>
  <r>
    <n v="723"/>
    <x v="2"/>
    <x v="120"/>
    <s v="eth1/21"/>
    <x v="0"/>
    <x v="1"/>
    <x v="5"/>
    <m/>
    <x v="0"/>
    <b v="0"/>
    <s v="No está en VPC"/>
    <n v="723"/>
    <s v="INTPG-VPC_HDD110_723_1.21_722_1.22"/>
    <s v="ISEL-1.21"/>
    <n v="1"/>
    <s v="NO TIENE L3OUT"/>
    <n v="0"/>
    <n v="54"/>
  </r>
  <r>
    <n v="721"/>
    <x v="2"/>
    <x v="121"/>
    <s v="eth1/21"/>
    <x v="0"/>
    <x v="0"/>
    <x v="0"/>
    <m/>
    <x v="0"/>
    <b v="0"/>
    <s v="No está en VPC"/>
    <n v="721"/>
    <s v="INTPG-VPC_AFY01_721_1.21_714_1.22"/>
    <s v="ISEL-1.21"/>
    <n v="2"/>
    <s v="NO TIENE L3OUT"/>
    <n v="20"/>
    <n v="54"/>
  </r>
  <r>
    <n v="788"/>
    <x v="2"/>
    <x v="122"/>
    <s v="eth1/21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21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21"/>
    <x v="0"/>
    <x v="0"/>
    <x v="0"/>
    <m/>
    <x v="0"/>
    <b v="0"/>
    <s v="No está en VPC"/>
    <n v="720"/>
    <s v="INTPG-VPC_IHP01_720_1.21_719_1.22"/>
    <s v="ISEL-1.21"/>
    <n v="1"/>
    <s v="NO TIENE L3OUT"/>
    <n v="0"/>
    <n v="54"/>
  </r>
  <r>
    <n v="709"/>
    <x v="2"/>
    <x v="125"/>
    <s v="eth1/21"/>
    <x v="0"/>
    <x v="1"/>
    <x v="5"/>
    <s v="CEM:ITHCEME2RTB11:LOM P1"/>
    <x v="0"/>
    <b v="0"/>
    <s v="No está en VPC"/>
    <n v="709"/>
    <s v="INTPG_VPC_708_1.22_709_1.21"/>
    <s v="ISEL-1.21"/>
    <n v="1"/>
    <s v="NO TIENE L3OUT"/>
    <n v="0"/>
    <n v="54"/>
  </r>
  <r>
    <n v="454"/>
    <x v="1"/>
    <x v="126"/>
    <s v="eth1/21"/>
    <x v="0"/>
    <x v="0"/>
    <x v="0"/>
    <s v="HACIA_MGMT-OSCP-F4-01_PRINCIPAL"/>
    <x v="4"/>
    <b v="0"/>
    <s v="No está en VPC"/>
    <n v="454"/>
    <s v="INTPG_VPC_454_1.21_456_1.21"/>
    <s v="ISEL-1.21"/>
    <n v="1"/>
    <s v="NO TIENE L3OUT"/>
    <n v="4"/>
    <n v="54"/>
  </r>
  <r>
    <n v="734"/>
    <x v="2"/>
    <x v="127"/>
    <s v="eth1/21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21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21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21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21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21"/>
    <x v="0"/>
    <x v="0"/>
    <x v="0"/>
    <s v="CEM:ITHCEMB2AKF11:LOM P3"/>
    <x v="5"/>
    <b v="0"/>
    <s v="No está en VPC"/>
    <n v="741"/>
    <s v="INTPG_ACC_741_1.21"/>
    <s v="ISEL-1.21"/>
    <n v="1"/>
    <s v="NO TIENE L3OUT"/>
    <n v="62"/>
    <n v="54"/>
  </r>
  <r>
    <n v="787"/>
    <x v="2"/>
    <x v="133"/>
    <s v="eth1/21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21"/>
    <x v="0"/>
    <x v="0"/>
    <x v="0"/>
    <m/>
    <x v="0"/>
    <b v="0"/>
    <s v="No está en VPC"/>
    <n v="750"/>
    <s v="INTPG_ACC_750_1.21"/>
    <s v="ISEL-1.21"/>
    <n v="0"/>
    <s v="NO TIENE L3OUT"/>
    <n v="2"/>
    <n v="54"/>
  </r>
  <r>
    <n v="792"/>
    <x v="2"/>
    <x v="135"/>
    <s v="eth1/21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21"/>
    <x v="0"/>
    <x v="0"/>
    <x v="0"/>
    <s v="CEM_ITHCEMG2APP18"/>
    <x v="0"/>
    <b v="0"/>
    <s v="No está en VPC"/>
    <n v="736"/>
    <s v="INTPG_VPC_707_1.21_736_1.21"/>
    <s v="ISEL-1.21"/>
    <n v="1"/>
    <s v="NO TIENE L3OUT"/>
    <n v="48"/>
    <n v="54"/>
  </r>
  <r>
    <n v="799"/>
    <x v="2"/>
    <x v="137"/>
    <s v="eth1/21"/>
    <x v="0"/>
    <x v="0"/>
    <x v="0"/>
    <s v="TO-IMC_PS09-MSP"/>
    <x v="0"/>
    <b v="0"/>
    <s v="No está en VPC"/>
    <n v="799"/>
    <s v="INTPG_ACC_799_1.21"/>
    <s v="ISEL-1.21"/>
    <n v="1"/>
    <s v="NO TIENE L3OUT"/>
    <n v="52"/>
    <n v="54"/>
  </r>
  <r>
    <n v="768"/>
    <x v="2"/>
    <x v="138"/>
    <s v="eth1/21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21"/>
    <x v="0"/>
    <x v="0"/>
    <x v="0"/>
    <s v="ITHORNG1DAT09_LOM P1"/>
    <x v="0"/>
    <b v="0"/>
    <s v="No está en VPC"/>
    <n v="714"/>
    <s v="INTPG_ACC_714_1.21"/>
    <s v="ISEL-1.21"/>
    <n v="2"/>
    <s v="NO TIENE L3OUT"/>
    <n v="20"/>
    <n v="54"/>
  </r>
  <r>
    <n v="717"/>
    <x v="2"/>
    <x v="140"/>
    <s v="eth1/21"/>
    <x v="0"/>
    <x v="0"/>
    <x v="0"/>
    <m/>
    <x v="0"/>
    <b v="0"/>
    <s v="No está en VPC"/>
    <n v="717"/>
    <s v="INTPG-VPC_KFK04_717_1.21_718_1.22"/>
    <s v="ISEL-1.21"/>
    <n v="1"/>
    <s v="NO TIENE L3OUT"/>
    <n v="0"/>
    <n v="54"/>
  </r>
  <r>
    <n v="789"/>
    <x v="2"/>
    <x v="141"/>
    <s v="eth1/21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21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21"/>
    <x v="0"/>
    <x v="0"/>
    <x v="0"/>
    <s v="TO-ITHFHWRHV2LMGMT02"/>
    <x v="0"/>
    <b v="0"/>
    <s v="No está en VPC"/>
    <n v="783"/>
    <s v="INTPG_VPC_782_1.20-21_783_1.20-21"/>
    <s v="ISEL-1.21"/>
    <n v="2"/>
    <s v="NO TIENE L3OUT"/>
    <n v="26"/>
    <n v="54"/>
  </r>
  <r>
    <n v="774"/>
    <x v="2"/>
    <x v="144"/>
    <s v="eth1/21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21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21"/>
    <x v="0"/>
    <x v="1"/>
    <x v="1"/>
    <s v="DESC"/>
    <x v="0"/>
    <b v="0"/>
    <s v="No está en VPC"/>
    <n v="794"/>
    <s v="INTPG_PC_794_1.17_19_21_23_25_27"/>
    <s v="ISEL-1.21"/>
    <n v="1"/>
    <s v="NO TIENE L3OUT"/>
    <n v="12"/>
    <n v="54"/>
  </r>
  <r>
    <n v="803"/>
    <x v="2"/>
    <x v="147"/>
    <s v="eth1/21"/>
    <x v="0"/>
    <x v="0"/>
    <x v="0"/>
    <s v="TO-HDPS_47-MSP"/>
    <x v="0"/>
    <b v="0"/>
    <s v="No está en VPC"/>
    <n v="803"/>
    <s v="INTPG_ACC_803_1.21"/>
    <s v="ISEL-1.21"/>
    <n v="1"/>
    <s v="NO TIENE L3OUT"/>
    <n v="48"/>
    <n v="54"/>
  </r>
  <r>
    <n v="786"/>
    <x v="2"/>
    <x v="148"/>
    <s v="eth1/21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21"/>
    <x v="0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21"/>
    <x v="0"/>
    <x v="0"/>
    <x v="0"/>
    <s v="CLOUD OPS:ithhwcop02en01:1E P4"/>
    <x v="0"/>
    <b v="0"/>
    <s v="No está en VPC"/>
    <n v="781"/>
    <s v="INTPG_VPC_780_1.20-21_26-27_781_1.20-21_26-27"/>
    <s v="ISEL-1.21"/>
    <n v="23"/>
    <s v="NO TIENE L3OUT"/>
    <n v="26"/>
    <n v="54"/>
  </r>
  <r>
    <n v="793"/>
    <x v="2"/>
    <x v="151"/>
    <s v="eth1/21"/>
    <x v="0"/>
    <x v="0"/>
    <x v="0"/>
    <s v="DESC"/>
    <x v="0"/>
    <b v="0"/>
    <s v="No está en VPC"/>
    <n v="793"/>
    <s v="INTPG_PC_793_1.17_19_21_23_25_27"/>
    <s v="ISEL-1.21"/>
    <n v="1"/>
    <s v="NO TIENE L3OUT"/>
    <n v="12"/>
    <n v="54"/>
  </r>
  <r>
    <n v="747"/>
    <x v="2"/>
    <x v="152"/>
    <s v="eth1/21"/>
    <x v="0"/>
    <x v="0"/>
    <x v="0"/>
    <s v="PAAS:ithhwosstpap006:Slot4.1"/>
    <x v="0"/>
    <b v="0"/>
    <s v="No está en VPC"/>
    <n v="747"/>
    <s v="INTPG_VPC_747_1.21_752_1.21"/>
    <s v="ISEL-1.21"/>
    <n v="25"/>
    <s v="NO TIENE L3OUT"/>
    <n v="0"/>
    <n v="54"/>
  </r>
  <r>
    <n v="784"/>
    <x v="2"/>
    <x v="153"/>
    <s v="eth1/21"/>
    <x v="0"/>
    <x v="0"/>
    <x v="0"/>
    <s v="DIGITAL VIEW:ITHFHWDGVEAP02:Slot 3.1"/>
    <x v="0"/>
    <b v="0"/>
    <s v="No está en VPC"/>
    <n v="784"/>
    <s v="INTPG_VPC_784_1.21_785_1.21"/>
    <s v="ISEL-1.21"/>
    <n v="1"/>
    <s v="NO TIENE L3OUT"/>
    <n v="26"/>
    <n v="54"/>
  </r>
  <r>
    <n v="806"/>
    <x v="2"/>
    <x v="154"/>
    <s v="eth1/21"/>
    <x v="0"/>
    <x v="0"/>
    <x v="0"/>
    <s v="TO-WES_03-MSP"/>
    <x v="0"/>
    <b v="0"/>
    <s v="No está en VPC"/>
    <n v="806"/>
    <s v="INTPG_ACC_806_1.21"/>
    <s v="ISEL-1.21"/>
    <n v="1"/>
    <s v="NO TIENE L3OUT"/>
    <n v="44"/>
    <n v="54"/>
  </r>
  <r>
    <n v="777"/>
    <x v="2"/>
    <x v="155"/>
    <s v="eth1/21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21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21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21"/>
    <x v="0"/>
    <x v="0"/>
    <x v="0"/>
    <s v="CEM:ITHCEMD2AKF11:LOM P3"/>
    <x v="5"/>
    <b v="0"/>
    <s v="No está en VPC"/>
    <n v="739"/>
    <s v="INTPG_ACC_739_1.21"/>
    <s v="ISEL-1.21"/>
    <n v="1"/>
    <s v="NO TIENE L3OUT"/>
    <n v="72"/>
    <n v="54"/>
  </r>
  <r>
    <n v="775"/>
    <x v="2"/>
    <x v="159"/>
    <s v="eth1/21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21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21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21"/>
    <x v="0"/>
    <x v="0"/>
    <x v="0"/>
    <s v="LINK_TO_ITHFHWCBSDSHD16 /Slot6.2 /Redundante"/>
    <x v="0"/>
    <b v="0"/>
    <s v="No está en VPC"/>
    <n v="830"/>
    <s v="INTPG_VPC_826_1.21_830_1.21"/>
    <s v="ISEL-1.21"/>
    <n v="1"/>
    <s v="NO TIENE L3OUT"/>
    <n v="12"/>
    <n v="54"/>
  </r>
  <r>
    <n v="821"/>
    <x v="2"/>
    <x v="163"/>
    <s v="eth1/21"/>
    <x v="0"/>
    <x v="0"/>
    <x v="0"/>
    <s v="LINK_TO_ITHFHWCBSPSHD16 /Slot6.2 /Redundante"/>
    <x v="0"/>
    <b v="0"/>
    <s v="No está en VPC"/>
    <n v="821"/>
    <s v="INTPG_VPC_816_1.21_821_1.21"/>
    <s v="ISEL-1.21"/>
    <n v="1"/>
    <s v="NO TIENE L3OUT"/>
    <n v="0"/>
    <n v="54"/>
  </r>
  <r>
    <n v="738"/>
    <x v="2"/>
    <x v="164"/>
    <s v="eth1/21"/>
    <x v="0"/>
    <x v="0"/>
    <x v="0"/>
    <s v="CEM:ITHCEME2RTB11:LOM P3"/>
    <x v="5"/>
    <b v="0"/>
    <s v="No está en VPC"/>
    <n v="738"/>
    <s v="INTPG_ACC_738_1.21"/>
    <s v="ISEL-1.21"/>
    <n v="1"/>
    <s v="NO TIENE L3OUT"/>
    <n v="72"/>
    <n v="54"/>
  </r>
  <r>
    <n v="820"/>
    <x v="2"/>
    <x v="165"/>
    <s v="eth1/21"/>
    <x v="0"/>
    <x v="0"/>
    <x v="0"/>
    <s v="LINKT_TO_ITHFHWCRMPLCN131 / Slot7.3_32 / Redundante"/>
    <x v="0"/>
    <b v="0"/>
    <s v="No está en VPC"/>
    <n v="820"/>
    <s v="INTPG_ACC_820_1.21"/>
    <s v="ISEL-1.21"/>
    <n v="1"/>
    <s v="NO TIENE L3OUT"/>
    <n v="72"/>
    <n v="54"/>
  </r>
  <r>
    <n v="804"/>
    <x v="2"/>
    <x v="166"/>
    <s v="eth1/21"/>
    <x v="0"/>
    <x v="0"/>
    <x v="0"/>
    <s v="TO-HDPS_47-MSP"/>
    <x v="0"/>
    <b v="0"/>
    <s v="No está en VPC"/>
    <n v="804"/>
    <s v="INTPG_ACC_804_1.21"/>
    <s v="ISEL-1.21"/>
    <n v="1"/>
    <s v="NO TIENE L3OUT"/>
    <n v="48"/>
    <n v="54"/>
  </r>
  <r>
    <n v="779"/>
    <x v="2"/>
    <x v="167"/>
    <s v="eth1/21"/>
    <x v="0"/>
    <x v="0"/>
    <x v="0"/>
    <s v="VERITAS:ITHFVEAPCNBST02 :10GbE"/>
    <x v="0"/>
    <b v="0"/>
    <s v="No está en VPC"/>
    <n v="779"/>
    <s v="INTPG_VPC_778_1.20-21_779_1.20-21"/>
    <s v="ISEL-1.21"/>
    <n v="2"/>
    <s v="NO TIENE L3OUT"/>
    <n v="30"/>
    <n v="54"/>
  </r>
  <r>
    <n v="767"/>
    <x v="2"/>
    <x v="168"/>
    <s v="eth1/21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21"/>
    <x v="0"/>
    <x v="0"/>
    <x v="0"/>
    <s v="LINK_TO_ITHFHWCBSDSWR23 /10GE.1 /Principal"/>
    <x v="0"/>
    <b v="0"/>
    <s v="No está en VPC"/>
    <n v="827"/>
    <s v="INTPG_VPC_827_1.21_831_1.21"/>
    <s v="ISEL-1.21"/>
    <n v="1"/>
    <s v="NO TIENE L3OUT"/>
    <n v="14"/>
    <n v="54"/>
  </r>
  <r>
    <n v="809"/>
    <x v="2"/>
    <x v="170"/>
    <s v="eth1/21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21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21"/>
    <x v="0"/>
    <x v="0"/>
    <x v="0"/>
    <s v="TO-9S_BESDR_IXTLA3_1"/>
    <x v="0"/>
    <b v="0"/>
    <s v="No está en VPC"/>
    <n v="761"/>
    <s v="INTPG_VPC_760_1.21-24_761_1.21-24"/>
    <s v="ISEL-1.21"/>
    <n v="33"/>
    <s v="NO TIENE L3OUT"/>
    <n v="0"/>
    <n v="54"/>
  </r>
  <r>
    <n v="776"/>
    <x v="2"/>
    <x v="173"/>
    <s v="eth1/21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21"/>
    <x v="0"/>
    <x v="0"/>
    <x v="0"/>
    <s v="TO-WES_03-MSP"/>
    <x v="0"/>
    <b v="0"/>
    <s v="No está en VPC"/>
    <n v="805"/>
    <s v="INTPG_ACC_805_1.21"/>
    <s v="ISEL-1.21"/>
    <n v="1"/>
    <s v="NO TIENE L3OUT"/>
    <n v="44"/>
    <n v="54"/>
  </r>
  <r>
    <n v="772"/>
    <x v="2"/>
    <x v="175"/>
    <s v="eth1/21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21"/>
    <x v="0"/>
    <x v="0"/>
    <x v="0"/>
    <s v="DIGITAL VIEW:ITHFHWDGVEAP02:Slot 6.1"/>
    <x v="0"/>
    <b v="0"/>
    <s v="No está en VPC"/>
    <n v="785"/>
    <s v="INTPG_VPC_784_1.21_785_1.21"/>
    <s v="ISEL-1.21"/>
    <n v="1"/>
    <s v="NO TIENE L3OUT"/>
    <n v="32"/>
    <n v="54"/>
  </r>
  <r>
    <n v="851"/>
    <x v="2"/>
    <x v="177"/>
    <s v="eth1/21"/>
    <x v="0"/>
    <x v="0"/>
    <x v="0"/>
    <s v="LINK_TO_ITHFHWCRMPLCN107 / Slot7.3_18 / Redundante"/>
    <x v="0"/>
    <b v="0"/>
    <s v="No está en VPC"/>
    <n v="851"/>
    <s v="INTPG_ACC_851_1.21"/>
    <s v="ISEL-1.21"/>
    <n v="1"/>
    <s v="NO TIENE L3OUT"/>
    <n v="282"/>
    <n v="54"/>
  </r>
  <r>
    <n v="798"/>
    <x v="2"/>
    <x v="178"/>
    <s v="eth1/21"/>
    <x v="0"/>
    <x v="0"/>
    <x v="0"/>
    <s v="TO-IMC_PS09-MSP"/>
    <x v="0"/>
    <b v="0"/>
    <s v="No está en VPC"/>
    <n v="798"/>
    <s v="INTPG_ACC_798_1.21"/>
    <s v="ISEL-1.21"/>
    <n v="1"/>
    <s v="NO TIENE L3OUT"/>
    <n v="52"/>
    <n v="54"/>
  </r>
  <r>
    <n v="782"/>
    <x v="2"/>
    <x v="179"/>
    <s v="eth1/21"/>
    <x v="0"/>
    <x v="0"/>
    <x v="0"/>
    <s v="TO-ITHFHWRHV2LMGMT02"/>
    <x v="0"/>
    <b v="0"/>
    <s v="No está en VPC"/>
    <n v="782"/>
    <s v="INTPG_VPC_782_1.20-21_783_1.20-21"/>
    <s v="ISEL-1.21"/>
    <n v="2"/>
    <s v="NO TIENE L3OUT"/>
    <n v="32"/>
    <n v="54"/>
  </r>
  <r>
    <n v="852"/>
    <x v="2"/>
    <x v="180"/>
    <s v="eth1/21"/>
    <x v="0"/>
    <x v="0"/>
    <x v="0"/>
    <s v="LINK_TO_ITHFHWCRMPLCN91 / Slot7.1_14 / Redundante"/>
    <x v="0"/>
    <b v="0"/>
    <s v="No está en VPC"/>
    <n v="852"/>
    <s v="INTPG_ACC_852_1.21"/>
    <s v="ISEL-1.21"/>
    <n v="6"/>
    <s v="NO TIENE L3OUT"/>
    <n v="258"/>
    <n v="54"/>
  </r>
  <r>
    <n v="817"/>
    <x v="2"/>
    <x v="181"/>
    <s v="eth1/21"/>
    <x v="0"/>
    <x v="0"/>
    <x v="0"/>
    <s v="LINK_TO_ITHFHWCBSPSUSBD14 /Slot4.2 /Principal"/>
    <x v="0"/>
    <b v="0"/>
    <s v="No está en VPC"/>
    <n v="817"/>
    <s v="INTPG_VPC_817_1.21_822_1.21"/>
    <s v="ISEL-1.21"/>
    <n v="1"/>
    <s v="NO TIENE L3OUT"/>
    <n v="0"/>
    <n v="54"/>
  </r>
  <r>
    <n v="832"/>
    <x v="2"/>
    <x v="182"/>
    <s v="eth1/21"/>
    <x v="0"/>
    <x v="0"/>
    <x v="0"/>
    <s v="LINK_TO_ITHFHWCRMDLCN22 /Slot5.1 /Redundante"/>
    <x v="0"/>
    <b v="0"/>
    <s v="No está en VPC"/>
    <n v="832"/>
    <s v="INTPG_ACC_832_1.21"/>
    <s v="ISEL-1.21"/>
    <n v="2"/>
    <s v="NO TIENE L3OUT"/>
    <n v="192"/>
    <n v="54"/>
  </r>
  <r>
    <n v="816"/>
    <x v="2"/>
    <x v="183"/>
    <s v="eth1/21"/>
    <x v="0"/>
    <x v="0"/>
    <x v="0"/>
    <s v="LINK_TO_ITHFHWCBSPSHD16 /Slot4.2 /Principal"/>
    <x v="0"/>
    <b v="0"/>
    <s v="No está en VPC"/>
    <n v="816"/>
    <s v="INTPG_VPC_816_1.21_821_1.21"/>
    <s v="ISEL-1.21"/>
    <n v="1"/>
    <s v="NO TIENE L3OUT"/>
    <n v="0"/>
    <n v="54"/>
  </r>
  <r>
    <n v="825"/>
    <x v="2"/>
    <x v="184"/>
    <s v="eth1/21"/>
    <x v="0"/>
    <x v="0"/>
    <x v="0"/>
    <s v="LINKT_TO_ITHFHWCRMPLCN131 / Slot1.3_32 / Principal"/>
    <x v="0"/>
    <b v="0"/>
    <s v="No está en VPC"/>
    <n v="825"/>
    <s v="INTPG_ACC_825_1.21"/>
    <s v="ISEL-1.21"/>
    <n v="1"/>
    <s v="NO TIENE L3OUT"/>
    <n v="72"/>
    <n v="54"/>
  </r>
  <r>
    <n v="800"/>
    <x v="2"/>
    <x v="185"/>
    <s v="eth1/21"/>
    <x v="0"/>
    <x v="0"/>
    <x v="0"/>
    <s v="TO-ITHFHWSEQLCAS01-MSP"/>
    <x v="0"/>
    <b v="0"/>
    <s v="No está en VPC"/>
    <n v="800"/>
    <s v="INTPG_ACC_800_1.21"/>
    <s v="ISEL-1.21"/>
    <n v="1"/>
    <s v="NO TIENE L3OUT"/>
    <n v="78"/>
    <n v="54"/>
  </r>
  <r>
    <n v="801"/>
    <x v="2"/>
    <x v="186"/>
    <s v="eth1/21"/>
    <x v="0"/>
    <x v="0"/>
    <x v="0"/>
    <s v="TO-ITHFHWSEQLCAS01-MSP"/>
    <x v="0"/>
    <b v="0"/>
    <s v="No está en VPC"/>
    <n v="801"/>
    <s v="INTPG_ACC_801_1.21"/>
    <s v="ISEL-1.21"/>
    <n v="1"/>
    <s v="NO TIENE L3OUT"/>
    <n v="78"/>
    <n v="54"/>
  </r>
  <r>
    <n v="823"/>
    <x v="2"/>
    <x v="187"/>
    <s v="eth1/21"/>
    <x v="0"/>
    <x v="0"/>
    <x v="0"/>
    <s v="LINK_TO_ITHFHWCBSPSUSBD21 /Slot5.1 /Redundante"/>
    <x v="0"/>
    <b v="0"/>
    <s v="No está en VPC"/>
    <n v="823"/>
    <s v="INTPG_VPC_818_1.21_823_1.21"/>
    <s v="ISEL-1.21"/>
    <n v="1"/>
    <s v="NO TIENE L3OUT"/>
    <n v="8"/>
    <n v="54"/>
  </r>
  <r>
    <n v="837"/>
    <x v="2"/>
    <x v="188"/>
    <s v="eth1/21"/>
    <x v="0"/>
    <x v="0"/>
    <x v="0"/>
    <s v="LINK_TO_ITHFHWCBSPSWR46 / Slot1.2_28 / Principal"/>
    <x v="0"/>
    <b v="0"/>
    <s v="No está en VPC"/>
    <n v="837"/>
    <s v="INTPG_VPC_837_1.21_842_1.21"/>
    <s v="ISEL-1.21"/>
    <n v="1"/>
    <s v="NO TIENE L3OUT"/>
    <n v="8"/>
    <n v="54"/>
  </r>
  <r>
    <n v="867"/>
    <x v="2"/>
    <x v="189"/>
    <s v="eth1/21"/>
    <x v="0"/>
    <x v="0"/>
    <x v="0"/>
    <s v="TO-9S_BESDR_IXTLA3_1"/>
    <x v="0"/>
    <b v="0"/>
    <s v="No está en VPC"/>
    <n v="867"/>
    <s v="INTPG_VPC_862_1.20-23_867_1.20-23"/>
    <s v="ISEL-1.21"/>
    <n v="25"/>
    <s v="NO TIENE L3OUT"/>
    <n v="44"/>
    <n v="54"/>
  </r>
  <r>
    <n v="829"/>
    <x v="2"/>
    <x v="190"/>
    <s v="eth1/21"/>
    <x v="0"/>
    <x v="0"/>
    <x v="0"/>
    <s v="LINK_TO_ITHFHWCRMDLCN34 /Slot6.2 /Redundante"/>
    <x v="0"/>
    <b v="0"/>
    <s v="No está en VPC"/>
    <n v="829"/>
    <s v="INTPG_ACC_829_1.21"/>
    <s v="ISEL-1.21"/>
    <n v="1"/>
    <s v="NO TIENE L3OUT"/>
    <n v="224"/>
    <n v="54"/>
  </r>
  <r>
    <n v="831"/>
    <x v="2"/>
    <x v="191"/>
    <s v="eth1/21"/>
    <x v="0"/>
    <x v="0"/>
    <x v="0"/>
    <s v="LINK_TO_ITHFHWCBSDSWR23 /Slot5.1 /Redundante"/>
    <x v="0"/>
    <b v="0"/>
    <s v="No está en VPC"/>
    <n v="831"/>
    <s v="INTPG_VPC_827_1.21_831_1.21"/>
    <s v="ISEL-1.21"/>
    <n v="1"/>
    <s v="NO TIENE L3OUT"/>
    <n v="14"/>
    <n v="54"/>
  </r>
  <r>
    <n v="802"/>
    <x v="2"/>
    <x v="192"/>
    <s v="eth1/21"/>
    <x v="0"/>
    <x v="0"/>
    <x v="0"/>
    <s v="TO-HDPS_23-MSP"/>
    <x v="0"/>
    <b v="0"/>
    <s v="No está en VPC"/>
    <n v="802"/>
    <s v="INTPG_ACC_802_1.21"/>
    <s v="ISEL-1.21"/>
    <n v="1"/>
    <s v="NO TIENE L3OUT"/>
    <n v="48"/>
    <n v="54"/>
  </r>
  <r>
    <n v="835"/>
    <x v="2"/>
    <x v="193"/>
    <s v="eth1/21"/>
    <x v="0"/>
    <x v="0"/>
    <x v="0"/>
    <s v="LINK_TO_ITHFHWCBSPSWR60 / Slot1.3_32 / Principal"/>
    <x v="0"/>
    <b v="0"/>
    <s v="No está en VPC"/>
    <n v="835"/>
    <s v="INTPG_VPC_835_1.21_840_1.21"/>
    <s v="ISEL-1.21"/>
    <n v="1"/>
    <s v="NO TIENE L3OUT"/>
    <n v="8"/>
    <n v="54"/>
  </r>
  <r>
    <n v="822"/>
    <x v="2"/>
    <x v="194"/>
    <s v="eth1/21"/>
    <x v="0"/>
    <x v="0"/>
    <x v="0"/>
    <s v="LINK_TO_ITHFHWCBSPSUSBD14 /Slot6.2 /Redundante"/>
    <x v="0"/>
    <b v="0"/>
    <s v="No está en VPC"/>
    <n v="822"/>
    <s v="INTPG_VPC_817_1.21_822_1.21"/>
    <s v="ISEL-1.21"/>
    <n v="1"/>
    <s v="NO TIENE L3OUT"/>
    <n v="0"/>
    <n v="54"/>
  </r>
  <r>
    <n v="854"/>
    <x v="2"/>
    <x v="195"/>
    <s v="eth1/21"/>
    <x v="0"/>
    <x v="0"/>
    <x v="0"/>
    <s v="LINK_TO_ITHFHWCRMPLCN172 / Slot1.2_14 / Principal"/>
    <x v="0"/>
    <b v="0"/>
    <s v="No está en VPC"/>
    <n v="854"/>
    <s v="INTPG_ACC_854_1.21"/>
    <s v="ISEL-1.21"/>
    <n v="2"/>
    <s v="NO TIENE L3OUT"/>
    <n v="204"/>
    <n v="54"/>
  </r>
  <r>
    <n v="858"/>
    <x v="2"/>
    <x v="196"/>
    <s v="eth1/21"/>
    <x v="0"/>
    <x v="0"/>
    <x v="0"/>
    <s v="To_VPC_2DCBSD_HD43_3"/>
    <x v="0"/>
    <b v="0"/>
    <s v="No está en VPC"/>
    <n v="858"/>
    <s v="INTPG_VPC_858_1.21_863_1.21"/>
    <s v="ISEL-1.21"/>
    <n v="1"/>
    <s v="NO TIENE L3OUT"/>
    <n v="8"/>
    <n v="54"/>
  </r>
  <r>
    <n v="857"/>
    <x v="2"/>
    <x v="197"/>
    <s v="eth1/21"/>
    <x v="0"/>
    <x v="0"/>
    <x v="0"/>
    <s v="LINKT_TO_ITHFHWCRMPLCN122 / Slot1.2_14 / Principal"/>
    <x v="0"/>
    <b v="0"/>
    <s v="No está en VPC"/>
    <n v="857"/>
    <s v="INTPG_ACC_857_1.21"/>
    <s v="ISEL-1.21"/>
    <n v="2"/>
    <s v="NO TIENE L3OUT"/>
    <n v="288"/>
    <n v="54"/>
  </r>
  <r>
    <n v="859"/>
    <x v="2"/>
    <x v="198"/>
    <s v="eth1/21"/>
    <x v="0"/>
    <x v="0"/>
    <x v="0"/>
    <s v="To_VPC_2DCBSD_TL06_3"/>
    <x v="0"/>
    <b v="0"/>
    <s v="No está en VPC"/>
    <n v="859"/>
    <s v="INTPG_VPC_859_1.21_864_1.21"/>
    <s v="ISEL-1.21"/>
    <n v="1"/>
    <s v="NO TIENE L3OUT"/>
    <n v="0"/>
    <n v="54"/>
  </r>
  <r>
    <n v="833"/>
    <x v="2"/>
    <x v="199"/>
    <s v="eth1/21"/>
    <x v="0"/>
    <x v="0"/>
    <x v="0"/>
    <s v="LINK_TO_ITHFHWCRMDLCN34 /Slot4.2 /Principal"/>
    <x v="0"/>
    <b v="0"/>
    <s v="No está en VPC"/>
    <n v="833"/>
    <s v="INTPG_ACC_833_1.21"/>
    <s v="ISEL-1.21"/>
    <n v="1"/>
    <s v="NO TIENE L3OUT"/>
    <n v="224"/>
    <n v="54"/>
  </r>
  <r>
    <n v="818"/>
    <x v="2"/>
    <x v="200"/>
    <s v="eth1/21"/>
    <x v="0"/>
    <x v="0"/>
    <x v="0"/>
    <s v="LINK_TO_ITHFHWCBSPSUSBD21 /10GE.1 /Principal"/>
    <x v="0"/>
    <b v="0"/>
    <s v="No está en VPC"/>
    <n v="818"/>
    <s v="INTPG_VPC_818_1.21_823_1.21"/>
    <s v="ISEL-1.21"/>
    <n v="1"/>
    <s v="NO TIENE L3OUT"/>
    <n v="8"/>
    <n v="54"/>
  </r>
  <r>
    <n v="850"/>
    <x v="2"/>
    <x v="201"/>
    <s v="eth1/21"/>
    <x v="0"/>
    <x v="0"/>
    <x v="0"/>
    <s v="LINKT_TO_ITHFHWCRMPLCN122 / Slot7.2_14 / Redundante"/>
    <x v="0"/>
    <b v="0"/>
    <s v="No está en VPC"/>
    <n v="850"/>
    <s v="INTPG_ACC_850_1.21"/>
    <s v="ISEL-1.21"/>
    <n v="2"/>
    <s v="NO TIENE L3OUT"/>
    <n v="288"/>
    <n v="54"/>
  </r>
  <r>
    <n v="860"/>
    <x v="2"/>
    <x v="202"/>
    <s v="eth1/21"/>
    <x v="0"/>
    <x v="0"/>
    <x v="0"/>
    <s v="To_VPC_2DCBSD_HD29_3"/>
    <x v="0"/>
    <b v="0"/>
    <s v="No está en VPC"/>
    <n v="860"/>
    <s v="INTPG_VPC_860_1.21_865_1.21"/>
    <s v="ISEL-1.21"/>
    <n v="1"/>
    <s v="NO TIENE L3OUT"/>
    <n v="0"/>
    <n v="54"/>
  </r>
  <r>
    <n v="853"/>
    <x v="2"/>
    <x v="203"/>
    <s v="eth1/21"/>
    <x v="0"/>
    <x v="0"/>
    <x v="0"/>
    <s v="LINK_TO_ITHFHWCRMPLCN78 / Slot7.3_14 / Redundante"/>
    <x v="0"/>
    <b v="0"/>
    <s v="No está en VPC"/>
    <n v="853"/>
    <s v="INTPG_ACC_853_1.21"/>
    <s v="ISEL-1.21"/>
    <n v="1"/>
    <s v="NO TIENE L3OUT"/>
    <n v="242"/>
    <n v="54"/>
  </r>
  <r>
    <n v="790"/>
    <x v="2"/>
    <x v="204"/>
    <s v="eth1/21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21"/>
    <x v="0"/>
    <x v="0"/>
    <x v="0"/>
    <s v="ROAMING_ENCLOSURE"/>
    <x v="6"/>
    <b v="0"/>
    <s v="No está en VPC"/>
    <n v="105"/>
    <s v="INTPG_ACC_105_1.21"/>
    <s v="ISEL-1.21"/>
    <n v="1"/>
    <s v="NO TIENE L3OUT"/>
    <n v="106"/>
    <n v="96"/>
  </r>
  <r>
    <n v="117"/>
    <x v="0"/>
    <x v="206"/>
    <s v="eth1/21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21"/>
    <x v="0"/>
    <x v="1"/>
    <x v="1"/>
    <s v="SFLDI"/>
    <x v="6"/>
    <b v="0"/>
    <s v="No está en VPC"/>
    <n v="104"/>
    <s v="INTPG_ACC_104_1.21"/>
    <s v="ISEL-1.21"/>
    <n v="1"/>
    <s v="NO TIENE L3OUT"/>
    <n v="194"/>
    <n v="96"/>
  </r>
  <r>
    <n v="158"/>
    <x v="0"/>
    <x v="208"/>
    <s v="eth1/21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21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21"/>
    <x v="0"/>
    <x v="0"/>
    <x v="0"/>
    <s v="HACIA_MGMT-OSCP-F4-13_SECUNDARIO"/>
    <x v="4"/>
    <b v="0"/>
    <s v="No está en VPC"/>
    <n v="879"/>
    <s v="INTPG_VPC_878_1.21_879_1.21"/>
    <s v="ISEL-1.21"/>
    <n v="1"/>
    <s v="NO TIENE L3OUT"/>
    <n v="0"/>
    <n v="54"/>
  </r>
  <r>
    <n v="108"/>
    <x v="0"/>
    <x v="211"/>
    <s v="eth1/21"/>
    <x v="0"/>
    <x v="0"/>
    <x v="0"/>
    <s v="TELLABS"/>
    <x v="6"/>
    <b v="0"/>
    <s v="No está en VPC"/>
    <n v="108"/>
    <s v="INTPG_ACC_108_1.21"/>
    <s v="ISEL-1.21"/>
    <n v="1"/>
    <s v="NO TIENE L3OUT"/>
    <n v="126"/>
    <n v="96"/>
  </r>
  <r>
    <n v="112"/>
    <x v="0"/>
    <x v="212"/>
    <s v="eth1/21"/>
    <x v="0"/>
    <x v="0"/>
    <x v="0"/>
    <s v="APROVISIONAMIENTO DE SERVICIOS"/>
    <x v="6"/>
    <b v="0"/>
    <s v="No está en VPC"/>
    <n v="112"/>
    <s v="INTPG_ACC_112_1.21"/>
    <s v="ISEL-1.21"/>
    <n v="1"/>
    <s v="NO TIENE L3OUT"/>
    <n v="144"/>
    <n v="96"/>
  </r>
  <r>
    <n v="107"/>
    <x v="0"/>
    <x v="213"/>
    <s v="eth1/21"/>
    <x v="0"/>
    <x v="0"/>
    <x v="0"/>
    <m/>
    <x v="6"/>
    <b v="0"/>
    <s v="No está en VPC"/>
    <n v="107"/>
    <s v="INTPG_ACC_107_1.21"/>
    <s v="ISEL-1.21"/>
    <n v="1"/>
    <s v="NO TIENE L3OUT"/>
    <n v="118"/>
    <n v="96"/>
  </r>
  <r>
    <n v="109"/>
    <x v="0"/>
    <x v="214"/>
    <s v="eth1/21"/>
    <x v="0"/>
    <x v="0"/>
    <x v="0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21"/>
    <x v="0"/>
    <x v="0"/>
    <x v="0"/>
    <s v="TO-ITHFHWHSMTLCN06_MGMT"/>
    <x v="6"/>
    <b v="0"/>
    <s v="No está en VPC"/>
    <n v="113"/>
    <s v="INTPG_ACC_113_1.21"/>
    <s v="ISEL-1.21"/>
    <n v="1"/>
    <s v="NO TIENE L3OUT"/>
    <n v="52"/>
    <n v="96"/>
  </r>
  <r>
    <n v="114"/>
    <x v="0"/>
    <x v="216"/>
    <s v="eth1/21"/>
    <x v="0"/>
    <x v="0"/>
    <x v="0"/>
    <s v="SUBEX (Fraud Management)"/>
    <x v="6"/>
    <b v="0"/>
    <s v="No está en VPC"/>
    <n v="114"/>
    <s v="INTPG_ACC_114_1.21"/>
    <s v="ISEL-1.21"/>
    <n v="1"/>
    <s v="NO TIENE L3OUT"/>
    <n v="144"/>
    <n v="96"/>
  </r>
  <r>
    <n v="124"/>
    <x v="0"/>
    <x v="217"/>
    <s v="eth1/21"/>
    <x v="0"/>
    <x v="0"/>
    <x v="0"/>
    <s v="UXSVA (M9000)"/>
    <x v="6"/>
    <b v="0"/>
    <s v="No está en VPC"/>
    <n v="124"/>
    <s v="INTPG_ACC_124_1.21"/>
    <s v="ISEL-1.21"/>
    <n v="1"/>
    <s v="NO TIENE L3OUT"/>
    <n v="80"/>
    <n v="96"/>
  </r>
  <r>
    <n v="118"/>
    <x v="0"/>
    <x v="218"/>
    <s v="eth1/21"/>
    <x v="0"/>
    <x v="0"/>
    <x v="0"/>
    <s v="COBROS NAVEGACION"/>
    <x v="6"/>
    <b v="0"/>
    <s v="No está en VPC"/>
    <n v="118"/>
    <s v="INTPG_ACC_118_1.21"/>
    <s v="ISEL-1.21"/>
    <n v="1"/>
    <s v="NO TIENE L3OUT"/>
    <n v="180"/>
    <n v="96"/>
  </r>
  <r>
    <n v="159"/>
    <x v="0"/>
    <x v="219"/>
    <s v="eth1/21"/>
    <x v="0"/>
    <x v="0"/>
    <x v="0"/>
    <s v="ArrobaDOC Y CF"/>
    <x v="6"/>
    <b v="0"/>
    <s v="No está en VPC"/>
    <n v="159"/>
    <s v="INTPG_ACC_159_1.21"/>
    <s v="ISEL-1.21"/>
    <n v="1"/>
    <s v="NO TIENE L3OUT"/>
    <n v="72"/>
    <n v="96"/>
  </r>
  <r>
    <n v="840"/>
    <x v="2"/>
    <x v="220"/>
    <s v="eth1/21"/>
    <x v="0"/>
    <x v="0"/>
    <x v="0"/>
    <s v="LINK_TO_ITHFHWCBSPSWR60 / Slot7.3_32 / Redundante"/>
    <x v="0"/>
    <b v="0"/>
    <s v="No está en VPC"/>
    <n v="840"/>
    <s v="INTPG_VPC_835_1.21_840_1.21"/>
    <s v="ISEL-1.21"/>
    <n v="1"/>
    <s v="NO TIENE L3OUT"/>
    <n v="8"/>
    <n v="54"/>
  </r>
  <r>
    <n v="856"/>
    <x v="2"/>
    <x v="221"/>
    <s v="eth1/21"/>
    <x v="0"/>
    <x v="0"/>
    <x v="0"/>
    <s v="LINK_TO_ITHFHWCRMPLCN141 / Slot1.2_16 / Principal"/>
    <x v="0"/>
    <b v="0"/>
    <s v="No está en VPC"/>
    <n v="856"/>
    <s v="INTPG_ACC_856_1.21"/>
    <s v="ISEL-1.21"/>
    <n v="2"/>
    <s v="NO TIENE L3OUT"/>
    <n v="286"/>
    <n v="54"/>
  </r>
  <r>
    <n v="110"/>
    <x v="0"/>
    <x v="222"/>
    <s v="eth1/21"/>
    <x v="0"/>
    <x v="0"/>
    <x v="0"/>
    <s v="UXDX-DATOS"/>
    <x v="6"/>
    <b v="0"/>
    <s v="No está en VPC"/>
    <n v="110"/>
    <s v="INTPG_ACC_110_1.21"/>
    <s v="ISEL-1.21"/>
    <n v="1"/>
    <s v="NO TIENE L3OUT"/>
    <n v="102"/>
    <n v="96"/>
  </r>
  <r>
    <n v="163"/>
    <x v="0"/>
    <x v="223"/>
    <s v="eth1/21"/>
    <x v="0"/>
    <x v="0"/>
    <x v="0"/>
    <s v="SICOP"/>
    <x v="6"/>
    <b v="0"/>
    <s v="No está en VPC"/>
    <n v="163"/>
    <s v="INTPG_ACC_163_1.21"/>
    <s v="ISEL-1.21"/>
    <n v="1"/>
    <s v="NO TIENE L3OUT"/>
    <n v="140"/>
    <n v="96"/>
  </r>
  <r>
    <n v="407"/>
    <x v="1"/>
    <x v="224"/>
    <s v="eth1/21"/>
    <x v="0"/>
    <x v="0"/>
    <x v="0"/>
    <s v="IXT_SIEU"/>
    <x v="6"/>
    <b v="0"/>
    <s v="No está en VPC"/>
    <n v="407"/>
    <s v="INTPG_ACC_407_1.21"/>
    <s v="ISEL-1.21"/>
    <n v="1"/>
    <s v="NO TIENE L3OUT"/>
    <n v="122"/>
    <n v="96"/>
  </r>
  <r>
    <n v="171"/>
    <x v="0"/>
    <x v="225"/>
    <s v="eth1/21"/>
    <x v="0"/>
    <x v="0"/>
    <x v="0"/>
    <s v="SOP-EAGLE"/>
    <x v="6"/>
    <b v="0"/>
    <s v="No está en VPC"/>
    <n v="171"/>
    <s v="INTPG_ACC_171_1.21"/>
    <s v="ISEL-1.21"/>
    <n v="1"/>
    <s v="NO TIENE L3OUT"/>
    <n v="114"/>
    <n v="96"/>
  </r>
  <r>
    <n v="421"/>
    <x v="1"/>
    <x v="226"/>
    <s v="eth1/21"/>
    <x v="0"/>
    <x v="0"/>
    <x v="0"/>
    <s v="HP_Proliant_DL360_Gen9"/>
    <x v="6"/>
    <b v="0"/>
    <s v="No está en VPC"/>
    <n v="421"/>
    <s v="INTPG_ACC_421_1.21"/>
    <s v="ISEL-1.21"/>
    <n v="1"/>
    <s v="NO TIENE L3OUT"/>
    <n v="72"/>
    <n v="96"/>
  </r>
  <r>
    <n v="173"/>
    <x v="0"/>
    <x v="227"/>
    <s v="eth1/21"/>
    <x v="0"/>
    <x v="0"/>
    <x v="0"/>
    <s v="ENIQ"/>
    <x v="6"/>
    <b v="0"/>
    <s v="No está en VPC"/>
    <n v="173"/>
    <s v="INTPG_ACC_173_1.21"/>
    <s v="ISEL-1.21"/>
    <n v="1"/>
    <s v="NO TIENE L3OUT"/>
    <n v="66"/>
    <n v="96"/>
  </r>
  <r>
    <n v="154"/>
    <x v="0"/>
    <x v="228"/>
    <s v="eth1/21"/>
    <x v="0"/>
    <x v="0"/>
    <x v="0"/>
    <m/>
    <x v="6"/>
    <b v="0"/>
    <s v="No está en VPC"/>
    <n v="154"/>
    <s v="INTPG_ACC_154_1.21"/>
    <s v="ISEL-1.21"/>
    <n v="1"/>
    <s v="NO TIENE L3OUT"/>
    <n v="62"/>
    <n v="96"/>
  </r>
  <r>
    <n v="172"/>
    <x v="0"/>
    <x v="229"/>
    <s v="eth1/21"/>
    <x v="0"/>
    <x v="1"/>
    <x v="1"/>
    <s v="NFA"/>
    <x v="6"/>
    <b v="0"/>
    <s v="No está en VPC"/>
    <n v="172"/>
    <s v="INTPG_ACC_172_1.21"/>
    <s v="ISEL-1.21"/>
    <n v="1"/>
    <s v="NO TIENE L3OUT"/>
    <n v="104"/>
    <n v="96"/>
  </r>
  <r>
    <n v="420"/>
    <x v="1"/>
    <x v="230"/>
    <s v="eth1/21"/>
    <x v="0"/>
    <x v="0"/>
    <x v="0"/>
    <s v="sfmevp06"/>
    <x v="6"/>
    <b v="0"/>
    <s v="No está en VPC"/>
    <n v="420"/>
    <s v="INTPG_ACC_420_1.21"/>
    <s v="ISEL-1.21"/>
    <n v="1"/>
    <s v="NO TIENE L3OUT"/>
    <n v="158"/>
    <n v="96"/>
  </r>
  <r>
    <n v="423"/>
    <x v="1"/>
    <x v="231"/>
    <s v="eth1/21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21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21"/>
    <x v="1"/>
    <x v="1"/>
    <x v="2"/>
    <s v="SFLDI:RLDIWEB01:1"/>
    <x v="6"/>
    <b v="0"/>
    <s v="No está en VPC"/>
    <n v="102"/>
    <s v="INTPG_ACC_102_1.21"/>
    <s v="ISEL-1.21"/>
    <n v="0"/>
    <s v="NO TIENE L3OUT"/>
    <n v="228"/>
    <n v="96"/>
  </r>
  <r>
    <n v="863"/>
    <x v="2"/>
    <x v="234"/>
    <s v="eth1/21"/>
    <x v="0"/>
    <x v="0"/>
    <x v="0"/>
    <s v="To_VPC_2DCBSD_HD43_3"/>
    <x v="0"/>
    <b v="0"/>
    <s v="No está en VPC"/>
    <n v="863"/>
    <s v="INTPG_VPC_858_1.21_863_1.21"/>
    <s v="ISEL-1.21"/>
    <n v="1"/>
    <s v="NO TIENE L3OUT"/>
    <n v="8"/>
    <n v="54"/>
  </r>
  <r>
    <n v="876"/>
    <x v="2"/>
    <x v="235"/>
    <s v="eth1/21"/>
    <x v="0"/>
    <x v="0"/>
    <x v="0"/>
    <s v="A_ITHFHWSEQLCAS20_Principal"/>
    <x v="4"/>
    <b v="0"/>
    <s v="No está en VPC"/>
    <n v="876"/>
    <s v="INTPG_ACC_876_1.21"/>
    <s v="ISEL-1.21"/>
    <n v="1"/>
    <s v="NO TIENE L3OUT"/>
    <n v="92"/>
    <n v="54"/>
  </r>
  <r>
    <n v="877"/>
    <x v="2"/>
    <x v="236"/>
    <s v="eth1/21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21"/>
    <x v="0"/>
    <x v="1"/>
    <x v="1"/>
    <s v="WS2_MGMT"/>
    <x v="6"/>
    <b v="0"/>
    <s v="No está en VPC"/>
    <n v="122"/>
    <s v="INTPG_ACC_122_1.21"/>
    <s v="ISEL-1.21"/>
    <n v="1"/>
    <s v="NO TIENE L3OUT"/>
    <n v="148"/>
    <n v="96"/>
  </r>
  <r>
    <n v="157"/>
    <x v="0"/>
    <x v="238"/>
    <s v="eth1/21"/>
    <x v="1"/>
    <x v="1"/>
    <x v="2"/>
    <s v="RED CRICKET"/>
    <x v="6"/>
    <b v="0"/>
    <s v="No está en VPC"/>
    <n v="157"/>
    <s v="INTPG_ACC_157_1.21"/>
    <s v="ISEL-1.21"/>
    <n v="1"/>
    <s v="NO TIENE L3OUT"/>
    <n v="202"/>
    <n v="96"/>
  </r>
  <r>
    <n v="408"/>
    <x v="1"/>
    <x v="239"/>
    <s v="eth1/21"/>
    <x v="0"/>
    <x v="0"/>
    <x v="0"/>
    <s v="LAN_ADMON_UXCEM01_NXGE1"/>
    <x v="6"/>
    <b v="0"/>
    <s v="No está en VPC"/>
    <n v="408"/>
    <s v="INTPG_ACC_408_1.21"/>
    <s v="ISEL-1.21"/>
    <n v="1"/>
    <s v="NO TIENE L3OUT"/>
    <n v="152"/>
    <n v="96"/>
  </r>
  <r>
    <n v="405"/>
    <x v="1"/>
    <x v="240"/>
    <s v="eth1/21"/>
    <x v="0"/>
    <x v="0"/>
    <x v="0"/>
    <s v="XL6 RLR6ARI01 ILO"/>
    <x v="6"/>
    <b v="0"/>
    <s v="No está en VPC"/>
    <n v="405"/>
    <s v="INTPG_ACC_405_1.21"/>
    <s v="ISEL-1.21"/>
    <n v="1"/>
    <s v="NO TIENE L3OUT"/>
    <n v="138"/>
    <n v="96"/>
  </r>
  <r>
    <n v="169"/>
    <x v="0"/>
    <x v="241"/>
    <s v="eth1/21"/>
    <x v="1"/>
    <x v="1"/>
    <x v="2"/>
    <s v="TO-CORE_SWITCH-3-Y-4"/>
    <x v="6"/>
    <b v="0"/>
    <s v="No está en VPC"/>
    <n v="169"/>
    <s v="INTPG_VPC_167_1.30-32_169_1.21-23"/>
    <s v="ISEL-1.21"/>
    <n v="4"/>
    <s v="NO TIENE L3OUT"/>
    <n v="76"/>
    <n v="96"/>
  </r>
  <r>
    <n v="165"/>
    <x v="0"/>
    <x v="242"/>
    <s v="eth1/21"/>
    <x v="0"/>
    <x v="0"/>
    <x v="0"/>
    <s v="UXLDAP"/>
    <x v="6"/>
    <b v="0"/>
    <s v="No está en VPC"/>
    <n v="165"/>
    <s v="INTPG_ACC_165_1.21"/>
    <s v="ISEL-1.21"/>
    <n v="1"/>
    <s v="NO TIENE L3OUT"/>
    <n v="86"/>
    <n v="96"/>
  </r>
  <r>
    <n v="417"/>
    <x v="1"/>
    <x v="243"/>
    <s v="eth1/21"/>
    <x v="0"/>
    <x v="0"/>
    <x v="0"/>
    <s v="IXTSRM2-ilom"/>
    <x v="6"/>
    <b v="0"/>
    <s v="No está en VPC"/>
    <n v="417"/>
    <s v="INTPG_ACC_417_1.21"/>
    <s v="ISEL-1.21"/>
    <n v="1"/>
    <s v="NO TIENE L3OUT"/>
    <n v="56"/>
    <n v="96"/>
  </r>
  <r>
    <n v="153"/>
    <x v="0"/>
    <x v="244"/>
    <s v="eth1/21"/>
    <x v="0"/>
    <x v="0"/>
    <x v="0"/>
    <m/>
    <x v="6"/>
    <b v="0"/>
    <s v="No está en VPC"/>
    <n v="153"/>
    <s v="INTPG_ACC_153_1.21"/>
    <s v="ISEL-1.21"/>
    <n v="1"/>
    <s v="NO TIENE L3OUT"/>
    <n v="42"/>
    <n v="96"/>
  </r>
  <r>
    <n v="119"/>
    <x v="0"/>
    <x v="245"/>
    <s v="eth1/21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21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21"/>
    <x v="0"/>
    <x v="1"/>
    <x v="1"/>
    <s v="CAMPANAS 01-02:uxobie01:ent2"/>
    <x v="6"/>
    <b v="0"/>
    <s v="No está en VPC"/>
    <n v="103"/>
    <s v="INTPG_ACC_103_1.21"/>
    <s v="ISEL-1.21"/>
    <n v="1"/>
    <s v="NO TIENE L3OUT"/>
    <n v="70"/>
    <n v="96"/>
  </r>
  <r>
    <n v="438"/>
    <x v="1"/>
    <x v="248"/>
    <s v="eth1/21"/>
    <x v="0"/>
    <x v="0"/>
    <x v="0"/>
    <s v="HP_Proliant_DL380p(a)"/>
    <x v="6"/>
    <b v="0"/>
    <s v="No está en VPC"/>
    <n v="438"/>
    <s v="INTPG_ACC_438_1.21"/>
    <s v="ISEL-1.21"/>
    <n v="1"/>
    <s v="NO TIENE L3OUT"/>
    <n v="170"/>
    <n v="96"/>
  </r>
  <r>
    <n v="406"/>
    <x v="1"/>
    <x v="249"/>
    <s v="eth1/21"/>
    <x v="0"/>
    <x v="0"/>
    <x v="0"/>
    <s v="ITHRTC51VC1"/>
    <x v="6"/>
    <b v="0"/>
    <s v="No está en VPC"/>
    <n v="406"/>
    <s v="INTPG_VPC_404_1.21_406_1.21"/>
    <s v="ISEL-1.21"/>
    <n v="1"/>
    <s v="NO TIENE L3OUT"/>
    <n v="82"/>
    <n v="96"/>
  </r>
  <r>
    <n v="414"/>
    <x v="1"/>
    <x v="250"/>
    <s v="eth1/21"/>
    <x v="0"/>
    <x v="0"/>
    <x v="0"/>
    <s v="NEC Femtocel NMS"/>
    <x v="6"/>
    <b v="0"/>
    <s v="No está en VPC"/>
    <n v="414"/>
    <s v="INTPG_ACC_414_1.21"/>
    <s v="ISEL-1.21"/>
    <n v="1"/>
    <s v="NO TIENE L3OUT"/>
    <n v="144"/>
    <n v="96"/>
  </r>
  <r>
    <n v="416"/>
    <x v="1"/>
    <x v="251"/>
    <s v="eth1/21"/>
    <x v="0"/>
    <x v="0"/>
    <x v="0"/>
    <s v="TO-ITHEA1B-PRINCIPAL"/>
    <x v="6"/>
    <b v="0"/>
    <s v="No está en VPC"/>
    <n v="416"/>
    <s v="INTPG_ACC_416_1.21"/>
    <s v="ISEL-1.21"/>
    <n v="1"/>
    <s v="NO TIENE L3OUT"/>
    <n v="110"/>
    <n v="96"/>
  </r>
  <r>
    <n v="418"/>
    <x v="1"/>
    <x v="252"/>
    <s v="eth1/21"/>
    <x v="0"/>
    <x v="0"/>
    <x v="0"/>
    <s v="TO-ITHNM1-PRINCIPAL"/>
    <x v="6"/>
    <b v="0"/>
    <s v="No está en VPC"/>
    <n v="418"/>
    <s v="INTPG_ACC_418_1.21"/>
    <s v="ISEL-1.21"/>
    <n v="1"/>
    <s v="NO TIENE L3OUT"/>
    <n v="152"/>
    <n v="96"/>
  </r>
  <r>
    <n v="413"/>
    <x v="1"/>
    <x v="253"/>
    <s v="eth1/21"/>
    <x v="0"/>
    <x v="1"/>
    <x v="1"/>
    <m/>
    <x v="6"/>
    <b v="0"/>
    <s v="No está en VPC"/>
    <n v="413"/>
    <s v="NO EXISTE PG"/>
    <s v="NO EXISTE ISEL"/>
    <n v="0"/>
    <s v="NO TIENE L3OUT"/>
    <n v="126"/>
    <n v="96"/>
  </r>
  <r>
    <n v="403"/>
    <x v="1"/>
    <x v="254"/>
    <s v="eth1/21"/>
    <x v="0"/>
    <x v="0"/>
    <x v="0"/>
    <s v="XL6 RLR6ARI01"/>
    <x v="6"/>
    <b v="0"/>
    <s v="No está en VPC"/>
    <n v="403"/>
    <s v="INTPG_ACC_403_1.21"/>
    <s v="ISEL-1.21"/>
    <n v="1"/>
    <s v="NO TIENE L3OUT"/>
    <n v="150"/>
    <n v="96"/>
  </r>
  <r>
    <n v="125"/>
    <x v="0"/>
    <x v="255"/>
    <s v="eth1/21"/>
    <x v="0"/>
    <x v="0"/>
    <x v="0"/>
    <s v="UXSVA (M9000)"/>
    <x v="6"/>
    <b v="0"/>
    <s v="No está en VPC"/>
    <n v="125"/>
    <s v="INTPG_ACC_125_1.21"/>
    <s v="ISEL-1.21"/>
    <n v="1"/>
    <s v="NO TIENE L3OUT"/>
    <n v="72"/>
    <n v="96"/>
  </r>
  <r>
    <n v="166"/>
    <x v="0"/>
    <x v="256"/>
    <s v="eth1/21"/>
    <x v="1"/>
    <x v="1"/>
    <x v="2"/>
    <s v="UXLDAP"/>
    <x v="6"/>
    <b v="0"/>
    <s v="No está en VPC"/>
    <n v="166"/>
    <s v="INTPG_ACC_166_1.21"/>
    <s v="ISEL-1.21"/>
    <n v="1"/>
    <s v="NO TIENE L3OUT"/>
    <n v="84"/>
    <n v="96"/>
  </r>
  <r>
    <n v="111"/>
    <x v="0"/>
    <x v="257"/>
    <s v="eth1/21"/>
    <x v="0"/>
    <x v="0"/>
    <x v="0"/>
    <s v="UXDX-DATOS"/>
    <x v="6"/>
    <b v="0"/>
    <s v="No está en VPC"/>
    <n v="111"/>
    <s v="INTPG_ACC_111_1.21"/>
    <s v="ISEL-1.21"/>
    <n v="1"/>
    <s v="NO TIENE L3OUT"/>
    <n v="58"/>
    <n v="96"/>
  </r>
  <r>
    <n v="115"/>
    <x v="0"/>
    <x v="258"/>
    <s v="eth1/21"/>
    <x v="0"/>
    <x v="1"/>
    <x v="1"/>
    <s v="SAPCC"/>
    <x v="6"/>
    <b v="0"/>
    <s v="No está en VPC"/>
    <n v="115"/>
    <s v="INTPG_ACC_115_1.21"/>
    <s v="ISEL-1.21"/>
    <n v="1"/>
    <s v="NO TIENE L3OUT"/>
    <n v="42"/>
    <n v="96"/>
  </r>
  <r>
    <n v="106"/>
    <x v="0"/>
    <x v="259"/>
    <s v="eth1/21"/>
    <x v="0"/>
    <x v="1"/>
    <x v="1"/>
    <s v="SISAP"/>
    <x v="6"/>
    <b v="0"/>
    <s v="No está en VPC"/>
    <n v="106"/>
    <s v="INTPG_ACC_106_1.21"/>
    <s v="ISEL-1.21"/>
    <n v="1"/>
    <s v="NO TIENE L3OUT"/>
    <n v="122"/>
    <n v="96"/>
  </r>
  <r>
    <n v="126"/>
    <x v="0"/>
    <x v="260"/>
    <s v="eth1/21"/>
    <x v="0"/>
    <x v="0"/>
    <x v="0"/>
    <s v="ENIQ"/>
    <x v="6"/>
    <b v="0"/>
    <s v="No está en VPC"/>
    <n v="126"/>
    <s v="INTPG_ACC_126_1.21"/>
    <s v="ISEL-1.21"/>
    <n v="1"/>
    <s v="NO TIENE L3OUT"/>
    <n v="54"/>
    <n v="96"/>
  </r>
  <r>
    <n v="425"/>
    <x v="1"/>
    <x v="261"/>
    <s v="eth1/21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21"/>
    <x v="0"/>
    <x v="0"/>
    <x v="0"/>
    <s v="ETLI-SACI 3"/>
    <x v="6"/>
    <b v="0"/>
    <s v="No está en VPC"/>
    <n v="151"/>
    <s v="INTPG_ACC_151_1.21"/>
    <s v="ISEL-1.21"/>
    <n v="1"/>
    <s v="NO TIENE L3OUT"/>
    <n v="86"/>
    <n v="96"/>
  </r>
  <r>
    <n v="430"/>
    <x v="1"/>
    <x v="263"/>
    <s v="eth1/21"/>
    <x v="0"/>
    <x v="1"/>
    <x v="1"/>
    <s v="RHEV_Produccion_sfrevp02"/>
    <x v="6"/>
    <b v="0"/>
    <s v="No está en VPC"/>
    <n v="430"/>
    <s v="INTPG_VPC_428_1.21_430_1.21"/>
    <s v="ISEL-1.21"/>
    <n v="1"/>
    <s v="NO TIENE L3OUT"/>
    <n v="86"/>
    <n v="96"/>
  </r>
  <r>
    <n v="419"/>
    <x v="1"/>
    <x v="264"/>
    <s v="eth1/21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21"/>
    <x v="0"/>
    <x v="0"/>
    <x v="0"/>
    <s v="COBROS NAVEGACION"/>
    <x v="6"/>
    <b v="0"/>
    <s v="No está en VPC"/>
    <n v="155"/>
    <s v="INTPG_ACC_155_1.21"/>
    <s v="ISEL-1.21"/>
    <n v="1"/>
    <s v="NO TIENE L3OUT"/>
    <n v="198"/>
    <n v="96"/>
  </r>
  <r>
    <n v="409"/>
    <x v="1"/>
    <x v="266"/>
    <s v="eth1/21"/>
    <x v="0"/>
    <x v="0"/>
    <x v="0"/>
    <s v="IXT4GSW2A2_MGNT"/>
    <x v="6"/>
    <b v="0"/>
    <s v="No está en VPC"/>
    <n v="409"/>
    <s v="INTPG_ACC_409_1.21"/>
    <s v="ISEL-1.21"/>
    <n v="1"/>
    <s v="NO TIENE L3OUT"/>
    <n v="128"/>
    <n v="96"/>
  </r>
  <r>
    <n v="422"/>
    <x v="1"/>
    <x v="267"/>
    <s v="eth1/21"/>
    <x v="0"/>
    <x v="0"/>
    <x v="0"/>
    <s v="IXTAI6_ALOM"/>
    <x v="6"/>
    <b v="0"/>
    <s v="No está en VPC"/>
    <n v="422"/>
    <s v="INTPG_ACC_422_1.21"/>
    <s v="ISEL-1.21"/>
    <n v="1"/>
    <s v="NO TIENE L3OUT"/>
    <n v="182"/>
    <n v="96"/>
  </r>
  <r>
    <n v="436"/>
    <x v="1"/>
    <x v="268"/>
    <s v="eth1/21"/>
    <x v="0"/>
    <x v="0"/>
    <x v="0"/>
    <s v="HP_Proliant_DL380p(b)"/>
    <x v="6"/>
    <b v="0"/>
    <s v="No está en VPC"/>
    <n v="436"/>
    <s v="INTPG_ACC_436_1.21"/>
    <s v="ISEL-1.21"/>
    <n v="1"/>
    <s v="NO TIENE L3OUT"/>
    <n v="172"/>
    <n v="96"/>
  </r>
  <r>
    <n v="410"/>
    <x v="1"/>
    <x v="269"/>
    <s v="eth1/21"/>
    <x v="0"/>
    <x v="0"/>
    <x v="0"/>
    <s v="ITHMSNUBE2_IGB0"/>
    <x v="6"/>
    <b v="0"/>
    <s v="No está en VPC"/>
    <n v="410"/>
    <s v="INTPG_ACC_410_1.21"/>
    <s v="ISEL-1.21"/>
    <n v="1"/>
    <s v="NO TIENE L3OUT"/>
    <n v="178"/>
    <n v="96"/>
  </r>
  <r>
    <n v="161"/>
    <x v="0"/>
    <x v="270"/>
    <s v="eth1/21"/>
    <x v="0"/>
    <x v="0"/>
    <x v="0"/>
    <s v="SICOP"/>
    <x v="6"/>
    <b v="0"/>
    <s v="No está en VPC"/>
    <n v="161"/>
    <s v="INTPG_ACC_161_1.21"/>
    <s v="ISEL-1.21"/>
    <n v="1"/>
    <s v="NO TIENE L3OUT"/>
    <n v="102"/>
    <n v="96"/>
  </r>
  <r>
    <n v="411"/>
    <x v="1"/>
    <x v="271"/>
    <s v="eth1/21"/>
    <x v="0"/>
    <x v="0"/>
    <x v="0"/>
    <s v="lagidmhlapvp06_produccion1"/>
    <x v="6"/>
    <b v="0"/>
    <s v="No está en VPC"/>
    <n v="411"/>
    <s v="INTPG_VPC_411_1.21-24_413_1.14-17"/>
    <s v="ISEL-1.21"/>
    <n v="2"/>
    <s v="NO TIENE L3OUT"/>
    <n v="96"/>
    <n v="96"/>
  </r>
  <r>
    <n v="116"/>
    <x v="0"/>
    <x v="272"/>
    <s v="eth1/21"/>
    <x v="0"/>
    <x v="0"/>
    <x v="0"/>
    <s v="COBROS NAVEGACION"/>
    <x v="6"/>
    <b v="0"/>
    <s v="No está en VPC"/>
    <n v="116"/>
    <s v="INTPG_ACC_116_1.21"/>
    <s v="ISEL-1.21"/>
    <n v="1"/>
    <s v="NO TIENE L3OUT"/>
    <n v="148"/>
    <n v="96"/>
  </r>
  <r>
    <n v="412"/>
    <x v="1"/>
    <x v="273"/>
    <s v="eth1/21"/>
    <x v="0"/>
    <x v="0"/>
    <x v="0"/>
    <s v="UXCA_EXADATA"/>
    <x v="6"/>
    <b v="0"/>
    <s v="No está en VPC"/>
    <n v="412"/>
    <s v="INTPG_ACC_412_1.21"/>
    <s v="ISEL-1.21"/>
    <n v="1"/>
    <s v="NO TIENE L3OUT"/>
    <n v="126"/>
    <n v="96"/>
  </r>
  <r>
    <n v="120"/>
    <x v="0"/>
    <x v="274"/>
    <s v="eth1/21"/>
    <x v="0"/>
    <x v="1"/>
    <x v="1"/>
    <s v="WS1_MGMT"/>
    <x v="6"/>
    <b v="0"/>
    <s v="No está en VPC"/>
    <n v="120"/>
    <s v="INTPG_ACC_120_1.21"/>
    <s v="ISEL-1.21"/>
    <n v="1"/>
    <s v="NO TIENE L3OUT"/>
    <n v="158"/>
    <n v="96"/>
  </r>
  <r>
    <n v="404"/>
    <x v="1"/>
    <x v="275"/>
    <s v="eth1/21"/>
    <x v="0"/>
    <x v="0"/>
    <x v="0"/>
    <s v="ITHRTC51VC1"/>
    <x v="6"/>
    <b v="0"/>
    <s v="No está en VPC"/>
    <n v="404"/>
    <s v="INTPG_VPC_404_1.21_406_1.21"/>
    <s v="ISEL-1.21"/>
    <n v="1"/>
    <s v="NO TIENE L3OUT"/>
    <n v="92"/>
    <n v="96"/>
  </r>
  <r>
    <n v="167"/>
    <x v="0"/>
    <x v="276"/>
    <s v="eth1/21"/>
    <x v="0"/>
    <x v="0"/>
    <x v="0"/>
    <m/>
    <x v="6"/>
    <b v="0"/>
    <s v="No está en VPC"/>
    <n v="167"/>
    <s v="INTPG_ACC_167_1.21"/>
    <s v="ISEL-1.21"/>
    <n v="1"/>
    <s v="NO TIENE L3OUT"/>
    <n v="68"/>
    <n v="96"/>
  </r>
  <r>
    <n v="428"/>
    <x v="1"/>
    <x v="277"/>
    <s v="eth1/21"/>
    <x v="0"/>
    <x v="1"/>
    <x v="1"/>
    <s v="RHEV_Produccion_sfrevp02"/>
    <x v="6"/>
    <b v="0"/>
    <s v="No está en VPC"/>
    <n v="428"/>
    <s v="INTPG_VPC_428_1.21_430_1.21"/>
    <s v="ISEL-1.21"/>
    <n v="1"/>
    <s v="NO TIENE L3OUT"/>
    <n v="102"/>
    <n v="96"/>
  </r>
  <r>
    <n v="903"/>
    <x v="2"/>
    <x v="278"/>
    <s v="eth1/2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2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22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22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22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22"/>
    <x v="0"/>
    <x v="0"/>
    <x v="0"/>
    <s v="TO-ITHFDEVYCWPBD01"/>
    <x v="0"/>
    <b v="0"/>
    <s v="No está en VPC"/>
    <n v="101"/>
    <s v="INTPG_VPC_101_1.22_150_1.22"/>
    <s v="ISEL-1.22"/>
    <n v="1"/>
    <s v="NO TIENE L3OUT"/>
    <n v="114"/>
    <n v="54"/>
  </r>
  <r>
    <n v="160"/>
    <x v="0"/>
    <x v="4"/>
    <s v="eth1/22"/>
    <x v="0"/>
    <x v="0"/>
    <x v="0"/>
    <m/>
    <x v="1"/>
    <b v="0"/>
    <s v="No está en VPC"/>
    <n v="160"/>
    <s v="INTPG_ACC_160_1.22"/>
    <s v="ISEL-1.22"/>
    <n v="1"/>
    <s v="NO TIENE L3OUT"/>
    <n v="68"/>
    <n v="54"/>
  </r>
  <r>
    <n v="121"/>
    <x v="0"/>
    <x v="5"/>
    <s v="eth1/22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22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22"/>
    <x v="0"/>
    <x v="1"/>
    <x v="1"/>
    <s v="LINK_HACIA_MGMT"/>
    <x v="0"/>
    <b v="0"/>
    <s v="No está en VPC"/>
    <n v="401"/>
    <s v="INTPG_VPC_MGMT_10518_401_1.22_402_1.22"/>
    <s v="ISEL-1.22"/>
    <n v="1"/>
    <s v="NO TIENE L3OUT"/>
    <n v="40"/>
    <n v="54"/>
  </r>
  <r>
    <n v="402"/>
    <x v="1"/>
    <x v="8"/>
    <s v="eth1/22"/>
    <x v="0"/>
    <x v="0"/>
    <x v="0"/>
    <s v="LINK_HACIA_MGMT"/>
    <x v="0"/>
    <b v="0"/>
    <s v="No está en VPC"/>
    <n v="402"/>
    <s v="INTPG_VPC_MGMT_10518_401_1.22_402_1.22"/>
    <s v="ISEL-1.22"/>
    <n v="1"/>
    <s v="NO TIENE L3OUT"/>
    <n v="36"/>
    <n v="54"/>
  </r>
  <r>
    <n v="447"/>
    <x v="1"/>
    <x v="9"/>
    <s v="eth1/22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22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22"/>
    <x v="0"/>
    <x v="0"/>
    <x v="0"/>
    <s v="TO-ITHEMCDD99000569"/>
    <x v="0"/>
    <b v="0"/>
    <s v="No está en VPC"/>
    <n v="130"/>
    <s v="INTPG_VPC_130_1.21-22_131_1.22-23"/>
    <s v="ISEL-1.22"/>
    <n v="1"/>
    <s v="NO TIENE L3OUT"/>
    <n v="128"/>
    <n v="54"/>
  </r>
  <r>
    <n v="150"/>
    <x v="0"/>
    <x v="12"/>
    <s v="eth1/22"/>
    <x v="0"/>
    <x v="0"/>
    <x v="0"/>
    <s v="TO-ITHFDEVYCWPBD01"/>
    <x v="0"/>
    <b v="0"/>
    <s v="No está en VPC"/>
    <n v="150"/>
    <s v="INTPG_VPC_101_1.22_150_1.22"/>
    <s v="ISEL-1.22"/>
    <n v="1"/>
    <s v="NO TIENE L3OUT"/>
    <n v="118"/>
    <n v="54"/>
  </r>
  <r>
    <n v="131"/>
    <x v="0"/>
    <x v="13"/>
    <s v="eth1/22"/>
    <x v="0"/>
    <x v="0"/>
    <x v="0"/>
    <s v="TO-ITHEMCDD99000569"/>
    <x v="0"/>
    <b v="0"/>
    <s v="No está en VPC"/>
    <n v="131"/>
    <s v="INTPG_VPC_130_1.21-22_131_1.22-23"/>
    <s v="ISEL-1.22"/>
    <n v="1"/>
    <s v="NO TIENE L3OUT"/>
    <n v="126"/>
    <n v="54"/>
  </r>
  <r>
    <n v="303"/>
    <x v="0"/>
    <x v="14"/>
    <s v="eth1/22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22"/>
    <x v="0"/>
    <x v="0"/>
    <x v="0"/>
    <s v="GRLK-EN04-LAG02"/>
    <x v="2"/>
    <b v="0"/>
    <s v="No está en VPC"/>
    <n v="758"/>
    <s v="INTPG_VPC_758_1.22_759_1.22"/>
    <s v="ISEL-1.22"/>
    <n v="145"/>
    <s v="NO TIENE L3OUT"/>
    <n v="0"/>
    <n v="42"/>
  </r>
  <r>
    <n v="759"/>
    <x v="2"/>
    <x v="16"/>
    <s v="eth1/22"/>
    <x v="0"/>
    <x v="0"/>
    <x v="0"/>
    <s v="GRLK-EN04-LAG02"/>
    <x v="2"/>
    <b v="0"/>
    <s v="No está en VPC"/>
    <n v="759"/>
    <s v="INTPG_VPC_758_1.22_759_1.22"/>
    <s v="ISEL-1.22"/>
    <n v="145"/>
    <s v="NO TIENE L3OUT"/>
    <n v="0"/>
    <n v="42"/>
  </r>
  <r>
    <n v="302"/>
    <x v="0"/>
    <x v="17"/>
    <s v="eth1/22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22"/>
    <x v="0"/>
    <x v="0"/>
    <x v="0"/>
    <s v="EMIPCLOUD_A02"/>
    <x v="1"/>
    <b v="0"/>
    <s v="No está en VPC"/>
    <n v="424"/>
    <s v="INTPG_ACC_424_1.22"/>
    <s v="ISEL-1.22"/>
    <n v="1"/>
    <s v="NO TIENE L3OUT"/>
    <n v="16"/>
    <n v="54"/>
  </r>
  <r>
    <n v="426"/>
    <x v="1"/>
    <x v="19"/>
    <s v="eth1/22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22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22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22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22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22"/>
    <x v="0"/>
    <x v="1"/>
    <x v="3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22"/>
    <x v="0"/>
    <x v="0"/>
    <x v="0"/>
    <m/>
    <x v="0"/>
    <b v="0"/>
    <s v="No está en VPC"/>
    <n v="725"/>
    <s v="INTPG-VPC_HDD98_724_1.21_725_1.22"/>
    <s v="ISEL-1.22"/>
    <n v="1"/>
    <s v="NO TIENE L3OUT"/>
    <n v="0"/>
    <n v="54"/>
  </r>
  <r>
    <n v="431"/>
    <x v="1"/>
    <x v="26"/>
    <s v="eth1/22"/>
    <x v="0"/>
    <x v="0"/>
    <x v="0"/>
    <s v="CLIENT_HUAWEI_CLOUD_ARIESO1"/>
    <x v="0"/>
    <b v="0"/>
    <s v="No está en VPC"/>
    <n v="431"/>
    <s v="INTPG_VPC_431_1.22-25_448_1.22-25"/>
    <s v="ISEL-1.22"/>
    <n v="14"/>
    <s v="NO TIENE L3OUT"/>
    <n v="46"/>
    <n v="54"/>
  </r>
  <r>
    <n v="433"/>
    <x v="1"/>
    <x v="27"/>
    <s v="eth1/22"/>
    <x v="0"/>
    <x v="0"/>
    <x v="0"/>
    <s v="ITHDWCOP1DW01_ETH1"/>
    <x v="1"/>
    <b v="0"/>
    <s v="No está en VPC"/>
    <n v="433"/>
    <s v="INTPG_ACC_433_1.22"/>
    <s v="ISEL-1.22"/>
    <n v="1"/>
    <s v="NO TIENE L3OUT"/>
    <n v="42"/>
    <n v="54"/>
  </r>
  <r>
    <n v="429"/>
    <x v="1"/>
    <x v="28"/>
    <s v="eth1/22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22"/>
    <x v="0"/>
    <x v="0"/>
    <x v="0"/>
    <s v="SecAnLG_Gb2_06-Colector_R9_RD-IXTSALG_H9RD"/>
    <x v="1"/>
    <b v="0"/>
    <s v="No está en VPC"/>
    <n v="432"/>
    <s v="INTPG_ACC_432_1.22"/>
    <s v="ISEL-1.22"/>
    <n v="1"/>
    <s v="NO TIENE L3OUT"/>
    <n v="54"/>
    <n v="54"/>
  </r>
  <r>
    <n v="442"/>
    <x v="1"/>
    <x v="30"/>
    <s v="eth1/22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22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22"/>
    <x v="0"/>
    <x v="0"/>
    <x v="0"/>
    <s v="ITHCEMG2APP18"/>
    <x v="0"/>
    <b v="0"/>
    <s v="No está en VPC"/>
    <n v="707"/>
    <s v="INTPG_ACC_707_1.22"/>
    <s v="ISEL-1.22"/>
    <n v="1"/>
    <s v="NO TIENE L3OUT"/>
    <n v="54"/>
    <n v="54"/>
  </r>
  <r>
    <n v="712"/>
    <x v="2"/>
    <x v="33"/>
    <s v="eth1/22"/>
    <x v="0"/>
    <x v="1"/>
    <x v="5"/>
    <s v="CEM:ITHCEMA2AKF11:LOM  P2"/>
    <x v="0"/>
    <b v="0"/>
    <s v="No está en VPC"/>
    <n v="712"/>
    <s v="INTPG_VPC_713_1.21_712_1.22"/>
    <s v="ISEL-1.22"/>
    <n v="1"/>
    <s v="NO TIENE L3OUT"/>
    <n v="32"/>
    <n v="54"/>
  </r>
  <r>
    <n v="719"/>
    <x v="2"/>
    <x v="34"/>
    <s v="eth1/22"/>
    <x v="0"/>
    <x v="0"/>
    <x v="0"/>
    <m/>
    <x v="0"/>
    <b v="0"/>
    <s v="No está en VPC"/>
    <n v="719"/>
    <s v="INTPG-VPC_IHP01_720_1.21_719_1.22"/>
    <s v="ISEL-1.22"/>
    <n v="1"/>
    <s v="NO TIENE L3OUT"/>
    <n v="0"/>
    <n v="54"/>
  </r>
  <r>
    <n v="715"/>
    <x v="2"/>
    <x v="35"/>
    <s v="eth1/22"/>
    <x v="0"/>
    <x v="0"/>
    <x v="0"/>
    <m/>
    <x v="0"/>
    <b v="0"/>
    <s v="No está en VPC"/>
    <n v="715"/>
    <s v="INTPG-VPC_HDD29_716_1.21_715_1.22"/>
    <s v="ISEL-1.22"/>
    <n v="1"/>
    <s v="NO TIENE L3OUT"/>
    <n v="0"/>
    <n v="54"/>
  </r>
  <r>
    <n v="427"/>
    <x v="1"/>
    <x v="36"/>
    <s v="eth1/22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22"/>
    <x v="0"/>
    <x v="1"/>
    <x v="5"/>
    <s v="CEM:ITHCEMD2AKF11:LOM  P2"/>
    <x v="0"/>
    <b v="0"/>
    <s v="No está en VPC"/>
    <n v="711"/>
    <s v="INTPG_VPC_710_1.21_711_1.22"/>
    <s v="ISEL-1.22"/>
    <n v="1"/>
    <s v="NO TIENE L3OUT"/>
    <n v="16"/>
    <n v="54"/>
  </r>
  <r>
    <n v="716"/>
    <x v="2"/>
    <x v="38"/>
    <s v="eth1/22"/>
    <x v="0"/>
    <x v="0"/>
    <x v="0"/>
    <m/>
    <x v="0"/>
    <b v="0"/>
    <s v="No está en VPC"/>
    <n v="716"/>
    <s v="INTPG-VPC_SLR03_715_1.21_716_1.22"/>
    <s v="ISEL-1.22"/>
    <n v="1"/>
    <s v="NO TIENE L3OUT"/>
    <n v="0"/>
    <n v="54"/>
  </r>
  <r>
    <n v="702"/>
    <x v="2"/>
    <x v="39"/>
    <s v="eth1/22"/>
    <x v="0"/>
    <x v="0"/>
    <x v="0"/>
    <m/>
    <x v="0"/>
    <b v="0"/>
    <s v="No está en VPC"/>
    <n v="702"/>
    <s v="INTPG_VPC_701_1.21_702_1.22"/>
    <s v="ISEL-1.22"/>
    <n v="1"/>
    <s v="NO TIENE L3OUT"/>
    <n v="0"/>
    <n v="54"/>
  </r>
  <r>
    <n v="435"/>
    <x v="1"/>
    <x v="40"/>
    <s v="eth1/22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22"/>
    <x v="0"/>
    <x v="0"/>
    <x v="0"/>
    <s v="TO-ITHFDLMCLWLCN02"/>
    <x v="0"/>
    <b v="0"/>
    <s v="No está en VPC"/>
    <n v="446"/>
    <s v="INTPG_VPC_446_1.22_444_1.21"/>
    <s v="ISEL-1.22"/>
    <n v="3"/>
    <s v="NO TIENE L3OUT"/>
    <n v="198"/>
    <n v="54"/>
  </r>
  <r>
    <n v="444"/>
    <x v="1"/>
    <x v="42"/>
    <s v="eth1/22"/>
    <x v="0"/>
    <x v="0"/>
    <x v="0"/>
    <m/>
    <x v="0"/>
    <b v="0"/>
    <s v="No está en VPC"/>
    <n v="444"/>
    <s v="INTPG_ACC_444_1.22"/>
    <s v="ISEL-1.22"/>
    <n v="9"/>
    <s v="NO TIENE L3OUT"/>
    <n v="234"/>
    <n v="54"/>
  </r>
  <r>
    <n v="701"/>
    <x v="2"/>
    <x v="43"/>
    <s v="eth1/22"/>
    <x v="0"/>
    <x v="1"/>
    <x v="5"/>
    <m/>
    <x v="0"/>
    <b v="0"/>
    <s v="No está en VPC"/>
    <n v="701"/>
    <s v="INTPG_VPC_702_1.21_701_1.22"/>
    <s v="ISEL-1.22"/>
    <n v="1"/>
    <s v="NO TIENE L3OUT"/>
    <n v="0"/>
    <n v="54"/>
  </r>
  <r>
    <n v="440"/>
    <x v="1"/>
    <x v="44"/>
    <s v="eth1/22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22"/>
    <x v="0"/>
    <x v="0"/>
    <x v="0"/>
    <s v="CLIENT_HUAWEI_CLOUD_ARIESO1"/>
    <x v="0"/>
    <b v="0"/>
    <s v="No está en VPC"/>
    <n v="448"/>
    <s v="INTPG_VPC_431_1.22-25_448_1.22-25"/>
    <s v="ISEL-1.22"/>
    <n v="14"/>
    <s v="NO TIENE L3OUT"/>
    <n v="46"/>
    <n v="54"/>
  </r>
  <r>
    <n v="704"/>
    <x v="2"/>
    <x v="46"/>
    <s v="eth1/22"/>
    <x v="0"/>
    <x v="0"/>
    <x v="0"/>
    <m/>
    <x v="0"/>
    <b v="0"/>
    <s v="No está en VPC"/>
    <n v="704"/>
    <s v="INTPG_VPC_703_1.21_704_1.22"/>
    <s v="ISEL-1.22"/>
    <n v="1"/>
    <s v="NO TIENE L3OUT"/>
    <n v="0"/>
    <n v="54"/>
  </r>
  <r>
    <n v="729"/>
    <x v="2"/>
    <x v="47"/>
    <s v="eth1/22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22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22"/>
    <x v="0"/>
    <x v="0"/>
    <x v="0"/>
    <s v="HACIA_MGMT-OSCP-F4-02_SECUNDARIO"/>
    <x v="4"/>
    <b v="0"/>
    <s v="No está en VPC"/>
    <n v="456"/>
    <s v="INTPG_VPC_454_1.22_456_1.22"/>
    <s v="ISEL-1.22"/>
    <n v="1"/>
    <s v="NO TIENE L3OUT"/>
    <n v="4"/>
    <n v="54"/>
  </r>
  <r>
    <n v="603"/>
    <x v="1"/>
    <x v="50"/>
    <s v="eth1/22"/>
    <x v="0"/>
    <x v="1"/>
    <x v="3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22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22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22"/>
    <x v="0"/>
    <x v="0"/>
    <x v="0"/>
    <s v="Server_Pre-R02-CBS-RH2288-06"/>
    <x v="0"/>
    <b v="0"/>
    <s v="No está en VPC"/>
    <n v="730"/>
    <s v="INTPG_ACC_730_1.22"/>
    <s v="ISEL-1.22"/>
    <n v="1"/>
    <s v="NO TIENE L3OUT"/>
    <n v="36"/>
    <n v="54"/>
  </r>
  <r>
    <n v="722"/>
    <x v="2"/>
    <x v="54"/>
    <s v="eth1/22"/>
    <x v="0"/>
    <x v="0"/>
    <x v="0"/>
    <m/>
    <x v="0"/>
    <b v="0"/>
    <s v="No está en VPC"/>
    <n v="722"/>
    <s v="INTPG-VPC_HDD110_723_1.21_722_1.22"/>
    <s v="ISEL-1.22"/>
    <n v="1"/>
    <s v="NO TIENE L3OUT"/>
    <n v="0"/>
    <n v="54"/>
  </r>
  <r>
    <n v="733"/>
    <x v="2"/>
    <x v="55"/>
    <s v="eth1/22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22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22"/>
    <x v="0"/>
    <x v="0"/>
    <x v="0"/>
    <m/>
    <x v="0"/>
    <b v="0"/>
    <s v="No está en VPC"/>
    <n v="748"/>
    <s v="INTPG_ACC_748_1.22"/>
    <s v="ISEL-1.22"/>
    <n v="0"/>
    <s v="NO TIENE L3OUT"/>
    <n v="2"/>
    <n v="54"/>
  </r>
  <r>
    <n v="756"/>
    <x v="2"/>
    <x v="58"/>
    <s v="eth1/22"/>
    <x v="0"/>
    <x v="0"/>
    <x v="0"/>
    <s v="OSS F1:ithenmr06e1r9b:Bay2/X2"/>
    <x v="0"/>
    <b v="0"/>
    <s v="No está en VPC"/>
    <n v="756"/>
    <s v="INTPG_PC_756_1.21-22"/>
    <s v="ISEL-1.22"/>
    <n v="8"/>
    <s v="NO TIENE L3OUT"/>
    <n v="64"/>
    <n v="54"/>
  </r>
  <r>
    <n v="754"/>
    <x v="2"/>
    <x v="59"/>
    <s v="eth1/22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22"/>
    <x v="0"/>
    <x v="0"/>
    <x v="0"/>
    <m/>
    <x v="0"/>
    <b v="0"/>
    <s v="No está en VPC"/>
    <n v="751"/>
    <s v="INTPG_ACC_751_1.22"/>
    <s v="ISEL-1.22"/>
    <n v="0"/>
    <s v="NO TIENE L3OUT"/>
    <n v="0"/>
    <n v="54"/>
  </r>
  <r>
    <n v="769"/>
    <x v="2"/>
    <x v="61"/>
    <s v="eth1/22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22"/>
    <x v="0"/>
    <x v="0"/>
    <x v="0"/>
    <s v="CEM:ITHCEMB2AKF11:SLOT1 P1"/>
    <x v="5"/>
    <b v="0"/>
    <s v="No está en VPC"/>
    <n v="742"/>
    <s v="INTPG_ACC_742_1.22"/>
    <s v="ISEL-1.22"/>
    <n v="1"/>
    <s v="NO TIENE L3OUT"/>
    <n v="64"/>
    <n v="54"/>
  </r>
  <r>
    <n v="763"/>
    <x v="2"/>
    <x v="63"/>
    <s v="eth1/22"/>
    <x v="0"/>
    <x v="0"/>
    <x v="0"/>
    <s v="PAAS:ithhwosstpap007:FlexIO.1"/>
    <x v="0"/>
    <b v="0"/>
    <s v="No está en VPC"/>
    <n v="763"/>
    <s v="INTPG_VPC_762_1.22_763_1.22"/>
    <s v="ISEL-1.22"/>
    <n v="15"/>
    <s v="NO TIENE L3OUT"/>
    <n v="2"/>
    <n v="54"/>
  </r>
  <r>
    <n v="766"/>
    <x v="2"/>
    <x v="64"/>
    <s v="eth1/22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22"/>
    <x v="0"/>
    <x v="0"/>
    <x v="0"/>
    <s v="TO-9S_BESDR_IXTLA3_1"/>
    <x v="0"/>
    <b v="0"/>
    <s v="No está en VPC"/>
    <n v="760"/>
    <s v="INTPG_VPC_760_1.21-24_761_1.21-24"/>
    <s v="ISEL-1.22"/>
    <n v="33"/>
    <s v="NO TIENE L3OUT"/>
    <n v="0"/>
    <n v="54"/>
  </r>
  <r>
    <n v="752"/>
    <x v="2"/>
    <x v="66"/>
    <s v="eth1/22"/>
    <x v="0"/>
    <x v="0"/>
    <x v="0"/>
    <s v="PAAS:ithhwosstpap007:LOM PORT 1"/>
    <x v="0"/>
    <b v="0"/>
    <s v="No está en VPC"/>
    <n v="752"/>
    <s v="INTPG_VPC_747_1.22_752_1.22"/>
    <s v="ISEL-1.22"/>
    <n v="25"/>
    <s v="NO TIENE L3OUT"/>
    <n v="0"/>
    <n v="54"/>
  </r>
  <r>
    <n v="765"/>
    <x v="2"/>
    <x v="67"/>
    <s v="eth1/22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22"/>
    <x v="0"/>
    <x v="0"/>
    <x v="0"/>
    <s v="VERITAS:ITHFVEAPCNBST02 :10GbE"/>
    <x v="0"/>
    <b v="0"/>
    <s v="No está en VPC"/>
    <n v="778"/>
    <s v="INTPG_VPC_778_1.22_33_779_1.22_33"/>
    <s v="ISEL-1.22"/>
    <n v="2"/>
    <s v="NO TIENE L3OUT"/>
    <n v="26"/>
    <n v="54"/>
  </r>
  <r>
    <n v="780"/>
    <x v="2"/>
    <x v="69"/>
    <s v="eth1/22"/>
    <x v="0"/>
    <x v="0"/>
    <x v="0"/>
    <s v="CLOUD OPS:ithhwcop02en01:2X P1"/>
    <x v="0"/>
    <b v="0"/>
    <s v="No está en VPC"/>
    <n v="780"/>
    <s v="INTPG_VPC_780_1.22-25_781_1.22-25"/>
    <s v="ISEL-1.22"/>
    <n v="23"/>
    <s v="NO TIENE L3OUT"/>
    <n v="26"/>
    <n v="54"/>
  </r>
  <r>
    <n v="812"/>
    <x v="2"/>
    <x v="70"/>
    <s v="eth1/22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22"/>
    <x v="0"/>
    <x v="0"/>
    <x v="0"/>
    <s v="TO-ITHFHWDCIMLAP01-Redundante"/>
    <x v="0"/>
    <b v="0"/>
    <s v="No está en VPC"/>
    <n v="796"/>
    <s v="INTPG_ACC_796_1.22"/>
    <s v="ISEL-1.22"/>
    <n v="1"/>
    <s v="NO TIENE L3OUT"/>
    <n v="18"/>
    <n v="54"/>
  </r>
  <r>
    <n v="795"/>
    <x v="2"/>
    <x v="72"/>
    <s v="eth1/22"/>
    <x v="0"/>
    <x v="0"/>
    <x v="0"/>
    <s v="TO-ITHFHWDCIMLAP01-Principal"/>
    <x v="0"/>
    <b v="0"/>
    <s v="No está en VPC"/>
    <n v="795"/>
    <s v="INTPG_ACC_795_1.22"/>
    <s v="ISEL-1.22"/>
    <n v="1"/>
    <s v="NO TIENE L3OUT"/>
    <n v="18"/>
    <n v="54"/>
  </r>
  <r>
    <n v="749"/>
    <x v="2"/>
    <x v="73"/>
    <s v="eth1/22"/>
    <x v="0"/>
    <x v="0"/>
    <x v="0"/>
    <m/>
    <x v="0"/>
    <b v="0"/>
    <s v="No está en VPC"/>
    <n v="749"/>
    <s v="INTPG_ACC_749_1.22"/>
    <s v="ISEL-1.22"/>
    <n v="0"/>
    <s v="NO TIENE L3OUT"/>
    <n v="4"/>
    <n v="54"/>
  </r>
  <r>
    <n v="824"/>
    <x v="2"/>
    <x v="74"/>
    <s v="eth1/22"/>
    <x v="0"/>
    <x v="0"/>
    <x v="0"/>
    <s v="LINK_TO_ITHFHWCMVWPMA12 /Slot6.2 /Redundante"/>
    <x v="0"/>
    <b v="0"/>
    <s v="No está en VPC"/>
    <n v="824"/>
    <s v="INTPG_ACC_824_1.22"/>
    <s v="ISEL-1.22"/>
    <n v="1"/>
    <s v="NO TIENE L3OUT"/>
    <n v="70"/>
    <n v="54"/>
  </r>
  <r>
    <n v="819"/>
    <x v="2"/>
    <x v="75"/>
    <s v="eth1/22"/>
    <x v="0"/>
    <x v="0"/>
    <x v="0"/>
    <s v="LINK_TO_ITHFHWCMVWPMA12 /Slot4.2 /Principal"/>
    <x v="0"/>
    <b v="0"/>
    <s v="No está en VPC"/>
    <n v="819"/>
    <s v="INTPG_ACC_819_1.22"/>
    <s v="ISEL-1.22"/>
    <n v="1"/>
    <s v="NO TIENE L3OUT"/>
    <n v="70"/>
    <n v="54"/>
  </r>
  <r>
    <n v="737"/>
    <x v="2"/>
    <x v="76"/>
    <s v="eth1/22"/>
    <x v="0"/>
    <x v="0"/>
    <x v="0"/>
    <s v="CEM:ITHCEME2RTB11:SLOT1 P1"/>
    <x v="5"/>
    <b v="0"/>
    <s v="No está en VPC"/>
    <n v="737"/>
    <s v="INTPG_ACC_737_1.22"/>
    <s v="ISEL-1.22"/>
    <n v="1"/>
    <s v="NO TIENE L3OUT"/>
    <n v="72"/>
    <n v="54"/>
  </r>
  <r>
    <n v="844"/>
    <x v="2"/>
    <x v="77"/>
    <s v="eth1/22"/>
    <x v="0"/>
    <x v="0"/>
    <x v="0"/>
    <s v="LINK_TO_ITHFHWCRMPLCN108 / Slot1.1_20 / Principal"/>
    <x v="0"/>
    <b v="0"/>
    <s v="No está en VPC"/>
    <n v="844"/>
    <s v="INTPG_ACC_844_1.22"/>
    <s v="ISEL-1.22"/>
    <n v="6"/>
    <s v="NO TIENE L3OUT"/>
    <n v="282"/>
    <n v="54"/>
  </r>
  <r>
    <n v="843"/>
    <x v="2"/>
    <x v="78"/>
    <s v="eth1/22"/>
    <x v="0"/>
    <x v="0"/>
    <x v="0"/>
    <s v="LINK_To_ITHFHWCBSPSWR42 / Slot7.2_28 / Redundante"/>
    <x v="0"/>
    <b v="0"/>
    <s v="No está en VPC"/>
    <n v="843"/>
    <s v="INTPG_VPC_838_1.22_843_1.22"/>
    <s v="ISEL-1.22"/>
    <n v="1"/>
    <s v="NO TIENE L3OUT"/>
    <n v="38"/>
    <n v="54"/>
  </r>
  <r>
    <n v="797"/>
    <x v="2"/>
    <x v="79"/>
    <s v="eth1/22"/>
    <x v="0"/>
    <x v="0"/>
    <x v="0"/>
    <s v="TO-HDPS_24-MSP"/>
    <x v="0"/>
    <b v="0"/>
    <s v="No está en VPC"/>
    <n v="797"/>
    <s v="INTPG_ACC_797_1.22"/>
    <s v="ISEL-1.22"/>
    <n v="1"/>
    <s v="NO TIENE L3OUT"/>
    <n v="48"/>
    <n v="54"/>
  </r>
  <r>
    <n v="839"/>
    <x v="2"/>
    <x v="80"/>
    <s v="eth1/22"/>
    <x v="0"/>
    <x v="0"/>
    <x v="0"/>
    <s v="LINK_TO_ITHFHWCBSPSHD37 / Slot7.1_12 / Redundante"/>
    <x v="0"/>
    <b v="0"/>
    <s v="No está en VPC"/>
    <n v="839"/>
    <s v="INTPG_VPC_834_1.22_839_1.22"/>
    <s v="ISEL-1.22"/>
    <n v="2"/>
    <s v="NO TIENE L3OUT"/>
    <n v="0"/>
    <n v="54"/>
  </r>
  <r>
    <n v="847"/>
    <x v="2"/>
    <x v="81"/>
    <s v="eth1/22"/>
    <x v="0"/>
    <x v="0"/>
    <x v="0"/>
    <s v="LINK_TO_ITHFHWCRMPLCN172 / Slot7.3_14 / Redundante"/>
    <x v="0"/>
    <b v="0"/>
    <s v="No está en VPC"/>
    <n v="847"/>
    <s v="INTPG_ACC_847_1.22"/>
    <s v="ISEL-1.22"/>
    <n v="1"/>
    <s v="NO TIENE L3OUT"/>
    <n v="204"/>
    <n v="54"/>
  </r>
  <r>
    <n v="848"/>
    <x v="2"/>
    <x v="82"/>
    <s v="eth1/22"/>
    <x v="0"/>
    <x v="0"/>
    <x v="0"/>
    <s v="LINK_TO_ITHFHWCRMPLCN161 / Slot7.3_24 / Redundante"/>
    <x v="0"/>
    <b v="0"/>
    <s v="No está en VPC"/>
    <n v="848"/>
    <s v="INTPG_ACC_848_1.22"/>
    <s v="ISEL-1.22"/>
    <n v="1"/>
    <s v="NO TIENE L3OUT"/>
    <n v="254"/>
    <n v="54"/>
  </r>
  <r>
    <n v="846"/>
    <x v="2"/>
    <x v="83"/>
    <s v="eth1/22"/>
    <x v="0"/>
    <x v="0"/>
    <x v="0"/>
    <s v="LINK_TO_ITHFHWCRMPLCN79 / Slot1.1_16 / Principal"/>
    <x v="0"/>
    <b v="0"/>
    <s v="No está en VPC"/>
    <n v="846"/>
    <s v="INTPG_ACC_846_1.22"/>
    <s v="ISEL-1.22"/>
    <n v="6"/>
    <s v="NO TIENE L3OUT"/>
    <n v="242"/>
    <n v="54"/>
  </r>
  <r>
    <n v="838"/>
    <x v="2"/>
    <x v="84"/>
    <s v="eth1/22"/>
    <x v="0"/>
    <x v="0"/>
    <x v="0"/>
    <s v="LINK_To_ITHFHWCBSPSWR42 / Slot1.2_28 / Principal"/>
    <x v="0"/>
    <b v="0"/>
    <s v="No está en VPC"/>
    <n v="838"/>
    <s v="INTPG_VPC_838_1.22_843_1.22"/>
    <s v="ISEL-1.22"/>
    <n v="1"/>
    <s v="NO TIENE L3OUT"/>
    <n v="38"/>
    <n v="54"/>
  </r>
  <r>
    <n v="849"/>
    <x v="2"/>
    <x v="85"/>
    <s v="eth1/22"/>
    <x v="0"/>
    <x v="0"/>
    <x v="0"/>
    <s v="LINK_TO_ITHFHWCRMPLCN141 / Slot7.3_16 / Redundante"/>
    <x v="0"/>
    <b v="0"/>
    <s v="No está en VPC"/>
    <n v="849"/>
    <s v="INTPG_ACC_849_1.22"/>
    <s v="ISEL-1.22"/>
    <n v="1"/>
    <s v="NO TIENE L3OUT"/>
    <n v="286"/>
    <n v="54"/>
  </r>
  <r>
    <n v="845"/>
    <x v="2"/>
    <x v="86"/>
    <s v="eth1/22"/>
    <x v="0"/>
    <x v="0"/>
    <x v="0"/>
    <s v="LINK_TO_ITHFHWCRMPLCN91 / Slot1.2_14 / Principal"/>
    <x v="0"/>
    <b v="0"/>
    <s v="No está en VPC"/>
    <n v="845"/>
    <s v="INTPG_ACC_845_1.22"/>
    <s v="ISEL-1.22"/>
    <n v="2"/>
    <s v="NO TIENE L3OUT"/>
    <n v="258"/>
    <n v="54"/>
  </r>
  <r>
    <n v="873"/>
    <x v="2"/>
    <x v="87"/>
    <s v="eth1/22"/>
    <x v="0"/>
    <x v="0"/>
    <x v="0"/>
    <s v="TO_ITHFHWCRMDLCN60_Principal"/>
    <x v="0"/>
    <b v="0"/>
    <s v="No está en VPC"/>
    <n v="873"/>
    <s v="INTPG_ACC_873_1.22"/>
    <s v="ISEL-1.22"/>
    <n v="2"/>
    <s v="NO TIENE L3OUT"/>
    <n v="248"/>
    <n v="54"/>
  </r>
  <r>
    <n v="864"/>
    <x v="2"/>
    <x v="88"/>
    <s v="eth1/22"/>
    <x v="0"/>
    <x v="0"/>
    <x v="0"/>
    <s v="To_VPC_2DCBSD_WR43_1"/>
    <x v="0"/>
    <b v="0"/>
    <s v="No está en VPC"/>
    <n v="864"/>
    <s v="INTPG_VPC_859_1.22_864_1.22"/>
    <s v="ISEL-1.22"/>
    <n v="2"/>
    <s v="NO TIENE L3OUT"/>
    <n v="0"/>
    <n v="54"/>
  </r>
  <r>
    <n v="836"/>
    <x v="2"/>
    <x v="89"/>
    <s v="eth1/22"/>
    <x v="0"/>
    <x v="0"/>
    <x v="0"/>
    <s v="LINK_TO_ITHFHWCBSPSWR52 / Slot1.3_32 / Principal"/>
    <x v="0"/>
    <b v="0"/>
    <s v="No está en VPC"/>
    <n v="836"/>
    <s v="INTPG_VPC_836_1.22_841_1.22"/>
    <s v="ISEL-1.22"/>
    <n v="1"/>
    <s v="NO TIENE L3OUT"/>
    <n v="0"/>
    <n v="54"/>
  </r>
  <r>
    <n v="834"/>
    <x v="2"/>
    <x v="90"/>
    <s v="eth1/22"/>
    <x v="0"/>
    <x v="0"/>
    <x v="0"/>
    <s v="LINK_TO_ITHFHWCBSPSHD37 / Slot1.1_12 / Principal"/>
    <x v="0"/>
    <b v="0"/>
    <s v="No está en VPC"/>
    <n v="834"/>
    <s v="INTPG_VPC_834_1.22_839_1.22"/>
    <s v="ISEL-1.22"/>
    <n v="2"/>
    <s v="NO TIENE L3OUT"/>
    <n v="0"/>
    <n v="54"/>
  </r>
  <r>
    <n v="872"/>
    <x v="2"/>
    <x v="91"/>
    <s v="eth1/22"/>
    <x v="0"/>
    <x v="0"/>
    <x v="0"/>
    <s v="To_ITHFHWCRMDLCN76_Principal"/>
    <x v="0"/>
    <b v="0"/>
    <s v="No está en VPC"/>
    <n v="872"/>
    <s v="INTPG_ACC_872_1.22"/>
    <s v="ISEL-1.22"/>
    <n v="2"/>
    <s v="NO TIENE L3OUT"/>
    <n v="288"/>
    <n v="54"/>
  </r>
  <r>
    <n v="842"/>
    <x v="2"/>
    <x v="92"/>
    <s v="eth1/22"/>
    <x v="0"/>
    <x v="0"/>
    <x v="0"/>
    <s v="LINK_TO_ITHFHWCBSPSWR46 / Slot7.3_28 / Redundante"/>
    <x v="0"/>
    <b v="0"/>
    <s v="No está en VPC"/>
    <n v="842"/>
    <s v="INTPG_VPC_837_1.22_842_1.22"/>
    <s v="ISEL-1.22"/>
    <n v="1"/>
    <s v="NO TIENE L3OUT"/>
    <n v="8"/>
    <n v="54"/>
  </r>
  <r>
    <n v="828"/>
    <x v="2"/>
    <x v="93"/>
    <s v="eth1/22"/>
    <x v="0"/>
    <x v="0"/>
    <x v="0"/>
    <s v="LINK_TO_ITHFHWCRMDLCN22 /Slot4.2 /Principal"/>
    <x v="0"/>
    <b v="0"/>
    <s v="No está en VPC"/>
    <n v="828"/>
    <s v="INTPG_ACC_828_1.22"/>
    <s v="ISEL-1.22"/>
    <n v="1"/>
    <s v="NO TIENE L3OUT"/>
    <n v="192"/>
    <n v="54"/>
  </r>
  <r>
    <n v="870"/>
    <x v="2"/>
    <x v="94"/>
    <s v="eth1/22"/>
    <x v="0"/>
    <x v="0"/>
    <x v="0"/>
    <s v="TO_ITHFHWCRMDLCN60_Redundante"/>
    <x v="0"/>
    <b v="0"/>
    <s v="No está en VPC"/>
    <n v="870"/>
    <s v="INTPG_ACC_870_1.22"/>
    <s v="ISEL-1.22"/>
    <n v="2"/>
    <s v="NO TIENE L3OUT"/>
    <n v="248"/>
    <n v="54"/>
  </r>
  <r>
    <n v="866"/>
    <x v="2"/>
    <x v="95"/>
    <s v="eth1/22"/>
    <x v="0"/>
    <x v="0"/>
    <x v="0"/>
    <s v="To_VPC_2DCBSD_HD23_3"/>
    <x v="0"/>
    <b v="0"/>
    <s v="No está en VPC"/>
    <n v="866"/>
    <s v="INTPG_VPC_861_1.22_866_1.22"/>
    <s v="ISEL-1.22"/>
    <n v="1"/>
    <s v="NO TIENE L3OUT"/>
    <n v="8"/>
    <n v="54"/>
  </r>
  <r>
    <n v="862"/>
    <x v="2"/>
    <x v="96"/>
    <s v="eth1/22"/>
    <x v="0"/>
    <x v="0"/>
    <x v="0"/>
    <s v="TO-9S_BESDR_IXTLA3_1"/>
    <x v="0"/>
    <b v="0"/>
    <s v="No está en VPC"/>
    <n v="862"/>
    <s v="INTPG_VPC_862_1.20-23_867_1.20-23"/>
    <s v="ISEL-1.22"/>
    <n v="25"/>
    <s v="NO TIENE L3OUT"/>
    <n v="44"/>
    <n v="54"/>
  </r>
  <r>
    <n v="855"/>
    <x v="2"/>
    <x v="97"/>
    <s v="eth1/22"/>
    <x v="0"/>
    <x v="0"/>
    <x v="0"/>
    <s v="LINK_TO_ITHFHWCRMPLCN161 / Slot1.3_24 / Principal"/>
    <x v="0"/>
    <b v="0"/>
    <s v="No está en VPC"/>
    <n v="855"/>
    <s v="INTPG_ACC_855_1.22"/>
    <s v="ISEL-1.22"/>
    <n v="1"/>
    <s v="NO TIENE L3OUT"/>
    <n v="254"/>
    <n v="54"/>
  </r>
  <r>
    <n v="871"/>
    <x v="2"/>
    <x v="98"/>
    <s v="eth1/22"/>
    <x v="0"/>
    <x v="0"/>
    <x v="0"/>
    <s v="To_VPC_2DCRMD_SBD10_1"/>
    <x v="0"/>
    <b v="0"/>
    <s v="No está en VPC"/>
    <n v="871"/>
    <s v="INTPG_VPC_868_1.22_871_1.22"/>
    <s v="ISEL-1.22"/>
    <n v="6"/>
    <s v="NO TIENE L3OUT"/>
    <n v="246"/>
    <n v="54"/>
  </r>
  <r>
    <n v="841"/>
    <x v="2"/>
    <x v="99"/>
    <s v="eth1/22"/>
    <x v="0"/>
    <x v="0"/>
    <x v="0"/>
    <s v="LINK_TO_ITHFHWCBSPSWR52 / Slot7.3_32 / Redundante"/>
    <x v="0"/>
    <b v="0"/>
    <s v="No está en VPC"/>
    <n v="841"/>
    <s v="INTPG_VPC_836_1.22_841_1.22"/>
    <s v="ISEL-1.22"/>
    <n v="1"/>
    <s v="NO TIENE L3OUT"/>
    <n v="0"/>
    <n v="54"/>
  </r>
  <r>
    <n v="868"/>
    <x v="2"/>
    <x v="100"/>
    <s v="eth1/22"/>
    <x v="0"/>
    <x v="0"/>
    <x v="0"/>
    <s v="To_VPC_2DCRMD_SBD10_1"/>
    <x v="0"/>
    <b v="0"/>
    <s v="No está en VPC"/>
    <n v="868"/>
    <s v="INTPG_VPC_868_1.22_871_1.22"/>
    <s v="ISEL-1.22"/>
    <n v="6"/>
    <s v="NO TIENE L3OUT"/>
    <n v="246"/>
    <n v="54"/>
  </r>
  <r>
    <n v="869"/>
    <x v="2"/>
    <x v="101"/>
    <s v="eth1/22"/>
    <x v="0"/>
    <x v="0"/>
    <x v="0"/>
    <s v="To_ITHFHWCRMDLCN76_Redundante"/>
    <x v="0"/>
    <b v="0"/>
    <s v="No está en VPC"/>
    <n v="869"/>
    <s v="INTPG_ACC_869_1.22"/>
    <s v="ISEL-1.22"/>
    <n v="2"/>
    <s v="NO TIENE L3OUT"/>
    <n v="288"/>
    <n v="54"/>
  </r>
  <r>
    <n v="861"/>
    <x v="2"/>
    <x v="102"/>
    <s v="eth1/22"/>
    <x v="0"/>
    <x v="0"/>
    <x v="0"/>
    <s v="To_VPC_2DCBSD_HD23_3"/>
    <x v="0"/>
    <b v="0"/>
    <s v="No está en VPC"/>
    <n v="861"/>
    <s v="INTPG_VPC_861_1.22_866_1.22"/>
    <s v="ISEL-1.22"/>
    <n v="1"/>
    <s v="NO TIENE L3OUT"/>
    <n v="8"/>
    <n v="54"/>
  </r>
  <r>
    <n v="874"/>
    <x v="2"/>
    <x v="103"/>
    <s v="eth1/22"/>
    <x v="0"/>
    <x v="0"/>
    <x v="0"/>
    <s v="A_ITHFHWSEQLCAS21_Redundante"/>
    <x v="4"/>
    <b v="0"/>
    <s v="No está en VPC"/>
    <n v="874"/>
    <s v="INTPG_ACC_874_1.22"/>
    <s v="ISEL-1.22"/>
    <n v="1"/>
    <s v="NO TIENE L3OUT"/>
    <n v="92"/>
    <n v="54"/>
  </r>
  <r>
    <n v="865"/>
    <x v="2"/>
    <x v="104"/>
    <s v="eth1/22"/>
    <x v="0"/>
    <x v="0"/>
    <x v="0"/>
    <s v="To_VPC_2DCBSD_HD30_1"/>
    <x v="0"/>
    <b v="0"/>
    <s v="No está en VPC"/>
    <n v="865"/>
    <s v="INTPG_VPC_860_1.22_865_1.22"/>
    <s v="ISEL-1.22"/>
    <n v="2"/>
    <s v="NO TIENE L3OUT"/>
    <n v="0"/>
    <n v="54"/>
  </r>
  <r>
    <n v="753"/>
    <x v="2"/>
    <x v="105"/>
    <s v="eth1/22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22"/>
    <x v="0"/>
    <x v="1"/>
    <x v="5"/>
    <s v="CEM:ITHCEME2RTB11:LOM  P2"/>
    <x v="0"/>
    <b v="0"/>
    <s v="No está en VPC"/>
    <n v="708"/>
    <s v="INTPG_VPC_708_1.22_709_1.21"/>
    <s v="ISEL-1.22"/>
    <n v="1"/>
    <s v="NO TIENE L3OUT"/>
    <n v="0"/>
    <n v="54"/>
  </r>
  <r>
    <n v="710"/>
    <x v="2"/>
    <x v="107"/>
    <s v="eth1/22"/>
    <x v="0"/>
    <x v="1"/>
    <x v="5"/>
    <s v="CEM:ITHCEMC2AKF11:LOM  P2"/>
    <x v="0"/>
    <b v="0"/>
    <s v="No está en VPC"/>
    <n v="710"/>
    <s v="INTPG_VPC_710_1.22_711_1.21"/>
    <s v="ISEL-1.22"/>
    <n v="1"/>
    <s v="NO TIENE L3OUT"/>
    <n v="16"/>
    <n v="54"/>
  </r>
  <r>
    <n v="713"/>
    <x v="2"/>
    <x v="108"/>
    <s v="eth1/22"/>
    <x v="0"/>
    <x v="1"/>
    <x v="5"/>
    <s v="CEM:ITHCEMB2ADT11:LOM  P2"/>
    <x v="0"/>
    <b v="0"/>
    <s v="No está en VPC"/>
    <n v="713"/>
    <s v="INTPG_VPC_712_1.21_713_1.22"/>
    <s v="ISEL-1.22"/>
    <n v="1"/>
    <s v="NO TIENE L3OUT"/>
    <n v="32"/>
    <n v="54"/>
  </r>
  <r>
    <n v="735"/>
    <x v="2"/>
    <x v="109"/>
    <s v="eth1/22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22"/>
    <x v="0"/>
    <x v="0"/>
    <x v="0"/>
    <s v="Server_Pre-R02-CBS-RH2288-06"/>
    <x v="0"/>
    <b v="0"/>
    <s v="No está en VPC"/>
    <n v="731"/>
    <s v="INTPG_ACC_731_1.22"/>
    <s v="ISEL-1.22"/>
    <n v="1"/>
    <s v="NO TIENE L3OUT"/>
    <n v="38"/>
    <n v="54"/>
  </r>
  <r>
    <n v="703"/>
    <x v="2"/>
    <x v="111"/>
    <s v="eth1/22"/>
    <x v="0"/>
    <x v="0"/>
    <x v="0"/>
    <m/>
    <x v="0"/>
    <b v="0"/>
    <s v="No está en VPC"/>
    <n v="703"/>
    <s v="INTPG_VPC_704_1.21_703_1.22"/>
    <s v="ISEL-1.22"/>
    <n v="1"/>
    <s v="NO TIENE L3OUT"/>
    <n v="2"/>
    <n v="54"/>
  </r>
  <r>
    <n v="706"/>
    <x v="2"/>
    <x v="112"/>
    <s v="eth1/22"/>
    <x v="0"/>
    <x v="0"/>
    <x v="0"/>
    <m/>
    <x v="0"/>
    <b v="0"/>
    <s v="No está en VPC"/>
    <n v="706"/>
    <s v="INTPG_VPC_705_1.21_706_1.22"/>
    <s v="ISEL-1.22"/>
    <n v="1"/>
    <s v="NO TIENE L3OUT"/>
    <n v="16"/>
    <n v="54"/>
  </r>
  <r>
    <n v="762"/>
    <x v="2"/>
    <x v="113"/>
    <s v="eth1/22"/>
    <x v="0"/>
    <x v="0"/>
    <x v="0"/>
    <s v="PAAS:ithhwosstpap007:LOM PORT 3"/>
    <x v="0"/>
    <b v="0"/>
    <s v="No está en VPC"/>
    <n v="762"/>
    <s v="INTPG_VPC_762_1.22_763_1.22"/>
    <s v="ISEL-1.22"/>
    <n v="15"/>
    <s v="NO TIENE L3OUT"/>
    <n v="0"/>
    <n v="54"/>
  </r>
  <r>
    <n v="814"/>
    <x v="2"/>
    <x v="114"/>
    <s v="eth1/22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22"/>
    <x v="0"/>
    <x v="0"/>
    <x v="0"/>
    <s v="HACIA_MGMT-OSCP-F4-14_SECUNDARIO"/>
    <x v="4"/>
    <b v="0"/>
    <s v="No está en VPC"/>
    <n v="878"/>
    <s v="INTPG_VPC_878_1.22_879_1.22"/>
    <s v="ISEL-1.22"/>
    <n v="1"/>
    <s v="NO TIENE L3OUT"/>
    <n v="0"/>
    <n v="54"/>
  </r>
  <r>
    <n v="826"/>
    <x v="2"/>
    <x v="116"/>
    <s v="eth1/22"/>
    <x v="0"/>
    <x v="0"/>
    <x v="0"/>
    <s v="LINK_TO_ITHFHWCBSDSHD17 /Slot5.2 /Principal"/>
    <x v="0"/>
    <b v="0"/>
    <s v="No está en VPC"/>
    <n v="826"/>
    <s v="INTPG_VPC_826_1.22_830_1.22"/>
    <s v="ISEL-1.22"/>
    <n v="2"/>
    <s v="NO TIENE L3OUT"/>
    <n v="12"/>
    <n v="54"/>
  </r>
  <r>
    <n v="726"/>
    <x v="2"/>
    <x v="117"/>
    <s v="eth1/22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22"/>
    <x v="0"/>
    <x v="0"/>
    <x v="0"/>
    <s v="CEM:ITHCEMD2AKF11:SLOT1 P1"/>
    <x v="5"/>
    <b v="0"/>
    <s v="No está en VPC"/>
    <n v="740"/>
    <s v="INTPG_ACC_740_1.22"/>
    <s v="ISEL-1.22"/>
    <n v="1"/>
    <s v="NO TIENE L3OUT"/>
    <n v="72"/>
    <n v="54"/>
  </r>
  <r>
    <n v="705"/>
    <x v="2"/>
    <x v="119"/>
    <s v="eth1/22"/>
    <x v="0"/>
    <x v="1"/>
    <x v="5"/>
    <s v="CEM_ITHCEMA1OAM11"/>
    <x v="0"/>
    <b v="0"/>
    <s v="No está en VPC"/>
    <n v="705"/>
    <s v="INTPG_VPC_705_1.22_706_1.21"/>
    <s v="ISEL-1.22"/>
    <n v="1"/>
    <s v="NO TIENE L3OUT"/>
    <n v="16"/>
    <n v="54"/>
  </r>
  <r>
    <n v="723"/>
    <x v="2"/>
    <x v="120"/>
    <s v="eth1/22"/>
    <x v="0"/>
    <x v="0"/>
    <x v="0"/>
    <m/>
    <x v="0"/>
    <b v="0"/>
    <s v="No está en VPC"/>
    <n v="723"/>
    <s v="INTPG-VPC_HDD123_722_1.21_723_1.22"/>
    <s v="ISEL-1.22"/>
    <n v="1"/>
    <s v="NO TIENE L3OUT"/>
    <n v="0"/>
    <n v="54"/>
  </r>
  <r>
    <n v="721"/>
    <x v="2"/>
    <x v="121"/>
    <s v="eth1/22"/>
    <x v="0"/>
    <x v="0"/>
    <x v="0"/>
    <s v="ITHORNG1DAT11_SLOT 4 P1"/>
    <x v="0"/>
    <b v="0"/>
    <s v="No está en VPC"/>
    <n v="721"/>
    <s v="INTPG_ACC_721_1.22"/>
    <s v="ISEL-1.22"/>
    <n v="2"/>
    <s v="NO TIENE L3OUT"/>
    <n v="20"/>
    <n v="54"/>
  </r>
  <r>
    <n v="788"/>
    <x v="2"/>
    <x v="122"/>
    <s v="eth1/22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22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22"/>
    <x v="0"/>
    <x v="0"/>
    <x v="0"/>
    <m/>
    <x v="0"/>
    <b v="0"/>
    <s v="No está en VPC"/>
    <n v="720"/>
    <s v="INTPG-VPC_CMY02_719_1.21_720_1.22"/>
    <s v="ISEL-1.22"/>
    <n v="1"/>
    <s v="NO TIENE L3OUT"/>
    <n v="0"/>
    <n v="54"/>
  </r>
  <r>
    <n v="709"/>
    <x v="2"/>
    <x v="125"/>
    <s v="eth1/22"/>
    <x v="0"/>
    <x v="1"/>
    <x v="5"/>
    <s v="CEM:ITHCEMF2RTB11:LOM  P2"/>
    <x v="0"/>
    <b v="0"/>
    <s v="No está en VPC"/>
    <n v="709"/>
    <s v="INTPG_VPC_708_1.21_709_1.22"/>
    <s v="ISEL-1.22"/>
    <n v="1"/>
    <s v="NO TIENE L3OUT"/>
    <n v="0"/>
    <n v="54"/>
  </r>
  <r>
    <n v="454"/>
    <x v="1"/>
    <x v="126"/>
    <s v="eth1/22"/>
    <x v="0"/>
    <x v="0"/>
    <x v="0"/>
    <s v="HACIA_MGMT-OSCP-F4-02_PRINCIPAL"/>
    <x v="4"/>
    <b v="0"/>
    <s v="No está en VPC"/>
    <n v="454"/>
    <s v="INTPG_VPC_454_1.22_456_1.22"/>
    <s v="ISEL-1.22"/>
    <n v="1"/>
    <s v="NO TIENE L3OUT"/>
    <n v="4"/>
    <n v="54"/>
  </r>
  <r>
    <n v="734"/>
    <x v="2"/>
    <x v="127"/>
    <s v="eth1/22"/>
    <x v="0"/>
    <x v="0"/>
    <x v="0"/>
    <s v="CEM:ITHCEMA1OAM11:SLOT1 P1"/>
    <x v="5"/>
    <b v="0"/>
    <s v="No está en VPC"/>
    <n v="734"/>
    <s v="INTPG_ACC_734_1.22"/>
    <s v="ISEL-1.22"/>
    <n v="1"/>
    <s v="NO TIENE L3OUT"/>
    <n v="32"/>
    <n v="54"/>
  </r>
  <r>
    <n v="815"/>
    <x v="2"/>
    <x v="128"/>
    <s v="eth1/22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22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22"/>
    <x v="0"/>
    <x v="0"/>
    <x v="0"/>
    <m/>
    <x v="0"/>
    <b v="0"/>
    <s v="No está en VPC"/>
    <n v="718"/>
    <s v="INTPG-VPC_KFK04_717_1.21_718_1.22"/>
    <s v="ISEL-1.22"/>
    <n v="1"/>
    <s v="NO TIENE L3OUT"/>
    <n v="0"/>
    <n v="54"/>
  </r>
  <r>
    <n v="744"/>
    <x v="2"/>
    <x v="131"/>
    <s v="eth1/22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22"/>
    <x v="0"/>
    <x v="0"/>
    <x v="0"/>
    <s v="CEM:ITHCEMA2AKF11:SLOT1 P1"/>
    <x v="5"/>
    <b v="0"/>
    <s v="No está en VPC"/>
    <n v="741"/>
    <s v="INTPG_ACC_741_1.22"/>
    <s v="ISEL-1.22"/>
    <n v="1"/>
    <s v="NO TIENE L3OUT"/>
    <n v="62"/>
    <n v="54"/>
  </r>
  <r>
    <n v="787"/>
    <x v="2"/>
    <x v="133"/>
    <s v="eth1/22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22"/>
    <x v="0"/>
    <x v="0"/>
    <x v="0"/>
    <m/>
    <x v="0"/>
    <b v="0"/>
    <s v="No está en VPC"/>
    <n v="750"/>
    <s v="INTPG_ACC_750_1.22"/>
    <s v="ISEL-1.22"/>
    <n v="0"/>
    <s v="NO TIENE L3OUT"/>
    <n v="2"/>
    <n v="54"/>
  </r>
  <r>
    <n v="792"/>
    <x v="2"/>
    <x v="135"/>
    <s v="eth1/22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22"/>
    <x v="0"/>
    <x v="0"/>
    <x v="0"/>
    <s v="ITHCEMG2APP18"/>
    <x v="0"/>
    <b v="0"/>
    <s v="No está en VPC"/>
    <n v="736"/>
    <s v="INTPG_ACC_736_1.22"/>
    <s v="ISEL-1.22"/>
    <n v="1"/>
    <s v="NO TIENE L3OUT"/>
    <n v="48"/>
    <n v="54"/>
  </r>
  <r>
    <n v="799"/>
    <x v="2"/>
    <x v="137"/>
    <s v="eth1/22"/>
    <x v="0"/>
    <x v="0"/>
    <x v="0"/>
    <s v="TO-IMC_PS10-MSP"/>
    <x v="0"/>
    <b v="0"/>
    <s v="No está en VPC"/>
    <n v="799"/>
    <s v="INTPG_ACC_799_1.22"/>
    <s v="ISEL-1.22"/>
    <n v="1"/>
    <s v="NO TIENE L3OUT"/>
    <n v="52"/>
    <n v="54"/>
  </r>
  <r>
    <n v="768"/>
    <x v="2"/>
    <x v="138"/>
    <s v="eth1/22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22"/>
    <x v="0"/>
    <x v="0"/>
    <x v="0"/>
    <m/>
    <x v="0"/>
    <b v="0"/>
    <s v="No está en VPC"/>
    <n v="714"/>
    <s v="INTPG-VPC_AFY01_721_1.21_714_1.22"/>
    <s v="ISEL-1.22"/>
    <n v="2"/>
    <s v="NO TIENE L3OUT"/>
    <n v="20"/>
    <n v="54"/>
  </r>
  <r>
    <n v="717"/>
    <x v="2"/>
    <x v="140"/>
    <s v="eth1/22"/>
    <x v="0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22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22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22"/>
    <x v="0"/>
    <x v="0"/>
    <x v="0"/>
    <s v="TO-ITHFHWRHV2LMGMT03"/>
    <x v="0"/>
    <b v="0"/>
    <s v="No está en VPC"/>
    <n v="783"/>
    <s v="INTPG_VPC_782_1.22-23_783_1.22-23"/>
    <s v="ISEL-1.22"/>
    <n v="2"/>
    <s v="NO TIENE L3OUT"/>
    <n v="26"/>
    <n v="54"/>
  </r>
  <r>
    <n v="774"/>
    <x v="2"/>
    <x v="144"/>
    <s v="eth1/22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22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22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22"/>
    <x v="0"/>
    <x v="0"/>
    <x v="0"/>
    <s v="TO-HDPS_48-MSP"/>
    <x v="0"/>
    <b v="0"/>
    <s v="No está en VPC"/>
    <n v="803"/>
    <s v="INTPG_ACC_803_1.22"/>
    <s v="ISEL-1.22"/>
    <n v="1"/>
    <s v="NO TIENE L3OUT"/>
    <n v="48"/>
    <n v="54"/>
  </r>
  <r>
    <n v="786"/>
    <x v="2"/>
    <x v="148"/>
    <s v="eth1/22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22"/>
    <x v="0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22"/>
    <x v="0"/>
    <x v="0"/>
    <x v="0"/>
    <s v="CLOUD OPS:ithhwcop02en01:2X P3"/>
    <x v="0"/>
    <b v="0"/>
    <s v="No está en VPC"/>
    <n v="781"/>
    <s v="INTPG_VPC_780_1.22-25_781_1.22-25"/>
    <s v="ISEL-1.22"/>
    <n v="23"/>
    <s v="NO TIENE L3OUT"/>
    <n v="26"/>
    <n v="54"/>
  </r>
  <r>
    <n v="793"/>
    <x v="2"/>
    <x v="151"/>
    <s v="eth1/22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22"/>
    <x v="0"/>
    <x v="0"/>
    <x v="0"/>
    <s v="PAAS:ithhwosstpap007:Slot6.1"/>
    <x v="0"/>
    <b v="0"/>
    <s v="No está en VPC"/>
    <n v="747"/>
    <s v="INTPG_VPC_747_1.22_752_1.22"/>
    <s v="ISEL-1.22"/>
    <n v="25"/>
    <s v="NO TIENE L3OUT"/>
    <n v="0"/>
    <n v="54"/>
  </r>
  <r>
    <n v="784"/>
    <x v="2"/>
    <x v="153"/>
    <s v="eth1/22"/>
    <x v="0"/>
    <x v="0"/>
    <x v="0"/>
    <s v="DIGITAL VIEW:ITHFHWDGVEAP03:Slot 3.1"/>
    <x v="0"/>
    <b v="0"/>
    <s v="No está en VPC"/>
    <n v="784"/>
    <s v="INTPG_VPC_784_1.22_785_1.22"/>
    <s v="ISEL-1.22"/>
    <n v="1"/>
    <s v="NO TIENE L3OUT"/>
    <n v="26"/>
    <n v="54"/>
  </r>
  <r>
    <n v="806"/>
    <x v="2"/>
    <x v="154"/>
    <s v="eth1/22"/>
    <x v="0"/>
    <x v="0"/>
    <x v="0"/>
    <s v="TO-WES_03-MSP"/>
    <x v="0"/>
    <b v="0"/>
    <s v="No está en VPC"/>
    <n v="806"/>
    <s v="INTPG_ACC_806_1.22"/>
    <s v="ISEL-1.22"/>
    <n v="1"/>
    <s v="NO TIENE L3OUT"/>
    <n v="44"/>
    <n v="54"/>
  </r>
  <r>
    <n v="777"/>
    <x v="2"/>
    <x v="155"/>
    <s v="eth1/22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22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22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22"/>
    <x v="0"/>
    <x v="0"/>
    <x v="0"/>
    <s v="CEM:ITHCEMC2AKF11:SLOT1 P1"/>
    <x v="5"/>
    <b v="0"/>
    <s v="No está en VPC"/>
    <n v="739"/>
    <s v="INTPG_ACC_739_1.22"/>
    <s v="ISEL-1.22"/>
    <n v="1"/>
    <s v="NO TIENE L3OUT"/>
    <n v="72"/>
    <n v="54"/>
  </r>
  <r>
    <n v="775"/>
    <x v="2"/>
    <x v="159"/>
    <s v="eth1/22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22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22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22"/>
    <x v="0"/>
    <x v="0"/>
    <x v="0"/>
    <s v="LINK_TO_ITHFHWCBSDSHD17 /Slot7.2 /Redundante"/>
    <x v="0"/>
    <b v="0"/>
    <s v="No está en VPC"/>
    <n v="830"/>
    <s v="INTPG_VPC_826_1.22_830_1.22"/>
    <s v="ISEL-1.22"/>
    <n v="2"/>
    <s v="NO TIENE L3OUT"/>
    <n v="12"/>
    <n v="54"/>
  </r>
  <r>
    <n v="821"/>
    <x v="2"/>
    <x v="163"/>
    <s v="eth1/22"/>
    <x v="0"/>
    <x v="0"/>
    <x v="0"/>
    <s v="LINK_TO_ITHFHWCBSPSHD17 /Slot7.2 /Redundante"/>
    <x v="0"/>
    <b v="0"/>
    <s v="No está en VPC"/>
    <n v="821"/>
    <s v="INTPG_VPC_816_1.22_821_1.22"/>
    <s v="ISEL-1.22"/>
    <n v="2"/>
    <s v="NO TIENE L3OUT"/>
    <n v="0"/>
    <n v="54"/>
  </r>
  <r>
    <n v="738"/>
    <x v="2"/>
    <x v="164"/>
    <s v="eth1/22"/>
    <x v="0"/>
    <x v="0"/>
    <x v="0"/>
    <s v="CEM:ITHCEMF2RTB11:SLOT1 P1"/>
    <x v="5"/>
    <b v="0"/>
    <s v="No está en VPC"/>
    <n v="738"/>
    <s v="INTPG_ACC_738_1.22"/>
    <s v="ISEL-1.22"/>
    <n v="1"/>
    <s v="NO TIENE L3OUT"/>
    <n v="72"/>
    <n v="54"/>
  </r>
  <r>
    <n v="820"/>
    <x v="2"/>
    <x v="165"/>
    <s v="eth1/22"/>
    <x v="0"/>
    <x v="0"/>
    <x v="0"/>
    <s v="LINKT_TO_ITHFHWCRMPLCN132 / Slot7.1_34 / Redundante"/>
    <x v="0"/>
    <b v="0"/>
    <s v="No está en VPC"/>
    <n v="820"/>
    <s v="INTPG_ACC_820_1.22"/>
    <s v="ISEL-1.22"/>
    <n v="6"/>
    <s v="NO TIENE L3OUT"/>
    <n v="72"/>
    <n v="54"/>
  </r>
  <r>
    <n v="804"/>
    <x v="2"/>
    <x v="166"/>
    <s v="eth1/22"/>
    <x v="0"/>
    <x v="0"/>
    <x v="0"/>
    <s v="TO-HDPS_48-MSP"/>
    <x v="0"/>
    <b v="0"/>
    <s v="No está en VPC"/>
    <n v="804"/>
    <s v="INTPG_ACC_804_1.22"/>
    <s v="ISEL-1.22"/>
    <n v="1"/>
    <s v="NO TIENE L3OUT"/>
    <n v="48"/>
    <n v="54"/>
  </r>
  <r>
    <n v="779"/>
    <x v="2"/>
    <x v="167"/>
    <s v="eth1/22"/>
    <x v="0"/>
    <x v="0"/>
    <x v="0"/>
    <s v="VERITAS:ITHFVEAPCNBST02 :10GbE"/>
    <x v="0"/>
    <b v="0"/>
    <s v="No está en VPC"/>
    <n v="779"/>
    <s v="INTPG_VPC_778_1.22_33_779_1.22_33"/>
    <s v="ISEL-1.22"/>
    <n v="2"/>
    <s v="NO TIENE L3OUT"/>
    <n v="30"/>
    <n v="54"/>
  </r>
  <r>
    <n v="767"/>
    <x v="2"/>
    <x v="168"/>
    <s v="eth1/22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22"/>
    <x v="0"/>
    <x v="0"/>
    <x v="0"/>
    <s v="LINK_TO_ITHFHWCBSDSWR23 /Slot4.2 /Principal"/>
    <x v="0"/>
    <b v="0"/>
    <s v="No está en VPC"/>
    <n v="827"/>
    <s v="INTPG_VPC_827_1.22_831_1.22"/>
    <s v="ISEL-1.22"/>
    <n v="1"/>
    <s v="NO TIENE L3OUT"/>
    <n v="14"/>
    <n v="54"/>
  </r>
  <r>
    <n v="809"/>
    <x v="2"/>
    <x v="170"/>
    <s v="eth1/22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22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22"/>
    <x v="0"/>
    <x v="0"/>
    <x v="0"/>
    <s v="TO-9S_BESDR_IXTLA3_1"/>
    <x v="0"/>
    <b v="0"/>
    <s v="No está en VPC"/>
    <n v="761"/>
    <s v="INTPG_VPC_760_1.21-24_761_1.21-24"/>
    <s v="ISEL-1.22"/>
    <n v="33"/>
    <s v="NO TIENE L3OUT"/>
    <n v="0"/>
    <n v="54"/>
  </r>
  <r>
    <n v="776"/>
    <x v="2"/>
    <x v="173"/>
    <s v="eth1/22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22"/>
    <x v="0"/>
    <x v="0"/>
    <x v="0"/>
    <s v="TO-WES_03-MSP"/>
    <x v="0"/>
    <b v="0"/>
    <s v="No está en VPC"/>
    <n v="805"/>
    <s v="INTPG_ACC_805_1.22"/>
    <s v="ISEL-1.22"/>
    <n v="1"/>
    <s v="NO TIENE L3OUT"/>
    <n v="44"/>
    <n v="54"/>
  </r>
  <r>
    <n v="772"/>
    <x v="2"/>
    <x v="175"/>
    <s v="eth1/22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22"/>
    <x v="0"/>
    <x v="0"/>
    <x v="0"/>
    <s v="DIGITAL VIEW:ITHFHWDGVEAP03:Slot 6.1"/>
    <x v="0"/>
    <b v="0"/>
    <s v="No está en VPC"/>
    <n v="785"/>
    <s v="INTPG_VPC_784_1.22_785_1.22"/>
    <s v="ISEL-1.22"/>
    <n v="1"/>
    <s v="NO TIENE L3OUT"/>
    <n v="32"/>
    <n v="54"/>
  </r>
  <r>
    <n v="851"/>
    <x v="2"/>
    <x v="177"/>
    <s v="eth1/22"/>
    <x v="0"/>
    <x v="0"/>
    <x v="0"/>
    <s v="LINK_TO_ITHFHWCRMPLCN108 / Slot7.1_20 / Redundante"/>
    <x v="0"/>
    <b v="0"/>
    <s v="No está en VPC"/>
    <n v="851"/>
    <s v="INTPG_ACC_851_1.22"/>
    <s v="ISEL-1.22"/>
    <n v="6"/>
    <s v="NO TIENE L3OUT"/>
    <n v="282"/>
    <n v="54"/>
  </r>
  <r>
    <n v="798"/>
    <x v="2"/>
    <x v="178"/>
    <s v="eth1/22"/>
    <x v="0"/>
    <x v="0"/>
    <x v="0"/>
    <s v="TO-IMC_PS10-MSP"/>
    <x v="0"/>
    <b v="0"/>
    <s v="No está en VPC"/>
    <n v="798"/>
    <s v="INTPG_ACC_798_1.22"/>
    <s v="ISEL-1.22"/>
    <n v="1"/>
    <s v="NO TIENE L3OUT"/>
    <n v="52"/>
    <n v="54"/>
  </r>
  <r>
    <n v="782"/>
    <x v="2"/>
    <x v="179"/>
    <s v="eth1/22"/>
    <x v="0"/>
    <x v="0"/>
    <x v="0"/>
    <s v="TO-ITHFHWRHV2LMGMT03"/>
    <x v="0"/>
    <b v="0"/>
    <s v="No está en VPC"/>
    <n v="782"/>
    <s v="INTPG_VPC_782_1.22-23_783_1.22-23"/>
    <s v="ISEL-1.22"/>
    <n v="2"/>
    <s v="NO TIENE L3OUT"/>
    <n v="32"/>
    <n v="54"/>
  </r>
  <r>
    <n v="852"/>
    <x v="2"/>
    <x v="180"/>
    <s v="eth1/22"/>
    <x v="0"/>
    <x v="0"/>
    <x v="0"/>
    <s v="LINK_TO_ITHFHWCRMPLCN91 / Slot7.2_14 / Redundante"/>
    <x v="0"/>
    <b v="0"/>
    <s v="No está en VPC"/>
    <n v="852"/>
    <s v="INTPG_ACC_852_1.22"/>
    <s v="ISEL-1.22"/>
    <n v="2"/>
    <s v="NO TIENE L3OUT"/>
    <n v="258"/>
    <n v="54"/>
  </r>
  <r>
    <n v="817"/>
    <x v="2"/>
    <x v="181"/>
    <s v="eth1/22"/>
    <x v="0"/>
    <x v="0"/>
    <x v="0"/>
    <s v="LINK_TO_ITHFHWCBSPSUSBD16 /Slot5.2 /Principal"/>
    <x v="0"/>
    <b v="0"/>
    <s v="No está en VPC"/>
    <n v="817"/>
    <s v="INTPG_VPC_817_1.22_822_1.22"/>
    <s v="ISEL-1.22"/>
    <n v="2"/>
    <s v="NO TIENE L3OUT"/>
    <n v="0"/>
    <n v="54"/>
  </r>
  <r>
    <n v="832"/>
    <x v="2"/>
    <x v="182"/>
    <s v="eth1/22"/>
    <x v="0"/>
    <x v="0"/>
    <x v="0"/>
    <s v="LINK_TO_ITHFHWCRMDLCN22 /Slot6.2 /Redundante"/>
    <x v="0"/>
    <b v="0"/>
    <s v="No está en VPC"/>
    <n v="832"/>
    <s v="INTPG_ACC_832_1.22"/>
    <s v="ISEL-1.22"/>
    <n v="1"/>
    <s v="NO TIENE L3OUT"/>
    <n v="192"/>
    <n v="54"/>
  </r>
  <r>
    <n v="816"/>
    <x v="2"/>
    <x v="183"/>
    <s v="eth1/22"/>
    <x v="0"/>
    <x v="0"/>
    <x v="0"/>
    <s v="LINK_TO_ITHFHWCBSPSHD17 /Slot5.2 /Principal"/>
    <x v="0"/>
    <b v="0"/>
    <s v="No está en VPC"/>
    <n v="816"/>
    <s v="INTPG_VPC_816_1.22_821_1.22"/>
    <s v="ISEL-1.22"/>
    <n v="2"/>
    <s v="NO TIENE L3OUT"/>
    <n v="0"/>
    <n v="54"/>
  </r>
  <r>
    <n v="825"/>
    <x v="2"/>
    <x v="184"/>
    <s v="eth1/22"/>
    <x v="0"/>
    <x v="0"/>
    <x v="0"/>
    <s v="LINKT_TO_ITHFHWCRMPLCN132 / Slot1.1_34 / Principal"/>
    <x v="0"/>
    <b v="0"/>
    <s v="No está en VPC"/>
    <n v="825"/>
    <s v="INTPG_ACC_825_1.22"/>
    <s v="ISEL-1.22"/>
    <n v="6"/>
    <s v="NO TIENE L3OUT"/>
    <n v="72"/>
    <n v="54"/>
  </r>
  <r>
    <n v="800"/>
    <x v="2"/>
    <x v="185"/>
    <s v="eth1/22"/>
    <x v="0"/>
    <x v="0"/>
    <x v="0"/>
    <s v="TO-ITHFHWSEQLCAS02-MSP"/>
    <x v="0"/>
    <b v="0"/>
    <s v="No está en VPC"/>
    <n v="800"/>
    <s v="INTPG_ACC_800_1.22"/>
    <s v="ISEL-1.22"/>
    <n v="1"/>
    <s v="NO TIENE L3OUT"/>
    <n v="78"/>
    <n v="54"/>
  </r>
  <r>
    <n v="801"/>
    <x v="2"/>
    <x v="186"/>
    <s v="eth1/22"/>
    <x v="0"/>
    <x v="0"/>
    <x v="0"/>
    <s v="TO-ITHFHWSEQLCAS02-MSP"/>
    <x v="0"/>
    <b v="0"/>
    <s v="No está en VPC"/>
    <n v="801"/>
    <s v="INTPG_ACC_801_1.22"/>
    <s v="ISEL-1.22"/>
    <n v="1"/>
    <s v="NO TIENE L3OUT"/>
    <n v="78"/>
    <n v="54"/>
  </r>
  <r>
    <n v="823"/>
    <x v="2"/>
    <x v="187"/>
    <s v="eth1/22"/>
    <x v="0"/>
    <x v="0"/>
    <x v="0"/>
    <s v="LINK_TO_ITHFHWCBSPSUSBD21 /Slot6.2 /Redundante"/>
    <x v="0"/>
    <b v="0"/>
    <s v="No está en VPC"/>
    <n v="823"/>
    <s v="INTPG_VPC_818_1.22_823_1.22"/>
    <s v="ISEL-1.22"/>
    <n v="1"/>
    <s v="NO TIENE L3OUT"/>
    <n v="8"/>
    <n v="54"/>
  </r>
  <r>
    <n v="837"/>
    <x v="2"/>
    <x v="188"/>
    <s v="eth1/22"/>
    <x v="0"/>
    <x v="0"/>
    <x v="0"/>
    <s v="LINK_TO_ITHFHWCBSPSWR46 / Slot1.3_28 / Principal"/>
    <x v="0"/>
    <b v="0"/>
    <s v="No está en VPC"/>
    <n v="837"/>
    <s v="INTPG_VPC_837_1.22_842_1.22"/>
    <s v="ISEL-1.22"/>
    <n v="1"/>
    <s v="NO TIENE L3OUT"/>
    <n v="8"/>
    <n v="54"/>
  </r>
  <r>
    <n v="867"/>
    <x v="2"/>
    <x v="189"/>
    <s v="eth1/22"/>
    <x v="0"/>
    <x v="0"/>
    <x v="0"/>
    <s v="TO-9S_BESDR_IXTLA3_1"/>
    <x v="0"/>
    <b v="0"/>
    <s v="No está en VPC"/>
    <n v="867"/>
    <s v="INTPG_VPC_862_1.20-23_867_1.20-23"/>
    <s v="ISEL-1.22"/>
    <n v="25"/>
    <s v="NO TIENE L3OUT"/>
    <n v="44"/>
    <n v="54"/>
  </r>
  <r>
    <n v="829"/>
    <x v="2"/>
    <x v="190"/>
    <s v="eth1/22"/>
    <x v="0"/>
    <x v="0"/>
    <x v="0"/>
    <s v="LINK_TO_ITHFHWCRMDLCN35 /Slot7.2 /Redundante"/>
    <x v="0"/>
    <b v="0"/>
    <s v="No está en VPC"/>
    <n v="829"/>
    <s v="INTPG_ACC_829_1.22"/>
    <s v="ISEL-1.22"/>
    <n v="5"/>
    <s v="NO TIENE L3OUT"/>
    <n v="224"/>
    <n v="54"/>
  </r>
  <r>
    <n v="831"/>
    <x v="2"/>
    <x v="191"/>
    <s v="eth1/22"/>
    <x v="0"/>
    <x v="0"/>
    <x v="0"/>
    <s v="LINK_TO_ITHFHWCBSDSWR23 /Slot6.2 /Redundante"/>
    <x v="0"/>
    <b v="0"/>
    <s v="No está en VPC"/>
    <n v="831"/>
    <s v="INTPG_VPC_827_1.22_831_1.22"/>
    <s v="ISEL-1.22"/>
    <n v="1"/>
    <s v="NO TIENE L3OUT"/>
    <n v="14"/>
    <n v="54"/>
  </r>
  <r>
    <n v="802"/>
    <x v="2"/>
    <x v="192"/>
    <s v="eth1/22"/>
    <x v="0"/>
    <x v="0"/>
    <x v="0"/>
    <s v="TO-HDPS_24-MSP"/>
    <x v="0"/>
    <b v="0"/>
    <s v="No está en VPC"/>
    <n v="802"/>
    <s v="INTPG_ACC_802_1.22"/>
    <s v="ISEL-1.22"/>
    <n v="1"/>
    <s v="NO TIENE L3OUT"/>
    <n v="48"/>
    <n v="54"/>
  </r>
  <r>
    <n v="835"/>
    <x v="2"/>
    <x v="193"/>
    <s v="eth1/22"/>
    <x v="0"/>
    <x v="0"/>
    <x v="0"/>
    <s v="LINK_TO_ITHHWD6KV65100014DKC01 / CTMA_IOM0.P0_34 / Principal"/>
    <x v="0"/>
    <b v="0"/>
    <s v="No está en VPC"/>
    <n v="835"/>
    <s v="INTPG_ACC_835_1.22"/>
    <s v="ISEL-1.22"/>
    <n v="1"/>
    <s v="NO TIENE L3OUT"/>
    <n v="8"/>
    <n v="54"/>
  </r>
  <r>
    <n v="822"/>
    <x v="2"/>
    <x v="194"/>
    <s v="eth1/22"/>
    <x v="0"/>
    <x v="0"/>
    <x v="0"/>
    <s v="LINK_TO_ITHFHWCBSPSUSBD16 /Slot7.2 /Redundante"/>
    <x v="0"/>
    <b v="0"/>
    <s v="No está en VPC"/>
    <n v="822"/>
    <s v="INTPG_VPC_817_1.22_822_1.22"/>
    <s v="ISEL-1.22"/>
    <n v="2"/>
    <s v="NO TIENE L3OUT"/>
    <n v="0"/>
    <n v="54"/>
  </r>
  <r>
    <n v="854"/>
    <x v="2"/>
    <x v="195"/>
    <s v="eth1/22"/>
    <x v="0"/>
    <x v="0"/>
    <x v="0"/>
    <s v="LINK_TO_ITHFHWCRMPLCN172 / Slot1.3_14 / Principal"/>
    <x v="0"/>
    <b v="0"/>
    <s v="No está en VPC"/>
    <n v="854"/>
    <s v="INTPG_ACC_854_1.22"/>
    <s v="ISEL-1.22"/>
    <n v="1"/>
    <s v="NO TIENE L3OUT"/>
    <n v="204"/>
    <n v="54"/>
  </r>
  <r>
    <n v="858"/>
    <x v="2"/>
    <x v="196"/>
    <s v="eth1/22"/>
    <x v="0"/>
    <x v="0"/>
    <x v="0"/>
    <s v="To_VPC_2DCBSD_HD44_1"/>
    <x v="0"/>
    <b v="0"/>
    <s v="No está en VPC"/>
    <n v="858"/>
    <s v="INTPG_VPC_858_1.22_863_1.22"/>
    <s v="ISEL-1.22"/>
    <n v="2"/>
    <s v="NO TIENE L3OUT"/>
    <n v="8"/>
    <n v="54"/>
  </r>
  <r>
    <n v="857"/>
    <x v="2"/>
    <x v="197"/>
    <s v="eth1/22"/>
    <x v="0"/>
    <x v="0"/>
    <x v="0"/>
    <s v="LINKT_TO_ITHFHWCRMPLCN122 / Slot1.3_14 / Principal"/>
    <x v="0"/>
    <b v="0"/>
    <s v="No está en VPC"/>
    <n v="857"/>
    <s v="INTPG_ACC_857_1.22"/>
    <s v="ISEL-1.22"/>
    <n v="1"/>
    <s v="NO TIENE L3OUT"/>
    <n v="288"/>
    <n v="54"/>
  </r>
  <r>
    <n v="859"/>
    <x v="2"/>
    <x v="198"/>
    <s v="eth1/22"/>
    <x v="0"/>
    <x v="0"/>
    <x v="0"/>
    <s v="To_VPC_2DCBSD_WR43_1"/>
    <x v="0"/>
    <b v="0"/>
    <s v="No está en VPC"/>
    <n v="859"/>
    <s v="INTPG_VPC_859_1.22_864_1.22"/>
    <s v="ISEL-1.22"/>
    <n v="2"/>
    <s v="NO TIENE L3OUT"/>
    <n v="0"/>
    <n v="54"/>
  </r>
  <r>
    <n v="833"/>
    <x v="2"/>
    <x v="199"/>
    <s v="eth1/22"/>
    <x v="0"/>
    <x v="0"/>
    <x v="0"/>
    <s v="LINK_TO_ITHFHWCRMDLCN35 /Slot5.2 /Principal"/>
    <x v="0"/>
    <b v="0"/>
    <s v="No está en VPC"/>
    <n v="833"/>
    <s v="INTPG_ACC_833_1.22"/>
    <s v="ISEL-1.22"/>
    <n v="5"/>
    <s v="NO TIENE L3OUT"/>
    <n v="224"/>
    <n v="54"/>
  </r>
  <r>
    <n v="818"/>
    <x v="2"/>
    <x v="200"/>
    <s v="eth1/22"/>
    <x v="0"/>
    <x v="0"/>
    <x v="0"/>
    <s v="LINK_TO_ITHFHWCBSPSUSBD21 /Slot4.2 /Principal"/>
    <x v="0"/>
    <b v="0"/>
    <s v="No está en VPC"/>
    <n v="818"/>
    <s v="INTPG_VPC_818_1.22_823_1.22"/>
    <s v="ISEL-1.22"/>
    <n v="1"/>
    <s v="NO TIENE L3OUT"/>
    <n v="8"/>
    <n v="54"/>
  </r>
  <r>
    <n v="850"/>
    <x v="2"/>
    <x v="201"/>
    <s v="eth1/22"/>
    <x v="0"/>
    <x v="0"/>
    <x v="0"/>
    <s v="LINKT_TO_ITHFHWCRMPLCN122 / Slot7.3_14 / Redundante"/>
    <x v="0"/>
    <b v="0"/>
    <s v="No está en VPC"/>
    <n v="850"/>
    <s v="INTPG_ACC_850_1.22"/>
    <s v="ISEL-1.22"/>
    <n v="1"/>
    <s v="NO TIENE L3OUT"/>
    <n v="288"/>
    <n v="54"/>
  </r>
  <r>
    <n v="860"/>
    <x v="2"/>
    <x v="202"/>
    <s v="eth1/22"/>
    <x v="0"/>
    <x v="0"/>
    <x v="0"/>
    <s v="To_VPC_2DCBSD_HD30_1"/>
    <x v="0"/>
    <b v="0"/>
    <s v="No está en VPC"/>
    <n v="860"/>
    <s v="INTPG_VPC_860_1.22_865_1.22"/>
    <s v="ISEL-1.22"/>
    <n v="2"/>
    <s v="NO TIENE L3OUT"/>
    <n v="0"/>
    <n v="54"/>
  </r>
  <r>
    <n v="853"/>
    <x v="2"/>
    <x v="203"/>
    <s v="eth1/22"/>
    <x v="0"/>
    <x v="0"/>
    <x v="0"/>
    <s v="LINK_TO_ITHFHWCRMPLCN79 / Slot7.1_16 / Redundante"/>
    <x v="0"/>
    <b v="0"/>
    <s v="No está en VPC"/>
    <n v="853"/>
    <s v="INTPG_ACC_853_1.22"/>
    <s v="ISEL-1.22"/>
    <n v="6"/>
    <s v="NO TIENE L3OUT"/>
    <n v="242"/>
    <n v="54"/>
  </r>
  <r>
    <n v="790"/>
    <x v="2"/>
    <x v="204"/>
    <s v="eth1/22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22"/>
    <x v="0"/>
    <x v="0"/>
    <x v="0"/>
    <s v="MEDIACION DESARROLLO"/>
    <x v="6"/>
    <b v="0"/>
    <s v="No está en VPC"/>
    <n v="105"/>
    <s v="INTPG_ACC_105_1.22"/>
    <s v="ISEL-1.22"/>
    <n v="1"/>
    <s v="NO TIENE L3OUT"/>
    <n v="106"/>
    <n v="96"/>
  </r>
  <r>
    <n v="117"/>
    <x v="0"/>
    <x v="206"/>
    <s v="eth1/22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22"/>
    <x v="1"/>
    <x v="1"/>
    <x v="2"/>
    <s v="SFLDI"/>
    <x v="6"/>
    <b v="0"/>
    <s v="No está en VPC"/>
    <n v="104"/>
    <s v="INTPG_ACC_104_1.22"/>
    <s v="ISEL-1.22"/>
    <n v="0"/>
    <s v="NO TIENE L3OUT"/>
    <n v="194"/>
    <n v="96"/>
  </r>
  <r>
    <n v="158"/>
    <x v="0"/>
    <x v="208"/>
    <s v="eth1/22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22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22"/>
    <x v="0"/>
    <x v="0"/>
    <x v="0"/>
    <s v="HACIA_MGMT-OSCP-F4-14_SECUNDARIO"/>
    <x v="4"/>
    <b v="0"/>
    <s v="No está en VPC"/>
    <n v="879"/>
    <s v="INTPG_VPC_878_1.22_879_1.22"/>
    <s v="ISEL-1.22"/>
    <n v="1"/>
    <s v="NO TIENE L3OUT"/>
    <n v="0"/>
    <n v="54"/>
  </r>
  <r>
    <n v="108"/>
    <x v="0"/>
    <x v="211"/>
    <s v="eth1/22"/>
    <x v="0"/>
    <x v="0"/>
    <x v="0"/>
    <s v="TELLABS"/>
    <x v="6"/>
    <b v="0"/>
    <s v="No está en VPC"/>
    <n v="108"/>
    <s v="INTPG_ACC_108_1.22"/>
    <s v="ISEL-1.22"/>
    <n v="1"/>
    <s v="NO TIENE L3OUT"/>
    <n v="126"/>
    <n v="96"/>
  </r>
  <r>
    <n v="112"/>
    <x v="0"/>
    <x v="212"/>
    <s v="eth1/22"/>
    <x v="0"/>
    <x v="0"/>
    <x v="0"/>
    <s v="APROVISIONAMIENTO DE SERVICIOS"/>
    <x v="6"/>
    <b v="0"/>
    <s v="No está en VPC"/>
    <n v="112"/>
    <s v="INTPG_ACC_112_1.22"/>
    <s v="ISEL-1.22"/>
    <n v="1"/>
    <s v="NO TIENE L3OUT"/>
    <n v="144"/>
    <n v="96"/>
  </r>
  <r>
    <n v="107"/>
    <x v="0"/>
    <x v="213"/>
    <s v="eth1/22"/>
    <x v="0"/>
    <x v="1"/>
    <x v="1"/>
    <s v="SISAP"/>
    <x v="6"/>
    <b v="0"/>
    <s v="No está en VPC"/>
    <n v="107"/>
    <s v="INTPG_ACC_107_1.22"/>
    <s v="ISEL-1.22"/>
    <n v="1"/>
    <s v="NO TIENE L3OUT"/>
    <n v="118"/>
    <n v="96"/>
  </r>
  <r>
    <n v="109"/>
    <x v="0"/>
    <x v="214"/>
    <s v="eth1/22"/>
    <x v="0"/>
    <x v="0"/>
    <x v="0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22"/>
    <x v="0"/>
    <x v="0"/>
    <x v="0"/>
    <s v="TO-ITHFHWHSMTLCN07_MGMT"/>
    <x v="6"/>
    <b v="0"/>
    <s v="No está en VPC"/>
    <n v="113"/>
    <s v="INTPG_ACC_113_1.22"/>
    <s v="ISEL-1.22"/>
    <n v="1"/>
    <s v="NO TIENE L3OUT"/>
    <n v="52"/>
    <n v="96"/>
  </r>
  <r>
    <n v="114"/>
    <x v="0"/>
    <x v="216"/>
    <s v="eth1/22"/>
    <x v="0"/>
    <x v="0"/>
    <x v="0"/>
    <s v="SUBEX (Fraud Management)"/>
    <x v="6"/>
    <b v="0"/>
    <s v="No está en VPC"/>
    <n v="114"/>
    <s v="INTPG_ACC_114_1.22"/>
    <s v="ISEL-1.22"/>
    <n v="1"/>
    <s v="NO TIENE L3OUT"/>
    <n v="144"/>
    <n v="96"/>
  </r>
  <r>
    <n v="124"/>
    <x v="0"/>
    <x v="217"/>
    <s v="eth1/22"/>
    <x v="0"/>
    <x v="0"/>
    <x v="0"/>
    <s v="UXSVA (M9000)"/>
    <x v="6"/>
    <b v="0"/>
    <s v="No está en VPC"/>
    <n v="124"/>
    <s v="INTPG_ACC_124_1.22"/>
    <s v="ISEL-1.22"/>
    <n v="1"/>
    <s v="NO TIENE L3OUT"/>
    <n v="80"/>
    <n v="96"/>
  </r>
  <r>
    <n v="118"/>
    <x v="0"/>
    <x v="218"/>
    <s v="eth1/22"/>
    <x v="0"/>
    <x v="0"/>
    <x v="0"/>
    <s v="COBROS NAVEGACION"/>
    <x v="6"/>
    <b v="0"/>
    <s v="No está en VPC"/>
    <n v="118"/>
    <s v="INTPG_ACC_118_1.22"/>
    <s v="ISEL-1.22"/>
    <n v="1"/>
    <s v="NO TIENE L3OUT"/>
    <n v="180"/>
    <n v="96"/>
  </r>
  <r>
    <n v="159"/>
    <x v="0"/>
    <x v="219"/>
    <s v="eth1/22"/>
    <x v="0"/>
    <x v="0"/>
    <x v="0"/>
    <s v="SRM"/>
    <x v="6"/>
    <b v="0"/>
    <s v="No está en VPC"/>
    <n v="159"/>
    <s v="INTPG_ACC_159_1.22"/>
    <s v="ISEL-1.22"/>
    <n v="1"/>
    <s v="NO TIENE L3OUT"/>
    <n v="72"/>
    <n v="96"/>
  </r>
  <r>
    <n v="840"/>
    <x v="2"/>
    <x v="220"/>
    <s v="eth1/22"/>
    <x v="0"/>
    <x v="0"/>
    <x v="0"/>
    <s v="LINK_TO_ITHHWD6KV65100014DKC01 / CTMA_IOM0.P1_34 / Redundante"/>
    <x v="0"/>
    <b v="0"/>
    <s v="No está en VPC"/>
    <n v="840"/>
    <s v="INTPG_ACC_840_1.22"/>
    <s v="ISEL-1.22"/>
    <n v="1"/>
    <s v="NO TIENE L3OUT"/>
    <n v="8"/>
    <n v="54"/>
  </r>
  <r>
    <n v="856"/>
    <x v="2"/>
    <x v="221"/>
    <s v="eth1/22"/>
    <x v="0"/>
    <x v="0"/>
    <x v="0"/>
    <s v="LINK_TO_ITHFHWCRMPLCN141 / Slot1.3_16 / Principal"/>
    <x v="0"/>
    <b v="0"/>
    <s v="No está en VPC"/>
    <n v="856"/>
    <s v="INTPG_ACC_856_1.22"/>
    <s v="ISEL-1.22"/>
    <n v="1"/>
    <s v="NO TIENE L3OUT"/>
    <n v="286"/>
    <n v="54"/>
  </r>
  <r>
    <n v="110"/>
    <x v="0"/>
    <x v="222"/>
    <s v="eth1/22"/>
    <x v="0"/>
    <x v="0"/>
    <x v="0"/>
    <s v="DESC"/>
    <x v="6"/>
    <b v="0"/>
    <s v="No está en VPC"/>
    <n v="110"/>
    <s v="INTPG_PC_110_1.15-16_22-23_30"/>
    <s v="ISEL-1.22"/>
    <n v="1"/>
    <s v="NO TIENE L3OUT"/>
    <n v="102"/>
    <n v="96"/>
  </r>
  <r>
    <n v="163"/>
    <x v="0"/>
    <x v="223"/>
    <s v="eth1/22"/>
    <x v="1"/>
    <x v="1"/>
    <x v="2"/>
    <s v="NETSCOUT"/>
    <x v="6"/>
    <b v="0"/>
    <s v="No está en VPC"/>
    <n v="163"/>
    <s v="INTPG_ACC_163_1.22"/>
    <s v="ISEL-1.22"/>
    <n v="1"/>
    <s v="NO TIENE L3OUT"/>
    <n v="140"/>
    <n v="96"/>
  </r>
  <r>
    <n v="407"/>
    <x v="1"/>
    <x v="224"/>
    <s v="eth1/22"/>
    <x v="0"/>
    <x v="1"/>
    <x v="1"/>
    <s v="IXT_SIEU"/>
    <x v="6"/>
    <b v="0"/>
    <s v="No está en VPC"/>
    <n v="407"/>
    <s v="INTPG_ACC_407_1.22"/>
    <s v="ISEL-1.22"/>
    <n v="1"/>
    <s v="NO TIENE L3OUT"/>
    <n v="122"/>
    <n v="96"/>
  </r>
  <r>
    <n v="171"/>
    <x v="0"/>
    <x v="225"/>
    <s v="eth1/22"/>
    <x v="0"/>
    <x v="0"/>
    <x v="0"/>
    <s v="SOP-EAGLE"/>
    <x v="6"/>
    <b v="0"/>
    <s v="No está en VPC"/>
    <n v="171"/>
    <s v="INTPG_ACC_171_1.22"/>
    <s v="ISEL-1.22"/>
    <n v="1"/>
    <s v="NO TIENE L3OUT"/>
    <n v="114"/>
    <n v="96"/>
  </r>
  <r>
    <n v="421"/>
    <x v="1"/>
    <x v="226"/>
    <s v="eth1/22"/>
    <x v="0"/>
    <x v="0"/>
    <x v="0"/>
    <s v="HP Proliant DL360 Gen9"/>
    <x v="6"/>
    <b v="0"/>
    <s v="No está en VPC"/>
    <n v="421"/>
    <s v="INTPG_ACC_421_1.22"/>
    <s v="ISEL-1.22"/>
    <n v="1"/>
    <s v="NO TIENE L3OUT"/>
    <n v="72"/>
    <n v="96"/>
  </r>
  <r>
    <n v="173"/>
    <x v="0"/>
    <x v="227"/>
    <s v="eth1/22"/>
    <x v="0"/>
    <x v="0"/>
    <x v="0"/>
    <s v="ENIQ"/>
    <x v="6"/>
    <b v="0"/>
    <s v="No está en VPC"/>
    <n v="173"/>
    <s v="INTPG_ACC_173_1.22"/>
    <s v="ISEL-1.22"/>
    <n v="1"/>
    <s v="NO TIENE L3OUT"/>
    <n v="66"/>
    <n v="96"/>
  </r>
  <r>
    <n v="154"/>
    <x v="0"/>
    <x v="228"/>
    <s v="eth1/22"/>
    <x v="0"/>
    <x v="0"/>
    <x v="0"/>
    <s v="CHARGING SYSTEM"/>
    <x v="6"/>
    <b v="0"/>
    <s v="No está en VPC"/>
    <n v="154"/>
    <s v="INTPG_ACC_154_1.22"/>
    <s v="ISEL-1.22"/>
    <n v="1"/>
    <s v="NO TIENE L3OUT"/>
    <n v="62"/>
    <n v="96"/>
  </r>
  <r>
    <n v="172"/>
    <x v="0"/>
    <x v="229"/>
    <s v="eth1/22"/>
    <x v="0"/>
    <x v="1"/>
    <x v="1"/>
    <s v="NFA"/>
    <x v="6"/>
    <b v="0"/>
    <s v="No está en VPC"/>
    <n v="172"/>
    <s v="INTPG_ACC_172_1.22"/>
    <s v="ISEL-1.22"/>
    <n v="1"/>
    <s v="NO TIENE L3OUT"/>
    <n v="104"/>
    <n v="96"/>
  </r>
  <r>
    <n v="420"/>
    <x v="1"/>
    <x v="230"/>
    <s v="eth1/22"/>
    <x v="0"/>
    <x v="0"/>
    <x v="0"/>
    <s v="sfmevp07"/>
    <x v="6"/>
    <b v="0"/>
    <s v="No está en VPC"/>
    <n v="420"/>
    <s v="INTPG_ACC_420_1.22"/>
    <s v="ISEL-1.22"/>
    <n v="1"/>
    <s v="NO TIENE L3OUT"/>
    <n v="158"/>
    <n v="96"/>
  </r>
  <r>
    <n v="423"/>
    <x v="1"/>
    <x v="231"/>
    <s v="eth1/22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22"/>
    <x v="0"/>
    <x v="0"/>
    <x v="0"/>
    <s v="VTAE1"/>
    <x v="6"/>
    <b v="0"/>
    <s v="No está en VPC"/>
    <n v="415"/>
    <s v="INTPG_ACC_415_1.22"/>
    <s v="ISEL-1.22"/>
    <n v="1"/>
    <s v="NO TIENE L3OUT"/>
    <n v="52"/>
    <n v="96"/>
  </r>
  <r>
    <n v="102"/>
    <x v="0"/>
    <x v="233"/>
    <s v="eth1/22"/>
    <x v="0"/>
    <x v="1"/>
    <x v="1"/>
    <s v="SFLDI:RLDIBI201:1"/>
    <x v="6"/>
    <b v="0"/>
    <s v="No está en VPC"/>
    <n v="102"/>
    <s v="INTPG_ACC_102_1.22"/>
    <s v="ISEL-1.22"/>
    <n v="1"/>
    <s v="NO TIENE L3OUT"/>
    <n v="228"/>
    <n v="96"/>
  </r>
  <r>
    <n v="863"/>
    <x v="2"/>
    <x v="234"/>
    <s v="eth1/22"/>
    <x v="0"/>
    <x v="0"/>
    <x v="0"/>
    <s v="To_VPC_2DCBSD_HD44_1"/>
    <x v="0"/>
    <b v="0"/>
    <s v="No está en VPC"/>
    <n v="863"/>
    <s v="INTPG_VPC_858_1.22_863_1.22"/>
    <s v="ISEL-1.22"/>
    <n v="2"/>
    <s v="NO TIENE L3OUT"/>
    <n v="8"/>
    <n v="54"/>
  </r>
  <r>
    <n v="876"/>
    <x v="2"/>
    <x v="235"/>
    <s v="eth1/22"/>
    <x v="0"/>
    <x v="0"/>
    <x v="0"/>
    <s v="A_ITHFHWSEQLCAS21_Principal"/>
    <x v="4"/>
    <b v="0"/>
    <s v="No está en VPC"/>
    <n v="876"/>
    <s v="INTPG_ACC_876_1.22"/>
    <s v="ISEL-1.22"/>
    <n v="1"/>
    <s v="NO TIENE L3OUT"/>
    <n v="92"/>
    <n v="54"/>
  </r>
  <r>
    <n v="877"/>
    <x v="2"/>
    <x v="236"/>
    <s v="eth1/22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22"/>
    <x v="0"/>
    <x v="0"/>
    <x v="0"/>
    <s v="VNX_5500_mgmt"/>
    <x v="6"/>
    <b v="0"/>
    <s v="No está en VPC"/>
    <n v="122"/>
    <s v="INTPG_ACC_122_1.22"/>
    <s v="ISEL-1.22"/>
    <n v="1"/>
    <s v="NO TIENE L3OUT"/>
    <n v="148"/>
    <n v="96"/>
  </r>
  <r>
    <n v="157"/>
    <x v="0"/>
    <x v="238"/>
    <s v="eth1/22"/>
    <x v="1"/>
    <x v="1"/>
    <x v="2"/>
    <s v="RED CRICKET"/>
    <x v="6"/>
    <b v="0"/>
    <s v="No está en VPC"/>
    <n v="157"/>
    <s v="INTPG_ACC_157_1.22"/>
    <s v="ISEL-1.22"/>
    <n v="1"/>
    <s v="NO TIENE L3OUT"/>
    <n v="202"/>
    <n v="96"/>
  </r>
  <r>
    <n v="408"/>
    <x v="1"/>
    <x v="239"/>
    <s v="eth1/22"/>
    <x v="0"/>
    <x v="0"/>
    <x v="0"/>
    <s v="UXCEM01_NXGE3"/>
    <x v="6"/>
    <b v="0"/>
    <s v="No está en VPC"/>
    <n v="408"/>
    <s v="INTPG_ACC_408_1.22"/>
    <s v="ISEL-1.22"/>
    <n v="1"/>
    <s v="NO TIENE L3OUT"/>
    <n v="152"/>
    <n v="96"/>
  </r>
  <r>
    <n v="405"/>
    <x v="1"/>
    <x v="240"/>
    <s v="eth1/22"/>
    <x v="0"/>
    <x v="0"/>
    <x v="0"/>
    <s v="XL6 RLR6ARI02 ILO"/>
    <x v="6"/>
    <b v="0"/>
    <s v="No está en VPC"/>
    <n v="405"/>
    <s v="INTPG_ACC_405_1.22"/>
    <s v="ISEL-1.22"/>
    <n v="1"/>
    <s v="NO TIENE L3OUT"/>
    <n v="138"/>
    <n v="96"/>
  </r>
  <r>
    <n v="169"/>
    <x v="0"/>
    <x v="241"/>
    <s v="eth1/22"/>
    <x v="1"/>
    <x v="1"/>
    <x v="2"/>
    <s v="TO-CORE_SWITCH-3-Y-4"/>
    <x v="6"/>
    <b v="0"/>
    <s v="No está en VPC"/>
    <n v="169"/>
    <s v="INTPG_VPC_167_1.30-32_169_1.21-23"/>
    <s v="ISEL-1.22"/>
    <n v="4"/>
    <s v="NO TIENE L3OUT"/>
    <n v="76"/>
    <n v="96"/>
  </r>
  <r>
    <n v="165"/>
    <x v="0"/>
    <x v="242"/>
    <s v="eth1/22"/>
    <x v="0"/>
    <x v="0"/>
    <x v="0"/>
    <s v="UXLDAP"/>
    <x v="6"/>
    <b v="0"/>
    <s v="No está en VPC"/>
    <n v="165"/>
    <s v="INTPG_ACC_165_1.22"/>
    <s v="ISEL-1.22"/>
    <n v="1"/>
    <s v="NO TIENE L3OUT"/>
    <n v="86"/>
    <n v="96"/>
  </r>
  <r>
    <n v="417"/>
    <x v="1"/>
    <x v="243"/>
    <s v="eth1/22"/>
    <x v="0"/>
    <x v="0"/>
    <x v="0"/>
    <s v="TO-ITHFHPNBURBKP03-PRINCIPAL"/>
    <x v="6"/>
    <b v="0"/>
    <s v="No está en VPC"/>
    <n v="417"/>
    <s v="INTPG_ACC_417_1.22"/>
    <s v="ISEL-1.22"/>
    <n v="1"/>
    <s v="NO TIENE L3OUT"/>
    <n v="56"/>
    <n v="96"/>
  </r>
  <r>
    <n v="153"/>
    <x v="0"/>
    <x v="244"/>
    <s v="eth1/22"/>
    <x v="1"/>
    <x v="1"/>
    <x v="2"/>
    <s v="Precios DEUR"/>
    <x v="6"/>
    <b v="0"/>
    <s v="No está en VPC"/>
    <n v="153"/>
    <s v="INTPG_ACC_153_1.22"/>
    <s v="ISEL-1.22"/>
    <n v="1"/>
    <s v="NO TIENE L3OUT"/>
    <n v="42"/>
    <n v="96"/>
  </r>
  <r>
    <n v="119"/>
    <x v="0"/>
    <x v="245"/>
    <s v="eth1/22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22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22"/>
    <x v="0"/>
    <x v="1"/>
    <x v="1"/>
    <s v="CAMPANAS 01-02:uxobie05:ent1"/>
    <x v="6"/>
    <b v="0"/>
    <s v="No está en VPC"/>
    <n v="103"/>
    <s v="INTPG_ACC_103_1.22"/>
    <s v="ISEL-1.22"/>
    <n v="1"/>
    <s v="NO TIENE L3OUT"/>
    <n v="70"/>
    <n v="96"/>
  </r>
  <r>
    <n v="438"/>
    <x v="1"/>
    <x v="248"/>
    <s v="eth1/22"/>
    <x v="0"/>
    <x v="0"/>
    <x v="0"/>
    <s v="HP_Proliant_DL380p(b)"/>
    <x v="6"/>
    <b v="0"/>
    <s v="No está en VPC"/>
    <n v="438"/>
    <s v="INTPG_ACC_438_1.22"/>
    <s v="ISEL-1.22"/>
    <n v="1"/>
    <s v="NO TIENE L3OUT"/>
    <n v="170"/>
    <n v="96"/>
  </r>
  <r>
    <n v="406"/>
    <x v="1"/>
    <x v="249"/>
    <s v="eth1/22"/>
    <x v="0"/>
    <x v="0"/>
    <x v="0"/>
    <s v="ITHRTC51VC2"/>
    <x v="6"/>
    <b v="0"/>
    <s v="No está en VPC"/>
    <n v="406"/>
    <s v="INTPG_VPC_404_1.22_406_1.22"/>
    <s v="ISEL-1.22"/>
    <n v="1"/>
    <s v="NO TIENE L3OUT"/>
    <n v="82"/>
    <n v="96"/>
  </r>
  <r>
    <n v="414"/>
    <x v="1"/>
    <x v="250"/>
    <s v="eth1/22"/>
    <x v="0"/>
    <x v="1"/>
    <x v="1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22"/>
    <x v="0"/>
    <x v="0"/>
    <x v="0"/>
    <s v="TO-ITHAI9-PRINCIPAL"/>
    <x v="6"/>
    <b v="0"/>
    <s v="No está en VPC"/>
    <n v="416"/>
    <s v="INTPG_ACC_416_1.22"/>
    <s v="ISEL-1.22"/>
    <n v="1"/>
    <s v="NO TIENE L3OUT"/>
    <n v="110"/>
    <n v="96"/>
  </r>
  <r>
    <n v="418"/>
    <x v="1"/>
    <x v="252"/>
    <s v="eth1/22"/>
    <x v="0"/>
    <x v="0"/>
    <x v="0"/>
    <s v="TO-ITHEA1C-PRINCIPAL"/>
    <x v="6"/>
    <b v="0"/>
    <s v="No está en VPC"/>
    <n v="418"/>
    <s v="INTPG_ACC_418_1.22"/>
    <s v="ISEL-1.22"/>
    <n v="1"/>
    <s v="NO TIENE L3OUT"/>
    <n v="152"/>
    <n v="96"/>
  </r>
  <r>
    <n v="413"/>
    <x v="1"/>
    <x v="253"/>
    <s v="eth1/22"/>
    <x v="0"/>
    <x v="0"/>
    <x v="0"/>
    <s v="To_lagidmhlapvp08_produccion1"/>
    <x v="6"/>
    <b v="0"/>
    <s v="No está en VPC"/>
    <n v="413"/>
    <s v="INTPG_VPC_411_1.26-29_413_1.19-20_22_86"/>
    <s v="ISEL-1.22"/>
    <n v="2"/>
    <s v="NO TIENE L3OUT"/>
    <n v="126"/>
    <n v="96"/>
  </r>
  <r>
    <n v="403"/>
    <x v="1"/>
    <x v="254"/>
    <s v="eth1/22"/>
    <x v="0"/>
    <x v="0"/>
    <x v="0"/>
    <s v="XL6 RLR6ARI02"/>
    <x v="6"/>
    <b v="0"/>
    <s v="No está en VPC"/>
    <n v="403"/>
    <s v="INTPG_ACC_403_1.22"/>
    <s v="ISEL-1.22"/>
    <n v="1"/>
    <s v="NO TIENE L3OUT"/>
    <n v="150"/>
    <n v="96"/>
  </r>
  <r>
    <n v="125"/>
    <x v="0"/>
    <x v="255"/>
    <s v="eth1/22"/>
    <x v="0"/>
    <x v="0"/>
    <x v="0"/>
    <s v="UXSVA (M9000)"/>
    <x v="6"/>
    <b v="0"/>
    <s v="No está en VPC"/>
    <n v="125"/>
    <s v="INTPG_ACC_125_1.22"/>
    <s v="ISEL-1.22"/>
    <n v="1"/>
    <s v="NO TIENE L3OUT"/>
    <n v="72"/>
    <n v="96"/>
  </r>
  <r>
    <n v="166"/>
    <x v="0"/>
    <x v="256"/>
    <s v="eth1/22"/>
    <x v="1"/>
    <x v="1"/>
    <x v="2"/>
    <s v="UXLDAP"/>
    <x v="6"/>
    <b v="0"/>
    <s v="No está en VPC"/>
    <n v="166"/>
    <s v="INTPG_ACC_166_1.22"/>
    <s v="ISEL-1.22"/>
    <n v="1"/>
    <s v="NO TIENE L3OUT"/>
    <n v="84"/>
    <n v="96"/>
  </r>
  <r>
    <n v="111"/>
    <x v="0"/>
    <x v="257"/>
    <s v="eth1/22"/>
    <x v="0"/>
    <x v="0"/>
    <x v="0"/>
    <s v="DESC"/>
    <x v="6"/>
    <b v="0"/>
    <s v="No está en VPC"/>
    <n v="111"/>
    <s v="INTPG_PC_111_1.15-16_22-23_30"/>
    <s v="ISEL-1.22"/>
    <n v="1"/>
    <s v="NO TIENE L3OUT"/>
    <n v="58"/>
    <n v="96"/>
  </r>
  <r>
    <n v="115"/>
    <x v="0"/>
    <x v="258"/>
    <s v="eth1/22"/>
    <x v="0"/>
    <x v="1"/>
    <x v="1"/>
    <s v="SAPCC"/>
    <x v="6"/>
    <b v="0"/>
    <s v="No está en VPC"/>
    <n v="115"/>
    <s v="INTPG_ACC_115_1.22"/>
    <s v="ISEL-1.22"/>
    <n v="1"/>
    <s v="NO TIENE L3OUT"/>
    <n v="42"/>
    <n v="96"/>
  </r>
  <r>
    <n v="106"/>
    <x v="0"/>
    <x v="259"/>
    <s v="eth1/22"/>
    <x v="0"/>
    <x v="1"/>
    <x v="1"/>
    <s v="SISAP"/>
    <x v="6"/>
    <b v="0"/>
    <s v="No está en VPC"/>
    <n v="106"/>
    <s v="INTPG_ACC_106_1.22"/>
    <s v="ISEL-1.22"/>
    <n v="1"/>
    <s v="NO TIENE L3OUT"/>
    <n v="122"/>
    <n v="96"/>
  </r>
  <r>
    <n v="126"/>
    <x v="0"/>
    <x v="260"/>
    <s v="eth1/22"/>
    <x v="0"/>
    <x v="1"/>
    <x v="1"/>
    <s v="ENIQ"/>
    <x v="6"/>
    <b v="0"/>
    <s v="No está en VPC"/>
    <n v="126"/>
    <s v="INTPG_ACC_126_1.22"/>
    <s v="ISEL-1.22"/>
    <n v="1"/>
    <s v="NO TIENE L3OUT"/>
    <n v="54"/>
    <n v="96"/>
  </r>
  <r>
    <n v="425"/>
    <x v="1"/>
    <x v="261"/>
    <s v="eth1/22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22"/>
    <x v="0"/>
    <x v="0"/>
    <x v="0"/>
    <s v="ETLI-SACI 4"/>
    <x v="6"/>
    <b v="0"/>
    <s v="No está en VPC"/>
    <n v="151"/>
    <s v="INTPG_ACC_151_1.22"/>
    <s v="ISEL-1.22"/>
    <n v="1"/>
    <s v="NO TIENE L3OUT"/>
    <n v="86"/>
    <n v="96"/>
  </r>
  <r>
    <n v="430"/>
    <x v="1"/>
    <x v="263"/>
    <s v="eth1/22"/>
    <x v="0"/>
    <x v="1"/>
    <x v="1"/>
    <s v="RHEV_Produccion_sfrevp04"/>
    <x v="6"/>
    <b v="0"/>
    <s v="No está en VPC"/>
    <n v="430"/>
    <s v="INTPG_VPC_428_1.22_430_1.22"/>
    <s v="ISEL-1.22"/>
    <n v="1"/>
    <s v="NO TIENE L3OUT"/>
    <n v="86"/>
    <n v="96"/>
  </r>
  <r>
    <n v="419"/>
    <x v="1"/>
    <x v="264"/>
    <s v="eth1/22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22"/>
    <x v="0"/>
    <x v="0"/>
    <x v="0"/>
    <s v="COBROS NAVEGACION"/>
    <x v="6"/>
    <b v="0"/>
    <s v="No está en VPC"/>
    <n v="155"/>
    <s v="INTPG_ACC_155_1.22"/>
    <s v="ISEL-1.22"/>
    <n v="1"/>
    <s v="NO TIENE L3OUT"/>
    <n v="198"/>
    <n v="96"/>
  </r>
  <r>
    <n v="409"/>
    <x v="1"/>
    <x v="266"/>
    <s v="eth1/22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22"/>
    <x v="0"/>
    <x v="0"/>
    <x v="0"/>
    <s v="IXTSD969A"/>
    <x v="6"/>
    <b v="0"/>
    <s v="No está en VPC"/>
    <n v="422"/>
    <s v="INTPG_ACC_422_1.22"/>
    <s v="ISEL-1.22"/>
    <n v="1"/>
    <s v="NO TIENE L3OUT"/>
    <n v="182"/>
    <n v="96"/>
  </r>
  <r>
    <n v="436"/>
    <x v="1"/>
    <x v="268"/>
    <s v="eth1/22"/>
    <x v="0"/>
    <x v="0"/>
    <x v="0"/>
    <s v="HP_Proliant_DL380p(b)"/>
    <x v="6"/>
    <b v="0"/>
    <s v="No está en VPC"/>
    <n v="436"/>
    <s v="INTPG_ACC_436_1.22"/>
    <s v="ISEL-1.22"/>
    <n v="1"/>
    <s v="NO TIENE L3OUT"/>
    <n v="172"/>
    <n v="96"/>
  </r>
  <r>
    <n v="410"/>
    <x v="1"/>
    <x v="269"/>
    <s v="eth1/22"/>
    <x v="0"/>
    <x v="0"/>
    <x v="0"/>
    <s v="ITHMSVB2_IGB2"/>
    <x v="6"/>
    <b v="0"/>
    <s v="No está en VPC"/>
    <n v="410"/>
    <s v="INTPG_ACC_410_1.22"/>
    <s v="ISEL-1.22"/>
    <n v="1"/>
    <s v="NO TIENE L3OUT"/>
    <n v="178"/>
    <n v="96"/>
  </r>
  <r>
    <n v="161"/>
    <x v="0"/>
    <x v="270"/>
    <s v="eth1/22"/>
    <x v="1"/>
    <x v="1"/>
    <x v="2"/>
    <s v="SICOP"/>
    <x v="6"/>
    <b v="0"/>
    <s v="No está en VPC"/>
    <n v="161"/>
    <s v="INTPG_ACC_161_1.22"/>
    <s v="ISEL-1.22"/>
    <n v="0"/>
    <s v="NO TIENE L3OUT"/>
    <n v="102"/>
    <n v="96"/>
  </r>
  <r>
    <n v="411"/>
    <x v="1"/>
    <x v="271"/>
    <s v="eth1/22"/>
    <x v="0"/>
    <x v="0"/>
    <x v="0"/>
    <s v="lagidmhlapvp06_produccion1"/>
    <x v="6"/>
    <b v="0"/>
    <s v="No está en VPC"/>
    <n v="411"/>
    <s v="INTPG_VPC_411_1.21-24_413_1.14-17"/>
    <s v="ISEL-1.22"/>
    <n v="2"/>
    <s v="NO TIENE L3OUT"/>
    <n v="96"/>
    <n v="96"/>
  </r>
  <r>
    <n v="116"/>
    <x v="0"/>
    <x v="272"/>
    <s v="eth1/22"/>
    <x v="0"/>
    <x v="0"/>
    <x v="0"/>
    <s v="COBROS NAVEGACION"/>
    <x v="6"/>
    <b v="0"/>
    <s v="No está en VPC"/>
    <n v="116"/>
    <s v="INTPG_ACC_116_1.22"/>
    <s v="ISEL-1.22"/>
    <n v="1"/>
    <s v="NO TIENE L3OUT"/>
    <n v="148"/>
    <n v="96"/>
  </r>
  <r>
    <n v="412"/>
    <x v="1"/>
    <x v="273"/>
    <s v="eth1/22"/>
    <x v="0"/>
    <x v="0"/>
    <x v="0"/>
    <s v="UXCA_EXADATA_MGMT"/>
    <x v="6"/>
    <b v="0"/>
    <s v="No está en VPC"/>
    <n v="412"/>
    <s v="INTPG_ACC_412_1.22"/>
    <s v="ISEL-1.22"/>
    <n v="1"/>
    <s v="NO TIENE L3OUT"/>
    <n v="126"/>
    <n v="96"/>
  </r>
  <r>
    <n v="120"/>
    <x v="0"/>
    <x v="274"/>
    <s v="eth1/22"/>
    <x v="0"/>
    <x v="0"/>
    <x v="0"/>
    <s v="VNX_5500_mgmt"/>
    <x v="6"/>
    <b v="0"/>
    <s v="No está en VPC"/>
    <n v="120"/>
    <s v="INTPG_ACC_120_1.22"/>
    <s v="ISEL-1.22"/>
    <n v="1"/>
    <s v="NO TIENE L3OUT"/>
    <n v="158"/>
    <n v="96"/>
  </r>
  <r>
    <n v="404"/>
    <x v="1"/>
    <x v="275"/>
    <s v="eth1/22"/>
    <x v="0"/>
    <x v="0"/>
    <x v="0"/>
    <s v="ITHRTC51VC2"/>
    <x v="6"/>
    <b v="0"/>
    <s v="No está en VPC"/>
    <n v="404"/>
    <s v="INTPG_VPC_404_1.22_406_1.22"/>
    <s v="ISEL-1.22"/>
    <n v="1"/>
    <s v="NO TIENE L3OUT"/>
    <n v="92"/>
    <n v="96"/>
  </r>
  <r>
    <n v="167"/>
    <x v="0"/>
    <x v="276"/>
    <s v="eth1/22"/>
    <x v="1"/>
    <x v="1"/>
    <x v="2"/>
    <s v="MMSC_WAPGW"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22"/>
    <x v="0"/>
    <x v="1"/>
    <x v="1"/>
    <s v="RHEV_Produccion_sfrevp04"/>
    <x v="6"/>
    <b v="0"/>
    <s v="No está en VPC"/>
    <n v="428"/>
    <s v="INTPG_VPC_428_1.22_430_1.22"/>
    <s v="ISEL-1.22"/>
    <n v="1"/>
    <s v="NO TIENE L3OUT"/>
    <n v="102"/>
    <n v="96"/>
  </r>
  <r>
    <n v="903"/>
    <x v="2"/>
    <x v="278"/>
    <s v="eth1/2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2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23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23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23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23"/>
    <x v="0"/>
    <x v="0"/>
    <x v="0"/>
    <s v="TO-ITHFDEVYCWPBD02"/>
    <x v="0"/>
    <b v="0"/>
    <s v="No está en VPC"/>
    <n v="101"/>
    <s v="INTPG_VPC_101_1.23_150_1.23"/>
    <s v="ISEL-1.23"/>
    <n v="1"/>
    <s v="NO TIENE L3OUT"/>
    <n v="114"/>
    <n v="54"/>
  </r>
  <r>
    <n v="160"/>
    <x v="0"/>
    <x v="4"/>
    <s v="eth1/23"/>
    <x v="0"/>
    <x v="1"/>
    <x v="1"/>
    <s v="ArrobaDOC Y CF"/>
    <x v="1"/>
    <b v="0"/>
    <s v="No está en VPC"/>
    <n v="160"/>
    <s v="INTPG_ACC_160_1.23"/>
    <s v="ISEL-1.23"/>
    <n v="1"/>
    <s v="NO TIENE L3OUT"/>
    <n v="68"/>
    <n v="54"/>
  </r>
  <r>
    <n v="121"/>
    <x v="0"/>
    <x v="5"/>
    <s v="eth1/23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23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23"/>
    <x v="0"/>
    <x v="0"/>
    <x v="0"/>
    <s v="LINK_HACIA_MGMT"/>
    <x v="0"/>
    <b v="0"/>
    <s v="No está en VPC"/>
    <n v="401"/>
    <s v="INTPG_VPC_MGMT_10518_401_1.23_402_1.23"/>
    <s v="ISEL-1.23"/>
    <n v="1"/>
    <s v="NO TIENE L3OUT"/>
    <n v="40"/>
    <n v="54"/>
  </r>
  <r>
    <n v="402"/>
    <x v="1"/>
    <x v="8"/>
    <s v="eth1/23"/>
    <x v="0"/>
    <x v="0"/>
    <x v="0"/>
    <s v="LINK_HACIA_MGMT"/>
    <x v="0"/>
    <b v="0"/>
    <s v="No está en VPC"/>
    <n v="402"/>
    <s v="INTPG_VPC_MGMT_10518_401_1.23_402_1.23"/>
    <s v="ISEL-1.23"/>
    <n v="1"/>
    <s v="NO TIENE L3OUT"/>
    <n v="36"/>
    <n v="54"/>
  </r>
  <r>
    <n v="447"/>
    <x v="1"/>
    <x v="9"/>
    <s v="eth1/23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23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23"/>
    <x v="0"/>
    <x v="0"/>
    <x v="0"/>
    <s v="TO-ITHFDEMCFRPMS01"/>
    <x v="0"/>
    <b v="0"/>
    <s v="No está en VPC"/>
    <n v="130"/>
    <s v="INTPG_VPC_130_1.23-24_131_1.24-25"/>
    <s v="ISEL-1.23"/>
    <n v="1"/>
    <s v="NO TIENE L3OUT"/>
    <n v="128"/>
    <n v="54"/>
  </r>
  <r>
    <n v="150"/>
    <x v="0"/>
    <x v="12"/>
    <s v="eth1/23"/>
    <x v="0"/>
    <x v="0"/>
    <x v="0"/>
    <s v="TO-ITHFDEVYCWPBD02"/>
    <x v="0"/>
    <b v="0"/>
    <s v="No está en VPC"/>
    <n v="150"/>
    <s v="INTPG_VPC_101_1.23_150_1.23"/>
    <s v="ISEL-1.23"/>
    <n v="1"/>
    <s v="NO TIENE L3OUT"/>
    <n v="118"/>
    <n v="54"/>
  </r>
  <r>
    <n v="131"/>
    <x v="0"/>
    <x v="13"/>
    <s v="eth1/23"/>
    <x v="0"/>
    <x v="0"/>
    <x v="0"/>
    <s v="TO-ITHEMCDD99000569"/>
    <x v="0"/>
    <b v="0"/>
    <s v="No está en VPC"/>
    <n v="131"/>
    <s v="INTPG_VPC_130_1.21-22_131_1.22-23"/>
    <s v="ISEL-1.23"/>
    <n v="1"/>
    <s v="NO TIENE L3OUT"/>
    <n v="126"/>
    <n v="54"/>
  </r>
  <r>
    <n v="303"/>
    <x v="0"/>
    <x v="14"/>
    <s v="eth1/23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23"/>
    <x v="0"/>
    <x v="1"/>
    <x v="1"/>
    <m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23"/>
    <x v="1"/>
    <x v="1"/>
    <x v="2"/>
    <m/>
    <x v="2"/>
    <b v="0"/>
    <s v="No está en VPC"/>
    <n v="759"/>
    <s v="NO EXISTE PG"/>
    <s v="NO EXISTE ISEL"/>
    <n v="0"/>
    <s v="NO TIENE L3OUT"/>
    <n v="0"/>
    <n v="42"/>
  </r>
  <r>
    <n v="302"/>
    <x v="0"/>
    <x v="17"/>
    <s v="eth1/23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23"/>
    <x v="0"/>
    <x v="0"/>
    <x v="0"/>
    <s v="EMIPCLOUD_A04"/>
    <x v="1"/>
    <b v="0"/>
    <s v="No está en VPC"/>
    <n v="424"/>
    <s v="INTPG_ACC_424_1.23"/>
    <s v="ISEL-1.23"/>
    <n v="1"/>
    <s v="NO TIENE L3OUT"/>
    <n v="16"/>
    <n v="54"/>
  </r>
  <r>
    <n v="426"/>
    <x v="1"/>
    <x v="19"/>
    <s v="eth1/23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23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23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23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23"/>
    <x v="0"/>
    <x v="0"/>
    <x v="0"/>
    <m/>
    <x v="0"/>
    <b v="0"/>
    <s v="No está en VPC"/>
    <n v="724"/>
    <s v="INTPG-VPC_HDD97_724_1.23_725_1.24"/>
    <s v="ISEL-1.23"/>
    <n v="1"/>
    <s v="NO TIENE L3OUT"/>
    <n v="0"/>
    <n v="54"/>
  </r>
  <r>
    <n v="602"/>
    <x v="1"/>
    <x v="24"/>
    <s v="eth1/23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23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23"/>
    <x v="0"/>
    <x v="0"/>
    <x v="0"/>
    <s v="CLIENT_HUAWEI_CLOUD_ARIESO1"/>
    <x v="0"/>
    <b v="0"/>
    <s v="No está en VPC"/>
    <n v="431"/>
    <s v="INTPG_VPC_431_1.22-25_448_1.22-25"/>
    <s v="ISEL-1.23"/>
    <n v="14"/>
    <s v="NO TIENE L3OUT"/>
    <n v="46"/>
    <n v="54"/>
  </r>
  <r>
    <n v="433"/>
    <x v="1"/>
    <x v="27"/>
    <s v="eth1/23"/>
    <x v="0"/>
    <x v="0"/>
    <x v="0"/>
    <s v="ITHRNCOP2ET01_ETH1"/>
    <x v="1"/>
    <b v="0"/>
    <s v="No está en VPC"/>
    <n v="433"/>
    <s v="INTPG_ACC_433_1.23"/>
    <s v="ISEL-1.23"/>
    <n v="1"/>
    <s v="NO TIENE L3OUT"/>
    <n v="42"/>
    <n v="54"/>
  </r>
  <r>
    <n v="429"/>
    <x v="1"/>
    <x v="28"/>
    <s v="eth1/23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23"/>
    <x v="0"/>
    <x v="0"/>
    <x v="0"/>
    <s v="SecAnLG_Gb2_07-Archiver-IXTSALG_ARC1"/>
    <x v="1"/>
    <b v="0"/>
    <s v="No está en VPC"/>
    <n v="432"/>
    <s v="INTPG_ACC_432_1.23"/>
    <s v="ISEL-1.23"/>
    <n v="1"/>
    <s v="NO TIENE L3OUT"/>
    <n v="54"/>
    <n v="54"/>
  </r>
  <r>
    <n v="442"/>
    <x v="1"/>
    <x v="30"/>
    <s v="eth1/23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23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23"/>
    <x v="0"/>
    <x v="1"/>
    <x v="3"/>
    <s v="CEM_HADOOP"/>
    <x v="0"/>
    <b v="0"/>
    <s v="No está en VPC"/>
    <n v="707"/>
    <s v="INTPG_ACC_707_1.23"/>
    <s v="ISEL-1.23"/>
    <n v="0"/>
    <s v="NO TIENE L3OUT"/>
    <n v="54"/>
    <n v="54"/>
  </r>
  <r>
    <n v="712"/>
    <x v="2"/>
    <x v="33"/>
    <s v="eth1/23"/>
    <x v="0"/>
    <x v="1"/>
    <x v="5"/>
    <s v="CEM:ITHCEMB2ADT12:LOM P1"/>
    <x v="0"/>
    <b v="0"/>
    <s v="No está en VPC"/>
    <n v="712"/>
    <s v="INTPG_VPC_712_1.23_713_1.24"/>
    <s v="ISEL-1.23"/>
    <n v="1"/>
    <s v="NO TIENE L3OUT"/>
    <n v="32"/>
    <n v="54"/>
  </r>
  <r>
    <n v="719"/>
    <x v="2"/>
    <x v="34"/>
    <s v="eth1/23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23"/>
    <x v="0"/>
    <x v="0"/>
    <x v="0"/>
    <m/>
    <x v="0"/>
    <b v="0"/>
    <s v="No está en VPC"/>
    <n v="715"/>
    <s v="INTPG-VPC_SLR02_715_1.23_716_1.24"/>
    <s v="ISEL-1.23"/>
    <n v="1"/>
    <s v="NO TIENE L3OUT"/>
    <n v="0"/>
    <n v="54"/>
  </r>
  <r>
    <n v="427"/>
    <x v="1"/>
    <x v="36"/>
    <s v="eth1/23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23"/>
    <x v="0"/>
    <x v="1"/>
    <x v="5"/>
    <s v="CEM:ITHCEMC2ADT12:LOM P1"/>
    <x v="0"/>
    <b v="0"/>
    <s v="No está en VPC"/>
    <n v="711"/>
    <s v="INTPG_VPC_710_1.24_711_1.23"/>
    <s v="ISEL-1.23"/>
    <n v="1"/>
    <s v="NO TIENE L3OUT"/>
    <n v="16"/>
    <n v="54"/>
  </r>
  <r>
    <n v="716"/>
    <x v="2"/>
    <x v="38"/>
    <s v="eth1/23"/>
    <x v="0"/>
    <x v="0"/>
    <x v="0"/>
    <m/>
    <x v="0"/>
    <b v="0"/>
    <s v="No está en VPC"/>
    <n v="716"/>
    <s v="INTPG-VPC_HDD28_716_1.23_715_1.24"/>
    <s v="ISEL-1.23"/>
    <n v="1"/>
    <s v="NO TIENE L3OUT"/>
    <n v="0"/>
    <n v="54"/>
  </r>
  <r>
    <n v="702"/>
    <x v="2"/>
    <x v="39"/>
    <s v="eth1/23"/>
    <x v="0"/>
    <x v="0"/>
    <x v="0"/>
    <m/>
    <x v="0"/>
    <b v="0"/>
    <s v="No está en VPC"/>
    <n v="702"/>
    <s v="INTPG_VPC_702_1.23_701_1.24"/>
    <s v="ISEL-1.23"/>
    <n v="1"/>
    <s v="NO TIENE L3OUT"/>
    <n v="0"/>
    <n v="54"/>
  </r>
  <r>
    <n v="435"/>
    <x v="1"/>
    <x v="40"/>
    <s v="eth1/23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23"/>
    <x v="0"/>
    <x v="0"/>
    <x v="0"/>
    <s v="TO-ITHFDLMCLWLCN02"/>
    <x v="0"/>
    <b v="0"/>
    <s v="No está en VPC"/>
    <n v="446"/>
    <s v="INTPG_VPC_446_1.23_444_1.23"/>
    <s v="ISEL-1.23"/>
    <n v="1"/>
    <s v="NO TIENE L3OUT"/>
    <n v="198"/>
    <n v="54"/>
  </r>
  <r>
    <n v="444"/>
    <x v="1"/>
    <x v="42"/>
    <s v="eth1/23"/>
    <x v="0"/>
    <x v="0"/>
    <x v="0"/>
    <s v="TO-ITHFDLMCLWLCN02"/>
    <x v="0"/>
    <b v="0"/>
    <s v="No está en VPC"/>
    <n v="444"/>
    <s v="INTPG_VPC_446_1.23_444_1.23"/>
    <s v="ISEL-1.23"/>
    <n v="1"/>
    <s v="NO TIENE L3OUT"/>
    <n v="234"/>
    <n v="54"/>
  </r>
  <r>
    <n v="701"/>
    <x v="2"/>
    <x v="43"/>
    <s v="eth1/23"/>
    <x v="0"/>
    <x v="0"/>
    <x v="0"/>
    <m/>
    <x v="0"/>
    <b v="0"/>
    <s v="No está en VPC"/>
    <n v="701"/>
    <s v="INTPG_VPC_701_1.23_702_1.24"/>
    <s v="ISEL-1.23"/>
    <n v="1"/>
    <s v="NO TIENE L3OUT"/>
    <n v="0"/>
    <n v="54"/>
  </r>
  <r>
    <n v="440"/>
    <x v="1"/>
    <x v="44"/>
    <s v="eth1/23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23"/>
    <x v="0"/>
    <x v="0"/>
    <x v="0"/>
    <s v="CLIENT_HUAWEI_CLOUD_ARIESO1"/>
    <x v="0"/>
    <b v="0"/>
    <s v="No está en VPC"/>
    <n v="448"/>
    <s v="INTPG_VPC_431_1.22-25_448_1.22-25"/>
    <s v="ISEL-1.23"/>
    <n v="14"/>
    <s v="NO TIENE L3OUT"/>
    <n v="46"/>
    <n v="54"/>
  </r>
  <r>
    <n v="704"/>
    <x v="2"/>
    <x v="46"/>
    <s v="eth1/23"/>
    <x v="0"/>
    <x v="0"/>
    <x v="0"/>
    <m/>
    <x v="0"/>
    <b v="0"/>
    <s v="No está en VPC"/>
    <n v="704"/>
    <s v="INTPG_VPC_704_1.23_703_1.24"/>
    <s v="ISEL-1.23"/>
    <n v="1"/>
    <s v="NO TIENE L3OUT"/>
    <n v="0"/>
    <n v="54"/>
  </r>
  <r>
    <n v="729"/>
    <x v="2"/>
    <x v="47"/>
    <s v="eth1/23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23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23"/>
    <x v="0"/>
    <x v="0"/>
    <x v="0"/>
    <s v="HACIA_MGMT-OSCP-F4-03_SECUNDARIO"/>
    <x v="4"/>
    <b v="0"/>
    <s v="No está en VPC"/>
    <n v="456"/>
    <s v="INTPG_VPC_454_1.23_456_1.23"/>
    <s v="ISEL-1.23"/>
    <n v="1"/>
    <s v="NO TIENE L3OUT"/>
    <n v="4"/>
    <n v="54"/>
  </r>
  <r>
    <n v="603"/>
    <x v="1"/>
    <x v="50"/>
    <s v="eth1/23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23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23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23"/>
    <x v="0"/>
    <x v="0"/>
    <x v="0"/>
    <s v="Server_Pre-R02-CBS-RH2288-07"/>
    <x v="0"/>
    <b v="0"/>
    <s v="No está en VPC"/>
    <n v="730"/>
    <s v="INTPG_ACC_730_1.23"/>
    <s v="ISEL-1.23"/>
    <n v="1"/>
    <s v="NO TIENE L3OUT"/>
    <n v="36"/>
    <n v="54"/>
  </r>
  <r>
    <n v="722"/>
    <x v="2"/>
    <x v="54"/>
    <s v="eth1/23"/>
    <x v="0"/>
    <x v="0"/>
    <x v="0"/>
    <m/>
    <x v="0"/>
    <b v="0"/>
    <s v="No está en VPC"/>
    <n v="722"/>
    <s v="INTPG-VPC_HDD122_722_1.23_723_1.24"/>
    <s v="ISEL-1.23"/>
    <n v="1"/>
    <s v="NO TIENE L3OUT"/>
    <n v="0"/>
    <n v="54"/>
  </r>
  <r>
    <n v="733"/>
    <x v="2"/>
    <x v="55"/>
    <s v="eth1/23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23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23"/>
    <x v="0"/>
    <x v="0"/>
    <x v="0"/>
    <m/>
    <x v="0"/>
    <b v="0"/>
    <s v="No está en VPC"/>
    <n v="748"/>
    <s v="INTPG_ACC_748_1.23"/>
    <s v="ISEL-1.23"/>
    <n v="0"/>
    <s v="NO TIENE L3OUT"/>
    <n v="2"/>
    <n v="54"/>
  </r>
  <r>
    <n v="756"/>
    <x v="2"/>
    <x v="58"/>
    <s v="eth1/23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23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23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23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23"/>
    <x v="0"/>
    <x v="1"/>
    <x v="1"/>
    <s v="CEM:ITHCEMA2ADT12:LOM P3"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23"/>
    <x v="0"/>
    <x v="0"/>
    <x v="0"/>
    <s v="PAAS:ithhwosstpap008:FlexIO.1"/>
    <x v="0"/>
    <b v="0"/>
    <s v="No está en VPC"/>
    <n v="763"/>
    <s v="INTPG_VPC_762_1.23_763_1.23"/>
    <s v="ISEL-1.23"/>
    <n v="15"/>
    <s v="NO TIENE L3OUT"/>
    <n v="2"/>
    <n v="54"/>
  </r>
  <r>
    <n v="766"/>
    <x v="2"/>
    <x v="64"/>
    <s v="eth1/23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23"/>
    <x v="0"/>
    <x v="0"/>
    <x v="0"/>
    <s v="TO-9S_BESDR_IXTLA3_1"/>
    <x v="0"/>
    <b v="0"/>
    <s v="No está en VPC"/>
    <n v="760"/>
    <s v="INTPG_VPC_760_1.21-24_761_1.21-24"/>
    <s v="ISEL-1.23"/>
    <n v="33"/>
    <s v="NO TIENE L3OUT"/>
    <n v="0"/>
    <n v="54"/>
  </r>
  <r>
    <n v="752"/>
    <x v="2"/>
    <x v="66"/>
    <s v="eth1/23"/>
    <x v="0"/>
    <x v="0"/>
    <x v="0"/>
    <s v="PAAS:ithhwosstpap008:LOM PORT 1"/>
    <x v="0"/>
    <b v="0"/>
    <s v="No está en VPC"/>
    <n v="752"/>
    <s v="INTPG_VPC_747_1.23_752_1.23"/>
    <s v="ISEL-1.23"/>
    <n v="25"/>
    <s v="NO TIENE L3OUT"/>
    <n v="0"/>
    <n v="54"/>
  </r>
  <r>
    <n v="765"/>
    <x v="2"/>
    <x v="67"/>
    <s v="eth1/23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23"/>
    <x v="0"/>
    <x v="0"/>
    <x v="0"/>
    <s v="eSight:ITHHWC1ESI01:Slot 1 P3"/>
    <x v="0"/>
    <b v="0"/>
    <s v="No está en VPC"/>
    <n v="778"/>
    <s v="INTPG_VPC_778_1.23_779_1.23"/>
    <s v="ISEL-1.23"/>
    <n v="1"/>
    <s v="NO TIENE L3OUT"/>
    <n v="26"/>
    <n v="54"/>
  </r>
  <r>
    <n v="780"/>
    <x v="2"/>
    <x v="69"/>
    <s v="eth1/23"/>
    <x v="0"/>
    <x v="0"/>
    <x v="0"/>
    <s v="CLOUD OPS:ithhwcop02en01:2X P2"/>
    <x v="0"/>
    <b v="0"/>
    <s v="No está en VPC"/>
    <n v="780"/>
    <s v="INTPG_VPC_780_1.22-25_781_1.22-25"/>
    <s v="ISEL-1.23"/>
    <n v="23"/>
    <s v="NO TIENE L3OUT"/>
    <n v="26"/>
    <n v="54"/>
  </r>
  <r>
    <n v="812"/>
    <x v="2"/>
    <x v="70"/>
    <s v="eth1/23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23"/>
    <x v="0"/>
    <x v="0"/>
    <x v="0"/>
    <s v="TO_ITHFDEOSPVLMT01"/>
    <x v="0"/>
    <b v="0"/>
    <s v="No está en VPC"/>
    <n v="796"/>
    <s v="INTPG_VPC_795_1.23-25_796_1.23-25"/>
    <s v="ISEL-1.23"/>
    <n v="2"/>
    <s v="NO TIENE L3OUT"/>
    <n v="18"/>
    <n v="54"/>
  </r>
  <r>
    <n v="795"/>
    <x v="2"/>
    <x v="72"/>
    <s v="eth1/23"/>
    <x v="0"/>
    <x v="0"/>
    <x v="0"/>
    <s v="TO_ITHFDEOSPVLMT01"/>
    <x v="0"/>
    <b v="0"/>
    <s v="No está en VPC"/>
    <n v="795"/>
    <s v="INTPG_VPC_795_1.23-25_796_1.23-25"/>
    <s v="ISEL-1.23"/>
    <n v="2"/>
    <s v="NO TIENE L3OUT"/>
    <n v="18"/>
    <n v="54"/>
  </r>
  <r>
    <n v="749"/>
    <x v="2"/>
    <x v="73"/>
    <s v="eth1/23"/>
    <x v="0"/>
    <x v="0"/>
    <x v="0"/>
    <m/>
    <x v="0"/>
    <b v="0"/>
    <s v="No está en VPC"/>
    <n v="749"/>
    <s v="INTPG_ACC_749_1.23"/>
    <s v="ISEL-1.23"/>
    <n v="0"/>
    <s v="NO TIENE L3OUT"/>
    <n v="4"/>
    <n v="54"/>
  </r>
  <r>
    <n v="824"/>
    <x v="2"/>
    <x v="74"/>
    <s v="eth1/23"/>
    <x v="0"/>
    <x v="0"/>
    <x v="0"/>
    <s v="LINK_TO_ITHFHWCMVWPMA13 /Slot7.2 /Redundante"/>
    <x v="0"/>
    <b v="0"/>
    <s v="No está en VPC"/>
    <n v="824"/>
    <s v="INTPG_ACC_824_1.23"/>
    <s v="ISEL-1.23"/>
    <n v="1"/>
    <s v="NO TIENE L3OUT"/>
    <n v="70"/>
    <n v="54"/>
  </r>
  <r>
    <n v="819"/>
    <x v="2"/>
    <x v="75"/>
    <s v="eth1/23"/>
    <x v="0"/>
    <x v="0"/>
    <x v="0"/>
    <s v="LINK_TO_ITHFHWCMVWPMA13 /Slot5.2 /Principal"/>
    <x v="0"/>
    <b v="0"/>
    <s v="No está en VPC"/>
    <n v="819"/>
    <s v="INTPG_ACC_819_1.23"/>
    <s v="ISEL-1.23"/>
    <n v="1"/>
    <s v="NO TIENE L3OUT"/>
    <n v="70"/>
    <n v="54"/>
  </r>
  <r>
    <n v="737"/>
    <x v="2"/>
    <x v="76"/>
    <s v="eth1/23"/>
    <x v="0"/>
    <x v="0"/>
    <x v="0"/>
    <s v="CEM:ITHCEMF2KFK12:LOM P3"/>
    <x v="5"/>
    <b v="0"/>
    <s v="No está en VPC"/>
    <n v="737"/>
    <s v="INTPG_ACC_737_1.23"/>
    <s v="ISEL-1.23"/>
    <n v="1"/>
    <s v="NO TIENE L3OUT"/>
    <n v="72"/>
    <n v="54"/>
  </r>
  <r>
    <n v="844"/>
    <x v="2"/>
    <x v="77"/>
    <s v="eth1/23"/>
    <x v="0"/>
    <x v="0"/>
    <x v="0"/>
    <s v="LINK_TO_ITHFHWCRMPLCN108 / Slot1.2_20 / Principal"/>
    <x v="0"/>
    <b v="0"/>
    <s v="No está en VPC"/>
    <n v="844"/>
    <s v="INTPG_ACC_844_1.23"/>
    <s v="ISEL-1.23"/>
    <n v="2"/>
    <s v="NO TIENE L3OUT"/>
    <n v="282"/>
    <n v="54"/>
  </r>
  <r>
    <n v="843"/>
    <x v="2"/>
    <x v="78"/>
    <s v="eth1/23"/>
    <x v="0"/>
    <x v="0"/>
    <x v="0"/>
    <s v="LINK_To_ITHFHWCBSPSWR42 / Slot7.3_28 / Redundante"/>
    <x v="0"/>
    <b v="0"/>
    <s v="No está en VPC"/>
    <n v="843"/>
    <s v="INTPG_VPC_838_1.23_843_1.23"/>
    <s v="ISEL-1.23"/>
    <n v="1"/>
    <s v="NO TIENE L3OUT"/>
    <n v="38"/>
    <n v="54"/>
  </r>
  <r>
    <n v="797"/>
    <x v="2"/>
    <x v="79"/>
    <s v="eth1/23"/>
    <x v="0"/>
    <x v="0"/>
    <x v="0"/>
    <s v="TO-HDPS_25-MSP"/>
    <x v="0"/>
    <b v="0"/>
    <s v="No está en VPC"/>
    <n v="797"/>
    <s v="INTPG_ACC_797_1.23"/>
    <s v="ISEL-1.23"/>
    <n v="1"/>
    <s v="NO TIENE L3OUT"/>
    <n v="48"/>
    <n v="54"/>
  </r>
  <r>
    <n v="839"/>
    <x v="2"/>
    <x v="80"/>
    <s v="eth1/23"/>
    <x v="0"/>
    <x v="0"/>
    <x v="0"/>
    <s v="LINK_TO_ITHFHWCBSPSHD37 / Slot7.2_12 / Redundante"/>
    <x v="0"/>
    <b v="0"/>
    <s v="No está en VPC"/>
    <n v="839"/>
    <s v="INTPG_VPC_834_1.23_839_1.23"/>
    <s v="ISEL-1.23"/>
    <n v="1"/>
    <s v="NO TIENE L3OUT"/>
    <n v="0"/>
    <n v="54"/>
  </r>
  <r>
    <n v="847"/>
    <x v="2"/>
    <x v="81"/>
    <s v="eth1/23"/>
    <x v="0"/>
    <x v="0"/>
    <x v="0"/>
    <s v="LINK_TO_ITHFHWCRMPLCN173 / Slot7.1_16 / Redundante"/>
    <x v="0"/>
    <b v="0"/>
    <s v="No está en VPC"/>
    <n v="847"/>
    <s v="INTPG_ACC_847_1.23"/>
    <s v="ISEL-1.23"/>
    <n v="6"/>
    <s v="NO TIENE L3OUT"/>
    <n v="204"/>
    <n v="54"/>
  </r>
  <r>
    <n v="848"/>
    <x v="2"/>
    <x v="82"/>
    <s v="eth1/23"/>
    <x v="0"/>
    <x v="0"/>
    <x v="0"/>
    <s v="LINK_TO_ITHFHWCRMPLCN162 / Slot7.1_26 / Redundante"/>
    <x v="0"/>
    <b v="0"/>
    <s v="No está en VPC"/>
    <n v="848"/>
    <s v="INTPG_ACC_848_1.23"/>
    <s v="ISEL-1.23"/>
    <n v="6"/>
    <s v="NO TIENE L3OUT"/>
    <n v="254"/>
    <n v="54"/>
  </r>
  <r>
    <n v="846"/>
    <x v="2"/>
    <x v="83"/>
    <s v="eth1/23"/>
    <x v="0"/>
    <x v="0"/>
    <x v="0"/>
    <s v="LINK_TO_ITHFHWCRMPLCN79 / Slot1.2_16 / Principal"/>
    <x v="0"/>
    <b v="0"/>
    <s v="No está en VPC"/>
    <n v="846"/>
    <s v="INTPG_ACC_846_1.23"/>
    <s v="ISEL-1.23"/>
    <n v="2"/>
    <s v="NO TIENE L3OUT"/>
    <n v="242"/>
    <n v="54"/>
  </r>
  <r>
    <n v="838"/>
    <x v="2"/>
    <x v="84"/>
    <s v="eth1/23"/>
    <x v="0"/>
    <x v="0"/>
    <x v="0"/>
    <s v="LINK_To_ITHFHWCBSPSWR42 / Slot1.3_28 / Principal"/>
    <x v="0"/>
    <b v="0"/>
    <s v="No está en VPC"/>
    <n v="838"/>
    <s v="INTPG_VPC_838_1.23_843_1.23"/>
    <s v="ISEL-1.23"/>
    <n v="1"/>
    <s v="NO TIENE L3OUT"/>
    <n v="38"/>
    <n v="54"/>
  </r>
  <r>
    <n v="849"/>
    <x v="2"/>
    <x v="85"/>
    <s v="eth1/23"/>
    <x v="0"/>
    <x v="0"/>
    <x v="0"/>
    <s v="LINK_TO_ITHFHWCRMPLCN142 / Slot7.1_18 / Redundante"/>
    <x v="0"/>
    <b v="0"/>
    <s v="No está en VPC"/>
    <n v="849"/>
    <s v="INTPG_ACC_849_1.23"/>
    <s v="ISEL-1.23"/>
    <n v="6"/>
    <s v="NO TIENE L3OUT"/>
    <n v="286"/>
    <n v="54"/>
  </r>
  <r>
    <n v="845"/>
    <x v="2"/>
    <x v="86"/>
    <s v="eth1/23"/>
    <x v="0"/>
    <x v="0"/>
    <x v="0"/>
    <s v="LINK_TO_ITHFHWCRMPLCN91 / Slot1.3_14 / Principal"/>
    <x v="0"/>
    <b v="0"/>
    <s v="No está en VPC"/>
    <n v="845"/>
    <s v="INTPG_ACC_845_1.23"/>
    <s v="ISEL-1.23"/>
    <n v="1"/>
    <s v="NO TIENE L3OUT"/>
    <n v="258"/>
    <n v="54"/>
  </r>
  <r>
    <n v="873"/>
    <x v="2"/>
    <x v="87"/>
    <s v="eth1/23"/>
    <x v="0"/>
    <x v="0"/>
    <x v="0"/>
    <s v="TO_ITHFHWCRMDLCN60_Principal"/>
    <x v="0"/>
    <b v="0"/>
    <s v="No está en VPC"/>
    <n v="873"/>
    <s v="INTPG_ACC_873_1.23"/>
    <s v="ISEL-1.23"/>
    <n v="1"/>
    <s v="NO TIENE L3OUT"/>
    <n v="248"/>
    <n v="54"/>
  </r>
  <r>
    <n v="864"/>
    <x v="2"/>
    <x v="88"/>
    <s v="eth1/23"/>
    <x v="0"/>
    <x v="0"/>
    <x v="0"/>
    <s v="To_VPC_2DCBSD_WR43_2"/>
    <x v="0"/>
    <b v="0"/>
    <s v="No está en VPC"/>
    <n v="864"/>
    <s v="INTPG_VPC_859_1.23_864_1.23"/>
    <s v="ISEL-1.23"/>
    <n v="1"/>
    <s v="NO TIENE L3OUT"/>
    <n v="0"/>
    <n v="54"/>
  </r>
  <r>
    <n v="836"/>
    <x v="2"/>
    <x v="89"/>
    <s v="eth1/23"/>
    <x v="0"/>
    <x v="0"/>
    <x v="0"/>
    <s v="LINK_TO_ITHFHWCBSPSWR53 / Slot1.1_34 / Principal"/>
    <x v="0"/>
    <b v="0"/>
    <s v="No está en VPC"/>
    <n v="836"/>
    <s v="INTPG_VPC_836_1.23_841_1.23"/>
    <s v="ISEL-1.23"/>
    <n v="2"/>
    <s v="NO TIENE L3OUT"/>
    <n v="0"/>
    <n v="54"/>
  </r>
  <r>
    <n v="834"/>
    <x v="2"/>
    <x v="90"/>
    <s v="eth1/23"/>
    <x v="0"/>
    <x v="0"/>
    <x v="0"/>
    <s v="LINK_TO_ITHFHWCBSPSHD37 / Slot1.2_12 / Principal"/>
    <x v="0"/>
    <b v="0"/>
    <s v="No está en VPC"/>
    <n v="834"/>
    <s v="INTPG_VPC_834_1.23_839_1.23"/>
    <s v="ISEL-1.23"/>
    <n v="1"/>
    <s v="NO TIENE L3OUT"/>
    <n v="0"/>
    <n v="54"/>
  </r>
  <r>
    <n v="872"/>
    <x v="2"/>
    <x v="91"/>
    <s v="eth1/23"/>
    <x v="0"/>
    <x v="0"/>
    <x v="0"/>
    <s v="To_ITHFHWCRMDLCN76_Principal"/>
    <x v="0"/>
    <b v="0"/>
    <s v="No está en VPC"/>
    <n v="872"/>
    <s v="INTPG_ACC_872_1.23"/>
    <s v="ISEL-1.23"/>
    <n v="1"/>
    <s v="NO TIENE L3OUT"/>
    <n v="288"/>
    <n v="54"/>
  </r>
  <r>
    <n v="842"/>
    <x v="2"/>
    <x v="92"/>
    <s v="eth1/23"/>
    <x v="0"/>
    <x v="0"/>
    <x v="0"/>
    <s v="LINK_TO_ITHFHWCBSPSWR47 / Slot7.1_30 / Redundante"/>
    <x v="0"/>
    <b v="0"/>
    <s v="No está en VPC"/>
    <n v="842"/>
    <s v="INTPG_VPC_837_1.23_842_1.23"/>
    <s v="ISEL-1.23"/>
    <n v="2"/>
    <s v="NO TIENE L3OUT"/>
    <n v="8"/>
    <n v="54"/>
  </r>
  <r>
    <n v="828"/>
    <x v="2"/>
    <x v="93"/>
    <s v="eth1/23"/>
    <x v="0"/>
    <x v="0"/>
    <x v="0"/>
    <s v="LINK_TO_ITHFHWCRMDLCN23 /Slot5.2 /Principal"/>
    <x v="0"/>
    <b v="0"/>
    <s v="No está en VPC"/>
    <n v="828"/>
    <s v="INTPG_ACC_828_1.23"/>
    <s v="ISEL-1.23"/>
    <n v="5"/>
    <s v="NO TIENE L3OUT"/>
    <n v="192"/>
    <n v="54"/>
  </r>
  <r>
    <n v="870"/>
    <x v="2"/>
    <x v="94"/>
    <s v="eth1/23"/>
    <x v="0"/>
    <x v="0"/>
    <x v="0"/>
    <s v="TO_ITHFHWCRMDLCN60_Redundante"/>
    <x v="0"/>
    <b v="0"/>
    <s v="No está en VPC"/>
    <n v="870"/>
    <s v="INTPG_ACC_870_1.23"/>
    <s v="ISEL-1.23"/>
    <n v="1"/>
    <s v="NO TIENE L3OUT"/>
    <n v="248"/>
    <n v="54"/>
  </r>
  <r>
    <n v="866"/>
    <x v="2"/>
    <x v="95"/>
    <s v="eth1/23"/>
    <x v="0"/>
    <x v="0"/>
    <x v="0"/>
    <s v="To_VPC_2DCBSD_HD24_1"/>
    <x v="0"/>
    <b v="0"/>
    <s v="No está en VPC"/>
    <n v="866"/>
    <s v="INTPG_VPC_861_1.23_866_1.23"/>
    <s v="ISEL-1.23"/>
    <n v="2"/>
    <s v="NO TIENE L3OUT"/>
    <n v="8"/>
    <n v="54"/>
  </r>
  <r>
    <n v="862"/>
    <x v="2"/>
    <x v="96"/>
    <s v="eth1/23"/>
    <x v="0"/>
    <x v="0"/>
    <x v="0"/>
    <s v="TO-9S_BESDR_IXTLA3_1"/>
    <x v="0"/>
    <b v="0"/>
    <s v="No está en VPC"/>
    <n v="862"/>
    <s v="INTPG_VPC_862_1.20-23_867_1.20-23"/>
    <s v="ISEL-1.23"/>
    <n v="25"/>
    <s v="NO TIENE L3OUT"/>
    <n v="44"/>
    <n v="54"/>
  </r>
  <r>
    <n v="855"/>
    <x v="2"/>
    <x v="97"/>
    <s v="eth1/23"/>
    <x v="0"/>
    <x v="0"/>
    <x v="0"/>
    <s v="LINK_TO_ITHFHWCRMPLCN162 / Slot1.1_26 / Principal"/>
    <x v="0"/>
    <b v="0"/>
    <s v="No está en VPC"/>
    <n v="855"/>
    <s v="INTPG_ACC_855_1.23"/>
    <s v="ISEL-1.23"/>
    <n v="6"/>
    <s v="NO TIENE L3OUT"/>
    <n v="254"/>
    <n v="54"/>
  </r>
  <r>
    <n v="871"/>
    <x v="2"/>
    <x v="98"/>
    <s v="eth1/23"/>
    <x v="0"/>
    <x v="0"/>
    <x v="0"/>
    <s v="To_VPC_2DCRMD_SBD10_2"/>
    <x v="0"/>
    <b v="0"/>
    <s v="No está en VPC"/>
    <n v="871"/>
    <s v="INTPG_VPC_868_1.23_871_1.23"/>
    <s v="ISEL-1.23"/>
    <n v="2"/>
    <s v="NO TIENE L3OUT"/>
    <n v="246"/>
    <n v="54"/>
  </r>
  <r>
    <n v="841"/>
    <x v="2"/>
    <x v="99"/>
    <s v="eth1/23"/>
    <x v="0"/>
    <x v="0"/>
    <x v="0"/>
    <s v="LINK_TO_ITHFHWCBSPSWR53 / Slot7.1_34 / Redundante"/>
    <x v="0"/>
    <b v="0"/>
    <s v="No está en VPC"/>
    <n v="841"/>
    <s v="INTPG_VPC_836_1.23_841_1.23"/>
    <s v="ISEL-1.23"/>
    <n v="2"/>
    <s v="NO TIENE L3OUT"/>
    <n v="0"/>
    <n v="54"/>
  </r>
  <r>
    <n v="868"/>
    <x v="2"/>
    <x v="100"/>
    <s v="eth1/23"/>
    <x v="0"/>
    <x v="0"/>
    <x v="0"/>
    <s v="To_VPC_2DCRMD_SBD10_2"/>
    <x v="0"/>
    <b v="0"/>
    <s v="No está en VPC"/>
    <n v="868"/>
    <s v="INTPG_VPC_868_1.23_871_1.23"/>
    <s v="ISEL-1.23"/>
    <n v="2"/>
    <s v="NO TIENE L3OUT"/>
    <n v="246"/>
    <n v="54"/>
  </r>
  <r>
    <n v="869"/>
    <x v="2"/>
    <x v="101"/>
    <s v="eth1/23"/>
    <x v="0"/>
    <x v="0"/>
    <x v="0"/>
    <s v="To_ITHFHWCRMDLCN76_Redundante"/>
    <x v="0"/>
    <b v="0"/>
    <s v="No está en VPC"/>
    <n v="869"/>
    <s v="INTPG_ACC_869_1.23"/>
    <s v="ISEL-1.23"/>
    <n v="1"/>
    <s v="NO TIENE L3OUT"/>
    <n v="288"/>
    <n v="54"/>
  </r>
  <r>
    <n v="861"/>
    <x v="2"/>
    <x v="102"/>
    <s v="eth1/23"/>
    <x v="0"/>
    <x v="0"/>
    <x v="0"/>
    <s v="To_VPC_2DCBSD_HD24_1"/>
    <x v="0"/>
    <b v="0"/>
    <s v="No está en VPC"/>
    <n v="861"/>
    <s v="INTPG_VPC_861_1.23_866_1.23"/>
    <s v="ISEL-1.23"/>
    <n v="2"/>
    <s v="NO TIENE L3OUT"/>
    <n v="8"/>
    <n v="54"/>
  </r>
  <r>
    <n v="874"/>
    <x v="2"/>
    <x v="103"/>
    <s v="eth1/23"/>
    <x v="0"/>
    <x v="0"/>
    <x v="0"/>
    <s v="A_ITHFHWSEQLCAS22_Redundante"/>
    <x v="4"/>
    <b v="0"/>
    <s v="No está en VPC"/>
    <n v="874"/>
    <s v="INTPG_ACC_874_1.23"/>
    <s v="ISEL-1.23"/>
    <n v="1"/>
    <s v="NO TIENE L3OUT"/>
    <n v="92"/>
    <n v="54"/>
  </r>
  <r>
    <n v="865"/>
    <x v="2"/>
    <x v="104"/>
    <s v="eth1/23"/>
    <x v="0"/>
    <x v="0"/>
    <x v="0"/>
    <s v="To_VPC_2DCBSD_HD30_2"/>
    <x v="0"/>
    <b v="0"/>
    <s v="No está en VPC"/>
    <n v="865"/>
    <s v="INTPG_VPC_860_1.23_865_1.23"/>
    <s v="ISEL-1.23"/>
    <n v="1"/>
    <s v="NO TIENE L3OUT"/>
    <n v="0"/>
    <n v="54"/>
  </r>
  <r>
    <n v="753"/>
    <x v="2"/>
    <x v="105"/>
    <s v="eth1/23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23"/>
    <x v="0"/>
    <x v="1"/>
    <x v="5"/>
    <s v="CEM:ITHCEMF2KFK12:LOM P1"/>
    <x v="0"/>
    <b v="0"/>
    <s v="No está en VPC"/>
    <n v="708"/>
    <s v="INTPG_VPC_708_1.23_709_1.24"/>
    <s v="ISEL-1.23"/>
    <n v="1"/>
    <s v="NO TIENE L3OUT"/>
    <n v="0"/>
    <n v="54"/>
  </r>
  <r>
    <n v="710"/>
    <x v="2"/>
    <x v="107"/>
    <s v="eth1/23"/>
    <x v="0"/>
    <x v="1"/>
    <x v="5"/>
    <s v="CEM:ITHCEMD2AKG12:LOM P1"/>
    <x v="0"/>
    <b v="0"/>
    <s v="No está en VPC"/>
    <n v="710"/>
    <s v="INTPG_VPC_710_1.23_711_1.24"/>
    <s v="ISEL-1.23"/>
    <n v="1"/>
    <s v="NO TIENE L3OUT"/>
    <n v="16"/>
    <n v="54"/>
  </r>
  <r>
    <n v="713"/>
    <x v="2"/>
    <x v="108"/>
    <s v="eth1/23"/>
    <x v="1"/>
    <x v="1"/>
    <x v="3"/>
    <s v="CEM:ITHCEMA2ADT12:LOM P1"/>
    <x v="0"/>
    <b v="0"/>
    <s v="No está en VPC"/>
    <n v="713"/>
    <s v="INTPG_VPC_713_1.23_712_1.24"/>
    <s v="ISEL-1.23"/>
    <n v="0"/>
    <s v="NO TIENE L3OUT"/>
    <n v="32"/>
    <n v="54"/>
  </r>
  <r>
    <n v="735"/>
    <x v="2"/>
    <x v="109"/>
    <s v="eth1/23"/>
    <x v="0"/>
    <x v="1"/>
    <x v="1"/>
    <s v="ITHCEMA1APP19"/>
    <x v="5"/>
    <b v="0"/>
    <s v="No está en VPC"/>
    <n v="735"/>
    <s v="INTPG_ACC_735_1.23"/>
    <s v="ISEL-1.23"/>
    <n v="1"/>
    <s v="NO TIENE L3OUT"/>
    <n v="34"/>
    <n v="54"/>
  </r>
  <r>
    <n v="731"/>
    <x v="2"/>
    <x v="110"/>
    <s v="eth1/23"/>
    <x v="0"/>
    <x v="0"/>
    <x v="0"/>
    <s v="Server_Pre-R02-CBS-RH2288-07"/>
    <x v="0"/>
    <b v="0"/>
    <s v="No está en VPC"/>
    <n v="731"/>
    <s v="INTPG_ACC_731_1.23"/>
    <s v="ISEL-1.23"/>
    <n v="1"/>
    <s v="NO TIENE L3OUT"/>
    <n v="38"/>
    <n v="54"/>
  </r>
  <r>
    <n v="703"/>
    <x v="2"/>
    <x v="111"/>
    <s v="eth1/23"/>
    <x v="0"/>
    <x v="0"/>
    <x v="0"/>
    <m/>
    <x v="0"/>
    <b v="0"/>
    <s v="No está en VPC"/>
    <n v="703"/>
    <s v="INTPG_VPC_703_1.23_704_1.24"/>
    <s v="ISEL-1.23"/>
    <n v="1"/>
    <s v="NO TIENE L3OUT"/>
    <n v="2"/>
    <n v="54"/>
  </r>
  <r>
    <n v="706"/>
    <x v="2"/>
    <x v="112"/>
    <s v="eth1/23"/>
    <x v="0"/>
    <x v="0"/>
    <x v="0"/>
    <s v="ITHOIDA1SVR12"/>
    <x v="0"/>
    <b v="0"/>
    <s v="No está en VPC"/>
    <n v="706"/>
    <s v="INTPG_VPC_705_1.24_706_1.23"/>
    <s v="ISEL-1.23"/>
    <n v="1"/>
    <s v="NO TIENE L3OUT"/>
    <n v="16"/>
    <n v="54"/>
  </r>
  <r>
    <n v="762"/>
    <x v="2"/>
    <x v="113"/>
    <s v="eth1/23"/>
    <x v="0"/>
    <x v="0"/>
    <x v="0"/>
    <s v="PAAS:ithhwosstpap008:LOM PORT 3"/>
    <x v="0"/>
    <b v="0"/>
    <s v="No está en VPC"/>
    <n v="762"/>
    <s v="INTPG_VPC_762_1.23_763_1.23"/>
    <s v="ISEL-1.23"/>
    <n v="15"/>
    <s v="NO TIENE L3OUT"/>
    <n v="0"/>
    <n v="54"/>
  </r>
  <r>
    <n v="814"/>
    <x v="2"/>
    <x v="114"/>
    <s v="eth1/23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23"/>
    <x v="0"/>
    <x v="0"/>
    <x v="0"/>
    <s v="HACIA_MGMT-OSCP-F4-15_SECUNDARIO"/>
    <x v="4"/>
    <b v="0"/>
    <s v="No está en VPC"/>
    <n v="878"/>
    <s v="INTPG_VPC_878_1.23_879_1.23"/>
    <s v="ISEL-1.23"/>
    <n v="1"/>
    <s v="NO TIENE L3OUT"/>
    <n v="0"/>
    <n v="54"/>
  </r>
  <r>
    <n v="826"/>
    <x v="2"/>
    <x v="116"/>
    <s v="eth1/23"/>
    <x v="0"/>
    <x v="0"/>
    <x v="0"/>
    <s v="LINK_TO_ITHFHWCBSDSHD17 /10GE.1 /Principal"/>
    <x v="0"/>
    <b v="0"/>
    <s v="No está en VPC"/>
    <n v="826"/>
    <s v="INTPG_VPC_826_1.23_830_1.23"/>
    <s v="ISEL-1.23"/>
    <n v="1"/>
    <s v="NO TIENE L3OUT"/>
    <n v="12"/>
    <n v="54"/>
  </r>
  <r>
    <n v="726"/>
    <x v="2"/>
    <x v="117"/>
    <s v="eth1/23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23"/>
    <x v="0"/>
    <x v="0"/>
    <x v="0"/>
    <s v="CEM:ITHCEMC2ADT12:LOM P3"/>
    <x v="5"/>
    <b v="0"/>
    <s v="No está en VPC"/>
    <n v="740"/>
    <s v="INTPG_ACC_740_1.23"/>
    <s v="ISEL-1.23"/>
    <n v="1"/>
    <s v="NO TIENE L3OUT"/>
    <n v="72"/>
    <n v="54"/>
  </r>
  <r>
    <n v="705"/>
    <x v="2"/>
    <x v="119"/>
    <s v="eth1/23"/>
    <x v="0"/>
    <x v="0"/>
    <x v="0"/>
    <m/>
    <x v="0"/>
    <b v="0"/>
    <s v="No está en VPC"/>
    <n v="705"/>
    <s v="INTPG_VPC_705_1.23_706_1.24"/>
    <s v="ISEL-1.23"/>
    <n v="1"/>
    <s v="NO TIENE L3OUT"/>
    <n v="16"/>
    <n v="54"/>
  </r>
  <r>
    <n v="723"/>
    <x v="2"/>
    <x v="120"/>
    <s v="eth1/23"/>
    <x v="0"/>
    <x v="0"/>
    <x v="0"/>
    <m/>
    <x v="0"/>
    <b v="0"/>
    <s v="No está en VPC"/>
    <n v="723"/>
    <s v="INTPG-VPC_HDD109_723_1.23_722_1.24"/>
    <s v="ISEL-1.23"/>
    <n v="1"/>
    <s v="NO TIENE L3OUT"/>
    <n v="0"/>
    <n v="54"/>
  </r>
  <r>
    <n v="721"/>
    <x v="2"/>
    <x v="121"/>
    <s v="eth1/23"/>
    <x v="0"/>
    <x v="0"/>
    <x v="0"/>
    <m/>
    <x v="0"/>
    <b v="0"/>
    <s v="No está en VPC"/>
    <n v="721"/>
    <s v="INTPG-VPC_GNX01_721_1.23_714_1.24"/>
    <s v="ISEL-1.23"/>
    <n v="2"/>
    <s v="NO TIENE L3OUT"/>
    <n v="20"/>
    <n v="54"/>
  </r>
  <r>
    <n v="788"/>
    <x v="2"/>
    <x v="122"/>
    <s v="eth1/23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23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23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23"/>
    <x v="0"/>
    <x v="1"/>
    <x v="5"/>
    <s v="CEM:ITHCEME2KFK12:LOM P1"/>
    <x v="0"/>
    <b v="0"/>
    <s v="No está en VPC"/>
    <n v="709"/>
    <s v="INTPG_VPC_708_1.24_709_1.23"/>
    <s v="ISEL-1.23"/>
    <n v="1"/>
    <s v="NO TIENE L3OUT"/>
    <n v="0"/>
    <n v="54"/>
  </r>
  <r>
    <n v="454"/>
    <x v="1"/>
    <x v="126"/>
    <s v="eth1/23"/>
    <x v="0"/>
    <x v="0"/>
    <x v="0"/>
    <s v="HACIA_MGMT-OSCP-F4-03_PRINCIPAL"/>
    <x v="4"/>
    <b v="0"/>
    <s v="No está en VPC"/>
    <n v="454"/>
    <s v="INTPG_VPC_454_1.23_456_1.23"/>
    <s v="ISEL-1.23"/>
    <n v="1"/>
    <s v="NO TIENE L3OUT"/>
    <n v="4"/>
    <n v="54"/>
  </r>
  <r>
    <n v="734"/>
    <x v="2"/>
    <x v="127"/>
    <s v="eth1/23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23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23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23"/>
    <x v="0"/>
    <x v="0"/>
    <x v="0"/>
    <m/>
    <x v="0"/>
    <b v="0"/>
    <s v="No está en VPC"/>
    <n v="718"/>
    <s v="INTPG-VPC_NND01_718_1.23_717_1.24"/>
    <s v="ISEL-1.23"/>
    <n v="1"/>
    <s v="NO TIENE L3OUT"/>
    <n v="0"/>
    <n v="54"/>
  </r>
  <r>
    <n v="744"/>
    <x v="2"/>
    <x v="131"/>
    <s v="eth1/23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23"/>
    <x v="0"/>
    <x v="0"/>
    <x v="0"/>
    <s v="CEM:ITHCEMB2ADT12:LOM P3"/>
    <x v="5"/>
    <b v="0"/>
    <s v="No está en VPC"/>
    <n v="741"/>
    <s v="INTPG_ACC_741_1.23"/>
    <s v="ISEL-1.23"/>
    <n v="1"/>
    <s v="NO TIENE L3OUT"/>
    <n v="62"/>
    <n v="54"/>
  </r>
  <r>
    <n v="787"/>
    <x v="2"/>
    <x v="133"/>
    <s v="eth1/23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23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23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23"/>
    <x v="0"/>
    <x v="1"/>
    <x v="3"/>
    <s v="CEM_HADOOP"/>
    <x v="0"/>
    <b v="0"/>
    <s v="No está en VPC"/>
    <n v="736"/>
    <s v="INTPG_ACC_736_1.23"/>
    <s v="ISEL-1.23"/>
    <n v="0"/>
    <s v="NO TIENE L3OUT"/>
    <n v="48"/>
    <n v="54"/>
  </r>
  <r>
    <n v="799"/>
    <x v="2"/>
    <x v="137"/>
    <s v="eth1/23"/>
    <x v="0"/>
    <x v="0"/>
    <x v="0"/>
    <s v="TO-IMC_PS11-MSP"/>
    <x v="0"/>
    <b v="0"/>
    <s v="No está en VPC"/>
    <n v="799"/>
    <s v="INTPG_ACC_799_1.23"/>
    <s v="ISEL-1.23"/>
    <n v="1"/>
    <s v="NO TIENE L3OUT"/>
    <n v="52"/>
    <n v="54"/>
  </r>
  <r>
    <n v="768"/>
    <x v="2"/>
    <x v="138"/>
    <s v="eth1/23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23"/>
    <x v="0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23"/>
    <x v="0"/>
    <x v="0"/>
    <x v="0"/>
    <m/>
    <x v="0"/>
    <b v="0"/>
    <s v="No está en VPC"/>
    <n v="717"/>
    <s v="INTPG-VPC_NND02_717_1.23_718_1.24"/>
    <s v="ISEL-1.23"/>
    <n v="1"/>
    <s v="NO TIENE L3OUT"/>
    <n v="0"/>
    <n v="54"/>
  </r>
  <r>
    <n v="789"/>
    <x v="2"/>
    <x v="141"/>
    <s v="eth1/23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23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23"/>
    <x v="0"/>
    <x v="0"/>
    <x v="0"/>
    <s v="TO-ITHFHWRHV2LMGMT03"/>
    <x v="0"/>
    <b v="0"/>
    <s v="No está en VPC"/>
    <n v="783"/>
    <s v="INTPG_VPC_782_1.22-23_783_1.22-23"/>
    <s v="ISEL-1.23"/>
    <n v="2"/>
    <s v="NO TIENE L3OUT"/>
    <n v="26"/>
    <n v="54"/>
  </r>
  <r>
    <n v="774"/>
    <x v="2"/>
    <x v="144"/>
    <s v="eth1/23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23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23"/>
    <x v="0"/>
    <x v="0"/>
    <x v="0"/>
    <s v="DESC"/>
    <x v="0"/>
    <b v="0"/>
    <s v="No está en VPC"/>
    <n v="794"/>
    <s v="INTPG_PC_794_1.17_19_21_23_25_27"/>
    <s v="ISEL-1.23"/>
    <n v="1"/>
    <s v="NO TIENE L3OUT"/>
    <n v="12"/>
    <n v="54"/>
  </r>
  <r>
    <n v="803"/>
    <x v="2"/>
    <x v="147"/>
    <s v="eth1/23"/>
    <x v="0"/>
    <x v="0"/>
    <x v="0"/>
    <s v="TO-HDPS_49-MSP"/>
    <x v="0"/>
    <b v="0"/>
    <s v="No está en VPC"/>
    <n v="803"/>
    <s v="INTPG_ACC_803_1.23"/>
    <s v="ISEL-1.23"/>
    <n v="1"/>
    <s v="NO TIENE L3OUT"/>
    <n v="48"/>
    <n v="54"/>
  </r>
  <r>
    <n v="786"/>
    <x v="2"/>
    <x v="148"/>
    <s v="eth1/23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23"/>
    <x v="0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23"/>
    <x v="0"/>
    <x v="0"/>
    <x v="0"/>
    <s v="CLOUD OPS:ithhwcop02en01:2X P4"/>
    <x v="0"/>
    <b v="0"/>
    <s v="No está en VPC"/>
    <n v="781"/>
    <s v="INTPG_VPC_780_1.22-25_781_1.22-25"/>
    <s v="ISEL-1.23"/>
    <n v="23"/>
    <s v="NO TIENE L3OUT"/>
    <n v="26"/>
    <n v="54"/>
  </r>
  <r>
    <n v="793"/>
    <x v="2"/>
    <x v="151"/>
    <s v="eth1/23"/>
    <x v="0"/>
    <x v="0"/>
    <x v="0"/>
    <s v="DESC"/>
    <x v="0"/>
    <b v="0"/>
    <s v="No está en VPC"/>
    <n v="793"/>
    <s v="INTPG_PC_793_1.17_19_21_23_25_27"/>
    <s v="ISEL-1.23"/>
    <n v="1"/>
    <s v="NO TIENE L3OUT"/>
    <n v="12"/>
    <n v="54"/>
  </r>
  <r>
    <n v="747"/>
    <x v="2"/>
    <x v="152"/>
    <s v="eth1/23"/>
    <x v="0"/>
    <x v="0"/>
    <x v="0"/>
    <s v="PAAS:ithhwosstpap008:Slot6.1"/>
    <x v="0"/>
    <b v="0"/>
    <s v="No está en VPC"/>
    <n v="747"/>
    <s v="INTPG_VPC_747_1.23_752_1.23"/>
    <s v="ISEL-1.23"/>
    <n v="25"/>
    <s v="NO TIENE L3OUT"/>
    <n v="0"/>
    <n v="54"/>
  </r>
  <r>
    <n v="784"/>
    <x v="2"/>
    <x v="153"/>
    <s v="eth1/23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23"/>
    <x v="0"/>
    <x v="0"/>
    <x v="0"/>
    <m/>
    <x v="0"/>
    <b v="0"/>
    <s v="No está en VPC"/>
    <n v="806"/>
    <s v="INTPG_PC_806_1.23-26"/>
    <s v="ISEL-1.23"/>
    <n v="0"/>
    <s v="L3OUT-OCS-RED-SIG-IP"/>
    <n v="44"/>
    <n v="54"/>
  </r>
  <r>
    <n v="777"/>
    <x v="2"/>
    <x v="155"/>
    <s v="eth1/23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23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23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23"/>
    <x v="0"/>
    <x v="0"/>
    <x v="0"/>
    <s v="CEM:ITHCEMD2AKG12:LOM P3"/>
    <x v="5"/>
    <b v="0"/>
    <s v="No está en VPC"/>
    <n v="739"/>
    <s v="INTPG_ACC_739_1.23"/>
    <s v="ISEL-1.23"/>
    <n v="1"/>
    <s v="NO TIENE L3OUT"/>
    <n v="72"/>
    <n v="54"/>
  </r>
  <r>
    <n v="775"/>
    <x v="2"/>
    <x v="159"/>
    <s v="eth1/23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23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23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23"/>
    <x v="0"/>
    <x v="0"/>
    <x v="0"/>
    <s v="LINK_TO_ITHFHWCBSDSHD17 /Slot5.1 /Redundante"/>
    <x v="0"/>
    <b v="0"/>
    <s v="No está en VPC"/>
    <n v="830"/>
    <s v="INTPG_VPC_826_1.23_830_1.23"/>
    <s v="ISEL-1.23"/>
    <n v="1"/>
    <s v="NO TIENE L3OUT"/>
    <n v="12"/>
    <n v="54"/>
  </r>
  <r>
    <n v="821"/>
    <x v="2"/>
    <x v="163"/>
    <s v="eth1/23"/>
    <x v="0"/>
    <x v="0"/>
    <x v="0"/>
    <s v="LINK_TO_ITHFHWCBSPSHD17 /Slot5.1 /Redundante"/>
    <x v="0"/>
    <b v="0"/>
    <s v="No está en VPC"/>
    <n v="821"/>
    <s v="INTPG_VPC_816_1.23_821_1.23"/>
    <s v="ISEL-1.23"/>
    <n v="1"/>
    <s v="NO TIENE L3OUT"/>
    <n v="0"/>
    <n v="54"/>
  </r>
  <r>
    <n v="738"/>
    <x v="2"/>
    <x v="164"/>
    <s v="eth1/23"/>
    <x v="0"/>
    <x v="0"/>
    <x v="0"/>
    <s v="CEM:ITHCEME2KFK12:LOM P3"/>
    <x v="5"/>
    <b v="0"/>
    <s v="No está en VPC"/>
    <n v="738"/>
    <s v="INTPG_ACC_738_1.23"/>
    <s v="ISEL-1.23"/>
    <n v="1"/>
    <s v="NO TIENE L3OUT"/>
    <n v="72"/>
    <n v="54"/>
  </r>
  <r>
    <n v="820"/>
    <x v="2"/>
    <x v="165"/>
    <s v="eth1/23"/>
    <x v="0"/>
    <x v="0"/>
    <x v="0"/>
    <s v="LINKT_TO_ITHFHWCRMPLCN132 / Slot7.2_34 / Redundante"/>
    <x v="0"/>
    <b v="0"/>
    <s v="No está en VPC"/>
    <n v="820"/>
    <s v="INTPG_ACC_820_1.23"/>
    <s v="ISEL-1.23"/>
    <n v="2"/>
    <s v="NO TIENE L3OUT"/>
    <n v="72"/>
    <n v="54"/>
  </r>
  <r>
    <n v="804"/>
    <x v="2"/>
    <x v="166"/>
    <s v="eth1/23"/>
    <x v="0"/>
    <x v="0"/>
    <x v="0"/>
    <s v="TO-HDPS_49-MSP"/>
    <x v="0"/>
    <b v="0"/>
    <s v="No está en VPC"/>
    <n v="804"/>
    <s v="INTPG_ACC_804_1.23"/>
    <s v="ISEL-1.23"/>
    <n v="1"/>
    <s v="NO TIENE L3OUT"/>
    <n v="48"/>
    <n v="54"/>
  </r>
  <r>
    <n v="779"/>
    <x v="2"/>
    <x v="167"/>
    <s v="eth1/23"/>
    <x v="0"/>
    <x v="0"/>
    <x v="0"/>
    <s v="eSight:ITHHWC1ESI01:Slot 1 P1"/>
    <x v="0"/>
    <b v="0"/>
    <s v="No está en VPC"/>
    <n v="779"/>
    <s v="INTPG_VPC_778_1.23_779_1.23"/>
    <s v="ISEL-1.23"/>
    <n v="1"/>
    <s v="NO TIENE L3OUT"/>
    <n v="30"/>
    <n v="54"/>
  </r>
  <r>
    <n v="767"/>
    <x v="2"/>
    <x v="168"/>
    <s v="eth1/23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23"/>
    <x v="0"/>
    <x v="0"/>
    <x v="0"/>
    <s v="LINK_TO_ITHFHWCBSDSWR24 /Slot5.2 /Principal"/>
    <x v="0"/>
    <b v="0"/>
    <s v="No está en VPC"/>
    <n v="827"/>
    <s v="INTPG_VPC_827_1.23_831_1.23"/>
    <s v="ISEL-1.23"/>
    <n v="2"/>
    <s v="NO TIENE L3OUT"/>
    <n v="14"/>
    <n v="54"/>
  </r>
  <r>
    <n v="809"/>
    <x v="2"/>
    <x v="170"/>
    <s v="eth1/23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23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23"/>
    <x v="0"/>
    <x v="0"/>
    <x v="0"/>
    <s v="TO-9S_BESDR_IXTLA3_1"/>
    <x v="0"/>
    <b v="0"/>
    <s v="No está en VPC"/>
    <n v="761"/>
    <s v="INTPG_VPC_760_1.21-24_761_1.21-24"/>
    <s v="ISEL-1.23"/>
    <n v="33"/>
    <s v="NO TIENE L3OUT"/>
    <n v="0"/>
    <n v="54"/>
  </r>
  <r>
    <n v="776"/>
    <x v="2"/>
    <x v="173"/>
    <s v="eth1/23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23"/>
    <x v="0"/>
    <x v="0"/>
    <x v="0"/>
    <m/>
    <x v="0"/>
    <b v="0"/>
    <s v="No está en VPC"/>
    <n v="805"/>
    <s v="INTPG_PC_805_1.23-26"/>
    <s v="ISEL-1.23"/>
    <n v="0"/>
    <s v="L3OUT-OCS-RED-SIG-IP"/>
    <n v="44"/>
    <n v="54"/>
  </r>
  <r>
    <n v="772"/>
    <x v="2"/>
    <x v="175"/>
    <s v="eth1/23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23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23"/>
    <x v="0"/>
    <x v="0"/>
    <x v="0"/>
    <s v="LINK_TO_ITHFHWCRMPLCN108 / Slot7.2_20 / Redundante"/>
    <x v="0"/>
    <b v="0"/>
    <s v="No está en VPC"/>
    <n v="851"/>
    <s v="INTPG_ACC_851_1.23"/>
    <s v="ISEL-1.23"/>
    <n v="2"/>
    <s v="NO TIENE L3OUT"/>
    <n v="282"/>
    <n v="54"/>
  </r>
  <r>
    <n v="798"/>
    <x v="2"/>
    <x v="178"/>
    <s v="eth1/23"/>
    <x v="0"/>
    <x v="0"/>
    <x v="0"/>
    <s v="TO-IMC_PS11-MSP"/>
    <x v="0"/>
    <b v="0"/>
    <s v="No está en VPC"/>
    <n v="798"/>
    <s v="INTPG_ACC_798_1.23"/>
    <s v="ISEL-1.23"/>
    <n v="1"/>
    <s v="NO TIENE L3OUT"/>
    <n v="52"/>
    <n v="54"/>
  </r>
  <r>
    <n v="782"/>
    <x v="2"/>
    <x v="179"/>
    <s v="eth1/23"/>
    <x v="0"/>
    <x v="0"/>
    <x v="0"/>
    <s v="TO-ITHFHWRHV2LMGMT03"/>
    <x v="0"/>
    <b v="0"/>
    <s v="No está en VPC"/>
    <n v="782"/>
    <s v="INTPG_VPC_782_1.22-23_783_1.22-23"/>
    <s v="ISEL-1.23"/>
    <n v="2"/>
    <s v="NO TIENE L3OUT"/>
    <n v="32"/>
    <n v="54"/>
  </r>
  <r>
    <n v="852"/>
    <x v="2"/>
    <x v="180"/>
    <s v="eth1/23"/>
    <x v="0"/>
    <x v="0"/>
    <x v="0"/>
    <s v="LINK_TO_ITHFHWCRMPLCN91 / Slot7.3_14 / Redundante"/>
    <x v="0"/>
    <b v="0"/>
    <s v="No está en VPC"/>
    <n v="852"/>
    <s v="INTPG_ACC_852_1.23"/>
    <s v="ISEL-1.23"/>
    <n v="1"/>
    <s v="NO TIENE L3OUT"/>
    <n v="258"/>
    <n v="54"/>
  </r>
  <r>
    <n v="817"/>
    <x v="2"/>
    <x v="181"/>
    <s v="eth1/23"/>
    <x v="0"/>
    <x v="0"/>
    <x v="0"/>
    <s v="LINK_TO_ITHFHWCBSPSUSBD16 /10GE.1 /Principal"/>
    <x v="0"/>
    <b v="0"/>
    <s v="No está en VPC"/>
    <n v="817"/>
    <s v="INTPG_VPC_817_1.23_822_1.23"/>
    <s v="ISEL-1.23"/>
    <n v="1"/>
    <s v="NO TIENE L3OUT"/>
    <n v="0"/>
    <n v="54"/>
  </r>
  <r>
    <n v="832"/>
    <x v="2"/>
    <x v="182"/>
    <s v="eth1/23"/>
    <x v="0"/>
    <x v="0"/>
    <x v="0"/>
    <s v="LINK_TO_ITHFHWCRMDLCN23 /Slot7.2 /Redundante"/>
    <x v="0"/>
    <b v="0"/>
    <s v="No está en VPC"/>
    <n v="832"/>
    <s v="INTPG_ACC_832_1.23"/>
    <s v="ISEL-1.23"/>
    <n v="5"/>
    <s v="NO TIENE L3OUT"/>
    <n v="192"/>
    <n v="54"/>
  </r>
  <r>
    <n v="816"/>
    <x v="2"/>
    <x v="183"/>
    <s v="eth1/23"/>
    <x v="0"/>
    <x v="0"/>
    <x v="0"/>
    <s v="LINK_TO_ITHFHWCBSPSHD17 /10GE.1 /Principal"/>
    <x v="0"/>
    <b v="0"/>
    <s v="No está en VPC"/>
    <n v="816"/>
    <s v="INTPG_VPC_816_1.23_821_1.23"/>
    <s v="ISEL-1.23"/>
    <n v="1"/>
    <s v="NO TIENE L3OUT"/>
    <n v="0"/>
    <n v="54"/>
  </r>
  <r>
    <n v="825"/>
    <x v="2"/>
    <x v="184"/>
    <s v="eth1/23"/>
    <x v="0"/>
    <x v="0"/>
    <x v="0"/>
    <s v="LINKT_TO_ITHFHWCRMPLCN132 / Slot1.2_34 / Principal"/>
    <x v="0"/>
    <b v="0"/>
    <s v="No está en VPC"/>
    <n v="825"/>
    <s v="INTPG_ACC_825_1.23"/>
    <s v="ISEL-1.23"/>
    <n v="2"/>
    <s v="NO TIENE L3OUT"/>
    <n v="72"/>
    <n v="54"/>
  </r>
  <r>
    <n v="800"/>
    <x v="2"/>
    <x v="185"/>
    <s v="eth1/23"/>
    <x v="0"/>
    <x v="0"/>
    <x v="0"/>
    <s v="TO-ITHFHWSEQLCAS03-MSP"/>
    <x v="0"/>
    <b v="0"/>
    <s v="No está en VPC"/>
    <n v="800"/>
    <s v="INTPG_ACC_800_1.23"/>
    <s v="ISEL-1.23"/>
    <n v="1"/>
    <s v="NO TIENE L3OUT"/>
    <n v="78"/>
    <n v="54"/>
  </r>
  <r>
    <n v="801"/>
    <x v="2"/>
    <x v="186"/>
    <s v="eth1/23"/>
    <x v="0"/>
    <x v="0"/>
    <x v="0"/>
    <s v="TO-ITHFHWSEQLCAS03-MSP"/>
    <x v="0"/>
    <b v="0"/>
    <s v="No está en VPC"/>
    <n v="801"/>
    <s v="INTPG_ACC_801_1.23"/>
    <s v="ISEL-1.23"/>
    <n v="1"/>
    <s v="NO TIENE L3OUT"/>
    <n v="78"/>
    <n v="54"/>
  </r>
  <r>
    <n v="823"/>
    <x v="2"/>
    <x v="187"/>
    <s v="eth1/23"/>
    <x v="0"/>
    <x v="0"/>
    <x v="0"/>
    <s v="LINK_TO_ITHFHWCBSPSWR32 /Slot7.2 /Redundante"/>
    <x v="0"/>
    <b v="0"/>
    <s v="No está en VPC"/>
    <n v="823"/>
    <s v="INTPG_VPC_818_1.23_823_1.23"/>
    <s v="ISEL-1.23"/>
    <n v="2"/>
    <s v="NO TIENE L3OUT"/>
    <n v="8"/>
    <n v="54"/>
  </r>
  <r>
    <n v="837"/>
    <x v="2"/>
    <x v="188"/>
    <s v="eth1/23"/>
    <x v="0"/>
    <x v="0"/>
    <x v="0"/>
    <s v="LINK_TO_ITHFHWCBSPSWR47 / Slot1.1_30 / Principal"/>
    <x v="0"/>
    <b v="0"/>
    <s v="No está en VPC"/>
    <n v="837"/>
    <s v="INTPG_VPC_837_1.23_842_1.23"/>
    <s v="ISEL-1.23"/>
    <n v="2"/>
    <s v="NO TIENE L3OUT"/>
    <n v="8"/>
    <n v="54"/>
  </r>
  <r>
    <n v="867"/>
    <x v="2"/>
    <x v="189"/>
    <s v="eth1/23"/>
    <x v="0"/>
    <x v="0"/>
    <x v="0"/>
    <s v="TO-9S_BESDR_IXTLA3_1"/>
    <x v="0"/>
    <b v="0"/>
    <s v="No está en VPC"/>
    <n v="867"/>
    <s v="INTPG_VPC_862_1.20-23_867_1.20-23"/>
    <s v="ISEL-1.23"/>
    <n v="25"/>
    <s v="NO TIENE L3OUT"/>
    <n v="44"/>
    <n v="54"/>
  </r>
  <r>
    <n v="829"/>
    <x v="2"/>
    <x v="190"/>
    <s v="eth1/23"/>
    <x v="0"/>
    <x v="0"/>
    <x v="0"/>
    <s v="LINK_TO_ITHFHWCRMDLCN35 /Slot5.1 /Redundante"/>
    <x v="0"/>
    <b v="0"/>
    <s v="No está en VPC"/>
    <n v="829"/>
    <s v="INTPG_ACC_829_1.23"/>
    <s v="ISEL-1.23"/>
    <n v="2"/>
    <s v="NO TIENE L3OUT"/>
    <n v="224"/>
    <n v="54"/>
  </r>
  <r>
    <n v="831"/>
    <x v="2"/>
    <x v="191"/>
    <s v="eth1/23"/>
    <x v="0"/>
    <x v="0"/>
    <x v="0"/>
    <s v="LINK_TO_ITHFHWCBSDSWR24 /Slot7.2 /Redundante"/>
    <x v="0"/>
    <b v="0"/>
    <s v="No está en VPC"/>
    <n v="831"/>
    <s v="INTPG_VPC_827_1.23_831_1.23"/>
    <s v="ISEL-1.23"/>
    <n v="2"/>
    <s v="NO TIENE L3OUT"/>
    <n v="14"/>
    <n v="54"/>
  </r>
  <r>
    <n v="802"/>
    <x v="2"/>
    <x v="192"/>
    <s v="eth1/23"/>
    <x v="0"/>
    <x v="0"/>
    <x v="0"/>
    <s v="TO-HDPS_25-MSP"/>
    <x v="0"/>
    <b v="0"/>
    <s v="No está en VPC"/>
    <n v="802"/>
    <s v="INTPG_ACC_802_1.23"/>
    <s v="ISEL-1.23"/>
    <n v="1"/>
    <s v="NO TIENE L3OUT"/>
    <n v="48"/>
    <n v="54"/>
  </r>
  <r>
    <n v="835"/>
    <x v="2"/>
    <x v="193"/>
    <s v="eth1/23"/>
    <x v="0"/>
    <x v="0"/>
    <x v="0"/>
    <s v="LINK_TO_ITHHWD6KV65100014DKC01 / CTMA_IOM1.P0_34 / Principal"/>
    <x v="0"/>
    <b v="0"/>
    <s v="No está en VPC"/>
    <n v="835"/>
    <s v="INTPG_ACC_835_1.23"/>
    <s v="ISEL-1.23"/>
    <n v="1"/>
    <s v="NO TIENE L3OUT"/>
    <n v="8"/>
    <n v="54"/>
  </r>
  <r>
    <n v="822"/>
    <x v="2"/>
    <x v="194"/>
    <s v="eth1/23"/>
    <x v="0"/>
    <x v="0"/>
    <x v="0"/>
    <s v="LINK_TO_ITHFHWCBSPSUSBD16 /Slot5.1 /Redundante"/>
    <x v="0"/>
    <b v="0"/>
    <s v="No está en VPC"/>
    <n v="822"/>
    <s v="INTPG_VPC_817_1.23_822_1.23"/>
    <s v="ISEL-1.23"/>
    <n v="1"/>
    <s v="NO TIENE L3OUT"/>
    <n v="0"/>
    <n v="54"/>
  </r>
  <r>
    <n v="854"/>
    <x v="2"/>
    <x v="195"/>
    <s v="eth1/23"/>
    <x v="0"/>
    <x v="0"/>
    <x v="0"/>
    <s v="LINK_TO_ITHFHWCRMPLCN173 / Slot1.1_16 / Principal"/>
    <x v="0"/>
    <b v="0"/>
    <s v="No está en VPC"/>
    <n v="854"/>
    <s v="INTPG_ACC_854_1.23"/>
    <s v="ISEL-1.23"/>
    <n v="6"/>
    <s v="NO TIENE L3OUT"/>
    <n v="204"/>
    <n v="54"/>
  </r>
  <r>
    <n v="858"/>
    <x v="2"/>
    <x v="196"/>
    <s v="eth1/23"/>
    <x v="0"/>
    <x v="0"/>
    <x v="0"/>
    <s v="To_VPC_2DCBSD_HD44_2"/>
    <x v="0"/>
    <b v="0"/>
    <s v="No está en VPC"/>
    <n v="858"/>
    <s v="INTPG_VPC_858_1.23_863_1.23"/>
    <s v="ISEL-1.23"/>
    <n v="1"/>
    <s v="NO TIENE L3OUT"/>
    <n v="8"/>
    <n v="54"/>
  </r>
  <r>
    <n v="857"/>
    <x v="2"/>
    <x v="197"/>
    <s v="eth1/23"/>
    <x v="0"/>
    <x v="0"/>
    <x v="0"/>
    <s v="LINKT_TO_ITHFHWCRMPLCN123 / Slot1.1_16 / Principal"/>
    <x v="0"/>
    <b v="0"/>
    <s v="No está en VPC"/>
    <n v="857"/>
    <s v="INTPG_ACC_857_1.23"/>
    <s v="ISEL-1.23"/>
    <n v="6"/>
    <s v="NO TIENE L3OUT"/>
    <n v="288"/>
    <n v="54"/>
  </r>
  <r>
    <n v="859"/>
    <x v="2"/>
    <x v="198"/>
    <s v="eth1/23"/>
    <x v="0"/>
    <x v="0"/>
    <x v="0"/>
    <s v="To_VPC_2DCBSD_WR43_2"/>
    <x v="0"/>
    <b v="0"/>
    <s v="No está en VPC"/>
    <n v="859"/>
    <s v="INTPG_VPC_859_1.23_864_1.23"/>
    <s v="ISEL-1.23"/>
    <n v="1"/>
    <s v="NO TIENE L3OUT"/>
    <n v="0"/>
    <n v="54"/>
  </r>
  <r>
    <n v="833"/>
    <x v="2"/>
    <x v="199"/>
    <s v="eth1/23"/>
    <x v="0"/>
    <x v="0"/>
    <x v="0"/>
    <s v="LINK_TO_ITHFHWCRMDLCN35 /10GE.1 /Principal"/>
    <x v="0"/>
    <b v="0"/>
    <s v="No está en VPC"/>
    <n v="833"/>
    <s v="INTPG_ACC_833_1.23"/>
    <s v="ISEL-1.23"/>
    <n v="2"/>
    <s v="NO TIENE L3OUT"/>
    <n v="224"/>
    <n v="54"/>
  </r>
  <r>
    <n v="818"/>
    <x v="2"/>
    <x v="200"/>
    <s v="eth1/23"/>
    <x v="0"/>
    <x v="0"/>
    <x v="0"/>
    <s v="LINK_TO_ITHFHWCBSPSWR32 /Slot5.2 /Principal"/>
    <x v="0"/>
    <b v="0"/>
    <s v="No está en VPC"/>
    <n v="818"/>
    <s v="INTPG_VPC_818_1.23_823_1.23"/>
    <s v="ISEL-1.23"/>
    <n v="2"/>
    <s v="NO TIENE L3OUT"/>
    <n v="8"/>
    <n v="54"/>
  </r>
  <r>
    <n v="850"/>
    <x v="2"/>
    <x v="201"/>
    <s v="eth1/23"/>
    <x v="0"/>
    <x v="0"/>
    <x v="0"/>
    <s v="LINKT_TO_ITHFHWCRMPLCN123 / Slot7.1_16 / Redundante"/>
    <x v="0"/>
    <b v="0"/>
    <s v="No está en VPC"/>
    <n v="850"/>
    <s v="INTPG_ACC_850_1.23"/>
    <s v="ISEL-1.23"/>
    <n v="6"/>
    <s v="NO TIENE L3OUT"/>
    <n v="288"/>
    <n v="54"/>
  </r>
  <r>
    <n v="860"/>
    <x v="2"/>
    <x v="202"/>
    <s v="eth1/23"/>
    <x v="0"/>
    <x v="0"/>
    <x v="0"/>
    <s v="To_VPC_2DCBSD_HD30_2"/>
    <x v="0"/>
    <b v="0"/>
    <s v="No está en VPC"/>
    <n v="860"/>
    <s v="INTPG_VPC_860_1.23_865_1.23"/>
    <s v="ISEL-1.23"/>
    <n v="1"/>
    <s v="NO TIENE L3OUT"/>
    <n v="0"/>
    <n v="54"/>
  </r>
  <r>
    <n v="853"/>
    <x v="2"/>
    <x v="203"/>
    <s v="eth1/23"/>
    <x v="0"/>
    <x v="0"/>
    <x v="0"/>
    <s v="LINK_TO_ITHFHWCRMPLCN79 / Slot7.2_16 / Redundante"/>
    <x v="0"/>
    <b v="0"/>
    <s v="No está en VPC"/>
    <n v="853"/>
    <s v="INTPG_ACC_853_1.23"/>
    <s v="ISEL-1.23"/>
    <n v="2"/>
    <s v="NO TIENE L3OUT"/>
    <n v="242"/>
    <n v="54"/>
  </r>
  <r>
    <n v="790"/>
    <x v="2"/>
    <x v="204"/>
    <s v="eth1/23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23"/>
    <x v="0"/>
    <x v="0"/>
    <x v="0"/>
    <m/>
    <x v="6"/>
    <b v="0"/>
    <s v="No está en VPC"/>
    <n v="105"/>
    <s v="INTPG_PC_105_23_24_36"/>
    <s v="ISEL-1.23"/>
    <n v="2"/>
    <s v="NO TIENE L3OUT"/>
    <n v="106"/>
    <n v="96"/>
  </r>
  <r>
    <n v="117"/>
    <x v="0"/>
    <x v="206"/>
    <s v="eth1/23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23"/>
    <x v="0"/>
    <x v="1"/>
    <x v="1"/>
    <s v="SFLDI"/>
    <x v="6"/>
    <b v="0"/>
    <s v="No está en VPC"/>
    <n v="104"/>
    <s v="INTPG_ACC_104_1.23"/>
    <s v="ISEL-1.23"/>
    <n v="1"/>
    <s v="NO TIENE L3OUT"/>
    <n v="194"/>
    <n v="96"/>
  </r>
  <r>
    <n v="158"/>
    <x v="0"/>
    <x v="208"/>
    <s v="eth1/23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23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23"/>
    <x v="0"/>
    <x v="0"/>
    <x v="0"/>
    <s v="HACIA_MGMT-OSCP-F4-15_SECUNDARIO"/>
    <x v="4"/>
    <b v="0"/>
    <s v="No está en VPC"/>
    <n v="879"/>
    <s v="INTPG_VPC_878_1.23_879_1.23"/>
    <s v="ISEL-1.23"/>
    <n v="1"/>
    <s v="NO TIENE L3OUT"/>
    <n v="0"/>
    <n v="54"/>
  </r>
  <r>
    <n v="108"/>
    <x v="0"/>
    <x v="211"/>
    <s v="eth1/23"/>
    <x v="1"/>
    <x v="1"/>
    <x v="2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23"/>
    <x v="1"/>
    <x v="1"/>
    <x v="2"/>
    <s v="APROVISIONAMIENTO DE SERVICIOS"/>
    <x v="6"/>
    <b v="0"/>
    <s v="No está en VPC"/>
    <n v="112"/>
    <s v="INTPG_ACC_112_1.23"/>
    <s v="ISEL-1.23"/>
    <n v="1"/>
    <s v="NO TIENE L3OUT"/>
    <n v="144"/>
    <n v="96"/>
  </r>
  <r>
    <n v="107"/>
    <x v="0"/>
    <x v="213"/>
    <s v="eth1/23"/>
    <x v="1"/>
    <x v="1"/>
    <x v="2"/>
    <s v="SISAP"/>
    <x v="6"/>
    <b v="0"/>
    <s v="No está en VPC"/>
    <n v="107"/>
    <s v="INTPG_ACC_107_1.23"/>
    <s v="ISEL-1.23"/>
    <n v="1"/>
    <s v="NO TIENE L3OUT"/>
    <n v="118"/>
    <n v="96"/>
  </r>
  <r>
    <n v="109"/>
    <x v="0"/>
    <x v="214"/>
    <s v="eth1/23"/>
    <x v="0"/>
    <x v="0"/>
    <x v="0"/>
    <m/>
    <x v="6"/>
    <b v="0"/>
    <s v="No está en VPC"/>
    <n v="109"/>
    <s v="INTPG_ACC_109_1.23"/>
    <s v="ISEL-1.23"/>
    <n v="0"/>
    <s v="NO TIENE L3OUT"/>
    <n v="126"/>
    <n v="96"/>
  </r>
  <r>
    <n v="113"/>
    <x v="0"/>
    <x v="215"/>
    <s v="eth1/23"/>
    <x v="0"/>
    <x v="0"/>
    <x v="0"/>
    <s v="TO-ITHFHPNBURBKP02-PRINCIPAL"/>
    <x v="6"/>
    <b v="0"/>
    <s v="No está en VPC"/>
    <n v="113"/>
    <s v="INTPG_ACC_113_1.23"/>
    <s v="ISEL-1.23"/>
    <n v="1"/>
    <s v="NO TIENE L3OUT"/>
    <n v="52"/>
    <n v="96"/>
  </r>
  <r>
    <n v="114"/>
    <x v="0"/>
    <x v="216"/>
    <s v="eth1/23"/>
    <x v="1"/>
    <x v="1"/>
    <x v="2"/>
    <s v="SUBEX (Fraud Management)"/>
    <x v="6"/>
    <b v="0"/>
    <s v="No está en VPC"/>
    <n v="114"/>
    <s v="INTPG_ACC_114_1.23"/>
    <s v="ISEL-1.23"/>
    <n v="1"/>
    <s v="NO TIENE L3OUT"/>
    <n v="144"/>
    <n v="96"/>
  </r>
  <r>
    <n v="124"/>
    <x v="0"/>
    <x v="217"/>
    <s v="eth1/23"/>
    <x v="0"/>
    <x v="1"/>
    <x v="1"/>
    <s v="3G_OSS_QRO_R6"/>
    <x v="6"/>
    <b v="0"/>
    <s v="No está en VPC"/>
    <n v="124"/>
    <s v="INTPG_VPC_124_1.23_39_125_1.27_40"/>
    <s v="ISEL-1.23"/>
    <n v="5"/>
    <s v="NO TIENE L3OUT"/>
    <n v="80"/>
    <n v="96"/>
  </r>
  <r>
    <n v="118"/>
    <x v="0"/>
    <x v="218"/>
    <s v="eth1/23"/>
    <x v="0"/>
    <x v="0"/>
    <x v="0"/>
    <s v="COBROS NAVEGACION"/>
    <x v="6"/>
    <b v="0"/>
    <s v="No está en VPC"/>
    <n v="118"/>
    <s v="INTPG_ACC_118_1.23"/>
    <s v="ISEL-1.23"/>
    <n v="1"/>
    <s v="NO TIENE L3OUT"/>
    <n v="180"/>
    <n v="96"/>
  </r>
  <r>
    <n v="159"/>
    <x v="0"/>
    <x v="219"/>
    <s v="eth1/23"/>
    <x v="0"/>
    <x v="0"/>
    <x v="0"/>
    <s v="SRM"/>
    <x v="6"/>
    <b v="0"/>
    <s v="No está en VPC"/>
    <n v="159"/>
    <s v="INTPG_ACC_159_1.23"/>
    <s v="ISEL-1.23"/>
    <n v="1"/>
    <s v="NO TIENE L3OUT"/>
    <n v="72"/>
    <n v="96"/>
  </r>
  <r>
    <n v="840"/>
    <x v="2"/>
    <x v="220"/>
    <s v="eth1/23"/>
    <x v="0"/>
    <x v="0"/>
    <x v="0"/>
    <s v="LINK_TO_ITHHWD6KV65100014DKC01 / CTMA_IOM1.P1_34 / Redundante"/>
    <x v="0"/>
    <b v="0"/>
    <s v="No está en VPC"/>
    <n v="840"/>
    <s v="INTPG_ACC_840_1.23"/>
    <s v="ISEL-1.23"/>
    <n v="1"/>
    <s v="NO TIENE L3OUT"/>
    <n v="8"/>
    <n v="54"/>
  </r>
  <r>
    <n v="856"/>
    <x v="2"/>
    <x v="221"/>
    <s v="eth1/23"/>
    <x v="0"/>
    <x v="0"/>
    <x v="0"/>
    <s v="LINK_TO_ITHFHWCRMPLCN142 / Slot1.1_18 / Principal"/>
    <x v="0"/>
    <b v="0"/>
    <s v="No está en VPC"/>
    <n v="856"/>
    <s v="INTPG_ACC_856_1.23"/>
    <s v="ISEL-1.23"/>
    <n v="6"/>
    <s v="NO TIENE L3OUT"/>
    <n v="286"/>
    <n v="54"/>
  </r>
  <r>
    <n v="110"/>
    <x v="0"/>
    <x v="222"/>
    <s v="eth1/23"/>
    <x v="0"/>
    <x v="0"/>
    <x v="0"/>
    <s v="DESC"/>
    <x v="6"/>
    <b v="0"/>
    <s v="No está en VPC"/>
    <n v="110"/>
    <s v="INTPG_PC_110_1.15-16_22-23_30"/>
    <s v="ISEL-1.23"/>
    <n v="1"/>
    <s v="NO TIENE L3OUT"/>
    <n v="102"/>
    <n v="96"/>
  </r>
  <r>
    <n v="163"/>
    <x v="0"/>
    <x v="223"/>
    <s v="eth1/23"/>
    <x v="0"/>
    <x v="0"/>
    <x v="0"/>
    <s v="NETSCOUT"/>
    <x v="6"/>
    <b v="0"/>
    <s v="No está en VPC"/>
    <n v="163"/>
    <s v="INTPG_ACC_163_1.23"/>
    <s v="ISEL-1.23"/>
    <n v="1"/>
    <s v="NO TIENE L3OUT"/>
    <n v="140"/>
    <n v="96"/>
  </r>
  <r>
    <n v="407"/>
    <x v="1"/>
    <x v="224"/>
    <s v="eth1/23"/>
    <x v="0"/>
    <x v="0"/>
    <x v="0"/>
    <s v="IXTGLAOSS1_CLIENT1"/>
    <x v="6"/>
    <b v="0"/>
    <s v="No está en VPC"/>
    <n v="407"/>
    <s v="INTPG_VPC_407_1.23_409_1.19"/>
    <s v="ISEL-1.23"/>
    <n v="16"/>
    <s v="NO TIENE L3OUT"/>
    <n v="122"/>
    <n v="96"/>
  </r>
  <r>
    <n v="171"/>
    <x v="0"/>
    <x v="225"/>
    <s v="eth1/23"/>
    <x v="0"/>
    <x v="0"/>
    <x v="0"/>
    <s v="SOP-EAGLE"/>
    <x v="6"/>
    <b v="0"/>
    <s v="No está en VPC"/>
    <n v="171"/>
    <s v="INTPG_ACC_171_1.23"/>
    <s v="ISEL-1.23"/>
    <n v="1"/>
    <s v="NO TIENE L3OUT"/>
    <n v="114"/>
    <n v="96"/>
  </r>
  <r>
    <n v="421"/>
    <x v="1"/>
    <x v="226"/>
    <s v="eth1/23"/>
    <x v="0"/>
    <x v="0"/>
    <x v="0"/>
    <s v="VMAX_FLASH_V0_1"/>
    <x v="6"/>
    <b v="0"/>
    <s v="No está en VPC"/>
    <n v="421"/>
    <s v="INTPG_ACC_421_1.23"/>
    <s v="ISEL-1.23"/>
    <n v="1"/>
    <s v="NO TIENE L3OUT"/>
    <n v="72"/>
    <n v="96"/>
  </r>
  <r>
    <n v="173"/>
    <x v="0"/>
    <x v="227"/>
    <s v="eth1/23"/>
    <x v="0"/>
    <x v="0"/>
    <x v="0"/>
    <s v="ENIQ"/>
    <x v="6"/>
    <b v="0"/>
    <s v="No está en VPC"/>
    <n v="173"/>
    <s v="INTPG_ACC_173_1.23"/>
    <s v="ISEL-1.23"/>
    <n v="1"/>
    <s v="NO TIENE L3OUT"/>
    <n v="66"/>
    <n v="96"/>
  </r>
  <r>
    <n v="154"/>
    <x v="0"/>
    <x v="228"/>
    <s v="eth1/23"/>
    <x v="1"/>
    <x v="1"/>
    <x v="2"/>
    <s v="Precios DEUR"/>
    <x v="6"/>
    <b v="0"/>
    <s v="No está en VPC"/>
    <n v="154"/>
    <s v="INTPG_ACC_154_1.23"/>
    <s v="ISEL-1.23"/>
    <n v="0"/>
    <s v="NO TIENE L3OUT"/>
    <n v="62"/>
    <n v="96"/>
  </r>
  <r>
    <n v="172"/>
    <x v="0"/>
    <x v="229"/>
    <s v="eth1/23"/>
    <x v="0"/>
    <x v="1"/>
    <x v="1"/>
    <s v="NFA"/>
    <x v="6"/>
    <b v="0"/>
    <s v="No está en VPC"/>
    <n v="172"/>
    <s v="INTPG_ACC_172_1.23"/>
    <s v="ISEL-1.23"/>
    <n v="1"/>
    <s v="NO TIENE L3OUT"/>
    <n v="104"/>
    <n v="96"/>
  </r>
  <r>
    <n v="420"/>
    <x v="1"/>
    <x v="230"/>
    <s v="eth1/23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23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23"/>
    <x v="0"/>
    <x v="0"/>
    <x v="0"/>
    <s v="VTAE3"/>
    <x v="6"/>
    <b v="0"/>
    <s v="No está en VPC"/>
    <n v="415"/>
    <s v="INTPG_ACC_415_1.23"/>
    <s v="ISEL-1.23"/>
    <n v="1"/>
    <s v="NO TIENE L3OUT"/>
    <n v="52"/>
    <n v="96"/>
  </r>
  <r>
    <n v="102"/>
    <x v="0"/>
    <x v="233"/>
    <s v="eth1/23"/>
    <x v="0"/>
    <x v="1"/>
    <x v="1"/>
    <s v="SFLDI:RLDIBI101:1"/>
    <x v="6"/>
    <b v="0"/>
    <s v="No está en VPC"/>
    <n v="102"/>
    <s v="INTPG_ACC_102_1.23"/>
    <s v="ISEL-1.23"/>
    <n v="1"/>
    <s v="NO TIENE L3OUT"/>
    <n v="228"/>
    <n v="96"/>
  </r>
  <r>
    <n v="863"/>
    <x v="2"/>
    <x v="234"/>
    <s v="eth1/23"/>
    <x v="0"/>
    <x v="0"/>
    <x v="0"/>
    <s v="To_VPC_2DCBSD_HD44_2"/>
    <x v="0"/>
    <b v="0"/>
    <s v="No está en VPC"/>
    <n v="863"/>
    <s v="INTPG_VPC_858_1.23_863_1.23"/>
    <s v="ISEL-1.23"/>
    <n v="1"/>
    <s v="NO TIENE L3OUT"/>
    <n v="8"/>
    <n v="54"/>
  </r>
  <r>
    <n v="876"/>
    <x v="2"/>
    <x v="235"/>
    <s v="eth1/23"/>
    <x v="0"/>
    <x v="0"/>
    <x v="0"/>
    <s v="A_ITHFHWSEQLCAS22_Principal"/>
    <x v="4"/>
    <b v="0"/>
    <s v="No está en VPC"/>
    <n v="876"/>
    <s v="INTPG_ACC_876_1.23"/>
    <s v="ISEL-1.23"/>
    <n v="1"/>
    <s v="NO TIENE L3OUT"/>
    <n v="92"/>
    <n v="54"/>
  </r>
  <r>
    <n v="877"/>
    <x v="2"/>
    <x v="236"/>
    <s v="eth1/23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23"/>
    <x v="0"/>
    <x v="0"/>
    <x v="0"/>
    <s v="VMAX 3 TRAP IME"/>
    <x v="6"/>
    <b v="0"/>
    <s v="No está en VPC"/>
    <n v="122"/>
    <s v="INTPG_ACC_122_1.23"/>
    <s v="ISEL-1.23"/>
    <n v="1"/>
    <s v="NO TIENE L3OUT"/>
    <n v="148"/>
    <n v="96"/>
  </r>
  <r>
    <n v="157"/>
    <x v="0"/>
    <x v="238"/>
    <s v="eth1/23"/>
    <x v="1"/>
    <x v="1"/>
    <x v="2"/>
    <s v="RED CRICKET"/>
    <x v="6"/>
    <b v="0"/>
    <s v="No está en VPC"/>
    <n v="157"/>
    <s v="INTPG_ACC_157_1.23"/>
    <s v="ISEL-1.23"/>
    <n v="1"/>
    <s v="NO TIENE L3OUT"/>
    <n v="202"/>
    <n v="96"/>
  </r>
  <r>
    <n v="408"/>
    <x v="1"/>
    <x v="239"/>
    <s v="eth1/23"/>
    <x v="0"/>
    <x v="0"/>
    <x v="0"/>
    <s v="NEC Femtocel NMS"/>
    <x v="6"/>
    <b v="0"/>
    <s v="No está en VPC"/>
    <n v="408"/>
    <s v="INTPG_ACC_408_1.23"/>
    <s v="ISEL-1.23"/>
    <n v="1"/>
    <s v="NO TIENE L3OUT"/>
    <n v="152"/>
    <n v="96"/>
  </r>
  <r>
    <n v="405"/>
    <x v="1"/>
    <x v="240"/>
    <s v="eth1/23"/>
    <x v="0"/>
    <x v="0"/>
    <x v="0"/>
    <s v="XL6 RLR6ARI03 ILO"/>
    <x v="6"/>
    <b v="0"/>
    <s v="No está en VPC"/>
    <n v="405"/>
    <s v="INTPG_ACC_405_1.23"/>
    <s v="ISEL-1.23"/>
    <n v="1"/>
    <s v="NO TIENE L3OUT"/>
    <n v="138"/>
    <n v="96"/>
  </r>
  <r>
    <n v="169"/>
    <x v="0"/>
    <x v="241"/>
    <s v="eth1/23"/>
    <x v="1"/>
    <x v="1"/>
    <x v="2"/>
    <s v="TO-CORE_SWITCH-3-Y-4"/>
    <x v="6"/>
    <b v="0"/>
    <s v="No está en VPC"/>
    <n v="169"/>
    <s v="INTPG_VPC_167_1.30-32_169_1.21-23"/>
    <s v="ISEL-1.23"/>
    <n v="4"/>
    <s v="NO TIENE L3OUT"/>
    <n v="76"/>
    <n v="96"/>
  </r>
  <r>
    <n v="165"/>
    <x v="0"/>
    <x v="242"/>
    <s v="eth1/23"/>
    <x v="0"/>
    <x v="0"/>
    <x v="0"/>
    <s v="UXLDAP"/>
    <x v="6"/>
    <b v="0"/>
    <s v="No está en VPC"/>
    <n v="165"/>
    <s v="INTPG_ACC_165_1.23"/>
    <s v="ISEL-1.23"/>
    <n v="1"/>
    <s v="NO TIENE L3OUT"/>
    <n v="86"/>
    <n v="96"/>
  </r>
  <r>
    <n v="417"/>
    <x v="1"/>
    <x v="243"/>
    <s v="eth1/23"/>
    <x v="0"/>
    <x v="0"/>
    <x v="0"/>
    <s v="TO-ITHFHPNBURBKP04-PRINCIPAL"/>
    <x v="6"/>
    <b v="0"/>
    <s v="No está en VPC"/>
    <n v="417"/>
    <s v="INTPG_ACC_417_1.23"/>
    <s v="ISEL-1.23"/>
    <n v="1"/>
    <s v="NO TIENE L3OUT"/>
    <n v="56"/>
    <n v="96"/>
  </r>
  <r>
    <n v="153"/>
    <x v="0"/>
    <x v="244"/>
    <s v="eth1/23"/>
    <x v="0"/>
    <x v="0"/>
    <x v="0"/>
    <m/>
    <x v="6"/>
    <b v="0"/>
    <s v="No está en VPC"/>
    <n v="153"/>
    <s v="INTPG_ACC_153_1.23"/>
    <s v="ISEL-1.23"/>
    <n v="1"/>
    <s v="NO TIENE L3OUT"/>
    <n v="42"/>
    <n v="96"/>
  </r>
  <r>
    <n v="119"/>
    <x v="0"/>
    <x v="245"/>
    <s v="eth1/23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23"/>
    <x v="1"/>
    <x v="1"/>
    <x v="2"/>
    <s v="ETH2_IXTSG1_PRINCIPAL"/>
    <x v="6"/>
    <b v="0"/>
    <s v="No está en VPC"/>
    <n v="156"/>
    <s v="INTPG_ACC_156_1.23"/>
    <s v="ISEL-1.23"/>
    <n v="1"/>
    <s v="NO TIENE L3OUT"/>
    <n v="40"/>
    <n v="96"/>
  </r>
  <r>
    <n v="103"/>
    <x v="0"/>
    <x v="247"/>
    <s v="eth1/23"/>
    <x v="0"/>
    <x v="1"/>
    <x v="1"/>
    <s v="CAMPANAS 01-02:uxcampt3:"/>
    <x v="6"/>
    <b v="0"/>
    <s v="No está en VPC"/>
    <n v="103"/>
    <s v="INTPG_ACC_103_1.23"/>
    <s v="ISEL-1.23"/>
    <n v="1"/>
    <s v="NO TIENE L3OUT"/>
    <n v="70"/>
    <n v="96"/>
  </r>
  <r>
    <n v="438"/>
    <x v="1"/>
    <x v="248"/>
    <s v="eth1/23"/>
    <x v="0"/>
    <x v="0"/>
    <x v="0"/>
    <s v="HP_Proliant_DL380p(b)"/>
    <x v="6"/>
    <b v="0"/>
    <s v="No está en VPC"/>
    <n v="438"/>
    <s v="INTPG_ACC_438_1.23"/>
    <s v="ISEL-1.23"/>
    <n v="1"/>
    <s v="NO TIENE L3OUT"/>
    <n v="170"/>
    <n v="96"/>
  </r>
  <r>
    <n v="406"/>
    <x v="1"/>
    <x v="249"/>
    <s v="eth1/23"/>
    <x v="0"/>
    <x v="0"/>
    <x v="0"/>
    <s v="ITHRTC52VC1"/>
    <x v="6"/>
    <b v="0"/>
    <s v="No está en VPC"/>
    <n v="406"/>
    <s v="INTPG_VPC_404_1.23_406_1.23"/>
    <s v="ISEL-1.23"/>
    <n v="1"/>
    <s v="NO TIENE L3OUT"/>
    <n v="82"/>
    <n v="96"/>
  </r>
  <r>
    <n v="414"/>
    <x v="1"/>
    <x v="250"/>
    <s v="eth1/23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23"/>
    <x v="0"/>
    <x v="0"/>
    <x v="0"/>
    <s v="TO-ITHAI10-PRINCIPAL"/>
    <x v="6"/>
    <b v="0"/>
    <s v="No está en VPC"/>
    <n v="416"/>
    <s v="INTPG_ACC_416_1.23"/>
    <s v="ISEL-1.23"/>
    <n v="1"/>
    <s v="NO TIENE L3OUT"/>
    <n v="110"/>
    <n v="96"/>
  </r>
  <r>
    <n v="418"/>
    <x v="1"/>
    <x v="252"/>
    <s v="eth1/23"/>
    <x v="0"/>
    <x v="0"/>
    <x v="0"/>
    <s v="TO-ITHAI9-REDUNDANTE"/>
    <x v="6"/>
    <b v="0"/>
    <s v="No está en VPC"/>
    <n v="418"/>
    <s v="INTPG_ACC_418_1.23"/>
    <s v="ISEL-1.23"/>
    <n v="1"/>
    <s v="NO TIENE L3OUT"/>
    <n v="152"/>
    <n v="96"/>
  </r>
  <r>
    <n v="413"/>
    <x v="1"/>
    <x v="253"/>
    <s v="eth1/23"/>
    <x v="0"/>
    <x v="0"/>
    <x v="0"/>
    <m/>
    <x v="6"/>
    <b v="0"/>
    <s v="No está en VPC"/>
    <n v="413"/>
    <s v="INTPG_ACC_413_1.23"/>
    <s v="ISEL-1.23"/>
    <n v="2"/>
    <s v="NO TIENE L3OUT"/>
    <n v="126"/>
    <n v="96"/>
  </r>
  <r>
    <n v="403"/>
    <x v="1"/>
    <x v="254"/>
    <s v="eth1/23"/>
    <x v="0"/>
    <x v="0"/>
    <x v="0"/>
    <s v="XL6 RLR6ARI03"/>
    <x v="6"/>
    <b v="0"/>
    <s v="No está en VPC"/>
    <n v="403"/>
    <s v="INTPG_ACC_403_1.23"/>
    <s v="ISEL-1.23"/>
    <n v="1"/>
    <s v="NO TIENE L3OUT"/>
    <n v="150"/>
    <n v="96"/>
  </r>
  <r>
    <n v="125"/>
    <x v="0"/>
    <x v="255"/>
    <s v="eth1/23"/>
    <x v="0"/>
    <x v="0"/>
    <x v="0"/>
    <s v="UXSVA (M9000)"/>
    <x v="6"/>
    <b v="0"/>
    <s v="No está en VPC"/>
    <n v="125"/>
    <s v="INTPG_ACC_125_1.23"/>
    <s v="ISEL-1.23"/>
    <n v="1"/>
    <s v="NO TIENE L3OUT"/>
    <n v="72"/>
    <n v="96"/>
  </r>
  <r>
    <n v="166"/>
    <x v="0"/>
    <x v="256"/>
    <s v="eth1/23"/>
    <x v="0"/>
    <x v="1"/>
    <x v="1"/>
    <s v="UXLDAP"/>
    <x v="6"/>
    <b v="0"/>
    <s v="No está en VPC"/>
    <n v="166"/>
    <s v="INTPG_ACC_166_1.23"/>
    <s v="ISEL-1.23"/>
    <n v="1"/>
    <s v="NO TIENE L3OUT"/>
    <n v="84"/>
    <n v="96"/>
  </r>
  <r>
    <n v="111"/>
    <x v="0"/>
    <x v="257"/>
    <s v="eth1/23"/>
    <x v="0"/>
    <x v="0"/>
    <x v="0"/>
    <s v="DESC"/>
    <x v="6"/>
    <b v="0"/>
    <s v="No está en VPC"/>
    <n v="111"/>
    <s v="INTPG_PC_111_1.15-16_22-23_30"/>
    <s v="ISEL-1.23"/>
    <n v="1"/>
    <s v="NO TIENE L3OUT"/>
    <n v="58"/>
    <n v="96"/>
  </r>
  <r>
    <n v="115"/>
    <x v="0"/>
    <x v="258"/>
    <s v="eth1/23"/>
    <x v="0"/>
    <x v="1"/>
    <x v="1"/>
    <s v="RLVYCAN01_1"/>
    <x v="6"/>
    <b v="0"/>
    <s v="No está en VPC"/>
    <n v="115"/>
    <s v="INTPG_ACC_115_1.23"/>
    <s v="ISEL-1.23"/>
    <n v="1"/>
    <s v="NO TIENE L3OUT"/>
    <n v="42"/>
    <n v="96"/>
  </r>
  <r>
    <n v="106"/>
    <x v="0"/>
    <x v="259"/>
    <s v="eth1/23"/>
    <x v="0"/>
    <x v="1"/>
    <x v="1"/>
    <s v="SYMANTEC"/>
    <x v="6"/>
    <b v="0"/>
    <s v="No está en VPC"/>
    <n v="106"/>
    <s v="INTPG_ACC_106_1.23"/>
    <s v="ISEL-1.23"/>
    <n v="1"/>
    <s v="NO TIENE L3OUT"/>
    <n v="122"/>
    <n v="96"/>
  </r>
  <r>
    <n v="126"/>
    <x v="0"/>
    <x v="260"/>
    <s v="eth1/23"/>
    <x v="0"/>
    <x v="1"/>
    <x v="1"/>
    <s v="ENIQ"/>
    <x v="6"/>
    <b v="0"/>
    <s v="No está en VPC"/>
    <n v="126"/>
    <s v="INTPG_ACC_126_1.23"/>
    <s v="ISEL-1.23"/>
    <n v="1"/>
    <s v="NO TIENE L3OUT"/>
    <n v="54"/>
    <n v="96"/>
  </r>
  <r>
    <n v="425"/>
    <x v="1"/>
    <x v="261"/>
    <s v="eth1/23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23"/>
    <x v="0"/>
    <x v="0"/>
    <x v="0"/>
    <s v="ETLI-SACI 5"/>
    <x v="6"/>
    <b v="0"/>
    <s v="No está en VPC"/>
    <n v="151"/>
    <s v="INTPG_ACC_151_1.23"/>
    <s v="ISEL-1.23"/>
    <n v="1"/>
    <s v="NO TIENE L3OUT"/>
    <n v="86"/>
    <n v="96"/>
  </r>
  <r>
    <n v="430"/>
    <x v="1"/>
    <x v="263"/>
    <s v="eth1/23"/>
    <x v="0"/>
    <x v="1"/>
    <x v="1"/>
    <s v="RHEV_Produccion_sfrevp10"/>
    <x v="6"/>
    <b v="0"/>
    <s v="No está en VPC"/>
    <n v="430"/>
    <s v="INTPG_VPC_428_1.23_430_1.23"/>
    <s v="ISEL-1.23"/>
    <n v="2"/>
    <s v="NO TIENE L3OUT"/>
    <n v="86"/>
    <n v="96"/>
  </r>
  <r>
    <n v="419"/>
    <x v="1"/>
    <x v="264"/>
    <s v="eth1/23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23"/>
    <x v="0"/>
    <x v="0"/>
    <x v="0"/>
    <s v="Consolidaci\u00f3n Aplicaciones Prepago"/>
    <x v="6"/>
    <b v="0"/>
    <s v="No está en VPC"/>
    <n v="155"/>
    <s v="INTPG_ACC_155_1.23"/>
    <s v="ISEL-1.23"/>
    <n v="1"/>
    <s v="NO TIENE L3OUT"/>
    <n v="198"/>
    <n v="96"/>
  </r>
  <r>
    <n v="409"/>
    <x v="1"/>
    <x v="266"/>
    <s v="eth1/23"/>
    <x v="0"/>
    <x v="0"/>
    <x v="0"/>
    <s v="RLR2ARI10_ilo"/>
    <x v="6"/>
    <b v="0"/>
    <s v="No está en VPC"/>
    <n v="409"/>
    <s v="INTPG_ACC_409_1.23"/>
    <s v="ISEL-1.23"/>
    <n v="1"/>
    <s v="NO TIENE L3OUT"/>
    <n v="128"/>
    <n v="96"/>
  </r>
  <r>
    <n v="422"/>
    <x v="1"/>
    <x v="267"/>
    <s v="eth1/23"/>
    <x v="0"/>
    <x v="0"/>
    <x v="0"/>
    <s v="IXTSD969A"/>
    <x v="6"/>
    <b v="0"/>
    <s v="No está en VPC"/>
    <n v="422"/>
    <s v="INTPG_ACC_422_1.23"/>
    <s v="ISEL-1.23"/>
    <n v="1"/>
    <s v="NO TIENE L3OUT"/>
    <n v="182"/>
    <n v="96"/>
  </r>
  <r>
    <n v="436"/>
    <x v="1"/>
    <x v="268"/>
    <s v="eth1/23"/>
    <x v="0"/>
    <x v="0"/>
    <x v="0"/>
    <s v="HP_Proliant_DL380p(b)"/>
    <x v="6"/>
    <b v="0"/>
    <s v="No está en VPC"/>
    <n v="436"/>
    <s v="INTPG_ACC_436_1.23"/>
    <s v="ISEL-1.23"/>
    <n v="1"/>
    <s v="NO TIENE L3OUT"/>
    <n v="172"/>
    <n v="96"/>
  </r>
  <r>
    <n v="410"/>
    <x v="1"/>
    <x v="269"/>
    <s v="eth1/23"/>
    <x v="0"/>
    <x v="0"/>
    <x v="0"/>
    <s v="ITHMSVB3_IGB0"/>
    <x v="6"/>
    <b v="0"/>
    <s v="No está en VPC"/>
    <n v="410"/>
    <s v="INTPG_ACC_410_1.23"/>
    <s v="ISEL-1.23"/>
    <n v="1"/>
    <s v="NO TIENE L3OUT"/>
    <n v="178"/>
    <n v="96"/>
  </r>
  <r>
    <n v="161"/>
    <x v="0"/>
    <x v="270"/>
    <s v="eth1/23"/>
    <x v="0"/>
    <x v="0"/>
    <x v="0"/>
    <s v="SICOP"/>
    <x v="6"/>
    <b v="0"/>
    <s v="No está en VPC"/>
    <n v="161"/>
    <s v="INTPG_ACC_161_1.23"/>
    <s v="ISEL-1.23"/>
    <n v="1"/>
    <s v="NO TIENE L3OUT"/>
    <n v="102"/>
    <n v="96"/>
  </r>
  <r>
    <n v="411"/>
    <x v="1"/>
    <x v="271"/>
    <s v="eth1/23"/>
    <x v="0"/>
    <x v="0"/>
    <x v="0"/>
    <s v="lagidmhlapvp06_produccion1"/>
    <x v="6"/>
    <b v="0"/>
    <s v="No está en VPC"/>
    <n v="411"/>
    <s v="INTPG_VPC_411_1.21-24_413_1.14-17"/>
    <s v="ISEL-1.23"/>
    <n v="2"/>
    <s v="NO TIENE L3OUT"/>
    <n v="96"/>
    <n v="96"/>
  </r>
  <r>
    <n v="116"/>
    <x v="0"/>
    <x v="272"/>
    <s v="eth1/23"/>
    <x v="0"/>
    <x v="0"/>
    <x v="0"/>
    <s v="COBROS NAVEGACION"/>
    <x v="6"/>
    <b v="0"/>
    <s v="No está en VPC"/>
    <n v="116"/>
    <s v="INTPG_ACC_116_1.23"/>
    <s v="ISEL-1.23"/>
    <n v="1"/>
    <s v="NO TIENE L3OUT"/>
    <n v="148"/>
    <n v="96"/>
  </r>
  <r>
    <n v="412"/>
    <x v="1"/>
    <x v="273"/>
    <s v="eth1/23"/>
    <x v="0"/>
    <x v="1"/>
    <x v="1"/>
    <s v="UXCA_EXADATA"/>
    <x v="6"/>
    <b v="0"/>
    <s v="No está en VPC"/>
    <n v="412"/>
    <s v="INTPG_ACC_412_1.23"/>
    <s v="ISEL-1.23"/>
    <n v="1"/>
    <s v="NO TIENE L3OUT"/>
    <n v="126"/>
    <n v="96"/>
  </r>
  <r>
    <n v="120"/>
    <x v="0"/>
    <x v="274"/>
    <s v="eth1/23"/>
    <x v="0"/>
    <x v="0"/>
    <x v="0"/>
    <m/>
    <x v="6"/>
    <b v="0"/>
    <s v="No está en VPC"/>
    <n v="120"/>
    <s v="INTPG_ACC_120_1.23"/>
    <s v="ISEL-1.23"/>
    <n v="1"/>
    <s v="NO TIENE L3OUT"/>
    <n v="158"/>
    <n v="96"/>
  </r>
  <r>
    <n v="404"/>
    <x v="1"/>
    <x v="275"/>
    <s v="eth1/23"/>
    <x v="0"/>
    <x v="0"/>
    <x v="0"/>
    <s v="ITHRTC52VC1"/>
    <x v="6"/>
    <b v="0"/>
    <s v="No está en VPC"/>
    <n v="404"/>
    <s v="INTPG_VPC_404_1.23_406_1.23"/>
    <s v="ISEL-1.23"/>
    <n v="1"/>
    <s v="NO TIENE L3OUT"/>
    <n v="92"/>
    <n v="96"/>
  </r>
  <r>
    <n v="167"/>
    <x v="0"/>
    <x v="276"/>
    <s v="eth1/23"/>
    <x v="1"/>
    <x v="1"/>
    <x v="2"/>
    <s v="MMSC_WAPGW"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23"/>
    <x v="0"/>
    <x v="1"/>
    <x v="1"/>
    <s v="RHEV_Produccion_sfrevp10"/>
    <x v="6"/>
    <b v="0"/>
    <s v="No está en VPC"/>
    <n v="428"/>
    <s v="INTPG_VPC_428_1.23_430_1.23"/>
    <s v="ISEL-1.23"/>
    <n v="2"/>
    <s v="NO TIENE L3OUT"/>
    <n v="102"/>
    <n v="96"/>
  </r>
  <r>
    <n v="903"/>
    <x v="2"/>
    <x v="278"/>
    <s v="eth1/2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2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24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24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24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24"/>
    <x v="0"/>
    <x v="0"/>
    <x v="0"/>
    <s v="TO-ITHFDEVYCWPBD02"/>
    <x v="0"/>
    <b v="0"/>
    <s v="No está en VPC"/>
    <n v="101"/>
    <s v="INTPG_VPC_101_1.24_150_1.24"/>
    <s v="ISEL-1.24"/>
    <n v="1"/>
    <s v="NO TIENE L3OUT"/>
    <n v="114"/>
    <n v="54"/>
  </r>
  <r>
    <n v="160"/>
    <x v="0"/>
    <x v="4"/>
    <s v="eth1/24"/>
    <x v="0"/>
    <x v="0"/>
    <x v="0"/>
    <s v="ArrobaDOC Y CF"/>
    <x v="1"/>
    <b v="0"/>
    <s v="No está en VPC"/>
    <n v="160"/>
    <s v="INTPG_ACC_160_1.24"/>
    <s v="ISEL-1.24"/>
    <n v="1"/>
    <s v="NO TIENE L3OUT"/>
    <n v="68"/>
    <n v="54"/>
  </r>
  <r>
    <n v="121"/>
    <x v="0"/>
    <x v="5"/>
    <s v="eth1/24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24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24"/>
    <x v="0"/>
    <x v="0"/>
    <x v="0"/>
    <s v="TO-ITHS5224F_1-Switch_Cloud_Regional"/>
    <x v="0"/>
    <b v="0"/>
    <s v="No está en VPC"/>
    <n v="401"/>
    <s v="INTPG_VPC_402_1.24_401_1.24"/>
    <s v="ISEL-1.24"/>
    <n v="6"/>
    <s v="NO TIENE L3OUT"/>
    <n v="40"/>
    <n v="54"/>
  </r>
  <r>
    <n v="402"/>
    <x v="1"/>
    <x v="8"/>
    <s v="eth1/24"/>
    <x v="0"/>
    <x v="0"/>
    <x v="0"/>
    <s v="TO-ITHS5224F_1-Switch_Cloud_Regional"/>
    <x v="0"/>
    <b v="0"/>
    <s v="No está en VPC"/>
    <n v="402"/>
    <s v="INTPG_VPC_402_1.24_401_1.24"/>
    <s v="ISEL-1.24"/>
    <n v="6"/>
    <s v="NO TIENE L3OUT"/>
    <n v="36"/>
    <n v="54"/>
  </r>
  <r>
    <n v="447"/>
    <x v="1"/>
    <x v="9"/>
    <s v="eth1/24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24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24"/>
    <x v="0"/>
    <x v="0"/>
    <x v="0"/>
    <s v="TO-ITHFDEMCFRPMS01"/>
    <x v="0"/>
    <b v="0"/>
    <s v="No está en VPC"/>
    <n v="130"/>
    <s v="INTPG_VPC_130_1.23-24_131_1.24-25"/>
    <s v="ISEL-1.24"/>
    <n v="1"/>
    <s v="NO TIENE L3OUT"/>
    <n v="128"/>
    <n v="54"/>
  </r>
  <r>
    <n v="150"/>
    <x v="0"/>
    <x v="12"/>
    <s v="eth1/24"/>
    <x v="0"/>
    <x v="0"/>
    <x v="0"/>
    <s v="TO-ITHFDEVYCWPBD02"/>
    <x v="0"/>
    <b v="0"/>
    <s v="No está en VPC"/>
    <n v="150"/>
    <s v="INTPG_VPC_101_1.24_150_1.24"/>
    <s v="ISEL-1.24"/>
    <n v="1"/>
    <s v="NO TIENE L3OUT"/>
    <n v="118"/>
    <n v="54"/>
  </r>
  <r>
    <n v="131"/>
    <x v="0"/>
    <x v="13"/>
    <s v="eth1/24"/>
    <x v="0"/>
    <x v="0"/>
    <x v="0"/>
    <s v="TO-ITHFDEMCFRPMS01"/>
    <x v="0"/>
    <b v="0"/>
    <s v="No está en VPC"/>
    <n v="131"/>
    <s v="INTPG_VPC_130_1.23-24_131_1.24-25"/>
    <s v="ISEL-1.24"/>
    <n v="1"/>
    <s v="NO TIENE L3OUT"/>
    <n v="126"/>
    <n v="54"/>
  </r>
  <r>
    <n v="303"/>
    <x v="0"/>
    <x v="14"/>
    <s v="eth1/24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24"/>
    <x v="0"/>
    <x v="1"/>
    <x v="1"/>
    <m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24"/>
    <x v="1"/>
    <x v="1"/>
    <x v="2"/>
    <m/>
    <x v="2"/>
    <b v="0"/>
    <s v="No está en VPC"/>
    <n v="759"/>
    <s v="NO EXISTE PG"/>
    <s v="NO EXISTE ISEL"/>
    <n v="0"/>
    <s v="NO TIENE L3OUT"/>
    <n v="0"/>
    <n v="42"/>
  </r>
  <r>
    <n v="302"/>
    <x v="0"/>
    <x v="17"/>
    <s v="eth1/24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24"/>
    <x v="0"/>
    <x v="0"/>
    <x v="0"/>
    <s v="EMIPCLOUD_A06"/>
    <x v="1"/>
    <b v="0"/>
    <s v="No está en VPC"/>
    <n v="424"/>
    <s v="INTPG_ACC_424_1.24"/>
    <s v="ISEL-1.24"/>
    <n v="1"/>
    <s v="NO TIENE L3OUT"/>
    <n v="16"/>
    <n v="54"/>
  </r>
  <r>
    <n v="426"/>
    <x v="1"/>
    <x v="19"/>
    <s v="eth1/24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24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24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24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24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24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24"/>
    <x v="0"/>
    <x v="0"/>
    <x v="0"/>
    <m/>
    <x v="0"/>
    <b v="0"/>
    <s v="No está en VPC"/>
    <n v="725"/>
    <s v="INTPG-VPC_HDD97_724_1.23_725_1.24"/>
    <s v="ISEL-1.24"/>
    <n v="1"/>
    <s v="NO TIENE L3OUT"/>
    <n v="0"/>
    <n v="54"/>
  </r>
  <r>
    <n v="431"/>
    <x v="1"/>
    <x v="26"/>
    <s v="eth1/24"/>
    <x v="0"/>
    <x v="0"/>
    <x v="0"/>
    <s v="CLIENT_HUAWEI_CLOUD_ARIESO1"/>
    <x v="0"/>
    <b v="0"/>
    <s v="No está en VPC"/>
    <n v="431"/>
    <s v="INTPG_VPC_431_1.22-25_448_1.22-25"/>
    <s v="ISEL-1.24"/>
    <n v="14"/>
    <s v="NO TIENE L3OUT"/>
    <n v="46"/>
    <n v="54"/>
  </r>
  <r>
    <n v="433"/>
    <x v="1"/>
    <x v="27"/>
    <s v="eth1/24"/>
    <x v="0"/>
    <x v="0"/>
    <x v="0"/>
    <s v="ITHNBCOP3ET02_ETH1"/>
    <x v="1"/>
    <b v="0"/>
    <s v="No está en VPC"/>
    <n v="433"/>
    <s v="INTPG_ACC_433_1.24"/>
    <s v="ISEL-1.24"/>
    <n v="1"/>
    <s v="NO TIENE L3OUT"/>
    <n v="42"/>
    <n v="54"/>
  </r>
  <r>
    <n v="429"/>
    <x v="1"/>
    <x v="28"/>
    <s v="eth1/24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24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24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24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24"/>
    <x v="0"/>
    <x v="1"/>
    <x v="3"/>
    <s v="CEM_HADOOP"/>
    <x v="0"/>
    <b v="0"/>
    <s v="No está en VPC"/>
    <n v="707"/>
    <s v="INTPG_ACC_707_1.24"/>
    <s v="ISEL-1.24"/>
    <n v="1"/>
    <s v="NO TIENE L3OUT"/>
    <n v="54"/>
    <n v="54"/>
  </r>
  <r>
    <n v="712"/>
    <x v="2"/>
    <x v="33"/>
    <s v="eth1/24"/>
    <x v="1"/>
    <x v="1"/>
    <x v="3"/>
    <s v="CEM:ITHCEMA2ADT12:LOM  P2"/>
    <x v="0"/>
    <b v="0"/>
    <s v="No está en VPC"/>
    <n v="712"/>
    <s v="INTPG_VPC_713_1.23_712_1.24"/>
    <s v="ISEL-1.24"/>
    <n v="0"/>
    <s v="NO TIENE L3OUT"/>
    <n v="32"/>
    <n v="54"/>
  </r>
  <r>
    <n v="719"/>
    <x v="2"/>
    <x v="34"/>
    <s v="eth1/24"/>
    <x v="0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24"/>
    <x v="0"/>
    <x v="0"/>
    <x v="0"/>
    <m/>
    <x v="0"/>
    <b v="0"/>
    <s v="No está en VPC"/>
    <n v="715"/>
    <s v="INTPG-VPC_HDD28_716_1.23_715_1.24"/>
    <s v="ISEL-1.24"/>
    <n v="1"/>
    <s v="NO TIENE L3OUT"/>
    <n v="0"/>
    <n v="54"/>
  </r>
  <r>
    <n v="427"/>
    <x v="1"/>
    <x v="36"/>
    <s v="eth1/24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24"/>
    <x v="0"/>
    <x v="1"/>
    <x v="5"/>
    <s v="CEM:ITHCEMD2AKG12:LOM  P2"/>
    <x v="0"/>
    <b v="0"/>
    <s v="No está en VPC"/>
    <n v="711"/>
    <s v="INTPG_VPC_710_1.23_711_1.24"/>
    <s v="ISEL-1.24"/>
    <n v="1"/>
    <s v="NO TIENE L3OUT"/>
    <n v="16"/>
    <n v="54"/>
  </r>
  <r>
    <n v="716"/>
    <x v="2"/>
    <x v="38"/>
    <s v="eth1/24"/>
    <x v="0"/>
    <x v="0"/>
    <x v="0"/>
    <m/>
    <x v="0"/>
    <b v="0"/>
    <s v="No está en VPC"/>
    <n v="716"/>
    <s v="INTPG-VPC_SLR02_715_1.23_716_1.24"/>
    <s v="ISEL-1.24"/>
    <n v="1"/>
    <s v="NO TIENE L3OUT"/>
    <n v="0"/>
    <n v="54"/>
  </r>
  <r>
    <n v="702"/>
    <x v="2"/>
    <x v="39"/>
    <s v="eth1/24"/>
    <x v="0"/>
    <x v="0"/>
    <x v="0"/>
    <m/>
    <x v="0"/>
    <b v="0"/>
    <s v="No está en VPC"/>
    <n v="702"/>
    <s v="INTPG_VPC_701_1.23_702_1.24"/>
    <s v="ISEL-1.24"/>
    <n v="1"/>
    <s v="NO TIENE L3OUT"/>
    <n v="0"/>
    <n v="54"/>
  </r>
  <r>
    <n v="435"/>
    <x v="1"/>
    <x v="40"/>
    <s v="eth1/24"/>
    <x v="0"/>
    <x v="0"/>
    <x v="0"/>
    <s v="YELLOBRICK_PTO2"/>
    <x v="1"/>
    <b v="0"/>
    <s v="No está en VPC"/>
    <n v="435"/>
    <s v="INTPG_ACC_435_1.24"/>
    <s v="ISEL-1.24"/>
    <n v="2"/>
    <s v="NO TIENE L3OUT"/>
    <n v="34"/>
    <n v="54"/>
  </r>
  <r>
    <n v="446"/>
    <x v="1"/>
    <x v="41"/>
    <s v="eth1/24"/>
    <x v="0"/>
    <x v="0"/>
    <x v="0"/>
    <s v="TO-ITHFDLMCLWLCN03"/>
    <x v="0"/>
    <b v="0"/>
    <s v="No está en VPC"/>
    <n v="446"/>
    <s v="INTPG_VPC_446_1.24_444_1.25"/>
    <s v="ISEL-1.24"/>
    <n v="3"/>
    <s v="NO TIENE L3OUT"/>
    <n v="198"/>
    <n v="54"/>
  </r>
  <r>
    <n v="444"/>
    <x v="1"/>
    <x v="42"/>
    <s v="eth1/24"/>
    <x v="0"/>
    <x v="0"/>
    <x v="0"/>
    <m/>
    <x v="0"/>
    <b v="0"/>
    <s v="No está en VPC"/>
    <n v="444"/>
    <s v="INTPG_ACC_444_1.24"/>
    <s v="ISEL-1.24"/>
    <n v="9"/>
    <s v="NO TIENE L3OUT"/>
    <n v="234"/>
    <n v="54"/>
  </r>
  <r>
    <n v="701"/>
    <x v="2"/>
    <x v="43"/>
    <s v="eth1/24"/>
    <x v="0"/>
    <x v="0"/>
    <x v="0"/>
    <m/>
    <x v="0"/>
    <b v="0"/>
    <s v="No está en VPC"/>
    <n v="701"/>
    <s v="INTPG_VPC_702_1.23_701_1.24"/>
    <s v="ISEL-1.24"/>
    <n v="1"/>
    <s v="NO TIENE L3OUT"/>
    <n v="0"/>
    <n v="54"/>
  </r>
  <r>
    <n v="440"/>
    <x v="1"/>
    <x v="44"/>
    <s v="eth1/24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24"/>
    <x v="0"/>
    <x v="0"/>
    <x v="0"/>
    <s v="CLIENT_HUAWEI_CLOUD_ARIESO1"/>
    <x v="0"/>
    <b v="0"/>
    <s v="No está en VPC"/>
    <n v="448"/>
    <s v="INTPG_VPC_431_1.22-25_448_1.22-25"/>
    <s v="ISEL-1.24"/>
    <n v="14"/>
    <s v="NO TIENE L3OUT"/>
    <n v="46"/>
    <n v="54"/>
  </r>
  <r>
    <n v="704"/>
    <x v="2"/>
    <x v="46"/>
    <s v="eth1/24"/>
    <x v="0"/>
    <x v="0"/>
    <x v="0"/>
    <m/>
    <x v="0"/>
    <b v="0"/>
    <s v="No está en VPC"/>
    <n v="704"/>
    <s v="INTPG_VPC_703_1.23_704_1.24"/>
    <s v="ISEL-1.24"/>
    <n v="1"/>
    <s v="NO TIENE L3OUT"/>
    <n v="0"/>
    <n v="54"/>
  </r>
  <r>
    <n v="729"/>
    <x v="2"/>
    <x v="47"/>
    <s v="eth1/24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24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24"/>
    <x v="0"/>
    <x v="0"/>
    <x v="0"/>
    <s v="HACIA_MGMT-OSCP-F4-04_SECUNDARIO"/>
    <x v="4"/>
    <b v="0"/>
    <s v="No está en VPC"/>
    <n v="456"/>
    <s v="INTPG_VPC_454_1.24_456_1.24"/>
    <s v="ISEL-1.24"/>
    <n v="1"/>
    <s v="NO TIENE L3OUT"/>
    <n v="4"/>
    <n v="54"/>
  </r>
  <r>
    <n v="603"/>
    <x v="1"/>
    <x v="50"/>
    <s v="eth1/24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24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24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24"/>
    <x v="0"/>
    <x v="0"/>
    <x v="0"/>
    <s v="Server_Pre-R02-CBS-RH2288-08"/>
    <x v="0"/>
    <b v="0"/>
    <s v="No está en VPC"/>
    <n v="730"/>
    <s v="INTPG_ACC_730_1.24"/>
    <s v="ISEL-1.24"/>
    <n v="1"/>
    <s v="NO TIENE L3OUT"/>
    <n v="36"/>
    <n v="54"/>
  </r>
  <r>
    <n v="722"/>
    <x v="2"/>
    <x v="54"/>
    <s v="eth1/24"/>
    <x v="0"/>
    <x v="0"/>
    <x v="0"/>
    <m/>
    <x v="0"/>
    <b v="0"/>
    <s v="No está en VPC"/>
    <n v="722"/>
    <s v="INTPG-VPC_HDD109_723_1.23_722_1.24"/>
    <s v="ISEL-1.24"/>
    <n v="1"/>
    <s v="NO TIENE L3OUT"/>
    <n v="0"/>
    <n v="54"/>
  </r>
  <r>
    <n v="733"/>
    <x v="2"/>
    <x v="55"/>
    <s v="eth1/24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24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24"/>
    <x v="0"/>
    <x v="0"/>
    <x v="0"/>
    <m/>
    <x v="0"/>
    <b v="0"/>
    <s v="No está en VPC"/>
    <n v="748"/>
    <s v="INTPG_ACC_748_1.24"/>
    <s v="ISEL-1.24"/>
    <n v="0"/>
    <s v="NO TIENE L3OUT"/>
    <n v="2"/>
    <n v="54"/>
  </r>
  <r>
    <n v="756"/>
    <x v="2"/>
    <x v="58"/>
    <s v="eth1/24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24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24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24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24"/>
    <x v="0"/>
    <x v="0"/>
    <x v="0"/>
    <s v="CEM:ITHCEMB2ADT12:SLOT1 P1"/>
    <x v="5"/>
    <b v="0"/>
    <s v="No está en VPC"/>
    <n v="742"/>
    <s v="INTPG_ACC_742_1.24"/>
    <s v="ISEL-1.24"/>
    <n v="1"/>
    <s v="NO TIENE L3OUT"/>
    <n v="64"/>
    <n v="54"/>
  </r>
  <r>
    <n v="763"/>
    <x v="2"/>
    <x v="63"/>
    <s v="eth1/24"/>
    <x v="0"/>
    <x v="0"/>
    <x v="0"/>
    <s v="PAAS:ithhwosstpap009:FlexIO.1"/>
    <x v="0"/>
    <b v="0"/>
    <s v="No está en VPC"/>
    <n v="763"/>
    <s v="INTPG_VPC_762_1.24_763_1.24"/>
    <s v="ISEL-1.24"/>
    <n v="15"/>
    <s v="NO TIENE L3OUT"/>
    <n v="2"/>
    <n v="54"/>
  </r>
  <r>
    <n v="766"/>
    <x v="2"/>
    <x v="64"/>
    <s v="eth1/24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24"/>
    <x v="0"/>
    <x v="0"/>
    <x v="0"/>
    <s v="TO-9S_BESDR_IXTLA3_1"/>
    <x v="0"/>
    <b v="0"/>
    <s v="No está en VPC"/>
    <n v="760"/>
    <s v="INTPG_VPC_760_1.21-24_761_1.21-24"/>
    <s v="ISEL-1.24"/>
    <n v="33"/>
    <s v="NO TIENE L3OUT"/>
    <n v="0"/>
    <n v="54"/>
  </r>
  <r>
    <n v="752"/>
    <x v="2"/>
    <x v="66"/>
    <s v="eth1/24"/>
    <x v="0"/>
    <x v="0"/>
    <x v="0"/>
    <s v="PAAS:ithhwosstpap009:LOM PORT 1"/>
    <x v="0"/>
    <b v="0"/>
    <s v="No está en VPC"/>
    <n v="752"/>
    <s v="INTPG_VPC_747_1.24_752_1.24"/>
    <s v="ISEL-1.24"/>
    <n v="25"/>
    <s v="NO TIENE L3OUT"/>
    <n v="0"/>
    <n v="54"/>
  </r>
  <r>
    <n v="765"/>
    <x v="2"/>
    <x v="67"/>
    <s v="eth1/24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24"/>
    <x v="0"/>
    <x v="0"/>
    <x v="0"/>
    <s v="eSight:ITHHWC1ESI02:Slot 1 P3"/>
    <x v="0"/>
    <b v="0"/>
    <s v="No está en VPC"/>
    <n v="778"/>
    <s v="INTPG_VPC_778_1.24_779_1.24"/>
    <s v="ISEL-1.24"/>
    <n v="1"/>
    <s v="NO TIENE L3OUT"/>
    <n v="26"/>
    <n v="54"/>
  </r>
  <r>
    <n v="780"/>
    <x v="2"/>
    <x v="69"/>
    <s v="eth1/24"/>
    <x v="0"/>
    <x v="0"/>
    <x v="0"/>
    <s v="CLOUD OPS:ithhwcop02en01:3X P1"/>
    <x v="0"/>
    <b v="0"/>
    <s v="No está en VPC"/>
    <n v="780"/>
    <s v="INTPG_VPC_780_1.22-25_781_1.22-25"/>
    <s v="ISEL-1.24"/>
    <n v="23"/>
    <s v="NO TIENE L3OUT"/>
    <n v="26"/>
    <n v="54"/>
  </r>
  <r>
    <n v="812"/>
    <x v="2"/>
    <x v="70"/>
    <s v="eth1/24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24"/>
    <x v="0"/>
    <x v="0"/>
    <x v="0"/>
    <s v="TO-ITHFHWDCIMLAP01-Redundante"/>
    <x v="0"/>
    <b v="0"/>
    <s v="No está en VPC"/>
    <n v="796"/>
    <s v="INTPG_ACC_796_1.24"/>
    <s v="ISEL-1.24"/>
    <n v="1"/>
    <s v="NO TIENE L3OUT"/>
    <n v="18"/>
    <n v="54"/>
  </r>
  <r>
    <n v="795"/>
    <x v="2"/>
    <x v="72"/>
    <s v="eth1/24"/>
    <x v="0"/>
    <x v="0"/>
    <x v="0"/>
    <s v="TO-ITHFHWDCIMLAP01-Principal"/>
    <x v="0"/>
    <b v="0"/>
    <s v="No está en VPC"/>
    <n v="795"/>
    <s v="INTPG_ACC_795_1.24"/>
    <s v="ISEL-1.24"/>
    <n v="1"/>
    <s v="NO TIENE L3OUT"/>
    <n v="18"/>
    <n v="54"/>
  </r>
  <r>
    <n v="749"/>
    <x v="2"/>
    <x v="73"/>
    <s v="eth1/24"/>
    <x v="0"/>
    <x v="0"/>
    <x v="0"/>
    <m/>
    <x v="0"/>
    <b v="0"/>
    <s v="No está en VPC"/>
    <n v="749"/>
    <s v="INTPG_ACC_749_1.24"/>
    <s v="ISEL-1.24"/>
    <n v="0"/>
    <s v="NO TIENE L3OUT"/>
    <n v="4"/>
    <n v="54"/>
  </r>
  <r>
    <n v="824"/>
    <x v="2"/>
    <x v="74"/>
    <s v="eth1/24"/>
    <x v="0"/>
    <x v="0"/>
    <x v="0"/>
    <s v="LINK_TO_ITHFHWCMVWPMA13 /Slot5.1 /Redundante"/>
    <x v="0"/>
    <b v="0"/>
    <s v="No está en VPC"/>
    <n v="824"/>
    <s v="INTPG_ACC_824_1.24"/>
    <s v="ISEL-1.24"/>
    <n v="1"/>
    <s v="NO TIENE L3OUT"/>
    <n v="70"/>
    <n v="54"/>
  </r>
  <r>
    <n v="819"/>
    <x v="2"/>
    <x v="75"/>
    <s v="eth1/24"/>
    <x v="0"/>
    <x v="0"/>
    <x v="0"/>
    <s v="LINK_TO_ITHFHWCMVWPMA13 /10GE.1 /Principal"/>
    <x v="0"/>
    <b v="0"/>
    <s v="No está en VPC"/>
    <n v="819"/>
    <s v="INTPG_ACC_819_1.24"/>
    <s v="ISEL-1.24"/>
    <n v="1"/>
    <s v="NO TIENE L3OUT"/>
    <n v="70"/>
    <n v="54"/>
  </r>
  <r>
    <n v="737"/>
    <x v="2"/>
    <x v="76"/>
    <s v="eth1/24"/>
    <x v="0"/>
    <x v="0"/>
    <x v="0"/>
    <s v="CEM:ITHCEME2KFK12:SLOT1 P1"/>
    <x v="5"/>
    <b v="0"/>
    <s v="No está en VPC"/>
    <n v="737"/>
    <s v="INTPG_ACC_737_1.24"/>
    <s v="ISEL-1.24"/>
    <n v="1"/>
    <s v="NO TIENE L3OUT"/>
    <n v="72"/>
    <n v="54"/>
  </r>
  <r>
    <n v="844"/>
    <x v="2"/>
    <x v="77"/>
    <s v="eth1/24"/>
    <x v="0"/>
    <x v="0"/>
    <x v="0"/>
    <s v="LINK_TO_ITHFHWCRMPLCN108 / Slot1.3_20 / Principal"/>
    <x v="0"/>
    <b v="0"/>
    <s v="No está en VPC"/>
    <n v="844"/>
    <s v="INTPG_ACC_844_1.24"/>
    <s v="ISEL-1.24"/>
    <n v="1"/>
    <s v="NO TIENE L3OUT"/>
    <n v="282"/>
    <n v="54"/>
  </r>
  <r>
    <n v="843"/>
    <x v="2"/>
    <x v="78"/>
    <s v="eth1/24"/>
    <x v="0"/>
    <x v="0"/>
    <x v="0"/>
    <s v="LINK_To_ITHFHWCBSPSWR43 / Slot7.1_30 / Redundante"/>
    <x v="0"/>
    <b v="0"/>
    <s v="No está en VPC"/>
    <n v="843"/>
    <s v="INTPG_VPC_838_1.24_843_1.24"/>
    <s v="ISEL-1.24"/>
    <n v="2"/>
    <s v="NO TIENE L3OUT"/>
    <n v="38"/>
    <n v="54"/>
  </r>
  <r>
    <n v="797"/>
    <x v="2"/>
    <x v="79"/>
    <s v="eth1/24"/>
    <x v="0"/>
    <x v="0"/>
    <x v="0"/>
    <s v="TO-HDPS_26-MSP"/>
    <x v="0"/>
    <b v="0"/>
    <s v="No está en VPC"/>
    <n v="797"/>
    <s v="INTPG_ACC_797_1.24"/>
    <s v="ISEL-1.24"/>
    <n v="1"/>
    <s v="NO TIENE L3OUT"/>
    <n v="48"/>
    <n v="54"/>
  </r>
  <r>
    <n v="839"/>
    <x v="2"/>
    <x v="80"/>
    <s v="eth1/24"/>
    <x v="0"/>
    <x v="0"/>
    <x v="0"/>
    <s v="LINK_TO_ITHFHWCBSPSHD37 / Slot7.3_12 / Redundante"/>
    <x v="0"/>
    <b v="0"/>
    <s v="No está en VPC"/>
    <n v="839"/>
    <s v="INTPG_VPC_834_1.24_839_1.24"/>
    <s v="ISEL-1.24"/>
    <n v="1"/>
    <s v="NO TIENE L3OUT"/>
    <n v="0"/>
    <n v="54"/>
  </r>
  <r>
    <n v="847"/>
    <x v="2"/>
    <x v="81"/>
    <s v="eth1/24"/>
    <x v="0"/>
    <x v="0"/>
    <x v="0"/>
    <s v="LINK_TO_ITHFHWCRMPLCN173 / Slot7.2_16 / Redundante"/>
    <x v="0"/>
    <b v="0"/>
    <s v="No está en VPC"/>
    <n v="847"/>
    <s v="INTPG_ACC_847_1.24"/>
    <s v="ISEL-1.24"/>
    <n v="2"/>
    <s v="NO TIENE L3OUT"/>
    <n v="204"/>
    <n v="54"/>
  </r>
  <r>
    <n v="848"/>
    <x v="2"/>
    <x v="82"/>
    <s v="eth1/24"/>
    <x v="0"/>
    <x v="0"/>
    <x v="0"/>
    <s v="LINK_TO_ITHFHWCRMPLCN162 / Slot7.2_26 / Redundante"/>
    <x v="0"/>
    <b v="0"/>
    <s v="No está en VPC"/>
    <n v="848"/>
    <s v="INTPG_ACC_848_1.24"/>
    <s v="ISEL-1.24"/>
    <n v="2"/>
    <s v="NO TIENE L3OUT"/>
    <n v="254"/>
    <n v="54"/>
  </r>
  <r>
    <n v="846"/>
    <x v="2"/>
    <x v="83"/>
    <s v="eth1/24"/>
    <x v="0"/>
    <x v="0"/>
    <x v="0"/>
    <s v="LINK_TO_ITHFHWCRMPLCN79 / Slot1.3_16 / Principal"/>
    <x v="0"/>
    <b v="0"/>
    <s v="No está en VPC"/>
    <n v="846"/>
    <s v="INTPG_ACC_846_1.24"/>
    <s v="ISEL-1.24"/>
    <n v="1"/>
    <s v="NO TIENE L3OUT"/>
    <n v="242"/>
    <n v="54"/>
  </r>
  <r>
    <n v="838"/>
    <x v="2"/>
    <x v="84"/>
    <s v="eth1/24"/>
    <x v="0"/>
    <x v="0"/>
    <x v="0"/>
    <s v="LINK_To_ITHFHWCBSPSWR43 / Slot1.1_30 / Principal"/>
    <x v="0"/>
    <b v="0"/>
    <s v="No está en VPC"/>
    <n v="838"/>
    <s v="INTPG_VPC_838_1.24_843_1.24"/>
    <s v="ISEL-1.24"/>
    <n v="2"/>
    <s v="NO TIENE L3OUT"/>
    <n v="38"/>
    <n v="54"/>
  </r>
  <r>
    <n v="849"/>
    <x v="2"/>
    <x v="85"/>
    <s v="eth1/24"/>
    <x v="0"/>
    <x v="0"/>
    <x v="0"/>
    <s v="LINK_TO_ITHFHWCRMPLCN142 / Slot7.2_18 / Redundante"/>
    <x v="0"/>
    <b v="0"/>
    <s v="No está en VPC"/>
    <n v="849"/>
    <s v="INTPG_ACC_849_1.24"/>
    <s v="ISEL-1.24"/>
    <n v="2"/>
    <s v="NO TIENE L3OUT"/>
    <n v="286"/>
    <n v="54"/>
  </r>
  <r>
    <n v="845"/>
    <x v="2"/>
    <x v="86"/>
    <s v="eth1/24"/>
    <x v="0"/>
    <x v="0"/>
    <x v="0"/>
    <s v="LINK_TO_ITHFHWCRMPLCN92 / Slot1.1_16 / Principal"/>
    <x v="0"/>
    <b v="0"/>
    <s v="No está en VPC"/>
    <n v="845"/>
    <s v="INTPG_ACC_845_1.24"/>
    <s v="ISEL-1.24"/>
    <n v="6"/>
    <s v="NO TIENE L3OUT"/>
    <n v="258"/>
    <n v="54"/>
  </r>
  <r>
    <n v="873"/>
    <x v="2"/>
    <x v="87"/>
    <s v="eth1/24"/>
    <x v="0"/>
    <x v="0"/>
    <x v="0"/>
    <s v="TO_ITHFHWCRMDLCN61_Principal"/>
    <x v="0"/>
    <b v="0"/>
    <s v="No está en VPC"/>
    <n v="873"/>
    <s v="INTPG_ACC_873_1.24"/>
    <s v="ISEL-1.24"/>
    <n v="6"/>
    <s v="NO TIENE L3OUT"/>
    <n v="248"/>
    <n v="54"/>
  </r>
  <r>
    <n v="864"/>
    <x v="2"/>
    <x v="88"/>
    <s v="eth1/24"/>
    <x v="0"/>
    <x v="0"/>
    <x v="0"/>
    <s v="To_VPC_2DCBSD_WR43_3"/>
    <x v="0"/>
    <b v="0"/>
    <s v="No está en VPC"/>
    <n v="864"/>
    <s v="INTPG_VPC_859_1.24_864_1.24"/>
    <s v="ISEL-1.24"/>
    <n v="1"/>
    <s v="NO TIENE L3OUT"/>
    <n v="0"/>
    <n v="54"/>
  </r>
  <r>
    <n v="836"/>
    <x v="2"/>
    <x v="89"/>
    <s v="eth1/24"/>
    <x v="0"/>
    <x v="0"/>
    <x v="0"/>
    <s v="LINK_TO_ITHFHWCBSPSWR53 / Slot1.2_34 / Principal"/>
    <x v="0"/>
    <b v="0"/>
    <s v="No está en VPC"/>
    <n v="836"/>
    <s v="INTPG_VPC_836_1.24_841_1.24"/>
    <s v="ISEL-1.24"/>
    <n v="1"/>
    <s v="NO TIENE L3OUT"/>
    <n v="0"/>
    <n v="54"/>
  </r>
  <r>
    <n v="834"/>
    <x v="2"/>
    <x v="90"/>
    <s v="eth1/24"/>
    <x v="0"/>
    <x v="0"/>
    <x v="0"/>
    <s v="LINK_TO_ITHFHWCBSPSHD37 / Slot1.3_12 / Principal"/>
    <x v="0"/>
    <b v="0"/>
    <s v="No está en VPC"/>
    <n v="834"/>
    <s v="INTPG_VPC_834_1.24_839_1.24"/>
    <s v="ISEL-1.24"/>
    <n v="1"/>
    <s v="NO TIENE L3OUT"/>
    <n v="0"/>
    <n v="54"/>
  </r>
  <r>
    <n v="872"/>
    <x v="2"/>
    <x v="91"/>
    <s v="eth1/24"/>
    <x v="0"/>
    <x v="0"/>
    <x v="0"/>
    <s v="To_ITHFHWCRMDLCN77_Principal"/>
    <x v="0"/>
    <b v="0"/>
    <s v="No está en VPC"/>
    <n v="872"/>
    <s v="INTPG_ACC_872_1.24"/>
    <s v="ISEL-1.24"/>
    <n v="6"/>
    <s v="NO TIENE L3OUT"/>
    <n v="288"/>
    <n v="54"/>
  </r>
  <r>
    <n v="842"/>
    <x v="2"/>
    <x v="92"/>
    <s v="eth1/24"/>
    <x v="0"/>
    <x v="0"/>
    <x v="0"/>
    <s v="LINK_TO_ITHFHWCBSPSWR47 / Slot7.2_30 / Redundante"/>
    <x v="0"/>
    <b v="0"/>
    <s v="No está en VPC"/>
    <n v="842"/>
    <s v="INTPG_VPC_837_1.24_842_1.24"/>
    <s v="ISEL-1.24"/>
    <n v="1"/>
    <s v="NO TIENE L3OUT"/>
    <n v="8"/>
    <n v="54"/>
  </r>
  <r>
    <n v="828"/>
    <x v="2"/>
    <x v="93"/>
    <s v="eth1/24"/>
    <x v="0"/>
    <x v="0"/>
    <x v="0"/>
    <s v="LINK_TO_ITHFHWCRMDLCN23 /10GE.1 /Principal"/>
    <x v="0"/>
    <b v="0"/>
    <s v="No está en VPC"/>
    <n v="828"/>
    <s v="INTPG_ACC_828_1.24"/>
    <s v="ISEL-1.24"/>
    <n v="2"/>
    <s v="NO TIENE L3OUT"/>
    <n v="192"/>
    <n v="54"/>
  </r>
  <r>
    <n v="870"/>
    <x v="2"/>
    <x v="94"/>
    <s v="eth1/24"/>
    <x v="0"/>
    <x v="0"/>
    <x v="0"/>
    <s v="TO_ITHFHWCRMDLCN61_Redundante"/>
    <x v="0"/>
    <b v="0"/>
    <s v="No está en VPC"/>
    <n v="870"/>
    <s v="INTPG_ACC_870_1.24"/>
    <s v="ISEL-1.24"/>
    <n v="6"/>
    <s v="NO TIENE L3OUT"/>
    <n v="248"/>
    <n v="54"/>
  </r>
  <r>
    <n v="866"/>
    <x v="2"/>
    <x v="95"/>
    <s v="eth1/24"/>
    <x v="0"/>
    <x v="0"/>
    <x v="0"/>
    <s v="To_VPC_2DCBSD_HD24_2"/>
    <x v="0"/>
    <b v="0"/>
    <s v="No está en VPC"/>
    <n v="866"/>
    <s v="INTPG_VPC_861_1.24_866_1.24"/>
    <s v="ISEL-1.24"/>
    <n v="1"/>
    <s v="NO TIENE L3OUT"/>
    <n v="8"/>
    <n v="54"/>
  </r>
  <r>
    <n v="862"/>
    <x v="2"/>
    <x v="96"/>
    <s v="eth1/24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24"/>
    <x v="0"/>
    <x v="0"/>
    <x v="0"/>
    <s v="LINK_TO_ITHFHWCRMPLCN162 / Slot1.2_26 / Principal"/>
    <x v="0"/>
    <b v="0"/>
    <s v="No está en VPC"/>
    <n v="855"/>
    <s v="INTPG_ACC_855_1.24"/>
    <s v="ISEL-1.24"/>
    <n v="2"/>
    <s v="NO TIENE L3OUT"/>
    <n v="254"/>
    <n v="54"/>
  </r>
  <r>
    <n v="871"/>
    <x v="2"/>
    <x v="98"/>
    <s v="eth1/24"/>
    <x v="0"/>
    <x v="0"/>
    <x v="0"/>
    <s v="To_VPC_2DCRMD_SBD10_3"/>
    <x v="0"/>
    <b v="0"/>
    <s v="No está en VPC"/>
    <n v="871"/>
    <s v="INTPG_VPC_868_1.24_871_1.24"/>
    <s v="ISEL-1.24"/>
    <n v="1"/>
    <s v="NO TIENE L3OUT"/>
    <n v="246"/>
    <n v="54"/>
  </r>
  <r>
    <n v="841"/>
    <x v="2"/>
    <x v="99"/>
    <s v="eth1/24"/>
    <x v="0"/>
    <x v="0"/>
    <x v="0"/>
    <s v="LINK_TO_ITHFHWCBSPSWR53 / Slot7.2_34 / Redundante"/>
    <x v="0"/>
    <b v="0"/>
    <s v="No está en VPC"/>
    <n v="841"/>
    <s v="INTPG_VPC_836_1.24_841_1.24"/>
    <s v="ISEL-1.24"/>
    <n v="1"/>
    <s v="NO TIENE L3OUT"/>
    <n v="0"/>
    <n v="54"/>
  </r>
  <r>
    <n v="868"/>
    <x v="2"/>
    <x v="100"/>
    <s v="eth1/24"/>
    <x v="0"/>
    <x v="0"/>
    <x v="0"/>
    <s v="To_VPC_2DCRMD_SBD10_3"/>
    <x v="0"/>
    <b v="0"/>
    <s v="No está en VPC"/>
    <n v="868"/>
    <s v="INTPG_VPC_868_1.24_871_1.24"/>
    <s v="ISEL-1.24"/>
    <n v="1"/>
    <s v="NO TIENE L3OUT"/>
    <n v="246"/>
    <n v="54"/>
  </r>
  <r>
    <n v="869"/>
    <x v="2"/>
    <x v="101"/>
    <s v="eth1/24"/>
    <x v="0"/>
    <x v="0"/>
    <x v="0"/>
    <s v="To_ITHFHWCRMDLCN77_Redundante"/>
    <x v="0"/>
    <b v="0"/>
    <s v="No está en VPC"/>
    <n v="869"/>
    <s v="INTPG_ACC_869_1.24"/>
    <s v="ISEL-1.24"/>
    <n v="6"/>
    <s v="NO TIENE L3OUT"/>
    <n v="288"/>
    <n v="54"/>
  </r>
  <r>
    <n v="861"/>
    <x v="2"/>
    <x v="102"/>
    <s v="eth1/24"/>
    <x v="0"/>
    <x v="0"/>
    <x v="0"/>
    <s v="To_VPC_2DCBSD_HD24_2"/>
    <x v="0"/>
    <b v="0"/>
    <s v="No está en VPC"/>
    <n v="861"/>
    <s v="INTPG_VPC_861_1.24_866_1.24"/>
    <s v="ISEL-1.24"/>
    <n v="1"/>
    <s v="NO TIENE L3OUT"/>
    <n v="8"/>
    <n v="54"/>
  </r>
  <r>
    <n v="874"/>
    <x v="2"/>
    <x v="103"/>
    <s v="eth1/24"/>
    <x v="0"/>
    <x v="0"/>
    <x v="0"/>
    <s v="A_ITHFHWSEQLCAS23_Redundante"/>
    <x v="4"/>
    <b v="0"/>
    <s v="No está en VPC"/>
    <n v="874"/>
    <s v="INTPG_ACC_874_1.24"/>
    <s v="ISEL-1.24"/>
    <n v="1"/>
    <s v="NO TIENE L3OUT"/>
    <n v="92"/>
    <n v="54"/>
  </r>
  <r>
    <n v="865"/>
    <x v="2"/>
    <x v="104"/>
    <s v="eth1/24"/>
    <x v="0"/>
    <x v="0"/>
    <x v="0"/>
    <s v="To_VPC_2DCBSD_HD30_3"/>
    <x v="0"/>
    <b v="0"/>
    <s v="No está en VPC"/>
    <n v="865"/>
    <s v="INTPG_VPC_860_1.24_865_1.24"/>
    <s v="ISEL-1.24"/>
    <n v="1"/>
    <s v="NO TIENE L3OUT"/>
    <n v="0"/>
    <n v="54"/>
  </r>
  <r>
    <n v="753"/>
    <x v="2"/>
    <x v="105"/>
    <s v="eth1/24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24"/>
    <x v="0"/>
    <x v="1"/>
    <x v="5"/>
    <s v="CEM:ITHCEME2KFK12:LOM  P2"/>
    <x v="0"/>
    <b v="0"/>
    <s v="No está en VPC"/>
    <n v="708"/>
    <s v="INTPG_VPC_708_1.24_709_1.23"/>
    <s v="ISEL-1.24"/>
    <n v="1"/>
    <s v="NO TIENE L3OUT"/>
    <n v="0"/>
    <n v="54"/>
  </r>
  <r>
    <n v="710"/>
    <x v="2"/>
    <x v="107"/>
    <s v="eth1/24"/>
    <x v="0"/>
    <x v="1"/>
    <x v="5"/>
    <s v="CEM:ITHCEMC2ADT12:LOM  P2"/>
    <x v="0"/>
    <b v="0"/>
    <s v="No está en VPC"/>
    <n v="710"/>
    <s v="INTPG_VPC_710_1.24_711_1.23"/>
    <s v="ISEL-1.24"/>
    <n v="1"/>
    <s v="NO TIENE L3OUT"/>
    <n v="16"/>
    <n v="54"/>
  </r>
  <r>
    <n v="713"/>
    <x v="2"/>
    <x v="108"/>
    <s v="eth1/24"/>
    <x v="0"/>
    <x v="1"/>
    <x v="5"/>
    <s v="CEM:ITHCEMB2ADT12:LOM  P2"/>
    <x v="0"/>
    <b v="0"/>
    <s v="No está en VPC"/>
    <n v="713"/>
    <s v="INTPG_VPC_712_1.23_713_1.24"/>
    <s v="ISEL-1.24"/>
    <n v="1"/>
    <s v="NO TIENE L3OUT"/>
    <n v="32"/>
    <n v="54"/>
  </r>
  <r>
    <n v="735"/>
    <x v="2"/>
    <x v="109"/>
    <s v="eth1/24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24"/>
    <x v="0"/>
    <x v="0"/>
    <x v="0"/>
    <s v="Server_Pre-R02-CBS-RH2288-08"/>
    <x v="0"/>
    <b v="0"/>
    <s v="No está en VPC"/>
    <n v="731"/>
    <s v="INTPG_ACC_731_1.24"/>
    <s v="ISEL-1.24"/>
    <n v="1"/>
    <s v="NO TIENE L3OUT"/>
    <n v="38"/>
    <n v="54"/>
  </r>
  <r>
    <n v="703"/>
    <x v="2"/>
    <x v="111"/>
    <s v="eth1/24"/>
    <x v="0"/>
    <x v="0"/>
    <x v="0"/>
    <m/>
    <x v="0"/>
    <b v="0"/>
    <s v="No está en VPC"/>
    <n v="703"/>
    <s v="INTPG_VPC_704_1.23_703_1.24"/>
    <s v="ISEL-1.24"/>
    <n v="1"/>
    <s v="NO TIENE L3OUT"/>
    <n v="2"/>
    <n v="54"/>
  </r>
  <r>
    <n v="706"/>
    <x v="2"/>
    <x v="112"/>
    <s v="eth1/24"/>
    <x v="0"/>
    <x v="0"/>
    <x v="0"/>
    <m/>
    <x v="0"/>
    <b v="0"/>
    <s v="No está en VPC"/>
    <n v="706"/>
    <s v="INTPG_VPC_705_1.23_706_1.24"/>
    <s v="ISEL-1.24"/>
    <n v="1"/>
    <s v="NO TIENE L3OUT"/>
    <n v="16"/>
    <n v="54"/>
  </r>
  <r>
    <n v="762"/>
    <x v="2"/>
    <x v="113"/>
    <s v="eth1/24"/>
    <x v="0"/>
    <x v="0"/>
    <x v="0"/>
    <s v="PAAS:ithhwosstpap009:LOM PORT 3"/>
    <x v="0"/>
    <b v="0"/>
    <s v="No está en VPC"/>
    <n v="762"/>
    <s v="INTPG_VPC_762_1.24_763_1.24"/>
    <s v="ISEL-1.24"/>
    <n v="15"/>
    <s v="NO TIENE L3OUT"/>
    <n v="0"/>
    <n v="54"/>
  </r>
  <r>
    <n v="814"/>
    <x v="2"/>
    <x v="114"/>
    <s v="eth1/24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24"/>
    <x v="0"/>
    <x v="0"/>
    <x v="0"/>
    <s v="HACIA_MGMT-OSCP-F4-16_SECUNDARIO"/>
    <x v="4"/>
    <b v="0"/>
    <s v="No está en VPC"/>
    <n v="878"/>
    <s v="INTPG_VPC_878_1.24_879_1.24"/>
    <s v="ISEL-1.24"/>
    <n v="1"/>
    <s v="NO TIENE L3OUT"/>
    <n v="0"/>
    <n v="54"/>
  </r>
  <r>
    <n v="826"/>
    <x v="2"/>
    <x v="116"/>
    <s v="eth1/24"/>
    <x v="0"/>
    <x v="0"/>
    <x v="0"/>
    <s v="LINK_TO_ITHFHWCBSDSHD17 /Slot4.2 /Principal"/>
    <x v="0"/>
    <b v="0"/>
    <s v="No está en VPC"/>
    <n v="826"/>
    <s v="INTPG_VPC_826_1.24_830_1.24"/>
    <s v="ISEL-1.24"/>
    <n v="1"/>
    <s v="NO TIENE L3OUT"/>
    <n v="12"/>
    <n v="54"/>
  </r>
  <r>
    <n v="726"/>
    <x v="2"/>
    <x v="117"/>
    <s v="eth1/24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24"/>
    <x v="0"/>
    <x v="0"/>
    <x v="0"/>
    <s v="CEM:ITHCEMD2AKG12:SLOT1 P1"/>
    <x v="5"/>
    <b v="0"/>
    <s v="No está en VPC"/>
    <n v="740"/>
    <s v="INTPG_ACC_740_1.24"/>
    <s v="ISEL-1.24"/>
    <n v="1"/>
    <s v="NO TIENE L3OUT"/>
    <n v="72"/>
    <n v="54"/>
  </r>
  <r>
    <n v="705"/>
    <x v="2"/>
    <x v="119"/>
    <s v="eth1/24"/>
    <x v="0"/>
    <x v="0"/>
    <x v="0"/>
    <s v="ITHOIDA1SVR12"/>
    <x v="0"/>
    <b v="0"/>
    <s v="No está en VPC"/>
    <n v="705"/>
    <s v="INTPG_VPC_705_1.24_706_1.23"/>
    <s v="ISEL-1.24"/>
    <n v="1"/>
    <s v="NO TIENE L3OUT"/>
    <n v="16"/>
    <n v="54"/>
  </r>
  <r>
    <n v="723"/>
    <x v="2"/>
    <x v="120"/>
    <s v="eth1/24"/>
    <x v="0"/>
    <x v="0"/>
    <x v="0"/>
    <m/>
    <x v="0"/>
    <b v="0"/>
    <s v="No está en VPC"/>
    <n v="723"/>
    <s v="INTPG-VPC_HDD122_722_1.23_723_1.24"/>
    <s v="ISEL-1.24"/>
    <n v="1"/>
    <s v="NO TIENE L3OUT"/>
    <n v="0"/>
    <n v="54"/>
  </r>
  <r>
    <n v="721"/>
    <x v="2"/>
    <x v="121"/>
    <s v="eth1/24"/>
    <x v="0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24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24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24"/>
    <x v="0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24"/>
    <x v="0"/>
    <x v="1"/>
    <x v="5"/>
    <s v="CEM:ITHCEMF2KFK12:LOM  P2"/>
    <x v="0"/>
    <b v="0"/>
    <s v="No está en VPC"/>
    <n v="709"/>
    <s v="INTPG_VPC_708_1.23_709_1.24"/>
    <s v="ISEL-1.24"/>
    <n v="1"/>
    <s v="NO TIENE L3OUT"/>
    <n v="0"/>
    <n v="54"/>
  </r>
  <r>
    <n v="454"/>
    <x v="1"/>
    <x v="126"/>
    <s v="eth1/24"/>
    <x v="0"/>
    <x v="0"/>
    <x v="0"/>
    <s v="HACIA_MGMT-OSCP-F4-04_PRINCIPAL"/>
    <x v="4"/>
    <b v="0"/>
    <s v="No está en VPC"/>
    <n v="454"/>
    <s v="INTPG_VPC_454_1.24_456_1.24"/>
    <s v="ISEL-1.24"/>
    <n v="1"/>
    <s v="NO TIENE L3OUT"/>
    <n v="4"/>
    <n v="54"/>
  </r>
  <r>
    <n v="734"/>
    <x v="2"/>
    <x v="127"/>
    <s v="eth1/24"/>
    <x v="0"/>
    <x v="1"/>
    <x v="1"/>
    <s v="ITHCEMA1APP19"/>
    <x v="5"/>
    <b v="0"/>
    <s v="No está en VPC"/>
    <n v="734"/>
    <s v="INTPG_ACC_734_1.24"/>
    <s v="ISEL-1.24"/>
    <n v="1"/>
    <s v="NO TIENE L3OUT"/>
    <n v="32"/>
    <n v="54"/>
  </r>
  <r>
    <n v="815"/>
    <x v="2"/>
    <x v="128"/>
    <s v="eth1/24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24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24"/>
    <x v="0"/>
    <x v="0"/>
    <x v="0"/>
    <m/>
    <x v="0"/>
    <b v="0"/>
    <s v="No está en VPC"/>
    <n v="718"/>
    <s v="INTPG-VPC_NND02_717_1.23_718_1.24"/>
    <s v="ISEL-1.24"/>
    <n v="1"/>
    <s v="NO TIENE L3OUT"/>
    <n v="0"/>
    <n v="54"/>
  </r>
  <r>
    <n v="744"/>
    <x v="2"/>
    <x v="131"/>
    <s v="eth1/24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24"/>
    <x v="0"/>
    <x v="1"/>
    <x v="1"/>
    <s v="CEM:ITHCEMA2ADT12:SLOT1 P1"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24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24"/>
    <x v="0"/>
    <x v="1"/>
    <x v="3"/>
    <m/>
    <x v="0"/>
    <b v="0"/>
    <s v="No está en VPC"/>
    <n v="750"/>
    <s v="INTPG_ACC_750_1.24"/>
    <s v="ISEL-1.24"/>
    <n v="1"/>
    <s v="NO TIENE L3OUT"/>
    <n v="2"/>
    <n v="54"/>
  </r>
  <r>
    <n v="792"/>
    <x v="2"/>
    <x v="135"/>
    <s v="eth1/24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24"/>
    <x v="0"/>
    <x v="1"/>
    <x v="3"/>
    <s v="CEM_HADOOP"/>
    <x v="0"/>
    <b v="0"/>
    <s v="No está en VPC"/>
    <n v="736"/>
    <s v="INTPG_ACC_736_1.24"/>
    <s v="ISEL-1.24"/>
    <n v="1"/>
    <s v="NO TIENE L3OUT"/>
    <n v="48"/>
    <n v="54"/>
  </r>
  <r>
    <n v="799"/>
    <x v="2"/>
    <x v="137"/>
    <s v="eth1/24"/>
    <x v="0"/>
    <x v="0"/>
    <x v="0"/>
    <s v="TO-IMC_PS12-MSP"/>
    <x v="0"/>
    <b v="0"/>
    <s v="No está en VPC"/>
    <n v="799"/>
    <s v="INTPG_ACC_799_1.24"/>
    <s v="ISEL-1.24"/>
    <n v="1"/>
    <s v="NO TIENE L3OUT"/>
    <n v="52"/>
    <n v="54"/>
  </r>
  <r>
    <n v="768"/>
    <x v="2"/>
    <x v="138"/>
    <s v="eth1/24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24"/>
    <x v="0"/>
    <x v="1"/>
    <x v="5"/>
    <m/>
    <x v="0"/>
    <b v="0"/>
    <s v="No está en VPC"/>
    <n v="714"/>
    <s v="INTPG-VPC_GNX01_721_1.23_714_1.24"/>
    <s v="ISEL-1.24"/>
    <n v="2"/>
    <s v="NO TIENE L3OUT"/>
    <n v="20"/>
    <n v="54"/>
  </r>
  <r>
    <n v="717"/>
    <x v="2"/>
    <x v="140"/>
    <s v="eth1/24"/>
    <x v="0"/>
    <x v="0"/>
    <x v="0"/>
    <m/>
    <x v="0"/>
    <b v="0"/>
    <s v="No está en VPC"/>
    <n v="717"/>
    <s v="INTPG-VPC_NND01_718_1.23_717_1.24"/>
    <s v="ISEL-1.24"/>
    <n v="1"/>
    <s v="NO TIENE L3OUT"/>
    <n v="0"/>
    <n v="54"/>
  </r>
  <r>
    <n v="789"/>
    <x v="2"/>
    <x v="141"/>
    <s v="eth1/24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24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24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24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24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24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24"/>
    <x v="0"/>
    <x v="0"/>
    <x v="0"/>
    <s v="TO-HDPS_50-MSP"/>
    <x v="0"/>
    <b v="0"/>
    <s v="No está en VPC"/>
    <n v="803"/>
    <s v="INTPG_ACC_803_1.24"/>
    <s v="ISEL-1.24"/>
    <n v="1"/>
    <s v="NO TIENE L3OUT"/>
    <n v="48"/>
    <n v="54"/>
  </r>
  <r>
    <n v="786"/>
    <x v="2"/>
    <x v="148"/>
    <s v="eth1/24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24"/>
    <x v="0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24"/>
    <x v="0"/>
    <x v="0"/>
    <x v="0"/>
    <s v="CLOUD OPS:ithhwcop02en01:3X P3"/>
    <x v="0"/>
    <b v="0"/>
    <s v="No está en VPC"/>
    <n v="781"/>
    <s v="INTPG_VPC_780_1.22-25_781_1.22-25"/>
    <s v="ISEL-1.24"/>
    <n v="23"/>
    <s v="NO TIENE L3OUT"/>
    <n v="26"/>
    <n v="54"/>
  </r>
  <r>
    <n v="793"/>
    <x v="2"/>
    <x v="151"/>
    <s v="eth1/24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24"/>
    <x v="0"/>
    <x v="0"/>
    <x v="0"/>
    <s v="PAAS:ithhwosstpap009:Slot6.1"/>
    <x v="0"/>
    <b v="0"/>
    <s v="No está en VPC"/>
    <n v="747"/>
    <s v="INTPG_VPC_747_1.24_752_1.24"/>
    <s v="ISEL-1.24"/>
    <n v="25"/>
    <s v="NO TIENE L3OUT"/>
    <n v="0"/>
    <n v="54"/>
  </r>
  <r>
    <n v="784"/>
    <x v="2"/>
    <x v="153"/>
    <s v="eth1/24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24"/>
    <x v="0"/>
    <x v="0"/>
    <x v="0"/>
    <m/>
    <x v="0"/>
    <b v="0"/>
    <s v="No está en VPC"/>
    <n v="806"/>
    <s v="INTPG_PC_806_1.23-26"/>
    <s v="ISEL-1.24"/>
    <n v="0"/>
    <s v="L3OUT-OCS-RED-SIG-IP"/>
    <n v="44"/>
    <n v="54"/>
  </r>
  <r>
    <n v="777"/>
    <x v="2"/>
    <x v="155"/>
    <s v="eth1/24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24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24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24"/>
    <x v="0"/>
    <x v="0"/>
    <x v="0"/>
    <s v="CEM:ITHCEMC2ADT12:SLOT1 P1"/>
    <x v="5"/>
    <b v="0"/>
    <s v="No está en VPC"/>
    <n v="739"/>
    <s v="INTPG_ACC_739_1.24"/>
    <s v="ISEL-1.24"/>
    <n v="1"/>
    <s v="NO TIENE L3OUT"/>
    <n v="72"/>
    <n v="54"/>
  </r>
  <r>
    <n v="775"/>
    <x v="2"/>
    <x v="159"/>
    <s v="eth1/24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24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24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24"/>
    <x v="0"/>
    <x v="0"/>
    <x v="0"/>
    <s v="LINK_TO_ITHFHWCBSDSHD17 /Slot6.2 /Redundante"/>
    <x v="0"/>
    <b v="0"/>
    <s v="No está en VPC"/>
    <n v="830"/>
    <s v="INTPG_VPC_826_1.24_830_1.24"/>
    <s v="ISEL-1.24"/>
    <n v="1"/>
    <s v="NO TIENE L3OUT"/>
    <n v="12"/>
    <n v="54"/>
  </r>
  <r>
    <n v="821"/>
    <x v="2"/>
    <x v="163"/>
    <s v="eth1/24"/>
    <x v="0"/>
    <x v="0"/>
    <x v="0"/>
    <s v="LINK_TO_ITHFHWCBSPSHD17 /Slot6.2 /Redundante"/>
    <x v="0"/>
    <b v="0"/>
    <s v="No está en VPC"/>
    <n v="821"/>
    <s v="INTPG_VPC_816_1.24_821_1.24"/>
    <s v="ISEL-1.24"/>
    <n v="1"/>
    <s v="NO TIENE L3OUT"/>
    <n v="0"/>
    <n v="54"/>
  </r>
  <r>
    <n v="738"/>
    <x v="2"/>
    <x v="164"/>
    <s v="eth1/24"/>
    <x v="0"/>
    <x v="0"/>
    <x v="0"/>
    <s v="CEM:ITHCEMF2KFK12:SLOT1 P1"/>
    <x v="5"/>
    <b v="0"/>
    <s v="No está en VPC"/>
    <n v="738"/>
    <s v="INTPG_ACC_738_1.24"/>
    <s v="ISEL-1.24"/>
    <n v="1"/>
    <s v="NO TIENE L3OUT"/>
    <n v="72"/>
    <n v="54"/>
  </r>
  <r>
    <n v="820"/>
    <x v="2"/>
    <x v="165"/>
    <s v="eth1/24"/>
    <x v="0"/>
    <x v="0"/>
    <x v="0"/>
    <s v="LINKT_TO_ITHFHWCRMPLCN132 / Slot7.3_34 / Redundante"/>
    <x v="0"/>
    <b v="0"/>
    <s v="No está en VPC"/>
    <n v="820"/>
    <s v="INTPG_ACC_820_1.24"/>
    <s v="ISEL-1.24"/>
    <n v="1"/>
    <s v="NO TIENE L3OUT"/>
    <n v="72"/>
    <n v="54"/>
  </r>
  <r>
    <n v="804"/>
    <x v="2"/>
    <x v="166"/>
    <s v="eth1/24"/>
    <x v="0"/>
    <x v="0"/>
    <x v="0"/>
    <s v="TO-HDPS_50-MSP"/>
    <x v="0"/>
    <b v="0"/>
    <s v="No está en VPC"/>
    <n v="804"/>
    <s v="INTPG_ACC_804_1.24"/>
    <s v="ISEL-1.24"/>
    <n v="1"/>
    <s v="NO TIENE L3OUT"/>
    <n v="48"/>
    <n v="54"/>
  </r>
  <r>
    <n v="779"/>
    <x v="2"/>
    <x v="167"/>
    <s v="eth1/24"/>
    <x v="0"/>
    <x v="0"/>
    <x v="0"/>
    <s v="eSight:ITHHWC1ESI02:Slot 1 P1"/>
    <x v="0"/>
    <b v="0"/>
    <s v="No está en VPC"/>
    <n v="779"/>
    <s v="INTPG_VPC_778_1.24_779_1.24"/>
    <s v="ISEL-1.24"/>
    <n v="1"/>
    <s v="NO TIENE L3OUT"/>
    <n v="30"/>
    <n v="54"/>
  </r>
  <r>
    <n v="767"/>
    <x v="2"/>
    <x v="168"/>
    <s v="eth1/24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24"/>
    <x v="0"/>
    <x v="0"/>
    <x v="0"/>
    <s v="LINK_TO_ITHFHWCBSDSWR24 /10GE.1 /Principal"/>
    <x v="0"/>
    <b v="0"/>
    <s v="No está en VPC"/>
    <n v="827"/>
    <s v="INTPG_VPC_827_1.24_831_1.24"/>
    <s v="ISEL-1.24"/>
    <n v="1"/>
    <s v="NO TIENE L3OUT"/>
    <n v="14"/>
    <n v="54"/>
  </r>
  <r>
    <n v="809"/>
    <x v="2"/>
    <x v="170"/>
    <s v="eth1/24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24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24"/>
    <x v="0"/>
    <x v="0"/>
    <x v="0"/>
    <s v="TO-9S_BESDR_IXTLA3_1"/>
    <x v="0"/>
    <b v="0"/>
    <s v="No está en VPC"/>
    <n v="761"/>
    <s v="INTPG_VPC_760_1.21-24_761_1.21-24"/>
    <s v="ISEL-1.24"/>
    <n v="33"/>
    <s v="NO TIENE L3OUT"/>
    <n v="0"/>
    <n v="54"/>
  </r>
  <r>
    <n v="776"/>
    <x v="2"/>
    <x v="173"/>
    <s v="eth1/24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24"/>
    <x v="0"/>
    <x v="0"/>
    <x v="0"/>
    <m/>
    <x v="0"/>
    <b v="0"/>
    <s v="No está en VPC"/>
    <n v="805"/>
    <s v="INTPG_PC_805_1.23-26"/>
    <s v="ISEL-1.24"/>
    <n v="0"/>
    <s v="L3OUT-OCS-RED-SIG-IP"/>
    <n v="44"/>
    <n v="54"/>
  </r>
  <r>
    <n v="772"/>
    <x v="2"/>
    <x v="175"/>
    <s v="eth1/24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24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24"/>
    <x v="0"/>
    <x v="0"/>
    <x v="0"/>
    <s v="LINK_TO_ITHFHWCRMPLCN108 / Slot7.3_20 / Redundante"/>
    <x v="0"/>
    <b v="0"/>
    <s v="No está en VPC"/>
    <n v="851"/>
    <s v="INTPG_ACC_851_1.24"/>
    <s v="ISEL-1.24"/>
    <n v="1"/>
    <s v="NO TIENE L3OUT"/>
    <n v="282"/>
    <n v="54"/>
  </r>
  <r>
    <n v="798"/>
    <x v="2"/>
    <x v="178"/>
    <s v="eth1/24"/>
    <x v="0"/>
    <x v="0"/>
    <x v="0"/>
    <s v="TO-IMC_PS12-MSP"/>
    <x v="0"/>
    <b v="0"/>
    <s v="No está en VPC"/>
    <n v="798"/>
    <s v="INTPG_ACC_798_1.24"/>
    <s v="ISEL-1.24"/>
    <n v="1"/>
    <s v="NO TIENE L3OUT"/>
    <n v="52"/>
    <n v="54"/>
  </r>
  <r>
    <n v="782"/>
    <x v="2"/>
    <x v="179"/>
    <s v="eth1/24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24"/>
    <x v="0"/>
    <x v="0"/>
    <x v="0"/>
    <s v="LINK_TO_ITHFHWCRMPLCN92 / Slot7.1_16 / Redundante"/>
    <x v="0"/>
    <b v="0"/>
    <s v="No está en VPC"/>
    <n v="852"/>
    <s v="INTPG_ACC_852_1.24"/>
    <s v="ISEL-1.24"/>
    <n v="6"/>
    <s v="NO TIENE L3OUT"/>
    <n v="258"/>
    <n v="54"/>
  </r>
  <r>
    <n v="817"/>
    <x v="2"/>
    <x v="181"/>
    <s v="eth1/24"/>
    <x v="0"/>
    <x v="0"/>
    <x v="0"/>
    <s v="LINK_TO_ITHFHWCBSPSUSBD16 /Slot4.2 /Principal"/>
    <x v="0"/>
    <b v="0"/>
    <s v="No está en VPC"/>
    <n v="817"/>
    <s v="INTPG_VPC_817_1.24_822_1.24"/>
    <s v="ISEL-1.24"/>
    <n v="1"/>
    <s v="NO TIENE L3OUT"/>
    <n v="0"/>
    <n v="54"/>
  </r>
  <r>
    <n v="832"/>
    <x v="2"/>
    <x v="182"/>
    <s v="eth1/24"/>
    <x v="0"/>
    <x v="0"/>
    <x v="0"/>
    <s v="LINK_TO_ITHFHWCRMDLCN23 /Slot5.1 /Redundante"/>
    <x v="0"/>
    <b v="0"/>
    <s v="No está en VPC"/>
    <n v="832"/>
    <s v="INTPG_ACC_832_1.24"/>
    <s v="ISEL-1.24"/>
    <n v="2"/>
    <s v="NO TIENE L3OUT"/>
    <n v="192"/>
    <n v="54"/>
  </r>
  <r>
    <n v="816"/>
    <x v="2"/>
    <x v="183"/>
    <s v="eth1/24"/>
    <x v="0"/>
    <x v="0"/>
    <x v="0"/>
    <s v="LINK_TO_ITHFHWCBSPSHD17 /Slot4.2 /Principal"/>
    <x v="0"/>
    <b v="0"/>
    <s v="No está en VPC"/>
    <n v="816"/>
    <s v="INTPG_VPC_816_1.24_821_1.24"/>
    <s v="ISEL-1.24"/>
    <n v="1"/>
    <s v="NO TIENE L3OUT"/>
    <n v="0"/>
    <n v="54"/>
  </r>
  <r>
    <n v="825"/>
    <x v="2"/>
    <x v="184"/>
    <s v="eth1/24"/>
    <x v="0"/>
    <x v="0"/>
    <x v="0"/>
    <s v="LINKT_TO_ITHFHWCRMPLCN132 / Slot1.3_34 / Principal"/>
    <x v="0"/>
    <b v="0"/>
    <s v="No está en VPC"/>
    <n v="825"/>
    <s v="INTPG_ACC_825_1.24"/>
    <s v="ISEL-1.24"/>
    <n v="1"/>
    <s v="NO TIENE L3OUT"/>
    <n v="72"/>
    <n v="54"/>
  </r>
  <r>
    <n v="800"/>
    <x v="2"/>
    <x v="185"/>
    <s v="eth1/24"/>
    <x v="0"/>
    <x v="0"/>
    <x v="0"/>
    <s v="TO-ITHFHWSEQLCAS04-MSP"/>
    <x v="0"/>
    <b v="0"/>
    <s v="No está en VPC"/>
    <n v="800"/>
    <s v="INTPG_ACC_800_1.24"/>
    <s v="ISEL-1.24"/>
    <n v="1"/>
    <s v="NO TIENE L3OUT"/>
    <n v="78"/>
    <n v="54"/>
  </r>
  <r>
    <n v="801"/>
    <x v="2"/>
    <x v="186"/>
    <s v="eth1/24"/>
    <x v="0"/>
    <x v="0"/>
    <x v="0"/>
    <s v="TO-ITHFHWSEQLCAS04-MSP"/>
    <x v="0"/>
    <b v="0"/>
    <s v="No está en VPC"/>
    <n v="801"/>
    <s v="INTPG_ACC_801_1.24"/>
    <s v="ISEL-1.24"/>
    <n v="1"/>
    <s v="NO TIENE L3OUT"/>
    <n v="78"/>
    <n v="54"/>
  </r>
  <r>
    <n v="823"/>
    <x v="2"/>
    <x v="187"/>
    <s v="eth1/24"/>
    <x v="0"/>
    <x v="0"/>
    <x v="0"/>
    <s v="LINK_TO_ITHFHWCBSPSWR32 /Slot5.1 /Redundante"/>
    <x v="0"/>
    <b v="0"/>
    <s v="No está en VPC"/>
    <n v="823"/>
    <s v="INTPG_VPC_818_1.24_823_1.24"/>
    <s v="ISEL-1.24"/>
    <n v="1"/>
    <s v="NO TIENE L3OUT"/>
    <n v="8"/>
    <n v="54"/>
  </r>
  <r>
    <n v="837"/>
    <x v="2"/>
    <x v="188"/>
    <s v="eth1/24"/>
    <x v="0"/>
    <x v="0"/>
    <x v="0"/>
    <s v="LINK_TO_ITHFHWCBSPSWR47 / Slot1.2_30 / Principal"/>
    <x v="0"/>
    <b v="0"/>
    <s v="No está en VPC"/>
    <n v="837"/>
    <s v="INTPG_VPC_837_1.24_842_1.24"/>
    <s v="ISEL-1.24"/>
    <n v="1"/>
    <s v="NO TIENE L3OUT"/>
    <n v="8"/>
    <n v="54"/>
  </r>
  <r>
    <n v="867"/>
    <x v="2"/>
    <x v="189"/>
    <s v="eth1/24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24"/>
    <x v="0"/>
    <x v="0"/>
    <x v="0"/>
    <s v="LINK_TO_ITHFHWCRMDLCN35 /Slot6.2 /Redundante"/>
    <x v="0"/>
    <b v="0"/>
    <s v="No está en VPC"/>
    <n v="829"/>
    <s v="INTPG_ACC_829_1.24"/>
    <s v="ISEL-1.24"/>
    <n v="1"/>
    <s v="NO TIENE L3OUT"/>
    <n v="224"/>
    <n v="54"/>
  </r>
  <r>
    <n v="831"/>
    <x v="2"/>
    <x v="191"/>
    <s v="eth1/24"/>
    <x v="0"/>
    <x v="0"/>
    <x v="0"/>
    <s v="LINK_TO_ITHFHWCBSDSWR24 /Slot5.1 /Redundante"/>
    <x v="0"/>
    <b v="0"/>
    <s v="No está en VPC"/>
    <n v="831"/>
    <s v="INTPG_VPC_827_1.24_831_1.24"/>
    <s v="ISEL-1.24"/>
    <n v="1"/>
    <s v="NO TIENE L3OUT"/>
    <n v="14"/>
    <n v="54"/>
  </r>
  <r>
    <n v="802"/>
    <x v="2"/>
    <x v="192"/>
    <s v="eth1/24"/>
    <x v="0"/>
    <x v="0"/>
    <x v="0"/>
    <s v="TO-HDPS_26-MSP"/>
    <x v="0"/>
    <b v="0"/>
    <s v="No está en VPC"/>
    <n v="802"/>
    <s v="INTPG_ACC_802_1.24"/>
    <s v="ISEL-1.24"/>
    <n v="1"/>
    <s v="NO TIENE L3OUT"/>
    <n v="48"/>
    <n v="54"/>
  </r>
  <r>
    <n v="835"/>
    <x v="2"/>
    <x v="193"/>
    <s v="eth1/24"/>
    <x v="0"/>
    <x v="0"/>
    <x v="0"/>
    <s v="LINK_TO_ITHHWD6KV65100014DKC01 / CTMB_IOM0.P0_34 / Principal"/>
    <x v="0"/>
    <b v="0"/>
    <s v="No está en VPC"/>
    <n v="835"/>
    <s v="INTPG_ACC_835_1.24"/>
    <s v="ISEL-1.24"/>
    <n v="1"/>
    <s v="NO TIENE L3OUT"/>
    <n v="8"/>
    <n v="54"/>
  </r>
  <r>
    <n v="822"/>
    <x v="2"/>
    <x v="194"/>
    <s v="eth1/24"/>
    <x v="0"/>
    <x v="0"/>
    <x v="0"/>
    <s v="LINK_TO_ITHFHWCBSPSUSBD16 /Slot6.2 /Redundante"/>
    <x v="0"/>
    <b v="0"/>
    <s v="No está en VPC"/>
    <n v="822"/>
    <s v="INTPG_VPC_817_1.24_822_1.24"/>
    <s v="ISEL-1.24"/>
    <n v="1"/>
    <s v="NO TIENE L3OUT"/>
    <n v="0"/>
    <n v="54"/>
  </r>
  <r>
    <n v="854"/>
    <x v="2"/>
    <x v="195"/>
    <s v="eth1/24"/>
    <x v="0"/>
    <x v="0"/>
    <x v="0"/>
    <s v="LINK_TO_ITHFHWCRMPLCN173 / Slot1.2_16 / Principal"/>
    <x v="0"/>
    <b v="0"/>
    <s v="No está en VPC"/>
    <n v="854"/>
    <s v="INTPG_ACC_854_1.24"/>
    <s v="ISEL-1.24"/>
    <n v="2"/>
    <s v="NO TIENE L3OUT"/>
    <n v="204"/>
    <n v="54"/>
  </r>
  <r>
    <n v="858"/>
    <x v="2"/>
    <x v="196"/>
    <s v="eth1/24"/>
    <x v="0"/>
    <x v="0"/>
    <x v="0"/>
    <s v="To_VPC_2DCBSD_HD44_3"/>
    <x v="0"/>
    <b v="0"/>
    <s v="No está en VPC"/>
    <n v="858"/>
    <s v="INTPG_VPC_858_1.24_863_1.24"/>
    <s v="ISEL-1.24"/>
    <n v="1"/>
    <s v="NO TIENE L3OUT"/>
    <n v="8"/>
    <n v="54"/>
  </r>
  <r>
    <n v="857"/>
    <x v="2"/>
    <x v="197"/>
    <s v="eth1/24"/>
    <x v="0"/>
    <x v="0"/>
    <x v="0"/>
    <s v="LINKT_TO_ITHFHWCRMPLCN123 / Slot1.2_16 / Principal"/>
    <x v="0"/>
    <b v="0"/>
    <s v="No está en VPC"/>
    <n v="857"/>
    <s v="INTPG_ACC_857_1.24"/>
    <s v="ISEL-1.24"/>
    <n v="2"/>
    <s v="NO TIENE L3OUT"/>
    <n v="288"/>
    <n v="54"/>
  </r>
  <r>
    <n v="859"/>
    <x v="2"/>
    <x v="198"/>
    <s v="eth1/24"/>
    <x v="0"/>
    <x v="0"/>
    <x v="0"/>
    <s v="To_VPC_2DCBSD_WR43_3"/>
    <x v="0"/>
    <b v="0"/>
    <s v="No está en VPC"/>
    <n v="859"/>
    <s v="INTPG_VPC_859_1.24_864_1.24"/>
    <s v="ISEL-1.24"/>
    <n v="1"/>
    <s v="NO TIENE L3OUT"/>
    <n v="0"/>
    <n v="54"/>
  </r>
  <r>
    <n v="833"/>
    <x v="2"/>
    <x v="199"/>
    <s v="eth1/24"/>
    <x v="0"/>
    <x v="0"/>
    <x v="0"/>
    <s v="LINK_TO_ITHFHWCRMDLCN35 /Slot4.2 /Principal"/>
    <x v="0"/>
    <b v="0"/>
    <s v="No está en VPC"/>
    <n v="833"/>
    <s v="INTPG_ACC_833_1.24"/>
    <s v="ISEL-1.24"/>
    <n v="1"/>
    <s v="NO TIENE L3OUT"/>
    <n v="224"/>
    <n v="54"/>
  </r>
  <r>
    <n v="818"/>
    <x v="2"/>
    <x v="200"/>
    <s v="eth1/24"/>
    <x v="0"/>
    <x v="0"/>
    <x v="0"/>
    <s v="LINK_TO_ITHFHWCBSPSWR32 /10GE.1 /Principal"/>
    <x v="0"/>
    <b v="0"/>
    <s v="No está en VPC"/>
    <n v="818"/>
    <s v="INTPG_VPC_818_1.24_823_1.24"/>
    <s v="ISEL-1.24"/>
    <n v="1"/>
    <s v="NO TIENE L3OUT"/>
    <n v="8"/>
    <n v="54"/>
  </r>
  <r>
    <n v="850"/>
    <x v="2"/>
    <x v="201"/>
    <s v="eth1/24"/>
    <x v="0"/>
    <x v="0"/>
    <x v="0"/>
    <s v="LINKT_TO_ITHFHWCRMPLCN123 / Slot7.2_16 / Redundante"/>
    <x v="0"/>
    <b v="0"/>
    <s v="No está en VPC"/>
    <n v="850"/>
    <s v="INTPG_ACC_850_1.24"/>
    <s v="ISEL-1.24"/>
    <n v="2"/>
    <s v="NO TIENE L3OUT"/>
    <n v="288"/>
    <n v="54"/>
  </r>
  <r>
    <n v="860"/>
    <x v="2"/>
    <x v="202"/>
    <s v="eth1/24"/>
    <x v="0"/>
    <x v="0"/>
    <x v="0"/>
    <s v="To_VPC_2DCBSD_HD30_3"/>
    <x v="0"/>
    <b v="0"/>
    <s v="No está en VPC"/>
    <n v="860"/>
    <s v="INTPG_VPC_860_1.24_865_1.24"/>
    <s v="ISEL-1.24"/>
    <n v="1"/>
    <s v="NO TIENE L3OUT"/>
    <n v="0"/>
    <n v="54"/>
  </r>
  <r>
    <n v="853"/>
    <x v="2"/>
    <x v="203"/>
    <s v="eth1/24"/>
    <x v="0"/>
    <x v="0"/>
    <x v="0"/>
    <s v="LINK_TO_ITHFHWCRMPLCN79 / Slot7.3_16 / Redundante"/>
    <x v="0"/>
    <b v="0"/>
    <s v="No está en VPC"/>
    <n v="853"/>
    <s v="INTPG_ACC_853_1.24"/>
    <s v="ISEL-1.24"/>
    <n v="1"/>
    <s v="NO TIENE L3OUT"/>
    <n v="242"/>
    <n v="54"/>
  </r>
  <r>
    <n v="790"/>
    <x v="2"/>
    <x v="204"/>
    <s v="eth1/24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24"/>
    <x v="0"/>
    <x v="0"/>
    <x v="0"/>
    <m/>
    <x v="6"/>
    <b v="0"/>
    <s v="No está en VPC"/>
    <n v="105"/>
    <s v="INTPG_PC_105_23_24_36"/>
    <s v="ISEL-1.24"/>
    <n v="2"/>
    <s v="NO TIENE L3OUT"/>
    <n v="106"/>
    <n v="96"/>
  </r>
  <r>
    <n v="117"/>
    <x v="0"/>
    <x v="206"/>
    <s v="eth1/24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24"/>
    <x v="0"/>
    <x v="1"/>
    <x v="1"/>
    <s v="SFLDI"/>
    <x v="6"/>
    <b v="0"/>
    <s v="No está en VPC"/>
    <n v="104"/>
    <s v="INTPG_ACC_104_1.24"/>
    <s v="ISEL-1.24"/>
    <n v="1"/>
    <s v="NO TIENE L3OUT"/>
    <n v="194"/>
    <n v="96"/>
  </r>
  <r>
    <n v="158"/>
    <x v="0"/>
    <x v="208"/>
    <s v="eth1/24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24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24"/>
    <x v="0"/>
    <x v="0"/>
    <x v="0"/>
    <s v="HACIA_MGMT-OSCP-F4-16_SECUNDARIO"/>
    <x v="4"/>
    <b v="0"/>
    <s v="No está en VPC"/>
    <n v="879"/>
    <s v="INTPG_VPC_878_1.24_879_1.24"/>
    <s v="ISEL-1.24"/>
    <n v="1"/>
    <s v="NO TIENE L3OUT"/>
    <n v="0"/>
    <n v="54"/>
  </r>
  <r>
    <n v="108"/>
    <x v="0"/>
    <x v="211"/>
    <s v="eth1/24"/>
    <x v="0"/>
    <x v="0"/>
    <x v="0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24"/>
    <x v="1"/>
    <x v="1"/>
    <x v="2"/>
    <s v="APROVISIONAMIENTO DE SERVICIOS"/>
    <x v="6"/>
    <b v="0"/>
    <s v="No está en VPC"/>
    <n v="112"/>
    <s v="INTPG_ACC_112_1.24"/>
    <s v="ISEL-1.24"/>
    <n v="1"/>
    <s v="NO TIENE L3OUT"/>
    <n v="144"/>
    <n v="96"/>
  </r>
  <r>
    <n v="107"/>
    <x v="0"/>
    <x v="213"/>
    <s v="eth1/24"/>
    <x v="0"/>
    <x v="0"/>
    <x v="0"/>
    <s v="SISAP"/>
    <x v="6"/>
    <b v="0"/>
    <s v="No está en VPC"/>
    <n v="107"/>
    <s v="INTPG_ACC_107_1.24"/>
    <s v="ISEL-1.24"/>
    <n v="1"/>
    <s v="NO TIENE L3OUT"/>
    <n v="118"/>
    <n v="96"/>
  </r>
  <r>
    <n v="109"/>
    <x v="0"/>
    <x v="214"/>
    <s v="eth1/24"/>
    <x v="0"/>
    <x v="1"/>
    <x v="1"/>
    <s v="GESTION WAS "/>
    <x v="6"/>
    <b v="0"/>
    <s v="No está en VPC"/>
    <n v="109"/>
    <s v="INTPG_ACC_109_1.24"/>
    <s v="ISEL-1.24"/>
    <n v="1"/>
    <s v="NO TIENE L3OUT"/>
    <n v="126"/>
    <n v="96"/>
  </r>
  <r>
    <n v="113"/>
    <x v="0"/>
    <x v="215"/>
    <s v="eth1/24"/>
    <x v="0"/>
    <x v="0"/>
    <x v="0"/>
    <s v="TO-ITHFHPNBURBKP02-PRINCIPAL"/>
    <x v="6"/>
    <b v="0"/>
    <s v="No está en VPC"/>
    <n v="113"/>
    <s v="INTPG_ACC_113_1.24"/>
    <s v="ISEL-1.24"/>
    <n v="1"/>
    <s v="NO TIENE L3OUT"/>
    <n v="52"/>
    <n v="96"/>
  </r>
  <r>
    <n v="114"/>
    <x v="0"/>
    <x v="216"/>
    <s v="eth1/24"/>
    <x v="0"/>
    <x v="0"/>
    <x v="0"/>
    <s v="SUBEX (Fraud Management)"/>
    <x v="6"/>
    <b v="0"/>
    <s v="No está en VPC"/>
    <n v="114"/>
    <s v="INTPG_ACC_114_1.24"/>
    <s v="ISEL-1.24"/>
    <n v="1"/>
    <s v="NO TIENE L3OUT"/>
    <n v="144"/>
    <n v="96"/>
  </r>
  <r>
    <n v="124"/>
    <x v="0"/>
    <x v="217"/>
    <s v="eth1/24"/>
    <x v="0"/>
    <x v="1"/>
    <x v="1"/>
    <s v="3G_OSS_QRO_R6"/>
    <x v="6"/>
    <b v="0"/>
    <s v="No está en VPC"/>
    <n v="124"/>
    <s v="INTPG_ACC_124_1.24"/>
    <s v="ISEL-1.24"/>
    <n v="1"/>
    <s v="NO TIENE L3OUT"/>
    <n v="80"/>
    <n v="96"/>
  </r>
  <r>
    <n v="118"/>
    <x v="0"/>
    <x v="218"/>
    <s v="eth1/24"/>
    <x v="0"/>
    <x v="0"/>
    <x v="0"/>
    <s v="COBROS NAVEGACION"/>
    <x v="6"/>
    <b v="0"/>
    <s v="No está en VPC"/>
    <n v="118"/>
    <s v="INTPG_ACC_118_1.24"/>
    <s v="ISEL-1.24"/>
    <n v="1"/>
    <s v="NO TIENE L3OUT"/>
    <n v="180"/>
    <n v="96"/>
  </r>
  <r>
    <n v="159"/>
    <x v="0"/>
    <x v="219"/>
    <s v="eth1/24"/>
    <x v="0"/>
    <x v="0"/>
    <x v="0"/>
    <s v="ArrobaDOC Y CF"/>
    <x v="6"/>
    <b v="0"/>
    <s v="No está en VPC"/>
    <n v="159"/>
    <s v="INTPG_ACC_159_1.24"/>
    <s v="ISEL-1.24"/>
    <n v="1"/>
    <s v="NO TIENE L3OUT"/>
    <n v="72"/>
    <n v="96"/>
  </r>
  <r>
    <n v="840"/>
    <x v="2"/>
    <x v="220"/>
    <s v="eth1/24"/>
    <x v="0"/>
    <x v="0"/>
    <x v="0"/>
    <s v="LINK_TO_ITHHWD6KV65100014DKC01 / CTMB_IOM0.P1_34 / Redundante"/>
    <x v="0"/>
    <b v="0"/>
    <s v="No está en VPC"/>
    <n v="840"/>
    <s v="INTPG_ACC_840_1.24"/>
    <s v="ISEL-1.24"/>
    <n v="1"/>
    <s v="NO TIENE L3OUT"/>
    <n v="8"/>
    <n v="54"/>
  </r>
  <r>
    <n v="856"/>
    <x v="2"/>
    <x v="221"/>
    <s v="eth1/24"/>
    <x v="0"/>
    <x v="0"/>
    <x v="0"/>
    <s v="LINK_TO_ITHFHWCRMPLCN142 / Slot1.2_18 / Principal"/>
    <x v="0"/>
    <b v="0"/>
    <s v="No está en VPC"/>
    <n v="856"/>
    <s v="INTPG_ACC_856_1.24"/>
    <s v="ISEL-1.24"/>
    <n v="2"/>
    <s v="NO TIENE L3OUT"/>
    <n v="286"/>
    <n v="54"/>
  </r>
  <r>
    <n v="110"/>
    <x v="0"/>
    <x v="222"/>
    <s v="eth1/24"/>
    <x v="0"/>
    <x v="0"/>
    <x v="0"/>
    <s v="UXDX-DATOS"/>
    <x v="6"/>
    <b v="0"/>
    <s v="No está en VPC"/>
    <n v="110"/>
    <s v="INTPG_ACC_110_1.24"/>
    <s v="ISEL-1.24"/>
    <n v="1"/>
    <s v="NO TIENE L3OUT"/>
    <n v="102"/>
    <n v="96"/>
  </r>
  <r>
    <n v="163"/>
    <x v="0"/>
    <x v="223"/>
    <s v="eth1/24"/>
    <x v="0"/>
    <x v="0"/>
    <x v="0"/>
    <s v="NETSCOUT"/>
    <x v="6"/>
    <b v="0"/>
    <s v="No está en VPC"/>
    <n v="163"/>
    <s v="INTPG_ACC_163_1.24"/>
    <s v="ISEL-1.24"/>
    <n v="1"/>
    <s v="NO TIENE L3OUT"/>
    <n v="140"/>
    <n v="96"/>
  </r>
  <r>
    <n v="407"/>
    <x v="1"/>
    <x v="224"/>
    <s v="eth1/24"/>
    <x v="0"/>
    <x v="0"/>
    <x v="0"/>
    <s v="IXTGLAOSS2_CLIENT1"/>
    <x v="6"/>
    <b v="0"/>
    <s v="No está en VPC"/>
    <n v="407"/>
    <s v="INTPG_VPC_407_1.24_409_1.20"/>
    <s v="ISEL-1.24"/>
    <n v="16"/>
    <s v="NO TIENE L3OUT"/>
    <n v="122"/>
    <n v="96"/>
  </r>
  <r>
    <n v="171"/>
    <x v="0"/>
    <x v="225"/>
    <s v="eth1/24"/>
    <x v="0"/>
    <x v="1"/>
    <x v="1"/>
    <s v="NFA"/>
    <x v="6"/>
    <b v="0"/>
    <s v="No está en VPC"/>
    <n v="171"/>
    <s v="INTPG_ACC_171_1.24"/>
    <s v="ISEL-1.24"/>
    <n v="1"/>
    <s v="NO TIENE L3OUT"/>
    <n v="114"/>
    <n v="96"/>
  </r>
  <r>
    <n v="421"/>
    <x v="1"/>
    <x v="226"/>
    <s v="eth1/24"/>
    <x v="0"/>
    <x v="0"/>
    <x v="0"/>
    <s v="PMAX_S2_1RIO"/>
    <x v="6"/>
    <b v="0"/>
    <s v="No está en VPC"/>
    <n v="421"/>
    <s v="INTPG_ACC_421_1.24"/>
    <s v="ISEL-1.24"/>
    <n v="1"/>
    <s v="NO TIENE L3OUT"/>
    <n v="72"/>
    <n v="96"/>
  </r>
  <r>
    <n v="173"/>
    <x v="0"/>
    <x v="227"/>
    <s v="eth1/24"/>
    <x v="0"/>
    <x v="0"/>
    <x v="0"/>
    <s v="ENIQ"/>
    <x v="6"/>
    <b v="0"/>
    <s v="No está en VPC"/>
    <n v="173"/>
    <s v="INTPG_ACC_173_1.24"/>
    <s v="ISEL-1.24"/>
    <n v="1"/>
    <s v="NO TIENE L3OUT"/>
    <n v="66"/>
    <n v="96"/>
  </r>
  <r>
    <n v="154"/>
    <x v="0"/>
    <x v="228"/>
    <s v="eth1/24"/>
    <x v="0"/>
    <x v="0"/>
    <x v="0"/>
    <s v="Precios DEUR"/>
    <x v="6"/>
    <b v="0"/>
    <s v="No está en VPC"/>
    <n v="154"/>
    <s v="INTPG_ACC_154_1.24"/>
    <s v="ISEL-1.24"/>
    <n v="1"/>
    <s v="NO TIENE L3OUT"/>
    <n v="62"/>
    <n v="96"/>
  </r>
  <r>
    <n v="172"/>
    <x v="0"/>
    <x v="229"/>
    <s v="eth1/24"/>
    <x v="0"/>
    <x v="1"/>
    <x v="1"/>
    <s v="NFA"/>
    <x v="6"/>
    <b v="0"/>
    <s v="No está en VPC"/>
    <n v="172"/>
    <s v="INTPG_ACC_172_1.24"/>
    <s v="ISEL-1.24"/>
    <n v="1"/>
    <s v="NO TIENE L3OUT"/>
    <n v="104"/>
    <n v="96"/>
  </r>
  <r>
    <n v="420"/>
    <x v="1"/>
    <x v="230"/>
    <s v="eth1/24"/>
    <x v="0"/>
    <x v="1"/>
    <x v="1"/>
    <s v="SMUIXTLA5_ILO"/>
    <x v="6"/>
    <b v="0"/>
    <s v="No está en VPC"/>
    <n v="420"/>
    <s v="INTPG_ACC_420_1.24"/>
    <s v="ISEL-1.24"/>
    <n v="1"/>
    <s v="NO TIENE L3OUT"/>
    <n v="158"/>
    <n v="96"/>
  </r>
  <r>
    <n v="423"/>
    <x v="1"/>
    <x v="231"/>
    <s v="eth1/24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24"/>
    <x v="0"/>
    <x v="0"/>
    <x v="0"/>
    <s v="VTAE4"/>
    <x v="6"/>
    <b v="0"/>
    <s v="No está en VPC"/>
    <n v="415"/>
    <s v="INTPG_ACC_415_1.24"/>
    <s v="ISEL-1.24"/>
    <n v="1"/>
    <s v="NO TIENE L3OUT"/>
    <n v="52"/>
    <n v="96"/>
  </r>
  <r>
    <n v="102"/>
    <x v="0"/>
    <x v="233"/>
    <s v="eth1/24"/>
    <x v="0"/>
    <x v="1"/>
    <x v="1"/>
    <s v="SFLDI:RLDICDR05:1"/>
    <x v="6"/>
    <b v="0"/>
    <s v="No está en VPC"/>
    <n v="102"/>
    <s v="INTPG_ACC_102_1.24"/>
    <s v="ISEL-1.24"/>
    <n v="1"/>
    <s v="NO TIENE L3OUT"/>
    <n v="228"/>
    <n v="96"/>
  </r>
  <r>
    <n v="863"/>
    <x v="2"/>
    <x v="234"/>
    <s v="eth1/24"/>
    <x v="0"/>
    <x v="0"/>
    <x v="0"/>
    <s v="To_VPC_2DCBSD_HD44_3"/>
    <x v="0"/>
    <b v="0"/>
    <s v="No está en VPC"/>
    <n v="863"/>
    <s v="INTPG_VPC_858_1.24_863_1.24"/>
    <s v="ISEL-1.24"/>
    <n v="1"/>
    <s v="NO TIENE L3OUT"/>
    <n v="8"/>
    <n v="54"/>
  </r>
  <r>
    <n v="876"/>
    <x v="2"/>
    <x v="235"/>
    <s v="eth1/24"/>
    <x v="0"/>
    <x v="0"/>
    <x v="0"/>
    <s v="A_ITHFHWSEQLCAS23_Principal"/>
    <x v="4"/>
    <b v="0"/>
    <s v="No está en VPC"/>
    <n v="876"/>
    <s v="INTPG_ACC_876_1.24"/>
    <s v="ISEL-1.24"/>
    <n v="1"/>
    <s v="NO TIENE L3OUT"/>
    <n v="92"/>
    <n v="54"/>
  </r>
  <r>
    <n v="877"/>
    <x v="2"/>
    <x v="236"/>
    <s v="eth1/24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24"/>
    <x v="0"/>
    <x v="0"/>
    <x v="0"/>
    <s v="VMAX 3 TRAP IME"/>
    <x v="6"/>
    <b v="0"/>
    <s v="No está en VPC"/>
    <n v="122"/>
    <s v="INTPG_ACC_122_1.24"/>
    <s v="ISEL-1.24"/>
    <n v="1"/>
    <s v="NO TIENE L3OUT"/>
    <n v="148"/>
    <n v="96"/>
  </r>
  <r>
    <n v="157"/>
    <x v="0"/>
    <x v="238"/>
    <s v="eth1/24"/>
    <x v="0"/>
    <x v="0"/>
    <x v="0"/>
    <s v="RED CRICKET"/>
    <x v="6"/>
    <b v="0"/>
    <s v="No está en VPC"/>
    <n v="157"/>
    <s v="INTPG_ACC_157_1.24"/>
    <s v="ISEL-1.24"/>
    <n v="1"/>
    <s v="NO TIENE L3OUT"/>
    <n v="202"/>
    <n v="96"/>
  </r>
  <r>
    <n v="408"/>
    <x v="1"/>
    <x v="239"/>
    <s v="eth1/24"/>
    <x v="0"/>
    <x v="0"/>
    <x v="0"/>
    <s v="NEC Femtocel NMS"/>
    <x v="6"/>
    <b v="0"/>
    <s v="No está en VPC"/>
    <n v="408"/>
    <s v="INTPG_ACC_408_1.24"/>
    <s v="ISEL-1.24"/>
    <n v="1"/>
    <s v="NO TIENE L3OUT"/>
    <n v="152"/>
    <n v="96"/>
  </r>
  <r>
    <n v="405"/>
    <x v="1"/>
    <x v="240"/>
    <s v="eth1/24"/>
    <x v="0"/>
    <x v="0"/>
    <x v="0"/>
    <s v="XL6 RLR6ARI04 ILO"/>
    <x v="6"/>
    <b v="0"/>
    <s v="No está en VPC"/>
    <n v="405"/>
    <s v="INTPG_ACC_405_1.24"/>
    <s v="ISEL-1.24"/>
    <n v="1"/>
    <s v="NO TIENE L3OUT"/>
    <n v="138"/>
    <n v="96"/>
  </r>
  <r>
    <n v="169"/>
    <x v="0"/>
    <x v="241"/>
    <s v="eth1/24"/>
    <x v="1"/>
    <x v="1"/>
    <x v="2"/>
    <s v="RBT"/>
    <x v="6"/>
    <b v="0"/>
    <s v="No está en VPC"/>
    <n v="169"/>
    <s v="INTPG_VPC_167_1.1_33_169_1.3_24"/>
    <s v="ISEL-1.24"/>
    <n v="3"/>
    <s v="NO TIENE L3OUT"/>
    <n v="76"/>
    <n v="96"/>
  </r>
  <r>
    <n v="165"/>
    <x v="0"/>
    <x v="242"/>
    <s v="eth1/24"/>
    <x v="0"/>
    <x v="0"/>
    <x v="0"/>
    <s v="UXLDAP"/>
    <x v="6"/>
    <b v="0"/>
    <s v="No está en VPC"/>
    <n v="165"/>
    <s v="INTPG_ACC_165_1.24"/>
    <s v="ISEL-1.24"/>
    <n v="1"/>
    <s v="NO TIENE L3OUT"/>
    <n v="86"/>
    <n v="96"/>
  </r>
  <r>
    <n v="417"/>
    <x v="1"/>
    <x v="243"/>
    <s v="eth1/24"/>
    <x v="0"/>
    <x v="0"/>
    <x v="0"/>
    <s v="TO-ITHFHPNBURBKP05-PRINCIPAL"/>
    <x v="6"/>
    <b v="0"/>
    <s v="No está en VPC"/>
    <n v="417"/>
    <s v="INTPG_ACC_417_1.24"/>
    <s v="ISEL-1.24"/>
    <n v="1"/>
    <s v="NO TIENE L3OUT"/>
    <n v="56"/>
    <n v="96"/>
  </r>
  <r>
    <n v="153"/>
    <x v="0"/>
    <x v="244"/>
    <s v="eth1/24"/>
    <x v="0"/>
    <x v="0"/>
    <x v="0"/>
    <m/>
    <x v="6"/>
    <b v="0"/>
    <s v="No está en VPC"/>
    <n v="153"/>
    <s v="INTPG_ACC_153_1.24"/>
    <s v="ISEL-1.24"/>
    <n v="1"/>
    <s v="NO TIENE L3OUT"/>
    <n v="42"/>
    <n v="96"/>
  </r>
  <r>
    <n v="119"/>
    <x v="0"/>
    <x v="245"/>
    <s v="eth1/24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24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24"/>
    <x v="0"/>
    <x v="1"/>
    <x v="1"/>
    <s v="CAMPANAS 01-02:uxobie02:ent3"/>
    <x v="6"/>
    <b v="0"/>
    <s v="No está en VPC"/>
    <n v="103"/>
    <s v="INTPG_ACC_103_1.24"/>
    <s v="ISEL-1.24"/>
    <n v="1"/>
    <s v="NO TIENE L3OUT"/>
    <n v="70"/>
    <n v="96"/>
  </r>
  <r>
    <n v="438"/>
    <x v="1"/>
    <x v="248"/>
    <s v="eth1/24"/>
    <x v="0"/>
    <x v="0"/>
    <x v="0"/>
    <s v="HP_Proliant_DL380p(b)"/>
    <x v="6"/>
    <b v="0"/>
    <s v="No está en VPC"/>
    <n v="438"/>
    <s v="INTPG_ACC_438_1.24"/>
    <s v="ISEL-1.24"/>
    <n v="1"/>
    <s v="NO TIENE L3OUT"/>
    <n v="170"/>
    <n v="96"/>
  </r>
  <r>
    <n v="406"/>
    <x v="1"/>
    <x v="249"/>
    <s v="eth1/24"/>
    <x v="0"/>
    <x v="0"/>
    <x v="0"/>
    <s v="ITHRTC52VC2"/>
    <x v="6"/>
    <b v="0"/>
    <s v="No está en VPC"/>
    <n v="406"/>
    <s v="INTPG_VPC_404_1.24_406_1.24"/>
    <s v="ISEL-1.24"/>
    <n v="1"/>
    <s v="NO TIENE L3OUT"/>
    <n v="82"/>
    <n v="96"/>
  </r>
  <r>
    <n v="414"/>
    <x v="1"/>
    <x v="250"/>
    <s v="eth1/24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24"/>
    <x v="0"/>
    <x v="0"/>
    <x v="0"/>
    <s v="TO-ITHAI10-PRINCIPAL"/>
    <x v="6"/>
    <b v="0"/>
    <s v="No está en VPC"/>
    <n v="416"/>
    <s v="INTPG_ACC_416_1.24"/>
    <s v="ISEL-1.24"/>
    <n v="1"/>
    <s v="NO TIENE L3OUT"/>
    <n v="110"/>
    <n v="96"/>
  </r>
  <r>
    <n v="418"/>
    <x v="1"/>
    <x v="252"/>
    <s v="eth1/24"/>
    <x v="0"/>
    <x v="0"/>
    <x v="0"/>
    <s v="TO-ITHAI9-PRINCIPAL"/>
    <x v="6"/>
    <b v="0"/>
    <s v="No está en VPC"/>
    <n v="418"/>
    <s v="INTPG_ACC_418_1.24"/>
    <s v="ISEL-1.24"/>
    <n v="1"/>
    <s v="NO TIENE L3OUT"/>
    <n v="152"/>
    <n v="96"/>
  </r>
  <r>
    <n v="413"/>
    <x v="1"/>
    <x v="253"/>
    <s v="eth1/24"/>
    <x v="0"/>
    <x v="0"/>
    <x v="0"/>
    <s v="lagidmhlapvp10_produccion1"/>
    <x v="6"/>
    <b v="0"/>
    <s v="No está en VPC"/>
    <n v="413"/>
    <s v="INTPG_VPC_411_1.31-34_413_1.24-27"/>
    <s v="ISEL-1.24"/>
    <n v="2"/>
    <s v="NO TIENE L3OUT"/>
    <n v="126"/>
    <n v="96"/>
  </r>
  <r>
    <n v="403"/>
    <x v="1"/>
    <x v="254"/>
    <s v="eth1/24"/>
    <x v="0"/>
    <x v="0"/>
    <x v="0"/>
    <s v="XL6 RLR6ARI04"/>
    <x v="6"/>
    <b v="0"/>
    <s v="No está en VPC"/>
    <n v="403"/>
    <s v="INTPG_ACC_403_1.24"/>
    <s v="ISEL-1.24"/>
    <n v="1"/>
    <s v="NO TIENE L3OUT"/>
    <n v="150"/>
    <n v="96"/>
  </r>
  <r>
    <n v="125"/>
    <x v="0"/>
    <x v="255"/>
    <s v="eth1/24"/>
    <x v="0"/>
    <x v="0"/>
    <x v="0"/>
    <s v="UXSVA (M9000)"/>
    <x v="6"/>
    <b v="0"/>
    <s v="No está en VPC"/>
    <n v="125"/>
    <s v="INTPG_ACC_125_1.24"/>
    <s v="ISEL-1.24"/>
    <n v="1"/>
    <s v="NO TIENE L3OUT"/>
    <n v="72"/>
    <n v="96"/>
  </r>
  <r>
    <n v="166"/>
    <x v="0"/>
    <x v="256"/>
    <s v="eth1/24"/>
    <x v="0"/>
    <x v="0"/>
    <x v="0"/>
    <m/>
    <x v="6"/>
    <b v="0"/>
    <s v="No está en VPC"/>
    <n v="166"/>
    <s v="INTPG_ACC_166_1.24"/>
    <s v="ISEL-1.24"/>
    <n v="1"/>
    <s v="NO TIENE L3OUT"/>
    <n v="84"/>
    <n v="96"/>
  </r>
  <r>
    <n v="111"/>
    <x v="0"/>
    <x v="257"/>
    <s v="eth1/24"/>
    <x v="0"/>
    <x v="0"/>
    <x v="0"/>
    <s v="UXDX-DATOS"/>
    <x v="6"/>
    <b v="0"/>
    <s v="No está en VPC"/>
    <n v="111"/>
    <s v="INTPG_ACC_111_1.24"/>
    <s v="ISEL-1.24"/>
    <n v="1"/>
    <s v="NO TIENE L3OUT"/>
    <n v="58"/>
    <n v="96"/>
  </r>
  <r>
    <n v="115"/>
    <x v="0"/>
    <x v="258"/>
    <s v="eth1/24"/>
    <x v="0"/>
    <x v="1"/>
    <x v="1"/>
    <s v="RLVYCAN02_1"/>
    <x v="6"/>
    <b v="0"/>
    <s v="No está en VPC"/>
    <n v="115"/>
    <s v="INTPG_ACC_115_1.24"/>
    <s v="ISEL-1.24"/>
    <n v="1"/>
    <s v="NO TIENE L3OUT"/>
    <n v="42"/>
    <n v="96"/>
  </r>
  <r>
    <n v="106"/>
    <x v="0"/>
    <x v="259"/>
    <s v="eth1/24"/>
    <x v="0"/>
    <x v="1"/>
    <x v="1"/>
    <m/>
    <x v="6"/>
    <b v="0"/>
    <s v="No está en VPC"/>
    <n v="106"/>
    <s v="INTPG_PC_106_1.24-25"/>
    <s v="ISEL-1.24"/>
    <n v="1"/>
    <s v="NO TIENE L3OUT"/>
    <n v="122"/>
    <n v="96"/>
  </r>
  <r>
    <n v="126"/>
    <x v="0"/>
    <x v="260"/>
    <s v="eth1/24"/>
    <x v="0"/>
    <x v="0"/>
    <x v="0"/>
    <s v="ENIQ"/>
    <x v="6"/>
    <b v="0"/>
    <s v="No está en VPC"/>
    <n v="126"/>
    <s v="INTPG_ACC_126_1.24"/>
    <s v="ISEL-1.24"/>
    <n v="1"/>
    <s v="NO TIENE L3OUT"/>
    <n v="54"/>
    <n v="96"/>
  </r>
  <r>
    <n v="425"/>
    <x v="1"/>
    <x v="261"/>
    <s v="eth1/24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24"/>
    <x v="0"/>
    <x v="0"/>
    <x v="0"/>
    <s v="ETLI-SACI 6"/>
    <x v="6"/>
    <b v="0"/>
    <s v="No está en VPC"/>
    <n v="151"/>
    <s v="INTPG_ACC_151_1.24"/>
    <s v="ISEL-1.24"/>
    <n v="1"/>
    <s v="NO TIENE L3OUT"/>
    <n v="86"/>
    <n v="96"/>
  </r>
  <r>
    <n v="430"/>
    <x v="1"/>
    <x v="263"/>
    <s v="eth1/24"/>
    <x v="0"/>
    <x v="1"/>
    <x v="1"/>
    <s v="RHEV_Produccion_sfrevp12"/>
    <x v="6"/>
    <b v="0"/>
    <s v="No está en VPC"/>
    <n v="430"/>
    <s v="INTPG_VPC_428_1.24_430_1.24"/>
    <s v="ISEL-1.24"/>
    <n v="2"/>
    <s v="NO TIENE L3OUT"/>
    <n v="86"/>
    <n v="96"/>
  </r>
  <r>
    <n v="419"/>
    <x v="1"/>
    <x v="264"/>
    <s v="eth1/24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24"/>
    <x v="0"/>
    <x v="0"/>
    <x v="0"/>
    <s v="Consolidaci\u00f3n Aplicaciones Prepago"/>
    <x v="6"/>
    <b v="0"/>
    <s v="No está en VPC"/>
    <n v="155"/>
    <s v="INTPG_ACC_155_1.24"/>
    <s v="ISEL-1.24"/>
    <n v="1"/>
    <s v="NO TIENE L3OUT"/>
    <n v="198"/>
    <n v="96"/>
  </r>
  <r>
    <n v="409"/>
    <x v="1"/>
    <x v="266"/>
    <s v="eth1/24"/>
    <x v="0"/>
    <x v="0"/>
    <x v="0"/>
    <s v="DCX_PROD2"/>
    <x v="6"/>
    <b v="0"/>
    <s v="No está en VPC"/>
    <n v="409"/>
    <s v="INTPG_ACC_409_1.24"/>
    <s v="ISEL-1.24"/>
    <n v="1"/>
    <s v="NO TIENE L3OUT"/>
    <n v="128"/>
    <n v="96"/>
  </r>
  <r>
    <n v="422"/>
    <x v="1"/>
    <x v="267"/>
    <s v="eth1/24"/>
    <x v="0"/>
    <x v="0"/>
    <x v="0"/>
    <s v="IXTSD969B"/>
    <x v="6"/>
    <b v="0"/>
    <s v="No está en VPC"/>
    <n v="422"/>
    <s v="INTPG_ACC_422_1.24"/>
    <s v="ISEL-1.24"/>
    <n v="1"/>
    <s v="NO TIENE L3OUT"/>
    <n v="182"/>
    <n v="96"/>
  </r>
  <r>
    <n v="436"/>
    <x v="1"/>
    <x v="268"/>
    <s v="eth1/24"/>
    <x v="0"/>
    <x v="0"/>
    <x v="0"/>
    <s v="HP_Proliant_DL380p(b)"/>
    <x v="6"/>
    <b v="0"/>
    <s v="No está en VPC"/>
    <n v="436"/>
    <s v="INTPG_ACC_436_1.24"/>
    <s v="ISEL-1.24"/>
    <n v="1"/>
    <s v="NO TIENE L3OUT"/>
    <n v="172"/>
    <n v="96"/>
  </r>
  <r>
    <n v="410"/>
    <x v="1"/>
    <x v="269"/>
    <s v="eth1/24"/>
    <x v="0"/>
    <x v="1"/>
    <x v="1"/>
    <s v="ITHMSNUBE2_IGB2"/>
    <x v="6"/>
    <b v="0"/>
    <s v="No está en VPC"/>
    <n v="410"/>
    <s v="INTPG_ACC_410_1.24"/>
    <s v="ISEL-1.24"/>
    <n v="1"/>
    <s v="NO TIENE L3OUT"/>
    <n v="178"/>
    <n v="96"/>
  </r>
  <r>
    <n v="161"/>
    <x v="0"/>
    <x v="270"/>
    <s v="eth1/24"/>
    <x v="0"/>
    <x v="0"/>
    <x v="0"/>
    <s v="NETSCOUT"/>
    <x v="6"/>
    <b v="0"/>
    <s v="No está en VPC"/>
    <n v="161"/>
    <s v="INTPG_ACC_161_1.24"/>
    <s v="ISEL-1.24"/>
    <n v="1"/>
    <s v="NO TIENE L3OUT"/>
    <n v="102"/>
    <n v="96"/>
  </r>
  <r>
    <n v="411"/>
    <x v="1"/>
    <x v="271"/>
    <s v="eth1/24"/>
    <x v="0"/>
    <x v="0"/>
    <x v="0"/>
    <s v="lagidmhlapvp06_produccion1"/>
    <x v="6"/>
    <b v="0"/>
    <s v="No está en VPC"/>
    <n v="411"/>
    <s v="INTPG_VPC_411_1.21-24_413_1.14-17"/>
    <s v="ISEL-1.24"/>
    <n v="2"/>
    <s v="NO TIENE L3OUT"/>
    <n v="96"/>
    <n v="96"/>
  </r>
  <r>
    <n v="116"/>
    <x v="0"/>
    <x v="272"/>
    <s v="eth1/24"/>
    <x v="0"/>
    <x v="0"/>
    <x v="0"/>
    <s v="DATOS NETCRACKER"/>
    <x v="6"/>
    <b v="0"/>
    <s v="No está en VPC"/>
    <n v="116"/>
    <s v="INTPG_ACC_116_1.24"/>
    <s v="ISEL-1.24"/>
    <n v="1"/>
    <s v="NO TIENE L3OUT"/>
    <n v="148"/>
    <n v="96"/>
  </r>
  <r>
    <n v="412"/>
    <x v="1"/>
    <x v="273"/>
    <s v="eth1/24"/>
    <x v="0"/>
    <x v="1"/>
    <x v="1"/>
    <s v="UXCA_EXADATA_MGMT"/>
    <x v="6"/>
    <b v="0"/>
    <s v="No está en VPC"/>
    <n v="412"/>
    <s v="INTPG_ACC_412_1.24"/>
    <s v="ISEL-1.24"/>
    <n v="1"/>
    <s v="NO TIENE L3OUT"/>
    <n v="126"/>
    <n v="96"/>
  </r>
  <r>
    <n v="120"/>
    <x v="0"/>
    <x v="274"/>
    <s v="eth1/24"/>
    <x v="0"/>
    <x v="0"/>
    <x v="0"/>
    <m/>
    <x v="6"/>
    <b v="0"/>
    <s v="No está en VPC"/>
    <n v="120"/>
    <s v="INTPG_ACC_120_1.24"/>
    <s v="ISEL-1.24"/>
    <n v="1"/>
    <s v="NO TIENE L3OUT"/>
    <n v="158"/>
    <n v="96"/>
  </r>
  <r>
    <n v="404"/>
    <x v="1"/>
    <x v="275"/>
    <s v="eth1/24"/>
    <x v="0"/>
    <x v="0"/>
    <x v="0"/>
    <s v="ITHRTC52VC2"/>
    <x v="6"/>
    <b v="0"/>
    <s v="No está en VPC"/>
    <n v="404"/>
    <s v="INTPG_VPC_404_1.24_406_1.24"/>
    <s v="ISEL-1.24"/>
    <n v="1"/>
    <s v="NO TIENE L3OUT"/>
    <n v="92"/>
    <n v="96"/>
  </r>
  <r>
    <n v="167"/>
    <x v="0"/>
    <x v="276"/>
    <s v="eth1/24"/>
    <x v="1"/>
    <x v="1"/>
    <x v="2"/>
    <s v="MMSC_WAPGW"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24"/>
    <x v="0"/>
    <x v="1"/>
    <x v="1"/>
    <s v="RHEV_Produccion_sfrevp12"/>
    <x v="6"/>
    <b v="0"/>
    <s v="No está en VPC"/>
    <n v="428"/>
    <s v="INTPG_VPC_428_1.24_430_1.24"/>
    <s v="ISEL-1.24"/>
    <n v="2"/>
    <s v="NO TIENE L3OUT"/>
    <n v="102"/>
    <n v="96"/>
  </r>
  <r>
    <n v="903"/>
    <x v="2"/>
    <x v="278"/>
    <s v="eth1/2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2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25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25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25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25"/>
    <x v="0"/>
    <x v="0"/>
    <x v="0"/>
    <s v="TO-ITHFDENBURMS01"/>
    <x v="0"/>
    <b v="0"/>
    <s v="No está en VPC"/>
    <n v="101"/>
    <s v="INTPG_VPC_101_1.25_150_1.25"/>
    <s v="ISEL-1.25"/>
    <n v="1"/>
    <s v="NO TIENE L3OUT"/>
    <n v="114"/>
    <n v="54"/>
  </r>
  <r>
    <n v="160"/>
    <x v="0"/>
    <x v="4"/>
    <s v="eth1/25"/>
    <x v="0"/>
    <x v="0"/>
    <x v="0"/>
    <s v="SRM"/>
    <x v="1"/>
    <b v="0"/>
    <s v="No está en VPC"/>
    <n v="160"/>
    <s v="INTPG_ACC_160_1.25"/>
    <s v="ISEL-1.25"/>
    <n v="1"/>
    <s v="NO TIENE L3OUT"/>
    <n v="68"/>
    <n v="54"/>
  </r>
  <r>
    <n v="121"/>
    <x v="0"/>
    <x v="5"/>
    <s v="eth1/25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25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25"/>
    <x v="0"/>
    <x v="0"/>
    <x v="0"/>
    <s v="TO-IBMDIST-LAGIBMDIST"/>
    <x v="0"/>
    <b v="0"/>
    <s v="No está en VPC"/>
    <n v="401"/>
    <s v="INTPG_VPC_401_1.25-26_402_1.25-26"/>
    <s v="ISEL-1.25"/>
    <n v="1"/>
    <s v="NO TIENE L3OUT"/>
    <n v="40"/>
    <n v="54"/>
  </r>
  <r>
    <n v="402"/>
    <x v="1"/>
    <x v="8"/>
    <s v="eth1/25"/>
    <x v="0"/>
    <x v="0"/>
    <x v="0"/>
    <s v="TO-IBMDIST-LAGIBMDIST"/>
    <x v="0"/>
    <b v="0"/>
    <s v="No está en VPC"/>
    <n v="402"/>
    <s v="INTPG_VPC_401_1.25-26_402_1.25-26"/>
    <s v="ISEL-1.25"/>
    <n v="1"/>
    <s v="NO TIENE L3OUT"/>
    <n v="36"/>
    <n v="54"/>
  </r>
  <r>
    <n v="447"/>
    <x v="1"/>
    <x v="9"/>
    <s v="eth1/25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25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25"/>
    <x v="0"/>
    <x v="0"/>
    <x v="0"/>
    <s v="TO-ITHFDEMCFRPMS02"/>
    <x v="0"/>
    <b v="0"/>
    <s v="No está en VPC"/>
    <n v="130"/>
    <s v="INTPG_VPC_130_1.25-26_131_1.26-27"/>
    <s v="ISEL-1.25"/>
    <n v="1"/>
    <s v="NO TIENE L3OUT"/>
    <n v="128"/>
    <n v="54"/>
  </r>
  <r>
    <n v="150"/>
    <x v="0"/>
    <x v="12"/>
    <s v="eth1/25"/>
    <x v="0"/>
    <x v="0"/>
    <x v="0"/>
    <s v="TO-ITHFDENBURMS01"/>
    <x v="0"/>
    <b v="0"/>
    <s v="No está en VPC"/>
    <n v="150"/>
    <s v="INTPG_VPC_101_1.25_150_1.25"/>
    <s v="ISEL-1.25"/>
    <n v="1"/>
    <s v="NO TIENE L3OUT"/>
    <n v="118"/>
    <n v="54"/>
  </r>
  <r>
    <n v="131"/>
    <x v="0"/>
    <x v="13"/>
    <s v="eth1/25"/>
    <x v="0"/>
    <x v="0"/>
    <x v="0"/>
    <s v="TO-ITHFDEMCFRPMS01"/>
    <x v="0"/>
    <b v="0"/>
    <s v="No está en VPC"/>
    <n v="131"/>
    <s v="INTPG_VPC_130_1.23-24_131_1.24-25"/>
    <s v="ISEL-1.25"/>
    <n v="1"/>
    <s v="NO TIENE L3OUT"/>
    <n v="126"/>
    <n v="54"/>
  </r>
  <r>
    <n v="303"/>
    <x v="0"/>
    <x v="14"/>
    <s v="eth1/25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25"/>
    <x v="0"/>
    <x v="1"/>
    <x v="3"/>
    <m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25"/>
    <x v="1"/>
    <x v="1"/>
    <x v="3"/>
    <m/>
    <x v="2"/>
    <b v="0"/>
    <s v="No está en VPC"/>
    <n v="759"/>
    <s v="NO EXISTE PG"/>
    <s v="NO EXISTE ISEL"/>
    <n v="0"/>
    <s v="NO TIENE L3OUT"/>
    <n v="0"/>
    <n v="42"/>
  </r>
  <r>
    <n v="302"/>
    <x v="0"/>
    <x v="17"/>
    <s v="eth1/25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25"/>
    <x v="0"/>
    <x v="0"/>
    <x v="0"/>
    <s v="EMIPCLOUD_A08"/>
    <x v="1"/>
    <b v="0"/>
    <s v="No está en VPC"/>
    <n v="424"/>
    <s v="INTPG_ACC_424_1.25"/>
    <s v="ISEL-1.25"/>
    <n v="1"/>
    <s v="NO TIENE L3OUT"/>
    <n v="16"/>
    <n v="54"/>
  </r>
  <r>
    <n v="426"/>
    <x v="1"/>
    <x v="19"/>
    <s v="eth1/25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25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25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25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25"/>
    <x v="0"/>
    <x v="1"/>
    <x v="1"/>
    <m/>
    <x v="0"/>
    <b v="0"/>
    <s v="No está en VPC"/>
    <n v="724"/>
    <s v="INTPG-VPC_SLR17_724_1.25_725_1.26"/>
    <s v="ISEL-1.25"/>
    <n v="1"/>
    <s v="NO TIENE L3OUT"/>
    <n v="0"/>
    <n v="54"/>
  </r>
  <r>
    <n v="602"/>
    <x v="1"/>
    <x v="24"/>
    <s v="eth1/25"/>
    <x v="0"/>
    <x v="1"/>
    <x v="3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25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25"/>
    <x v="0"/>
    <x v="0"/>
    <x v="0"/>
    <s v="CLIENT_HUAWEI_CLOUD_ARIESO1"/>
    <x v="0"/>
    <b v="0"/>
    <s v="No está en VPC"/>
    <n v="431"/>
    <s v="INTPG_VPC_431_1.22-25_448_1.22-25"/>
    <s v="ISEL-1.25"/>
    <n v="14"/>
    <s v="NO TIENE L3OUT"/>
    <n v="46"/>
    <n v="54"/>
  </r>
  <r>
    <n v="433"/>
    <x v="1"/>
    <x v="27"/>
    <s v="eth1/25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25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25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25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25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25"/>
    <x v="0"/>
    <x v="1"/>
    <x v="3"/>
    <s v="CEM_HADOOP"/>
    <x v="0"/>
    <b v="0"/>
    <s v="No está en VPC"/>
    <n v="707"/>
    <s v="INTPG_ACC_707_1.25"/>
    <s v="ISEL-1.25"/>
    <n v="0"/>
    <s v="NO TIENE L3OUT"/>
    <n v="54"/>
    <n v="54"/>
  </r>
  <r>
    <n v="712"/>
    <x v="2"/>
    <x v="33"/>
    <s v="eth1/25"/>
    <x v="0"/>
    <x v="1"/>
    <x v="5"/>
    <s v="CEM:ITHCEMB2ADT13:LOM P1"/>
    <x v="0"/>
    <b v="0"/>
    <s v="No está en VPC"/>
    <n v="712"/>
    <s v="INTPG_VPC_712_1.25_713_1.26"/>
    <s v="ISEL-1.25"/>
    <n v="1"/>
    <s v="NO TIENE L3OUT"/>
    <n v="32"/>
    <n v="54"/>
  </r>
  <r>
    <n v="719"/>
    <x v="2"/>
    <x v="34"/>
    <s v="eth1/25"/>
    <x v="0"/>
    <x v="0"/>
    <x v="0"/>
    <m/>
    <x v="0"/>
    <b v="0"/>
    <s v="No está en VPC"/>
    <n v="719"/>
    <s v="INTPG-VPC_ICB02_719_1.25_720_1.26"/>
    <s v="ISEL-1.25"/>
    <n v="1"/>
    <s v="NO TIENE L3OUT"/>
    <n v="0"/>
    <n v="54"/>
  </r>
  <r>
    <n v="715"/>
    <x v="2"/>
    <x v="35"/>
    <s v="eth1/25"/>
    <x v="0"/>
    <x v="0"/>
    <x v="0"/>
    <m/>
    <x v="0"/>
    <b v="0"/>
    <s v="No está en VPC"/>
    <n v="715"/>
    <s v="INTPG-VPC_ZKP03_715_1.25_716_1.26"/>
    <s v="ISEL-1.25"/>
    <n v="1"/>
    <s v="NO TIENE L3OUT"/>
    <n v="0"/>
    <n v="54"/>
  </r>
  <r>
    <n v="427"/>
    <x v="1"/>
    <x v="36"/>
    <s v="eth1/25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25"/>
    <x v="0"/>
    <x v="1"/>
    <x v="5"/>
    <s v="CEM:ITHCEMC2ADT13:LOM P1"/>
    <x v="0"/>
    <b v="0"/>
    <s v="No está en VPC"/>
    <n v="711"/>
    <s v="INTPG_VPC_710_1.26_711_1.25"/>
    <s v="ISEL-1.25"/>
    <n v="1"/>
    <s v="NO TIENE L3OUT"/>
    <n v="16"/>
    <n v="54"/>
  </r>
  <r>
    <n v="716"/>
    <x v="2"/>
    <x v="38"/>
    <s v="eth1/25"/>
    <x v="0"/>
    <x v="1"/>
    <x v="5"/>
    <m/>
    <x v="0"/>
    <b v="0"/>
    <s v="No está en VPC"/>
    <n v="716"/>
    <s v="INTPG-VPC_KFK05_716_1.25_715_1.26"/>
    <s v="ISEL-1.25"/>
    <n v="1"/>
    <s v="NO TIENE L3OUT"/>
    <n v="0"/>
    <n v="54"/>
  </r>
  <r>
    <n v="702"/>
    <x v="2"/>
    <x v="39"/>
    <s v="eth1/25"/>
    <x v="0"/>
    <x v="0"/>
    <x v="0"/>
    <m/>
    <x v="0"/>
    <b v="0"/>
    <s v="No está en VPC"/>
    <n v="702"/>
    <s v="INTPG_VPC_702_1.25_701_1.26"/>
    <s v="ISEL-1.25"/>
    <n v="1"/>
    <s v="NO TIENE L3OUT"/>
    <n v="0"/>
    <n v="54"/>
  </r>
  <r>
    <n v="435"/>
    <x v="1"/>
    <x v="40"/>
    <s v="eth1/25"/>
    <x v="0"/>
    <x v="0"/>
    <x v="0"/>
    <s v="IXT_IS_5_mgm2_Secundario"/>
    <x v="1"/>
    <b v="0"/>
    <s v="No está en VPC"/>
    <n v="435"/>
    <s v="INTPG_ACC_435_1.25"/>
    <s v="ISEL-1.25"/>
    <n v="1"/>
    <s v="NO TIENE L3OUT"/>
    <n v="34"/>
    <n v="54"/>
  </r>
  <r>
    <n v="446"/>
    <x v="1"/>
    <x v="41"/>
    <s v="eth1/25"/>
    <x v="0"/>
    <x v="0"/>
    <x v="0"/>
    <s v="TO-ITHFDLMCLWLCN03"/>
    <x v="0"/>
    <b v="0"/>
    <s v="No está en VPC"/>
    <n v="446"/>
    <s v="INTPG_VPC_446_1.25_444_1.26"/>
    <s v="ISEL-1.25"/>
    <n v="1"/>
    <s v="NO TIENE L3OUT"/>
    <n v="198"/>
    <n v="54"/>
  </r>
  <r>
    <n v="444"/>
    <x v="1"/>
    <x v="42"/>
    <s v="eth1/25"/>
    <x v="0"/>
    <x v="0"/>
    <x v="0"/>
    <s v="TO-ITHFDLMCLWLCN03"/>
    <x v="0"/>
    <b v="0"/>
    <s v="No está en VPC"/>
    <n v="444"/>
    <s v="INTPG_VPC_446_1.24_444_1.25"/>
    <s v="ISEL-1.25"/>
    <n v="3"/>
    <s v="NO TIENE L3OUT"/>
    <n v="234"/>
    <n v="54"/>
  </r>
  <r>
    <n v="701"/>
    <x v="2"/>
    <x v="43"/>
    <s v="eth1/25"/>
    <x v="0"/>
    <x v="0"/>
    <x v="0"/>
    <m/>
    <x v="0"/>
    <b v="0"/>
    <s v="No está en VPC"/>
    <n v="701"/>
    <s v="INTPG_VPC_701_1.25_702_1.26"/>
    <s v="ISEL-1.25"/>
    <n v="1"/>
    <s v="NO TIENE L3OUT"/>
    <n v="0"/>
    <n v="54"/>
  </r>
  <r>
    <n v="440"/>
    <x v="1"/>
    <x v="44"/>
    <s v="eth1/25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25"/>
    <x v="0"/>
    <x v="0"/>
    <x v="0"/>
    <s v="CLIENT_HUAWEI_CLOUD_ARIESO1"/>
    <x v="0"/>
    <b v="0"/>
    <s v="No está en VPC"/>
    <n v="448"/>
    <s v="INTPG_VPC_431_1.22-25_448_1.22-25"/>
    <s v="ISEL-1.25"/>
    <n v="14"/>
    <s v="NO TIENE L3OUT"/>
    <n v="46"/>
    <n v="54"/>
  </r>
  <r>
    <n v="704"/>
    <x v="2"/>
    <x v="46"/>
    <s v="eth1/25"/>
    <x v="0"/>
    <x v="0"/>
    <x v="0"/>
    <m/>
    <x v="0"/>
    <b v="0"/>
    <s v="No está en VPC"/>
    <n v="704"/>
    <s v="INTPG_VPC_704_1.25_703_1.26"/>
    <s v="ISEL-1.25"/>
    <n v="1"/>
    <s v="NO TIENE L3OUT"/>
    <n v="0"/>
    <n v="54"/>
  </r>
  <r>
    <n v="729"/>
    <x v="2"/>
    <x v="47"/>
    <s v="eth1/25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25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25"/>
    <x v="0"/>
    <x v="0"/>
    <x v="0"/>
    <s v="TO-ITHFORZDLRXCTL01-PCIe-3-P2"/>
    <x v="4"/>
    <b v="0"/>
    <s v="No está en VPC"/>
    <n v="456"/>
    <s v="INTPG_ACC_456_1.25"/>
    <s v="ISEL-1.25"/>
    <n v="1"/>
    <s v="NO TIENE L3OUT"/>
    <n v="4"/>
    <n v="54"/>
  </r>
  <r>
    <n v="603"/>
    <x v="1"/>
    <x v="50"/>
    <s v="eth1/25"/>
    <x v="0"/>
    <x v="1"/>
    <x v="3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25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25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25"/>
    <x v="0"/>
    <x v="0"/>
    <x v="0"/>
    <s v="Server_Pre-R02-CBS-RH2288-09"/>
    <x v="0"/>
    <b v="0"/>
    <s v="No está en VPC"/>
    <n v="730"/>
    <s v="INTPG_ACC_730_1.25"/>
    <s v="ISEL-1.25"/>
    <n v="1"/>
    <s v="NO TIENE L3OUT"/>
    <n v="36"/>
    <n v="54"/>
  </r>
  <r>
    <n v="722"/>
    <x v="2"/>
    <x v="54"/>
    <s v="eth1/25"/>
    <x v="0"/>
    <x v="0"/>
    <x v="0"/>
    <m/>
    <x v="0"/>
    <b v="0"/>
    <s v="No está en VPC"/>
    <n v="722"/>
    <s v="INTPG-VPC_HDD121_722_1.25_723_1.26"/>
    <s v="ISEL-1.25"/>
    <n v="1"/>
    <s v="NO TIENE L3OUT"/>
    <n v="0"/>
    <n v="54"/>
  </r>
  <r>
    <n v="733"/>
    <x v="2"/>
    <x v="55"/>
    <s v="eth1/25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25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25"/>
    <x v="0"/>
    <x v="0"/>
    <x v="0"/>
    <m/>
    <x v="0"/>
    <b v="0"/>
    <s v="No está en VPC"/>
    <n v="748"/>
    <s v="INTPG_ACC_748_1.25"/>
    <s v="ISEL-1.25"/>
    <n v="0"/>
    <s v="NO TIENE L3OUT"/>
    <n v="2"/>
    <n v="54"/>
  </r>
  <r>
    <n v="756"/>
    <x v="2"/>
    <x v="58"/>
    <s v="eth1/25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25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25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25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25"/>
    <x v="0"/>
    <x v="1"/>
    <x v="1"/>
    <s v="CEM:ITHCEMA2ADT13:LOM P3"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25"/>
    <x v="0"/>
    <x v="0"/>
    <x v="0"/>
    <s v="PAAS:ithhwosstpap010:FlexIO.1"/>
    <x v="0"/>
    <b v="0"/>
    <s v="No está en VPC"/>
    <n v="763"/>
    <s v="INTPG_VPC_762_1.25_763_1.25"/>
    <s v="ISEL-1.25"/>
    <n v="15"/>
    <s v="NO TIENE L3OUT"/>
    <n v="2"/>
    <n v="54"/>
  </r>
  <r>
    <n v="766"/>
    <x v="2"/>
    <x v="64"/>
    <s v="eth1/25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25"/>
    <x v="1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25"/>
    <x v="0"/>
    <x v="0"/>
    <x v="0"/>
    <s v="PAAS:ithhwosstpap010:LOM PORT 1"/>
    <x v="0"/>
    <b v="0"/>
    <s v="No está en VPC"/>
    <n v="752"/>
    <s v="INTPG_VPC_747_1.25_752_1.25"/>
    <s v="ISEL-1.25"/>
    <n v="25"/>
    <s v="NO TIENE L3OUT"/>
    <n v="0"/>
    <n v="54"/>
  </r>
  <r>
    <n v="765"/>
    <x v="2"/>
    <x v="67"/>
    <s v="eth1/25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25"/>
    <x v="0"/>
    <x v="0"/>
    <x v="0"/>
    <s v="CLOUD OPS:ithhwcop01en01:1E P1"/>
    <x v="0"/>
    <b v="0"/>
    <s v="No está en VPC"/>
    <n v="778"/>
    <s v="INTPG_VPC_778_1.25-26_31-32_779_1.25-26_31-32"/>
    <s v="ISEL-1.25"/>
    <n v="24"/>
    <s v="NO TIENE L3OUT"/>
    <n v="26"/>
    <n v="54"/>
  </r>
  <r>
    <n v="780"/>
    <x v="2"/>
    <x v="69"/>
    <s v="eth1/25"/>
    <x v="0"/>
    <x v="0"/>
    <x v="0"/>
    <s v="CLOUD OPS:ithhwcop02en01:3X P2"/>
    <x v="0"/>
    <b v="0"/>
    <s v="No está en VPC"/>
    <n v="780"/>
    <s v="INTPG_VPC_780_1.22-25_781_1.22-25"/>
    <s v="ISEL-1.25"/>
    <n v="23"/>
    <s v="NO TIENE L3OUT"/>
    <n v="26"/>
    <n v="54"/>
  </r>
  <r>
    <n v="812"/>
    <x v="2"/>
    <x v="70"/>
    <s v="eth1/25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25"/>
    <x v="0"/>
    <x v="0"/>
    <x v="0"/>
    <s v="TO_ITHFDEOSPVLMT01"/>
    <x v="0"/>
    <b v="0"/>
    <s v="No está en VPC"/>
    <n v="796"/>
    <s v="INTPG_VPC_795_1.23-25_796_1.23-25"/>
    <s v="ISEL-1.25"/>
    <n v="2"/>
    <s v="NO TIENE L3OUT"/>
    <n v="18"/>
    <n v="54"/>
  </r>
  <r>
    <n v="795"/>
    <x v="2"/>
    <x v="72"/>
    <s v="eth1/25"/>
    <x v="0"/>
    <x v="0"/>
    <x v="0"/>
    <s v="TO_ITHFDEOSPVLMT01"/>
    <x v="0"/>
    <b v="0"/>
    <s v="No está en VPC"/>
    <n v="795"/>
    <s v="INTPG_VPC_795_1.23-25_796_1.23-25"/>
    <s v="ISEL-1.25"/>
    <n v="2"/>
    <s v="NO TIENE L3OUT"/>
    <n v="18"/>
    <n v="54"/>
  </r>
  <r>
    <n v="749"/>
    <x v="2"/>
    <x v="73"/>
    <s v="eth1/25"/>
    <x v="0"/>
    <x v="0"/>
    <x v="0"/>
    <m/>
    <x v="0"/>
    <b v="0"/>
    <s v="No está en VPC"/>
    <n v="749"/>
    <s v="INTPG_ACC_749_1.25"/>
    <s v="ISEL-1.25"/>
    <n v="0"/>
    <s v="NO TIENE L3OUT"/>
    <n v="4"/>
    <n v="54"/>
  </r>
  <r>
    <n v="824"/>
    <x v="2"/>
    <x v="74"/>
    <s v="eth1/25"/>
    <x v="0"/>
    <x v="0"/>
    <x v="0"/>
    <s v="LINK_TO_ITHFHWCMVWPMA13 /Slot6.2 /Redundante"/>
    <x v="0"/>
    <b v="0"/>
    <s v="No está en VPC"/>
    <n v="824"/>
    <s v="INTPG_ACC_824_1.25"/>
    <s v="ISEL-1.25"/>
    <n v="1"/>
    <s v="NO TIENE L3OUT"/>
    <n v="70"/>
    <n v="54"/>
  </r>
  <r>
    <n v="819"/>
    <x v="2"/>
    <x v="75"/>
    <s v="eth1/25"/>
    <x v="0"/>
    <x v="0"/>
    <x v="0"/>
    <s v="LINK_TO_ITHFHWCMVWPMA13 /Slot4.2 /Principal"/>
    <x v="0"/>
    <b v="0"/>
    <s v="No está en VPC"/>
    <n v="819"/>
    <s v="INTPG_ACC_819_1.25"/>
    <s v="ISEL-1.25"/>
    <n v="1"/>
    <s v="NO TIENE L3OUT"/>
    <n v="70"/>
    <n v="54"/>
  </r>
  <r>
    <n v="737"/>
    <x v="2"/>
    <x v="76"/>
    <s v="eth1/25"/>
    <x v="0"/>
    <x v="0"/>
    <x v="0"/>
    <s v="CEM:ITHCEMF2KFK13:LOM P3"/>
    <x v="5"/>
    <b v="0"/>
    <s v="No está en VPC"/>
    <n v="737"/>
    <s v="INTPG_ACC_737_1.25"/>
    <s v="ISEL-1.25"/>
    <n v="1"/>
    <s v="NO TIENE L3OUT"/>
    <n v="72"/>
    <n v="54"/>
  </r>
  <r>
    <n v="844"/>
    <x v="2"/>
    <x v="77"/>
    <s v="eth1/25"/>
    <x v="0"/>
    <x v="0"/>
    <x v="0"/>
    <s v="LINK_TO_ITHFHWCRMPLCN109 / Slot1.1_22 / Principal"/>
    <x v="0"/>
    <b v="0"/>
    <s v="No está en VPC"/>
    <n v="844"/>
    <s v="INTPG_ACC_844_1.25"/>
    <s v="ISEL-1.25"/>
    <n v="6"/>
    <s v="NO TIENE L3OUT"/>
    <n v="282"/>
    <n v="54"/>
  </r>
  <r>
    <n v="843"/>
    <x v="2"/>
    <x v="78"/>
    <s v="eth1/25"/>
    <x v="0"/>
    <x v="0"/>
    <x v="0"/>
    <s v="LINK_To_ITHFHWCBSPSWR43 / Slot7.2_30 / Redundante"/>
    <x v="0"/>
    <b v="0"/>
    <s v="No está en VPC"/>
    <n v="843"/>
    <s v="INTPG_VPC_838_1.25_843_1.25"/>
    <s v="ISEL-1.25"/>
    <n v="1"/>
    <s v="NO TIENE L3OUT"/>
    <n v="38"/>
    <n v="54"/>
  </r>
  <r>
    <n v="797"/>
    <x v="2"/>
    <x v="79"/>
    <s v="eth1/25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25"/>
    <x v="0"/>
    <x v="0"/>
    <x v="0"/>
    <s v="LINK_TO_ITHFHWCBSPSHD38 / Slot7.1_14 / Redundante"/>
    <x v="0"/>
    <b v="0"/>
    <s v="No está en VPC"/>
    <n v="839"/>
    <s v="INTPG_VPC_834_1.25_839_1.25"/>
    <s v="ISEL-1.25"/>
    <n v="2"/>
    <s v="NO TIENE L3OUT"/>
    <n v="0"/>
    <n v="54"/>
  </r>
  <r>
    <n v="847"/>
    <x v="2"/>
    <x v="81"/>
    <s v="eth1/25"/>
    <x v="0"/>
    <x v="0"/>
    <x v="0"/>
    <s v="LINK_TO_ITHFHWCRMPLCN173 / Slot7.3_16 / Redundante"/>
    <x v="0"/>
    <b v="0"/>
    <s v="No está en VPC"/>
    <n v="847"/>
    <s v="INTPG_ACC_847_1.25"/>
    <s v="ISEL-1.25"/>
    <n v="1"/>
    <s v="NO TIENE L3OUT"/>
    <n v="204"/>
    <n v="54"/>
  </r>
  <r>
    <n v="848"/>
    <x v="2"/>
    <x v="82"/>
    <s v="eth1/25"/>
    <x v="0"/>
    <x v="0"/>
    <x v="0"/>
    <s v="LINK_TO_ITHFHWCRMPLCN162 / Slot7.3_26 / Redundante"/>
    <x v="0"/>
    <b v="0"/>
    <s v="No está en VPC"/>
    <n v="848"/>
    <s v="INTPG_ACC_848_1.25"/>
    <s v="ISEL-1.25"/>
    <n v="1"/>
    <s v="NO TIENE L3OUT"/>
    <n v="254"/>
    <n v="54"/>
  </r>
  <r>
    <n v="846"/>
    <x v="2"/>
    <x v="83"/>
    <s v="eth1/25"/>
    <x v="0"/>
    <x v="0"/>
    <x v="0"/>
    <s v="LINK_TO_ITHFHWCRMPLCN80 / Slot1.1_18 / Principal"/>
    <x v="0"/>
    <b v="0"/>
    <s v="No está en VPC"/>
    <n v="846"/>
    <s v="INTPG_ACC_846_1.25"/>
    <s v="ISEL-1.25"/>
    <n v="6"/>
    <s v="NO TIENE L3OUT"/>
    <n v="242"/>
    <n v="54"/>
  </r>
  <r>
    <n v="838"/>
    <x v="2"/>
    <x v="84"/>
    <s v="eth1/25"/>
    <x v="0"/>
    <x v="0"/>
    <x v="0"/>
    <s v="LINK_To_ITHFHWCBSPSWR43 / Slot1.2_30 / Principal"/>
    <x v="0"/>
    <b v="0"/>
    <s v="No está en VPC"/>
    <n v="838"/>
    <s v="INTPG_VPC_838_1.25_843_1.25"/>
    <s v="ISEL-1.25"/>
    <n v="1"/>
    <s v="NO TIENE L3OUT"/>
    <n v="38"/>
    <n v="54"/>
  </r>
  <r>
    <n v="849"/>
    <x v="2"/>
    <x v="85"/>
    <s v="eth1/25"/>
    <x v="0"/>
    <x v="0"/>
    <x v="0"/>
    <s v="LINK_TO_ITHFHWCRMPLCN142 / Slot7.3_18 / Redundante"/>
    <x v="0"/>
    <b v="0"/>
    <s v="No está en VPC"/>
    <n v="849"/>
    <s v="INTPG_ACC_849_1.25"/>
    <s v="ISEL-1.25"/>
    <n v="1"/>
    <s v="NO TIENE L3OUT"/>
    <n v="286"/>
    <n v="54"/>
  </r>
  <r>
    <n v="845"/>
    <x v="2"/>
    <x v="86"/>
    <s v="eth1/25"/>
    <x v="0"/>
    <x v="0"/>
    <x v="0"/>
    <s v="LINK_TO_ITHFHWCRMPLCN92 / Slot1.2_16 / Principal"/>
    <x v="0"/>
    <b v="0"/>
    <s v="No está en VPC"/>
    <n v="845"/>
    <s v="INTPG_ACC_845_1.25"/>
    <s v="ISEL-1.25"/>
    <n v="2"/>
    <s v="NO TIENE L3OUT"/>
    <n v="258"/>
    <n v="54"/>
  </r>
  <r>
    <n v="873"/>
    <x v="2"/>
    <x v="87"/>
    <s v="eth1/25"/>
    <x v="0"/>
    <x v="0"/>
    <x v="0"/>
    <s v="TO_ITHFHWCRMDLCN61_Principal"/>
    <x v="0"/>
    <b v="0"/>
    <s v="No está en VPC"/>
    <n v="873"/>
    <s v="INTPG_ACC_873_1.25"/>
    <s v="ISEL-1.25"/>
    <n v="2"/>
    <s v="NO TIENE L3OUT"/>
    <n v="248"/>
    <n v="54"/>
  </r>
  <r>
    <n v="864"/>
    <x v="2"/>
    <x v="88"/>
    <s v="eth1/25"/>
    <x v="0"/>
    <x v="0"/>
    <x v="0"/>
    <s v="To_VPC_2DCBSD_WR44_1"/>
    <x v="0"/>
    <b v="0"/>
    <s v="No está en VPC"/>
    <n v="864"/>
    <s v="INTPG_VPC_859_1.25_864_1.25"/>
    <s v="ISEL-1.25"/>
    <n v="2"/>
    <s v="NO TIENE L3OUT"/>
    <n v="0"/>
    <n v="54"/>
  </r>
  <r>
    <n v="836"/>
    <x v="2"/>
    <x v="89"/>
    <s v="eth1/25"/>
    <x v="0"/>
    <x v="0"/>
    <x v="0"/>
    <s v="LINK_TO_ITHFHWCBSPSWR53 / Slot1.3_34 / Principal"/>
    <x v="0"/>
    <b v="0"/>
    <s v="No está en VPC"/>
    <n v="836"/>
    <s v="INTPG_VPC_836_1.25_841_1.25"/>
    <s v="ISEL-1.25"/>
    <n v="1"/>
    <s v="NO TIENE L3OUT"/>
    <n v="0"/>
    <n v="54"/>
  </r>
  <r>
    <n v="834"/>
    <x v="2"/>
    <x v="90"/>
    <s v="eth1/25"/>
    <x v="0"/>
    <x v="0"/>
    <x v="0"/>
    <s v="LINK_TO_ITHFHWCBSPSHD38 / Slot1.1_14 / Principal"/>
    <x v="0"/>
    <b v="0"/>
    <s v="No está en VPC"/>
    <n v="834"/>
    <s v="INTPG_VPC_834_1.25_839_1.25"/>
    <s v="ISEL-1.25"/>
    <n v="2"/>
    <s v="NO TIENE L3OUT"/>
    <n v="0"/>
    <n v="54"/>
  </r>
  <r>
    <n v="872"/>
    <x v="2"/>
    <x v="91"/>
    <s v="eth1/25"/>
    <x v="0"/>
    <x v="0"/>
    <x v="0"/>
    <s v="To_ITHFHWCRMDLCN77_Principal"/>
    <x v="0"/>
    <b v="0"/>
    <s v="No está en VPC"/>
    <n v="872"/>
    <s v="INTPG_ACC_872_1.25"/>
    <s v="ISEL-1.25"/>
    <n v="2"/>
    <s v="NO TIENE L3OUT"/>
    <n v="288"/>
    <n v="54"/>
  </r>
  <r>
    <n v="842"/>
    <x v="2"/>
    <x v="92"/>
    <s v="eth1/25"/>
    <x v="0"/>
    <x v="0"/>
    <x v="0"/>
    <s v="LINK_TO_ITHFHWCBSPSWR47 / Slot7.3_30 / Redundante"/>
    <x v="0"/>
    <b v="0"/>
    <s v="No está en VPC"/>
    <n v="842"/>
    <s v="INTPG_VPC_837_1.25_842_1.25"/>
    <s v="ISEL-1.25"/>
    <n v="1"/>
    <s v="NO TIENE L3OUT"/>
    <n v="8"/>
    <n v="54"/>
  </r>
  <r>
    <n v="828"/>
    <x v="2"/>
    <x v="93"/>
    <s v="eth1/25"/>
    <x v="0"/>
    <x v="0"/>
    <x v="0"/>
    <s v="LINK_TO_ITHFHWCRMDLCN23 /Slot4.2 /Principal"/>
    <x v="0"/>
    <b v="0"/>
    <s v="No está en VPC"/>
    <n v="828"/>
    <s v="INTPG_ACC_828_1.25"/>
    <s v="ISEL-1.25"/>
    <n v="1"/>
    <s v="NO TIENE L3OUT"/>
    <n v="192"/>
    <n v="54"/>
  </r>
  <r>
    <n v="870"/>
    <x v="2"/>
    <x v="94"/>
    <s v="eth1/25"/>
    <x v="0"/>
    <x v="0"/>
    <x v="0"/>
    <s v="TO_ITHFHWCRMDLCN61_Redundante"/>
    <x v="0"/>
    <b v="0"/>
    <s v="No está en VPC"/>
    <n v="870"/>
    <s v="INTPG_ACC_870_1.25"/>
    <s v="ISEL-1.25"/>
    <n v="2"/>
    <s v="NO TIENE L3OUT"/>
    <n v="248"/>
    <n v="54"/>
  </r>
  <r>
    <n v="866"/>
    <x v="2"/>
    <x v="95"/>
    <s v="eth1/25"/>
    <x v="0"/>
    <x v="0"/>
    <x v="0"/>
    <s v="To_VPC_2DCBSD_HD24_3"/>
    <x v="0"/>
    <b v="0"/>
    <s v="No está en VPC"/>
    <n v="866"/>
    <s v="INTPG_VPC_861_1.25_866_1.25"/>
    <s v="ISEL-1.25"/>
    <n v="1"/>
    <s v="NO TIENE L3OUT"/>
    <n v="8"/>
    <n v="54"/>
  </r>
  <r>
    <n v="862"/>
    <x v="2"/>
    <x v="96"/>
    <s v="eth1/25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25"/>
    <x v="0"/>
    <x v="0"/>
    <x v="0"/>
    <s v="LINK_TO_ITHFHWCRMPLCN162 / Slot1.3_26 / Principal"/>
    <x v="0"/>
    <b v="0"/>
    <s v="No está en VPC"/>
    <n v="855"/>
    <s v="INTPG_ACC_855_1.25"/>
    <s v="ISEL-1.25"/>
    <n v="1"/>
    <s v="NO TIENE L3OUT"/>
    <n v="254"/>
    <n v="54"/>
  </r>
  <r>
    <n v="871"/>
    <x v="2"/>
    <x v="98"/>
    <s v="eth1/25"/>
    <x v="0"/>
    <x v="0"/>
    <x v="0"/>
    <s v="To_VPC_2DCRMD_SBD11_1"/>
    <x v="0"/>
    <b v="0"/>
    <s v="No está en VPC"/>
    <n v="871"/>
    <s v="INTPG_VPC_868_1.25_871_1.25"/>
    <s v="ISEL-1.25"/>
    <n v="6"/>
    <s v="NO TIENE L3OUT"/>
    <n v="246"/>
    <n v="54"/>
  </r>
  <r>
    <n v="841"/>
    <x v="2"/>
    <x v="99"/>
    <s v="eth1/25"/>
    <x v="0"/>
    <x v="0"/>
    <x v="0"/>
    <s v="LINK_TO_ITHFHWCBSPSWR53 / Slot7.3_34 / Redundante"/>
    <x v="0"/>
    <b v="0"/>
    <s v="No está en VPC"/>
    <n v="841"/>
    <s v="INTPG_VPC_836_1.25_841_1.25"/>
    <s v="ISEL-1.25"/>
    <n v="1"/>
    <s v="NO TIENE L3OUT"/>
    <n v="0"/>
    <n v="54"/>
  </r>
  <r>
    <n v="868"/>
    <x v="2"/>
    <x v="100"/>
    <s v="eth1/25"/>
    <x v="0"/>
    <x v="0"/>
    <x v="0"/>
    <s v="To_VPC_2DCRMD_SBD11_1"/>
    <x v="0"/>
    <b v="0"/>
    <s v="No está en VPC"/>
    <n v="868"/>
    <s v="INTPG_VPC_868_1.25_871_1.25"/>
    <s v="ISEL-1.25"/>
    <n v="6"/>
    <s v="NO TIENE L3OUT"/>
    <n v="246"/>
    <n v="54"/>
  </r>
  <r>
    <n v="869"/>
    <x v="2"/>
    <x v="101"/>
    <s v="eth1/25"/>
    <x v="0"/>
    <x v="0"/>
    <x v="0"/>
    <s v="To_ITHFHWCRMDLCN77_Redundante"/>
    <x v="0"/>
    <b v="0"/>
    <s v="No está en VPC"/>
    <n v="869"/>
    <s v="INTPG_ACC_869_1.25"/>
    <s v="ISEL-1.25"/>
    <n v="2"/>
    <s v="NO TIENE L3OUT"/>
    <n v="288"/>
    <n v="54"/>
  </r>
  <r>
    <n v="861"/>
    <x v="2"/>
    <x v="102"/>
    <s v="eth1/25"/>
    <x v="0"/>
    <x v="0"/>
    <x v="0"/>
    <s v="To_VPC_2DCBSD_HD24_3"/>
    <x v="0"/>
    <b v="0"/>
    <s v="No está en VPC"/>
    <n v="861"/>
    <s v="INTPG_VPC_861_1.25_866_1.25"/>
    <s v="ISEL-1.25"/>
    <n v="1"/>
    <s v="NO TIENE L3OUT"/>
    <n v="8"/>
    <n v="54"/>
  </r>
  <r>
    <n v="874"/>
    <x v="2"/>
    <x v="103"/>
    <s v="eth1/25"/>
    <x v="0"/>
    <x v="0"/>
    <x v="0"/>
    <s v="A_ITHFHWSEQLCAS24_Redundante"/>
    <x v="4"/>
    <b v="0"/>
    <s v="No está en VPC"/>
    <n v="874"/>
    <s v="INTPG_ACC_874_1.25"/>
    <s v="ISEL-1.25"/>
    <n v="1"/>
    <s v="NO TIENE L3OUT"/>
    <n v="92"/>
    <n v="54"/>
  </r>
  <r>
    <n v="865"/>
    <x v="2"/>
    <x v="104"/>
    <s v="eth1/25"/>
    <x v="0"/>
    <x v="0"/>
    <x v="0"/>
    <s v="To_VPC_2DCBSD_TL05_1"/>
    <x v="0"/>
    <b v="0"/>
    <s v="No está en VPC"/>
    <n v="865"/>
    <s v="INTPG_VPC_860_1.25_865_1.25"/>
    <s v="ISEL-1.25"/>
    <n v="2"/>
    <s v="NO TIENE L3OUT"/>
    <n v="0"/>
    <n v="54"/>
  </r>
  <r>
    <n v="753"/>
    <x v="2"/>
    <x v="105"/>
    <s v="eth1/25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25"/>
    <x v="0"/>
    <x v="1"/>
    <x v="5"/>
    <s v="CEM:ITHCEMF2KFK13:LOM P1"/>
    <x v="0"/>
    <b v="0"/>
    <s v="No está en VPC"/>
    <n v="708"/>
    <s v="INTPG_VPC_708_1.25_709_1.26"/>
    <s v="ISEL-1.25"/>
    <n v="1"/>
    <s v="NO TIENE L3OUT"/>
    <n v="0"/>
    <n v="54"/>
  </r>
  <r>
    <n v="710"/>
    <x v="2"/>
    <x v="107"/>
    <s v="eth1/25"/>
    <x v="0"/>
    <x v="1"/>
    <x v="5"/>
    <s v="CEM:ITHCEMD2ADT13:LOM P1"/>
    <x v="0"/>
    <b v="0"/>
    <s v="No está en VPC"/>
    <n v="710"/>
    <s v="INTPG_VPC_710_1.25_711_1.26"/>
    <s v="ISEL-1.25"/>
    <n v="1"/>
    <s v="NO TIENE L3OUT"/>
    <n v="16"/>
    <n v="54"/>
  </r>
  <r>
    <n v="713"/>
    <x v="2"/>
    <x v="108"/>
    <s v="eth1/25"/>
    <x v="1"/>
    <x v="1"/>
    <x v="3"/>
    <s v="CEM:ITHCEMA2ADT13:LOM P1"/>
    <x v="0"/>
    <b v="0"/>
    <s v="No está en VPC"/>
    <n v="713"/>
    <s v="INTPG_VPC_713_1.25_712_1.26"/>
    <s v="ISEL-1.25"/>
    <n v="0"/>
    <s v="NO TIENE L3OUT"/>
    <n v="32"/>
    <n v="54"/>
  </r>
  <r>
    <n v="735"/>
    <x v="2"/>
    <x v="109"/>
    <s v="eth1/25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25"/>
    <x v="0"/>
    <x v="1"/>
    <x v="1"/>
    <s v="Server_Pre-R02-CBS-RH2288-09"/>
    <x v="0"/>
    <b v="0"/>
    <s v="No está en VPC"/>
    <n v="731"/>
    <s v="INTPG_ACC_731_1.25"/>
    <s v="ISEL-1.25"/>
    <n v="1"/>
    <s v="NO TIENE L3OUT"/>
    <n v="38"/>
    <n v="54"/>
  </r>
  <r>
    <n v="703"/>
    <x v="2"/>
    <x v="111"/>
    <s v="eth1/25"/>
    <x v="0"/>
    <x v="0"/>
    <x v="0"/>
    <m/>
    <x v="0"/>
    <b v="0"/>
    <s v="No está en VPC"/>
    <n v="703"/>
    <s v="INTPG_VPC_703_1.25_704_1.26"/>
    <s v="ISEL-1.25"/>
    <n v="1"/>
    <s v="NO TIENE L3OUT"/>
    <n v="2"/>
    <n v="54"/>
  </r>
  <r>
    <n v="706"/>
    <x v="2"/>
    <x v="112"/>
    <s v="eth1/25"/>
    <x v="0"/>
    <x v="0"/>
    <x v="0"/>
    <m/>
    <x v="0"/>
    <b v="0"/>
    <s v="No está en VPC"/>
    <n v="706"/>
    <s v="INTPG_VPC_706_1.25_705_1.26"/>
    <s v="ISEL-1.25"/>
    <n v="1"/>
    <s v="NO TIENE L3OUT"/>
    <n v="16"/>
    <n v="54"/>
  </r>
  <r>
    <n v="762"/>
    <x v="2"/>
    <x v="113"/>
    <s v="eth1/25"/>
    <x v="0"/>
    <x v="0"/>
    <x v="0"/>
    <s v="PAAS:ithhwosstpap010:LOM PORT 3"/>
    <x v="0"/>
    <b v="0"/>
    <s v="No está en VPC"/>
    <n v="762"/>
    <s v="INTPG_VPC_762_1.25_763_1.25"/>
    <s v="ISEL-1.25"/>
    <n v="15"/>
    <s v="NO TIENE L3OUT"/>
    <n v="0"/>
    <n v="54"/>
  </r>
  <r>
    <n v="814"/>
    <x v="2"/>
    <x v="114"/>
    <s v="eth1/25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25"/>
    <x v="1"/>
    <x v="1"/>
    <x v="3"/>
    <s v="TO-UCS-FI-6454"/>
    <x v="4"/>
    <b v="0"/>
    <s v="No está en VPC"/>
    <n v="878"/>
    <s v="INTPG_VPC_878_1.25_879_1.25"/>
    <s v="ISEL-1.25"/>
    <n v="1"/>
    <s v="NO TIENE L3OUT"/>
    <n v="0"/>
    <n v="54"/>
  </r>
  <r>
    <n v="826"/>
    <x v="2"/>
    <x v="116"/>
    <s v="eth1/25"/>
    <x v="0"/>
    <x v="0"/>
    <x v="0"/>
    <s v="LINK_TO_ITHFHWCBSDSHD18 /Slot5.2 /Principal"/>
    <x v="0"/>
    <b v="0"/>
    <s v="No está en VPC"/>
    <n v="826"/>
    <s v="INTPG_VPC_826_1.25_830_1.25"/>
    <s v="ISEL-1.25"/>
    <n v="2"/>
    <s v="NO TIENE L3OUT"/>
    <n v="12"/>
    <n v="54"/>
  </r>
  <r>
    <n v="726"/>
    <x v="2"/>
    <x v="117"/>
    <s v="eth1/25"/>
    <x v="0"/>
    <x v="0"/>
    <x v="0"/>
    <m/>
    <x v="0"/>
    <b v="0"/>
    <s v="No está en VPC"/>
    <n v="726"/>
    <s v="INTPG-VPC_HDD72_726_1.25_727_1.26"/>
    <s v="ISEL-1.25"/>
    <n v="2"/>
    <s v="NO TIENE L3OUT"/>
    <n v="0"/>
    <n v="54"/>
  </r>
  <r>
    <n v="740"/>
    <x v="2"/>
    <x v="118"/>
    <s v="eth1/25"/>
    <x v="0"/>
    <x v="0"/>
    <x v="0"/>
    <s v="CEM:ITHCEMC2ADT13:LOM P3"/>
    <x v="5"/>
    <b v="0"/>
    <s v="No está en VPC"/>
    <n v="740"/>
    <s v="INTPG_ACC_740_1.25"/>
    <s v="ISEL-1.25"/>
    <n v="1"/>
    <s v="NO TIENE L3OUT"/>
    <n v="72"/>
    <n v="54"/>
  </r>
  <r>
    <n v="705"/>
    <x v="2"/>
    <x v="119"/>
    <s v="eth1/25"/>
    <x v="0"/>
    <x v="0"/>
    <x v="0"/>
    <m/>
    <x v="0"/>
    <b v="0"/>
    <s v="No está en VPC"/>
    <n v="705"/>
    <s v="INTPG_VPC_705_1.25_706_1.26"/>
    <s v="ISEL-1.25"/>
    <n v="1"/>
    <s v="NO TIENE L3OUT"/>
    <n v="16"/>
    <n v="54"/>
  </r>
  <r>
    <n v="723"/>
    <x v="2"/>
    <x v="120"/>
    <s v="eth1/25"/>
    <x v="0"/>
    <x v="1"/>
    <x v="5"/>
    <m/>
    <x v="0"/>
    <b v="0"/>
    <s v="No está en VPC"/>
    <n v="723"/>
    <s v="INTPG-VPC_SLR19_723_1.25_722_1.26"/>
    <s v="ISEL-1.25"/>
    <n v="1"/>
    <s v="NO TIENE L3OUT"/>
    <n v="0"/>
    <n v="54"/>
  </r>
  <r>
    <n v="721"/>
    <x v="2"/>
    <x v="121"/>
    <s v="eth1/25"/>
    <x v="0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25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25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25"/>
    <x v="0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25"/>
    <x v="0"/>
    <x v="1"/>
    <x v="5"/>
    <s v="CEM:ITHCEME2KFK13:LOM P1"/>
    <x v="0"/>
    <b v="0"/>
    <s v="No está en VPC"/>
    <n v="709"/>
    <s v="INTPG_VPC_708_1.26_709_1.25"/>
    <s v="ISEL-1.25"/>
    <n v="1"/>
    <s v="NO TIENE L3OUT"/>
    <n v="0"/>
    <n v="54"/>
  </r>
  <r>
    <n v="454"/>
    <x v="1"/>
    <x v="126"/>
    <s v="eth1/25"/>
    <x v="0"/>
    <x v="0"/>
    <x v="0"/>
    <s v="TO-ITHFORZDLRXCTL01-PCIe-3-P1"/>
    <x v="4"/>
    <b v="0"/>
    <s v="No está en VPC"/>
    <n v="454"/>
    <s v="INTPG_ACC_454_1.25"/>
    <s v="ISEL-1.25"/>
    <n v="1"/>
    <s v="NO TIENE L3OUT"/>
    <n v="4"/>
    <n v="54"/>
  </r>
  <r>
    <n v="734"/>
    <x v="2"/>
    <x v="127"/>
    <s v="eth1/25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25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25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25"/>
    <x v="0"/>
    <x v="0"/>
    <x v="0"/>
    <m/>
    <x v="0"/>
    <b v="0"/>
    <s v="No está en VPC"/>
    <n v="718"/>
    <s v="INTPG-VPC_GWN01_718_1.25_717_1.26"/>
    <s v="ISEL-1.25"/>
    <n v="1"/>
    <s v="NO TIENE L3OUT"/>
    <n v="0"/>
    <n v="54"/>
  </r>
  <r>
    <n v="744"/>
    <x v="2"/>
    <x v="131"/>
    <s v="eth1/25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25"/>
    <x v="0"/>
    <x v="0"/>
    <x v="0"/>
    <s v="CEM:ITHCEMB2ADT13:LOM P3"/>
    <x v="5"/>
    <b v="0"/>
    <s v="No está en VPC"/>
    <n v="741"/>
    <s v="INTPG_ACC_741_1.25"/>
    <s v="ISEL-1.25"/>
    <n v="1"/>
    <s v="NO TIENE L3OUT"/>
    <n v="62"/>
    <n v="54"/>
  </r>
  <r>
    <n v="787"/>
    <x v="2"/>
    <x v="133"/>
    <s v="eth1/25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25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25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25"/>
    <x v="0"/>
    <x v="1"/>
    <x v="3"/>
    <s v="CEM_HADOOP"/>
    <x v="0"/>
    <b v="0"/>
    <s v="No está en VPC"/>
    <n v="736"/>
    <s v="INTPG_ACC_736_1.25"/>
    <s v="ISEL-1.25"/>
    <n v="0"/>
    <s v="NO TIENE L3OUT"/>
    <n v="48"/>
    <n v="54"/>
  </r>
  <r>
    <n v="799"/>
    <x v="2"/>
    <x v="137"/>
    <s v="eth1/25"/>
    <x v="0"/>
    <x v="0"/>
    <x v="0"/>
    <s v="TO-IMC_PS13-MSP"/>
    <x v="0"/>
    <b v="0"/>
    <s v="No está en VPC"/>
    <n v="799"/>
    <s v="INTPG_ACC_799_1.25"/>
    <s v="ISEL-1.25"/>
    <n v="1"/>
    <s v="NO TIENE L3OUT"/>
    <n v="52"/>
    <n v="54"/>
  </r>
  <r>
    <n v="768"/>
    <x v="2"/>
    <x v="138"/>
    <s v="eth1/25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25"/>
    <x v="0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25"/>
    <x v="0"/>
    <x v="1"/>
    <x v="5"/>
    <m/>
    <x v="0"/>
    <b v="0"/>
    <s v="No está en VPC"/>
    <n v="717"/>
    <s v="INTPG-VPC_KFK01_717_1.25_718_1.26"/>
    <s v="ISEL-1.25"/>
    <n v="1"/>
    <s v="NO TIENE L3OUT"/>
    <n v="0"/>
    <n v="54"/>
  </r>
  <r>
    <n v="789"/>
    <x v="2"/>
    <x v="141"/>
    <s v="eth1/25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25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25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25"/>
    <x v="0"/>
    <x v="0"/>
    <x v="0"/>
    <s v="CLOUD PAAS PAYG F2:Ithhwvm1dch1:slot 2x/Pto 1"/>
    <x v="0"/>
    <b v="0"/>
    <s v="No está en VPC"/>
    <n v="774"/>
    <s v="INTPG_VPC_774_1.25-28_775_1.29-32"/>
    <s v="ISEL-1.25"/>
    <n v="152"/>
    <s v="NO TIENE L3OUT"/>
    <n v="0"/>
    <n v="54"/>
  </r>
  <r>
    <n v="773"/>
    <x v="2"/>
    <x v="145"/>
    <s v="eth1/25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25"/>
    <x v="0"/>
    <x v="0"/>
    <x v="0"/>
    <s v="DESC"/>
    <x v="0"/>
    <b v="0"/>
    <s v="No está en VPC"/>
    <n v="794"/>
    <s v="INTPG_PC_794_1.17_19_21_23_25_27"/>
    <s v="ISEL-1.25"/>
    <n v="1"/>
    <s v="NO TIENE L3OUT"/>
    <n v="12"/>
    <n v="54"/>
  </r>
  <r>
    <n v="803"/>
    <x v="2"/>
    <x v="147"/>
    <s v="eth1/25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25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25"/>
    <x v="0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25"/>
    <x v="0"/>
    <x v="0"/>
    <x v="0"/>
    <s v="CLOUD OPS:ithhwcop02en01:3X P4"/>
    <x v="0"/>
    <b v="0"/>
    <s v="No está en VPC"/>
    <n v="781"/>
    <s v="INTPG_VPC_780_1.22-25_781_1.22-25"/>
    <s v="ISEL-1.25"/>
    <n v="23"/>
    <s v="NO TIENE L3OUT"/>
    <n v="26"/>
    <n v="54"/>
  </r>
  <r>
    <n v="793"/>
    <x v="2"/>
    <x v="151"/>
    <s v="eth1/25"/>
    <x v="0"/>
    <x v="0"/>
    <x v="0"/>
    <s v="DESC"/>
    <x v="0"/>
    <b v="0"/>
    <s v="No está en VPC"/>
    <n v="793"/>
    <s v="INTPG_PC_793_1.17_19_21_23_25_27"/>
    <s v="ISEL-1.25"/>
    <n v="1"/>
    <s v="NO TIENE L3OUT"/>
    <n v="12"/>
    <n v="54"/>
  </r>
  <r>
    <n v="747"/>
    <x v="2"/>
    <x v="152"/>
    <s v="eth1/25"/>
    <x v="0"/>
    <x v="0"/>
    <x v="0"/>
    <s v="PAAS:ithhwosstpap010:Slot6.1"/>
    <x v="0"/>
    <b v="0"/>
    <s v="No está en VPC"/>
    <n v="747"/>
    <s v="INTPG_VPC_747_1.25_752_1.25"/>
    <s v="ISEL-1.25"/>
    <n v="25"/>
    <s v="NO TIENE L3OUT"/>
    <n v="0"/>
    <n v="54"/>
  </r>
  <r>
    <n v="784"/>
    <x v="2"/>
    <x v="153"/>
    <s v="eth1/25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25"/>
    <x v="0"/>
    <x v="0"/>
    <x v="0"/>
    <m/>
    <x v="0"/>
    <b v="0"/>
    <s v="No está en VPC"/>
    <n v="806"/>
    <s v="INTPG_PC_806_1.23-26"/>
    <s v="ISEL-1.25"/>
    <n v="0"/>
    <s v="L3OUT-OCS-RED-SIG-IP"/>
    <n v="44"/>
    <n v="54"/>
  </r>
  <r>
    <n v="777"/>
    <x v="2"/>
    <x v="155"/>
    <s v="eth1/25"/>
    <x v="0"/>
    <x v="0"/>
    <x v="0"/>
    <s v="CLOUD PAAS PAYG F2:Ithhwvm1ach1:slot 2x/Pto 1"/>
    <x v="0"/>
    <b v="0"/>
    <s v="No está en VPC"/>
    <n v="777"/>
    <s v="INTPG_VPC_776_1.29-32_777_1.25-28"/>
    <s v="ISEL-1.25"/>
    <n v="93"/>
    <s v="NO TIENE L3OUT"/>
    <n v="0"/>
    <n v="54"/>
  </r>
  <r>
    <n v="770"/>
    <x v="2"/>
    <x v="156"/>
    <s v="eth1/25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25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25"/>
    <x v="0"/>
    <x v="0"/>
    <x v="0"/>
    <s v="CEM:ITHCEMD2ADT13:LOM P3"/>
    <x v="5"/>
    <b v="0"/>
    <s v="No está en VPC"/>
    <n v="739"/>
    <s v="INTPG_ACC_739_1.25"/>
    <s v="ISEL-1.25"/>
    <n v="1"/>
    <s v="NO TIENE L3OUT"/>
    <n v="72"/>
    <n v="54"/>
  </r>
  <r>
    <n v="775"/>
    <x v="2"/>
    <x v="159"/>
    <s v="eth1/25"/>
    <x v="0"/>
    <x v="0"/>
    <x v="0"/>
    <s v="CLOUD PAAS PAYG F2:Ithhwvm1cch1:slot 2x/Pto 1"/>
    <x v="0"/>
    <b v="0"/>
    <s v="No está en VPC"/>
    <n v="775"/>
    <s v="INTPG_VPC_774_1.29-32_775_1.25-28"/>
    <s v="ISEL-1.25"/>
    <n v="169"/>
    <s v="NO TIENE L3OUT"/>
    <n v="0"/>
    <n v="54"/>
  </r>
  <r>
    <n v="791"/>
    <x v="2"/>
    <x v="160"/>
    <s v="eth1/25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25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25"/>
    <x v="0"/>
    <x v="0"/>
    <x v="0"/>
    <s v="LINK_TO_ITHFHWCBSDSHD18 /Slot7.2 /Redundante"/>
    <x v="0"/>
    <b v="0"/>
    <s v="No está en VPC"/>
    <n v="830"/>
    <s v="INTPG_VPC_826_1.25_830_1.25"/>
    <s v="ISEL-1.25"/>
    <n v="2"/>
    <s v="NO TIENE L3OUT"/>
    <n v="12"/>
    <n v="54"/>
  </r>
  <r>
    <n v="821"/>
    <x v="2"/>
    <x v="163"/>
    <s v="eth1/25"/>
    <x v="0"/>
    <x v="0"/>
    <x v="0"/>
    <s v="LINK_TO_ITHFHWCBSPSHD18 /Slot7.2 /Redundante"/>
    <x v="0"/>
    <b v="0"/>
    <s v="No está en VPC"/>
    <n v="821"/>
    <s v="INTPG_VPC_816_1.25_821_1.25"/>
    <s v="ISEL-1.25"/>
    <n v="2"/>
    <s v="NO TIENE L3OUT"/>
    <n v="0"/>
    <n v="54"/>
  </r>
  <r>
    <n v="738"/>
    <x v="2"/>
    <x v="164"/>
    <s v="eth1/25"/>
    <x v="0"/>
    <x v="0"/>
    <x v="0"/>
    <s v="CEM:ITHCEME2KFK13:LOM P3"/>
    <x v="5"/>
    <b v="0"/>
    <s v="No está en VPC"/>
    <n v="738"/>
    <s v="INTPG_ACC_738_1.25"/>
    <s v="ISEL-1.25"/>
    <n v="1"/>
    <s v="NO TIENE L3OUT"/>
    <n v="72"/>
    <n v="54"/>
  </r>
  <r>
    <n v="820"/>
    <x v="2"/>
    <x v="165"/>
    <s v="eth1/25"/>
    <x v="0"/>
    <x v="0"/>
    <x v="0"/>
    <s v="LINKT_TO_ITHFHWCRMPLCN133 / Slot7.1_36 / Redundante"/>
    <x v="0"/>
    <b v="0"/>
    <s v="No está en VPC"/>
    <n v="820"/>
    <s v="INTPG_ACC_820_1.25"/>
    <s v="ISEL-1.25"/>
    <n v="6"/>
    <s v="NO TIENE L3OUT"/>
    <n v="72"/>
    <n v="54"/>
  </r>
  <r>
    <n v="804"/>
    <x v="2"/>
    <x v="166"/>
    <s v="eth1/25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25"/>
    <x v="0"/>
    <x v="0"/>
    <x v="0"/>
    <s v="CLOUD OPS:ithhwcop01en01:1E P3"/>
    <x v="0"/>
    <b v="0"/>
    <s v="No está en VPC"/>
    <n v="779"/>
    <s v="INTPG_VPC_778_1.25-26_31-32_779_1.25-26_31-32"/>
    <s v="ISEL-1.25"/>
    <n v="24"/>
    <s v="NO TIENE L3OUT"/>
    <n v="30"/>
    <n v="54"/>
  </r>
  <r>
    <n v="767"/>
    <x v="2"/>
    <x v="168"/>
    <s v="eth1/25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25"/>
    <x v="0"/>
    <x v="0"/>
    <x v="0"/>
    <s v="LINK_TO_ITHFHWCBSDSWR24 /Slot4.2 /Principal"/>
    <x v="0"/>
    <b v="0"/>
    <s v="No está en VPC"/>
    <n v="827"/>
    <s v="INTPG_VPC_827_1.25_831_1.25"/>
    <s v="ISEL-1.25"/>
    <n v="1"/>
    <s v="NO TIENE L3OUT"/>
    <n v="14"/>
    <n v="54"/>
  </r>
  <r>
    <n v="809"/>
    <x v="2"/>
    <x v="170"/>
    <s v="eth1/25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25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25"/>
    <x v="1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25"/>
    <x v="0"/>
    <x v="0"/>
    <x v="0"/>
    <s v="CLOUD PAAS PAYG F2:Ithhwvm1bch1:slot 2x/Pto 1"/>
    <x v="0"/>
    <b v="0"/>
    <s v="No está en VPC"/>
    <n v="776"/>
    <s v="INTPG_VPC_776_1.25-28_777_1.29-32"/>
    <s v="ISEL-1.25"/>
    <n v="90"/>
    <s v="NO TIENE L3OUT"/>
    <n v="0"/>
    <n v="54"/>
  </r>
  <r>
    <n v="805"/>
    <x v="2"/>
    <x v="174"/>
    <s v="eth1/25"/>
    <x v="0"/>
    <x v="0"/>
    <x v="0"/>
    <m/>
    <x v="0"/>
    <b v="0"/>
    <s v="No está en VPC"/>
    <n v="805"/>
    <s v="INTPG_PC_805_1.23-26"/>
    <s v="ISEL-1.25"/>
    <n v="0"/>
    <s v="L3OUT-OCS-RED-SIG-IP"/>
    <n v="44"/>
    <n v="54"/>
  </r>
  <r>
    <n v="772"/>
    <x v="2"/>
    <x v="175"/>
    <s v="eth1/25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25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25"/>
    <x v="0"/>
    <x v="0"/>
    <x v="0"/>
    <s v="LINK_TO_ITHFHWCRMPLCN109 / Slot7.1_22 / Redundante"/>
    <x v="0"/>
    <b v="0"/>
    <s v="No está en VPC"/>
    <n v="851"/>
    <s v="INTPG_ACC_851_1.25"/>
    <s v="ISEL-1.25"/>
    <n v="6"/>
    <s v="NO TIENE L3OUT"/>
    <n v="282"/>
    <n v="54"/>
  </r>
  <r>
    <n v="798"/>
    <x v="2"/>
    <x v="178"/>
    <s v="eth1/25"/>
    <x v="0"/>
    <x v="0"/>
    <x v="0"/>
    <s v="TO-IMC_PS13-MSP"/>
    <x v="0"/>
    <b v="0"/>
    <s v="No está en VPC"/>
    <n v="798"/>
    <s v="INTPG_ACC_798_1.25"/>
    <s v="ISEL-1.25"/>
    <n v="1"/>
    <s v="NO TIENE L3OUT"/>
    <n v="52"/>
    <n v="54"/>
  </r>
  <r>
    <n v="782"/>
    <x v="2"/>
    <x v="179"/>
    <s v="eth1/25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25"/>
    <x v="0"/>
    <x v="0"/>
    <x v="0"/>
    <s v="LINK_TO_ITHFHWCRMPLCN92 / Slot7.2_16 / Redundante"/>
    <x v="0"/>
    <b v="0"/>
    <s v="No está en VPC"/>
    <n v="852"/>
    <s v="INTPG_ACC_852_1.25"/>
    <s v="ISEL-1.25"/>
    <n v="2"/>
    <s v="NO TIENE L3OUT"/>
    <n v="258"/>
    <n v="54"/>
  </r>
  <r>
    <n v="817"/>
    <x v="2"/>
    <x v="181"/>
    <s v="eth1/25"/>
    <x v="0"/>
    <x v="0"/>
    <x v="0"/>
    <s v="LINK_TO_ITHFHWCBSPSUSBD18 /Slot5.2 /Principal"/>
    <x v="0"/>
    <b v="0"/>
    <s v="No está en VPC"/>
    <n v="817"/>
    <s v="INTPG_VPC_817_1.25_822_1.25"/>
    <s v="ISEL-1.25"/>
    <n v="2"/>
    <s v="NO TIENE L3OUT"/>
    <n v="0"/>
    <n v="54"/>
  </r>
  <r>
    <n v="832"/>
    <x v="2"/>
    <x v="182"/>
    <s v="eth1/25"/>
    <x v="0"/>
    <x v="0"/>
    <x v="0"/>
    <s v="LINK_TO_ITHFHWCRMDLCN23 /Slot6.2 /Redundante"/>
    <x v="0"/>
    <b v="0"/>
    <s v="No está en VPC"/>
    <n v="832"/>
    <s v="INTPG_ACC_832_1.25"/>
    <s v="ISEL-1.25"/>
    <n v="1"/>
    <s v="NO TIENE L3OUT"/>
    <n v="192"/>
    <n v="54"/>
  </r>
  <r>
    <n v="816"/>
    <x v="2"/>
    <x v="183"/>
    <s v="eth1/25"/>
    <x v="0"/>
    <x v="0"/>
    <x v="0"/>
    <s v="LINK_TO_ITHFHWCBSPSHD18 /Slot5.2 /Principal"/>
    <x v="0"/>
    <b v="0"/>
    <s v="No está en VPC"/>
    <n v="816"/>
    <s v="INTPG_VPC_816_1.25_821_1.25"/>
    <s v="ISEL-1.25"/>
    <n v="2"/>
    <s v="NO TIENE L3OUT"/>
    <n v="0"/>
    <n v="54"/>
  </r>
  <r>
    <n v="825"/>
    <x v="2"/>
    <x v="184"/>
    <s v="eth1/25"/>
    <x v="0"/>
    <x v="0"/>
    <x v="0"/>
    <s v="LINKT_TO_ITHFHWCRMPLCN133 / Slot1.1_36 / Principal"/>
    <x v="0"/>
    <b v="0"/>
    <s v="No está en VPC"/>
    <n v="825"/>
    <s v="INTPG_ACC_825_1.25"/>
    <s v="ISEL-1.25"/>
    <n v="6"/>
    <s v="NO TIENE L3OUT"/>
    <n v="72"/>
    <n v="54"/>
  </r>
  <r>
    <n v="800"/>
    <x v="2"/>
    <x v="185"/>
    <s v="eth1/25"/>
    <x v="0"/>
    <x v="0"/>
    <x v="0"/>
    <s v="TO-ITHFHWSEQLCAS05-MSP"/>
    <x v="0"/>
    <b v="0"/>
    <s v="No está en VPC"/>
    <n v="800"/>
    <s v="INTPG_ACC_800_1.25"/>
    <s v="ISEL-1.25"/>
    <n v="1"/>
    <s v="NO TIENE L3OUT"/>
    <n v="78"/>
    <n v="54"/>
  </r>
  <r>
    <n v="801"/>
    <x v="2"/>
    <x v="186"/>
    <s v="eth1/25"/>
    <x v="0"/>
    <x v="0"/>
    <x v="0"/>
    <s v="TO-ITHFHWSEQLCAS05-MSP"/>
    <x v="0"/>
    <b v="0"/>
    <s v="No está en VPC"/>
    <n v="801"/>
    <s v="INTPG_ACC_801_1.25"/>
    <s v="ISEL-1.25"/>
    <n v="1"/>
    <s v="NO TIENE L3OUT"/>
    <n v="78"/>
    <n v="54"/>
  </r>
  <r>
    <n v="823"/>
    <x v="2"/>
    <x v="187"/>
    <s v="eth1/25"/>
    <x v="0"/>
    <x v="0"/>
    <x v="0"/>
    <s v="LINK_TO_ITHFHWCBSPSWR32 /Slot6.2 /Redundante"/>
    <x v="0"/>
    <b v="0"/>
    <s v="No está en VPC"/>
    <n v="823"/>
    <s v="INTPG_VPC_818_1.25_823_1.25"/>
    <s v="ISEL-1.25"/>
    <n v="1"/>
    <s v="NO TIENE L3OUT"/>
    <n v="8"/>
    <n v="54"/>
  </r>
  <r>
    <n v="837"/>
    <x v="2"/>
    <x v="188"/>
    <s v="eth1/25"/>
    <x v="0"/>
    <x v="0"/>
    <x v="0"/>
    <s v="LINK_TO_ITHFHWCBSPSWR47 / Slot1.3_30 / Principal"/>
    <x v="0"/>
    <b v="0"/>
    <s v="No está en VPC"/>
    <n v="837"/>
    <s v="INTPG_VPC_837_1.25_842_1.25"/>
    <s v="ISEL-1.25"/>
    <n v="1"/>
    <s v="NO TIENE L3OUT"/>
    <n v="8"/>
    <n v="54"/>
  </r>
  <r>
    <n v="867"/>
    <x v="2"/>
    <x v="189"/>
    <s v="eth1/25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25"/>
    <x v="0"/>
    <x v="0"/>
    <x v="0"/>
    <s v="To_ITHFHWCRMDLCN43_Principal"/>
    <x v="0"/>
    <b v="0"/>
    <s v="No está en VPC"/>
    <n v="829"/>
    <s v="INTPG_ACC_829_1.25"/>
    <s v="ISEL-1.25"/>
    <n v="2"/>
    <s v="NO TIENE L3OUT"/>
    <n v="224"/>
    <n v="54"/>
  </r>
  <r>
    <n v="831"/>
    <x v="2"/>
    <x v="191"/>
    <s v="eth1/25"/>
    <x v="0"/>
    <x v="0"/>
    <x v="0"/>
    <s v="LINK_TO_ITHFHWCBSDSWR24 /Slot6.2 /Redundante"/>
    <x v="0"/>
    <b v="0"/>
    <s v="No está en VPC"/>
    <n v="831"/>
    <s v="INTPG_VPC_827_1.25_831_1.25"/>
    <s v="ISEL-1.25"/>
    <n v="1"/>
    <s v="NO TIENE L3OUT"/>
    <n v="14"/>
    <n v="54"/>
  </r>
  <r>
    <n v="802"/>
    <x v="2"/>
    <x v="192"/>
    <s v="eth1/25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25"/>
    <x v="0"/>
    <x v="0"/>
    <x v="0"/>
    <s v="LINK_TO_ITHHWD6KV65100014DKC01 / CTMB_IOM1.P0_34 / Principal"/>
    <x v="0"/>
    <b v="0"/>
    <s v="No está en VPC"/>
    <n v="835"/>
    <s v="INTPG_ACC_835_1.25"/>
    <s v="ISEL-1.25"/>
    <n v="1"/>
    <s v="NO TIENE L3OUT"/>
    <n v="8"/>
    <n v="54"/>
  </r>
  <r>
    <n v="822"/>
    <x v="2"/>
    <x v="194"/>
    <s v="eth1/25"/>
    <x v="0"/>
    <x v="0"/>
    <x v="0"/>
    <s v="LINK_TO_ITHFHWCBSPSUSBD18 /Slot7.2 /Redundante"/>
    <x v="0"/>
    <b v="0"/>
    <s v="No está en VPC"/>
    <n v="822"/>
    <s v="INTPG_VPC_817_1.25_822_1.25"/>
    <s v="ISEL-1.25"/>
    <n v="2"/>
    <s v="NO TIENE L3OUT"/>
    <n v="0"/>
    <n v="54"/>
  </r>
  <r>
    <n v="854"/>
    <x v="2"/>
    <x v="195"/>
    <s v="eth1/25"/>
    <x v="0"/>
    <x v="0"/>
    <x v="0"/>
    <s v="LINK_TO_ITHFHWCRMPLCN173 / Slot1.3_16 / Principal"/>
    <x v="0"/>
    <b v="0"/>
    <s v="No está en VPC"/>
    <n v="854"/>
    <s v="INTPG_ACC_854_1.25"/>
    <s v="ISEL-1.25"/>
    <n v="1"/>
    <s v="NO TIENE L3OUT"/>
    <n v="204"/>
    <n v="54"/>
  </r>
  <r>
    <n v="858"/>
    <x v="2"/>
    <x v="196"/>
    <s v="eth1/25"/>
    <x v="0"/>
    <x v="0"/>
    <x v="0"/>
    <s v="To_VPC_2DCBSD_HD45_1"/>
    <x v="0"/>
    <b v="0"/>
    <s v="No está en VPC"/>
    <n v="858"/>
    <s v="INTPG_VPC_858_1.25_863_1.25"/>
    <s v="ISEL-1.25"/>
    <n v="2"/>
    <s v="NO TIENE L3OUT"/>
    <n v="8"/>
    <n v="54"/>
  </r>
  <r>
    <n v="857"/>
    <x v="2"/>
    <x v="197"/>
    <s v="eth1/25"/>
    <x v="0"/>
    <x v="0"/>
    <x v="0"/>
    <s v="LINKT_TO_ITHFHWCRMPLCN123 / Slot1.3_16 / Principal"/>
    <x v="0"/>
    <b v="0"/>
    <s v="No está en VPC"/>
    <n v="857"/>
    <s v="INTPG_ACC_857_1.25"/>
    <s v="ISEL-1.25"/>
    <n v="1"/>
    <s v="NO TIENE L3OUT"/>
    <n v="288"/>
    <n v="54"/>
  </r>
  <r>
    <n v="859"/>
    <x v="2"/>
    <x v="198"/>
    <s v="eth1/25"/>
    <x v="0"/>
    <x v="0"/>
    <x v="0"/>
    <s v="To_VPC_2DCBSD_WR44_1"/>
    <x v="0"/>
    <b v="0"/>
    <s v="No está en VPC"/>
    <n v="859"/>
    <s v="INTPG_VPC_859_1.25_864_1.25"/>
    <s v="ISEL-1.25"/>
    <n v="2"/>
    <s v="NO TIENE L3OUT"/>
    <n v="0"/>
    <n v="54"/>
  </r>
  <r>
    <n v="833"/>
    <x v="2"/>
    <x v="199"/>
    <s v="eth1/25"/>
    <x v="0"/>
    <x v="0"/>
    <x v="0"/>
    <s v="To_ITHFHWCRMDLCN43_Redundante"/>
    <x v="0"/>
    <b v="0"/>
    <s v="No está en VPC"/>
    <n v="833"/>
    <s v="INTPG_ACC_833_1.25"/>
    <s v="ISEL-1.25"/>
    <n v="2"/>
    <s v="NO TIENE L3OUT"/>
    <n v="224"/>
    <n v="54"/>
  </r>
  <r>
    <n v="818"/>
    <x v="2"/>
    <x v="200"/>
    <s v="eth1/25"/>
    <x v="0"/>
    <x v="0"/>
    <x v="0"/>
    <s v="LINK_TO_ITHFHWCBSPSWR32 /Slot4.2 /Principal"/>
    <x v="0"/>
    <b v="0"/>
    <s v="No está en VPC"/>
    <n v="818"/>
    <s v="INTPG_VPC_818_1.25_823_1.25"/>
    <s v="ISEL-1.25"/>
    <n v="1"/>
    <s v="NO TIENE L3OUT"/>
    <n v="8"/>
    <n v="54"/>
  </r>
  <r>
    <n v="850"/>
    <x v="2"/>
    <x v="201"/>
    <s v="eth1/25"/>
    <x v="0"/>
    <x v="0"/>
    <x v="0"/>
    <s v="LINKT_TO_ITHFHWCRMPLCN123 / Slot7.3_16 / Redundante"/>
    <x v="0"/>
    <b v="0"/>
    <s v="No está en VPC"/>
    <n v="850"/>
    <s v="INTPG_ACC_850_1.25"/>
    <s v="ISEL-1.25"/>
    <n v="1"/>
    <s v="NO TIENE L3OUT"/>
    <n v="288"/>
    <n v="54"/>
  </r>
  <r>
    <n v="860"/>
    <x v="2"/>
    <x v="202"/>
    <s v="eth1/25"/>
    <x v="0"/>
    <x v="0"/>
    <x v="0"/>
    <s v="To_VPC_2DCBSD_TL05_1"/>
    <x v="0"/>
    <b v="0"/>
    <s v="No está en VPC"/>
    <n v="860"/>
    <s v="INTPG_VPC_860_1.25_865_1.25"/>
    <s v="ISEL-1.25"/>
    <n v="2"/>
    <s v="NO TIENE L3OUT"/>
    <n v="0"/>
    <n v="54"/>
  </r>
  <r>
    <n v="853"/>
    <x v="2"/>
    <x v="203"/>
    <s v="eth1/25"/>
    <x v="0"/>
    <x v="0"/>
    <x v="0"/>
    <s v="LINK_TO_ITHFHWCRMPLCN80 / Slot7.1_18 / Redundante"/>
    <x v="0"/>
    <b v="0"/>
    <s v="No está en VPC"/>
    <n v="853"/>
    <s v="INTPG_ACC_853_1.25"/>
    <s v="ISEL-1.25"/>
    <n v="6"/>
    <s v="NO TIENE L3OUT"/>
    <n v="242"/>
    <n v="54"/>
  </r>
  <r>
    <n v="790"/>
    <x v="2"/>
    <x v="204"/>
    <s v="eth1/25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25"/>
    <x v="1"/>
    <x v="1"/>
    <x v="2"/>
    <s v="DESC"/>
    <x v="6"/>
    <b v="0"/>
    <s v="No está en VPC"/>
    <n v="105"/>
    <s v="INTPG_PC_105_1.20_25_37"/>
    <s v="ISEL-1.25"/>
    <n v="2"/>
    <s v="NO TIENE L3OUT"/>
    <n v="106"/>
    <n v="96"/>
  </r>
  <r>
    <n v="117"/>
    <x v="0"/>
    <x v="206"/>
    <s v="eth1/25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25"/>
    <x v="0"/>
    <x v="1"/>
    <x v="1"/>
    <s v="SFLDI"/>
    <x v="6"/>
    <b v="0"/>
    <s v="No está en VPC"/>
    <n v="104"/>
    <s v="INTPG_ACC_104_1.25"/>
    <s v="ISEL-1.25"/>
    <n v="1"/>
    <s v="NO TIENE L3OUT"/>
    <n v="194"/>
    <n v="96"/>
  </r>
  <r>
    <n v="158"/>
    <x v="0"/>
    <x v="208"/>
    <s v="eth1/25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25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25"/>
    <x v="1"/>
    <x v="1"/>
    <x v="3"/>
    <s v="TO-UCS-FI-6454"/>
    <x v="4"/>
    <b v="0"/>
    <s v="No está en VPC"/>
    <n v="879"/>
    <s v="INTPG_VPC_878_1.25_879_1.25"/>
    <s v="ISEL-1.25"/>
    <n v="1"/>
    <s v="NO TIENE L3OUT"/>
    <n v="0"/>
    <n v="54"/>
  </r>
  <r>
    <n v="108"/>
    <x v="0"/>
    <x v="211"/>
    <s v="eth1/25"/>
    <x v="0"/>
    <x v="1"/>
    <x v="1"/>
    <s v="GESTION WAS "/>
    <x v="6"/>
    <b v="0"/>
    <s v="No está en VPC"/>
    <n v="108"/>
    <s v="INTPG_ACC_108_1.25"/>
    <s v="ISEL-1.25"/>
    <n v="1"/>
    <s v="NO TIENE L3OUT"/>
    <n v="126"/>
    <n v="96"/>
  </r>
  <r>
    <n v="112"/>
    <x v="0"/>
    <x v="212"/>
    <s v="eth1/25"/>
    <x v="0"/>
    <x v="0"/>
    <x v="0"/>
    <s v="APROVISIONAMIENTO DE SERVICIOS"/>
    <x v="6"/>
    <b v="0"/>
    <s v="No está en VPC"/>
    <n v="112"/>
    <s v="INTPG_ACC_112_1.25"/>
    <s v="ISEL-1.25"/>
    <n v="1"/>
    <s v="NO TIENE L3OUT"/>
    <n v="144"/>
    <n v="96"/>
  </r>
  <r>
    <n v="107"/>
    <x v="0"/>
    <x v="213"/>
    <s v="eth1/25"/>
    <x v="0"/>
    <x v="1"/>
    <x v="1"/>
    <s v="SISAP"/>
    <x v="6"/>
    <b v="0"/>
    <s v="No está en VPC"/>
    <n v="107"/>
    <s v="INTPG_ACC_107_1.25"/>
    <s v="ISEL-1.25"/>
    <n v="1"/>
    <s v="NO TIENE L3OUT"/>
    <n v="118"/>
    <n v="96"/>
  </r>
  <r>
    <n v="109"/>
    <x v="0"/>
    <x v="214"/>
    <s v="eth1/25"/>
    <x v="1"/>
    <x v="1"/>
    <x v="2"/>
    <s v="GESTION WAS "/>
    <x v="6"/>
    <b v="0"/>
    <s v="No está en VPC"/>
    <n v="109"/>
    <s v="INTPG_ACC_109_1.25"/>
    <s v="ISEL-1.25"/>
    <n v="1"/>
    <s v="NO TIENE L3OUT"/>
    <n v="126"/>
    <n v="96"/>
  </r>
  <r>
    <n v="113"/>
    <x v="0"/>
    <x v="215"/>
    <s v="eth1/25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25"/>
    <x v="1"/>
    <x v="1"/>
    <x v="2"/>
    <s v="SUBEX (Fraud Management)"/>
    <x v="6"/>
    <b v="0"/>
    <s v="No está en VPC"/>
    <n v="114"/>
    <s v="INTPG_ACC_114_1.25"/>
    <s v="ISEL-1.25"/>
    <n v="1"/>
    <s v="NO TIENE L3OUT"/>
    <n v="144"/>
    <n v="96"/>
  </r>
  <r>
    <n v="124"/>
    <x v="0"/>
    <x v="217"/>
    <s v="eth1/25"/>
    <x v="1"/>
    <x v="1"/>
    <x v="2"/>
    <s v="3G_ENIQ_QRO_R6"/>
    <x v="6"/>
    <b v="0"/>
    <s v="No está en VPC"/>
    <n v="124"/>
    <s v="INTPG_VPC_124_1.25_40_125_1.28_41"/>
    <s v="ISEL-1.25"/>
    <n v="5"/>
    <s v="NO TIENE L3OUT"/>
    <n v="80"/>
    <n v="96"/>
  </r>
  <r>
    <n v="118"/>
    <x v="0"/>
    <x v="218"/>
    <s v="eth1/25"/>
    <x v="0"/>
    <x v="0"/>
    <x v="0"/>
    <s v="DATOS NETCRACKER"/>
    <x v="6"/>
    <b v="0"/>
    <s v="No está en VPC"/>
    <n v="118"/>
    <s v="INTPG_ACC_118_1.25"/>
    <s v="ISEL-1.25"/>
    <n v="1"/>
    <s v="NO TIENE L3OUT"/>
    <n v="180"/>
    <n v="96"/>
  </r>
  <r>
    <n v="159"/>
    <x v="0"/>
    <x v="219"/>
    <s v="eth1/25"/>
    <x v="0"/>
    <x v="0"/>
    <x v="0"/>
    <s v="ArrobaDOC Y CF"/>
    <x v="6"/>
    <b v="0"/>
    <s v="No está en VPC"/>
    <n v="159"/>
    <s v="INTPG_ACC_159_1.25"/>
    <s v="ISEL-1.25"/>
    <n v="1"/>
    <s v="NO TIENE L3OUT"/>
    <n v="72"/>
    <n v="96"/>
  </r>
  <r>
    <n v="840"/>
    <x v="2"/>
    <x v="220"/>
    <s v="eth1/25"/>
    <x v="0"/>
    <x v="0"/>
    <x v="0"/>
    <s v="LINK_TO_ITHHWD6KV65100014DKC01 / CTMB_IOM1.P1_34 / Redundante"/>
    <x v="0"/>
    <b v="0"/>
    <s v="No está en VPC"/>
    <n v="840"/>
    <s v="INTPG_ACC_840_1.25"/>
    <s v="ISEL-1.25"/>
    <n v="1"/>
    <s v="NO TIENE L3OUT"/>
    <n v="8"/>
    <n v="54"/>
  </r>
  <r>
    <n v="856"/>
    <x v="2"/>
    <x v="221"/>
    <s v="eth1/25"/>
    <x v="0"/>
    <x v="0"/>
    <x v="0"/>
    <s v="LINK_TO_ITHFHWCRMPLCN142 / Slot1.3_18 / Principal"/>
    <x v="0"/>
    <b v="0"/>
    <s v="No está en VPC"/>
    <n v="856"/>
    <s v="INTPG_ACC_856_1.25"/>
    <s v="ISEL-1.25"/>
    <n v="1"/>
    <s v="NO TIENE L3OUT"/>
    <n v="286"/>
    <n v="54"/>
  </r>
  <r>
    <n v="110"/>
    <x v="0"/>
    <x v="222"/>
    <s v="eth1/25"/>
    <x v="0"/>
    <x v="0"/>
    <x v="0"/>
    <s v="UXDX-DATOS"/>
    <x v="6"/>
    <b v="0"/>
    <s v="No está en VPC"/>
    <n v="110"/>
    <s v="INTPG_ACC_110_1.25"/>
    <s v="ISEL-1.25"/>
    <n v="1"/>
    <s v="NO TIENE L3OUT"/>
    <n v="102"/>
    <n v="96"/>
  </r>
  <r>
    <n v="163"/>
    <x v="0"/>
    <x v="223"/>
    <s v="eth1/25"/>
    <x v="0"/>
    <x v="0"/>
    <x v="0"/>
    <s v="NETSCOUT"/>
    <x v="6"/>
    <b v="0"/>
    <s v="No está en VPC"/>
    <n v="163"/>
    <s v="INTPG_ACC_163_1.25"/>
    <s v="ISEL-1.25"/>
    <n v="1"/>
    <s v="NO TIENE L3OUT"/>
    <n v="140"/>
    <n v="96"/>
  </r>
  <r>
    <n v="407"/>
    <x v="1"/>
    <x v="224"/>
    <s v="eth1/25"/>
    <x v="0"/>
    <x v="0"/>
    <x v="0"/>
    <s v="IXT4GSW2A2_MGNT"/>
    <x v="6"/>
    <b v="0"/>
    <s v="No está en VPC"/>
    <n v="407"/>
    <s v="INTPG_ACC_407_1.25"/>
    <s v="ISEL-1.25"/>
    <n v="1"/>
    <s v="NO TIENE L3OUT"/>
    <n v="122"/>
    <n v="96"/>
  </r>
  <r>
    <n v="171"/>
    <x v="0"/>
    <x v="225"/>
    <s v="eth1/25"/>
    <x v="0"/>
    <x v="1"/>
    <x v="1"/>
    <s v="NFA"/>
    <x v="6"/>
    <b v="0"/>
    <s v="No está en VPC"/>
    <n v="171"/>
    <s v="INTPG_ACC_171_1.25"/>
    <s v="ISEL-1.25"/>
    <n v="1"/>
    <s v="NO TIENE L3OUT"/>
    <n v="114"/>
    <n v="96"/>
  </r>
  <r>
    <n v="421"/>
    <x v="1"/>
    <x v="226"/>
    <s v="eth1/25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25"/>
    <x v="0"/>
    <x v="1"/>
    <x v="1"/>
    <s v="ENIQ"/>
    <x v="6"/>
    <b v="0"/>
    <s v="No está en VPC"/>
    <n v="173"/>
    <s v="INTPG_ACC_173_1.25"/>
    <s v="ISEL-1.25"/>
    <n v="1"/>
    <s v="NO TIENE L3OUT"/>
    <n v="66"/>
    <n v="96"/>
  </r>
  <r>
    <n v="154"/>
    <x v="0"/>
    <x v="228"/>
    <s v="eth1/25"/>
    <x v="0"/>
    <x v="0"/>
    <x v="0"/>
    <m/>
    <x v="6"/>
    <b v="0"/>
    <s v="No está en VPC"/>
    <n v="154"/>
    <s v="INTPG_ACC_154_1.25"/>
    <s v="ISEL-1.25"/>
    <n v="1"/>
    <s v="NO TIENE L3OUT"/>
    <n v="62"/>
    <n v="96"/>
  </r>
  <r>
    <n v="172"/>
    <x v="0"/>
    <x v="229"/>
    <s v="eth1/25"/>
    <x v="0"/>
    <x v="1"/>
    <x v="1"/>
    <s v="NFA"/>
    <x v="6"/>
    <b v="0"/>
    <s v="No está en VPC"/>
    <n v="172"/>
    <s v="INTPG_ACC_172_1.25"/>
    <s v="ISEL-1.25"/>
    <n v="1"/>
    <s v="NO TIENE L3OUT"/>
    <n v="104"/>
    <n v="96"/>
  </r>
  <r>
    <n v="420"/>
    <x v="1"/>
    <x v="230"/>
    <s v="eth1/25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25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25"/>
    <x v="0"/>
    <x v="0"/>
    <x v="0"/>
    <s v="VTAE5"/>
    <x v="6"/>
    <b v="0"/>
    <s v="No está en VPC"/>
    <n v="415"/>
    <s v="INTPG_ACC_415_1.25"/>
    <s v="ISEL-1.25"/>
    <n v="1"/>
    <s v="NO TIENE L3OUT"/>
    <n v="52"/>
    <n v="96"/>
  </r>
  <r>
    <n v="102"/>
    <x v="0"/>
    <x v="233"/>
    <s v="eth1/25"/>
    <x v="0"/>
    <x v="1"/>
    <x v="1"/>
    <s v="SFLDI:RLDICDR03:1"/>
    <x v="6"/>
    <b v="0"/>
    <s v="No está en VPC"/>
    <n v="102"/>
    <s v="INTPG_ACC_102_1.25"/>
    <s v="ISEL-1.25"/>
    <n v="1"/>
    <s v="NO TIENE L3OUT"/>
    <n v="228"/>
    <n v="96"/>
  </r>
  <r>
    <n v="863"/>
    <x v="2"/>
    <x v="234"/>
    <s v="eth1/25"/>
    <x v="0"/>
    <x v="0"/>
    <x v="0"/>
    <s v="To_VPC_2DCBSD_HD45_1"/>
    <x v="0"/>
    <b v="0"/>
    <s v="No está en VPC"/>
    <n v="863"/>
    <s v="INTPG_VPC_858_1.25_863_1.25"/>
    <s v="ISEL-1.25"/>
    <n v="2"/>
    <s v="NO TIENE L3OUT"/>
    <n v="8"/>
    <n v="54"/>
  </r>
  <r>
    <n v="876"/>
    <x v="2"/>
    <x v="235"/>
    <s v="eth1/25"/>
    <x v="0"/>
    <x v="0"/>
    <x v="0"/>
    <s v="A_ITHFHWSEQLCAS24_Principal"/>
    <x v="4"/>
    <b v="0"/>
    <s v="No está en VPC"/>
    <n v="876"/>
    <s v="INTPG_ACC_876_1.25"/>
    <s v="ISEL-1.25"/>
    <n v="1"/>
    <s v="NO TIENE L3OUT"/>
    <n v="92"/>
    <n v="54"/>
  </r>
  <r>
    <n v="877"/>
    <x v="2"/>
    <x v="236"/>
    <s v="eth1/25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25"/>
    <x v="0"/>
    <x v="0"/>
    <x v="0"/>
    <m/>
    <x v="6"/>
    <b v="0"/>
    <s v="No está en VPC"/>
    <n v="122"/>
    <s v="INTPG_ACC_122_1.25"/>
    <s v="ISEL-1.25"/>
    <n v="1"/>
    <s v="NO TIENE L3OUT"/>
    <n v="148"/>
    <n v="96"/>
  </r>
  <r>
    <n v="157"/>
    <x v="0"/>
    <x v="238"/>
    <s v="eth1/25"/>
    <x v="0"/>
    <x v="0"/>
    <x v="0"/>
    <s v="RED CRICKET"/>
    <x v="6"/>
    <b v="0"/>
    <s v="No está en VPC"/>
    <n v="157"/>
    <s v="INTPG_ACC_157_1.25"/>
    <s v="ISEL-1.25"/>
    <n v="1"/>
    <s v="NO TIENE L3OUT"/>
    <n v="202"/>
    <n v="96"/>
  </r>
  <r>
    <n v="408"/>
    <x v="1"/>
    <x v="239"/>
    <s v="eth1/25"/>
    <x v="0"/>
    <x v="0"/>
    <x v="0"/>
    <s v="IXTPF1PCRF"/>
    <x v="6"/>
    <b v="0"/>
    <s v="No está en VPC"/>
    <n v="408"/>
    <s v="INTPG_ACC_408_1.25"/>
    <s v="ISEL-1.25"/>
    <n v="1"/>
    <s v="NO TIENE L3OUT"/>
    <n v="152"/>
    <n v="96"/>
  </r>
  <r>
    <n v="405"/>
    <x v="1"/>
    <x v="240"/>
    <s v="eth1/25"/>
    <x v="0"/>
    <x v="0"/>
    <x v="0"/>
    <s v="XL6 RLR6ARI05 ILO"/>
    <x v="6"/>
    <b v="0"/>
    <s v="No está en VPC"/>
    <n v="405"/>
    <s v="INTPG_ACC_405_1.25"/>
    <s v="ISEL-1.25"/>
    <n v="1"/>
    <s v="NO TIENE L3OUT"/>
    <n v="138"/>
    <n v="96"/>
  </r>
  <r>
    <n v="169"/>
    <x v="0"/>
    <x v="241"/>
    <s v="eth1/25"/>
    <x v="1"/>
    <x v="1"/>
    <x v="2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25"/>
    <x v="0"/>
    <x v="0"/>
    <x v="0"/>
    <s v="UXLDAP"/>
    <x v="6"/>
    <b v="0"/>
    <s v="No está en VPC"/>
    <n v="165"/>
    <s v="INTPG_ACC_165_1.25"/>
    <s v="ISEL-1.25"/>
    <n v="1"/>
    <s v="NO TIENE L3OUT"/>
    <n v="86"/>
    <n v="96"/>
  </r>
  <r>
    <n v="417"/>
    <x v="1"/>
    <x v="243"/>
    <s v="eth1/25"/>
    <x v="0"/>
    <x v="0"/>
    <x v="0"/>
    <s v="TO-ITHFHPNBURBKP06-PRINCIPAL"/>
    <x v="6"/>
    <b v="0"/>
    <s v="No está en VPC"/>
    <n v="417"/>
    <s v="INTPG_ACC_417_1.25"/>
    <s v="ISEL-1.25"/>
    <n v="1"/>
    <s v="NO TIENE L3OUT"/>
    <n v="56"/>
    <n v="96"/>
  </r>
  <r>
    <n v="153"/>
    <x v="0"/>
    <x v="244"/>
    <s v="eth1/25"/>
    <x v="0"/>
    <x v="1"/>
    <x v="1"/>
    <s v="BLOQUEO EMEI"/>
    <x v="6"/>
    <b v="0"/>
    <s v="No está en VPC"/>
    <n v="153"/>
    <s v="INTPG_ACC_153_1.25"/>
    <s v="ISEL-1.25"/>
    <n v="1"/>
    <s v="NO TIENE L3OUT"/>
    <n v="42"/>
    <n v="96"/>
  </r>
  <r>
    <n v="119"/>
    <x v="0"/>
    <x v="245"/>
    <s v="eth1/25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25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25"/>
    <x v="0"/>
    <x v="1"/>
    <x v="1"/>
    <s v="CAMPANAS 01-02:hmccampanas1-2:ent1"/>
    <x v="6"/>
    <b v="0"/>
    <s v="No está en VPC"/>
    <n v="103"/>
    <s v="INTPG_ACC_103_1.25"/>
    <s v="ISEL-1.25"/>
    <n v="1"/>
    <s v="NO TIENE L3OUT"/>
    <n v="70"/>
    <n v="96"/>
  </r>
  <r>
    <n v="438"/>
    <x v="1"/>
    <x v="248"/>
    <s v="eth1/25"/>
    <x v="0"/>
    <x v="0"/>
    <x v="0"/>
    <s v="HP_Proliant_L360_Gen9"/>
    <x v="6"/>
    <b v="0"/>
    <s v="No está en VPC"/>
    <n v="438"/>
    <s v="INTPG_ACC_438_1.25"/>
    <s v="ISEL-1.25"/>
    <n v="1"/>
    <s v="NO TIENE L3OUT"/>
    <n v="170"/>
    <n v="96"/>
  </r>
  <r>
    <n v="406"/>
    <x v="1"/>
    <x v="249"/>
    <s v="eth1/25"/>
    <x v="0"/>
    <x v="0"/>
    <x v="0"/>
    <s v="ITHRTC61VC1"/>
    <x v="6"/>
    <b v="0"/>
    <s v="No está en VPC"/>
    <n v="406"/>
    <s v="INTPG_VPC_404_1.25_406_1.25"/>
    <s v="ISEL-1.25"/>
    <n v="1"/>
    <s v="NO TIENE L3OUT"/>
    <n v="82"/>
    <n v="96"/>
  </r>
  <r>
    <n v="414"/>
    <x v="1"/>
    <x v="250"/>
    <s v="eth1/25"/>
    <x v="0"/>
    <x v="0"/>
    <x v="0"/>
    <s v="UTP_ZFS_CAMPANAS"/>
    <x v="6"/>
    <b v="0"/>
    <s v="No está en VPC"/>
    <n v="414"/>
    <s v="INTPG_ACC_414_1.25"/>
    <s v="ISEL-1.25"/>
    <n v="1"/>
    <s v="NO TIENE L3OUT"/>
    <n v="144"/>
    <n v="96"/>
  </r>
  <r>
    <n v="416"/>
    <x v="1"/>
    <x v="251"/>
    <s v="eth1/25"/>
    <x v="0"/>
    <x v="0"/>
    <x v="0"/>
    <s v="TO-ITHNM2-PRINCIPAL"/>
    <x v="6"/>
    <b v="0"/>
    <s v="No está en VPC"/>
    <n v="416"/>
    <s v="INTPG_ACC_416_1.25"/>
    <s v="ISEL-1.25"/>
    <n v="1"/>
    <s v="NO TIENE L3OUT"/>
    <n v="110"/>
    <n v="96"/>
  </r>
  <r>
    <n v="418"/>
    <x v="1"/>
    <x v="252"/>
    <s v="eth1/25"/>
    <x v="0"/>
    <x v="0"/>
    <x v="0"/>
    <s v="TO-ITHAI10-REDUNDANTE"/>
    <x v="6"/>
    <b v="0"/>
    <s v="No está en VPC"/>
    <n v="418"/>
    <s v="INTPG_ACC_418_1.25"/>
    <s v="ISEL-1.25"/>
    <n v="1"/>
    <s v="NO TIENE L3OUT"/>
    <n v="152"/>
    <n v="96"/>
  </r>
  <r>
    <n v="413"/>
    <x v="1"/>
    <x v="253"/>
    <s v="eth1/25"/>
    <x v="0"/>
    <x v="0"/>
    <x v="0"/>
    <s v="lagidmhlapvp10_produccion1"/>
    <x v="6"/>
    <b v="0"/>
    <s v="No está en VPC"/>
    <n v="413"/>
    <s v="INTPG_VPC_411_1.31-34_413_1.24-27"/>
    <s v="ISEL-1.25"/>
    <n v="2"/>
    <s v="NO TIENE L3OUT"/>
    <n v="126"/>
    <n v="96"/>
  </r>
  <r>
    <n v="403"/>
    <x v="1"/>
    <x v="254"/>
    <s v="eth1/25"/>
    <x v="0"/>
    <x v="0"/>
    <x v="0"/>
    <s v="XL6 RLR6ARI05"/>
    <x v="6"/>
    <b v="0"/>
    <s v="No está en VPC"/>
    <n v="403"/>
    <s v="INTPG_ACC_403_1.25"/>
    <s v="ISEL-1.25"/>
    <n v="1"/>
    <s v="NO TIENE L3OUT"/>
    <n v="150"/>
    <n v="96"/>
  </r>
  <r>
    <n v="125"/>
    <x v="0"/>
    <x v="255"/>
    <s v="eth1/25"/>
    <x v="0"/>
    <x v="0"/>
    <x v="0"/>
    <s v="UXSVA (M9000)"/>
    <x v="6"/>
    <b v="0"/>
    <s v="No está en VPC"/>
    <n v="125"/>
    <s v="INTPG_ACC_125_1.25"/>
    <s v="ISEL-1.25"/>
    <n v="1"/>
    <s v="NO TIENE L3OUT"/>
    <n v="72"/>
    <n v="96"/>
  </r>
  <r>
    <n v="166"/>
    <x v="0"/>
    <x v="256"/>
    <s v="eth1/25"/>
    <x v="0"/>
    <x v="0"/>
    <x v="0"/>
    <s v="NFA"/>
    <x v="6"/>
    <b v="0"/>
    <s v="No está en VPC"/>
    <n v="166"/>
    <s v="INTPG_ACC_166_1.25"/>
    <s v="ISEL-1.25"/>
    <n v="1"/>
    <s v="NO TIENE L3OUT"/>
    <n v="84"/>
    <n v="96"/>
  </r>
  <r>
    <n v="111"/>
    <x v="0"/>
    <x v="257"/>
    <s v="eth1/25"/>
    <x v="0"/>
    <x v="0"/>
    <x v="0"/>
    <s v="UXDX-DATOS"/>
    <x v="6"/>
    <b v="0"/>
    <s v="No está en VPC"/>
    <n v="111"/>
    <s v="INTPG_ACC_111_1.25"/>
    <s v="ISEL-1.25"/>
    <n v="1"/>
    <s v="NO TIENE L3OUT"/>
    <n v="58"/>
    <n v="96"/>
  </r>
  <r>
    <n v="115"/>
    <x v="0"/>
    <x v="258"/>
    <s v="eth1/25"/>
    <x v="0"/>
    <x v="0"/>
    <x v="0"/>
    <s v="RLVYCAN03_1"/>
    <x v="6"/>
    <b v="0"/>
    <s v="No está en VPC"/>
    <n v="115"/>
    <s v="INTPG_ACC_115_1.25"/>
    <s v="ISEL-1.25"/>
    <n v="1"/>
    <s v="NO TIENE L3OUT"/>
    <n v="42"/>
    <n v="96"/>
  </r>
  <r>
    <n v="106"/>
    <x v="0"/>
    <x v="259"/>
    <s v="eth1/25"/>
    <x v="0"/>
    <x v="1"/>
    <x v="1"/>
    <m/>
    <x v="6"/>
    <b v="0"/>
    <s v="No está en VPC"/>
    <n v="106"/>
    <s v="INTPG_PC_106_1.24-25"/>
    <s v="ISEL-1.25"/>
    <n v="1"/>
    <s v="NO TIENE L3OUT"/>
    <n v="122"/>
    <n v="96"/>
  </r>
  <r>
    <n v="126"/>
    <x v="0"/>
    <x v="260"/>
    <s v="eth1/25"/>
    <x v="0"/>
    <x v="0"/>
    <x v="0"/>
    <s v="ENIQ"/>
    <x v="6"/>
    <b v="0"/>
    <s v="No está en VPC"/>
    <n v="126"/>
    <s v="INTPG_PC_126_1.25-29_36"/>
    <s v="ISEL-1.25"/>
    <n v="3"/>
    <s v="NO TIENE L3OUT"/>
    <n v="54"/>
    <n v="96"/>
  </r>
  <r>
    <n v="425"/>
    <x v="1"/>
    <x v="261"/>
    <s v="eth1/25"/>
    <x v="0"/>
    <x v="0"/>
    <x v="0"/>
    <s v="XIO_MGMT A-02"/>
    <x v="6"/>
    <b v="0"/>
    <s v="No está en VPC"/>
    <n v="425"/>
    <s v="INTPG_ACC_425_1.25"/>
    <s v="ISEL-1.25"/>
    <n v="1"/>
    <s v="NO TIENE L3OUT"/>
    <n v="86"/>
    <n v="96"/>
  </r>
  <r>
    <n v="151"/>
    <x v="0"/>
    <x v="262"/>
    <s v="eth1/25"/>
    <x v="0"/>
    <x v="0"/>
    <x v="0"/>
    <s v="ETLI-SACI 7"/>
    <x v="6"/>
    <b v="0"/>
    <s v="No está en VPC"/>
    <n v="151"/>
    <s v="INTPG_ACC_151_1.25"/>
    <s v="ISEL-1.25"/>
    <n v="1"/>
    <s v="NO TIENE L3OUT"/>
    <n v="86"/>
    <n v="96"/>
  </r>
  <r>
    <n v="430"/>
    <x v="1"/>
    <x v="263"/>
    <s v="eth1/25"/>
    <x v="0"/>
    <x v="0"/>
    <x v="0"/>
    <s v="OSS_3G_TIJUANA_LAG"/>
    <x v="6"/>
    <b v="0"/>
    <s v="No está en VPC"/>
    <n v="430"/>
    <s v="INTPG_VPC_428_1.20_430_1.25"/>
    <s v="ISEL-1.25"/>
    <n v="13"/>
    <s v="NO TIENE L3OUT"/>
    <n v="86"/>
    <n v="96"/>
  </r>
  <r>
    <n v="419"/>
    <x v="1"/>
    <x v="264"/>
    <s v="eth1/25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25"/>
    <x v="0"/>
    <x v="0"/>
    <x v="0"/>
    <s v="Consolidaci\u00f3n Aplicaciones Prepago"/>
    <x v="6"/>
    <b v="0"/>
    <s v="No está en VPC"/>
    <n v="155"/>
    <s v="INTPG_ACC_155_1.25"/>
    <s v="ISEL-1.25"/>
    <n v="1"/>
    <s v="NO TIENE L3OUT"/>
    <n v="198"/>
    <n v="96"/>
  </r>
  <r>
    <n v="409"/>
    <x v="1"/>
    <x v="266"/>
    <s v="eth1/25"/>
    <x v="0"/>
    <x v="0"/>
    <x v="0"/>
    <s v="ITHSAN2A"/>
    <x v="6"/>
    <b v="0"/>
    <s v="No está en VPC"/>
    <n v="409"/>
    <s v="INTPG_ACC_409_1.25"/>
    <s v="ISEL-1.25"/>
    <n v="1"/>
    <s v="NO TIENE L3OUT"/>
    <n v="128"/>
    <n v="96"/>
  </r>
  <r>
    <n v="422"/>
    <x v="1"/>
    <x v="267"/>
    <s v="eth1/25"/>
    <x v="0"/>
    <x v="0"/>
    <x v="0"/>
    <s v="IXTSD969B"/>
    <x v="6"/>
    <b v="0"/>
    <s v="No está en VPC"/>
    <n v="422"/>
    <s v="INTPG_ACC_422_1.25"/>
    <s v="ISEL-1.25"/>
    <n v="1"/>
    <s v="NO TIENE L3OUT"/>
    <n v="182"/>
    <n v="96"/>
  </r>
  <r>
    <n v="436"/>
    <x v="1"/>
    <x v="268"/>
    <s v="eth1/25"/>
    <x v="0"/>
    <x v="0"/>
    <x v="0"/>
    <s v="HP_Proliant_DL360_Gen9"/>
    <x v="6"/>
    <b v="0"/>
    <s v="No está en VPC"/>
    <n v="436"/>
    <s v="INTPG_ACC_436_1.25"/>
    <s v="ISEL-1.25"/>
    <n v="1"/>
    <s v="NO TIENE L3OUT"/>
    <n v="172"/>
    <n v="96"/>
  </r>
  <r>
    <n v="410"/>
    <x v="1"/>
    <x v="269"/>
    <s v="eth1/25"/>
    <x v="0"/>
    <x v="0"/>
    <x v="0"/>
    <s v="ITHMSNUBE1_ITH0"/>
    <x v="6"/>
    <b v="0"/>
    <s v="No está en VPC"/>
    <n v="410"/>
    <s v="INTPG_ACC_410_1.25"/>
    <s v="ISEL-1.25"/>
    <n v="1"/>
    <s v="NO TIENE L3OUT"/>
    <n v="178"/>
    <n v="96"/>
  </r>
  <r>
    <n v="161"/>
    <x v="0"/>
    <x v="270"/>
    <s v="eth1/25"/>
    <x v="1"/>
    <x v="1"/>
    <x v="2"/>
    <s v="NETSCOUT"/>
    <x v="6"/>
    <b v="0"/>
    <s v="No está en VPC"/>
    <n v="161"/>
    <s v="INTPG_ACC_161_1.25"/>
    <s v="ISEL-1.25"/>
    <n v="1"/>
    <s v="NO TIENE L3OUT"/>
    <n v="102"/>
    <n v="96"/>
  </r>
  <r>
    <n v="411"/>
    <x v="1"/>
    <x v="271"/>
    <s v="eth1/25"/>
    <x v="0"/>
    <x v="0"/>
    <x v="0"/>
    <m/>
    <x v="6"/>
    <b v="0"/>
    <s v="No está en VPC"/>
    <n v="411"/>
    <s v="INTPG_ACC_411_1.25"/>
    <s v="ISEL-1.25"/>
    <n v="2"/>
    <s v="NO TIENE L3OUT"/>
    <n v="96"/>
    <n v="96"/>
  </r>
  <r>
    <n v="116"/>
    <x v="0"/>
    <x v="272"/>
    <s v="eth1/25"/>
    <x v="0"/>
    <x v="0"/>
    <x v="0"/>
    <s v="DATOS NETCRACKER"/>
    <x v="6"/>
    <b v="0"/>
    <s v="No está en VPC"/>
    <n v="116"/>
    <s v="INTPG_ACC_116_1.25"/>
    <s v="ISEL-1.25"/>
    <n v="1"/>
    <s v="NO TIENE L3OUT"/>
    <n v="148"/>
    <n v="96"/>
  </r>
  <r>
    <n v="412"/>
    <x v="1"/>
    <x v="273"/>
    <s v="eth1/25"/>
    <x v="0"/>
    <x v="0"/>
    <x v="0"/>
    <s v="ILOM_UXCEM01_NXGE0"/>
    <x v="6"/>
    <b v="0"/>
    <s v="No está en VPC"/>
    <n v="412"/>
    <s v="INTPG_ACC_412_1.25"/>
    <s v="ISEL-1.25"/>
    <n v="1"/>
    <s v="NO TIENE L3OUT"/>
    <n v="126"/>
    <n v="96"/>
  </r>
  <r>
    <n v="120"/>
    <x v="0"/>
    <x v="274"/>
    <s v="eth1/25"/>
    <x v="0"/>
    <x v="0"/>
    <x v="0"/>
    <m/>
    <x v="6"/>
    <b v="0"/>
    <s v="No está en VPC"/>
    <n v="120"/>
    <s v="INTPG_ACC_120_1.25"/>
    <s v="ISEL-1.25"/>
    <n v="1"/>
    <s v="NO TIENE L3OUT"/>
    <n v="158"/>
    <n v="96"/>
  </r>
  <r>
    <n v="404"/>
    <x v="1"/>
    <x v="275"/>
    <s v="eth1/25"/>
    <x v="0"/>
    <x v="0"/>
    <x v="0"/>
    <s v="ITHRTC61VC1"/>
    <x v="6"/>
    <b v="0"/>
    <s v="No está en VPC"/>
    <n v="404"/>
    <s v="INTPG_VPC_404_1.25_406_1.25"/>
    <s v="ISEL-1.25"/>
    <n v="1"/>
    <s v="NO TIENE L3OUT"/>
    <n v="92"/>
    <n v="96"/>
  </r>
  <r>
    <n v="167"/>
    <x v="0"/>
    <x v="276"/>
    <s v="eth1/25"/>
    <x v="1"/>
    <x v="1"/>
    <x v="2"/>
    <s v="HUAWEI_VMS_VVM_Datos"/>
    <x v="6"/>
    <b v="0"/>
    <s v="No está en VPC"/>
    <n v="167"/>
    <s v="INTPG_VPC_167_1.25_169_1.18"/>
    <s v="ISEL-1.25"/>
    <n v="2"/>
    <s v="NO TIENE L3OUT"/>
    <n v="68"/>
    <n v="96"/>
  </r>
  <r>
    <n v="428"/>
    <x v="1"/>
    <x v="277"/>
    <s v="eth1/25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903"/>
    <x v="2"/>
    <x v="278"/>
    <s v="eth1/2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2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26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26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26"/>
    <x v="1"/>
    <x v="1"/>
    <x v="2"/>
    <m/>
    <x v="1"/>
    <b v="0"/>
    <s v="No está en VPC"/>
    <n v="152"/>
    <s v="INTPG_MGMT_APIC5"/>
    <s v="ISEL-1.26"/>
    <n v="1"/>
    <s v="NO TIENE L3OUT"/>
    <n v="38"/>
    <n v="54"/>
  </r>
  <r>
    <n v="101"/>
    <x v="0"/>
    <x v="3"/>
    <s v="eth1/26"/>
    <x v="0"/>
    <x v="0"/>
    <x v="0"/>
    <s v="TO-ITHFDENBURMS02"/>
    <x v="0"/>
    <b v="0"/>
    <s v="No está en VPC"/>
    <n v="101"/>
    <s v="INTPG_VPC_101_1.26_150_1.26"/>
    <s v="ISEL-1.26"/>
    <n v="1"/>
    <s v="NO TIENE L3OUT"/>
    <n v="114"/>
    <n v="54"/>
  </r>
  <r>
    <n v="160"/>
    <x v="0"/>
    <x v="4"/>
    <s v="eth1/26"/>
    <x v="0"/>
    <x v="0"/>
    <x v="0"/>
    <s v="SRM"/>
    <x v="1"/>
    <b v="0"/>
    <s v="No está en VPC"/>
    <n v="160"/>
    <s v="INTPG_ACC_160_1.26"/>
    <s v="ISEL-1.26"/>
    <n v="1"/>
    <s v="NO TIENE L3OUT"/>
    <n v="68"/>
    <n v="54"/>
  </r>
  <r>
    <n v="121"/>
    <x v="0"/>
    <x v="5"/>
    <s v="eth1/26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26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26"/>
    <x v="0"/>
    <x v="0"/>
    <x v="0"/>
    <s v="TO-IBMDIST-LAGIBMDIST"/>
    <x v="0"/>
    <b v="0"/>
    <s v="No está en VPC"/>
    <n v="401"/>
    <s v="INTPG_VPC_401_1.25-26_402_1.25-26"/>
    <s v="ISEL-1.26"/>
    <n v="1"/>
    <s v="NO TIENE L3OUT"/>
    <n v="40"/>
    <n v="54"/>
  </r>
  <r>
    <n v="402"/>
    <x v="1"/>
    <x v="8"/>
    <s v="eth1/26"/>
    <x v="0"/>
    <x v="0"/>
    <x v="0"/>
    <s v="TO-IBMDIST-LAGIBMDIST"/>
    <x v="0"/>
    <b v="0"/>
    <s v="No está en VPC"/>
    <n v="402"/>
    <s v="INTPG_VPC_401_1.25-26_402_1.25-26"/>
    <s v="ISEL-1.26"/>
    <n v="1"/>
    <s v="NO TIENE L3OUT"/>
    <n v="36"/>
    <n v="54"/>
  </r>
  <r>
    <n v="447"/>
    <x v="1"/>
    <x v="9"/>
    <s v="eth1/26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26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26"/>
    <x v="0"/>
    <x v="0"/>
    <x v="0"/>
    <s v="TO-ITHFDEMCFRPMS02"/>
    <x v="0"/>
    <b v="0"/>
    <s v="No está en VPC"/>
    <n v="130"/>
    <s v="INTPG_VPC_130_1.25-26_131_1.26-27"/>
    <s v="ISEL-1.26"/>
    <n v="1"/>
    <s v="NO TIENE L3OUT"/>
    <n v="128"/>
    <n v="54"/>
  </r>
  <r>
    <n v="150"/>
    <x v="0"/>
    <x v="12"/>
    <s v="eth1/26"/>
    <x v="0"/>
    <x v="0"/>
    <x v="0"/>
    <s v="TO-ITHFDENBURMS02"/>
    <x v="0"/>
    <b v="0"/>
    <s v="No está en VPC"/>
    <n v="150"/>
    <s v="INTPG_VPC_101_1.26_150_1.26"/>
    <s v="ISEL-1.26"/>
    <n v="1"/>
    <s v="NO TIENE L3OUT"/>
    <n v="118"/>
    <n v="54"/>
  </r>
  <r>
    <n v="131"/>
    <x v="0"/>
    <x v="13"/>
    <s v="eth1/26"/>
    <x v="0"/>
    <x v="0"/>
    <x v="0"/>
    <s v="TO-ITHFDEMCFRPMS02"/>
    <x v="0"/>
    <b v="0"/>
    <s v="No está en VPC"/>
    <n v="131"/>
    <s v="INTPG_VPC_130_1.25-26_131_1.26-27"/>
    <s v="ISEL-1.26"/>
    <n v="1"/>
    <s v="NO TIENE L3OUT"/>
    <n v="126"/>
    <n v="54"/>
  </r>
  <r>
    <n v="303"/>
    <x v="0"/>
    <x v="14"/>
    <s v="eth1/26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26"/>
    <x v="0"/>
    <x v="1"/>
    <x v="3"/>
    <m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26"/>
    <x v="1"/>
    <x v="1"/>
    <x v="3"/>
    <m/>
    <x v="2"/>
    <b v="0"/>
    <s v="No está en VPC"/>
    <n v="759"/>
    <s v="NO EXISTE PG"/>
    <s v="NO EXISTE ISEL"/>
    <n v="0"/>
    <s v="NO TIENE L3OUT"/>
    <n v="0"/>
    <n v="42"/>
  </r>
  <r>
    <n v="302"/>
    <x v="0"/>
    <x v="17"/>
    <s v="eth1/26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26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26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26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26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26"/>
    <x v="0"/>
    <x v="0"/>
    <x v="0"/>
    <m/>
    <x v="0"/>
    <b v="0"/>
    <s v="No está en VPC"/>
    <n v="727"/>
    <s v="INTPG-VPC_HDD72_726_1.25_727_1.26"/>
    <s v="ISEL-1.26"/>
    <n v="2"/>
    <s v="NO TIENE L3OUT"/>
    <n v="0"/>
    <n v="54"/>
  </r>
  <r>
    <n v="724"/>
    <x v="2"/>
    <x v="23"/>
    <s v="eth1/26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26"/>
    <x v="0"/>
    <x v="1"/>
    <x v="3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26"/>
    <x v="0"/>
    <x v="1"/>
    <x v="1"/>
    <m/>
    <x v="0"/>
    <b v="0"/>
    <s v="No está en VPC"/>
    <n v="725"/>
    <s v="INTPG-VPC_SLR17_724_1.25_725_1.26"/>
    <s v="ISEL-1.26"/>
    <n v="1"/>
    <s v="NO TIENE L3OUT"/>
    <n v="0"/>
    <n v="54"/>
  </r>
  <r>
    <n v="431"/>
    <x v="1"/>
    <x v="26"/>
    <s v="eth1/26"/>
    <x v="0"/>
    <x v="0"/>
    <x v="0"/>
    <s v="ZTE_EDR"/>
    <x v="0"/>
    <b v="0"/>
    <s v="No está en VPC"/>
    <n v="431"/>
    <s v="INTPG_VPC_431_1.26-27_448_1.26-27"/>
    <s v="ISEL-1.26"/>
    <n v="2"/>
    <s v="NO TIENE L3OUT"/>
    <n v="46"/>
    <n v="54"/>
  </r>
  <r>
    <n v="433"/>
    <x v="1"/>
    <x v="27"/>
    <s v="eth1/26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26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26"/>
    <x v="0"/>
    <x v="0"/>
    <x v="0"/>
    <s v="TO-ITHHDSVSP55003599-Prinicipal"/>
    <x v="1"/>
    <b v="0"/>
    <s v="No está en VPC"/>
    <n v="432"/>
    <s v="INTPG_ACC_432_1.26"/>
    <s v="ISEL-1.26"/>
    <n v="1"/>
    <s v="NO TIENE L3OUT"/>
    <n v="54"/>
    <n v="54"/>
  </r>
  <r>
    <n v="442"/>
    <x v="1"/>
    <x v="30"/>
    <s v="eth1/26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26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26"/>
    <x v="0"/>
    <x v="1"/>
    <x v="3"/>
    <s v="CEM_HADOOP"/>
    <x v="0"/>
    <b v="0"/>
    <s v="No está en VPC"/>
    <n v="707"/>
    <s v="INTPG_ACC_707_1.26"/>
    <s v="ISEL-1.26"/>
    <n v="1"/>
    <s v="NO TIENE L3OUT"/>
    <n v="54"/>
    <n v="54"/>
  </r>
  <r>
    <n v="712"/>
    <x v="2"/>
    <x v="33"/>
    <s v="eth1/26"/>
    <x v="1"/>
    <x v="1"/>
    <x v="3"/>
    <s v="CEM:ITHCEMA2ADT13:LOM  P2"/>
    <x v="0"/>
    <b v="0"/>
    <s v="No está en VPC"/>
    <n v="712"/>
    <s v="INTPG_VPC_713_1.25_712_1.26"/>
    <s v="ISEL-1.26"/>
    <n v="0"/>
    <s v="NO TIENE L3OUT"/>
    <n v="32"/>
    <n v="54"/>
  </r>
  <r>
    <n v="719"/>
    <x v="2"/>
    <x v="34"/>
    <s v="eth1/26"/>
    <x v="0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26"/>
    <x v="0"/>
    <x v="1"/>
    <x v="1"/>
    <m/>
    <x v="0"/>
    <b v="0"/>
    <s v="No está en VPC"/>
    <n v="715"/>
    <s v="INTPG-VPC_KFK05_716_1.25_715_1.26"/>
    <s v="ISEL-1.26"/>
    <n v="1"/>
    <s v="NO TIENE L3OUT"/>
    <n v="0"/>
    <n v="54"/>
  </r>
  <r>
    <n v="427"/>
    <x v="1"/>
    <x v="36"/>
    <s v="eth1/26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26"/>
    <x v="0"/>
    <x v="1"/>
    <x v="5"/>
    <s v="CEM:ITHCEMD2ADT13:LOM  P2"/>
    <x v="0"/>
    <b v="0"/>
    <s v="No está en VPC"/>
    <n v="711"/>
    <s v="INTPG_VPC_710_1.25_711_1.26"/>
    <s v="ISEL-1.26"/>
    <n v="1"/>
    <s v="NO TIENE L3OUT"/>
    <n v="16"/>
    <n v="54"/>
  </r>
  <r>
    <n v="716"/>
    <x v="2"/>
    <x v="38"/>
    <s v="eth1/26"/>
    <x v="0"/>
    <x v="0"/>
    <x v="0"/>
    <m/>
    <x v="0"/>
    <b v="0"/>
    <s v="No está en VPC"/>
    <n v="716"/>
    <s v="INTPG-VPC_ZKP03_715_1.25_716_1.26"/>
    <s v="ISEL-1.26"/>
    <n v="1"/>
    <s v="NO TIENE L3OUT"/>
    <n v="0"/>
    <n v="54"/>
  </r>
  <r>
    <n v="702"/>
    <x v="2"/>
    <x v="39"/>
    <s v="eth1/26"/>
    <x v="0"/>
    <x v="1"/>
    <x v="5"/>
    <m/>
    <x v="0"/>
    <b v="0"/>
    <s v="No está en VPC"/>
    <n v="702"/>
    <s v="INTPG_VPC_701_1.25_702_1.26"/>
    <s v="ISEL-1.26"/>
    <n v="1"/>
    <s v="NO TIENE L3OUT"/>
    <n v="0"/>
    <n v="54"/>
  </r>
  <r>
    <n v="435"/>
    <x v="1"/>
    <x v="40"/>
    <s v="eth1/26"/>
    <x v="0"/>
    <x v="1"/>
    <x v="1"/>
    <s v="TO-POC_FORTIGATE-PRINCIPAL"/>
    <x v="1"/>
    <b v="0"/>
    <s v="No está en VPC"/>
    <n v="435"/>
    <s v="INTPG_ACC_435_1.26"/>
    <s v="ISEL-1.26"/>
    <n v="1"/>
    <s v="NO TIENE L3OUT"/>
    <n v="34"/>
    <n v="54"/>
  </r>
  <r>
    <n v="446"/>
    <x v="1"/>
    <x v="41"/>
    <s v="eth1/26"/>
    <x v="0"/>
    <x v="0"/>
    <x v="0"/>
    <s v="TO-ITHFDLMCLWLCN04"/>
    <x v="0"/>
    <b v="0"/>
    <s v="No está en VPC"/>
    <n v="446"/>
    <s v="INTPG_VPC_446_1.26_444_1.27"/>
    <s v="ISEL-1.26"/>
    <n v="3"/>
    <s v="NO TIENE L3OUT"/>
    <n v="198"/>
    <n v="54"/>
  </r>
  <r>
    <n v="444"/>
    <x v="1"/>
    <x v="42"/>
    <s v="eth1/26"/>
    <x v="0"/>
    <x v="0"/>
    <x v="0"/>
    <s v="TO-ITHFDLMCLWLCN03"/>
    <x v="0"/>
    <b v="0"/>
    <s v="No está en VPC"/>
    <n v="444"/>
    <s v="INTPG_VPC_446_1.25_444_1.26"/>
    <s v="ISEL-1.26"/>
    <n v="1"/>
    <s v="NO TIENE L3OUT"/>
    <n v="234"/>
    <n v="54"/>
  </r>
  <r>
    <n v="701"/>
    <x v="2"/>
    <x v="43"/>
    <s v="eth1/26"/>
    <x v="0"/>
    <x v="0"/>
    <x v="0"/>
    <m/>
    <x v="0"/>
    <b v="0"/>
    <s v="No está en VPC"/>
    <n v="701"/>
    <s v="INTPG_VPC_702_1.25_701_1.26"/>
    <s v="ISEL-1.26"/>
    <n v="1"/>
    <s v="NO TIENE L3OUT"/>
    <n v="0"/>
    <n v="54"/>
  </r>
  <r>
    <n v="440"/>
    <x v="1"/>
    <x v="44"/>
    <s v="eth1/26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26"/>
    <x v="0"/>
    <x v="0"/>
    <x v="0"/>
    <s v="ZTE_EDR"/>
    <x v="0"/>
    <b v="0"/>
    <s v="No está en VPC"/>
    <n v="448"/>
    <s v="INTPG_VPC_431_1.26-27_448_1.26-27"/>
    <s v="ISEL-1.26"/>
    <n v="2"/>
    <s v="NO TIENE L3OUT"/>
    <n v="46"/>
    <n v="54"/>
  </r>
  <r>
    <n v="704"/>
    <x v="2"/>
    <x v="46"/>
    <s v="eth1/26"/>
    <x v="0"/>
    <x v="0"/>
    <x v="0"/>
    <m/>
    <x v="0"/>
    <b v="0"/>
    <s v="No está en VPC"/>
    <n v="704"/>
    <s v="INTPG_VPC_703_1.25_704_1.26"/>
    <s v="ISEL-1.26"/>
    <n v="1"/>
    <s v="NO TIENE L3OUT"/>
    <n v="0"/>
    <n v="54"/>
  </r>
  <r>
    <n v="729"/>
    <x v="2"/>
    <x v="47"/>
    <s v="eth1/26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26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26"/>
    <x v="0"/>
    <x v="0"/>
    <x v="0"/>
    <s v="TO-ITHFORZDLRXCTL02-PCIe-3-P2"/>
    <x v="4"/>
    <b v="0"/>
    <s v="No está en VPC"/>
    <n v="456"/>
    <s v="INTPG_ACC_456_1.26"/>
    <s v="ISEL-1.26"/>
    <n v="1"/>
    <s v="NO TIENE L3OUT"/>
    <n v="4"/>
    <n v="54"/>
  </r>
  <r>
    <n v="603"/>
    <x v="1"/>
    <x v="50"/>
    <s v="eth1/26"/>
    <x v="0"/>
    <x v="1"/>
    <x v="3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26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26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26"/>
    <x v="0"/>
    <x v="0"/>
    <x v="0"/>
    <s v="Server_Pre-R02-RH2288-01"/>
    <x v="0"/>
    <b v="0"/>
    <s v="No está en VPC"/>
    <n v="730"/>
    <s v="INTPG_ACC_730_1.26"/>
    <s v="ISEL-1.26"/>
    <n v="1"/>
    <s v="NO TIENE L3OUT"/>
    <n v="36"/>
    <n v="54"/>
  </r>
  <r>
    <n v="722"/>
    <x v="2"/>
    <x v="54"/>
    <s v="eth1/26"/>
    <x v="0"/>
    <x v="1"/>
    <x v="1"/>
    <m/>
    <x v="0"/>
    <b v="0"/>
    <s v="No está en VPC"/>
    <n v="722"/>
    <s v="INTPG-VPC_SLR19_723_1.25_722_1.26"/>
    <s v="ISEL-1.26"/>
    <n v="1"/>
    <s v="NO TIENE L3OUT"/>
    <n v="0"/>
    <n v="54"/>
  </r>
  <r>
    <n v="733"/>
    <x v="2"/>
    <x v="55"/>
    <s v="eth1/26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26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26"/>
    <x v="0"/>
    <x v="0"/>
    <x v="0"/>
    <m/>
    <x v="0"/>
    <b v="0"/>
    <s v="No está en VPC"/>
    <n v="748"/>
    <s v="INTPG_ACC_748_1.26"/>
    <s v="ISEL-1.26"/>
    <n v="0"/>
    <s v="NO TIENE L3OUT"/>
    <n v="2"/>
    <n v="54"/>
  </r>
  <r>
    <n v="756"/>
    <x v="2"/>
    <x v="58"/>
    <s v="eth1/26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26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26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26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26"/>
    <x v="0"/>
    <x v="0"/>
    <x v="0"/>
    <s v="CEM:ITHCEMB2ADT13:SLOT1 P1"/>
    <x v="5"/>
    <b v="0"/>
    <s v="No está en VPC"/>
    <n v="742"/>
    <s v="INTPG_ACC_742_1.26"/>
    <s v="ISEL-1.26"/>
    <n v="1"/>
    <s v="NO TIENE L3OUT"/>
    <n v="64"/>
    <n v="54"/>
  </r>
  <r>
    <n v="763"/>
    <x v="2"/>
    <x v="63"/>
    <s v="eth1/26"/>
    <x v="0"/>
    <x v="0"/>
    <x v="0"/>
    <s v="GESTION-COGENERACION"/>
    <x v="0"/>
    <b v="0"/>
    <s v="No está en VPC"/>
    <n v="763"/>
    <s v="INTPG_ACC_763_1.26"/>
    <s v="ISEL-1.26"/>
    <n v="1"/>
    <s v="NO TIENE L3OUT"/>
    <n v="2"/>
    <n v="54"/>
  </r>
  <r>
    <n v="766"/>
    <x v="2"/>
    <x v="64"/>
    <s v="eth1/26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26"/>
    <x v="1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26"/>
    <x v="0"/>
    <x v="1"/>
    <x v="3"/>
    <s v="PAAS:ithhwosstpap001:LOM PORT 1"/>
    <x v="0"/>
    <b v="0"/>
    <s v="No está en VPC"/>
    <n v="752"/>
    <s v="INTPG_VPC_747_1.16_752_1.26"/>
    <s v="ISEL-1.26"/>
    <n v="0"/>
    <s v="NO TIENE L3OUT"/>
    <n v="0"/>
    <n v="54"/>
  </r>
  <r>
    <n v="765"/>
    <x v="2"/>
    <x v="67"/>
    <s v="eth1/26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26"/>
    <x v="0"/>
    <x v="0"/>
    <x v="0"/>
    <s v="CLOUD OPS:ithhwcop01en01:1E P2"/>
    <x v="0"/>
    <b v="0"/>
    <s v="No está en VPC"/>
    <n v="778"/>
    <s v="INTPG_VPC_778_1.25-26_31-32_779_1.25-26_31-32"/>
    <s v="ISEL-1.26"/>
    <n v="24"/>
    <s v="NO TIENE L3OUT"/>
    <n v="26"/>
    <n v="54"/>
  </r>
  <r>
    <n v="780"/>
    <x v="2"/>
    <x v="69"/>
    <s v="eth1/26"/>
    <x v="0"/>
    <x v="0"/>
    <x v="0"/>
    <s v="CLOUD OPS:ithhwcop02en01:4E P1"/>
    <x v="0"/>
    <b v="0"/>
    <s v="No está en VPC"/>
    <n v="780"/>
    <s v="INTPG_VPC_780_1.20-21_26-27_781_1.20-21_26-27"/>
    <s v="ISEL-1.26"/>
    <n v="23"/>
    <s v="NO TIENE L3OUT"/>
    <n v="26"/>
    <n v="54"/>
  </r>
  <r>
    <n v="812"/>
    <x v="2"/>
    <x v="70"/>
    <s v="eth1/26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26"/>
    <x v="0"/>
    <x v="0"/>
    <x v="0"/>
    <s v="TO-ITHFHWDCIMLAP02-Redundante"/>
    <x v="0"/>
    <b v="0"/>
    <s v="No está en VPC"/>
    <n v="796"/>
    <s v="INTPG_ACC_796_1.26"/>
    <s v="ISEL-1.26"/>
    <n v="1"/>
    <s v="NO TIENE L3OUT"/>
    <n v="18"/>
    <n v="54"/>
  </r>
  <r>
    <n v="795"/>
    <x v="2"/>
    <x v="72"/>
    <s v="eth1/26"/>
    <x v="0"/>
    <x v="0"/>
    <x v="0"/>
    <s v="TO-ITHFHWDCIMLAP02-Principal"/>
    <x v="0"/>
    <b v="0"/>
    <s v="No está en VPC"/>
    <n v="795"/>
    <s v="INTPG_ACC_795_1.26"/>
    <s v="ISEL-1.26"/>
    <n v="1"/>
    <s v="NO TIENE L3OUT"/>
    <n v="18"/>
    <n v="54"/>
  </r>
  <r>
    <n v="749"/>
    <x v="2"/>
    <x v="73"/>
    <s v="eth1/26"/>
    <x v="0"/>
    <x v="0"/>
    <x v="0"/>
    <m/>
    <x v="0"/>
    <b v="0"/>
    <s v="No está en VPC"/>
    <n v="749"/>
    <s v="INTPG_ACC_749_1.26"/>
    <s v="ISEL-1.26"/>
    <n v="0"/>
    <s v="NO TIENE L3OUT"/>
    <n v="4"/>
    <n v="54"/>
  </r>
  <r>
    <n v="824"/>
    <x v="2"/>
    <x v="74"/>
    <s v="eth1/26"/>
    <x v="0"/>
    <x v="0"/>
    <x v="0"/>
    <s v="LINK_TO_ITHFHWCMVWPMA14 /Slot7.2 /Redundante"/>
    <x v="0"/>
    <b v="0"/>
    <s v="No está en VPC"/>
    <n v="824"/>
    <s v="INTPG_ACC_824_1.26"/>
    <s v="ISEL-1.26"/>
    <n v="1"/>
    <s v="NO TIENE L3OUT"/>
    <n v="70"/>
    <n v="54"/>
  </r>
  <r>
    <n v="819"/>
    <x v="2"/>
    <x v="75"/>
    <s v="eth1/26"/>
    <x v="0"/>
    <x v="0"/>
    <x v="0"/>
    <s v="LINK_TO_ITHFHWCMVWPMA14 /Slot5.2 /Principal"/>
    <x v="0"/>
    <b v="0"/>
    <s v="No está en VPC"/>
    <n v="819"/>
    <s v="INTPG_ACC_819_1.26"/>
    <s v="ISEL-1.26"/>
    <n v="1"/>
    <s v="NO TIENE L3OUT"/>
    <n v="70"/>
    <n v="54"/>
  </r>
  <r>
    <n v="737"/>
    <x v="2"/>
    <x v="76"/>
    <s v="eth1/26"/>
    <x v="0"/>
    <x v="0"/>
    <x v="0"/>
    <s v="CEM:ITHCEME2KFK13:SLOT1 P1"/>
    <x v="5"/>
    <b v="0"/>
    <s v="No está en VPC"/>
    <n v="737"/>
    <s v="INTPG_ACC_737_1.26"/>
    <s v="ISEL-1.26"/>
    <n v="1"/>
    <s v="NO TIENE L3OUT"/>
    <n v="72"/>
    <n v="54"/>
  </r>
  <r>
    <n v="844"/>
    <x v="2"/>
    <x v="77"/>
    <s v="eth1/26"/>
    <x v="0"/>
    <x v="0"/>
    <x v="0"/>
    <s v="LINK_TO_ITHFHWCRMPLCN109 / Slot1.2_22 / Principal"/>
    <x v="0"/>
    <b v="0"/>
    <s v="No está en VPC"/>
    <n v="844"/>
    <s v="INTPG_ACC_844_1.26"/>
    <s v="ISEL-1.26"/>
    <n v="2"/>
    <s v="NO TIENE L3OUT"/>
    <n v="282"/>
    <n v="54"/>
  </r>
  <r>
    <n v="843"/>
    <x v="2"/>
    <x v="78"/>
    <s v="eth1/26"/>
    <x v="0"/>
    <x v="0"/>
    <x v="0"/>
    <s v="LINK_To_ITHFHWCBSPSWR43 / Slot7.3_30 / Redundante"/>
    <x v="0"/>
    <b v="0"/>
    <s v="No está en VPC"/>
    <n v="843"/>
    <s v="INTPG_VPC_838_1.26_843_1.26"/>
    <s v="ISEL-1.26"/>
    <n v="1"/>
    <s v="NO TIENE L3OUT"/>
    <n v="38"/>
    <n v="54"/>
  </r>
  <r>
    <n v="797"/>
    <x v="2"/>
    <x v="79"/>
    <s v="eth1/26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26"/>
    <x v="0"/>
    <x v="0"/>
    <x v="0"/>
    <s v="LINK_TO_ITHFHWCBSPSHD38 / Slot7.2_14 / Redundante"/>
    <x v="0"/>
    <b v="0"/>
    <s v="No está en VPC"/>
    <n v="839"/>
    <s v="INTPG_VPC_834_1.26_839_1.26"/>
    <s v="ISEL-1.26"/>
    <n v="1"/>
    <s v="NO TIENE L3OUT"/>
    <n v="0"/>
    <n v="54"/>
  </r>
  <r>
    <n v="847"/>
    <x v="2"/>
    <x v="81"/>
    <s v="eth1/26"/>
    <x v="0"/>
    <x v="0"/>
    <x v="0"/>
    <s v="LINK_TO_ITHFHWCRMPLCN174 / Slot7.1_18 / Redundante"/>
    <x v="0"/>
    <b v="0"/>
    <s v="No está en VPC"/>
    <n v="847"/>
    <s v="INTPG_ACC_847_1.26"/>
    <s v="ISEL-1.26"/>
    <n v="6"/>
    <s v="NO TIENE L3OUT"/>
    <n v="204"/>
    <n v="54"/>
  </r>
  <r>
    <n v="848"/>
    <x v="2"/>
    <x v="82"/>
    <s v="eth1/26"/>
    <x v="0"/>
    <x v="0"/>
    <x v="0"/>
    <s v="LINK_TO_ITHFHWCRMPLCN163 / Slot7.1_28 / Redundante"/>
    <x v="0"/>
    <b v="0"/>
    <s v="No está en VPC"/>
    <n v="848"/>
    <s v="INTPG_ACC_848_1.26"/>
    <s v="ISEL-1.26"/>
    <n v="6"/>
    <s v="NO TIENE L3OUT"/>
    <n v="254"/>
    <n v="54"/>
  </r>
  <r>
    <n v="846"/>
    <x v="2"/>
    <x v="83"/>
    <s v="eth1/26"/>
    <x v="0"/>
    <x v="0"/>
    <x v="0"/>
    <s v="LINK_TO_ITHFHWCRMPLCN80 / Slot1.2_18 / Principal"/>
    <x v="0"/>
    <b v="0"/>
    <s v="No está en VPC"/>
    <n v="846"/>
    <s v="INTPG_ACC_846_1.26"/>
    <s v="ISEL-1.26"/>
    <n v="2"/>
    <s v="NO TIENE L3OUT"/>
    <n v="242"/>
    <n v="54"/>
  </r>
  <r>
    <n v="838"/>
    <x v="2"/>
    <x v="84"/>
    <s v="eth1/26"/>
    <x v="0"/>
    <x v="0"/>
    <x v="0"/>
    <s v="LINK_To_ITHFHWCBSPSWR43 / Slot1.3_30 / Principal"/>
    <x v="0"/>
    <b v="0"/>
    <s v="No está en VPC"/>
    <n v="838"/>
    <s v="INTPG_VPC_838_1.26_843_1.26"/>
    <s v="ISEL-1.26"/>
    <n v="1"/>
    <s v="NO TIENE L3OUT"/>
    <n v="38"/>
    <n v="54"/>
  </r>
  <r>
    <n v="849"/>
    <x v="2"/>
    <x v="85"/>
    <s v="eth1/26"/>
    <x v="0"/>
    <x v="0"/>
    <x v="0"/>
    <s v="LINK_TO_ITHFHWCRMPLCN143 / Slot7.1_20 / Redundante"/>
    <x v="0"/>
    <b v="0"/>
    <s v="No está en VPC"/>
    <n v="849"/>
    <s v="INTPG_ACC_849_1.26"/>
    <s v="ISEL-1.26"/>
    <n v="6"/>
    <s v="NO TIENE L3OUT"/>
    <n v="286"/>
    <n v="54"/>
  </r>
  <r>
    <n v="845"/>
    <x v="2"/>
    <x v="86"/>
    <s v="eth1/26"/>
    <x v="0"/>
    <x v="0"/>
    <x v="0"/>
    <s v="LINK_TO_ITHFHWCRMPLCN92 / Slot1.3_16 / Principal"/>
    <x v="0"/>
    <b v="0"/>
    <s v="No está en VPC"/>
    <n v="845"/>
    <s v="INTPG_ACC_845_1.26"/>
    <s v="ISEL-1.26"/>
    <n v="1"/>
    <s v="NO TIENE L3OUT"/>
    <n v="258"/>
    <n v="54"/>
  </r>
  <r>
    <n v="873"/>
    <x v="2"/>
    <x v="87"/>
    <s v="eth1/26"/>
    <x v="0"/>
    <x v="0"/>
    <x v="0"/>
    <s v="TO_ITHFHWCRMDLCN61_Principal"/>
    <x v="0"/>
    <b v="0"/>
    <s v="No está en VPC"/>
    <n v="873"/>
    <s v="INTPG_ACC_873_1.26"/>
    <s v="ISEL-1.26"/>
    <n v="1"/>
    <s v="NO TIENE L3OUT"/>
    <n v="248"/>
    <n v="54"/>
  </r>
  <r>
    <n v="864"/>
    <x v="2"/>
    <x v="88"/>
    <s v="eth1/26"/>
    <x v="0"/>
    <x v="0"/>
    <x v="0"/>
    <s v="To_VPC_2DCBSD_WR44_2"/>
    <x v="0"/>
    <b v="0"/>
    <s v="No está en VPC"/>
    <n v="864"/>
    <s v="INTPG_VPC_859_1.26_864_1.26"/>
    <s v="ISEL-1.26"/>
    <n v="1"/>
    <s v="NO TIENE L3OUT"/>
    <n v="0"/>
    <n v="54"/>
  </r>
  <r>
    <n v="836"/>
    <x v="2"/>
    <x v="89"/>
    <s v="eth1/26"/>
    <x v="0"/>
    <x v="0"/>
    <x v="0"/>
    <s v="LINK_TO_ITHFHWCBSPSWR54 / Slot1.1_36 / Principal"/>
    <x v="0"/>
    <b v="0"/>
    <s v="No está en VPC"/>
    <n v="836"/>
    <s v="INTPG_VPC_836_1.26_841_1.26"/>
    <s v="ISEL-1.26"/>
    <n v="2"/>
    <s v="NO TIENE L3OUT"/>
    <n v="0"/>
    <n v="54"/>
  </r>
  <r>
    <n v="834"/>
    <x v="2"/>
    <x v="90"/>
    <s v="eth1/26"/>
    <x v="0"/>
    <x v="0"/>
    <x v="0"/>
    <s v="LINK_TO_ITHFHWCBSPSHD38 / Slot1.2_14 / Principal"/>
    <x v="0"/>
    <b v="0"/>
    <s v="No está en VPC"/>
    <n v="834"/>
    <s v="INTPG_VPC_834_1.26_839_1.26"/>
    <s v="ISEL-1.26"/>
    <n v="1"/>
    <s v="NO TIENE L3OUT"/>
    <n v="0"/>
    <n v="54"/>
  </r>
  <r>
    <n v="872"/>
    <x v="2"/>
    <x v="91"/>
    <s v="eth1/26"/>
    <x v="0"/>
    <x v="0"/>
    <x v="0"/>
    <s v="To_ITHFHWCRMDLCN77_Principal"/>
    <x v="0"/>
    <b v="0"/>
    <s v="No está en VPC"/>
    <n v="872"/>
    <s v="INTPG_ACC_872_1.26"/>
    <s v="ISEL-1.26"/>
    <n v="1"/>
    <s v="NO TIENE L3OUT"/>
    <n v="288"/>
    <n v="54"/>
  </r>
  <r>
    <n v="842"/>
    <x v="2"/>
    <x v="92"/>
    <s v="eth1/26"/>
    <x v="0"/>
    <x v="0"/>
    <x v="0"/>
    <s v="LINK_TO_ITHFHWCBSPSWR48 / Slot7.1_32 / Redundante"/>
    <x v="0"/>
    <b v="0"/>
    <s v="No está en VPC"/>
    <n v="842"/>
    <s v="INTPG_VPC_837_1.26_842_1.26"/>
    <s v="ISEL-1.26"/>
    <n v="2"/>
    <s v="NO TIENE L3OUT"/>
    <n v="8"/>
    <n v="54"/>
  </r>
  <r>
    <n v="828"/>
    <x v="2"/>
    <x v="93"/>
    <s v="eth1/26"/>
    <x v="0"/>
    <x v="0"/>
    <x v="0"/>
    <s v="LINK_TO_ITHFHWCRMDLCN24 /Slot5.2 /Principal"/>
    <x v="0"/>
    <b v="0"/>
    <s v="No está en VPC"/>
    <n v="828"/>
    <s v="INTPG_ACC_828_1.26"/>
    <s v="ISEL-1.26"/>
    <n v="5"/>
    <s v="NO TIENE L3OUT"/>
    <n v="192"/>
    <n v="54"/>
  </r>
  <r>
    <n v="870"/>
    <x v="2"/>
    <x v="94"/>
    <s v="eth1/26"/>
    <x v="0"/>
    <x v="0"/>
    <x v="0"/>
    <s v="TO_ITHFHWCRMDLCN61_Redundante"/>
    <x v="0"/>
    <b v="0"/>
    <s v="No está en VPC"/>
    <n v="870"/>
    <s v="INTPG_ACC_870_1.26"/>
    <s v="ISEL-1.26"/>
    <n v="1"/>
    <s v="NO TIENE L3OUT"/>
    <n v="248"/>
    <n v="54"/>
  </r>
  <r>
    <n v="866"/>
    <x v="2"/>
    <x v="95"/>
    <s v="eth1/26"/>
    <x v="0"/>
    <x v="0"/>
    <x v="0"/>
    <s v="To_VPC_2DCBSD_TL04_1"/>
    <x v="0"/>
    <b v="0"/>
    <s v="No está en VPC"/>
    <n v="866"/>
    <s v="INTPG_VPC_861_1.26_866_1.26"/>
    <s v="ISEL-1.26"/>
    <n v="2"/>
    <s v="NO TIENE L3OUT"/>
    <n v="8"/>
    <n v="54"/>
  </r>
  <r>
    <n v="862"/>
    <x v="2"/>
    <x v="96"/>
    <s v="eth1/26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26"/>
    <x v="0"/>
    <x v="0"/>
    <x v="0"/>
    <s v="LINK_TO_ITHFHWCRMPLCN163 / Slot1.1_28 / Principal"/>
    <x v="0"/>
    <b v="0"/>
    <s v="No está en VPC"/>
    <n v="855"/>
    <s v="INTPG_ACC_855_1.26"/>
    <s v="ISEL-1.26"/>
    <n v="6"/>
    <s v="NO TIENE L3OUT"/>
    <n v="254"/>
    <n v="54"/>
  </r>
  <r>
    <n v="871"/>
    <x v="2"/>
    <x v="98"/>
    <s v="eth1/26"/>
    <x v="0"/>
    <x v="0"/>
    <x v="0"/>
    <s v="To_VPC_2DCRMD_SBD11_2"/>
    <x v="0"/>
    <b v="0"/>
    <s v="No está en VPC"/>
    <n v="871"/>
    <s v="INTPG_VPC_868_1.26_871_1.26"/>
    <s v="ISEL-1.26"/>
    <n v="2"/>
    <s v="NO TIENE L3OUT"/>
    <n v="246"/>
    <n v="54"/>
  </r>
  <r>
    <n v="841"/>
    <x v="2"/>
    <x v="99"/>
    <s v="eth1/26"/>
    <x v="0"/>
    <x v="0"/>
    <x v="0"/>
    <s v="LINK_TO_ITHFHWCBSPSWR54 / Slot7.1_36 / Redundante"/>
    <x v="0"/>
    <b v="0"/>
    <s v="No está en VPC"/>
    <n v="841"/>
    <s v="INTPG_VPC_836_1.26_841_1.26"/>
    <s v="ISEL-1.26"/>
    <n v="2"/>
    <s v="NO TIENE L3OUT"/>
    <n v="0"/>
    <n v="54"/>
  </r>
  <r>
    <n v="868"/>
    <x v="2"/>
    <x v="100"/>
    <s v="eth1/26"/>
    <x v="0"/>
    <x v="0"/>
    <x v="0"/>
    <s v="To_VPC_2DCRMD_SBD11_2"/>
    <x v="0"/>
    <b v="0"/>
    <s v="No está en VPC"/>
    <n v="868"/>
    <s v="INTPG_VPC_868_1.26_871_1.26"/>
    <s v="ISEL-1.26"/>
    <n v="2"/>
    <s v="NO TIENE L3OUT"/>
    <n v="246"/>
    <n v="54"/>
  </r>
  <r>
    <n v="869"/>
    <x v="2"/>
    <x v="101"/>
    <s v="eth1/26"/>
    <x v="0"/>
    <x v="0"/>
    <x v="0"/>
    <s v="To_ITHFHWCRMDLCN77_Redundante"/>
    <x v="0"/>
    <b v="0"/>
    <s v="No está en VPC"/>
    <n v="869"/>
    <s v="INTPG_ACC_869_1.26"/>
    <s v="ISEL-1.26"/>
    <n v="1"/>
    <s v="NO TIENE L3OUT"/>
    <n v="288"/>
    <n v="54"/>
  </r>
  <r>
    <n v="861"/>
    <x v="2"/>
    <x v="102"/>
    <s v="eth1/26"/>
    <x v="0"/>
    <x v="0"/>
    <x v="0"/>
    <s v="To_VPC_2DCBSD_TL04_1"/>
    <x v="0"/>
    <b v="0"/>
    <s v="No está en VPC"/>
    <n v="861"/>
    <s v="INTPG_VPC_861_1.26_866_1.26"/>
    <s v="ISEL-1.26"/>
    <n v="2"/>
    <s v="NO TIENE L3OUT"/>
    <n v="8"/>
    <n v="54"/>
  </r>
  <r>
    <n v="874"/>
    <x v="2"/>
    <x v="103"/>
    <s v="eth1/26"/>
    <x v="0"/>
    <x v="0"/>
    <x v="0"/>
    <s v="A_ITHFHWSEQLCAS25_Redundante"/>
    <x v="4"/>
    <b v="0"/>
    <s v="No está en VPC"/>
    <n v="874"/>
    <s v="INTPG_ACC_874_1.26"/>
    <s v="ISEL-1.26"/>
    <n v="1"/>
    <s v="NO TIENE L3OUT"/>
    <n v="92"/>
    <n v="54"/>
  </r>
  <r>
    <n v="865"/>
    <x v="2"/>
    <x v="104"/>
    <s v="eth1/26"/>
    <x v="0"/>
    <x v="0"/>
    <x v="0"/>
    <s v="To_VPC_2DCBSD_TL05_2"/>
    <x v="0"/>
    <b v="0"/>
    <s v="No está en VPC"/>
    <n v="865"/>
    <s v="INTPG_VPC_860_1.26_865_1.26"/>
    <s v="ISEL-1.26"/>
    <n v="1"/>
    <s v="NO TIENE L3OUT"/>
    <n v="0"/>
    <n v="54"/>
  </r>
  <r>
    <n v="753"/>
    <x v="2"/>
    <x v="105"/>
    <s v="eth1/26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26"/>
    <x v="0"/>
    <x v="1"/>
    <x v="5"/>
    <s v="CEM:ITHCEME2KFK13:LOM  P2"/>
    <x v="0"/>
    <b v="0"/>
    <s v="No está en VPC"/>
    <n v="708"/>
    <s v="INTPG_VPC_708_1.26_709_1.25"/>
    <s v="ISEL-1.26"/>
    <n v="1"/>
    <s v="NO TIENE L3OUT"/>
    <n v="0"/>
    <n v="54"/>
  </r>
  <r>
    <n v="710"/>
    <x v="2"/>
    <x v="107"/>
    <s v="eth1/26"/>
    <x v="0"/>
    <x v="1"/>
    <x v="5"/>
    <s v="CEM:ITHCEMC2ADT13:LOM  P2"/>
    <x v="0"/>
    <b v="0"/>
    <s v="No está en VPC"/>
    <n v="710"/>
    <s v="INTPG_VPC_710_1.26_711_1.25"/>
    <s v="ISEL-1.26"/>
    <n v="1"/>
    <s v="NO TIENE L3OUT"/>
    <n v="16"/>
    <n v="54"/>
  </r>
  <r>
    <n v="713"/>
    <x v="2"/>
    <x v="108"/>
    <s v="eth1/26"/>
    <x v="0"/>
    <x v="1"/>
    <x v="5"/>
    <s v="CEM:ITHCEMB2ADT13:LOM  P2"/>
    <x v="0"/>
    <b v="0"/>
    <s v="No está en VPC"/>
    <n v="713"/>
    <s v="INTPG_VPC_712_1.25_713_1.26"/>
    <s v="ISEL-1.26"/>
    <n v="1"/>
    <s v="NO TIENE L3OUT"/>
    <n v="32"/>
    <n v="54"/>
  </r>
  <r>
    <n v="735"/>
    <x v="2"/>
    <x v="109"/>
    <s v="eth1/26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26"/>
    <x v="0"/>
    <x v="0"/>
    <x v="0"/>
    <s v="Server_Pre-R02-RH2288-01"/>
    <x v="0"/>
    <b v="0"/>
    <s v="No está en VPC"/>
    <n v="731"/>
    <s v="INTPG_ACC_731_1.26"/>
    <s v="ISEL-1.26"/>
    <n v="1"/>
    <s v="NO TIENE L3OUT"/>
    <n v="38"/>
    <n v="54"/>
  </r>
  <r>
    <n v="703"/>
    <x v="2"/>
    <x v="111"/>
    <s v="eth1/26"/>
    <x v="0"/>
    <x v="0"/>
    <x v="0"/>
    <m/>
    <x v="0"/>
    <b v="0"/>
    <s v="No está en VPC"/>
    <n v="703"/>
    <s v="INTPG_VPC_704_1.25_703_1.26"/>
    <s v="ISEL-1.26"/>
    <n v="1"/>
    <s v="NO TIENE L3OUT"/>
    <n v="2"/>
    <n v="54"/>
  </r>
  <r>
    <n v="706"/>
    <x v="2"/>
    <x v="112"/>
    <s v="eth1/26"/>
    <x v="0"/>
    <x v="0"/>
    <x v="0"/>
    <m/>
    <x v="0"/>
    <b v="0"/>
    <s v="No está en VPC"/>
    <n v="706"/>
    <s v="INTPG_VPC_705_1.25_706_1.26"/>
    <s v="ISEL-1.26"/>
    <n v="1"/>
    <s v="NO TIENE L3OUT"/>
    <n v="16"/>
    <n v="54"/>
  </r>
  <r>
    <n v="762"/>
    <x v="2"/>
    <x v="113"/>
    <s v="eth1/26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14"/>
    <x v="2"/>
    <x v="114"/>
    <s v="eth1/26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26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26"/>
    <x v="0"/>
    <x v="0"/>
    <x v="0"/>
    <s v="LINK_TO_ITHFHWCBSDSHD18 /10GE.1 /Principal"/>
    <x v="0"/>
    <b v="0"/>
    <s v="No está en VPC"/>
    <n v="826"/>
    <s v="INTPG_VPC_826_1.26_830_1.26"/>
    <s v="ISEL-1.26"/>
    <n v="1"/>
    <s v="NO TIENE L3OUT"/>
    <n v="12"/>
    <n v="54"/>
  </r>
  <r>
    <n v="726"/>
    <x v="2"/>
    <x v="117"/>
    <s v="eth1/26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26"/>
    <x v="0"/>
    <x v="0"/>
    <x v="0"/>
    <s v="CEM:ITHCEMD2ADT13:SLOT1 P1"/>
    <x v="5"/>
    <b v="0"/>
    <s v="No está en VPC"/>
    <n v="740"/>
    <s v="INTPG_ACC_740_1.26"/>
    <s v="ISEL-1.26"/>
    <n v="1"/>
    <s v="NO TIENE L3OUT"/>
    <n v="72"/>
    <n v="54"/>
  </r>
  <r>
    <n v="705"/>
    <x v="2"/>
    <x v="119"/>
    <s v="eth1/26"/>
    <x v="0"/>
    <x v="0"/>
    <x v="0"/>
    <m/>
    <x v="0"/>
    <b v="0"/>
    <s v="No está en VPC"/>
    <n v="705"/>
    <s v="INTPG_VPC_706_1.25_705_1.26"/>
    <s v="ISEL-1.26"/>
    <n v="1"/>
    <s v="NO TIENE L3OUT"/>
    <n v="16"/>
    <n v="54"/>
  </r>
  <r>
    <n v="723"/>
    <x v="2"/>
    <x v="120"/>
    <s v="eth1/26"/>
    <x v="0"/>
    <x v="0"/>
    <x v="0"/>
    <m/>
    <x v="0"/>
    <b v="0"/>
    <s v="No está en VPC"/>
    <n v="723"/>
    <s v="INTPG-VPC_HDD121_722_1.25_723_1.26"/>
    <s v="ISEL-1.26"/>
    <n v="1"/>
    <s v="NO TIENE L3OUT"/>
    <n v="0"/>
    <n v="54"/>
  </r>
  <r>
    <n v="721"/>
    <x v="2"/>
    <x v="121"/>
    <s v="eth1/26"/>
    <x v="0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26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26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26"/>
    <x v="0"/>
    <x v="1"/>
    <x v="1"/>
    <m/>
    <x v="0"/>
    <b v="0"/>
    <s v="No está en VPC"/>
    <n v="720"/>
    <s v="INTPG-VPC_ICB02_719_1.25_720_1.26"/>
    <s v="ISEL-1.26"/>
    <n v="1"/>
    <s v="NO TIENE L3OUT"/>
    <n v="0"/>
    <n v="54"/>
  </r>
  <r>
    <n v="709"/>
    <x v="2"/>
    <x v="125"/>
    <s v="eth1/26"/>
    <x v="0"/>
    <x v="1"/>
    <x v="5"/>
    <s v="CEM:ITHCEMF2KFK13:LOM  P2"/>
    <x v="0"/>
    <b v="0"/>
    <s v="No está en VPC"/>
    <n v="709"/>
    <s v="INTPG_VPC_708_1.25_709_1.26"/>
    <s v="ISEL-1.26"/>
    <n v="1"/>
    <s v="NO TIENE L3OUT"/>
    <n v="0"/>
    <n v="54"/>
  </r>
  <r>
    <n v="454"/>
    <x v="1"/>
    <x v="126"/>
    <s v="eth1/26"/>
    <x v="0"/>
    <x v="0"/>
    <x v="0"/>
    <s v="TO-ITHFORZDLRXCTL02-PCIe-3-P1"/>
    <x v="4"/>
    <b v="0"/>
    <s v="No está en VPC"/>
    <n v="454"/>
    <s v="INTPG_ACC_454_1.26"/>
    <s v="ISEL-1.26"/>
    <n v="1"/>
    <s v="NO TIENE L3OUT"/>
    <n v="4"/>
    <n v="54"/>
  </r>
  <r>
    <n v="734"/>
    <x v="2"/>
    <x v="127"/>
    <s v="eth1/26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26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26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26"/>
    <x v="0"/>
    <x v="1"/>
    <x v="1"/>
    <m/>
    <x v="0"/>
    <b v="0"/>
    <s v="No está en VPC"/>
    <n v="718"/>
    <s v="INTPG-VPC_KFK01_717_1.25_718_1.26"/>
    <s v="ISEL-1.26"/>
    <n v="1"/>
    <s v="NO TIENE L3OUT"/>
    <n v="0"/>
    <n v="54"/>
  </r>
  <r>
    <n v="744"/>
    <x v="2"/>
    <x v="131"/>
    <s v="eth1/26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26"/>
    <x v="0"/>
    <x v="1"/>
    <x v="1"/>
    <s v="CEM:ITHCEMA2ADT13:SLOT1 P1"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26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26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26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26"/>
    <x v="0"/>
    <x v="1"/>
    <x v="3"/>
    <s v="CEM_HADOOP"/>
    <x v="0"/>
    <b v="0"/>
    <s v="No está en VPC"/>
    <n v="736"/>
    <s v="INTPG_ACC_736_1.26"/>
    <s v="ISEL-1.26"/>
    <n v="1"/>
    <s v="NO TIENE L3OUT"/>
    <n v="48"/>
    <n v="54"/>
  </r>
  <r>
    <n v="799"/>
    <x v="2"/>
    <x v="137"/>
    <s v="eth1/26"/>
    <x v="0"/>
    <x v="0"/>
    <x v="0"/>
    <s v="TO-IMC_PS14-MSP"/>
    <x v="0"/>
    <b v="0"/>
    <s v="No está en VPC"/>
    <n v="799"/>
    <s v="INTPG_ACC_799_1.26"/>
    <s v="ISEL-1.26"/>
    <n v="1"/>
    <s v="NO TIENE L3OUT"/>
    <n v="52"/>
    <n v="54"/>
  </r>
  <r>
    <n v="768"/>
    <x v="2"/>
    <x v="138"/>
    <s v="eth1/26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26"/>
    <x v="0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26"/>
    <x v="0"/>
    <x v="0"/>
    <x v="0"/>
    <m/>
    <x v="0"/>
    <b v="0"/>
    <s v="No está en VPC"/>
    <n v="717"/>
    <s v="INTPG-VPC_GWN01_718_1.25_717_1.26"/>
    <s v="ISEL-1.26"/>
    <n v="1"/>
    <s v="NO TIENE L3OUT"/>
    <n v="0"/>
    <n v="54"/>
  </r>
  <r>
    <n v="789"/>
    <x v="2"/>
    <x v="141"/>
    <s v="eth1/26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26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26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26"/>
    <x v="0"/>
    <x v="0"/>
    <x v="0"/>
    <s v="CLOUD PAAS PAYG F2:Ithhwvm1dch1:slot 2x/Pto 2"/>
    <x v="0"/>
    <b v="0"/>
    <s v="No está en VPC"/>
    <n v="774"/>
    <s v="INTPG_VPC_774_1.25-28_775_1.29-32"/>
    <s v="ISEL-1.26"/>
    <n v="152"/>
    <s v="NO TIENE L3OUT"/>
    <n v="0"/>
    <n v="54"/>
  </r>
  <r>
    <n v="773"/>
    <x v="2"/>
    <x v="145"/>
    <s v="eth1/26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26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26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26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26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26"/>
    <x v="0"/>
    <x v="0"/>
    <x v="0"/>
    <s v="CLOUD OPS:ithhwcop02en01:4E P3"/>
    <x v="0"/>
    <b v="0"/>
    <s v="No está en VPC"/>
    <n v="781"/>
    <s v="INTPG_VPC_780_1.20-21_26-27_781_1.20-21_26-27"/>
    <s v="ISEL-1.26"/>
    <n v="23"/>
    <s v="NO TIENE L3OUT"/>
    <n v="26"/>
    <n v="54"/>
  </r>
  <r>
    <n v="793"/>
    <x v="2"/>
    <x v="151"/>
    <s v="eth1/26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26"/>
    <x v="0"/>
    <x v="0"/>
    <x v="0"/>
    <s v="PAAS:ithhwosstpap001:Slot4.2"/>
    <x v="0"/>
    <b v="0"/>
    <s v="No está en VPC"/>
    <n v="747"/>
    <s v="INTPG_VPC_747_1.26_752_1.16"/>
    <s v="ISEL-1.26"/>
    <n v="25"/>
    <s v="NO TIENE L3OUT"/>
    <n v="0"/>
    <n v="54"/>
  </r>
  <r>
    <n v="784"/>
    <x v="2"/>
    <x v="153"/>
    <s v="eth1/26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26"/>
    <x v="0"/>
    <x v="0"/>
    <x v="0"/>
    <m/>
    <x v="0"/>
    <b v="0"/>
    <s v="No está en VPC"/>
    <n v="806"/>
    <s v="INTPG_PC_806_1.23-26"/>
    <s v="ISEL-1.26"/>
    <n v="0"/>
    <s v="L3OUT-OCS-RED-SIG-IP"/>
    <n v="44"/>
    <n v="54"/>
  </r>
  <r>
    <n v="777"/>
    <x v="2"/>
    <x v="155"/>
    <s v="eth1/26"/>
    <x v="0"/>
    <x v="0"/>
    <x v="0"/>
    <s v="CLOUD PAAS PAYG F2:Ithhwvm1ach1:slot 2x/Pto 2"/>
    <x v="0"/>
    <b v="0"/>
    <s v="No está en VPC"/>
    <n v="777"/>
    <s v="INTPG_VPC_776_1.29-32_777_1.25-28"/>
    <s v="ISEL-1.26"/>
    <n v="93"/>
    <s v="NO TIENE L3OUT"/>
    <n v="0"/>
    <n v="54"/>
  </r>
  <r>
    <n v="770"/>
    <x v="2"/>
    <x v="156"/>
    <s v="eth1/26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26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26"/>
    <x v="0"/>
    <x v="0"/>
    <x v="0"/>
    <s v="CEM:ITHCEMC2ADT13:SLOT1 P1"/>
    <x v="5"/>
    <b v="0"/>
    <s v="No está en VPC"/>
    <n v="739"/>
    <s v="INTPG_ACC_739_1.26"/>
    <s v="ISEL-1.26"/>
    <n v="1"/>
    <s v="NO TIENE L3OUT"/>
    <n v="72"/>
    <n v="54"/>
  </r>
  <r>
    <n v="775"/>
    <x v="2"/>
    <x v="159"/>
    <s v="eth1/26"/>
    <x v="0"/>
    <x v="0"/>
    <x v="0"/>
    <s v="CLOUD PAAS PAYG F2:Ithhwvm1cch1:slot 2x/Pto 2"/>
    <x v="0"/>
    <b v="0"/>
    <s v="No está en VPC"/>
    <n v="775"/>
    <s v="INTPG_VPC_774_1.29-32_775_1.25-28"/>
    <s v="ISEL-1.26"/>
    <n v="169"/>
    <s v="NO TIENE L3OUT"/>
    <n v="0"/>
    <n v="54"/>
  </r>
  <r>
    <n v="791"/>
    <x v="2"/>
    <x v="160"/>
    <s v="eth1/26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26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26"/>
    <x v="0"/>
    <x v="0"/>
    <x v="0"/>
    <s v="LINK_TO_ITHFHWCBSDSHD18 /Slot5.1 /Redundante"/>
    <x v="0"/>
    <b v="0"/>
    <s v="No está en VPC"/>
    <n v="830"/>
    <s v="INTPG_VPC_826_1.26_830_1.26"/>
    <s v="ISEL-1.26"/>
    <n v="1"/>
    <s v="NO TIENE L3OUT"/>
    <n v="12"/>
    <n v="54"/>
  </r>
  <r>
    <n v="821"/>
    <x v="2"/>
    <x v="163"/>
    <s v="eth1/26"/>
    <x v="0"/>
    <x v="0"/>
    <x v="0"/>
    <s v="LINK_TO_ITHFHWCBSPSHD18 /Slot5.1 /Redundante"/>
    <x v="0"/>
    <b v="0"/>
    <s v="No está en VPC"/>
    <n v="821"/>
    <s v="INTPG_VPC_816_1.26_821_1.26"/>
    <s v="ISEL-1.26"/>
    <n v="1"/>
    <s v="NO TIENE L3OUT"/>
    <n v="0"/>
    <n v="54"/>
  </r>
  <r>
    <n v="738"/>
    <x v="2"/>
    <x v="164"/>
    <s v="eth1/26"/>
    <x v="0"/>
    <x v="0"/>
    <x v="0"/>
    <s v="CEM:ITHCEMF2KFK13:SLOT1 P1"/>
    <x v="5"/>
    <b v="0"/>
    <s v="No está en VPC"/>
    <n v="738"/>
    <s v="INTPG_ACC_738_1.26"/>
    <s v="ISEL-1.26"/>
    <n v="1"/>
    <s v="NO TIENE L3OUT"/>
    <n v="72"/>
    <n v="54"/>
  </r>
  <r>
    <n v="820"/>
    <x v="2"/>
    <x v="165"/>
    <s v="eth1/26"/>
    <x v="0"/>
    <x v="0"/>
    <x v="0"/>
    <s v="LINKT_TO_ITHFHWCRMPLCN133 / Slot7.2_36 / Redundante"/>
    <x v="0"/>
    <b v="0"/>
    <s v="No está en VPC"/>
    <n v="820"/>
    <s v="INTPG_ACC_820_1.26"/>
    <s v="ISEL-1.26"/>
    <n v="2"/>
    <s v="NO TIENE L3OUT"/>
    <n v="72"/>
    <n v="54"/>
  </r>
  <r>
    <n v="804"/>
    <x v="2"/>
    <x v="166"/>
    <s v="eth1/26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26"/>
    <x v="0"/>
    <x v="0"/>
    <x v="0"/>
    <s v="CLOUD OPS:ithhwcop01en01:1E P4"/>
    <x v="0"/>
    <b v="0"/>
    <s v="No está en VPC"/>
    <n v="779"/>
    <s v="INTPG_VPC_778_1.25-26_31-32_779_1.25-26_31-32"/>
    <s v="ISEL-1.26"/>
    <n v="24"/>
    <s v="NO TIENE L3OUT"/>
    <n v="30"/>
    <n v="54"/>
  </r>
  <r>
    <n v="767"/>
    <x v="2"/>
    <x v="168"/>
    <s v="eth1/26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26"/>
    <x v="0"/>
    <x v="0"/>
    <x v="0"/>
    <s v="LINK_TO_ITHFHWCBSDSWR25 /Slot5.2 /Principal"/>
    <x v="0"/>
    <b v="0"/>
    <s v="No está en VPC"/>
    <n v="827"/>
    <s v="INTPG_VPC_827_1.26_831_1.26"/>
    <s v="ISEL-1.26"/>
    <n v="2"/>
    <s v="NO TIENE L3OUT"/>
    <n v="14"/>
    <n v="54"/>
  </r>
  <r>
    <n v="809"/>
    <x v="2"/>
    <x v="170"/>
    <s v="eth1/26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26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26"/>
    <x v="1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26"/>
    <x v="0"/>
    <x v="0"/>
    <x v="0"/>
    <s v="CLOUD PAAS PAYG F2:Ithhwvm1bch1:slot 2x/Pto 2"/>
    <x v="0"/>
    <b v="0"/>
    <s v="No está en VPC"/>
    <n v="776"/>
    <s v="INTPG_VPC_776_1.25-28_777_1.29-32"/>
    <s v="ISEL-1.26"/>
    <n v="90"/>
    <s v="NO TIENE L3OUT"/>
    <n v="0"/>
    <n v="54"/>
  </r>
  <r>
    <n v="805"/>
    <x v="2"/>
    <x v="174"/>
    <s v="eth1/26"/>
    <x v="0"/>
    <x v="0"/>
    <x v="0"/>
    <m/>
    <x v="0"/>
    <b v="0"/>
    <s v="No está en VPC"/>
    <n v="805"/>
    <s v="INTPG_PC_805_1.23-26"/>
    <s v="ISEL-1.26"/>
    <n v="0"/>
    <s v="L3OUT-OCS-RED-SIG-IP"/>
    <n v="44"/>
    <n v="54"/>
  </r>
  <r>
    <n v="772"/>
    <x v="2"/>
    <x v="175"/>
    <s v="eth1/26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26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26"/>
    <x v="0"/>
    <x v="0"/>
    <x v="0"/>
    <s v="LINK_TO_ITHFHWCRMPLCN109 / Slot7.2_22 / Redundante"/>
    <x v="0"/>
    <b v="0"/>
    <s v="No está en VPC"/>
    <n v="851"/>
    <s v="INTPG_ACC_851_1.26"/>
    <s v="ISEL-1.26"/>
    <n v="2"/>
    <s v="NO TIENE L3OUT"/>
    <n v="282"/>
    <n v="54"/>
  </r>
  <r>
    <n v="798"/>
    <x v="2"/>
    <x v="178"/>
    <s v="eth1/26"/>
    <x v="0"/>
    <x v="0"/>
    <x v="0"/>
    <s v="TO-IMC_PS14-MSP"/>
    <x v="0"/>
    <b v="0"/>
    <s v="No está en VPC"/>
    <n v="798"/>
    <s v="INTPG_ACC_798_1.26"/>
    <s v="ISEL-1.26"/>
    <n v="1"/>
    <s v="NO TIENE L3OUT"/>
    <n v="52"/>
    <n v="54"/>
  </r>
  <r>
    <n v="782"/>
    <x v="2"/>
    <x v="179"/>
    <s v="eth1/26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26"/>
    <x v="0"/>
    <x v="0"/>
    <x v="0"/>
    <s v="LINK_TO_ITHFHWCRMPLCN92 / Slot7.3_16 / Redundante"/>
    <x v="0"/>
    <b v="0"/>
    <s v="No está en VPC"/>
    <n v="852"/>
    <s v="INTPG_ACC_852_1.26"/>
    <s v="ISEL-1.26"/>
    <n v="1"/>
    <s v="NO TIENE L3OUT"/>
    <n v="258"/>
    <n v="54"/>
  </r>
  <r>
    <n v="817"/>
    <x v="2"/>
    <x v="181"/>
    <s v="eth1/26"/>
    <x v="0"/>
    <x v="0"/>
    <x v="0"/>
    <s v="LINK_TO_ITHFHWCBSPSUSBD18 /10GE.1 /Principal"/>
    <x v="0"/>
    <b v="0"/>
    <s v="No está en VPC"/>
    <n v="817"/>
    <s v="INTPG_VPC_817_1.26_822_1.26"/>
    <s v="ISEL-1.26"/>
    <n v="1"/>
    <s v="NO TIENE L3OUT"/>
    <n v="0"/>
    <n v="54"/>
  </r>
  <r>
    <n v="832"/>
    <x v="2"/>
    <x v="182"/>
    <s v="eth1/26"/>
    <x v="0"/>
    <x v="0"/>
    <x v="0"/>
    <s v="LINK_TO_ITHFHWCRMDLCN24 /Slot7.2 /Redundante"/>
    <x v="0"/>
    <b v="0"/>
    <s v="No está en VPC"/>
    <n v="832"/>
    <s v="INTPG_ACC_832_1.26"/>
    <s v="ISEL-1.26"/>
    <n v="5"/>
    <s v="NO TIENE L3OUT"/>
    <n v="192"/>
    <n v="54"/>
  </r>
  <r>
    <n v="816"/>
    <x v="2"/>
    <x v="183"/>
    <s v="eth1/26"/>
    <x v="0"/>
    <x v="0"/>
    <x v="0"/>
    <s v="LINK_TO_ITHFHWCBSPSHD18 /10GE.1 /Principal"/>
    <x v="0"/>
    <b v="0"/>
    <s v="No está en VPC"/>
    <n v="816"/>
    <s v="INTPG_VPC_816_1.26_821_1.26"/>
    <s v="ISEL-1.26"/>
    <n v="1"/>
    <s v="NO TIENE L3OUT"/>
    <n v="0"/>
    <n v="54"/>
  </r>
  <r>
    <n v="825"/>
    <x v="2"/>
    <x v="184"/>
    <s v="eth1/26"/>
    <x v="0"/>
    <x v="0"/>
    <x v="0"/>
    <s v="LINKT_TO_ITHFHWCRMPLCN133 / Slot1.2_36 / Principal"/>
    <x v="0"/>
    <b v="0"/>
    <s v="No está en VPC"/>
    <n v="825"/>
    <s v="INTPG_ACC_825_1.26"/>
    <s v="ISEL-1.26"/>
    <n v="2"/>
    <s v="NO TIENE L3OUT"/>
    <n v="72"/>
    <n v="54"/>
  </r>
  <r>
    <n v="800"/>
    <x v="2"/>
    <x v="185"/>
    <s v="eth1/26"/>
    <x v="0"/>
    <x v="0"/>
    <x v="0"/>
    <s v="TO-ITHFHWSEQLCAS06-MSP"/>
    <x v="0"/>
    <b v="0"/>
    <s v="No está en VPC"/>
    <n v="800"/>
    <s v="INTPG_ACC_800_1.26"/>
    <s v="ISEL-1.26"/>
    <n v="1"/>
    <s v="NO TIENE L3OUT"/>
    <n v="78"/>
    <n v="54"/>
  </r>
  <r>
    <n v="801"/>
    <x v="2"/>
    <x v="186"/>
    <s v="eth1/26"/>
    <x v="0"/>
    <x v="0"/>
    <x v="0"/>
    <s v="TO-ITHFHWSEQLCAS06-MSP"/>
    <x v="0"/>
    <b v="0"/>
    <s v="No está en VPC"/>
    <n v="801"/>
    <s v="INTPG_ACC_801_1.26"/>
    <s v="ISEL-1.26"/>
    <n v="1"/>
    <s v="NO TIENE L3OUT"/>
    <n v="78"/>
    <n v="54"/>
  </r>
  <r>
    <n v="823"/>
    <x v="2"/>
    <x v="187"/>
    <s v="eth1/26"/>
    <x v="0"/>
    <x v="0"/>
    <x v="0"/>
    <s v="LINK_TO_ITHFHWCBSPSWR33 /Slot7.2 /Redundante"/>
    <x v="0"/>
    <b v="0"/>
    <s v="No está en VPC"/>
    <n v="823"/>
    <s v="INTPG_VPC_818_1.26_823_1.26"/>
    <s v="ISEL-1.26"/>
    <n v="2"/>
    <s v="NO TIENE L3OUT"/>
    <n v="8"/>
    <n v="54"/>
  </r>
  <r>
    <n v="837"/>
    <x v="2"/>
    <x v="188"/>
    <s v="eth1/26"/>
    <x v="0"/>
    <x v="0"/>
    <x v="0"/>
    <s v="LINK_TO_ITHFHWCBSPSWR48 / Slot1.1_32 / Principal"/>
    <x v="0"/>
    <b v="0"/>
    <s v="No está en VPC"/>
    <n v="837"/>
    <s v="INTPG_VPC_837_1.26_842_1.26"/>
    <s v="ISEL-1.26"/>
    <n v="2"/>
    <s v="NO TIENE L3OUT"/>
    <n v="8"/>
    <n v="54"/>
  </r>
  <r>
    <n v="867"/>
    <x v="2"/>
    <x v="189"/>
    <s v="eth1/26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26"/>
    <x v="0"/>
    <x v="0"/>
    <x v="0"/>
    <s v="To_ITHFHWCRMDLCN43_Principal"/>
    <x v="0"/>
    <b v="0"/>
    <s v="No está en VPC"/>
    <n v="829"/>
    <s v="INTPG_ACC_829_1.26"/>
    <s v="ISEL-1.26"/>
    <n v="1"/>
    <s v="NO TIENE L3OUT"/>
    <n v="224"/>
    <n v="54"/>
  </r>
  <r>
    <n v="831"/>
    <x v="2"/>
    <x v="191"/>
    <s v="eth1/26"/>
    <x v="0"/>
    <x v="0"/>
    <x v="0"/>
    <s v="LINK_TO_ITHFHWCBSDSWR25 /Slot7.2 /Redundante"/>
    <x v="0"/>
    <b v="0"/>
    <s v="No está en VPC"/>
    <n v="831"/>
    <s v="INTPG_VPC_827_1.26_831_1.26"/>
    <s v="ISEL-1.26"/>
    <n v="2"/>
    <s v="NO TIENE L3OUT"/>
    <n v="14"/>
    <n v="54"/>
  </r>
  <r>
    <n v="802"/>
    <x v="2"/>
    <x v="192"/>
    <s v="eth1/26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26"/>
    <x v="0"/>
    <x v="0"/>
    <x v="0"/>
    <s v="LINK_TO_ITHFHWCBSPSHD31 / Slot1.1_14 / Principal"/>
    <x v="0"/>
    <b v="0"/>
    <s v="No está en VPC"/>
    <n v="835"/>
    <s v="INTPG_VPC_835_1.26_840_1.26"/>
    <s v="ISEL-1.26"/>
    <n v="2"/>
    <s v="NO TIENE L3OUT"/>
    <n v="8"/>
    <n v="54"/>
  </r>
  <r>
    <n v="822"/>
    <x v="2"/>
    <x v="194"/>
    <s v="eth1/26"/>
    <x v="0"/>
    <x v="0"/>
    <x v="0"/>
    <s v="LINK_TO_ITHFHWCBSPSUSBD18 /Slot5.1 /Redundante"/>
    <x v="0"/>
    <b v="0"/>
    <s v="No está en VPC"/>
    <n v="822"/>
    <s v="INTPG_VPC_817_1.26_822_1.26"/>
    <s v="ISEL-1.26"/>
    <n v="1"/>
    <s v="NO TIENE L3OUT"/>
    <n v="0"/>
    <n v="54"/>
  </r>
  <r>
    <n v="854"/>
    <x v="2"/>
    <x v="195"/>
    <s v="eth1/26"/>
    <x v="0"/>
    <x v="0"/>
    <x v="0"/>
    <s v="LINK_TO_ITHFHWCRMPLCN174 / Slot1.1_18 / Principal"/>
    <x v="0"/>
    <b v="0"/>
    <s v="No está en VPC"/>
    <n v="854"/>
    <s v="INTPG_ACC_854_1.26"/>
    <s v="ISEL-1.26"/>
    <n v="6"/>
    <s v="NO TIENE L3OUT"/>
    <n v="204"/>
    <n v="54"/>
  </r>
  <r>
    <n v="858"/>
    <x v="2"/>
    <x v="196"/>
    <s v="eth1/26"/>
    <x v="0"/>
    <x v="0"/>
    <x v="0"/>
    <s v="To_VPC_2DCBSD_HD45_2"/>
    <x v="0"/>
    <b v="0"/>
    <s v="No está en VPC"/>
    <n v="858"/>
    <s v="INTPG_VPC_858_1.26_863_1.26"/>
    <s v="ISEL-1.26"/>
    <n v="1"/>
    <s v="NO TIENE L3OUT"/>
    <n v="8"/>
    <n v="54"/>
  </r>
  <r>
    <n v="857"/>
    <x v="2"/>
    <x v="197"/>
    <s v="eth1/26"/>
    <x v="0"/>
    <x v="0"/>
    <x v="0"/>
    <s v="LINKT_TO_ITHFHWCRMPLCN124 / Slot1.1_18 / Principal"/>
    <x v="0"/>
    <b v="0"/>
    <s v="No está en VPC"/>
    <n v="857"/>
    <s v="INTPG_ACC_857_1.26"/>
    <s v="ISEL-1.26"/>
    <n v="6"/>
    <s v="NO TIENE L3OUT"/>
    <n v="288"/>
    <n v="54"/>
  </r>
  <r>
    <n v="859"/>
    <x v="2"/>
    <x v="198"/>
    <s v="eth1/26"/>
    <x v="0"/>
    <x v="0"/>
    <x v="0"/>
    <s v="To_VPC_2DCBSD_WR44_2"/>
    <x v="0"/>
    <b v="0"/>
    <s v="No está en VPC"/>
    <n v="859"/>
    <s v="INTPG_VPC_859_1.26_864_1.26"/>
    <s v="ISEL-1.26"/>
    <n v="1"/>
    <s v="NO TIENE L3OUT"/>
    <n v="0"/>
    <n v="54"/>
  </r>
  <r>
    <n v="833"/>
    <x v="2"/>
    <x v="199"/>
    <s v="eth1/26"/>
    <x v="0"/>
    <x v="0"/>
    <x v="0"/>
    <s v="To_ITHFHWCRMDLCN43_Redundante"/>
    <x v="0"/>
    <b v="0"/>
    <s v="No está en VPC"/>
    <n v="833"/>
    <s v="INTPG_ACC_833_1.26"/>
    <s v="ISEL-1.26"/>
    <n v="1"/>
    <s v="NO TIENE L3OUT"/>
    <n v="224"/>
    <n v="54"/>
  </r>
  <r>
    <n v="818"/>
    <x v="2"/>
    <x v="200"/>
    <s v="eth1/26"/>
    <x v="0"/>
    <x v="0"/>
    <x v="0"/>
    <s v="LINK_TO_ITHFHWCBSPSWR33 /Slot5.2 /Principal"/>
    <x v="0"/>
    <b v="0"/>
    <s v="No está en VPC"/>
    <n v="818"/>
    <s v="INTPG_VPC_818_1.26_823_1.26"/>
    <s v="ISEL-1.26"/>
    <n v="2"/>
    <s v="NO TIENE L3OUT"/>
    <n v="8"/>
    <n v="54"/>
  </r>
  <r>
    <n v="850"/>
    <x v="2"/>
    <x v="201"/>
    <s v="eth1/26"/>
    <x v="0"/>
    <x v="0"/>
    <x v="0"/>
    <s v="LINKT_TO_ITHFHWCRMPLCN124 / Slot7.1_18 / Redundante"/>
    <x v="0"/>
    <b v="0"/>
    <s v="No está en VPC"/>
    <n v="850"/>
    <s v="INTPG_ACC_850_1.26"/>
    <s v="ISEL-1.26"/>
    <n v="6"/>
    <s v="NO TIENE L3OUT"/>
    <n v="288"/>
    <n v="54"/>
  </r>
  <r>
    <n v="860"/>
    <x v="2"/>
    <x v="202"/>
    <s v="eth1/26"/>
    <x v="0"/>
    <x v="0"/>
    <x v="0"/>
    <s v="To_VPC_2DCBSD_TL05_2"/>
    <x v="0"/>
    <b v="0"/>
    <s v="No está en VPC"/>
    <n v="860"/>
    <s v="INTPG_VPC_860_1.26_865_1.26"/>
    <s v="ISEL-1.26"/>
    <n v="1"/>
    <s v="NO TIENE L3OUT"/>
    <n v="0"/>
    <n v="54"/>
  </r>
  <r>
    <n v="853"/>
    <x v="2"/>
    <x v="203"/>
    <s v="eth1/26"/>
    <x v="0"/>
    <x v="0"/>
    <x v="0"/>
    <s v="LINK_TO_ITHFHWCRMPLCN80 / Slot7.2_18 / Redundante"/>
    <x v="0"/>
    <b v="0"/>
    <s v="No está en VPC"/>
    <n v="853"/>
    <s v="INTPG_ACC_853_1.26"/>
    <s v="ISEL-1.26"/>
    <n v="2"/>
    <s v="NO TIENE L3OUT"/>
    <n v="242"/>
    <n v="54"/>
  </r>
  <r>
    <n v="790"/>
    <x v="2"/>
    <x v="204"/>
    <s v="eth1/26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26"/>
    <x v="0"/>
    <x v="0"/>
    <x v="0"/>
    <s v="MEDIACION DESARROLLO"/>
    <x v="6"/>
    <b v="0"/>
    <s v="No está en VPC"/>
    <n v="105"/>
    <s v="INTPG_ACC_105_1.26"/>
    <s v="ISEL-1.26"/>
    <n v="1"/>
    <s v="NO TIENE L3OUT"/>
    <n v="106"/>
    <n v="96"/>
  </r>
  <r>
    <n v="117"/>
    <x v="0"/>
    <x v="206"/>
    <s v="eth1/26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26"/>
    <x v="0"/>
    <x v="1"/>
    <x v="1"/>
    <s v="SFLDI"/>
    <x v="6"/>
    <b v="0"/>
    <s v="No está en VPC"/>
    <n v="104"/>
    <s v="INTPG_ACC_104_1.26"/>
    <s v="ISEL-1.26"/>
    <n v="1"/>
    <s v="NO TIENE L3OUT"/>
    <n v="194"/>
    <n v="96"/>
  </r>
  <r>
    <n v="158"/>
    <x v="0"/>
    <x v="208"/>
    <s v="eth1/26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26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26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26"/>
    <x v="1"/>
    <x v="1"/>
    <x v="2"/>
    <s v="GESTION WAS "/>
    <x v="6"/>
    <b v="0"/>
    <s v="No está en VPC"/>
    <n v="108"/>
    <s v="INTPG_ACC_108_1.26"/>
    <s v="ISEL-1.26"/>
    <n v="1"/>
    <s v="NO TIENE L3OUT"/>
    <n v="126"/>
    <n v="96"/>
  </r>
  <r>
    <n v="112"/>
    <x v="0"/>
    <x v="212"/>
    <s v="eth1/26"/>
    <x v="0"/>
    <x v="0"/>
    <x v="0"/>
    <s v="APROVISIONAMIENTO DE SERVICIOS"/>
    <x v="6"/>
    <b v="0"/>
    <s v="No está en VPC"/>
    <n v="112"/>
    <s v="INTPG_ACC_112_1.26"/>
    <s v="ISEL-1.26"/>
    <n v="1"/>
    <s v="NO TIENE L3OUT"/>
    <n v="144"/>
    <n v="96"/>
  </r>
  <r>
    <n v="107"/>
    <x v="0"/>
    <x v="213"/>
    <s v="eth1/26"/>
    <x v="0"/>
    <x v="0"/>
    <x v="0"/>
    <m/>
    <x v="6"/>
    <b v="0"/>
    <s v="No está en VPC"/>
    <n v="107"/>
    <s v="INTPG_ACC_107_1.26"/>
    <s v="ISEL-1.26"/>
    <n v="1"/>
    <s v="NO TIENE L3OUT"/>
    <n v="118"/>
    <n v="96"/>
  </r>
  <r>
    <n v="109"/>
    <x v="0"/>
    <x v="214"/>
    <s v="eth1/26"/>
    <x v="0"/>
    <x v="0"/>
    <x v="0"/>
    <s v="GESTION WAS "/>
    <x v="6"/>
    <b v="0"/>
    <s v="No está en VPC"/>
    <n v="109"/>
    <s v="INTPG_ACC_109_1.26"/>
    <s v="ISEL-1.26"/>
    <n v="1"/>
    <s v="NO TIENE L3OUT"/>
    <n v="126"/>
    <n v="96"/>
  </r>
  <r>
    <n v="113"/>
    <x v="0"/>
    <x v="215"/>
    <s v="eth1/26"/>
    <x v="0"/>
    <x v="0"/>
    <x v="0"/>
    <s v="RLVYCAN01"/>
    <x v="6"/>
    <b v="0"/>
    <s v="No está en VPC"/>
    <n v="113"/>
    <s v="INTPG_ACC_113_1.26"/>
    <s v="ISEL-1.26"/>
    <n v="1"/>
    <s v="NO TIENE L3OUT"/>
    <n v="52"/>
    <n v="96"/>
  </r>
  <r>
    <n v="114"/>
    <x v="0"/>
    <x v="216"/>
    <s v="eth1/26"/>
    <x v="0"/>
    <x v="0"/>
    <x v="0"/>
    <s v="SUBEX (Fraud Management)"/>
    <x v="6"/>
    <b v="0"/>
    <s v="No está en VPC"/>
    <n v="114"/>
    <s v="INTPG_ACC_114_1.26"/>
    <s v="ISEL-1.26"/>
    <n v="1"/>
    <s v="NO TIENE L3OUT"/>
    <n v="144"/>
    <n v="96"/>
  </r>
  <r>
    <n v="124"/>
    <x v="0"/>
    <x v="217"/>
    <s v="eth1/26"/>
    <x v="1"/>
    <x v="1"/>
    <x v="2"/>
    <s v="Politicas de Navegacion"/>
    <x v="6"/>
    <b v="0"/>
    <s v="No está en VPC"/>
    <n v="124"/>
    <s v="INTPG_VPC_124_1.26-27_125_1.29-30"/>
    <s v="ISEL-1.26"/>
    <n v="5"/>
    <s v="NO TIENE L3OUT"/>
    <n v="80"/>
    <n v="96"/>
  </r>
  <r>
    <n v="118"/>
    <x v="0"/>
    <x v="218"/>
    <s v="eth1/26"/>
    <x v="0"/>
    <x v="0"/>
    <x v="0"/>
    <s v="DATOS NETCRACKER"/>
    <x v="6"/>
    <b v="0"/>
    <s v="No está en VPC"/>
    <n v="118"/>
    <s v="INTPG_ACC_118_1.26"/>
    <s v="ISEL-1.26"/>
    <n v="1"/>
    <s v="NO TIENE L3OUT"/>
    <n v="180"/>
    <n v="96"/>
  </r>
  <r>
    <n v="159"/>
    <x v="0"/>
    <x v="219"/>
    <s v="eth1/26"/>
    <x v="0"/>
    <x v="0"/>
    <x v="0"/>
    <s v="SRM"/>
    <x v="6"/>
    <b v="0"/>
    <s v="No está en VPC"/>
    <n v="159"/>
    <s v="INTPG_ACC_159_1.26"/>
    <s v="ISEL-1.26"/>
    <n v="1"/>
    <s v="NO TIENE L3OUT"/>
    <n v="72"/>
    <n v="96"/>
  </r>
  <r>
    <n v="840"/>
    <x v="2"/>
    <x v="220"/>
    <s v="eth1/26"/>
    <x v="0"/>
    <x v="0"/>
    <x v="0"/>
    <s v="LINK_TO_ITHFHWCBSPSHD31 / Slot7.1_14 / Redundante"/>
    <x v="0"/>
    <b v="0"/>
    <s v="No está en VPC"/>
    <n v="840"/>
    <s v="INTPG_VPC_835_1.26_840_1.26"/>
    <s v="ISEL-1.26"/>
    <n v="2"/>
    <s v="NO TIENE L3OUT"/>
    <n v="8"/>
    <n v="54"/>
  </r>
  <r>
    <n v="856"/>
    <x v="2"/>
    <x v="221"/>
    <s v="eth1/26"/>
    <x v="0"/>
    <x v="0"/>
    <x v="0"/>
    <s v="LINK_TO_ITHFHWCRMPLCN143 / Slot1.1_20 / Principal"/>
    <x v="0"/>
    <b v="0"/>
    <s v="No está en VPC"/>
    <n v="856"/>
    <s v="INTPG_ACC_856_1.26"/>
    <s v="ISEL-1.26"/>
    <n v="6"/>
    <s v="NO TIENE L3OUT"/>
    <n v="286"/>
    <n v="54"/>
  </r>
  <r>
    <n v="110"/>
    <x v="0"/>
    <x v="222"/>
    <s v="eth1/26"/>
    <x v="0"/>
    <x v="0"/>
    <x v="0"/>
    <s v="UXDX-DATOS"/>
    <x v="6"/>
    <b v="0"/>
    <s v="No está en VPC"/>
    <n v="110"/>
    <s v="INTPG_ACC_110_1.26"/>
    <s v="ISEL-1.26"/>
    <n v="1"/>
    <s v="NO TIENE L3OUT"/>
    <n v="102"/>
    <n v="96"/>
  </r>
  <r>
    <n v="163"/>
    <x v="0"/>
    <x v="223"/>
    <s v="eth1/26"/>
    <x v="0"/>
    <x v="0"/>
    <x v="0"/>
    <s v="PMAX"/>
    <x v="6"/>
    <b v="0"/>
    <s v="No está en VPC"/>
    <n v="163"/>
    <s v="INTPG_ACC_163_1.26"/>
    <s v="ISEL-1.26"/>
    <n v="1"/>
    <s v="NO TIENE L3OUT"/>
    <n v="140"/>
    <n v="96"/>
  </r>
  <r>
    <n v="407"/>
    <x v="1"/>
    <x v="224"/>
    <s v="eth1/26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26"/>
    <x v="0"/>
    <x v="1"/>
    <x v="1"/>
    <s v="NFA"/>
    <x v="6"/>
    <b v="0"/>
    <s v="No está en VPC"/>
    <n v="171"/>
    <s v="INTPG_ACC_171_1.26"/>
    <s v="ISEL-1.26"/>
    <n v="1"/>
    <s v="NO TIENE L3OUT"/>
    <n v="114"/>
    <n v="96"/>
  </r>
  <r>
    <n v="421"/>
    <x v="1"/>
    <x v="226"/>
    <s v="eth1/26"/>
    <x v="0"/>
    <x v="0"/>
    <x v="0"/>
    <s v="Prime-UCS-CLU2-B"/>
    <x v="6"/>
    <b v="0"/>
    <s v="No está en VPC"/>
    <n v="421"/>
    <s v="INTPG_ACC_421_1.26"/>
    <s v="ISEL-1.26"/>
    <n v="1"/>
    <s v="NO TIENE L3OUT"/>
    <n v="72"/>
    <n v="96"/>
  </r>
  <r>
    <n v="173"/>
    <x v="0"/>
    <x v="227"/>
    <s v="eth1/26"/>
    <x v="0"/>
    <x v="1"/>
    <x v="1"/>
    <s v="ENIQ"/>
    <x v="6"/>
    <b v="0"/>
    <s v="No está en VPC"/>
    <n v="173"/>
    <s v="INTPG_ACC_173_1.26"/>
    <s v="ISEL-1.26"/>
    <n v="1"/>
    <s v="NO TIENE L3OUT"/>
    <n v="66"/>
    <n v="96"/>
  </r>
  <r>
    <n v="154"/>
    <x v="0"/>
    <x v="228"/>
    <s v="eth1/26"/>
    <x v="0"/>
    <x v="0"/>
    <x v="0"/>
    <m/>
    <x v="6"/>
    <b v="0"/>
    <s v="No está en VPC"/>
    <n v="154"/>
    <s v="INTPG_ACC_154_1.26"/>
    <s v="ISEL-1.26"/>
    <n v="1"/>
    <s v="NO TIENE L3OUT"/>
    <n v="62"/>
    <n v="96"/>
  </r>
  <r>
    <n v="172"/>
    <x v="0"/>
    <x v="229"/>
    <s v="eth1/26"/>
    <x v="0"/>
    <x v="1"/>
    <x v="1"/>
    <s v="NFA"/>
    <x v="6"/>
    <b v="0"/>
    <s v="No está en VPC"/>
    <n v="172"/>
    <s v="INTPG_ACC_172_1.26"/>
    <s v="ISEL-1.26"/>
    <n v="1"/>
    <s v="NO TIENE L3OUT"/>
    <n v="104"/>
    <n v="96"/>
  </r>
  <r>
    <n v="420"/>
    <x v="1"/>
    <x v="230"/>
    <s v="eth1/26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26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26"/>
    <x v="0"/>
    <x v="0"/>
    <x v="0"/>
    <s v="To-uxingemc1 ldom2 uxsmart04"/>
    <x v="6"/>
    <b v="0"/>
    <s v="No está en VPC"/>
    <n v="415"/>
    <s v="INTPG_ACC_415_1.26"/>
    <s v="ISEL-1.26"/>
    <n v="1"/>
    <s v="NO TIENE L3OUT"/>
    <n v="52"/>
    <n v="96"/>
  </r>
  <r>
    <n v="102"/>
    <x v="0"/>
    <x v="233"/>
    <s v="eth1/26"/>
    <x v="0"/>
    <x v="1"/>
    <x v="1"/>
    <s v="SFLDI:RLDICDR01:1"/>
    <x v="6"/>
    <b v="0"/>
    <s v="No está en VPC"/>
    <n v="102"/>
    <s v="INTPG_ACC_102_1.26"/>
    <s v="ISEL-1.26"/>
    <n v="1"/>
    <s v="NO TIENE L3OUT"/>
    <n v="228"/>
    <n v="96"/>
  </r>
  <r>
    <n v="863"/>
    <x v="2"/>
    <x v="234"/>
    <s v="eth1/26"/>
    <x v="0"/>
    <x v="0"/>
    <x v="0"/>
    <s v="To_VPC_2DCBSD_HD45_2"/>
    <x v="0"/>
    <b v="0"/>
    <s v="No está en VPC"/>
    <n v="863"/>
    <s v="INTPG_VPC_858_1.26_863_1.26"/>
    <s v="ISEL-1.26"/>
    <n v="1"/>
    <s v="NO TIENE L3OUT"/>
    <n v="8"/>
    <n v="54"/>
  </r>
  <r>
    <n v="876"/>
    <x v="2"/>
    <x v="235"/>
    <s v="eth1/26"/>
    <x v="0"/>
    <x v="0"/>
    <x v="0"/>
    <s v="A_ITHFHWSEQLCAS25_Principal"/>
    <x v="4"/>
    <b v="0"/>
    <s v="No está en VPC"/>
    <n v="876"/>
    <s v="INTPG_ACC_876_1.26"/>
    <s v="ISEL-1.26"/>
    <n v="1"/>
    <s v="NO TIENE L3OUT"/>
    <n v="92"/>
    <n v="54"/>
  </r>
  <r>
    <n v="877"/>
    <x v="2"/>
    <x v="236"/>
    <s v="eth1/26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26"/>
    <x v="0"/>
    <x v="0"/>
    <x v="0"/>
    <s v="IXTRTC5"/>
    <x v="6"/>
    <b v="0"/>
    <s v="No está en VPC"/>
    <n v="122"/>
    <s v="INTPG_ACC_122_1.26"/>
    <s v="ISEL-1.26"/>
    <n v="1"/>
    <s v="NO TIENE L3OUT"/>
    <n v="148"/>
    <n v="96"/>
  </r>
  <r>
    <n v="157"/>
    <x v="0"/>
    <x v="238"/>
    <s v="eth1/26"/>
    <x v="1"/>
    <x v="1"/>
    <x v="2"/>
    <s v="RED CRICKET"/>
    <x v="6"/>
    <b v="0"/>
    <s v="No está en VPC"/>
    <n v="157"/>
    <s v="INTPG_ACC_157_1.26"/>
    <s v="ISEL-1.26"/>
    <n v="1"/>
    <s v="NO TIENE L3OUT"/>
    <n v="202"/>
    <n v="96"/>
  </r>
  <r>
    <n v="408"/>
    <x v="1"/>
    <x v="239"/>
    <s v="eth1/26"/>
    <x v="0"/>
    <x v="0"/>
    <x v="0"/>
    <s v="NEC Femtocel NMS"/>
    <x v="6"/>
    <b v="0"/>
    <s v="No está en VPC"/>
    <n v="408"/>
    <s v="INTPG_ACC_408_1.26"/>
    <s v="ISEL-1.26"/>
    <n v="1"/>
    <s v="NO TIENE L3OUT"/>
    <n v="152"/>
    <n v="96"/>
  </r>
  <r>
    <n v="405"/>
    <x v="1"/>
    <x v="240"/>
    <s v="eth1/26"/>
    <x v="0"/>
    <x v="0"/>
    <x v="0"/>
    <s v="XL6 RLR6ARI07 ILO"/>
    <x v="6"/>
    <b v="0"/>
    <s v="No está en VPC"/>
    <n v="405"/>
    <s v="INTPG_ACC_405_1.26"/>
    <s v="ISEL-1.26"/>
    <n v="1"/>
    <s v="NO TIENE L3OUT"/>
    <n v="138"/>
    <n v="96"/>
  </r>
  <r>
    <n v="169"/>
    <x v="0"/>
    <x v="241"/>
    <s v="eth1/26"/>
    <x v="1"/>
    <x v="1"/>
    <x v="2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26"/>
    <x v="0"/>
    <x v="0"/>
    <x v="0"/>
    <s v="UXLDAP"/>
    <x v="6"/>
    <b v="0"/>
    <s v="No está en VPC"/>
    <n v="165"/>
    <s v="INTPG_ACC_165_1.26"/>
    <s v="ISEL-1.26"/>
    <n v="1"/>
    <s v="NO TIENE L3OUT"/>
    <n v="86"/>
    <n v="96"/>
  </r>
  <r>
    <n v="417"/>
    <x v="1"/>
    <x v="243"/>
    <s v="eth1/26"/>
    <x v="0"/>
    <x v="0"/>
    <x v="0"/>
    <s v="TO-ITHFHPNBURBKP07-PRINCIPAL"/>
    <x v="6"/>
    <b v="0"/>
    <s v="No está en VPC"/>
    <n v="417"/>
    <s v="INTPG_ACC_417_1.26"/>
    <s v="ISEL-1.26"/>
    <n v="1"/>
    <s v="NO TIENE L3OUT"/>
    <n v="56"/>
    <n v="96"/>
  </r>
  <r>
    <n v="153"/>
    <x v="0"/>
    <x v="244"/>
    <s v="eth1/26"/>
    <x v="0"/>
    <x v="1"/>
    <x v="1"/>
    <s v="BLOQUEO EMEI"/>
    <x v="6"/>
    <b v="0"/>
    <s v="No está en VPC"/>
    <n v="153"/>
    <s v="INTPG_ACC_153_1.26"/>
    <s v="ISEL-1.26"/>
    <n v="1"/>
    <s v="NO TIENE L3OUT"/>
    <n v="42"/>
    <n v="96"/>
  </r>
  <r>
    <n v="119"/>
    <x v="0"/>
    <x v="245"/>
    <s v="eth1/26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26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26"/>
    <x v="0"/>
    <x v="1"/>
    <x v="1"/>
    <s v="CAMPANAS 01-02:uxobie09:ent0"/>
    <x v="6"/>
    <b v="0"/>
    <s v="No está en VPC"/>
    <n v="103"/>
    <s v="INTPG_ACC_103_1.26"/>
    <s v="ISEL-1.26"/>
    <n v="1"/>
    <s v="NO TIENE L3OUT"/>
    <n v="70"/>
    <n v="96"/>
  </r>
  <r>
    <n v="438"/>
    <x v="1"/>
    <x v="248"/>
    <s v="eth1/26"/>
    <x v="0"/>
    <x v="0"/>
    <x v="0"/>
    <s v="PROD4_SP1-prueba"/>
    <x v="6"/>
    <b v="0"/>
    <s v="No está en VPC"/>
    <n v="438"/>
    <s v="INTPG_ACC_438_1.26"/>
    <s v="ISEL-1.26"/>
    <n v="1"/>
    <s v="NO TIENE L3OUT"/>
    <n v="170"/>
    <n v="96"/>
  </r>
  <r>
    <n v="406"/>
    <x v="1"/>
    <x v="249"/>
    <s v="eth1/26"/>
    <x v="0"/>
    <x v="0"/>
    <x v="0"/>
    <s v="ITHRTC61VC2"/>
    <x v="6"/>
    <b v="0"/>
    <s v="No está en VPC"/>
    <n v="406"/>
    <s v="INTPG_VPC_404_1.26_406_1.26"/>
    <s v="ISEL-1.26"/>
    <n v="1"/>
    <s v="NO TIENE L3OUT"/>
    <n v="82"/>
    <n v="96"/>
  </r>
  <r>
    <n v="414"/>
    <x v="1"/>
    <x v="250"/>
    <s v="eth1/26"/>
    <x v="0"/>
    <x v="0"/>
    <x v="0"/>
    <s v="UTP_ZFS_CAMPANAS"/>
    <x v="6"/>
    <b v="0"/>
    <s v="No está en VPC"/>
    <n v="414"/>
    <s v="INTPG_ACC_414_1.26"/>
    <s v="ISEL-1.26"/>
    <n v="1"/>
    <s v="NO TIENE L3OUT"/>
    <n v="144"/>
    <n v="96"/>
  </r>
  <r>
    <n v="416"/>
    <x v="1"/>
    <x v="251"/>
    <s v="eth1/26"/>
    <x v="0"/>
    <x v="0"/>
    <x v="0"/>
    <s v="DESC"/>
    <x v="6"/>
    <b v="0"/>
    <s v="No está en VPC"/>
    <n v="416"/>
    <s v="INTPG_PC_416_1.26-27"/>
    <s v="ISEL-1.26"/>
    <n v="1"/>
    <s v="NO TIENE L3OUT"/>
    <n v="110"/>
    <n v="96"/>
  </r>
  <r>
    <n v="418"/>
    <x v="1"/>
    <x v="252"/>
    <s v="eth1/26"/>
    <x v="0"/>
    <x v="0"/>
    <x v="0"/>
    <s v="DESC"/>
    <x v="6"/>
    <b v="0"/>
    <s v="No está en VPC"/>
    <n v="418"/>
    <s v="INTPG_PC_418_1.26-27"/>
    <s v="ISEL-1.26"/>
    <n v="1"/>
    <s v="NO TIENE L3OUT"/>
    <n v="152"/>
    <n v="96"/>
  </r>
  <r>
    <n v="413"/>
    <x v="1"/>
    <x v="253"/>
    <s v="eth1/26"/>
    <x v="0"/>
    <x v="0"/>
    <x v="0"/>
    <s v="lagidmhlapvp10_produccion1"/>
    <x v="6"/>
    <b v="0"/>
    <s v="No está en VPC"/>
    <n v="413"/>
    <s v="INTPG_VPC_411_1.31-34_413_1.24-27"/>
    <s v="ISEL-1.26"/>
    <n v="2"/>
    <s v="NO TIENE L3OUT"/>
    <n v="126"/>
    <n v="96"/>
  </r>
  <r>
    <n v="403"/>
    <x v="1"/>
    <x v="254"/>
    <s v="eth1/26"/>
    <x v="0"/>
    <x v="0"/>
    <x v="0"/>
    <s v="XL6 RLR6ARI07"/>
    <x v="6"/>
    <b v="0"/>
    <s v="No está en VPC"/>
    <n v="403"/>
    <s v="INTPG_ACC_403_1.26"/>
    <s v="ISEL-1.26"/>
    <n v="1"/>
    <s v="NO TIENE L3OUT"/>
    <n v="150"/>
    <n v="96"/>
  </r>
  <r>
    <n v="125"/>
    <x v="0"/>
    <x v="255"/>
    <s v="eth1/26"/>
    <x v="0"/>
    <x v="0"/>
    <x v="0"/>
    <s v="UXSVA (M9000)"/>
    <x v="6"/>
    <b v="0"/>
    <s v="No está en VPC"/>
    <n v="125"/>
    <s v="INTPG_ACC_125_1.26"/>
    <s v="ISEL-1.26"/>
    <n v="1"/>
    <s v="NO TIENE L3OUT"/>
    <n v="72"/>
    <n v="96"/>
  </r>
  <r>
    <n v="166"/>
    <x v="0"/>
    <x v="256"/>
    <s v="eth1/26"/>
    <x v="0"/>
    <x v="0"/>
    <x v="0"/>
    <s v="NFA"/>
    <x v="6"/>
    <b v="0"/>
    <s v="No está en VPC"/>
    <n v="166"/>
    <s v="INTPG_ACC_166_1.26"/>
    <s v="ISEL-1.26"/>
    <n v="1"/>
    <s v="NO TIENE L3OUT"/>
    <n v="84"/>
    <n v="96"/>
  </r>
  <r>
    <n v="111"/>
    <x v="0"/>
    <x v="257"/>
    <s v="eth1/26"/>
    <x v="0"/>
    <x v="0"/>
    <x v="0"/>
    <s v="UXDX-DATOS"/>
    <x v="6"/>
    <b v="0"/>
    <s v="No está en VPC"/>
    <n v="111"/>
    <s v="INTPG_ACC_111_1.26"/>
    <s v="ISEL-1.26"/>
    <n v="1"/>
    <s v="NO TIENE L3OUT"/>
    <n v="58"/>
    <n v="96"/>
  </r>
  <r>
    <n v="115"/>
    <x v="0"/>
    <x v="258"/>
    <s v="eth1/26"/>
    <x v="0"/>
    <x v="0"/>
    <x v="0"/>
    <s v="RLVYCAN04_1"/>
    <x v="6"/>
    <b v="0"/>
    <s v="No está en VPC"/>
    <n v="115"/>
    <s v="INTPG_ACC_115_1.26"/>
    <s v="ISEL-1.26"/>
    <n v="1"/>
    <s v="NO TIENE L3OUT"/>
    <n v="42"/>
    <n v="96"/>
  </r>
  <r>
    <n v="106"/>
    <x v="0"/>
    <x v="259"/>
    <s v="eth1/26"/>
    <x v="0"/>
    <x v="1"/>
    <x v="1"/>
    <s v="Interconexion Superdome 1"/>
    <x v="6"/>
    <b v="0"/>
    <s v="No está en VPC"/>
    <n v="106"/>
    <s v="INTPG_ACC_106_1.26"/>
    <s v="ISEL-1.26"/>
    <n v="1"/>
    <s v="NO TIENE L3OUT"/>
    <n v="122"/>
    <n v="96"/>
  </r>
  <r>
    <n v="126"/>
    <x v="0"/>
    <x v="260"/>
    <s v="eth1/26"/>
    <x v="0"/>
    <x v="0"/>
    <x v="0"/>
    <s v="ENIQ"/>
    <x v="6"/>
    <b v="0"/>
    <s v="No está en VPC"/>
    <n v="126"/>
    <s v="INTPG_PC_126_1.25-29_36"/>
    <s v="ISEL-1.26"/>
    <n v="3"/>
    <s v="NO TIENE L3OUT"/>
    <n v="54"/>
    <n v="96"/>
  </r>
  <r>
    <n v="425"/>
    <x v="1"/>
    <x v="261"/>
    <s v="eth1/26"/>
    <x v="0"/>
    <x v="0"/>
    <x v="0"/>
    <s v="MMSC_GESTION_2RIO"/>
    <x v="6"/>
    <b v="0"/>
    <s v="No está en VPC"/>
    <n v="425"/>
    <s v="INTPG_ACC_425_1.26"/>
    <s v="ISEL-1.26"/>
    <n v="1"/>
    <s v="NO TIENE L3OUT"/>
    <n v="86"/>
    <n v="96"/>
  </r>
  <r>
    <n v="151"/>
    <x v="0"/>
    <x v="262"/>
    <s v="eth1/26"/>
    <x v="0"/>
    <x v="0"/>
    <x v="0"/>
    <s v="ETLI-SACI 8"/>
    <x v="6"/>
    <b v="0"/>
    <s v="No está en VPC"/>
    <n v="151"/>
    <s v="INTPG_ACC_151_1.26"/>
    <s v="ISEL-1.26"/>
    <n v="1"/>
    <s v="NO TIENE L3OUT"/>
    <n v="86"/>
    <n v="96"/>
  </r>
  <r>
    <n v="430"/>
    <x v="1"/>
    <x v="263"/>
    <s v="eth1/26"/>
    <x v="0"/>
    <x v="0"/>
    <x v="0"/>
    <s v="SpareWheel_ixtspw2"/>
    <x v="6"/>
    <b v="0"/>
    <s v="No está en VPC"/>
    <n v="430"/>
    <s v="INTPG_VPC_428_1.26_430_1.26"/>
    <s v="ISEL-1.26"/>
    <n v="24"/>
    <s v="NO TIENE L3OUT"/>
    <n v="86"/>
    <n v="96"/>
  </r>
  <r>
    <n v="419"/>
    <x v="1"/>
    <x v="264"/>
    <s v="eth1/26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26"/>
    <x v="0"/>
    <x v="0"/>
    <x v="0"/>
    <s v="Consolidaci\u00f3n Aplicaciones Prepago"/>
    <x v="6"/>
    <b v="0"/>
    <s v="No está en VPC"/>
    <n v="155"/>
    <s v="INTPG_ACC_155_1.26"/>
    <s v="ISEL-1.26"/>
    <n v="1"/>
    <s v="NO TIENE L3OUT"/>
    <n v="198"/>
    <n v="96"/>
  </r>
  <r>
    <n v="409"/>
    <x v="1"/>
    <x v="266"/>
    <s v="eth1/26"/>
    <x v="0"/>
    <x v="0"/>
    <x v="0"/>
    <s v="ITHSAN2B"/>
    <x v="6"/>
    <b v="0"/>
    <s v="No está en VPC"/>
    <n v="409"/>
    <s v="INTPG_ACC_409_1.26"/>
    <s v="ISEL-1.26"/>
    <n v="1"/>
    <s v="NO TIENE L3OUT"/>
    <n v="128"/>
    <n v="96"/>
  </r>
  <r>
    <n v="422"/>
    <x v="1"/>
    <x v="267"/>
    <s v="eth1/26"/>
    <x v="0"/>
    <x v="0"/>
    <x v="0"/>
    <s v="IXTSD970A"/>
    <x v="6"/>
    <b v="0"/>
    <s v="No está en VPC"/>
    <n v="422"/>
    <s v="INTPG_ACC_422_1.26"/>
    <s v="ISEL-1.26"/>
    <n v="1"/>
    <s v="NO TIENE L3OUT"/>
    <n v="182"/>
    <n v="96"/>
  </r>
  <r>
    <n v="436"/>
    <x v="1"/>
    <x v="268"/>
    <s v="eth1/26"/>
    <x v="0"/>
    <x v="0"/>
    <x v="0"/>
    <s v="HP_Proliant_DL360_Gen9"/>
    <x v="6"/>
    <b v="0"/>
    <s v="No está en VPC"/>
    <n v="436"/>
    <s v="INTPG_ACC_436_1.26"/>
    <s v="ISEL-1.26"/>
    <n v="1"/>
    <s v="NO TIENE L3OUT"/>
    <n v="172"/>
    <n v="96"/>
  </r>
  <r>
    <n v="410"/>
    <x v="1"/>
    <x v="269"/>
    <s v="eth1/26"/>
    <x v="0"/>
    <x v="0"/>
    <x v="0"/>
    <s v="ITHMSVB2_ITH2"/>
    <x v="6"/>
    <b v="0"/>
    <s v="No está en VPC"/>
    <n v="410"/>
    <s v="INTPG_ACC_410_1.26"/>
    <s v="ISEL-1.26"/>
    <n v="1"/>
    <s v="NO TIENE L3OUT"/>
    <n v="178"/>
    <n v="96"/>
  </r>
  <r>
    <n v="161"/>
    <x v="0"/>
    <x v="270"/>
    <s v="eth1/26"/>
    <x v="0"/>
    <x v="0"/>
    <x v="0"/>
    <s v="NETSCOUT"/>
    <x v="6"/>
    <b v="0"/>
    <s v="No está en VPC"/>
    <n v="161"/>
    <s v="INTPG_ACC_161_1.26"/>
    <s v="ISEL-1.26"/>
    <n v="1"/>
    <s v="NO TIENE L3OUT"/>
    <n v="102"/>
    <n v="96"/>
  </r>
  <r>
    <n v="411"/>
    <x v="1"/>
    <x v="271"/>
    <s v="eth1/26"/>
    <x v="0"/>
    <x v="0"/>
    <x v="0"/>
    <s v="To_lagidmhlapvp08_produccion1"/>
    <x v="6"/>
    <b v="0"/>
    <s v="No está en VPC"/>
    <n v="411"/>
    <s v="INTPG_VPC_411_1.26-29_413_1.19-20_22_86"/>
    <s v="ISEL-1.26"/>
    <n v="2"/>
    <s v="NO TIENE L3OUT"/>
    <n v="96"/>
    <n v="96"/>
  </r>
  <r>
    <n v="116"/>
    <x v="0"/>
    <x v="272"/>
    <s v="eth1/26"/>
    <x v="0"/>
    <x v="0"/>
    <x v="0"/>
    <s v="DATOS NETCRACKER"/>
    <x v="6"/>
    <b v="0"/>
    <s v="No está en VPC"/>
    <n v="116"/>
    <s v="INTPG_ACC_116_1.26"/>
    <s v="ISEL-1.26"/>
    <n v="1"/>
    <s v="NO TIENE L3OUT"/>
    <n v="148"/>
    <n v="96"/>
  </r>
  <r>
    <n v="412"/>
    <x v="1"/>
    <x v="273"/>
    <s v="eth1/26"/>
    <x v="0"/>
    <x v="0"/>
    <x v="0"/>
    <s v="UXCEM01_NXGE2"/>
    <x v="6"/>
    <b v="0"/>
    <s v="No está en VPC"/>
    <n v="412"/>
    <s v="INTPG_ACC_412_1.26"/>
    <s v="ISEL-1.26"/>
    <n v="1"/>
    <s v="NO TIENE L3OUT"/>
    <n v="126"/>
    <n v="96"/>
  </r>
  <r>
    <n v="120"/>
    <x v="0"/>
    <x v="274"/>
    <s v="eth1/26"/>
    <x v="0"/>
    <x v="0"/>
    <x v="0"/>
    <s v="IXTRTC5"/>
    <x v="6"/>
    <b v="0"/>
    <s v="No está en VPC"/>
    <n v="120"/>
    <s v="INTPG_ACC_120_1.26"/>
    <s v="ISEL-1.26"/>
    <n v="1"/>
    <s v="NO TIENE L3OUT"/>
    <n v="158"/>
    <n v="96"/>
  </r>
  <r>
    <n v="404"/>
    <x v="1"/>
    <x v="275"/>
    <s v="eth1/26"/>
    <x v="0"/>
    <x v="0"/>
    <x v="0"/>
    <s v="ITHRTC61VC2"/>
    <x v="6"/>
    <b v="0"/>
    <s v="No está en VPC"/>
    <n v="404"/>
    <s v="INTPG_VPC_404_1.26_406_1.26"/>
    <s v="ISEL-1.26"/>
    <n v="1"/>
    <s v="NO TIENE L3OUT"/>
    <n v="92"/>
    <n v="96"/>
  </r>
  <r>
    <n v="167"/>
    <x v="0"/>
    <x v="276"/>
    <s v="eth1/26"/>
    <x v="0"/>
    <x v="1"/>
    <x v="1"/>
    <s v="MMSC_WAPGW"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26"/>
    <x v="0"/>
    <x v="0"/>
    <x v="0"/>
    <s v="SpareWheel_ixtspw2"/>
    <x v="6"/>
    <b v="0"/>
    <s v="No está en VPC"/>
    <n v="428"/>
    <s v="INTPG_VPC_428_1.26_430_1.26"/>
    <s v="ISEL-1.26"/>
    <n v="24"/>
    <s v="NO TIENE L3OUT"/>
    <n v="102"/>
    <n v="96"/>
  </r>
  <r>
    <n v="903"/>
    <x v="2"/>
    <x v="278"/>
    <s v="eth1/2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2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27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27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27"/>
    <x v="0"/>
    <x v="0"/>
    <x v="0"/>
    <s v="To CIMC APIC 6"/>
    <x v="1"/>
    <b v="0"/>
    <s v="No está en VPC"/>
    <n v="152"/>
    <s v="INTPG_ACC_152_1.27"/>
    <s v="ISEL-1.27"/>
    <n v="1"/>
    <s v="NO TIENE L3OUT"/>
    <n v="38"/>
    <n v="54"/>
  </r>
  <r>
    <n v="101"/>
    <x v="0"/>
    <x v="3"/>
    <s v="eth1/27"/>
    <x v="0"/>
    <x v="0"/>
    <x v="0"/>
    <s v="TO-ITHFDENBURMS03"/>
    <x v="0"/>
    <b v="0"/>
    <s v="No está en VPC"/>
    <n v="101"/>
    <s v="INTPG_VPC_101_1.27_150_1.27"/>
    <s v="ISEL-1.27"/>
    <n v="1"/>
    <s v="NO TIENE L3OUT"/>
    <n v="114"/>
    <n v="54"/>
  </r>
  <r>
    <n v="160"/>
    <x v="0"/>
    <x v="4"/>
    <s v="eth1/27"/>
    <x v="0"/>
    <x v="0"/>
    <x v="0"/>
    <s v="ArrobaDOC Y CF"/>
    <x v="1"/>
    <b v="0"/>
    <s v="No está en VPC"/>
    <n v="160"/>
    <s v="INTPG_ACC_160_1.27"/>
    <s v="ISEL-1.27"/>
    <n v="1"/>
    <s v="NO TIENE L3OUT"/>
    <n v="68"/>
    <n v="54"/>
  </r>
  <r>
    <n v="121"/>
    <x v="0"/>
    <x v="5"/>
    <s v="eth1/27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27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27"/>
    <x v="0"/>
    <x v="0"/>
    <x v="0"/>
    <s v="TO-UXSISAC9-LAGUXSISAC9"/>
    <x v="0"/>
    <b v="0"/>
    <s v="No está en VPC"/>
    <n v="401"/>
    <s v="INTPG_VPC_401_1.27-28_402_1.27-28"/>
    <s v="ISEL-1.27"/>
    <n v="1"/>
    <s v="NO TIENE L3OUT"/>
    <n v="40"/>
    <n v="54"/>
  </r>
  <r>
    <n v="402"/>
    <x v="1"/>
    <x v="8"/>
    <s v="eth1/27"/>
    <x v="0"/>
    <x v="0"/>
    <x v="0"/>
    <s v="TO-UXSISAC9-LAGUXSISAC9"/>
    <x v="0"/>
    <b v="0"/>
    <s v="No está en VPC"/>
    <n v="402"/>
    <s v="INTPG_VPC_401_1.27-28_402_1.27-28"/>
    <s v="ISEL-1.27"/>
    <n v="1"/>
    <s v="NO TIENE L3OUT"/>
    <n v="36"/>
    <n v="54"/>
  </r>
  <r>
    <n v="447"/>
    <x v="1"/>
    <x v="9"/>
    <s v="eth1/27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27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27"/>
    <x v="0"/>
    <x v="0"/>
    <x v="0"/>
    <s v="TO-ITHEMCDD99000569-PRINCIPAL"/>
    <x v="0"/>
    <b v="0"/>
    <s v="No está en VPC"/>
    <n v="130"/>
    <s v="INTPG_ACC_130_1.27"/>
    <s v="ISEL-1.27"/>
    <n v="1"/>
    <s v="NO TIENE L3OUT"/>
    <n v="128"/>
    <n v="54"/>
  </r>
  <r>
    <n v="150"/>
    <x v="0"/>
    <x v="12"/>
    <s v="eth1/27"/>
    <x v="0"/>
    <x v="0"/>
    <x v="0"/>
    <s v="TO-ITHFDENBURMS03"/>
    <x v="0"/>
    <b v="0"/>
    <s v="No está en VPC"/>
    <n v="150"/>
    <s v="INTPG_VPC_101_1.27_150_1.27"/>
    <s v="ISEL-1.27"/>
    <n v="1"/>
    <s v="NO TIENE L3OUT"/>
    <n v="118"/>
    <n v="54"/>
  </r>
  <r>
    <n v="131"/>
    <x v="0"/>
    <x v="13"/>
    <s v="eth1/27"/>
    <x v="0"/>
    <x v="0"/>
    <x v="0"/>
    <s v="TO-ITHFDEMCFRPMS02"/>
    <x v="0"/>
    <b v="0"/>
    <s v="No está en VPC"/>
    <n v="131"/>
    <s v="INTPG_VPC_130_1.25-26_131_1.26-27"/>
    <s v="ISEL-1.27"/>
    <n v="1"/>
    <s v="NO TIENE L3OUT"/>
    <n v="126"/>
    <n v="54"/>
  </r>
  <r>
    <n v="303"/>
    <x v="0"/>
    <x v="14"/>
    <s v="eth1/27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27"/>
    <x v="0"/>
    <x v="1"/>
    <x v="3"/>
    <m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27"/>
    <x v="1"/>
    <x v="1"/>
    <x v="3"/>
    <m/>
    <x v="2"/>
    <b v="0"/>
    <s v="No está en VPC"/>
    <n v="759"/>
    <s v="NO EXISTE PG"/>
    <s v="NO EXISTE ISEL"/>
    <n v="0"/>
    <s v="NO TIENE L3OUT"/>
    <n v="0"/>
    <n v="42"/>
  </r>
  <r>
    <n v="302"/>
    <x v="0"/>
    <x v="17"/>
    <s v="eth1/27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27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27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27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27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27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27"/>
    <x v="0"/>
    <x v="1"/>
    <x v="1"/>
    <m/>
    <x v="0"/>
    <b v="0"/>
    <s v="No está en VPC"/>
    <n v="724"/>
    <s v="INTPG-VPC_SLR16_724_1.27_725_1.28"/>
    <s v="ISEL-1.27"/>
    <n v="1"/>
    <s v="NO TIENE L3OUT"/>
    <n v="0"/>
    <n v="54"/>
  </r>
  <r>
    <n v="602"/>
    <x v="1"/>
    <x v="24"/>
    <s v="eth1/27"/>
    <x v="0"/>
    <x v="1"/>
    <x v="3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27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27"/>
    <x v="0"/>
    <x v="0"/>
    <x v="0"/>
    <s v="ZTE_EDR"/>
    <x v="0"/>
    <b v="0"/>
    <s v="No está en VPC"/>
    <n v="431"/>
    <s v="INTPG_VPC_431_1.26-27_448_1.26-27"/>
    <s v="ISEL-1.27"/>
    <n v="2"/>
    <s v="NO TIENE L3OUT"/>
    <n v="46"/>
    <n v="54"/>
  </r>
  <r>
    <n v="433"/>
    <x v="1"/>
    <x v="27"/>
    <s v="eth1/27"/>
    <x v="0"/>
    <x v="0"/>
    <x v="0"/>
    <s v="YELLOBRICK"/>
    <x v="1"/>
    <b v="0"/>
    <s v="No está en VPC"/>
    <n v="433"/>
    <s v="INTPG_ACC_433_1.27"/>
    <s v="ISEL-1.27"/>
    <n v="2"/>
    <s v="NO TIENE L3OUT"/>
    <n v="42"/>
    <n v="54"/>
  </r>
  <r>
    <n v="429"/>
    <x v="1"/>
    <x v="28"/>
    <s v="eth1/27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27"/>
    <x v="0"/>
    <x v="0"/>
    <x v="0"/>
    <s v="TO-ithfhpficxrap01-Principal"/>
    <x v="1"/>
    <b v="0"/>
    <s v="No está en VPC"/>
    <n v="432"/>
    <s v="INTPG_ACC_432_1.27"/>
    <s v="ISEL-1.27"/>
    <n v="1"/>
    <s v="NO TIENE L3OUT"/>
    <n v="54"/>
    <n v="54"/>
  </r>
  <r>
    <n v="442"/>
    <x v="1"/>
    <x v="30"/>
    <s v="eth1/27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27"/>
    <x v="0"/>
    <x v="0"/>
    <x v="0"/>
    <s v="TO-ithfhpficxrap01"/>
    <x v="1"/>
    <b v="0"/>
    <s v="No está en VPC"/>
    <n v="434"/>
    <s v="INTPG_VPC_432_1.28_434_1.27"/>
    <s v="ISEL-1.27"/>
    <n v="1"/>
    <s v="NO TIENE L3OUT"/>
    <n v="34"/>
    <n v="54"/>
  </r>
  <r>
    <n v="707"/>
    <x v="2"/>
    <x v="32"/>
    <s v="eth1/27"/>
    <x v="0"/>
    <x v="1"/>
    <x v="3"/>
    <s v="CEM_HADOOP"/>
    <x v="0"/>
    <b v="0"/>
    <s v="No está en VPC"/>
    <n v="707"/>
    <s v="INTPG_ACC_707_1.27"/>
    <s v="ISEL-1.27"/>
    <n v="0"/>
    <s v="NO TIENE L3OUT"/>
    <n v="54"/>
    <n v="54"/>
  </r>
  <r>
    <n v="712"/>
    <x v="2"/>
    <x v="33"/>
    <s v="eth1/27"/>
    <x v="0"/>
    <x v="1"/>
    <x v="5"/>
    <s v="CEM:ITHCEMB2ADT14:LOM P1"/>
    <x v="0"/>
    <b v="0"/>
    <s v="No está en VPC"/>
    <n v="712"/>
    <s v="INTPG_VPC_712_1.27_713_1.28"/>
    <s v="ISEL-1.27"/>
    <n v="1"/>
    <s v="NO TIENE L3OUT"/>
    <n v="32"/>
    <n v="54"/>
  </r>
  <r>
    <n v="719"/>
    <x v="2"/>
    <x v="34"/>
    <s v="eth1/27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27"/>
    <x v="0"/>
    <x v="0"/>
    <x v="0"/>
    <m/>
    <x v="0"/>
    <b v="0"/>
    <s v="No está en VPC"/>
    <n v="715"/>
    <s v="INTPG-VPC_KFK03_715_1.27_716_1.28"/>
    <s v="ISEL-1.27"/>
    <n v="1"/>
    <s v="NO TIENE L3OUT"/>
    <n v="0"/>
    <n v="54"/>
  </r>
  <r>
    <n v="427"/>
    <x v="1"/>
    <x v="36"/>
    <s v="eth1/27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27"/>
    <x v="0"/>
    <x v="1"/>
    <x v="5"/>
    <s v="CEM:ITHCEMC2ADT14:LOM P1"/>
    <x v="0"/>
    <b v="0"/>
    <s v="No está en VPC"/>
    <n v="711"/>
    <s v="INTPG_VPC_710_1.28_711_1.27"/>
    <s v="ISEL-1.27"/>
    <n v="1"/>
    <s v="NO TIENE L3OUT"/>
    <n v="16"/>
    <n v="54"/>
  </r>
  <r>
    <n v="716"/>
    <x v="2"/>
    <x v="38"/>
    <s v="eth1/27"/>
    <x v="0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27"/>
    <x v="0"/>
    <x v="0"/>
    <x v="0"/>
    <m/>
    <x v="0"/>
    <b v="0"/>
    <s v="No está en VPC"/>
    <n v="702"/>
    <s v="INTPG_VPC_702_1.27_701_1.28"/>
    <s v="ISEL-1.27"/>
    <n v="1"/>
    <s v="NO TIENE L3OUT"/>
    <n v="0"/>
    <n v="54"/>
  </r>
  <r>
    <n v="435"/>
    <x v="1"/>
    <x v="40"/>
    <s v="eth1/27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27"/>
    <x v="0"/>
    <x v="0"/>
    <x v="0"/>
    <m/>
    <x v="0"/>
    <b v="0"/>
    <s v="No está en VPC"/>
    <n v="446"/>
    <s v="INTPG_ACC_446_1.27"/>
    <s v="ISEL-1.27"/>
    <n v="9"/>
    <s v="NO TIENE L3OUT"/>
    <n v="198"/>
    <n v="54"/>
  </r>
  <r>
    <n v="444"/>
    <x v="1"/>
    <x v="42"/>
    <s v="eth1/27"/>
    <x v="0"/>
    <x v="0"/>
    <x v="0"/>
    <s v="TO-ITHFDLMCLWLCN04"/>
    <x v="0"/>
    <b v="0"/>
    <s v="No está en VPC"/>
    <n v="444"/>
    <s v="INTPG_VPC_446_1.26_444_1.27"/>
    <s v="ISEL-1.27"/>
    <n v="3"/>
    <s v="NO TIENE L3OUT"/>
    <n v="234"/>
    <n v="54"/>
  </r>
  <r>
    <n v="701"/>
    <x v="2"/>
    <x v="43"/>
    <s v="eth1/27"/>
    <x v="0"/>
    <x v="0"/>
    <x v="0"/>
    <m/>
    <x v="0"/>
    <b v="0"/>
    <s v="No está en VPC"/>
    <n v="701"/>
    <s v="INTPG_VPC_701_1.27_702_1.28"/>
    <s v="ISEL-1.27"/>
    <n v="1"/>
    <s v="NO TIENE L3OUT"/>
    <n v="0"/>
    <n v="54"/>
  </r>
  <r>
    <n v="440"/>
    <x v="1"/>
    <x v="44"/>
    <s v="eth1/27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27"/>
    <x v="0"/>
    <x v="0"/>
    <x v="0"/>
    <s v="ZTE_EDR"/>
    <x v="0"/>
    <b v="0"/>
    <s v="No está en VPC"/>
    <n v="448"/>
    <s v="INTPG_VPC_431_1.26-27_448_1.26-27"/>
    <s v="ISEL-1.27"/>
    <n v="2"/>
    <s v="NO TIENE L3OUT"/>
    <n v="46"/>
    <n v="54"/>
  </r>
  <r>
    <n v="704"/>
    <x v="2"/>
    <x v="46"/>
    <s v="eth1/27"/>
    <x v="0"/>
    <x v="0"/>
    <x v="0"/>
    <m/>
    <x v="0"/>
    <b v="0"/>
    <s v="No está en VPC"/>
    <n v="704"/>
    <s v="INTPG_VPC_704_1.27_703_1.28"/>
    <s v="ISEL-1.27"/>
    <n v="1"/>
    <s v="NO TIENE L3OUT"/>
    <n v="0"/>
    <n v="54"/>
  </r>
  <r>
    <n v="729"/>
    <x v="2"/>
    <x v="47"/>
    <s v="eth1/27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27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27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603"/>
    <x v="1"/>
    <x v="50"/>
    <s v="eth1/27"/>
    <x v="0"/>
    <x v="1"/>
    <x v="3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27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27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27"/>
    <x v="0"/>
    <x v="0"/>
    <x v="0"/>
    <s v="Server_Pre-R02-RH2288-02"/>
    <x v="0"/>
    <b v="0"/>
    <s v="No está en VPC"/>
    <n v="730"/>
    <s v="INTPG_ACC_730_1.27"/>
    <s v="ISEL-1.27"/>
    <n v="1"/>
    <s v="NO TIENE L3OUT"/>
    <n v="36"/>
    <n v="54"/>
  </r>
  <r>
    <n v="722"/>
    <x v="2"/>
    <x v="54"/>
    <s v="eth1/27"/>
    <x v="0"/>
    <x v="1"/>
    <x v="5"/>
    <m/>
    <x v="0"/>
    <b v="0"/>
    <s v="No está en VPC"/>
    <n v="722"/>
    <s v="INTPG-VPC_SLR20_722_1.27_723_1.28"/>
    <s v="ISEL-1.27"/>
    <n v="1"/>
    <s v="NO TIENE L3OUT"/>
    <n v="0"/>
    <n v="54"/>
  </r>
  <r>
    <n v="733"/>
    <x v="2"/>
    <x v="55"/>
    <s v="eth1/27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27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27"/>
    <x v="0"/>
    <x v="0"/>
    <x v="0"/>
    <s v="CRM, CBS:ITHHWBESRK1TSH01:ETH0"/>
    <x v="0"/>
    <b v="0"/>
    <s v="No está en VPC"/>
    <n v="748"/>
    <s v="INTPG_ACC_748_1.27"/>
    <s v="ISEL-1.27"/>
    <n v="1"/>
    <s v="NO TIENE L3OUT"/>
    <n v="2"/>
    <n v="54"/>
  </r>
  <r>
    <n v="756"/>
    <x v="2"/>
    <x v="58"/>
    <s v="eth1/27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27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27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27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27"/>
    <x v="0"/>
    <x v="1"/>
    <x v="1"/>
    <s v="CEM:ITHCEMA2ADT14:LOM P3"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27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27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27"/>
    <x v="1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27"/>
    <x v="0"/>
    <x v="1"/>
    <x v="3"/>
    <s v="PAAS:ithhwosstpap002:LOM PORT 1"/>
    <x v="0"/>
    <b v="0"/>
    <s v="No está en VPC"/>
    <n v="752"/>
    <s v="INTPG_VPC_747_1.27_752_1.27"/>
    <s v="ISEL-1.27"/>
    <n v="0"/>
    <s v="NO TIENE L3OUT"/>
    <n v="0"/>
    <n v="54"/>
  </r>
  <r>
    <n v="765"/>
    <x v="2"/>
    <x v="67"/>
    <s v="eth1/27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27"/>
    <x v="0"/>
    <x v="0"/>
    <x v="0"/>
    <s v="CLOUD OPS:ithhwcop01en01:2X P1"/>
    <x v="0"/>
    <b v="0"/>
    <s v="No está en VPC"/>
    <n v="778"/>
    <s v="INTPG_VPC_778_1.27-30_779_1.27-30"/>
    <s v="ISEL-1.27"/>
    <n v="24"/>
    <s v="NO TIENE L3OUT"/>
    <n v="26"/>
    <n v="54"/>
  </r>
  <r>
    <n v="780"/>
    <x v="2"/>
    <x v="69"/>
    <s v="eth1/27"/>
    <x v="0"/>
    <x v="0"/>
    <x v="0"/>
    <s v="CLOUD OPS:ithhwcop02en01:4E P2"/>
    <x v="0"/>
    <b v="0"/>
    <s v="No está en VPC"/>
    <n v="780"/>
    <s v="INTPG_VPC_780_1.20-21_26-27_781_1.20-21_26-27"/>
    <s v="ISEL-1.27"/>
    <n v="23"/>
    <s v="NO TIENE L3OUT"/>
    <n v="26"/>
    <n v="54"/>
  </r>
  <r>
    <n v="812"/>
    <x v="2"/>
    <x v="70"/>
    <s v="eth1/27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27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27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27"/>
    <x v="0"/>
    <x v="0"/>
    <x v="0"/>
    <s v="CRM, CBS:ITHHWBESRK1TSH01:ETH8"/>
    <x v="0"/>
    <b v="0"/>
    <s v="No está en VPC"/>
    <n v="749"/>
    <s v="INTPG_ACC_749_1.27"/>
    <s v="ISEL-1.27"/>
    <n v="1"/>
    <s v="NO TIENE L3OUT"/>
    <n v="4"/>
    <n v="54"/>
  </r>
  <r>
    <n v="824"/>
    <x v="2"/>
    <x v="74"/>
    <s v="eth1/27"/>
    <x v="0"/>
    <x v="0"/>
    <x v="0"/>
    <s v="LINK_TO_ITHFHWCMVWPMA14 /Slot5.1 /Redundante"/>
    <x v="0"/>
    <b v="0"/>
    <s v="No está en VPC"/>
    <n v="824"/>
    <s v="INTPG_ACC_824_1.27"/>
    <s v="ISEL-1.27"/>
    <n v="1"/>
    <s v="NO TIENE L3OUT"/>
    <n v="70"/>
    <n v="54"/>
  </r>
  <r>
    <n v="819"/>
    <x v="2"/>
    <x v="75"/>
    <s v="eth1/27"/>
    <x v="0"/>
    <x v="0"/>
    <x v="0"/>
    <s v="LINK_TO_ITHFHWCMVWPMA14 /10GE.1 /Principal"/>
    <x v="0"/>
    <b v="0"/>
    <s v="No está en VPC"/>
    <n v="819"/>
    <s v="INTPG_ACC_819_1.27"/>
    <s v="ISEL-1.27"/>
    <n v="1"/>
    <s v="NO TIENE L3OUT"/>
    <n v="70"/>
    <n v="54"/>
  </r>
  <r>
    <n v="737"/>
    <x v="2"/>
    <x v="76"/>
    <s v="eth1/27"/>
    <x v="0"/>
    <x v="0"/>
    <x v="0"/>
    <s v="CEM:ITHCEMF2KFK14:LOM P3"/>
    <x v="5"/>
    <b v="0"/>
    <s v="No está en VPC"/>
    <n v="737"/>
    <s v="INTPG_ACC_737_1.27"/>
    <s v="ISEL-1.27"/>
    <n v="1"/>
    <s v="NO TIENE L3OUT"/>
    <n v="72"/>
    <n v="54"/>
  </r>
  <r>
    <n v="844"/>
    <x v="2"/>
    <x v="77"/>
    <s v="eth1/27"/>
    <x v="0"/>
    <x v="0"/>
    <x v="0"/>
    <s v="LINK_TO_ITHFHWCRMPLCN109 / Slot1.3_22 / Principal"/>
    <x v="0"/>
    <b v="0"/>
    <s v="No está en VPC"/>
    <n v="844"/>
    <s v="INTPG_ACC_844_1.27"/>
    <s v="ISEL-1.27"/>
    <n v="1"/>
    <s v="NO TIENE L3OUT"/>
    <n v="282"/>
    <n v="54"/>
  </r>
  <r>
    <n v="843"/>
    <x v="2"/>
    <x v="78"/>
    <s v="eth1/27"/>
    <x v="0"/>
    <x v="0"/>
    <x v="0"/>
    <s v="LINK_To_ITHFHWCBSPSWR44 / Slot7.1_32 / Redundante"/>
    <x v="0"/>
    <b v="0"/>
    <s v="No está en VPC"/>
    <n v="843"/>
    <s v="INTPG_VPC_838_1.27_843_1.27"/>
    <s v="ISEL-1.27"/>
    <n v="2"/>
    <s v="NO TIENE L3OUT"/>
    <n v="38"/>
    <n v="54"/>
  </r>
  <r>
    <n v="797"/>
    <x v="2"/>
    <x v="79"/>
    <s v="eth1/27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27"/>
    <x v="0"/>
    <x v="0"/>
    <x v="0"/>
    <s v="LINK_TO_ITHFHWCBSPSHD38 / Slot7.3_14 / Redundante"/>
    <x v="0"/>
    <b v="0"/>
    <s v="No está en VPC"/>
    <n v="839"/>
    <s v="INTPG_VPC_834_1.27_839_1.27"/>
    <s v="ISEL-1.27"/>
    <n v="1"/>
    <s v="NO TIENE L3OUT"/>
    <n v="0"/>
    <n v="54"/>
  </r>
  <r>
    <n v="847"/>
    <x v="2"/>
    <x v="81"/>
    <s v="eth1/27"/>
    <x v="0"/>
    <x v="0"/>
    <x v="0"/>
    <s v="LINK_TO_ITHFHWCRMPLCN174 / Slot7.2_18 / Redundante"/>
    <x v="0"/>
    <b v="0"/>
    <s v="No está en VPC"/>
    <n v="847"/>
    <s v="INTPG_ACC_847_1.27"/>
    <s v="ISEL-1.27"/>
    <n v="2"/>
    <s v="NO TIENE L3OUT"/>
    <n v="204"/>
    <n v="54"/>
  </r>
  <r>
    <n v="848"/>
    <x v="2"/>
    <x v="82"/>
    <s v="eth1/27"/>
    <x v="0"/>
    <x v="0"/>
    <x v="0"/>
    <s v="LINK_TO_ITHFHWCRMPLCN163 / Slot7.2_28 / Redundante"/>
    <x v="0"/>
    <b v="0"/>
    <s v="No está en VPC"/>
    <n v="848"/>
    <s v="INTPG_ACC_848_1.27"/>
    <s v="ISEL-1.27"/>
    <n v="2"/>
    <s v="NO TIENE L3OUT"/>
    <n v="254"/>
    <n v="54"/>
  </r>
  <r>
    <n v="846"/>
    <x v="2"/>
    <x v="83"/>
    <s v="eth1/27"/>
    <x v="0"/>
    <x v="0"/>
    <x v="0"/>
    <s v="LINK_TO_ITHFHWCRMPLCN80 / Slot1.3_18 / Principal"/>
    <x v="0"/>
    <b v="0"/>
    <s v="No está en VPC"/>
    <n v="846"/>
    <s v="INTPG_ACC_846_1.27"/>
    <s v="ISEL-1.27"/>
    <n v="1"/>
    <s v="NO TIENE L3OUT"/>
    <n v="242"/>
    <n v="54"/>
  </r>
  <r>
    <n v="838"/>
    <x v="2"/>
    <x v="84"/>
    <s v="eth1/27"/>
    <x v="0"/>
    <x v="0"/>
    <x v="0"/>
    <s v="LINK_To_ITHFHWCBSPSWR44 / Slot1.1_32 / Principal"/>
    <x v="0"/>
    <b v="0"/>
    <s v="No está en VPC"/>
    <n v="838"/>
    <s v="INTPG_VPC_838_1.27_843_1.27"/>
    <s v="ISEL-1.27"/>
    <n v="2"/>
    <s v="NO TIENE L3OUT"/>
    <n v="38"/>
    <n v="54"/>
  </r>
  <r>
    <n v="849"/>
    <x v="2"/>
    <x v="85"/>
    <s v="eth1/27"/>
    <x v="0"/>
    <x v="0"/>
    <x v="0"/>
    <s v="LINK_TO_ITHFHWCRMPLCN143 / Slot7.2_20 / Redundante"/>
    <x v="0"/>
    <b v="0"/>
    <s v="No está en VPC"/>
    <n v="849"/>
    <s v="INTPG_ACC_849_1.27"/>
    <s v="ISEL-1.27"/>
    <n v="2"/>
    <s v="NO TIENE L3OUT"/>
    <n v="286"/>
    <n v="54"/>
  </r>
  <r>
    <n v="845"/>
    <x v="2"/>
    <x v="86"/>
    <s v="eth1/27"/>
    <x v="0"/>
    <x v="0"/>
    <x v="0"/>
    <s v="LINK_TO_ITHFHWCRMPLCN93 / Slot1.1_18 / Principal"/>
    <x v="0"/>
    <b v="0"/>
    <s v="No está en VPC"/>
    <n v="845"/>
    <s v="INTPG_ACC_845_1.27"/>
    <s v="ISEL-1.27"/>
    <n v="6"/>
    <s v="NO TIENE L3OUT"/>
    <n v="258"/>
    <n v="54"/>
  </r>
  <r>
    <n v="873"/>
    <x v="2"/>
    <x v="87"/>
    <s v="eth1/27"/>
    <x v="0"/>
    <x v="0"/>
    <x v="0"/>
    <s v="TO_ITHFHWCRMDLCN62_Principal"/>
    <x v="0"/>
    <b v="0"/>
    <s v="No está en VPC"/>
    <n v="873"/>
    <s v="INTPG_ACC_873_1.27"/>
    <s v="ISEL-1.27"/>
    <n v="6"/>
    <s v="NO TIENE L3OUT"/>
    <n v="248"/>
    <n v="54"/>
  </r>
  <r>
    <n v="864"/>
    <x v="2"/>
    <x v="88"/>
    <s v="eth1/27"/>
    <x v="0"/>
    <x v="0"/>
    <x v="0"/>
    <s v="To_VPC_2DCBSD_WR44_3"/>
    <x v="0"/>
    <b v="0"/>
    <s v="No está en VPC"/>
    <n v="864"/>
    <s v="INTPG_VPC_859_1.27_864_1.27"/>
    <s v="ISEL-1.27"/>
    <n v="1"/>
    <s v="NO TIENE L3OUT"/>
    <n v="0"/>
    <n v="54"/>
  </r>
  <r>
    <n v="836"/>
    <x v="2"/>
    <x v="89"/>
    <s v="eth1/27"/>
    <x v="0"/>
    <x v="0"/>
    <x v="0"/>
    <s v="LINK_TO_ITHFHWCBSPSWR54 / Slot1.2_36 / Principal"/>
    <x v="0"/>
    <b v="0"/>
    <s v="No está en VPC"/>
    <n v="836"/>
    <s v="INTPG_VPC_836_1.27_841_1.27"/>
    <s v="ISEL-1.27"/>
    <n v="1"/>
    <s v="NO TIENE L3OUT"/>
    <n v="0"/>
    <n v="54"/>
  </r>
  <r>
    <n v="834"/>
    <x v="2"/>
    <x v="90"/>
    <s v="eth1/27"/>
    <x v="0"/>
    <x v="0"/>
    <x v="0"/>
    <s v="LINK_TO_ITHFHWCBSPSHD38 / Slot1.3_14 / Principal"/>
    <x v="0"/>
    <b v="0"/>
    <s v="No está en VPC"/>
    <n v="834"/>
    <s v="INTPG_VPC_834_1.27_839_1.27"/>
    <s v="ISEL-1.27"/>
    <n v="1"/>
    <s v="NO TIENE L3OUT"/>
    <n v="0"/>
    <n v="54"/>
  </r>
  <r>
    <n v="872"/>
    <x v="2"/>
    <x v="91"/>
    <s v="eth1/27"/>
    <x v="0"/>
    <x v="0"/>
    <x v="0"/>
    <s v="To_ITHFHWCRMDLCN78_Principal"/>
    <x v="0"/>
    <b v="0"/>
    <s v="No está en VPC"/>
    <n v="872"/>
    <s v="INTPG_ACC_872_1.27"/>
    <s v="ISEL-1.27"/>
    <n v="6"/>
    <s v="NO TIENE L3OUT"/>
    <n v="288"/>
    <n v="54"/>
  </r>
  <r>
    <n v="842"/>
    <x v="2"/>
    <x v="92"/>
    <s v="eth1/27"/>
    <x v="0"/>
    <x v="0"/>
    <x v="0"/>
    <s v="LINK_TO_ITHFHWCBSPSWR48 / Slot7.2_32 / Redundante"/>
    <x v="0"/>
    <b v="0"/>
    <s v="No está en VPC"/>
    <n v="842"/>
    <s v="INTPG_VPC_837_1.27_842_1.27"/>
    <s v="ISEL-1.27"/>
    <n v="1"/>
    <s v="NO TIENE L3OUT"/>
    <n v="8"/>
    <n v="54"/>
  </r>
  <r>
    <n v="828"/>
    <x v="2"/>
    <x v="93"/>
    <s v="eth1/27"/>
    <x v="0"/>
    <x v="0"/>
    <x v="0"/>
    <s v="LINK_TO_ITHFHWCRMDLCN24 /10GE.1 /Principal"/>
    <x v="0"/>
    <b v="0"/>
    <s v="No está en VPC"/>
    <n v="828"/>
    <s v="INTPG_ACC_828_1.27"/>
    <s v="ISEL-1.27"/>
    <n v="2"/>
    <s v="NO TIENE L3OUT"/>
    <n v="192"/>
    <n v="54"/>
  </r>
  <r>
    <n v="870"/>
    <x v="2"/>
    <x v="94"/>
    <s v="eth1/27"/>
    <x v="0"/>
    <x v="0"/>
    <x v="0"/>
    <s v="TO_ITHFHWCRMDLCN62_Redundante"/>
    <x v="0"/>
    <b v="0"/>
    <s v="No está en VPC"/>
    <n v="870"/>
    <s v="INTPG_ACC_870_1.27"/>
    <s v="ISEL-1.27"/>
    <n v="6"/>
    <s v="NO TIENE L3OUT"/>
    <n v="248"/>
    <n v="54"/>
  </r>
  <r>
    <n v="866"/>
    <x v="2"/>
    <x v="95"/>
    <s v="eth1/27"/>
    <x v="0"/>
    <x v="0"/>
    <x v="0"/>
    <s v="To_VPC_2DCBSD_TL04_2"/>
    <x v="0"/>
    <b v="0"/>
    <s v="No está en VPC"/>
    <n v="866"/>
    <s v="INTPG_VPC_861_1.27_866_1.27"/>
    <s v="ISEL-1.27"/>
    <n v="1"/>
    <s v="NO TIENE L3OUT"/>
    <n v="8"/>
    <n v="54"/>
  </r>
  <r>
    <n v="862"/>
    <x v="2"/>
    <x v="96"/>
    <s v="eth1/27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27"/>
    <x v="0"/>
    <x v="0"/>
    <x v="0"/>
    <s v="LINK_TO_ITHFHWCRMPLCN163 / Slot1.2_28 / Principal"/>
    <x v="0"/>
    <b v="0"/>
    <s v="No está en VPC"/>
    <n v="855"/>
    <s v="INTPG_ACC_855_1.27"/>
    <s v="ISEL-1.27"/>
    <n v="2"/>
    <s v="NO TIENE L3OUT"/>
    <n v="254"/>
    <n v="54"/>
  </r>
  <r>
    <n v="871"/>
    <x v="2"/>
    <x v="98"/>
    <s v="eth1/27"/>
    <x v="0"/>
    <x v="0"/>
    <x v="0"/>
    <s v="To_VPC_2DCRMD_SBD11_3"/>
    <x v="0"/>
    <b v="0"/>
    <s v="No está en VPC"/>
    <n v="871"/>
    <s v="INTPG_VPC_868_1.27_871_1.27"/>
    <s v="ISEL-1.27"/>
    <n v="1"/>
    <s v="NO TIENE L3OUT"/>
    <n v="246"/>
    <n v="54"/>
  </r>
  <r>
    <n v="841"/>
    <x v="2"/>
    <x v="99"/>
    <s v="eth1/27"/>
    <x v="0"/>
    <x v="0"/>
    <x v="0"/>
    <s v="LINK_TO_ITHFHWCBSPSWR54 / Slot7.2_36 / Redundante"/>
    <x v="0"/>
    <b v="0"/>
    <s v="No está en VPC"/>
    <n v="841"/>
    <s v="INTPG_VPC_836_1.27_841_1.27"/>
    <s v="ISEL-1.27"/>
    <n v="1"/>
    <s v="NO TIENE L3OUT"/>
    <n v="0"/>
    <n v="54"/>
  </r>
  <r>
    <n v="868"/>
    <x v="2"/>
    <x v="100"/>
    <s v="eth1/27"/>
    <x v="0"/>
    <x v="0"/>
    <x v="0"/>
    <s v="To_VPC_2DCRMD_SBD11_3"/>
    <x v="0"/>
    <b v="0"/>
    <s v="No está en VPC"/>
    <n v="868"/>
    <s v="INTPG_VPC_868_1.27_871_1.27"/>
    <s v="ISEL-1.27"/>
    <n v="1"/>
    <s v="NO TIENE L3OUT"/>
    <n v="246"/>
    <n v="54"/>
  </r>
  <r>
    <n v="869"/>
    <x v="2"/>
    <x v="101"/>
    <s v="eth1/27"/>
    <x v="0"/>
    <x v="0"/>
    <x v="0"/>
    <s v="To_ITHFHWCRMDLCN78_Redundante"/>
    <x v="0"/>
    <b v="0"/>
    <s v="No está en VPC"/>
    <n v="869"/>
    <s v="INTPG_ACC_869_1.27"/>
    <s v="ISEL-1.27"/>
    <n v="6"/>
    <s v="NO TIENE L3OUT"/>
    <n v="288"/>
    <n v="54"/>
  </r>
  <r>
    <n v="861"/>
    <x v="2"/>
    <x v="102"/>
    <s v="eth1/27"/>
    <x v="0"/>
    <x v="0"/>
    <x v="0"/>
    <s v="To_VPC_2DCBSD_TL04_2"/>
    <x v="0"/>
    <b v="0"/>
    <s v="No está en VPC"/>
    <n v="861"/>
    <s v="INTPG_VPC_861_1.27_866_1.27"/>
    <s v="ISEL-1.27"/>
    <n v="1"/>
    <s v="NO TIENE L3OUT"/>
    <n v="8"/>
    <n v="54"/>
  </r>
  <r>
    <n v="874"/>
    <x v="2"/>
    <x v="103"/>
    <s v="eth1/27"/>
    <x v="0"/>
    <x v="0"/>
    <x v="0"/>
    <s v="A_ITHFHWSEQLCAS26_Redundante"/>
    <x v="4"/>
    <b v="0"/>
    <s v="No está en VPC"/>
    <n v="874"/>
    <s v="INTPG_ACC_874_1.27"/>
    <s v="ISEL-1.27"/>
    <n v="1"/>
    <s v="NO TIENE L3OUT"/>
    <n v="92"/>
    <n v="54"/>
  </r>
  <r>
    <n v="865"/>
    <x v="2"/>
    <x v="104"/>
    <s v="eth1/27"/>
    <x v="0"/>
    <x v="0"/>
    <x v="0"/>
    <s v="To_VPC_2DCBSD_TL05_3"/>
    <x v="0"/>
    <b v="0"/>
    <s v="No está en VPC"/>
    <n v="865"/>
    <s v="INTPG_VPC_860_1.27_865_1.27"/>
    <s v="ISEL-1.27"/>
    <n v="1"/>
    <s v="NO TIENE L3OUT"/>
    <n v="0"/>
    <n v="54"/>
  </r>
  <r>
    <n v="753"/>
    <x v="2"/>
    <x v="105"/>
    <s v="eth1/27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27"/>
    <x v="0"/>
    <x v="1"/>
    <x v="5"/>
    <s v="CEM:ITHCEMF2KFK14:LOM P1"/>
    <x v="0"/>
    <b v="0"/>
    <s v="No está en VPC"/>
    <n v="708"/>
    <s v="INTPG_VPC_708_1.27_709_1.28"/>
    <s v="ISEL-1.27"/>
    <n v="1"/>
    <s v="NO TIENE L3OUT"/>
    <n v="0"/>
    <n v="54"/>
  </r>
  <r>
    <n v="710"/>
    <x v="2"/>
    <x v="107"/>
    <s v="eth1/27"/>
    <x v="0"/>
    <x v="1"/>
    <x v="5"/>
    <s v="CEM:ITHCEMD2ADT14:LOM P1"/>
    <x v="0"/>
    <b v="0"/>
    <s v="No está en VPC"/>
    <n v="710"/>
    <s v="INTPG_VPC_710_1.27_711_1.28"/>
    <s v="ISEL-1.27"/>
    <n v="1"/>
    <s v="NO TIENE L3OUT"/>
    <n v="16"/>
    <n v="54"/>
  </r>
  <r>
    <n v="713"/>
    <x v="2"/>
    <x v="108"/>
    <s v="eth1/27"/>
    <x v="1"/>
    <x v="1"/>
    <x v="3"/>
    <s v="CEM:ITHCEMA2ADT14:LOM P1"/>
    <x v="0"/>
    <b v="0"/>
    <s v="No está en VPC"/>
    <n v="713"/>
    <s v="INTPG_VPC_713_1.27_712_1.28"/>
    <s v="ISEL-1.27"/>
    <n v="0"/>
    <s v="NO TIENE L3OUT"/>
    <n v="32"/>
    <n v="54"/>
  </r>
  <r>
    <n v="735"/>
    <x v="2"/>
    <x v="109"/>
    <s v="eth1/27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27"/>
    <x v="0"/>
    <x v="0"/>
    <x v="0"/>
    <s v="Server_Pre-R02-RH2288-02"/>
    <x v="0"/>
    <b v="0"/>
    <s v="No está en VPC"/>
    <n v="731"/>
    <s v="INTPG_ACC_731_1.27"/>
    <s v="ISEL-1.27"/>
    <n v="1"/>
    <s v="NO TIENE L3OUT"/>
    <n v="38"/>
    <n v="54"/>
  </r>
  <r>
    <n v="703"/>
    <x v="2"/>
    <x v="111"/>
    <s v="eth1/27"/>
    <x v="0"/>
    <x v="0"/>
    <x v="0"/>
    <m/>
    <x v="0"/>
    <b v="0"/>
    <s v="No está en VPC"/>
    <n v="703"/>
    <s v="INTPG_VPC_703_1.27_704_1.28"/>
    <s v="ISEL-1.27"/>
    <n v="1"/>
    <s v="NO TIENE L3OUT"/>
    <n v="2"/>
    <n v="54"/>
  </r>
  <r>
    <n v="706"/>
    <x v="2"/>
    <x v="112"/>
    <s v="eth1/27"/>
    <x v="0"/>
    <x v="0"/>
    <x v="0"/>
    <m/>
    <x v="0"/>
    <b v="0"/>
    <s v="No está en VPC"/>
    <n v="706"/>
    <s v="INTPG_VPC_706_1.27_705_1.28"/>
    <s v="ISEL-1.27"/>
    <n v="1"/>
    <s v="NO TIENE L3OUT"/>
    <n v="16"/>
    <n v="54"/>
  </r>
  <r>
    <n v="762"/>
    <x v="2"/>
    <x v="113"/>
    <s v="eth1/27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14"/>
    <x v="2"/>
    <x v="114"/>
    <s v="eth1/27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27"/>
    <x v="0"/>
    <x v="1"/>
    <x v="0"/>
    <s v="TO-ITHFXFPOCXLCN01"/>
    <x v="4"/>
    <b v="0"/>
    <s v="No está en VPC"/>
    <n v="878"/>
    <s v="INTPG_VPC_878_1.27_879_1.27"/>
    <s v="ISEL-1.27"/>
    <n v="1"/>
    <s v="NO TIENE L3OUT"/>
    <n v="0"/>
    <n v="54"/>
  </r>
  <r>
    <n v="826"/>
    <x v="2"/>
    <x v="116"/>
    <s v="eth1/27"/>
    <x v="0"/>
    <x v="0"/>
    <x v="0"/>
    <s v="LINK_TO_ITHFHWCBSDSHD18 /Slot4.2 /Principal"/>
    <x v="0"/>
    <b v="0"/>
    <s v="No está en VPC"/>
    <n v="826"/>
    <s v="INTPG_VPC_826_1.27_830_1.27"/>
    <s v="ISEL-1.27"/>
    <n v="1"/>
    <s v="NO TIENE L3OUT"/>
    <n v="12"/>
    <n v="54"/>
  </r>
  <r>
    <n v="726"/>
    <x v="2"/>
    <x v="117"/>
    <s v="eth1/27"/>
    <x v="0"/>
    <x v="0"/>
    <x v="0"/>
    <m/>
    <x v="0"/>
    <b v="0"/>
    <s v="No está en VPC"/>
    <n v="726"/>
    <s v="INTPG-VPC_SLR13_726_1.27_727_1.28"/>
    <s v="ISEL-1.27"/>
    <n v="1"/>
    <s v="NO TIENE L3OUT"/>
    <n v="0"/>
    <n v="54"/>
  </r>
  <r>
    <n v="740"/>
    <x v="2"/>
    <x v="118"/>
    <s v="eth1/27"/>
    <x v="0"/>
    <x v="0"/>
    <x v="0"/>
    <s v="CEM:ITHCEMC2ADT14:LOM P3"/>
    <x v="5"/>
    <b v="0"/>
    <s v="No está en VPC"/>
    <n v="740"/>
    <s v="INTPG_ACC_740_1.27"/>
    <s v="ISEL-1.27"/>
    <n v="1"/>
    <s v="NO TIENE L3OUT"/>
    <n v="72"/>
    <n v="54"/>
  </r>
  <r>
    <n v="705"/>
    <x v="2"/>
    <x v="119"/>
    <s v="eth1/27"/>
    <x v="0"/>
    <x v="0"/>
    <x v="0"/>
    <m/>
    <x v="0"/>
    <b v="0"/>
    <s v="No está en VPC"/>
    <n v="705"/>
    <s v="INTPG_VPC_705_1.27_706_1.28"/>
    <s v="ISEL-1.27"/>
    <n v="1"/>
    <s v="NO TIENE L3OUT"/>
    <n v="16"/>
    <n v="54"/>
  </r>
  <r>
    <n v="723"/>
    <x v="2"/>
    <x v="120"/>
    <s v="eth1/27"/>
    <x v="0"/>
    <x v="0"/>
    <x v="0"/>
    <m/>
    <x v="0"/>
    <b v="0"/>
    <s v="No está en VPC"/>
    <n v="723"/>
    <s v="INTPG-VPC_SLR18_723_1.27_722_1.28"/>
    <s v="ISEL-1.27"/>
    <n v="1"/>
    <s v="NO TIENE L3OUT"/>
    <n v="0"/>
    <n v="54"/>
  </r>
  <r>
    <n v="721"/>
    <x v="2"/>
    <x v="121"/>
    <s v="eth1/27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27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27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27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27"/>
    <x v="0"/>
    <x v="1"/>
    <x v="5"/>
    <s v="CEM:ITHCEME2KFK14:LOM P1"/>
    <x v="0"/>
    <b v="0"/>
    <s v="No está en VPC"/>
    <n v="709"/>
    <s v="INTPG_VPC_708_1.28_709_1.27"/>
    <s v="ISEL-1.27"/>
    <n v="1"/>
    <s v="NO TIENE L3OUT"/>
    <n v="0"/>
    <n v="54"/>
  </r>
  <r>
    <n v="454"/>
    <x v="1"/>
    <x v="126"/>
    <s v="eth1/27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27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27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27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27"/>
    <x v="0"/>
    <x v="0"/>
    <x v="0"/>
    <m/>
    <x v="0"/>
    <b v="0"/>
    <s v="No está en VPC"/>
    <n v="718"/>
    <s v="INTPG-VPC_ICB03_718_1.27_717_1.28"/>
    <s v="ISEL-1.27"/>
    <n v="1"/>
    <s v="NO TIENE L3OUT"/>
    <n v="0"/>
    <n v="54"/>
  </r>
  <r>
    <n v="744"/>
    <x v="2"/>
    <x v="131"/>
    <s v="eth1/27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27"/>
    <x v="0"/>
    <x v="0"/>
    <x v="0"/>
    <s v="CEM:ITHCEMB2ADT14:LOM P3"/>
    <x v="5"/>
    <b v="0"/>
    <s v="No está en VPC"/>
    <n v="741"/>
    <s v="INTPG_ACC_741_1.27"/>
    <s v="ISEL-1.27"/>
    <n v="1"/>
    <s v="NO TIENE L3OUT"/>
    <n v="62"/>
    <n v="54"/>
  </r>
  <r>
    <n v="787"/>
    <x v="2"/>
    <x v="133"/>
    <s v="eth1/27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27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27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27"/>
    <x v="0"/>
    <x v="1"/>
    <x v="3"/>
    <s v="CEM_HADOOP"/>
    <x v="0"/>
    <b v="0"/>
    <s v="No está en VPC"/>
    <n v="736"/>
    <s v="INTPG_ACC_736_1.27"/>
    <s v="ISEL-1.27"/>
    <n v="0"/>
    <s v="NO TIENE L3OUT"/>
    <n v="48"/>
    <n v="54"/>
  </r>
  <r>
    <n v="799"/>
    <x v="2"/>
    <x v="137"/>
    <s v="eth1/27"/>
    <x v="0"/>
    <x v="0"/>
    <x v="0"/>
    <s v="TO-ITHFDEVDICL01ESX01"/>
    <x v="0"/>
    <b v="0"/>
    <s v="No está en VPC"/>
    <n v="799"/>
    <s v="INTPG_VPC_798_1.27_799_1.27"/>
    <s v="ISEL-1.27"/>
    <n v="6"/>
    <s v="NO TIENE L3OUT"/>
    <n v="52"/>
    <n v="54"/>
  </r>
  <r>
    <n v="768"/>
    <x v="2"/>
    <x v="138"/>
    <s v="eth1/27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27"/>
    <x v="0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27"/>
    <x v="0"/>
    <x v="0"/>
    <x v="0"/>
    <m/>
    <x v="0"/>
    <b v="0"/>
    <s v="No está en VPC"/>
    <n v="717"/>
    <s v="INTPG-VPC_GWN02_717_1.27_718_1.28"/>
    <s v="ISEL-1.27"/>
    <n v="1"/>
    <s v="NO TIENE L3OUT"/>
    <n v="0"/>
    <n v="54"/>
  </r>
  <r>
    <n v="789"/>
    <x v="2"/>
    <x v="141"/>
    <s v="eth1/27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27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27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27"/>
    <x v="0"/>
    <x v="0"/>
    <x v="0"/>
    <s v="CLOUD PAAS PAYG F2:Ithhwvm1dch1:Slot 3x/Pto 1"/>
    <x v="0"/>
    <b v="0"/>
    <s v="No está en VPC"/>
    <n v="774"/>
    <s v="INTPG_VPC_774_1.25-28_775_1.29-32"/>
    <s v="ISEL-1.27"/>
    <n v="152"/>
    <s v="NO TIENE L3OUT"/>
    <n v="0"/>
    <n v="54"/>
  </r>
  <r>
    <n v="773"/>
    <x v="2"/>
    <x v="145"/>
    <s v="eth1/27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27"/>
    <x v="0"/>
    <x v="0"/>
    <x v="0"/>
    <s v="DESC"/>
    <x v="0"/>
    <b v="0"/>
    <s v="No está en VPC"/>
    <n v="794"/>
    <s v="INTPG_PC_794_1.17_19_21_23_25_27"/>
    <s v="ISEL-1.27"/>
    <n v="1"/>
    <s v="NO TIENE L3OUT"/>
    <n v="12"/>
    <n v="54"/>
  </r>
  <r>
    <n v="803"/>
    <x v="2"/>
    <x v="147"/>
    <s v="eth1/27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27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27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27"/>
    <x v="0"/>
    <x v="0"/>
    <x v="0"/>
    <s v="CLOUD OPS:ithhwcop02en01:4E P4"/>
    <x v="0"/>
    <b v="0"/>
    <s v="No está en VPC"/>
    <n v="781"/>
    <s v="INTPG_VPC_780_1.20-21_26-27_781_1.20-21_26-27"/>
    <s v="ISEL-1.27"/>
    <n v="23"/>
    <s v="NO TIENE L3OUT"/>
    <n v="26"/>
    <n v="54"/>
  </r>
  <r>
    <n v="793"/>
    <x v="2"/>
    <x v="151"/>
    <s v="eth1/27"/>
    <x v="0"/>
    <x v="0"/>
    <x v="0"/>
    <s v="DESC"/>
    <x v="0"/>
    <b v="0"/>
    <s v="No está en VPC"/>
    <n v="793"/>
    <s v="INTPG_PC_793_1.17_19_21_23_25_27"/>
    <s v="ISEL-1.27"/>
    <n v="1"/>
    <s v="NO TIENE L3OUT"/>
    <n v="12"/>
    <n v="54"/>
  </r>
  <r>
    <n v="747"/>
    <x v="2"/>
    <x v="152"/>
    <s v="eth1/27"/>
    <x v="0"/>
    <x v="1"/>
    <x v="3"/>
    <s v="PAAS:ithhwosstpap002:Slot4.2"/>
    <x v="0"/>
    <b v="0"/>
    <s v="No está en VPC"/>
    <n v="747"/>
    <s v="INTPG_VPC_747_1.27_752_1.27"/>
    <s v="ISEL-1.27"/>
    <n v="0"/>
    <s v="NO TIENE L3OUT"/>
    <n v="0"/>
    <n v="54"/>
  </r>
  <r>
    <n v="784"/>
    <x v="2"/>
    <x v="153"/>
    <s v="eth1/27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27"/>
    <x v="1"/>
    <x v="1"/>
    <x v="2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27"/>
    <x v="0"/>
    <x v="0"/>
    <x v="0"/>
    <s v="CLOUD PAAS PAYG F2:Ithhwvm1ach1:Slot 3x/Pto 1"/>
    <x v="0"/>
    <b v="0"/>
    <s v="No está en VPC"/>
    <n v="777"/>
    <s v="INTPG_VPC_776_1.29-32_777_1.25-28"/>
    <s v="ISEL-1.27"/>
    <n v="93"/>
    <s v="NO TIENE L3OUT"/>
    <n v="0"/>
    <n v="54"/>
  </r>
  <r>
    <n v="770"/>
    <x v="2"/>
    <x v="156"/>
    <s v="eth1/27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27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27"/>
    <x v="0"/>
    <x v="0"/>
    <x v="0"/>
    <s v="CEM:ITHCEMD2ADT14:LOM P3"/>
    <x v="5"/>
    <b v="0"/>
    <s v="No está en VPC"/>
    <n v="739"/>
    <s v="INTPG_ACC_739_1.27"/>
    <s v="ISEL-1.27"/>
    <n v="1"/>
    <s v="NO TIENE L3OUT"/>
    <n v="72"/>
    <n v="54"/>
  </r>
  <r>
    <n v="775"/>
    <x v="2"/>
    <x v="159"/>
    <s v="eth1/27"/>
    <x v="0"/>
    <x v="0"/>
    <x v="0"/>
    <s v="CLOUD PAAS PAYG F2:Ithhwvm1cch1:Slot 3x/Pto 1"/>
    <x v="0"/>
    <b v="0"/>
    <s v="No está en VPC"/>
    <n v="775"/>
    <s v="INTPG_VPC_774_1.29-32_775_1.25-28"/>
    <s v="ISEL-1.27"/>
    <n v="169"/>
    <s v="NO TIENE L3OUT"/>
    <n v="0"/>
    <n v="54"/>
  </r>
  <r>
    <n v="791"/>
    <x v="2"/>
    <x v="160"/>
    <s v="eth1/27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27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27"/>
    <x v="0"/>
    <x v="0"/>
    <x v="0"/>
    <s v="LINK_TO_ITHFHWCBSDSHD18 /Slot6.2 /Redundante"/>
    <x v="0"/>
    <b v="0"/>
    <s v="No está en VPC"/>
    <n v="830"/>
    <s v="INTPG_VPC_826_1.27_830_1.27"/>
    <s v="ISEL-1.27"/>
    <n v="1"/>
    <s v="NO TIENE L3OUT"/>
    <n v="12"/>
    <n v="54"/>
  </r>
  <r>
    <n v="821"/>
    <x v="2"/>
    <x v="163"/>
    <s v="eth1/27"/>
    <x v="0"/>
    <x v="0"/>
    <x v="0"/>
    <s v="LINK_TO_ITHFHWCBSPSHD18 /Slot6.2 /Redundante"/>
    <x v="0"/>
    <b v="0"/>
    <s v="No está en VPC"/>
    <n v="821"/>
    <s v="INTPG_VPC_816_1.27_821_1.27"/>
    <s v="ISEL-1.27"/>
    <n v="1"/>
    <s v="NO TIENE L3OUT"/>
    <n v="0"/>
    <n v="54"/>
  </r>
  <r>
    <n v="738"/>
    <x v="2"/>
    <x v="164"/>
    <s v="eth1/27"/>
    <x v="0"/>
    <x v="0"/>
    <x v="0"/>
    <s v="CEM:ITHCEME2KFK14:LOM P3"/>
    <x v="5"/>
    <b v="0"/>
    <s v="No está en VPC"/>
    <n v="738"/>
    <s v="INTPG_ACC_738_1.27"/>
    <s v="ISEL-1.27"/>
    <n v="1"/>
    <s v="NO TIENE L3OUT"/>
    <n v="72"/>
    <n v="54"/>
  </r>
  <r>
    <n v="820"/>
    <x v="2"/>
    <x v="165"/>
    <s v="eth1/27"/>
    <x v="0"/>
    <x v="0"/>
    <x v="0"/>
    <s v="LINKT_TO_ITHFHWCRMPLCN133 / Slot7.3_36 / Redundante"/>
    <x v="0"/>
    <b v="0"/>
    <s v="No está en VPC"/>
    <n v="820"/>
    <s v="INTPG_ACC_820_1.27"/>
    <s v="ISEL-1.27"/>
    <n v="1"/>
    <s v="NO TIENE L3OUT"/>
    <n v="72"/>
    <n v="54"/>
  </r>
  <r>
    <n v="804"/>
    <x v="2"/>
    <x v="166"/>
    <s v="eth1/27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27"/>
    <x v="0"/>
    <x v="0"/>
    <x v="0"/>
    <s v="CLOUD OPS:ithhwcop01en01:2X P3"/>
    <x v="0"/>
    <b v="0"/>
    <s v="No está en VPC"/>
    <n v="779"/>
    <s v="INTPG_VPC_778_1.27-30_779_1.27-30"/>
    <s v="ISEL-1.27"/>
    <n v="24"/>
    <s v="NO TIENE L3OUT"/>
    <n v="30"/>
    <n v="54"/>
  </r>
  <r>
    <n v="767"/>
    <x v="2"/>
    <x v="168"/>
    <s v="eth1/27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27"/>
    <x v="0"/>
    <x v="0"/>
    <x v="0"/>
    <s v="LINK_TO_ITHFHWCBSDSWR25 /10GE.1 /Principal"/>
    <x v="0"/>
    <b v="0"/>
    <s v="No está en VPC"/>
    <n v="827"/>
    <s v="INTPG_VPC_827_1.27_831_1.27"/>
    <s v="ISEL-1.27"/>
    <n v="1"/>
    <s v="NO TIENE L3OUT"/>
    <n v="14"/>
    <n v="54"/>
  </r>
  <r>
    <n v="809"/>
    <x v="2"/>
    <x v="170"/>
    <s v="eth1/27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27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27"/>
    <x v="1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27"/>
    <x v="0"/>
    <x v="0"/>
    <x v="0"/>
    <s v="CLOUD PAAS PAYG F2:Ithhwvm1bch1:Slot 3x/Pto 1"/>
    <x v="0"/>
    <b v="0"/>
    <s v="No está en VPC"/>
    <n v="776"/>
    <s v="INTPG_VPC_776_1.25-28_777_1.29-32"/>
    <s v="ISEL-1.27"/>
    <n v="90"/>
    <s v="NO TIENE L3OUT"/>
    <n v="0"/>
    <n v="54"/>
  </r>
  <r>
    <n v="805"/>
    <x v="2"/>
    <x v="174"/>
    <s v="eth1/27"/>
    <x v="1"/>
    <x v="1"/>
    <x v="2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27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27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27"/>
    <x v="0"/>
    <x v="0"/>
    <x v="0"/>
    <s v="LINK_TO_ITHFHWCRMPLCN109 / Slot7.3_22 / Redundante"/>
    <x v="0"/>
    <b v="0"/>
    <s v="No está en VPC"/>
    <n v="851"/>
    <s v="INTPG_ACC_851_1.27"/>
    <s v="ISEL-1.27"/>
    <n v="1"/>
    <s v="NO TIENE L3OUT"/>
    <n v="282"/>
    <n v="54"/>
  </r>
  <r>
    <n v="798"/>
    <x v="2"/>
    <x v="178"/>
    <s v="eth1/27"/>
    <x v="0"/>
    <x v="0"/>
    <x v="0"/>
    <s v="TO-ITHFDEVDICL01ESX01"/>
    <x v="0"/>
    <b v="0"/>
    <s v="No está en VPC"/>
    <n v="798"/>
    <s v="INTPG_VPC_798_1.27_799_1.27"/>
    <s v="ISEL-1.27"/>
    <n v="6"/>
    <s v="NO TIENE L3OUT"/>
    <n v="52"/>
    <n v="54"/>
  </r>
  <r>
    <n v="782"/>
    <x v="2"/>
    <x v="179"/>
    <s v="eth1/27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27"/>
    <x v="0"/>
    <x v="0"/>
    <x v="0"/>
    <s v="LINK_TO_ITHFHWCRMPLCN93 / Slot7.1_18 / Redundante"/>
    <x v="0"/>
    <b v="0"/>
    <s v="No está en VPC"/>
    <n v="852"/>
    <s v="INTPG_ACC_852_1.27"/>
    <s v="ISEL-1.27"/>
    <n v="6"/>
    <s v="NO TIENE L3OUT"/>
    <n v="258"/>
    <n v="54"/>
  </r>
  <r>
    <n v="817"/>
    <x v="2"/>
    <x v="181"/>
    <s v="eth1/27"/>
    <x v="0"/>
    <x v="0"/>
    <x v="0"/>
    <s v="LINK_TO_ITHFHWCBSPSUSBD18 /Slot4.2 /Principal"/>
    <x v="0"/>
    <b v="0"/>
    <s v="No está en VPC"/>
    <n v="817"/>
    <s v="INTPG_VPC_817_1.27_822_1.27"/>
    <s v="ISEL-1.27"/>
    <n v="1"/>
    <s v="NO TIENE L3OUT"/>
    <n v="0"/>
    <n v="54"/>
  </r>
  <r>
    <n v="832"/>
    <x v="2"/>
    <x v="182"/>
    <s v="eth1/27"/>
    <x v="0"/>
    <x v="0"/>
    <x v="0"/>
    <s v="LINK_TO_ITHFHWCRMDLCN24 /Slot5.1 /Redundante"/>
    <x v="0"/>
    <b v="0"/>
    <s v="No está en VPC"/>
    <n v="832"/>
    <s v="INTPG_ACC_832_1.27"/>
    <s v="ISEL-1.27"/>
    <n v="2"/>
    <s v="NO TIENE L3OUT"/>
    <n v="192"/>
    <n v="54"/>
  </r>
  <r>
    <n v="816"/>
    <x v="2"/>
    <x v="183"/>
    <s v="eth1/27"/>
    <x v="0"/>
    <x v="0"/>
    <x v="0"/>
    <s v="LINK_TO_ITHFHWCBSPSHD18 /Slot4.2 /Principal"/>
    <x v="0"/>
    <b v="0"/>
    <s v="No está en VPC"/>
    <n v="816"/>
    <s v="INTPG_VPC_816_1.27_821_1.27"/>
    <s v="ISEL-1.27"/>
    <n v="1"/>
    <s v="NO TIENE L3OUT"/>
    <n v="0"/>
    <n v="54"/>
  </r>
  <r>
    <n v="825"/>
    <x v="2"/>
    <x v="184"/>
    <s v="eth1/27"/>
    <x v="0"/>
    <x v="0"/>
    <x v="0"/>
    <s v="LINKT_TO_ITHFHWCRMPLCN133 / Slot1.3_36 / Principal"/>
    <x v="0"/>
    <b v="0"/>
    <s v="No está en VPC"/>
    <n v="825"/>
    <s v="INTPG_ACC_825_1.27"/>
    <s v="ISEL-1.27"/>
    <n v="1"/>
    <s v="NO TIENE L3OUT"/>
    <n v="72"/>
    <n v="54"/>
  </r>
  <r>
    <n v="800"/>
    <x v="2"/>
    <x v="185"/>
    <s v="eth1/27"/>
    <x v="0"/>
    <x v="0"/>
    <x v="0"/>
    <s v="TO-ITHFHWSEQLCAS07-MSP"/>
    <x v="0"/>
    <b v="0"/>
    <s v="No está en VPC"/>
    <n v="800"/>
    <s v="INTPG_ACC_800_1.27"/>
    <s v="ISEL-1.27"/>
    <n v="1"/>
    <s v="NO TIENE L3OUT"/>
    <n v="78"/>
    <n v="54"/>
  </r>
  <r>
    <n v="801"/>
    <x v="2"/>
    <x v="186"/>
    <s v="eth1/27"/>
    <x v="0"/>
    <x v="0"/>
    <x v="0"/>
    <s v="TO-ITHFHWSEQLCAS07-MSP"/>
    <x v="0"/>
    <b v="0"/>
    <s v="No está en VPC"/>
    <n v="801"/>
    <s v="INTPG_ACC_801_1.27"/>
    <s v="ISEL-1.27"/>
    <n v="1"/>
    <s v="NO TIENE L3OUT"/>
    <n v="78"/>
    <n v="54"/>
  </r>
  <r>
    <n v="823"/>
    <x v="2"/>
    <x v="187"/>
    <s v="eth1/27"/>
    <x v="0"/>
    <x v="0"/>
    <x v="0"/>
    <s v="LINK_TO_ITHFHWCBSPSWR33 /Slot5.1 /Redundante"/>
    <x v="0"/>
    <b v="0"/>
    <s v="No está en VPC"/>
    <n v="823"/>
    <s v="INTPG_VPC_818_1.27_823_1.27"/>
    <s v="ISEL-1.27"/>
    <n v="1"/>
    <s v="NO TIENE L3OUT"/>
    <n v="8"/>
    <n v="54"/>
  </r>
  <r>
    <n v="837"/>
    <x v="2"/>
    <x v="188"/>
    <s v="eth1/27"/>
    <x v="0"/>
    <x v="0"/>
    <x v="0"/>
    <s v="LINK_TO_ITHFHWCBSPSWR48 / Slot1.2_32 / Principal"/>
    <x v="0"/>
    <b v="0"/>
    <s v="No está en VPC"/>
    <n v="837"/>
    <s v="INTPG_VPC_837_1.27_842_1.27"/>
    <s v="ISEL-1.27"/>
    <n v="1"/>
    <s v="NO TIENE L3OUT"/>
    <n v="8"/>
    <n v="54"/>
  </r>
  <r>
    <n v="867"/>
    <x v="2"/>
    <x v="189"/>
    <s v="eth1/27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27"/>
    <x v="0"/>
    <x v="0"/>
    <x v="0"/>
    <s v="To_ITHFHWCRMDLCN44_Principal"/>
    <x v="0"/>
    <b v="0"/>
    <s v="No está en VPC"/>
    <n v="829"/>
    <s v="INTPG_ACC_829_1.27"/>
    <s v="ISEL-1.27"/>
    <n v="6"/>
    <s v="NO TIENE L3OUT"/>
    <n v="224"/>
    <n v="54"/>
  </r>
  <r>
    <n v="831"/>
    <x v="2"/>
    <x v="191"/>
    <s v="eth1/27"/>
    <x v="0"/>
    <x v="0"/>
    <x v="0"/>
    <s v="LINK_TO_ITHFHWCBSDSWR25 /Slot5.1 /Redundante"/>
    <x v="0"/>
    <b v="0"/>
    <s v="No está en VPC"/>
    <n v="831"/>
    <s v="INTPG_VPC_827_1.27_831_1.27"/>
    <s v="ISEL-1.27"/>
    <n v="1"/>
    <s v="NO TIENE L3OUT"/>
    <n v="14"/>
    <n v="54"/>
  </r>
  <r>
    <n v="802"/>
    <x v="2"/>
    <x v="192"/>
    <s v="eth1/27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27"/>
    <x v="0"/>
    <x v="0"/>
    <x v="0"/>
    <s v="LINK_TO_ITHFHWCBSPSHD31 / Slot1.2_14 / Principal"/>
    <x v="0"/>
    <b v="0"/>
    <s v="No está en VPC"/>
    <n v="835"/>
    <s v="INTPG_VPC_835_1.27_840_1.27"/>
    <s v="ISEL-1.27"/>
    <n v="1"/>
    <s v="NO TIENE L3OUT"/>
    <n v="8"/>
    <n v="54"/>
  </r>
  <r>
    <n v="822"/>
    <x v="2"/>
    <x v="194"/>
    <s v="eth1/27"/>
    <x v="0"/>
    <x v="0"/>
    <x v="0"/>
    <s v="LINK_TO_ITHFHWCBSPSUSBD18 /Slot6.2 /Redundante"/>
    <x v="0"/>
    <b v="0"/>
    <s v="No está en VPC"/>
    <n v="822"/>
    <s v="INTPG_VPC_817_1.27_822_1.27"/>
    <s v="ISEL-1.27"/>
    <n v="1"/>
    <s v="NO TIENE L3OUT"/>
    <n v="0"/>
    <n v="54"/>
  </r>
  <r>
    <n v="854"/>
    <x v="2"/>
    <x v="195"/>
    <s v="eth1/27"/>
    <x v="0"/>
    <x v="0"/>
    <x v="0"/>
    <s v="LINK_TO_ITHFHWCRMPLCN174 / Slot1.2_18 / Principal"/>
    <x v="0"/>
    <b v="0"/>
    <s v="No está en VPC"/>
    <n v="854"/>
    <s v="INTPG_ACC_854_1.27"/>
    <s v="ISEL-1.27"/>
    <n v="2"/>
    <s v="NO TIENE L3OUT"/>
    <n v="204"/>
    <n v="54"/>
  </r>
  <r>
    <n v="858"/>
    <x v="2"/>
    <x v="196"/>
    <s v="eth1/27"/>
    <x v="0"/>
    <x v="0"/>
    <x v="0"/>
    <s v="To_VPC_2DCBSD_HD45_3"/>
    <x v="0"/>
    <b v="0"/>
    <s v="No está en VPC"/>
    <n v="858"/>
    <s v="INTPG_VPC_858_1.27_863_1.27"/>
    <s v="ISEL-1.27"/>
    <n v="1"/>
    <s v="NO TIENE L3OUT"/>
    <n v="8"/>
    <n v="54"/>
  </r>
  <r>
    <n v="857"/>
    <x v="2"/>
    <x v="197"/>
    <s v="eth1/27"/>
    <x v="0"/>
    <x v="0"/>
    <x v="0"/>
    <s v="LINKT_TO_ITHFHWCRMPLCN124 / Slot1.2_18 / Principal"/>
    <x v="0"/>
    <b v="0"/>
    <s v="No está en VPC"/>
    <n v="857"/>
    <s v="INTPG_ACC_857_1.27"/>
    <s v="ISEL-1.27"/>
    <n v="2"/>
    <s v="NO TIENE L3OUT"/>
    <n v="288"/>
    <n v="54"/>
  </r>
  <r>
    <n v="859"/>
    <x v="2"/>
    <x v="198"/>
    <s v="eth1/27"/>
    <x v="0"/>
    <x v="0"/>
    <x v="0"/>
    <s v="To_VPC_2DCBSD_WR44_3"/>
    <x v="0"/>
    <b v="0"/>
    <s v="No está en VPC"/>
    <n v="859"/>
    <s v="INTPG_VPC_859_1.27_864_1.27"/>
    <s v="ISEL-1.27"/>
    <n v="1"/>
    <s v="NO TIENE L3OUT"/>
    <n v="0"/>
    <n v="54"/>
  </r>
  <r>
    <n v="833"/>
    <x v="2"/>
    <x v="199"/>
    <s v="eth1/27"/>
    <x v="0"/>
    <x v="0"/>
    <x v="0"/>
    <s v="To_ITHFHWCRMDLCN44_Redundante"/>
    <x v="0"/>
    <b v="0"/>
    <s v="No está en VPC"/>
    <n v="833"/>
    <s v="INTPG_ACC_833_1.27"/>
    <s v="ISEL-1.27"/>
    <n v="6"/>
    <s v="NO TIENE L3OUT"/>
    <n v="224"/>
    <n v="54"/>
  </r>
  <r>
    <n v="818"/>
    <x v="2"/>
    <x v="200"/>
    <s v="eth1/27"/>
    <x v="0"/>
    <x v="0"/>
    <x v="0"/>
    <s v="LINK_TO_ITHFHWCBSPSWR33 /10GE.1 /Principal"/>
    <x v="0"/>
    <b v="0"/>
    <s v="No está en VPC"/>
    <n v="818"/>
    <s v="INTPG_VPC_818_1.27_823_1.27"/>
    <s v="ISEL-1.27"/>
    <n v="1"/>
    <s v="NO TIENE L3OUT"/>
    <n v="8"/>
    <n v="54"/>
  </r>
  <r>
    <n v="850"/>
    <x v="2"/>
    <x v="201"/>
    <s v="eth1/27"/>
    <x v="0"/>
    <x v="0"/>
    <x v="0"/>
    <s v="LINKT_TO_ITHFHWCRMPLCN124 / Slot7.2_18 / Redundante"/>
    <x v="0"/>
    <b v="0"/>
    <s v="No está en VPC"/>
    <n v="850"/>
    <s v="INTPG_ACC_850_1.27"/>
    <s v="ISEL-1.27"/>
    <n v="2"/>
    <s v="NO TIENE L3OUT"/>
    <n v="288"/>
    <n v="54"/>
  </r>
  <r>
    <n v="860"/>
    <x v="2"/>
    <x v="202"/>
    <s v="eth1/27"/>
    <x v="0"/>
    <x v="0"/>
    <x v="0"/>
    <s v="To_VPC_2DCBSD_TL05_3"/>
    <x v="0"/>
    <b v="0"/>
    <s v="No está en VPC"/>
    <n v="860"/>
    <s v="INTPG_VPC_860_1.27_865_1.27"/>
    <s v="ISEL-1.27"/>
    <n v="1"/>
    <s v="NO TIENE L3OUT"/>
    <n v="0"/>
    <n v="54"/>
  </r>
  <r>
    <n v="853"/>
    <x v="2"/>
    <x v="203"/>
    <s v="eth1/27"/>
    <x v="0"/>
    <x v="0"/>
    <x v="0"/>
    <s v="LINK_TO_ITHFHWCRMPLCN80 / Slot7.3_18 / Redundante"/>
    <x v="0"/>
    <b v="0"/>
    <s v="No está en VPC"/>
    <n v="853"/>
    <s v="INTPG_ACC_853_1.27"/>
    <s v="ISEL-1.27"/>
    <n v="1"/>
    <s v="NO TIENE L3OUT"/>
    <n v="242"/>
    <n v="54"/>
  </r>
  <r>
    <n v="790"/>
    <x v="2"/>
    <x v="204"/>
    <s v="eth1/27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27"/>
    <x v="0"/>
    <x v="1"/>
    <x v="1"/>
    <s v="ROAMING_ENCLOSURE"/>
    <x v="6"/>
    <b v="0"/>
    <s v="No está en VPC"/>
    <n v="105"/>
    <s v="INTPG_ACC_105_1.27"/>
    <s v="ISEL-1.27"/>
    <n v="1"/>
    <s v="NO TIENE L3OUT"/>
    <n v="106"/>
    <n v="96"/>
  </r>
  <r>
    <n v="117"/>
    <x v="0"/>
    <x v="206"/>
    <s v="eth1/27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27"/>
    <x v="0"/>
    <x v="1"/>
    <x v="1"/>
    <s v="SFLDI"/>
    <x v="6"/>
    <b v="0"/>
    <s v="No está en VPC"/>
    <n v="104"/>
    <s v="INTPG_ACC_104_1.27"/>
    <s v="ISEL-1.27"/>
    <n v="1"/>
    <s v="NO TIENE L3OUT"/>
    <n v="194"/>
    <n v="96"/>
  </r>
  <r>
    <n v="158"/>
    <x v="0"/>
    <x v="208"/>
    <s v="eth1/27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27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27"/>
    <x v="0"/>
    <x v="1"/>
    <x v="0"/>
    <s v="TO-ITHFXFPOCXLCN01"/>
    <x v="4"/>
    <b v="0"/>
    <s v="No está en VPC"/>
    <n v="879"/>
    <s v="INTPG_VPC_878_1.27_879_1.27"/>
    <s v="ISEL-1.27"/>
    <n v="1"/>
    <s v="NO TIENE L3OUT"/>
    <n v="0"/>
    <n v="54"/>
  </r>
  <r>
    <n v="108"/>
    <x v="0"/>
    <x v="211"/>
    <s v="eth1/27"/>
    <x v="0"/>
    <x v="0"/>
    <x v="0"/>
    <s v="GESTION WAS "/>
    <x v="6"/>
    <b v="0"/>
    <s v="No está en VPC"/>
    <n v="108"/>
    <s v="INTPG_ACC_108_1.27"/>
    <s v="ISEL-1.27"/>
    <n v="1"/>
    <s v="NO TIENE L3OUT"/>
    <n v="126"/>
    <n v="96"/>
  </r>
  <r>
    <n v="112"/>
    <x v="0"/>
    <x v="212"/>
    <s v="eth1/27"/>
    <x v="0"/>
    <x v="0"/>
    <x v="0"/>
    <s v="APROVISIONAMIENTO DE SERVICIOS"/>
    <x v="6"/>
    <b v="0"/>
    <s v="No está en VPC"/>
    <n v="112"/>
    <s v="INTPG_ACC_112_1.27"/>
    <s v="ISEL-1.27"/>
    <n v="1"/>
    <s v="NO TIENE L3OUT"/>
    <n v="144"/>
    <n v="96"/>
  </r>
  <r>
    <n v="107"/>
    <x v="0"/>
    <x v="213"/>
    <s v="eth1/27"/>
    <x v="0"/>
    <x v="0"/>
    <x v="0"/>
    <m/>
    <x v="6"/>
    <b v="0"/>
    <s v="No está en VPC"/>
    <n v="107"/>
    <s v="INTPG_ACC_107_1.27"/>
    <s v="ISEL-1.27"/>
    <n v="1"/>
    <s v="NO TIENE L3OUT"/>
    <n v="118"/>
    <n v="96"/>
  </r>
  <r>
    <n v="109"/>
    <x v="0"/>
    <x v="214"/>
    <s v="eth1/27"/>
    <x v="0"/>
    <x v="0"/>
    <x v="0"/>
    <s v="SISTEMA GENERAL(SGAI)"/>
    <x v="6"/>
    <b v="0"/>
    <s v="No está en VPC"/>
    <n v="109"/>
    <s v="INTPG_ACC_109_1.27"/>
    <s v="ISEL-1.27"/>
    <n v="1"/>
    <s v="NO TIENE L3OUT"/>
    <n v="126"/>
    <n v="96"/>
  </r>
  <r>
    <n v="113"/>
    <x v="0"/>
    <x v="215"/>
    <s v="eth1/27"/>
    <x v="0"/>
    <x v="0"/>
    <x v="0"/>
    <s v="RLVYCAN02"/>
    <x v="6"/>
    <b v="0"/>
    <s v="No está en VPC"/>
    <n v="113"/>
    <s v="INTPG_ACC_113_1.27"/>
    <s v="ISEL-1.27"/>
    <n v="1"/>
    <s v="NO TIENE L3OUT"/>
    <n v="52"/>
    <n v="96"/>
  </r>
  <r>
    <n v="114"/>
    <x v="0"/>
    <x v="216"/>
    <s v="eth1/27"/>
    <x v="0"/>
    <x v="0"/>
    <x v="0"/>
    <s v="CHARGING SYSTEM"/>
    <x v="6"/>
    <b v="0"/>
    <s v="No está en VPC"/>
    <n v="114"/>
    <s v="INTPG_ACC_114_1.27"/>
    <s v="ISEL-1.27"/>
    <n v="1"/>
    <s v="NO TIENE L3OUT"/>
    <n v="144"/>
    <n v="96"/>
  </r>
  <r>
    <n v="124"/>
    <x v="0"/>
    <x v="217"/>
    <s v="eth1/27"/>
    <x v="1"/>
    <x v="1"/>
    <x v="2"/>
    <s v="Politicas de Navegacion"/>
    <x v="6"/>
    <b v="0"/>
    <s v="No está en VPC"/>
    <n v="124"/>
    <s v="INTPG_VPC_124_1.26-27_125_1.29-30"/>
    <s v="ISEL-1.27"/>
    <n v="5"/>
    <s v="NO TIENE L3OUT"/>
    <n v="80"/>
    <n v="96"/>
  </r>
  <r>
    <n v="118"/>
    <x v="0"/>
    <x v="218"/>
    <s v="eth1/27"/>
    <x v="0"/>
    <x v="0"/>
    <x v="0"/>
    <s v="DATOS NETCRACKER"/>
    <x v="6"/>
    <b v="0"/>
    <s v="No está en VPC"/>
    <n v="118"/>
    <s v="INTPG_ACC_118_1.27"/>
    <s v="ISEL-1.27"/>
    <n v="1"/>
    <s v="NO TIENE L3OUT"/>
    <n v="180"/>
    <n v="96"/>
  </r>
  <r>
    <n v="159"/>
    <x v="0"/>
    <x v="219"/>
    <s v="eth1/27"/>
    <x v="0"/>
    <x v="0"/>
    <x v="0"/>
    <s v="ArrobaDOC Y CF"/>
    <x v="6"/>
    <b v="0"/>
    <s v="No está en VPC"/>
    <n v="159"/>
    <s v="INTPG_ACC_159_1.27"/>
    <s v="ISEL-1.27"/>
    <n v="1"/>
    <s v="NO TIENE L3OUT"/>
    <n v="72"/>
    <n v="96"/>
  </r>
  <r>
    <n v="840"/>
    <x v="2"/>
    <x v="220"/>
    <s v="eth1/27"/>
    <x v="0"/>
    <x v="0"/>
    <x v="0"/>
    <s v="LINK_TO_ITHFHWCBSPSHD31 / Slot7.2_14 / Redundante"/>
    <x v="0"/>
    <b v="0"/>
    <s v="No está en VPC"/>
    <n v="840"/>
    <s v="INTPG_VPC_835_1.27_840_1.27"/>
    <s v="ISEL-1.27"/>
    <n v="1"/>
    <s v="NO TIENE L3OUT"/>
    <n v="8"/>
    <n v="54"/>
  </r>
  <r>
    <n v="856"/>
    <x v="2"/>
    <x v="221"/>
    <s v="eth1/27"/>
    <x v="0"/>
    <x v="0"/>
    <x v="0"/>
    <s v="LINK_TO_ITHFHWCRMPLCN143 / Slot1.2_20 / Principal"/>
    <x v="0"/>
    <b v="0"/>
    <s v="No está en VPC"/>
    <n v="856"/>
    <s v="INTPG_ACC_856_1.27"/>
    <s v="ISEL-1.27"/>
    <n v="2"/>
    <s v="NO TIENE L3OUT"/>
    <n v="286"/>
    <n v="54"/>
  </r>
  <r>
    <n v="110"/>
    <x v="0"/>
    <x v="222"/>
    <s v="eth1/27"/>
    <x v="0"/>
    <x v="0"/>
    <x v="0"/>
    <s v="UXDX-DATOS"/>
    <x v="6"/>
    <b v="0"/>
    <s v="No está en VPC"/>
    <n v="110"/>
    <s v="INTPG_ACC_110_1.27"/>
    <s v="ISEL-1.27"/>
    <n v="1"/>
    <s v="NO TIENE L3OUT"/>
    <n v="102"/>
    <n v="96"/>
  </r>
  <r>
    <n v="163"/>
    <x v="0"/>
    <x v="223"/>
    <s v="eth1/27"/>
    <x v="0"/>
    <x v="0"/>
    <x v="0"/>
    <s v="UXOXXO02B(VTAE)"/>
    <x v="6"/>
    <b v="0"/>
    <s v="No está en VPC"/>
    <n v="163"/>
    <s v="INTPG_ACC_163_1.27"/>
    <s v="ISEL-1.27"/>
    <n v="1"/>
    <s v="NO TIENE L3OUT"/>
    <n v="140"/>
    <n v="96"/>
  </r>
  <r>
    <n v="407"/>
    <x v="1"/>
    <x v="224"/>
    <s v="eth1/27"/>
    <x v="0"/>
    <x v="0"/>
    <x v="0"/>
    <s v="ARIESO_LTE_RLR3ARI11"/>
    <x v="6"/>
    <b v="0"/>
    <s v="No está en VPC"/>
    <n v="407"/>
    <s v="INTPG_ACC_407_1.27"/>
    <s v="ISEL-1.27"/>
    <n v="1"/>
    <s v="NO TIENE L3OUT"/>
    <n v="122"/>
    <n v="96"/>
  </r>
  <r>
    <n v="171"/>
    <x v="0"/>
    <x v="225"/>
    <s v="eth1/27"/>
    <x v="0"/>
    <x v="1"/>
    <x v="1"/>
    <s v="NFA"/>
    <x v="6"/>
    <b v="0"/>
    <s v="No está en VPC"/>
    <n v="171"/>
    <s v="INTPG_ACC_171_1.27"/>
    <s v="ISEL-1.27"/>
    <n v="1"/>
    <s v="NO TIENE L3OUT"/>
    <n v="114"/>
    <n v="96"/>
  </r>
  <r>
    <n v="421"/>
    <x v="1"/>
    <x v="226"/>
    <s v="eth1/27"/>
    <x v="0"/>
    <x v="0"/>
    <x v="0"/>
    <s v="Prime-UCS-CLU1-A"/>
    <x v="6"/>
    <b v="0"/>
    <s v="No está en VPC"/>
    <n v="421"/>
    <s v="INTPG_ACC_421_1.27"/>
    <s v="ISEL-1.27"/>
    <n v="1"/>
    <s v="NO TIENE L3OUT"/>
    <n v="72"/>
    <n v="96"/>
  </r>
  <r>
    <n v="173"/>
    <x v="0"/>
    <x v="227"/>
    <s v="eth1/27"/>
    <x v="0"/>
    <x v="1"/>
    <x v="1"/>
    <s v="ENIQ"/>
    <x v="6"/>
    <b v="0"/>
    <s v="No está en VPC"/>
    <n v="173"/>
    <s v="INTPG_ACC_173_1.27"/>
    <s v="ISEL-1.27"/>
    <n v="1"/>
    <s v="NO TIENE L3OUT"/>
    <n v="66"/>
    <n v="96"/>
  </r>
  <r>
    <n v="154"/>
    <x v="0"/>
    <x v="228"/>
    <s v="eth1/27"/>
    <x v="0"/>
    <x v="1"/>
    <x v="1"/>
    <s v="BLOQUEO EMEI"/>
    <x v="6"/>
    <b v="0"/>
    <s v="No está en VPC"/>
    <n v="154"/>
    <s v="INTPG_ACC_154_1.27"/>
    <s v="ISEL-1.27"/>
    <n v="1"/>
    <s v="NO TIENE L3OUT"/>
    <n v="62"/>
    <n v="96"/>
  </r>
  <r>
    <n v="172"/>
    <x v="0"/>
    <x v="229"/>
    <s v="eth1/27"/>
    <x v="0"/>
    <x v="1"/>
    <x v="1"/>
    <s v="netqosSHr9-01_ilom"/>
    <x v="6"/>
    <b v="0"/>
    <s v="No está en VPC"/>
    <n v="172"/>
    <s v="INTPG_ACC_172_1.27"/>
    <s v="ISEL-1.27"/>
    <n v="1"/>
    <s v="NO TIENE L3OUT"/>
    <n v="104"/>
    <n v="96"/>
  </r>
  <r>
    <n v="420"/>
    <x v="1"/>
    <x v="230"/>
    <s v="eth1/27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27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27"/>
    <x v="0"/>
    <x v="0"/>
    <x v="0"/>
    <s v="To-uxingemc1 ldom3 uxsmart02"/>
    <x v="6"/>
    <b v="0"/>
    <s v="No está en VPC"/>
    <n v="415"/>
    <s v="INTPG_ACC_415_1.27"/>
    <s v="ISEL-1.27"/>
    <n v="1"/>
    <s v="NO TIENE L3OUT"/>
    <n v="52"/>
    <n v="96"/>
  </r>
  <r>
    <n v="102"/>
    <x v="0"/>
    <x v="233"/>
    <s v="eth1/27"/>
    <x v="0"/>
    <x v="1"/>
    <x v="1"/>
    <s v="SFLDI:RLDISTG02:1"/>
    <x v="6"/>
    <b v="0"/>
    <s v="No está en VPC"/>
    <n v="102"/>
    <s v="INTPG_ACC_102_1.27"/>
    <s v="ISEL-1.27"/>
    <n v="1"/>
    <s v="NO TIENE L3OUT"/>
    <n v="228"/>
    <n v="96"/>
  </r>
  <r>
    <n v="863"/>
    <x v="2"/>
    <x v="234"/>
    <s v="eth1/27"/>
    <x v="0"/>
    <x v="0"/>
    <x v="0"/>
    <s v="To_VPC_2DCBSD_HD45_3"/>
    <x v="0"/>
    <b v="0"/>
    <s v="No está en VPC"/>
    <n v="863"/>
    <s v="INTPG_VPC_858_1.27_863_1.27"/>
    <s v="ISEL-1.27"/>
    <n v="1"/>
    <s v="NO TIENE L3OUT"/>
    <n v="8"/>
    <n v="54"/>
  </r>
  <r>
    <n v="876"/>
    <x v="2"/>
    <x v="235"/>
    <s v="eth1/27"/>
    <x v="0"/>
    <x v="0"/>
    <x v="0"/>
    <s v="A_ITHFHWSEQLCAS26_Principal"/>
    <x v="4"/>
    <b v="0"/>
    <s v="No está en VPC"/>
    <n v="876"/>
    <s v="INTPG_ACC_876_1.27"/>
    <s v="ISEL-1.27"/>
    <n v="1"/>
    <s v="NO TIENE L3OUT"/>
    <n v="92"/>
    <n v="54"/>
  </r>
  <r>
    <n v="877"/>
    <x v="2"/>
    <x v="236"/>
    <s v="eth1/27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27"/>
    <x v="0"/>
    <x v="0"/>
    <x v="0"/>
    <s v="IXTRTC5"/>
    <x v="6"/>
    <b v="0"/>
    <s v="No está en VPC"/>
    <n v="122"/>
    <s v="INTPG_ACC_122_1.27"/>
    <s v="ISEL-1.27"/>
    <n v="1"/>
    <s v="NO TIENE L3OUT"/>
    <n v="148"/>
    <n v="96"/>
  </r>
  <r>
    <n v="157"/>
    <x v="0"/>
    <x v="238"/>
    <s v="eth1/27"/>
    <x v="1"/>
    <x v="1"/>
    <x v="2"/>
    <s v="RED CRICKET"/>
    <x v="6"/>
    <b v="0"/>
    <s v="No está en VPC"/>
    <n v="157"/>
    <s v="INTPG_ACC_157_1.27"/>
    <s v="ISEL-1.27"/>
    <n v="1"/>
    <s v="NO TIENE L3OUT"/>
    <n v="202"/>
    <n v="96"/>
  </r>
  <r>
    <n v="408"/>
    <x v="1"/>
    <x v="239"/>
    <s v="eth1/27"/>
    <x v="0"/>
    <x v="0"/>
    <x v="0"/>
    <s v="FS101"/>
    <x v="6"/>
    <b v="0"/>
    <s v="No está en VPC"/>
    <n v="408"/>
    <s v="INTPG_ACC_408_1.27"/>
    <s v="ISEL-1.27"/>
    <n v="1"/>
    <s v="NO TIENE L3OUT"/>
    <n v="152"/>
    <n v="96"/>
  </r>
  <r>
    <n v="405"/>
    <x v="1"/>
    <x v="240"/>
    <s v="eth1/27"/>
    <x v="0"/>
    <x v="0"/>
    <x v="0"/>
    <s v="XL6 RLR6ARI06 ILO"/>
    <x v="6"/>
    <b v="0"/>
    <s v="No está en VPC"/>
    <n v="405"/>
    <s v="INTPG_ACC_405_1.27"/>
    <s v="ISEL-1.27"/>
    <n v="1"/>
    <s v="NO TIENE L3OUT"/>
    <n v="138"/>
    <n v="96"/>
  </r>
  <r>
    <n v="169"/>
    <x v="0"/>
    <x v="241"/>
    <s v="eth1/27"/>
    <x v="0"/>
    <x v="0"/>
    <x v="0"/>
    <s v="LINKDOWN_HACIA_UCS_9UCS-IXTLA-SERV1"/>
    <x v="6"/>
    <b v="0"/>
    <s v="No está en VPC"/>
    <n v="169"/>
    <s v="INTPG_ACC_169_1.27"/>
    <s v="ISEL-1.27"/>
    <n v="1"/>
    <s v="NO TIENE L3OUT"/>
    <n v="76"/>
    <n v="96"/>
  </r>
  <r>
    <n v="165"/>
    <x v="0"/>
    <x v="242"/>
    <s v="eth1/27"/>
    <x v="0"/>
    <x v="0"/>
    <x v="0"/>
    <m/>
    <x v="6"/>
    <b v="0"/>
    <s v="No está en VPC"/>
    <n v="165"/>
    <s v="INTPG_ACC_165_1.27"/>
    <s v="ISEL-1.27"/>
    <n v="0"/>
    <s v="NO TIENE L3OUT"/>
    <n v="86"/>
    <n v="96"/>
  </r>
  <r>
    <n v="417"/>
    <x v="1"/>
    <x v="243"/>
    <s v="eth1/27"/>
    <x v="0"/>
    <x v="0"/>
    <x v="0"/>
    <s v="TO-ITHFHPNBURBKP08-PRINCIPAL"/>
    <x v="6"/>
    <b v="0"/>
    <s v="No está en VPC"/>
    <n v="417"/>
    <s v="INTPG_ACC_417_1.27"/>
    <s v="ISEL-1.27"/>
    <n v="1"/>
    <s v="NO TIENE L3OUT"/>
    <n v="56"/>
    <n v="96"/>
  </r>
  <r>
    <n v="153"/>
    <x v="0"/>
    <x v="244"/>
    <s v="eth1/27"/>
    <x v="0"/>
    <x v="1"/>
    <x v="1"/>
    <s v="DCX-8510-4B 01"/>
    <x v="6"/>
    <b v="0"/>
    <s v="No está en VPC"/>
    <n v="153"/>
    <s v="INTPG_ACC_153_1.27"/>
    <s v="ISEL-1.27"/>
    <n v="1"/>
    <s v="NO TIENE L3OUT"/>
    <n v="42"/>
    <n v="96"/>
  </r>
  <r>
    <n v="119"/>
    <x v="0"/>
    <x v="245"/>
    <s v="eth1/27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27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27"/>
    <x v="0"/>
    <x v="1"/>
    <x v="1"/>
    <s v="CAMPANAS 01-02:uxobie07:ent0"/>
    <x v="6"/>
    <b v="0"/>
    <s v="No está en VPC"/>
    <n v="103"/>
    <s v="INTPG_ACC_103_1.27"/>
    <s v="ISEL-1.27"/>
    <n v="1"/>
    <s v="NO TIENE L3OUT"/>
    <n v="70"/>
    <n v="96"/>
  </r>
  <r>
    <n v="438"/>
    <x v="1"/>
    <x v="248"/>
    <s v="eth1/27"/>
    <x v="0"/>
    <x v="0"/>
    <x v="0"/>
    <s v="VBLOCK4"/>
    <x v="6"/>
    <b v="0"/>
    <s v="No está en VPC"/>
    <n v="438"/>
    <s v="INTPG_VPC_436_1.27-28_438_1.27_29"/>
    <s v="ISEL-1.27"/>
    <n v="3"/>
    <s v="NO TIENE L3OUT"/>
    <n v="170"/>
    <n v="96"/>
  </r>
  <r>
    <n v="406"/>
    <x v="1"/>
    <x v="249"/>
    <s v="eth1/27"/>
    <x v="0"/>
    <x v="0"/>
    <x v="0"/>
    <s v="ITHRTC62VC1"/>
    <x v="6"/>
    <b v="0"/>
    <s v="No está en VPC"/>
    <n v="406"/>
    <s v="INTPG_VPC_404_1.27_406_1.27"/>
    <s v="ISEL-1.27"/>
    <n v="1"/>
    <s v="NO TIENE L3OUT"/>
    <n v="82"/>
    <n v="96"/>
  </r>
  <r>
    <n v="414"/>
    <x v="1"/>
    <x v="250"/>
    <s v="eth1/27"/>
    <x v="0"/>
    <x v="0"/>
    <x v="0"/>
    <s v="NET1"/>
    <x v="6"/>
    <b v="0"/>
    <s v="No está en VPC"/>
    <n v="414"/>
    <s v="INTPG_ACC_414_1.27"/>
    <s v="ISEL-1.27"/>
    <n v="1"/>
    <s v="NO TIENE L3OUT"/>
    <n v="144"/>
    <n v="96"/>
  </r>
  <r>
    <n v="416"/>
    <x v="1"/>
    <x v="251"/>
    <s v="eth1/27"/>
    <x v="0"/>
    <x v="0"/>
    <x v="0"/>
    <s v="DESC"/>
    <x v="6"/>
    <b v="0"/>
    <s v="No está en VPC"/>
    <n v="416"/>
    <s v="INTPG_PC_416_1.26-27"/>
    <s v="ISEL-1.27"/>
    <n v="1"/>
    <s v="NO TIENE L3OUT"/>
    <n v="110"/>
    <n v="96"/>
  </r>
  <r>
    <n v="418"/>
    <x v="1"/>
    <x v="252"/>
    <s v="eth1/27"/>
    <x v="0"/>
    <x v="0"/>
    <x v="0"/>
    <s v="DESC"/>
    <x v="6"/>
    <b v="0"/>
    <s v="No está en VPC"/>
    <n v="418"/>
    <s v="INTPG_PC_418_1.26-27"/>
    <s v="ISEL-1.27"/>
    <n v="1"/>
    <s v="NO TIENE L3OUT"/>
    <n v="152"/>
    <n v="96"/>
  </r>
  <r>
    <n v="413"/>
    <x v="1"/>
    <x v="253"/>
    <s v="eth1/27"/>
    <x v="0"/>
    <x v="0"/>
    <x v="0"/>
    <s v="lagidmhlapvp10_produccion1"/>
    <x v="6"/>
    <b v="0"/>
    <s v="No está en VPC"/>
    <n v="413"/>
    <s v="INTPG_VPC_411_1.31-34_413_1.24-27"/>
    <s v="ISEL-1.27"/>
    <n v="2"/>
    <s v="NO TIENE L3OUT"/>
    <n v="126"/>
    <n v="96"/>
  </r>
  <r>
    <n v="403"/>
    <x v="1"/>
    <x v="254"/>
    <s v="eth1/27"/>
    <x v="0"/>
    <x v="0"/>
    <x v="0"/>
    <s v="XL6 RLR6ARI06"/>
    <x v="6"/>
    <b v="0"/>
    <s v="No está en VPC"/>
    <n v="403"/>
    <s v="INTPG_ACC_403_1.27"/>
    <s v="ISEL-1.27"/>
    <n v="1"/>
    <s v="NO TIENE L3OUT"/>
    <n v="150"/>
    <n v="96"/>
  </r>
  <r>
    <n v="125"/>
    <x v="0"/>
    <x v="255"/>
    <s v="eth1/27"/>
    <x v="0"/>
    <x v="1"/>
    <x v="1"/>
    <s v="3G_OSS_QRO_R6"/>
    <x v="6"/>
    <b v="0"/>
    <s v="No está en VPC"/>
    <n v="125"/>
    <s v="INTPG_VPC_124_1.23_39_125_1.27_40"/>
    <s v="ISEL-1.27"/>
    <n v="5"/>
    <s v="NO TIENE L3OUT"/>
    <n v="72"/>
    <n v="96"/>
  </r>
  <r>
    <n v="166"/>
    <x v="0"/>
    <x v="256"/>
    <s v="eth1/27"/>
    <x v="0"/>
    <x v="0"/>
    <x v="0"/>
    <s v="NPG_DOC"/>
    <x v="6"/>
    <b v="0"/>
    <s v="No está en VPC"/>
    <n v="166"/>
    <s v="INTPG_ACC_166_1.27"/>
    <s v="ISEL-1.27"/>
    <n v="1"/>
    <s v="NO TIENE L3OUT"/>
    <n v="84"/>
    <n v="96"/>
  </r>
  <r>
    <n v="111"/>
    <x v="0"/>
    <x v="257"/>
    <s v="eth1/27"/>
    <x v="0"/>
    <x v="0"/>
    <x v="0"/>
    <s v="UXDX-DATOS"/>
    <x v="6"/>
    <b v="0"/>
    <s v="No está en VPC"/>
    <n v="111"/>
    <s v="INTPG_ACC_111_1.27"/>
    <s v="ISEL-1.27"/>
    <n v="1"/>
    <s v="NO TIENE L3OUT"/>
    <n v="58"/>
    <n v="96"/>
  </r>
  <r>
    <n v="115"/>
    <x v="0"/>
    <x v="258"/>
    <s v="eth1/27"/>
    <x v="0"/>
    <x v="0"/>
    <x v="0"/>
    <s v="RLVYCAN03ILO"/>
    <x v="6"/>
    <b v="0"/>
    <s v="No está en VPC"/>
    <n v="115"/>
    <s v="INTPG_ACC_115_1.27"/>
    <s v="ISEL-1.27"/>
    <n v="1"/>
    <s v="NO TIENE L3OUT"/>
    <n v="42"/>
    <n v="96"/>
  </r>
  <r>
    <n v="106"/>
    <x v="0"/>
    <x v="259"/>
    <s v="eth1/27"/>
    <x v="0"/>
    <x v="0"/>
    <x v="0"/>
    <s v="OPEN VIEW BACK"/>
    <x v="6"/>
    <b v="0"/>
    <s v="No está en VPC"/>
    <n v="106"/>
    <s v="INTPG_ACC_106_1.27"/>
    <s v="ISEL-1.27"/>
    <n v="1"/>
    <s v="NO TIENE L3OUT"/>
    <n v="122"/>
    <n v="96"/>
  </r>
  <r>
    <n v="126"/>
    <x v="0"/>
    <x v="260"/>
    <s v="eth1/27"/>
    <x v="0"/>
    <x v="0"/>
    <x v="0"/>
    <s v="ENIQ"/>
    <x v="6"/>
    <b v="0"/>
    <s v="No está en VPC"/>
    <n v="126"/>
    <s v="INTPG_PC_126_1.25-29_36"/>
    <s v="ISEL-1.27"/>
    <n v="3"/>
    <s v="NO TIENE L3OUT"/>
    <n v="54"/>
    <n v="96"/>
  </r>
  <r>
    <n v="425"/>
    <x v="1"/>
    <x v="261"/>
    <s v="eth1/27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27"/>
    <x v="0"/>
    <x v="0"/>
    <x v="0"/>
    <s v="ETLI-SACI 9"/>
    <x v="6"/>
    <b v="0"/>
    <s v="No está en VPC"/>
    <n v="151"/>
    <s v="INTPG_ACC_151_1.27"/>
    <s v="ISEL-1.27"/>
    <n v="1"/>
    <s v="NO TIENE L3OUT"/>
    <n v="86"/>
    <n v="96"/>
  </r>
  <r>
    <n v="430"/>
    <x v="1"/>
    <x v="263"/>
    <s v="eth1/27"/>
    <x v="0"/>
    <x v="0"/>
    <x v="0"/>
    <s v="DESC"/>
    <x v="6"/>
    <b v="0"/>
    <s v="No está en VPC"/>
    <n v="430"/>
    <s v="INTPG_PC_430_1.27-28"/>
    <s v="ISEL-1.27"/>
    <n v="1"/>
    <s v="NO TIENE L3OUT"/>
    <n v="86"/>
    <n v="96"/>
  </r>
  <r>
    <n v="419"/>
    <x v="1"/>
    <x v="264"/>
    <s v="eth1/27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27"/>
    <x v="1"/>
    <x v="1"/>
    <x v="2"/>
    <s v="Consolidaci\u00f3n Aplicaciones Prepago"/>
    <x v="6"/>
    <b v="0"/>
    <s v="No está en VPC"/>
    <n v="155"/>
    <s v="INTPG_ACC_155_1.27"/>
    <s v="ISEL-1.27"/>
    <n v="0"/>
    <s v="NO TIENE L3OUT"/>
    <n v="198"/>
    <n v="96"/>
  </r>
  <r>
    <n v="409"/>
    <x v="1"/>
    <x v="266"/>
    <s v="eth1/27"/>
    <x v="0"/>
    <x v="0"/>
    <x v="0"/>
    <s v="ITHSAN2C"/>
    <x v="6"/>
    <b v="0"/>
    <s v="No está en VPC"/>
    <n v="409"/>
    <s v="INTPG_ACC_409_1.27"/>
    <s v="ISEL-1.27"/>
    <n v="1"/>
    <s v="NO TIENE L3OUT"/>
    <n v="128"/>
    <n v="96"/>
  </r>
  <r>
    <n v="422"/>
    <x v="1"/>
    <x v="267"/>
    <s v="eth1/27"/>
    <x v="0"/>
    <x v="0"/>
    <x v="0"/>
    <s v="IXTSD970A"/>
    <x v="6"/>
    <b v="0"/>
    <s v="No está en VPC"/>
    <n v="422"/>
    <s v="INTPG_ACC_422_1.27"/>
    <s v="ISEL-1.27"/>
    <n v="1"/>
    <s v="NO TIENE L3OUT"/>
    <n v="182"/>
    <n v="96"/>
  </r>
  <r>
    <n v="436"/>
    <x v="1"/>
    <x v="268"/>
    <s v="eth1/27"/>
    <x v="0"/>
    <x v="0"/>
    <x v="0"/>
    <s v="VBLOCK4"/>
    <x v="6"/>
    <b v="0"/>
    <s v="No está en VPC"/>
    <n v="436"/>
    <s v="INTPG_VPC_436_1.27-28_438_1.27_29"/>
    <s v="ISEL-1.27"/>
    <n v="3"/>
    <s v="NO TIENE L3OUT"/>
    <n v="172"/>
    <n v="96"/>
  </r>
  <r>
    <n v="410"/>
    <x v="1"/>
    <x v="269"/>
    <s v="eth1/27"/>
    <x v="0"/>
    <x v="0"/>
    <x v="0"/>
    <s v="ITHMSVB3_ITH0"/>
    <x v="6"/>
    <b v="0"/>
    <s v="No está en VPC"/>
    <n v="410"/>
    <s v="INTPG_ACC_410_1.27"/>
    <s v="ISEL-1.27"/>
    <n v="1"/>
    <s v="NO TIENE L3OUT"/>
    <n v="178"/>
    <n v="96"/>
  </r>
  <r>
    <n v="161"/>
    <x v="0"/>
    <x v="270"/>
    <s v="eth1/27"/>
    <x v="0"/>
    <x v="0"/>
    <x v="0"/>
    <s v="PMAX"/>
    <x v="6"/>
    <b v="0"/>
    <s v="No está en VPC"/>
    <n v="161"/>
    <s v="INTPG_ACC_161_1.27"/>
    <s v="ISEL-1.27"/>
    <n v="1"/>
    <s v="NO TIENE L3OUT"/>
    <n v="102"/>
    <n v="96"/>
  </r>
  <r>
    <n v="411"/>
    <x v="1"/>
    <x v="271"/>
    <s v="eth1/27"/>
    <x v="0"/>
    <x v="0"/>
    <x v="0"/>
    <s v="To_lagidmhlapvp08_produccion1"/>
    <x v="6"/>
    <b v="0"/>
    <s v="No está en VPC"/>
    <n v="411"/>
    <s v="INTPG_VPC_411_1.26-29_413_1.19-20_22_86"/>
    <s v="ISEL-1.27"/>
    <n v="2"/>
    <s v="NO TIENE L3OUT"/>
    <n v="96"/>
    <n v="96"/>
  </r>
  <r>
    <n v="116"/>
    <x v="0"/>
    <x v="272"/>
    <s v="eth1/27"/>
    <x v="0"/>
    <x v="0"/>
    <x v="0"/>
    <s v="DATOS NETCRACKER"/>
    <x v="6"/>
    <b v="0"/>
    <s v="No está en VPC"/>
    <n v="116"/>
    <s v="INTPG_ACC_116_1.27"/>
    <s v="ISEL-1.27"/>
    <n v="1"/>
    <s v="NO TIENE L3OUT"/>
    <n v="148"/>
    <n v="96"/>
  </r>
  <r>
    <n v="412"/>
    <x v="1"/>
    <x v="273"/>
    <s v="eth1/27"/>
    <x v="0"/>
    <x v="0"/>
    <x v="0"/>
    <s v="NEC Femtocel NMS"/>
    <x v="6"/>
    <b v="0"/>
    <s v="No está en VPC"/>
    <n v="412"/>
    <s v="INTPG_ACC_412_1.27"/>
    <s v="ISEL-1.27"/>
    <n v="1"/>
    <s v="NO TIENE L3OUT"/>
    <n v="126"/>
    <n v="96"/>
  </r>
  <r>
    <n v="120"/>
    <x v="0"/>
    <x v="274"/>
    <s v="eth1/27"/>
    <x v="0"/>
    <x v="0"/>
    <x v="0"/>
    <s v="IXTRTC5"/>
    <x v="6"/>
    <b v="0"/>
    <s v="No está en VPC"/>
    <n v="120"/>
    <s v="INTPG_ACC_120_1.27"/>
    <s v="ISEL-1.27"/>
    <n v="1"/>
    <s v="NO TIENE L3OUT"/>
    <n v="158"/>
    <n v="96"/>
  </r>
  <r>
    <n v="404"/>
    <x v="1"/>
    <x v="275"/>
    <s v="eth1/27"/>
    <x v="0"/>
    <x v="0"/>
    <x v="0"/>
    <s v="ITHRTC62VC1"/>
    <x v="6"/>
    <b v="0"/>
    <s v="No está en VPC"/>
    <n v="404"/>
    <s v="INTPG_VPC_404_1.27_406_1.27"/>
    <s v="ISEL-1.27"/>
    <n v="1"/>
    <s v="NO TIENE L3OUT"/>
    <n v="92"/>
    <n v="96"/>
  </r>
  <r>
    <n v="167"/>
    <x v="0"/>
    <x v="276"/>
    <s v="eth1/27"/>
    <x v="0"/>
    <x v="0"/>
    <x v="0"/>
    <s v="CIMC_HACIA_UCS_9UCS-GEO-IXTLA-SERV1"/>
    <x v="6"/>
    <b v="0"/>
    <s v="No está en VPC"/>
    <n v="167"/>
    <s v="INTPG_ACC_167_1.27"/>
    <s v="ISEL-1.27"/>
    <n v="1"/>
    <s v="NO TIENE L3OUT"/>
    <n v="68"/>
    <n v="96"/>
  </r>
  <r>
    <n v="428"/>
    <x v="1"/>
    <x v="277"/>
    <s v="eth1/27"/>
    <x v="0"/>
    <x v="0"/>
    <x v="0"/>
    <s v="DESC"/>
    <x v="6"/>
    <b v="0"/>
    <s v="No está en VPC"/>
    <n v="428"/>
    <s v="INTPG_PC_428_1.27-28"/>
    <s v="ISEL-1.27"/>
    <n v="1"/>
    <s v="NO TIENE L3OUT"/>
    <n v="102"/>
    <n v="96"/>
  </r>
  <r>
    <n v="903"/>
    <x v="2"/>
    <x v="278"/>
    <s v="eth1/2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2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28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28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28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28"/>
    <x v="0"/>
    <x v="0"/>
    <x v="0"/>
    <s v="TO-ITHFDENBURMS04"/>
    <x v="0"/>
    <b v="0"/>
    <s v="No está en VPC"/>
    <n v="101"/>
    <s v="INTPG_VPC_101_1.28_150_1.28"/>
    <s v="ISEL-1.28"/>
    <n v="1"/>
    <s v="NO TIENE L3OUT"/>
    <n v="114"/>
    <n v="54"/>
  </r>
  <r>
    <n v="160"/>
    <x v="0"/>
    <x v="4"/>
    <s v="eth1/28"/>
    <x v="0"/>
    <x v="0"/>
    <x v="0"/>
    <s v="ArrobaDOC Y CF"/>
    <x v="1"/>
    <b v="0"/>
    <s v="No está en VPC"/>
    <n v="160"/>
    <s v="INTPG_ACC_160_1.28"/>
    <s v="ISEL-1.28"/>
    <n v="1"/>
    <s v="NO TIENE L3OUT"/>
    <n v="68"/>
    <n v="54"/>
  </r>
  <r>
    <n v="121"/>
    <x v="0"/>
    <x v="5"/>
    <s v="eth1/28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28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28"/>
    <x v="0"/>
    <x v="0"/>
    <x v="0"/>
    <s v="TO-UXSISAC9-LAGUXSISAC9"/>
    <x v="0"/>
    <b v="0"/>
    <s v="No está en VPC"/>
    <n v="401"/>
    <s v="INTPG_VPC_401_1.27-28_402_1.27-28"/>
    <s v="ISEL-1.28"/>
    <n v="1"/>
    <s v="NO TIENE L3OUT"/>
    <n v="40"/>
    <n v="54"/>
  </r>
  <r>
    <n v="402"/>
    <x v="1"/>
    <x v="8"/>
    <s v="eth1/28"/>
    <x v="0"/>
    <x v="0"/>
    <x v="0"/>
    <s v="TO-UXSISAC9-LAGUXSISAC9"/>
    <x v="0"/>
    <b v="0"/>
    <s v="No está en VPC"/>
    <n v="402"/>
    <s v="INTPG_VPC_401_1.27-28_402_1.27-28"/>
    <s v="ISEL-1.28"/>
    <n v="1"/>
    <s v="NO TIENE L3OUT"/>
    <n v="36"/>
    <n v="54"/>
  </r>
  <r>
    <n v="447"/>
    <x v="1"/>
    <x v="9"/>
    <s v="eth1/28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28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28"/>
    <x v="0"/>
    <x v="0"/>
    <x v="0"/>
    <s v="LAG-smt-comp-07"/>
    <x v="0"/>
    <b v="0"/>
    <s v="No está en VPC"/>
    <n v="130"/>
    <s v="INTPG_VPC_130_1.28-29_131_1.28-29"/>
    <s v="ISEL-1.28"/>
    <n v="4"/>
    <s v="NO TIENE L3OUT"/>
    <n v="128"/>
    <n v="54"/>
  </r>
  <r>
    <n v="150"/>
    <x v="0"/>
    <x v="12"/>
    <s v="eth1/28"/>
    <x v="0"/>
    <x v="0"/>
    <x v="0"/>
    <s v="TO-ITHFDENBURMS04"/>
    <x v="0"/>
    <b v="0"/>
    <s v="No está en VPC"/>
    <n v="150"/>
    <s v="INTPG_VPC_101_1.28_150_1.28"/>
    <s v="ISEL-1.28"/>
    <n v="1"/>
    <s v="NO TIENE L3OUT"/>
    <n v="118"/>
    <n v="54"/>
  </r>
  <r>
    <n v="131"/>
    <x v="0"/>
    <x v="13"/>
    <s v="eth1/28"/>
    <x v="0"/>
    <x v="0"/>
    <x v="0"/>
    <s v="LAG-smt-comp-07"/>
    <x v="0"/>
    <b v="0"/>
    <s v="No está en VPC"/>
    <n v="131"/>
    <s v="INTPG_VPC_130_1.28-29_131_1.28-29"/>
    <s v="ISEL-1.28"/>
    <n v="4"/>
    <s v="NO TIENE L3OUT"/>
    <n v="126"/>
    <n v="54"/>
  </r>
  <r>
    <n v="303"/>
    <x v="0"/>
    <x v="14"/>
    <s v="eth1/28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28"/>
    <x v="0"/>
    <x v="1"/>
    <x v="3"/>
    <m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28"/>
    <x v="1"/>
    <x v="1"/>
    <x v="3"/>
    <m/>
    <x v="2"/>
    <b v="0"/>
    <s v="No está en VPC"/>
    <n v="759"/>
    <s v="NO EXISTE PG"/>
    <s v="NO EXISTE ISEL"/>
    <n v="0"/>
    <s v="NO TIENE L3OUT"/>
    <n v="0"/>
    <n v="42"/>
  </r>
  <r>
    <n v="302"/>
    <x v="0"/>
    <x v="17"/>
    <s v="eth1/28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28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28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28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28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28"/>
    <x v="0"/>
    <x v="1"/>
    <x v="5"/>
    <m/>
    <x v="0"/>
    <b v="0"/>
    <s v="No está en VPC"/>
    <n v="727"/>
    <s v="INTPG-VPC_SLR13_726_1.27_727_1.28"/>
    <s v="ISEL-1.28"/>
    <n v="1"/>
    <s v="NO TIENE L3OUT"/>
    <n v="0"/>
    <n v="54"/>
  </r>
  <r>
    <n v="724"/>
    <x v="2"/>
    <x v="23"/>
    <s v="eth1/28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28"/>
    <x v="0"/>
    <x v="1"/>
    <x v="3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28"/>
    <x v="0"/>
    <x v="0"/>
    <x v="0"/>
    <m/>
    <x v="0"/>
    <b v="0"/>
    <s v="No está en VPC"/>
    <n v="725"/>
    <s v="INTPG-VPC_SLR16_724_1.27_725_1.28"/>
    <s v="ISEL-1.28"/>
    <n v="1"/>
    <s v="NO TIENE L3OUT"/>
    <n v="0"/>
    <n v="54"/>
  </r>
  <r>
    <n v="431"/>
    <x v="1"/>
    <x v="26"/>
    <s v="eth1/28"/>
    <x v="0"/>
    <x v="0"/>
    <x v="0"/>
    <s v="TO-DD8138PC1"/>
    <x v="0"/>
    <b v="0"/>
    <s v="No está en VPC"/>
    <n v="431"/>
    <s v="INTPG_VPC_431_1.28_448_1.28"/>
    <s v="ISEL-1.28"/>
    <n v="1"/>
    <s v="NO TIENE L3OUT"/>
    <n v="46"/>
    <n v="54"/>
  </r>
  <r>
    <n v="433"/>
    <x v="1"/>
    <x v="27"/>
    <s v="eth1/28"/>
    <x v="0"/>
    <x v="0"/>
    <x v="0"/>
    <s v="TO-ITHHWC1U-ITHUYBH01-PRINCIPAL"/>
    <x v="1"/>
    <b v="0"/>
    <s v="No está en VPC"/>
    <n v="433"/>
    <s v="INTPG_ACC_433_1.28"/>
    <s v="ISEL-1.28"/>
    <n v="1"/>
    <s v="NO TIENE L3OUT"/>
    <n v="42"/>
    <n v="54"/>
  </r>
  <r>
    <n v="429"/>
    <x v="1"/>
    <x v="28"/>
    <s v="eth1/28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28"/>
    <x v="0"/>
    <x v="0"/>
    <x v="0"/>
    <s v="TO-ithfhpficxrap01"/>
    <x v="1"/>
    <b v="0"/>
    <s v="No está en VPC"/>
    <n v="432"/>
    <s v="INTPG_VPC_432_1.28_434_1.27"/>
    <s v="ISEL-1.28"/>
    <n v="1"/>
    <s v="NO TIENE L3OUT"/>
    <n v="54"/>
    <n v="54"/>
  </r>
  <r>
    <n v="442"/>
    <x v="1"/>
    <x v="30"/>
    <s v="eth1/28"/>
    <x v="0"/>
    <x v="0"/>
    <x v="0"/>
    <s v="bmc_ithhwc3a2288h2_SECUNDARIO"/>
    <x v="1"/>
    <b v="0"/>
    <s v="No está en VPC"/>
    <n v="442"/>
    <s v="INTPG_ACC_442_1.28"/>
    <s v="ISEL-1.28"/>
    <n v="1"/>
    <s v="NO TIENE L3OUT"/>
    <n v="18"/>
    <n v="54"/>
  </r>
  <r>
    <n v="434"/>
    <x v="1"/>
    <x v="31"/>
    <s v="eth1/28"/>
    <x v="0"/>
    <x v="0"/>
    <x v="0"/>
    <s v="TO-ithfhpficxrbd01"/>
    <x v="1"/>
    <b v="0"/>
    <s v="No está en VPC"/>
    <n v="434"/>
    <s v="INTPG_VPC_432_1.30_434_1.28"/>
    <s v="ISEL-1.28"/>
    <n v="1"/>
    <s v="NO TIENE L3OUT"/>
    <n v="34"/>
    <n v="54"/>
  </r>
  <r>
    <n v="707"/>
    <x v="2"/>
    <x v="32"/>
    <s v="eth1/28"/>
    <x v="0"/>
    <x v="1"/>
    <x v="3"/>
    <s v="CEM_HADOOP"/>
    <x v="0"/>
    <b v="0"/>
    <s v="No está en VPC"/>
    <n v="707"/>
    <s v="INTPG_ACC_707_1.28"/>
    <s v="ISEL-1.28"/>
    <n v="1"/>
    <s v="NO TIENE L3OUT"/>
    <n v="54"/>
    <n v="54"/>
  </r>
  <r>
    <n v="712"/>
    <x v="2"/>
    <x v="33"/>
    <s v="eth1/28"/>
    <x v="1"/>
    <x v="1"/>
    <x v="3"/>
    <s v="CEM:ITHCEMA2ADT14:LOM  P2"/>
    <x v="0"/>
    <b v="0"/>
    <s v="No está en VPC"/>
    <n v="712"/>
    <s v="INTPG_VPC_713_1.27_712_1.28"/>
    <s v="ISEL-1.28"/>
    <n v="0"/>
    <s v="NO TIENE L3OUT"/>
    <n v="32"/>
    <n v="54"/>
  </r>
  <r>
    <n v="719"/>
    <x v="2"/>
    <x v="34"/>
    <s v="eth1/28"/>
    <x v="0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28"/>
    <x v="0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28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28"/>
    <x v="0"/>
    <x v="1"/>
    <x v="5"/>
    <s v="CEM:ITHCEMD2ADT14:LOM  P2"/>
    <x v="0"/>
    <b v="0"/>
    <s v="No está en VPC"/>
    <n v="711"/>
    <s v="INTPG_VPC_710_1.27_711_1.28"/>
    <s v="ISEL-1.28"/>
    <n v="1"/>
    <s v="NO TIENE L3OUT"/>
    <n v="16"/>
    <n v="54"/>
  </r>
  <r>
    <n v="716"/>
    <x v="2"/>
    <x v="38"/>
    <s v="eth1/28"/>
    <x v="0"/>
    <x v="0"/>
    <x v="0"/>
    <m/>
    <x v="0"/>
    <b v="0"/>
    <s v="No está en VPC"/>
    <n v="716"/>
    <s v="INTPG-VPC_KFK03_715_1.27_716_1.28"/>
    <s v="ISEL-1.28"/>
    <n v="1"/>
    <s v="NO TIENE L3OUT"/>
    <n v="0"/>
    <n v="54"/>
  </r>
  <r>
    <n v="702"/>
    <x v="2"/>
    <x v="39"/>
    <s v="eth1/28"/>
    <x v="0"/>
    <x v="1"/>
    <x v="5"/>
    <m/>
    <x v="0"/>
    <b v="0"/>
    <s v="No está en VPC"/>
    <n v="702"/>
    <s v="INTPG_VPC_701_1.27_702_1.28"/>
    <s v="ISEL-1.28"/>
    <n v="1"/>
    <s v="NO TIENE L3OUT"/>
    <n v="0"/>
    <n v="54"/>
  </r>
  <r>
    <n v="435"/>
    <x v="1"/>
    <x v="40"/>
    <s v="eth1/28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28"/>
    <x v="0"/>
    <x v="0"/>
    <x v="0"/>
    <s v="TO-ITHFDLMCLWLCN04"/>
    <x v="0"/>
    <b v="0"/>
    <s v="No está en VPC"/>
    <n v="446"/>
    <s v="INTPG_VPC_446_1.28_444_1.31"/>
    <s v="ISEL-1.28"/>
    <n v="1"/>
    <s v="NO TIENE L3OUT"/>
    <n v="198"/>
    <n v="54"/>
  </r>
  <r>
    <n v="444"/>
    <x v="1"/>
    <x v="42"/>
    <s v="eth1/28"/>
    <x v="0"/>
    <x v="0"/>
    <x v="0"/>
    <m/>
    <x v="0"/>
    <b v="0"/>
    <s v="No está en VPC"/>
    <n v="444"/>
    <s v="INTPG_ACC_444_1.28"/>
    <s v="ISEL-1.28"/>
    <n v="9"/>
    <s v="NO TIENE L3OUT"/>
    <n v="234"/>
    <n v="54"/>
  </r>
  <r>
    <n v="701"/>
    <x v="2"/>
    <x v="43"/>
    <s v="eth1/28"/>
    <x v="0"/>
    <x v="0"/>
    <x v="0"/>
    <m/>
    <x v="0"/>
    <b v="0"/>
    <s v="No está en VPC"/>
    <n v="701"/>
    <s v="INTPG_VPC_702_1.27_701_1.28"/>
    <s v="ISEL-1.28"/>
    <n v="1"/>
    <s v="NO TIENE L3OUT"/>
    <n v="0"/>
    <n v="54"/>
  </r>
  <r>
    <n v="440"/>
    <x v="1"/>
    <x v="44"/>
    <s v="eth1/28"/>
    <x v="0"/>
    <x v="1"/>
    <x v="1"/>
    <s v="bmc_ithhwc3a2288h1_PRINCIPAL"/>
    <x v="1"/>
    <b v="0"/>
    <s v="No está en VPC"/>
    <n v="440"/>
    <s v="INTPG_ACC_440_1.28"/>
    <s v="ISEL-1.28"/>
    <n v="1"/>
    <s v="NO TIENE L3OUT"/>
    <n v="22"/>
    <n v="54"/>
  </r>
  <r>
    <n v="448"/>
    <x v="1"/>
    <x v="45"/>
    <s v="eth1/28"/>
    <x v="0"/>
    <x v="0"/>
    <x v="0"/>
    <s v="TO-DD8138PC1"/>
    <x v="0"/>
    <b v="0"/>
    <s v="No está en VPC"/>
    <n v="448"/>
    <s v="INTPG_VPC_431_1.28_448_1.28"/>
    <s v="ISEL-1.28"/>
    <n v="1"/>
    <s v="NO TIENE L3OUT"/>
    <n v="46"/>
    <n v="54"/>
  </r>
  <r>
    <n v="704"/>
    <x v="2"/>
    <x v="46"/>
    <s v="eth1/28"/>
    <x v="0"/>
    <x v="0"/>
    <x v="0"/>
    <m/>
    <x v="0"/>
    <b v="0"/>
    <s v="No está en VPC"/>
    <n v="704"/>
    <s v="INTPG_VPC_703_1.27_704_1.28"/>
    <s v="ISEL-1.28"/>
    <n v="1"/>
    <s v="NO TIENE L3OUT"/>
    <n v="0"/>
    <n v="54"/>
  </r>
  <r>
    <n v="729"/>
    <x v="2"/>
    <x v="47"/>
    <s v="eth1/28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28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28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603"/>
    <x v="1"/>
    <x v="50"/>
    <s v="eth1/28"/>
    <x v="0"/>
    <x v="1"/>
    <x v="3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28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28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28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28"/>
    <x v="0"/>
    <x v="0"/>
    <x v="0"/>
    <m/>
    <x v="0"/>
    <b v="0"/>
    <s v="No está en VPC"/>
    <n v="722"/>
    <s v="INTPG-VPC_SLR18_723_1.27_722_1.28"/>
    <s v="ISEL-1.28"/>
    <n v="1"/>
    <s v="NO TIENE L3OUT"/>
    <n v="0"/>
    <n v="54"/>
  </r>
  <r>
    <n v="733"/>
    <x v="2"/>
    <x v="55"/>
    <s v="eth1/28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28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28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28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28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28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28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28"/>
    <x v="0"/>
    <x v="0"/>
    <x v="0"/>
    <s v="CEM:ITHCEMB2ADT14:SLOT1 P1"/>
    <x v="5"/>
    <b v="0"/>
    <s v="No está en VPC"/>
    <n v="742"/>
    <s v="INTPG_ACC_742_1.28"/>
    <s v="ISEL-1.28"/>
    <n v="1"/>
    <s v="NO TIENE L3OUT"/>
    <n v="64"/>
    <n v="54"/>
  </r>
  <r>
    <n v="763"/>
    <x v="2"/>
    <x v="63"/>
    <s v="eth1/28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28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28"/>
    <x v="1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28"/>
    <x v="0"/>
    <x v="1"/>
    <x v="3"/>
    <s v="PAAS:ithhwosstpap003:LOM PORT 2"/>
    <x v="0"/>
    <b v="0"/>
    <s v="No está en VPC"/>
    <n v="752"/>
    <s v="INTPG_VPC_747_1.18_752_1.28"/>
    <s v="ISEL-1.28"/>
    <n v="0"/>
    <s v="NO TIENE L3OUT"/>
    <n v="0"/>
    <n v="54"/>
  </r>
  <r>
    <n v="765"/>
    <x v="2"/>
    <x v="67"/>
    <s v="eth1/28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28"/>
    <x v="0"/>
    <x v="0"/>
    <x v="0"/>
    <s v="CLOUD OPS:ithhwcop01en01:2X P2"/>
    <x v="0"/>
    <b v="0"/>
    <s v="No está en VPC"/>
    <n v="778"/>
    <s v="INTPG_VPC_778_1.27-30_779_1.27-30"/>
    <s v="ISEL-1.28"/>
    <n v="24"/>
    <s v="NO TIENE L3OUT"/>
    <n v="26"/>
    <n v="54"/>
  </r>
  <r>
    <n v="780"/>
    <x v="2"/>
    <x v="69"/>
    <s v="eth1/28"/>
    <x v="0"/>
    <x v="0"/>
    <x v="0"/>
    <s v="CLOUD OPS:ithhwcop02en02:1E P1"/>
    <x v="0"/>
    <b v="0"/>
    <s v="No está en VPC"/>
    <n v="780"/>
    <s v="INTPG_VPC_780_1.28-29_34-35_781_1.28-29_34-35"/>
    <s v="ISEL-1.28"/>
    <n v="23"/>
    <s v="NO TIENE L3OUT"/>
    <n v="26"/>
    <n v="54"/>
  </r>
  <r>
    <n v="812"/>
    <x v="2"/>
    <x v="70"/>
    <s v="eth1/28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28"/>
    <x v="0"/>
    <x v="0"/>
    <x v="0"/>
    <s v="TO-ITHFHWDCIMLAP02-Redundante"/>
    <x v="0"/>
    <b v="0"/>
    <s v="No está en VPC"/>
    <n v="796"/>
    <s v="INTPG_ACC_796_1.28"/>
    <s v="ISEL-1.28"/>
    <n v="1"/>
    <s v="NO TIENE L3OUT"/>
    <n v="18"/>
    <n v="54"/>
  </r>
  <r>
    <n v="795"/>
    <x v="2"/>
    <x v="72"/>
    <s v="eth1/28"/>
    <x v="0"/>
    <x v="0"/>
    <x v="0"/>
    <s v="TO-ITHFHWDCIMLAP02-Principal"/>
    <x v="0"/>
    <b v="0"/>
    <s v="No está en VPC"/>
    <n v="795"/>
    <s v="INTPG_ACC_795_1.28"/>
    <s v="ISEL-1.28"/>
    <n v="1"/>
    <s v="NO TIENE L3OUT"/>
    <n v="18"/>
    <n v="54"/>
  </r>
  <r>
    <n v="749"/>
    <x v="2"/>
    <x v="73"/>
    <s v="eth1/28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28"/>
    <x v="0"/>
    <x v="0"/>
    <x v="0"/>
    <s v="LINK_TO_ITHFHWCMVWPMA14 /Slot6.2 /Redundante"/>
    <x v="0"/>
    <b v="0"/>
    <s v="No está en VPC"/>
    <n v="824"/>
    <s v="INTPG_ACC_824_1.28"/>
    <s v="ISEL-1.28"/>
    <n v="1"/>
    <s v="NO TIENE L3OUT"/>
    <n v="70"/>
    <n v="54"/>
  </r>
  <r>
    <n v="819"/>
    <x v="2"/>
    <x v="75"/>
    <s v="eth1/28"/>
    <x v="0"/>
    <x v="0"/>
    <x v="0"/>
    <s v="LINK_TO_ITHFHWCMVWPMA14 /Slot4.2 /Principal"/>
    <x v="0"/>
    <b v="0"/>
    <s v="No está en VPC"/>
    <n v="819"/>
    <s v="INTPG_ACC_819_1.28"/>
    <s v="ISEL-1.28"/>
    <n v="1"/>
    <s v="NO TIENE L3OUT"/>
    <n v="70"/>
    <n v="54"/>
  </r>
  <r>
    <n v="737"/>
    <x v="2"/>
    <x v="76"/>
    <s v="eth1/28"/>
    <x v="0"/>
    <x v="0"/>
    <x v="0"/>
    <s v="CEM:ITHCEME2KFK14:SLOT1 P1"/>
    <x v="5"/>
    <b v="0"/>
    <s v="No está en VPC"/>
    <n v="737"/>
    <s v="INTPG_ACC_737_1.28"/>
    <s v="ISEL-1.28"/>
    <n v="1"/>
    <s v="NO TIENE L3OUT"/>
    <n v="72"/>
    <n v="54"/>
  </r>
  <r>
    <n v="844"/>
    <x v="2"/>
    <x v="77"/>
    <s v="eth1/28"/>
    <x v="0"/>
    <x v="0"/>
    <x v="0"/>
    <s v="LINK_TO_ITHFHWCRMPLCN110 / Slot1.1_24 / Principal"/>
    <x v="0"/>
    <b v="0"/>
    <s v="No está en VPC"/>
    <n v="844"/>
    <s v="INTPG_ACC_844_1.28"/>
    <s v="ISEL-1.28"/>
    <n v="6"/>
    <s v="NO TIENE L3OUT"/>
    <n v="282"/>
    <n v="54"/>
  </r>
  <r>
    <n v="843"/>
    <x v="2"/>
    <x v="78"/>
    <s v="eth1/28"/>
    <x v="0"/>
    <x v="0"/>
    <x v="0"/>
    <s v="LINK_To_ITHFHWCBSPSWR44 / Slot7.2_32 / Redundante"/>
    <x v="0"/>
    <b v="0"/>
    <s v="No está en VPC"/>
    <n v="843"/>
    <s v="INTPG_VPC_838_1.28_843_1.28"/>
    <s v="ISEL-1.28"/>
    <n v="1"/>
    <s v="NO TIENE L3OUT"/>
    <n v="38"/>
    <n v="54"/>
  </r>
  <r>
    <n v="797"/>
    <x v="2"/>
    <x v="79"/>
    <s v="eth1/28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28"/>
    <x v="0"/>
    <x v="0"/>
    <x v="0"/>
    <s v="LINK_TO_ITHFHWCBSPSHD39 / Slot7.1_16 / Redundante"/>
    <x v="0"/>
    <b v="0"/>
    <s v="No está en VPC"/>
    <n v="839"/>
    <s v="INTPG_VPC_834_1.28_839_1.28"/>
    <s v="ISEL-1.28"/>
    <n v="2"/>
    <s v="NO TIENE L3OUT"/>
    <n v="0"/>
    <n v="54"/>
  </r>
  <r>
    <n v="847"/>
    <x v="2"/>
    <x v="81"/>
    <s v="eth1/28"/>
    <x v="0"/>
    <x v="0"/>
    <x v="0"/>
    <s v="LINK_TO_ITHFHWCRMPLCN174 / Slot7.3_18 / Redundante"/>
    <x v="0"/>
    <b v="0"/>
    <s v="No está en VPC"/>
    <n v="847"/>
    <s v="INTPG_ACC_847_1.28"/>
    <s v="ISEL-1.28"/>
    <n v="1"/>
    <s v="NO TIENE L3OUT"/>
    <n v="204"/>
    <n v="54"/>
  </r>
  <r>
    <n v="848"/>
    <x v="2"/>
    <x v="82"/>
    <s v="eth1/28"/>
    <x v="0"/>
    <x v="0"/>
    <x v="0"/>
    <s v="LINK_TO_ITHFHWCRMPLCN163 / Slot7.3_28 / Redundante"/>
    <x v="0"/>
    <b v="0"/>
    <s v="No está en VPC"/>
    <n v="848"/>
    <s v="INTPG_ACC_848_1.28"/>
    <s v="ISEL-1.28"/>
    <n v="1"/>
    <s v="NO TIENE L3OUT"/>
    <n v="254"/>
    <n v="54"/>
  </r>
  <r>
    <n v="846"/>
    <x v="2"/>
    <x v="83"/>
    <s v="eth1/28"/>
    <x v="0"/>
    <x v="0"/>
    <x v="0"/>
    <s v="LINK_TO_ITHFHWCRMPLCN81 / Slot1.1_20 / Principal"/>
    <x v="0"/>
    <b v="0"/>
    <s v="No está en VPC"/>
    <n v="846"/>
    <s v="INTPG_ACC_846_1.28"/>
    <s v="ISEL-1.28"/>
    <n v="6"/>
    <s v="NO TIENE L3OUT"/>
    <n v="242"/>
    <n v="54"/>
  </r>
  <r>
    <n v="838"/>
    <x v="2"/>
    <x v="84"/>
    <s v="eth1/28"/>
    <x v="0"/>
    <x v="0"/>
    <x v="0"/>
    <s v="LINK_To_ITHFHWCBSPSWR44 / Slot1.2_32 / Principal"/>
    <x v="0"/>
    <b v="0"/>
    <s v="No está en VPC"/>
    <n v="838"/>
    <s v="INTPG_VPC_838_1.28_843_1.28"/>
    <s v="ISEL-1.28"/>
    <n v="1"/>
    <s v="NO TIENE L3OUT"/>
    <n v="38"/>
    <n v="54"/>
  </r>
  <r>
    <n v="849"/>
    <x v="2"/>
    <x v="85"/>
    <s v="eth1/28"/>
    <x v="0"/>
    <x v="0"/>
    <x v="0"/>
    <s v="LINK_TO_ITHFHWCRMPLCN143 / Slot7.3_20 / Redundante"/>
    <x v="0"/>
    <b v="0"/>
    <s v="No está en VPC"/>
    <n v="849"/>
    <s v="INTPG_ACC_849_1.28"/>
    <s v="ISEL-1.28"/>
    <n v="1"/>
    <s v="NO TIENE L3OUT"/>
    <n v="286"/>
    <n v="54"/>
  </r>
  <r>
    <n v="845"/>
    <x v="2"/>
    <x v="86"/>
    <s v="eth1/28"/>
    <x v="0"/>
    <x v="0"/>
    <x v="0"/>
    <s v="LINK_TO_ITHFHWCRMPLCN93 / Slot1.2_18 / Principal"/>
    <x v="0"/>
    <b v="0"/>
    <s v="No está en VPC"/>
    <n v="845"/>
    <s v="INTPG_ACC_845_1.28"/>
    <s v="ISEL-1.28"/>
    <n v="2"/>
    <s v="NO TIENE L3OUT"/>
    <n v="258"/>
    <n v="54"/>
  </r>
  <r>
    <n v="873"/>
    <x v="2"/>
    <x v="87"/>
    <s v="eth1/28"/>
    <x v="0"/>
    <x v="0"/>
    <x v="0"/>
    <s v="TO_ITHFHWCRMDLCN62_Principal"/>
    <x v="0"/>
    <b v="0"/>
    <s v="No está en VPC"/>
    <n v="873"/>
    <s v="INTPG_ACC_873_1.28"/>
    <s v="ISEL-1.28"/>
    <n v="2"/>
    <s v="NO TIENE L3OUT"/>
    <n v="248"/>
    <n v="54"/>
  </r>
  <r>
    <n v="864"/>
    <x v="2"/>
    <x v="88"/>
    <s v="eth1/28"/>
    <x v="0"/>
    <x v="0"/>
    <x v="0"/>
    <s v="To_VPC_2DCBSD_WR45_1"/>
    <x v="0"/>
    <b v="0"/>
    <s v="No está en VPC"/>
    <n v="864"/>
    <s v="INTPG_VPC_859_1.28_864_1.28"/>
    <s v="ISEL-1.28"/>
    <n v="2"/>
    <s v="NO TIENE L3OUT"/>
    <n v="0"/>
    <n v="54"/>
  </r>
  <r>
    <n v="836"/>
    <x v="2"/>
    <x v="89"/>
    <s v="eth1/28"/>
    <x v="0"/>
    <x v="0"/>
    <x v="0"/>
    <s v="LINK_TO_ITHFHWCBSPSWR54 / Slot1.3_36 / Principal"/>
    <x v="0"/>
    <b v="0"/>
    <s v="No está en VPC"/>
    <n v="836"/>
    <s v="INTPG_VPC_836_1.28_841_1.28"/>
    <s v="ISEL-1.28"/>
    <n v="1"/>
    <s v="NO TIENE L3OUT"/>
    <n v="0"/>
    <n v="54"/>
  </r>
  <r>
    <n v="834"/>
    <x v="2"/>
    <x v="90"/>
    <s v="eth1/28"/>
    <x v="0"/>
    <x v="0"/>
    <x v="0"/>
    <s v="LINK_TO_ITHFHWCBSPSHD39 / Slot1.1_16 / Principal"/>
    <x v="0"/>
    <b v="0"/>
    <s v="No está en VPC"/>
    <n v="834"/>
    <s v="INTPG_VPC_834_1.28_839_1.28"/>
    <s v="ISEL-1.28"/>
    <n v="2"/>
    <s v="NO TIENE L3OUT"/>
    <n v="0"/>
    <n v="54"/>
  </r>
  <r>
    <n v="872"/>
    <x v="2"/>
    <x v="91"/>
    <s v="eth1/28"/>
    <x v="0"/>
    <x v="0"/>
    <x v="0"/>
    <s v="To_ITHFHWCRMDLCN78_Principal"/>
    <x v="0"/>
    <b v="0"/>
    <s v="No está en VPC"/>
    <n v="872"/>
    <s v="INTPG_ACC_872_1.28"/>
    <s v="ISEL-1.28"/>
    <n v="2"/>
    <s v="NO TIENE L3OUT"/>
    <n v="288"/>
    <n v="54"/>
  </r>
  <r>
    <n v="842"/>
    <x v="2"/>
    <x v="92"/>
    <s v="eth1/28"/>
    <x v="0"/>
    <x v="0"/>
    <x v="0"/>
    <s v="LINK_TO_ITHFHWCBSPSWR48 / Slot7.3_32 / Redundante"/>
    <x v="0"/>
    <b v="0"/>
    <s v="No está en VPC"/>
    <n v="842"/>
    <s v="INTPG_VPC_837_1.28_842_1.28"/>
    <s v="ISEL-1.28"/>
    <n v="1"/>
    <s v="NO TIENE L3OUT"/>
    <n v="8"/>
    <n v="54"/>
  </r>
  <r>
    <n v="828"/>
    <x v="2"/>
    <x v="93"/>
    <s v="eth1/28"/>
    <x v="0"/>
    <x v="0"/>
    <x v="0"/>
    <s v="LINK_TO_ITHFHWCRMDLCN24 /Slot4.2 /Principal"/>
    <x v="0"/>
    <b v="0"/>
    <s v="No está en VPC"/>
    <n v="828"/>
    <s v="INTPG_ACC_828_1.28"/>
    <s v="ISEL-1.28"/>
    <n v="1"/>
    <s v="NO TIENE L3OUT"/>
    <n v="192"/>
    <n v="54"/>
  </r>
  <r>
    <n v="870"/>
    <x v="2"/>
    <x v="94"/>
    <s v="eth1/28"/>
    <x v="0"/>
    <x v="0"/>
    <x v="0"/>
    <s v="TO_ITHFHWCRMDLCN62_Redundante"/>
    <x v="0"/>
    <b v="0"/>
    <s v="No está en VPC"/>
    <n v="870"/>
    <s v="INTPG_ACC_870_1.28"/>
    <s v="ISEL-1.28"/>
    <n v="2"/>
    <s v="NO TIENE L3OUT"/>
    <n v="248"/>
    <n v="54"/>
  </r>
  <r>
    <n v="866"/>
    <x v="2"/>
    <x v="95"/>
    <s v="eth1/28"/>
    <x v="0"/>
    <x v="0"/>
    <x v="0"/>
    <s v="To_VPC_2DCBSD_TL04_3"/>
    <x v="0"/>
    <b v="0"/>
    <s v="No está en VPC"/>
    <n v="866"/>
    <s v="INTPG_VPC_861_1.28_866_1.28"/>
    <s v="ISEL-1.28"/>
    <n v="1"/>
    <s v="NO TIENE L3OUT"/>
    <n v="8"/>
    <n v="54"/>
  </r>
  <r>
    <n v="862"/>
    <x v="2"/>
    <x v="96"/>
    <s v="eth1/28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28"/>
    <x v="0"/>
    <x v="0"/>
    <x v="0"/>
    <s v="LINK_TO_ITHFHWCRMPLCN163 / Slot1.3_28 / Principal"/>
    <x v="0"/>
    <b v="0"/>
    <s v="No está en VPC"/>
    <n v="855"/>
    <s v="INTPG_ACC_855_1.28"/>
    <s v="ISEL-1.28"/>
    <n v="1"/>
    <s v="NO TIENE L3OUT"/>
    <n v="254"/>
    <n v="54"/>
  </r>
  <r>
    <n v="871"/>
    <x v="2"/>
    <x v="98"/>
    <s v="eth1/28"/>
    <x v="0"/>
    <x v="0"/>
    <x v="0"/>
    <s v="To_ITHFHWCRMDLCN63_Principal"/>
    <x v="0"/>
    <b v="0"/>
    <s v="No está en VPC"/>
    <n v="871"/>
    <s v="INTPG_ACC_871_1.28"/>
    <s v="ISEL-1.28"/>
    <n v="6"/>
    <s v="NO TIENE L3OUT"/>
    <n v="246"/>
    <n v="54"/>
  </r>
  <r>
    <n v="841"/>
    <x v="2"/>
    <x v="99"/>
    <s v="eth1/28"/>
    <x v="0"/>
    <x v="0"/>
    <x v="0"/>
    <s v="LINK_TO_ITHFHWCBSPSWR54 / Slot7.3_36 / Redundante"/>
    <x v="0"/>
    <b v="0"/>
    <s v="No está en VPC"/>
    <n v="841"/>
    <s v="INTPG_VPC_836_1.28_841_1.28"/>
    <s v="ISEL-1.28"/>
    <n v="1"/>
    <s v="NO TIENE L3OUT"/>
    <n v="0"/>
    <n v="54"/>
  </r>
  <r>
    <n v="868"/>
    <x v="2"/>
    <x v="100"/>
    <s v="eth1/28"/>
    <x v="0"/>
    <x v="0"/>
    <x v="0"/>
    <s v="To_ITHFHWCRMDLCN63_Redundante"/>
    <x v="0"/>
    <b v="0"/>
    <s v="No está en VPC"/>
    <n v="868"/>
    <s v="INTPG_ACC_868_1.28"/>
    <s v="ISEL-1.28"/>
    <n v="6"/>
    <s v="NO TIENE L3OUT"/>
    <n v="246"/>
    <n v="54"/>
  </r>
  <r>
    <n v="869"/>
    <x v="2"/>
    <x v="101"/>
    <s v="eth1/28"/>
    <x v="0"/>
    <x v="0"/>
    <x v="0"/>
    <s v="To_ITHFHWCRMDLCN78_Redundante"/>
    <x v="0"/>
    <b v="0"/>
    <s v="No está en VPC"/>
    <n v="869"/>
    <s v="INTPG_ACC_869_1.28"/>
    <s v="ISEL-1.28"/>
    <n v="2"/>
    <s v="NO TIENE L3OUT"/>
    <n v="288"/>
    <n v="54"/>
  </r>
  <r>
    <n v="861"/>
    <x v="2"/>
    <x v="102"/>
    <s v="eth1/28"/>
    <x v="0"/>
    <x v="0"/>
    <x v="0"/>
    <s v="To_VPC_2DCBSD_TL04_3"/>
    <x v="0"/>
    <b v="0"/>
    <s v="No está en VPC"/>
    <n v="861"/>
    <s v="INTPG_VPC_861_1.28_866_1.28"/>
    <s v="ISEL-1.28"/>
    <n v="1"/>
    <s v="NO TIENE L3OUT"/>
    <n v="8"/>
    <n v="54"/>
  </r>
  <r>
    <n v="874"/>
    <x v="2"/>
    <x v="103"/>
    <s v="eth1/28"/>
    <x v="0"/>
    <x v="0"/>
    <x v="0"/>
    <s v="A_ITHFHWSEQLCAS27_Redundante"/>
    <x v="4"/>
    <b v="0"/>
    <s v="No está en VPC"/>
    <n v="874"/>
    <s v="INTPG_ACC_874_1.28"/>
    <s v="ISEL-1.28"/>
    <n v="1"/>
    <s v="NO TIENE L3OUT"/>
    <n v="92"/>
    <n v="54"/>
  </r>
  <r>
    <n v="865"/>
    <x v="2"/>
    <x v="104"/>
    <s v="eth1/28"/>
    <x v="0"/>
    <x v="0"/>
    <x v="0"/>
    <s v="To_VPC_2DCBSD_BD16_1"/>
    <x v="0"/>
    <b v="0"/>
    <s v="No está en VPC"/>
    <n v="865"/>
    <s v="INTPG_VPC_860_1.28_865_1.28"/>
    <s v="ISEL-1.28"/>
    <n v="2"/>
    <s v="NO TIENE L3OUT"/>
    <n v="0"/>
    <n v="54"/>
  </r>
  <r>
    <n v="753"/>
    <x v="2"/>
    <x v="105"/>
    <s v="eth1/28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28"/>
    <x v="0"/>
    <x v="1"/>
    <x v="5"/>
    <s v="CEM:ITHCEME2KFK14:LOM  P2"/>
    <x v="0"/>
    <b v="0"/>
    <s v="No está en VPC"/>
    <n v="708"/>
    <s v="INTPG_VPC_708_1.28_709_1.27"/>
    <s v="ISEL-1.28"/>
    <n v="1"/>
    <s v="NO TIENE L3OUT"/>
    <n v="0"/>
    <n v="54"/>
  </r>
  <r>
    <n v="710"/>
    <x v="2"/>
    <x v="107"/>
    <s v="eth1/28"/>
    <x v="0"/>
    <x v="1"/>
    <x v="5"/>
    <s v="CEM:ITHCEMC2ADT14:LOM  P2"/>
    <x v="0"/>
    <b v="0"/>
    <s v="No está en VPC"/>
    <n v="710"/>
    <s v="INTPG_VPC_710_1.28_711_1.27"/>
    <s v="ISEL-1.28"/>
    <n v="1"/>
    <s v="NO TIENE L3OUT"/>
    <n v="16"/>
    <n v="54"/>
  </r>
  <r>
    <n v="713"/>
    <x v="2"/>
    <x v="108"/>
    <s v="eth1/28"/>
    <x v="0"/>
    <x v="1"/>
    <x v="5"/>
    <s v="CEM:ITHCEMB2ADT14:LOM  P2"/>
    <x v="0"/>
    <b v="0"/>
    <s v="No está en VPC"/>
    <n v="713"/>
    <s v="INTPG_VPC_712_1.27_713_1.28"/>
    <s v="ISEL-1.28"/>
    <n v="1"/>
    <s v="NO TIENE L3OUT"/>
    <n v="32"/>
    <n v="54"/>
  </r>
  <r>
    <n v="735"/>
    <x v="2"/>
    <x v="109"/>
    <s v="eth1/28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28"/>
    <x v="0"/>
    <x v="0"/>
    <x v="0"/>
    <s v="Server_Pre-R02-RH2288-03"/>
    <x v="0"/>
    <b v="0"/>
    <s v="No está en VPC"/>
    <n v="731"/>
    <s v="INTPG_ACC_731_1.28"/>
    <s v="ISEL-1.28"/>
    <n v="1"/>
    <s v="NO TIENE L3OUT"/>
    <n v="38"/>
    <n v="54"/>
  </r>
  <r>
    <n v="703"/>
    <x v="2"/>
    <x v="111"/>
    <s v="eth1/28"/>
    <x v="0"/>
    <x v="0"/>
    <x v="0"/>
    <m/>
    <x v="0"/>
    <b v="0"/>
    <s v="No está en VPC"/>
    <n v="703"/>
    <s v="INTPG_VPC_704_1.27_703_1.28"/>
    <s v="ISEL-1.28"/>
    <n v="1"/>
    <s v="NO TIENE L3OUT"/>
    <n v="2"/>
    <n v="54"/>
  </r>
  <r>
    <n v="706"/>
    <x v="2"/>
    <x v="112"/>
    <s v="eth1/28"/>
    <x v="0"/>
    <x v="0"/>
    <x v="0"/>
    <m/>
    <x v="0"/>
    <b v="0"/>
    <s v="No está en VPC"/>
    <n v="706"/>
    <s v="INTPG_VPC_705_1.27_706_1.28"/>
    <s v="ISEL-1.28"/>
    <n v="1"/>
    <s v="NO TIENE L3OUT"/>
    <n v="16"/>
    <n v="54"/>
  </r>
  <r>
    <n v="762"/>
    <x v="2"/>
    <x v="113"/>
    <s v="eth1/28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14"/>
    <x v="2"/>
    <x v="114"/>
    <s v="eth1/28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28"/>
    <x v="0"/>
    <x v="0"/>
    <x v="0"/>
    <s v="TO-ITHFXFPOCXLCN02"/>
    <x v="4"/>
    <b v="0"/>
    <s v="No está en VPC"/>
    <n v="878"/>
    <s v="INTPG_VPC_878_1.28_879_1.28"/>
    <s v="ISEL-1.28"/>
    <n v="1"/>
    <s v="NO TIENE L3OUT"/>
    <n v="0"/>
    <n v="54"/>
  </r>
  <r>
    <n v="826"/>
    <x v="2"/>
    <x v="116"/>
    <s v="eth1/28"/>
    <x v="0"/>
    <x v="0"/>
    <x v="0"/>
    <s v="LINK_TO_ITHFHWCBSDSWR16 /Slot5.2 /Principal"/>
    <x v="0"/>
    <b v="0"/>
    <s v="No está en VPC"/>
    <n v="826"/>
    <s v="INTPG_VPC_826_1.28_830_1.28"/>
    <s v="ISEL-1.28"/>
    <n v="2"/>
    <s v="NO TIENE L3OUT"/>
    <n v="12"/>
    <n v="54"/>
  </r>
  <r>
    <n v="726"/>
    <x v="2"/>
    <x v="117"/>
    <s v="eth1/28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28"/>
    <x v="0"/>
    <x v="0"/>
    <x v="0"/>
    <s v="CEM:ITHCEMD2ADT14:SLOT1 P1"/>
    <x v="5"/>
    <b v="0"/>
    <s v="No está en VPC"/>
    <n v="740"/>
    <s v="INTPG_ACC_740_1.28"/>
    <s v="ISEL-1.28"/>
    <n v="1"/>
    <s v="NO TIENE L3OUT"/>
    <n v="72"/>
    <n v="54"/>
  </r>
  <r>
    <n v="705"/>
    <x v="2"/>
    <x v="119"/>
    <s v="eth1/28"/>
    <x v="0"/>
    <x v="0"/>
    <x v="0"/>
    <m/>
    <x v="0"/>
    <b v="0"/>
    <s v="No está en VPC"/>
    <n v="705"/>
    <s v="INTPG_VPC_706_1.27_705_1.28"/>
    <s v="ISEL-1.28"/>
    <n v="1"/>
    <s v="NO TIENE L3OUT"/>
    <n v="16"/>
    <n v="54"/>
  </r>
  <r>
    <n v="723"/>
    <x v="2"/>
    <x v="120"/>
    <s v="eth1/28"/>
    <x v="0"/>
    <x v="1"/>
    <x v="1"/>
    <m/>
    <x v="0"/>
    <b v="0"/>
    <s v="No está en VPC"/>
    <n v="723"/>
    <s v="INTPG-VPC_SLR20_722_1.27_723_1.28"/>
    <s v="ISEL-1.28"/>
    <n v="1"/>
    <s v="NO TIENE L3OUT"/>
    <n v="0"/>
    <n v="54"/>
  </r>
  <r>
    <n v="721"/>
    <x v="2"/>
    <x v="121"/>
    <s v="eth1/28"/>
    <x v="0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28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28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28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28"/>
    <x v="0"/>
    <x v="1"/>
    <x v="5"/>
    <s v="CEM:ITHCEMF2KFK14:LOM  P2"/>
    <x v="0"/>
    <b v="0"/>
    <s v="No está en VPC"/>
    <n v="709"/>
    <s v="INTPG_VPC_708_1.27_709_1.28"/>
    <s v="ISEL-1.28"/>
    <n v="1"/>
    <s v="NO TIENE L3OUT"/>
    <n v="0"/>
    <n v="54"/>
  </r>
  <r>
    <n v="454"/>
    <x v="1"/>
    <x v="126"/>
    <s v="eth1/28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28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28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28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28"/>
    <x v="0"/>
    <x v="0"/>
    <x v="0"/>
    <m/>
    <x v="0"/>
    <b v="0"/>
    <s v="No está en VPC"/>
    <n v="718"/>
    <s v="INTPG-VPC_GWN02_717_1.27_718_1.28"/>
    <s v="ISEL-1.28"/>
    <n v="1"/>
    <s v="NO TIENE L3OUT"/>
    <n v="0"/>
    <n v="54"/>
  </r>
  <r>
    <n v="744"/>
    <x v="2"/>
    <x v="131"/>
    <s v="eth1/28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28"/>
    <x v="0"/>
    <x v="1"/>
    <x v="1"/>
    <s v="CEM:ITHCEMA2ADT14:SLOT1 P1"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28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28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28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28"/>
    <x v="0"/>
    <x v="1"/>
    <x v="3"/>
    <s v="CEM_HADOOP"/>
    <x v="0"/>
    <b v="0"/>
    <s v="No está en VPC"/>
    <n v="736"/>
    <s v="INTPG_ACC_736_1.28"/>
    <s v="ISEL-1.28"/>
    <n v="1"/>
    <s v="NO TIENE L3OUT"/>
    <n v="48"/>
    <n v="54"/>
  </r>
  <r>
    <n v="799"/>
    <x v="2"/>
    <x v="137"/>
    <s v="eth1/28"/>
    <x v="0"/>
    <x v="0"/>
    <x v="0"/>
    <s v="TO-ITHFDEVDICL01ESX01"/>
    <x v="0"/>
    <b v="0"/>
    <s v="No está en VPC"/>
    <n v="799"/>
    <s v="INTPG_VPC_798_1.28_799_1.28"/>
    <s v="ISEL-1.28"/>
    <n v="6"/>
    <s v="NO TIENE L3OUT"/>
    <n v="52"/>
    <n v="54"/>
  </r>
  <r>
    <n v="768"/>
    <x v="2"/>
    <x v="138"/>
    <s v="eth1/28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28"/>
    <x v="0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28"/>
    <x v="0"/>
    <x v="1"/>
    <x v="1"/>
    <m/>
    <x v="0"/>
    <b v="0"/>
    <s v="No está en VPC"/>
    <n v="717"/>
    <s v="INTPG-VPC_ICB03_718_1.27_717_1.28"/>
    <s v="ISEL-1.28"/>
    <n v="1"/>
    <s v="NO TIENE L3OUT"/>
    <n v="0"/>
    <n v="54"/>
  </r>
  <r>
    <n v="789"/>
    <x v="2"/>
    <x v="141"/>
    <s v="eth1/28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28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28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28"/>
    <x v="0"/>
    <x v="0"/>
    <x v="0"/>
    <s v="CLOUD PAAS PAYG F2:Ithhwvm1dch1:Slot 3x/Pto 2"/>
    <x v="0"/>
    <b v="0"/>
    <s v="No está en VPC"/>
    <n v="774"/>
    <s v="INTPG_VPC_774_1.25-28_775_1.29-32"/>
    <s v="ISEL-1.28"/>
    <n v="152"/>
    <s v="NO TIENE L3OUT"/>
    <n v="0"/>
    <n v="54"/>
  </r>
  <r>
    <n v="773"/>
    <x v="2"/>
    <x v="145"/>
    <s v="eth1/28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28"/>
    <x v="0"/>
    <x v="0"/>
    <x v="0"/>
    <s v="TO-NUTANIX -VPC0"/>
    <x v="0"/>
    <b v="0"/>
    <s v="No está en VPC"/>
    <n v="794"/>
    <s v="INTPG_VPC_793_1.28_794_1.28"/>
    <s v="ISEL-1.28"/>
    <n v="12"/>
    <s v="NO TIENE L3OUT"/>
    <n v="12"/>
    <n v="54"/>
  </r>
  <r>
    <n v="803"/>
    <x v="2"/>
    <x v="147"/>
    <s v="eth1/28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28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28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28"/>
    <x v="0"/>
    <x v="0"/>
    <x v="0"/>
    <s v="CLOUD OPS:ithhwcop02en02:1E P3"/>
    <x v="0"/>
    <b v="0"/>
    <s v="No está en VPC"/>
    <n v="781"/>
    <s v="INTPG_VPC_780_1.28-29_34-35_781_1.28-29_34-35"/>
    <s v="ISEL-1.28"/>
    <n v="23"/>
    <s v="NO TIENE L3OUT"/>
    <n v="26"/>
    <n v="54"/>
  </r>
  <r>
    <n v="793"/>
    <x v="2"/>
    <x v="151"/>
    <s v="eth1/28"/>
    <x v="0"/>
    <x v="0"/>
    <x v="0"/>
    <s v="TO-NUTANIX -VPC0"/>
    <x v="0"/>
    <b v="0"/>
    <s v="No está en VPC"/>
    <n v="793"/>
    <s v="INTPG_VPC_793_1.28_794_1.28"/>
    <s v="ISEL-1.28"/>
    <n v="12"/>
    <s v="NO TIENE L3OUT"/>
    <n v="12"/>
    <n v="54"/>
  </r>
  <r>
    <n v="747"/>
    <x v="2"/>
    <x v="152"/>
    <s v="eth1/28"/>
    <x v="0"/>
    <x v="0"/>
    <x v="0"/>
    <s v="PAAS:ithhwosstpap003:Slot4.2"/>
    <x v="0"/>
    <b v="0"/>
    <s v="No está en VPC"/>
    <n v="747"/>
    <s v="INTPG_VPC_747_1.28_752_1.18"/>
    <s v="ISEL-1.28"/>
    <n v="25"/>
    <s v="NO TIENE L3OUT"/>
    <n v="0"/>
    <n v="54"/>
  </r>
  <r>
    <n v="784"/>
    <x v="2"/>
    <x v="153"/>
    <s v="eth1/28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28"/>
    <x v="1"/>
    <x v="1"/>
    <x v="2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28"/>
    <x v="0"/>
    <x v="0"/>
    <x v="0"/>
    <s v="CLOUD PAAS PAYG F2:Ithhwvm1ach1:Slot 3x/Pto 2"/>
    <x v="0"/>
    <b v="0"/>
    <s v="No está en VPC"/>
    <n v="777"/>
    <s v="INTPG_VPC_776_1.29-32_777_1.25-28"/>
    <s v="ISEL-1.28"/>
    <n v="93"/>
    <s v="NO TIENE L3OUT"/>
    <n v="0"/>
    <n v="54"/>
  </r>
  <r>
    <n v="770"/>
    <x v="2"/>
    <x v="156"/>
    <s v="eth1/28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28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28"/>
    <x v="0"/>
    <x v="0"/>
    <x v="0"/>
    <s v="CEM:ITHCEMC2ADT14:SLOT1 P1"/>
    <x v="5"/>
    <b v="0"/>
    <s v="No está en VPC"/>
    <n v="739"/>
    <s v="INTPG_ACC_739_1.28"/>
    <s v="ISEL-1.28"/>
    <n v="1"/>
    <s v="NO TIENE L3OUT"/>
    <n v="72"/>
    <n v="54"/>
  </r>
  <r>
    <n v="775"/>
    <x v="2"/>
    <x v="159"/>
    <s v="eth1/28"/>
    <x v="0"/>
    <x v="0"/>
    <x v="0"/>
    <s v="CLOUD PAAS PAYG F2:Ithhwvm1cch1:Slot 3x/Pto 2"/>
    <x v="0"/>
    <b v="0"/>
    <s v="No está en VPC"/>
    <n v="775"/>
    <s v="INTPG_VPC_774_1.29-32_775_1.25-28"/>
    <s v="ISEL-1.28"/>
    <n v="169"/>
    <s v="NO TIENE L3OUT"/>
    <n v="0"/>
    <n v="54"/>
  </r>
  <r>
    <n v="791"/>
    <x v="2"/>
    <x v="160"/>
    <s v="eth1/28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28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28"/>
    <x v="0"/>
    <x v="0"/>
    <x v="0"/>
    <s v="LINK_TO_ITHFHWCBSDSWR16 /Slot7.2 /Redundante"/>
    <x v="0"/>
    <b v="0"/>
    <s v="No está en VPC"/>
    <n v="830"/>
    <s v="INTPG_VPC_826_1.28_830_1.28"/>
    <s v="ISEL-1.28"/>
    <n v="2"/>
    <s v="NO TIENE L3OUT"/>
    <n v="12"/>
    <n v="54"/>
  </r>
  <r>
    <n v="821"/>
    <x v="2"/>
    <x v="163"/>
    <s v="eth1/28"/>
    <x v="0"/>
    <x v="0"/>
    <x v="0"/>
    <s v="LINK_TO_ITHFHWCBSPSWR16 /Slot7.2 /Redundante"/>
    <x v="0"/>
    <b v="0"/>
    <s v="No está en VPC"/>
    <n v="821"/>
    <s v="INTPG_VPC_816_1.28_821_1.28"/>
    <s v="ISEL-1.28"/>
    <n v="2"/>
    <s v="NO TIENE L3OUT"/>
    <n v="0"/>
    <n v="54"/>
  </r>
  <r>
    <n v="738"/>
    <x v="2"/>
    <x v="164"/>
    <s v="eth1/28"/>
    <x v="0"/>
    <x v="0"/>
    <x v="0"/>
    <s v="CEM:ITHCEMF2KFK14:SLOT1 P1"/>
    <x v="5"/>
    <b v="0"/>
    <s v="No está en VPC"/>
    <n v="738"/>
    <s v="INTPG_ACC_738_1.28"/>
    <s v="ISEL-1.28"/>
    <n v="1"/>
    <s v="NO TIENE L3OUT"/>
    <n v="72"/>
    <n v="54"/>
  </r>
  <r>
    <n v="820"/>
    <x v="2"/>
    <x v="165"/>
    <s v="eth1/28"/>
    <x v="0"/>
    <x v="0"/>
    <x v="0"/>
    <s v="LINKT_TO_ITHFHWCRMPLCN134 / Slot7.1_38 / Redundante"/>
    <x v="0"/>
    <b v="0"/>
    <s v="No está en VPC"/>
    <n v="820"/>
    <s v="INTPG_ACC_820_1.28"/>
    <s v="ISEL-1.28"/>
    <n v="6"/>
    <s v="NO TIENE L3OUT"/>
    <n v="72"/>
    <n v="54"/>
  </r>
  <r>
    <n v="804"/>
    <x v="2"/>
    <x v="166"/>
    <s v="eth1/28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28"/>
    <x v="0"/>
    <x v="0"/>
    <x v="0"/>
    <s v="CLOUD OPS:ithhwcop01en01:2X P4"/>
    <x v="0"/>
    <b v="0"/>
    <s v="No está en VPC"/>
    <n v="779"/>
    <s v="INTPG_VPC_778_1.27-30_779_1.27-30"/>
    <s v="ISEL-1.28"/>
    <n v="24"/>
    <s v="NO TIENE L3OUT"/>
    <n v="30"/>
    <n v="54"/>
  </r>
  <r>
    <n v="767"/>
    <x v="2"/>
    <x v="168"/>
    <s v="eth1/28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28"/>
    <x v="0"/>
    <x v="0"/>
    <x v="0"/>
    <s v="LINK_TO_ITHFHWCBSDSWR25 /Slot4.2 /Principal"/>
    <x v="0"/>
    <b v="0"/>
    <s v="No está en VPC"/>
    <n v="827"/>
    <s v="INTPG_VPC_827_1.28_831_1.28"/>
    <s v="ISEL-1.28"/>
    <n v="1"/>
    <s v="NO TIENE L3OUT"/>
    <n v="14"/>
    <n v="54"/>
  </r>
  <r>
    <n v="809"/>
    <x v="2"/>
    <x v="170"/>
    <s v="eth1/28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28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28"/>
    <x v="1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28"/>
    <x v="0"/>
    <x v="0"/>
    <x v="0"/>
    <s v="CLOUD PAAS PAYG F2:Ithhwvm1bch1:Slot 3x/Pto 2"/>
    <x v="0"/>
    <b v="0"/>
    <s v="No está en VPC"/>
    <n v="776"/>
    <s v="INTPG_VPC_776_1.25-28_777_1.29-32"/>
    <s v="ISEL-1.28"/>
    <n v="90"/>
    <s v="NO TIENE L3OUT"/>
    <n v="0"/>
    <n v="54"/>
  </r>
  <r>
    <n v="805"/>
    <x v="2"/>
    <x v="174"/>
    <s v="eth1/28"/>
    <x v="1"/>
    <x v="1"/>
    <x v="2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28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28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28"/>
    <x v="0"/>
    <x v="0"/>
    <x v="0"/>
    <s v="LINK_TO_ITHFHWCRMPLCN110 / Slot7.1_24 / Redundante"/>
    <x v="0"/>
    <b v="0"/>
    <s v="No está en VPC"/>
    <n v="851"/>
    <s v="INTPG_ACC_851_1.28"/>
    <s v="ISEL-1.28"/>
    <n v="6"/>
    <s v="NO TIENE L3OUT"/>
    <n v="282"/>
    <n v="54"/>
  </r>
  <r>
    <n v="798"/>
    <x v="2"/>
    <x v="178"/>
    <s v="eth1/28"/>
    <x v="0"/>
    <x v="0"/>
    <x v="0"/>
    <s v="TO-ITHFDEVDICL01ESX01"/>
    <x v="0"/>
    <b v="0"/>
    <s v="No está en VPC"/>
    <n v="798"/>
    <s v="INTPG_VPC_798_1.28_799_1.28"/>
    <s v="ISEL-1.28"/>
    <n v="6"/>
    <s v="NO TIENE L3OUT"/>
    <n v="52"/>
    <n v="54"/>
  </r>
  <r>
    <n v="782"/>
    <x v="2"/>
    <x v="179"/>
    <s v="eth1/28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28"/>
    <x v="0"/>
    <x v="0"/>
    <x v="0"/>
    <s v="LINK_TO_ITHFHWCRMPLCN93 / Slot7.2_18 / Redundante"/>
    <x v="0"/>
    <b v="0"/>
    <s v="No está en VPC"/>
    <n v="852"/>
    <s v="INTPG_ACC_852_1.28"/>
    <s v="ISEL-1.28"/>
    <n v="2"/>
    <s v="NO TIENE L3OUT"/>
    <n v="258"/>
    <n v="54"/>
  </r>
  <r>
    <n v="817"/>
    <x v="2"/>
    <x v="181"/>
    <s v="eth1/28"/>
    <x v="0"/>
    <x v="0"/>
    <x v="0"/>
    <s v="LINK_TO_ITHFHWCBSPSUSBD20 /Slot5.2 /Principal"/>
    <x v="0"/>
    <b v="0"/>
    <s v="No está en VPC"/>
    <n v="817"/>
    <s v="INTPG_VPC_817_1.28_822_1.28"/>
    <s v="ISEL-1.28"/>
    <n v="2"/>
    <s v="NO TIENE L3OUT"/>
    <n v="0"/>
    <n v="54"/>
  </r>
  <r>
    <n v="832"/>
    <x v="2"/>
    <x v="182"/>
    <s v="eth1/28"/>
    <x v="0"/>
    <x v="0"/>
    <x v="0"/>
    <s v="LINK_TO_ITHFHWCRMDLCN24 /Slot6.2 /Redundante"/>
    <x v="0"/>
    <b v="0"/>
    <s v="No está en VPC"/>
    <n v="832"/>
    <s v="INTPG_ACC_832_1.28"/>
    <s v="ISEL-1.28"/>
    <n v="1"/>
    <s v="NO TIENE L3OUT"/>
    <n v="192"/>
    <n v="54"/>
  </r>
  <r>
    <n v="816"/>
    <x v="2"/>
    <x v="183"/>
    <s v="eth1/28"/>
    <x v="0"/>
    <x v="0"/>
    <x v="0"/>
    <s v="LINK_TO_ITHFHWCBSPSWR16 /Slot5.2 /Principal"/>
    <x v="0"/>
    <b v="0"/>
    <s v="No está en VPC"/>
    <n v="816"/>
    <s v="INTPG_VPC_816_1.28_821_1.28"/>
    <s v="ISEL-1.28"/>
    <n v="2"/>
    <s v="NO TIENE L3OUT"/>
    <n v="0"/>
    <n v="54"/>
  </r>
  <r>
    <n v="825"/>
    <x v="2"/>
    <x v="184"/>
    <s v="eth1/28"/>
    <x v="0"/>
    <x v="0"/>
    <x v="0"/>
    <s v="LINKT_TO_ITHFHWCRMPLCN134 / Slot1.1_38 / Principal"/>
    <x v="0"/>
    <b v="0"/>
    <s v="No está en VPC"/>
    <n v="825"/>
    <s v="INTPG_ACC_825_1.28"/>
    <s v="ISEL-1.28"/>
    <n v="6"/>
    <s v="NO TIENE L3OUT"/>
    <n v="72"/>
    <n v="54"/>
  </r>
  <r>
    <n v="800"/>
    <x v="2"/>
    <x v="185"/>
    <s v="eth1/28"/>
    <x v="0"/>
    <x v="0"/>
    <x v="0"/>
    <s v="TO-ITHFHWSEQLCAS08-MSP"/>
    <x v="0"/>
    <b v="0"/>
    <s v="No está en VPC"/>
    <n v="800"/>
    <s v="INTPG_ACC_800_1.28"/>
    <s v="ISEL-1.28"/>
    <n v="1"/>
    <s v="NO TIENE L3OUT"/>
    <n v="78"/>
    <n v="54"/>
  </r>
  <r>
    <n v="801"/>
    <x v="2"/>
    <x v="186"/>
    <s v="eth1/28"/>
    <x v="0"/>
    <x v="0"/>
    <x v="0"/>
    <s v="TO-ITHFHWSEQLCAS08-MSP"/>
    <x v="0"/>
    <b v="0"/>
    <s v="No está en VPC"/>
    <n v="801"/>
    <s v="INTPG_ACC_801_1.28"/>
    <s v="ISEL-1.28"/>
    <n v="1"/>
    <s v="NO TIENE L3OUT"/>
    <n v="78"/>
    <n v="54"/>
  </r>
  <r>
    <n v="823"/>
    <x v="2"/>
    <x v="187"/>
    <s v="eth1/28"/>
    <x v="0"/>
    <x v="0"/>
    <x v="0"/>
    <s v="LINK_TO_ITHFHWCBSPSWR33 /Slot6.2 /Redundante"/>
    <x v="0"/>
    <b v="0"/>
    <s v="No está en VPC"/>
    <n v="823"/>
    <s v="INTPG_VPC_818_1.28_823_1.28"/>
    <s v="ISEL-1.28"/>
    <n v="1"/>
    <s v="NO TIENE L3OUT"/>
    <n v="8"/>
    <n v="54"/>
  </r>
  <r>
    <n v="837"/>
    <x v="2"/>
    <x v="188"/>
    <s v="eth1/28"/>
    <x v="0"/>
    <x v="0"/>
    <x v="0"/>
    <s v="LINK_TO_ITHFHWCBSPSWR48 / Slot1.3_32 / Principal"/>
    <x v="0"/>
    <b v="0"/>
    <s v="No está en VPC"/>
    <n v="837"/>
    <s v="INTPG_VPC_837_1.28_842_1.28"/>
    <s v="ISEL-1.28"/>
    <n v="1"/>
    <s v="NO TIENE L3OUT"/>
    <n v="8"/>
    <n v="54"/>
  </r>
  <r>
    <n v="867"/>
    <x v="2"/>
    <x v="189"/>
    <s v="eth1/28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28"/>
    <x v="0"/>
    <x v="0"/>
    <x v="0"/>
    <s v="To_ITHFHWCRMDLCN44_Principal"/>
    <x v="0"/>
    <b v="0"/>
    <s v="No está en VPC"/>
    <n v="829"/>
    <s v="INTPG_ACC_829_1.28"/>
    <s v="ISEL-1.28"/>
    <n v="2"/>
    <s v="NO TIENE L3OUT"/>
    <n v="224"/>
    <n v="54"/>
  </r>
  <r>
    <n v="831"/>
    <x v="2"/>
    <x v="191"/>
    <s v="eth1/28"/>
    <x v="0"/>
    <x v="0"/>
    <x v="0"/>
    <s v="LINK_TO_ITHFHWCBSDSWR25 /Slot6.2 /Redundante"/>
    <x v="0"/>
    <b v="0"/>
    <s v="No está en VPC"/>
    <n v="831"/>
    <s v="INTPG_VPC_827_1.28_831_1.28"/>
    <s v="ISEL-1.28"/>
    <n v="1"/>
    <s v="NO TIENE L3OUT"/>
    <n v="14"/>
    <n v="54"/>
  </r>
  <r>
    <n v="802"/>
    <x v="2"/>
    <x v="192"/>
    <s v="eth1/28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28"/>
    <x v="0"/>
    <x v="0"/>
    <x v="0"/>
    <s v="LINK_TO_ITHFHWCBSPSHD31 / Slot1.3_14 / Principal"/>
    <x v="0"/>
    <b v="0"/>
    <s v="No está en VPC"/>
    <n v="835"/>
    <s v="INTPG_VPC_835_1.28_840_1.28"/>
    <s v="ISEL-1.28"/>
    <n v="1"/>
    <s v="NO TIENE L3OUT"/>
    <n v="8"/>
    <n v="54"/>
  </r>
  <r>
    <n v="822"/>
    <x v="2"/>
    <x v="194"/>
    <s v="eth1/28"/>
    <x v="0"/>
    <x v="0"/>
    <x v="0"/>
    <s v="LINK_TO_ITHFHWCBSPSUSBD20 /Slot7.2 /Redundante"/>
    <x v="0"/>
    <b v="0"/>
    <s v="No está en VPC"/>
    <n v="822"/>
    <s v="INTPG_VPC_817_1.28_822_1.28"/>
    <s v="ISEL-1.28"/>
    <n v="2"/>
    <s v="NO TIENE L3OUT"/>
    <n v="0"/>
    <n v="54"/>
  </r>
  <r>
    <n v="854"/>
    <x v="2"/>
    <x v="195"/>
    <s v="eth1/28"/>
    <x v="0"/>
    <x v="0"/>
    <x v="0"/>
    <s v="LINK_TO_ITHFHWCRMPLCN174 / Slot1.3_18 / Principal"/>
    <x v="0"/>
    <b v="0"/>
    <s v="No está en VPC"/>
    <n v="854"/>
    <s v="INTPG_ACC_854_1.28"/>
    <s v="ISEL-1.28"/>
    <n v="1"/>
    <s v="NO TIENE L3OUT"/>
    <n v="204"/>
    <n v="54"/>
  </r>
  <r>
    <n v="858"/>
    <x v="2"/>
    <x v="196"/>
    <s v="eth1/28"/>
    <x v="0"/>
    <x v="0"/>
    <x v="0"/>
    <s v="To_VPC_2DCBSD_WR54_1"/>
    <x v="0"/>
    <b v="0"/>
    <s v="No está en VPC"/>
    <n v="858"/>
    <s v="INTPG_VPC_858_1.28_863_1.28"/>
    <s v="ISEL-1.28"/>
    <n v="2"/>
    <s v="NO TIENE L3OUT"/>
    <n v="8"/>
    <n v="54"/>
  </r>
  <r>
    <n v="857"/>
    <x v="2"/>
    <x v="197"/>
    <s v="eth1/28"/>
    <x v="0"/>
    <x v="0"/>
    <x v="0"/>
    <s v="LINKT_TO_ITHFHWCRMPLCN124 / Slot1.3_18 / Principal"/>
    <x v="0"/>
    <b v="0"/>
    <s v="No está en VPC"/>
    <n v="857"/>
    <s v="INTPG_ACC_857_1.28"/>
    <s v="ISEL-1.28"/>
    <n v="1"/>
    <s v="NO TIENE L3OUT"/>
    <n v="288"/>
    <n v="54"/>
  </r>
  <r>
    <n v="859"/>
    <x v="2"/>
    <x v="198"/>
    <s v="eth1/28"/>
    <x v="0"/>
    <x v="0"/>
    <x v="0"/>
    <s v="To_VPC_2DCBSD_WR45_1"/>
    <x v="0"/>
    <b v="0"/>
    <s v="No está en VPC"/>
    <n v="859"/>
    <s v="INTPG_VPC_859_1.28_864_1.28"/>
    <s v="ISEL-1.28"/>
    <n v="2"/>
    <s v="NO TIENE L3OUT"/>
    <n v="0"/>
    <n v="54"/>
  </r>
  <r>
    <n v="833"/>
    <x v="2"/>
    <x v="199"/>
    <s v="eth1/28"/>
    <x v="0"/>
    <x v="0"/>
    <x v="0"/>
    <s v="To_ITHFHWCRMDLCN44_Redundante"/>
    <x v="0"/>
    <b v="0"/>
    <s v="No está en VPC"/>
    <n v="833"/>
    <s v="INTPG_ACC_833_1.28"/>
    <s v="ISEL-1.28"/>
    <n v="2"/>
    <s v="NO TIENE L3OUT"/>
    <n v="224"/>
    <n v="54"/>
  </r>
  <r>
    <n v="818"/>
    <x v="2"/>
    <x v="200"/>
    <s v="eth1/28"/>
    <x v="0"/>
    <x v="0"/>
    <x v="0"/>
    <s v="LINK_TO_ITHFHWCBSPSWR33 /Slot4.2 /Principal"/>
    <x v="0"/>
    <b v="0"/>
    <s v="No está en VPC"/>
    <n v="818"/>
    <s v="INTPG_VPC_818_1.28_823_1.28"/>
    <s v="ISEL-1.28"/>
    <n v="1"/>
    <s v="NO TIENE L3OUT"/>
    <n v="8"/>
    <n v="54"/>
  </r>
  <r>
    <n v="850"/>
    <x v="2"/>
    <x v="201"/>
    <s v="eth1/28"/>
    <x v="0"/>
    <x v="0"/>
    <x v="0"/>
    <s v="LINKT_TO_ITHFHWCRMPLCN124 / Slot7.3_18 / Redundante"/>
    <x v="0"/>
    <b v="0"/>
    <s v="No está en VPC"/>
    <n v="850"/>
    <s v="INTPG_ACC_850_1.28"/>
    <s v="ISEL-1.28"/>
    <n v="1"/>
    <s v="NO TIENE L3OUT"/>
    <n v="288"/>
    <n v="54"/>
  </r>
  <r>
    <n v="860"/>
    <x v="2"/>
    <x v="202"/>
    <s v="eth1/28"/>
    <x v="0"/>
    <x v="0"/>
    <x v="0"/>
    <s v="To_VPC_2DCBSD_BD16_1"/>
    <x v="0"/>
    <b v="0"/>
    <s v="No está en VPC"/>
    <n v="860"/>
    <s v="INTPG_VPC_860_1.28_865_1.28"/>
    <s v="ISEL-1.28"/>
    <n v="2"/>
    <s v="NO TIENE L3OUT"/>
    <n v="0"/>
    <n v="54"/>
  </r>
  <r>
    <n v="853"/>
    <x v="2"/>
    <x v="203"/>
    <s v="eth1/28"/>
    <x v="0"/>
    <x v="0"/>
    <x v="0"/>
    <s v="LINK_TO_ITHFHWCRMPLCN81 / Slot7.1_20 / Redundante"/>
    <x v="0"/>
    <b v="0"/>
    <s v="No está en VPC"/>
    <n v="853"/>
    <s v="INTPG_ACC_853_1.28"/>
    <s v="ISEL-1.28"/>
    <n v="6"/>
    <s v="NO TIENE L3OUT"/>
    <n v="242"/>
    <n v="54"/>
  </r>
  <r>
    <n v="790"/>
    <x v="2"/>
    <x v="204"/>
    <s v="eth1/28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28"/>
    <x v="0"/>
    <x v="0"/>
    <x v="0"/>
    <s v="CISCO ANA 01 EHEALTH"/>
    <x v="6"/>
    <b v="0"/>
    <s v="No está en VPC"/>
    <n v="105"/>
    <s v="INTPG_ACC_105_1.28"/>
    <s v="ISEL-1.28"/>
    <n v="1"/>
    <s v="NO TIENE L3OUT"/>
    <n v="106"/>
    <n v="96"/>
  </r>
  <r>
    <n v="117"/>
    <x v="0"/>
    <x v="206"/>
    <s v="eth1/28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28"/>
    <x v="0"/>
    <x v="1"/>
    <x v="1"/>
    <s v="Citrix Silot"/>
    <x v="6"/>
    <b v="0"/>
    <s v="No está en VPC"/>
    <n v="104"/>
    <s v="INTPG_ACC_104_1.28"/>
    <s v="ISEL-1.28"/>
    <n v="1"/>
    <s v="NO TIENE L3OUT"/>
    <n v="194"/>
    <n v="96"/>
  </r>
  <r>
    <n v="158"/>
    <x v="0"/>
    <x v="208"/>
    <s v="eth1/28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28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28"/>
    <x v="0"/>
    <x v="0"/>
    <x v="0"/>
    <s v="TO-ITHFXFPOCXLCN02"/>
    <x v="4"/>
    <b v="0"/>
    <s v="No está en VPC"/>
    <n v="879"/>
    <s v="INTPG_VPC_878_1.28_879_1.28"/>
    <s v="ISEL-1.28"/>
    <n v="1"/>
    <s v="NO TIENE L3OUT"/>
    <n v="0"/>
    <n v="54"/>
  </r>
  <r>
    <n v="108"/>
    <x v="0"/>
    <x v="211"/>
    <s v="eth1/28"/>
    <x v="0"/>
    <x v="0"/>
    <x v="0"/>
    <s v="SISTEMA GENERAL(SGAI)"/>
    <x v="6"/>
    <b v="0"/>
    <s v="No está en VPC"/>
    <n v="108"/>
    <s v="INTPG_ACC_108_1.28"/>
    <s v="ISEL-1.28"/>
    <n v="1"/>
    <s v="NO TIENE L3OUT"/>
    <n v="126"/>
    <n v="96"/>
  </r>
  <r>
    <n v="112"/>
    <x v="0"/>
    <x v="212"/>
    <s v="eth1/28"/>
    <x v="0"/>
    <x v="0"/>
    <x v="0"/>
    <s v="SUBEX (Fraud Management)"/>
    <x v="6"/>
    <b v="0"/>
    <s v="No está en VPC"/>
    <n v="112"/>
    <s v="INTPG_ACC_112_1.28"/>
    <s v="ISEL-1.28"/>
    <n v="1"/>
    <s v="NO TIENE L3OUT"/>
    <n v="144"/>
    <n v="96"/>
  </r>
  <r>
    <n v="107"/>
    <x v="0"/>
    <x v="213"/>
    <s v="eth1/28"/>
    <x v="0"/>
    <x v="0"/>
    <x v="0"/>
    <s v="TO-UXF5IXT39K01"/>
    <x v="6"/>
    <b v="0"/>
    <s v="No está en VPC"/>
    <n v="107"/>
    <s v="INTPG_VPC_106_1.62_107_1.28"/>
    <s v="ISEL-1.28"/>
    <n v="2"/>
    <s v="NO TIENE L3OUT"/>
    <n v="118"/>
    <n v="96"/>
  </r>
  <r>
    <n v="109"/>
    <x v="0"/>
    <x v="214"/>
    <s v="eth1/28"/>
    <x v="0"/>
    <x v="0"/>
    <x v="0"/>
    <s v="SISTEMA GENERAL(SGAI)"/>
    <x v="6"/>
    <b v="0"/>
    <s v="No está en VPC"/>
    <n v="109"/>
    <s v="INTPG_ACC_109_1.28"/>
    <s v="ISEL-1.28"/>
    <n v="1"/>
    <s v="NO TIENE L3OUT"/>
    <n v="126"/>
    <n v="96"/>
  </r>
  <r>
    <n v="113"/>
    <x v="0"/>
    <x v="215"/>
    <s v="eth1/28"/>
    <x v="0"/>
    <x v="1"/>
    <x v="1"/>
    <s v="RLVYCAN03"/>
    <x v="6"/>
    <b v="0"/>
    <s v="No está en VPC"/>
    <n v="113"/>
    <s v="INTPG_ACC_113_1.28"/>
    <s v="ISEL-1.28"/>
    <n v="1"/>
    <s v="NO TIENE L3OUT"/>
    <n v="52"/>
    <n v="96"/>
  </r>
  <r>
    <n v="114"/>
    <x v="0"/>
    <x v="216"/>
    <s v="eth1/28"/>
    <x v="0"/>
    <x v="0"/>
    <x v="0"/>
    <s v="CHARGING SYSTEM"/>
    <x v="6"/>
    <b v="0"/>
    <s v="No está en VPC"/>
    <n v="114"/>
    <s v="INTPG_ACC_114_1.28"/>
    <s v="ISEL-1.28"/>
    <n v="1"/>
    <s v="NO TIENE L3OUT"/>
    <n v="144"/>
    <n v="96"/>
  </r>
  <r>
    <n v="124"/>
    <x v="0"/>
    <x v="217"/>
    <s v="eth1/28"/>
    <x v="0"/>
    <x v="0"/>
    <x v="0"/>
    <s v="Politicas de Navegacion"/>
    <x v="6"/>
    <b v="0"/>
    <s v="No está en VPC"/>
    <n v="124"/>
    <s v="INTPG_VPC_124_1.28-29_125_1.31-32"/>
    <s v="ISEL-1.28"/>
    <n v="5"/>
    <s v="NO TIENE L3OUT"/>
    <n v="80"/>
    <n v="96"/>
  </r>
  <r>
    <n v="118"/>
    <x v="0"/>
    <x v="218"/>
    <s v="eth1/28"/>
    <x v="0"/>
    <x v="0"/>
    <x v="0"/>
    <s v="DATOS NETCRACKER"/>
    <x v="6"/>
    <b v="0"/>
    <s v="No está en VPC"/>
    <n v="118"/>
    <s v="INTPG_ACC_118_1.28"/>
    <s v="ISEL-1.28"/>
    <n v="1"/>
    <s v="NO TIENE L3OUT"/>
    <n v="180"/>
    <n v="96"/>
  </r>
  <r>
    <n v="159"/>
    <x v="0"/>
    <x v="219"/>
    <s v="eth1/28"/>
    <x v="0"/>
    <x v="0"/>
    <x v="0"/>
    <s v="ArrobaDOC Y CF"/>
    <x v="6"/>
    <b v="0"/>
    <s v="No está en VPC"/>
    <n v="159"/>
    <s v="INTPG_ACC_159_1.28"/>
    <s v="ISEL-1.28"/>
    <n v="1"/>
    <s v="NO TIENE L3OUT"/>
    <n v="72"/>
    <n v="96"/>
  </r>
  <r>
    <n v="840"/>
    <x v="2"/>
    <x v="220"/>
    <s v="eth1/28"/>
    <x v="0"/>
    <x v="0"/>
    <x v="0"/>
    <s v="LINK_TO_ITHFHWCBSPSHD31 / Slot7.3_14 / Redundante"/>
    <x v="0"/>
    <b v="0"/>
    <s v="No está en VPC"/>
    <n v="840"/>
    <s v="INTPG_VPC_835_1.28_840_1.28"/>
    <s v="ISEL-1.28"/>
    <n v="1"/>
    <s v="NO TIENE L3OUT"/>
    <n v="8"/>
    <n v="54"/>
  </r>
  <r>
    <n v="856"/>
    <x v="2"/>
    <x v="221"/>
    <s v="eth1/28"/>
    <x v="0"/>
    <x v="0"/>
    <x v="0"/>
    <s v="LINK_TO_ITHFHWCRMPLCN143 / Slot1.3_20 / Principal"/>
    <x v="0"/>
    <b v="0"/>
    <s v="No está en VPC"/>
    <n v="856"/>
    <s v="INTPG_ACC_856_1.28"/>
    <s v="ISEL-1.28"/>
    <n v="1"/>
    <s v="NO TIENE L3OUT"/>
    <n v="286"/>
    <n v="54"/>
  </r>
  <r>
    <n v="110"/>
    <x v="0"/>
    <x v="222"/>
    <s v="eth1/28"/>
    <x v="0"/>
    <x v="0"/>
    <x v="0"/>
    <s v="UXDX-DATOS"/>
    <x v="6"/>
    <b v="0"/>
    <s v="No está en VPC"/>
    <n v="110"/>
    <s v="INTPG_ACC_110_1.28"/>
    <s v="ISEL-1.28"/>
    <n v="1"/>
    <s v="NO TIENE L3OUT"/>
    <n v="102"/>
    <n v="96"/>
  </r>
  <r>
    <n v="163"/>
    <x v="0"/>
    <x v="223"/>
    <s v="eth1/28"/>
    <x v="0"/>
    <x v="1"/>
    <x v="1"/>
    <s v="UXOXXO02B(VTAE)"/>
    <x v="6"/>
    <b v="0"/>
    <s v="No está en VPC"/>
    <n v="163"/>
    <s v="INTPG_ACC_163_1.28"/>
    <s v="ISEL-1.28"/>
    <n v="1"/>
    <s v="NO TIENE L3OUT"/>
    <n v="140"/>
    <n v="96"/>
  </r>
  <r>
    <n v="407"/>
    <x v="1"/>
    <x v="224"/>
    <s v="eth1/28"/>
    <x v="0"/>
    <x v="0"/>
    <x v="0"/>
    <s v="ITHSAN2A"/>
    <x v="6"/>
    <b v="0"/>
    <s v="No está en VPC"/>
    <n v="407"/>
    <s v="INTPG_ACC_407_1.28"/>
    <s v="ISEL-1.28"/>
    <n v="1"/>
    <s v="NO TIENE L3OUT"/>
    <n v="122"/>
    <n v="96"/>
  </r>
  <r>
    <n v="171"/>
    <x v="0"/>
    <x v="225"/>
    <s v="eth1/28"/>
    <x v="0"/>
    <x v="1"/>
    <x v="1"/>
    <s v="NFA"/>
    <x v="6"/>
    <b v="0"/>
    <s v="No está en VPC"/>
    <n v="171"/>
    <s v="INTPG_ACC_171_1.28"/>
    <s v="ISEL-1.28"/>
    <n v="1"/>
    <s v="NO TIENE L3OUT"/>
    <n v="114"/>
    <n v="96"/>
  </r>
  <r>
    <n v="421"/>
    <x v="1"/>
    <x v="226"/>
    <s v="eth1/28"/>
    <x v="0"/>
    <x v="1"/>
    <x v="1"/>
    <s v="VNX5600SPA_4596"/>
    <x v="6"/>
    <b v="0"/>
    <s v="No está en VPC"/>
    <n v="421"/>
    <s v="INTPG_ACC_421_1.28"/>
    <s v="ISEL-1.28"/>
    <n v="1"/>
    <s v="NO TIENE L3OUT"/>
    <n v="72"/>
    <n v="96"/>
  </r>
  <r>
    <n v="173"/>
    <x v="0"/>
    <x v="227"/>
    <s v="eth1/28"/>
    <x v="0"/>
    <x v="1"/>
    <x v="1"/>
    <s v="ENIQ_1"/>
    <x v="6"/>
    <b v="0"/>
    <s v="No está en VPC"/>
    <n v="173"/>
    <s v="INTPG_PC_173_1.28-33"/>
    <s v="ISEL-1.28"/>
    <n v="3"/>
    <s v="NO TIENE L3OUT"/>
    <n v="66"/>
    <n v="96"/>
  </r>
  <r>
    <n v="154"/>
    <x v="0"/>
    <x v="228"/>
    <s v="eth1/28"/>
    <x v="0"/>
    <x v="1"/>
    <x v="1"/>
    <s v="BLOQUEO EMEI"/>
    <x v="6"/>
    <b v="0"/>
    <s v="No está en VPC"/>
    <n v="154"/>
    <s v="INTPG_ACC_154_1.28"/>
    <s v="ISEL-1.28"/>
    <n v="1"/>
    <s v="NO TIENE L3OUT"/>
    <n v="62"/>
    <n v="96"/>
  </r>
  <r>
    <n v="172"/>
    <x v="0"/>
    <x v="229"/>
    <s v="eth1/28"/>
    <x v="0"/>
    <x v="1"/>
    <x v="1"/>
    <s v="netqosRAMC01_ilom"/>
    <x v="6"/>
    <b v="0"/>
    <s v="No está en VPC"/>
    <n v="172"/>
    <s v="INTPG_ACC_172_1.28"/>
    <s v="ISEL-1.28"/>
    <n v="1"/>
    <s v="NO TIENE L3OUT"/>
    <n v="104"/>
    <n v="96"/>
  </r>
  <r>
    <n v="420"/>
    <x v="1"/>
    <x v="230"/>
    <s v="eth1/28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28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28"/>
    <x v="0"/>
    <x v="0"/>
    <x v="0"/>
    <s v="To-uxingemc1"/>
    <x v="6"/>
    <b v="0"/>
    <s v="No está en VPC"/>
    <n v="415"/>
    <s v="INTPG_ACC_415_1.28"/>
    <s v="ISEL-1.28"/>
    <n v="1"/>
    <s v="NO TIENE L3OUT"/>
    <n v="52"/>
    <n v="96"/>
  </r>
  <r>
    <n v="102"/>
    <x v="0"/>
    <x v="233"/>
    <s v="eth1/28"/>
    <x v="0"/>
    <x v="1"/>
    <x v="1"/>
    <s v="SFLDI:RLDIWEB04:1"/>
    <x v="6"/>
    <b v="0"/>
    <s v="No está en VPC"/>
    <n v="102"/>
    <s v="INTPG_ACC_102_1.28"/>
    <s v="ISEL-1.28"/>
    <n v="1"/>
    <s v="NO TIENE L3OUT"/>
    <n v="228"/>
    <n v="96"/>
  </r>
  <r>
    <n v="863"/>
    <x v="2"/>
    <x v="234"/>
    <s v="eth1/28"/>
    <x v="0"/>
    <x v="0"/>
    <x v="0"/>
    <s v="To_VPC_2DCBSD_WR54_1"/>
    <x v="0"/>
    <b v="0"/>
    <s v="No está en VPC"/>
    <n v="863"/>
    <s v="INTPG_VPC_858_1.28_863_1.28"/>
    <s v="ISEL-1.28"/>
    <n v="2"/>
    <s v="NO TIENE L3OUT"/>
    <n v="8"/>
    <n v="54"/>
  </r>
  <r>
    <n v="876"/>
    <x v="2"/>
    <x v="235"/>
    <s v="eth1/28"/>
    <x v="0"/>
    <x v="0"/>
    <x v="0"/>
    <s v="A_ITHFHWSEQLCAS27_Principal"/>
    <x v="4"/>
    <b v="0"/>
    <s v="No está en VPC"/>
    <n v="876"/>
    <s v="INTPG_ACC_876_1.28"/>
    <s v="ISEL-1.28"/>
    <n v="1"/>
    <s v="NO TIENE L3OUT"/>
    <n v="92"/>
    <n v="54"/>
  </r>
  <r>
    <n v="877"/>
    <x v="2"/>
    <x v="236"/>
    <s v="eth1/28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28"/>
    <x v="1"/>
    <x v="1"/>
    <x v="2"/>
    <s v="IXTRTC5"/>
    <x v="6"/>
    <b v="0"/>
    <s v="No está en VPC"/>
    <n v="122"/>
    <s v="INTPG_ACC_122_1.28"/>
    <s v="ISEL-1.28"/>
    <n v="1"/>
    <s v="NO TIENE L3OUT"/>
    <n v="148"/>
    <n v="96"/>
  </r>
  <r>
    <n v="157"/>
    <x v="0"/>
    <x v="238"/>
    <s v="eth1/28"/>
    <x v="0"/>
    <x v="0"/>
    <x v="0"/>
    <s v="RED CRICKET"/>
    <x v="6"/>
    <b v="0"/>
    <s v="No está en VPC"/>
    <n v="157"/>
    <s v="INTPG_ACC_157_1.28"/>
    <s v="ISEL-1.28"/>
    <n v="1"/>
    <s v="NO TIENE L3OUT"/>
    <n v="202"/>
    <n v="96"/>
  </r>
  <r>
    <n v="408"/>
    <x v="1"/>
    <x v="239"/>
    <s v="eth1/28"/>
    <x v="0"/>
    <x v="0"/>
    <x v="0"/>
    <s v="FS101"/>
    <x v="6"/>
    <b v="0"/>
    <s v="No está en VPC"/>
    <n v="408"/>
    <s v="INTPG_ACC_408_1.28"/>
    <s v="ISEL-1.28"/>
    <n v="1"/>
    <s v="NO TIENE L3OUT"/>
    <n v="152"/>
    <n v="96"/>
  </r>
  <r>
    <n v="405"/>
    <x v="1"/>
    <x v="240"/>
    <s v="eth1/28"/>
    <x v="0"/>
    <x v="0"/>
    <x v="0"/>
    <s v="IXT_ARIESO7_LDR1"/>
    <x v="6"/>
    <b v="0"/>
    <s v="No está en VPC"/>
    <n v="405"/>
    <s v="INTPG_ACC_405_1.28"/>
    <s v="ISEL-1.28"/>
    <n v="1"/>
    <s v="NO TIENE L3OUT"/>
    <n v="138"/>
    <n v="96"/>
  </r>
  <r>
    <n v="169"/>
    <x v="0"/>
    <x v="241"/>
    <s v="eth1/28"/>
    <x v="0"/>
    <x v="0"/>
    <x v="0"/>
    <s v="LINKDOWN_HACIA_UCS_9UCS-IXTLA-SERV2"/>
    <x v="6"/>
    <b v="0"/>
    <s v="No está en VPC"/>
    <n v="169"/>
    <s v="INTPG_ACC_169_1.28"/>
    <s v="ISEL-1.28"/>
    <n v="1"/>
    <s v="NO TIENE L3OUT"/>
    <n v="76"/>
    <n v="96"/>
  </r>
  <r>
    <n v="165"/>
    <x v="0"/>
    <x v="242"/>
    <s v="eth1/28"/>
    <x v="0"/>
    <x v="0"/>
    <x v="0"/>
    <s v="Nomina"/>
    <x v="6"/>
    <b v="0"/>
    <s v="No está en VPC"/>
    <n v="165"/>
    <s v="INTPG_ACC_165_1.28"/>
    <s v="ISEL-1.28"/>
    <n v="1"/>
    <s v="NO TIENE L3OUT"/>
    <n v="86"/>
    <n v="96"/>
  </r>
  <r>
    <n v="417"/>
    <x v="1"/>
    <x v="243"/>
    <s v="eth1/28"/>
    <x v="0"/>
    <x v="0"/>
    <x v="0"/>
    <s v="TO-ITHFHPNBURBKP09-PRINCIPAL"/>
    <x v="6"/>
    <b v="0"/>
    <s v="No está en VPC"/>
    <n v="417"/>
    <s v="INTPG_ACC_417_1.28"/>
    <s v="ISEL-1.28"/>
    <n v="1"/>
    <s v="NO TIENE L3OUT"/>
    <n v="56"/>
    <n v="96"/>
  </r>
  <r>
    <n v="153"/>
    <x v="0"/>
    <x v="244"/>
    <s v="eth1/28"/>
    <x v="0"/>
    <x v="0"/>
    <x v="0"/>
    <s v="DCX-8510-4B 01-03"/>
    <x v="6"/>
    <b v="0"/>
    <s v="No está en VPC"/>
    <n v="153"/>
    <s v="INTPG_ACC_153_1.28"/>
    <s v="ISEL-1.28"/>
    <n v="1"/>
    <s v="NO TIENE L3OUT"/>
    <n v="42"/>
    <n v="96"/>
  </r>
  <r>
    <n v="119"/>
    <x v="0"/>
    <x v="245"/>
    <s v="eth1/28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28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28"/>
    <x v="0"/>
    <x v="1"/>
    <x v="1"/>
    <s v="CAMPANAS 01-02:uxacrw02:ent0"/>
    <x v="6"/>
    <b v="0"/>
    <s v="No está en VPC"/>
    <n v="103"/>
    <s v="INTPG_ACC_103_1.28"/>
    <s v="ISEL-1.28"/>
    <n v="1"/>
    <s v="NO TIENE L3OUT"/>
    <n v="70"/>
    <n v="96"/>
  </r>
  <r>
    <n v="438"/>
    <x v="1"/>
    <x v="248"/>
    <s v="eth1/28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28"/>
    <x v="0"/>
    <x v="0"/>
    <x v="0"/>
    <s v="ITHRTC62VC2"/>
    <x v="6"/>
    <b v="0"/>
    <s v="No está en VPC"/>
    <n v="406"/>
    <s v="INTPG_VPC_404_1.28_406_1.28"/>
    <s v="ISEL-1.28"/>
    <n v="1"/>
    <s v="NO TIENE L3OUT"/>
    <n v="82"/>
    <n v="96"/>
  </r>
  <r>
    <n v="414"/>
    <x v="1"/>
    <x v="250"/>
    <s v="eth1/28"/>
    <x v="0"/>
    <x v="0"/>
    <x v="0"/>
    <s v="ITHMSVB2_ITH3"/>
    <x v="6"/>
    <b v="0"/>
    <s v="No está en VPC"/>
    <n v="414"/>
    <s v="INTPG_ACC_414_1.28"/>
    <s v="ISEL-1.28"/>
    <n v="1"/>
    <s v="NO TIENE L3OUT"/>
    <n v="144"/>
    <n v="96"/>
  </r>
  <r>
    <n v="416"/>
    <x v="1"/>
    <x v="251"/>
    <s v="eth1/28"/>
    <x v="0"/>
    <x v="0"/>
    <x v="0"/>
    <s v="DESC"/>
    <x v="6"/>
    <b v="0"/>
    <s v="No está en VPC"/>
    <n v="416"/>
    <s v="INTPG_PC_416_1.28-29"/>
    <s v="ISEL-1.28"/>
    <n v="1"/>
    <s v="NO TIENE L3OUT"/>
    <n v="110"/>
    <n v="96"/>
  </r>
  <r>
    <n v="418"/>
    <x v="1"/>
    <x v="252"/>
    <s v="eth1/28"/>
    <x v="0"/>
    <x v="0"/>
    <x v="0"/>
    <s v="DESC"/>
    <x v="6"/>
    <b v="0"/>
    <s v="No está en VPC"/>
    <n v="418"/>
    <s v="INTPG_PC_418_1.28-29"/>
    <s v="ISEL-1.28"/>
    <n v="1"/>
    <s v="NO TIENE L3OUT"/>
    <n v="152"/>
    <n v="96"/>
  </r>
  <r>
    <n v="413"/>
    <x v="1"/>
    <x v="253"/>
    <s v="eth1/28"/>
    <x v="0"/>
    <x v="0"/>
    <x v="0"/>
    <m/>
    <x v="6"/>
    <b v="0"/>
    <s v="No está en VPC"/>
    <n v="413"/>
    <s v="INTPG_ACC_413_1.28"/>
    <s v="ISEL-1.28"/>
    <n v="2"/>
    <s v="NO TIENE L3OUT"/>
    <n v="126"/>
    <n v="96"/>
  </r>
  <r>
    <n v="403"/>
    <x v="1"/>
    <x v="254"/>
    <s v="eth1/28"/>
    <x v="0"/>
    <x v="0"/>
    <x v="0"/>
    <s v="IXT_ARIESO7_LDR1"/>
    <x v="6"/>
    <b v="0"/>
    <s v="No está en VPC"/>
    <n v="403"/>
    <s v="INTPG_ACC_403_1.28"/>
    <s v="ISEL-1.28"/>
    <n v="1"/>
    <s v="NO TIENE L3OUT"/>
    <n v="150"/>
    <n v="96"/>
  </r>
  <r>
    <n v="125"/>
    <x v="0"/>
    <x v="255"/>
    <s v="eth1/28"/>
    <x v="1"/>
    <x v="1"/>
    <x v="2"/>
    <s v="3G_ENIQ_QRO_R6"/>
    <x v="6"/>
    <b v="0"/>
    <s v="No está en VPC"/>
    <n v="125"/>
    <s v="INTPG_VPC_124_1.25_40_125_1.28_41"/>
    <s v="ISEL-1.28"/>
    <n v="5"/>
    <s v="NO TIENE L3OUT"/>
    <n v="72"/>
    <n v="96"/>
  </r>
  <r>
    <n v="166"/>
    <x v="0"/>
    <x v="256"/>
    <s v="eth1/28"/>
    <x v="0"/>
    <x v="0"/>
    <x v="0"/>
    <s v="NPG_DOC"/>
    <x v="6"/>
    <b v="0"/>
    <s v="No está en VPC"/>
    <n v="166"/>
    <s v="INTPG_ACC_166_1.28"/>
    <s v="ISEL-1.28"/>
    <n v="1"/>
    <s v="NO TIENE L3OUT"/>
    <n v="84"/>
    <n v="96"/>
  </r>
  <r>
    <n v="111"/>
    <x v="0"/>
    <x v="257"/>
    <s v="eth1/28"/>
    <x v="0"/>
    <x v="0"/>
    <x v="0"/>
    <s v="UXDX-DATOS"/>
    <x v="6"/>
    <b v="0"/>
    <s v="No está en VPC"/>
    <n v="111"/>
    <s v="INTPG_ACC_111_1.28"/>
    <s v="ISEL-1.28"/>
    <n v="1"/>
    <s v="NO TIENE L3OUT"/>
    <n v="58"/>
    <n v="96"/>
  </r>
  <r>
    <n v="115"/>
    <x v="0"/>
    <x v="258"/>
    <s v="eth1/28"/>
    <x v="0"/>
    <x v="0"/>
    <x v="0"/>
    <s v="RLVYCAN04ILO"/>
    <x v="6"/>
    <b v="0"/>
    <s v="No está en VPC"/>
    <n v="115"/>
    <s v="INTPG_ACC_115_1.28"/>
    <s v="ISEL-1.28"/>
    <n v="1"/>
    <s v="NO TIENE L3OUT"/>
    <n v="42"/>
    <n v="96"/>
  </r>
  <r>
    <n v="106"/>
    <x v="0"/>
    <x v="259"/>
    <s v="eth1/28"/>
    <x v="0"/>
    <x v="0"/>
    <x v="0"/>
    <s v="File System AM"/>
    <x v="6"/>
    <b v="0"/>
    <s v="No está en VPC"/>
    <n v="106"/>
    <s v="INTPG_ACC_106_1.28"/>
    <s v="ISEL-1.28"/>
    <n v="1"/>
    <s v="NO TIENE L3OUT"/>
    <n v="122"/>
    <n v="96"/>
  </r>
  <r>
    <n v="126"/>
    <x v="0"/>
    <x v="260"/>
    <s v="eth1/28"/>
    <x v="0"/>
    <x v="0"/>
    <x v="0"/>
    <s v="ENIQ"/>
    <x v="6"/>
    <b v="0"/>
    <s v="No está en VPC"/>
    <n v="126"/>
    <s v="INTPG_PC_126_1.25-29_36"/>
    <s v="ISEL-1.28"/>
    <n v="3"/>
    <s v="NO TIENE L3OUT"/>
    <n v="54"/>
    <n v="96"/>
  </r>
  <r>
    <n v="425"/>
    <x v="1"/>
    <x v="261"/>
    <s v="eth1/28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28"/>
    <x v="0"/>
    <x v="0"/>
    <x v="0"/>
    <s v="IXTPA1LE"/>
    <x v="6"/>
    <b v="0"/>
    <s v="No está en VPC"/>
    <n v="151"/>
    <s v="INTPG_ACC_151_1.28"/>
    <s v="ISEL-1.28"/>
    <n v="1"/>
    <s v="NO TIENE L3OUT"/>
    <n v="86"/>
    <n v="96"/>
  </r>
  <r>
    <n v="430"/>
    <x v="1"/>
    <x v="263"/>
    <s v="eth1/28"/>
    <x v="0"/>
    <x v="0"/>
    <x v="0"/>
    <s v="DESC"/>
    <x v="6"/>
    <b v="0"/>
    <s v="No está en VPC"/>
    <n v="430"/>
    <s v="INTPG_PC_430_1.27-28"/>
    <s v="ISEL-1.28"/>
    <n v="1"/>
    <s v="NO TIENE L3OUT"/>
    <n v="86"/>
    <n v="96"/>
  </r>
  <r>
    <n v="419"/>
    <x v="1"/>
    <x v="264"/>
    <s v="eth1/28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28"/>
    <x v="0"/>
    <x v="0"/>
    <x v="0"/>
    <s v="Consolidaci\u00f3n Aplicaciones Prepago"/>
    <x v="6"/>
    <b v="0"/>
    <s v="No está en VPC"/>
    <n v="155"/>
    <s v="INTPG_ACC_155_1.28"/>
    <s v="ISEL-1.28"/>
    <n v="1"/>
    <s v="NO TIENE L3OUT"/>
    <n v="198"/>
    <n v="96"/>
  </r>
  <r>
    <n v="409"/>
    <x v="1"/>
    <x v="266"/>
    <s v="eth1/28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28"/>
    <x v="0"/>
    <x v="0"/>
    <x v="0"/>
    <s v="IXTSD970B"/>
    <x v="6"/>
    <b v="0"/>
    <s v="No está en VPC"/>
    <n v="422"/>
    <s v="INTPG_ACC_422_1.28"/>
    <s v="ISEL-1.28"/>
    <n v="1"/>
    <s v="NO TIENE L3OUT"/>
    <n v="182"/>
    <n v="96"/>
  </r>
  <r>
    <n v="436"/>
    <x v="1"/>
    <x v="268"/>
    <s v="eth1/28"/>
    <x v="0"/>
    <x v="0"/>
    <x v="0"/>
    <s v="VBLOCK4"/>
    <x v="6"/>
    <b v="0"/>
    <s v="No está en VPC"/>
    <n v="436"/>
    <s v="INTPG_VPC_436_1.27-28_438_1.27_29"/>
    <s v="ISEL-1.28"/>
    <n v="3"/>
    <s v="NO TIENE L3OUT"/>
    <n v="172"/>
    <n v="96"/>
  </r>
  <r>
    <n v="410"/>
    <x v="1"/>
    <x v="269"/>
    <s v="eth1/28"/>
    <x v="0"/>
    <x v="0"/>
    <x v="0"/>
    <s v="ITHMSNUBE2_ITH2"/>
    <x v="6"/>
    <b v="0"/>
    <s v="No está en VPC"/>
    <n v="410"/>
    <s v="INTPG_ACC_410_1.28"/>
    <s v="ISEL-1.28"/>
    <n v="1"/>
    <s v="NO TIENE L3OUT"/>
    <n v="178"/>
    <n v="96"/>
  </r>
  <r>
    <n v="161"/>
    <x v="0"/>
    <x v="270"/>
    <s v="eth1/28"/>
    <x v="0"/>
    <x v="0"/>
    <x v="0"/>
    <s v="UXOXXO02B(VTAE)"/>
    <x v="6"/>
    <b v="0"/>
    <s v="No está en VPC"/>
    <n v="161"/>
    <s v="INTPG_ACC_161_1.28"/>
    <s v="ISEL-1.28"/>
    <n v="1"/>
    <s v="NO TIENE L3OUT"/>
    <n v="102"/>
    <n v="96"/>
  </r>
  <r>
    <n v="411"/>
    <x v="1"/>
    <x v="271"/>
    <s v="eth1/28"/>
    <x v="0"/>
    <x v="0"/>
    <x v="0"/>
    <s v="To_lagidmhlapvp08_produccion1"/>
    <x v="6"/>
    <b v="0"/>
    <s v="No está en VPC"/>
    <n v="411"/>
    <s v="INTPG_VPC_411_1.26-29_413_1.19-20_22_86"/>
    <s v="ISEL-1.28"/>
    <n v="2"/>
    <s v="NO TIENE L3OUT"/>
    <n v="96"/>
    <n v="96"/>
  </r>
  <r>
    <n v="116"/>
    <x v="0"/>
    <x v="272"/>
    <s v="eth1/28"/>
    <x v="0"/>
    <x v="0"/>
    <x v="0"/>
    <s v="DATOS NETCRACKER"/>
    <x v="6"/>
    <b v="0"/>
    <s v="No está en VPC"/>
    <n v="116"/>
    <s v="INTPG_ACC_116_1.28"/>
    <s v="ISEL-1.28"/>
    <n v="1"/>
    <s v="NO TIENE L3OUT"/>
    <n v="148"/>
    <n v="96"/>
  </r>
  <r>
    <n v="412"/>
    <x v="1"/>
    <x v="273"/>
    <s v="eth1/28"/>
    <x v="0"/>
    <x v="0"/>
    <x v="0"/>
    <s v="NEC Femtocel NMS"/>
    <x v="6"/>
    <b v="0"/>
    <s v="No está en VPC"/>
    <n v="412"/>
    <s v="INTPG_ACC_412_1.28"/>
    <s v="ISEL-1.28"/>
    <n v="1"/>
    <s v="NO TIENE L3OUT"/>
    <n v="126"/>
    <n v="96"/>
  </r>
  <r>
    <n v="120"/>
    <x v="0"/>
    <x v="274"/>
    <s v="eth1/28"/>
    <x v="0"/>
    <x v="0"/>
    <x v="0"/>
    <s v="IXTRTC5"/>
    <x v="6"/>
    <b v="0"/>
    <s v="No está en VPC"/>
    <n v="120"/>
    <s v="INTPG_ACC_120_1.28"/>
    <s v="ISEL-1.28"/>
    <n v="1"/>
    <s v="NO TIENE L3OUT"/>
    <n v="158"/>
    <n v="96"/>
  </r>
  <r>
    <n v="404"/>
    <x v="1"/>
    <x v="275"/>
    <s v="eth1/28"/>
    <x v="0"/>
    <x v="0"/>
    <x v="0"/>
    <s v="ITHRTC62VC2"/>
    <x v="6"/>
    <b v="0"/>
    <s v="No está en VPC"/>
    <n v="404"/>
    <s v="INTPG_VPC_404_1.28_406_1.28"/>
    <s v="ISEL-1.28"/>
    <n v="1"/>
    <s v="NO TIENE L3OUT"/>
    <n v="92"/>
    <n v="96"/>
  </r>
  <r>
    <n v="167"/>
    <x v="0"/>
    <x v="276"/>
    <s v="eth1/28"/>
    <x v="0"/>
    <x v="0"/>
    <x v="0"/>
    <s v="ESTANDAR GSS y TS"/>
    <x v="6"/>
    <b v="0"/>
    <s v="No está en VPC"/>
    <n v="167"/>
    <s v="INTPG_ACC_167_1.28"/>
    <s v="ISEL-1.28"/>
    <n v="1"/>
    <s v="NO TIENE L3OUT"/>
    <n v="68"/>
    <n v="96"/>
  </r>
  <r>
    <n v="428"/>
    <x v="1"/>
    <x v="277"/>
    <s v="eth1/28"/>
    <x v="0"/>
    <x v="0"/>
    <x v="0"/>
    <s v="DESC"/>
    <x v="6"/>
    <b v="0"/>
    <s v="No está en VPC"/>
    <n v="428"/>
    <s v="INTPG_PC_428_1.27-28"/>
    <s v="ISEL-1.28"/>
    <n v="1"/>
    <s v="NO TIENE L3OUT"/>
    <n v="102"/>
    <n v="96"/>
  </r>
  <r>
    <n v="903"/>
    <x v="2"/>
    <x v="278"/>
    <s v="eth1/2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2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29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29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29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29"/>
    <x v="0"/>
    <x v="0"/>
    <x v="0"/>
    <s v="TO-ITHFDENBURMS05"/>
    <x v="0"/>
    <b v="0"/>
    <s v="No está en VPC"/>
    <n v="101"/>
    <s v="INTPG_VPC_101_1.29_150_1.29"/>
    <s v="ISEL-1.29"/>
    <n v="1"/>
    <s v="NO TIENE L3OUT"/>
    <n v="114"/>
    <n v="54"/>
  </r>
  <r>
    <n v="160"/>
    <x v="0"/>
    <x v="4"/>
    <s v="eth1/29"/>
    <x v="0"/>
    <x v="0"/>
    <x v="0"/>
    <s v="ArrobaDOC Y CF"/>
    <x v="1"/>
    <b v="0"/>
    <s v="No está en VPC"/>
    <n v="160"/>
    <s v="INTPG_ACC_160_1.29"/>
    <s v="ISEL-1.29"/>
    <n v="1"/>
    <s v="NO TIENE L3OUT"/>
    <n v="68"/>
    <n v="54"/>
  </r>
  <r>
    <n v="121"/>
    <x v="0"/>
    <x v="5"/>
    <s v="eth1/29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29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29"/>
    <x v="0"/>
    <x v="0"/>
    <x v="0"/>
    <s v="TO-UXSISAC9-LAGUXSISAC9C"/>
    <x v="0"/>
    <b v="0"/>
    <s v="No está en VPC"/>
    <n v="401"/>
    <s v="INTPG_VPC_401_1.29-30_402_1.29-30"/>
    <s v="ISEL-1.29"/>
    <n v="1"/>
    <s v="NO TIENE L3OUT"/>
    <n v="40"/>
    <n v="54"/>
  </r>
  <r>
    <n v="402"/>
    <x v="1"/>
    <x v="8"/>
    <s v="eth1/29"/>
    <x v="0"/>
    <x v="0"/>
    <x v="0"/>
    <s v="TO-UXSISAC9-LAGUXSISAC9C"/>
    <x v="0"/>
    <b v="0"/>
    <s v="No está en VPC"/>
    <n v="402"/>
    <s v="INTPG_VPC_401_1.29-30_402_1.29-30"/>
    <s v="ISEL-1.29"/>
    <n v="1"/>
    <s v="NO TIENE L3OUT"/>
    <n v="36"/>
    <n v="54"/>
  </r>
  <r>
    <n v="447"/>
    <x v="1"/>
    <x v="9"/>
    <s v="eth1/29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29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29"/>
    <x v="0"/>
    <x v="0"/>
    <x v="0"/>
    <s v="LAG-smt-comp-07"/>
    <x v="0"/>
    <b v="0"/>
    <s v="No está en VPC"/>
    <n v="130"/>
    <s v="INTPG_VPC_130_1.28-29_131_1.28-29"/>
    <s v="ISEL-1.29"/>
    <n v="4"/>
    <s v="NO TIENE L3OUT"/>
    <n v="128"/>
    <n v="54"/>
  </r>
  <r>
    <n v="150"/>
    <x v="0"/>
    <x v="12"/>
    <s v="eth1/29"/>
    <x v="0"/>
    <x v="0"/>
    <x v="0"/>
    <s v="TO-ITHFDENBURMS05"/>
    <x v="0"/>
    <b v="0"/>
    <s v="No está en VPC"/>
    <n v="150"/>
    <s v="INTPG_VPC_101_1.29_150_1.29"/>
    <s v="ISEL-1.29"/>
    <n v="1"/>
    <s v="NO TIENE L3OUT"/>
    <n v="118"/>
    <n v="54"/>
  </r>
  <r>
    <n v="131"/>
    <x v="0"/>
    <x v="13"/>
    <s v="eth1/29"/>
    <x v="0"/>
    <x v="0"/>
    <x v="0"/>
    <s v="LAG-smt-comp-07"/>
    <x v="0"/>
    <b v="0"/>
    <s v="No está en VPC"/>
    <n v="131"/>
    <s v="INTPG_VPC_130_1.28-29_131_1.28-29"/>
    <s v="ISEL-1.29"/>
    <n v="4"/>
    <s v="NO TIENE L3OUT"/>
    <n v="126"/>
    <n v="54"/>
  </r>
  <r>
    <n v="303"/>
    <x v="0"/>
    <x v="14"/>
    <s v="eth1/29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29"/>
    <x v="0"/>
    <x v="1"/>
    <x v="3"/>
    <m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29"/>
    <x v="1"/>
    <x v="1"/>
    <x v="3"/>
    <m/>
    <x v="2"/>
    <b v="0"/>
    <s v="No está en VPC"/>
    <n v="759"/>
    <s v="NO EXISTE PG"/>
    <s v="NO EXISTE ISEL"/>
    <n v="0"/>
    <s v="NO TIENE L3OUT"/>
    <n v="0"/>
    <n v="42"/>
  </r>
  <r>
    <n v="302"/>
    <x v="0"/>
    <x v="17"/>
    <s v="eth1/29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29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29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29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29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29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29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29"/>
    <x v="0"/>
    <x v="1"/>
    <x v="3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29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29"/>
    <x v="0"/>
    <x v="0"/>
    <x v="0"/>
    <s v="TO-DD8138PC2"/>
    <x v="0"/>
    <b v="0"/>
    <s v="No está en VPC"/>
    <n v="431"/>
    <s v="INTPG_VPC_431_1.29_448_1.29"/>
    <s v="ISEL-1.29"/>
    <n v="1"/>
    <s v="NO TIENE L3OUT"/>
    <n v="46"/>
    <n v="54"/>
  </r>
  <r>
    <n v="433"/>
    <x v="1"/>
    <x v="27"/>
    <s v="eth1/29"/>
    <x v="0"/>
    <x v="0"/>
    <x v="0"/>
    <s v="TO-ITHHWC1U-ITHUYBH02-PRINCIPAL"/>
    <x v="1"/>
    <b v="0"/>
    <s v="No está en VPC"/>
    <n v="433"/>
    <s v="INTPG_ACC_433_1.29"/>
    <s v="ISEL-1.29"/>
    <n v="1"/>
    <s v="NO TIENE L3OUT"/>
    <n v="42"/>
    <n v="54"/>
  </r>
  <r>
    <n v="429"/>
    <x v="1"/>
    <x v="28"/>
    <s v="eth1/29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29"/>
    <x v="0"/>
    <x v="0"/>
    <x v="0"/>
    <s v="TO-ithfhpficxrbd01-Principal"/>
    <x v="1"/>
    <b v="0"/>
    <s v="No está en VPC"/>
    <n v="432"/>
    <s v="INTPG_ACC_432_1.29"/>
    <s v="ISEL-1.29"/>
    <n v="1"/>
    <s v="NO TIENE L3OUT"/>
    <n v="54"/>
    <n v="54"/>
  </r>
  <r>
    <n v="442"/>
    <x v="1"/>
    <x v="30"/>
    <s v="eth1/29"/>
    <x v="0"/>
    <x v="0"/>
    <x v="0"/>
    <s v="bmc_ithhwc3a2288h4_SECUNDARIO"/>
    <x v="1"/>
    <b v="0"/>
    <s v="No está en VPC"/>
    <n v="442"/>
    <s v="INTPG_ACC_442_1.29"/>
    <s v="ISEL-1.29"/>
    <n v="1"/>
    <s v="NO TIENE L3OUT"/>
    <n v="18"/>
    <n v="54"/>
  </r>
  <r>
    <n v="434"/>
    <x v="1"/>
    <x v="31"/>
    <s v="eth1/29"/>
    <x v="0"/>
    <x v="0"/>
    <x v="0"/>
    <s v="TO-ITHEMCPM8K3019DKC0-REDUNDANTE"/>
    <x v="1"/>
    <b v="0"/>
    <s v="No está en VPC"/>
    <n v="434"/>
    <s v="INTPG_ACC_434_1.29"/>
    <s v="ISEL-1.29"/>
    <n v="1"/>
    <s v="NO TIENE L3OUT"/>
    <n v="34"/>
    <n v="54"/>
  </r>
  <r>
    <n v="707"/>
    <x v="2"/>
    <x v="32"/>
    <s v="eth1/29"/>
    <x v="0"/>
    <x v="1"/>
    <x v="3"/>
    <s v="CEM_HADOOP"/>
    <x v="0"/>
    <b v="0"/>
    <s v="No está en VPC"/>
    <n v="707"/>
    <s v="INTPG_ACC_707_1.29"/>
    <s v="ISEL-1.29"/>
    <n v="0"/>
    <s v="NO TIENE L3OUT"/>
    <n v="54"/>
    <n v="54"/>
  </r>
  <r>
    <n v="712"/>
    <x v="2"/>
    <x v="33"/>
    <s v="eth1/29"/>
    <x v="0"/>
    <x v="1"/>
    <x v="5"/>
    <s v="CEM:ITHCEMB2ADT15:LOM P1"/>
    <x v="0"/>
    <b v="0"/>
    <s v="No está en VPC"/>
    <n v="712"/>
    <s v="INTPG_VPC_712_1.29_713_1.30"/>
    <s v="ISEL-1.29"/>
    <n v="1"/>
    <s v="NO TIENE L3OUT"/>
    <n v="32"/>
    <n v="54"/>
  </r>
  <r>
    <n v="719"/>
    <x v="2"/>
    <x v="34"/>
    <s v="eth1/29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29"/>
    <x v="0"/>
    <x v="0"/>
    <x v="0"/>
    <m/>
    <x v="0"/>
    <b v="0"/>
    <s v="No está en VPC"/>
    <n v="715"/>
    <s v="INTPG-VPC_SLR01_715_1.29_716_1.30"/>
    <s v="ISEL-1.29"/>
    <n v="1"/>
    <s v="NO TIENE L3OUT"/>
    <n v="0"/>
    <n v="54"/>
  </r>
  <r>
    <n v="427"/>
    <x v="1"/>
    <x v="36"/>
    <s v="eth1/29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29"/>
    <x v="0"/>
    <x v="1"/>
    <x v="5"/>
    <s v="CEM:ITHCEMC2ADT15:LOM P1"/>
    <x v="0"/>
    <b v="0"/>
    <s v="No está en VPC"/>
    <n v="711"/>
    <s v="INTPG_VPC_710_1.30_711_1.29"/>
    <s v="ISEL-1.29"/>
    <n v="1"/>
    <s v="NO TIENE L3OUT"/>
    <n v="16"/>
    <n v="54"/>
  </r>
  <r>
    <n v="716"/>
    <x v="2"/>
    <x v="38"/>
    <s v="eth1/29"/>
    <x v="0"/>
    <x v="0"/>
    <x v="0"/>
    <m/>
    <x v="0"/>
    <b v="0"/>
    <s v="No está en VPC"/>
    <n v="716"/>
    <s v="INTPG-VPC_ZKP02_716_1.29_715_1.30"/>
    <s v="ISEL-1.29"/>
    <n v="1"/>
    <s v="NO TIENE L3OUT"/>
    <n v="0"/>
    <n v="54"/>
  </r>
  <r>
    <n v="702"/>
    <x v="2"/>
    <x v="39"/>
    <s v="eth1/29"/>
    <x v="0"/>
    <x v="0"/>
    <x v="0"/>
    <m/>
    <x v="0"/>
    <b v="0"/>
    <s v="No está en VPC"/>
    <n v="702"/>
    <s v="INTPG_VPC_702_1.29_701_1.30"/>
    <s v="ISEL-1.29"/>
    <n v="1"/>
    <s v="NO TIENE L3OUT"/>
    <n v="0"/>
    <n v="54"/>
  </r>
  <r>
    <n v="435"/>
    <x v="1"/>
    <x v="40"/>
    <s v="eth1/29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29"/>
    <x v="0"/>
    <x v="0"/>
    <x v="0"/>
    <s v="TO-ITHFDLMCLWLCN05"/>
    <x v="0"/>
    <b v="0"/>
    <s v="No está en VPC"/>
    <n v="446"/>
    <s v="INTPG_VPC_446_1.29_444_1.41"/>
    <s v="ISEL-1.29"/>
    <n v="3"/>
    <s v="NO TIENE L3OUT"/>
    <n v="198"/>
    <n v="54"/>
  </r>
  <r>
    <n v="444"/>
    <x v="1"/>
    <x v="42"/>
    <s v="eth1/29"/>
    <x v="0"/>
    <x v="0"/>
    <x v="0"/>
    <m/>
    <x v="0"/>
    <b v="0"/>
    <s v="No está en VPC"/>
    <n v="444"/>
    <s v="INTPG_ACC_444_1.29"/>
    <s v="ISEL-1.29"/>
    <n v="0"/>
    <s v="NO TIENE L3OUT"/>
    <n v="234"/>
    <n v="54"/>
  </r>
  <r>
    <n v="701"/>
    <x v="2"/>
    <x v="43"/>
    <s v="eth1/29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29"/>
    <x v="0"/>
    <x v="0"/>
    <x v="0"/>
    <s v="bmc_ithhwc3a2288h3_PRINCIPAL"/>
    <x v="1"/>
    <b v="0"/>
    <s v="No está en VPC"/>
    <n v="440"/>
    <s v="INTPG_ACC_440_1.29"/>
    <s v="ISEL-1.29"/>
    <n v="1"/>
    <s v="NO TIENE L3OUT"/>
    <n v="22"/>
    <n v="54"/>
  </r>
  <r>
    <n v="448"/>
    <x v="1"/>
    <x v="45"/>
    <s v="eth1/29"/>
    <x v="0"/>
    <x v="0"/>
    <x v="0"/>
    <s v="TO-DD8138PC2"/>
    <x v="0"/>
    <b v="0"/>
    <s v="No está en VPC"/>
    <n v="448"/>
    <s v="INTPG_VPC_431_1.29_448_1.29"/>
    <s v="ISEL-1.29"/>
    <n v="1"/>
    <s v="NO TIENE L3OUT"/>
    <n v="46"/>
    <n v="54"/>
  </r>
  <r>
    <n v="704"/>
    <x v="2"/>
    <x v="46"/>
    <s v="eth1/29"/>
    <x v="0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29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29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29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603"/>
    <x v="1"/>
    <x v="50"/>
    <s v="eth1/29"/>
    <x v="0"/>
    <x v="1"/>
    <x v="3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29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29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29"/>
    <x v="0"/>
    <x v="0"/>
    <x v="0"/>
    <s v="Server_Pre-R02-RH2288-04"/>
    <x v="0"/>
    <b v="0"/>
    <s v="No está en VPC"/>
    <n v="730"/>
    <s v="INTPG_ACC_730_1.29"/>
    <s v="ISEL-1.29"/>
    <n v="1"/>
    <s v="NO TIENE L3OUT"/>
    <n v="36"/>
    <n v="54"/>
  </r>
  <r>
    <n v="722"/>
    <x v="2"/>
    <x v="54"/>
    <s v="eth1/29"/>
    <x v="0"/>
    <x v="0"/>
    <x v="0"/>
    <s v="TO-ITHHWHCS8SW"/>
    <x v="0"/>
    <b v="0"/>
    <s v="No está en VPC"/>
    <n v="722"/>
    <s v="INTPG_VPC_722_1.29-30_723_1.29-30"/>
    <s v="ISEL-1.29"/>
    <n v="15"/>
    <s v="NO TIENE L3OUT"/>
    <n v="0"/>
    <n v="54"/>
  </r>
  <r>
    <n v="733"/>
    <x v="2"/>
    <x v="55"/>
    <s v="eth1/29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29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29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29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29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29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29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29"/>
    <x v="0"/>
    <x v="1"/>
    <x v="1"/>
    <s v="CEM:ITHCEMA2ADT15:LOM P3"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29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29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29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29"/>
    <x v="0"/>
    <x v="1"/>
    <x v="3"/>
    <s v="PAAS:ithhwosstpap004:LOM PORT 2"/>
    <x v="0"/>
    <b v="0"/>
    <s v="No está en VPC"/>
    <n v="752"/>
    <s v="INTPG_VPC_747_1.19_752_1.29"/>
    <s v="ISEL-1.29"/>
    <n v="0"/>
    <s v="NO TIENE L3OUT"/>
    <n v="0"/>
    <n v="54"/>
  </r>
  <r>
    <n v="765"/>
    <x v="2"/>
    <x v="67"/>
    <s v="eth1/29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29"/>
    <x v="0"/>
    <x v="0"/>
    <x v="0"/>
    <s v="CLOUD OPS:ithhwcop01en01:3X P1"/>
    <x v="0"/>
    <b v="0"/>
    <s v="No está en VPC"/>
    <n v="778"/>
    <s v="INTPG_VPC_778_1.27-30_779_1.27-30"/>
    <s v="ISEL-1.29"/>
    <n v="24"/>
    <s v="NO TIENE L3OUT"/>
    <n v="26"/>
    <n v="54"/>
  </r>
  <r>
    <n v="780"/>
    <x v="2"/>
    <x v="69"/>
    <s v="eth1/29"/>
    <x v="0"/>
    <x v="0"/>
    <x v="0"/>
    <s v="CLOUD OPS:ithhwcop02en02:1E P2"/>
    <x v="0"/>
    <b v="0"/>
    <s v="No está en VPC"/>
    <n v="780"/>
    <s v="INTPG_VPC_780_1.28-29_34-35_781_1.28-29_34-35"/>
    <s v="ISEL-1.29"/>
    <n v="23"/>
    <s v="NO TIENE L3OUT"/>
    <n v="26"/>
    <n v="54"/>
  </r>
  <r>
    <n v="812"/>
    <x v="2"/>
    <x v="70"/>
    <s v="eth1/29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29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29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29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29"/>
    <x v="0"/>
    <x v="0"/>
    <x v="0"/>
    <s v="LINK_TO_ITHFHWCMVWPMA15 /Slot7.2 /Redundante"/>
    <x v="0"/>
    <b v="0"/>
    <s v="No está en VPC"/>
    <n v="824"/>
    <s v="INTPG_ACC_824_1.29"/>
    <s v="ISEL-1.29"/>
    <n v="1"/>
    <s v="NO TIENE L3OUT"/>
    <n v="70"/>
    <n v="54"/>
  </r>
  <r>
    <n v="819"/>
    <x v="2"/>
    <x v="75"/>
    <s v="eth1/29"/>
    <x v="0"/>
    <x v="0"/>
    <x v="0"/>
    <s v="LINK_TO_ITHFHWCMVWPMA15 /Slot5.2 /Principal"/>
    <x v="0"/>
    <b v="0"/>
    <s v="No está en VPC"/>
    <n v="819"/>
    <s v="INTPG_ACC_819_1.29"/>
    <s v="ISEL-1.29"/>
    <n v="1"/>
    <s v="NO TIENE L3OUT"/>
    <n v="70"/>
    <n v="54"/>
  </r>
  <r>
    <n v="737"/>
    <x v="2"/>
    <x v="76"/>
    <s v="eth1/29"/>
    <x v="0"/>
    <x v="0"/>
    <x v="0"/>
    <s v="CEM:ITHCEMF2KFK15:LOM P3"/>
    <x v="5"/>
    <b v="0"/>
    <s v="No está en VPC"/>
    <n v="737"/>
    <s v="INTPG_ACC_737_1.29"/>
    <s v="ISEL-1.29"/>
    <n v="1"/>
    <s v="NO TIENE L3OUT"/>
    <n v="72"/>
    <n v="54"/>
  </r>
  <r>
    <n v="844"/>
    <x v="2"/>
    <x v="77"/>
    <s v="eth1/29"/>
    <x v="0"/>
    <x v="0"/>
    <x v="0"/>
    <s v="LINK_TO_ITHFHWCRMPLCN110 / Slot1.2_24 / Principal"/>
    <x v="0"/>
    <b v="0"/>
    <s v="No está en VPC"/>
    <n v="844"/>
    <s v="INTPG_ACC_844_1.29"/>
    <s v="ISEL-1.29"/>
    <n v="2"/>
    <s v="NO TIENE L3OUT"/>
    <n v="282"/>
    <n v="54"/>
  </r>
  <r>
    <n v="843"/>
    <x v="2"/>
    <x v="78"/>
    <s v="eth1/29"/>
    <x v="0"/>
    <x v="0"/>
    <x v="0"/>
    <s v="LINK_To_ITHFHWCBSPSWR44 / Slot7.3_32 / Redundante"/>
    <x v="0"/>
    <b v="0"/>
    <s v="No está en VPC"/>
    <n v="843"/>
    <s v="INTPG_VPC_838_1.29_843_1.29"/>
    <s v="ISEL-1.29"/>
    <n v="1"/>
    <s v="NO TIENE L3OUT"/>
    <n v="38"/>
    <n v="54"/>
  </r>
  <r>
    <n v="797"/>
    <x v="2"/>
    <x v="79"/>
    <s v="eth1/29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29"/>
    <x v="0"/>
    <x v="0"/>
    <x v="0"/>
    <s v="LINK_TO_ITHFHWCBSPSHD39 / Slot7.2_16 / Redundante"/>
    <x v="0"/>
    <b v="0"/>
    <s v="No está en VPC"/>
    <n v="839"/>
    <s v="INTPG_VPC_834_1.29_839_1.29"/>
    <s v="ISEL-1.29"/>
    <n v="1"/>
    <s v="NO TIENE L3OUT"/>
    <n v="0"/>
    <n v="54"/>
  </r>
  <r>
    <n v="847"/>
    <x v="2"/>
    <x v="81"/>
    <s v="eth1/29"/>
    <x v="0"/>
    <x v="0"/>
    <x v="0"/>
    <s v="LINK_TO_ITHFHWCRMPLCN175 / Slot7.1_20 / Redundante"/>
    <x v="0"/>
    <b v="0"/>
    <s v="No está en VPC"/>
    <n v="847"/>
    <s v="INTPG_ACC_847_1.29"/>
    <s v="ISEL-1.29"/>
    <n v="6"/>
    <s v="NO TIENE L3OUT"/>
    <n v="204"/>
    <n v="54"/>
  </r>
  <r>
    <n v="848"/>
    <x v="2"/>
    <x v="82"/>
    <s v="eth1/29"/>
    <x v="0"/>
    <x v="0"/>
    <x v="0"/>
    <s v="LINK_TO_ITHFHWCRMPLCN164 / Slot7.1_30 / Redundante"/>
    <x v="0"/>
    <b v="0"/>
    <s v="No está en VPC"/>
    <n v="848"/>
    <s v="INTPG_ACC_848_1.29"/>
    <s v="ISEL-1.29"/>
    <n v="6"/>
    <s v="NO TIENE L3OUT"/>
    <n v="254"/>
    <n v="54"/>
  </r>
  <r>
    <n v="846"/>
    <x v="2"/>
    <x v="83"/>
    <s v="eth1/29"/>
    <x v="0"/>
    <x v="0"/>
    <x v="0"/>
    <s v="LINK_TO_ITHFHWCRMPLCN81 / Slot1.2_20 / Principal"/>
    <x v="0"/>
    <b v="0"/>
    <s v="No está en VPC"/>
    <n v="846"/>
    <s v="INTPG_ACC_846_1.29"/>
    <s v="ISEL-1.29"/>
    <n v="2"/>
    <s v="NO TIENE L3OUT"/>
    <n v="242"/>
    <n v="54"/>
  </r>
  <r>
    <n v="838"/>
    <x v="2"/>
    <x v="84"/>
    <s v="eth1/29"/>
    <x v="0"/>
    <x v="0"/>
    <x v="0"/>
    <s v="LINK_To_ITHFHWCBSPSWR44 / Slot1.3_32 / Principal"/>
    <x v="0"/>
    <b v="0"/>
    <s v="No está en VPC"/>
    <n v="838"/>
    <s v="INTPG_VPC_838_1.29_843_1.29"/>
    <s v="ISEL-1.29"/>
    <n v="1"/>
    <s v="NO TIENE L3OUT"/>
    <n v="38"/>
    <n v="54"/>
  </r>
  <r>
    <n v="849"/>
    <x v="2"/>
    <x v="85"/>
    <s v="eth1/29"/>
    <x v="0"/>
    <x v="0"/>
    <x v="0"/>
    <s v="LINK_TO_ITHFHWCRMPLCN144 / Slot7.1_22 / Redundante"/>
    <x v="0"/>
    <b v="0"/>
    <s v="No está en VPC"/>
    <n v="849"/>
    <s v="INTPG_ACC_849_1.29"/>
    <s v="ISEL-1.29"/>
    <n v="6"/>
    <s v="NO TIENE L3OUT"/>
    <n v="286"/>
    <n v="54"/>
  </r>
  <r>
    <n v="845"/>
    <x v="2"/>
    <x v="86"/>
    <s v="eth1/29"/>
    <x v="0"/>
    <x v="0"/>
    <x v="0"/>
    <s v="LINK_TO_ITHFHWCRMPLCN93 / Slot1.3_18 / Principal"/>
    <x v="0"/>
    <b v="0"/>
    <s v="No está en VPC"/>
    <n v="845"/>
    <s v="INTPG_ACC_845_1.29"/>
    <s v="ISEL-1.29"/>
    <n v="1"/>
    <s v="NO TIENE L3OUT"/>
    <n v="258"/>
    <n v="54"/>
  </r>
  <r>
    <n v="873"/>
    <x v="2"/>
    <x v="87"/>
    <s v="eth1/29"/>
    <x v="0"/>
    <x v="0"/>
    <x v="0"/>
    <s v="TO_ITHFHWCRMDLCN62_Principal"/>
    <x v="0"/>
    <b v="0"/>
    <s v="No está en VPC"/>
    <n v="873"/>
    <s v="INTPG_ACC_873_1.29"/>
    <s v="ISEL-1.29"/>
    <n v="1"/>
    <s v="NO TIENE L3OUT"/>
    <n v="248"/>
    <n v="54"/>
  </r>
  <r>
    <n v="864"/>
    <x v="2"/>
    <x v="88"/>
    <s v="eth1/29"/>
    <x v="0"/>
    <x v="0"/>
    <x v="0"/>
    <s v="To_VPC_2DCBSD_WR45_2"/>
    <x v="0"/>
    <b v="0"/>
    <s v="No está en VPC"/>
    <n v="864"/>
    <s v="INTPG_VPC_859_1.29_864_1.29"/>
    <s v="ISEL-1.29"/>
    <n v="1"/>
    <s v="NO TIENE L3OUT"/>
    <n v="0"/>
    <n v="54"/>
  </r>
  <r>
    <n v="836"/>
    <x v="2"/>
    <x v="89"/>
    <s v="eth1/29"/>
    <x v="0"/>
    <x v="0"/>
    <x v="0"/>
    <s v="LINK_TO_ITHFHWCBSPSWR55 / Slot1.1_38 / Principal"/>
    <x v="0"/>
    <b v="0"/>
    <s v="No está en VPC"/>
    <n v="836"/>
    <s v="INTPG_VPC_836_1.29_841_1.29"/>
    <s v="ISEL-1.29"/>
    <n v="2"/>
    <s v="NO TIENE L3OUT"/>
    <n v="0"/>
    <n v="54"/>
  </r>
  <r>
    <n v="834"/>
    <x v="2"/>
    <x v="90"/>
    <s v="eth1/29"/>
    <x v="0"/>
    <x v="0"/>
    <x v="0"/>
    <s v="LINK_TO_ITHFHWCBSPSHD39 / Slot1.2_16 / Principal"/>
    <x v="0"/>
    <b v="0"/>
    <s v="No está en VPC"/>
    <n v="834"/>
    <s v="INTPG_VPC_834_1.29_839_1.29"/>
    <s v="ISEL-1.29"/>
    <n v="1"/>
    <s v="NO TIENE L3OUT"/>
    <n v="0"/>
    <n v="54"/>
  </r>
  <r>
    <n v="872"/>
    <x v="2"/>
    <x v="91"/>
    <s v="eth1/29"/>
    <x v="0"/>
    <x v="0"/>
    <x v="0"/>
    <s v="To_ITHFHWCRMDLCN78_Principal"/>
    <x v="0"/>
    <b v="0"/>
    <s v="No está en VPC"/>
    <n v="872"/>
    <s v="INTPG_ACC_872_1.29"/>
    <s v="ISEL-1.29"/>
    <n v="1"/>
    <s v="NO TIENE L3OUT"/>
    <n v="288"/>
    <n v="54"/>
  </r>
  <r>
    <n v="842"/>
    <x v="2"/>
    <x v="92"/>
    <s v="eth1/29"/>
    <x v="0"/>
    <x v="0"/>
    <x v="0"/>
    <s v="LINK_TO_ITHHWD6KV65100009DKC01 / CTMA_IOM0.P1_34 / Redundante"/>
    <x v="0"/>
    <b v="0"/>
    <s v="No está en VPC"/>
    <n v="842"/>
    <s v="INTPG_ACC_842_1.29"/>
    <s v="ISEL-1.29"/>
    <n v="1"/>
    <s v="NO TIENE L3OUT"/>
    <n v="8"/>
    <n v="54"/>
  </r>
  <r>
    <n v="828"/>
    <x v="2"/>
    <x v="93"/>
    <s v="eth1/29"/>
    <x v="0"/>
    <x v="0"/>
    <x v="0"/>
    <s v="LINK_TO_ITHFHWCRMDLCN25 /Slot5.2 /Principal"/>
    <x v="0"/>
    <b v="0"/>
    <s v="No está en VPC"/>
    <n v="828"/>
    <s v="INTPG_ACC_828_1.29"/>
    <s v="ISEL-1.29"/>
    <n v="5"/>
    <s v="NO TIENE L3OUT"/>
    <n v="192"/>
    <n v="54"/>
  </r>
  <r>
    <n v="870"/>
    <x v="2"/>
    <x v="94"/>
    <s v="eth1/29"/>
    <x v="0"/>
    <x v="0"/>
    <x v="0"/>
    <s v="TO_ITHFHWCRMDLCN62_Redundante"/>
    <x v="0"/>
    <b v="0"/>
    <s v="No está en VPC"/>
    <n v="870"/>
    <s v="INTPG_ACC_870_1.29"/>
    <s v="ISEL-1.29"/>
    <n v="1"/>
    <s v="NO TIENE L3OUT"/>
    <n v="248"/>
    <n v="54"/>
  </r>
  <r>
    <n v="866"/>
    <x v="2"/>
    <x v="95"/>
    <s v="eth1/29"/>
    <x v="0"/>
    <x v="0"/>
    <x v="0"/>
    <s v="To_VPC_2DCBSD_BD12_1"/>
    <x v="0"/>
    <b v="0"/>
    <s v="No está en VPC"/>
    <n v="866"/>
    <s v="INTPG_VPC_861_1.29_866_1.29"/>
    <s v="ISEL-1.29"/>
    <n v="2"/>
    <s v="NO TIENE L3OUT"/>
    <n v="8"/>
    <n v="54"/>
  </r>
  <r>
    <n v="862"/>
    <x v="2"/>
    <x v="96"/>
    <s v="eth1/29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29"/>
    <x v="0"/>
    <x v="0"/>
    <x v="0"/>
    <s v="LINK_TO_ITHFHWCRMPLCN164 / Slot1.1_30 / Principal"/>
    <x v="0"/>
    <b v="0"/>
    <s v="No está en VPC"/>
    <n v="855"/>
    <s v="INTPG_ACC_855_1.29"/>
    <s v="ISEL-1.29"/>
    <n v="6"/>
    <s v="NO TIENE L3OUT"/>
    <n v="254"/>
    <n v="54"/>
  </r>
  <r>
    <n v="871"/>
    <x v="2"/>
    <x v="98"/>
    <s v="eth1/29"/>
    <x v="0"/>
    <x v="0"/>
    <x v="0"/>
    <s v="To_ITHFHWCRMDLCN63_Principal"/>
    <x v="0"/>
    <b v="0"/>
    <s v="No está en VPC"/>
    <n v="871"/>
    <s v="INTPG_ACC_871_1.29"/>
    <s v="ISEL-1.29"/>
    <n v="2"/>
    <s v="NO TIENE L3OUT"/>
    <n v="246"/>
    <n v="54"/>
  </r>
  <r>
    <n v="841"/>
    <x v="2"/>
    <x v="99"/>
    <s v="eth1/29"/>
    <x v="0"/>
    <x v="0"/>
    <x v="0"/>
    <s v="LINK_TO_ITHFHWCBSPSWR55 / Slot7.1_38 / Redundante"/>
    <x v="0"/>
    <b v="0"/>
    <s v="No está en VPC"/>
    <n v="841"/>
    <s v="INTPG_VPC_836_1.29_841_1.29"/>
    <s v="ISEL-1.29"/>
    <n v="2"/>
    <s v="NO TIENE L3OUT"/>
    <n v="0"/>
    <n v="54"/>
  </r>
  <r>
    <n v="868"/>
    <x v="2"/>
    <x v="100"/>
    <s v="eth1/29"/>
    <x v="0"/>
    <x v="0"/>
    <x v="0"/>
    <s v="To_ITHFHWCRMDLCN63_Redundante"/>
    <x v="0"/>
    <b v="0"/>
    <s v="No está en VPC"/>
    <n v="868"/>
    <s v="INTPG_ACC_868_1.29"/>
    <s v="ISEL-1.29"/>
    <n v="2"/>
    <s v="NO TIENE L3OUT"/>
    <n v="246"/>
    <n v="54"/>
  </r>
  <r>
    <n v="869"/>
    <x v="2"/>
    <x v="101"/>
    <s v="eth1/29"/>
    <x v="0"/>
    <x v="0"/>
    <x v="0"/>
    <s v="To_ITHFHWCRMDLCN78_Redundante"/>
    <x v="0"/>
    <b v="0"/>
    <s v="No está en VPC"/>
    <n v="869"/>
    <s v="INTPG_ACC_869_1.29"/>
    <s v="ISEL-1.29"/>
    <n v="1"/>
    <s v="NO TIENE L3OUT"/>
    <n v="288"/>
    <n v="54"/>
  </r>
  <r>
    <n v="861"/>
    <x v="2"/>
    <x v="102"/>
    <s v="eth1/29"/>
    <x v="0"/>
    <x v="0"/>
    <x v="0"/>
    <s v="To_VPC_2DCBSD_BD12_1"/>
    <x v="0"/>
    <b v="0"/>
    <s v="No está en VPC"/>
    <n v="861"/>
    <s v="INTPG_VPC_861_1.29_866_1.29"/>
    <s v="ISEL-1.29"/>
    <n v="2"/>
    <s v="NO TIENE L3OUT"/>
    <n v="8"/>
    <n v="54"/>
  </r>
  <r>
    <n v="874"/>
    <x v="2"/>
    <x v="103"/>
    <s v="eth1/29"/>
    <x v="0"/>
    <x v="0"/>
    <x v="0"/>
    <s v="A_ITHFHWSEQLCAS28_Redundante"/>
    <x v="4"/>
    <b v="0"/>
    <s v="No está en VPC"/>
    <n v="874"/>
    <s v="INTPG_ACC_874_1.29"/>
    <s v="ISEL-1.29"/>
    <n v="1"/>
    <s v="NO TIENE L3OUT"/>
    <n v="92"/>
    <n v="54"/>
  </r>
  <r>
    <n v="865"/>
    <x v="2"/>
    <x v="104"/>
    <s v="eth1/29"/>
    <x v="0"/>
    <x v="0"/>
    <x v="0"/>
    <s v="To_VPC_2DCBSD_BD16_2"/>
    <x v="0"/>
    <b v="0"/>
    <s v="No está en VPC"/>
    <n v="865"/>
    <s v="INTPG_VPC_860_1.29_865_1.29"/>
    <s v="ISEL-1.29"/>
    <n v="1"/>
    <s v="NO TIENE L3OUT"/>
    <n v="0"/>
    <n v="54"/>
  </r>
  <r>
    <n v="753"/>
    <x v="2"/>
    <x v="105"/>
    <s v="eth1/29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29"/>
    <x v="0"/>
    <x v="1"/>
    <x v="5"/>
    <s v="CEM:ITHCEMF2KFK15:LOM P1"/>
    <x v="0"/>
    <b v="0"/>
    <s v="No está en VPC"/>
    <n v="708"/>
    <s v="INTPG_VPC_708_1.29_709_1.30"/>
    <s v="ISEL-1.29"/>
    <n v="1"/>
    <s v="NO TIENE L3OUT"/>
    <n v="0"/>
    <n v="54"/>
  </r>
  <r>
    <n v="710"/>
    <x v="2"/>
    <x v="107"/>
    <s v="eth1/29"/>
    <x v="0"/>
    <x v="1"/>
    <x v="5"/>
    <s v="CEM:ITHCEMD2ADT15:LOM P1"/>
    <x v="0"/>
    <b v="0"/>
    <s v="No está en VPC"/>
    <n v="710"/>
    <s v="INTPG_VPC_710_1.29_711_1.30"/>
    <s v="ISEL-1.29"/>
    <n v="1"/>
    <s v="NO TIENE L3OUT"/>
    <n v="16"/>
    <n v="54"/>
  </r>
  <r>
    <n v="713"/>
    <x v="2"/>
    <x v="108"/>
    <s v="eth1/29"/>
    <x v="1"/>
    <x v="1"/>
    <x v="3"/>
    <s v="CEM:ITHCEMA2ADT15:LOM P1"/>
    <x v="0"/>
    <b v="0"/>
    <s v="No está en VPC"/>
    <n v="713"/>
    <s v="INTPG_VPC_713_1.29_712_1.30"/>
    <s v="ISEL-1.29"/>
    <n v="0"/>
    <s v="NO TIENE L3OUT"/>
    <n v="32"/>
    <n v="54"/>
  </r>
  <r>
    <n v="735"/>
    <x v="2"/>
    <x v="109"/>
    <s v="eth1/29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29"/>
    <x v="0"/>
    <x v="0"/>
    <x v="0"/>
    <s v="Server_Pre-R02-RH2288-04"/>
    <x v="0"/>
    <b v="0"/>
    <s v="No está en VPC"/>
    <n v="731"/>
    <s v="INTPG_ACC_731_1.29"/>
    <s v="ISEL-1.29"/>
    <n v="1"/>
    <s v="NO TIENE L3OUT"/>
    <n v="38"/>
    <n v="54"/>
  </r>
  <r>
    <n v="703"/>
    <x v="2"/>
    <x v="111"/>
    <s v="eth1/29"/>
    <x v="0"/>
    <x v="0"/>
    <x v="0"/>
    <m/>
    <x v="0"/>
    <b v="0"/>
    <s v="No está en VPC"/>
    <n v="703"/>
    <s v="NO EXISTE PG"/>
    <s v="NO EXISTE ISEL"/>
    <n v="1"/>
    <s v="NO TIENE L3OUT"/>
    <n v="2"/>
    <n v="54"/>
  </r>
  <r>
    <n v="706"/>
    <x v="2"/>
    <x v="112"/>
    <s v="eth1/29"/>
    <x v="0"/>
    <x v="0"/>
    <x v="0"/>
    <m/>
    <x v="0"/>
    <b v="0"/>
    <s v="No está en VPC"/>
    <n v="706"/>
    <s v="INTPG_VPC_706_1.29_705_1.30"/>
    <s v="ISEL-1.29"/>
    <n v="1"/>
    <s v="NO TIENE L3OUT"/>
    <n v="16"/>
    <n v="54"/>
  </r>
  <r>
    <n v="762"/>
    <x v="2"/>
    <x v="113"/>
    <s v="eth1/29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14"/>
    <x v="2"/>
    <x v="114"/>
    <s v="eth1/29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29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29"/>
    <x v="0"/>
    <x v="0"/>
    <x v="0"/>
    <s v="LINK_TO_ITHFHWCBSDSWR16 /10GE.1 /Principal"/>
    <x v="0"/>
    <b v="0"/>
    <s v="No está en VPC"/>
    <n v="826"/>
    <s v="INTPG_VPC_826_1.29_830_1.29"/>
    <s v="ISEL-1.29"/>
    <n v="1"/>
    <s v="NO TIENE L3OUT"/>
    <n v="12"/>
    <n v="54"/>
  </r>
  <r>
    <n v="726"/>
    <x v="2"/>
    <x v="117"/>
    <s v="eth1/29"/>
    <x v="0"/>
    <x v="0"/>
    <x v="0"/>
    <m/>
    <x v="0"/>
    <b v="0"/>
    <s v="No está en VPC"/>
    <n v="726"/>
    <s v="INTPG-VPC_SLR12_726_1.29_727_1.30"/>
    <s v="ISEL-1.29"/>
    <n v="1"/>
    <s v="NO TIENE L3OUT"/>
    <n v="0"/>
    <n v="54"/>
  </r>
  <r>
    <n v="740"/>
    <x v="2"/>
    <x v="118"/>
    <s v="eth1/29"/>
    <x v="0"/>
    <x v="0"/>
    <x v="0"/>
    <s v="CEM:ITHCEMC2ADT15:LOM P3"/>
    <x v="5"/>
    <b v="0"/>
    <s v="No está en VPC"/>
    <n v="740"/>
    <s v="INTPG_ACC_740_1.29"/>
    <s v="ISEL-1.29"/>
    <n v="1"/>
    <s v="NO TIENE L3OUT"/>
    <n v="72"/>
    <n v="54"/>
  </r>
  <r>
    <n v="705"/>
    <x v="2"/>
    <x v="119"/>
    <s v="eth1/29"/>
    <x v="0"/>
    <x v="1"/>
    <x v="3"/>
    <m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29"/>
    <x v="0"/>
    <x v="0"/>
    <x v="0"/>
    <s v="TO-ITHHWHCS8SW"/>
    <x v="0"/>
    <b v="0"/>
    <s v="No está en VPC"/>
    <n v="723"/>
    <s v="INTPG_VPC_722_1.29-30_723_1.29-30"/>
    <s v="ISEL-1.29"/>
    <n v="15"/>
    <s v="NO TIENE L3OUT"/>
    <n v="0"/>
    <n v="54"/>
  </r>
  <r>
    <n v="721"/>
    <x v="2"/>
    <x v="121"/>
    <s v="eth1/29"/>
    <x v="0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29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29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29"/>
    <x v="0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29"/>
    <x v="0"/>
    <x v="1"/>
    <x v="5"/>
    <s v="CEM:ITHCEME2KFK15:LOM P1"/>
    <x v="0"/>
    <b v="0"/>
    <s v="No está en VPC"/>
    <n v="709"/>
    <s v="INTPG_VPC_708_1.30_709_1.29"/>
    <s v="ISEL-1.29"/>
    <n v="1"/>
    <s v="NO TIENE L3OUT"/>
    <n v="0"/>
    <n v="54"/>
  </r>
  <r>
    <n v="454"/>
    <x v="1"/>
    <x v="126"/>
    <s v="eth1/29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29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29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29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29"/>
    <x v="0"/>
    <x v="0"/>
    <x v="0"/>
    <m/>
    <x v="0"/>
    <b v="0"/>
    <s v="No está en VPC"/>
    <n v="718"/>
    <s v="INTPG-VPC_SHD01_718_1.29_717_1.30"/>
    <s v="ISEL-1.29"/>
    <n v="1"/>
    <s v="NO TIENE L3OUT"/>
    <n v="0"/>
    <n v="54"/>
  </r>
  <r>
    <n v="744"/>
    <x v="2"/>
    <x v="131"/>
    <s v="eth1/29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29"/>
    <x v="0"/>
    <x v="0"/>
    <x v="0"/>
    <s v="CEM:ITHCEMB2ADT15:LOM P3"/>
    <x v="5"/>
    <b v="0"/>
    <s v="No está en VPC"/>
    <n v="741"/>
    <s v="INTPG_ACC_741_1.29"/>
    <s v="ISEL-1.29"/>
    <n v="1"/>
    <s v="NO TIENE L3OUT"/>
    <n v="62"/>
    <n v="54"/>
  </r>
  <r>
    <n v="787"/>
    <x v="2"/>
    <x v="133"/>
    <s v="eth1/29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29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29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29"/>
    <x v="0"/>
    <x v="1"/>
    <x v="3"/>
    <s v="CEM_HADOOP"/>
    <x v="0"/>
    <b v="0"/>
    <s v="No está en VPC"/>
    <n v="736"/>
    <s v="INTPG_ACC_736_1.29"/>
    <s v="ISEL-1.29"/>
    <n v="0"/>
    <s v="NO TIENE L3OUT"/>
    <n v="48"/>
    <n v="54"/>
  </r>
  <r>
    <n v="799"/>
    <x v="2"/>
    <x v="137"/>
    <s v="eth1/29"/>
    <x v="0"/>
    <x v="0"/>
    <x v="0"/>
    <s v="TO-ITHFDEVDICL01ESX02"/>
    <x v="0"/>
    <b v="0"/>
    <s v="No está en VPC"/>
    <n v="799"/>
    <s v="INTPG_VPC_798_1.29_799_1.29"/>
    <s v="ISEL-1.29"/>
    <n v="6"/>
    <s v="NO TIENE L3OUT"/>
    <n v="52"/>
    <n v="54"/>
  </r>
  <r>
    <n v="768"/>
    <x v="2"/>
    <x v="138"/>
    <s v="eth1/29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29"/>
    <x v="0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29"/>
    <x v="0"/>
    <x v="0"/>
    <x v="0"/>
    <m/>
    <x v="0"/>
    <b v="0"/>
    <s v="No está en VPC"/>
    <n v="717"/>
    <s v="INTPG-VPC_ZKP01_717_1.29_718_1.30"/>
    <s v="ISEL-1.29"/>
    <n v="1"/>
    <s v="NO TIENE L3OUT"/>
    <n v="0"/>
    <n v="54"/>
  </r>
  <r>
    <n v="789"/>
    <x v="2"/>
    <x v="141"/>
    <s v="eth1/29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29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29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29"/>
    <x v="0"/>
    <x v="0"/>
    <x v="0"/>
    <s v="CLOUD PAAS PAYG F2:Ithhwvm1cch1:slot 2x/Pto 3"/>
    <x v="0"/>
    <b v="0"/>
    <s v="No está en VPC"/>
    <n v="774"/>
    <s v="INTPG_VPC_774_1.29-32_775_1.25-28"/>
    <s v="ISEL-1.29"/>
    <n v="169"/>
    <s v="NO TIENE L3OUT"/>
    <n v="0"/>
    <n v="54"/>
  </r>
  <r>
    <n v="773"/>
    <x v="2"/>
    <x v="145"/>
    <s v="eth1/29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29"/>
    <x v="0"/>
    <x v="0"/>
    <x v="0"/>
    <s v="TO-NUTANIX -VPC1"/>
    <x v="0"/>
    <b v="0"/>
    <s v="No está en VPC"/>
    <n v="794"/>
    <s v="INTPG_VPC_793_1.29_794_1.29"/>
    <s v="ISEL-1.29"/>
    <n v="12"/>
    <s v="NO TIENE L3OUT"/>
    <n v="12"/>
    <n v="54"/>
  </r>
  <r>
    <n v="803"/>
    <x v="2"/>
    <x v="147"/>
    <s v="eth1/29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29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29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29"/>
    <x v="0"/>
    <x v="0"/>
    <x v="0"/>
    <s v="CLOUD OPS:ithhwcop02en02:1E P4"/>
    <x v="0"/>
    <b v="0"/>
    <s v="No está en VPC"/>
    <n v="781"/>
    <s v="INTPG_VPC_780_1.28-29_34-35_781_1.28-29_34-35"/>
    <s v="ISEL-1.29"/>
    <n v="23"/>
    <s v="NO TIENE L3OUT"/>
    <n v="26"/>
    <n v="54"/>
  </r>
  <r>
    <n v="793"/>
    <x v="2"/>
    <x v="151"/>
    <s v="eth1/29"/>
    <x v="0"/>
    <x v="0"/>
    <x v="0"/>
    <s v="TO-NUTANIX -VPC1"/>
    <x v="0"/>
    <b v="0"/>
    <s v="No está en VPC"/>
    <n v="793"/>
    <s v="INTPG_VPC_793_1.29_794_1.29"/>
    <s v="ISEL-1.29"/>
    <n v="12"/>
    <s v="NO TIENE L3OUT"/>
    <n v="12"/>
    <n v="54"/>
  </r>
  <r>
    <n v="747"/>
    <x v="2"/>
    <x v="152"/>
    <s v="eth1/29"/>
    <x v="0"/>
    <x v="0"/>
    <x v="0"/>
    <s v="PAAS:ithhwosstpap004:Slot4.2"/>
    <x v="0"/>
    <b v="0"/>
    <s v="No está en VPC"/>
    <n v="747"/>
    <s v="INTPG_VPC_747_1.29_752_1.19"/>
    <s v="ISEL-1.29"/>
    <n v="25"/>
    <s v="NO TIENE L3OUT"/>
    <n v="0"/>
    <n v="54"/>
  </r>
  <r>
    <n v="784"/>
    <x v="2"/>
    <x v="153"/>
    <s v="eth1/29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29"/>
    <x v="1"/>
    <x v="1"/>
    <x v="2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29"/>
    <x v="0"/>
    <x v="0"/>
    <x v="0"/>
    <s v="CLOUD PAAS PAYG F2:Ithhwvm1bch1:slot 2x/Pto 3"/>
    <x v="0"/>
    <b v="0"/>
    <s v="No está en VPC"/>
    <n v="777"/>
    <s v="INTPG_VPC_776_1.25-28_777_1.29-32"/>
    <s v="ISEL-1.29"/>
    <n v="90"/>
    <s v="NO TIENE L3OUT"/>
    <n v="0"/>
    <n v="54"/>
  </r>
  <r>
    <n v="770"/>
    <x v="2"/>
    <x v="156"/>
    <s v="eth1/29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29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29"/>
    <x v="0"/>
    <x v="0"/>
    <x v="0"/>
    <s v="CEM:ITHCEMD2ADT15:LOM P3"/>
    <x v="5"/>
    <b v="0"/>
    <s v="No está en VPC"/>
    <n v="739"/>
    <s v="INTPG_ACC_739_1.29"/>
    <s v="ISEL-1.29"/>
    <n v="1"/>
    <s v="NO TIENE L3OUT"/>
    <n v="72"/>
    <n v="54"/>
  </r>
  <r>
    <n v="775"/>
    <x v="2"/>
    <x v="159"/>
    <s v="eth1/29"/>
    <x v="0"/>
    <x v="0"/>
    <x v="0"/>
    <s v="CLOUD PAAS PAYG F2:Ithhwvm1dch1:slot 2x/Pto 3"/>
    <x v="0"/>
    <b v="0"/>
    <s v="No está en VPC"/>
    <n v="775"/>
    <s v="INTPG_VPC_774_1.25-28_775_1.29-32"/>
    <s v="ISEL-1.29"/>
    <n v="152"/>
    <s v="NO TIENE L3OUT"/>
    <n v="0"/>
    <n v="54"/>
  </r>
  <r>
    <n v="791"/>
    <x v="2"/>
    <x v="160"/>
    <s v="eth1/29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29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29"/>
    <x v="0"/>
    <x v="0"/>
    <x v="0"/>
    <s v="LINK_TO_ITHFHWCBSDSWR16 /Slot5.1 /Redundante"/>
    <x v="0"/>
    <b v="0"/>
    <s v="No está en VPC"/>
    <n v="830"/>
    <s v="INTPG_VPC_826_1.29_830_1.29"/>
    <s v="ISEL-1.29"/>
    <n v="1"/>
    <s v="NO TIENE L3OUT"/>
    <n v="12"/>
    <n v="54"/>
  </r>
  <r>
    <n v="821"/>
    <x v="2"/>
    <x v="163"/>
    <s v="eth1/29"/>
    <x v="0"/>
    <x v="0"/>
    <x v="0"/>
    <s v="LINK_TO_ITHFHWCBSPSWR16 /Slot5.1 /Redundante"/>
    <x v="0"/>
    <b v="0"/>
    <s v="No está en VPC"/>
    <n v="821"/>
    <s v="INTPG_VPC_816_1.29_821_1.29"/>
    <s v="ISEL-1.29"/>
    <n v="1"/>
    <s v="NO TIENE L3OUT"/>
    <n v="0"/>
    <n v="54"/>
  </r>
  <r>
    <n v="738"/>
    <x v="2"/>
    <x v="164"/>
    <s v="eth1/29"/>
    <x v="0"/>
    <x v="0"/>
    <x v="0"/>
    <s v="CEM:ITHCEME2KFK15:LOM P3"/>
    <x v="5"/>
    <b v="0"/>
    <s v="No está en VPC"/>
    <n v="738"/>
    <s v="INTPG_ACC_738_1.29"/>
    <s v="ISEL-1.29"/>
    <n v="1"/>
    <s v="NO TIENE L3OUT"/>
    <n v="72"/>
    <n v="54"/>
  </r>
  <r>
    <n v="820"/>
    <x v="2"/>
    <x v="165"/>
    <s v="eth1/29"/>
    <x v="0"/>
    <x v="0"/>
    <x v="0"/>
    <s v="LINKT_TO_ITHFHWCRMPLCN134 / Slot7.2_38 / Redundante"/>
    <x v="0"/>
    <b v="0"/>
    <s v="No está en VPC"/>
    <n v="820"/>
    <s v="INTPG_ACC_820_1.29"/>
    <s v="ISEL-1.29"/>
    <n v="2"/>
    <s v="NO TIENE L3OUT"/>
    <n v="72"/>
    <n v="54"/>
  </r>
  <r>
    <n v="804"/>
    <x v="2"/>
    <x v="166"/>
    <s v="eth1/29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29"/>
    <x v="0"/>
    <x v="0"/>
    <x v="0"/>
    <s v="CLOUD OPS:ithhwcop01en01:3X P3"/>
    <x v="0"/>
    <b v="0"/>
    <s v="No está en VPC"/>
    <n v="779"/>
    <s v="INTPG_VPC_778_1.27-30_779_1.27-30"/>
    <s v="ISEL-1.29"/>
    <n v="24"/>
    <s v="NO TIENE L3OUT"/>
    <n v="30"/>
    <n v="54"/>
  </r>
  <r>
    <n v="767"/>
    <x v="2"/>
    <x v="168"/>
    <s v="eth1/29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29"/>
    <x v="0"/>
    <x v="0"/>
    <x v="0"/>
    <s v="LINK_TO_ITHFHWCBSDSWR26 /Slot5.2 /Principal"/>
    <x v="0"/>
    <b v="0"/>
    <s v="No está en VPC"/>
    <n v="827"/>
    <s v="INTPG_VPC_827_1.29_831_1.29"/>
    <s v="ISEL-1.29"/>
    <n v="2"/>
    <s v="NO TIENE L3OUT"/>
    <n v="14"/>
    <n v="54"/>
  </r>
  <r>
    <n v="809"/>
    <x v="2"/>
    <x v="170"/>
    <s v="eth1/29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29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29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29"/>
    <x v="0"/>
    <x v="0"/>
    <x v="0"/>
    <s v="CLOUD PAAS PAYG F2:Ithhwvm1ach1:slot 2x/Pto 3"/>
    <x v="0"/>
    <b v="0"/>
    <s v="No está en VPC"/>
    <n v="776"/>
    <s v="INTPG_VPC_776_1.29-32_777_1.25-28"/>
    <s v="ISEL-1.29"/>
    <n v="93"/>
    <s v="NO TIENE L3OUT"/>
    <n v="0"/>
    <n v="54"/>
  </r>
  <r>
    <n v="805"/>
    <x v="2"/>
    <x v="174"/>
    <s v="eth1/29"/>
    <x v="1"/>
    <x v="1"/>
    <x v="2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29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29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29"/>
    <x v="0"/>
    <x v="0"/>
    <x v="0"/>
    <s v="LINK_TO_ITHFHWCRMPLCN110 / Slot7.2_24 / Redundante"/>
    <x v="0"/>
    <b v="0"/>
    <s v="No está en VPC"/>
    <n v="851"/>
    <s v="INTPG_ACC_851_1.29"/>
    <s v="ISEL-1.29"/>
    <n v="2"/>
    <s v="NO TIENE L3OUT"/>
    <n v="282"/>
    <n v="54"/>
  </r>
  <r>
    <n v="798"/>
    <x v="2"/>
    <x v="178"/>
    <s v="eth1/29"/>
    <x v="0"/>
    <x v="0"/>
    <x v="0"/>
    <s v="TO-ITHFDEVDICL01ESX02"/>
    <x v="0"/>
    <b v="0"/>
    <s v="No está en VPC"/>
    <n v="798"/>
    <s v="INTPG_VPC_798_1.29_799_1.29"/>
    <s v="ISEL-1.29"/>
    <n v="6"/>
    <s v="NO TIENE L3OUT"/>
    <n v="52"/>
    <n v="54"/>
  </r>
  <r>
    <n v="782"/>
    <x v="2"/>
    <x v="179"/>
    <s v="eth1/29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29"/>
    <x v="0"/>
    <x v="0"/>
    <x v="0"/>
    <s v="LINK_TO_ITHFHWCRMPLCN93 / Slot7.3_18 / Redundante"/>
    <x v="0"/>
    <b v="0"/>
    <s v="No está en VPC"/>
    <n v="852"/>
    <s v="INTPG_ACC_852_1.29"/>
    <s v="ISEL-1.29"/>
    <n v="1"/>
    <s v="NO TIENE L3OUT"/>
    <n v="258"/>
    <n v="54"/>
  </r>
  <r>
    <n v="817"/>
    <x v="2"/>
    <x v="181"/>
    <s v="eth1/29"/>
    <x v="0"/>
    <x v="0"/>
    <x v="0"/>
    <s v="LINK_TO_ITHFHWCBSPSUSBD20 /10GE.1 /Principal"/>
    <x v="0"/>
    <b v="0"/>
    <s v="No está en VPC"/>
    <n v="817"/>
    <s v="INTPG_VPC_817_1.29_822_1.29"/>
    <s v="ISEL-1.29"/>
    <n v="1"/>
    <s v="NO TIENE L3OUT"/>
    <n v="0"/>
    <n v="54"/>
  </r>
  <r>
    <n v="832"/>
    <x v="2"/>
    <x v="182"/>
    <s v="eth1/29"/>
    <x v="0"/>
    <x v="0"/>
    <x v="0"/>
    <s v="LINK_TO_ITHFHWCRMDLCN25 /Slot7.2 /Redundante"/>
    <x v="0"/>
    <b v="0"/>
    <s v="No está en VPC"/>
    <n v="832"/>
    <s v="INTPG_ACC_832_1.29"/>
    <s v="ISEL-1.29"/>
    <n v="5"/>
    <s v="NO TIENE L3OUT"/>
    <n v="192"/>
    <n v="54"/>
  </r>
  <r>
    <n v="816"/>
    <x v="2"/>
    <x v="183"/>
    <s v="eth1/29"/>
    <x v="0"/>
    <x v="0"/>
    <x v="0"/>
    <s v="LINK_TO_ITHFHWCBSPSWR16 /10GE.1 /Principal"/>
    <x v="0"/>
    <b v="0"/>
    <s v="No está en VPC"/>
    <n v="816"/>
    <s v="INTPG_VPC_816_1.29_821_1.29"/>
    <s v="ISEL-1.29"/>
    <n v="1"/>
    <s v="NO TIENE L3OUT"/>
    <n v="0"/>
    <n v="54"/>
  </r>
  <r>
    <n v="825"/>
    <x v="2"/>
    <x v="184"/>
    <s v="eth1/29"/>
    <x v="0"/>
    <x v="0"/>
    <x v="0"/>
    <s v="LINKT_TO_ITHFHWCRMPLCN134 / Slot1.2_38 / Principal"/>
    <x v="0"/>
    <b v="0"/>
    <s v="No está en VPC"/>
    <n v="825"/>
    <s v="INTPG_ACC_825_1.29"/>
    <s v="ISEL-1.29"/>
    <n v="2"/>
    <s v="NO TIENE L3OUT"/>
    <n v="72"/>
    <n v="54"/>
  </r>
  <r>
    <n v="800"/>
    <x v="2"/>
    <x v="185"/>
    <s v="eth1/29"/>
    <x v="0"/>
    <x v="0"/>
    <x v="0"/>
    <s v="TO-ITHFHWSEQLCAS09-MSP"/>
    <x v="0"/>
    <b v="0"/>
    <s v="No está en VPC"/>
    <n v="800"/>
    <s v="INTPG_ACC_800_1.29"/>
    <s v="ISEL-1.29"/>
    <n v="1"/>
    <s v="NO TIENE L3OUT"/>
    <n v="78"/>
    <n v="54"/>
  </r>
  <r>
    <n v="801"/>
    <x v="2"/>
    <x v="186"/>
    <s v="eth1/29"/>
    <x v="0"/>
    <x v="0"/>
    <x v="0"/>
    <s v="TO-ITHFHWSEQLCAS09-MSP"/>
    <x v="0"/>
    <b v="0"/>
    <s v="No está en VPC"/>
    <n v="801"/>
    <s v="INTPG_ACC_801_1.29"/>
    <s v="ISEL-1.29"/>
    <n v="1"/>
    <s v="NO TIENE L3OUT"/>
    <n v="78"/>
    <n v="54"/>
  </r>
  <r>
    <n v="823"/>
    <x v="2"/>
    <x v="187"/>
    <s v="eth1/29"/>
    <x v="0"/>
    <x v="0"/>
    <x v="0"/>
    <s v="LINK_TO_ITHFHWCBSPSWR34 /Slot7.2 /Redundante"/>
    <x v="0"/>
    <b v="0"/>
    <s v="No está en VPC"/>
    <n v="823"/>
    <s v="INTPG_VPC_818_1.29_823_1.29"/>
    <s v="ISEL-1.29"/>
    <n v="2"/>
    <s v="NO TIENE L3OUT"/>
    <n v="8"/>
    <n v="54"/>
  </r>
  <r>
    <n v="837"/>
    <x v="2"/>
    <x v="188"/>
    <s v="eth1/29"/>
    <x v="0"/>
    <x v="0"/>
    <x v="0"/>
    <s v="LINK_TO_ITHHWD6KV65100009DKC01 / CTMA_IOM0.P0_34 / Principal"/>
    <x v="0"/>
    <b v="0"/>
    <s v="No está en VPC"/>
    <n v="837"/>
    <s v="INTPG_ACC_837_1.29"/>
    <s v="ISEL-1.29"/>
    <n v="1"/>
    <s v="NO TIENE L3OUT"/>
    <n v="8"/>
    <n v="54"/>
  </r>
  <r>
    <n v="867"/>
    <x v="2"/>
    <x v="189"/>
    <s v="eth1/29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29"/>
    <x v="0"/>
    <x v="0"/>
    <x v="0"/>
    <s v="To_ITHFHWCRMDLCN44_Principal"/>
    <x v="0"/>
    <b v="0"/>
    <s v="No está en VPC"/>
    <n v="829"/>
    <s v="INTPG_ACC_829_1.29"/>
    <s v="ISEL-1.29"/>
    <n v="1"/>
    <s v="NO TIENE L3OUT"/>
    <n v="224"/>
    <n v="54"/>
  </r>
  <r>
    <n v="831"/>
    <x v="2"/>
    <x v="191"/>
    <s v="eth1/29"/>
    <x v="0"/>
    <x v="0"/>
    <x v="0"/>
    <s v="LINK_TO_ITHFHWCBSDSWR26 /Slot7.2 /Redundante"/>
    <x v="0"/>
    <b v="0"/>
    <s v="No está en VPC"/>
    <n v="831"/>
    <s v="INTPG_VPC_827_1.29_831_1.29"/>
    <s v="ISEL-1.29"/>
    <n v="2"/>
    <s v="NO TIENE L3OUT"/>
    <n v="14"/>
    <n v="54"/>
  </r>
  <r>
    <n v="802"/>
    <x v="2"/>
    <x v="192"/>
    <s v="eth1/29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29"/>
    <x v="0"/>
    <x v="0"/>
    <x v="0"/>
    <s v="LINK_TO_ITHFHWCBSPSHD32 / Slot1.1_16 / Principal"/>
    <x v="0"/>
    <b v="0"/>
    <s v="No está en VPC"/>
    <n v="835"/>
    <s v="INTPG_VPC_835_1.29_840_1.29"/>
    <s v="ISEL-1.29"/>
    <n v="2"/>
    <s v="NO TIENE L3OUT"/>
    <n v="8"/>
    <n v="54"/>
  </r>
  <r>
    <n v="822"/>
    <x v="2"/>
    <x v="194"/>
    <s v="eth1/29"/>
    <x v="0"/>
    <x v="0"/>
    <x v="0"/>
    <s v="LINK_TO_ITHFHWCBSPSUSBD20 /Slot5.1 /Redundante"/>
    <x v="0"/>
    <b v="0"/>
    <s v="No está en VPC"/>
    <n v="822"/>
    <s v="INTPG_VPC_817_1.29_822_1.29"/>
    <s v="ISEL-1.29"/>
    <n v="1"/>
    <s v="NO TIENE L3OUT"/>
    <n v="0"/>
    <n v="54"/>
  </r>
  <r>
    <n v="854"/>
    <x v="2"/>
    <x v="195"/>
    <s v="eth1/29"/>
    <x v="0"/>
    <x v="0"/>
    <x v="0"/>
    <s v="LINK_TO_ITHFHWCRMPLCN175 / Slot1.1_20 / Principal"/>
    <x v="0"/>
    <b v="0"/>
    <s v="No está en VPC"/>
    <n v="854"/>
    <s v="INTPG_ACC_854_1.29"/>
    <s v="ISEL-1.29"/>
    <n v="6"/>
    <s v="NO TIENE L3OUT"/>
    <n v="204"/>
    <n v="54"/>
  </r>
  <r>
    <n v="858"/>
    <x v="2"/>
    <x v="196"/>
    <s v="eth1/29"/>
    <x v="0"/>
    <x v="0"/>
    <x v="0"/>
    <s v="To_VPC_2DCBSD_WR54_2"/>
    <x v="0"/>
    <b v="0"/>
    <s v="No está en VPC"/>
    <n v="858"/>
    <s v="INTPG_VPC_858_1.29_863_1.29"/>
    <s v="ISEL-1.29"/>
    <n v="1"/>
    <s v="NO TIENE L3OUT"/>
    <n v="8"/>
    <n v="54"/>
  </r>
  <r>
    <n v="857"/>
    <x v="2"/>
    <x v="197"/>
    <s v="eth1/29"/>
    <x v="0"/>
    <x v="0"/>
    <x v="0"/>
    <s v="LINKT_TO_ITHFHWCRMPLCN125 / Slot1.1_20 / Principal"/>
    <x v="0"/>
    <b v="0"/>
    <s v="No está en VPC"/>
    <n v="857"/>
    <s v="INTPG_ACC_857_1.29"/>
    <s v="ISEL-1.29"/>
    <n v="6"/>
    <s v="NO TIENE L3OUT"/>
    <n v="288"/>
    <n v="54"/>
  </r>
  <r>
    <n v="859"/>
    <x v="2"/>
    <x v="198"/>
    <s v="eth1/29"/>
    <x v="0"/>
    <x v="0"/>
    <x v="0"/>
    <s v="To_VPC_2DCBSD_WR45_2"/>
    <x v="0"/>
    <b v="0"/>
    <s v="No está en VPC"/>
    <n v="859"/>
    <s v="INTPG_VPC_859_1.29_864_1.29"/>
    <s v="ISEL-1.29"/>
    <n v="1"/>
    <s v="NO TIENE L3OUT"/>
    <n v="0"/>
    <n v="54"/>
  </r>
  <r>
    <n v="833"/>
    <x v="2"/>
    <x v="199"/>
    <s v="eth1/29"/>
    <x v="0"/>
    <x v="0"/>
    <x v="0"/>
    <s v="To_ITHFHWCRMDLCN44_Redundante"/>
    <x v="0"/>
    <b v="0"/>
    <s v="No está en VPC"/>
    <n v="833"/>
    <s v="INTPG_ACC_833_1.29"/>
    <s v="ISEL-1.29"/>
    <n v="1"/>
    <s v="NO TIENE L3OUT"/>
    <n v="224"/>
    <n v="54"/>
  </r>
  <r>
    <n v="818"/>
    <x v="2"/>
    <x v="200"/>
    <s v="eth1/29"/>
    <x v="0"/>
    <x v="0"/>
    <x v="0"/>
    <s v="LINK_TO_ITHFHWCBSPSWR34 /Slot5.2 /Principal"/>
    <x v="0"/>
    <b v="0"/>
    <s v="No está en VPC"/>
    <n v="818"/>
    <s v="INTPG_VPC_818_1.29_823_1.29"/>
    <s v="ISEL-1.29"/>
    <n v="2"/>
    <s v="NO TIENE L3OUT"/>
    <n v="8"/>
    <n v="54"/>
  </r>
  <r>
    <n v="850"/>
    <x v="2"/>
    <x v="201"/>
    <s v="eth1/29"/>
    <x v="0"/>
    <x v="0"/>
    <x v="0"/>
    <s v="LINKT_TO_ITHFHWCRMPLCN125 / Slot7.1_20 / Redundante"/>
    <x v="0"/>
    <b v="0"/>
    <s v="No está en VPC"/>
    <n v="850"/>
    <s v="INTPG_ACC_850_1.29"/>
    <s v="ISEL-1.29"/>
    <n v="6"/>
    <s v="NO TIENE L3OUT"/>
    <n v="288"/>
    <n v="54"/>
  </r>
  <r>
    <n v="860"/>
    <x v="2"/>
    <x v="202"/>
    <s v="eth1/29"/>
    <x v="0"/>
    <x v="0"/>
    <x v="0"/>
    <s v="To_VPC_2DCBSD_BD16_2"/>
    <x v="0"/>
    <b v="0"/>
    <s v="No está en VPC"/>
    <n v="860"/>
    <s v="INTPG_VPC_860_1.29_865_1.29"/>
    <s v="ISEL-1.29"/>
    <n v="1"/>
    <s v="NO TIENE L3OUT"/>
    <n v="0"/>
    <n v="54"/>
  </r>
  <r>
    <n v="853"/>
    <x v="2"/>
    <x v="203"/>
    <s v="eth1/29"/>
    <x v="0"/>
    <x v="0"/>
    <x v="0"/>
    <s v="LINK_TO_ITHFHWCRMPLCN81 / Slot7.2_20 / Redundante"/>
    <x v="0"/>
    <b v="0"/>
    <s v="No está en VPC"/>
    <n v="853"/>
    <s v="INTPG_ACC_853_1.29"/>
    <s v="ISEL-1.29"/>
    <n v="2"/>
    <s v="NO TIENE L3OUT"/>
    <n v="242"/>
    <n v="54"/>
  </r>
  <r>
    <n v="790"/>
    <x v="2"/>
    <x v="204"/>
    <s v="eth1/29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29"/>
    <x v="0"/>
    <x v="1"/>
    <x v="1"/>
    <s v="CFD"/>
    <x v="6"/>
    <b v="0"/>
    <s v="No está en VPC"/>
    <n v="105"/>
    <s v="INTPG_ACC_105_1.29"/>
    <s v="ISEL-1.29"/>
    <n v="1"/>
    <s v="NO TIENE L3OUT"/>
    <n v="106"/>
    <n v="96"/>
  </r>
  <r>
    <n v="117"/>
    <x v="0"/>
    <x v="206"/>
    <s v="eth1/29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29"/>
    <x v="0"/>
    <x v="1"/>
    <x v="1"/>
    <s v="SFLDI"/>
    <x v="6"/>
    <b v="0"/>
    <s v="No está en VPC"/>
    <n v="104"/>
    <s v="INTPG_ACC_104_1.29"/>
    <s v="ISEL-1.29"/>
    <n v="1"/>
    <s v="NO TIENE L3OUT"/>
    <n v="194"/>
    <n v="96"/>
  </r>
  <r>
    <n v="158"/>
    <x v="0"/>
    <x v="208"/>
    <s v="eth1/29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29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29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29"/>
    <x v="0"/>
    <x v="0"/>
    <x v="0"/>
    <s v="SISTEMA GENERAL(SGAI)"/>
    <x v="6"/>
    <b v="0"/>
    <s v="No está en VPC"/>
    <n v="108"/>
    <s v="INTPG_ACC_108_1.29"/>
    <s v="ISEL-1.29"/>
    <n v="1"/>
    <s v="NO TIENE L3OUT"/>
    <n v="126"/>
    <n v="96"/>
  </r>
  <r>
    <n v="112"/>
    <x v="0"/>
    <x v="212"/>
    <s v="eth1/29"/>
    <x v="1"/>
    <x v="1"/>
    <x v="2"/>
    <s v="SUBEX (Fraud Management)"/>
    <x v="6"/>
    <b v="0"/>
    <s v="No está en VPC"/>
    <n v="112"/>
    <s v="INTPG_ACC_112_1.29"/>
    <s v="ISEL-1.29"/>
    <n v="1"/>
    <s v="NO TIENE L3OUT"/>
    <n v="144"/>
    <n v="96"/>
  </r>
  <r>
    <n v="107"/>
    <x v="0"/>
    <x v="213"/>
    <s v="eth1/29"/>
    <x v="0"/>
    <x v="0"/>
    <x v="0"/>
    <s v="TO-UXF5IXT39K02"/>
    <x v="6"/>
    <b v="0"/>
    <s v="No está en VPC"/>
    <n v="107"/>
    <s v="INTPG_VPC_106_1.63_107_1.29"/>
    <s v="ISEL-1.29"/>
    <n v="2"/>
    <s v="NO TIENE L3OUT"/>
    <n v="118"/>
    <n v="96"/>
  </r>
  <r>
    <n v="109"/>
    <x v="0"/>
    <x v="214"/>
    <s v="eth1/29"/>
    <x v="0"/>
    <x v="0"/>
    <x v="0"/>
    <s v="IXT01PP, IXT02PP, IXT05PP"/>
    <x v="6"/>
    <b v="0"/>
    <s v="No está en VPC"/>
    <n v="109"/>
    <s v="INTPG_ACC_109_1.29"/>
    <s v="ISEL-1.29"/>
    <n v="1"/>
    <s v="NO TIENE L3OUT"/>
    <n v="126"/>
    <n v="96"/>
  </r>
  <r>
    <n v="113"/>
    <x v="0"/>
    <x v="215"/>
    <s v="eth1/29"/>
    <x v="0"/>
    <x v="1"/>
    <x v="1"/>
    <s v="RLVYCAN04"/>
    <x v="6"/>
    <b v="0"/>
    <s v="No está en VPC"/>
    <n v="113"/>
    <s v="INTPG_ACC_113_1.29"/>
    <s v="ISEL-1.29"/>
    <n v="1"/>
    <s v="NO TIENE L3OUT"/>
    <n v="52"/>
    <n v="96"/>
  </r>
  <r>
    <n v="114"/>
    <x v="0"/>
    <x v="216"/>
    <s v="eth1/29"/>
    <x v="0"/>
    <x v="0"/>
    <x v="0"/>
    <s v="CHARGING SYSTEM"/>
    <x v="6"/>
    <b v="0"/>
    <s v="No está en VPC"/>
    <n v="114"/>
    <s v="INTPG_ACC_114_1.29"/>
    <s v="ISEL-1.29"/>
    <n v="1"/>
    <s v="NO TIENE L3OUT"/>
    <n v="144"/>
    <n v="96"/>
  </r>
  <r>
    <n v="124"/>
    <x v="0"/>
    <x v="217"/>
    <s v="eth1/29"/>
    <x v="0"/>
    <x v="0"/>
    <x v="0"/>
    <s v="Politicas de Navegacion"/>
    <x v="6"/>
    <b v="0"/>
    <s v="No está en VPC"/>
    <n v="124"/>
    <s v="INTPG_VPC_124_1.28-29_125_1.31-32"/>
    <s v="ISEL-1.29"/>
    <n v="5"/>
    <s v="NO TIENE L3OUT"/>
    <n v="80"/>
    <n v="96"/>
  </r>
  <r>
    <n v="118"/>
    <x v="0"/>
    <x v="218"/>
    <s v="eth1/29"/>
    <x v="0"/>
    <x v="0"/>
    <x v="0"/>
    <s v="DATOS NETCRACKER"/>
    <x v="6"/>
    <b v="0"/>
    <s v="No está en VPC"/>
    <n v="118"/>
    <s v="INTPG_ACC_118_1.29"/>
    <s v="ISEL-1.29"/>
    <n v="1"/>
    <s v="NO TIENE L3OUT"/>
    <n v="180"/>
    <n v="96"/>
  </r>
  <r>
    <n v="159"/>
    <x v="0"/>
    <x v="219"/>
    <s v="eth1/29"/>
    <x v="0"/>
    <x v="0"/>
    <x v="0"/>
    <s v="ArrobaDOC Y CF"/>
    <x v="6"/>
    <b v="0"/>
    <s v="No está en VPC"/>
    <n v="159"/>
    <s v="INTPG_ACC_159_1.29"/>
    <s v="ISEL-1.29"/>
    <n v="1"/>
    <s v="NO TIENE L3OUT"/>
    <n v="72"/>
    <n v="96"/>
  </r>
  <r>
    <n v="840"/>
    <x v="2"/>
    <x v="220"/>
    <s v="eth1/29"/>
    <x v="0"/>
    <x v="0"/>
    <x v="0"/>
    <s v="LINK_TO_ITHFHWCBSPSHD32 / Slot7.1_16 / Redundante"/>
    <x v="0"/>
    <b v="0"/>
    <s v="No está en VPC"/>
    <n v="840"/>
    <s v="INTPG_VPC_835_1.29_840_1.29"/>
    <s v="ISEL-1.29"/>
    <n v="2"/>
    <s v="NO TIENE L3OUT"/>
    <n v="8"/>
    <n v="54"/>
  </r>
  <r>
    <n v="856"/>
    <x v="2"/>
    <x v="221"/>
    <s v="eth1/29"/>
    <x v="0"/>
    <x v="0"/>
    <x v="0"/>
    <s v="LINK_TO_ITHFHWCRMPLCN144 / Slot1.1_22 / Principal"/>
    <x v="0"/>
    <b v="0"/>
    <s v="No está en VPC"/>
    <n v="856"/>
    <s v="INTPG_ACC_856_1.29"/>
    <s v="ISEL-1.29"/>
    <n v="6"/>
    <s v="NO TIENE L3OUT"/>
    <n v="286"/>
    <n v="54"/>
  </r>
  <r>
    <n v="110"/>
    <x v="0"/>
    <x v="222"/>
    <s v="eth1/29"/>
    <x v="0"/>
    <x v="0"/>
    <x v="0"/>
    <s v="UXDX-DATOS"/>
    <x v="6"/>
    <b v="0"/>
    <s v="No está en VPC"/>
    <n v="110"/>
    <s v="INTPG_ACC_110_1.29"/>
    <s v="ISEL-1.29"/>
    <n v="1"/>
    <s v="NO TIENE L3OUT"/>
    <n v="102"/>
    <n v="96"/>
  </r>
  <r>
    <n v="163"/>
    <x v="0"/>
    <x v="223"/>
    <s v="eth1/29"/>
    <x v="0"/>
    <x v="0"/>
    <x v="0"/>
    <m/>
    <x v="6"/>
    <b v="0"/>
    <s v="No está en VPC"/>
    <n v="163"/>
    <s v="INTPG_ACC_163_1.29"/>
    <s v="ISEL-1.29"/>
    <n v="1"/>
    <s v="NO TIENE L3OUT"/>
    <n v="140"/>
    <n v="96"/>
  </r>
  <r>
    <n v="407"/>
    <x v="1"/>
    <x v="224"/>
    <s v="eth1/29"/>
    <x v="0"/>
    <x v="0"/>
    <x v="0"/>
    <s v="ITHSAN2B"/>
    <x v="6"/>
    <b v="0"/>
    <s v="No está en VPC"/>
    <n v="407"/>
    <s v="INTPG_ACC_407_1.29"/>
    <s v="ISEL-1.29"/>
    <n v="1"/>
    <s v="NO TIENE L3OUT"/>
    <n v="122"/>
    <n v="96"/>
  </r>
  <r>
    <n v="171"/>
    <x v="0"/>
    <x v="225"/>
    <s v="eth1/29"/>
    <x v="0"/>
    <x v="1"/>
    <x v="1"/>
    <s v="NFA"/>
    <x v="6"/>
    <b v="0"/>
    <s v="No está en VPC"/>
    <n v="171"/>
    <s v="INTPG_ACC_171_1.29"/>
    <s v="ISEL-1.29"/>
    <n v="1"/>
    <s v="NO TIENE L3OUT"/>
    <n v="114"/>
    <n v="96"/>
  </r>
  <r>
    <n v="421"/>
    <x v="1"/>
    <x v="226"/>
    <s v="eth1/29"/>
    <x v="0"/>
    <x v="1"/>
    <x v="1"/>
    <s v="VTA_Avocent_eth0"/>
    <x v="6"/>
    <b v="0"/>
    <s v="No está en VPC"/>
    <n v="421"/>
    <s v="INTPG_ACC_421_1.29"/>
    <s v="ISEL-1.29"/>
    <n v="1"/>
    <s v="NO TIENE L3OUT"/>
    <n v="72"/>
    <n v="96"/>
  </r>
  <r>
    <n v="173"/>
    <x v="0"/>
    <x v="227"/>
    <s v="eth1/29"/>
    <x v="0"/>
    <x v="1"/>
    <x v="1"/>
    <s v="ENIQ_1"/>
    <x v="6"/>
    <b v="0"/>
    <s v="No está en VPC"/>
    <n v="173"/>
    <s v="INTPG_PC_173_1.28-33"/>
    <s v="ISEL-1.29"/>
    <n v="3"/>
    <s v="NO TIENE L3OUT"/>
    <n v="66"/>
    <n v="96"/>
  </r>
  <r>
    <n v="154"/>
    <x v="0"/>
    <x v="228"/>
    <s v="eth1/29"/>
    <x v="0"/>
    <x v="0"/>
    <x v="0"/>
    <s v="DCX-8510-4B 01-03"/>
    <x v="6"/>
    <b v="0"/>
    <s v="No está en VPC"/>
    <n v="154"/>
    <s v="INTPG_ACC_154_1.29"/>
    <s v="ISEL-1.29"/>
    <n v="1"/>
    <s v="NO TIENE L3OUT"/>
    <n v="62"/>
    <n v="96"/>
  </r>
  <r>
    <n v="172"/>
    <x v="0"/>
    <x v="229"/>
    <s v="eth1/29"/>
    <x v="0"/>
    <x v="1"/>
    <x v="1"/>
    <s v="netqosKVM01"/>
    <x v="6"/>
    <b v="0"/>
    <s v="No está en VPC"/>
    <n v="172"/>
    <s v="INTPG_ACC_172_1.29"/>
    <s v="ISEL-1.29"/>
    <n v="1"/>
    <s v="NO TIENE L3OUT"/>
    <n v="104"/>
    <n v="96"/>
  </r>
  <r>
    <n v="420"/>
    <x v="1"/>
    <x v="230"/>
    <s v="eth1/29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29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29"/>
    <x v="0"/>
    <x v="0"/>
    <x v="0"/>
    <s v="To-uxingemc1 ldom1 uxsmart06"/>
    <x v="6"/>
    <b v="0"/>
    <s v="No está en VPC"/>
    <n v="415"/>
    <s v="INTPG_ACC_415_1.29"/>
    <s v="ISEL-1.29"/>
    <n v="1"/>
    <s v="NO TIENE L3OUT"/>
    <n v="52"/>
    <n v="96"/>
  </r>
  <r>
    <n v="102"/>
    <x v="0"/>
    <x v="233"/>
    <s v="eth1/29"/>
    <x v="0"/>
    <x v="1"/>
    <x v="1"/>
    <s v="SFLDI:RLDIWEB02:1"/>
    <x v="6"/>
    <b v="0"/>
    <s v="No está en VPC"/>
    <n v="102"/>
    <s v="INTPG_ACC_102_1.29"/>
    <s v="ISEL-1.29"/>
    <n v="1"/>
    <s v="NO TIENE L3OUT"/>
    <n v="228"/>
    <n v="96"/>
  </r>
  <r>
    <n v="863"/>
    <x v="2"/>
    <x v="234"/>
    <s v="eth1/29"/>
    <x v="0"/>
    <x v="0"/>
    <x v="0"/>
    <s v="To_VPC_2DCBSD_WR54_2"/>
    <x v="0"/>
    <b v="0"/>
    <s v="No está en VPC"/>
    <n v="863"/>
    <s v="INTPG_VPC_858_1.29_863_1.29"/>
    <s v="ISEL-1.29"/>
    <n v="1"/>
    <s v="NO TIENE L3OUT"/>
    <n v="8"/>
    <n v="54"/>
  </r>
  <r>
    <n v="876"/>
    <x v="2"/>
    <x v="235"/>
    <s v="eth1/29"/>
    <x v="0"/>
    <x v="0"/>
    <x v="0"/>
    <s v="A_ITHFHWSEQLCAS28_Principal"/>
    <x v="4"/>
    <b v="0"/>
    <s v="No está en VPC"/>
    <n v="876"/>
    <s v="INTPG_ACC_876_1.29"/>
    <s v="ISEL-1.29"/>
    <n v="1"/>
    <s v="NO TIENE L3OUT"/>
    <n v="92"/>
    <n v="54"/>
  </r>
  <r>
    <n v="877"/>
    <x v="2"/>
    <x v="236"/>
    <s v="eth1/29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29"/>
    <x v="1"/>
    <x v="1"/>
    <x v="2"/>
    <s v="IXTRTC5"/>
    <x v="6"/>
    <b v="0"/>
    <s v="No está en VPC"/>
    <n v="122"/>
    <s v="INTPG_ACC_122_1.29"/>
    <s v="ISEL-1.29"/>
    <n v="1"/>
    <s v="NO TIENE L3OUT"/>
    <n v="148"/>
    <n v="96"/>
  </r>
  <r>
    <n v="157"/>
    <x v="0"/>
    <x v="238"/>
    <s v="eth1/29"/>
    <x v="0"/>
    <x v="0"/>
    <x v="0"/>
    <s v="RED CRICKET"/>
    <x v="6"/>
    <b v="0"/>
    <s v="No está en VPC"/>
    <n v="157"/>
    <s v="INTPG_ACC_157_1.29"/>
    <s v="ISEL-1.29"/>
    <n v="1"/>
    <s v="NO TIENE L3OUT"/>
    <n v="202"/>
    <n v="96"/>
  </r>
  <r>
    <n v="408"/>
    <x v="1"/>
    <x v="239"/>
    <s v="eth1/29"/>
    <x v="0"/>
    <x v="0"/>
    <x v="0"/>
    <s v="FS101"/>
    <x v="6"/>
    <b v="0"/>
    <s v="No está en VPC"/>
    <n v="408"/>
    <s v="INTPG_ACC_408_1.29"/>
    <s v="ISEL-1.29"/>
    <n v="1"/>
    <s v="NO TIENE L3OUT"/>
    <n v="152"/>
    <n v="96"/>
  </r>
  <r>
    <n v="405"/>
    <x v="1"/>
    <x v="240"/>
    <s v="eth1/29"/>
    <x v="0"/>
    <x v="0"/>
    <x v="0"/>
    <s v="IXT_ARIESO7_LDR2"/>
    <x v="6"/>
    <b v="0"/>
    <s v="No está en VPC"/>
    <n v="405"/>
    <s v="INTPG_ACC_405_1.29"/>
    <s v="ISEL-1.29"/>
    <n v="1"/>
    <s v="NO TIENE L3OUT"/>
    <n v="138"/>
    <n v="96"/>
  </r>
  <r>
    <n v="169"/>
    <x v="0"/>
    <x v="241"/>
    <s v="eth1/29"/>
    <x v="0"/>
    <x v="0"/>
    <x v="0"/>
    <s v="LINKDOWN_HACIA_UCS_9UCS-IXTLA-SERV3"/>
    <x v="6"/>
    <b v="0"/>
    <s v="No está en VPC"/>
    <n v="169"/>
    <s v="INTPG_ACC_169_1.29"/>
    <s v="ISEL-1.29"/>
    <n v="1"/>
    <s v="NO TIENE L3OUT"/>
    <n v="76"/>
    <n v="96"/>
  </r>
  <r>
    <n v="165"/>
    <x v="0"/>
    <x v="242"/>
    <s v="eth1/29"/>
    <x v="0"/>
    <x v="1"/>
    <x v="1"/>
    <s v="uxnomapp"/>
    <x v="6"/>
    <b v="0"/>
    <s v="No está en VPC"/>
    <n v="165"/>
    <s v="INTPG_ACC_165_1.29"/>
    <s v="ISEL-1.29"/>
    <n v="1"/>
    <s v="NO TIENE L3OUT"/>
    <n v="86"/>
    <n v="96"/>
  </r>
  <r>
    <n v="417"/>
    <x v="1"/>
    <x v="243"/>
    <s v="eth1/29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29"/>
    <x v="0"/>
    <x v="0"/>
    <x v="0"/>
    <s v="Respaldos TSM"/>
    <x v="6"/>
    <b v="0"/>
    <s v="No está en VPC"/>
    <n v="153"/>
    <s v="INTPG_ACC_153_1.29"/>
    <s v="ISEL-1.29"/>
    <n v="1"/>
    <s v="NO TIENE L3OUT"/>
    <n v="42"/>
    <n v="96"/>
  </r>
  <r>
    <n v="119"/>
    <x v="0"/>
    <x v="245"/>
    <s v="eth1/29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29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29"/>
    <x v="0"/>
    <x v="1"/>
    <x v="1"/>
    <s v="CAMPANAS 01-02:uxobie06:ent0"/>
    <x v="6"/>
    <b v="0"/>
    <s v="No está en VPC"/>
    <n v="103"/>
    <s v="INTPG_ACC_103_1.29"/>
    <s v="ISEL-1.29"/>
    <n v="1"/>
    <s v="NO TIENE L3OUT"/>
    <n v="70"/>
    <n v="96"/>
  </r>
  <r>
    <n v="438"/>
    <x v="1"/>
    <x v="248"/>
    <s v="eth1/29"/>
    <x v="0"/>
    <x v="0"/>
    <x v="0"/>
    <s v="VBLOCK4"/>
    <x v="6"/>
    <b v="0"/>
    <s v="No está en VPC"/>
    <n v="438"/>
    <s v="INTPG_VPC_436_1.27-28_438_1.27_29"/>
    <s v="ISEL-1.29"/>
    <n v="3"/>
    <s v="NO TIENE L3OUT"/>
    <n v="170"/>
    <n v="96"/>
  </r>
  <r>
    <n v="406"/>
    <x v="1"/>
    <x v="249"/>
    <s v="eth1/29"/>
    <x v="0"/>
    <x v="0"/>
    <x v="0"/>
    <s v="PCRF1_CLT"/>
    <x v="6"/>
    <b v="0"/>
    <s v="No está en VPC"/>
    <n v="406"/>
    <s v="INTPG_VPC_404_1.29-30_406_1.29-30"/>
    <s v="ISEL-1.29"/>
    <n v="5"/>
    <s v="NO TIENE L3OUT"/>
    <n v="82"/>
    <n v="96"/>
  </r>
  <r>
    <n v="414"/>
    <x v="1"/>
    <x v="250"/>
    <s v="eth1/29"/>
    <x v="0"/>
    <x v="0"/>
    <x v="0"/>
    <s v="ITHMSVB3_ITH1"/>
    <x v="6"/>
    <b v="0"/>
    <s v="No está en VPC"/>
    <n v="414"/>
    <s v="INTPG_ACC_414_1.29"/>
    <s v="ISEL-1.29"/>
    <n v="1"/>
    <s v="NO TIENE L3OUT"/>
    <n v="144"/>
    <n v="96"/>
  </r>
  <r>
    <n v="416"/>
    <x v="1"/>
    <x v="251"/>
    <s v="eth1/29"/>
    <x v="0"/>
    <x v="0"/>
    <x v="0"/>
    <s v="DESC"/>
    <x v="6"/>
    <b v="0"/>
    <s v="No está en VPC"/>
    <n v="416"/>
    <s v="INTPG_PC_416_1.28-29"/>
    <s v="ISEL-1.29"/>
    <n v="1"/>
    <s v="NO TIENE L3OUT"/>
    <n v="110"/>
    <n v="96"/>
  </r>
  <r>
    <n v="418"/>
    <x v="1"/>
    <x v="252"/>
    <s v="eth1/29"/>
    <x v="0"/>
    <x v="0"/>
    <x v="0"/>
    <s v="DESC"/>
    <x v="6"/>
    <b v="0"/>
    <s v="No está en VPC"/>
    <n v="418"/>
    <s v="INTPG_PC_418_1.28-29"/>
    <s v="ISEL-1.29"/>
    <n v="1"/>
    <s v="NO TIENE L3OUT"/>
    <n v="152"/>
    <n v="96"/>
  </r>
  <r>
    <n v="413"/>
    <x v="1"/>
    <x v="253"/>
    <s v="eth1/29"/>
    <x v="0"/>
    <x v="0"/>
    <x v="0"/>
    <s v="lagidmhlapvp12_produccion1"/>
    <x v="6"/>
    <b v="0"/>
    <s v="No está en VPC"/>
    <n v="413"/>
    <s v="INTPG_VPC_411_1.36-39_413_1.29-32"/>
    <s v="ISEL-1.29"/>
    <n v="2"/>
    <s v="NO TIENE L3OUT"/>
    <n v="126"/>
    <n v="96"/>
  </r>
  <r>
    <n v="403"/>
    <x v="1"/>
    <x v="254"/>
    <s v="eth1/29"/>
    <x v="0"/>
    <x v="0"/>
    <x v="0"/>
    <s v="IXT_ARIESO7_LDR2"/>
    <x v="6"/>
    <b v="0"/>
    <s v="No está en VPC"/>
    <n v="403"/>
    <s v="INTPG_ACC_403_1.29"/>
    <s v="ISEL-1.29"/>
    <n v="1"/>
    <s v="NO TIENE L3OUT"/>
    <n v="150"/>
    <n v="96"/>
  </r>
  <r>
    <n v="125"/>
    <x v="0"/>
    <x v="255"/>
    <s v="eth1/29"/>
    <x v="1"/>
    <x v="1"/>
    <x v="2"/>
    <s v="Politicas de Navegacion"/>
    <x v="6"/>
    <b v="0"/>
    <s v="No está en VPC"/>
    <n v="125"/>
    <s v="INTPG_VPC_124_1.26-27_125_1.29-30"/>
    <s v="ISEL-1.29"/>
    <n v="5"/>
    <s v="NO TIENE L3OUT"/>
    <n v="72"/>
    <n v="96"/>
  </r>
  <r>
    <n v="166"/>
    <x v="0"/>
    <x v="256"/>
    <s v="eth1/29"/>
    <x v="0"/>
    <x v="0"/>
    <x v="0"/>
    <s v="NPG_DOC"/>
    <x v="6"/>
    <b v="0"/>
    <s v="No está en VPC"/>
    <n v="166"/>
    <s v="INTPG_ACC_166_1.29"/>
    <s v="ISEL-1.29"/>
    <n v="1"/>
    <s v="NO TIENE L3OUT"/>
    <n v="84"/>
    <n v="96"/>
  </r>
  <r>
    <n v="111"/>
    <x v="0"/>
    <x v="257"/>
    <s v="eth1/29"/>
    <x v="0"/>
    <x v="0"/>
    <x v="0"/>
    <s v="UXDX-DATOS"/>
    <x v="6"/>
    <b v="0"/>
    <s v="No está en VPC"/>
    <n v="111"/>
    <s v="INTPG_ACC_111_1.29"/>
    <s v="ISEL-1.29"/>
    <n v="1"/>
    <s v="NO TIENE L3OUT"/>
    <n v="58"/>
    <n v="96"/>
  </r>
  <r>
    <n v="115"/>
    <x v="0"/>
    <x v="258"/>
    <s v="eth1/29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29"/>
    <x v="0"/>
    <x v="0"/>
    <x v="0"/>
    <s v="OPEN VIEW BACK"/>
    <x v="6"/>
    <b v="0"/>
    <s v="No está en VPC"/>
    <n v="106"/>
    <s v="INTPG_ACC_106_1.29"/>
    <s v="ISEL-1.29"/>
    <n v="1"/>
    <s v="NO TIENE L3OUT"/>
    <n v="122"/>
    <n v="96"/>
  </r>
  <r>
    <n v="126"/>
    <x v="0"/>
    <x v="260"/>
    <s v="eth1/29"/>
    <x v="0"/>
    <x v="1"/>
    <x v="1"/>
    <s v="ENIQ"/>
    <x v="6"/>
    <b v="0"/>
    <s v="No está en VPC"/>
    <n v="126"/>
    <s v="INTPG_PC_126_1.25-29_36"/>
    <s v="ISEL-1.29"/>
    <n v="3"/>
    <s v="NO TIENE L3OUT"/>
    <n v="54"/>
    <n v="96"/>
  </r>
  <r>
    <n v="425"/>
    <x v="1"/>
    <x v="261"/>
    <s v="eth1/29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29"/>
    <x v="0"/>
    <x v="0"/>
    <x v="0"/>
    <s v="IXTPA1LS"/>
    <x v="6"/>
    <b v="0"/>
    <s v="No está en VPC"/>
    <n v="151"/>
    <s v="INTPG_ACC_151_1.29"/>
    <s v="ISEL-1.29"/>
    <n v="1"/>
    <s v="NO TIENE L3OUT"/>
    <n v="86"/>
    <n v="96"/>
  </r>
  <r>
    <n v="430"/>
    <x v="1"/>
    <x v="263"/>
    <s v="eth1/29"/>
    <x v="0"/>
    <x v="0"/>
    <x v="0"/>
    <s v="DESC"/>
    <x v="6"/>
    <b v="0"/>
    <s v="No está en VPC"/>
    <n v="430"/>
    <s v="INTPG_PC_430_1.29-30"/>
    <s v="ISEL-1.29"/>
    <n v="1"/>
    <s v="NO TIENE L3OUT"/>
    <n v="86"/>
    <n v="96"/>
  </r>
  <r>
    <n v="419"/>
    <x v="1"/>
    <x v="264"/>
    <s v="eth1/29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29"/>
    <x v="1"/>
    <x v="1"/>
    <x v="2"/>
    <s v="RED CRICKET"/>
    <x v="6"/>
    <b v="0"/>
    <s v="No está en VPC"/>
    <n v="155"/>
    <s v="INTPG_ACC_155_1.29"/>
    <s v="ISEL-1.29"/>
    <n v="1"/>
    <s v="NO TIENE L3OUT"/>
    <n v="198"/>
    <n v="96"/>
  </r>
  <r>
    <n v="409"/>
    <x v="1"/>
    <x v="266"/>
    <s v="eth1/29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29"/>
    <x v="0"/>
    <x v="0"/>
    <x v="0"/>
    <s v="IXTSD970B"/>
    <x v="6"/>
    <b v="0"/>
    <s v="No está en VPC"/>
    <n v="422"/>
    <s v="INTPG_ACC_422_1.29"/>
    <s v="ISEL-1.29"/>
    <n v="1"/>
    <s v="NO TIENE L3OUT"/>
    <n v="182"/>
    <n v="96"/>
  </r>
  <r>
    <n v="436"/>
    <x v="1"/>
    <x v="268"/>
    <s v="eth1/29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29"/>
    <x v="0"/>
    <x v="0"/>
    <x v="0"/>
    <s v="ITHMSNUBE1_IGB0"/>
    <x v="6"/>
    <b v="0"/>
    <s v="No está en VPC"/>
    <n v="410"/>
    <s v="INTPG_ACC_410_1.29"/>
    <s v="ISEL-1.29"/>
    <n v="1"/>
    <s v="NO TIENE L3OUT"/>
    <n v="178"/>
    <n v="96"/>
  </r>
  <r>
    <n v="161"/>
    <x v="0"/>
    <x v="270"/>
    <s v="eth1/29"/>
    <x v="0"/>
    <x v="1"/>
    <x v="1"/>
    <s v="UXOXXO02B(VTAE)"/>
    <x v="6"/>
    <b v="0"/>
    <s v="No está en VPC"/>
    <n v="161"/>
    <s v="INTPG_ACC_161_1.29"/>
    <s v="ISEL-1.29"/>
    <n v="1"/>
    <s v="NO TIENE L3OUT"/>
    <n v="102"/>
    <n v="96"/>
  </r>
  <r>
    <n v="411"/>
    <x v="1"/>
    <x v="271"/>
    <s v="eth1/29"/>
    <x v="0"/>
    <x v="0"/>
    <x v="0"/>
    <s v="To_lagidmhlapvp08_produccion1"/>
    <x v="6"/>
    <b v="0"/>
    <s v="No está en VPC"/>
    <n v="411"/>
    <s v="INTPG_VPC_411_1.26-29_413_1.19-20_22_86"/>
    <s v="ISEL-1.29"/>
    <n v="2"/>
    <s v="NO TIENE L3OUT"/>
    <n v="96"/>
    <n v="96"/>
  </r>
  <r>
    <n v="116"/>
    <x v="0"/>
    <x v="272"/>
    <s v="eth1/29"/>
    <x v="0"/>
    <x v="1"/>
    <x v="1"/>
    <s v="DATOS NETCRACKER"/>
    <x v="6"/>
    <b v="0"/>
    <s v="No está en VPC"/>
    <n v="116"/>
    <s v="INTPG_ACC_116_1.29"/>
    <s v="ISEL-1.29"/>
    <n v="1"/>
    <s v="NO TIENE L3OUT"/>
    <n v="148"/>
    <n v="96"/>
  </r>
  <r>
    <n v="412"/>
    <x v="1"/>
    <x v="273"/>
    <s v="eth1/29"/>
    <x v="0"/>
    <x v="0"/>
    <x v="0"/>
    <s v="NEC Femtocel NMS"/>
    <x v="6"/>
    <b v="0"/>
    <s v="No está en VPC"/>
    <n v="412"/>
    <s v="INTPG_ACC_412_1.29"/>
    <s v="ISEL-1.29"/>
    <n v="1"/>
    <s v="NO TIENE L3OUT"/>
    <n v="126"/>
    <n v="96"/>
  </r>
  <r>
    <n v="120"/>
    <x v="0"/>
    <x v="274"/>
    <s v="eth1/29"/>
    <x v="1"/>
    <x v="1"/>
    <x v="2"/>
    <s v="IXTRTC5"/>
    <x v="6"/>
    <b v="0"/>
    <s v="No está en VPC"/>
    <n v="120"/>
    <s v="INTPG_ACC_120_1.29"/>
    <s v="ISEL-1.29"/>
    <n v="1"/>
    <s v="NO TIENE L3OUT"/>
    <n v="158"/>
    <n v="96"/>
  </r>
  <r>
    <n v="404"/>
    <x v="1"/>
    <x v="275"/>
    <s v="eth1/29"/>
    <x v="0"/>
    <x v="0"/>
    <x v="0"/>
    <s v="PCRF1_CLT"/>
    <x v="6"/>
    <b v="0"/>
    <s v="No está en VPC"/>
    <n v="404"/>
    <s v="INTPG_VPC_404_1.29-30_406_1.29-30"/>
    <s v="ISEL-1.29"/>
    <n v="5"/>
    <s v="NO TIENE L3OUT"/>
    <n v="92"/>
    <n v="96"/>
  </r>
  <r>
    <n v="167"/>
    <x v="0"/>
    <x v="276"/>
    <s v="eth1/29"/>
    <x v="0"/>
    <x v="0"/>
    <x v="0"/>
    <s v="ESTANDAR GSS y TS"/>
    <x v="6"/>
    <b v="0"/>
    <s v="No está en VPC"/>
    <n v="167"/>
    <s v="INTPG_ACC_167_1.29"/>
    <s v="ISEL-1.29"/>
    <n v="1"/>
    <s v="NO TIENE L3OUT"/>
    <n v="68"/>
    <n v="96"/>
  </r>
  <r>
    <n v="428"/>
    <x v="1"/>
    <x v="277"/>
    <s v="eth1/29"/>
    <x v="0"/>
    <x v="0"/>
    <x v="0"/>
    <s v="DESC"/>
    <x v="6"/>
    <b v="0"/>
    <s v="No está en VPC"/>
    <n v="428"/>
    <s v="INTPG_PC_428_1.29-30"/>
    <s v="ISEL-1.29"/>
    <n v="1"/>
    <s v="NO TIENE L3OUT"/>
    <n v="102"/>
    <n v="96"/>
  </r>
  <r>
    <n v="903"/>
    <x v="2"/>
    <x v="278"/>
    <s v="eth1/29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29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3"/>
    <x v="0"/>
    <x v="0"/>
    <x v="0"/>
    <s v="HUECOS DC_S1"/>
    <x v="0"/>
    <b v="0"/>
    <s v="No está en VPC"/>
    <n v="128"/>
    <s v="INTPG_VPC_128_1.1-6_129_1.1-6"/>
    <s v="ISEL-1.3"/>
    <n v="1"/>
    <s v="NO TIENE L3OUT"/>
    <n v="0"/>
    <n v="54"/>
  </r>
  <r>
    <n v="123"/>
    <x v="0"/>
    <x v="1"/>
    <s v="eth1/3"/>
    <x v="0"/>
    <x v="0"/>
    <x v="0"/>
    <s v="DASHBD02.19.8"/>
    <x v="1"/>
    <b v="0"/>
    <s v="No está en VPC"/>
    <n v="123"/>
    <s v="INTPG_ACC_123_1.3"/>
    <s v="ISEL-1.3"/>
    <n v="1"/>
    <s v="NO TIENE L3OUT"/>
    <n v="20"/>
    <n v="54"/>
  </r>
  <r>
    <n v="152"/>
    <x v="0"/>
    <x v="2"/>
    <s v="eth1/3"/>
    <x v="0"/>
    <x v="0"/>
    <x v="0"/>
    <s v="DASHBOARD"/>
    <x v="1"/>
    <b v="0"/>
    <s v="No está en VPC"/>
    <n v="152"/>
    <s v="INTPG_ACC_152_1.3"/>
    <s v="ISEL-1.3"/>
    <n v="1"/>
    <s v="NO TIENE L3OUT"/>
    <n v="38"/>
    <n v="54"/>
  </r>
  <r>
    <n v="101"/>
    <x v="0"/>
    <x v="3"/>
    <s v="eth1/3"/>
    <x v="0"/>
    <x v="0"/>
    <x v="0"/>
    <s v="DESC"/>
    <x v="0"/>
    <b v="0"/>
    <s v="No está en VPC"/>
    <n v="101"/>
    <s v="INTPG_PC_101_1.3-5"/>
    <s v="ISEL-1.3"/>
    <n v="15"/>
    <s v="NO TIENE L3OUT"/>
    <n v="114"/>
    <n v="54"/>
  </r>
  <r>
    <n v="160"/>
    <x v="0"/>
    <x v="4"/>
    <s v="eth1/3"/>
    <x v="0"/>
    <x v="1"/>
    <x v="1"/>
    <s v="TRAP"/>
    <x v="1"/>
    <b v="0"/>
    <s v="No está en VPC"/>
    <n v="160"/>
    <s v="INTPG_PC_160_1.3-8"/>
    <s v="ISEL-1.3"/>
    <n v="12"/>
    <s v="NO TIENE L3OUT"/>
    <n v="68"/>
    <n v="54"/>
  </r>
  <r>
    <n v="121"/>
    <x v="0"/>
    <x v="5"/>
    <s v="eth1/3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3"/>
    <x v="0"/>
    <x v="0"/>
    <x v="0"/>
    <s v="HUECOS DC_S1"/>
    <x v="0"/>
    <b v="0"/>
    <s v="No está en VPC"/>
    <n v="129"/>
    <s v="INTPG_VPC_128_1.1-6_129_1.1-6"/>
    <s v="ISEL-1.3"/>
    <n v="1"/>
    <s v="NO TIENE L3OUT"/>
    <n v="0"/>
    <n v="54"/>
  </r>
  <r>
    <n v="401"/>
    <x v="1"/>
    <x v="7"/>
    <s v="eth1/3"/>
    <x v="0"/>
    <x v="0"/>
    <x v="0"/>
    <s v="TO-ITHFDEILDPRAP01"/>
    <x v="0"/>
    <b v="0"/>
    <s v="No está en VPC"/>
    <n v="401"/>
    <s v="INTPG_VPC_401_1.3_402_1.3"/>
    <s v="ISEL-1.3"/>
    <n v="3"/>
    <s v="NO TIENE L3OUT"/>
    <n v="40"/>
    <n v="54"/>
  </r>
  <r>
    <n v="402"/>
    <x v="1"/>
    <x v="8"/>
    <s v="eth1/3"/>
    <x v="0"/>
    <x v="0"/>
    <x v="0"/>
    <s v="TO-ITHFDEILDPRAP01"/>
    <x v="0"/>
    <b v="0"/>
    <s v="No está en VPC"/>
    <n v="402"/>
    <s v="INTPG_VPC_401_1.3_402_1.3"/>
    <s v="ISEL-1.3"/>
    <n v="3"/>
    <s v="NO TIENE L3OUT"/>
    <n v="36"/>
    <n v="54"/>
  </r>
  <r>
    <n v="447"/>
    <x v="1"/>
    <x v="9"/>
    <s v="eth1/3"/>
    <x v="0"/>
    <x v="0"/>
    <x v="0"/>
    <s v="YB_RESPALDOS_ETH-TRUNK_3"/>
    <x v="2"/>
    <b v="0"/>
    <s v="No está en VPC"/>
    <n v="447"/>
    <s v="INTPG_VPC_445_1.3_447_1.3"/>
    <s v="ISEL-1.3"/>
    <n v="1"/>
    <s v="NO TIENE L3OUT"/>
    <n v="16"/>
    <n v="42"/>
  </r>
  <r>
    <n v="445"/>
    <x v="1"/>
    <x v="10"/>
    <s v="eth1/3"/>
    <x v="0"/>
    <x v="0"/>
    <x v="0"/>
    <s v="YB_RESPALDOS_ETH-TRUNK_3"/>
    <x v="2"/>
    <b v="0"/>
    <s v="No está en VPC"/>
    <n v="445"/>
    <s v="INTPG_VPC_445_1.3_447_1.3"/>
    <s v="ISEL-1.3"/>
    <n v="1"/>
    <s v="NO TIENE L3OUT"/>
    <n v="16"/>
    <n v="42"/>
  </r>
  <r>
    <n v="130"/>
    <x v="0"/>
    <x v="11"/>
    <s v="eth1/3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3"/>
    <x v="0"/>
    <x v="0"/>
    <x v="0"/>
    <s v="DESC"/>
    <x v="0"/>
    <b v="0"/>
    <s v="No está en VPC"/>
    <n v="150"/>
    <s v="INTPG_PC_150_1.3-5"/>
    <s v="ISEL-1.3"/>
    <n v="15"/>
    <s v="NO TIENE L3OUT"/>
    <n v="118"/>
    <n v="54"/>
  </r>
  <r>
    <n v="131"/>
    <x v="0"/>
    <x v="13"/>
    <s v="eth1/3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3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3"/>
    <x v="0"/>
    <x v="0"/>
    <x v="0"/>
    <s v="TelcelCloudStack:ithhwtcs02en01:2X 40G P1"/>
    <x v="2"/>
    <b v="0"/>
    <s v="No está en VPC"/>
    <n v="758"/>
    <s v="INTPG_VPC_758_1.3-4_759_1.3-4"/>
    <s v="ISEL-1.3"/>
    <n v="124"/>
    <s v="NO TIENE L3OUT"/>
    <n v="0"/>
    <n v="42"/>
  </r>
  <r>
    <n v="759"/>
    <x v="2"/>
    <x v="16"/>
    <s v="eth1/3"/>
    <x v="0"/>
    <x v="0"/>
    <x v="0"/>
    <s v="TelcelCloudStack:ithhwtcs02en01:3X 40G P1"/>
    <x v="2"/>
    <b v="0"/>
    <s v="No está en VPC"/>
    <n v="759"/>
    <s v="INTPG_VPC_758_1.3-4_759_1.3-4"/>
    <s v="ISEL-1.3"/>
    <n v="124"/>
    <s v="NO TIENE L3OUT"/>
    <n v="0"/>
    <n v="42"/>
  </r>
  <r>
    <n v="302"/>
    <x v="0"/>
    <x v="17"/>
    <s v="eth1/3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3"/>
    <x v="0"/>
    <x v="0"/>
    <x v="0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3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3"/>
    <x v="0"/>
    <x v="0"/>
    <x v="0"/>
    <s v="HUECOS DC_S2"/>
    <x v="0"/>
    <b v="0"/>
    <s v="No está en VPC"/>
    <n v="452"/>
    <s v="INTPG_VPC_450_1.1-6_452_1.1-6"/>
    <s v="ISEL-1.3"/>
    <n v="1"/>
    <s v="NO TIENE L3OUT"/>
    <n v="0"/>
    <n v="54"/>
  </r>
  <r>
    <n v="450"/>
    <x v="1"/>
    <x v="21"/>
    <s v="eth1/3"/>
    <x v="0"/>
    <x v="0"/>
    <x v="0"/>
    <s v="HUECOS DC_S2"/>
    <x v="0"/>
    <b v="0"/>
    <s v="No está en VPC"/>
    <n v="450"/>
    <s v="INTPG_VPC_450_1.1-6_452_1.1-6"/>
    <s v="ISEL-1.3"/>
    <n v="1"/>
    <s v="NO TIENE L3OUT"/>
    <n v="0"/>
    <n v="54"/>
  </r>
  <r>
    <n v="727"/>
    <x v="2"/>
    <x v="22"/>
    <s v="eth1/3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3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3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3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3"/>
    <x v="0"/>
    <x v="0"/>
    <x v="0"/>
    <s v="HUAWEI_CLOUD_FASE2_LAG2"/>
    <x v="0"/>
    <b v="0"/>
    <s v="No está en VPC"/>
    <n v="431"/>
    <s v="INTPG_VPC_431_1.3-4_448_1.3-4"/>
    <s v="ISEL-1.3"/>
    <n v="45"/>
    <s v="NO TIENE L3OUT"/>
    <n v="46"/>
    <n v="54"/>
  </r>
  <r>
    <n v="433"/>
    <x v="1"/>
    <x v="27"/>
    <s v="eth1/3"/>
    <x v="0"/>
    <x v="0"/>
    <x v="0"/>
    <s v="HUAWEI_CLOUD_GAPS_PRODUC_LAG"/>
    <x v="1"/>
    <b v="0"/>
    <s v="No está en VPC"/>
    <n v="433"/>
    <s v="INTPG_VPC_433_1.3-4_435_1.3-4"/>
    <s v="ISEL-1.3"/>
    <n v="2"/>
    <s v="NO TIENE L3OUT"/>
    <n v="42"/>
    <n v="54"/>
  </r>
  <r>
    <n v="429"/>
    <x v="1"/>
    <x v="28"/>
    <s v="eth1/3"/>
    <x v="0"/>
    <x v="0"/>
    <x v="0"/>
    <s v="FASE_1.5_REDKNEE_produccion_3_client_LAG"/>
    <x v="1"/>
    <b v="0"/>
    <s v="No está en VPC"/>
    <n v="429"/>
    <s v="INTPG_VPC_427_1.4-5_429_1.2-3"/>
    <s v="ISEL-1.3"/>
    <n v="5"/>
    <s v="NO TIENE L3OUT"/>
    <n v="8"/>
    <n v="54"/>
  </r>
  <r>
    <n v="432"/>
    <x v="1"/>
    <x v="29"/>
    <s v="eth1/3"/>
    <x v="0"/>
    <x v="0"/>
    <x v="0"/>
    <s v="SSO"/>
    <x v="1"/>
    <b v="0"/>
    <s v="No está en VPC"/>
    <n v="432"/>
    <s v="INTPG_ACC_432_1.3"/>
    <s v="ISEL-1.3"/>
    <n v="1"/>
    <s v="NO TIENE L3OUT"/>
    <n v="54"/>
    <n v="54"/>
  </r>
  <r>
    <n v="442"/>
    <x v="1"/>
    <x v="30"/>
    <s v="eth1/3"/>
    <x v="0"/>
    <x v="0"/>
    <x v="0"/>
    <s v="INTELIGN_COMERCIAL_LAG2"/>
    <x v="1"/>
    <b v="0"/>
    <s v="No está en VPC"/>
    <n v="442"/>
    <s v="INTPG_VPC_440_1.3_442_1.3"/>
    <s v="ISEL-1.3"/>
    <n v="1"/>
    <s v="NO TIENE L3OUT"/>
    <n v="18"/>
    <n v="54"/>
  </r>
  <r>
    <n v="434"/>
    <x v="1"/>
    <x v="31"/>
    <s v="eth1/3"/>
    <x v="0"/>
    <x v="0"/>
    <x v="0"/>
    <s v="TO-uxidmbd-MGT"/>
    <x v="1"/>
    <b v="0"/>
    <s v="No está en VPC"/>
    <n v="434"/>
    <s v="INTPG_ACC_434_1.3"/>
    <s v="ISEL-1.3"/>
    <n v="1"/>
    <s v="NO TIENE L3OUT"/>
    <n v="34"/>
    <n v="54"/>
  </r>
  <r>
    <n v="707"/>
    <x v="2"/>
    <x v="32"/>
    <s v="eth1/3"/>
    <x v="0"/>
    <x v="0"/>
    <x v="0"/>
    <s v="CEM:ITHCEMG2DAT02:LOM P1"/>
    <x v="0"/>
    <b v="0"/>
    <s v="No está en VPC"/>
    <n v="707"/>
    <s v="INTPG_ACC_707_1.3"/>
    <s v="ISEL-1.3"/>
    <n v="1"/>
    <s v="NO TIENE L3OUT"/>
    <n v="54"/>
    <n v="54"/>
  </r>
  <r>
    <n v="712"/>
    <x v="2"/>
    <x v="33"/>
    <s v="eth1/3"/>
    <x v="0"/>
    <x v="0"/>
    <x v="0"/>
    <s v="CEM:ITHCEMB2DAT02:LOM P1"/>
    <x v="0"/>
    <b v="0"/>
    <s v="No está en VPC"/>
    <n v="712"/>
    <s v="INTPG_ACC_712_1.3"/>
    <s v="ISEL-1.3"/>
    <n v="1"/>
    <s v="NO TIENE L3OUT"/>
    <n v="32"/>
    <n v="54"/>
  </r>
  <r>
    <n v="719"/>
    <x v="2"/>
    <x v="34"/>
    <s v="eth1/3"/>
    <x v="0"/>
    <x v="0"/>
    <x v="0"/>
    <m/>
    <x v="0"/>
    <b v="0"/>
    <s v="No está en VPC"/>
    <n v="719"/>
    <s v="INTPG-VPC_HDD06_719_1.3_720_1.4"/>
    <s v="ISEL-1.3"/>
    <n v="1"/>
    <s v="NO TIENE L3OUT"/>
    <n v="0"/>
    <n v="54"/>
  </r>
  <r>
    <n v="715"/>
    <x v="2"/>
    <x v="35"/>
    <s v="eth1/3"/>
    <x v="0"/>
    <x v="0"/>
    <x v="0"/>
    <m/>
    <x v="0"/>
    <b v="0"/>
    <s v="No está en VPC"/>
    <n v="715"/>
    <s v="INTPG-VPC_HDD47_715_1.3_716_1.4"/>
    <s v="ISEL-1.3"/>
    <n v="1"/>
    <s v="NO TIENE L3OUT"/>
    <n v="0"/>
    <n v="54"/>
  </r>
  <r>
    <n v="427"/>
    <x v="1"/>
    <x v="36"/>
    <s v="eth1/3"/>
    <x v="0"/>
    <x v="0"/>
    <x v="0"/>
    <s v="FASE_1.5_REDKNEE_produccion_4_client_LAG"/>
    <x v="1"/>
    <b v="0"/>
    <s v="No está en VPC"/>
    <n v="427"/>
    <s v="INTPG_VPC_427_1.2-3_429_1.5-6"/>
    <s v="ISEL-1.3"/>
    <n v="2"/>
    <s v="NO TIENE L3OUT"/>
    <n v="10"/>
    <n v="54"/>
  </r>
  <r>
    <n v="711"/>
    <x v="2"/>
    <x v="37"/>
    <s v="eth1/3"/>
    <x v="0"/>
    <x v="0"/>
    <x v="0"/>
    <s v="CEM:ITHCEMC2DAT02:LOM P1"/>
    <x v="0"/>
    <b v="0"/>
    <s v="No está en VPC"/>
    <n v="711"/>
    <s v="INTPG_ACC_711_1.3"/>
    <s v="ISEL-1.3"/>
    <n v="1"/>
    <s v="NO TIENE L3OUT"/>
    <n v="16"/>
    <n v="54"/>
  </r>
  <r>
    <n v="716"/>
    <x v="2"/>
    <x v="38"/>
    <s v="eth1/3"/>
    <x v="0"/>
    <x v="0"/>
    <x v="0"/>
    <m/>
    <x v="0"/>
    <b v="0"/>
    <s v="No está en VPC"/>
    <n v="716"/>
    <s v="INTPG-VPC_HDD38_716_1.3_715_1.4"/>
    <s v="ISEL-1.3"/>
    <n v="1"/>
    <s v="NO TIENE L3OUT"/>
    <n v="0"/>
    <n v="54"/>
  </r>
  <r>
    <n v="702"/>
    <x v="2"/>
    <x v="39"/>
    <s v="eth1/3"/>
    <x v="0"/>
    <x v="0"/>
    <x v="0"/>
    <m/>
    <x v="0"/>
    <b v="0"/>
    <s v="No está en VPC"/>
    <n v="702"/>
    <s v="INTPG_VPC_702_1.3_701_1.4"/>
    <s v="ISEL-1.3"/>
    <n v="1"/>
    <s v="NO TIENE L3OUT"/>
    <n v="0"/>
    <n v="54"/>
  </r>
  <r>
    <n v="435"/>
    <x v="1"/>
    <x v="40"/>
    <s v="eth1/3"/>
    <x v="0"/>
    <x v="0"/>
    <x v="0"/>
    <s v="HUAWEI_CLOUD_GAPS_PRODUC_LAG"/>
    <x v="1"/>
    <b v="0"/>
    <s v="No está en VPC"/>
    <n v="435"/>
    <s v="INTPG_VPC_433_1.3-4_435_1.3-4"/>
    <s v="ISEL-1.3"/>
    <n v="2"/>
    <s v="NO TIENE L3OUT"/>
    <n v="34"/>
    <n v="54"/>
  </r>
  <r>
    <n v="446"/>
    <x v="1"/>
    <x v="41"/>
    <s v="eth1/3"/>
    <x v="0"/>
    <x v="0"/>
    <x v="0"/>
    <m/>
    <x v="0"/>
    <b v="0"/>
    <s v="No está en VPC"/>
    <n v="446"/>
    <s v="INTPG_ACC_446_1.3"/>
    <s v="ISEL-1.3"/>
    <n v="9"/>
    <s v="NO TIENE L3OUT"/>
    <n v="198"/>
    <n v="54"/>
  </r>
  <r>
    <n v="444"/>
    <x v="1"/>
    <x v="42"/>
    <s v="eth1/3"/>
    <x v="0"/>
    <x v="0"/>
    <x v="0"/>
    <s v="TO-ITHFHPNBURBKP04"/>
    <x v="0"/>
    <b v="0"/>
    <s v="No está en VPC"/>
    <n v="444"/>
    <s v="INTPG_VPC_444_1.3_446_1.4"/>
    <s v="ISEL-1.3"/>
    <n v="1"/>
    <s v="NO TIENE L3OUT"/>
    <n v="234"/>
    <n v="54"/>
  </r>
  <r>
    <n v="701"/>
    <x v="2"/>
    <x v="43"/>
    <s v="eth1/3"/>
    <x v="0"/>
    <x v="0"/>
    <x v="0"/>
    <m/>
    <x v="0"/>
    <b v="0"/>
    <s v="No está en VPC"/>
    <n v="701"/>
    <s v="INTPG_VPC_701_1.3_702_1.4"/>
    <s v="ISEL-1.3"/>
    <n v="1"/>
    <s v="NO TIENE L3OUT"/>
    <n v="0"/>
    <n v="54"/>
  </r>
  <r>
    <n v="440"/>
    <x v="1"/>
    <x v="44"/>
    <s v="eth1/3"/>
    <x v="0"/>
    <x v="0"/>
    <x v="0"/>
    <s v="INTELIGN_COMERCIAL_LAG2"/>
    <x v="1"/>
    <b v="0"/>
    <s v="No está en VPC"/>
    <n v="440"/>
    <s v="INTPG_VPC_440_1.3_442_1.3"/>
    <s v="ISEL-1.3"/>
    <n v="1"/>
    <s v="NO TIENE L3OUT"/>
    <n v="22"/>
    <n v="54"/>
  </r>
  <r>
    <n v="448"/>
    <x v="1"/>
    <x v="45"/>
    <s v="eth1/3"/>
    <x v="0"/>
    <x v="0"/>
    <x v="0"/>
    <s v="HUAWEI_CLOUD_FASE2_LAG2"/>
    <x v="0"/>
    <b v="0"/>
    <s v="No está en VPC"/>
    <n v="448"/>
    <s v="INTPG_VPC_431_1.3-4_448_1.3-4"/>
    <s v="ISEL-1.3"/>
    <n v="45"/>
    <s v="NO TIENE L3OUT"/>
    <n v="46"/>
    <n v="54"/>
  </r>
  <r>
    <n v="704"/>
    <x v="2"/>
    <x v="46"/>
    <s v="eth1/3"/>
    <x v="0"/>
    <x v="0"/>
    <x v="0"/>
    <m/>
    <x v="0"/>
    <b v="0"/>
    <s v="No está en VPC"/>
    <n v="704"/>
    <s v="INTPG_VPC_704_1.3_703_1.4"/>
    <s v="ISEL-1.3"/>
    <n v="1"/>
    <s v="NO TIENE L3OUT"/>
    <n v="0"/>
    <n v="54"/>
  </r>
  <r>
    <n v="729"/>
    <x v="2"/>
    <x v="47"/>
    <s v="eth1/3"/>
    <x v="0"/>
    <x v="0"/>
    <x v="0"/>
    <s v="eth-trunk-21"/>
    <x v="0"/>
    <b v="0"/>
    <s v="No está en VPC"/>
    <n v="729"/>
    <s v="INTPG_VPC_728_1.2-3_729_1.2-3"/>
    <s v="ISEL-1.3"/>
    <n v="10"/>
    <s v="NO TIENE L3OUT"/>
    <n v="4"/>
    <n v="54"/>
  </r>
  <r>
    <n v="728"/>
    <x v="2"/>
    <x v="48"/>
    <s v="eth1/3"/>
    <x v="0"/>
    <x v="0"/>
    <x v="0"/>
    <s v="eth-trunk-21"/>
    <x v="0"/>
    <b v="0"/>
    <s v="No está en VPC"/>
    <n v="728"/>
    <s v="INTPG_VPC_728_1.2-3_729_1.2-3"/>
    <s v="ISEL-1.3"/>
    <n v="10"/>
    <s v="NO TIENE L3OUT"/>
    <n v="2"/>
    <n v="54"/>
  </r>
  <r>
    <n v="456"/>
    <x v="1"/>
    <x v="49"/>
    <s v="eth1/3"/>
    <x v="0"/>
    <x v="0"/>
    <x v="0"/>
    <s v="HACIA_CSI-A-OSCP-F4-07_SECUNDARIO"/>
    <x v="4"/>
    <b v="0"/>
    <s v="No está en VPC"/>
    <n v="456"/>
    <s v="INTPG_VPC_454_1.3_456_1.3"/>
    <s v="ISEL-1.3"/>
    <n v="2"/>
    <s v="NO TIENE L3OUT"/>
    <n v="4"/>
    <n v="54"/>
  </r>
  <r>
    <n v="603"/>
    <x v="1"/>
    <x v="50"/>
    <s v="eth1/3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3"/>
    <x v="0"/>
    <x v="0"/>
    <x v="0"/>
    <s v="CRM, CBS:ITHHWBESRK11CH1:X3-10GE 1"/>
    <x v="0"/>
    <b v="0"/>
    <s v="No está en VPC"/>
    <n v="746"/>
    <s v="INTPG_VPC_745_1.2-3_746_1.2-3"/>
    <s v="ISEL-1.3"/>
    <n v="5"/>
    <s v="NO TIENE L3OUT"/>
    <n v="0"/>
    <n v="54"/>
  </r>
  <r>
    <n v="745"/>
    <x v="2"/>
    <x v="52"/>
    <s v="eth1/3"/>
    <x v="0"/>
    <x v="0"/>
    <x v="0"/>
    <s v="CRM, CBS:PR-R11-F08:X3-10GE 2"/>
    <x v="0"/>
    <b v="0"/>
    <s v="No está en VPC"/>
    <n v="745"/>
    <s v="INTPG_VPC_745_1.2-3_746_1.2-3"/>
    <s v="ISEL-1.3"/>
    <n v="5"/>
    <s v="NO TIENE L3OUT"/>
    <n v="0"/>
    <n v="54"/>
  </r>
  <r>
    <n v="730"/>
    <x v="2"/>
    <x v="53"/>
    <s v="eth1/3"/>
    <x v="0"/>
    <x v="0"/>
    <x v="0"/>
    <s v="eth-trunk11"/>
    <x v="0"/>
    <b v="0"/>
    <s v="No está en VPC"/>
    <n v="730"/>
    <s v="INTPG_VPC_730_1.2-3_731_1.2-3"/>
    <s v="ISEL-1.3"/>
    <n v="8"/>
    <s v="NO TIENE L3OUT"/>
    <n v="36"/>
    <n v="54"/>
  </r>
  <r>
    <n v="722"/>
    <x v="2"/>
    <x v="54"/>
    <s v="eth1/3"/>
    <x v="0"/>
    <x v="0"/>
    <x v="0"/>
    <m/>
    <x v="0"/>
    <b v="0"/>
    <s v="No está en VPC"/>
    <n v="722"/>
    <s v="INTPG-VPC_HDD132_722_1.3_723_1.4"/>
    <s v="ISEL-1.3"/>
    <n v="1"/>
    <s v="NO TIENE L3OUT"/>
    <n v="0"/>
    <n v="54"/>
  </r>
  <r>
    <n v="733"/>
    <x v="2"/>
    <x v="55"/>
    <s v="eth1/3"/>
    <x v="0"/>
    <x v="0"/>
    <x v="0"/>
    <s v="TO-TESTBED"/>
    <x v="0"/>
    <b v="0"/>
    <s v="No está en VPC"/>
    <n v="733"/>
    <s v="INTPG_VPC_732_1.2-3_733_1.2-3"/>
    <s v="ISEL-1.3"/>
    <n v="3"/>
    <s v="NO TIENE L3OUT"/>
    <n v="0"/>
    <n v="54"/>
  </r>
  <r>
    <n v="755"/>
    <x v="2"/>
    <x v="56"/>
    <s v="eth1/3"/>
    <x v="0"/>
    <x v="0"/>
    <x v="0"/>
    <s v="OSS F1:ithenmr06bl01nas1r9b:PORT 1"/>
    <x v="0"/>
    <b v="0"/>
    <s v="No está en VPC"/>
    <n v="755"/>
    <s v="INTPG_PC_755_1.3-6"/>
    <s v="ISEL-1.3"/>
    <n v="1"/>
    <s v="NO TIENE L3OUT"/>
    <n v="52"/>
    <n v="54"/>
  </r>
  <r>
    <n v="748"/>
    <x v="2"/>
    <x v="57"/>
    <s v="eth1/3"/>
    <x v="0"/>
    <x v="0"/>
    <x v="0"/>
    <s v="trunk12 Bes-Production"/>
    <x v="0"/>
    <b v="0"/>
    <s v="No está en VPC"/>
    <n v="748"/>
    <s v="INTPG_VPC_748_1.2_3_749_1.2_3"/>
    <s v="ISEL-1.3"/>
    <n v="6"/>
    <s v="NO TIENE L3OUT"/>
    <n v="2"/>
    <n v="54"/>
  </r>
  <r>
    <n v="756"/>
    <x v="2"/>
    <x v="58"/>
    <s v="eth1/3"/>
    <x v="0"/>
    <x v="0"/>
    <x v="0"/>
    <s v="OSS F1:ithenmr08bl01nas1r9a:PCIe3 Slot 1/1"/>
    <x v="0"/>
    <b v="0"/>
    <s v="No está en VPC"/>
    <n v="756"/>
    <s v="INTPG_PC_756_1.1-4"/>
    <s v="ISEL-1.3"/>
    <n v="1"/>
    <s v="NO TIENE L3OUT"/>
    <n v="64"/>
    <n v="54"/>
  </r>
  <r>
    <n v="754"/>
    <x v="2"/>
    <x v="59"/>
    <s v="eth1/3"/>
    <x v="0"/>
    <x v="0"/>
    <x v="0"/>
    <s v="OSS F1:ithenmr04bl03lms1r9b:PCIe3 Slot 1/1"/>
    <x v="0"/>
    <b v="0"/>
    <s v="No está en VPC"/>
    <n v="754"/>
    <s v="INTPG_ACC_754_1.3"/>
    <s v="ISEL-1.3"/>
    <n v="1"/>
    <s v="NO TIENE L3OUT"/>
    <n v="62"/>
    <n v="54"/>
  </r>
  <r>
    <n v="751"/>
    <x v="2"/>
    <x v="60"/>
    <s v="eth1/3"/>
    <x v="0"/>
    <x v="0"/>
    <x v="0"/>
    <s v="trunk16 Bes-Production"/>
    <x v="0"/>
    <b v="0"/>
    <s v="No está en VPC"/>
    <n v="751"/>
    <s v="INTPG_VPC_750_1.2_3_751_1.2_3"/>
    <s v="ISEL-1.3"/>
    <n v="6"/>
    <s v="NO TIENE L3OUT"/>
    <n v="0"/>
    <n v="54"/>
  </r>
  <r>
    <n v="769"/>
    <x v="2"/>
    <x v="61"/>
    <s v="eth1/3"/>
    <x v="0"/>
    <x v="0"/>
    <x v="0"/>
    <s v="Portchannel_6_R4A"/>
    <x v="0"/>
    <b v="0"/>
    <s v="No está en VPC"/>
    <n v="769"/>
    <s v="INTPG_PC_769_1.3-6"/>
    <s v="ISEL-1.3"/>
    <n v="1"/>
    <s v="NO TIENE L3OUT"/>
    <n v="60"/>
    <n v="54"/>
  </r>
  <r>
    <n v="742"/>
    <x v="2"/>
    <x v="62"/>
    <s v="eth1/3"/>
    <x v="0"/>
    <x v="1"/>
    <x v="1"/>
    <s v="CEM:ITHCEMA2DAT02:LOM P3"/>
    <x v="5"/>
    <b v="0"/>
    <s v="No está en VPC"/>
    <n v="742"/>
    <s v="INTPG_ACC_742_1.3"/>
    <s v="ISEL-1.3"/>
    <n v="1"/>
    <s v="NO TIENE L3OUT"/>
    <n v="64"/>
    <n v="54"/>
  </r>
  <r>
    <n v="763"/>
    <x v="2"/>
    <x v="63"/>
    <s v="eth1/3"/>
    <x v="0"/>
    <x v="0"/>
    <x v="0"/>
    <s v="PAAS:ithhwoscopap003:LOM PORT 3"/>
    <x v="0"/>
    <b v="0"/>
    <s v="No está en VPC"/>
    <n v="763"/>
    <s v="INTPG_VPC_762_1.3_763_1.3"/>
    <s v="ISEL-1.3"/>
    <n v="1"/>
    <s v="NO TIENE L3OUT"/>
    <n v="2"/>
    <n v="54"/>
  </r>
  <r>
    <n v="766"/>
    <x v="2"/>
    <x v="64"/>
    <s v="eth1/3"/>
    <x v="0"/>
    <x v="0"/>
    <x v="0"/>
    <s v="Portchannel_1_R6B"/>
    <x v="0"/>
    <b v="0"/>
    <s v="No está en VPC"/>
    <n v="766"/>
    <s v="INTPG_PC_766_1.1-4"/>
    <s v="ISEL-1.3"/>
    <n v="2"/>
    <s v="NO TIENE L3OUT"/>
    <n v="58"/>
    <n v="54"/>
  </r>
  <r>
    <n v="760"/>
    <x v="2"/>
    <x v="65"/>
    <s v="eth1/3"/>
    <x v="0"/>
    <x v="1"/>
    <x v="1"/>
    <m/>
    <x v="0"/>
    <b v="0"/>
    <s v="No está en VPC"/>
    <n v="760"/>
    <s v="INTPG_VPC_760_1.1-4_761_1.1-4"/>
    <s v="ISEL-1.3"/>
    <n v="0"/>
    <s v="L3OUT-EXACLOUD"/>
    <n v="0"/>
    <n v="54"/>
  </r>
  <r>
    <n v="752"/>
    <x v="2"/>
    <x v="66"/>
    <s v="eth1/3"/>
    <x v="0"/>
    <x v="0"/>
    <x v="0"/>
    <s v="PAAS:ithhwoscopap001:Slot4.1"/>
    <x v="0"/>
    <b v="0"/>
    <s v="No está en VPC"/>
    <n v="752"/>
    <s v="INTPG_VPC_747_1.3_752_1.3"/>
    <s v="ISEL-1.3"/>
    <n v="25"/>
    <s v="NO TIENE L3OUT"/>
    <n v="0"/>
    <n v="54"/>
  </r>
  <r>
    <n v="765"/>
    <x v="2"/>
    <x v="67"/>
    <s v="eth1/3"/>
    <x v="0"/>
    <x v="0"/>
    <x v="0"/>
    <s v="Portchannel_6_R6A"/>
    <x v="0"/>
    <b v="0"/>
    <s v="No está en VPC"/>
    <n v="765"/>
    <s v="INTPG_PC_765_1.1-4"/>
    <s v="ISEL-1.3"/>
    <n v="1"/>
    <s v="NO TIENE L3OUT"/>
    <n v="60"/>
    <n v="54"/>
  </r>
  <r>
    <n v="778"/>
    <x v="2"/>
    <x v="68"/>
    <s v="eth1/3"/>
    <x v="0"/>
    <x v="0"/>
    <x v="0"/>
    <s v="ENIQ F1:itheniqr07nas1r2:LOM PORT 1"/>
    <x v="0"/>
    <b v="0"/>
    <s v="No está en VPC"/>
    <n v="778"/>
    <s v="INTPG_PC_778_1.3-6"/>
    <s v="ISEL-1.3"/>
    <n v="1"/>
    <s v="NO TIENE L3OUT"/>
    <n v="26"/>
    <n v="54"/>
  </r>
  <r>
    <n v="780"/>
    <x v="2"/>
    <x v="69"/>
    <s v="eth1/3"/>
    <x v="0"/>
    <x v="0"/>
    <x v="0"/>
    <s v="LACP_NAS1_ENIQ1"/>
    <x v="0"/>
    <b v="0"/>
    <s v="No está en VPC"/>
    <n v="780"/>
    <s v="INTPG_PC_780_1.3-6"/>
    <s v="ISEL-1.3"/>
    <n v="1"/>
    <s v="NO TIENE L3OUT"/>
    <n v="26"/>
    <n v="54"/>
  </r>
  <r>
    <n v="812"/>
    <x v="2"/>
    <x v="70"/>
    <s v="eth1/3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3"/>
    <x v="0"/>
    <x v="0"/>
    <x v="0"/>
    <s v="ITHFHWTSHNLCN02_VMs-02_Taishan_IT"/>
    <x v="0"/>
    <b v="0"/>
    <s v="No está en VPC"/>
    <n v="796"/>
    <s v="INTPG_VPC_795_1.3_796_1.3"/>
    <s v="ISEL-1.3"/>
    <n v="14"/>
    <s v="NO TIENE L3OUT"/>
    <n v="18"/>
    <n v="54"/>
  </r>
  <r>
    <n v="795"/>
    <x v="2"/>
    <x v="72"/>
    <s v="eth1/3"/>
    <x v="0"/>
    <x v="0"/>
    <x v="0"/>
    <s v="ITHFHWTSHNLCN02_VMs-02_Taishan_IT"/>
    <x v="0"/>
    <b v="0"/>
    <s v="No está en VPC"/>
    <n v="795"/>
    <s v="INTPG_VPC_795_1.3_796_1.3"/>
    <s v="ISEL-1.3"/>
    <n v="14"/>
    <s v="NO TIENE L3OUT"/>
    <n v="18"/>
    <n v="54"/>
  </r>
  <r>
    <n v="749"/>
    <x v="2"/>
    <x v="73"/>
    <s v="eth1/3"/>
    <x v="0"/>
    <x v="0"/>
    <x v="0"/>
    <s v="trunk12 Bes-Production"/>
    <x v="0"/>
    <b v="0"/>
    <s v="No está en VPC"/>
    <n v="749"/>
    <s v="INTPG_VPC_748_1.2_3_749_1.2_3"/>
    <s v="ISEL-1.3"/>
    <n v="6"/>
    <s v="NO TIENE L3OUT"/>
    <n v="4"/>
    <n v="54"/>
  </r>
  <r>
    <n v="824"/>
    <x v="2"/>
    <x v="74"/>
    <s v="eth1/3"/>
    <x v="0"/>
    <x v="0"/>
    <x v="0"/>
    <s v="LINK_TO_ITHFHWCBSPSWR40 /Slot6.2 /Redundante"/>
    <x v="0"/>
    <b v="0"/>
    <s v="No está en VPC"/>
    <n v="824"/>
    <s v="INTPG_VPC_819_1.3_824_1.3"/>
    <s v="ISEL-1.3"/>
    <n v="1"/>
    <s v="NO TIENE L3OUT"/>
    <n v="70"/>
    <n v="54"/>
  </r>
  <r>
    <n v="819"/>
    <x v="2"/>
    <x v="75"/>
    <s v="eth1/3"/>
    <x v="0"/>
    <x v="0"/>
    <x v="0"/>
    <s v="LINK_TO_ITHFHWCBSPSWR40 /Slot4.2 /Principal"/>
    <x v="0"/>
    <b v="0"/>
    <s v="No está en VPC"/>
    <n v="819"/>
    <s v="INTPG_VPC_819_1.3_824_1.3"/>
    <s v="ISEL-1.3"/>
    <n v="1"/>
    <s v="NO TIENE L3OUT"/>
    <n v="70"/>
    <n v="54"/>
  </r>
  <r>
    <n v="737"/>
    <x v="2"/>
    <x v="76"/>
    <s v="eth1/3"/>
    <x v="0"/>
    <x v="0"/>
    <x v="0"/>
    <s v="CEM:ITHCEMF2DAT02:LOM P3"/>
    <x v="5"/>
    <b v="0"/>
    <s v="No está en VPC"/>
    <n v="737"/>
    <s v="INTPG_ACC_737_1.3"/>
    <s v="ISEL-1.3"/>
    <n v="1"/>
    <s v="NO TIENE L3OUT"/>
    <n v="72"/>
    <n v="54"/>
  </r>
  <r>
    <n v="844"/>
    <x v="2"/>
    <x v="77"/>
    <s v="eth1/3"/>
    <x v="0"/>
    <x v="0"/>
    <x v="0"/>
    <s v="LINK_TO_ITHFHWCRMPLCN101 / Slot1.3_6 / Principal"/>
    <x v="0"/>
    <b v="0"/>
    <s v="No está en VPC"/>
    <n v="844"/>
    <s v="INTPG_ACC_844_1.3"/>
    <s v="ISEL-1.3"/>
    <n v="1"/>
    <s v="NO TIENE L3OUT"/>
    <n v="282"/>
    <n v="54"/>
  </r>
  <r>
    <n v="843"/>
    <x v="2"/>
    <x v="78"/>
    <s v="eth1/3"/>
    <x v="0"/>
    <x v="0"/>
    <x v="0"/>
    <s v="LINK_To_ITHFHWCBSPSHDCTL04 / Slot7.1_12 / Redundante"/>
    <x v="0"/>
    <b v="0"/>
    <s v="No está en VPC"/>
    <n v="843"/>
    <s v="INTPG_VPC_838_1.3_843_1.3"/>
    <s v="ISEL-1.3"/>
    <n v="2"/>
    <s v="NO TIENE L3OUT"/>
    <n v="38"/>
    <n v="54"/>
  </r>
  <r>
    <n v="797"/>
    <x v="2"/>
    <x v="79"/>
    <s v="eth1/3"/>
    <x v="0"/>
    <x v="0"/>
    <x v="0"/>
    <s v="TO-HDPS_05-MSP"/>
    <x v="0"/>
    <b v="0"/>
    <s v="No está en VPC"/>
    <n v="797"/>
    <s v="INTPG_ACC_797_1.3"/>
    <s v="ISEL-1.3"/>
    <n v="1"/>
    <s v="NO TIENE L3OUT"/>
    <n v="48"/>
    <n v="54"/>
  </r>
  <r>
    <n v="839"/>
    <x v="2"/>
    <x v="80"/>
    <s v="eth1/3"/>
    <x v="0"/>
    <x v="0"/>
    <x v="0"/>
    <s v="LINK_TO_ITHFHWCBSPSHD43 / Slot7.3_4 / Redundante"/>
    <x v="0"/>
    <b v="0"/>
    <s v="No está en VPC"/>
    <n v="839"/>
    <s v="INTPG_VPC_834_1.3_839_1.3"/>
    <s v="ISEL-1.3"/>
    <n v="1"/>
    <s v="NO TIENE L3OUT"/>
    <n v="0"/>
    <n v="54"/>
  </r>
  <r>
    <n v="847"/>
    <x v="2"/>
    <x v="81"/>
    <s v="eth1/3"/>
    <x v="0"/>
    <x v="0"/>
    <x v="0"/>
    <s v="LINK_TO_ITHFHWCRMPSBDA05 / Slot1.3_4 / Principal"/>
    <x v="0"/>
    <b v="0"/>
    <s v="No está en VPC"/>
    <n v="847"/>
    <s v="INTPG_VPC_847_1.3_854_1.3"/>
    <s v="ISEL-1.3"/>
    <n v="1"/>
    <s v="NO TIENE L3OUT"/>
    <n v="204"/>
    <n v="54"/>
  </r>
  <r>
    <n v="848"/>
    <x v="2"/>
    <x v="82"/>
    <s v="eth1/3"/>
    <x v="0"/>
    <x v="0"/>
    <x v="0"/>
    <s v="LINK_TO_ITHFHWCRMPLCN155 / Slot7.2_12 / Redundante"/>
    <x v="0"/>
    <b v="0"/>
    <s v="No está en VPC"/>
    <n v="848"/>
    <s v="INTPG_ACC_848_1.3"/>
    <s v="ISEL-1.3"/>
    <n v="2"/>
    <s v="NO TIENE L3OUT"/>
    <n v="254"/>
    <n v="54"/>
  </r>
  <r>
    <n v="846"/>
    <x v="2"/>
    <x v="83"/>
    <s v="eth1/3"/>
    <x v="0"/>
    <x v="0"/>
    <x v="0"/>
    <s v="VPC_2DCRMP_BDP06_1"/>
    <x v="0"/>
    <b v="0"/>
    <s v="No está en VPC"/>
    <n v="846"/>
    <s v="INTPG_VPC_846_1.3_853_1.3"/>
    <s v="ISEL-1.3"/>
    <n v="6"/>
    <s v="NO TIENE L3OUT"/>
    <n v="242"/>
    <n v="54"/>
  </r>
  <r>
    <n v="838"/>
    <x v="2"/>
    <x v="84"/>
    <s v="eth1/3"/>
    <x v="0"/>
    <x v="0"/>
    <x v="0"/>
    <s v="LINK_To_ITHFHWCBSPSHDCTL04 / Slot1.1_12 / Principal"/>
    <x v="0"/>
    <b v="0"/>
    <s v="No está en VPC"/>
    <n v="838"/>
    <s v="INTPG_VPC_838_1.3_843_1.3"/>
    <s v="ISEL-1.3"/>
    <n v="2"/>
    <s v="NO TIENE L3OUT"/>
    <n v="38"/>
    <n v="54"/>
  </r>
  <r>
    <n v="849"/>
    <x v="2"/>
    <x v="85"/>
    <s v="eth1/3"/>
    <x v="0"/>
    <x v="0"/>
    <x v="0"/>
    <s v="LINK_TO_ITHFHWCRMPLCN135 / Slot7.2_4 / Redundante"/>
    <x v="0"/>
    <b v="0"/>
    <s v="No está en VPC"/>
    <n v="849"/>
    <s v="INTPG_ACC_849_1.3"/>
    <s v="ISEL-1.3"/>
    <n v="2"/>
    <s v="NO TIENE L3OUT"/>
    <n v="286"/>
    <n v="54"/>
  </r>
  <r>
    <n v="845"/>
    <x v="2"/>
    <x v="86"/>
    <s v="eth1/3"/>
    <x v="0"/>
    <x v="0"/>
    <x v="0"/>
    <s v="LINK_TO_ITHFHWCRMPLCN117 / Slot1.1_38 / Principal"/>
    <x v="0"/>
    <b v="0"/>
    <s v="No está en VPC"/>
    <n v="845"/>
    <s v="INTPG_ACC_845_1.3"/>
    <s v="ISEL-1.3"/>
    <n v="6"/>
    <s v="NO TIENE L3OUT"/>
    <n v="258"/>
    <n v="54"/>
  </r>
  <r>
    <n v="873"/>
    <x v="2"/>
    <x v="87"/>
    <s v="eth1/3"/>
    <x v="0"/>
    <x v="0"/>
    <x v="0"/>
    <s v="TO_ITHFHWCRMDLCN54_Principal"/>
    <x v="0"/>
    <b v="0"/>
    <s v="No está en VPC"/>
    <n v="873"/>
    <s v="INTPG_ACC_873_1.3"/>
    <s v="ISEL-1.3"/>
    <n v="6"/>
    <s v="NO TIENE L3OUT"/>
    <n v="248"/>
    <n v="54"/>
  </r>
  <r>
    <n v="864"/>
    <x v="2"/>
    <x v="88"/>
    <s v="eth1/3"/>
    <x v="0"/>
    <x v="0"/>
    <x v="0"/>
    <s v="To_VPC_2DCBSD_HD31_3"/>
    <x v="0"/>
    <b v="0"/>
    <s v="No está en VPC"/>
    <n v="864"/>
    <s v="INTPG_VPC_859_1.3_864_1.3"/>
    <s v="ISEL-1.3"/>
    <n v="1"/>
    <s v="NO TIENE L3OUT"/>
    <n v="0"/>
    <n v="54"/>
  </r>
  <r>
    <n v="836"/>
    <x v="2"/>
    <x v="89"/>
    <s v="eth1/3"/>
    <x v="0"/>
    <x v="0"/>
    <x v="0"/>
    <s v="LINK_TO_ITHFHWCBSPSUSBD33 / Slot1.2_6 / Principal"/>
    <x v="0"/>
    <b v="0"/>
    <s v="No está en VPC"/>
    <n v="836"/>
    <s v="INTPG_VPC_836_1.3_841_1.3"/>
    <s v="ISEL-1.3"/>
    <n v="1"/>
    <s v="NO TIENE L3OUT"/>
    <n v="0"/>
    <n v="54"/>
  </r>
  <r>
    <n v="834"/>
    <x v="2"/>
    <x v="90"/>
    <s v="eth1/3"/>
    <x v="0"/>
    <x v="0"/>
    <x v="0"/>
    <s v="LINK_TO_ITHFHWCBSPSHD43 / Slot1.3_4 / Principal"/>
    <x v="0"/>
    <b v="0"/>
    <s v="No está en VPC"/>
    <n v="834"/>
    <s v="INTPG_VPC_834_1.3_839_1.3"/>
    <s v="ISEL-1.3"/>
    <n v="1"/>
    <s v="NO TIENE L3OUT"/>
    <n v="0"/>
    <n v="54"/>
  </r>
  <r>
    <n v="872"/>
    <x v="2"/>
    <x v="91"/>
    <s v="eth1/3"/>
    <x v="0"/>
    <x v="0"/>
    <x v="0"/>
    <s v="To_ITHFHWCRMDLCN70_Principal"/>
    <x v="0"/>
    <b v="0"/>
    <s v="No está en VPC"/>
    <n v="872"/>
    <s v="INTPG_ACC_872_1.3"/>
    <s v="ISEL-1.3"/>
    <n v="6"/>
    <s v="NO TIENE L3OUT"/>
    <n v="288"/>
    <n v="54"/>
  </r>
  <r>
    <n v="842"/>
    <x v="2"/>
    <x v="92"/>
    <s v="eth1/3"/>
    <x v="0"/>
    <x v="0"/>
    <x v="0"/>
    <s v="LINK_TO_ITHFHWCBSPSHDCTL05 / Slot7.2_12 / Redundante"/>
    <x v="0"/>
    <b v="0"/>
    <s v="No está en VPC"/>
    <n v="842"/>
    <s v="INTPG_VPC_837_1.3_842_1.3"/>
    <s v="ISEL-1.3"/>
    <n v="1"/>
    <s v="NO TIENE L3OUT"/>
    <n v="8"/>
    <n v="54"/>
  </r>
  <r>
    <n v="828"/>
    <x v="2"/>
    <x v="93"/>
    <s v="eth1/3"/>
    <x v="0"/>
    <x v="0"/>
    <x v="0"/>
    <s v="LINK_TO_ITHFHWCBSDSWR32 /Slot4.2 /Principal"/>
    <x v="0"/>
    <b v="0"/>
    <s v="No está en VPC"/>
    <n v="828"/>
    <s v="INTPG_VPC_828_1.3_832_1.3"/>
    <s v="ISEL-1.3"/>
    <n v="1"/>
    <s v="NO TIENE L3OUT"/>
    <n v="192"/>
    <n v="54"/>
  </r>
  <r>
    <n v="870"/>
    <x v="2"/>
    <x v="94"/>
    <s v="eth1/3"/>
    <x v="0"/>
    <x v="0"/>
    <x v="0"/>
    <s v="TO_ITHFHWCRMDLCN54_Redundante"/>
    <x v="0"/>
    <b v="0"/>
    <s v="No está en VPC"/>
    <n v="870"/>
    <s v="INTPG_ACC_870_1.3"/>
    <s v="ISEL-1.3"/>
    <n v="6"/>
    <s v="NO TIENE L3OUT"/>
    <n v="248"/>
    <n v="54"/>
  </r>
  <r>
    <n v="866"/>
    <x v="2"/>
    <x v="95"/>
    <s v="eth1/3"/>
    <x v="0"/>
    <x v="0"/>
    <x v="0"/>
    <s v="To_VPC_2DCBSD_WR42_3"/>
    <x v="0"/>
    <b v="0"/>
    <s v="No está en VPC"/>
    <n v="866"/>
    <s v="INTPG_VPC_861_1.3_866_1.3"/>
    <s v="ISEL-1.3"/>
    <n v="1"/>
    <s v="NO TIENE L3OUT"/>
    <n v="8"/>
    <n v="54"/>
  </r>
  <r>
    <n v="862"/>
    <x v="2"/>
    <x v="96"/>
    <s v="eth1/3"/>
    <x v="0"/>
    <x v="0"/>
    <x v="0"/>
    <s v="To_VPC_2DCBSD_WR38_2"/>
    <x v="0"/>
    <b v="0"/>
    <s v="No está en VPC"/>
    <n v="862"/>
    <s v="INTPG_VPC_862_1.3_867_1.3"/>
    <s v="ISEL-1.3"/>
    <n v="1"/>
    <s v="NO TIENE L3OUT"/>
    <n v="44"/>
    <n v="54"/>
  </r>
  <r>
    <n v="855"/>
    <x v="2"/>
    <x v="97"/>
    <s v="eth1/3"/>
    <x v="0"/>
    <x v="0"/>
    <x v="0"/>
    <s v="LINK_TO_ITHFHWCRMPLCN155 / Slot1.2_12 / Principal"/>
    <x v="0"/>
    <b v="0"/>
    <s v="No está en VPC"/>
    <n v="855"/>
    <s v="INTPG_ACC_855_1.3"/>
    <s v="ISEL-1.3"/>
    <n v="2"/>
    <s v="NO TIENE L3OUT"/>
    <n v="254"/>
    <n v="54"/>
  </r>
  <r>
    <n v="871"/>
    <x v="2"/>
    <x v="98"/>
    <s v="eth1/3"/>
    <x v="0"/>
    <x v="0"/>
    <x v="0"/>
    <s v="TO_ITHFHWCRMDLCN81_Principal"/>
    <x v="0"/>
    <b v="0"/>
    <s v="No está en VPC"/>
    <n v="871"/>
    <s v="INTPG_ACC_871_1.3"/>
    <s v="ISEL-1.3"/>
    <n v="1"/>
    <s v="NO TIENE L3OUT"/>
    <n v="246"/>
    <n v="54"/>
  </r>
  <r>
    <n v="841"/>
    <x v="2"/>
    <x v="99"/>
    <s v="eth1/3"/>
    <x v="0"/>
    <x v="0"/>
    <x v="0"/>
    <s v="LINK_TO_ITHFHWCBSPSUSBD33 / Slot7.2_6 / Redundante"/>
    <x v="0"/>
    <b v="0"/>
    <s v="No está en VPC"/>
    <n v="841"/>
    <s v="INTPG_VPC_836_1.3_841_1.3"/>
    <s v="ISEL-1.3"/>
    <n v="1"/>
    <s v="NO TIENE L3OUT"/>
    <n v="0"/>
    <n v="54"/>
  </r>
  <r>
    <n v="868"/>
    <x v="2"/>
    <x v="100"/>
    <s v="eth1/3"/>
    <x v="0"/>
    <x v="0"/>
    <x v="0"/>
    <s v="TO_ITHFHWCRMDLCN81_Redundante"/>
    <x v="0"/>
    <b v="0"/>
    <s v="No está en VPC"/>
    <n v="868"/>
    <s v="INTPG_ACC_868_1.3"/>
    <s v="ISEL-1.3"/>
    <n v="1"/>
    <s v="NO TIENE L3OUT"/>
    <n v="246"/>
    <n v="54"/>
  </r>
  <r>
    <n v="869"/>
    <x v="2"/>
    <x v="101"/>
    <s v="eth1/3"/>
    <x v="0"/>
    <x v="0"/>
    <x v="0"/>
    <s v="To_ITHFHWCRMDLCN70_Redundante"/>
    <x v="0"/>
    <b v="0"/>
    <s v="No está en VPC"/>
    <n v="869"/>
    <s v="INTPG_ACC_869_1.3"/>
    <s v="ISEL-1.3"/>
    <n v="6"/>
    <s v="NO TIENE L3OUT"/>
    <n v="288"/>
    <n v="54"/>
  </r>
  <r>
    <n v="861"/>
    <x v="2"/>
    <x v="102"/>
    <s v="eth1/3"/>
    <x v="0"/>
    <x v="0"/>
    <x v="0"/>
    <s v="To_VPC_2DCBSD_WR42_3"/>
    <x v="0"/>
    <b v="0"/>
    <s v="No está en VPC"/>
    <n v="861"/>
    <s v="INTPG_VPC_861_1.3_866_1.3"/>
    <s v="ISEL-1.3"/>
    <n v="1"/>
    <s v="NO TIENE L3OUT"/>
    <n v="8"/>
    <n v="54"/>
  </r>
  <r>
    <n v="874"/>
    <x v="2"/>
    <x v="103"/>
    <s v="eth1/3"/>
    <x v="0"/>
    <x v="0"/>
    <x v="0"/>
    <s v="LINK_TO_ITHFHWSEQLHDPS72 / Slot 5 PTO 1 / Redundante"/>
    <x v="4"/>
    <b v="0"/>
    <s v="No está en VPC"/>
    <n v="874"/>
    <s v="INTPG_ACC_874_1.3"/>
    <s v="ISEL-1.3"/>
    <n v="1"/>
    <s v="NO TIENE L3OUT"/>
    <n v="92"/>
    <n v="54"/>
  </r>
  <r>
    <n v="865"/>
    <x v="2"/>
    <x v="104"/>
    <s v="eth1/3"/>
    <x v="0"/>
    <x v="0"/>
    <x v="0"/>
    <s v="To_VPC_2DCBSD_WR52_3"/>
    <x v="0"/>
    <b v="0"/>
    <s v="No está en VPC"/>
    <n v="865"/>
    <s v="INTPG_VPC_860_1.3_865_1.3"/>
    <s v="ISEL-1.3"/>
    <n v="1"/>
    <s v="NO TIENE L3OUT"/>
    <n v="0"/>
    <n v="54"/>
  </r>
  <r>
    <n v="753"/>
    <x v="2"/>
    <x v="105"/>
    <s v="eth1/3"/>
    <x v="0"/>
    <x v="0"/>
    <x v="0"/>
    <s v="OSS F1:ithenmr03bl01nas1r9c:PCIe3 Slot 1/1"/>
    <x v="0"/>
    <b v="0"/>
    <s v="No está en VPC"/>
    <n v="753"/>
    <s v="INTPG_PC_753_1.1-4"/>
    <s v="ISEL-1.3"/>
    <n v="1"/>
    <s v="NO TIENE L3OUT"/>
    <n v="62"/>
    <n v="54"/>
  </r>
  <r>
    <n v="708"/>
    <x v="2"/>
    <x v="106"/>
    <s v="eth1/3"/>
    <x v="0"/>
    <x v="1"/>
    <x v="5"/>
    <s v="CEM:ITHCEMF2DAT02:LOM P1"/>
    <x v="0"/>
    <b v="0"/>
    <s v="No está en VPC"/>
    <n v="708"/>
    <s v="INTPG_VPC_708_1.3_709_1.4"/>
    <s v="ISEL-1.3"/>
    <n v="1"/>
    <s v="NO TIENE L3OUT"/>
    <n v="0"/>
    <n v="54"/>
  </r>
  <r>
    <n v="710"/>
    <x v="2"/>
    <x v="107"/>
    <s v="eth1/3"/>
    <x v="0"/>
    <x v="1"/>
    <x v="5"/>
    <s v="CEM:ITHCEMD2DAT02:LOM P1"/>
    <x v="0"/>
    <b v="0"/>
    <s v="No está en VPC"/>
    <n v="710"/>
    <s v="INTPG_VPC_710_1.3_711_1.4"/>
    <s v="ISEL-1.3"/>
    <n v="1"/>
    <s v="NO TIENE L3OUT"/>
    <n v="16"/>
    <n v="54"/>
  </r>
  <r>
    <n v="713"/>
    <x v="2"/>
    <x v="108"/>
    <s v="eth1/3"/>
    <x v="0"/>
    <x v="0"/>
    <x v="0"/>
    <s v="CEM:ITHCEMA2DAT02:LOM P1"/>
    <x v="0"/>
    <b v="0"/>
    <s v="No está en VPC"/>
    <n v="713"/>
    <s v="INTPG_ACC_713_1.3"/>
    <s v="ISEL-1.3"/>
    <n v="1"/>
    <s v="NO TIENE L3OUT"/>
    <n v="32"/>
    <n v="54"/>
  </r>
  <r>
    <n v="735"/>
    <x v="2"/>
    <x v="109"/>
    <s v="eth1/3"/>
    <x v="0"/>
    <x v="1"/>
    <x v="1"/>
    <s v="CEM:ITHCEMA1DAT02:LOM P3"/>
    <x v="5"/>
    <b v="0"/>
    <s v="No está en VPC"/>
    <n v="735"/>
    <s v="INTPG_ACC_735_1.3"/>
    <s v="ISEL-1.3"/>
    <n v="1"/>
    <s v="NO TIENE L3OUT"/>
    <n v="34"/>
    <n v="54"/>
  </r>
  <r>
    <n v="731"/>
    <x v="2"/>
    <x v="110"/>
    <s v="eth1/3"/>
    <x v="0"/>
    <x v="0"/>
    <x v="0"/>
    <s v="eth-trunk11"/>
    <x v="0"/>
    <b v="0"/>
    <s v="No está en VPC"/>
    <n v="731"/>
    <s v="INTPG_VPC_730_1.2-3_731_1.2-3"/>
    <s v="ISEL-1.3"/>
    <n v="8"/>
    <s v="NO TIENE L3OUT"/>
    <n v="38"/>
    <n v="54"/>
  </r>
  <r>
    <n v="703"/>
    <x v="2"/>
    <x v="111"/>
    <s v="eth1/3"/>
    <x v="0"/>
    <x v="0"/>
    <x v="0"/>
    <m/>
    <x v="0"/>
    <b v="0"/>
    <s v="No está en VPC"/>
    <n v="703"/>
    <s v="INTPG_VPC_703_1.3_704_1.4"/>
    <s v="ISEL-1.3"/>
    <n v="1"/>
    <s v="NO TIENE L3OUT"/>
    <n v="2"/>
    <n v="54"/>
  </r>
  <r>
    <n v="706"/>
    <x v="2"/>
    <x v="112"/>
    <s v="eth1/3"/>
    <x v="0"/>
    <x v="0"/>
    <x v="0"/>
    <s v="CEM:ITHCEMA1DAT02:LOM  P1"/>
    <x v="0"/>
    <b v="0"/>
    <s v="No está en VPC"/>
    <n v="706"/>
    <s v="INTPG_ACC_706_1.3"/>
    <s v="ISEL-1.3"/>
    <n v="1"/>
    <s v="NO TIENE L3OUT"/>
    <n v="16"/>
    <n v="54"/>
  </r>
  <r>
    <n v="762"/>
    <x v="2"/>
    <x v="113"/>
    <s v="eth1/3"/>
    <x v="0"/>
    <x v="0"/>
    <x v="0"/>
    <s v="PAAS:ithhwoscopap003:FlexIO.1"/>
    <x v="0"/>
    <b v="0"/>
    <s v="No está en VPC"/>
    <n v="762"/>
    <s v="INTPG_VPC_762_1.3_763_1.3"/>
    <s v="ISEL-1.3"/>
    <n v="1"/>
    <s v="NO TIENE L3OUT"/>
    <n v="0"/>
    <n v="54"/>
  </r>
  <r>
    <n v="814"/>
    <x v="2"/>
    <x v="114"/>
    <s v="eth1/3"/>
    <x v="0"/>
    <x v="0"/>
    <x v="0"/>
    <s v="A_ITHHPGRLKEN05_Principal"/>
    <x v="2"/>
    <b v="0"/>
    <s v="No está en VPC"/>
    <n v="814"/>
    <s v="INTPG_VPC_814_1.3_815_1.3"/>
    <s v="ISEL-1.3"/>
    <n v="98"/>
    <s v="NO TIENE L3OUT"/>
    <n v="0"/>
    <n v="42"/>
  </r>
  <r>
    <n v="878"/>
    <x v="2"/>
    <x v="115"/>
    <s v="eth1/3"/>
    <x v="0"/>
    <x v="0"/>
    <x v="0"/>
    <s v="HACIA_CSI-A-OSCP-F4-11_PRINCIPAL"/>
    <x v="4"/>
    <b v="0"/>
    <s v="No está en VPC"/>
    <n v="878"/>
    <s v="INTPG_VPC_878_1.3_879_1.3"/>
    <s v="ISEL-1.3"/>
    <n v="2"/>
    <s v="NO TIENE L3OUT"/>
    <n v="0"/>
    <n v="54"/>
  </r>
  <r>
    <n v="826"/>
    <x v="2"/>
    <x v="116"/>
    <s v="eth1/3"/>
    <x v="0"/>
    <x v="0"/>
    <x v="0"/>
    <s v="LINK_TO_ITHFHWCBSDSUSBD04 /Slot4.2 /Principal"/>
    <x v="0"/>
    <b v="0"/>
    <s v="No está en VPC"/>
    <n v="826"/>
    <s v="INTPG_VPC_826_1.3_830_1.3"/>
    <s v="ISEL-1.3"/>
    <n v="1"/>
    <s v="NO TIENE L3OUT"/>
    <n v="12"/>
    <n v="54"/>
  </r>
  <r>
    <n v="726"/>
    <x v="2"/>
    <x v="117"/>
    <s v="eth1/3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3"/>
    <x v="0"/>
    <x v="1"/>
    <x v="1"/>
    <s v="CEM:ITHCEMC2DAT02:LOM P3"/>
    <x v="5"/>
    <b v="0"/>
    <s v="No está en VPC"/>
    <n v="740"/>
    <s v="INTPG_ACC_740_1.3"/>
    <s v="ISEL-1.3"/>
    <n v="1"/>
    <s v="NO TIENE L3OUT"/>
    <n v="72"/>
    <n v="54"/>
  </r>
  <r>
    <n v="705"/>
    <x v="2"/>
    <x v="119"/>
    <s v="eth1/3"/>
    <x v="0"/>
    <x v="0"/>
    <x v="0"/>
    <s v="CEM:ITHOIDB1SVR02:LOM  P2"/>
    <x v="0"/>
    <b v="0"/>
    <s v="No está en VPC"/>
    <n v="705"/>
    <s v="INTPG_VPC_705_1.3_706_1.4"/>
    <s v="ISEL-1.3"/>
    <n v="2"/>
    <s v="NO TIENE L3OUT"/>
    <n v="16"/>
    <n v="54"/>
  </r>
  <r>
    <n v="723"/>
    <x v="2"/>
    <x v="120"/>
    <s v="eth1/3"/>
    <x v="0"/>
    <x v="0"/>
    <x v="0"/>
    <m/>
    <x v="0"/>
    <b v="0"/>
    <s v="No está en VPC"/>
    <n v="723"/>
    <s v="INTPG-VPC_HDD119_723_1.3_722_1.4"/>
    <s v="ISEL-1.3"/>
    <n v="1"/>
    <s v="NO TIENE L3OUT"/>
    <n v="0"/>
    <n v="54"/>
  </r>
  <r>
    <n v="721"/>
    <x v="2"/>
    <x v="121"/>
    <s v="eth1/3"/>
    <x v="0"/>
    <x v="0"/>
    <x v="0"/>
    <s v="TO-ITHFHWVRALCN09"/>
    <x v="0"/>
    <b v="0"/>
    <s v="No está en VPC"/>
    <n v="721"/>
    <s v="INTPG_VPC_714_1.4_721_1.3"/>
    <s v="ISEL-1.3"/>
    <n v="108"/>
    <s v="NO TIENE L3OUT"/>
    <n v="20"/>
    <n v="54"/>
  </r>
  <r>
    <n v="788"/>
    <x v="2"/>
    <x v="122"/>
    <s v="eth1/3"/>
    <x v="0"/>
    <x v="0"/>
    <x v="0"/>
    <s v="TO-ITHFHPMEDIRAP01"/>
    <x v="0"/>
    <b v="0"/>
    <s v="No está en VPC"/>
    <n v="788"/>
    <s v="INTPG_VPC_788_1.3-4_789_1.3-4"/>
    <s v="ISEL-1.3"/>
    <n v="2"/>
    <s v="NO TIENE L3OUT"/>
    <n v="4"/>
    <n v="54"/>
  </r>
  <r>
    <n v="732"/>
    <x v="2"/>
    <x v="123"/>
    <s v="eth1/3"/>
    <x v="0"/>
    <x v="0"/>
    <x v="0"/>
    <s v="TO-TESTBED"/>
    <x v="0"/>
    <b v="0"/>
    <s v="No está en VPC"/>
    <n v="732"/>
    <s v="INTPG_VPC_732_1.2-3_733_1.2-3"/>
    <s v="ISEL-1.3"/>
    <n v="3"/>
    <s v="NO TIENE L3OUT"/>
    <n v="0"/>
    <n v="54"/>
  </r>
  <r>
    <n v="720"/>
    <x v="2"/>
    <x v="124"/>
    <s v="eth1/3"/>
    <x v="0"/>
    <x v="0"/>
    <x v="0"/>
    <m/>
    <x v="0"/>
    <b v="0"/>
    <s v="No está en VPC"/>
    <n v="720"/>
    <s v="INTPG-VPC_HDD01_720_1.3_719_1.4"/>
    <s v="ISEL-1.3"/>
    <n v="1"/>
    <s v="NO TIENE L3OUT"/>
    <n v="0"/>
    <n v="54"/>
  </r>
  <r>
    <n v="709"/>
    <x v="2"/>
    <x v="125"/>
    <s v="eth1/3"/>
    <x v="0"/>
    <x v="1"/>
    <x v="5"/>
    <s v="CEM:ITHCEME2DAT02:LOM P1"/>
    <x v="0"/>
    <b v="0"/>
    <s v="No está en VPC"/>
    <n v="709"/>
    <s v="INTPG_VPC_708_1.4_709_1.3"/>
    <s v="ISEL-1.3"/>
    <n v="1"/>
    <s v="NO TIENE L3OUT"/>
    <n v="0"/>
    <n v="54"/>
  </r>
  <r>
    <n v="454"/>
    <x v="1"/>
    <x v="126"/>
    <s v="eth1/3"/>
    <x v="0"/>
    <x v="0"/>
    <x v="0"/>
    <s v="HACIA_CSI-A-OSCP-F4-07_PRINCIPAL"/>
    <x v="4"/>
    <b v="0"/>
    <s v="No está en VPC"/>
    <n v="454"/>
    <s v="INTPG_VPC_454_1.3_456_1.3"/>
    <s v="ISEL-1.3"/>
    <n v="2"/>
    <s v="NO TIENE L3OUT"/>
    <n v="4"/>
    <n v="54"/>
  </r>
  <r>
    <n v="734"/>
    <x v="2"/>
    <x v="127"/>
    <s v="eth1/3"/>
    <x v="0"/>
    <x v="1"/>
    <x v="1"/>
    <s v="CEM_HADOOP"/>
    <x v="5"/>
    <b v="0"/>
    <s v="No está en VPC"/>
    <n v="734"/>
    <s v="INTPG_ACC_734_1.3"/>
    <s v="ISEL-1.3"/>
    <n v="1"/>
    <s v="NO TIENE L3OUT"/>
    <n v="32"/>
    <n v="54"/>
  </r>
  <r>
    <n v="815"/>
    <x v="2"/>
    <x v="128"/>
    <s v="eth1/3"/>
    <x v="0"/>
    <x v="0"/>
    <x v="0"/>
    <s v="A_ITHHPGRLKEN05_Redundante"/>
    <x v="2"/>
    <b v="0"/>
    <s v="No está en VPC"/>
    <n v="815"/>
    <s v="INTPG_VPC_814_1.3_815_1.3"/>
    <s v="ISEL-1.3"/>
    <n v="98"/>
    <s v="NO TIENE L3OUT"/>
    <n v="0"/>
    <n v="42"/>
  </r>
  <r>
    <n v="743"/>
    <x v="2"/>
    <x v="129"/>
    <s v="eth1/3"/>
    <x v="0"/>
    <x v="0"/>
    <x v="0"/>
    <s v="trunk20 Bes-Production"/>
    <x v="0"/>
    <b v="0"/>
    <s v="No está en VPC"/>
    <n v="743"/>
    <s v="INTPG_VPC_743_1.2_3_744_1.2_3"/>
    <s v="ISEL-1.3"/>
    <n v="5"/>
    <s v="NO TIENE L3OUT"/>
    <n v="4"/>
    <n v="54"/>
  </r>
  <r>
    <n v="718"/>
    <x v="2"/>
    <x v="130"/>
    <s v="eth1/3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3"/>
    <x v="0"/>
    <x v="0"/>
    <x v="0"/>
    <s v="trunk20 Bes-Production"/>
    <x v="0"/>
    <b v="0"/>
    <s v="No está en VPC"/>
    <n v="744"/>
    <s v="INTPG_VPC_743_1.2_3_744_1.2_3"/>
    <s v="ISEL-1.3"/>
    <n v="5"/>
    <s v="NO TIENE L3OUT"/>
    <n v="4"/>
    <n v="54"/>
  </r>
  <r>
    <n v="741"/>
    <x v="2"/>
    <x v="132"/>
    <s v="eth1/3"/>
    <x v="0"/>
    <x v="1"/>
    <x v="1"/>
    <s v="CEM:ITHCEMB2DAT02:LOM P3"/>
    <x v="5"/>
    <b v="0"/>
    <s v="No está en VPC"/>
    <n v="741"/>
    <s v="INTPG_ACC_741_1.3"/>
    <s v="ISEL-1.3"/>
    <n v="1"/>
    <s v="NO TIENE L3OUT"/>
    <n v="62"/>
    <n v="54"/>
  </r>
  <r>
    <n v="787"/>
    <x v="2"/>
    <x v="133"/>
    <s v="eth1/3"/>
    <x v="0"/>
    <x v="0"/>
    <x v="0"/>
    <s v="ENIQ F2:itheniqr16bl01nas1r4a:LOM PORT 1"/>
    <x v="0"/>
    <b v="0"/>
    <s v="No está en VPC"/>
    <n v="787"/>
    <s v="INTPG_PC_787_1.3-6"/>
    <s v="ISEL-1.3"/>
    <n v="1"/>
    <s v="NO TIENE L3OUT"/>
    <n v="26"/>
    <n v="54"/>
  </r>
  <r>
    <n v="750"/>
    <x v="2"/>
    <x v="134"/>
    <s v="eth1/3"/>
    <x v="0"/>
    <x v="0"/>
    <x v="0"/>
    <s v="trunk16 Bes-Production"/>
    <x v="0"/>
    <b v="0"/>
    <s v="No está en VPC"/>
    <n v="750"/>
    <s v="INTPG_VPC_750_1.2_3_751_1.2_3"/>
    <s v="ISEL-1.3"/>
    <n v="6"/>
    <s v="NO TIENE L3OUT"/>
    <n v="2"/>
    <n v="54"/>
  </r>
  <r>
    <n v="792"/>
    <x v="2"/>
    <x v="135"/>
    <s v="eth1/3"/>
    <x v="0"/>
    <x v="0"/>
    <x v="0"/>
    <s v="CRM, CBS:TB-R03-F03:E1-10GE 2"/>
    <x v="0"/>
    <b v="0"/>
    <s v="No está en VPC"/>
    <n v="792"/>
    <s v="INTPG_VPC_757_1.3_6_792_1.3_6"/>
    <s v="ISEL-1.3"/>
    <n v="9"/>
    <s v="NO TIENE L3OUT"/>
    <n v="0"/>
    <n v="54"/>
  </r>
  <r>
    <n v="736"/>
    <x v="2"/>
    <x v="136"/>
    <s v="eth1/3"/>
    <x v="0"/>
    <x v="0"/>
    <x v="0"/>
    <s v="CEM:ITHCEMG2DAT02:LOM  P2"/>
    <x v="0"/>
    <b v="0"/>
    <s v="No está en VPC"/>
    <n v="736"/>
    <s v="INTPG_ACC_736_1.3"/>
    <s v="ISEL-1.3"/>
    <n v="1"/>
    <s v="NO TIENE L3OUT"/>
    <n v="48"/>
    <n v="54"/>
  </r>
  <r>
    <n v="799"/>
    <x v="2"/>
    <x v="137"/>
    <s v="eth1/3"/>
    <x v="0"/>
    <x v="0"/>
    <x v="0"/>
    <s v="TO-IMC_PS17-MSP"/>
    <x v="0"/>
    <b v="0"/>
    <s v="No está en VPC"/>
    <n v="799"/>
    <s v="INTPG_ACC_799_1.3"/>
    <s v="ISEL-1.3"/>
    <n v="1"/>
    <s v="NO TIENE L3OUT"/>
    <n v="52"/>
    <n v="54"/>
  </r>
  <r>
    <n v="768"/>
    <x v="2"/>
    <x v="138"/>
    <s v="eth1/3"/>
    <x v="0"/>
    <x v="0"/>
    <x v="0"/>
    <s v="Portchannel_6_R3"/>
    <x v="0"/>
    <b v="0"/>
    <s v="No está en VPC"/>
    <n v="768"/>
    <s v="INTPG_PC_768_1.1-4"/>
    <s v="ISEL-1.3"/>
    <n v="1"/>
    <s v="NO TIENE L3OUT"/>
    <n v="62"/>
    <n v="54"/>
  </r>
  <r>
    <n v="714"/>
    <x v="2"/>
    <x v="139"/>
    <s v="eth1/3"/>
    <x v="0"/>
    <x v="0"/>
    <x v="0"/>
    <m/>
    <x v="0"/>
    <b v="0"/>
    <s v="No está en VPC"/>
    <n v="714"/>
    <s v="INTPG-VPC_HDD59_714_1.3_721_1.4"/>
    <s v="ISEL-1.3"/>
    <n v="2"/>
    <s v="NO TIENE L3OUT"/>
    <n v="20"/>
    <n v="54"/>
  </r>
  <r>
    <n v="717"/>
    <x v="2"/>
    <x v="140"/>
    <s v="eth1/3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3"/>
    <x v="0"/>
    <x v="0"/>
    <x v="0"/>
    <s v="TO-ITHFHPMEDIRAP01"/>
    <x v="0"/>
    <b v="0"/>
    <s v="No está en VPC"/>
    <n v="789"/>
    <s v="INTPG_VPC_788_1.3-4_789_1.3-4"/>
    <s v="ISEL-1.3"/>
    <n v="2"/>
    <s v="NO TIENE L3OUT"/>
    <n v="0"/>
    <n v="54"/>
  </r>
  <r>
    <n v="764"/>
    <x v="2"/>
    <x v="142"/>
    <s v="eth1/3"/>
    <x v="0"/>
    <x v="0"/>
    <x v="0"/>
    <s v="Portchannel_6_R1"/>
    <x v="0"/>
    <b v="0"/>
    <s v="No está en VPC"/>
    <n v="764"/>
    <s v="INTPG_PC_764_1.1-4"/>
    <s v="ISEL-1.3"/>
    <n v="1"/>
    <s v="NO TIENE L3OUT"/>
    <n v="62"/>
    <n v="54"/>
  </r>
  <r>
    <n v="783"/>
    <x v="2"/>
    <x v="143"/>
    <s v="eth1/3"/>
    <x v="0"/>
    <x v="0"/>
    <x v="0"/>
    <s v="LACP_NAS1_ENIQ9A"/>
    <x v="0"/>
    <b v="0"/>
    <s v="No está en VPC"/>
    <n v="783"/>
    <s v="INTPG_PC_783_1.3-6"/>
    <s v="ISEL-1.3"/>
    <n v="1"/>
    <s v="NO TIENE L3OUT"/>
    <n v="26"/>
    <n v="54"/>
  </r>
  <r>
    <n v="774"/>
    <x v="2"/>
    <x v="144"/>
    <s v="eth1/3"/>
    <x v="0"/>
    <x v="0"/>
    <x v="0"/>
    <s v="PAAS:ithhwoscopap018:FlexIO /Pto 1"/>
    <x v="0"/>
    <b v="0"/>
    <s v="No está en VPC"/>
    <n v="774"/>
    <s v="INTPG_VPC_774_1.3_775_1.1"/>
    <s v="ISEL-1.3"/>
    <n v="24"/>
    <s v="NO TIENE L3OUT"/>
    <n v="0"/>
    <n v="54"/>
  </r>
  <r>
    <n v="773"/>
    <x v="2"/>
    <x v="145"/>
    <s v="eth1/3"/>
    <x v="0"/>
    <x v="0"/>
    <x v="0"/>
    <s v="Portchannel_7_R2"/>
    <x v="0"/>
    <b v="0"/>
    <s v="No está en VPC"/>
    <n v="773"/>
    <s v="INTPG_PC_773_1.3-6"/>
    <s v="ISEL-1.3"/>
    <n v="1"/>
    <s v="NO TIENE L3OUT"/>
    <n v="78"/>
    <n v="54"/>
  </r>
  <r>
    <n v="794"/>
    <x v="2"/>
    <x v="146"/>
    <s v="eth1/3"/>
    <x v="0"/>
    <x v="0"/>
    <x v="0"/>
    <s v="DESC"/>
    <x v="0"/>
    <b v="0"/>
    <s v="No está en VPC"/>
    <n v="794"/>
    <s v="INTPG_VPC_793_1.1_3_794_1.1_3"/>
    <s v="ISEL-1.3"/>
    <n v="1"/>
    <s v="NO TIENE L3OUT"/>
    <n v="12"/>
    <n v="54"/>
  </r>
  <r>
    <n v="803"/>
    <x v="2"/>
    <x v="147"/>
    <s v="eth1/3"/>
    <x v="0"/>
    <x v="0"/>
    <x v="0"/>
    <s v="TO-HDPS_29-MSP"/>
    <x v="0"/>
    <b v="0"/>
    <s v="No está en VPC"/>
    <n v="803"/>
    <s v="INTPG_ACC_803_1.3"/>
    <s v="ISEL-1.3"/>
    <n v="1"/>
    <s v="NO TIENE L3OUT"/>
    <n v="48"/>
    <n v="54"/>
  </r>
  <r>
    <n v="786"/>
    <x v="2"/>
    <x v="148"/>
    <s v="eth1/3"/>
    <x v="0"/>
    <x v="0"/>
    <x v="0"/>
    <s v="ENIQ F2:itheniqr14bl01nas1r4b:LOM PORT 1"/>
    <x v="0"/>
    <b v="0"/>
    <s v="No está en VPC"/>
    <n v="786"/>
    <s v="INTPG_PC_786_1.3-6"/>
    <s v="ISEL-1.3"/>
    <n v="1"/>
    <s v="NO TIENE L3OUT"/>
    <n v="26"/>
    <n v="54"/>
  </r>
  <r>
    <n v="757"/>
    <x v="2"/>
    <x v="149"/>
    <s v="eth1/3"/>
    <x v="0"/>
    <x v="0"/>
    <x v="0"/>
    <s v="CRM, CBS:ITHHWTBRK12CH1:E1-10GE 1"/>
    <x v="0"/>
    <b v="0"/>
    <s v="No está en VPC"/>
    <n v="757"/>
    <s v="INTPG_VPC_757_1.3_6_792_1.3_6"/>
    <s v="ISEL-1.3"/>
    <n v="9"/>
    <s v="NO TIENE L3OUT"/>
    <n v="0"/>
    <n v="54"/>
  </r>
  <r>
    <n v="781"/>
    <x v="2"/>
    <x v="150"/>
    <s v="eth1/3"/>
    <x v="0"/>
    <x v="0"/>
    <x v="0"/>
    <s v="LACP_NAS1_ENIQ9C"/>
    <x v="0"/>
    <b v="0"/>
    <s v="No está en VPC"/>
    <n v="781"/>
    <s v="INTPG_PC_781_1.3-6"/>
    <s v="ISEL-1.3"/>
    <n v="1"/>
    <s v="NO TIENE L3OUT"/>
    <n v="26"/>
    <n v="54"/>
  </r>
  <r>
    <n v="793"/>
    <x v="2"/>
    <x v="151"/>
    <s v="eth1/3"/>
    <x v="0"/>
    <x v="0"/>
    <x v="0"/>
    <s v="DESC"/>
    <x v="0"/>
    <b v="0"/>
    <s v="No está en VPC"/>
    <n v="793"/>
    <s v="INTPG_VPC_793_1.1_3_794_1.1_3"/>
    <s v="ISEL-1.3"/>
    <n v="1"/>
    <s v="NO TIENE L3OUT"/>
    <n v="12"/>
    <n v="54"/>
  </r>
  <r>
    <n v="747"/>
    <x v="2"/>
    <x v="152"/>
    <s v="eth1/3"/>
    <x v="0"/>
    <x v="0"/>
    <x v="0"/>
    <s v="PAAS:ithhwoscopap003:LOM PORT 1"/>
    <x v="0"/>
    <b v="0"/>
    <s v="No está en VPC"/>
    <n v="747"/>
    <s v="INTPG_VPC_747_1.3_752_1.3"/>
    <s v="ISEL-1.3"/>
    <n v="25"/>
    <s v="NO TIENE L3OUT"/>
    <n v="0"/>
    <n v="54"/>
  </r>
  <r>
    <n v="784"/>
    <x v="2"/>
    <x v="153"/>
    <s v="eth1/3"/>
    <x v="0"/>
    <x v="0"/>
    <x v="0"/>
    <s v="ENIQ F2:itheniqr12bl01nas1r6b:LOM PORT 1"/>
    <x v="0"/>
    <b v="0"/>
    <s v="No está en VPC"/>
    <n v="784"/>
    <s v="INTPG_PC_784_1.3-6"/>
    <s v="ISEL-1.3"/>
    <n v="1"/>
    <s v="NO TIENE L3OUT"/>
    <n v="26"/>
    <n v="54"/>
  </r>
  <r>
    <n v="806"/>
    <x v="2"/>
    <x v="154"/>
    <s v="eth1/3"/>
    <x v="0"/>
    <x v="0"/>
    <x v="0"/>
    <s v="TO-HDPS_53-MSP"/>
    <x v="0"/>
    <b v="0"/>
    <s v="No está en VPC"/>
    <n v="806"/>
    <s v="INTPG_ACC_806_1.3"/>
    <s v="ISEL-1.3"/>
    <n v="1"/>
    <s v="NO TIENE L3OUT"/>
    <n v="44"/>
    <n v="54"/>
  </r>
  <r>
    <n v="777"/>
    <x v="2"/>
    <x v="155"/>
    <s v="eth1/3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3"/>
    <x v="0"/>
    <x v="0"/>
    <x v="0"/>
    <s v="Portchannel_1_R4A"/>
    <x v="0"/>
    <b v="0"/>
    <s v="No está en VPC"/>
    <n v="770"/>
    <s v="INTPG_PC_770_1.1-4"/>
    <s v="ISEL-1.3"/>
    <n v="2"/>
    <s v="NO TIENE L3OUT"/>
    <n v="60"/>
    <n v="54"/>
  </r>
  <r>
    <n v="813"/>
    <x v="2"/>
    <x v="157"/>
    <s v="eth1/3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3"/>
    <x v="0"/>
    <x v="0"/>
    <x v="0"/>
    <s v="CEM:ITHCEMD2DAT02:LOM P3"/>
    <x v="5"/>
    <b v="0"/>
    <s v="No está en VPC"/>
    <n v="739"/>
    <s v="INTPG_ACC_739_1.3"/>
    <s v="ISEL-1.3"/>
    <n v="1"/>
    <s v="NO TIENE L3OUT"/>
    <n v="72"/>
    <n v="54"/>
  </r>
  <r>
    <n v="775"/>
    <x v="2"/>
    <x v="159"/>
    <s v="eth1/3"/>
    <x v="0"/>
    <x v="0"/>
    <x v="0"/>
    <s v="PAAS:ithhwoscopap017:FlexIO /Pto 1"/>
    <x v="0"/>
    <b v="0"/>
    <s v="No está en VPC"/>
    <n v="775"/>
    <s v="INTPG_VPC_774_1.2_775_1.3"/>
    <s v="ISEL-1.3"/>
    <n v="24"/>
    <s v="NO TIENE L3OUT"/>
    <n v="0"/>
    <n v="54"/>
  </r>
  <r>
    <n v="791"/>
    <x v="2"/>
    <x v="160"/>
    <s v="eth1/3"/>
    <x v="0"/>
    <x v="0"/>
    <x v="0"/>
    <s v="LAGU2020R5"/>
    <x v="0"/>
    <b v="0"/>
    <s v="No está en VPC"/>
    <n v="791"/>
    <s v="INTPG_VPC_790_1.2_4_791_1.1_3"/>
    <s v="ISEL-1.3"/>
    <n v="1"/>
    <s v="NO TIENE L3OUT"/>
    <n v="20"/>
    <n v="54"/>
  </r>
  <r>
    <n v="808"/>
    <x v="2"/>
    <x v="161"/>
    <s v="eth1/3"/>
    <x v="0"/>
    <x v="0"/>
    <x v="0"/>
    <s v="HUECOS DC_S3"/>
    <x v="0"/>
    <b v="0"/>
    <s v="No está en VPC"/>
    <n v="808"/>
    <s v="INTPG_VPC_808_1.1-6_809_1.1-6"/>
    <s v="ISEL-1.3"/>
    <n v="1"/>
    <s v="NO TIENE L3OUT"/>
    <n v="0"/>
    <n v="54"/>
  </r>
  <r>
    <n v="830"/>
    <x v="2"/>
    <x v="162"/>
    <s v="eth1/3"/>
    <x v="0"/>
    <x v="0"/>
    <x v="0"/>
    <s v="LINK_TO_ITHFHWCBSDSUSBD04 /Slot6.2 /Redundante"/>
    <x v="0"/>
    <b v="0"/>
    <s v="No está en VPC"/>
    <n v="830"/>
    <s v="INTPG_VPC_826_1.3_830_1.3"/>
    <s v="ISEL-1.3"/>
    <n v="1"/>
    <s v="NO TIENE L3OUT"/>
    <n v="12"/>
    <n v="54"/>
  </r>
  <r>
    <n v="821"/>
    <x v="2"/>
    <x v="163"/>
    <s v="eth1/3"/>
    <x v="0"/>
    <x v="0"/>
    <x v="0"/>
    <s v="LINK_TO_ITHFHWCBSPSUSBD07 /Slot6.2 /Redundante"/>
    <x v="0"/>
    <b v="0"/>
    <s v="No está en VPC"/>
    <n v="821"/>
    <s v="INTPG_VPC_816_1.3_821_1.3"/>
    <s v="ISEL-1.3"/>
    <n v="1"/>
    <s v="NO TIENE L3OUT"/>
    <n v="0"/>
    <n v="54"/>
  </r>
  <r>
    <n v="738"/>
    <x v="2"/>
    <x v="164"/>
    <s v="eth1/3"/>
    <x v="0"/>
    <x v="0"/>
    <x v="0"/>
    <s v="CEM:ITHCEME2DAT02:LOM P3"/>
    <x v="5"/>
    <b v="0"/>
    <s v="No está en VPC"/>
    <n v="738"/>
    <s v="INTPG_ACC_738_1.3"/>
    <s v="ISEL-1.3"/>
    <n v="1"/>
    <s v="NO TIENE L3OUT"/>
    <n v="72"/>
    <n v="54"/>
  </r>
  <r>
    <n v="820"/>
    <x v="2"/>
    <x v="165"/>
    <s v="eth1/3"/>
    <x v="0"/>
    <x v="0"/>
    <x v="0"/>
    <s v="LINK_TO_ITHHWD6K60015DKC01 /CtrlB_IOM0.P1 /Redundante"/>
    <x v="0"/>
    <b v="0"/>
    <s v="No está en VPC"/>
    <n v="820"/>
    <s v="INTPG_ACC_820_1.3"/>
    <s v="ISEL-1.3"/>
    <n v="1"/>
    <s v="NO TIENE L3OUT"/>
    <n v="72"/>
    <n v="54"/>
  </r>
  <r>
    <n v="804"/>
    <x v="2"/>
    <x v="166"/>
    <s v="eth1/3"/>
    <x v="0"/>
    <x v="0"/>
    <x v="0"/>
    <s v="TO-HDPS_29-MSP"/>
    <x v="0"/>
    <b v="0"/>
    <s v="No está en VPC"/>
    <n v="804"/>
    <s v="INTPG_ACC_804_1.3"/>
    <s v="ISEL-1.3"/>
    <n v="1"/>
    <s v="NO TIENE L3OUT"/>
    <n v="48"/>
    <n v="54"/>
  </r>
  <r>
    <n v="779"/>
    <x v="2"/>
    <x v="167"/>
    <s v="eth1/3"/>
    <x v="0"/>
    <x v="0"/>
    <x v="0"/>
    <s v="ENIQ F1:itheniqr08nas1r3:LOM PORT 1"/>
    <x v="0"/>
    <b v="0"/>
    <s v="No está en VPC"/>
    <n v="779"/>
    <s v="INTPG_PC_779_1.3-6"/>
    <s v="ISEL-1.3"/>
    <n v="1"/>
    <s v="NO TIENE L3OUT"/>
    <n v="30"/>
    <n v="54"/>
  </r>
  <r>
    <n v="767"/>
    <x v="2"/>
    <x v="168"/>
    <s v="eth1/3"/>
    <x v="0"/>
    <x v="0"/>
    <x v="0"/>
    <s v="Portchannel_6_R6B"/>
    <x v="0"/>
    <b v="0"/>
    <s v="No está en VPC"/>
    <n v="767"/>
    <s v="INTPG_PC_767_1.3-6"/>
    <s v="ISEL-1.3"/>
    <n v="1"/>
    <s v="NO TIENE L3OUT"/>
    <n v="60"/>
    <n v="54"/>
  </r>
  <r>
    <n v="827"/>
    <x v="2"/>
    <x v="169"/>
    <s v="eth1/3"/>
    <x v="0"/>
    <x v="0"/>
    <x v="0"/>
    <s v="LINK_TO_ITHFHWCBSDSWR22 /Slot4.2 /Principal"/>
    <x v="0"/>
    <b v="0"/>
    <s v="No está en VPC"/>
    <n v="827"/>
    <s v="INTPG_VPC_827_1.3_831_1.3"/>
    <s v="ISEL-1.3"/>
    <n v="1"/>
    <s v="NO TIENE L3OUT"/>
    <n v="14"/>
    <n v="54"/>
  </r>
  <r>
    <n v="809"/>
    <x v="2"/>
    <x v="170"/>
    <s v="eth1/3"/>
    <x v="0"/>
    <x v="0"/>
    <x v="0"/>
    <s v="HUECOS DC_S3"/>
    <x v="0"/>
    <b v="0"/>
    <s v="No está en VPC"/>
    <n v="809"/>
    <s v="INTPG_VPC_808_1.1-6_809_1.1-6"/>
    <s v="ISEL-1.3"/>
    <n v="1"/>
    <s v="NO TIENE L3OUT"/>
    <n v="0"/>
    <n v="54"/>
  </r>
  <r>
    <n v="771"/>
    <x v="2"/>
    <x v="171"/>
    <s v="eth1/3"/>
    <x v="0"/>
    <x v="0"/>
    <x v="0"/>
    <s v="Portchannel_6_R6B"/>
    <x v="0"/>
    <b v="0"/>
    <s v="No está en VPC"/>
    <n v="771"/>
    <s v="INTPG_PC_771_1.1-4"/>
    <s v="ISEL-1.3"/>
    <n v="2"/>
    <s v="NO TIENE L3OUT"/>
    <n v="62"/>
    <n v="54"/>
  </r>
  <r>
    <n v="761"/>
    <x v="2"/>
    <x v="172"/>
    <s v="eth1/3"/>
    <x v="0"/>
    <x v="1"/>
    <x v="1"/>
    <m/>
    <x v="0"/>
    <b v="0"/>
    <s v="No está en VPC"/>
    <n v="761"/>
    <s v="INTPG_VPC_760_1.1-4_761_1.1-4"/>
    <s v="ISEL-1.3"/>
    <n v="0"/>
    <s v="L3OUT-EXACLOUD"/>
    <n v="0"/>
    <n v="54"/>
  </r>
  <r>
    <n v="776"/>
    <x v="2"/>
    <x v="173"/>
    <s v="eth1/3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3"/>
    <x v="0"/>
    <x v="0"/>
    <x v="0"/>
    <s v="TO-HDPS_53-MSP"/>
    <x v="0"/>
    <b v="0"/>
    <s v="No está en VPC"/>
    <n v="805"/>
    <s v="INTPG_ACC_805_1.3"/>
    <s v="ISEL-1.3"/>
    <n v="1"/>
    <s v="NO TIENE L3OUT"/>
    <n v="44"/>
    <n v="54"/>
  </r>
  <r>
    <n v="772"/>
    <x v="2"/>
    <x v="175"/>
    <s v="eth1/3"/>
    <x v="0"/>
    <x v="0"/>
    <x v="0"/>
    <s v="Portchannel_6_R2"/>
    <x v="0"/>
    <b v="0"/>
    <s v="No está en VPC"/>
    <n v="772"/>
    <s v="INTPG_PC_772_1.1-4"/>
    <s v="ISEL-1.3"/>
    <n v="1"/>
    <s v="NO TIENE L3OUT"/>
    <n v="82"/>
    <n v="54"/>
  </r>
  <r>
    <n v="785"/>
    <x v="2"/>
    <x v="176"/>
    <s v="eth1/3"/>
    <x v="0"/>
    <x v="0"/>
    <x v="0"/>
    <s v="ENIQ F2:itheniqr13bl01nas1r6a:LOM PORT 1"/>
    <x v="0"/>
    <b v="0"/>
    <s v="No está en VPC"/>
    <n v="785"/>
    <s v="INTPG_PC_785_1.3-6"/>
    <s v="ISEL-1.3"/>
    <n v="1"/>
    <s v="NO TIENE L3OUT"/>
    <n v="32"/>
    <n v="54"/>
  </r>
  <r>
    <n v="851"/>
    <x v="2"/>
    <x v="177"/>
    <s v="eth1/3"/>
    <x v="0"/>
    <x v="0"/>
    <x v="0"/>
    <s v="LINK_TO_ITHFHWCRMPLCN101 / Slot7.3_6 / Redundante"/>
    <x v="0"/>
    <b v="0"/>
    <s v="No está en VPC"/>
    <n v="851"/>
    <s v="INTPG_ACC_851_1.3"/>
    <s v="ISEL-1.3"/>
    <n v="1"/>
    <s v="NO TIENE L3OUT"/>
    <n v="282"/>
    <n v="54"/>
  </r>
  <r>
    <n v="798"/>
    <x v="2"/>
    <x v="178"/>
    <s v="eth1/3"/>
    <x v="0"/>
    <x v="0"/>
    <x v="0"/>
    <s v="TO-IMC_PS17-MSP"/>
    <x v="0"/>
    <b v="0"/>
    <s v="No está en VPC"/>
    <n v="798"/>
    <s v="INTPG_ACC_798_1.3"/>
    <s v="ISEL-1.3"/>
    <n v="1"/>
    <s v="NO TIENE L3OUT"/>
    <n v="52"/>
    <n v="54"/>
  </r>
  <r>
    <n v="782"/>
    <x v="2"/>
    <x v="179"/>
    <s v="eth1/3"/>
    <x v="0"/>
    <x v="0"/>
    <x v="0"/>
    <s v="LACP_NAS1_ENIQ9B"/>
    <x v="0"/>
    <b v="0"/>
    <s v="No está en VPC"/>
    <n v="782"/>
    <s v="INTPG_PC_782_1.3-6"/>
    <s v="ISEL-1.3"/>
    <n v="1"/>
    <s v="NO TIENE L3OUT"/>
    <n v="32"/>
    <n v="54"/>
  </r>
  <r>
    <n v="852"/>
    <x v="2"/>
    <x v="180"/>
    <s v="eth1/3"/>
    <x v="0"/>
    <x v="0"/>
    <x v="0"/>
    <s v="LINK_TO_ITHFHWCRMPLCN117 / Slot7.1_38 / Redundante"/>
    <x v="0"/>
    <b v="0"/>
    <s v="No está en VPC"/>
    <n v="852"/>
    <s v="INTPG_ACC_852_1.3"/>
    <s v="ISEL-1.3"/>
    <n v="6"/>
    <s v="NO TIENE L3OUT"/>
    <n v="258"/>
    <n v="54"/>
  </r>
  <r>
    <n v="817"/>
    <x v="2"/>
    <x v="181"/>
    <s v="eth1/3"/>
    <x v="0"/>
    <x v="0"/>
    <x v="0"/>
    <s v="LINK_TO_ITHFHWCBSPSWR22 /Slot4.2 /Principal"/>
    <x v="0"/>
    <b v="0"/>
    <s v="No está en VPC"/>
    <n v="817"/>
    <s v="INTPG_VPC_817_1.3_822_1.3"/>
    <s v="ISEL-1.3"/>
    <n v="1"/>
    <s v="NO TIENE L3OUT"/>
    <n v="0"/>
    <n v="54"/>
  </r>
  <r>
    <n v="832"/>
    <x v="2"/>
    <x v="182"/>
    <s v="eth1/3"/>
    <x v="0"/>
    <x v="0"/>
    <x v="0"/>
    <s v="LINK_TO_ITHFHWCBSDSWR32 /Slot6.2 /Redundante"/>
    <x v="0"/>
    <b v="0"/>
    <s v="No está en VPC"/>
    <n v="832"/>
    <s v="INTPG_VPC_828_1.3_832_1.3"/>
    <s v="ISEL-1.3"/>
    <n v="1"/>
    <s v="NO TIENE L3OUT"/>
    <n v="192"/>
    <n v="54"/>
  </r>
  <r>
    <n v="816"/>
    <x v="2"/>
    <x v="183"/>
    <s v="eth1/3"/>
    <x v="0"/>
    <x v="0"/>
    <x v="0"/>
    <s v="LINK_TO_ITHFHWCBSPSUSBD07 /Slot4.2 /Principal"/>
    <x v="0"/>
    <b v="0"/>
    <s v="No está en VPC"/>
    <n v="816"/>
    <s v="INTPG_VPC_816_1.3_821_1.3"/>
    <s v="ISEL-1.3"/>
    <n v="1"/>
    <s v="NO TIENE L3OUT"/>
    <n v="0"/>
    <n v="54"/>
  </r>
  <r>
    <n v="825"/>
    <x v="2"/>
    <x v="184"/>
    <s v="eth1/3"/>
    <x v="0"/>
    <x v="0"/>
    <x v="0"/>
    <s v="LINK_TO_ITHHWD6K60015DKC01 /CtrlB_IOM0.P0 /Principal"/>
    <x v="0"/>
    <b v="0"/>
    <s v="No está en VPC"/>
    <n v="825"/>
    <s v="INTPG_ACC_825_1.3"/>
    <s v="ISEL-1.3"/>
    <n v="1"/>
    <s v="NO TIENE L3OUT"/>
    <n v="72"/>
    <n v="54"/>
  </r>
  <r>
    <n v="800"/>
    <x v="2"/>
    <x v="185"/>
    <s v="eth1/3"/>
    <x v="0"/>
    <x v="0"/>
    <x v="0"/>
    <s v="TO-DSS_01-MSP"/>
    <x v="0"/>
    <b v="0"/>
    <s v="No está en VPC"/>
    <n v="800"/>
    <s v="INTPG_ACC_800_1.3"/>
    <s v="ISEL-1.3"/>
    <n v="1"/>
    <s v="NO TIENE L3OUT"/>
    <n v="78"/>
    <n v="54"/>
  </r>
  <r>
    <n v="801"/>
    <x v="2"/>
    <x v="186"/>
    <s v="eth1/3"/>
    <x v="0"/>
    <x v="0"/>
    <x v="0"/>
    <s v="TO-DSS_01-MSP"/>
    <x v="0"/>
    <b v="0"/>
    <s v="No está en VPC"/>
    <n v="801"/>
    <s v="INTPG_ACC_801_1.3"/>
    <s v="ISEL-1.3"/>
    <n v="1"/>
    <s v="NO TIENE L3OUT"/>
    <n v="78"/>
    <n v="54"/>
  </r>
  <r>
    <n v="823"/>
    <x v="2"/>
    <x v="187"/>
    <s v="eth1/3"/>
    <x v="0"/>
    <x v="0"/>
    <x v="0"/>
    <s v="LINK_TO_ITHFHWCBSPSWR30 /Slot6.2 /Redundante"/>
    <x v="0"/>
    <b v="0"/>
    <s v="No está en VPC"/>
    <n v="823"/>
    <s v="INTPG_VPC_818_1.3_823_1.3"/>
    <s v="ISEL-1.3"/>
    <n v="1"/>
    <s v="NO TIENE L3OUT"/>
    <n v="8"/>
    <n v="54"/>
  </r>
  <r>
    <n v="837"/>
    <x v="2"/>
    <x v="188"/>
    <s v="eth1/3"/>
    <x v="0"/>
    <x v="0"/>
    <x v="0"/>
    <s v="LINK_TO_ITHFHWCBSPSHDCTL05 / Slot1.2_12 / Principal"/>
    <x v="0"/>
    <b v="0"/>
    <s v="No está en VPC"/>
    <n v="837"/>
    <s v="INTPG_VPC_837_1.3_842_1.3"/>
    <s v="ISEL-1.3"/>
    <n v="1"/>
    <s v="NO TIENE L3OUT"/>
    <n v="8"/>
    <n v="54"/>
  </r>
  <r>
    <n v="867"/>
    <x v="2"/>
    <x v="189"/>
    <s v="eth1/3"/>
    <x v="0"/>
    <x v="0"/>
    <x v="0"/>
    <s v="To_VPC_2DCBSD_WR38_2"/>
    <x v="0"/>
    <b v="0"/>
    <s v="No está en VPC"/>
    <n v="867"/>
    <s v="INTPG_VPC_862_1.3_867_1.3"/>
    <s v="ISEL-1.3"/>
    <n v="1"/>
    <s v="NO TIENE L3OUT"/>
    <n v="44"/>
    <n v="54"/>
  </r>
  <r>
    <n v="829"/>
    <x v="2"/>
    <x v="190"/>
    <s v="eth1/3"/>
    <x v="0"/>
    <x v="0"/>
    <x v="0"/>
    <s v="LINK_TO_ITHFHWCRMDLCN28 /Slot6.2 /Redundante"/>
    <x v="0"/>
    <b v="0"/>
    <s v="No está en VPC"/>
    <n v="829"/>
    <s v="INTPG_ACC_829_1.3"/>
    <s v="ISEL-1.3"/>
    <n v="1"/>
    <s v="NO TIENE L3OUT"/>
    <n v="224"/>
    <n v="54"/>
  </r>
  <r>
    <n v="831"/>
    <x v="2"/>
    <x v="191"/>
    <s v="eth1/3"/>
    <x v="0"/>
    <x v="0"/>
    <x v="0"/>
    <s v="LINK_TO_ITHFHWCBSDSWR22 /Slot6.2 /Redundante"/>
    <x v="0"/>
    <b v="0"/>
    <s v="No está en VPC"/>
    <n v="831"/>
    <s v="INTPG_VPC_827_1.3_831_1.3"/>
    <s v="ISEL-1.3"/>
    <n v="1"/>
    <s v="NO TIENE L3OUT"/>
    <n v="14"/>
    <n v="54"/>
  </r>
  <r>
    <n v="802"/>
    <x v="2"/>
    <x v="192"/>
    <s v="eth1/3"/>
    <x v="0"/>
    <x v="0"/>
    <x v="0"/>
    <s v="TO-HDPS_05-MSP"/>
    <x v="0"/>
    <b v="0"/>
    <s v="No está en VPC"/>
    <n v="802"/>
    <s v="INTPG_ACC_802_1.3"/>
    <s v="ISEL-1.3"/>
    <n v="1"/>
    <s v="NO TIENE L3OUT"/>
    <n v="48"/>
    <n v="54"/>
  </r>
  <r>
    <n v="835"/>
    <x v="2"/>
    <x v="193"/>
    <s v="eth1/3"/>
    <x v="0"/>
    <x v="0"/>
    <x v="0"/>
    <s v="LINK_TO_ITHFHWCBSPSUSBD36 / Slot1.3_8 / Principal"/>
    <x v="0"/>
    <b v="0"/>
    <s v="No está en VPC"/>
    <n v="835"/>
    <s v="INTPG_VPC_835_1.3_840_1.3"/>
    <s v="ISEL-1.3"/>
    <n v="1"/>
    <s v="NO TIENE L3OUT"/>
    <n v="8"/>
    <n v="54"/>
  </r>
  <r>
    <n v="822"/>
    <x v="2"/>
    <x v="194"/>
    <s v="eth1/3"/>
    <x v="0"/>
    <x v="0"/>
    <x v="0"/>
    <s v="LINK_TO_ITHFHWCBSPSWR22 /Slot6.2 /Redundante"/>
    <x v="0"/>
    <b v="0"/>
    <s v="No está en VPC"/>
    <n v="822"/>
    <s v="INTPG_VPC_817_1.3_822_1.3"/>
    <s v="ISEL-1.3"/>
    <n v="1"/>
    <s v="NO TIENE L3OUT"/>
    <n v="0"/>
    <n v="54"/>
  </r>
  <r>
    <n v="854"/>
    <x v="2"/>
    <x v="195"/>
    <s v="eth1/3"/>
    <x v="0"/>
    <x v="0"/>
    <x v="0"/>
    <s v="LINK_TO_ITHFHWCRMPSBDA05 / Slot7.3_4 / Redundante"/>
    <x v="0"/>
    <b v="0"/>
    <s v="No está en VPC"/>
    <n v="854"/>
    <s v="INTPG_VPC_847_1.3_854_1.3"/>
    <s v="ISEL-1.3"/>
    <n v="1"/>
    <s v="NO TIENE L3OUT"/>
    <n v="204"/>
    <n v="54"/>
  </r>
  <r>
    <n v="858"/>
    <x v="2"/>
    <x v="196"/>
    <s v="eth1/3"/>
    <x v="0"/>
    <x v="0"/>
    <x v="0"/>
    <s v="To_VPC_2DCBSD_HD37_3"/>
    <x v="0"/>
    <b v="0"/>
    <s v="No está en VPC"/>
    <n v="858"/>
    <s v="INTPG_VPC_858_1.3_863_1.3"/>
    <s v="ISEL-1.3"/>
    <n v="1"/>
    <s v="NO TIENE L3OUT"/>
    <n v="8"/>
    <n v="54"/>
  </r>
  <r>
    <n v="857"/>
    <x v="2"/>
    <x v="197"/>
    <s v="eth1/3"/>
    <x v="0"/>
    <x v="0"/>
    <x v="0"/>
    <s v="LINK_TO_ITHFHWCRMPLCN151 / Slot1.2_36 / Principal"/>
    <x v="0"/>
    <b v="0"/>
    <s v="No está en VPC"/>
    <n v="857"/>
    <s v="INTPG_ACC_857_1.3"/>
    <s v="ISEL-1.3"/>
    <n v="2"/>
    <s v="NO TIENE L3OUT"/>
    <n v="288"/>
    <n v="54"/>
  </r>
  <r>
    <n v="859"/>
    <x v="2"/>
    <x v="198"/>
    <s v="eth1/3"/>
    <x v="0"/>
    <x v="0"/>
    <x v="0"/>
    <s v="To_VPC_2DCBSD_HD31_3"/>
    <x v="0"/>
    <b v="0"/>
    <s v="No está en VPC"/>
    <n v="859"/>
    <s v="INTPG_VPC_859_1.3_864_1.3"/>
    <s v="ISEL-1.3"/>
    <n v="1"/>
    <s v="NO TIENE L3OUT"/>
    <n v="0"/>
    <n v="54"/>
  </r>
  <r>
    <n v="833"/>
    <x v="2"/>
    <x v="199"/>
    <s v="eth1/3"/>
    <x v="0"/>
    <x v="0"/>
    <x v="0"/>
    <s v="LINK_TO_ITHFHWCRMDLCN28 /Slot4.2 /Principal"/>
    <x v="0"/>
    <b v="0"/>
    <s v="No está en VPC"/>
    <n v="833"/>
    <s v="INTPG_ACC_833_1.3"/>
    <s v="ISEL-1.3"/>
    <n v="1"/>
    <s v="NO TIENE L3OUT"/>
    <n v="224"/>
    <n v="54"/>
  </r>
  <r>
    <n v="818"/>
    <x v="2"/>
    <x v="200"/>
    <s v="eth1/3"/>
    <x v="0"/>
    <x v="0"/>
    <x v="0"/>
    <s v="LINK_TO_ITHFHWCBSPSWR30 /Slot4.2 /Principal"/>
    <x v="0"/>
    <b v="0"/>
    <s v="No está en VPC"/>
    <n v="818"/>
    <s v="INTPG_VPC_818_1.3_823_1.3"/>
    <s v="ISEL-1.3"/>
    <n v="1"/>
    <s v="NO TIENE L3OUT"/>
    <n v="8"/>
    <n v="54"/>
  </r>
  <r>
    <n v="850"/>
    <x v="2"/>
    <x v="201"/>
    <s v="eth1/3"/>
    <x v="0"/>
    <x v="0"/>
    <x v="0"/>
    <s v="LINK_TO_ITHFHWCRMPLCN151 / Slot7.2_36 / Redundante"/>
    <x v="0"/>
    <b v="0"/>
    <s v="No está en VPC"/>
    <n v="850"/>
    <s v="INTPG_ACC_850_1.3"/>
    <s v="ISEL-1.3"/>
    <n v="2"/>
    <s v="NO TIENE L3OUT"/>
    <n v="288"/>
    <n v="54"/>
  </r>
  <r>
    <n v="860"/>
    <x v="2"/>
    <x v="202"/>
    <s v="eth1/3"/>
    <x v="0"/>
    <x v="0"/>
    <x v="0"/>
    <s v="To_VPC_2DCBSD_WR52_3"/>
    <x v="0"/>
    <b v="0"/>
    <s v="No está en VPC"/>
    <n v="860"/>
    <s v="INTPG_VPC_860_1.3_865_1.3"/>
    <s v="ISEL-1.3"/>
    <n v="1"/>
    <s v="NO TIENE L3OUT"/>
    <n v="0"/>
    <n v="54"/>
  </r>
  <r>
    <n v="853"/>
    <x v="2"/>
    <x v="203"/>
    <s v="eth1/3"/>
    <x v="0"/>
    <x v="0"/>
    <x v="0"/>
    <s v="VPC_2DCRMP_BDP06_1"/>
    <x v="0"/>
    <b v="0"/>
    <s v="No está en VPC"/>
    <n v="853"/>
    <s v="INTPG_VPC_846_1.3_853_1.3"/>
    <s v="ISEL-1.3"/>
    <n v="6"/>
    <s v="NO TIENE L3OUT"/>
    <n v="242"/>
    <n v="54"/>
  </r>
  <r>
    <n v="790"/>
    <x v="2"/>
    <x v="204"/>
    <s v="eth1/3"/>
    <x v="0"/>
    <x v="0"/>
    <x v="0"/>
    <s v="LAGU2020R8"/>
    <x v="0"/>
    <b v="0"/>
    <s v="No está en VPC"/>
    <n v="790"/>
    <s v="INTPG_VPC_790_1.1_3_791_1.2_4"/>
    <s v="ISEL-1.3"/>
    <n v="1"/>
    <s v="NO TIENE L3OUT"/>
    <n v="20"/>
    <n v="54"/>
  </r>
  <r>
    <n v="105"/>
    <x v="0"/>
    <x v="205"/>
    <s v="eth1/3"/>
    <x v="0"/>
    <x v="1"/>
    <x v="1"/>
    <s v="DESC"/>
    <x v="6"/>
    <b v="0"/>
    <s v="No está en VPC"/>
    <n v="105"/>
    <s v="INTPG_PC_105_1.1-4_32-35"/>
    <s v="ISEL-1.3"/>
    <n v="17"/>
    <s v="NO TIENE L3OUT"/>
    <n v="106"/>
    <n v="96"/>
  </r>
  <r>
    <n v="117"/>
    <x v="0"/>
    <x v="206"/>
    <s v="eth1/3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3"/>
    <x v="0"/>
    <x v="1"/>
    <x v="1"/>
    <s v="SFLDI"/>
    <x v="6"/>
    <b v="0"/>
    <s v="No está en VPC"/>
    <n v="104"/>
    <s v="INTPG_ACC_104_1.3"/>
    <s v="ISEL-1.3"/>
    <n v="1"/>
    <s v="NO TIENE L3OUT"/>
    <n v="194"/>
    <n v="96"/>
  </r>
  <r>
    <n v="158"/>
    <x v="0"/>
    <x v="208"/>
    <s v="eth1/3"/>
    <x v="0"/>
    <x v="0"/>
    <x v="0"/>
    <s v="ARIESO_GEOLOCALIZACION"/>
    <x v="6"/>
    <b v="0"/>
    <s v="No está en VPC"/>
    <n v="158"/>
    <s v="INTPG_ACC_158_1.3"/>
    <s v="ISEL-1.3"/>
    <n v="1"/>
    <s v="NO TIENE L3OUT"/>
    <n v="30"/>
    <n v="96"/>
  </r>
  <r>
    <n v="875"/>
    <x v="2"/>
    <x v="209"/>
    <s v="eth1/3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3"/>
    <x v="0"/>
    <x v="0"/>
    <x v="0"/>
    <s v="HACIA_CSI-A-OSCP-F4-11_PRINCIPAL"/>
    <x v="4"/>
    <b v="0"/>
    <s v="No está en VPC"/>
    <n v="879"/>
    <s v="INTPG_VPC_878_1.3_879_1.3"/>
    <s v="ISEL-1.3"/>
    <n v="2"/>
    <s v="NO TIENE L3OUT"/>
    <n v="0"/>
    <n v="54"/>
  </r>
  <r>
    <n v="108"/>
    <x v="0"/>
    <x v="211"/>
    <s v="eth1/3"/>
    <x v="1"/>
    <x v="1"/>
    <x v="2"/>
    <m/>
    <x v="6"/>
    <b v="0"/>
    <s v="No está en VPC"/>
    <n v="108"/>
    <s v="INTPG_ACC_108_1.3"/>
    <s v="ISEL-1.3"/>
    <n v="5"/>
    <s v="NO TIENE L3OUT"/>
    <n v="126"/>
    <n v="96"/>
  </r>
  <r>
    <n v="112"/>
    <x v="0"/>
    <x v="212"/>
    <s v="eth1/3"/>
    <x v="1"/>
    <x v="1"/>
    <x v="2"/>
    <s v="NPG_2"/>
    <x v="6"/>
    <b v="0"/>
    <s v="No está en VPC"/>
    <n v="112"/>
    <s v="INTPG_ACC_112_1.3"/>
    <s v="ISEL-1.3"/>
    <n v="1"/>
    <s v="NO TIENE L3OUT"/>
    <n v="144"/>
    <n v="96"/>
  </r>
  <r>
    <n v="107"/>
    <x v="0"/>
    <x v="213"/>
    <s v="eth1/3"/>
    <x v="0"/>
    <x v="1"/>
    <x v="1"/>
    <s v="Consolidaci\u00f3n Aseguramiento de Ingresos "/>
    <x v="6"/>
    <b v="0"/>
    <s v="No está en VPC"/>
    <n v="107"/>
    <s v="INTPG_ACC_107_1.3"/>
    <s v="ISEL-1.3"/>
    <n v="1"/>
    <s v="NO TIENE L3OUT"/>
    <n v="118"/>
    <n v="96"/>
  </r>
  <r>
    <n v="109"/>
    <x v="0"/>
    <x v="214"/>
    <s v="eth1/3"/>
    <x v="0"/>
    <x v="1"/>
    <x v="1"/>
    <s v="File System AM"/>
    <x v="6"/>
    <b v="0"/>
    <s v="No está en VPC"/>
    <n v="109"/>
    <s v="INTPG_ACC_109_1.3"/>
    <s v="ISEL-1.3"/>
    <n v="5"/>
    <s v="NO TIENE L3OUT"/>
    <n v="126"/>
    <n v="96"/>
  </r>
  <r>
    <n v="113"/>
    <x v="0"/>
    <x v="215"/>
    <s v="eth1/3"/>
    <x v="0"/>
    <x v="0"/>
    <x v="0"/>
    <s v="ASAP"/>
    <x v="6"/>
    <b v="0"/>
    <s v="No está en VPC"/>
    <n v="113"/>
    <s v="INTPG_ACC_113_1.3"/>
    <s v="ISEL-1.3"/>
    <n v="1"/>
    <s v="NO TIENE L3OUT"/>
    <n v="52"/>
    <n v="96"/>
  </r>
  <r>
    <n v="114"/>
    <x v="0"/>
    <x v="216"/>
    <s v="eth1/3"/>
    <x v="1"/>
    <x v="1"/>
    <x v="2"/>
    <s v="NPG_2"/>
    <x v="6"/>
    <b v="0"/>
    <s v="No está en VPC"/>
    <n v="114"/>
    <s v="INTPG_ACC_114_1.3"/>
    <s v="ISEL-1.3"/>
    <n v="1"/>
    <s v="NO TIENE L3OUT"/>
    <n v="144"/>
    <n v="96"/>
  </r>
  <r>
    <n v="124"/>
    <x v="0"/>
    <x v="217"/>
    <s v="eth1/3"/>
    <x v="0"/>
    <x v="0"/>
    <x v="0"/>
    <s v="GSM_OSS_QRO_R6"/>
    <x v="6"/>
    <b v="0"/>
    <s v="No está en VPC"/>
    <n v="124"/>
    <s v="INTPG_VPC_124_1.3_125_1.2"/>
    <s v="ISEL-1.3"/>
    <n v="10"/>
    <s v="NO TIENE L3OUT"/>
    <n v="80"/>
    <n v="96"/>
  </r>
  <r>
    <n v="118"/>
    <x v="0"/>
    <x v="218"/>
    <s v="eth1/3"/>
    <x v="0"/>
    <x v="1"/>
    <x v="1"/>
    <s v="ASAP BATCH"/>
    <x v="6"/>
    <b v="0"/>
    <s v="No está en VPC"/>
    <n v="118"/>
    <s v="INTPG_ACC_118_1.3"/>
    <s v="ISEL-1.3"/>
    <n v="1"/>
    <s v="NO TIENE L3OUT"/>
    <n v="180"/>
    <n v="96"/>
  </r>
  <r>
    <n v="159"/>
    <x v="0"/>
    <x v="219"/>
    <s v="eth1/3"/>
    <x v="0"/>
    <x v="1"/>
    <x v="1"/>
    <s v="TRAP"/>
    <x v="6"/>
    <b v="0"/>
    <s v="No está en VPC"/>
    <n v="159"/>
    <s v="INTPG_PC_159_1.2-7"/>
    <s v="ISEL-1.3"/>
    <n v="12"/>
    <s v="NO TIENE L3OUT"/>
    <n v="72"/>
    <n v="96"/>
  </r>
  <r>
    <n v="840"/>
    <x v="2"/>
    <x v="220"/>
    <s v="eth1/3"/>
    <x v="0"/>
    <x v="0"/>
    <x v="0"/>
    <s v="LINK_TO_ITHFHWCBSPSUSBD36 / Slot7.3_8 / Redundante"/>
    <x v="0"/>
    <b v="0"/>
    <s v="No está en VPC"/>
    <n v="840"/>
    <s v="INTPG_VPC_835_1.3_840_1.3"/>
    <s v="ISEL-1.3"/>
    <n v="1"/>
    <s v="NO TIENE L3OUT"/>
    <n v="8"/>
    <n v="54"/>
  </r>
  <r>
    <n v="856"/>
    <x v="2"/>
    <x v="221"/>
    <s v="eth1/3"/>
    <x v="0"/>
    <x v="0"/>
    <x v="0"/>
    <s v="LINK_TO_ITHFHWCRMPLCN135 / Slot1.2_4 / Principal"/>
    <x v="0"/>
    <b v="0"/>
    <s v="No está en VPC"/>
    <n v="856"/>
    <s v="INTPG_ACC_856_1.3"/>
    <s v="ISEL-1.3"/>
    <n v="2"/>
    <s v="NO TIENE L3OUT"/>
    <n v="286"/>
    <n v="54"/>
  </r>
  <r>
    <n v="110"/>
    <x v="0"/>
    <x v="222"/>
    <s v="eth1/3"/>
    <x v="0"/>
    <x v="1"/>
    <x v="8"/>
    <s v="OCUDR_1"/>
    <x v="6"/>
    <b v="0"/>
    <s v="No está en VPC"/>
    <n v="110"/>
    <s v="INTPG_ACC_110_1.3"/>
    <s v="ISEL-1.3"/>
    <n v="1"/>
    <s v="NO TIENE L3OUT"/>
    <n v="102"/>
    <n v="96"/>
  </r>
  <r>
    <n v="163"/>
    <x v="0"/>
    <x v="223"/>
    <s v="eth1/3"/>
    <x v="0"/>
    <x v="0"/>
    <x v="0"/>
    <s v="IBM SICOD"/>
    <x v="6"/>
    <b v="0"/>
    <s v="No está en VPC"/>
    <n v="163"/>
    <s v="INTPG_ACC_163_1.3"/>
    <s v="ISEL-1.3"/>
    <n v="1"/>
    <s v="NO TIENE L3OUT"/>
    <n v="140"/>
    <n v="96"/>
  </r>
  <r>
    <n v="407"/>
    <x v="1"/>
    <x v="224"/>
    <s v="eth1/3"/>
    <x v="0"/>
    <x v="0"/>
    <x v="0"/>
    <s v="RLR2ARI02"/>
    <x v="6"/>
    <b v="0"/>
    <s v="No está en VPC"/>
    <n v="407"/>
    <s v="INTPG_ACC_407_1.3"/>
    <s v="ISEL-1.3"/>
    <n v="1"/>
    <s v="NO TIENE L3OUT"/>
    <n v="122"/>
    <n v="96"/>
  </r>
  <r>
    <n v="171"/>
    <x v="0"/>
    <x v="225"/>
    <s v="eth1/3"/>
    <x v="0"/>
    <x v="1"/>
    <x v="1"/>
    <s v="GSM_ENIQ_GDL"/>
    <x v="6"/>
    <b v="0"/>
    <s v="No está en VPC"/>
    <n v="171"/>
    <s v="INTPG_ACC_171_1.3"/>
    <s v="ISEL-1.3"/>
    <n v="1"/>
    <s v="NO TIENE L3OUT"/>
    <n v="114"/>
    <n v="96"/>
  </r>
  <r>
    <n v="421"/>
    <x v="1"/>
    <x v="226"/>
    <s v="eth1/3"/>
    <x v="0"/>
    <x v="0"/>
    <x v="0"/>
    <s v="Prime-UCS-CLU1-A_client_LAG3_CISCOPRIME"/>
    <x v="6"/>
    <b v="0"/>
    <s v="No está en VPC"/>
    <n v="421"/>
    <s v="INTPG_VPC_419_1.3_421_1.3"/>
    <s v="ISEL-1.3"/>
    <n v="3"/>
    <s v="NO TIENE L3OUT"/>
    <n v="72"/>
    <n v="96"/>
  </r>
  <r>
    <n v="173"/>
    <x v="0"/>
    <x v="227"/>
    <s v="eth1/3"/>
    <x v="0"/>
    <x v="1"/>
    <x v="1"/>
    <s v="Storage"/>
    <x v="6"/>
    <b v="0"/>
    <s v="No está en VPC"/>
    <n v="173"/>
    <s v="INTPG_ACC_173_1.3"/>
    <s v="ISEL-1.3"/>
    <n v="1"/>
    <s v="NO TIENE L3OUT"/>
    <n v="66"/>
    <n v="96"/>
  </r>
  <r>
    <n v="154"/>
    <x v="0"/>
    <x v="228"/>
    <s v="eth1/3"/>
    <x v="0"/>
    <x v="1"/>
    <x v="1"/>
    <s v="SEGURIDAD OPERATIVA"/>
    <x v="6"/>
    <b v="0"/>
    <s v="No está en VPC"/>
    <n v="154"/>
    <s v="INTPG_ACC_154_1.3"/>
    <s v="ISEL-1.3"/>
    <n v="1"/>
    <s v="NO TIENE L3OUT"/>
    <n v="62"/>
    <n v="96"/>
  </r>
  <r>
    <n v="172"/>
    <x v="0"/>
    <x v="229"/>
    <s v="eth1/3"/>
    <x v="0"/>
    <x v="0"/>
    <x v="0"/>
    <s v="GSM_ENIQ_GDL_R6"/>
    <x v="6"/>
    <b v="0"/>
    <s v="No está en VPC"/>
    <n v="172"/>
    <s v="INTPG_VPC_171_1.2_172_1.3"/>
    <s v="ISEL-1.3"/>
    <n v="10"/>
    <s v="NO TIENE L3OUT"/>
    <n v="104"/>
    <n v="96"/>
  </r>
  <r>
    <n v="420"/>
    <x v="1"/>
    <x v="230"/>
    <s v="eth1/3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3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3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3"/>
    <x v="0"/>
    <x v="1"/>
    <x v="1"/>
    <s v="SFLDI:RLDIWEB03:1"/>
    <x v="6"/>
    <b v="0"/>
    <s v="No está en VPC"/>
    <n v="102"/>
    <s v="INTPG_ACC_102_1.3"/>
    <s v="ISEL-1.3"/>
    <n v="1"/>
    <s v="NO TIENE L3OUT"/>
    <n v="228"/>
    <n v="96"/>
  </r>
  <r>
    <n v="863"/>
    <x v="2"/>
    <x v="234"/>
    <s v="eth1/3"/>
    <x v="0"/>
    <x v="0"/>
    <x v="0"/>
    <s v="To_VPC_2DCBSD_HD37_3"/>
    <x v="0"/>
    <b v="0"/>
    <s v="No está en VPC"/>
    <n v="863"/>
    <s v="INTPG_VPC_858_1.3_863_1.3"/>
    <s v="ISEL-1.3"/>
    <n v="1"/>
    <s v="NO TIENE L3OUT"/>
    <n v="8"/>
    <n v="54"/>
  </r>
  <r>
    <n v="876"/>
    <x v="2"/>
    <x v="235"/>
    <s v="eth1/3"/>
    <x v="0"/>
    <x v="0"/>
    <x v="0"/>
    <s v="LINK_TO_ITHFHWSEQLHDPS72 / Slot 4 PTO 1 / Principal"/>
    <x v="4"/>
    <b v="0"/>
    <s v="No está en VPC"/>
    <n v="876"/>
    <s v="INTPG_ACC_876_1.3"/>
    <s v="ISEL-1.3"/>
    <n v="1"/>
    <s v="NO TIENE L3OUT"/>
    <n v="92"/>
    <n v="54"/>
  </r>
  <r>
    <n v="877"/>
    <x v="2"/>
    <x v="236"/>
    <s v="eth1/3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3"/>
    <x v="0"/>
    <x v="0"/>
    <x v="0"/>
    <s v="RACK2-NZTF24"/>
    <x v="6"/>
    <b v="0"/>
    <s v="No está en VPC"/>
    <n v="122"/>
    <s v="INTPG_ACC_122_1.3"/>
    <s v="ISEL-1.3"/>
    <n v="1"/>
    <s v="NO TIENE L3OUT"/>
    <n v="148"/>
    <n v="96"/>
  </r>
  <r>
    <n v="157"/>
    <x v="0"/>
    <x v="238"/>
    <s v="eth1/3"/>
    <x v="1"/>
    <x v="1"/>
    <x v="2"/>
    <s v="Circulo Azul M5000"/>
    <x v="6"/>
    <b v="0"/>
    <s v="No está en VPC"/>
    <n v="157"/>
    <s v="INTPG_ACC_157_1.3"/>
    <s v="ISEL-1.3"/>
    <n v="1"/>
    <s v="NO TIENE L3OUT"/>
    <n v="202"/>
    <n v="96"/>
  </r>
  <r>
    <n v="408"/>
    <x v="1"/>
    <x v="239"/>
    <s v="eth1/3"/>
    <x v="1"/>
    <x v="1"/>
    <x v="2"/>
    <m/>
    <x v="6"/>
    <b v="0"/>
    <s v="No está en VPC"/>
    <n v="408"/>
    <s v="NO EXISTE PG"/>
    <s v="NO EXISTE ISEL"/>
    <n v="0"/>
    <s v="NO TIENE L3OUT"/>
    <n v="152"/>
    <n v="96"/>
  </r>
  <r>
    <n v="405"/>
    <x v="1"/>
    <x v="240"/>
    <s v="eth1/3"/>
    <x v="0"/>
    <x v="0"/>
    <x v="0"/>
    <s v="IXT_ARIESO4_LDR3"/>
    <x v="6"/>
    <b v="0"/>
    <s v="No está en VPC"/>
    <n v="405"/>
    <s v="INTPG_ACC_405_1.3"/>
    <s v="ISEL-1.3"/>
    <n v="1"/>
    <s v="NO TIENE L3OUT"/>
    <n v="138"/>
    <n v="96"/>
  </r>
  <r>
    <n v="169"/>
    <x v="0"/>
    <x v="241"/>
    <s v="eth1/3"/>
    <x v="1"/>
    <x v="1"/>
    <x v="2"/>
    <s v="RBT"/>
    <x v="6"/>
    <b v="0"/>
    <s v="No está en VPC"/>
    <n v="169"/>
    <s v="INTPG_VPC_167_1.1_33_169_1.3_24"/>
    <s v="ISEL-1.3"/>
    <n v="3"/>
    <s v="NO TIENE L3OUT"/>
    <n v="76"/>
    <n v="96"/>
  </r>
  <r>
    <n v="165"/>
    <x v="0"/>
    <x v="242"/>
    <s v="eth1/3"/>
    <x v="0"/>
    <x v="1"/>
    <x v="1"/>
    <s v="NETIQ"/>
    <x v="6"/>
    <b v="0"/>
    <s v="No está en VPC"/>
    <n v="165"/>
    <s v="INTPG_ACC_165_1.3"/>
    <s v="ISEL-1.3"/>
    <n v="1"/>
    <s v="NO TIENE L3OUT"/>
    <n v="86"/>
    <n v="96"/>
  </r>
  <r>
    <n v="417"/>
    <x v="1"/>
    <x v="243"/>
    <s v="eth1/3"/>
    <x v="0"/>
    <x v="0"/>
    <x v="0"/>
    <s v="To-uxingemc4 ldom2 uxinghdr4"/>
    <x v="6"/>
    <b v="0"/>
    <s v="No está en VPC"/>
    <n v="417"/>
    <s v="INTPG_ACC_417_1.3"/>
    <s v="ISEL-1.3"/>
    <n v="1"/>
    <s v="NO TIENE L3OUT"/>
    <n v="56"/>
    <n v="96"/>
  </r>
  <r>
    <n v="153"/>
    <x v="0"/>
    <x v="244"/>
    <s v="eth1/3"/>
    <x v="1"/>
    <x v="1"/>
    <x v="2"/>
    <s v="BLOQUEO EMEI"/>
    <x v="6"/>
    <b v="0"/>
    <s v="No está en VPC"/>
    <n v="153"/>
    <s v="INTPG_ACC_153_1.3"/>
    <s v="ISEL-1.3"/>
    <n v="1"/>
    <s v="NO TIENE L3OUT"/>
    <n v="42"/>
    <n v="96"/>
  </r>
  <r>
    <n v="119"/>
    <x v="0"/>
    <x v="245"/>
    <s v="eth1/3"/>
    <x v="1"/>
    <x v="1"/>
    <x v="2"/>
    <s v="DESC"/>
    <x v="6"/>
    <b v="0"/>
    <s v="No está en VPC"/>
    <n v="119"/>
    <s v="INTPG_PC_119_1.1-4_17-20"/>
    <s v="ISEL-1.3"/>
    <n v="31"/>
    <s v="NO TIENE L3OUT"/>
    <n v="70"/>
    <n v="96"/>
  </r>
  <r>
    <n v="156"/>
    <x v="0"/>
    <x v="246"/>
    <s v="eth1/3"/>
    <x v="0"/>
    <x v="0"/>
    <x v="0"/>
    <s v="ARIESO_GEOLOCALIZACION"/>
    <x v="6"/>
    <b v="0"/>
    <s v="No está en VPC"/>
    <n v="156"/>
    <s v="INTPG_ACC_156_1.3"/>
    <s v="ISEL-1.3"/>
    <n v="1"/>
    <s v="NO TIENE L3OUT"/>
    <n v="40"/>
    <n v="96"/>
  </r>
  <r>
    <n v="103"/>
    <x v="0"/>
    <x v="247"/>
    <s v="eth1/3"/>
    <x v="0"/>
    <x v="1"/>
    <x v="1"/>
    <s v="EHEALTH:ehealthp06:NET01"/>
    <x v="6"/>
    <b v="0"/>
    <s v="No está en VPC"/>
    <n v="103"/>
    <s v="INTPG_ACC_103_1.3"/>
    <s v="ISEL-1.3"/>
    <n v="1"/>
    <s v="NO TIENE L3OUT"/>
    <n v="70"/>
    <n v="96"/>
  </r>
  <r>
    <n v="438"/>
    <x v="1"/>
    <x v="248"/>
    <s v="eth1/3"/>
    <x v="0"/>
    <x v="1"/>
    <x v="1"/>
    <s v="uxdomaine"/>
    <x v="6"/>
    <b v="0"/>
    <s v="No está en VPC"/>
    <n v="438"/>
    <s v="INTPG_ACC_438_1.3"/>
    <s v="ISEL-1.3"/>
    <n v="1"/>
    <s v="NO TIENE L3OUT"/>
    <n v="170"/>
    <n v="96"/>
  </r>
  <r>
    <n v="406"/>
    <x v="1"/>
    <x v="249"/>
    <s v="eth1/3"/>
    <x v="0"/>
    <x v="0"/>
    <x v="0"/>
    <s v="client_ITHPF1_EN1SW2"/>
    <x v="6"/>
    <b v="0"/>
    <s v="No está en VPC"/>
    <n v="406"/>
    <s v="INTPG_VPC_404_1.3-4_406_1.3-4"/>
    <s v="ISEL-1.3"/>
    <n v="4"/>
    <s v="NO TIENE L3OUT"/>
    <n v="82"/>
    <n v="96"/>
  </r>
  <r>
    <n v="414"/>
    <x v="1"/>
    <x v="250"/>
    <s v="eth1/3"/>
    <x v="0"/>
    <x v="0"/>
    <x v="0"/>
    <s v="ITHRTCNBU1_2"/>
    <x v="6"/>
    <b v="0"/>
    <s v="No está en VPC"/>
    <n v="414"/>
    <s v="INTPG_ACC_414_1.3"/>
    <s v="ISEL-1.3"/>
    <n v="1"/>
    <s v="NO TIENE L3OUT"/>
    <n v="144"/>
    <n v="96"/>
  </r>
  <r>
    <n v="416"/>
    <x v="1"/>
    <x v="251"/>
    <s v="eth1/3"/>
    <x v="0"/>
    <x v="0"/>
    <x v="0"/>
    <s v="TMIPEX_CLIENT1"/>
    <x v="6"/>
    <b v="0"/>
    <s v="No está en VPC"/>
    <n v="416"/>
    <s v="INTPG_VPC_416_1.3_418_1.3"/>
    <s v="ISEL-1.3"/>
    <n v="7"/>
    <s v="NO TIENE L3OUT"/>
    <n v="110"/>
    <n v="96"/>
  </r>
  <r>
    <n v="418"/>
    <x v="1"/>
    <x v="252"/>
    <s v="eth1/3"/>
    <x v="0"/>
    <x v="0"/>
    <x v="0"/>
    <s v="TMIPEX_CLIENT1"/>
    <x v="6"/>
    <b v="0"/>
    <s v="No está en VPC"/>
    <n v="418"/>
    <s v="INTPG_VPC_416_1.3_418_1.3"/>
    <s v="ISEL-1.3"/>
    <n v="7"/>
    <s v="NO TIENE L3OUT"/>
    <n v="152"/>
    <n v="96"/>
  </r>
  <r>
    <n v="413"/>
    <x v="1"/>
    <x v="253"/>
    <s v="eth1/3"/>
    <x v="0"/>
    <x v="0"/>
    <x v="0"/>
    <s v="MEDIACION_HUAWEI_LACP1_PTO_1"/>
    <x v="6"/>
    <b v="0"/>
    <s v="No está en VPC"/>
    <n v="413"/>
    <s v="INTPG_VPC_411_1.3_413_1.3"/>
    <s v="ISEL-1.3"/>
    <n v="1"/>
    <s v="NO TIENE L3OUT"/>
    <n v="126"/>
    <n v="96"/>
  </r>
  <r>
    <n v="403"/>
    <x v="1"/>
    <x v="254"/>
    <s v="eth1/3"/>
    <x v="0"/>
    <x v="0"/>
    <x v="0"/>
    <s v="IXT_ARIESO4_LDR3"/>
    <x v="6"/>
    <b v="0"/>
    <s v="No está en VPC"/>
    <n v="403"/>
    <s v="INTPG_ACC_403_1.3"/>
    <s v="ISEL-1.3"/>
    <n v="1"/>
    <s v="NO TIENE L3OUT"/>
    <n v="150"/>
    <n v="96"/>
  </r>
  <r>
    <n v="125"/>
    <x v="0"/>
    <x v="255"/>
    <s v="eth1/3"/>
    <x v="0"/>
    <x v="1"/>
    <x v="1"/>
    <s v="GSM_OSS_QRO_R6"/>
    <x v="6"/>
    <b v="0"/>
    <s v="No está en VPC"/>
    <n v="125"/>
    <s v="INTPG_ACC_125_1.3"/>
    <s v="ISEL-1.3"/>
    <n v="1"/>
    <s v="NO TIENE L3OUT"/>
    <n v="72"/>
    <n v="96"/>
  </r>
  <r>
    <n v="166"/>
    <x v="0"/>
    <x v="256"/>
    <s v="eth1/3"/>
    <x v="0"/>
    <x v="1"/>
    <x v="1"/>
    <s v="Nomina"/>
    <x v="6"/>
    <b v="0"/>
    <s v="No está en VPC"/>
    <n v="166"/>
    <s v="INTPG_ACC_166_1.3"/>
    <s v="ISEL-1.3"/>
    <n v="1"/>
    <s v="NO TIENE L3OUT"/>
    <n v="84"/>
    <n v="96"/>
  </r>
  <r>
    <n v="111"/>
    <x v="0"/>
    <x v="257"/>
    <s v="eth1/3"/>
    <x v="0"/>
    <x v="0"/>
    <x v="0"/>
    <s v="OCUDR_1"/>
    <x v="6"/>
    <b v="0"/>
    <s v="No está en VPC"/>
    <n v="111"/>
    <s v="INTPG_ACC_111_1.3"/>
    <s v="ISEL-1.3"/>
    <n v="1"/>
    <s v="NO TIENE L3OUT"/>
    <n v="58"/>
    <n v="96"/>
  </r>
  <r>
    <n v="115"/>
    <x v="0"/>
    <x v="258"/>
    <s v="eth1/3"/>
    <x v="0"/>
    <x v="0"/>
    <x v="0"/>
    <s v="ASAP_1"/>
    <x v="6"/>
    <b v="0"/>
    <s v="No está en VPC"/>
    <n v="115"/>
    <s v="INTPG_ACC_115_1.3"/>
    <s v="ISEL-1.3"/>
    <n v="1"/>
    <s v="NO TIENE L3OUT"/>
    <n v="42"/>
    <n v="96"/>
  </r>
  <r>
    <n v="106"/>
    <x v="0"/>
    <x v="259"/>
    <s v="eth1/3"/>
    <x v="0"/>
    <x v="1"/>
    <x v="1"/>
    <s v="OPEN VIEW BACK FASE2_1"/>
    <x v="6"/>
    <b v="0"/>
    <s v="No está en VPC"/>
    <n v="106"/>
    <s v="INTPG_ACC_106_1.3"/>
    <s v="ISEL-1.3"/>
    <n v="1"/>
    <s v="NO TIENE L3OUT"/>
    <n v="122"/>
    <n v="96"/>
  </r>
  <r>
    <n v="126"/>
    <x v="0"/>
    <x v="260"/>
    <s v="eth1/3"/>
    <x v="0"/>
    <x v="0"/>
    <x v="0"/>
    <m/>
    <x v="6"/>
    <b v="0"/>
    <s v="No está en VPC"/>
    <n v="126"/>
    <s v="INTPG_ACC_126_1.3"/>
    <s v="ISEL-1.3"/>
    <n v="0"/>
    <s v="NO TIENE L3OUT"/>
    <n v="54"/>
    <n v="96"/>
  </r>
  <r>
    <n v="425"/>
    <x v="1"/>
    <x v="261"/>
    <s v="eth1/3"/>
    <x v="0"/>
    <x v="0"/>
    <x v="0"/>
    <s v="VTA_F5_2_eth1"/>
    <x v="6"/>
    <b v="0"/>
    <s v="No está en VPC"/>
    <n v="425"/>
    <s v="INTPG_ACC_425_1.3"/>
    <s v="ISEL-1.3"/>
    <n v="1"/>
    <s v="NO TIENE L3OUT"/>
    <n v="86"/>
    <n v="96"/>
  </r>
  <r>
    <n v="151"/>
    <x v="0"/>
    <x v="262"/>
    <s v="eth1/3"/>
    <x v="0"/>
    <x v="0"/>
    <x v="0"/>
    <s v="Gesti\u00f3n de los sistemas electromec\u00e1nicos de Ixtlahuaca"/>
    <x v="6"/>
    <b v="0"/>
    <s v="No está en VPC"/>
    <n v="151"/>
    <s v="INTPG_ACC_151_1.3"/>
    <s v="ISEL-1.3"/>
    <n v="1"/>
    <s v="NO TIENE L3OUT"/>
    <n v="86"/>
    <n v="96"/>
  </r>
  <r>
    <n v="430"/>
    <x v="1"/>
    <x v="263"/>
    <s v="eth1/3"/>
    <x v="0"/>
    <x v="0"/>
    <x v="0"/>
    <s v="ECAC1"/>
    <x v="6"/>
    <b v="0"/>
    <s v="No está en VPC"/>
    <n v="430"/>
    <s v="INTPG_VPC_428_1.3_430_1.3"/>
    <s v="ISEL-1.3"/>
    <n v="1"/>
    <s v="NO TIENE L3OUT"/>
    <n v="86"/>
    <n v="96"/>
  </r>
  <r>
    <n v="419"/>
    <x v="1"/>
    <x v="264"/>
    <s v="eth1/3"/>
    <x v="0"/>
    <x v="0"/>
    <x v="0"/>
    <s v="Prime-UCS-CLU1-A_client_LAG3_CISCOPRIME"/>
    <x v="6"/>
    <b v="0"/>
    <s v="No está en VPC"/>
    <n v="419"/>
    <s v="INTPG_VPC_419_1.3_421_1.3"/>
    <s v="ISEL-1.3"/>
    <n v="3"/>
    <s v="NO TIENE L3OUT"/>
    <n v="70"/>
    <n v="96"/>
  </r>
  <r>
    <n v="155"/>
    <x v="0"/>
    <x v="265"/>
    <s v="eth1/3"/>
    <x v="0"/>
    <x v="0"/>
    <x v="0"/>
    <s v="UXINGE"/>
    <x v="6"/>
    <b v="0"/>
    <s v="No está en VPC"/>
    <n v="155"/>
    <s v="INTPG_ACC_155_1.3"/>
    <s v="ISEL-1.3"/>
    <n v="1"/>
    <s v="NO TIENE L3OUT"/>
    <n v="198"/>
    <n v="96"/>
  </r>
  <r>
    <n v="409"/>
    <x v="1"/>
    <x v="266"/>
    <s v="eth1/3"/>
    <x v="0"/>
    <x v="0"/>
    <x v="0"/>
    <s v="RLR2ARI07"/>
    <x v="6"/>
    <b v="0"/>
    <s v="No está en VPC"/>
    <n v="409"/>
    <s v="INTPG_ACC_409_1.3"/>
    <s v="ISEL-1.3"/>
    <n v="1"/>
    <s v="NO TIENE L3OUT"/>
    <n v="128"/>
    <n v="96"/>
  </r>
  <r>
    <n v="422"/>
    <x v="1"/>
    <x v="267"/>
    <s v="eth1/3"/>
    <x v="0"/>
    <x v="0"/>
    <x v="0"/>
    <s v="SMART-1_CHECK_POINT"/>
    <x v="6"/>
    <b v="0"/>
    <s v="No está en VPC"/>
    <n v="422"/>
    <s v="INTPG_ACC_422_1.3"/>
    <s v="ISEL-1.3"/>
    <n v="1"/>
    <s v="NO TIENE L3OUT"/>
    <n v="182"/>
    <n v="96"/>
  </r>
  <r>
    <n v="436"/>
    <x v="1"/>
    <x v="268"/>
    <s v="eth1/3"/>
    <x v="0"/>
    <x v="1"/>
    <x v="1"/>
    <s v="uxdomaine"/>
    <x v="6"/>
    <b v="0"/>
    <s v="No está en VPC"/>
    <n v="436"/>
    <s v="INTPG_ACC_436_1.3"/>
    <s v="ISEL-1.3"/>
    <n v="1"/>
    <s v="NO TIENE L3OUT"/>
    <n v="172"/>
    <n v="96"/>
  </r>
  <r>
    <n v="410"/>
    <x v="1"/>
    <x v="269"/>
    <s v="eth1/3"/>
    <x v="0"/>
    <x v="0"/>
    <x v="0"/>
    <s v="9UCS-IXTLA-WEBEX-SERV1"/>
    <x v="6"/>
    <b v="0"/>
    <s v="No está en VPC"/>
    <n v="410"/>
    <s v="INTPG_ACC_410_1.3"/>
    <s v="ISEL-1.3"/>
    <n v="1"/>
    <s v="NO TIENE L3OUT"/>
    <n v="178"/>
    <n v="96"/>
  </r>
  <r>
    <n v="161"/>
    <x v="0"/>
    <x v="270"/>
    <s v="eth1/3"/>
    <x v="0"/>
    <x v="1"/>
    <x v="1"/>
    <s v="IBM SICOD"/>
    <x v="6"/>
    <b v="0"/>
    <s v="No está en VPC"/>
    <n v="161"/>
    <s v="INTPG_ACC_161_1.3"/>
    <s v="ISEL-1.3"/>
    <n v="1"/>
    <s v="NO TIENE L3OUT"/>
    <n v="102"/>
    <n v="96"/>
  </r>
  <r>
    <n v="411"/>
    <x v="1"/>
    <x v="271"/>
    <s v="eth1/3"/>
    <x v="0"/>
    <x v="0"/>
    <x v="0"/>
    <s v="MEDIACION_HUAWEI_LACP1_PTO_1"/>
    <x v="6"/>
    <b v="0"/>
    <s v="No está en VPC"/>
    <n v="411"/>
    <s v="INTPG_VPC_411_1.3_413_1.3"/>
    <s v="ISEL-1.3"/>
    <n v="1"/>
    <s v="NO TIENE L3OUT"/>
    <n v="96"/>
    <n v="96"/>
  </r>
  <r>
    <n v="116"/>
    <x v="0"/>
    <x v="272"/>
    <s v="eth1/3"/>
    <x v="0"/>
    <x v="0"/>
    <x v="0"/>
    <s v="UXWEPD38"/>
    <x v="6"/>
    <b v="0"/>
    <s v="No está en VPC"/>
    <n v="116"/>
    <s v="INTPG_ACC_116_1.3"/>
    <s v="ISEL-1.3"/>
    <n v="1"/>
    <s v="NO TIENE L3OUT"/>
    <n v="148"/>
    <n v="96"/>
  </r>
  <r>
    <n v="412"/>
    <x v="1"/>
    <x v="273"/>
    <s v="eth1/3"/>
    <x v="0"/>
    <x v="0"/>
    <x v="0"/>
    <s v="ETH0_uxppldb2"/>
    <x v="6"/>
    <b v="0"/>
    <s v="No está en VPC"/>
    <n v="412"/>
    <s v="INTPG_ACC_412_1.3"/>
    <s v="ISEL-1.3"/>
    <n v="1"/>
    <s v="NO TIENE L3OUT"/>
    <n v="126"/>
    <n v="96"/>
  </r>
  <r>
    <n v="120"/>
    <x v="0"/>
    <x v="274"/>
    <s v="eth1/3"/>
    <x v="0"/>
    <x v="0"/>
    <x v="0"/>
    <s v="RACK2-NZTF24"/>
    <x v="6"/>
    <b v="0"/>
    <s v="No está en VPC"/>
    <n v="120"/>
    <s v="INTPG_ACC_120_1.3"/>
    <s v="ISEL-1.3"/>
    <n v="1"/>
    <s v="NO TIENE L3OUT"/>
    <n v="158"/>
    <n v="96"/>
  </r>
  <r>
    <n v="404"/>
    <x v="1"/>
    <x v="275"/>
    <s v="eth1/3"/>
    <x v="0"/>
    <x v="0"/>
    <x v="0"/>
    <s v="client_ITHPF1_EN1SW2"/>
    <x v="6"/>
    <b v="0"/>
    <s v="No está en VPC"/>
    <n v="404"/>
    <s v="INTPG_VPC_404_1.3-4_406_1.3-4"/>
    <s v="ISEL-1.3"/>
    <n v="4"/>
    <s v="NO TIENE L3OUT"/>
    <n v="92"/>
    <n v="96"/>
  </r>
  <r>
    <n v="167"/>
    <x v="0"/>
    <x v="276"/>
    <s v="eth1/3"/>
    <x v="0"/>
    <x v="0"/>
    <x v="0"/>
    <s v="RBT"/>
    <x v="6"/>
    <b v="0"/>
    <s v="No está en VPC"/>
    <n v="167"/>
    <s v="INTPG_VPC_167_1.2-3_169_1.1-2"/>
    <s v="ISEL-1.3"/>
    <n v="3"/>
    <s v="NO TIENE L3OUT"/>
    <n v="68"/>
    <n v="96"/>
  </r>
  <r>
    <n v="428"/>
    <x v="1"/>
    <x v="277"/>
    <s v="eth1/3"/>
    <x v="0"/>
    <x v="0"/>
    <x v="0"/>
    <s v="ECAC1"/>
    <x v="6"/>
    <b v="0"/>
    <s v="No está en VPC"/>
    <n v="428"/>
    <s v="INTPG_VPC_428_1.3_430_1.3"/>
    <s v="ISEL-1.3"/>
    <n v="1"/>
    <s v="NO TIENE L3OUT"/>
    <n v="102"/>
    <n v="96"/>
  </r>
  <r>
    <n v="903"/>
    <x v="2"/>
    <x v="278"/>
    <s v="eth1/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30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30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30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30"/>
    <x v="0"/>
    <x v="0"/>
    <x v="0"/>
    <s v="TO-ITHFDENBURMS06"/>
    <x v="0"/>
    <b v="0"/>
    <s v="No está en VPC"/>
    <n v="101"/>
    <s v="INTPG_VPC_101_1.30_150_1.30"/>
    <s v="ISEL-1.30"/>
    <n v="1"/>
    <s v="NO TIENE L3OUT"/>
    <n v="114"/>
    <n v="54"/>
  </r>
  <r>
    <n v="160"/>
    <x v="0"/>
    <x v="4"/>
    <s v="eth1/30"/>
    <x v="0"/>
    <x v="0"/>
    <x v="0"/>
    <s v="ArrobaDOC Y CF"/>
    <x v="1"/>
    <b v="0"/>
    <s v="No está en VPC"/>
    <n v="160"/>
    <s v="INTPG_ACC_160_1.30"/>
    <s v="ISEL-1.30"/>
    <n v="1"/>
    <s v="NO TIENE L3OUT"/>
    <n v="68"/>
    <n v="54"/>
  </r>
  <r>
    <n v="121"/>
    <x v="0"/>
    <x v="5"/>
    <s v="eth1/30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30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30"/>
    <x v="0"/>
    <x v="0"/>
    <x v="0"/>
    <s v="TO-UXSISAC9-LAGUXSISAC9C"/>
    <x v="0"/>
    <b v="0"/>
    <s v="No está en VPC"/>
    <n v="401"/>
    <s v="INTPG_VPC_401_1.29-30_402_1.29-30"/>
    <s v="ISEL-1.30"/>
    <n v="1"/>
    <s v="NO TIENE L3OUT"/>
    <n v="40"/>
    <n v="54"/>
  </r>
  <r>
    <n v="402"/>
    <x v="1"/>
    <x v="8"/>
    <s v="eth1/30"/>
    <x v="0"/>
    <x v="0"/>
    <x v="0"/>
    <s v="TO-UXSISAC9-LAGUXSISAC9C"/>
    <x v="0"/>
    <b v="0"/>
    <s v="No está en VPC"/>
    <n v="402"/>
    <s v="INTPG_VPC_401_1.29-30_402_1.29-30"/>
    <s v="ISEL-1.30"/>
    <n v="1"/>
    <s v="NO TIENE L3OUT"/>
    <n v="36"/>
    <n v="54"/>
  </r>
  <r>
    <n v="447"/>
    <x v="1"/>
    <x v="9"/>
    <s v="eth1/30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30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30"/>
    <x v="0"/>
    <x v="0"/>
    <x v="0"/>
    <s v="ITHFHWHSMTLCN07-LOM  P1"/>
    <x v="0"/>
    <b v="0"/>
    <s v="No está en VPC"/>
    <n v="130"/>
    <s v="INTPG_ACC_130_1.30"/>
    <s v="ISEL-1.30"/>
    <n v="9"/>
    <s v="NO TIENE L3OUT"/>
    <n v="128"/>
    <n v="54"/>
  </r>
  <r>
    <n v="150"/>
    <x v="0"/>
    <x v="12"/>
    <s v="eth1/30"/>
    <x v="0"/>
    <x v="0"/>
    <x v="0"/>
    <s v="TO-ITHFDENBURMS06"/>
    <x v="0"/>
    <b v="0"/>
    <s v="No está en VPC"/>
    <n v="150"/>
    <s v="INTPG_VPC_101_1.30_150_1.30"/>
    <s v="ISEL-1.30"/>
    <n v="1"/>
    <s v="NO TIENE L3OUT"/>
    <n v="118"/>
    <n v="54"/>
  </r>
  <r>
    <n v="131"/>
    <x v="0"/>
    <x v="13"/>
    <s v="eth1/30"/>
    <x v="0"/>
    <x v="0"/>
    <x v="0"/>
    <s v="ITHFHWHSMTLCN07-LOM  P2"/>
    <x v="0"/>
    <b v="0"/>
    <s v="No está en VPC"/>
    <n v="131"/>
    <s v="INTPG_ACC_131_1.30"/>
    <s v="ISEL-1.30"/>
    <n v="9"/>
    <s v="NO TIENE L3OUT"/>
    <n v="126"/>
    <n v="54"/>
  </r>
  <r>
    <n v="303"/>
    <x v="0"/>
    <x v="14"/>
    <s v="eth1/30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30"/>
    <x v="0"/>
    <x v="2"/>
    <x v="9"/>
    <m/>
    <x v="2"/>
    <b v="0"/>
    <s v="No está en VPC"/>
    <n v="758"/>
    <s v="INTPG_VPC_BRK_758_1.30"/>
    <s v="ISEL-1.30"/>
    <n v="0"/>
    <s v="NO TIENE L3OUT"/>
    <n v="0"/>
    <n v="42"/>
  </r>
  <r>
    <n v="759"/>
    <x v="2"/>
    <x v="16"/>
    <s v="eth1/30"/>
    <x v="1"/>
    <x v="2"/>
    <x v="9"/>
    <m/>
    <x v="2"/>
    <b v="0"/>
    <s v="No está en VPC"/>
    <n v="759"/>
    <s v="INTPG_VPC_BRK_759_1.30"/>
    <s v="ISEL-1.30"/>
    <n v="0"/>
    <s v="NO TIENE L3OUT"/>
    <n v="0"/>
    <n v="42"/>
  </r>
  <r>
    <n v="302"/>
    <x v="0"/>
    <x v="17"/>
    <s v="eth1/30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30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30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30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30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30"/>
    <x v="0"/>
    <x v="1"/>
    <x v="5"/>
    <m/>
    <x v="0"/>
    <b v="0"/>
    <s v="No está en VPC"/>
    <n v="727"/>
    <s v="INTPG-VPC_SLR12_726_1.29_727_1.30"/>
    <s v="ISEL-1.30"/>
    <n v="1"/>
    <s v="NO TIENE L3OUT"/>
    <n v="0"/>
    <n v="54"/>
  </r>
  <r>
    <n v="724"/>
    <x v="2"/>
    <x v="23"/>
    <s v="eth1/30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30"/>
    <x v="0"/>
    <x v="1"/>
    <x v="3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30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30"/>
    <x v="0"/>
    <x v="0"/>
    <x v="0"/>
    <s v="TO_ITHEMCDD94008139DKC0_SLOT 1.3"/>
    <x v="0"/>
    <b v="0"/>
    <s v="No está en VPC"/>
    <n v="431"/>
    <s v="INTPG_ACC_431_1.30"/>
    <s v="ISEL-1.30"/>
    <n v="1"/>
    <s v="NO TIENE L3OUT"/>
    <n v="46"/>
    <n v="54"/>
  </r>
  <r>
    <n v="433"/>
    <x v="1"/>
    <x v="27"/>
    <s v="eth1/30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30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30"/>
    <x v="0"/>
    <x v="0"/>
    <x v="0"/>
    <s v="TO-ithfhpficxrbd01"/>
    <x v="1"/>
    <b v="0"/>
    <s v="No está en VPC"/>
    <n v="432"/>
    <s v="INTPG_VPC_432_1.30_434_1.28"/>
    <s v="ISEL-1.30"/>
    <n v="1"/>
    <s v="NO TIENE L3OUT"/>
    <n v="54"/>
    <n v="54"/>
  </r>
  <r>
    <n v="442"/>
    <x v="1"/>
    <x v="30"/>
    <s v="eth1/30"/>
    <x v="0"/>
    <x v="0"/>
    <x v="0"/>
    <s v="bmc_ithhwc3a2288h6_SECUNDARIO"/>
    <x v="1"/>
    <b v="0"/>
    <s v="No está en VPC"/>
    <n v="442"/>
    <s v="INTPG_ACC_442_1.30"/>
    <s v="ISEL-1.30"/>
    <n v="1"/>
    <s v="NO TIENE L3OUT"/>
    <n v="18"/>
    <n v="54"/>
  </r>
  <r>
    <n v="434"/>
    <x v="1"/>
    <x v="31"/>
    <s v="eth1/30"/>
    <x v="0"/>
    <x v="0"/>
    <x v="0"/>
    <s v="TO-ITHFDEOVITRBD01-PRINCIPAL"/>
    <x v="1"/>
    <b v="0"/>
    <s v="No está en VPC"/>
    <n v="434"/>
    <s v="INTPG_ACC_434_1.30"/>
    <s v="ISEL-1.30"/>
    <n v="1"/>
    <s v="NO TIENE L3OUT"/>
    <n v="34"/>
    <n v="54"/>
  </r>
  <r>
    <n v="707"/>
    <x v="2"/>
    <x v="32"/>
    <s v="eth1/30"/>
    <x v="0"/>
    <x v="1"/>
    <x v="3"/>
    <s v="CEM_HADOOP"/>
    <x v="0"/>
    <b v="0"/>
    <s v="No está en VPC"/>
    <n v="707"/>
    <s v="INTPG_ACC_707_1.30"/>
    <s v="ISEL-1.30"/>
    <n v="1"/>
    <s v="NO TIENE L3OUT"/>
    <n v="54"/>
    <n v="54"/>
  </r>
  <r>
    <n v="712"/>
    <x v="2"/>
    <x v="33"/>
    <s v="eth1/30"/>
    <x v="1"/>
    <x v="1"/>
    <x v="3"/>
    <s v="CEM:ITHCEMA2ADT15:LOM  P2"/>
    <x v="0"/>
    <b v="0"/>
    <s v="No está en VPC"/>
    <n v="712"/>
    <s v="INTPG_VPC_713_1.29_712_1.30"/>
    <s v="ISEL-1.30"/>
    <n v="0"/>
    <s v="NO TIENE L3OUT"/>
    <n v="32"/>
    <n v="54"/>
  </r>
  <r>
    <n v="719"/>
    <x v="2"/>
    <x v="34"/>
    <s v="eth1/30"/>
    <x v="0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30"/>
    <x v="0"/>
    <x v="0"/>
    <x v="0"/>
    <m/>
    <x v="0"/>
    <b v="0"/>
    <s v="No está en VPC"/>
    <n v="715"/>
    <s v="INTPG-VPC_ZKP02_716_1.29_715_1.30"/>
    <s v="ISEL-1.30"/>
    <n v="1"/>
    <s v="NO TIENE L3OUT"/>
    <n v="0"/>
    <n v="54"/>
  </r>
  <r>
    <n v="427"/>
    <x v="1"/>
    <x v="36"/>
    <s v="eth1/30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30"/>
    <x v="0"/>
    <x v="1"/>
    <x v="5"/>
    <s v="CEM:ITHCEMD2ADT15:LOM  P2"/>
    <x v="0"/>
    <b v="0"/>
    <s v="No está en VPC"/>
    <n v="711"/>
    <s v="INTPG_VPC_710_1.29_711_1.30"/>
    <s v="ISEL-1.30"/>
    <n v="1"/>
    <s v="NO TIENE L3OUT"/>
    <n v="16"/>
    <n v="54"/>
  </r>
  <r>
    <n v="716"/>
    <x v="2"/>
    <x v="38"/>
    <s v="eth1/30"/>
    <x v="0"/>
    <x v="0"/>
    <x v="0"/>
    <m/>
    <x v="0"/>
    <b v="0"/>
    <s v="No está en VPC"/>
    <n v="716"/>
    <s v="INTPG-VPC_SLR01_715_1.29_716_1.30"/>
    <s v="ISEL-1.30"/>
    <n v="1"/>
    <s v="NO TIENE L3OUT"/>
    <n v="0"/>
    <n v="54"/>
  </r>
  <r>
    <n v="702"/>
    <x v="2"/>
    <x v="39"/>
    <s v="eth1/30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30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30"/>
    <x v="0"/>
    <x v="0"/>
    <x v="0"/>
    <s v="TO-ITHFDLMCLWLCN05"/>
    <x v="0"/>
    <b v="0"/>
    <s v="No está en VPC"/>
    <n v="446"/>
    <s v="INTPG_VPC_446_1.30_444_1.42"/>
    <s v="ISEL-1.30"/>
    <n v="1"/>
    <s v="NO TIENE L3OUT"/>
    <n v="198"/>
    <n v="54"/>
  </r>
  <r>
    <n v="444"/>
    <x v="1"/>
    <x v="42"/>
    <s v="eth1/30"/>
    <x v="0"/>
    <x v="0"/>
    <x v="0"/>
    <m/>
    <x v="0"/>
    <b v="0"/>
    <s v="No está en VPC"/>
    <n v="444"/>
    <s v="INTPG_ACC_444_1.30"/>
    <s v="ISEL-1.30"/>
    <n v="9"/>
    <s v="NO TIENE L3OUT"/>
    <n v="234"/>
    <n v="54"/>
  </r>
  <r>
    <n v="701"/>
    <x v="2"/>
    <x v="43"/>
    <s v="eth1/30"/>
    <x v="0"/>
    <x v="1"/>
    <x v="5"/>
    <m/>
    <x v="0"/>
    <b v="0"/>
    <s v="No está en VPC"/>
    <n v="701"/>
    <s v="INTPG_VPC_702_1.29_701_1.30"/>
    <s v="ISEL-1.30"/>
    <n v="1"/>
    <s v="NO TIENE L3OUT"/>
    <n v="0"/>
    <n v="54"/>
  </r>
  <r>
    <n v="440"/>
    <x v="1"/>
    <x v="44"/>
    <s v="eth1/30"/>
    <x v="0"/>
    <x v="0"/>
    <x v="0"/>
    <s v="bmc_ithhwc3a2288h5_PRINCIPAL"/>
    <x v="1"/>
    <b v="0"/>
    <s v="No está en VPC"/>
    <n v="440"/>
    <s v="INTPG_ACC_440_1.30"/>
    <s v="ISEL-1.30"/>
    <n v="1"/>
    <s v="NO TIENE L3OUT"/>
    <n v="22"/>
    <n v="54"/>
  </r>
  <r>
    <n v="448"/>
    <x v="1"/>
    <x v="45"/>
    <s v="eth1/30"/>
    <x v="0"/>
    <x v="0"/>
    <x v="0"/>
    <s v="TO_ITHEMCDD94008139DKC0_INT 1.3"/>
    <x v="0"/>
    <b v="0"/>
    <s v="No está en VPC"/>
    <n v="448"/>
    <s v="INTPG_ACC_448_1.30"/>
    <s v="ISEL-1.30"/>
    <n v="1"/>
    <s v="NO TIENE L3OUT"/>
    <n v="46"/>
    <n v="54"/>
  </r>
  <r>
    <n v="704"/>
    <x v="2"/>
    <x v="46"/>
    <s v="eth1/30"/>
    <x v="0"/>
    <x v="0"/>
    <x v="0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30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30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30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603"/>
    <x v="1"/>
    <x v="50"/>
    <s v="eth1/30"/>
    <x v="0"/>
    <x v="1"/>
    <x v="3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30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30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30"/>
    <x v="0"/>
    <x v="0"/>
    <x v="0"/>
    <s v="Server_Pre-R02-RH2288-05"/>
    <x v="0"/>
    <b v="0"/>
    <s v="No está en VPC"/>
    <n v="730"/>
    <s v="INTPG_ACC_730_1.30"/>
    <s v="ISEL-1.30"/>
    <n v="1"/>
    <s v="NO TIENE L3OUT"/>
    <n v="36"/>
    <n v="54"/>
  </r>
  <r>
    <n v="722"/>
    <x v="2"/>
    <x v="54"/>
    <s v="eth1/30"/>
    <x v="0"/>
    <x v="0"/>
    <x v="0"/>
    <s v="TO-ITHHWHCS8SW"/>
    <x v="0"/>
    <b v="0"/>
    <s v="No está en VPC"/>
    <n v="722"/>
    <s v="INTPG_VPC_722_1.29-30_723_1.29-30"/>
    <s v="ISEL-1.30"/>
    <n v="15"/>
    <s v="NO TIENE L3OUT"/>
    <n v="0"/>
    <n v="54"/>
  </r>
  <r>
    <n v="733"/>
    <x v="2"/>
    <x v="55"/>
    <s v="eth1/30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30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30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30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30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30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30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30"/>
    <x v="0"/>
    <x v="0"/>
    <x v="0"/>
    <s v="CEM:ITHCEMB2ADT15:SLOT1 P1"/>
    <x v="5"/>
    <b v="0"/>
    <s v="No está en VPC"/>
    <n v="742"/>
    <s v="INTPG_ACC_742_1.30"/>
    <s v="ISEL-1.30"/>
    <n v="1"/>
    <s v="NO TIENE L3OUT"/>
    <n v="64"/>
    <n v="54"/>
  </r>
  <r>
    <n v="763"/>
    <x v="2"/>
    <x v="63"/>
    <s v="eth1/30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30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30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30"/>
    <x v="0"/>
    <x v="1"/>
    <x v="3"/>
    <s v="PAAS:ithhwosstpap005:LOM PORT 2"/>
    <x v="0"/>
    <b v="0"/>
    <s v="No está en VPC"/>
    <n v="752"/>
    <s v="INTPG_VPC_747_1.30_752_1.30"/>
    <s v="ISEL-1.30"/>
    <n v="0"/>
    <s v="NO TIENE L3OUT"/>
    <n v="0"/>
    <n v="54"/>
  </r>
  <r>
    <n v="765"/>
    <x v="2"/>
    <x v="67"/>
    <s v="eth1/30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30"/>
    <x v="0"/>
    <x v="0"/>
    <x v="0"/>
    <s v="CLOUD OPS:ithhwcop01en01:3X P2"/>
    <x v="0"/>
    <b v="0"/>
    <s v="No está en VPC"/>
    <n v="778"/>
    <s v="INTPG_VPC_778_1.27-30_779_1.27-30"/>
    <s v="ISEL-1.30"/>
    <n v="24"/>
    <s v="NO TIENE L3OUT"/>
    <n v="26"/>
    <n v="54"/>
  </r>
  <r>
    <n v="780"/>
    <x v="2"/>
    <x v="69"/>
    <s v="eth1/30"/>
    <x v="0"/>
    <x v="0"/>
    <x v="0"/>
    <s v="CLOUD OPS:ithhwcop02en02:2X P1"/>
    <x v="0"/>
    <b v="0"/>
    <s v="No está en VPC"/>
    <n v="780"/>
    <s v="INTPG_VPC_780_1.30-33_781_1.30-33"/>
    <s v="ISEL-1.30"/>
    <n v="23"/>
    <s v="NO TIENE L3OUT"/>
    <n v="26"/>
    <n v="54"/>
  </r>
  <r>
    <n v="812"/>
    <x v="2"/>
    <x v="70"/>
    <s v="eth1/30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30"/>
    <x v="0"/>
    <x v="0"/>
    <x v="0"/>
    <s v="TO-ITHFHWDCIMLAP03-Redundante"/>
    <x v="0"/>
    <b v="0"/>
    <s v="No está en VPC"/>
    <n v="796"/>
    <s v="INTPG_ACC_796_1.30"/>
    <s v="ISEL-1.30"/>
    <n v="1"/>
    <s v="NO TIENE L3OUT"/>
    <n v="18"/>
    <n v="54"/>
  </r>
  <r>
    <n v="795"/>
    <x v="2"/>
    <x v="72"/>
    <s v="eth1/30"/>
    <x v="0"/>
    <x v="0"/>
    <x v="0"/>
    <s v="TO-ITHFHWDCIMLAP03-Principal"/>
    <x v="0"/>
    <b v="0"/>
    <s v="No está en VPC"/>
    <n v="795"/>
    <s v="INTPG_ACC_795_1.30"/>
    <s v="ISEL-1.30"/>
    <n v="1"/>
    <s v="NO TIENE L3OUT"/>
    <n v="18"/>
    <n v="54"/>
  </r>
  <r>
    <n v="749"/>
    <x v="2"/>
    <x v="73"/>
    <s v="eth1/30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30"/>
    <x v="0"/>
    <x v="0"/>
    <x v="0"/>
    <s v="LINK_TO_ITHFHWCMVWPMA15 /Slot5.1 /Redundante"/>
    <x v="0"/>
    <b v="0"/>
    <s v="No está en VPC"/>
    <n v="824"/>
    <s v="INTPG_ACC_824_1.30"/>
    <s v="ISEL-1.30"/>
    <n v="1"/>
    <s v="NO TIENE L3OUT"/>
    <n v="70"/>
    <n v="54"/>
  </r>
  <r>
    <n v="819"/>
    <x v="2"/>
    <x v="75"/>
    <s v="eth1/30"/>
    <x v="0"/>
    <x v="0"/>
    <x v="0"/>
    <s v="LINK_TO_ITHFHWCMVWPMA15 /10GE.1 /Principal"/>
    <x v="0"/>
    <b v="0"/>
    <s v="No está en VPC"/>
    <n v="819"/>
    <s v="INTPG_ACC_819_1.30"/>
    <s v="ISEL-1.30"/>
    <n v="1"/>
    <s v="NO TIENE L3OUT"/>
    <n v="70"/>
    <n v="54"/>
  </r>
  <r>
    <n v="737"/>
    <x v="2"/>
    <x v="76"/>
    <s v="eth1/30"/>
    <x v="0"/>
    <x v="0"/>
    <x v="0"/>
    <s v="CEM:ITHCEME2KFK15:SLOT1 P1"/>
    <x v="5"/>
    <b v="0"/>
    <s v="No está en VPC"/>
    <n v="737"/>
    <s v="INTPG_ACC_737_1.30"/>
    <s v="ISEL-1.30"/>
    <n v="1"/>
    <s v="NO TIENE L3OUT"/>
    <n v="72"/>
    <n v="54"/>
  </r>
  <r>
    <n v="844"/>
    <x v="2"/>
    <x v="77"/>
    <s v="eth1/30"/>
    <x v="0"/>
    <x v="0"/>
    <x v="0"/>
    <s v="LINK_TO_ITHFHWCRMPLCN110 / Slot1.3_24 / Principal"/>
    <x v="0"/>
    <b v="0"/>
    <s v="No está en VPC"/>
    <n v="844"/>
    <s v="INTPG_ACC_844_1.30"/>
    <s v="ISEL-1.30"/>
    <n v="1"/>
    <s v="NO TIENE L3OUT"/>
    <n v="282"/>
    <n v="54"/>
  </r>
  <r>
    <n v="843"/>
    <x v="2"/>
    <x v="78"/>
    <s v="eth1/30"/>
    <x v="0"/>
    <x v="0"/>
    <x v="0"/>
    <s v="LINK_To_ITHHWD6KV65100012DKC01 / CTMA_IOM0.P1_34 / Redundante"/>
    <x v="0"/>
    <b v="0"/>
    <s v="No está en VPC"/>
    <n v="843"/>
    <s v="INTPG_ACC_843_1.30"/>
    <s v="ISEL-1.30"/>
    <n v="1"/>
    <s v="NO TIENE L3OUT"/>
    <n v="38"/>
    <n v="54"/>
  </r>
  <r>
    <n v="797"/>
    <x v="2"/>
    <x v="79"/>
    <s v="eth1/30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30"/>
    <x v="0"/>
    <x v="0"/>
    <x v="0"/>
    <s v="LINK_TO_ITHFHWCBSPSHD39 / Slot7.3_16 / Redundante"/>
    <x v="0"/>
    <b v="0"/>
    <s v="No está en VPC"/>
    <n v="839"/>
    <s v="INTPG_VPC_834_1.30_839_1.30"/>
    <s v="ISEL-1.30"/>
    <n v="1"/>
    <s v="NO TIENE L3OUT"/>
    <n v="0"/>
    <n v="54"/>
  </r>
  <r>
    <n v="847"/>
    <x v="2"/>
    <x v="81"/>
    <s v="eth1/30"/>
    <x v="0"/>
    <x v="0"/>
    <x v="0"/>
    <s v="LINK_TO_ITHFHWCRMPLCN175 / Slot7.2_20 / Redundante"/>
    <x v="0"/>
    <b v="0"/>
    <s v="No está en VPC"/>
    <n v="847"/>
    <s v="INTPG_ACC_847_1.30"/>
    <s v="ISEL-1.30"/>
    <n v="2"/>
    <s v="NO TIENE L3OUT"/>
    <n v="204"/>
    <n v="54"/>
  </r>
  <r>
    <n v="848"/>
    <x v="2"/>
    <x v="82"/>
    <s v="eth1/30"/>
    <x v="0"/>
    <x v="0"/>
    <x v="0"/>
    <s v="LINK_TO_ITHFHWCRMPLCN164 / Slot7.2_30 / Redundante"/>
    <x v="0"/>
    <b v="0"/>
    <s v="No está en VPC"/>
    <n v="848"/>
    <s v="INTPG_ACC_848_1.30"/>
    <s v="ISEL-1.30"/>
    <n v="2"/>
    <s v="NO TIENE L3OUT"/>
    <n v="254"/>
    <n v="54"/>
  </r>
  <r>
    <n v="846"/>
    <x v="2"/>
    <x v="83"/>
    <s v="eth1/30"/>
    <x v="0"/>
    <x v="0"/>
    <x v="0"/>
    <s v="LINK_TO_ITHFHWCRMPLCN81 / Slot1.3_20 / Principal"/>
    <x v="0"/>
    <b v="0"/>
    <s v="No está en VPC"/>
    <n v="846"/>
    <s v="INTPG_ACC_846_1.30"/>
    <s v="ISEL-1.30"/>
    <n v="1"/>
    <s v="NO TIENE L3OUT"/>
    <n v="242"/>
    <n v="54"/>
  </r>
  <r>
    <n v="838"/>
    <x v="2"/>
    <x v="84"/>
    <s v="eth1/30"/>
    <x v="0"/>
    <x v="0"/>
    <x v="0"/>
    <s v="LINK_To_ITHHWD6KV65100012DKC01 / CTMA_IOM0.P0_34 / Principal"/>
    <x v="0"/>
    <b v="0"/>
    <s v="No está en VPC"/>
    <n v="838"/>
    <s v="INTPG_ACC_838_1.30"/>
    <s v="ISEL-1.30"/>
    <n v="1"/>
    <s v="NO TIENE L3OUT"/>
    <n v="38"/>
    <n v="54"/>
  </r>
  <r>
    <n v="849"/>
    <x v="2"/>
    <x v="85"/>
    <s v="eth1/30"/>
    <x v="0"/>
    <x v="0"/>
    <x v="0"/>
    <s v="LINK_TO_ITHFHWCRMPLCN144 / Slot7.2_22 / Redundante"/>
    <x v="0"/>
    <b v="0"/>
    <s v="No está en VPC"/>
    <n v="849"/>
    <s v="INTPG_ACC_849_1.30"/>
    <s v="ISEL-1.30"/>
    <n v="2"/>
    <s v="NO TIENE L3OUT"/>
    <n v="286"/>
    <n v="54"/>
  </r>
  <r>
    <n v="845"/>
    <x v="2"/>
    <x v="86"/>
    <s v="eth1/30"/>
    <x v="0"/>
    <x v="0"/>
    <x v="0"/>
    <s v="LINK_TO_ITHFHWCRMPLCN94 / Slot1.1_20 / Principal"/>
    <x v="0"/>
    <b v="0"/>
    <s v="No está en VPC"/>
    <n v="845"/>
    <s v="INTPG_ACC_845_1.30"/>
    <s v="ISEL-1.30"/>
    <n v="6"/>
    <s v="NO TIENE L3OUT"/>
    <n v="258"/>
    <n v="54"/>
  </r>
  <r>
    <n v="873"/>
    <x v="2"/>
    <x v="87"/>
    <s v="eth1/30"/>
    <x v="0"/>
    <x v="0"/>
    <x v="0"/>
    <s v="To_VPC_2DCRMD_SBD07_1"/>
    <x v="0"/>
    <b v="0"/>
    <s v="No está en VPC"/>
    <n v="873"/>
    <s v="INTPG_VPC_870_1.30_873_1.30"/>
    <s v="ISEL-1.30"/>
    <n v="6"/>
    <s v="NO TIENE L3OUT"/>
    <n v="248"/>
    <n v="54"/>
  </r>
  <r>
    <n v="864"/>
    <x v="2"/>
    <x v="88"/>
    <s v="eth1/30"/>
    <x v="0"/>
    <x v="0"/>
    <x v="0"/>
    <s v="To_VPC_2DCBSD_WR45_3"/>
    <x v="0"/>
    <b v="0"/>
    <s v="No está en VPC"/>
    <n v="864"/>
    <s v="INTPG_VPC_859_1.30_864_1.30"/>
    <s v="ISEL-1.30"/>
    <n v="1"/>
    <s v="NO TIENE L3OUT"/>
    <n v="0"/>
    <n v="54"/>
  </r>
  <r>
    <n v="836"/>
    <x v="2"/>
    <x v="89"/>
    <s v="eth1/30"/>
    <x v="0"/>
    <x v="0"/>
    <x v="0"/>
    <s v="LINK_TO_ITHFHWCBSPSWR55 / Slot1.2_38 / Principal"/>
    <x v="0"/>
    <b v="0"/>
    <s v="No está en VPC"/>
    <n v="836"/>
    <s v="INTPG_VPC_836_1.30_841_1.30"/>
    <s v="ISEL-1.30"/>
    <n v="1"/>
    <s v="NO TIENE L3OUT"/>
    <n v="0"/>
    <n v="54"/>
  </r>
  <r>
    <n v="834"/>
    <x v="2"/>
    <x v="90"/>
    <s v="eth1/30"/>
    <x v="0"/>
    <x v="0"/>
    <x v="0"/>
    <s v="LINK_TO_ITHFHWCBSPSHD39 / Slot1.3_16 / Principal"/>
    <x v="0"/>
    <b v="0"/>
    <s v="No está en VPC"/>
    <n v="834"/>
    <s v="INTPG_VPC_834_1.30_839_1.30"/>
    <s v="ISEL-1.30"/>
    <n v="1"/>
    <s v="NO TIENE L3OUT"/>
    <n v="0"/>
    <n v="54"/>
  </r>
  <r>
    <n v="872"/>
    <x v="2"/>
    <x v="91"/>
    <s v="eth1/30"/>
    <x v="0"/>
    <x v="0"/>
    <x v="0"/>
    <s v="To_ITHFHWCRMDLCN79_Principal"/>
    <x v="0"/>
    <b v="0"/>
    <s v="No está en VPC"/>
    <n v="872"/>
    <s v="INTPG_ACC_872_1.30"/>
    <s v="ISEL-1.30"/>
    <n v="6"/>
    <s v="NO TIENE L3OUT"/>
    <n v="288"/>
    <n v="54"/>
  </r>
  <r>
    <n v="842"/>
    <x v="2"/>
    <x v="92"/>
    <s v="eth1/30"/>
    <x v="0"/>
    <x v="0"/>
    <x v="0"/>
    <s v="LINK_TO_ITHHWD6KV65100009DKC01 / CTMA_IOM1.P1_34 / Redundante"/>
    <x v="0"/>
    <b v="0"/>
    <s v="No está en VPC"/>
    <n v="842"/>
    <s v="INTPG_ACC_842_1.30"/>
    <s v="ISEL-1.30"/>
    <n v="1"/>
    <s v="NO TIENE L3OUT"/>
    <n v="8"/>
    <n v="54"/>
  </r>
  <r>
    <n v="828"/>
    <x v="2"/>
    <x v="93"/>
    <s v="eth1/30"/>
    <x v="0"/>
    <x v="0"/>
    <x v="0"/>
    <s v="LINK_TO_ITHFHWCRMDLCN25 /10GE.1 /Principal"/>
    <x v="0"/>
    <b v="0"/>
    <s v="No está en VPC"/>
    <n v="828"/>
    <s v="INTPG_ACC_828_1.30"/>
    <s v="ISEL-1.30"/>
    <n v="2"/>
    <s v="NO TIENE L3OUT"/>
    <n v="192"/>
    <n v="54"/>
  </r>
  <r>
    <n v="870"/>
    <x v="2"/>
    <x v="94"/>
    <s v="eth1/30"/>
    <x v="0"/>
    <x v="0"/>
    <x v="0"/>
    <s v="To_VPC_2DCRMD_SBD07_1"/>
    <x v="0"/>
    <b v="0"/>
    <s v="No está en VPC"/>
    <n v="870"/>
    <s v="INTPG_VPC_870_1.30_873_1.30"/>
    <s v="ISEL-1.30"/>
    <n v="6"/>
    <s v="NO TIENE L3OUT"/>
    <n v="248"/>
    <n v="54"/>
  </r>
  <r>
    <n v="866"/>
    <x v="2"/>
    <x v="95"/>
    <s v="eth1/30"/>
    <x v="0"/>
    <x v="0"/>
    <x v="0"/>
    <s v="To_VPC_2DCBSD_BD12_2"/>
    <x v="0"/>
    <b v="0"/>
    <s v="No está en VPC"/>
    <n v="866"/>
    <s v="INTPG_VPC_861_1.30_866_1.30"/>
    <s v="ISEL-1.30"/>
    <n v="1"/>
    <s v="NO TIENE L3OUT"/>
    <n v="8"/>
    <n v="54"/>
  </r>
  <r>
    <n v="862"/>
    <x v="2"/>
    <x v="96"/>
    <s v="eth1/30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30"/>
    <x v="0"/>
    <x v="0"/>
    <x v="0"/>
    <s v="LINK_TO_ITHFHWCRMPLCN164 / Slot1.2_30 / Principal"/>
    <x v="0"/>
    <b v="0"/>
    <s v="No está en VPC"/>
    <n v="855"/>
    <s v="INTPG_ACC_855_1.30"/>
    <s v="ISEL-1.30"/>
    <n v="2"/>
    <s v="NO TIENE L3OUT"/>
    <n v="254"/>
    <n v="54"/>
  </r>
  <r>
    <n v="871"/>
    <x v="2"/>
    <x v="98"/>
    <s v="eth1/30"/>
    <x v="0"/>
    <x v="0"/>
    <x v="0"/>
    <s v="To_ITHFHWCRMDLCN63_Principal"/>
    <x v="0"/>
    <b v="0"/>
    <s v="No está en VPC"/>
    <n v="871"/>
    <s v="INTPG_ACC_871_1.30"/>
    <s v="ISEL-1.30"/>
    <n v="1"/>
    <s v="NO TIENE L3OUT"/>
    <n v="246"/>
    <n v="54"/>
  </r>
  <r>
    <n v="841"/>
    <x v="2"/>
    <x v="99"/>
    <s v="eth1/30"/>
    <x v="0"/>
    <x v="0"/>
    <x v="0"/>
    <s v="LINK_TO_ITHFHWCBSPSWR55 / Slot7.2_38 / Redundante"/>
    <x v="0"/>
    <b v="0"/>
    <s v="No está en VPC"/>
    <n v="841"/>
    <s v="INTPG_VPC_836_1.30_841_1.30"/>
    <s v="ISEL-1.30"/>
    <n v="1"/>
    <s v="NO TIENE L3OUT"/>
    <n v="0"/>
    <n v="54"/>
  </r>
  <r>
    <n v="868"/>
    <x v="2"/>
    <x v="100"/>
    <s v="eth1/30"/>
    <x v="0"/>
    <x v="0"/>
    <x v="0"/>
    <s v="To_ITHFHWCRMDLCN63_Redundante"/>
    <x v="0"/>
    <b v="0"/>
    <s v="No está en VPC"/>
    <n v="868"/>
    <s v="INTPG_ACC_868_1.30"/>
    <s v="ISEL-1.30"/>
    <n v="1"/>
    <s v="NO TIENE L3OUT"/>
    <n v="246"/>
    <n v="54"/>
  </r>
  <r>
    <n v="869"/>
    <x v="2"/>
    <x v="101"/>
    <s v="eth1/30"/>
    <x v="0"/>
    <x v="0"/>
    <x v="0"/>
    <s v="To_ITHFHWCRMDLCN79_Redundante"/>
    <x v="0"/>
    <b v="0"/>
    <s v="No está en VPC"/>
    <n v="869"/>
    <s v="INTPG_ACC_869_1.30"/>
    <s v="ISEL-1.30"/>
    <n v="6"/>
    <s v="NO TIENE L3OUT"/>
    <n v="288"/>
    <n v="54"/>
  </r>
  <r>
    <n v="861"/>
    <x v="2"/>
    <x v="102"/>
    <s v="eth1/30"/>
    <x v="0"/>
    <x v="0"/>
    <x v="0"/>
    <s v="To_VPC_2DCBSD_BD12_2"/>
    <x v="0"/>
    <b v="0"/>
    <s v="No está en VPC"/>
    <n v="861"/>
    <s v="INTPG_VPC_861_1.30_866_1.30"/>
    <s v="ISEL-1.30"/>
    <n v="1"/>
    <s v="NO TIENE L3OUT"/>
    <n v="8"/>
    <n v="54"/>
  </r>
  <r>
    <n v="874"/>
    <x v="2"/>
    <x v="103"/>
    <s v="eth1/30"/>
    <x v="0"/>
    <x v="0"/>
    <x v="0"/>
    <s v="A_ITHFHWSEQLCAS29_Redundante"/>
    <x v="4"/>
    <b v="0"/>
    <s v="No está en VPC"/>
    <n v="874"/>
    <s v="INTPG_ACC_874_1.30"/>
    <s v="ISEL-1.30"/>
    <n v="1"/>
    <s v="NO TIENE L3OUT"/>
    <n v="92"/>
    <n v="54"/>
  </r>
  <r>
    <n v="865"/>
    <x v="2"/>
    <x v="104"/>
    <s v="eth1/30"/>
    <x v="0"/>
    <x v="0"/>
    <x v="0"/>
    <s v="To_VPC_2DCBSD_BD16_3"/>
    <x v="0"/>
    <b v="0"/>
    <s v="No está en VPC"/>
    <n v="865"/>
    <s v="INTPG_VPC_860_1.30_865_1.30"/>
    <s v="ISEL-1.30"/>
    <n v="1"/>
    <s v="NO TIENE L3OUT"/>
    <n v="0"/>
    <n v="54"/>
  </r>
  <r>
    <n v="753"/>
    <x v="2"/>
    <x v="105"/>
    <s v="eth1/30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30"/>
    <x v="0"/>
    <x v="1"/>
    <x v="5"/>
    <s v="CEM:ITHCEME2KFK15:LOM  P2"/>
    <x v="0"/>
    <b v="0"/>
    <s v="No está en VPC"/>
    <n v="708"/>
    <s v="INTPG_VPC_708_1.30_709_1.29"/>
    <s v="ISEL-1.30"/>
    <n v="1"/>
    <s v="NO TIENE L3OUT"/>
    <n v="0"/>
    <n v="54"/>
  </r>
  <r>
    <n v="710"/>
    <x v="2"/>
    <x v="107"/>
    <s v="eth1/30"/>
    <x v="0"/>
    <x v="1"/>
    <x v="5"/>
    <s v="CEM:ITHCEMC2ADT15:LOM  P2"/>
    <x v="0"/>
    <b v="0"/>
    <s v="No está en VPC"/>
    <n v="710"/>
    <s v="INTPG_VPC_710_1.30_711_1.29"/>
    <s v="ISEL-1.30"/>
    <n v="1"/>
    <s v="NO TIENE L3OUT"/>
    <n v="16"/>
    <n v="54"/>
  </r>
  <r>
    <n v="713"/>
    <x v="2"/>
    <x v="108"/>
    <s v="eth1/30"/>
    <x v="0"/>
    <x v="1"/>
    <x v="5"/>
    <s v="CEM:ITHCEMB2ADT15:LOM  P2"/>
    <x v="0"/>
    <b v="0"/>
    <s v="No está en VPC"/>
    <n v="713"/>
    <s v="INTPG_VPC_712_1.29_713_1.30"/>
    <s v="ISEL-1.30"/>
    <n v="1"/>
    <s v="NO TIENE L3OUT"/>
    <n v="32"/>
    <n v="54"/>
  </r>
  <r>
    <n v="735"/>
    <x v="2"/>
    <x v="109"/>
    <s v="eth1/30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30"/>
    <x v="0"/>
    <x v="0"/>
    <x v="0"/>
    <s v="Server_Pre-R02-RH2288-05"/>
    <x v="0"/>
    <b v="0"/>
    <s v="No está en VPC"/>
    <n v="731"/>
    <s v="INTPG_ACC_731_1.30"/>
    <s v="ISEL-1.30"/>
    <n v="1"/>
    <s v="NO TIENE L3OUT"/>
    <n v="38"/>
    <n v="54"/>
  </r>
  <r>
    <n v="703"/>
    <x v="2"/>
    <x v="111"/>
    <s v="eth1/30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30"/>
    <x v="0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30"/>
    <x v="0"/>
    <x v="1"/>
    <x v="3"/>
    <s v="OS-LAG-CTRL_Grupo 5"/>
    <x v="0"/>
    <b v="0"/>
    <s v="No está en VPC"/>
    <n v="762"/>
    <s v="INTPG_VPC_762_1.16_763_1.16"/>
    <s v="ISEL-1.30"/>
    <n v="1"/>
    <s v="NO TIENE L3OUT"/>
    <n v="0"/>
    <n v="54"/>
  </r>
  <r>
    <n v="814"/>
    <x v="2"/>
    <x v="114"/>
    <s v="eth1/30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30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30"/>
    <x v="0"/>
    <x v="0"/>
    <x v="0"/>
    <s v="LINK_TO_ITHFHWCBSDSWR16 /Slot4.2 /Principal"/>
    <x v="0"/>
    <b v="0"/>
    <s v="No está en VPC"/>
    <n v="826"/>
    <s v="INTPG_VPC_826_1.30_830_1.30"/>
    <s v="ISEL-1.30"/>
    <n v="1"/>
    <s v="NO TIENE L3OUT"/>
    <n v="12"/>
    <n v="54"/>
  </r>
  <r>
    <n v="726"/>
    <x v="2"/>
    <x v="117"/>
    <s v="eth1/30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30"/>
    <x v="0"/>
    <x v="0"/>
    <x v="0"/>
    <s v="CEM:ITHCEMD2ADT15:SLOT1 P1"/>
    <x v="5"/>
    <b v="0"/>
    <s v="No está en VPC"/>
    <n v="740"/>
    <s v="INTPG_ACC_740_1.30"/>
    <s v="ISEL-1.30"/>
    <n v="1"/>
    <s v="NO TIENE L3OUT"/>
    <n v="72"/>
    <n v="54"/>
  </r>
  <r>
    <n v="705"/>
    <x v="2"/>
    <x v="119"/>
    <s v="eth1/30"/>
    <x v="0"/>
    <x v="0"/>
    <x v="0"/>
    <m/>
    <x v="0"/>
    <b v="0"/>
    <s v="No está en VPC"/>
    <n v="705"/>
    <s v="INTPG_VPC_706_1.29_705_1.30"/>
    <s v="ISEL-1.30"/>
    <n v="1"/>
    <s v="NO TIENE L3OUT"/>
    <n v="16"/>
    <n v="54"/>
  </r>
  <r>
    <n v="723"/>
    <x v="2"/>
    <x v="120"/>
    <s v="eth1/30"/>
    <x v="0"/>
    <x v="0"/>
    <x v="0"/>
    <s v="TO-ITHHWHCS8SW"/>
    <x v="0"/>
    <b v="0"/>
    <s v="No está en VPC"/>
    <n v="723"/>
    <s v="INTPG_VPC_722_1.29-30_723_1.29-30"/>
    <s v="ISEL-1.30"/>
    <n v="15"/>
    <s v="NO TIENE L3OUT"/>
    <n v="0"/>
    <n v="54"/>
  </r>
  <r>
    <n v="721"/>
    <x v="2"/>
    <x v="121"/>
    <s v="eth1/30"/>
    <x v="0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30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30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30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30"/>
    <x v="0"/>
    <x v="1"/>
    <x v="5"/>
    <s v="CEM:ITHCEMF2KFK15:LOM  P2"/>
    <x v="0"/>
    <b v="0"/>
    <s v="No está en VPC"/>
    <n v="709"/>
    <s v="INTPG_VPC_708_1.29_709_1.30"/>
    <s v="ISEL-1.30"/>
    <n v="1"/>
    <s v="NO TIENE L3OUT"/>
    <n v="0"/>
    <n v="54"/>
  </r>
  <r>
    <n v="454"/>
    <x v="1"/>
    <x v="126"/>
    <s v="eth1/30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30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30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30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30"/>
    <x v="0"/>
    <x v="0"/>
    <x v="0"/>
    <m/>
    <x v="0"/>
    <b v="0"/>
    <s v="No está en VPC"/>
    <n v="718"/>
    <s v="INTPG-VPC_ZKP01_717_1.29_718_1.30"/>
    <s v="ISEL-1.30"/>
    <n v="1"/>
    <s v="NO TIENE L3OUT"/>
    <n v="0"/>
    <n v="54"/>
  </r>
  <r>
    <n v="744"/>
    <x v="2"/>
    <x v="131"/>
    <s v="eth1/30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30"/>
    <x v="0"/>
    <x v="1"/>
    <x v="1"/>
    <s v="CEM:ITHCEMA2ADT15:SLOT1 P1"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30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30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30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30"/>
    <x v="0"/>
    <x v="1"/>
    <x v="3"/>
    <s v="CEM_HADOOP"/>
    <x v="0"/>
    <b v="0"/>
    <s v="No está en VPC"/>
    <n v="736"/>
    <s v="INTPG_ACC_736_1.30"/>
    <s v="ISEL-1.30"/>
    <n v="0"/>
    <s v="NO TIENE L3OUT"/>
    <n v="48"/>
    <n v="54"/>
  </r>
  <r>
    <n v="799"/>
    <x v="2"/>
    <x v="137"/>
    <s v="eth1/30"/>
    <x v="0"/>
    <x v="0"/>
    <x v="0"/>
    <s v="TO-ITHFDEVDICL01ESX02"/>
    <x v="0"/>
    <b v="0"/>
    <s v="No está en VPC"/>
    <n v="799"/>
    <s v="INTPG_VPC_798_1.30_799_1.30"/>
    <s v="ISEL-1.30"/>
    <n v="6"/>
    <s v="NO TIENE L3OUT"/>
    <n v="52"/>
    <n v="54"/>
  </r>
  <r>
    <n v="768"/>
    <x v="2"/>
    <x v="138"/>
    <s v="eth1/30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30"/>
    <x v="0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30"/>
    <x v="0"/>
    <x v="1"/>
    <x v="5"/>
    <m/>
    <x v="0"/>
    <b v="0"/>
    <s v="No está en VPC"/>
    <n v="717"/>
    <s v="INTPG-VPC_SHD01_718_1.29_717_1.30"/>
    <s v="ISEL-1.30"/>
    <n v="1"/>
    <s v="NO TIENE L3OUT"/>
    <n v="0"/>
    <n v="54"/>
  </r>
  <r>
    <n v="789"/>
    <x v="2"/>
    <x v="141"/>
    <s v="eth1/30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30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30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30"/>
    <x v="0"/>
    <x v="0"/>
    <x v="0"/>
    <s v="CLOUD PAAS PAYG F2:Ithhwvm1cch1:slot 2x/Pto 4"/>
    <x v="0"/>
    <b v="0"/>
    <s v="No está en VPC"/>
    <n v="774"/>
    <s v="INTPG_PC_774_1.30_1.32"/>
    <s v="ISEL-1.30"/>
    <n v="0"/>
    <s v="NO TIENE L3OUT"/>
    <n v="0"/>
    <n v="54"/>
  </r>
  <r>
    <n v="773"/>
    <x v="2"/>
    <x v="145"/>
    <s v="eth1/30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30"/>
    <x v="0"/>
    <x v="0"/>
    <x v="0"/>
    <s v="TO-NUTANIX -VPC2"/>
    <x v="0"/>
    <b v="0"/>
    <s v="No está en VPC"/>
    <n v="794"/>
    <s v="INTPG_VPC_793_1.30_794_1.30"/>
    <s v="ISEL-1.30"/>
    <n v="12"/>
    <s v="NO TIENE L3OUT"/>
    <n v="12"/>
    <n v="54"/>
  </r>
  <r>
    <n v="803"/>
    <x v="2"/>
    <x v="147"/>
    <s v="eth1/30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30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30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30"/>
    <x v="0"/>
    <x v="0"/>
    <x v="0"/>
    <s v="CLOUD OPS:ithhwcop02en02:2X P3"/>
    <x v="0"/>
    <b v="0"/>
    <s v="No está en VPC"/>
    <n v="781"/>
    <s v="INTPG_VPC_780_1.30-33_781_1.30-33"/>
    <s v="ISEL-1.30"/>
    <n v="23"/>
    <s v="NO TIENE L3OUT"/>
    <n v="26"/>
    <n v="54"/>
  </r>
  <r>
    <n v="793"/>
    <x v="2"/>
    <x v="151"/>
    <s v="eth1/30"/>
    <x v="0"/>
    <x v="0"/>
    <x v="0"/>
    <s v="TO-NUTANIX -VPC2"/>
    <x v="0"/>
    <b v="0"/>
    <s v="No está en VPC"/>
    <n v="793"/>
    <s v="INTPG_VPC_793_1.30_794_1.30"/>
    <s v="ISEL-1.30"/>
    <n v="12"/>
    <s v="NO TIENE L3OUT"/>
    <n v="12"/>
    <n v="54"/>
  </r>
  <r>
    <n v="747"/>
    <x v="2"/>
    <x v="152"/>
    <s v="eth1/30"/>
    <x v="0"/>
    <x v="1"/>
    <x v="3"/>
    <s v="PAAS:ithhwosstpap005:Slot4.2"/>
    <x v="0"/>
    <b v="0"/>
    <s v="No está en VPC"/>
    <n v="747"/>
    <s v="INTPG_VPC_747_1.30_752_1.30"/>
    <s v="ISEL-1.30"/>
    <n v="0"/>
    <s v="NO TIENE L3OUT"/>
    <n v="0"/>
    <n v="54"/>
  </r>
  <r>
    <n v="784"/>
    <x v="2"/>
    <x v="153"/>
    <s v="eth1/30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30"/>
    <x v="1"/>
    <x v="1"/>
    <x v="2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30"/>
    <x v="0"/>
    <x v="0"/>
    <x v="0"/>
    <s v="CLOUD PAAS PAYG F2:Ithhwvm1bch1:slot 2x/Pto 4"/>
    <x v="0"/>
    <b v="0"/>
    <s v="No está en VPC"/>
    <n v="777"/>
    <s v="INTPG_VPC_776_1.25-28_777_1.29-32"/>
    <s v="ISEL-1.30"/>
    <n v="90"/>
    <s v="NO TIENE L3OUT"/>
    <n v="0"/>
    <n v="54"/>
  </r>
  <r>
    <n v="770"/>
    <x v="2"/>
    <x v="156"/>
    <s v="eth1/30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30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30"/>
    <x v="0"/>
    <x v="0"/>
    <x v="0"/>
    <s v="CEM:ITHCEMC2ADT15:SLOT1 P1"/>
    <x v="5"/>
    <b v="0"/>
    <s v="No está en VPC"/>
    <n v="739"/>
    <s v="INTPG_ACC_739_1.30"/>
    <s v="ISEL-1.30"/>
    <n v="1"/>
    <s v="NO TIENE L3OUT"/>
    <n v="72"/>
    <n v="54"/>
  </r>
  <r>
    <n v="775"/>
    <x v="2"/>
    <x v="159"/>
    <s v="eth1/30"/>
    <x v="0"/>
    <x v="0"/>
    <x v="0"/>
    <s v="CLOUD PAAS PAYG F2:Ithhwvm1dch1:slot 2x/Pto 4"/>
    <x v="0"/>
    <b v="0"/>
    <s v="No está en VPC"/>
    <n v="775"/>
    <s v="INTPG_PC_775_1.30_1.32"/>
    <s v="ISEL-1.30"/>
    <n v="0"/>
    <s v="NO TIENE L3OUT"/>
    <n v="0"/>
    <n v="54"/>
  </r>
  <r>
    <n v="791"/>
    <x v="2"/>
    <x v="160"/>
    <s v="eth1/30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30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30"/>
    <x v="0"/>
    <x v="0"/>
    <x v="0"/>
    <s v="LINK_TO_ITHFHWCBSDSWR16 /Slot6.2 /Redundante"/>
    <x v="0"/>
    <b v="0"/>
    <s v="No está en VPC"/>
    <n v="830"/>
    <s v="INTPG_VPC_826_1.30_830_1.30"/>
    <s v="ISEL-1.30"/>
    <n v="1"/>
    <s v="NO TIENE L3OUT"/>
    <n v="12"/>
    <n v="54"/>
  </r>
  <r>
    <n v="821"/>
    <x v="2"/>
    <x v="163"/>
    <s v="eth1/30"/>
    <x v="0"/>
    <x v="0"/>
    <x v="0"/>
    <s v="LINK_TO_ITHFHWCBSPSWR16 /Slot6.2 /Redundante"/>
    <x v="0"/>
    <b v="0"/>
    <s v="No está en VPC"/>
    <n v="821"/>
    <s v="INTPG_VPC_816_1.30_821_1.30"/>
    <s v="ISEL-1.30"/>
    <n v="1"/>
    <s v="NO TIENE L3OUT"/>
    <n v="0"/>
    <n v="54"/>
  </r>
  <r>
    <n v="738"/>
    <x v="2"/>
    <x v="164"/>
    <s v="eth1/30"/>
    <x v="0"/>
    <x v="0"/>
    <x v="0"/>
    <s v="CEM:ITHCEMF2KFK15:SLOT1 P1"/>
    <x v="5"/>
    <b v="0"/>
    <s v="No está en VPC"/>
    <n v="738"/>
    <s v="INTPG_ACC_738_1.30"/>
    <s v="ISEL-1.30"/>
    <n v="1"/>
    <s v="NO TIENE L3OUT"/>
    <n v="72"/>
    <n v="54"/>
  </r>
  <r>
    <n v="820"/>
    <x v="2"/>
    <x v="165"/>
    <s v="eth1/30"/>
    <x v="0"/>
    <x v="0"/>
    <x v="0"/>
    <s v="LINKT_TO_ITHFHWCRMPLCN134 / Slot7.3_38 / Redundante"/>
    <x v="0"/>
    <b v="0"/>
    <s v="No está en VPC"/>
    <n v="820"/>
    <s v="INTPG_ACC_820_1.30"/>
    <s v="ISEL-1.30"/>
    <n v="1"/>
    <s v="NO TIENE L3OUT"/>
    <n v="72"/>
    <n v="54"/>
  </r>
  <r>
    <n v="804"/>
    <x v="2"/>
    <x v="166"/>
    <s v="eth1/30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30"/>
    <x v="0"/>
    <x v="0"/>
    <x v="0"/>
    <s v="CLOUD OPS:ithhwcop01en01:3X P4"/>
    <x v="0"/>
    <b v="0"/>
    <s v="No está en VPC"/>
    <n v="779"/>
    <s v="INTPG_VPC_778_1.27-30_779_1.27-30"/>
    <s v="ISEL-1.30"/>
    <n v="24"/>
    <s v="NO TIENE L3OUT"/>
    <n v="30"/>
    <n v="54"/>
  </r>
  <r>
    <n v="767"/>
    <x v="2"/>
    <x v="168"/>
    <s v="eth1/30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30"/>
    <x v="0"/>
    <x v="0"/>
    <x v="0"/>
    <s v="LINK_TO_ITHFHWCBSDSWR26 /10GE.1 /Principal"/>
    <x v="0"/>
    <b v="0"/>
    <s v="No está en VPC"/>
    <n v="827"/>
    <s v="INTPG_VPC_827_1.30_831_1.30"/>
    <s v="ISEL-1.30"/>
    <n v="1"/>
    <s v="NO TIENE L3OUT"/>
    <n v="14"/>
    <n v="54"/>
  </r>
  <r>
    <n v="809"/>
    <x v="2"/>
    <x v="170"/>
    <s v="eth1/30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30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30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30"/>
    <x v="0"/>
    <x v="0"/>
    <x v="0"/>
    <s v="CLOUD PAAS PAYG F2:Ithhwvm1ach1:slot 2x/Pto 4"/>
    <x v="0"/>
    <b v="0"/>
    <s v="No está en VPC"/>
    <n v="776"/>
    <s v="INTPG_VPC_776_1.29-32_777_1.25-28"/>
    <s v="ISEL-1.30"/>
    <n v="93"/>
    <s v="NO TIENE L3OUT"/>
    <n v="0"/>
    <n v="54"/>
  </r>
  <r>
    <n v="805"/>
    <x v="2"/>
    <x v="174"/>
    <s v="eth1/30"/>
    <x v="1"/>
    <x v="1"/>
    <x v="2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30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30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30"/>
    <x v="0"/>
    <x v="0"/>
    <x v="0"/>
    <s v="LINK_TO_ITHFHWCRMPLCN110 / Slot7.3_24 / Redundante"/>
    <x v="0"/>
    <b v="0"/>
    <s v="No está en VPC"/>
    <n v="851"/>
    <s v="INTPG_ACC_851_1.30"/>
    <s v="ISEL-1.30"/>
    <n v="1"/>
    <s v="NO TIENE L3OUT"/>
    <n v="282"/>
    <n v="54"/>
  </r>
  <r>
    <n v="798"/>
    <x v="2"/>
    <x v="178"/>
    <s v="eth1/30"/>
    <x v="0"/>
    <x v="0"/>
    <x v="0"/>
    <s v="TO-ITHFDEVDICL01ESX02"/>
    <x v="0"/>
    <b v="0"/>
    <s v="No está en VPC"/>
    <n v="798"/>
    <s v="INTPG_VPC_798_1.30_799_1.30"/>
    <s v="ISEL-1.30"/>
    <n v="6"/>
    <s v="NO TIENE L3OUT"/>
    <n v="52"/>
    <n v="54"/>
  </r>
  <r>
    <n v="782"/>
    <x v="2"/>
    <x v="179"/>
    <s v="eth1/30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30"/>
    <x v="0"/>
    <x v="0"/>
    <x v="0"/>
    <s v="LINK_TO_ITHFHWCRMPLCN94 / Slot7.1_20 / Redundante"/>
    <x v="0"/>
    <b v="0"/>
    <s v="No está en VPC"/>
    <n v="852"/>
    <s v="INTPG_ACC_852_1.30"/>
    <s v="ISEL-1.30"/>
    <n v="6"/>
    <s v="NO TIENE L3OUT"/>
    <n v="258"/>
    <n v="54"/>
  </r>
  <r>
    <n v="817"/>
    <x v="2"/>
    <x v="181"/>
    <s v="eth1/30"/>
    <x v="0"/>
    <x v="0"/>
    <x v="0"/>
    <s v="LINK_TO_ITHFHWCBSPSUSBD20 /Slot4.2 /Principal"/>
    <x v="0"/>
    <b v="0"/>
    <s v="No está en VPC"/>
    <n v="817"/>
    <s v="INTPG_VPC_817_1.30_822_1.30"/>
    <s v="ISEL-1.30"/>
    <n v="1"/>
    <s v="NO TIENE L3OUT"/>
    <n v="0"/>
    <n v="54"/>
  </r>
  <r>
    <n v="832"/>
    <x v="2"/>
    <x v="182"/>
    <s v="eth1/30"/>
    <x v="0"/>
    <x v="0"/>
    <x v="0"/>
    <s v="LINK_TO_ITHFHWCRMDLCN25 /Slot5.1 /Redundante"/>
    <x v="0"/>
    <b v="0"/>
    <s v="No está en VPC"/>
    <n v="832"/>
    <s v="INTPG_ACC_832_1.30"/>
    <s v="ISEL-1.30"/>
    <n v="2"/>
    <s v="NO TIENE L3OUT"/>
    <n v="192"/>
    <n v="54"/>
  </r>
  <r>
    <n v="816"/>
    <x v="2"/>
    <x v="183"/>
    <s v="eth1/30"/>
    <x v="0"/>
    <x v="0"/>
    <x v="0"/>
    <s v="LINK_TO_ITHFHWCBSPSWR16 /Slot4.2 /Principal"/>
    <x v="0"/>
    <b v="0"/>
    <s v="No está en VPC"/>
    <n v="816"/>
    <s v="INTPG_VPC_816_1.30_821_1.30"/>
    <s v="ISEL-1.30"/>
    <n v="1"/>
    <s v="NO TIENE L3OUT"/>
    <n v="0"/>
    <n v="54"/>
  </r>
  <r>
    <n v="825"/>
    <x v="2"/>
    <x v="184"/>
    <s v="eth1/30"/>
    <x v="0"/>
    <x v="0"/>
    <x v="0"/>
    <s v="LINKT_TO_ITHFHWCRMPLCN134 / Slot1.3_38 / Principal"/>
    <x v="0"/>
    <b v="0"/>
    <s v="No está en VPC"/>
    <n v="825"/>
    <s v="INTPG_ACC_825_1.30"/>
    <s v="ISEL-1.30"/>
    <n v="1"/>
    <s v="NO TIENE L3OUT"/>
    <n v="72"/>
    <n v="54"/>
  </r>
  <r>
    <n v="800"/>
    <x v="2"/>
    <x v="185"/>
    <s v="eth1/30"/>
    <x v="0"/>
    <x v="0"/>
    <x v="0"/>
    <s v="TO-ITHFHWSEQLDPS01-MSP"/>
    <x v="0"/>
    <b v="0"/>
    <s v="No está en VPC"/>
    <n v="800"/>
    <s v="INTPG_ACC_800_1.30"/>
    <s v="ISEL-1.30"/>
    <n v="1"/>
    <s v="NO TIENE L3OUT"/>
    <n v="78"/>
    <n v="54"/>
  </r>
  <r>
    <n v="801"/>
    <x v="2"/>
    <x v="186"/>
    <s v="eth1/30"/>
    <x v="0"/>
    <x v="0"/>
    <x v="0"/>
    <s v="TO-ITHFHWSEQLDPS01-MSP"/>
    <x v="0"/>
    <b v="0"/>
    <s v="No está en VPC"/>
    <n v="801"/>
    <s v="INTPG_ACC_801_1.30"/>
    <s v="ISEL-1.30"/>
    <n v="1"/>
    <s v="NO TIENE L3OUT"/>
    <n v="78"/>
    <n v="54"/>
  </r>
  <r>
    <n v="823"/>
    <x v="2"/>
    <x v="187"/>
    <s v="eth1/30"/>
    <x v="0"/>
    <x v="0"/>
    <x v="0"/>
    <s v="LINK_TO_ITHFHWCBSPSWR34 /Slot5.1 /Redundante"/>
    <x v="0"/>
    <b v="0"/>
    <s v="No está en VPC"/>
    <n v="823"/>
    <s v="INTPG_VPC_818_1.30_823_1.30"/>
    <s v="ISEL-1.30"/>
    <n v="1"/>
    <s v="NO TIENE L3OUT"/>
    <n v="8"/>
    <n v="54"/>
  </r>
  <r>
    <n v="837"/>
    <x v="2"/>
    <x v="188"/>
    <s v="eth1/30"/>
    <x v="0"/>
    <x v="0"/>
    <x v="0"/>
    <s v="LINK_TO_ITHHWD6KV65100009DKC01 / CTMA_IOM1.P0_34 / Principal"/>
    <x v="0"/>
    <b v="0"/>
    <s v="No está en VPC"/>
    <n v="837"/>
    <s v="INTPG_ACC_837_1.30"/>
    <s v="ISEL-1.30"/>
    <n v="1"/>
    <s v="NO TIENE L3OUT"/>
    <n v="8"/>
    <n v="54"/>
  </r>
  <r>
    <n v="867"/>
    <x v="2"/>
    <x v="189"/>
    <s v="eth1/30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30"/>
    <x v="0"/>
    <x v="0"/>
    <x v="0"/>
    <s v="To_ITHFHWCRMDLCN45_Principal"/>
    <x v="0"/>
    <b v="0"/>
    <s v="No está en VPC"/>
    <n v="829"/>
    <s v="INTPG_ACC_829_1.30"/>
    <s v="ISEL-1.30"/>
    <n v="6"/>
    <s v="NO TIENE L3OUT"/>
    <n v="224"/>
    <n v="54"/>
  </r>
  <r>
    <n v="831"/>
    <x v="2"/>
    <x v="191"/>
    <s v="eth1/30"/>
    <x v="0"/>
    <x v="0"/>
    <x v="0"/>
    <s v="LINK_TO_ITHFHWCBSDSWR26 /Slot5.1 /Redundante"/>
    <x v="0"/>
    <b v="0"/>
    <s v="No está en VPC"/>
    <n v="831"/>
    <s v="INTPG_VPC_827_1.30_831_1.30"/>
    <s v="ISEL-1.30"/>
    <n v="1"/>
    <s v="NO TIENE L3OUT"/>
    <n v="14"/>
    <n v="54"/>
  </r>
  <r>
    <n v="802"/>
    <x v="2"/>
    <x v="192"/>
    <s v="eth1/30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30"/>
    <x v="0"/>
    <x v="0"/>
    <x v="0"/>
    <s v="LINK_TO_ITHFHWCBSPSHD32 / Slot1.2_16 / Principal"/>
    <x v="0"/>
    <b v="0"/>
    <s v="No está en VPC"/>
    <n v="835"/>
    <s v="INTPG_VPC_835_1.30_840_1.30"/>
    <s v="ISEL-1.30"/>
    <n v="1"/>
    <s v="NO TIENE L3OUT"/>
    <n v="8"/>
    <n v="54"/>
  </r>
  <r>
    <n v="822"/>
    <x v="2"/>
    <x v="194"/>
    <s v="eth1/30"/>
    <x v="0"/>
    <x v="0"/>
    <x v="0"/>
    <s v="LINK_TO_ITHFHWCBSPSUSBD20 /Slot6.2 /Redundante"/>
    <x v="0"/>
    <b v="0"/>
    <s v="No está en VPC"/>
    <n v="822"/>
    <s v="INTPG_VPC_817_1.30_822_1.30"/>
    <s v="ISEL-1.30"/>
    <n v="1"/>
    <s v="NO TIENE L3OUT"/>
    <n v="0"/>
    <n v="54"/>
  </r>
  <r>
    <n v="854"/>
    <x v="2"/>
    <x v="195"/>
    <s v="eth1/30"/>
    <x v="0"/>
    <x v="0"/>
    <x v="0"/>
    <s v="LINK_TO_ITHFHWCRMPLCN175 / Slot1.2_20 / Principal"/>
    <x v="0"/>
    <b v="0"/>
    <s v="No está en VPC"/>
    <n v="854"/>
    <s v="INTPG_ACC_854_1.30"/>
    <s v="ISEL-1.30"/>
    <n v="2"/>
    <s v="NO TIENE L3OUT"/>
    <n v="204"/>
    <n v="54"/>
  </r>
  <r>
    <n v="858"/>
    <x v="2"/>
    <x v="196"/>
    <s v="eth1/30"/>
    <x v="0"/>
    <x v="0"/>
    <x v="0"/>
    <s v="To_VPC_2DCBSD_WR54_3"/>
    <x v="0"/>
    <b v="0"/>
    <s v="No está en VPC"/>
    <n v="858"/>
    <s v="INTPG_VPC_858_1.30_863_1.30"/>
    <s v="ISEL-1.30"/>
    <n v="1"/>
    <s v="NO TIENE L3OUT"/>
    <n v="8"/>
    <n v="54"/>
  </r>
  <r>
    <n v="857"/>
    <x v="2"/>
    <x v="197"/>
    <s v="eth1/30"/>
    <x v="0"/>
    <x v="0"/>
    <x v="0"/>
    <s v="LINKT_TO_ITHFHWCRMPLCN125 / Slot1.2_20 / Principal"/>
    <x v="0"/>
    <b v="0"/>
    <s v="No está en VPC"/>
    <n v="857"/>
    <s v="INTPG_ACC_857_1.30"/>
    <s v="ISEL-1.30"/>
    <n v="2"/>
    <s v="NO TIENE L3OUT"/>
    <n v="288"/>
    <n v="54"/>
  </r>
  <r>
    <n v="859"/>
    <x v="2"/>
    <x v="198"/>
    <s v="eth1/30"/>
    <x v="0"/>
    <x v="0"/>
    <x v="0"/>
    <s v="To_VPC_2DCBSD_WR45_3"/>
    <x v="0"/>
    <b v="0"/>
    <s v="No está en VPC"/>
    <n v="859"/>
    <s v="INTPG_VPC_859_1.30_864_1.30"/>
    <s v="ISEL-1.30"/>
    <n v="1"/>
    <s v="NO TIENE L3OUT"/>
    <n v="0"/>
    <n v="54"/>
  </r>
  <r>
    <n v="833"/>
    <x v="2"/>
    <x v="199"/>
    <s v="eth1/30"/>
    <x v="0"/>
    <x v="0"/>
    <x v="0"/>
    <s v="To_ITHFHWCRMDLCN45_Redundante"/>
    <x v="0"/>
    <b v="0"/>
    <s v="No está en VPC"/>
    <n v="833"/>
    <s v="INTPG_ACC_833_1.30"/>
    <s v="ISEL-1.30"/>
    <n v="6"/>
    <s v="NO TIENE L3OUT"/>
    <n v="224"/>
    <n v="54"/>
  </r>
  <r>
    <n v="818"/>
    <x v="2"/>
    <x v="200"/>
    <s v="eth1/30"/>
    <x v="0"/>
    <x v="0"/>
    <x v="0"/>
    <s v="LINK_TO_ITHFHWCBSPSWR34 /10GE.1 /Principal"/>
    <x v="0"/>
    <b v="0"/>
    <s v="No está en VPC"/>
    <n v="818"/>
    <s v="INTPG_VPC_818_1.30_823_1.30"/>
    <s v="ISEL-1.30"/>
    <n v="1"/>
    <s v="NO TIENE L3OUT"/>
    <n v="8"/>
    <n v="54"/>
  </r>
  <r>
    <n v="850"/>
    <x v="2"/>
    <x v="201"/>
    <s v="eth1/30"/>
    <x v="0"/>
    <x v="0"/>
    <x v="0"/>
    <s v="LINKT_TO_ITHFHWCRMPLCN125 / Slot7.2_20 / Redundante"/>
    <x v="0"/>
    <b v="0"/>
    <s v="No está en VPC"/>
    <n v="850"/>
    <s v="INTPG_ACC_850_1.30"/>
    <s v="ISEL-1.30"/>
    <n v="2"/>
    <s v="NO TIENE L3OUT"/>
    <n v="288"/>
    <n v="54"/>
  </r>
  <r>
    <n v="860"/>
    <x v="2"/>
    <x v="202"/>
    <s v="eth1/30"/>
    <x v="0"/>
    <x v="0"/>
    <x v="0"/>
    <s v="To_VPC_2DCBSD_BD16_3"/>
    <x v="0"/>
    <b v="0"/>
    <s v="No está en VPC"/>
    <n v="860"/>
    <s v="INTPG_VPC_860_1.30_865_1.30"/>
    <s v="ISEL-1.30"/>
    <n v="1"/>
    <s v="NO TIENE L3OUT"/>
    <n v="0"/>
    <n v="54"/>
  </r>
  <r>
    <n v="853"/>
    <x v="2"/>
    <x v="203"/>
    <s v="eth1/30"/>
    <x v="0"/>
    <x v="0"/>
    <x v="0"/>
    <s v="LINK_TO_ITHFHWCRMPLCN81 / Slot7.3_20 / Redundante"/>
    <x v="0"/>
    <b v="0"/>
    <s v="No está en VPC"/>
    <n v="853"/>
    <s v="INTPG_ACC_853_1.30"/>
    <s v="ISEL-1.30"/>
    <n v="1"/>
    <s v="NO TIENE L3OUT"/>
    <n v="242"/>
    <n v="54"/>
  </r>
  <r>
    <n v="790"/>
    <x v="2"/>
    <x v="204"/>
    <s v="eth1/30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30"/>
    <x v="0"/>
    <x v="0"/>
    <x v="0"/>
    <s v="DATOS LENOVO"/>
    <x v="6"/>
    <b v="0"/>
    <s v="No está en VPC"/>
    <n v="105"/>
    <s v="INTPG_ACC_105_1.30"/>
    <s v="ISEL-1.30"/>
    <n v="1"/>
    <s v="NO TIENE L3OUT"/>
    <n v="106"/>
    <n v="96"/>
  </r>
  <r>
    <n v="117"/>
    <x v="0"/>
    <x v="206"/>
    <s v="eth1/30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30"/>
    <x v="0"/>
    <x v="0"/>
    <x v="0"/>
    <s v="SILOT"/>
    <x v="6"/>
    <b v="0"/>
    <s v="No está en VPC"/>
    <n v="104"/>
    <s v="INTPG_ACC_104_1.30"/>
    <s v="ISEL-1.30"/>
    <n v="1"/>
    <s v="NO TIENE L3OUT"/>
    <n v="194"/>
    <n v="96"/>
  </r>
  <r>
    <n v="158"/>
    <x v="0"/>
    <x v="208"/>
    <s v="eth1/30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30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30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30"/>
    <x v="1"/>
    <x v="1"/>
    <x v="2"/>
    <m/>
    <x v="6"/>
    <b v="0"/>
    <s v="No está en VPC"/>
    <n v="108"/>
    <s v="INTPG_ACC_108_1.30"/>
    <s v="ISEL-1.30"/>
    <n v="1"/>
    <s v="NO TIENE L3OUT"/>
    <n v="126"/>
    <n v="96"/>
  </r>
  <r>
    <n v="112"/>
    <x v="0"/>
    <x v="212"/>
    <s v="eth1/30"/>
    <x v="1"/>
    <x v="1"/>
    <x v="2"/>
    <s v="SUBEX (Fraud Management)"/>
    <x v="6"/>
    <b v="0"/>
    <s v="No está en VPC"/>
    <n v="112"/>
    <s v="INTPG_ACC_112_1.30"/>
    <s v="ISEL-1.30"/>
    <n v="1"/>
    <s v="NO TIENE L3OUT"/>
    <n v="144"/>
    <n v="96"/>
  </r>
  <r>
    <n v="107"/>
    <x v="0"/>
    <x v="213"/>
    <s v="eth1/30"/>
    <x v="0"/>
    <x v="0"/>
    <x v="0"/>
    <m/>
    <x v="6"/>
    <b v="0"/>
    <s v="No está en VPC"/>
    <n v="107"/>
    <s v="INTPG_ACC_107_1.30"/>
    <s v="ISEL-1.30"/>
    <n v="1"/>
    <s v="NO TIENE L3OUT"/>
    <n v="118"/>
    <n v="96"/>
  </r>
  <r>
    <n v="109"/>
    <x v="0"/>
    <x v="214"/>
    <s v="eth1/30"/>
    <x v="1"/>
    <x v="1"/>
    <x v="2"/>
    <s v="IXT01PP, IXT02PP, IXT05PP"/>
    <x v="6"/>
    <b v="0"/>
    <s v="No está en VPC"/>
    <n v="109"/>
    <s v="INTPG_ACC_109_1.30"/>
    <s v="ISEL-1.30"/>
    <n v="1"/>
    <s v="NO TIENE L3OUT"/>
    <n v="126"/>
    <n v="96"/>
  </r>
  <r>
    <n v="113"/>
    <x v="0"/>
    <x v="215"/>
    <s v="eth1/30"/>
    <x v="0"/>
    <x v="0"/>
    <x v="0"/>
    <s v="RLVYCAN01ILO"/>
    <x v="6"/>
    <b v="0"/>
    <s v="No está en VPC"/>
    <n v="113"/>
    <s v="INTPG_ACC_113_1.30"/>
    <s v="ISEL-1.30"/>
    <n v="1"/>
    <s v="NO TIENE L3OUT"/>
    <n v="52"/>
    <n v="96"/>
  </r>
  <r>
    <n v="114"/>
    <x v="0"/>
    <x v="216"/>
    <s v="eth1/30"/>
    <x v="0"/>
    <x v="0"/>
    <x v="0"/>
    <s v="CHARGING SYSTEM"/>
    <x v="6"/>
    <b v="0"/>
    <s v="No está en VPC"/>
    <n v="114"/>
    <s v="INTPG_ACC_114_1.30"/>
    <s v="ISEL-1.30"/>
    <n v="1"/>
    <s v="NO TIENE L3OUT"/>
    <n v="144"/>
    <n v="96"/>
  </r>
  <r>
    <n v="124"/>
    <x v="0"/>
    <x v="217"/>
    <s v="eth1/30"/>
    <x v="0"/>
    <x v="0"/>
    <x v="0"/>
    <s v="ixtossgwacs"/>
    <x v="6"/>
    <b v="0"/>
    <s v="No está en VPC"/>
    <n v="124"/>
    <s v="INTPG_ACC_124_1.30"/>
    <s v="ISEL-1.30"/>
    <n v="1"/>
    <s v="NO TIENE L3OUT"/>
    <n v="80"/>
    <n v="96"/>
  </r>
  <r>
    <n v="118"/>
    <x v="0"/>
    <x v="218"/>
    <s v="eth1/30"/>
    <x v="0"/>
    <x v="0"/>
    <x v="0"/>
    <s v="DATOS NETCRACKER"/>
    <x v="6"/>
    <b v="0"/>
    <s v="No está en VPC"/>
    <n v="118"/>
    <s v="INTPG_ACC_118_1.30"/>
    <s v="ISEL-1.30"/>
    <n v="1"/>
    <s v="NO TIENE L3OUT"/>
    <n v="180"/>
    <n v="96"/>
  </r>
  <r>
    <n v="159"/>
    <x v="0"/>
    <x v="219"/>
    <s v="eth1/30"/>
    <x v="0"/>
    <x v="0"/>
    <x v="0"/>
    <s v="ArrobaDOC Y CF"/>
    <x v="6"/>
    <b v="0"/>
    <s v="No está en VPC"/>
    <n v="159"/>
    <s v="INTPG_ACC_159_1.30"/>
    <s v="ISEL-1.30"/>
    <n v="1"/>
    <s v="NO TIENE L3OUT"/>
    <n v="72"/>
    <n v="96"/>
  </r>
  <r>
    <n v="840"/>
    <x v="2"/>
    <x v="220"/>
    <s v="eth1/30"/>
    <x v="0"/>
    <x v="0"/>
    <x v="0"/>
    <s v="LINK_TO_ITHFHWCBSPSHD32 / Slot7.2_16 / Redundante"/>
    <x v="0"/>
    <b v="0"/>
    <s v="No está en VPC"/>
    <n v="840"/>
    <s v="INTPG_VPC_835_1.30_840_1.30"/>
    <s v="ISEL-1.30"/>
    <n v="1"/>
    <s v="NO TIENE L3OUT"/>
    <n v="8"/>
    <n v="54"/>
  </r>
  <r>
    <n v="856"/>
    <x v="2"/>
    <x v="221"/>
    <s v="eth1/30"/>
    <x v="0"/>
    <x v="0"/>
    <x v="0"/>
    <s v="LINK_TO_ITHFHWCRMPLCN144 / Slot1.2_22 / Principal"/>
    <x v="0"/>
    <b v="0"/>
    <s v="No está en VPC"/>
    <n v="856"/>
    <s v="INTPG_ACC_856_1.30"/>
    <s v="ISEL-1.30"/>
    <n v="2"/>
    <s v="NO TIENE L3OUT"/>
    <n v="286"/>
    <n v="54"/>
  </r>
  <r>
    <n v="110"/>
    <x v="0"/>
    <x v="222"/>
    <s v="eth1/30"/>
    <x v="0"/>
    <x v="0"/>
    <x v="0"/>
    <s v="DESC"/>
    <x v="6"/>
    <b v="0"/>
    <s v="No está en VPC"/>
    <n v="110"/>
    <s v="INTPG_PC_110_1.15-16_22-23_30"/>
    <s v="ISEL-1.30"/>
    <n v="1"/>
    <s v="NO TIENE L3OUT"/>
    <n v="102"/>
    <n v="96"/>
  </r>
  <r>
    <n v="163"/>
    <x v="0"/>
    <x v="223"/>
    <s v="eth1/30"/>
    <x v="0"/>
    <x v="0"/>
    <x v="0"/>
    <s v="desc"/>
    <x v="6"/>
    <b v="0"/>
    <s v="No está en VPC"/>
    <n v="163"/>
    <s v="INTPG_VPC_161_1.31_163_1.30"/>
    <s v="ISEL-1.30"/>
    <n v="1"/>
    <s v="NO TIENE L3OUT"/>
    <n v="140"/>
    <n v="96"/>
  </r>
  <r>
    <n v="407"/>
    <x v="1"/>
    <x v="224"/>
    <s v="eth1/30"/>
    <x v="0"/>
    <x v="0"/>
    <x v="0"/>
    <s v="ITHSAN2C"/>
    <x v="6"/>
    <b v="0"/>
    <s v="No está en VPC"/>
    <n v="407"/>
    <s v="INTPG_ACC_407_1.30"/>
    <s v="ISEL-1.30"/>
    <n v="1"/>
    <s v="NO TIENE L3OUT"/>
    <n v="122"/>
    <n v="96"/>
  </r>
  <r>
    <n v="171"/>
    <x v="0"/>
    <x v="225"/>
    <s v="eth1/30"/>
    <x v="0"/>
    <x v="1"/>
    <x v="1"/>
    <s v="netqosSDS01_ilom"/>
    <x v="6"/>
    <b v="0"/>
    <s v="No está en VPC"/>
    <n v="171"/>
    <s v="INTPG_ACC_171_1.30"/>
    <s v="ISEL-1.30"/>
    <n v="1"/>
    <s v="NO TIENE L3OUT"/>
    <n v="114"/>
    <n v="96"/>
  </r>
  <r>
    <n v="421"/>
    <x v="1"/>
    <x v="226"/>
    <s v="eth1/30"/>
    <x v="0"/>
    <x v="0"/>
    <x v="0"/>
    <s v="VTA_uxvta073_NETMGT"/>
    <x v="6"/>
    <b v="0"/>
    <s v="No está en VPC"/>
    <n v="421"/>
    <s v="INTPG_ACC_421_1.30"/>
    <s v="ISEL-1.30"/>
    <n v="1"/>
    <s v="NO TIENE L3OUT"/>
    <n v="72"/>
    <n v="96"/>
  </r>
  <r>
    <n v="173"/>
    <x v="0"/>
    <x v="227"/>
    <s v="eth1/30"/>
    <x v="0"/>
    <x v="1"/>
    <x v="1"/>
    <s v="ENIQ_1"/>
    <x v="6"/>
    <b v="0"/>
    <s v="No está en VPC"/>
    <n v="173"/>
    <s v="INTPG_PC_173_1.28-33"/>
    <s v="ISEL-1.30"/>
    <n v="3"/>
    <s v="NO TIENE L3OUT"/>
    <n v="66"/>
    <n v="96"/>
  </r>
  <r>
    <n v="154"/>
    <x v="0"/>
    <x v="228"/>
    <s v="eth1/30"/>
    <x v="0"/>
    <x v="0"/>
    <x v="0"/>
    <s v=" POLYVIEW_KVM"/>
    <x v="6"/>
    <b v="0"/>
    <s v="No está en VPC"/>
    <n v="154"/>
    <s v="INTPG_ACC_154_1.30"/>
    <s v="ISEL-1.30"/>
    <n v="1"/>
    <s v="NO TIENE L3OUT"/>
    <n v="62"/>
    <n v="96"/>
  </r>
  <r>
    <n v="172"/>
    <x v="0"/>
    <x v="229"/>
    <s v="eth1/30"/>
    <x v="0"/>
    <x v="1"/>
    <x v="1"/>
    <s v="netqosACS01"/>
    <x v="6"/>
    <b v="0"/>
    <s v="No está en VPC"/>
    <n v="172"/>
    <s v="INTPG_ACC_172_1.30"/>
    <s v="ISEL-1.30"/>
    <n v="1"/>
    <s v="NO TIENE L3OUT"/>
    <n v="104"/>
    <n v="96"/>
  </r>
  <r>
    <n v="420"/>
    <x v="1"/>
    <x v="230"/>
    <s v="eth1/30"/>
    <x v="0"/>
    <x v="0"/>
    <x v="0"/>
    <s v="TO-ITHFDEOCP1LWR07-PRINCIPAL"/>
    <x v="6"/>
    <b v="0"/>
    <s v="No está en VPC"/>
    <n v="420"/>
    <s v="INTPG_ACC_420_1.30"/>
    <s v="ISEL-1.30"/>
    <n v="1"/>
    <s v="NO TIENE L3OUT"/>
    <n v="158"/>
    <n v="96"/>
  </r>
  <r>
    <n v="423"/>
    <x v="1"/>
    <x v="231"/>
    <s v="eth1/30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30"/>
    <x v="0"/>
    <x v="0"/>
    <x v="0"/>
    <s v="To-uxingemc2"/>
    <x v="6"/>
    <b v="0"/>
    <s v="No está en VPC"/>
    <n v="415"/>
    <s v="INTPG_ACC_415_1.30"/>
    <s v="ISEL-1.30"/>
    <n v="1"/>
    <s v="NO TIENE L3OUT"/>
    <n v="52"/>
    <n v="96"/>
  </r>
  <r>
    <n v="102"/>
    <x v="0"/>
    <x v="233"/>
    <s v="eth1/30"/>
    <x v="0"/>
    <x v="1"/>
    <x v="1"/>
    <s v="SFLDI:RLDIBI202:1"/>
    <x v="6"/>
    <b v="0"/>
    <s v="No está en VPC"/>
    <n v="102"/>
    <s v="INTPG_ACC_102_1.30"/>
    <s v="ISEL-1.30"/>
    <n v="1"/>
    <s v="NO TIENE L3OUT"/>
    <n v="228"/>
    <n v="96"/>
  </r>
  <r>
    <n v="863"/>
    <x v="2"/>
    <x v="234"/>
    <s v="eth1/30"/>
    <x v="0"/>
    <x v="0"/>
    <x v="0"/>
    <s v="To_VPC_2DCBSD_WR54_3"/>
    <x v="0"/>
    <b v="0"/>
    <s v="No está en VPC"/>
    <n v="863"/>
    <s v="INTPG_VPC_858_1.30_863_1.30"/>
    <s v="ISEL-1.30"/>
    <n v="1"/>
    <s v="NO TIENE L3OUT"/>
    <n v="8"/>
    <n v="54"/>
  </r>
  <r>
    <n v="876"/>
    <x v="2"/>
    <x v="235"/>
    <s v="eth1/30"/>
    <x v="0"/>
    <x v="0"/>
    <x v="0"/>
    <s v="A_ITHFHWSEQLCAS29_Principal"/>
    <x v="4"/>
    <b v="0"/>
    <s v="No está en VPC"/>
    <n v="876"/>
    <s v="INTPG_ACC_876_1.30"/>
    <s v="ISEL-1.30"/>
    <n v="1"/>
    <s v="NO TIENE L3OUT"/>
    <n v="92"/>
    <n v="54"/>
  </r>
  <r>
    <n v="877"/>
    <x v="2"/>
    <x v="236"/>
    <s v="eth1/30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30"/>
    <x v="0"/>
    <x v="0"/>
    <x v="0"/>
    <s v="IXTRTC5"/>
    <x v="6"/>
    <b v="0"/>
    <s v="No está en VPC"/>
    <n v="122"/>
    <s v="INTPG_ACC_122_1.30"/>
    <s v="ISEL-1.30"/>
    <n v="1"/>
    <s v="NO TIENE L3OUT"/>
    <n v="148"/>
    <n v="96"/>
  </r>
  <r>
    <n v="157"/>
    <x v="0"/>
    <x v="238"/>
    <s v="eth1/30"/>
    <x v="1"/>
    <x v="1"/>
    <x v="2"/>
    <s v="RED CRICKET"/>
    <x v="6"/>
    <b v="0"/>
    <s v="No está en VPC"/>
    <n v="157"/>
    <s v="INTPG_ACC_157_1.30"/>
    <s v="ISEL-1.30"/>
    <n v="1"/>
    <s v="NO TIENE L3OUT"/>
    <n v="202"/>
    <n v="96"/>
  </r>
  <r>
    <n v="408"/>
    <x v="1"/>
    <x v="239"/>
    <s v="eth1/30"/>
    <x v="0"/>
    <x v="0"/>
    <x v="0"/>
    <s v="NPO101"/>
    <x v="6"/>
    <b v="0"/>
    <s v="No está en VPC"/>
    <n v="408"/>
    <s v="INTPG_ACC_408_1.30"/>
    <s v="ISEL-1.30"/>
    <n v="1"/>
    <s v="NO TIENE L3OUT"/>
    <n v="152"/>
    <n v="96"/>
  </r>
  <r>
    <n v="405"/>
    <x v="1"/>
    <x v="240"/>
    <s v="eth1/30"/>
    <x v="0"/>
    <x v="0"/>
    <x v="0"/>
    <s v="IXT_ARIESO7_LDR3"/>
    <x v="6"/>
    <b v="0"/>
    <s v="No está en VPC"/>
    <n v="405"/>
    <s v="INTPG_ACC_405_1.30"/>
    <s v="ISEL-1.30"/>
    <n v="1"/>
    <s v="NO TIENE L3OUT"/>
    <n v="138"/>
    <n v="96"/>
  </r>
  <r>
    <n v="169"/>
    <x v="0"/>
    <x v="241"/>
    <s v="eth1/30"/>
    <x v="0"/>
    <x v="0"/>
    <x v="0"/>
    <s v="LINKDOWN_HACIA_UCS_9UCS-IXTLA-SERV4"/>
    <x v="6"/>
    <b v="0"/>
    <s v="No está en VPC"/>
    <n v="169"/>
    <s v="INTPG_ACC_169_1.30"/>
    <s v="ISEL-1.30"/>
    <n v="1"/>
    <s v="NO TIENE L3OUT"/>
    <n v="76"/>
    <n v="96"/>
  </r>
  <r>
    <n v="165"/>
    <x v="0"/>
    <x v="242"/>
    <s v="eth1/30"/>
    <x v="1"/>
    <x v="1"/>
    <x v="2"/>
    <s v="NPG_DOC"/>
    <x v="6"/>
    <b v="0"/>
    <s v="No está en VPC"/>
    <n v="165"/>
    <s v="INTPG_ACC_165_1.30"/>
    <s v="ISEL-1.30"/>
    <n v="0"/>
    <s v="NO TIENE L3OUT"/>
    <n v="86"/>
    <n v="96"/>
  </r>
  <r>
    <n v="417"/>
    <x v="1"/>
    <x v="243"/>
    <s v="eth1/30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30"/>
    <x v="0"/>
    <x v="0"/>
    <x v="0"/>
    <m/>
    <x v="6"/>
    <b v="0"/>
    <s v="No está en VPC"/>
    <n v="153"/>
    <s v="INTPG_ACC_153_1.30"/>
    <s v="ISEL-1.30"/>
    <n v="1"/>
    <s v="NO TIENE L3OUT"/>
    <n v="42"/>
    <n v="96"/>
  </r>
  <r>
    <n v="119"/>
    <x v="0"/>
    <x v="245"/>
    <s v="eth1/30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30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30"/>
    <x v="0"/>
    <x v="1"/>
    <x v="1"/>
    <s v="CAMPANAS 01-02:uxcamp03:ent0"/>
    <x v="6"/>
    <b v="0"/>
    <s v="No está en VPC"/>
    <n v="103"/>
    <s v="INTPG_ACC_103_1.30"/>
    <s v="ISEL-1.30"/>
    <n v="1"/>
    <s v="NO TIENE L3OUT"/>
    <n v="70"/>
    <n v="96"/>
  </r>
  <r>
    <n v="438"/>
    <x v="1"/>
    <x v="248"/>
    <s v="eth1/30"/>
    <x v="0"/>
    <x v="0"/>
    <x v="0"/>
    <s v="DESC"/>
    <x v="6"/>
    <b v="0"/>
    <s v="No está en VPC"/>
    <n v="438"/>
    <s v="INTPG_PC_438_1.30-35"/>
    <s v="ISEL-1.30"/>
    <n v="7"/>
    <s v="NO TIENE L3OUT"/>
    <n v="170"/>
    <n v="96"/>
  </r>
  <r>
    <n v="406"/>
    <x v="1"/>
    <x v="249"/>
    <s v="eth1/30"/>
    <x v="0"/>
    <x v="0"/>
    <x v="0"/>
    <s v="PCRF1_CLT"/>
    <x v="6"/>
    <b v="0"/>
    <s v="No está en VPC"/>
    <n v="406"/>
    <s v="INTPG_VPC_404_1.29-30_406_1.29-30"/>
    <s v="ISEL-1.30"/>
    <n v="5"/>
    <s v="NO TIENE L3OUT"/>
    <n v="82"/>
    <n v="96"/>
  </r>
  <r>
    <n v="414"/>
    <x v="1"/>
    <x v="250"/>
    <s v="eth1/30"/>
    <x v="0"/>
    <x v="0"/>
    <x v="0"/>
    <s v="ITHMSNUBE1_ITH1"/>
    <x v="6"/>
    <b v="0"/>
    <s v="No está en VPC"/>
    <n v="414"/>
    <s v="INTPG_ACC_414_1.30"/>
    <s v="ISEL-1.30"/>
    <n v="1"/>
    <s v="NO TIENE L3OUT"/>
    <n v="144"/>
    <n v="96"/>
  </r>
  <r>
    <n v="416"/>
    <x v="1"/>
    <x v="251"/>
    <s v="eth1/30"/>
    <x v="0"/>
    <x v="0"/>
    <x v="0"/>
    <s v="DESC"/>
    <x v="6"/>
    <b v="0"/>
    <s v="No está en VPC"/>
    <n v="416"/>
    <s v="INTPG_PC_416_1.30-31"/>
    <s v="ISEL-1.30"/>
    <n v="1"/>
    <s v="NO TIENE L3OUT"/>
    <n v="110"/>
    <n v="96"/>
  </r>
  <r>
    <n v="418"/>
    <x v="1"/>
    <x v="252"/>
    <s v="eth1/30"/>
    <x v="0"/>
    <x v="1"/>
    <x v="1"/>
    <s v="DESC"/>
    <x v="6"/>
    <b v="0"/>
    <s v="No está en VPC"/>
    <n v="418"/>
    <s v="INTPG_PC_418_1.30-31"/>
    <s v="ISEL-1.30"/>
    <n v="1"/>
    <s v="NO TIENE L3OUT"/>
    <n v="152"/>
    <n v="96"/>
  </r>
  <r>
    <n v="413"/>
    <x v="1"/>
    <x v="253"/>
    <s v="eth1/30"/>
    <x v="0"/>
    <x v="0"/>
    <x v="0"/>
    <s v="lagidmhlapvp12_produccion1"/>
    <x v="6"/>
    <b v="0"/>
    <s v="No está en VPC"/>
    <n v="413"/>
    <s v="INTPG_VPC_411_1.36-39_413_1.29-32"/>
    <s v="ISEL-1.30"/>
    <n v="2"/>
    <s v="NO TIENE L3OUT"/>
    <n v="126"/>
    <n v="96"/>
  </r>
  <r>
    <n v="403"/>
    <x v="1"/>
    <x v="254"/>
    <s v="eth1/30"/>
    <x v="0"/>
    <x v="0"/>
    <x v="0"/>
    <s v="IXT_ARIESO7_LDR3"/>
    <x v="6"/>
    <b v="0"/>
    <s v="No está en VPC"/>
    <n v="403"/>
    <s v="INTPG_ACC_403_1.30"/>
    <s v="ISEL-1.30"/>
    <n v="1"/>
    <s v="NO TIENE L3OUT"/>
    <n v="150"/>
    <n v="96"/>
  </r>
  <r>
    <n v="125"/>
    <x v="0"/>
    <x v="255"/>
    <s v="eth1/30"/>
    <x v="1"/>
    <x v="1"/>
    <x v="2"/>
    <s v="Politicas de Navegacion"/>
    <x v="6"/>
    <b v="0"/>
    <s v="No está en VPC"/>
    <n v="125"/>
    <s v="INTPG_VPC_124_1.26-27_125_1.29-30"/>
    <s v="ISEL-1.30"/>
    <n v="5"/>
    <s v="NO TIENE L3OUT"/>
    <n v="72"/>
    <n v="96"/>
  </r>
  <r>
    <n v="166"/>
    <x v="0"/>
    <x v="256"/>
    <s v="eth1/30"/>
    <x v="0"/>
    <x v="0"/>
    <x v="0"/>
    <s v="NPG_DOC"/>
    <x v="6"/>
    <b v="0"/>
    <s v="No está en VPC"/>
    <n v="166"/>
    <s v="INTPG_ACC_166_1.30"/>
    <s v="ISEL-1.30"/>
    <n v="1"/>
    <s v="NO TIENE L3OUT"/>
    <n v="84"/>
    <n v="96"/>
  </r>
  <r>
    <n v="111"/>
    <x v="0"/>
    <x v="257"/>
    <s v="eth1/30"/>
    <x v="0"/>
    <x v="0"/>
    <x v="0"/>
    <s v="DESC"/>
    <x v="6"/>
    <b v="0"/>
    <s v="No está en VPC"/>
    <n v="111"/>
    <s v="INTPG_PC_111_1.15-16_22-23_30"/>
    <s v="ISEL-1.30"/>
    <n v="1"/>
    <s v="NO TIENE L3OUT"/>
    <n v="58"/>
    <n v="96"/>
  </r>
  <r>
    <n v="115"/>
    <x v="0"/>
    <x v="258"/>
    <s v="eth1/30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30"/>
    <x v="0"/>
    <x v="1"/>
    <x v="1"/>
    <s v="OPEN VIEW BACK"/>
    <x v="6"/>
    <b v="0"/>
    <s v="No está en VPC"/>
    <n v="106"/>
    <s v="INTPG_ACC_106_1.30"/>
    <s v="ISEL-1.30"/>
    <n v="1"/>
    <s v="NO TIENE L3OUT"/>
    <n v="122"/>
    <n v="96"/>
  </r>
  <r>
    <n v="126"/>
    <x v="0"/>
    <x v="260"/>
    <s v="eth1/30"/>
    <x v="0"/>
    <x v="0"/>
    <x v="0"/>
    <s v="ENIQ"/>
    <x v="6"/>
    <b v="0"/>
    <s v="No está en VPC"/>
    <n v="126"/>
    <s v="INTPG_ACC_126_1.30"/>
    <s v="ISEL-1.30"/>
    <n v="1"/>
    <s v="NO TIENE L3OUT"/>
    <n v="54"/>
    <n v="96"/>
  </r>
  <r>
    <n v="425"/>
    <x v="1"/>
    <x v="261"/>
    <s v="eth1/30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30"/>
    <x v="0"/>
    <x v="0"/>
    <x v="0"/>
    <s v="IXTPA1PC"/>
    <x v="6"/>
    <b v="0"/>
    <s v="No está en VPC"/>
    <n v="151"/>
    <s v="INTPG_ACC_151_1.30"/>
    <s v="ISEL-1.30"/>
    <n v="1"/>
    <s v="NO TIENE L3OUT"/>
    <n v="86"/>
    <n v="96"/>
  </r>
  <r>
    <n v="430"/>
    <x v="1"/>
    <x v="263"/>
    <s v="eth1/30"/>
    <x v="0"/>
    <x v="0"/>
    <x v="0"/>
    <s v="DESC"/>
    <x v="6"/>
    <b v="0"/>
    <s v="No está en VPC"/>
    <n v="430"/>
    <s v="INTPG_PC_430_1.29-30"/>
    <s v="ISEL-1.30"/>
    <n v="1"/>
    <s v="NO TIENE L3OUT"/>
    <n v="86"/>
    <n v="96"/>
  </r>
  <r>
    <n v="419"/>
    <x v="1"/>
    <x v="264"/>
    <s v="eth1/30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30"/>
    <x v="1"/>
    <x v="1"/>
    <x v="2"/>
    <s v="RED CRICKET"/>
    <x v="6"/>
    <b v="0"/>
    <s v="No está en VPC"/>
    <n v="155"/>
    <s v="INTPG_ACC_155_1.30"/>
    <s v="ISEL-1.30"/>
    <n v="1"/>
    <s v="NO TIENE L3OUT"/>
    <n v="198"/>
    <n v="96"/>
  </r>
  <r>
    <n v="409"/>
    <x v="1"/>
    <x v="266"/>
    <s v="eth1/30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30"/>
    <x v="0"/>
    <x v="0"/>
    <x v="0"/>
    <s v="IXTSD971A"/>
    <x v="6"/>
    <b v="0"/>
    <s v="No está en VPC"/>
    <n v="422"/>
    <s v="INTPG_ACC_422_1.30"/>
    <s v="ISEL-1.30"/>
    <n v="1"/>
    <s v="NO TIENE L3OUT"/>
    <n v="182"/>
    <n v="96"/>
  </r>
  <r>
    <n v="436"/>
    <x v="1"/>
    <x v="268"/>
    <s v="eth1/30"/>
    <x v="0"/>
    <x v="0"/>
    <x v="0"/>
    <s v="TC3_ithmomce1_VC1_X6"/>
    <x v="6"/>
    <b v="0"/>
    <s v="No está en VPC"/>
    <n v="436"/>
    <s v="INTPG_ACC_436_1.30"/>
    <s v="ISEL-1.30"/>
    <n v="7"/>
    <s v="NO TIENE L3OUT"/>
    <n v="172"/>
    <n v="96"/>
  </r>
  <r>
    <n v="410"/>
    <x v="1"/>
    <x v="269"/>
    <s v="eth1/30"/>
    <x v="0"/>
    <x v="0"/>
    <x v="0"/>
    <s v="ITHMSVB2_IGB2"/>
    <x v="6"/>
    <b v="0"/>
    <s v="No está en VPC"/>
    <n v="410"/>
    <s v="INTPG_ACC_410_1.30"/>
    <s v="ISEL-1.30"/>
    <n v="1"/>
    <s v="NO TIENE L3OUT"/>
    <n v="178"/>
    <n v="96"/>
  </r>
  <r>
    <n v="161"/>
    <x v="0"/>
    <x v="270"/>
    <s v="eth1/30"/>
    <x v="0"/>
    <x v="0"/>
    <x v="0"/>
    <m/>
    <x v="6"/>
    <b v="0"/>
    <s v="No está en VPC"/>
    <n v="161"/>
    <s v="INTPG_ACC_161_1.30"/>
    <s v="ISEL-1.30"/>
    <n v="1"/>
    <s v="NO TIENE L3OUT"/>
    <n v="102"/>
    <n v="96"/>
  </r>
  <r>
    <n v="411"/>
    <x v="1"/>
    <x v="271"/>
    <s v="eth1/30"/>
    <x v="0"/>
    <x v="0"/>
    <x v="0"/>
    <m/>
    <x v="6"/>
    <b v="0"/>
    <s v="No está en VPC"/>
    <n v="411"/>
    <s v="INTPG_ACC_411_1.30"/>
    <s v="ISEL-1.30"/>
    <n v="2"/>
    <s v="NO TIENE L3OUT"/>
    <n v="96"/>
    <n v="96"/>
  </r>
  <r>
    <n v="116"/>
    <x v="0"/>
    <x v="272"/>
    <s v="eth1/30"/>
    <x v="0"/>
    <x v="0"/>
    <x v="0"/>
    <s v="INGE6"/>
    <x v="6"/>
    <b v="0"/>
    <s v="No está en VPC"/>
    <n v="116"/>
    <s v="INTPG_ACC_116_1.30"/>
    <s v="ISEL-1.30"/>
    <n v="1"/>
    <s v="NO TIENE L3OUT"/>
    <n v="148"/>
    <n v="96"/>
  </r>
  <r>
    <n v="412"/>
    <x v="1"/>
    <x v="273"/>
    <s v="eth1/30"/>
    <x v="0"/>
    <x v="0"/>
    <x v="0"/>
    <s v="FS101"/>
    <x v="6"/>
    <b v="0"/>
    <s v="No está en VPC"/>
    <n v="412"/>
    <s v="INTPG_ACC_412_1.30"/>
    <s v="ISEL-1.30"/>
    <n v="1"/>
    <s v="NO TIENE L3OUT"/>
    <n v="126"/>
    <n v="96"/>
  </r>
  <r>
    <n v="120"/>
    <x v="0"/>
    <x v="274"/>
    <s v="eth1/30"/>
    <x v="0"/>
    <x v="0"/>
    <x v="0"/>
    <s v="IXTRTC5"/>
    <x v="6"/>
    <b v="0"/>
    <s v="No está en VPC"/>
    <n v="120"/>
    <s v="INTPG_ACC_120_1.30"/>
    <s v="ISEL-1.30"/>
    <n v="1"/>
    <s v="NO TIENE L3OUT"/>
    <n v="158"/>
    <n v="96"/>
  </r>
  <r>
    <n v="404"/>
    <x v="1"/>
    <x v="275"/>
    <s v="eth1/30"/>
    <x v="0"/>
    <x v="0"/>
    <x v="0"/>
    <s v="PCRF1_CLT"/>
    <x v="6"/>
    <b v="0"/>
    <s v="No está en VPC"/>
    <n v="404"/>
    <s v="INTPG_VPC_404_1.29-30_406_1.29-30"/>
    <s v="ISEL-1.30"/>
    <n v="5"/>
    <s v="NO TIENE L3OUT"/>
    <n v="92"/>
    <n v="96"/>
  </r>
  <r>
    <n v="167"/>
    <x v="0"/>
    <x v="276"/>
    <s v="eth1/30"/>
    <x v="0"/>
    <x v="0"/>
    <x v="0"/>
    <s v="TO-CORE_SWITCH-3-Y-4"/>
    <x v="6"/>
    <b v="0"/>
    <s v="No está en VPC"/>
    <n v="167"/>
    <s v="INTPG_VPC_167_1.30-32_169_1.21-23"/>
    <s v="ISEL-1.30"/>
    <n v="4"/>
    <s v="NO TIENE L3OUT"/>
    <n v="68"/>
    <n v="96"/>
  </r>
  <r>
    <n v="428"/>
    <x v="1"/>
    <x v="277"/>
    <s v="eth1/30"/>
    <x v="0"/>
    <x v="0"/>
    <x v="0"/>
    <s v="DESC"/>
    <x v="6"/>
    <b v="0"/>
    <s v="No está en VPC"/>
    <n v="428"/>
    <s v="INTPG_PC_428_1.29-30"/>
    <s v="ISEL-1.30"/>
    <n v="1"/>
    <s v="NO TIENE L3OUT"/>
    <n v="102"/>
    <n v="96"/>
  </r>
  <r>
    <n v="903"/>
    <x v="2"/>
    <x v="278"/>
    <s v="eth1/30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30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758"/>
    <x v="2"/>
    <x v="15"/>
    <s v="eth1/30/1"/>
    <x v="0"/>
    <x v="0"/>
    <x v="0"/>
    <s v="Cloud_Phase3"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30/1"/>
    <x v="0"/>
    <x v="0"/>
    <x v="0"/>
    <s v="Cloud_Phase3"/>
    <x v="2"/>
    <b v="0"/>
    <s v="No está en VPC"/>
    <n v="759"/>
    <s v="NO EXISTE PG"/>
    <s v="NO EXISTE ISEL"/>
    <n v="0"/>
    <s v="NO TIENE L3OUT"/>
    <n v="0"/>
    <n v="42"/>
  </r>
  <r>
    <n v="758"/>
    <x v="2"/>
    <x v="15"/>
    <s v="eth1/30/2"/>
    <x v="0"/>
    <x v="0"/>
    <x v="0"/>
    <s v="Cloud_Phase3"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30/2"/>
    <x v="0"/>
    <x v="0"/>
    <x v="0"/>
    <s v="Cloud_Phase3"/>
    <x v="2"/>
    <b v="0"/>
    <s v="No está en VPC"/>
    <n v="759"/>
    <s v="NO EXISTE PG"/>
    <s v="NO EXISTE ISEL"/>
    <n v="0"/>
    <s v="NO TIENE L3OUT"/>
    <n v="0"/>
    <n v="42"/>
  </r>
  <r>
    <n v="758"/>
    <x v="2"/>
    <x v="15"/>
    <s v="eth1/30/3"/>
    <x v="0"/>
    <x v="1"/>
    <x v="1"/>
    <m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30/3"/>
    <x v="1"/>
    <x v="1"/>
    <x v="2"/>
    <m/>
    <x v="2"/>
    <b v="0"/>
    <s v="No está en VPC"/>
    <n v="759"/>
    <s v="NO EXISTE PG"/>
    <s v="NO EXISTE ISEL"/>
    <n v="0"/>
    <s v="NO TIENE L3OUT"/>
    <n v="0"/>
    <n v="42"/>
  </r>
  <r>
    <n v="758"/>
    <x v="2"/>
    <x v="15"/>
    <s v="eth1/30/4"/>
    <x v="0"/>
    <x v="1"/>
    <x v="1"/>
    <m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30/4"/>
    <x v="1"/>
    <x v="1"/>
    <x v="2"/>
    <m/>
    <x v="2"/>
    <b v="0"/>
    <s v="No está en VPC"/>
    <n v="759"/>
    <s v="NO EXISTE PG"/>
    <s v="NO EXISTE ISEL"/>
    <n v="0"/>
    <s v="NO TIENE L3OUT"/>
    <n v="0"/>
    <n v="42"/>
  </r>
  <r>
    <n v="128"/>
    <x v="0"/>
    <x v="0"/>
    <s v="eth1/31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31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31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31"/>
    <x v="0"/>
    <x v="0"/>
    <x v="0"/>
    <s v="TO-ITHEMCDD94009668"/>
    <x v="0"/>
    <b v="0"/>
    <s v="No está en VPC"/>
    <n v="101"/>
    <s v="INTPG_VPC_101_1.31-32_150_1.32"/>
    <s v="ISEL-1.31"/>
    <n v="1"/>
    <s v="NO TIENE L3OUT"/>
    <n v="114"/>
    <n v="54"/>
  </r>
  <r>
    <n v="160"/>
    <x v="0"/>
    <x v="4"/>
    <s v="eth1/31"/>
    <x v="0"/>
    <x v="0"/>
    <x v="0"/>
    <s v="ArrobaDOC Y CF"/>
    <x v="1"/>
    <b v="0"/>
    <s v="No está en VPC"/>
    <n v="160"/>
    <s v="INTPG_ACC_160_1.31"/>
    <s v="ISEL-1.31"/>
    <n v="1"/>
    <s v="NO TIENE L3OUT"/>
    <n v="68"/>
    <n v="54"/>
  </r>
  <r>
    <n v="121"/>
    <x v="0"/>
    <x v="5"/>
    <s v="eth1/31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31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31"/>
    <x v="0"/>
    <x v="0"/>
    <x v="0"/>
    <s v="TO-ithfdlroamrap01"/>
    <x v="0"/>
    <b v="0"/>
    <s v="No está en VPC"/>
    <n v="401"/>
    <s v="INTPG_VPC_401_1.31-32_402_1.31-32"/>
    <s v="ISEL-1.31"/>
    <n v="1"/>
    <s v="NO TIENE L3OUT"/>
    <n v="40"/>
    <n v="54"/>
  </r>
  <r>
    <n v="402"/>
    <x v="1"/>
    <x v="8"/>
    <s v="eth1/31"/>
    <x v="0"/>
    <x v="0"/>
    <x v="0"/>
    <s v="TO-ithfdlroamrap01"/>
    <x v="0"/>
    <b v="0"/>
    <s v="No está en VPC"/>
    <n v="402"/>
    <s v="INTPG_VPC_401_1.31-32_402_1.31-32"/>
    <s v="ISEL-1.31"/>
    <n v="1"/>
    <s v="NO TIENE L3OUT"/>
    <n v="36"/>
    <n v="54"/>
  </r>
  <r>
    <n v="447"/>
    <x v="1"/>
    <x v="9"/>
    <s v="eth1/31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31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31"/>
    <x v="0"/>
    <x v="0"/>
    <x v="0"/>
    <s v="LAG-smt-comp-06"/>
    <x v="0"/>
    <b v="0"/>
    <s v="No está en VPC"/>
    <n v="130"/>
    <s v="INTPG_VPC_130_1.31-32_131_1.31-32"/>
    <s v="ISEL-1.31"/>
    <n v="4"/>
    <s v="NO TIENE L3OUT"/>
    <n v="128"/>
    <n v="54"/>
  </r>
  <r>
    <n v="150"/>
    <x v="0"/>
    <x v="12"/>
    <s v="eth1/31"/>
    <x v="0"/>
    <x v="0"/>
    <x v="0"/>
    <s v="TO-ITHEMCDD94009668-PRINCIPAL"/>
    <x v="0"/>
    <b v="0"/>
    <s v="No está en VPC"/>
    <n v="150"/>
    <s v="INTPG_ACC_150_1.31"/>
    <s v="ISEL-1.31"/>
    <n v="1"/>
    <s v="NO TIENE L3OUT"/>
    <n v="118"/>
    <n v="54"/>
  </r>
  <r>
    <n v="131"/>
    <x v="0"/>
    <x v="13"/>
    <s v="eth1/31"/>
    <x v="0"/>
    <x v="0"/>
    <x v="0"/>
    <s v="LAG-smt-comp-06"/>
    <x v="0"/>
    <b v="0"/>
    <s v="No está en VPC"/>
    <n v="131"/>
    <s v="INTPG_VPC_130_1.31-32_131_1.31-32"/>
    <s v="ISEL-1.31"/>
    <n v="4"/>
    <s v="NO TIENE L3OUT"/>
    <n v="126"/>
    <n v="54"/>
  </r>
  <r>
    <n v="303"/>
    <x v="0"/>
    <x v="14"/>
    <s v="eth1/31"/>
    <x v="0"/>
    <x v="0"/>
    <x v="0"/>
    <s v="LINK_HACIA_RMAC"/>
    <x v="3"/>
    <b v="0"/>
    <s v="No está en VPC"/>
    <n v="303"/>
    <s v="NO EXISTE PG"/>
    <s v="NO EXISTE ISEL"/>
    <n v="0"/>
    <s v="multipod"/>
    <n v="0"/>
    <s v="SPINE"/>
  </r>
  <r>
    <n v="758"/>
    <x v="2"/>
    <x v="15"/>
    <s v="eth1/31"/>
    <x v="0"/>
    <x v="1"/>
    <x v="3"/>
    <m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31"/>
    <x v="1"/>
    <x v="1"/>
    <x v="3"/>
    <m/>
    <x v="2"/>
    <b v="0"/>
    <s v="No está en VPC"/>
    <n v="759"/>
    <s v="NO EXISTE PG"/>
    <s v="NO EXISTE ISEL"/>
    <n v="0"/>
    <s v="NO TIENE L3OUT"/>
    <n v="0"/>
    <n v="42"/>
  </r>
  <r>
    <n v="302"/>
    <x v="0"/>
    <x v="17"/>
    <s v="eth1/31"/>
    <x v="0"/>
    <x v="0"/>
    <x v="0"/>
    <s v="LINK_HACIA_RMAC"/>
    <x v="3"/>
    <b v="0"/>
    <s v="No está en VPC"/>
    <n v="302"/>
    <s v="NO EXISTE PG"/>
    <s v="NO EXISTE ISEL"/>
    <n v="0"/>
    <s v="multipod"/>
    <n v="0"/>
    <s v="SPINE"/>
  </r>
  <r>
    <n v="424"/>
    <x v="1"/>
    <x v="18"/>
    <s v="eth1/31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31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31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31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31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31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31"/>
    <x v="0"/>
    <x v="0"/>
    <x v="0"/>
    <s v="LINK_HACIA_RMAC"/>
    <x v="3"/>
    <b v="0"/>
    <s v="No está en VPC"/>
    <n v="602"/>
    <s v="NO EXISTE PG"/>
    <s v="NO EXISTE ISEL"/>
    <n v="0"/>
    <s v="multipod"/>
    <n v="0"/>
    <s v="SPINE"/>
  </r>
  <r>
    <n v="725"/>
    <x v="2"/>
    <x v="25"/>
    <s v="eth1/31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31"/>
    <x v="0"/>
    <x v="1"/>
    <x v="4"/>
    <s v="TO-DD8139PC1"/>
    <x v="0"/>
    <b v="0"/>
    <s v="No está en VPC"/>
    <n v="431"/>
    <s v="INTPG_VPC_431_1.31_448_1.31"/>
    <s v="ISEL-1.31"/>
    <n v="1"/>
    <s v="NO TIENE L3OUT"/>
    <n v="46"/>
    <n v="54"/>
  </r>
  <r>
    <n v="433"/>
    <x v="1"/>
    <x v="27"/>
    <s v="eth1/31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31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31"/>
    <x v="0"/>
    <x v="0"/>
    <x v="0"/>
    <s v="TO-ITHEMCPM8K3019DKC0-PRINCIPAL"/>
    <x v="1"/>
    <b v="0"/>
    <s v="No está en VPC"/>
    <n v="432"/>
    <s v="INTPG_ACC_432_1.31"/>
    <s v="ISEL-1.31"/>
    <n v="1"/>
    <s v="NO TIENE L3OUT"/>
    <n v="54"/>
    <n v="54"/>
  </r>
  <r>
    <n v="442"/>
    <x v="1"/>
    <x v="30"/>
    <s v="eth1/31"/>
    <x v="0"/>
    <x v="0"/>
    <x v="0"/>
    <s v="bmc_ithhwc3b2288h2_SECUNDARIO"/>
    <x v="1"/>
    <b v="0"/>
    <s v="No está en VPC"/>
    <n v="442"/>
    <s v="INTPG_ACC_442_1.31"/>
    <s v="ISEL-1.31"/>
    <n v="1"/>
    <s v="NO TIENE L3OUT"/>
    <n v="18"/>
    <n v="54"/>
  </r>
  <r>
    <n v="434"/>
    <x v="1"/>
    <x v="31"/>
    <s v="eth1/31"/>
    <x v="0"/>
    <x v="0"/>
    <x v="0"/>
    <s v="TO-ITHFDEORBIRBD01-PRINCIPAL"/>
    <x v="1"/>
    <b v="0"/>
    <s v="No está en VPC"/>
    <n v="434"/>
    <s v="INTPG_ACC_434_1.31"/>
    <s v="ISEL-1.31"/>
    <n v="1"/>
    <s v="NO TIENE L3OUT"/>
    <n v="34"/>
    <n v="54"/>
  </r>
  <r>
    <n v="707"/>
    <x v="2"/>
    <x v="32"/>
    <s v="eth1/31"/>
    <x v="0"/>
    <x v="1"/>
    <x v="3"/>
    <s v="CEM_HADOOP"/>
    <x v="0"/>
    <b v="0"/>
    <s v="No está en VPC"/>
    <n v="707"/>
    <s v="INTPG_ACC_707_1.31"/>
    <s v="ISEL-1.31"/>
    <n v="0"/>
    <s v="NO TIENE L3OUT"/>
    <n v="54"/>
    <n v="54"/>
  </r>
  <r>
    <n v="712"/>
    <x v="2"/>
    <x v="33"/>
    <s v="eth1/31"/>
    <x v="0"/>
    <x v="1"/>
    <x v="5"/>
    <s v="CEM:ITHCEMB2ADT16:LOM P1"/>
    <x v="0"/>
    <b v="0"/>
    <s v="No está en VPC"/>
    <n v="712"/>
    <s v="INTPG_VPC_712_1.31_713_1.32"/>
    <s v="ISEL-1.31"/>
    <n v="1"/>
    <s v="NO TIENE L3OUT"/>
    <n v="32"/>
    <n v="54"/>
  </r>
  <r>
    <n v="719"/>
    <x v="2"/>
    <x v="34"/>
    <s v="eth1/31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31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31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31"/>
    <x v="0"/>
    <x v="1"/>
    <x v="5"/>
    <s v="CEM:ITHCEMC2AHN16:LOM P1"/>
    <x v="0"/>
    <b v="0"/>
    <s v="No está en VPC"/>
    <n v="711"/>
    <s v="INTPG_VPC_710_1.32_711_1.31"/>
    <s v="ISEL-1.31"/>
    <n v="1"/>
    <s v="NO TIENE L3OUT"/>
    <n v="16"/>
    <n v="54"/>
  </r>
  <r>
    <n v="716"/>
    <x v="2"/>
    <x v="38"/>
    <s v="eth1/31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31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31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31"/>
    <x v="0"/>
    <x v="0"/>
    <x v="0"/>
    <m/>
    <x v="0"/>
    <b v="0"/>
    <s v="No está en VPC"/>
    <n v="446"/>
    <s v="INTPG_ACC_446_1.31"/>
    <s v="ISEL-1.31"/>
    <n v="9"/>
    <s v="NO TIENE L3OUT"/>
    <n v="198"/>
    <n v="54"/>
  </r>
  <r>
    <n v="444"/>
    <x v="1"/>
    <x v="42"/>
    <s v="eth1/31"/>
    <x v="0"/>
    <x v="0"/>
    <x v="0"/>
    <s v="TO-ITHFDLMCLWLCN04"/>
    <x v="0"/>
    <b v="0"/>
    <s v="No está en VPC"/>
    <n v="444"/>
    <s v="INTPG_VPC_446_1.28_444_1.31"/>
    <s v="ISEL-1.31"/>
    <n v="1"/>
    <s v="NO TIENE L3OUT"/>
    <n v="234"/>
    <n v="54"/>
  </r>
  <r>
    <n v="701"/>
    <x v="2"/>
    <x v="43"/>
    <s v="eth1/31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31"/>
    <x v="0"/>
    <x v="0"/>
    <x v="0"/>
    <s v="bmc_ithhwc3b2288h1_PRINCIPAL"/>
    <x v="1"/>
    <b v="0"/>
    <s v="No está en VPC"/>
    <n v="440"/>
    <s v="INTPG_ACC_440_1.31"/>
    <s v="ISEL-1.31"/>
    <n v="1"/>
    <s v="NO TIENE L3OUT"/>
    <n v="22"/>
    <n v="54"/>
  </r>
  <r>
    <n v="448"/>
    <x v="1"/>
    <x v="45"/>
    <s v="eth1/31"/>
    <x v="0"/>
    <x v="1"/>
    <x v="4"/>
    <s v="TO-DD8139PC1"/>
    <x v="0"/>
    <b v="0"/>
    <s v="No está en VPC"/>
    <n v="448"/>
    <s v="INTPG_VPC_431_1.31_448_1.31"/>
    <s v="ISEL-1.31"/>
    <n v="1"/>
    <s v="NO TIENE L3OUT"/>
    <n v="46"/>
    <n v="54"/>
  </r>
  <r>
    <n v="704"/>
    <x v="2"/>
    <x v="46"/>
    <s v="eth1/31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31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31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31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603"/>
    <x v="1"/>
    <x v="50"/>
    <s v="eth1/31"/>
    <x v="0"/>
    <x v="0"/>
    <x v="0"/>
    <s v="LINK_HACIA_RMAC"/>
    <x v="3"/>
    <b v="0"/>
    <s v="No está en VPC"/>
    <n v="603"/>
    <s v="NO EXISTE PG"/>
    <s v="NO EXISTE ISEL"/>
    <n v="0"/>
    <s v="multipod"/>
    <n v="0"/>
    <s v="SPINE"/>
  </r>
  <r>
    <n v="746"/>
    <x v="2"/>
    <x v="51"/>
    <s v="eth1/31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31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31"/>
    <x v="0"/>
    <x v="0"/>
    <x v="0"/>
    <s v="Server_Pre-R02-RH2288-06"/>
    <x v="0"/>
    <b v="0"/>
    <s v="No está en VPC"/>
    <n v="730"/>
    <s v="INTPG_ACC_730_1.31"/>
    <s v="ISEL-1.31"/>
    <n v="1"/>
    <s v="NO TIENE L3OUT"/>
    <n v="36"/>
    <n v="54"/>
  </r>
  <r>
    <n v="722"/>
    <x v="2"/>
    <x v="54"/>
    <s v="eth1/31"/>
    <x v="0"/>
    <x v="0"/>
    <x v="0"/>
    <s v="DESC"/>
    <x v="0"/>
    <b v="0"/>
    <s v="No está en VPC"/>
    <n v="722"/>
    <s v="INTPG_PC_722_1.31-32"/>
    <s v="ISEL-1.31"/>
    <n v="0"/>
    <s v="L3OUT-HCS-OPER-TELCEL-IPCORP"/>
    <n v="0"/>
    <n v="54"/>
  </r>
  <r>
    <n v="733"/>
    <x v="2"/>
    <x v="55"/>
    <s v="eth1/31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31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31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31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31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31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31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31"/>
    <x v="0"/>
    <x v="1"/>
    <x v="1"/>
    <s v="CEM:ITHCEMA2ADT16:LOM P3"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31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31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31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31"/>
    <x v="0"/>
    <x v="1"/>
    <x v="3"/>
    <s v="PAAS:ithhwosstpap006:LOM PORT 2"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31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31"/>
    <x v="0"/>
    <x v="0"/>
    <x v="0"/>
    <s v="CLOUD OPS:ithhwcop01en01:4E P1"/>
    <x v="0"/>
    <b v="0"/>
    <s v="No está en VPC"/>
    <n v="778"/>
    <s v="INTPG_VPC_778_1.25-26_31-32_779_1.25-26_31-32"/>
    <s v="ISEL-1.31"/>
    <n v="24"/>
    <s v="NO TIENE L3OUT"/>
    <n v="26"/>
    <n v="54"/>
  </r>
  <r>
    <n v="780"/>
    <x v="2"/>
    <x v="69"/>
    <s v="eth1/31"/>
    <x v="0"/>
    <x v="0"/>
    <x v="0"/>
    <s v="CLOUD OPS:ithhwcop02en02:2X P2"/>
    <x v="0"/>
    <b v="0"/>
    <s v="No está en VPC"/>
    <n v="780"/>
    <s v="INTPG_VPC_780_1.30-33_781_1.30-33"/>
    <s v="ISEL-1.31"/>
    <n v="23"/>
    <s v="NO TIENE L3OUT"/>
    <n v="26"/>
    <n v="54"/>
  </r>
  <r>
    <n v="812"/>
    <x v="2"/>
    <x v="70"/>
    <s v="eth1/31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31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31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31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31"/>
    <x v="0"/>
    <x v="0"/>
    <x v="0"/>
    <s v="LINK_TO_ITHFHWCMVWPMA15 /Slot6.2 /Redundante"/>
    <x v="0"/>
    <b v="0"/>
    <s v="No está en VPC"/>
    <n v="824"/>
    <s v="INTPG_ACC_824_1.31"/>
    <s v="ISEL-1.31"/>
    <n v="1"/>
    <s v="NO TIENE L3OUT"/>
    <n v="70"/>
    <n v="54"/>
  </r>
  <r>
    <n v="819"/>
    <x v="2"/>
    <x v="75"/>
    <s v="eth1/31"/>
    <x v="0"/>
    <x v="0"/>
    <x v="0"/>
    <s v="LINK_TO_ITHFHWCMVWPMA15 /Slot4.2 /Principal"/>
    <x v="0"/>
    <b v="0"/>
    <s v="No está en VPC"/>
    <n v="819"/>
    <s v="INTPG_ACC_819_1.31"/>
    <s v="ISEL-1.31"/>
    <n v="1"/>
    <s v="NO TIENE L3OUT"/>
    <n v="70"/>
    <n v="54"/>
  </r>
  <r>
    <n v="737"/>
    <x v="2"/>
    <x v="76"/>
    <s v="eth1/31"/>
    <x v="0"/>
    <x v="0"/>
    <x v="0"/>
    <s v="CEM:ITHCEMF2KFK16:LOM P3"/>
    <x v="5"/>
    <b v="0"/>
    <s v="No está en VPC"/>
    <n v="737"/>
    <s v="INTPG_ACC_737_1.31"/>
    <s v="ISEL-1.31"/>
    <n v="1"/>
    <s v="NO TIENE L3OUT"/>
    <n v="72"/>
    <n v="54"/>
  </r>
  <r>
    <n v="844"/>
    <x v="2"/>
    <x v="77"/>
    <s v="eth1/31"/>
    <x v="0"/>
    <x v="0"/>
    <x v="0"/>
    <s v="LINK_TO_ITHFHWCRMPLCN111 / Slot1.1_26 / Principal"/>
    <x v="0"/>
    <b v="0"/>
    <s v="No está en VPC"/>
    <n v="844"/>
    <s v="INTPG_ACC_844_1.31"/>
    <s v="ISEL-1.31"/>
    <n v="6"/>
    <s v="NO TIENE L3OUT"/>
    <n v="282"/>
    <n v="54"/>
  </r>
  <r>
    <n v="843"/>
    <x v="2"/>
    <x v="78"/>
    <s v="eth1/31"/>
    <x v="0"/>
    <x v="0"/>
    <x v="0"/>
    <s v="LINK_To_ITHHWD6KV65100012DKC01 / CTMA_IOM1.P1_34 / Redundante"/>
    <x v="0"/>
    <b v="0"/>
    <s v="No está en VPC"/>
    <n v="843"/>
    <s v="INTPG_ACC_843_1.31"/>
    <s v="ISEL-1.31"/>
    <n v="1"/>
    <s v="NO TIENE L3OUT"/>
    <n v="38"/>
    <n v="54"/>
  </r>
  <r>
    <n v="797"/>
    <x v="2"/>
    <x v="79"/>
    <s v="eth1/31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31"/>
    <x v="0"/>
    <x v="0"/>
    <x v="0"/>
    <s v="LINK_TO_ITHFHWCBSPSHD40 / Slot7.1_18 / Redundante"/>
    <x v="0"/>
    <b v="0"/>
    <s v="No está en VPC"/>
    <n v="839"/>
    <s v="INTPG_VPC_834_1.31_839_1.31"/>
    <s v="ISEL-1.31"/>
    <n v="2"/>
    <s v="NO TIENE L3OUT"/>
    <n v="0"/>
    <n v="54"/>
  </r>
  <r>
    <n v="847"/>
    <x v="2"/>
    <x v="81"/>
    <s v="eth1/31"/>
    <x v="0"/>
    <x v="0"/>
    <x v="0"/>
    <s v="LINK_TO_ITHFHWCRMPLCN175 / Slot7.3_20 / Redundante"/>
    <x v="0"/>
    <b v="0"/>
    <s v="No está en VPC"/>
    <n v="847"/>
    <s v="INTPG_ACC_847_1.31"/>
    <s v="ISEL-1.31"/>
    <n v="1"/>
    <s v="NO TIENE L3OUT"/>
    <n v="204"/>
    <n v="54"/>
  </r>
  <r>
    <n v="848"/>
    <x v="2"/>
    <x v="82"/>
    <s v="eth1/31"/>
    <x v="0"/>
    <x v="0"/>
    <x v="0"/>
    <s v="LINK_TO_ITHFHWCRMPLCN164 / Slot7.3_30 / Redundante"/>
    <x v="0"/>
    <b v="0"/>
    <s v="No está en VPC"/>
    <n v="848"/>
    <s v="INTPG_ACC_848_1.31"/>
    <s v="ISEL-1.31"/>
    <n v="1"/>
    <s v="NO TIENE L3OUT"/>
    <n v="254"/>
    <n v="54"/>
  </r>
  <r>
    <n v="846"/>
    <x v="2"/>
    <x v="83"/>
    <s v="eth1/31"/>
    <x v="0"/>
    <x v="0"/>
    <x v="0"/>
    <s v="LINK_TO_ITHFHWCRMPLCN82 / Slot1.1_22 / Principal"/>
    <x v="0"/>
    <b v="0"/>
    <s v="No está en VPC"/>
    <n v="846"/>
    <s v="INTPG_ACC_846_1.31"/>
    <s v="ISEL-1.31"/>
    <n v="6"/>
    <s v="NO TIENE L3OUT"/>
    <n v="242"/>
    <n v="54"/>
  </r>
  <r>
    <n v="838"/>
    <x v="2"/>
    <x v="84"/>
    <s v="eth1/31"/>
    <x v="0"/>
    <x v="0"/>
    <x v="0"/>
    <s v="LINK_To_ITHHWD6KV65100012DKC01 / CTMA_IOM1.P0_34 / Principal"/>
    <x v="0"/>
    <b v="0"/>
    <s v="No está en VPC"/>
    <n v="838"/>
    <s v="INTPG_ACC_838_1.31"/>
    <s v="ISEL-1.31"/>
    <n v="1"/>
    <s v="NO TIENE L3OUT"/>
    <n v="38"/>
    <n v="54"/>
  </r>
  <r>
    <n v="849"/>
    <x v="2"/>
    <x v="85"/>
    <s v="eth1/31"/>
    <x v="0"/>
    <x v="0"/>
    <x v="0"/>
    <s v="LINK_TO_ITHFHWCRMPLCN144 / Slot7.3_22 / Redundante"/>
    <x v="0"/>
    <b v="0"/>
    <s v="No está en VPC"/>
    <n v="849"/>
    <s v="INTPG_ACC_849_1.31"/>
    <s v="ISEL-1.31"/>
    <n v="1"/>
    <s v="NO TIENE L3OUT"/>
    <n v="286"/>
    <n v="54"/>
  </r>
  <r>
    <n v="845"/>
    <x v="2"/>
    <x v="86"/>
    <s v="eth1/31"/>
    <x v="0"/>
    <x v="0"/>
    <x v="0"/>
    <s v="LINK_TO_ITHFHWCRMPLCN94 / Slot1.2_20 / Principal"/>
    <x v="0"/>
    <b v="0"/>
    <s v="No está en VPC"/>
    <n v="845"/>
    <s v="INTPG_ACC_845_1.31"/>
    <s v="ISEL-1.31"/>
    <n v="2"/>
    <s v="NO TIENE L3OUT"/>
    <n v="258"/>
    <n v="54"/>
  </r>
  <r>
    <n v="873"/>
    <x v="2"/>
    <x v="87"/>
    <s v="eth1/31"/>
    <x v="0"/>
    <x v="0"/>
    <x v="0"/>
    <s v="To_VPC_2DCRMD_SBD07_2"/>
    <x v="0"/>
    <b v="0"/>
    <s v="No está en VPC"/>
    <n v="873"/>
    <s v="INTPG_VPC_870_1.31_873_1.31"/>
    <s v="ISEL-1.31"/>
    <n v="2"/>
    <s v="NO TIENE L3OUT"/>
    <n v="248"/>
    <n v="54"/>
  </r>
  <r>
    <n v="864"/>
    <x v="2"/>
    <x v="88"/>
    <s v="eth1/31"/>
    <x v="0"/>
    <x v="0"/>
    <x v="0"/>
    <s v="To_VPC_2DCBSD_WR46_1"/>
    <x v="0"/>
    <b v="0"/>
    <s v="No está en VPC"/>
    <n v="864"/>
    <s v="INTPG_VPC_859_1.31_864_1.31"/>
    <s v="ISEL-1.31"/>
    <n v="2"/>
    <s v="NO TIENE L3OUT"/>
    <n v="0"/>
    <n v="54"/>
  </r>
  <r>
    <n v="836"/>
    <x v="2"/>
    <x v="89"/>
    <s v="eth1/31"/>
    <x v="0"/>
    <x v="0"/>
    <x v="0"/>
    <s v="LINK_TO_ITHFHWCBSPSWR55 / Slot1.3_38 / Principal"/>
    <x v="0"/>
    <b v="0"/>
    <s v="No está en VPC"/>
    <n v="836"/>
    <s v="INTPG_VPC_836_1.31_841_1.31"/>
    <s v="ISEL-1.31"/>
    <n v="1"/>
    <s v="NO TIENE L3OUT"/>
    <n v="0"/>
    <n v="54"/>
  </r>
  <r>
    <n v="834"/>
    <x v="2"/>
    <x v="90"/>
    <s v="eth1/31"/>
    <x v="0"/>
    <x v="0"/>
    <x v="0"/>
    <s v="LINK_TO_ITHFHWCBSPSHD40 / Slot1.1_18 / Principal"/>
    <x v="0"/>
    <b v="0"/>
    <s v="No está en VPC"/>
    <n v="834"/>
    <s v="INTPG_VPC_834_1.31_839_1.31"/>
    <s v="ISEL-1.31"/>
    <n v="2"/>
    <s v="NO TIENE L3OUT"/>
    <n v="0"/>
    <n v="54"/>
  </r>
  <r>
    <n v="872"/>
    <x v="2"/>
    <x v="91"/>
    <s v="eth1/31"/>
    <x v="0"/>
    <x v="0"/>
    <x v="0"/>
    <s v="To_ITHFHWCRMDLCN79_Principal"/>
    <x v="0"/>
    <b v="0"/>
    <s v="No está en VPC"/>
    <n v="872"/>
    <s v="INTPG_ACC_872_1.31"/>
    <s v="ISEL-1.31"/>
    <n v="2"/>
    <s v="NO TIENE L3OUT"/>
    <n v="288"/>
    <n v="54"/>
  </r>
  <r>
    <n v="842"/>
    <x v="2"/>
    <x v="92"/>
    <s v="eth1/31"/>
    <x v="0"/>
    <x v="0"/>
    <x v="0"/>
    <s v="LINK_TO_ITHHWD6KV65100009DKC01 / CTMB_IOM0.P1_34 / Redundante"/>
    <x v="0"/>
    <b v="0"/>
    <s v="No está en VPC"/>
    <n v="842"/>
    <s v="INTPG_ACC_842_1.31"/>
    <s v="ISEL-1.31"/>
    <n v="1"/>
    <s v="NO TIENE L3OUT"/>
    <n v="8"/>
    <n v="54"/>
  </r>
  <r>
    <n v="828"/>
    <x v="2"/>
    <x v="93"/>
    <s v="eth1/31"/>
    <x v="0"/>
    <x v="0"/>
    <x v="0"/>
    <s v="LINK_TO_ITHFHWCRMDLCN25 /Slot4.2 /Principal"/>
    <x v="0"/>
    <b v="0"/>
    <s v="No está en VPC"/>
    <n v="828"/>
    <s v="INTPG_ACC_828_1.31"/>
    <s v="ISEL-1.31"/>
    <n v="1"/>
    <s v="NO TIENE L3OUT"/>
    <n v="192"/>
    <n v="54"/>
  </r>
  <r>
    <n v="870"/>
    <x v="2"/>
    <x v="94"/>
    <s v="eth1/31"/>
    <x v="0"/>
    <x v="0"/>
    <x v="0"/>
    <s v="To_VPC_2DCRMD_SBD07_2"/>
    <x v="0"/>
    <b v="0"/>
    <s v="No está en VPC"/>
    <n v="870"/>
    <s v="INTPG_VPC_870_1.31_873_1.31"/>
    <s v="ISEL-1.31"/>
    <n v="2"/>
    <s v="NO TIENE L3OUT"/>
    <n v="248"/>
    <n v="54"/>
  </r>
  <r>
    <n v="866"/>
    <x v="2"/>
    <x v="95"/>
    <s v="eth1/31"/>
    <x v="0"/>
    <x v="0"/>
    <x v="0"/>
    <s v="To_VPC_2DCBSD_BD12_3"/>
    <x v="0"/>
    <b v="0"/>
    <s v="No está en VPC"/>
    <n v="866"/>
    <s v="INTPG_VPC_861_1.31_866_1.31"/>
    <s v="ISEL-1.31"/>
    <n v="1"/>
    <s v="NO TIENE L3OUT"/>
    <n v="8"/>
    <n v="54"/>
  </r>
  <r>
    <n v="862"/>
    <x v="2"/>
    <x v="96"/>
    <s v="eth1/31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31"/>
    <x v="0"/>
    <x v="0"/>
    <x v="0"/>
    <s v="LINK_TO_ITHFHWCRMPLCN164 / Slot1.3_30 / Principal"/>
    <x v="0"/>
    <b v="0"/>
    <s v="No está en VPC"/>
    <n v="855"/>
    <s v="INTPG_ACC_855_1.31"/>
    <s v="ISEL-1.31"/>
    <n v="1"/>
    <s v="NO TIENE L3OUT"/>
    <n v="254"/>
    <n v="54"/>
  </r>
  <r>
    <n v="871"/>
    <x v="2"/>
    <x v="98"/>
    <s v="eth1/31"/>
    <x v="0"/>
    <x v="0"/>
    <x v="0"/>
    <s v="To_ITHFHWCRMDLCN64_Principal"/>
    <x v="0"/>
    <b v="0"/>
    <s v="No está en VPC"/>
    <n v="871"/>
    <s v="INTPG_ACC_871_1.31"/>
    <s v="ISEL-1.31"/>
    <n v="6"/>
    <s v="NO TIENE L3OUT"/>
    <n v="246"/>
    <n v="54"/>
  </r>
  <r>
    <n v="841"/>
    <x v="2"/>
    <x v="99"/>
    <s v="eth1/31"/>
    <x v="0"/>
    <x v="0"/>
    <x v="0"/>
    <s v="LINK_TO_ITHFHWCBSPSWR55 / Slot7.3_38 / Redundante"/>
    <x v="0"/>
    <b v="0"/>
    <s v="No está en VPC"/>
    <n v="841"/>
    <s v="INTPG_VPC_836_1.31_841_1.31"/>
    <s v="ISEL-1.31"/>
    <n v="1"/>
    <s v="NO TIENE L3OUT"/>
    <n v="0"/>
    <n v="54"/>
  </r>
  <r>
    <n v="868"/>
    <x v="2"/>
    <x v="100"/>
    <s v="eth1/31"/>
    <x v="0"/>
    <x v="0"/>
    <x v="0"/>
    <s v="To_ITHFHWCRMDLCN64_Redundante"/>
    <x v="0"/>
    <b v="0"/>
    <s v="No está en VPC"/>
    <n v="868"/>
    <s v="INTPG_ACC_868_1.31"/>
    <s v="ISEL-1.31"/>
    <n v="6"/>
    <s v="NO TIENE L3OUT"/>
    <n v="246"/>
    <n v="54"/>
  </r>
  <r>
    <n v="869"/>
    <x v="2"/>
    <x v="101"/>
    <s v="eth1/31"/>
    <x v="0"/>
    <x v="0"/>
    <x v="0"/>
    <s v="To_ITHFHWCRMDLCN79_Redundante"/>
    <x v="0"/>
    <b v="0"/>
    <s v="No está en VPC"/>
    <n v="869"/>
    <s v="INTPG_ACC_869_1.31"/>
    <s v="ISEL-1.31"/>
    <n v="2"/>
    <s v="NO TIENE L3OUT"/>
    <n v="288"/>
    <n v="54"/>
  </r>
  <r>
    <n v="861"/>
    <x v="2"/>
    <x v="102"/>
    <s v="eth1/31"/>
    <x v="0"/>
    <x v="0"/>
    <x v="0"/>
    <s v="To_VPC_2DCBSD_BD12_3"/>
    <x v="0"/>
    <b v="0"/>
    <s v="No está en VPC"/>
    <n v="861"/>
    <s v="INTPG_VPC_861_1.31_866_1.31"/>
    <s v="ISEL-1.31"/>
    <n v="1"/>
    <s v="NO TIENE L3OUT"/>
    <n v="8"/>
    <n v="54"/>
  </r>
  <r>
    <n v="874"/>
    <x v="2"/>
    <x v="103"/>
    <s v="eth1/31"/>
    <x v="0"/>
    <x v="0"/>
    <x v="0"/>
    <s v="A_ITHFHWSEQLDPS03_Redundante"/>
    <x v="4"/>
    <b v="0"/>
    <s v="No está en VPC"/>
    <n v="874"/>
    <s v="INTPG_ACC_874_1.31"/>
    <s v="ISEL-1.31"/>
    <n v="1"/>
    <s v="NO TIENE L3OUT"/>
    <n v="92"/>
    <n v="54"/>
  </r>
  <r>
    <n v="865"/>
    <x v="2"/>
    <x v="104"/>
    <s v="eth1/31"/>
    <x v="0"/>
    <x v="0"/>
    <x v="0"/>
    <s v="To_VPC_2DCBSD_BD17_1"/>
    <x v="0"/>
    <b v="0"/>
    <s v="No está en VPC"/>
    <n v="865"/>
    <s v="INTPG_VPC_860_1.31_865_1.31"/>
    <s v="ISEL-1.31"/>
    <n v="2"/>
    <s v="NO TIENE L3OUT"/>
    <n v="0"/>
    <n v="54"/>
  </r>
  <r>
    <n v="753"/>
    <x v="2"/>
    <x v="105"/>
    <s v="eth1/31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31"/>
    <x v="0"/>
    <x v="1"/>
    <x v="5"/>
    <s v="CEM:ITHCEMF2KFK16:LOM P1"/>
    <x v="0"/>
    <b v="0"/>
    <s v="No está en VPC"/>
    <n v="708"/>
    <s v="INTPG_VPC_708_1.31_709_1.32"/>
    <s v="ISEL-1.31"/>
    <n v="1"/>
    <s v="NO TIENE L3OUT"/>
    <n v="0"/>
    <n v="54"/>
  </r>
  <r>
    <n v="710"/>
    <x v="2"/>
    <x v="107"/>
    <s v="eth1/31"/>
    <x v="0"/>
    <x v="1"/>
    <x v="5"/>
    <s v="CEM:ITHCEMD2ANN16:LOM P1"/>
    <x v="0"/>
    <b v="0"/>
    <s v="No está en VPC"/>
    <n v="710"/>
    <s v="INTPG_VPC_710_1.31_711_1.32"/>
    <s v="ISEL-1.31"/>
    <n v="1"/>
    <s v="NO TIENE L3OUT"/>
    <n v="16"/>
    <n v="54"/>
  </r>
  <r>
    <n v="713"/>
    <x v="2"/>
    <x v="108"/>
    <s v="eth1/31"/>
    <x v="1"/>
    <x v="1"/>
    <x v="3"/>
    <s v="CEM:ITHCEMA2ADT16:LOM P1"/>
    <x v="0"/>
    <b v="0"/>
    <s v="No está en VPC"/>
    <n v="713"/>
    <s v="INTPG_VPC_713_1.31_712_1.32"/>
    <s v="ISEL-1.31"/>
    <n v="0"/>
    <s v="NO TIENE L3OUT"/>
    <n v="32"/>
    <n v="54"/>
  </r>
  <r>
    <n v="735"/>
    <x v="2"/>
    <x v="109"/>
    <s v="eth1/31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31"/>
    <x v="0"/>
    <x v="0"/>
    <x v="0"/>
    <s v="Server_Pre-R02-RH2288-06"/>
    <x v="0"/>
    <b v="0"/>
    <s v="No está en VPC"/>
    <n v="731"/>
    <s v="INTPG_ACC_731_1.31"/>
    <s v="ISEL-1.31"/>
    <n v="1"/>
    <s v="NO TIENE L3OUT"/>
    <n v="38"/>
    <n v="54"/>
  </r>
  <r>
    <n v="703"/>
    <x v="2"/>
    <x v="111"/>
    <s v="eth1/31"/>
    <x v="1"/>
    <x v="1"/>
    <x v="3"/>
    <m/>
    <x v="0"/>
    <b v="0"/>
    <s v="No está en VPC"/>
    <n v="703"/>
    <s v="INTPG_VPC_706_1.31_705_1.32"/>
    <s v="ISEL-1.31"/>
    <n v="1"/>
    <s v="NO TIENE L3OUT"/>
    <n v="2"/>
    <n v="54"/>
  </r>
  <r>
    <n v="706"/>
    <x v="2"/>
    <x v="112"/>
    <s v="eth1/31"/>
    <x v="0"/>
    <x v="0"/>
    <x v="0"/>
    <m/>
    <x v="0"/>
    <b v="0"/>
    <s v="No está en VPC"/>
    <n v="706"/>
    <s v="INTPG_VPC_706_1.31_705_1.32"/>
    <s v="ISEL-1.31"/>
    <n v="1"/>
    <s v="NO TIENE L3OUT"/>
    <n v="16"/>
    <n v="54"/>
  </r>
  <r>
    <n v="762"/>
    <x v="2"/>
    <x v="113"/>
    <s v="eth1/31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14"/>
    <x v="2"/>
    <x v="114"/>
    <s v="eth1/31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31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31"/>
    <x v="0"/>
    <x v="0"/>
    <x v="0"/>
    <s v="LINK_TO_ITHFHWCBSDSWR17 /Slot5.2 /Principal"/>
    <x v="0"/>
    <b v="0"/>
    <s v="No está en VPC"/>
    <n v="826"/>
    <s v="INTPG_VPC_826_1.31_830_1.31"/>
    <s v="ISEL-1.31"/>
    <n v="2"/>
    <s v="NO TIENE L3OUT"/>
    <n v="12"/>
    <n v="54"/>
  </r>
  <r>
    <n v="726"/>
    <x v="2"/>
    <x v="117"/>
    <s v="eth1/31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31"/>
    <x v="0"/>
    <x v="0"/>
    <x v="0"/>
    <s v="CEM:ITHCEMC2AHN16:LOM P3"/>
    <x v="5"/>
    <b v="0"/>
    <s v="No está en VPC"/>
    <n v="740"/>
    <s v="INTPG_ACC_740_1.31"/>
    <s v="ISEL-1.31"/>
    <n v="1"/>
    <s v="NO TIENE L3OUT"/>
    <n v="72"/>
    <n v="54"/>
  </r>
  <r>
    <n v="705"/>
    <x v="2"/>
    <x v="119"/>
    <s v="eth1/31"/>
    <x v="0"/>
    <x v="1"/>
    <x v="3"/>
    <m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31"/>
    <x v="0"/>
    <x v="0"/>
    <x v="0"/>
    <s v="DESC"/>
    <x v="0"/>
    <b v="0"/>
    <s v="No está en VPC"/>
    <n v="723"/>
    <s v="INTPG_PC_723_1.31-32"/>
    <s v="ISEL-1.31"/>
    <n v="0"/>
    <s v="L3OUT-HCS-OPER-TELCEL-IPCORP"/>
    <n v="0"/>
    <n v="54"/>
  </r>
  <r>
    <n v="721"/>
    <x v="2"/>
    <x v="121"/>
    <s v="eth1/31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31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31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31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31"/>
    <x v="0"/>
    <x v="1"/>
    <x v="5"/>
    <s v="CEM:ITHCEME2ANN16:LOM P1"/>
    <x v="0"/>
    <b v="0"/>
    <s v="No está en VPC"/>
    <n v="709"/>
    <s v="INTPG_VPC_708_1.32_709_1.31"/>
    <s v="ISEL-1.31"/>
    <n v="1"/>
    <s v="NO TIENE L3OUT"/>
    <n v="0"/>
    <n v="54"/>
  </r>
  <r>
    <n v="454"/>
    <x v="1"/>
    <x v="126"/>
    <s v="eth1/31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31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31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31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31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31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31"/>
    <x v="0"/>
    <x v="0"/>
    <x v="0"/>
    <s v="CEM:ITHCEMB2ADT16:LOM P3"/>
    <x v="5"/>
    <b v="0"/>
    <s v="No está en VPC"/>
    <n v="741"/>
    <s v="INTPG_ACC_741_1.31"/>
    <s v="ISEL-1.31"/>
    <n v="1"/>
    <s v="NO TIENE L3OUT"/>
    <n v="62"/>
    <n v="54"/>
  </r>
  <r>
    <n v="787"/>
    <x v="2"/>
    <x v="133"/>
    <s v="eth1/31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31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31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31"/>
    <x v="0"/>
    <x v="1"/>
    <x v="3"/>
    <s v="CEM_HADOOP"/>
    <x v="0"/>
    <b v="0"/>
    <s v="No está en VPC"/>
    <n v="736"/>
    <s v="INTPG_ACC_736_1.31"/>
    <s v="ISEL-1.31"/>
    <n v="0"/>
    <s v="NO TIENE L3OUT"/>
    <n v="48"/>
    <n v="54"/>
  </r>
  <r>
    <n v="799"/>
    <x v="2"/>
    <x v="137"/>
    <s v="eth1/31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31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31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31"/>
    <x v="0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31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31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31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31"/>
    <x v="0"/>
    <x v="0"/>
    <x v="0"/>
    <s v="CLOUD PAAS PAYG F2:Ithhwvm1cch1:Slot 3x/Pto 3"/>
    <x v="0"/>
    <b v="0"/>
    <s v="No está en VPC"/>
    <n v="774"/>
    <s v="INTPG_VPC_774_1.29-32_775_1.25-28"/>
    <s v="ISEL-1.31"/>
    <n v="169"/>
    <s v="NO TIENE L3OUT"/>
    <n v="0"/>
    <n v="54"/>
  </r>
  <r>
    <n v="773"/>
    <x v="2"/>
    <x v="145"/>
    <s v="eth1/31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31"/>
    <x v="0"/>
    <x v="0"/>
    <x v="0"/>
    <s v="TO-NUTANIX -VPC3"/>
    <x v="0"/>
    <b v="0"/>
    <s v="No está en VPC"/>
    <n v="794"/>
    <s v="INTPG_VPC_793_1.31_794_1.31"/>
    <s v="ISEL-1.31"/>
    <n v="12"/>
    <s v="NO TIENE L3OUT"/>
    <n v="12"/>
    <n v="54"/>
  </r>
  <r>
    <n v="803"/>
    <x v="2"/>
    <x v="147"/>
    <s v="eth1/31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31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31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31"/>
    <x v="0"/>
    <x v="0"/>
    <x v="0"/>
    <s v="CLOUD OPS:ithhwcop02en02:2X P4"/>
    <x v="0"/>
    <b v="0"/>
    <s v="No está en VPC"/>
    <n v="781"/>
    <s v="INTPG_VPC_780_1.30-33_781_1.30-33"/>
    <s v="ISEL-1.31"/>
    <n v="23"/>
    <s v="NO TIENE L3OUT"/>
    <n v="26"/>
    <n v="54"/>
  </r>
  <r>
    <n v="793"/>
    <x v="2"/>
    <x v="151"/>
    <s v="eth1/31"/>
    <x v="0"/>
    <x v="0"/>
    <x v="0"/>
    <s v="TO-NUTANIX -VPC3"/>
    <x v="0"/>
    <b v="0"/>
    <s v="No está en VPC"/>
    <n v="793"/>
    <s v="INTPG_VPC_793_1.31_794_1.31"/>
    <s v="ISEL-1.31"/>
    <n v="12"/>
    <s v="NO TIENE L3OUT"/>
    <n v="12"/>
    <n v="54"/>
  </r>
  <r>
    <n v="747"/>
    <x v="2"/>
    <x v="152"/>
    <s v="eth1/31"/>
    <x v="0"/>
    <x v="1"/>
    <x v="3"/>
    <s v="PAAS:ithhwosstpap006:Slot4.2"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31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31"/>
    <x v="1"/>
    <x v="1"/>
    <x v="2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31"/>
    <x v="0"/>
    <x v="0"/>
    <x v="0"/>
    <s v="CLOUD PAAS PAYG F2:Ithhwvm1bch1:Slot 3x/Pto 3"/>
    <x v="0"/>
    <b v="0"/>
    <s v="No está en VPC"/>
    <n v="777"/>
    <s v="INTPG_VPC_776_1.25-28_777_1.29-32"/>
    <s v="ISEL-1.31"/>
    <n v="90"/>
    <s v="NO TIENE L3OUT"/>
    <n v="0"/>
    <n v="54"/>
  </r>
  <r>
    <n v="770"/>
    <x v="2"/>
    <x v="156"/>
    <s v="eth1/31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31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31"/>
    <x v="0"/>
    <x v="0"/>
    <x v="0"/>
    <s v="CEM:ITHCEMD2ANN16:LOM P3"/>
    <x v="5"/>
    <b v="0"/>
    <s v="No está en VPC"/>
    <n v="739"/>
    <s v="INTPG_ACC_739_1.31"/>
    <s v="ISEL-1.31"/>
    <n v="1"/>
    <s v="NO TIENE L3OUT"/>
    <n v="72"/>
    <n v="54"/>
  </r>
  <r>
    <n v="775"/>
    <x v="2"/>
    <x v="159"/>
    <s v="eth1/31"/>
    <x v="0"/>
    <x v="0"/>
    <x v="0"/>
    <s v="CLOUD PAAS PAYG F2:Ithhwvm1dch1:Slot 3x/Pto 3"/>
    <x v="0"/>
    <b v="0"/>
    <s v="No está en VPC"/>
    <n v="775"/>
    <s v="INTPG_VPC_774_1.25-28_775_1.29-32"/>
    <s v="ISEL-1.31"/>
    <n v="152"/>
    <s v="NO TIENE L3OUT"/>
    <n v="0"/>
    <n v="54"/>
  </r>
  <r>
    <n v="791"/>
    <x v="2"/>
    <x v="160"/>
    <s v="eth1/31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31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31"/>
    <x v="0"/>
    <x v="0"/>
    <x v="0"/>
    <s v="LINK_TO_ITHFHWCBSDSWR17 /Slot7.2 /Redundante"/>
    <x v="0"/>
    <b v="0"/>
    <s v="No está en VPC"/>
    <n v="830"/>
    <s v="INTPG_VPC_826_1.31_830_1.31"/>
    <s v="ISEL-1.31"/>
    <n v="2"/>
    <s v="NO TIENE L3OUT"/>
    <n v="12"/>
    <n v="54"/>
  </r>
  <r>
    <n v="821"/>
    <x v="2"/>
    <x v="163"/>
    <s v="eth1/31"/>
    <x v="0"/>
    <x v="0"/>
    <x v="0"/>
    <s v="LINK_TO_ITHFHWCBSPSWR17 /Slot7.2 /Redundante"/>
    <x v="0"/>
    <b v="0"/>
    <s v="No está en VPC"/>
    <n v="821"/>
    <s v="INTPG_VPC_816_1.31_821_1.31"/>
    <s v="ISEL-1.31"/>
    <n v="2"/>
    <s v="NO TIENE L3OUT"/>
    <n v="0"/>
    <n v="54"/>
  </r>
  <r>
    <n v="738"/>
    <x v="2"/>
    <x v="164"/>
    <s v="eth1/31"/>
    <x v="0"/>
    <x v="0"/>
    <x v="0"/>
    <s v="CEM:ITHCEME2ANN16:LOM P3"/>
    <x v="5"/>
    <b v="0"/>
    <s v="No está en VPC"/>
    <n v="738"/>
    <s v="INTPG_ACC_738_1.31"/>
    <s v="ISEL-1.31"/>
    <n v="1"/>
    <s v="NO TIENE L3OUT"/>
    <n v="72"/>
    <n v="54"/>
  </r>
  <r>
    <n v="820"/>
    <x v="2"/>
    <x v="165"/>
    <s v="eth1/31"/>
    <x v="0"/>
    <x v="0"/>
    <x v="0"/>
    <s v="VPC_2DCRMP_BDP07_1"/>
    <x v="0"/>
    <b v="0"/>
    <s v="No está en VPC"/>
    <n v="820"/>
    <s v="INTPG_VPC_825_1.31_820_1.31"/>
    <s v="ISEL-1.31"/>
    <n v="6"/>
    <s v="NO TIENE L3OUT"/>
    <n v="72"/>
    <n v="54"/>
  </r>
  <r>
    <n v="804"/>
    <x v="2"/>
    <x v="166"/>
    <s v="eth1/31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31"/>
    <x v="0"/>
    <x v="0"/>
    <x v="0"/>
    <s v="CLOUD OPS:ithhwcop01en01:4E P3"/>
    <x v="0"/>
    <b v="0"/>
    <s v="No está en VPC"/>
    <n v="779"/>
    <s v="INTPG_VPC_778_1.25-26_31-32_779_1.25-26_31-32"/>
    <s v="ISEL-1.31"/>
    <n v="24"/>
    <s v="NO TIENE L3OUT"/>
    <n v="30"/>
    <n v="54"/>
  </r>
  <r>
    <n v="767"/>
    <x v="2"/>
    <x v="168"/>
    <s v="eth1/31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31"/>
    <x v="0"/>
    <x v="0"/>
    <x v="0"/>
    <s v="LINK_TO_ITHFHWCBSDSWR26 /Slot4.2 /Principal"/>
    <x v="0"/>
    <b v="0"/>
    <s v="No está en VPC"/>
    <n v="827"/>
    <s v="INTPG_VPC_827_1.31_831_1.31"/>
    <s v="ISEL-1.31"/>
    <n v="1"/>
    <s v="NO TIENE L3OUT"/>
    <n v="14"/>
    <n v="54"/>
  </r>
  <r>
    <n v="809"/>
    <x v="2"/>
    <x v="170"/>
    <s v="eth1/31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31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31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31"/>
    <x v="0"/>
    <x v="0"/>
    <x v="0"/>
    <s v="CLOUD PAAS PAYG F2:Ithhwvm1ach1:Slot 3x/Pto 3"/>
    <x v="0"/>
    <b v="0"/>
    <s v="No está en VPC"/>
    <n v="776"/>
    <s v="INTPG_VPC_776_1.29-32_777_1.25-28"/>
    <s v="ISEL-1.31"/>
    <n v="93"/>
    <s v="NO TIENE L3OUT"/>
    <n v="0"/>
    <n v="54"/>
  </r>
  <r>
    <n v="805"/>
    <x v="2"/>
    <x v="174"/>
    <s v="eth1/31"/>
    <x v="1"/>
    <x v="1"/>
    <x v="2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31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31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31"/>
    <x v="0"/>
    <x v="0"/>
    <x v="0"/>
    <s v="LINK_TO_ITHFHWCRMPLCN111 / Slot7.1_26 / Redundante"/>
    <x v="0"/>
    <b v="0"/>
    <s v="No está en VPC"/>
    <n v="851"/>
    <s v="INTPG_ACC_851_1.31"/>
    <s v="ISEL-1.31"/>
    <n v="6"/>
    <s v="NO TIENE L3OUT"/>
    <n v="282"/>
    <n v="54"/>
  </r>
  <r>
    <n v="798"/>
    <x v="2"/>
    <x v="178"/>
    <s v="eth1/31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31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31"/>
    <x v="0"/>
    <x v="0"/>
    <x v="0"/>
    <s v="LINK_TO_ITHFHWCRMPLCN94 / Slot7.2_20 / Redundante"/>
    <x v="0"/>
    <b v="0"/>
    <s v="No está en VPC"/>
    <n v="852"/>
    <s v="INTPG_ACC_852_1.31"/>
    <s v="ISEL-1.31"/>
    <n v="2"/>
    <s v="NO TIENE L3OUT"/>
    <n v="258"/>
    <n v="54"/>
  </r>
  <r>
    <n v="817"/>
    <x v="2"/>
    <x v="181"/>
    <s v="eth1/31"/>
    <x v="0"/>
    <x v="0"/>
    <x v="0"/>
    <s v="LINK_TO_ITHFHWCBSPSUSBD22 /Slot5.2 /Principal"/>
    <x v="0"/>
    <b v="0"/>
    <s v="No está en VPC"/>
    <n v="817"/>
    <s v="INTPG_VPC_817_1.31_822_1.31"/>
    <s v="ISEL-1.31"/>
    <n v="2"/>
    <s v="NO TIENE L3OUT"/>
    <n v="0"/>
    <n v="54"/>
  </r>
  <r>
    <n v="832"/>
    <x v="2"/>
    <x v="182"/>
    <s v="eth1/31"/>
    <x v="0"/>
    <x v="0"/>
    <x v="0"/>
    <s v="LINK_TO_ITHFHWCRMDLCN25 /Slot6.2 /Redundante"/>
    <x v="0"/>
    <b v="0"/>
    <s v="No está en VPC"/>
    <n v="832"/>
    <s v="INTPG_ACC_832_1.31"/>
    <s v="ISEL-1.31"/>
    <n v="1"/>
    <s v="NO TIENE L3OUT"/>
    <n v="192"/>
    <n v="54"/>
  </r>
  <r>
    <n v="816"/>
    <x v="2"/>
    <x v="183"/>
    <s v="eth1/31"/>
    <x v="0"/>
    <x v="0"/>
    <x v="0"/>
    <s v="LINK_TO_ITHFHWCBSPSWR17 /Slot5.2 /Principal"/>
    <x v="0"/>
    <b v="0"/>
    <s v="No está en VPC"/>
    <n v="816"/>
    <s v="INTPG_VPC_816_1.31_821_1.31"/>
    <s v="ISEL-1.31"/>
    <n v="2"/>
    <s v="NO TIENE L3OUT"/>
    <n v="0"/>
    <n v="54"/>
  </r>
  <r>
    <n v="825"/>
    <x v="2"/>
    <x v="184"/>
    <s v="eth1/31"/>
    <x v="0"/>
    <x v="0"/>
    <x v="0"/>
    <s v="VPC_2DCRMP_BDP07_1"/>
    <x v="0"/>
    <b v="0"/>
    <s v="No está en VPC"/>
    <n v="825"/>
    <s v="INTPG_VPC_825_1.31_820_1.31"/>
    <s v="ISEL-1.31"/>
    <n v="6"/>
    <s v="NO TIENE L3OUT"/>
    <n v="72"/>
    <n v="54"/>
  </r>
  <r>
    <n v="800"/>
    <x v="2"/>
    <x v="185"/>
    <s v="eth1/31"/>
    <x v="0"/>
    <x v="0"/>
    <x v="0"/>
    <s v="TO-ITHFHWSEQLDPS02-MSP"/>
    <x v="0"/>
    <b v="0"/>
    <s v="No está en VPC"/>
    <n v="800"/>
    <s v="INTPG_ACC_800_1.31"/>
    <s v="ISEL-1.31"/>
    <n v="1"/>
    <s v="NO TIENE L3OUT"/>
    <n v="78"/>
    <n v="54"/>
  </r>
  <r>
    <n v="801"/>
    <x v="2"/>
    <x v="186"/>
    <s v="eth1/31"/>
    <x v="0"/>
    <x v="0"/>
    <x v="0"/>
    <s v="TO-ITHFHWSEQLDPS02-MSP"/>
    <x v="0"/>
    <b v="0"/>
    <s v="No está en VPC"/>
    <n v="801"/>
    <s v="INTPG_ACC_801_1.31"/>
    <s v="ISEL-1.31"/>
    <n v="1"/>
    <s v="NO TIENE L3OUT"/>
    <n v="78"/>
    <n v="54"/>
  </r>
  <r>
    <n v="823"/>
    <x v="2"/>
    <x v="187"/>
    <s v="eth1/31"/>
    <x v="0"/>
    <x v="0"/>
    <x v="0"/>
    <s v="LINK_TO_ITHFHWCBSPSWR34 /Slot6.2 /Redundante"/>
    <x v="0"/>
    <b v="0"/>
    <s v="No está en VPC"/>
    <n v="823"/>
    <s v="INTPG_VPC_818_1.31_823_1.31"/>
    <s v="ISEL-1.31"/>
    <n v="1"/>
    <s v="NO TIENE L3OUT"/>
    <n v="8"/>
    <n v="54"/>
  </r>
  <r>
    <n v="837"/>
    <x v="2"/>
    <x v="188"/>
    <s v="eth1/31"/>
    <x v="0"/>
    <x v="0"/>
    <x v="0"/>
    <s v="LINK_TO_ITHHWD6KV65100009DKC01 / CTMB_IOM0.P0_34 / Principal"/>
    <x v="0"/>
    <b v="0"/>
    <s v="No está en VPC"/>
    <n v="837"/>
    <s v="INTPG_ACC_837_1.31"/>
    <s v="ISEL-1.31"/>
    <n v="1"/>
    <s v="NO TIENE L3OUT"/>
    <n v="8"/>
    <n v="54"/>
  </r>
  <r>
    <n v="867"/>
    <x v="2"/>
    <x v="189"/>
    <s v="eth1/31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31"/>
    <x v="0"/>
    <x v="0"/>
    <x v="0"/>
    <s v="To_ITHFHWCRMDLCN45_Principal"/>
    <x v="0"/>
    <b v="0"/>
    <s v="No está en VPC"/>
    <n v="829"/>
    <s v="INTPG_ACC_829_1.31"/>
    <s v="ISEL-1.31"/>
    <n v="2"/>
    <s v="NO TIENE L3OUT"/>
    <n v="224"/>
    <n v="54"/>
  </r>
  <r>
    <n v="831"/>
    <x v="2"/>
    <x v="191"/>
    <s v="eth1/31"/>
    <x v="0"/>
    <x v="0"/>
    <x v="0"/>
    <s v="LINK_TO_ITHFHWCBSDSWR26 /Slot6.2 /Redundante"/>
    <x v="0"/>
    <b v="0"/>
    <s v="No está en VPC"/>
    <n v="831"/>
    <s v="INTPG_VPC_827_1.31_831_1.31"/>
    <s v="ISEL-1.31"/>
    <n v="1"/>
    <s v="NO TIENE L3OUT"/>
    <n v="14"/>
    <n v="54"/>
  </r>
  <r>
    <n v="802"/>
    <x v="2"/>
    <x v="192"/>
    <s v="eth1/31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31"/>
    <x v="0"/>
    <x v="0"/>
    <x v="0"/>
    <s v="LINK_TO_ITHFHWCBSPSHD32 / Slot1.3_16 / Principal"/>
    <x v="0"/>
    <b v="0"/>
    <s v="No está en VPC"/>
    <n v="835"/>
    <s v="INTPG_VPC_835_1.31_840_1.31"/>
    <s v="ISEL-1.31"/>
    <n v="1"/>
    <s v="NO TIENE L3OUT"/>
    <n v="8"/>
    <n v="54"/>
  </r>
  <r>
    <n v="822"/>
    <x v="2"/>
    <x v="194"/>
    <s v="eth1/31"/>
    <x v="0"/>
    <x v="0"/>
    <x v="0"/>
    <s v="LINK_TO_ITHFHWCBSPSUSBD22 /Slot7.2 /Redundante"/>
    <x v="0"/>
    <b v="0"/>
    <s v="No está en VPC"/>
    <n v="822"/>
    <s v="INTPG_VPC_817_1.31_822_1.31"/>
    <s v="ISEL-1.31"/>
    <n v="2"/>
    <s v="NO TIENE L3OUT"/>
    <n v="0"/>
    <n v="54"/>
  </r>
  <r>
    <n v="854"/>
    <x v="2"/>
    <x v="195"/>
    <s v="eth1/31"/>
    <x v="0"/>
    <x v="0"/>
    <x v="0"/>
    <s v="LINK_TO_ITHFHWCRMPLCN175 / Slot1.3_20 / Principal"/>
    <x v="0"/>
    <b v="0"/>
    <s v="No está en VPC"/>
    <n v="854"/>
    <s v="INTPG_ACC_854_1.31"/>
    <s v="ISEL-1.31"/>
    <n v="1"/>
    <s v="NO TIENE L3OUT"/>
    <n v="204"/>
    <n v="54"/>
  </r>
  <r>
    <n v="858"/>
    <x v="2"/>
    <x v="196"/>
    <s v="eth1/31"/>
    <x v="0"/>
    <x v="0"/>
    <x v="0"/>
    <s v="To_VPC_2DCBSD_WR55_1"/>
    <x v="0"/>
    <b v="0"/>
    <s v="No está en VPC"/>
    <n v="858"/>
    <s v="INTPG_VPC_858_1.31_863_1.31"/>
    <s v="ISEL-1.31"/>
    <n v="2"/>
    <s v="NO TIENE L3OUT"/>
    <n v="8"/>
    <n v="54"/>
  </r>
  <r>
    <n v="857"/>
    <x v="2"/>
    <x v="197"/>
    <s v="eth1/31"/>
    <x v="0"/>
    <x v="0"/>
    <x v="0"/>
    <s v="LINKT_TO_ITHFHWCRMPLCN125 / Slot1.3_20 / Principal"/>
    <x v="0"/>
    <b v="0"/>
    <s v="No está en VPC"/>
    <n v="857"/>
    <s v="INTPG_ACC_857_1.31"/>
    <s v="ISEL-1.31"/>
    <n v="1"/>
    <s v="NO TIENE L3OUT"/>
    <n v="288"/>
    <n v="54"/>
  </r>
  <r>
    <n v="859"/>
    <x v="2"/>
    <x v="198"/>
    <s v="eth1/31"/>
    <x v="0"/>
    <x v="0"/>
    <x v="0"/>
    <s v="To_VPC_2DCBSD_WR46_1"/>
    <x v="0"/>
    <b v="0"/>
    <s v="No está en VPC"/>
    <n v="859"/>
    <s v="INTPG_VPC_859_1.31_864_1.31"/>
    <s v="ISEL-1.31"/>
    <n v="2"/>
    <s v="NO TIENE L3OUT"/>
    <n v="0"/>
    <n v="54"/>
  </r>
  <r>
    <n v="833"/>
    <x v="2"/>
    <x v="199"/>
    <s v="eth1/31"/>
    <x v="0"/>
    <x v="0"/>
    <x v="0"/>
    <s v="To_ITHFHWCRMDLCN45_Redundante"/>
    <x v="0"/>
    <b v="0"/>
    <s v="No está en VPC"/>
    <n v="833"/>
    <s v="INTPG_ACC_833_1.31"/>
    <s v="ISEL-1.31"/>
    <n v="2"/>
    <s v="NO TIENE L3OUT"/>
    <n v="224"/>
    <n v="54"/>
  </r>
  <r>
    <n v="818"/>
    <x v="2"/>
    <x v="200"/>
    <s v="eth1/31"/>
    <x v="0"/>
    <x v="0"/>
    <x v="0"/>
    <s v="LINK_TO_ITHFHWCBSPSWR34 /Slot4.2 /Principal"/>
    <x v="0"/>
    <b v="0"/>
    <s v="No está en VPC"/>
    <n v="818"/>
    <s v="INTPG_VPC_818_1.31_823_1.31"/>
    <s v="ISEL-1.31"/>
    <n v="1"/>
    <s v="NO TIENE L3OUT"/>
    <n v="8"/>
    <n v="54"/>
  </r>
  <r>
    <n v="850"/>
    <x v="2"/>
    <x v="201"/>
    <s v="eth1/31"/>
    <x v="0"/>
    <x v="0"/>
    <x v="0"/>
    <s v="LINKT_TO_ITHFHWCRMPLCN125 / Slot7.3_20 / Redundante"/>
    <x v="0"/>
    <b v="0"/>
    <s v="No está en VPC"/>
    <n v="850"/>
    <s v="INTPG_ACC_850_1.31"/>
    <s v="ISEL-1.31"/>
    <n v="1"/>
    <s v="NO TIENE L3OUT"/>
    <n v="288"/>
    <n v="54"/>
  </r>
  <r>
    <n v="860"/>
    <x v="2"/>
    <x v="202"/>
    <s v="eth1/31"/>
    <x v="0"/>
    <x v="0"/>
    <x v="0"/>
    <s v="To_VPC_2DCBSD_BD17_1"/>
    <x v="0"/>
    <b v="0"/>
    <s v="No está en VPC"/>
    <n v="860"/>
    <s v="INTPG_VPC_860_1.31_865_1.31"/>
    <s v="ISEL-1.31"/>
    <n v="2"/>
    <s v="NO TIENE L3OUT"/>
    <n v="0"/>
    <n v="54"/>
  </r>
  <r>
    <n v="853"/>
    <x v="2"/>
    <x v="203"/>
    <s v="eth1/31"/>
    <x v="0"/>
    <x v="0"/>
    <x v="0"/>
    <s v="LINK_TO_ITHFHWCRMPLCN82 / Slot7.1_22 / Redundante"/>
    <x v="0"/>
    <b v="0"/>
    <s v="No está en VPC"/>
    <n v="853"/>
    <s v="INTPG_ACC_853_1.31"/>
    <s v="ISEL-1.31"/>
    <n v="6"/>
    <s v="NO TIENE L3OUT"/>
    <n v="242"/>
    <n v="54"/>
  </r>
  <r>
    <n v="790"/>
    <x v="2"/>
    <x v="204"/>
    <s v="eth1/31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31"/>
    <x v="0"/>
    <x v="0"/>
    <x v="0"/>
    <s v="DATOS LENOVO"/>
    <x v="6"/>
    <b v="0"/>
    <s v="No está en VPC"/>
    <n v="105"/>
    <s v="INTPG_ACC_105_1.31"/>
    <s v="ISEL-1.31"/>
    <n v="1"/>
    <s v="NO TIENE L3OUT"/>
    <n v="106"/>
    <n v="96"/>
  </r>
  <r>
    <n v="117"/>
    <x v="0"/>
    <x v="206"/>
    <s v="eth1/31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31"/>
    <x v="1"/>
    <x v="1"/>
    <x v="2"/>
    <s v="File System AM"/>
    <x v="6"/>
    <b v="0"/>
    <s v="No está en VPC"/>
    <n v="104"/>
    <s v="INTPG_ACC_104_1.31"/>
    <s v="ISEL-1.31"/>
    <n v="0"/>
    <s v="NO TIENE L3OUT"/>
    <n v="194"/>
    <n v="96"/>
  </r>
  <r>
    <n v="158"/>
    <x v="0"/>
    <x v="208"/>
    <s v="eth1/31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31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31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31"/>
    <x v="1"/>
    <x v="1"/>
    <x v="2"/>
    <m/>
    <x v="6"/>
    <b v="0"/>
    <s v="No está en VPC"/>
    <n v="108"/>
    <s v="INTPG_ACC_108_1.31"/>
    <s v="ISEL-1.31"/>
    <n v="1"/>
    <s v="NO TIENE L3OUT"/>
    <n v="126"/>
    <n v="96"/>
  </r>
  <r>
    <n v="112"/>
    <x v="0"/>
    <x v="212"/>
    <s v="eth1/31"/>
    <x v="0"/>
    <x v="0"/>
    <x v="0"/>
    <s v="SUBEX (Fraud Management)"/>
    <x v="6"/>
    <b v="0"/>
    <s v="No está en VPC"/>
    <n v="112"/>
    <s v="INTPG_ACC_112_1.31"/>
    <s v="ISEL-1.31"/>
    <n v="1"/>
    <s v="NO TIENE L3OUT"/>
    <n v="144"/>
    <n v="96"/>
  </r>
  <r>
    <n v="107"/>
    <x v="0"/>
    <x v="213"/>
    <s v="eth1/31"/>
    <x v="0"/>
    <x v="0"/>
    <x v="0"/>
    <m/>
    <x v="6"/>
    <b v="0"/>
    <s v="No está en VPC"/>
    <n v="107"/>
    <s v="INTPG_ACC_107_1.31"/>
    <s v="ISEL-1.31"/>
    <n v="1"/>
    <s v="NO TIENE L3OUT"/>
    <n v="118"/>
    <n v="96"/>
  </r>
  <r>
    <n v="109"/>
    <x v="0"/>
    <x v="214"/>
    <s v="eth1/31"/>
    <x v="0"/>
    <x v="0"/>
    <x v="0"/>
    <s v="IXT01PP, IXT02PP, IXT05PP"/>
    <x v="6"/>
    <b v="0"/>
    <s v="No está en VPC"/>
    <n v="109"/>
    <s v="INTPG_ACC_109_1.31"/>
    <s v="ISEL-1.31"/>
    <n v="1"/>
    <s v="NO TIENE L3OUT"/>
    <n v="126"/>
    <n v="96"/>
  </r>
  <r>
    <n v="113"/>
    <x v="0"/>
    <x v="215"/>
    <s v="eth1/31"/>
    <x v="0"/>
    <x v="0"/>
    <x v="0"/>
    <s v="RLVYCAN02ILO"/>
    <x v="6"/>
    <b v="0"/>
    <s v="No está en VPC"/>
    <n v="113"/>
    <s v="INTPG_ACC_113_1.31"/>
    <s v="ISEL-1.31"/>
    <n v="1"/>
    <s v="NO TIENE L3OUT"/>
    <n v="52"/>
    <n v="96"/>
  </r>
  <r>
    <n v="114"/>
    <x v="0"/>
    <x v="216"/>
    <s v="eth1/31"/>
    <x v="0"/>
    <x v="0"/>
    <x v="0"/>
    <s v="CHARGING SYSTEM"/>
    <x v="6"/>
    <b v="0"/>
    <s v="No está en VPC"/>
    <n v="114"/>
    <s v="INTPG_ACC_114_1.31"/>
    <s v="ISEL-1.31"/>
    <n v="1"/>
    <s v="NO TIENE L3OUT"/>
    <n v="144"/>
    <n v="96"/>
  </r>
  <r>
    <n v="124"/>
    <x v="0"/>
    <x v="217"/>
    <s v="eth1/31"/>
    <x v="0"/>
    <x v="0"/>
    <x v="0"/>
    <s v="ixtossgwcon"/>
    <x v="6"/>
    <b v="0"/>
    <s v="No está en VPC"/>
    <n v="124"/>
    <s v="INTPG_ACC_124_1.31"/>
    <s v="ISEL-1.31"/>
    <n v="1"/>
    <s v="NO TIENE L3OUT"/>
    <n v="80"/>
    <n v="96"/>
  </r>
  <r>
    <n v="118"/>
    <x v="0"/>
    <x v="218"/>
    <s v="eth1/31"/>
    <x v="0"/>
    <x v="0"/>
    <x v="0"/>
    <s v="DATOS NETCRACKER"/>
    <x v="6"/>
    <b v="0"/>
    <s v="No está en VPC"/>
    <n v="118"/>
    <s v="INTPG_ACC_118_1.31"/>
    <s v="ISEL-1.31"/>
    <n v="1"/>
    <s v="NO TIENE L3OUT"/>
    <n v="180"/>
    <n v="96"/>
  </r>
  <r>
    <n v="159"/>
    <x v="0"/>
    <x v="219"/>
    <s v="eth1/31"/>
    <x v="0"/>
    <x v="0"/>
    <x v="0"/>
    <s v="TO-ITHEMCDD99000569-PRINCIPAL"/>
    <x v="6"/>
    <b v="0"/>
    <s v="No está en VPC"/>
    <n v="159"/>
    <s v="INTPG_ACC_159_1.31"/>
    <s v="ISEL-1.31"/>
    <n v="1"/>
    <s v="NO TIENE L3OUT"/>
    <n v="72"/>
    <n v="96"/>
  </r>
  <r>
    <n v="840"/>
    <x v="2"/>
    <x v="220"/>
    <s v="eth1/31"/>
    <x v="0"/>
    <x v="0"/>
    <x v="0"/>
    <s v="LINK_TO_ITHFHWCBSPSHD32 / Slot7.3_16 / Redundante"/>
    <x v="0"/>
    <b v="0"/>
    <s v="No está en VPC"/>
    <n v="840"/>
    <s v="INTPG_VPC_835_1.31_840_1.31"/>
    <s v="ISEL-1.31"/>
    <n v="1"/>
    <s v="NO TIENE L3OUT"/>
    <n v="8"/>
    <n v="54"/>
  </r>
  <r>
    <n v="856"/>
    <x v="2"/>
    <x v="221"/>
    <s v="eth1/31"/>
    <x v="0"/>
    <x v="0"/>
    <x v="0"/>
    <s v="LINK_TO_ITHFHWCRMPLCN144 / Slot1.3_22 / Principal"/>
    <x v="0"/>
    <b v="0"/>
    <s v="No está en VPC"/>
    <n v="856"/>
    <s v="INTPG_ACC_856_1.31"/>
    <s v="ISEL-1.31"/>
    <n v="1"/>
    <s v="NO TIENE L3OUT"/>
    <n v="286"/>
    <n v="54"/>
  </r>
  <r>
    <n v="110"/>
    <x v="0"/>
    <x v="222"/>
    <s v="eth1/31"/>
    <x v="0"/>
    <x v="0"/>
    <x v="0"/>
    <m/>
    <x v="6"/>
    <b v="0"/>
    <s v="No está en VPC"/>
    <n v="110"/>
    <s v="INTPG_ACC_110_1.31"/>
    <s v="ISEL-1.31"/>
    <n v="1"/>
    <s v="NO TIENE L3OUT"/>
    <n v="102"/>
    <n v="96"/>
  </r>
  <r>
    <n v="163"/>
    <x v="0"/>
    <x v="223"/>
    <s v="eth1/31"/>
    <x v="0"/>
    <x v="0"/>
    <x v="0"/>
    <s v="desc"/>
    <x v="6"/>
    <b v="0"/>
    <s v="No está en VPC"/>
    <n v="163"/>
    <s v="INTPG_VPC_161_1.32_163_1.31"/>
    <s v="ISEL-1.31"/>
    <n v="1"/>
    <s v="NO TIENE L3OUT"/>
    <n v="140"/>
    <n v="96"/>
  </r>
  <r>
    <n v="407"/>
    <x v="1"/>
    <x v="224"/>
    <s v="eth1/31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31"/>
    <x v="0"/>
    <x v="1"/>
    <x v="1"/>
    <s v="netqosSDS02_ilom"/>
    <x v="6"/>
    <b v="0"/>
    <s v="No está en VPC"/>
    <n v="171"/>
    <s v="INTPG_ACC_171_1.31"/>
    <s v="ISEL-1.31"/>
    <n v="1"/>
    <s v="NO TIENE L3OUT"/>
    <n v="114"/>
    <n v="96"/>
  </r>
  <r>
    <n v="421"/>
    <x v="1"/>
    <x v="226"/>
    <s v="eth1/31"/>
    <x v="0"/>
    <x v="1"/>
    <x v="1"/>
    <s v="VTA_uxvta074_NETMGT"/>
    <x v="6"/>
    <b v="0"/>
    <s v="No está en VPC"/>
    <n v="421"/>
    <s v="INTPG_ACC_421_1.31"/>
    <s v="ISEL-1.31"/>
    <n v="1"/>
    <s v="NO TIENE L3OUT"/>
    <n v="72"/>
    <n v="96"/>
  </r>
  <r>
    <n v="173"/>
    <x v="0"/>
    <x v="227"/>
    <s v="eth1/31"/>
    <x v="0"/>
    <x v="1"/>
    <x v="1"/>
    <s v="ENIQ_1"/>
    <x v="6"/>
    <b v="0"/>
    <s v="No está en VPC"/>
    <n v="173"/>
    <s v="INTPG_PC_173_1.28-33"/>
    <s v="ISEL-1.31"/>
    <n v="3"/>
    <s v="NO TIENE L3OUT"/>
    <n v="66"/>
    <n v="96"/>
  </r>
  <r>
    <n v="154"/>
    <x v="0"/>
    <x v="228"/>
    <s v="eth1/31"/>
    <x v="0"/>
    <x v="0"/>
    <x v="0"/>
    <s v="POLYVIEW_TC"/>
    <x v="6"/>
    <b v="0"/>
    <s v="No está en VPC"/>
    <n v="154"/>
    <s v="INTPG_ACC_154_1.31"/>
    <s v="ISEL-1.31"/>
    <n v="1"/>
    <s v="NO TIENE L3OUT"/>
    <n v="62"/>
    <n v="96"/>
  </r>
  <r>
    <n v="172"/>
    <x v="0"/>
    <x v="229"/>
    <s v="eth1/31"/>
    <x v="0"/>
    <x v="1"/>
    <x v="1"/>
    <s v="Optimus"/>
    <x v="6"/>
    <b v="0"/>
    <s v="No está en VPC"/>
    <n v="172"/>
    <s v="INTPG_ACC_172_1.31"/>
    <s v="ISEL-1.31"/>
    <n v="1"/>
    <s v="NO TIENE L3OUT"/>
    <n v="104"/>
    <n v="96"/>
  </r>
  <r>
    <n v="420"/>
    <x v="1"/>
    <x v="230"/>
    <s v="eth1/31"/>
    <x v="0"/>
    <x v="0"/>
    <x v="0"/>
    <s v="TO-ITHFDEOCP1LWR06-PRINCIPAL"/>
    <x v="6"/>
    <b v="0"/>
    <s v="No está en VPC"/>
    <n v="420"/>
    <s v="INTPG_ACC_420_1.31"/>
    <s v="ISEL-1.31"/>
    <n v="1"/>
    <s v="NO TIENE L3OUT"/>
    <n v="158"/>
    <n v="96"/>
  </r>
  <r>
    <n v="423"/>
    <x v="1"/>
    <x v="231"/>
    <s v="eth1/31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31"/>
    <x v="1"/>
    <x v="1"/>
    <x v="2"/>
    <s v="To-uxingemc2 ldom 3 uxsmart05"/>
    <x v="6"/>
    <b v="0"/>
    <s v="No está en VPC"/>
    <n v="415"/>
    <s v="INTPG_ACC_415_1.31"/>
    <s v="ISEL-1.31"/>
    <n v="0"/>
    <s v="NO TIENE L3OUT"/>
    <n v="52"/>
    <n v="96"/>
  </r>
  <r>
    <n v="102"/>
    <x v="0"/>
    <x v="233"/>
    <s v="eth1/31"/>
    <x v="0"/>
    <x v="1"/>
    <x v="1"/>
    <s v="SFLDI:RLDIBI102:1"/>
    <x v="6"/>
    <b v="0"/>
    <s v="No está en VPC"/>
    <n v="102"/>
    <s v="INTPG_ACC_102_1.31"/>
    <s v="ISEL-1.31"/>
    <n v="1"/>
    <s v="NO TIENE L3OUT"/>
    <n v="228"/>
    <n v="96"/>
  </r>
  <r>
    <n v="863"/>
    <x v="2"/>
    <x v="234"/>
    <s v="eth1/31"/>
    <x v="0"/>
    <x v="0"/>
    <x v="0"/>
    <s v="To_VPC_2DCBSD_WR55_1"/>
    <x v="0"/>
    <b v="0"/>
    <s v="No está en VPC"/>
    <n v="863"/>
    <s v="INTPG_VPC_858_1.31_863_1.31"/>
    <s v="ISEL-1.31"/>
    <n v="2"/>
    <s v="NO TIENE L3OUT"/>
    <n v="8"/>
    <n v="54"/>
  </r>
  <r>
    <n v="876"/>
    <x v="2"/>
    <x v="235"/>
    <s v="eth1/31"/>
    <x v="0"/>
    <x v="0"/>
    <x v="0"/>
    <s v="A_ITHFHWSEQLDPS03_Principal"/>
    <x v="4"/>
    <b v="0"/>
    <s v="No está en VPC"/>
    <n v="876"/>
    <s v="INTPG_ACC_876_1.31"/>
    <s v="ISEL-1.31"/>
    <n v="1"/>
    <s v="NO TIENE L3OUT"/>
    <n v="92"/>
    <n v="54"/>
  </r>
  <r>
    <n v="877"/>
    <x v="2"/>
    <x v="236"/>
    <s v="eth1/31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31"/>
    <x v="1"/>
    <x v="1"/>
    <x v="2"/>
    <s v="IXTRTC5"/>
    <x v="6"/>
    <b v="0"/>
    <s v="No está en VPC"/>
    <n v="122"/>
    <s v="INTPG_ACC_122_1.31"/>
    <s v="ISEL-1.31"/>
    <n v="1"/>
    <s v="NO TIENE L3OUT"/>
    <n v="148"/>
    <n v="96"/>
  </r>
  <r>
    <n v="157"/>
    <x v="0"/>
    <x v="238"/>
    <s v="eth1/31"/>
    <x v="0"/>
    <x v="0"/>
    <x v="0"/>
    <s v="SNA TEST BED"/>
    <x v="6"/>
    <b v="0"/>
    <s v="No está en VPC"/>
    <n v="157"/>
    <s v="INTPG_ACC_157_1.31"/>
    <s v="ISEL-1.31"/>
    <n v="0"/>
    <s v="L3OUT-SNA-IPCORP-A22"/>
    <n v="202"/>
    <n v="96"/>
  </r>
  <r>
    <n v="408"/>
    <x v="1"/>
    <x v="239"/>
    <s v="eth1/31"/>
    <x v="0"/>
    <x v="0"/>
    <x v="0"/>
    <s v="NPO101"/>
    <x v="6"/>
    <b v="0"/>
    <s v="No está en VPC"/>
    <n v="408"/>
    <s v="INTPG_ACC_408_1.31"/>
    <s v="ISEL-1.31"/>
    <n v="1"/>
    <s v="NO TIENE L3OUT"/>
    <n v="152"/>
    <n v="96"/>
  </r>
  <r>
    <n v="405"/>
    <x v="1"/>
    <x v="240"/>
    <s v="eth1/31"/>
    <x v="0"/>
    <x v="0"/>
    <x v="0"/>
    <s v="IXT_ARIESO7_LDR4"/>
    <x v="6"/>
    <b v="0"/>
    <s v="No está en VPC"/>
    <n v="405"/>
    <s v="INTPG_ACC_405_1.31"/>
    <s v="ISEL-1.31"/>
    <n v="1"/>
    <s v="NO TIENE L3OUT"/>
    <n v="138"/>
    <n v="96"/>
  </r>
  <r>
    <n v="169"/>
    <x v="0"/>
    <x v="241"/>
    <s v="eth1/31"/>
    <x v="0"/>
    <x v="0"/>
    <x v="0"/>
    <s v="CIMC_HACIA_UCS_9UCS-GEO-IXTLA-SERV2"/>
    <x v="6"/>
    <b v="0"/>
    <s v="No está en VPC"/>
    <n v="169"/>
    <s v="INTPG_ACC_169_1.31"/>
    <s v="ISEL-1.31"/>
    <n v="1"/>
    <s v="NO TIENE L3OUT"/>
    <n v="76"/>
    <n v="96"/>
  </r>
  <r>
    <n v="165"/>
    <x v="0"/>
    <x v="242"/>
    <s v="eth1/31"/>
    <x v="0"/>
    <x v="0"/>
    <x v="0"/>
    <s v="NPG_DOC"/>
    <x v="6"/>
    <b v="0"/>
    <s v="No está en VPC"/>
    <n v="165"/>
    <s v="INTPG_ACC_165_1.31"/>
    <s v="ISEL-1.31"/>
    <n v="1"/>
    <s v="NO TIENE L3OUT"/>
    <n v="86"/>
    <n v="96"/>
  </r>
  <r>
    <n v="417"/>
    <x v="1"/>
    <x v="243"/>
    <s v="eth1/31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31"/>
    <x v="0"/>
    <x v="0"/>
    <x v="0"/>
    <s v="DCX_BKP1"/>
    <x v="6"/>
    <b v="0"/>
    <s v="No está en VPC"/>
    <n v="153"/>
    <s v="INTPG_ACC_153_1.31"/>
    <s v="ISEL-1.31"/>
    <n v="1"/>
    <s v="NO TIENE L3OUT"/>
    <n v="42"/>
    <n v="96"/>
  </r>
  <r>
    <n v="119"/>
    <x v="0"/>
    <x v="245"/>
    <s v="eth1/31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31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31"/>
    <x v="0"/>
    <x v="1"/>
    <x v="1"/>
    <s v="CAMPANAS 01-02: -: -"/>
    <x v="6"/>
    <b v="0"/>
    <s v="No está en VPC"/>
    <n v="103"/>
    <s v="INTPG_ACC_103_1.31"/>
    <s v="ISEL-1.31"/>
    <n v="1"/>
    <s v="NO TIENE L3OUT"/>
    <n v="70"/>
    <n v="96"/>
  </r>
  <r>
    <n v="438"/>
    <x v="1"/>
    <x v="248"/>
    <s v="eth1/31"/>
    <x v="0"/>
    <x v="0"/>
    <x v="0"/>
    <s v="DESC"/>
    <x v="6"/>
    <b v="0"/>
    <s v="No está en VPC"/>
    <n v="438"/>
    <s v="INTPG_PC_438_1.30-35"/>
    <s v="ISEL-1.31"/>
    <n v="7"/>
    <s v="NO TIENE L3OUT"/>
    <n v="170"/>
    <n v="96"/>
  </r>
  <r>
    <n v="406"/>
    <x v="1"/>
    <x v="249"/>
    <s v="eth1/31"/>
    <x v="1"/>
    <x v="1"/>
    <x v="2"/>
    <s v="DESC"/>
    <x v="6"/>
    <b v="0"/>
    <s v="No está en VPC"/>
    <n v="406"/>
    <s v="INTPG_PC_406_1.31-34"/>
    <s v="ISEL-1.31"/>
    <n v="4"/>
    <s v="NO TIENE L3OUT"/>
    <n v="82"/>
    <n v="96"/>
  </r>
  <r>
    <n v="414"/>
    <x v="1"/>
    <x v="250"/>
    <s v="eth1/31"/>
    <x v="0"/>
    <x v="0"/>
    <x v="0"/>
    <s v="ITHMSVB2_ITH3"/>
    <x v="6"/>
    <b v="0"/>
    <s v="No está en VPC"/>
    <n v="414"/>
    <s v="INTPG_ACC_414_1.31"/>
    <s v="ISEL-1.31"/>
    <n v="1"/>
    <s v="NO TIENE L3OUT"/>
    <n v="144"/>
    <n v="96"/>
  </r>
  <r>
    <n v="416"/>
    <x v="1"/>
    <x v="251"/>
    <s v="eth1/31"/>
    <x v="0"/>
    <x v="0"/>
    <x v="0"/>
    <s v="DESC"/>
    <x v="6"/>
    <b v="0"/>
    <s v="No está en VPC"/>
    <n v="416"/>
    <s v="INTPG_PC_416_1.30-31"/>
    <s v="ISEL-1.31"/>
    <n v="1"/>
    <s v="NO TIENE L3OUT"/>
    <n v="110"/>
    <n v="96"/>
  </r>
  <r>
    <n v="418"/>
    <x v="1"/>
    <x v="252"/>
    <s v="eth1/31"/>
    <x v="0"/>
    <x v="1"/>
    <x v="1"/>
    <s v="DESC"/>
    <x v="6"/>
    <b v="0"/>
    <s v="No está en VPC"/>
    <n v="418"/>
    <s v="INTPG_PC_418_1.30-31"/>
    <s v="ISEL-1.31"/>
    <n v="1"/>
    <s v="NO TIENE L3OUT"/>
    <n v="152"/>
    <n v="96"/>
  </r>
  <r>
    <n v="413"/>
    <x v="1"/>
    <x v="253"/>
    <s v="eth1/31"/>
    <x v="0"/>
    <x v="0"/>
    <x v="0"/>
    <s v="lagidmhlapvp12_produccion1"/>
    <x v="6"/>
    <b v="0"/>
    <s v="No está en VPC"/>
    <n v="413"/>
    <s v="INTPG_VPC_411_1.36-39_413_1.29-32"/>
    <s v="ISEL-1.31"/>
    <n v="2"/>
    <s v="NO TIENE L3OUT"/>
    <n v="126"/>
    <n v="96"/>
  </r>
  <r>
    <n v="403"/>
    <x v="1"/>
    <x v="254"/>
    <s v="eth1/31"/>
    <x v="0"/>
    <x v="0"/>
    <x v="0"/>
    <s v="IXT_ARIESO7_LDR4"/>
    <x v="6"/>
    <b v="0"/>
    <s v="No está en VPC"/>
    <n v="403"/>
    <s v="INTPG_ACC_403_1.31"/>
    <s v="ISEL-1.31"/>
    <n v="1"/>
    <s v="NO TIENE L3OUT"/>
    <n v="150"/>
    <n v="96"/>
  </r>
  <r>
    <n v="125"/>
    <x v="0"/>
    <x v="255"/>
    <s v="eth1/31"/>
    <x v="0"/>
    <x v="0"/>
    <x v="0"/>
    <s v="Politicas de Navegacion"/>
    <x v="6"/>
    <b v="0"/>
    <s v="No está en VPC"/>
    <n v="125"/>
    <s v="INTPG_VPC_124_1.28-29_125_1.31-32"/>
    <s v="ISEL-1.31"/>
    <n v="5"/>
    <s v="NO TIENE L3OUT"/>
    <n v="72"/>
    <n v="96"/>
  </r>
  <r>
    <n v="166"/>
    <x v="0"/>
    <x v="256"/>
    <s v="eth1/31"/>
    <x v="0"/>
    <x v="0"/>
    <x v="0"/>
    <s v="Gestion_NPG_DOC"/>
    <x v="6"/>
    <b v="0"/>
    <s v="No está en VPC"/>
    <n v="166"/>
    <s v="INTPG_ACC_166_1.31"/>
    <s v="ISEL-1.31"/>
    <n v="1"/>
    <s v="NO TIENE L3OUT"/>
    <n v="84"/>
    <n v="96"/>
  </r>
  <r>
    <n v="111"/>
    <x v="0"/>
    <x v="257"/>
    <s v="eth1/31"/>
    <x v="0"/>
    <x v="1"/>
    <x v="1"/>
    <s v="RACKS VMTLCLAMX1"/>
    <x v="6"/>
    <b v="0"/>
    <s v="No está en VPC"/>
    <n v="111"/>
    <s v="INTPG_ACC_111_1.31"/>
    <s v="ISEL-1.31"/>
    <n v="1"/>
    <s v="NO TIENE L3OUT"/>
    <n v="58"/>
    <n v="96"/>
  </r>
  <r>
    <n v="115"/>
    <x v="0"/>
    <x v="258"/>
    <s v="eth1/31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31"/>
    <x v="0"/>
    <x v="0"/>
    <x v="0"/>
    <m/>
    <x v="6"/>
    <b v="0"/>
    <s v="No está en VPC"/>
    <n v="106"/>
    <s v="INTPG_ACC_106_1.31"/>
    <s v="ISEL-1.31"/>
    <n v="1"/>
    <s v="NO TIENE L3OUT"/>
    <n v="122"/>
    <n v="96"/>
  </r>
  <r>
    <n v="126"/>
    <x v="0"/>
    <x v="260"/>
    <s v="eth1/31"/>
    <x v="0"/>
    <x v="0"/>
    <x v="0"/>
    <s v="ENIQ"/>
    <x v="6"/>
    <b v="0"/>
    <s v="No está en VPC"/>
    <n v="126"/>
    <s v="INTPG_ACC_126_1.31"/>
    <s v="ISEL-1.31"/>
    <n v="1"/>
    <s v="NO TIENE L3OUT"/>
    <n v="54"/>
    <n v="96"/>
  </r>
  <r>
    <n v="425"/>
    <x v="1"/>
    <x v="261"/>
    <s v="eth1/31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31"/>
    <x v="0"/>
    <x v="0"/>
    <x v="0"/>
    <s v="TO-ITHEMCDD69007641DKC0-IDRAC"/>
    <x v="6"/>
    <b v="0"/>
    <s v="No está en VPC"/>
    <n v="151"/>
    <s v="INTPG_ACC_151_1.31"/>
    <s v="ISEL-1.31"/>
    <n v="1"/>
    <s v="NO TIENE L3OUT"/>
    <n v="86"/>
    <n v="96"/>
  </r>
  <r>
    <n v="430"/>
    <x v="1"/>
    <x v="263"/>
    <s v="eth1/31"/>
    <x v="0"/>
    <x v="0"/>
    <x v="0"/>
    <s v="DESC"/>
    <x v="6"/>
    <b v="0"/>
    <s v="No está en VPC"/>
    <n v="430"/>
    <s v="INTPG_PC_430_1.31-32"/>
    <s v="ISEL-1.31"/>
    <n v="1"/>
    <s v="NO TIENE L3OUT"/>
    <n v="86"/>
    <n v="96"/>
  </r>
  <r>
    <n v="419"/>
    <x v="1"/>
    <x v="264"/>
    <s v="eth1/31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31"/>
    <x v="0"/>
    <x v="0"/>
    <x v="0"/>
    <s v="RED CRICKET"/>
    <x v="6"/>
    <b v="0"/>
    <s v="No está en VPC"/>
    <n v="155"/>
    <s v="INTPG_ACC_155_1.31"/>
    <s v="ISEL-1.31"/>
    <n v="1"/>
    <s v="NO TIENE L3OUT"/>
    <n v="198"/>
    <n v="96"/>
  </r>
  <r>
    <n v="409"/>
    <x v="1"/>
    <x v="266"/>
    <s v="eth1/31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31"/>
    <x v="0"/>
    <x v="0"/>
    <x v="0"/>
    <s v="IXTSD971A"/>
    <x v="6"/>
    <b v="0"/>
    <s v="No está en VPC"/>
    <n v="422"/>
    <s v="INTPG_ACC_422_1.31"/>
    <s v="ISEL-1.31"/>
    <n v="1"/>
    <s v="NO TIENE L3OUT"/>
    <n v="182"/>
    <n v="96"/>
  </r>
  <r>
    <n v="436"/>
    <x v="1"/>
    <x v="268"/>
    <s v="eth1/31"/>
    <x v="0"/>
    <x v="0"/>
    <x v="0"/>
    <s v="TC3_ithmomce1_OA1_MGT"/>
    <x v="6"/>
    <b v="0"/>
    <s v="No está en VPC"/>
    <n v="436"/>
    <s v="INTPG_ACC_436_1.31"/>
    <s v="ISEL-1.31"/>
    <n v="1"/>
    <s v="NO TIENE L3OUT"/>
    <n v="172"/>
    <n v="96"/>
  </r>
  <r>
    <n v="410"/>
    <x v="1"/>
    <x v="269"/>
    <s v="eth1/31"/>
    <x v="0"/>
    <x v="0"/>
    <x v="0"/>
    <s v="PAPERLES_ITHFNETSW1_PTO0"/>
    <x v="6"/>
    <b v="0"/>
    <s v="No está en VPC"/>
    <n v="410"/>
    <s v="INTPG_ACC_410_1.31"/>
    <s v="ISEL-1.31"/>
    <n v="1"/>
    <s v="NO TIENE L3OUT"/>
    <n v="178"/>
    <n v="96"/>
  </r>
  <r>
    <n v="161"/>
    <x v="0"/>
    <x v="270"/>
    <s v="eth1/31"/>
    <x v="0"/>
    <x v="0"/>
    <x v="0"/>
    <s v="desc"/>
    <x v="6"/>
    <b v="0"/>
    <s v="No está en VPC"/>
    <n v="161"/>
    <s v="INTPG_VPC_161_1.31_163_1.30"/>
    <s v="ISEL-1.31"/>
    <n v="1"/>
    <s v="NO TIENE L3OUT"/>
    <n v="102"/>
    <n v="96"/>
  </r>
  <r>
    <n v="411"/>
    <x v="1"/>
    <x v="271"/>
    <s v="eth1/31"/>
    <x v="0"/>
    <x v="0"/>
    <x v="0"/>
    <s v="lagidmhlapvp10_produccion1"/>
    <x v="6"/>
    <b v="0"/>
    <s v="No está en VPC"/>
    <n v="411"/>
    <s v="INTPG_VPC_411_1.31-34_413_1.24-27"/>
    <s v="ISEL-1.31"/>
    <n v="2"/>
    <s v="NO TIENE L3OUT"/>
    <n v="96"/>
    <n v="96"/>
  </r>
  <r>
    <n v="116"/>
    <x v="0"/>
    <x v="272"/>
    <s v="eth1/31"/>
    <x v="0"/>
    <x v="0"/>
    <x v="0"/>
    <s v="INGE6"/>
    <x v="6"/>
    <b v="0"/>
    <s v="No está en VPC"/>
    <n v="116"/>
    <s v="INTPG_ACC_116_1.31"/>
    <s v="ISEL-1.31"/>
    <n v="1"/>
    <s v="NO TIENE L3OUT"/>
    <n v="148"/>
    <n v="96"/>
  </r>
  <r>
    <n v="412"/>
    <x v="1"/>
    <x v="273"/>
    <s v="eth1/31"/>
    <x v="0"/>
    <x v="0"/>
    <x v="0"/>
    <s v="FS101"/>
    <x v="6"/>
    <b v="0"/>
    <s v="No está en VPC"/>
    <n v="412"/>
    <s v="INTPG_ACC_412_1.31"/>
    <s v="ISEL-1.31"/>
    <n v="1"/>
    <s v="NO TIENE L3OUT"/>
    <n v="126"/>
    <n v="96"/>
  </r>
  <r>
    <n v="120"/>
    <x v="0"/>
    <x v="274"/>
    <s v="eth1/31"/>
    <x v="0"/>
    <x v="0"/>
    <x v="0"/>
    <s v="IXTRTC5"/>
    <x v="6"/>
    <b v="0"/>
    <s v="No está en VPC"/>
    <n v="120"/>
    <s v="INTPG_ACC_120_1.31"/>
    <s v="ISEL-1.31"/>
    <n v="1"/>
    <s v="NO TIENE L3OUT"/>
    <n v="158"/>
    <n v="96"/>
  </r>
  <r>
    <n v="404"/>
    <x v="1"/>
    <x v="275"/>
    <s v="eth1/31"/>
    <x v="0"/>
    <x v="0"/>
    <x v="0"/>
    <s v="DESC"/>
    <x v="6"/>
    <b v="0"/>
    <s v="No está en VPC"/>
    <n v="404"/>
    <s v="INTPG_PC_404_1.31-34"/>
    <s v="ISEL-1.31"/>
    <n v="4"/>
    <s v="NO TIENE L3OUT"/>
    <n v="92"/>
    <n v="96"/>
  </r>
  <r>
    <n v="167"/>
    <x v="0"/>
    <x v="276"/>
    <s v="eth1/31"/>
    <x v="0"/>
    <x v="0"/>
    <x v="0"/>
    <s v="TO-CORE_SWITCH-3-Y-4"/>
    <x v="6"/>
    <b v="0"/>
    <s v="No está en VPC"/>
    <n v="167"/>
    <s v="INTPG_VPC_167_1.30-32_169_1.21-23"/>
    <s v="ISEL-1.31"/>
    <n v="4"/>
    <s v="NO TIENE L3OUT"/>
    <n v="68"/>
    <n v="96"/>
  </r>
  <r>
    <n v="428"/>
    <x v="1"/>
    <x v="277"/>
    <s v="eth1/31"/>
    <x v="0"/>
    <x v="0"/>
    <x v="0"/>
    <s v="DESC"/>
    <x v="6"/>
    <b v="0"/>
    <s v="No está en VPC"/>
    <n v="428"/>
    <s v="INTPG_PC_428_1.31-32"/>
    <s v="ISEL-1.31"/>
    <n v="1"/>
    <s v="NO TIENE L3OUT"/>
    <n v="102"/>
    <n v="96"/>
  </r>
  <r>
    <n v="903"/>
    <x v="2"/>
    <x v="278"/>
    <s v="eth1/31"/>
    <x v="0"/>
    <x v="0"/>
    <x v="0"/>
    <s v="LINK_HACIA_RMAC"/>
    <x v="7"/>
    <b v="0"/>
    <s v="No está en VPC"/>
    <n v="903"/>
    <s v="NO EXISTE PG"/>
    <s v="NO EXISTE ISEL"/>
    <n v="0"/>
    <s v="multipod"/>
    <n v="0"/>
    <s v="SPINE"/>
  </r>
  <r>
    <n v="902"/>
    <x v="2"/>
    <x v="279"/>
    <s v="eth1/31"/>
    <x v="0"/>
    <x v="0"/>
    <x v="0"/>
    <s v="LINK_HACIA_RMAC"/>
    <x v="7"/>
    <b v="0"/>
    <s v="No está en VPC"/>
    <n v="902"/>
    <s v="NO EXISTE PG"/>
    <s v="NO EXISTE ISEL"/>
    <n v="0"/>
    <s v="multipod"/>
    <n v="0"/>
    <s v="SPINE"/>
  </r>
  <r>
    <n v="128"/>
    <x v="0"/>
    <x v="0"/>
    <s v="eth1/32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32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32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32"/>
    <x v="0"/>
    <x v="0"/>
    <x v="0"/>
    <s v="TO-ITHEMCDD94009668"/>
    <x v="0"/>
    <b v="0"/>
    <s v="No está en VPC"/>
    <n v="101"/>
    <s v="INTPG_VPC_101_1.31-32_150_1.32"/>
    <s v="ISEL-1.32"/>
    <n v="1"/>
    <s v="NO TIENE L3OUT"/>
    <n v="114"/>
    <n v="54"/>
  </r>
  <r>
    <n v="160"/>
    <x v="0"/>
    <x v="4"/>
    <s v="eth1/32"/>
    <x v="0"/>
    <x v="1"/>
    <x v="1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32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32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32"/>
    <x v="0"/>
    <x v="0"/>
    <x v="0"/>
    <s v="TO-ithfdlroamrap01"/>
    <x v="0"/>
    <b v="0"/>
    <s v="No está en VPC"/>
    <n v="401"/>
    <s v="INTPG_VPC_401_1.31-32_402_1.31-32"/>
    <s v="ISEL-1.32"/>
    <n v="1"/>
    <s v="NO TIENE L3OUT"/>
    <n v="40"/>
    <n v="54"/>
  </r>
  <r>
    <n v="402"/>
    <x v="1"/>
    <x v="8"/>
    <s v="eth1/32"/>
    <x v="0"/>
    <x v="0"/>
    <x v="0"/>
    <s v="TO-ithfdlroamrap01"/>
    <x v="0"/>
    <b v="0"/>
    <s v="No está en VPC"/>
    <n v="402"/>
    <s v="INTPG_VPC_401_1.31-32_402_1.31-32"/>
    <s v="ISEL-1.32"/>
    <n v="1"/>
    <s v="NO TIENE L3OUT"/>
    <n v="36"/>
    <n v="54"/>
  </r>
  <r>
    <n v="447"/>
    <x v="1"/>
    <x v="9"/>
    <s v="eth1/32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32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32"/>
    <x v="0"/>
    <x v="0"/>
    <x v="0"/>
    <s v="LAG-smt-comp-06"/>
    <x v="0"/>
    <b v="0"/>
    <s v="No está en VPC"/>
    <n v="130"/>
    <s v="INTPG_VPC_130_1.31-32_131_1.31-32"/>
    <s v="ISEL-1.32"/>
    <n v="4"/>
    <s v="NO TIENE L3OUT"/>
    <n v="128"/>
    <n v="54"/>
  </r>
  <r>
    <n v="150"/>
    <x v="0"/>
    <x v="12"/>
    <s v="eth1/32"/>
    <x v="0"/>
    <x v="0"/>
    <x v="0"/>
    <s v="TO-ITHEMCDD94009668"/>
    <x v="0"/>
    <b v="0"/>
    <s v="No está en VPC"/>
    <n v="150"/>
    <s v="INTPG_VPC_101_1.31-32_150_1.32"/>
    <s v="ISEL-1.32"/>
    <n v="1"/>
    <s v="NO TIENE L3OUT"/>
    <n v="118"/>
    <n v="54"/>
  </r>
  <r>
    <n v="131"/>
    <x v="0"/>
    <x v="13"/>
    <s v="eth1/32"/>
    <x v="0"/>
    <x v="0"/>
    <x v="0"/>
    <s v="LAG-smt-comp-06"/>
    <x v="0"/>
    <b v="0"/>
    <s v="No está en VPC"/>
    <n v="131"/>
    <s v="INTPG_VPC_130_1.31-32_131_1.31-32"/>
    <s v="ISEL-1.32"/>
    <n v="4"/>
    <s v="NO TIENE L3OUT"/>
    <n v="126"/>
    <n v="54"/>
  </r>
  <r>
    <n v="303"/>
    <x v="0"/>
    <x v="14"/>
    <s v="eth1/32"/>
    <x v="0"/>
    <x v="1"/>
    <x v="3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32"/>
    <x v="0"/>
    <x v="1"/>
    <x v="3"/>
    <m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32"/>
    <x v="1"/>
    <x v="1"/>
    <x v="3"/>
    <m/>
    <x v="2"/>
    <b v="0"/>
    <s v="No está en VPC"/>
    <n v="759"/>
    <s v="NO EXISTE PG"/>
    <s v="NO EXISTE ISEL"/>
    <n v="0"/>
    <s v="NO TIENE L3OUT"/>
    <n v="0"/>
    <n v="42"/>
  </r>
  <r>
    <n v="302"/>
    <x v="0"/>
    <x v="17"/>
    <s v="eth1/32"/>
    <x v="0"/>
    <x v="1"/>
    <x v="3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32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32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32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32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32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32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32"/>
    <x v="0"/>
    <x v="1"/>
    <x v="3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32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32"/>
    <x v="0"/>
    <x v="0"/>
    <x v="0"/>
    <s v="TO-DD8139PC2"/>
    <x v="0"/>
    <b v="0"/>
    <s v="No está en VPC"/>
    <n v="431"/>
    <s v="INTPG_VPC_431_1.32_448_1.32"/>
    <s v="ISEL-1.32"/>
    <n v="1"/>
    <s v="NO TIENE L3OUT"/>
    <n v="46"/>
    <n v="54"/>
  </r>
  <r>
    <n v="433"/>
    <x v="1"/>
    <x v="27"/>
    <s v="eth1/32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32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32"/>
    <x v="0"/>
    <x v="0"/>
    <x v="0"/>
    <s v="TO-ITHFDLMCLWLCN04-Principal"/>
    <x v="1"/>
    <b v="0"/>
    <s v="No está en VPC"/>
    <n v="432"/>
    <s v="INTPG_ACC_432_1.32"/>
    <s v="ISEL-1.32"/>
    <n v="1"/>
    <s v="NO TIENE L3OUT"/>
    <n v="54"/>
    <n v="54"/>
  </r>
  <r>
    <n v="442"/>
    <x v="1"/>
    <x v="30"/>
    <s v="eth1/32"/>
    <x v="0"/>
    <x v="0"/>
    <x v="0"/>
    <s v="bmc_ithhwc3b2288h4_SECUNDARIO"/>
    <x v="1"/>
    <b v="0"/>
    <s v="No está en VPC"/>
    <n v="442"/>
    <s v="INTPG_ACC_442_1.32"/>
    <s v="ISEL-1.32"/>
    <n v="1"/>
    <s v="NO TIENE L3OUT"/>
    <n v="18"/>
    <n v="54"/>
  </r>
  <r>
    <n v="434"/>
    <x v="1"/>
    <x v="31"/>
    <s v="eth1/32"/>
    <x v="0"/>
    <x v="0"/>
    <x v="0"/>
    <s v="TO-ITHFDESPBORBD01-PRINCIPAL"/>
    <x v="1"/>
    <b v="0"/>
    <s v="No está en VPC"/>
    <n v="434"/>
    <s v="INTPG_ACC_434_1.32"/>
    <s v="ISEL-1.32"/>
    <n v="1"/>
    <s v="NO TIENE L3OUT"/>
    <n v="34"/>
    <n v="54"/>
  </r>
  <r>
    <n v="707"/>
    <x v="2"/>
    <x v="32"/>
    <s v="eth1/32"/>
    <x v="0"/>
    <x v="1"/>
    <x v="3"/>
    <s v="CEM_HADOOP"/>
    <x v="0"/>
    <b v="0"/>
    <s v="No está en VPC"/>
    <n v="707"/>
    <s v="INTPG_ACC_707_1.32"/>
    <s v="ISEL-1.32"/>
    <n v="1"/>
    <s v="NO TIENE L3OUT"/>
    <n v="54"/>
    <n v="54"/>
  </r>
  <r>
    <n v="712"/>
    <x v="2"/>
    <x v="33"/>
    <s v="eth1/32"/>
    <x v="1"/>
    <x v="1"/>
    <x v="3"/>
    <s v="CEM:ITHCEMA2ADT16:LOM  P2"/>
    <x v="0"/>
    <b v="0"/>
    <s v="No está en VPC"/>
    <n v="712"/>
    <s v="INTPG_VPC_713_1.31_712_1.32"/>
    <s v="ISEL-1.32"/>
    <n v="0"/>
    <s v="NO TIENE L3OUT"/>
    <n v="32"/>
    <n v="54"/>
  </r>
  <r>
    <n v="719"/>
    <x v="2"/>
    <x v="34"/>
    <s v="eth1/32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32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32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32"/>
    <x v="0"/>
    <x v="1"/>
    <x v="5"/>
    <s v="CEM:ITHCEMD2ANN16:LOM  P2"/>
    <x v="0"/>
    <b v="0"/>
    <s v="No está en VPC"/>
    <n v="711"/>
    <s v="INTPG_VPC_710_1.31_711_1.32"/>
    <s v="ISEL-1.32"/>
    <n v="1"/>
    <s v="NO TIENE L3OUT"/>
    <n v="16"/>
    <n v="54"/>
  </r>
  <r>
    <n v="716"/>
    <x v="2"/>
    <x v="38"/>
    <s v="eth1/32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32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32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32"/>
    <x v="1"/>
    <x v="1"/>
    <x v="2"/>
    <m/>
    <x v="0"/>
    <b v="0"/>
    <s v="No está en VPC"/>
    <n v="446"/>
    <s v="NO EXISTE PG"/>
    <s v="NO EXISTE ISEL"/>
    <n v="0"/>
    <s v="NO TIENE L3OUT"/>
    <n v="198"/>
    <n v="54"/>
  </r>
  <r>
    <n v="444"/>
    <x v="1"/>
    <x v="42"/>
    <s v="eth1/32"/>
    <x v="0"/>
    <x v="0"/>
    <x v="0"/>
    <m/>
    <x v="0"/>
    <b v="0"/>
    <s v="No está en VPC"/>
    <n v="444"/>
    <s v="INTPG_ACC_444_1.32"/>
    <s v="ISEL-1.32"/>
    <n v="9"/>
    <s v="NO TIENE L3OUT"/>
    <n v="234"/>
    <n v="54"/>
  </r>
  <r>
    <n v="701"/>
    <x v="2"/>
    <x v="43"/>
    <s v="eth1/32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32"/>
    <x v="0"/>
    <x v="0"/>
    <x v="0"/>
    <s v="bmc_ithhwc3b2288h3_PRINCIPAL"/>
    <x v="1"/>
    <b v="0"/>
    <s v="No está en VPC"/>
    <n v="440"/>
    <s v="INTPG_ACC_440_1.32"/>
    <s v="ISEL-1.32"/>
    <n v="1"/>
    <s v="NO TIENE L3OUT"/>
    <n v="22"/>
    <n v="54"/>
  </r>
  <r>
    <n v="448"/>
    <x v="1"/>
    <x v="45"/>
    <s v="eth1/32"/>
    <x v="0"/>
    <x v="0"/>
    <x v="0"/>
    <s v="TO-DD8139PC2"/>
    <x v="0"/>
    <b v="0"/>
    <s v="No está en VPC"/>
    <n v="448"/>
    <s v="INTPG_VPC_431_1.32_448_1.32"/>
    <s v="ISEL-1.32"/>
    <n v="1"/>
    <s v="NO TIENE L3OUT"/>
    <n v="46"/>
    <n v="54"/>
  </r>
  <r>
    <n v="704"/>
    <x v="2"/>
    <x v="46"/>
    <s v="eth1/32"/>
    <x v="1"/>
    <x v="1"/>
    <x v="3"/>
    <m/>
    <x v="0"/>
    <b v="0"/>
    <s v="No está en VPC"/>
    <n v="704"/>
    <s v="INTPG_VPC_706_1.31_705_1.32"/>
    <s v="ISEL-1.32"/>
    <n v="1"/>
    <s v="NO TIENE L3OUT"/>
    <n v="0"/>
    <n v="54"/>
  </r>
  <r>
    <n v="729"/>
    <x v="2"/>
    <x v="47"/>
    <s v="eth1/32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32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32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603"/>
    <x v="1"/>
    <x v="50"/>
    <s v="eth1/32"/>
    <x v="0"/>
    <x v="1"/>
    <x v="3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32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32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32"/>
    <x v="0"/>
    <x v="0"/>
    <x v="0"/>
    <s v="Server_Pre-R02-RH2288-07"/>
    <x v="0"/>
    <b v="0"/>
    <s v="No está en VPC"/>
    <n v="730"/>
    <s v="INTPG_ACC_730_1.32"/>
    <s v="ISEL-1.32"/>
    <n v="1"/>
    <s v="NO TIENE L3OUT"/>
    <n v="36"/>
    <n v="54"/>
  </r>
  <r>
    <n v="722"/>
    <x v="2"/>
    <x v="54"/>
    <s v="eth1/32"/>
    <x v="0"/>
    <x v="0"/>
    <x v="0"/>
    <s v="DESC"/>
    <x v="0"/>
    <b v="0"/>
    <s v="No está en VPC"/>
    <n v="722"/>
    <s v="INTPG_PC_722_1.31-32"/>
    <s v="ISEL-1.32"/>
    <n v="0"/>
    <s v="L3OUT-HCS-OPER-TELCEL-IPCORP"/>
    <n v="0"/>
    <n v="54"/>
  </r>
  <r>
    <n v="733"/>
    <x v="2"/>
    <x v="55"/>
    <s v="eth1/32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32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32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32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32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32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32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32"/>
    <x v="0"/>
    <x v="0"/>
    <x v="0"/>
    <s v="CEM:ITHCEMB2ADT16:SLOT1 P1"/>
    <x v="5"/>
    <b v="0"/>
    <s v="No está en VPC"/>
    <n v="742"/>
    <s v="INTPG_ACC_742_1.32"/>
    <s v="ISEL-1.32"/>
    <n v="1"/>
    <s v="NO TIENE L3OUT"/>
    <n v="64"/>
    <n v="54"/>
  </r>
  <r>
    <n v="763"/>
    <x v="2"/>
    <x v="63"/>
    <s v="eth1/32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32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32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32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32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32"/>
    <x v="0"/>
    <x v="0"/>
    <x v="0"/>
    <s v="CLOUD OPS:ithhwcop01en01:4E P2"/>
    <x v="0"/>
    <b v="0"/>
    <s v="No está en VPC"/>
    <n v="778"/>
    <s v="INTPG_VPC_778_1.25-26_31-32_779_1.25-26_31-32"/>
    <s v="ISEL-1.32"/>
    <n v="24"/>
    <s v="NO TIENE L3OUT"/>
    <n v="26"/>
    <n v="54"/>
  </r>
  <r>
    <n v="780"/>
    <x v="2"/>
    <x v="69"/>
    <s v="eth1/32"/>
    <x v="0"/>
    <x v="0"/>
    <x v="0"/>
    <s v="CLOUD OPS:ithhwcop02en02:3X P1"/>
    <x v="0"/>
    <b v="0"/>
    <s v="No está en VPC"/>
    <n v="780"/>
    <s v="INTPG_VPC_780_1.30-33_781_1.30-33"/>
    <s v="ISEL-1.32"/>
    <n v="23"/>
    <s v="NO TIENE L3OUT"/>
    <n v="26"/>
    <n v="54"/>
  </r>
  <r>
    <n v="812"/>
    <x v="2"/>
    <x v="70"/>
    <s v="eth1/32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32"/>
    <x v="0"/>
    <x v="1"/>
    <x v="3"/>
    <s v="TO-ITHFHWDCIMLAP03-Redundante"/>
    <x v="0"/>
    <b v="0"/>
    <s v="No está en VPC"/>
    <n v="796"/>
    <s v="INTPG_ACC_796_1.32"/>
    <s v="ISEL-1.32"/>
    <n v="1"/>
    <s v="NO TIENE L3OUT"/>
    <n v="18"/>
    <n v="54"/>
  </r>
  <r>
    <n v="795"/>
    <x v="2"/>
    <x v="72"/>
    <s v="eth1/32"/>
    <x v="0"/>
    <x v="0"/>
    <x v="0"/>
    <s v="TO-ITHFHWDCIMLAP03-Principal"/>
    <x v="0"/>
    <b v="0"/>
    <s v="No está en VPC"/>
    <n v="795"/>
    <s v="INTPG_ACC_795_1.32"/>
    <s v="ISEL-1.32"/>
    <n v="1"/>
    <s v="NO TIENE L3OUT"/>
    <n v="18"/>
    <n v="54"/>
  </r>
  <r>
    <n v="749"/>
    <x v="2"/>
    <x v="73"/>
    <s v="eth1/32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32"/>
    <x v="0"/>
    <x v="0"/>
    <x v="0"/>
    <s v="LINK_TO_ITHFHWCMVWPMA16 /Slot7.2 /Redundante"/>
    <x v="0"/>
    <b v="0"/>
    <s v="No está en VPC"/>
    <n v="824"/>
    <s v="INTPG_ACC_824_1.32"/>
    <s v="ISEL-1.32"/>
    <n v="1"/>
    <s v="NO TIENE L3OUT"/>
    <n v="70"/>
    <n v="54"/>
  </r>
  <r>
    <n v="819"/>
    <x v="2"/>
    <x v="75"/>
    <s v="eth1/32"/>
    <x v="0"/>
    <x v="0"/>
    <x v="0"/>
    <s v="LINK_TO_ITHFHWCMVWPMA16 /Slot5.2 /Principal"/>
    <x v="0"/>
    <b v="0"/>
    <s v="No está en VPC"/>
    <n v="819"/>
    <s v="INTPG_ACC_819_1.32"/>
    <s v="ISEL-1.32"/>
    <n v="1"/>
    <s v="NO TIENE L3OUT"/>
    <n v="70"/>
    <n v="54"/>
  </r>
  <r>
    <n v="737"/>
    <x v="2"/>
    <x v="76"/>
    <s v="eth1/32"/>
    <x v="0"/>
    <x v="0"/>
    <x v="0"/>
    <s v="CEM:ITHCEME2ANN16:SLOT1 P1"/>
    <x v="5"/>
    <b v="0"/>
    <s v="No está en VPC"/>
    <n v="737"/>
    <s v="INTPG_ACC_737_1.32"/>
    <s v="ISEL-1.32"/>
    <n v="1"/>
    <s v="NO TIENE L3OUT"/>
    <n v="72"/>
    <n v="54"/>
  </r>
  <r>
    <n v="844"/>
    <x v="2"/>
    <x v="77"/>
    <s v="eth1/32"/>
    <x v="0"/>
    <x v="0"/>
    <x v="0"/>
    <s v="LINK_TO_ITHFHWCRMPLCN111 / Slot1.2_26 / Principal"/>
    <x v="0"/>
    <b v="0"/>
    <s v="No está en VPC"/>
    <n v="844"/>
    <s v="INTPG_ACC_844_1.32"/>
    <s v="ISEL-1.32"/>
    <n v="2"/>
    <s v="NO TIENE L3OUT"/>
    <n v="282"/>
    <n v="54"/>
  </r>
  <r>
    <n v="843"/>
    <x v="2"/>
    <x v="78"/>
    <s v="eth1/32"/>
    <x v="0"/>
    <x v="0"/>
    <x v="0"/>
    <s v="LINK_To_ITHHWD6KV65100012DKC01 / CTMB_IOM0.P1_34 / Redundante"/>
    <x v="0"/>
    <b v="0"/>
    <s v="No está en VPC"/>
    <n v="843"/>
    <s v="INTPG_ACC_843_1.32"/>
    <s v="ISEL-1.32"/>
    <n v="1"/>
    <s v="NO TIENE L3OUT"/>
    <n v="38"/>
    <n v="54"/>
  </r>
  <r>
    <n v="797"/>
    <x v="2"/>
    <x v="79"/>
    <s v="eth1/32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32"/>
    <x v="0"/>
    <x v="0"/>
    <x v="0"/>
    <s v="LINK_TO_ITHFHWCBSPSHD40 / Slot7.2_18 / Redundante"/>
    <x v="0"/>
    <b v="0"/>
    <s v="No está en VPC"/>
    <n v="839"/>
    <s v="INTPG_VPC_834_1.32_839_1.32"/>
    <s v="ISEL-1.32"/>
    <n v="2"/>
    <s v="NO TIENE L3OUT"/>
    <n v="0"/>
    <n v="54"/>
  </r>
  <r>
    <n v="847"/>
    <x v="2"/>
    <x v="81"/>
    <s v="eth1/32"/>
    <x v="0"/>
    <x v="0"/>
    <x v="0"/>
    <s v="LINK_TO_ITHFHWCRMPLCN176 / Slot7.1_22 / Redundante"/>
    <x v="0"/>
    <b v="0"/>
    <s v="No está en VPC"/>
    <n v="847"/>
    <s v="INTPG_ACC_847_1.32"/>
    <s v="ISEL-1.32"/>
    <n v="6"/>
    <s v="NO TIENE L3OUT"/>
    <n v="204"/>
    <n v="54"/>
  </r>
  <r>
    <n v="848"/>
    <x v="2"/>
    <x v="82"/>
    <s v="eth1/32"/>
    <x v="0"/>
    <x v="0"/>
    <x v="0"/>
    <s v="LINK_TO_ITHFHWCRMPLCN165 / Slot7.1_32 / Redundante"/>
    <x v="0"/>
    <b v="0"/>
    <s v="No está en VPC"/>
    <n v="848"/>
    <s v="INTPG_ACC_848_1.32"/>
    <s v="ISEL-1.32"/>
    <n v="6"/>
    <s v="NO TIENE L3OUT"/>
    <n v="254"/>
    <n v="54"/>
  </r>
  <r>
    <n v="846"/>
    <x v="2"/>
    <x v="83"/>
    <s v="eth1/32"/>
    <x v="0"/>
    <x v="0"/>
    <x v="0"/>
    <s v="LINK_TO_ITHFHWCRMPLCN82 / Slot1.2_22 / Principal"/>
    <x v="0"/>
    <b v="0"/>
    <s v="No está en VPC"/>
    <n v="846"/>
    <s v="INTPG_ACC_846_1.32"/>
    <s v="ISEL-1.32"/>
    <n v="2"/>
    <s v="NO TIENE L3OUT"/>
    <n v="242"/>
    <n v="54"/>
  </r>
  <r>
    <n v="838"/>
    <x v="2"/>
    <x v="84"/>
    <s v="eth1/32"/>
    <x v="0"/>
    <x v="0"/>
    <x v="0"/>
    <s v="LINK_To_ITHHWD6KV65100012DKC01 / CTMB_IOM0.P0_34 / Principal"/>
    <x v="0"/>
    <b v="0"/>
    <s v="No está en VPC"/>
    <n v="838"/>
    <s v="INTPG_ACC_838_1.32"/>
    <s v="ISEL-1.32"/>
    <n v="1"/>
    <s v="NO TIENE L3OUT"/>
    <n v="38"/>
    <n v="54"/>
  </r>
  <r>
    <n v="849"/>
    <x v="2"/>
    <x v="85"/>
    <s v="eth1/32"/>
    <x v="0"/>
    <x v="0"/>
    <x v="0"/>
    <s v="LINK_TO_ITHFHWCRMPLCN145 / Slot7.1_24 / Redundante"/>
    <x v="0"/>
    <b v="0"/>
    <s v="No está en VPC"/>
    <n v="849"/>
    <s v="INTPG_ACC_849_1.32"/>
    <s v="ISEL-1.32"/>
    <n v="6"/>
    <s v="NO TIENE L3OUT"/>
    <n v="286"/>
    <n v="54"/>
  </r>
  <r>
    <n v="845"/>
    <x v="2"/>
    <x v="86"/>
    <s v="eth1/32"/>
    <x v="0"/>
    <x v="0"/>
    <x v="0"/>
    <s v="LINK_TO_ITHFHWCRMPLCN94 / Slot1.3_20 / Principal"/>
    <x v="0"/>
    <b v="0"/>
    <s v="No está en VPC"/>
    <n v="845"/>
    <s v="INTPG_ACC_845_1.32"/>
    <s v="ISEL-1.32"/>
    <n v="1"/>
    <s v="NO TIENE L3OUT"/>
    <n v="258"/>
    <n v="54"/>
  </r>
  <r>
    <n v="873"/>
    <x v="2"/>
    <x v="87"/>
    <s v="eth1/32"/>
    <x v="0"/>
    <x v="0"/>
    <x v="0"/>
    <s v="To_VPC_2DCRMD_SBD07_3"/>
    <x v="0"/>
    <b v="0"/>
    <s v="No está en VPC"/>
    <n v="873"/>
    <s v="INTPG_VPC_870_1.32_873_1.32"/>
    <s v="ISEL-1.32"/>
    <n v="1"/>
    <s v="NO TIENE L3OUT"/>
    <n v="248"/>
    <n v="54"/>
  </r>
  <r>
    <n v="864"/>
    <x v="2"/>
    <x v="88"/>
    <s v="eth1/32"/>
    <x v="0"/>
    <x v="0"/>
    <x v="0"/>
    <s v="To_VPC_2DCBSD_WR46_2"/>
    <x v="0"/>
    <b v="0"/>
    <s v="No está en VPC"/>
    <n v="864"/>
    <s v="INTPG_VPC_859_1.32_864_1.32"/>
    <s v="ISEL-1.32"/>
    <n v="1"/>
    <s v="NO TIENE L3OUT"/>
    <n v="0"/>
    <n v="54"/>
  </r>
  <r>
    <n v="836"/>
    <x v="2"/>
    <x v="89"/>
    <s v="eth1/32"/>
    <x v="0"/>
    <x v="0"/>
    <x v="0"/>
    <s v="LINK_TO_ITHFHWCBSPSHD25 / Slot1.1_14 / Principal"/>
    <x v="0"/>
    <b v="0"/>
    <s v="No está en VPC"/>
    <n v="836"/>
    <s v="INTPG_VPC_836_1.32_841_1.32"/>
    <s v="ISEL-1.32"/>
    <n v="2"/>
    <s v="NO TIENE L3OUT"/>
    <n v="0"/>
    <n v="54"/>
  </r>
  <r>
    <n v="834"/>
    <x v="2"/>
    <x v="90"/>
    <s v="eth1/32"/>
    <x v="0"/>
    <x v="0"/>
    <x v="0"/>
    <s v="LINK_TO_ITHFHWCBSPSHD40 / Slot1.2_18 / Principal"/>
    <x v="0"/>
    <b v="0"/>
    <s v="No está en VPC"/>
    <n v="834"/>
    <s v="INTPG_VPC_834_1.32_839_1.32"/>
    <s v="ISEL-1.32"/>
    <n v="2"/>
    <s v="NO TIENE L3OUT"/>
    <n v="0"/>
    <n v="54"/>
  </r>
  <r>
    <n v="872"/>
    <x v="2"/>
    <x v="91"/>
    <s v="eth1/32"/>
    <x v="0"/>
    <x v="0"/>
    <x v="0"/>
    <s v="To_ITHFHWCRMDLCN79_Principal"/>
    <x v="0"/>
    <b v="0"/>
    <s v="No está en VPC"/>
    <n v="872"/>
    <s v="INTPG_ACC_872_1.32"/>
    <s v="ISEL-1.32"/>
    <n v="1"/>
    <s v="NO TIENE L3OUT"/>
    <n v="288"/>
    <n v="54"/>
  </r>
  <r>
    <n v="842"/>
    <x v="2"/>
    <x v="92"/>
    <s v="eth1/32"/>
    <x v="0"/>
    <x v="0"/>
    <x v="0"/>
    <s v="LINK_TO_ITHHWD6KV65100009DKC01 / CTMB_IOM1.P1_34 / Redundante"/>
    <x v="0"/>
    <b v="0"/>
    <s v="No está en VPC"/>
    <n v="842"/>
    <s v="INTPG_ACC_842_1.32"/>
    <s v="ISEL-1.32"/>
    <n v="1"/>
    <s v="NO TIENE L3OUT"/>
    <n v="8"/>
    <n v="54"/>
  </r>
  <r>
    <n v="828"/>
    <x v="2"/>
    <x v="93"/>
    <s v="eth1/32"/>
    <x v="0"/>
    <x v="0"/>
    <x v="0"/>
    <s v="LINK_TO_ITHFHWCRMDLCN26 /Slot5.2 /Principal"/>
    <x v="0"/>
    <b v="0"/>
    <s v="No está en VPC"/>
    <n v="828"/>
    <s v="INTPG_ACC_828_1.32"/>
    <s v="ISEL-1.32"/>
    <n v="5"/>
    <s v="NO TIENE L3OUT"/>
    <n v="192"/>
    <n v="54"/>
  </r>
  <r>
    <n v="870"/>
    <x v="2"/>
    <x v="94"/>
    <s v="eth1/32"/>
    <x v="0"/>
    <x v="0"/>
    <x v="0"/>
    <s v="To_VPC_2DCRMD_SBD07_3"/>
    <x v="0"/>
    <b v="0"/>
    <s v="No está en VPC"/>
    <n v="870"/>
    <s v="INTPG_VPC_870_1.32_873_1.32"/>
    <s v="ISEL-1.32"/>
    <n v="1"/>
    <s v="NO TIENE L3OUT"/>
    <n v="248"/>
    <n v="54"/>
  </r>
  <r>
    <n v="866"/>
    <x v="2"/>
    <x v="95"/>
    <s v="eth1/32"/>
    <x v="0"/>
    <x v="0"/>
    <x v="0"/>
    <s v="To_VPC_2DCBSD_BD13_1"/>
    <x v="0"/>
    <b v="0"/>
    <s v="No está en VPC"/>
    <n v="866"/>
    <s v="INTPG_VPC_861_1.32_866_1.32"/>
    <s v="ISEL-1.32"/>
    <n v="2"/>
    <s v="NO TIENE L3OUT"/>
    <n v="8"/>
    <n v="54"/>
  </r>
  <r>
    <n v="862"/>
    <x v="2"/>
    <x v="96"/>
    <s v="eth1/32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32"/>
    <x v="0"/>
    <x v="0"/>
    <x v="0"/>
    <s v="LINK_TO_ITHFHWCRMPLCN165 / Slot1.1_32 / Principal"/>
    <x v="0"/>
    <b v="0"/>
    <s v="No está en VPC"/>
    <n v="855"/>
    <s v="INTPG_ACC_855_1.32"/>
    <s v="ISEL-1.32"/>
    <n v="6"/>
    <s v="NO TIENE L3OUT"/>
    <n v="254"/>
    <n v="54"/>
  </r>
  <r>
    <n v="871"/>
    <x v="2"/>
    <x v="98"/>
    <s v="eth1/32"/>
    <x v="0"/>
    <x v="0"/>
    <x v="0"/>
    <s v="To_ITHFHWCRMDLCN64_Principal"/>
    <x v="0"/>
    <b v="0"/>
    <s v="No está en VPC"/>
    <n v="871"/>
    <s v="INTPG_ACC_871_1.32"/>
    <s v="ISEL-1.32"/>
    <n v="2"/>
    <s v="NO TIENE L3OUT"/>
    <n v="246"/>
    <n v="54"/>
  </r>
  <r>
    <n v="841"/>
    <x v="2"/>
    <x v="99"/>
    <s v="eth1/32"/>
    <x v="0"/>
    <x v="0"/>
    <x v="0"/>
    <s v="LINK_TO_ITHFHWCBSPSHD25 / Slot7.1_14 / Redundante"/>
    <x v="0"/>
    <b v="0"/>
    <s v="No está en VPC"/>
    <n v="841"/>
    <s v="INTPG_VPC_836_1.32_841_1.32"/>
    <s v="ISEL-1.32"/>
    <n v="2"/>
    <s v="NO TIENE L3OUT"/>
    <n v="0"/>
    <n v="54"/>
  </r>
  <r>
    <n v="868"/>
    <x v="2"/>
    <x v="100"/>
    <s v="eth1/32"/>
    <x v="0"/>
    <x v="0"/>
    <x v="0"/>
    <s v="To_ITHFHWCRMDLCN64_Redundante"/>
    <x v="0"/>
    <b v="0"/>
    <s v="No está en VPC"/>
    <n v="868"/>
    <s v="INTPG_ACC_868_1.32"/>
    <s v="ISEL-1.32"/>
    <n v="2"/>
    <s v="NO TIENE L3OUT"/>
    <n v="246"/>
    <n v="54"/>
  </r>
  <r>
    <n v="869"/>
    <x v="2"/>
    <x v="101"/>
    <s v="eth1/32"/>
    <x v="0"/>
    <x v="0"/>
    <x v="0"/>
    <s v="To_ITHFHWCRMDLCN79_Redundante"/>
    <x v="0"/>
    <b v="0"/>
    <s v="No está en VPC"/>
    <n v="869"/>
    <s v="INTPG_ACC_869_1.32"/>
    <s v="ISEL-1.32"/>
    <n v="1"/>
    <s v="NO TIENE L3OUT"/>
    <n v="288"/>
    <n v="54"/>
  </r>
  <r>
    <n v="861"/>
    <x v="2"/>
    <x v="102"/>
    <s v="eth1/32"/>
    <x v="0"/>
    <x v="0"/>
    <x v="0"/>
    <s v="To_VPC_2DCBSD_BD13_1"/>
    <x v="0"/>
    <b v="0"/>
    <s v="No está en VPC"/>
    <n v="861"/>
    <s v="INTPG_VPC_861_1.32_866_1.32"/>
    <s v="ISEL-1.32"/>
    <n v="2"/>
    <s v="NO TIENE L3OUT"/>
    <n v="8"/>
    <n v="54"/>
  </r>
  <r>
    <n v="874"/>
    <x v="2"/>
    <x v="103"/>
    <s v="eth1/32"/>
    <x v="0"/>
    <x v="0"/>
    <x v="0"/>
    <s v="A_ITHFHWSEQLDPS04_Redundante"/>
    <x v="4"/>
    <b v="0"/>
    <s v="No está en VPC"/>
    <n v="874"/>
    <s v="INTPG_ACC_874_1.32"/>
    <s v="ISEL-1.32"/>
    <n v="1"/>
    <s v="NO TIENE L3OUT"/>
    <n v="92"/>
    <n v="54"/>
  </r>
  <r>
    <n v="865"/>
    <x v="2"/>
    <x v="104"/>
    <s v="eth1/32"/>
    <x v="0"/>
    <x v="0"/>
    <x v="0"/>
    <s v="To_VPC_2DCBSD_BD17_2"/>
    <x v="0"/>
    <b v="0"/>
    <s v="No está en VPC"/>
    <n v="865"/>
    <s v="INTPG_VPC_860_1.32_865_1.32"/>
    <s v="ISEL-1.32"/>
    <n v="1"/>
    <s v="NO TIENE L3OUT"/>
    <n v="0"/>
    <n v="54"/>
  </r>
  <r>
    <n v="753"/>
    <x v="2"/>
    <x v="105"/>
    <s v="eth1/32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32"/>
    <x v="0"/>
    <x v="1"/>
    <x v="5"/>
    <s v="CEM:ITHCEME2ANN16:LOM  P2"/>
    <x v="0"/>
    <b v="0"/>
    <s v="No está en VPC"/>
    <n v="708"/>
    <s v="INTPG_VPC_708_1.32_709_1.31"/>
    <s v="ISEL-1.32"/>
    <n v="1"/>
    <s v="NO TIENE L3OUT"/>
    <n v="0"/>
    <n v="54"/>
  </r>
  <r>
    <n v="710"/>
    <x v="2"/>
    <x v="107"/>
    <s v="eth1/32"/>
    <x v="0"/>
    <x v="1"/>
    <x v="5"/>
    <s v="CEM:ITHCEMC2AHN16:LOM  P2"/>
    <x v="0"/>
    <b v="0"/>
    <s v="No está en VPC"/>
    <n v="710"/>
    <s v="INTPG_VPC_710_1.32_711_1.31"/>
    <s v="ISEL-1.32"/>
    <n v="1"/>
    <s v="NO TIENE L3OUT"/>
    <n v="16"/>
    <n v="54"/>
  </r>
  <r>
    <n v="713"/>
    <x v="2"/>
    <x v="108"/>
    <s v="eth1/32"/>
    <x v="0"/>
    <x v="1"/>
    <x v="5"/>
    <s v="CEM:ITHCEMB2ADT16:LOM  P2"/>
    <x v="0"/>
    <b v="0"/>
    <s v="No está en VPC"/>
    <n v="713"/>
    <s v="INTPG_VPC_712_1.31_713_1.32"/>
    <s v="ISEL-1.32"/>
    <n v="1"/>
    <s v="NO TIENE L3OUT"/>
    <n v="32"/>
    <n v="54"/>
  </r>
  <r>
    <n v="735"/>
    <x v="2"/>
    <x v="109"/>
    <s v="eth1/32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32"/>
    <x v="0"/>
    <x v="0"/>
    <x v="0"/>
    <s v="Server_Pre-R02-RH2288-07"/>
    <x v="0"/>
    <b v="0"/>
    <s v="No está en VPC"/>
    <n v="731"/>
    <s v="INTPG_ACC_731_1.32"/>
    <s v="ISEL-1.32"/>
    <n v="1"/>
    <s v="NO TIENE L3OUT"/>
    <n v="38"/>
    <n v="54"/>
  </r>
  <r>
    <n v="703"/>
    <x v="2"/>
    <x v="111"/>
    <s v="eth1/32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32"/>
    <x v="0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32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14"/>
    <x v="2"/>
    <x v="114"/>
    <s v="eth1/32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32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32"/>
    <x v="0"/>
    <x v="0"/>
    <x v="0"/>
    <s v="LINK_TO_ITHFHWCBSDSWR17 /10GE.1 /Principal"/>
    <x v="0"/>
    <b v="0"/>
    <s v="No está en VPC"/>
    <n v="826"/>
    <s v="INTPG_VPC_826_1.32_830_1.32"/>
    <s v="ISEL-1.32"/>
    <n v="1"/>
    <s v="NO TIENE L3OUT"/>
    <n v="12"/>
    <n v="54"/>
  </r>
  <r>
    <n v="726"/>
    <x v="2"/>
    <x v="117"/>
    <s v="eth1/32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32"/>
    <x v="0"/>
    <x v="0"/>
    <x v="0"/>
    <s v="CEM:ITHCEMD2ANN16:SLOT1 P1"/>
    <x v="5"/>
    <b v="0"/>
    <s v="No está en VPC"/>
    <n v="740"/>
    <s v="INTPG_ACC_740_1.32"/>
    <s v="ISEL-1.32"/>
    <n v="1"/>
    <s v="NO TIENE L3OUT"/>
    <n v="72"/>
    <n v="54"/>
  </r>
  <r>
    <n v="705"/>
    <x v="2"/>
    <x v="119"/>
    <s v="eth1/32"/>
    <x v="0"/>
    <x v="0"/>
    <x v="0"/>
    <m/>
    <x v="0"/>
    <b v="0"/>
    <s v="No está en VPC"/>
    <n v="705"/>
    <s v="INTPG_VPC_706_1.31_705_1.32"/>
    <s v="ISEL-1.32"/>
    <n v="1"/>
    <s v="NO TIENE L3OUT"/>
    <n v="16"/>
    <n v="54"/>
  </r>
  <r>
    <n v="723"/>
    <x v="2"/>
    <x v="120"/>
    <s v="eth1/32"/>
    <x v="0"/>
    <x v="0"/>
    <x v="0"/>
    <s v="DESC"/>
    <x v="0"/>
    <b v="0"/>
    <s v="No está en VPC"/>
    <n v="723"/>
    <s v="INTPG_PC_723_1.31-32"/>
    <s v="ISEL-1.32"/>
    <n v="0"/>
    <s v="L3OUT-HCS-OPER-TELCEL-IPCORP"/>
    <n v="0"/>
    <n v="54"/>
  </r>
  <r>
    <n v="721"/>
    <x v="2"/>
    <x v="121"/>
    <s v="eth1/32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32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32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32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32"/>
    <x v="0"/>
    <x v="1"/>
    <x v="5"/>
    <s v="CEM:ITHCEMF2KFK16:LOM  P2"/>
    <x v="0"/>
    <b v="0"/>
    <s v="No está en VPC"/>
    <n v="709"/>
    <s v="INTPG_VPC_708_1.31_709_1.32"/>
    <s v="ISEL-1.32"/>
    <n v="1"/>
    <s v="NO TIENE L3OUT"/>
    <n v="0"/>
    <n v="54"/>
  </r>
  <r>
    <n v="454"/>
    <x v="1"/>
    <x v="126"/>
    <s v="eth1/32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32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32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32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32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32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32"/>
    <x v="0"/>
    <x v="1"/>
    <x v="1"/>
    <s v="CEM:ITHCEMA2ADT16:SLOT1 P1"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32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32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32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32"/>
    <x v="0"/>
    <x v="1"/>
    <x v="3"/>
    <s v="CEM_HADOOP"/>
    <x v="0"/>
    <b v="0"/>
    <s v="No está en VPC"/>
    <n v="736"/>
    <s v="INTPG_ACC_736_1.32"/>
    <s v="ISEL-1.32"/>
    <n v="1"/>
    <s v="NO TIENE L3OUT"/>
    <n v="48"/>
    <n v="54"/>
  </r>
  <r>
    <n v="799"/>
    <x v="2"/>
    <x v="137"/>
    <s v="eth1/32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32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32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32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32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32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32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32"/>
    <x v="0"/>
    <x v="0"/>
    <x v="0"/>
    <s v="CLOUD PAAS PAYG F2:Ithhwvm1cch1:Slot 3x/Pto 4"/>
    <x v="0"/>
    <b v="0"/>
    <s v="No está en VPC"/>
    <n v="774"/>
    <s v="INTPG_PC_774_1.30_1.32"/>
    <s v="ISEL-1.32"/>
    <n v="0"/>
    <s v="NO TIENE L3OUT"/>
    <n v="0"/>
    <n v="54"/>
  </r>
  <r>
    <n v="773"/>
    <x v="2"/>
    <x v="145"/>
    <s v="eth1/32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32"/>
    <x v="0"/>
    <x v="0"/>
    <x v="0"/>
    <s v="TO-9S_VPNM_IXT3_211_1"/>
    <x v="0"/>
    <b v="0"/>
    <s v="No está en VPC"/>
    <n v="794"/>
    <s v="INTPG_VPC_793_1.32-33_794_1.32-33"/>
    <s v="ISEL-1.32"/>
    <n v="16"/>
    <s v="NO TIENE L3OUT"/>
    <n v="12"/>
    <n v="54"/>
  </r>
  <r>
    <n v="803"/>
    <x v="2"/>
    <x v="147"/>
    <s v="eth1/32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32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32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32"/>
    <x v="0"/>
    <x v="0"/>
    <x v="0"/>
    <s v="CLOUD OPS:ithhwcop02en02:3X P3"/>
    <x v="0"/>
    <b v="0"/>
    <s v="No está en VPC"/>
    <n v="781"/>
    <s v="INTPG_VPC_780_1.30-33_781_1.30-33"/>
    <s v="ISEL-1.32"/>
    <n v="23"/>
    <s v="NO TIENE L3OUT"/>
    <n v="26"/>
    <n v="54"/>
  </r>
  <r>
    <n v="793"/>
    <x v="2"/>
    <x v="151"/>
    <s v="eth1/32"/>
    <x v="0"/>
    <x v="0"/>
    <x v="0"/>
    <s v="TO-9S_VPNM_IXT3_211_1"/>
    <x v="0"/>
    <b v="0"/>
    <s v="No está en VPC"/>
    <n v="793"/>
    <s v="INTPG_VPC_793_1.32-33_794_1.32-33"/>
    <s v="ISEL-1.32"/>
    <n v="16"/>
    <s v="NO TIENE L3OUT"/>
    <n v="12"/>
    <n v="54"/>
  </r>
  <r>
    <n v="747"/>
    <x v="2"/>
    <x v="152"/>
    <s v="eth1/32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32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32"/>
    <x v="1"/>
    <x v="1"/>
    <x v="2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32"/>
    <x v="0"/>
    <x v="0"/>
    <x v="0"/>
    <s v="CLOUD PAAS PAYG F2:Ithhwvm1bch1:Slot 3x/Pto 4"/>
    <x v="0"/>
    <b v="0"/>
    <s v="No está en VPC"/>
    <n v="777"/>
    <s v="INTPG_VPC_776_1.25-28_777_1.29-32"/>
    <s v="ISEL-1.32"/>
    <n v="90"/>
    <s v="NO TIENE L3OUT"/>
    <n v="0"/>
    <n v="54"/>
  </r>
  <r>
    <n v="770"/>
    <x v="2"/>
    <x v="156"/>
    <s v="eth1/32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32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32"/>
    <x v="0"/>
    <x v="0"/>
    <x v="0"/>
    <s v="CEM:ITHCEMC2AHN16:SLOT1 P1"/>
    <x v="5"/>
    <b v="0"/>
    <s v="No está en VPC"/>
    <n v="739"/>
    <s v="INTPG_ACC_739_1.32"/>
    <s v="ISEL-1.32"/>
    <n v="1"/>
    <s v="NO TIENE L3OUT"/>
    <n v="72"/>
    <n v="54"/>
  </r>
  <r>
    <n v="775"/>
    <x v="2"/>
    <x v="159"/>
    <s v="eth1/32"/>
    <x v="0"/>
    <x v="0"/>
    <x v="0"/>
    <s v="CLOUD PAAS PAYG F2:Ithhwvm1dch1:Slot 3x/Pto 4"/>
    <x v="0"/>
    <b v="0"/>
    <s v="No está en VPC"/>
    <n v="775"/>
    <s v="INTPG_PC_775_1.30_1.32"/>
    <s v="ISEL-1.32"/>
    <n v="0"/>
    <s v="NO TIENE L3OUT"/>
    <n v="0"/>
    <n v="54"/>
  </r>
  <r>
    <n v="791"/>
    <x v="2"/>
    <x v="160"/>
    <s v="eth1/32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32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32"/>
    <x v="0"/>
    <x v="0"/>
    <x v="0"/>
    <s v="LINK_TO_ITHFHWCBSDSWR17 /Slot5.1 /Redundante"/>
    <x v="0"/>
    <b v="0"/>
    <s v="No está en VPC"/>
    <n v="830"/>
    <s v="INTPG_VPC_826_1.32_830_1.32"/>
    <s v="ISEL-1.32"/>
    <n v="1"/>
    <s v="NO TIENE L3OUT"/>
    <n v="12"/>
    <n v="54"/>
  </r>
  <r>
    <n v="821"/>
    <x v="2"/>
    <x v="163"/>
    <s v="eth1/32"/>
    <x v="0"/>
    <x v="0"/>
    <x v="0"/>
    <s v="LINK_TO_ITHFHWCBSPSWR17 /Slot5.1 /Redundante"/>
    <x v="0"/>
    <b v="0"/>
    <s v="No está en VPC"/>
    <n v="821"/>
    <s v="INTPG_VPC_816_1.32_821_1.32"/>
    <s v="ISEL-1.32"/>
    <n v="1"/>
    <s v="NO TIENE L3OUT"/>
    <n v="0"/>
    <n v="54"/>
  </r>
  <r>
    <n v="738"/>
    <x v="2"/>
    <x v="164"/>
    <s v="eth1/32"/>
    <x v="0"/>
    <x v="0"/>
    <x v="0"/>
    <s v="CEM:ITHCEMF2KFK16:SLOT1 P1"/>
    <x v="5"/>
    <b v="0"/>
    <s v="No está en VPC"/>
    <n v="738"/>
    <s v="INTPG_ACC_738_1.32"/>
    <s v="ISEL-1.32"/>
    <n v="1"/>
    <s v="NO TIENE L3OUT"/>
    <n v="72"/>
    <n v="54"/>
  </r>
  <r>
    <n v="820"/>
    <x v="2"/>
    <x v="165"/>
    <s v="eth1/32"/>
    <x v="0"/>
    <x v="0"/>
    <x v="0"/>
    <s v="VPC_2DCRMP_BDP07_2"/>
    <x v="0"/>
    <b v="0"/>
    <s v="No está en VPC"/>
    <n v="820"/>
    <s v="INTPG_VPC_825_1.32_820_1.32"/>
    <s v="ISEL-1.32"/>
    <n v="2"/>
    <s v="NO TIENE L3OUT"/>
    <n v="72"/>
    <n v="54"/>
  </r>
  <r>
    <n v="804"/>
    <x v="2"/>
    <x v="166"/>
    <s v="eth1/32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32"/>
    <x v="0"/>
    <x v="0"/>
    <x v="0"/>
    <s v="CLOUD OPS:ithhwcop01en01:4E P4"/>
    <x v="0"/>
    <b v="0"/>
    <s v="No está en VPC"/>
    <n v="779"/>
    <s v="INTPG_VPC_778_1.25-26_31-32_779_1.25-26_31-32"/>
    <s v="ISEL-1.32"/>
    <n v="24"/>
    <s v="NO TIENE L3OUT"/>
    <n v="30"/>
    <n v="54"/>
  </r>
  <r>
    <n v="767"/>
    <x v="2"/>
    <x v="168"/>
    <s v="eth1/32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32"/>
    <x v="0"/>
    <x v="0"/>
    <x v="0"/>
    <s v="LINK_TO_ITHFHWCBSDSWR27 /Slot5.2 /Principal"/>
    <x v="0"/>
    <b v="0"/>
    <s v="No está en VPC"/>
    <n v="827"/>
    <s v="INTPG_VPC_827_1.32_831_1.32"/>
    <s v="ISEL-1.32"/>
    <n v="2"/>
    <s v="NO TIENE L3OUT"/>
    <n v="14"/>
    <n v="54"/>
  </r>
  <r>
    <n v="809"/>
    <x v="2"/>
    <x v="170"/>
    <s v="eth1/32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32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32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32"/>
    <x v="0"/>
    <x v="0"/>
    <x v="0"/>
    <s v="CLOUD PAAS PAYG F2:Ithhwvm1ach1:Slot 3x/Pto 4"/>
    <x v="0"/>
    <b v="0"/>
    <s v="No está en VPC"/>
    <n v="776"/>
    <s v="INTPG_VPC_776_1.29-32_777_1.25-28"/>
    <s v="ISEL-1.32"/>
    <n v="93"/>
    <s v="NO TIENE L3OUT"/>
    <n v="0"/>
    <n v="54"/>
  </r>
  <r>
    <n v="805"/>
    <x v="2"/>
    <x v="174"/>
    <s v="eth1/32"/>
    <x v="1"/>
    <x v="1"/>
    <x v="2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32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32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32"/>
    <x v="0"/>
    <x v="0"/>
    <x v="0"/>
    <s v="LINK_TO_ITHFHWCRMPLCN111 / Slot7.2_26 / Redundante"/>
    <x v="0"/>
    <b v="0"/>
    <s v="No está en VPC"/>
    <n v="851"/>
    <s v="INTPG_ACC_851_1.32"/>
    <s v="ISEL-1.32"/>
    <n v="2"/>
    <s v="NO TIENE L3OUT"/>
    <n v="282"/>
    <n v="54"/>
  </r>
  <r>
    <n v="798"/>
    <x v="2"/>
    <x v="178"/>
    <s v="eth1/32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32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32"/>
    <x v="0"/>
    <x v="0"/>
    <x v="0"/>
    <s v="LINK_TO_ITHFHWCRMPLCN94 / Slot7.3_20 / Redundante"/>
    <x v="0"/>
    <b v="0"/>
    <s v="No está en VPC"/>
    <n v="852"/>
    <s v="INTPG_ACC_852_1.32"/>
    <s v="ISEL-1.32"/>
    <n v="1"/>
    <s v="NO TIENE L3OUT"/>
    <n v="258"/>
    <n v="54"/>
  </r>
  <r>
    <n v="817"/>
    <x v="2"/>
    <x v="181"/>
    <s v="eth1/32"/>
    <x v="0"/>
    <x v="0"/>
    <x v="0"/>
    <s v="LINK_TO_ITHFHWCBSPSUSBD22 /10GE.1 /Principal"/>
    <x v="0"/>
    <b v="0"/>
    <s v="No está en VPC"/>
    <n v="817"/>
    <s v="INTPG_VPC_817_1.32_822_1.32"/>
    <s v="ISEL-1.32"/>
    <n v="1"/>
    <s v="NO TIENE L3OUT"/>
    <n v="0"/>
    <n v="54"/>
  </r>
  <r>
    <n v="832"/>
    <x v="2"/>
    <x v="182"/>
    <s v="eth1/32"/>
    <x v="0"/>
    <x v="0"/>
    <x v="0"/>
    <s v="LINK_TO_ITHFHWCRMDLCN26 /Slot7.2 /Redundante"/>
    <x v="0"/>
    <b v="0"/>
    <s v="No está en VPC"/>
    <n v="832"/>
    <s v="INTPG_ACC_832_1.32"/>
    <s v="ISEL-1.32"/>
    <n v="5"/>
    <s v="NO TIENE L3OUT"/>
    <n v="192"/>
    <n v="54"/>
  </r>
  <r>
    <n v="816"/>
    <x v="2"/>
    <x v="183"/>
    <s v="eth1/32"/>
    <x v="0"/>
    <x v="0"/>
    <x v="0"/>
    <s v="LINK_TO_ITHFHWCBSPSWR17 /10GE.1 /Principal"/>
    <x v="0"/>
    <b v="0"/>
    <s v="No está en VPC"/>
    <n v="816"/>
    <s v="INTPG_VPC_816_1.32_821_1.32"/>
    <s v="ISEL-1.32"/>
    <n v="1"/>
    <s v="NO TIENE L3OUT"/>
    <n v="0"/>
    <n v="54"/>
  </r>
  <r>
    <n v="825"/>
    <x v="2"/>
    <x v="184"/>
    <s v="eth1/32"/>
    <x v="0"/>
    <x v="0"/>
    <x v="0"/>
    <s v="VPC_2DCRMP_BDP07_2"/>
    <x v="0"/>
    <b v="0"/>
    <s v="No está en VPC"/>
    <n v="825"/>
    <s v="INTPG_VPC_825_1.32_820_1.32"/>
    <s v="ISEL-1.32"/>
    <n v="2"/>
    <s v="NO TIENE L3OUT"/>
    <n v="72"/>
    <n v="54"/>
  </r>
  <r>
    <n v="800"/>
    <x v="2"/>
    <x v="185"/>
    <s v="eth1/32"/>
    <x v="0"/>
    <x v="0"/>
    <x v="0"/>
    <s v="TO-9S_IVR_IXT3_10518_01"/>
    <x v="0"/>
    <b v="0"/>
    <s v="No está en VPC"/>
    <n v="800"/>
    <s v="INTPG_VPC_800_1.32-35_801_1.32-35"/>
    <s v="ISEL-1.32"/>
    <n v="24"/>
    <s v="NO TIENE L3OUT"/>
    <n v="78"/>
    <n v="54"/>
  </r>
  <r>
    <n v="801"/>
    <x v="2"/>
    <x v="186"/>
    <s v="eth1/32"/>
    <x v="0"/>
    <x v="0"/>
    <x v="0"/>
    <s v="TO-9S_IVR_IXT3_10518_01"/>
    <x v="0"/>
    <b v="0"/>
    <s v="No está en VPC"/>
    <n v="801"/>
    <s v="INTPG_VPC_800_1.32-35_801_1.32-35"/>
    <s v="ISEL-1.32"/>
    <n v="24"/>
    <s v="NO TIENE L3OUT"/>
    <n v="78"/>
    <n v="54"/>
  </r>
  <r>
    <n v="823"/>
    <x v="2"/>
    <x v="187"/>
    <s v="eth1/32"/>
    <x v="0"/>
    <x v="0"/>
    <x v="0"/>
    <s v="LINK_TO_ITHFHWCBSPSWR35 /Slot7.2 /Redundante"/>
    <x v="0"/>
    <b v="0"/>
    <s v="No está en VPC"/>
    <n v="823"/>
    <s v="INTPG_VPC_818_1.32_823_1.32"/>
    <s v="ISEL-1.32"/>
    <n v="2"/>
    <s v="NO TIENE L3OUT"/>
    <n v="8"/>
    <n v="54"/>
  </r>
  <r>
    <n v="837"/>
    <x v="2"/>
    <x v="188"/>
    <s v="eth1/32"/>
    <x v="0"/>
    <x v="0"/>
    <x v="0"/>
    <s v="LINK_TO_ITHHWD6KV65100009DKC01 / CTMB_IOM1.P0_34 / Principal"/>
    <x v="0"/>
    <b v="0"/>
    <s v="No está en VPC"/>
    <n v="837"/>
    <s v="INTPG_ACC_837_1.32"/>
    <s v="ISEL-1.32"/>
    <n v="1"/>
    <s v="NO TIENE L3OUT"/>
    <n v="8"/>
    <n v="54"/>
  </r>
  <r>
    <n v="867"/>
    <x v="2"/>
    <x v="189"/>
    <s v="eth1/32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32"/>
    <x v="0"/>
    <x v="0"/>
    <x v="0"/>
    <s v="To_ITHFHWCRMDLCN45_Principal"/>
    <x v="0"/>
    <b v="0"/>
    <s v="No está en VPC"/>
    <n v="829"/>
    <s v="INTPG_ACC_829_1.32"/>
    <s v="ISEL-1.32"/>
    <n v="1"/>
    <s v="NO TIENE L3OUT"/>
    <n v="224"/>
    <n v="54"/>
  </r>
  <r>
    <n v="831"/>
    <x v="2"/>
    <x v="191"/>
    <s v="eth1/32"/>
    <x v="0"/>
    <x v="0"/>
    <x v="0"/>
    <s v="LINK_TO_ITHFHWCBSDSWR27 /Slot7.2 /Redundante"/>
    <x v="0"/>
    <b v="0"/>
    <s v="No está en VPC"/>
    <n v="831"/>
    <s v="INTPG_VPC_827_1.32_831_1.32"/>
    <s v="ISEL-1.32"/>
    <n v="2"/>
    <s v="NO TIENE L3OUT"/>
    <n v="14"/>
    <n v="54"/>
  </r>
  <r>
    <n v="802"/>
    <x v="2"/>
    <x v="192"/>
    <s v="eth1/32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32"/>
    <x v="0"/>
    <x v="0"/>
    <x v="0"/>
    <s v="LINK_TO_ITHFHWCBSPSHD33 / Slot1.1_18 / Principal"/>
    <x v="0"/>
    <b v="0"/>
    <s v="No está en VPC"/>
    <n v="835"/>
    <s v="INTPG_VPC_835_1.32_840_1.32"/>
    <s v="ISEL-1.32"/>
    <n v="2"/>
    <s v="NO TIENE L3OUT"/>
    <n v="8"/>
    <n v="54"/>
  </r>
  <r>
    <n v="822"/>
    <x v="2"/>
    <x v="194"/>
    <s v="eth1/32"/>
    <x v="0"/>
    <x v="0"/>
    <x v="0"/>
    <s v="LINK_TO_ITHFHWCBSPSUSBD22 /Slot5.1 /Redundante"/>
    <x v="0"/>
    <b v="0"/>
    <s v="No está en VPC"/>
    <n v="822"/>
    <s v="INTPG_VPC_817_1.32_822_1.32"/>
    <s v="ISEL-1.32"/>
    <n v="1"/>
    <s v="NO TIENE L3OUT"/>
    <n v="0"/>
    <n v="54"/>
  </r>
  <r>
    <n v="854"/>
    <x v="2"/>
    <x v="195"/>
    <s v="eth1/32"/>
    <x v="0"/>
    <x v="0"/>
    <x v="0"/>
    <s v="LINK_TO_ITHFHWCRMPLCN176 / Slot1.1_22 / Principal"/>
    <x v="0"/>
    <b v="0"/>
    <s v="No está en VPC"/>
    <n v="854"/>
    <s v="INTPG_ACC_854_1.32"/>
    <s v="ISEL-1.32"/>
    <n v="6"/>
    <s v="NO TIENE L3OUT"/>
    <n v="204"/>
    <n v="54"/>
  </r>
  <r>
    <n v="858"/>
    <x v="2"/>
    <x v="196"/>
    <s v="eth1/32"/>
    <x v="0"/>
    <x v="0"/>
    <x v="0"/>
    <s v="To_VPC_2DCBSD_WR55_2"/>
    <x v="0"/>
    <b v="0"/>
    <s v="No está en VPC"/>
    <n v="858"/>
    <s v="INTPG_VPC_858_1.32_863_1.32"/>
    <s v="ISEL-1.32"/>
    <n v="1"/>
    <s v="NO TIENE L3OUT"/>
    <n v="8"/>
    <n v="54"/>
  </r>
  <r>
    <n v="857"/>
    <x v="2"/>
    <x v="197"/>
    <s v="eth1/32"/>
    <x v="0"/>
    <x v="0"/>
    <x v="0"/>
    <s v="LINKT_TO_ITHFHWCRMPLCN126 / Slot1.1_22 / Principal"/>
    <x v="0"/>
    <b v="0"/>
    <s v="No está en VPC"/>
    <n v="857"/>
    <s v="INTPG_ACC_857_1.32"/>
    <s v="ISEL-1.32"/>
    <n v="6"/>
    <s v="NO TIENE L3OUT"/>
    <n v="288"/>
    <n v="54"/>
  </r>
  <r>
    <n v="859"/>
    <x v="2"/>
    <x v="198"/>
    <s v="eth1/32"/>
    <x v="0"/>
    <x v="0"/>
    <x v="0"/>
    <s v="To_VPC_2DCBSD_WR46_2"/>
    <x v="0"/>
    <b v="0"/>
    <s v="No está en VPC"/>
    <n v="859"/>
    <s v="INTPG_VPC_859_1.32_864_1.32"/>
    <s v="ISEL-1.32"/>
    <n v="1"/>
    <s v="NO TIENE L3OUT"/>
    <n v="0"/>
    <n v="54"/>
  </r>
  <r>
    <n v="833"/>
    <x v="2"/>
    <x v="199"/>
    <s v="eth1/32"/>
    <x v="0"/>
    <x v="0"/>
    <x v="0"/>
    <s v="To_ITHFHWCRMDLCN45_Redundante"/>
    <x v="0"/>
    <b v="0"/>
    <s v="No está en VPC"/>
    <n v="833"/>
    <s v="INTPG_ACC_833_1.32"/>
    <s v="ISEL-1.32"/>
    <n v="1"/>
    <s v="NO TIENE L3OUT"/>
    <n v="224"/>
    <n v="54"/>
  </r>
  <r>
    <n v="818"/>
    <x v="2"/>
    <x v="200"/>
    <s v="eth1/32"/>
    <x v="0"/>
    <x v="0"/>
    <x v="0"/>
    <s v="LINK_TO_ITHFHWCBSPSWR35 /Slot5.2 /Principal"/>
    <x v="0"/>
    <b v="0"/>
    <s v="No está en VPC"/>
    <n v="818"/>
    <s v="INTPG_VPC_818_1.32_823_1.32"/>
    <s v="ISEL-1.32"/>
    <n v="2"/>
    <s v="NO TIENE L3OUT"/>
    <n v="8"/>
    <n v="54"/>
  </r>
  <r>
    <n v="850"/>
    <x v="2"/>
    <x v="201"/>
    <s v="eth1/32"/>
    <x v="0"/>
    <x v="0"/>
    <x v="0"/>
    <s v="LINKT_TO_ITHFHWCRMPLCN126 / Slot7.1_22 / Redundante"/>
    <x v="0"/>
    <b v="0"/>
    <s v="No está en VPC"/>
    <n v="850"/>
    <s v="INTPG_ACC_850_1.32"/>
    <s v="ISEL-1.32"/>
    <n v="6"/>
    <s v="NO TIENE L3OUT"/>
    <n v="288"/>
    <n v="54"/>
  </r>
  <r>
    <n v="860"/>
    <x v="2"/>
    <x v="202"/>
    <s v="eth1/32"/>
    <x v="0"/>
    <x v="0"/>
    <x v="0"/>
    <s v="To_VPC_2DCBSD_BD17_2"/>
    <x v="0"/>
    <b v="0"/>
    <s v="No está en VPC"/>
    <n v="860"/>
    <s v="INTPG_VPC_860_1.32_865_1.32"/>
    <s v="ISEL-1.32"/>
    <n v="1"/>
    <s v="NO TIENE L3OUT"/>
    <n v="0"/>
    <n v="54"/>
  </r>
  <r>
    <n v="853"/>
    <x v="2"/>
    <x v="203"/>
    <s v="eth1/32"/>
    <x v="0"/>
    <x v="0"/>
    <x v="0"/>
    <s v="LINK_TO_ITHFHWCRMPLCN82 / Slot7.2_22 / Redundante"/>
    <x v="0"/>
    <b v="0"/>
    <s v="No está en VPC"/>
    <n v="853"/>
    <s v="INTPG_ACC_853_1.32"/>
    <s v="ISEL-1.32"/>
    <n v="2"/>
    <s v="NO TIENE L3OUT"/>
    <n v="242"/>
    <n v="54"/>
  </r>
  <r>
    <n v="790"/>
    <x v="2"/>
    <x v="204"/>
    <s v="eth1/32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32"/>
    <x v="0"/>
    <x v="1"/>
    <x v="1"/>
    <s v="DESC"/>
    <x v="6"/>
    <b v="0"/>
    <s v="No está en VPC"/>
    <n v="105"/>
    <s v="INTPG_PC_105_1.1-4_32-35"/>
    <s v="ISEL-1.32"/>
    <n v="17"/>
    <s v="NO TIENE L3OUT"/>
    <n v="106"/>
    <n v="96"/>
  </r>
  <r>
    <n v="117"/>
    <x v="0"/>
    <x v="206"/>
    <s v="eth1/32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32"/>
    <x v="1"/>
    <x v="1"/>
    <x v="2"/>
    <s v="DESC"/>
    <x v="6"/>
    <b v="0"/>
    <s v="No está en VPC"/>
    <n v="104"/>
    <s v="INTPG_PC_104_1.32-39"/>
    <s v="ISEL-1.32"/>
    <n v="0"/>
    <s v="NO TIENE L3OUT"/>
    <n v="194"/>
    <n v="96"/>
  </r>
  <r>
    <n v="158"/>
    <x v="0"/>
    <x v="208"/>
    <s v="eth1/32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32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32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32"/>
    <x v="0"/>
    <x v="1"/>
    <x v="1"/>
    <m/>
    <x v="6"/>
    <b v="0"/>
    <s v="No está en VPC"/>
    <n v="108"/>
    <s v="INTPG_ACC_108_1.32"/>
    <s v="ISEL-1.32"/>
    <n v="1"/>
    <s v="NO TIENE L3OUT"/>
    <n v="126"/>
    <n v="96"/>
  </r>
  <r>
    <n v="112"/>
    <x v="0"/>
    <x v="212"/>
    <s v="eth1/32"/>
    <x v="1"/>
    <x v="1"/>
    <x v="2"/>
    <s v="SUBEX (Fraud Management)"/>
    <x v="6"/>
    <b v="0"/>
    <s v="No está en VPC"/>
    <n v="112"/>
    <s v="INTPG_ACC_112_1.32"/>
    <s v="ISEL-1.32"/>
    <n v="1"/>
    <s v="NO TIENE L3OUT"/>
    <n v="144"/>
    <n v="96"/>
  </r>
  <r>
    <n v="107"/>
    <x v="0"/>
    <x v="213"/>
    <s v="eth1/32"/>
    <x v="0"/>
    <x v="0"/>
    <x v="0"/>
    <s v="GESTION VOZ DEUR "/>
    <x v="6"/>
    <b v="0"/>
    <s v="No está en VPC"/>
    <n v="107"/>
    <s v="INTPG_ACC_107_1.32"/>
    <s v="ISEL-1.32"/>
    <n v="1"/>
    <s v="NO TIENE L3OUT"/>
    <n v="118"/>
    <n v="96"/>
  </r>
  <r>
    <n v="109"/>
    <x v="0"/>
    <x v="214"/>
    <s v="eth1/32"/>
    <x v="0"/>
    <x v="0"/>
    <x v="0"/>
    <s v="IXT01PP, IXT02PP, IXT05PP"/>
    <x v="6"/>
    <b v="0"/>
    <s v="No está en VPC"/>
    <n v="109"/>
    <s v="INTPG_ACC_109_1.32"/>
    <s v="ISEL-1.32"/>
    <n v="1"/>
    <s v="NO TIENE L3OUT"/>
    <n v="126"/>
    <n v="96"/>
  </r>
  <r>
    <n v="113"/>
    <x v="0"/>
    <x v="215"/>
    <s v="eth1/32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32"/>
    <x v="0"/>
    <x v="0"/>
    <x v="0"/>
    <s v="CHARGING SYSTEM"/>
    <x v="6"/>
    <b v="0"/>
    <s v="No está en VPC"/>
    <n v="114"/>
    <s v="INTPG_ACC_114_1.32"/>
    <s v="ISEL-1.32"/>
    <n v="1"/>
    <s v="NO TIENE L3OUT"/>
    <n v="144"/>
    <n v="96"/>
  </r>
  <r>
    <n v="124"/>
    <x v="0"/>
    <x v="217"/>
    <s v="eth1/32"/>
    <x v="0"/>
    <x v="0"/>
    <x v="0"/>
    <s v="ixtossgwcon2"/>
    <x v="6"/>
    <b v="0"/>
    <s v="No está en VPC"/>
    <n v="124"/>
    <s v="INTPG_ACC_124_1.32"/>
    <s v="ISEL-1.32"/>
    <n v="1"/>
    <s v="NO TIENE L3OUT"/>
    <n v="80"/>
    <n v="96"/>
  </r>
  <r>
    <n v="118"/>
    <x v="0"/>
    <x v="218"/>
    <s v="eth1/32"/>
    <x v="1"/>
    <x v="1"/>
    <x v="2"/>
    <s v="DATOS NETCRACKER"/>
    <x v="6"/>
    <b v="0"/>
    <s v="No está en VPC"/>
    <n v="118"/>
    <s v="INTPG_ACC_118_1.32"/>
    <s v="ISEL-1.32"/>
    <n v="1"/>
    <s v="NO TIENE L3OUT"/>
    <n v="180"/>
    <n v="96"/>
  </r>
  <r>
    <n v="159"/>
    <x v="0"/>
    <x v="219"/>
    <s v="eth1/32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32"/>
    <x v="0"/>
    <x v="0"/>
    <x v="0"/>
    <s v="LINK_TO_ITHFHWCBSPSHD33 / Slot7.1_18 / Redundante"/>
    <x v="0"/>
    <b v="0"/>
    <s v="No está en VPC"/>
    <n v="840"/>
    <s v="INTPG_VPC_835_1.32_840_1.32"/>
    <s v="ISEL-1.32"/>
    <n v="2"/>
    <s v="NO TIENE L3OUT"/>
    <n v="8"/>
    <n v="54"/>
  </r>
  <r>
    <n v="856"/>
    <x v="2"/>
    <x v="221"/>
    <s v="eth1/32"/>
    <x v="0"/>
    <x v="0"/>
    <x v="0"/>
    <s v="LINK_TO_ITHFHWCRMPLCN145 / Slot1.1_24 / Principal"/>
    <x v="0"/>
    <b v="0"/>
    <s v="No está en VPC"/>
    <n v="856"/>
    <s v="INTPG_ACC_856_1.32"/>
    <s v="ISEL-1.32"/>
    <n v="6"/>
    <s v="NO TIENE L3OUT"/>
    <n v="286"/>
    <n v="54"/>
  </r>
  <r>
    <n v="110"/>
    <x v="0"/>
    <x v="222"/>
    <s v="eth1/32"/>
    <x v="0"/>
    <x v="0"/>
    <x v="0"/>
    <m/>
    <x v="6"/>
    <b v="0"/>
    <s v="No está en VPC"/>
    <n v="110"/>
    <s v="INTPG_ACC_110_1.32"/>
    <s v="ISEL-1.32"/>
    <n v="1"/>
    <s v="NO TIENE L3OUT"/>
    <n v="102"/>
    <n v="96"/>
  </r>
  <r>
    <n v="163"/>
    <x v="0"/>
    <x v="223"/>
    <s v="eth1/32"/>
    <x v="1"/>
    <x v="1"/>
    <x v="2"/>
    <s v="SERTEC_SGH250HXW1_CLIENT1"/>
    <x v="6"/>
    <b v="0"/>
    <s v="No está en VPC"/>
    <n v="163"/>
    <s v="INTPG_VPC_161_1.67_163_1.32"/>
    <s v="ISEL-1.32"/>
    <n v="0"/>
    <s v="NO TIENE L3OUT"/>
    <n v="140"/>
    <n v="96"/>
  </r>
  <r>
    <n v="407"/>
    <x v="1"/>
    <x v="224"/>
    <s v="eth1/32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32"/>
    <x v="0"/>
    <x v="1"/>
    <x v="1"/>
    <s v="netqosSDS03_ilom"/>
    <x v="6"/>
    <b v="0"/>
    <s v="No está en VPC"/>
    <n v="171"/>
    <s v="INTPG_ACC_171_1.32"/>
    <s v="ISEL-1.32"/>
    <n v="1"/>
    <s v="NO TIENE L3OUT"/>
    <n v="114"/>
    <n v="96"/>
  </r>
  <r>
    <n v="421"/>
    <x v="1"/>
    <x v="226"/>
    <s v="eth1/32"/>
    <x v="0"/>
    <x v="0"/>
    <x v="0"/>
    <s v="VTA_uxvta083_Net0"/>
    <x v="6"/>
    <b v="0"/>
    <s v="No está en VPC"/>
    <n v="421"/>
    <s v="INTPG_ACC_421_1.32"/>
    <s v="ISEL-1.32"/>
    <n v="1"/>
    <s v="NO TIENE L3OUT"/>
    <n v="72"/>
    <n v="96"/>
  </r>
  <r>
    <n v="173"/>
    <x v="0"/>
    <x v="227"/>
    <s v="eth1/32"/>
    <x v="0"/>
    <x v="1"/>
    <x v="1"/>
    <s v="ENIQ_1"/>
    <x v="6"/>
    <b v="0"/>
    <s v="No está en VPC"/>
    <n v="173"/>
    <s v="INTPG_PC_173_1.28-33"/>
    <s v="ISEL-1.32"/>
    <n v="3"/>
    <s v="NO TIENE L3OUT"/>
    <n v="66"/>
    <n v="96"/>
  </r>
  <r>
    <n v="154"/>
    <x v="0"/>
    <x v="228"/>
    <s v="eth1/32"/>
    <x v="0"/>
    <x v="0"/>
    <x v="0"/>
    <s v="POLYVIEW_SERVIDOR"/>
    <x v="6"/>
    <b v="0"/>
    <s v="No está en VPC"/>
    <n v="154"/>
    <s v="INTPG_ACC_154_1.32"/>
    <s v="ISEL-1.32"/>
    <n v="1"/>
    <s v="NO TIENE L3OUT"/>
    <n v="62"/>
    <n v="96"/>
  </r>
  <r>
    <n v="172"/>
    <x v="0"/>
    <x v="229"/>
    <s v="eth1/32"/>
    <x v="0"/>
    <x v="1"/>
    <x v="1"/>
    <s v="Optimus"/>
    <x v="6"/>
    <b v="0"/>
    <s v="No está en VPC"/>
    <n v="172"/>
    <s v="INTPG_ACC_172_1.32"/>
    <s v="ISEL-1.32"/>
    <n v="1"/>
    <s v="NO TIENE L3OUT"/>
    <n v="104"/>
    <n v="96"/>
  </r>
  <r>
    <n v="420"/>
    <x v="1"/>
    <x v="230"/>
    <s v="eth1/32"/>
    <x v="0"/>
    <x v="0"/>
    <x v="0"/>
    <s v="TO-ITHFDEOCP1LWR05-PRINCIPAL"/>
    <x v="6"/>
    <b v="0"/>
    <s v="No está en VPC"/>
    <n v="420"/>
    <s v="INTPG_ACC_420_1.32"/>
    <s v="ISEL-1.32"/>
    <n v="1"/>
    <s v="NO TIENE L3OUT"/>
    <n v="158"/>
    <n v="96"/>
  </r>
  <r>
    <n v="423"/>
    <x v="1"/>
    <x v="231"/>
    <s v="eth1/32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32"/>
    <x v="0"/>
    <x v="0"/>
    <x v="0"/>
    <s v="To-uxingemc2 ldom 2 uxsmart03"/>
    <x v="6"/>
    <b v="0"/>
    <s v="No está en VPC"/>
    <n v="415"/>
    <s v="INTPG_ACC_415_1.32"/>
    <s v="ISEL-1.32"/>
    <n v="1"/>
    <s v="NO TIENE L3OUT"/>
    <n v="52"/>
    <n v="96"/>
  </r>
  <r>
    <n v="102"/>
    <x v="0"/>
    <x v="233"/>
    <s v="eth1/32"/>
    <x v="0"/>
    <x v="1"/>
    <x v="1"/>
    <s v="SFLDI:RLDICDR06:1"/>
    <x v="6"/>
    <b v="0"/>
    <s v="No está en VPC"/>
    <n v="102"/>
    <s v="INTPG_ACC_102_1.32"/>
    <s v="ISEL-1.32"/>
    <n v="1"/>
    <s v="NO TIENE L3OUT"/>
    <n v="228"/>
    <n v="96"/>
  </r>
  <r>
    <n v="863"/>
    <x v="2"/>
    <x v="234"/>
    <s v="eth1/32"/>
    <x v="0"/>
    <x v="0"/>
    <x v="0"/>
    <s v="To_VPC_2DCBSD_WR55_2"/>
    <x v="0"/>
    <b v="0"/>
    <s v="No está en VPC"/>
    <n v="863"/>
    <s v="INTPG_VPC_858_1.32_863_1.32"/>
    <s v="ISEL-1.32"/>
    <n v="1"/>
    <s v="NO TIENE L3OUT"/>
    <n v="8"/>
    <n v="54"/>
  </r>
  <r>
    <n v="876"/>
    <x v="2"/>
    <x v="235"/>
    <s v="eth1/32"/>
    <x v="0"/>
    <x v="0"/>
    <x v="0"/>
    <s v="A_ITHFHWSEQLDPS04_Principal"/>
    <x v="4"/>
    <b v="0"/>
    <s v="No está en VPC"/>
    <n v="876"/>
    <s v="INTPG_ACC_876_1.32"/>
    <s v="ISEL-1.32"/>
    <n v="1"/>
    <s v="NO TIENE L3OUT"/>
    <n v="92"/>
    <n v="54"/>
  </r>
  <r>
    <n v="877"/>
    <x v="2"/>
    <x v="236"/>
    <s v="eth1/32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32"/>
    <x v="1"/>
    <x v="1"/>
    <x v="2"/>
    <s v="IXTRTC5"/>
    <x v="6"/>
    <b v="0"/>
    <s v="No está en VPC"/>
    <n v="122"/>
    <s v="INTPG_ACC_122_1.32"/>
    <s v="ISEL-1.32"/>
    <n v="1"/>
    <s v="NO TIENE L3OUT"/>
    <n v="148"/>
    <n v="96"/>
  </r>
  <r>
    <n v="157"/>
    <x v="0"/>
    <x v="238"/>
    <s v="eth1/32"/>
    <x v="0"/>
    <x v="0"/>
    <x v="0"/>
    <s v="SNA TEST BED"/>
    <x v="6"/>
    <b v="0"/>
    <s v="No está en VPC"/>
    <n v="157"/>
    <s v="INTPG_ACC_157_1.32"/>
    <s v="ISEL-1.32"/>
    <n v="0"/>
    <s v="L3OUT-SNA-SITE-TESTBED-BGP"/>
    <n v="202"/>
    <n v="96"/>
  </r>
  <r>
    <n v="408"/>
    <x v="1"/>
    <x v="239"/>
    <s v="eth1/32"/>
    <x v="0"/>
    <x v="0"/>
    <x v="0"/>
    <s v="NPO101"/>
    <x v="6"/>
    <b v="0"/>
    <s v="No está en VPC"/>
    <n v="408"/>
    <s v="INTPG_ACC_408_1.32"/>
    <s v="ISEL-1.32"/>
    <n v="1"/>
    <s v="NO TIENE L3OUT"/>
    <n v="152"/>
    <n v="96"/>
  </r>
  <r>
    <n v="405"/>
    <x v="1"/>
    <x v="240"/>
    <s v="eth1/32"/>
    <x v="0"/>
    <x v="0"/>
    <x v="0"/>
    <s v="IXT_ARIESO7_LDR5"/>
    <x v="6"/>
    <b v="0"/>
    <s v="No está en VPC"/>
    <n v="405"/>
    <s v="INTPG_ACC_405_1.32"/>
    <s v="ISEL-1.32"/>
    <n v="1"/>
    <s v="NO TIENE L3OUT"/>
    <n v="138"/>
    <n v="96"/>
  </r>
  <r>
    <n v="169"/>
    <x v="0"/>
    <x v="241"/>
    <s v="eth1/32"/>
    <x v="0"/>
    <x v="0"/>
    <x v="0"/>
    <s v="LINKDOWN_HACIA_UCS_9UCS-GEO-IXTLA-SERV2"/>
    <x v="6"/>
    <b v="0"/>
    <s v="No está en VPC"/>
    <n v="169"/>
    <s v="INTPG_ACC_169_1.32"/>
    <s v="ISEL-1.32"/>
    <n v="1"/>
    <s v="NO TIENE L3OUT"/>
    <n v="76"/>
    <n v="96"/>
  </r>
  <r>
    <n v="165"/>
    <x v="0"/>
    <x v="242"/>
    <s v="eth1/32"/>
    <x v="1"/>
    <x v="1"/>
    <x v="2"/>
    <s v="NPG_DOC"/>
    <x v="6"/>
    <b v="0"/>
    <s v="No está en VPC"/>
    <n v="165"/>
    <s v="INTPG_ACC_165_1.32"/>
    <s v="ISEL-1.32"/>
    <n v="0"/>
    <s v="NO TIENE L3OUT"/>
    <n v="86"/>
    <n v="96"/>
  </r>
  <r>
    <n v="417"/>
    <x v="1"/>
    <x v="243"/>
    <s v="eth1/32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32"/>
    <x v="1"/>
    <x v="1"/>
    <x v="2"/>
    <s v="DCX_BKP2"/>
    <x v="6"/>
    <b v="0"/>
    <s v="No está en VPC"/>
    <n v="153"/>
    <s v="INTPG_ACC_153_1.32"/>
    <s v="ISEL-1.32"/>
    <n v="0"/>
    <s v="NO TIENE L3OUT"/>
    <n v="42"/>
    <n v="96"/>
  </r>
  <r>
    <n v="119"/>
    <x v="0"/>
    <x v="245"/>
    <s v="eth1/32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32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32"/>
    <x v="0"/>
    <x v="1"/>
    <x v="1"/>
    <s v="EHEALTH:ehealthp08:NET01"/>
    <x v="6"/>
    <b v="0"/>
    <s v="No está en VPC"/>
    <n v="103"/>
    <s v="INTPG_ACC_103_1.32"/>
    <s v="ISEL-1.32"/>
    <n v="1"/>
    <s v="NO TIENE L3OUT"/>
    <n v="70"/>
    <n v="96"/>
  </r>
  <r>
    <n v="438"/>
    <x v="1"/>
    <x v="248"/>
    <s v="eth1/32"/>
    <x v="0"/>
    <x v="0"/>
    <x v="0"/>
    <s v="DESC"/>
    <x v="6"/>
    <b v="0"/>
    <s v="No está en VPC"/>
    <n v="438"/>
    <s v="INTPG_PC_438_1.30-35"/>
    <s v="ISEL-1.32"/>
    <n v="7"/>
    <s v="NO TIENE L3OUT"/>
    <n v="170"/>
    <n v="96"/>
  </r>
  <r>
    <n v="406"/>
    <x v="1"/>
    <x v="249"/>
    <s v="eth1/32"/>
    <x v="1"/>
    <x v="1"/>
    <x v="2"/>
    <s v="DESC"/>
    <x v="6"/>
    <b v="0"/>
    <s v="No está en VPC"/>
    <n v="406"/>
    <s v="INTPG_PC_406_1.31-34"/>
    <s v="ISEL-1.32"/>
    <n v="4"/>
    <s v="NO TIENE L3OUT"/>
    <n v="82"/>
    <n v="96"/>
  </r>
  <r>
    <n v="414"/>
    <x v="1"/>
    <x v="250"/>
    <s v="eth1/32"/>
    <x v="0"/>
    <x v="0"/>
    <x v="0"/>
    <s v="ITHMSNUBE2_ITH3"/>
    <x v="6"/>
    <b v="0"/>
    <s v="No está en VPC"/>
    <n v="414"/>
    <s v="INTPG_ACC_414_1.32"/>
    <s v="ISEL-1.32"/>
    <n v="1"/>
    <s v="NO TIENE L3OUT"/>
    <n v="144"/>
    <n v="96"/>
  </r>
  <r>
    <n v="416"/>
    <x v="1"/>
    <x v="251"/>
    <s v="eth1/32"/>
    <x v="0"/>
    <x v="1"/>
    <x v="1"/>
    <s v="DESC"/>
    <x v="6"/>
    <b v="0"/>
    <s v="No está en VPC"/>
    <n v="416"/>
    <s v="INTPG_PC_416_1.32-39"/>
    <s v="ISEL-1.32"/>
    <n v="8"/>
    <s v="NO TIENE L3OUT"/>
    <n v="110"/>
    <n v="96"/>
  </r>
  <r>
    <n v="418"/>
    <x v="1"/>
    <x v="252"/>
    <s v="eth1/32"/>
    <x v="0"/>
    <x v="1"/>
    <x v="1"/>
    <s v="DESC"/>
    <x v="6"/>
    <b v="0"/>
    <s v="No está en VPC"/>
    <n v="418"/>
    <s v="INTPG_PC_418_1.32-39"/>
    <s v="ISEL-1.32"/>
    <n v="8"/>
    <s v="NO TIENE L3OUT"/>
    <n v="152"/>
    <n v="96"/>
  </r>
  <r>
    <n v="413"/>
    <x v="1"/>
    <x v="253"/>
    <s v="eth1/32"/>
    <x v="0"/>
    <x v="0"/>
    <x v="0"/>
    <s v="lagidmhlapvp12_produccion1"/>
    <x v="6"/>
    <b v="0"/>
    <s v="No está en VPC"/>
    <n v="413"/>
    <s v="INTPG_VPC_411_1.36-39_413_1.29-32"/>
    <s v="ISEL-1.32"/>
    <n v="2"/>
    <s v="NO TIENE L3OUT"/>
    <n v="126"/>
    <n v="96"/>
  </r>
  <r>
    <n v="403"/>
    <x v="1"/>
    <x v="254"/>
    <s v="eth1/32"/>
    <x v="0"/>
    <x v="0"/>
    <x v="0"/>
    <s v="IXT_ARIESO7_LDR5"/>
    <x v="6"/>
    <b v="0"/>
    <s v="No está en VPC"/>
    <n v="403"/>
    <s v="INTPG_ACC_403_1.32"/>
    <s v="ISEL-1.32"/>
    <n v="1"/>
    <s v="NO TIENE L3OUT"/>
    <n v="150"/>
    <n v="96"/>
  </r>
  <r>
    <n v="125"/>
    <x v="0"/>
    <x v="255"/>
    <s v="eth1/32"/>
    <x v="1"/>
    <x v="1"/>
    <x v="2"/>
    <s v="Politicas de Navegacion"/>
    <x v="6"/>
    <b v="0"/>
    <s v="No está en VPC"/>
    <n v="125"/>
    <s v="INTPG_VPC_124_1.28-29_125_1.31-32"/>
    <s v="ISEL-1.32"/>
    <n v="5"/>
    <s v="NO TIENE L3OUT"/>
    <n v="72"/>
    <n v="96"/>
  </r>
  <r>
    <n v="166"/>
    <x v="0"/>
    <x v="256"/>
    <s v="eth1/32"/>
    <x v="0"/>
    <x v="0"/>
    <x v="0"/>
    <s v="Gestion_NPG_DOC"/>
    <x v="6"/>
    <b v="0"/>
    <s v="No está en VPC"/>
    <n v="166"/>
    <s v="INTPG_ACC_166_1.32"/>
    <s v="ISEL-1.32"/>
    <n v="1"/>
    <s v="NO TIENE L3OUT"/>
    <n v="84"/>
    <n v="96"/>
  </r>
  <r>
    <n v="111"/>
    <x v="0"/>
    <x v="257"/>
    <s v="eth1/32"/>
    <x v="0"/>
    <x v="0"/>
    <x v="0"/>
    <s v="RACKS VMTLCLAMX1"/>
    <x v="6"/>
    <b v="0"/>
    <s v="No está en VPC"/>
    <n v="111"/>
    <s v="INTPG_ACC_111_1.32"/>
    <s v="ISEL-1.32"/>
    <n v="1"/>
    <s v="NO TIENE L3OUT"/>
    <n v="58"/>
    <n v="96"/>
  </r>
  <r>
    <n v="115"/>
    <x v="0"/>
    <x v="258"/>
    <s v="eth1/32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32"/>
    <x v="0"/>
    <x v="0"/>
    <x v="0"/>
    <m/>
    <x v="6"/>
    <b v="0"/>
    <s v="No está en VPC"/>
    <n v="106"/>
    <s v="INTPG_ACC_106_1.32"/>
    <s v="ISEL-1.32"/>
    <n v="1"/>
    <s v="NO TIENE L3OUT"/>
    <n v="122"/>
    <n v="96"/>
  </r>
  <r>
    <n v="126"/>
    <x v="0"/>
    <x v="260"/>
    <s v="eth1/32"/>
    <x v="0"/>
    <x v="0"/>
    <x v="0"/>
    <s v="ENIQ"/>
    <x v="6"/>
    <b v="0"/>
    <s v="No está en VPC"/>
    <n v="126"/>
    <s v="INTPG_ACC_126_1.32"/>
    <s v="ISEL-1.32"/>
    <n v="1"/>
    <s v="NO TIENE L3OUT"/>
    <n v="54"/>
    <n v="96"/>
  </r>
  <r>
    <n v="425"/>
    <x v="1"/>
    <x v="261"/>
    <s v="eth1/32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32"/>
    <x v="0"/>
    <x v="0"/>
    <x v="0"/>
    <s v="TO-ITHEMCDD69007641DKC0-INT1.3"/>
    <x v="6"/>
    <b v="0"/>
    <s v="No está en VPC"/>
    <n v="151"/>
    <s v="INTPG_ACC_151_1.32"/>
    <s v="ISEL-1.32"/>
    <n v="1"/>
    <s v="NO TIENE L3OUT"/>
    <n v="86"/>
    <n v="96"/>
  </r>
  <r>
    <n v="430"/>
    <x v="1"/>
    <x v="263"/>
    <s v="eth1/32"/>
    <x v="0"/>
    <x v="0"/>
    <x v="0"/>
    <s v="DESC"/>
    <x v="6"/>
    <b v="0"/>
    <s v="No está en VPC"/>
    <n v="430"/>
    <s v="INTPG_PC_430_1.31-32"/>
    <s v="ISEL-1.32"/>
    <n v="1"/>
    <s v="NO TIENE L3OUT"/>
    <n v="86"/>
    <n v="96"/>
  </r>
  <r>
    <n v="419"/>
    <x v="1"/>
    <x v="264"/>
    <s v="eth1/32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32"/>
    <x v="1"/>
    <x v="1"/>
    <x v="2"/>
    <s v="RED CRICKET"/>
    <x v="6"/>
    <b v="0"/>
    <s v="No está en VPC"/>
    <n v="155"/>
    <s v="INTPG_ACC_155_1.32"/>
    <s v="ISEL-1.32"/>
    <n v="1"/>
    <s v="NO TIENE L3OUT"/>
    <n v="198"/>
    <n v="96"/>
  </r>
  <r>
    <n v="409"/>
    <x v="1"/>
    <x v="266"/>
    <s v="eth1/32"/>
    <x v="0"/>
    <x v="0"/>
    <x v="0"/>
    <s v="Uxcppnal"/>
    <x v="6"/>
    <b v="0"/>
    <s v="No está en VPC"/>
    <n v="409"/>
    <s v="INTPG_ACC_409_1.32"/>
    <s v="ISEL-1.32"/>
    <n v="1"/>
    <s v="NO TIENE L3OUT"/>
    <n v="128"/>
    <n v="96"/>
  </r>
  <r>
    <n v="422"/>
    <x v="1"/>
    <x v="267"/>
    <s v="eth1/32"/>
    <x v="0"/>
    <x v="0"/>
    <x v="0"/>
    <s v="IXTSD971B"/>
    <x v="6"/>
    <b v="0"/>
    <s v="No está en VPC"/>
    <n v="422"/>
    <s v="INTPG_ACC_422_1.32"/>
    <s v="ISEL-1.32"/>
    <n v="1"/>
    <s v="NO TIENE L3OUT"/>
    <n v="182"/>
    <n v="96"/>
  </r>
  <r>
    <n v="436"/>
    <x v="1"/>
    <x v="268"/>
    <s v="eth1/32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32"/>
    <x v="0"/>
    <x v="0"/>
    <x v="0"/>
    <s v="PAPERLES_ITHFNET1-DD_PTO0"/>
    <x v="6"/>
    <b v="0"/>
    <s v="No está en VPC"/>
    <n v="410"/>
    <s v="INTPG_ACC_410_1.32"/>
    <s v="ISEL-1.32"/>
    <n v="1"/>
    <s v="NO TIENE L3OUT"/>
    <n v="178"/>
    <n v="96"/>
  </r>
  <r>
    <n v="161"/>
    <x v="0"/>
    <x v="270"/>
    <s v="eth1/32"/>
    <x v="0"/>
    <x v="0"/>
    <x v="0"/>
    <s v="desc"/>
    <x v="6"/>
    <b v="0"/>
    <s v="No está en VPC"/>
    <n v="161"/>
    <s v="INTPG_VPC_161_1.32_163_1.31"/>
    <s v="ISEL-1.32"/>
    <n v="1"/>
    <s v="NO TIENE L3OUT"/>
    <n v="102"/>
    <n v="96"/>
  </r>
  <r>
    <n v="411"/>
    <x v="1"/>
    <x v="271"/>
    <s v="eth1/32"/>
    <x v="0"/>
    <x v="0"/>
    <x v="0"/>
    <s v="lagidmhlapvp10_produccion1"/>
    <x v="6"/>
    <b v="0"/>
    <s v="No está en VPC"/>
    <n v="411"/>
    <s v="INTPG_VPC_411_1.31-34_413_1.24-27"/>
    <s v="ISEL-1.32"/>
    <n v="2"/>
    <s v="NO TIENE L3OUT"/>
    <n v="96"/>
    <n v="96"/>
  </r>
  <r>
    <n v="116"/>
    <x v="0"/>
    <x v="272"/>
    <s v="eth1/32"/>
    <x v="1"/>
    <x v="1"/>
    <x v="2"/>
    <s v="INGE6"/>
    <x v="6"/>
    <b v="0"/>
    <s v="No está en VPC"/>
    <n v="116"/>
    <s v="INTPG_ACC_116_1.32"/>
    <s v="ISEL-1.32"/>
    <n v="0"/>
    <s v="NO TIENE L3OUT"/>
    <n v="148"/>
    <n v="96"/>
  </r>
  <r>
    <n v="412"/>
    <x v="1"/>
    <x v="273"/>
    <s v="eth1/32"/>
    <x v="0"/>
    <x v="0"/>
    <x v="0"/>
    <s v="FS101"/>
    <x v="6"/>
    <b v="0"/>
    <s v="No está en VPC"/>
    <n v="412"/>
    <s v="INTPG_ACC_412_1.32"/>
    <s v="ISEL-1.32"/>
    <n v="1"/>
    <s v="NO TIENE L3OUT"/>
    <n v="126"/>
    <n v="96"/>
  </r>
  <r>
    <n v="120"/>
    <x v="0"/>
    <x v="274"/>
    <s v="eth1/32"/>
    <x v="0"/>
    <x v="0"/>
    <x v="0"/>
    <s v="IXTRTC5"/>
    <x v="6"/>
    <b v="0"/>
    <s v="No está en VPC"/>
    <n v="120"/>
    <s v="INTPG_ACC_120_1.32"/>
    <s v="ISEL-1.32"/>
    <n v="1"/>
    <s v="NO TIENE L3OUT"/>
    <n v="158"/>
    <n v="96"/>
  </r>
  <r>
    <n v="404"/>
    <x v="1"/>
    <x v="275"/>
    <s v="eth1/32"/>
    <x v="0"/>
    <x v="0"/>
    <x v="0"/>
    <s v="DESC"/>
    <x v="6"/>
    <b v="0"/>
    <s v="No está en VPC"/>
    <n v="404"/>
    <s v="INTPG_PC_404_1.31-34"/>
    <s v="ISEL-1.32"/>
    <n v="4"/>
    <s v="NO TIENE L3OUT"/>
    <n v="92"/>
    <n v="96"/>
  </r>
  <r>
    <n v="167"/>
    <x v="0"/>
    <x v="276"/>
    <s v="eth1/32"/>
    <x v="0"/>
    <x v="0"/>
    <x v="0"/>
    <s v="TO-CORE_SWITCH-3-Y-4"/>
    <x v="6"/>
    <b v="0"/>
    <s v="No está en VPC"/>
    <n v="167"/>
    <s v="INTPG_VPC_167_1.30-32_169_1.21-23"/>
    <s v="ISEL-1.32"/>
    <n v="4"/>
    <s v="NO TIENE L3OUT"/>
    <n v="68"/>
    <n v="96"/>
  </r>
  <r>
    <n v="428"/>
    <x v="1"/>
    <x v="277"/>
    <s v="eth1/32"/>
    <x v="0"/>
    <x v="0"/>
    <x v="0"/>
    <s v="DESC"/>
    <x v="6"/>
    <b v="0"/>
    <s v="No está en VPC"/>
    <n v="428"/>
    <s v="INTPG_PC_428_1.31-32"/>
    <s v="ISEL-1.32"/>
    <n v="1"/>
    <s v="NO TIENE L3OUT"/>
    <n v="102"/>
    <n v="96"/>
  </r>
  <r>
    <n v="903"/>
    <x v="2"/>
    <x v="278"/>
    <s v="eth1/32"/>
    <x v="0"/>
    <x v="0"/>
    <x v="0"/>
    <s v="LINK_HACIA_RMAC"/>
    <x v="7"/>
    <b v="0"/>
    <s v="No está en VPC"/>
    <n v="903"/>
    <s v="NO EXISTE PG"/>
    <s v="NO EXISTE ISEL"/>
    <n v="0"/>
    <s v="multipod"/>
    <n v="0"/>
    <s v="SPINE"/>
  </r>
  <r>
    <n v="902"/>
    <x v="2"/>
    <x v="279"/>
    <s v="eth1/32"/>
    <x v="0"/>
    <x v="0"/>
    <x v="0"/>
    <s v="LINK_HACIA_RMAC"/>
    <x v="7"/>
    <b v="0"/>
    <s v="No está en VPC"/>
    <n v="902"/>
    <s v="NO EXISTE PG"/>
    <s v="NO EXISTE ISEL"/>
    <n v="0"/>
    <s v="multipod"/>
    <n v="0"/>
    <s v="SPINE"/>
  </r>
  <r>
    <n v="128"/>
    <x v="0"/>
    <x v="0"/>
    <s v="eth1/33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33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33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33"/>
    <x v="0"/>
    <x v="0"/>
    <x v="0"/>
    <s v="L3out-telcel-ipcorp-int-RMAC1"/>
    <x v="0"/>
    <b v="0"/>
    <s v="No está en VPC"/>
    <n v="101"/>
    <s v="INTPG_ACC_101_1.33"/>
    <s v="ISEL-1.33"/>
    <n v="0"/>
    <s v="L3OUT-TELCEL-IPCORP-INT"/>
    <n v="114"/>
    <n v="54"/>
  </r>
  <r>
    <n v="160"/>
    <x v="0"/>
    <x v="4"/>
    <s v="eth1/33"/>
    <x v="0"/>
    <x v="1"/>
    <x v="1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33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33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33"/>
    <x v="0"/>
    <x v="1"/>
    <x v="3"/>
    <m/>
    <x v="0"/>
    <b v="0"/>
    <s v="No está en VPC"/>
    <n v="401"/>
    <s v="NO EXISTE PG"/>
    <s v="NO EXISTE ISEL"/>
    <n v="0"/>
    <s v="NO TIENE L3OUT"/>
    <n v="40"/>
    <n v="54"/>
  </r>
  <r>
    <n v="402"/>
    <x v="1"/>
    <x v="8"/>
    <s v="eth1/33"/>
    <x v="0"/>
    <x v="0"/>
    <x v="0"/>
    <s v="TO-ITHEMCDD94004916-PRINCIPAL"/>
    <x v="0"/>
    <b v="0"/>
    <s v="No está en VPC"/>
    <n v="402"/>
    <s v="INTPG_ACC_402_1.33"/>
    <s v="ISEL-1.33"/>
    <n v="1"/>
    <s v="NO TIENE L3OUT"/>
    <n v="36"/>
    <n v="54"/>
  </r>
  <r>
    <n v="447"/>
    <x v="1"/>
    <x v="9"/>
    <s v="eth1/33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33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33"/>
    <x v="0"/>
    <x v="0"/>
    <x v="0"/>
    <s v="ITHFHWHSMTLCN06-LOM  P1"/>
    <x v="0"/>
    <b v="0"/>
    <s v="No está en VPC"/>
    <n v="130"/>
    <s v="INTPG_ACC_130_1.33"/>
    <s v="ISEL-1.33"/>
    <n v="9"/>
    <s v="NO TIENE L3OUT"/>
    <n v="128"/>
    <n v="54"/>
  </r>
  <r>
    <n v="150"/>
    <x v="0"/>
    <x v="12"/>
    <s v="eth1/33"/>
    <x v="0"/>
    <x v="0"/>
    <x v="0"/>
    <s v="L3out-telcel-ipcorp-int-RMAC2"/>
    <x v="0"/>
    <b v="0"/>
    <s v="No está en VPC"/>
    <n v="150"/>
    <s v="INTPG_ACC_150_1.33"/>
    <s v="ISEL-1.33"/>
    <n v="0"/>
    <s v="L3OUT-TELCEL-IPCORP-INT"/>
    <n v="118"/>
    <n v="54"/>
  </r>
  <r>
    <n v="131"/>
    <x v="0"/>
    <x v="13"/>
    <s v="eth1/33"/>
    <x v="0"/>
    <x v="0"/>
    <x v="0"/>
    <s v="ITHFHWHSMTLCN06-LOM  P2"/>
    <x v="0"/>
    <b v="0"/>
    <s v="No está en VPC"/>
    <n v="131"/>
    <s v="INTPG_ACC_131_1.33"/>
    <s v="ISEL-1.33"/>
    <n v="9"/>
    <s v="NO TIENE L3OUT"/>
    <n v="126"/>
    <n v="54"/>
  </r>
  <r>
    <n v="758"/>
    <x v="2"/>
    <x v="15"/>
    <s v="eth1/33"/>
    <x v="0"/>
    <x v="1"/>
    <x v="3"/>
    <s v="LINK_HACIA_MGMT"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33"/>
    <x v="1"/>
    <x v="1"/>
    <x v="3"/>
    <s v="LINK_HACIA_MGMT"/>
    <x v="2"/>
    <b v="0"/>
    <s v="No está en VPC"/>
    <n v="759"/>
    <s v="NO EXISTE PG"/>
    <s v="NO EXISTE ISEL"/>
    <n v="0"/>
    <s v="NO TIENE L3OUT"/>
    <n v="0"/>
    <n v="42"/>
  </r>
  <r>
    <n v="424"/>
    <x v="1"/>
    <x v="18"/>
    <s v="eth1/33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33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33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33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33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33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33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33"/>
    <x v="1"/>
    <x v="1"/>
    <x v="3"/>
    <m/>
    <x v="0"/>
    <b v="0"/>
    <s v="No está en VPC"/>
    <n v="431"/>
    <s v="NO EXISTE PG"/>
    <s v="NO EXISTE ISEL"/>
    <n v="0"/>
    <s v="NO TIENE L3OUT"/>
    <n v="46"/>
    <n v="54"/>
  </r>
  <r>
    <n v="433"/>
    <x v="1"/>
    <x v="27"/>
    <s v="eth1/33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33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33"/>
    <x v="0"/>
    <x v="0"/>
    <x v="0"/>
    <s v="TO-ITHFDLMCLWLCN05-Principal"/>
    <x v="1"/>
    <b v="0"/>
    <s v="No está en VPC"/>
    <n v="432"/>
    <s v="INTPG_ACC_432_1.33"/>
    <s v="ISEL-1.33"/>
    <n v="1"/>
    <s v="NO TIENE L3OUT"/>
    <n v="54"/>
    <n v="54"/>
  </r>
  <r>
    <n v="442"/>
    <x v="1"/>
    <x v="30"/>
    <s v="eth1/33"/>
    <x v="0"/>
    <x v="0"/>
    <x v="0"/>
    <s v="bmc_ithhwc3c2288h1_SECUNDARIO"/>
    <x v="1"/>
    <b v="0"/>
    <s v="No está en VPC"/>
    <n v="442"/>
    <s v="INTPG_ACC_442_1.33"/>
    <s v="ISEL-1.33"/>
    <n v="1"/>
    <s v="NO TIENE L3OUT"/>
    <n v="18"/>
    <n v="54"/>
  </r>
  <r>
    <n v="434"/>
    <x v="1"/>
    <x v="31"/>
    <s v="eth1/33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33"/>
    <x v="0"/>
    <x v="1"/>
    <x v="3"/>
    <s v="CEM_HADOOP"/>
    <x v="0"/>
    <b v="0"/>
    <s v="No está en VPC"/>
    <n v="707"/>
    <s v="INTPG_ACC_707_1.33"/>
    <s v="ISEL-1.33"/>
    <n v="0"/>
    <s v="NO TIENE L3OUT"/>
    <n v="54"/>
    <n v="54"/>
  </r>
  <r>
    <n v="712"/>
    <x v="2"/>
    <x v="33"/>
    <s v="eth1/33"/>
    <x v="0"/>
    <x v="1"/>
    <x v="5"/>
    <s v="CEM:ITHCEMB2ADT17:LOM P1"/>
    <x v="0"/>
    <b v="0"/>
    <s v="No está en VPC"/>
    <n v="712"/>
    <s v="INTPG_VPC_712_1.33_713_1.34"/>
    <s v="ISEL-1.33"/>
    <n v="1"/>
    <s v="NO TIENE L3OUT"/>
    <n v="32"/>
    <n v="54"/>
  </r>
  <r>
    <n v="719"/>
    <x v="2"/>
    <x v="34"/>
    <s v="eth1/33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33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33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33"/>
    <x v="0"/>
    <x v="1"/>
    <x v="5"/>
    <s v="CEM:ITHCEMC2ADT17:LOM P1"/>
    <x v="0"/>
    <b v="0"/>
    <s v="No está en VPC"/>
    <n v="711"/>
    <s v="INTPG_VPC_710_1.34_711_1.33"/>
    <s v="ISEL-1.33"/>
    <n v="1"/>
    <s v="NO TIENE L3OUT"/>
    <n v="16"/>
    <n v="54"/>
  </r>
  <r>
    <n v="716"/>
    <x v="2"/>
    <x v="38"/>
    <s v="eth1/33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33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33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33"/>
    <x v="0"/>
    <x v="0"/>
    <x v="0"/>
    <s v="Proyecto Arieso"/>
    <x v="0"/>
    <b v="0"/>
    <s v="No está en VPC"/>
    <n v="446"/>
    <s v="INTPG_VPC_444_1.33-36_446_1.33-36"/>
    <s v="ISEL-1.33"/>
    <n v="19"/>
    <s v="NO TIENE L3OUT"/>
    <n v="198"/>
    <n v="54"/>
  </r>
  <r>
    <n v="444"/>
    <x v="1"/>
    <x v="42"/>
    <s v="eth1/33"/>
    <x v="0"/>
    <x v="0"/>
    <x v="0"/>
    <s v="Proyecto Arieso"/>
    <x v="0"/>
    <b v="0"/>
    <s v="No está en VPC"/>
    <n v="444"/>
    <s v="INTPG_VPC_444_1.33-36_446_1.33-36"/>
    <s v="ISEL-1.33"/>
    <n v="19"/>
    <s v="NO TIENE L3OUT"/>
    <n v="234"/>
    <n v="54"/>
  </r>
  <r>
    <n v="701"/>
    <x v="2"/>
    <x v="43"/>
    <s v="eth1/33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33"/>
    <x v="0"/>
    <x v="0"/>
    <x v="0"/>
    <s v="bmc_ithhwc3b2288h5_PRINCIPAL"/>
    <x v="1"/>
    <b v="0"/>
    <s v="No está en VPC"/>
    <n v="440"/>
    <s v="INTPG_ACC_440_1.33"/>
    <s v="ISEL-1.33"/>
    <n v="1"/>
    <s v="NO TIENE L3OUT"/>
    <n v="22"/>
    <n v="54"/>
  </r>
  <r>
    <n v="448"/>
    <x v="1"/>
    <x v="45"/>
    <s v="eth1/33"/>
    <x v="1"/>
    <x v="1"/>
    <x v="3"/>
    <m/>
    <x v="0"/>
    <b v="0"/>
    <s v="No está en VPC"/>
    <n v="448"/>
    <s v="NO EXISTE PG"/>
    <s v="NO EXISTE ISEL"/>
    <n v="0"/>
    <s v="NO TIENE L3OUT"/>
    <n v="46"/>
    <n v="54"/>
  </r>
  <r>
    <n v="704"/>
    <x v="2"/>
    <x v="46"/>
    <s v="eth1/33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33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33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33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33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33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33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33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33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33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33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33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33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33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33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33"/>
    <x v="0"/>
    <x v="1"/>
    <x v="1"/>
    <s v="ITHCEMB2ADT14"/>
    <x v="5"/>
    <b v="0"/>
    <s v="No está en VPC"/>
    <n v="742"/>
    <s v="INTPG_ACC_742_1.33"/>
    <s v="ISEL-1.33"/>
    <n v="1"/>
    <s v="NO TIENE L3OUT"/>
    <n v="64"/>
    <n v="54"/>
  </r>
  <r>
    <n v="763"/>
    <x v="2"/>
    <x v="63"/>
    <s v="eth1/33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33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33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33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33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33"/>
    <x v="0"/>
    <x v="0"/>
    <x v="0"/>
    <s v="CLOUD OPS:ithhwcop01st01ce01:A IOM1 Smart IO P0"/>
    <x v="0"/>
    <b v="0"/>
    <s v="No está en VPC"/>
    <n v="778"/>
    <s v="INTPG_VPC_778_1.22_33_779_1.22_33"/>
    <s v="ISEL-1.33"/>
    <n v="2"/>
    <s v="NO TIENE L3OUT"/>
    <n v="26"/>
    <n v="54"/>
  </r>
  <r>
    <n v="780"/>
    <x v="2"/>
    <x v="69"/>
    <s v="eth1/33"/>
    <x v="0"/>
    <x v="0"/>
    <x v="0"/>
    <s v="CLOUD OPS:ithhwcop02en02:3X P2"/>
    <x v="0"/>
    <b v="0"/>
    <s v="No está en VPC"/>
    <n v="780"/>
    <s v="INTPG_VPC_780_1.30-33_781_1.30-33"/>
    <s v="ISEL-1.33"/>
    <n v="23"/>
    <s v="NO TIENE L3OUT"/>
    <n v="26"/>
    <n v="54"/>
  </r>
  <r>
    <n v="812"/>
    <x v="2"/>
    <x v="70"/>
    <s v="eth1/33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33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33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33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33"/>
    <x v="0"/>
    <x v="0"/>
    <x v="0"/>
    <s v="LINK_TO_ITHFHWCMVWPMA16 /Slot5.1 /Redundante"/>
    <x v="0"/>
    <b v="0"/>
    <s v="No está en VPC"/>
    <n v="824"/>
    <s v="INTPG_ACC_824_1.33"/>
    <s v="ISEL-1.33"/>
    <n v="1"/>
    <s v="NO TIENE L3OUT"/>
    <n v="70"/>
    <n v="54"/>
  </r>
  <r>
    <n v="819"/>
    <x v="2"/>
    <x v="75"/>
    <s v="eth1/33"/>
    <x v="0"/>
    <x v="0"/>
    <x v="0"/>
    <s v="LINK_TO_ITHFHWCMVWPMA16 /Slot4.2 /Principal"/>
    <x v="0"/>
    <b v="0"/>
    <s v="No está en VPC"/>
    <n v="819"/>
    <s v="INTPG_ACC_819_1.33"/>
    <s v="ISEL-1.33"/>
    <n v="1"/>
    <s v="NO TIENE L3OUT"/>
    <n v="70"/>
    <n v="54"/>
  </r>
  <r>
    <n v="737"/>
    <x v="2"/>
    <x v="76"/>
    <s v="eth1/33"/>
    <x v="0"/>
    <x v="0"/>
    <x v="0"/>
    <s v="CEM:ITHCEMF2HUN17:LOM P3"/>
    <x v="5"/>
    <b v="0"/>
    <s v="No está en VPC"/>
    <n v="737"/>
    <s v="INTPG_ACC_737_1.33"/>
    <s v="ISEL-1.33"/>
    <n v="1"/>
    <s v="NO TIENE L3OUT"/>
    <n v="72"/>
    <n v="54"/>
  </r>
  <r>
    <n v="844"/>
    <x v="2"/>
    <x v="77"/>
    <s v="eth1/33"/>
    <x v="0"/>
    <x v="0"/>
    <x v="0"/>
    <s v="LINK_TO_ITHFHWCRMPLCN111 / Slot1.3_26 / Principal"/>
    <x v="0"/>
    <b v="0"/>
    <s v="No está en VPC"/>
    <n v="844"/>
    <s v="INTPG_ACC_844_1.33"/>
    <s v="ISEL-1.33"/>
    <n v="1"/>
    <s v="NO TIENE L3OUT"/>
    <n v="282"/>
    <n v="54"/>
  </r>
  <r>
    <n v="843"/>
    <x v="2"/>
    <x v="78"/>
    <s v="eth1/33"/>
    <x v="0"/>
    <x v="0"/>
    <x v="0"/>
    <s v="LINK_To_ITHHWD6KV65100012DKC01 / CTMB_IOM1.P1_34 / Redundante"/>
    <x v="0"/>
    <b v="0"/>
    <s v="No está en VPC"/>
    <n v="843"/>
    <s v="INTPG_ACC_843_1.33"/>
    <s v="ISEL-1.33"/>
    <n v="1"/>
    <s v="NO TIENE L3OUT"/>
    <n v="38"/>
    <n v="54"/>
  </r>
  <r>
    <n v="797"/>
    <x v="2"/>
    <x v="79"/>
    <s v="eth1/33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33"/>
    <x v="0"/>
    <x v="0"/>
    <x v="0"/>
    <s v="LINK_TO_ITHFHWCBSPSHD40 / Slot7.3_18 / Redundante"/>
    <x v="0"/>
    <b v="0"/>
    <s v="No está en VPC"/>
    <n v="839"/>
    <s v="INTPG_VPC_834_1.33_839_1.33"/>
    <s v="ISEL-1.33"/>
    <n v="1"/>
    <s v="NO TIENE L3OUT"/>
    <n v="0"/>
    <n v="54"/>
  </r>
  <r>
    <n v="847"/>
    <x v="2"/>
    <x v="81"/>
    <s v="eth1/33"/>
    <x v="0"/>
    <x v="0"/>
    <x v="0"/>
    <s v="LINK_TO_ITHFHWCRMPLCN176 / Slot7.2_22 / Redundante"/>
    <x v="0"/>
    <b v="0"/>
    <s v="No está en VPC"/>
    <n v="847"/>
    <s v="INTPG_ACC_847_1.33"/>
    <s v="ISEL-1.33"/>
    <n v="2"/>
    <s v="NO TIENE L3OUT"/>
    <n v="204"/>
    <n v="54"/>
  </r>
  <r>
    <n v="848"/>
    <x v="2"/>
    <x v="82"/>
    <s v="eth1/33"/>
    <x v="0"/>
    <x v="0"/>
    <x v="0"/>
    <s v="LINK_TO_ITHFHWCRMPLCN165 / Slot7.2_32 / Redundante"/>
    <x v="0"/>
    <b v="0"/>
    <s v="No está en VPC"/>
    <n v="848"/>
    <s v="INTPG_ACC_848_1.33"/>
    <s v="ISEL-1.33"/>
    <n v="2"/>
    <s v="NO TIENE L3OUT"/>
    <n v="254"/>
    <n v="54"/>
  </r>
  <r>
    <n v="846"/>
    <x v="2"/>
    <x v="83"/>
    <s v="eth1/33"/>
    <x v="0"/>
    <x v="0"/>
    <x v="0"/>
    <s v="LINK_TO_ITHFHWCRMPLCN82 / Slot1.3_22 / Principal"/>
    <x v="0"/>
    <b v="0"/>
    <s v="No está en VPC"/>
    <n v="846"/>
    <s v="INTPG_ACC_846_1.33"/>
    <s v="ISEL-1.33"/>
    <n v="1"/>
    <s v="NO TIENE L3OUT"/>
    <n v="242"/>
    <n v="54"/>
  </r>
  <r>
    <n v="838"/>
    <x v="2"/>
    <x v="84"/>
    <s v="eth1/33"/>
    <x v="0"/>
    <x v="0"/>
    <x v="0"/>
    <s v="LINK_To_ITHHWD6KV65100012DKC01 / CTMB_IOM1.P0_34 / Principal"/>
    <x v="0"/>
    <b v="0"/>
    <s v="No está en VPC"/>
    <n v="838"/>
    <s v="INTPG_ACC_838_1.33"/>
    <s v="ISEL-1.33"/>
    <n v="1"/>
    <s v="NO TIENE L3OUT"/>
    <n v="38"/>
    <n v="54"/>
  </r>
  <r>
    <n v="849"/>
    <x v="2"/>
    <x v="85"/>
    <s v="eth1/33"/>
    <x v="0"/>
    <x v="0"/>
    <x v="0"/>
    <s v="LINK_TO_ITHFHWCRMPLCN145 / Slot7.2_24 / Redundante"/>
    <x v="0"/>
    <b v="0"/>
    <s v="No está en VPC"/>
    <n v="849"/>
    <s v="INTPG_ACC_849_1.33"/>
    <s v="ISEL-1.33"/>
    <n v="2"/>
    <s v="NO TIENE L3OUT"/>
    <n v="286"/>
    <n v="54"/>
  </r>
  <r>
    <n v="845"/>
    <x v="2"/>
    <x v="86"/>
    <s v="eth1/33"/>
    <x v="0"/>
    <x v="0"/>
    <x v="0"/>
    <s v="LINK_TO_ITHFHWCRMPLCN95 / Slot1.1_22 / Principal"/>
    <x v="0"/>
    <b v="0"/>
    <s v="No está en VPC"/>
    <n v="845"/>
    <s v="INTPG_ACC_845_1.33"/>
    <s v="ISEL-1.33"/>
    <n v="6"/>
    <s v="NO TIENE L3OUT"/>
    <n v="258"/>
    <n v="54"/>
  </r>
  <r>
    <n v="873"/>
    <x v="2"/>
    <x v="87"/>
    <s v="eth1/33"/>
    <x v="0"/>
    <x v="0"/>
    <x v="0"/>
    <s v="TO_ITHHWD6KV65100017DKC01_Principal"/>
    <x v="0"/>
    <b v="0"/>
    <s v="No está en VPC"/>
    <n v="873"/>
    <s v="INTPG_ACC_873_1.33"/>
    <s v="ISEL-1.33"/>
    <n v="1"/>
    <s v="NO TIENE L3OUT"/>
    <n v="248"/>
    <n v="54"/>
  </r>
  <r>
    <n v="864"/>
    <x v="2"/>
    <x v="88"/>
    <s v="eth1/33"/>
    <x v="0"/>
    <x v="0"/>
    <x v="0"/>
    <s v="To_VPC_2DCBSD_WR46_3"/>
    <x v="0"/>
    <b v="0"/>
    <s v="No está en VPC"/>
    <n v="864"/>
    <s v="INTPG_VPC_859_1.33_864_1.33"/>
    <s v="ISEL-1.33"/>
    <n v="1"/>
    <s v="NO TIENE L3OUT"/>
    <n v="0"/>
    <n v="54"/>
  </r>
  <r>
    <n v="836"/>
    <x v="2"/>
    <x v="89"/>
    <s v="eth1/33"/>
    <x v="0"/>
    <x v="0"/>
    <x v="0"/>
    <s v="LINK_TO_ITHFHWCBSPSHD25 / Slot1.2_14 / Principal"/>
    <x v="0"/>
    <b v="0"/>
    <s v="No está en VPC"/>
    <n v="836"/>
    <s v="INTPG_VPC_836_1.33_841_1.33"/>
    <s v="ISEL-1.33"/>
    <n v="1"/>
    <s v="NO TIENE L3OUT"/>
    <n v="0"/>
    <n v="54"/>
  </r>
  <r>
    <n v="834"/>
    <x v="2"/>
    <x v="90"/>
    <s v="eth1/33"/>
    <x v="0"/>
    <x v="0"/>
    <x v="0"/>
    <s v="LINK_TO_ITHFHWCBSPSHD40 / Slot1.3_18 / Principal"/>
    <x v="0"/>
    <b v="0"/>
    <s v="No está en VPC"/>
    <n v="834"/>
    <s v="INTPG_VPC_834_1.33_839_1.33"/>
    <s v="ISEL-1.33"/>
    <n v="1"/>
    <s v="NO TIENE L3OUT"/>
    <n v="0"/>
    <n v="54"/>
  </r>
  <r>
    <n v="872"/>
    <x v="2"/>
    <x v="91"/>
    <s v="eth1/33"/>
    <x v="0"/>
    <x v="0"/>
    <x v="0"/>
    <s v="To_ITHFHWCRMDLCN80_Principal"/>
    <x v="0"/>
    <b v="0"/>
    <s v="No está en VPC"/>
    <n v="872"/>
    <s v="INTPG_ACC_872_1.33"/>
    <s v="ISEL-1.33"/>
    <n v="6"/>
    <s v="NO TIENE L3OUT"/>
    <n v="288"/>
    <n v="54"/>
  </r>
  <r>
    <n v="842"/>
    <x v="2"/>
    <x v="92"/>
    <s v="eth1/33"/>
    <x v="0"/>
    <x v="0"/>
    <x v="0"/>
    <s v="LINK_To_ITHFHWCBSPSHD19 / Slot7.1_14 / Redundante"/>
    <x v="0"/>
    <b v="0"/>
    <s v="No está en VPC"/>
    <n v="842"/>
    <s v="INTPG_VPC_837_1.33_842_1.33"/>
    <s v="ISEL-1.33"/>
    <n v="2"/>
    <s v="NO TIENE L3OUT"/>
    <n v="8"/>
    <n v="54"/>
  </r>
  <r>
    <n v="828"/>
    <x v="2"/>
    <x v="93"/>
    <s v="eth1/33"/>
    <x v="0"/>
    <x v="0"/>
    <x v="0"/>
    <s v="LINK_TO_ITHFHWCRMDLCN26 /10GE.1 /Principal"/>
    <x v="0"/>
    <b v="0"/>
    <s v="No está en VPC"/>
    <n v="828"/>
    <s v="INTPG_ACC_828_1.33"/>
    <s v="ISEL-1.33"/>
    <n v="2"/>
    <s v="NO TIENE L3OUT"/>
    <n v="192"/>
    <n v="54"/>
  </r>
  <r>
    <n v="870"/>
    <x v="2"/>
    <x v="94"/>
    <s v="eth1/33"/>
    <x v="0"/>
    <x v="0"/>
    <x v="0"/>
    <s v="TO_ITHHWD6KV65100017DKC01_Redundante"/>
    <x v="0"/>
    <b v="0"/>
    <s v="No está en VPC"/>
    <n v="870"/>
    <s v="INTPG_ACC_870_1.33"/>
    <s v="ISEL-1.33"/>
    <n v="1"/>
    <s v="NO TIENE L3OUT"/>
    <n v="248"/>
    <n v="54"/>
  </r>
  <r>
    <n v="866"/>
    <x v="2"/>
    <x v="95"/>
    <s v="eth1/33"/>
    <x v="0"/>
    <x v="0"/>
    <x v="0"/>
    <s v="To_VPC_2DCBSD_BD13_2"/>
    <x v="0"/>
    <b v="0"/>
    <s v="No está en VPC"/>
    <n v="866"/>
    <s v="INTPG_VPC_861_1.33_866_1.33"/>
    <s v="ISEL-1.33"/>
    <n v="1"/>
    <s v="NO TIENE L3OUT"/>
    <n v="8"/>
    <n v="54"/>
  </r>
  <r>
    <n v="862"/>
    <x v="2"/>
    <x v="96"/>
    <s v="eth1/33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33"/>
    <x v="0"/>
    <x v="0"/>
    <x v="0"/>
    <s v="LINK_TO_ITHFHWCRMPLCN165 / Slot1.2_32 / Principal"/>
    <x v="0"/>
    <b v="0"/>
    <s v="No está en VPC"/>
    <n v="855"/>
    <s v="INTPG_ACC_855_1.33"/>
    <s v="ISEL-1.33"/>
    <n v="2"/>
    <s v="NO TIENE L3OUT"/>
    <n v="254"/>
    <n v="54"/>
  </r>
  <r>
    <n v="871"/>
    <x v="2"/>
    <x v="98"/>
    <s v="eth1/33"/>
    <x v="0"/>
    <x v="0"/>
    <x v="0"/>
    <s v="To_ITHFHWCRMDLCN64_Principal"/>
    <x v="0"/>
    <b v="0"/>
    <s v="No está en VPC"/>
    <n v="871"/>
    <s v="INTPG_ACC_871_1.33"/>
    <s v="ISEL-1.33"/>
    <n v="1"/>
    <s v="NO TIENE L3OUT"/>
    <n v="246"/>
    <n v="54"/>
  </r>
  <r>
    <n v="841"/>
    <x v="2"/>
    <x v="99"/>
    <s v="eth1/33"/>
    <x v="0"/>
    <x v="0"/>
    <x v="0"/>
    <s v="LINK_TO_ITHFHWCBSPSHD25 / Slot7.2_14 / Redundante"/>
    <x v="0"/>
    <b v="0"/>
    <s v="No está en VPC"/>
    <n v="841"/>
    <s v="INTPG_VPC_836_1.33_841_1.33"/>
    <s v="ISEL-1.33"/>
    <n v="1"/>
    <s v="NO TIENE L3OUT"/>
    <n v="0"/>
    <n v="54"/>
  </r>
  <r>
    <n v="868"/>
    <x v="2"/>
    <x v="100"/>
    <s v="eth1/33"/>
    <x v="0"/>
    <x v="0"/>
    <x v="0"/>
    <s v="To_ITHFHWCRMDLCN64_Redundante"/>
    <x v="0"/>
    <b v="0"/>
    <s v="No está en VPC"/>
    <n v="868"/>
    <s v="INTPG_ACC_868_1.33"/>
    <s v="ISEL-1.33"/>
    <n v="1"/>
    <s v="NO TIENE L3OUT"/>
    <n v="246"/>
    <n v="54"/>
  </r>
  <r>
    <n v="869"/>
    <x v="2"/>
    <x v="101"/>
    <s v="eth1/33"/>
    <x v="0"/>
    <x v="0"/>
    <x v="0"/>
    <s v="To_ITHFHWCRMDLCN80_Redundante"/>
    <x v="0"/>
    <b v="0"/>
    <s v="No está en VPC"/>
    <n v="869"/>
    <s v="INTPG_ACC_869_1.33"/>
    <s v="ISEL-1.33"/>
    <n v="6"/>
    <s v="NO TIENE L3OUT"/>
    <n v="288"/>
    <n v="54"/>
  </r>
  <r>
    <n v="861"/>
    <x v="2"/>
    <x v="102"/>
    <s v="eth1/33"/>
    <x v="0"/>
    <x v="0"/>
    <x v="0"/>
    <s v="To_VPC_2DCBSD_BD13_2"/>
    <x v="0"/>
    <b v="0"/>
    <s v="No está en VPC"/>
    <n v="861"/>
    <s v="INTPG_VPC_861_1.33_866_1.33"/>
    <s v="ISEL-1.33"/>
    <n v="1"/>
    <s v="NO TIENE L3OUT"/>
    <n v="8"/>
    <n v="54"/>
  </r>
  <r>
    <n v="874"/>
    <x v="2"/>
    <x v="103"/>
    <s v="eth1/33"/>
    <x v="0"/>
    <x v="0"/>
    <x v="0"/>
    <s v="A_ITHFHWSEQLDPS05_Redundante"/>
    <x v="4"/>
    <b v="0"/>
    <s v="No está en VPC"/>
    <n v="874"/>
    <s v="INTPG_ACC_874_1.33"/>
    <s v="ISEL-1.33"/>
    <n v="1"/>
    <s v="NO TIENE L3OUT"/>
    <n v="92"/>
    <n v="54"/>
  </r>
  <r>
    <n v="865"/>
    <x v="2"/>
    <x v="104"/>
    <s v="eth1/33"/>
    <x v="0"/>
    <x v="0"/>
    <x v="0"/>
    <s v="To_VPC_2DCBSD_BD17_3"/>
    <x v="0"/>
    <b v="0"/>
    <s v="No está en VPC"/>
    <n v="865"/>
    <s v="INTPG_VPC_860_1.33_865_1.33"/>
    <s v="ISEL-1.33"/>
    <n v="1"/>
    <s v="NO TIENE L3OUT"/>
    <n v="0"/>
    <n v="54"/>
  </r>
  <r>
    <n v="753"/>
    <x v="2"/>
    <x v="105"/>
    <s v="eth1/33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33"/>
    <x v="0"/>
    <x v="1"/>
    <x v="5"/>
    <s v="CEM:ITHCEMF2HUN17:LOM P1"/>
    <x v="0"/>
    <b v="0"/>
    <s v="No está en VPC"/>
    <n v="708"/>
    <s v="INTPG_VPC_708_1.33_709_1.34"/>
    <s v="ISEL-1.33"/>
    <n v="1"/>
    <s v="NO TIENE L3OUT"/>
    <n v="0"/>
    <n v="54"/>
  </r>
  <r>
    <n v="710"/>
    <x v="2"/>
    <x v="107"/>
    <s v="eth1/33"/>
    <x v="0"/>
    <x v="1"/>
    <x v="5"/>
    <s v="CEM:ITHCEMD2APT17:LOM P1"/>
    <x v="0"/>
    <b v="0"/>
    <s v="No está en VPC"/>
    <n v="710"/>
    <s v="INTPG_VPC_710_1.33_711_1.34"/>
    <s v="ISEL-1.33"/>
    <n v="1"/>
    <s v="NO TIENE L3OUT"/>
    <n v="16"/>
    <n v="54"/>
  </r>
  <r>
    <n v="713"/>
    <x v="2"/>
    <x v="108"/>
    <s v="eth1/33"/>
    <x v="0"/>
    <x v="1"/>
    <x v="3"/>
    <m/>
    <x v="0"/>
    <b v="0"/>
    <s v="No está en VPC"/>
    <n v="713"/>
    <s v="INTPG_VPC_713_1.33_712_1.34"/>
    <s v="ISEL-1.33"/>
    <n v="0"/>
    <s v="NO TIENE L3OUT"/>
    <n v="32"/>
    <n v="54"/>
  </r>
  <r>
    <n v="735"/>
    <x v="2"/>
    <x v="109"/>
    <s v="eth1/33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33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33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33"/>
    <x v="0"/>
    <x v="0"/>
    <x v="0"/>
    <m/>
    <x v="0"/>
    <b v="0"/>
    <s v="No está en VPC"/>
    <n v="706"/>
    <s v="INTPG_VPC_706_1.33_705_1.34"/>
    <s v="ISEL-1.33"/>
    <n v="1"/>
    <s v="NO TIENE L3OUT"/>
    <n v="16"/>
    <n v="54"/>
  </r>
  <r>
    <n v="762"/>
    <x v="2"/>
    <x v="113"/>
    <s v="eth1/33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14"/>
    <x v="2"/>
    <x v="114"/>
    <s v="eth1/33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33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33"/>
    <x v="0"/>
    <x v="0"/>
    <x v="0"/>
    <s v="LINK_TO_ITHFHWCBSDSWR17 /Slot4.2 /Principal"/>
    <x v="0"/>
    <b v="0"/>
    <s v="No está en VPC"/>
    <n v="826"/>
    <s v="INTPG_VPC_826_1.33_830_1.33"/>
    <s v="ISEL-1.33"/>
    <n v="1"/>
    <s v="NO TIENE L3OUT"/>
    <n v="12"/>
    <n v="54"/>
  </r>
  <r>
    <n v="726"/>
    <x v="2"/>
    <x v="117"/>
    <s v="eth1/33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33"/>
    <x v="0"/>
    <x v="0"/>
    <x v="0"/>
    <s v="CEM:ITHCEMC2ADT17:LOM P3"/>
    <x v="5"/>
    <b v="0"/>
    <s v="No está en VPC"/>
    <n v="740"/>
    <s v="INTPG_ACC_740_1.33"/>
    <s v="ISEL-1.33"/>
    <n v="1"/>
    <s v="NO TIENE L3OUT"/>
    <n v="72"/>
    <n v="54"/>
  </r>
  <r>
    <n v="705"/>
    <x v="2"/>
    <x v="119"/>
    <s v="eth1/33"/>
    <x v="0"/>
    <x v="1"/>
    <x v="3"/>
    <m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33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33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33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33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33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33"/>
    <x v="0"/>
    <x v="1"/>
    <x v="5"/>
    <s v="CEM:ITHCEME2APT17:LOM P1"/>
    <x v="0"/>
    <b v="0"/>
    <s v="No está en VPC"/>
    <n v="709"/>
    <s v="INTPG_VPC_708_1.34_709_1.33"/>
    <s v="ISEL-1.33"/>
    <n v="1"/>
    <s v="NO TIENE L3OUT"/>
    <n v="0"/>
    <n v="54"/>
  </r>
  <r>
    <n v="454"/>
    <x v="1"/>
    <x v="126"/>
    <s v="eth1/33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33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33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33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33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33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33"/>
    <x v="0"/>
    <x v="0"/>
    <x v="0"/>
    <s v="CEM:ITHCEMB2ADT17:LOM P3"/>
    <x v="5"/>
    <b v="0"/>
    <s v="No está en VPC"/>
    <n v="741"/>
    <s v="INTPG_ACC_741_1.33"/>
    <s v="ISEL-1.33"/>
    <n v="1"/>
    <s v="NO TIENE L3OUT"/>
    <n v="62"/>
    <n v="54"/>
  </r>
  <r>
    <n v="787"/>
    <x v="2"/>
    <x v="133"/>
    <s v="eth1/33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33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33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33"/>
    <x v="0"/>
    <x v="1"/>
    <x v="3"/>
    <s v="CEM_HADOOP"/>
    <x v="0"/>
    <b v="0"/>
    <s v="No está en VPC"/>
    <n v="736"/>
    <s v="INTPG_ACC_736_1.33"/>
    <s v="ISEL-1.33"/>
    <n v="0"/>
    <s v="NO TIENE L3OUT"/>
    <n v="48"/>
    <n v="54"/>
  </r>
  <r>
    <n v="799"/>
    <x v="2"/>
    <x v="137"/>
    <s v="eth1/33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33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33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33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33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33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33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33"/>
    <x v="0"/>
    <x v="0"/>
    <x v="0"/>
    <s v="PAAS:ithhwoscopap016:Slot 4/Pto 2"/>
    <x v="0"/>
    <b v="0"/>
    <s v="No está en VPC"/>
    <n v="774"/>
    <s v="INTPG_VPC_774_1.33_775_1.34"/>
    <s v="ISEL-1.33"/>
    <n v="24"/>
    <s v="NO TIENE L3OUT"/>
    <n v="0"/>
    <n v="54"/>
  </r>
  <r>
    <n v="773"/>
    <x v="2"/>
    <x v="145"/>
    <s v="eth1/33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33"/>
    <x v="0"/>
    <x v="0"/>
    <x v="0"/>
    <s v="TO-9S_VPNM_IXT3_211_1"/>
    <x v="0"/>
    <b v="0"/>
    <s v="No está en VPC"/>
    <n v="794"/>
    <s v="INTPG_VPC_793_1.32-33_794_1.32-33"/>
    <s v="ISEL-1.33"/>
    <n v="16"/>
    <s v="NO TIENE L3OUT"/>
    <n v="12"/>
    <n v="54"/>
  </r>
  <r>
    <n v="803"/>
    <x v="2"/>
    <x v="147"/>
    <s v="eth1/33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33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33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33"/>
    <x v="0"/>
    <x v="0"/>
    <x v="0"/>
    <s v="CLOUD OPS:ithhwcop02en02:3X P4"/>
    <x v="0"/>
    <b v="0"/>
    <s v="No está en VPC"/>
    <n v="781"/>
    <s v="INTPG_VPC_780_1.30-33_781_1.30-33"/>
    <s v="ISEL-1.33"/>
    <n v="23"/>
    <s v="NO TIENE L3OUT"/>
    <n v="26"/>
    <n v="54"/>
  </r>
  <r>
    <n v="793"/>
    <x v="2"/>
    <x v="151"/>
    <s v="eth1/33"/>
    <x v="0"/>
    <x v="0"/>
    <x v="0"/>
    <s v="TO-9S_VPNM_IXT3_211_1"/>
    <x v="0"/>
    <b v="0"/>
    <s v="No está en VPC"/>
    <n v="793"/>
    <s v="INTPG_VPC_793_1.32-33_794_1.32-33"/>
    <s v="ISEL-1.33"/>
    <n v="16"/>
    <s v="NO TIENE L3OUT"/>
    <n v="12"/>
    <n v="54"/>
  </r>
  <r>
    <n v="747"/>
    <x v="2"/>
    <x v="152"/>
    <s v="eth1/33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33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33"/>
    <x v="1"/>
    <x v="1"/>
    <x v="2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33"/>
    <x v="0"/>
    <x v="0"/>
    <x v="0"/>
    <s v="PAAS:ithhwoscopap020:Slot 4/Pto 2"/>
    <x v="0"/>
    <b v="0"/>
    <s v="No está en VPC"/>
    <n v="777"/>
    <s v="INTPG_VPC_776_1.34_777_1.33"/>
    <s v="ISEL-1.33"/>
    <n v="24"/>
    <s v="NO TIENE L3OUT"/>
    <n v="0"/>
    <n v="54"/>
  </r>
  <r>
    <n v="770"/>
    <x v="2"/>
    <x v="156"/>
    <s v="eth1/33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33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33"/>
    <x v="0"/>
    <x v="0"/>
    <x v="0"/>
    <s v="CEM:ITHCEMD2APT17:LOM P3"/>
    <x v="5"/>
    <b v="0"/>
    <s v="No está en VPC"/>
    <n v="739"/>
    <s v="INTPG_ACC_739_1.33"/>
    <s v="ISEL-1.33"/>
    <n v="1"/>
    <s v="NO TIENE L3OUT"/>
    <n v="72"/>
    <n v="54"/>
  </r>
  <r>
    <n v="775"/>
    <x v="2"/>
    <x v="159"/>
    <s v="eth1/33"/>
    <x v="0"/>
    <x v="0"/>
    <x v="0"/>
    <s v="PAAS:ithhwoscopap018:Slot 4/Pto 2"/>
    <x v="0"/>
    <b v="0"/>
    <s v="No está en VPC"/>
    <n v="775"/>
    <s v="INTPG_VPC_774_1.35_775_1.33"/>
    <s v="ISEL-1.33"/>
    <n v="24"/>
    <s v="NO TIENE L3OUT"/>
    <n v="0"/>
    <n v="54"/>
  </r>
  <r>
    <n v="791"/>
    <x v="2"/>
    <x v="160"/>
    <s v="eth1/33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33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33"/>
    <x v="0"/>
    <x v="0"/>
    <x v="0"/>
    <s v="LINK_TO_ITHFHWCBSDSWR17 /Slot6.2 /Redundante"/>
    <x v="0"/>
    <b v="0"/>
    <s v="No está en VPC"/>
    <n v="830"/>
    <s v="INTPG_VPC_826_1.33_830_1.33"/>
    <s v="ISEL-1.33"/>
    <n v="1"/>
    <s v="NO TIENE L3OUT"/>
    <n v="12"/>
    <n v="54"/>
  </r>
  <r>
    <n v="821"/>
    <x v="2"/>
    <x v="163"/>
    <s v="eth1/33"/>
    <x v="0"/>
    <x v="0"/>
    <x v="0"/>
    <s v="LINK_TO_ITHFHWCBSPSWR17 /Slot6.2 /Redundante"/>
    <x v="0"/>
    <b v="0"/>
    <s v="No está en VPC"/>
    <n v="821"/>
    <s v="INTPG_VPC_816_1.33_821_1.33"/>
    <s v="ISEL-1.33"/>
    <n v="1"/>
    <s v="NO TIENE L3OUT"/>
    <n v="0"/>
    <n v="54"/>
  </r>
  <r>
    <n v="738"/>
    <x v="2"/>
    <x v="164"/>
    <s v="eth1/33"/>
    <x v="0"/>
    <x v="0"/>
    <x v="0"/>
    <s v="CEM:ITHCEME2APT17:LOM P3"/>
    <x v="5"/>
    <b v="0"/>
    <s v="No está en VPC"/>
    <n v="738"/>
    <s v="INTPG_ACC_738_1.33"/>
    <s v="ISEL-1.33"/>
    <n v="1"/>
    <s v="NO TIENE L3OUT"/>
    <n v="72"/>
    <n v="54"/>
  </r>
  <r>
    <n v="820"/>
    <x v="2"/>
    <x v="165"/>
    <s v="eth1/33"/>
    <x v="0"/>
    <x v="0"/>
    <x v="0"/>
    <s v="VPC_2DCRMP_BDP07_3"/>
    <x v="0"/>
    <b v="0"/>
    <s v="No está en VPC"/>
    <n v="820"/>
    <s v="INTPG_VPC_825_1.33_820_1.33"/>
    <s v="ISEL-1.33"/>
    <n v="1"/>
    <s v="NO TIENE L3OUT"/>
    <n v="72"/>
    <n v="54"/>
  </r>
  <r>
    <n v="804"/>
    <x v="2"/>
    <x v="166"/>
    <s v="eth1/33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33"/>
    <x v="0"/>
    <x v="0"/>
    <x v="0"/>
    <s v="CLOUD OPS:ithhwcop01st01ce01:A IOM1 Smart IO P1"/>
    <x v="0"/>
    <b v="0"/>
    <s v="No está en VPC"/>
    <n v="779"/>
    <s v="INTPG_VPC_778_1.22_33_779_1.22_33"/>
    <s v="ISEL-1.33"/>
    <n v="2"/>
    <s v="NO TIENE L3OUT"/>
    <n v="30"/>
    <n v="54"/>
  </r>
  <r>
    <n v="767"/>
    <x v="2"/>
    <x v="168"/>
    <s v="eth1/33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33"/>
    <x v="0"/>
    <x v="0"/>
    <x v="0"/>
    <s v="LINK_TO_ITHFHWCBSDSWR27 /10GE.1 /Principal"/>
    <x v="0"/>
    <b v="0"/>
    <s v="No está en VPC"/>
    <n v="827"/>
    <s v="INTPG_VPC_827_1.33_831_1.33"/>
    <s v="ISEL-1.33"/>
    <n v="1"/>
    <s v="NO TIENE L3OUT"/>
    <n v="14"/>
    <n v="54"/>
  </r>
  <r>
    <n v="809"/>
    <x v="2"/>
    <x v="170"/>
    <s v="eth1/33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33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33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33"/>
    <x v="0"/>
    <x v="0"/>
    <x v="0"/>
    <s v="PAAS:ithhwoscopap019:Slot 4/Pto 2"/>
    <x v="0"/>
    <b v="0"/>
    <s v="No está en VPC"/>
    <n v="776"/>
    <s v="INTPG_VPC_776_1.33_777_1.34"/>
    <s v="ISEL-1.33"/>
    <n v="24"/>
    <s v="NO TIENE L3OUT"/>
    <n v="0"/>
    <n v="54"/>
  </r>
  <r>
    <n v="805"/>
    <x v="2"/>
    <x v="174"/>
    <s v="eth1/33"/>
    <x v="1"/>
    <x v="1"/>
    <x v="2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33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33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33"/>
    <x v="0"/>
    <x v="0"/>
    <x v="0"/>
    <s v="LINK_TO_ITHFHWCRMPLCN111 / Slot7.3_26 / Redundante"/>
    <x v="0"/>
    <b v="0"/>
    <s v="No está en VPC"/>
    <n v="851"/>
    <s v="INTPG_ACC_851_1.33"/>
    <s v="ISEL-1.33"/>
    <n v="1"/>
    <s v="NO TIENE L3OUT"/>
    <n v="282"/>
    <n v="54"/>
  </r>
  <r>
    <n v="798"/>
    <x v="2"/>
    <x v="178"/>
    <s v="eth1/33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33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33"/>
    <x v="0"/>
    <x v="0"/>
    <x v="0"/>
    <s v="LINK_TO_ITHFHWCRMPLCN95 / Slot7.1_22 / Redundante"/>
    <x v="0"/>
    <b v="0"/>
    <s v="No está en VPC"/>
    <n v="852"/>
    <s v="INTPG_ACC_852_1.33"/>
    <s v="ISEL-1.33"/>
    <n v="6"/>
    <s v="NO TIENE L3OUT"/>
    <n v="258"/>
    <n v="54"/>
  </r>
  <r>
    <n v="817"/>
    <x v="2"/>
    <x v="181"/>
    <s v="eth1/33"/>
    <x v="0"/>
    <x v="0"/>
    <x v="0"/>
    <s v="LINK_TO_ITHFHWCBSPSUSBD22 /Slot4.2 /Principal"/>
    <x v="0"/>
    <b v="0"/>
    <s v="No está en VPC"/>
    <n v="817"/>
    <s v="INTPG_VPC_817_1.33_822_1.33"/>
    <s v="ISEL-1.33"/>
    <n v="1"/>
    <s v="NO TIENE L3OUT"/>
    <n v="0"/>
    <n v="54"/>
  </r>
  <r>
    <n v="832"/>
    <x v="2"/>
    <x v="182"/>
    <s v="eth1/33"/>
    <x v="0"/>
    <x v="0"/>
    <x v="0"/>
    <s v="LINK_TO_ITHFHWCRMDLCN26 /Slot5.1 /Redundante"/>
    <x v="0"/>
    <b v="0"/>
    <s v="No está en VPC"/>
    <n v="832"/>
    <s v="INTPG_ACC_832_1.33"/>
    <s v="ISEL-1.33"/>
    <n v="2"/>
    <s v="NO TIENE L3OUT"/>
    <n v="192"/>
    <n v="54"/>
  </r>
  <r>
    <n v="816"/>
    <x v="2"/>
    <x v="183"/>
    <s v="eth1/33"/>
    <x v="0"/>
    <x v="0"/>
    <x v="0"/>
    <s v="LINK_TO_ITHFHWCBSPSWR17 /Slot4.2 /Principal"/>
    <x v="0"/>
    <b v="0"/>
    <s v="No está en VPC"/>
    <n v="816"/>
    <s v="INTPG_VPC_816_1.33_821_1.33"/>
    <s v="ISEL-1.33"/>
    <n v="1"/>
    <s v="NO TIENE L3OUT"/>
    <n v="0"/>
    <n v="54"/>
  </r>
  <r>
    <n v="825"/>
    <x v="2"/>
    <x v="184"/>
    <s v="eth1/33"/>
    <x v="0"/>
    <x v="0"/>
    <x v="0"/>
    <s v="VPC_2DCRMP_BDP07_3"/>
    <x v="0"/>
    <b v="0"/>
    <s v="No está en VPC"/>
    <n v="825"/>
    <s v="INTPG_VPC_825_1.33_820_1.33"/>
    <s v="ISEL-1.33"/>
    <n v="1"/>
    <s v="NO TIENE L3OUT"/>
    <n v="72"/>
    <n v="54"/>
  </r>
  <r>
    <n v="800"/>
    <x v="2"/>
    <x v="185"/>
    <s v="eth1/33"/>
    <x v="0"/>
    <x v="0"/>
    <x v="0"/>
    <s v="TO-9S_IVR_IXT3_10518_01"/>
    <x v="0"/>
    <b v="0"/>
    <s v="No está en VPC"/>
    <n v="800"/>
    <s v="INTPG_VPC_800_1.32-35_801_1.32-35"/>
    <s v="ISEL-1.33"/>
    <n v="24"/>
    <s v="NO TIENE L3OUT"/>
    <n v="78"/>
    <n v="54"/>
  </r>
  <r>
    <n v="801"/>
    <x v="2"/>
    <x v="186"/>
    <s v="eth1/33"/>
    <x v="0"/>
    <x v="0"/>
    <x v="0"/>
    <s v="TO-9S_IVR_IXT3_10518_01"/>
    <x v="0"/>
    <b v="0"/>
    <s v="No está en VPC"/>
    <n v="801"/>
    <s v="INTPG_VPC_800_1.32-35_801_1.32-35"/>
    <s v="ISEL-1.33"/>
    <n v="24"/>
    <s v="NO TIENE L3OUT"/>
    <n v="78"/>
    <n v="54"/>
  </r>
  <r>
    <n v="823"/>
    <x v="2"/>
    <x v="187"/>
    <s v="eth1/33"/>
    <x v="0"/>
    <x v="0"/>
    <x v="0"/>
    <s v="LINK_TO_ITHFHWCBSPSWR35 /Slot5.1 /Redundante"/>
    <x v="0"/>
    <b v="0"/>
    <s v="No está en VPC"/>
    <n v="823"/>
    <s v="INTPG_VPC_818_1.33_823_1.33"/>
    <s v="ISEL-1.33"/>
    <n v="1"/>
    <s v="NO TIENE L3OUT"/>
    <n v="8"/>
    <n v="54"/>
  </r>
  <r>
    <n v="837"/>
    <x v="2"/>
    <x v="188"/>
    <s v="eth1/33"/>
    <x v="0"/>
    <x v="0"/>
    <x v="0"/>
    <s v="LINK_To_ITHFHWCBSPSHD19 / Slot1.1_14 / Principal"/>
    <x v="0"/>
    <b v="0"/>
    <s v="No está en VPC"/>
    <n v="837"/>
    <s v="INTPG_VPC_837_1.33_842_1.33"/>
    <s v="ISEL-1.33"/>
    <n v="2"/>
    <s v="NO TIENE L3OUT"/>
    <n v="8"/>
    <n v="54"/>
  </r>
  <r>
    <n v="867"/>
    <x v="2"/>
    <x v="189"/>
    <s v="eth1/33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33"/>
    <x v="0"/>
    <x v="0"/>
    <x v="0"/>
    <s v="To_ITHFHWCRMDLCN46_Principal"/>
    <x v="0"/>
    <b v="0"/>
    <s v="No está en VPC"/>
    <n v="829"/>
    <s v="INTPG_ACC_829_1.33"/>
    <s v="ISEL-1.33"/>
    <n v="6"/>
    <s v="NO TIENE L3OUT"/>
    <n v="224"/>
    <n v="54"/>
  </r>
  <r>
    <n v="831"/>
    <x v="2"/>
    <x v="191"/>
    <s v="eth1/33"/>
    <x v="0"/>
    <x v="0"/>
    <x v="0"/>
    <s v="LINK_TO_ITHFHWCBSDSWR27 /Slot5.1 /Redundante"/>
    <x v="0"/>
    <b v="0"/>
    <s v="No está en VPC"/>
    <n v="831"/>
    <s v="INTPG_VPC_827_1.33_831_1.33"/>
    <s v="ISEL-1.33"/>
    <n v="1"/>
    <s v="NO TIENE L3OUT"/>
    <n v="14"/>
    <n v="54"/>
  </r>
  <r>
    <n v="802"/>
    <x v="2"/>
    <x v="192"/>
    <s v="eth1/33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33"/>
    <x v="0"/>
    <x v="0"/>
    <x v="0"/>
    <s v="LINK_TO_ITHFHWCBSPSHD33 / Slot1.2_18 / Principal"/>
    <x v="0"/>
    <b v="0"/>
    <s v="No está en VPC"/>
    <n v="835"/>
    <s v="INTPG_VPC_835_1.33_840_1.33"/>
    <s v="ISEL-1.33"/>
    <n v="1"/>
    <s v="NO TIENE L3OUT"/>
    <n v="8"/>
    <n v="54"/>
  </r>
  <r>
    <n v="822"/>
    <x v="2"/>
    <x v="194"/>
    <s v="eth1/33"/>
    <x v="0"/>
    <x v="0"/>
    <x v="0"/>
    <s v="LINK_TO_ITHFHWCBSPSUSBD22 /Slot6.2 /Redundante"/>
    <x v="0"/>
    <b v="0"/>
    <s v="No está en VPC"/>
    <n v="822"/>
    <s v="INTPG_VPC_817_1.33_822_1.33"/>
    <s v="ISEL-1.33"/>
    <n v="1"/>
    <s v="NO TIENE L3OUT"/>
    <n v="0"/>
    <n v="54"/>
  </r>
  <r>
    <n v="854"/>
    <x v="2"/>
    <x v="195"/>
    <s v="eth1/33"/>
    <x v="0"/>
    <x v="0"/>
    <x v="0"/>
    <s v="LINK_TO_ITHFHWCRMPLCN176 / Slot1.2_22 / Principal"/>
    <x v="0"/>
    <b v="0"/>
    <s v="No está en VPC"/>
    <n v="854"/>
    <s v="INTPG_ACC_854_1.33"/>
    <s v="ISEL-1.33"/>
    <n v="2"/>
    <s v="NO TIENE L3OUT"/>
    <n v="204"/>
    <n v="54"/>
  </r>
  <r>
    <n v="858"/>
    <x v="2"/>
    <x v="196"/>
    <s v="eth1/33"/>
    <x v="0"/>
    <x v="0"/>
    <x v="0"/>
    <s v="To_VPC_2DCBSD_WR55_3"/>
    <x v="0"/>
    <b v="0"/>
    <s v="No está en VPC"/>
    <n v="858"/>
    <s v="INTPG_VPC_858_1.33_863_1.33"/>
    <s v="ISEL-1.33"/>
    <n v="1"/>
    <s v="NO TIENE L3OUT"/>
    <n v="8"/>
    <n v="54"/>
  </r>
  <r>
    <n v="857"/>
    <x v="2"/>
    <x v="197"/>
    <s v="eth1/33"/>
    <x v="0"/>
    <x v="0"/>
    <x v="0"/>
    <s v="LINKT_TO_ITHFHWCRMPLCN126 / Slot1.2_22 / Principal"/>
    <x v="0"/>
    <b v="0"/>
    <s v="No está en VPC"/>
    <n v="857"/>
    <s v="INTPG_ACC_857_1.33"/>
    <s v="ISEL-1.33"/>
    <n v="2"/>
    <s v="NO TIENE L3OUT"/>
    <n v="288"/>
    <n v="54"/>
  </r>
  <r>
    <n v="859"/>
    <x v="2"/>
    <x v="198"/>
    <s v="eth1/33"/>
    <x v="0"/>
    <x v="0"/>
    <x v="0"/>
    <s v="To_VPC_2DCBSD_WR46_3"/>
    <x v="0"/>
    <b v="0"/>
    <s v="No está en VPC"/>
    <n v="859"/>
    <s v="INTPG_VPC_859_1.33_864_1.33"/>
    <s v="ISEL-1.33"/>
    <n v="1"/>
    <s v="NO TIENE L3OUT"/>
    <n v="0"/>
    <n v="54"/>
  </r>
  <r>
    <n v="833"/>
    <x v="2"/>
    <x v="199"/>
    <s v="eth1/33"/>
    <x v="0"/>
    <x v="0"/>
    <x v="0"/>
    <s v="To_ITHFHWCRMDLCN46_Redundante"/>
    <x v="0"/>
    <b v="0"/>
    <s v="No está en VPC"/>
    <n v="833"/>
    <s v="INTPG_ACC_833_1.33"/>
    <s v="ISEL-1.33"/>
    <n v="6"/>
    <s v="NO TIENE L3OUT"/>
    <n v="224"/>
    <n v="54"/>
  </r>
  <r>
    <n v="818"/>
    <x v="2"/>
    <x v="200"/>
    <s v="eth1/33"/>
    <x v="0"/>
    <x v="0"/>
    <x v="0"/>
    <s v="LINK_TO_ITHFHWCBSPSWR35 /10GE.1 /Principal"/>
    <x v="0"/>
    <b v="0"/>
    <s v="No está en VPC"/>
    <n v="818"/>
    <s v="INTPG_VPC_818_1.33_823_1.33"/>
    <s v="ISEL-1.33"/>
    <n v="1"/>
    <s v="NO TIENE L3OUT"/>
    <n v="8"/>
    <n v="54"/>
  </r>
  <r>
    <n v="850"/>
    <x v="2"/>
    <x v="201"/>
    <s v="eth1/33"/>
    <x v="0"/>
    <x v="0"/>
    <x v="0"/>
    <s v="LINKT_TO_ITHFHWCRMPLCN126 / Slot7.2_22 / Redundante"/>
    <x v="0"/>
    <b v="0"/>
    <s v="No está en VPC"/>
    <n v="850"/>
    <s v="INTPG_ACC_850_1.33"/>
    <s v="ISEL-1.33"/>
    <n v="2"/>
    <s v="NO TIENE L3OUT"/>
    <n v="288"/>
    <n v="54"/>
  </r>
  <r>
    <n v="860"/>
    <x v="2"/>
    <x v="202"/>
    <s v="eth1/33"/>
    <x v="0"/>
    <x v="0"/>
    <x v="0"/>
    <s v="To_VPC_2DCBSD_BD17_3"/>
    <x v="0"/>
    <b v="0"/>
    <s v="No está en VPC"/>
    <n v="860"/>
    <s v="INTPG_VPC_860_1.33_865_1.33"/>
    <s v="ISEL-1.33"/>
    <n v="1"/>
    <s v="NO TIENE L3OUT"/>
    <n v="0"/>
    <n v="54"/>
  </r>
  <r>
    <n v="853"/>
    <x v="2"/>
    <x v="203"/>
    <s v="eth1/33"/>
    <x v="0"/>
    <x v="0"/>
    <x v="0"/>
    <s v="LINK_TO_ITHFHWCRMPLCN82 / Slot7.3_22 / Redundante"/>
    <x v="0"/>
    <b v="0"/>
    <s v="No está en VPC"/>
    <n v="853"/>
    <s v="INTPG_ACC_853_1.33"/>
    <s v="ISEL-1.33"/>
    <n v="1"/>
    <s v="NO TIENE L3OUT"/>
    <n v="242"/>
    <n v="54"/>
  </r>
  <r>
    <n v="790"/>
    <x v="2"/>
    <x v="204"/>
    <s v="eth1/33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33"/>
    <x v="0"/>
    <x v="1"/>
    <x v="1"/>
    <s v="DESC"/>
    <x v="6"/>
    <b v="0"/>
    <s v="No está en VPC"/>
    <n v="105"/>
    <s v="INTPG_PC_105_1.1-4_32-35"/>
    <s v="ISEL-1.33"/>
    <n v="17"/>
    <s v="NO TIENE L3OUT"/>
    <n v="106"/>
    <n v="96"/>
  </r>
  <r>
    <n v="117"/>
    <x v="0"/>
    <x v="206"/>
    <s v="eth1/33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33"/>
    <x v="1"/>
    <x v="1"/>
    <x v="2"/>
    <s v="DESC"/>
    <x v="6"/>
    <b v="0"/>
    <s v="No está en VPC"/>
    <n v="104"/>
    <s v="INTPG_PC_104_1.32-39"/>
    <s v="ISEL-1.33"/>
    <n v="0"/>
    <s v="NO TIENE L3OUT"/>
    <n v="194"/>
    <n v="96"/>
  </r>
  <r>
    <n v="158"/>
    <x v="0"/>
    <x v="208"/>
    <s v="eth1/33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33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33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33"/>
    <x v="1"/>
    <x v="1"/>
    <x v="2"/>
    <m/>
    <x v="6"/>
    <b v="0"/>
    <s v="No está en VPC"/>
    <n v="108"/>
    <s v="INTPG_ACC_108_1.33"/>
    <s v="ISEL-1.33"/>
    <n v="1"/>
    <s v="NO TIENE L3OUT"/>
    <n v="126"/>
    <n v="96"/>
  </r>
  <r>
    <n v="112"/>
    <x v="0"/>
    <x v="212"/>
    <s v="eth1/33"/>
    <x v="0"/>
    <x v="0"/>
    <x v="0"/>
    <s v="SUBEX (Fraud Management)"/>
    <x v="6"/>
    <b v="0"/>
    <s v="No está en VPC"/>
    <n v="112"/>
    <s v="INTPG_ACC_112_1.33"/>
    <s v="ISEL-1.33"/>
    <n v="1"/>
    <s v="NO TIENE L3OUT"/>
    <n v="144"/>
    <n v="96"/>
  </r>
  <r>
    <n v="107"/>
    <x v="0"/>
    <x v="213"/>
    <s v="eth1/33"/>
    <x v="0"/>
    <x v="0"/>
    <x v="0"/>
    <s v="SRM"/>
    <x v="6"/>
    <b v="0"/>
    <s v="No está en VPC"/>
    <n v="107"/>
    <s v="INTPG_ACC_107_1.33"/>
    <s v="ISEL-1.33"/>
    <n v="1"/>
    <s v="NO TIENE L3OUT"/>
    <n v="118"/>
    <n v="96"/>
  </r>
  <r>
    <n v="109"/>
    <x v="0"/>
    <x v="214"/>
    <s v="eth1/33"/>
    <x v="0"/>
    <x v="0"/>
    <x v="0"/>
    <s v="IXT01PP, IXT02PP, IXT05PP"/>
    <x v="6"/>
    <b v="0"/>
    <s v="No está en VPC"/>
    <n v="109"/>
    <s v="INTPG_ACC_109_1.33"/>
    <s v="ISEL-1.33"/>
    <n v="1"/>
    <s v="NO TIENE L3OUT"/>
    <n v="126"/>
    <n v="96"/>
  </r>
  <r>
    <n v="113"/>
    <x v="0"/>
    <x v="215"/>
    <s v="eth1/33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33"/>
    <x v="1"/>
    <x v="1"/>
    <x v="2"/>
    <s v="CHARGING SYSTEM"/>
    <x v="6"/>
    <b v="0"/>
    <s v="No está en VPC"/>
    <n v="114"/>
    <s v="INTPG_ACC_114_1.33"/>
    <s v="ISEL-1.33"/>
    <n v="1"/>
    <s v="NO TIENE L3OUT"/>
    <n v="144"/>
    <n v="96"/>
  </r>
  <r>
    <n v="124"/>
    <x v="0"/>
    <x v="217"/>
    <s v="eth1/33"/>
    <x v="0"/>
    <x v="0"/>
    <x v="0"/>
    <s v="ixtossgw1"/>
    <x v="6"/>
    <b v="0"/>
    <s v="No está en VPC"/>
    <n v="124"/>
    <s v="INTPG_ACC_124_1.33"/>
    <s v="ISEL-1.33"/>
    <n v="1"/>
    <s v="NO TIENE L3OUT"/>
    <n v="80"/>
    <n v="96"/>
  </r>
  <r>
    <n v="118"/>
    <x v="0"/>
    <x v="218"/>
    <s v="eth1/33"/>
    <x v="0"/>
    <x v="0"/>
    <x v="0"/>
    <s v="INGE6"/>
    <x v="6"/>
    <b v="0"/>
    <s v="No está en VPC"/>
    <n v="118"/>
    <s v="INTPG_ACC_118_1.33"/>
    <s v="ISEL-1.33"/>
    <n v="1"/>
    <s v="NO TIENE L3OUT"/>
    <n v="180"/>
    <n v="96"/>
  </r>
  <r>
    <n v="159"/>
    <x v="0"/>
    <x v="219"/>
    <s v="eth1/33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33"/>
    <x v="0"/>
    <x v="0"/>
    <x v="0"/>
    <s v="LINK_TO_ITHFHWCBSPSHD33 / Slot7.2_18 / Redundante"/>
    <x v="0"/>
    <b v="0"/>
    <s v="No está en VPC"/>
    <n v="840"/>
    <s v="INTPG_VPC_835_1.33_840_1.33"/>
    <s v="ISEL-1.33"/>
    <n v="1"/>
    <s v="NO TIENE L3OUT"/>
    <n v="8"/>
    <n v="54"/>
  </r>
  <r>
    <n v="856"/>
    <x v="2"/>
    <x v="221"/>
    <s v="eth1/33"/>
    <x v="0"/>
    <x v="0"/>
    <x v="0"/>
    <s v="LINK_TO_ITHFHWCRMPLCN145 / Slot1.2_24 / Principal"/>
    <x v="0"/>
    <b v="0"/>
    <s v="No está en VPC"/>
    <n v="856"/>
    <s v="INTPG_ACC_856_1.33"/>
    <s v="ISEL-1.33"/>
    <n v="2"/>
    <s v="NO TIENE L3OUT"/>
    <n v="286"/>
    <n v="54"/>
  </r>
  <r>
    <n v="110"/>
    <x v="0"/>
    <x v="222"/>
    <s v="eth1/33"/>
    <x v="0"/>
    <x v="0"/>
    <x v="0"/>
    <m/>
    <x v="6"/>
    <b v="0"/>
    <s v="No está en VPC"/>
    <n v="110"/>
    <s v="INTPG_ACC_110_1.33"/>
    <s v="ISEL-1.33"/>
    <n v="1"/>
    <s v="NO TIENE L3OUT"/>
    <n v="102"/>
    <n v="96"/>
  </r>
  <r>
    <n v="163"/>
    <x v="0"/>
    <x v="223"/>
    <s v="eth1/33"/>
    <x v="0"/>
    <x v="0"/>
    <x v="0"/>
    <s v="VIRTUAL_MACHINE_SGH250HXW4_CLIENT1"/>
    <x v="6"/>
    <b v="0"/>
    <s v="No está en VPC"/>
    <n v="163"/>
    <s v="INTPG_VPC_161_1.70_163_1.33"/>
    <s v="ISEL-1.33"/>
    <n v="1"/>
    <s v="NO TIENE L3OUT"/>
    <n v="140"/>
    <n v="96"/>
  </r>
  <r>
    <n v="407"/>
    <x v="1"/>
    <x v="224"/>
    <s v="eth1/33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33"/>
    <x v="0"/>
    <x v="1"/>
    <x v="1"/>
    <s v="netqosSDS04_ilom"/>
    <x v="6"/>
    <b v="0"/>
    <s v="No está en VPC"/>
    <n v="171"/>
    <s v="INTPG_ACC_171_1.33"/>
    <s v="ISEL-1.33"/>
    <n v="1"/>
    <s v="NO TIENE L3OUT"/>
    <n v="114"/>
    <n v="96"/>
  </r>
  <r>
    <n v="421"/>
    <x v="1"/>
    <x v="226"/>
    <s v="eth1/33"/>
    <x v="0"/>
    <x v="1"/>
    <x v="1"/>
    <s v="VTA_uxvta072_NETMGT"/>
    <x v="6"/>
    <b v="0"/>
    <s v="No está en VPC"/>
    <n v="421"/>
    <s v="INTPG_ACC_421_1.33"/>
    <s v="ISEL-1.33"/>
    <n v="1"/>
    <s v="NO TIENE L3OUT"/>
    <n v="72"/>
    <n v="96"/>
  </r>
  <r>
    <n v="173"/>
    <x v="0"/>
    <x v="227"/>
    <s v="eth1/33"/>
    <x v="0"/>
    <x v="1"/>
    <x v="1"/>
    <s v="ENIQ_1"/>
    <x v="6"/>
    <b v="0"/>
    <s v="No está en VPC"/>
    <n v="173"/>
    <s v="INTPG_PC_173_1.28-33"/>
    <s v="ISEL-1.33"/>
    <n v="3"/>
    <s v="NO TIENE L3OUT"/>
    <n v="66"/>
    <n v="96"/>
  </r>
  <r>
    <n v="154"/>
    <x v="0"/>
    <x v="228"/>
    <s v="eth1/33"/>
    <x v="0"/>
    <x v="0"/>
    <x v="0"/>
    <s v="POLYVIEW_SERVIDOR"/>
    <x v="6"/>
    <b v="0"/>
    <s v="No está en VPC"/>
    <n v="154"/>
    <s v="INTPG_ACC_154_1.33"/>
    <s v="ISEL-1.33"/>
    <n v="1"/>
    <s v="NO TIENE L3OUT"/>
    <n v="62"/>
    <n v="96"/>
  </r>
  <r>
    <n v="172"/>
    <x v="0"/>
    <x v="229"/>
    <s v="eth1/33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33"/>
    <x v="0"/>
    <x v="0"/>
    <x v="0"/>
    <s v="TO-ITHFDEOCP1LWR04-PRINCIPAL"/>
    <x v="6"/>
    <b v="0"/>
    <s v="No está en VPC"/>
    <n v="420"/>
    <s v="INTPG_ACC_420_1.33"/>
    <s v="ISEL-1.33"/>
    <n v="1"/>
    <s v="NO TIENE L3OUT"/>
    <n v="158"/>
    <n v="96"/>
  </r>
  <r>
    <n v="423"/>
    <x v="1"/>
    <x v="231"/>
    <s v="eth1/33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33"/>
    <x v="0"/>
    <x v="0"/>
    <x v="0"/>
    <s v="To-uxingemc2 ldom 1  uxsmart01"/>
    <x v="6"/>
    <b v="0"/>
    <s v="No está en VPC"/>
    <n v="415"/>
    <s v="INTPG_ACC_415_1.33"/>
    <s v="ISEL-1.33"/>
    <n v="1"/>
    <s v="NO TIENE L3OUT"/>
    <n v="52"/>
    <n v="96"/>
  </r>
  <r>
    <n v="102"/>
    <x v="0"/>
    <x v="233"/>
    <s v="eth1/33"/>
    <x v="0"/>
    <x v="1"/>
    <x v="1"/>
    <s v="SFLDI:RLDICDR04:1"/>
    <x v="6"/>
    <b v="0"/>
    <s v="No está en VPC"/>
    <n v="102"/>
    <s v="INTPG_ACC_102_1.33"/>
    <s v="ISEL-1.33"/>
    <n v="1"/>
    <s v="NO TIENE L3OUT"/>
    <n v="228"/>
    <n v="96"/>
  </r>
  <r>
    <n v="863"/>
    <x v="2"/>
    <x v="234"/>
    <s v="eth1/33"/>
    <x v="0"/>
    <x v="0"/>
    <x v="0"/>
    <s v="To_VPC_2DCBSD_WR55_3"/>
    <x v="0"/>
    <b v="0"/>
    <s v="No está en VPC"/>
    <n v="863"/>
    <s v="INTPG_VPC_858_1.33_863_1.33"/>
    <s v="ISEL-1.33"/>
    <n v="1"/>
    <s v="NO TIENE L3OUT"/>
    <n v="8"/>
    <n v="54"/>
  </r>
  <r>
    <n v="876"/>
    <x v="2"/>
    <x v="235"/>
    <s v="eth1/33"/>
    <x v="0"/>
    <x v="0"/>
    <x v="0"/>
    <s v="A_ITHFHWSEQLDPS05_Principal"/>
    <x v="4"/>
    <b v="0"/>
    <s v="No está en VPC"/>
    <n v="876"/>
    <s v="INTPG_ACC_876_1.33"/>
    <s v="ISEL-1.33"/>
    <n v="1"/>
    <s v="NO TIENE L3OUT"/>
    <n v="92"/>
    <n v="54"/>
  </r>
  <r>
    <n v="877"/>
    <x v="2"/>
    <x v="236"/>
    <s v="eth1/33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33"/>
    <x v="0"/>
    <x v="0"/>
    <x v="0"/>
    <s v="IXTRTC5"/>
    <x v="6"/>
    <b v="0"/>
    <s v="No está en VPC"/>
    <n v="122"/>
    <s v="INTPG_ACC_122_1.33"/>
    <s v="ISEL-1.33"/>
    <n v="1"/>
    <s v="NO TIENE L3OUT"/>
    <n v="148"/>
    <n v="96"/>
  </r>
  <r>
    <n v="157"/>
    <x v="0"/>
    <x v="238"/>
    <s v="eth1/33"/>
    <x v="0"/>
    <x v="0"/>
    <x v="0"/>
    <s v="SNA TEST BED"/>
    <x v="6"/>
    <b v="0"/>
    <s v="No está en VPC"/>
    <n v="157"/>
    <s v="INTPG_ACC_157_1.33"/>
    <s v="ISEL-1.33"/>
    <n v="0"/>
    <s v="L3OUT-SNA-IPCORP-A20"/>
    <n v="202"/>
    <n v="96"/>
  </r>
  <r>
    <n v="408"/>
    <x v="1"/>
    <x v="239"/>
    <s v="eth1/33"/>
    <x v="0"/>
    <x v="0"/>
    <x v="0"/>
    <s v="WMS101"/>
    <x v="6"/>
    <b v="0"/>
    <s v="No está en VPC"/>
    <n v="408"/>
    <s v="INTPG_ACC_408_1.33"/>
    <s v="ISEL-1.33"/>
    <n v="1"/>
    <s v="NO TIENE L3OUT"/>
    <n v="152"/>
    <n v="96"/>
  </r>
  <r>
    <n v="405"/>
    <x v="1"/>
    <x v="240"/>
    <s v="eth1/33"/>
    <x v="0"/>
    <x v="0"/>
    <x v="0"/>
    <s v="IXT_ARIESO7_LDR6"/>
    <x v="6"/>
    <b v="0"/>
    <s v="No está en VPC"/>
    <n v="405"/>
    <s v="INTPG_ACC_405_1.33"/>
    <s v="ISEL-1.33"/>
    <n v="1"/>
    <s v="NO TIENE L3OUT"/>
    <n v="138"/>
    <n v="96"/>
  </r>
  <r>
    <n v="169"/>
    <x v="0"/>
    <x v="241"/>
    <s v="eth1/33"/>
    <x v="0"/>
    <x v="0"/>
    <x v="0"/>
    <s v="TO-ITHFDENBURBKP02(IXTFDLBKP5RAP)-PRINCIPAL"/>
    <x v="6"/>
    <b v="0"/>
    <s v="No está en VPC"/>
    <n v="169"/>
    <s v="INTPG_ACC_169_1.33"/>
    <s v="ISEL-1.33"/>
    <n v="1"/>
    <s v="NO TIENE L3OUT"/>
    <n v="76"/>
    <n v="96"/>
  </r>
  <r>
    <n v="165"/>
    <x v="0"/>
    <x v="242"/>
    <s v="eth1/33"/>
    <x v="0"/>
    <x v="0"/>
    <x v="0"/>
    <s v="NPG_DOC"/>
    <x v="6"/>
    <b v="0"/>
    <s v="No está en VPC"/>
    <n v="165"/>
    <s v="INTPG_ACC_165_1.33"/>
    <s v="ISEL-1.33"/>
    <n v="1"/>
    <s v="NO TIENE L3OUT"/>
    <n v="86"/>
    <n v="96"/>
  </r>
  <r>
    <n v="417"/>
    <x v="1"/>
    <x v="243"/>
    <s v="eth1/33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33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33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33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33"/>
    <x v="0"/>
    <x v="1"/>
    <x v="1"/>
    <s v="EHEALTH:ehealthp07:NET01"/>
    <x v="6"/>
    <b v="0"/>
    <s v="No está en VPC"/>
    <n v="103"/>
    <s v="INTPG_ACC_103_1.33"/>
    <s v="ISEL-1.33"/>
    <n v="1"/>
    <s v="NO TIENE L3OUT"/>
    <n v="70"/>
    <n v="96"/>
  </r>
  <r>
    <n v="438"/>
    <x v="1"/>
    <x v="248"/>
    <s v="eth1/33"/>
    <x v="0"/>
    <x v="0"/>
    <x v="0"/>
    <s v="DESC"/>
    <x v="6"/>
    <b v="0"/>
    <s v="No está en VPC"/>
    <n v="438"/>
    <s v="INTPG_PC_438_1.30-35"/>
    <s v="ISEL-1.33"/>
    <n v="7"/>
    <s v="NO TIENE L3OUT"/>
    <n v="170"/>
    <n v="96"/>
  </r>
  <r>
    <n v="406"/>
    <x v="1"/>
    <x v="249"/>
    <s v="eth1/33"/>
    <x v="1"/>
    <x v="1"/>
    <x v="2"/>
    <s v="DESC"/>
    <x v="6"/>
    <b v="0"/>
    <s v="No está en VPC"/>
    <n v="406"/>
    <s v="INTPG_PC_406_1.31-34"/>
    <s v="ISEL-1.33"/>
    <n v="4"/>
    <s v="NO TIENE L3OUT"/>
    <n v="82"/>
    <n v="96"/>
  </r>
  <r>
    <n v="414"/>
    <x v="1"/>
    <x v="250"/>
    <s v="eth1/33"/>
    <x v="0"/>
    <x v="0"/>
    <x v="0"/>
    <s v="PAPERLES_ITHFNETSW1_PTO1"/>
    <x v="6"/>
    <b v="0"/>
    <s v="No está en VPC"/>
    <n v="414"/>
    <s v="INTPG_ACC_414_1.33"/>
    <s v="ISEL-1.33"/>
    <n v="1"/>
    <s v="NO TIENE L3OUT"/>
    <n v="144"/>
    <n v="96"/>
  </r>
  <r>
    <n v="416"/>
    <x v="1"/>
    <x v="251"/>
    <s v="eth1/33"/>
    <x v="0"/>
    <x v="1"/>
    <x v="1"/>
    <s v="DESC"/>
    <x v="6"/>
    <b v="0"/>
    <s v="No está en VPC"/>
    <n v="416"/>
    <s v="INTPG_PC_416_1.32-39"/>
    <s v="ISEL-1.33"/>
    <n v="8"/>
    <s v="NO TIENE L3OUT"/>
    <n v="110"/>
    <n v="96"/>
  </r>
  <r>
    <n v="418"/>
    <x v="1"/>
    <x v="252"/>
    <s v="eth1/33"/>
    <x v="0"/>
    <x v="1"/>
    <x v="1"/>
    <s v="DESC"/>
    <x v="6"/>
    <b v="0"/>
    <s v="No está en VPC"/>
    <n v="418"/>
    <s v="INTPG_PC_418_1.32-39"/>
    <s v="ISEL-1.33"/>
    <n v="8"/>
    <s v="NO TIENE L3OUT"/>
    <n v="152"/>
    <n v="96"/>
  </r>
  <r>
    <n v="413"/>
    <x v="1"/>
    <x v="253"/>
    <s v="eth1/33"/>
    <x v="0"/>
    <x v="0"/>
    <x v="0"/>
    <s v="MEDIACION_HUAWEI_IMANA_1"/>
    <x v="6"/>
    <b v="0"/>
    <s v="No está en VPC"/>
    <n v="413"/>
    <s v="INTPG_ACC_413_1.33"/>
    <s v="ISEL-1.33"/>
    <n v="1"/>
    <s v="NO TIENE L3OUT"/>
    <n v="126"/>
    <n v="96"/>
  </r>
  <r>
    <n v="403"/>
    <x v="1"/>
    <x v="254"/>
    <s v="eth1/33"/>
    <x v="0"/>
    <x v="0"/>
    <x v="0"/>
    <s v="IXT_ARIESO7_LDR6"/>
    <x v="6"/>
    <b v="0"/>
    <s v="No está en VPC"/>
    <n v="403"/>
    <s v="INTPG_ACC_403_1.33"/>
    <s v="ISEL-1.33"/>
    <n v="1"/>
    <s v="NO TIENE L3OUT"/>
    <n v="150"/>
    <n v="96"/>
  </r>
  <r>
    <n v="125"/>
    <x v="0"/>
    <x v="255"/>
    <s v="eth1/33"/>
    <x v="0"/>
    <x v="0"/>
    <x v="0"/>
    <s v="ixtossgwkvm"/>
    <x v="6"/>
    <b v="0"/>
    <s v="No está en VPC"/>
    <n v="125"/>
    <s v="INTPG_ACC_125_1.33"/>
    <s v="ISEL-1.33"/>
    <n v="1"/>
    <s v="NO TIENE L3OUT"/>
    <n v="72"/>
    <n v="96"/>
  </r>
  <r>
    <n v="166"/>
    <x v="0"/>
    <x v="256"/>
    <s v="eth1/33"/>
    <x v="0"/>
    <x v="0"/>
    <x v="0"/>
    <s v="NOMINA_rhadm"/>
    <x v="6"/>
    <b v="0"/>
    <s v="No está en VPC"/>
    <n v="166"/>
    <s v="INTPG_ACC_166_1.33"/>
    <s v="ISEL-1.33"/>
    <n v="1"/>
    <s v="NO TIENE L3OUT"/>
    <n v="84"/>
    <n v="96"/>
  </r>
  <r>
    <n v="111"/>
    <x v="0"/>
    <x v="257"/>
    <s v="eth1/33"/>
    <x v="0"/>
    <x v="0"/>
    <x v="0"/>
    <s v="SERVIDOR BKP-VNX"/>
    <x v="6"/>
    <b v="0"/>
    <s v="No está en VPC"/>
    <n v="111"/>
    <s v="INTPG_ACC_111_1.33"/>
    <s v="ISEL-1.33"/>
    <n v="1"/>
    <s v="NO TIENE L3OUT"/>
    <n v="58"/>
    <n v="96"/>
  </r>
  <r>
    <n v="115"/>
    <x v="0"/>
    <x v="258"/>
    <s v="eth1/33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33"/>
    <x v="0"/>
    <x v="0"/>
    <x v="0"/>
    <m/>
    <x v="6"/>
    <b v="0"/>
    <s v="No está en VPC"/>
    <n v="106"/>
    <s v="INTPG_ACC_106_1.33"/>
    <s v="ISEL-1.33"/>
    <n v="1"/>
    <s v="NO TIENE L3OUT"/>
    <n v="122"/>
    <n v="96"/>
  </r>
  <r>
    <n v="126"/>
    <x v="0"/>
    <x v="260"/>
    <s v="eth1/33"/>
    <x v="0"/>
    <x v="0"/>
    <x v="0"/>
    <s v="ENIQ"/>
    <x v="6"/>
    <b v="0"/>
    <s v="No está en VPC"/>
    <n v="126"/>
    <s v="INTPG_ACC_126_1.33"/>
    <s v="ISEL-1.33"/>
    <n v="1"/>
    <s v="NO TIENE L3OUT"/>
    <n v="54"/>
    <n v="96"/>
  </r>
  <r>
    <n v="425"/>
    <x v="1"/>
    <x v="261"/>
    <s v="eth1/33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33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33"/>
    <x v="0"/>
    <x v="0"/>
    <x v="0"/>
    <s v="DESC"/>
    <x v="6"/>
    <b v="0"/>
    <s v="No está en VPC"/>
    <n v="430"/>
    <s v="INTPG_PC_430_1.33-34"/>
    <s v="ISEL-1.33"/>
    <n v="1"/>
    <s v="NO TIENE L3OUT"/>
    <n v="86"/>
    <n v="96"/>
  </r>
  <r>
    <n v="419"/>
    <x v="1"/>
    <x v="264"/>
    <s v="eth1/33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33"/>
    <x v="0"/>
    <x v="0"/>
    <x v="0"/>
    <s v="RED CRICKET"/>
    <x v="6"/>
    <b v="0"/>
    <s v="No está en VPC"/>
    <n v="155"/>
    <s v="INTPG_ACC_155_1.33"/>
    <s v="ISEL-1.33"/>
    <n v="1"/>
    <s v="NO TIENE L3OUT"/>
    <n v="198"/>
    <n v="96"/>
  </r>
  <r>
    <n v="409"/>
    <x v="1"/>
    <x v="266"/>
    <s v="eth1/33"/>
    <x v="0"/>
    <x v="0"/>
    <x v="0"/>
    <s v="Uxcppnal_ilo"/>
    <x v="6"/>
    <b v="0"/>
    <s v="No está en VPC"/>
    <n v="409"/>
    <s v="INTPG_ACC_409_1.33"/>
    <s v="ISEL-1.33"/>
    <n v="1"/>
    <s v="NO TIENE L3OUT"/>
    <n v="128"/>
    <n v="96"/>
  </r>
  <r>
    <n v="422"/>
    <x v="1"/>
    <x v="267"/>
    <s v="eth1/33"/>
    <x v="0"/>
    <x v="0"/>
    <x v="0"/>
    <s v="IXTSD971B"/>
    <x v="6"/>
    <b v="0"/>
    <s v="No está en VPC"/>
    <n v="422"/>
    <s v="INTPG_ACC_422_1.33"/>
    <s v="ISEL-1.33"/>
    <n v="1"/>
    <s v="NO TIENE L3OUT"/>
    <n v="182"/>
    <n v="96"/>
  </r>
  <r>
    <n v="436"/>
    <x v="1"/>
    <x v="268"/>
    <s v="eth1/33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33"/>
    <x v="1"/>
    <x v="1"/>
    <x v="2"/>
    <m/>
    <x v="6"/>
    <b v="0"/>
    <s v="No está en VPC"/>
    <n v="410"/>
    <s v="NO EXISTE PG"/>
    <s v="NO EXISTE ISEL"/>
    <n v="0"/>
    <s v="NO TIENE L3OUT"/>
    <n v="178"/>
    <n v="96"/>
  </r>
  <r>
    <n v="161"/>
    <x v="0"/>
    <x v="270"/>
    <s v="eth1/33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33"/>
    <x v="0"/>
    <x v="0"/>
    <x v="0"/>
    <s v="lagidmhlapvp10_produccion1"/>
    <x v="6"/>
    <b v="0"/>
    <s v="No está en VPC"/>
    <n v="411"/>
    <s v="INTPG_VPC_411_1.31-34_413_1.24-27"/>
    <s v="ISEL-1.33"/>
    <n v="2"/>
    <s v="NO TIENE L3OUT"/>
    <n v="96"/>
    <n v="96"/>
  </r>
  <r>
    <n v="116"/>
    <x v="0"/>
    <x v="272"/>
    <s v="eth1/33"/>
    <x v="0"/>
    <x v="0"/>
    <x v="0"/>
    <s v="INGE6"/>
    <x v="6"/>
    <b v="0"/>
    <s v="No está en VPC"/>
    <n v="116"/>
    <s v="INTPG_ACC_116_1.33"/>
    <s v="ISEL-1.33"/>
    <n v="1"/>
    <s v="NO TIENE L3OUT"/>
    <n v="148"/>
    <n v="96"/>
  </r>
  <r>
    <n v="412"/>
    <x v="1"/>
    <x v="273"/>
    <s v="eth1/33"/>
    <x v="0"/>
    <x v="0"/>
    <x v="0"/>
    <s v="FS101"/>
    <x v="6"/>
    <b v="0"/>
    <s v="No está en VPC"/>
    <n v="412"/>
    <s v="INTPG_ACC_412_1.33"/>
    <s v="ISEL-1.33"/>
    <n v="1"/>
    <s v="NO TIENE L3OUT"/>
    <n v="126"/>
    <n v="96"/>
  </r>
  <r>
    <n v="120"/>
    <x v="0"/>
    <x v="274"/>
    <s v="eth1/33"/>
    <x v="0"/>
    <x v="0"/>
    <x v="0"/>
    <s v="IXTRTC5"/>
    <x v="6"/>
    <b v="0"/>
    <s v="No está en VPC"/>
    <n v="120"/>
    <s v="INTPG_ACC_120_1.33"/>
    <s v="ISEL-1.33"/>
    <n v="1"/>
    <s v="NO TIENE L3OUT"/>
    <n v="158"/>
    <n v="96"/>
  </r>
  <r>
    <n v="404"/>
    <x v="1"/>
    <x v="275"/>
    <s v="eth1/33"/>
    <x v="0"/>
    <x v="0"/>
    <x v="0"/>
    <s v="DESC"/>
    <x v="6"/>
    <b v="0"/>
    <s v="No está en VPC"/>
    <n v="404"/>
    <s v="INTPG_PC_404_1.31-34"/>
    <s v="ISEL-1.33"/>
    <n v="4"/>
    <s v="NO TIENE L3OUT"/>
    <n v="92"/>
    <n v="96"/>
  </r>
  <r>
    <n v="167"/>
    <x v="0"/>
    <x v="276"/>
    <s v="eth1/33"/>
    <x v="0"/>
    <x v="0"/>
    <x v="0"/>
    <s v="RBT"/>
    <x v="6"/>
    <b v="0"/>
    <s v="No está en VPC"/>
    <n v="167"/>
    <s v="INTPG_VPC_167_1.1_33_169_1.3_24"/>
    <s v="ISEL-1.33"/>
    <n v="3"/>
    <s v="NO TIENE L3OUT"/>
    <n v="68"/>
    <n v="96"/>
  </r>
  <r>
    <n v="428"/>
    <x v="1"/>
    <x v="277"/>
    <s v="eth1/33"/>
    <x v="0"/>
    <x v="0"/>
    <x v="0"/>
    <s v="DESC"/>
    <x v="6"/>
    <b v="0"/>
    <s v="No está en VPC"/>
    <n v="428"/>
    <s v="INTPG_PC_428_1.33-34"/>
    <s v="ISEL-1.33"/>
    <n v="1"/>
    <s v="NO TIENE L3OUT"/>
    <n v="102"/>
    <n v="96"/>
  </r>
  <r>
    <n v="128"/>
    <x v="0"/>
    <x v="0"/>
    <s v="eth1/34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34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34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34"/>
    <x v="0"/>
    <x v="1"/>
    <x v="3"/>
    <m/>
    <x v="0"/>
    <b v="0"/>
    <s v="No está en VPC"/>
    <n v="101"/>
    <s v="NO EXISTE PG"/>
    <s v="NO EXISTE ISEL"/>
    <n v="0"/>
    <s v="NO TIENE L3OUT"/>
    <n v="114"/>
    <n v="54"/>
  </r>
  <r>
    <n v="160"/>
    <x v="0"/>
    <x v="4"/>
    <s v="eth1/34"/>
    <x v="0"/>
    <x v="1"/>
    <x v="1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34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34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34"/>
    <x v="0"/>
    <x v="1"/>
    <x v="3"/>
    <m/>
    <x v="0"/>
    <b v="0"/>
    <s v="No está en VPC"/>
    <n v="401"/>
    <s v="NO EXISTE PG"/>
    <s v="NO EXISTE ISEL"/>
    <n v="0"/>
    <s v="NO TIENE L3OUT"/>
    <n v="40"/>
    <n v="54"/>
  </r>
  <r>
    <n v="402"/>
    <x v="1"/>
    <x v="8"/>
    <s v="eth1/34"/>
    <x v="0"/>
    <x v="0"/>
    <x v="0"/>
    <s v="DESC"/>
    <x v="0"/>
    <b v="0"/>
    <s v="No está en VPC"/>
    <n v="402"/>
    <s v="INTPG_PC_402_1.34-36"/>
    <s v="ISEL-1.34"/>
    <n v="1"/>
    <s v="NO TIENE L3OUT"/>
    <n v="36"/>
    <n v="54"/>
  </r>
  <r>
    <n v="447"/>
    <x v="1"/>
    <x v="9"/>
    <s v="eth1/34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34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34"/>
    <x v="0"/>
    <x v="0"/>
    <x v="0"/>
    <s v="LAG-smt-comp-05"/>
    <x v="0"/>
    <b v="0"/>
    <s v="No está en VPC"/>
    <n v="130"/>
    <s v="INTPG_VPC_130_1.34-35_131_1.34-35"/>
    <s v="ISEL-1.34"/>
    <n v="4"/>
    <s v="NO TIENE L3OUT"/>
    <n v="128"/>
    <n v="54"/>
  </r>
  <r>
    <n v="150"/>
    <x v="0"/>
    <x v="12"/>
    <s v="eth1/34"/>
    <x v="0"/>
    <x v="1"/>
    <x v="3"/>
    <m/>
    <x v="0"/>
    <b v="0"/>
    <s v="No está en VPC"/>
    <n v="150"/>
    <s v="NO EXISTE PG"/>
    <s v="NO EXISTE ISEL"/>
    <n v="0"/>
    <s v="NO TIENE L3OUT"/>
    <n v="118"/>
    <n v="54"/>
  </r>
  <r>
    <n v="131"/>
    <x v="0"/>
    <x v="13"/>
    <s v="eth1/34"/>
    <x v="0"/>
    <x v="0"/>
    <x v="0"/>
    <s v="LAG-smt-comp-05"/>
    <x v="0"/>
    <b v="0"/>
    <s v="No está en VPC"/>
    <n v="131"/>
    <s v="INTPG_VPC_130_1.34-35_131_1.34-35"/>
    <s v="ISEL-1.34"/>
    <n v="4"/>
    <s v="NO TIENE L3OUT"/>
    <n v="126"/>
    <n v="54"/>
  </r>
  <r>
    <n v="758"/>
    <x v="2"/>
    <x v="15"/>
    <s v="eth1/34"/>
    <x v="0"/>
    <x v="1"/>
    <x v="3"/>
    <s v="LINK_HACIA_MGMT"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34"/>
    <x v="0"/>
    <x v="1"/>
    <x v="3"/>
    <s v="LINK_HACIA_MGMT"/>
    <x v="2"/>
    <b v="0"/>
    <s v="No está en VPC"/>
    <n v="759"/>
    <s v="NO EXISTE PG"/>
    <s v="NO EXISTE ISEL"/>
    <n v="0"/>
    <s v="NO TIENE L3OUT"/>
    <n v="0"/>
    <n v="42"/>
  </r>
  <r>
    <n v="424"/>
    <x v="1"/>
    <x v="18"/>
    <s v="eth1/34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34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34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34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34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34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34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34"/>
    <x v="1"/>
    <x v="1"/>
    <x v="3"/>
    <m/>
    <x v="0"/>
    <b v="0"/>
    <s v="No está en VPC"/>
    <n v="431"/>
    <s v="NO EXISTE PG"/>
    <s v="NO EXISTE ISEL"/>
    <n v="0"/>
    <s v="NO TIENE L3OUT"/>
    <n v="46"/>
    <n v="54"/>
  </r>
  <r>
    <n v="433"/>
    <x v="1"/>
    <x v="27"/>
    <s v="eth1/34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34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34"/>
    <x v="0"/>
    <x v="1"/>
    <x v="1"/>
    <s v="GESTION-PRUEBAS"/>
    <x v="1"/>
    <b v="0"/>
    <s v="No está en VPC"/>
    <n v="432"/>
    <s v="INTPG_ACC_432_1.34"/>
    <s v="ISEL-1.34"/>
    <n v="1"/>
    <s v="NO TIENE L3OUT"/>
    <n v="54"/>
    <n v="54"/>
  </r>
  <r>
    <n v="442"/>
    <x v="1"/>
    <x v="30"/>
    <s v="eth1/34"/>
    <x v="0"/>
    <x v="0"/>
    <x v="0"/>
    <s v="bmc_ithhwc3c2288h3_SECUNDARIO"/>
    <x v="1"/>
    <b v="0"/>
    <s v="No está en VPC"/>
    <n v="442"/>
    <s v="INTPG_ACC_442_1.34"/>
    <s v="ISEL-1.34"/>
    <n v="1"/>
    <s v="NO TIENE L3OUT"/>
    <n v="18"/>
    <n v="54"/>
  </r>
  <r>
    <n v="434"/>
    <x v="1"/>
    <x v="31"/>
    <s v="eth1/34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34"/>
    <x v="0"/>
    <x v="1"/>
    <x v="3"/>
    <s v="CEM_HADOOP"/>
    <x v="0"/>
    <b v="0"/>
    <s v="No está en VPC"/>
    <n v="707"/>
    <s v="INTPG_ACC_707_1.34"/>
    <s v="ISEL-1.34"/>
    <n v="1"/>
    <s v="NO TIENE L3OUT"/>
    <n v="54"/>
    <n v="54"/>
  </r>
  <r>
    <n v="712"/>
    <x v="2"/>
    <x v="33"/>
    <s v="eth1/34"/>
    <x v="0"/>
    <x v="1"/>
    <x v="3"/>
    <m/>
    <x v="0"/>
    <b v="0"/>
    <s v="No está en VPC"/>
    <n v="712"/>
    <s v="INTPG_VPC_713_1.33_712_1.34"/>
    <s v="ISEL-1.34"/>
    <n v="0"/>
    <s v="NO TIENE L3OUT"/>
    <n v="32"/>
    <n v="54"/>
  </r>
  <r>
    <n v="719"/>
    <x v="2"/>
    <x v="34"/>
    <s v="eth1/34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34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34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34"/>
    <x v="0"/>
    <x v="1"/>
    <x v="5"/>
    <s v="CEM:ITHCEMD2APT17:LOM  P2"/>
    <x v="0"/>
    <b v="0"/>
    <s v="No está en VPC"/>
    <n v="711"/>
    <s v="INTPG_VPC_710_1.33_711_1.34"/>
    <s v="ISEL-1.34"/>
    <n v="1"/>
    <s v="NO TIENE L3OUT"/>
    <n v="16"/>
    <n v="54"/>
  </r>
  <r>
    <n v="716"/>
    <x v="2"/>
    <x v="38"/>
    <s v="eth1/34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34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34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34"/>
    <x v="0"/>
    <x v="0"/>
    <x v="0"/>
    <s v="Proyecto Arieso"/>
    <x v="0"/>
    <b v="0"/>
    <s v="No está en VPC"/>
    <n v="446"/>
    <s v="INTPG_VPC_444_1.33-36_446_1.33-36"/>
    <s v="ISEL-1.34"/>
    <n v="19"/>
    <s v="NO TIENE L3OUT"/>
    <n v="198"/>
    <n v="54"/>
  </r>
  <r>
    <n v="444"/>
    <x v="1"/>
    <x v="42"/>
    <s v="eth1/34"/>
    <x v="0"/>
    <x v="0"/>
    <x v="0"/>
    <s v="Proyecto Arieso"/>
    <x v="0"/>
    <b v="0"/>
    <s v="No está en VPC"/>
    <n v="444"/>
    <s v="INTPG_VPC_444_1.33-36_446_1.33-36"/>
    <s v="ISEL-1.34"/>
    <n v="19"/>
    <s v="NO TIENE L3OUT"/>
    <n v="234"/>
    <n v="54"/>
  </r>
  <r>
    <n v="701"/>
    <x v="2"/>
    <x v="43"/>
    <s v="eth1/34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34"/>
    <x v="0"/>
    <x v="0"/>
    <x v="0"/>
    <s v="bmc_ithhwc3c2288h2_PRINCIPAL"/>
    <x v="1"/>
    <b v="0"/>
    <s v="No está en VPC"/>
    <n v="440"/>
    <s v="INTPG_ACC_440_1.34"/>
    <s v="ISEL-1.34"/>
    <n v="1"/>
    <s v="NO TIENE L3OUT"/>
    <n v="22"/>
    <n v="54"/>
  </r>
  <r>
    <n v="448"/>
    <x v="1"/>
    <x v="45"/>
    <s v="eth1/34"/>
    <x v="1"/>
    <x v="1"/>
    <x v="3"/>
    <m/>
    <x v="0"/>
    <b v="0"/>
    <s v="No está en VPC"/>
    <n v="448"/>
    <s v="NO EXISTE PG"/>
    <s v="NO EXISTE ISEL"/>
    <n v="0"/>
    <s v="NO TIENE L3OUT"/>
    <n v="46"/>
    <n v="54"/>
  </r>
  <r>
    <n v="704"/>
    <x v="2"/>
    <x v="46"/>
    <s v="eth1/34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34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34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34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34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34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34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34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34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34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34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34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34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34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34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34"/>
    <x v="0"/>
    <x v="0"/>
    <x v="0"/>
    <s v="CEM:ITHCEMB2ADT17:SLOT1 P1"/>
    <x v="5"/>
    <b v="0"/>
    <s v="No está en VPC"/>
    <n v="742"/>
    <s v="INTPG_ACC_742_1.34"/>
    <s v="ISEL-1.34"/>
    <n v="1"/>
    <s v="NO TIENE L3OUT"/>
    <n v="64"/>
    <n v="54"/>
  </r>
  <r>
    <n v="763"/>
    <x v="2"/>
    <x v="63"/>
    <s v="eth1/34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34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34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34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34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34"/>
    <x v="0"/>
    <x v="1"/>
    <x v="3"/>
    <s v="CLOUD OPS:ithhwcop01st01ce01:B IOM1 Smart IO P0"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34"/>
    <x v="0"/>
    <x v="0"/>
    <x v="0"/>
    <s v="CLOUD OPS:ithhwcop02en02:4E P1"/>
    <x v="0"/>
    <b v="0"/>
    <s v="No está en VPC"/>
    <n v="780"/>
    <s v="INTPG_VPC_780_1.28-29_34-35_781_1.28-29_34-35"/>
    <s v="ISEL-1.34"/>
    <n v="23"/>
    <s v="NO TIENE L3OUT"/>
    <n v="26"/>
    <n v="54"/>
  </r>
  <r>
    <n v="812"/>
    <x v="2"/>
    <x v="70"/>
    <s v="eth1/34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34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34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34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34"/>
    <x v="0"/>
    <x v="0"/>
    <x v="0"/>
    <s v="LINK_TO_ITHFHWCMVWPMA16 /Slot6.2 /Redundante"/>
    <x v="0"/>
    <b v="0"/>
    <s v="No está en VPC"/>
    <n v="824"/>
    <s v="INTPG_ACC_824_1.34"/>
    <s v="ISEL-1.34"/>
    <n v="1"/>
    <s v="NO TIENE L3OUT"/>
    <n v="70"/>
    <n v="54"/>
  </r>
  <r>
    <n v="819"/>
    <x v="2"/>
    <x v="75"/>
    <s v="eth1/34"/>
    <x v="0"/>
    <x v="0"/>
    <x v="0"/>
    <s v="LINK_TO_ITHFHWCMVWPMA16 /Slot4.2 /Principal"/>
    <x v="0"/>
    <b v="0"/>
    <s v="No está en VPC"/>
    <n v="819"/>
    <s v="INTPG_ACC_819_1.34"/>
    <s v="ISEL-1.34"/>
    <n v="1"/>
    <s v="NO TIENE L3OUT"/>
    <n v="70"/>
    <n v="54"/>
  </r>
  <r>
    <n v="737"/>
    <x v="2"/>
    <x v="76"/>
    <s v="eth1/34"/>
    <x v="0"/>
    <x v="0"/>
    <x v="0"/>
    <s v="CEM:ITHCEME2APT17:SLOT1 P1"/>
    <x v="5"/>
    <b v="0"/>
    <s v="No está en VPC"/>
    <n v="737"/>
    <s v="INTPG_ACC_737_1.34"/>
    <s v="ISEL-1.34"/>
    <n v="1"/>
    <s v="NO TIENE L3OUT"/>
    <n v="72"/>
    <n v="54"/>
  </r>
  <r>
    <n v="844"/>
    <x v="2"/>
    <x v="77"/>
    <s v="eth1/34"/>
    <x v="0"/>
    <x v="0"/>
    <x v="0"/>
    <s v="LINK_TO_ITHFHWCRMPLCN112 / Slot1.1_28 / Principal"/>
    <x v="0"/>
    <b v="0"/>
    <s v="No está en VPC"/>
    <n v="844"/>
    <s v="INTPG_ACC_844_1.34"/>
    <s v="ISEL-1.34"/>
    <n v="6"/>
    <s v="NO TIENE L3OUT"/>
    <n v="282"/>
    <n v="54"/>
  </r>
  <r>
    <n v="843"/>
    <x v="2"/>
    <x v="78"/>
    <s v="eth1/34"/>
    <x v="0"/>
    <x v="0"/>
    <x v="0"/>
    <s v="A_ITHFHWSEQLHDPS76_Principal"/>
    <x v="0"/>
    <b v="0"/>
    <s v="No está en VPC"/>
    <n v="843"/>
    <s v="INTPG_ACC_843_1.34"/>
    <s v="ISEL-1.34"/>
    <n v="1"/>
    <s v="NO TIENE L3OUT"/>
    <n v="38"/>
    <n v="54"/>
  </r>
  <r>
    <n v="797"/>
    <x v="2"/>
    <x v="79"/>
    <s v="eth1/34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34"/>
    <x v="0"/>
    <x v="0"/>
    <x v="0"/>
    <s v="LINK_TO_ITHFHWCBSPSHD41 / Slot7.1_20 / Redundante"/>
    <x v="0"/>
    <b v="0"/>
    <s v="No está en VPC"/>
    <n v="839"/>
    <s v="INTPG_VPC_834_1.34_839_1.34"/>
    <s v="ISEL-1.34"/>
    <n v="2"/>
    <s v="NO TIENE L3OUT"/>
    <n v="0"/>
    <n v="54"/>
  </r>
  <r>
    <n v="847"/>
    <x v="2"/>
    <x v="81"/>
    <s v="eth1/34"/>
    <x v="0"/>
    <x v="0"/>
    <x v="0"/>
    <s v="LINK_TO_ITHFHWCRMPLCN176 / Slot7.3_22 / Redundante"/>
    <x v="0"/>
    <b v="0"/>
    <s v="No está en VPC"/>
    <n v="847"/>
    <s v="INTPG_ACC_847_1.34"/>
    <s v="ISEL-1.34"/>
    <n v="1"/>
    <s v="NO TIENE L3OUT"/>
    <n v="204"/>
    <n v="54"/>
  </r>
  <r>
    <n v="848"/>
    <x v="2"/>
    <x v="82"/>
    <s v="eth1/34"/>
    <x v="0"/>
    <x v="0"/>
    <x v="0"/>
    <s v="LINK_TO_ITHFHWCRMPLCN165 / Slot7.3_32 / Redundante"/>
    <x v="0"/>
    <b v="0"/>
    <s v="No está en VPC"/>
    <n v="848"/>
    <s v="INTPG_ACC_848_1.34"/>
    <s v="ISEL-1.34"/>
    <n v="1"/>
    <s v="NO TIENE L3OUT"/>
    <n v="254"/>
    <n v="54"/>
  </r>
  <r>
    <n v="846"/>
    <x v="2"/>
    <x v="83"/>
    <s v="eth1/34"/>
    <x v="0"/>
    <x v="0"/>
    <x v="0"/>
    <s v="LINK_TO_ITHFHWCRMPLCN83 / Slot1.1_24 / Principal"/>
    <x v="0"/>
    <b v="0"/>
    <s v="No está en VPC"/>
    <n v="846"/>
    <s v="INTPG_ACC_846_1.34"/>
    <s v="ISEL-1.34"/>
    <n v="6"/>
    <s v="NO TIENE L3OUT"/>
    <n v="242"/>
    <n v="54"/>
  </r>
  <r>
    <n v="838"/>
    <x v="2"/>
    <x v="84"/>
    <s v="eth1/34"/>
    <x v="0"/>
    <x v="0"/>
    <x v="0"/>
    <s v="A_ITHFHWSEQLHDPS76_Redundante"/>
    <x v="0"/>
    <b v="0"/>
    <s v="No está en VPC"/>
    <n v="838"/>
    <s v="INTPG_ACC_838_1.34"/>
    <s v="ISEL-1.34"/>
    <n v="1"/>
    <s v="NO TIENE L3OUT"/>
    <n v="38"/>
    <n v="54"/>
  </r>
  <r>
    <n v="849"/>
    <x v="2"/>
    <x v="85"/>
    <s v="eth1/34"/>
    <x v="0"/>
    <x v="0"/>
    <x v="0"/>
    <s v="LINK_TO_ITHFHWCRMPLCN145 / Slot7.3_24 / Redundante"/>
    <x v="0"/>
    <b v="0"/>
    <s v="No está en VPC"/>
    <n v="849"/>
    <s v="INTPG_ACC_849_1.34"/>
    <s v="ISEL-1.34"/>
    <n v="1"/>
    <s v="NO TIENE L3OUT"/>
    <n v="286"/>
    <n v="54"/>
  </r>
  <r>
    <n v="845"/>
    <x v="2"/>
    <x v="86"/>
    <s v="eth1/34"/>
    <x v="0"/>
    <x v="0"/>
    <x v="0"/>
    <s v="LINK_TO_ITHFHWCRMPLCN95 / Slot1.2_22 / Principal"/>
    <x v="0"/>
    <b v="0"/>
    <s v="No está en VPC"/>
    <n v="845"/>
    <s v="INTPG_ACC_845_1.34"/>
    <s v="ISEL-1.34"/>
    <n v="2"/>
    <s v="NO TIENE L3OUT"/>
    <n v="258"/>
    <n v="54"/>
  </r>
  <r>
    <n v="873"/>
    <x v="2"/>
    <x v="87"/>
    <s v="eth1/34"/>
    <x v="0"/>
    <x v="0"/>
    <x v="0"/>
    <s v="TO_ITHHWD6KV65100017DKC01_Principal"/>
    <x v="0"/>
    <b v="0"/>
    <s v="No está en VPC"/>
    <n v="873"/>
    <s v="INTPG_ACC_873_1.34"/>
    <s v="ISEL-1.34"/>
    <n v="1"/>
    <s v="NO TIENE L3OUT"/>
    <n v="248"/>
    <n v="54"/>
  </r>
  <r>
    <n v="864"/>
    <x v="2"/>
    <x v="88"/>
    <s v="eth1/34"/>
    <x v="0"/>
    <x v="0"/>
    <x v="0"/>
    <s v="To_VPC_2DCBSD_WR47_1"/>
    <x v="0"/>
    <b v="0"/>
    <s v="No está en VPC"/>
    <n v="864"/>
    <s v="INTPG_VPC_859_1.34_864_1.34"/>
    <s v="ISEL-1.34"/>
    <n v="2"/>
    <s v="NO TIENE L3OUT"/>
    <n v="0"/>
    <n v="54"/>
  </r>
  <r>
    <n v="836"/>
    <x v="2"/>
    <x v="89"/>
    <s v="eth1/34"/>
    <x v="0"/>
    <x v="0"/>
    <x v="0"/>
    <s v="LINK_TO_ITHFHWCBSPSHD25 / Slot1.3_14 / Principal"/>
    <x v="0"/>
    <b v="0"/>
    <s v="No está en VPC"/>
    <n v="836"/>
    <s v="INTPG_VPC_836_1.34_841_1.34"/>
    <s v="ISEL-1.34"/>
    <n v="1"/>
    <s v="NO TIENE L3OUT"/>
    <n v="0"/>
    <n v="54"/>
  </r>
  <r>
    <n v="834"/>
    <x v="2"/>
    <x v="90"/>
    <s v="eth1/34"/>
    <x v="0"/>
    <x v="0"/>
    <x v="0"/>
    <s v="LINK_TO_ITHFHWCBSPSHD41 / Slot1.1_20 / Principal"/>
    <x v="0"/>
    <b v="0"/>
    <s v="No está en VPC"/>
    <n v="834"/>
    <s v="INTPG_VPC_834_1.34_839_1.34"/>
    <s v="ISEL-1.34"/>
    <n v="2"/>
    <s v="NO TIENE L3OUT"/>
    <n v="0"/>
    <n v="54"/>
  </r>
  <r>
    <n v="872"/>
    <x v="2"/>
    <x v="91"/>
    <s v="eth1/34"/>
    <x v="0"/>
    <x v="0"/>
    <x v="0"/>
    <s v="To_ITHFHWCRMDLCN80_Principal"/>
    <x v="0"/>
    <b v="0"/>
    <s v="No está en VPC"/>
    <n v="872"/>
    <s v="INTPG_ACC_872_1.34"/>
    <s v="ISEL-1.34"/>
    <n v="2"/>
    <s v="NO TIENE L3OUT"/>
    <n v="288"/>
    <n v="54"/>
  </r>
  <r>
    <n v="842"/>
    <x v="2"/>
    <x v="92"/>
    <s v="eth1/34"/>
    <x v="0"/>
    <x v="0"/>
    <x v="0"/>
    <s v="LINK_To_ITHFHWCBSPSHD19 / Slot7.2_14 / Redundante"/>
    <x v="0"/>
    <b v="0"/>
    <s v="No está en VPC"/>
    <n v="842"/>
    <s v="INTPG_VPC_837_1.34_842_1.34"/>
    <s v="ISEL-1.34"/>
    <n v="1"/>
    <s v="NO TIENE L3OUT"/>
    <n v="8"/>
    <n v="54"/>
  </r>
  <r>
    <n v="828"/>
    <x v="2"/>
    <x v="93"/>
    <s v="eth1/34"/>
    <x v="0"/>
    <x v="0"/>
    <x v="0"/>
    <s v="LINK_TO_ITHFHWCRMDLCN26 /Slot4.2 /Principal"/>
    <x v="0"/>
    <b v="0"/>
    <s v="No está en VPC"/>
    <n v="828"/>
    <s v="INTPG_ACC_828_1.34"/>
    <s v="ISEL-1.34"/>
    <n v="1"/>
    <s v="NO TIENE L3OUT"/>
    <n v="192"/>
    <n v="54"/>
  </r>
  <r>
    <n v="870"/>
    <x v="2"/>
    <x v="94"/>
    <s v="eth1/34"/>
    <x v="0"/>
    <x v="0"/>
    <x v="0"/>
    <s v="TO_ITHHWD6KV65100017DKC01_Redundante"/>
    <x v="0"/>
    <b v="0"/>
    <s v="No está en VPC"/>
    <n v="870"/>
    <s v="INTPG_ACC_870_1.34"/>
    <s v="ISEL-1.34"/>
    <n v="1"/>
    <s v="NO TIENE L3OUT"/>
    <n v="248"/>
    <n v="54"/>
  </r>
  <r>
    <n v="866"/>
    <x v="2"/>
    <x v="95"/>
    <s v="eth1/34"/>
    <x v="0"/>
    <x v="0"/>
    <x v="0"/>
    <s v="To_VPC_2DCBSD_BD13_3"/>
    <x v="0"/>
    <b v="0"/>
    <s v="No está en VPC"/>
    <n v="866"/>
    <s v="INTPG_VPC_861_1.34_866_1.34"/>
    <s v="ISEL-1.34"/>
    <n v="1"/>
    <s v="NO TIENE L3OUT"/>
    <n v="8"/>
    <n v="54"/>
  </r>
  <r>
    <n v="862"/>
    <x v="2"/>
    <x v="96"/>
    <s v="eth1/34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34"/>
    <x v="0"/>
    <x v="0"/>
    <x v="0"/>
    <s v="LINK_TO_ITHFHWCRMPLCN165 / Slot1.3_32 / Principal"/>
    <x v="0"/>
    <b v="0"/>
    <s v="No está en VPC"/>
    <n v="855"/>
    <s v="INTPG_ACC_855_1.34"/>
    <s v="ISEL-1.34"/>
    <n v="1"/>
    <s v="NO TIENE L3OUT"/>
    <n v="254"/>
    <n v="54"/>
  </r>
  <r>
    <n v="871"/>
    <x v="2"/>
    <x v="98"/>
    <s v="eth1/34"/>
    <x v="0"/>
    <x v="0"/>
    <x v="0"/>
    <s v="To_ITHFHWCRMDLCN65_Principal"/>
    <x v="0"/>
    <b v="0"/>
    <s v="No está en VPC"/>
    <n v="871"/>
    <s v="INTPG_ACC_871_1.34"/>
    <s v="ISEL-1.34"/>
    <n v="6"/>
    <s v="NO TIENE L3OUT"/>
    <n v="246"/>
    <n v="54"/>
  </r>
  <r>
    <n v="841"/>
    <x v="2"/>
    <x v="99"/>
    <s v="eth1/34"/>
    <x v="0"/>
    <x v="0"/>
    <x v="0"/>
    <s v="LINK_TO_ITHFHWCBSPSHD25 / Slot7.3_14 / Redundante"/>
    <x v="0"/>
    <b v="0"/>
    <s v="No está en VPC"/>
    <n v="841"/>
    <s v="INTPG_VPC_836_1.34_841_1.34"/>
    <s v="ISEL-1.34"/>
    <n v="1"/>
    <s v="NO TIENE L3OUT"/>
    <n v="0"/>
    <n v="54"/>
  </r>
  <r>
    <n v="868"/>
    <x v="2"/>
    <x v="100"/>
    <s v="eth1/34"/>
    <x v="0"/>
    <x v="0"/>
    <x v="0"/>
    <s v="To_ITHFHWCRMDLCN65_Redundante"/>
    <x v="0"/>
    <b v="0"/>
    <s v="No está en VPC"/>
    <n v="868"/>
    <s v="INTPG_ACC_868_1.34"/>
    <s v="ISEL-1.34"/>
    <n v="6"/>
    <s v="NO TIENE L3OUT"/>
    <n v="246"/>
    <n v="54"/>
  </r>
  <r>
    <n v="869"/>
    <x v="2"/>
    <x v="101"/>
    <s v="eth1/34"/>
    <x v="0"/>
    <x v="0"/>
    <x v="0"/>
    <s v="To_ITHFHWCRMDLCN80_Redundante"/>
    <x v="0"/>
    <b v="0"/>
    <s v="No está en VPC"/>
    <n v="869"/>
    <s v="INTPG_ACC_869_1.34"/>
    <s v="ISEL-1.34"/>
    <n v="2"/>
    <s v="NO TIENE L3OUT"/>
    <n v="288"/>
    <n v="54"/>
  </r>
  <r>
    <n v="861"/>
    <x v="2"/>
    <x v="102"/>
    <s v="eth1/34"/>
    <x v="0"/>
    <x v="0"/>
    <x v="0"/>
    <s v="To_VPC_2DCBSD_BD13_3"/>
    <x v="0"/>
    <b v="0"/>
    <s v="No está en VPC"/>
    <n v="861"/>
    <s v="INTPG_VPC_861_1.34_866_1.34"/>
    <s v="ISEL-1.34"/>
    <n v="1"/>
    <s v="NO TIENE L3OUT"/>
    <n v="8"/>
    <n v="54"/>
  </r>
  <r>
    <n v="874"/>
    <x v="2"/>
    <x v="103"/>
    <s v="eth1/34"/>
    <x v="0"/>
    <x v="0"/>
    <x v="0"/>
    <s v="A_ITHFHWSEQLDPS06_Redundante"/>
    <x v="4"/>
    <b v="0"/>
    <s v="No está en VPC"/>
    <n v="874"/>
    <s v="INTPG_ACC_874_1.34"/>
    <s v="ISEL-1.34"/>
    <n v="1"/>
    <s v="NO TIENE L3OUT"/>
    <n v="92"/>
    <n v="54"/>
  </r>
  <r>
    <n v="865"/>
    <x v="2"/>
    <x v="104"/>
    <s v="eth1/34"/>
    <x v="0"/>
    <x v="0"/>
    <x v="0"/>
    <s v="To_VPC_2DCBSD_BD18_1"/>
    <x v="0"/>
    <b v="0"/>
    <s v="No está en VPC"/>
    <n v="865"/>
    <s v="INTPG_VPC_860_1.34_865_1.34"/>
    <s v="ISEL-1.34"/>
    <n v="2"/>
    <s v="NO TIENE L3OUT"/>
    <n v="0"/>
    <n v="54"/>
  </r>
  <r>
    <n v="753"/>
    <x v="2"/>
    <x v="105"/>
    <s v="eth1/34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34"/>
    <x v="0"/>
    <x v="1"/>
    <x v="5"/>
    <s v="CEM:ITHCEME2APT17:LOM  P2"/>
    <x v="0"/>
    <b v="0"/>
    <s v="No está en VPC"/>
    <n v="708"/>
    <s v="INTPG_VPC_708_1.34_709_1.33"/>
    <s v="ISEL-1.34"/>
    <n v="1"/>
    <s v="NO TIENE L3OUT"/>
    <n v="0"/>
    <n v="54"/>
  </r>
  <r>
    <n v="710"/>
    <x v="2"/>
    <x v="107"/>
    <s v="eth1/34"/>
    <x v="0"/>
    <x v="1"/>
    <x v="5"/>
    <s v="CEM:ITHCEMC2ADT17:LOM  P2"/>
    <x v="0"/>
    <b v="0"/>
    <s v="No está en VPC"/>
    <n v="710"/>
    <s v="INTPG_VPC_710_1.34_711_1.33"/>
    <s v="ISEL-1.34"/>
    <n v="1"/>
    <s v="NO TIENE L3OUT"/>
    <n v="16"/>
    <n v="54"/>
  </r>
  <r>
    <n v="713"/>
    <x v="2"/>
    <x v="108"/>
    <s v="eth1/34"/>
    <x v="0"/>
    <x v="1"/>
    <x v="5"/>
    <s v="CEM:ITHCEMB2ADT17:LOM  P2"/>
    <x v="0"/>
    <b v="0"/>
    <s v="No está en VPC"/>
    <n v="713"/>
    <s v="INTPG_VPC_712_1.33_713_1.34"/>
    <s v="ISEL-1.34"/>
    <n v="1"/>
    <s v="NO TIENE L3OUT"/>
    <n v="32"/>
    <n v="54"/>
  </r>
  <r>
    <n v="735"/>
    <x v="2"/>
    <x v="109"/>
    <s v="eth1/34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34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34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34"/>
    <x v="0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34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14"/>
    <x v="2"/>
    <x v="114"/>
    <s v="eth1/34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34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34"/>
    <x v="0"/>
    <x v="0"/>
    <x v="0"/>
    <s v="LINK_TO_ITHFHWCBSDSWR18 /Slot5.2 /Principal"/>
    <x v="0"/>
    <b v="0"/>
    <s v="No está en VPC"/>
    <n v="826"/>
    <s v="INTPG_VPC_826_1.34_830_1.34"/>
    <s v="ISEL-1.34"/>
    <n v="2"/>
    <s v="NO TIENE L3OUT"/>
    <n v="12"/>
    <n v="54"/>
  </r>
  <r>
    <n v="726"/>
    <x v="2"/>
    <x v="117"/>
    <s v="eth1/34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34"/>
    <x v="0"/>
    <x v="0"/>
    <x v="0"/>
    <s v="CEM:ITHCEMD2APT17:SLOT1 P1"/>
    <x v="5"/>
    <b v="0"/>
    <s v="No está en VPC"/>
    <n v="740"/>
    <s v="INTPG_ACC_740_1.34"/>
    <s v="ISEL-1.34"/>
    <n v="1"/>
    <s v="NO TIENE L3OUT"/>
    <n v="72"/>
    <n v="54"/>
  </r>
  <r>
    <n v="705"/>
    <x v="2"/>
    <x v="119"/>
    <s v="eth1/34"/>
    <x v="0"/>
    <x v="0"/>
    <x v="0"/>
    <m/>
    <x v="0"/>
    <b v="0"/>
    <s v="No está en VPC"/>
    <n v="705"/>
    <s v="INTPG_VPC_706_1.33_705_1.34"/>
    <s v="ISEL-1.34"/>
    <n v="1"/>
    <s v="NO TIENE L3OUT"/>
    <n v="16"/>
    <n v="54"/>
  </r>
  <r>
    <n v="723"/>
    <x v="2"/>
    <x v="120"/>
    <s v="eth1/34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34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34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34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34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34"/>
    <x v="0"/>
    <x v="1"/>
    <x v="5"/>
    <s v="CEM:ITHCEMF2HUN17:LOM  P2"/>
    <x v="0"/>
    <b v="0"/>
    <s v="No está en VPC"/>
    <n v="709"/>
    <s v="INTPG_VPC_708_1.33_709_1.34"/>
    <s v="ISEL-1.34"/>
    <n v="1"/>
    <s v="NO TIENE L3OUT"/>
    <n v="0"/>
    <n v="54"/>
  </r>
  <r>
    <n v="454"/>
    <x v="1"/>
    <x v="126"/>
    <s v="eth1/34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34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34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34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34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34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34"/>
    <x v="0"/>
    <x v="1"/>
    <x v="1"/>
    <s v="ITHCEMB2ADT13"/>
    <x v="5"/>
    <b v="0"/>
    <s v="No está en VPC"/>
    <n v="741"/>
    <s v="INTPG_ACC_741_1.34"/>
    <s v="ISEL-1.34"/>
    <n v="1"/>
    <s v="NO TIENE L3OUT"/>
    <n v="62"/>
    <n v="54"/>
  </r>
  <r>
    <n v="787"/>
    <x v="2"/>
    <x v="133"/>
    <s v="eth1/34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34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34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34"/>
    <x v="0"/>
    <x v="1"/>
    <x v="3"/>
    <s v="CEM_HADOOP"/>
    <x v="0"/>
    <b v="0"/>
    <s v="No está en VPC"/>
    <n v="736"/>
    <s v="INTPG_ACC_736_1.34"/>
    <s v="ISEL-1.34"/>
    <n v="1"/>
    <s v="NO TIENE L3OUT"/>
    <n v="48"/>
    <n v="54"/>
  </r>
  <r>
    <n v="799"/>
    <x v="2"/>
    <x v="137"/>
    <s v="eth1/34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34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34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34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34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34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34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34"/>
    <x v="0"/>
    <x v="0"/>
    <x v="0"/>
    <s v="PAAS:ithhwoscopap017:Slot 4/Pto 2"/>
    <x v="0"/>
    <b v="0"/>
    <s v="No está en VPC"/>
    <n v="774"/>
    <s v="INTPG_VPC_774_1.34_775_1.35"/>
    <s v="ISEL-1.34"/>
    <n v="24"/>
    <s v="NO TIENE L3OUT"/>
    <n v="0"/>
    <n v="54"/>
  </r>
  <r>
    <n v="773"/>
    <x v="2"/>
    <x v="145"/>
    <s v="eth1/34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34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34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34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34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34"/>
    <x v="0"/>
    <x v="0"/>
    <x v="0"/>
    <s v="CLOUD OPS:ithhwcop02en02:4E P3"/>
    <x v="0"/>
    <b v="0"/>
    <s v="No está en VPC"/>
    <n v="781"/>
    <s v="INTPG_VPC_780_1.28-29_34-35_781_1.28-29_34-35"/>
    <s v="ISEL-1.34"/>
    <n v="23"/>
    <s v="NO TIENE L3OUT"/>
    <n v="26"/>
    <n v="54"/>
  </r>
  <r>
    <n v="793"/>
    <x v="2"/>
    <x v="151"/>
    <s v="eth1/34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34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34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34"/>
    <x v="1"/>
    <x v="1"/>
    <x v="2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34"/>
    <x v="0"/>
    <x v="0"/>
    <x v="0"/>
    <s v="PAAS:ithhwoscopap019:10GE /Pto 1"/>
    <x v="0"/>
    <b v="0"/>
    <s v="No está en VPC"/>
    <n v="777"/>
    <s v="INTPG_VPC_776_1.33_777_1.34"/>
    <s v="ISEL-1.34"/>
    <n v="24"/>
    <s v="NO TIENE L3OUT"/>
    <n v="0"/>
    <n v="54"/>
  </r>
  <r>
    <n v="770"/>
    <x v="2"/>
    <x v="156"/>
    <s v="eth1/34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34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34"/>
    <x v="0"/>
    <x v="0"/>
    <x v="0"/>
    <s v="CEM:ITHCEMC2ADT17:SLOT1 P1"/>
    <x v="5"/>
    <b v="0"/>
    <s v="No está en VPC"/>
    <n v="739"/>
    <s v="INTPG_ACC_739_1.34"/>
    <s v="ISEL-1.34"/>
    <n v="1"/>
    <s v="NO TIENE L3OUT"/>
    <n v="72"/>
    <n v="54"/>
  </r>
  <r>
    <n v="775"/>
    <x v="2"/>
    <x v="159"/>
    <s v="eth1/34"/>
    <x v="0"/>
    <x v="0"/>
    <x v="0"/>
    <s v="PAAS:ithhwoscopap016:10GE /Pto 1"/>
    <x v="0"/>
    <b v="0"/>
    <s v="No está en VPC"/>
    <n v="775"/>
    <s v="INTPG_VPC_774_1.33_775_1.34"/>
    <s v="ISEL-1.34"/>
    <n v="24"/>
    <s v="NO TIENE L3OUT"/>
    <n v="0"/>
    <n v="54"/>
  </r>
  <r>
    <n v="791"/>
    <x v="2"/>
    <x v="160"/>
    <s v="eth1/34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34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34"/>
    <x v="0"/>
    <x v="0"/>
    <x v="0"/>
    <s v="LINK_TO_ITHFHWCBSDSWR18 /Slot7.2 /Redundante"/>
    <x v="0"/>
    <b v="0"/>
    <s v="No está en VPC"/>
    <n v="830"/>
    <s v="INTPG_VPC_826_1.34_830_1.34"/>
    <s v="ISEL-1.34"/>
    <n v="2"/>
    <s v="NO TIENE L3OUT"/>
    <n v="12"/>
    <n v="54"/>
  </r>
  <r>
    <n v="821"/>
    <x v="2"/>
    <x v="163"/>
    <s v="eth1/34"/>
    <x v="0"/>
    <x v="0"/>
    <x v="0"/>
    <s v="LINK_TO_ITHFHWCBSPSWR18 /Slot7.2 /Redundante"/>
    <x v="0"/>
    <b v="0"/>
    <s v="No está en VPC"/>
    <n v="821"/>
    <s v="INTPG_VPC_816_1.34_821_1.34"/>
    <s v="ISEL-1.34"/>
    <n v="2"/>
    <s v="NO TIENE L3OUT"/>
    <n v="0"/>
    <n v="54"/>
  </r>
  <r>
    <n v="738"/>
    <x v="2"/>
    <x v="164"/>
    <s v="eth1/34"/>
    <x v="0"/>
    <x v="0"/>
    <x v="0"/>
    <s v="CEM:ITHCEMF2HUN17:SLOT1 P1"/>
    <x v="5"/>
    <b v="0"/>
    <s v="No está en VPC"/>
    <n v="738"/>
    <s v="INTPG_ACC_738_1.34"/>
    <s v="ISEL-1.34"/>
    <n v="1"/>
    <s v="NO TIENE L3OUT"/>
    <n v="72"/>
    <n v="54"/>
  </r>
  <r>
    <n v="820"/>
    <x v="2"/>
    <x v="165"/>
    <s v="eth1/34"/>
    <x v="0"/>
    <x v="0"/>
    <x v="0"/>
    <s v="To_ITHHWD6KV65100010DKC01_Principal"/>
    <x v="0"/>
    <b v="0"/>
    <s v="No está en VPC"/>
    <n v="820"/>
    <s v="INTPG_ACC_820_1.34"/>
    <s v="ISEL-1.34"/>
    <n v="1"/>
    <s v="NO TIENE L3OUT"/>
    <n v="72"/>
    <n v="54"/>
  </r>
  <r>
    <n v="804"/>
    <x v="2"/>
    <x v="166"/>
    <s v="eth1/34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34"/>
    <x v="0"/>
    <x v="0"/>
    <x v="0"/>
    <s v="CLOUD OPS:ithhwcop01st01ce01:B IOM1 Smart IO P1"/>
    <x v="0"/>
    <b v="0"/>
    <s v="No está en VPC"/>
    <n v="779"/>
    <s v="INTPG_ACC_779_1.34"/>
    <s v="ISEL-1.34"/>
    <n v="1"/>
    <s v="NO TIENE L3OUT"/>
    <n v="30"/>
    <n v="54"/>
  </r>
  <r>
    <n v="767"/>
    <x v="2"/>
    <x v="168"/>
    <s v="eth1/34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34"/>
    <x v="0"/>
    <x v="0"/>
    <x v="0"/>
    <s v="LINK_TO_ITHFHWCBSDSWR27 /Slot4.2 /Principal"/>
    <x v="0"/>
    <b v="0"/>
    <s v="No está en VPC"/>
    <n v="827"/>
    <s v="INTPG_VPC_827_1.34_831_1.34"/>
    <s v="ISEL-1.34"/>
    <n v="1"/>
    <s v="NO TIENE L3OUT"/>
    <n v="14"/>
    <n v="54"/>
  </r>
  <r>
    <n v="809"/>
    <x v="2"/>
    <x v="170"/>
    <s v="eth1/34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34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34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34"/>
    <x v="0"/>
    <x v="0"/>
    <x v="0"/>
    <s v="PAAS:ithhwoscopap020:10GE /Pto 1"/>
    <x v="0"/>
    <b v="0"/>
    <s v="No está en VPC"/>
    <n v="776"/>
    <s v="INTPG_VPC_776_1.34_777_1.33"/>
    <s v="ISEL-1.34"/>
    <n v="24"/>
    <s v="NO TIENE L3OUT"/>
    <n v="0"/>
    <n v="54"/>
  </r>
  <r>
    <n v="805"/>
    <x v="2"/>
    <x v="174"/>
    <s v="eth1/34"/>
    <x v="1"/>
    <x v="1"/>
    <x v="2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34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34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34"/>
    <x v="0"/>
    <x v="0"/>
    <x v="0"/>
    <s v="LINK_TO_ITHFHWCRMPLCN112 / Slot7.1_28 / Redundante"/>
    <x v="0"/>
    <b v="0"/>
    <s v="No está en VPC"/>
    <n v="851"/>
    <s v="INTPG_ACC_851_1.34"/>
    <s v="ISEL-1.34"/>
    <n v="6"/>
    <s v="NO TIENE L3OUT"/>
    <n v="282"/>
    <n v="54"/>
  </r>
  <r>
    <n v="798"/>
    <x v="2"/>
    <x v="178"/>
    <s v="eth1/34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34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34"/>
    <x v="0"/>
    <x v="0"/>
    <x v="0"/>
    <s v="LINK_TO_ITHFHWCRMPLCN95 / Slot7.2_22 / Redundante"/>
    <x v="0"/>
    <b v="0"/>
    <s v="No está en VPC"/>
    <n v="852"/>
    <s v="INTPG_ACC_852_1.34"/>
    <s v="ISEL-1.34"/>
    <n v="2"/>
    <s v="NO TIENE L3OUT"/>
    <n v="258"/>
    <n v="54"/>
  </r>
  <r>
    <n v="817"/>
    <x v="2"/>
    <x v="181"/>
    <s v="eth1/34"/>
    <x v="0"/>
    <x v="0"/>
    <x v="0"/>
    <s v="LINK_TO_ITHFHWCBSPSWR25 /Slot5.2 /Principal"/>
    <x v="0"/>
    <b v="0"/>
    <s v="No está en VPC"/>
    <n v="817"/>
    <s v="INTPG_VPC_817_1.34_822_1.34"/>
    <s v="ISEL-1.34"/>
    <n v="2"/>
    <s v="NO TIENE L3OUT"/>
    <n v="0"/>
    <n v="54"/>
  </r>
  <r>
    <n v="832"/>
    <x v="2"/>
    <x v="182"/>
    <s v="eth1/34"/>
    <x v="0"/>
    <x v="0"/>
    <x v="0"/>
    <s v="LINK_TO_ITHFHWCRMDLCN26 /Slot6.2 /Redundante"/>
    <x v="0"/>
    <b v="0"/>
    <s v="No está en VPC"/>
    <n v="832"/>
    <s v="INTPG_ACC_832_1.34"/>
    <s v="ISEL-1.34"/>
    <n v="1"/>
    <s v="NO TIENE L3OUT"/>
    <n v="192"/>
    <n v="54"/>
  </r>
  <r>
    <n v="816"/>
    <x v="2"/>
    <x v="183"/>
    <s v="eth1/34"/>
    <x v="0"/>
    <x v="0"/>
    <x v="0"/>
    <s v="LINK_TO_ITHFHWCBSPSWR18 /Slot5.2 /Principal"/>
    <x v="0"/>
    <b v="0"/>
    <s v="No está en VPC"/>
    <n v="816"/>
    <s v="INTPG_VPC_816_1.34_821_1.34"/>
    <s v="ISEL-1.34"/>
    <n v="2"/>
    <s v="NO TIENE L3OUT"/>
    <n v="0"/>
    <n v="54"/>
  </r>
  <r>
    <n v="825"/>
    <x v="2"/>
    <x v="184"/>
    <s v="eth1/34"/>
    <x v="0"/>
    <x v="0"/>
    <x v="0"/>
    <s v="To_ITHHWD6KV65100010DKC01_Redundante"/>
    <x v="0"/>
    <b v="0"/>
    <s v="No está en VPC"/>
    <n v="825"/>
    <s v="INTPG_ACC_825_1.34"/>
    <s v="ISEL-1.34"/>
    <n v="1"/>
    <s v="NO TIENE L3OUT"/>
    <n v="72"/>
    <n v="54"/>
  </r>
  <r>
    <n v="800"/>
    <x v="2"/>
    <x v="185"/>
    <s v="eth1/34"/>
    <x v="0"/>
    <x v="0"/>
    <x v="0"/>
    <s v="TO-9S_IVR_IXT3_10518_01"/>
    <x v="0"/>
    <b v="0"/>
    <s v="No está en VPC"/>
    <n v="800"/>
    <s v="INTPG_VPC_800_1.32-35_801_1.32-35"/>
    <s v="ISEL-1.34"/>
    <n v="24"/>
    <s v="NO TIENE L3OUT"/>
    <n v="78"/>
    <n v="54"/>
  </r>
  <r>
    <n v="801"/>
    <x v="2"/>
    <x v="186"/>
    <s v="eth1/34"/>
    <x v="0"/>
    <x v="0"/>
    <x v="0"/>
    <s v="TO-9S_IVR_IXT3_10518_01"/>
    <x v="0"/>
    <b v="0"/>
    <s v="No está en VPC"/>
    <n v="801"/>
    <s v="INTPG_VPC_800_1.32-35_801_1.32-35"/>
    <s v="ISEL-1.34"/>
    <n v="24"/>
    <s v="NO TIENE L3OUT"/>
    <n v="78"/>
    <n v="54"/>
  </r>
  <r>
    <n v="823"/>
    <x v="2"/>
    <x v="187"/>
    <s v="eth1/34"/>
    <x v="0"/>
    <x v="0"/>
    <x v="0"/>
    <s v="LINK_TO_ITHFHWCBSPSWR35 /Slot6.2 /Redundante"/>
    <x v="0"/>
    <b v="0"/>
    <s v="No está en VPC"/>
    <n v="823"/>
    <s v="INTPG_VPC_818_1.34_823_1.34"/>
    <s v="ISEL-1.34"/>
    <n v="1"/>
    <s v="NO TIENE L3OUT"/>
    <n v="8"/>
    <n v="54"/>
  </r>
  <r>
    <n v="837"/>
    <x v="2"/>
    <x v="188"/>
    <s v="eth1/34"/>
    <x v="0"/>
    <x v="0"/>
    <x v="0"/>
    <s v="LINK_To_ITHFHWCBSPSHD19 / Slot1.2_14 / Principal"/>
    <x v="0"/>
    <b v="0"/>
    <s v="No está en VPC"/>
    <n v="837"/>
    <s v="INTPG_VPC_837_1.34_842_1.34"/>
    <s v="ISEL-1.34"/>
    <n v="1"/>
    <s v="NO TIENE L3OUT"/>
    <n v="8"/>
    <n v="54"/>
  </r>
  <r>
    <n v="867"/>
    <x v="2"/>
    <x v="189"/>
    <s v="eth1/34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34"/>
    <x v="0"/>
    <x v="0"/>
    <x v="0"/>
    <s v="To_ITHFHWCRMDLCN46_Principal"/>
    <x v="0"/>
    <b v="0"/>
    <s v="No está en VPC"/>
    <n v="829"/>
    <s v="INTPG_ACC_829_1.34"/>
    <s v="ISEL-1.34"/>
    <n v="2"/>
    <s v="NO TIENE L3OUT"/>
    <n v="224"/>
    <n v="54"/>
  </r>
  <r>
    <n v="831"/>
    <x v="2"/>
    <x v="191"/>
    <s v="eth1/34"/>
    <x v="0"/>
    <x v="0"/>
    <x v="0"/>
    <s v="LINK_TO_ITHFHWCBSDSWR27 /Slot6.2 /Redundante"/>
    <x v="0"/>
    <b v="0"/>
    <s v="No está en VPC"/>
    <n v="831"/>
    <s v="INTPG_VPC_827_1.34_831_1.34"/>
    <s v="ISEL-1.34"/>
    <n v="1"/>
    <s v="NO TIENE L3OUT"/>
    <n v="14"/>
    <n v="54"/>
  </r>
  <r>
    <n v="802"/>
    <x v="2"/>
    <x v="192"/>
    <s v="eth1/34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34"/>
    <x v="0"/>
    <x v="0"/>
    <x v="0"/>
    <s v="LINK_TO_ITHFHWCBSPSHD33 / Slot1.3_18 / Principal"/>
    <x v="0"/>
    <b v="0"/>
    <s v="No está en VPC"/>
    <n v="835"/>
    <s v="INTPG_VPC_835_1.34_840_1.34"/>
    <s v="ISEL-1.34"/>
    <n v="1"/>
    <s v="NO TIENE L3OUT"/>
    <n v="8"/>
    <n v="54"/>
  </r>
  <r>
    <n v="822"/>
    <x v="2"/>
    <x v="194"/>
    <s v="eth1/34"/>
    <x v="0"/>
    <x v="0"/>
    <x v="0"/>
    <s v="LINK_TO_ITHFHWCBSPSWR25 /Slot7.2 /Redundante"/>
    <x v="0"/>
    <b v="0"/>
    <s v="No está en VPC"/>
    <n v="822"/>
    <s v="INTPG_VPC_817_1.34_822_1.34"/>
    <s v="ISEL-1.34"/>
    <n v="2"/>
    <s v="NO TIENE L3OUT"/>
    <n v="0"/>
    <n v="54"/>
  </r>
  <r>
    <n v="854"/>
    <x v="2"/>
    <x v="195"/>
    <s v="eth1/34"/>
    <x v="0"/>
    <x v="0"/>
    <x v="0"/>
    <s v="LINK_TO_ITHFHWCRMPLCN176 / Slot1.3_22 / Principal"/>
    <x v="0"/>
    <b v="0"/>
    <s v="No está en VPC"/>
    <n v="854"/>
    <s v="INTPG_ACC_854_1.34"/>
    <s v="ISEL-1.34"/>
    <n v="1"/>
    <s v="NO TIENE L3OUT"/>
    <n v="204"/>
    <n v="54"/>
  </r>
  <r>
    <n v="858"/>
    <x v="2"/>
    <x v="196"/>
    <s v="eth1/34"/>
    <x v="0"/>
    <x v="0"/>
    <x v="0"/>
    <s v="To_VPC_2DCBSD_WR56_1"/>
    <x v="0"/>
    <b v="0"/>
    <s v="No está en VPC"/>
    <n v="858"/>
    <s v="INTPG_VPC_858_1.34_863_1.34"/>
    <s v="ISEL-1.34"/>
    <n v="2"/>
    <s v="NO TIENE L3OUT"/>
    <n v="8"/>
    <n v="54"/>
  </r>
  <r>
    <n v="857"/>
    <x v="2"/>
    <x v="197"/>
    <s v="eth1/34"/>
    <x v="0"/>
    <x v="0"/>
    <x v="0"/>
    <s v="LINKT_TO_ITHFHWCRMPLCN126 / Slot1.3_22 / Principal"/>
    <x v="0"/>
    <b v="0"/>
    <s v="No está en VPC"/>
    <n v="857"/>
    <s v="INTPG_ACC_857_1.34"/>
    <s v="ISEL-1.34"/>
    <n v="1"/>
    <s v="NO TIENE L3OUT"/>
    <n v="288"/>
    <n v="54"/>
  </r>
  <r>
    <n v="859"/>
    <x v="2"/>
    <x v="198"/>
    <s v="eth1/34"/>
    <x v="0"/>
    <x v="0"/>
    <x v="0"/>
    <s v="To_VPC_2DCBSD_WR47_1"/>
    <x v="0"/>
    <b v="0"/>
    <s v="No está en VPC"/>
    <n v="859"/>
    <s v="INTPG_VPC_859_1.34_864_1.34"/>
    <s v="ISEL-1.34"/>
    <n v="2"/>
    <s v="NO TIENE L3OUT"/>
    <n v="0"/>
    <n v="54"/>
  </r>
  <r>
    <n v="833"/>
    <x v="2"/>
    <x v="199"/>
    <s v="eth1/34"/>
    <x v="0"/>
    <x v="0"/>
    <x v="0"/>
    <s v="To_ITHFHWCRMDLCN46_Redundante"/>
    <x v="0"/>
    <b v="0"/>
    <s v="No está en VPC"/>
    <n v="833"/>
    <s v="INTPG_ACC_833_1.34"/>
    <s v="ISEL-1.34"/>
    <n v="2"/>
    <s v="NO TIENE L3OUT"/>
    <n v="224"/>
    <n v="54"/>
  </r>
  <r>
    <n v="818"/>
    <x v="2"/>
    <x v="200"/>
    <s v="eth1/34"/>
    <x v="0"/>
    <x v="0"/>
    <x v="0"/>
    <s v="LINK_TO_ITHFHWCBSPSWR35 /Slot4.2 /Principal"/>
    <x v="0"/>
    <b v="0"/>
    <s v="No está en VPC"/>
    <n v="818"/>
    <s v="INTPG_VPC_818_1.34_823_1.34"/>
    <s v="ISEL-1.34"/>
    <n v="1"/>
    <s v="NO TIENE L3OUT"/>
    <n v="8"/>
    <n v="54"/>
  </r>
  <r>
    <n v="850"/>
    <x v="2"/>
    <x v="201"/>
    <s v="eth1/34"/>
    <x v="0"/>
    <x v="0"/>
    <x v="0"/>
    <s v="LINKT_TO_ITHFHWCRMPLCN126 / Slot7.3_22 / Redundante"/>
    <x v="0"/>
    <b v="0"/>
    <s v="No está en VPC"/>
    <n v="850"/>
    <s v="INTPG_ACC_850_1.34"/>
    <s v="ISEL-1.34"/>
    <n v="1"/>
    <s v="NO TIENE L3OUT"/>
    <n v="288"/>
    <n v="54"/>
  </r>
  <r>
    <n v="860"/>
    <x v="2"/>
    <x v="202"/>
    <s v="eth1/34"/>
    <x v="0"/>
    <x v="0"/>
    <x v="0"/>
    <s v="To_VPC_2DCBSD_BD18_1"/>
    <x v="0"/>
    <b v="0"/>
    <s v="No está en VPC"/>
    <n v="860"/>
    <s v="INTPG_VPC_860_1.34_865_1.34"/>
    <s v="ISEL-1.34"/>
    <n v="2"/>
    <s v="NO TIENE L3OUT"/>
    <n v="0"/>
    <n v="54"/>
  </r>
  <r>
    <n v="853"/>
    <x v="2"/>
    <x v="203"/>
    <s v="eth1/34"/>
    <x v="0"/>
    <x v="0"/>
    <x v="0"/>
    <s v="LINK_TO_ITHFHWCRMPLCN83 / Slot7.1_24 / Redundante"/>
    <x v="0"/>
    <b v="0"/>
    <s v="No está en VPC"/>
    <n v="853"/>
    <s v="INTPG_ACC_853_1.34"/>
    <s v="ISEL-1.34"/>
    <n v="6"/>
    <s v="NO TIENE L3OUT"/>
    <n v="242"/>
    <n v="54"/>
  </r>
  <r>
    <n v="790"/>
    <x v="2"/>
    <x v="204"/>
    <s v="eth1/34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34"/>
    <x v="0"/>
    <x v="1"/>
    <x v="1"/>
    <s v="DESC"/>
    <x v="6"/>
    <b v="0"/>
    <s v="No está en VPC"/>
    <n v="105"/>
    <s v="INTPG_PC_105_1.1-4_32-35"/>
    <s v="ISEL-1.34"/>
    <n v="17"/>
    <s v="NO TIENE L3OUT"/>
    <n v="106"/>
    <n v="96"/>
  </r>
  <r>
    <n v="117"/>
    <x v="0"/>
    <x v="206"/>
    <s v="eth1/34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34"/>
    <x v="1"/>
    <x v="1"/>
    <x v="2"/>
    <s v="DESC"/>
    <x v="6"/>
    <b v="0"/>
    <s v="No está en VPC"/>
    <n v="104"/>
    <s v="INTPG_PC_104_1.32-39"/>
    <s v="ISEL-1.34"/>
    <n v="0"/>
    <s v="NO TIENE L3OUT"/>
    <n v="194"/>
    <n v="96"/>
  </r>
  <r>
    <n v="158"/>
    <x v="0"/>
    <x v="208"/>
    <s v="eth1/34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34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34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34"/>
    <x v="0"/>
    <x v="0"/>
    <x v="0"/>
    <m/>
    <x v="6"/>
    <b v="0"/>
    <s v="No está en VPC"/>
    <n v="108"/>
    <s v="INTPG_ACC_108_1.34"/>
    <s v="ISEL-1.34"/>
    <n v="1"/>
    <s v="NO TIENE L3OUT"/>
    <n v="126"/>
    <n v="96"/>
  </r>
  <r>
    <n v="112"/>
    <x v="0"/>
    <x v="212"/>
    <s v="eth1/34"/>
    <x v="0"/>
    <x v="0"/>
    <x v="0"/>
    <s v="CHARGING SYSTEM"/>
    <x v="6"/>
    <b v="0"/>
    <s v="No está en VPC"/>
    <n v="112"/>
    <s v="INTPG_ACC_112_1.34"/>
    <s v="ISEL-1.34"/>
    <n v="1"/>
    <s v="NO TIENE L3OUT"/>
    <n v="144"/>
    <n v="96"/>
  </r>
  <r>
    <n v="107"/>
    <x v="0"/>
    <x v="213"/>
    <s v="eth1/34"/>
    <x v="0"/>
    <x v="0"/>
    <x v="0"/>
    <s v="SRM"/>
    <x v="6"/>
    <b v="0"/>
    <s v="No está en VPC"/>
    <n v="107"/>
    <s v="INTPG_ACC_107_1.34"/>
    <s v="ISEL-1.34"/>
    <n v="1"/>
    <s v="NO TIENE L3OUT"/>
    <n v="118"/>
    <n v="96"/>
  </r>
  <r>
    <n v="109"/>
    <x v="0"/>
    <x v="214"/>
    <s v="eth1/34"/>
    <x v="1"/>
    <x v="1"/>
    <x v="2"/>
    <m/>
    <x v="6"/>
    <b v="0"/>
    <s v="No está en VPC"/>
    <n v="109"/>
    <s v="INTPG_ACC_109_1.34"/>
    <s v="ISEL-1.34"/>
    <n v="1"/>
    <s v="NO TIENE L3OUT"/>
    <n v="126"/>
    <n v="96"/>
  </r>
  <r>
    <n v="113"/>
    <x v="0"/>
    <x v="215"/>
    <s v="eth1/34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34"/>
    <x v="0"/>
    <x v="0"/>
    <x v="0"/>
    <s v="CHARGING SYSTEM"/>
    <x v="6"/>
    <b v="0"/>
    <s v="No está en VPC"/>
    <n v="114"/>
    <s v="INTPG_ACC_114_1.34"/>
    <s v="ISEL-1.34"/>
    <n v="1"/>
    <s v="NO TIENE L3OUT"/>
    <n v="144"/>
    <n v="96"/>
  </r>
  <r>
    <n v="124"/>
    <x v="0"/>
    <x v="217"/>
    <s v="eth1/34"/>
    <x v="0"/>
    <x v="0"/>
    <x v="0"/>
    <s v="ixtossgw1_2"/>
    <x v="6"/>
    <b v="0"/>
    <s v="No está en VPC"/>
    <n v="124"/>
    <s v="INTPG_ACC_124_1.34"/>
    <s v="ISEL-1.34"/>
    <n v="1"/>
    <s v="NO TIENE L3OUT"/>
    <n v="80"/>
    <n v="96"/>
  </r>
  <r>
    <n v="118"/>
    <x v="0"/>
    <x v="218"/>
    <s v="eth1/34"/>
    <x v="0"/>
    <x v="0"/>
    <x v="0"/>
    <s v="INGE6"/>
    <x v="6"/>
    <b v="0"/>
    <s v="No está en VPC"/>
    <n v="118"/>
    <s v="INTPG_ACC_118_1.34"/>
    <s v="ISEL-1.34"/>
    <n v="1"/>
    <s v="NO TIENE L3OUT"/>
    <n v="180"/>
    <n v="96"/>
  </r>
  <r>
    <n v="159"/>
    <x v="0"/>
    <x v="219"/>
    <s v="eth1/34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34"/>
    <x v="0"/>
    <x v="0"/>
    <x v="0"/>
    <s v="LINK_TO_ITHFHWCBSPSHD33 / Slot7.3_18 / Redundante"/>
    <x v="0"/>
    <b v="0"/>
    <s v="No está en VPC"/>
    <n v="840"/>
    <s v="INTPG_VPC_835_1.34_840_1.34"/>
    <s v="ISEL-1.34"/>
    <n v="1"/>
    <s v="NO TIENE L3OUT"/>
    <n v="8"/>
    <n v="54"/>
  </r>
  <r>
    <n v="856"/>
    <x v="2"/>
    <x v="221"/>
    <s v="eth1/34"/>
    <x v="0"/>
    <x v="0"/>
    <x v="0"/>
    <s v="LINK_TO_ITHFHWCRMPLCN145 / Slot1.3_24 / Principal"/>
    <x v="0"/>
    <b v="0"/>
    <s v="No está en VPC"/>
    <n v="856"/>
    <s v="INTPG_ACC_856_1.34"/>
    <s v="ISEL-1.34"/>
    <n v="1"/>
    <s v="NO TIENE L3OUT"/>
    <n v="286"/>
    <n v="54"/>
  </r>
  <r>
    <n v="110"/>
    <x v="0"/>
    <x v="222"/>
    <s v="eth1/34"/>
    <x v="0"/>
    <x v="1"/>
    <x v="1"/>
    <s v="RACKS VMTLCLAMX1"/>
    <x v="6"/>
    <b v="0"/>
    <s v="No está en VPC"/>
    <n v="110"/>
    <s v="INTPG_ACC_110_1.34"/>
    <s v="ISEL-1.34"/>
    <n v="1"/>
    <s v="NO TIENE L3OUT"/>
    <n v="102"/>
    <n v="96"/>
  </r>
  <r>
    <n v="163"/>
    <x v="0"/>
    <x v="223"/>
    <s v="eth1/34"/>
    <x v="1"/>
    <x v="1"/>
    <x v="2"/>
    <s v="sfmedt02_CLIENT1"/>
    <x v="6"/>
    <b v="0"/>
    <s v="No está en VPC"/>
    <n v="163"/>
    <s v="INTPG_VPC_161_1.35_163_1.34"/>
    <s v="ISEL-1.34"/>
    <n v="1"/>
    <s v="NO TIENE L3OUT"/>
    <n v="140"/>
    <n v="96"/>
  </r>
  <r>
    <n v="407"/>
    <x v="1"/>
    <x v="224"/>
    <s v="eth1/34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34"/>
    <x v="0"/>
    <x v="1"/>
    <x v="1"/>
    <s v="Optimus"/>
    <x v="6"/>
    <b v="0"/>
    <s v="No está en VPC"/>
    <n v="171"/>
    <s v="INTPG_ACC_171_1.34"/>
    <s v="ISEL-1.34"/>
    <n v="1"/>
    <s v="NO TIENE L3OUT"/>
    <n v="114"/>
    <n v="96"/>
  </r>
  <r>
    <n v="421"/>
    <x v="1"/>
    <x v="226"/>
    <s v="eth1/34"/>
    <x v="0"/>
    <x v="1"/>
    <x v="1"/>
    <s v="VTA_uxvta082_XSCF"/>
    <x v="6"/>
    <b v="0"/>
    <s v="No está en VPC"/>
    <n v="421"/>
    <s v="INTPG_ACC_421_1.34"/>
    <s v="ISEL-1.34"/>
    <n v="1"/>
    <s v="NO TIENE L3OUT"/>
    <n v="72"/>
    <n v="96"/>
  </r>
  <r>
    <n v="173"/>
    <x v="0"/>
    <x v="227"/>
    <s v="eth1/34"/>
    <x v="0"/>
    <x v="0"/>
    <x v="0"/>
    <s v="ENIQ"/>
    <x v="6"/>
    <b v="0"/>
    <s v="No está en VPC"/>
    <n v="173"/>
    <s v="INTPG_ACC_173_1.34"/>
    <s v="ISEL-1.34"/>
    <n v="1"/>
    <s v="NO TIENE L3OUT"/>
    <n v="66"/>
    <n v="96"/>
  </r>
  <r>
    <n v="154"/>
    <x v="0"/>
    <x v="228"/>
    <s v="eth1/34"/>
    <x v="0"/>
    <x v="0"/>
    <x v="0"/>
    <s v="POLYVIEW_SERVIDOR"/>
    <x v="6"/>
    <b v="0"/>
    <s v="No está en VPC"/>
    <n v="154"/>
    <s v="INTPG_ACC_154_1.34"/>
    <s v="ISEL-1.34"/>
    <n v="1"/>
    <s v="NO TIENE L3OUT"/>
    <n v="62"/>
    <n v="96"/>
  </r>
  <r>
    <n v="172"/>
    <x v="0"/>
    <x v="229"/>
    <s v="eth1/34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34"/>
    <x v="0"/>
    <x v="0"/>
    <x v="0"/>
    <s v="TO-ITHFDEOCP1LWR07-PRINCIPAL"/>
    <x v="6"/>
    <b v="0"/>
    <s v="No está en VPC"/>
    <n v="420"/>
    <s v="INTPG_ACC_420_1.34"/>
    <s v="ISEL-1.34"/>
    <n v="1"/>
    <s v="NO TIENE L3OUT"/>
    <n v="158"/>
    <n v="96"/>
  </r>
  <r>
    <n v="423"/>
    <x v="1"/>
    <x v="231"/>
    <s v="eth1/34"/>
    <x v="0"/>
    <x v="0"/>
    <x v="0"/>
    <s v="SPECSERVER1_ETH0"/>
    <x v="6"/>
    <b v="0"/>
    <s v="No está en VPC"/>
    <n v="423"/>
    <s v="INTPG_ACC_423_1.34"/>
    <s v="ISEL-1.34"/>
    <n v="1"/>
    <s v="NO TIENE L3OUT"/>
    <n v="86"/>
    <n v="96"/>
  </r>
  <r>
    <n v="415"/>
    <x v="1"/>
    <x v="232"/>
    <s v="eth1/34"/>
    <x v="0"/>
    <x v="0"/>
    <x v="0"/>
    <s v="To-uxingemc2"/>
    <x v="6"/>
    <b v="0"/>
    <s v="No está en VPC"/>
    <n v="415"/>
    <s v="INTPG_ACC_415_1.34"/>
    <s v="ISEL-1.34"/>
    <n v="1"/>
    <s v="NO TIENE L3OUT"/>
    <n v="52"/>
    <n v="96"/>
  </r>
  <r>
    <n v="102"/>
    <x v="0"/>
    <x v="233"/>
    <s v="eth1/34"/>
    <x v="0"/>
    <x v="1"/>
    <x v="1"/>
    <s v="SFLDI:RLDICDR02:1"/>
    <x v="6"/>
    <b v="0"/>
    <s v="No está en VPC"/>
    <n v="102"/>
    <s v="INTPG_ACC_102_1.34"/>
    <s v="ISEL-1.34"/>
    <n v="1"/>
    <s v="NO TIENE L3OUT"/>
    <n v="228"/>
    <n v="96"/>
  </r>
  <r>
    <n v="863"/>
    <x v="2"/>
    <x v="234"/>
    <s v="eth1/34"/>
    <x v="0"/>
    <x v="0"/>
    <x v="0"/>
    <s v="To_VPC_2DCBSD_WR56_1"/>
    <x v="0"/>
    <b v="0"/>
    <s v="No está en VPC"/>
    <n v="863"/>
    <s v="INTPG_VPC_858_1.34_863_1.34"/>
    <s v="ISEL-1.34"/>
    <n v="2"/>
    <s v="NO TIENE L3OUT"/>
    <n v="8"/>
    <n v="54"/>
  </r>
  <r>
    <n v="876"/>
    <x v="2"/>
    <x v="235"/>
    <s v="eth1/34"/>
    <x v="0"/>
    <x v="0"/>
    <x v="0"/>
    <s v="A_ITHFHWSEQLDPS06_Principal"/>
    <x v="4"/>
    <b v="0"/>
    <s v="No está en VPC"/>
    <n v="876"/>
    <s v="INTPG_ACC_876_1.34"/>
    <s v="ISEL-1.34"/>
    <n v="1"/>
    <s v="NO TIENE L3OUT"/>
    <n v="92"/>
    <n v="54"/>
  </r>
  <r>
    <n v="877"/>
    <x v="2"/>
    <x v="236"/>
    <s v="eth1/34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34"/>
    <x v="0"/>
    <x v="0"/>
    <x v="0"/>
    <s v="IXTRTC5"/>
    <x v="6"/>
    <b v="0"/>
    <s v="No está en VPC"/>
    <n v="122"/>
    <s v="INTPG_ACC_122_1.34"/>
    <s v="ISEL-1.34"/>
    <n v="1"/>
    <s v="NO TIENE L3OUT"/>
    <n v="148"/>
    <n v="96"/>
  </r>
  <r>
    <n v="157"/>
    <x v="0"/>
    <x v="238"/>
    <s v="eth1/34"/>
    <x v="1"/>
    <x v="1"/>
    <x v="2"/>
    <s v="SNA TEST BED"/>
    <x v="6"/>
    <b v="0"/>
    <s v="No está en VPC"/>
    <n v="157"/>
    <s v="INTPG_ACC_157_1.34"/>
    <s v="ISEL-1.34"/>
    <n v="0"/>
    <s v="L3OUT-SNA-HOME-ZONE-BGP"/>
    <n v="202"/>
    <n v="96"/>
  </r>
  <r>
    <n v="408"/>
    <x v="1"/>
    <x v="239"/>
    <s v="eth1/34"/>
    <x v="0"/>
    <x v="0"/>
    <x v="0"/>
    <s v="WMS101"/>
    <x v="6"/>
    <b v="0"/>
    <s v="No está en VPC"/>
    <n v="408"/>
    <s v="INTPG_ACC_408_1.34"/>
    <s v="ISEL-1.34"/>
    <n v="1"/>
    <s v="NO TIENE L3OUT"/>
    <n v="152"/>
    <n v="96"/>
  </r>
  <r>
    <n v="405"/>
    <x v="1"/>
    <x v="240"/>
    <s v="eth1/34"/>
    <x v="0"/>
    <x v="0"/>
    <x v="0"/>
    <s v="IXT_ARIESO7_LDR7"/>
    <x v="6"/>
    <b v="0"/>
    <s v="No está en VPC"/>
    <n v="405"/>
    <s v="INTPG_ACC_405_1.34"/>
    <s v="ISEL-1.34"/>
    <n v="1"/>
    <s v="NO TIENE L3OUT"/>
    <n v="138"/>
    <n v="96"/>
  </r>
  <r>
    <n v="169"/>
    <x v="0"/>
    <x v="241"/>
    <s v="eth1/34"/>
    <x v="0"/>
    <x v="0"/>
    <x v="0"/>
    <s v="TO-ITHFDENBURBKP01(IXTFDLBKP6RAP)-PRINCIPAL"/>
    <x v="6"/>
    <b v="0"/>
    <s v="No está en VPC"/>
    <n v="169"/>
    <s v="INTPG_ACC_169_1.34"/>
    <s v="ISEL-1.34"/>
    <n v="1"/>
    <s v="NO TIENE L3OUT"/>
    <n v="76"/>
    <n v="96"/>
  </r>
  <r>
    <n v="165"/>
    <x v="0"/>
    <x v="242"/>
    <s v="eth1/34"/>
    <x v="0"/>
    <x v="0"/>
    <x v="0"/>
    <s v="BD ORACLE RACK"/>
    <x v="6"/>
    <b v="0"/>
    <s v="No está en VPC"/>
    <n v="165"/>
    <s v="INTPG_ACC_165_1.34"/>
    <s v="ISEL-1.34"/>
    <n v="1"/>
    <s v="NO TIENE L3OUT"/>
    <n v="86"/>
    <n v="96"/>
  </r>
  <r>
    <n v="417"/>
    <x v="1"/>
    <x v="243"/>
    <s v="eth1/34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34"/>
    <x v="0"/>
    <x v="0"/>
    <x v="0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34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34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34"/>
    <x v="0"/>
    <x v="1"/>
    <x v="1"/>
    <s v="EHEALTH:ehealthp03:NET01"/>
    <x v="6"/>
    <b v="0"/>
    <s v="No está en VPC"/>
    <n v="103"/>
    <s v="INTPG_ACC_103_1.34"/>
    <s v="ISEL-1.34"/>
    <n v="1"/>
    <s v="NO TIENE L3OUT"/>
    <n v="70"/>
    <n v="96"/>
  </r>
  <r>
    <n v="438"/>
    <x v="1"/>
    <x v="248"/>
    <s v="eth1/34"/>
    <x v="0"/>
    <x v="0"/>
    <x v="0"/>
    <s v="DESC"/>
    <x v="6"/>
    <b v="0"/>
    <s v="No está en VPC"/>
    <n v="438"/>
    <s v="INTPG_PC_438_1.30-35"/>
    <s v="ISEL-1.34"/>
    <n v="7"/>
    <s v="NO TIENE L3OUT"/>
    <n v="170"/>
    <n v="96"/>
  </r>
  <r>
    <n v="406"/>
    <x v="1"/>
    <x v="249"/>
    <s v="eth1/34"/>
    <x v="1"/>
    <x v="1"/>
    <x v="2"/>
    <s v="DESC"/>
    <x v="6"/>
    <b v="0"/>
    <s v="No está en VPC"/>
    <n v="406"/>
    <s v="INTPG_PC_406_1.31-34"/>
    <s v="ISEL-1.34"/>
    <n v="4"/>
    <s v="NO TIENE L3OUT"/>
    <n v="82"/>
    <n v="96"/>
  </r>
  <r>
    <n v="414"/>
    <x v="1"/>
    <x v="250"/>
    <s v="eth1/34"/>
    <x v="0"/>
    <x v="0"/>
    <x v="0"/>
    <s v="PAPERLES_ITHFNET1-DD_PTO1"/>
    <x v="6"/>
    <b v="0"/>
    <s v="No está en VPC"/>
    <n v="414"/>
    <s v="INTPG_ACC_414_1.34"/>
    <s v="ISEL-1.34"/>
    <n v="1"/>
    <s v="NO TIENE L3OUT"/>
    <n v="144"/>
    <n v="96"/>
  </r>
  <r>
    <n v="416"/>
    <x v="1"/>
    <x v="251"/>
    <s v="eth1/34"/>
    <x v="0"/>
    <x v="1"/>
    <x v="1"/>
    <s v="DESC"/>
    <x v="6"/>
    <b v="0"/>
    <s v="No está en VPC"/>
    <n v="416"/>
    <s v="INTPG_PC_416_1.32-39"/>
    <s v="ISEL-1.34"/>
    <n v="8"/>
    <s v="NO TIENE L3OUT"/>
    <n v="110"/>
    <n v="96"/>
  </r>
  <r>
    <n v="418"/>
    <x v="1"/>
    <x v="252"/>
    <s v="eth1/34"/>
    <x v="0"/>
    <x v="1"/>
    <x v="1"/>
    <s v="DESC"/>
    <x v="6"/>
    <b v="0"/>
    <s v="No está en VPC"/>
    <n v="418"/>
    <s v="INTPG_PC_418_1.32-39"/>
    <s v="ISEL-1.34"/>
    <n v="8"/>
    <s v="NO TIENE L3OUT"/>
    <n v="152"/>
    <n v="96"/>
  </r>
  <r>
    <n v="413"/>
    <x v="1"/>
    <x v="253"/>
    <s v="eth1/34"/>
    <x v="0"/>
    <x v="0"/>
    <x v="0"/>
    <s v="VTAE1"/>
    <x v="6"/>
    <b v="0"/>
    <s v="No está en VPC"/>
    <n v="413"/>
    <s v="INTPG_ACC_413_1.34"/>
    <s v="ISEL-1.34"/>
    <n v="1"/>
    <s v="NO TIENE L3OUT"/>
    <n v="126"/>
    <n v="96"/>
  </r>
  <r>
    <n v="403"/>
    <x v="1"/>
    <x v="254"/>
    <s v="eth1/34"/>
    <x v="0"/>
    <x v="0"/>
    <x v="0"/>
    <s v="IXT_ARIESO7_LDR7"/>
    <x v="6"/>
    <b v="0"/>
    <s v="No está en VPC"/>
    <n v="403"/>
    <s v="INTPG_ACC_403_1.34"/>
    <s v="ISEL-1.34"/>
    <n v="1"/>
    <s v="NO TIENE L3OUT"/>
    <n v="150"/>
    <n v="96"/>
  </r>
  <r>
    <n v="125"/>
    <x v="0"/>
    <x v="255"/>
    <s v="eth1/34"/>
    <x v="0"/>
    <x v="0"/>
    <x v="0"/>
    <s v="ixtossgwcon2"/>
    <x v="6"/>
    <b v="0"/>
    <s v="No está en VPC"/>
    <n v="125"/>
    <s v="INTPG_ACC_125_1.34"/>
    <s v="ISEL-1.34"/>
    <n v="1"/>
    <s v="NO TIENE L3OUT"/>
    <n v="72"/>
    <n v="96"/>
  </r>
  <r>
    <n v="166"/>
    <x v="0"/>
    <x v="256"/>
    <s v="eth1/34"/>
    <x v="0"/>
    <x v="0"/>
    <x v="0"/>
    <s v="NOMINA_uxrhmon1"/>
    <x v="6"/>
    <b v="0"/>
    <s v="No está en VPC"/>
    <n v="166"/>
    <s v="INTPG_ACC_166_1.34"/>
    <s v="ISEL-1.34"/>
    <n v="1"/>
    <s v="NO TIENE L3OUT"/>
    <n v="84"/>
    <n v="96"/>
  </r>
  <r>
    <n v="111"/>
    <x v="0"/>
    <x v="257"/>
    <s v="eth1/34"/>
    <x v="0"/>
    <x v="0"/>
    <x v="0"/>
    <s v="SERVIDOR BKP-VNX"/>
    <x v="6"/>
    <b v="0"/>
    <s v="No está en VPC"/>
    <n v="111"/>
    <s v="INTPG_ACC_111_1.34"/>
    <s v="ISEL-1.34"/>
    <n v="1"/>
    <s v="NO TIENE L3OUT"/>
    <n v="58"/>
    <n v="96"/>
  </r>
  <r>
    <n v="115"/>
    <x v="0"/>
    <x v="258"/>
    <s v="eth1/34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34"/>
    <x v="0"/>
    <x v="0"/>
    <x v="0"/>
    <m/>
    <x v="6"/>
    <b v="0"/>
    <s v="No está en VPC"/>
    <n v="106"/>
    <s v="INTPG_ACC_106_1.34"/>
    <s v="ISEL-1.34"/>
    <n v="1"/>
    <s v="NO TIENE L3OUT"/>
    <n v="122"/>
    <n v="96"/>
  </r>
  <r>
    <n v="126"/>
    <x v="0"/>
    <x v="260"/>
    <s v="eth1/34"/>
    <x v="0"/>
    <x v="0"/>
    <x v="0"/>
    <s v="ENIQ"/>
    <x v="6"/>
    <b v="0"/>
    <s v="No está en VPC"/>
    <n v="126"/>
    <s v="INTPG_ACC_126_1.34"/>
    <s v="ISEL-1.34"/>
    <n v="1"/>
    <s v="NO TIENE L3OUT"/>
    <n v="54"/>
    <n v="96"/>
  </r>
  <r>
    <n v="425"/>
    <x v="1"/>
    <x v="261"/>
    <s v="eth1/34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34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34"/>
    <x v="0"/>
    <x v="0"/>
    <x v="0"/>
    <s v="DESC"/>
    <x v="6"/>
    <b v="0"/>
    <s v="No está en VPC"/>
    <n v="430"/>
    <s v="INTPG_PC_430_1.33-34"/>
    <s v="ISEL-1.34"/>
    <n v="1"/>
    <s v="NO TIENE L3OUT"/>
    <n v="86"/>
    <n v="96"/>
  </r>
  <r>
    <n v="419"/>
    <x v="1"/>
    <x v="264"/>
    <s v="eth1/34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34"/>
    <x v="0"/>
    <x v="0"/>
    <x v="0"/>
    <s v="RED CRICKET"/>
    <x v="6"/>
    <b v="0"/>
    <s v="No está en VPC"/>
    <n v="155"/>
    <s v="INTPG_ACC_155_1.34"/>
    <s v="ISEL-1.34"/>
    <n v="1"/>
    <s v="NO TIENE L3OUT"/>
    <n v="198"/>
    <n v="96"/>
  </r>
  <r>
    <n v="409"/>
    <x v="1"/>
    <x v="266"/>
    <s v="eth1/34"/>
    <x v="0"/>
    <x v="0"/>
    <x v="0"/>
    <s v="Uxorbi"/>
    <x v="6"/>
    <b v="0"/>
    <s v="No está en VPC"/>
    <n v="409"/>
    <s v="INTPG_ACC_409_1.34"/>
    <s v="ISEL-1.34"/>
    <n v="1"/>
    <s v="NO TIENE L3OUT"/>
    <n v="128"/>
    <n v="96"/>
  </r>
  <r>
    <n v="422"/>
    <x v="1"/>
    <x v="267"/>
    <s v="eth1/34"/>
    <x v="0"/>
    <x v="0"/>
    <x v="0"/>
    <s v="ITHRTC4AEN1VC2x4"/>
    <x v="6"/>
    <b v="0"/>
    <s v="No está en VPC"/>
    <n v="422"/>
    <s v="INTPG_ACC_422_1.34"/>
    <s v="ISEL-1.34"/>
    <n v="1"/>
    <s v="NO TIENE L3OUT"/>
    <n v="182"/>
    <n v="96"/>
  </r>
  <r>
    <n v="436"/>
    <x v="1"/>
    <x v="268"/>
    <s v="eth1/34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34"/>
    <x v="0"/>
    <x v="0"/>
    <x v="0"/>
    <s v="PAPERLES_ITHFNET2_DD_PTO0"/>
    <x v="6"/>
    <b v="0"/>
    <s v="No está en VPC"/>
    <n v="410"/>
    <s v="INTPG_ACC_410_1.34"/>
    <s v="ISEL-1.34"/>
    <n v="1"/>
    <s v="NO TIENE L3OUT"/>
    <n v="178"/>
    <n v="96"/>
  </r>
  <r>
    <n v="161"/>
    <x v="0"/>
    <x v="270"/>
    <s v="eth1/34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34"/>
    <x v="0"/>
    <x v="0"/>
    <x v="0"/>
    <s v="lagidmhlapvp10_produccion1"/>
    <x v="6"/>
    <b v="0"/>
    <s v="No está en VPC"/>
    <n v="411"/>
    <s v="INTPG_VPC_411_1.31-34_413_1.24-27"/>
    <s v="ISEL-1.34"/>
    <n v="2"/>
    <s v="NO TIENE L3OUT"/>
    <n v="96"/>
    <n v="96"/>
  </r>
  <r>
    <n v="116"/>
    <x v="0"/>
    <x v="272"/>
    <s v="eth1/34"/>
    <x v="1"/>
    <x v="1"/>
    <x v="2"/>
    <s v="INGE6"/>
    <x v="6"/>
    <b v="0"/>
    <s v="No está en VPC"/>
    <n v="116"/>
    <s v="INTPG_ACC_116_1.34"/>
    <s v="ISEL-1.34"/>
    <n v="0"/>
    <s v="NO TIENE L3OUT"/>
    <n v="148"/>
    <n v="96"/>
  </r>
  <r>
    <n v="412"/>
    <x v="1"/>
    <x v="273"/>
    <s v="eth1/34"/>
    <x v="0"/>
    <x v="0"/>
    <x v="0"/>
    <s v="WMS101"/>
    <x v="6"/>
    <b v="0"/>
    <s v="No está en VPC"/>
    <n v="412"/>
    <s v="INTPG_ACC_412_1.34"/>
    <s v="ISEL-1.34"/>
    <n v="1"/>
    <s v="NO TIENE L3OUT"/>
    <n v="126"/>
    <n v="96"/>
  </r>
  <r>
    <n v="120"/>
    <x v="0"/>
    <x v="274"/>
    <s v="eth1/34"/>
    <x v="0"/>
    <x v="0"/>
    <x v="0"/>
    <s v="Registro Nacional de Celulares"/>
    <x v="6"/>
    <b v="0"/>
    <s v="No está en VPC"/>
    <n v="120"/>
    <s v="INTPG_ACC_120_1.34"/>
    <s v="ISEL-1.34"/>
    <n v="1"/>
    <s v="NO TIENE L3OUT"/>
    <n v="158"/>
    <n v="96"/>
  </r>
  <r>
    <n v="404"/>
    <x v="1"/>
    <x v="275"/>
    <s v="eth1/34"/>
    <x v="0"/>
    <x v="0"/>
    <x v="0"/>
    <s v="DESC"/>
    <x v="6"/>
    <b v="0"/>
    <s v="No está en VPC"/>
    <n v="404"/>
    <s v="INTPG_PC_404_1.31-34"/>
    <s v="ISEL-1.34"/>
    <n v="4"/>
    <s v="NO TIENE L3OUT"/>
    <n v="92"/>
    <n v="96"/>
  </r>
  <r>
    <n v="167"/>
    <x v="0"/>
    <x v="276"/>
    <s v="eth1/34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34"/>
    <x v="0"/>
    <x v="0"/>
    <x v="0"/>
    <s v="DESC"/>
    <x v="6"/>
    <b v="0"/>
    <s v="No está en VPC"/>
    <n v="428"/>
    <s v="INTPG_PC_428_1.33-34"/>
    <s v="ISEL-1.34"/>
    <n v="1"/>
    <s v="NO TIENE L3OUT"/>
    <n v="102"/>
    <n v="96"/>
  </r>
  <r>
    <n v="128"/>
    <x v="0"/>
    <x v="0"/>
    <s v="eth1/35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35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35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35"/>
    <x v="0"/>
    <x v="0"/>
    <x v="0"/>
    <s v="DESC"/>
    <x v="0"/>
    <b v="0"/>
    <s v="No está en VPC"/>
    <n v="101"/>
    <s v="INTPG_PC_101_1.35-36"/>
    <s v="ISEL-1.35"/>
    <n v="1"/>
    <s v="NO TIENE L3OUT"/>
    <n v="114"/>
    <n v="54"/>
  </r>
  <r>
    <n v="160"/>
    <x v="0"/>
    <x v="4"/>
    <s v="eth1/35"/>
    <x v="0"/>
    <x v="1"/>
    <x v="1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35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35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35"/>
    <x v="0"/>
    <x v="1"/>
    <x v="3"/>
    <m/>
    <x v="0"/>
    <b v="0"/>
    <s v="No está en VPC"/>
    <n v="401"/>
    <s v="NO EXISTE PG"/>
    <s v="NO EXISTE ISEL"/>
    <n v="0"/>
    <s v="NO TIENE L3OUT"/>
    <n v="40"/>
    <n v="54"/>
  </r>
  <r>
    <n v="402"/>
    <x v="1"/>
    <x v="8"/>
    <s v="eth1/35"/>
    <x v="0"/>
    <x v="0"/>
    <x v="0"/>
    <s v="DESC"/>
    <x v="0"/>
    <b v="0"/>
    <s v="No está en VPC"/>
    <n v="402"/>
    <s v="INTPG_PC_402_1.34-36"/>
    <s v="ISEL-1.35"/>
    <n v="1"/>
    <s v="NO TIENE L3OUT"/>
    <n v="36"/>
    <n v="54"/>
  </r>
  <r>
    <n v="447"/>
    <x v="1"/>
    <x v="9"/>
    <s v="eth1/35"/>
    <x v="0"/>
    <x v="0"/>
    <x v="0"/>
    <s v="LINK_HACIA_SPINE"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35"/>
    <x v="0"/>
    <x v="0"/>
    <x v="0"/>
    <s v="LINK_HACIA_SPINE"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35"/>
    <x v="0"/>
    <x v="0"/>
    <x v="0"/>
    <s v="LAG-smt-comp-05"/>
    <x v="0"/>
    <b v="0"/>
    <s v="No está en VPC"/>
    <n v="130"/>
    <s v="INTPG_VPC_130_1.34-35_131_1.34-35"/>
    <s v="ISEL-1.35"/>
    <n v="4"/>
    <s v="NO TIENE L3OUT"/>
    <n v="128"/>
    <n v="54"/>
  </r>
  <r>
    <n v="150"/>
    <x v="0"/>
    <x v="12"/>
    <s v="eth1/35"/>
    <x v="0"/>
    <x v="0"/>
    <x v="0"/>
    <s v="DESC"/>
    <x v="0"/>
    <b v="0"/>
    <s v="No está en VPC"/>
    <n v="150"/>
    <s v="INTPG_PC_150_1.35-36"/>
    <s v="ISEL-1.35"/>
    <n v="1"/>
    <s v="NO TIENE L3OUT"/>
    <n v="118"/>
    <n v="54"/>
  </r>
  <r>
    <n v="131"/>
    <x v="0"/>
    <x v="13"/>
    <s v="eth1/35"/>
    <x v="0"/>
    <x v="0"/>
    <x v="0"/>
    <s v="LAG-smt-comp-05"/>
    <x v="0"/>
    <b v="0"/>
    <s v="No está en VPC"/>
    <n v="131"/>
    <s v="INTPG_VPC_130_1.34-35_131_1.34-35"/>
    <s v="ISEL-1.35"/>
    <n v="4"/>
    <s v="NO TIENE L3OUT"/>
    <n v="126"/>
    <n v="54"/>
  </r>
  <r>
    <n v="758"/>
    <x v="2"/>
    <x v="15"/>
    <s v="eth1/35"/>
    <x v="0"/>
    <x v="0"/>
    <x v="0"/>
    <s v="LINK_HACIA_SPINE"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35"/>
    <x v="0"/>
    <x v="0"/>
    <x v="0"/>
    <s v="LINK_HACIA_SPINE"/>
    <x v="2"/>
    <b v="0"/>
    <s v="No está en VPC"/>
    <n v="759"/>
    <s v="NO EXISTE PG"/>
    <s v="NO EXISTE ISEL"/>
    <n v="0"/>
    <s v="NO TIENE L3OUT"/>
    <n v="0"/>
    <n v="42"/>
  </r>
  <r>
    <n v="424"/>
    <x v="1"/>
    <x v="18"/>
    <s v="eth1/35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35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35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35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35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35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35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35"/>
    <x v="1"/>
    <x v="1"/>
    <x v="3"/>
    <m/>
    <x v="0"/>
    <b v="0"/>
    <s v="No está en VPC"/>
    <n v="431"/>
    <s v="NO EXISTE PG"/>
    <s v="NO EXISTE ISEL"/>
    <n v="0"/>
    <s v="NO TIENE L3OUT"/>
    <n v="46"/>
    <n v="54"/>
  </r>
  <r>
    <n v="433"/>
    <x v="1"/>
    <x v="27"/>
    <s v="eth1/35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35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35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35"/>
    <x v="0"/>
    <x v="0"/>
    <x v="0"/>
    <s v="bmc_ithhwc3c2288h5_SECUNDARIO"/>
    <x v="1"/>
    <b v="0"/>
    <s v="No está en VPC"/>
    <n v="442"/>
    <s v="INTPG_ACC_442_1.35"/>
    <s v="ISEL-1.35"/>
    <n v="1"/>
    <s v="NO TIENE L3OUT"/>
    <n v="18"/>
    <n v="54"/>
  </r>
  <r>
    <n v="434"/>
    <x v="1"/>
    <x v="31"/>
    <s v="eth1/35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35"/>
    <x v="0"/>
    <x v="1"/>
    <x v="3"/>
    <s v="{{DESC}}"/>
    <x v="0"/>
    <b v="0"/>
    <s v="No está en VPC"/>
    <n v="707"/>
    <s v="INTPG_ACC_707_1.35"/>
    <s v="ISEL-1.35"/>
    <n v="0"/>
    <s v="NO TIENE L3OUT"/>
    <n v="54"/>
    <n v="54"/>
  </r>
  <r>
    <n v="712"/>
    <x v="2"/>
    <x v="33"/>
    <s v="eth1/35"/>
    <x v="0"/>
    <x v="1"/>
    <x v="5"/>
    <s v="CEM:ITHCEMB2ADT18:LOM P1"/>
    <x v="0"/>
    <b v="0"/>
    <s v="No está en VPC"/>
    <n v="712"/>
    <s v="INTPG_VPC_712_1.35_713_1.36"/>
    <s v="ISEL-1.35"/>
    <n v="1"/>
    <s v="NO TIENE L3OUT"/>
    <n v="32"/>
    <n v="54"/>
  </r>
  <r>
    <n v="719"/>
    <x v="2"/>
    <x v="34"/>
    <s v="eth1/35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35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35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35"/>
    <x v="0"/>
    <x v="1"/>
    <x v="1"/>
    <s v="CEM_ITHCEMC2COR18"/>
    <x v="0"/>
    <b v="0"/>
    <s v="No está en VPC"/>
    <n v="711"/>
    <s v="INTPG_VPC_710_1.36_711_1.35"/>
    <s v="ISEL-1.35"/>
    <n v="1"/>
    <s v="NO TIENE L3OUT"/>
    <n v="16"/>
    <n v="54"/>
  </r>
  <r>
    <n v="716"/>
    <x v="2"/>
    <x v="38"/>
    <s v="eth1/35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35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35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35"/>
    <x v="0"/>
    <x v="0"/>
    <x v="0"/>
    <s v="Proyecto Arieso"/>
    <x v="0"/>
    <b v="0"/>
    <s v="No está en VPC"/>
    <n v="446"/>
    <s v="INTPG_VPC_444_1.33-36_446_1.33-36"/>
    <s v="ISEL-1.35"/>
    <n v="19"/>
    <s v="NO TIENE L3OUT"/>
    <n v="198"/>
    <n v="54"/>
  </r>
  <r>
    <n v="444"/>
    <x v="1"/>
    <x v="42"/>
    <s v="eth1/35"/>
    <x v="0"/>
    <x v="0"/>
    <x v="0"/>
    <s v="Proyecto Arieso"/>
    <x v="0"/>
    <b v="0"/>
    <s v="No está en VPC"/>
    <n v="444"/>
    <s v="INTPG_VPC_444_1.33-36_446_1.33-36"/>
    <s v="ISEL-1.35"/>
    <n v="19"/>
    <s v="NO TIENE L3OUT"/>
    <n v="234"/>
    <n v="54"/>
  </r>
  <r>
    <n v="701"/>
    <x v="2"/>
    <x v="43"/>
    <s v="eth1/35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35"/>
    <x v="0"/>
    <x v="0"/>
    <x v="0"/>
    <s v="bmc_ithhwc3c2288h4_PRINCIPAL"/>
    <x v="1"/>
    <b v="0"/>
    <s v="No está en VPC"/>
    <n v="440"/>
    <s v="INTPG_ACC_440_1.35"/>
    <s v="ISEL-1.35"/>
    <n v="1"/>
    <s v="NO TIENE L3OUT"/>
    <n v="22"/>
    <n v="54"/>
  </r>
  <r>
    <n v="448"/>
    <x v="1"/>
    <x v="45"/>
    <s v="eth1/35"/>
    <x v="1"/>
    <x v="1"/>
    <x v="3"/>
    <m/>
    <x v="0"/>
    <b v="0"/>
    <s v="No está en VPC"/>
    <n v="448"/>
    <s v="NO EXISTE PG"/>
    <s v="NO EXISTE ISEL"/>
    <n v="0"/>
    <s v="NO TIENE L3OUT"/>
    <n v="46"/>
    <n v="54"/>
  </r>
  <r>
    <n v="704"/>
    <x v="2"/>
    <x v="46"/>
    <s v="eth1/35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35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35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35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35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35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35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35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35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35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35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35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35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35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35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35"/>
    <x v="0"/>
    <x v="1"/>
    <x v="1"/>
    <s v="ITHCEMB2ADT12"/>
    <x v="5"/>
    <b v="0"/>
    <s v="No está en VPC"/>
    <n v="742"/>
    <s v="INTPG_ACC_742_1.35"/>
    <s v="ISEL-1.35"/>
    <n v="1"/>
    <s v="NO TIENE L3OUT"/>
    <n v="64"/>
    <n v="54"/>
  </r>
  <r>
    <n v="763"/>
    <x v="2"/>
    <x v="63"/>
    <s v="eth1/35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35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35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35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35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35"/>
    <x v="0"/>
    <x v="1"/>
    <x v="3"/>
    <s v="CLOUD OPS:ithhwcop01st01ce02:A IOM1 Smart IO P0"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35"/>
    <x v="0"/>
    <x v="0"/>
    <x v="0"/>
    <s v="CLOUD OPS:ithhwcop02en02:4E P2"/>
    <x v="0"/>
    <b v="0"/>
    <s v="No está en VPC"/>
    <n v="780"/>
    <s v="INTPG_VPC_780_1.28-29_34-35_781_1.28-29_34-35"/>
    <s v="ISEL-1.35"/>
    <n v="23"/>
    <s v="NO TIENE L3OUT"/>
    <n v="26"/>
    <n v="54"/>
  </r>
  <r>
    <n v="812"/>
    <x v="2"/>
    <x v="70"/>
    <s v="eth1/35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35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35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35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35"/>
    <x v="0"/>
    <x v="0"/>
    <x v="0"/>
    <s v="LINK_TO_ITHHWOS53V50004DKC01 /CtrlA_10GE.P3 /Redundante"/>
    <x v="0"/>
    <b v="0"/>
    <s v="No está en VPC"/>
    <n v="824"/>
    <s v="INTPG_ACC_824_1.35"/>
    <s v="ISEL-1.35"/>
    <n v="1"/>
    <s v="NO TIENE L3OUT"/>
    <n v="70"/>
    <n v="54"/>
  </r>
  <r>
    <n v="819"/>
    <x v="2"/>
    <x v="75"/>
    <s v="eth1/35"/>
    <x v="0"/>
    <x v="0"/>
    <x v="0"/>
    <s v="LINK_TO_ITHHWOS53V50004DKC01 /CtrlA_10GE.P2 /Principal"/>
    <x v="0"/>
    <b v="0"/>
    <s v="No está en VPC"/>
    <n v="819"/>
    <s v="INTPG_ACC_819_1.35"/>
    <s v="ISEL-1.35"/>
    <n v="1"/>
    <s v="NO TIENE L3OUT"/>
    <n v="70"/>
    <n v="54"/>
  </r>
  <r>
    <n v="737"/>
    <x v="2"/>
    <x v="76"/>
    <s v="eth1/35"/>
    <x v="0"/>
    <x v="0"/>
    <x v="0"/>
    <s v="ITHCEMF2KFG18"/>
    <x v="5"/>
    <b v="0"/>
    <s v="No está en VPC"/>
    <n v="737"/>
    <s v="INTPG_ACC_737_1.35"/>
    <s v="ISEL-1.35"/>
    <n v="1"/>
    <s v="NO TIENE L3OUT"/>
    <n v="72"/>
    <n v="54"/>
  </r>
  <r>
    <n v="844"/>
    <x v="2"/>
    <x v="77"/>
    <s v="eth1/35"/>
    <x v="0"/>
    <x v="0"/>
    <x v="0"/>
    <s v="LINK_TO_ITHFHWCRMPLCN112 / Slot1.2_28 / Principal"/>
    <x v="0"/>
    <b v="0"/>
    <s v="No está en VPC"/>
    <n v="844"/>
    <s v="INTPG_ACC_844_1.35"/>
    <s v="ISEL-1.35"/>
    <n v="2"/>
    <s v="NO TIENE L3OUT"/>
    <n v="282"/>
    <n v="54"/>
  </r>
  <r>
    <n v="843"/>
    <x v="2"/>
    <x v="78"/>
    <s v="eth1/35"/>
    <x v="0"/>
    <x v="0"/>
    <x v="0"/>
    <s v="A_ITHFHWSEQLHDPS77_Principal"/>
    <x v="0"/>
    <b v="0"/>
    <s v="No está en VPC"/>
    <n v="843"/>
    <s v="INTPG_ACC_843_1.35"/>
    <s v="ISEL-1.35"/>
    <n v="1"/>
    <s v="NO TIENE L3OUT"/>
    <n v="38"/>
    <n v="54"/>
  </r>
  <r>
    <n v="797"/>
    <x v="2"/>
    <x v="79"/>
    <s v="eth1/35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35"/>
    <x v="0"/>
    <x v="0"/>
    <x v="0"/>
    <s v="LINK_TO_ITHFHWCBSPSHD41 / Slot7.2_20 / Redundante"/>
    <x v="0"/>
    <b v="0"/>
    <s v="No está en VPC"/>
    <n v="839"/>
    <s v="INTPG_VPC_834_1.35_839_1.35"/>
    <s v="ISEL-1.35"/>
    <n v="2"/>
    <s v="NO TIENE L3OUT"/>
    <n v="0"/>
    <n v="54"/>
  </r>
  <r>
    <n v="847"/>
    <x v="2"/>
    <x v="81"/>
    <s v="eth1/35"/>
    <x v="0"/>
    <x v="0"/>
    <x v="0"/>
    <s v="LINK_TO_ITHFHWCRMPLCN177 / Slot7.1_24 / Redundante"/>
    <x v="0"/>
    <b v="0"/>
    <s v="No está en VPC"/>
    <n v="847"/>
    <s v="INTPG_ACC_847_1.35"/>
    <s v="ISEL-1.35"/>
    <n v="6"/>
    <s v="NO TIENE L3OUT"/>
    <n v="204"/>
    <n v="54"/>
  </r>
  <r>
    <n v="848"/>
    <x v="2"/>
    <x v="82"/>
    <s v="eth1/35"/>
    <x v="0"/>
    <x v="0"/>
    <x v="0"/>
    <s v="LINK_TO_ITHFHWCRMPLCN166 / Slot7.1_34 / Redundante"/>
    <x v="0"/>
    <b v="0"/>
    <s v="No está en VPC"/>
    <n v="848"/>
    <s v="INTPG_ACC_848_1.35"/>
    <s v="ISEL-1.35"/>
    <n v="6"/>
    <s v="NO TIENE L3OUT"/>
    <n v="254"/>
    <n v="54"/>
  </r>
  <r>
    <n v="846"/>
    <x v="2"/>
    <x v="83"/>
    <s v="eth1/35"/>
    <x v="0"/>
    <x v="0"/>
    <x v="0"/>
    <s v="LINK_TO_ITHFHWCRMPLCN83 / Slot1.2_24 / Principal"/>
    <x v="0"/>
    <b v="0"/>
    <s v="No está en VPC"/>
    <n v="846"/>
    <s v="INTPG_ACC_846_1.35"/>
    <s v="ISEL-1.35"/>
    <n v="2"/>
    <s v="NO TIENE L3OUT"/>
    <n v="242"/>
    <n v="54"/>
  </r>
  <r>
    <n v="838"/>
    <x v="2"/>
    <x v="84"/>
    <s v="eth1/35"/>
    <x v="0"/>
    <x v="0"/>
    <x v="0"/>
    <s v="A_ITHFHWSEQLHDPS77_Redundante"/>
    <x v="0"/>
    <b v="0"/>
    <s v="No está en VPC"/>
    <n v="838"/>
    <s v="INTPG_ACC_838_1.35"/>
    <s v="ISEL-1.35"/>
    <n v="1"/>
    <s v="NO TIENE L3OUT"/>
    <n v="38"/>
    <n v="54"/>
  </r>
  <r>
    <n v="849"/>
    <x v="2"/>
    <x v="85"/>
    <s v="eth1/35"/>
    <x v="0"/>
    <x v="0"/>
    <x v="0"/>
    <s v="LINK_TO_ITHFHWCRMPLCN146 / Slot7.1_26 / Redundante"/>
    <x v="0"/>
    <b v="0"/>
    <s v="No está en VPC"/>
    <n v="849"/>
    <s v="INTPG_ACC_849_1.35"/>
    <s v="ISEL-1.35"/>
    <n v="6"/>
    <s v="NO TIENE L3OUT"/>
    <n v="286"/>
    <n v="54"/>
  </r>
  <r>
    <n v="845"/>
    <x v="2"/>
    <x v="86"/>
    <s v="eth1/35"/>
    <x v="0"/>
    <x v="0"/>
    <x v="0"/>
    <s v="LINK_TO_ITHFHWCRMPLCN95 / Slot1.3_22 / Principal"/>
    <x v="0"/>
    <b v="0"/>
    <s v="No está en VPC"/>
    <n v="845"/>
    <s v="INTPG_ACC_845_1.35"/>
    <s v="ISEL-1.35"/>
    <n v="1"/>
    <s v="NO TIENE L3OUT"/>
    <n v="258"/>
    <n v="54"/>
  </r>
  <r>
    <n v="873"/>
    <x v="2"/>
    <x v="87"/>
    <s v="eth1/35"/>
    <x v="0"/>
    <x v="0"/>
    <x v="0"/>
    <s v="TO_ITHHWD6KV65100017DKC01_Principal"/>
    <x v="0"/>
    <b v="0"/>
    <s v="No está en VPC"/>
    <n v="873"/>
    <s v="INTPG_ACC_873_1.35"/>
    <s v="ISEL-1.35"/>
    <n v="1"/>
    <s v="NO TIENE L3OUT"/>
    <n v="248"/>
    <n v="54"/>
  </r>
  <r>
    <n v="864"/>
    <x v="2"/>
    <x v="88"/>
    <s v="eth1/35"/>
    <x v="0"/>
    <x v="0"/>
    <x v="0"/>
    <s v="To_VPC_2DCBSD_WR47_2"/>
    <x v="0"/>
    <b v="0"/>
    <s v="No está en VPC"/>
    <n v="864"/>
    <s v="INTPG_VPC_859_1.35_864_1.35"/>
    <s v="ISEL-1.35"/>
    <n v="1"/>
    <s v="NO TIENE L3OUT"/>
    <n v="0"/>
    <n v="54"/>
  </r>
  <r>
    <n v="836"/>
    <x v="2"/>
    <x v="89"/>
    <s v="eth1/35"/>
    <x v="0"/>
    <x v="0"/>
    <x v="0"/>
    <s v="LINK_TO_ITHFHWCBSPSHD26 / Slot1.1_16 / Principal"/>
    <x v="0"/>
    <b v="0"/>
    <s v="No está en VPC"/>
    <n v="836"/>
    <s v="INTPG_VPC_836_1.35_841_1.35"/>
    <s v="ISEL-1.35"/>
    <n v="2"/>
    <s v="NO TIENE L3OUT"/>
    <n v="0"/>
    <n v="54"/>
  </r>
  <r>
    <n v="834"/>
    <x v="2"/>
    <x v="90"/>
    <s v="eth1/35"/>
    <x v="0"/>
    <x v="0"/>
    <x v="0"/>
    <s v="LINK_TO_ITHFHWCBSPSHD41 / Slot1.2_20 / Principal"/>
    <x v="0"/>
    <b v="0"/>
    <s v="No está en VPC"/>
    <n v="834"/>
    <s v="INTPG_VPC_834_1.35_839_1.35"/>
    <s v="ISEL-1.35"/>
    <n v="2"/>
    <s v="NO TIENE L3OUT"/>
    <n v="0"/>
    <n v="54"/>
  </r>
  <r>
    <n v="872"/>
    <x v="2"/>
    <x v="91"/>
    <s v="eth1/35"/>
    <x v="0"/>
    <x v="0"/>
    <x v="0"/>
    <s v="To_ITHFHWCRMDLCN80_Principal"/>
    <x v="0"/>
    <b v="0"/>
    <s v="No está en VPC"/>
    <n v="872"/>
    <s v="INTPG_ACC_872_1.35"/>
    <s v="ISEL-1.35"/>
    <n v="1"/>
    <s v="NO TIENE L3OUT"/>
    <n v="288"/>
    <n v="54"/>
  </r>
  <r>
    <n v="842"/>
    <x v="2"/>
    <x v="92"/>
    <s v="eth1/35"/>
    <x v="0"/>
    <x v="0"/>
    <x v="0"/>
    <s v="LINK_To_ITHFHWCBSPSHD19 / Slot7.3_14 / Redundante"/>
    <x v="0"/>
    <b v="0"/>
    <s v="No está en VPC"/>
    <n v="842"/>
    <s v="INTPG_VPC_837_1.35_842_1.35"/>
    <s v="ISEL-1.35"/>
    <n v="1"/>
    <s v="NO TIENE L3OUT"/>
    <n v="8"/>
    <n v="54"/>
  </r>
  <r>
    <n v="828"/>
    <x v="2"/>
    <x v="93"/>
    <s v="eth1/35"/>
    <x v="0"/>
    <x v="0"/>
    <x v="0"/>
    <s v="LINK_TO_ITHFHWCRMDLCN27 /Slot5.2 /Principal"/>
    <x v="0"/>
    <b v="0"/>
    <s v="No está en VPC"/>
    <n v="828"/>
    <s v="INTPG_ACC_828_1.35"/>
    <s v="ISEL-1.35"/>
    <n v="5"/>
    <s v="NO TIENE L3OUT"/>
    <n v="192"/>
    <n v="54"/>
  </r>
  <r>
    <n v="870"/>
    <x v="2"/>
    <x v="94"/>
    <s v="eth1/35"/>
    <x v="0"/>
    <x v="0"/>
    <x v="0"/>
    <s v="TO_ITHHWD6KV65100017DKC01_Redundante"/>
    <x v="0"/>
    <b v="0"/>
    <s v="No está en VPC"/>
    <n v="870"/>
    <s v="INTPG_ACC_870_1.35"/>
    <s v="ISEL-1.35"/>
    <n v="1"/>
    <s v="NO TIENE L3OUT"/>
    <n v="248"/>
    <n v="54"/>
  </r>
  <r>
    <n v="866"/>
    <x v="2"/>
    <x v="95"/>
    <s v="eth1/35"/>
    <x v="0"/>
    <x v="0"/>
    <x v="0"/>
    <s v="To_VPC_2DCBSD_BD14_1"/>
    <x v="0"/>
    <b v="0"/>
    <s v="No está en VPC"/>
    <n v="866"/>
    <s v="INTPG_VPC_861_1.35_866_1.35"/>
    <s v="ISEL-1.35"/>
    <n v="2"/>
    <s v="NO TIENE L3OUT"/>
    <n v="8"/>
    <n v="54"/>
  </r>
  <r>
    <n v="862"/>
    <x v="2"/>
    <x v="96"/>
    <s v="eth1/35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35"/>
    <x v="0"/>
    <x v="0"/>
    <x v="0"/>
    <s v="LINK_TO_ITHFHWCRMPLCN166 / Slot1.1_34 / Principal"/>
    <x v="0"/>
    <b v="0"/>
    <s v="No está en VPC"/>
    <n v="855"/>
    <s v="INTPG_ACC_855_1.35"/>
    <s v="ISEL-1.35"/>
    <n v="6"/>
    <s v="NO TIENE L3OUT"/>
    <n v="254"/>
    <n v="54"/>
  </r>
  <r>
    <n v="871"/>
    <x v="2"/>
    <x v="98"/>
    <s v="eth1/35"/>
    <x v="0"/>
    <x v="0"/>
    <x v="0"/>
    <s v="To_ITHFHWCRMDLCN65_Principal"/>
    <x v="0"/>
    <b v="0"/>
    <s v="No está en VPC"/>
    <n v="871"/>
    <s v="INTPG_ACC_871_1.35"/>
    <s v="ISEL-1.35"/>
    <n v="2"/>
    <s v="NO TIENE L3OUT"/>
    <n v="246"/>
    <n v="54"/>
  </r>
  <r>
    <n v="841"/>
    <x v="2"/>
    <x v="99"/>
    <s v="eth1/35"/>
    <x v="0"/>
    <x v="0"/>
    <x v="0"/>
    <s v="LINK_TO_ITHFHWCBSPSHD26 / Slot7.1_16 / Redundante"/>
    <x v="0"/>
    <b v="0"/>
    <s v="No está en VPC"/>
    <n v="841"/>
    <s v="INTPG_VPC_836_1.35_841_1.35"/>
    <s v="ISEL-1.35"/>
    <n v="2"/>
    <s v="NO TIENE L3OUT"/>
    <n v="0"/>
    <n v="54"/>
  </r>
  <r>
    <n v="868"/>
    <x v="2"/>
    <x v="100"/>
    <s v="eth1/35"/>
    <x v="0"/>
    <x v="0"/>
    <x v="0"/>
    <s v="To_ITHFHWCRMDLCN65_Redundante"/>
    <x v="0"/>
    <b v="0"/>
    <s v="No está en VPC"/>
    <n v="868"/>
    <s v="INTPG_ACC_868_1.35"/>
    <s v="ISEL-1.35"/>
    <n v="2"/>
    <s v="NO TIENE L3OUT"/>
    <n v="246"/>
    <n v="54"/>
  </r>
  <r>
    <n v="869"/>
    <x v="2"/>
    <x v="101"/>
    <s v="eth1/35"/>
    <x v="0"/>
    <x v="0"/>
    <x v="0"/>
    <s v="To_ITHFHWCRMDLCN80_Redundante"/>
    <x v="0"/>
    <b v="0"/>
    <s v="No está en VPC"/>
    <n v="869"/>
    <s v="INTPG_ACC_869_1.35"/>
    <s v="ISEL-1.35"/>
    <n v="1"/>
    <s v="NO TIENE L3OUT"/>
    <n v="288"/>
    <n v="54"/>
  </r>
  <r>
    <n v="861"/>
    <x v="2"/>
    <x v="102"/>
    <s v="eth1/35"/>
    <x v="0"/>
    <x v="0"/>
    <x v="0"/>
    <s v="To_VPC_2DCBSD_BD14_1"/>
    <x v="0"/>
    <b v="0"/>
    <s v="No está en VPC"/>
    <n v="861"/>
    <s v="INTPG_VPC_861_1.35_866_1.35"/>
    <s v="ISEL-1.35"/>
    <n v="2"/>
    <s v="NO TIENE L3OUT"/>
    <n v="8"/>
    <n v="54"/>
  </r>
  <r>
    <n v="874"/>
    <x v="2"/>
    <x v="103"/>
    <s v="eth1/35"/>
    <x v="0"/>
    <x v="0"/>
    <x v="0"/>
    <s v="A_ITHFHWSEQLDSS02_Redundante"/>
    <x v="4"/>
    <b v="0"/>
    <s v="No está en VPC"/>
    <n v="874"/>
    <s v="INTPG_ACC_874_1.35"/>
    <s v="ISEL-1.35"/>
    <n v="1"/>
    <s v="NO TIENE L3OUT"/>
    <n v="92"/>
    <n v="54"/>
  </r>
  <r>
    <n v="865"/>
    <x v="2"/>
    <x v="104"/>
    <s v="eth1/35"/>
    <x v="0"/>
    <x v="0"/>
    <x v="0"/>
    <s v="To_VPC_2DCBSD_BD18_2"/>
    <x v="0"/>
    <b v="0"/>
    <s v="No está en VPC"/>
    <n v="865"/>
    <s v="INTPG_VPC_860_1.35_865_1.35"/>
    <s v="ISEL-1.35"/>
    <n v="1"/>
    <s v="NO TIENE L3OUT"/>
    <n v="0"/>
    <n v="54"/>
  </r>
  <r>
    <n v="753"/>
    <x v="2"/>
    <x v="105"/>
    <s v="eth1/35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35"/>
    <x v="0"/>
    <x v="1"/>
    <x v="1"/>
    <s v="CEM_ITHCEMF2KFG18"/>
    <x v="0"/>
    <b v="0"/>
    <s v="No está en VPC"/>
    <n v="708"/>
    <s v="INTPG_VPC_708_1.35_709_1.36"/>
    <s v="ISEL-1.35"/>
    <n v="1"/>
    <s v="NO TIENE L3OUT"/>
    <n v="0"/>
    <n v="54"/>
  </r>
  <r>
    <n v="710"/>
    <x v="2"/>
    <x v="107"/>
    <s v="eth1/35"/>
    <x v="0"/>
    <x v="1"/>
    <x v="1"/>
    <s v="CEM_ITHCEMD2PRT18"/>
    <x v="0"/>
    <b v="0"/>
    <s v="No está en VPC"/>
    <n v="710"/>
    <s v="INTPG_VPC_710_1.35_711_1.36"/>
    <s v="ISEL-1.35"/>
    <n v="1"/>
    <s v="NO TIENE L3OUT"/>
    <n v="16"/>
    <n v="54"/>
  </r>
  <r>
    <n v="713"/>
    <x v="2"/>
    <x v="108"/>
    <s v="eth1/35"/>
    <x v="0"/>
    <x v="1"/>
    <x v="3"/>
    <m/>
    <x v="0"/>
    <b v="0"/>
    <s v="No está en VPC"/>
    <n v="713"/>
    <s v="INTPG_VPC_713_1.35_712_1.36"/>
    <s v="ISEL-1.35"/>
    <n v="0"/>
    <s v="NO TIENE L3OUT"/>
    <n v="32"/>
    <n v="54"/>
  </r>
  <r>
    <n v="735"/>
    <x v="2"/>
    <x v="109"/>
    <s v="eth1/35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35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35"/>
    <x v="1"/>
    <x v="1"/>
    <x v="3"/>
    <m/>
    <x v="0"/>
    <b v="0"/>
    <s v="No está en VPC"/>
    <n v="703"/>
    <s v="INTPG_VPC_706_1.35_705_1.36"/>
    <s v="ISEL-1.35"/>
    <n v="2"/>
    <s v="NO TIENE L3OUT"/>
    <n v="2"/>
    <n v="54"/>
  </r>
  <r>
    <n v="706"/>
    <x v="2"/>
    <x v="112"/>
    <s v="eth1/35"/>
    <x v="0"/>
    <x v="0"/>
    <x v="0"/>
    <m/>
    <x v="0"/>
    <b v="0"/>
    <s v="No está en VPC"/>
    <n v="706"/>
    <s v="INTPG_VPC_706_1.35_705_1.36"/>
    <s v="ISEL-1.35"/>
    <n v="2"/>
    <s v="NO TIENE L3OUT"/>
    <n v="16"/>
    <n v="54"/>
  </r>
  <r>
    <n v="762"/>
    <x v="2"/>
    <x v="113"/>
    <s v="eth1/35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14"/>
    <x v="2"/>
    <x v="114"/>
    <s v="eth1/35"/>
    <x v="0"/>
    <x v="0"/>
    <x v="0"/>
    <s v="LINK_HACIA_SPINE"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35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35"/>
    <x v="0"/>
    <x v="0"/>
    <x v="0"/>
    <s v="LINK_TO_ITHFHWCBSDSWR18 /10GE.1 /Principal"/>
    <x v="0"/>
    <b v="0"/>
    <s v="No está en VPC"/>
    <n v="826"/>
    <s v="INTPG_VPC_826_1.35_830_1.35"/>
    <s v="ISEL-1.35"/>
    <n v="1"/>
    <s v="NO TIENE L3OUT"/>
    <n v="12"/>
    <n v="54"/>
  </r>
  <r>
    <n v="726"/>
    <x v="2"/>
    <x v="117"/>
    <s v="eth1/35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35"/>
    <x v="0"/>
    <x v="0"/>
    <x v="0"/>
    <s v="ITHCEMC2COR18"/>
    <x v="5"/>
    <b v="0"/>
    <s v="No está en VPC"/>
    <n v="740"/>
    <s v="INTPG_ACC_740_1.35"/>
    <s v="ISEL-1.35"/>
    <n v="1"/>
    <s v="NO TIENE L3OUT"/>
    <n v="72"/>
    <n v="54"/>
  </r>
  <r>
    <n v="705"/>
    <x v="2"/>
    <x v="119"/>
    <s v="eth1/35"/>
    <x v="0"/>
    <x v="1"/>
    <x v="3"/>
    <m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35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35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35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35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35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35"/>
    <x v="0"/>
    <x v="1"/>
    <x v="1"/>
    <s v="CEM_ITHCEME2PRT18"/>
    <x v="0"/>
    <b v="0"/>
    <s v="No está en VPC"/>
    <n v="709"/>
    <s v="INTPG_VPC_708_1.36_709_1.35"/>
    <s v="ISEL-1.35"/>
    <n v="1"/>
    <s v="NO TIENE L3OUT"/>
    <n v="0"/>
    <n v="54"/>
  </r>
  <r>
    <n v="454"/>
    <x v="1"/>
    <x v="126"/>
    <s v="eth1/35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35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35"/>
    <x v="0"/>
    <x v="0"/>
    <x v="0"/>
    <s v="LINK_HACIA_SPINE"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35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35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35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35"/>
    <x v="0"/>
    <x v="0"/>
    <x v="0"/>
    <s v="CEM:ITHCEMB2ADT18:LOM P3"/>
    <x v="5"/>
    <b v="0"/>
    <s v="No está en VPC"/>
    <n v="741"/>
    <s v="INTPG_ACC_741_1.35"/>
    <s v="ISEL-1.35"/>
    <n v="1"/>
    <s v="NO TIENE L3OUT"/>
    <n v="62"/>
    <n v="54"/>
  </r>
  <r>
    <n v="787"/>
    <x v="2"/>
    <x v="133"/>
    <s v="eth1/35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35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35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35"/>
    <x v="0"/>
    <x v="1"/>
    <x v="3"/>
    <s v="CEM_HADOOP"/>
    <x v="0"/>
    <b v="0"/>
    <s v="No está en VPC"/>
    <n v="736"/>
    <s v="INTPG_ACC_736_1.35"/>
    <s v="ISEL-1.35"/>
    <n v="0"/>
    <s v="NO TIENE L3OUT"/>
    <n v="48"/>
    <n v="54"/>
  </r>
  <r>
    <n v="799"/>
    <x v="2"/>
    <x v="137"/>
    <s v="eth1/35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35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35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35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35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35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35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35"/>
    <x v="0"/>
    <x v="0"/>
    <x v="0"/>
    <s v="PAAS:ithhwoscopap018:10GE /Pto 1"/>
    <x v="0"/>
    <b v="0"/>
    <s v="No está en VPC"/>
    <n v="774"/>
    <s v="INTPG_VPC_774_1.35_775_1.33"/>
    <s v="ISEL-1.35"/>
    <n v="24"/>
    <s v="NO TIENE L3OUT"/>
    <n v="0"/>
    <n v="54"/>
  </r>
  <r>
    <n v="773"/>
    <x v="2"/>
    <x v="145"/>
    <s v="eth1/35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35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35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35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35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35"/>
    <x v="0"/>
    <x v="0"/>
    <x v="0"/>
    <s v="CLOUD OPS:ithhwcop02en02:4E P4"/>
    <x v="0"/>
    <b v="0"/>
    <s v="No está en VPC"/>
    <n v="781"/>
    <s v="INTPG_VPC_780_1.28-29_34-35_781_1.28-29_34-35"/>
    <s v="ISEL-1.35"/>
    <n v="23"/>
    <s v="NO TIENE L3OUT"/>
    <n v="26"/>
    <n v="54"/>
  </r>
  <r>
    <n v="793"/>
    <x v="2"/>
    <x v="151"/>
    <s v="eth1/35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35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35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35"/>
    <x v="1"/>
    <x v="1"/>
    <x v="3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35"/>
    <x v="0"/>
    <x v="0"/>
    <x v="0"/>
    <s v="TO-ITHHWOSCOAP027"/>
    <x v="0"/>
    <b v="0"/>
    <s v="No está en VPC"/>
    <n v="777"/>
    <s v="INTPG_VPC_776_1.35_777_1.35"/>
    <s v="ISEL-1.35"/>
    <n v="24"/>
    <s v="NO TIENE L3OUT"/>
    <n v="0"/>
    <n v="54"/>
  </r>
  <r>
    <n v="770"/>
    <x v="2"/>
    <x v="156"/>
    <s v="eth1/35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35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35"/>
    <x v="0"/>
    <x v="0"/>
    <x v="0"/>
    <s v="ITHCEMD2PRT18"/>
    <x v="5"/>
    <b v="0"/>
    <s v="No está en VPC"/>
    <n v="739"/>
    <s v="INTPG_ACC_739_1.35"/>
    <s v="ISEL-1.35"/>
    <n v="1"/>
    <s v="NO TIENE L3OUT"/>
    <n v="72"/>
    <n v="54"/>
  </r>
  <r>
    <n v="775"/>
    <x v="2"/>
    <x v="159"/>
    <s v="eth1/35"/>
    <x v="0"/>
    <x v="0"/>
    <x v="0"/>
    <s v="PAAS:ithhwoscopap017:10GE /Pto 1"/>
    <x v="0"/>
    <b v="0"/>
    <s v="No está en VPC"/>
    <n v="775"/>
    <s v="INTPG_VPC_774_1.34_775_1.35"/>
    <s v="ISEL-1.35"/>
    <n v="24"/>
    <s v="NO TIENE L3OUT"/>
    <n v="0"/>
    <n v="54"/>
  </r>
  <r>
    <n v="791"/>
    <x v="2"/>
    <x v="160"/>
    <s v="eth1/35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35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35"/>
    <x v="0"/>
    <x v="0"/>
    <x v="0"/>
    <s v="LINK_TO_ITHFHWCBSDSWR18 /Slot5.1 /Redundante"/>
    <x v="0"/>
    <b v="0"/>
    <s v="No está en VPC"/>
    <n v="830"/>
    <s v="INTPG_VPC_826_1.35_830_1.35"/>
    <s v="ISEL-1.35"/>
    <n v="1"/>
    <s v="NO TIENE L3OUT"/>
    <n v="12"/>
    <n v="54"/>
  </r>
  <r>
    <n v="821"/>
    <x v="2"/>
    <x v="163"/>
    <s v="eth1/35"/>
    <x v="0"/>
    <x v="0"/>
    <x v="0"/>
    <s v="LINK_TO_ITHFHWCBSPSWR18 /Slot5.1 /Redundante"/>
    <x v="0"/>
    <b v="0"/>
    <s v="No está en VPC"/>
    <n v="821"/>
    <s v="INTPG_VPC_816_1.35_821_1.35"/>
    <s v="ISEL-1.35"/>
    <n v="1"/>
    <s v="NO TIENE L3OUT"/>
    <n v="0"/>
    <n v="54"/>
  </r>
  <r>
    <n v="738"/>
    <x v="2"/>
    <x v="164"/>
    <s v="eth1/35"/>
    <x v="0"/>
    <x v="0"/>
    <x v="0"/>
    <s v="ITHCEME2PRT18"/>
    <x v="5"/>
    <b v="0"/>
    <s v="No está en VPC"/>
    <n v="738"/>
    <s v="INTPG_ACC_738_1.35"/>
    <s v="ISEL-1.35"/>
    <n v="1"/>
    <s v="NO TIENE L3OUT"/>
    <n v="72"/>
    <n v="54"/>
  </r>
  <r>
    <n v="820"/>
    <x v="2"/>
    <x v="165"/>
    <s v="eth1/35"/>
    <x v="0"/>
    <x v="0"/>
    <x v="0"/>
    <s v="To_ITHHWD6KV65100010DKC01_Principal"/>
    <x v="0"/>
    <b v="0"/>
    <s v="No está en VPC"/>
    <n v="820"/>
    <s v="INTPG_ACC_820_1.35"/>
    <s v="ISEL-1.35"/>
    <n v="1"/>
    <s v="NO TIENE L3OUT"/>
    <n v="72"/>
    <n v="54"/>
  </r>
  <r>
    <n v="804"/>
    <x v="2"/>
    <x v="166"/>
    <s v="eth1/35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35"/>
    <x v="0"/>
    <x v="0"/>
    <x v="0"/>
    <s v="CLOUD OPS:ithhwcop01st01ce02:A IOM1 Smart IO P1"/>
    <x v="0"/>
    <b v="0"/>
    <s v="No está en VPC"/>
    <n v="779"/>
    <s v="INTPG_ACC_779_1.35"/>
    <s v="ISEL-1.35"/>
    <n v="1"/>
    <s v="NO TIENE L3OUT"/>
    <n v="30"/>
    <n v="54"/>
  </r>
  <r>
    <n v="767"/>
    <x v="2"/>
    <x v="168"/>
    <s v="eth1/35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35"/>
    <x v="0"/>
    <x v="0"/>
    <x v="0"/>
    <s v="LINK_TO_ITHFHWCBSDSWR28 /Slot5.2 /Principal"/>
    <x v="0"/>
    <b v="0"/>
    <s v="No está en VPC"/>
    <n v="827"/>
    <s v="INTPG_VPC_827_1.35_831_1.35"/>
    <s v="ISEL-1.35"/>
    <n v="2"/>
    <s v="NO TIENE L3OUT"/>
    <n v="14"/>
    <n v="54"/>
  </r>
  <r>
    <n v="809"/>
    <x v="2"/>
    <x v="170"/>
    <s v="eth1/35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35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35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35"/>
    <x v="0"/>
    <x v="0"/>
    <x v="0"/>
    <s v="TO-ITHHWOSCOAP027"/>
    <x v="0"/>
    <b v="0"/>
    <s v="No está en VPC"/>
    <n v="776"/>
    <s v="INTPG_VPC_776_1.35_777_1.35"/>
    <s v="ISEL-1.35"/>
    <n v="24"/>
    <s v="NO TIENE L3OUT"/>
    <n v="0"/>
    <n v="54"/>
  </r>
  <r>
    <n v="805"/>
    <x v="2"/>
    <x v="174"/>
    <s v="eth1/35"/>
    <x v="1"/>
    <x v="1"/>
    <x v="3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35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35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35"/>
    <x v="0"/>
    <x v="0"/>
    <x v="0"/>
    <s v="LINK_TO_ITHFHWCRMPLCN112 / Slot7.2_28 / Redundante"/>
    <x v="0"/>
    <b v="0"/>
    <s v="No está en VPC"/>
    <n v="851"/>
    <s v="INTPG_ACC_851_1.35"/>
    <s v="ISEL-1.35"/>
    <n v="2"/>
    <s v="NO TIENE L3OUT"/>
    <n v="282"/>
    <n v="54"/>
  </r>
  <r>
    <n v="798"/>
    <x v="2"/>
    <x v="178"/>
    <s v="eth1/35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35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35"/>
    <x v="0"/>
    <x v="0"/>
    <x v="0"/>
    <s v="LINK_TO_ITHFHWCRMPLCN95 / Slot7.3_22 / Redundante"/>
    <x v="0"/>
    <b v="0"/>
    <s v="No está en VPC"/>
    <n v="852"/>
    <s v="INTPG_ACC_852_1.35"/>
    <s v="ISEL-1.35"/>
    <n v="1"/>
    <s v="NO TIENE L3OUT"/>
    <n v="258"/>
    <n v="54"/>
  </r>
  <r>
    <n v="817"/>
    <x v="2"/>
    <x v="181"/>
    <s v="eth1/35"/>
    <x v="0"/>
    <x v="0"/>
    <x v="0"/>
    <s v="LINK_TO_ITHFHWCBSPSWR25 /10GE.1 /Principal"/>
    <x v="0"/>
    <b v="0"/>
    <s v="No está en VPC"/>
    <n v="817"/>
    <s v="INTPG_VPC_817_1.35_822_1.35"/>
    <s v="ISEL-1.35"/>
    <n v="1"/>
    <s v="NO TIENE L3OUT"/>
    <n v="0"/>
    <n v="54"/>
  </r>
  <r>
    <n v="832"/>
    <x v="2"/>
    <x v="182"/>
    <s v="eth1/35"/>
    <x v="0"/>
    <x v="0"/>
    <x v="0"/>
    <s v="LINK_TO_ITHFHWCRMDLCN27 /Slot7.2 /Redundante"/>
    <x v="0"/>
    <b v="0"/>
    <s v="No está en VPC"/>
    <n v="832"/>
    <s v="INTPG_ACC_832_1.35"/>
    <s v="ISEL-1.35"/>
    <n v="5"/>
    <s v="NO TIENE L3OUT"/>
    <n v="192"/>
    <n v="54"/>
  </r>
  <r>
    <n v="816"/>
    <x v="2"/>
    <x v="183"/>
    <s v="eth1/35"/>
    <x v="0"/>
    <x v="0"/>
    <x v="0"/>
    <s v="LINK_TO_ITHFHWCBSPSWR18 /10GE.1 /Principal"/>
    <x v="0"/>
    <b v="0"/>
    <s v="No está en VPC"/>
    <n v="816"/>
    <s v="INTPG_VPC_816_1.35_821_1.35"/>
    <s v="ISEL-1.35"/>
    <n v="1"/>
    <s v="NO TIENE L3OUT"/>
    <n v="0"/>
    <n v="54"/>
  </r>
  <r>
    <n v="825"/>
    <x v="2"/>
    <x v="184"/>
    <s v="eth1/35"/>
    <x v="0"/>
    <x v="0"/>
    <x v="0"/>
    <s v="To_ITHHWD6KV65100010DKC01_Redundante"/>
    <x v="0"/>
    <b v="0"/>
    <s v="No está en VPC"/>
    <n v="825"/>
    <s v="INTPG_ACC_825_1.35"/>
    <s v="ISEL-1.35"/>
    <n v="1"/>
    <s v="NO TIENE L3OUT"/>
    <n v="72"/>
    <n v="54"/>
  </r>
  <r>
    <n v="800"/>
    <x v="2"/>
    <x v="185"/>
    <s v="eth1/35"/>
    <x v="0"/>
    <x v="0"/>
    <x v="0"/>
    <s v="TO-9S_IVR_IXT3_10518_01"/>
    <x v="0"/>
    <b v="0"/>
    <s v="No está en VPC"/>
    <n v="800"/>
    <s v="INTPG_VPC_800_1.32-35_801_1.32-35"/>
    <s v="ISEL-1.35"/>
    <n v="24"/>
    <s v="NO TIENE L3OUT"/>
    <n v="78"/>
    <n v="54"/>
  </r>
  <r>
    <n v="801"/>
    <x v="2"/>
    <x v="186"/>
    <s v="eth1/35"/>
    <x v="0"/>
    <x v="0"/>
    <x v="0"/>
    <s v="TO-9S_IVR_IXT3_10518_01"/>
    <x v="0"/>
    <b v="0"/>
    <s v="No está en VPC"/>
    <n v="801"/>
    <s v="INTPG_VPC_800_1.32-35_801_1.32-35"/>
    <s v="ISEL-1.35"/>
    <n v="24"/>
    <s v="NO TIENE L3OUT"/>
    <n v="78"/>
    <n v="54"/>
  </r>
  <r>
    <n v="823"/>
    <x v="2"/>
    <x v="187"/>
    <s v="eth1/35"/>
    <x v="0"/>
    <x v="0"/>
    <x v="0"/>
    <s v="LINK_TO_ITHFHWCBSPSWR36 /Slot7.2 /Redundante"/>
    <x v="0"/>
    <b v="0"/>
    <s v="No está en VPC"/>
    <n v="823"/>
    <s v="INTPG_VPC_818_1.35_823_1.35"/>
    <s v="ISEL-1.35"/>
    <n v="2"/>
    <s v="NO TIENE L3OUT"/>
    <n v="8"/>
    <n v="54"/>
  </r>
  <r>
    <n v="837"/>
    <x v="2"/>
    <x v="188"/>
    <s v="eth1/35"/>
    <x v="0"/>
    <x v="0"/>
    <x v="0"/>
    <s v="LINK_To_ITHFHWCBSPSHD19 / Slot1.3_14 / Principal"/>
    <x v="0"/>
    <b v="0"/>
    <s v="No está en VPC"/>
    <n v="837"/>
    <s v="INTPG_VPC_837_1.35_842_1.35"/>
    <s v="ISEL-1.35"/>
    <n v="1"/>
    <s v="NO TIENE L3OUT"/>
    <n v="8"/>
    <n v="54"/>
  </r>
  <r>
    <n v="867"/>
    <x v="2"/>
    <x v="189"/>
    <s v="eth1/35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35"/>
    <x v="0"/>
    <x v="0"/>
    <x v="0"/>
    <s v="To_ITHFHWCRMDLCN46_Principal"/>
    <x v="0"/>
    <b v="0"/>
    <s v="No está en VPC"/>
    <n v="829"/>
    <s v="INTPG_ACC_829_1.35"/>
    <s v="ISEL-1.35"/>
    <n v="1"/>
    <s v="NO TIENE L3OUT"/>
    <n v="224"/>
    <n v="54"/>
  </r>
  <r>
    <n v="831"/>
    <x v="2"/>
    <x v="191"/>
    <s v="eth1/35"/>
    <x v="0"/>
    <x v="0"/>
    <x v="0"/>
    <s v="LINK_TO_ITHFHWCBSDSWR28 /Slot7.2 /Redundante"/>
    <x v="0"/>
    <b v="0"/>
    <s v="No está en VPC"/>
    <n v="831"/>
    <s v="INTPG_VPC_827_1.35_831_1.35"/>
    <s v="ISEL-1.35"/>
    <n v="2"/>
    <s v="NO TIENE L3OUT"/>
    <n v="14"/>
    <n v="54"/>
  </r>
  <r>
    <n v="802"/>
    <x v="2"/>
    <x v="192"/>
    <s v="eth1/35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35"/>
    <x v="0"/>
    <x v="0"/>
    <x v="0"/>
    <s v="LINK_TO_ITHFHWCBSPSHD34 / Slot1.1_20 / Principal"/>
    <x v="0"/>
    <b v="0"/>
    <s v="No está en VPC"/>
    <n v="835"/>
    <s v="INTPG_VPC_835_1.35_840_1.35"/>
    <s v="ISEL-1.35"/>
    <n v="2"/>
    <s v="NO TIENE L3OUT"/>
    <n v="8"/>
    <n v="54"/>
  </r>
  <r>
    <n v="822"/>
    <x v="2"/>
    <x v="194"/>
    <s v="eth1/35"/>
    <x v="0"/>
    <x v="0"/>
    <x v="0"/>
    <s v="LINK_TO_ITHFHWCBSPSWR25 /Slot5.1 /Redundante"/>
    <x v="0"/>
    <b v="0"/>
    <s v="No está en VPC"/>
    <n v="822"/>
    <s v="INTPG_VPC_817_1.35_822_1.35"/>
    <s v="ISEL-1.35"/>
    <n v="1"/>
    <s v="NO TIENE L3OUT"/>
    <n v="0"/>
    <n v="54"/>
  </r>
  <r>
    <n v="854"/>
    <x v="2"/>
    <x v="195"/>
    <s v="eth1/35"/>
    <x v="0"/>
    <x v="0"/>
    <x v="0"/>
    <s v="LINK_TO_ITHFHWCRMPLCN177 / Slot1.1_24 / Principal"/>
    <x v="0"/>
    <b v="0"/>
    <s v="No está en VPC"/>
    <n v="854"/>
    <s v="INTPG_ACC_854_1.35"/>
    <s v="ISEL-1.35"/>
    <n v="6"/>
    <s v="NO TIENE L3OUT"/>
    <n v="204"/>
    <n v="54"/>
  </r>
  <r>
    <n v="858"/>
    <x v="2"/>
    <x v="196"/>
    <s v="eth1/35"/>
    <x v="0"/>
    <x v="0"/>
    <x v="0"/>
    <s v="To_VPC_2DCBSD_WR56_2"/>
    <x v="0"/>
    <b v="0"/>
    <s v="No está en VPC"/>
    <n v="858"/>
    <s v="INTPG_VPC_858_1.35_863_1.35"/>
    <s v="ISEL-1.35"/>
    <n v="1"/>
    <s v="NO TIENE L3OUT"/>
    <n v="8"/>
    <n v="54"/>
  </r>
  <r>
    <n v="857"/>
    <x v="2"/>
    <x v="197"/>
    <s v="eth1/35"/>
    <x v="0"/>
    <x v="0"/>
    <x v="0"/>
    <s v="LINKT_TO_ITHFHWCRMPLCN127 / Slot1.1_24 / Principal"/>
    <x v="0"/>
    <b v="0"/>
    <s v="No está en VPC"/>
    <n v="857"/>
    <s v="INTPG_ACC_857_1.35"/>
    <s v="ISEL-1.35"/>
    <n v="6"/>
    <s v="NO TIENE L3OUT"/>
    <n v="288"/>
    <n v="54"/>
  </r>
  <r>
    <n v="859"/>
    <x v="2"/>
    <x v="198"/>
    <s v="eth1/35"/>
    <x v="0"/>
    <x v="0"/>
    <x v="0"/>
    <s v="To_VPC_2DCBSD_WR47_2"/>
    <x v="0"/>
    <b v="0"/>
    <s v="No está en VPC"/>
    <n v="859"/>
    <s v="INTPG_VPC_859_1.35_864_1.35"/>
    <s v="ISEL-1.35"/>
    <n v="1"/>
    <s v="NO TIENE L3OUT"/>
    <n v="0"/>
    <n v="54"/>
  </r>
  <r>
    <n v="833"/>
    <x v="2"/>
    <x v="199"/>
    <s v="eth1/35"/>
    <x v="0"/>
    <x v="0"/>
    <x v="0"/>
    <s v="To_ITHFHWCRMDLCN46_Redundante"/>
    <x v="0"/>
    <b v="0"/>
    <s v="No está en VPC"/>
    <n v="833"/>
    <s v="INTPG_ACC_833_1.35"/>
    <s v="ISEL-1.35"/>
    <n v="1"/>
    <s v="NO TIENE L3OUT"/>
    <n v="224"/>
    <n v="54"/>
  </r>
  <r>
    <n v="818"/>
    <x v="2"/>
    <x v="200"/>
    <s v="eth1/35"/>
    <x v="0"/>
    <x v="0"/>
    <x v="0"/>
    <s v="LINK_TO_ITHFHWCBSPSWR36 /Slot5.2 /Principal"/>
    <x v="0"/>
    <b v="0"/>
    <s v="No está en VPC"/>
    <n v="818"/>
    <s v="INTPG_VPC_818_1.35_823_1.35"/>
    <s v="ISEL-1.35"/>
    <n v="2"/>
    <s v="NO TIENE L3OUT"/>
    <n v="8"/>
    <n v="54"/>
  </r>
  <r>
    <n v="850"/>
    <x v="2"/>
    <x v="201"/>
    <s v="eth1/35"/>
    <x v="0"/>
    <x v="0"/>
    <x v="0"/>
    <s v="LINKT_TO_ITHFHWCRMPLCN127 / Slot7.1_24 / Redundante"/>
    <x v="0"/>
    <b v="0"/>
    <s v="No está en VPC"/>
    <n v="850"/>
    <s v="INTPG_ACC_850_1.35"/>
    <s v="ISEL-1.35"/>
    <n v="6"/>
    <s v="NO TIENE L3OUT"/>
    <n v="288"/>
    <n v="54"/>
  </r>
  <r>
    <n v="860"/>
    <x v="2"/>
    <x v="202"/>
    <s v="eth1/35"/>
    <x v="0"/>
    <x v="0"/>
    <x v="0"/>
    <s v="To_VPC_2DCBSD_BD18_2"/>
    <x v="0"/>
    <b v="0"/>
    <s v="No está en VPC"/>
    <n v="860"/>
    <s v="INTPG_VPC_860_1.35_865_1.35"/>
    <s v="ISEL-1.35"/>
    <n v="1"/>
    <s v="NO TIENE L3OUT"/>
    <n v="0"/>
    <n v="54"/>
  </r>
  <r>
    <n v="853"/>
    <x v="2"/>
    <x v="203"/>
    <s v="eth1/35"/>
    <x v="0"/>
    <x v="0"/>
    <x v="0"/>
    <s v="LINK_TO_ITHFHWCRMPLCN83 / Slot7.2_24 / Redundante"/>
    <x v="0"/>
    <b v="0"/>
    <s v="No está en VPC"/>
    <n v="853"/>
    <s v="INTPG_ACC_853_1.35"/>
    <s v="ISEL-1.35"/>
    <n v="2"/>
    <s v="NO TIENE L3OUT"/>
    <n v="242"/>
    <n v="54"/>
  </r>
  <r>
    <n v="790"/>
    <x v="2"/>
    <x v="204"/>
    <s v="eth1/35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35"/>
    <x v="0"/>
    <x v="1"/>
    <x v="1"/>
    <s v="DESC"/>
    <x v="6"/>
    <b v="0"/>
    <s v="No está en VPC"/>
    <n v="105"/>
    <s v="INTPG_PC_105_1.1-4_32-35"/>
    <s v="ISEL-1.35"/>
    <n v="17"/>
    <s v="NO TIENE L3OUT"/>
    <n v="106"/>
    <n v="96"/>
  </r>
  <r>
    <n v="117"/>
    <x v="0"/>
    <x v="206"/>
    <s v="eth1/35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35"/>
    <x v="1"/>
    <x v="1"/>
    <x v="2"/>
    <s v="DESC"/>
    <x v="6"/>
    <b v="0"/>
    <s v="No está en VPC"/>
    <n v="104"/>
    <s v="INTPG_PC_104_1.32-39"/>
    <s v="ISEL-1.35"/>
    <n v="0"/>
    <s v="NO TIENE L3OUT"/>
    <n v="194"/>
    <n v="96"/>
  </r>
  <r>
    <n v="158"/>
    <x v="0"/>
    <x v="208"/>
    <s v="eth1/35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35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35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35"/>
    <x v="0"/>
    <x v="0"/>
    <x v="0"/>
    <m/>
    <x v="6"/>
    <b v="0"/>
    <s v="No está en VPC"/>
    <n v="108"/>
    <s v="INTPG_ACC_108_1.35"/>
    <s v="ISEL-1.35"/>
    <n v="1"/>
    <s v="NO TIENE L3OUT"/>
    <n v="126"/>
    <n v="96"/>
  </r>
  <r>
    <n v="112"/>
    <x v="0"/>
    <x v="212"/>
    <s v="eth1/35"/>
    <x v="0"/>
    <x v="0"/>
    <x v="0"/>
    <s v="CHARGING SYSTEM"/>
    <x v="6"/>
    <b v="0"/>
    <s v="No está en VPC"/>
    <n v="112"/>
    <s v="INTPG_ACC_112_1.35"/>
    <s v="ISEL-1.35"/>
    <n v="1"/>
    <s v="NO TIENE L3OUT"/>
    <n v="144"/>
    <n v="96"/>
  </r>
  <r>
    <n v="107"/>
    <x v="0"/>
    <x v="213"/>
    <s v="eth1/35"/>
    <x v="0"/>
    <x v="0"/>
    <x v="0"/>
    <s v="OPEN VIEW BACK"/>
    <x v="6"/>
    <b v="0"/>
    <s v="No está en VPC"/>
    <n v="107"/>
    <s v="INTPG_ACC_107_1.35"/>
    <s v="ISEL-1.35"/>
    <n v="1"/>
    <s v="NO TIENE L3OUT"/>
    <n v="118"/>
    <n v="96"/>
  </r>
  <r>
    <n v="109"/>
    <x v="0"/>
    <x v="214"/>
    <s v="eth1/35"/>
    <x v="0"/>
    <x v="1"/>
    <x v="1"/>
    <m/>
    <x v="6"/>
    <b v="0"/>
    <s v="No está en VPC"/>
    <n v="109"/>
    <s v="INTPG_ACC_109_1.35"/>
    <s v="ISEL-1.35"/>
    <n v="1"/>
    <s v="NO TIENE L3OUT"/>
    <n v="126"/>
    <n v="96"/>
  </r>
  <r>
    <n v="113"/>
    <x v="0"/>
    <x v="215"/>
    <s v="eth1/35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35"/>
    <x v="0"/>
    <x v="0"/>
    <x v="0"/>
    <s v="CHARGING SYSTEM"/>
    <x v="6"/>
    <b v="0"/>
    <s v="No está en VPC"/>
    <n v="114"/>
    <s v="INTPG_ACC_114_1.35"/>
    <s v="ISEL-1.35"/>
    <n v="1"/>
    <s v="NO TIENE L3OUT"/>
    <n v="144"/>
    <n v="96"/>
  </r>
  <r>
    <n v="124"/>
    <x v="0"/>
    <x v="217"/>
    <s v="eth1/35"/>
    <x v="0"/>
    <x v="0"/>
    <x v="0"/>
    <s v="ixtossgw2"/>
    <x v="6"/>
    <b v="0"/>
    <s v="No está en VPC"/>
    <n v="124"/>
    <s v="INTPG_ACC_124_1.35"/>
    <s v="ISEL-1.35"/>
    <n v="1"/>
    <s v="NO TIENE L3OUT"/>
    <n v="80"/>
    <n v="96"/>
  </r>
  <r>
    <n v="118"/>
    <x v="0"/>
    <x v="218"/>
    <s v="eth1/35"/>
    <x v="0"/>
    <x v="0"/>
    <x v="0"/>
    <s v="INGE6"/>
    <x v="6"/>
    <b v="0"/>
    <s v="No está en VPC"/>
    <n v="118"/>
    <s v="INTPG_ACC_118_1.35"/>
    <s v="ISEL-1.35"/>
    <n v="1"/>
    <s v="NO TIENE L3OUT"/>
    <n v="180"/>
    <n v="96"/>
  </r>
  <r>
    <n v="159"/>
    <x v="0"/>
    <x v="219"/>
    <s v="eth1/35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35"/>
    <x v="0"/>
    <x v="0"/>
    <x v="0"/>
    <s v="LINK_TO_ITHFHWCBSPSHD34 / Slot7.1_20 / Redundante"/>
    <x v="0"/>
    <b v="0"/>
    <s v="No está en VPC"/>
    <n v="840"/>
    <s v="INTPG_VPC_835_1.35_840_1.35"/>
    <s v="ISEL-1.35"/>
    <n v="2"/>
    <s v="NO TIENE L3OUT"/>
    <n v="8"/>
    <n v="54"/>
  </r>
  <r>
    <n v="856"/>
    <x v="2"/>
    <x v="221"/>
    <s v="eth1/35"/>
    <x v="0"/>
    <x v="0"/>
    <x v="0"/>
    <s v="LINK_TO_ITHFHWCRMPLCN146 / Slot1.1_26 / Principal"/>
    <x v="0"/>
    <b v="0"/>
    <s v="No está en VPC"/>
    <n v="856"/>
    <s v="INTPG_ACC_856_1.35"/>
    <s v="ISEL-1.35"/>
    <n v="6"/>
    <s v="NO TIENE L3OUT"/>
    <n v="286"/>
    <n v="54"/>
  </r>
  <r>
    <n v="110"/>
    <x v="0"/>
    <x v="222"/>
    <s v="eth1/35"/>
    <x v="0"/>
    <x v="0"/>
    <x v="0"/>
    <s v="RACKS VMTLCLAMX1"/>
    <x v="6"/>
    <b v="0"/>
    <s v="No está en VPC"/>
    <n v="110"/>
    <s v="INTPG_ACC_110_1.35"/>
    <s v="ISEL-1.35"/>
    <n v="1"/>
    <s v="NO TIENE L3OUT"/>
    <n v="102"/>
    <n v="96"/>
  </r>
  <r>
    <n v="163"/>
    <x v="0"/>
    <x v="223"/>
    <s v="eth1/35"/>
    <x v="0"/>
    <x v="0"/>
    <x v="0"/>
    <s v="MULTIMEDIACION"/>
    <x v="6"/>
    <b v="0"/>
    <s v="No está en VPC"/>
    <n v="163"/>
    <s v="INTPG_ACC_163_1.35"/>
    <s v="ISEL-1.35"/>
    <n v="1"/>
    <s v="NO TIENE L3OUT"/>
    <n v="140"/>
    <n v="96"/>
  </r>
  <r>
    <n v="407"/>
    <x v="1"/>
    <x v="224"/>
    <s v="eth1/35"/>
    <x v="0"/>
    <x v="0"/>
    <x v="0"/>
    <s v="DCXPROD 2_CP_0"/>
    <x v="6"/>
    <b v="0"/>
    <s v="No está en VPC"/>
    <n v="407"/>
    <s v="INTPG_ACC_407_1.35"/>
    <s v="ISEL-1.35"/>
    <n v="1"/>
    <s v="NO TIENE L3OUT"/>
    <n v="122"/>
    <n v="96"/>
  </r>
  <r>
    <n v="171"/>
    <x v="0"/>
    <x v="225"/>
    <s v="eth1/35"/>
    <x v="0"/>
    <x v="1"/>
    <x v="1"/>
    <s v="Optimus"/>
    <x v="6"/>
    <b v="0"/>
    <s v="No está en VPC"/>
    <n v="171"/>
    <s v="INTPG_ACC_171_1.35"/>
    <s v="ISEL-1.35"/>
    <n v="1"/>
    <s v="NO TIENE L3OUT"/>
    <n v="114"/>
    <n v="96"/>
  </r>
  <r>
    <n v="421"/>
    <x v="1"/>
    <x v="226"/>
    <s v="eth1/35"/>
    <x v="0"/>
    <x v="1"/>
    <x v="1"/>
    <s v="VTA_uxvta081_XSCF"/>
    <x v="6"/>
    <b v="0"/>
    <s v="No está en VPC"/>
    <n v="421"/>
    <s v="INTPG_ACC_421_1.35"/>
    <s v="ISEL-1.35"/>
    <n v="1"/>
    <s v="NO TIENE L3OUT"/>
    <n v="72"/>
    <n v="96"/>
  </r>
  <r>
    <n v="173"/>
    <x v="0"/>
    <x v="227"/>
    <s v="eth1/35"/>
    <x v="0"/>
    <x v="0"/>
    <x v="0"/>
    <s v="ENIQ"/>
    <x v="6"/>
    <b v="0"/>
    <s v="No está en VPC"/>
    <n v="173"/>
    <s v="INTPG_ACC_173_1.35"/>
    <s v="ISEL-1.35"/>
    <n v="1"/>
    <s v="NO TIENE L3OUT"/>
    <n v="66"/>
    <n v="96"/>
  </r>
  <r>
    <n v="154"/>
    <x v="0"/>
    <x v="228"/>
    <s v="eth1/35"/>
    <x v="0"/>
    <x v="0"/>
    <x v="0"/>
    <s v="POLYVIEW_SERVIDOR"/>
    <x v="6"/>
    <b v="0"/>
    <s v="No está en VPC"/>
    <n v="154"/>
    <s v="INTPG_ACC_154_1.35"/>
    <s v="ISEL-1.35"/>
    <n v="1"/>
    <s v="NO TIENE L3OUT"/>
    <n v="62"/>
    <n v="96"/>
  </r>
  <r>
    <n v="172"/>
    <x v="0"/>
    <x v="229"/>
    <s v="eth1/35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35"/>
    <x v="0"/>
    <x v="0"/>
    <x v="0"/>
    <s v="TO-ITHFDEOCP1LWR06-PRINCIPAL"/>
    <x v="6"/>
    <b v="0"/>
    <s v="No está en VPC"/>
    <n v="420"/>
    <s v="INTPG_ACC_420_1.35"/>
    <s v="ISEL-1.35"/>
    <n v="1"/>
    <s v="NO TIENE L3OUT"/>
    <n v="158"/>
    <n v="96"/>
  </r>
  <r>
    <n v="423"/>
    <x v="1"/>
    <x v="231"/>
    <s v="eth1/35"/>
    <x v="0"/>
    <x v="0"/>
    <x v="0"/>
    <s v="SPECSERVER1_ETH2"/>
    <x v="6"/>
    <b v="0"/>
    <s v="No está en VPC"/>
    <n v="423"/>
    <s v="INTPG_ACC_423_1.35"/>
    <s v="ISEL-1.35"/>
    <n v="1"/>
    <s v="NO TIENE L3OUT"/>
    <n v="86"/>
    <n v="96"/>
  </r>
  <r>
    <n v="415"/>
    <x v="1"/>
    <x v="232"/>
    <s v="eth1/35"/>
    <x v="0"/>
    <x v="0"/>
    <x v="0"/>
    <s v="To-uxingemc3 ldom 1 uxinghdr1"/>
    <x v="6"/>
    <b v="0"/>
    <s v="No está en VPC"/>
    <n v="415"/>
    <s v="INTPG_ACC_415_1.35"/>
    <s v="ISEL-1.35"/>
    <n v="1"/>
    <s v="NO TIENE L3OUT"/>
    <n v="52"/>
    <n v="96"/>
  </r>
  <r>
    <n v="102"/>
    <x v="0"/>
    <x v="233"/>
    <s v="eth1/35"/>
    <x v="0"/>
    <x v="1"/>
    <x v="1"/>
    <s v="SFLDI:RLDICRS01:1"/>
    <x v="6"/>
    <b v="0"/>
    <s v="No está en VPC"/>
    <n v="102"/>
    <s v="INTPG_ACC_102_1.35"/>
    <s v="ISEL-1.35"/>
    <n v="1"/>
    <s v="NO TIENE L3OUT"/>
    <n v="228"/>
    <n v="96"/>
  </r>
  <r>
    <n v="863"/>
    <x v="2"/>
    <x v="234"/>
    <s v="eth1/35"/>
    <x v="0"/>
    <x v="0"/>
    <x v="0"/>
    <s v="To_VPC_2DCBSD_WR56_2"/>
    <x v="0"/>
    <b v="0"/>
    <s v="No está en VPC"/>
    <n v="863"/>
    <s v="INTPG_VPC_858_1.35_863_1.35"/>
    <s v="ISEL-1.35"/>
    <n v="1"/>
    <s v="NO TIENE L3OUT"/>
    <n v="8"/>
    <n v="54"/>
  </r>
  <r>
    <n v="876"/>
    <x v="2"/>
    <x v="235"/>
    <s v="eth1/35"/>
    <x v="0"/>
    <x v="0"/>
    <x v="0"/>
    <s v="A_ITHFHWSEQLDSS02_Principal"/>
    <x v="4"/>
    <b v="0"/>
    <s v="No está en VPC"/>
    <n v="876"/>
    <s v="INTPG_ACC_876_1.35"/>
    <s v="ISEL-1.35"/>
    <n v="1"/>
    <s v="NO TIENE L3OUT"/>
    <n v="92"/>
    <n v="54"/>
  </r>
  <r>
    <n v="877"/>
    <x v="2"/>
    <x v="236"/>
    <s v="eth1/35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35"/>
    <x v="0"/>
    <x v="0"/>
    <x v="0"/>
    <s v="IXTRTC5"/>
    <x v="6"/>
    <b v="0"/>
    <s v="No está en VPC"/>
    <n v="122"/>
    <s v="INTPG_ACC_122_1.35"/>
    <s v="ISEL-1.35"/>
    <n v="1"/>
    <s v="NO TIENE L3OUT"/>
    <n v="148"/>
    <n v="96"/>
  </r>
  <r>
    <n v="157"/>
    <x v="0"/>
    <x v="238"/>
    <s v="eth1/35"/>
    <x v="0"/>
    <x v="1"/>
    <x v="1"/>
    <s v="GESTOR HUAWEI U2000 MW Tx"/>
    <x v="6"/>
    <b v="0"/>
    <s v="No está en VPC"/>
    <n v="157"/>
    <s v="INTPG_ACC_157_1.35"/>
    <s v="ISEL-1.35"/>
    <n v="1"/>
    <s v="NO TIENE L3OUT"/>
    <n v="202"/>
    <n v="96"/>
  </r>
  <r>
    <n v="408"/>
    <x v="1"/>
    <x v="239"/>
    <s v="eth1/35"/>
    <x v="0"/>
    <x v="0"/>
    <x v="0"/>
    <s v="WMS101"/>
    <x v="6"/>
    <b v="0"/>
    <s v="No está en VPC"/>
    <n v="408"/>
    <s v="INTPG_ACC_408_1.35"/>
    <s v="ISEL-1.35"/>
    <n v="1"/>
    <s v="NO TIENE L3OUT"/>
    <n v="152"/>
    <n v="96"/>
  </r>
  <r>
    <n v="405"/>
    <x v="1"/>
    <x v="240"/>
    <s v="eth1/35"/>
    <x v="0"/>
    <x v="0"/>
    <x v="0"/>
    <s v="IXT_ARIESO7_LDR8"/>
    <x v="6"/>
    <b v="0"/>
    <s v="No está en VPC"/>
    <n v="405"/>
    <s v="INTPG_ACC_405_1.35"/>
    <s v="ISEL-1.35"/>
    <n v="1"/>
    <s v="NO TIENE L3OUT"/>
    <n v="138"/>
    <n v="96"/>
  </r>
  <r>
    <n v="169"/>
    <x v="0"/>
    <x v="241"/>
    <s v="eth1/35"/>
    <x v="0"/>
    <x v="0"/>
    <x v="0"/>
    <s v="TO-ITHFDENBURBKP03(IXTFDLBKP8RAP)-PRINCIPAL"/>
    <x v="6"/>
    <b v="0"/>
    <s v="No está en VPC"/>
    <n v="169"/>
    <s v="INTPG_ACC_169_1.35"/>
    <s v="ISEL-1.35"/>
    <n v="1"/>
    <s v="NO TIENE L3OUT"/>
    <n v="76"/>
    <n v="96"/>
  </r>
  <r>
    <n v="165"/>
    <x v="0"/>
    <x v="242"/>
    <s v="eth1/35"/>
    <x v="0"/>
    <x v="0"/>
    <x v="0"/>
    <s v="SERVIDOR WEB"/>
    <x v="6"/>
    <b v="0"/>
    <s v="No está en VPC"/>
    <n v="165"/>
    <s v="INTPG_ACC_165_1.35"/>
    <s v="ISEL-1.35"/>
    <n v="1"/>
    <s v="NO TIENE L3OUT"/>
    <n v="86"/>
    <n v="96"/>
  </r>
  <r>
    <n v="417"/>
    <x v="1"/>
    <x v="243"/>
    <s v="eth1/35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35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35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35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35"/>
    <x v="0"/>
    <x v="1"/>
    <x v="1"/>
    <s v="EHEALTH:ehealthp04:NET01"/>
    <x v="6"/>
    <b v="0"/>
    <s v="No está en VPC"/>
    <n v="103"/>
    <s v="INTPG_ACC_103_1.35"/>
    <s v="ISEL-1.35"/>
    <n v="1"/>
    <s v="NO TIENE L3OUT"/>
    <n v="70"/>
    <n v="96"/>
  </r>
  <r>
    <n v="438"/>
    <x v="1"/>
    <x v="248"/>
    <s v="eth1/35"/>
    <x v="0"/>
    <x v="0"/>
    <x v="0"/>
    <s v="DESC"/>
    <x v="6"/>
    <b v="0"/>
    <s v="No está en VPC"/>
    <n v="438"/>
    <s v="INTPG_PC_438_1.30-35"/>
    <s v="ISEL-1.35"/>
    <n v="7"/>
    <s v="NO TIENE L3OUT"/>
    <n v="170"/>
    <n v="96"/>
  </r>
  <r>
    <n v="406"/>
    <x v="1"/>
    <x v="249"/>
    <s v="eth1/35"/>
    <x v="0"/>
    <x v="0"/>
    <x v="0"/>
    <s v="PCRF3_CLT"/>
    <x v="6"/>
    <b v="0"/>
    <s v="No está en VPC"/>
    <n v="406"/>
    <s v="INTPG_VPC_404_1.35-36_406_1.35-36"/>
    <s v="ISEL-1.35"/>
    <n v="5"/>
    <s v="NO TIENE L3OUT"/>
    <n v="82"/>
    <n v="96"/>
  </r>
  <r>
    <n v="414"/>
    <x v="1"/>
    <x v="250"/>
    <s v="eth1/35"/>
    <x v="0"/>
    <x v="1"/>
    <x v="1"/>
    <s v="PAPERLES_ITHFNET2_DD_PTO1"/>
    <x v="6"/>
    <b v="0"/>
    <s v="No está en VPC"/>
    <n v="414"/>
    <s v="INTPG_ACC_414_1.35"/>
    <s v="ISEL-1.35"/>
    <n v="1"/>
    <s v="NO TIENE L3OUT"/>
    <n v="144"/>
    <n v="96"/>
  </r>
  <r>
    <n v="416"/>
    <x v="1"/>
    <x v="251"/>
    <s v="eth1/35"/>
    <x v="0"/>
    <x v="1"/>
    <x v="1"/>
    <s v="DESC"/>
    <x v="6"/>
    <b v="0"/>
    <s v="No está en VPC"/>
    <n v="416"/>
    <s v="INTPG_PC_416_1.32-39"/>
    <s v="ISEL-1.35"/>
    <n v="8"/>
    <s v="NO TIENE L3OUT"/>
    <n v="110"/>
    <n v="96"/>
  </r>
  <r>
    <n v="418"/>
    <x v="1"/>
    <x v="252"/>
    <s v="eth1/35"/>
    <x v="0"/>
    <x v="1"/>
    <x v="1"/>
    <s v="DESC"/>
    <x v="6"/>
    <b v="0"/>
    <s v="No está en VPC"/>
    <n v="418"/>
    <s v="INTPG_PC_418_1.32-39"/>
    <s v="ISEL-1.35"/>
    <n v="8"/>
    <s v="NO TIENE L3OUT"/>
    <n v="152"/>
    <n v="96"/>
  </r>
  <r>
    <n v="413"/>
    <x v="1"/>
    <x v="253"/>
    <s v="eth1/35"/>
    <x v="0"/>
    <x v="0"/>
    <x v="0"/>
    <s v="VTAE3"/>
    <x v="6"/>
    <b v="0"/>
    <s v="No está en VPC"/>
    <n v="413"/>
    <s v="INTPG_ACC_413_1.35"/>
    <s v="ISEL-1.35"/>
    <n v="1"/>
    <s v="NO TIENE L3OUT"/>
    <n v="126"/>
    <n v="96"/>
  </r>
  <r>
    <n v="403"/>
    <x v="1"/>
    <x v="254"/>
    <s v="eth1/35"/>
    <x v="0"/>
    <x v="0"/>
    <x v="0"/>
    <s v="IXT_ARIESO7_LDR8"/>
    <x v="6"/>
    <b v="0"/>
    <s v="No está en VPC"/>
    <n v="403"/>
    <s v="INTPG_ACC_403_1.35"/>
    <s v="ISEL-1.35"/>
    <n v="1"/>
    <s v="NO TIENE L3OUT"/>
    <n v="150"/>
    <n v="96"/>
  </r>
  <r>
    <n v="125"/>
    <x v="0"/>
    <x v="255"/>
    <s v="eth1/35"/>
    <x v="0"/>
    <x v="0"/>
    <x v="0"/>
    <s v="ixtossgw1"/>
    <x v="6"/>
    <b v="0"/>
    <s v="No está en VPC"/>
    <n v="125"/>
    <s v="INTPG_ACC_125_1.35"/>
    <s v="ISEL-1.35"/>
    <n v="1"/>
    <s v="NO TIENE L3OUT"/>
    <n v="72"/>
    <n v="96"/>
  </r>
  <r>
    <n v="166"/>
    <x v="0"/>
    <x v="256"/>
    <s v="eth1/35"/>
    <x v="0"/>
    <x v="0"/>
    <x v="0"/>
    <s v="NOMINA_uxasis001"/>
    <x v="6"/>
    <b v="0"/>
    <s v="No está en VPC"/>
    <n v="166"/>
    <s v="INTPG_ACC_166_1.35"/>
    <s v="ISEL-1.35"/>
    <n v="1"/>
    <s v="NO TIENE L3OUT"/>
    <n v="84"/>
    <n v="96"/>
  </r>
  <r>
    <n v="111"/>
    <x v="0"/>
    <x v="257"/>
    <s v="eth1/35"/>
    <x v="0"/>
    <x v="0"/>
    <x v="0"/>
    <s v="PAPERLESS-FO"/>
    <x v="6"/>
    <b v="0"/>
    <s v="No está en VPC"/>
    <n v="111"/>
    <s v="INTPG_ACC_111_1.35"/>
    <s v="ISEL-1.35"/>
    <n v="1"/>
    <s v="NO TIENE L3OUT"/>
    <n v="58"/>
    <n v="96"/>
  </r>
  <r>
    <n v="115"/>
    <x v="0"/>
    <x v="258"/>
    <s v="eth1/35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35"/>
    <x v="0"/>
    <x v="0"/>
    <x v="0"/>
    <m/>
    <x v="6"/>
    <b v="0"/>
    <s v="No está en VPC"/>
    <n v="106"/>
    <s v="INTPG_PC_106_1.35-38"/>
    <s v="ISEL-1.35"/>
    <n v="1"/>
    <s v="NO TIENE L3OUT"/>
    <n v="122"/>
    <n v="96"/>
  </r>
  <r>
    <n v="126"/>
    <x v="0"/>
    <x v="260"/>
    <s v="eth1/35"/>
    <x v="0"/>
    <x v="0"/>
    <x v="0"/>
    <s v="ENIQ"/>
    <x v="6"/>
    <b v="0"/>
    <s v="No está en VPC"/>
    <n v="126"/>
    <s v="INTPG_ACC_126_1.35"/>
    <s v="ISEL-1.35"/>
    <n v="1"/>
    <s v="NO TIENE L3OUT"/>
    <n v="54"/>
    <n v="96"/>
  </r>
  <r>
    <n v="425"/>
    <x v="1"/>
    <x v="261"/>
    <s v="eth1/35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35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35"/>
    <x v="0"/>
    <x v="0"/>
    <x v="0"/>
    <s v="SecAnLG_iDrac_01-Aplicativo-IXTSALG_SAS1"/>
    <x v="6"/>
    <b v="0"/>
    <s v="No está en VPC"/>
    <n v="430"/>
    <s v="INTPG_ACC_430_1.35"/>
    <s v="ISEL-1.35"/>
    <n v="1"/>
    <s v="NO TIENE L3OUT"/>
    <n v="86"/>
    <n v="96"/>
  </r>
  <r>
    <n v="419"/>
    <x v="1"/>
    <x v="264"/>
    <s v="eth1/35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35"/>
    <x v="1"/>
    <x v="1"/>
    <x v="2"/>
    <s v="RED CRICKET"/>
    <x v="6"/>
    <b v="0"/>
    <s v="No está en VPC"/>
    <n v="155"/>
    <s v="INTPG_ACC_155_1.35"/>
    <s v="ISEL-1.35"/>
    <n v="1"/>
    <s v="NO TIENE L3OUT"/>
    <n v="198"/>
    <n v="96"/>
  </r>
  <r>
    <n v="409"/>
    <x v="1"/>
    <x v="266"/>
    <s v="eth1/35"/>
    <x v="0"/>
    <x v="0"/>
    <x v="0"/>
    <s v="Uxorbi"/>
    <x v="6"/>
    <b v="0"/>
    <s v="No está en VPC"/>
    <n v="409"/>
    <s v="INTPG_ACC_409_1.35"/>
    <s v="ISEL-1.35"/>
    <n v="1"/>
    <s v="NO TIENE L3OUT"/>
    <n v="128"/>
    <n v="96"/>
  </r>
  <r>
    <n v="422"/>
    <x v="1"/>
    <x v="267"/>
    <s v="eth1/35"/>
    <x v="0"/>
    <x v="0"/>
    <x v="0"/>
    <s v="ITHRTC4AEN2VC2x4"/>
    <x v="6"/>
    <b v="0"/>
    <s v="No está en VPC"/>
    <n v="422"/>
    <s v="INTPG_ACC_422_1.35"/>
    <s v="ISEL-1.35"/>
    <n v="1"/>
    <s v="NO TIENE L3OUT"/>
    <n v="182"/>
    <n v="96"/>
  </r>
  <r>
    <n v="436"/>
    <x v="1"/>
    <x v="268"/>
    <s v="eth1/35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35"/>
    <x v="0"/>
    <x v="0"/>
    <x v="0"/>
    <s v="PMAC_PCRF_M2"/>
    <x v="6"/>
    <b v="0"/>
    <s v="No está en VPC"/>
    <n v="410"/>
    <s v="INTPG_ACC_410_1.35"/>
    <s v="ISEL-1.35"/>
    <n v="1"/>
    <s v="NO TIENE L3OUT"/>
    <n v="178"/>
    <n v="96"/>
  </r>
  <r>
    <n v="161"/>
    <x v="0"/>
    <x v="270"/>
    <s v="eth1/35"/>
    <x v="1"/>
    <x v="1"/>
    <x v="2"/>
    <s v="sfmedt02_CLIENT1"/>
    <x v="6"/>
    <b v="0"/>
    <s v="No está en VPC"/>
    <n v="161"/>
    <s v="INTPG_VPC_161_1.35_163_1.34"/>
    <s v="ISEL-1.35"/>
    <n v="1"/>
    <s v="NO TIENE L3OUT"/>
    <n v="102"/>
    <n v="96"/>
  </r>
  <r>
    <n v="411"/>
    <x v="1"/>
    <x v="271"/>
    <s v="eth1/35"/>
    <x v="0"/>
    <x v="0"/>
    <x v="0"/>
    <m/>
    <x v="6"/>
    <b v="0"/>
    <s v="No está en VPC"/>
    <n v="411"/>
    <s v="INTPG_ACC_411_1.35"/>
    <s v="ISEL-1.35"/>
    <n v="2"/>
    <s v="NO TIENE L3OUT"/>
    <n v="96"/>
    <n v="96"/>
  </r>
  <r>
    <n v="116"/>
    <x v="0"/>
    <x v="272"/>
    <s v="eth1/35"/>
    <x v="1"/>
    <x v="1"/>
    <x v="2"/>
    <s v="INGE6"/>
    <x v="6"/>
    <b v="0"/>
    <s v="No está en VPC"/>
    <n v="116"/>
    <s v="INTPG_ACC_116_1.35"/>
    <s v="ISEL-1.35"/>
    <n v="0"/>
    <s v="NO TIENE L3OUT"/>
    <n v="148"/>
    <n v="96"/>
  </r>
  <r>
    <n v="412"/>
    <x v="1"/>
    <x v="273"/>
    <s v="eth1/35"/>
    <x v="0"/>
    <x v="0"/>
    <x v="0"/>
    <s v="WMS101"/>
    <x v="6"/>
    <b v="0"/>
    <s v="No está en VPC"/>
    <n v="412"/>
    <s v="INTPG_ACC_412_1.35"/>
    <s v="ISEL-1.35"/>
    <n v="1"/>
    <s v="NO TIENE L3OUT"/>
    <n v="126"/>
    <n v="96"/>
  </r>
  <r>
    <n v="120"/>
    <x v="0"/>
    <x v="274"/>
    <s v="eth1/35"/>
    <x v="0"/>
    <x v="0"/>
    <x v="0"/>
    <s v="Registro Nacional de Celulares"/>
    <x v="6"/>
    <b v="0"/>
    <s v="No está en VPC"/>
    <n v="120"/>
    <s v="INTPG_ACC_120_1.35"/>
    <s v="ISEL-1.35"/>
    <n v="1"/>
    <s v="NO TIENE L3OUT"/>
    <n v="158"/>
    <n v="96"/>
  </r>
  <r>
    <n v="404"/>
    <x v="1"/>
    <x v="275"/>
    <s v="eth1/35"/>
    <x v="0"/>
    <x v="0"/>
    <x v="0"/>
    <s v="PCRF3_CLT"/>
    <x v="6"/>
    <b v="0"/>
    <s v="No está en VPC"/>
    <n v="404"/>
    <s v="INTPG_VPC_404_1.35-36_406_1.35-36"/>
    <s v="ISEL-1.35"/>
    <n v="5"/>
    <s v="NO TIENE L3OUT"/>
    <n v="92"/>
    <n v="96"/>
  </r>
  <r>
    <n v="167"/>
    <x v="0"/>
    <x v="276"/>
    <s v="eth1/35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35"/>
    <x v="0"/>
    <x v="0"/>
    <x v="0"/>
    <s v="TO-ITHFDEILDPRAP02-PRINCIPAL"/>
    <x v="6"/>
    <b v="0"/>
    <s v="No está en VPC"/>
    <n v="428"/>
    <s v="INTPG_ACC_428_1.35"/>
    <s v="ISEL-1.35"/>
    <n v="1"/>
    <s v="NO TIENE L3OUT"/>
    <n v="102"/>
    <n v="96"/>
  </r>
  <r>
    <n v="128"/>
    <x v="0"/>
    <x v="0"/>
    <s v="eth1/36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36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36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36"/>
    <x v="0"/>
    <x v="0"/>
    <x v="0"/>
    <s v="DESC"/>
    <x v="0"/>
    <b v="0"/>
    <s v="No está en VPC"/>
    <n v="101"/>
    <s v="INTPG_PC_101_1.35-36"/>
    <s v="ISEL-1.36"/>
    <n v="1"/>
    <s v="NO TIENE L3OUT"/>
    <n v="114"/>
    <n v="54"/>
  </r>
  <r>
    <n v="160"/>
    <x v="0"/>
    <x v="4"/>
    <s v="eth1/36"/>
    <x v="0"/>
    <x v="1"/>
    <x v="1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36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36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36"/>
    <x v="0"/>
    <x v="1"/>
    <x v="3"/>
    <m/>
    <x v="0"/>
    <b v="0"/>
    <s v="No está en VPC"/>
    <n v="401"/>
    <s v="NO EXISTE PG"/>
    <s v="NO EXISTE ISEL"/>
    <n v="0"/>
    <s v="NO TIENE L3OUT"/>
    <n v="40"/>
    <n v="54"/>
  </r>
  <r>
    <n v="402"/>
    <x v="1"/>
    <x v="8"/>
    <s v="eth1/36"/>
    <x v="0"/>
    <x v="0"/>
    <x v="0"/>
    <s v="DESC"/>
    <x v="0"/>
    <b v="0"/>
    <s v="No está en VPC"/>
    <n v="402"/>
    <s v="INTPG_PC_402_1.34-36"/>
    <s v="ISEL-1.36"/>
    <n v="1"/>
    <s v="NO TIENE L3OUT"/>
    <n v="36"/>
    <n v="54"/>
  </r>
  <r>
    <n v="447"/>
    <x v="1"/>
    <x v="9"/>
    <s v="eth1/36"/>
    <x v="0"/>
    <x v="0"/>
    <x v="0"/>
    <s v="LINK_HACIA_SPINE"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36"/>
    <x v="0"/>
    <x v="0"/>
    <x v="0"/>
    <s v="LINK_HACIA_SPINE"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36"/>
    <x v="0"/>
    <x v="1"/>
    <x v="1"/>
    <s v="ITHFHWHSMTLCN05-LOM  P1"/>
    <x v="0"/>
    <b v="0"/>
    <s v="No está en VPC"/>
    <n v="130"/>
    <s v="INTPG_ACC_130_1.36"/>
    <s v="ISEL-1.36"/>
    <n v="9"/>
    <s v="NO TIENE L3OUT"/>
    <n v="128"/>
    <n v="54"/>
  </r>
  <r>
    <n v="150"/>
    <x v="0"/>
    <x v="12"/>
    <s v="eth1/36"/>
    <x v="0"/>
    <x v="0"/>
    <x v="0"/>
    <s v="DESC"/>
    <x v="0"/>
    <b v="0"/>
    <s v="No está en VPC"/>
    <n v="150"/>
    <s v="INTPG_PC_150_1.35-36"/>
    <s v="ISEL-1.36"/>
    <n v="1"/>
    <s v="NO TIENE L3OUT"/>
    <n v="118"/>
    <n v="54"/>
  </r>
  <r>
    <n v="131"/>
    <x v="0"/>
    <x v="13"/>
    <s v="eth1/36"/>
    <x v="0"/>
    <x v="0"/>
    <x v="0"/>
    <s v="ITHFHWHSMTLCN05-LOM  P2"/>
    <x v="0"/>
    <b v="0"/>
    <s v="No está en VPC"/>
    <n v="131"/>
    <s v="INTPG_ACC_131_1.36"/>
    <s v="ISEL-1.36"/>
    <n v="9"/>
    <s v="NO TIENE L3OUT"/>
    <n v="126"/>
    <n v="54"/>
  </r>
  <r>
    <n v="758"/>
    <x v="2"/>
    <x v="15"/>
    <s v="eth1/36"/>
    <x v="0"/>
    <x v="0"/>
    <x v="0"/>
    <s v="LINK_HACIA_SPINE"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36"/>
    <x v="0"/>
    <x v="0"/>
    <x v="0"/>
    <s v="LINK_HACIA_SPINE"/>
    <x v="2"/>
    <b v="0"/>
    <s v="No está en VPC"/>
    <n v="759"/>
    <s v="NO EXISTE PG"/>
    <s v="NO EXISTE ISEL"/>
    <n v="0"/>
    <s v="NO TIENE L3OUT"/>
    <n v="0"/>
    <n v="42"/>
  </r>
  <r>
    <n v="424"/>
    <x v="1"/>
    <x v="18"/>
    <s v="eth1/36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36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36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36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36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36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36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36"/>
    <x v="0"/>
    <x v="0"/>
    <x v="0"/>
    <s v="TO-ITHFHPSMEPRAP01"/>
    <x v="0"/>
    <b v="0"/>
    <s v="No está en VPC"/>
    <n v="431"/>
    <s v="INTPG_VPC_431_1.36_448_1.36"/>
    <s v="ISEL-1.36"/>
    <n v="3"/>
    <s v="NO TIENE L3OUT"/>
    <n v="46"/>
    <n v="54"/>
  </r>
  <r>
    <n v="433"/>
    <x v="1"/>
    <x v="27"/>
    <s v="eth1/36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36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36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36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36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36"/>
    <x v="0"/>
    <x v="1"/>
    <x v="3"/>
    <s v="CEM_HADOOP"/>
    <x v="0"/>
    <b v="0"/>
    <s v="No está en VPC"/>
    <n v="707"/>
    <s v="INTPG_ACC_707_1.36"/>
    <s v="ISEL-1.36"/>
    <n v="1"/>
    <s v="NO TIENE L3OUT"/>
    <n v="54"/>
    <n v="54"/>
  </r>
  <r>
    <n v="712"/>
    <x v="2"/>
    <x v="33"/>
    <s v="eth1/36"/>
    <x v="0"/>
    <x v="1"/>
    <x v="3"/>
    <m/>
    <x v="0"/>
    <b v="0"/>
    <s v="No está en VPC"/>
    <n v="712"/>
    <s v="INTPG_VPC_713_1.35_712_1.36"/>
    <s v="ISEL-1.36"/>
    <n v="0"/>
    <s v="NO TIENE L3OUT"/>
    <n v="32"/>
    <n v="54"/>
  </r>
  <r>
    <n v="719"/>
    <x v="2"/>
    <x v="34"/>
    <s v="eth1/36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36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36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36"/>
    <x v="0"/>
    <x v="1"/>
    <x v="1"/>
    <s v="CEM_ITHCEMD2PRT18"/>
    <x v="0"/>
    <b v="0"/>
    <s v="No está en VPC"/>
    <n v="711"/>
    <s v="INTPG_VPC_710_1.35_711_1.36"/>
    <s v="ISEL-1.36"/>
    <n v="1"/>
    <s v="NO TIENE L3OUT"/>
    <n v="16"/>
    <n v="54"/>
  </r>
  <r>
    <n v="716"/>
    <x v="2"/>
    <x v="38"/>
    <s v="eth1/36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36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36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36"/>
    <x v="0"/>
    <x v="0"/>
    <x v="0"/>
    <s v="Proyecto Arieso"/>
    <x v="0"/>
    <b v="0"/>
    <s v="No está en VPC"/>
    <n v="446"/>
    <s v="INTPG_VPC_444_1.33-36_446_1.33-36"/>
    <s v="ISEL-1.36"/>
    <n v="19"/>
    <s v="NO TIENE L3OUT"/>
    <n v="198"/>
    <n v="54"/>
  </r>
  <r>
    <n v="444"/>
    <x v="1"/>
    <x v="42"/>
    <s v="eth1/36"/>
    <x v="0"/>
    <x v="0"/>
    <x v="0"/>
    <s v="Proyecto Arieso"/>
    <x v="0"/>
    <b v="0"/>
    <s v="No está en VPC"/>
    <n v="444"/>
    <s v="INTPG_VPC_444_1.33-36_446_1.33-36"/>
    <s v="ISEL-1.36"/>
    <n v="19"/>
    <s v="NO TIENE L3OUT"/>
    <n v="234"/>
    <n v="54"/>
  </r>
  <r>
    <n v="701"/>
    <x v="2"/>
    <x v="43"/>
    <s v="eth1/36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36"/>
    <x v="0"/>
    <x v="0"/>
    <x v="0"/>
    <s v="bmc_ithhwc3bce6851_PRINCIPAL"/>
    <x v="1"/>
    <b v="0"/>
    <s v="No está en VPC"/>
    <n v="440"/>
    <s v="INTPG_ACC_440_1.36"/>
    <s v="ISEL-1.36"/>
    <n v="1"/>
    <s v="NO TIENE L3OUT"/>
    <n v="22"/>
    <n v="54"/>
  </r>
  <r>
    <n v="448"/>
    <x v="1"/>
    <x v="45"/>
    <s v="eth1/36"/>
    <x v="0"/>
    <x v="0"/>
    <x v="0"/>
    <s v="TO-ITHFHPSMEPRAP01"/>
    <x v="0"/>
    <b v="0"/>
    <s v="No está en VPC"/>
    <n v="448"/>
    <s v="INTPG_VPC_431_1.36_448_1.36"/>
    <s v="ISEL-1.36"/>
    <n v="3"/>
    <s v="NO TIENE L3OUT"/>
    <n v="46"/>
    <n v="54"/>
  </r>
  <r>
    <n v="704"/>
    <x v="2"/>
    <x v="46"/>
    <s v="eth1/36"/>
    <x v="1"/>
    <x v="1"/>
    <x v="3"/>
    <m/>
    <x v="0"/>
    <b v="0"/>
    <s v="No está en VPC"/>
    <n v="704"/>
    <s v="INTPG_VPC_706_1.35_705_1.36"/>
    <s v="ISEL-1.36"/>
    <n v="2"/>
    <s v="NO TIENE L3OUT"/>
    <n v="0"/>
    <n v="54"/>
  </r>
  <r>
    <n v="729"/>
    <x v="2"/>
    <x v="47"/>
    <s v="eth1/36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36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36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36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36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36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36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36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36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36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36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36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36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36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36"/>
    <x v="0"/>
    <x v="0"/>
    <x v="0"/>
    <s v="CEM:ITHCEMB2ADT18:SLOT1 P1"/>
    <x v="5"/>
    <b v="0"/>
    <s v="No está en VPC"/>
    <n v="742"/>
    <s v="INTPG_ACC_742_1.36"/>
    <s v="ISEL-1.36"/>
    <n v="1"/>
    <s v="NO TIENE L3OUT"/>
    <n v="64"/>
    <n v="54"/>
  </r>
  <r>
    <n v="763"/>
    <x v="2"/>
    <x v="63"/>
    <s v="eth1/36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36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36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36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36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36"/>
    <x v="0"/>
    <x v="1"/>
    <x v="3"/>
    <s v="CLOUD OPS:ithhwcop01st01ce02:B IOM1 Smart IO P0"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36"/>
    <x v="0"/>
    <x v="0"/>
    <x v="0"/>
    <s v="TO-ITHFHWRHV2LMGMT01"/>
    <x v="0"/>
    <b v="0"/>
    <s v="No está en VPC"/>
    <n v="780"/>
    <s v="INTPG_VPC_780_1.36-37_781_1.36-37"/>
    <s v="ISEL-1.36"/>
    <n v="2"/>
    <s v="NO TIENE L3OUT"/>
    <n v="26"/>
    <n v="54"/>
  </r>
  <r>
    <n v="812"/>
    <x v="2"/>
    <x v="70"/>
    <s v="eth1/36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36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36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36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36"/>
    <x v="0"/>
    <x v="0"/>
    <x v="0"/>
    <s v="LINK_TO_ITHHWOS53V50004DKC01 /CtrlA_10GE.P5 /Redundante"/>
    <x v="0"/>
    <b v="0"/>
    <s v="No está en VPC"/>
    <n v="824"/>
    <s v="INTPG_ACC_824_1.36"/>
    <s v="ISEL-1.36"/>
    <n v="1"/>
    <s v="NO TIENE L3OUT"/>
    <n v="70"/>
    <n v="54"/>
  </r>
  <r>
    <n v="819"/>
    <x v="2"/>
    <x v="75"/>
    <s v="eth1/36"/>
    <x v="0"/>
    <x v="0"/>
    <x v="0"/>
    <s v="LINK_TO_ITHHWOS53V50004DKC01 /CtrlA_10GE.P3 /Principal"/>
    <x v="0"/>
    <b v="0"/>
    <s v="No está en VPC"/>
    <n v="819"/>
    <s v="INTPG_ACC_819_1.36"/>
    <s v="ISEL-1.36"/>
    <n v="1"/>
    <s v="NO TIENE L3OUT"/>
    <n v="70"/>
    <n v="54"/>
  </r>
  <r>
    <n v="737"/>
    <x v="2"/>
    <x v="76"/>
    <s v="eth1/36"/>
    <x v="0"/>
    <x v="0"/>
    <x v="0"/>
    <s v="ITHCEME2PRT18"/>
    <x v="5"/>
    <b v="0"/>
    <s v="No está en VPC"/>
    <n v="737"/>
    <s v="INTPG_ACC_737_1.36"/>
    <s v="ISEL-1.36"/>
    <n v="1"/>
    <s v="NO TIENE L3OUT"/>
    <n v="72"/>
    <n v="54"/>
  </r>
  <r>
    <n v="844"/>
    <x v="2"/>
    <x v="77"/>
    <s v="eth1/36"/>
    <x v="0"/>
    <x v="0"/>
    <x v="0"/>
    <s v="LINK_TO_ITHFHWCRMPLCN112 / Slot1.3_28 / Principal"/>
    <x v="0"/>
    <b v="0"/>
    <s v="No está en VPC"/>
    <n v="844"/>
    <s v="INTPG_ACC_844_1.36"/>
    <s v="ISEL-1.36"/>
    <n v="1"/>
    <s v="NO TIENE L3OUT"/>
    <n v="282"/>
    <n v="54"/>
  </r>
  <r>
    <n v="843"/>
    <x v="2"/>
    <x v="78"/>
    <s v="eth1/36"/>
    <x v="0"/>
    <x v="0"/>
    <x v="0"/>
    <s v="A_ITHFHWSEQLHDPS78_Principal"/>
    <x v="0"/>
    <b v="0"/>
    <s v="No está en VPC"/>
    <n v="843"/>
    <s v="INTPG_ACC_843_1.36"/>
    <s v="ISEL-1.36"/>
    <n v="1"/>
    <s v="NO TIENE L3OUT"/>
    <n v="38"/>
    <n v="54"/>
  </r>
  <r>
    <n v="797"/>
    <x v="2"/>
    <x v="79"/>
    <s v="eth1/36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36"/>
    <x v="0"/>
    <x v="0"/>
    <x v="0"/>
    <s v="LINK_TO_ITHFHWCBSPSHD41 / Slot7.3_20 / Redundante"/>
    <x v="0"/>
    <b v="0"/>
    <s v="No está en VPC"/>
    <n v="839"/>
    <s v="INTPG_VPC_834_1.36_839_1.36"/>
    <s v="ISEL-1.36"/>
    <n v="1"/>
    <s v="NO TIENE L3OUT"/>
    <n v="0"/>
    <n v="54"/>
  </r>
  <r>
    <n v="847"/>
    <x v="2"/>
    <x v="81"/>
    <s v="eth1/36"/>
    <x v="0"/>
    <x v="0"/>
    <x v="0"/>
    <s v="LINK_TO_ITHFHWCRMPLCN177 / Slot7.2_24 / Redundante"/>
    <x v="0"/>
    <b v="0"/>
    <s v="No está en VPC"/>
    <n v="847"/>
    <s v="INTPG_ACC_847_1.36"/>
    <s v="ISEL-1.36"/>
    <n v="2"/>
    <s v="NO TIENE L3OUT"/>
    <n v="204"/>
    <n v="54"/>
  </r>
  <r>
    <n v="848"/>
    <x v="2"/>
    <x v="82"/>
    <s v="eth1/36"/>
    <x v="0"/>
    <x v="0"/>
    <x v="0"/>
    <s v="LINK_TO_ITHFHWCRMPLCN166 / Slot7.2_34 / Redundante"/>
    <x v="0"/>
    <b v="0"/>
    <s v="No está en VPC"/>
    <n v="848"/>
    <s v="INTPG_ACC_848_1.36"/>
    <s v="ISEL-1.36"/>
    <n v="2"/>
    <s v="NO TIENE L3OUT"/>
    <n v="254"/>
    <n v="54"/>
  </r>
  <r>
    <n v="846"/>
    <x v="2"/>
    <x v="83"/>
    <s v="eth1/36"/>
    <x v="0"/>
    <x v="0"/>
    <x v="0"/>
    <s v="LINK_TO_ITHFHWCRMPLCN83 / Slot1.3_24 / Principal"/>
    <x v="0"/>
    <b v="0"/>
    <s v="No está en VPC"/>
    <n v="846"/>
    <s v="INTPG_ACC_846_1.36"/>
    <s v="ISEL-1.36"/>
    <n v="1"/>
    <s v="NO TIENE L3OUT"/>
    <n v="242"/>
    <n v="54"/>
  </r>
  <r>
    <n v="838"/>
    <x v="2"/>
    <x v="84"/>
    <s v="eth1/36"/>
    <x v="0"/>
    <x v="0"/>
    <x v="0"/>
    <s v="A_ITHFHWSEQLHDPS78_Redundante"/>
    <x v="0"/>
    <b v="0"/>
    <s v="No está en VPC"/>
    <n v="838"/>
    <s v="INTPG_ACC_838_1.36"/>
    <s v="ISEL-1.36"/>
    <n v="1"/>
    <s v="NO TIENE L3OUT"/>
    <n v="38"/>
    <n v="54"/>
  </r>
  <r>
    <n v="849"/>
    <x v="2"/>
    <x v="85"/>
    <s v="eth1/36"/>
    <x v="0"/>
    <x v="0"/>
    <x v="0"/>
    <s v="LINK_TO_ITHFHWCRMPLCN146 / Slot7.2_26 / Redundante"/>
    <x v="0"/>
    <b v="0"/>
    <s v="No está en VPC"/>
    <n v="849"/>
    <s v="INTPG_ACC_849_1.36"/>
    <s v="ISEL-1.36"/>
    <n v="2"/>
    <s v="NO TIENE L3OUT"/>
    <n v="286"/>
    <n v="54"/>
  </r>
  <r>
    <n v="845"/>
    <x v="2"/>
    <x v="86"/>
    <s v="eth1/36"/>
    <x v="0"/>
    <x v="0"/>
    <x v="0"/>
    <s v="LINK_TO_ITHFHWCRMPLCN96 / Slot1.1_24 / Principal"/>
    <x v="0"/>
    <b v="0"/>
    <s v="No está en VPC"/>
    <n v="845"/>
    <s v="INTPG_ACC_845_1.36"/>
    <s v="ISEL-1.36"/>
    <n v="6"/>
    <s v="NO TIENE L3OUT"/>
    <n v="258"/>
    <n v="54"/>
  </r>
  <r>
    <n v="873"/>
    <x v="2"/>
    <x v="87"/>
    <s v="eth1/36"/>
    <x v="0"/>
    <x v="0"/>
    <x v="0"/>
    <s v="TO_ITHHWD6KV65100017DKC01_Principal"/>
    <x v="0"/>
    <b v="0"/>
    <s v="No está en VPC"/>
    <n v="873"/>
    <s v="INTPG_ACC_873_1.36"/>
    <s v="ISEL-1.36"/>
    <n v="1"/>
    <s v="NO TIENE L3OUT"/>
    <n v="248"/>
    <n v="54"/>
  </r>
  <r>
    <n v="864"/>
    <x v="2"/>
    <x v="88"/>
    <s v="eth1/36"/>
    <x v="0"/>
    <x v="0"/>
    <x v="0"/>
    <s v="To_VPC_2DCBSD_WR47_3"/>
    <x v="0"/>
    <b v="0"/>
    <s v="No está en VPC"/>
    <n v="864"/>
    <s v="INTPG_VPC_859_1.36_864_1.36"/>
    <s v="ISEL-1.36"/>
    <n v="1"/>
    <s v="NO TIENE L3OUT"/>
    <n v="0"/>
    <n v="54"/>
  </r>
  <r>
    <n v="836"/>
    <x v="2"/>
    <x v="89"/>
    <s v="eth1/36"/>
    <x v="0"/>
    <x v="0"/>
    <x v="0"/>
    <s v="LINK_TO_ITHFHWCBSPSHD26 / Slot1.2_16 / Principal"/>
    <x v="0"/>
    <b v="0"/>
    <s v="No está en VPC"/>
    <n v="836"/>
    <s v="INTPG_VPC_836_1.36_841_1.36"/>
    <s v="ISEL-1.36"/>
    <n v="1"/>
    <s v="NO TIENE L3OUT"/>
    <n v="0"/>
    <n v="54"/>
  </r>
  <r>
    <n v="834"/>
    <x v="2"/>
    <x v="90"/>
    <s v="eth1/36"/>
    <x v="0"/>
    <x v="0"/>
    <x v="0"/>
    <s v="LINK_TO_ITHFHWCBSPSHD41 / Slot1.3_20 / Principal"/>
    <x v="0"/>
    <b v="0"/>
    <s v="No está en VPC"/>
    <n v="834"/>
    <s v="INTPG_VPC_834_1.36_839_1.36"/>
    <s v="ISEL-1.36"/>
    <n v="1"/>
    <s v="NO TIENE L3OUT"/>
    <n v="0"/>
    <n v="54"/>
  </r>
  <r>
    <n v="872"/>
    <x v="2"/>
    <x v="91"/>
    <s v="eth1/36"/>
    <x v="0"/>
    <x v="0"/>
    <x v="0"/>
    <s v="TO_ITHFHWCRMDLCN49_Principal"/>
    <x v="0"/>
    <b v="0"/>
    <s v="No está en VPC"/>
    <n v="872"/>
    <s v="INTPG_ACC_872_1.36"/>
    <s v="ISEL-1.36"/>
    <n v="6"/>
    <s v="NO TIENE L3OUT"/>
    <n v="288"/>
    <n v="54"/>
  </r>
  <r>
    <n v="842"/>
    <x v="2"/>
    <x v="92"/>
    <s v="eth1/36"/>
    <x v="0"/>
    <x v="0"/>
    <x v="0"/>
    <s v="LINK_To_ITHFHWCBSPSHD20 / Slot7.1_16 / Redundante"/>
    <x v="0"/>
    <b v="0"/>
    <s v="No está en VPC"/>
    <n v="842"/>
    <s v="INTPG_VPC_837_1.36_842_1.36"/>
    <s v="ISEL-1.36"/>
    <n v="2"/>
    <s v="NO TIENE L3OUT"/>
    <n v="8"/>
    <n v="54"/>
  </r>
  <r>
    <n v="828"/>
    <x v="2"/>
    <x v="93"/>
    <s v="eth1/36"/>
    <x v="0"/>
    <x v="0"/>
    <x v="0"/>
    <s v="LINK_TO_ITHFHWCRMDLCN27 /10GE.1 /Principal"/>
    <x v="0"/>
    <b v="0"/>
    <s v="No está en VPC"/>
    <n v="828"/>
    <s v="INTPG_ACC_828_1.36"/>
    <s v="ISEL-1.36"/>
    <n v="2"/>
    <s v="NO TIENE L3OUT"/>
    <n v="192"/>
    <n v="54"/>
  </r>
  <r>
    <n v="870"/>
    <x v="2"/>
    <x v="94"/>
    <s v="eth1/36"/>
    <x v="0"/>
    <x v="0"/>
    <x v="0"/>
    <s v="TO_ITHHWD6KV65100017DKC01_Redundante"/>
    <x v="0"/>
    <b v="0"/>
    <s v="No está en VPC"/>
    <n v="870"/>
    <s v="INTPG_ACC_870_1.36"/>
    <s v="ISEL-1.36"/>
    <n v="1"/>
    <s v="NO TIENE L3OUT"/>
    <n v="248"/>
    <n v="54"/>
  </r>
  <r>
    <n v="866"/>
    <x v="2"/>
    <x v="95"/>
    <s v="eth1/36"/>
    <x v="0"/>
    <x v="0"/>
    <x v="0"/>
    <s v="To_VPC_2DCBSD_BD14_2"/>
    <x v="0"/>
    <b v="0"/>
    <s v="No está en VPC"/>
    <n v="866"/>
    <s v="INTPG_VPC_861_1.36_866_1.36"/>
    <s v="ISEL-1.36"/>
    <n v="1"/>
    <s v="NO TIENE L3OUT"/>
    <n v="8"/>
    <n v="54"/>
  </r>
  <r>
    <n v="862"/>
    <x v="2"/>
    <x v="96"/>
    <s v="eth1/36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36"/>
    <x v="0"/>
    <x v="0"/>
    <x v="0"/>
    <s v="LINK_TO_ITHFHWCRMPLCN166 / Slot1.2_34 / Principal"/>
    <x v="0"/>
    <b v="0"/>
    <s v="No está en VPC"/>
    <n v="855"/>
    <s v="INTPG_ACC_855_1.36"/>
    <s v="ISEL-1.36"/>
    <n v="2"/>
    <s v="NO TIENE L3OUT"/>
    <n v="254"/>
    <n v="54"/>
  </r>
  <r>
    <n v="871"/>
    <x v="2"/>
    <x v="98"/>
    <s v="eth1/36"/>
    <x v="0"/>
    <x v="0"/>
    <x v="0"/>
    <s v="To_ITHFHWCRMDLCN65_Principal"/>
    <x v="0"/>
    <b v="0"/>
    <s v="No está en VPC"/>
    <n v="871"/>
    <s v="INTPG_ACC_871_1.36"/>
    <s v="ISEL-1.36"/>
    <n v="1"/>
    <s v="NO TIENE L3OUT"/>
    <n v="246"/>
    <n v="54"/>
  </r>
  <r>
    <n v="841"/>
    <x v="2"/>
    <x v="99"/>
    <s v="eth1/36"/>
    <x v="0"/>
    <x v="0"/>
    <x v="0"/>
    <s v="LINK_TO_ITHFHWCBSPSHD26 / Slot7.2_16 / Redundante"/>
    <x v="0"/>
    <b v="0"/>
    <s v="No está en VPC"/>
    <n v="841"/>
    <s v="INTPG_VPC_836_1.36_841_1.36"/>
    <s v="ISEL-1.36"/>
    <n v="1"/>
    <s v="NO TIENE L3OUT"/>
    <n v="0"/>
    <n v="54"/>
  </r>
  <r>
    <n v="868"/>
    <x v="2"/>
    <x v="100"/>
    <s v="eth1/36"/>
    <x v="0"/>
    <x v="0"/>
    <x v="0"/>
    <s v="To_ITHFHWCRMDLCN65_Redundante"/>
    <x v="0"/>
    <b v="0"/>
    <s v="No está en VPC"/>
    <n v="868"/>
    <s v="INTPG_ACC_868_1.36"/>
    <s v="ISEL-1.36"/>
    <n v="1"/>
    <s v="NO TIENE L3OUT"/>
    <n v="246"/>
    <n v="54"/>
  </r>
  <r>
    <n v="869"/>
    <x v="2"/>
    <x v="101"/>
    <s v="eth1/36"/>
    <x v="0"/>
    <x v="0"/>
    <x v="0"/>
    <s v="TO_ITHFHWCRMDLCN49_Redundante"/>
    <x v="0"/>
    <b v="0"/>
    <s v="No está en VPC"/>
    <n v="869"/>
    <s v="INTPG_ACC_869_1.36"/>
    <s v="ISEL-1.36"/>
    <n v="6"/>
    <s v="NO TIENE L3OUT"/>
    <n v="288"/>
    <n v="54"/>
  </r>
  <r>
    <n v="861"/>
    <x v="2"/>
    <x v="102"/>
    <s v="eth1/36"/>
    <x v="0"/>
    <x v="0"/>
    <x v="0"/>
    <s v="To_VPC_2DCBSD_BD14_2"/>
    <x v="0"/>
    <b v="0"/>
    <s v="No está en VPC"/>
    <n v="861"/>
    <s v="INTPG_VPC_861_1.36_866_1.36"/>
    <s v="ISEL-1.36"/>
    <n v="1"/>
    <s v="NO TIENE L3OUT"/>
    <n v="8"/>
    <n v="54"/>
  </r>
  <r>
    <n v="874"/>
    <x v="2"/>
    <x v="103"/>
    <s v="eth1/36"/>
    <x v="0"/>
    <x v="0"/>
    <x v="0"/>
    <s v="A_ITHFHWSEQLCAS11_Redundante"/>
    <x v="4"/>
    <b v="0"/>
    <s v="No está en VPC"/>
    <n v="874"/>
    <s v="INTPG_ACC_874_1.36"/>
    <s v="ISEL-1.36"/>
    <n v="1"/>
    <s v="NO TIENE L3OUT"/>
    <n v="92"/>
    <n v="54"/>
  </r>
  <r>
    <n v="865"/>
    <x v="2"/>
    <x v="104"/>
    <s v="eth1/36"/>
    <x v="0"/>
    <x v="0"/>
    <x v="0"/>
    <s v="To_VPC_2DCBSD_BD18_3"/>
    <x v="0"/>
    <b v="0"/>
    <s v="No está en VPC"/>
    <n v="865"/>
    <s v="INTPG_VPC_860_1.36_865_1.36"/>
    <s v="ISEL-1.36"/>
    <n v="1"/>
    <s v="NO TIENE L3OUT"/>
    <n v="0"/>
    <n v="54"/>
  </r>
  <r>
    <n v="753"/>
    <x v="2"/>
    <x v="105"/>
    <s v="eth1/36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36"/>
    <x v="0"/>
    <x v="1"/>
    <x v="1"/>
    <s v="CEM_ITHCEME2PRT18"/>
    <x v="0"/>
    <b v="0"/>
    <s v="No está en VPC"/>
    <n v="708"/>
    <s v="INTPG_VPC_708_1.36_709_1.35"/>
    <s v="ISEL-1.36"/>
    <n v="1"/>
    <s v="NO TIENE L3OUT"/>
    <n v="0"/>
    <n v="54"/>
  </r>
  <r>
    <n v="710"/>
    <x v="2"/>
    <x v="107"/>
    <s v="eth1/36"/>
    <x v="0"/>
    <x v="1"/>
    <x v="1"/>
    <s v="CEM_ITHCEMC2COR18"/>
    <x v="0"/>
    <b v="0"/>
    <s v="No está en VPC"/>
    <n v="710"/>
    <s v="INTPG_VPC_710_1.36_711_1.35"/>
    <s v="ISEL-1.36"/>
    <n v="1"/>
    <s v="NO TIENE L3OUT"/>
    <n v="16"/>
    <n v="54"/>
  </r>
  <r>
    <n v="713"/>
    <x v="2"/>
    <x v="108"/>
    <s v="eth1/36"/>
    <x v="0"/>
    <x v="1"/>
    <x v="5"/>
    <s v="CEM:ITHCEMB2ADT18:LOM  P2"/>
    <x v="0"/>
    <b v="0"/>
    <s v="No está en VPC"/>
    <n v="713"/>
    <s v="INTPG_VPC_712_1.35_713_1.36"/>
    <s v="ISEL-1.36"/>
    <n v="1"/>
    <s v="NO TIENE L3OUT"/>
    <n v="32"/>
    <n v="54"/>
  </r>
  <r>
    <n v="735"/>
    <x v="2"/>
    <x v="109"/>
    <s v="eth1/36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36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36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36"/>
    <x v="0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36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14"/>
    <x v="2"/>
    <x v="114"/>
    <s v="eth1/36"/>
    <x v="0"/>
    <x v="0"/>
    <x v="0"/>
    <s v="LINK_HACIA_SPINE"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36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36"/>
    <x v="0"/>
    <x v="0"/>
    <x v="0"/>
    <s v="LINK_TO_ITHFHWCBSDSWR18 /Slot4.2 /Principal"/>
    <x v="0"/>
    <b v="0"/>
    <s v="No está en VPC"/>
    <n v="826"/>
    <s v="INTPG_VPC_826_1.36_830_1.36"/>
    <s v="ISEL-1.36"/>
    <n v="1"/>
    <s v="NO TIENE L3OUT"/>
    <n v="12"/>
    <n v="54"/>
  </r>
  <r>
    <n v="726"/>
    <x v="2"/>
    <x v="117"/>
    <s v="eth1/36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36"/>
    <x v="0"/>
    <x v="0"/>
    <x v="0"/>
    <s v="ITHCEMD2PRT18"/>
    <x v="5"/>
    <b v="0"/>
    <s v="No está en VPC"/>
    <n v="740"/>
    <s v="INTPG_ACC_740_1.36"/>
    <s v="ISEL-1.36"/>
    <n v="1"/>
    <s v="NO TIENE L3OUT"/>
    <n v="72"/>
    <n v="54"/>
  </r>
  <r>
    <n v="705"/>
    <x v="2"/>
    <x v="119"/>
    <s v="eth1/36"/>
    <x v="0"/>
    <x v="0"/>
    <x v="0"/>
    <m/>
    <x v="0"/>
    <b v="0"/>
    <s v="No está en VPC"/>
    <n v="705"/>
    <s v="INTPG_VPC_706_1.35_705_1.36"/>
    <s v="ISEL-1.36"/>
    <n v="2"/>
    <s v="NO TIENE L3OUT"/>
    <n v="16"/>
    <n v="54"/>
  </r>
  <r>
    <n v="723"/>
    <x v="2"/>
    <x v="120"/>
    <s v="eth1/36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36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36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36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36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36"/>
    <x v="0"/>
    <x v="1"/>
    <x v="1"/>
    <s v="CEM_ITHCEMF2KFG18"/>
    <x v="0"/>
    <b v="0"/>
    <s v="No está en VPC"/>
    <n v="709"/>
    <s v="INTPG_VPC_708_1.35_709_1.36"/>
    <s v="ISEL-1.36"/>
    <n v="1"/>
    <s v="NO TIENE L3OUT"/>
    <n v="0"/>
    <n v="54"/>
  </r>
  <r>
    <n v="454"/>
    <x v="1"/>
    <x v="126"/>
    <s v="eth1/36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36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36"/>
    <x v="0"/>
    <x v="0"/>
    <x v="0"/>
    <s v="LINK_HACIA_SPINE"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36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36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36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36"/>
    <x v="0"/>
    <x v="1"/>
    <x v="1"/>
    <m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36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36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36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36"/>
    <x v="0"/>
    <x v="1"/>
    <x v="3"/>
    <s v="CEM_HADOOP"/>
    <x v="0"/>
    <b v="0"/>
    <s v="No está en VPC"/>
    <n v="736"/>
    <s v="INTPG_ACC_736_1.36"/>
    <s v="ISEL-1.36"/>
    <n v="1"/>
    <s v="NO TIENE L3OUT"/>
    <n v="48"/>
    <n v="54"/>
  </r>
  <r>
    <n v="799"/>
    <x v="2"/>
    <x v="137"/>
    <s v="eth1/36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36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36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36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36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36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36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36"/>
    <x v="0"/>
    <x v="0"/>
    <x v="0"/>
    <s v="CLOUD PASS PAYG F3:ITHHWOSCOPAP021:LOM 10GE P1"/>
    <x v="0"/>
    <b v="0"/>
    <s v="No está en VPC"/>
    <n v="774"/>
    <s v="INTPG_VPC_774_1.36_775_1.36"/>
    <s v="ISEL-1.36"/>
    <n v="24"/>
    <s v="NO TIENE L3OUT"/>
    <n v="0"/>
    <n v="54"/>
  </r>
  <r>
    <n v="773"/>
    <x v="2"/>
    <x v="145"/>
    <s v="eth1/36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36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36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36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36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36"/>
    <x v="0"/>
    <x v="0"/>
    <x v="0"/>
    <s v="TO-ITHFHWRHV2LMGMT01"/>
    <x v="0"/>
    <b v="0"/>
    <s v="No está en VPC"/>
    <n v="781"/>
    <s v="INTPG_VPC_780_1.36-37_781_1.36-37"/>
    <s v="ISEL-1.36"/>
    <n v="2"/>
    <s v="NO TIENE L3OUT"/>
    <n v="26"/>
    <n v="54"/>
  </r>
  <r>
    <n v="793"/>
    <x v="2"/>
    <x v="151"/>
    <s v="eth1/36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36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36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36"/>
    <x v="1"/>
    <x v="1"/>
    <x v="3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36"/>
    <x v="0"/>
    <x v="0"/>
    <x v="0"/>
    <s v="TO-ITHHWOSCOAP026"/>
    <x v="0"/>
    <b v="0"/>
    <s v="No está en VPC"/>
    <n v="777"/>
    <s v="INTPG_VPC_776_1.36_777_1.36"/>
    <s v="ISEL-1.36"/>
    <n v="24"/>
    <s v="NO TIENE L3OUT"/>
    <n v="0"/>
    <n v="54"/>
  </r>
  <r>
    <n v="770"/>
    <x v="2"/>
    <x v="156"/>
    <s v="eth1/36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36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36"/>
    <x v="0"/>
    <x v="0"/>
    <x v="0"/>
    <s v="ITHCEMC2COR18"/>
    <x v="5"/>
    <b v="0"/>
    <s v="No está en VPC"/>
    <n v="739"/>
    <s v="INTPG_ACC_739_1.36"/>
    <s v="ISEL-1.36"/>
    <n v="1"/>
    <s v="NO TIENE L3OUT"/>
    <n v="72"/>
    <n v="54"/>
  </r>
  <r>
    <n v="775"/>
    <x v="2"/>
    <x v="159"/>
    <s v="eth1/36"/>
    <x v="0"/>
    <x v="0"/>
    <x v="0"/>
    <s v="CLOUD PASS PAYG F3:ITHHWOSCOPAP021:Slot 4 P1"/>
    <x v="0"/>
    <b v="0"/>
    <s v="No está en VPC"/>
    <n v="775"/>
    <s v="INTPG_VPC_774_1.36_775_1.36"/>
    <s v="ISEL-1.36"/>
    <n v="24"/>
    <s v="NO TIENE L3OUT"/>
    <n v="0"/>
    <n v="54"/>
  </r>
  <r>
    <n v="791"/>
    <x v="2"/>
    <x v="160"/>
    <s v="eth1/36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36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36"/>
    <x v="0"/>
    <x v="0"/>
    <x v="0"/>
    <s v="LINK_TO_ITHFHWCBSDSWR18 /Slot6.2 /Redundante"/>
    <x v="0"/>
    <b v="0"/>
    <s v="No está en VPC"/>
    <n v="830"/>
    <s v="INTPG_VPC_826_1.36_830_1.36"/>
    <s v="ISEL-1.36"/>
    <n v="1"/>
    <s v="NO TIENE L3OUT"/>
    <n v="12"/>
    <n v="54"/>
  </r>
  <r>
    <n v="821"/>
    <x v="2"/>
    <x v="163"/>
    <s v="eth1/36"/>
    <x v="0"/>
    <x v="0"/>
    <x v="0"/>
    <s v="LINK_TO_ITHFHWCBSPSWR18 /Slot6.2 /Redundante"/>
    <x v="0"/>
    <b v="0"/>
    <s v="No está en VPC"/>
    <n v="821"/>
    <s v="INTPG_VPC_816_1.36_821_1.36"/>
    <s v="ISEL-1.36"/>
    <n v="1"/>
    <s v="NO TIENE L3OUT"/>
    <n v="0"/>
    <n v="54"/>
  </r>
  <r>
    <n v="738"/>
    <x v="2"/>
    <x v="164"/>
    <s v="eth1/36"/>
    <x v="0"/>
    <x v="0"/>
    <x v="0"/>
    <s v="ITHCEMF2KFG18"/>
    <x v="5"/>
    <b v="0"/>
    <s v="No está en VPC"/>
    <n v="738"/>
    <s v="INTPG_ACC_738_1.36"/>
    <s v="ISEL-1.36"/>
    <n v="1"/>
    <s v="NO TIENE L3OUT"/>
    <n v="72"/>
    <n v="54"/>
  </r>
  <r>
    <n v="820"/>
    <x v="2"/>
    <x v="165"/>
    <s v="eth1/36"/>
    <x v="0"/>
    <x v="0"/>
    <x v="0"/>
    <s v="To_ITHHWD6KV65100010DKC01_Principal"/>
    <x v="0"/>
    <b v="0"/>
    <s v="No está en VPC"/>
    <n v="820"/>
    <s v="INTPG_ACC_820_1.36"/>
    <s v="ISEL-1.36"/>
    <n v="1"/>
    <s v="NO TIENE L3OUT"/>
    <n v="72"/>
    <n v="54"/>
  </r>
  <r>
    <n v="804"/>
    <x v="2"/>
    <x v="166"/>
    <s v="eth1/36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36"/>
    <x v="0"/>
    <x v="1"/>
    <x v="3"/>
    <s v="CLOUD OPS:ithhwcop01st01ce02:B IOM1 Smart IO P1"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36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36"/>
    <x v="0"/>
    <x v="0"/>
    <x v="0"/>
    <s v="LINK_TO_ITHFHWCBSDSWR28 /10GE.1 /Principal"/>
    <x v="0"/>
    <b v="0"/>
    <s v="No está en VPC"/>
    <n v="827"/>
    <s v="INTPG_VPC_827_1.36_831_1.36"/>
    <s v="ISEL-1.36"/>
    <n v="1"/>
    <s v="NO TIENE L3OUT"/>
    <n v="14"/>
    <n v="54"/>
  </r>
  <r>
    <n v="809"/>
    <x v="2"/>
    <x v="170"/>
    <s v="eth1/36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36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36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36"/>
    <x v="0"/>
    <x v="0"/>
    <x v="0"/>
    <s v="TO-ITHHWOSCOAP026"/>
    <x v="0"/>
    <b v="0"/>
    <s v="No está en VPC"/>
    <n v="776"/>
    <s v="INTPG_VPC_776_1.36_777_1.36"/>
    <s v="ISEL-1.36"/>
    <n v="24"/>
    <s v="NO TIENE L3OUT"/>
    <n v="0"/>
    <n v="54"/>
  </r>
  <r>
    <n v="805"/>
    <x v="2"/>
    <x v="174"/>
    <s v="eth1/36"/>
    <x v="1"/>
    <x v="1"/>
    <x v="3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36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36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36"/>
    <x v="0"/>
    <x v="0"/>
    <x v="0"/>
    <s v="LINK_TO_ITHFHWCRMPLCN112 / Slot7.3_28 / Redundante"/>
    <x v="0"/>
    <b v="0"/>
    <s v="No está en VPC"/>
    <n v="851"/>
    <s v="INTPG_ACC_851_1.36"/>
    <s v="ISEL-1.36"/>
    <n v="1"/>
    <s v="NO TIENE L3OUT"/>
    <n v="282"/>
    <n v="54"/>
  </r>
  <r>
    <n v="798"/>
    <x v="2"/>
    <x v="178"/>
    <s v="eth1/36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36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36"/>
    <x v="0"/>
    <x v="0"/>
    <x v="0"/>
    <s v="LINK_TO_ITHFHWCRMPLCN96 / Slot7.1_24 / Redundante"/>
    <x v="0"/>
    <b v="0"/>
    <s v="No está en VPC"/>
    <n v="852"/>
    <s v="INTPG_ACC_852_1.36"/>
    <s v="ISEL-1.36"/>
    <n v="6"/>
    <s v="NO TIENE L3OUT"/>
    <n v="258"/>
    <n v="54"/>
  </r>
  <r>
    <n v="817"/>
    <x v="2"/>
    <x v="181"/>
    <s v="eth1/36"/>
    <x v="0"/>
    <x v="0"/>
    <x v="0"/>
    <s v="LINK_TO_ITHFHWCBSPSWR25 /Slot4.2 /Principal"/>
    <x v="0"/>
    <b v="0"/>
    <s v="No está en VPC"/>
    <n v="817"/>
    <s v="INTPG_VPC_817_1.36_822_1.36"/>
    <s v="ISEL-1.36"/>
    <n v="1"/>
    <s v="NO TIENE L3OUT"/>
    <n v="0"/>
    <n v="54"/>
  </r>
  <r>
    <n v="832"/>
    <x v="2"/>
    <x v="182"/>
    <s v="eth1/36"/>
    <x v="0"/>
    <x v="0"/>
    <x v="0"/>
    <s v="LINK_TO_ITHFHWCRMDLCN27 /Slot5.1 /Redundante"/>
    <x v="0"/>
    <b v="0"/>
    <s v="No está en VPC"/>
    <n v="832"/>
    <s v="INTPG_ACC_832_1.36"/>
    <s v="ISEL-1.36"/>
    <n v="2"/>
    <s v="NO TIENE L3OUT"/>
    <n v="192"/>
    <n v="54"/>
  </r>
  <r>
    <n v="816"/>
    <x v="2"/>
    <x v="183"/>
    <s v="eth1/36"/>
    <x v="0"/>
    <x v="0"/>
    <x v="0"/>
    <s v="LINK_TO_ITHFHWCBSPSWR18 /Slot4.2 /Principal"/>
    <x v="0"/>
    <b v="0"/>
    <s v="No está en VPC"/>
    <n v="816"/>
    <s v="INTPG_VPC_816_1.36_821_1.36"/>
    <s v="ISEL-1.36"/>
    <n v="1"/>
    <s v="NO TIENE L3OUT"/>
    <n v="0"/>
    <n v="54"/>
  </r>
  <r>
    <n v="825"/>
    <x v="2"/>
    <x v="184"/>
    <s v="eth1/36"/>
    <x v="0"/>
    <x v="0"/>
    <x v="0"/>
    <s v="To_ITHHWD6KV65100010DKC01_Redundante"/>
    <x v="0"/>
    <b v="0"/>
    <s v="No está en VPC"/>
    <n v="825"/>
    <s v="INTPG_ACC_825_1.36"/>
    <s v="ISEL-1.36"/>
    <n v="1"/>
    <s v="NO TIENE L3OUT"/>
    <n v="72"/>
    <n v="54"/>
  </r>
  <r>
    <n v="800"/>
    <x v="2"/>
    <x v="185"/>
    <s v="eth1/36"/>
    <x v="0"/>
    <x v="0"/>
    <x v="0"/>
    <s v="TO-DCGW NE8000-F1A"/>
    <x v="0"/>
    <b v="0"/>
    <s v="No está en VPC"/>
    <n v="800"/>
    <s v="INTPG_VPC_800_1.36_801_1.36"/>
    <s v="ISEL-1.36"/>
    <n v="2"/>
    <s v="NO TIENE L3OUT"/>
    <n v="78"/>
    <n v="54"/>
  </r>
  <r>
    <n v="801"/>
    <x v="2"/>
    <x v="186"/>
    <s v="eth1/36"/>
    <x v="0"/>
    <x v="0"/>
    <x v="0"/>
    <s v="TO-DCGW NE8000-F1A"/>
    <x v="0"/>
    <b v="0"/>
    <s v="No está en VPC"/>
    <n v="801"/>
    <s v="INTPG_VPC_800_1.36_801_1.36"/>
    <s v="ISEL-1.36"/>
    <n v="2"/>
    <s v="NO TIENE L3OUT"/>
    <n v="78"/>
    <n v="54"/>
  </r>
  <r>
    <n v="823"/>
    <x v="2"/>
    <x v="187"/>
    <s v="eth1/36"/>
    <x v="0"/>
    <x v="0"/>
    <x v="0"/>
    <s v="LINK_TO_ITHFHWCBSPSWR36 /Slot5.1 /Redundante"/>
    <x v="0"/>
    <b v="0"/>
    <s v="No está en VPC"/>
    <n v="823"/>
    <s v="INTPG_VPC_818_1.36_823_1.36"/>
    <s v="ISEL-1.36"/>
    <n v="1"/>
    <s v="NO TIENE L3OUT"/>
    <n v="8"/>
    <n v="54"/>
  </r>
  <r>
    <n v="837"/>
    <x v="2"/>
    <x v="188"/>
    <s v="eth1/36"/>
    <x v="0"/>
    <x v="0"/>
    <x v="0"/>
    <s v="LINK_To_ITHFHWCBSPSHD20 / Slot1.1_16 / Principal"/>
    <x v="0"/>
    <b v="0"/>
    <s v="No está en VPC"/>
    <n v="837"/>
    <s v="INTPG_VPC_837_1.36_842_1.36"/>
    <s v="ISEL-1.36"/>
    <n v="2"/>
    <s v="NO TIENE L3OUT"/>
    <n v="8"/>
    <n v="54"/>
  </r>
  <r>
    <n v="867"/>
    <x v="2"/>
    <x v="189"/>
    <s v="eth1/36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36"/>
    <x v="0"/>
    <x v="0"/>
    <x v="0"/>
    <s v="To_ITHFHWCRMDLCN47_Principal"/>
    <x v="0"/>
    <b v="0"/>
    <s v="No está en VPC"/>
    <n v="829"/>
    <s v="INTPG_ACC_829_1.36"/>
    <s v="ISEL-1.36"/>
    <n v="6"/>
    <s v="NO TIENE L3OUT"/>
    <n v="224"/>
    <n v="54"/>
  </r>
  <r>
    <n v="831"/>
    <x v="2"/>
    <x v="191"/>
    <s v="eth1/36"/>
    <x v="0"/>
    <x v="0"/>
    <x v="0"/>
    <s v="LINK_TO_ITHFHWCBSDSWR28 /Slot5.1 /Redundante"/>
    <x v="0"/>
    <b v="0"/>
    <s v="No está en VPC"/>
    <n v="831"/>
    <s v="INTPG_VPC_827_1.36_831_1.36"/>
    <s v="ISEL-1.36"/>
    <n v="1"/>
    <s v="NO TIENE L3OUT"/>
    <n v="14"/>
    <n v="54"/>
  </r>
  <r>
    <n v="802"/>
    <x v="2"/>
    <x v="192"/>
    <s v="eth1/36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36"/>
    <x v="0"/>
    <x v="0"/>
    <x v="0"/>
    <s v="LINK_TO_ITHFHWCBSPSHD34 / Slot1.2_20 / Principal"/>
    <x v="0"/>
    <b v="0"/>
    <s v="No está en VPC"/>
    <n v="835"/>
    <s v="INTPG_VPC_835_1.36_840_1.36"/>
    <s v="ISEL-1.36"/>
    <n v="1"/>
    <s v="NO TIENE L3OUT"/>
    <n v="8"/>
    <n v="54"/>
  </r>
  <r>
    <n v="822"/>
    <x v="2"/>
    <x v="194"/>
    <s v="eth1/36"/>
    <x v="0"/>
    <x v="0"/>
    <x v="0"/>
    <s v="LINK_TO_ITHFHWCBSPSWR25 /Slot6.2 /Redundante"/>
    <x v="0"/>
    <b v="0"/>
    <s v="No está en VPC"/>
    <n v="822"/>
    <s v="INTPG_VPC_817_1.36_822_1.36"/>
    <s v="ISEL-1.36"/>
    <n v="1"/>
    <s v="NO TIENE L3OUT"/>
    <n v="0"/>
    <n v="54"/>
  </r>
  <r>
    <n v="854"/>
    <x v="2"/>
    <x v="195"/>
    <s v="eth1/36"/>
    <x v="0"/>
    <x v="0"/>
    <x v="0"/>
    <s v="LINK_TO_ITHFHWCRMPLCN177 / Slot1.2_24 / Principal"/>
    <x v="0"/>
    <b v="0"/>
    <s v="No está en VPC"/>
    <n v="854"/>
    <s v="INTPG_ACC_854_1.36"/>
    <s v="ISEL-1.36"/>
    <n v="2"/>
    <s v="NO TIENE L3OUT"/>
    <n v="204"/>
    <n v="54"/>
  </r>
  <r>
    <n v="858"/>
    <x v="2"/>
    <x v="196"/>
    <s v="eth1/36"/>
    <x v="0"/>
    <x v="0"/>
    <x v="0"/>
    <s v="To_VPC_2DCBSD_WR56_3"/>
    <x v="0"/>
    <b v="0"/>
    <s v="No está en VPC"/>
    <n v="858"/>
    <s v="INTPG_VPC_858_1.36_863_1.36"/>
    <s v="ISEL-1.36"/>
    <n v="1"/>
    <s v="NO TIENE L3OUT"/>
    <n v="8"/>
    <n v="54"/>
  </r>
  <r>
    <n v="857"/>
    <x v="2"/>
    <x v="197"/>
    <s v="eth1/36"/>
    <x v="0"/>
    <x v="0"/>
    <x v="0"/>
    <s v="LINKT_TO_ITHFHWCRMPLCN127 / Slot1.2_24 / Principal"/>
    <x v="0"/>
    <b v="0"/>
    <s v="No está en VPC"/>
    <n v="857"/>
    <s v="INTPG_ACC_857_1.36"/>
    <s v="ISEL-1.36"/>
    <n v="2"/>
    <s v="NO TIENE L3OUT"/>
    <n v="288"/>
    <n v="54"/>
  </r>
  <r>
    <n v="859"/>
    <x v="2"/>
    <x v="198"/>
    <s v="eth1/36"/>
    <x v="0"/>
    <x v="0"/>
    <x v="0"/>
    <s v="To_VPC_2DCBSD_WR47_3"/>
    <x v="0"/>
    <b v="0"/>
    <s v="No está en VPC"/>
    <n v="859"/>
    <s v="INTPG_VPC_859_1.36_864_1.36"/>
    <s v="ISEL-1.36"/>
    <n v="1"/>
    <s v="NO TIENE L3OUT"/>
    <n v="0"/>
    <n v="54"/>
  </r>
  <r>
    <n v="833"/>
    <x v="2"/>
    <x v="199"/>
    <s v="eth1/36"/>
    <x v="0"/>
    <x v="0"/>
    <x v="0"/>
    <s v="To_ITHFHWCRMDLCN47_Redundante"/>
    <x v="0"/>
    <b v="0"/>
    <s v="No está en VPC"/>
    <n v="833"/>
    <s v="INTPG_ACC_833_1.36"/>
    <s v="ISEL-1.36"/>
    <n v="6"/>
    <s v="NO TIENE L3OUT"/>
    <n v="224"/>
    <n v="54"/>
  </r>
  <r>
    <n v="818"/>
    <x v="2"/>
    <x v="200"/>
    <s v="eth1/36"/>
    <x v="0"/>
    <x v="0"/>
    <x v="0"/>
    <s v="LINK_TO_ITHFHWCBSPSWR36 /10GE.1 /Principal"/>
    <x v="0"/>
    <b v="0"/>
    <s v="No está en VPC"/>
    <n v="818"/>
    <s v="INTPG_VPC_818_1.36_823_1.36"/>
    <s v="ISEL-1.36"/>
    <n v="1"/>
    <s v="NO TIENE L3OUT"/>
    <n v="8"/>
    <n v="54"/>
  </r>
  <r>
    <n v="850"/>
    <x v="2"/>
    <x v="201"/>
    <s v="eth1/36"/>
    <x v="0"/>
    <x v="0"/>
    <x v="0"/>
    <s v="LINKT_TO_ITHFHWCRMPLCN127 / Slot7.2_24 / Redundante"/>
    <x v="0"/>
    <b v="0"/>
    <s v="No está en VPC"/>
    <n v="850"/>
    <s v="INTPG_ACC_850_1.36"/>
    <s v="ISEL-1.36"/>
    <n v="2"/>
    <s v="NO TIENE L3OUT"/>
    <n v="288"/>
    <n v="54"/>
  </r>
  <r>
    <n v="860"/>
    <x v="2"/>
    <x v="202"/>
    <s v="eth1/36"/>
    <x v="0"/>
    <x v="0"/>
    <x v="0"/>
    <s v="To_VPC_2DCBSD_BD18_3"/>
    <x v="0"/>
    <b v="0"/>
    <s v="No está en VPC"/>
    <n v="860"/>
    <s v="INTPG_VPC_860_1.36_865_1.36"/>
    <s v="ISEL-1.36"/>
    <n v="1"/>
    <s v="NO TIENE L3OUT"/>
    <n v="0"/>
    <n v="54"/>
  </r>
  <r>
    <n v="853"/>
    <x v="2"/>
    <x v="203"/>
    <s v="eth1/36"/>
    <x v="0"/>
    <x v="0"/>
    <x v="0"/>
    <s v="LINK_TO_ITHFHWCRMPLCN83 / Slot7.3_24 / Redundante"/>
    <x v="0"/>
    <b v="0"/>
    <s v="No está en VPC"/>
    <n v="853"/>
    <s v="INTPG_ACC_853_1.36"/>
    <s v="ISEL-1.36"/>
    <n v="1"/>
    <s v="NO TIENE L3OUT"/>
    <n v="242"/>
    <n v="54"/>
  </r>
  <r>
    <n v="790"/>
    <x v="2"/>
    <x v="204"/>
    <s v="eth1/36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36"/>
    <x v="0"/>
    <x v="0"/>
    <x v="0"/>
    <m/>
    <x v="6"/>
    <b v="0"/>
    <s v="No está en VPC"/>
    <n v="105"/>
    <s v="INTPG_PC_105_23_24_36"/>
    <s v="ISEL-1.36"/>
    <n v="2"/>
    <s v="NO TIENE L3OUT"/>
    <n v="106"/>
    <n v="96"/>
  </r>
  <r>
    <n v="117"/>
    <x v="0"/>
    <x v="206"/>
    <s v="eth1/36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36"/>
    <x v="1"/>
    <x v="1"/>
    <x v="2"/>
    <s v="DESC"/>
    <x v="6"/>
    <b v="0"/>
    <s v="No está en VPC"/>
    <n v="104"/>
    <s v="INTPG_PC_104_1.32-39"/>
    <s v="ISEL-1.36"/>
    <n v="0"/>
    <s v="NO TIENE L3OUT"/>
    <n v="194"/>
    <n v="96"/>
  </r>
  <r>
    <n v="158"/>
    <x v="0"/>
    <x v="208"/>
    <s v="eth1/36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36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36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36"/>
    <x v="0"/>
    <x v="1"/>
    <x v="1"/>
    <m/>
    <x v="6"/>
    <b v="0"/>
    <s v="No está en VPC"/>
    <n v="108"/>
    <s v="INTPG_ACC_108_1.36"/>
    <s v="ISEL-1.36"/>
    <n v="1"/>
    <s v="NO TIENE L3OUT"/>
    <n v="126"/>
    <n v="96"/>
  </r>
  <r>
    <n v="112"/>
    <x v="0"/>
    <x v="212"/>
    <s v="eth1/36"/>
    <x v="0"/>
    <x v="0"/>
    <x v="0"/>
    <s v="CHARGING SYSTEM"/>
    <x v="6"/>
    <b v="0"/>
    <s v="No está en VPC"/>
    <n v="112"/>
    <s v="INTPG_ACC_112_1.36"/>
    <s v="ISEL-1.36"/>
    <n v="1"/>
    <s v="NO TIENE L3OUT"/>
    <n v="144"/>
    <n v="96"/>
  </r>
  <r>
    <n v="107"/>
    <x v="0"/>
    <x v="213"/>
    <s v="eth1/36"/>
    <x v="0"/>
    <x v="0"/>
    <x v="0"/>
    <s v="SRM"/>
    <x v="6"/>
    <b v="0"/>
    <s v="No está en VPC"/>
    <n v="107"/>
    <s v="INTPG_ACC_107_1.36"/>
    <s v="ISEL-1.36"/>
    <n v="1"/>
    <s v="NO TIENE L3OUT"/>
    <n v="118"/>
    <n v="96"/>
  </r>
  <r>
    <n v="109"/>
    <x v="0"/>
    <x v="214"/>
    <s v="eth1/36"/>
    <x v="0"/>
    <x v="1"/>
    <x v="1"/>
    <m/>
    <x v="6"/>
    <b v="0"/>
    <s v="No está en VPC"/>
    <n v="109"/>
    <s v="INTPG_ACC_109_1.36"/>
    <s v="ISEL-1.36"/>
    <n v="1"/>
    <s v="NO TIENE L3OUT"/>
    <n v="126"/>
    <n v="96"/>
  </r>
  <r>
    <n v="113"/>
    <x v="0"/>
    <x v="215"/>
    <s v="eth1/36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36"/>
    <x v="0"/>
    <x v="0"/>
    <x v="0"/>
    <s v="NODO AIR CS4 R9"/>
    <x v="6"/>
    <b v="0"/>
    <s v="No está en VPC"/>
    <n v="114"/>
    <s v="INTPG_ACC_114_1.36"/>
    <s v="ISEL-1.36"/>
    <n v="1"/>
    <s v="NO TIENE L3OUT"/>
    <n v="144"/>
    <n v="96"/>
  </r>
  <r>
    <n v="124"/>
    <x v="0"/>
    <x v="217"/>
    <s v="eth1/36"/>
    <x v="0"/>
    <x v="0"/>
    <x v="0"/>
    <s v="ixtossgw2_2"/>
    <x v="6"/>
    <b v="0"/>
    <s v="No está en VPC"/>
    <n v="124"/>
    <s v="INTPG_ACC_124_1.36"/>
    <s v="ISEL-1.36"/>
    <n v="1"/>
    <s v="NO TIENE L3OUT"/>
    <n v="80"/>
    <n v="96"/>
  </r>
  <r>
    <n v="118"/>
    <x v="0"/>
    <x v="218"/>
    <s v="eth1/36"/>
    <x v="0"/>
    <x v="0"/>
    <x v="0"/>
    <s v="INGE6"/>
    <x v="6"/>
    <b v="0"/>
    <s v="No está en VPC"/>
    <n v="118"/>
    <s v="INTPG_ACC_118_1.36"/>
    <s v="ISEL-1.36"/>
    <n v="1"/>
    <s v="NO TIENE L3OUT"/>
    <n v="180"/>
    <n v="96"/>
  </r>
  <r>
    <n v="159"/>
    <x v="0"/>
    <x v="219"/>
    <s v="eth1/36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36"/>
    <x v="0"/>
    <x v="0"/>
    <x v="0"/>
    <s v="LINK_TO_ITHFHWCBSPSHD34 / Slot7.2_20 / Redundante"/>
    <x v="0"/>
    <b v="0"/>
    <s v="No está en VPC"/>
    <n v="840"/>
    <s v="INTPG_VPC_835_1.36_840_1.36"/>
    <s v="ISEL-1.36"/>
    <n v="1"/>
    <s v="NO TIENE L3OUT"/>
    <n v="8"/>
    <n v="54"/>
  </r>
  <r>
    <n v="856"/>
    <x v="2"/>
    <x v="221"/>
    <s v="eth1/36"/>
    <x v="0"/>
    <x v="0"/>
    <x v="0"/>
    <s v="LINK_TO_ITHFHWCRMPLCN146 / Slot1.2_26 / Principal"/>
    <x v="0"/>
    <b v="0"/>
    <s v="No está en VPC"/>
    <n v="856"/>
    <s v="INTPG_ACC_856_1.36"/>
    <s v="ISEL-1.36"/>
    <n v="2"/>
    <s v="NO TIENE L3OUT"/>
    <n v="286"/>
    <n v="54"/>
  </r>
  <r>
    <n v="110"/>
    <x v="0"/>
    <x v="222"/>
    <s v="eth1/36"/>
    <x v="0"/>
    <x v="0"/>
    <x v="0"/>
    <s v="SERVIDOR BKP-VNX"/>
    <x v="6"/>
    <b v="0"/>
    <s v="No está en VPC"/>
    <n v="110"/>
    <s v="INTPG_ACC_110_1.36"/>
    <s v="ISEL-1.36"/>
    <n v="1"/>
    <s v="NO TIENE L3OUT"/>
    <n v="102"/>
    <n v="96"/>
  </r>
  <r>
    <n v="163"/>
    <x v="0"/>
    <x v="223"/>
    <s v="eth1/36"/>
    <x v="0"/>
    <x v="0"/>
    <x v="0"/>
    <s v="MULTIMEDIACION"/>
    <x v="6"/>
    <b v="0"/>
    <s v="No está en VPC"/>
    <n v="163"/>
    <s v="INTPG_ACC_163_1.36"/>
    <s v="ISEL-1.36"/>
    <n v="1"/>
    <s v="NO TIENE L3OUT"/>
    <n v="140"/>
    <n v="96"/>
  </r>
  <r>
    <n v="407"/>
    <x v="1"/>
    <x v="224"/>
    <s v="eth1/36"/>
    <x v="0"/>
    <x v="0"/>
    <x v="0"/>
    <s v="Uxcppnal"/>
    <x v="6"/>
    <b v="0"/>
    <s v="No está en VPC"/>
    <n v="407"/>
    <s v="INTPG_ACC_407_1.36"/>
    <s v="ISEL-1.36"/>
    <n v="1"/>
    <s v="NO TIENE L3OUT"/>
    <n v="122"/>
    <n v="96"/>
  </r>
  <r>
    <n v="171"/>
    <x v="0"/>
    <x v="225"/>
    <s v="eth1/36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36"/>
    <x v="0"/>
    <x v="1"/>
    <x v="1"/>
    <s v="VTA_F5_eth0"/>
    <x v="6"/>
    <b v="0"/>
    <s v="No está en VPC"/>
    <n v="421"/>
    <s v="INTPG_ACC_421_1.36"/>
    <s v="ISEL-1.36"/>
    <n v="1"/>
    <s v="NO TIENE L3OUT"/>
    <n v="72"/>
    <n v="96"/>
  </r>
  <r>
    <n v="173"/>
    <x v="0"/>
    <x v="227"/>
    <s v="eth1/36"/>
    <x v="0"/>
    <x v="0"/>
    <x v="0"/>
    <s v="ENIQ"/>
    <x v="6"/>
    <b v="0"/>
    <s v="No está en VPC"/>
    <n v="173"/>
    <s v="INTPG_ACC_173_1.36"/>
    <s v="ISEL-1.36"/>
    <n v="1"/>
    <s v="NO TIENE L3OUT"/>
    <n v="66"/>
    <n v="96"/>
  </r>
  <r>
    <n v="154"/>
    <x v="0"/>
    <x v="228"/>
    <s v="eth1/36"/>
    <x v="0"/>
    <x v="0"/>
    <x v="0"/>
    <s v="POLYVIEW_SERVIDOR"/>
    <x v="6"/>
    <b v="0"/>
    <s v="No está en VPC"/>
    <n v="154"/>
    <s v="INTPG_ACC_154_1.36"/>
    <s v="ISEL-1.36"/>
    <n v="1"/>
    <s v="NO TIENE L3OUT"/>
    <n v="62"/>
    <n v="96"/>
  </r>
  <r>
    <n v="172"/>
    <x v="0"/>
    <x v="229"/>
    <s v="eth1/36"/>
    <x v="0"/>
    <x v="0"/>
    <x v="0"/>
    <s v="ixtpidb01_1"/>
    <x v="6"/>
    <b v="0"/>
    <s v="No está en VPC"/>
    <n v="172"/>
    <s v="INTPG_ACC_172_1.36"/>
    <s v="ISEL-1.36"/>
    <n v="1"/>
    <s v="NO TIENE L3OUT"/>
    <n v="104"/>
    <n v="96"/>
  </r>
  <r>
    <n v="420"/>
    <x v="1"/>
    <x v="230"/>
    <s v="eth1/36"/>
    <x v="0"/>
    <x v="0"/>
    <x v="0"/>
    <s v="TO-ITHFDEOCP1LWR05-PRINCIPAL"/>
    <x v="6"/>
    <b v="0"/>
    <s v="No está en VPC"/>
    <n v="420"/>
    <s v="INTPG_ACC_420_1.36"/>
    <s v="ISEL-1.36"/>
    <n v="1"/>
    <s v="NO TIENE L3OUT"/>
    <n v="158"/>
    <n v="96"/>
  </r>
  <r>
    <n v="423"/>
    <x v="1"/>
    <x v="231"/>
    <s v="eth1/36"/>
    <x v="0"/>
    <x v="0"/>
    <x v="0"/>
    <s v="SPECSERVER1_ETH4"/>
    <x v="6"/>
    <b v="0"/>
    <s v="No está en VPC"/>
    <n v="423"/>
    <s v="INTPG_ACC_423_1.36"/>
    <s v="ISEL-1.36"/>
    <n v="1"/>
    <s v="NO TIENE L3OUT"/>
    <n v="86"/>
    <n v="96"/>
  </r>
  <r>
    <n v="415"/>
    <x v="1"/>
    <x v="232"/>
    <s v="eth1/36"/>
    <x v="1"/>
    <x v="1"/>
    <x v="2"/>
    <s v="To-uxingemc3 ldom2 uxinghdr3"/>
    <x v="6"/>
    <b v="0"/>
    <s v="No está en VPC"/>
    <n v="415"/>
    <s v="INTPG_ACC_415_1.36"/>
    <s v="ISEL-1.36"/>
    <n v="0"/>
    <s v="NO TIENE L3OUT"/>
    <n v="52"/>
    <n v="96"/>
  </r>
  <r>
    <n v="102"/>
    <x v="0"/>
    <x v="233"/>
    <s v="eth1/36"/>
    <x v="0"/>
    <x v="1"/>
    <x v="1"/>
    <s v="SFLDI:RLDISTG01:1"/>
    <x v="6"/>
    <b v="0"/>
    <s v="No está en VPC"/>
    <n v="102"/>
    <s v="INTPG_ACC_102_1.36"/>
    <s v="ISEL-1.36"/>
    <n v="1"/>
    <s v="NO TIENE L3OUT"/>
    <n v="228"/>
    <n v="96"/>
  </r>
  <r>
    <n v="863"/>
    <x v="2"/>
    <x v="234"/>
    <s v="eth1/36"/>
    <x v="0"/>
    <x v="0"/>
    <x v="0"/>
    <s v="To_VPC_2DCBSD_WR56_3"/>
    <x v="0"/>
    <b v="0"/>
    <s v="No está en VPC"/>
    <n v="863"/>
    <s v="INTPG_VPC_858_1.36_863_1.36"/>
    <s v="ISEL-1.36"/>
    <n v="1"/>
    <s v="NO TIENE L3OUT"/>
    <n v="8"/>
    <n v="54"/>
  </r>
  <r>
    <n v="876"/>
    <x v="2"/>
    <x v="235"/>
    <s v="eth1/36"/>
    <x v="0"/>
    <x v="0"/>
    <x v="0"/>
    <s v="A_ITHFHWSEQLCAS11_Principal"/>
    <x v="4"/>
    <b v="0"/>
    <s v="No está en VPC"/>
    <n v="876"/>
    <s v="INTPG_ACC_876_1.36"/>
    <s v="ISEL-1.36"/>
    <n v="1"/>
    <s v="NO TIENE L3OUT"/>
    <n v="92"/>
    <n v="54"/>
  </r>
  <r>
    <n v="877"/>
    <x v="2"/>
    <x v="236"/>
    <s v="eth1/36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36"/>
    <x v="0"/>
    <x v="0"/>
    <x v="0"/>
    <s v="IXTRTC5"/>
    <x v="6"/>
    <b v="0"/>
    <s v="No está en VPC"/>
    <n v="122"/>
    <s v="INTPG_ACC_122_1.36"/>
    <s v="ISEL-1.36"/>
    <n v="1"/>
    <s v="NO TIENE L3OUT"/>
    <n v="148"/>
    <n v="96"/>
  </r>
  <r>
    <n v="157"/>
    <x v="0"/>
    <x v="238"/>
    <s v="eth1/36"/>
    <x v="0"/>
    <x v="1"/>
    <x v="1"/>
    <s v="GESTOR HUAWEI U2000 MW Tx"/>
    <x v="6"/>
    <b v="0"/>
    <s v="No está en VPC"/>
    <n v="157"/>
    <s v="INTPG_ACC_157_1.36"/>
    <s v="ISEL-1.36"/>
    <n v="1"/>
    <s v="NO TIENE L3OUT"/>
    <n v="202"/>
    <n v="96"/>
  </r>
  <r>
    <n v="408"/>
    <x v="1"/>
    <x v="239"/>
    <s v="eth1/36"/>
    <x v="0"/>
    <x v="0"/>
    <x v="0"/>
    <s v="WMS101"/>
    <x v="6"/>
    <b v="0"/>
    <s v="No está en VPC"/>
    <n v="408"/>
    <s v="INTPG_ACC_408_1.36"/>
    <s v="ISEL-1.36"/>
    <n v="1"/>
    <s v="NO TIENE L3OUT"/>
    <n v="152"/>
    <n v="96"/>
  </r>
  <r>
    <n v="405"/>
    <x v="1"/>
    <x v="240"/>
    <s v="eth1/36"/>
    <x v="0"/>
    <x v="0"/>
    <x v="0"/>
    <s v="IXT_ARIESO7_APP1"/>
    <x v="6"/>
    <b v="0"/>
    <s v="No está en VPC"/>
    <n v="405"/>
    <s v="INTPG_ACC_405_1.36"/>
    <s v="ISEL-1.36"/>
    <n v="1"/>
    <s v="NO TIENE L3OUT"/>
    <n v="138"/>
    <n v="96"/>
  </r>
  <r>
    <n v="169"/>
    <x v="0"/>
    <x v="241"/>
    <s v="eth1/36"/>
    <x v="0"/>
    <x v="0"/>
    <x v="0"/>
    <s v="TO-ITHFDENBURBKP03(IXTFDLBKP8RAP)-PRINCIPAL"/>
    <x v="6"/>
    <b v="0"/>
    <s v="No está en VPC"/>
    <n v="169"/>
    <s v="INTPG_ACC_169_1.36"/>
    <s v="ISEL-1.36"/>
    <n v="1"/>
    <s v="NO TIENE L3OUT"/>
    <n v="76"/>
    <n v="96"/>
  </r>
  <r>
    <n v="165"/>
    <x v="0"/>
    <x v="242"/>
    <s v="eth1/36"/>
    <x v="0"/>
    <x v="0"/>
    <x v="0"/>
    <s v="NOMINA_rhadm"/>
    <x v="6"/>
    <b v="0"/>
    <s v="No está en VPC"/>
    <n v="165"/>
    <s v="INTPG_ACC_165_1.36"/>
    <s v="ISEL-1.36"/>
    <n v="1"/>
    <s v="NO TIENE L3OUT"/>
    <n v="86"/>
    <n v="96"/>
  </r>
  <r>
    <n v="417"/>
    <x v="1"/>
    <x v="243"/>
    <s v="eth1/36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36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36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36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36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36"/>
    <x v="0"/>
    <x v="0"/>
    <x v="0"/>
    <s v="TC2_ithmombe1_OA2_MGT"/>
    <x v="6"/>
    <b v="0"/>
    <s v="No está en VPC"/>
    <n v="438"/>
    <s v="INTPG_ACC_438_1.36"/>
    <s v="ISEL-1.36"/>
    <n v="1"/>
    <s v="NO TIENE L3OUT"/>
    <n v="170"/>
    <n v="96"/>
  </r>
  <r>
    <n v="406"/>
    <x v="1"/>
    <x v="249"/>
    <s v="eth1/36"/>
    <x v="0"/>
    <x v="0"/>
    <x v="0"/>
    <s v="PCRF3_CLT"/>
    <x v="6"/>
    <b v="0"/>
    <s v="No está en VPC"/>
    <n v="406"/>
    <s v="INTPG_VPC_404_1.35-36_406_1.35-36"/>
    <s v="ISEL-1.36"/>
    <n v="5"/>
    <s v="NO TIENE L3OUT"/>
    <n v="82"/>
    <n v="96"/>
  </r>
  <r>
    <n v="414"/>
    <x v="1"/>
    <x v="250"/>
    <s v="eth1/36"/>
    <x v="0"/>
    <x v="0"/>
    <x v="0"/>
    <s v="PAPERLES_ITHFNET3_DD_PTO1"/>
    <x v="6"/>
    <b v="0"/>
    <s v="No está en VPC"/>
    <n v="414"/>
    <s v="INTPG_ACC_414_1.36"/>
    <s v="ISEL-1.36"/>
    <n v="1"/>
    <s v="NO TIENE L3OUT"/>
    <n v="144"/>
    <n v="96"/>
  </r>
  <r>
    <n v="416"/>
    <x v="1"/>
    <x v="251"/>
    <s v="eth1/36"/>
    <x v="0"/>
    <x v="1"/>
    <x v="1"/>
    <s v="DESC"/>
    <x v="6"/>
    <b v="0"/>
    <s v="No está en VPC"/>
    <n v="416"/>
    <s v="INTPG_PC_416_1.32-39"/>
    <s v="ISEL-1.36"/>
    <n v="8"/>
    <s v="NO TIENE L3OUT"/>
    <n v="110"/>
    <n v="96"/>
  </r>
  <r>
    <n v="418"/>
    <x v="1"/>
    <x v="252"/>
    <s v="eth1/36"/>
    <x v="0"/>
    <x v="1"/>
    <x v="1"/>
    <s v="DESC"/>
    <x v="6"/>
    <b v="0"/>
    <s v="No está en VPC"/>
    <n v="418"/>
    <s v="INTPG_PC_418_1.32-39"/>
    <s v="ISEL-1.36"/>
    <n v="8"/>
    <s v="NO TIENE L3OUT"/>
    <n v="152"/>
    <n v="96"/>
  </r>
  <r>
    <n v="413"/>
    <x v="1"/>
    <x v="253"/>
    <s v="eth1/36"/>
    <x v="0"/>
    <x v="0"/>
    <x v="0"/>
    <s v="VTAE4"/>
    <x v="6"/>
    <b v="0"/>
    <s v="No está en VPC"/>
    <n v="413"/>
    <s v="INTPG_ACC_413_1.36"/>
    <s v="ISEL-1.36"/>
    <n v="1"/>
    <s v="NO TIENE L3OUT"/>
    <n v="126"/>
    <n v="96"/>
  </r>
  <r>
    <n v="403"/>
    <x v="1"/>
    <x v="254"/>
    <s v="eth1/36"/>
    <x v="0"/>
    <x v="0"/>
    <x v="0"/>
    <s v="IXT_ARIESO7_APP1"/>
    <x v="6"/>
    <b v="0"/>
    <s v="No está en VPC"/>
    <n v="403"/>
    <s v="INTPG_ACC_403_1.36"/>
    <s v="ISEL-1.36"/>
    <n v="1"/>
    <s v="NO TIENE L3OUT"/>
    <n v="150"/>
    <n v="96"/>
  </r>
  <r>
    <n v="125"/>
    <x v="0"/>
    <x v="255"/>
    <s v="eth1/36"/>
    <x v="1"/>
    <x v="1"/>
    <x v="2"/>
    <s v="ixtossgw1_2"/>
    <x v="6"/>
    <b v="0"/>
    <s v="No está en VPC"/>
    <n v="125"/>
    <s v="INTPG_ACC_125_1.36"/>
    <s v="ISEL-1.36"/>
    <n v="0"/>
    <s v="NO TIENE L3OUT"/>
    <n v="72"/>
    <n v="96"/>
  </r>
  <r>
    <n v="166"/>
    <x v="0"/>
    <x v="256"/>
    <s v="eth1/36"/>
    <x v="0"/>
    <x v="0"/>
    <x v="0"/>
    <s v="NOMINA_uxtest01"/>
    <x v="6"/>
    <b v="0"/>
    <s v="No está en VPC"/>
    <n v="166"/>
    <s v="INTPG_ACC_166_1.36"/>
    <s v="ISEL-1.36"/>
    <n v="1"/>
    <s v="NO TIENE L3OUT"/>
    <n v="84"/>
    <n v="96"/>
  </r>
  <r>
    <n v="111"/>
    <x v="0"/>
    <x v="257"/>
    <s v="eth1/36"/>
    <x v="0"/>
    <x v="0"/>
    <x v="0"/>
    <s v="STORAGE_VNX_0493_BKP1_AND_BKP2"/>
    <x v="6"/>
    <b v="0"/>
    <s v="No está en VPC"/>
    <n v="111"/>
    <s v="INTPG_ACC_111_1.36"/>
    <s v="ISEL-1.36"/>
    <n v="1"/>
    <s v="NO TIENE L3OUT"/>
    <n v="58"/>
    <n v="96"/>
  </r>
  <r>
    <n v="115"/>
    <x v="0"/>
    <x v="258"/>
    <s v="eth1/36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36"/>
    <x v="0"/>
    <x v="0"/>
    <x v="0"/>
    <m/>
    <x v="6"/>
    <b v="0"/>
    <s v="No está en VPC"/>
    <n v="106"/>
    <s v="INTPG_PC_106_1.35-38"/>
    <s v="ISEL-1.36"/>
    <n v="1"/>
    <s v="NO TIENE L3OUT"/>
    <n v="122"/>
    <n v="96"/>
  </r>
  <r>
    <n v="126"/>
    <x v="0"/>
    <x v="260"/>
    <s v="eth1/36"/>
    <x v="0"/>
    <x v="0"/>
    <x v="0"/>
    <s v="ENIQ"/>
    <x v="6"/>
    <b v="0"/>
    <s v="No está en VPC"/>
    <n v="126"/>
    <s v="INTPG_PC_126_1.25-29_36"/>
    <s v="ISEL-1.36"/>
    <n v="3"/>
    <s v="NO TIENE L3OUT"/>
    <n v="54"/>
    <n v="96"/>
  </r>
  <r>
    <n v="425"/>
    <x v="1"/>
    <x v="261"/>
    <s v="eth1/36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36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36"/>
    <x v="0"/>
    <x v="0"/>
    <x v="0"/>
    <s v="SecAnLG_iDrac_02-Correlacionador-IXTSALG_ESA1"/>
    <x v="6"/>
    <b v="0"/>
    <s v="No está en VPC"/>
    <n v="430"/>
    <s v="INTPG_ACC_430_1.36"/>
    <s v="ISEL-1.36"/>
    <n v="1"/>
    <s v="NO TIENE L3OUT"/>
    <n v="86"/>
    <n v="96"/>
  </r>
  <r>
    <n v="419"/>
    <x v="1"/>
    <x v="264"/>
    <s v="eth1/36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36"/>
    <x v="0"/>
    <x v="0"/>
    <x v="0"/>
    <s v="RED CRICKET"/>
    <x v="6"/>
    <b v="0"/>
    <s v="No está en VPC"/>
    <n v="155"/>
    <s v="INTPG_ACC_155_1.36"/>
    <s v="ISEL-1.36"/>
    <n v="1"/>
    <s v="NO TIENE L3OUT"/>
    <n v="198"/>
    <n v="96"/>
  </r>
  <r>
    <n v="409"/>
    <x v="1"/>
    <x v="266"/>
    <s v="eth1/36"/>
    <x v="0"/>
    <x v="0"/>
    <x v="0"/>
    <s v="Uxcpploc"/>
    <x v="6"/>
    <b v="0"/>
    <s v="No está en VPC"/>
    <n v="409"/>
    <s v="INTPG_ACC_409_1.36"/>
    <s v="ISEL-1.36"/>
    <n v="1"/>
    <s v="NO TIENE L3OUT"/>
    <n v="128"/>
    <n v="96"/>
  </r>
  <r>
    <n v="422"/>
    <x v="1"/>
    <x v="267"/>
    <s v="eth1/36"/>
    <x v="0"/>
    <x v="1"/>
    <x v="1"/>
    <s v="ITHRTC4ANB1"/>
    <x v="6"/>
    <b v="0"/>
    <s v="No está en VPC"/>
    <n v="422"/>
    <s v="INTPG_ACC_422_1.36"/>
    <s v="ISEL-1.36"/>
    <n v="1"/>
    <s v="NO TIENE L3OUT"/>
    <n v="182"/>
    <n v="96"/>
  </r>
  <r>
    <n v="436"/>
    <x v="1"/>
    <x v="268"/>
    <s v="eth1/36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36"/>
    <x v="0"/>
    <x v="0"/>
    <x v="0"/>
    <s v="IXTPF1"/>
    <x v="6"/>
    <b v="0"/>
    <s v="No está en VPC"/>
    <n v="410"/>
    <s v="INTPG_ACC_410_1.36"/>
    <s v="ISEL-1.36"/>
    <n v="5"/>
    <s v="NO TIENE L3OUT"/>
    <n v="178"/>
    <n v="96"/>
  </r>
  <r>
    <n v="161"/>
    <x v="0"/>
    <x v="270"/>
    <s v="eth1/36"/>
    <x v="0"/>
    <x v="1"/>
    <x v="1"/>
    <s v="desc"/>
    <x v="6"/>
    <b v="0"/>
    <s v="No está en VPC"/>
    <n v="161"/>
    <s v="INTPG_VPC_161_1.36_163_1.41"/>
    <s v="ISEL-1.36"/>
    <n v="1"/>
    <s v="NO TIENE L3OUT"/>
    <n v="102"/>
    <n v="96"/>
  </r>
  <r>
    <n v="411"/>
    <x v="1"/>
    <x v="271"/>
    <s v="eth1/36"/>
    <x v="0"/>
    <x v="0"/>
    <x v="0"/>
    <s v="lagidmhlapvp12_produccion1"/>
    <x v="6"/>
    <b v="0"/>
    <s v="No está en VPC"/>
    <n v="411"/>
    <s v="INTPG_VPC_411_1.36-39_413_1.29-32"/>
    <s v="ISEL-1.36"/>
    <n v="2"/>
    <s v="NO TIENE L3OUT"/>
    <n v="96"/>
    <n v="96"/>
  </r>
  <r>
    <n v="116"/>
    <x v="0"/>
    <x v="272"/>
    <s v="eth1/36"/>
    <x v="0"/>
    <x v="0"/>
    <x v="0"/>
    <s v="INGE6"/>
    <x v="6"/>
    <b v="0"/>
    <s v="No está en VPC"/>
    <n v="116"/>
    <s v="INTPG_ACC_116_1.36"/>
    <s v="ISEL-1.36"/>
    <n v="1"/>
    <s v="NO TIENE L3OUT"/>
    <n v="148"/>
    <n v="96"/>
  </r>
  <r>
    <n v="412"/>
    <x v="1"/>
    <x v="273"/>
    <s v="eth1/36"/>
    <x v="0"/>
    <x v="0"/>
    <x v="0"/>
    <s v="WMS101"/>
    <x v="6"/>
    <b v="0"/>
    <s v="No está en VPC"/>
    <n v="412"/>
    <s v="INTPG_ACC_412_1.36"/>
    <s v="ISEL-1.36"/>
    <n v="1"/>
    <s v="NO TIENE L3OUT"/>
    <n v="126"/>
    <n v="96"/>
  </r>
  <r>
    <n v="120"/>
    <x v="0"/>
    <x v="274"/>
    <s v="eth1/36"/>
    <x v="0"/>
    <x v="0"/>
    <x v="0"/>
    <s v="Registro Nacional de Celulares"/>
    <x v="6"/>
    <b v="0"/>
    <s v="No está en VPC"/>
    <n v="120"/>
    <s v="INTPG_ACC_120_1.36"/>
    <s v="ISEL-1.36"/>
    <n v="1"/>
    <s v="NO TIENE L3OUT"/>
    <n v="158"/>
    <n v="96"/>
  </r>
  <r>
    <n v="404"/>
    <x v="1"/>
    <x v="275"/>
    <s v="eth1/36"/>
    <x v="0"/>
    <x v="0"/>
    <x v="0"/>
    <s v="PCRF3_CLT"/>
    <x v="6"/>
    <b v="0"/>
    <s v="No está en VPC"/>
    <n v="404"/>
    <s v="INTPG_VPC_404_1.35-36_406_1.35-36"/>
    <s v="ISEL-1.36"/>
    <n v="5"/>
    <s v="NO TIENE L3OUT"/>
    <n v="92"/>
    <n v="96"/>
  </r>
  <r>
    <n v="167"/>
    <x v="0"/>
    <x v="276"/>
    <s v="eth1/36"/>
    <x v="0"/>
    <x v="0"/>
    <x v="0"/>
    <s v="LINKDOWN_HACIA_UCS_9UCS-IXTLA-SERV4"/>
    <x v="6"/>
    <b v="0"/>
    <s v="No está en VPC"/>
    <n v="167"/>
    <s v="INTPG_ACC_167_1.36"/>
    <s v="ISEL-1.36"/>
    <n v="1"/>
    <s v="NO TIENE L3OUT"/>
    <n v="68"/>
    <n v="96"/>
  </r>
  <r>
    <n v="428"/>
    <x v="1"/>
    <x v="277"/>
    <s v="eth1/36"/>
    <x v="0"/>
    <x v="0"/>
    <x v="0"/>
    <s v="PROVISION1"/>
    <x v="6"/>
    <b v="0"/>
    <s v="No está en VPC"/>
    <n v="428"/>
    <s v="INTPG_ACC_428_1.36"/>
    <s v="ISEL-1.36"/>
    <n v="1"/>
    <s v="NO TIENE L3OUT"/>
    <n v="102"/>
    <n v="96"/>
  </r>
  <r>
    <n v="128"/>
    <x v="0"/>
    <x v="0"/>
    <s v="eth1/37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37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37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37"/>
    <x v="0"/>
    <x v="0"/>
    <x v="0"/>
    <s v="DESC"/>
    <x v="0"/>
    <b v="0"/>
    <s v="No está en VPC"/>
    <n v="101"/>
    <s v="INTPG_PC_101_1.37-38"/>
    <s v="ISEL-1.37"/>
    <n v="1"/>
    <s v="NO TIENE L3OUT"/>
    <n v="114"/>
    <n v="54"/>
  </r>
  <r>
    <n v="160"/>
    <x v="0"/>
    <x v="4"/>
    <s v="eth1/37"/>
    <x v="0"/>
    <x v="1"/>
    <x v="1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37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37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37"/>
    <x v="1"/>
    <x v="1"/>
    <x v="3"/>
    <m/>
    <x v="0"/>
    <b v="0"/>
    <s v="No está en VPC"/>
    <n v="401"/>
    <s v="NO EXISTE PG"/>
    <s v="NO EXISTE ISEL"/>
    <n v="0"/>
    <s v="NO TIENE L3OUT"/>
    <n v="40"/>
    <n v="54"/>
  </r>
  <r>
    <n v="402"/>
    <x v="1"/>
    <x v="8"/>
    <s v="eth1/37"/>
    <x v="0"/>
    <x v="1"/>
    <x v="3"/>
    <m/>
    <x v="0"/>
    <b v="0"/>
    <s v="No está en VPC"/>
    <n v="402"/>
    <s v="NO EXISTE PG"/>
    <s v="NO EXISTE ISEL"/>
    <n v="0"/>
    <s v="NO TIENE L3OUT"/>
    <n v="36"/>
    <n v="54"/>
  </r>
  <r>
    <n v="130"/>
    <x v="0"/>
    <x v="11"/>
    <s v="eth1/37"/>
    <x v="0"/>
    <x v="0"/>
    <x v="0"/>
    <s v="LAG-smt-comp-04"/>
    <x v="0"/>
    <b v="0"/>
    <s v="No está en VPC"/>
    <n v="130"/>
    <s v="INTPG_VPC_130_1.37-38_131_1.37-38"/>
    <s v="ISEL-1.37"/>
    <n v="4"/>
    <s v="NO TIENE L3OUT"/>
    <n v="128"/>
    <n v="54"/>
  </r>
  <r>
    <n v="150"/>
    <x v="0"/>
    <x v="12"/>
    <s v="eth1/37"/>
    <x v="0"/>
    <x v="0"/>
    <x v="0"/>
    <s v="DESC"/>
    <x v="0"/>
    <b v="0"/>
    <s v="No está en VPC"/>
    <n v="150"/>
    <s v="INTPG_PC_150_1.37-38"/>
    <s v="ISEL-1.37"/>
    <n v="1"/>
    <s v="NO TIENE L3OUT"/>
    <n v="118"/>
    <n v="54"/>
  </r>
  <r>
    <n v="131"/>
    <x v="0"/>
    <x v="13"/>
    <s v="eth1/37"/>
    <x v="0"/>
    <x v="0"/>
    <x v="0"/>
    <s v="LAG-smt-comp-04"/>
    <x v="0"/>
    <b v="0"/>
    <s v="No está en VPC"/>
    <n v="131"/>
    <s v="INTPG_VPC_130_1.37-38_131_1.37-38"/>
    <s v="ISEL-1.37"/>
    <n v="4"/>
    <s v="NO TIENE L3OUT"/>
    <n v="126"/>
    <n v="54"/>
  </r>
  <r>
    <n v="424"/>
    <x v="1"/>
    <x v="18"/>
    <s v="eth1/37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37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37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37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37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37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37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37"/>
    <x v="1"/>
    <x v="1"/>
    <x v="3"/>
    <m/>
    <x v="0"/>
    <b v="0"/>
    <s v="No está en VPC"/>
    <n v="431"/>
    <s v="NO EXISTE PG"/>
    <s v="NO EXISTE ISEL"/>
    <n v="0"/>
    <s v="NO TIENE L3OUT"/>
    <n v="46"/>
    <n v="54"/>
  </r>
  <r>
    <n v="433"/>
    <x v="1"/>
    <x v="27"/>
    <s v="eth1/37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37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37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37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37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37"/>
    <x v="1"/>
    <x v="1"/>
    <x v="3"/>
    <m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37"/>
    <x v="0"/>
    <x v="0"/>
    <x v="0"/>
    <s v="CEM_ITHCEMB2COR19"/>
    <x v="0"/>
    <b v="0"/>
    <s v="No está en VPC"/>
    <n v="712"/>
    <s v="INTPG_VPC_712_1.37_713_1.38"/>
    <s v="ISEL-1.37"/>
    <n v="1"/>
    <s v="NO TIENE L3OUT"/>
    <n v="32"/>
    <n v="54"/>
  </r>
  <r>
    <n v="719"/>
    <x v="2"/>
    <x v="34"/>
    <s v="eth1/37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37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37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37"/>
    <x v="1"/>
    <x v="1"/>
    <x v="3"/>
    <m/>
    <x v="0"/>
    <b v="0"/>
    <s v="No está en VPC"/>
    <n v="711"/>
    <s v="NO EXISTE PG"/>
    <s v="NO EXISTE ISEL"/>
    <n v="0"/>
    <s v="NO TIENE L3OUT"/>
    <n v="16"/>
    <n v="54"/>
  </r>
  <r>
    <n v="716"/>
    <x v="2"/>
    <x v="38"/>
    <s v="eth1/37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37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37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37"/>
    <x v="0"/>
    <x v="0"/>
    <x v="0"/>
    <s v="Proyecto Arieso"/>
    <x v="0"/>
    <b v="0"/>
    <s v="No está en VPC"/>
    <n v="446"/>
    <s v="INTPG_VPC_444_1.37-40_446_1.37-40"/>
    <s v="ISEL-1.37"/>
    <n v="16"/>
    <s v="NO TIENE L3OUT"/>
    <n v="198"/>
    <n v="54"/>
  </r>
  <r>
    <n v="444"/>
    <x v="1"/>
    <x v="42"/>
    <s v="eth1/37"/>
    <x v="0"/>
    <x v="0"/>
    <x v="0"/>
    <s v="Proyecto Arieso"/>
    <x v="0"/>
    <b v="0"/>
    <s v="No está en VPC"/>
    <n v="444"/>
    <s v="INTPG_VPC_444_1.37-40_446_1.37-40"/>
    <s v="ISEL-1.37"/>
    <n v="16"/>
    <s v="NO TIENE L3OUT"/>
    <n v="234"/>
    <n v="54"/>
  </r>
  <r>
    <n v="701"/>
    <x v="2"/>
    <x v="43"/>
    <s v="eth1/37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37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37"/>
    <x v="1"/>
    <x v="1"/>
    <x v="3"/>
    <m/>
    <x v="0"/>
    <b v="0"/>
    <s v="No está en VPC"/>
    <n v="448"/>
    <s v="NO EXISTE PG"/>
    <s v="NO EXISTE ISEL"/>
    <n v="0"/>
    <s v="NO TIENE L3OUT"/>
    <n v="46"/>
    <n v="54"/>
  </r>
  <r>
    <n v="704"/>
    <x v="2"/>
    <x v="46"/>
    <s v="eth1/37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37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37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37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37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37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37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37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37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37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37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37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37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37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37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37"/>
    <x v="0"/>
    <x v="1"/>
    <x v="1"/>
    <s v="CEMTP05"/>
    <x v="5"/>
    <b v="0"/>
    <s v="No está en VPC"/>
    <n v="742"/>
    <s v="INTPG_ACC_742_1.37"/>
    <s v="ISEL-1.37"/>
    <n v="1"/>
    <s v="NO TIENE L3OUT"/>
    <n v="64"/>
    <n v="54"/>
  </r>
  <r>
    <n v="763"/>
    <x v="2"/>
    <x v="63"/>
    <s v="eth1/37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37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37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37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37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37"/>
    <x v="0"/>
    <x v="1"/>
    <x v="3"/>
    <s v="CLOUD OPS:ithhwcop01st01ce03:A IOM1 Smart IO P0"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37"/>
    <x v="0"/>
    <x v="0"/>
    <x v="0"/>
    <s v="TO-ITHFHWRHV2LMGMT01"/>
    <x v="0"/>
    <b v="0"/>
    <s v="No está en VPC"/>
    <n v="780"/>
    <s v="INTPG_VPC_780_1.36-37_781_1.36-37"/>
    <s v="ISEL-1.37"/>
    <n v="2"/>
    <s v="NO TIENE L3OUT"/>
    <n v="26"/>
    <n v="54"/>
  </r>
  <r>
    <n v="812"/>
    <x v="2"/>
    <x v="70"/>
    <s v="eth1/37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37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37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37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37"/>
    <x v="0"/>
    <x v="0"/>
    <x v="0"/>
    <s v="LINK_TO_ITHHWOS53V50004DKC01 /CtrlB_10GE.P3 /Redundante"/>
    <x v="0"/>
    <b v="0"/>
    <s v="No está en VPC"/>
    <n v="824"/>
    <s v="INTPG_ACC_824_1.37"/>
    <s v="ISEL-1.37"/>
    <n v="1"/>
    <s v="NO TIENE L3OUT"/>
    <n v="70"/>
    <n v="54"/>
  </r>
  <r>
    <n v="819"/>
    <x v="2"/>
    <x v="75"/>
    <s v="eth1/37"/>
    <x v="0"/>
    <x v="0"/>
    <x v="0"/>
    <s v="LINK_TO_ITHHWOS53V50004DKC01 /CtrlB_10GE.P2 /Principal"/>
    <x v="0"/>
    <b v="0"/>
    <s v="No está en VPC"/>
    <n v="819"/>
    <s v="INTPG_ACC_819_1.37"/>
    <s v="ISEL-1.37"/>
    <n v="1"/>
    <s v="NO TIENE L3OUT"/>
    <n v="70"/>
    <n v="54"/>
  </r>
  <r>
    <n v="737"/>
    <x v="2"/>
    <x v="76"/>
    <s v="eth1/37"/>
    <x v="0"/>
    <x v="1"/>
    <x v="1"/>
    <m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37"/>
    <x v="0"/>
    <x v="0"/>
    <x v="0"/>
    <s v="LINK_TO_ITHFHWCRMPLCN113 / Slot1.1_30 / Principal"/>
    <x v="0"/>
    <b v="0"/>
    <s v="No está en VPC"/>
    <n v="844"/>
    <s v="INTPG_ACC_844_1.37"/>
    <s v="ISEL-1.37"/>
    <n v="6"/>
    <s v="NO TIENE L3OUT"/>
    <n v="282"/>
    <n v="54"/>
  </r>
  <r>
    <n v="843"/>
    <x v="2"/>
    <x v="78"/>
    <s v="eth1/37"/>
    <x v="0"/>
    <x v="0"/>
    <x v="0"/>
    <s v="A_ITHFHWSEQLHDPS79_Principal"/>
    <x v="0"/>
    <b v="0"/>
    <s v="No está en VPC"/>
    <n v="843"/>
    <s v="INTPG_ACC_843_1.37"/>
    <s v="ISEL-1.37"/>
    <n v="1"/>
    <s v="NO TIENE L3OUT"/>
    <n v="38"/>
    <n v="54"/>
  </r>
  <r>
    <n v="797"/>
    <x v="2"/>
    <x v="79"/>
    <s v="eth1/37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37"/>
    <x v="0"/>
    <x v="0"/>
    <x v="0"/>
    <s v="LINK_TO_ITHFHWCBSPSHD42 / Slot7.1_22 / Redundante"/>
    <x v="0"/>
    <b v="0"/>
    <s v="No está en VPC"/>
    <n v="839"/>
    <s v="INTPG_VPC_834_1.37_839_1.37"/>
    <s v="ISEL-1.37"/>
    <n v="2"/>
    <s v="NO TIENE L3OUT"/>
    <n v="0"/>
    <n v="54"/>
  </r>
  <r>
    <n v="847"/>
    <x v="2"/>
    <x v="81"/>
    <s v="eth1/37"/>
    <x v="0"/>
    <x v="0"/>
    <x v="0"/>
    <s v="LINK_TO_ITHFHWCRMPLCN177 / Slot7.3_24 / Redundante"/>
    <x v="0"/>
    <b v="0"/>
    <s v="No está en VPC"/>
    <n v="847"/>
    <s v="INTPG_ACC_847_1.37"/>
    <s v="ISEL-1.37"/>
    <n v="1"/>
    <s v="NO TIENE L3OUT"/>
    <n v="204"/>
    <n v="54"/>
  </r>
  <r>
    <n v="848"/>
    <x v="2"/>
    <x v="82"/>
    <s v="eth1/37"/>
    <x v="0"/>
    <x v="0"/>
    <x v="0"/>
    <s v="LINK_TO_ITHFHWCRMPLCN166 / Slot7.3_34 / Redundante"/>
    <x v="0"/>
    <b v="0"/>
    <s v="No está en VPC"/>
    <n v="848"/>
    <s v="INTPG_ACC_848_1.37"/>
    <s v="ISEL-1.37"/>
    <n v="1"/>
    <s v="NO TIENE L3OUT"/>
    <n v="254"/>
    <n v="54"/>
  </r>
  <r>
    <n v="846"/>
    <x v="2"/>
    <x v="83"/>
    <s v="eth1/37"/>
    <x v="0"/>
    <x v="0"/>
    <x v="0"/>
    <s v="LINK_TO_ITHFHWCRMPLCN84 / Slot1.1_26 / Principal"/>
    <x v="0"/>
    <b v="0"/>
    <s v="No está en VPC"/>
    <n v="846"/>
    <s v="INTPG_ACC_846_1.37"/>
    <s v="ISEL-1.37"/>
    <n v="6"/>
    <s v="NO TIENE L3OUT"/>
    <n v="242"/>
    <n v="54"/>
  </r>
  <r>
    <n v="838"/>
    <x v="2"/>
    <x v="84"/>
    <s v="eth1/37"/>
    <x v="0"/>
    <x v="0"/>
    <x v="0"/>
    <s v="A_ITHFHWSEQLHDPS79_Redundante"/>
    <x v="0"/>
    <b v="0"/>
    <s v="No está en VPC"/>
    <n v="838"/>
    <s v="INTPG_ACC_838_1.37"/>
    <s v="ISEL-1.37"/>
    <n v="1"/>
    <s v="NO TIENE L3OUT"/>
    <n v="38"/>
    <n v="54"/>
  </r>
  <r>
    <n v="849"/>
    <x v="2"/>
    <x v="85"/>
    <s v="eth1/37"/>
    <x v="0"/>
    <x v="0"/>
    <x v="0"/>
    <s v="LINK_TO_ITHFHWCRMPLCN146 / Slot7.3_26 / Redundante"/>
    <x v="0"/>
    <b v="0"/>
    <s v="No está en VPC"/>
    <n v="849"/>
    <s v="INTPG_ACC_849_1.37"/>
    <s v="ISEL-1.37"/>
    <n v="1"/>
    <s v="NO TIENE L3OUT"/>
    <n v="286"/>
    <n v="54"/>
  </r>
  <r>
    <n v="845"/>
    <x v="2"/>
    <x v="86"/>
    <s v="eth1/37"/>
    <x v="0"/>
    <x v="0"/>
    <x v="0"/>
    <s v="LINK_TO_ITHFHWCRMPLCN96 / Slot1.2_24 / Principal"/>
    <x v="0"/>
    <b v="0"/>
    <s v="No está en VPC"/>
    <n v="845"/>
    <s v="INTPG_ACC_845_1.37"/>
    <s v="ISEL-1.37"/>
    <n v="2"/>
    <s v="NO TIENE L3OUT"/>
    <n v="258"/>
    <n v="54"/>
  </r>
  <r>
    <n v="873"/>
    <x v="2"/>
    <x v="87"/>
    <s v="eth1/37"/>
    <x v="0"/>
    <x v="0"/>
    <x v="0"/>
    <s v="To_ITHFHWCRMDLCN36_Redundante"/>
    <x v="0"/>
    <b v="0"/>
    <s v="No está en VPC"/>
    <n v="873"/>
    <s v="INTPG_ACC_873_1.37"/>
    <s v="ISEL-1.37"/>
    <n v="6"/>
    <s v="NO TIENE L3OUT"/>
    <n v="248"/>
    <n v="54"/>
  </r>
  <r>
    <n v="864"/>
    <x v="2"/>
    <x v="88"/>
    <s v="eth1/37"/>
    <x v="0"/>
    <x v="0"/>
    <x v="0"/>
    <s v="To_VPC_2DCBSD_WR48_1"/>
    <x v="0"/>
    <b v="0"/>
    <s v="No está en VPC"/>
    <n v="864"/>
    <s v="INTPG_VPC_859_1.37_864_1.37"/>
    <s v="ISEL-1.37"/>
    <n v="2"/>
    <s v="NO TIENE L3OUT"/>
    <n v="0"/>
    <n v="54"/>
  </r>
  <r>
    <n v="836"/>
    <x v="2"/>
    <x v="89"/>
    <s v="eth1/37"/>
    <x v="0"/>
    <x v="0"/>
    <x v="0"/>
    <s v="LINK_TO_ITHFHWCBSPSHD26 / Slot1.3_16 / Principal"/>
    <x v="0"/>
    <b v="0"/>
    <s v="No está en VPC"/>
    <n v="836"/>
    <s v="INTPG_VPC_836_1.37_841_1.37"/>
    <s v="ISEL-1.37"/>
    <n v="1"/>
    <s v="NO TIENE L3OUT"/>
    <n v="0"/>
    <n v="54"/>
  </r>
  <r>
    <n v="834"/>
    <x v="2"/>
    <x v="90"/>
    <s v="eth1/37"/>
    <x v="0"/>
    <x v="0"/>
    <x v="0"/>
    <s v="LINK_TO_ITHFHWCBSPSHD42 / Slot1.1_22 / Principal"/>
    <x v="0"/>
    <b v="0"/>
    <s v="No está en VPC"/>
    <n v="834"/>
    <s v="INTPG_VPC_834_1.37_839_1.37"/>
    <s v="ISEL-1.37"/>
    <n v="2"/>
    <s v="NO TIENE L3OUT"/>
    <n v="0"/>
    <n v="54"/>
  </r>
  <r>
    <n v="872"/>
    <x v="2"/>
    <x v="91"/>
    <s v="eth1/37"/>
    <x v="0"/>
    <x v="0"/>
    <x v="0"/>
    <s v="TO_ITHFHWCRMDLCN49_Principal"/>
    <x v="0"/>
    <b v="0"/>
    <s v="No está en VPC"/>
    <n v="872"/>
    <s v="INTPG_ACC_872_1.37"/>
    <s v="ISEL-1.37"/>
    <n v="2"/>
    <s v="NO TIENE L3OUT"/>
    <n v="288"/>
    <n v="54"/>
  </r>
  <r>
    <n v="842"/>
    <x v="2"/>
    <x v="92"/>
    <s v="eth1/37"/>
    <x v="0"/>
    <x v="0"/>
    <x v="0"/>
    <s v="LINK_To_ITHFHWCBSPSHD20 / Slot7.2_16 / Redundante"/>
    <x v="0"/>
    <b v="0"/>
    <s v="No está en VPC"/>
    <n v="842"/>
    <s v="INTPG_VPC_837_1.37_842_1.37"/>
    <s v="ISEL-1.37"/>
    <n v="1"/>
    <s v="NO TIENE L3OUT"/>
    <n v="8"/>
    <n v="54"/>
  </r>
  <r>
    <n v="828"/>
    <x v="2"/>
    <x v="93"/>
    <s v="eth1/37"/>
    <x v="0"/>
    <x v="0"/>
    <x v="0"/>
    <s v="LINK_TO_ITHFHWCRMDLCN27 /Slot4.2 /Principal"/>
    <x v="0"/>
    <b v="0"/>
    <s v="No está en VPC"/>
    <n v="828"/>
    <s v="INTPG_ACC_828_1.37"/>
    <s v="ISEL-1.37"/>
    <n v="1"/>
    <s v="NO TIENE L3OUT"/>
    <n v="192"/>
    <n v="54"/>
  </r>
  <r>
    <n v="870"/>
    <x v="2"/>
    <x v="94"/>
    <s v="eth1/37"/>
    <x v="0"/>
    <x v="0"/>
    <x v="0"/>
    <s v="To_ITHFHWCRMDLCN36_Principal"/>
    <x v="0"/>
    <b v="0"/>
    <s v="No está en VPC"/>
    <n v="870"/>
    <s v="INTPG_ACC_870_1.37"/>
    <s v="ISEL-1.37"/>
    <n v="6"/>
    <s v="NO TIENE L3OUT"/>
    <n v="248"/>
    <n v="54"/>
  </r>
  <r>
    <n v="866"/>
    <x v="2"/>
    <x v="95"/>
    <s v="eth1/37"/>
    <x v="0"/>
    <x v="0"/>
    <x v="0"/>
    <s v="To_VPC_2DCBSD_BD14_3"/>
    <x v="0"/>
    <b v="0"/>
    <s v="No está en VPC"/>
    <n v="866"/>
    <s v="INTPG_VPC_861_1.37_866_1.37"/>
    <s v="ISEL-1.37"/>
    <n v="1"/>
    <s v="NO TIENE L3OUT"/>
    <n v="8"/>
    <n v="54"/>
  </r>
  <r>
    <n v="862"/>
    <x v="2"/>
    <x v="96"/>
    <s v="eth1/37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37"/>
    <x v="0"/>
    <x v="0"/>
    <x v="0"/>
    <s v="LINK_TO_ITHFHWCRMPLCN166 / Slot1.3_34 / Principal"/>
    <x v="0"/>
    <b v="0"/>
    <s v="No está en VPC"/>
    <n v="855"/>
    <s v="INTPG_ACC_855_1.37"/>
    <s v="ISEL-1.37"/>
    <n v="1"/>
    <s v="NO TIENE L3OUT"/>
    <n v="254"/>
    <n v="54"/>
  </r>
  <r>
    <n v="871"/>
    <x v="2"/>
    <x v="98"/>
    <s v="eth1/37"/>
    <x v="0"/>
    <x v="0"/>
    <x v="0"/>
    <s v="To_ITHFHWCRMDLCN66_Principal"/>
    <x v="0"/>
    <b v="0"/>
    <s v="No está en VPC"/>
    <n v="871"/>
    <s v="INTPG_ACC_871_1.37"/>
    <s v="ISEL-1.37"/>
    <n v="6"/>
    <s v="NO TIENE L3OUT"/>
    <n v="246"/>
    <n v="54"/>
  </r>
  <r>
    <n v="841"/>
    <x v="2"/>
    <x v="99"/>
    <s v="eth1/37"/>
    <x v="0"/>
    <x v="0"/>
    <x v="0"/>
    <s v="LINK_TO_ITHFHWCBSPSHD26 / Slot7.3_16 / Redundante"/>
    <x v="0"/>
    <b v="0"/>
    <s v="No está en VPC"/>
    <n v="841"/>
    <s v="INTPG_VPC_836_1.37_841_1.37"/>
    <s v="ISEL-1.37"/>
    <n v="1"/>
    <s v="NO TIENE L3OUT"/>
    <n v="0"/>
    <n v="54"/>
  </r>
  <r>
    <n v="868"/>
    <x v="2"/>
    <x v="100"/>
    <s v="eth1/37"/>
    <x v="0"/>
    <x v="0"/>
    <x v="0"/>
    <s v="To_ITHFHWCRMDLCN66_Redundante"/>
    <x v="0"/>
    <b v="0"/>
    <s v="No está en VPC"/>
    <n v="868"/>
    <s v="INTPG_ACC_868_1.37"/>
    <s v="ISEL-1.37"/>
    <n v="6"/>
    <s v="NO TIENE L3OUT"/>
    <n v="246"/>
    <n v="54"/>
  </r>
  <r>
    <n v="869"/>
    <x v="2"/>
    <x v="101"/>
    <s v="eth1/37"/>
    <x v="0"/>
    <x v="0"/>
    <x v="0"/>
    <s v="TO_ITHFHWCRMDLCN49_Redundante"/>
    <x v="0"/>
    <b v="0"/>
    <s v="No está en VPC"/>
    <n v="869"/>
    <s v="INTPG_ACC_869_1.37"/>
    <s v="ISEL-1.37"/>
    <n v="2"/>
    <s v="NO TIENE L3OUT"/>
    <n v="288"/>
    <n v="54"/>
  </r>
  <r>
    <n v="861"/>
    <x v="2"/>
    <x v="102"/>
    <s v="eth1/37"/>
    <x v="0"/>
    <x v="0"/>
    <x v="0"/>
    <s v="To_VPC_2DCBSD_BD14_3"/>
    <x v="0"/>
    <b v="0"/>
    <s v="No está en VPC"/>
    <n v="861"/>
    <s v="INTPG_VPC_861_1.37_866_1.37"/>
    <s v="ISEL-1.37"/>
    <n v="1"/>
    <s v="NO TIENE L3OUT"/>
    <n v="8"/>
    <n v="54"/>
  </r>
  <r>
    <n v="874"/>
    <x v="2"/>
    <x v="103"/>
    <s v="eth1/37"/>
    <x v="0"/>
    <x v="0"/>
    <x v="0"/>
    <s v="A_ITHFHWSEQLCAS12_Redundante"/>
    <x v="4"/>
    <b v="0"/>
    <s v="No está en VPC"/>
    <n v="874"/>
    <s v="INTPG_ACC_874_1.37"/>
    <s v="ISEL-1.37"/>
    <n v="1"/>
    <s v="NO TIENE L3OUT"/>
    <n v="92"/>
    <n v="54"/>
  </r>
  <r>
    <n v="865"/>
    <x v="2"/>
    <x v="104"/>
    <s v="eth1/37"/>
    <x v="0"/>
    <x v="0"/>
    <x v="0"/>
    <s v="To_VPC_2DCBSD_BD19_1"/>
    <x v="0"/>
    <b v="0"/>
    <s v="No está en VPC"/>
    <n v="865"/>
    <s v="INTPG_VPC_860_1.37_865_1.37"/>
    <s v="ISEL-1.37"/>
    <n v="2"/>
    <s v="NO TIENE L3OUT"/>
    <n v="0"/>
    <n v="54"/>
  </r>
  <r>
    <n v="753"/>
    <x v="2"/>
    <x v="105"/>
    <s v="eth1/37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37"/>
    <x v="0"/>
    <x v="1"/>
    <x v="3"/>
    <m/>
    <x v="0"/>
    <b v="0"/>
    <s v="No está en VPC"/>
    <n v="708"/>
    <s v="NO EXISTE PG"/>
    <s v="NO EXISTE ISEL"/>
    <n v="0"/>
    <s v="NO TIENE L3OUT"/>
    <n v="0"/>
    <n v="54"/>
  </r>
  <r>
    <n v="710"/>
    <x v="2"/>
    <x v="107"/>
    <s v="eth1/37"/>
    <x v="1"/>
    <x v="1"/>
    <x v="3"/>
    <m/>
    <x v="0"/>
    <b v="0"/>
    <s v="No está en VPC"/>
    <n v="710"/>
    <s v="NO EXISTE PG"/>
    <s v="NO EXISTE ISEL"/>
    <n v="0"/>
    <s v="NO TIENE L3OUT"/>
    <n v="16"/>
    <n v="54"/>
  </r>
  <r>
    <n v="713"/>
    <x v="2"/>
    <x v="108"/>
    <s v="eth1/37"/>
    <x v="1"/>
    <x v="1"/>
    <x v="3"/>
    <m/>
    <x v="0"/>
    <b v="0"/>
    <s v="No está en VPC"/>
    <n v="713"/>
    <s v="NO EXISTE PG"/>
    <s v="NO EXISTE ISEL"/>
    <n v="0"/>
    <s v="NO TIENE L3OUT"/>
    <n v="32"/>
    <n v="54"/>
  </r>
  <r>
    <n v="735"/>
    <x v="2"/>
    <x v="109"/>
    <s v="eth1/37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37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37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37"/>
    <x v="0"/>
    <x v="1"/>
    <x v="1"/>
    <s v="ITHCEMA1APP19"/>
    <x v="0"/>
    <b v="0"/>
    <s v="No está en VPC"/>
    <n v="706"/>
    <s v="INTPG_VPC_705_1.38_706_1.37"/>
    <s v="ISEL-1.37"/>
    <n v="1"/>
    <s v="NO TIENE L3OUT"/>
    <n v="16"/>
    <n v="54"/>
  </r>
  <r>
    <n v="762"/>
    <x v="2"/>
    <x v="113"/>
    <s v="eth1/37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37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37"/>
    <x v="0"/>
    <x v="0"/>
    <x v="0"/>
    <s v="LINK_TO_ITHFHWCBSDSWR19 /Slot5.2 /Principal"/>
    <x v="0"/>
    <b v="0"/>
    <s v="No está en VPC"/>
    <n v="826"/>
    <s v="INTPG_VPC_826_1.37_830_1.37"/>
    <s v="ISEL-1.37"/>
    <n v="2"/>
    <s v="NO TIENE L3OUT"/>
    <n v="12"/>
    <n v="54"/>
  </r>
  <r>
    <n v="726"/>
    <x v="2"/>
    <x v="117"/>
    <s v="eth1/37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37"/>
    <x v="0"/>
    <x v="1"/>
    <x v="1"/>
    <m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37"/>
    <x v="1"/>
    <x v="1"/>
    <x v="3"/>
    <m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37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37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37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37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37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37"/>
    <x v="0"/>
    <x v="1"/>
    <x v="3"/>
    <m/>
    <x v="0"/>
    <b v="0"/>
    <s v="No está en VPC"/>
    <n v="709"/>
    <s v="NO EXISTE PG"/>
    <s v="NO EXISTE ISEL"/>
    <n v="0"/>
    <s v="NO TIENE L3OUT"/>
    <n v="0"/>
    <n v="54"/>
  </r>
  <r>
    <n v="454"/>
    <x v="1"/>
    <x v="126"/>
    <s v="eth1/37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37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37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37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37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37"/>
    <x v="0"/>
    <x v="0"/>
    <x v="0"/>
    <s v="ITHCEMB2COR19"/>
    <x v="5"/>
    <b v="0"/>
    <s v="No está en VPC"/>
    <n v="741"/>
    <s v="INTPG_ACC_741_1.37"/>
    <s v="ISEL-1.37"/>
    <n v="1"/>
    <s v="NO TIENE L3OUT"/>
    <n v="62"/>
    <n v="54"/>
  </r>
  <r>
    <n v="787"/>
    <x v="2"/>
    <x v="133"/>
    <s v="eth1/37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37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37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37"/>
    <x v="0"/>
    <x v="1"/>
    <x v="3"/>
    <m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37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37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37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37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37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37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37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37"/>
    <x v="0"/>
    <x v="0"/>
    <x v="0"/>
    <s v="CLOUD PASS PAYG F3:ITHHWOSCOPAP022:LOM P1"/>
    <x v="0"/>
    <b v="0"/>
    <s v="No está en VPC"/>
    <n v="774"/>
    <s v="INTPG_VPC_774_1.37_775_1.37"/>
    <s v="ISEL-1.37"/>
    <n v="24"/>
    <s v="NO TIENE L3OUT"/>
    <n v="0"/>
    <n v="54"/>
  </r>
  <r>
    <n v="773"/>
    <x v="2"/>
    <x v="145"/>
    <s v="eth1/37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37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37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37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37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37"/>
    <x v="0"/>
    <x v="0"/>
    <x v="0"/>
    <s v="TO-ITHFHWRHV2LMGMT01"/>
    <x v="0"/>
    <b v="0"/>
    <s v="No está en VPC"/>
    <n v="781"/>
    <s v="INTPG_VPC_780_1.36-37_781_1.36-37"/>
    <s v="ISEL-1.37"/>
    <n v="2"/>
    <s v="NO TIENE L3OUT"/>
    <n v="26"/>
    <n v="54"/>
  </r>
  <r>
    <n v="793"/>
    <x v="2"/>
    <x v="151"/>
    <s v="eth1/37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37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37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37"/>
    <x v="1"/>
    <x v="1"/>
    <x v="3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37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37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37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37"/>
    <x v="0"/>
    <x v="1"/>
    <x v="1"/>
    <m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37"/>
    <x v="0"/>
    <x v="0"/>
    <x v="0"/>
    <s v="CLOUD PASS PAYG F3:ITHHWOSCOPAP022:Slot 1 P1"/>
    <x v="0"/>
    <b v="0"/>
    <s v="No está en VPC"/>
    <n v="775"/>
    <s v="INTPG_VPC_774_1.37_775_1.37"/>
    <s v="ISEL-1.37"/>
    <n v="24"/>
    <s v="NO TIENE L3OUT"/>
    <n v="0"/>
    <n v="54"/>
  </r>
  <r>
    <n v="791"/>
    <x v="2"/>
    <x v="160"/>
    <s v="eth1/37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37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37"/>
    <x v="0"/>
    <x v="0"/>
    <x v="0"/>
    <s v="LINK_TO_ITHFHWCBSDSWR19 /Slot7.2 /Redundante"/>
    <x v="0"/>
    <b v="0"/>
    <s v="No está en VPC"/>
    <n v="830"/>
    <s v="INTPG_VPC_826_1.37_830_1.37"/>
    <s v="ISEL-1.37"/>
    <n v="2"/>
    <s v="NO TIENE L3OUT"/>
    <n v="12"/>
    <n v="54"/>
  </r>
  <r>
    <n v="821"/>
    <x v="2"/>
    <x v="163"/>
    <s v="eth1/37"/>
    <x v="0"/>
    <x v="0"/>
    <x v="0"/>
    <s v="LINK_TO_ITHFHWCBSPSWR19 /Slot7.2 /Redundante"/>
    <x v="0"/>
    <b v="0"/>
    <s v="No está en VPC"/>
    <n v="821"/>
    <s v="INTPG_VPC_816_1.37_821_1.37"/>
    <s v="ISEL-1.37"/>
    <n v="2"/>
    <s v="NO TIENE L3OUT"/>
    <n v="0"/>
    <n v="54"/>
  </r>
  <r>
    <n v="738"/>
    <x v="2"/>
    <x v="164"/>
    <s v="eth1/37"/>
    <x v="0"/>
    <x v="1"/>
    <x v="1"/>
    <m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37"/>
    <x v="0"/>
    <x v="0"/>
    <x v="0"/>
    <s v="To_ITHHWD6KV65100010DKC01_Principal"/>
    <x v="0"/>
    <b v="0"/>
    <s v="No está en VPC"/>
    <n v="820"/>
    <s v="INTPG_ACC_820_1.37"/>
    <s v="ISEL-1.37"/>
    <n v="1"/>
    <s v="NO TIENE L3OUT"/>
    <n v="72"/>
    <n v="54"/>
  </r>
  <r>
    <n v="804"/>
    <x v="2"/>
    <x v="166"/>
    <s v="eth1/37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37"/>
    <x v="0"/>
    <x v="1"/>
    <x v="3"/>
    <s v="CLOUD OPS:ithhwcop01st01ce03:A IOM1 Smart IO P1"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37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37"/>
    <x v="0"/>
    <x v="0"/>
    <x v="0"/>
    <s v="LINK_TO_ITHFHWCBSDSWR28 /Slot4.2 /Principal"/>
    <x v="0"/>
    <b v="0"/>
    <s v="No está en VPC"/>
    <n v="827"/>
    <s v="INTPG_VPC_827_1.37_831_1.37"/>
    <s v="ISEL-1.37"/>
    <n v="1"/>
    <s v="NO TIENE L3OUT"/>
    <n v="14"/>
    <n v="54"/>
  </r>
  <r>
    <n v="809"/>
    <x v="2"/>
    <x v="170"/>
    <s v="eth1/37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37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37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37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37"/>
    <x v="1"/>
    <x v="1"/>
    <x v="3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37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37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37"/>
    <x v="0"/>
    <x v="0"/>
    <x v="0"/>
    <s v="LINK_TO_ITHFHWCRMPLCN113 / Slot7.1_30 / Redundante"/>
    <x v="0"/>
    <b v="0"/>
    <s v="No está en VPC"/>
    <n v="851"/>
    <s v="INTPG_ACC_851_1.37"/>
    <s v="ISEL-1.37"/>
    <n v="6"/>
    <s v="NO TIENE L3OUT"/>
    <n v="282"/>
    <n v="54"/>
  </r>
  <r>
    <n v="798"/>
    <x v="2"/>
    <x v="178"/>
    <s v="eth1/37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37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37"/>
    <x v="0"/>
    <x v="0"/>
    <x v="0"/>
    <s v="LINK_TO_ITHFHWCRMPLCN96 / Slot7.2_24 / Redundante"/>
    <x v="0"/>
    <b v="0"/>
    <s v="No está en VPC"/>
    <n v="852"/>
    <s v="INTPG_ACC_852_1.37"/>
    <s v="ISEL-1.37"/>
    <n v="2"/>
    <s v="NO TIENE L3OUT"/>
    <n v="258"/>
    <n v="54"/>
  </r>
  <r>
    <n v="817"/>
    <x v="2"/>
    <x v="181"/>
    <s v="eth1/37"/>
    <x v="0"/>
    <x v="0"/>
    <x v="0"/>
    <s v="LINK_TO_ITHFHWCBSPSWR26 /Slot5.2 /Principal"/>
    <x v="0"/>
    <b v="0"/>
    <s v="No está en VPC"/>
    <n v="817"/>
    <s v="INTPG_VPC_817_1.37_822_1.37"/>
    <s v="ISEL-1.37"/>
    <n v="2"/>
    <s v="NO TIENE L3OUT"/>
    <n v="0"/>
    <n v="54"/>
  </r>
  <r>
    <n v="832"/>
    <x v="2"/>
    <x v="182"/>
    <s v="eth1/37"/>
    <x v="0"/>
    <x v="0"/>
    <x v="0"/>
    <s v="LINK_TO_ITHFHWCRMDLCN27 /Slot6.2 /Redundante"/>
    <x v="0"/>
    <b v="0"/>
    <s v="No está en VPC"/>
    <n v="832"/>
    <s v="INTPG_ACC_832_1.37"/>
    <s v="ISEL-1.37"/>
    <n v="1"/>
    <s v="NO TIENE L3OUT"/>
    <n v="192"/>
    <n v="54"/>
  </r>
  <r>
    <n v="816"/>
    <x v="2"/>
    <x v="183"/>
    <s v="eth1/37"/>
    <x v="0"/>
    <x v="0"/>
    <x v="0"/>
    <s v="LINK_TO_ITHFHWCBSPSWR19 /Slot5.2 /Principal"/>
    <x v="0"/>
    <b v="0"/>
    <s v="No está en VPC"/>
    <n v="816"/>
    <s v="INTPG_VPC_816_1.37_821_1.37"/>
    <s v="ISEL-1.37"/>
    <n v="2"/>
    <s v="NO TIENE L3OUT"/>
    <n v="0"/>
    <n v="54"/>
  </r>
  <r>
    <n v="825"/>
    <x v="2"/>
    <x v="184"/>
    <s v="eth1/37"/>
    <x v="0"/>
    <x v="0"/>
    <x v="0"/>
    <s v="To_ITHHWD6KV65100010DKC01_Redundante"/>
    <x v="0"/>
    <b v="0"/>
    <s v="No está en VPC"/>
    <n v="825"/>
    <s v="INTPG_ACC_825_1.37"/>
    <s v="ISEL-1.37"/>
    <n v="1"/>
    <s v="NO TIENE L3OUT"/>
    <n v="72"/>
    <n v="54"/>
  </r>
  <r>
    <n v="800"/>
    <x v="2"/>
    <x v="185"/>
    <s v="eth1/37"/>
    <x v="0"/>
    <x v="0"/>
    <x v="0"/>
    <s v="TO-ITHFDEOCP1LWR10-REDUNDANTE"/>
    <x v="0"/>
    <b v="0"/>
    <s v="No está en VPC"/>
    <n v="800"/>
    <s v="INTPG_ACC_800_1.37"/>
    <s v="ISEL-1.37"/>
    <n v="1"/>
    <s v="NO TIENE L3OUT"/>
    <n v="78"/>
    <n v="54"/>
  </r>
  <r>
    <n v="801"/>
    <x v="2"/>
    <x v="186"/>
    <s v="eth1/37"/>
    <x v="0"/>
    <x v="0"/>
    <x v="0"/>
    <s v="TO-ITHFDEOCP1LWR10-PRINCIPAL"/>
    <x v="0"/>
    <b v="0"/>
    <s v="No está en VPC"/>
    <n v="801"/>
    <s v="INTPG_ACC_801_1.37"/>
    <s v="ISEL-1.37"/>
    <n v="1"/>
    <s v="NO TIENE L3OUT"/>
    <n v="78"/>
    <n v="54"/>
  </r>
  <r>
    <n v="823"/>
    <x v="2"/>
    <x v="187"/>
    <s v="eth1/37"/>
    <x v="0"/>
    <x v="0"/>
    <x v="0"/>
    <s v="LINK_TO_ITHFHWCBSPSWR36 /Slot6.2 /Redundante"/>
    <x v="0"/>
    <b v="0"/>
    <s v="No está en VPC"/>
    <n v="823"/>
    <s v="INTPG_VPC_818_1.37_823_1.37"/>
    <s v="ISEL-1.37"/>
    <n v="1"/>
    <s v="NO TIENE L3OUT"/>
    <n v="8"/>
    <n v="54"/>
  </r>
  <r>
    <n v="837"/>
    <x v="2"/>
    <x v="188"/>
    <s v="eth1/37"/>
    <x v="0"/>
    <x v="0"/>
    <x v="0"/>
    <s v="LINK_To_ITHFHWCBSPSHD20 / Slot1.2_16 / Principal"/>
    <x v="0"/>
    <b v="0"/>
    <s v="No está en VPC"/>
    <n v="837"/>
    <s v="INTPG_VPC_837_1.37_842_1.37"/>
    <s v="ISEL-1.37"/>
    <n v="1"/>
    <s v="NO TIENE L3OUT"/>
    <n v="8"/>
    <n v="54"/>
  </r>
  <r>
    <n v="867"/>
    <x v="2"/>
    <x v="189"/>
    <s v="eth1/37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37"/>
    <x v="0"/>
    <x v="0"/>
    <x v="0"/>
    <s v="To_ITHFHWCRMDLCN47_Principal"/>
    <x v="0"/>
    <b v="0"/>
    <s v="No está en VPC"/>
    <n v="829"/>
    <s v="INTPG_ACC_829_1.37"/>
    <s v="ISEL-1.37"/>
    <n v="2"/>
    <s v="NO TIENE L3OUT"/>
    <n v="224"/>
    <n v="54"/>
  </r>
  <r>
    <n v="831"/>
    <x v="2"/>
    <x v="191"/>
    <s v="eth1/37"/>
    <x v="0"/>
    <x v="0"/>
    <x v="0"/>
    <s v="LINK_TO_ITHFHWCBSDSWR28 /Slot6.2 /Redundante"/>
    <x v="0"/>
    <b v="0"/>
    <s v="No está en VPC"/>
    <n v="831"/>
    <s v="INTPG_VPC_827_1.37_831_1.37"/>
    <s v="ISEL-1.37"/>
    <n v="1"/>
    <s v="NO TIENE L3OUT"/>
    <n v="14"/>
    <n v="54"/>
  </r>
  <r>
    <n v="802"/>
    <x v="2"/>
    <x v="192"/>
    <s v="eth1/37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37"/>
    <x v="0"/>
    <x v="0"/>
    <x v="0"/>
    <s v="LINK_TO_ITHFHWCBSPSHD34 / Slot1.3_20 / Principal"/>
    <x v="0"/>
    <b v="0"/>
    <s v="No está en VPC"/>
    <n v="835"/>
    <s v="INTPG_VPC_835_1.37_840_1.37"/>
    <s v="ISEL-1.37"/>
    <n v="1"/>
    <s v="NO TIENE L3OUT"/>
    <n v="8"/>
    <n v="54"/>
  </r>
  <r>
    <n v="822"/>
    <x v="2"/>
    <x v="194"/>
    <s v="eth1/37"/>
    <x v="0"/>
    <x v="0"/>
    <x v="0"/>
    <s v="LINK_TO_ITHFHWCBSPSWR26 /Slot7.2 /Redundante"/>
    <x v="0"/>
    <b v="0"/>
    <s v="No está en VPC"/>
    <n v="822"/>
    <s v="INTPG_VPC_817_1.37_822_1.37"/>
    <s v="ISEL-1.37"/>
    <n v="2"/>
    <s v="NO TIENE L3OUT"/>
    <n v="0"/>
    <n v="54"/>
  </r>
  <r>
    <n v="854"/>
    <x v="2"/>
    <x v="195"/>
    <s v="eth1/37"/>
    <x v="0"/>
    <x v="0"/>
    <x v="0"/>
    <s v="LINK_TO_ITHFHWCRMPLCN177 / Slot1.3_24 / Principal"/>
    <x v="0"/>
    <b v="0"/>
    <s v="No está en VPC"/>
    <n v="854"/>
    <s v="INTPG_ACC_854_1.37"/>
    <s v="ISEL-1.37"/>
    <n v="1"/>
    <s v="NO TIENE L3OUT"/>
    <n v="204"/>
    <n v="54"/>
  </r>
  <r>
    <n v="858"/>
    <x v="2"/>
    <x v="196"/>
    <s v="eth1/37"/>
    <x v="0"/>
    <x v="0"/>
    <x v="0"/>
    <s v="To_VPC_2DCBSD_WR57_1"/>
    <x v="0"/>
    <b v="0"/>
    <s v="No está en VPC"/>
    <n v="858"/>
    <s v="INTPG_VPC_858_1.37_863_1.37"/>
    <s v="ISEL-1.37"/>
    <n v="2"/>
    <s v="NO TIENE L3OUT"/>
    <n v="8"/>
    <n v="54"/>
  </r>
  <r>
    <n v="857"/>
    <x v="2"/>
    <x v="197"/>
    <s v="eth1/37"/>
    <x v="0"/>
    <x v="0"/>
    <x v="0"/>
    <s v="LINKT_TO_ITHFHWCRMPLCN127 / Slot1.3_24 / Principal"/>
    <x v="0"/>
    <b v="0"/>
    <s v="No está en VPC"/>
    <n v="857"/>
    <s v="INTPG_ACC_857_1.37"/>
    <s v="ISEL-1.37"/>
    <n v="1"/>
    <s v="NO TIENE L3OUT"/>
    <n v="288"/>
    <n v="54"/>
  </r>
  <r>
    <n v="859"/>
    <x v="2"/>
    <x v="198"/>
    <s v="eth1/37"/>
    <x v="0"/>
    <x v="0"/>
    <x v="0"/>
    <s v="To_VPC_2DCBSD_WR48_1"/>
    <x v="0"/>
    <b v="0"/>
    <s v="No está en VPC"/>
    <n v="859"/>
    <s v="INTPG_VPC_859_1.37_864_1.37"/>
    <s v="ISEL-1.37"/>
    <n v="2"/>
    <s v="NO TIENE L3OUT"/>
    <n v="0"/>
    <n v="54"/>
  </r>
  <r>
    <n v="833"/>
    <x v="2"/>
    <x v="199"/>
    <s v="eth1/37"/>
    <x v="0"/>
    <x v="0"/>
    <x v="0"/>
    <s v="To_ITHFHWCRMDLCN47_Redundante"/>
    <x v="0"/>
    <b v="0"/>
    <s v="No está en VPC"/>
    <n v="833"/>
    <s v="INTPG_ACC_833_1.37"/>
    <s v="ISEL-1.37"/>
    <n v="2"/>
    <s v="NO TIENE L3OUT"/>
    <n v="224"/>
    <n v="54"/>
  </r>
  <r>
    <n v="818"/>
    <x v="2"/>
    <x v="200"/>
    <s v="eth1/37"/>
    <x v="0"/>
    <x v="0"/>
    <x v="0"/>
    <s v="LINK_TO_ITHFHWCBSPSWR36 /Slot4.2 /Principal"/>
    <x v="0"/>
    <b v="0"/>
    <s v="No está en VPC"/>
    <n v="818"/>
    <s v="INTPG_VPC_818_1.37_823_1.37"/>
    <s v="ISEL-1.37"/>
    <n v="1"/>
    <s v="NO TIENE L3OUT"/>
    <n v="8"/>
    <n v="54"/>
  </r>
  <r>
    <n v="850"/>
    <x v="2"/>
    <x v="201"/>
    <s v="eth1/37"/>
    <x v="0"/>
    <x v="0"/>
    <x v="0"/>
    <s v="LINKT_TO_ITHFHWCRMPLCN127 / Slot7.3_24 / Redundante"/>
    <x v="0"/>
    <b v="0"/>
    <s v="No está en VPC"/>
    <n v="850"/>
    <s v="INTPG_ACC_850_1.37"/>
    <s v="ISEL-1.37"/>
    <n v="1"/>
    <s v="NO TIENE L3OUT"/>
    <n v="288"/>
    <n v="54"/>
  </r>
  <r>
    <n v="860"/>
    <x v="2"/>
    <x v="202"/>
    <s v="eth1/37"/>
    <x v="0"/>
    <x v="0"/>
    <x v="0"/>
    <s v="To_VPC_2DCBSD_BD19_1"/>
    <x v="0"/>
    <b v="0"/>
    <s v="No está en VPC"/>
    <n v="860"/>
    <s v="INTPG_VPC_860_1.37_865_1.37"/>
    <s v="ISEL-1.37"/>
    <n v="2"/>
    <s v="NO TIENE L3OUT"/>
    <n v="0"/>
    <n v="54"/>
  </r>
  <r>
    <n v="853"/>
    <x v="2"/>
    <x v="203"/>
    <s v="eth1/37"/>
    <x v="0"/>
    <x v="0"/>
    <x v="0"/>
    <s v="LINK_TO_ITHFHWCRMPLCN84 / Slot7.1_26 / Redundante"/>
    <x v="0"/>
    <b v="0"/>
    <s v="No está en VPC"/>
    <n v="853"/>
    <s v="INTPG_ACC_853_1.37"/>
    <s v="ISEL-1.37"/>
    <n v="6"/>
    <s v="NO TIENE L3OUT"/>
    <n v="242"/>
    <n v="54"/>
  </r>
  <r>
    <n v="790"/>
    <x v="2"/>
    <x v="204"/>
    <s v="eth1/37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37"/>
    <x v="1"/>
    <x v="1"/>
    <x v="2"/>
    <s v="DESC"/>
    <x v="6"/>
    <b v="0"/>
    <s v="No está en VPC"/>
    <n v="105"/>
    <s v="INTPG_PC_105_1.20_25_37"/>
    <s v="ISEL-1.37"/>
    <n v="2"/>
    <s v="NO TIENE L3OUT"/>
    <n v="106"/>
    <n v="96"/>
  </r>
  <r>
    <n v="117"/>
    <x v="0"/>
    <x v="206"/>
    <s v="eth1/37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37"/>
    <x v="1"/>
    <x v="1"/>
    <x v="2"/>
    <s v="DESC"/>
    <x v="6"/>
    <b v="0"/>
    <s v="No está en VPC"/>
    <n v="104"/>
    <s v="INTPG_PC_104_1.32-39"/>
    <s v="ISEL-1.37"/>
    <n v="0"/>
    <s v="NO TIENE L3OUT"/>
    <n v="194"/>
    <n v="96"/>
  </r>
  <r>
    <n v="158"/>
    <x v="0"/>
    <x v="208"/>
    <s v="eth1/37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37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37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37"/>
    <x v="0"/>
    <x v="1"/>
    <x v="1"/>
    <m/>
    <x v="6"/>
    <b v="0"/>
    <s v="No está en VPC"/>
    <n v="108"/>
    <s v="INTPG_ACC_108_1.37"/>
    <s v="ISEL-1.37"/>
    <n v="1"/>
    <s v="NO TIENE L3OUT"/>
    <n v="126"/>
    <n v="96"/>
  </r>
  <r>
    <n v="112"/>
    <x v="0"/>
    <x v="212"/>
    <s v="eth1/37"/>
    <x v="0"/>
    <x v="0"/>
    <x v="0"/>
    <s v="CHARGING SYSTEM"/>
    <x v="6"/>
    <b v="0"/>
    <s v="No está en VPC"/>
    <n v="112"/>
    <s v="INTPG_ACC_112_1.37"/>
    <s v="ISEL-1.37"/>
    <n v="1"/>
    <s v="NO TIENE L3OUT"/>
    <n v="144"/>
    <n v="96"/>
  </r>
  <r>
    <n v="107"/>
    <x v="0"/>
    <x v="213"/>
    <s v="eth1/37"/>
    <x v="0"/>
    <x v="0"/>
    <x v="0"/>
    <s v="OPEN VIEW BACK"/>
    <x v="6"/>
    <b v="0"/>
    <s v="No está en VPC"/>
    <n v="107"/>
    <s v="INTPG_ACC_107_1.37"/>
    <s v="ISEL-1.37"/>
    <n v="1"/>
    <s v="NO TIENE L3OUT"/>
    <n v="118"/>
    <n v="96"/>
  </r>
  <r>
    <n v="109"/>
    <x v="0"/>
    <x v="214"/>
    <s v="eth1/37"/>
    <x v="1"/>
    <x v="1"/>
    <x v="2"/>
    <m/>
    <x v="6"/>
    <b v="0"/>
    <s v="No está en VPC"/>
    <n v="109"/>
    <s v="INTPG_ACC_109_1.37"/>
    <s v="ISEL-1.37"/>
    <n v="1"/>
    <s v="NO TIENE L3OUT"/>
    <n v="126"/>
    <n v="96"/>
  </r>
  <r>
    <n v="113"/>
    <x v="0"/>
    <x v="215"/>
    <s v="eth1/37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37"/>
    <x v="0"/>
    <x v="0"/>
    <x v="0"/>
    <s v="NODO AIR CS4 R9"/>
    <x v="6"/>
    <b v="0"/>
    <s v="No está en VPC"/>
    <n v="114"/>
    <s v="INTPG_ACC_114_1.37"/>
    <s v="ISEL-1.37"/>
    <n v="1"/>
    <s v="NO TIENE L3OUT"/>
    <n v="144"/>
    <n v="96"/>
  </r>
  <r>
    <n v="124"/>
    <x v="0"/>
    <x v="217"/>
    <s v="eth1/37"/>
    <x v="0"/>
    <x v="0"/>
    <x v="0"/>
    <s v="ixtossgw1_3"/>
    <x v="6"/>
    <b v="0"/>
    <s v="No está en VPC"/>
    <n v="124"/>
    <s v="INTPG_ACC_124_1.37"/>
    <s v="ISEL-1.37"/>
    <n v="1"/>
    <s v="NO TIENE L3OUT"/>
    <n v="80"/>
    <n v="96"/>
  </r>
  <r>
    <n v="118"/>
    <x v="0"/>
    <x v="218"/>
    <s v="eth1/37"/>
    <x v="0"/>
    <x v="0"/>
    <x v="0"/>
    <s v="INGE6"/>
    <x v="6"/>
    <b v="0"/>
    <s v="No está en VPC"/>
    <n v="118"/>
    <s v="INTPG_ACC_118_1.37"/>
    <s v="ISEL-1.37"/>
    <n v="1"/>
    <s v="NO TIENE L3OUT"/>
    <n v="180"/>
    <n v="96"/>
  </r>
  <r>
    <n v="159"/>
    <x v="0"/>
    <x v="219"/>
    <s v="eth1/37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37"/>
    <x v="0"/>
    <x v="0"/>
    <x v="0"/>
    <s v="LINK_TO_ITHFHWCBSPSHD34 / Slot7.3_20 / Redundante"/>
    <x v="0"/>
    <b v="0"/>
    <s v="No está en VPC"/>
    <n v="840"/>
    <s v="INTPG_VPC_835_1.37_840_1.37"/>
    <s v="ISEL-1.37"/>
    <n v="1"/>
    <s v="NO TIENE L3OUT"/>
    <n v="8"/>
    <n v="54"/>
  </r>
  <r>
    <n v="856"/>
    <x v="2"/>
    <x v="221"/>
    <s v="eth1/37"/>
    <x v="0"/>
    <x v="0"/>
    <x v="0"/>
    <s v="LINK_TO_ITHFHWCRMPLCN146 / Slot1.3_26 / Principal"/>
    <x v="0"/>
    <b v="0"/>
    <s v="No está en VPC"/>
    <n v="856"/>
    <s v="INTPG_ACC_856_1.37"/>
    <s v="ISEL-1.37"/>
    <n v="1"/>
    <s v="NO TIENE L3OUT"/>
    <n v="286"/>
    <n v="54"/>
  </r>
  <r>
    <n v="110"/>
    <x v="0"/>
    <x v="222"/>
    <s v="eth1/37"/>
    <x v="0"/>
    <x v="0"/>
    <x v="0"/>
    <s v="SERVIDOR BKP-VNX"/>
    <x v="6"/>
    <b v="0"/>
    <s v="No está en VPC"/>
    <n v="110"/>
    <s v="INTPG_ACC_110_1.37"/>
    <s v="ISEL-1.37"/>
    <n v="1"/>
    <s v="NO TIENE L3OUT"/>
    <n v="102"/>
    <n v="96"/>
  </r>
  <r>
    <n v="163"/>
    <x v="0"/>
    <x v="223"/>
    <s v="eth1/37"/>
    <x v="0"/>
    <x v="0"/>
    <x v="0"/>
    <s v="MULTIMEDIACION_1"/>
    <x v="6"/>
    <b v="0"/>
    <s v="No está en VPC"/>
    <n v="163"/>
    <s v="INTPG_ACC_163_1.37"/>
    <s v="ISEL-1.37"/>
    <n v="1"/>
    <s v="NO TIENE L3OUT"/>
    <n v="140"/>
    <n v="96"/>
  </r>
  <r>
    <n v="407"/>
    <x v="1"/>
    <x v="224"/>
    <s v="eth1/37"/>
    <x v="0"/>
    <x v="0"/>
    <x v="0"/>
    <s v="Uxcppnal_ilo"/>
    <x v="6"/>
    <b v="0"/>
    <s v="No está en VPC"/>
    <n v="407"/>
    <s v="INTPG_ACC_407_1.37"/>
    <s v="ISEL-1.37"/>
    <n v="1"/>
    <s v="NO TIENE L3OUT"/>
    <n v="122"/>
    <n v="96"/>
  </r>
  <r>
    <n v="171"/>
    <x v="0"/>
    <x v="225"/>
    <s v="eth1/37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37"/>
    <x v="0"/>
    <x v="0"/>
    <x v="0"/>
    <s v="VTA_F5_2_eth0"/>
    <x v="6"/>
    <b v="0"/>
    <s v="No está en VPC"/>
    <n v="421"/>
    <s v="INTPG_ACC_421_1.37"/>
    <s v="ISEL-1.37"/>
    <n v="1"/>
    <s v="NO TIENE L3OUT"/>
    <n v="72"/>
    <n v="96"/>
  </r>
  <r>
    <n v="173"/>
    <x v="0"/>
    <x v="227"/>
    <s v="eth1/37"/>
    <x v="0"/>
    <x v="0"/>
    <x v="0"/>
    <s v="ENIQ"/>
    <x v="6"/>
    <b v="0"/>
    <s v="No está en VPC"/>
    <n v="173"/>
    <s v="INTPG_ACC_173_1.37"/>
    <s v="ISEL-1.37"/>
    <n v="1"/>
    <s v="NO TIENE L3OUT"/>
    <n v="66"/>
    <n v="96"/>
  </r>
  <r>
    <n v="154"/>
    <x v="0"/>
    <x v="228"/>
    <s v="eth1/37"/>
    <x v="0"/>
    <x v="0"/>
    <x v="0"/>
    <s v="POLYVIEW_SERVIDOR"/>
    <x v="6"/>
    <b v="0"/>
    <s v="No está en VPC"/>
    <n v="154"/>
    <s v="INTPG_ACC_154_1.37"/>
    <s v="ISEL-1.37"/>
    <n v="1"/>
    <s v="NO TIENE L3OUT"/>
    <n v="62"/>
    <n v="96"/>
  </r>
  <r>
    <n v="172"/>
    <x v="0"/>
    <x v="229"/>
    <s v="eth1/37"/>
    <x v="0"/>
    <x v="0"/>
    <x v="0"/>
    <s v="HP_Performance_Insight"/>
    <x v="6"/>
    <b v="0"/>
    <s v="No está en VPC"/>
    <n v="172"/>
    <s v="INTPG_ACC_172_1.37"/>
    <s v="ISEL-1.37"/>
    <n v="1"/>
    <s v="NO TIENE L3OUT"/>
    <n v="104"/>
    <n v="96"/>
  </r>
  <r>
    <n v="420"/>
    <x v="1"/>
    <x v="230"/>
    <s v="eth1/37"/>
    <x v="0"/>
    <x v="0"/>
    <x v="0"/>
    <s v="TO-ITHFDEOCP1LWR04-PRINCIPAL"/>
    <x v="6"/>
    <b v="0"/>
    <s v="No está en VPC"/>
    <n v="420"/>
    <s v="INTPG_ACC_420_1.37"/>
    <s v="ISEL-1.37"/>
    <n v="1"/>
    <s v="NO TIENE L3OUT"/>
    <n v="158"/>
    <n v="96"/>
  </r>
  <r>
    <n v="423"/>
    <x v="1"/>
    <x v="231"/>
    <s v="eth1/37"/>
    <x v="0"/>
    <x v="0"/>
    <x v="0"/>
    <s v="SPECSERVER1_VMOTION2"/>
    <x v="6"/>
    <b v="0"/>
    <s v="No está en VPC"/>
    <n v="423"/>
    <s v="INTPG_ACC_423_1.37"/>
    <s v="ISEL-1.37"/>
    <n v="1"/>
    <s v="NO TIENE L3OUT"/>
    <n v="86"/>
    <n v="96"/>
  </r>
  <r>
    <n v="415"/>
    <x v="1"/>
    <x v="232"/>
    <s v="eth1/37"/>
    <x v="0"/>
    <x v="0"/>
    <x v="0"/>
    <s v="To-uxingemc3 ldom3 uxinghdr5"/>
    <x v="6"/>
    <b v="0"/>
    <s v="No está en VPC"/>
    <n v="415"/>
    <s v="INTPG_ACC_415_1.37"/>
    <s v="ISEL-1.37"/>
    <n v="1"/>
    <s v="NO TIENE L3OUT"/>
    <n v="52"/>
    <n v="96"/>
  </r>
  <r>
    <n v="102"/>
    <x v="0"/>
    <x v="233"/>
    <s v="eth1/37"/>
    <x v="0"/>
    <x v="1"/>
    <x v="1"/>
    <s v="SFLDI:RLDIWEB03:1"/>
    <x v="6"/>
    <b v="0"/>
    <s v="No está en VPC"/>
    <n v="102"/>
    <s v="INTPG_ACC_102_1.37"/>
    <s v="ISEL-1.37"/>
    <n v="1"/>
    <s v="NO TIENE L3OUT"/>
    <n v="228"/>
    <n v="96"/>
  </r>
  <r>
    <n v="863"/>
    <x v="2"/>
    <x v="234"/>
    <s v="eth1/37"/>
    <x v="0"/>
    <x v="0"/>
    <x v="0"/>
    <s v="To_VPC_2DCBSD_WR57_1"/>
    <x v="0"/>
    <b v="0"/>
    <s v="No está en VPC"/>
    <n v="863"/>
    <s v="INTPG_VPC_858_1.37_863_1.37"/>
    <s v="ISEL-1.37"/>
    <n v="2"/>
    <s v="NO TIENE L3OUT"/>
    <n v="8"/>
    <n v="54"/>
  </r>
  <r>
    <n v="876"/>
    <x v="2"/>
    <x v="235"/>
    <s v="eth1/37"/>
    <x v="0"/>
    <x v="0"/>
    <x v="0"/>
    <s v="A_ITHFHWSEQLCAS12_Principal"/>
    <x v="4"/>
    <b v="0"/>
    <s v="No está en VPC"/>
    <n v="876"/>
    <s v="INTPG_ACC_876_1.37"/>
    <s v="ISEL-1.37"/>
    <n v="1"/>
    <s v="NO TIENE L3OUT"/>
    <n v="92"/>
    <n v="54"/>
  </r>
  <r>
    <n v="877"/>
    <x v="2"/>
    <x v="236"/>
    <s v="eth1/37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37"/>
    <x v="0"/>
    <x v="0"/>
    <x v="0"/>
    <s v="IXTRTC5"/>
    <x v="6"/>
    <b v="0"/>
    <s v="No está en VPC"/>
    <n v="122"/>
    <s v="INTPG_ACC_122_1.37"/>
    <s v="ISEL-1.37"/>
    <n v="1"/>
    <s v="NO TIENE L3OUT"/>
    <n v="148"/>
    <n v="96"/>
  </r>
  <r>
    <n v="157"/>
    <x v="0"/>
    <x v="238"/>
    <s v="eth1/37"/>
    <x v="0"/>
    <x v="1"/>
    <x v="1"/>
    <s v="GESTOR HUAWEI U2000 MW Tx"/>
    <x v="6"/>
    <b v="0"/>
    <s v="No está en VPC"/>
    <n v="157"/>
    <s v="INTPG_ACC_157_1.37"/>
    <s v="ISEL-1.37"/>
    <n v="1"/>
    <s v="NO TIENE L3OUT"/>
    <n v="202"/>
    <n v="96"/>
  </r>
  <r>
    <n v="408"/>
    <x v="1"/>
    <x v="239"/>
    <s v="eth1/37"/>
    <x v="0"/>
    <x v="1"/>
    <x v="1"/>
    <s v="HNMD101A"/>
    <x v="6"/>
    <b v="0"/>
    <s v="No está en VPC"/>
    <n v="408"/>
    <s v="INTPG_ACC_408_1.37"/>
    <s v="ISEL-1.37"/>
    <n v="1"/>
    <s v="NO TIENE L3OUT"/>
    <n v="152"/>
    <n v="96"/>
  </r>
  <r>
    <n v="405"/>
    <x v="1"/>
    <x v="240"/>
    <s v="eth1/37"/>
    <x v="0"/>
    <x v="0"/>
    <x v="0"/>
    <s v="IXT_ARIESO7_BD1"/>
    <x v="6"/>
    <b v="0"/>
    <s v="No está en VPC"/>
    <n v="405"/>
    <s v="INTPG_ACC_405_1.37"/>
    <s v="ISEL-1.37"/>
    <n v="1"/>
    <s v="NO TIENE L3OUT"/>
    <n v="138"/>
    <n v="96"/>
  </r>
  <r>
    <n v="169"/>
    <x v="0"/>
    <x v="241"/>
    <s v="eth1/37"/>
    <x v="0"/>
    <x v="0"/>
    <x v="0"/>
    <s v="TO-ITHFDENBURBKP04(IXTFDLBKP7RAP)-PRINCIPAL"/>
    <x v="6"/>
    <b v="0"/>
    <s v="No está en VPC"/>
    <n v="169"/>
    <s v="INTPG_ACC_169_1.37"/>
    <s v="ISEL-1.37"/>
    <n v="1"/>
    <s v="NO TIENE L3OUT"/>
    <n v="76"/>
    <n v="96"/>
  </r>
  <r>
    <n v="165"/>
    <x v="0"/>
    <x v="242"/>
    <s v="eth1/37"/>
    <x v="0"/>
    <x v="0"/>
    <x v="0"/>
    <s v="NOMINA_uxrhmon1"/>
    <x v="6"/>
    <b v="0"/>
    <s v="No está en VPC"/>
    <n v="165"/>
    <s v="INTPG_ACC_165_1.37"/>
    <s v="ISEL-1.37"/>
    <n v="1"/>
    <s v="NO TIENE L3OUT"/>
    <n v="86"/>
    <n v="96"/>
  </r>
  <r>
    <n v="417"/>
    <x v="1"/>
    <x v="243"/>
    <s v="eth1/37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37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37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37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37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37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37"/>
    <x v="0"/>
    <x v="0"/>
    <x v="0"/>
    <s v="PCRF4_CLT"/>
    <x v="6"/>
    <b v="0"/>
    <s v="No está en VPC"/>
    <n v="406"/>
    <s v="INTPG_VPC_404_1.41-42_406_1.37-38"/>
    <s v="ISEL-1.37"/>
    <n v="5"/>
    <s v="NO TIENE L3OUT"/>
    <n v="82"/>
    <n v="96"/>
  </r>
  <r>
    <n v="414"/>
    <x v="1"/>
    <x v="250"/>
    <s v="eth1/37"/>
    <x v="0"/>
    <x v="1"/>
    <x v="1"/>
    <s v="IXTPF1PCRF"/>
    <x v="6"/>
    <b v="0"/>
    <s v="No está en VPC"/>
    <n v="414"/>
    <s v="INTPG_ACC_414_1.37"/>
    <s v="ISEL-1.37"/>
    <n v="1"/>
    <s v="NO TIENE L3OUT"/>
    <n v="144"/>
    <n v="96"/>
  </r>
  <r>
    <n v="416"/>
    <x v="1"/>
    <x v="251"/>
    <s v="eth1/37"/>
    <x v="0"/>
    <x v="1"/>
    <x v="1"/>
    <s v="DESC"/>
    <x v="6"/>
    <b v="0"/>
    <s v="No está en VPC"/>
    <n v="416"/>
    <s v="INTPG_PC_416_1.32-39"/>
    <s v="ISEL-1.37"/>
    <n v="8"/>
    <s v="NO TIENE L3OUT"/>
    <n v="110"/>
    <n v="96"/>
  </r>
  <r>
    <n v="418"/>
    <x v="1"/>
    <x v="252"/>
    <s v="eth1/37"/>
    <x v="0"/>
    <x v="1"/>
    <x v="1"/>
    <s v="DESC"/>
    <x v="6"/>
    <b v="0"/>
    <s v="No está en VPC"/>
    <n v="418"/>
    <s v="INTPG_PC_418_1.32-39"/>
    <s v="ISEL-1.37"/>
    <n v="8"/>
    <s v="NO TIENE L3OUT"/>
    <n v="152"/>
    <n v="96"/>
  </r>
  <r>
    <n v="413"/>
    <x v="1"/>
    <x v="253"/>
    <s v="eth1/37"/>
    <x v="0"/>
    <x v="0"/>
    <x v="0"/>
    <s v="VTAE5"/>
    <x v="6"/>
    <b v="0"/>
    <s v="No está en VPC"/>
    <n v="413"/>
    <s v="INTPG_ACC_413_1.37"/>
    <s v="ISEL-1.37"/>
    <n v="1"/>
    <s v="NO TIENE L3OUT"/>
    <n v="126"/>
    <n v="96"/>
  </r>
  <r>
    <n v="403"/>
    <x v="1"/>
    <x v="254"/>
    <s v="eth1/37"/>
    <x v="0"/>
    <x v="0"/>
    <x v="0"/>
    <s v="IXT_ARIESO7_BD1"/>
    <x v="6"/>
    <b v="0"/>
    <s v="No está en VPC"/>
    <n v="403"/>
    <s v="INTPG_ACC_403_1.37"/>
    <s v="ISEL-1.37"/>
    <n v="1"/>
    <s v="NO TIENE L3OUT"/>
    <n v="150"/>
    <n v="96"/>
  </r>
  <r>
    <n v="125"/>
    <x v="0"/>
    <x v="255"/>
    <s v="eth1/37"/>
    <x v="0"/>
    <x v="0"/>
    <x v="0"/>
    <s v="ixtossgw2_2"/>
    <x v="6"/>
    <b v="0"/>
    <s v="No está en VPC"/>
    <n v="125"/>
    <s v="INTPG_ACC_125_1.37"/>
    <s v="ISEL-1.37"/>
    <n v="1"/>
    <s v="NO TIENE L3OUT"/>
    <n v="72"/>
    <n v="96"/>
  </r>
  <r>
    <n v="166"/>
    <x v="0"/>
    <x v="256"/>
    <s v="eth1/37"/>
    <x v="0"/>
    <x v="0"/>
    <x v="0"/>
    <s v="NOMINA_uxtest02"/>
    <x v="6"/>
    <b v="0"/>
    <s v="No está en VPC"/>
    <n v="166"/>
    <s v="INTPG_ACC_166_1.37"/>
    <s v="ISEL-1.37"/>
    <n v="1"/>
    <s v="NO TIENE L3OUT"/>
    <n v="84"/>
    <n v="96"/>
  </r>
  <r>
    <n v="111"/>
    <x v="0"/>
    <x v="257"/>
    <s v="eth1/37"/>
    <x v="0"/>
    <x v="1"/>
    <x v="1"/>
    <s v="STORAGE_VNX_0493_BKP1_AND_BKP2"/>
    <x v="6"/>
    <b v="0"/>
    <s v="No está en VPC"/>
    <n v="111"/>
    <s v="INTPG_ACC_111_1.37"/>
    <s v="ISEL-1.37"/>
    <n v="1"/>
    <s v="NO TIENE L3OUT"/>
    <n v="58"/>
    <n v="96"/>
  </r>
  <r>
    <n v="115"/>
    <x v="0"/>
    <x v="258"/>
    <s v="eth1/37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37"/>
    <x v="0"/>
    <x v="0"/>
    <x v="0"/>
    <m/>
    <x v="6"/>
    <b v="0"/>
    <s v="No está en VPC"/>
    <n v="106"/>
    <s v="INTPG_PC_106_1.35-38"/>
    <s v="ISEL-1.37"/>
    <n v="1"/>
    <s v="NO TIENE L3OUT"/>
    <n v="122"/>
    <n v="96"/>
  </r>
  <r>
    <n v="126"/>
    <x v="0"/>
    <x v="260"/>
    <s v="eth1/37"/>
    <x v="0"/>
    <x v="0"/>
    <x v="0"/>
    <s v="TO-ITHHDSVSP55003595-Prinicipal"/>
    <x v="6"/>
    <b v="0"/>
    <s v="No está en VPC"/>
    <n v="126"/>
    <s v="INTPG_ACC_126_1.37"/>
    <s v="ISEL-1.37"/>
    <n v="1"/>
    <s v="NO TIENE L3OUT"/>
    <n v="54"/>
    <n v="96"/>
  </r>
  <r>
    <n v="425"/>
    <x v="1"/>
    <x v="261"/>
    <s v="eth1/37"/>
    <x v="0"/>
    <x v="0"/>
    <x v="0"/>
    <s v="ITHPA01_ILO1_IPMP-Pasiva"/>
    <x v="6"/>
    <b v="0"/>
    <s v="No está en VPC"/>
    <n v="425"/>
    <s v="INTPG_ACC_425_1.37"/>
    <s v="ISEL-1.37"/>
    <n v="1"/>
    <s v="NO TIENE L3OUT"/>
    <n v="86"/>
    <n v="96"/>
  </r>
  <r>
    <n v="151"/>
    <x v="0"/>
    <x v="262"/>
    <s v="eth1/37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37"/>
    <x v="0"/>
    <x v="0"/>
    <x v="0"/>
    <s v="SecAnLG_iDrac_03-Colector_R1toR8_SA-IXTSALG_H1_8SA"/>
    <x v="6"/>
    <b v="0"/>
    <s v="No está en VPC"/>
    <n v="430"/>
    <s v="INTPG_ACC_430_1.37"/>
    <s v="ISEL-1.37"/>
    <n v="1"/>
    <s v="NO TIENE L3OUT"/>
    <n v="86"/>
    <n v="96"/>
  </r>
  <r>
    <n v="419"/>
    <x v="1"/>
    <x v="264"/>
    <s v="eth1/37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37"/>
    <x v="0"/>
    <x v="0"/>
    <x v="0"/>
    <s v="SNA TEST BED"/>
    <x v="6"/>
    <b v="0"/>
    <s v="No está en VPC"/>
    <n v="155"/>
    <s v="INTPG_ACC_155_1.37"/>
    <s v="ISEL-1.37"/>
    <n v="0"/>
    <s v="L3OUT-SNA-IPCORP-A22"/>
    <n v="198"/>
    <n v="96"/>
  </r>
  <r>
    <n v="409"/>
    <x v="1"/>
    <x v="266"/>
    <s v="eth1/37"/>
    <x v="0"/>
    <x v="0"/>
    <x v="0"/>
    <s v="Uxcpploc_ilo"/>
    <x v="6"/>
    <b v="0"/>
    <s v="No está en VPC"/>
    <n v="409"/>
    <s v="INTPG_ACC_409_1.37"/>
    <s v="ISEL-1.37"/>
    <n v="1"/>
    <s v="NO TIENE L3OUT"/>
    <n v="128"/>
    <n v="96"/>
  </r>
  <r>
    <n v="422"/>
    <x v="1"/>
    <x v="267"/>
    <s v="eth1/37"/>
    <x v="0"/>
    <x v="0"/>
    <x v="0"/>
    <s v="ITHRTC4AEN1OA2"/>
    <x v="6"/>
    <b v="0"/>
    <s v="No está en VPC"/>
    <n v="422"/>
    <s v="INTPG_ACC_422_1.37"/>
    <s v="ISEL-1.37"/>
    <n v="1"/>
    <s v="NO TIENE L3OUT"/>
    <n v="182"/>
    <n v="96"/>
  </r>
  <r>
    <n v="436"/>
    <x v="1"/>
    <x v="268"/>
    <s v="eth1/37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37"/>
    <x v="0"/>
    <x v="0"/>
    <x v="0"/>
    <s v="IXTPF1"/>
    <x v="6"/>
    <b v="0"/>
    <s v="No está en VPC"/>
    <n v="410"/>
    <s v="INTPG_ACC_410_1.37"/>
    <s v="ISEL-1.37"/>
    <n v="1"/>
    <s v="NO TIENE L3OUT"/>
    <n v="178"/>
    <n v="96"/>
  </r>
  <r>
    <n v="161"/>
    <x v="0"/>
    <x v="270"/>
    <s v="eth1/37"/>
    <x v="0"/>
    <x v="1"/>
    <x v="5"/>
    <s v="desc"/>
    <x v="6"/>
    <b v="0"/>
    <s v="No está en VPC"/>
    <n v="161"/>
    <s v="INTPG_VPC_161_1.37_163_1.42"/>
    <s v="ISEL-1.37"/>
    <n v="1"/>
    <s v="NO TIENE L3OUT"/>
    <n v="102"/>
    <n v="96"/>
  </r>
  <r>
    <n v="411"/>
    <x v="1"/>
    <x v="271"/>
    <s v="eth1/37"/>
    <x v="0"/>
    <x v="0"/>
    <x v="0"/>
    <s v="lagidmhlapvp12_produccion1"/>
    <x v="6"/>
    <b v="0"/>
    <s v="No está en VPC"/>
    <n v="411"/>
    <s v="INTPG_VPC_411_1.36-39_413_1.29-32"/>
    <s v="ISEL-1.37"/>
    <n v="2"/>
    <s v="NO TIENE L3OUT"/>
    <n v="96"/>
    <n v="96"/>
  </r>
  <r>
    <n v="116"/>
    <x v="0"/>
    <x v="272"/>
    <s v="eth1/37"/>
    <x v="1"/>
    <x v="1"/>
    <x v="2"/>
    <s v="DATOS NETCRACKER"/>
    <x v="6"/>
    <b v="0"/>
    <s v="No está en VPC"/>
    <n v="116"/>
    <s v="INTPG_ACC_116_1.37"/>
    <s v="ISEL-1.37"/>
    <n v="0"/>
    <s v="NO TIENE L3OUT"/>
    <n v="148"/>
    <n v="96"/>
  </r>
  <r>
    <n v="412"/>
    <x v="1"/>
    <x v="273"/>
    <s v="eth1/37"/>
    <x v="0"/>
    <x v="0"/>
    <x v="0"/>
    <s v="HNMD101B"/>
    <x v="6"/>
    <b v="0"/>
    <s v="No está en VPC"/>
    <n v="412"/>
    <s v="INTPG_ACC_412_1.37"/>
    <s v="ISEL-1.37"/>
    <n v="1"/>
    <s v="NO TIENE L3OUT"/>
    <n v="126"/>
    <n v="96"/>
  </r>
  <r>
    <n v="120"/>
    <x v="0"/>
    <x v="274"/>
    <s v="eth1/37"/>
    <x v="0"/>
    <x v="0"/>
    <x v="0"/>
    <s v="Registro Nacional de Celulares"/>
    <x v="6"/>
    <b v="0"/>
    <s v="No está en VPC"/>
    <n v="120"/>
    <s v="INTPG_ACC_120_1.37"/>
    <s v="ISEL-1.37"/>
    <n v="1"/>
    <s v="NO TIENE L3OUT"/>
    <n v="158"/>
    <n v="96"/>
  </r>
  <r>
    <n v="404"/>
    <x v="1"/>
    <x v="275"/>
    <s v="eth1/37"/>
    <x v="0"/>
    <x v="0"/>
    <x v="0"/>
    <s v="DESC"/>
    <x v="6"/>
    <b v="0"/>
    <s v="No está en VPC"/>
    <n v="404"/>
    <s v="INTPG_PC_404_1.37-40"/>
    <s v="ISEL-1.37"/>
    <n v="4"/>
    <s v="NO TIENE L3OUT"/>
    <n v="92"/>
    <n v="96"/>
  </r>
  <r>
    <n v="167"/>
    <x v="0"/>
    <x v="276"/>
    <s v="eth1/37"/>
    <x v="0"/>
    <x v="1"/>
    <x v="1"/>
    <s v="9UCS-GEO-IXTLA-SERV1"/>
    <x v="6"/>
    <b v="0"/>
    <s v="No está en VPC"/>
    <n v="167"/>
    <s v="INTPG_ACC_167_1.37"/>
    <s v="ISEL-1.37"/>
    <n v="1"/>
    <s v="NO TIENE L3OUT"/>
    <n v="68"/>
    <n v="96"/>
  </r>
  <r>
    <n v="428"/>
    <x v="1"/>
    <x v="277"/>
    <s v="eth1/37"/>
    <x v="0"/>
    <x v="0"/>
    <x v="0"/>
    <s v="PROVISION2"/>
    <x v="6"/>
    <b v="0"/>
    <s v="No está en VPC"/>
    <n v="428"/>
    <s v="INTPG_ACC_428_1.37"/>
    <s v="ISEL-1.37"/>
    <n v="1"/>
    <s v="NO TIENE L3OUT"/>
    <n v="102"/>
    <n v="96"/>
  </r>
  <r>
    <n v="128"/>
    <x v="0"/>
    <x v="0"/>
    <s v="eth1/38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38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38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38"/>
    <x v="0"/>
    <x v="0"/>
    <x v="0"/>
    <s v="DESC"/>
    <x v="0"/>
    <b v="0"/>
    <s v="No está en VPC"/>
    <n v="101"/>
    <s v="INTPG_PC_101_1.37-38"/>
    <s v="ISEL-1.38"/>
    <n v="1"/>
    <s v="NO TIENE L3OUT"/>
    <n v="114"/>
    <n v="54"/>
  </r>
  <r>
    <n v="160"/>
    <x v="0"/>
    <x v="4"/>
    <s v="eth1/38"/>
    <x v="0"/>
    <x v="1"/>
    <x v="1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38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38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38"/>
    <x v="0"/>
    <x v="1"/>
    <x v="3"/>
    <m/>
    <x v="0"/>
    <b v="0"/>
    <s v="No está en VPC"/>
    <n v="401"/>
    <s v="NO EXISTE PG"/>
    <s v="NO EXISTE ISEL"/>
    <n v="0"/>
    <s v="NO TIENE L3OUT"/>
    <n v="40"/>
    <n v="54"/>
  </r>
  <r>
    <n v="402"/>
    <x v="1"/>
    <x v="8"/>
    <s v="eth1/38"/>
    <x v="0"/>
    <x v="1"/>
    <x v="3"/>
    <m/>
    <x v="0"/>
    <b v="0"/>
    <s v="No está en VPC"/>
    <n v="402"/>
    <s v="NO EXISTE PG"/>
    <s v="NO EXISTE ISEL"/>
    <n v="0"/>
    <s v="NO TIENE L3OUT"/>
    <n v="36"/>
    <n v="54"/>
  </r>
  <r>
    <n v="130"/>
    <x v="0"/>
    <x v="11"/>
    <s v="eth1/38"/>
    <x v="0"/>
    <x v="0"/>
    <x v="0"/>
    <s v="LAG-smt-comp-04"/>
    <x v="0"/>
    <b v="0"/>
    <s v="No está en VPC"/>
    <n v="130"/>
    <s v="INTPG_VPC_130_1.37-38_131_1.37-38"/>
    <s v="ISEL-1.38"/>
    <n v="4"/>
    <s v="NO TIENE L3OUT"/>
    <n v="128"/>
    <n v="54"/>
  </r>
  <r>
    <n v="150"/>
    <x v="0"/>
    <x v="12"/>
    <s v="eth1/38"/>
    <x v="0"/>
    <x v="0"/>
    <x v="0"/>
    <s v="DESC"/>
    <x v="0"/>
    <b v="0"/>
    <s v="No está en VPC"/>
    <n v="150"/>
    <s v="INTPG_PC_150_1.37-38"/>
    <s v="ISEL-1.38"/>
    <n v="1"/>
    <s v="NO TIENE L3OUT"/>
    <n v="118"/>
    <n v="54"/>
  </r>
  <r>
    <n v="131"/>
    <x v="0"/>
    <x v="13"/>
    <s v="eth1/38"/>
    <x v="0"/>
    <x v="0"/>
    <x v="0"/>
    <s v="LAG-smt-comp-04"/>
    <x v="0"/>
    <b v="0"/>
    <s v="No está en VPC"/>
    <n v="131"/>
    <s v="INTPG_VPC_130_1.37-38_131_1.37-38"/>
    <s v="ISEL-1.38"/>
    <n v="4"/>
    <s v="NO TIENE L3OUT"/>
    <n v="126"/>
    <n v="54"/>
  </r>
  <r>
    <n v="424"/>
    <x v="1"/>
    <x v="18"/>
    <s v="eth1/38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38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38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38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38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38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38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38"/>
    <x v="0"/>
    <x v="0"/>
    <x v="0"/>
    <s v="TO-SFF2MEDP02-PRINCIPAL"/>
    <x v="0"/>
    <b v="0"/>
    <s v="No está en VPC"/>
    <n v="431"/>
    <s v="INTPG_ACC_431_1.38"/>
    <s v="ISEL-1.38"/>
    <n v="1"/>
    <s v="NO TIENE L3OUT"/>
    <n v="46"/>
    <n v="54"/>
  </r>
  <r>
    <n v="433"/>
    <x v="1"/>
    <x v="27"/>
    <s v="eth1/38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38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38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38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38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38"/>
    <x v="1"/>
    <x v="1"/>
    <x v="3"/>
    <m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38"/>
    <x v="1"/>
    <x v="1"/>
    <x v="3"/>
    <m/>
    <x v="0"/>
    <b v="0"/>
    <s v="No está en VPC"/>
    <n v="712"/>
    <s v="NO EXISTE PG"/>
    <s v="NO EXISTE ISEL"/>
    <n v="0"/>
    <s v="NO TIENE L3OUT"/>
    <n v="32"/>
    <n v="54"/>
  </r>
  <r>
    <n v="719"/>
    <x v="2"/>
    <x v="34"/>
    <s v="eth1/38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38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38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38"/>
    <x v="1"/>
    <x v="1"/>
    <x v="3"/>
    <m/>
    <x v="0"/>
    <b v="0"/>
    <s v="No está en VPC"/>
    <n v="711"/>
    <s v="NO EXISTE PG"/>
    <s v="NO EXISTE ISEL"/>
    <n v="0"/>
    <s v="NO TIENE L3OUT"/>
    <n v="16"/>
    <n v="54"/>
  </r>
  <r>
    <n v="716"/>
    <x v="2"/>
    <x v="38"/>
    <s v="eth1/38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38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38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38"/>
    <x v="0"/>
    <x v="0"/>
    <x v="0"/>
    <s v="Proyecto Arieso"/>
    <x v="0"/>
    <b v="0"/>
    <s v="No está en VPC"/>
    <n v="446"/>
    <s v="INTPG_VPC_444_1.37-40_446_1.37-40"/>
    <s v="ISEL-1.38"/>
    <n v="16"/>
    <s v="NO TIENE L3OUT"/>
    <n v="198"/>
    <n v="54"/>
  </r>
  <r>
    <n v="444"/>
    <x v="1"/>
    <x v="42"/>
    <s v="eth1/38"/>
    <x v="0"/>
    <x v="0"/>
    <x v="0"/>
    <s v="Proyecto Arieso"/>
    <x v="0"/>
    <b v="0"/>
    <s v="No está en VPC"/>
    <n v="444"/>
    <s v="INTPG_VPC_444_1.37-40_446_1.37-40"/>
    <s v="ISEL-1.38"/>
    <n v="16"/>
    <s v="NO TIENE L3OUT"/>
    <n v="234"/>
    <n v="54"/>
  </r>
  <r>
    <n v="701"/>
    <x v="2"/>
    <x v="43"/>
    <s v="eth1/38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38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38"/>
    <x v="0"/>
    <x v="1"/>
    <x v="3"/>
    <s v="TO-ITHFDLROAMRAP01-PRINCIPAL"/>
    <x v="0"/>
    <b v="0"/>
    <s v="No está en VPC"/>
    <n v="448"/>
    <s v="INTPG_ACC_448_1.38"/>
    <s v="ISEL-1.38"/>
    <n v="1"/>
    <s v="NO TIENE L3OUT"/>
    <n v="46"/>
    <n v="54"/>
  </r>
  <r>
    <n v="704"/>
    <x v="2"/>
    <x v="46"/>
    <s v="eth1/38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38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38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38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38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38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38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38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38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38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38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38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38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38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38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38"/>
    <x v="0"/>
    <x v="0"/>
    <x v="0"/>
    <s v="ITHCEMB2COR19"/>
    <x v="5"/>
    <b v="0"/>
    <s v="No está en VPC"/>
    <n v="742"/>
    <s v="INTPG_ACC_742_1.38"/>
    <s v="ISEL-1.38"/>
    <n v="1"/>
    <s v="NO TIENE L3OUT"/>
    <n v="64"/>
    <n v="54"/>
  </r>
  <r>
    <n v="763"/>
    <x v="2"/>
    <x v="63"/>
    <s v="eth1/38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38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38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38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38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38"/>
    <x v="0"/>
    <x v="1"/>
    <x v="3"/>
    <s v="CLOUD OPS:ithhwcop01st01ce03:B IOM1 Smart IO P0"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38"/>
    <x v="1"/>
    <x v="1"/>
    <x v="3"/>
    <m/>
    <x v="0"/>
    <b v="0"/>
    <s v="No está en VPC"/>
    <n v="780"/>
    <s v="NO EXISTE PG"/>
    <s v="NO EXISTE ISEL"/>
    <n v="0"/>
    <s v="NO TIENE L3OUT"/>
    <n v="26"/>
    <n v="54"/>
  </r>
  <r>
    <n v="812"/>
    <x v="2"/>
    <x v="70"/>
    <s v="eth1/38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38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38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38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38"/>
    <x v="0"/>
    <x v="0"/>
    <x v="0"/>
    <s v="LINK_TO_ITHHWOS53V50004DKC01 /CtrlB_10GE.P5 /Redundante"/>
    <x v="0"/>
    <b v="0"/>
    <s v="No está en VPC"/>
    <n v="824"/>
    <s v="INTPG_ACC_824_1.38"/>
    <s v="ISEL-1.38"/>
    <n v="1"/>
    <s v="NO TIENE L3OUT"/>
    <n v="70"/>
    <n v="54"/>
  </r>
  <r>
    <n v="819"/>
    <x v="2"/>
    <x v="75"/>
    <s v="eth1/38"/>
    <x v="0"/>
    <x v="0"/>
    <x v="0"/>
    <s v="LINK_TO_ITHHWOS53V50004DKC01 /CtrlB_10GE.P4 /Principal"/>
    <x v="0"/>
    <b v="0"/>
    <s v="No está en VPC"/>
    <n v="819"/>
    <s v="INTPG_ACC_819_1.38"/>
    <s v="ISEL-1.38"/>
    <n v="1"/>
    <s v="NO TIENE L3OUT"/>
    <n v="70"/>
    <n v="54"/>
  </r>
  <r>
    <n v="737"/>
    <x v="2"/>
    <x v="76"/>
    <s v="eth1/38"/>
    <x v="0"/>
    <x v="1"/>
    <x v="1"/>
    <m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38"/>
    <x v="0"/>
    <x v="0"/>
    <x v="0"/>
    <s v="LINK_TO_ITHFHWCRMPLCN113 / Slot1.2_30 / Principal"/>
    <x v="0"/>
    <b v="0"/>
    <s v="No está en VPC"/>
    <n v="844"/>
    <s v="INTPG_ACC_844_1.38"/>
    <s v="ISEL-1.38"/>
    <n v="2"/>
    <s v="NO TIENE L3OUT"/>
    <n v="282"/>
    <n v="54"/>
  </r>
  <r>
    <n v="843"/>
    <x v="2"/>
    <x v="78"/>
    <s v="eth1/38"/>
    <x v="0"/>
    <x v="0"/>
    <x v="0"/>
    <s v="A_ITHFHWSEQLHDPS80_Principal"/>
    <x v="0"/>
    <b v="0"/>
    <s v="No está en VPC"/>
    <n v="843"/>
    <s v="INTPG_ACC_843_1.38"/>
    <s v="ISEL-1.38"/>
    <n v="1"/>
    <s v="NO TIENE L3OUT"/>
    <n v="38"/>
    <n v="54"/>
  </r>
  <r>
    <n v="797"/>
    <x v="2"/>
    <x v="79"/>
    <s v="eth1/38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38"/>
    <x v="0"/>
    <x v="0"/>
    <x v="0"/>
    <s v="LINK_TO_ITHFHWCBSPSHD42 / Slot7.2_22 / Redundante"/>
    <x v="0"/>
    <b v="0"/>
    <s v="No está en VPC"/>
    <n v="839"/>
    <s v="INTPG_VPC_834_1.38_839_1.38"/>
    <s v="ISEL-1.38"/>
    <n v="1"/>
    <s v="NO TIENE L3OUT"/>
    <n v="0"/>
    <n v="54"/>
  </r>
  <r>
    <n v="847"/>
    <x v="2"/>
    <x v="81"/>
    <s v="eth1/38"/>
    <x v="0"/>
    <x v="0"/>
    <x v="0"/>
    <s v="LINK_TO_ITHFHWCRMPSBDP10 / Slot7.1_4 / Redundante"/>
    <x v="0"/>
    <b v="0"/>
    <s v="No está en VPC"/>
    <n v="847"/>
    <s v="INTPG_VPC_854_1.38_847_1.38"/>
    <s v="ISEL-1.38"/>
    <n v="6"/>
    <s v="NO TIENE L3OUT"/>
    <n v="204"/>
    <n v="54"/>
  </r>
  <r>
    <n v="848"/>
    <x v="2"/>
    <x v="82"/>
    <s v="eth1/38"/>
    <x v="0"/>
    <x v="0"/>
    <x v="0"/>
    <s v="LINK_TO_ITHFHWCRMPLCN167 / Slot7.1_36 / Redundante"/>
    <x v="0"/>
    <b v="0"/>
    <s v="No está en VPC"/>
    <n v="848"/>
    <s v="INTPG_ACC_848_1.38"/>
    <s v="ISEL-1.38"/>
    <n v="6"/>
    <s v="NO TIENE L3OUT"/>
    <n v="254"/>
    <n v="54"/>
  </r>
  <r>
    <n v="846"/>
    <x v="2"/>
    <x v="83"/>
    <s v="eth1/38"/>
    <x v="0"/>
    <x v="0"/>
    <x v="0"/>
    <s v="LINK_TO_ITHFHWCRMPLCN84 / Slot1.2_26 / Principal"/>
    <x v="0"/>
    <b v="0"/>
    <s v="No está en VPC"/>
    <n v="846"/>
    <s v="INTPG_ACC_846_1.38"/>
    <s v="ISEL-1.38"/>
    <n v="2"/>
    <s v="NO TIENE L3OUT"/>
    <n v="242"/>
    <n v="54"/>
  </r>
  <r>
    <n v="838"/>
    <x v="2"/>
    <x v="84"/>
    <s v="eth1/38"/>
    <x v="0"/>
    <x v="0"/>
    <x v="0"/>
    <s v="A_ITHFHWSEQLHDPS80_Redundante"/>
    <x v="0"/>
    <b v="0"/>
    <s v="No está en VPC"/>
    <n v="838"/>
    <s v="INTPG_ACC_838_1.38"/>
    <s v="ISEL-1.38"/>
    <n v="1"/>
    <s v="NO TIENE L3OUT"/>
    <n v="38"/>
    <n v="54"/>
  </r>
  <r>
    <n v="849"/>
    <x v="2"/>
    <x v="85"/>
    <s v="eth1/38"/>
    <x v="0"/>
    <x v="0"/>
    <x v="0"/>
    <s v="LINK_TO_ITHFHWCRMPLCN147 / Slot7.1_28 / Redundante"/>
    <x v="0"/>
    <b v="0"/>
    <s v="No está en VPC"/>
    <n v="849"/>
    <s v="INTPG_ACC_849_1.38"/>
    <s v="ISEL-1.38"/>
    <n v="6"/>
    <s v="NO TIENE L3OUT"/>
    <n v="286"/>
    <n v="54"/>
  </r>
  <r>
    <n v="845"/>
    <x v="2"/>
    <x v="86"/>
    <s v="eth1/38"/>
    <x v="0"/>
    <x v="0"/>
    <x v="0"/>
    <s v="LINK_TO_ITHFHWCRMPLCN96 / Slot1.3_24 / Principal"/>
    <x v="0"/>
    <b v="0"/>
    <s v="No está en VPC"/>
    <n v="845"/>
    <s v="INTPG_ACC_845_1.38"/>
    <s v="ISEL-1.38"/>
    <n v="1"/>
    <s v="NO TIENE L3OUT"/>
    <n v="258"/>
    <n v="54"/>
  </r>
  <r>
    <n v="873"/>
    <x v="2"/>
    <x v="87"/>
    <s v="eth1/38"/>
    <x v="0"/>
    <x v="0"/>
    <x v="0"/>
    <s v="To_ITHFHWCRMDLCN36_Redundante"/>
    <x v="0"/>
    <b v="0"/>
    <s v="No está en VPC"/>
    <n v="873"/>
    <s v="INTPG_ACC_873_1.38"/>
    <s v="ISEL-1.38"/>
    <n v="2"/>
    <s v="NO TIENE L3OUT"/>
    <n v="248"/>
    <n v="54"/>
  </r>
  <r>
    <n v="864"/>
    <x v="2"/>
    <x v="88"/>
    <s v="eth1/38"/>
    <x v="0"/>
    <x v="0"/>
    <x v="0"/>
    <s v="To_VPC_2DCBSD_WR48_2"/>
    <x v="0"/>
    <b v="0"/>
    <s v="No está en VPC"/>
    <n v="864"/>
    <s v="INTPG_VPC_859_1.38_864_1.38"/>
    <s v="ISEL-1.38"/>
    <n v="1"/>
    <s v="NO TIENE L3OUT"/>
    <n v="0"/>
    <n v="54"/>
  </r>
  <r>
    <n v="836"/>
    <x v="2"/>
    <x v="89"/>
    <s v="eth1/38"/>
    <x v="0"/>
    <x v="0"/>
    <x v="0"/>
    <s v="LINK_TO_ITHFHWCBSPSHD27 / Slot1.1_18 / Principal"/>
    <x v="0"/>
    <b v="0"/>
    <s v="No está en VPC"/>
    <n v="836"/>
    <s v="INTPG_VPC_836_1.38_841_1.38"/>
    <s v="ISEL-1.38"/>
    <n v="2"/>
    <s v="NO TIENE L3OUT"/>
    <n v="0"/>
    <n v="54"/>
  </r>
  <r>
    <n v="834"/>
    <x v="2"/>
    <x v="90"/>
    <s v="eth1/38"/>
    <x v="0"/>
    <x v="0"/>
    <x v="0"/>
    <s v="LINK_TO_ITHFHWCBSPSHD42 / Slot1.2_22 / Principal"/>
    <x v="0"/>
    <b v="0"/>
    <s v="No está en VPC"/>
    <n v="834"/>
    <s v="INTPG_VPC_834_1.38_839_1.38"/>
    <s v="ISEL-1.38"/>
    <n v="1"/>
    <s v="NO TIENE L3OUT"/>
    <n v="0"/>
    <n v="54"/>
  </r>
  <r>
    <n v="872"/>
    <x v="2"/>
    <x v="91"/>
    <s v="eth1/38"/>
    <x v="0"/>
    <x v="0"/>
    <x v="0"/>
    <s v="TO_ITHFHWCRMDLCN49_Principal"/>
    <x v="0"/>
    <b v="0"/>
    <s v="No está en VPC"/>
    <n v="872"/>
    <s v="INTPG_ACC_872_1.38"/>
    <s v="ISEL-1.38"/>
    <n v="1"/>
    <s v="NO TIENE L3OUT"/>
    <n v="288"/>
    <n v="54"/>
  </r>
  <r>
    <n v="842"/>
    <x v="2"/>
    <x v="92"/>
    <s v="eth1/38"/>
    <x v="0"/>
    <x v="0"/>
    <x v="0"/>
    <s v="LINK_To_ITHFHWCBSPSHD20 / Slot7.3_16 / Redundante"/>
    <x v="0"/>
    <b v="0"/>
    <s v="No está en VPC"/>
    <n v="842"/>
    <s v="INTPG_VPC_837_1.38_842_1.38"/>
    <s v="ISEL-1.38"/>
    <n v="1"/>
    <s v="NO TIENE L3OUT"/>
    <n v="8"/>
    <n v="54"/>
  </r>
  <r>
    <n v="828"/>
    <x v="2"/>
    <x v="93"/>
    <s v="eth1/38"/>
    <x v="0"/>
    <x v="0"/>
    <x v="0"/>
    <s v="LINK_TO_ITHHWD6KV60010DKC01 /CtrlA_IOM0.P0 /Principal"/>
    <x v="0"/>
    <b v="0"/>
    <s v="No está en VPC"/>
    <n v="828"/>
    <s v="INTPG_ACC_828_1.38"/>
    <s v="ISEL-1.38"/>
    <n v="1"/>
    <s v="NO TIENE L3OUT"/>
    <n v="192"/>
    <n v="54"/>
  </r>
  <r>
    <n v="870"/>
    <x v="2"/>
    <x v="94"/>
    <s v="eth1/38"/>
    <x v="0"/>
    <x v="0"/>
    <x v="0"/>
    <s v="To_ITHFHWCRMDLCN36_Principal"/>
    <x v="0"/>
    <b v="0"/>
    <s v="No está en VPC"/>
    <n v="870"/>
    <s v="INTPG_ACC_870_1.38"/>
    <s v="ISEL-1.38"/>
    <n v="2"/>
    <s v="NO TIENE L3OUT"/>
    <n v="248"/>
    <n v="54"/>
  </r>
  <r>
    <n v="866"/>
    <x v="2"/>
    <x v="95"/>
    <s v="eth1/38"/>
    <x v="0"/>
    <x v="0"/>
    <x v="0"/>
    <s v="To_VPC_2DCBSD_BD15_1"/>
    <x v="0"/>
    <b v="0"/>
    <s v="No está en VPC"/>
    <n v="866"/>
    <s v="INTPG_VPC_861_1.38_866_1.38"/>
    <s v="ISEL-1.38"/>
    <n v="2"/>
    <s v="NO TIENE L3OUT"/>
    <n v="8"/>
    <n v="54"/>
  </r>
  <r>
    <n v="862"/>
    <x v="2"/>
    <x v="96"/>
    <s v="eth1/38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38"/>
    <x v="0"/>
    <x v="0"/>
    <x v="0"/>
    <s v="LINK_TO_ITHFHWCRMPLCN167 / Slot1.1_36 / Principal"/>
    <x v="0"/>
    <b v="0"/>
    <s v="No está en VPC"/>
    <n v="855"/>
    <s v="INTPG_ACC_855_1.38"/>
    <s v="ISEL-1.38"/>
    <n v="6"/>
    <s v="NO TIENE L3OUT"/>
    <n v="254"/>
    <n v="54"/>
  </r>
  <r>
    <n v="871"/>
    <x v="2"/>
    <x v="98"/>
    <s v="eth1/38"/>
    <x v="0"/>
    <x v="0"/>
    <x v="0"/>
    <s v="To_ITHFHWCRMDLCN66_Principal"/>
    <x v="0"/>
    <b v="0"/>
    <s v="No está en VPC"/>
    <n v="871"/>
    <s v="INTPG_ACC_871_1.38"/>
    <s v="ISEL-1.38"/>
    <n v="2"/>
    <s v="NO TIENE L3OUT"/>
    <n v="246"/>
    <n v="54"/>
  </r>
  <r>
    <n v="841"/>
    <x v="2"/>
    <x v="99"/>
    <s v="eth1/38"/>
    <x v="0"/>
    <x v="0"/>
    <x v="0"/>
    <s v="LINK_TO_ITHFHWCBSPSHD27 / Slot7.1_18 / Redundante"/>
    <x v="0"/>
    <b v="0"/>
    <s v="No está en VPC"/>
    <n v="841"/>
    <s v="INTPG_VPC_836_1.38_841_1.38"/>
    <s v="ISEL-1.38"/>
    <n v="2"/>
    <s v="NO TIENE L3OUT"/>
    <n v="0"/>
    <n v="54"/>
  </r>
  <r>
    <n v="868"/>
    <x v="2"/>
    <x v="100"/>
    <s v="eth1/38"/>
    <x v="0"/>
    <x v="0"/>
    <x v="0"/>
    <s v="To_ITHFHWCRMDLCN66_Redundante"/>
    <x v="0"/>
    <b v="0"/>
    <s v="No está en VPC"/>
    <n v="868"/>
    <s v="INTPG_ACC_868_1.38"/>
    <s v="ISEL-1.38"/>
    <n v="2"/>
    <s v="NO TIENE L3OUT"/>
    <n v="246"/>
    <n v="54"/>
  </r>
  <r>
    <n v="869"/>
    <x v="2"/>
    <x v="101"/>
    <s v="eth1/38"/>
    <x v="0"/>
    <x v="0"/>
    <x v="0"/>
    <s v="TO_ITHFHWCRMDLCN49_Redundante"/>
    <x v="0"/>
    <b v="0"/>
    <s v="No está en VPC"/>
    <n v="869"/>
    <s v="INTPG_ACC_869_1.38"/>
    <s v="ISEL-1.38"/>
    <n v="1"/>
    <s v="NO TIENE L3OUT"/>
    <n v="288"/>
    <n v="54"/>
  </r>
  <r>
    <n v="861"/>
    <x v="2"/>
    <x v="102"/>
    <s v="eth1/38"/>
    <x v="0"/>
    <x v="0"/>
    <x v="0"/>
    <s v="To_VPC_2DCBSD_BD15_1"/>
    <x v="0"/>
    <b v="0"/>
    <s v="No está en VPC"/>
    <n v="861"/>
    <s v="INTPG_VPC_861_1.38_866_1.38"/>
    <s v="ISEL-1.38"/>
    <n v="2"/>
    <s v="NO TIENE L3OUT"/>
    <n v="8"/>
    <n v="54"/>
  </r>
  <r>
    <n v="874"/>
    <x v="2"/>
    <x v="103"/>
    <s v="eth1/38"/>
    <x v="0"/>
    <x v="0"/>
    <x v="0"/>
    <s v="A_ITHFHWSEQLCAS13_Redundante"/>
    <x v="4"/>
    <b v="0"/>
    <s v="No está en VPC"/>
    <n v="874"/>
    <s v="INTPG_ACC_874_1.38"/>
    <s v="ISEL-1.38"/>
    <n v="1"/>
    <s v="NO TIENE L3OUT"/>
    <n v="92"/>
    <n v="54"/>
  </r>
  <r>
    <n v="865"/>
    <x v="2"/>
    <x v="104"/>
    <s v="eth1/38"/>
    <x v="0"/>
    <x v="0"/>
    <x v="0"/>
    <s v="To_VPC_2DCBSD_BD19_2"/>
    <x v="0"/>
    <b v="0"/>
    <s v="No está en VPC"/>
    <n v="865"/>
    <s v="INTPG_VPC_860_1.38_865_1.38"/>
    <s v="ISEL-1.38"/>
    <n v="1"/>
    <s v="NO TIENE L3OUT"/>
    <n v="0"/>
    <n v="54"/>
  </r>
  <r>
    <n v="753"/>
    <x v="2"/>
    <x v="105"/>
    <s v="eth1/38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38"/>
    <x v="0"/>
    <x v="1"/>
    <x v="3"/>
    <m/>
    <x v="0"/>
    <b v="0"/>
    <s v="No está en VPC"/>
    <n v="708"/>
    <s v="NO EXISTE PG"/>
    <s v="NO EXISTE ISEL"/>
    <n v="0"/>
    <s v="NO TIENE L3OUT"/>
    <n v="0"/>
    <n v="54"/>
  </r>
  <r>
    <n v="710"/>
    <x v="2"/>
    <x v="107"/>
    <s v="eth1/38"/>
    <x v="1"/>
    <x v="1"/>
    <x v="3"/>
    <m/>
    <x v="0"/>
    <b v="0"/>
    <s v="No está en VPC"/>
    <n v="710"/>
    <s v="NO EXISTE PG"/>
    <s v="NO EXISTE ISEL"/>
    <n v="0"/>
    <s v="NO TIENE L3OUT"/>
    <n v="16"/>
    <n v="54"/>
  </r>
  <r>
    <n v="713"/>
    <x v="2"/>
    <x v="108"/>
    <s v="eth1/38"/>
    <x v="0"/>
    <x v="0"/>
    <x v="0"/>
    <s v="CEM_ITHCEMB2COR19"/>
    <x v="0"/>
    <b v="0"/>
    <s v="No está en VPC"/>
    <n v="713"/>
    <s v="INTPG_VPC_712_1.37_713_1.38"/>
    <s v="ISEL-1.38"/>
    <n v="1"/>
    <s v="NO TIENE L3OUT"/>
    <n v="32"/>
    <n v="54"/>
  </r>
  <r>
    <n v="735"/>
    <x v="2"/>
    <x v="109"/>
    <s v="eth1/38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38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38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38"/>
    <x v="1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38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38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38"/>
    <x v="0"/>
    <x v="0"/>
    <x v="0"/>
    <s v="LINK_TO_ITHFHWCBSDSWR19 /10GE.1 /Principal"/>
    <x v="0"/>
    <b v="0"/>
    <s v="No está en VPC"/>
    <n v="826"/>
    <s v="INTPG_VPC_826_1.38_830_1.38"/>
    <s v="ISEL-1.38"/>
    <n v="1"/>
    <s v="NO TIENE L3OUT"/>
    <n v="12"/>
    <n v="54"/>
  </r>
  <r>
    <n v="726"/>
    <x v="2"/>
    <x v="117"/>
    <s v="eth1/38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38"/>
    <x v="0"/>
    <x v="1"/>
    <x v="1"/>
    <m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38"/>
    <x v="0"/>
    <x v="1"/>
    <x v="1"/>
    <s v="ITHCEMA1APP19"/>
    <x v="0"/>
    <b v="0"/>
    <s v="No está en VPC"/>
    <n v="705"/>
    <s v="INTPG_VPC_705_1.38_706_1.37"/>
    <s v="ISEL-1.38"/>
    <n v="1"/>
    <s v="NO TIENE L3OUT"/>
    <n v="16"/>
    <n v="54"/>
  </r>
  <r>
    <n v="723"/>
    <x v="2"/>
    <x v="120"/>
    <s v="eth1/38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38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38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38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38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38"/>
    <x v="0"/>
    <x v="1"/>
    <x v="3"/>
    <m/>
    <x v="0"/>
    <b v="0"/>
    <s v="No está en VPC"/>
    <n v="709"/>
    <s v="NO EXISTE PG"/>
    <s v="NO EXISTE ISEL"/>
    <n v="0"/>
    <s v="NO TIENE L3OUT"/>
    <n v="0"/>
    <n v="54"/>
  </r>
  <r>
    <n v="454"/>
    <x v="1"/>
    <x v="126"/>
    <s v="eth1/38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38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38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38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38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38"/>
    <x v="0"/>
    <x v="1"/>
    <x v="1"/>
    <m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38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38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38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38"/>
    <x v="0"/>
    <x v="1"/>
    <x v="3"/>
    <m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38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38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38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38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38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38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38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38"/>
    <x v="0"/>
    <x v="0"/>
    <x v="0"/>
    <s v="CLOUD PASS PAYG F3:ITHHWOSCOPAP023:LOM P1"/>
    <x v="0"/>
    <b v="0"/>
    <s v="No está en VPC"/>
    <n v="774"/>
    <s v="INTPG_VPC_774_1.38_775_1.38"/>
    <s v="ISEL-1.38"/>
    <n v="24"/>
    <s v="NO TIENE L3OUT"/>
    <n v="0"/>
    <n v="54"/>
  </r>
  <r>
    <n v="773"/>
    <x v="2"/>
    <x v="145"/>
    <s v="eth1/38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38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38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38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38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38"/>
    <x v="1"/>
    <x v="1"/>
    <x v="3"/>
    <m/>
    <x v="0"/>
    <b v="0"/>
    <s v="No está en VPC"/>
    <n v="781"/>
    <s v="NO EXISTE PG"/>
    <s v="NO EXISTE ISEL"/>
    <n v="0"/>
    <s v="NO TIENE L3OUT"/>
    <n v="26"/>
    <n v="54"/>
  </r>
  <r>
    <n v="793"/>
    <x v="2"/>
    <x v="151"/>
    <s v="eth1/38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38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38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38"/>
    <x v="1"/>
    <x v="1"/>
    <x v="3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38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38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38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38"/>
    <x v="0"/>
    <x v="1"/>
    <x v="1"/>
    <m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38"/>
    <x v="0"/>
    <x v="0"/>
    <x v="0"/>
    <s v="CLOUD PASS PAYG F3:ITHHWOSCOPAP023:Slot 1 P1"/>
    <x v="0"/>
    <b v="0"/>
    <s v="No está en VPC"/>
    <n v="775"/>
    <s v="INTPG_VPC_774_1.38_775_1.38"/>
    <s v="ISEL-1.38"/>
    <n v="24"/>
    <s v="NO TIENE L3OUT"/>
    <n v="0"/>
    <n v="54"/>
  </r>
  <r>
    <n v="791"/>
    <x v="2"/>
    <x v="160"/>
    <s v="eth1/38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38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38"/>
    <x v="0"/>
    <x v="0"/>
    <x v="0"/>
    <s v="LINK_TO_ITHFHWCBSDSWR19 /Slot5.1 /Redundante"/>
    <x v="0"/>
    <b v="0"/>
    <s v="No está en VPC"/>
    <n v="830"/>
    <s v="INTPG_VPC_826_1.38_830_1.38"/>
    <s v="ISEL-1.38"/>
    <n v="1"/>
    <s v="NO TIENE L3OUT"/>
    <n v="12"/>
    <n v="54"/>
  </r>
  <r>
    <n v="821"/>
    <x v="2"/>
    <x v="163"/>
    <s v="eth1/38"/>
    <x v="0"/>
    <x v="0"/>
    <x v="0"/>
    <s v="LINK_TO_ITHFHWCBSPSWR19 /Slot5.1 /Redundante"/>
    <x v="0"/>
    <b v="0"/>
    <s v="No está en VPC"/>
    <n v="821"/>
    <s v="INTPG_VPC_816_1.38_821_1.38"/>
    <s v="ISEL-1.38"/>
    <n v="1"/>
    <s v="NO TIENE L3OUT"/>
    <n v="0"/>
    <n v="54"/>
  </r>
  <r>
    <n v="738"/>
    <x v="2"/>
    <x v="164"/>
    <s v="eth1/38"/>
    <x v="0"/>
    <x v="1"/>
    <x v="1"/>
    <m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38"/>
    <x v="0"/>
    <x v="0"/>
    <x v="0"/>
    <s v="TO-9S_BESPR_IXTLA3_1"/>
    <x v="0"/>
    <b v="0"/>
    <s v="No está en VPC"/>
    <n v="820"/>
    <s v="INTPG_VPC_820_1.38-41_825_1.38-41"/>
    <s v="ISEL-1.38"/>
    <n v="31"/>
    <s v="NO TIENE L3OUT"/>
    <n v="72"/>
    <n v="54"/>
  </r>
  <r>
    <n v="804"/>
    <x v="2"/>
    <x v="166"/>
    <s v="eth1/38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38"/>
    <x v="0"/>
    <x v="1"/>
    <x v="3"/>
    <s v="CLOUD OPS:ithhwcop01st01ce03:B IOM1 Smart IO P1"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38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38"/>
    <x v="0"/>
    <x v="0"/>
    <x v="0"/>
    <s v="LINK_TO_ITHFHWCBSDSWR29 /Slot5.2 /Principal"/>
    <x v="0"/>
    <b v="0"/>
    <s v="No está en VPC"/>
    <n v="827"/>
    <s v="INTPG_VPC_827_1.38_831_1.38"/>
    <s v="ISEL-1.38"/>
    <n v="2"/>
    <s v="NO TIENE L3OUT"/>
    <n v="14"/>
    <n v="54"/>
  </r>
  <r>
    <n v="809"/>
    <x v="2"/>
    <x v="170"/>
    <s v="eth1/38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38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38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38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38"/>
    <x v="1"/>
    <x v="1"/>
    <x v="3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38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38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38"/>
    <x v="0"/>
    <x v="0"/>
    <x v="0"/>
    <s v="LINK_TO_ITHFHWCRMPLCN113 / Slot7.2_30 / Redundante"/>
    <x v="0"/>
    <b v="0"/>
    <s v="No está en VPC"/>
    <n v="851"/>
    <s v="INTPG_ACC_851_1.38"/>
    <s v="ISEL-1.38"/>
    <n v="2"/>
    <s v="NO TIENE L3OUT"/>
    <n v="282"/>
    <n v="54"/>
  </r>
  <r>
    <n v="798"/>
    <x v="2"/>
    <x v="178"/>
    <s v="eth1/38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38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38"/>
    <x v="0"/>
    <x v="0"/>
    <x v="0"/>
    <s v="LINK_TO_ITHFHWCRMPLCN96 / Slot7.3_24 / Redundante"/>
    <x v="0"/>
    <b v="0"/>
    <s v="No está en VPC"/>
    <n v="852"/>
    <s v="INTPG_ACC_852_1.38"/>
    <s v="ISEL-1.38"/>
    <n v="1"/>
    <s v="NO TIENE L3OUT"/>
    <n v="258"/>
    <n v="54"/>
  </r>
  <r>
    <n v="817"/>
    <x v="2"/>
    <x v="181"/>
    <s v="eth1/38"/>
    <x v="0"/>
    <x v="0"/>
    <x v="0"/>
    <s v="LINK_TO_ITHFHWCBSPSWR26 /10GE.1 /Principal"/>
    <x v="0"/>
    <b v="0"/>
    <s v="No está en VPC"/>
    <n v="817"/>
    <s v="INTPG_VPC_817_1.38_822_1.38"/>
    <s v="ISEL-1.38"/>
    <n v="1"/>
    <s v="NO TIENE L3OUT"/>
    <n v="0"/>
    <n v="54"/>
  </r>
  <r>
    <n v="832"/>
    <x v="2"/>
    <x v="182"/>
    <s v="eth1/38"/>
    <x v="0"/>
    <x v="0"/>
    <x v="0"/>
    <s v="LINK_TO_ITHHWD6KV60010DKC01 /CtrlA_IOM0.P1 /Redundante"/>
    <x v="0"/>
    <b v="0"/>
    <s v="No está en VPC"/>
    <n v="832"/>
    <s v="INTPG_ACC_832_1.38"/>
    <s v="ISEL-1.38"/>
    <n v="1"/>
    <s v="NO TIENE L3OUT"/>
    <n v="192"/>
    <n v="54"/>
  </r>
  <r>
    <n v="816"/>
    <x v="2"/>
    <x v="183"/>
    <s v="eth1/38"/>
    <x v="0"/>
    <x v="0"/>
    <x v="0"/>
    <s v="LINK_TO_ITHFHWCBSPSWR19 /10GE.1 /Principal"/>
    <x v="0"/>
    <b v="0"/>
    <s v="No está en VPC"/>
    <n v="816"/>
    <s v="INTPG_VPC_816_1.38_821_1.38"/>
    <s v="ISEL-1.38"/>
    <n v="1"/>
    <s v="NO TIENE L3OUT"/>
    <n v="0"/>
    <n v="54"/>
  </r>
  <r>
    <n v="825"/>
    <x v="2"/>
    <x v="184"/>
    <s v="eth1/38"/>
    <x v="0"/>
    <x v="0"/>
    <x v="0"/>
    <s v="TO-9S_BESPR_IXTLA3_1"/>
    <x v="0"/>
    <b v="0"/>
    <s v="No está en VPC"/>
    <n v="825"/>
    <s v="INTPG_VPC_820_1.38-41_825_1.38-41"/>
    <s v="ISEL-1.38"/>
    <n v="31"/>
    <s v="NO TIENE L3OUT"/>
    <n v="72"/>
    <n v="54"/>
  </r>
  <r>
    <n v="800"/>
    <x v="2"/>
    <x v="185"/>
    <s v="eth1/38"/>
    <x v="0"/>
    <x v="0"/>
    <x v="0"/>
    <s v="TO-ITHFDEOCP1LWR09-REDUNDANTE"/>
    <x v="0"/>
    <b v="0"/>
    <s v="No está en VPC"/>
    <n v="800"/>
    <s v="INTPG_ACC_800_1.38"/>
    <s v="ISEL-1.38"/>
    <n v="1"/>
    <s v="NO TIENE L3OUT"/>
    <n v="78"/>
    <n v="54"/>
  </r>
  <r>
    <n v="801"/>
    <x v="2"/>
    <x v="186"/>
    <s v="eth1/38"/>
    <x v="0"/>
    <x v="0"/>
    <x v="0"/>
    <s v="TO-ITHFDEOCP1LWR09-PRINCIPAL"/>
    <x v="0"/>
    <b v="0"/>
    <s v="No está en VPC"/>
    <n v="801"/>
    <s v="INTPG_ACC_801_1.38"/>
    <s v="ISEL-1.38"/>
    <n v="1"/>
    <s v="NO TIENE L3OUT"/>
    <n v="78"/>
    <n v="54"/>
  </r>
  <r>
    <n v="823"/>
    <x v="2"/>
    <x v="187"/>
    <s v="eth1/38"/>
    <x v="0"/>
    <x v="0"/>
    <x v="0"/>
    <s v="LINK_TO_ITHFHWCBSPSWR37 /Slot7.2 /Redundante"/>
    <x v="0"/>
    <b v="0"/>
    <s v="No está en VPC"/>
    <n v="823"/>
    <s v="INTPG_VPC_818_1.38_823_1.38"/>
    <s v="ISEL-1.38"/>
    <n v="2"/>
    <s v="NO TIENE L3OUT"/>
    <n v="8"/>
    <n v="54"/>
  </r>
  <r>
    <n v="837"/>
    <x v="2"/>
    <x v="188"/>
    <s v="eth1/38"/>
    <x v="0"/>
    <x v="0"/>
    <x v="0"/>
    <s v="LINK_To_ITHFHWCBSPSHD20 / Slot1.3_16 / Principal"/>
    <x v="0"/>
    <b v="0"/>
    <s v="No está en VPC"/>
    <n v="837"/>
    <s v="INTPG_VPC_837_1.38_842_1.38"/>
    <s v="ISEL-1.38"/>
    <n v="1"/>
    <s v="NO TIENE L3OUT"/>
    <n v="8"/>
    <n v="54"/>
  </r>
  <r>
    <n v="867"/>
    <x v="2"/>
    <x v="189"/>
    <s v="eth1/38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38"/>
    <x v="0"/>
    <x v="0"/>
    <x v="0"/>
    <s v="To_ITHFHWCRMDLCN47_Principal"/>
    <x v="0"/>
    <b v="0"/>
    <s v="No está en VPC"/>
    <n v="829"/>
    <s v="INTPG_ACC_829_1.38"/>
    <s v="ISEL-1.38"/>
    <n v="1"/>
    <s v="NO TIENE L3OUT"/>
    <n v="224"/>
    <n v="54"/>
  </r>
  <r>
    <n v="831"/>
    <x v="2"/>
    <x v="191"/>
    <s v="eth1/38"/>
    <x v="0"/>
    <x v="0"/>
    <x v="0"/>
    <s v="LINK_TO_ITHFHWCBSDSWR29 /Slot7.2 /Redundante"/>
    <x v="0"/>
    <b v="0"/>
    <s v="No está en VPC"/>
    <n v="831"/>
    <s v="INTPG_VPC_827_1.38_831_1.38"/>
    <s v="ISEL-1.38"/>
    <n v="2"/>
    <s v="NO TIENE L3OUT"/>
    <n v="14"/>
    <n v="54"/>
  </r>
  <r>
    <n v="802"/>
    <x v="2"/>
    <x v="192"/>
    <s v="eth1/38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38"/>
    <x v="0"/>
    <x v="0"/>
    <x v="0"/>
    <s v="LINK_TO_ITHFHWCBSPSHD35 / Slot1.1_22 / Principal"/>
    <x v="0"/>
    <b v="0"/>
    <s v="No está en VPC"/>
    <n v="835"/>
    <s v="INTPG_VPC_835_1.38_840_1.38"/>
    <s v="ISEL-1.38"/>
    <n v="2"/>
    <s v="NO TIENE L3OUT"/>
    <n v="8"/>
    <n v="54"/>
  </r>
  <r>
    <n v="822"/>
    <x v="2"/>
    <x v="194"/>
    <s v="eth1/38"/>
    <x v="0"/>
    <x v="0"/>
    <x v="0"/>
    <s v="LINK_TO_ITHFHWCBSPSWR26 /Slot5.1 /Redundante"/>
    <x v="0"/>
    <b v="0"/>
    <s v="No está en VPC"/>
    <n v="822"/>
    <s v="INTPG_VPC_817_1.38_822_1.38"/>
    <s v="ISEL-1.38"/>
    <n v="1"/>
    <s v="NO TIENE L3OUT"/>
    <n v="0"/>
    <n v="54"/>
  </r>
  <r>
    <n v="854"/>
    <x v="2"/>
    <x v="195"/>
    <s v="eth1/38"/>
    <x v="0"/>
    <x v="0"/>
    <x v="0"/>
    <s v="LINK_TO_ITHFHWCRMPSBDP10 / Slot1.1_4 / Principal"/>
    <x v="0"/>
    <b v="0"/>
    <s v="No está en VPC"/>
    <n v="854"/>
    <s v="INTPG_VPC_854_1.38_847_1.38"/>
    <s v="ISEL-1.38"/>
    <n v="6"/>
    <s v="NO TIENE L3OUT"/>
    <n v="204"/>
    <n v="54"/>
  </r>
  <r>
    <n v="858"/>
    <x v="2"/>
    <x v="196"/>
    <s v="eth1/38"/>
    <x v="0"/>
    <x v="0"/>
    <x v="0"/>
    <s v="To_VPC_2DCBSD_WR57_2"/>
    <x v="0"/>
    <b v="0"/>
    <s v="No está en VPC"/>
    <n v="858"/>
    <s v="INTPG_VPC_858_1.38_863_1.38"/>
    <s v="ISEL-1.38"/>
    <n v="1"/>
    <s v="NO TIENE L3OUT"/>
    <n v="8"/>
    <n v="54"/>
  </r>
  <r>
    <n v="857"/>
    <x v="2"/>
    <x v="197"/>
    <s v="eth1/38"/>
    <x v="0"/>
    <x v="0"/>
    <x v="0"/>
    <s v="LINKT_TO_ITHFHWCRMPLCN128 / Slot1.1_26 / Principal"/>
    <x v="0"/>
    <b v="0"/>
    <s v="No está en VPC"/>
    <n v="857"/>
    <s v="INTPG_ACC_857_1.38"/>
    <s v="ISEL-1.38"/>
    <n v="6"/>
    <s v="NO TIENE L3OUT"/>
    <n v="288"/>
    <n v="54"/>
  </r>
  <r>
    <n v="859"/>
    <x v="2"/>
    <x v="198"/>
    <s v="eth1/38"/>
    <x v="0"/>
    <x v="0"/>
    <x v="0"/>
    <s v="To_VPC_2DCBSD_WR48_2"/>
    <x v="0"/>
    <b v="0"/>
    <s v="No está en VPC"/>
    <n v="859"/>
    <s v="INTPG_VPC_859_1.38_864_1.38"/>
    <s v="ISEL-1.38"/>
    <n v="1"/>
    <s v="NO TIENE L3OUT"/>
    <n v="0"/>
    <n v="54"/>
  </r>
  <r>
    <n v="833"/>
    <x v="2"/>
    <x v="199"/>
    <s v="eth1/38"/>
    <x v="0"/>
    <x v="0"/>
    <x v="0"/>
    <s v="To_ITHFHWCRMDLCN47_Redundante"/>
    <x v="0"/>
    <b v="0"/>
    <s v="No está en VPC"/>
    <n v="833"/>
    <s v="INTPG_ACC_833_1.38"/>
    <s v="ISEL-1.38"/>
    <n v="1"/>
    <s v="NO TIENE L3OUT"/>
    <n v="224"/>
    <n v="54"/>
  </r>
  <r>
    <n v="818"/>
    <x v="2"/>
    <x v="200"/>
    <s v="eth1/38"/>
    <x v="0"/>
    <x v="0"/>
    <x v="0"/>
    <s v="LINK_TO_ITHFHWCBSPSWR37 /Slot5.2 /Principal"/>
    <x v="0"/>
    <b v="0"/>
    <s v="No está en VPC"/>
    <n v="818"/>
    <s v="INTPG_VPC_818_1.38_823_1.38"/>
    <s v="ISEL-1.38"/>
    <n v="2"/>
    <s v="NO TIENE L3OUT"/>
    <n v="8"/>
    <n v="54"/>
  </r>
  <r>
    <n v="850"/>
    <x v="2"/>
    <x v="201"/>
    <s v="eth1/38"/>
    <x v="0"/>
    <x v="0"/>
    <x v="0"/>
    <s v="LINKT_TO_ITHFHWCRMPLCN128 / Slot7.1_26 / Redundante"/>
    <x v="0"/>
    <b v="0"/>
    <s v="No está en VPC"/>
    <n v="850"/>
    <s v="INTPG_ACC_850_1.38"/>
    <s v="ISEL-1.38"/>
    <n v="6"/>
    <s v="NO TIENE L3OUT"/>
    <n v="288"/>
    <n v="54"/>
  </r>
  <r>
    <n v="860"/>
    <x v="2"/>
    <x v="202"/>
    <s v="eth1/38"/>
    <x v="0"/>
    <x v="0"/>
    <x v="0"/>
    <s v="To_VPC_2DCBSD_BD19_2"/>
    <x v="0"/>
    <b v="0"/>
    <s v="No está en VPC"/>
    <n v="860"/>
    <s v="INTPG_VPC_860_1.38_865_1.38"/>
    <s v="ISEL-1.38"/>
    <n v="1"/>
    <s v="NO TIENE L3OUT"/>
    <n v="0"/>
    <n v="54"/>
  </r>
  <r>
    <n v="853"/>
    <x v="2"/>
    <x v="203"/>
    <s v="eth1/38"/>
    <x v="0"/>
    <x v="0"/>
    <x v="0"/>
    <s v="LINK_TO_ITHFHWCRMPLCN84 / Slot7.2_26 / Redundante"/>
    <x v="0"/>
    <b v="0"/>
    <s v="No está en VPC"/>
    <n v="853"/>
    <s v="INTPG_ACC_853_1.38"/>
    <s v="ISEL-1.38"/>
    <n v="2"/>
    <s v="NO TIENE L3OUT"/>
    <n v="242"/>
    <n v="54"/>
  </r>
  <r>
    <n v="790"/>
    <x v="2"/>
    <x v="204"/>
    <s v="eth1/38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38"/>
    <x v="0"/>
    <x v="1"/>
    <x v="1"/>
    <s v="DESC"/>
    <x v="6"/>
    <b v="0"/>
    <s v="No está en VPC"/>
    <n v="105"/>
    <s v="INTPG_PC_105_1.6-12_38"/>
    <s v="ISEL-1.38"/>
    <n v="17"/>
    <s v="NO TIENE L3OUT"/>
    <n v="106"/>
    <n v="96"/>
  </r>
  <r>
    <n v="117"/>
    <x v="0"/>
    <x v="206"/>
    <s v="eth1/38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38"/>
    <x v="1"/>
    <x v="1"/>
    <x v="2"/>
    <s v="DESC"/>
    <x v="6"/>
    <b v="0"/>
    <s v="No está en VPC"/>
    <n v="104"/>
    <s v="INTPG_PC_104_1.32-39"/>
    <s v="ISEL-1.38"/>
    <n v="0"/>
    <s v="NO TIENE L3OUT"/>
    <n v="194"/>
    <n v="96"/>
  </r>
  <r>
    <n v="158"/>
    <x v="0"/>
    <x v="208"/>
    <s v="eth1/38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38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38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38"/>
    <x v="0"/>
    <x v="0"/>
    <x v="0"/>
    <m/>
    <x v="6"/>
    <b v="0"/>
    <s v="No está en VPC"/>
    <n v="108"/>
    <s v="INTPG_ACC_108_1.38"/>
    <s v="ISEL-1.38"/>
    <n v="1"/>
    <s v="NO TIENE L3OUT"/>
    <n v="126"/>
    <n v="96"/>
  </r>
  <r>
    <n v="112"/>
    <x v="0"/>
    <x v="212"/>
    <s v="eth1/38"/>
    <x v="0"/>
    <x v="0"/>
    <x v="0"/>
    <s v="CHARGING SYSTEM"/>
    <x v="6"/>
    <b v="0"/>
    <s v="No está en VPC"/>
    <n v="112"/>
    <s v="INTPG_ACC_112_1.38"/>
    <s v="ISEL-1.38"/>
    <n v="1"/>
    <s v="NO TIENE L3OUT"/>
    <n v="144"/>
    <n v="96"/>
  </r>
  <r>
    <n v="107"/>
    <x v="0"/>
    <x v="213"/>
    <s v="eth1/38"/>
    <x v="0"/>
    <x v="0"/>
    <x v="0"/>
    <s v="Generador VoMS"/>
    <x v="6"/>
    <b v="0"/>
    <s v="No está en VPC"/>
    <n v="107"/>
    <s v="INTPG_ACC_107_1.38"/>
    <s v="ISEL-1.38"/>
    <n v="1"/>
    <s v="NO TIENE L3OUT"/>
    <n v="118"/>
    <n v="96"/>
  </r>
  <r>
    <n v="109"/>
    <x v="0"/>
    <x v="214"/>
    <s v="eth1/38"/>
    <x v="0"/>
    <x v="0"/>
    <x v="0"/>
    <m/>
    <x v="6"/>
    <b v="0"/>
    <s v="No está en VPC"/>
    <n v="109"/>
    <s v="INTPG_ACC_109_1.38"/>
    <s v="ISEL-1.38"/>
    <n v="1"/>
    <s v="NO TIENE L3OUT"/>
    <n v="126"/>
    <n v="96"/>
  </r>
  <r>
    <n v="113"/>
    <x v="0"/>
    <x v="215"/>
    <s v="eth1/38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38"/>
    <x v="0"/>
    <x v="0"/>
    <x v="0"/>
    <s v="ASAP"/>
    <x v="6"/>
    <b v="0"/>
    <s v="No está en VPC"/>
    <n v="114"/>
    <s v="INTPG_ACC_114_1.38"/>
    <s v="ISEL-1.38"/>
    <n v="1"/>
    <s v="NO TIENE L3OUT"/>
    <n v="144"/>
    <n v="96"/>
  </r>
  <r>
    <n v="124"/>
    <x v="0"/>
    <x v="217"/>
    <s v="eth1/38"/>
    <x v="0"/>
    <x v="0"/>
    <x v="0"/>
    <s v="ixtossgw2_4"/>
    <x v="6"/>
    <b v="0"/>
    <s v="No está en VPC"/>
    <n v="124"/>
    <s v="INTPG_ACC_124_1.38"/>
    <s v="ISEL-1.38"/>
    <n v="1"/>
    <s v="NO TIENE L3OUT"/>
    <n v="80"/>
    <n v="96"/>
  </r>
  <r>
    <n v="118"/>
    <x v="0"/>
    <x v="218"/>
    <s v="eth1/38"/>
    <x v="1"/>
    <x v="1"/>
    <x v="2"/>
    <s v="INGE6"/>
    <x v="6"/>
    <b v="0"/>
    <s v="No está en VPC"/>
    <n v="118"/>
    <s v="INTPG_ACC_118_1.38"/>
    <s v="ISEL-1.38"/>
    <n v="1"/>
    <s v="NO TIENE L3OUT"/>
    <n v="180"/>
    <n v="96"/>
  </r>
  <r>
    <n v="159"/>
    <x v="0"/>
    <x v="219"/>
    <s v="eth1/38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38"/>
    <x v="0"/>
    <x v="0"/>
    <x v="0"/>
    <s v="LINK_TO_ITHFHWCBSPSHD35 / Slot7.1_22 / Redundante"/>
    <x v="0"/>
    <b v="0"/>
    <s v="No está en VPC"/>
    <n v="840"/>
    <s v="INTPG_VPC_835_1.38_840_1.38"/>
    <s v="ISEL-1.38"/>
    <n v="2"/>
    <s v="NO TIENE L3OUT"/>
    <n v="8"/>
    <n v="54"/>
  </r>
  <r>
    <n v="856"/>
    <x v="2"/>
    <x v="221"/>
    <s v="eth1/38"/>
    <x v="0"/>
    <x v="0"/>
    <x v="0"/>
    <s v="LINK_TO_ITHFHWCRMPLCN147 / Slot1.1_28 / Principal"/>
    <x v="0"/>
    <b v="0"/>
    <s v="No está en VPC"/>
    <n v="856"/>
    <s v="INTPG_ACC_856_1.38"/>
    <s v="ISEL-1.38"/>
    <n v="6"/>
    <s v="NO TIENE L3OUT"/>
    <n v="286"/>
    <n v="54"/>
  </r>
  <r>
    <n v="110"/>
    <x v="0"/>
    <x v="222"/>
    <s v="eth1/38"/>
    <x v="0"/>
    <x v="0"/>
    <x v="0"/>
    <s v="PAPERLESS-FO"/>
    <x v="6"/>
    <b v="0"/>
    <s v="No está en VPC"/>
    <n v="110"/>
    <s v="INTPG_ACC_110_1.38"/>
    <s v="ISEL-1.38"/>
    <n v="1"/>
    <s v="NO TIENE L3OUT"/>
    <n v="102"/>
    <n v="96"/>
  </r>
  <r>
    <n v="163"/>
    <x v="0"/>
    <x v="223"/>
    <s v="eth1/38"/>
    <x v="0"/>
    <x v="0"/>
    <x v="0"/>
    <s v="MULTIMEDIACION_1"/>
    <x v="6"/>
    <b v="0"/>
    <s v="No está en VPC"/>
    <n v="163"/>
    <s v="INTPG_ACC_163_1.38"/>
    <s v="ISEL-1.38"/>
    <n v="1"/>
    <s v="NO TIENE L3OUT"/>
    <n v="140"/>
    <n v="96"/>
  </r>
  <r>
    <n v="407"/>
    <x v="1"/>
    <x v="224"/>
    <s v="eth1/38"/>
    <x v="0"/>
    <x v="0"/>
    <x v="0"/>
    <s v="Uxcppnal _ilo"/>
    <x v="6"/>
    <b v="0"/>
    <s v="No está en VPC"/>
    <n v="407"/>
    <s v="INTPG_ACC_407_1.38"/>
    <s v="ISEL-1.38"/>
    <n v="1"/>
    <s v="NO TIENE L3OUT"/>
    <n v="122"/>
    <n v="96"/>
  </r>
  <r>
    <n v="171"/>
    <x v="0"/>
    <x v="225"/>
    <s v="eth1/38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38"/>
    <x v="0"/>
    <x v="1"/>
    <x v="1"/>
    <s v="VTA_uxvta073_Net0"/>
    <x v="6"/>
    <b v="0"/>
    <s v="No está en VPC"/>
    <n v="421"/>
    <s v="INTPG_ACC_421_1.38"/>
    <s v="ISEL-1.38"/>
    <n v="1"/>
    <s v="NO TIENE L3OUT"/>
    <n v="72"/>
    <n v="96"/>
  </r>
  <r>
    <n v="173"/>
    <x v="0"/>
    <x v="227"/>
    <s v="eth1/38"/>
    <x v="0"/>
    <x v="0"/>
    <x v="0"/>
    <s v="ENIQ"/>
    <x v="6"/>
    <b v="0"/>
    <s v="No está en VPC"/>
    <n v="173"/>
    <s v="INTPG_ACC_173_1.38"/>
    <s v="ISEL-1.38"/>
    <n v="1"/>
    <s v="NO TIENE L3OUT"/>
    <n v="66"/>
    <n v="96"/>
  </r>
  <r>
    <n v="154"/>
    <x v="0"/>
    <x v="228"/>
    <s v="eth1/38"/>
    <x v="0"/>
    <x v="0"/>
    <x v="0"/>
    <m/>
    <x v="6"/>
    <b v="0"/>
    <s v="No está en VPC"/>
    <n v="154"/>
    <s v="INTPG_ACC_154_1.38"/>
    <s v="ISEL-1.38"/>
    <n v="1"/>
    <s v="NO TIENE L3OUT"/>
    <n v="62"/>
    <n v="96"/>
  </r>
  <r>
    <n v="172"/>
    <x v="0"/>
    <x v="229"/>
    <s v="eth1/38"/>
    <x v="0"/>
    <x v="0"/>
    <x v="0"/>
    <s v="HP_Performance_Insight"/>
    <x v="6"/>
    <b v="0"/>
    <s v="No está en VPC"/>
    <n v="172"/>
    <s v="INTPG_ACC_172_1.38"/>
    <s v="ISEL-1.38"/>
    <n v="1"/>
    <s v="NO TIENE L3OUT"/>
    <n v="104"/>
    <n v="96"/>
  </r>
  <r>
    <n v="420"/>
    <x v="1"/>
    <x v="230"/>
    <s v="eth1/38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38"/>
    <x v="0"/>
    <x v="0"/>
    <x v="0"/>
    <s v="SPECSERVER1_ADMIN2"/>
    <x v="6"/>
    <b v="0"/>
    <s v="No está en VPC"/>
    <n v="423"/>
    <s v="INTPG_ACC_423_1.38"/>
    <s v="ISEL-1.38"/>
    <n v="1"/>
    <s v="NO TIENE L3OUT"/>
    <n v="86"/>
    <n v="96"/>
  </r>
  <r>
    <n v="415"/>
    <x v="1"/>
    <x v="232"/>
    <s v="eth1/38"/>
    <x v="0"/>
    <x v="0"/>
    <x v="0"/>
    <s v="To-uxingemc3"/>
    <x v="6"/>
    <b v="0"/>
    <s v="No está en VPC"/>
    <n v="415"/>
    <s v="INTPG_ACC_415_1.38"/>
    <s v="ISEL-1.38"/>
    <n v="1"/>
    <s v="NO TIENE L3OUT"/>
    <n v="52"/>
    <n v="96"/>
  </r>
  <r>
    <n v="102"/>
    <x v="0"/>
    <x v="233"/>
    <s v="eth1/38"/>
    <x v="0"/>
    <x v="1"/>
    <x v="1"/>
    <s v="SFLDI:RLDIWEB01:1"/>
    <x v="6"/>
    <b v="0"/>
    <s v="No está en VPC"/>
    <n v="102"/>
    <s v="INTPG_ACC_102_1.38"/>
    <s v="ISEL-1.38"/>
    <n v="1"/>
    <s v="NO TIENE L3OUT"/>
    <n v="228"/>
    <n v="96"/>
  </r>
  <r>
    <n v="863"/>
    <x v="2"/>
    <x v="234"/>
    <s v="eth1/38"/>
    <x v="0"/>
    <x v="0"/>
    <x v="0"/>
    <s v="To_VPC_2DCBSD_WR57_2"/>
    <x v="0"/>
    <b v="0"/>
    <s v="No está en VPC"/>
    <n v="863"/>
    <s v="INTPG_VPC_858_1.38_863_1.38"/>
    <s v="ISEL-1.38"/>
    <n v="1"/>
    <s v="NO TIENE L3OUT"/>
    <n v="8"/>
    <n v="54"/>
  </r>
  <r>
    <n v="876"/>
    <x v="2"/>
    <x v="235"/>
    <s v="eth1/38"/>
    <x v="0"/>
    <x v="0"/>
    <x v="0"/>
    <s v="A_ITHFHWSEQLCAS13_Principal"/>
    <x v="4"/>
    <b v="0"/>
    <s v="No está en VPC"/>
    <n v="876"/>
    <s v="INTPG_ACC_876_1.38"/>
    <s v="ISEL-1.38"/>
    <n v="1"/>
    <s v="NO TIENE L3OUT"/>
    <n v="92"/>
    <n v="54"/>
  </r>
  <r>
    <n v="877"/>
    <x v="2"/>
    <x v="236"/>
    <s v="eth1/38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38"/>
    <x v="0"/>
    <x v="0"/>
    <x v="0"/>
    <s v="Registro Nacional de Celulares"/>
    <x v="6"/>
    <b v="0"/>
    <s v="No está en VPC"/>
    <n v="122"/>
    <s v="INTPG_ACC_122_1.38"/>
    <s v="ISEL-1.38"/>
    <n v="1"/>
    <s v="NO TIENE L3OUT"/>
    <n v="148"/>
    <n v="96"/>
  </r>
  <r>
    <n v="157"/>
    <x v="0"/>
    <x v="238"/>
    <s v="eth1/38"/>
    <x v="0"/>
    <x v="0"/>
    <x v="0"/>
    <s v="COBROS NAVEGACION"/>
    <x v="6"/>
    <b v="0"/>
    <s v="No está en VPC"/>
    <n v="157"/>
    <s v="INTPG_ACC_157_1.38"/>
    <s v="ISEL-1.38"/>
    <n v="1"/>
    <s v="NO TIENE L3OUT"/>
    <n v="202"/>
    <n v="96"/>
  </r>
  <r>
    <n v="408"/>
    <x v="1"/>
    <x v="239"/>
    <s v="eth1/38"/>
    <x v="0"/>
    <x v="1"/>
    <x v="1"/>
    <s v="HNMD101A"/>
    <x v="6"/>
    <b v="0"/>
    <s v="No está en VPC"/>
    <n v="408"/>
    <s v="INTPG_ACC_408_1.38"/>
    <s v="ISEL-1.38"/>
    <n v="1"/>
    <s v="NO TIENE L3OUT"/>
    <n v="152"/>
    <n v="96"/>
  </r>
  <r>
    <n v="405"/>
    <x v="1"/>
    <x v="240"/>
    <s v="eth1/38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38"/>
    <x v="0"/>
    <x v="0"/>
    <x v="0"/>
    <s v="TO-ITHFDENBURBKP04(IXTFDLBKP7RAP)-PRINCIPAL"/>
    <x v="6"/>
    <b v="0"/>
    <s v="No está en VPC"/>
    <n v="169"/>
    <s v="INTPG_ACC_169_1.38"/>
    <s v="ISEL-1.38"/>
    <n v="1"/>
    <s v="NO TIENE L3OUT"/>
    <n v="76"/>
    <n v="96"/>
  </r>
  <r>
    <n v="165"/>
    <x v="0"/>
    <x v="242"/>
    <s v="eth1/38"/>
    <x v="0"/>
    <x v="0"/>
    <x v="0"/>
    <s v="NOMINA_uxasis001"/>
    <x v="6"/>
    <b v="0"/>
    <s v="No está en VPC"/>
    <n v="165"/>
    <s v="INTPG_ACC_165_1.38"/>
    <s v="ISEL-1.38"/>
    <n v="1"/>
    <s v="NO TIENE L3OUT"/>
    <n v="86"/>
    <n v="96"/>
  </r>
  <r>
    <n v="417"/>
    <x v="1"/>
    <x v="243"/>
    <s v="eth1/38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38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38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38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38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38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38"/>
    <x v="0"/>
    <x v="0"/>
    <x v="0"/>
    <s v="PCRF4_CLT"/>
    <x v="6"/>
    <b v="0"/>
    <s v="No está en VPC"/>
    <n v="406"/>
    <s v="INTPG_VPC_404_1.41-42_406_1.37-38"/>
    <s v="ISEL-1.38"/>
    <n v="5"/>
    <s v="NO TIENE L3OUT"/>
    <n v="82"/>
    <n v="96"/>
  </r>
  <r>
    <n v="414"/>
    <x v="1"/>
    <x v="250"/>
    <s v="eth1/38"/>
    <x v="0"/>
    <x v="0"/>
    <x v="0"/>
    <s v="IXTPF1"/>
    <x v="6"/>
    <b v="0"/>
    <s v="No está en VPC"/>
    <n v="414"/>
    <s v="INTPG_ACC_414_1.38"/>
    <s v="ISEL-1.38"/>
    <n v="2"/>
    <s v="NO TIENE L3OUT"/>
    <n v="144"/>
    <n v="96"/>
  </r>
  <r>
    <n v="416"/>
    <x v="1"/>
    <x v="251"/>
    <s v="eth1/38"/>
    <x v="0"/>
    <x v="1"/>
    <x v="1"/>
    <s v="DESC"/>
    <x v="6"/>
    <b v="0"/>
    <s v="No está en VPC"/>
    <n v="416"/>
    <s v="INTPG_PC_416_1.32-39"/>
    <s v="ISEL-1.38"/>
    <n v="8"/>
    <s v="NO TIENE L3OUT"/>
    <n v="110"/>
    <n v="96"/>
  </r>
  <r>
    <n v="418"/>
    <x v="1"/>
    <x v="252"/>
    <s v="eth1/38"/>
    <x v="0"/>
    <x v="1"/>
    <x v="1"/>
    <s v="DESC"/>
    <x v="6"/>
    <b v="0"/>
    <s v="No está en VPC"/>
    <n v="418"/>
    <s v="INTPG_PC_418_1.32-39"/>
    <s v="ISEL-1.38"/>
    <n v="8"/>
    <s v="NO TIENE L3OUT"/>
    <n v="152"/>
    <n v="96"/>
  </r>
  <r>
    <n v="413"/>
    <x v="1"/>
    <x v="253"/>
    <s v="eth1/38"/>
    <x v="0"/>
    <x v="0"/>
    <x v="0"/>
    <s v="To-uxingemc1 ldom2 uxsmart04"/>
    <x v="6"/>
    <b v="0"/>
    <s v="No está en VPC"/>
    <n v="413"/>
    <s v="INTPG_ACC_413_1.38"/>
    <s v="ISEL-1.38"/>
    <n v="1"/>
    <s v="NO TIENE L3OUT"/>
    <n v="126"/>
    <n v="96"/>
  </r>
  <r>
    <n v="403"/>
    <x v="1"/>
    <x v="254"/>
    <s v="eth1/38"/>
    <x v="0"/>
    <x v="0"/>
    <x v="0"/>
    <s v="TO-ITHFDLMCLWLCN01-Principal"/>
    <x v="6"/>
    <b v="0"/>
    <s v="No está en VPC"/>
    <n v="403"/>
    <s v="INTPG_ACC_403_1.38"/>
    <s v="ISEL-1.38"/>
    <n v="1"/>
    <s v="NO TIENE L3OUT"/>
    <n v="150"/>
    <n v="96"/>
  </r>
  <r>
    <n v="125"/>
    <x v="0"/>
    <x v="255"/>
    <s v="eth1/38"/>
    <x v="0"/>
    <x v="0"/>
    <x v="0"/>
    <s v="ixtossgw1_3"/>
    <x v="6"/>
    <b v="0"/>
    <s v="No está en VPC"/>
    <n v="125"/>
    <s v="INTPG_ACC_125_1.38"/>
    <s v="ISEL-1.38"/>
    <n v="1"/>
    <s v="NO TIENE L3OUT"/>
    <n v="72"/>
    <n v="96"/>
  </r>
  <r>
    <n v="166"/>
    <x v="0"/>
    <x v="256"/>
    <s v="eth1/38"/>
    <x v="0"/>
    <x v="0"/>
    <x v="0"/>
    <s v="NOMINA_rhprd"/>
    <x v="6"/>
    <b v="0"/>
    <s v="No está en VPC"/>
    <n v="166"/>
    <s v="INTPG_ACC_166_1.38"/>
    <s v="ISEL-1.38"/>
    <n v="1"/>
    <s v="NO TIENE L3OUT"/>
    <n v="84"/>
    <n v="96"/>
  </r>
  <r>
    <n v="111"/>
    <x v="0"/>
    <x v="257"/>
    <s v="eth1/38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38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38"/>
    <x v="0"/>
    <x v="0"/>
    <x v="0"/>
    <m/>
    <x v="6"/>
    <b v="0"/>
    <s v="No está en VPC"/>
    <n v="106"/>
    <s v="INTPG_PC_106_1.35-38"/>
    <s v="ISEL-1.38"/>
    <n v="1"/>
    <s v="NO TIENE L3OUT"/>
    <n v="122"/>
    <n v="96"/>
  </r>
  <r>
    <n v="126"/>
    <x v="0"/>
    <x v="260"/>
    <s v="eth1/38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38"/>
    <x v="0"/>
    <x v="0"/>
    <x v="0"/>
    <s v="ITHPA01_eth1_IPMP-Pasiva"/>
    <x v="6"/>
    <b v="0"/>
    <s v="No está en VPC"/>
    <n v="425"/>
    <s v="INTPG_ACC_425_1.38"/>
    <s v="ISEL-1.38"/>
    <n v="1"/>
    <s v="NO TIENE L3OUT"/>
    <n v="86"/>
    <n v="96"/>
  </r>
  <r>
    <n v="151"/>
    <x v="0"/>
    <x v="262"/>
    <s v="eth1/38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38"/>
    <x v="0"/>
    <x v="0"/>
    <x v="0"/>
    <s v="SecAnLG_iDrac_04-Colector_R9-SA_IXTSALG_H9SA"/>
    <x v="6"/>
    <b v="0"/>
    <s v="No está en VPC"/>
    <n v="430"/>
    <s v="INTPG_ACC_430_1.38"/>
    <s v="ISEL-1.38"/>
    <n v="1"/>
    <s v="NO TIENE L3OUT"/>
    <n v="86"/>
    <n v="96"/>
  </r>
  <r>
    <n v="419"/>
    <x v="1"/>
    <x v="264"/>
    <s v="eth1/38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38"/>
    <x v="0"/>
    <x v="0"/>
    <x v="0"/>
    <s v="SNA TEST BED"/>
    <x v="6"/>
    <b v="0"/>
    <s v="No está en VPC"/>
    <n v="155"/>
    <s v="INTPG_ACC_155_1.38"/>
    <s v="ISEL-1.38"/>
    <n v="0"/>
    <s v="L3OUT-SNA-SITE-TESTBED-BGP"/>
    <n v="198"/>
    <n v="96"/>
  </r>
  <r>
    <n v="409"/>
    <x v="1"/>
    <x v="266"/>
    <s v="eth1/38"/>
    <x v="0"/>
    <x v="0"/>
    <x v="0"/>
    <s v="Uxcppdes"/>
    <x v="6"/>
    <b v="0"/>
    <s v="No está en VPC"/>
    <n v="409"/>
    <s v="INTPG_ACC_409_1.38"/>
    <s v="ISEL-1.38"/>
    <n v="1"/>
    <s v="NO TIENE L3OUT"/>
    <n v="128"/>
    <n v="96"/>
  </r>
  <r>
    <n v="422"/>
    <x v="1"/>
    <x v="267"/>
    <s v="eth1/38"/>
    <x v="0"/>
    <x v="0"/>
    <x v="0"/>
    <s v="ITHRTC4AEN2OA2"/>
    <x v="6"/>
    <b v="0"/>
    <s v="No está en VPC"/>
    <n v="422"/>
    <s v="INTPG_ACC_422_1.38"/>
    <s v="ISEL-1.38"/>
    <n v="1"/>
    <s v="NO TIENE L3OUT"/>
    <n v="182"/>
    <n v="96"/>
  </r>
  <r>
    <n v="436"/>
    <x v="1"/>
    <x v="268"/>
    <s v="eth1/38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38"/>
    <x v="0"/>
    <x v="0"/>
    <x v="0"/>
    <s v="IXTPF1"/>
    <x v="6"/>
    <b v="0"/>
    <s v="No está en VPC"/>
    <n v="410"/>
    <s v="INTPG_ACC_410_1.38"/>
    <s v="ISEL-1.38"/>
    <n v="1"/>
    <s v="NO TIENE L3OUT"/>
    <n v="178"/>
    <n v="96"/>
  </r>
  <r>
    <n v="161"/>
    <x v="0"/>
    <x v="270"/>
    <s v="eth1/38"/>
    <x v="0"/>
    <x v="1"/>
    <x v="5"/>
    <s v="sfmedt04_CLIENT1"/>
    <x v="6"/>
    <b v="0"/>
    <s v="No está en VPC"/>
    <n v="161"/>
    <s v="INTPG_VPC_161_1.38_163_1.43"/>
    <s v="ISEL-1.38"/>
    <n v="1"/>
    <s v="NO TIENE L3OUT"/>
    <n v="102"/>
    <n v="96"/>
  </r>
  <r>
    <n v="411"/>
    <x v="1"/>
    <x v="271"/>
    <s v="eth1/38"/>
    <x v="0"/>
    <x v="0"/>
    <x v="0"/>
    <s v="lagidmhlapvp12_produccion1"/>
    <x v="6"/>
    <b v="0"/>
    <s v="No está en VPC"/>
    <n v="411"/>
    <s v="INTPG_VPC_411_1.36-39_413_1.29-32"/>
    <s v="ISEL-1.38"/>
    <n v="2"/>
    <s v="NO TIENE L3OUT"/>
    <n v="96"/>
    <n v="96"/>
  </r>
  <r>
    <n v="116"/>
    <x v="0"/>
    <x v="272"/>
    <s v="eth1/38"/>
    <x v="0"/>
    <x v="0"/>
    <x v="0"/>
    <s v="DATOS NETCRACKER"/>
    <x v="6"/>
    <b v="0"/>
    <s v="No está en VPC"/>
    <n v="116"/>
    <s v="INTPG_ACC_116_1.38"/>
    <s v="ISEL-1.38"/>
    <n v="1"/>
    <s v="NO TIENE L3OUT"/>
    <n v="148"/>
    <n v="96"/>
  </r>
  <r>
    <n v="412"/>
    <x v="1"/>
    <x v="273"/>
    <s v="eth1/38"/>
    <x v="0"/>
    <x v="1"/>
    <x v="1"/>
    <s v="HNMD101B"/>
    <x v="6"/>
    <b v="0"/>
    <s v="No está en VPC"/>
    <n v="412"/>
    <s v="INTPG_ACC_412_1.38"/>
    <s v="ISEL-1.38"/>
    <n v="1"/>
    <s v="NO TIENE L3OUT"/>
    <n v="126"/>
    <n v="96"/>
  </r>
  <r>
    <n v="120"/>
    <x v="0"/>
    <x v="274"/>
    <s v="eth1/38"/>
    <x v="0"/>
    <x v="0"/>
    <x v="0"/>
    <s v="Registro Nacional de Celulares"/>
    <x v="6"/>
    <b v="0"/>
    <s v="No está en VPC"/>
    <n v="120"/>
    <s v="INTPG_ACC_120_1.38"/>
    <s v="ISEL-1.38"/>
    <n v="1"/>
    <s v="NO TIENE L3OUT"/>
    <n v="158"/>
    <n v="96"/>
  </r>
  <r>
    <n v="404"/>
    <x v="1"/>
    <x v="275"/>
    <s v="eth1/38"/>
    <x v="0"/>
    <x v="0"/>
    <x v="0"/>
    <s v="DESC"/>
    <x v="6"/>
    <b v="0"/>
    <s v="No está en VPC"/>
    <n v="404"/>
    <s v="INTPG_PC_404_1.37-40"/>
    <s v="ISEL-1.38"/>
    <n v="4"/>
    <s v="NO TIENE L3OUT"/>
    <n v="92"/>
    <n v="96"/>
  </r>
  <r>
    <n v="167"/>
    <x v="0"/>
    <x v="276"/>
    <s v="eth1/38"/>
    <x v="0"/>
    <x v="1"/>
    <x v="1"/>
    <s v="9UCS-GEO-IXTLA-SERV1"/>
    <x v="6"/>
    <b v="0"/>
    <s v="No está en VPC"/>
    <n v="167"/>
    <s v="INTPG_ACC_167_1.38"/>
    <s v="ISEL-1.38"/>
    <n v="1"/>
    <s v="NO TIENE L3OUT"/>
    <n v="68"/>
    <n v="96"/>
  </r>
  <r>
    <n v="428"/>
    <x v="1"/>
    <x v="277"/>
    <s v="eth1/38"/>
    <x v="0"/>
    <x v="0"/>
    <x v="0"/>
    <s v="RLPNOVB02"/>
    <x v="6"/>
    <b v="0"/>
    <s v="No está en VPC"/>
    <n v="428"/>
    <s v="INTPG_ACC_428_1.38"/>
    <s v="ISEL-1.38"/>
    <n v="1"/>
    <s v="NO TIENE L3OUT"/>
    <n v="102"/>
    <n v="96"/>
  </r>
  <r>
    <n v="128"/>
    <x v="0"/>
    <x v="0"/>
    <s v="eth1/39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39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39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39"/>
    <x v="0"/>
    <x v="0"/>
    <x v="0"/>
    <s v="DESC"/>
    <x v="0"/>
    <b v="0"/>
    <s v="No está en VPC"/>
    <n v="101"/>
    <s v="INTPG_PC_101_1.39-40"/>
    <s v="ISEL-1.39"/>
    <n v="1"/>
    <s v="NO TIENE L3OUT"/>
    <n v="114"/>
    <n v="54"/>
  </r>
  <r>
    <n v="160"/>
    <x v="0"/>
    <x v="4"/>
    <s v="eth1/39"/>
    <x v="0"/>
    <x v="1"/>
    <x v="1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39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39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39"/>
    <x v="0"/>
    <x v="1"/>
    <x v="3"/>
    <s v="PRUEBA OSPF SNA"/>
    <x v="0"/>
    <b v="0"/>
    <s v="No está en VPC"/>
    <n v="401"/>
    <s v="INTPG_ACC_401_1.39"/>
    <s v="ISEL-1.39"/>
    <n v="0"/>
    <s v="L3OUT-OSPF-TEST-2"/>
    <n v="40"/>
    <n v="54"/>
  </r>
  <r>
    <n v="402"/>
    <x v="1"/>
    <x v="8"/>
    <s v="eth1/39"/>
    <x v="0"/>
    <x v="1"/>
    <x v="3"/>
    <m/>
    <x v="0"/>
    <b v="0"/>
    <s v="No está en VPC"/>
    <n v="402"/>
    <s v="INTP_ACC_402_1.39"/>
    <s v="ISEL-1.39"/>
    <n v="0"/>
    <s v="NO TIENE L3OUT"/>
    <n v="36"/>
    <n v="54"/>
  </r>
  <r>
    <n v="130"/>
    <x v="0"/>
    <x v="11"/>
    <s v="eth1/39"/>
    <x v="0"/>
    <x v="0"/>
    <x v="0"/>
    <s v="ITHFHWHSMTLCN04-LOM  P1"/>
    <x v="0"/>
    <b v="0"/>
    <s v="No está en VPC"/>
    <n v="130"/>
    <s v="INTPG_ACC_130_1.39"/>
    <s v="ISEL-1.39"/>
    <n v="9"/>
    <s v="NO TIENE L3OUT"/>
    <n v="128"/>
    <n v="54"/>
  </r>
  <r>
    <n v="150"/>
    <x v="0"/>
    <x v="12"/>
    <s v="eth1/39"/>
    <x v="0"/>
    <x v="0"/>
    <x v="0"/>
    <s v="DESC"/>
    <x v="0"/>
    <b v="0"/>
    <s v="No está en VPC"/>
    <n v="150"/>
    <s v="INTPG_PC_150_1.39-40"/>
    <s v="ISEL-1.39"/>
    <n v="1"/>
    <s v="NO TIENE L3OUT"/>
    <n v="118"/>
    <n v="54"/>
  </r>
  <r>
    <n v="131"/>
    <x v="0"/>
    <x v="13"/>
    <s v="eth1/39"/>
    <x v="0"/>
    <x v="0"/>
    <x v="0"/>
    <s v="ITHFHWHSMTLCN04-LOM  P2"/>
    <x v="0"/>
    <b v="0"/>
    <s v="No está en VPC"/>
    <n v="131"/>
    <s v="INTPG_ACC_131_1.39"/>
    <s v="ISEL-1.39"/>
    <n v="9"/>
    <s v="NO TIENE L3OUT"/>
    <n v="126"/>
    <n v="54"/>
  </r>
  <r>
    <n v="424"/>
    <x v="1"/>
    <x v="18"/>
    <s v="eth1/39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39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39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39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39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39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39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39"/>
    <x v="0"/>
    <x v="0"/>
    <x v="0"/>
    <s v="TO-SFF2MEDP04-PRINCIPAL"/>
    <x v="0"/>
    <b v="0"/>
    <s v="No está en VPC"/>
    <n v="431"/>
    <s v="INTPG_ACC_431_1.39"/>
    <s v="ISEL-1.39"/>
    <n v="1"/>
    <s v="NO TIENE L3OUT"/>
    <n v="46"/>
    <n v="54"/>
  </r>
  <r>
    <n v="433"/>
    <x v="1"/>
    <x v="27"/>
    <s v="eth1/39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39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39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39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39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39"/>
    <x v="1"/>
    <x v="1"/>
    <x v="3"/>
    <m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39"/>
    <x v="1"/>
    <x v="1"/>
    <x v="3"/>
    <m/>
    <x v="0"/>
    <b v="0"/>
    <s v="No está en VPC"/>
    <n v="712"/>
    <s v="NO EXISTE PG"/>
    <s v="NO EXISTE ISEL"/>
    <n v="0"/>
    <s v="NO TIENE L3OUT"/>
    <n v="32"/>
    <n v="54"/>
  </r>
  <r>
    <n v="719"/>
    <x v="2"/>
    <x v="34"/>
    <s v="eth1/39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39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39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39"/>
    <x v="1"/>
    <x v="1"/>
    <x v="3"/>
    <m/>
    <x v="0"/>
    <b v="0"/>
    <s v="No está en VPC"/>
    <n v="711"/>
    <s v="NO EXISTE PG"/>
    <s v="NO EXISTE ISEL"/>
    <n v="0"/>
    <s v="NO TIENE L3OUT"/>
    <n v="16"/>
    <n v="54"/>
  </r>
  <r>
    <n v="716"/>
    <x v="2"/>
    <x v="38"/>
    <s v="eth1/39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39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39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39"/>
    <x v="0"/>
    <x v="0"/>
    <x v="0"/>
    <s v="Proyecto Arieso"/>
    <x v="0"/>
    <b v="0"/>
    <s v="No está en VPC"/>
    <n v="446"/>
    <s v="INTPG_VPC_444_1.37-40_446_1.37-40"/>
    <s v="ISEL-1.39"/>
    <n v="16"/>
    <s v="NO TIENE L3OUT"/>
    <n v="198"/>
    <n v="54"/>
  </r>
  <r>
    <n v="444"/>
    <x v="1"/>
    <x v="42"/>
    <s v="eth1/39"/>
    <x v="0"/>
    <x v="0"/>
    <x v="0"/>
    <s v="Proyecto Arieso"/>
    <x v="0"/>
    <b v="0"/>
    <s v="No está en VPC"/>
    <n v="444"/>
    <s v="INTPG_VPC_444_1.37-40_446_1.37-40"/>
    <s v="ISEL-1.39"/>
    <n v="16"/>
    <s v="NO TIENE L3OUT"/>
    <n v="234"/>
    <n v="54"/>
  </r>
  <r>
    <n v="701"/>
    <x v="2"/>
    <x v="43"/>
    <s v="eth1/39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39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39"/>
    <x v="0"/>
    <x v="1"/>
    <x v="3"/>
    <s v="TO-ITHFDLROAMRAP01-PRINCIPAL"/>
    <x v="0"/>
    <b v="0"/>
    <s v="No está en VPC"/>
    <n v="448"/>
    <s v="INTPG_ACC_448_1.39"/>
    <s v="ISEL-1.39"/>
    <n v="1"/>
    <s v="NO TIENE L3OUT"/>
    <n v="46"/>
    <n v="54"/>
  </r>
  <r>
    <n v="704"/>
    <x v="2"/>
    <x v="46"/>
    <s v="eth1/39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39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39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39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39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39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39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39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39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39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39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39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39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39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39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39"/>
    <x v="0"/>
    <x v="1"/>
    <x v="1"/>
    <m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39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39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39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39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39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39"/>
    <x v="0"/>
    <x v="1"/>
    <x v="3"/>
    <s v="CLOUD OPS:ithhwcop01st01ce04:A IOM1 Smart IO P0"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39"/>
    <x v="1"/>
    <x v="1"/>
    <x v="3"/>
    <m/>
    <x v="0"/>
    <b v="0"/>
    <s v="No está en VPC"/>
    <n v="780"/>
    <s v="NO EXISTE PG"/>
    <s v="NO EXISTE ISEL"/>
    <n v="0"/>
    <s v="NO TIENE L3OUT"/>
    <n v="26"/>
    <n v="54"/>
  </r>
  <r>
    <n v="812"/>
    <x v="2"/>
    <x v="70"/>
    <s v="eth1/39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39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39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39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39"/>
    <x v="0"/>
    <x v="0"/>
    <x v="0"/>
    <s v="LINK_TO_ITHHWCRMPEN01 /E1-10GE 1 /Principal"/>
    <x v="0"/>
    <b v="0"/>
    <s v="No está en VPC"/>
    <n v="824"/>
    <s v="INTPG_VPC_819_1.39_46_824_1.39_46"/>
    <s v="ISEL-1.39"/>
    <n v="9"/>
    <s v="NO TIENE L3OUT"/>
    <n v="70"/>
    <n v="54"/>
  </r>
  <r>
    <n v="819"/>
    <x v="2"/>
    <x v="75"/>
    <s v="eth1/39"/>
    <x v="0"/>
    <x v="0"/>
    <x v="0"/>
    <s v="LINK_TO_ITHHWCRMPEN01 /E1-10GE 2 /Redundante"/>
    <x v="0"/>
    <b v="0"/>
    <s v="No está en VPC"/>
    <n v="819"/>
    <s v="INTPG_VPC_819_1.39_46_824_1.39_46"/>
    <s v="ISEL-1.39"/>
    <n v="9"/>
    <s v="NO TIENE L3OUT"/>
    <n v="70"/>
    <n v="54"/>
  </r>
  <r>
    <n v="737"/>
    <x v="2"/>
    <x v="76"/>
    <s v="eth1/39"/>
    <x v="0"/>
    <x v="1"/>
    <x v="1"/>
    <m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39"/>
    <x v="0"/>
    <x v="0"/>
    <x v="0"/>
    <s v="LINK_TO_ITHFHWCRMPLCN113 / Slot1.3_30 / Principal"/>
    <x v="0"/>
    <b v="0"/>
    <s v="No está en VPC"/>
    <n v="844"/>
    <s v="INTPG_ACC_844_1.39"/>
    <s v="ISEL-1.39"/>
    <n v="1"/>
    <s v="NO TIENE L3OUT"/>
    <n v="282"/>
    <n v="54"/>
  </r>
  <r>
    <n v="843"/>
    <x v="2"/>
    <x v="78"/>
    <s v="eth1/39"/>
    <x v="0"/>
    <x v="0"/>
    <x v="0"/>
    <s v="A_ITHFHWSEQLHDPS81_Principal"/>
    <x v="0"/>
    <b v="0"/>
    <s v="No está en VPC"/>
    <n v="843"/>
    <s v="INTPG_ACC_843_1.39"/>
    <s v="ISEL-1.39"/>
    <n v="1"/>
    <s v="NO TIENE L3OUT"/>
    <n v="38"/>
    <n v="54"/>
  </r>
  <r>
    <n v="797"/>
    <x v="2"/>
    <x v="79"/>
    <s v="eth1/39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39"/>
    <x v="0"/>
    <x v="0"/>
    <x v="0"/>
    <s v="LINK_TO_ITHFHWCBSPSHD42 / Slot7.3_22 / Redundante"/>
    <x v="0"/>
    <b v="0"/>
    <s v="No está en VPC"/>
    <n v="839"/>
    <s v="INTPG_VPC_834_1.39_839_1.39"/>
    <s v="ISEL-1.39"/>
    <n v="1"/>
    <s v="NO TIENE L3OUT"/>
    <n v="0"/>
    <n v="54"/>
  </r>
  <r>
    <n v="847"/>
    <x v="2"/>
    <x v="81"/>
    <s v="eth1/39"/>
    <x v="0"/>
    <x v="0"/>
    <x v="0"/>
    <s v="LINK_TO_ITHFHWCRMPSBDP10 / Slot7.2_4 / Redundante"/>
    <x v="0"/>
    <b v="0"/>
    <s v="No está en VPC"/>
    <n v="847"/>
    <s v="INTPG_VPC_854_1.39_847_1.39"/>
    <s v="ISEL-1.39"/>
    <n v="2"/>
    <s v="NO TIENE L3OUT"/>
    <n v="204"/>
    <n v="54"/>
  </r>
  <r>
    <n v="848"/>
    <x v="2"/>
    <x v="82"/>
    <s v="eth1/39"/>
    <x v="0"/>
    <x v="0"/>
    <x v="0"/>
    <s v="LINK_TO_ITHFHWCRMPLCN167 / Slot7.2_36 / Redundante"/>
    <x v="0"/>
    <b v="0"/>
    <s v="No está en VPC"/>
    <n v="848"/>
    <s v="INTPG_ACC_848_1.39"/>
    <s v="ISEL-1.39"/>
    <n v="2"/>
    <s v="NO TIENE L3OUT"/>
    <n v="254"/>
    <n v="54"/>
  </r>
  <r>
    <n v="846"/>
    <x v="2"/>
    <x v="83"/>
    <s v="eth1/39"/>
    <x v="0"/>
    <x v="0"/>
    <x v="0"/>
    <s v="LINK_TO_ITHFHWCRMPLCN84 / Slot1.3_26 / Principal"/>
    <x v="0"/>
    <b v="0"/>
    <s v="No está en VPC"/>
    <n v="846"/>
    <s v="INTPG_ACC_846_1.39"/>
    <s v="ISEL-1.39"/>
    <n v="1"/>
    <s v="NO TIENE L3OUT"/>
    <n v="242"/>
    <n v="54"/>
  </r>
  <r>
    <n v="838"/>
    <x v="2"/>
    <x v="84"/>
    <s v="eth1/39"/>
    <x v="0"/>
    <x v="0"/>
    <x v="0"/>
    <s v="A_ITHFHWSEQLHDPS81_Redundante"/>
    <x v="0"/>
    <b v="0"/>
    <s v="No está en VPC"/>
    <n v="838"/>
    <s v="INTPG_ACC_838_1.39"/>
    <s v="ISEL-1.39"/>
    <n v="1"/>
    <s v="NO TIENE L3OUT"/>
    <n v="38"/>
    <n v="54"/>
  </r>
  <r>
    <n v="849"/>
    <x v="2"/>
    <x v="85"/>
    <s v="eth1/39"/>
    <x v="0"/>
    <x v="0"/>
    <x v="0"/>
    <s v="LINK_TO_ITHFHWCRMPLCN147 / Slot7.2_28 / Redundante"/>
    <x v="0"/>
    <b v="0"/>
    <s v="No está en VPC"/>
    <n v="849"/>
    <s v="INTPG_ACC_849_1.39"/>
    <s v="ISEL-1.39"/>
    <n v="2"/>
    <s v="NO TIENE L3OUT"/>
    <n v="286"/>
    <n v="54"/>
  </r>
  <r>
    <n v="845"/>
    <x v="2"/>
    <x v="86"/>
    <s v="eth1/39"/>
    <x v="0"/>
    <x v="0"/>
    <x v="0"/>
    <s v="LINK_TO_ITHFHWCRMPLCN97 / Slot1.1_26 / Principal"/>
    <x v="0"/>
    <b v="0"/>
    <s v="No está en VPC"/>
    <n v="845"/>
    <s v="INTPG_ACC_845_1.39"/>
    <s v="ISEL-1.39"/>
    <n v="6"/>
    <s v="NO TIENE L3OUT"/>
    <n v="258"/>
    <n v="54"/>
  </r>
  <r>
    <n v="873"/>
    <x v="2"/>
    <x v="87"/>
    <s v="eth1/39"/>
    <x v="0"/>
    <x v="0"/>
    <x v="0"/>
    <s v="To_ITHFHWCRMDLCN36_Redundante"/>
    <x v="0"/>
    <b v="0"/>
    <s v="No está en VPC"/>
    <n v="873"/>
    <s v="INTPG_ACC_873_1.39"/>
    <s v="ISEL-1.39"/>
    <n v="1"/>
    <s v="NO TIENE L3OUT"/>
    <n v="248"/>
    <n v="54"/>
  </r>
  <r>
    <n v="864"/>
    <x v="2"/>
    <x v="88"/>
    <s v="eth1/39"/>
    <x v="0"/>
    <x v="0"/>
    <x v="0"/>
    <s v="To_VPC_2DCBSD_WR48_3"/>
    <x v="0"/>
    <b v="0"/>
    <s v="No está en VPC"/>
    <n v="864"/>
    <s v="INTPG_VPC_859_1.39_864_1.39"/>
    <s v="ISEL-1.39"/>
    <n v="1"/>
    <s v="NO TIENE L3OUT"/>
    <n v="0"/>
    <n v="54"/>
  </r>
  <r>
    <n v="836"/>
    <x v="2"/>
    <x v="89"/>
    <s v="eth1/39"/>
    <x v="0"/>
    <x v="0"/>
    <x v="0"/>
    <s v="LINK_TO_ITHFHWCBSPSHD27 / Slot1.2_18 / Principal"/>
    <x v="0"/>
    <b v="0"/>
    <s v="No está en VPC"/>
    <n v="836"/>
    <s v="INTPG_VPC_836_1.39_841_1.39"/>
    <s v="ISEL-1.39"/>
    <n v="1"/>
    <s v="NO TIENE L3OUT"/>
    <n v="0"/>
    <n v="54"/>
  </r>
  <r>
    <n v="834"/>
    <x v="2"/>
    <x v="90"/>
    <s v="eth1/39"/>
    <x v="0"/>
    <x v="0"/>
    <x v="0"/>
    <s v="LINK_TO_ITHFHWCBSPSHD42 / Slot1.3_22 / Principal"/>
    <x v="0"/>
    <b v="0"/>
    <s v="No está en VPC"/>
    <n v="834"/>
    <s v="INTPG_VPC_834_1.39_839_1.39"/>
    <s v="ISEL-1.39"/>
    <n v="1"/>
    <s v="NO TIENE L3OUT"/>
    <n v="0"/>
    <n v="54"/>
  </r>
  <r>
    <n v="872"/>
    <x v="2"/>
    <x v="91"/>
    <s v="eth1/39"/>
    <x v="0"/>
    <x v="0"/>
    <x v="0"/>
    <s v="TO_ITHFHWCRMDLCN50_Principal"/>
    <x v="0"/>
    <b v="0"/>
    <s v="No está en VPC"/>
    <n v="872"/>
    <s v="INTPG_ACC_872_1.39"/>
    <s v="ISEL-1.39"/>
    <n v="6"/>
    <s v="NO TIENE L3OUT"/>
    <n v="288"/>
    <n v="54"/>
  </r>
  <r>
    <n v="842"/>
    <x v="2"/>
    <x v="92"/>
    <s v="eth1/39"/>
    <x v="0"/>
    <x v="0"/>
    <x v="0"/>
    <s v="LINK_To_ITHFHWCBSPSHD21 / Slot7.1_18 / Redundante"/>
    <x v="0"/>
    <b v="0"/>
    <s v="No está en VPC"/>
    <n v="842"/>
    <s v="INTPG_VPC_837_1.39_842_1.39"/>
    <s v="ISEL-1.39"/>
    <n v="2"/>
    <s v="NO TIENE L3OUT"/>
    <n v="8"/>
    <n v="54"/>
  </r>
  <r>
    <n v="828"/>
    <x v="2"/>
    <x v="93"/>
    <s v="eth1/39"/>
    <x v="0"/>
    <x v="0"/>
    <x v="0"/>
    <s v="LINK_TO_ITHHWD6KV60010DKC01 /CtrlA_IOM1.P0 /Principal"/>
    <x v="0"/>
    <b v="0"/>
    <s v="No está en VPC"/>
    <n v="828"/>
    <s v="INTPG_ACC_828_1.39"/>
    <s v="ISEL-1.39"/>
    <n v="1"/>
    <s v="NO TIENE L3OUT"/>
    <n v="192"/>
    <n v="54"/>
  </r>
  <r>
    <n v="870"/>
    <x v="2"/>
    <x v="94"/>
    <s v="eth1/39"/>
    <x v="0"/>
    <x v="0"/>
    <x v="0"/>
    <s v="To_ITHFHWCRMDLCN36_Principal"/>
    <x v="0"/>
    <b v="0"/>
    <s v="No está en VPC"/>
    <n v="870"/>
    <s v="INTPG_ACC_870_1.39"/>
    <s v="ISEL-1.39"/>
    <n v="1"/>
    <s v="NO TIENE L3OUT"/>
    <n v="248"/>
    <n v="54"/>
  </r>
  <r>
    <n v="866"/>
    <x v="2"/>
    <x v="95"/>
    <s v="eth1/39"/>
    <x v="0"/>
    <x v="0"/>
    <x v="0"/>
    <s v="To_VPC_2DCBSD_BD15_2"/>
    <x v="0"/>
    <b v="0"/>
    <s v="No está en VPC"/>
    <n v="866"/>
    <s v="INTPG_VPC_861_1.39_866_1.39"/>
    <s v="ISEL-1.39"/>
    <n v="1"/>
    <s v="NO TIENE L3OUT"/>
    <n v="8"/>
    <n v="54"/>
  </r>
  <r>
    <n v="862"/>
    <x v="2"/>
    <x v="96"/>
    <s v="eth1/39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39"/>
    <x v="0"/>
    <x v="0"/>
    <x v="0"/>
    <s v="LINK_TO_ITHFHWCRMPLCN167 / Slot1.2_36 / Principal"/>
    <x v="0"/>
    <b v="0"/>
    <s v="No está en VPC"/>
    <n v="855"/>
    <s v="INTPG_ACC_855_1.39"/>
    <s v="ISEL-1.39"/>
    <n v="2"/>
    <s v="NO TIENE L3OUT"/>
    <n v="254"/>
    <n v="54"/>
  </r>
  <r>
    <n v="871"/>
    <x v="2"/>
    <x v="98"/>
    <s v="eth1/39"/>
    <x v="0"/>
    <x v="0"/>
    <x v="0"/>
    <s v="To_ITHFHWCRMDLCN66_Principal"/>
    <x v="0"/>
    <b v="0"/>
    <s v="No está en VPC"/>
    <n v="871"/>
    <s v="INTPG_ACC_871_1.39"/>
    <s v="ISEL-1.39"/>
    <n v="1"/>
    <s v="NO TIENE L3OUT"/>
    <n v="246"/>
    <n v="54"/>
  </r>
  <r>
    <n v="841"/>
    <x v="2"/>
    <x v="99"/>
    <s v="eth1/39"/>
    <x v="0"/>
    <x v="0"/>
    <x v="0"/>
    <s v="LINK_TO_ITHFHWCBSPSHD27 / Slot7.2_18 / Redundante"/>
    <x v="0"/>
    <b v="0"/>
    <s v="No está en VPC"/>
    <n v="841"/>
    <s v="INTPG_VPC_836_1.39_841_1.39"/>
    <s v="ISEL-1.39"/>
    <n v="1"/>
    <s v="NO TIENE L3OUT"/>
    <n v="0"/>
    <n v="54"/>
  </r>
  <r>
    <n v="868"/>
    <x v="2"/>
    <x v="100"/>
    <s v="eth1/39"/>
    <x v="0"/>
    <x v="0"/>
    <x v="0"/>
    <s v="To_ITHFHWCRMDLCN66_Redundante"/>
    <x v="0"/>
    <b v="0"/>
    <s v="No está en VPC"/>
    <n v="868"/>
    <s v="INTPG_ACC_868_1.39"/>
    <s v="ISEL-1.39"/>
    <n v="1"/>
    <s v="NO TIENE L3OUT"/>
    <n v="246"/>
    <n v="54"/>
  </r>
  <r>
    <n v="869"/>
    <x v="2"/>
    <x v="101"/>
    <s v="eth1/39"/>
    <x v="0"/>
    <x v="0"/>
    <x v="0"/>
    <s v="TO_ITHFHWCRMDLCN50_Redundante"/>
    <x v="0"/>
    <b v="0"/>
    <s v="No está en VPC"/>
    <n v="869"/>
    <s v="INTPG_ACC_869_1.39"/>
    <s v="ISEL-1.39"/>
    <n v="6"/>
    <s v="NO TIENE L3OUT"/>
    <n v="288"/>
    <n v="54"/>
  </r>
  <r>
    <n v="861"/>
    <x v="2"/>
    <x v="102"/>
    <s v="eth1/39"/>
    <x v="0"/>
    <x v="0"/>
    <x v="0"/>
    <s v="To_VPC_2DCBSD_BD15_2"/>
    <x v="0"/>
    <b v="0"/>
    <s v="No está en VPC"/>
    <n v="861"/>
    <s v="INTPG_VPC_861_1.39_866_1.39"/>
    <s v="ISEL-1.39"/>
    <n v="1"/>
    <s v="NO TIENE L3OUT"/>
    <n v="8"/>
    <n v="54"/>
  </r>
  <r>
    <n v="874"/>
    <x v="2"/>
    <x v="103"/>
    <s v="eth1/39"/>
    <x v="0"/>
    <x v="0"/>
    <x v="0"/>
    <s v="A_ITHFHWSEQLCAS14_Redundante"/>
    <x v="4"/>
    <b v="0"/>
    <s v="No está en VPC"/>
    <n v="874"/>
    <s v="INTPG_ACC_874_1.39"/>
    <s v="ISEL-1.39"/>
    <n v="1"/>
    <s v="NO TIENE L3OUT"/>
    <n v="92"/>
    <n v="54"/>
  </r>
  <r>
    <n v="865"/>
    <x v="2"/>
    <x v="104"/>
    <s v="eth1/39"/>
    <x v="0"/>
    <x v="0"/>
    <x v="0"/>
    <s v="To_VPC_2DCBSD_BD19_3"/>
    <x v="0"/>
    <b v="0"/>
    <s v="No está en VPC"/>
    <n v="865"/>
    <s v="INTPG_VPC_860_1.39_865_1.39"/>
    <s v="ISEL-1.39"/>
    <n v="1"/>
    <s v="NO TIENE L3OUT"/>
    <n v="0"/>
    <n v="54"/>
  </r>
  <r>
    <n v="753"/>
    <x v="2"/>
    <x v="105"/>
    <s v="eth1/39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39"/>
    <x v="0"/>
    <x v="1"/>
    <x v="3"/>
    <m/>
    <x v="0"/>
    <b v="0"/>
    <s v="No está en VPC"/>
    <n v="708"/>
    <s v="NO EXISTE PG"/>
    <s v="NO EXISTE ISEL"/>
    <n v="0"/>
    <s v="NO TIENE L3OUT"/>
    <n v="0"/>
    <n v="54"/>
  </r>
  <r>
    <n v="710"/>
    <x v="2"/>
    <x v="107"/>
    <s v="eth1/39"/>
    <x v="1"/>
    <x v="1"/>
    <x v="3"/>
    <m/>
    <x v="0"/>
    <b v="0"/>
    <s v="No está en VPC"/>
    <n v="710"/>
    <s v="NO EXISTE PG"/>
    <s v="NO EXISTE ISEL"/>
    <n v="0"/>
    <s v="NO TIENE L3OUT"/>
    <n v="16"/>
    <n v="54"/>
  </r>
  <r>
    <n v="713"/>
    <x v="2"/>
    <x v="108"/>
    <s v="eth1/39"/>
    <x v="1"/>
    <x v="1"/>
    <x v="3"/>
    <m/>
    <x v="0"/>
    <b v="0"/>
    <s v="No está en VPC"/>
    <n v="713"/>
    <s v="NO EXISTE PG"/>
    <s v="NO EXISTE ISEL"/>
    <n v="0"/>
    <s v="NO TIENE L3OUT"/>
    <n v="32"/>
    <n v="54"/>
  </r>
  <r>
    <n v="735"/>
    <x v="2"/>
    <x v="109"/>
    <s v="eth1/39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39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39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39"/>
    <x v="1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39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39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39"/>
    <x v="0"/>
    <x v="0"/>
    <x v="0"/>
    <s v="LINK_TO_ITHFHWCBSDSWR19 /Slot4.2 /Principal"/>
    <x v="0"/>
    <b v="0"/>
    <s v="No está en VPC"/>
    <n v="826"/>
    <s v="INTPG_VPC_826_1.39_830_1.39"/>
    <s v="ISEL-1.39"/>
    <n v="1"/>
    <s v="NO TIENE L3OUT"/>
    <n v="12"/>
    <n v="54"/>
  </r>
  <r>
    <n v="726"/>
    <x v="2"/>
    <x v="117"/>
    <s v="eth1/39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39"/>
    <x v="0"/>
    <x v="1"/>
    <x v="1"/>
    <m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39"/>
    <x v="1"/>
    <x v="1"/>
    <x v="3"/>
    <m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39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39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39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39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39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39"/>
    <x v="1"/>
    <x v="1"/>
    <x v="3"/>
    <m/>
    <x v="0"/>
    <b v="0"/>
    <s v="No está en VPC"/>
    <n v="709"/>
    <s v="NO EXISTE PG"/>
    <s v="NO EXISTE ISEL"/>
    <n v="0"/>
    <s v="NO TIENE L3OUT"/>
    <n v="0"/>
    <n v="54"/>
  </r>
  <r>
    <n v="454"/>
    <x v="1"/>
    <x v="126"/>
    <s v="eth1/39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39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39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39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39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39"/>
    <x v="0"/>
    <x v="1"/>
    <x v="1"/>
    <m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39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39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39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39"/>
    <x v="0"/>
    <x v="1"/>
    <x v="3"/>
    <m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39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39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39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39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39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39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39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39"/>
    <x v="0"/>
    <x v="0"/>
    <x v="0"/>
    <s v="CLOUD PASS PAYG F3:ITHHWOSCOPAP024:Slot 1 P1"/>
    <x v="0"/>
    <b v="0"/>
    <s v="No está en VPC"/>
    <n v="774"/>
    <s v="INTPG_VPC_774_1.39_775_1.39"/>
    <s v="ISEL-1.39"/>
    <n v="24"/>
    <s v="NO TIENE L3OUT"/>
    <n v="0"/>
    <n v="54"/>
  </r>
  <r>
    <n v="773"/>
    <x v="2"/>
    <x v="145"/>
    <s v="eth1/39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39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39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39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39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39"/>
    <x v="1"/>
    <x v="1"/>
    <x v="3"/>
    <m/>
    <x v="0"/>
    <b v="0"/>
    <s v="No está en VPC"/>
    <n v="781"/>
    <s v="NO EXISTE PG"/>
    <s v="NO EXISTE ISEL"/>
    <n v="0"/>
    <s v="NO TIENE L3OUT"/>
    <n v="26"/>
    <n v="54"/>
  </r>
  <r>
    <n v="793"/>
    <x v="2"/>
    <x v="151"/>
    <s v="eth1/39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39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39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39"/>
    <x v="1"/>
    <x v="1"/>
    <x v="3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39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39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39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39"/>
    <x v="0"/>
    <x v="1"/>
    <x v="1"/>
    <m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39"/>
    <x v="0"/>
    <x v="0"/>
    <x v="0"/>
    <s v="CLOUD PASS PAYG F3:ITHHWOSCOPAP024:LOM P1"/>
    <x v="0"/>
    <b v="0"/>
    <s v="No está en VPC"/>
    <n v="775"/>
    <s v="INTPG_VPC_774_1.39_775_1.39"/>
    <s v="ISEL-1.39"/>
    <n v="24"/>
    <s v="NO TIENE L3OUT"/>
    <n v="0"/>
    <n v="54"/>
  </r>
  <r>
    <n v="791"/>
    <x v="2"/>
    <x v="160"/>
    <s v="eth1/39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39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39"/>
    <x v="0"/>
    <x v="0"/>
    <x v="0"/>
    <s v="LINK_TO_ITHFHWCBSDSWR19 /Slot6.2 /Redundante"/>
    <x v="0"/>
    <b v="0"/>
    <s v="No está en VPC"/>
    <n v="830"/>
    <s v="INTPG_VPC_826_1.39_830_1.39"/>
    <s v="ISEL-1.39"/>
    <n v="1"/>
    <s v="NO TIENE L3OUT"/>
    <n v="12"/>
    <n v="54"/>
  </r>
  <r>
    <n v="821"/>
    <x v="2"/>
    <x v="163"/>
    <s v="eth1/39"/>
    <x v="0"/>
    <x v="0"/>
    <x v="0"/>
    <s v="LINK_TO_ITHFHWCBSPSWR19 /Slot6.2 /Redundante"/>
    <x v="0"/>
    <b v="0"/>
    <s v="No está en VPC"/>
    <n v="821"/>
    <s v="INTPG_VPC_816_1.39_821_1.39"/>
    <s v="ISEL-1.39"/>
    <n v="1"/>
    <s v="NO TIENE L3OUT"/>
    <n v="0"/>
    <n v="54"/>
  </r>
  <r>
    <n v="738"/>
    <x v="2"/>
    <x v="164"/>
    <s v="eth1/39"/>
    <x v="0"/>
    <x v="1"/>
    <x v="1"/>
    <m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39"/>
    <x v="0"/>
    <x v="0"/>
    <x v="0"/>
    <s v="TO-9S_BESPR_IXTLA3_1"/>
    <x v="0"/>
    <b v="0"/>
    <s v="No está en VPC"/>
    <n v="820"/>
    <s v="INTPG_VPC_820_1.38-41_825_1.38-41"/>
    <s v="ISEL-1.39"/>
    <n v="31"/>
    <s v="NO TIENE L3OUT"/>
    <n v="72"/>
    <n v="54"/>
  </r>
  <r>
    <n v="804"/>
    <x v="2"/>
    <x v="166"/>
    <s v="eth1/39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39"/>
    <x v="0"/>
    <x v="1"/>
    <x v="3"/>
    <s v="CLOUD OPS:ithhwcop01st01ce04:A IOM1 Smart IO P1"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39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39"/>
    <x v="0"/>
    <x v="0"/>
    <x v="0"/>
    <s v="LINK_TO_ITHFHWCBSDSWR29 /10GE.1 /Principal"/>
    <x v="0"/>
    <b v="0"/>
    <s v="No está en VPC"/>
    <n v="827"/>
    <s v="INTPG_VPC_827_1.39_831_1.39"/>
    <s v="ISEL-1.39"/>
    <n v="1"/>
    <s v="NO TIENE L3OUT"/>
    <n v="14"/>
    <n v="54"/>
  </r>
  <r>
    <n v="809"/>
    <x v="2"/>
    <x v="170"/>
    <s v="eth1/39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39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39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39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39"/>
    <x v="1"/>
    <x v="1"/>
    <x v="3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39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39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39"/>
    <x v="0"/>
    <x v="0"/>
    <x v="0"/>
    <s v="LINK_TO_ITHFHWCRMPLCN113 / Slot7.3_30 / Redundante"/>
    <x v="0"/>
    <b v="0"/>
    <s v="No está en VPC"/>
    <n v="851"/>
    <s v="INTPG_ACC_851_1.39"/>
    <s v="ISEL-1.39"/>
    <n v="1"/>
    <s v="NO TIENE L3OUT"/>
    <n v="282"/>
    <n v="54"/>
  </r>
  <r>
    <n v="798"/>
    <x v="2"/>
    <x v="178"/>
    <s v="eth1/39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39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39"/>
    <x v="0"/>
    <x v="0"/>
    <x v="0"/>
    <s v="LINK_TO_ITHFHWCRMPLCN97 / Slot7.1_26 / Redundante"/>
    <x v="0"/>
    <b v="0"/>
    <s v="No está en VPC"/>
    <n v="852"/>
    <s v="INTPG_ACC_852_1.39"/>
    <s v="ISEL-1.39"/>
    <n v="6"/>
    <s v="NO TIENE L3OUT"/>
    <n v="258"/>
    <n v="54"/>
  </r>
  <r>
    <n v="817"/>
    <x v="2"/>
    <x v="181"/>
    <s v="eth1/39"/>
    <x v="0"/>
    <x v="0"/>
    <x v="0"/>
    <s v="LINK_TO_ITHFHWCBSPSWR26 /Slot4.2 /Principal"/>
    <x v="0"/>
    <b v="0"/>
    <s v="No está en VPC"/>
    <n v="817"/>
    <s v="INTPG_VPC_817_1.39_822_1.39"/>
    <s v="ISEL-1.39"/>
    <n v="1"/>
    <s v="NO TIENE L3OUT"/>
    <n v="0"/>
    <n v="54"/>
  </r>
  <r>
    <n v="832"/>
    <x v="2"/>
    <x v="182"/>
    <s v="eth1/39"/>
    <x v="0"/>
    <x v="0"/>
    <x v="0"/>
    <s v="LINK_TO_ITHHWD6KV60010DKC01 /CtrlA_IOM1.P1 /Redundante"/>
    <x v="0"/>
    <b v="0"/>
    <s v="No está en VPC"/>
    <n v="832"/>
    <s v="INTPG_ACC_832_1.39"/>
    <s v="ISEL-1.39"/>
    <n v="1"/>
    <s v="NO TIENE L3OUT"/>
    <n v="192"/>
    <n v="54"/>
  </r>
  <r>
    <n v="816"/>
    <x v="2"/>
    <x v="183"/>
    <s v="eth1/39"/>
    <x v="0"/>
    <x v="0"/>
    <x v="0"/>
    <s v="LINK_TO_ITHFHWCBSPSWR19 /Slot4.2 /Principal"/>
    <x v="0"/>
    <b v="0"/>
    <s v="No está en VPC"/>
    <n v="816"/>
    <s v="INTPG_VPC_816_1.39_821_1.39"/>
    <s v="ISEL-1.39"/>
    <n v="1"/>
    <s v="NO TIENE L3OUT"/>
    <n v="0"/>
    <n v="54"/>
  </r>
  <r>
    <n v="825"/>
    <x v="2"/>
    <x v="184"/>
    <s v="eth1/39"/>
    <x v="0"/>
    <x v="0"/>
    <x v="0"/>
    <s v="TO-9S_BESPR_IXTLA3_1"/>
    <x v="0"/>
    <b v="0"/>
    <s v="No está en VPC"/>
    <n v="825"/>
    <s v="INTPG_VPC_820_1.38-41_825_1.38-41"/>
    <s v="ISEL-1.39"/>
    <n v="31"/>
    <s v="NO TIENE L3OUT"/>
    <n v="72"/>
    <n v="54"/>
  </r>
  <r>
    <n v="800"/>
    <x v="2"/>
    <x v="185"/>
    <s v="eth1/39"/>
    <x v="0"/>
    <x v="0"/>
    <x v="0"/>
    <s v="TO-ITHFDEOCP1LWR08-REDUNDANTE"/>
    <x v="0"/>
    <b v="0"/>
    <s v="No está en VPC"/>
    <n v="800"/>
    <s v="INTPG_ACC_800_1.39"/>
    <s v="ISEL-1.39"/>
    <n v="1"/>
    <s v="NO TIENE L3OUT"/>
    <n v="78"/>
    <n v="54"/>
  </r>
  <r>
    <n v="801"/>
    <x v="2"/>
    <x v="186"/>
    <s v="eth1/39"/>
    <x v="0"/>
    <x v="0"/>
    <x v="0"/>
    <s v="TO-ITHFDEOCP1LWR08-PRINCIPAL"/>
    <x v="0"/>
    <b v="0"/>
    <s v="No está en VPC"/>
    <n v="801"/>
    <s v="INTPG_ACC_801_1.39"/>
    <s v="ISEL-1.39"/>
    <n v="1"/>
    <s v="NO TIENE L3OUT"/>
    <n v="78"/>
    <n v="54"/>
  </r>
  <r>
    <n v="823"/>
    <x v="2"/>
    <x v="187"/>
    <s v="eth1/39"/>
    <x v="0"/>
    <x v="0"/>
    <x v="0"/>
    <s v="LINK_TO_ITHFHWCBSPSWR37 /Slot5.1 /Redundante"/>
    <x v="0"/>
    <b v="0"/>
    <s v="No está en VPC"/>
    <n v="823"/>
    <s v="INTPG_VPC_818_1.39_823_1.39"/>
    <s v="ISEL-1.39"/>
    <n v="1"/>
    <s v="NO TIENE L3OUT"/>
    <n v="8"/>
    <n v="54"/>
  </r>
  <r>
    <n v="837"/>
    <x v="2"/>
    <x v="188"/>
    <s v="eth1/39"/>
    <x v="0"/>
    <x v="0"/>
    <x v="0"/>
    <s v="LINK_To_ITHFHWCBSPSHD21 / Slot1.1_18 / Principal"/>
    <x v="0"/>
    <b v="0"/>
    <s v="No está en VPC"/>
    <n v="837"/>
    <s v="INTPG_VPC_837_1.39_842_1.39"/>
    <s v="ISEL-1.39"/>
    <n v="2"/>
    <s v="NO TIENE L3OUT"/>
    <n v="8"/>
    <n v="54"/>
  </r>
  <r>
    <n v="867"/>
    <x v="2"/>
    <x v="189"/>
    <s v="eth1/39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39"/>
    <x v="0"/>
    <x v="0"/>
    <x v="0"/>
    <s v="To_ITHFHWCRMDLCN48_Principal"/>
    <x v="0"/>
    <b v="0"/>
    <s v="No está en VPC"/>
    <n v="829"/>
    <s v="INTPG_ACC_829_1.39"/>
    <s v="ISEL-1.39"/>
    <n v="6"/>
    <s v="NO TIENE L3OUT"/>
    <n v="224"/>
    <n v="54"/>
  </r>
  <r>
    <n v="831"/>
    <x v="2"/>
    <x v="191"/>
    <s v="eth1/39"/>
    <x v="0"/>
    <x v="0"/>
    <x v="0"/>
    <s v="LINK_TO_ITHFHWCBSDSWR29 /Slot5.1 /Redundante"/>
    <x v="0"/>
    <b v="0"/>
    <s v="No está en VPC"/>
    <n v="831"/>
    <s v="INTPG_VPC_827_1.39_831_1.39"/>
    <s v="ISEL-1.39"/>
    <n v="1"/>
    <s v="NO TIENE L3OUT"/>
    <n v="14"/>
    <n v="54"/>
  </r>
  <r>
    <n v="802"/>
    <x v="2"/>
    <x v="192"/>
    <s v="eth1/39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39"/>
    <x v="0"/>
    <x v="0"/>
    <x v="0"/>
    <s v="LINK_TO_ITHFHWCBSPSHD35 / Slot1.2_22 / Principal"/>
    <x v="0"/>
    <b v="0"/>
    <s v="No está en VPC"/>
    <n v="835"/>
    <s v="INTPG_VPC_835_1.39_840_1.39"/>
    <s v="ISEL-1.39"/>
    <n v="1"/>
    <s v="NO TIENE L3OUT"/>
    <n v="8"/>
    <n v="54"/>
  </r>
  <r>
    <n v="822"/>
    <x v="2"/>
    <x v="194"/>
    <s v="eth1/39"/>
    <x v="0"/>
    <x v="0"/>
    <x v="0"/>
    <s v="LINK_TO_ITHFHWCBSPSWR26 /Slot6.2 /Redundante"/>
    <x v="0"/>
    <b v="0"/>
    <s v="No está en VPC"/>
    <n v="822"/>
    <s v="INTPG_VPC_817_1.39_822_1.39"/>
    <s v="ISEL-1.39"/>
    <n v="1"/>
    <s v="NO TIENE L3OUT"/>
    <n v="0"/>
    <n v="54"/>
  </r>
  <r>
    <n v="854"/>
    <x v="2"/>
    <x v="195"/>
    <s v="eth1/39"/>
    <x v="0"/>
    <x v="0"/>
    <x v="0"/>
    <s v="LINK_TO_ITHFHWCRMPSBDP10 / Slot1.2_4 / Principal"/>
    <x v="0"/>
    <b v="0"/>
    <s v="No está en VPC"/>
    <n v="854"/>
    <s v="INTPG_VPC_854_1.39_847_1.39"/>
    <s v="ISEL-1.39"/>
    <n v="2"/>
    <s v="NO TIENE L3OUT"/>
    <n v="204"/>
    <n v="54"/>
  </r>
  <r>
    <n v="858"/>
    <x v="2"/>
    <x v="196"/>
    <s v="eth1/39"/>
    <x v="0"/>
    <x v="0"/>
    <x v="0"/>
    <s v="To_VPC_2DCBSD_WR57_3"/>
    <x v="0"/>
    <b v="0"/>
    <s v="No está en VPC"/>
    <n v="858"/>
    <s v="INTPG_VPC_858_1.39_863_1.39"/>
    <s v="ISEL-1.39"/>
    <n v="1"/>
    <s v="NO TIENE L3OUT"/>
    <n v="8"/>
    <n v="54"/>
  </r>
  <r>
    <n v="857"/>
    <x v="2"/>
    <x v="197"/>
    <s v="eth1/39"/>
    <x v="0"/>
    <x v="0"/>
    <x v="0"/>
    <s v="LINKT_TO_ITHFHWCRMPLCN128 / Slot1.2_26 / Principal"/>
    <x v="0"/>
    <b v="0"/>
    <s v="No está en VPC"/>
    <n v="857"/>
    <s v="INTPG_ACC_857_1.39"/>
    <s v="ISEL-1.39"/>
    <n v="2"/>
    <s v="NO TIENE L3OUT"/>
    <n v="288"/>
    <n v="54"/>
  </r>
  <r>
    <n v="859"/>
    <x v="2"/>
    <x v="198"/>
    <s v="eth1/39"/>
    <x v="0"/>
    <x v="0"/>
    <x v="0"/>
    <s v="To_VPC_2DCBSD_WR48_3"/>
    <x v="0"/>
    <b v="0"/>
    <s v="No está en VPC"/>
    <n v="859"/>
    <s v="INTPG_VPC_859_1.39_864_1.39"/>
    <s v="ISEL-1.39"/>
    <n v="1"/>
    <s v="NO TIENE L3OUT"/>
    <n v="0"/>
    <n v="54"/>
  </r>
  <r>
    <n v="833"/>
    <x v="2"/>
    <x v="199"/>
    <s v="eth1/39"/>
    <x v="0"/>
    <x v="0"/>
    <x v="0"/>
    <s v="To_ITHFHWCRMDLCN48_Redundante"/>
    <x v="0"/>
    <b v="0"/>
    <s v="No está en VPC"/>
    <n v="833"/>
    <s v="INTPG_ACC_833_1.39"/>
    <s v="ISEL-1.39"/>
    <n v="6"/>
    <s v="NO TIENE L3OUT"/>
    <n v="224"/>
    <n v="54"/>
  </r>
  <r>
    <n v="818"/>
    <x v="2"/>
    <x v="200"/>
    <s v="eth1/39"/>
    <x v="0"/>
    <x v="0"/>
    <x v="0"/>
    <s v="LINK_TO_ITHFHWCBSPSWR37 /10GE.1 /Principal"/>
    <x v="0"/>
    <b v="0"/>
    <s v="No está en VPC"/>
    <n v="818"/>
    <s v="INTPG_VPC_818_1.39_823_1.39"/>
    <s v="ISEL-1.39"/>
    <n v="1"/>
    <s v="NO TIENE L3OUT"/>
    <n v="8"/>
    <n v="54"/>
  </r>
  <r>
    <n v="850"/>
    <x v="2"/>
    <x v="201"/>
    <s v="eth1/39"/>
    <x v="0"/>
    <x v="0"/>
    <x v="0"/>
    <s v="LINKT_TO_ITHFHWCRMPLCN128 / Slot7.2_26 / Redundante"/>
    <x v="0"/>
    <b v="0"/>
    <s v="No está en VPC"/>
    <n v="850"/>
    <s v="INTPG_ACC_850_1.39"/>
    <s v="ISEL-1.39"/>
    <n v="2"/>
    <s v="NO TIENE L3OUT"/>
    <n v="288"/>
    <n v="54"/>
  </r>
  <r>
    <n v="860"/>
    <x v="2"/>
    <x v="202"/>
    <s v="eth1/39"/>
    <x v="0"/>
    <x v="0"/>
    <x v="0"/>
    <s v="To_VPC_2DCBSD_BD19_3"/>
    <x v="0"/>
    <b v="0"/>
    <s v="No está en VPC"/>
    <n v="860"/>
    <s v="INTPG_VPC_860_1.39_865_1.39"/>
    <s v="ISEL-1.39"/>
    <n v="1"/>
    <s v="NO TIENE L3OUT"/>
    <n v="0"/>
    <n v="54"/>
  </r>
  <r>
    <n v="853"/>
    <x v="2"/>
    <x v="203"/>
    <s v="eth1/39"/>
    <x v="0"/>
    <x v="0"/>
    <x v="0"/>
    <s v="LINK_TO_ITHFHWCRMPLCN84 / Slot7.3_26 / Redundante"/>
    <x v="0"/>
    <b v="0"/>
    <s v="No está en VPC"/>
    <n v="853"/>
    <s v="INTPG_ACC_853_1.39"/>
    <s v="ISEL-1.39"/>
    <n v="1"/>
    <s v="NO TIENE L3OUT"/>
    <n v="242"/>
    <n v="54"/>
  </r>
  <r>
    <n v="790"/>
    <x v="2"/>
    <x v="204"/>
    <s v="eth1/39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39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39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39"/>
    <x v="1"/>
    <x v="1"/>
    <x v="2"/>
    <s v="DESC"/>
    <x v="6"/>
    <b v="0"/>
    <s v="No está en VPC"/>
    <n v="104"/>
    <s v="INTPG_PC_104_1.32-39"/>
    <s v="ISEL-1.39"/>
    <n v="0"/>
    <s v="NO TIENE L3OUT"/>
    <n v="194"/>
    <n v="96"/>
  </r>
  <r>
    <n v="158"/>
    <x v="0"/>
    <x v="208"/>
    <s v="eth1/39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39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39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39"/>
    <x v="0"/>
    <x v="0"/>
    <x v="0"/>
    <m/>
    <x v="6"/>
    <b v="0"/>
    <s v="No está en VPC"/>
    <n v="108"/>
    <s v="INTPG_ACC_108_1.39"/>
    <s v="ISEL-1.39"/>
    <n v="1"/>
    <s v="NO TIENE L3OUT"/>
    <n v="126"/>
    <n v="96"/>
  </r>
  <r>
    <n v="112"/>
    <x v="0"/>
    <x v="212"/>
    <s v="eth1/39"/>
    <x v="0"/>
    <x v="0"/>
    <x v="0"/>
    <s v="CHARGING SYSTEM"/>
    <x v="6"/>
    <b v="0"/>
    <s v="No está en VPC"/>
    <n v="112"/>
    <s v="INTPG_ACC_112_1.39"/>
    <s v="ISEL-1.39"/>
    <n v="1"/>
    <s v="NO TIENE L3OUT"/>
    <n v="144"/>
    <n v="96"/>
  </r>
  <r>
    <n v="107"/>
    <x v="0"/>
    <x v="213"/>
    <s v="eth1/39"/>
    <x v="1"/>
    <x v="1"/>
    <x v="2"/>
    <m/>
    <x v="6"/>
    <b v="0"/>
    <s v="No está en VPC"/>
    <n v="107"/>
    <s v="INTPG_ACC_107_1.39"/>
    <s v="ISEL-1.39"/>
    <n v="1"/>
    <s v="NO TIENE L3OUT"/>
    <n v="118"/>
    <n v="96"/>
  </r>
  <r>
    <n v="109"/>
    <x v="0"/>
    <x v="214"/>
    <s v="eth1/39"/>
    <x v="0"/>
    <x v="1"/>
    <x v="1"/>
    <m/>
    <x v="6"/>
    <b v="0"/>
    <s v="No está en VPC"/>
    <n v="109"/>
    <s v="INTPG_ACC_109_1.39"/>
    <s v="ISEL-1.39"/>
    <n v="1"/>
    <s v="NO TIENE L3OUT"/>
    <n v="126"/>
    <n v="96"/>
  </r>
  <r>
    <n v="113"/>
    <x v="0"/>
    <x v="215"/>
    <s v="eth1/39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39"/>
    <x v="0"/>
    <x v="0"/>
    <x v="0"/>
    <s v="CONECTIVIDAD DE RED Y FIBRA MSP PROBES Y BIG DATA SALA 1 Y 2"/>
    <x v="6"/>
    <b v="0"/>
    <s v="No está en VPC"/>
    <n v="114"/>
    <s v="INTPG_ACC_114_1.39"/>
    <s v="ISEL-1.39"/>
    <n v="1"/>
    <s v="NO TIENE L3OUT"/>
    <n v="144"/>
    <n v="96"/>
  </r>
  <r>
    <n v="124"/>
    <x v="0"/>
    <x v="217"/>
    <s v="eth1/39"/>
    <x v="0"/>
    <x v="1"/>
    <x v="1"/>
    <s v="3G_OSS_QRO_R6"/>
    <x v="6"/>
    <b v="0"/>
    <s v="No está en VPC"/>
    <n v="124"/>
    <s v="INTPG_VPC_124_1.23_39_125_1.27_40"/>
    <s v="ISEL-1.39"/>
    <n v="5"/>
    <s v="NO TIENE L3OUT"/>
    <n v="80"/>
    <n v="96"/>
  </r>
  <r>
    <n v="118"/>
    <x v="0"/>
    <x v="218"/>
    <s v="eth1/39"/>
    <x v="0"/>
    <x v="0"/>
    <x v="0"/>
    <s v="INGE6"/>
    <x v="6"/>
    <b v="0"/>
    <s v="No está en VPC"/>
    <n v="118"/>
    <s v="INTPG_ACC_118_1.39"/>
    <s v="ISEL-1.39"/>
    <n v="1"/>
    <s v="NO TIENE L3OUT"/>
    <n v="180"/>
    <n v="96"/>
  </r>
  <r>
    <n v="159"/>
    <x v="0"/>
    <x v="219"/>
    <s v="eth1/39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39"/>
    <x v="0"/>
    <x v="0"/>
    <x v="0"/>
    <s v="LINK_TO_ITHFHWCBSPSHD35 / Slot7.2_22 / Redundante"/>
    <x v="0"/>
    <b v="0"/>
    <s v="No está en VPC"/>
    <n v="840"/>
    <s v="INTPG_VPC_835_1.39_840_1.39"/>
    <s v="ISEL-1.39"/>
    <n v="1"/>
    <s v="NO TIENE L3OUT"/>
    <n v="8"/>
    <n v="54"/>
  </r>
  <r>
    <n v="856"/>
    <x v="2"/>
    <x v="221"/>
    <s v="eth1/39"/>
    <x v="0"/>
    <x v="0"/>
    <x v="0"/>
    <s v="LINK_TO_ITHFHWCRMPLCN147 / Slot1.2_28 / Principal"/>
    <x v="0"/>
    <b v="0"/>
    <s v="No está en VPC"/>
    <n v="856"/>
    <s v="INTPG_ACC_856_1.39"/>
    <s v="ISEL-1.39"/>
    <n v="2"/>
    <s v="NO TIENE L3OUT"/>
    <n v="286"/>
    <n v="54"/>
  </r>
  <r>
    <n v="110"/>
    <x v="0"/>
    <x v="222"/>
    <s v="eth1/39"/>
    <x v="0"/>
    <x v="1"/>
    <x v="1"/>
    <s v="SUN6900_E25K"/>
    <x v="6"/>
    <b v="0"/>
    <s v="No está en VPC"/>
    <n v="110"/>
    <s v="INTPG_ACC_110_1.39"/>
    <s v="ISEL-1.39"/>
    <n v="1"/>
    <s v="NO TIENE L3OUT"/>
    <n v="102"/>
    <n v="96"/>
  </r>
  <r>
    <n v="163"/>
    <x v="0"/>
    <x v="223"/>
    <s v="eth1/39"/>
    <x v="0"/>
    <x v="0"/>
    <x v="0"/>
    <s v="MULTIMEDIACION"/>
    <x v="6"/>
    <b v="0"/>
    <s v="No está en VPC"/>
    <n v="163"/>
    <s v="INTPG_ACC_163_1.39"/>
    <s v="ISEL-1.39"/>
    <n v="1"/>
    <s v="NO TIENE L3OUT"/>
    <n v="140"/>
    <n v="96"/>
  </r>
  <r>
    <n v="407"/>
    <x v="1"/>
    <x v="224"/>
    <s v="eth1/39"/>
    <x v="0"/>
    <x v="0"/>
    <x v="0"/>
    <s v="Uxorbi"/>
    <x v="6"/>
    <b v="0"/>
    <s v="No está en VPC"/>
    <n v="407"/>
    <s v="INTPG_ACC_407_1.39"/>
    <s v="ISEL-1.39"/>
    <n v="1"/>
    <s v="NO TIENE L3OUT"/>
    <n v="122"/>
    <n v="96"/>
  </r>
  <r>
    <n v="171"/>
    <x v="0"/>
    <x v="225"/>
    <s v="eth1/39"/>
    <x v="0"/>
    <x v="0"/>
    <x v="0"/>
    <s v="HP_Performance_Insight"/>
    <x v="6"/>
    <b v="0"/>
    <s v="No está en VPC"/>
    <n v="171"/>
    <s v="INTPG_ACC_171_1.39"/>
    <s v="ISEL-1.39"/>
    <n v="1"/>
    <s v="NO TIENE L3OUT"/>
    <n v="114"/>
    <n v="96"/>
  </r>
  <r>
    <n v="421"/>
    <x v="1"/>
    <x v="226"/>
    <s v="eth1/39"/>
    <x v="0"/>
    <x v="1"/>
    <x v="1"/>
    <s v="VTA_uxvta073_Net0"/>
    <x v="6"/>
    <b v="0"/>
    <s v="No está en VPC"/>
    <n v="421"/>
    <s v="INTPG_ACC_421_1.39"/>
    <s v="ISEL-1.39"/>
    <n v="1"/>
    <s v="NO TIENE L3OUT"/>
    <n v="72"/>
    <n v="96"/>
  </r>
  <r>
    <n v="173"/>
    <x v="0"/>
    <x v="227"/>
    <s v="eth1/39"/>
    <x v="0"/>
    <x v="0"/>
    <x v="0"/>
    <s v="ENIQ"/>
    <x v="6"/>
    <b v="0"/>
    <s v="No está en VPC"/>
    <n v="173"/>
    <s v="INTPG_ACC_173_1.39"/>
    <s v="ISEL-1.39"/>
    <n v="1"/>
    <s v="NO TIENE L3OUT"/>
    <n v="66"/>
    <n v="96"/>
  </r>
  <r>
    <n v="154"/>
    <x v="0"/>
    <x v="228"/>
    <s v="eth1/39"/>
    <x v="0"/>
    <x v="0"/>
    <x v="0"/>
    <s v="DCX_BKP1"/>
    <x v="6"/>
    <b v="0"/>
    <s v="No está en VPC"/>
    <n v="154"/>
    <s v="INTPG_ACC_154_1.39"/>
    <s v="ISEL-1.39"/>
    <n v="1"/>
    <s v="NO TIENE L3OUT"/>
    <n v="62"/>
    <n v="96"/>
  </r>
  <r>
    <n v="172"/>
    <x v="0"/>
    <x v="229"/>
    <s v="eth1/39"/>
    <x v="0"/>
    <x v="0"/>
    <x v="0"/>
    <s v="HP_Performance_Insight"/>
    <x v="6"/>
    <b v="0"/>
    <s v="No está en VPC"/>
    <n v="172"/>
    <s v="INTPG_ACC_172_1.39"/>
    <s v="ISEL-1.39"/>
    <n v="1"/>
    <s v="NO TIENE L3OUT"/>
    <n v="104"/>
    <n v="96"/>
  </r>
  <r>
    <n v="420"/>
    <x v="1"/>
    <x v="230"/>
    <s v="eth1/39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39"/>
    <x v="0"/>
    <x v="0"/>
    <x v="0"/>
    <s v="SPECSERVER2_ETH0"/>
    <x v="6"/>
    <b v="0"/>
    <s v="No está en VPC"/>
    <n v="423"/>
    <s v="INTPG_ACC_423_1.39"/>
    <s v="ISEL-1.39"/>
    <n v="1"/>
    <s v="NO TIENE L3OUT"/>
    <n v="86"/>
    <n v="96"/>
  </r>
  <r>
    <n v="415"/>
    <x v="1"/>
    <x v="232"/>
    <s v="eth1/39"/>
    <x v="0"/>
    <x v="0"/>
    <x v="0"/>
    <s v="ith3bda3sw-ip_Primario"/>
    <x v="6"/>
    <b v="0"/>
    <s v="No está en VPC"/>
    <n v="415"/>
    <s v="INTPG_ACC_415_1.39"/>
    <s v="ISEL-1.39"/>
    <n v="1"/>
    <s v="NO TIENE L3OUT"/>
    <n v="52"/>
    <n v="96"/>
  </r>
  <r>
    <n v="102"/>
    <x v="0"/>
    <x v="233"/>
    <s v="eth1/39"/>
    <x v="0"/>
    <x v="1"/>
    <x v="1"/>
    <s v="SFLDI:RLDIBI201:1"/>
    <x v="6"/>
    <b v="0"/>
    <s v="No está en VPC"/>
    <n v="102"/>
    <s v="INTPG_ACC_102_1.39"/>
    <s v="ISEL-1.39"/>
    <n v="1"/>
    <s v="NO TIENE L3OUT"/>
    <n v="228"/>
    <n v="96"/>
  </r>
  <r>
    <n v="863"/>
    <x v="2"/>
    <x v="234"/>
    <s v="eth1/39"/>
    <x v="0"/>
    <x v="0"/>
    <x v="0"/>
    <s v="To_VPC_2DCBSD_WR57_3"/>
    <x v="0"/>
    <b v="0"/>
    <s v="No está en VPC"/>
    <n v="863"/>
    <s v="INTPG_VPC_858_1.39_863_1.39"/>
    <s v="ISEL-1.39"/>
    <n v="1"/>
    <s v="NO TIENE L3OUT"/>
    <n v="8"/>
    <n v="54"/>
  </r>
  <r>
    <n v="876"/>
    <x v="2"/>
    <x v="235"/>
    <s v="eth1/39"/>
    <x v="0"/>
    <x v="0"/>
    <x v="0"/>
    <s v="A_ITHFHWSEQLCAS14_Principal"/>
    <x v="4"/>
    <b v="0"/>
    <s v="No está en VPC"/>
    <n v="876"/>
    <s v="INTPG_ACC_876_1.39"/>
    <s v="ISEL-1.39"/>
    <n v="1"/>
    <s v="NO TIENE L3OUT"/>
    <n v="92"/>
    <n v="54"/>
  </r>
  <r>
    <n v="877"/>
    <x v="2"/>
    <x v="236"/>
    <s v="eth1/39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39"/>
    <x v="0"/>
    <x v="0"/>
    <x v="0"/>
    <s v="Registro Nacional de Celulares"/>
    <x v="6"/>
    <b v="0"/>
    <s v="No está en VPC"/>
    <n v="122"/>
    <s v="INTPG_ACC_122_1.39"/>
    <s v="ISEL-1.39"/>
    <n v="1"/>
    <s v="NO TIENE L3OUT"/>
    <n v="148"/>
    <n v="96"/>
  </r>
  <r>
    <n v="157"/>
    <x v="0"/>
    <x v="238"/>
    <s v="eth1/39"/>
    <x v="0"/>
    <x v="0"/>
    <x v="0"/>
    <s v="IXT08PP"/>
    <x v="6"/>
    <b v="0"/>
    <s v="No está en VPC"/>
    <n v="157"/>
    <s v="INTPG_ACC_157_1.39"/>
    <s v="ISEL-1.39"/>
    <n v="1"/>
    <s v="NO TIENE L3OUT"/>
    <n v="202"/>
    <n v="96"/>
  </r>
  <r>
    <n v="408"/>
    <x v="1"/>
    <x v="239"/>
    <s v="eth1/39"/>
    <x v="0"/>
    <x v="1"/>
    <x v="1"/>
    <s v="HNMD101A"/>
    <x v="6"/>
    <b v="0"/>
    <s v="No está en VPC"/>
    <n v="408"/>
    <s v="INTPG_ACC_408_1.39"/>
    <s v="ISEL-1.39"/>
    <n v="1"/>
    <s v="NO TIENE L3OUT"/>
    <n v="152"/>
    <n v="96"/>
  </r>
  <r>
    <n v="405"/>
    <x v="1"/>
    <x v="240"/>
    <s v="eth1/39"/>
    <x v="0"/>
    <x v="0"/>
    <x v="0"/>
    <s v="BACKBONE_SAN_IXT2_01"/>
    <x v="6"/>
    <b v="0"/>
    <s v="No está en VPC"/>
    <n v="405"/>
    <s v="INTPG_ACC_405_1.39"/>
    <s v="ISEL-1.39"/>
    <n v="1"/>
    <s v="NO TIENE L3OUT"/>
    <n v="138"/>
    <n v="96"/>
  </r>
  <r>
    <n v="169"/>
    <x v="0"/>
    <x v="241"/>
    <s v="eth1/39"/>
    <x v="0"/>
    <x v="0"/>
    <x v="0"/>
    <s v="TO-ITHFDESW10BKP01-PRINCIPAL"/>
    <x v="6"/>
    <b v="0"/>
    <s v="No está en VPC"/>
    <n v="169"/>
    <s v="INTPG_ACC_169_1.39"/>
    <s v="ISEL-1.39"/>
    <n v="1"/>
    <s v="NO TIENE L3OUT"/>
    <n v="76"/>
    <n v="96"/>
  </r>
  <r>
    <n v="165"/>
    <x v="0"/>
    <x v="242"/>
    <s v="eth1/39"/>
    <x v="0"/>
    <x v="0"/>
    <x v="0"/>
    <s v="NOMINA_uxtest01"/>
    <x v="6"/>
    <b v="0"/>
    <s v="No está en VPC"/>
    <n v="165"/>
    <s v="INTPG_ACC_165_1.39"/>
    <s v="ISEL-1.39"/>
    <n v="1"/>
    <s v="NO TIENE L3OUT"/>
    <n v="86"/>
    <n v="96"/>
  </r>
  <r>
    <n v="417"/>
    <x v="1"/>
    <x v="243"/>
    <s v="eth1/39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39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39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39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39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39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39"/>
    <x v="0"/>
    <x v="0"/>
    <x v="0"/>
    <s v="DESC"/>
    <x v="6"/>
    <b v="0"/>
    <s v="No está en VPC"/>
    <n v="406"/>
    <s v="INTPG_PC_406_1.39-42"/>
    <s v="ISEL-1.39"/>
    <n v="4"/>
    <s v="NO TIENE L3OUT"/>
    <n v="82"/>
    <n v="96"/>
  </r>
  <r>
    <n v="414"/>
    <x v="1"/>
    <x v="250"/>
    <s v="eth1/39"/>
    <x v="0"/>
    <x v="0"/>
    <x v="0"/>
    <s v="IXTPF1SV31NIC2"/>
    <x v="6"/>
    <b v="0"/>
    <s v="No está en VPC"/>
    <n v="414"/>
    <s v="INTPG_ACC_414_1.39"/>
    <s v="ISEL-1.39"/>
    <n v="6"/>
    <s v="NO TIENE L3OUT"/>
    <n v="144"/>
    <n v="96"/>
  </r>
  <r>
    <n v="416"/>
    <x v="1"/>
    <x v="251"/>
    <s v="eth1/39"/>
    <x v="0"/>
    <x v="1"/>
    <x v="1"/>
    <s v="DESC"/>
    <x v="6"/>
    <b v="0"/>
    <s v="No está en VPC"/>
    <n v="416"/>
    <s v="INTPG_PC_416_1.32-39"/>
    <s v="ISEL-1.39"/>
    <n v="8"/>
    <s v="NO TIENE L3OUT"/>
    <n v="110"/>
    <n v="96"/>
  </r>
  <r>
    <n v="418"/>
    <x v="1"/>
    <x v="252"/>
    <s v="eth1/39"/>
    <x v="0"/>
    <x v="1"/>
    <x v="1"/>
    <s v="DESC"/>
    <x v="6"/>
    <b v="0"/>
    <s v="No está en VPC"/>
    <n v="418"/>
    <s v="INTPG_PC_418_1.32-39"/>
    <s v="ISEL-1.39"/>
    <n v="8"/>
    <s v="NO TIENE L3OUT"/>
    <n v="152"/>
    <n v="96"/>
  </r>
  <r>
    <n v="413"/>
    <x v="1"/>
    <x v="253"/>
    <s v="eth1/39"/>
    <x v="0"/>
    <x v="0"/>
    <x v="0"/>
    <s v="To-uxingemc1 ldom3 uxsmart02"/>
    <x v="6"/>
    <b v="0"/>
    <s v="No está en VPC"/>
    <n v="413"/>
    <s v="INTPG_ACC_413_1.39"/>
    <s v="ISEL-1.39"/>
    <n v="1"/>
    <s v="NO TIENE L3OUT"/>
    <n v="126"/>
    <n v="96"/>
  </r>
  <r>
    <n v="403"/>
    <x v="1"/>
    <x v="254"/>
    <s v="eth1/39"/>
    <x v="0"/>
    <x v="0"/>
    <x v="0"/>
    <s v="BACKBONE_SAN_IXT2_01"/>
    <x v="6"/>
    <b v="0"/>
    <s v="No está en VPC"/>
    <n v="403"/>
    <s v="INTPG_ACC_403_1.39"/>
    <s v="ISEL-1.39"/>
    <n v="1"/>
    <s v="NO TIENE L3OUT"/>
    <n v="150"/>
    <n v="96"/>
  </r>
  <r>
    <n v="125"/>
    <x v="0"/>
    <x v="255"/>
    <s v="eth1/39"/>
    <x v="0"/>
    <x v="0"/>
    <x v="0"/>
    <s v="ixtossgw2_4"/>
    <x v="6"/>
    <b v="0"/>
    <s v="No está en VPC"/>
    <n v="125"/>
    <s v="INTPG_ACC_125_1.39"/>
    <s v="ISEL-1.39"/>
    <n v="1"/>
    <s v="NO TIENE L3OUT"/>
    <n v="72"/>
    <n v="96"/>
  </r>
  <r>
    <n v="166"/>
    <x v="0"/>
    <x v="256"/>
    <s v="eth1/39"/>
    <x v="0"/>
    <x v="0"/>
    <x v="0"/>
    <s v="NOMINA_rhaps1"/>
    <x v="6"/>
    <b v="0"/>
    <s v="No está en VPC"/>
    <n v="166"/>
    <s v="INTPG_ACC_166_1.39"/>
    <s v="ISEL-1.39"/>
    <n v="1"/>
    <s v="NO TIENE L3OUT"/>
    <n v="84"/>
    <n v="96"/>
  </r>
  <r>
    <n v="111"/>
    <x v="0"/>
    <x v="257"/>
    <s v="eth1/39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39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39"/>
    <x v="0"/>
    <x v="1"/>
    <x v="1"/>
    <s v="NETEZZA EMC "/>
    <x v="6"/>
    <b v="0"/>
    <s v="No está en VPC"/>
    <n v="106"/>
    <s v="INTPG_ACC_106_1.39"/>
    <s v="ISEL-1.39"/>
    <n v="1"/>
    <s v="NO TIENE L3OUT"/>
    <n v="122"/>
    <n v="96"/>
  </r>
  <r>
    <n v="126"/>
    <x v="0"/>
    <x v="260"/>
    <s v="eth1/39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39"/>
    <x v="0"/>
    <x v="0"/>
    <x v="0"/>
    <s v="ITHPA02_ILO1_IPMP-Pasiva"/>
    <x v="6"/>
    <b v="0"/>
    <s v="No está en VPC"/>
    <n v="425"/>
    <s v="INTPG_ACC_425_1.39"/>
    <s v="ISEL-1.39"/>
    <n v="1"/>
    <s v="NO TIENE L3OUT"/>
    <n v="86"/>
    <n v="96"/>
  </r>
  <r>
    <n v="151"/>
    <x v="0"/>
    <x v="262"/>
    <s v="eth1/39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39"/>
    <x v="0"/>
    <x v="0"/>
    <x v="0"/>
    <s v="SecAnLG_iDrac_05-Colector_R1toR8_RD-IXTSALG_H1_8RD"/>
    <x v="6"/>
    <b v="0"/>
    <s v="No está en VPC"/>
    <n v="430"/>
    <s v="INTPG_ACC_430_1.39"/>
    <s v="ISEL-1.39"/>
    <n v="1"/>
    <s v="NO TIENE L3OUT"/>
    <n v="86"/>
    <n v="96"/>
  </r>
  <r>
    <n v="419"/>
    <x v="1"/>
    <x v="264"/>
    <s v="eth1/39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39"/>
    <x v="0"/>
    <x v="0"/>
    <x v="0"/>
    <s v="SNA TEST BED"/>
    <x v="6"/>
    <b v="0"/>
    <s v="No está en VPC"/>
    <n v="155"/>
    <s v="INTPG_ACC_155_1.39"/>
    <s v="ISEL-1.39"/>
    <n v="0"/>
    <s v="L3OUT-SNA-IPCORP-A20"/>
    <n v="198"/>
    <n v="96"/>
  </r>
  <r>
    <n v="409"/>
    <x v="1"/>
    <x v="266"/>
    <s v="eth1/39"/>
    <x v="0"/>
    <x v="0"/>
    <x v="0"/>
    <s v="Uxcppdes"/>
    <x v="6"/>
    <b v="0"/>
    <s v="No está en VPC"/>
    <n v="409"/>
    <s v="INTPG_ACC_409_1.39"/>
    <s v="ISEL-1.39"/>
    <n v="1"/>
    <s v="NO TIENE L3OUT"/>
    <n v="128"/>
    <n v="96"/>
  </r>
  <r>
    <n v="422"/>
    <x v="1"/>
    <x v="267"/>
    <s v="eth1/39"/>
    <x v="0"/>
    <x v="1"/>
    <x v="1"/>
    <s v="ITHRTC4ALS1"/>
    <x v="6"/>
    <b v="0"/>
    <s v="No está en VPC"/>
    <n v="422"/>
    <s v="INTPG_ACC_422_1.39"/>
    <s v="ISEL-1.39"/>
    <n v="1"/>
    <s v="NO TIENE L3OUT"/>
    <n v="182"/>
    <n v="96"/>
  </r>
  <r>
    <n v="436"/>
    <x v="1"/>
    <x v="268"/>
    <s v="eth1/39"/>
    <x v="0"/>
    <x v="0"/>
    <x v="0"/>
    <s v="P8000_PTO_1"/>
    <x v="6"/>
    <b v="0"/>
    <s v="No está en VPC"/>
    <n v="436"/>
    <s v="INTPG_ACC_436_1.39"/>
    <s v="ISEL-1.39"/>
    <n v="1"/>
    <s v="NO TIENE L3OUT"/>
    <n v="172"/>
    <n v="96"/>
  </r>
  <r>
    <n v="410"/>
    <x v="1"/>
    <x v="269"/>
    <s v="eth1/39"/>
    <x v="0"/>
    <x v="0"/>
    <x v="0"/>
    <s v="Exadata1"/>
    <x v="6"/>
    <b v="0"/>
    <s v="No está en VPC"/>
    <n v="410"/>
    <s v="INTPG_ACC_410_1.39"/>
    <s v="ISEL-1.39"/>
    <n v="1"/>
    <s v="NO TIENE L3OUT"/>
    <n v="178"/>
    <n v="96"/>
  </r>
  <r>
    <n v="161"/>
    <x v="0"/>
    <x v="270"/>
    <s v="eth1/39"/>
    <x v="0"/>
    <x v="1"/>
    <x v="1"/>
    <m/>
    <x v="6"/>
    <b v="0"/>
    <s v="No está en VPC"/>
    <n v="161"/>
    <s v="INTPG_VPC_163_1.44_161_1.39"/>
    <s v="ISEL-1.39"/>
    <n v="1"/>
    <s v="NO TIENE L3OUT"/>
    <n v="102"/>
    <n v="96"/>
  </r>
  <r>
    <n v="411"/>
    <x v="1"/>
    <x v="271"/>
    <s v="eth1/39"/>
    <x v="0"/>
    <x v="0"/>
    <x v="0"/>
    <s v="lagidmhlapvp12_produccion1"/>
    <x v="6"/>
    <b v="0"/>
    <s v="No está en VPC"/>
    <n v="411"/>
    <s v="INTPG_VPC_411_1.36-39_413_1.29-32"/>
    <s v="ISEL-1.39"/>
    <n v="2"/>
    <s v="NO TIENE L3OUT"/>
    <n v="96"/>
    <n v="96"/>
  </r>
  <r>
    <n v="116"/>
    <x v="0"/>
    <x v="272"/>
    <s v="eth1/39"/>
    <x v="1"/>
    <x v="1"/>
    <x v="2"/>
    <s v="DATOS NETCRACKER"/>
    <x v="6"/>
    <b v="0"/>
    <s v="No está en VPC"/>
    <n v="116"/>
    <s v="INTPG_ACC_116_1.39"/>
    <s v="ISEL-1.39"/>
    <n v="0"/>
    <s v="NO TIENE L3OUT"/>
    <n v="148"/>
    <n v="96"/>
  </r>
  <r>
    <n v="412"/>
    <x v="1"/>
    <x v="273"/>
    <s v="eth1/39"/>
    <x v="0"/>
    <x v="1"/>
    <x v="1"/>
    <s v="HNMD101B"/>
    <x v="6"/>
    <b v="0"/>
    <s v="No está en VPC"/>
    <n v="412"/>
    <s v="INTPG_ACC_412_1.39"/>
    <s v="ISEL-1.39"/>
    <n v="1"/>
    <s v="NO TIENE L3OUT"/>
    <n v="126"/>
    <n v="96"/>
  </r>
  <r>
    <n v="120"/>
    <x v="0"/>
    <x v="274"/>
    <s v="eth1/39"/>
    <x v="0"/>
    <x v="0"/>
    <x v="0"/>
    <s v="ZFS X5-2"/>
    <x v="6"/>
    <b v="0"/>
    <s v="No está en VPC"/>
    <n v="120"/>
    <s v="INTPG_ACC_120_1.39"/>
    <s v="ISEL-1.39"/>
    <n v="1"/>
    <s v="NO TIENE L3OUT"/>
    <n v="158"/>
    <n v="96"/>
  </r>
  <r>
    <n v="404"/>
    <x v="1"/>
    <x v="275"/>
    <s v="eth1/39"/>
    <x v="0"/>
    <x v="0"/>
    <x v="0"/>
    <s v="DESC"/>
    <x v="6"/>
    <b v="0"/>
    <s v="No está en VPC"/>
    <n v="404"/>
    <s v="INTPG_PC_404_1.37-40"/>
    <s v="ISEL-1.39"/>
    <n v="4"/>
    <s v="NO TIENE L3OUT"/>
    <n v="92"/>
    <n v="96"/>
  </r>
  <r>
    <n v="167"/>
    <x v="0"/>
    <x v="276"/>
    <s v="eth1/39"/>
    <x v="0"/>
    <x v="0"/>
    <x v="0"/>
    <s v="LINKDOWN_HACIA_UCS_9UCS-GEO-IXTLA-SERV2"/>
    <x v="6"/>
    <b v="0"/>
    <s v="No está en VPC"/>
    <n v="167"/>
    <s v="INTPG_ACC_167_1.39"/>
    <s v="ISEL-1.39"/>
    <n v="1"/>
    <s v="NO TIENE L3OUT"/>
    <n v="68"/>
    <n v="96"/>
  </r>
  <r>
    <n v="428"/>
    <x v="1"/>
    <x v="277"/>
    <s v="eth1/39"/>
    <x v="0"/>
    <x v="0"/>
    <x v="0"/>
    <s v="RLPNOVB01"/>
    <x v="6"/>
    <b v="0"/>
    <s v="No está en VPC"/>
    <n v="428"/>
    <s v="INTPG_ACC_428_1.39"/>
    <s v="ISEL-1.39"/>
    <n v="1"/>
    <s v="NO TIENE L3OUT"/>
    <n v="102"/>
    <n v="96"/>
  </r>
  <r>
    <n v="128"/>
    <x v="0"/>
    <x v="0"/>
    <s v="eth1/4"/>
    <x v="0"/>
    <x v="0"/>
    <x v="0"/>
    <s v="HUECOS DC_S1"/>
    <x v="0"/>
    <b v="0"/>
    <s v="No está en VPC"/>
    <n v="128"/>
    <s v="INTPG_VPC_128_1.1-6_129_1.1-6"/>
    <s v="ISEL-1.4"/>
    <n v="1"/>
    <s v="NO TIENE L3OUT"/>
    <n v="0"/>
    <n v="54"/>
  </r>
  <r>
    <n v="123"/>
    <x v="0"/>
    <x v="1"/>
    <s v="eth1/4"/>
    <x v="0"/>
    <x v="0"/>
    <x v="0"/>
    <m/>
    <x v="1"/>
    <b v="0"/>
    <s v="No está en VPC"/>
    <n v="123"/>
    <s v="INTPG_ACC_123_1.4"/>
    <s v="ISEL-1.4"/>
    <n v="1"/>
    <s v="NO TIENE L3OUT"/>
    <n v="20"/>
    <n v="54"/>
  </r>
  <r>
    <n v="152"/>
    <x v="0"/>
    <x v="2"/>
    <s v="eth1/4"/>
    <x v="0"/>
    <x v="0"/>
    <x v="0"/>
    <s v="DASHBOARD"/>
    <x v="1"/>
    <b v="0"/>
    <s v="No está en VPC"/>
    <n v="152"/>
    <s v="INTPG_ACC_152_1.4"/>
    <s v="ISEL-1.4"/>
    <n v="1"/>
    <s v="NO TIENE L3OUT"/>
    <n v="38"/>
    <n v="54"/>
  </r>
  <r>
    <n v="101"/>
    <x v="0"/>
    <x v="3"/>
    <s v="eth1/4"/>
    <x v="0"/>
    <x v="0"/>
    <x v="0"/>
    <s v="DESC"/>
    <x v="0"/>
    <b v="0"/>
    <s v="No está en VPC"/>
    <n v="101"/>
    <s v="INTPG_PC_101_1.3-5"/>
    <s v="ISEL-1.4"/>
    <n v="15"/>
    <s v="NO TIENE L3OUT"/>
    <n v="114"/>
    <n v="54"/>
  </r>
  <r>
    <n v="160"/>
    <x v="0"/>
    <x v="4"/>
    <s v="eth1/4"/>
    <x v="0"/>
    <x v="1"/>
    <x v="1"/>
    <s v="TRAP"/>
    <x v="1"/>
    <b v="0"/>
    <s v="No está en VPC"/>
    <n v="160"/>
    <s v="INTPG_PC_160_1.3-8"/>
    <s v="ISEL-1.4"/>
    <n v="12"/>
    <s v="NO TIENE L3OUT"/>
    <n v="68"/>
    <n v="54"/>
  </r>
  <r>
    <n v="121"/>
    <x v="0"/>
    <x v="5"/>
    <s v="eth1/4"/>
    <x v="0"/>
    <x v="0"/>
    <x v="0"/>
    <s v="TEMIP"/>
    <x v="1"/>
    <b v="0"/>
    <s v="No está en VPC"/>
    <n v="121"/>
    <s v="INTPG_ACC_121_1.4"/>
    <s v="ISEL-1.4"/>
    <n v="1"/>
    <s v="NO TIENE L3OUT"/>
    <n v="14"/>
    <n v="54"/>
  </r>
  <r>
    <n v="129"/>
    <x v="0"/>
    <x v="6"/>
    <s v="eth1/4"/>
    <x v="0"/>
    <x v="0"/>
    <x v="0"/>
    <s v="HUECOS DC_S1"/>
    <x v="0"/>
    <b v="0"/>
    <s v="No está en VPC"/>
    <n v="129"/>
    <s v="INTPG_VPC_128_1.1-6_129_1.1-6"/>
    <s v="ISEL-1.4"/>
    <n v="1"/>
    <s v="NO TIENE L3OUT"/>
    <n v="0"/>
    <n v="54"/>
  </r>
  <r>
    <n v="401"/>
    <x v="1"/>
    <x v="7"/>
    <s v="eth1/4"/>
    <x v="0"/>
    <x v="0"/>
    <x v="0"/>
    <s v="TO-ITHFDEILDPRAP02"/>
    <x v="0"/>
    <b v="0"/>
    <s v="No está en VPC"/>
    <n v="401"/>
    <s v="INTPG_VPC_401_1.4_402_1.4"/>
    <s v="ISEL-1.4"/>
    <n v="3"/>
    <s v="NO TIENE L3OUT"/>
    <n v="40"/>
    <n v="54"/>
  </r>
  <r>
    <n v="402"/>
    <x v="1"/>
    <x v="8"/>
    <s v="eth1/4"/>
    <x v="0"/>
    <x v="0"/>
    <x v="0"/>
    <s v="TO-ITHFDEILDPRAP02"/>
    <x v="0"/>
    <b v="0"/>
    <s v="No está en VPC"/>
    <n v="402"/>
    <s v="INTPG_VPC_401_1.4_402_1.4"/>
    <s v="ISEL-1.4"/>
    <n v="3"/>
    <s v="NO TIENE L3OUT"/>
    <n v="36"/>
    <n v="54"/>
  </r>
  <r>
    <n v="447"/>
    <x v="1"/>
    <x v="9"/>
    <s v="eth1/4"/>
    <x v="0"/>
    <x v="0"/>
    <x v="0"/>
    <s v="YB_DESAROLLO_ETH-TRUNK_4"/>
    <x v="2"/>
    <b v="0"/>
    <s v="No está en VPC"/>
    <n v="447"/>
    <s v="INTPG_VPC_445_1.4_447_1.4"/>
    <s v="ISEL-1.4"/>
    <n v="1"/>
    <s v="NO TIENE L3OUT"/>
    <n v="16"/>
    <n v="42"/>
  </r>
  <r>
    <n v="445"/>
    <x v="1"/>
    <x v="10"/>
    <s v="eth1/4"/>
    <x v="0"/>
    <x v="0"/>
    <x v="0"/>
    <s v="YB_DESAROLLO_ETH-TRUNK_4"/>
    <x v="2"/>
    <b v="0"/>
    <s v="No está en VPC"/>
    <n v="445"/>
    <s v="INTPG_VPC_445_1.4_447_1.4"/>
    <s v="ISEL-1.4"/>
    <n v="1"/>
    <s v="NO TIENE L3OUT"/>
    <n v="16"/>
    <n v="42"/>
  </r>
  <r>
    <n v="130"/>
    <x v="0"/>
    <x v="11"/>
    <s v="eth1/4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4"/>
    <x v="0"/>
    <x v="0"/>
    <x v="0"/>
    <s v="DESC"/>
    <x v="0"/>
    <b v="0"/>
    <s v="No está en VPC"/>
    <n v="150"/>
    <s v="INTPG_PC_150_1.3-5"/>
    <s v="ISEL-1.4"/>
    <n v="15"/>
    <s v="NO TIENE L3OUT"/>
    <n v="118"/>
    <n v="54"/>
  </r>
  <r>
    <n v="131"/>
    <x v="0"/>
    <x v="13"/>
    <s v="eth1/4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4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4"/>
    <x v="0"/>
    <x v="0"/>
    <x v="0"/>
    <s v="TelcelCloudStack:ithhwtcs02en01:2X 40G P2"/>
    <x v="2"/>
    <b v="0"/>
    <s v="No está en VPC"/>
    <n v="758"/>
    <s v="INTPG_VPC_758_1.3-4_759_1.3-4"/>
    <s v="ISEL-1.4"/>
    <n v="124"/>
    <s v="NO TIENE L3OUT"/>
    <n v="0"/>
    <n v="42"/>
  </r>
  <r>
    <n v="759"/>
    <x v="2"/>
    <x v="16"/>
    <s v="eth1/4"/>
    <x v="0"/>
    <x v="0"/>
    <x v="0"/>
    <s v="TelcelCloudStack:ithhwtcs02en01:3X 40G P2"/>
    <x v="2"/>
    <b v="0"/>
    <s v="No está en VPC"/>
    <n v="759"/>
    <s v="INTPG_VPC_758_1.3-4_759_1.3-4"/>
    <s v="ISEL-1.4"/>
    <n v="124"/>
    <s v="NO TIENE L3OUT"/>
    <n v="0"/>
    <n v="42"/>
  </r>
  <r>
    <n v="302"/>
    <x v="0"/>
    <x v="17"/>
    <s v="eth1/4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4"/>
    <x v="0"/>
    <x v="0"/>
    <x v="0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4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4"/>
    <x v="0"/>
    <x v="0"/>
    <x v="0"/>
    <s v="HUECOS DC_S2"/>
    <x v="0"/>
    <b v="0"/>
    <s v="No está en VPC"/>
    <n v="452"/>
    <s v="INTPG_VPC_450_1.1-6_452_1.1-6"/>
    <s v="ISEL-1.4"/>
    <n v="1"/>
    <s v="NO TIENE L3OUT"/>
    <n v="0"/>
    <n v="54"/>
  </r>
  <r>
    <n v="450"/>
    <x v="1"/>
    <x v="21"/>
    <s v="eth1/4"/>
    <x v="0"/>
    <x v="0"/>
    <x v="0"/>
    <s v="HUECOS DC_S2"/>
    <x v="0"/>
    <b v="0"/>
    <s v="No está en VPC"/>
    <n v="450"/>
    <s v="INTPG_VPC_450_1.1-6_452_1.1-6"/>
    <s v="ISEL-1.4"/>
    <n v="1"/>
    <s v="NO TIENE L3OUT"/>
    <n v="0"/>
    <n v="54"/>
  </r>
  <r>
    <n v="727"/>
    <x v="2"/>
    <x v="22"/>
    <s v="eth1/4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4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4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4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4"/>
    <x v="0"/>
    <x v="0"/>
    <x v="0"/>
    <s v="HUAWEI_CLOUD_FASE2_LAG2"/>
    <x v="0"/>
    <b v="0"/>
    <s v="No está en VPC"/>
    <n v="431"/>
    <s v="INTPG_VPC_431_1.3-4_448_1.3-4"/>
    <s v="ISEL-1.4"/>
    <n v="45"/>
    <s v="NO TIENE L3OUT"/>
    <n v="46"/>
    <n v="54"/>
  </r>
  <r>
    <n v="433"/>
    <x v="1"/>
    <x v="27"/>
    <s v="eth1/4"/>
    <x v="0"/>
    <x v="0"/>
    <x v="0"/>
    <s v="HUAWEI_CLOUD_GAPS_PRODUC_LAG"/>
    <x v="1"/>
    <b v="0"/>
    <s v="No está en VPC"/>
    <n v="433"/>
    <s v="INTPG_VPC_433_1.3-4_435_1.3-4"/>
    <s v="ISEL-1.4"/>
    <n v="2"/>
    <s v="NO TIENE L3OUT"/>
    <n v="42"/>
    <n v="54"/>
  </r>
  <r>
    <n v="429"/>
    <x v="1"/>
    <x v="28"/>
    <s v="eth1/4"/>
    <x v="0"/>
    <x v="0"/>
    <x v="0"/>
    <s v="FASE_1.5_REDKNEE_produccion_5_client_LAG"/>
    <x v="1"/>
    <b v="0"/>
    <s v="No está en VPC"/>
    <n v="429"/>
    <s v="INTPG_VPC_427_1.1_429_1.4"/>
    <s v="ISEL-1.4"/>
    <n v="1"/>
    <s v="NO TIENE L3OUT"/>
    <n v="8"/>
    <n v="54"/>
  </r>
  <r>
    <n v="432"/>
    <x v="1"/>
    <x v="29"/>
    <s v="eth1/4"/>
    <x v="0"/>
    <x v="0"/>
    <x v="0"/>
    <s v="SSO"/>
    <x v="1"/>
    <b v="0"/>
    <s v="No está en VPC"/>
    <n v="432"/>
    <s v="INTPG_ACC_432_1.4"/>
    <s v="ISEL-1.4"/>
    <n v="1"/>
    <s v="NO TIENE L3OUT"/>
    <n v="54"/>
    <n v="54"/>
  </r>
  <r>
    <n v="442"/>
    <x v="1"/>
    <x v="30"/>
    <s v="eth1/4"/>
    <x v="0"/>
    <x v="0"/>
    <x v="0"/>
    <s v="INTELIGN_COMERCIAL_LAG3"/>
    <x v="1"/>
    <b v="0"/>
    <s v="No está en VPC"/>
    <n v="442"/>
    <s v="INTPG_VPC_440_1.4_442_1.4"/>
    <s v="ISEL-1.4"/>
    <n v="1"/>
    <s v="NO TIENE L3OUT"/>
    <n v="18"/>
    <n v="54"/>
  </r>
  <r>
    <n v="434"/>
    <x v="1"/>
    <x v="31"/>
    <s v="eth1/4"/>
    <x v="0"/>
    <x v="0"/>
    <x v="0"/>
    <s v="TO-uxidmbd-MGT"/>
    <x v="1"/>
    <b v="0"/>
    <s v="No está en VPC"/>
    <n v="434"/>
    <s v="INTPG_ACC_434_1.4"/>
    <s v="ISEL-1.4"/>
    <n v="1"/>
    <s v="NO TIENE L3OUT"/>
    <n v="34"/>
    <n v="54"/>
  </r>
  <r>
    <n v="707"/>
    <x v="2"/>
    <x v="32"/>
    <s v="eth1/4"/>
    <x v="0"/>
    <x v="1"/>
    <x v="3"/>
    <s v="CEM:ITHCEMG2DAT02:LOM P3"/>
    <x v="0"/>
    <b v="0"/>
    <s v="No está en VPC"/>
    <n v="707"/>
    <s v="INTPG_ACC_707_1.4"/>
    <s v="ISEL-1.4"/>
    <n v="1"/>
    <s v="NO TIENE L3OUT"/>
    <n v="54"/>
    <n v="54"/>
  </r>
  <r>
    <n v="712"/>
    <x v="2"/>
    <x v="33"/>
    <s v="eth1/4"/>
    <x v="0"/>
    <x v="0"/>
    <x v="0"/>
    <s v="CEM:ITHCEMA2DAT02:LOM  P2"/>
    <x v="0"/>
    <b v="0"/>
    <s v="No está en VPC"/>
    <n v="712"/>
    <s v="INTPG_ACC_712_1.4"/>
    <s v="ISEL-1.4"/>
    <n v="1"/>
    <s v="NO TIENE L3OUT"/>
    <n v="32"/>
    <n v="54"/>
  </r>
  <r>
    <n v="719"/>
    <x v="2"/>
    <x v="34"/>
    <s v="eth1/4"/>
    <x v="0"/>
    <x v="0"/>
    <x v="0"/>
    <m/>
    <x v="0"/>
    <b v="0"/>
    <s v="No está en VPC"/>
    <n v="719"/>
    <s v="INTPG-VPC_HDD01_720_1.3_719_1.4"/>
    <s v="ISEL-1.4"/>
    <n v="1"/>
    <s v="NO TIENE L3OUT"/>
    <n v="0"/>
    <n v="54"/>
  </r>
  <r>
    <n v="715"/>
    <x v="2"/>
    <x v="35"/>
    <s v="eth1/4"/>
    <x v="0"/>
    <x v="0"/>
    <x v="0"/>
    <m/>
    <x v="0"/>
    <b v="0"/>
    <s v="No está en VPC"/>
    <n v="715"/>
    <s v="INTPG-VPC_HDD38_716_1.3_715_1.4"/>
    <s v="ISEL-1.4"/>
    <n v="1"/>
    <s v="NO TIENE L3OUT"/>
    <n v="0"/>
    <n v="54"/>
  </r>
  <r>
    <n v="427"/>
    <x v="1"/>
    <x v="36"/>
    <s v="eth1/4"/>
    <x v="0"/>
    <x v="0"/>
    <x v="0"/>
    <s v="FASE_1.5_REDKNEE_produccion_3_client_LAG"/>
    <x v="1"/>
    <b v="0"/>
    <s v="No está en VPC"/>
    <n v="427"/>
    <s v="INTPG_VPC_427_1.4-5_429_1.2-3"/>
    <s v="ISEL-1.4"/>
    <n v="5"/>
    <s v="NO TIENE L3OUT"/>
    <n v="10"/>
    <n v="54"/>
  </r>
  <r>
    <n v="711"/>
    <x v="2"/>
    <x v="37"/>
    <s v="eth1/4"/>
    <x v="0"/>
    <x v="1"/>
    <x v="5"/>
    <s v="CEM:ITHCEMD2DAT02:LOM  P2"/>
    <x v="0"/>
    <b v="0"/>
    <s v="No está en VPC"/>
    <n v="711"/>
    <s v="INTPG_VPC_710_1.3_711_1.4"/>
    <s v="ISEL-1.4"/>
    <n v="1"/>
    <s v="NO TIENE L3OUT"/>
    <n v="16"/>
    <n v="54"/>
  </r>
  <r>
    <n v="716"/>
    <x v="2"/>
    <x v="38"/>
    <s v="eth1/4"/>
    <x v="0"/>
    <x v="0"/>
    <x v="0"/>
    <m/>
    <x v="0"/>
    <b v="0"/>
    <s v="No está en VPC"/>
    <n v="716"/>
    <s v="INTPG-VPC_HDD47_715_1.3_716_1.4"/>
    <s v="ISEL-1.4"/>
    <n v="1"/>
    <s v="NO TIENE L3OUT"/>
    <n v="0"/>
    <n v="54"/>
  </r>
  <r>
    <n v="702"/>
    <x v="2"/>
    <x v="39"/>
    <s v="eth1/4"/>
    <x v="0"/>
    <x v="0"/>
    <x v="0"/>
    <m/>
    <x v="0"/>
    <b v="0"/>
    <s v="No está en VPC"/>
    <n v="702"/>
    <s v="INTPG_VPC_701_1.3_702_1.4"/>
    <s v="ISEL-1.4"/>
    <n v="1"/>
    <s v="NO TIENE L3OUT"/>
    <n v="0"/>
    <n v="54"/>
  </r>
  <r>
    <n v="435"/>
    <x v="1"/>
    <x v="40"/>
    <s v="eth1/4"/>
    <x v="0"/>
    <x v="0"/>
    <x v="0"/>
    <s v="HUAWEI_CLOUD_GAPS_PRODUC_LAG"/>
    <x v="1"/>
    <b v="0"/>
    <s v="No está en VPC"/>
    <n v="435"/>
    <s v="INTPG_VPC_433_1.3-4_435_1.3-4"/>
    <s v="ISEL-1.4"/>
    <n v="2"/>
    <s v="NO TIENE L3OUT"/>
    <n v="34"/>
    <n v="54"/>
  </r>
  <r>
    <n v="446"/>
    <x v="1"/>
    <x v="41"/>
    <s v="eth1/4"/>
    <x v="0"/>
    <x v="0"/>
    <x v="0"/>
    <s v="TO-ITHFHPNBURBKP04"/>
    <x v="0"/>
    <b v="0"/>
    <s v="No está en VPC"/>
    <n v="446"/>
    <s v="INTPG_VPC_444_1.3_446_1.4"/>
    <s v="ISEL-1.4"/>
    <n v="1"/>
    <s v="NO TIENE L3OUT"/>
    <n v="198"/>
    <n v="54"/>
  </r>
  <r>
    <n v="444"/>
    <x v="1"/>
    <x v="42"/>
    <s v="eth1/4"/>
    <x v="0"/>
    <x v="0"/>
    <x v="0"/>
    <m/>
    <x v="0"/>
    <b v="0"/>
    <s v="No está en VPC"/>
    <n v="444"/>
    <s v="INTPG_ACC_444_1.4"/>
    <s v="ISEL-1.4"/>
    <n v="9"/>
    <s v="NO TIENE L3OUT"/>
    <n v="234"/>
    <n v="54"/>
  </r>
  <r>
    <n v="701"/>
    <x v="2"/>
    <x v="43"/>
    <s v="eth1/4"/>
    <x v="0"/>
    <x v="0"/>
    <x v="0"/>
    <m/>
    <x v="0"/>
    <b v="0"/>
    <s v="No está en VPC"/>
    <n v="701"/>
    <s v="INTPG_VPC_702_1.3_701_1.4"/>
    <s v="ISEL-1.4"/>
    <n v="1"/>
    <s v="NO TIENE L3OUT"/>
    <n v="0"/>
    <n v="54"/>
  </r>
  <r>
    <n v="440"/>
    <x v="1"/>
    <x v="44"/>
    <s v="eth1/4"/>
    <x v="0"/>
    <x v="0"/>
    <x v="0"/>
    <s v="INTELIGN_COMERCIAL_LAG3"/>
    <x v="1"/>
    <b v="0"/>
    <s v="No está en VPC"/>
    <n v="440"/>
    <s v="INTPG_VPC_440_1.4_442_1.4"/>
    <s v="ISEL-1.4"/>
    <n v="1"/>
    <s v="NO TIENE L3OUT"/>
    <n v="22"/>
    <n v="54"/>
  </r>
  <r>
    <n v="448"/>
    <x v="1"/>
    <x v="45"/>
    <s v="eth1/4"/>
    <x v="0"/>
    <x v="0"/>
    <x v="0"/>
    <s v="HUAWEI_CLOUD_FASE2_LAG2"/>
    <x v="0"/>
    <b v="0"/>
    <s v="No está en VPC"/>
    <n v="448"/>
    <s v="INTPG_VPC_431_1.3-4_448_1.3-4"/>
    <s v="ISEL-1.4"/>
    <n v="45"/>
    <s v="NO TIENE L3OUT"/>
    <n v="46"/>
    <n v="54"/>
  </r>
  <r>
    <n v="704"/>
    <x v="2"/>
    <x v="46"/>
    <s v="eth1/4"/>
    <x v="0"/>
    <x v="0"/>
    <x v="0"/>
    <m/>
    <x v="0"/>
    <b v="0"/>
    <s v="No está en VPC"/>
    <n v="704"/>
    <s v="INTPG_VPC_703_1.3_704_1.4"/>
    <s v="ISEL-1.4"/>
    <n v="1"/>
    <s v="NO TIENE L3OUT"/>
    <n v="0"/>
    <n v="54"/>
  </r>
  <r>
    <n v="729"/>
    <x v="2"/>
    <x v="47"/>
    <s v="eth1/4"/>
    <x v="0"/>
    <x v="0"/>
    <x v="0"/>
    <s v="eth-trunk-22"/>
    <x v="0"/>
    <b v="0"/>
    <s v="No está en VPC"/>
    <n v="729"/>
    <s v="INTPG_VPC_728_1.1_4_729_1.1_4"/>
    <s v="ISEL-1.4"/>
    <n v="11"/>
    <s v="NO TIENE L3OUT"/>
    <n v="4"/>
    <n v="54"/>
  </r>
  <r>
    <n v="728"/>
    <x v="2"/>
    <x v="48"/>
    <s v="eth1/4"/>
    <x v="0"/>
    <x v="0"/>
    <x v="0"/>
    <s v="eth-trunk-22"/>
    <x v="0"/>
    <b v="0"/>
    <s v="No está en VPC"/>
    <n v="728"/>
    <s v="INTPG_VPC_728_1.1_4_729_1.1_4"/>
    <s v="ISEL-1.4"/>
    <n v="11"/>
    <s v="NO TIENE L3OUT"/>
    <n v="2"/>
    <n v="54"/>
  </r>
  <r>
    <n v="456"/>
    <x v="1"/>
    <x v="49"/>
    <s v="eth1/4"/>
    <x v="0"/>
    <x v="0"/>
    <x v="0"/>
    <s v="HACIA_CSI-A-OSCP-F4-08_SECUNDARIO"/>
    <x v="4"/>
    <b v="0"/>
    <s v="No está en VPC"/>
    <n v="456"/>
    <s v="INTPG_VPC_454_1.4_456_1.4"/>
    <s v="ISEL-1.4"/>
    <n v="2"/>
    <s v="NO TIENE L3OUT"/>
    <n v="4"/>
    <n v="54"/>
  </r>
  <r>
    <n v="603"/>
    <x v="1"/>
    <x v="50"/>
    <s v="eth1/4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4"/>
    <x v="0"/>
    <x v="0"/>
    <x v="0"/>
    <s v="CRM, CBS:ITHHWBESRK11CH1:E4-10GE 1"/>
    <x v="0"/>
    <b v="0"/>
    <s v="No está en VPC"/>
    <n v="746"/>
    <s v="INTPG_VPC_745_1.1_4_746_1.1_4"/>
    <s v="ISEL-1.4"/>
    <n v="13"/>
    <s v="NO TIENE L3OUT"/>
    <n v="0"/>
    <n v="54"/>
  </r>
  <r>
    <n v="745"/>
    <x v="2"/>
    <x v="52"/>
    <s v="eth1/4"/>
    <x v="0"/>
    <x v="0"/>
    <x v="0"/>
    <s v="CRM, CBS:PR-R11-F08:E4-10GE 2"/>
    <x v="0"/>
    <b v="0"/>
    <s v="No está en VPC"/>
    <n v="745"/>
    <s v="INTPG_VPC_745_1.1_4_746_1.1_4"/>
    <s v="ISEL-1.4"/>
    <n v="13"/>
    <s v="NO TIENE L3OUT"/>
    <n v="0"/>
    <n v="54"/>
  </r>
  <r>
    <n v="730"/>
    <x v="2"/>
    <x v="53"/>
    <s v="eth1/4"/>
    <x v="0"/>
    <x v="0"/>
    <x v="0"/>
    <s v="eth-trunk-2"/>
    <x v="0"/>
    <b v="0"/>
    <s v="No está en VPC"/>
    <n v="730"/>
    <s v="INTPG_VPC_730_1.1_4_731_1.1_4"/>
    <s v="ISEL-1.4"/>
    <n v="11"/>
    <s v="NO TIENE L3OUT"/>
    <n v="36"/>
    <n v="54"/>
  </r>
  <r>
    <n v="722"/>
    <x v="2"/>
    <x v="54"/>
    <s v="eth1/4"/>
    <x v="0"/>
    <x v="0"/>
    <x v="0"/>
    <m/>
    <x v="0"/>
    <b v="0"/>
    <s v="No está en VPC"/>
    <n v="722"/>
    <s v="INTPG-VPC_HDD119_723_1.3_722_1.4"/>
    <s v="ISEL-1.4"/>
    <n v="1"/>
    <s v="NO TIENE L3OUT"/>
    <n v="0"/>
    <n v="54"/>
  </r>
  <r>
    <n v="733"/>
    <x v="2"/>
    <x v="55"/>
    <s v="eth1/4"/>
    <x v="0"/>
    <x v="0"/>
    <x v="0"/>
    <s v="eth-trunk 12 fase 2 bes"/>
    <x v="0"/>
    <b v="0"/>
    <s v="No está en VPC"/>
    <n v="733"/>
    <s v="INTPG_VPC_732_1.1_4_733_1.1_4"/>
    <s v="ISEL-1.4"/>
    <n v="9"/>
    <s v="NO TIENE L3OUT"/>
    <n v="0"/>
    <n v="54"/>
  </r>
  <r>
    <n v="755"/>
    <x v="2"/>
    <x v="56"/>
    <s v="eth1/4"/>
    <x v="0"/>
    <x v="0"/>
    <x v="0"/>
    <s v="OSS F1:ithenmr06bl01nas1r9b:PORT 2"/>
    <x v="0"/>
    <b v="0"/>
    <s v="No está en VPC"/>
    <n v="755"/>
    <s v="INTPG_PC_755_1.3-6"/>
    <s v="ISEL-1.4"/>
    <n v="1"/>
    <s v="NO TIENE L3OUT"/>
    <n v="52"/>
    <n v="54"/>
  </r>
  <r>
    <n v="748"/>
    <x v="2"/>
    <x v="57"/>
    <s v="eth1/4"/>
    <x v="0"/>
    <x v="0"/>
    <x v="0"/>
    <s v="trunk11 Bes-Production"/>
    <x v="0"/>
    <b v="0"/>
    <s v="No está en VPC"/>
    <n v="748"/>
    <s v="INTPG_VPC_748_1.1_4_749_1.1_4"/>
    <s v="ISEL-1.4"/>
    <n v="14"/>
    <s v="NO TIENE L3OUT"/>
    <n v="2"/>
    <n v="54"/>
  </r>
  <r>
    <n v="756"/>
    <x v="2"/>
    <x v="58"/>
    <s v="eth1/4"/>
    <x v="0"/>
    <x v="0"/>
    <x v="0"/>
    <s v="OSS F1:ithenmr08bl01nas1r9a:PCIe3 Slot 1/2"/>
    <x v="0"/>
    <b v="0"/>
    <s v="No está en VPC"/>
    <n v="756"/>
    <s v="INTPG_PC_756_1.1-4"/>
    <s v="ISEL-1.4"/>
    <n v="1"/>
    <s v="NO TIENE L3OUT"/>
    <n v="64"/>
    <n v="54"/>
  </r>
  <r>
    <n v="754"/>
    <x v="2"/>
    <x v="59"/>
    <s v="eth1/4"/>
    <x v="0"/>
    <x v="0"/>
    <x v="0"/>
    <s v="OSS F1:ithenmr04bl03lms1r9b:PCIe3 Slot 1/2"/>
    <x v="0"/>
    <b v="0"/>
    <s v="No está en VPC"/>
    <n v="754"/>
    <s v="INTPG_ACC_754_1.4"/>
    <s v="ISEL-1.4"/>
    <n v="1"/>
    <s v="NO TIENE L3OUT"/>
    <n v="62"/>
    <n v="54"/>
  </r>
  <r>
    <n v="751"/>
    <x v="2"/>
    <x v="60"/>
    <s v="eth1/4"/>
    <x v="0"/>
    <x v="0"/>
    <x v="0"/>
    <s v="trunk15 Bes-Production"/>
    <x v="0"/>
    <b v="0"/>
    <s v="No está en VPC"/>
    <n v="751"/>
    <s v="INTPG_VPC_750_1.1_4_751_1.1_4"/>
    <s v="ISEL-1.4"/>
    <n v="14"/>
    <s v="NO TIENE L3OUT"/>
    <n v="0"/>
    <n v="54"/>
  </r>
  <r>
    <n v="769"/>
    <x v="2"/>
    <x v="61"/>
    <s v="eth1/4"/>
    <x v="0"/>
    <x v="0"/>
    <x v="0"/>
    <s v="Portchannel_6_R4A"/>
    <x v="0"/>
    <b v="0"/>
    <s v="No está en VPC"/>
    <n v="769"/>
    <s v="INTPG_PC_769_1.3-6"/>
    <s v="ISEL-1.4"/>
    <n v="1"/>
    <s v="NO TIENE L3OUT"/>
    <n v="60"/>
    <n v="54"/>
  </r>
  <r>
    <n v="742"/>
    <x v="2"/>
    <x v="62"/>
    <s v="eth1/4"/>
    <x v="0"/>
    <x v="1"/>
    <x v="1"/>
    <s v="CEM:ITHCEMB2DAT02:FLEXIO P1"/>
    <x v="5"/>
    <b v="0"/>
    <s v="No está en VPC"/>
    <n v="742"/>
    <s v="INTPG_ACC_742_1.4"/>
    <s v="ISEL-1.4"/>
    <n v="1"/>
    <s v="NO TIENE L3OUT"/>
    <n v="64"/>
    <n v="54"/>
  </r>
  <r>
    <n v="763"/>
    <x v="2"/>
    <x v="63"/>
    <s v="eth1/4"/>
    <x v="0"/>
    <x v="0"/>
    <x v="0"/>
    <s v="PAAS:ithhwoscopap004:LOM PORT 3"/>
    <x v="0"/>
    <b v="0"/>
    <s v="No está en VPC"/>
    <n v="763"/>
    <s v="INTPG_VPC_762_1.4_763_1.4"/>
    <s v="ISEL-1.4"/>
    <n v="15"/>
    <s v="NO TIENE L3OUT"/>
    <n v="2"/>
    <n v="54"/>
  </r>
  <r>
    <n v="766"/>
    <x v="2"/>
    <x v="64"/>
    <s v="eth1/4"/>
    <x v="0"/>
    <x v="0"/>
    <x v="0"/>
    <s v="Portchannel_1_R6B"/>
    <x v="0"/>
    <b v="0"/>
    <s v="No está en VPC"/>
    <n v="766"/>
    <s v="INTPG_PC_766_1.1-4"/>
    <s v="ISEL-1.4"/>
    <n v="2"/>
    <s v="NO TIENE L3OUT"/>
    <n v="58"/>
    <n v="54"/>
  </r>
  <r>
    <n v="760"/>
    <x v="2"/>
    <x v="65"/>
    <s v="eth1/4"/>
    <x v="0"/>
    <x v="1"/>
    <x v="1"/>
    <m/>
    <x v="0"/>
    <b v="0"/>
    <s v="No está en VPC"/>
    <n v="760"/>
    <s v="INTPG_VPC_760_1.1-4_761_1.1-4"/>
    <s v="ISEL-1.4"/>
    <n v="0"/>
    <s v="L3OUT-EXACLOUD"/>
    <n v="0"/>
    <n v="54"/>
  </r>
  <r>
    <n v="752"/>
    <x v="2"/>
    <x v="66"/>
    <s v="eth1/4"/>
    <x v="0"/>
    <x v="0"/>
    <x v="0"/>
    <s v="PAAS:ithhwoscopap002:Slot4.1"/>
    <x v="0"/>
    <b v="0"/>
    <s v="No está en VPC"/>
    <n v="752"/>
    <s v="INTPG_VPC_747_1.4_752_1.4"/>
    <s v="ISEL-1.4"/>
    <n v="25"/>
    <s v="NO TIENE L3OUT"/>
    <n v="0"/>
    <n v="54"/>
  </r>
  <r>
    <n v="765"/>
    <x v="2"/>
    <x v="67"/>
    <s v="eth1/4"/>
    <x v="0"/>
    <x v="0"/>
    <x v="0"/>
    <s v="Portchannel_6_R6A"/>
    <x v="0"/>
    <b v="0"/>
    <s v="No está en VPC"/>
    <n v="765"/>
    <s v="INTPG_PC_765_1.1-4"/>
    <s v="ISEL-1.4"/>
    <n v="1"/>
    <s v="NO TIENE L3OUT"/>
    <n v="60"/>
    <n v="54"/>
  </r>
  <r>
    <n v="778"/>
    <x v="2"/>
    <x v="68"/>
    <s v="eth1/4"/>
    <x v="0"/>
    <x v="0"/>
    <x v="0"/>
    <s v="ENIQ F1:itheniqr07nas1r2:LOM PORT 2"/>
    <x v="0"/>
    <b v="0"/>
    <s v="No está en VPC"/>
    <n v="778"/>
    <s v="INTPG_PC_778_1.3-6"/>
    <s v="ISEL-1.4"/>
    <n v="1"/>
    <s v="NO TIENE L3OUT"/>
    <n v="26"/>
    <n v="54"/>
  </r>
  <r>
    <n v="780"/>
    <x v="2"/>
    <x v="69"/>
    <s v="eth1/4"/>
    <x v="0"/>
    <x v="0"/>
    <x v="0"/>
    <s v="LACP_NAS1_ENIQ1"/>
    <x v="0"/>
    <b v="0"/>
    <s v="No está en VPC"/>
    <n v="780"/>
    <s v="INTPG_PC_780_1.3-6"/>
    <s v="ISEL-1.4"/>
    <n v="1"/>
    <s v="NO TIENE L3OUT"/>
    <n v="26"/>
    <n v="54"/>
  </r>
  <r>
    <n v="812"/>
    <x v="2"/>
    <x v="70"/>
    <s v="eth1/4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4"/>
    <x v="0"/>
    <x v="0"/>
    <x v="0"/>
    <s v="TO_ITHFHWDCIMLAP02_REDUNDANTE"/>
    <x v="0"/>
    <b v="0"/>
    <s v="No está en VPC"/>
    <n v="796"/>
    <s v="INTPG_ACC_796_1.4"/>
    <s v="ISEL-1.4"/>
    <n v="1"/>
    <s v="NO TIENE L3OUT"/>
    <n v="18"/>
    <n v="54"/>
  </r>
  <r>
    <n v="795"/>
    <x v="2"/>
    <x v="72"/>
    <s v="eth1/4"/>
    <x v="0"/>
    <x v="0"/>
    <x v="0"/>
    <s v="TO_ITHFHWDCIMLAP02_OCP2.1"/>
    <x v="0"/>
    <b v="0"/>
    <s v="No está en VPC"/>
    <n v="795"/>
    <s v="INTPG_ACC_795_1.4"/>
    <s v="ISEL-1.4"/>
    <n v="1"/>
    <s v="NO TIENE L3OUT"/>
    <n v="18"/>
    <n v="54"/>
  </r>
  <r>
    <n v="749"/>
    <x v="2"/>
    <x v="73"/>
    <s v="eth1/4"/>
    <x v="0"/>
    <x v="0"/>
    <x v="0"/>
    <s v="trunk11 Bes-Production"/>
    <x v="0"/>
    <b v="0"/>
    <s v="No está en VPC"/>
    <n v="749"/>
    <s v="INTPG_VPC_748_1.1_4_749_1.1_4"/>
    <s v="ISEL-1.4"/>
    <n v="14"/>
    <s v="NO TIENE L3OUT"/>
    <n v="4"/>
    <n v="54"/>
  </r>
  <r>
    <n v="824"/>
    <x v="2"/>
    <x v="74"/>
    <s v="eth1/4"/>
    <x v="0"/>
    <x v="0"/>
    <x v="0"/>
    <s v="LINK_TO_ITHHWD6K60012DKC01 /CtrlA_IOM0.P1 /Redundante"/>
    <x v="0"/>
    <b v="0"/>
    <s v="No está en VPC"/>
    <n v="824"/>
    <s v="INTPG_ACC_824_1.4"/>
    <s v="ISEL-1.4"/>
    <n v="1"/>
    <s v="NO TIENE L3OUT"/>
    <n v="70"/>
    <n v="54"/>
  </r>
  <r>
    <n v="819"/>
    <x v="2"/>
    <x v="75"/>
    <s v="eth1/4"/>
    <x v="0"/>
    <x v="0"/>
    <x v="0"/>
    <s v="LINK_TO_ITHHWD6K60012DKC01 /CtrlA_IOM0.P0 /Principal"/>
    <x v="0"/>
    <b v="0"/>
    <s v="No está en VPC"/>
    <n v="819"/>
    <s v="INTPG_ACC_819_1.4"/>
    <s v="ISEL-1.4"/>
    <n v="1"/>
    <s v="NO TIENE L3OUT"/>
    <n v="70"/>
    <n v="54"/>
  </r>
  <r>
    <n v="737"/>
    <x v="2"/>
    <x v="76"/>
    <s v="eth1/4"/>
    <x v="0"/>
    <x v="0"/>
    <x v="0"/>
    <s v="CEM:ITHCEME2DAT02:FLEXIO P1"/>
    <x v="5"/>
    <b v="0"/>
    <s v="No está en VPC"/>
    <n v="737"/>
    <s v="INTPG_ACC_737_1.4"/>
    <s v="ISEL-1.4"/>
    <n v="1"/>
    <s v="NO TIENE L3OUT"/>
    <n v="72"/>
    <n v="54"/>
  </r>
  <r>
    <n v="844"/>
    <x v="2"/>
    <x v="77"/>
    <s v="eth1/4"/>
    <x v="0"/>
    <x v="0"/>
    <x v="0"/>
    <s v="LINK_TO_ITHFHWCRMPLCN102 / Slot1.1_8 / Principal"/>
    <x v="0"/>
    <b v="0"/>
    <s v="No está en VPC"/>
    <n v="844"/>
    <s v="INTPG_ACC_844_1.4"/>
    <s v="ISEL-1.4"/>
    <n v="6"/>
    <s v="NO TIENE L3OUT"/>
    <n v="282"/>
    <n v="54"/>
  </r>
  <r>
    <n v="843"/>
    <x v="2"/>
    <x v="78"/>
    <s v="eth1/4"/>
    <x v="0"/>
    <x v="0"/>
    <x v="0"/>
    <s v="LINK_To_ITHFHWCBSPSHDCTL04 / Slot7.2_12 / Redundante"/>
    <x v="0"/>
    <b v="0"/>
    <s v="No está en VPC"/>
    <n v="843"/>
    <s v="INTPG_VPC_838_1.4_843_1.4"/>
    <s v="ISEL-1.4"/>
    <n v="1"/>
    <s v="NO TIENE L3OUT"/>
    <n v="38"/>
    <n v="54"/>
  </r>
  <r>
    <n v="797"/>
    <x v="2"/>
    <x v="79"/>
    <s v="eth1/4"/>
    <x v="0"/>
    <x v="0"/>
    <x v="0"/>
    <s v="TO-HDPS_06-MSP"/>
    <x v="0"/>
    <b v="0"/>
    <s v="No está en VPC"/>
    <n v="797"/>
    <s v="INTPG_ACC_797_1.4"/>
    <s v="ISEL-1.4"/>
    <n v="1"/>
    <s v="NO TIENE L3OUT"/>
    <n v="48"/>
    <n v="54"/>
  </r>
  <r>
    <n v="839"/>
    <x v="2"/>
    <x v="80"/>
    <s v="eth1/4"/>
    <x v="0"/>
    <x v="0"/>
    <x v="0"/>
    <s v="LINK_TO_ITHFHWCBSPSHD44 / Slot7.1_6 / Redundante"/>
    <x v="0"/>
    <b v="0"/>
    <s v="No está en VPC"/>
    <n v="839"/>
    <s v="INTPG_VPC_834_1.4_839_1.4"/>
    <s v="ISEL-1.4"/>
    <n v="2"/>
    <s v="NO TIENE L3OUT"/>
    <n v="0"/>
    <n v="54"/>
  </r>
  <r>
    <n v="847"/>
    <x v="2"/>
    <x v="81"/>
    <s v="eth1/4"/>
    <x v="0"/>
    <x v="0"/>
    <x v="0"/>
    <s v="LINK_TO_ITHFHWCRMPSBDA06 / Slot1.1_6 / Principal"/>
    <x v="0"/>
    <b v="0"/>
    <s v="No está en VPC"/>
    <n v="847"/>
    <s v="INTPG_VPC_847_1.4_854_1.4"/>
    <s v="ISEL-1.4"/>
    <n v="6"/>
    <s v="NO TIENE L3OUT"/>
    <n v="204"/>
    <n v="54"/>
  </r>
  <r>
    <n v="848"/>
    <x v="2"/>
    <x v="82"/>
    <s v="eth1/4"/>
    <x v="0"/>
    <x v="0"/>
    <x v="0"/>
    <s v="LINK_TO_ITHFHWCRMPLCN155 / Slot7.3_12 / Redundante"/>
    <x v="0"/>
    <b v="0"/>
    <s v="No está en VPC"/>
    <n v="848"/>
    <s v="INTPG_ACC_848_1.4"/>
    <s v="ISEL-1.4"/>
    <n v="1"/>
    <s v="NO TIENE L3OUT"/>
    <n v="254"/>
    <n v="54"/>
  </r>
  <r>
    <n v="846"/>
    <x v="2"/>
    <x v="83"/>
    <s v="eth1/4"/>
    <x v="0"/>
    <x v="0"/>
    <x v="0"/>
    <s v="VPC_2DCRMP_BDP06_2"/>
    <x v="0"/>
    <b v="0"/>
    <s v="No está en VPC"/>
    <n v="846"/>
    <s v="INTPG_VPC_846_1.4_853_1.4"/>
    <s v="ISEL-1.4"/>
    <n v="2"/>
    <s v="NO TIENE L3OUT"/>
    <n v="242"/>
    <n v="54"/>
  </r>
  <r>
    <n v="838"/>
    <x v="2"/>
    <x v="84"/>
    <s v="eth1/4"/>
    <x v="0"/>
    <x v="0"/>
    <x v="0"/>
    <s v="LINK_To_ITHFHWCBSPSHDCTL04 / Slot1.2_12 / Principal"/>
    <x v="0"/>
    <b v="0"/>
    <s v="No está en VPC"/>
    <n v="838"/>
    <s v="INTPG_VPC_838_1.4_843_1.4"/>
    <s v="ISEL-1.4"/>
    <n v="1"/>
    <s v="NO TIENE L3OUT"/>
    <n v="38"/>
    <n v="54"/>
  </r>
  <r>
    <n v="849"/>
    <x v="2"/>
    <x v="85"/>
    <s v="eth1/4"/>
    <x v="0"/>
    <x v="0"/>
    <x v="0"/>
    <s v="LINK_TO_ITHFHWCRMPLCN135 / Slot7.3_4 / Redundante"/>
    <x v="0"/>
    <b v="0"/>
    <s v="No está en VPC"/>
    <n v="849"/>
    <s v="INTPG_ACC_849_1.4"/>
    <s v="ISEL-1.4"/>
    <n v="1"/>
    <s v="NO TIENE L3OUT"/>
    <n v="286"/>
    <n v="54"/>
  </r>
  <r>
    <n v="845"/>
    <x v="2"/>
    <x v="86"/>
    <s v="eth1/4"/>
    <x v="0"/>
    <x v="0"/>
    <x v="0"/>
    <s v="LINK_TO_ITHFHWCRMPLCN117 / Slot1.2_38 / Principal"/>
    <x v="0"/>
    <b v="0"/>
    <s v="No está en VPC"/>
    <n v="845"/>
    <s v="INTPG_ACC_845_1.4"/>
    <s v="ISEL-1.4"/>
    <n v="2"/>
    <s v="NO TIENE L3OUT"/>
    <n v="258"/>
    <n v="54"/>
  </r>
  <r>
    <n v="873"/>
    <x v="2"/>
    <x v="87"/>
    <s v="eth1/4"/>
    <x v="0"/>
    <x v="0"/>
    <x v="0"/>
    <s v="TO_ITHFHWCRMDLCN54_Principal"/>
    <x v="0"/>
    <b v="0"/>
    <s v="No está en VPC"/>
    <n v="873"/>
    <s v="INTPG_ACC_873_1.4"/>
    <s v="ISEL-1.4"/>
    <n v="2"/>
    <s v="NO TIENE L3OUT"/>
    <n v="248"/>
    <n v="54"/>
  </r>
  <r>
    <n v="864"/>
    <x v="2"/>
    <x v="88"/>
    <s v="eth1/4"/>
    <x v="0"/>
    <x v="0"/>
    <x v="0"/>
    <s v="To_VPC_2DCBSD_HD32_1"/>
    <x v="0"/>
    <b v="0"/>
    <s v="No está en VPC"/>
    <n v="864"/>
    <s v="INTPG_VPC_859_1.4_864_1.4"/>
    <s v="ISEL-1.4"/>
    <n v="2"/>
    <s v="NO TIENE L3OUT"/>
    <n v="0"/>
    <n v="54"/>
  </r>
  <r>
    <n v="836"/>
    <x v="2"/>
    <x v="89"/>
    <s v="eth1/4"/>
    <x v="0"/>
    <x v="0"/>
    <x v="0"/>
    <s v="LINK_TO_ITHFHWCBSPSUSBD33 / Slot1.3_6 / Principal"/>
    <x v="0"/>
    <b v="0"/>
    <s v="No está en VPC"/>
    <n v="836"/>
    <s v="INTPG_VPC_836_1.4_841_1.4"/>
    <s v="ISEL-1.4"/>
    <n v="1"/>
    <s v="NO TIENE L3OUT"/>
    <n v="0"/>
    <n v="54"/>
  </r>
  <r>
    <n v="834"/>
    <x v="2"/>
    <x v="90"/>
    <s v="eth1/4"/>
    <x v="0"/>
    <x v="0"/>
    <x v="0"/>
    <s v="LINK_TO_ITHFHWCBSPSHD44 / Slot1.1_6 / Principal"/>
    <x v="0"/>
    <b v="0"/>
    <s v="No está en VPC"/>
    <n v="834"/>
    <s v="INTPG_VPC_834_1.4_839_1.4"/>
    <s v="ISEL-1.4"/>
    <n v="2"/>
    <s v="NO TIENE L3OUT"/>
    <n v="0"/>
    <n v="54"/>
  </r>
  <r>
    <n v="872"/>
    <x v="2"/>
    <x v="91"/>
    <s v="eth1/4"/>
    <x v="0"/>
    <x v="0"/>
    <x v="0"/>
    <s v="To_ITHFHWCRMDLCN70_Principal"/>
    <x v="0"/>
    <b v="0"/>
    <s v="No está en VPC"/>
    <n v="872"/>
    <s v="INTPG_ACC_872_1.4"/>
    <s v="ISEL-1.4"/>
    <n v="2"/>
    <s v="NO TIENE L3OUT"/>
    <n v="288"/>
    <n v="54"/>
  </r>
  <r>
    <n v="842"/>
    <x v="2"/>
    <x v="92"/>
    <s v="eth1/4"/>
    <x v="0"/>
    <x v="0"/>
    <x v="0"/>
    <s v="LINK_TO_ITHFHWCBSPSHDCTL05 / Slot7.3_12 / Redundante"/>
    <x v="0"/>
    <b v="0"/>
    <s v="No está en VPC"/>
    <n v="842"/>
    <s v="INTPG_VPC_837_1.4_842_1.4"/>
    <s v="ISEL-1.4"/>
    <n v="1"/>
    <s v="NO TIENE L3OUT"/>
    <n v="8"/>
    <n v="54"/>
  </r>
  <r>
    <n v="828"/>
    <x v="2"/>
    <x v="93"/>
    <s v="eth1/4"/>
    <x v="0"/>
    <x v="0"/>
    <x v="0"/>
    <s v="LINK_TO_ITHFHWCBSDSWR33 /Slot5.2 /Principal"/>
    <x v="0"/>
    <b v="0"/>
    <s v="No está en VPC"/>
    <n v="828"/>
    <s v="INTPG_VPC_828_1.4_832_1.4"/>
    <s v="ISEL-1.4"/>
    <n v="2"/>
    <s v="NO TIENE L3OUT"/>
    <n v="192"/>
    <n v="54"/>
  </r>
  <r>
    <n v="870"/>
    <x v="2"/>
    <x v="94"/>
    <s v="eth1/4"/>
    <x v="0"/>
    <x v="0"/>
    <x v="0"/>
    <s v="TO_ITHFHWCRMDLCN54_Redundante"/>
    <x v="0"/>
    <b v="0"/>
    <s v="No está en VPC"/>
    <n v="870"/>
    <s v="INTPG_ACC_870_1.4"/>
    <s v="ISEL-1.4"/>
    <n v="2"/>
    <s v="NO TIENE L3OUT"/>
    <n v="248"/>
    <n v="54"/>
  </r>
  <r>
    <n v="866"/>
    <x v="2"/>
    <x v="95"/>
    <s v="eth1/4"/>
    <x v="0"/>
    <x v="0"/>
    <x v="0"/>
    <s v="To_ITHHWD6KV65100016DKC01_Redundante"/>
    <x v="0"/>
    <b v="0"/>
    <s v="No está en VPC"/>
    <n v="866"/>
    <s v="INTPG_ACC_866_1.4"/>
    <s v="ISEL-1.4"/>
    <n v="1"/>
    <s v="NO TIENE L3OUT"/>
    <n v="8"/>
    <n v="54"/>
  </r>
  <r>
    <n v="862"/>
    <x v="2"/>
    <x v="96"/>
    <s v="eth1/4"/>
    <x v="0"/>
    <x v="0"/>
    <x v="0"/>
    <s v="To_VPC_2DCBSD_WR38_3"/>
    <x v="0"/>
    <b v="0"/>
    <s v="No está en VPC"/>
    <n v="862"/>
    <s v="INTPG_VPC_862_1.4_867_1.4"/>
    <s v="ISEL-1.4"/>
    <n v="1"/>
    <s v="NO TIENE L3OUT"/>
    <n v="44"/>
    <n v="54"/>
  </r>
  <r>
    <n v="855"/>
    <x v="2"/>
    <x v="97"/>
    <s v="eth1/4"/>
    <x v="0"/>
    <x v="0"/>
    <x v="0"/>
    <s v="LINK_TO_ITHFHWCRMPLCN155 / Slot1.3_12 / Principal"/>
    <x v="0"/>
    <b v="0"/>
    <s v="No está en VPC"/>
    <n v="855"/>
    <s v="INTPG_ACC_855_1.4"/>
    <s v="ISEL-1.4"/>
    <n v="1"/>
    <s v="NO TIENE L3OUT"/>
    <n v="254"/>
    <n v="54"/>
  </r>
  <r>
    <n v="871"/>
    <x v="2"/>
    <x v="98"/>
    <s v="eth1/4"/>
    <x v="0"/>
    <x v="0"/>
    <x v="0"/>
    <s v="TO_ITHFHWCRMDLCN82_Principal"/>
    <x v="0"/>
    <b v="0"/>
    <s v="No está en VPC"/>
    <n v="871"/>
    <s v="INTPG_ACC_871_1.4"/>
    <s v="ISEL-1.4"/>
    <n v="6"/>
    <s v="NO TIENE L3OUT"/>
    <n v="246"/>
    <n v="54"/>
  </r>
  <r>
    <n v="841"/>
    <x v="2"/>
    <x v="99"/>
    <s v="eth1/4"/>
    <x v="0"/>
    <x v="0"/>
    <x v="0"/>
    <s v="LINK_TO_ITHFHWCBSPSUSBD33 / Slot7.3_6 / Redundante"/>
    <x v="0"/>
    <b v="0"/>
    <s v="No está en VPC"/>
    <n v="841"/>
    <s v="INTPG_VPC_836_1.4_841_1.4"/>
    <s v="ISEL-1.4"/>
    <n v="1"/>
    <s v="NO TIENE L3OUT"/>
    <n v="0"/>
    <n v="54"/>
  </r>
  <r>
    <n v="868"/>
    <x v="2"/>
    <x v="100"/>
    <s v="eth1/4"/>
    <x v="0"/>
    <x v="0"/>
    <x v="0"/>
    <s v="TO_ITHFHWCRMDLCN82_Redundante"/>
    <x v="0"/>
    <b v="0"/>
    <s v="No está en VPC"/>
    <n v="868"/>
    <s v="INTPG_ACC_868_1.4"/>
    <s v="ISEL-1.4"/>
    <n v="6"/>
    <s v="NO TIENE L3OUT"/>
    <n v="246"/>
    <n v="54"/>
  </r>
  <r>
    <n v="869"/>
    <x v="2"/>
    <x v="101"/>
    <s v="eth1/4"/>
    <x v="0"/>
    <x v="0"/>
    <x v="0"/>
    <s v="To_ITHFHWCRMDLCN70_Redundante"/>
    <x v="0"/>
    <b v="0"/>
    <s v="No está en VPC"/>
    <n v="869"/>
    <s v="INTPG_ACC_869_1.4"/>
    <s v="ISEL-1.4"/>
    <n v="2"/>
    <s v="NO TIENE L3OUT"/>
    <n v="288"/>
    <n v="54"/>
  </r>
  <r>
    <n v="861"/>
    <x v="2"/>
    <x v="102"/>
    <s v="eth1/4"/>
    <x v="0"/>
    <x v="0"/>
    <x v="0"/>
    <s v="To_ITHHWD6KV65100016DKC01_Principal"/>
    <x v="0"/>
    <b v="0"/>
    <s v="No está en VPC"/>
    <n v="861"/>
    <s v="INTPG_ACC_861_1.4"/>
    <s v="ISEL-1.4"/>
    <n v="1"/>
    <s v="NO TIENE L3OUT"/>
    <n v="8"/>
    <n v="54"/>
  </r>
  <r>
    <n v="874"/>
    <x v="2"/>
    <x v="103"/>
    <s v="eth1/4"/>
    <x v="0"/>
    <x v="0"/>
    <x v="0"/>
    <s v="LINK_TO_ITHFHWSEQLHDPS73 / Slot 5 PTO 1 / Redundante"/>
    <x v="4"/>
    <b v="0"/>
    <s v="No está en VPC"/>
    <n v="874"/>
    <s v="INTPG_ACC_874_1.4"/>
    <s v="ISEL-1.4"/>
    <n v="1"/>
    <s v="NO TIENE L3OUT"/>
    <n v="92"/>
    <n v="54"/>
  </r>
  <r>
    <n v="865"/>
    <x v="2"/>
    <x v="104"/>
    <s v="eth1/4"/>
    <x v="0"/>
    <x v="0"/>
    <x v="0"/>
    <s v="To_VPC_2DCBSD_WR53_1"/>
    <x v="0"/>
    <b v="0"/>
    <s v="No está en VPC"/>
    <n v="865"/>
    <s v="INTPG_VPC_860_1.4_865_1.4"/>
    <s v="ISEL-1.4"/>
    <n v="2"/>
    <s v="NO TIENE L3OUT"/>
    <n v="0"/>
    <n v="54"/>
  </r>
  <r>
    <n v="753"/>
    <x v="2"/>
    <x v="105"/>
    <s v="eth1/4"/>
    <x v="0"/>
    <x v="0"/>
    <x v="0"/>
    <s v="OSS F1:ithenmr03bl01nas1r9c:PCIe3 Slot 1/2"/>
    <x v="0"/>
    <b v="0"/>
    <s v="No está en VPC"/>
    <n v="753"/>
    <s v="INTPG_PC_753_1.1-4"/>
    <s v="ISEL-1.4"/>
    <n v="1"/>
    <s v="NO TIENE L3OUT"/>
    <n v="62"/>
    <n v="54"/>
  </r>
  <r>
    <n v="708"/>
    <x v="2"/>
    <x v="106"/>
    <s v="eth1/4"/>
    <x v="0"/>
    <x v="1"/>
    <x v="5"/>
    <s v="CEM:ITHCEME2DAT02:LOM  P2"/>
    <x v="0"/>
    <b v="0"/>
    <s v="No está en VPC"/>
    <n v="708"/>
    <s v="INTPG_VPC_708_1.4_709_1.3"/>
    <s v="ISEL-1.4"/>
    <n v="1"/>
    <s v="NO TIENE L3OUT"/>
    <n v="0"/>
    <n v="54"/>
  </r>
  <r>
    <n v="710"/>
    <x v="2"/>
    <x v="107"/>
    <s v="eth1/4"/>
    <x v="0"/>
    <x v="0"/>
    <x v="0"/>
    <s v="CEM:ITHCEMC2DAT02:LOM  P2"/>
    <x v="0"/>
    <b v="0"/>
    <s v="No está en VPC"/>
    <n v="710"/>
    <s v="INTPG_ACC_710_1.4"/>
    <s v="ISEL-1.4"/>
    <n v="1"/>
    <s v="NO TIENE L3OUT"/>
    <n v="16"/>
    <n v="54"/>
  </r>
  <r>
    <n v="713"/>
    <x v="2"/>
    <x v="108"/>
    <s v="eth1/4"/>
    <x v="0"/>
    <x v="0"/>
    <x v="0"/>
    <s v="CEM:ITHCEMB2DAT02:LOM  P2"/>
    <x v="0"/>
    <b v="0"/>
    <s v="No está en VPC"/>
    <n v="713"/>
    <s v="INTPG_ACC_713_1.4"/>
    <s v="ISEL-1.4"/>
    <n v="1"/>
    <s v="NO TIENE L3OUT"/>
    <n v="32"/>
    <n v="54"/>
  </r>
  <r>
    <n v="735"/>
    <x v="2"/>
    <x v="109"/>
    <s v="eth1/4"/>
    <x v="0"/>
    <x v="1"/>
    <x v="1"/>
    <s v="CEM_HADOOP"/>
    <x v="5"/>
    <b v="0"/>
    <s v="No está en VPC"/>
    <n v="735"/>
    <s v="INTPG_ACC_735_1.4"/>
    <s v="ISEL-1.4"/>
    <n v="1"/>
    <s v="NO TIENE L3OUT"/>
    <n v="34"/>
    <n v="54"/>
  </r>
  <r>
    <n v="731"/>
    <x v="2"/>
    <x v="110"/>
    <s v="eth1/4"/>
    <x v="0"/>
    <x v="0"/>
    <x v="0"/>
    <s v="eth-trunk-2"/>
    <x v="0"/>
    <b v="0"/>
    <s v="No está en VPC"/>
    <n v="731"/>
    <s v="INTPG_VPC_730_1.1_4_731_1.1_4"/>
    <s v="ISEL-1.4"/>
    <n v="11"/>
    <s v="NO TIENE L3OUT"/>
    <n v="38"/>
    <n v="54"/>
  </r>
  <r>
    <n v="703"/>
    <x v="2"/>
    <x v="111"/>
    <s v="eth1/4"/>
    <x v="0"/>
    <x v="0"/>
    <x v="0"/>
    <m/>
    <x v="0"/>
    <b v="0"/>
    <s v="No está en VPC"/>
    <n v="703"/>
    <s v="INTPG_VPC_704_1.3_703_1.4"/>
    <s v="ISEL-1.4"/>
    <n v="1"/>
    <s v="NO TIENE L3OUT"/>
    <n v="2"/>
    <n v="54"/>
  </r>
  <r>
    <n v="706"/>
    <x v="2"/>
    <x v="112"/>
    <s v="eth1/4"/>
    <x v="0"/>
    <x v="0"/>
    <x v="0"/>
    <m/>
    <x v="0"/>
    <b v="0"/>
    <s v="No está en VPC"/>
    <n v="706"/>
    <s v="INTPG_VPC_705_1.3_706_1.4"/>
    <s v="ISEL-1.4"/>
    <n v="2"/>
    <s v="NO TIENE L3OUT"/>
    <n v="16"/>
    <n v="54"/>
  </r>
  <r>
    <n v="762"/>
    <x v="2"/>
    <x v="113"/>
    <s v="eth1/4"/>
    <x v="0"/>
    <x v="0"/>
    <x v="0"/>
    <s v="PAAS:ithhwoscopap004:FlexIO.1"/>
    <x v="0"/>
    <b v="0"/>
    <s v="No está en VPC"/>
    <n v="762"/>
    <s v="INTPG_VPC_762_1.4_763_1.4"/>
    <s v="ISEL-1.4"/>
    <n v="15"/>
    <s v="NO TIENE L3OUT"/>
    <n v="0"/>
    <n v="54"/>
  </r>
  <r>
    <n v="814"/>
    <x v="2"/>
    <x v="114"/>
    <s v="eth1/4"/>
    <x v="0"/>
    <x v="0"/>
    <x v="0"/>
    <s v="A_ITHHPGRLKEN05_Principal"/>
    <x v="2"/>
    <b v="0"/>
    <s v="No está en VPC"/>
    <n v="814"/>
    <s v="INTPG_VPC_814_1.4_815_1.4"/>
    <s v="ISEL-1.4"/>
    <n v="98"/>
    <s v="NO TIENE L3OUT"/>
    <n v="0"/>
    <n v="42"/>
  </r>
  <r>
    <n v="878"/>
    <x v="2"/>
    <x v="115"/>
    <s v="eth1/4"/>
    <x v="0"/>
    <x v="0"/>
    <x v="0"/>
    <s v="HACIA_CSI-A-OSCP-F4-12_PRINCIPAL"/>
    <x v="4"/>
    <b v="0"/>
    <s v="No está en VPC"/>
    <n v="878"/>
    <s v="INTPG_VPC_878_1.4_879_1.4"/>
    <s v="ISEL-1.4"/>
    <n v="2"/>
    <s v="NO TIENE L3OUT"/>
    <n v="0"/>
    <n v="54"/>
  </r>
  <r>
    <n v="826"/>
    <x v="2"/>
    <x v="116"/>
    <s v="eth1/4"/>
    <x v="0"/>
    <x v="0"/>
    <x v="0"/>
    <s v="LINK_TO_ITHFHWCBSDSUSBD05 /Slot5.2 /Principal"/>
    <x v="0"/>
    <b v="0"/>
    <s v="No está en VPC"/>
    <n v="826"/>
    <s v="INTPG_VPC_826_1.4_830_1.4"/>
    <s v="ISEL-1.4"/>
    <n v="2"/>
    <s v="NO TIENE L3OUT"/>
    <n v="12"/>
    <n v="54"/>
  </r>
  <r>
    <n v="726"/>
    <x v="2"/>
    <x v="117"/>
    <s v="eth1/4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4"/>
    <x v="0"/>
    <x v="0"/>
    <x v="0"/>
    <s v="CEM:ITHCEMD2DAT02:FLEXIO P1"/>
    <x v="5"/>
    <b v="0"/>
    <s v="No está en VPC"/>
    <n v="740"/>
    <s v="INTPG_ACC_740_1.4"/>
    <s v="ISEL-1.4"/>
    <n v="1"/>
    <s v="NO TIENE L3OUT"/>
    <n v="72"/>
    <n v="54"/>
  </r>
  <r>
    <n v="705"/>
    <x v="2"/>
    <x v="119"/>
    <s v="eth1/4"/>
    <x v="0"/>
    <x v="0"/>
    <x v="0"/>
    <s v="ITHCEMA1DAT02-LOM-P2"/>
    <x v="0"/>
    <b v="0"/>
    <s v="No está en VPC"/>
    <n v="705"/>
    <s v="INTPG_ACC_705_1.4"/>
    <s v="ISEL-1.4"/>
    <n v="1"/>
    <s v="NO TIENE L3OUT"/>
    <n v="16"/>
    <n v="54"/>
  </r>
  <r>
    <n v="723"/>
    <x v="2"/>
    <x v="120"/>
    <s v="eth1/4"/>
    <x v="0"/>
    <x v="0"/>
    <x v="0"/>
    <m/>
    <x v="0"/>
    <b v="0"/>
    <s v="No está en VPC"/>
    <n v="723"/>
    <s v="INTPG-VPC_HDD132_722_1.3_723_1.4"/>
    <s v="ISEL-1.4"/>
    <n v="1"/>
    <s v="NO TIENE L3OUT"/>
    <n v="0"/>
    <n v="54"/>
  </r>
  <r>
    <n v="721"/>
    <x v="2"/>
    <x v="121"/>
    <s v="eth1/4"/>
    <x v="0"/>
    <x v="0"/>
    <x v="0"/>
    <m/>
    <x v="0"/>
    <b v="0"/>
    <s v="No está en VPC"/>
    <n v="721"/>
    <s v="INTPG-VPC_HDD59_714_1.3_721_1.4"/>
    <s v="ISEL-1.4"/>
    <n v="2"/>
    <s v="NO TIENE L3OUT"/>
    <n v="20"/>
    <n v="54"/>
  </r>
  <r>
    <n v="788"/>
    <x v="2"/>
    <x v="122"/>
    <s v="eth1/4"/>
    <x v="0"/>
    <x v="0"/>
    <x v="0"/>
    <s v="TO-ITHFHPMEDIRAP01"/>
    <x v="0"/>
    <b v="0"/>
    <s v="No está en VPC"/>
    <n v="788"/>
    <s v="INTPG_VPC_788_1.3-4_789_1.3-4"/>
    <s v="ISEL-1.4"/>
    <n v="2"/>
    <s v="NO TIENE L3OUT"/>
    <n v="4"/>
    <n v="54"/>
  </r>
  <r>
    <n v="732"/>
    <x v="2"/>
    <x v="123"/>
    <s v="eth1/4"/>
    <x v="0"/>
    <x v="0"/>
    <x v="0"/>
    <s v="eth-trunk 12 fase 2 bes"/>
    <x v="0"/>
    <b v="0"/>
    <s v="No está en VPC"/>
    <n v="732"/>
    <s v="INTPG_VPC_732_1.1_4_733_1.1_4"/>
    <s v="ISEL-1.4"/>
    <n v="9"/>
    <s v="NO TIENE L3OUT"/>
    <n v="0"/>
    <n v="54"/>
  </r>
  <r>
    <n v="720"/>
    <x v="2"/>
    <x v="124"/>
    <s v="eth1/4"/>
    <x v="0"/>
    <x v="0"/>
    <x v="0"/>
    <m/>
    <x v="0"/>
    <b v="0"/>
    <s v="No está en VPC"/>
    <n v="720"/>
    <s v="INTPG-VPC_HDD06_719_1.3_720_1.4"/>
    <s v="ISEL-1.4"/>
    <n v="1"/>
    <s v="NO TIENE L3OUT"/>
    <n v="0"/>
    <n v="54"/>
  </r>
  <r>
    <n v="709"/>
    <x v="2"/>
    <x v="125"/>
    <s v="eth1/4"/>
    <x v="0"/>
    <x v="1"/>
    <x v="5"/>
    <s v="CEM:ITHCEMF2DAT02:LOM  P2"/>
    <x v="0"/>
    <b v="0"/>
    <s v="No está en VPC"/>
    <n v="709"/>
    <s v="INTPG_VPC_708_1.3_709_1.4"/>
    <s v="ISEL-1.4"/>
    <n v="1"/>
    <s v="NO TIENE L3OUT"/>
    <n v="0"/>
    <n v="54"/>
  </r>
  <r>
    <n v="454"/>
    <x v="1"/>
    <x v="126"/>
    <s v="eth1/4"/>
    <x v="0"/>
    <x v="0"/>
    <x v="0"/>
    <s v="HACIA_CSI-A-OSCP-F4-08_PRINCIPAL"/>
    <x v="4"/>
    <b v="0"/>
    <s v="No está en VPC"/>
    <n v="454"/>
    <s v="INTPG_VPC_454_1.4_456_1.4"/>
    <s v="ISEL-1.4"/>
    <n v="2"/>
    <s v="NO TIENE L3OUT"/>
    <n v="4"/>
    <n v="54"/>
  </r>
  <r>
    <n v="734"/>
    <x v="2"/>
    <x v="127"/>
    <s v="eth1/4"/>
    <x v="0"/>
    <x v="1"/>
    <x v="1"/>
    <s v="CEM:ITHCEMA1DAT02:FLEXIO P1"/>
    <x v="5"/>
    <b v="0"/>
    <s v="No está en VPC"/>
    <n v="734"/>
    <s v="INTPG_ACC_734_1.4"/>
    <s v="ISEL-1.4"/>
    <n v="1"/>
    <s v="NO TIENE L3OUT"/>
    <n v="32"/>
    <n v="54"/>
  </r>
  <r>
    <n v="815"/>
    <x v="2"/>
    <x v="128"/>
    <s v="eth1/4"/>
    <x v="0"/>
    <x v="0"/>
    <x v="0"/>
    <s v="A_ITHHPGRLKEN05_Redundante"/>
    <x v="2"/>
    <b v="0"/>
    <s v="No está en VPC"/>
    <n v="815"/>
    <s v="INTPG_VPC_814_1.4_815_1.4"/>
    <s v="ISEL-1.4"/>
    <n v="98"/>
    <s v="NO TIENE L3OUT"/>
    <n v="0"/>
    <n v="42"/>
  </r>
  <r>
    <n v="743"/>
    <x v="2"/>
    <x v="129"/>
    <s v="eth1/4"/>
    <x v="0"/>
    <x v="0"/>
    <x v="0"/>
    <s v="trunk19 Bes-Production"/>
    <x v="0"/>
    <b v="0"/>
    <s v="No está en VPC"/>
    <n v="743"/>
    <s v="INTPG_VPC_743_1.1_4_744_1.1_4"/>
    <s v="ISEL-1.4"/>
    <n v="13"/>
    <s v="NO TIENE L3OUT"/>
    <n v="4"/>
    <n v="54"/>
  </r>
  <r>
    <n v="718"/>
    <x v="2"/>
    <x v="130"/>
    <s v="eth1/4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4"/>
    <x v="0"/>
    <x v="0"/>
    <x v="0"/>
    <s v="trunk19 Bes-Production"/>
    <x v="0"/>
    <b v="0"/>
    <s v="No está en VPC"/>
    <n v="744"/>
    <s v="INTPG_VPC_743_1.1_4_744_1.1_4"/>
    <s v="ISEL-1.4"/>
    <n v="13"/>
    <s v="NO TIENE L3OUT"/>
    <n v="4"/>
    <n v="54"/>
  </r>
  <r>
    <n v="741"/>
    <x v="2"/>
    <x v="132"/>
    <s v="eth1/4"/>
    <x v="0"/>
    <x v="1"/>
    <x v="1"/>
    <s v="CEM:ITHCEMA2DAT02:FLEXIO P1"/>
    <x v="5"/>
    <b v="0"/>
    <s v="No está en VPC"/>
    <n v="741"/>
    <s v="INTPG_ACC_741_1.4"/>
    <s v="ISEL-1.4"/>
    <n v="1"/>
    <s v="NO TIENE L3OUT"/>
    <n v="62"/>
    <n v="54"/>
  </r>
  <r>
    <n v="787"/>
    <x v="2"/>
    <x v="133"/>
    <s v="eth1/4"/>
    <x v="0"/>
    <x v="0"/>
    <x v="0"/>
    <s v="ENIQ F2:itheniqr16bl01nas1r4a:LOM PORT 2"/>
    <x v="0"/>
    <b v="0"/>
    <s v="No está en VPC"/>
    <n v="787"/>
    <s v="INTPG_PC_787_1.3-6"/>
    <s v="ISEL-1.4"/>
    <n v="1"/>
    <s v="NO TIENE L3OUT"/>
    <n v="26"/>
    <n v="54"/>
  </r>
  <r>
    <n v="750"/>
    <x v="2"/>
    <x v="134"/>
    <s v="eth1/4"/>
    <x v="0"/>
    <x v="0"/>
    <x v="0"/>
    <s v="trunk15 Bes-Production"/>
    <x v="0"/>
    <b v="0"/>
    <s v="No está en VPC"/>
    <n v="750"/>
    <s v="INTPG_VPC_750_1.1_4_751_1.1_4"/>
    <s v="ISEL-1.4"/>
    <n v="14"/>
    <s v="NO TIENE L3OUT"/>
    <n v="2"/>
    <n v="54"/>
  </r>
  <r>
    <n v="792"/>
    <x v="2"/>
    <x v="135"/>
    <s v="eth1/4"/>
    <x v="0"/>
    <x v="0"/>
    <x v="0"/>
    <s v="CRM, CBS:TB-R03-F03:X2-10GE 2"/>
    <x v="0"/>
    <b v="0"/>
    <s v="No está en VPC"/>
    <n v="792"/>
    <s v="INTPG_VPC_757_1.4-5_792_1.4-5"/>
    <s v="ISEL-1.4"/>
    <n v="3"/>
    <s v="NO TIENE L3OUT"/>
    <n v="0"/>
    <n v="54"/>
  </r>
  <r>
    <n v="736"/>
    <x v="2"/>
    <x v="136"/>
    <s v="eth1/4"/>
    <x v="0"/>
    <x v="1"/>
    <x v="3"/>
    <s v="CEM:ITHCEMG2DAT02:SLOT1 P1"/>
    <x v="0"/>
    <b v="0"/>
    <s v="No está en VPC"/>
    <n v="736"/>
    <s v="INTPG_ACC_736_1.4"/>
    <s v="ISEL-1.4"/>
    <n v="1"/>
    <s v="NO TIENE L3OUT"/>
    <n v="48"/>
    <n v="54"/>
  </r>
  <r>
    <n v="799"/>
    <x v="2"/>
    <x v="137"/>
    <s v="eth1/4"/>
    <x v="0"/>
    <x v="0"/>
    <x v="0"/>
    <s v="TO-IMC_PS18-MSP"/>
    <x v="0"/>
    <b v="0"/>
    <s v="No está en VPC"/>
    <n v="799"/>
    <s v="INTPG_ACC_799_1.4"/>
    <s v="ISEL-1.4"/>
    <n v="1"/>
    <s v="NO TIENE L3OUT"/>
    <n v="52"/>
    <n v="54"/>
  </r>
  <r>
    <n v="768"/>
    <x v="2"/>
    <x v="138"/>
    <s v="eth1/4"/>
    <x v="0"/>
    <x v="0"/>
    <x v="0"/>
    <s v="Portchannel_6_R3"/>
    <x v="0"/>
    <b v="0"/>
    <s v="No está en VPC"/>
    <n v="768"/>
    <s v="INTPG_PC_768_1.1-4"/>
    <s v="ISEL-1.4"/>
    <n v="1"/>
    <s v="NO TIENE L3OUT"/>
    <n v="62"/>
    <n v="54"/>
  </r>
  <r>
    <n v="714"/>
    <x v="2"/>
    <x v="139"/>
    <s v="eth1/4"/>
    <x v="0"/>
    <x v="0"/>
    <x v="0"/>
    <s v="TO-ITHFHWVRALCN09"/>
    <x v="0"/>
    <b v="0"/>
    <s v="No está en VPC"/>
    <n v="714"/>
    <s v="INTPG_VPC_714_1.4_721_1.3"/>
    <s v="ISEL-1.4"/>
    <n v="108"/>
    <s v="NO TIENE L3OUT"/>
    <n v="20"/>
    <n v="54"/>
  </r>
  <r>
    <n v="717"/>
    <x v="2"/>
    <x v="140"/>
    <s v="eth1/4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4"/>
    <x v="0"/>
    <x v="0"/>
    <x v="0"/>
    <s v="TO-ITHFHPMEDIRAP01"/>
    <x v="0"/>
    <b v="0"/>
    <s v="No está en VPC"/>
    <n v="789"/>
    <s v="INTPG_VPC_788_1.3-4_789_1.3-4"/>
    <s v="ISEL-1.4"/>
    <n v="2"/>
    <s v="NO TIENE L3OUT"/>
    <n v="0"/>
    <n v="54"/>
  </r>
  <r>
    <n v="764"/>
    <x v="2"/>
    <x v="142"/>
    <s v="eth1/4"/>
    <x v="0"/>
    <x v="0"/>
    <x v="0"/>
    <s v="Portchannel_6_R1"/>
    <x v="0"/>
    <b v="0"/>
    <s v="No está en VPC"/>
    <n v="764"/>
    <s v="INTPG_PC_764_1.1-4"/>
    <s v="ISEL-1.4"/>
    <n v="1"/>
    <s v="NO TIENE L3OUT"/>
    <n v="62"/>
    <n v="54"/>
  </r>
  <r>
    <n v="783"/>
    <x v="2"/>
    <x v="143"/>
    <s v="eth1/4"/>
    <x v="0"/>
    <x v="0"/>
    <x v="0"/>
    <s v="LACP_NAS1_ENIQ9A"/>
    <x v="0"/>
    <b v="0"/>
    <s v="No está en VPC"/>
    <n v="783"/>
    <s v="INTPG_PC_783_1.3-6"/>
    <s v="ISEL-1.4"/>
    <n v="1"/>
    <s v="NO TIENE L3OUT"/>
    <n v="26"/>
    <n v="54"/>
  </r>
  <r>
    <n v="774"/>
    <x v="2"/>
    <x v="144"/>
    <s v="eth1/4"/>
    <x v="0"/>
    <x v="0"/>
    <x v="0"/>
    <s v="CLOUD PASS PAYG F3:ITHHWOSCOPAP021:FLEX I/O P1"/>
    <x v="0"/>
    <b v="0"/>
    <s v="No está en VPC"/>
    <n v="774"/>
    <s v="INTPG_VPC_774_1.4_775_1.4"/>
    <s v="ISEL-1.4"/>
    <n v="24"/>
    <s v="NO TIENE L3OUT"/>
    <n v="0"/>
    <n v="54"/>
  </r>
  <r>
    <n v="773"/>
    <x v="2"/>
    <x v="145"/>
    <s v="eth1/4"/>
    <x v="0"/>
    <x v="0"/>
    <x v="0"/>
    <s v="Portchannel_7_R2"/>
    <x v="0"/>
    <b v="0"/>
    <s v="No está en VPC"/>
    <n v="773"/>
    <s v="INTPG_PC_773_1.3-6"/>
    <s v="ISEL-1.4"/>
    <n v="1"/>
    <s v="NO TIENE L3OUT"/>
    <n v="78"/>
    <n v="54"/>
  </r>
  <r>
    <n v="794"/>
    <x v="2"/>
    <x v="146"/>
    <s v="eth1/4"/>
    <x v="0"/>
    <x v="0"/>
    <x v="0"/>
    <s v="TO-IXTFDLBKP2RAP02-REDUNDANTE_POWEREDGE"/>
    <x v="0"/>
    <b v="0"/>
    <s v="No está en VPC"/>
    <n v="794"/>
    <s v="INTPG_ACC_794_1.4"/>
    <s v="ISEL-1.4"/>
    <n v="1"/>
    <s v="NO TIENE L3OUT"/>
    <n v="12"/>
    <n v="54"/>
  </r>
  <r>
    <n v="803"/>
    <x v="2"/>
    <x v="147"/>
    <s v="eth1/4"/>
    <x v="0"/>
    <x v="0"/>
    <x v="0"/>
    <s v="TO-HDPS_30-MSP"/>
    <x v="0"/>
    <b v="0"/>
    <s v="No está en VPC"/>
    <n v="803"/>
    <s v="INTPG_ACC_803_1.4"/>
    <s v="ISEL-1.4"/>
    <n v="1"/>
    <s v="NO TIENE L3OUT"/>
    <n v="48"/>
    <n v="54"/>
  </r>
  <r>
    <n v="786"/>
    <x v="2"/>
    <x v="148"/>
    <s v="eth1/4"/>
    <x v="0"/>
    <x v="0"/>
    <x v="0"/>
    <s v="ENIQ F2:itheniqr14bl01nas1r4b:LOM PORT 2"/>
    <x v="0"/>
    <b v="0"/>
    <s v="No está en VPC"/>
    <n v="786"/>
    <s v="INTPG_PC_786_1.3-6"/>
    <s v="ISEL-1.4"/>
    <n v="1"/>
    <s v="NO TIENE L3OUT"/>
    <n v="26"/>
    <n v="54"/>
  </r>
  <r>
    <n v="757"/>
    <x v="2"/>
    <x v="149"/>
    <s v="eth1/4"/>
    <x v="0"/>
    <x v="0"/>
    <x v="0"/>
    <s v="CRM, CBS:ITHHWTBRK12CH1:X2-10GE 1"/>
    <x v="0"/>
    <b v="0"/>
    <s v="No está en VPC"/>
    <n v="757"/>
    <s v="INTPG_VPC_757_1.4-5_792_1.4-5"/>
    <s v="ISEL-1.4"/>
    <n v="3"/>
    <s v="NO TIENE L3OUT"/>
    <n v="0"/>
    <n v="54"/>
  </r>
  <r>
    <n v="781"/>
    <x v="2"/>
    <x v="150"/>
    <s v="eth1/4"/>
    <x v="0"/>
    <x v="0"/>
    <x v="0"/>
    <s v="LACP_NAS1_ENIQ9C"/>
    <x v="0"/>
    <b v="0"/>
    <s v="No está en VPC"/>
    <n v="781"/>
    <s v="INTPG_PC_781_1.3-6"/>
    <s v="ISEL-1.4"/>
    <n v="1"/>
    <s v="NO TIENE L3OUT"/>
    <n v="26"/>
    <n v="54"/>
  </r>
  <r>
    <n v="793"/>
    <x v="2"/>
    <x v="151"/>
    <s v="eth1/4"/>
    <x v="0"/>
    <x v="0"/>
    <x v="0"/>
    <s v="TO-IXTFDLBKP2RAP02-PRINCIPAL_POWEREDGE"/>
    <x v="0"/>
    <b v="0"/>
    <s v="No está en VPC"/>
    <n v="793"/>
    <s v="INTPG_ACC_793_1.4"/>
    <s v="ISEL-1.4"/>
    <n v="1"/>
    <s v="NO TIENE L3OUT"/>
    <n v="12"/>
    <n v="54"/>
  </r>
  <r>
    <n v="747"/>
    <x v="2"/>
    <x v="152"/>
    <s v="eth1/4"/>
    <x v="0"/>
    <x v="0"/>
    <x v="0"/>
    <s v="PAAS:ithhwoscopap004:LOM PORT 1"/>
    <x v="0"/>
    <b v="0"/>
    <s v="No está en VPC"/>
    <n v="747"/>
    <s v="INTPG_VPC_747_1.4_752_1.4"/>
    <s v="ISEL-1.4"/>
    <n v="25"/>
    <s v="NO TIENE L3OUT"/>
    <n v="0"/>
    <n v="54"/>
  </r>
  <r>
    <n v="784"/>
    <x v="2"/>
    <x v="153"/>
    <s v="eth1/4"/>
    <x v="0"/>
    <x v="0"/>
    <x v="0"/>
    <s v="ENIQ F2:itheniqr12bl01nas1r6b:LOM PORT 2"/>
    <x v="0"/>
    <b v="0"/>
    <s v="No está en VPC"/>
    <n v="784"/>
    <s v="INTPG_PC_784_1.3-6"/>
    <s v="ISEL-1.4"/>
    <n v="1"/>
    <s v="NO TIENE L3OUT"/>
    <n v="26"/>
    <n v="54"/>
  </r>
  <r>
    <n v="806"/>
    <x v="2"/>
    <x v="154"/>
    <s v="eth1/4"/>
    <x v="0"/>
    <x v="0"/>
    <x v="0"/>
    <s v="TO-HDPS_54-MSP"/>
    <x v="0"/>
    <b v="0"/>
    <s v="No está en VPC"/>
    <n v="806"/>
    <s v="INTPG_ACC_806_1.4"/>
    <s v="ISEL-1.4"/>
    <n v="1"/>
    <s v="NO TIENE L3OUT"/>
    <n v="44"/>
    <n v="54"/>
  </r>
  <r>
    <n v="777"/>
    <x v="2"/>
    <x v="155"/>
    <s v="eth1/4"/>
    <x v="0"/>
    <x v="0"/>
    <x v="0"/>
    <s v="TO-ITHHWOSCOAP027"/>
    <x v="0"/>
    <b v="0"/>
    <s v="No está en VPC"/>
    <n v="777"/>
    <s v="INTPG_VPC_776_1.4_777_1.4"/>
    <s v="ISEL-1.4"/>
    <n v="1"/>
    <s v="NO TIENE L3OUT"/>
    <n v="0"/>
    <n v="54"/>
  </r>
  <r>
    <n v="770"/>
    <x v="2"/>
    <x v="156"/>
    <s v="eth1/4"/>
    <x v="0"/>
    <x v="0"/>
    <x v="0"/>
    <s v="Portchannel_1_R4A"/>
    <x v="0"/>
    <b v="0"/>
    <s v="No está en VPC"/>
    <n v="770"/>
    <s v="INTPG_PC_770_1.1-4"/>
    <s v="ISEL-1.4"/>
    <n v="2"/>
    <s v="NO TIENE L3OUT"/>
    <n v="60"/>
    <n v="54"/>
  </r>
  <r>
    <n v="813"/>
    <x v="2"/>
    <x v="157"/>
    <s v="eth1/4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4"/>
    <x v="0"/>
    <x v="1"/>
    <x v="1"/>
    <s v="CEM:ITHCEMC2DAT02:FLEXIO P1"/>
    <x v="5"/>
    <b v="0"/>
    <s v="No está en VPC"/>
    <n v="739"/>
    <s v="INTPG_ACC_739_1.4"/>
    <s v="ISEL-1.4"/>
    <n v="1"/>
    <s v="NO TIENE L3OUT"/>
    <n v="72"/>
    <n v="54"/>
  </r>
  <r>
    <n v="775"/>
    <x v="2"/>
    <x v="159"/>
    <s v="eth1/4"/>
    <x v="0"/>
    <x v="0"/>
    <x v="0"/>
    <s v="CLOUD PASS PAYG F3:ITHHWOSCOPAP021:LOM GE P1"/>
    <x v="0"/>
    <b v="0"/>
    <s v="No está en VPC"/>
    <n v="775"/>
    <s v="INTPG_VPC_774_1.4_775_1.4"/>
    <s v="ISEL-1.4"/>
    <n v="24"/>
    <s v="NO TIENE L3OUT"/>
    <n v="0"/>
    <n v="54"/>
  </r>
  <r>
    <n v="791"/>
    <x v="2"/>
    <x v="160"/>
    <s v="eth1/4"/>
    <x v="0"/>
    <x v="0"/>
    <x v="0"/>
    <s v="LAGU2020R8"/>
    <x v="0"/>
    <b v="0"/>
    <s v="No está en VPC"/>
    <n v="791"/>
    <s v="INTPG_VPC_790_1.1_3_791_1.2_4"/>
    <s v="ISEL-1.4"/>
    <n v="1"/>
    <s v="NO TIENE L3OUT"/>
    <n v="20"/>
    <n v="54"/>
  </r>
  <r>
    <n v="808"/>
    <x v="2"/>
    <x v="161"/>
    <s v="eth1/4"/>
    <x v="0"/>
    <x v="0"/>
    <x v="0"/>
    <s v="HUECOS DC_S3"/>
    <x v="0"/>
    <b v="0"/>
    <s v="No está en VPC"/>
    <n v="808"/>
    <s v="INTPG_VPC_808_1.1-6_809_1.1-6"/>
    <s v="ISEL-1.4"/>
    <n v="1"/>
    <s v="NO TIENE L3OUT"/>
    <n v="0"/>
    <n v="54"/>
  </r>
  <r>
    <n v="830"/>
    <x v="2"/>
    <x v="162"/>
    <s v="eth1/4"/>
    <x v="0"/>
    <x v="0"/>
    <x v="0"/>
    <s v="LINK_TO_ITHFHWCBSDSUSBD05 /Slot7.2 /Redundante"/>
    <x v="0"/>
    <b v="0"/>
    <s v="No está en VPC"/>
    <n v="830"/>
    <s v="INTPG_VPC_826_1.4_830_1.4"/>
    <s v="ISEL-1.4"/>
    <n v="2"/>
    <s v="NO TIENE L3OUT"/>
    <n v="12"/>
    <n v="54"/>
  </r>
  <r>
    <n v="821"/>
    <x v="2"/>
    <x v="163"/>
    <s v="eth1/4"/>
    <x v="0"/>
    <x v="0"/>
    <x v="0"/>
    <s v="LINK_TO_ITHFHWCBSPSUSBD09 /Slot7.2 /Redundante"/>
    <x v="0"/>
    <b v="0"/>
    <s v="No está en VPC"/>
    <n v="821"/>
    <s v="INTPG_VPC_816_1.4_821_1.4"/>
    <s v="ISEL-1.4"/>
    <n v="2"/>
    <s v="NO TIENE L3OUT"/>
    <n v="0"/>
    <n v="54"/>
  </r>
  <r>
    <n v="738"/>
    <x v="2"/>
    <x v="164"/>
    <s v="eth1/4"/>
    <x v="0"/>
    <x v="0"/>
    <x v="0"/>
    <s v="CEM:ITHCEMF2DAT02:FLEXIO P1"/>
    <x v="5"/>
    <b v="0"/>
    <s v="No está en VPC"/>
    <n v="738"/>
    <s v="INTPG_ACC_738_1.4"/>
    <s v="ISEL-1.4"/>
    <n v="1"/>
    <s v="NO TIENE L3OUT"/>
    <n v="72"/>
    <n v="54"/>
  </r>
  <r>
    <n v="820"/>
    <x v="2"/>
    <x v="165"/>
    <s v="eth1/4"/>
    <x v="0"/>
    <x v="0"/>
    <x v="0"/>
    <s v="LINK_TO_ITHHWD6K60015DKC01 /CtrlB_IOM1.P1 /Redundante"/>
    <x v="0"/>
    <b v="0"/>
    <s v="No está en VPC"/>
    <n v="820"/>
    <s v="INTPG_ACC_820_1.4"/>
    <s v="ISEL-1.4"/>
    <n v="1"/>
    <s v="NO TIENE L3OUT"/>
    <n v="72"/>
    <n v="54"/>
  </r>
  <r>
    <n v="804"/>
    <x v="2"/>
    <x v="166"/>
    <s v="eth1/4"/>
    <x v="0"/>
    <x v="0"/>
    <x v="0"/>
    <s v="TO-HDPS_30-MSP"/>
    <x v="0"/>
    <b v="0"/>
    <s v="No está en VPC"/>
    <n v="804"/>
    <s v="INTPG_ACC_804_1.4"/>
    <s v="ISEL-1.4"/>
    <n v="1"/>
    <s v="NO TIENE L3OUT"/>
    <n v="48"/>
    <n v="54"/>
  </r>
  <r>
    <n v="779"/>
    <x v="2"/>
    <x v="167"/>
    <s v="eth1/4"/>
    <x v="0"/>
    <x v="0"/>
    <x v="0"/>
    <s v="ENIQ F1:itheniqr08nas1r3:LOM PORT 2"/>
    <x v="0"/>
    <b v="0"/>
    <s v="No está en VPC"/>
    <n v="779"/>
    <s v="INTPG_PC_779_1.3-6"/>
    <s v="ISEL-1.4"/>
    <n v="1"/>
    <s v="NO TIENE L3OUT"/>
    <n v="30"/>
    <n v="54"/>
  </r>
  <r>
    <n v="767"/>
    <x v="2"/>
    <x v="168"/>
    <s v="eth1/4"/>
    <x v="0"/>
    <x v="0"/>
    <x v="0"/>
    <s v="Portchannel_6_R6B"/>
    <x v="0"/>
    <b v="0"/>
    <s v="No está en VPC"/>
    <n v="767"/>
    <s v="INTPG_PC_767_1.3-6"/>
    <s v="ISEL-1.4"/>
    <n v="1"/>
    <s v="NO TIENE L3OUT"/>
    <n v="60"/>
    <n v="54"/>
  </r>
  <r>
    <n v="827"/>
    <x v="2"/>
    <x v="169"/>
    <s v="eth1/4"/>
    <x v="0"/>
    <x v="0"/>
    <x v="0"/>
    <s v="LINK_TO_ITHHWD6KV60013DKC01 /CtrlA_IOM0.P0 /Principal"/>
    <x v="0"/>
    <b v="0"/>
    <s v="No está en VPC"/>
    <n v="827"/>
    <s v="INTPG_ACC_827_1.4"/>
    <s v="ISEL-1.4"/>
    <n v="1"/>
    <s v="NO TIENE L3OUT"/>
    <n v="14"/>
    <n v="54"/>
  </r>
  <r>
    <n v="809"/>
    <x v="2"/>
    <x v="170"/>
    <s v="eth1/4"/>
    <x v="0"/>
    <x v="0"/>
    <x v="0"/>
    <s v="HUECOS DC_S3"/>
    <x v="0"/>
    <b v="0"/>
    <s v="No está en VPC"/>
    <n v="809"/>
    <s v="INTPG_VPC_808_1.1-6_809_1.1-6"/>
    <s v="ISEL-1.4"/>
    <n v="1"/>
    <s v="NO TIENE L3OUT"/>
    <n v="0"/>
    <n v="54"/>
  </r>
  <r>
    <n v="771"/>
    <x v="2"/>
    <x v="171"/>
    <s v="eth1/4"/>
    <x v="0"/>
    <x v="0"/>
    <x v="0"/>
    <s v="Portchannel_6_R6B"/>
    <x v="0"/>
    <b v="0"/>
    <s v="No está en VPC"/>
    <n v="771"/>
    <s v="INTPG_PC_771_1.1-4"/>
    <s v="ISEL-1.4"/>
    <n v="2"/>
    <s v="NO TIENE L3OUT"/>
    <n v="62"/>
    <n v="54"/>
  </r>
  <r>
    <n v="761"/>
    <x v="2"/>
    <x v="172"/>
    <s v="eth1/4"/>
    <x v="0"/>
    <x v="1"/>
    <x v="1"/>
    <m/>
    <x v="0"/>
    <b v="0"/>
    <s v="No está en VPC"/>
    <n v="761"/>
    <s v="INTPG_VPC_760_1.1-4_761_1.1-4"/>
    <s v="ISEL-1.4"/>
    <n v="0"/>
    <s v="L3OUT-EXACLOUD"/>
    <n v="0"/>
    <n v="54"/>
  </r>
  <r>
    <n v="776"/>
    <x v="2"/>
    <x v="173"/>
    <s v="eth1/4"/>
    <x v="0"/>
    <x v="0"/>
    <x v="0"/>
    <s v="TO-ITHHWOSCOAP027"/>
    <x v="0"/>
    <b v="0"/>
    <s v="No está en VPC"/>
    <n v="776"/>
    <s v="INTPG_VPC_776_1.4_777_1.4"/>
    <s v="ISEL-1.4"/>
    <n v="1"/>
    <s v="NO TIENE L3OUT"/>
    <n v="0"/>
    <n v="54"/>
  </r>
  <r>
    <n v="805"/>
    <x v="2"/>
    <x v="174"/>
    <s v="eth1/4"/>
    <x v="0"/>
    <x v="0"/>
    <x v="0"/>
    <s v="TO-HDPS_54-MSP"/>
    <x v="0"/>
    <b v="0"/>
    <s v="No está en VPC"/>
    <n v="805"/>
    <s v="INTPG_ACC_805_1.4"/>
    <s v="ISEL-1.4"/>
    <n v="1"/>
    <s v="NO TIENE L3OUT"/>
    <n v="44"/>
    <n v="54"/>
  </r>
  <r>
    <n v="772"/>
    <x v="2"/>
    <x v="175"/>
    <s v="eth1/4"/>
    <x v="0"/>
    <x v="0"/>
    <x v="0"/>
    <s v="Portchannel_6_R2"/>
    <x v="0"/>
    <b v="0"/>
    <s v="No está en VPC"/>
    <n v="772"/>
    <s v="INTPG_PC_772_1.1-4"/>
    <s v="ISEL-1.4"/>
    <n v="1"/>
    <s v="NO TIENE L3OUT"/>
    <n v="82"/>
    <n v="54"/>
  </r>
  <r>
    <n v="785"/>
    <x v="2"/>
    <x v="176"/>
    <s v="eth1/4"/>
    <x v="0"/>
    <x v="0"/>
    <x v="0"/>
    <s v="ENIQ F2:itheniqr13bl01nas1r6a:LOM PORT 2"/>
    <x v="0"/>
    <b v="0"/>
    <s v="No está en VPC"/>
    <n v="785"/>
    <s v="INTPG_PC_785_1.3-6"/>
    <s v="ISEL-1.4"/>
    <n v="1"/>
    <s v="NO TIENE L3OUT"/>
    <n v="32"/>
    <n v="54"/>
  </r>
  <r>
    <n v="851"/>
    <x v="2"/>
    <x v="177"/>
    <s v="eth1/4"/>
    <x v="0"/>
    <x v="0"/>
    <x v="0"/>
    <s v="LINK_TO_ITHFHWCRMPLCN102 / Slot7.1_8 / Redundante"/>
    <x v="0"/>
    <b v="0"/>
    <s v="No está en VPC"/>
    <n v="851"/>
    <s v="INTPG_ACC_851_1.4"/>
    <s v="ISEL-1.4"/>
    <n v="6"/>
    <s v="NO TIENE L3OUT"/>
    <n v="282"/>
    <n v="54"/>
  </r>
  <r>
    <n v="798"/>
    <x v="2"/>
    <x v="178"/>
    <s v="eth1/4"/>
    <x v="0"/>
    <x v="0"/>
    <x v="0"/>
    <s v="TO-IMC_PS18-MSP"/>
    <x v="0"/>
    <b v="0"/>
    <s v="No está en VPC"/>
    <n v="798"/>
    <s v="INTPG_ACC_798_1.4"/>
    <s v="ISEL-1.4"/>
    <n v="1"/>
    <s v="NO TIENE L3OUT"/>
    <n v="52"/>
    <n v="54"/>
  </r>
  <r>
    <n v="782"/>
    <x v="2"/>
    <x v="179"/>
    <s v="eth1/4"/>
    <x v="0"/>
    <x v="0"/>
    <x v="0"/>
    <s v="LACP_NAS1_ENIQ9B"/>
    <x v="0"/>
    <b v="0"/>
    <s v="No está en VPC"/>
    <n v="782"/>
    <s v="INTPG_PC_782_1.3-6"/>
    <s v="ISEL-1.4"/>
    <n v="1"/>
    <s v="NO TIENE L3OUT"/>
    <n v="32"/>
    <n v="54"/>
  </r>
  <r>
    <n v="852"/>
    <x v="2"/>
    <x v="180"/>
    <s v="eth1/4"/>
    <x v="0"/>
    <x v="0"/>
    <x v="0"/>
    <s v="LINK_TO_ITHFHWCRMPLCN117 / Slot7.2_38 / Redundante"/>
    <x v="0"/>
    <b v="0"/>
    <s v="No está en VPC"/>
    <n v="852"/>
    <s v="INTPG_ACC_852_1.4"/>
    <s v="ISEL-1.4"/>
    <n v="2"/>
    <s v="NO TIENE L3OUT"/>
    <n v="258"/>
    <n v="54"/>
  </r>
  <r>
    <n v="817"/>
    <x v="2"/>
    <x v="181"/>
    <s v="eth1/4"/>
    <x v="0"/>
    <x v="0"/>
    <x v="0"/>
    <s v="LINK_TO_ITHFHWCBSPSWR23 /Slot5.2 /Principal"/>
    <x v="0"/>
    <b v="0"/>
    <s v="No está en VPC"/>
    <n v="817"/>
    <s v="INTPG_VPC_817_1.4_822_1.4"/>
    <s v="ISEL-1.4"/>
    <n v="2"/>
    <s v="NO TIENE L3OUT"/>
    <n v="0"/>
    <n v="54"/>
  </r>
  <r>
    <n v="832"/>
    <x v="2"/>
    <x v="182"/>
    <s v="eth1/4"/>
    <x v="0"/>
    <x v="0"/>
    <x v="0"/>
    <s v="LINK_TO_ITHFHWCBSDSWR33 /Slot7.2 /Redundante"/>
    <x v="0"/>
    <b v="0"/>
    <s v="No está en VPC"/>
    <n v="832"/>
    <s v="INTPG_VPC_828_1.4_832_1.4"/>
    <s v="ISEL-1.4"/>
    <n v="2"/>
    <s v="NO TIENE L3OUT"/>
    <n v="192"/>
    <n v="54"/>
  </r>
  <r>
    <n v="816"/>
    <x v="2"/>
    <x v="183"/>
    <s v="eth1/4"/>
    <x v="0"/>
    <x v="0"/>
    <x v="0"/>
    <s v="LINK_TO_ITHFHWCBSPSUSBD09 /Slot5.2 /Principal"/>
    <x v="0"/>
    <b v="0"/>
    <s v="No está en VPC"/>
    <n v="816"/>
    <s v="INTPG_VPC_816_1.4_821_1.4"/>
    <s v="ISEL-1.4"/>
    <n v="2"/>
    <s v="NO TIENE L3OUT"/>
    <n v="0"/>
    <n v="54"/>
  </r>
  <r>
    <n v="825"/>
    <x v="2"/>
    <x v="184"/>
    <s v="eth1/4"/>
    <x v="0"/>
    <x v="0"/>
    <x v="0"/>
    <s v="LINK_TO_ITHHWD6K60015DKC01 /CtrlB_IOM1.P0 /Principal"/>
    <x v="0"/>
    <b v="0"/>
    <s v="No está en VPC"/>
    <n v="825"/>
    <s v="INTPG_ACC_825_1.4"/>
    <s v="ISEL-1.4"/>
    <n v="1"/>
    <s v="NO TIENE L3OUT"/>
    <n v="72"/>
    <n v="54"/>
  </r>
  <r>
    <n v="800"/>
    <x v="2"/>
    <x v="185"/>
    <s v="eth1/4"/>
    <x v="0"/>
    <x v="0"/>
    <x v="0"/>
    <s v="TO-ITHFHWSEQLPAS01-MSP"/>
    <x v="0"/>
    <b v="0"/>
    <s v="No está en VPC"/>
    <n v="800"/>
    <s v="INTPG_ACC_800_1.4"/>
    <s v="ISEL-1.4"/>
    <n v="1"/>
    <s v="NO TIENE L3OUT"/>
    <n v="78"/>
    <n v="54"/>
  </r>
  <r>
    <n v="801"/>
    <x v="2"/>
    <x v="186"/>
    <s v="eth1/4"/>
    <x v="0"/>
    <x v="0"/>
    <x v="0"/>
    <s v="TO-ITHFHWSEQLPAS01-MSP"/>
    <x v="0"/>
    <b v="0"/>
    <s v="No está en VPC"/>
    <n v="801"/>
    <s v="INTPG_ACC_801_1.4"/>
    <s v="ISEL-1.4"/>
    <n v="1"/>
    <s v="NO TIENE L3OUT"/>
    <n v="78"/>
    <n v="54"/>
  </r>
  <r>
    <n v="823"/>
    <x v="2"/>
    <x v="187"/>
    <s v="eth1/4"/>
    <x v="0"/>
    <x v="0"/>
    <x v="0"/>
    <s v="LINK_TO_ITHFHWCBSPSWR31 /Slot7.2 /Redundante"/>
    <x v="0"/>
    <b v="0"/>
    <s v="No está en VPC"/>
    <n v="823"/>
    <s v="INTPG_VPC_818_1.4_823_1.4"/>
    <s v="ISEL-1.4"/>
    <n v="2"/>
    <s v="NO TIENE L3OUT"/>
    <n v="8"/>
    <n v="54"/>
  </r>
  <r>
    <n v="837"/>
    <x v="2"/>
    <x v="188"/>
    <s v="eth1/4"/>
    <x v="0"/>
    <x v="0"/>
    <x v="0"/>
    <s v="LINK_TO_ITHFHWCBSPSHDCTL05 / Slot1.3_12 / Principal"/>
    <x v="0"/>
    <b v="0"/>
    <s v="No está en VPC"/>
    <n v="837"/>
    <s v="INTPG_VPC_837_1.4_842_1.4"/>
    <s v="ISEL-1.4"/>
    <n v="1"/>
    <s v="NO TIENE L3OUT"/>
    <n v="8"/>
    <n v="54"/>
  </r>
  <r>
    <n v="867"/>
    <x v="2"/>
    <x v="189"/>
    <s v="eth1/4"/>
    <x v="0"/>
    <x v="0"/>
    <x v="0"/>
    <s v="To_VPC_2DCBSD_WR38_3"/>
    <x v="0"/>
    <b v="0"/>
    <s v="No está en VPC"/>
    <n v="867"/>
    <s v="INTPG_VPC_862_1.4_867_1.4"/>
    <s v="ISEL-1.4"/>
    <n v="1"/>
    <s v="NO TIENE L3OUT"/>
    <n v="44"/>
    <n v="54"/>
  </r>
  <r>
    <n v="829"/>
    <x v="2"/>
    <x v="190"/>
    <s v="eth1/4"/>
    <x v="0"/>
    <x v="0"/>
    <x v="0"/>
    <s v="LINK_TO_ITHFHWCRMDLCN29 /Slot7.2 /Redundante"/>
    <x v="0"/>
    <b v="0"/>
    <s v="No está en VPC"/>
    <n v="829"/>
    <s v="INTPG_ACC_829_1.4"/>
    <s v="ISEL-1.4"/>
    <n v="5"/>
    <s v="NO TIENE L3OUT"/>
    <n v="224"/>
    <n v="54"/>
  </r>
  <r>
    <n v="831"/>
    <x v="2"/>
    <x v="191"/>
    <s v="eth1/4"/>
    <x v="0"/>
    <x v="0"/>
    <x v="0"/>
    <s v="LINK_TO_ITHHWD6KV60013DKC01 /CtrlA_IOM0.P1 /Redundante"/>
    <x v="0"/>
    <b v="0"/>
    <s v="No está en VPC"/>
    <n v="831"/>
    <s v="INTPG_ACC_831_1.4"/>
    <s v="ISEL-1.4"/>
    <n v="1"/>
    <s v="NO TIENE L3OUT"/>
    <n v="14"/>
    <n v="54"/>
  </r>
  <r>
    <n v="802"/>
    <x v="2"/>
    <x v="192"/>
    <s v="eth1/4"/>
    <x v="0"/>
    <x v="0"/>
    <x v="0"/>
    <s v="TO-HDPS_06-MSP"/>
    <x v="0"/>
    <b v="0"/>
    <s v="No está en VPC"/>
    <n v="802"/>
    <s v="INTPG_ACC_802_1.4"/>
    <s v="ISEL-1.4"/>
    <n v="1"/>
    <s v="NO TIENE L3OUT"/>
    <n v="48"/>
    <n v="54"/>
  </r>
  <r>
    <n v="835"/>
    <x v="2"/>
    <x v="193"/>
    <s v="eth1/4"/>
    <x v="0"/>
    <x v="0"/>
    <x v="0"/>
    <s v="LINK_TO_ITHFHWCBSPSUSBD38 / Slot1.1_10 / Principal"/>
    <x v="0"/>
    <b v="0"/>
    <s v="No está en VPC"/>
    <n v="835"/>
    <s v="INTPG_VPC_835_1.4_840_1.4"/>
    <s v="ISEL-1.4"/>
    <n v="2"/>
    <s v="NO TIENE L3OUT"/>
    <n v="8"/>
    <n v="54"/>
  </r>
  <r>
    <n v="822"/>
    <x v="2"/>
    <x v="194"/>
    <s v="eth1/4"/>
    <x v="0"/>
    <x v="0"/>
    <x v="0"/>
    <s v="LINK_TO_ITHFHWCBSPSWR23 /Slot7.2 /Redundante"/>
    <x v="0"/>
    <b v="0"/>
    <s v="No está en VPC"/>
    <n v="822"/>
    <s v="INTPG_VPC_817_1.4_822_1.4"/>
    <s v="ISEL-1.4"/>
    <n v="2"/>
    <s v="NO TIENE L3OUT"/>
    <n v="0"/>
    <n v="54"/>
  </r>
  <r>
    <n v="854"/>
    <x v="2"/>
    <x v="195"/>
    <s v="eth1/4"/>
    <x v="0"/>
    <x v="0"/>
    <x v="0"/>
    <s v="LINK_TO_ITHFHWCRMPSBDA06 / Slot7.1_6 / Redundante"/>
    <x v="0"/>
    <b v="0"/>
    <s v="No está en VPC"/>
    <n v="854"/>
    <s v="INTPG_VPC_847_1.4_854_1.4"/>
    <s v="ISEL-1.4"/>
    <n v="6"/>
    <s v="NO TIENE L3OUT"/>
    <n v="204"/>
    <n v="54"/>
  </r>
  <r>
    <n v="858"/>
    <x v="2"/>
    <x v="196"/>
    <s v="eth1/4"/>
    <x v="0"/>
    <x v="0"/>
    <x v="0"/>
    <s v="To_VPC_2DCBSD_HD38_1"/>
    <x v="0"/>
    <b v="0"/>
    <s v="No está en VPC"/>
    <n v="858"/>
    <s v="INTPG_VPC_858_1.4_863_1.4"/>
    <s v="ISEL-1.4"/>
    <n v="2"/>
    <s v="NO TIENE L3OUT"/>
    <n v="8"/>
    <n v="54"/>
  </r>
  <r>
    <n v="857"/>
    <x v="2"/>
    <x v="197"/>
    <s v="eth1/4"/>
    <x v="0"/>
    <x v="0"/>
    <x v="0"/>
    <s v="LINK_TO_ITHFHWCRMPLCN151 / Slot1.3_36 / Principal"/>
    <x v="0"/>
    <b v="0"/>
    <s v="No está en VPC"/>
    <n v="857"/>
    <s v="INTPG_ACC_857_1.4"/>
    <s v="ISEL-1.4"/>
    <n v="1"/>
    <s v="NO TIENE L3OUT"/>
    <n v="288"/>
    <n v="54"/>
  </r>
  <r>
    <n v="859"/>
    <x v="2"/>
    <x v="198"/>
    <s v="eth1/4"/>
    <x v="0"/>
    <x v="0"/>
    <x v="0"/>
    <s v="To_VPC_2DCBSD_HD32_1"/>
    <x v="0"/>
    <b v="0"/>
    <s v="No está en VPC"/>
    <n v="859"/>
    <s v="INTPG_VPC_859_1.4_864_1.4"/>
    <s v="ISEL-1.4"/>
    <n v="2"/>
    <s v="NO TIENE L3OUT"/>
    <n v="0"/>
    <n v="54"/>
  </r>
  <r>
    <n v="833"/>
    <x v="2"/>
    <x v="199"/>
    <s v="eth1/4"/>
    <x v="0"/>
    <x v="0"/>
    <x v="0"/>
    <s v="LINK_TO_ITHFHWCRMDLCN29 /Slot5.2 /Principal"/>
    <x v="0"/>
    <b v="0"/>
    <s v="No está en VPC"/>
    <n v="833"/>
    <s v="INTPG_ACC_833_1.4"/>
    <s v="ISEL-1.4"/>
    <n v="5"/>
    <s v="NO TIENE L3OUT"/>
    <n v="224"/>
    <n v="54"/>
  </r>
  <r>
    <n v="818"/>
    <x v="2"/>
    <x v="200"/>
    <s v="eth1/4"/>
    <x v="0"/>
    <x v="0"/>
    <x v="0"/>
    <s v="LINK_TO_ITHFHWCBSPSWR31 /Slot5.2 /Principal"/>
    <x v="0"/>
    <b v="0"/>
    <s v="No está en VPC"/>
    <n v="818"/>
    <s v="INTPG_VPC_818_1.4_823_1.4"/>
    <s v="ISEL-1.4"/>
    <n v="2"/>
    <s v="NO TIENE L3OUT"/>
    <n v="8"/>
    <n v="54"/>
  </r>
  <r>
    <n v="850"/>
    <x v="2"/>
    <x v="201"/>
    <s v="eth1/4"/>
    <x v="0"/>
    <x v="0"/>
    <x v="0"/>
    <s v="LINK_TO_ITHFHWCRMPLCN151 / Slot7.3_36 / Redundante"/>
    <x v="0"/>
    <b v="0"/>
    <s v="No está en VPC"/>
    <n v="850"/>
    <s v="INTPG_ACC_850_1.4"/>
    <s v="ISEL-1.4"/>
    <n v="1"/>
    <s v="NO TIENE L3OUT"/>
    <n v="288"/>
    <n v="54"/>
  </r>
  <r>
    <n v="860"/>
    <x v="2"/>
    <x v="202"/>
    <s v="eth1/4"/>
    <x v="0"/>
    <x v="0"/>
    <x v="0"/>
    <s v="To_VPC_2DCBSD_WR53_1"/>
    <x v="0"/>
    <b v="0"/>
    <s v="No está en VPC"/>
    <n v="860"/>
    <s v="INTPG_VPC_860_1.4_865_1.4"/>
    <s v="ISEL-1.4"/>
    <n v="2"/>
    <s v="NO TIENE L3OUT"/>
    <n v="0"/>
    <n v="54"/>
  </r>
  <r>
    <n v="853"/>
    <x v="2"/>
    <x v="203"/>
    <s v="eth1/4"/>
    <x v="0"/>
    <x v="0"/>
    <x v="0"/>
    <s v="VPC_2DCRMP_BDP06_2"/>
    <x v="0"/>
    <b v="0"/>
    <s v="No está en VPC"/>
    <n v="853"/>
    <s v="INTPG_VPC_846_1.4_853_1.4"/>
    <s v="ISEL-1.4"/>
    <n v="2"/>
    <s v="NO TIENE L3OUT"/>
    <n v="242"/>
    <n v="54"/>
  </r>
  <r>
    <n v="790"/>
    <x v="2"/>
    <x v="204"/>
    <s v="eth1/4"/>
    <x v="0"/>
    <x v="0"/>
    <x v="0"/>
    <s v="LAGU2020R5"/>
    <x v="0"/>
    <b v="0"/>
    <s v="No está en VPC"/>
    <n v="790"/>
    <s v="INTPG_VPC_790_1.2_4_791_1.1_3"/>
    <s v="ISEL-1.4"/>
    <n v="1"/>
    <s v="NO TIENE L3OUT"/>
    <n v="20"/>
    <n v="54"/>
  </r>
  <r>
    <n v="105"/>
    <x v="0"/>
    <x v="205"/>
    <s v="eth1/4"/>
    <x v="0"/>
    <x v="1"/>
    <x v="1"/>
    <s v="DESC"/>
    <x v="6"/>
    <b v="0"/>
    <s v="No está en VPC"/>
    <n v="105"/>
    <s v="INTPG_PC_105_1.1-4_32-35"/>
    <s v="ISEL-1.4"/>
    <n v="17"/>
    <s v="NO TIENE L3OUT"/>
    <n v="106"/>
    <n v="96"/>
  </r>
  <r>
    <n v="117"/>
    <x v="0"/>
    <x v="206"/>
    <s v="eth1/4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4"/>
    <x v="0"/>
    <x v="1"/>
    <x v="1"/>
    <s v="SFLDI"/>
    <x v="6"/>
    <b v="0"/>
    <s v="No está en VPC"/>
    <n v="104"/>
    <s v="INTPG_ACC_104_1.4"/>
    <s v="ISEL-1.4"/>
    <n v="1"/>
    <s v="NO TIENE L3OUT"/>
    <n v="194"/>
    <n v="96"/>
  </r>
  <r>
    <n v="158"/>
    <x v="0"/>
    <x v="208"/>
    <s v="eth1/4"/>
    <x v="0"/>
    <x v="0"/>
    <x v="0"/>
    <s v="ARIESO_GEOLOCALIZACION"/>
    <x v="6"/>
    <b v="0"/>
    <s v="No está en VPC"/>
    <n v="158"/>
    <s v="INTPG_ACC_158_1.4"/>
    <s v="ISEL-1.4"/>
    <n v="1"/>
    <s v="NO TIENE L3OUT"/>
    <n v="30"/>
    <n v="96"/>
  </r>
  <r>
    <n v="875"/>
    <x v="2"/>
    <x v="209"/>
    <s v="eth1/4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4"/>
    <x v="0"/>
    <x v="0"/>
    <x v="0"/>
    <s v="HACIA_CSI-A-OSCP-F4-12_PRINCIPAL"/>
    <x v="4"/>
    <b v="0"/>
    <s v="No está en VPC"/>
    <n v="879"/>
    <s v="INTPG_VPC_878_1.4_879_1.4"/>
    <s v="ISEL-1.4"/>
    <n v="2"/>
    <s v="NO TIENE L3OUT"/>
    <n v="0"/>
    <n v="54"/>
  </r>
  <r>
    <n v="108"/>
    <x v="0"/>
    <x v="211"/>
    <s v="eth1/4"/>
    <x v="0"/>
    <x v="1"/>
    <x v="1"/>
    <s v="File System AM"/>
    <x v="6"/>
    <b v="0"/>
    <s v="No está en VPC"/>
    <n v="108"/>
    <s v="INTPG_ACC_108_1.4"/>
    <s v="ISEL-1.4"/>
    <n v="4"/>
    <s v="NO TIENE L3OUT"/>
    <n v="126"/>
    <n v="96"/>
  </r>
  <r>
    <n v="112"/>
    <x v="0"/>
    <x v="212"/>
    <s v="eth1/4"/>
    <x v="1"/>
    <x v="1"/>
    <x v="2"/>
    <s v="NPG_2"/>
    <x v="6"/>
    <b v="0"/>
    <s v="No está en VPC"/>
    <n v="112"/>
    <s v="INTPG_ACC_112_1.4"/>
    <s v="ISEL-1.4"/>
    <n v="1"/>
    <s v="NO TIENE L3OUT"/>
    <n v="144"/>
    <n v="96"/>
  </r>
  <r>
    <n v="107"/>
    <x v="0"/>
    <x v="213"/>
    <s v="eth1/4"/>
    <x v="0"/>
    <x v="1"/>
    <x v="1"/>
    <s v="OPEN VIEW BACK FASE2_1"/>
    <x v="6"/>
    <b v="0"/>
    <s v="No está en VPC"/>
    <n v="107"/>
    <s v="INTPG_ACC_107_1.4"/>
    <s v="ISEL-1.4"/>
    <n v="1"/>
    <s v="NO TIENE L3OUT"/>
    <n v="118"/>
    <n v="96"/>
  </r>
  <r>
    <n v="109"/>
    <x v="0"/>
    <x v="214"/>
    <s v="eth1/4"/>
    <x v="1"/>
    <x v="1"/>
    <x v="2"/>
    <s v="File System AM"/>
    <x v="6"/>
    <b v="0"/>
    <s v="No está en VPC"/>
    <n v="109"/>
    <s v="INTPG_ACC_109_1.4"/>
    <s v="ISEL-1.4"/>
    <n v="4"/>
    <s v="NO TIENE L3OUT"/>
    <n v="126"/>
    <n v="96"/>
  </r>
  <r>
    <n v="113"/>
    <x v="0"/>
    <x v="215"/>
    <s v="eth1/4"/>
    <x v="0"/>
    <x v="0"/>
    <x v="0"/>
    <s v="ASAP_1"/>
    <x v="6"/>
    <b v="0"/>
    <s v="No está en VPC"/>
    <n v="113"/>
    <s v="INTPG_ACC_113_1.4"/>
    <s v="ISEL-1.4"/>
    <n v="1"/>
    <s v="NO TIENE L3OUT"/>
    <n v="52"/>
    <n v="96"/>
  </r>
  <r>
    <n v="114"/>
    <x v="0"/>
    <x v="216"/>
    <s v="eth1/4"/>
    <x v="1"/>
    <x v="1"/>
    <x v="2"/>
    <s v="NPG_2"/>
    <x v="6"/>
    <b v="0"/>
    <s v="No está en VPC"/>
    <n v="114"/>
    <s v="INTPG_ACC_114_1.4"/>
    <s v="ISEL-1.4"/>
    <n v="1"/>
    <s v="NO TIENE L3OUT"/>
    <n v="144"/>
    <n v="96"/>
  </r>
  <r>
    <n v="124"/>
    <x v="0"/>
    <x v="217"/>
    <s v="eth1/4"/>
    <x v="0"/>
    <x v="1"/>
    <x v="1"/>
    <s v="GSM_ENIQ_QRO_R6"/>
    <x v="6"/>
    <b v="0"/>
    <s v="No está en VPC"/>
    <n v="124"/>
    <s v="INTPG_VPC_124_1.4_125_1.4"/>
    <s v="ISEL-1.4"/>
    <n v="6"/>
    <s v="NO TIENE L3OUT"/>
    <n v="80"/>
    <n v="96"/>
  </r>
  <r>
    <n v="118"/>
    <x v="0"/>
    <x v="218"/>
    <s v="eth1/4"/>
    <x v="0"/>
    <x v="1"/>
    <x v="1"/>
    <s v="ASAP BATCH"/>
    <x v="6"/>
    <b v="0"/>
    <s v="No está en VPC"/>
    <n v="118"/>
    <s v="INTPG_ACC_118_1.4"/>
    <s v="ISEL-1.4"/>
    <n v="1"/>
    <s v="NO TIENE L3OUT"/>
    <n v="180"/>
    <n v="96"/>
  </r>
  <r>
    <n v="159"/>
    <x v="0"/>
    <x v="219"/>
    <s v="eth1/4"/>
    <x v="0"/>
    <x v="1"/>
    <x v="1"/>
    <s v="TRAP"/>
    <x v="6"/>
    <b v="0"/>
    <s v="No está en VPC"/>
    <n v="159"/>
    <s v="INTPG_PC_159_1.2-7"/>
    <s v="ISEL-1.4"/>
    <n v="12"/>
    <s v="NO TIENE L3OUT"/>
    <n v="72"/>
    <n v="96"/>
  </r>
  <r>
    <n v="840"/>
    <x v="2"/>
    <x v="220"/>
    <s v="eth1/4"/>
    <x v="0"/>
    <x v="0"/>
    <x v="0"/>
    <s v="LINK_TO_ITHFHWCBSPSUSBD38 / Slot7.1_10 / Redundante"/>
    <x v="0"/>
    <b v="0"/>
    <s v="No está en VPC"/>
    <n v="840"/>
    <s v="INTPG_VPC_835_1.4_840_1.4"/>
    <s v="ISEL-1.4"/>
    <n v="2"/>
    <s v="NO TIENE L3OUT"/>
    <n v="8"/>
    <n v="54"/>
  </r>
  <r>
    <n v="856"/>
    <x v="2"/>
    <x v="221"/>
    <s v="eth1/4"/>
    <x v="0"/>
    <x v="0"/>
    <x v="0"/>
    <s v="LINK_TO_ITHFHWCRMPLCN135 / Slot1.3_4 / Principal"/>
    <x v="0"/>
    <b v="0"/>
    <s v="No está en VPC"/>
    <n v="856"/>
    <s v="INTPG_ACC_856_1.4"/>
    <s v="ISEL-1.4"/>
    <n v="1"/>
    <s v="NO TIENE L3OUT"/>
    <n v="286"/>
    <n v="54"/>
  </r>
  <r>
    <n v="110"/>
    <x v="0"/>
    <x v="222"/>
    <s v="eth1/4"/>
    <x v="0"/>
    <x v="0"/>
    <x v="0"/>
    <s v="OCUDR_1"/>
    <x v="6"/>
    <b v="0"/>
    <s v="No está en VPC"/>
    <n v="110"/>
    <s v="INTPG_ACC_110_1.4"/>
    <s v="ISEL-1.4"/>
    <n v="1"/>
    <s v="NO TIENE L3OUT"/>
    <n v="102"/>
    <n v="96"/>
  </r>
  <r>
    <n v="163"/>
    <x v="0"/>
    <x v="223"/>
    <s v="eth1/4"/>
    <x v="0"/>
    <x v="1"/>
    <x v="1"/>
    <s v="IBM SICOD"/>
    <x v="6"/>
    <b v="0"/>
    <s v="No está en VPC"/>
    <n v="163"/>
    <s v="INTPG_ACC_163_1.4"/>
    <s v="ISEL-1.4"/>
    <n v="1"/>
    <s v="NO TIENE L3OUT"/>
    <n v="140"/>
    <n v="96"/>
  </r>
  <r>
    <n v="407"/>
    <x v="1"/>
    <x v="224"/>
    <s v="eth1/4"/>
    <x v="0"/>
    <x v="0"/>
    <x v="0"/>
    <s v="RLR2ARI03"/>
    <x v="6"/>
    <b v="0"/>
    <s v="No está en VPC"/>
    <n v="407"/>
    <s v="INTPG_ACC_407_1.4"/>
    <s v="ISEL-1.4"/>
    <n v="1"/>
    <s v="NO TIENE L3OUT"/>
    <n v="122"/>
    <n v="96"/>
  </r>
  <r>
    <n v="171"/>
    <x v="0"/>
    <x v="225"/>
    <s v="eth1/4"/>
    <x v="0"/>
    <x v="0"/>
    <x v="0"/>
    <s v="OSS3GMX_CLIENT1"/>
    <x v="6"/>
    <b v="0"/>
    <s v="No está en VPC"/>
    <n v="171"/>
    <s v="INTPG_VPC_171_1.4_11_172_1.4_13"/>
    <s v="ISEL-1.4"/>
    <n v="10"/>
    <s v="NO TIENE L3OUT"/>
    <n v="114"/>
    <n v="96"/>
  </r>
  <r>
    <n v="421"/>
    <x v="1"/>
    <x v="226"/>
    <s v="eth1/4"/>
    <x v="0"/>
    <x v="0"/>
    <x v="0"/>
    <s v="Prime-UCS-CLU1-B_client_LAG4_CISCOPRIME"/>
    <x v="6"/>
    <b v="0"/>
    <s v="No está en VPC"/>
    <n v="421"/>
    <s v="INTPG_VPC_419_1.4_421_1.4"/>
    <s v="ISEL-1.4"/>
    <n v="3"/>
    <s v="NO TIENE L3OUT"/>
    <n v="72"/>
    <n v="96"/>
  </r>
  <r>
    <n v="173"/>
    <x v="0"/>
    <x v="227"/>
    <s v="eth1/4"/>
    <x v="0"/>
    <x v="0"/>
    <x v="0"/>
    <s v="ENIQ"/>
    <x v="6"/>
    <b v="0"/>
    <s v="No está en VPC"/>
    <n v="173"/>
    <s v="INTPG_ACC_173_1.4"/>
    <s v="ISEL-1.4"/>
    <n v="1"/>
    <s v="NO TIENE L3OUT"/>
    <n v="66"/>
    <n v="96"/>
  </r>
  <r>
    <n v="154"/>
    <x v="0"/>
    <x v="228"/>
    <s v="eth1/4"/>
    <x v="0"/>
    <x v="1"/>
    <x v="1"/>
    <s v="SEGURIDAD OPERATIVA"/>
    <x v="6"/>
    <b v="0"/>
    <s v="No está en VPC"/>
    <n v="154"/>
    <s v="INTPG_ACC_154_1.4"/>
    <s v="ISEL-1.4"/>
    <n v="1"/>
    <s v="NO TIENE L3OUT"/>
    <n v="62"/>
    <n v="96"/>
  </r>
  <r>
    <n v="172"/>
    <x v="0"/>
    <x v="229"/>
    <s v="eth1/4"/>
    <x v="0"/>
    <x v="0"/>
    <x v="0"/>
    <s v="OSS3GMX_CLIENT1"/>
    <x v="6"/>
    <b v="0"/>
    <s v="No está en VPC"/>
    <n v="172"/>
    <s v="INTPG_VPC_171_1.4_11_172_1.4_13"/>
    <s v="ISEL-1.4"/>
    <n v="10"/>
    <s v="NO TIENE L3OUT"/>
    <n v="104"/>
    <n v="96"/>
  </r>
  <r>
    <n v="420"/>
    <x v="1"/>
    <x v="230"/>
    <s v="eth1/4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4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4"/>
    <x v="0"/>
    <x v="0"/>
    <x v="0"/>
    <s v="VNX5400_NETAC"/>
    <x v="6"/>
    <b v="0"/>
    <s v="No está en VPC"/>
    <n v="415"/>
    <s v="INTPG_ACC_415_1.4"/>
    <s v="ISEL-1.4"/>
    <n v="1"/>
    <s v="NO TIENE L3OUT"/>
    <n v="52"/>
    <n v="96"/>
  </r>
  <r>
    <n v="102"/>
    <x v="0"/>
    <x v="233"/>
    <s v="eth1/4"/>
    <x v="0"/>
    <x v="1"/>
    <x v="1"/>
    <s v="SFLDI:RLDIWEB01:1"/>
    <x v="6"/>
    <b v="0"/>
    <s v="No está en VPC"/>
    <n v="102"/>
    <s v="INTPG_ACC_102_1.4"/>
    <s v="ISEL-1.4"/>
    <n v="1"/>
    <s v="NO TIENE L3OUT"/>
    <n v="228"/>
    <n v="96"/>
  </r>
  <r>
    <n v="863"/>
    <x v="2"/>
    <x v="234"/>
    <s v="eth1/4"/>
    <x v="0"/>
    <x v="0"/>
    <x v="0"/>
    <s v="To_VPC_2DCBSD_HD38_1"/>
    <x v="0"/>
    <b v="0"/>
    <s v="No está en VPC"/>
    <n v="863"/>
    <s v="INTPG_VPC_858_1.4_863_1.4"/>
    <s v="ISEL-1.4"/>
    <n v="2"/>
    <s v="NO TIENE L3OUT"/>
    <n v="8"/>
    <n v="54"/>
  </r>
  <r>
    <n v="876"/>
    <x v="2"/>
    <x v="235"/>
    <s v="eth1/4"/>
    <x v="0"/>
    <x v="0"/>
    <x v="0"/>
    <s v="LINK_TO_ITHFHWSEQLHDPS73 / Slot 4 PTO 1 / Principal"/>
    <x v="4"/>
    <b v="0"/>
    <s v="No está en VPC"/>
    <n v="876"/>
    <s v="INTPG_ACC_876_1.4"/>
    <s v="ISEL-1.4"/>
    <n v="1"/>
    <s v="NO TIENE L3OUT"/>
    <n v="92"/>
    <n v="54"/>
  </r>
  <r>
    <n v="877"/>
    <x v="2"/>
    <x v="236"/>
    <s v="eth1/4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4"/>
    <x v="0"/>
    <x v="0"/>
    <x v="0"/>
    <s v="DESC"/>
    <x v="6"/>
    <b v="0"/>
    <s v="No está en VPC"/>
    <n v="122"/>
    <s v="INTPG_PC_122_1.4-8"/>
    <s v="ISEL-1.4"/>
    <n v="1"/>
    <s v="NO TIENE L3OUT"/>
    <n v="148"/>
    <n v="96"/>
  </r>
  <r>
    <n v="157"/>
    <x v="0"/>
    <x v="238"/>
    <s v="eth1/4"/>
    <x v="0"/>
    <x v="0"/>
    <x v="0"/>
    <s v="COBROS NAVEGACION"/>
    <x v="6"/>
    <b v="0"/>
    <s v="No está en VPC"/>
    <n v="157"/>
    <s v="INTPG_ACC_157_1.4"/>
    <s v="ISEL-1.4"/>
    <n v="1"/>
    <s v="NO TIENE L3OUT"/>
    <n v="202"/>
    <n v="96"/>
  </r>
  <r>
    <n v="408"/>
    <x v="1"/>
    <x v="239"/>
    <s v="eth1/4"/>
    <x v="0"/>
    <x v="0"/>
    <x v="0"/>
    <s v="Suspend1"/>
    <x v="6"/>
    <b v="0"/>
    <s v="No está en VPC"/>
    <n v="408"/>
    <s v="INTPG_ACC_408_1.4"/>
    <s v="ISEL-1.4"/>
    <n v="1"/>
    <s v="NO TIENE L3OUT"/>
    <n v="152"/>
    <n v="96"/>
  </r>
  <r>
    <n v="405"/>
    <x v="1"/>
    <x v="240"/>
    <s v="eth1/4"/>
    <x v="0"/>
    <x v="0"/>
    <x v="0"/>
    <s v="IXT_ARIESO4_LDR4"/>
    <x v="6"/>
    <b v="0"/>
    <s v="No está en VPC"/>
    <n v="405"/>
    <s v="INTPG_ACC_405_1.4"/>
    <s v="ISEL-1.4"/>
    <n v="1"/>
    <s v="NO TIENE L3OUT"/>
    <n v="138"/>
    <n v="96"/>
  </r>
  <r>
    <n v="169"/>
    <x v="0"/>
    <x v="241"/>
    <s v="eth1/4"/>
    <x v="0"/>
    <x v="0"/>
    <x v="0"/>
    <s v="LINKDOWN_HACIA_UCS_9UCS-GEO-IXTLA-SERV1"/>
    <x v="6"/>
    <b v="0"/>
    <s v="No está en VPC"/>
    <n v="169"/>
    <s v="INTPG_ACC_169_1.4"/>
    <s v="ISEL-1.4"/>
    <n v="1"/>
    <s v="NO TIENE L3OUT"/>
    <n v="76"/>
    <n v="96"/>
  </r>
  <r>
    <n v="165"/>
    <x v="0"/>
    <x v="242"/>
    <s v="eth1/4"/>
    <x v="0"/>
    <x v="1"/>
    <x v="1"/>
    <s v="NETIQ"/>
    <x v="6"/>
    <b v="0"/>
    <s v="No está en VPC"/>
    <n v="165"/>
    <s v="INTPG_ACC_165_1.4"/>
    <s v="ISEL-1.4"/>
    <n v="1"/>
    <s v="NO TIENE L3OUT"/>
    <n v="86"/>
    <n v="96"/>
  </r>
  <r>
    <n v="417"/>
    <x v="1"/>
    <x v="243"/>
    <s v="eth1/4"/>
    <x v="0"/>
    <x v="0"/>
    <x v="0"/>
    <s v="To-uxingemc4 ldom3 uxinghdr6"/>
    <x v="6"/>
    <b v="0"/>
    <s v="No está en VPC"/>
    <n v="417"/>
    <s v="INTPG_ACC_417_1.4"/>
    <s v="ISEL-1.4"/>
    <n v="1"/>
    <s v="NO TIENE L3OUT"/>
    <n v="56"/>
    <n v="96"/>
  </r>
  <r>
    <n v="153"/>
    <x v="0"/>
    <x v="244"/>
    <s v="eth1/4"/>
    <x v="0"/>
    <x v="1"/>
    <x v="1"/>
    <m/>
    <x v="6"/>
    <b v="0"/>
    <s v="No está en VPC"/>
    <n v="153"/>
    <s v="INTPG_ACC_153_1.4"/>
    <s v="ISEL-1.4"/>
    <n v="1"/>
    <s v="NO TIENE L3OUT"/>
    <n v="42"/>
    <n v="96"/>
  </r>
  <r>
    <n v="119"/>
    <x v="0"/>
    <x v="245"/>
    <s v="eth1/4"/>
    <x v="1"/>
    <x v="1"/>
    <x v="2"/>
    <s v="DESC"/>
    <x v="6"/>
    <b v="0"/>
    <s v="No está en VPC"/>
    <n v="119"/>
    <s v="INTPG_PC_119_1.1-4_17-20"/>
    <s v="ISEL-1.4"/>
    <n v="31"/>
    <s v="NO TIENE L3OUT"/>
    <n v="70"/>
    <n v="96"/>
  </r>
  <r>
    <n v="156"/>
    <x v="0"/>
    <x v="246"/>
    <s v="eth1/4"/>
    <x v="1"/>
    <x v="1"/>
    <x v="2"/>
    <s v="RED CRICKET"/>
    <x v="6"/>
    <b v="0"/>
    <s v="No está en VPC"/>
    <n v="156"/>
    <s v="INTPG_ACC_156_1.4"/>
    <s v="ISEL-1.4"/>
    <n v="1"/>
    <s v="NO TIENE L3OUT"/>
    <n v="40"/>
    <n v="96"/>
  </r>
  <r>
    <n v="103"/>
    <x v="0"/>
    <x v="247"/>
    <s v="eth1/4"/>
    <x v="0"/>
    <x v="0"/>
    <x v="0"/>
    <s v="NETEZZA:-:ILO"/>
    <x v="6"/>
    <b v="0"/>
    <s v="No está en VPC"/>
    <n v="103"/>
    <s v="INTPG_ACC_103_1.4"/>
    <s v="ISEL-1.4"/>
    <n v="1"/>
    <s v="NO TIENE L3OUT"/>
    <n v="70"/>
    <n v="96"/>
  </r>
  <r>
    <n v="438"/>
    <x v="1"/>
    <x v="248"/>
    <s v="eth1/4"/>
    <x v="0"/>
    <x v="1"/>
    <x v="1"/>
    <s v="uxdomaine"/>
    <x v="6"/>
    <b v="0"/>
    <s v="No está en VPC"/>
    <n v="438"/>
    <s v="INTPG_ACC_438_1.4"/>
    <s v="ISEL-1.4"/>
    <n v="1"/>
    <s v="NO TIENE L3OUT"/>
    <n v="170"/>
    <n v="96"/>
  </r>
  <r>
    <n v="406"/>
    <x v="1"/>
    <x v="249"/>
    <s v="eth1/4"/>
    <x v="0"/>
    <x v="0"/>
    <x v="0"/>
    <s v="client_ITHPF1_EN1SW2"/>
    <x v="6"/>
    <b v="0"/>
    <s v="No está en VPC"/>
    <n v="406"/>
    <s v="INTPG_VPC_404_1.3-4_406_1.3-4"/>
    <s v="ISEL-1.4"/>
    <n v="4"/>
    <s v="NO TIENE L3OUT"/>
    <n v="82"/>
    <n v="96"/>
  </r>
  <r>
    <n v="414"/>
    <x v="1"/>
    <x v="250"/>
    <s v="eth1/4"/>
    <x v="0"/>
    <x v="0"/>
    <x v="0"/>
    <s v="IXTPA4LS"/>
    <x v="6"/>
    <b v="0"/>
    <s v="No está en VPC"/>
    <n v="414"/>
    <s v="INTPG_ACC_414_1.4"/>
    <s v="ISEL-1.4"/>
    <n v="1"/>
    <s v="NO TIENE L3OUT"/>
    <n v="144"/>
    <n v="96"/>
  </r>
  <r>
    <n v="416"/>
    <x v="1"/>
    <x v="251"/>
    <s v="eth1/4"/>
    <x v="0"/>
    <x v="1"/>
    <x v="1"/>
    <s v="TMIPEX_CLIENT2"/>
    <x v="6"/>
    <b v="0"/>
    <s v="No está en VPC"/>
    <n v="416"/>
    <s v="INTPG_VPC_416_1.4_418_1.4"/>
    <s v="ISEL-1.4"/>
    <n v="7"/>
    <s v="NO TIENE L3OUT"/>
    <n v="110"/>
    <n v="96"/>
  </r>
  <r>
    <n v="418"/>
    <x v="1"/>
    <x v="252"/>
    <s v="eth1/4"/>
    <x v="0"/>
    <x v="1"/>
    <x v="1"/>
    <s v="TMIPEX_CLIENT2"/>
    <x v="6"/>
    <b v="0"/>
    <s v="No está en VPC"/>
    <n v="418"/>
    <s v="INTPG_VPC_416_1.4_418_1.4"/>
    <s v="ISEL-1.4"/>
    <n v="7"/>
    <s v="NO TIENE L3OUT"/>
    <n v="152"/>
    <n v="96"/>
  </r>
  <r>
    <n v="413"/>
    <x v="1"/>
    <x v="253"/>
    <s v="eth1/4"/>
    <x v="0"/>
    <x v="1"/>
    <x v="5"/>
    <s v="MEDIACION_HUAWEI_LACP2_PTO_1"/>
    <x v="6"/>
    <b v="0"/>
    <s v="No está en VPC"/>
    <n v="413"/>
    <s v="INTPG_VPC_411_1.4_413_1.4"/>
    <s v="ISEL-1.4"/>
    <n v="1"/>
    <s v="NO TIENE L3OUT"/>
    <n v="126"/>
    <n v="96"/>
  </r>
  <r>
    <n v="403"/>
    <x v="1"/>
    <x v="254"/>
    <s v="eth1/4"/>
    <x v="0"/>
    <x v="0"/>
    <x v="0"/>
    <s v="IXT_ARIESO4_LDR4"/>
    <x v="6"/>
    <b v="0"/>
    <s v="No está en VPC"/>
    <n v="403"/>
    <s v="INTPG_ACC_403_1.4"/>
    <s v="ISEL-1.4"/>
    <n v="1"/>
    <s v="NO TIENE L3OUT"/>
    <n v="150"/>
    <n v="96"/>
  </r>
  <r>
    <n v="125"/>
    <x v="0"/>
    <x v="255"/>
    <s v="eth1/4"/>
    <x v="0"/>
    <x v="1"/>
    <x v="1"/>
    <s v="GSM_ENIQ_QRO_R6"/>
    <x v="6"/>
    <b v="0"/>
    <s v="No está en VPC"/>
    <n v="125"/>
    <s v="INTPG_VPC_124_1.4_125_1.4"/>
    <s v="ISEL-1.4"/>
    <n v="5"/>
    <s v="NO TIENE L3OUT"/>
    <n v="72"/>
    <n v="96"/>
  </r>
  <r>
    <n v="166"/>
    <x v="0"/>
    <x v="256"/>
    <s v="eth1/4"/>
    <x v="0"/>
    <x v="0"/>
    <x v="0"/>
    <s v="Nomina"/>
    <x v="6"/>
    <b v="0"/>
    <s v="No está en VPC"/>
    <n v="166"/>
    <s v="INTPG_ACC_166_1.4"/>
    <s v="ISEL-1.4"/>
    <n v="1"/>
    <s v="NO TIENE L3OUT"/>
    <n v="84"/>
    <n v="96"/>
  </r>
  <r>
    <n v="111"/>
    <x v="0"/>
    <x v="257"/>
    <s v="eth1/4"/>
    <x v="0"/>
    <x v="0"/>
    <x v="0"/>
    <m/>
    <x v="6"/>
    <b v="0"/>
    <s v="No está en VPC"/>
    <n v="111"/>
    <s v="INTPG_ACC_111_1.4"/>
    <s v="ISEL-1.4"/>
    <n v="1"/>
    <s v="NO TIENE L3OUT"/>
    <n v="58"/>
    <n v="96"/>
  </r>
  <r>
    <n v="115"/>
    <x v="0"/>
    <x v="258"/>
    <s v="eth1/4"/>
    <x v="0"/>
    <x v="0"/>
    <x v="0"/>
    <s v="sfecpp01"/>
    <x v="6"/>
    <b v="0"/>
    <s v="No está en VPC"/>
    <n v="115"/>
    <s v="INTPG_VPC_113_1.5_115_1.4"/>
    <s v="ISEL-1.4"/>
    <n v="1"/>
    <s v="NO TIENE L3OUT"/>
    <n v="42"/>
    <n v="96"/>
  </r>
  <r>
    <n v="106"/>
    <x v="0"/>
    <x v="259"/>
    <s v="eth1/4"/>
    <x v="0"/>
    <x v="0"/>
    <x v="0"/>
    <m/>
    <x v="6"/>
    <b v="0"/>
    <s v="No está en VPC"/>
    <n v="106"/>
    <s v="INTPG_ACC_106_1.4"/>
    <s v="ISEL-1.4"/>
    <n v="1"/>
    <s v="NO TIENE L3OUT"/>
    <n v="122"/>
    <n v="96"/>
  </r>
  <r>
    <n v="126"/>
    <x v="0"/>
    <x v="260"/>
    <s v="eth1/4"/>
    <x v="0"/>
    <x v="0"/>
    <x v="0"/>
    <s v="U2000_IPRAN"/>
    <x v="6"/>
    <b v="0"/>
    <s v="No está en VPC"/>
    <n v="126"/>
    <s v="INTPG_ACC_126_1.4"/>
    <s v="ISEL-1.4"/>
    <n v="1"/>
    <s v="NO TIENE L3OUT"/>
    <n v="54"/>
    <n v="96"/>
  </r>
  <r>
    <n v="425"/>
    <x v="1"/>
    <x v="261"/>
    <s v="eth1/4"/>
    <x v="0"/>
    <x v="1"/>
    <x v="1"/>
    <s v="VTA_uxvta073_Net0"/>
    <x v="6"/>
    <b v="0"/>
    <s v="No está en VPC"/>
    <n v="425"/>
    <s v="INTPG_ACC_425_1.4"/>
    <s v="ISEL-1.4"/>
    <n v="1"/>
    <s v="NO TIENE L3OUT"/>
    <n v="86"/>
    <n v="96"/>
  </r>
  <r>
    <n v="151"/>
    <x v="0"/>
    <x v="262"/>
    <s v="eth1/4"/>
    <x v="0"/>
    <x v="0"/>
    <x v="0"/>
    <s v="9GW_TAB_Y_UPS-OFICINA_IXTLAHUACA_01"/>
    <x v="6"/>
    <b v="0"/>
    <s v="No está en VPC"/>
    <n v="151"/>
    <s v="NO EXISTE PG"/>
    <s v="NO EXISTE ISEL"/>
    <n v="9"/>
    <s v="NO TIENE L3OUT"/>
    <n v="86"/>
    <n v="96"/>
  </r>
  <r>
    <n v="430"/>
    <x v="1"/>
    <x v="263"/>
    <s v="eth1/4"/>
    <x v="0"/>
    <x v="0"/>
    <x v="0"/>
    <s v="ECAC2"/>
    <x v="6"/>
    <b v="0"/>
    <s v="No está en VPC"/>
    <n v="430"/>
    <s v="INTPG_VPC_428_1.4_430_1.4"/>
    <s v="ISEL-1.4"/>
    <n v="1"/>
    <s v="NO TIENE L3OUT"/>
    <n v="86"/>
    <n v="96"/>
  </r>
  <r>
    <n v="419"/>
    <x v="1"/>
    <x v="264"/>
    <s v="eth1/4"/>
    <x v="0"/>
    <x v="0"/>
    <x v="0"/>
    <s v="Prime-UCS-CLU1-B_client_LAG4_CISCOPRIME"/>
    <x v="6"/>
    <b v="0"/>
    <s v="No está en VPC"/>
    <n v="419"/>
    <s v="INTPG_VPC_419_1.4_421_1.4"/>
    <s v="ISEL-1.4"/>
    <n v="3"/>
    <s v="NO TIENE L3OUT"/>
    <n v="70"/>
    <n v="96"/>
  </r>
  <r>
    <n v="155"/>
    <x v="0"/>
    <x v="265"/>
    <s v="eth1/4"/>
    <x v="0"/>
    <x v="0"/>
    <x v="0"/>
    <s v="UXINGE"/>
    <x v="6"/>
    <b v="0"/>
    <s v="No está en VPC"/>
    <n v="155"/>
    <s v="INTPG_ACC_155_1.4"/>
    <s v="ISEL-1.4"/>
    <n v="1"/>
    <s v="NO TIENE L3OUT"/>
    <n v="198"/>
    <n v="96"/>
  </r>
  <r>
    <n v="409"/>
    <x v="1"/>
    <x v="266"/>
    <s v="eth1/4"/>
    <x v="0"/>
    <x v="0"/>
    <x v="0"/>
    <s v="RLR2ARI08"/>
    <x v="6"/>
    <b v="0"/>
    <s v="No está en VPC"/>
    <n v="409"/>
    <s v="INTPG_ACC_409_1.4"/>
    <s v="ISEL-1.4"/>
    <n v="1"/>
    <s v="NO TIENE L3OUT"/>
    <n v="128"/>
    <n v="96"/>
  </r>
  <r>
    <n v="422"/>
    <x v="1"/>
    <x v="267"/>
    <s v="eth1/4"/>
    <x v="0"/>
    <x v="0"/>
    <x v="0"/>
    <s v="DNS_NOMINUM"/>
    <x v="6"/>
    <b v="0"/>
    <s v="No está en VPC"/>
    <n v="422"/>
    <s v="INTPG_ACC_422_1.4"/>
    <s v="ISEL-1.4"/>
    <n v="1"/>
    <s v="NO TIENE L3OUT"/>
    <n v="182"/>
    <n v="96"/>
  </r>
  <r>
    <n v="436"/>
    <x v="1"/>
    <x v="268"/>
    <s v="eth1/4"/>
    <x v="0"/>
    <x v="1"/>
    <x v="1"/>
    <s v="uxdomaine"/>
    <x v="6"/>
    <b v="0"/>
    <s v="No está en VPC"/>
    <n v="436"/>
    <s v="INTPG_ACC_436_1.4"/>
    <s v="ISEL-1.4"/>
    <n v="1"/>
    <s v="NO TIENE L3OUT"/>
    <n v="172"/>
    <n v="96"/>
  </r>
  <r>
    <n v="410"/>
    <x v="1"/>
    <x v="269"/>
    <s v="eth1/4"/>
    <x v="0"/>
    <x v="0"/>
    <x v="0"/>
    <s v="9UCS-IXTLA-WEBEX-SERV2"/>
    <x v="6"/>
    <b v="0"/>
    <s v="No está en VPC"/>
    <n v="410"/>
    <s v="INTPG_ACC_410_1.4"/>
    <s v="ISEL-1.4"/>
    <n v="1"/>
    <s v="NO TIENE L3OUT"/>
    <n v="178"/>
    <n v="96"/>
  </r>
  <r>
    <n v="161"/>
    <x v="0"/>
    <x v="270"/>
    <s v="eth1/4"/>
    <x v="0"/>
    <x v="1"/>
    <x v="1"/>
    <s v="IBM SICOD"/>
    <x v="6"/>
    <b v="0"/>
    <s v="No está en VPC"/>
    <n v="161"/>
    <s v="INTPG_ACC_161_1.4"/>
    <s v="ISEL-1.4"/>
    <n v="1"/>
    <s v="NO TIENE L3OUT"/>
    <n v="102"/>
    <n v="96"/>
  </r>
  <r>
    <n v="411"/>
    <x v="1"/>
    <x v="271"/>
    <s v="eth1/4"/>
    <x v="0"/>
    <x v="1"/>
    <x v="1"/>
    <s v="MEDIACION_HUAWEI_LACP2_PTO_1"/>
    <x v="6"/>
    <b v="0"/>
    <s v="No está en VPC"/>
    <n v="411"/>
    <s v="INTPG_VPC_411_1.4_413_1.4"/>
    <s v="ISEL-1.4"/>
    <n v="1"/>
    <s v="NO TIENE L3OUT"/>
    <n v="96"/>
    <n v="96"/>
  </r>
  <r>
    <n v="116"/>
    <x v="0"/>
    <x v="272"/>
    <s v="eth1/4"/>
    <x v="0"/>
    <x v="0"/>
    <x v="0"/>
    <s v="UXWEPD38"/>
    <x v="6"/>
    <b v="0"/>
    <s v="No está en VPC"/>
    <n v="116"/>
    <s v="INTPG_ACC_116_1.4"/>
    <s v="ISEL-1.4"/>
    <n v="1"/>
    <s v="NO TIENE L3OUT"/>
    <n v="148"/>
    <n v="96"/>
  </r>
  <r>
    <n v="412"/>
    <x v="1"/>
    <x v="273"/>
    <s v="eth1/4"/>
    <x v="0"/>
    <x v="0"/>
    <x v="0"/>
    <s v="uxhdr01a_ILOM"/>
    <x v="6"/>
    <b v="0"/>
    <s v="No está en VPC"/>
    <n v="412"/>
    <s v="INTPG_ACC_412_1.4"/>
    <s v="ISEL-1.4"/>
    <n v="1"/>
    <s v="NO TIENE L3OUT"/>
    <n v="126"/>
    <n v="96"/>
  </r>
  <r>
    <n v="120"/>
    <x v="0"/>
    <x v="274"/>
    <s v="eth1/4"/>
    <x v="0"/>
    <x v="0"/>
    <x v="0"/>
    <s v="TemipAMX1"/>
    <x v="6"/>
    <b v="0"/>
    <s v="No está en VPC"/>
    <n v="120"/>
    <s v="INTPG_PC_120_1.4-8"/>
    <s v="ISEL-1.4"/>
    <n v="1"/>
    <s v="NO TIENE L3OUT"/>
    <n v="158"/>
    <n v="96"/>
  </r>
  <r>
    <n v="404"/>
    <x v="1"/>
    <x v="275"/>
    <s v="eth1/4"/>
    <x v="0"/>
    <x v="0"/>
    <x v="0"/>
    <s v="client_ITHPF1_EN1SW2"/>
    <x v="6"/>
    <b v="0"/>
    <s v="No está en VPC"/>
    <n v="404"/>
    <s v="INTPG_VPC_404_1.3-4_406_1.3-4"/>
    <s v="ISEL-1.4"/>
    <n v="4"/>
    <s v="NO TIENE L3OUT"/>
    <n v="92"/>
    <n v="96"/>
  </r>
  <r>
    <n v="167"/>
    <x v="0"/>
    <x v="276"/>
    <s v="eth1/4"/>
    <x v="0"/>
    <x v="0"/>
    <x v="0"/>
    <s v="LINKDOWN_HACIA_UCS_9UCS-GEO-IXTLA-SERV1"/>
    <x v="6"/>
    <b v="0"/>
    <s v="No está en VPC"/>
    <n v="167"/>
    <s v="INTPG_ACC_167_1.4"/>
    <s v="ISEL-1.4"/>
    <n v="1"/>
    <s v="NO TIENE L3OUT"/>
    <n v="68"/>
    <n v="96"/>
  </r>
  <r>
    <n v="428"/>
    <x v="1"/>
    <x v="277"/>
    <s v="eth1/4"/>
    <x v="0"/>
    <x v="0"/>
    <x v="0"/>
    <s v="ECAC2"/>
    <x v="6"/>
    <b v="0"/>
    <s v="No está en VPC"/>
    <n v="428"/>
    <s v="INTPG_VPC_428_1.4_430_1.4"/>
    <s v="ISEL-1.4"/>
    <n v="1"/>
    <s v="NO TIENE L3OUT"/>
    <n v="102"/>
    <n v="96"/>
  </r>
  <r>
    <n v="903"/>
    <x v="2"/>
    <x v="278"/>
    <s v="eth1/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40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40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40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40"/>
    <x v="1"/>
    <x v="1"/>
    <x v="2"/>
    <s v="DESC"/>
    <x v="0"/>
    <b v="0"/>
    <s v="No está en VPC"/>
    <n v="101"/>
    <s v="INTPG_PC_101_1.39-40"/>
    <s v="ISEL-1.40"/>
    <n v="1"/>
    <s v="NO TIENE L3OUT"/>
    <n v="114"/>
    <n v="54"/>
  </r>
  <r>
    <n v="160"/>
    <x v="0"/>
    <x v="4"/>
    <s v="eth1/40"/>
    <x v="0"/>
    <x v="1"/>
    <x v="1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40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40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40"/>
    <x v="0"/>
    <x v="1"/>
    <x v="3"/>
    <m/>
    <x v="0"/>
    <b v="0"/>
    <s v="No está en VPC"/>
    <n v="401"/>
    <s v="NO EXISTE PG"/>
    <s v="NO EXISTE ISEL"/>
    <n v="0"/>
    <s v="NO TIENE L3OUT"/>
    <n v="40"/>
    <n v="54"/>
  </r>
  <r>
    <n v="402"/>
    <x v="1"/>
    <x v="8"/>
    <s v="eth1/40"/>
    <x v="0"/>
    <x v="1"/>
    <x v="3"/>
    <s v="VMWARE_DEMO_TO_APIC"/>
    <x v="0"/>
    <b v="0"/>
    <s v="No está en VPC"/>
    <n v="402"/>
    <s v="INTPG_ACC_402_1.40"/>
    <s v="ISEL-1.40"/>
    <n v="0"/>
    <s v="NO TIENE L3OUT"/>
    <n v="36"/>
    <n v="54"/>
  </r>
  <r>
    <n v="130"/>
    <x v="0"/>
    <x v="11"/>
    <s v="eth1/40"/>
    <x v="0"/>
    <x v="0"/>
    <x v="0"/>
    <s v="LAG-smt-comp-03"/>
    <x v="0"/>
    <b v="0"/>
    <s v="No está en VPC"/>
    <n v="130"/>
    <s v="INTPG_VPC_130_1.40-41_131_1.40-41"/>
    <s v="ISEL-1.40"/>
    <n v="4"/>
    <s v="NO TIENE L3OUT"/>
    <n v="128"/>
    <n v="54"/>
  </r>
  <r>
    <n v="150"/>
    <x v="0"/>
    <x v="12"/>
    <s v="eth1/40"/>
    <x v="0"/>
    <x v="0"/>
    <x v="0"/>
    <s v="DESC"/>
    <x v="0"/>
    <b v="0"/>
    <s v="No está en VPC"/>
    <n v="150"/>
    <s v="INTPG_PC_150_1.39-40"/>
    <s v="ISEL-1.40"/>
    <n v="1"/>
    <s v="NO TIENE L3OUT"/>
    <n v="118"/>
    <n v="54"/>
  </r>
  <r>
    <n v="131"/>
    <x v="0"/>
    <x v="13"/>
    <s v="eth1/40"/>
    <x v="0"/>
    <x v="0"/>
    <x v="0"/>
    <s v="LAG-smt-comp-03"/>
    <x v="0"/>
    <b v="0"/>
    <s v="No está en VPC"/>
    <n v="131"/>
    <s v="INTPG_VPC_130_1.40-41_131_1.40-41"/>
    <s v="ISEL-1.40"/>
    <n v="4"/>
    <s v="NO TIENE L3OUT"/>
    <n v="126"/>
    <n v="54"/>
  </r>
  <r>
    <n v="424"/>
    <x v="1"/>
    <x v="18"/>
    <s v="eth1/40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40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40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40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40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40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40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40"/>
    <x v="0"/>
    <x v="0"/>
    <x v="0"/>
    <s v="FGW_R9_IXTLA_FORTI_42K_1"/>
    <x v="0"/>
    <b v="0"/>
    <s v="No está en VPC"/>
    <n v="431"/>
    <s v="INTPG_ACC_431_1.40"/>
    <s v="ISEL-1.40"/>
    <n v="0"/>
    <s v="L3OUT-NUBE-ORACLE-1"/>
    <n v="46"/>
    <n v="54"/>
  </r>
  <r>
    <n v="433"/>
    <x v="1"/>
    <x v="27"/>
    <s v="eth1/40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40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40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40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40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40"/>
    <x v="1"/>
    <x v="1"/>
    <x v="3"/>
    <m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40"/>
    <x v="1"/>
    <x v="1"/>
    <x v="3"/>
    <m/>
    <x v="0"/>
    <b v="0"/>
    <s v="No está en VPC"/>
    <n v="712"/>
    <s v="NO EXISTE PG"/>
    <s v="NO EXISTE ISEL"/>
    <n v="0"/>
    <s v="NO TIENE L3OUT"/>
    <n v="32"/>
    <n v="54"/>
  </r>
  <r>
    <n v="719"/>
    <x v="2"/>
    <x v="34"/>
    <s v="eth1/40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40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40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40"/>
    <x v="1"/>
    <x v="1"/>
    <x v="3"/>
    <m/>
    <x v="0"/>
    <b v="0"/>
    <s v="No está en VPC"/>
    <n v="711"/>
    <s v="NO EXISTE PG"/>
    <s v="NO EXISTE ISEL"/>
    <n v="0"/>
    <s v="NO TIENE L3OUT"/>
    <n v="16"/>
    <n v="54"/>
  </r>
  <r>
    <n v="716"/>
    <x v="2"/>
    <x v="38"/>
    <s v="eth1/40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40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40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40"/>
    <x v="0"/>
    <x v="0"/>
    <x v="0"/>
    <s v="Proyecto Arieso"/>
    <x v="0"/>
    <b v="0"/>
    <s v="No está en VPC"/>
    <n v="446"/>
    <s v="INTPG_VPC_444_1.37-40_446_1.37-40"/>
    <s v="ISEL-1.40"/>
    <n v="16"/>
    <s v="NO TIENE L3OUT"/>
    <n v="198"/>
    <n v="54"/>
  </r>
  <r>
    <n v="444"/>
    <x v="1"/>
    <x v="42"/>
    <s v="eth1/40"/>
    <x v="0"/>
    <x v="0"/>
    <x v="0"/>
    <s v="Proyecto Arieso"/>
    <x v="0"/>
    <b v="0"/>
    <s v="No está en VPC"/>
    <n v="444"/>
    <s v="INTPG_VPC_444_1.37-40_446_1.37-40"/>
    <s v="ISEL-1.40"/>
    <n v="16"/>
    <s v="NO TIENE L3OUT"/>
    <n v="234"/>
    <n v="54"/>
  </r>
  <r>
    <n v="701"/>
    <x v="2"/>
    <x v="43"/>
    <s v="eth1/40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40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40"/>
    <x v="0"/>
    <x v="0"/>
    <x v="0"/>
    <s v="FGW_R9_IXTLA_FORTI_42K_2"/>
    <x v="0"/>
    <b v="0"/>
    <s v="No está en VPC"/>
    <n v="448"/>
    <s v="INTPG_ACC_448_1.40"/>
    <s v="ISEL-1.40"/>
    <n v="0"/>
    <s v="L3OUT-NUBE-ORACLE-2"/>
    <n v="46"/>
    <n v="54"/>
  </r>
  <r>
    <n v="704"/>
    <x v="2"/>
    <x v="46"/>
    <s v="eth1/40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40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40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40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40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40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40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40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40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40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40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40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40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40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40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40"/>
    <x v="0"/>
    <x v="1"/>
    <x v="1"/>
    <m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40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40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40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40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40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40"/>
    <x v="0"/>
    <x v="1"/>
    <x v="3"/>
    <s v="CLOUD OPS:ithhwcop01st01ce04:B IOM1 Smart IO P0"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40"/>
    <x v="1"/>
    <x v="1"/>
    <x v="3"/>
    <m/>
    <x v="0"/>
    <b v="0"/>
    <s v="No está en VPC"/>
    <n v="780"/>
    <s v="NO EXISTE PG"/>
    <s v="NO EXISTE ISEL"/>
    <n v="0"/>
    <s v="NO TIENE L3OUT"/>
    <n v="26"/>
    <n v="54"/>
  </r>
  <r>
    <n v="812"/>
    <x v="2"/>
    <x v="70"/>
    <s v="eth1/40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40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40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40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40"/>
    <x v="0"/>
    <x v="0"/>
    <x v="0"/>
    <s v="LINK_TO_ITHHWCRMPEN01 /X2-10GE 1 /Principal"/>
    <x v="0"/>
    <b v="0"/>
    <s v="No está en VPC"/>
    <n v="824"/>
    <s v="INTPG_VPC_819_1.40_43_824_1.40_43"/>
    <s v="ISEL-1.40"/>
    <n v="4"/>
    <s v="NO TIENE L3OUT"/>
    <n v="70"/>
    <n v="54"/>
  </r>
  <r>
    <n v="819"/>
    <x v="2"/>
    <x v="75"/>
    <s v="eth1/40"/>
    <x v="0"/>
    <x v="0"/>
    <x v="0"/>
    <s v="LINK_TO_ITHHWCRMPEN01 /X2-10GE 2 /Redundante"/>
    <x v="0"/>
    <b v="0"/>
    <s v="No está en VPC"/>
    <n v="819"/>
    <s v="INTPG_VPC_819_1.40_43_824_1.40_43"/>
    <s v="ISEL-1.40"/>
    <n v="4"/>
    <s v="NO TIENE L3OUT"/>
    <n v="70"/>
    <n v="54"/>
  </r>
  <r>
    <n v="737"/>
    <x v="2"/>
    <x v="76"/>
    <s v="eth1/40"/>
    <x v="0"/>
    <x v="1"/>
    <x v="1"/>
    <m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40"/>
    <x v="0"/>
    <x v="0"/>
    <x v="0"/>
    <s v="LINK_TO_ITHFHWCRMPLCN114 / Slot1.1_32 / Principal"/>
    <x v="0"/>
    <b v="0"/>
    <s v="No está en VPC"/>
    <n v="844"/>
    <s v="INTPG_ACC_844_1.40"/>
    <s v="ISEL-1.40"/>
    <n v="6"/>
    <s v="NO TIENE L3OUT"/>
    <n v="282"/>
    <n v="54"/>
  </r>
  <r>
    <n v="843"/>
    <x v="2"/>
    <x v="78"/>
    <s v="eth1/40"/>
    <x v="0"/>
    <x v="0"/>
    <x v="0"/>
    <s v="A_ITHFHWSEQLHDPS82_Principal"/>
    <x v="0"/>
    <b v="0"/>
    <s v="No está en VPC"/>
    <n v="843"/>
    <s v="INTPG_ACC_843_1.40"/>
    <s v="ISEL-1.40"/>
    <n v="1"/>
    <s v="NO TIENE L3OUT"/>
    <n v="38"/>
    <n v="54"/>
  </r>
  <r>
    <n v="797"/>
    <x v="2"/>
    <x v="79"/>
    <s v="eth1/40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40"/>
    <x v="0"/>
    <x v="0"/>
    <x v="0"/>
    <s v="LINK_TO_ITHFHWCBSPSUSBD32 / Slot7.1_4 / Redundante"/>
    <x v="0"/>
    <b v="0"/>
    <s v="No está en VPC"/>
    <n v="839"/>
    <s v="INTPG_VPC_834_1.40_839_1.40"/>
    <s v="ISEL-1.40"/>
    <n v="2"/>
    <s v="NO TIENE L3OUT"/>
    <n v="0"/>
    <n v="54"/>
  </r>
  <r>
    <n v="847"/>
    <x v="2"/>
    <x v="81"/>
    <s v="eth1/40"/>
    <x v="0"/>
    <x v="0"/>
    <x v="0"/>
    <s v="LINK_TO_ITHFHWCRMPSBDP10 / Slot7.3_4 / Redundante"/>
    <x v="0"/>
    <b v="0"/>
    <s v="No está en VPC"/>
    <n v="847"/>
    <s v="INTPG_VPC_854_1.40_847_1.40"/>
    <s v="ISEL-1.40"/>
    <n v="1"/>
    <s v="NO TIENE L3OUT"/>
    <n v="204"/>
    <n v="54"/>
  </r>
  <r>
    <n v="848"/>
    <x v="2"/>
    <x v="82"/>
    <s v="eth1/40"/>
    <x v="0"/>
    <x v="0"/>
    <x v="0"/>
    <s v="LINK_TO_ITHFHWCRMPLCN167 / Slot7.3_36 / Redundante"/>
    <x v="0"/>
    <b v="0"/>
    <s v="No está en VPC"/>
    <n v="848"/>
    <s v="INTPG_ACC_848_1.40"/>
    <s v="ISEL-1.40"/>
    <n v="1"/>
    <s v="NO TIENE L3OUT"/>
    <n v="254"/>
    <n v="54"/>
  </r>
  <r>
    <n v="846"/>
    <x v="2"/>
    <x v="83"/>
    <s v="eth1/40"/>
    <x v="0"/>
    <x v="0"/>
    <x v="0"/>
    <s v="LINK_TO_ITHFHWCRMPLCN85 / Slot1.1_28 / Principal"/>
    <x v="0"/>
    <b v="0"/>
    <s v="No está en VPC"/>
    <n v="846"/>
    <s v="INTPG_ACC_846_1.40"/>
    <s v="ISEL-1.40"/>
    <n v="6"/>
    <s v="NO TIENE L3OUT"/>
    <n v="242"/>
    <n v="54"/>
  </r>
  <r>
    <n v="838"/>
    <x v="2"/>
    <x v="84"/>
    <s v="eth1/40"/>
    <x v="0"/>
    <x v="0"/>
    <x v="0"/>
    <s v="A_ITHFHWSEQLHDPS82_Redundante"/>
    <x v="0"/>
    <b v="0"/>
    <s v="No está en VPC"/>
    <n v="838"/>
    <s v="INTPG_ACC_838_1.40"/>
    <s v="ISEL-1.40"/>
    <n v="1"/>
    <s v="NO TIENE L3OUT"/>
    <n v="38"/>
    <n v="54"/>
  </r>
  <r>
    <n v="849"/>
    <x v="2"/>
    <x v="85"/>
    <s v="eth1/40"/>
    <x v="0"/>
    <x v="0"/>
    <x v="0"/>
    <s v="LINK_TO_ITHFHWCRMPLCN147 / Slot7.3_28 / Redundante"/>
    <x v="0"/>
    <b v="0"/>
    <s v="No está en VPC"/>
    <n v="849"/>
    <s v="INTPG_ACC_849_1.40"/>
    <s v="ISEL-1.40"/>
    <n v="1"/>
    <s v="NO TIENE L3OUT"/>
    <n v="286"/>
    <n v="54"/>
  </r>
  <r>
    <n v="845"/>
    <x v="2"/>
    <x v="86"/>
    <s v="eth1/40"/>
    <x v="0"/>
    <x v="0"/>
    <x v="0"/>
    <s v="LINK_TO_ITHFHWCRMPLCN97 / Slot1.2_26 / Principal"/>
    <x v="0"/>
    <b v="0"/>
    <s v="No está en VPC"/>
    <n v="845"/>
    <s v="INTPG_ACC_845_1.40"/>
    <s v="ISEL-1.40"/>
    <n v="2"/>
    <s v="NO TIENE L3OUT"/>
    <n v="258"/>
    <n v="54"/>
  </r>
  <r>
    <n v="873"/>
    <x v="2"/>
    <x v="87"/>
    <s v="eth1/40"/>
    <x v="0"/>
    <x v="0"/>
    <x v="0"/>
    <s v="To_ITHFHWCRMDLCN37_Redundante"/>
    <x v="0"/>
    <b v="0"/>
    <s v="No está en VPC"/>
    <n v="873"/>
    <s v="INTPG_ACC_873_1.40"/>
    <s v="ISEL-1.40"/>
    <n v="6"/>
    <s v="NO TIENE L3OUT"/>
    <n v="248"/>
    <n v="54"/>
  </r>
  <r>
    <n v="864"/>
    <x v="2"/>
    <x v="88"/>
    <s v="eth1/40"/>
    <x v="0"/>
    <x v="0"/>
    <x v="0"/>
    <s v="To_VPC_2DCBSD_WR49_1"/>
    <x v="0"/>
    <b v="0"/>
    <s v="No está en VPC"/>
    <n v="864"/>
    <s v="INTPG_VPC_859_1.40_864_1.40"/>
    <s v="ISEL-1.40"/>
    <n v="2"/>
    <s v="NO TIENE L3OUT"/>
    <n v="0"/>
    <n v="54"/>
  </r>
  <r>
    <n v="836"/>
    <x v="2"/>
    <x v="89"/>
    <s v="eth1/40"/>
    <x v="0"/>
    <x v="0"/>
    <x v="0"/>
    <s v="LINK_TO_ITHFHWCBSPSHD27 / Slot1.3_18 / Principal"/>
    <x v="0"/>
    <b v="0"/>
    <s v="No está en VPC"/>
    <n v="836"/>
    <s v="INTPG_VPC_836_1.40_841_1.40"/>
    <s v="ISEL-1.40"/>
    <n v="1"/>
    <s v="NO TIENE L3OUT"/>
    <n v="0"/>
    <n v="54"/>
  </r>
  <r>
    <n v="834"/>
    <x v="2"/>
    <x v="90"/>
    <s v="eth1/40"/>
    <x v="0"/>
    <x v="0"/>
    <x v="0"/>
    <s v="LINK_TO_ITHFHWCBSPSUSBD32 / Slot1.1_4 / Principal"/>
    <x v="0"/>
    <b v="0"/>
    <s v="No está en VPC"/>
    <n v="834"/>
    <s v="INTPG_VPC_834_1.40_839_1.40"/>
    <s v="ISEL-1.40"/>
    <n v="2"/>
    <s v="NO TIENE L3OUT"/>
    <n v="0"/>
    <n v="54"/>
  </r>
  <r>
    <n v="872"/>
    <x v="2"/>
    <x v="91"/>
    <s v="eth1/40"/>
    <x v="0"/>
    <x v="0"/>
    <x v="0"/>
    <s v="TO_ITHFHWCRMDLCN50_Principal"/>
    <x v="0"/>
    <b v="0"/>
    <s v="No está en VPC"/>
    <n v="872"/>
    <s v="INTPG_ACC_872_1.40"/>
    <s v="ISEL-1.40"/>
    <n v="2"/>
    <s v="NO TIENE L3OUT"/>
    <n v="288"/>
    <n v="54"/>
  </r>
  <r>
    <n v="842"/>
    <x v="2"/>
    <x v="92"/>
    <s v="eth1/40"/>
    <x v="0"/>
    <x v="0"/>
    <x v="0"/>
    <s v="LINK_To_ITHFHWCBSPSHD21 / Slot7.2_18 / Redundante"/>
    <x v="0"/>
    <b v="0"/>
    <s v="No está en VPC"/>
    <n v="842"/>
    <s v="INTPG_VPC_837_1.40_842_1.40"/>
    <s v="ISEL-1.40"/>
    <n v="1"/>
    <s v="NO TIENE L3OUT"/>
    <n v="8"/>
    <n v="54"/>
  </r>
  <r>
    <n v="828"/>
    <x v="2"/>
    <x v="93"/>
    <s v="eth1/40"/>
    <x v="0"/>
    <x v="0"/>
    <x v="0"/>
    <s v="LINK_TO_ITHHWD6KV60010DKC01 /CtrlB_IOM0.P0 /Principal"/>
    <x v="0"/>
    <b v="0"/>
    <s v="No está en VPC"/>
    <n v="828"/>
    <s v="INTPG_ACC_828_1.40"/>
    <s v="ISEL-1.40"/>
    <n v="1"/>
    <s v="NO TIENE L3OUT"/>
    <n v="192"/>
    <n v="54"/>
  </r>
  <r>
    <n v="870"/>
    <x v="2"/>
    <x v="94"/>
    <s v="eth1/40"/>
    <x v="0"/>
    <x v="0"/>
    <x v="0"/>
    <s v="To_ITHFHWCRMDLCN37_Principal"/>
    <x v="0"/>
    <b v="0"/>
    <s v="No está en VPC"/>
    <n v="870"/>
    <s v="INTPG_ACC_870_1.40"/>
    <s v="ISEL-1.40"/>
    <n v="6"/>
    <s v="NO TIENE L3OUT"/>
    <n v="248"/>
    <n v="54"/>
  </r>
  <r>
    <n v="866"/>
    <x v="2"/>
    <x v="95"/>
    <s v="eth1/40"/>
    <x v="0"/>
    <x v="0"/>
    <x v="0"/>
    <s v="To_VPC_2DCBSD_BD15_3"/>
    <x v="0"/>
    <b v="0"/>
    <s v="No está en VPC"/>
    <n v="866"/>
    <s v="INTPG_VPC_861_1.40_866_1.40"/>
    <s v="ISEL-1.40"/>
    <n v="1"/>
    <s v="NO TIENE L3OUT"/>
    <n v="8"/>
    <n v="54"/>
  </r>
  <r>
    <n v="862"/>
    <x v="2"/>
    <x v="96"/>
    <s v="eth1/40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40"/>
    <x v="0"/>
    <x v="0"/>
    <x v="0"/>
    <s v="LINK_TO_ITHFHWCRMPLCN167 / Slot1.3_36 / Principal"/>
    <x v="0"/>
    <b v="0"/>
    <s v="No está en VPC"/>
    <n v="855"/>
    <s v="INTPG_ACC_855_1.40"/>
    <s v="ISEL-1.40"/>
    <n v="1"/>
    <s v="NO TIENE L3OUT"/>
    <n v="254"/>
    <n v="54"/>
  </r>
  <r>
    <n v="871"/>
    <x v="2"/>
    <x v="98"/>
    <s v="eth1/40"/>
    <x v="0"/>
    <x v="0"/>
    <x v="0"/>
    <s v="To_ITHFHWCRMDLCN67_Principal"/>
    <x v="0"/>
    <b v="0"/>
    <s v="No está en VPC"/>
    <n v="871"/>
    <s v="INTPG_ACC_871_1.40"/>
    <s v="ISEL-1.40"/>
    <n v="6"/>
    <s v="NO TIENE L3OUT"/>
    <n v="246"/>
    <n v="54"/>
  </r>
  <r>
    <n v="841"/>
    <x v="2"/>
    <x v="99"/>
    <s v="eth1/40"/>
    <x v="0"/>
    <x v="0"/>
    <x v="0"/>
    <s v="LINK_TO_ITHFHWCBSPSHD27 / Slot7.3_18 / Redundante"/>
    <x v="0"/>
    <b v="0"/>
    <s v="No está en VPC"/>
    <n v="841"/>
    <s v="INTPG_VPC_836_1.40_841_1.40"/>
    <s v="ISEL-1.40"/>
    <n v="1"/>
    <s v="NO TIENE L3OUT"/>
    <n v="0"/>
    <n v="54"/>
  </r>
  <r>
    <n v="868"/>
    <x v="2"/>
    <x v="100"/>
    <s v="eth1/40"/>
    <x v="0"/>
    <x v="0"/>
    <x v="0"/>
    <s v="To_ITHFHWCRMDLCN67_Redundante"/>
    <x v="0"/>
    <b v="0"/>
    <s v="No está en VPC"/>
    <n v="868"/>
    <s v="INTPG_ACC_868_1.40"/>
    <s v="ISEL-1.40"/>
    <n v="6"/>
    <s v="NO TIENE L3OUT"/>
    <n v="246"/>
    <n v="54"/>
  </r>
  <r>
    <n v="869"/>
    <x v="2"/>
    <x v="101"/>
    <s v="eth1/40"/>
    <x v="0"/>
    <x v="0"/>
    <x v="0"/>
    <s v="TO_ITHFHWCRMDLCN50_Redundante"/>
    <x v="0"/>
    <b v="0"/>
    <s v="No está en VPC"/>
    <n v="869"/>
    <s v="INTPG_ACC_869_1.40"/>
    <s v="ISEL-1.40"/>
    <n v="2"/>
    <s v="NO TIENE L3OUT"/>
    <n v="288"/>
    <n v="54"/>
  </r>
  <r>
    <n v="861"/>
    <x v="2"/>
    <x v="102"/>
    <s v="eth1/40"/>
    <x v="0"/>
    <x v="0"/>
    <x v="0"/>
    <s v="To_VPC_2DCBSD_BD15_3"/>
    <x v="0"/>
    <b v="0"/>
    <s v="No está en VPC"/>
    <n v="861"/>
    <s v="INTPG_VPC_861_1.40_866_1.40"/>
    <s v="ISEL-1.40"/>
    <n v="1"/>
    <s v="NO TIENE L3OUT"/>
    <n v="8"/>
    <n v="54"/>
  </r>
  <r>
    <n v="874"/>
    <x v="2"/>
    <x v="103"/>
    <s v="eth1/40"/>
    <x v="0"/>
    <x v="0"/>
    <x v="0"/>
    <s v="A_ITHFHWSEQLCAS15_Redundante"/>
    <x v="4"/>
    <b v="0"/>
    <s v="No está en VPC"/>
    <n v="874"/>
    <s v="INTPG_ACC_874_1.40"/>
    <s v="ISEL-1.40"/>
    <n v="1"/>
    <s v="NO TIENE L3OUT"/>
    <n v="92"/>
    <n v="54"/>
  </r>
  <r>
    <n v="865"/>
    <x v="2"/>
    <x v="104"/>
    <s v="eth1/40"/>
    <x v="0"/>
    <x v="0"/>
    <x v="0"/>
    <s v="To_VPC_2DCBSD_WR39_1"/>
    <x v="0"/>
    <b v="0"/>
    <s v="No está en VPC"/>
    <n v="865"/>
    <s v="INTPG_VPC_860_1.40_865_1.40"/>
    <s v="ISEL-1.40"/>
    <n v="2"/>
    <s v="NO TIENE L3OUT"/>
    <n v="0"/>
    <n v="54"/>
  </r>
  <r>
    <n v="753"/>
    <x v="2"/>
    <x v="105"/>
    <s v="eth1/40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40"/>
    <x v="0"/>
    <x v="1"/>
    <x v="3"/>
    <m/>
    <x v="0"/>
    <b v="0"/>
    <s v="No está en VPC"/>
    <n v="708"/>
    <s v="NO EXISTE PG"/>
    <s v="NO EXISTE ISEL"/>
    <n v="0"/>
    <s v="NO TIENE L3OUT"/>
    <n v="0"/>
    <n v="54"/>
  </r>
  <r>
    <n v="710"/>
    <x v="2"/>
    <x v="107"/>
    <s v="eth1/40"/>
    <x v="1"/>
    <x v="1"/>
    <x v="3"/>
    <m/>
    <x v="0"/>
    <b v="0"/>
    <s v="No está en VPC"/>
    <n v="710"/>
    <s v="NO EXISTE PG"/>
    <s v="NO EXISTE ISEL"/>
    <n v="0"/>
    <s v="NO TIENE L3OUT"/>
    <n v="16"/>
    <n v="54"/>
  </r>
  <r>
    <n v="713"/>
    <x v="2"/>
    <x v="108"/>
    <s v="eth1/40"/>
    <x v="1"/>
    <x v="1"/>
    <x v="3"/>
    <m/>
    <x v="0"/>
    <b v="0"/>
    <s v="No está en VPC"/>
    <n v="713"/>
    <s v="NO EXISTE PG"/>
    <s v="NO EXISTE ISEL"/>
    <n v="0"/>
    <s v="NO TIENE L3OUT"/>
    <n v="32"/>
    <n v="54"/>
  </r>
  <r>
    <n v="735"/>
    <x v="2"/>
    <x v="109"/>
    <s v="eth1/40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40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40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40"/>
    <x v="1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40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40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40"/>
    <x v="0"/>
    <x v="0"/>
    <x v="0"/>
    <s v="LINK_TO_ITHFHWCBSDSWR20 /Slot5.2 /Principal"/>
    <x v="0"/>
    <b v="0"/>
    <s v="No está en VPC"/>
    <n v="826"/>
    <s v="INTPG_VPC_826_1.40_830_1.40"/>
    <s v="ISEL-1.40"/>
    <n v="2"/>
    <s v="NO TIENE L3OUT"/>
    <n v="12"/>
    <n v="54"/>
  </r>
  <r>
    <n v="726"/>
    <x v="2"/>
    <x v="117"/>
    <s v="eth1/40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40"/>
    <x v="0"/>
    <x v="1"/>
    <x v="1"/>
    <m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40"/>
    <x v="1"/>
    <x v="1"/>
    <x v="3"/>
    <m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40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40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40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40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40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40"/>
    <x v="0"/>
    <x v="1"/>
    <x v="3"/>
    <m/>
    <x v="0"/>
    <b v="0"/>
    <s v="No está en VPC"/>
    <n v="709"/>
    <s v="NO EXISTE PG"/>
    <s v="NO EXISTE ISEL"/>
    <n v="0"/>
    <s v="NO TIENE L3OUT"/>
    <n v="0"/>
    <n v="54"/>
  </r>
  <r>
    <n v="454"/>
    <x v="1"/>
    <x v="126"/>
    <s v="eth1/40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40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40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40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40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40"/>
    <x v="0"/>
    <x v="1"/>
    <x v="1"/>
    <m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40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40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40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40"/>
    <x v="0"/>
    <x v="1"/>
    <x v="3"/>
    <m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40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40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40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40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40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40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40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40"/>
    <x v="0"/>
    <x v="0"/>
    <x v="0"/>
    <s v="CLOUD PASS PAYG F3:ITHHWOSCOPAP025:Slot 1 P1"/>
    <x v="0"/>
    <b v="0"/>
    <s v="No está en VPC"/>
    <n v="774"/>
    <s v="INTPG_VPC_774_1.40_775_1.40"/>
    <s v="ISEL-1.40"/>
    <n v="24"/>
    <s v="NO TIENE L3OUT"/>
    <n v="0"/>
    <n v="54"/>
  </r>
  <r>
    <n v="773"/>
    <x v="2"/>
    <x v="145"/>
    <s v="eth1/40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40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40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40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40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40"/>
    <x v="1"/>
    <x v="1"/>
    <x v="3"/>
    <m/>
    <x v="0"/>
    <b v="0"/>
    <s v="No está en VPC"/>
    <n v="781"/>
    <s v="NO EXISTE PG"/>
    <s v="NO EXISTE ISEL"/>
    <n v="0"/>
    <s v="NO TIENE L3OUT"/>
    <n v="26"/>
    <n v="54"/>
  </r>
  <r>
    <n v="793"/>
    <x v="2"/>
    <x v="151"/>
    <s v="eth1/40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40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40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40"/>
    <x v="1"/>
    <x v="1"/>
    <x v="3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40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40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40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40"/>
    <x v="0"/>
    <x v="1"/>
    <x v="1"/>
    <m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40"/>
    <x v="0"/>
    <x v="0"/>
    <x v="0"/>
    <s v="CLOUD PASS PAYG F3:ITHHWOSCOPAP025:LOM P1"/>
    <x v="0"/>
    <b v="0"/>
    <s v="No está en VPC"/>
    <n v="775"/>
    <s v="INTPG_VPC_774_1.40_775_1.40"/>
    <s v="ISEL-1.40"/>
    <n v="24"/>
    <s v="NO TIENE L3OUT"/>
    <n v="0"/>
    <n v="54"/>
  </r>
  <r>
    <n v="791"/>
    <x v="2"/>
    <x v="160"/>
    <s v="eth1/40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40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40"/>
    <x v="0"/>
    <x v="0"/>
    <x v="0"/>
    <s v="LINK_TO_ITHFHWCBSDSWR20 /Slot7.2 /Redundante"/>
    <x v="0"/>
    <b v="0"/>
    <s v="No está en VPC"/>
    <n v="830"/>
    <s v="INTPG_VPC_826_1.40_830_1.40"/>
    <s v="ISEL-1.40"/>
    <n v="2"/>
    <s v="NO TIENE L3OUT"/>
    <n v="12"/>
    <n v="54"/>
  </r>
  <r>
    <n v="821"/>
    <x v="2"/>
    <x v="163"/>
    <s v="eth1/40"/>
    <x v="0"/>
    <x v="0"/>
    <x v="0"/>
    <s v="LINK_TO_ITHFHWCBSPSWR20 /Slot7.2 /Redundante"/>
    <x v="0"/>
    <b v="0"/>
    <s v="No está en VPC"/>
    <n v="821"/>
    <s v="INTPG_VPC_816_1.40_821_1.40"/>
    <s v="ISEL-1.40"/>
    <n v="2"/>
    <s v="NO TIENE L3OUT"/>
    <n v="0"/>
    <n v="54"/>
  </r>
  <r>
    <n v="738"/>
    <x v="2"/>
    <x v="164"/>
    <s v="eth1/40"/>
    <x v="0"/>
    <x v="1"/>
    <x v="1"/>
    <m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40"/>
    <x v="0"/>
    <x v="0"/>
    <x v="0"/>
    <s v="TO-9S_BESPR_IXTLA3_1"/>
    <x v="0"/>
    <b v="0"/>
    <s v="No está en VPC"/>
    <n v="820"/>
    <s v="INTPG_VPC_820_1.38-41_825_1.38-41"/>
    <s v="ISEL-1.40"/>
    <n v="31"/>
    <s v="NO TIENE L3OUT"/>
    <n v="72"/>
    <n v="54"/>
  </r>
  <r>
    <n v="804"/>
    <x v="2"/>
    <x v="166"/>
    <s v="eth1/40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40"/>
    <x v="0"/>
    <x v="1"/>
    <x v="3"/>
    <s v="CLOUD OPS:ithhwcop01st01ce04:B IOM1 Smart IO P1"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40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40"/>
    <x v="0"/>
    <x v="0"/>
    <x v="0"/>
    <s v="LINK_TO_ITHFHWCBSDSWR29 /Slot4.2 /Principal"/>
    <x v="0"/>
    <b v="0"/>
    <s v="No está en VPC"/>
    <n v="827"/>
    <s v="INTPG_VPC_827_1.40_831_1.40"/>
    <s v="ISEL-1.40"/>
    <n v="1"/>
    <s v="NO TIENE L3OUT"/>
    <n v="14"/>
    <n v="54"/>
  </r>
  <r>
    <n v="809"/>
    <x v="2"/>
    <x v="170"/>
    <s v="eth1/40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40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40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40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40"/>
    <x v="1"/>
    <x v="1"/>
    <x v="3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40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40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40"/>
    <x v="0"/>
    <x v="0"/>
    <x v="0"/>
    <s v="LINK_TO_ITHFHWCRMPLCN114 / Slot7.1_32 / Redundante"/>
    <x v="0"/>
    <b v="0"/>
    <s v="No está en VPC"/>
    <n v="851"/>
    <s v="INTPG_ACC_851_1.40"/>
    <s v="ISEL-1.40"/>
    <n v="6"/>
    <s v="NO TIENE L3OUT"/>
    <n v="282"/>
    <n v="54"/>
  </r>
  <r>
    <n v="798"/>
    <x v="2"/>
    <x v="178"/>
    <s v="eth1/40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40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40"/>
    <x v="0"/>
    <x v="0"/>
    <x v="0"/>
    <s v="LINK_TO_ITHFHWCRMPLCN97 / Slot7.2_26 / Redundante"/>
    <x v="0"/>
    <b v="0"/>
    <s v="No está en VPC"/>
    <n v="852"/>
    <s v="INTPG_ACC_852_1.40"/>
    <s v="ISEL-1.40"/>
    <n v="2"/>
    <s v="NO TIENE L3OUT"/>
    <n v="258"/>
    <n v="54"/>
  </r>
  <r>
    <n v="817"/>
    <x v="2"/>
    <x v="181"/>
    <s v="eth1/40"/>
    <x v="0"/>
    <x v="0"/>
    <x v="0"/>
    <s v="LINK_TO_ITHFHWCBSPSWR27 /Slot5.2 /Principal"/>
    <x v="0"/>
    <b v="0"/>
    <s v="No está en VPC"/>
    <n v="817"/>
    <s v="INTPG_VPC_817_1.40_822_1.40"/>
    <s v="ISEL-1.40"/>
    <n v="2"/>
    <s v="NO TIENE L3OUT"/>
    <n v="0"/>
    <n v="54"/>
  </r>
  <r>
    <n v="832"/>
    <x v="2"/>
    <x v="182"/>
    <s v="eth1/40"/>
    <x v="0"/>
    <x v="0"/>
    <x v="0"/>
    <s v="LINK_TO_ITHHWD6KV60010DKC01 /CtrlB_IOM0.P1 /Redundante"/>
    <x v="0"/>
    <b v="0"/>
    <s v="No está en VPC"/>
    <n v="832"/>
    <s v="INTPG_ACC_832_1.40"/>
    <s v="ISEL-1.40"/>
    <n v="1"/>
    <s v="NO TIENE L3OUT"/>
    <n v="192"/>
    <n v="54"/>
  </r>
  <r>
    <n v="816"/>
    <x v="2"/>
    <x v="183"/>
    <s v="eth1/40"/>
    <x v="0"/>
    <x v="0"/>
    <x v="0"/>
    <s v="LINK_TO_ITHFHWCBSPSWR20 /Slot5.2 /Principal"/>
    <x v="0"/>
    <b v="0"/>
    <s v="No está en VPC"/>
    <n v="816"/>
    <s v="INTPG_VPC_816_1.40_821_1.40"/>
    <s v="ISEL-1.40"/>
    <n v="2"/>
    <s v="NO TIENE L3OUT"/>
    <n v="0"/>
    <n v="54"/>
  </r>
  <r>
    <n v="825"/>
    <x v="2"/>
    <x v="184"/>
    <s v="eth1/40"/>
    <x v="0"/>
    <x v="0"/>
    <x v="0"/>
    <s v="TO-9S_BESPR_IXTLA3_1"/>
    <x v="0"/>
    <b v="0"/>
    <s v="No está en VPC"/>
    <n v="825"/>
    <s v="INTPG_VPC_820_1.38-41_825_1.38-41"/>
    <s v="ISEL-1.40"/>
    <n v="31"/>
    <s v="NO TIENE L3OUT"/>
    <n v="72"/>
    <n v="54"/>
  </r>
  <r>
    <n v="800"/>
    <x v="2"/>
    <x v="185"/>
    <s v="eth1/40"/>
    <x v="0"/>
    <x v="0"/>
    <x v="0"/>
    <s v="TO-ITHFDEOCP1LMT02-REDUNDANTE"/>
    <x v="0"/>
    <b v="0"/>
    <s v="No está en VPC"/>
    <n v="800"/>
    <s v="INTPG_ACC_800_1.40"/>
    <s v="ISEL-1.40"/>
    <n v="1"/>
    <s v="NO TIENE L3OUT"/>
    <n v="78"/>
    <n v="54"/>
  </r>
  <r>
    <n v="801"/>
    <x v="2"/>
    <x v="186"/>
    <s v="eth1/40"/>
    <x v="0"/>
    <x v="0"/>
    <x v="0"/>
    <s v="TO-ITHFDEOCP1LMT02-PRINCIPAL"/>
    <x v="0"/>
    <b v="0"/>
    <s v="No está en VPC"/>
    <n v="801"/>
    <s v="INTPG_ACC_801_1.40"/>
    <s v="ISEL-1.40"/>
    <n v="1"/>
    <s v="NO TIENE L3OUT"/>
    <n v="78"/>
    <n v="54"/>
  </r>
  <r>
    <n v="823"/>
    <x v="2"/>
    <x v="187"/>
    <s v="eth1/40"/>
    <x v="0"/>
    <x v="0"/>
    <x v="0"/>
    <s v="LINK_TO_ITHFHWCBSPSWR37 /Slot6.2 /Redundante"/>
    <x v="0"/>
    <b v="0"/>
    <s v="No está en VPC"/>
    <n v="823"/>
    <s v="INTPG_VPC_818_1.40_823_1.40"/>
    <s v="ISEL-1.40"/>
    <n v="1"/>
    <s v="NO TIENE L3OUT"/>
    <n v="8"/>
    <n v="54"/>
  </r>
  <r>
    <n v="837"/>
    <x v="2"/>
    <x v="188"/>
    <s v="eth1/40"/>
    <x v="0"/>
    <x v="0"/>
    <x v="0"/>
    <s v="LINK_To_ITHFHWCBSPSHD21 / Slot1.2_18 / Principal"/>
    <x v="0"/>
    <b v="0"/>
    <s v="No está en VPC"/>
    <n v="837"/>
    <s v="INTPG_VPC_837_1.40_842_1.40"/>
    <s v="ISEL-1.40"/>
    <n v="1"/>
    <s v="NO TIENE L3OUT"/>
    <n v="8"/>
    <n v="54"/>
  </r>
  <r>
    <n v="867"/>
    <x v="2"/>
    <x v="189"/>
    <s v="eth1/40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40"/>
    <x v="0"/>
    <x v="0"/>
    <x v="0"/>
    <s v="To_ITHFHWCRMDLCN48_Principal"/>
    <x v="0"/>
    <b v="0"/>
    <s v="No está en VPC"/>
    <n v="829"/>
    <s v="INTPG_ACC_829_1.40"/>
    <s v="ISEL-1.40"/>
    <n v="2"/>
    <s v="NO TIENE L3OUT"/>
    <n v="224"/>
    <n v="54"/>
  </r>
  <r>
    <n v="831"/>
    <x v="2"/>
    <x v="191"/>
    <s v="eth1/40"/>
    <x v="0"/>
    <x v="0"/>
    <x v="0"/>
    <s v="LINK_TO_ITHFHWCBSDSWR29 /Slot6.2 /Redundante"/>
    <x v="0"/>
    <b v="0"/>
    <s v="No está en VPC"/>
    <n v="831"/>
    <s v="INTPG_VPC_827_1.40_831_1.40"/>
    <s v="ISEL-1.40"/>
    <n v="1"/>
    <s v="NO TIENE L3OUT"/>
    <n v="14"/>
    <n v="54"/>
  </r>
  <r>
    <n v="802"/>
    <x v="2"/>
    <x v="192"/>
    <s v="eth1/40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40"/>
    <x v="0"/>
    <x v="0"/>
    <x v="0"/>
    <s v="LINK_TO_ITHFHWCBSPSHD35 / Slot1.3_22 / Principal"/>
    <x v="0"/>
    <b v="0"/>
    <s v="No está en VPC"/>
    <n v="835"/>
    <s v="INTPG_VPC_835_1.40_840_1.40"/>
    <s v="ISEL-1.40"/>
    <n v="1"/>
    <s v="NO TIENE L3OUT"/>
    <n v="8"/>
    <n v="54"/>
  </r>
  <r>
    <n v="822"/>
    <x v="2"/>
    <x v="194"/>
    <s v="eth1/40"/>
    <x v="0"/>
    <x v="0"/>
    <x v="0"/>
    <s v="LINK_TO_ITHFHWCBSPSWR27 /Slot7.2 /Redundante"/>
    <x v="0"/>
    <b v="0"/>
    <s v="No está en VPC"/>
    <n v="822"/>
    <s v="INTPG_VPC_817_1.40_822_1.40"/>
    <s v="ISEL-1.40"/>
    <n v="2"/>
    <s v="NO TIENE L3OUT"/>
    <n v="0"/>
    <n v="54"/>
  </r>
  <r>
    <n v="854"/>
    <x v="2"/>
    <x v="195"/>
    <s v="eth1/40"/>
    <x v="0"/>
    <x v="0"/>
    <x v="0"/>
    <s v="LINK_TO_ITHFHWCRMPSBDP10 / Slot1.3_4 / Principal"/>
    <x v="0"/>
    <b v="0"/>
    <s v="No está en VPC"/>
    <n v="854"/>
    <s v="INTPG_VPC_854_1.40_847_1.40"/>
    <s v="ISEL-1.40"/>
    <n v="1"/>
    <s v="NO TIENE L3OUT"/>
    <n v="204"/>
    <n v="54"/>
  </r>
  <r>
    <n v="858"/>
    <x v="2"/>
    <x v="196"/>
    <s v="eth1/40"/>
    <x v="0"/>
    <x v="0"/>
    <x v="0"/>
    <s v="To_VPC_2DCBSD_WR58_1"/>
    <x v="0"/>
    <b v="0"/>
    <s v="No está en VPC"/>
    <n v="858"/>
    <s v="INTPG_VPC_858_1.40_863_1.40"/>
    <s v="ISEL-1.40"/>
    <n v="2"/>
    <s v="NO TIENE L3OUT"/>
    <n v="8"/>
    <n v="54"/>
  </r>
  <r>
    <n v="857"/>
    <x v="2"/>
    <x v="197"/>
    <s v="eth1/40"/>
    <x v="0"/>
    <x v="0"/>
    <x v="0"/>
    <s v="LINKT_TO_ITHFHWCRMPLCN128 / Slot1.3_26 / Principal"/>
    <x v="0"/>
    <b v="0"/>
    <s v="No está en VPC"/>
    <n v="857"/>
    <s v="INTPG_ACC_857_1.40"/>
    <s v="ISEL-1.40"/>
    <n v="1"/>
    <s v="NO TIENE L3OUT"/>
    <n v="288"/>
    <n v="54"/>
  </r>
  <r>
    <n v="859"/>
    <x v="2"/>
    <x v="198"/>
    <s v="eth1/40"/>
    <x v="0"/>
    <x v="0"/>
    <x v="0"/>
    <s v="To_VPC_2DCBSD_WR49_1"/>
    <x v="0"/>
    <b v="0"/>
    <s v="No está en VPC"/>
    <n v="859"/>
    <s v="INTPG_VPC_859_1.40_864_1.40"/>
    <s v="ISEL-1.40"/>
    <n v="2"/>
    <s v="NO TIENE L3OUT"/>
    <n v="0"/>
    <n v="54"/>
  </r>
  <r>
    <n v="833"/>
    <x v="2"/>
    <x v="199"/>
    <s v="eth1/40"/>
    <x v="0"/>
    <x v="0"/>
    <x v="0"/>
    <s v="To_ITHFHWCRMDLCN48_Redundante"/>
    <x v="0"/>
    <b v="0"/>
    <s v="No está en VPC"/>
    <n v="833"/>
    <s v="INTPG_ACC_833_1.40"/>
    <s v="ISEL-1.40"/>
    <n v="2"/>
    <s v="NO TIENE L3OUT"/>
    <n v="224"/>
    <n v="54"/>
  </r>
  <r>
    <n v="818"/>
    <x v="2"/>
    <x v="200"/>
    <s v="eth1/40"/>
    <x v="0"/>
    <x v="0"/>
    <x v="0"/>
    <s v="LINK_TO_ITHFHWCBSPSWR37 /Slot4.2 /Principal"/>
    <x v="0"/>
    <b v="0"/>
    <s v="No está en VPC"/>
    <n v="818"/>
    <s v="INTPG_VPC_818_1.40_823_1.40"/>
    <s v="ISEL-1.40"/>
    <n v="1"/>
    <s v="NO TIENE L3OUT"/>
    <n v="8"/>
    <n v="54"/>
  </r>
  <r>
    <n v="850"/>
    <x v="2"/>
    <x v="201"/>
    <s v="eth1/40"/>
    <x v="0"/>
    <x v="0"/>
    <x v="0"/>
    <s v="LINKT_TO_ITHFHWCRMPLCN128 / Slot7.3_26 / Redundante"/>
    <x v="0"/>
    <b v="0"/>
    <s v="No está en VPC"/>
    <n v="850"/>
    <s v="INTPG_ACC_850_1.40"/>
    <s v="ISEL-1.40"/>
    <n v="1"/>
    <s v="NO TIENE L3OUT"/>
    <n v="288"/>
    <n v="54"/>
  </r>
  <r>
    <n v="860"/>
    <x v="2"/>
    <x v="202"/>
    <s v="eth1/40"/>
    <x v="0"/>
    <x v="0"/>
    <x v="0"/>
    <s v="To_VPC_2DCBSD_WR39_1"/>
    <x v="0"/>
    <b v="0"/>
    <s v="No está en VPC"/>
    <n v="860"/>
    <s v="INTPG_VPC_860_1.40_865_1.40"/>
    <s v="ISEL-1.40"/>
    <n v="2"/>
    <s v="NO TIENE L3OUT"/>
    <n v="0"/>
    <n v="54"/>
  </r>
  <r>
    <n v="853"/>
    <x v="2"/>
    <x v="203"/>
    <s v="eth1/40"/>
    <x v="0"/>
    <x v="0"/>
    <x v="0"/>
    <s v="LINK_TO_ITHFHWCRMPLCN85 / Slot7.1_28 / Redundante"/>
    <x v="0"/>
    <b v="0"/>
    <s v="No está en VPC"/>
    <n v="853"/>
    <s v="INTPG_ACC_853_1.40"/>
    <s v="ISEL-1.40"/>
    <n v="6"/>
    <s v="NO TIENE L3OUT"/>
    <n v="242"/>
    <n v="54"/>
  </r>
  <r>
    <n v="790"/>
    <x v="2"/>
    <x v="204"/>
    <s v="eth1/40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40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40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40"/>
    <x v="0"/>
    <x v="0"/>
    <x v="0"/>
    <s v="Citrix Silot"/>
    <x v="6"/>
    <b v="0"/>
    <s v="No está en VPC"/>
    <n v="104"/>
    <s v="INTPG_ACC_104_1.40"/>
    <s v="ISEL-1.40"/>
    <n v="1"/>
    <s v="NO TIENE L3OUT"/>
    <n v="194"/>
    <n v="96"/>
  </r>
  <r>
    <n v="158"/>
    <x v="0"/>
    <x v="208"/>
    <s v="eth1/40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40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40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40"/>
    <x v="0"/>
    <x v="0"/>
    <x v="0"/>
    <m/>
    <x v="6"/>
    <b v="0"/>
    <s v="No está en VPC"/>
    <n v="108"/>
    <s v="INTPG_ACC_108_1.40"/>
    <s v="ISEL-1.40"/>
    <n v="1"/>
    <s v="NO TIENE L3OUT"/>
    <n v="126"/>
    <n v="96"/>
  </r>
  <r>
    <n v="112"/>
    <x v="0"/>
    <x v="212"/>
    <s v="eth1/40"/>
    <x v="0"/>
    <x v="0"/>
    <x v="0"/>
    <s v="CS AIR"/>
    <x v="6"/>
    <b v="0"/>
    <s v="No está en VPC"/>
    <n v="112"/>
    <s v="INTPG_ACC_112_1.40"/>
    <s v="ISEL-1.40"/>
    <n v="1"/>
    <s v="NO TIENE L3OUT"/>
    <n v="144"/>
    <n v="96"/>
  </r>
  <r>
    <n v="107"/>
    <x v="0"/>
    <x v="213"/>
    <s v="eth1/40"/>
    <x v="1"/>
    <x v="1"/>
    <x v="2"/>
    <m/>
    <x v="6"/>
    <b v="0"/>
    <s v="No está en VPC"/>
    <n v="107"/>
    <s v="INTPG_ACC_107_1.40"/>
    <s v="ISEL-1.40"/>
    <n v="1"/>
    <s v="NO TIENE L3OUT"/>
    <n v="118"/>
    <n v="96"/>
  </r>
  <r>
    <n v="109"/>
    <x v="0"/>
    <x v="214"/>
    <s v="eth1/40"/>
    <x v="0"/>
    <x v="1"/>
    <x v="1"/>
    <m/>
    <x v="6"/>
    <b v="0"/>
    <s v="No está en VPC"/>
    <n v="109"/>
    <s v="INTPG_ACC_109_1.40"/>
    <s v="ISEL-1.40"/>
    <n v="1"/>
    <s v="NO TIENE L3OUT"/>
    <n v="126"/>
    <n v="96"/>
  </r>
  <r>
    <n v="113"/>
    <x v="0"/>
    <x v="215"/>
    <s v="eth1/40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40"/>
    <x v="0"/>
    <x v="1"/>
    <x v="1"/>
    <s v="Mudanza Neza "/>
    <x v="6"/>
    <b v="0"/>
    <s v="No está en VPC"/>
    <n v="114"/>
    <s v="INTPG_ACC_114_1.40"/>
    <s v="ISEL-1.40"/>
    <n v="1"/>
    <s v="NO TIENE L3OUT"/>
    <n v="144"/>
    <n v="96"/>
  </r>
  <r>
    <n v="124"/>
    <x v="0"/>
    <x v="217"/>
    <s v="eth1/40"/>
    <x v="1"/>
    <x v="1"/>
    <x v="2"/>
    <s v="3G_ENIQ_QRO_R6"/>
    <x v="6"/>
    <b v="0"/>
    <s v="No está en VPC"/>
    <n v="124"/>
    <s v="INTPG_VPC_124_1.25_40_125_1.28_41"/>
    <s v="ISEL-1.40"/>
    <n v="5"/>
    <s v="NO TIENE L3OUT"/>
    <n v="80"/>
    <n v="96"/>
  </r>
  <r>
    <n v="118"/>
    <x v="0"/>
    <x v="218"/>
    <s v="eth1/40"/>
    <x v="0"/>
    <x v="0"/>
    <x v="0"/>
    <s v="INGE6"/>
    <x v="6"/>
    <b v="0"/>
    <s v="No está en VPC"/>
    <n v="118"/>
    <s v="INTPG_ACC_118_1.40"/>
    <s v="ISEL-1.40"/>
    <n v="1"/>
    <s v="NO TIENE L3OUT"/>
    <n v="180"/>
    <n v="96"/>
  </r>
  <r>
    <n v="159"/>
    <x v="0"/>
    <x v="219"/>
    <s v="eth1/40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40"/>
    <x v="0"/>
    <x v="0"/>
    <x v="0"/>
    <s v="LINK_TO_ITHFHWCBSPSHD35 / Slot7.3_22 / Redundante"/>
    <x v="0"/>
    <b v="0"/>
    <s v="No está en VPC"/>
    <n v="840"/>
    <s v="INTPG_VPC_835_1.40_840_1.40"/>
    <s v="ISEL-1.40"/>
    <n v="1"/>
    <s v="NO TIENE L3OUT"/>
    <n v="8"/>
    <n v="54"/>
  </r>
  <r>
    <n v="856"/>
    <x v="2"/>
    <x v="221"/>
    <s v="eth1/40"/>
    <x v="0"/>
    <x v="0"/>
    <x v="0"/>
    <s v="LINK_TO_ITHFHWCRMPLCN147 / Slot1.3_28 / Principal"/>
    <x v="0"/>
    <b v="0"/>
    <s v="No está en VPC"/>
    <n v="856"/>
    <s v="INTPG_ACC_856_1.40"/>
    <s v="ISEL-1.40"/>
    <n v="1"/>
    <s v="NO TIENE L3OUT"/>
    <n v="286"/>
    <n v="54"/>
  </r>
  <r>
    <n v="110"/>
    <x v="0"/>
    <x v="222"/>
    <s v="eth1/40"/>
    <x v="0"/>
    <x v="0"/>
    <x v="0"/>
    <s v="SUN6900_E25K"/>
    <x v="6"/>
    <b v="0"/>
    <s v="No está en VPC"/>
    <n v="110"/>
    <s v="INTPG_ACC_110_1.40"/>
    <s v="ISEL-1.40"/>
    <n v="1"/>
    <s v="NO TIENE L3OUT"/>
    <n v="102"/>
    <n v="96"/>
  </r>
  <r>
    <n v="163"/>
    <x v="0"/>
    <x v="223"/>
    <s v="eth1/40"/>
    <x v="0"/>
    <x v="0"/>
    <x v="0"/>
    <s v="desc"/>
    <x v="6"/>
    <b v="0"/>
    <s v="No está en VPC"/>
    <n v="163"/>
    <s v="INTPG_VPC_161_1.40_163_1.40"/>
    <s v="ISEL-1.40"/>
    <n v="1"/>
    <s v="NO TIENE L3OUT"/>
    <n v="140"/>
    <n v="96"/>
  </r>
  <r>
    <n v="407"/>
    <x v="1"/>
    <x v="224"/>
    <s v="eth1/40"/>
    <x v="0"/>
    <x v="0"/>
    <x v="0"/>
    <s v="Uxorbi"/>
    <x v="6"/>
    <b v="0"/>
    <s v="No está en VPC"/>
    <n v="407"/>
    <s v="INTPG_ACC_407_1.40"/>
    <s v="ISEL-1.40"/>
    <n v="1"/>
    <s v="NO TIENE L3OUT"/>
    <n v="122"/>
    <n v="96"/>
  </r>
  <r>
    <n v="171"/>
    <x v="0"/>
    <x v="225"/>
    <s v="eth1/40"/>
    <x v="0"/>
    <x v="0"/>
    <x v="0"/>
    <s v="HP_Performance_Insight"/>
    <x v="6"/>
    <b v="0"/>
    <s v="No está en VPC"/>
    <n v="171"/>
    <s v="INTPG_ACC_171_1.40"/>
    <s v="ISEL-1.40"/>
    <n v="1"/>
    <s v="NO TIENE L3OUT"/>
    <n v="114"/>
    <n v="96"/>
  </r>
  <r>
    <n v="421"/>
    <x v="1"/>
    <x v="226"/>
    <s v="eth1/40"/>
    <x v="0"/>
    <x v="1"/>
    <x v="1"/>
    <s v="VTA_uxvta073_Net0"/>
    <x v="6"/>
    <b v="0"/>
    <s v="No está en VPC"/>
    <n v="421"/>
    <s v="INTPG_ACC_421_1.40"/>
    <s v="ISEL-1.40"/>
    <n v="1"/>
    <s v="NO TIENE L3OUT"/>
    <n v="72"/>
    <n v="96"/>
  </r>
  <r>
    <n v="173"/>
    <x v="0"/>
    <x v="227"/>
    <s v="eth1/40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40"/>
    <x v="0"/>
    <x v="0"/>
    <x v="0"/>
    <s v="DCX_BKP2"/>
    <x v="6"/>
    <b v="0"/>
    <s v="No está en VPC"/>
    <n v="154"/>
    <s v="INTPG_ACC_154_1.40"/>
    <s v="ISEL-1.40"/>
    <n v="1"/>
    <s v="NO TIENE L3OUT"/>
    <n v="62"/>
    <n v="96"/>
  </r>
  <r>
    <n v="172"/>
    <x v="0"/>
    <x v="229"/>
    <s v="eth1/40"/>
    <x v="0"/>
    <x v="1"/>
    <x v="1"/>
    <s v="netqosSHr9_02"/>
    <x v="6"/>
    <b v="0"/>
    <s v="No está en VPC"/>
    <n v="172"/>
    <s v="INTPG_ACC_172_1.40"/>
    <s v="ISEL-1.40"/>
    <n v="1"/>
    <s v="NO TIENE L3OUT"/>
    <n v="104"/>
    <n v="96"/>
  </r>
  <r>
    <n v="420"/>
    <x v="1"/>
    <x v="230"/>
    <s v="eth1/40"/>
    <x v="0"/>
    <x v="0"/>
    <x v="0"/>
    <s v="TEMIPCLOUD_A01"/>
    <x v="6"/>
    <b v="0"/>
    <s v="No está en VPC"/>
    <n v="420"/>
    <s v="INTPG_ACC_420_1.40"/>
    <s v="ISEL-1.40"/>
    <n v="1"/>
    <s v="NO TIENE L3OUT"/>
    <n v="158"/>
    <n v="96"/>
  </r>
  <r>
    <n v="423"/>
    <x v="1"/>
    <x v="231"/>
    <s v="eth1/40"/>
    <x v="0"/>
    <x v="0"/>
    <x v="0"/>
    <s v="SPECSERVER2_ETH2"/>
    <x v="6"/>
    <b v="0"/>
    <s v="No está en VPC"/>
    <n v="423"/>
    <s v="INTPG_ACC_423_1.40"/>
    <s v="ISEL-1.40"/>
    <n v="1"/>
    <s v="NO TIENE L3OUT"/>
    <n v="86"/>
    <n v="96"/>
  </r>
  <r>
    <n v="415"/>
    <x v="1"/>
    <x v="232"/>
    <s v="eth1/40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40"/>
    <x v="1"/>
    <x v="1"/>
    <x v="2"/>
    <s v="File System AM:VMTLCLAMX5:OA02"/>
    <x v="6"/>
    <b v="0"/>
    <s v="No está en VPC"/>
    <n v="102"/>
    <s v="INTPG_ACC_102_1.40"/>
    <s v="ISEL-1.40"/>
    <n v="0"/>
    <s v="NO TIENE L3OUT"/>
    <n v="228"/>
    <n v="96"/>
  </r>
  <r>
    <n v="863"/>
    <x v="2"/>
    <x v="234"/>
    <s v="eth1/40"/>
    <x v="0"/>
    <x v="0"/>
    <x v="0"/>
    <s v="To_VPC_2DCBSD_WR58_1"/>
    <x v="0"/>
    <b v="0"/>
    <s v="No está en VPC"/>
    <n v="863"/>
    <s v="INTPG_VPC_858_1.40_863_1.40"/>
    <s v="ISEL-1.40"/>
    <n v="2"/>
    <s v="NO TIENE L3OUT"/>
    <n v="8"/>
    <n v="54"/>
  </r>
  <r>
    <n v="876"/>
    <x v="2"/>
    <x v="235"/>
    <s v="eth1/40"/>
    <x v="0"/>
    <x v="0"/>
    <x v="0"/>
    <s v="A_ITHFHWSEQLCAS15_Principal"/>
    <x v="4"/>
    <b v="0"/>
    <s v="No está en VPC"/>
    <n v="876"/>
    <s v="INTPG_ACC_876_1.40"/>
    <s v="ISEL-1.40"/>
    <n v="1"/>
    <s v="NO TIENE L3OUT"/>
    <n v="92"/>
    <n v="54"/>
  </r>
  <r>
    <n v="877"/>
    <x v="2"/>
    <x v="236"/>
    <s v="eth1/40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40"/>
    <x v="0"/>
    <x v="0"/>
    <x v="0"/>
    <s v="Registro Nacional de Celulares"/>
    <x v="6"/>
    <b v="0"/>
    <s v="No está en VPC"/>
    <n v="122"/>
    <s v="INTPG_ACC_122_1.40"/>
    <s v="ISEL-1.40"/>
    <n v="1"/>
    <s v="NO TIENE L3OUT"/>
    <n v="148"/>
    <n v="96"/>
  </r>
  <r>
    <n v="157"/>
    <x v="0"/>
    <x v="238"/>
    <s v="eth1/40"/>
    <x v="0"/>
    <x v="0"/>
    <x v="0"/>
    <s v="IXT08PP"/>
    <x v="6"/>
    <b v="0"/>
    <s v="No está en VPC"/>
    <n v="157"/>
    <s v="INTPG_ACC_157_1.40"/>
    <s v="ISEL-1.40"/>
    <n v="1"/>
    <s v="NO TIENE L3OUT"/>
    <n v="202"/>
    <n v="96"/>
  </r>
  <r>
    <n v="408"/>
    <x v="1"/>
    <x v="239"/>
    <s v="eth1/40"/>
    <x v="0"/>
    <x v="0"/>
    <x v="0"/>
    <s v="HNMS101"/>
    <x v="6"/>
    <b v="0"/>
    <s v="No está en VPC"/>
    <n v="408"/>
    <s v="INTPG_ACC_408_1.40"/>
    <s v="ISEL-1.40"/>
    <n v="1"/>
    <s v="NO TIENE L3OUT"/>
    <n v="152"/>
    <n v="96"/>
  </r>
  <r>
    <n v="405"/>
    <x v="1"/>
    <x v="240"/>
    <s v="eth1/40"/>
    <x v="0"/>
    <x v="0"/>
    <x v="0"/>
    <s v="BACKBONE_SAN_IXT2_02"/>
    <x v="6"/>
    <b v="0"/>
    <s v="No está en VPC"/>
    <n v="405"/>
    <s v="INTPG_ACC_405_1.40"/>
    <s v="ISEL-1.40"/>
    <n v="1"/>
    <s v="NO TIENE L3OUT"/>
    <n v="138"/>
    <n v="96"/>
  </r>
  <r>
    <n v="169"/>
    <x v="0"/>
    <x v="241"/>
    <s v="eth1/40"/>
    <x v="0"/>
    <x v="0"/>
    <x v="0"/>
    <s v="TO-ITHEMCDS6520RM06G-PRINCIPAL"/>
    <x v="6"/>
    <b v="0"/>
    <s v="No está en VPC"/>
    <n v="169"/>
    <s v="INTPG_ACC_169_1.40"/>
    <s v="ISEL-1.40"/>
    <n v="1"/>
    <s v="NO TIENE L3OUT"/>
    <n v="76"/>
    <n v="96"/>
  </r>
  <r>
    <n v="165"/>
    <x v="0"/>
    <x v="242"/>
    <s v="eth1/40"/>
    <x v="0"/>
    <x v="0"/>
    <x v="0"/>
    <s v="NOMINA_uxtest02"/>
    <x v="6"/>
    <b v="0"/>
    <s v="No está en VPC"/>
    <n v="165"/>
    <s v="INTPG_ACC_165_1.40"/>
    <s v="ISEL-1.40"/>
    <n v="1"/>
    <s v="NO TIENE L3OUT"/>
    <n v="86"/>
    <n v="96"/>
  </r>
  <r>
    <n v="417"/>
    <x v="1"/>
    <x v="243"/>
    <s v="eth1/40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40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40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40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40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40"/>
    <x v="0"/>
    <x v="0"/>
    <x v="0"/>
    <s v="TC3_ithmomce1_VC2_X1"/>
    <x v="6"/>
    <b v="0"/>
    <s v="No está en VPC"/>
    <n v="438"/>
    <s v="INTPG_ACC_438_1.40"/>
    <s v="ISEL-1.40"/>
    <n v="7"/>
    <s v="NO TIENE L3OUT"/>
    <n v="170"/>
    <n v="96"/>
  </r>
  <r>
    <n v="406"/>
    <x v="1"/>
    <x v="249"/>
    <s v="eth1/40"/>
    <x v="0"/>
    <x v="0"/>
    <x v="0"/>
    <s v="DESC"/>
    <x v="6"/>
    <b v="0"/>
    <s v="No está en VPC"/>
    <n v="406"/>
    <s v="INTPG_PC_406_1.39-42"/>
    <s v="ISEL-1.40"/>
    <n v="4"/>
    <s v="NO TIENE L3OUT"/>
    <n v="82"/>
    <n v="96"/>
  </r>
  <r>
    <n v="414"/>
    <x v="1"/>
    <x v="250"/>
    <s v="eth1/40"/>
    <x v="0"/>
    <x v="1"/>
    <x v="1"/>
    <s v="IXTPF1"/>
    <x v="6"/>
    <b v="0"/>
    <s v="No está en VPC"/>
    <n v="414"/>
    <s v="INTPG_ACC_414_1.40"/>
    <s v="ISEL-1.40"/>
    <n v="1"/>
    <s v="NO TIENE L3OUT"/>
    <n v="144"/>
    <n v="96"/>
  </r>
  <r>
    <n v="416"/>
    <x v="1"/>
    <x v="251"/>
    <s v="eth1/40"/>
    <x v="0"/>
    <x v="0"/>
    <x v="0"/>
    <s v="DESC"/>
    <x v="6"/>
    <b v="0"/>
    <s v="No está en VPC"/>
    <n v="416"/>
    <s v="INTPG_PC_416_1.40-45"/>
    <s v="ISEL-1.40"/>
    <n v="7"/>
    <s v="NO TIENE L3OUT"/>
    <n v="110"/>
    <n v="96"/>
  </r>
  <r>
    <n v="418"/>
    <x v="1"/>
    <x v="252"/>
    <s v="eth1/40"/>
    <x v="0"/>
    <x v="0"/>
    <x v="0"/>
    <s v="DESC"/>
    <x v="6"/>
    <b v="0"/>
    <s v="No está en VPC"/>
    <n v="418"/>
    <s v="INTPG_PC_418_1.40-45"/>
    <s v="ISEL-1.40"/>
    <n v="7"/>
    <s v="NO TIENE L3OUT"/>
    <n v="152"/>
    <n v="96"/>
  </r>
  <r>
    <n v="413"/>
    <x v="1"/>
    <x v="253"/>
    <s v="eth1/40"/>
    <x v="0"/>
    <x v="0"/>
    <x v="0"/>
    <s v="To-uxingemc1 ldom3 ldom2 ldom1"/>
    <x v="6"/>
    <b v="0"/>
    <s v="No está en VPC"/>
    <n v="413"/>
    <s v="INTPG_ACC_413_1.40"/>
    <s v="ISEL-1.40"/>
    <n v="1"/>
    <s v="NO TIENE L3OUT"/>
    <n v="126"/>
    <n v="96"/>
  </r>
  <r>
    <n v="403"/>
    <x v="1"/>
    <x v="254"/>
    <s v="eth1/40"/>
    <x v="0"/>
    <x v="0"/>
    <x v="0"/>
    <s v="BACKBONE_SAN_IXT2_02"/>
    <x v="6"/>
    <b v="0"/>
    <s v="No está en VPC"/>
    <n v="403"/>
    <s v="INTPG_ACC_403_1.40"/>
    <s v="ISEL-1.40"/>
    <n v="1"/>
    <s v="NO TIENE L3OUT"/>
    <n v="150"/>
    <n v="96"/>
  </r>
  <r>
    <n v="125"/>
    <x v="0"/>
    <x v="255"/>
    <s v="eth1/40"/>
    <x v="0"/>
    <x v="1"/>
    <x v="1"/>
    <s v="3G_OSS_QRO_R6"/>
    <x v="6"/>
    <b v="0"/>
    <s v="No está en VPC"/>
    <n v="125"/>
    <s v="INTPG_VPC_124_1.23_39_125_1.27_40"/>
    <s v="ISEL-1.40"/>
    <n v="5"/>
    <s v="NO TIENE L3OUT"/>
    <n v="72"/>
    <n v="96"/>
  </r>
  <r>
    <n v="166"/>
    <x v="0"/>
    <x v="256"/>
    <s v="eth1/40"/>
    <x v="0"/>
    <x v="0"/>
    <x v="0"/>
    <s v="NOMINA_uxnomr12"/>
    <x v="6"/>
    <b v="0"/>
    <s v="No está en VPC"/>
    <n v="166"/>
    <s v="INTPG_ACC_166_1.40"/>
    <s v="ISEL-1.40"/>
    <n v="1"/>
    <s v="NO TIENE L3OUT"/>
    <n v="84"/>
    <n v="96"/>
  </r>
  <r>
    <n v="111"/>
    <x v="0"/>
    <x v="257"/>
    <s v="eth1/40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40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40"/>
    <x v="0"/>
    <x v="0"/>
    <x v="0"/>
    <m/>
    <x v="6"/>
    <b v="0"/>
    <s v="No está en VPC"/>
    <n v="106"/>
    <s v="INTPG_ACC_106_1.40"/>
    <s v="ISEL-1.40"/>
    <n v="1"/>
    <s v="NO TIENE L3OUT"/>
    <n v="122"/>
    <n v="96"/>
  </r>
  <r>
    <n v="126"/>
    <x v="0"/>
    <x v="260"/>
    <s v="eth1/40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40"/>
    <x v="0"/>
    <x v="0"/>
    <x v="0"/>
    <s v="ITHPA02_eth1_IPMP-Pasiva"/>
    <x v="6"/>
    <b v="0"/>
    <s v="No está en VPC"/>
    <n v="425"/>
    <s v="INTPG_ACC_425_1.40"/>
    <s v="ISEL-1.40"/>
    <n v="1"/>
    <s v="NO TIENE L3OUT"/>
    <n v="86"/>
    <n v="96"/>
  </r>
  <r>
    <n v="151"/>
    <x v="0"/>
    <x v="262"/>
    <s v="eth1/40"/>
    <x v="0"/>
    <x v="0"/>
    <x v="0"/>
    <s v="VMWARE_DEMO_TO_APIC"/>
    <x v="6"/>
    <b v="0"/>
    <s v="No está en VPC"/>
    <n v="151"/>
    <s v="INTPG_ACC_151_1.40"/>
    <s v="ISEL-1.40"/>
    <n v="1"/>
    <s v="NO TIENE L3OUT"/>
    <n v="86"/>
    <n v="96"/>
  </r>
  <r>
    <n v="430"/>
    <x v="1"/>
    <x v="263"/>
    <s v="eth1/40"/>
    <x v="0"/>
    <x v="1"/>
    <x v="1"/>
    <s v="SecAnLG_iDrac_06-Colector_R9_RD-IXTSALG_H9RD"/>
    <x v="6"/>
    <b v="0"/>
    <s v="No está en VPC"/>
    <n v="430"/>
    <s v="INTPG_ACC_430_1.40"/>
    <s v="ISEL-1.40"/>
    <n v="1"/>
    <s v="NO TIENE L3OUT"/>
    <n v="86"/>
    <n v="96"/>
  </r>
  <r>
    <n v="419"/>
    <x v="1"/>
    <x v="264"/>
    <s v="eth1/40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40"/>
    <x v="0"/>
    <x v="0"/>
    <x v="0"/>
    <s v="SNA TEST BED"/>
    <x v="6"/>
    <b v="0"/>
    <s v="No está en VPC"/>
    <n v="155"/>
    <s v="INTPG_ACC_155_1.40"/>
    <s v="ISEL-1.40"/>
    <n v="0"/>
    <s v="L3OUT-SNA-HOME-ZONE-BGP"/>
    <n v="198"/>
    <n v="96"/>
  </r>
  <r>
    <n v="409"/>
    <x v="1"/>
    <x v="266"/>
    <s v="eth1/40"/>
    <x v="0"/>
    <x v="0"/>
    <x v="0"/>
    <s v="CPP_4_15"/>
    <x v="6"/>
    <b v="0"/>
    <s v="No está en VPC"/>
    <n v="409"/>
    <s v="INTPG_ACC_409_1.40"/>
    <s v="ISEL-1.40"/>
    <n v="1"/>
    <s v="NO TIENE L3OUT"/>
    <n v="128"/>
    <n v="96"/>
  </r>
  <r>
    <n v="422"/>
    <x v="1"/>
    <x v="267"/>
    <s v="eth1/40"/>
    <x v="0"/>
    <x v="0"/>
    <x v="0"/>
    <s v="ITHRTC4BEN1VC2x4"/>
    <x v="6"/>
    <b v="0"/>
    <s v="No está en VPC"/>
    <n v="422"/>
    <s v="INTPG_ACC_422_1.40"/>
    <s v="ISEL-1.40"/>
    <n v="1"/>
    <s v="NO TIENE L3OUT"/>
    <n v="182"/>
    <n v="96"/>
  </r>
  <r>
    <n v="436"/>
    <x v="1"/>
    <x v="268"/>
    <s v="eth1/40"/>
    <x v="0"/>
    <x v="0"/>
    <x v="0"/>
    <s v="DESC"/>
    <x v="6"/>
    <b v="0"/>
    <s v="No está en VPC"/>
    <n v="436"/>
    <s v="INTPG_PC_436_1.40-45"/>
    <s v="ISEL-1.40"/>
    <n v="7"/>
    <s v="NO TIENE L3OUT"/>
    <n v="172"/>
    <n v="96"/>
  </r>
  <r>
    <n v="410"/>
    <x v="1"/>
    <x v="269"/>
    <s v="eth1/40"/>
    <x v="0"/>
    <x v="0"/>
    <x v="0"/>
    <s v="Exadata2"/>
    <x v="6"/>
    <b v="0"/>
    <s v="No está en VPC"/>
    <n v="410"/>
    <s v="INTPG_ACC_410_1.40"/>
    <s v="ISEL-1.40"/>
    <n v="1"/>
    <s v="NO TIENE L3OUT"/>
    <n v="178"/>
    <n v="96"/>
  </r>
  <r>
    <n v="161"/>
    <x v="0"/>
    <x v="270"/>
    <s v="eth1/40"/>
    <x v="0"/>
    <x v="0"/>
    <x v="0"/>
    <s v="desc"/>
    <x v="6"/>
    <b v="0"/>
    <s v="No está en VPC"/>
    <n v="161"/>
    <s v="INTPG_VPC_161_1.40_163_1.40"/>
    <s v="ISEL-1.40"/>
    <n v="1"/>
    <s v="NO TIENE L3OUT"/>
    <n v="102"/>
    <n v="96"/>
  </r>
  <r>
    <n v="411"/>
    <x v="1"/>
    <x v="271"/>
    <s v="eth1/40"/>
    <x v="0"/>
    <x v="1"/>
    <x v="1"/>
    <s v="F5_MASIVAS_f5-dvtr-mpwo_mgmt"/>
    <x v="6"/>
    <b v="0"/>
    <s v="No está en VPC"/>
    <n v="411"/>
    <s v="INTPG_ACC_411_1.40"/>
    <s v="ISEL-1.40"/>
    <n v="1"/>
    <s v="NO TIENE L3OUT"/>
    <n v="96"/>
    <n v="96"/>
  </r>
  <r>
    <n v="116"/>
    <x v="0"/>
    <x v="272"/>
    <s v="eth1/40"/>
    <x v="1"/>
    <x v="1"/>
    <x v="2"/>
    <s v="DATOS NETCRACKER"/>
    <x v="6"/>
    <b v="0"/>
    <s v="No está en VPC"/>
    <n v="116"/>
    <s v="INTPG_ACC_116_1.40"/>
    <s v="ISEL-1.40"/>
    <n v="0"/>
    <s v="NO TIENE L3OUT"/>
    <n v="148"/>
    <n v="96"/>
  </r>
  <r>
    <n v="412"/>
    <x v="1"/>
    <x v="273"/>
    <s v="eth1/40"/>
    <x v="0"/>
    <x v="0"/>
    <x v="0"/>
    <s v="HNMS101"/>
    <x v="6"/>
    <b v="0"/>
    <s v="No está en VPC"/>
    <n v="412"/>
    <s v="INTPG_ACC_412_1.40"/>
    <s v="ISEL-1.40"/>
    <n v="1"/>
    <s v="NO TIENE L3OUT"/>
    <n v="126"/>
    <n v="96"/>
  </r>
  <r>
    <n v="120"/>
    <x v="0"/>
    <x v="274"/>
    <s v="eth1/40"/>
    <x v="0"/>
    <x v="0"/>
    <x v="0"/>
    <s v="ZFS X5-2"/>
    <x v="6"/>
    <b v="0"/>
    <s v="No está en VPC"/>
    <n v="120"/>
    <s v="INTPG_ACC_120_1.40"/>
    <s v="ISEL-1.40"/>
    <n v="1"/>
    <s v="NO TIENE L3OUT"/>
    <n v="158"/>
    <n v="96"/>
  </r>
  <r>
    <n v="404"/>
    <x v="1"/>
    <x v="275"/>
    <s v="eth1/40"/>
    <x v="0"/>
    <x v="0"/>
    <x v="0"/>
    <s v="DESC"/>
    <x v="6"/>
    <b v="0"/>
    <s v="No está en VPC"/>
    <n v="404"/>
    <s v="INTPG_PC_404_1.37-40"/>
    <s v="ISEL-1.40"/>
    <n v="4"/>
    <s v="NO TIENE L3OUT"/>
    <n v="92"/>
    <n v="96"/>
  </r>
  <r>
    <n v="167"/>
    <x v="0"/>
    <x v="276"/>
    <s v="eth1/40"/>
    <x v="0"/>
    <x v="1"/>
    <x v="1"/>
    <s v="9UCS-GEO-IXTLA-SERV1"/>
    <x v="6"/>
    <b v="0"/>
    <s v="No está en VPC"/>
    <n v="167"/>
    <s v="INTPG_ACC_167_1.40"/>
    <s v="ISEL-1.40"/>
    <n v="1"/>
    <s v="NO TIENE L3OUT"/>
    <n v="68"/>
    <n v="96"/>
  </r>
  <r>
    <n v="428"/>
    <x v="1"/>
    <x v="277"/>
    <s v="eth1/40"/>
    <x v="0"/>
    <x v="0"/>
    <x v="0"/>
    <s v="RLPNOVB02"/>
    <x v="6"/>
    <b v="0"/>
    <s v="No está en VPC"/>
    <n v="428"/>
    <s v="INTPG_ACC_428_1.40"/>
    <s v="ISEL-1.40"/>
    <n v="1"/>
    <s v="NO TIENE L3OUT"/>
    <n v="102"/>
    <n v="96"/>
  </r>
  <r>
    <n v="128"/>
    <x v="0"/>
    <x v="0"/>
    <s v="eth1/41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41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41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41"/>
    <x v="0"/>
    <x v="0"/>
    <x v="0"/>
    <m/>
    <x v="0"/>
    <b v="0"/>
    <s v="No está en VPC"/>
    <n v="101"/>
    <s v="NO EXISTE PG"/>
    <s v="NO EXISTE ISEL"/>
    <n v="0"/>
    <s v="NO TIENE L3OUT"/>
    <n v="114"/>
    <n v="54"/>
  </r>
  <r>
    <n v="160"/>
    <x v="0"/>
    <x v="4"/>
    <s v="eth1/41"/>
    <x v="0"/>
    <x v="1"/>
    <x v="1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41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41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41"/>
    <x v="0"/>
    <x v="1"/>
    <x v="1"/>
    <s v="YELLOW BRICK"/>
    <x v="0"/>
    <b v="0"/>
    <s v="No está en VPC"/>
    <n v="401"/>
    <s v="INTPG_VPC_401_1.41_402_1.41"/>
    <s v="ISEL-1.41"/>
    <n v="1"/>
    <s v="NO TIENE L3OUT"/>
    <n v="40"/>
    <n v="54"/>
  </r>
  <r>
    <n v="402"/>
    <x v="1"/>
    <x v="8"/>
    <s v="eth1/41"/>
    <x v="0"/>
    <x v="1"/>
    <x v="1"/>
    <s v="YELLOW BRICK"/>
    <x v="0"/>
    <b v="0"/>
    <s v="No está en VPC"/>
    <n v="402"/>
    <s v="INTPG_VPC_401_1.41_402_1.41"/>
    <s v="ISEL-1.41"/>
    <n v="1"/>
    <s v="NO TIENE L3OUT"/>
    <n v="36"/>
    <n v="54"/>
  </r>
  <r>
    <n v="130"/>
    <x v="0"/>
    <x v="11"/>
    <s v="eth1/41"/>
    <x v="0"/>
    <x v="0"/>
    <x v="0"/>
    <s v="LAG-smt-comp-03"/>
    <x v="0"/>
    <b v="0"/>
    <s v="No está en VPC"/>
    <n v="130"/>
    <s v="INTPG_VPC_130_1.40-41_131_1.40-41"/>
    <s v="ISEL-1.41"/>
    <n v="4"/>
    <s v="NO TIENE L3OUT"/>
    <n v="128"/>
    <n v="54"/>
  </r>
  <r>
    <n v="150"/>
    <x v="0"/>
    <x v="12"/>
    <s v="eth1/41"/>
    <x v="0"/>
    <x v="0"/>
    <x v="0"/>
    <m/>
    <x v="0"/>
    <b v="0"/>
    <s v="No está en VPC"/>
    <n v="150"/>
    <s v="NO EXISTE PG"/>
    <s v="NO EXISTE ISEL"/>
    <n v="0"/>
    <s v="NO TIENE L3OUT"/>
    <n v="118"/>
    <n v="54"/>
  </r>
  <r>
    <n v="131"/>
    <x v="0"/>
    <x v="13"/>
    <s v="eth1/41"/>
    <x v="0"/>
    <x v="0"/>
    <x v="0"/>
    <s v="LAG-smt-comp-03"/>
    <x v="0"/>
    <b v="0"/>
    <s v="No está en VPC"/>
    <n v="131"/>
    <s v="INTPG_VPC_130_1.40-41_131_1.40-41"/>
    <s v="ISEL-1.41"/>
    <n v="4"/>
    <s v="NO TIENE L3OUT"/>
    <n v="126"/>
    <n v="54"/>
  </r>
  <r>
    <n v="424"/>
    <x v="1"/>
    <x v="18"/>
    <s v="eth1/41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41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41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41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41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41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41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41"/>
    <x v="0"/>
    <x v="0"/>
    <x v="0"/>
    <s v="FGW_R9_IXTLA_FORTI_42K_1"/>
    <x v="0"/>
    <b v="0"/>
    <s v="No está en VPC"/>
    <n v="431"/>
    <s v="INTPG_ACC_431_1.41"/>
    <s v="ISEL-1.41"/>
    <n v="0"/>
    <s v="L3OUT-NUBE-ORACLE-1"/>
    <n v="46"/>
    <n v="54"/>
  </r>
  <r>
    <n v="433"/>
    <x v="1"/>
    <x v="27"/>
    <s v="eth1/41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41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41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41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41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41"/>
    <x v="1"/>
    <x v="1"/>
    <x v="3"/>
    <m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41"/>
    <x v="1"/>
    <x v="1"/>
    <x v="3"/>
    <m/>
    <x v="0"/>
    <b v="0"/>
    <s v="No está en VPC"/>
    <n v="712"/>
    <s v="NO EXISTE PG"/>
    <s v="NO EXISTE ISEL"/>
    <n v="0"/>
    <s v="NO TIENE L3OUT"/>
    <n v="32"/>
    <n v="54"/>
  </r>
  <r>
    <n v="719"/>
    <x v="2"/>
    <x v="34"/>
    <s v="eth1/41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41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41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41"/>
    <x v="1"/>
    <x v="1"/>
    <x v="3"/>
    <m/>
    <x v="0"/>
    <b v="0"/>
    <s v="No está en VPC"/>
    <n v="711"/>
    <s v="NO EXISTE PG"/>
    <s v="NO EXISTE ISEL"/>
    <n v="0"/>
    <s v="NO TIENE L3OUT"/>
    <n v="16"/>
    <n v="54"/>
  </r>
  <r>
    <n v="716"/>
    <x v="2"/>
    <x v="38"/>
    <s v="eth1/41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41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41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41"/>
    <x v="0"/>
    <x v="1"/>
    <x v="3"/>
    <m/>
    <x v="0"/>
    <b v="0"/>
    <s v="No está en VPC"/>
    <n v="446"/>
    <s v="NO EXISTE PG"/>
    <s v="NO EXISTE ISEL"/>
    <n v="0"/>
    <s v="NO TIENE L3OUT"/>
    <n v="198"/>
    <n v="54"/>
  </r>
  <r>
    <n v="444"/>
    <x v="1"/>
    <x v="42"/>
    <s v="eth1/41"/>
    <x v="0"/>
    <x v="0"/>
    <x v="0"/>
    <s v="TO-ITHFDLMCLWLCN05"/>
    <x v="0"/>
    <b v="0"/>
    <s v="No está en VPC"/>
    <n v="444"/>
    <s v="INTPG_VPC_446_1.29_444_1.41"/>
    <s v="ISEL-1.41"/>
    <n v="3"/>
    <s v="NO TIENE L3OUT"/>
    <n v="234"/>
    <n v="54"/>
  </r>
  <r>
    <n v="701"/>
    <x v="2"/>
    <x v="43"/>
    <s v="eth1/41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41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41"/>
    <x v="0"/>
    <x v="0"/>
    <x v="0"/>
    <s v="FGW_R9_IXTLA_FORTI_42K_2"/>
    <x v="0"/>
    <b v="0"/>
    <s v="No está en VPC"/>
    <n v="448"/>
    <s v="INTPG_ACC_448_1.41"/>
    <s v="ISEL-1.41"/>
    <n v="0"/>
    <s v="L3OUT-NUBE-ORACLE-2"/>
    <n v="46"/>
    <n v="54"/>
  </r>
  <r>
    <n v="704"/>
    <x v="2"/>
    <x v="46"/>
    <s v="eth1/41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41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41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41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41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41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41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41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41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41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41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41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41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41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41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41"/>
    <x v="0"/>
    <x v="1"/>
    <x v="1"/>
    <m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41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41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41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41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41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41"/>
    <x v="0"/>
    <x v="1"/>
    <x v="3"/>
    <m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41"/>
    <x v="1"/>
    <x v="1"/>
    <x v="3"/>
    <m/>
    <x v="0"/>
    <b v="0"/>
    <s v="No está en VPC"/>
    <n v="780"/>
    <s v="NO EXISTE PG"/>
    <s v="NO EXISTE ISEL"/>
    <n v="0"/>
    <s v="NO TIENE L3OUT"/>
    <n v="26"/>
    <n v="54"/>
  </r>
  <r>
    <n v="812"/>
    <x v="2"/>
    <x v="70"/>
    <s v="eth1/41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41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41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41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41"/>
    <x v="0"/>
    <x v="0"/>
    <x v="0"/>
    <s v="LINK_TO_ITHHWCRMPEN01 /X2-10GE 3 /Principal"/>
    <x v="0"/>
    <b v="0"/>
    <s v="No está en VPC"/>
    <n v="824"/>
    <s v="INTPG_VPC_819_1.41-42_44-45_824_1.41-42_44-45"/>
    <s v="ISEL-1.41"/>
    <n v="1"/>
    <s v="NO TIENE L3OUT"/>
    <n v="70"/>
    <n v="54"/>
  </r>
  <r>
    <n v="819"/>
    <x v="2"/>
    <x v="75"/>
    <s v="eth1/41"/>
    <x v="0"/>
    <x v="0"/>
    <x v="0"/>
    <s v="LINK_TO_ITHHWCRMPEN01 /X2-10GE 4 /Redundante"/>
    <x v="0"/>
    <b v="0"/>
    <s v="No está en VPC"/>
    <n v="819"/>
    <s v="INTPG_VPC_819_1.41-42_44-45_824_1.41-42_44-45"/>
    <s v="ISEL-1.41"/>
    <n v="1"/>
    <s v="NO TIENE L3OUT"/>
    <n v="70"/>
    <n v="54"/>
  </r>
  <r>
    <n v="737"/>
    <x v="2"/>
    <x v="76"/>
    <s v="eth1/41"/>
    <x v="0"/>
    <x v="1"/>
    <x v="1"/>
    <m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41"/>
    <x v="0"/>
    <x v="0"/>
    <x v="0"/>
    <s v="LINK_TO_ITHFHWCRMPLCN114 / Slot1.2_32 / Principal"/>
    <x v="0"/>
    <b v="0"/>
    <s v="No está en VPC"/>
    <n v="844"/>
    <s v="INTPG_ACC_844_1.41"/>
    <s v="ISEL-1.41"/>
    <n v="2"/>
    <s v="NO TIENE L3OUT"/>
    <n v="282"/>
    <n v="54"/>
  </r>
  <r>
    <n v="843"/>
    <x v="2"/>
    <x v="78"/>
    <s v="eth1/41"/>
    <x v="0"/>
    <x v="0"/>
    <x v="0"/>
    <s v="A_ITHFHWSEQLHDPS83_Principal"/>
    <x v="0"/>
    <b v="0"/>
    <s v="No está en VPC"/>
    <n v="843"/>
    <s v="INTPG_ACC_843_1.41"/>
    <s v="ISEL-1.41"/>
    <n v="1"/>
    <s v="NO TIENE L3OUT"/>
    <n v="38"/>
    <n v="54"/>
  </r>
  <r>
    <n v="797"/>
    <x v="2"/>
    <x v="79"/>
    <s v="eth1/41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41"/>
    <x v="0"/>
    <x v="0"/>
    <x v="0"/>
    <s v="LINK_TO_ITHFHWCBSPSUSBD32 / Slot7.2_4 / Redundante"/>
    <x v="0"/>
    <b v="0"/>
    <s v="No está en VPC"/>
    <n v="839"/>
    <s v="INTPG_VPC_834_1.41_839_1.41"/>
    <s v="ISEL-1.41"/>
    <n v="1"/>
    <s v="NO TIENE L3OUT"/>
    <n v="0"/>
    <n v="54"/>
  </r>
  <r>
    <n v="847"/>
    <x v="2"/>
    <x v="81"/>
    <s v="eth1/41"/>
    <x v="0"/>
    <x v="0"/>
    <x v="0"/>
    <s v="LINK_TO_ITHFHWCRMPSBDP11 / Slot7.1_6 / Redundante"/>
    <x v="0"/>
    <b v="0"/>
    <s v="No está en VPC"/>
    <n v="847"/>
    <s v="INTPG_VPC_854_1.41_847_1.41"/>
    <s v="ISEL-1.41"/>
    <n v="6"/>
    <s v="NO TIENE L3OUT"/>
    <n v="204"/>
    <n v="54"/>
  </r>
  <r>
    <n v="848"/>
    <x v="2"/>
    <x v="82"/>
    <s v="eth1/41"/>
    <x v="0"/>
    <x v="0"/>
    <x v="0"/>
    <s v="LINK_TO_ITHFHWCRMPLCN168 / Slot7.1_38 / Redundante"/>
    <x v="0"/>
    <b v="0"/>
    <s v="No está en VPC"/>
    <n v="848"/>
    <s v="INTPG_ACC_848_1.41"/>
    <s v="ISEL-1.41"/>
    <n v="6"/>
    <s v="NO TIENE L3OUT"/>
    <n v="254"/>
    <n v="54"/>
  </r>
  <r>
    <n v="846"/>
    <x v="2"/>
    <x v="83"/>
    <s v="eth1/41"/>
    <x v="0"/>
    <x v="0"/>
    <x v="0"/>
    <s v="LINK_TO_ITHFHWCRMPLCN85 / Slot1.2_28 / Principal"/>
    <x v="0"/>
    <b v="0"/>
    <s v="No está en VPC"/>
    <n v="846"/>
    <s v="INTPG_ACC_846_1.41"/>
    <s v="ISEL-1.41"/>
    <n v="2"/>
    <s v="NO TIENE L3OUT"/>
    <n v="242"/>
    <n v="54"/>
  </r>
  <r>
    <n v="838"/>
    <x v="2"/>
    <x v="84"/>
    <s v="eth1/41"/>
    <x v="0"/>
    <x v="0"/>
    <x v="0"/>
    <s v="A_ITHFHWSEQLHDPS83_Redundante"/>
    <x v="0"/>
    <b v="0"/>
    <s v="No está en VPC"/>
    <n v="838"/>
    <s v="INTPG_ACC_838_1.41"/>
    <s v="ISEL-1.41"/>
    <n v="1"/>
    <s v="NO TIENE L3OUT"/>
    <n v="38"/>
    <n v="54"/>
  </r>
  <r>
    <n v="849"/>
    <x v="2"/>
    <x v="85"/>
    <s v="eth1/41"/>
    <x v="0"/>
    <x v="0"/>
    <x v="0"/>
    <s v="LINK_TO_ITHFHWCRMPLCN148 / Slot7.1_30 / Redundante"/>
    <x v="0"/>
    <b v="0"/>
    <s v="No está en VPC"/>
    <n v="849"/>
    <s v="INTPG_ACC_849_1.41"/>
    <s v="ISEL-1.41"/>
    <n v="6"/>
    <s v="NO TIENE L3OUT"/>
    <n v="286"/>
    <n v="54"/>
  </r>
  <r>
    <n v="845"/>
    <x v="2"/>
    <x v="86"/>
    <s v="eth1/41"/>
    <x v="0"/>
    <x v="0"/>
    <x v="0"/>
    <s v="LINK_TO_ITHFHWCRMPLCN97 / Slot1.3_26 / Principal"/>
    <x v="0"/>
    <b v="0"/>
    <s v="No está en VPC"/>
    <n v="845"/>
    <s v="INTPG_ACC_845_1.41"/>
    <s v="ISEL-1.41"/>
    <n v="1"/>
    <s v="NO TIENE L3OUT"/>
    <n v="258"/>
    <n v="54"/>
  </r>
  <r>
    <n v="873"/>
    <x v="2"/>
    <x v="87"/>
    <s v="eth1/41"/>
    <x v="0"/>
    <x v="0"/>
    <x v="0"/>
    <s v="To_ITHFHWCRMDLCN37_Redundante"/>
    <x v="0"/>
    <b v="0"/>
    <s v="No está en VPC"/>
    <n v="873"/>
    <s v="INTPG_ACC_873_1.41"/>
    <s v="ISEL-1.41"/>
    <n v="2"/>
    <s v="NO TIENE L3OUT"/>
    <n v="248"/>
    <n v="54"/>
  </r>
  <r>
    <n v="864"/>
    <x v="2"/>
    <x v="88"/>
    <s v="eth1/41"/>
    <x v="0"/>
    <x v="0"/>
    <x v="0"/>
    <s v="To_VPC_2DCBSD_WR49_2"/>
    <x v="0"/>
    <b v="0"/>
    <s v="No está en VPC"/>
    <n v="864"/>
    <s v="INTPG_VPC_859_1.41_864_1.41"/>
    <s v="ISEL-1.41"/>
    <n v="1"/>
    <s v="NO TIENE L3OUT"/>
    <n v="0"/>
    <n v="54"/>
  </r>
  <r>
    <n v="836"/>
    <x v="2"/>
    <x v="89"/>
    <s v="eth1/41"/>
    <x v="0"/>
    <x v="0"/>
    <x v="0"/>
    <s v="LINK_TO_ITHFHWCBSPSHD28 / Slot1.1_20 / Principal"/>
    <x v="0"/>
    <b v="0"/>
    <s v="No está en VPC"/>
    <n v="836"/>
    <s v="INTPG_VPC_836_1.41_841_1.41"/>
    <s v="ISEL-1.41"/>
    <n v="2"/>
    <s v="NO TIENE L3OUT"/>
    <n v="0"/>
    <n v="54"/>
  </r>
  <r>
    <n v="834"/>
    <x v="2"/>
    <x v="90"/>
    <s v="eth1/41"/>
    <x v="0"/>
    <x v="0"/>
    <x v="0"/>
    <s v="LINK_TO_ITHFHWCBSPSUSBD32 / Slot1.2_4 / Principal"/>
    <x v="0"/>
    <b v="0"/>
    <s v="No está en VPC"/>
    <n v="834"/>
    <s v="INTPG_VPC_834_1.41_839_1.41"/>
    <s v="ISEL-1.41"/>
    <n v="1"/>
    <s v="NO TIENE L3OUT"/>
    <n v="0"/>
    <n v="54"/>
  </r>
  <r>
    <n v="872"/>
    <x v="2"/>
    <x v="91"/>
    <s v="eth1/41"/>
    <x v="0"/>
    <x v="0"/>
    <x v="0"/>
    <s v="TO_ITHFHWCRMDLCN50_Principal"/>
    <x v="0"/>
    <b v="0"/>
    <s v="No está en VPC"/>
    <n v="872"/>
    <s v="INTPG_ACC_872_1.41"/>
    <s v="ISEL-1.41"/>
    <n v="1"/>
    <s v="NO TIENE L3OUT"/>
    <n v="288"/>
    <n v="54"/>
  </r>
  <r>
    <n v="842"/>
    <x v="2"/>
    <x v="92"/>
    <s v="eth1/41"/>
    <x v="0"/>
    <x v="0"/>
    <x v="0"/>
    <s v="LINK_To_ITHFHWCBSPSHD21 / Slot7.3_18 / Redundante"/>
    <x v="0"/>
    <b v="0"/>
    <s v="No está en VPC"/>
    <n v="842"/>
    <s v="INTPG_VPC_837_1.41_842_1.41"/>
    <s v="ISEL-1.41"/>
    <n v="1"/>
    <s v="NO TIENE L3OUT"/>
    <n v="8"/>
    <n v="54"/>
  </r>
  <r>
    <n v="828"/>
    <x v="2"/>
    <x v="93"/>
    <s v="eth1/41"/>
    <x v="0"/>
    <x v="0"/>
    <x v="0"/>
    <s v="LINK_TO_ITHHWD6KV60010DKC01 /CtrlB_IOM1.P0 /Principal"/>
    <x v="0"/>
    <b v="0"/>
    <s v="No está en VPC"/>
    <n v="828"/>
    <s v="INTPG_ACC_828_1.41"/>
    <s v="ISEL-1.41"/>
    <n v="1"/>
    <s v="NO TIENE L3OUT"/>
    <n v="192"/>
    <n v="54"/>
  </r>
  <r>
    <n v="870"/>
    <x v="2"/>
    <x v="94"/>
    <s v="eth1/41"/>
    <x v="0"/>
    <x v="0"/>
    <x v="0"/>
    <s v="To_ITHFHWCRMDLCN37_Principal"/>
    <x v="0"/>
    <b v="0"/>
    <s v="No está en VPC"/>
    <n v="870"/>
    <s v="INTPG_ACC_870_1.41"/>
    <s v="ISEL-1.41"/>
    <n v="2"/>
    <s v="NO TIENE L3OUT"/>
    <n v="248"/>
    <n v="54"/>
  </r>
  <r>
    <n v="866"/>
    <x v="2"/>
    <x v="95"/>
    <s v="eth1/41"/>
    <x v="0"/>
    <x v="0"/>
    <x v="0"/>
    <s v="To_VPC_2DCBSD_WR35_1"/>
    <x v="0"/>
    <b v="0"/>
    <s v="No está en VPC"/>
    <n v="866"/>
    <s v="INTPG_VPC_861_1.41_866_1.41"/>
    <s v="ISEL-1.41"/>
    <n v="2"/>
    <s v="NO TIENE L3OUT"/>
    <n v="8"/>
    <n v="54"/>
  </r>
  <r>
    <n v="862"/>
    <x v="2"/>
    <x v="96"/>
    <s v="eth1/41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41"/>
    <x v="0"/>
    <x v="0"/>
    <x v="0"/>
    <s v="LINK_TO_ITHFHWCRMPLCN168 / Slot1.1_38 / Principal"/>
    <x v="0"/>
    <b v="0"/>
    <s v="No está en VPC"/>
    <n v="855"/>
    <s v="INTPG_ACC_855_1.41"/>
    <s v="ISEL-1.41"/>
    <n v="6"/>
    <s v="NO TIENE L3OUT"/>
    <n v="254"/>
    <n v="54"/>
  </r>
  <r>
    <n v="871"/>
    <x v="2"/>
    <x v="98"/>
    <s v="eth1/41"/>
    <x v="0"/>
    <x v="0"/>
    <x v="0"/>
    <s v="To_ITHFHWCRMDLCN67_Principal"/>
    <x v="0"/>
    <b v="0"/>
    <s v="No está en VPC"/>
    <n v="871"/>
    <s v="INTPG_ACC_871_1.41"/>
    <s v="ISEL-1.41"/>
    <n v="2"/>
    <s v="NO TIENE L3OUT"/>
    <n v="246"/>
    <n v="54"/>
  </r>
  <r>
    <n v="841"/>
    <x v="2"/>
    <x v="99"/>
    <s v="eth1/41"/>
    <x v="0"/>
    <x v="0"/>
    <x v="0"/>
    <s v="LINK_TO_ITHFHWCBSPSHD28 / Slot7.1_20 / Redundante"/>
    <x v="0"/>
    <b v="0"/>
    <s v="No está en VPC"/>
    <n v="841"/>
    <s v="INTPG_VPC_836_1.41_841_1.41"/>
    <s v="ISEL-1.41"/>
    <n v="2"/>
    <s v="NO TIENE L3OUT"/>
    <n v="0"/>
    <n v="54"/>
  </r>
  <r>
    <n v="868"/>
    <x v="2"/>
    <x v="100"/>
    <s v="eth1/41"/>
    <x v="0"/>
    <x v="0"/>
    <x v="0"/>
    <s v="To_ITHFHWCRMDLCN67_Redundante"/>
    <x v="0"/>
    <b v="0"/>
    <s v="No está en VPC"/>
    <n v="868"/>
    <s v="INTPG_ACC_868_1.41"/>
    <s v="ISEL-1.41"/>
    <n v="2"/>
    <s v="NO TIENE L3OUT"/>
    <n v="246"/>
    <n v="54"/>
  </r>
  <r>
    <n v="869"/>
    <x v="2"/>
    <x v="101"/>
    <s v="eth1/41"/>
    <x v="0"/>
    <x v="0"/>
    <x v="0"/>
    <s v="TO_ITHFHWCRMDLCN50_Redundante"/>
    <x v="0"/>
    <b v="0"/>
    <s v="No está en VPC"/>
    <n v="869"/>
    <s v="INTPG_ACC_869_1.41"/>
    <s v="ISEL-1.41"/>
    <n v="1"/>
    <s v="NO TIENE L3OUT"/>
    <n v="288"/>
    <n v="54"/>
  </r>
  <r>
    <n v="861"/>
    <x v="2"/>
    <x v="102"/>
    <s v="eth1/41"/>
    <x v="0"/>
    <x v="0"/>
    <x v="0"/>
    <s v="To_VPC_2DCBSD_WR35_1"/>
    <x v="0"/>
    <b v="0"/>
    <s v="No está en VPC"/>
    <n v="861"/>
    <s v="INTPG_VPC_861_1.41_866_1.41"/>
    <s v="ISEL-1.41"/>
    <n v="2"/>
    <s v="NO TIENE L3OUT"/>
    <n v="8"/>
    <n v="54"/>
  </r>
  <r>
    <n v="874"/>
    <x v="2"/>
    <x v="103"/>
    <s v="eth1/41"/>
    <x v="0"/>
    <x v="0"/>
    <x v="0"/>
    <s v="A_ITHFHWSEQLCAS16_Redundante"/>
    <x v="4"/>
    <b v="0"/>
    <s v="No está en VPC"/>
    <n v="874"/>
    <s v="INTPG_ACC_874_1.41"/>
    <s v="ISEL-1.41"/>
    <n v="1"/>
    <s v="NO TIENE L3OUT"/>
    <n v="92"/>
    <n v="54"/>
  </r>
  <r>
    <n v="865"/>
    <x v="2"/>
    <x v="104"/>
    <s v="eth1/41"/>
    <x v="0"/>
    <x v="0"/>
    <x v="0"/>
    <s v="To_VPC_2DCBSD_WR39_2"/>
    <x v="0"/>
    <b v="0"/>
    <s v="No está en VPC"/>
    <n v="865"/>
    <s v="INTPG_VPC_860_1.41_865_1.41"/>
    <s v="ISEL-1.41"/>
    <n v="1"/>
    <s v="NO TIENE L3OUT"/>
    <n v="0"/>
    <n v="54"/>
  </r>
  <r>
    <n v="753"/>
    <x v="2"/>
    <x v="105"/>
    <s v="eth1/41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41"/>
    <x v="0"/>
    <x v="1"/>
    <x v="3"/>
    <m/>
    <x v="0"/>
    <b v="0"/>
    <s v="No está en VPC"/>
    <n v="708"/>
    <s v="NO EXISTE PG"/>
    <s v="NO EXISTE ISEL"/>
    <n v="0"/>
    <s v="NO TIENE L3OUT"/>
    <n v="0"/>
    <n v="54"/>
  </r>
  <r>
    <n v="710"/>
    <x v="2"/>
    <x v="107"/>
    <s v="eth1/41"/>
    <x v="1"/>
    <x v="1"/>
    <x v="3"/>
    <m/>
    <x v="0"/>
    <b v="0"/>
    <s v="No está en VPC"/>
    <n v="710"/>
    <s v="NO EXISTE PG"/>
    <s v="NO EXISTE ISEL"/>
    <n v="0"/>
    <s v="NO TIENE L3OUT"/>
    <n v="16"/>
    <n v="54"/>
  </r>
  <r>
    <n v="713"/>
    <x v="2"/>
    <x v="108"/>
    <s v="eth1/41"/>
    <x v="1"/>
    <x v="1"/>
    <x v="3"/>
    <m/>
    <x v="0"/>
    <b v="0"/>
    <s v="No está en VPC"/>
    <n v="713"/>
    <s v="NO EXISTE PG"/>
    <s v="NO EXISTE ISEL"/>
    <n v="0"/>
    <s v="NO TIENE L3OUT"/>
    <n v="32"/>
    <n v="54"/>
  </r>
  <r>
    <n v="735"/>
    <x v="2"/>
    <x v="109"/>
    <s v="eth1/41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41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41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41"/>
    <x v="1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41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41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41"/>
    <x v="0"/>
    <x v="0"/>
    <x v="0"/>
    <s v="LINK_TO_ITHFHWCBSDSWR20 /10GE.1 /Principal"/>
    <x v="0"/>
    <b v="0"/>
    <s v="No está en VPC"/>
    <n v="826"/>
    <s v="INTPG_VPC_826_1.41_830_1.41"/>
    <s v="ISEL-1.41"/>
    <n v="1"/>
    <s v="NO TIENE L3OUT"/>
    <n v="12"/>
    <n v="54"/>
  </r>
  <r>
    <n v="726"/>
    <x v="2"/>
    <x v="117"/>
    <s v="eth1/41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41"/>
    <x v="0"/>
    <x v="1"/>
    <x v="1"/>
    <m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41"/>
    <x v="1"/>
    <x v="1"/>
    <x v="3"/>
    <m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41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41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41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41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41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41"/>
    <x v="1"/>
    <x v="1"/>
    <x v="3"/>
    <m/>
    <x v="0"/>
    <b v="0"/>
    <s v="No está en VPC"/>
    <n v="709"/>
    <s v="NO EXISTE PG"/>
    <s v="NO EXISTE ISEL"/>
    <n v="0"/>
    <s v="NO TIENE L3OUT"/>
    <n v="0"/>
    <n v="54"/>
  </r>
  <r>
    <n v="454"/>
    <x v="1"/>
    <x v="126"/>
    <s v="eth1/41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41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41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41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41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41"/>
    <x v="0"/>
    <x v="1"/>
    <x v="1"/>
    <m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41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41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41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41"/>
    <x v="0"/>
    <x v="1"/>
    <x v="3"/>
    <m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41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41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41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41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41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41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41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41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41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41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41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41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41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41"/>
    <x v="1"/>
    <x v="1"/>
    <x v="3"/>
    <m/>
    <x v="0"/>
    <b v="0"/>
    <s v="No está en VPC"/>
    <n v="781"/>
    <s v="NO EXISTE PG"/>
    <s v="NO EXISTE ISEL"/>
    <n v="0"/>
    <s v="NO TIENE L3OUT"/>
    <n v="26"/>
    <n v="54"/>
  </r>
  <r>
    <n v="793"/>
    <x v="2"/>
    <x v="151"/>
    <s v="eth1/41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41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41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41"/>
    <x v="1"/>
    <x v="1"/>
    <x v="3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41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41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41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41"/>
    <x v="0"/>
    <x v="1"/>
    <x v="1"/>
    <m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41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41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41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41"/>
    <x v="0"/>
    <x v="0"/>
    <x v="0"/>
    <s v="LINK_TO_ITHFHWCBSDSWR20 /Slot5.1 /Redundante"/>
    <x v="0"/>
    <b v="0"/>
    <s v="No está en VPC"/>
    <n v="830"/>
    <s v="INTPG_VPC_826_1.41_830_1.41"/>
    <s v="ISEL-1.41"/>
    <n v="1"/>
    <s v="NO TIENE L3OUT"/>
    <n v="12"/>
    <n v="54"/>
  </r>
  <r>
    <n v="821"/>
    <x v="2"/>
    <x v="163"/>
    <s v="eth1/41"/>
    <x v="0"/>
    <x v="0"/>
    <x v="0"/>
    <s v="LINK_TO_ITHFHWCBSPSWR20 /Slot5.1 /Redundante"/>
    <x v="0"/>
    <b v="0"/>
    <s v="No está en VPC"/>
    <n v="821"/>
    <s v="INTPG_VPC_816_1.41_821_1.41"/>
    <s v="ISEL-1.41"/>
    <n v="1"/>
    <s v="NO TIENE L3OUT"/>
    <n v="0"/>
    <n v="54"/>
  </r>
  <r>
    <n v="738"/>
    <x v="2"/>
    <x v="164"/>
    <s v="eth1/41"/>
    <x v="0"/>
    <x v="1"/>
    <x v="1"/>
    <m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41"/>
    <x v="0"/>
    <x v="0"/>
    <x v="0"/>
    <s v="TO-9S_BESPR_IXTLA3_1"/>
    <x v="0"/>
    <b v="0"/>
    <s v="No está en VPC"/>
    <n v="820"/>
    <s v="INTPG_VPC_820_1.38-41_825_1.38-41"/>
    <s v="ISEL-1.41"/>
    <n v="31"/>
    <s v="NO TIENE L3OUT"/>
    <n v="72"/>
    <n v="54"/>
  </r>
  <r>
    <n v="804"/>
    <x v="2"/>
    <x v="166"/>
    <s v="eth1/41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41"/>
    <x v="0"/>
    <x v="1"/>
    <x v="3"/>
    <m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41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41"/>
    <x v="0"/>
    <x v="0"/>
    <x v="0"/>
    <s v="LINK_TO_ITHFHWCBSDSWR30 /Slot5.2 /Principal"/>
    <x v="0"/>
    <b v="0"/>
    <s v="No está en VPC"/>
    <n v="827"/>
    <s v="INTPG_VPC_827_1.41_831_1.41"/>
    <s v="ISEL-1.41"/>
    <n v="2"/>
    <s v="NO TIENE L3OUT"/>
    <n v="14"/>
    <n v="54"/>
  </r>
  <r>
    <n v="809"/>
    <x v="2"/>
    <x v="170"/>
    <s v="eth1/41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41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41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41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41"/>
    <x v="1"/>
    <x v="1"/>
    <x v="3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41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41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41"/>
    <x v="0"/>
    <x v="0"/>
    <x v="0"/>
    <s v="LINK_TO_ITHFHWCRMPLCN114 / Slot7.2_32 / Redundante"/>
    <x v="0"/>
    <b v="0"/>
    <s v="No está en VPC"/>
    <n v="851"/>
    <s v="INTPG_ACC_851_1.41"/>
    <s v="ISEL-1.41"/>
    <n v="2"/>
    <s v="NO TIENE L3OUT"/>
    <n v="282"/>
    <n v="54"/>
  </r>
  <r>
    <n v="798"/>
    <x v="2"/>
    <x v="178"/>
    <s v="eth1/41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41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41"/>
    <x v="0"/>
    <x v="0"/>
    <x v="0"/>
    <s v="LINK_TO_ITHFHWCRMPLCN97 / Slot7.3_26 / Redundante"/>
    <x v="0"/>
    <b v="0"/>
    <s v="No está en VPC"/>
    <n v="852"/>
    <s v="INTPG_ACC_852_1.41"/>
    <s v="ISEL-1.41"/>
    <n v="1"/>
    <s v="NO TIENE L3OUT"/>
    <n v="258"/>
    <n v="54"/>
  </r>
  <r>
    <n v="817"/>
    <x v="2"/>
    <x v="181"/>
    <s v="eth1/41"/>
    <x v="0"/>
    <x v="0"/>
    <x v="0"/>
    <s v="LINK_TO_ITHFHWCBSPSWR27 /10GE.1 /Principal"/>
    <x v="0"/>
    <b v="0"/>
    <s v="No está en VPC"/>
    <n v="817"/>
    <s v="INTPG_VPC_817_1.41_822_1.41"/>
    <s v="ISEL-1.41"/>
    <n v="1"/>
    <s v="NO TIENE L3OUT"/>
    <n v="0"/>
    <n v="54"/>
  </r>
  <r>
    <n v="832"/>
    <x v="2"/>
    <x v="182"/>
    <s v="eth1/41"/>
    <x v="0"/>
    <x v="0"/>
    <x v="0"/>
    <s v="LINK_TO_ITHHWD6KV60010DKC01 /CtrlB_IOM1.P1 /Redundante"/>
    <x v="0"/>
    <b v="0"/>
    <s v="No está en VPC"/>
    <n v="832"/>
    <s v="INTPG_ACC_832_1.41"/>
    <s v="ISEL-1.41"/>
    <n v="1"/>
    <s v="NO TIENE L3OUT"/>
    <n v="192"/>
    <n v="54"/>
  </r>
  <r>
    <n v="816"/>
    <x v="2"/>
    <x v="183"/>
    <s v="eth1/41"/>
    <x v="0"/>
    <x v="0"/>
    <x v="0"/>
    <s v="LINK_TO_ITHFHWCBSPSWR20 /10GE.1 /Principal"/>
    <x v="0"/>
    <b v="0"/>
    <s v="No está en VPC"/>
    <n v="816"/>
    <s v="INTPG_VPC_816_1.41_821_1.41"/>
    <s v="ISEL-1.41"/>
    <n v="1"/>
    <s v="NO TIENE L3OUT"/>
    <n v="0"/>
    <n v="54"/>
  </r>
  <r>
    <n v="825"/>
    <x v="2"/>
    <x v="184"/>
    <s v="eth1/41"/>
    <x v="0"/>
    <x v="0"/>
    <x v="0"/>
    <s v="TO-9S_BESPR_IXTLA3_1"/>
    <x v="0"/>
    <b v="0"/>
    <s v="No está en VPC"/>
    <n v="825"/>
    <s v="INTPG_VPC_820_1.38-41_825_1.38-41"/>
    <s v="ISEL-1.41"/>
    <n v="31"/>
    <s v="NO TIENE L3OUT"/>
    <n v="72"/>
    <n v="54"/>
  </r>
  <r>
    <n v="800"/>
    <x v="2"/>
    <x v="185"/>
    <s v="eth1/41"/>
    <x v="0"/>
    <x v="0"/>
    <x v="0"/>
    <s v="TO-ITHFDEVDICL01ESX03"/>
    <x v="0"/>
    <b v="0"/>
    <s v="No está en VPC"/>
    <n v="800"/>
    <s v="INTPG_VPC_800_1.41_801_1.41"/>
    <s v="ISEL-1.41"/>
    <n v="6"/>
    <s v="NO TIENE L3OUT"/>
    <n v="78"/>
    <n v="54"/>
  </r>
  <r>
    <n v="801"/>
    <x v="2"/>
    <x v="186"/>
    <s v="eth1/41"/>
    <x v="0"/>
    <x v="0"/>
    <x v="0"/>
    <s v="TO-ITHFDEVDICL01ESX03"/>
    <x v="0"/>
    <b v="0"/>
    <s v="No está en VPC"/>
    <n v="801"/>
    <s v="INTPG_VPC_800_1.41_801_1.41"/>
    <s v="ISEL-1.41"/>
    <n v="6"/>
    <s v="NO TIENE L3OUT"/>
    <n v="78"/>
    <n v="54"/>
  </r>
  <r>
    <n v="823"/>
    <x v="2"/>
    <x v="187"/>
    <s v="eth1/41"/>
    <x v="0"/>
    <x v="0"/>
    <x v="0"/>
    <s v="LINK_TO_ITHFHWCBSPSWR38 /Slot7.2 /Redundante"/>
    <x v="0"/>
    <b v="0"/>
    <s v="No está en VPC"/>
    <n v="823"/>
    <s v="INTPG_VPC_818_1.41_823_1.41"/>
    <s v="ISEL-1.41"/>
    <n v="2"/>
    <s v="NO TIENE L3OUT"/>
    <n v="8"/>
    <n v="54"/>
  </r>
  <r>
    <n v="837"/>
    <x v="2"/>
    <x v="188"/>
    <s v="eth1/41"/>
    <x v="0"/>
    <x v="0"/>
    <x v="0"/>
    <s v="LINK_To_ITHFHWCBSPSHD21 / Slot1.3_18 / Principal"/>
    <x v="0"/>
    <b v="0"/>
    <s v="No está en VPC"/>
    <n v="837"/>
    <s v="INTPG_VPC_837_1.41_842_1.41"/>
    <s v="ISEL-1.41"/>
    <n v="1"/>
    <s v="NO TIENE L3OUT"/>
    <n v="8"/>
    <n v="54"/>
  </r>
  <r>
    <n v="867"/>
    <x v="2"/>
    <x v="189"/>
    <s v="eth1/41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41"/>
    <x v="0"/>
    <x v="0"/>
    <x v="0"/>
    <s v="To_ITHFHWCRMDLCN48_Principal"/>
    <x v="0"/>
    <b v="0"/>
    <s v="No está en VPC"/>
    <n v="829"/>
    <s v="INTPG_ACC_829_1.41"/>
    <s v="ISEL-1.41"/>
    <n v="1"/>
    <s v="NO TIENE L3OUT"/>
    <n v="224"/>
    <n v="54"/>
  </r>
  <r>
    <n v="831"/>
    <x v="2"/>
    <x v="191"/>
    <s v="eth1/41"/>
    <x v="0"/>
    <x v="0"/>
    <x v="0"/>
    <s v="LINK_TO_ITHFHWCBSDSWR30 /Slot7.2 /Redundante"/>
    <x v="0"/>
    <b v="0"/>
    <s v="No está en VPC"/>
    <n v="831"/>
    <s v="INTPG_VPC_827_1.41_831_1.41"/>
    <s v="ISEL-1.41"/>
    <n v="2"/>
    <s v="NO TIENE L3OUT"/>
    <n v="14"/>
    <n v="54"/>
  </r>
  <r>
    <n v="802"/>
    <x v="2"/>
    <x v="192"/>
    <s v="eth1/41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41"/>
    <x v="0"/>
    <x v="0"/>
    <x v="0"/>
    <s v="LINK_TO_ITHFHWCBSPSHD36 / Slot1.1_24 / Principal"/>
    <x v="0"/>
    <b v="0"/>
    <s v="No está en VPC"/>
    <n v="835"/>
    <s v="INTPG_VPC_835_1.41_840_1.41"/>
    <s v="ISEL-1.41"/>
    <n v="2"/>
    <s v="NO TIENE L3OUT"/>
    <n v="8"/>
    <n v="54"/>
  </r>
  <r>
    <n v="822"/>
    <x v="2"/>
    <x v="194"/>
    <s v="eth1/41"/>
    <x v="0"/>
    <x v="0"/>
    <x v="0"/>
    <s v="LINK_TO_ITHFHWCBSPSWR27 /Slot5.1 /Redundante"/>
    <x v="0"/>
    <b v="0"/>
    <s v="No está en VPC"/>
    <n v="822"/>
    <s v="INTPG_VPC_817_1.41_822_1.41"/>
    <s v="ISEL-1.41"/>
    <n v="1"/>
    <s v="NO TIENE L3OUT"/>
    <n v="0"/>
    <n v="54"/>
  </r>
  <r>
    <n v="854"/>
    <x v="2"/>
    <x v="195"/>
    <s v="eth1/41"/>
    <x v="0"/>
    <x v="0"/>
    <x v="0"/>
    <s v="LINK_TO_ITHFHWCRMPSBDP11 / Slot1.1_6 / Principal"/>
    <x v="0"/>
    <b v="0"/>
    <s v="No está en VPC"/>
    <n v="854"/>
    <s v="INTPG_VPC_854_1.41_847_1.41"/>
    <s v="ISEL-1.41"/>
    <n v="6"/>
    <s v="NO TIENE L3OUT"/>
    <n v="204"/>
    <n v="54"/>
  </r>
  <r>
    <n v="858"/>
    <x v="2"/>
    <x v="196"/>
    <s v="eth1/41"/>
    <x v="0"/>
    <x v="0"/>
    <x v="0"/>
    <s v="To_VPC_2DCBSD_WR58_2"/>
    <x v="0"/>
    <b v="0"/>
    <s v="No está en VPC"/>
    <n v="858"/>
    <s v="INTPG_VPC_858_1.41_863_1.41"/>
    <s v="ISEL-1.41"/>
    <n v="1"/>
    <s v="NO TIENE L3OUT"/>
    <n v="8"/>
    <n v="54"/>
  </r>
  <r>
    <n v="857"/>
    <x v="2"/>
    <x v="197"/>
    <s v="eth1/41"/>
    <x v="0"/>
    <x v="0"/>
    <x v="0"/>
    <s v="LINKT_TO_ITHFHWCRMPLCN129 / Slot1.1_28 / Principal"/>
    <x v="0"/>
    <b v="0"/>
    <s v="No está en VPC"/>
    <n v="857"/>
    <s v="INTPG_ACC_857_1.41"/>
    <s v="ISEL-1.41"/>
    <n v="6"/>
    <s v="NO TIENE L3OUT"/>
    <n v="288"/>
    <n v="54"/>
  </r>
  <r>
    <n v="859"/>
    <x v="2"/>
    <x v="198"/>
    <s v="eth1/41"/>
    <x v="0"/>
    <x v="0"/>
    <x v="0"/>
    <s v="To_VPC_2DCBSD_WR49_2"/>
    <x v="0"/>
    <b v="0"/>
    <s v="No está en VPC"/>
    <n v="859"/>
    <s v="INTPG_VPC_859_1.41_864_1.41"/>
    <s v="ISEL-1.41"/>
    <n v="1"/>
    <s v="NO TIENE L3OUT"/>
    <n v="0"/>
    <n v="54"/>
  </r>
  <r>
    <n v="833"/>
    <x v="2"/>
    <x v="199"/>
    <s v="eth1/41"/>
    <x v="0"/>
    <x v="0"/>
    <x v="0"/>
    <s v="To_ITHFHWCRMDLCN48_Redundante"/>
    <x v="0"/>
    <b v="0"/>
    <s v="No está en VPC"/>
    <n v="833"/>
    <s v="INTPG_ACC_833_1.41"/>
    <s v="ISEL-1.41"/>
    <n v="1"/>
    <s v="NO TIENE L3OUT"/>
    <n v="224"/>
    <n v="54"/>
  </r>
  <r>
    <n v="818"/>
    <x v="2"/>
    <x v="200"/>
    <s v="eth1/41"/>
    <x v="0"/>
    <x v="0"/>
    <x v="0"/>
    <s v="LINK_TO_ITHFHWCBSPSWR38 /Slot5.2 /Principal"/>
    <x v="0"/>
    <b v="0"/>
    <s v="No está en VPC"/>
    <n v="818"/>
    <s v="INTPG_VPC_818_1.41_823_1.41"/>
    <s v="ISEL-1.41"/>
    <n v="2"/>
    <s v="NO TIENE L3OUT"/>
    <n v="8"/>
    <n v="54"/>
  </r>
  <r>
    <n v="850"/>
    <x v="2"/>
    <x v="201"/>
    <s v="eth1/41"/>
    <x v="0"/>
    <x v="0"/>
    <x v="0"/>
    <s v="LINKT_TO_ITHFHWCRMPLCN129 / Slot7.1_28 / Redundante"/>
    <x v="0"/>
    <b v="0"/>
    <s v="No está en VPC"/>
    <n v="850"/>
    <s v="INTPG_ACC_850_1.41"/>
    <s v="ISEL-1.41"/>
    <n v="6"/>
    <s v="NO TIENE L3OUT"/>
    <n v="288"/>
    <n v="54"/>
  </r>
  <r>
    <n v="860"/>
    <x v="2"/>
    <x v="202"/>
    <s v="eth1/41"/>
    <x v="0"/>
    <x v="0"/>
    <x v="0"/>
    <s v="To_VPC_2DCBSD_WR39_2"/>
    <x v="0"/>
    <b v="0"/>
    <s v="No está en VPC"/>
    <n v="860"/>
    <s v="INTPG_VPC_860_1.41_865_1.41"/>
    <s v="ISEL-1.41"/>
    <n v="1"/>
    <s v="NO TIENE L3OUT"/>
    <n v="0"/>
    <n v="54"/>
  </r>
  <r>
    <n v="853"/>
    <x v="2"/>
    <x v="203"/>
    <s v="eth1/41"/>
    <x v="0"/>
    <x v="0"/>
    <x v="0"/>
    <s v="LINK_TO_ITHFHWCRMPLCN85 / Slot7.2_28 / Redundante"/>
    <x v="0"/>
    <b v="0"/>
    <s v="No está en VPC"/>
    <n v="853"/>
    <s v="INTPG_ACC_853_1.41"/>
    <s v="ISEL-1.41"/>
    <n v="2"/>
    <s v="NO TIENE L3OUT"/>
    <n v="242"/>
    <n v="54"/>
  </r>
  <r>
    <n v="790"/>
    <x v="2"/>
    <x v="204"/>
    <s v="eth1/41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41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41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41"/>
    <x v="1"/>
    <x v="1"/>
    <x v="2"/>
    <s v="Citrix Silot"/>
    <x v="6"/>
    <b v="0"/>
    <s v="No está en VPC"/>
    <n v="104"/>
    <s v="INTPG_ACC_104_1.41"/>
    <s v="ISEL-1.41"/>
    <n v="0"/>
    <s v="NO TIENE L3OUT"/>
    <n v="194"/>
    <n v="96"/>
  </r>
  <r>
    <n v="158"/>
    <x v="0"/>
    <x v="208"/>
    <s v="eth1/41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41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41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41"/>
    <x v="0"/>
    <x v="0"/>
    <x v="0"/>
    <s v="EMS_TEKELEC"/>
    <x v="6"/>
    <b v="0"/>
    <s v="No está en VPC"/>
    <n v="108"/>
    <s v="INTPG_ACC_108_1.41"/>
    <s v="ISEL-1.41"/>
    <n v="1"/>
    <s v="NO TIENE L3OUT"/>
    <n v="126"/>
    <n v="96"/>
  </r>
  <r>
    <n v="112"/>
    <x v="0"/>
    <x v="212"/>
    <s v="eth1/41"/>
    <x v="0"/>
    <x v="0"/>
    <x v="0"/>
    <s v="CS AIR"/>
    <x v="6"/>
    <b v="0"/>
    <s v="No está en VPC"/>
    <n v="112"/>
    <s v="INTPG_ACC_112_1.41"/>
    <s v="ISEL-1.41"/>
    <n v="1"/>
    <s v="NO TIENE L3OUT"/>
    <n v="144"/>
    <n v="96"/>
  </r>
  <r>
    <n v="107"/>
    <x v="0"/>
    <x v="213"/>
    <s v="eth1/41"/>
    <x v="1"/>
    <x v="1"/>
    <x v="2"/>
    <m/>
    <x v="6"/>
    <b v="0"/>
    <s v="No está en VPC"/>
    <n v="107"/>
    <s v="INTPG_ACC_107_1.41"/>
    <s v="ISEL-1.41"/>
    <n v="1"/>
    <s v="NO TIENE L3OUT"/>
    <n v="118"/>
    <n v="96"/>
  </r>
  <r>
    <n v="109"/>
    <x v="0"/>
    <x v="214"/>
    <s v="eth1/41"/>
    <x v="0"/>
    <x v="0"/>
    <x v="0"/>
    <m/>
    <x v="6"/>
    <b v="0"/>
    <s v="No está en VPC"/>
    <n v="109"/>
    <s v="INTPG_ACC_109_1.41"/>
    <s v="ISEL-1.41"/>
    <n v="1"/>
    <s v="NO TIENE L3OUT"/>
    <n v="126"/>
    <n v="96"/>
  </r>
  <r>
    <n v="113"/>
    <x v="0"/>
    <x v="215"/>
    <s v="eth1/41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41"/>
    <x v="0"/>
    <x v="1"/>
    <x v="1"/>
    <s v="HP Report OptimizireRack 300"/>
    <x v="6"/>
    <b v="0"/>
    <s v="No está en VPC"/>
    <n v="114"/>
    <s v="INTPG_ACC_114_1.41"/>
    <s v="ISEL-1.41"/>
    <n v="1"/>
    <s v="NO TIENE L3OUT"/>
    <n v="144"/>
    <n v="96"/>
  </r>
  <r>
    <n v="124"/>
    <x v="0"/>
    <x v="217"/>
    <s v="eth1/41"/>
    <x v="0"/>
    <x v="1"/>
    <x v="1"/>
    <s v="MONITOREO DE SWITCHS EXTREME OSS EN SPECTRUM"/>
    <x v="6"/>
    <b v="0"/>
    <s v="No está en VPC"/>
    <n v="124"/>
    <s v="INTPG_ACC_124_1.41"/>
    <s v="ISEL-1.41"/>
    <n v="1"/>
    <s v="NO TIENE L3OUT"/>
    <n v="80"/>
    <n v="96"/>
  </r>
  <r>
    <n v="118"/>
    <x v="0"/>
    <x v="218"/>
    <s v="eth1/41"/>
    <x v="0"/>
    <x v="0"/>
    <x v="0"/>
    <s v="INGE6"/>
    <x v="6"/>
    <b v="0"/>
    <s v="No está en VPC"/>
    <n v="118"/>
    <s v="INTPG_ACC_118_1.41"/>
    <s v="ISEL-1.41"/>
    <n v="1"/>
    <s v="NO TIENE L3OUT"/>
    <n v="180"/>
    <n v="96"/>
  </r>
  <r>
    <n v="159"/>
    <x v="0"/>
    <x v="219"/>
    <s v="eth1/41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41"/>
    <x v="0"/>
    <x v="0"/>
    <x v="0"/>
    <s v="LINK_TO_ITHFHWCBSPSHD36 / Slot7.1_24 / Redundante"/>
    <x v="0"/>
    <b v="0"/>
    <s v="No está en VPC"/>
    <n v="840"/>
    <s v="INTPG_VPC_835_1.41_840_1.41"/>
    <s v="ISEL-1.41"/>
    <n v="2"/>
    <s v="NO TIENE L3OUT"/>
    <n v="8"/>
    <n v="54"/>
  </r>
  <r>
    <n v="856"/>
    <x v="2"/>
    <x v="221"/>
    <s v="eth1/41"/>
    <x v="0"/>
    <x v="0"/>
    <x v="0"/>
    <s v="LINK_TO_ITHFHWCRMPLCN148 / Slot1.1_30 / Principal"/>
    <x v="0"/>
    <b v="0"/>
    <s v="No está en VPC"/>
    <n v="856"/>
    <s v="INTPG_ACC_856_1.41"/>
    <s v="ISEL-1.41"/>
    <n v="6"/>
    <s v="NO TIENE L3OUT"/>
    <n v="286"/>
    <n v="54"/>
  </r>
  <r>
    <n v="110"/>
    <x v="0"/>
    <x v="222"/>
    <s v="eth1/41"/>
    <x v="0"/>
    <x v="0"/>
    <x v="0"/>
    <s v="SUN6900_E25K"/>
    <x v="6"/>
    <b v="0"/>
    <s v="No está en VPC"/>
    <n v="110"/>
    <s v="INTPG_ACC_110_1.41"/>
    <s v="ISEL-1.41"/>
    <n v="1"/>
    <s v="NO TIENE L3OUT"/>
    <n v="102"/>
    <n v="96"/>
  </r>
  <r>
    <n v="163"/>
    <x v="0"/>
    <x v="223"/>
    <s v="eth1/41"/>
    <x v="0"/>
    <x v="1"/>
    <x v="1"/>
    <s v="desc"/>
    <x v="6"/>
    <b v="0"/>
    <s v="No está en VPC"/>
    <n v="163"/>
    <s v="INTPG_VPC_161_1.36_163_1.41"/>
    <s v="ISEL-1.41"/>
    <n v="1"/>
    <s v="NO TIENE L3OUT"/>
    <n v="140"/>
    <n v="96"/>
  </r>
  <r>
    <n v="407"/>
    <x v="1"/>
    <x v="224"/>
    <s v="eth1/41"/>
    <x v="0"/>
    <x v="0"/>
    <x v="0"/>
    <s v="Uxorbi _ilo"/>
    <x v="6"/>
    <b v="0"/>
    <s v="No está en VPC"/>
    <n v="407"/>
    <s v="INTPG_ACC_407_1.41"/>
    <s v="ISEL-1.41"/>
    <n v="1"/>
    <s v="NO TIENE L3OUT"/>
    <n v="122"/>
    <n v="96"/>
  </r>
  <r>
    <n v="171"/>
    <x v="0"/>
    <x v="225"/>
    <s v="eth1/41"/>
    <x v="0"/>
    <x v="0"/>
    <x v="0"/>
    <s v="HP_Performance_Insight"/>
    <x v="6"/>
    <b v="0"/>
    <s v="No está en VPC"/>
    <n v="171"/>
    <s v="INTPG_ACC_171_1.41"/>
    <s v="ISEL-1.41"/>
    <n v="1"/>
    <s v="NO TIENE L3OUT"/>
    <n v="114"/>
    <n v="96"/>
  </r>
  <r>
    <n v="421"/>
    <x v="1"/>
    <x v="226"/>
    <s v="eth1/41"/>
    <x v="0"/>
    <x v="1"/>
    <x v="1"/>
    <s v="VTA_uxvta073_Net0"/>
    <x v="6"/>
    <b v="0"/>
    <s v="No está en VPC"/>
    <n v="421"/>
    <s v="INTPG_ACC_421_1.41"/>
    <s v="ISEL-1.41"/>
    <n v="1"/>
    <s v="NO TIENE L3OUT"/>
    <n v="72"/>
    <n v="96"/>
  </r>
  <r>
    <n v="173"/>
    <x v="0"/>
    <x v="227"/>
    <s v="eth1/41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41"/>
    <x v="0"/>
    <x v="0"/>
    <x v="0"/>
    <s v="TO-IXTFDLD690LCS-PRINCIPAL"/>
    <x v="6"/>
    <b v="0"/>
    <s v="No está en VPC"/>
    <n v="154"/>
    <s v="INTPG_ACC_154_1.41"/>
    <s v="ISEL-1.41"/>
    <n v="1"/>
    <s v="NO TIENE L3OUT"/>
    <n v="62"/>
    <n v="96"/>
  </r>
  <r>
    <n v="172"/>
    <x v="0"/>
    <x v="229"/>
    <s v="eth1/41"/>
    <x v="0"/>
    <x v="0"/>
    <x v="0"/>
    <s v="SRS (Speedy Rating System)"/>
    <x v="6"/>
    <b v="0"/>
    <s v="No está en VPC"/>
    <n v="172"/>
    <s v="INTPG_ACC_172_1.41"/>
    <s v="ISEL-1.41"/>
    <n v="1"/>
    <s v="NO TIENE L3OUT"/>
    <n v="104"/>
    <n v="96"/>
  </r>
  <r>
    <n v="420"/>
    <x v="1"/>
    <x v="230"/>
    <s v="eth1/41"/>
    <x v="0"/>
    <x v="0"/>
    <x v="0"/>
    <s v="TEMIPCLOUD1_A03"/>
    <x v="6"/>
    <b v="0"/>
    <s v="No está en VPC"/>
    <n v="420"/>
    <s v="INTPG_ACC_420_1.41"/>
    <s v="ISEL-1.41"/>
    <n v="1"/>
    <s v="NO TIENE L3OUT"/>
    <n v="158"/>
    <n v="96"/>
  </r>
  <r>
    <n v="423"/>
    <x v="1"/>
    <x v="231"/>
    <s v="eth1/41"/>
    <x v="0"/>
    <x v="0"/>
    <x v="0"/>
    <s v="SPECSERVER2_ETH4"/>
    <x v="6"/>
    <b v="0"/>
    <s v="No está en VPC"/>
    <n v="423"/>
    <s v="INTPG_ACC_423_1.41"/>
    <s v="ISEL-1.41"/>
    <n v="1"/>
    <s v="NO TIENE L3OUT"/>
    <n v="86"/>
    <n v="96"/>
  </r>
  <r>
    <n v="415"/>
    <x v="1"/>
    <x v="232"/>
    <s v="eth1/41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41"/>
    <x v="1"/>
    <x v="1"/>
    <x v="2"/>
    <s v="IXTLA4_VC1_x1,x2,x3,x4,x5,x6,x7,x8_VMTLCLAMX5_VC1_X1"/>
    <x v="6"/>
    <b v="0"/>
    <s v="No está en VPC"/>
    <n v="102"/>
    <s v="INTPG_PC_102_1.41-48"/>
    <s v="ISEL-1.41"/>
    <n v="0"/>
    <s v="NO TIENE L3OUT"/>
    <n v="228"/>
    <n v="96"/>
  </r>
  <r>
    <n v="863"/>
    <x v="2"/>
    <x v="234"/>
    <s v="eth1/41"/>
    <x v="0"/>
    <x v="0"/>
    <x v="0"/>
    <s v="To_VPC_2DCBSD_WR58_2"/>
    <x v="0"/>
    <b v="0"/>
    <s v="No está en VPC"/>
    <n v="863"/>
    <s v="INTPG_VPC_858_1.41_863_1.41"/>
    <s v="ISEL-1.41"/>
    <n v="1"/>
    <s v="NO TIENE L3OUT"/>
    <n v="8"/>
    <n v="54"/>
  </r>
  <r>
    <n v="876"/>
    <x v="2"/>
    <x v="235"/>
    <s v="eth1/41"/>
    <x v="0"/>
    <x v="0"/>
    <x v="0"/>
    <s v="A_ITHFHWSEQLCAS16_Principal"/>
    <x v="4"/>
    <b v="0"/>
    <s v="No está en VPC"/>
    <n v="876"/>
    <s v="INTPG_ACC_876_1.41"/>
    <s v="ISEL-1.41"/>
    <n v="1"/>
    <s v="NO TIENE L3OUT"/>
    <n v="92"/>
    <n v="54"/>
  </r>
  <r>
    <n v="877"/>
    <x v="2"/>
    <x v="236"/>
    <s v="eth1/41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41"/>
    <x v="0"/>
    <x v="0"/>
    <x v="0"/>
    <s v="Registro Nacional de Celulares"/>
    <x v="6"/>
    <b v="0"/>
    <s v="No está en VPC"/>
    <n v="122"/>
    <s v="INTPG_ACC_122_1.41"/>
    <s v="ISEL-1.41"/>
    <n v="1"/>
    <s v="NO TIENE L3OUT"/>
    <n v="148"/>
    <n v="96"/>
  </r>
  <r>
    <n v="157"/>
    <x v="0"/>
    <x v="238"/>
    <s v="eth1/41"/>
    <x v="1"/>
    <x v="1"/>
    <x v="2"/>
    <s v="IXT08PP"/>
    <x v="6"/>
    <b v="0"/>
    <s v="No está en VPC"/>
    <n v="157"/>
    <s v="INTPG_ACC_157_1.41"/>
    <s v="ISEL-1.41"/>
    <n v="0"/>
    <s v="L3OUT-SNA-IPCORP-A14"/>
    <n v="202"/>
    <n v="96"/>
  </r>
  <r>
    <n v="408"/>
    <x v="1"/>
    <x v="239"/>
    <s v="eth1/41"/>
    <x v="0"/>
    <x v="0"/>
    <x v="0"/>
    <s v="HNMD101A"/>
    <x v="6"/>
    <b v="0"/>
    <s v="No está en VPC"/>
    <n v="408"/>
    <s v="INTPG_ACC_408_1.41"/>
    <s v="ISEL-1.41"/>
    <n v="1"/>
    <s v="NO TIENE L3OUT"/>
    <n v="152"/>
    <n v="96"/>
  </r>
  <r>
    <n v="405"/>
    <x v="1"/>
    <x v="240"/>
    <s v="eth1/41"/>
    <x v="0"/>
    <x v="0"/>
    <x v="0"/>
    <s v="MEDIACION1-DD"/>
    <x v="6"/>
    <b v="0"/>
    <s v="No está en VPC"/>
    <n v="405"/>
    <s v="INTPG_ACC_405_1.41"/>
    <s v="ISEL-1.41"/>
    <n v="1"/>
    <s v="NO TIENE L3OUT"/>
    <n v="138"/>
    <n v="96"/>
  </r>
  <r>
    <n v="169"/>
    <x v="0"/>
    <x v="241"/>
    <s v="eth1/41"/>
    <x v="0"/>
    <x v="0"/>
    <x v="0"/>
    <s v="TO-IXTFDLD690LCS-PRINCIPAL"/>
    <x v="6"/>
    <b v="0"/>
    <s v="No está en VPC"/>
    <n v="169"/>
    <s v="INTPG_ACC_169_1.41"/>
    <s v="ISEL-1.41"/>
    <n v="1"/>
    <s v="NO TIENE L3OUT"/>
    <n v="76"/>
    <n v="96"/>
  </r>
  <r>
    <n v="165"/>
    <x v="0"/>
    <x v="242"/>
    <s v="eth1/41"/>
    <x v="0"/>
    <x v="0"/>
    <x v="0"/>
    <s v="NOMINA_rhprd"/>
    <x v="6"/>
    <b v="0"/>
    <s v="No está en VPC"/>
    <n v="165"/>
    <s v="INTPG_ACC_165_1.41"/>
    <s v="ISEL-1.41"/>
    <n v="1"/>
    <s v="NO TIENE L3OUT"/>
    <n v="86"/>
    <n v="96"/>
  </r>
  <r>
    <n v="417"/>
    <x v="1"/>
    <x v="243"/>
    <s v="eth1/41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41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41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41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41"/>
    <x v="1"/>
    <x v="1"/>
    <x v="2"/>
    <s v="ROAMING_ENCLOSURE:SFROAP01:VC2-3"/>
    <x v="6"/>
    <b v="0"/>
    <s v="No está en VPC"/>
    <n v="103"/>
    <s v="INTPG_PC_103_5_6_41"/>
    <s v="ISEL-1.41"/>
    <n v="2"/>
    <s v="NO TIENE L3OUT"/>
    <n v="70"/>
    <n v="96"/>
  </r>
  <r>
    <n v="438"/>
    <x v="1"/>
    <x v="248"/>
    <s v="eth1/41"/>
    <x v="0"/>
    <x v="0"/>
    <x v="0"/>
    <s v="TC3_ithmomce1_VC2_X2"/>
    <x v="6"/>
    <b v="0"/>
    <s v="No está en VPC"/>
    <n v="438"/>
    <s v="INTPG_ACC_438_1.41"/>
    <s v="ISEL-1.41"/>
    <n v="7"/>
    <s v="NO TIENE L3OUT"/>
    <n v="170"/>
    <n v="96"/>
  </r>
  <r>
    <n v="406"/>
    <x v="1"/>
    <x v="249"/>
    <s v="eth1/41"/>
    <x v="0"/>
    <x v="0"/>
    <x v="0"/>
    <s v="DESC"/>
    <x v="6"/>
    <b v="0"/>
    <s v="No está en VPC"/>
    <n v="406"/>
    <s v="INTPG_PC_406_1.39-42"/>
    <s v="ISEL-1.41"/>
    <n v="4"/>
    <s v="NO TIENE L3OUT"/>
    <n v="82"/>
    <n v="96"/>
  </r>
  <r>
    <n v="414"/>
    <x v="1"/>
    <x v="250"/>
    <s v="eth1/41"/>
    <x v="0"/>
    <x v="0"/>
    <x v="0"/>
    <s v="Exadata1"/>
    <x v="6"/>
    <b v="0"/>
    <s v="No está en VPC"/>
    <n v="414"/>
    <s v="INTPG_ACC_414_1.41"/>
    <s v="ISEL-1.41"/>
    <n v="1"/>
    <s v="NO TIENE L3OUT"/>
    <n v="144"/>
    <n v="96"/>
  </r>
  <r>
    <n v="416"/>
    <x v="1"/>
    <x v="251"/>
    <s v="eth1/41"/>
    <x v="0"/>
    <x v="0"/>
    <x v="0"/>
    <s v="DESC"/>
    <x v="6"/>
    <b v="0"/>
    <s v="No está en VPC"/>
    <n v="416"/>
    <s v="INTPG_PC_416_1.40-45"/>
    <s v="ISEL-1.41"/>
    <n v="7"/>
    <s v="NO TIENE L3OUT"/>
    <n v="110"/>
    <n v="96"/>
  </r>
  <r>
    <n v="418"/>
    <x v="1"/>
    <x v="252"/>
    <s v="eth1/41"/>
    <x v="0"/>
    <x v="0"/>
    <x v="0"/>
    <s v="DESC"/>
    <x v="6"/>
    <b v="0"/>
    <s v="No está en VPC"/>
    <n v="418"/>
    <s v="INTPG_PC_418_1.40-45"/>
    <s v="ISEL-1.41"/>
    <n v="7"/>
    <s v="NO TIENE L3OUT"/>
    <n v="152"/>
    <n v="96"/>
  </r>
  <r>
    <n v="413"/>
    <x v="1"/>
    <x v="253"/>
    <s v="eth1/41"/>
    <x v="0"/>
    <x v="0"/>
    <x v="0"/>
    <s v="To-uxingemc1 ldom1 uxsmart06"/>
    <x v="6"/>
    <b v="0"/>
    <s v="No está en VPC"/>
    <n v="413"/>
    <s v="INTPG_ACC_413_1.41"/>
    <s v="ISEL-1.41"/>
    <n v="1"/>
    <s v="NO TIENE L3OUT"/>
    <n v="126"/>
    <n v="96"/>
  </r>
  <r>
    <n v="403"/>
    <x v="1"/>
    <x v="254"/>
    <s v="eth1/41"/>
    <x v="0"/>
    <x v="0"/>
    <x v="0"/>
    <s v="MEDIACION1-DD"/>
    <x v="6"/>
    <b v="0"/>
    <s v="No está en VPC"/>
    <n v="403"/>
    <s v="INTPG_ACC_403_1.41"/>
    <s v="ISEL-1.41"/>
    <n v="1"/>
    <s v="NO TIENE L3OUT"/>
    <n v="150"/>
    <n v="96"/>
  </r>
  <r>
    <n v="125"/>
    <x v="0"/>
    <x v="255"/>
    <s v="eth1/41"/>
    <x v="1"/>
    <x v="1"/>
    <x v="2"/>
    <s v="3G_ENIQ_QRO_R6"/>
    <x v="6"/>
    <b v="0"/>
    <s v="No está en VPC"/>
    <n v="125"/>
    <s v="INTPG_VPC_124_1.25_40_125_1.28_41"/>
    <s v="ISEL-1.41"/>
    <n v="5"/>
    <s v="NO TIENE L3OUT"/>
    <n v="72"/>
    <n v="96"/>
  </r>
  <r>
    <n v="166"/>
    <x v="0"/>
    <x v="256"/>
    <s v="eth1/41"/>
    <x v="0"/>
    <x v="0"/>
    <x v="0"/>
    <s v="NOMINA_uxnomaps"/>
    <x v="6"/>
    <b v="0"/>
    <s v="No está en VPC"/>
    <n v="166"/>
    <s v="INTPG_ACC_166_1.41"/>
    <s v="ISEL-1.41"/>
    <n v="1"/>
    <s v="NO TIENE L3OUT"/>
    <n v="84"/>
    <n v="96"/>
  </r>
  <r>
    <n v="111"/>
    <x v="0"/>
    <x v="257"/>
    <s v="eth1/41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41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41"/>
    <x v="0"/>
    <x v="0"/>
    <x v="0"/>
    <m/>
    <x v="6"/>
    <b v="0"/>
    <s v="No está en VPC"/>
    <n v="106"/>
    <s v="INTPG_ACC_106_1.41"/>
    <s v="ISEL-1.41"/>
    <n v="1"/>
    <s v="NO TIENE L3OUT"/>
    <n v="122"/>
    <n v="96"/>
  </r>
  <r>
    <n v="126"/>
    <x v="0"/>
    <x v="260"/>
    <s v="eth1/41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41"/>
    <x v="0"/>
    <x v="0"/>
    <x v="0"/>
    <s v="ITHPA03_ILO1_IPMP-Pasiva"/>
    <x v="6"/>
    <b v="0"/>
    <s v="No está en VPC"/>
    <n v="425"/>
    <s v="INTPG_ACC_425_1.41"/>
    <s v="ISEL-1.41"/>
    <n v="1"/>
    <s v="NO TIENE L3OUT"/>
    <n v="86"/>
    <n v="96"/>
  </r>
  <r>
    <n v="151"/>
    <x v="0"/>
    <x v="262"/>
    <s v="eth1/41"/>
    <x v="1"/>
    <x v="1"/>
    <x v="2"/>
    <s v="To OoB APIC 6"/>
    <x v="6"/>
    <b v="0"/>
    <s v="No está en VPC"/>
    <n v="151"/>
    <s v="INTPG_ACC_151_1.41"/>
    <s v="ISEL-1.41"/>
    <n v="1"/>
    <s v="NO TIENE L3OUT"/>
    <n v="86"/>
    <n v="96"/>
  </r>
  <r>
    <n v="430"/>
    <x v="1"/>
    <x v="263"/>
    <s v="eth1/41"/>
    <x v="0"/>
    <x v="1"/>
    <x v="1"/>
    <s v="SecAnLG_iDrac_07-Archiver-IXTSALG_ARC1"/>
    <x v="6"/>
    <b v="0"/>
    <s v="No está en VPC"/>
    <n v="430"/>
    <s v="INTPG_ACC_430_1.41"/>
    <s v="ISEL-1.41"/>
    <n v="1"/>
    <s v="NO TIENE L3OUT"/>
    <n v="86"/>
    <n v="96"/>
  </r>
  <r>
    <n v="419"/>
    <x v="1"/>
    <x v="264"/>
    <s v="eth1/41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41"/>
    <x v="0"/>
    <x v="1"/>
    <x v="1"/>
    <s v="GESTOR HUAWEI U2000 MW Tx"/>
    <x v="6"/>
    <b v="0"/>
    <s v="No está en VPC"/>
    <n v="155"/>
    <s v="INTPG_ACC_155_1.41"/>
    <s v="ISEL-1.41"/>
    <n v="1"/>
    <s v="NO TIENE L3OUT"/>
    <n v="198"/>
    <n v="96"/>
  </r>
  <r>
    <n v="409"/>
    <x v="1"/>
    <x v="266"/>
    <s v="eth1/41"/>
    <x v="0"/>
    <x v="0"/>
    <x v="0"/>
    <s v="F5_Clarity_B1"/>
    <x v="6"/>
    <b v="0"/>
    <s v="No está en VPC"/>
    <n v="409"/>
    <s v="INTPG_ACC_409_1.41"/>
    <s v="ISEL-1.41"/>
    <n v="1"/>
    <s v="NO TIENE L3OUT"/>
    <n v="128"/>
    <n v="96"/>
  </r>
  <r>
    <n v="422"/>
    <x v="1"/>
    <x v="267"/>
    <s v="eth1/41"/>
    <x v="0"/>
    <x v="1"/>
    <x v="1"/>
    <s v="ITHRTC4BEN2VC2x4"/>
    <x v="6"/>
    <b v="0"/>
    <s v="No está en VPC"/>
    <n v="422"/>
    <s v="INTPG_ACC_422_1.41"/>
    <s v="ISEL-1.41"/>
    <n v="1"/>
    <s v="NO TIENE L3OUT"/>
    <n v="182"/>
    <n v="96"/>
  </r>
  <r>
    <n v="436"/>
    <x v="1"/>
    <x v="268"/>
    <s v="eth1/41"/>
    <x v="0"/>
    <x v="0"/>
    <x v="0"/>
    <s v="DESC"/>
    <x v="6"/>
    <b v="0"/>
    <s v="No está en VPC"/>
    <n v="436"/>
    <s v="INTPG_PC_436_1.40-45"/>
    <s v="ISEL-1.41"/>
    <n v="7"/>
    <s v="NO TIENE L3OUT"/>
    <n v="172"/>
    <n v="96"/>
  </r>
  <r>
    <n v="410"/>
    <x v="1"/>
    <x v="269"/>
    <s v="eth1/41"/>
    <x v="0"/>
    <x v="0"/>
    <x v="0"/>
    <s v="Exadata3"/>
    <x v="6"/>
    <b v="0"/>
    <s v="No está en VPC"/>
    <n v="410"/>
    <s v="INTPG_ACC_410_1.41"/>
    <s v="ISEL-1.41"/>
    <n v="1"/>
    <s v="NO TIENE L3OUT"/>
    <n v="178"/>
    <n v="96"/>
  </r>
  <r>
    <n v="161"/>
    <x v="0"/>
    <x v="270"/>
    <s v="eth1/41"/>
    <x v="1"/>
    <x v="1"/>
    <x v="2"/>
    <s v="CELCITE"/>
    <x v="6"/>
    <b v="0"/>
    <s v="No está en VPC"/>
    <n v="161"/>
    <s v="INTPG_ACC_161_1.41"/>
    <s v="ISEL-1.41"/>
    <n v="1"/>
    <s v="NO TIENE L3OUT"/>
    <n v="102"/>
    <n v="96"/>
  </r>
  <r>
    <n v="411"/>
    <x v="1"/>
    <x v="271"/>
    <s v="eth1/41"/>
    <x v="0"/>
    <x v="0"/>
    <x v="0"/>
    <s v="SPIDERNET1"/>
    <x v="6"/>
    <b v="0"/>
    <s v="No está en VPC"/>
    <n v="411"/>
    <s v="INTPG_ACC_411_1.41"/>
    <s v="ISEL-1.41"/>
    <n v="1"/>
    <s v="NO TIENE L3OUT"/>
    <n v="96"/>
    <n v="96"/>
  </r>
  <r>
    <n v="116"/>
    <x v="0"/>
    <x v="272"/>
    <s v="eth1/41"/>
    <x v="0"/>
    <x v="0"/>
    <x v="0"/>
    <s v="DATOS NETCRACKER"/>
    <x v="6"/>
    <b v="0"/>
    <s v="No está en VPC"/>
    <n v="116"/>
    <s v="INTPG_ACC_116_1.41"/>
    <s v="ISEL-1.41"/>
    <n v="1"/>
    <s v="NO TIENE L3OUT"/>
    <n v="148"/>
    <n v="96"/>
  </r>
  <r>
    <n v="412"/>
    <x v="1"/>
    <x v="273"/>
    <s v="eth1/41"/>
    <x v="0"/>
    <x v="0"/>
    <x v="0"/>
    <s v="HNMD101B"/>
    <x v="6"/>
    <b v="0"/>
    <s v="No está en VPC"/>
    <n v="412"/>
    <s v="INTPG_ACC_412_1.41"/>
    <s v="ISEL-1.41"/>
    <n v="1"/>
    <s v="NO TIENE L3OUT"/>
    <n v="126"/>
    <n v="96"/>
  </r>
  <r>
    <n v="120"/>
    <x v="0"/>
    <x v="274"/>
    <s v="eth1/41"/>
    <x v="0"/>
    <x v="0"/>
    <x v="0"/>
    <s v="ZFS X5-2"/>
    <x v="6"/>
    <b v="0"/>
    <s v="No está en VPC"/>
    <n v="120"/>
    <s v="INTPG_ACC_120_1.41"/>
    <s v="ISEL-1.41"/>
    <n v="1"/>
    <s v="NO TIENE L3OUT"/>
    <n v="158"/>
    <n v="96"/>
  </r>
  <r>
    <n v="404"/>
    <x v="1"/>
    <x v="275"/>
    <s v="eth1/41"/>
    <x v="0"/>
    <x v="0"/>
    <x v="0"/>
    <s v="PCRF4_CLT"/>
    <x v="6"/>
    <b v="0"/>
    <s v="No está en VPC"/>
    <n v="404"/>
    <s v="INTPG_VPC_404_1.41-42_406_1.37-38"/>
    <s v="ISEL-1.41"/>
    <n v="5"/>
    <s v="NO TIENE L3OUT"/>
    <n v="92"/>
    <n v="96"/>
  </r>
  <r>
    <n v="167"/>
    <x v="0"/>
    <x v="276"/>
    <s v="eth1/41"/>
    <x v="0"/>
    <x v="0"/>
    <x v="0"/>
    <s v="LINKDOWN_HACIA_UCS_9UCS-GEO-IXTLA-SERV2"/>
    <x v="6"/>
    <b v="0"/>
    <s v="No está en VPC"/>
    <n v="167"/>
    <s v="INTPG_ACC_167_1.41"/>
    <s v="ISEL-1.41"/>
    <n v="1"/>
    <s v="NO TIENE L3OUT"/>
    <n v="68"/>
    <n v="96"/>
  </r>
  <r>
    <n v="428"/>
    <x v="1"/>
    <x v="277"/>
    <s v="eth1/41"/>
    <x v="0"/>
    <x v="0"/>
    <x v="0"/>
    <s v="RLPNOVB01"/>
    <x v="6"/>
    <b v="0"/>
    <s v="No está en VPC"/>
    <n v="428"/>
    <s v="INTPG_ACC_428_1.41"/>
    <s v="ISEL-1.41"/>
    <n v="1"/>
    <s v="NO TIENE L3OUT"/>
    <n v="102"/>
    <n v="96"/>
  </r>
  <r>
    <n v="128"/>
    <x v="0"/>
    <x v="0"/>
    <s v="eth1/42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42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42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42"/>
    <x v="0"/>
    <x v="0"/>
    <x v="0"/>
    <s v="CONSOLIDACION_ITHFOCCSLUAP01_PRINCIPAL"/>
    <x v="0"/>
    <b v="0"/>
    <s v="No está en VPC"/>
    <n v="101"/>
    <s v="INTPG_ACC_101_1.42"/>
    <s v="ISEL-1.42"/>
    <n v="1"/>
    <s v="NO TIENE L3OUT"/>
    <n v="114"/>
    <n v="54"/>
  </r>
  <r>
    <n v="160"/>
    <x v="0"/>
    <x v="4"/>
    <s v="eth1/42"/>
    <x v="1"/>
    <x v="1"/>
    <x v="2"/>
    <m/>
    <x v="1"/>
    <b v="0"/>
    <s v="No está en VPC"/>
    <n v="160"/>
    <s v="INTPG_ACC_160_1.42"/>
    <s v="ISEL-1.42"/>
    <n v="1"/>
    <s v="NO TIENE L3OUT"/>
    <n v="68"/>
    <n v="54"/>
  </r>
  <r>
    <n v="121"/>
    <x v="0"/>
    <x v="5"/>
    <s v="eth1/42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42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42"/>
    <x v="0"/>
    <x v="1"/>
    <x v="1"/>
    <s v="YELLOW BRICK"/>
    <x v="0"/>
    <b v="0"/>
    <s v="No está en VPC"/>
    <n v="401"/>
    <s v="INTPG_VPC_401_1.42_402_1.42"/>
    <s v="ISEL-1.42"/>
    <n v="1"/>
    <s v="NO TIENE L3OUT"/>
    <n v="40"/>
    <n v="54"/>
  </r>
  <r>
    <n v="402"/>
    <x v="1"/>
    <x v="8"/>
    <s v="eth1/42"/>
    <x v="0"/>
    <x v="1"/>
    <x v="1"/>
    <s v="YELLOW BRICK"/>
    <x v="0"/>
    <b v="0"/>
    <s v="No está en VPC"/>
    <n v="402"/>
    <s v="INTPG_VPC_401_1.42_402_1.42"/>
    <s v="ISEL-1.42"/>
    <n v="1"/>
    <s v="NO TIENE L3OUT"/>
    <n v="36"/>
    <n v="54"/>
  </r>
  <r>
    <n v="130"/>
    <x v="0"/>
    <x v="11"/>
    <s v="eth1/42"/>
    <x v="0"/>
    <x v="0"/>
    <x v="0"/>
    <s v="ITHFHWHSMTLCN03-LOM  P1"/>
    <x v="0"/>
    <b v="0"/>
    <s v="No está en VPC"/>
    <n v="130"/>
    <s v="INTPG_ACC_130_1.42"/>
    <s v="ISEL-1.42"/>
    <n v="9"/>
    <s v="NO TIENE L3OUT"/>
    <n v="128"/>
    <n v="54"/>
  </r>
  <r>
    <n v="150"/>
    <x v="0"/>
    <x v="12"/>
    <s v="eth1/42"/>
    <x v="0"/>
    <x v="0"/>
    <x v="0"/>
    <s v="CONSOLIDACION_ITHFOCCSLUAP01_REDUDANTE"/>
    <x v="0"/>
    <b v="0"/>
    <s v="No está en VPC"/>
    <n v="150"/>
    <s v="INTPG_ACC_150_1.42"/>
    <s v="ISEL-1.42"/>
    <n v="1"/>
    <s v="NO TIENE L3OUT"/>
    <n v="118"/>
    <n v="54"/>
  </r>
  <r>
    <n v="131"/>
    <x v="0"/>
    <x v="13"/>
    <s v="eth1/42"/>
    <x v="0"/>
    <x v="0"/>
    <x v="0"/>
    <s v="ITHFHWHSMTLCN03-LOM  P2"/>
    <x v="0"/>
    <b v="0"/>
    <s v="No está en VPC"/>
    <n v="131"/>
    <s v="INTPG_ACC_131_1.42"/>
    <s v="ISEL-1.42"/>
    <n v="9"/>
    <s v="NO TIENE L3OUT"/>
    <n v="126"/>
    <n v="54"/>
  </r>
  <r>
    <n v="424"/>
    <x v="1"/>
    <x v="18"/>
    <s v="eth1/42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42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42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42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42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42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42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42"/>
    <x v="0"/>
    <x v="0"/>
    <x v="0"/>
    <s v="FGW_R9_IXTLA_FORTI_42K_1_PTO-7"/>
    <x v="0"/>
    <b v="0"/>
    <s v="No está en VPC"/>
    <n v="431"/>
    <s v="INTPG_ACC_431_1.42"/>
    <s v="ISEL-1.42"/>
    <n v="2"/>
    <s v="NO TIENE L3OUT"/>
    <n v="46"/>
    <n v="54"/>
  </r>
  <r>
    <n v="433"/>
    <x v="1"/>
    <x v="27"/>
    <s v="eth1/42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42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42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42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42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42"/>
    <x v="1"/>
    <x v="1"/>
    <x v="3"/>
    <m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42"/>
    <x v="1"/>
    <x v="1"/>
    <x v="3"/>
    <m/>
    <x v="0"/>
    <b v="0"/>
    <s v="No está en VPC"/>
    <n v="712"/>
    <s v="NO EXISTE PG"/>
    <s v="NO EXISTE ISEL"/>
    <n v="0"/>
    <s v="NO TIENE L3OUT"/>
    <n v="32"/>
    <n v="54"/>
  </r>
  <r>
    <n v="719"/>
    <x v="2"/>
    <x v="34"/>
    <s v="eth1/42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42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42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42"/>
    <x v="1"/>
    <x v="1"/>
    <x v="3"/>
    <m/>
    <x v="0"/>
    <b v="0"/>
    <s v="No está en VPC"/>
    <n v="711"/>
    <s v="NO EXISTE PG"/>
    <s v="NO EXISTE ISEL"/>
    <n v="0"/>
    <s v="NO TIENE L3OUT"/>
    <n v="16"/>
    <n v="54"/>
  </r>
  <r>
    <n v="716"/>
    <x v="2"/>
    <x v="38"/>
    <s v="eth1/42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42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42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42"/>
    <x v="0"/>
    <x v="1"/>
    <x v="3"/>
    <m/>
    <x v="0"/>
    <b v="0"/>
    <s v="No está en VPC"/>
    <n v="446"/>
    <s v="NO EXISTE PG"/>
    <s v="NO EXISTE ISEL"/>
    <n v="0"/>
    <s v="NO TIENE L3OUT"/>
    <n v="198"/>
    <n v="54"/>
  </r>
  <r>
    <n v="444"/>
    <x v="1"/>
    <x v="42"/>
    <s v="eth1/42"/>
    <x v="0"/>
    <x v="0"/>
    <x v="0"/>
    <s v="TO-ITHFDLMCLWLCN05"/>
    <x v="0"/>
    <b v="0"/>
    <s v="No está en VPC"/>
    <n v="444"/>
    <s v="INTPG_VPC_446_1.30_444_1.42"/>
    <s v="ISEL-1.42"/>
    <n v="1"/>
    <s v="NO TIENE L3OUT"/>
    <n v="234"/>
    <n v="54"/>
  </r>
  <r>
    <n v="701"/>
    <x v="2"/>
    <x v="43"/>
    <s v="eth1/42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42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42"/>
    <x v="0"/>
    <x v="0"/>
    <x v="0"/>
    <s v="FGW_R9_IXTLA_FORTI_42K_2_PTO-7"/>
    <x v="0"/>
    <b v="0"/>
    <s v="No está en VPC"/>
    <n v="448"/>
    <s v="INTPG_ACC_448_1.42"/>
    <s v="ISEL-1.42"/>
    <n v="2"/>
    <s v="NO TIENE L3OUT"/>
    <n v="46"/>
    <n v="54"/>
  </r>
  <r>
    <n v="704"/>
    <x v="2"/>
    <x v="46"/>
    <s v="eth1/42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42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42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42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42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42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42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42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42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42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42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42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42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42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42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42"/>
    <x v="0"/>
    <x v="1"/>
    <x v="1"/>
    <m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42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42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42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42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42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42"/>
    <x v="0"/>
    <x v="1"/>
    <x v="3"/>
    <m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42"/>
    <x v="1"/>
    <x v="1"/>
    <x v="3"/>
    <m/>
    <x v="0"/>
    <b v="0"/>
    <s v="No está en VPC"/>
    <n v="780"/>
    <s v="NO EXISTE PG"/>
    <s v="NO EXISTE ISEL"/>
    <n v="0"/>
    <s v="NO TIENE L3OUT"/>
    <n v="26"/>
    <n v="54"/>
  </r>
  <r>
    <n v="812"/>
    <x v="2"/>
    <x v="70"/>
    <s v="eth1/42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42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42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42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42"/>
    <x v="0"/>
    <x v="0"/>
    <x v="0"/>
    <s v="LINK_TO_ITHHWCRMPEN01 /X2-10GE 5 /Principal"/>
    <x v="0"/>
    <b v="0"/>
    <s v="No está en VPC"/>
    <n v="824"/>
    <s v="INTPG_VPC_819_1.41-42_44-45_824_1.41-42_44-45"/>
    <s v="ISEL-1.42"/>
    <n v="1"/>
    <s v="NO TIENE L3OUT"/>
    <n v="70"/>
    <n v="54"/>
  </r>
  <r>
    <n v="819"/>
    <x v="2"/>
    <x v="75"/>
    <s v="eth1/42"/>
    <x v="0"/>
    <x v="0"/>
    <x v="0"/>
    <s v="LINK_TO_ITHHWCRMPEN01 /X2-10GE 6 /Redundante"/>
    <x v="0"/>
    <b v="0"/>
    <s v="No está en VPC"/>
    <n v="819"/>
    <s v="INTPG_VPC_819_1.41-42_44-45_824_1.41-42_44-45"/>
    <s v="ISEL-1.42"/>
    <n v="1"/>
    <s v="NO TIENE L3OUT"/>
    <n v="70"/>
    <n v="54"/>
  </r>
  <r>
    <n v="737"/>
    <x v="2"/>
    <x v="76"/>
    <s v="eth1/42"/>
    <x v="0"/>
    <x v="1"/>
    <x v="1"/>
    <m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42"/>
    <x v="0"/>
    <x v="0"/>
    <x v="0"/>
    <s v="LINK_TO_ITHFHWCRMPLCN114 / Slot1.3_32 / Principal"/>
    <x v="0"/>
    <b v="0"/>
    <s v="No está en VPC"/>
    <n v="844"/>
    <s v="INTPG_ACC_844_1.42"/>
    <s v="ISEL-1.42"/>
    <n v="1"/>
    <s v="NO TIENE L3OUT"/>
    <n v="282"/>
    <n v="54"/>
  </r>
  <r>
    <n v="843"/>
    <x v="2"/>
    <x v="78"/>
    <s v="eth1/42"/>
    <x v="0"/>
    <x v="0"/>
    <x v="0"/>
    <s v="A_ITHFHWSEQLHDPS84_Principal"/>
    <x v="0"/>
    <b v="0"/>
    <s v="No está en VPC"/>
    <n v="843"/>
    <s v="INTPG_ACC_843_1.42"/>
    <s v="ISEL-1.42"/>
    <n v="1"/>
    <s v="NO TIENE L3OUT"/>
    <n v="38"/>
    <n v="54"/>
  </r>
  <r>
    <n v="797"/>
    <x v="2"/>
    <x v="79"/>
    <s v="eth1/42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42"/>
    <x v="0"/>
    <x v="0"/>
    <x v="0"/>
    <s v="LINK_TO_ITHFHWCBSPSUSBD32 / Slot7.3_4 / Redundante"/>
    <x v="0"/>
    <b v="0"/>
    <s v="No está en VPC"/>
    <n v="839"/>
    <s v="INTPG_VPC_834_1.42_839_1.42"/>
    <s v="ISEL-1.42"/>
    <n v="1"/>
    <s v="NO TIENE L3OUT"/>
    <n v="0"/>
    <n v="54"/>
  </r>
  <r>
    <n v="847"/>
    <x v="2"/>
    <x v="81"/>
    <s v="eth1/42"/>
    <x v="0"/>
    <x v="0"/>
    <x v="0"/>
    <s v="LINK_TO_ITHFHWCRMPSBDP11 / Slot7.2_6 / Redundante"/>
    <x v="0"/>
    <b v="0"/>
    <s v="No está en VPC"/>
    <n v="847"/>
    <s v="INTPG_VPC_854_1.42_847_1.42"/>
    <s v="ISEL-1.42"/>
    <n v="2"/>
    <s v="NO TIENE L3OUT"/>
    <n v="204"/>
    <n v="54"/>
  </r>
  <r>
    <n v="848"/>
    <x v="2"/>
    <x v="82"/>
    <s v="eth1/42"/>
    <x v="0"/>
    <x v="0"/>
    <x v="0"/>
    <s v="LINK_TO_ITHFHWCRMPLCN168 / Slot7.2_38 / Redundante"/>
    <x v="0"/>
    <b v="0"/>
    <s v="No está en VPC"/>
    <n v="848"/>
    <s v="INTPG_ACC_848_1.42"/>
    <s v="ISEL-1.42"/>
    <n v="2"/>
    <s v="NO TIENE L3OUT"/>
    <n v="254"/>
    <n v="54"/>
  </r>
  <r>
    <n v="846"/>
    <x v="2"/>
    <x v="83"/>
    <s v="eth1/42"/>
    <x v="0"/>
    <x v="0"/>
    <x v="0"/>
    <s v="LINK_TO_ITHFHWCRMPLCN85 / Slot1.3_28 / Principal"/>
    <x v="0"/>
    <b v="0"/>
    <s v="No está en VPC"/>
    <n v="846"/>
    <s v="INTPG_ACC_846_1.42"/>
    <s v="ISEL-1.42"/>
    <n v="1"/>
    <s v="NO TIENE L3OUT"/>
    <n v="242"/>
    <n v="54"/>
  </r>
  <r>
    <n v="838"/>
    <x v="2"/>
    <x v="84"/>
    <s v="eth1/42"/>
    <x v="0"/>
    <x v="0"/>
    <x v="0"/>
    <s v="A_ITHFHWSEQLHDPS84_Redundante"/>
    <x v="0"/>
    <b v="0"/>
    <s v="No está en VPC"/>
    <n v="838"/>
    <s v="INTPG_ACC_838_1.42"/>
    <s v="ISEL-1.42"/>
    <n v="1"/>
    <s v="NO TIENE L3OUT"/>
    <n v="38"/>
    <n v="54"/>
  </r>
  <r>
    <n v="849"/>
    <x v="2"/>
    <x v="85"/>
    <s v="eth1/42"/>
    <x v="0"/>
    <x v="0"/>
    <x v="0"/>
    <s v="LINK_TO_ITHFHWCRMPLCN148 / Slot7.2_30 / Redundante"/>
    <x v="0"/>
    <b v="0"/>
    <s v="No está en VPC"/>
    <n v="849"/>
    <s v="INTPG_ACC_849_1.42"/>
    <s v="ISEL-1.42"/>
    <n v="2"/>
    <s v="NO TIENE L3OUT"/>
    <n v="286"/>
    <n v="54"/>
  </r>
  <r>
    <n v="845"/>
    <x v="2"/>
    <x v="86"/>
    <s v="eth1/42"/>
    <x v="0"/>
    <x v="0"/>
    <x v="0"/>
    <s v="LINK_TO_ITHFHWCRMPLCN98 / Slot1.1_28 / Principal"/>
    <x v="0"/>
    <b v="0"/>
    <s v="No está en VPC"/>
    <n v="845"/>
    <s v="INTPG_ACC_845_1.42"/>
    <s v="ISEL-1.42"/>
    <n v="6"/>
    <s v="NO TIENE L3OUT"/>
    <n v="258"/>
    <n v="54"/>
  </r>
  <r>
    <n v="873"/>
    <x v="2"/>
    <x v="87"/>
    <s v="eth1/42"/>
    <x v="0"/>
    <x v="0"/>
    <x v="0"/>
    <s v="To_ITHFHWCRMDLCN37_Redundante"/>
    <x v="0"/>
    <b v="0"/>
    <s v="No está en VPC"/>
    <n v="873"/>
    <s v="INTPG_ACC_873_1.42"/>
    <s v="ISEL-1.42"/>
    <n v="1"/>
    <s v="NO TIENE L3OUT"/>
    <n v="248"/>
    <n v="54"/>
  </r>
  <r>
    <n v="864"/>
    <x v="2"/>
    <x v="88"/>
    <s v="eth1/42"/>
    <x v="0"/>
    <x v="0"/>
    <x v="0"/>
    <s v="To_VPC_2DCBSD_WR49_3"/>
    <x v="0"/>
    <b v="0"/>
    <s v="No está en VPC"/>
    <n v="864"/>
    <s v="INTPG_VPC_859_1.42_864_1.42"/>
    <s v="ISEL-1.42"/>
    <n v="1"/>
    <s v="NO TIENE L3OUT"/>
    <n v="0"/>
    <n v="54"/>
  </r>
  <r>
    <n v="836"/>
    <x v="2"/>
    <x v="89"/>
    <s v="eth1/42"/>
    <x v="0"/>
    <x v="0"/>
    <x v="0"/>
    <s v="LINK_TO_ITHFHWCBSPSHD28 / Slot1.2_20 / Principal"/>
    <x v="0"/>
    <b v="0"/>
    <s v="No está en VPC"/>
    <n v="836"/>
    <s v="INTPG_VPC_836_1.42_841_1.42"/>
    <s v="ISEL-1.42"/>
    <n v="1"/>
    <s v="NO TIENE L3OUT"/>
    <n v="0"/>
    <n v="54"/>
  </r>
  <r>
    <n v="834"/>
    <x v="2"/>
    <x v="90"/>
    <s v="eth1/42"/>
    <x v="0"/>
    <x v="0"/>
    <x v="0"/>
    <s v="LINK_TO_ITHFHWCBSPSUSBD32 / Slot1.3_4 / Principal"/>
    <x v="0"/>
    <b v="0"/>
    <s v="No está en VPC"/>
    <n v="834"/>
    <s v="INTPG_VPC_834_1.42_839_1.42"/>
    <s v="ISEL-1.42"/>
    <n v="1"/>
    <s v="NO TIENE L3OUT"/>
    <n v="0"/>
    <n v="54"/>
  </r>
  <r>
    <n v="872"/>
    <x v="2"/>
    <x v="91"/>
    <s v="eth1/42"/>
    <x v="0"/>
    <x v="0"/>
    <x v="0"/>
    <s v="TO_ITHFHWCRMDLCN51_Principal"/>
    <x v="0"/>
    <b v="0"/>
    <s v="No está en VPC"/>
    <n v="872"/>
    <s v="INTPG_ACC_872_1.42"/>
    <s v="ISEL-1.42"/>
    <n v="6"/>
    <s v="NO TIENE L3OUT"/>
    <n v="288"/>
    <n v="54"/>
  </r>
  <r>
    <n v="842"/>
    <x v="2"/>
    <x v="92"/>
    <s v="eth1/42"/>
    <x v="0"/>
    <x v="0"/>
    <x v="0"/>
    <s v="LINK_To_ITHFHWCBSPSHD22 / Slot7.1_20 / Redundante"/>
    <x v="0"/>
    <b v="0"/>
    <s v="No está en VPC"/>
    <n v="842"/>
    <s v="INTPG_VPC_837_1.42_842_1.42"/>
    <s v="ISEL-1.42"/>
    <n v="2"/>
    <s v="NO TIENE L3OUT"/>
    <n v="8"/>
    <n v="54"/>
  </r>
  <r>
    <n v="828"/>
    <x v="2"/>
    <x v="93"/>
    <s v="eth1/42"/>
    <x v="0"/>
    <x v="0"/>
    <x v="0"/>
    <s v="To_ITHFHWCRMDLCN41_Principal"/>
    <x v="0"/>
    <b v="0"/>
    <s v="No está en VPC"/>
    <n v="828"/>
    <s v="INTPG_ACC_828_1.42"/>
    <s v="ISEL-1.42"/>
    <n v="6"/>
    <s v="NO TIENE L3OUT"/>
    <n v="192"/>
    <n v="54"/>
  </r>
  <r>
    <n v="870"/>
    <x v="2"/>
    <x v="94"/>
    <s v="eth1/42"/>
    <x v="0"/>
    <x v="0"/>
    <x v="0"/>
    <s v="To_ITHFHWCRMDLCN37_Principal"/>
    <x v="0"/>
    <b v="0"/>
    <s v="No está en VPC"/>
    <n v="870"/>
    <s v="INTPG_ACC_870_1.42"/>
    <s v="ISEL-1.42"/>
    <n v="1"/>
    <s v="NO TIENE L3OUT"/>
    <n v="248"/>
    <n v="54"/>
  </r>
  <r>
    <n v="866"/>
    <x v="2"/>
    <x v="95"/>
    <s v="eth1/42"/>
    <x v="0"/>
    <x v="0"/>
    <x v="0"/>
    <s v="To_VPC_2DCBSD_WR35_2"/>
    <x v="0"/>
    <b v="0"/>
    <s v="No está en VPC"/>
    <n v="866"/>
    <s v="INTPG_VPC_861_1.42_866_1.42"/>
    <s v="ISEL-1.42"/>
    <n v="1"/>
    <s v="NO TIENE L3OUT"/>
    <n v="8"/>
    <n v="54"/>
  </r>
  <r>
    <n v="862"/>
    <x v="2"/>
    <x v="96"/>
    <s v="eth1/42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42"/>
    <x v="0"/>
    <x v="0"/>
    <x v="0"/>
    <s v="LINK_TO_ITHFHWCRMPLCN168 / Slot1.2_38 / Principal"/>
    <x v="0"/>
    <b v="0"/>
    <s v="No está en VPC"/>
    <n v="855"/>
    <s v="INTPG_ACC_855_1.42"/>
    <s v="ISEL-1.42"/>
    <n v="2"/>
    <s v="NO TIENE L3OUT"/>
    <n v="254"/>
    <n v="54"/>
  </r>
  <r>
    <n v="871"/>
    <x v="2"/>
    <x v="98"/>
    <s v="eth1/42"/>
    <x v="0"/>
    <x v="0"/>
    <x v="0"/>
    <s v="To_ITHFHWCRMDLCN67_Principal"/>
    <x v="0"/>
    <b v="0"/>
    <s v="No está en VPC"/>
    <n v="871"/>
    <s v="INTPG_ACC_871_1.42"/>
    <s v="ISEL-1.42"/>
    <n v="1"/>
    <s v="NO TIENE L3OUT"/>
    <n v="246"/>
    <n v="54"/>
  </r>
  <r>
    <n v="841"/>
    <x v="2"/>
    <x v="99"/>
    <s v="eth1/42"/>
    <x v="0"/>
    <x v="0"/>
    <x v="0"/>
    <s v="LINK_TO_ITHFHWCBSPSHD28 / Slot7.2_20 / Redundante"/>
    <x v="0"/>
    <b v="0"/>
    <s v="No está en VPC"/>
    <n v="841"/>
    <s v="INTPG_VPC_836_1.42_841_1.42"/>
    <s v="ISEL-1.42"/>
    <n v="1"/>
    <s v="NO TIENE L3OUT"/>
    <n v="0"/>
    <n v="54"/>
  </r>
  <r>
    <n v="868"/>
    <x v="2"/>
    <x v="100"/>
    <s v="eth1/42"/>
    <x v="0"/>
    <x v="0"/>
    <x v="0"/>
    <s v="To_ITHFHWCRMDLCN67_Redundante"/>
    <x v="0"/>
    <b v="0"/>
    <s v="No está en VPC"/>
    <n v="868"/>
    <s v="INTPG_ACC_868_1.42"/>
    <s v="ISEL-1.42"/>
    <n v="1"/>
    <s v="NO TIENE L3OUT"/>
    <n v="246"/>
    <n v="54"/>
  </r>
  <r>
    <n v="869"/>
    <x v="2"/>
    <x v="101"/>
    <s v="eth1/42"/>
    <x v="0"/>
    <x v="0"/>
    <x v="0"/>
    <s v="TO_ITHFHWCRMDLCN51_Redundante"/>
    <x v="0"/>
    <b v="0"/>
    <s v="No está en VPC"/>
    <n v="869"/>
    <s v="INTPG_ACC_869_1.42"/>
    <s v="ISEL-1.42"/>
    <n v="6"/>
    <s v="NO TIENE L3OUT"/>
    <n v="288"/>
    <n v="54"/>
  </r>
  <r>
    <n v="861"/>
    <x v="2"/>
    <x v="102"/>
    <s v="eth1/42"/>
    <x v="0"/>
    <x v="0"/>
    <x v="0"/>
    <s v="To_VPC_2DCBSD_WR35_2"/>
    <x v="0"/>
    <b v="0"/>
    <s v="No está en VPC"/>
    <n v="861"/>
    <s v="INTPG_VPC_861_1.42_866_1.42"/>
    <s v="ISEL-1.42"/>
    <n v="1"/>
    <s v="NO TIENE L3OUT"/>
    <n v="8"/>
    <n v="54"/>
  </r>
  <r>
    <n v="874"/>
    <x v="2"/>
    <x v="103"/>
    <s v="eth1/42"/>
    <x v="0"/>
    <x v="0"/>
    <x v="0"/>
    <s v="A_ITHFHWSEQLCAS17_Redundante"/>
    <x v="4"/>
    <b v="0"/>
    <s v="No está en VPC"/>
    <n v="874"/>
    <s v="INTPG_ACC_874_1.42"/>
    <s v="ISEL-1.42"/>
    <n v="1"/>
    <s v="NO TIENE L3OUT"/>
    <n v="92"/>
    <n v="54"/>
  </r>
  <r>
    <n v="865"/>
    <x v="2"/>
    <x v="104"/>
    <s v="eth1/42"/>
    <x v="0"/>
    <x v="0"/>
    <x v="0"/>
    <s v="To_VPC_2DCBSD_WR39_3"/>
    <x v="0"/>
    <b v="0"/>
    <s v="No está en VPC"/>
    <n v="865"/>
    <s v="INTPG_VPC_860_1.42_865_1.42"/>
    <s v="ISEL-1.42"/>
    <n v="1"/>
    <s v="NO TIENE L3OUT"/>
    <n v="0"/>
    <n v="54"/>
  </r>
  <r>
    <n v="753"/>
    <x v="2"/>
    <x v="105"/>
    <s v="eth1/42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42"/>
    <x v="0"/>
    <x v="1"/>
    <x v="3"/>
    <m/>
    <x v="0"/>
    <b v="0"/>
    <s v="No está en VPC"/>
    <n v="708"/>
    <s v="NO EXISTE PG"/>
    <s v="NO EXISTE ISEL"/>
    <n v="0"/>
    <s v="NO TIENE L3OUT"/>
    <n v="0"/>
    <n v="54"/>
  </r>
  <r>
    <n v="710"/>
    <x v="2"/>
    <x v="107"/>
    <s v="eth1/42"/>
    <x v="1"/>
    <x v="1"/>
    <x v="3"/>
    <m/>
    <x v="0"/>
    <b v="0"/>
    <s v="No está en VPC"/>
    <n v="710"/>
    <s v="NO EXISTE PG"/>
    <s v="NO EXISTE ISEL"/>
    <n v="0"/>
    <s v="NO TIENE L3OUT"/>
    <n v="16"/>
    <n v="54"/>
  </r>
  <r>
    <n v="713"/>
    <x v="2"/>
    <x v="108"/>
    <s v="eth1/42"/>
    <x v="1"/>
    <x v="1"/>
    <x v="3"/>
    <m/>
    <x v="0"/>
    <b v="0"/>
    <s v="No está en VPC"/>
    <n v="713"/>
    <s v="NO EXISTE PG"/>
    <s v="NO EXISTE ISEL"/>
    <n v="0"/>
    <s v="NO TIENE L3OUT"/>
    <n v="32"/>
    <n v="54"/>
  </r>
  <r>
    <n v="735"/>
    <x v="2"/>
    <x v="109"/>
    <s v="eth1/42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42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42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42"/>
    <x v="1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42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42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42"/>
    <x v="0"/>
    <x v="0"/>
    <x v="0"/>
    <s v="LINK_TO_ITHFHWCBSDSWR20 /Slot4.2 /Principal"/>
    <x v="0"/>
    <b v="0"/>
    <s v="No está en VPC"/>
    <n v="826"/>
    <s v="INTPG_VPC_826_1.42_830_1.42"/>
    <s v="ISEL-1.42"/>
    <n v="1"/>
    <s v="NO TIENE L3OUT"/>
    <n v="12"/>
    <n v="54"/>
  </r>
  <r>
    <n v="726"/>
    <x v="2"/>
    <x v="117"/>
    <s v="eth1/42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42"/>
    <x v="0"/>
    <x v="1"/>
    <x v="1"/>
    <m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42"/>
    <x v="1"/>
    <x v="1"/>
    <x v="3"/>
    <m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42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42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42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42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42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42"/>
    <x v="0"/>
    <x v="1"/>
    <x v="3"/>
    <m/>
    <x v="0"/>
    <b v="0"/>
    <s v="No está en VPC"/>
    <n v="709"/>
    <s v="NO EXISTE PG"/>
    <s v="NO EXISTE ISEL"/>
    <n v="0"/>
    <s v="NO TIENE L3OUT"/>
    <n v="0"/>
    <n v="54"/>
  </r>
  <r>
    <n v="454"/>
    <x v="1"/>
    <x v="126"/>
    <s v="eth1/42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42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42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42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42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42"/>
    <x v="0"/>
    <x v="1"/>
    <x v="1"/>
    <m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42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42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42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42"/>
    <x v="0"/>
    <x v="1"/>
    <x v="3"/>
    <m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42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42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42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42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42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42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42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42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42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42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42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42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42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42"/>
    <x v="1"/>
    <x v="1"/>
    <x v="3"/>
    <m/>
    <x v="0"/>
    <b v="0"/>
    <s v="No está en VPC"/>
    <n v="781"/>
    <s v="NO EXISTE PG"/>
    <s v="NO EXISTE ISEL"/>
    <n v="0"/>
    <s v="NO TIENE L3OUT"/>
    <n v="26"/>
    <n v="54"/>
  </r>
  <r>
    <n v="793"/>
    <x v="2"/>
    <x v="151"/>
    <s v="eth1/42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42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42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42"/>
    <x v="1"/>
    <x v="1"/>
    <x v="3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42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42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42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42"/>
    <x v="0"/>
    <x v="1"/>
    <x v="1"/>
    <m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42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42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42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42"/>
    <x v="0"/>
    <x v="0"/>
    <x v="0"/>
    <s v="LINK_TO_ITHFHWCBSDSWR20 /Slot6.2 /Redundante"/>
    <x v="0"/>
    <b v="0"/>
    <s v="No está en VPC"/>
    <n v="830"/>
    <s v="INTPG_VPC_826_1.42_830_1.42"/>
    <s v="ISEL-1.42"/>
    <n v="1"/>
    <s v="NO TIENE L3OUT"/>
    <n v="12"/>
    <n v="54"/>
  </r>
  <r>
    <n v="821"/>
    <x v="2"/>
    <x v="163"/>
    <s v="eth1/42"/>
    <x v="0"/>
    <x v="0"/>
    <x v="0"/>
    <s v="LINK_TO_ITHFHWCBSPSWR20 /Slot6.2 /Redundante"/>
    <x v="0"/>
    <b v="0"/>
    <s v="No está en VPC"/>
    <n v="821"/>
    <s v="INTPG_VPC_816_1.42_821_1.42"/>
    <s v="ISEL-1.42"/>
    <n v="1"/>
    <s v="NO TIENE L3OUT"/>
    <n v="0"/>
    <n v="54"/>
  </r>
  <r>
    <n v="738"/>
    <x v="2"/>
    <x v="164"/>
    <s v="eth1/42"/>
    <x v="0"/>
    <x v="1"/>
    <x v="1"/>
    <m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42"/>
    <x v="0"/>
    <x v="1"/>
    <x v="3"/>
    <m/>
    <x v="0"/>
    <b v="0"/>
    <s v="No está en VPC"/>
    <n v="820"/>
    <s v="NO EXISTE PG"/>
    <s v="NO EXISTE ISEL"/>
    <n v="0"/>
    <s v="NO TIENE L3OUT"/>
    <n v="72"/>
    <n v="54"/>
  </r>
  <r>
    <n v="804"/>
    <x v="2"/>
    <x v="166"/>
    <s v="eth1/42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42"/>
    <x v="0"/>
    <x v="1"/>
    <x v="3"/>
    <m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42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42"/>
    <x v="0"/>
    <x v="0"/>
    <x v="0"/>
    <s v="LINK_TO_ITHFHWCBSDSWR30 /10GE.1 /Principal"/>
    <x v="0"/>
    <b v="0"/>
    <s v="No está en VPC"/>
    <n v="827"/>
    <s v="INTPG_VPC_827_1.42_831_1.42"/>
    <s v="ISEL-1.42"/>
    <n v="1"/>
    <s v="NO TIENE L3OUT"/>
    <n v="14"/>
    <n v="54"/>
  </r>
  <r>
    <n v="809"/>
    <x v="2"/>
    <x v="170"/>
    <s v="eth1/42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42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42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42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42"/>
    <x v="1"/>
    <x v="1"/>
    <x v="3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42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42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42"/>
    <x v="0"/>
    <x v="0"/>
    <x v="0"/>
    <s v="LINK_TO_ITHFHWCRMPLCN114 / Slot7.3_32 / Redundante"/>
    <x v="0"/>
    <b v="0"/>
    <s v="No está en VPC"/>
    <n v="851"/>
    <s v="INTPG_ACC_851_1.42"/>
    <s v="ISEL-1.42"/>
    <n v="1"/>
    <s v="NO TIENE L3OUT"/>
    <n v="282"/>
    <n v="54"/>
  </r>
  <r>
    <n v="798"/>
    <x v="2"/>
    <x v="178"/>
    <s v="eth1/42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42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42"/>
    <x v="0"/>
    <x v="0"/>
    <x v="0"/>
    <s v="LINK_TO_ITHFHWCRMPLCN98 / Slot7.1_28 / Redundante"/>
    <x v="0"/>
    <b v="0"/>
    <s v="No está en VPC"/>
    <n v="852"/>
    <s v="INTPG_ACC_852_1.42"/>
    <s v="ISEL-1.42"/>
    <n v="6"/>
    <s v="NO TIENE L3OUT"/>
    <n v="258"/>
    <n v="54"/>
  </r>
  <r>
    <n v="817"/>
    <x v="2"/>
    <x v="181"/>
    <s v="eth1/42"/>
    <x v="0"/>
    <x v="0"/>
    <x v="0"/>
    <s v="LINK_TO_ITHFHWCBSPSWR27 /Slot4.2 /Principal"/>
    <x v="0"/>
    <b v="0"/>
    <s v="No está en VPC"/>
    <n v="817"/>
    <s v="INTPG_VPC_817_1.42_822_1.42"/>
    <s v="ISEL-1.42"/>
    <n v="1"/>
    <s v="NO TIENE L3OUT"/>
    <n v="0"/>
    <n v="54"/>
  </r>
  <r>
    <n v="832"/>
    <x v="2"/>
    <x v="182"/>
    <s v="eth1/42"/>
    <x v="0"/>
    <x v="0"/>
    <x v="0"/>
    <s v="To_ITHFHWCRMDLCN41_Redundante"/>
    <x v="0"/>
    <b v="0"/>
    <s v="No está en VPC"/>
    <n v="832"/>
    <s v="INTPG_ACC_832_1.42"/>
    <s v="ISEL-1.42"/>
    <n v="6"/>
    <s v="NO TIENE L3OUT"/>
    <n v="192"/>
    <n v="54"/>
  </r>
  <r>
    <n v="816"/>
    <x v="2"/>
    <x v="183"/>
    <s v="eth1/42"/>
    <x v="0"/>
    <x v="0"/>
    <x v="0"/>
    <s v="LINK_TO_ITHFHWCBSPSWR20 /Slot4.2 /Principal"/>
    <x v="0"/>
    <b v="0"/>
    <s v="No está en VPC"/>
    <n v="816"/>
    <s v="INTPG_VPC_816_1.42_821_1.42"/>
    <s v="ISEL-1.42"/>
    <n v="1"/>
    <s v="NO TIENE L3OUT"/>
    <n v="0"/>
    <n v="54"/>
  </r>
  <r>
    <n v="825"/>
    <x v="2"/>
    <x v="184"/>
    <s v="eth1/42"/>
    <x v="0"/>
    <x v="1"/>
    <x v="3"/>
    <m/>
    <x v="0"/>
    <b v="0"/>
    <s v="No está en VPC"/>
    <n v="825"/>
    <s v="NO EXISTE PG"/>
    <s v="NO EXISTE ISEL"/>
    <n v="0"/>
    <s v="NO TIENE L3OUT"/>
    <n v="72"/>
    <n v="54"/>
  </r>
  <r>
    <n v="800"/>
    <x v="2"/>
    <x v="185"/>
    <s v="eth1/42"/>
    <x v="0"/>
    <x v="0"/>
    <x v="0"/>
    <s v="TO-ITHFDEVDICL01ESX03"/>
    <x v="0"/>
    <b v="0"/>
    <s v="No está en VPC"/>
    <n v="800"/>
    <s v="INTPG_VPC_800_1.42_801_1.42"/>
    <s v="ISEL-1.42"/>
    <n v="6"/>
    <s v="NO TIENE L3OUT"/>
    <n v="78"/>
    <n v="54"/>
  </r>
  <r>
    <n v="801"/>
    <x v="2"/>
    <x v="186"/>
    <s v="eth1/42"/>
    <x v="0"/>
    <x v="0"/>
    <x v="0"/>
    <s v="TO-ITHFDEVDICL01ESX03"/>
    <x v="0"/>
    <b v="0"/>
    <s v="No está en VPC"/>
    <n v="801"/>
    <s v="INTPG_VPC_800_1.42_801_1.42"/>
    <s v="ISEL-1.42"/>
    <n v="6"/>
    <s v="NO TIENE L3OUT"/>
    <n v="78"/>
    <n v="54"/>
  </r>
  <r>
    <n v="823"/>
    <x v="2"/>
    <x v="187"/>
    <s v="eth1/42"/>
    <x v="0"/>
    <x v="0"/>
    <x v="0"/>
    <s v="LINK_TO_ITHFHWCBSPSWR38 /Slot5.1 /Redundante"/>
    <x v="0"/>
    <b v="0"/>
    <s v="No está en VPC"/>
    <n v="823"/>
    <s v="INTPG_VPC_818_1.42_823_1.42"/>
    <s v="ISEL-1.42"/>
    <n v="1"/>
    <s v="NO TIENE L3OUT"/>
    <n v="8"/>
    <n v="54"/>
  </r>
  <r>
    <n v="837"/>
    <x v="2"/>
    <x v="188"/>
    <s v="eth1/42"/>
    <x v="0"/>
    <x v="0"/>
    <x v="0"/>
    <s v="LINK_To_ITHFHWCBSPSHD22 / Slot1.1_20 / Principal"/>
    <x v="0"/>
    <b v="0"/>
    <s v="No está en VPC"/>
    <n v="837"/>
    <s v="INTPG_VPC_837_1.42_842_1.42"/>
    <s v="ISEL-1.42"/>
    <n v="2"/>
    <s v="NO TIENE L3OUT"/>
    <n v="8"/>
    <n v="54"/>
  </r>
  <r>
    <n v="867"/>
    <x v="2"/>
    <x v="189"/>
    <s v="eth1/42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42"/>
    <x v="0"/>
    <x v="0"/>
    <x v="0"/>
    <s v="To_VPC_2DCRMD_SBD05_1_Principal"/>
    <x v="0"/>
    <b v="0"/>
    <s v="No está en VPC"/>
    <n v="829"/>
    <s v="INTPG_VPC_829_1.42_833_1.42"/>
    <s v="ISEL-1.42"/>
    <n v="6"/>
    <s v="NO TIENE L3OUT"/>
    <n v="224"/>
    <n v="54"/>
  </r>
  <r>
    <n v="831"/>
    <x v="2"/>
    <x v="191"/>
    <s v="eth1/42"/>
    <x v="0"/>
    <x v="0"/>
    <x v="0"/>
    <s v="LINK_TO_ITHFHWCBSDSWR30 /Slot5.1 /Redundante"/>
    <x v="0"/>
    <b v="0"/>
    <s v="No está en VPC"/>
    <n v="831"/>
    <s v="INTPG_VPC_827_1.42_831_1.42"/>
    <s v="ISEL-1.42"/>
    <n v="1"/>
    <s v="NO TIENE L3OUT"/>
    <n v="14"/>
    <n v="54"/>
  </r>
  <r>
    <n v="802"/>
    <x v="2"/>
    <x v="192"/>
    <s v="eth1/42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42"/>
    <x v="0"/>
    <x v="0"/>
    <x v="0"/>
    <s v="LINK_TO_ITHFHWCBSPSHD36 / Slot1.2_24 / Principal"/>
    <x v="0"/>
    <b v="0"/>
    <s v="No está en VPC"/>
    <n v="835"/>
    <s v="INTPG_VPC_835_1.42_840_1.42"/>
    <s v="ISEL-1.42"/>
    <n v="1"/>
    <s v="NO TIENE L3OUT"/>
    <n v="8"/>
    <n v="54"/>
  </r>
  <r>
    <n v="822"/>
    <x v="2"/>
    <x v="194"/>
    <s v="eth1/42"/>
    <x v="0"/>
    <x v="0"/>
    <x v="0"/>
    <s v="LINK_TO_ITHFHWCBSPSWR27 /Slot6.2 /Redundante"/>
    <x v="0"/>
    <b v="0"/>
    <s v="No está en VPC"/>
    <n v="822"/>
    <s v="INTPG_VPC_817_1.42_822_1.42"/>
    <s v="ISEL-1.42"/>
    <n v="1"/>
    <s v="NO TIENE L3OUT"/>
    <n v="0"/>
    <n v="54"/>
  </r>
  <r>
    <n v="854"/>
    <x v="2"/>
    <x v="195"/>
    <s v="eth1/42"/>
    <x v="0"/>
    <x v="0"/>
    <x v="0"/>
    <s v="LINK_TO_ITHFHWCRMPSBDP11 / Slot1.2_6 / Principal"/>
    <x v="0"/>
    <b v="0"/>
    <s v="No está en VPC"/>
    <n v="854"/>
    <s v="INTPG_VPC_854_1.42_847_1.42"/>
    <s v="ISEL-1.42"/>
    <n v="2"/>
    <s v="NO TIENE L3OUT"/>
    <n v="204"/>
    <n v="54"/>
  </r>
  <r>
    <n v="858"/>
    <x v="2"/>
    <x v="196"/>
    <s v="eth1/42"/>
    <x v="0"/>
    <x v="0"/>
    <x v="0"/>
    <s v="To_VPC_2DCBSD_WR58_3"/>
    <x v="0"/>
    <b v="0"/>
    <s v="No está en VPC"/>
    <n v="858"/>
    <s v="INTPG_VPC_858_1.42_863_1.42"/>
    <s v="ISEL-1.42"/>
    <n v="1"/>
    <s v="NO TIENE L3OUT"/>
    <n v="8"/>
    <n v="54"/>
  </r>
  <r>
    <n v="857"/>
    <x v="2"/>
    <x v="197"/>
    <s v="eth1/42"/>
    <x v="0"/>
    <x v="0"/>
    <x v="0"/>
    <s v="LINKT_TO_ITHFHWCRMPLCN129 / Slot1.2_28 / Principal"/>
    <x v="0"/>
    <b v="0"/>
    <s v="No está en VPC"/>
    <n v="857"/>
    <s v="INTPG_ACC_857_1.42"/>
    <s v="ISEL-1.42"/>
    <n v="2"/>
    <s v="NO TIENE L3OUT"/>
    <n v="288"/>
    <n v="54"/>
  </r>
  <r>
    <n v="859"/>
    <x v="2"/>
    <x v="198"/>
    <s v="eth1/42"/>
    <x v="0"/>
    <x v="0"/>
    <x v="0"/>
    <s v="To_VPC_2DCBSD_WR49_3"/>
    <x v="0"/>
    <b v="0"/>
    <s v="No está en VPC"/>
    <n v="859"/>
    <s v="INTPG_VPC_859_1.42_864_1.42"/>
    <s v="ISEL-1.42"/>
    <n v="1"/>
    <s v="NO TIENE L3OUT"/>
    <n v="0"/>
    <n v="54"/>
  </r>
  <r>
    <n v="833"/>
    <x v="2"/>
    <x v="199"/>
    <s v="eth1/42"/>
    <x v="0"/>
    <x v="0"/>
    <x v="0"/>
    <s v="To_VPC_2DCRMD_SBD05_1_Principal"/>
    <x v="0"/>
    <b v="0"/>
    <s v="No está en VPC"/>
    <n v="833"/>
    <s v="INTPG_VPC_829_1.42_833_1.42"/>
    <s v="ISEL-1.42"/>
    <n v="6"/>
    <s v="NO TIENE L3OUT"/>
    <n v="224"/>
    <n v="54"/>
  </r>
  <r>
    <n v="818"/>
    <x v="2"/>
    <x v="200"/>
    <s v="eth1/42"/>
    <x v="0"/>
    <x v="0"/>
    <x v="0"/>
    <s v="LINK_TO_ITHFHWCBSPSWR38 /10GE.1 /Principal"/>
    <x v="0"/>
    <b v="0"/>
    <s v="No está en VPC"/>
    <n v="818"/>
    <s v="INTPG_VPC_818_1.42_823_1.42"/>
    <s v="ISEL-1.42"/>
    <n v="1"/>
    <s v="NO TIENE L3OUT"/>
    <n v="8"/>
    <n v="54"/>
  </r>
  <r>
    <n v="850"/>
    <x v="2"/>
    <x v="201"/>
    <s v="eth1/42"/>
    <x v="0"/>
    <x v="0"/>
    <x v="0"/>
    <s v="LINKT_TO_ITHFHWCRMPLCN129 / Slot7.2_28 / Redundante"/>
    <x v="0"/>
    <b v="0"/>
    <s v="No está en VPC"/>
    <n v="850"/>
    <s v="INTPG_ACC_850_1.42"/>
    <s v="ISEL-1.42"/>
    <n v="2"/>
    <s v="NO TIENE L3OUT"/>
    <n v="288"/>
    <n v="54"/>
  </r>
  <r>
    <n v="860"/>
    <x v="2"/>
    <x v="202"/>
    <s v="eth1/42"/>
    <x v="0"/>
    <x v="0"/>
    <x v="0"/>
    <s v="To_VPC_2DCBSD_WR39_3"/>
    <x v="0"/>
    <b v="0"/>
    <s v="No está en VPC"/>
    <n v="860"/>
    <s v="INTPG_VPC_860_1.42_865_1.42"/>
    <s v="ISEL-1.42"/>
    <n v="1"/>
    <s v="NO TIENE L3OUT"/>
    <n v="0"/>
    <n v="54"/>
  </r>
  <r>
    <n v="853"/>
    <x v="2"/>
    <x v="203"/>
    <s v="eth1/42"/>
    <x v="0"/>
    <x v="0"/>
    <x v="0"/>
    <s v="LINK_TO_ITHFHWCRMPLCN85 / Slot7.3_28 / Redundante"/>
    <x v="0"/>
    <b v="0"/>
    <s v="No está en VPC"/>
    <n v="853"/>
    <s v="INTPG_ACC_853_1.42"/>
    <s v="ISEL-1.42"/>
    <n v="1"/>
    <s v="NO TIENE L3OUT"/>
    <n v="242"/>
    <n v="54"/>
  </r>
  <r>
    <n v="790"/>
    <x v="2"/>
    <x v="204"/>
    <s v="eth1/42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42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42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42"/>
    <x v="0"/>
    <x v="1"/>
    <x v="1"/>
    <s v="CFD"/>
    <x v="6"/>
    <b v="0"/>
    <s v="No está en VPC"/>
    <n v="104"/>
    <s v="INTPG_ACC_104_1.42"/>
    <s v="ISEL-1.42"/>
    <n v="1"/>
    <s v="NO TIENE L3OUT"/>
    <n v="194"/>
    <n v="96"/>
  </r>
  <r>
    <n v="158"/>
    <x v="0"/>
    <x v="208"/>
    <s v="eth1/42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42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42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42"/>
    <x v="0"/>
    <x v="0"/>
    <x v="0"/>
    <s v="EMS_TEKELEC"/>
    <x v="6"/>
    <b v="0"/>
    <s v="No está en VPC"/>
    <n v="108"/>
    <s v="INTPG_ACC_108_1.42"/>
    <s v="ISEL-1.42"/>
    <n v="1"/>
    <s v="NO TIENE L3OUT"/>
    <n v="126"/>
    <n v="96"/>
  </r>
  <r>
    <n v="112"/>
    <x v="0"/>
    <x v="212"/>
    <s v="eth1/42"/>
    <x v="0"/>
    <x v="0"/>
    <x v="0"/>
    <s v="ASAP"/>
    <x v="6"/>
    <b v="0"/>
    <s v="No está en VPC"/>
    <n v="112"/>
    <s v="INTPG_ACC_112_1.42"/>
    <s v="ISEL-1.42"/>
    <n v="1"/>
    <s v="NO TIENE L3OUT"/>
    <n v="144"/>
    <n v="96"/>
  </r>
  <r>
    <n v="107"/>
    <x v="0"/>
    <x v="213"/>
    <s v="eth1/42"/>
    <x v="0"/>
    <x v="0"/>
    <x v="0"/>
    <m/>
    <x v="6"/>
    <b v="0"/>
    <s v="No está en VPC"/>
    <n v="107"/>
    <s v="INTPG_ACC_107_1.42"/>
    <s v="ISEL-1.42"/>
    <n v="1"/>
    <s v="NO TIENE L3OUT"/>
    <n v="118"/>
    <n v="96"/>
  </r>
  <r>
    <n v="109"/>
    <x v="0"/>
    <x v="214"/>
    <s v="eth1/42"/>
    <x v="0"/>
    <x v="0"/>
    <x v="0"/>
    <m/>
    <x v="6"/>
    <b v="0"/>
    <s v="No está en VPC"/>
    <n v="109"/>
    <s v="INTPG_ACC_109_1.42"/>
    <s v="ISEL-1.42"/>
    <n v="1"/>
    <s v="NO TIENE L3OUT"/>
    <n v="126"/>
    <n v="96"/>
  </r>
  <r>
    <n v="113"/>
    <x v="0"/>
    <x v="215"/>
    <s v="eth1/42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42"/>
    <x v="0"/>
    <x v="0"/>
    <x v="0"/>
    <s v="DCX3-6"/>
    <x v="6"/>
    <b v="0"/>
    <s v="No está en VPC"/>
    <n v="114"/>
    <s v="INTPG_ACC_114_1.42"/>
    <s v="ISEL-1.42"/>
    <n v="1"/>
    <s v="NO TIENE L3OUT"/>
    <n v="144"/>
    <n v="96"/>
  </r>
  <r>
    <n v="124"/>
    <x v="0"/>
    <x v="217"/>
    <s v="eth1/42"/>
    <x v="0"/>
    <x v="0"/>
    <x v="0"/>
    <s v="MONITOREO DE SWITCHS EXTREME OSS EN SPECTRUM"/>
    <x v="6"/>
    <b v="0"/>
    <s v="No está en VPC"/>
    <n v="124"/>
    <s v="INTPG_ACC_124_1.42"/>
    <s v="ISEL-1.42"/>
    <n v="1"/>
    <s v="NO TIENE L3OUT"/>
    <n v="80"/>
    <n v="96"/>
  </r>
  <r>
    <n v="118"/>
    <x v="0"/>
    <x v="218"/>
    <s v="eth1/42"/>
    <x v="1"/>
    <x v="1"/>
    <x v="2"/>
    <s v="INGE6"/>
    <x v="6"/>
    <b v="0"/>
    <s v="No está en VPC"/>
    <n v="118"/>
    <s v="INTPG_ACC_118_1.42"/>
    <s v="ISEL-1.42"/>
    <n v="1"/>
    <s v="NO TIENE L3OUT"/>
    <n v="180"/>
    <n v="96"/>
  </r>
  <r>
    <n v="159"/>
    <x v="0"/>
    <x v="219"/>
    <s v="eth1/42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42"/>
    <x v="0"/>
    <x v="0"/>
    <x v="0"/>
    <s v="LINK_TO_ITHFHWCBSPSHD36 / Slot7.2_24 / Redundante"/>
    <x v="0"/>
    <b v="0"/>
    <s v="No está en VPC"/>
    <n v="840"/>
    <s v="INTPG_VPC_835_1.42_840_1.42"/>
    <s v="ISEL-1.42"/>
    <n v="1"/>
    <s v="NO TIENE L3OUT"/>
    <n v="8"/>
    <n v="54"/>
  </r>
  <r>
    <n v="856"/>
    <x v="2"/>
    <x v="221"/>
    <s v="eth1/42"/>
    <x v="0"/>
    <x v="0"/>
    <x v="0"/>
    <s v="LINK_TO_ITHFHWCRMPLCN148 / Slot1.2_30 / Principal"/>
    <x v="0"/>
    <b v="0"/>
    <s v="No está en VPC"/>
    <n v="856"/>
    <s v="INTPG_ACC_856_1.42"/>
    <s v="ISEL-1.42"/>
    <n v="2"/>
    <s v="NO TIENE L3OUT"/>
    <n v="286"/>
    <n v="54"/>
  </r>
  <r>
    <n v="110"/>
    <x v="0"/>
    <x v="222"/>
    <s v="eth1/42"/>
    <x v="0"/>
    <x v="0"/>
    <x v="0"/>
    <s v="SUN6900_E25K"/>
    <x v="6"/>
    <b v="0"/>
    <s v="No está en VPC"/>
    <n v="110"/>
    <s v="INTPG_ACC_110_1.42"/>
    <s v="ISEL-1.42"/>
    <n v="1"/>
    <s v="NO TIENE L3OUT"/>
    <n v="102"/>
    <n v="96"/>
  </r>
  <r>
    <n v="163"/>
    <x v="0"/>
    <x v="223"/>
    <s v="eth1/42"/>
    <x v="0"/>
    <x v="1"/>
    <x v="5"/>
    <s v="desc"/>
    <x v="6"/>
    <b v="0"/>
    <s v="No está en VPC"/>
    <n v="163"/>
    <s v="INTPG_VPC_161_1.37_163_1.42"/>
    <s v="ISEL-1.42"/>
    <n v="1"/>
    <s v="NO TIENE L3OUT"/>
    <n v="140"/>
    <n v="96"/>
  </r>
  <r>
    <n v="407"/>
    <x v="1"/>
    <x v="224"/>
    <s v="eth1/42"/>
    <x v="0"/>
    <x v="0"/>
    <x v="0"/>
    <s v="Uxorbi _ilo"/>
    <x v="6"/>
    <b v="0"/>
    <s v="No está en VPC"/>
    <n v="407"/>
    <s v="INTPG_ACC_407_1.42"/>
    <s v="ISEL-1.42"/>
    <n v="1"/>
    <s v="NO TIENE L3OUT"/>
    <n v="122"/>
    <n v="96"/>
  </r>
  <r>
    <n v="171"/>
    <x v="0"/>
    <x v="225"/>
    <s v="eth1/42"/>
    <x v="0"/>
    <x v="0"/>
    <x v="0"/>
    <s v="HP_Performance_Insight"/>
    <x v="6"/>
    <b v="0"/>
    <s v="No está en VPC"/>
    <n v="171"/>
    <s v="INTPG_ACC_171_1.42"/>
    <s v="ISEL-1.42"/>
    <n v="1"/>
    <s v="NO TIENE L3OUT"/>
    <n v="114"/>
    <n v="96"/>
  </r>
  <r>
    <n v="421"/>
    <x v="1"/>
    <x v="226"/>
    <s v="eth1/42"/>
    <x v="0"/>
    <x v="0"/>
    <x v="0"/>
    <s v="VTA_F5_eth2"/>
    <x v="6"/>
    <b v="0"/>
    <s v="No está en VPC"/>
    <n v="421"/>
    <s v="INTPG_ACC_421_1.42"/>
    <s v="ISEL-1.42"/>
    <n v="1"/>
    <s v="NO TIENE L3OUT"/>
    <n v="72"/>
    <n v="96"/>
  </r>
  <r>
    <n v="173"/>
    <x v="0"/>
    <x v="227"/>
    <s v="eth1/42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42"/>
    <x v="0"/>
    <x v="0"/>
    <x v="0"/>
    <s v="TO-ITHAX450006-PRINCIPAL"/>
    <x v="6"/>
    <b v="0"/>
    <s v="No está en VPC"/>
    <n v="154"/>
    <s v="INTPG_ACC_154_1.42"/>
    <s v="ISEL-1.42"/>
    <n v="1"/>
    <s v="NO TIENE L3OUT"/>
    <n v="62"/>
    <n v="96"/>
  </r>
  <r>
    <n v="172"/>
    <x v="0"/>
    <x v="229"/>
    <s v="eth1/42"/>
    <x v="0"/>
    <x v="0"/>
    <x v="0"/>
    <s v="SRS (Speedy Rating System)"/>
    <x v="6"/>
    <b v="0"/>
    <s v="No está en VPC"/>
    <n v="172"/>
    <s v="INTPG_ACC_172_1.42"/>
    <s v="ISEL-1.42"/>
    <n v="1"/>
    <s v="NO TIENE L3OUT"/>
    <n v="104"/>
    <n v="96"/>
  </r>
  <r>
    <n v="420"/>
    <x v="1"/>
    <x v="230"/>
    <s v="eth1/42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42"/>
    <x v="0"/>
    <x v="0"/>
    <x v="0"/>
    <s v="SPECSERVER2_ILOM"/>
    <x v="6"/>
    <b v="0"/>
    <s v="No está en VPC"/>
    <n v="423"/>
    <s v="INTPG_ACC_423_1.42"/>
    <s v="ISEL-1.42"/>
    <n v="1"/>
    <s v="NO TIENE L3OUT"/>
    <n v="86"/>
    <n v="96"/>
  </r>
  <r>
    <n v="415"/>
    <x v="1"/>
    <x v="232"/>
    <s v="eth1/42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42"/>
    <x v="1"/>
    <x v="1"/>
    <x v="2"/>
    <s v="IXTLA4_VC1:VMTLCLAMX5:VC1  X2"/>
    <x v="6"/>
    <b v="0"/>
    <s v="No está en VPC"/>
    <n v="102"/>
    <s v="INTPG_PC_102_1.41-48"/>
    <s v="ISEL-1.42"/>
    <n v="0"/>
    <s v="NO TIENE L3OUT"/>
    <n v="228"/>
    <n v="96"/>
  </r>
  <r>
    <n v="863"/>
    <x v="2"/>
    <x v="234"/>
    <s v="eth1/42"/>
    <x v="0"/>
    <x v="0"/>
    <x v="0"/>
    <s v="To_VPC_2DCBSD_WR58_3"/>
    <x v="0"/>
    <b v="0"/>
    <s v="No está en VPC"/>
    <n v="863"/>
    <s v="INTPG_VPC_858_1.42_863_1.42"/>
    <s v="ISEL-1.42"/>
    <n v="1"/>
    <s v="NO TIENE L3OUT"/>
    <n v="8"/>
    <n v="54"/>
  </r>
  <r>
    <n v="876"/>
    <x v="2"/>
    <x v="235"/>
    <s v="eth1/42"/>
    <x v="0"/>
    <x v="0"/>
    <x v="0"/>
    <s v="A_ITHFHWSEQLCAS17_Principal"/>
    <x v="4"/>
    <b v="0"/>
    <s v="No está en VPC"/>
    <n v="876"/>
    <s v="INTPG_ACC_876_1.42"/>
    <s v="ISEL-1.42"/>
    <n v="1"/>
    <s v="NO TIENE L3OUT"/>
    <n v="92"/>
    <n v="54"/>
  </r>
  <r>
    <n v="877"/>
    <x v="2"/>
    <x v="236"/>
    <s v="eth1/42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42"/>
    <x v="0"/>
    <x v="0"/>
    <x v="0"/>
    <s v="Registro Nacional de Celulares"/>
    <x v="6"/>
    <b v="0"/>
    <s v="No está en VPC"/>
    <n v="122"/>
    <s v="INTPG_ACC_122_1.42"/>
    <s v="ISEL-1.42"/>
    <n v="1"/>
    <s v="NO TIENE L3OUT"/>
    <n v="148"/>
    <n v="96"/>
  </r>
  <r>
    <n v="157"/>
    <x v="0"/>
    <x v="238"/>
    <s v="eth1/42"/>
    <x v="0"/>
    <x v="0"/>
    <x v="0"/>
    <s v="IXT08PP"/>
    <x v="6"/>
    <b v="0"/>
    <s v="No está en VPC"/>
    <n v="157"/>
    <s v="INTPG_ACC_157_1.42"/>
    <s v="ISEL-1.42"/>
    <n v="0"/>
    <s v="L3OUT-SNA-IXT08PP-BGP"/>
    <n v="202"/>
    <n v="96"/>
  </r>
  <r>
    <n v="408"/>
    <x v="1"/>
    <x v="239"/>
    <s v="eth1/42"/>
    <x v="0"/>
    <x v="0"/>
    <x v="0"/>
    <s v="HNMP101A"/>
    <x v="6"/>
    <b v="0"/>
    <s v="No está en VPC"/>
    <n v="408"/>
    <s v="INTPG_ACC_408_1.42"/>
    <s v="ISEL-1.42"/>
    <n v="1"/>
    <s v="NO TIENE L3OUT"/>
    <n v="152"/>
    <n v="96"/>
  </r>
  <r>
    <n v="405"/>
    <x v="1"/>
    <x v="240"/>
    <s v="eth1/42"/>
    <x v="0"/>
    <x v="0"/>
    <x v="0"/>
    <s v="MEDIACION1-DD"/>
    <x v="6"/>
    <b v="0"/>
    <s v="No está en VPC"/>
    <n v="405"/>
    <s v="INTPG_ACC_405_1.42"/>
    <s v="ISEL-1.42"/>
    <n v="1"/>
    <s v="NO TIENE L3OUT"/>
    <n v="138"/>
    <n v="96"/>
  </r>
  <r>
    <n v="169"/>
    <x v="0"/>
    <x v="241"/>
    <s v="eth1/42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42"/>
    <x v="0"/>
    <x v="0"/>
    <x v="0"/>
    <s v="NOMINA_rhaps1"/>
    <x v="6"/>
    <b v="0"/>
    <s v="No está en VPC"/>
    <n v="165"/>
    <s v="INTPG_ACC_165_1.42"/>
    <s v="ISEL-1.42"/>
    <n v="1"/>
    <s v="NO TIENE L3OUT"/>
    <n v="86"/>
    <n v="96"/>
  </r>
  <r>
    <n v="417"/>
    <x v="1"/>
    <x v="243"/>
    <s v="eth1/42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42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42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42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42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42"/>
    <x v="0"/>
    <x v="0"/>
    <x v="0"/>
    <s v="TC3_ithmomce1_VC2_X3"/>
    <x v="6"/>
    <b v="0"/>
    <s v="No está en VPC"/>
    <n v="438"/>
    <s v="INTPG_ACC_438_1.42"/>
    <s v="ISEL-1.42"/>
    <n v="7"/>
    <s v="NO TIENE L3OUT"/>
    <n v="170"/>
    <n v="96"/>
  </r>
  <r>
    <n v="406"/>
    <x v="1"/>
    <x v="249"/>
    <s v="eth1/42"/>
    <x v="0"/>
    <x v="0"/>
    <x v="0"/>
    <s v="DESC"/>
    <x v="6"/>
    <b v="0"/>
    <s v="No está en VPC"/>
    <n v="406"/>
    <s v="INTPG_PC_406_1.39-42"/>
    <s v="ISEL-1.42"/>
    <n v="4"/>
    <s v="NO TIENE L3OUT"/>
    <n v="82"/>
    <n v="96"/>
  </r>
  <r>
    <n v="414"/>
    <x v="1"/>
    <x v="250"/>
    <s v="eth1/42"/>
    <x v="0"/>
    <x v="0"/>
    <x v="0"/>
    <s v="Exadata2"/>
    <x v="6"/>
    <b v="0"/>
    <s v="No está en VPC"/>
    <n v="414"/>
    <s v="INTPG_ACC_414_1.42"/>
    <s v="ISEL-1.42"/>
    <n v="1"/>
    <s v="NO TIENE L3OUT"/>
    <n v="144"/>
    <n v="96"/>
  </r>
  <r>
    <n v="416"/>
    <x v="1"/>
    <x v="251"/>
    <s v="eth1/42"/>
    <x v="0"/>
    <x v="0"/>
    <x v="0"/>
    <s v="DESC"/>
    <x v="6"/>
    <b v="0"/>
    <s v="No está en VPC"/>
    <n v="416"/>
    <s v="INTPG_PC_416_1.40-45"/>
    <s v="ISEL-1.42"/>
    <n v="7"/>
    <s v="NO TIENE L3OUT"/>
    <n v="110"/>
    <n v="96"/>
  </r>
  <r>
    <n v="418"/>
    <x v="1"/>
    <x v="252"/>
    <s v="eth1/42"/>
    <x v="0"/>
    <x v="0"/>
    <x v="0"/>
    <s v="DESC"/>
    <x v="6"/>
    <b v="0"/>
    <s v="No está en VPC"/>
    <n v="418"/>
    <s v="INTPG_PC_418_1.40-45"/>
    <s v="ISEL-1.42"/>
    <n v="7"/>
    <s v="NO TIENE L3OUT"/>
    <n v="152"/>
    <n v="96"/>
  </r>
  <r>
    <n v="413"/>
    <x v="1"/>
    <x v="253"/>
    <s v="eth1/42"/>
    <x v="0"/>
    <x v="0"/>
    <x v="0"/>
    <s v="To-uxingemc1"/>
    <x v="6"/>
    <b v="0"/>
    <s v="No está en VPC"/>
    <n v="413"/>
    <s v="INTPG_ACC_413_1.42"/>
    <s v="ISEL-1.42"/>
    <n v="1"/>
    <s v="NO TIENE L3OUT"/>
    <n v="126"/>
    <n v="96"/>
  </r>
  <r>
    <n v="403"/>
    <x v="1"/>
    <x v="254"/>
    <s v="eth1/42"/>
    <x v="0"/>
    <x v="0"/>
    <x v="0"/>
    <s v="MEDIACION1-DD"/>
    <x v="6"/>
    <b v="0"/>
    <s v="No está en VPC"/>
    <n v="403"/>
    <s v="INTPG_ACC_403_1.42"/>
    <s v="ISEL-1.42"/>
    <n v="1"/>
    <s v="NO TIENE L3OUT"/>
    <n v="150"/>
    <n v="96"/>
  </r>
  <r>
    <n v="125"/>
    <x v="0"/>
    <x v="255"/>
    <s v="eth1/42"/>
    <x v="0"/>
    <x v="0"/>
    <x v="0"/>
    <s v="DWH_SVA_IBM"/>
    <x v="6"/>
    <b v="0"/>
    <s v="No está en VPC"/>
    <n v="125"/>
    <s v="INTPG_ACC_125_1.42"/>
    <s v="ISEL-1.42"/>
    <n v="1"/>
    <s v="NO TIENE L3OUT"/>
    <n v="72"/>
    <n v="96"/>
  </r>
  <r>
    <n v="166"/>
    <x v="0"/>
    <x v="256"/>
    <s v="eth1/42"/>
    <x v="0"/>
    <x v="0"/>
    <x v="0"/>
    <s v="NOMINA_uxm4web1"/>
    <x v="6"/>
    <b v="0"/>
    <s v="No está en VPC"/>
    <n v="166"/>
    <s v="INTPG_ACC_166_1.42"/>
    <s v="ISEL-1.42"/>
    <n v="1"/>
    <s v="NO TIENE L3OUT"/>
    <n v="84"/>
    <n v="96"/>
  </r>
  <r>
    <n v="111"/>
    <x v="0"/>
    <x v="257"/>
    <s v="eth1/42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42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42"/>
    <x v="0"/>
    <x v="0"/>
    <x v="0"/>
    <m/>
    <x v="6"/>
    <b v="0"/>
    <s v="No está en VPC"/>
    <n v="106"/>
    <s v="INTPG_ACC_106_1.42"/>
    <s v="ISEL-1.42"/>
    <n v="2"/>
    <s v="NO TIENE L3OUT"/>
    <n v="122"/>
    <n v="96"/>
  </r>
  <r>
    <n v="126"/>
    <x v="0"/>
    <x v="260"/>
    <s v="eth1/42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42"/>
    <x v="0"/>
    <x v="0"/>
    <x v="0"/>
    <s v="ITHPA03_eth1_IPMP-Pasiva"/>
    <x v="6"/>
    <b v="0"/>
    <s v="No está en VPC"/>
    <n v="425"/>
    <s v="INTPG_ACC_425_1.42"/>
    <s v="ISEL-1.42"/>
    <n v="1"/>
    <s v="NO TIENE L3OUT"/>
    <n v="86"/>
    <n v="96"/>
  </r>
  <r>
    <n v="151"/>
    <x v="0"/>
    <x v="262"/>
    <s v="eth1/42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42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42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42"/>
    <x v="0"/>
    <x v="1"/>
    <x v="1"/>
    <s v="GESTOR HUAWEI U2000 MW Tx"/>
    <x v="6"/>
    <b v="0"/>
    <s v="No está en VPC"/>
    <n v="155"/>
    <s v="INTPG_ACC_155_1.42"/>
    <s v="ISEL-1.42"/>
    <n v="1"/>
    <s v="NO TIENE L3OUT"/>
    <n v="198"/>
    <n v="96"/>
  </r>
  <r>
    <n v="409"/>
    <x v="1"/>
    <x v="266"/>
    <s v="eth1/42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42"/>
    <x v="0"/>
    <x v="0"/>
    <x v="0"/>
    <s v="ITHRTC4BNB1"/>
    <x v="6"/>
    <b v="0"/>
    <s v="No está en VPC"/>
    <n v="422"/>
    <s v="INTPG_ACC_422_1.42"/>
    <s v="ISEL-1.42"/>
    <n v="1"/>
    <s v="NO TIENE L3OUT"/>
    <n v="182"/>
    <n v="96"/>
  </r>
  <r>
    <n v="436"/>
    <x v="1"/>
    <x v="268"/>
    <s v="eth1/42"/>
    <x v="0"/>
    <x v="0"/>
    <x v="0"/>
    <s v="DESC"/>
    <x v="6"/>
    <b v="0"/>
    <s v="No está en VPC"/>
    <n v="436"/>
    <s v="INTPG_PC_436_1.40-45"/>
    <s v="ISEL-1.42"/>
    <n v="7"/>
    <s v="NO TIENE L3OUT"/>
    <n v="172"/>
    <n v="96"/>
  </r>
  <r>
    <n v="410"/>
    <x v="1"/>
    <x v="269"/>
    <s v="eth1/42"/>
    <x v="0"/>
    <x v="0"/>
    <x v="0"/>
    <s v="Exadata4"/>
    <x v="6"/>
    <b v="0"/>
    <s v="No está en VPC"/>
    <n v="410"/>
    <s v="INTPG_ACC_410_1.42"/>
    <s v="ISEL-1.42"/>
    <n v="1"/>
    <s v="NO TIENE L3OUT"/>
    <n v="178"/>
    <n v="96"/>
  </r>
  <r>
    <n v="161"/>
    <x v="0"/>
    <x v="270"/>
    <s v="eth1/42"/>
    <x v="1"/>
    <x v="1"/>
    <x v="2"/>
    <s v="CELCITE"/>
    <x v="6"/>
    <b v="0"/>
    <s v="No está en VPC"/>
    <n v="161"/>
    <s v="INTPG_ACC_161_1.42"/>
    <s v="ISEL-1.42"/>
    <n v="1"/>
    <s v="NO TIENE L3OUT"/>
    <n v="102"/>
    <n v="96"/>
  </r>
  <r>
    <n v="411"/>
    <x v="1"/>
    <x v="271"/>
    <s v="eth1/42"/>
    <x v="0"/>
    <x v="0"/>
    <x v="0"/>
    <s v="SPIDERNET2"/>
    <x v="6"/>
    <b v="0"/>
    <s v="No está en VPC"/>
    <n v="411"/>
    <s v="INTPG_ACC_411_1.42"/>
    <s v="ISEL-1.42"/>
    <n v="1"/>
    <s v="NO TIENE L3OUT"/>
    <n v="96"/>
    <n v="96"/>
  </r>
  <r>
    <n v="116"/>
    <x v="0"/>
    <x v="272"/>
    <s v="eth1/42"/>
    <x v="0"/>
    <x v="0"/>
    <x v="0"/>
    <s v="DATOS NETCRACKER"/>
    <x v="6"/>
    <b v="0"/>
    <s v="No está en VPC"/>
    <n v="116"/>
    <s v="INTPG_ACC_116_1.42"/>
    <s v="ISEL-1.42"/>
    <n v="1"/>
    <s v="NO TIENE L3OUT"/>
    <n v="148"/>
    <n v="96"/>
  </r>
  <r>
    <n v="412"/>
    <x v="1"/>
    <x v="273"/>
    <s v="eth1/42"/>
    <x v="0"/>
    <x v="0"/>
    <x v="0"/>
    <s v="HNMP101B"/>
    <x v="6"/>
    <b v="0"/>
    <s v="No está en VPC"/>
    <n v="412"/>
    <s v="INTPG_ACC_412_1.42"/>
    <s v="ISEL-1.42"/>
    <n v="1"/>
    <s v="NO TIENE L3OUT"/>
    <n v="126"/>
    <n v="96"/>
  </r>
  <r>
    <n v="120"/>
    <x v="0"/>
    <x v="274"/>
    <s v="eth1/42"/>
    <x v="0"/>
    <x v="0"/>
    <x v="0"/>
    <s v="ZFS X5-2"/>
    <x v="6"/>
    <b v="0"/>
    <s v="No está en VPC"/>
    <n v="120"/>
    <s v="INTPG_ACC_120_1.42"/>
    <s v="ISEL-1.42"/>
    <n v="1"/>
    <s v="NO TIENE L3OUT"/>
    <n v="158"/>
    <n v="96"/>
  </r>
  <r>
    <n v="404"/>
    <x v="1"/>
    <x v="275"/>
    <s v="eth1/42"/>
    <x v="0"/>
    <x v="0"/>
    <x v="0"/>
    <s v="PCRF4_CLT"/>
    <x v="6"/>
    <b v="0"/>
    <s v="No está en VPC"/>
    <n v="404"/>
    <s v="INTPG_VPC_404_1.41-42_406_1.37-38"/>
    <s v="ISEL-1.42"/>
    <n v="5"/>
    <s v="NO TIENE L3OUT"/>
    <n v="92"/>
    <n v="96"/>
  </r>
  <r>
    <n v="167"/>
    <x v="0"/>
    <x v="276"/>
    <s v="eth1/42"/>
    <x v="0"/>
    <x v="0"/>
    <x v="0"/>
    <s v="TO-ITHFDESW10BKP03-REDUNDANTE"/>
    <x v="6"/>
    <b v="0"/>
    <s v="No está en VPC"/>
    <n v="167"/>
    <s v="INTPG_ACC_167_1.42"/>
    <s v="ISEL-1.42"/>
    <n v="1"/>
    <s v="NO TIENE L3OUT"/>
    <n v="68"/>
    <n v="96"/>
  </r>
  <r>
    <n v="428"/>
    <x v="1"/>
    <x v="277"/>
    <s v="eth1/42"/>
    <x v="0"/>
    <x v="0"/>
    <x v="0"/>
    <s v="RLPNOVB02"/>
    <x v="6"/>
    <b v="0"/>
    <s v="No está en VPC"/>
    <n v="428"/>
    <s v="INTPG_ACC_428_1.42"/>
    <s v="ISEL-1.42"/>
    <n v="1"/>
    <s v="NO TIENE L3OUT"/>
    <n v="102"/>
    <n v="96"/>
  </r>
  <r>
    <n v="128"/>
    <x v="0"/>
    <x v="0"/>
    <s v="eth1/43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43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43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43"/>
    <x v="0"/>
    <x v="0"/>
    <x v="0"/>
    <s v="LINK_HACIA_MGMT"/>
    <x v="0"/>
    <b v="0"/>
    <s v="No está en VPC"/>
    <n v="101"/>
    <s v="INTPG_VPC_MGMT_20319_101_1.43_150_1.43"/>
    <s v="ISEL-1.43"/>
    <n v="1"/>
    <s v="NO TIENE L3OUT"/>
    <n v="114"/>
    <n v="54"/>
  </r>
  <r>
    <n v="160"/>
    <x v="0"/>
    <x v="4"/>
    <s v="eth1/43"/>
    <x v="0"/>
    <x v="1"/>
    <x v="1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43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43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43"/>
    <x v="0"/>
    <x v="0"/>
    <x v="0"/>
    <m/>
    <x v="0"/>
    <b v="0"/>
    <s v="No está en VPC"/>
    <n v="401"/>
    <s v="INTPG_VPC_401_1.43-44_402_1.43-44"/>
    <s v="ISEL-1.43"/>
    <n v="1"/>
    <s v="NO TIENE L3OUT"/>
    <n v="40"/>
    <n v="54"/>
  </r>
  <r>
    <n v="402"/>
    <x v="1"/>
    <x v="8"/>
    <s v="eth1/43"/>
    <x v="0"/>
    <x v="0"/>
    <x v="0"/>
    <m/>
    <x v="0"/>
    <b v="0"/>
    <s v="No está en VPC"/>
    <n v="402"/>
    <s v="INTPG_VPC_401_1.43-44_402_1.43-44"/>
    <s v="ISEL-1.43"/>
    <n v="1"/>
    <s v="NO TIENE L3OUT"/>
    <n v="36"/>
    <n v="54"/>
  </r>
  <r>
    <n v="130"/>
    <x v="0"/>
    <x v="11"/>
    <s v="eth1/43"/>
    <x v="0"/>
    <x v="0"/>
    <x v="0"/>
    <s v="LAG-smt-comp-02"/>
    <x v="0"/>
    <b v="0"/>
    <s v="No está en VPC"/>
    <n v="130"/>
    <s v="INTPG_VPC_130_1.43-44_131_1.43-44"/>
    <s v="ISEL-1.43"/>
    <n v="4"/>
    <s v="NO TIENE L3OUT"/>
    <n v="128"/>
    <n v="54"/>
  </r>
  <r>
    <n v="150"/>
    <x v="0"/>
    <x v="12"/>
    <s v="eth1/43"/>
    <x v="0"/>
    <x v="0"/>
    <x v="0"/>
    <s v="LINK_HACIA_MGMT"/>
    <x v="0"/>
    <b v="0"/>
    <s v="No está en VPC"/>
    <n v="150"/>
    <s v="INTPG_VPC_MGMT_20319_101_1.43_150_1.43"/>
    <s v="ISEL-1.43"/>
    <n v="1"/>
    <s v="NO TIENE L3OUT"/>
    <n v="118"/>
    <n v="54"/>
  </r>
  <r>
    <n v="131"/>
    <x v="0"/>
    <x v="13"/>
    <s v="eth1/43"/>
    <x v="0"/>
    <x v="0"/>
    <x v="0"/>
    <s v="LAG-smt-comp-02"/>
    <x v="0"/>
    <b v="0"/>
    <s v="No está en VPC"/>
    <n v="131"/>
    <s v="INTPG_VPC_130_1.43-44_131_1.43-44"/>
    <s v="ISEL-1.43"/>
    <n v="4"/>
    <s v="NO TIENE L3OUT"/>
    <n v="126"/>
    <n v="54"/>
  </r>
  <r>
    <n v="424"/>
    <x v="1"/>
    <x v="18"/>
    <s v="eth1/43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43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43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43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43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43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43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43"/>
    <x v="0"/>
    <x v="0"/>
    <x v="0"/>
    <s v="To_ITHEA1A_eth0"/>
    <x v="0"/>
    <b v="0"/>
    <s v="No está en VPC"/>
    <n v="431"/>
    <s v="INTPG_ACC_431_1.43"/>
    <s v="ISEL-1.43"/>
    <n v="2"/>
    <s v="NO TIENE L3OUT"/>
    <n v="46"/>
    <n v="54"/>
  </r>
  <r>
    <n v="433"/>
    <x v="1"/>
    <x v="27"/>
    <s v="eth1/43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43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43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43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43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43"/>
    <x v="1"/>
    <x v="1"/>
    <x v="3"/>
    <m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43"/>
    <x v="1"/>
    <x v="1"/>
    <x v="3"/>
    <m/>
    <x v="0"/>
    <b v="0"/>
    <s v="No está en VPC"/>
    <n v="712"/>
    <s v="NO EXISTE PG"/>
    <s v="NO EXISTE ISEL"/>
    <n v="0"/>
    <s v="NO TIENE L3OUT"/>
    <n v="32"/>
    <n v="54"/>
  </r>
  <r>
    <n v="719"/>
    <x v="2"/>
    <x v="34"/>
    <s v="eth1/43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43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43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43"/>
    <x v="1"/>
    <x v="1"/>
    <x v="3"/>
    <m/>
    <x v="0"/>
    <b v="0"/>
    <s v="No está en VPC"/>
    <n v="711"/>
    <s v="NO EXISTE PG"/>
    <s v="NO EXISTE ISEL"/>
    <n v="0"/>
    <s v="NO TIENE L3OUT"/>
    <n v="16"/>
    <n v="54"/>
  </r>
  <r>
    <n v="716"/>
    <x v="2"/>
    <x v="38"/>
    <s v="eth1/43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43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43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43"/>
    <x v="0"/>
    <x v="1"/>
    <x v="3"/>
    <m/>
    <x v="0"/>
    <b v="0"/>
    <s v="No está en VPC"/>
    <n v="446"/>
    <s v="NO EXISTE PG"/>
    <s v="NO EXISTE ISEL"/>
    <n v="0"/>
    <s v="NO TIENE L3OUT"/>
    <n v="198"/>
    <n v="54"/>
  </r>
  <r>
    <n v="444"/>
    <x v="1"/>
    <x v="42"/>
    <s v="eth1/43"/>
    <x v="0"/>
    <x v="1"/>
    <x v="3"/>
    <m/>
    <x v="0"/>
    <b v="0"/>
    <s v="No está en VPC"/>
    <n v="444"/>
    <s v="NO EXISTE PG"/>
    <s v="NO EXISTE ISEL"/>
    <n v="0"/>
    <s v="NO TIENE L3OUT"/>
    <n v="234"/>
    <n v="54"/>
  </r>
  <r>
    <n v="701"/>
    <x v="2"/>
    <x v="43"/>
    <s v="eth1/43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43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43"/>
    <x v="0"/>
    <x v="0"/>
    <x v="0"/>
    <s v="To_ITHEA1B_eth1"/>
    <x v="0"/>
    <b v="0"/>
    <s v="No está en VPC"/>
    <n v="448"/>
    <s v="INTPG_ACC_448_1.43"/>
    <s v="ISEL-1.43"/>
    <n v="2"/>
    <s v="NO TIENE L3OUT"/>
    <n v="46"/>
    <n v="54"/>
  </r>
  <r>
    <n v="704"/>
    <x v="2"/>
    <x v="46"/>
    <s v="eth1/43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43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43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43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43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43"/>
    <x v="1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43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43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43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43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43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43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43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43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43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43"/>
    <x v="0"/>
    <x v="1"/>
    <x v="1"/>
    <m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43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43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43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43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43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43"/>
    <x v="1"/>
    <x v="1"/>
    <x v="3"/>
    <m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43"/>
    <x v="1"/>
    <x v="1"/>
    <x v="3"/>
    <m/>
    <x v="0"/>
    <b v="0"/>
    <s v="No está en VPC"/>
    <n v="780"/>
    <s v="NO EXISTE PG"/>
    <s v="NO EXISTE ISEL"/>
    <n v="0"/>
    <s v="NO TIENE L3OUT"/>
    <n v="26"/>
    <n v="54"/>
  </r>
  <r>
    <n v="812"/>
    <x v="2"/>
    <x v="70"/>
    <s v="eth1/43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43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43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43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43"/>
    <x v="0"/>
    <x v="0"/>
    <x v="0"/>
    <s v="LINK_TO_ITHHWCRMPEN01 /X3-10GE 1 /Principal"/>
    <x v="0"/>
    <b v="0"/>
    <s v="No está en VPC"/>
    <n v="824"/>
    <s v="INTPG_VPC_819_1.40_43_824_1.40_43"/>
    <s v="ISEL-1.43"/>
    <n v="4"/>
    <s v="NO TIENE L3OUT"/>
    <n v="70"/>
    <n v="54"/>
  </r>
  <r>
    <n v="819"/>
    <x v="2"/>
    <x v="75"/>
    <s v="eth1/43"/>
    <x v="0"/>
    <x v="0"/>
    <x v="0"/>
    <s v="LINK_TO_ITHHWCRMPEN01 /X3-10GE 2 /Redundante"/>
    <x v="0"/>
    <b v="0"/>
    <s v="No está en VPC"/>
    <n v="819"/>
    <s v="INTPG_VPC_819_1.40_43_824_1.40_43"/>
    <s v="ISEL-1.43"/>
    <n v="4"/>
    <s v="NO TIENE L3OUT"/>
    <n v="70"/>
    <n v="54"/>
  </r>
  <r>
    <n v="737"/>
    <x v="2"/>
    <x v="76"/>
    <s v="eth1/43"/>
    <x v="0"/>
    <x v="1"/>
    <x v="1"/>
    <m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43"/>
    <x v="0"/>
    <x v="0"/>
    <x v="0"/>
    <s v="LINK_TO_ITHFHWCRMPLCN115 / Slot1.1_34 / Principal"/>
    <x v="0"/>
    <b v="0"/>
    <s v="No está en VPC"/>
    <n v="844"/>
    <s v="INTPG_ACC_844_1.43"/>
    <s v="ISEL-1.43"/>
    <n v="6"/>
    <s v="NO TIENE L3OUT"/>
    <n v="282"/>
    <n v="54"/>
  </r>
  <r>
    <n v="843"/>
    <x v="2"/>
    <x v="78"/>
    <s v="eth1/43"/>
    <x v="0"/>
    <x v="0"/>
    <x v="0"/>
    <s v="A_ITHFHWSEQLHDPS85_Principal"/>
    <x v="0"/>
    <b v="0"/>
    <s v="No está en VPC"/>
    <n v="843"/>
    <s v="INTPG_ACC_843_1.43"/>
    <s v="ISEL-1.43"/>
    <n v="1"/>
    <s v="NO TIENE L3OUT"/>
    <n v="38"/>
    <n v="54"/>
  </r>
  <r>
    <n v="797"/>
    <x v="2"/>
    <x v="79"/>
    <s v="eth1/43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43"/>
    <x v="0"/>
    <x v="0"/>
    <x v="0"/>
    <s v="LINK_TO_ITHFHWCBSPSUSBD34 / Slot7.1_6 / Redundante"/>
    <x v="0"/>
    <b v="0"/>
    <s v="No está en VPC"/>
    <n v="839"/>
    <s v="INTPG_VPC_834_1.43_839_1.43"/>
    <s v="ISEL-1.43"/>
    <n v="2"/>
    <s v="NO TIENE L3OUT"/>
    <n v="0"/>
    <n v="54"/>
  </r>
  <r>
    <n v="847"/>
    <x v="2"/>
    <x v="81"/>
    <s v="eth1/43"/>
    <x v="0"/>
    <x v="0"/>
    <x v="0"/>
    <s v="LINK_TO_ITHFHWCRMPSBDP11 / Slot7.3_6 / Redundante"/>
    <x v="0"/>
    <b v="0"/>
    <s v="No está en VPC"/>
    <n v="847"/>
    <s v="INTPG_VPC_854_1.43_847_1.43"/>
    <s v="ISEL-1.43"/>
    <n v="1"/>
    <s v="NO TIENE L3OUT"/>
    <n v="204"/>
    <n v="54"/>
  </r>
  <r>
    <n v="848"/>
    <x v="2"/>
    <x v="82"/>
    <s v="eth1/43"/>
    <x v="0"/>
    <x v="0"/>
    <x v="0"/>
    <s v="LINK_TO_ITHFHWCRMPLCN168 / Slot7.3_38 / Redundante"/>
    <x v="0"/>
    <b v="0"/>
    <s v="No está en VPC"/>
    <n v="848"/>
    <s v="INTPG_ACC_848_1.43"/>
    <s v="ISEL-1.43"/>
    <n v="1"/>
    <s v="NO TIENE L3OUT"/>
    <n v="254"/>
    <n v="54"/>
  </r>
  <r>
    <n v="846"/>
    <x v="2"/>
    <x v="83"/>
    <s v="eth1/43"/>
    <x v="0"/>
    <x v="0"/>
    <x v="0"/>
    <s v="LINK_TO_ITHFHWCRMPLCN86 / Slot1.1_30 / Principal"/>
    <x v="0"/>
    <b v="0"/>
    <s v="No está en VPC"/>
    <n v="846"/>
    <s v="INTPG_ACC_846_1.43"/>
    <s v="ISEL-1.43"/>
    <n v="6"/>
    <s v="NO TIENE L3OUT"/>
    <n v="242"/>
    <n v="54"/>
  </r>
  <r>
    <n v="838"/>
    <x v="2"/>
    <x v="84"/>
    <s v="eth1/43"/>
    <x v="0"/>
    <x v="0"/>
    <x v="0"/>
    <s v="A_ITHFHWSEQLHDPS85_Redundante"/>
    <x v="0"/>
    <b v="0"/>
    <s v="No está en VPC"/>
    <n v="838"/>
    <s v="INTPG_ACC_838_1.43"/>
    <s v="ISEL-1.43"/>
    <n v="1"/>
    <s v="NO TIENE L3OUT"/>
    <n v="38"/>
    <n v="54"/>
  </r>
  <r>
    <n v="849"/>
    <x v="2"/>
    <x v="85"/>
    <s v="eth1/43"/>
    <x v="0"/>
    <x v="0"/>
    <x v="0"/>
    <s v="LINK_TO_ITHFHWCRMPLCN148 / Slot7.3_30 / Redundante"/>
    <x v="0"/>
    <b v="0"/>
    <s v="No está en VPC"/>
    <n v="849"/>
    <s v="INTPG_ACC_849_1.43"/>
    <s v="ISEL-1.43"/>
    <n v="1"/>
    <s v="NO TIENE L3OUT"/>
    <n v="286"/>
    <n v="54"/>
  </r>
  <r>
    <n v="845"/>
    <x v="2"/>
    <x v="86"/>
    <s v="eth1/43"/>
    <x v="0"/>
    <x v="0"/>
    <x v="0"/>
    <s v="LINK_TO_ITHFHWCRMPLCN98 / Slot1.2_28 / Principal"/>
    <x v="0"/>
    <b v="0"/>
    <s v="No está en VPC"/>
    <n v="845"/>
    <s v="INTPG_ACC_845_1.43"/>
    <s v="ISEL-1.43"/>
    <n v="2"/>
    <s v="NO TIENE L3OUT"/>
    <n v="258"/>
    <n v="54"/>
  </r>
  <r>
    <n v="873"/>
    <x v="2"/>
    <x v="87"/>
    <s v="eth1/43"/>
    <x v="0"/>
    <x v="0"/>
    <x v="0"/>
    <s v="To_ITHFHWCRMDLCN38_Redundante"/>
    <x v="0"/>
    <b v="0"/>
    <s v="No está en VPC"/>
    <n v="873"/>
    <s v="INTPG_ACC_873_1.43"/>
    <s v="ISEL-1.43"/>
    <n v="6"/>
    <s v="NO TIENE L3OUT"/>
    <n v="248"/>
    <n v="54"/>
  </r>
  <r>
    <n v="864"/>
    <x v="2"/>
    <x v="88"/>
    <s v="eth1/43"/>
    <x v="0"/>
    <x v="0"/>
    <x v="0"/>
    <s v="To_VPC_2DCBSD_WR50_1"/>
    <x v="0"/>
    <b v="0"/>
    <s v="No está en VPC"/>
    <n v="864"/>
    <s v="INTPG_VPC_859_1.43_864_1.43"/>
    <s v="ISEL-1.43"/>
    <n v="2"/>
    <s v="NO TIENE L3OUT"/>
    <n v="0"/>
    <n v="54"/>
  </r>
  <r>
    <n v="836"/>
    <x v="2"/>
    <x v="89"/>
    <s v="eth1/43"/>
    <x v="0"/>
    <x v="0"/>
    <x v="0"/>
    <s v="LINK_TO_ITHFHWCBSPSHD28 / Slot1.3_20 / Principal"/>
    <x v="0"/>
    <b v="0"/>
    <s v="No está en VPC"/>
    <n v="836"/>
    <s v="INTPG_VPC_836_1.43_841_1.43"/>
    <s v="ISEL-1.43"/>
    <n v="1"/>
    <s v="NO TIENE L3OUT"/>
    <n v="0"/>
    <n v="54"/>
  </r>
  <r>
    <n v="834"/>
    <x v="2"/>
    <x v="90"/>
    <s v="eth1/43"/>
    <x v="0"/>
    <x v="0"/>
    <x v="0"/>
    <s v="LINK_TO_ITHFHWCBSPSUSBD34 / Slot1.1_6 / Principal"/>
    <x v="0"/>
    <b v="0"/>
    <s v="No está en VPC"/>
    <n v="834"/>
    <s v="INTPG_VPC_834_1.43_839_1.43"/>
    <s v="ISEL-1.43"/>
    <n v="2"/>
    <s v="NO TIENE L3OUT"/>
    <n v="0"/>
    <n v="54"/>
  </r>
  <r>
    <n v="872"/>
    <x v="2"/>
    <x v="91"/>
    <s v="eth1/43"/>
    <x v="0"/>
    <x v="0"/>
    <x v="0"/>
    <s v="TO_ITHFHWCRMDLCN51_Principal"/>
    <x v="0"/>
    <b v="0"/>
    <s v="No está en VPC"/>
    <n v="872"/>
    <s v="INTPG_ACC_872_1.43"/>
    <s v="ISEL-1.43"/>
    <n v="2"/>
    <s v="NO TIENE L3OUT"/>
    <n v="288"/>
    <n v="54"/>
  </r>
  <r>
    <n v="842"/>
    <x v="2"/>
    <x v="92"/>
    <s v="eth1/43"/>
    <x v="0"/>
    <x v="0"/>
    <x v="0"/>
    <s v="LINK_To_ITHFHWCBSPSHD22 / Slot7.2_20 / Redundante"/>
    <x v="0"/>
    <b v="0"/>
    <s v="No está en VPC"/>
    <n v="842"/>
    <s v="INTPG_VPC_837_1.43_842_1.43"/>
    <s v="ISEL-1.43"/>
    <n v="1"/>
    <s v="NO TIENE L3OUT"/>
    <n v="8"/>
    <n v="54"/>
  </r>
  <r>
    <n v="828"/>
    <x v="2"/>
    <x v="93"/>
    <s v="eth1/43"/>
    <x v="0"/>
    <x v="0"/>
    <x v="0"/>
    <s v="To_ITHFHWCRMDLCN41_Principal"/>
    <x v="0"/>
    <b v="0"/>
    <s v="No está en VPC"/>
    <n v="828"/>
    <s v="INTPG_ACC_828_1.43"/>
    <s v="ISEL-1.43"/>
    <n v="2"/>
    <s v="NO TIENE L3OUT"/>
    <n v="192"/>
    <n v="54"/>
  </r>
  <r>
    <n v="870"/>
    <x v="2"/>
    <x v="94"/>
    <s v="eth1/43"/>
    <x v="0"/>
    <x v="0"/>
    <x v="0"/>
    <s v="To_ITHFHWCRMDLCN38_Principal"/>
    <x v="0"/>
    <b v="0"/>
    <s v="No está en VPC"/>
    <n v="870"/>
    <s v="INTPG_ACC_870_1.43"/>
    <s v="ISEL-1.43"/>
    <n v="6"/>
    <s v="NO TIENE L3OUT"/>
    <n v="248"/>
    <n v="54"/>
  </r>
  <r>
    <n v="866"/>
    <x v="2"/>
    <x v="95"/>
    <s v="eth1/43"/>
    <x v="0"/>
    <x v="0"/>
    <x v="0"/>
    <s v="To_VPC_2DCBSD_WR35_3"/>
    <x v="0"/>
    <b v="0"/>
    <s v="No está en VPC"/>
    <n v="866"/>
    <s v="INTPG_VPC_861_1.43_866_1.43"/>
    <s v="ISEL-1.43"/>
    <n v="1"/>
    <s v="NO TIENE L3OUT"/>
    <n v="8"/>
    <n v="54"/>
  </r>
  <r>
    <n v="862"/>
    <x v="2"/>
    <x v="96"/>
    <s v="eth1/43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43"/>
    <x v="0"/>
    <x v="0"/>
    <x v="0"/>
    <s v="LINK_TO_ITHFHWCRMPLCN168 / Slot1.3_38 / Principal"/>
    <x v="0"/>
    <b v="0"/>
    <s v="No está en VPC"/>
    <n v="855"/>
    <s v="INTPG_ACC_855_1.43"/>
    <s v="ISEL-1.43"/>
    <n v="1"/>
    <s v="NO TIENE L3OUT"/>
    <n v="254"/>
    <n v="54"/>
  </r>
  <r>
    <n v="871"/>
    <x v="2"/>
    <x v="98"/>
    <s v="eth1/43"/>
    <x v="0"/>
    <x v="0"/>
    <x v="0"/>
    <s v="To_ITHFHWCRMDLCN68_Principal"/>
    <x v="0"/>
    <b v="0"/>
    <s v="No está en VPC"/>
    <n v="871"/>
    <s v="INTPG_ACC_871_1.43"/>
    <s v="ISEL-1.43"/>
    <n v="6"/>
    <s v="NO TIENE L3OUT"/>
    <n v="246"/>
    <n v="54"/>
  </r>
  <r>
    <n v="841"/>
    <x v="2"/>
    <x v="99"/>
    <s v="eth1/43"/>
    <x v="0"/>
    <x v="0"/>
    <x v="0"/>
    <s v="LINK_TO_ITHFHWCBSPSHD28 / Slot7.3_20 / Redundante"/>
    <x v="0"/>
    <b v="0"/>
    <s v="No está en VPC"/>
    <n v="841"/>
    <s v="INTPG_VPC_836_1.43_841_1.43"/>
    <s v="ISEL-1.43"/>
    <n v="1"/>
    <s v="NO TIENE L3OUT"/>
    <n v="0"/>
    <n v="54"/>
  </r>
  <r>
    <n v="868"/>
    <x v="2"/>
    <x v="100"/>
    <s v="eth1/43"/>
    <x v="0"/>
    <x v="0"/>
    <x v="0"/>
    <s v="To_ITHFHWCRMDLCN68_Redundante"/>
    <x v="0"/>
    <b v="0"/>
    <s v="No está en VPC"/>
    <n v="868"/>
    <s v="INTPG_ACC_868_1.43"/>
    <s v="ISEL-1.43"/>
    <n v="6"/>
    <s v="NO TIENE L3OUT"/>
    <n v="246"/>
    <n v="54"/>
  </r>
  <r>
    <n v="869"/>
    <x v="2"/>
    <x v="101"/>
    <s v="eth1/43"/>
    <x v="0"/>
    <x v="0"/>
    <x v="0"/>
    <s v="TO_ITHFHWCRMDLCN51_Redundante"/>
    <x v="0"/>
    <b v="0"/>
    <s v="No está en VPC"/>
    <n v="869"/>
    <s v="INTPG_ACC_869_1.43"/>
    <s v="ISEL-1.43"/>
    <n v="2"/>
    <s v="NO TIENE L3OUT"/>
    <n v="288"/>
    <n v="54"/>
  </r>
  <r>
    <n v="861"/>
    <x v="2"/>
    <x v="102"/>
    <s v="eth1/43"/>
    <x v="0"/>
    <x v="0"/>
    <x v="0"/>
    <s v="To_VPC_2DCBSD_WR35_3"/>
    <x v="0"/>
    <b v="0"/>
    <s v="No está en VPC"/>
    <n v="861"/>
    <s v="INTPG_VPC_861_1.43_866_1.43"/>
    <s v="ISEL-1.43"/>
    <n v="1"/>
    <s v="NO TIENE L3OUT"/>
    <n v="8"/>
    <n v="54"/>
  </r>
  <r>
    <n v="874"/>
    <x v="2"/>
    <x v="103"/>
    <s v="eth1/43"/>
    <x v="0"/>
    <x v="0"/>
    <x v="0"/>
    <s v="A_ITHFHWSEQLDPS03_Redundante"/>
    <x v="4"/>
    <b v="0"/>
    <s v="No está en VPC"/>
    <n v="874"/>
    <s v="INTPG_ACC_874_1.43"/>
    <s v="ISEL-1.43"/>
    <n v="1"/>
    <s v="NO TIENE L3OUT"/>
    <n v="92"/>
    <n v="54"/>
  </r>
  <r>
    <n v="865"/>
    <x v="2"/>
    <x v="104"/>
    <s v="eth1/43"/>
    <x v="0"/>
    <x v="0"/>
    <x v="0"/>
    <s v="To_VPC_2DCBSD_WR40_1"/>
    <x v="0"/>
    <b v="0"/>
    <s v="No está en VPC"/>
    <n v="865"/>
    <s v="INTPG_VPC_860_1.43_865_1.43"/>
    <s v="ISEL-1.43"/>
    <n v="2"/>
    <s v="NO TIENE L3OUT"/>
    <n v="0"/>
    <n v="54"/>
  </r>
  <r>
    <n v="753"/>
    <x v="2"/>
    <x v="105"/>
    <s v="eth1/43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43"/>
    <x v="0"/>
    <x v="1"/>
    <x v="3"/>
    <m/>
    <x v="0"/>
    <b v="0"/>
    <s v="No está en VPC"/>
    <n v="708"/>
    <s v="NO EXISTE PG"/>
    <s v="NO EXISTE ISEL"/>
    <n v="0"/>
    <s v="NO TIENE L3OUT"/>
    <n v="0"/>
    <n v="54"/>
  </r>
  <r>
    <n v="710"/>
    <x v="2"/>
    <x v="107"/>
    <s v="eth1/43"/>
    <x v="1"/>
    <x v="1"/>
    <x v="3"/>
    <m/>
    <x v="0"/>
    <b v="0"/>
    <s v="No está en VPC"/>
    <n v="710"/>
    <s v="NO EXISTE PG"/>
    <s v="NO EXISTE ISEL"/>
    <n v="0"/>
    <s v="NO TIENE L3OUT"/>
    <n v="16"/>
    <n v="54"/>
  </r>
  <r>
    <n v="713"/>
    <x v="2"/>
    <x v="108"/>
    <s v="eth1/43"/>
    <x v="1"/>
    <x v="1"/>
    <x v="3"/>
    <m/>
    <x v="0"/>
    <b v="0"/>
    <s v="No está en VPC"/>
    <n v="713"/>
    <s v="NO EXISTE PG"/>
    <s v="NO EXISTE ISEL"/>
    <n v="0"/>
    <s v="NO TIENE L3OUT"/>
    <n v="32"/>
    <n v="54"/>
  </r>
  <r>
    <n v="735"/>
    <x v="2"/>
    <x v="109"/>
    <s v="eth1/43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43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43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43"/>
    <x v="1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43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43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43"/>
    <x v="0"/>
    <x v="0"/>
    <x v="0"/>
    <s v="LINK_TO_ITHFHWCBSDSWR21 /Slot5.2 /Principal"/>
    <x v="0"/>
    <b v="0"/>
    <s v="No está en VPC"/>
    <n v="826"/>
    <s v="INTPG_VPC_826_1.43_830_1.43"/>
    <s v="ISEL-1.43"/>
    <n v="2"/>
    <s v="NO TIENE L3OUT"/>
    <n v="12"/>
    <n v="54"/>
  </r>
  <r>
    <n v="726"/>
    <x v="2"/>
    <x v="117"/>
    <s v="eth1/43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43"/>
    <x v="0"/>
    <x v="1"/>
    <x v="1"/>
    <m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43"/>
    <x v="1"/>
    <x v="1"/>
    <x v="3"/>
    <m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43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43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43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43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43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43"/>
    <x v="0"/>
    <x v="1"/>
    <x v="3"/>
    <m/>
    <x v="0"/>
    <b v="0"/>
    <s v="No está en VPC"/>
    <n v="709"/>
    <s v="NO EXISTE PG"/>
    <s v="NO EXISTE ISEL"/>
    <n v="0"/>
    <s v="NO TIENE L3OUT"/>
    <n v="0"/>
    <n v="54"/>
  </r>
  <r>
    <n v="454"/>
    <x v="1"/>
    <x v="126"/>
    <s v="eth1/43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43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43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43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43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43"/>
    <x v="0"/>
    <x v="1"/>
    <x v="1"/>
    <m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43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43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43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43"/>
    <x v="0"/>
    <x v="1"/>
    <x v="3"/>
    <m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43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43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43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43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43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43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43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43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43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43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43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43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43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43"/>
    <x v="1"/>
    <x v="1"/>
    <x v="3"/>
    <m/>
    <x v="0"/>
    <b v="0"/>
    <s v="No está en VPC"/>
    <n v="781"/>
    <s v="NO EXISTE PG"/>
    <s v="NO EXISTE ISEL"/>
    <n v="0"/>
    <s v="NO TIENE L3OUT"/>
    <n v="26"/>
    <n v="54"/>
  </r>
  <r>
    <n v="793"/>
    <x v="2"/>
    <x v="151"/>
    <s v="eth1/43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43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43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43"/>
    <x v="1"/>
    <x v="1"/>
    <x v="3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43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43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43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43"/>
    <x v="0"/>
    <x v="1"/>
    <x v="1"/>
    <m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43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43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43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43"/>
    <x v="0"/>
    <x v="0"/>
    <x v="0"/>
    <s v="LINK_TO_ITHFHWCBSDSWR21 /Slot7.2 /Redundante"/>
    <x v="0"/>
    <b v="0"/>
    <s v="No está en VPC"/>
    <n v="830"/>
    <s v="INTPG_VPC_826_1.43_830_1.43"/>
    <s v="ISEL-1.43"/>
    <n v="2"/>
    <s v="NO TIENE L3OUT"/>
    <n v="12"/>
    <n v="54"/>
  </r>
  <r>
    <n v="821"/>
    <x v="2"/>
    <x v="163"/>
    <s v="eth1/43"/>
    <x v="0"/>
    <x v="0"/>
    <x v="0"/>
    <s v="LINK_TO_ITHFHWCBSPSWR21 /Slot7.2 /Redundante"/>
    <x v="0"/>
    <b v="0"/>
    <s v="No está en VPC"/>
    <n v="821"/>
    <s v="INTPG_VPC_816_1.43_821_1.43"/>
    <s v="ISEL-1.43"/>
    <n v="2"/>
    <s v="NO TIENE L3OUT"/>
    <n v="0"/>
    <n v="54"/>
  </r>
  <r>
    <n v="738"/>
    <x v="2"/>
    <x v="164"/>
    <s v="eth1/43"/>
    <x v="0"/>
    <x v="1"/>
    <x v="1"/>
    <m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43"/>
    <x v="0"/>
    <x v="1"/>
    <x v="3"/>
    <m/>
    <x v="0"/>
    <b v="0"/>
    <s v="No está en VPC"/>
    <n v="820"/>
    <s v="NO EXISTE PG"/>
    <s v="NO EXISTE ISEL"/>
    <n v="0"/>
    <s v="NO TIENE L3OUT"/>
    <n v="72"/>
    <n v="54"/>
  </r>
  <r>
    <n v="804"/>
    <x v="2"/>
    <x v="166"/>
    <s v="eth1/43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43"/>
    <x v="1"/>
    <x v="1"/>
    <x v="3"/>
    <m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43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43"/>
    <x v="0"/>
    <x v="0"/>
    <x v="0"/>
    <s v="LINK_TO_ITHFHWCBSDSWR30 /Slot4.2 /Principal"/>
    <x v="0"/>
    <b v="0"/>
    <s v="No está en VPC"/>
    <n v="827"/>
    <s v="INTPG_VPC_827_1.43_831_1.43"/>
    <s v="ISEL-1.43"/>
    <n v="1"/>
    <s v="NO TIENE L3OUT"/>
    <n v="14"/>
    <n v="54"/>
  </r>
  <r>
    <n v="809"/>
    <x v="2"/>
    <x v="170"/>
    <s v="eth1/43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43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43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43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43"/>
    <x v="1"/>
    <x v="1"/>
    <x v="3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43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43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43"/>
    <x v="0"/>
    <x v="0"/>
    <x v="0"/>
    <s v="LINK_TO_ITHFHWCRMPLCN115 / Slot7.1_34 / Redundante"/>
    <x v="0"/>
    <b v="0"/>
    <s v="No está en VPC"/>
    <n v="851"/>
    <s v="INTPG_ACC_851_1.43"/>
    <s v="ISEL-1.43"/>
    <n v="6"/>
    <s v="NO TIENE L3OUT"/>
    <n v="282"/>
    <n v="54"/>
  </r>
  <r>
    <n v="798"/>
    <x v="2"/>
    <x v="178"/>
    <s v="eth1/43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43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43"/>
    <x v="0"/>
    <x v="0"/>
    <x v="0"/>
    <s v="LINK_TO_ITHFHWCRMPLCN98 / Slot7.2_28 / Redundante"/>
    <x v="0"/>
    <b v="0"/>
    <s v="No está en VPC"/>
    <n v="852"/>
    <s v="INTPG_ACC_852_1.43"/>
    <s v="ISEL-1.43"/>
    <n v="2"/>
    <s v="NO TIENE L3OUT"/>
    <n v="258"/>
    <n v="54"/>
  </r>
  <r>
    <n v="817"/>
    <x v="2"/>
    <x v="181"/>
    <s v="eth1/43"/>
    <x v="0"/>
    <x v="0"/>
    <x v="0"/>
    <s v="LINK_TO_ITHFHWCBSPSWR28 /Slot5.2 /Principal"/>
    <x v="0"/>
    <b v="0"/>
    <s v="No está en VPC"/>
    <n v="817"/>
    <s v="INTPG_VPC_817_1.43_822_1.43"/>
    <s v="ISEL-1.43"/>
    <n v="2"/>
    <s v="NO TIENE L3OUT"/>
    <n v="0"/>
    <n v="54"/>
  </r>
  <r>
    <n v="832"/>
    <x v="2"/>
    <x v="182"/>
    <s v="eth1/43"/>
    <x v="0"/>
    <x v="0"/>
    <x v="0"/>
    <s v="To_ITHFHWCRMDLCN41_Redundante"/>
    <x v="0"/>
    <b v="0"/>
    <s v="No está en VPC"/>
    <n v="832"/>
    <s v="INTPG_ACC_832_1.43"/>
    <s v="ISEL-1.43"/>
    <n v="2"/>
    <s v="NO TIENE L3OUT"/>
    <n v="192"/>
    <n v="54"/>
  </r>
  <r>
    <n v="816"/>
    <x v="2"/>
    <x v="183"/>
    <s v="eth1/43"/>
    <x v="0"/>
    <x v="0"/>
    <x v="0"/>
    <s v="LINK_TO_ITHFHWCBSPSWR21 /Slot5.2 /Principal"/>
    <x v="0"/>
    <b v="0"/>
    <s v="No está en VPC"/>
    <n v="816"/>
    <s v="INTPG_VPC_816_1.43_821_1.43"/>
    <s v="ISEL-1.43"/>
    <n v="2"/>
    <s v="NO TIENE L3OUT"/>
    <n v="0"/>
    <n v="54"/>
  </r>
  <r>
    <n v="825"/>
    <x v="2"/>
    <x v="184"/>
    <s v="eth1/43"/>
    <x v="0"/>
    <x v="1"/>
    <x v="3"/>
    <m/>
    <x v="0"/>
    <b v="0"/>
    <s v="No está en VPC"/>
    <n v="825"/>
    <s v="NO EXISTE PG"/>
    <s v="NO EXISTE ISEL"/>
    <n v="0"/>
    <s v="NO TIENE L3OUT"/>
    <n v="72"/>
    <n v="54"/>
  </r>
  <r>
    <n v="800"/>
    <x v="2"/>
    <x v="185"/>
    <s v="eth1/43"/>
    <x v="0"/>
    <x v="0"/>
    <x v="0"/>
    <s v="TO-ITHFDEOCP1LWR13-REDUNDANTE"/>
    <x v="0"/>
    <b v="0"/>
    <s v="No está en VPC"/>
    <n v="800"/>
    <s v="INTPG_ACC_800_1.43"/>
    <s v="ISEL-1.43"/>
    <n v="1"/>
    <s v="NO TIENE L3OUT"/>
    <n v="78"/>
    <n v="54"/>
  </r>
  <r>
    <n v="801"/>
    <x v="2"/>
    <x v="186"/>
    <s v="eth1/43"/>
    <x v="0"/>
    <x v="0"/>
    <x v="0"/>
    <s v="TO-ITHFDEOCP1LWR13-PRINCIPAL"/>
    <x v="0"/>
    <b v="0"/>
    <s v="No está en VPC"/>
    <n v="801"/>
    <s v="INTPG_ACC_801_1.43"/>
    <s v="ISEL-1.43"/>
    <n v="1"/>
    <s v="NO TIENE L3OUT"/>
    <n v="78"/>
    <n v="54"/>
  </r>
  <r>
    <n v="823"/>
    <x v="2"/>
    <x v="187"/>
    <s v="eth1/43"/>
    <x v="0"/>
    <x v="0"/>
    <x v="0"/>
    <s v="LINK_TO_ITHFHWCBSPSWR38 /Slot6.2 /Redundante"/>
    <x v="0"/>
    <b v="0"/>
    <s v="No está en VPC"/>
    <n v="823"/>
    <s v="INTPG_VPC_818_1.43_823_1.43"/>
    <s v="ISEL-1.43"/>
    <n v="1"/>
    <s v="NO TIENE L3OUT"/>
    <n v="8"/>
    <n v="54"/>
  </r>
  <r>
    <n v="837"/>
    <x v="2"/>
    <x v="188"/>
    <s v="eth1/43"/>
    <x v="0"/>
    <x v="0"/>
    <x v="0"/>
    <s v="LINK_To_ITHFHWCBSPSHD22 / Slot1.2_20 / Principal"/>
    <x v="0"/>
    <b v="0"/>
    <s v="No está en VPC"/>
    <n v="837"/>
    <s v="INTPG_VPC_837_1.43_842_1.43"/>
    <s v="ISEL-1.43"/>
    <n v="1"/>
    <s v="NO TIENE L3OUT"/>
    <n v="8"/>
    <n v="54"/>
  </r>
  <r>
    <n v="867"/>
    <x v="2"/>
    <x v="189"/>
    <s v="eth1/43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43"/>
    <x v="0"/>
    <x v="0"/>
    <x v="0"/>
    <s v="To_VPC_2DCRMD_SBD05_2_Principal"/>
    <x v="0"/>
    <b v="0"/>
    <s v="No está en VPC"/>
    <n v="829"/>
    <s v="INTPG_VPC_829_1.43_833_1.43"/>
    <s v="ISEL-1.43"/>
    <n v="2"/>
    <s v="NO TIENE L3OUT"/>
    <n v="224"/>
    <n v="54"/>
  </r>
  <r>
    <n v="831"/>
    <x v="2"/>
    <x v="191"/>
    <s v="eth1/43"/>
    <x v="0"/>
    <x v="0"/>
    <x v="0"/>
    <s v="LINK_TO_ITHFHWCBSDSWR30 /Slot6.2 /Redundante"/>
    <x v="0"/>
    <b v="0"/>
    <s v="No está en VPC"/>
    <n v="831"/>
    <s v="INTPG_VPC_827_1.43_831_1.43"/>
    <s v="ISEL-1.43"/>
    <n v="1"/>
    <s v="NO TIENE L3OUT"/>
    <n v="14"/>
    <n v="54"/>
  </r>
  <r>
    <n v="802"/>
    <x v="2"/>
    <x v="192"/>
    <s v="eth1/43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43"/>
    <x v="0"/>
    <x v="0"/>
    <x v="0"/>
    <s v="LINK_TO_ITHFHWCBSPSHD36 / Slot1.3_24 / Principal"/>
    <x v="0"/>
    <b v="0"/>
    <s v="No está en VPC"/>
    <n v="835"/>
    <s v="INTPG_VPC_835_1.43_840_1.43"/>
    <s v="ISEL-1.43"/>
    <n v="1"/>
    <s v="NO TIENE L3OUT"/>
    <n v="8"/>
    <n v="54"/>
  </r>
  <r>
    <n v="822"/>
    <x v="2"/>
    <x v="194"/>
    <s v="eth1/43"/>
    <x v="0"/>
    <x v="0"/>
    <x v="0"/>
    <s v="LINK_TO_ITHFHWCBSPSWR28 /Slot7.2 /Redundante"/>
    <x v="0"/>
    <b v="0"/>
    <s v="No está en VPC"/>
    <n v="822"/>
    <s v="INTPG_VPC_817_1.43_822_1.43"/>
    <s v="ISEL-1.43"/>
    <n v="2"/>
    <s v="NO TIENE L3OUT"/>
    <n v="0"/>
    <n v="54"/>
  </r>
  <r>
    <n v="854"/>
    <x v="2"/>
    <x v="195"/>
    <s v="eth1/43"/>
    <x v="0"/>
    <x v="0"/>
    <x v="0"/>
    <s v="LINK_TO_ITHFHWCRMPSBDP11 / Slot1.3_6 / Principal"/>
    <x v="0"/>
    <b v="0"/>
    <s v="No está en VPC"/>
    <n v="854"/>
    <s v="INTPG_VPC_854_1.43_847_1.43"/>
    <s v="ISEL-1.43"/>
    <n v="1"/>
    <s v="NO TIENE L3OUT"/>
    <n v="204"/>
    <n v="54"/>
  </r>
  <r>
    <n v="858"/>
    <x v="2"/>
    <x v="196"/>
    <s v="eth1/43"/>
    <x v="0"/>
    <x v="0"/>
    <x v="0"/>
    <s v="To_ITHHWD6KV65100015DKC01_Principal"/>
    <x v="0"/>
    <b v="0"/>
    <s v="No está en VPC"/>
    <n v="858"/>
    <s v="INTPG_ACC_858_1.43"/>
    <s v="ISEL-1.43"/>
    <n v="1"/>
    <s v="NO TIENE L3OUT"/>
    <n v="8"/>
    <n v="54"/>
  </r>
  <r>
    <n v="857"/>
    <x v="2"/>
    <x v="197"/>
    <s v="eth1/43"/>
    <x v="0"/>
    <x v="0"/>
    <x v="0"/>
    <s v="LINKT_TO_ITHFHWCRMPLCN129 / Slot1.3_28 / Principal"/>
    <x v="0"/>
    <b v="0"/>
    <s v="No está en VPC"/>
    <n v="857"/>
    <s v="INTPG_ACC_857_1.43"/>
    <s v="ISEL-1.43"/>
    <n v="1"/>
    <s v="NO TIENE L3OUT"/>
    <n v="288"/>
    <n v="54"/>
  </r>
  <r>
    <n v="859"/>
    <x v="2"/>
    <x v="198"/>
    <s v="eth1/43"/>
    <x v="0"/>
    <x v="0"/>
    <x v="0"/>
    <s v="To_VPC_2DCBSD_WR50_1"/>
    <x v="0"/>
    <b v="0"/>
    <s v="No está en VPC"/>
    <n v="859"/>
    <s v="INTPG_VPC_859_1.43_864_1.43"/>
    <s v="ISEL-1.43"/>
    <n v="2"/>
    <s v="NO TIENE L3OUT"/>
    <n v="0"/>
    <n v="54"/>
  </r>
  <r>
    <n v="833"/>
    <x v="2"/>
    <x v="199"/>
    <s v="eth1/43"/>
    <x v="0"/>
    <x v="0"/>
    <x v="0"/>
    <s v="To_VPC_2DCRMD_SBD05_2_Redundancia"/>
    <x v="0"/>
    <b v="0"/>
    <s v="No está en VPC"/>
    <n v="833"/>
    <s v="INTPG_VPC_829_1.43_833_1.43"/>
    <s v="ISEL-1.43"/>
    <n v="2"/>
    <s v="NO TIENE L3OUT"/>
    <n v="224"/>
    <n v="54"/>
  </r>
  <r>
    <n v="818"/>
    <x v="2"/>
    <x v="200"/>
    <s v="eth1/43"/>
    <x v="0"/>
    <x v="0"/>
    <x v="0"/>
    <s v="LINK_TO_ITHFHWCBSPSWR38 /Slot4.2 /Principal"/>
    <x v="0"/>
    <b v="0"/>
    <s v="No está en VPC"/>
    <n v="818"/>
    <s v="INTPG_VPC_818_1.43_823_1.43"/>
    <s v="ISEL-1.43"/>
    <n v="1"/>
    <s v="NO TIENE L3OUT"/>
    <n v="8"/>
    <n v="54"/>
  </r>
  <r>
    <n v="850"/>
    <x v="2"/>
    <x v="201"/>
    <s v="eth1/43"/>
    <x v="0"/>
    <x v="0"/>
    <x v="0"/>
    <s v="LINKT_TO_ITHFHWCRMPLCN129 / Slot7.3_28 / Redundante"/>
    <x v="0"/>
    <b v="0"/>
    <s v="No está en VPC"/>
    <n v="850"/>
    <s v="INTPG_ACC_850_1.43"/>
    <s v="ISEL-1.43"/>
    <n v="1"/>
    <s v="NO TIENE L3OUT"/>
    <n v="288"/>
    <n v="54"/>
  </r>
  <r>
    <n v="860"/>
    <x v="2"/>
    <x v="202"/>
    <s v="eth1/43"/>
    <x v="0"/>
    <x v="0"/>
    <x v="0"/>
    <s v="To_VPC_2DCBSD_WR40_1"/>
    <x v="0"/>
    <b v="0"/>
    <s v="No está en VPC"/>
    <n v="860"/>
    <s v="INTPG_VPC_860_1.43_865_1.43"/>
    <s v="ISEL-1.43"/>
    <n v="2"/>
    <s v="NO TIENE L3OUT"/>
    <n v="0"/>
    <n v="54"/>
  </r>
  <r>
    <n v="853"/>
    <x v="2"/>
    <x v="203"/>
    <s v="eth1/43"/>
    <x v="0"/>
    <x v="0"/>
    <x v="0"/>
    <s v="LINK_TO_ITHFHWCRMPLCN86 / Slot7.1_30 / Redundante"/>
    <x v="0"/>
    <b v="0"/>
    <s v="No está en VPC"/>
    <n v="853"/>
    <s v="INTPG_ACC_853_1.43"/>
    <s v="ISEL-1.43"/>
    <n v="6"/>
    <s v="NO TIENE L3OUT"/>
    <n v="242"/>
    <n v="54"/>
  </r>
  <r>
    <n v="790"/>
    <x v="2"/>
    <x v="204"/>
    <s v="eth1/43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43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43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43"/>
    <x v="0"/>
    <x v="1"/>
    <x v="1"/>
    <m/>
    <x v="6"/>
    <b v="0"/>
    <s v="No está en VPC"/>
    <n v="104"/>
    <s v="NO EXISTE PG"/>
    <s v="NO EXISTE ISEL"/>
    <n v="0"/>
    <s v="NO TIENE L3OUT"/>
    <n v="194"/>
    <n v="96"/>
  </r>
  <r>
    <n v="158"/>
    <x v="0"/>
    <x v="208"/>
    <s v="eth1/43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43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43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43"/>
    <x v="0"/>
    <x v="0"/>
    <x v="0"/>
    <m/>
    <x v="6"/>
    <b v="0"/>
    <s v="No está en VPC"/>
    <n v="108"/>
    <s v="INTPG_ACC_108_1.43"/>
    <s v="ISEL-1.43"/>
    <n v="1"/>
    <s v="NO TIENE L3OUT"/>
    <n v="126"/>
    <n v="96"/>
  </r>
  <r>
    <n v="112"/>
    <x v="0"/>
    <x v="212"/>
    <s v="eth1/43"/>
    <x v="0"/>
    <x v="0"/>
    <x v="0"/>
    <s v="CONECTIVIDAD DE RED Y FIBRA MSP PROBES Y BIG DATA SALA 1 Y 2"/>
    <x v="6"/>
    <b v="0"/>
    <s v="No está en VPC"/>
    <n v="112"/>
    <s v="INTPG_ACC_112_1.43"/>
    <s v="ISEL-1.43"/>
    <n v="1"/>
    <s v="NO TIENE L3OUT"/>
    <n v="144"/>
    <n v="96"/>
  </r>
  <r>
    <n v="107"/>
    <x v="0"/>
    <x v="213"/>
    <s v="eth1/43"/>
    <x v="1"/>
    <x v="1"/>
    <x v="2"/>
    <m/>
    <x v="6"/>
    <b v="0"/>
    <s v="No está en VPC"/>
    <n v="107"/>
    <s v="INTPG_ACC_107_1.43"/>
    <s v="ISEL-1.43"/>
    <n v="1"/>
    <s v="NO TIENE L3OUT"/>
    <n v="118"/>
    <n v="96"/>
  </r>
  <r>
    <n v="109"/>
    <x v="0"/>
    <x v="214"/>
    <s v="eth1/43"/>
    <x v="0"/>
    <x v="0"/>
    <x v="0"/>
    <m/>
    <x v="6"/>
    <b v="0"/>
    <s v="No está en VPC"/>
    <n v="109"/>
    <s v="INTPG_ACC_109_1.43"/>
    <s v="ISEL-1.43"/>
    <n v="1"/>
    <s v="NO TIENE L3OUT"/>
    <n v="126"/>
    <n v="96"/>
  </r>
  <r>
    <n v="113"/>
    <x v="0"/>
    <x v="215"/>
    <s v="eth1/43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43"/>
    <x v="0"/>
    <x v="1"/>
    <x v="1"/>
    <s v="SAPCCRATING01"/>
    <x v="6"/>
    <b v="0"/>
    <s v="No está en VPC"/>
    <n v="114"/>
    <s v="INTPG_VPC_112_1.46_114_1.43"/>
    <s v="ISEL-1.43"/>
    <n v="1"/>
    <s v="NO TIENE L3OUT"/>
    <n v="144"/>
    <n v="96"/>
  </r>
  <r>
    <n v="124"/>
    <x v="0"/>
    <x v="217"/>
    <s v="eth1/43"/>
    <x v="0"/>
    <x v="0"/>
    <x v="0"/>
    <s v="MONITOREO DE SWITCHS EXTREME OSS EN SPECTRUM"/>
    <x v="6"/>
    <b v="0"/>
    <s v="No está en VPC"/>
    <n v="124"/>
    <s v="INTPG_ACC_124_1.43"/>
    <s v="ISEL-1.43"/>
    <n v="1"/>
    <s v="NO TIENE L3OUT"/>
    <n v="80"/>
    <n v="96"/>
  </r>
  <r>
    <n v="118"/>
    <x v="0"/>
    <x v="218"/>
    <s v="eth1/43"/>
    <x v="0"/>
    <x v="0"/>
    <x v="0"/>
    <s v="INGE6"/>
    <x v="6"/>
    <b v="0"/>
    <s v="No está en VPC"/>
    <n v="118"/>
    <s v="INTPG_ACC_118_1.43"/>
    <s v="ISEL-1.43"/>
    <n v="1"/>
    <s v="NO TIENE L3OUT"/>
    <n v="180"/>
    <n v="96"/>
  </r>
  <r>
    <n v="159"/>
    <x v="0"/>
    <x v="219"/>
    <s v="eth1/43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43"/>
    <x v="0"/>
    <x v="0"/>
    <x v="0"/>
    <s v="LINK_TO_ITHFHWCBSPSHD36 / Slot7.3_24 / Redundante"/>
    <x v="0"/>
    <b v="0"/>
    <s v="No está en VPC"/>
    <n v="840"/>
    <s v="INTPG_VPC_835_1.43_840_1.43"/>
    <s v="ISEL-1.43"/>
    <n v="1"/>
    <s v="NO TIENE L3OUT"/>
    <n v="8"/>
    <n v="54"/>
  </r>
  <r>
    <n v="856"/>
    <x v="2"/>
    <x v="221"/>
    <s v="eth1/43"/>
    <x v="0"/>
    <x v="0"/>
    <x v="0"/>
    <s v="LINK_TO_ITHFHWCRMPLCN148 / Slot1.3_30 / Principal"/>
    <x v="0"/>
    <b v="0"/>
    <s v="No está en VPC"/>
    <n v="856"/>
    <s v="INTPG_ACC_856_1.43"/>
    <s v="ISEL-1.43"/>
    <n v="1"/>
    <s v="NO TIENE L3OUT"/>
    <n v="286"/>
    <n v="54"/>
  </r>
  <r>
    <n v="110"/>
    <x v="0"/>
    <x v="222"/>
    <s v="eth1/43"/>
    <x v="0"/>
    <x v="1"/>
    <x v="1"/>
    <s v="SUN6900_E25K"/>
    <x v="6"/>
    <b v="0"/>
    <s v="No está en VPC"/>
    <n v="110"/>
    <s v="INTPG_ACC_110_1.43"/>
    <s v="ISEL-1.43"/>
    <n v="1"/>
    <s v="NO TIENE L3OUT"/>
    <n v="102"/>
    <n v="96"/>
  </r>
  <r>
    <n v="163"/>
    <x v="0"/>
    <x v="223"/>
    <s v="eth1/43"/>
    <x v="1"/>
    <x v="1"/>
    <x v="2"/>
    <s v="sfmedt04_CLIENT1"/>
    <x v="6"/>
    <b v="0"/>
    <s v="No está en VPC"/>
    <n v="163"/>
    <s v="INTPG_VPC_161_1.38_163_1.43"/>
    <s v="ISEL-1.43"/>
    <n v="1"/>
    <s v="NO TIENE L3OUT"/>
    <n v="140"/>
    <n v="96"/>
  </r>
  <r>
    <n v="407"/>
    <x v="1"/>
    <x v="224"/>
    <s v="eth1/43"/>
    <x v="0"/>
    <x v="0"/>
    <x v="0"/>
    <s v="Uxcppdes"/>
    <x v="6"/>
    <b v="0"/>
    <s v="No está en VPC"/>
    <n v="407"/>
    <s v="INTPG_ACC_407_1.43"/>
    <s v="ISEL-1.43"/>
    <n v="1"/>
    <s v="NO TIENE L3OUT"/>
    <n v="122"/>
    <n v="96"/>
  </r>
  <r>
    <n v="171"/>
    <x v="0"/>
    <x v="225"/>
    <s v="eth1/43"/>
    <x v="0"/>
    <x v="0"/>
    <x v="0"/>
    <s v="HP_Performance_Insight"/>
    <x v="6"/>
    <b v="0"/>
    <s v="No está en VPC"/>
    <n v="171"/>
    <s v="INTPG_ACC_171_1.43"/>
    <s v="ISEL-1.43"/>
    <n v="1"/>
    <s v="NO TIENE L3OUT"/>
    <n v="114"/>
    <n v="96"/>
  </r>
  <r>
    <n v="421"/>
    <x v="1"/>
    <x v="226"/>
    <s v="eth1/43"/>
    <x v="0"/>
    <x v="1"/>
    <x v="1"/>
    <s v="VTA_F5_2_eth2"/>
    <x v="6"/>
    <b v="0"/>
    <s v="No está en VPC"/>
    <n v="421"/>
    <s v="INTPG_ACC_421_1.43"/>
    <s v="ISEL-1.43"/>
    <n v="1"/>
    <s v="NO TIENE L3OUT"/>
    <n v="72"/>
    <n v="96"/>
  </r>
  <r>
    <n v="173"/>
    <x v="0"/>
    <x v="227"/>
    <s v="eth1/43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43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43"/>
    <x v="0"/>
    <x v="0"/>
    <x v="0"/>
    <s v="SRS (Speedy Rating System)"/>
    <x v="6"/>
    <b v="0"/>
    <s v="No está en VPC"/>
    <n v="172"/>
    <s v="INTPG_ACC_172_1.43"/>
    <s v="ISEL-1.43"/>
    <n v="1"/>
    <s v="NO TIENE L3OUT"/>
    <n v="104"/>
    <n v="96"/>
  </r>
  <r>
    <n v="420"/>
    <x v="1"/>
    <x v="230"/>
    <s v="eth1/43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43"/>
    <x v="0"/>
    <x v="0"/>
    <x v="0"/>
    <s v="SPECSERVER2_VMOTION2"/>
    <x v="6"/>
    <b v="0"/>
    <s v="No está en VPC"/>
    <n v="423"/>
    <s v="INTPG_ACC_423_1.43"/>
    <s v="ISEL-1.43"/>
    <n v="1"/>
    <s v="NO TIENE L3OUT"/>
    <n v="86"/>
    <n v="96"/>
  </r>
  <r>
    <n v="415"/>
    <x v="1"/>
    <x v="232"/>
    <s v="eth1/43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43"/>
    <x v="1"/>
    <x v="1"/>
    <x v="2"/>
    <s v="IXTLA4_VC1:VMTLCLAMX5:VC1  X3"/>
    <x v="6"/>
    <b v="0"/>
    <s v="No está en VPC"/>
    <n v="102"/>
    <s v="INTPG_PC_102_1.41-48"/>
    <s v="ISEL-1.43"/>
    <n v="0"/>
    <s v="NO TIENE L3OUT"/>
    <n v="228"/>
    <n v="96"/>
  </r>
  <r>
    <n v="863"/>
    <x v="2"/>
    <x v="234"/>
    <s v="eth1/43"/>
    <x v="0"/>
    <x v="0"/>
    <x v="0"/>
    <s v="To_ITHHWD6KV65100015DKC01_Redundante"/>
    <x v="0"/>
    <b v="0"/>
    <s v="No está en VPC"/>
    <n v="863"/>
    <s v="INTPG_ACC_863_1.43"/>
    <s v="ISEL-1.43"/>
    <n v="1"/>
    <s v="NO TIENE L3OUT"/>
    <n v="8"/>
    <n v="54"/>
  </r>
  <r>
    <n v="876"/>
    <x v="2"/>
    <x v="235"/>
    <s v="eth1/43"/>
    <x v="0"/>
    <x v="0"/>
    <x v="0"/>
    <s v="A_ITHFHWSEQLDPS03_Principal"/>
    <x v="4"/>
    <b v="0"/>
    <s v="No está en VPC"/>
    <n v="876"/>
    <s v="INTPG_ACC_876_1.43"/>
    <s v="ISEL-1.43"/>
    <n v="1"/>
    <s v="NO TIENE L3OUT"/>
    <n v="92"/>
    <n v="54"/>
  </r>
  <r>
    <n v="877"/>
    <x v="2"/>
    <x v="236"/>
    <s v="eth1/43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43"/>
    <x v="0"/>
    <x v="0"/>
    <x v="0"/>
    <s v="Registro Nacional de Celulares"/>
    <x v="6"/>
    <b v="0"/>
    <s v="No está en VPC"/>
    <n v="122"/>
    <s v="INTPG_ACC_122_1.43"/>
    <s v="ISEL-1.43"/>
    <n v="1"/>
    <s v="NO TIENE L3OUT"/>
    <n v="148"/>
    <n v="96"/>
  </r>
  <r>
    <n v="157"/>
    <x v="0"/>
    <x v="238"/>
    <s v="eth1/43"/>
    <x v="0"/>
    <x v="0"/>
    <x v="0"/>
    <s v="CIRCULO AZUL 1"/>
    <x v="6"/>
    <b v="0"/>
    <s v="No está en VPC"/>
    <n v="157"/>
    <s v="INTPG_ACC_157_1.43"/>
    <s v="ISEL-1.43"/>
    <n v="1"/>
    <s v="NO TIENE L3OUT"/>
    <n v="202"/>
    <n v="96"/>
  </r>
  <r>
    <n v="408"/>
    <x v="1"/>
    <x v="239"/>
    <s v="eth1/43"/>
    <x v="0"/>
    <x v="0"/>
    <x v="0"/>
    <s v="IXTPF1_OA1"/>
    <x v="6"/>
    <b v="0"/>
    <s v="No está en VPC"/>
    <n v="408"/>
    <s v="INTPG_ACC_408_1.43"/>
    <s v="ISEL-1.43"/>
    <n v="1"/>
    <s v="NO TIENE L3OUT"/>
    <n v="152"/>
    <n v="96"/>
  </r>
  <r>
    <n v="405"/>
    <x v="1"/>
    <x v="240"/>
    <s v="eth1/43"/>
    <x v="0"/>
    <x v="0"/>
    <x v="0"/>
    <s v="ITHSGHP0"/>
    <x v="6"/>
    <b v="0"/>
    <s v="No está en VPC"/>
    <n v="405"/>
    <s v="INTPG_ACC_405_1.43"/>
    <s v="ISEL-1.43"/>
    <n v="1"/>
    <s v="NO TIENE L3OUT"/>
    <n v="138"/>
    <n v="96"/>
  </r>
  <r>
    <n v="169"/>
    <x v="0"/>
    <x v="241"/>
    <s v="eth1/43"/>
    <x v="0"/>
    <x v="0"/>
    <x v="0"/>
    <s v="Commvault_Gestion"/>
    <x v="6"/>
    <b v="0"/>
    <s v="No está en VPC"/>
    <n v="169"/>
    <s v="INTPG_ACC_169_1.43"/>
    <s v="ISEL-1.43"/>
    <n v="1"/>
    <s v="NO TIENE L3OUT"/>
    <n v="76"/>
    <n v="96"/>
  </r>
  <r>
    <n v="165"/>
    <x v="0"/>
    <x v="242"/>
    <s v="eth1/43"/>
    <x v="0"/>
    <x v="0"/>
    <x v="0"/>
    <s v="NOMINA_uxnomr12"/>
    <x v="6"/>
    <b v="0"/>
    <s v="No está en VPC"/>
    <n v="165"/>
    <s v="INTPG_ACC_165_1.43"/>
    <s v="ISEL-1.43"/>
    <n v="1"/>
    <s v="NO TIENE L3OUT"/>
    <n v="86"/>
    <n v="96"/>
  </r>
  <r>
    <n v="417"/>
    <x v="1"/>
    <x v="243"/>
    <s v="eth1/43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43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43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43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43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43"/>
    <x v="0"/>
    <x v="0"/>
    <x v="0"/>
    <s v="TC3_ithmomce1_VC2_X4"/>
    <x v="6"/>
    <b v="0"/>
    <s v="No está en VPC"/>
    <n v="438"/>
    <s v="INTPG_ACC_438_1.43"/>
    <s v="ISEL-1.43"/>
    <n v="7"/>
    <s v="NO TIENE L3OUT"/>
    <n v="170"/>
    <n v="96"/>
  </r>
  <r>
    <n v="406"/>
    <x v="1"/>
    <x v="249"/>
    <s v="eth1/43"/>
    <x v="0"/>
    <x v="0"/>
    <x v="0"/>
    <s v="VIOSDES1-VIOSDES1_CLT"/>
    <x v="6"/>
    <b v="0"/>
    <s v="No está en VPC"/>
    <n v="406"/>
    <s v="INTPG_VPC_404_1.43-44_406_1.43-44"/>
    <s v="ISEL-1.43"/>
    <n v="1"/>
    <s v="NO TIENE L3OUT"/>
    <n v="82"/>
    <n v="96"/>
  </r>
  <r>
    <n v="414"/>
    <x v="1"/>
    <x v="250"/>
    <s v="eth1/43"/>
    <x v="0"/>
    <x v="0"/>
    <x v="0"/>
    <s v="Exadata3"/>
    <x v="6"/>
    <b v="0"/>
    <s v="No está en VPC"/>
    <n v="414"/>
    <s v="INTPG_ACC_414_1.43"/>
    <s v="ISEL-1.43"/>
    <n v="1"/>
    <s v="NO TIENE L3OUT"/>
    <n v="144"/>
    <n v="96"/>
  </r>
  <r>
    <n v="416"/>
    <x v="1"/>
    <x v="251"/>
    <s v="eth1/43"/>
    <x v="0"/>
    <x v="0"/>
    <x v="0"/>
    <s v="DESC"/>
    <x v="6"/>
    <b v="0"/>
    <s v="No está en VPC"/>
    <n v="416"/>
    <s v="INTPG_PC_416_1.40-45"/>
    <s v="ISEL-1.43"/>
    <n v="7"/>
    <s v="NO TIENE L3OUT"/>
    <n v="110"/>
    <n v="96"/>
  </r>
  <r>
    <n v="418"/>
    <x v="1"/>
    <x v="252"/>
    <s v="eth1/43"/>
    <x v="0"/>
    <x v="0"/>
    <x v="0"/>
    <s v="DESC"/>
    <x v="6"/>
    <b v="0"/>
    <s v="No está en VPC"/>
    <n v="418"/>
    <s v="INTPG_PC_418_1.40-45"/>
    <s v="ISEL-1.43"/>
    <n v="7"/>
    <s v="NO TIENE L3OUT"/>
    <n v="152"/>
    <n v="96"/>
  </r>
  <r>
    <n v="413"/>
    <x v="1"/>
    <x v="253"/>
    <s v="eth1/43"/>
    <x v="0"/>
    <x v="0"/>
    <x v="0"/>
    <s v="To-uxingemc2 ldom 3 uxsmart05"/>
    <x v="6"/>
    <b v="0"/>
    <s v="No está en VPC"/>
    <n v="413"/>
    <s v="INTPG_ACC_413_1.43"/>
    <s v="ISEL-1.43"/>
    <n v="1"/>
    <s v="NO TIENE L3OUT"/>
    <n v="126"/>
    <n v="96"/>
  </r>
  <r>
    <n v="403"/>
    <x v="1"/>
    <x v="254"/>
    <s v="eth1/43"/>
    <x v="0"/>
    <x v="0"/>
    <x v="0"/>
    <s v="MEDIACION1-DD"/>
    <x v="6"/>
    <b v="0"/>
    <s v="No está en VPC"/>
    <n v="403"/>
    <s v="INTPG_ACC_403_1.43"/>
    <s v="ISEL-1.43"/>
    <n v="1"/>
    <s v="NO TIENE L3OUT"/>
    <n v="150"/>
    <n v="96"/>
  </r>
  <r>
    <n v="125"/>
    <x v="0"/>
    <x v="255"/>
    <s v="eth1/43"/>
    <x v="0"/>
    <x v="0"/>
    <x v="0"/>
    <s v="DWH_SVA_IBM"/>
    <x v="6"/>
    <b v="0"/>
    <s v="No está en VPC"/>
    <n v="125"/>
    <s v="INTPG_ACC_125_1.43"/>
    <s v="ISEL-1.43"/>
    <n v="1"/>
    <s v="NO TIENE L3OUT"/>
    <n v="72"/>
    <n v="96"/>
  </r>
  <r>
    <n v="166"/>
    <x v="0"/>
    <x v="256"/>
    <s v="eth1/43"/>
    <x v="0"/>
    <x v="0"/>
    <x v="0"/>
    <s v="NOMINA_uxm4bd01"/>
    <x v="6"/>
    <b v="0"/>
    <s v="No está en VPC"/>
    <n v="166"/>
    <s v="INTPG_ACC_166_1.43"/>
    <s v="ISEL-1.43"/>
    <n v="1"/>
    <s v="NO TIENE L3OUT"/>
    <n v="84"/>
    <n v="96"/>
  </r>
  <r>
    <n v="111"/>
    <x v="0"/>
    <x v="257"/>
    <s v="eth1/43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43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43"/>
    <x v="0"/>
    <x v="0"/>
    <x v="0"/>
    <m/>
    <x v="6"/>
    <b v="0"/>
    <s v="No está en VPC"/>
    <n v="106"/>
    <s v="INTPG_ACC_106_1.43"/>
    <s v="ISEL-1.43"/>
    <n v="1"/>
    <s v="NO TIENE L3OUT"/>
    <n v="122"/>
    <n v="96"/>
  </r>
  <r>
    <n v="126"/>
    <x v="0"/>
    <x v="260"/>
    <s v="eth1/43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43"/>
    <x v="0"/>
    <x v="0"/>
    <x v="0"/>
    <s v="ITHPA04_ILO1_IPMP-Pasiva"/>
    <x v="6"/>
    <b v="0"/>
    <s v="No está en VPC"/>
    <n v="425"/>
    <s v="INTPG_ACC_425_1.43"/>
    <s v="ISEL-1.43"/>
    <n v="1"/>
    <s v="NO TIENE L3OUT"/>
    <n v="86"/>
    <n v="96"/>
  </r>
  <r>
    <n v="151"/>
    <x v="0"/>
    <x v="262"/>
    <s v="eth1/43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43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43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43"/>
    <x v="0"/>
    <x v="1"/>
    <x v="1"/>
    <s v="GESTOR HUAWEI U2000 MW Tx"/>
    <x v="6"/>
    <b v="0"/>
    <s v="No está en VPC"/>
    <n v="155"/>
    <s v="INTPG_ACC_155_1.43"/>
    <s v="ISEL-1.43"/>
    <n v="1"/>
    <s v="NO TIENE L3OUT"/>
    <n v="198"/>
    <n v="96"/>
  </r>
  <r>
    <n v="409"/>
    <x v="1"/>
    <x v="266"/>
    <s v="eth1/43"/>
    <x v="0"/>
    <x v="0"/>
    <x v="0"/>
    <s v="IXTPPMLB02"/>
    <x v="6"/>
    <b v="0"/>
    <s v="No está en VPC"/>
    <n v="409"/>
    <s v="INTPG_ACC_409_1.43"/>
    <s v="ISEL-1.43"/>
    <n v="1"/>
    <s v="NO TIENE L3OUT"/>
    <n v="128"/>
    <n v="96"/>
  </r>
  <r>
    <n v="422"/>
    <x v="1"/>
    <x v="267"/>
    <s v="eth1/43"/>
    <x v="0"/>
    <x v="0"/>
    <x v="0"/>
    <s v="ITHRTC4BEN1OA2"/>
    <x v="6"/>
    <b v="0"/>
    <s v="No está en VPC"/>
    <n v="422"/>
    <s v="INTPG_ACC_422_1.43"/>
    <s v="ISEL-1.43"/>
    <n v="1"/>
    <s v="NO TIENE L3OUT"/>
    <n v="182"/>
    <n v="96"/>
  </r>
  <r>
    <n v="436"/>
    <x v="1"/>
    <x v="268"/>
    <s v="eth1/43"/>
    <x v="0"/>
    <x v="0"/>
    <x v="0"/>
    <s v="DESC"/>
    <x v="6"/>
    <b v="0"/>
    <s v="No está en VPC"/>
    <n v="436"/>
    <s v="INTPG_PC_436_1.40-45"/>
    <s v="ISEL-1.43"/>
    <n v="7"/>
    <s v="NO TIENE L3OUT"/>
    <n v="172"/>
    <n v="96"/>
  </r>
  <r>
    <n v="410"/>
    <x v="1"/>
    <x v="269"/>
    <s v="eth1/43"/>
    <x v="0"/>
    <x v="0"/>
    <x v="0"/>
    <s v="IXTPF1SV31NIC1"/>
    <x v="6"/>
    <b v="0"/>
    <s v="No está en VPC"/>
    <n v="410"/>
    <s v="INTPG_ACC_410_1.43"/>
    <s v="ISEL-1.43"/>
    <n v="2"/>
    <s v="NO TIENE L3OUT"/>
    <n v="178"/>
    <n v="96"/>
  </r>
  <r>
    <n v="161"/>
    <x v="0"/>
    <x v="270"/>
    <s v="eth1/43"/>
    <x v="0"/>
    <x v="0"/>
    <x v="0"/>
    <s v="CELCITE"/>
    <x v="6"/>
    <b v="0"/>
    <s v="No está en VPC"/>
    <n v="161"/>
    <s v="INTPG_ACC_161_1.43"/>
    <s v="ISEL-1.43"/>
    <n v="1"/>
    <s v="NO TIENE L3OUT"/>
    <n v="102"/>
    <n v="96"/>
  </r>
  <r>
    <n v="411"/>
    <x v="1"/>
    <x v="271"/>
    <s v="eth1/43"/>
    <x v="0"/>
    <x v="0"/>
    <x v="0"/>
    <s v="SPIDERNET3"/>
    <x v="6"/>
    <b v="0"/>
    <s v="No está en VPC"/>
    <n v="411"/>
    <s v="INTPG_ACC_411_1.43"/>
    <s v="ISEL-1.43"/>
    <n v="1"/>
    <s v="NO TIENE L3OUT"/>
    <n v="96"/>
    <n v="96"/>
  </r>
  <r>
    <n v="116"/>
    <x v="0"/>
    <x v="272"/>
    <s v="eth1/43"/>
    <x v="0"/>
    <x v="1"/>
    <x v="1"/>
    <s v="USSD TANGO"/>
    <x v="6"/>
    <b v="0"/>
    <s v="No está en VPC"/>
    <n v="116"/>
    <s v="INTPG_ACC_116_1.43"/>
    <s v="ISEL-1.43"/>
    <n v="1"/>
    <s v="NO TIENE L3OUT"/>
    <n v="148"/>
    <n v="96"/>
  </r>
  <r>
    <n v="412"/>
    <x v="1"/>
    <x v="273"/>
    <s v="eth1/43"/>
    <x v="0"/>
    <x v="0"/>
    <x v="0"/>
    <s v="none"/>
    <x v="6"/>
    <b v="0"/>
    <s v="No está en VPC"/>
    <n v="412"/>
    <s v="INTPG_ACC_412_1.43"/>
    <s v="ISEL-1.43"/>
    <n v="1"/>
    <s v="NO TIENE L3OUT"/>
    <n v="126"/>
    <n v="96"/>
  </r>
  <r>
    <n v="120"/>
    <x v="0"/>
    <x v="274"/>
    <s v="eth1/43"/>
    <x v="0"/>
    <x v="0"/>
    <x v="0"/>
    <s v="N/A"/>
    <x v="6"/>
    <b v="0"/>
    <s v="No está en VPC"/>
    <n v="120"/>
    <s v="INTPG_ACC_120_1.43"/>
    <s v="ISEL-1.43"/>
    <n v="1"/>
    <s v="NO TIENE L3OUT"/>
    <n v="158"/>
    <n v="96"/>
  </r>
  <r>
    <n v="404"/>
    <x v="1"/>
    <x v="275"/>
    <s v="eth1/43"/>
    <x v="0"/>
    <x v="0"/>
    <x v="0"/>
    <s v="VIOSDES1-VIOSDES1_CLT"/>
    <x v="6"/>
    <b v="0"/>
    <s v="No está en VPC"/>
    <n v="404"/>
    <s v="INTPG_VPC_404_1.43-44_406_1.43-44"/>
    <s v="ISEL-1.43"/>
    <n v="1"/>
    <s v="NO TIENE L3OUT"/>
    <n v="92"/>
    <n v="96"/>
  </r>
  <r>
    <n v="167"/>
    <x v="0"/>
    <x v="276"/>
    <s v="eth1/43"/>
    <x v="0"/>
    <x v="0"/>
    <x v="0"/>
    <s v="UXLDAP"/>
    <x v="6"/>
    <b v="0"/>
    <s v="No está en VPC"/>
    <n v="167"/>
    <s v="INTPG_ACC_167_1.43"/>
    <s v="ISEL-1.43"/>
    <n v="3"/>
    <s v="NO TIENE L3OUT"/>
    <n v="68"/>
    <n v="96"/>
  </r>
  <r>
    <n v="428"/>
    <x v="1"/>
    <x v="277"/>
    <s v="eth1/43"/>
    <x v="0"/>
    <x v="0"/>
    <x v="0"/>
    <s v="PDU"/>
    <x v="6"/>
    <b v="0"/>
    <s v="No está en VPC"/>
    <n v="428"/>
    <s v="INTPG_ACC_428_1.43"/>
    <s v="ISEL-1.43"/>
    <n v="1"/>
    <s v="NO TIENE L3OUT"/>
    <n v="102"/>
    <n v="96"/>
  </r>
  <r>
    <n v="128"/>
    <x v="0"/>
    <x v="0"/>
    <s v="eth1/44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44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44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44"/>
    <x v="0"/>
    <x v="0"/>
    <x v="0"/>
    <s v="LINK_HACIA_MGMT"/>
    <x v="0"/>
    <b v="0"/>
    <s v="No está en VPC"/>
    <n v="101"/>
    <s v="INTPG_VPC_MGMT_20419_150_1.44_101_1.44"/>
    <s v="ISEL-1.44"/>
    <n v="1"/>
    <s v="NO TIENE L3OUT"/>
    <n v="114"/>
    <n v="54"/>
  </r>
  <r>
    <n v="160"/>
    <x v="0"/>
    <x v="4"/>
    <s v="eth1/44"/>
    <x v="0"/>
    <x v="1"/>
    <x v="1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44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44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44"/>
    <x v="0"/>
    <x v="0"/>
    <x v="0"/>
    <m/>
    <x v="0"/>
    <b v="0"/>
    <s v="No está en VPC"/>
    <n v="401"/>
    <s v="INTPG_VPC_401_1.43-44_402_1.43-44"/>
    <s v="ISEL-1.44"/>
    <n v="1"/>
    <s v="NO TIENE L3OUT"/>
    <n v="40"/>
    <n v="54"/>
  </r>
  <r>
    <n v="402"/>
    <x v="1"/>
    <x v="8"/>
    <s v="eth1/44"/>
    <x v="0"/>
    <x v="0"/>
    <x v="0"/>
    <m/>
    <x v="0"/>
    <b v="0"/>
    <s v="No está en VPC"/>
    <n v="402"/>
    <s v="INTPG_VPC_401_1.43-44_402_1.43-44"/>
    <s v="ISEL-1.44"/>
    <n v="1"/>
    <s v="NO TIENE L3OUT"/>
    <n v="36"/>
    <n v="54"/>
  </r>
  <r>
    <n v="130"/>
    <x v="0"/>
    <x v="11"/>
    <s v="eth1/44"/>
    <x v="0"/>
    <x v="0"/>
    <x v="0"/>
    <s v="LAG-smt-comp-02"/>
    <x v="0"/>
    <b v="0"/>
    <s v="No está en VPC"/>
    <n v="130"/>
    <s v="INTPG_VPC_130_1.43-44_131_1.43-44"/>
    <s v="ISEL-1.44"/>
    <n v="4"/>
    <s v="NO TIENE L3OUT"/>
    <n v="128"/>
    <n v="54"/>
  </r>
  <r>
    <n v="150"/>
    <x v="0"/>
    <x v="12"/>
    <s v="eth1/44"/>
    <x v="0"/>
    <x v="0"/>
    <x v="0"/>
    <s v="LINK_HACIA_MGMT"/>
    <x v="0"/>
    <b v="0"/>
    <s v="No está en VPC"/>
    <n v="150"/>
    <s v="INTPG_VPC_MGMT_20419_150_1.44_101_1.44"/>
    <s v="ISEL-1.44"/>
    <n v="1"/>
    <s v="NO TIENE L3OUT"/>
    <n v="118"/>
    <n v="54"/>
  </r>
  <r>
    <n v="131"/>
    <x v="0"/>
    <x v="13"/>
    <s v="eth1/44"/>
    <x v="0"/>
    <x v="0"/>
    <x v="0"/>
    <s v="LAG-smt-comp-02"/>
    <x v="0"/>
    <b v="0"/>
    <s v="No está en VPC"/>
    <n v="131"/>
    <s v="INTPG_VPC_130_1.43-44_131_1.43-44"/>
    <s v="ISEL-1.44"/>
    <n v="4"/>
    <s v="NO TIENE L3OUT"/>
    <n v="126"/>
    <n v="54"/>
  </r>
  <r>
    <n v="424"/>
    <x v="1"/>
    <x v="18"/>
    <s v="eth1/44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44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44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44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44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44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44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44"/>
    <x v="0"/>
    <x v="0"/>
    <x v="0"/>
    <s v="To_ITHEA1A_eth2"/>
    <x v="0"/>
    <b v="0"/>
    <s v="No está en VPC"/>
    <n v="431"/>
    <s v="INTPG_ACC_431_1.44"/>
    <s v="ISEL-1.44"/>
    <n v="4"/>
    <s v="NO TIENE L3OUT"/>
    <n v="46"/>
    <n v="54"/>
  </r>
  <r>
    <n v="433"/>
    <x v="1"/>
    <x v="27"/>
    <s v="eth1/44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44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44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44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44"/>
    <x v="0"/>
    <x v="1"/>
    <x v="1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44"/>
    <x v="1"/>
    <x v="1"/>
    <x v="3"/>
    <m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44"/>
    <x v="1"/>
    <x v="1"/>
    <x v="3"/>
    <m/>
    <x v="0"/>
    <b v="0"/>
    <s v="No está en VPC"/>
    <n v="712"/>
    <s v="NO EXISTE PG"/>
    <s v="NO EXISTE ISEL"/>
    <n v="0"/>
    <s v="NO TIENE L3OUT"/>
    <n v="32"/>
    <n v="54"/>
  </r>
  <r>
    <n v="719"/>
    <x v="2"/>
    <x v="34"/>
    <s v="eth1/44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44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44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44"/>
    <x v="1"/>
    <x v="1"/>
    <x v="3"/>
    <m/>
    <x v="0"/>
    <b v="0"/>
    <s v="No está en VPC"/>
    <n v="711"/>
    <s v="NO EXISTE PG"/>
    <s v="NO EXISTE ISEL"/>
    <n v="0"/>
    <s v="NO TIENE L3OUT"/>
    <n v="16"/>
    <n v="54"/>
  </r>
  <r>
    <n v="716"/>
    <x v="2"/>
    <x v="38"/>
    <s v="eth1/44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44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44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44"/>
    <x v="0"/>
    <x v="1"/>
    <x v="3"/>
    <m/>
    <x v="0"/>
    <b v="0"/>
    <s v="No está en VPC"/>
    <n v="446"/>
    <s v="NO EXISTE PG"/>
    <s v="NO EXISTE ISEL"/>
    <n v="0"/>
    <s v="NO TIENE L3OUT"/>
    <n v="198"/>
    <n v="54"/>
  </r>
  <r>
    <n v="444"/>
    <x v="1"/>
    <x v="42"/>
    <s v="eth1/44"/>
    <x v="0"/>
    <x v="1"/>
    <x v="3"/>
    <m/>
    <x v="0"/>
    <b v="0"/>
    <s v="No está en VPC"/>
    <n v="444"/>
    <s v="NO EXISTE PG"/>
    <s v="NO EXISTE ISEL"/>
    <n v="0"/>
    <s v="NO TIENE L3OUT"/>
    <n v="234"/>
    <n v="54"/>
  </r>
  <r>
    <n v="701"/>
    <x v="2"/>
    <x v="43"/>
    <s v="eth1/44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44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44"/>
    <x v="0"/>
    <x v="0"/>
    <x v="0"/>
    <s v="To_ITHEA1B_eth3"/>
    <x v="0"/>
    <b v="0"/>
    <s v="No está en VPC"/>
    <n v="448"/>
    <s v="INTPG_ACC_448_1.44"/>
    <s v="ISEL-1.44"/>
    <n v="4"/>
    <s v="NO TIENE L3OUT"/>
    <n v="46"/>
    <n v="54"/>
  </r>
  <r>
    <n v="704"/>
    <x v="2"/>
    <x v="46"/>
    <s v="eth1/44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44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44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44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44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44"/>
    <x v="1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44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44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44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44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44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44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44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44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44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44"/>
    <x v="0"/>
    <x v="1"/>
    <x v="1"/>
    <m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44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44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44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44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44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44"/>
    <x v="1"/>
    <x v="1"/>
    <x v="3"/>
    <m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44"/>
    <x v="1"/>
    <x v="1"/>
    <x v="3"/>
    <m/>
    <x v="0"/>
    <b v="0"/>
    <s v="No está en VPC"/>
    <n v="780"/>
    <s v="NO EXISTE PG"/>
    <s v="NO EXISTE ISEL"/>
    <n v="0"/>
    <s v="NO TIENE L3OUT"/>
    <n v="26"/>
    <n v="54"/>
  </r>
  <r>
    <n v="812"/>
    <x v="2"/>
    <x v="70"/>
    <s v="eth1/44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44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44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44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44"/>
    <x v="0"/>
    <x v="0"/>
    <x v="0"/>
    <s v="LINK_TO_ITHHWCRMPEN01 /X3-10GE 3 /Principal"/>
    <x v="0"/>
    <b v="0"/>
    <s v="No está en VPC"/>
    <n v="824"/>
    <s v="INTPG_VPC_819_1.41-42_44-45_824_1.41-42_44-45"/>
    <s v="ISEL-1.44"/>
    <n v="1"/>
    <s v="NO TIENE L3OUT"/>
    <n v="70"/>
    <n v="54"/>
  </r>
  <r>
    <n v="819"/>
    <x v="2"/>
    <x v="75"/>
    <s v="eth1/44"/>
    <x v="0"/>
    <x v="0"/>
    <x v="0"/>
    <s v="LINK_TO_ITHHWCRMPEN01 /X3-10GE 4 /Redundante"/>
    <x v="0"/>
    <b v="0"/>
    <s v="No está en VPC"/>
    <n v="819"/>
    <s v="INTPG_VPC_819_1.41-42_44-45_824_1.41-42_44-45"/>
    <s v="ISEL-1.44"/>
    <n v="1"/>
    <s v="NO TIENE L3OUT"/>
    <n v="70"/>
    <n v="54"/>
  </r>
  <r>
    <n v="737"/>
    <x v="2"/>
    <x v="76"/>
    <s v="eth1/44"/>
    <x v="0"/>
    <x v="1"/>
    <x v="1"/>
    <m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44"/>
    <x v="0"/>
    <x v="0"/>
    <x v="0"/>
    <s v="LINK_TO_ITHFHWCRMPLCN115 / Slot1.2_34 / Principal"/>
    <x v="0"/>
    <b v="0"/>
    <s v="No está en VPC"/>
    <n v="844"/>
    <s v="INTPG_ACC_844_1.44"/>
    <s v="ISEL-1.44"/>
    <n v="2"/>
    <s v="NO TIENE L3OUT"/>
    <n v="282"/>
    <n v="54"/>
  </r>
  <r>
    <n v="843"/>
    <x v="2"/>
    <x v="78"/>
    <s v="eth1/44"/>
    <x v="0"/>
    <x v="0"/>
    <x v="0"/>
    <s v="LINK_TO_ITHFHWSEQLIMPS30 / Slot 4 PTO 1 / Principal"/>
    <x v="0"/>
    <b v="0"/>
    <s v="No está en VPC"/>
    <n v="843"/>
    <s v="INTPG_ACC_843_1.44"/>
    <s v="ISEL-1.44"/>
    <n v="1"/>
    <s v="NO TIENE L3OUT"/>
    <n v="38"/>
    <n v="54"/>
  </r>
  <r>
    <n v="797"/>
    <x v="2"/>
    <x v="79"/>
    <s v="eth1/44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44"/>
    <x v="0"/>
    <x v="0"/>
    <x v="0"/>
    <s v="LINK_TO_ITHFHWCBSPSUSBD34 / Slot7.2_6 / Redundante"/>
    <x v="0"/>
    <b v="0"/>
    <s v="No está en VPC"/>
    <n v="839"/>
    <s v="INTPG_VPC_834_1.44_839_1.44"/>
    <s v="ISEL-1.44"/>
    <n v="1"/>
    <s v="NO TIENE L3OUT"/>
    <n v="0"/>
    <n v="54"/>
  </r>
  <r>
    <n v="847"/>
    <x v="2"/>
    <x v="81"/>
    <s v="eth1/44"/>
    <x v="0"/>
    <x v="0"/>
    <x v="0"/>
    <s v="LINK_TO_ITHFHWCRMPLCN153 / Slot7.1_8 / Redundante"/>
    <x v="0"/>
    <b v="0"/>
    <s v="No está en VPC"/>
    <n v="847"/>
    <s v="INTPG_ACC_847_1.44"/>
    <s v="ISEL-1.44"/>
    <n v="6"/>
    <s v="NO TIENE L3OUT"/>
    <n v="204"/>
    <n v="54"/>
  </r>
  <r>
    <n v="848"/>
    <x v="2"/>
    <x v="82"/>
    <s v="eth1/44"/>
    <x v="0"/>
    <x v="0"/>
    <x v="0"/>
    <s v="VPC_2DCRMP_BDA10_1"/>
    <x v="0"/>
    <b v="0"/>
    <s v="No está en VPC"/>
    <n v="848"/>
    <s v="INTPG_VPC_855_1.44_848_1.44"/>
    <s v="ISEL-1.44"/>
    <n v="6"/>
    <s v="NO TIENE L3OUT"/>
    <n v="254"/>
    <n v="54"/>
  </r>
  <r>
    <n v="846"/>
    <x v="2"/>
    <x v="83"/>
    <s v="eth1/44"/>
    <x v="0"/>
    <x v="0"/>
    <x v="0"/>
    <s v="LINK_TO_ITHFHWCRMPLCN86 / Slot1.2_30 / Principal"/>
    <x v="0"/>
    <b v="0"/>
    <s v="No está en VPC"/>
    <n v="846"/>
    <s v="INTPG_ACC_846_1.44"/>
    <s v="ISEL-1.44"/>
    <n v="2"/>
    <s v="NO TIENE L3OUT"/>
    <n v="242"/>
    <n v="54"/>
  </r>
  <r>
    <n v="838"/>
    <x v="2"/>
    <x v="84"/>
    <s v="eth1/44"/>
    <x v="0"/>
    <x v="0"/>
    <x v="0"/>
    <s v="LINK_TO_ITHFHWSEQLIMPS30 / Slot 5 PTO 1 / Redundante"/>
    <x v="0"/>
    <b v="0"/>
    <s v="No está en VPC"/>
    <n v="838"/>
    <s v="INTPG_ACC_838_1.44"/>
    <s v="ISEL-1.44"/>
    <n v="1"/>
    <s v="NO TIENE L3OUT"/>
    <n v="38"/>
    <n v="54"/>
  </r>
  <r>
    <n v="849"/>
    <x v="2"/>
    <x v="85"/>
    <s v="eth1/44"/>
    <x v="0"/>
    <x v="0"/>
    <x v="0"/>
    <s v="LINK_TO_ITHFHWCRMPLCN149 / Slot7.1_32 / Redundante"/>
    <x v="0"/>
    <b v="0"/>
    <s v="No está en VPC"/>
    <n v="849"/>
    <s v="INTPG_ACC_849_1.44"/>
    <s v="ISEL-1.44"/>
    <n v="6"/>
    <s v="NO TIENE L3OUT"/>
    <n v="286"/>
    <n v="54"/>
  </r>
  <r>
    <n v="845"/>
    <x v="2"/>
    <x v="86"/>
    <s v="eth1/44"/>
    <x v="0"/>
    <x v="0"/>
    <x v="0"/>
    <s v="LINK_TO_ITHFHWCRMPLCN98 / Slot1.3_28 / Principal"/>
    <x v="0"/>
    <b v="0"/>
    <s v="No está en VPC"/>
    <n v="845"/>
    <s v="INTPG_ACC_845_1.44"/>
    <s v="ISEL-1.44"/>
    <n v="1"/>
    <s v="NO TIENE L3OUT"/>
    <n v="258"/>
    <n v="54"/>
  </r>
  <r>
    <n v="873"/>
    <x v="2"/>
    <x v="87"/>
    <s v="eth1/44"/>
    <x v="0"/>
    <x v="0"/>
    <x v="0"/>
    <s v="To_ITHFHWCRMDLCN38_Redundante"/>
    <x v="0"/>
    <b v="0"/>
    <s v="No está en VPC"/>
    <n v="873"/>
    <s v="INTPG_ACC_873_1.44"/>
    <s v="ISEL-1.44"/>
    <n v="2"/>
    <s v="NO TIENE L3OUT"/>
    <n v="248"/>
    <n v="54"/>
  </r>
  <r>
    <n v="864"/>
    <x v="2"/>
    <x v="88"/>
    <s v="eth1/44"/>
    <x v="0"/>
    <x v="0"/>
    <x v="0"/>
    <s v="To_VPC_2DCBSD_WR50_2"/>
    <x v="0"/>
    <b v="0"/>
    <s v="No está en VPC"/>
    <n v="864"/>
    <s v="INTPG_VPC_859_1.44_864_1.44"/>
    <s v="ISEL-1.44"/>
    <n v="1"/>
    <s v="NO TIENE L3OUT"/>
    <n v="0"/>
    <n v="54"/>
  </r>
  <r>
    <n v="836"/>
    <x v="2"/>
    <x v="89"/>
    <s v="eth1/44"/>
    <x v="0"/>
    <x v="0"/>
    <x v="0"/>
    <s v="LINK_TO_ITHFHWCBSPSHD29 / Slot1.1_22 / Principal"/>
    <x v="0"/>
    <b v="0"/>
    <s v="No está en VPC"/>
    <n v="836"/>
    <s v="INTPG_VPC_836_1.44_841_1.44"/>
    <s v="ISEL-1.44"/>
    <n v="2"/>
    <s v="NO TIENE L3OUT"/>
    <n v="0"/>
    <n v="54"/>
  </r>
  <r>
    <n v="834"/>
    <x v="2"/>
    <x v="90"/>
    <s v="eth1/44"/>
    <x v="0"/>
    <x v="0"/>
    <x v="0"/>
    <s v="LINK_TO_ITHFHWCBSPSUSBD34 / Slot1.2_6 / Principal"/>
    <x v="0"/>
    <b v="0"/>
    <s v="No está en VPC"/>
    <n v="834"/>
    <s v="INTPG_VPC_834_1.44_839_1.44"/>
    <s v="ISEL-1.44"/>
    <n v="1"/>
    <s v="NO TIENE L3OUT"/>
    <n v="0"/>
    <n v="54"/>
  </r>
  <r>
    <n v="872"/>
    <x v="2"/>
    <x v="91"/>
    <s v="eth1/44"/>
    <x v="0"/>
    <x v="0"/>
    <x v="0"/>
    <s v="TO_ITHFHWCRMDLCN51_Principal"/>
    <x v="0"/>
    <b v="0"/>
    <s v="No está en VPC"/>
    <n v="872"/>
    <s v="INTPG_ACC_872_1.44"/>
    <s v="ISEL-1.44"/>
    <n v="1"/>
    <s v="NO TIENE L3OUT"/>
    <n v="288"/>
    <n v="54"/>
  </r>
  <r>
    <n v="842"/>
    <x v="2"/>
    <x v="92"/>
    <s v="eth1/44"/>
    <x v="0"/>
    <x v="0"/>
    <x v="0"/>
    <s v="LINK_To_ITHFHWCBSPSHD22 / Slot7.3_20 / Redundante"/>
    <x v="0"/>
    <b v="0"/>
    <s v="No está en VPC"/>
    <n v="842"/>
    <s v="INTPG_VPC_837_1.44_842_1.44"/>
    <s v="ISEL-1.44"/>
    <n v="1"/>
    <s v="NO TIENE L3OUT"/>
    <n v="8"/>
    <n v="54"/>
  </r>
  <r>
    <n v="828"/>
    <x v="2"/>
    <x v="93"/>
    <s v="eth1/44"/>
    <x v="0"/>
    <x v="0"/>
    <x v="0"/>
    <s v="To_ITHFHWCRMDLCN41_Principal"/>
    <x v="0"/>
    <b v="0"/>
    <s v="No está en VPC"/>
    <n v="828"/>
    <s v="INTPG_ACC_828_1.44"/>
    <s v="ISEL-1.44"/>
    <n v="1"/>
    <s v="NO TIENE L3OUT"/>
    <n v="192"/>
    <n v="54"/>
  </r>
  <r>
    <n v="870"/>
    <x v="2"/>
    <x v="94"/>
    <s v="eth1/44"/>
    <x v="0"/>
    <x v="0"/>
    <x v="0"/>
    <s v="To_ITHFHWCRMDLCN38_Principal"/>
    <x v="0"/>
    <b v="0"/>
    <s v="No está en VPC"/>
    <n v="870"/>
    <s v="INTPG_ACC_870_1.44"/>
    <s v="ISEL-1.44"/>
    <n v="2"/>
    <s v="NO TIENE L3OUT"/>
    <n v="248"/>
    <n v="54"/>
  </r>
  <r>
    <n v="866"/>
    <x v="2"/>
    <x v="95"/>
    <s v="eth1/44"/>
    <x v="0"/>
    <x v="0"/>
    <x v="0"/>
    <s v="To_VPC_2DCBSD_WR36_1"/>
    <x v="0"/>
    <b v="0"/>
    <s v="No está en VPC"/>
    <n v="866"/>
    <s v="INTPG_VPC_861_1.44_866_1.44"/>
    <s v="ISEL-1.44"/>
    <n v="2"/>
    <s v="NO TIENE L3OUT"/>
    <n v="8"/>
    <n v="54"/>
  </r>
  <r>
    <n v="862"/>
    <x v="2"/>
    <x v="96"/>
    <s v="eth1/44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44"/>
    <x v="0"/>
    <x v="0"/>
    <x v="0"/>
    <s v="VPC_2DCRMP_BDA10_1"/>
    <x v="0"/>
    <b v="0"/>
    <s v="No está en VPC"/>
    <n v="855"/>
    <s v="INTPG_VPC_855_1.44_848_1.44"/>
    <s v="ISEL-1.44"/>
    <n v="6"/>
    <s v="NO TIENE L3OUT"/>
    <n v="254"/>
    <n v="54"/>
  </r>
  <r>
    <n v="871"/>
    <x v="2"/>
    <x v="98"/>
    <s v="eth1/44"/>
    <x v="0"/>
    <x v="0"/>
    <x v="0"/>
    <s v="To_ITHFHWCRMDLCN68_Principal"/>
    <x v="0"/>
    <b v="0"/>
    <s v="No está en VPC"/>
    <n v="871"/>
    <s v="INTPG_ACC_871_1.44"/>
    <s v="ISEL-1.44"/>
    <n v="2"/>
    <s v="NO TIENE L3OUT"/>
    <n v="246"/>
    <n v="54"/>
  </r>
  <r>
    <n v="841"/>
    <x v="2"/>
    <x v="99"/>
    <s v="eth1/44"/>
    <x v="0"/>
    <x v="0"/>
    <x v="0"/>
    <s v="LINK_TO_ITHFHWCBSPSHD29 / Slot7.1_22 / Redundante"/>
    <x v="0"/>
    <b v="0"/>
    <s v="No está en VPC"/>
    <n v="841"/>
    <s v="INTPG_VPC_836_1.44_841_1.44"/>
    <s v="ISEL-1.44"/>
    <n v="2"/>
    <s v="NO TIENE L3OUT"/>
    <n v="0"/>
    <n v="54"/>
  </r>
  <r>
    <n v="868"/>
    <x v="2"/>
    <x v="100"/>
    <s v="eth1/44"/>
    <x v="0"/>
    <x v="0"/>
    <x v="0"/>
    <s v="To_ITHFHWCRMDLCN68_Redundante"/>
    <x v="0"/>
    <b v="0"/>
    <s v="No está en VPC"/>
    <n v="868"/>
    <s v="INTPG_ACC_868_1.44"/>
    <s v="ISEL-1.44"/>
    <n v="2"/>
    <s v="NO TIENE L3OUT"/>
    <n v="246"/>
    <n v="54"/>
  </r>
  <r>
    <n v="869"/>
    <x v="2"/>
    <x v="101"/>
    <s v="eth1/44"/>
    <x v="0"/>
    <x v="0"/>
    <x v="0"/>
    <s v="TO_ITHFHWCRMDLCN51_Redundante"/>
    <x v="0"/>
    <b v="0"/>
    <s v="No está en VPC"/>
    <n v="869"/>
    <s v="INTPG_ACC_869_1.44"/>
    <s v="ISEL-1.44"/>
    <n v="1"/>
    <s v="NO TIENE L3OUT"/>
    <n v="288"/>
    <n v="54"/>
  </r>
  <r>
    <n v="861"/>
    <x v="2"/>
    <x v="102"/>
    <s v="eth1/44"/>
    <x v="0"/>
    <x v="0"/>
    <x v="0"/>
    <s v="To_VPC_2DCBSD_WR36_1"/>
    <x v="0"/>
    <b v="0"/>
    <s v="No está en VPC"/>
    <n v="861"/>
    <s v="INTPG_VPC_861_1.44_866_1.44"/>
    <s v="ISEL-1.44"/>
    <n v="2"/>
    <s v="NO TIENE L3OUT"/>
    <n v="8"/>
    <n v="54"/>
  </r>
  <r>
    <n v="874"/>
    <x v="2"/>
    <x v="103"/>
    <s v="eth1/44"/>
    <x v="0"/>
    <x v="0"/>
    <x v="0"/>
    <s v="A_ITHFHWSEQLDPS04_Redundante"/>
    <x v="4"/>
    <b v="0"/>
    <s v="No está en VPC"/>
    <n v="874"/>
    <s v="INTPG_ACC_874_1.44"/>
    <s v="ISEL-1.44"/>
    <n v="1"/>
    <s v="NO TIENE L3OUT"/>
    <n v="92"/>
    <n v="54"/>
  </r>
  <r>
    <n v="865"/>
    <x v="2"/>
    <x v="104"/>
    <s v="eth1/44"/>
    <x v="0"/>
    <x v="0"/>
    <x v="0"/>
    <s v="To_VPC_2DCBSD_WR40_2"/>
    <x v="0"/>
    <b v="0"/>
    <s v="No está en VPC"/>
    <n v="865"/>
    <s v="INTPG_VPC_860_1.44_865_1.44"/>
    <s v="ISEL-1.44"/>
    <n v="1"/>
    <s v="NO TIENE L3OUT"/>
    <n v="0"/>
    <n v="54"/>
  </r>
  <r>
    <n v="753"/>
    <x v="2"/>
    <x v="105"/>
    <s v="eth1/44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44"/>
    <x v="0"/>
    <x v="1"/>
    <x v="3"/>
    <m/>
    <x v="0"/>
    <b v="0"/>
    <s v="No está en VPC"/>
    <n v="708"/>
    <s v="NO EXISTE PG"/>
    <s v="NO EXISTE ISEL"/>
    <n v="0"/>
    <s v="NO TIENE L3OUT"/>
    <n v="0"/>
    <n v="54"/>
  </r>
  <r>
    <n v="710"/>
    <x v="2"/>
    <x v="107"/>
    <s v="eth1/44"/>
    <x v="1"/>
    <x v="1"/>
    <x v="3"/>
    <m/>
    <x v="0"/>
    <b v="0"/>
    <s v="No está en VPC"/>
    <n v="710"/>
    <s v="NO EXISTE PG"/>
    <s v="NO EXISTE ISEL"/>
    <n v="0"/>
    <s v="NO TIENE L3OUT"/>
    <n v="16"/>
    <n v="54"/>
  </r>
  <r>
    <n v="713"/>
    <x v="2"/>
    <x v="108"/>
    <s v="eth1/44"/>
    <x v="1"/>
    <x v="1"/>
    <x v="3"/>
    <m/>
    <x v="0"/>
    <b v="0"/>
    <s v="No está en VPC"/>
    <n v="713"/>
    <s v="NO EXISTE PG"/>
    <s v="NO EXISTE ISEL"/>
    <n v="0"/>
    <s v="NO TIENE L3OUT"/>
    <n v="32"/>
    <n v="54"/>
  </r>
  <r>
    <n v="735"/>
    <x v="2"/>
    <x v="109"/>
    <s v="eth1/44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44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44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44"/>
    <x v="1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44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44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44"/>
    <x v="0"/>
    <x v="0"/>
    <x v="0"/>
    <s v="LINK_TO_ITHFHWCBSDSWR21 /10GE.1 /Principal"/>
    <x v="0"/>
    <b v="0"/>
    <s v="No está en VPC"/>
    <n v="826"/>
    <s v="INTPG_VPC_826_1.44_830_1.44"/>
    <s v="ISEL-1.44"/>
    <n v="1"/>
    <s v="NO TIENE L3OUT"/>
    <n v="12"/>
    <n v="54"/>
  </r>
  <r>
    <n v="726"/>
    <x v="2"/>
    <x v="117"/>
    <s v="eth1/44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44"/>
    <x v="0"/>
    <x v="1"/>
    <x v="1"/>
    <m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44"/>
    <x v="1"/>
    <x v="1"/>
    <x v="3"/>
    <m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44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44"/>
    <x v="1"/>
    <x v="1"/>
    <x v="3"/>
    <m/>
    <x v="0"/>
    <b v="0"/>
    <s v="No está en VPC"/>
    <n v="721"/>
    <s v="ACC-LAP_TEST"/>
    <s v="ISEL-1.44-TEST"/>
    <n v="0"/>
    <s v="NO TIENE L3OUT"/>
    <n v="20"/>
    <n v="54"/>
  </r>
  <r>
    <n v="788"/>
    <x v="2"/>
    <x v="122"/>
    <s v="eth1/44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44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44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44"/>
    <x v="1"/>
    <x v="1"/>
    <x v="3"/>
    <m/>
    <x v="0"/>
    <b v="0"/>
    <s v="No está en VPC"/>
    <n v="709"/>
    <s v="NO EXISTE PG"/>
    <s v="NO EXISTE ISEL"/>
    <n v="0"/>
    <s v="NO TIENE L3OUT"/>
    <n v="0"/>
    <n v="54"/>
  </r>
  <r>
    <n v="454"/>
    <x v="1"/>
    <x v="126"/>
    <s v="eth1/44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44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44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44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44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44"/>
    <x v="0"/>
    <x v="1"/>
    <x v="1"/>
    <m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44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44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44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44"/>
    <x v="0"/>
    <x v="1"/>
    <x v="3"/>
    <m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44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44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44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44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44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44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44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44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44"/>
    <x v="0"/>
    <x v="0"/>
    <x v="0"/>
    <s v="ithenmr13e2r2_BAY2/X9"/>
    <x v="0"/>
    <b v="0"/>
    <s v="No está en VPC"/>
    <n v="773"/>
    <s v="INTPG_ACC_773_1.44"/>
    <s v="ISEL-1.44"/>
    <n v="20"/>
    <s v="NO TIENE L3OUT"/>
    <n v="78"/>
    <n v="54"/>
  </r>
  <r>
    <n v="794"/>
    <x v="2"/>
    <x v="146"/>
    <s v="eth1/44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44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44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44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44"/>
    <x v="1"/>
    <x v="1"/>
    <x v="3"/>
    <m/>
    <x v="0"/>
    <b v="0"/>
    <s v="No está en VPC"/>
    <n v="781"/>
    <s v="NO EXISTE PG"/>
    <s v="NO EXISTE ISEL"/>
    <n v="0"/>
    <s v="NO TIENE L3OUT"/>
    <n v="26"/>
    <n v="54"/>
  </r>
  <r>
    <n v="793"/>
    <x v="2"/>
    <x v="151"/>
    <s v="eth1/44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44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44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44"/>
    <x v="1"/>
    <x v="1"/>
    <x v="3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44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44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44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44"/>
    <x v="0"/>
    <x v="1"/>
    <x v="1"/>
    <m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44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44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44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44"/>
    <x v="0"/>
    <x v="0"/>
    <x v="0"/>
    <s v="LINK_TO_ITHFHWCBSDSWR21 /Slot5.1 /Redundante"/>
    <x v="0"/>
    <b v="0"/>
    <s v="No está en VPC"/>
    <n v="830"/>
    <s v="INTPG_VPC_826_1.44_830_1.44"/>
    <s v="ISEL-1.44"/>
    <n v="1"/>
    <s v="NO TIENE L3OUT"/>
    <n v="12"/>
    <n v="54"/>
  </r>
  <r>
    <n v="821"/>
    <x v="2"/>
    <x v="163"/>
    <s v="eth1/44"/>
    <x v="0"/>
    <x v="0"/>
    <x v="0"/>
    <s v="LINK_TO_ITHFHWCBSPSWR21 /Slot5.1 /Redundante"/>
    <x v="0"/>
    <b v="0"/>
    <s v="No está en VPC"/>
    <n v="821"/>
    <s v="INTPG_VPC_816_1.44_821_1.44"/>
    <s v="ISEL-1.44"/>
    <n v="1"/>
    <s v="NO TIENE L3OUT"/>
    <n v="0"/>
    <n v="54"/>
  </r>
  <r>
    <n v="738"/>
    <x v="2"/>
    <x v="164"/>
    <s v="eth1/44"/>
    <x v="0"/>
    <x v="1"/>
    <x v="1"/>
    <m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44"/>
    <x v="0"/>
    <x v="1"/>
    <x v="3"/>
    <m/>
    <x v="0"/>
    <b v="0"/>
    <s v="No está en VPC"/>
    <n v="820"/>
    <s v="NO EXISTE PG"/>
    <s v="NO EXISTE ISEL"/>
    <n v="0"/>
    <s v="NO TIENE L3OUT"/>
    <n v="72"/>
    <n v="54"/>
  </r>
  <r>
    <n v="804"/>
    <x v="2"/>
    <x v="166"/>
    <s v="eth1/44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44"/>
    <x v="1"/>
    <x v="1"/>
    <x v="3"/>
    <m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44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44"/>
    <x v="0"/>
    <x v="0"/>
    <x v="0"/>
    <s v="LINK_TO_ITHFHWCBSDSWR31 /Slot5.2 /Principal"/>
    <x v="0"/>
    <b v="0"/>
    <s v="No está en VPC"/>
    <n v="827"/>
    <s v="INTPG_VPC_827_1.44_831_1.44"/>
    <s v="ISEL-1.44"/>
    <n v="2"/>
    <s v="NO TIENE L3OUT"/>
    <n v="14"/>
    <n v="54"/>
  </r>
  <r>
    <n v="809"/>
    <x v="2"/>
    <x v="170"/>
    <s v="eth1/44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44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44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44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44"/>
    <x v="1"/>
    <x v="1"/>
    <x v="3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44"/>
    <x v="0"/>
    <x v="0"/>
    <x v="0"/>
    <s v="ithenmr13e2r2_BAY1/X9"/>
    <x v="0"/>
    <b v="0"/>
    <s v="No está en VPC"/>
    <n v="772"/>
    <s v="INTPG_ACC_772_1.44"/>
    <s v="ISEL-1.44"/>
    <n v="20"/>
    <s v="NO TIENE L3OUT"/>
    <n v="82"/>
    <n v="54"/>
  </r>
  <r>
    <n v="785"/>
    <x v="2"/>
    <x v="176"/>
    <s v="eth1/44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44"/>
    <x v="0"/>
    <x v="0"/>
    <x v="0"/>
    <s v="LINK_TO_ITHFHWCRMPLCN115 / Slot7.2_34 / Redundante"/>
    <x v="0"/>
    <b v="0"/>
    <s v="No está en VPC"/>
    <n v="851"/>
    <s v="INTPG_ACC_851_1.44"/>
    <s v="ISEL-1.44"/>
    <n v="2"/>
    <s v="NO TIENE L3OUT"/>
    <n v="282"/>
    <n v="54"/>
  </r>
  <r>
    <n v="798"/>
    <x v="2"/>
    <x v="178"/>
    <s v="eth1/44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44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44"/>
    <x v="0"/>
    <x v="0"/>
    <x v="0"/>
    <s v="LINK_TO_ITHFHWCRMPLCN98 / Slot7.3_28 / Redundante"/>
    <x v="0"/>
    <b v="0"/>
    <s v="No está en VPC"/>
    <n v="852"/>
    <s v="INTPG_ACC_852_1.44"/>
    <s v="ISEL-1.44"/>
    <n v="1"/>
    <s v="NO TIENE L3OUT"/>
    <n v="258"/>
    <n v="54"/>
  </r>
  <r>
    <n v="817"/>
    <x v="2"/>
    <x v="181"/>
    <s v="eth1/44"/>
    <x v="0"/>
    <x v="0"/>
    <x v="0"/>
    <s v="LINK_TO_ITHFHWCBSPSWR28 /10GE.1 /Principal"/>
    <x v="0"/>
    <b v="0"/>
    <s v="No está en VPC"/>
    <n v="817"/>
    <s v="INTPG_VPC_817_1.44_822_1.44"/>
    <s v="ISEL-1.44"/>
    <n v="1"/>
    <s v="NO TIENE L3OUT"/>
    <n v="0"/>
    <n v="54"/>
  </r>
  <r>
    <n v="832"/>
    <x v="2"/>
    <x v="182"/>
    <s v="eth1/44"/>
    <x v="0"/>
    <x v="0"/>
    <x v="0"/>
    <s v="To_ITHFHWCRMDLCN41_Redundante"/>
    <x v="0"/>
    <b v="0"/>
    <s v="No está en VPC"/>
    <n v="832"/>
    <s v="INTPG_ACC_832_1.44"/>
    <s v="ISEL-1.44"/>
    <n v="1"/>
    <s v="NO TIENE L3OUT"/>
    <n v="192"/>
    <n v="54"/>
  </r>
  <r>
    <n v="816"/>
    <x v="2"/>
    <x v="183"/>
    <s v="eth1/44"/>
    <x v="0"/>
    <x v="0"/>
    <x v="0"/>
    <s v="LINK_TO_ITHFHWCBSPSWR21 /10GE.1 /Principal"/>
    <x v="0"/>
    <b v="0"/>
    <s v="No está en VPC"/>
    <n v="816"/>
    <s v="INTPG_VPC_816_1.44_821_1.44"/>
    <s v="ISEL-1.44"/>
    <n v="1"/>
    <s v="NO TIENE L3OUT"/>
    <n v="0"/>
    <n v="54"/>
  </r>
  <r>
    <n v="825"/>
    <x v="2"/>
    <x v="184"/>
    <s v="eth1/44"/>
    <x v="0"/>
    <x v="1"/>
    <x v="3"/>
    <m/>
    <x v="0"/>
    <b v="0"/>
    <s v="No está en VPC"/>
    <n v="825"/>
    <s v="NO EXISTE PG"/>
    <s v="NO EXISTE ISEL"/>
    <n v="0"/>
    <s v="NO TIENE L3OUT"/>
    <n v="72"/>
    <n v="54"/>
  </r>
  <r>
    <n v="800"/>
    <x v="2"/>
    <x v="185"/>
    <s v="eth1/44"/>
    <x v="0"/>
    <x v="0"/>
    <x v="0"/>
    <s v="TO-ITHFDEOCP1LWR12-REDUNDANTE"/>
    <x v="0"/>
    <b v="0"/>
    <s v="No está en VPC"/>
    <n v="800"/>
    <s v="INTPG_ACC_800_1.44"/>
    <s v="ISEL-1.44"/>
    <n v="1"/>
    <s v="NO TIENE L3OUT"/>
    <n v="78"/>
    <n v="54"/>
  </r>
  <r>
    <n v="801"/>
    <x v="2"/>
    <x v="186"/>
    <s v="eth1/44"/>
    <x v="0"/>
    <x v="0"/>
    <x v="0"/>
    <s v="TO-ITHFDEOCP1LWR12-PRINCIPAL"/>
    <x v="0"/>
    <b v="0"/>
    <s v="No está en VPC"/>
    <n v="801"/>
    <s v="INTPG_ACC_801_1.44"/>
    <s v="ISEL-1.44"/>
    <n v="1"/>
    <s v="NO TIENE L3OUT"/>
    <n v="78"/>
    <n v="54"/>
  </r>
  <r>
    <n v="823"/>
    <x v="2"/>
    <x v="187"/>
    <s v="eth1/44"/>
    <x v="0"/>
    <x v="0"/>
    <x v="0"/>
    <s v="LINK_TO_ITHFHWCBSPSWR39 /Slot7.2 /Redundante"/>
    <x v="0"/>
    <b v="0"/>
    <s v="No está en VPC"/>
    <n v="823"/>
    <s v="INTPG_VPC_818_1.44_823_1.44"/>
    <s v="ISEL-1.44"/>
    <n v="2"/>
    <s v="NO TIENE L3OUT"/>
    <n v="8"/>
    <n v="54"/>
  </r>
  <r>
    <n v="837"/>
    <x v="2"/>
    <x v="188"/>
    <s v="eth1/44"/>
    <x v="0"/>
    <x v="0"/>
    <x v="0"/>
    <s v="LINK_To_ITHFHWCBSPSHD22 / Slot1.3_20 / Principal"/>
    <x v="0"/>
    <b v="0"/>
    <s v="No está en VPC"/>
    <n v="837"/>
    <s v="INTPG_VPC_837_1.44_842_1.44"/>
    <s v="ISEL-1.44"/>
    <n v="1"/>
    <s v="NO TIENE L3OUT"/>
    <n v="8"/>
    <n v="54"/>
  </r>
  <r>
    <n v="867"/>
    <x v="2"/>
    <x v="189"/>
    <s v="eth1/44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44"/>
    <x v="0"/>
    <x v="0"/>
    <x v="0"/>
    <s v="To_VPC_2DCRMD_SBD05_3_Principal"/>
    <x v="0"/>
    <b v="0"/>
    <s v="No está en VPC"/>
    <n v="829"/>
    <s v="INTPG_VPC_829_1.44_833_1.44"/>
    <s v="ISEL-1.44"/>
    <n v="1"/>
    <s v="NO TIENE L3OUT"/>
    <n v="224"/>
    <n v="54"/>
  </r>
  <r>
    <n v="831"/>
    <x v="2"/>
    <x v="191"/>
    <s v="eth1/44"/>
    <x v="0"/>
    <x v="0"/>
    <x v="0"/>
    <s v="LINK_TO_ITHFHWCBSDSWR31 /Slot7.2 /Redundante"/>
    <x v="0"/>
    <b v="0"/>
    <s v="No está en VPC"/>
    <n v="831"/>
    <s v="INTPG_VPC_827_1.44_831_1.44"/>
    <s v="ISEL-1.44"/>
    <n v="2"/>
    <s v="NO TIENE L3OUT"/>
    <n v="14"/>
    <n v="54"/>
  </r>
  <r>
    <n v="802"/>
    <x v="2"/>
    <x v="192"/>
    <s v="eth1/44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44"/>
    <x v="0"/>
    <x v="0"/>
    <x v="0"/>
    <s v="LINK_TO_ITHFHWCBSPSHDCTL06 / Slot1.1_12 / Principal"/>
    <x v="0"/>
    <b v="0"/>
    <s v="No está en VPC"/>
    <n v="835"/>
    <s v="INTPG_VPC_835_1.44_840_1.44"/>
    <s v="ISEL-1.44"/>
    <n v="2"/>
    <s v="NO TIENE L3OUT"/>
    <n v="8"/>
    <n v="54"/>
  </r>
  <r>
    <n v="822"/>
    <x v="2"/>
    <x v="194"/>
    <s v="eth1/44"/>
    <x v="0"/>
    <x v="0"/>
    <x v="0"/>
    <s v="LINK_TO_ITHFHWCBSPSWR28 /Slot5.1 /Redundante"/>
    <x v="0"/>
    <b v="0"/>
    <s v="No está en VPC"/>
    <n v="822"/>
    <s v="INTPG_VPC_817_1.44_822_1.44"/>
    <s v="ISEL-1.44"/>
    <n v="1"/>
    <s v="NO TIENE L3OUT"/>
    <n v="0"/>
    <n v="54"/>
  </r>
  <r>
    <n v="854"/>
    <x v="2"/>
    <x v="195"/>
    <s v="eth1/44"/>
    <x v="0"/>
    <x v="0"/>
    <x v="0"/>
    <s v="LINK_TO_ITHFHWCRMPLCN153 / Slot1.1_8 / Principal"/>
    <x v="0"/>
    <b v="0"/>
    <s v="No está en VPC"/>
    <n v="854"/>
    <s v="INTPG_ACC_854_1.44"/>
    <s v="ISEL-1.44"/>
    <n v="6"/>
    <s v="NO TIENE L3OUT"/>
    <n v="204"/>
    <n v="54"/>
  </r>
  <r>
    <n v="858"/>
    <x v="2"/>
    <x v="196"/>
    <s v="eth1/44"/>
    <x v="0"/>
    <x v="0"/>
    <x v="0"/>
    <s v="To_ITHHWD6KV65100015DKC01_Principal"/>
    <x v="0"/>
    <b v="0"/>
    <s v="No está en VPC"/>
    <n v="858"/>
    <s v="INTPG_ACC_858_1.44"/>
    <s v="ISEL-1.44"/>
    <n v="1"/>
    <s v="NO TIENE L3OUT"/>
    <n v="8"/>
    <n v="54"/>
  </r>
  <r>
    <n v="857"/>
    <x v="2"/>
    <x v="197"/>
    <s v="eth1/44"/>
    <x v="0"/>
    <x v="0"/>
    <x v="0"/>
    <s v="LINKT_TO_ITHFHWCRMPLCN130 / Slot1.1_30 / Principal"/>
    <x v="0"/>
    <b v="0"/>
    <s v="No está en VPC"/>
    <n v="857"/>
    <s v="INTPG_ACC_857_1.44"/>
    <s v="ISEL-1.44"/>
    <n v="6"/>
    <s v="NO TIENE L3OUT"/>
    <n v="288"/>
    <n v="54"/>
  </r>
  <r>
    <n v="859"/>
    <x v="2"/>
    <x v="198"/>
    <s v="eth1/44"/>
    <x v="0"/>
    <x v="0"/>
    <x v="0"/>
    <s v="To_VPC_2DCBSD_WR50_2"/>
    <x v="0"/>
    <b v="0"/>
    <s v="No está en VPC"/>
    <n v="859"/>
    <s v="INTPG_VPC_859_1.44_864_1.44"/>
    <s v="ISEL-1.44"/>
    <n v="1"/>
    <s v="NO TIENE L3OUT"/>
    <n v="0"/>
    <n v="54"/>
  </r>
  <r>
    <n v="833"/>
    <x v="2"/>
    <x v="199"/>
    <s v="eth1/44"/>
    <x v="0"/>
    <x v="0"/>
    <x v="0"/>
    <s v="To_VPC_2DCRMD_SBD05_3_Redundancia"/>
    <x v="0"/>
    <b v="0"/>
    <s v="No está en VPC"/>
    <n v="833"/>
    <s v="INTPG_VPC_829_1.44_833_1.44"/>
    <s v="ISEL-1.44"/>
    <n v="1"/>
    <s v="NO TIENE L3OUT"/>
    <n v="224"/>
    <n v="54"/>
  </r>
  <r>
    <n v="818"/>
    <x v="2"/>
    <x v="200"/>
    <s v="eth1/44"/>
    <x v="0"/>
    <x v="0"/>
    <x v="0"/>
    <s v="LINK_TO_ITHFHWCBSPSWR39 /Slot5.2 /Principal"/>
    <x v="0"/>
    <b v="0"/>
    <s v="No está en VPC"/>
    <n v="818"/>
    <s v="INTPG_VPC_818_1.44_823_1.44"/>
    <s v="ISEL-1.44"/>
    <n v="2"/>
    <s v="NO TIENE L3OUT"/>
    <n v="8"/>
    <n v="54"/>
  </r>
  <r>
    <n v="850"/>
    <x v="2"/>
    <x v="201"/>
    <s v="eth1/44"/>
    <x v="0"/>
    <x v="0"/>
    <x v="0"/>
    <s v="LINKT_TO_ITHFHWCRMPLCN130 / Slot7.1_30 / Redundante"/>
    <x v="0"/>
    <b v="0"/>
    <s v="No está en VPC"/>
    <n v="850"/>
    <s v="INTPG_ACC_850_1.44"/>
    <s v="ISEL-1.44"/>
    <n v="6"/>
    <s v="NO TIENE L3OUT"/>
    <n v="288"/>
    <n v="54"/>
  </r>
  <r>
    <n v="860"/>
    <x v="2"/>
    <x v="202"/>
    <s v="eth1/44"/>
    <x v="0"/>
    <x v="0"/>
    <x v="0"/>
    <s v="To_VPC_2DCBSD_WR40_2"/>
    <x v="0"/>
    <b v="0"/>
    <s v="No está en VPC"/>
    <n v="860"/>
    <s v="INTPG_VPC_860_1.44_865_1.44"/>
    <s v="ISEL-1.44"/>
    <n v="1"/>
    <s v="NO TIENE L3OUT"/>
    <n v="0"/>
    <n v="54"/>
  </r>
  <r>
    <n v="853"/>
    <x v="2"/>
    <x v="203"/>
    <s v="eth1/44"/>
    <x v="0"/>
    <x v="0"/>
    <x v="0"/>
    <s v="LINK_TO_ITHFHWCRMPLCN86 / Slot7.2_30 / Redundante"/>
    <x v="0"/>
    <b v="0"/>
    <s v="No está en VPC"/>
    <n v="853"/>
    <s v="INTPG_ACC_853_1.44"/>
    <s v="ISEL-1.44"/>
    <n v="2"/>
    <s v="NO TIENE L3OUT"/>
    <n v="242"/>
    <n v="54"/>
  </r>
  <r>
    <n v="790"/>
    <x v="2"/>
    <x v="204"/>
    <s v="eth1/44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44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44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44"/>
    <x v="0"/>
    <x v="1"/>
    <x v="1"/>
    <m/>
    <x v="6"/>
    <b v="0"/>
    <s v="No está en VPC"/>
    <n v="104"/>
    <s v="NO EXISTE PG"/>
    <s v="NO EXISTE ISEL"/>
    <n v="0"/>
    <s v="NO TIENE L3OUT"/>
    <n v="194"/>
    <n v="96"/>
  </r>
  <r>
    <n v="158"/>
    <x v="0"/>
    <x v="208"/>
    <s v="eth1/44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44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44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44"/>
    <x v="0"/>
    <x v="0"/>
    <x v="0"/>
    <m/>
    <x v="6"/>
    <b v="0"/>
    <s v="No está en VPC"/>
    <n v="108"/>
    <s v="INTPG_ACC_108_1.44"/>
    <s v="ISEL-1.44"/>
    <n v="1"/>
    <s v="NO TIENE L3OUT"/>
    <n v="126"/>
    <n v="96"/>
  </r>
  <r>
    <n v="112"/>
    <x v="0"/>
    <x v="212"/>
    <s v="eth1/44"/>
    <x v="0"/>
    <x v="1"/>
    <x v="1"/>
    <s v="HP Report OptimizireRack 300"/>
    <x v="6"/>
    <b v="0"/>
    <s v="No está en VPC"/>
    <n v="112"/>
    <s v="INTPG_ACC_112_1.44"/>
    <s v="ISEL-1.44"/>
    <n v="1"/>
    <s v="NO TIENE L3OUT"/>
    <n v="144"/>
    <n v="96"/>
  </r>
  <r>
    <n v="107"/>
    <x v="0"/>
    <x v="213"/>
    <s v="eth1/44"/>
    <x v="0"/>
    <x v="0"/>
    <x v="0"/>
    <s v="COMISIONES"/>
    <x v="6"/>
    <b v="0"/>
    <s v="No está en VPC"/>
    <n v="107"/>
    <s v="INTPG_ACC_107_1.44"/>
    <s v="ISEL-1.44"/>
    <n v="1"/>
    <s v="NO TIENE L3OUT"/>
    <n v="118"/>
    <n v="96"/>
  </r>
  <r>
    <n v="109"/>
    <x v="0"/>
    <x v="214"/>
    <s v="eth1/44"/>
    <x v="0"/>
    <x v="0"/>
    <x v="0"/>
    <m/>
    <x v="6"/>
    <b v="0"/>
    <s v="No está en VPC"/>
    <n v="109"/>
    <s v="INTPG_ACC_109_1.44"/>
    <s v="ISEL-1.44"/>
    <n v="1"/>
    <s v="NO TIENE L3OUT"/>
    <n v="126"/>
    <n v="96"/>
  </r>
  <r>
    <n v="113"/>
    <x v="0"/>
    <x v="215"/>
    <s v="eth1/44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44"/>
    <x v="0"/>
    <x v="1"/>
    <x v="1"/>
    <s v="SAPCCRATING02"/>
    <x v="6"/>
    <b v="0"/>
    <s v="No está en VPC"/>
    <n v="114"/>
    <s v="INTPG_VPC_112_1.47_114_1.44"/>
    <s v="ISEL-1.44"/>
    <n v="1"/>
    <s v="NO TIENE L3OUT"/>
    <n v="144"/>
    <n v="96"/>
  </r>
  <r>
    <n v="124"/>
    <x v="0"/>
    <x v="217"/>
    <s v="eth1/44"/>
    <x v="0"/>
    <x v="0"/>
    <x v="0"/>
    <s v="MONITOREO DE SWITCHS EXTREME OSS EN SPECTRUM"/>
    <x v="6"/>
    <b v="0"/>
    <s v="No está en VPC"/>
    <n v="124"/>
    <s v="INTPG_ACC_124_1.44"/>
    <s v="ISEL-1.44"/>
    <n v="1"/>
    <s v="NO TIENE L3OUT"/>
    <n v="80"/>
    <n v="96"/>
  </r>
  <r>
    <n v="118"/>
    <x v="0"/>
    <x v="218"/>
    <s v="eth1/44"/>
    <x v="0"/>
    <x v="0"/>
    <x v="0"/>
    <s v="INGE6"/>
    <x v="6"/>
    <b v="0"/>
    <s v="No está en VPC"/>
    <n v="118"/>
    <s v="INTPG_ACC_118_1.44"/>
    <s v="ISEL-1.44"/>
    <n v="1"/>
    <s v="NO TIENE L3OUT"/>
    <n v="180"/>
    <n v="96"/>
  </r>
  <r>
    <n v="159"/>
    <x v="0"/>
    <x v="219"/>
    <s v="eth1/44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44"/>
    <x v="0"/>
    <x v="0"/>
    <x v="0"/>
    <s v="LINK_TO_ITHFHWCBSPSHDCTL06 / Slot7.1_12 / Redundante"/>
    <x v="0"/>
    <b v="0"/>
    <s v="No está en VPC"/>
    <n v="840"/>
    <s v="INTPG_VPC_835_1.44_840_1.44"/>
    <s v="ISEL-1.44"/>
    <n v="2"/>
    <s v="NO TIENE L3OUT"/>
    <n v="8"/>
    <n v="54"/>
  </r>
  <r>
    <n v="856"/>
    <x v="2"/>
    <x v="221"/>
    <s v="eth1/44"/>
    <x v="0"/>
    <x v="0"/>
    <x v="0"/>
    <s v="LINK_TO_ITHFHWCRMPLCN149 / Slot1.1_32 / Principal"/>
    <x v="0"/>
    <b v="0"/>
    <s v="No está en VPC"/>
    <n v="856"/>
    <s v="INTPG_ACC_856_1.44"/>
    <s v="ISEL-1.44"/>
    <n v="6"/>
    <s v="NO TIENE L3OUT"/>
    <n v="286"/>
    <n v="54"/>
  </r>
  <r>
    <n v="110"/>
    <x v="0"/>
    <x v="222"/>
    <s v="eth1/44"/>
    <x v="0"/>
    <x v="1"/>
    <x v="1"/>
    <s v="SUN6900_E25K"/>
    <x v="6"/>
    <b v="0"/>
    <s v="No está en VPC"/>
    <n v="110"/>
    <s v="INTPG_ACC_110_1.44"/>
    <s v="ISEL-1.44"/>
    <n v="1"/>
    <s v="NO TIENE L3OUT"/>
    <n v="102"/>
    <n v="96"/>
  </r>
  <r>
    <n v="163"/>
    <x v="0"/>
    <x v="223"/>
    <s v="eth1/44"/>
    <x v="0"/>
    <x v="1"/>
    <x v="1"/>
    <m/>
    <x v="6"/>
    <b v="0"/>
    <s v="No está en VPC"/>
    <n v="163"/>
    <s v="INTPG_VPC_163_1.44_161_1.39"/>
    <s v="ISEL-1.44"/>
    <n v="1"/>
    <s v="NO TIENE L3OUT"/>
    <n v="140"/>
    <n v="96"/>
  </r>
  <r>
    <n v="407"/>
    <x v="1"/>
    <x v="224"/>
    <s v="eth1/44"/>
    <x v="0"/>
    <x v="0"/>
    <x v="0"/>
    <s v="CPP_4_15"/>
    <x v="6"/>
    <b v="0"/>
    <s v="No está en VPC"/>
    <n v="407"/>
    <s v="INTPG_ACC_407_1.44"/>
    <s v="ISEL-1.44"/>
    <n v="1"/>
    <s v="NO TIENE L3OUT"/>
    <n v="122"/>
    <n v="96"/>
  </r>
  <r>
    <n v="171"/>
    <x v="0"/>
    <x v="225"/>
    <s v="eth1/44"/>
    <x v="0"/>
    <x v="0"/>
    <x v="0"/>
    <s v="HP_Performance_Insight"/>
    <x v="6"/>
    <b v="0"/>
    <s v="No está en VPC"/>
    <n v="171"/>
    <s v="INTPG_ACC_171_1.44"/>
    <s v="ISEL-1.44"/>
    <n v="1"/>
    <s v="NO TIENE L3OUT"/>
    <n v="114"/>
    <n v="96"/>
  </r>
  <r>
    <n v="421"/>
    <x v="1"/>
    <x v="226"/>
    <s v="eth1/44"/>
    <x v="0"/>
    <x v="0"/>
    <x v="0"/>
    <s v="PortalCautivo2_f5em01_mgmt"/>
    <x v="6"/>
    <b v="0"/>
    <s v="No está en VPC"/>
    <n v="421"/>
    <s v="INTPG_ACC_421_1.44"/>
    <s v="ISEL-1.44"/>
    <n v="1"/>
    <s v="NO TIENE L3OUT"/>
    <n v="72"/>
    <n v="96"/>
  </r>
  <r>
    <n v="173"/>
    <x v="0"/>
    <x v="227"/>
    <s v="eth1/44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44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44"/>
    <x v="0"/>
    <x v="0"/>
    <x v="0"/>
    <s v="SRS (Speedy Rating System)"/>
    <x v="6"/>
    <b v="0"/>
    <s v="No está en VPC"/>
    <n v="172"/>
    <s v="INTPG_ACC_172_1.44"/>
    <s v="ISEL-1.44"/>
    <n v="1"/>
    <s v="NO TIENE L3OUT"/>
    <n v="104"/>
    <n v="96"/>
  </r>
  <r>
    <n v="420"/>
    <x v="1"/>
    <x v="230"/>
    <s v="eth1/44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44"/>
    <x v="0"/>
    <x v="0"/>
    <x v="0"/>
    <s v="SPECSERVER2_ADMIN2"/>
    <x v="6"/>
    <b v="0"/>
    <s v="No está en VPC"/>
    <n v="423"/>
    <s v="INTPG_ACC_423_1.44"/>
    <s v="ISEL-1.44"/>
    <n v="1"/>
    <s v="NO TIENE L3OUT"/>
    <n v="86"/>
    <n v="96"/>
  </r>
  <r>
    <n v="415"/>
    <x v="1"/>
    <x v="232"/>
    <s v="eth1/44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44"/>
    <x v="1"/>
    <x v="1"/>
    <x v="2"/>
    <s v="IXTLA4_VC1:VMTLCLAMX5:VC1  X4"/>
    <x v="6"/>
    <b v="0"/>
    <s v="No está en VPC"/>
    <n v="102"/>
    <s v="INTPG_PC_102_1.41-48"/>
    <s v="ISEL-1.44"/>
    <n v="0"/>
    <s v="NO TIENE L3OUT"/>
    <n v="228"/>
    <n v="96"/>
  </r>
  <r>
    <n v="863"/>
    <x v="2"/>
    <x v="234"/>
    <s v="eth1/44"/>
    <x v="0"/>
    <x v="0"/>
    <x v="0"/>
    <s v="To_ITHHWD6KV65100015DKC01_Redundante"/>
    <x v="0"/>
    <b v="0"/>
    <s v="No está en VPC"/>
    <n v="863"/>
    <s v="INTPG_ACC_863_1.44"/>
    <s v="ISEL-1.44"/>
    <n v="1"/>
    <s v="NO TIENE L3OUT"/>
    <n v="8"/>
    <n v="54"/>
  </r>
  <r>
    <n v="876"/>
    <x v="2"/>
    <x v="235"/>
    <s v="eth1/44"/>
    <x v="0"/>
    <x v="0"/>
    <x v="0"/>
    <s v="A_ITHFHWSEQLDPS04_Principal"/>
    <x v="4"/>
    <b v="0"/>
    <s v="No está en VPC"/>
    <n v="876"/>
    <s v="INTPG_ACC_876_1.44"/>
    <s v="ISEL-1.44"/>
    <n v="1"/>
    <s v="NO TIENE L3OUT"/>
    <n v="92"/>
    <n v="54"/>
  </r>
  <r>
    <n v="877"/>
    <x v="2"/>
    <x v="236"/>
    <s v="eth1/44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44"/>
    <x v="1"/>
    <x v="1"/>
    <x v="2"/>
    <s v="ZFS X5-2"/>
    <x v="6"/>
    <b v="0"/>
    <s v="No está en VPC"/>
    <n v="122"/>
    <s v="INTPG_ACC_122_1.44"/>
    <s v="ISEL-1.44"/>
    <n v="0"/>
    <s v="NO TIENE L3OUT"/>
    <n v="148"/>
    <n v="96"/>
  </r>
  <r>
    <n v="157"/>
    <x v="0"/>
    <x v="238"/>
    <s v="eth1/44"/>
    <x v="0"/>
    <x v="0"/>
    <x v="0"/>
    <s v="CIRCULO AZUL 1"/>
    <x v="6"/>
    <b v="0"/>
    <s v="No está en VPC"/>
    <n v="157"/>
    <s v="INTPG_ACC_157_1.44"/>
    <s v="ISEL-1.44"/>
    <n v="1"/>
    <s v="NO TIENE L3OUT"/>
    <n v="202"/>
    <n v="96"/>
  </r>
  <r>
    <n v="408"/>
    <x v="1"/>
    <x v="239"/>
    <s v="eth1/44"/>
    <x v="0"/>
    <x v="0"/>
    <x v="0"/>
    <s v="HNMP101A"/>
    <x v="6"/>
    <b v="0"/>
    <s v="No está en VPC"/>
    <n v="408"/>
    <s v="INTPG_ACC_408_1.44"/>
    <s v="ISEL-1.44"/>
    <n v="1"/>
    <s v="NO TIENE L3OUT"/>
    <n v="152"/>
    <n v="96"/>
  </r>
  <r>
    <n v="405"/>
    <x v="1"/>
    <x v="240"/>
    <s v="eth1/44"/>
    <x v="0"/>
    <x v="0"/>
    <x v="0"/>
    <s v="ITHSGHP0"/>
    <x v="6"/>
    <b v="0"/>
    <s v="No está en VPC"/>
    <n v="405"/>
    <s v="INTPG_ACC_405_1.44"/>
    <s v="ISEL-1.44"/>
    <n v="1"/>
    <s v="NO TIENE L3OUT"/>
    <n v="138"/>
    <n v="96"/>
  </r>
  <r>
    <n v="169"/>
    <x v="0"/>
    <x v="241"/>
    <s v="eth1/44"/>
    <x v="0"/>
    <x v="0"/>
    <x v="0"/>
    <s v="Commvault_Gestion"/>
    <x v="6"/>
    <b v="0"/>
    <s v="No está en VPC"/>
    <n v="169"/>
    <s v="INTPG_ACC_169_1.44"/>
    <s v="ISEL-1.44"/>
    <n v="1"/>
    <s v="NO TIENE L3OUT"/>
    <n v="76"/>
    <n v="96"/>
  </r>
  <r>
    <n v="165"/>
    <x v="0"/>
    <x v="242"/>
    <s v="eth1/44"/>
    <x v="0"/>
    <x v="0"/>
    <x v="0"/>
    <s v="NOMINA_uxnomaps"/>
    <x v="6"/>
    <b v="0"/>
    <s v="No está en VPC"/>
    <n v="165"/>
    <s v="INTPG_ACC_165_1.44"/>
    <s v="ISEL-1.44"/>
    <n v="1"/>
    <s v="NO TIENE L3OUT"/>
    <n v="86"/>
    <n v="96"/>
  </r>
  <r>
    <n v="417"/>
    <x v="1"/>
    <x v="243"/>
    <s v="eth1/44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44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44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44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44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44"/>
    <x v="0"/>
    <x v="0"/>
    <x v="0"/>
    <s v="TC3_ithmomce1_VC2_X5"/>
    <x v="6"/>
    <b v="0"/>
    <s v="No está en VPC"/>
    <n v="438"/>
    <s v="INTPG_ACC_438_1.44"/>
    <s v="ISEL-1.44"/>
    <n v="7"/>
    <s v="NO TIENE L3OUT"/>
    <n v="170"/>
    <n v="96"/>
  </r>
  <r>
    <n v="406"/>
    <x v="1"/>
    <x v="249"/>
    <s v="eth1/44"/>
    <x v="0"/>
    <x v="0"/>
    <x v="0"/>
    <s v="VIOSDES1-VIOSDES1_CLT"/>
    <x v="6"/>
    <b v="0"/>
    <s v="No está en VPC"/>
    <n v="406"/>
    <s v="INTPG_VPC_404_1.43-44_406_1.43-44"/>
    <s v="ISEL-1.44"/>
    <n v="1"/>
    <s v="NO TIENE L3OUT"/>
    <n v="82"/>
    <n v="96"/>
  </r>
  <r>
    <n v="414"/>
    <x v="1"/>
    <x v="250"/>
    <s v="eth1/44"/>
    <x v="0"/>
    <x v="0"/>
    <x v="0"/>
    <s v="Exadata4"/>
    <x v="6"/>
    <b v="0"/>
    <s v="No está en VPC"/>
    <n v="414"/>
    <s v="INTPG_ACC_414_1.44"/>
    <s v="ISEL-1.44"/>
    <n v="1"/>
    <s v="NO TIENE L3OUT"/>
    <n v="144"/>
    <n v="96"/>
  </r>
  <r>
    <n v="416"/>
    <x v="1"/>
    <x v="251"/>
    <s v="eth1/44"/>
    <x v="0"/>
    <x v="0"/>
    <x v="0"/>
    <s v="DESC"/>
    <x v="6"/>
    <b v="0"/>
    <s v="No está en VPC"/>
    <n v="416"/>
    <s v="INTPG_PC_416_1.40-45"/>
    <s v="ISEL-1.44"/>
    <n v="7"/>
    <s v="NO TIENE L3OUT"/>
    <n v="110"/>
    <n v="96"/>
  </r>
  <r>
    <n v="418"/>
    <x v="1"/>
    <x v="252"/>
    <s v="eth1/44"/>
    <x v="0"/>
    <x v="0"/>
    <x v="0"/>
    <s v="DESC"/>
    <x v="6"/>
    <b v="0"/>
    <s v="No está en VPC"/>
    <n v="418"/>
    <s v="INTPG_PC_418_1.40-45"/>
    <s v="ISEL-1.44"/>
    <n v="7"/>
    <s v="NO TIENE L3OUT"/>
    <n v="152"/>
    <n v="96"/>
  </r>
  <r>
    <n v="413"/>
    <x v="1"/>
    <x v="253"/>
    <s v="eth1/44"/>
    <x v="1"/>
    <x v="1"/>
    <x v="2"/>
    <s v="To-uxingemc2 ldom 2 uxsmart03"/>
    <x v="6"/>
    <b v="0"/>
    <s v="No está en VPC"/>
    <n v="413"/>
    <s v="INTPG_ACC_413_1.44"/>
    <s v="ISEL-1.44"/>
    <n v="0"/>
    <s v="NO TIENE L3OUT"/>
    <n v="126"/>
    <n v="96"/>
  </r>
  <r>
    <n v="403"/>
    <x v="1"/>
    <x v="254"/>
    <s v="eth1/44"/>
    <x v="1"/>
    <x v="1"/>
    <x v="2"/>
    <s v="AUTOABASTECIMIENTO_CFE"/>
    <x v="6"/>
    <b v="0"/>
    <s v="No está en VPC"/>
    <n v="403"/>
    <s v="INTPG_ACC_403_1.44"/>
    <s v="ISEL-1.44"/>
    <n v="1"/>
    <s v="NO TIENE L3OUT"/>
    <n v="150"/>
    <n v="96"/>
  </r>
  <r>
    <n v="125"/>
    <x v="0"/>
    <x v="255"/>
    <s v="eth1/44"/>
    <x v="0"/>
    <x v="0"/>
    <x v="0"/>
    <m/>
    <x v="6"/>
    <b v="0"/>
    <s v="No está en VPC"/>
    <n v="125"/>
    <s v="INTPG_ACC_125_1.44"/>
    <s v="ISEL-1.44"/>
    <n v="1"/>
    <s v="NO TIENE L3OUT"/>
    <n v="72"/>
    <n v="96"/>
  </r>
  <r>
    <n v="166"/>
    <x v="0"/>
    <x v="256"/>
    <s v="eth1/44"/>
    <x v="1"/>
    <x v="1"/>
    <x v="2"/>
    <s v="NOMINA_hmcNomina1"/>
    <x v="6"/>
    <b v="0"/>
    <s v="No está en VPC"/>
    <n v="166"/>
    <s v="INTPG_ACC_166_1.44"/>
    <s v="ISEL-1.44"/>
    <n v="1"/>
    <s v="NO TIENE L3OUT"/>
    <n v="84"/>
    <n v="96"/>
  </r>
  <r>
    <n v="111"/>
    <x v="0"/>
    <x v="257"/>
    <s v="eth1/44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44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44"/>
    <x v="0"/>
    <x v="0"/>
    <x v="0"/>
    <s v="COMISIONES"/>
    <x v="6"/>
    <b v="0"/>
    <s v="No está en VPC"/>
    <n v="106"/>
    <s v="INTPG_ACC_106_1.44"/>
    <s v="ISEL-1.44"/>
    <n v="1"/>
    <s v="NO TIENE L3OUT"/>
    <n v="122"/>
    <n v="96"/>
  </r>
  <r>
    <n v="126"/>
    <x v="0"/>
    <x v="260"/>
    <s v="eth1/44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44"/>
    <x v="0"/>
    <x v="0"/>
    <x v="0"/>
    <s v="ITHPA04_eth1_IPMP-Pasiva"/>
    <x v="6"/>
    <b v="0"/>
    <s v="No está en VPC"/>
    <n v="425"/>
    <s v="INTPG_ACC_425_1.44"/>
    <s v="ISEL-1.44"/>
    <n v="1"/>
    <s v="NO TIENE L3OUT"/>
    <n v="86"/>
    <n v="96"/>
  </r>
  <r>
    <n v="151"/>
    <x v="0"/>
    <x v="262"/>
    <s v="eth1/44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44"/>
    <x v="0"/>
    <x v="0"/>
    <x v="0"/>
    <s v="TO-sfovmp02-LAN0-PRINCIPAL"/>
    <x v="6"/>
    <b v="0"/>
    <s v="No está en VPC"/>
    <n v="430"/>
    <s v="INTPG_ACC_430_1.44"/>
    <s v="ISEL-1.44"/>
    <n v="1"/>
    <s v="NO TIENE L3OUT"/>
    <n v="86"/>
    <n v="96"/>
  </r>
  <r>
    <n v="419"/>
    <x v="1"/>
    <x v="264"/>
    <s v="eth1/44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44"/>
    <x v="0"/>
    <x v="0"/>
    <x v="0"/>
    <s v="COBROS NAVEGACION"/>
    <x v="6"/>
    <b v="0"/>
    <s v="No está en VPC"/>
    <n v="155"/>
    <s v="INTPG_ACC_155_1.44"/>
    <s v="ISEL-1.44"/>
    <n v="1"/>
    <s v="NO TIENE L3OUT"/>
    <n v="198"/>
    <n v="96"/>
  </r>
  <r>
    <n v="409"/>
    <x v="1"/>
    <x v="266"/>
    <s v="eth1/44"/>
    <x v="0"/>
    <x v="0"/>
    <x v="0"/>
    <s v="IXTPPMRP01"/>
    <x v="6"/>
    <b v="0"/>
    <s v="No está en VPC"/>
    <n v="409"/>
    <s v="INTPG_ACC_409_1.44"/>
    <s v="ISEL-1.44"/>
    <n v="1"/>
    <s v="NO TIENE L3OUT"/>
    <n v="128"/>
    <n v="96"/>
  </r>
  <r>
    <n v="422"/>
    <x v="1"/>
    <x v="267"/>
    <s v="eth1/44"/>
    <x v="0"/>
    <x v="0"/>
    <x v="0"/>
    <s v="ITHRTC4BEN2OA2"/>
    <x v="6"/>
    <b v="0"/>
    <s v="No está en VPC"/>
    <n v="422"/>
    <s v="INTPG_ACC_422_1.44"/>
    <s v="ISEL-1.44"/>
    <n v="1"/>
    <s v="NO TIENE L3OUT"/>
    <n v="182"/>
    <n v="96"/>
  </r>
  <r>
    <n v="436"/>
    <x v="1"/>
    <x v="268"/>
    <s v="eth1/44"/>
    <x v="0"/>
    <x v="0"/>
    <x v="0"/>
    <s v="DESC"/>
    <x v="6"/>
    <b v="0"/>
    <s v="No está en VPC"/>
    <n v="436"/>
    <s v="INTPG_PC_436_1.40-45"/>
    <s v="ISEL-1.44"/>
    <n v="7"/>
    <s v="NO TIENE L3OUT"/>
    <n v="172"/>
    <n v="96"/>
  </r>
  <r>
    <n v="410"/>
    <x v="1"/>
    <x v="269"/>
    <s v="eth1/44"/>
    <x v="0"/>
    <x v="1"/>
    <x v="1"/>
    <s v="NMS01_S02"/>
    <x v="6"/>
    <b v="0"/>
    <s v="No está en VPC"/>
    <n v="410"/>
    <s v="INTPG_ACC_410_1.44"/>
    <s v="ISEL-1.44"/>
    <n v="1"/>
    <s v="NO TIENE L3OUT"/>
    <n v="178"/>
    <n v="96"/>
  </r>
  <r>
    <n v="161"/>
    <x v="0"/>
    <x v="270"/>
    <s v="eth1/44"/>
    <x v="1"/>
    <x v="1"/>
    <x v="2"/>
    <s v="CELCITE"/>
    <x v="6"/>
    <b v="0"/>
    <s v="No está en VPC"/>
    <n v="161"/>
    <s v="INTPG_ACC_161_1.44"/>
    <s v="ISEL-1.44"/>
    <n v="1"/>
    <s v="NO TIENE L3OUT"/>
    <n v="102"/>
    <n v="96"/>
  </r>
  <r>
    <n v="411"/>
    <x v="1"/>
    <x v="271"/>
    <s v="eth1/44"/>
    <x v="0"/>
    <x v="0"/>
    <x v="0"/>
    <s v="SPIDERNET4"/>
    <x v="6"/>
    <b v="0"/>
    <s v="No está en VPC"/>
    <n v="411"/>
    <s v="INTPG_ACC_411_1.44"/>
    <s v="ISEL-1.44"/>
    <n v="1"/>
    <s v="NO TIENE L3OUT"/>
    <n v="96"/>
    <n v="96"/>
  </r>
  <r>
    <n v="116"/>
    <x v="0"/>
    <x v="272"/>
    <s v="eth1/44"/>
    <x v="0"/>
    <x v="1"/>
    <x v="1"/>
    <s v="USSD TANGO"/>
    <x v="6"/>
    <b v="0"/>
    <s v="No está en VPC"/>
    <n v="116"/>
    <s v="INTPG_ACC_116_1.44"/>
    <s v="ISEL-1.44"/>
    <n v="1"/>
    <s v="NO TIENE L3OUT"/>
    <n v="148"/>
    <n v="96"/>
  </r>
  <r>
    <n v="412"/>
    <x v="1"/>
    <x v="273"/>
    <s v="eth1/44"/>
    <x v="0"/>
    <x v="0"/>
    <x v="0"/>
    <s v="HNMP101B"/>
    <x v="6"/>
    <b v="0"/>
    <s v="No está en VPC"/>
    <n v="412"/>
    <s v="INTPG_ACC_412_1.44"/>
    <s v="ISEL-1.44"/>
    <n v="1"/>
    <s v="NO TIENE L3OUT"/>
    <n v="126"/>
    <n v="96"/>
  </r>
  <r>
    <n v="120"/>
    <x v="0"/>
    <x v="274"/>
    <s v="eth1/44"/>
    <x v="0"/>
    <x v="0"/>
    <x v="0"/>
    <s v="uxcintra-adm"/>
    <x v="6"/>
    <b v="0"/>
    <s v="No está en VPC"/>
    <n v="120"/>
    <s v="INTPG_ACC_120_1.44"/>
    <s v="ISEL-1.44"/>
    <n v="1"/>
    <s v="NO TIENE L3OUT"/>
    <n v="158"/>
    <n v="96"/>
  </r>
  <r>
    <n v="404"/>
    <x v="1"/>
    <x v="275"/>
    <s v="eth1/44"/>
    <x v="0"/>
    <x v="0"/>
    <x v="0"/>
    <s v="VIOSDES1-VIOSDES1_CLT"/>
    <x v="6"/>
    <b v="0"/>
    <s v="No está en VPC"/>
    <n v="404"/>
    <s v="INTPG_VPC_404_1.43-44_406_1.43-44"/>
    <s v="ISEL-1.44"/>
    <n v="1"/>
    <s v="NO TIENE L3OUT"/>
    <n v="92"/>
    <n v="96"/>
  </r>
  <r>
    <n v="167"/>
    <x v="0"/>
    <x v="276"/>
    <s v="eth1/44"/>
    <x v="0"/>
    <x v="0"/>
    <x v="0"/>
    <s v="TO-IXTFDLD690LCS-REDUNDANTE"/>
    <x v="6"/>
    <b v="0"/>
    <s v="No está en VPC"/>
    <n v="167"/>
    <s v="INTPG_ACC_167_1.44"/>
    <s v="ISEL-1.44"/>
    <n v="1"/>
    <s v="NO TIENE L3OUT"/>
    <n v="68"/>
    <n v="96"/>
  </r>
  <r>
    <n v="428"/>
    <x v="1"/>
    <x v="277"/>
    <s v="eth1/44"/>
    <x v="0"/>
    <x v="0"/>
    <x v="0"/>
    <s v="DOC1_PROD1_ILO"/>
    <x v="6"/>
    <b v="0"/>
    <s v="No está en VPC"/>
    <n v="428"/>
    <s v="INTPG_ACC_428_1.44"/>
    <s v="ISEL-1.44"/>
    <n v="1"/>
    <s v="NO TIENE L3OUT"/>
    <n v="102"/>
    <n v="96"/>
  </r>
  <r>
    <n v="128"/>
    <x v="0"/>
    <x v="0"/>
    <s v="eth1/45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45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45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45"/>
    <x v="0"/>
    <x v="0"/>
    <x v="0"/>
    <s v="to ASR2"/>
    <x v="0"/>
    <b v="0"/>
    <s v="No está en VPC"/>
    <n v="101"/>
    <s v="INTPG_ACC_OSPF_101_1.45"/>
    <s v="ISEL-1.45"/>
    <n v="0"/>
    <s v="L3_Out_to_Brocade_CORE_11"/>
    <n v="114"/>
    <n v="54"/>
  </r>
  <r>
    <n v="160"/>
    <x v="0"/>
    <x v="4"/>
    <s v="eth1/45"/>
    <x v="0"/>
    <x v="1"/>
    <x v="1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45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45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45"/>
    <x v="0"/>
    <x v="1"/>
    <x v="3"/>
    <m/>
    <x v="0"/>
    <b v="0"/>
    <s v="No está en VPC"/>
    <n v="401"/>
    <s v="NO EXISTE PG"/>
    <s v="NO EXISTE ISEL"/>
    <n v="0"/>
    <s v="NO TIENE L3OUT"/>
    <n v="40"/>
    <n v="54"/>
  </r>
  <r>
    <n v="402"/>
    <x v="1"/>
    <x v="8"/>
    <s v="eth1/45"/>
    <x v="0"/>
    <x v="1"/>
    <x v="3"/>
    <s v="RSPAN_ARIESO"/>
    <x v="0"/>
    <b v="0"/>
    <s v="No está en VPC"/>
    <n v="402"/>
    <s v="INTPG_ACC_402_1.45"/>
    <s v="ISEL-1.45"/>
    <n v="1"/>
    <s v="NO TIENE L3OUT"/>
    <n v="36"/>
    <n v="54"/>
  </r>
  <r>
    <n v="130"/>
    <x v="0"/>
    <x v="11"/>
    <s v="eth1/45"/>
    <x v="0"/>
    <x v="0"/>
    <x v="0"/>
    <s v="ITHFHWHSMTLCN02-LOM  P1"/>
    <x v="0"/>
    <b v="0"/>
    <s v="No está en VPC"/>
    <n v="130"/>
    <s v="INTPG_ACC_130_1.45"/>
    <s v="ISEL-1.45"/>
    <n v="9"/>
    <s v="NO TIENE L3OUT"/>
    <n v="128"/>
    <n v="54"/>
  </r>
  <r>
    <n v="150"/>
    <x v="0"/>
    <x v="12"/>
    <s v="eth1/45"/>
    <x v="0"/>
    <x v="0"/>
    <x v="0"/>
    <s v="to ASR1"/>
    <x v="0"/>
    <b v="0"/>
    <s v="No está en VPC"/>
    <n v="150"/>
    <s v="INTPG_ACC_OSPF_150_1.45"/>
    <s v="ISEL-1.45"/>
    <n v="0"/>
    <s v="L3_Out_to_Brocade_CORE_11"/>
    <n v="118"/>
    <n v="54"/>
  </r>
  <r>
    <n v="131"/>
    <x v="0"/>
    <x v="13"/>
    <s v="eth1/45"/>
    <x v="0"/>
    <x v="0"/>
    <x v="0"/>
    <s v="ITHFHWHSMTLCN02-LOM  P2"/>
    <x v="0"/>
    <b v="0"/>
    <s v="No está en VPC"/>
    <n v="131"/>
    <s v="INTPG_ACC_131_1.45"/>
    <s v="ISEL-1.45"/>
    <n v="9"/>
    <s v="NO TIENE L3OUT"/>
    <n v="126"/>
    <n v="54"/>
  </r>
  <r>
    <n v="424"/>
    <x v="1"/>
    <x v="18"/>
    <s v="eth1/45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45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45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45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45"/>
    <x v="1"/>
    <x v="1"/>
    <x v="2"/>
    <m/>
    <x v="0"/>
    <b v="0"/>
    <s v="No está en VPC"/>
    <n v="727"/>
    <s v="INTPG-VPC_Fortigate500_727_1.45_726_1.45"/>
    <s v="ISEL-1.45"/>
    <n v="4"/>
    <s v="NO TIENE L3OUT"/>
    <n v="0"/>
    <n v="54"/>
  </r>
  <r>
    <n v="724"/>
    <x v="2"/>
    <x v="23"/>
    <s v="eth1/45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45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45"/>
    <x v="0"/>
    <x v="0"/>
    <x v="0"/>
    <s v="To_ITHEA1A_eth1"/>
    <x v="0"/>
    <b v="0"/>
    <s v="No está en VPC"/>
    <n v="431"/>
    <s v="INTPG_ACC_431_1.45"/>
    <s v="ISEL-1.45"/>
    <n v="2"/>
    <s v="NO TIENE L3OUT"/>
    <n v="46"/>
    <n v="54"/>
  </r>
  <r>
    <n v="433"/>
    <x v="1"/>
    <x v="27"/>
    <s v="eth1/45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45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45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45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45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45"/>
    <x v="1"/>
    <x v="1"/>
    <x v="3"/>
    <m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45"/>
    <x v="1"/>
    <x v="1"/>
    <x v="3"/>
    <m/>
    <x v="0"/>
    <b v="0"/>
    <s v="No está en VPC"/>
    <n v="712"/>
    <s v="NO EXISTE PG"/>
    <s v="NO EXISTE ISEL"/>
    <n v="0"/>
    <s v="NO TIENE L3OUT"/>
    <n v="32"/>
    <n v="54"/>
  </r>
  <r>
    <n v="719"/>
    <x v="2"/>
    <x v="34"/>
    <s v="eth1/45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45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45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45"/>
    <x v="1"/>
    <x v="1"/>
    <x v="3"/>
    <m/>
    <x v="0"/>
    <b v="0"/>
    <s v="No está en VPC"/>
    <n v="711"/>
    <s v="NO EXISTE PG"/>
    <s v="NO EXISTE ISEL"/>
    <n v="0"/>
    <s v="NO TIENE L3OUT"/>
    <n v="16"/>
    <n v="54"/>
  </r>
  <r>
    <n v="716"/>
    <x v="2"/>
    <x v="38"/>
    <s v="eth1/45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45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45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45"/>
    <x v="0"/>
    <x v="1"/>
    <x v="3"/>
    <m/>
    <x v="0"/>
    <b v="0"/>
    <s v="No está en VPC"/>
    <n v="446"/>
    <s v="NO EXISTE PG"/>
    <s v="NO EXISTE ISEL"/>
    <n v="0"/>
    <s v="NO TIENE L3OUT"/>
    <n v="198"/>
    <n v="54"/>
  </r>
  <r>
    <n v="444"/>
    <x v="1"/>
    <x v="42"/>
    <s v="eth1/45"/>
    <x v="0"/>
    <x v="1"/>
    <x v="3"/>
    <s v="File System AM"/>
    <x v="0"/>
    <b v="0"/>
    <s v="No está en VPC"/>
    <n v="444"/>
    <s v="INTPG_ACC_444_1.45"/>
    <s v="ISEL-1.45"/>
    <n v="1"/>
    <s v="NO TIENE L3OUT"/>
    <n v="234"/>
    <n v="54"/>
  </r>
  <r>
    <n v="701"/>
    <x v="2"/>
    <x v="43"/>
    <s v="eth1/45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45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45"/>
    <x v="0"/>
    <x v="0"/>
    <x v="0"/>
    <s v="To_ITHEA1C_eth0"/>
    <x v="0"/>
    <b v="0"/>
    <s v="No está en VPC"/>
    <n v="448"/>
    <s v="INTPG_ACC_448_1.45"/>
    <s v="ISEL-1.45"/>
    <n v="2"/>
    <s v="NO TIENE L3OUT"/>
    <n v="46"/>
    <n v="54"/>
  </r>
  <r>
    <n v="704"/>
    <x v="2"/>
    <x v="46"/>
    <s v="eth1/45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45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45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45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45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45"/>
    <x v="0"/>
    <x v="0"/>
    <x v="0"/>
    <s v="LINK_HACIA_MGMT"/>
    <x v="0"/>
    <b v="0"/>
    <s v="No está en VPC"/>
    <n v="745"/>
    <s v="INTPG_VPC_MGMT_10311_745_1.45_746_1.46"/>
    <s v="ISEL-1.45"/>
    <n v="2"/>
    <s v="NO TIENE L3OUT"/>
    <n v="0"/>
    <n v="54"/>
  </r>
  <r>
    <n v="730"/>
    <x v="2"/>
    <x v="53"/>
    <s v="eth1/45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45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45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45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45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45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45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45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45"/>
    <x v="0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45"/>
    <x v="0"/>
    <x v="1"/>
    <x v="1"/>
    <m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45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45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45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45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45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45"/>
    <x v="1"/>
    <x v="1"/>
    <x v="3"/>
    <m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45"/>
    <x v="1"/>
    <x v="1"/>
    <x v="3"/>
    <m/>
    <x v="0"/>
    <b v="0"/>
    <s v="No está en VPC"/>
    <n v="780"/>
    <s v="NO EXISTE PG"/>
    <s v="NO EXISTE ISEL"/>
    <n v="0"/>
    <s v="NO TIENE L3OUT"/>
    <n v="26"/>
    <n v="54"/>
  </r>
  <r>
    <n v="812"/>
    <x v="2"/>
    <x v="70"/>
    <s v="eth1/45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45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45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45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45"/>
    <x v="0"/>
    <x v="0"/>
    <x v="0"/>
    <s v="LINK_TO_ITHHWCRMPEN01 /X3-10GE 5 /Principal"/>
    <x v="0"/>
    <b v="0"/>
    <s v="No está en VPC"/>
    <n v="824"/>
    <s v="INTPG_VPC_819_1.41-42_44-45_824_1.41-42_44-45"/>
    <s v="ISEL-1.45"/>
    <n v="1"/>
    <s v="NO TIENE L3OUT"/>
    <n v="70"/>
    <n v="54"/>
  </r>
  <r>
    <n v="819"/>
    <x v="2"/>
    <x v="75"/>
    <s v="eth1/45"/>
    <x v="0"/>
    <x v="0"/>
    <x v="0"/>
    <s v="LINK_TO_ITHHWCRMPEN01 /X3-10GE 6 /Redundante"/>
    <x v="0"/>
    <b v="0"/>
    <s v="No está en VPC"/>
    <n v="819"/>
    <s v="INTPG_VPC_819_1.41-42_44-45_824_1.41-42_44-45"/>
    <s v="ISEL-1.45"/>
    <n v="1"/>
    <s v="NO TIENE L3OUT"/>
    <n v="70"/>
    <n v="54"/>
  </r>
  <r>
    <n v="737"/>
    <x v="2"/>
    <x v="76"/>
    <s v="eth1/45"/>
    <x v="0"/>
    <x v="1"/>
    <x v="1"/>
    <m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45"/>
    <x v="0"/>
    <x v="0"/>
    <x v="0"/>
    <s v="LINK_TO_ITHFHWCRMPLCN115 / Slot1.3_34 / Principal"/>
    <x v="0"/>
    <b v="0"/>
    <s v="No está en VPC"/>
    <n v="844"/>
    <s v="INTPG_ACC_844_1.45"/>
    <s v="ISEL-1.45"/>
    <n v="1"/>
    <s v="NO TIENE L3OUT"/>
    <n v="282"/>
    <n v="54"/>
  </r>
  <r>
    <n v="843"/>
    <x v="2"/>
    <x v="78"/>
    <s v="eth1/45"/>
    <x v="0"/>
    <x v="0"/>
    <x v="0"/>
    <s v="LINK_TO_ITHFHWSEQLIMPS31 / Slot 4 PTO 1 / Principal"/>
    <x v="0"/>
    <b v="0"/>
    <s v="No está en VPC"/>
    <n v="843"/>
    <s v="INTPG_ACC_843_1.45"/>
    <s v="ISEL-1.45"/>
    <n v="1"/>
    <s v="NO TIENE L3OUT"/>
    <n v="38"/>
    <n v="54"/>
  </r>
  <r>
    <n v="797"/>
    <x v="2"/>
    <x v="79"/>
    <s v="eth1/45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45"/>
    <x v="0"/>
    <x v="0"/>
    <x v="0"/>
    <s v="LINK_TO_ITHFHWCBSPSUSBD34 / Slot7.3_6 / Redundante"/>
    <x v="0"/>
    <b v="0"/>
    <s v="No está en VPC"/>
    <n v="839"/>
    <s v="INTPG_VPC_834_1.45_839_1.45"/>
    <s v="ISEL-1.45"/>
    <n v="1"/>
    <s v="NO TIENE L3OUT"/>
    <n v="0"/>
    <n v="54"/>
  </r>
  <r>
    <n v="847"/>
    <x v="2"/>
    <x v="81"/>
    <s v="eth1/45"/>
    <x v="0"/>
    <x v="0"/>
    <x v="0"/>
    <s v="LINK_TO_ITHFHWCRMPLCN153 / Slot7.2_8 / Redundante"/>
    <x v="0"/>
    <b v="0"/>
    <s v="No está en VPC"/>
    <n v="847"/>
    <s v="INTPG_ACC_847_1.45"/>
    <s v="ISEL-1.45"/>
    <n v="2"/>
    <s v="NO TIENE L3OUT"/>
    <n v="204"/>
    <n v="54"/>
  </r>
  <r>
    <n v="848"/>
    <x v="2"/>
    <x v="82"/>
    <s v="eth1/45"/>
    <x v="0"/>
    <x v="0"/>
    <x v="0"/>
    <s v="VPC_2DCRMP_BDA10_2"/>
    <x v="0"/>
    <b v="0"/>
    <s v="No está en VPC"/>
    <n v="848"/>
    <s v="INTPG_VPC_855_1.45_848_1.45"/>
    <s v="ISEL-1.45"/>
    <n v="2"/>
    <s v="NO TIENE L3OUT"/>
    <n v="254"/>
    <n v="54"/>
  </r>
  <r>
    <n v="846"/>
    <x v="2"/>
    <x v="83"/>
    <s v="eth1/45"/>
    <x v="0"/>
    <x v="0"/>
    <x v="0"/>
    <s v="LINK_TO_ITHFHWCRMPLCN86 / Slot1.3_30 / Principal"/>
    <x v="0"/>
    <b v="0"/>
    <s v="No está en VPC"/>
    <n v="846"/>
    <s v="INTPG_ACC_846_1.45"/>
    <s v="ISEL-1.45"/>
    <n v="1"/>
    <s v="NO TIENE L3OUT"/>
    <n v="242"/>
    <n v="54"/>
  </r>
  <r>
    <n v="838"/>
    <x v="2"/>
    <x v="84"/>
    <s v="eth1/45"/>
    <x v="0"/>
    <x v="0"/>
    <x v="0"/>
    <s v="LINK_TO_ITHFHWSEQLIMPS31 / Slot 5 PTO 1 / Redundante"/>
    <x v="0"/>
    <b v="0"/>
    <s v="No está en VPC"/>
    <n v="838"/>
    <s v="INTPG_ACC_838_1.45"/>
    <s v="ISEL-1.45"/>
    <n v="1"/>
    <s v="NO TIENE L3OUT"/>
    <n v="38"/>
    <n v="54"/>
  </r>
  <r>
    <n v="849"/>
    <x v="2"/>
    <x v="85"/>
    <s v="eth1/45"/>
    <x v="0"/>
    <x v="0"/>
    <x v="0"/>
    <s v="LINK_TO_ITHFHWCRMPLCN149 / Slot7.2_32 / Redundante"/>
    <x v="0"/>
    <b v="0"/>
    <s v="No está en VPC"/>
    <n v="849"/>
    <s v="INTPG_ACC_849_1.45"/>
    <s v="ISEL-1.45"/>
    <n v="2"/>
    <s v="NO TIENE L3OUT"/>
    <n v="286"/>
    <n v="54"/>
  </r>
  <r>
    <n v="845"/>
    <x v="2"/>
    <x v="86"/>
    <s v="eth1/45"/>
    <x v="0"/>
    <x v="0"/>
    <x v="0"/>
    <s v="LINK_TO_ITHFHWCRMPLCN99 / Slot1.1_30 / Principal"/>
    <x v="0"/>
    <b v="0"/>
    <s v="No está en VPC"/>
    <n v="845"/>
    <s v="INTPG_ACC_845_1.45"/>
    <s v="ISEL-1.45"/>
    <n v="6"/>
    <s v="NO TIENE L3OUT"/>
    <n v="258"/>
    <n v="54"/>
  </r>
  <r>
    <n v="873"/>
    <x v="2"/>
    <x v="87"/>
    <s v="eth1/45"/>
    <x v="0"/>
    <x v="0"/>
    <x v="0"/>
    <s v="To_ITHFHWCRMDLCN38_Redundante"/>
    <x v="0"/>
    <b v="0"/>
    <s v="No está en VPC"/>
    <n v="873"/>
    <s v="INTPG_ACC_873_1.45"/>
    <s v="ISEL-1.45"/>
    <n v="1"/>
    <s v="NO TIENE L3OUT"/>
    <n v="248"/>
    <n v="54"/>
  </r>
  <r>
    <n v="864"/>
    <x v="2"/>
    <x v="88"/>
    <s v="eth1/45"/>
    <x v="0"/>
    <x v="0"/>
    <x v="0"/>
    <s v="To_VPC_2DCBSD_WR50_3"/>
    <x v="0"/>
    <b v="0"/>
    <s v="No está en VPC"/>
    <n v="864"/>
    <s v="INTPG_VPC_859_1.45_864_1.45"/>
    <s v="ISEL-1.45"/>
    <n v="1"/>
    <s v="NO TIENE L3OUT"/>
    <n v="0"/>
    <n v="54"/>
  </r>
  <r>
    <n v="836"/>
    <x v="2"/>
    <x v="89"/>
    <s v="eth1/45"/>
    <x v="0"/>
    <x v="0"/>
    <x v="0"/>
    <s v="LINK_TO_ITHFHWCBSPSHD29 / Slot1.2_22 / Principal"/>
    <x v="0"/>
    <b v="0"/>
    <s v="No está en VPC"/>
    <n v="836"/>
    <s v="INTPG_VPC_836_1.45_841_1.45"/>
    <s v="ISEL-1.45"/>
    <n v="1"/>
    <s v="NO TIENE L3OUT"/>
    <n v="0"/>
    <n v="54"/>
  </r>
  <r>
    <n v="834"/>
    <x v="2"/>
    <x v="90"/>
    <s v="eth1/45"/>
    <x v="0"/>
    <x v="0"/>
    <x v="0"/>
    <s v="LINK_TO_ITHFHWCBSPSUSBD34 / Slot1.3_6 / Principal"/>
    <x v="0"/>
    <b v="0"/>
    <s v="No está en VPC"/>
    <n v="834"/>
    <s v="INTPG_VPC_834_1.45_839_1.45"/>
    <s v="ISEL-1.45"/>
    <n v="1"/>
    <s v="NO TIENE L3OUT"/>
    <n v="0"/>
    <n v="54"/>
  </r>
  <r>
    <n v="872"/>
    <x v="2"/>
    <x v="91"/>
    <s v="eth1/45"/>
    <x v="0"/>
    <x v="0"/>
    <x v="0"/>
    <s v="TO_ITHFHWCRMDLCN52_Principal"/>
    <x v="0"/>
    <b v="0"/>
    <s v="No está en VPC"/>
    <n v="872"/>
    <s v="INTPG_ACC_872_1.45"/>
    <s v="ISEL-1.45"/>
    <n v="6"/>
    <s v="NO TIENE L3OUT"/>
    <n v="288"/>
    <n v="54"/>
  </r>
  <r>
    <n v="842"/>
    <x v="2"/>
    <x v="92"/>
    <s v="eth1/45"/>
    <x v="0"/>
    <x v="0"/>
    <x v="0"/>
    <s v="LINK_To_ITHFHWCBSPSHD23 / Slot7.1_22 / Redundante"/>
    <x v="0"/>
    <b v="0"/>
    <s v="No está en VPC"/>
    <n v="842"/>
    <s v="INTPG_VPC_837_1.45_842_1.45"/>
    <s v="ISEL-1.45"/>
    <n v="2"/>
    <s v="NO TIENE L3OUT"/>
    <n v="8"/>
    <n v="54"/>
  </r>
  <r>
    <n v="828"/>
    <x v="2"/>
    <x v="93"/>
    <s v="eth1/45"/>
    <x v="0"/>
    <x v="0"/>
    <x v="0"/>
    <s v="To_ITHFHWCRMDLCN42_Principal"/>
    <x v="0"/>
    <b v="0"/>
    <s v="No está en VPC"/>
    <n v="828"/>
    <s v="INTPG_ACC_828_1.45"/>
    <s v="ISEL-1.45"/>
    <n v="6"/>
    <s v="NO TIENE L3OUT"/>
    <n v="192"/>
    <n v="54"/>
  </r>
  <r>
    <n v="870"/>
    <x v="2"/>
    <x v="94"/>
    <s v="eth1/45"/>
    <x v="0"/>
    <x v="0"/>
    <x v="0"/>
    <s v="To_ITHFHWCRMDLCN38_Principal"/>
    <x v="0"/>
    <b v="0"/>
    <s v="No está en VPC"/>
    <n v="870"/>
    <s v="INTPG_ACC_870_1.45"/>
    <s v="ISEL-1.45"/>
    <n v="1"/>
    <s v="NO TIENE L3OUT"/>
    <n v="248"/>
    <n v="54"/>
  </r>
  <r>
    <n v="866"/>
    <x v="2"/>
    <x v="95"/>
    <s v="eth1/45"/>
    <x v="0"/>
    <x v="0"/>
    <x v="0"/>
    <s v="To_VPC_2DCBSD_WR36_2"/>
    <x v="0"/>
    <b v="0"/>
    <s v="No está en VPC"/>
    <n v="866"/>
    <s v="INTPG_VPC_861_1.45_866_1.45"/>
    <s v="ISEL-1.45"/>
    <n v="1"/>
    <s v="NO TIENE L3OUT"/>
    <n v="8"/>
    <n v="54"/>
  </r>
  <r>
    <n v="862"/>
    <x v="2"/>
    <x v="96"/>
    <s v="eth1/45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45"/>
    <x v="0"/>
    <x v="0"/>
    <x v="0"/>
    <s v="VPC_2DCRMP_BDA10_2"/>
    <x v="0"/>
    <b v="0"/>
    <s v="No está en VPC"/>
    <n v="855"/>
    <s v="INTPG_VPC_855_1.45_848_1.45"/>
    <s v="ISEL-1.45"/>
    <n v="2"/>
    <s v="NO TIENE L3OUT"/>
    <n v="254"/>
    <n v="54"/>
  </r>
  <r>
    <n v="871"/>
    <x v="2"/>
    <x v="98"/>
    <s v="eth1/45"/>
    <x v="0"/>
    <x v="0"/>
    <x v="0"/>
    <s v="To_ITHFHWCRMDLCN68_Principal"/>
    <x v="0"/>
    <b v="0"/>
    <s v="No está en VPC"/>
    <n v="871"/>
    <s v="INTPG_ACC_871_1.45"/>
    <s v="ISEL-1.45"/>
    <n v="1"/>
    <s v="NO TIENE L3OUT"/>
    <n v="246"/>
    <n v="54"/>
  </r>
  <r>
    <n v="841"/>
    <x v="2"/>
    <x v="99"/>
    <s v="eth1/45"/>
    <x v="0"/>
    <x v="0"/>
    <x v="0"/>
    <s v="LINK_TO_ITHFHWCBSPSHD29 / Slot7.2_22 / Redundante"/>
    <x v="0"/>
    <b v="0"/>
    <s v="No está en VPC"/>
    <n v="841"/>
    <s v="INTPG_VPC_836_1.45_841_1.45"/>
    <s v="ISEL-1.45"/>
    <n v="1"/>
    <s v="NO TIENE L3OUT"/>
    <n v="0"/>
    <n v="54"/>
  </r>
  <r>
    <n v="868"/>
    <x v="2"/>
    <x v="100"/>
    <s v="eth1/45"/>
    <x v="0"/>
    <x v="0"/>
    <x v="0"/>
    <s v="To_ITHFHWCRMDLCN68_Redundante"/>
    <x v="0"/>
    <b v="0"/>
    <s v="No está en VPC"/>
    <n v="868"/>
    <s v="INTPG_ACC_868_1.45"/>
    <s v="ISEL-1.45"/>
    <n v="1"/>
    <s v="NO TIENE L3OUT"/>
    <n v="246"/>
    <n v="54"/>
  </r>
  <r>
    <n v="869"/>
    <x v="2"/>
    <x v="101"/>
    <s v="eth1/45"/>
    <x v="0"/>
    <x v="0"/>
    <x v="0"/>
    <s v="TO_ITHFHWCRMDLCN52_Redundante"/>
    <x v="0"/>
    <b v="0"/>
    <s v="No está en VPC"/>
    <n v="869"/>
    <s v="INTPG_ACC_869_1.45"/>
    <s v="ISEL-1.45"/>
    <n v="6"/>
    <s v="NO TIENE L3OUT"/>
    <n v="288"/>
    <n v="54"/>
  </r>
  <r>
    <n v="861"/>
    <x v="2"/>
    <x v="102"/>
    <s v="eth1/45"/>
    <x v="0"/>
    <x v="0"/>
    <x v="0"/>
    <s v="To_VPC_2DCBSD_WR36_2"/>
    <x v="0"/>
    <b v="0"/>
    <s v="No está en VPC"/>
    <n v="861"/>
    <s v="INTPG_VPC_861_1.45_866_1.45"/>
    <s v="ISEL-1.45"/>
    <n v="1"/>
    <s v="NO TIENE L3OUT"/>
    <n v="8"/>
    <n v="54"/>
  </r>
  <r>
    <n v="874"/>
    <x v="2"/>
    <x v="103"/>
    <s v="eth1/45"/>
    <x v="0"/>
    <x v="0"/>
    <x v="0"/>
    <s v="A_ITHFHWSEQLDPS05_Redundante"/>
    <x v="4"/>
    <b v="0"/>
    <s v="No está en VPC"/>
    <n v="874"/>
    <s v="INTPG_ACC_874_1.45"/>
    <s v="ISEL-1.45"/>
    <n v="1"/>
    <s v="NO TIENE L3OUT"/>
    <n v="92"/>
    <n v="54"/>
  </r>
  <r>
    <n v="865"/>
    <x v="2"/>
    <x v="104"/>
    <s v="eth1/45"/>
    <x v="0"/>
    <x v="0"/>
    <x v="0"/>
    <s v="To_VPC_2DCBSD_WR40_3"/>
    <x v="0"/>
    <b v="0"/>
    <s v="No está en VPC"/>
    <n v="865"/>
    <s v="INTPG_VPC_860_1.45_865_1.45"/>
    <s v="ISEL-1.45"/>
    <n v="1"/>
    <s v="NO TIENE L3OUT"/>
    <n v="0"/>
    <n v="54"/>
  </r>
  <r>
    <n v="753"/>
    <x v="2"/>
    <x v="105"/>
    <s v="eth1/45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45"/>
    <x v="0"/>
    <x v="1"/>
    <x v="3"/>
    <m/>
    <x v="0"/>
    <b v="0"/>
    <s v="No está en VPC"/>
    <n v="708"/>
    <s v="NO EXISTE PG"/>
    <s v="NO EXISTE ISEL"/>
    <n v="0"/>
    <s v="NO TIENE L3OUT"/>
    <n v="0"/>
    <n v="54"/>
  </r>
  <r>
    <n v="710"/>
    <x v="2"/>
    <x v="107"/>
    <s v="eth1/45"/>
    <x v="1"/>
    <x v="1"/>
    <x v="3"/>
    <m/>
    <x v="0"/>
    <b v="0"/>
    <s v="No está en VPC"/>
    <n v="710"/>
    <s v="NO EXISTE PG"/>
    <s v="NO EXISTE ISEL"/>
    <n v="0"/>
    <s v="NO TIENE L3OUT"/>
    <n v="16"/>
    <n v="54"/>
  </r>
  <r>
    <n v="713"/>
    <x v="2"/>
    <x v="108"/>
    <s v="eth1/45"/>
    <x v="1"/>
    <x v="1"/>
    <x v="3"/>
    <m/>
    <x v="0"/>
    <b v="0"/>
    <s v="No está en VPC"/>
    <n v="713"/>
    <s v="NO EXISTE PG"/>
    <s v="NO EXISTE ISEL"/>
    <n v="0"/>
    <s v="NO TIENE L3OUT"/>
    <n v="32"/>
    <n v="54"/>
  </r>
  <r>
    <n v="735"/>
    <x v="2"/>
    <x v="109"/>
    <s v="eth1/45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45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45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45"/>
    <x v="1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45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45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45"/>
    <x v="0"/>
    <x v="0"/>
    <x v="0"/>
    <s v="LINK_TO_ITHFHWCBSDSWR21 /Slot4.2 /Principal"/>
    <x v="0"/>
    <b v="0"/>
    <s v="No está en VPC"/>
    <n v="826"/>
    <s v="INTPG_VPC_826_1.45_830_1.45"/>
    <s v="ISEL-1.45"/>
    <n v="1"/>
    <s v="NO TIENE L3OUT"/>
    <n v="12"/>
    <n v="54"/>
  </r>
  <r>
    <n v="726"/>
    <x v="2"/>
    <x v="117"/>
    <s v="eth1/45"/>
    <x v="1"/>
    <x v="1"/>
    <x v="3"/>
    <m/>
    <x v="0"/>
    <b v="0"/>
    <s v="No está en VPC"/>
    <n v="726"/>
    <s v="INTPG-VPC_Fortigate500_727_1.45_726_1.45"/>
    <s v="ISEL-1.45"/>
    <n v="4"/>
    <s v="NO TIENE L3OUT"/>
    <n v="0"/>
    <n v="54"/>
  </r>
  <r>
    <n v="740"/>
    <x v="2"/>
    <x v="118"/>
    <s v="eth1/45"/>
    <x v="0"/>
    <x v="1"/>
    <x v="1"/>
    <m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45"/>
    <x v="1"/>
    <x v="1"/>
    <x v="3"/>
    <s v="exit"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45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45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45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45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45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45"/>
    <x v="1"/>
    <x v="1"/>
    <x v="2"/>
    <m/>
    <x v="0"/>
    <b v="0"/>
    <s v="No está en VPC"/>
    <n v="709"/>
    <s v="NO EXISTE PG"/>
    <s v="NO EXISTE ISEL"/>
    <n v="0"/>
    <s v="NO TIENE L3OUT"/>
    <n v="0"/>
    <n v="54"/>
  </r>
  <r>
    <n v="454"/>
    <x v="1"/>
    <x v="126"/>
    <s v="eth1/45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45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45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45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45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45"/>
    <x v="0"/>
    <x v="1"/>
    <x v="1"/>
    <m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45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45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45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45"/>
    <x v="0"/>
    <x v="1"/>
    <x v="3"/>
    <m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45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45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45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45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45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45"/>
    <x v="0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45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45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45"/>
    <x v="0"/>
    <x v="0"/>
    <x v="0"/>
    <s v="LINK_HACIA_MGMT"/>
    <x v="0"/>
    <b v="0"/>
    <s v="No está en VPC"/>
    <n v="773"/>
    <s v="INTPG_VPC_MGMT_20413_773_1.45_772_1.46"/>
    <s v="ISEL-1.45"/>
    <n v="1"/>
    <s v="NO TIENE L3OUT"/>
    <n v="78"/>
    <n v="54"/>
  </r>
  <r>
    <n v="794"/>
    <x v="2"/>
    <x v="146"/>
    <s v="eth1/45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45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45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45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45"/>
    <x v="1"/>
    <x v="1"/>
    <x v="3"/>
    <m/>
    <x v="0"/>
    <b v="0"/>
    <s v="No está en VPC"/>
    <n v="781"/>
    <s v="NO EXISTE PG"/>
    <s v="NO EXISTE ISEL"/>
    <n v="0"/>
    <s v="NO TIENE L3OUT"/>
    <n v="26"/>
    <n v="54"/>
  </r>
  <r>
    <n v="793"/>
    <x v="2"/>
    <x v="151"/>
    <s v="eth1/45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45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45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45"/>
    <x v="1"/>
    <x v="1"/>
    <x v="3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45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45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45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45"/>
    <x v="0"/>
    <x v="1"/>
    <x v="1"/>
    <m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45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45"/>
    <x v="0"/>
    <x v="0"/>
    <x v="0"/>
    <s v="LINK_HACIA_MGMT"/>
    <x v="0"/>
    <b v="0"/>
    <s v="No está en VPC"/>
    <n v="791"/>
    <s v="INTPG_VPC_MGMT_20816_791_1.45_790_1.46"/>
    <s v="ISEL-1.45"/>
    <n v="3"/>
    <s v="NO TIENE L3OUT"/>
    <n v="20"/>
    <n v="54"/>
  </r>
  <r>
    <n v="808"/>
    <x v="2"/>
    <x v="161"/>
    <s v="eth1/45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45"/>
    <x v="0"/>
    <x v="0"/>
    <x v="0"/>
    <s v="LINK_TO_ITHFHWCBSDSWR21 /Slot6.2 /Redundante"/>
    <x v="0"/>
    <b v="0"/>
    <s v="No está en VPC"/>
    <n v="830"/>
    <s v="INTPG_VPC_826_1.45_830_1.45"/>
    <s v="ISEL-1.45"/>
    <n v="1"/>
    <s v="NO TIENE L3OUT"/>
    <n v="12"/>
    <n v="54"/>
  </r>
  <r>
    <n v="821"/>
    <x v="2"/>
    <x v="163"/>
    <s v="eth1/45"/>
    <x v="0"/>
    <x v="0"/>
    <x v="0"/>
    <s v="LINK_TO_ITHFHWCBSPSWR21 /Slot6.2 /Redundante"/>
    <x v="0"/>
    <b v="0"/>
    <s v="No está en VPC"/>
    <n v="821"/>
    <s v="INTPG_VPC_816_1.45_821_1.45"/>
    <s v="ISEL-1.45"/>
    <n v="1"/>
    <s v="NO TIENE L3OUT"/>
    <n v="0"/>
    <n v="54"/>
  </r>
  <r>
    <n v="738"/>
    <x v="2"/>
    <x v="164"/>
    <s v="eth1/45"/>
    <x v="0"/>
    <x v="1"/>
    <x v="1"/>
    <m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45"/>
    <x v="0"/>
    <x v="1"/>
    <x v="3"/>
    <m/>
    <x v="0"/>
    <b v="0"/>
    <s v="No está en VPC"/>
    <n v="820"/>
    <s v="NO EXISTE PG"/>
    <s v="NO EXISTE ISEL"/>
    <n v="0"/>
    <s v="NO TIENE L3OUT"/>
    <n v="72"/>
    <n v="54"/>
  </r>
  <r>
    <n v="804"/>
    <x v="2"/>
    <x v="166"/>
    <s v="eth1/45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45"/>
    <x v="1"/>
    <x v="1"/>
    <x v="3"/>
    <m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45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45"/>
    <x v="0"/>
    <x v="0"/>
    <x v="0"/>
    <s v="LINK_TO_ITHFHWCBSDSWR31 /10GE.1 /Principal"/>
    <x v="0"/>
    <b v="0"/>
    <s v="No está en VPC"/>
    <n v="827"/>
    <s v="INTPG_VPC_827_1.45_831_1.45"/>
    <s v="ISEL-1.45"/>
    <n v="1"/>
    <s v="NO TIENE L3OUT"/>
    <n v="14"/>
    <n v="54"/>
  </r>
  <r>
    <n v="809"/>
    <x v="2"/>
    <x v="170"/>
    <s v="eth1/45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45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45"/>
    <x v="0"/>
    <x v="0"/>
    <x v="0"/>
    <s v="LINK_HACIA_MGMT"/>
    <x v="0"/>
    <b v="0"/>
    <s v="No está en VPC"/>
    <n v="761"/>
    <s v="INTPG_VPC_MGMT_10815_761_1.45_760_1.46"/>
    <s v="ISEL-1.45"/>
    <n v="3"/>
    <s v="NO TIENE L3OUT"/>
    <n v="0"/>
    <n v="54"/>
  </r>
  <r>
    <n v="776"/>
    <x v="2"/>
    <x v="173"/>
    <s v="eth1/45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45"/>
    <x v="1"/>
    <x v="1"/>
    <x v="3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45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45"/>
    <x v="0"/>
    <x v="0"/>
    <x v="0"/>
    <s v="DESC"/>
    <x v="0"/>
    <b v="0"/>
    <s v="No está en VPC"/>
    <n v="785"/>
    <s v="INTPG_PC_785_1.45-46"/>
    <s v="ISEL-1.45"/>
    <n v="3"/>
    <s v="NO TIENE L3OUT"/>
    <n v="32"/>
    <n v="54"/>
  </r>
  <r>
    <n v="851"/>
    <x v="2"/>
    <x v="177"/>
    <s v="eth1/45"/>
    <x v="0"/>
    <x v="0"/>
    <x v="0"/>
    <s v="LINK_TO_ITHFHWCRMPLCN115 / Slot7.3_34 / Redundante"/>
    <x v="0"/>
    <b v="0"/>
    <s v="No está en VPC"/>
    <n v="851"/>
    <s v="INTPG_ACC_851_1.45"/>
    <s v="ISEL-1.45"/>
    <n v="1"/>
    <s v="NO TIENE L3OUT"/>
    <n v="282"/>
    <n v="54"/>
  </r>
  <r>
    <n v="798"/>
    <x v="2"/>
    <x v="178"/>
    <s v="eth1/45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45"/>
    <x v="0"/>
    <x v="0"/>
    <x v="0"/>
    <s v="DESC"/>
    <x v="0"/>
    <b v="0"/>
    <s v="No está en VPC"/>
    <n v="782"/>
    <s v="INTPG_PC_782_1.45-46"/>
    <s v="ISEL-1.45"/>
    <n v="3"/>
    <s v="NO TIENE L3OUT"/>
    <n v="32"/>
    <n v="54"/>
  </r>
  <r>
    <n v="852"/>
    <x v="2"/>
    <x v="180"/>
    <s v="eth1/45"/>
    <x v="0"/>
    <x v="0"/>
    <x v="0"/>
    <s v="LINK_TO_ITHFHWCRMPLCN99 / Slot7.1_30 / Redundante"/>
    <x v="0"/>
    <b v="0"/>
    <s v="No está en VPC"/>
    <n v="852"/>
    <s v="INTPG_ACC_852_1.45"/>
    <s v="ISEL-1.45"/>
    <n v="6"/>
    <s v="NO TIENE L3OUT"/>
    <n v="258"/>
    <n v="54"/>
  </r>
  <r>
    <n v="817"/>
    <x v="2"/>
    <x v="181"/>
    <s v="eth1/45"/>
    <x v="0"/>
    <x v="0"/>
    <x v="0"/>
    <s v="LINK_TO_ITHFHWCBSPSWR28 /Slot4.2 /Principal"/>
    <x v="0"/>
    <b v="0"/>
    <s v="No está en VPC"/>
    <n v="817"/>
    <s v="INTPG_VPC_817_1.45_822_1.45"/>
    <s v="ISEL-1.45"/>
    <n v="1"/>
    <s v="NO TIENE L3OUT"/>
    <n v="0"/>
    <n v="54"/>
  </r>
  <r>
    <n v="832"/>
    <x v="2"/>
    <x v="182"/>
    <s v="eth1/45"/>
    <x v="0"/>
    <x v="0"/>
    <x v="0"/>
    <s v="To_ITHFHWCRMDLCN42_Redundante"/>
    <x v="0"/>
    <b v="0"/>
    <s v="No está en VPC"/>
    <n v="832"/>
    <s v="INTPG_ACC_832_1.45"/>
    <s v="ISEL-1.45"/>
    <n v="6"/>
    <s v="NO TIENE L3OUT"/>
    <n v="192"/>
    <n v="54"/>
  </r>
  <r>
    <n v="816"/>
    <x v="2"/>
    <x v="183"/>
    <s v="eth1/45"/>
    <x v="0"/>
    <x v="0"/>
    <x v="0"/>
    <s v="LINK_TO_ITHFHWCBSPSWR21 /Slot4.2 /Principal"/>
    <x v="0"/>
    <b v="0"/>
    <s v="No está en VPC"/>
    <n v="816"/>
    <s v="INTPG_VPC_816_1.45_821_1.45"/>
    <s v="ISEL-1.45"/>
    <n v="1"/>
    <s v="NO TIENE L3OUT"/>
    <n v="0"/>
    <n v="54"/>
  </r>
  <r>
    <n v="825"/>
    <x v="2"/>
    <x v="184"/>
    <s v="eth1/45"/>
    <x v="0"/>
    <x v="1"/>
    <x v="3"/>
    <m/>
    <x v="0"/>
    <b v="0"/>
    <s v="No está en VPC"/>
    <n v="825"/>
    <s v="NO EXISTE PG"/>
    <s v="NO EXISTE ISEL"/>
    <n v="0"/>
    <s v="NO TIENE L3OUT"/>
    <n v="72"/>
    <n v="54"/>
  </r>
  <r>
    <n v="800"/>
    <x v="2"/>
    <x v="185"/>
    <s v="eth1/45"/>
    <x v="0"/>
    <x v="0"/>
    <x v="0"/>
    <s v="TO-ITHFDEOCP1LWR11-REDUNDANTE"/>
    <x v="0"/>
    <b v="0"/>
    <s v="No está en VPC"/>
    <n v="800"/>
    <s v="INTPG_ACC_800_1.45"/>
    <s v="ISEL-1.45"/>
    <n v="1"/>
    <s v="NO TIENE L3OUT"/>
    <n v="78"/>
    <n v="54"/>
  </r>
  <r>
    <n v="801"/>
    <x v="2"/>
    <x v="186"/>
    <s v="eth1/45"/>
    <x v="0"/>
    <x v="0"/>
    <x v="0"/>
    <s v="TO-ITHFDEOCP1LWR11-PRINCIPAL"/>
    <x v="0"/>
    <b v="0"/>
    <s v="No está en VPC"/>
    <n v="801"/>
    <s v="INTPG_ACC_801_1.45"/>
    <s v="ISEL-1.45"/>
    <n v="1"/>
    <s v="NO TIENE L3OUT"/>
    <n v="78"/>
    <n v="54"/>
  </r>
  <r>
    <n v="823"/>
    <x v="2"/>
    <x v="187"/>
    <s v="eth1/45"/>
    <x v="0"/>
    <x v="0"/>
    <x v="0"/>
    <s v="LINK_TO_ITHFHWCBSPSWR39 /Slot5.1 /Redundante"/>
    <x v="0"/>
    <b v="0"/>
    <s v="No está en VPC"/>
    <n v="823"/>
    <s v="INTPG_VPC_818_1.45_823_1.45"/>
    <s v="ISEL-1.45"/>
    <n v="1"/>
    <s v="NO TIENE L3OUT"/>
    <n v="8"/>
    <n v="54"/>
  </r>
  <r>
    <n v="837"/>
    <x v="2"/>
    <x v="188"/>
    <s v="eth1/45"/>
    <x v="0"/>
    <x v="0"/>
    <x v="0"/>
    <s v="LINK_To_ITHFHWCBSPSHD23 / Slot1.1_22 / Principal"/>
    <x v="0"/>
    <b v="0"/>
    <s v="No está en VPC"/>
    <n v="837"/>
    <s v="INTPG_VPC_837_1.45_842_1.45"/>
    <s v="ISEL-1.45"/>
    <n v="2"/>
    <s v="NO TIENE L3OUT"/>
    <n v="8"/>
    <n v="54"/>
  </r>
  <r>
    <n v="867"/>
    <x v="2"/>
    <x v="189"/>
    <s v="eth1/45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45"/>
    <x v="0"/>
    <x v="0"/>
    <x v="0"/>
    <s v="To_VPC_2DCRMD_SBD06_1_Principal"/>
    <x v="0"/>
    <b v="0"/>
    <s v="No está en VPC"/>
    <n v="829"/>
    <s v="INTPG_VPC_829_1.45_833_1.45"/>
    <s v="ISEL-1.45"/>
    <n v="6"/>
    <s v="NO TIENE L3OUT"/>
    <n v="224"/>
    <n v="54"/>
  </r>
  <r>
    <n v="831"/>
    <x v="2"/>
    <x v="191"/>
    <s v="eth1/45"/>
    <x v="0"/>
    <x v="0"/>
    <x v="0"/>
    <s v="LINK_TO_ITHFHWCBSDSWR31 /Slot5.1 /Redundante"/>
    <x v="0"/>
    <b v="0"/>
    <s v="No está en VPC"/>
    <n v="831"/>
    <s v="INTPG_VPC_827_1.45_831_1.45"/>
    <s v="ISEL-1.45"/>
    <n v="1"/>
    <s v="NO TIENE L3OUT"/>
    <n v="14"/>
    <n v="54"/>
  </r>
  <r>
    <n v="802"/>
    <x v="2"/>
    <x v="192"/>
    <s v="eth1/45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45"/>
    <x v="0"/>
    <x v="0"/>
    <x v="0"/>
    <s v="LINK_TO_ITHFHWCBSPSHDCTL06 / Slot1.2_12 / Principal"/>
    <x v="0"/>
    <b v="0"/>
    <s v="No está en VPC"/>
    <n v="835"/>
    <s v="INTPG_VPC_835_1.45_840_1.45"/>
    <s v="ISEL-1.45"/>
    <n v="1"/>
    <s v="NO TIENE L3OUT"/>
    <n v="8"/>
    <n v="54"/>
  </r>
  <r>
    <n v="822"/>
    <x v="2"/>
    <x v="194"/>
    <s v="eth1/45"/>
    <x v="0"/>
    <x v="0"/>
    <x v="0"/>
    <s v="LINK_TO_ITHFHWCBSPSWR28 /Slot6.2 /Redundante"/>
    <x v="0"/>
    <b v="0"/>
    <s v="No está en VPC"/>
    <n v="822"/>
    <s v="INTPG_VPC_817_1.45_822_1.45"/>
    <s v="ISEL-1.45"/>
    <n v="1"/>
    <s v="NO TIENE L3OUT"/>
    <n v="0"/>
    <n v="54"/>
  </r>
  <r>
    <n v="854"/>
    <x v="2"/>
    <x v="195"/>
    <s v="eth1/45"/>
    <x v="0"/>
    <x v="0"/>
    <x v="0"/>
    <s v="LINK_TO_ITHFHWCRMPLCN153 / Slot1.2_8 / Principal"/>
    <x v="0"/>
    <b v="0"/>
    <s v="No está en VPC"/>
    <n v="854"/>
    <s v="INTPG_ACC_854_1.45"/>
    <s v="ISEL-1.45"/>
    <n v="2"/>
    <s v="NO TIENE L3OUT"/>
    <n v="204"/>
    <n v="54"/>
  </r>
  <r>
    <n v="858"/>
    <x v="2"/>
    <x v="196"/>
    <s v="eth1/45"/>
    <x v="0"/>
    <x v="0"/>
    <x v="0"/>
    <s v="To_ITHHWD6KV65100015DKC01_Principal"/>
    <x v="0"/>
    <b v="0"/>
    <s v="No está en VPC"/>
    <n v="858"/>
    <s v="INTPG_ACC_858_1.45"/>
    <s v="ISEL-1.45"/>
    <n v="1"/>
    <s v="NO TIENE L3OUT"/>
    <n v="8"/>
    <n v="54"/>
  </r>
  <r>
    <n v="857"/>
    <x v="2"/>
    <x v="197"/>
    <s v="eth1/45"/>
    <x v="0"/>
    <x v="0"/>
    <x v="0"/>
    <s v="LINKT_TO_ITHFHWCRMPLCN130 / Slot1.2_30 / Principal"/>
    <x v="0"/>
    <b v="0"/>
    <s v="No está en VPC"/>
    <n v="857"/>
    <s v="INTPG_ACC_857_1.45"/>
    <s v="ISEL-1.45"/>
    <n v="2"/>
    <s v="NO TIENE L3OUT"/>
    <n v="288"/>
    <n v="54"/>
  </r>
  <r>
    <n v="859"/>
    <x v="2"/>
    <x v="198"/>
    <s v="eth1/45"/>
    <x v="0"/>
    <x v="0"/>
    <x v="0"/>
    <s v="To_VPC_2DCBSD_WR50_3"/>
    <x v="0"/>
    <b v="0"/>
    <s v="No está en VPC"/>
    <n v="859"/>
    <s v="INTPG_VPC_859_1.45_864_1.45"/>
    <s v="ISEL-1.45"/>
    <n v="1"/>
    <s v="NO TIENE L3OUT"/>
    <n v="0"/>
    <n v="54"/>
  </r>
  <r>
    <n v="833"/>
    <x v="2"/>
    <x v="199"/>
    <s v="eth1/45"/>
    <x v="0"/>
    <x v="0"/>
    <x v="0"/>
    <s v="To_VPC_2DCRMD_SBD06_1_Redundancia"/>
    <x v="0"/>
    <b v="0"/>
    <s v="No está en VPC"/>
    <n v="833"/>
    <s v="INTPG_VPC_829_1.45_833_1.45"/>
    <s v="ISEL-1.45"/>
    <n v="6"/>
    <s v="NO TIENE L3OUT"/>
    <n v="224"/>
    <n v="54"/>
  </r>
  <r>
    <n v="818"/>
    <x v="2"/>
    <x v="200"/>
    <s v="eth1/45"/>
    <x v="0"/>
    <x v="0"/>
    <x v="0"/>
    <s v="LINK_TO_ITHFHWCBSPSWR39 /10GE.1 /Principal"/>
    <x v="0"/>
    <b v="0"/>
    <s v="No está en VPC"/>
    <n v="818"/>
    <s v="INTPG_VPC_818_1.45_823_1.45"/>
    <s v="ISEL-1.45"/>
    <n v="1"/>
    <s v="NO TIENE L3OUT"/>
    <n v="8"/>
    <n v="54"/>
  </r>
  <r>
    <n v="850"/>
    <x v="2"/>
    <x v="201"/>
    <s v="eth1/45"/>
    <x v="0"/>
    <x v="0"/>
    <x v="0"/>
    <s v="LINKT_TO_ITHFHWCRMPLCN130 / Slot7.2_30 / Redundante"/>
    <x v="0"/>
    <b v="0"/>
    <s v="No está en VPC"/>
    <n v="850"/>
    <s v="INTPG_ACC_850_1.45"/>
    <s v="ISEL-1.45"/>
    <n v="2"/>
    <s v="NO TIENE L3OUT"/>
    <n v="288"/>
    <n v="54"/>
  </r>
  <r>
    <n v="860"/>
    <x v="2"/>
    <x v="202"/>
    <s v="eth1/45"/>
    <x v="0"/>
    <x v="0"/>
    <x v="0"/>
    <s v="To_VPC_2DCBSD_WR40_3"/>
    <x v="0"/>
    <b v="0"/>
    <s v="No está en VPC"/>
    <n v="860"/>
    <s v="INTPG_VPC_860_1.45_865_1.45"/>
    <s v="ISEL-1.45"/>
    <n v="1"/>
    <s v="NO TIENE L3OUT"/>
    <n v="0"/>
    <n v="54"/>
  </r>
  <r>
    <n v="853"/>
    <x v="2"/>
    <x v="203"/>
    <s v="eth1/45"/>
    <x v="0"/>
    <x v="0"/>
    <x v="0"/>
    <s v="LINK_TO_ITHFHWCRMPLCN86 / Slot7.3_30 / Redundante"/>
    <x v="0"/>
    <b v="0"/>
    <s v="No está en VPC"/>
    <n v="853"/>
    <s v="INTPG_ACC_853_1.45"/>
    <s v="ISEL-1.45"/>
    <n v="1"/>
    <s v="NO TIENE L3OUT"/>
    <n v="242"/>
    <n v="54"/>
  </r>
  <r>
    <n v="790"/>
    <x v="2"/>
    <x v="204"/>
    <s v="eth1/45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45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45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45"/>
    <x v="0"/>
    <x v="1"/>
    <x v="1"/>
    <m/>
    <x v="6"/>
    <b v="0"/>
    <s v="No está en VPC"/>
    <n v="104"/>
    <s v="NO EXISTE PG"/>
    <s v="NO EXISTE ISEL"/>
    <n v="0"/>
    <s v="NO TIENE L3OUT"/>
    <n v="194"/>
    <n v="96"/>
  </r>
  <r>
    <n v="158"/>
    <x v="0"/>
    <x v="208"/>
    <s v="eth1/45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45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45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45"/>
    <x v="0"/>
    <x v="0"/>
    <x v="0"/>
    <s v="OBIE_1-2"/>
    <x v="6"/>
    <b v="0"/>
    <s v="No está en VPC"/>
    <n v="108"/>
    <s v="INTPG_ACC_108_1.45"/>
    <s v="ISEL-1.45"/>
    <n v="1"/>
    <s v="NO TIENE L3OUT"/>
    <n v="126"/>
    <n v="96"/>
  </r>
  <r>
    <n v="112"/>
    <x v="0"/>
    <x v="212"/>
    <s v="eth1/45"/>
    <x v="0"/>
    <x v="0"/>
    <x v="0"/>
    <s v="DCX3-6"/>
    <x v="6"/>
    <b v="0"/>
    <s v="No está en VPC"/>
    <n v="112"/>
    <s v="INTPG_ACC_112_1.45"/>
    <s v="ISEL-1.45"/>
    <n v="1"/>
    <s v="NO TIENE L3OUT"/>
    <n v="144"/>
    <n v="96"/>
  </r>
  <r>
    <n v="107"/>
    <x v="0"/>
    <x v="213"/>
    <s v="eth1/45"/>
    <x v="1"/>
    <x v="1"/>
    <x v="2"/>
    <s v="COMISIONES"/>
    <x v="6"/>
    <b v="0"/>
    <s v="No está en VPC"/>
    <n v="107"/>
    <s v="INTPG_ACC_107_1.45"/>
    <s v="ISEL-1.45"/>
    <n v="0"/>
    <s v="NO TIENE L3OUT"/>
    <n v="118"/>
    <n v="96"/>
  </r>
  <r>
    <n v="109"/>
    <x v="0"/>
    <x v="214"/>
    <s v="eth1/45"/>
    <x v="0"/>
    <x v="0"/>
    <x v="0"/>
    <s v="EMS_TEKELEC"/>
    <x v="6"/>
    <b v="0"/>
    <s v="No está en VPC"/>
    <n v="109"/>
    <s v="INTPG_ACC_109_1.45"/>
    <s v="ISEL-1.45"/>
    <n v="1"/>
    <s v="NO TIENE L3OUT"/>
    <n v="126"/>
    <n v="96"/>
  </r>
  <r>
    <n v="113"/>
    <x v="0"/>
    <x v="215"/>
    <s v="eth1/45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45"/>
    <x v="0"/>
    <x v="1"/>
    <x v="1"/>
    <s v="SAPCCRATING03"/>
    <x v="6"/>
    <b v="0"/>
    <s v="No está en VPC"/>
    <n v="114"/>
    <s v="INTPG_VPC_112_1.48_114_1.45"/>
    <s v="ISEL-1.45"/>
    <n v="1"/>
    <s v="NO TIENE L3OUT"/>
    <n v="144"/>
    <n v="96"/>
  </r>
  <r>
    <n v="124"/>
    <x v="0"/>
    <x v="217"/>
    <s v="eth1/45"/>
    <x v="0"/>
    <x v="0"/>
    <x v="0"/>
    <s v="DWH_SVA_IBM"/>
    <x v="6"/>
    <b v="0"/>
    <s v="No está en VPC"/>
    <n v="124"/>
    <s v="INTPG_ACC_124_1.45"/>
    <s v="ISEL-1.45"/>
    <n v="1"/>
    <s v="NO TIENE L3OUT"/>
    <n v="80"/>
    <n v="96"/>
  </r>
  <r>
    <n v="118"/>
    <x v="0"/>
    <x v="218"/>
    <s v="eth1/45"/>
    <x v="0"/>
    <x v="1"/>
    <x v="1"/>
    <s v="INGE6"/>
    <x v="6"/>
    <b v="0"/>
    <s v="No está en VPC"/>
    <n v="118"/>
    <s v="INTPG_ACC_118_1.45"/>
    <s v="ISEL-1.45"/>
    <n v="1"/>
    <s v="NO TIENE L3OUT"/>
    <n v="180"/>
    <n v="96"/>
  </r>
  <r>
    <n v="159"/>
    <x v="0"/>
    <x v="219"/>
    <s v="eth1/45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45"/>
    <x v="0"/>
    <x v="0"/>
    <x v="0"/>
    <s v="LINK_TO_ITHFHWCBSPSHDCTL06 / Slot7.2_12 / Redundante"/>
    <x v="0"/>
    <b v="0"/>
    <s v="No está en VPC"/>
    <n v="840"/>
    <s v="INTPG_VPC_835_1.45_840_1.45"/>
    <s v="ISEL-1.45"/>
    <n v="1"/>
    <s v="NO TIENE L3OUT"/>
    <n v="8"/>
    <n v="54"/>
  </r>
  <r>
    <n v="856"/>
    <x v="2"/>
    <x v="221"/>
    <s v="eth1/45"/>
    <x v="0"/>
    <x v="0"/>
    <x v="0"/>
    <s v="LINK_TO_ITHFHWCRMPLCN149 / Slot1.2_32 / Principal"/>
    <x v="0"/>
    <b v="0"/>
    <s v="No está en VPC"/>
    <n v="856"/>
    <s v="INTPG_ACC_856_1.45"/>
    <s v="ISEL-1.45"/>
    <n v="2"/>
    <s v="NO TIENE L3OUT"/>
    <n v="286"/>
    <n v="54"/>
  </r>
  <r>
    <n v="110"/>
    <x v="0"/>
    <x v="222"/>
    <s v="eth1/45"/>
    <x v="0"/>
    <x v="0"/>
    <x v="0"/>
    <s v="SUN6900_E25K"/>
    <x v="6"/>
    <b v="0"/>
    <s v="No está en VPC"/>
    <n v="110"/>
    <s v="INTPG_ACC_110_1.45"/>
    <s v="ISEL-1.45"/>
    <n v="1"/>
    <s v="NO TIENE L3OUT"/>
    <n v="102"/>
    <n v="96"/>
  </r>
  <r>
    <n v="163"/>
    <x v="0"/>
    <x v="223"/>
    <s v="eth1/45"/>
    <x v="0"/>
    <x v="0"/>
    <x v="0"/>
    <s v="MULTIMEDIACION_1"/>
    <x v="6"/>
    <b v="0"/>
    <s v="No está en VPC"/>
    <n v="163"/>
    <s v="INTPG_ACC_163_1.45"/>
    <s v="ISEL-1.45"/>
    <n v="1"/>
    <s v="NO TIENE L3OUT"/>
    <n v="140"/>
    <n v="96"/>
  </r>
  <r>
    <n v="407"/>
    <x v="1"/>
    <x v="224"/>
    <s v="eth1/45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45"/>
    <x v="1"/>
    <x v="1"/>
    <x v="2"/>
    <s v="SRS (Speedy Rating System)"/>
    <x v="6"/>
    <b v="0"/>
    <s v="No está en VPC"/>
    <n v="171"/>
    <s v="INTPG_ACC_171_1.45"/>
    <s v="ISEL-1.45"/>
    <n v="1"/>
    <s v="NO TIENE L3OUT"/>
    <n v="114"/>
    <n v="96"/>
  </r>
  <r>
    <n v="421"/>
    <x v="1"/>
    <x v="226"/>
    <s v="eth1/45"/>
    <x v="0"/>
    <x v="0"/>
    <x v="0"/>
    <s v="PortalCautivo2_f5gwt01_mgmt"/>
    <x v="6"/>
    <b v="0"/>
    <s v="No está en VPC"/>
    <n v="421"/>
    <s v="INTPG_ACC_421_1.45"/>
    <s v="ISEL-1.45"/>
    <n v="1"/>
    <s v="NO TIENE L3OUT"/>
    <n v="72"/>
    <n v="96"/>
  </r>
  <r>
    <n v="173"/>
    <x v="0"/>
    <x v="227"/>
    <s v="eth1/45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45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45"/>
    <x v="0"/>
    <x v="0"/>
    <x v="0"/>
    <s v="SRS (Speedy Rating System)"/>
    <x v="6"/>
    <b v="0"/>
    <s v="No está en VPC"/>
    <n v="172"/>
    <s v="INTPG_ACC_172_1.45"/>
    <s v="ISEL-1.45"/>
    <n v="1"/>
    <s v="NO TIENE L3OUT"/>
    <n v="104"/>
    <n v="96"/>
  </r>
  <r>
    <n v="420"/>
    <x v="1"/>
    <x v="230"/>
    <s v="eth1/45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45"/>
    <x v="0"/>
    <x v="0"/>
    <x v="0"/>
    <s v="HP MSA 2040 (ARREGLO)"/>
    <x v="6"/>
    <b v="0"/>
    <s v="No está en VPC"/>
    <n v="423"/>
    <s v="INTPG_ACC_423_1.45"/>
    <s v="ISEL-1.45"/>
    <n v="1"/>
    <s v="NO TIENE L3OUT"/>
    <n v="86"/>
    <n v="96"/>
  </r>
  <r>
    <n v="415"/>
    <x v="1"/>
    <x v="232"/>
    <s v="eth1/45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45"/>
    <x v="1"/>
    <x v="1"/>
    <x v="2"/>
    <s v="IXTLA4_VC1:VMTLCLAMX5:VC1  X5"/>
    <x v="6"/>
    <b v="0"/>
    <s v="No está en VPC"/>
    <n v="102"/>
    <s v="INTPG_PC_102_1.41-48"/>
    <s v="ISEL-1.45"/>
    <n v="0"/>
    <s v="NO TIENE L3OUT"/>
    <n v="228"/>
    <n v="96"/>
  </r>
  <r>
    <n v="863"/>
    <x v="2"/>
    <x v="234"/>
    <s v="eth1/45"/>
    <x v="0"/>
    <x v="0"/>
    <x v="0"/>
    <s v="To_ITHHWD6KV65100015DKC01_Redundante"/>
    <x v="0"/>
    <b v="0"/>
    <s v="No está en VPC"/>
    <n v="863"/>
    <s v="INTPG_ACC_863_1.45"/>
    <s v="ISEL-1.45"/>
    <n v="1"/>
    <s v="NO TIENE L3OUT"/>
    <n v="8"/>
    <n v="54"/>
  </r>
  <r>
    <n v="876"/>
    <x v="2"/>
    <x v="235"/>
    <s v="eth1/45"/>
    <x v="0"/>
    <x v="0"/>
    <x v="0"/>
    <s v="A_ITHFHWSEQLDPS05_Principal"/>
    <x v="4"/>
    <b v="0"/>
    <s v="No está en VPC"/>
    <n v="876"/>
    <s v="INTPG_ACC_876_1.45"/>
    <s v="ISEL-1.45"/>
    <n v="1"/>
    <s v="NO TIENE L3OUT"/>
    <n v="92"/>
    <n v="54"/>
  </r>
  <r>
    <n v="877"/>
    <x v="2"/>
    <x v="236"/>
    <s v="eth1/45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45"/>
    <x v="1"/>
    <x v="1"/>
    <x v="2"/>
    <s v="ZFS X5-2"/>
    <x v="6"/>
    <b v="0"/>
    <s v="No está en VPC"/>
    <n v="122"/>
    <s v="INTPG_ACC_122_1.45"/>
    <s v="ISEL-1.45"/>
    <n v="0"/>
    <s v="NO TIENE L3OUT"/>
    <n v="148"/>
    <n v="96"/>
  </r>
  <r>
    <n v="157"/>
    <x v="0"/>
    <x v="238"/>
    <s v="eth1/45"/>
    <x v="0"/>
    <x v="0"/>
    <x v="0"/>
    <s v="FW_VPN"/>
    <x v="6"/>
    <b v="0"/>
    <s v="No está en VPC"/>
    <n v="157"/>
    <s v="INTPG_ACC_157_1.45"/>
    <s v="ISEL-1.45"/>
    <n v="1"/>
    <s v="NO TIENE L3OUT"/>
    <n v="202"/>
    <n v="96"/>
  </r>
  <r>
    <n v="408"/>
    <x v="1"/>
    <x v="239"/>
    <s v="eth1/45"/>
    <x v="0"/>
    <x v="0"/>
    <x v="0"/>
    <s v="VBLOCK_IGB0"/>
    <x v="6"/>
    <b v="0"/>
    <s v="No está en VPC"/>
    <n v="408"/>
    <s v="INTPG_ACC_408_1.45"/>
    <s v="ISEL-1.45"/>
    <n v="1"/>
    <s v="NO TIENE L3OUT"/>
    <n v="152"/>
    <n v="96"/>
  </r>
  <r>
    <n v="405"/>
    <x v="1"/>
    <x v="240"/>
    <s v="eth1/45"/>
    <x v="0"/>
    <x v="0"/>
    <x v="0"/>
    <s v="ITHSGHP0"/>
    <x v="6"/>
    <b v="0"/>
    <s v="No está en VPC"/>
    <n v="405"/>
    <s v="INTPG_ACC_405_1.45"/>
    <s v="ISEL-1.45"/>
    <n v="1"/>
    <s v="NO TIENE L3OUT"/>
    <n v="138"/>
    <n v="96"/>
  </r>
  <r>
    <n v="169"/>
    <x v="0"/>
    <x v="241"/>
    <s v="eth1/45"/>
    <x v="0"/>
    <x v="0"/>
    <x v="0"/>
    <s v="F5_PORTALES_LDAP01_PROD"/>
    <x v="6"/>
    <b v="0"/>
    <s v="No está en VPC"/>
    <n v="169"/>
    <s v="INTPG_ACC_169_1.45"/>
    <s v="ISEL-1.45"/>
    <n v="2"/>
    <s v="NO TIENE L3OUT"/>
    <n v="76"/>
    <n v="96"/>
  </r>
  <r>
    <n v="165"/>
    <x v="0"/>
    <x v="242"/>
    <s v="eth1/45"/>
    <x v="0"/>
    <x v="0"/>
    <x v="0"/>
    <s v="NOMINA_uxm4web1"/>
    <x v="6"/>
    <b v="0"/>
    <s v="No está en VPC"/>
    <n v="165"/>
    <s v="INTPG_ACC_165_1.45"/>
    <s v="ISEL-1.45"/>
    <n v="1"/>
    <s v="NO TIENE L3OUT"/>
    <n v="86"/>
    <n v="96"/>
  </r>
  <r>
    <n v="417"/>
    <x v="1"/>
    <x v="243"/>
    <s v="eth1/45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45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45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45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45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45"/>
    <x v="0"/>
    <x v="0"/>
    <x v="0"/>
    <s v="TC3_ithmomce1_VC2_X6"/>
    <x v="6"/>
    <b v="0"/>
    <s v="No está en VPC"/>
    <n v="438"/>
    <s v="INTPG_ACC_438_1.45"/>
    <s v="ISEL-1.45"/>
    <n v="7"/>
    <s v="NO TIENE L3OUT"/>
    <n v="170"/>
    <n v="96"/>
  </r>
  <r>
    <n v="406"/>
    <x v="1"/>
    <x v="249"/>
    <s v="eth1/45"/>
    <x v="0"/>
    <x v="1"/>
    <x v="5"/>
    <s v="VIOSDES2-VIOSDES2_CLT"/>
    <x v="6"/>
    <b v="0"/>
    <s v="No está en VPC"/>
    <n v="406"/>
    <s v="INTPG_VPC_404_1.45-46_406_1.45-46"/>
    <s v="ISEL-1.45"/>
    <n v="1"/>
    <s v="NO TIENE L3OUT"/>
    <n v="82"/>
    <n v="96"/>
  </r>
  <r>
    <n v="414"/>
    <x v="1"/>
    <x v="250"/>
    <s v="eth1/45"/>
    <x v="0"/>
    <x v="0"/>
    <x v="0"/>
    <s v="Exadata_adm2"/>
    <x v="6"/>
    <b v="0"/>
    <s v="No está en VPC"/>
    <n v="414"/>
    <s v="INTPG_ACC_414_1.45"/>
    <s v="ISEL-1.45"/>
    <n v="1"/>
    <s v="NO TIENE L3OUT"/>
    <n v="144"/>
    <n v="96"/>
  </r>
  <r>
    <n v="416"/>
    <x v="1"/>
    <x v="251"/>
    <s v="eth1/45"/>
    <x v="0"/>
    <x v="0"/>
    <x v="0"/>
    <s v="DESC"/>
    <x v="6"/>
    <b v="0"/>
    <s v="No está en VPC"/>
    <n v="416"/>
    <s v="INTPG_PC_416_1.40-45"/>
    <s v="ISEL-1.45"/>
    <n v="7"/>
    <s v="NO TIENE L3OUT"/>
    <n v="110"/>
    <n v="96"/>
  </r>
  <r>
    <n v="418"/>
    <x v="1"/>
    <x v="252"/>
    <s v="eth1/45"/>
    <x v="0"/>
    <x v="0"/>
    <x v="0"/>
    <s v="DESC"/>
    <x v="6"/>
    <b v="0"/>
    <s v="No está en VPC"/>
    <n v="418"/>
    <s v="INTPG_PC_418_1.40-45"/>
    <s v="ISEL-1.45"/>
    <n v="7"/>
    <s v="NO TIENE L3OUT"/>
    <n v="152"/>
    <n v="96"/>
  </r>
  <r>
    <n v="413"/>
    <x v="1"/>
    <x v="253"/>
    <s v="eth1/45"/>
    <x v="0"/>
    <x v="0"/>
    <x v="0"/>
    <s v="To-uxingemc2 ldom 1  uxsmart01"/>
    <x v="6"/>
    <b v="0"/>
    <s v="No está en VPC"/>
    <n v="413"/>
    <s v="INTPG_ACC_413_1.45"/>
    <s v="ISEL-1.45"/>
    <n v="1"/>
    <s v="NO TIENE L3OUT"/>
    <n v="126"/>
    <n v="96"/>
  </r>
  <r>
    <n v="403"/>
    <x v="1"/>
    <x v="254"/>
    <s v="eth1/45"/>
    <x v="0"/>
    <x v="1"/>
    <x v="1"/>
    <s v="SYS_BAY_SVA_DWH"/>
    <x v="6"/>
    <b v="0"/>
    <s v="No está en VPC"/>
    <n v="403"/>
    <s v="INTPG_ACC_403_1.45"/>
    <s v="ISEL-1.45"/>
    <n v="1"/>
    <s v="NO TIENE L3OUT"/>
    <n v="150"/>
    <n v="96"/>
  </r>
  <r>
    <n v="125"/>
    <x v="0"/>
    <x v="255"/>
    <s v="eth1/45"/>
    <x v="0"/>
    <x v="0"/>
    <x v="0"/>
    <m/>
    <x v="6"/>
    <b v="0"/>
    <s v="No está en VPC"/>
    <n v="125"/>
    <s v="INTPG_ACC_125_1.45"/>
    <s v="ISEL-1.45"/>
    <n v="1"/>
    <s v="NO TIENE L3OUT"/>
    <n v="72"/>
    <n v="96"/>
  </r>
  <r>
    <n v="166"/>
    <x v="0"/>
    <x v="256"/>
    <s v="eth1/45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45"/>
    <x v="0"/>
    <x v="0"/>
    <x v="0"/>
    <s v="TO-ITHFDEMCFRPMS01"/>
    <x v="6"/>
    <b v="0"/>
    <s v="No está en VPC"/>
    <n v="111"/>
    <s v="INTPG_VPC_110_1.66_111_1.45"/>
    <s v="ISEL-1.45"/>
    <n v="1"/>
    <s v="NO TIENE L3OUT"/>
    <n v="58"/>
    <n v="96"/>
  </r>
  <r>
    <n v="115"/>
    <x v="0"/>
    <x v="258"/>
    <s v="eth1/45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45"/>
    <x v="0"/>
    <x v="0"/>
    <x v="0"/>
    <s v="COMISIONES"/>
    <x v="6"/>
    <b v="0"/>
    <s v="No está en VPC"/>
    <n v="106"/>
    <s v="INTPG_ACC_106_1.45"/>
    <s v="ISEL-1.45"/>
    <n v="1"/>
    <s v="NO TIENE L3OUT"/>
    <n v="122"/>
    <n v="96"/>
  </r>
  <r>
    <n v="126"/>
    <x v="0"/>
    <x v="260"/>
    <s v="eth1/45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45"/>
    <x v="0"/>
    <x v="0"/>
    <x v="0"/>
    <s v="ITHVC1_ILO1_IPMP-Pasiva"/>
    <x v="6"/>
    <b v="0"/>
    <s v="No está en VPC"/>
    <n v="425"/>
    <s v="INTPG_ACC_425_1.45"/>
    <s v="ISEL-1.45"/>
    <n v="1"/>
    <s v="NO TIENE L3OUT"/>
    <n v="86"/>
    <n v="96"/>
  </r>
  <r>
    <n v="151"/>
    <x v="0"/>
    <x v="262"/>
    <s v="eth1/45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45"/>
    <x v="0"/>
    <x v="1"/>
    <x v="1"/>
    <s v="TO-uxidmbd1-E7-1"/>
    <x v="6"/>
    <b v="0"/>
    <s v="No está en VPC"/>
    <n v="430"/>
    <s v="INTPG_ACC_430_1.45"/>
    <s v="ISEL-1.45"/>
    <n v="1"/>
    <s v="NO TIENE L3OUT"/>
    <n v="86"/>
    <n v="96"/>
  </r>
  <r>
    <n v="419"/>
    <x v="1"/>
    <x v="264"/>
    <s v="eth1/45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45"/>
    <x v="0"/>
    <x v="0"/>
    <x v="0"/>
    <s v="IXT08PP"/>
    <x v="6"/>
    <b v="0"/>
    <s v="No está en VPC"/>
    <n v="155"/>
    <s v="INTPG_ACC_155_1.45"/>
    <s v="ISEL-1.45"/>
    <n v="1"/>
    <s v="NO TIENE L3OUT"/>
    <n v="198"/>
    <n v="96"/>
  </r>
  <r>
    <n v="409"/>
    <x v="1"/>
    <x v="266"/>
    <s v="eth1/45"/>
    <x v="0"/>
    <x v="0"/>
    <x v="0"/>
    <s v="IXTPPMDB01"/>
    <x v="6"/>
    <b v="0"/>
    <s v="No está en VPC"/>
    <n v="409"/>
    <s v="INTPG_ACC_409_1.45"/>
    <s v="ISEL-1.45"/>
    <n v="1"/>
    <s v="NO TIENE L3OUT"/>
    <n v="128"/>
    <n v="96"/>
  </r>
  <r>
    <n v="422"/>
    <x v="1"/>
    <x v="267"/>
    <s v="eth1/45"/>
    <x v="0"/>
    <x v="0"/>
    <x v="0"/>
    <s v="ITHRTC4CSP1"/>
    <x v="6"/>
    <b v="0"/>
    <s v="No está en VPC"/>
    <n v="422"/>
    <s v="INTPG_ACC_422_1.45"/>
    <s v="ISEL-1.45"/>
    <n v="1"/>
    <s v="NO TIENE L3OUT"/>
    <n v="182"/>
    <n v="96"/>
  </r>
  <r>
    <n v="436"/>
    <x v="1"/>
    <x v="268"/>
    <s v="eth1/45"/>
    <x v="0"/>
    <x v="0"/>
    <x v="0"/>
    <s v="DESC"/>
    <x v="6"/>
    <b v="0"/>
    <s v="No está en VPC"/>
    <n v="436"/>
    <s v="INTPG_PC_436_1.40-45"/>
    <s v="ISEL-1.45"/>
    <n v="7"/>
    <s v="NO TIENE L3OUT"/>
    <n v="172"/>
    <n v="96"/>
  </r>
  <r>
    <n v="410"/>
    <x v="1"/>
    <x v="269"/>
    <s v="eth1/45"/>
    <x v="0"/>
    <x v="1"/>
    <x v="1"/>
    <s v="NMS02_S05"/>
    <x v="6"/>
    <b v="0"/>
    <s v="No está en VPC"/>
    <n v="410"/>
    <s v="INTPG_ACC_410_1.45"/>
    <s v="ISEL-1.45"/>
    <n v="1"/>
    <s v="NO TIENE L3OUT"/>
    <n v="178"/>
    <n v="96"/>
  </r>
  <r>
    <n v="161"/>
    <x v="0"/>
    <x v="270"/>
    <s v="eth1/45"/>
    <x v="0"/>
    <x v="0"/>
    <x v="0"/>
    <s v="CELCITE"/>
    <x v="6"/>
    <b v="0"/>
    <s v="No está en VPC"/>
    <n v="161"/>
    <s v="INTPG_ACC_161_1.45"/>
    <s v="ISEL-1.45"/>
    <n v="1"/>
    <s v="NO TIENE L3OUT"/>
    <n v="102"/>
    <n v="96"/>
  </r>
  <r>
    <n v="411"/>
    <x v="1"/>
    <x v="271"/>
    <s v="eth1/45"/>
    <x v="0"/>
    <x v="1"/>
    <x v="1"/>
    <s v="Ixt_guardium01_Principal"/>
    <x v="6"/>
    <b v="0"/>
    <s v="No está en VPC"/>
    <n v="411"/>
    <s v="INTPG_ACC_411_1.45"/>
    <s v="ISEL-1.45"/>
    <n v="1"/>
    <s v="NO TIENE L3OUT"/>
    <n v="96"/>
    <n v="96"/>
  </r>
  <r>
    <n v="116"/>
    <x v="0"/>
    <x v="272"/>
    <s v="eth1/45"/>
    <x v="0"/>
    <x v="1"/>
    <x v="1"/>
    <s v="USSD TANGO"/>
    <x v="6"/>
    <b v="0"/>
    <s v="No está en VPC"/>
    <n v="116"/>
    <s v="INTPG_ACC_116_1.45"/>
    <s v="ISEL-1.45"/>
    <n v="1"/>
    <s v="NO TIENE L3OUT"/>
    <n v="148"/>
    <n v="96"/>
  </r>
  <r>
    <n v="412"/>
    <x v="1"/>
    <x v="273"/>
    <s v="eth1/45"/>
    <x v="0"/>
    <x v="0"/>
    <x v="0"/>
    <s v="HNMP101B"/>
    <x v="6"/>
    <b v="0"/>
    <s v="No está en VPC"/>
    <n v="412"/>
    <s v="INTPG_ACC_412_1.45"/>
    <s v="ISEL-1.45"/>
    <n v="1"/>
    <s v="NO TIENE L3OUT"/>
    <n v="126"/>
    <n v="96"/>
  </r>
  <r>
    <n v="120"/>
    <x v="0"/>
    <x v="274"/>
    <s v="eth1/45"/>
    <x v="0"/>
    <x v="0"/>
    <x v="0"/>
    <s v="Consola serial"/>
    <x v="6"/>
    <b v="0"/>
    <s v="No está en VPC"/>
    <n v="120"/>
    <s v="INTPG_ACC_120_1.45"/>
    <s v="ISEL-1.45"/>
    <n v="1"/>
    <s v="NO TIENE L3OUT"/>
    <n v="158"/>
    <n v="96"/>
  </r>
  <r>
    <n v="404"/>
    <x v="1"/>
    <x v="275"/>
    <s v="eth1/45"/>
    <x v="0"/>
    <x v="1"/>
    <x v="5"/>
    <s v="VIOSDES2-VIOSDES2_CLT"/>
    <x v="6"/>
    <b v="0"/>
    <s v="No está en VPC"/>
    <n v="404"/>
    <s v="INTPG_VPC_404_1.45-46_406_1.45-46"/>
    <s v="ISEL-1.45"/>
    <n v="1"/>
    <s v="NO TIENE L3OUT"/>
    <n v="92"/>
    <n v="96"/>
  </r>
  <r>
    <n v="167"/>
    <x v="0"/>
    <x v="276"/>
    <s v="eth1/45"/>
    <x v="1"/>
    <x v="1"/>
    <x v="2"/>
    <s v="F5_PORTALES_LDAP02_PROD"/>
    <x v="6"/>
    <b v="0"/>
    <s v="No está en VPC"/>
    <n v="167"/>
    <s v="INTPG_ACC_167_1.45"/>
    <s v="ISEL-1.45"/>
    <n v="2"/>
    <s v="NO TIENE L3OUT"/>
    <n v="68"/>
    <n v="96"/>
  </r>
  <r>
    <n v="428"/>
    <x v="1"/>
    <x v="277"/>
    <s v="eth1/45"/>
    <x v="0"/>
    <x v="0"/>
    <x v="0"/>
    <s v="ECAC_PROD1_ILO"/>
    <x v="6"/>
    <b v="0"/>
    <s v="No está en VPC"/>
    <n v="428"/>
    <s v="INTPG_ACC_428_1.45"/>
    <s v="ISEL-1.45"/>
    <n v="1"/>
    <s v="NO TIENE L3OUT"/>
    <n v="102"/>
    <n v="96"/>
  </r>
  <r>
    <n v="128"/>
    <x v="0"/>
    <x v="0"/>
    <s v="eth1/46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46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46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46"/>
    <x v="0"/>
    <x v="0"/>
    <x v="0"/>
    <s v="LINK_HACIA_APIC"/>
    <x v="0"/>
    <b v="0"/>
    <s v="No está en VPC"/>
    <n v="101"/>
    <s v="INTPG_ACC_APIC5_101_1.46"/>
    <s v="ISEL-1.46"/>
    <n v="0"/>
    <s v="NO TIENE L3OUT"/>
    <n v="114"/>
    <n v="54"/>
  </r>
  <r>
    <n v="160"/>
    <x v="0"/>
    <x v="4"/>
    <s v="eth1/46"/>
    <x v="0"/>
    <x v="1"/>
    <x v="1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46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46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46"/>
    <x v="0"/>
    <x v="0"/>
    <x v="0"/>
    <s v="LINK_HACIA_APIC"/>
    <x v="0"/>
    <b v="0"/>
    <s v="No está en VPC"/>
    <n v="401"/>
    <s v="INTPG-ACC_APIC3_401_1.46"/>
    <s v="ISEL-1.46"/>
    <n v="0"/>
    <s v="NO TIENE L3OUT"/>
    <n v="40"/>
    <n v="54"/>
  </r>
  <r>
    <n v="402"/>
    <x v="1"/>
    <x v="8"/>
    <s v="eth1/46"/>
    <x v="0"/>
    <x v="0"/>
    <x v="0"/>
    <s v="LINK_HACIA_APIC"/>
    <x v="0"/>
    <b v="0"/>
    <s v="No está en VPC"/>
    <n v="402"/>
    <s v="INTPG-ACC_APIC3_402_1.46"/>
    <s v="ISEL-1.46"/>
    <n v="0"/>
    <s v="NO TIENE L3OUT"/>
    <n v="36"/>
    <n v="54"/>
  </r>
  <r>
    <n v="130"/>
    <x v="0"/>
    <x v="11"/>
    <s v="eth1/46"/>
    <x v="0"/>
    <x v="0"/>
    <x v="0"/>
    <s v="LAG-smt-comp-01"/>
    <x v="0"/>
    <b v="0"/>
    <s v="No está en VPC"/>
    <n v="130"/>
    <s v="INTPG_VPC_130_1.46-47_131_1.46-47"/>
    <s v="ISEL-1.46"/>
    <n v="4"/>
    <s v="NO TIENE L3OUT"/>
    <n v="128"/>
    <n v="54"/>
  </r>
  <r>
    <n v="150"/>
    <x v="0"/>
    <x v="12"/>
    <s v="eth1/46"/>
    <x v="0"/>
    <x v="0"/>
    <x v="0"/>
    <s v="LINK_HACIA_APIC"/>
    <x v="0"/>
    <b v="0"/>
    <s v="No está en VPC"/>
    <n v="150"/>
    <s v="INTPG_ACC_APIC5_150_1.46"/>
    <s v="ISEL-1.46"/>
    <n v="0"/>
    <s v="NO TIENE L3OUT"/>
    <n v="118"/>
    <n v="54"/>
  </r>
  <r>
    <n v="131"/>
    <x v="0"/>
    <x v="13"/>
    <s v="eth1/46"/>
    <x v="0"/>
    <x v="0"/>
    <x v="0"/>
    <s v="LAG-smt-comp-01"/>
    <x v="0"/>
    <b v="0"/>
    <s v="No está en VPC"/>
    <n v="131"/>
    <s v="INTPG_VPC_130_1.46-47_131_1.46-47"/>
    <s v="ISEL-1.46"/>
    <n v="4"/>
    <s v="NO TIENE L3OUT"/>
    <n v="126"/>
    <n v="54"/>
  </r>
  <r>
    <n v="424"/>
    <x v="1"/>
    <x v="18"/>
    <s v="eth1/46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46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46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46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46"/>
    <x v="1"/>
    <x v="1"/>
    <x v="2"/>
    <m/>
    <x v="0"/>
    <b v="0"/>
    <s v="No está en VPC"/>
    <n v="727"/>
    <s v="INTPG-ACC-OSPF_727_1.46"/>
    <s v="ISEL-1.46"/>
    <n v="0"/>
    <s v="NO TIENE L3OUT"/>
    <n v="0"/>
    <n v="54"/>
  </r>
  <r>
    <n v="724"/>
    <x v="2"/>
    <x v="23"/>
    <s v="eth1/46"/>
    <x v="0"/>
    <x v="0"/>
    <x v="0"/>
    <s v="LINK_HACIA_APIC"/>
    <x v="0"/>
    <b v="0"/>
    <s v="No está en VPC"/>
    <n v="724"/>
    <s v="INTPG-ACC_APIC_2_724_1.46"/>
    <s v="ISEL-1.46"/>
    <n v="0"/>
    <s v="NO TIENE L3OUT"/>
    <n v="0"/>
    <n v="54"/>
  </r>
  <r>
    <n v="725"/>
    <x v="2"/>
    <x v="25"/>
    <s v="eth1/46"/>
    <x v="0"/>
    <x v="0"/>
    <x v="0"/>
    <s v="LINK_HACIA_APIC"/>
    <x v="0"/>
    <b v="0"/>
    <s v="No está en VPC"/>
    <n v="725"/>
    <s v="INTPG-ACC_APIC_2_725_1.46"/>
    <s v="isel-1.46"/>
    <n v="0"/>
    <s v="NO TIENE L3OUT"/>
    <n v="0"/>
    <n v="54"/>
  </r>
  <r>
    <n v="431"/>
    <x v="1"/>
    <x v="26"/>
    <s v="eth1/46"/>
    <x v="0"/>
    <x v="0"/>
    <x v="0"/>
    <s v="To_ITHEA1A_eth3"/>
    <x v="0"/>
    <b v="0"/>
    <s v="No está en VPC"/>
    <n v="431"/>
    <s v="INTPG_ACC_431_1.46"/>
    <s v="ISEL-1.46"/>
    <n v="4"/>
    <s v="NO TIENE L3OUT"/>
    <n v="46"/>
    <n v="54"/>
  </r>
  <r>
    <n v="433"/>
    <x v="1"/>
    <x v="27"/>
    <s v="eth1/46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46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46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46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46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46"/>
    <x v="1"/>
    <x v="1"/>
    <x v="3"/>
    <m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46"/>
    <x v="0"/>
    <x v="0"/>
    <x v="0"/>
    <s v="LINK_HACIA_APIC"/>
    <x v="0"/>
    <b v="0"/>
    <s v="No está en VPC"/>
    <n v="712"/>
    <s v="INTPG-ACC_APIC1_712_1.46"/>
    <s v="ISEL-1.46"/>
    <n v="0"/>
    <s v="NO TIENE L3OUT"/>
    <n v="32"/>
    <n v="54"/>
  </r>
  <r>
    <n v="719"/>
    <x v="2"/>
    <x v="34"/>
    <s v="eth1/46"/>
    <x v="0"/>
    <x v="0"/>
    <x v="0"/>
    <s v="LINK_HACIA_APIC"/>
    <x v="0"/>
    <b v="0"/>
    <s v="No está en VPC"/>
    <n v="719"/>
    <s v="INTPG-ACC_APIC_4_719_1.46"/>
    <s v="ISEL-1.46"/>
    <n v="0"/>
    <s v="NO TIENE L3OUT"/>
    <n v="0"/>
    <n v="54"/>
  </r>
  <r>
    <n v="715"/>
    <x v="2"/>
    <x v="35"/>
    <s v="eth1/46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46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46"/>
    <x v="1"/>
    <x v="1"/>
    <x v="3"/>
    <m/>
    <x v="0"/>
    <b v="0"/>
    <s v="No está en VPC"/>
    <n v="711"/>
    <s v="NO EXISTE PG"/>
    <s v="NO EXISTE ISEL"/>
    <n v="0"/>
    <s v="NO TIENE L3OUT"/>
    <n v="16"/>
    <n v="54"/>
  </r>
  <r>
    <n v="716"/>
    <x v="2"/>
    <x v="38"/>
    <s v="eth1/46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46"/>
    <x v="1"/>
    <x v="1"/>
    <x v="3"/>
    <m/>
    <x v="0"/>
    <b v="0"/>
    <s v="No está en VPC"/>
    <n v="702"/>
    <s v="INTPG-ACC_Forti5001B_702_1.46"/>
    <s v="ISEL-1.46"/>
    <n v="0"/>
    <s v="NO TIENE L3OUT"/>
    <n v="0"/>
    <n v="54"/>
  </r>
  <r>
    <n v="435"/>
    <x v="1"/>
    <x v="40"/>
    <s v="eth1/46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46"/>
    <x v="0"/>
    <x v="0"/>
    <x v="0"/>
    <s v="LINK_HACIA_APIC"/>
    <x v="0"/>
    <b v="0"/>
    <s v="No está en VPC"/>
    <n v="446"/>
    <s v="INTPG_ACC_APIC7_446_1.46"/>
    <s v="ISEL-1.46"/>
    <n v="0"/>
    <s v="NO TIENE L3OUT"/>
    <n v="198"/>
    <n v="54"/>
  </r>
  <r>
    <n v="444"/>
    <x v="1"/>
    <x v="42"/>
    <s v="eth1/46"/>
    <x v="0"/>
    <x v="0"/>
    <x v="0"/>
    <s v="LINK_HACIA_APIC"/>
    <x v="0"/>
    <b v="0"/>
    <s v="No está en VPC"/>
    <n v="444"/>
    <s v="INTPG_ACC_APIC7_444_1.46"/>
    <s v="ISEL-1.46"/>
    <n v="0"/>
    <s v="NO TIENE L3OUT"/>
    <n v="234"/>
    <n v="54"/>
  </r>
  <r>
    <n v="701"/>
    <x v="2"/>
    <x v="43"/>
    <s v="eth1/46"/>
    <x v="1"/>
    <x v="1"/>
    <x v="3"/>
    <m/>
    <x v="0"/>
    <b v="0"/>
    <s v="No está en VPC"/>
    <n v="701"/>
    <s v="INTPG-ACC_Forti5001B_701_1.46"/>
    <s v="ISEL-1.46"/>
    <n v="0"/>
    <s v="NO TIENE L3OUT"/>
    <n v="0"/>
    <n v="54"/>
  </r>
  <r>
    <n v="440"/>
    <x v="1"/>
    <x v="44"/>
    <s v="eth1/46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46"/>
    <x v="0"/>
    <x v="0"/>
    <x v="0"/>
    <s v="To_ITHEA1C_eth2"/>
    <x v="0"/>
    <b v="0"/>
    <s v="No está en VPC"/>
    <n v="448"/>
    <s v="INTPG_ACC_448_1.46"/>
    <s v="ISEL-1.46"/>
    <n v="4"/>
    <s v="NO TIENE L3OUT"/>
    <n v="46"/>
    <n v="54"/>
  </r>
  <r>
    <n v="704"/>
    <x v="2"/>
    <x v="46"/>
    <s v="eth1/46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46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46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46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46"/>
    <x v="0"/>
    <x v="0"/>
    <x v="0"/>
    <s v="LINK_HACIA_MGMT"/>
    <x v="0"/>
    <b v="0"/>
    <s v="No está en VPC"/>
    <n v="746"/>
    <s v="INTPG_VPC_MGMT_10311_745_1.45_746_1.46"/>
    <s v="ISEL-1.46"/>
    <n v="2"/>
    <s v="NO TIENE L3OUT"/>
    <n v="0"/>
    <n v="54"/>
  </r>
  <r>
    <n v="745"/>
    <x v="2"/>
    <x v="52"/>
    <s v="eth1/46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46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46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46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46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46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46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46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46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46"/>
    <x v="0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46"/>
    <x v="0"/>
    <x v="1"/>
    <x v="1"/>
    <m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46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46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46"/>
    <x v="0"/>
    <x v="0"/>
    <x v="0"/>
    <s v="LINK_HACIA_MGMT"/>
    <x v="0"/>
    <b v="0"/>
    <s v="No está en VPC"/>
    <n v="760"/>
    <s v="INTPG_VPC_MGMT_10815_761_1.45_760_1.46"/>
    <s v="ISEL-1.46"/>
    <n v="3"/>
    <s v="NO TIENE L3OUT"/>
    <n v="0"/>
    <n v="54"/>
  </r>
  <r>
    <n v="752"/>
    <x v="2"/>
    <x v="66"/>
    <s v="eth1/46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46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46"/>
    <x v="1"/>
    <x v="1"/>
    <x v="3"/>
    <m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46"/>
    <x v="1"/>
    <x v="1"/>
    <x v="3"/>
    <m/>
    <x v="0"/>
    <b v="0"/>
    <s v="No está en VPC"/>
    <n v="780"/>
    <s v="NO EXISTE PG"/>
    <s v="NO EXISTE ISEL"/>
    <n v="0"/>
    <s v="NO TIENE L3OUT"/>
    <n v="26"/>
    <n v="54"/>
  </r>
  <r>
    <n v="812"/>
    <x v="2"/>
    <x v="70"/>
    <s v="eth1/46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46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46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46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46"/>
    <x v="0"/>
    <x v="0"/>
    <x v="0"/>
    <s v="LINK_TO_ITHHWCRMPEN01 /E4-10GE 1 /Principal"/>
    <x v="0"/>
    <b v="0"/>
    <s v="No está en VPC"/>
    <n v="824"/>
    <s v="INTPG_VPC_819_1.39_46_824_1.39_46"/>
    <s v="ISEL-1.46"/>
    <n v="9"/>
    <s v="NO TIENE L3OUT"/>
    <n v="70"/>
    <n v="54"/>
  </r>
  <r>
    <n v="819"/>
    <x v="2"/>
    <x v="75"/>
    <s v="eth1/46"/>
    <x v="0"/>
    <x v="0"/>
    <x v="0"/>
    <s v="LINK_TO_ITHHWCRMPEN01 /E4-10GE 2 /Redundante"/>
    <x v="0"/>
    <b v="0"/>
    <s v="No está en VPC"/>
    <n v="819"/>
    <s v="INTPG_VPC_819_1.39_46_824_1.39_46"/>
    <s v="ISEL-1.46"/>
    <n v="9"/>
    <s v="NO TIENE L3OUT"/>
    <n v="70"/>
    <n v="54"/>
  </r>
  <r>
    <n v="737"/>
    <x v="2"/>
    <x v="76"/>
    <s v="eth1/46"/>
    <x v="0"/>
    <x v="1"/>
    <x v="1"/>
    <m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46"/>
    <x v="0"/>
    <x v="0"/>
    <x v="0"/>
    <s v="LINK_TO_ITHFHWCRMPLCN116 / Slot1.1_36 / Principal"/>
    <x v="0"/>
    <b v="0"/>
    <s v="No está en VPC"/>
    <n v="844"/>
    <s v="INTPG_ACC_844_1.46"/>
    <s v="ISEL-1.46"/>
    <n v="6"/>
    <s v="NO TIENE L3OUT"/>
    <n v="282"/>
    <n v="54"/>
  </r>
  <r>
    <n v="843"/>
    <x v="2"/>
    <x v="78"/>
    <s v="eth1/46"/>
    <x v="0"/>
    <x v="0"/>
    <x v="0"/>
    <s v="LINK_TO_ITHFHWSEQLIMPS32 / Slot 4 PTO 1 / Principal"/>
    <x v="0"/>
    <b v="0"/>
    <s v="No está en VPC"/>
    <n v="843"/>
    <s v="INTPG_ACC_843_1.46"/>
    <s v="ISEL-1.46"/>
    <n v="1"/>
    <s v="NO TIENE L3OUT"/>
    <n v="38"/>
    <n v="54"/>
  </r>
  <r>
    <n v="797"/>
    <x v="2"/>
    <x v="79"/>
    <s v="eth1/46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46"/>
    <x v="1"/>
    <x v="1"/>
    <x v="3"/>
    <m/>
    <x v="0"/>
    <b v="0"/>
    <s v="No está en VPC"/>
    <n v="839"/>
    <s v="NO EXISTE PG"/>
    <s v="NO EXISTE ISEL"/>
    <n v="0"/>
    <s v="NO TIENE L3OUT"/>
    <n v="0"/>
    <n v="54"/>
  </r>
  <r>
    <n v="847"/>
    <x v="2"/>
    <x v="81"/>
    <s v="eth1/46"/>
    <x v="0"/>
    <x v="0"/>
    <x v="0"/>
    <s v="LINK_TO_ITHFHWCRMPLCN153 / Slot7.3_8 / Redundante"/>
    <x v="0"/>
    <b v="0"/>
    <s v="No está en VPC"/>
    <n v="847"/>
    <s v="INTPG_ACC_847_1.46"/>
    <s v="ISEL-1.46"/>
    <n v="1"/>
    <s v="NO TIENE L3OUT"/>
    <n v="204"/>
    <n v="54"/>
  </r>
  <r>
    <n v="848"/>
    <x v="2"/>
    <x v="82"/>
    <s v="eth1/46"/>
    <x v="0"/>
    <x v="0"/>
    <x v="0"/>
    <s v="VPC_2DCRMP_BDA10_3"/>
    <x v="0"/>
    <b v="0"/>
    <s v="No está en VPC"/>
    <n v="848"/>
    <s v="INTPG_VPC_855_1.46_848_1.46"/>
    <s v="ISEL-1.46"/>
    <n v="1"/>
    <s v="NO TIENE L3OUT"/>
    <n v="254"/>
    <n v="54"/>
  </r>
  <r>
    <n v="846"/>
    <x v="2"/>
    <x v="83"/>
    <s v="eth1/46"/>
    <x v="0"/>
    <x v="0"/>
    <x v="0"/>
    <s v="LINK_TO_ITHFHWCRMPLCN87 / Slot1.1_32 / Principal"/>
    <x v="0"/>
    <b v="0"/>
    <s v="No está en VPC"/>
    <n v="846"/>
    <s v="INTPG_ACC_846_1.46"/>
    <s v="ISEL-1.46"/>
    <n v="6"/>
    <s v="NO TIENE L3OUT"/>
    <n v="242"/>
    <n v="54"/>
  </r>
  <r>
    <n v="838"/>
    <x v="2"/>
    <x v="84"/>
    <s v="eth1/46"/>
    <x v="0"/>
    <x v="0"/>
    <x v="0"/>
    <s v="LINK_TO_ITHFHWSEQLIMPS32 / Slot 5 PTO 1 / Redundante"/>
    <x v="0"/>
    <b v="0"/>
    <s v="No está en VPC"/>
    <n v="838"/>
    <s v="INTPG_ACC_838_1.46"/>
    <s v="ISEL-1.46"/>
    <n v="1"/>
    <s v="NO TIENE L3OUT"/>
    <n v="38"/>
    <n v="54"/>
  </r>
  <r>
    <n v="849"/>
    <x v="2"/>
    <x v="85"/>
    <s v="eth1/46"/>
    <x v="0"/>
    <x v="0"/>
    <x v="0"/>
    <s v="LINK_TO_ITHFHWCRMPLCN149 / Slot7.3_32 / Redundante"/>
    <x v="0"/>
    <b v="0"/>
    <s v="No está en VPC"/>
    <n v="849"/>
    <s v="INTPG_ACC_849_1.46"/>
    <s v="ISEL-1.46"/>
    <n v="1"/>
    <s v="NO TIENE L3OUT"/>
    <n v="286"/>
    <n v="54"/>
  </r>
  <r>
    <n v="845"/>
    <x v="2"/>
    <x v="86"/>
    <s v="eth1/46"/>
    <x v="0"/>
    <x v="0"/>
    <x v="0"/>
    <s v="LINK_TO_ITHFHWCRMPLCN99 / Slot1.2_30 / Principal"/>
    <x v="0"/>
    <b v="0"/>
    <s v="No está en VPC"/>
    <n v="845"/>
    <s v="INTPG_ACC_845_1.46"/>
    <s v="ISEL-1.46"/>
    <n v="2"/>
    <s v="NO TIENE L3OUT"/>
    <n v="258"/>
    <n v="54"/>
  </r>
  <r>
    <n v="873"/>
    <x v="2"/>
    <x v="87"/>
    <s v="eth1/46"/>
    <x v="0"/>
    <x v="0"/>
    <x v="0"/>
    <s v="To_ITHFHWCRMDLCN39_Redundante"/>
    <x v="0"/>
    <b v="0"/>
    <s v="No está en VPC"/>
    <n v="873"/>
    <s v="INTPG_ACC_873_1.46"/>
    <s v="ISEL-1.46"/>
    <n v="6"/>
    <s v="NO TIENE L3OUT"/>
    <n v="248"/>
    <n v="54"/>
  </r>
  <r>
    <n v="864"/>
    <x v="2"/>
    <x v="88"/>
    <s v="eth1/46"/>
    <x v="0"/>
    <x v="0"/>
    <x v="0"/>
    <s v="To_VPC_2DCBSD_WR51_1"/>
    <x v="0"/>
    <b v="0"/>
    <s v="No está en VPC"/>
    <n v="864"/>
    <s v="INTPG_VPC_859_1.46_864_1.46"/>
    <s v="ISEL-1.46"/>
    <n v="2"/>
    <s v="NO TIENE L3OUT"/>
    <n v="0"/>
    <n v="54"/>
  </r>
  <r>
    <n v="836"/>
    <x v="2"/>
    <x v="89"/>
    <s v="eth1/46"/>
    <x v="0"/>
    <x v="0"/>
    <x v="0"/>
    <s v="LINK_TO_ITHFHWCBSPSHD29 / Slot1.3_22 / Principal"/>
    <x v="0"/>
    <b v="0"/>
    <s v="No está en VPC"/>
    <n v="836"/>
    <s v="INTPG_VPC_836_1.46_841_1.46"/>
    <s v="ISEL-1.46"/>
    <n v="1"/>
    <s v="NO TIENE L3OUT"/>
    <n v="0"/>
    <n v="54"/>
  </r>
  <r>
    <n v="834"/>
    <x v="2"/>
    <x v="90"/>
    <s v="eth1/46"/>
    <x v="1"/>
    <x v="1"/>
    <x v="3"/>
    <m/>
    <x v="0"/>
    <b v="0"/>
    <s v="No está en VPC"/>
    <n v="834"/>
    <s v="NO EXISTE PG"/>
    <s v="NO EXISTE ISEL"/>
    <n v="0"/>
    <s v="NO TIENE L3OUT"/>
    <n v="0"/>
    <n v="54"/>
  </r>
  <r>
    <n v="872"/>
    <x v="2"/>
    <x v="91"/>
    <s v="eth1/46"/>
    <x v="0"/>
    <x v="0"/>
    <x v="0"/>
    <s v="TO_ITHFHWCRMDLCN52_Principal"/>
    <x v="0"/>
    <b v="0"/>
    <s v="No está en VPC"/>
    <n v="872"/>
    <s v="INTPG_ACC_872_1.46"/>
    <s v="ISEL-1.46"/>
    <n v="2"/>
    <s v="NO TIENE L3OUT"/>
    <n v="288"/>
    <n v="54"/>
  </r>
  <r>
    <n v="842"/>
    <x v="2"/>
    <x v="92"/>
    <s v="eth1/46"/>
    <x v="0"/>
    <x v="0"/>
    <x v="0"/>
    <s v="LINK_To_ITHFHWCBSPSHD23 / Slot7.2_22 / Redundante"/>
    <x v="0"/>
    <b v="0"/>
    <s v="No está en VPC"/>
    <n v="842"/>
    <s v="INTPG_VPC_837_1.46_842_1.46"/>
    <s v="ISEL-1.46"/>
    <n v="1"/>
    <s v="NO TIENE L3OUT"/>
    <n v="8"/>
    <n v="54"/>
  </r>
  <r>
    <n v="828"/>
    <x v="2"/>
    <x v="93"/>
    <s v="eth1/46"/>
    <x v="0"/>
    <x v="0"/>
    <x v="0"/>
    <s v="To_ITHFHWCRMDLCN42_Principal"/>
    <x v="0"/>
    <b v="0"/>
    <s v="No está en VPC"/>
    <n v="828"/>
    <s v="INTPG_ACC_828_1.46"/>
    <s v="ISEL-1.46"/>
    <n v="2"/>
    <s v="NO TIENE L3OUT"/>
    <n v="192"/>
    <n v="54"/>
  </r>
  <r>
    <n v="870"/>
    <x v="2"/>
    <x v="94"/>
    <s v="eth1/46"/>
    <x v="0"/>
    <x v="0"/>
    <x v="0"/>
    <s v="To_ITHFHWCRMDLCN39_Principal"/>
    <x v="0"/>
    <b v="0"/>
    <s v="No está en VPC"/>
    <n v="870"/>
    <s v="INTPG_ACC_870_1.46"/>
    <s v="ISEL-1.46"/>
    <n v="6"/>
    <s v="NO TIENE L3OUT"/>
    <n v="248"/>
    <n v="54"/>
  </r>
  <r>
    <n v="866"/>
    <x v="2"/>
    <x v="95"/>
    <s v="eth1/46"/>
    <x v="0"/>
    <x v="0"/>
    <x v="0"/>
    <s v="To_VPC_2DCBSD_WR36_3"/>
    <x v="0"/>
    <b v="0"/>
    <s v="No está en VPC"/>
    <n v="866"/>
    <s v="INTPG_VPC_861_1.46_866_1.46"/>
    <s v="ISEL-1.46"/>
    <n v="1"/>
    <s v="NO TIENE L3OUT"/>
    <n v="8"/>
    <n v="54"/>
  </r>
  <r>
    <n v="862"/>
    <x v="2"/>
    <x v="96"/>
    <s v="eth1/46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46"/>
    <x v="0"/>
    <x v="0"/>
    <x v="0"/>
    <s v="VPC_2DCRMP_BDA10_3"/>
    <x v="0"/>
    <b v="0"/>
    <s v="No está en VPC"/>
    <n v="855"/>
    <s v="INTPG_VPC_855_1.46_848_1.46"/>
    <s v="ISEL-1.46"/>
    <n v="1"/>
    <s v="NO TIENE L3OUT"/>
    <n v="254"/>
    <n v="54"/>
  </r>
  <r>
    <n v="871"/>
    <x v="2"/>
    <x v="98"/>
    <s v="eth1/46"/>
    <x v="0"/>
    <x v="0"/>
    <x v="0"/>
    <s v="To_ITHFHWCRMDLCN69_Principal"/>
    <x v="0"/>
    <b v="0"/>
    <s v="No está en VPC"/>
    <n v="871"/>
    <s v="INTPG_ACC_871_1.46"/>
    <s v="ISEL-1.46"/>
    <n v="6"/>
    <s v="NO TIENE L3OUT"/>
    <n v="246"/>
    <n v="54"/>
  </r>
  <r>
    <n v="841"/>
    <x v="2"/>
    <x v="99"/>
    <s v="eth1/46"/>
    <x v="0"/>
    <x v="0"/>
    <x v="0"/>
    <s v="LINK_TO_ITHFHWCBSPSHD29 / Slot7.3_22 / Redundante"/>
    <x v="0"/>
    <b v="0"/>
    <s v="No está en VPC"/>
    <n v="841"/>
    <s v="INTPG_VPC_836_1.46_841_1.46"/>
    <s v="ISEL-1.46"/>
    <n v="1"/>
    <s v="NO TIENE L3OUT"/>
    <n v="0"/>
    <n v="54"/>
  </r>
  <r>
    <n v="868"/>
    <x v="2"/>
    <x v="100"/>
    <s v="eth1/46"/>
    <x v="0"/>
    <x v="0"/>
    <x v="0"/>
    <s v="To_ITHFHWCRMDLCN69_Redundante"/>
    <x v="0"/>
    <b v="0"/>
    <s v="No está en VPC"/>
    <n v="868"/>
    <s v="INTPG_ACC_868_1.46"/>
    <s v="ISEL-1.46"/>
    <n v="6"/>
    <s v="NO TIENE L3OUT"/>
    <n v="246"/>
    <n v="54"/>
  </r>
  <r>
    <n v="869"/>
    <x v="2"/>
    <x v="101"/>
    <s v="eth1/46"/>
    <x v="0"/>
    <x v="0"/>
    <x v="0"/>
    <s v="TO_ITHFHWCRMDLCN52_Redundante"/>
    <x v="0"/>
    <b v="0"/>
    <s v="No está en VPC"/>
    <n v="869"/>
    <s v="INTPG_ACC_869_1.46"/>
    <s v="ISEL-1.46"/>
    <n v="2"/>
    <s v="NO TIENE L3OUT"/>
    <n v="288"/>
    <n v="54"/>
  </r>
  <r>
    <n v="861"/>
    <x v="2"/>
    <x v="102"/>
    <s v="eth1/46"/>
    <x v="0"/>
    <x v="0"/>
    <x v="0"/>
    <s v="To_VPC_2DCBSD_WR36_3"/>
    <x v="0"/>
    <b v="0"/>
    <s v="No está en VPC"/>
    <n v="861"/>
    <s v="INTPG_VPC_861_1.46_866_1.46"/>
    <s v="ISEL-1.46"/>
    <n v="1"/>
    <s v="NO TIENE L3OUT"/>
    <n v="8"/>
    <n v="54"/>
  </r>
  <r>
    <n v="874"/>
    <x v="2"/>
    <x v="103"/>
    <s v="eth1/46"/>
    <x v="0"/>
    <x v="0"/>
    <x v="0"/>
    <s v="A_ITHFHWSEQLDPS06_Redundante"/>
    <x v="4"/>
    <b v="0"/>
    <s v="No está en VPC"/>
    <n v="874"/>
    <s v="INTPG_ACC_874_1.46"/>
    <s v="ISEL-1.46"/>
    <n v="1"/>
    <s v="NO TIENE L3OUT"/>
    <n v="92"/>
    <n v="54"/>
  </r>
  <r>
    <n v="865"/>
    <x v="2"/>
    <x v="104"/>
    <s v="eth1/46"/>
    <x v="0"/>
    <x v="0"/>
    <x v="0"/>
    <s v="To_VPC_2DCBSD_WR41_1"/>
    <x v="0"/>
    <b v="0"/>
    <s v="No está en VPC"/>
    <n v="865"/>
    <s v="INTPG_VPC_860_1.46_865_1.46"/>
    <s v="ISEL-1.46"/>
    <n v="2"/>
    <s v="NO TIENE L3OUT"/>
    <n v="0"/>
    <n v="54"/>
  </r>
  <r>
    <n v="753"/>
    <x v="2"/>
    <x v="105"/>
    <s v="eth1/46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46"/>
    <x v="1"/>
    <x v="1"/>
    <x v="3"/>
    <m/>
    <x v="0"/>
    <b v="0"/>
    <s v="No está en VPC"/>
    <n v="708"/>
    <s v="NO EXISTE PG"/>
    <s v="NO EXISTE ISEL"/>
    <n v="0"/>
    <s v="NO TIENE L3OUT"/>
    <n v="0"/>
    <n v="54"/>
  </r>
  <r>
    <n v="710"/>
    <x v="2"/>
    <x v="107"/>
    <s v="eth1/46"/>
    <x v="1"/>
    <x v="1"/>
    <x v="3"/>
    <m/>
    <x v="0"/>
    <b v="0"/>
    <s v="No está en VPC"/>
    <n v="710"/>
    <s v="NO EXISTE PG"/>
    <s v="NO EXISTE ISEL"/>
    <n v="0"/>
    <s v="NO TIENE L3OUT"/>
    <n v="16"/>
    <n v="54"/>
  </r>
  <r>
    <n v="713"/>
    <x v="2"/>
    <x v="108"/>
    <s v="eth1/46"/>
    <x v="0"/>
    <x v="0"/>
    <x v="0"/>
    <s v="LINK_HACIA_APIC"/>
    <x v="0"/>
    <b v="0"/>
    <s v="No está en VPC"/>
    <n v="713"/>
    <s v="INTPG-ACC_APIC1_713_1.46"/>
    <s v="ISEL-1.46"/>
    <n v="0"/>
    <s v="NO TIENE L3OUT"/>
    <n v="32"/>
    <n v="54"/>
  </r>
  <r>
    <n v="735"/>
    <x v="2"/>
    <x v="109"/>
    <s v="eth1/46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46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46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46"/>
    <x v="1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46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46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46"/>
    <x v="0"/>
    <x v="0"/>
    <x v="0"/>
    <s v="To_ITHFHWCRMDLCN40_Principal"/>
    <x v="0"/>
    <b v="0"/>
    <s v="No está en VPC"/>
    <n v="826"/>
    <s v="INTPG_ACC_826_1.46"/>
    <s v="ISEL-1.46"/>
    <n v="6"/>
    <s v="NO TIENE L3OUT"/>
    <n v="12"/>
    <n v="54"/>
  </r>
  <r>
    <n v="726"/>
    <x v="2"/>
    <x v="117"/>
    <s v="eth1/46"/>
    <x v="1"/>
    <x v="1"/>
    <x v="2"/>
    <m/>
    <x v="0"/>
    <b v="0"/>
    <s v="No está en VPC"/>
    <n v="726"/>
    <s v="INTPG-ACC-OSPF_726_1.46"/>
    <s v="ISEL-1.46"/>
    <n v="0"/>
    <s v="NO TIENE L3OUT"/>
    <n v="0"/>
    <n v="54"/>
  </r>
  <r>
    <n v="740"/>
    <x v="2"/>
    <x v="118"/>
    <s v="eth1/46"/>
    <x v="0"/>
    <x v="1"/>
    <x v="1"/>
    <m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46"/>
    <x v="1"/>
    <x v="1"/>
    <x v="3"/>
    <m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46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46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46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46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46"/>
    <x v="0"/>
    <x v="0"/>
    <x v="0"/>
    <s v="LINK_HACIA_APIC"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46"/>
    <x v="1"/>
    <x v="1"/>
    <x v="3"/>
    <m/>
    <x v="0"/>
    <b v="0"/>
    <s v="No está en VPC"/>
    <n v="709"/>
    <s v="NO EXISTE PG"/>
    <s v="NO EXISTE ISEL"/>
    <n v="0"/>
    <s v="NO TIENE L3OUT"/>
    <n v="0"/>
    <n v="54"/>
  </r>
  <r>
    <n v="454"/>
    <x v="1"/>
    <x v="126"/>
    <s v="eth1/46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46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46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46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46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46"/>
    <x v="0"/>
    <x v="1"/>
    <x v="1"/>
    <m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46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46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46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46"/>
    <x v="0"/>
    <x v="1"/>
    <x v="3"/>
    <m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46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46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46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46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46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46"/>
    <x v="0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46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46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46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46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46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46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46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46"/>
    <x v="1"/>
    <x v="1"/>
    <x v="3"/>
    <m/>
    <x v="0"/>
    <b v="0"/>
    <s v="No está en VPC"/>
    <n v="781"/>
    <s v="NO EXISTE PG"/>
    <s v="NO EXISTE ISEL"/>
    <n v="0"/>
    <s v="NO TIENE L3OUT"/>
    <n v="26"/>
    <n v="54"/>
  </r>
  <r>
    <n v="793"/>
    <x v="2"/>
    <x v="151"/>
    <s v="eth1/46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46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46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46"/>
    <x v="1"/>
    <x v="1"/>
    <x v="3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46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46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46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46"/>
    <x v="0"/>
    <x v="1"/>
    <x v="1"/>
    <m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46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46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46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46"/>
    <x v="0"/>
    <x v="0"/>
    <x v="0"/>
    <s v="To_ITHFHWCRMDLCN40_Redundante"/>
    <x v="0"/>
    <b v="0"/>
    <s v="No está en VPC"/>
    <n v="830"/>
    <s v="INTPG_ACC_830_1.46"/>
    <s v="ISEL-1.46"/>
    <n v="6"/>
    <s v="NO TIENE L3OUT"/>
    <n v="12"/>
    <n v="54"/>
  </r>
  <r>
    <n v="821"/>
    <x v="2"/>
    <x v="163"/>
    <s v="eth1/46"/>
    <x v="0"/>
    <x v="1"/>
    <x v="3"/>
    <m/>
    <x v="0"/>
    <b v="0"/>
    <s v="No está en VPC"/>
    <n v="821"/>
    <s v="NO EXISTE PG"/>
    <s v="NO EXISTE ISEL"/>
    <n v="0"/>
    <s v="NO TIENE L3OUT"/>
    <n v="0"/>
    <n v="54"/>
  </r>
  <r>
    <n v="738"/>
    <x v="2"/>
    <x v="164"/>
    <s v="eth1/46"/>
    <x v="0"/>
    <x v="1"/>
    <x v="1"/>
    <m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46"/>
    <x v="0"/>
    <x v="1"/>
    <x v="3"/>
    <m/>
    <x v="0"/>
    <b v="0"/>
    <s v="No está en VPC"/>
    <n v="820"/>
    <s v="NO EXISTE PG"/>
    <s v="NO EXISTE ISEL"/>
    <n v="0"/>
    <s v="NO TIENE L3OUT"/>
    <n v="72"/>
    <n v="54"/>
  </r>
  <r>
    <n v="804"/>
    <x v="2"/>
    <x v="166"/>
    <s v="eth1/46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46"/>
    <x v="1"/>
    <x v="1"/>
    <x v="3"/>
    <m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46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46"/>
    <x v="0"/>
    <x v="0"/>
    <x v="0"/>
    <s v="LINK_TO_ITHFHWCBSDSWR31 /Slot4.2 /Principal"/>
    <x v="0"/>
    <b v="0"/>
    <s v="No está en VPC"/>
    <n v="827"/>
    <s v="INTPG_VPC_827_1.46_831_1.46"/>
    <s v="ISEL-1.46"/>
    <n v="1"/>
    <s v="NO TIENE L3OUT"/>
    <n v="14"/>
    <n v="54"/>
  </r>
  <r>
    <n v="809"/>
    <x v="2"/>
    <x v="170"/>
    <s v="eth1/46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46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46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46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46"/>
    <x v="1"/>
    <x v="1"/>
    <x v="3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46"/>
    <x v="0"/>
    <x v="0"/>
    <x v="0"/>
    <s v="LINK_HACIA_MGMT"/>
    <x v="0"/>
    <b v="0"/>
    <s v="No está en VPC"/>
    <n v="772"/>
    <s v="INTPG_VPC_MGMT_20413_773_1.45_772_1.46"/>
    <s v="ISEL-1.46"/>
    <n v="1"/>
    <s v="NO TIENE L3OUT"/>
    <n v="82"/>
    <n v="54"/>
  </r>
  <r>
    <n v="785"/>
    <x v="2"/>
    <x v="176"/>
    <s v="eth1/46"/>
    <x v="0"/>
    <x v="0"/>
    <x v="0"/>
    <s v="DESC"/>
    <x v="0"/>
    <b v="0"/>
    <s v="No está en VPC"/>
    <n v="785"/>
    <s v="INTPG_PC_785_1.45-46"/>
    <s v="ISEL-1.46"/>
    <n v="3"/>
    <s v="NO TIENE L3OUT"/>
    <n v="32"/>
    <n v="54"/>
  </r>
  <r>
    <n v="851"/>
    <x v="2"/>
    <x v="177"/>
    <s v="eth1/46"/>
    <x v="0"/>
    <x v="0"/>
    <x v="0"/>
    <s v="LINK_TO_ITHFHWCRMPLCN116 / Slot7.1_36 / Redundante"/>
    <x v="0"/>
    <b v="0"/>
    <s v="No está en VPC"/>
    <n v="851"/>
    <s v="INTPG_ACC_851_1.46"/>
    <s v="ISEL-1.46"/>
    <n v="6"/>
    <s v="NO TIENE L3OUT"/>
    <n v="282"/>
    <n v="54"/>
  </r>
  <r>
    <n v="798"/>
    <x v="2"/>
    <x v="178"/>
    <s v="eth1/46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46"/>
    <x v="0"/>
    <x v="0"/>
    <x v="0"/>
    <s v="DESC"/>
    <x v="0"/>
    <b v="0"/>
    <s v="No está en VPC"/>
    <n v="782"/>
    <s v="INTPG_PC_782_1.45-46"/>
    <s v="ISEL-1.46"/>
    <n v="3"/>
    <s v="NO TIENE L3OUT"/>
    <n v="32"/>
    <n v="54"/>
  </r>
  <r>
    <n v="852"/>
    <x v="2"/>
    <x v="180"/>
    <s v="eth1/46"/>
    <x v="0"/>
    <x v="0"/>
    <x v="0"/>
    <s v="LINK_TO_ITHFHWCRMPLCN99 / Slot7.2_30 / Redundante"/>
    <x v="0"/>
    <b v="0"/>
    <s v="No está en VPC"/>
    <n v="852"/>
    <s v="INTPG_ACC_852_1.46"/>
    <s v="ISEL-1.46"/>
    <n v="2"/>
    <s v="NO TIENE L3OUT"/>
    <n v="258"/>
    <n v="54"/>
  </r>
  <r>
    <n v="817"/>
    <x v="2"/>
    <x v="181"/>
    <s v="eth1/46"/>
    <x v="0"/>
    <x v="0"/>
    <x v="0"/>
    <s v="LINK_TO_ITHFHWCBSPSWR29 /Slot5.2 /Principal"/>
    <x v="0"/>
    <b v="0"/>
    <s v="No está en VPC"/>
    <n v="817"/>
    <s v="INTPG_VPC_817_1.46_822_1.46"/>
    <s v="ISEL-1.46"/>
    <n v="2"/>
    <s v="NO TIENE L3OUT"/>
    <n v="0"/>
    <n v="54"/>
  </r>
  <r>
    <n v="832"/>
    <x v="2"/>
    <x v="182"/>
    <s v="eth1/46"/>
    <x v="0"/>
    <x v="0"/>
    <x v="0"/>
    <s v="To_ITHFHWCRMDLCN42_Redundante"/>
    <x v="0"/>
    <b v="0"/>
    <s v="No está en VPC"/>
    <n v="832"/>
    <s v="INTPG_ACC_832_1.46"/>
    <s v="ISEL-1.46"/>
    <n v="2"/>
    <s v="NO TIENE L3OUT"/>
    <n v="192"/>
    <n v="54"/>
  </r>
  <r>
    <n v="816"/>
    <x v="2"/>
    <x v="183"/>
    <s v="eth1/46"/>
    <x v="0"/>
    <x v="1"/>
    <x v="3"/>
    <m/>
    <x v="0"/>
    <b v="0"/>
    <s v="No está en VPC"/>
    <n v="816"/>
    <s v="NO EXISTE PG"/>
    <s v="NO EXISTE ISEL"/>
    <n v="0"/>
    <s v="NO TIENE L3OUT"/>
    <n v="0"/>
    <n v="54"/>
  </r>
  <r>
    <n v="825"/>
    <x v="2"/>
    <x v="184"/>
    <s v="eth1/46"/>
    <x v="0"/>
    <x v="1"/>
    <x v="3"/>
    <m/>
    <x v="0"/>
    <b v="0"/>
    <s v="No está en VPC"/>
    <n v="825"/>
    <s v="NO EXISTE PG"/>
    <s v="NO EXISTE ISEL"/>
    <n v="0"/>
    <s v="NO TIENE L3OUT"/>
    <n v="72"/>
    <n v="54"/>
  </r>
  <r>
    <n v="800"/>
    <x v="2"/>
    <x v="185"/>
    <s v="eth1/46"/>
    <x v="0"/>
    <x v="0"/>
    <x v="0"/>
    <s v="TO-ITHFDEOCP1LMT03-REDUNDANTE"/>
    <x v="0"/>
    <b v="0"/>
    <s v="No está en VPC"/>
    <n v="800"/>
    <s v="INTPG_ACC_800_1.46"/>
    <s v="ISEL-1.46"/>
    <n v="1"/>
    <s v="NO TIENE L3OUT"/>
    <n v="78"/>
    <n v="54"/>
  </r>
  <r>
    <n v="801"/>
    <x v="2"/>
    <x v="186"/>
    <s v="eth1/46"/>
    <x v="0"/>
    <x v="0"/>
    <x v="0"/>
    <s v="TO-ITHFDEOCP1LMT03-PRINCIPAL"/>
    <x v="0"/>
    <b v="0"/>
    <s v="No está en VPC"/>
    <n v="801"/>
    <s v="INTPG_ACC_801_1.46"/>
    <s v="ISEL-1.46"/>
    <n v="1"/>
    <s v="NO TIENE L3OUT"/>
    <n v="78"/>
    <n v="54"/>
  </r>
  <r>
    <n v="823"/>
    <x v="2"/>
    <x v="187"/>
    <s v="eth1/46"/>
    <x v="0"/>
    <x v="0"/>
    <x v="0"/>
    <s v="LINK_TO_ITHFHWCBSPSWR39 /Slot6.2 /Redundante"/>
    <x v="0"/>
    <b v="0"/>
    <s v="No está en VPC"/>
    <n v="823"/>
    <s v="INTPG_VPC_818_1.46_823_1.46"/>
    <s v="ISEL-1.46"/>
    <n v="1"/>
    <s v="NO TIENE L3OUT"/>
    <n v="8"/>
    <n v="54"/>
  </r>
  <r>
    <n v="837"/>
    <x v="2"/>
    <x v="188"/>
    <s v="eth1/46"/>
    <x v="0"/>
    <x v="0"/>
    <x v="0"/>
    <s v="LINK_To_ITHFHWCBSPSHD23 / Slot1.2_22 / Principal"/>
    <x v="0"/>
    <b v="0"/>
    <s v="No está en VPC"/>
    <n v="837"/>
    <s v="INTPG_VPC_837_1.46_842_1.46"/>
    <s v="ISEL-1.46"/>
    <n v="1"/>
    <s v="NO TIENE L3OUT"/>
    <n v="8"/>
    <n v="54"/>
  </r>
  <r>
    <n v="867"/>
    <x v="2"/>
    <x v="189"/>
    <s v="eth1/46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46"/>
    <x v="0"/>
    <x v="0"/>
    <x v="0"/>
    <s v="To_VPC_2DCRMD_SBD06_2_Principal"/>
    <x v="0"/>
    <b v="0"/>
    <s v="No está en VPC"/>
    <n v="829"/>
    <s v="INTPG_VPC_829_1.46_833_1.46"/>
    <s v="ISEL-1.46"/>
    <n v="2"/>
    <s v="NO TIENE L3OUT"/>
    <n v="224"/>
    <n v="54"/>
  </r>
  <r>
    <n v="831"/>
    <x v="2"/>
    <x v="191"/>
    <s v="eth1/46"/>
    <x v="0"/>
    <x v="0"/>
    <x v="0"/>
    <s v="LINK_TO_ITHFHWCBSDSWR31 /Slot6.2 /Redundante"/>
    <x v="0"/>
    <b v="0"/>
    <s v="No está en VPC"/>
    <n v="831"/>
    <s v="INTPG_VPC_827_1.46_831_1.46"/>
    <s v="ISEL-1.46"/>
    <n v="1"/>
    <s v="NO TIENE L3OUT"/>
    <n v="14"/>
    <n v="54"/>
  </r>
  <r>
    <n v="802"/>
    <x v="2"/>
    <x v="192"/>
    <s v="eth1/46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46"/>
    <x v="0"/>
    <x v="0"/>
    <x v="0"/>
    <s v="LINK_TO_ITHFHWCBSPSHDCTL06 / Slot1.3_12 / Principal"/>
    <x v="0"/>
    <b v="0"/>
    <s v="No está en VPC"/>
    <n v="835"/>
    <s v="INTPG_VPC_835_1.46_840_1.46"/>
    <s v="ISEL-1.46"/>
    <n v="1"/>
    <s v="NO TIENE L3OUT"/>
    <n v="8"/>
    <n v="54"/>
  </r>
  <r>
    <n v="822"/>
    <x v="2"/>
    <x v="194"/>
    <s v="eth1/46"/>
    <x v="0"/>
    <x v="0"/>
    <x v="0"/>
    <s v="LINK_TO_ITHFHWCBSPSWR29 /Slot7.2 /Redundante"/>
    <x v="0"/>
    <b v="0"/>
    <s v="No está en VPC"/>
    <n v="822"/>
    <s v="INTPG_VPC_817_1.46_822_1.46"/>
    <s v="ISEL-1.46"/>
    <n v="2"/>
    <s v="NO TIENE L3OUT"/>
    <n v="0"/>
    <n v="54"/>
  </r>
  <r>
    <n v="854"/>
    <x v="2"/>
    <x v="195"/>
    <s v="eth1/46"/>
    <x v="0"/>
    <x v="0"/>
    <x v="0"/>
    <s v="LINK_TO_ITHFHWCRMPLCN153 / Slot1.3_8 / Principal"/>
    <x v="0"/>
    <b v="0"/>
    <s v="No está en VPC"/>
    <n v="854"/>
    <s v="INTPG_ACC_854_1.46"/>
    <s v="ISEL-1.46"/>
    <n v="1"/>
    <s v="NO TIENE L3OUT"/>
    <n v="204"/>
    <n v="54"/>
  </r>
  <r>
    <n v="858"/>
    <x v="2"/>
    <x v="196"/>
    <s v="eth1/46"/>
    <x v="0"/>
    <x v="0"/>
    <x v="0"/>
    <s v="To_ITHHWD6KV65100015DKC01_Principal"/>
    <x v="0"/>
    <b v="0"/>
    <s v="No está en VPC"/>
    <n v="858"/>
    <s v="INTPG_ACC_858_1.46"/>
    <s v="ISEL-1.46"/>
    <n v="1"/>
    <s v="NO TIENE L3OUT"/>
    <n v="8"/>
    <n v="54"/>
  </r>
  <r>
    <n v="857"/>
    <x v="2"/>
    <x v="197"/>
    <s v="eth1/46"/>
    <x v="0"/>
    <x v="0"/>
    <x v="0"/>
    <s v="LINKT_TO_ITHFHWCRMPLCN130 / Slot1.3_30 / Principal"/>
    <x v="0"/>
    <b v="0"/>
    <s v="No está en VPC"/>
    <n v="857"/>
    <s v="INTPG_ACC_857_1.46"/>
    <s v="ISEL-1.46"/>
    <n v="1"/>
    <s v="NO TIENE L3OUT"/>
    <n v="288"/>
    <n v="54"/>
  </r>
  <r>
    <n v="859"/>
    <x v="2"/>
    <x v="198"/>
    <s v="eth1/46"/>
    <x v="0"/>
    <x v="0"/>
    <x v="0"/>
    <s v="To_VPC_2DCBSD_WR51_1"/>
    <x v="0"/>
    <b v="0"/>
    <s v="No está en VPC"/>
    <n v="859"/>
    <s v="INTPG_VPC_859_1.46_864_1.46"/>
    <s v="ISEL-1.46"/>
    <n v="2"/>
    <s v="NO TIENE L3OUT"/>
    <n v="0"/>
    <n v="54"/>
  </r>
  <r>
    <n v="833"/>
    <x v="2"/>
    <x v="199"/>
    <s v="eth1/46"/>
    <x v="0"/>
    <x v="0"/>
    <x v="0"/>
    <s v="To_VPC_2DCRMD_SBD06_2_Redundancia"/>
    <x v="0"/>
    <b v="0"/>
    <s v="No está en VPC"/>
    <n v="833"/>
    <s v="INTPG_VPC_829_1.46_833_1.46"/>
    <s v="ISEL-1.46"/>
    <n v="2"/>
    <s v="NO TIENE L3OUT"/>
    <n v="224"/>
    <n v="54"/>
  </r>
  <r>
    <n v="818"/>
    <x v="2"/>
    <x v="200"/>
    <s v="eth1/46"/>
    <x v="0"/>
    <x v="0"/>
    <x v="0"/>
    <s v="LINK_TO_ITHFHWCBSPSWR39 /Slot4.2 /Principal"/>
    <x v="0"/>
    <b v="0"/>
    <s v="No está en VPC"/>
    <n v="818"/>
    <s v="INTPG_VPC_818_1.46_823_1.46"/>
    <s v="ISEL-1.46"/>
    <n v="1"/>
    <s v="NO TIENE L3OUT"/>
    <n v="8"/>
    <n v="54"/>
  </r>
  <r>
    <n v="850"/>
    <x v="2"/>
    <x v="201"/>
    <s v="eth1/46"/>
    <x v="0"/>
    <x v="0"/>
    <x v="0"/>
    <s v="LINKT_TO_ITHFHWCRMPLCN130 / Slot7.3_30 / Redundante"/>
    <x v="0"/>
    <b v="0"/>
    <s v="No está en VPC"/>
    <n v="850"/>
    <s v="INTPG_ACC_850_1.46"/>
    <s v="ISEL-1.46"/>
    <n v="1"/>
    <s v="NO TIENE L3OUT"/>
    <n v="288"/>
    <n v="54"/>
  </r>
  <r>
    <n v="860"/>
    <x v="2"/>
    <x v="202"/>
    <s v="eth1/46"/>
    <x v="0"/>
    <x v="0"/>
    <x v="0"/>
    <s v="To_VPC_2DCBSD_WR41_1"/>
    <x v="0"/>
    <b v="0"/>
    <s v="No está en VPC"/>
    <n v="860"/>
    <s v="INTPG_VPC_860_1.46_865_1.46"/>
    <s v="ISEL-1.46"/>
    <n v="2"/>
    <s v="NO TIENE L3OUT"/>
    <n v="0"/>
    <n v="54"/>
  </r>
  <r>
    <n v="853"/>
    <x v="2"/>
    <x v="203"/>
    <s v="eth1/46"/>
    <x v="0"/>
    <x v="0"/>
    <x v="0"/>
    <s v="LINK_TO_ITHFHWCRMPLCN87 / Slot7.1_32 / Redundante"/>
    <x v="0"/>
    <b v="0"/>
    <s v="No está en VPC"/>
    <n v="853"/>
    <s v="INTPG_ACC_853_1.46"/>
    <s v="ISEL-1.46"/>
    <n v="6"/>
    <s v="NO TIENE L3OUT"/>
    <n v="242"/>
    <n v="54"/>
  </r>
  <r>
    <n v="790"/>
    <x v="2"/>
    <x v="204"/>
    <s v="eth1/46"/>
    <x v="0"/>
    <x v="0"/>
    <x v="0"/>
    <s v="LINK_HACIA_MGMT"/>
    <x v="0"/>
    <b v="0"/>
    <s v="No está en VPC"/>
    <n v="790"/>
    <s v="INTPG_VPC_MGMT_20816_791_1.45_790_1.46"/>
    <s v="ISEL-1.46"/>
    <n v="3"/>
    <s v="NO TIENE L3OUT"/>
    <n v="20"/>
    <n v="54"/>
  </r>
  <r>
    <n v="105"/>
    <x v="0"/>
    <x v="205"/>
    <s v="eth1/46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46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46"/>
    <x v="0"/>
    <x v="1"/>
    <x v="1"/>
    <m/>
    <x v="6"/>
    <b v="0"/>
    <s v="No está en VPC"/>
    <n v="104"/>
    <s v="NO EXISTE PG"/>
    <s v="NO EXISTE ISEL"/>
    <n v="0"/>
    <s v="NO TIENE L3OUT"/>
    <n v="194"/>
    <n v="96"/>
  </r>
  <r>
    <n v="158"/>
    <x v="0"/>
    <x v="208"/>
    <s v="eth1/46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46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46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46"/>
    <x v="1"/>
    <x v="1"/>
    <x v="2"/>
    <s v="OBIE_1-2"/>
    <x v="6"/>
    <b v="0"/>
    <s v="No está en VPC"/>
    <n v="108"/>
    <s v="INTPG_ACC_108_1.46"/>
    <s v="ISEL-1.46"/>
    <n v="1"/>
    <s v="NO TIENE L3OUT"/>
    <n v="126"/>
    <n v="96"/>
  </r>
  <r>
    <n v="112"/>
    <x v="0"/>
    <x v="212"/>
    <s v="eth1/46"/>
    <x v="0"/>
    <x v="1"/>
    <x v="1"/>
    <s v="SAPCCRATING01"/>
    <x v="6"/>
    <b v="0"/>
    <s v="No está en VPC"/>
    <n v="112"/>
    <s v="INTPG_VPC_112_1.46_114_1.43"/>
    <s v="ISEL-1.46"/>
    <n v="1"/>
    <s v="NO TIENE L3OUT"/>
    <n v="144"/>
    <n v="96"/>
  </r>
  <r>
    <n v="107"/>
    <x v="0"/>
    <x v="213"/>
    <s v="eth1/46"/>
    <x v="1"/>
    <x v="1"/>
    <x v="2"/>
    <s v="COMISIONES"/>
    <x v="6"/>
    <b v="0"/>
    <s v="No está en VPC"/>
    <n v="107"/>
    <s v="INTPG_ACC_107_1.46"/>
    <s v="ISEL-1.46"/>
    <n v="0"/>
    <s v="NO TIENE L3OUT"/>
    <n v="118"/>
    <n v="96"/>
  </r>
  <r>
    <n v="109"/>
    <x v="0"/>
    <x v="214"/>
    <s v="eth1/46"/>
    <x v="0"/>
    <x v="0"/>
    <x v="0"/>
    <s v="EMS_TEKELEC"/>
    <x v="6"/>
    <b v="0"/>
    <s v="No está en VPC"/>
    <n v="109"/>
    <s v="INTPG_ACC_109_1.46"/>
    <s v="ISEL-1.46"/>
    <n v="1"/>
    <s v="NO TIENE L3OUT"/>
    <n v="126"/>
    <n v="96"/>
  </r>
  <r>
    <n v="113"/>
    <x v="0"/>
    <x v="215"/>
    <s v="eth1/46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46"/>
    <x v="0"/>
    <x v="1"/>
    <x v="1"/>
    <s v="SAPCCRATING04"/>
    <x v="6"/>
    <b v="0"/>
    <s v="No está en VPC"/>
    <n v="114"/>
    <s v="INTPG_VPC_112_1.49_114_1.46"/>
    <s v="ISEL-1.46"/>
    <n v="1"/>
    <s v="NO TIENE L3OUT"/>
    <n v="144"/>
    <n v="96"/>
  </r>
  <r>
    <n v="124"/>
    <x v="0"/>
    <x v="217"/>
    <s v="eth1/46"/>
    <x v="0"/>
    <x v="0"/>
    <x v="0"/>
    <s v="DWH_SVA_IBM"/>
    <x v="6"/>
    <b v="0"/>
    <s v="No está en VPC"/>
    <n v="124"/>
    <s v="INTPG_ACC_124_1.46"/>
    <s v="ISEL-1.46"/>
    <n v="1"/>
    <s v="NO TIENE L3OUT"/>
    <n v="80"/>
    <n v="96"/>
  </r>
  <r>
    <n v="118"/>
    <x v="0"/>
    <x v="218"/>
    <s v="eth1/46"/>
    <x v="1"/>
    <x v="1"/>
    <x v="2"/>
    <s v="DATOS NETCRACKER"/>
    <x v="6"/>
    <b v="0"/>
    <s v="No está en VPC"/>
    <n v="118"/>
    <s v="INTPG_ACC_118_1.46"/>
    <s v="ISEL-1.46"/>
    <n v="1"/>
    <s v="NO TIENE L3OUT"/>
    <n v="180"/>
    <n v="96"/>
  </r>
  <r>
    <n v="159"/>
    <x v="0"/>
    <x v="219"/>
    <s v="eth1/46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46"/>
    <x v="0"/>
    <x v="0"/>
    <x v="0"/>
    <s v="LINK_TO_ITHFHWCBSPSHDCTL06 / Slot7.3_12 / Redundante"/>
    <x v="0"/>
    <b v="0"/>
    <s v="No está en VPC"/>
    <n v="840"/>
    <s v="INTPG_VPC_835_1.46_840_1.46"/>
    <s v="ISEL-1.46"/>
    <n v="1"/>
    <s v="NO TIENE L3OUT"/>
    <n v="8"/>
    <n v="54"/>
  </r>
  <r>
    <n v="856"/>
    <x v="2"/>
    <x v="221"/>
    <s v="eth1/46"/>
    <x v="0"/>
    <x v="0"/>
    <x v="0"/>
    <s v="LINK_TO_ITHFHWCRMPLCN149 / Slot1.3_32 / Principal"/>
    <x v="0"/>
    <b v="0"/>
    <s v="No está en VPC"/>
    <n v="856"/>
    <s v="INTPG_ACC_856_1.46"/>
    <s v="ISEL-1.46"/>
    <n v="1"/>
    <s v="NO TIENE L3OUT"/>
    <n v="286"/>
    <n v="54"/>
  </r>
  <r>
    <n v="110"/>
    <x v="0"/>
    <x v="222"/>
    <s v="eth1/46"/>
    <x v="0"/>
    <x v="0"/>
    <x v="0"/>
    <s v="SUN6900_E25K"/>
    <x v="6"/>
    <b v="0"/>
    <s v="No está en VPC"/>
    <n v="110"/>
    <s v="INTPG_ACC_110_1.46"/>
    <s v="ISEL-1.46"/>
    <n v="1"/>
    <s v="NO TIENE L3OUT"/>
    <n v="102"/>
    <n v="96"/>
  </r>
  <r>
    <n v="163"/>
    <x v="0"/>
    <x v="223"/>
    <s v="eth1/46"/>
    <x v="0"/>
    <x v="1"/>
    <x v="1"/>
    <s v="MULTIMEDIACION_1"/>
    <x v="6"/>
    <b v="0"/>
    <s v="No está en VPC"/>
    <n v="163"/>
    <s v="INTPG_ACC_163_1.46"/>
    <s v="ISEL-1.46"/>
    <n v="1"/>
    <s v="NO TIENE L3OUT"/>
    <n v="140"/>
    <n v="96"/>
  </r>
  <r>
    <n v="407"/>
    <x v="1"/>
    <x v="224"/>
    <s v="eth1/46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46"/>
    <x v="0"/>
    <x v="0"/>
    <x v="0"/>
    <s v="SRS (Speedy Rating System)"/>
    <x v="6"/>
    <b v="0"/>
    <s v="No está en VPC"/>
    <n v="171"/>
    <s v="INTPG_ACC_171_1.46"/>
    <s v="ISEL-1.46"/>
    <n v="1"/>
    <s v="NO TIENE L3OUT"/>
    <n v="114"/>
    <n v="96"/>
  </r>
  <r>
    <n v="421"/>
    <x v="1"/>
    <x v="226"/>
    <s v="eth1/46"/>
    <x v="0"/>
    <x v="0"/>
    <x v="0"/>
    <s v="PortalCautivo2_captiveqa_xscf0"/>
    <x v="6"/>
    <b v="0"/>
    <s v="No está en VPC"/>
    <n v="421"/>
    <s v="INTPG_ACC_421_1.46"/>
    <s v="ISEL-1.46"/>
    <n v="1"/>
    <s v="NO TIENE L3OUT"/>
    <n v="72"/>
    <n v="96"/>
  </r>
  <r>
    <n v="173"/>
    <x v="0"/>
    <x v="227"/>
    <s v="eth1/46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46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46"/>
    <x v="0"/>
    <x v="0"/>
    <x v="0"/>
    <s v="GSM_OSS_GDL"/>
    <x v="6"/>
    <b v="0"/>
    <s v="No está en VPC"/>
    <n v="172"/>
    <s v="INTPG_VPC_171_1.1_70_172_1.1_46"/>
    <s v="ISEL-1.46"/>
    <n v="10"/>
    <s v="NO TIENE L3OUT"/>
    <n v="104"/>
    <n v="96"/>
  </r>
  <r>
    <n v="420"/>
    <x v="1"/>
    <x v="230"/>
    <s v="eth1/46"/>
    <x v="0"/>
    <x v="0"/>
    <x v="0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46"/>
    <x v="0"/>
    <x v="0"/>
    <x v="0"/>
    <s v="SAN SWITCH B"/>
    <x v="6"/>
    <b v="0"/>
    <s v="No está en VPC"/>
    <n v="423"/>
    <s v="INTPG_ACC_423_1.46"/>
    <s v="ISEL-1.46"/>
    <n v="1"/>
    <s v="NO TIENE L3OUT"/>
    <n v="86"/>
    <n v="96"/>
  </r>
  <r>
    <n v="415"/>
    <x v="1"/>
    <x v="232"/>
    <s v="eth1/46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46"/>
    <x v="0"/>
    <x v="1"/>
    <x v="1"/>
    <s v="IXTLA4_VC1:VMTLCLAMX5:VC1  X6"/>
    <x v="6"/>
    <b v="0"/>
    <s v="No está en VPC"/>
    <n v="102"/>
    <s v="INTPG_PC_102_1.41-48"/>
    <s v="ISEL-1.46"/>
    <n v="0"/>
    <s v="NO TIENE L3OUT"/>
    <n v="228"/>
    <n v="96"/>
  </r>
  <r>
    <n v="863"/>
    <x v="2"/>
    <x v="234"/>
    <s v="eth1/46"/>
    <x v="0"/>
    <x v="0"/>
    <x v="0"/>
    <s v="To_ITHHWD6KV65100015DKC01_Redundante"/>
    <x v="0"/>
    <b v="0"/>
    <s v="No está en VPC"/>
    <n v="863"/>
    <s v="INTPG_ACC_863_1.46"/>
    <s v="ISEL-1.46"/>
    <n v="1"/>
    <s v="NO TIENE L3OUT"/>
    <n v="8"/>
    <n v="54"/>
  </r>
  <r>
    <n v="876"/>
    <x v="2"/>
    <x v="235"/>
    <s v="eth1/46"/>
    <x v="0"/>
    <x v="0"/>
    <x v="0"/>
    <s v="A_ITHFHWSEQLDPS06_Principal"/>
    <x v="4"/>
    <b v="0"/>
    <s v="No está en VPC"/>
    <n v="876"/>
    <s v="INTPG_ACC_876_1.46"/>
    <s v="ISEL-1.46"/>
    <n v="1"/>
    <s v="NO TIENE L3OUT"/>
    <n v="92"/>
    <n v="54"/>
  </r>
  <r>
    <n v="877"/>
    <x v="2"/>
    <x v="236"/>
    <s v="eth1/46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46"/>
    <x v="0"/>
    <x v="0"/>
    <x v="0"/>
    <s v="ZFS X5-2"/>
    <x v="6"/>
    <b v="0"/>
    <s v="No está en VPC"/>
    <n v="122"/>
    <s v="INTPG_ACC_122_1.46"/>
    <s v="ISEL-1.46"/>
    <n v="1"/>
    <s v="NO TIENE L3OUT"/>
    <n v="148"/>
    <n v="96"/>
  </r>
  <r>
    <n v="157"/>
    <x v="0"/>
    <x v="238"/>
    <s v="eth1/46"/>
    <x v="0"/>
    <x v="1"/>
    <x v="1"/>
    <s v="uxcofeco"/>
    <x v="6"/>
    <b v="0"/>
    <s v="No está en VPC"/>
    <n v="157"/>
    <s v="INTPG_ACC_157_1.46"/>
    <s v="ISEL-1.46"/>
    <n v="1"/>
    <s v="NO TIENE L3OUT"/>
    <n v="202"/>
    <n v="96"/>
  </r>
  <r>
    <n v="408"/>
    <x v="1"/>
    <x v="239"/>
    <s v="eth1/46"/>
    <x v="0"/>
    <x v="0"/>
    <x v="0"/>
    <s v="HNMP101A"/>
    <x v="6"/>
    <b v="0"/>
    <s v="No está en VPC"/>
    <n v="408"/>
    <s v="INTPG_ACC_408_1.46"/>
    <s v="ISEL-1.46"/>
    <n v="1"/>
    <s v="NO TIENE L3OUT"/>
    <n v="152"/>
    <n v="96"/>
  </r>
  <r>
    <n v="405"/>
    <x v="1"/>
    <x v="240"/>
    <s v="eth1/46"/>
    <x v="0"/>
    <x v="1"/>
    <x v="1"/>
    <s v="ITHSGHP0"/>
    <x v="6"/>
    <b v="0"/>
    <s v="No está en VPC"/>
    <n v="405"/>
    <s v="INTPG_ACC_405_1.46"/>
    <s v="ISEL-1.46"/>
    <n v="1"/>
    <s v="NO TIENE L3OUT"/>
    <n v="138"/>
    <n v="96"/>
  </r>
  <r>
    <n v="169"/>
    <x v="0"/>
    <x v="241"/>
    <s v="eth1/46"/>
    <x v="0"/>
    <x v="0"/>
    <x v="0"/>
    <s v="TO-ITHFDENBURMS01"/>
    <x v="6"/>
    <b v="0"/>
    <s v="No está en VPC"/>
    <n v="169"/>
    <s v="INTPG_VPC_167_1.46_169_1.46"/>
    <s v="ISEL-1.46"/>
    <n v="1"/>
    <s v="NO TIENE L3OUT"/>
    <n v="76"/>
    <n v="96"/>
  </r>
  <r>
    <n v="165"/>
    <x v="0"/>
    <x v="242"/>
    <s v="eth1/46"/>
    <x v="0"/>
    <x v="0"/>
    <x v="0"/>
    <s v="NOMINA_uxm4bd01"/>
    <x v="6"/>
    <b v="0"/>
    <s v="No está en VPC"/>
    <n v="165"/>
    <s v="INTPG_ACC_165_1.46"/>
    <s v="ISEL-1.46"/>
    <n v="1"/>
    <s v="NO TIENE L3OUT"/>
    <n v="86"/>
    <n v="96"/>
  </r>
  <r>
    <n v="417"/>
    <x v="1"/>
    <x v="243"/>
    <s v="eth1/46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46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46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46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46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46"/>
    <x v="0"/>
    <x v="0"/>
    <x v="0"/>
    <s v="TC3_ithmomce1_OA2_MGT"/>
    <x v="6"/>
    <b v="0"/>
    <s v="No está en VPC"/>
    <n v="438"/>
    <s v="INTPG_ACC_438_1.46"/>
    <s v="ISEL-1.46"/>
    <n v="1"/>
    <s v="NO TIENE L3OUT"/>
    <n v="170"/>
    <n v="96"/>
  </r>
  <r>
    <n v="406"/>
    <x v="1"/>
    <x v="249"/>
    <s v="eth1/46"/>
    <x v="0"/>
    <x v="1"/>
    <x v="5"/>
    <s v="VIOSDES2-VIOSDES2_CLT"/>
    <x v="6"/>
    <b v="0"/>
    <s v="No está en VPC"/>
    <n v="406"/>
    <s v="INTPG_VPC_404_1.45-46_406_1.45-46"/>
    <s v="ISEL-1.46"/>
    <n v="1"/>
    <s v="NO TIENE L3OUT"/>
    <n v="82"/>
    <n v="96"/>
  </r>
  <r>
    <n v="414"/>
    <x v="1"/>
    <x v="250"/>
    <s v="eth1/46"/>
    <x v="0"/>
    <x v="0"/>
    <x v="0"/>
    <s v="NMS01_S02"/>
    <x v="6"/>
    <b v="0"/>
    <s v="No está en VPC"/>
    <n v="414"/>
    <s v="INTPG_ACC_414_1.46"/>
    <s v="ISEL-1.46"/>
    <n v="1"/>
    <s v="NO TIENE L3OUT"/>
    <n v="144"/>
    <n v="96"/>
  </r>
  <r>
    <n v="416"/>
    <x v="1"/>
    <x v="251"/>
    <s v="eth1/46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46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46"/>
    <x v="0"/>
    <x v="0"/>
    <x v="0"/>
    <s v="To-uxingemc2  ldom3 ldom2 ldom1"/>
    <x v="6"/>
    <b v="0"/>
    <s v="No está en VPC"/>
    <n v="413"/>
    <s v="INTPG_ACC_413_1.46"/>
    <s v="ISEL-1.46"/>
    <n v="1"/>
    <s v="NO TIENE L3OUT"/>
    <n v="126"/>
    <n v="96"/>
  </r>
  <r>
    <n v="403"/>
    <x v="1"/>
    <x v="254"/>
    <s v="eth1/46"/>
    <x v="0"/>
    <x v="0"/>
    <x v="0"/>
    <s v="ITHSGHP0"/>
    <x v="6"/>
    <b v="0"/>
    <s v="No está en VPC"/>
    <n v="403"/>
    <s v="INTPG_ACC_403_1.46"/>
    <s v="ISEL-1.46"/>
    <n v="1"/>
    <s v="NO TIENE L3OUT"/>
    <n v="150"/>
    <n v="96"/>
  </r>
  <r>
    <n v="125"/>
    <x v="0"/>
    <x v="255"/>
    <s v="eth1/46"/>
    <x v="0"/>
    <x v="0"/>
    <x v="0"/>
    <m/>
    <x v="6"/>
    <b v="0"/>
    <s v="No está en VPC"/>
    <n v="125"/>
    <s v="INTPG_ACC_125_1.46"/>
    <s v="ISEL-1.46"/>
    <n v="1"/>
    <s v="NO TIENE L3OUT"/>
    <n v="72"/>
    <n v="96"/>
  </r>
  <r>
    <n v="166"/>
    <x v="0"/>
    <x v="256"/>
    <s v="eth1/46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46"/>
    <x v="0"/>
    <x v="0"/>
    <x v="0"/>
    <s v="TO-ITHFDEMCFRPMS02"/>
    <x v="6"/>
    <b v="0"/>
    <s v="No está en VPC"/>
    <n v="111"/>
    <s v="INTPG_VPC_110_1.68_111_1.46"/>
    <s v="ISEL-1.46"/>
    <n v="1"/>
    <s v="NO TIENE L3OUT"/>
    <n v="58"/>
    <n v="96"/>
  </r>
  <r>
    <n v="115"/>
    <x v="0"/>
    <x v="258"/>
    <s v="eth1/46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46"/>
    <x v="0"/>
    <x v="0"/>
    <x v="0"/>
    <s v="COMISIONES"/>
    <x v="6"/>
    <b v="0"/>
    <s v="No está en VPC"/>
    <n v="106"/>
    <s v="INTPG_ACC_106_1.46"/>
    <s v="ISEL-1.46"/>
    <n v="1"/>
    <s v="NO TIENE L3OUT"/>
    <n v="122"/>
    <n v="96"/>
  </r>
  <r>
    <n v="126"/>
    <x v="0"/>
    <x v="260"/>
    <s v="eth1/46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46"/>
    <x v="0"/>
    <x v="0"/>
    <x v="0"/>
    <s v="ITHVC1_eth1_IPMP-Pasiva"/>
    <x v="6"/>
    <b v="0"/>
    <s v="No está en VPC"/>
    <n v="425"/>
    <s v="INTPG_ACC_425_1.46"/>
    <s v="ISEL-1.46"/>
    <n v="1"/>
    <s v="NO TIENE L3OUT"/>
    <n v="86"/>
    <n v="96"/>
  </r>
  <r>
    <n v="151"/>
    <x v="0"/>
    <x v="262"/>
    <s v="eth1/46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46"/>
    <x v="0"/>
    <x v="1"/>
    <x v="1"/>
    <s v="TO-uxidmbd-scan-E7-1"/>
    <x v="6"/>
    <b v="0"/>
    <s v="No está en VPC"/>
    <n v="430"/>
    <s v="INTPG_ACC_430_1.46"/>
    <s v="ISEL-1.46"/>
    <n v="1"/>
    <s v="NO TIENE L3OUT"/>
    <n v="86"/>
    <n v="96"/>
  </r>
  <r>
    <n v="419"/>
    <x v="1"/>
    <x v="264"/>
    <s v="eth1/46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46"/>
    <x v="0"/>
    <x v="0"/>
    <x v="0"/>
    <s v="IXT08PP"/>
    <x v="6"/>
    <b v="0"/>
    <s v="No está en VPC"/>
    <n v="155"/>
    <s v="INTPG_ACC_155_1.46"/>
    <s v="ISEL-1.46"/>
    <n v="1"/>
    <s v="NO TIENE L3OUT"/>
    <n v="198"/>
    <n v="96"/>
  </r>
  <r>
    <n v="409"/>
    <x v="1"/>
    <x v="266"/>
    <s v="eth1/46"/>
    <x v="0"/>
    <x v="0"/>
    <x v="0"/>
    <s v="IXTPPMDB02"/>
    <x v="6"/>
    <b v="0"/>
    <s v="No está en VPC"/>
    <n v="409"/>
    <s v="INTPG_ACC_409_1.46"/>
    <s v="ISEL-1.46"/>
    <n v="1"/>
    <s v="NO TIENE L3OUT"/>
    <n v="128"/>
    <n v="96"/>
  </r>
  <r>
    <n v="422"/>
    <x v="1"/>
    <x v="267"/>
    <s v="eth1/46"/>
    <x v="0"/>
    <x v="0"/>
    <x v="0"/>
    <s v="ITHRTC4CSS2"/>
    <x v="6"/>
    <b v="0"/>
    <s v="No está en VPC"/>
    <n v="422"/>
    <s v="INTPG_ACC_422_1.46"/>
    <s v="ISEL-1.46"/>
    <n v="1"/>
    <s v="NO TIENE L3OUT"/>
    <n v="182"/>
    <n v="96"/>
  </r>
  <r>
    <n v="436"/>
    <x v="1"/>
    <x v="268"/>
    <s v="eth1/46"/>
    <x v="0"/>
    <x v="0"/>
    <x v="0"/>
    <s v="TC2_ithmombe1_OA1_MGT"/>
    <x v="6"/>
    <b v="0"/>
    <s v="No está en VPC"/>
    <n v="436"/>
    <s v="INTPG_ACC_436_1.46"/>
    <s v="ISEL-1.46"/>
    <n v="1"/>
    <s v="NO TIENE L3OUT"/>
    <n v="172"/>
    <n v="96"/>
  </r>
  <r>
    <n v="410"/>
    <x v="1"/>
    <x v="269"/>
    <s v="eth1/46"/>
    <x v="0"/>
    <x v="0"/>
    <x v="0"/>
    <s v="APMS01_S09"/>
    <x v="6"/>
    <b v="0"/>
    <s v="No está en VPC"/>
    <n v="410"/>
    <s v="INTPG_ACC_410_1.46"/>
    <s v="ISEL-1.46"/>
    <n v="1"/>
    <s v="NO TIENE L3OUT"/>
    <n v="178"/>
    <n v="96"/>
  </r>
  <r>
    <n v="161"/>
    <x v="0"/>
    <x v="270"/>
    <s v="eth1/46"/>
    <x v="1"/>
    <x v="1"/>
    <x v="2"/>
    <s v="CELCITE"/>
    <x v="6"/>
    <b v="0"/>
    <s v="No está en VPC"/>
    <n v="161"/>
    <s v="INTPG_ACC_161_1.46"/>
    <s v="ISEL-1.46"/>
    <n v="1"/>
    <s v="NO TIENE L3OUT"/>
    <n v="102"/>
    <n v="96"/>
  </r>
  <r>
    <n v="411"/>
    <x v="1"/>
    <x v="271"/>
    <s v="eth1/46"/>
    <x v="0"/>
    <x v="1"/>
    <x v="1"/>
    <s v="Ixt_guardium02_Principal"/>
    <x v="6"/>
    <b v="0"/>
    <s v="No está en VPC"/>
    <n v="411"/>
    <s v="INTPG_ACC_411_1.46"/>
    <s v="ISEL-1.46"/>
    <n v="1"/>
    <s v="NO TIENE L3OUT"/>
    <n v="96"/>
    <n v="96"/>
  </r>
  <r>
    <n v="116"/>
    <x v="0"/>
    <x v="272"/>
    <s v="eth1/46"/>
    <x v="0"/>
    <x v="1"/>
    <x v="1"/>
    <s v="USSD TANGO"/>
    <x v="6"/>
    <b v="0"/>
    <s v="No está en VPC"/>
    <n v="116"/>
    <s v="INTPG_ACC_116_1.46"/>
    <s v="ISEL-1.46"/>
    <n v="1"/>
    <s v="NO TIENE L3OUT"/>
    <n v="148"/>
    <n v="96"/>
  </r>
  <r>
    <n v="412"/>
    <x v="1"/>
    <x v="273"/>
    <s v="eth1/46"/>
    <x v="0"/>
    <x v="0"/>
    <x v="0"/>
    <s v="VBLOCK_NETMGT"/>
    <x v="6"/>
    <b v="0"/>
    <s v="No está en VPC"/>
    <n v="412"/>
    <s v="INTPG_ACC_412_1.46"/>
    <s v="ISEL-1.46"/>
    <n v="1"/>
    <s v="NO TIENE L3OUT"/>
    <n v="126"/>
    <n v="96"/>
  </r>
  <r>
    <n v="120"/>
    <x v="0"/>
    <x v="274"/>
    <s v="eth1/46"/>
    <x v="0"/>
    <x v="0"/>
    <x v="0"/>
    <s v="N/A"/>
    <x v="6"/>
    <b v="0"/>
    <s v="No está en VPC"/>
    <n v="120"/>
    <s v="INTPG_ACC_120_1.46"/>
    <s v="ISEL-1.46"/>
    <n v="1"/>
    <s v="NO TIENE L3OUT"/>
    <n v="158"/>
    <n v="96"/>
  </r>
  <r>
    <n v="404"/>
    <x v="1"/>
    <x v="275"/>
    <s v="eth1/46"/>
    <x v="0"/>
    <x v="1"/>
    <x v="5"/>
    <s v="VIOSDES2-VIOSDES2_CLT"/>
    <x v="6"/>
    <b v="0"/>
    <s v="No está en VPC"/>
    <n v="404"/>
    <s v="INTPG_VPC_404_1.45-46_406_1.45-46"/>
    <s v="ISEL-1.46"/>
    <n v="1"/>
    <s v="NO TIENE L3OUT"/>
    <n v="92"/>
    <n v="96"/>
  </r>
  <r>
    <n v="167"/>
    <x v="0"/>
    <x v="276"/>
    <s v="eth1/46"/>
    <x v="0"/>
    <x v="0"/>
    <x v="0"/>
    <s v="TO-ITHFDENBURMS01"/>
    <x v="6"/>
    <b v="0"/>
    <s v="No está en VPC"/>
    <n v="167"/>
    <s v="INTPG_VPC_167_1.46_169_1.46"/>
    <s v="ISEL-1.46"/>
    <n v="1"/>
    <s v="NO TIENE L3OUT"/>
    <n v="68"/>
    <n v="96"/>
  </r>
  <r>
    <n v="428"/>
    <x v="1"/>
    <x v="277"/>
    <s v="eth1/46"/>
    <x v="0"/>
    <x v="0"/>
    <x v="0"/>
    <s v="TO-ITHFORZDLRXGW01-NET_0"/>
    <x v="6"/>
    <b v="0"/>
    <s v="No está en VPC"/>
    <n v="428"/>
    <s v="INTPG_ACC_428_1.46"/>
    <s v="ISEL-1.46"/>
    <n v="1"/>
    <s v="NO TIENE L3OUT"/>
    <n v="102"/>
    <n v="96"/>
  </r>
  <r>
    <n v="128"/>
    <x v="0"/>
    <x v="0"/>
    <s v="eth1/47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47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47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47"/>
    <x v="0"/>
    <x v="0"/>
    <x v="0"/>
    <m/>
    <x v="0"/>
    <b v="0"/>
    <s v="No está en VPC"/>
    <n v="101"/>
    <s v="INTPG-VPC_101_1.47-48_150_1.47-48"/>
    <s v="ISEL-1.47"/>
    <n v="0"/>
    <s v="NO TIENE L3OUT"/>
    <n v="114"/>
    <n v="54"/>
  </r>
  <r>
    <n v="160"/>
    <x v="0"/>
    <x v="4"/>
    <s v="eth1/47"/>
    <x v="0"/>
    <x v="1"/>
    <x v="1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47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47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47"/>
    <x v="0"/>
    <x v="0"/>
    <x v="0"/>
    <s v="LINK TO DDI BROCADE ROOM 2"/>
    <x v="0"/>
    <b v="0"/>
    <s v="No está en VPC"/>
    <n v="401"/>
    <s v="INTPG_VPC_401_1.47-48_402_1.47-48"/>
    <s v="ISEL-1.47"/>
    <n v="4"/>
    <s v="NO TIENE L3OUT"/>
    <n v="40"/>
    <n v="54"/>
  </r>
  <r>
    <n v="402"/>
    <x v="1"/>
    <x v="8"/>
    <s v="eth1/47"/>
    <x v="0"/>
    <x v="1"/>
    <x v="5"/>
    <s v="LINK TO DDI BROCADE ROOM 2"/>
    <x v="0"/>
    <b v="0"/>
    <s v="No está en VPC"/>
    <n v="402"/>
    <s v="INTPG_VPC_401_1.47-48_402_1.47-48"/>
    <s v="ISEL-1.47"/>
    <n v="4"/>
    <s v="NO TIENE L3OUT"/>
    <n v="36"/>
    <n v="54"/>
  </r>
  <r>
    <n v="130"/>
    <x v="0"/>
    <x v="11"/>
    <s v="eth1/47"/>
    <x v="0"/>
    <x v="0"/>
    <x v="0"/>
    <s v="LAG-smt-comp-01"/>
    <x v="0"/>
    <b v="0"/>
    <s v="No está en VPC"/>
    <n v="130"/>
    <s v="INTPG_VPC_130_1.46-47_131_1.46-47"/>
    <s v="ISEL-1.47"/>
    <n v="4"/>
    <s v="NO TIENE L3OUT"/>
    <n v="128"/>
    <n v="54"/>
  </r>
  <r>
    <n v="150"/>
    <x v="0"/>
    <x v="12"/>
    <s v="eth1/47"/>
    <x v="0"/>
    <x v="0"/>
    <x v="0"/>
    <m/>
    <x v="0"/>
    <b v="0"/>
    <s v="No está en VPC"/>
    <n v="150"/>
    <s v="INTPG-VPC_101_1.47-48_150_1.47-48"/>
    <s v="ISEL-1.47"/>
    <n v="0"/>
    <s v="NO TIENE L3OUT"/>
    <n v="118"/>
    <n v="54"/>
  </r>
  <r>
    <n v="131"/>
    <x v="0"/>
    <x v="13"/>
    <s v="eth1/47"/>
    <x v="0"/>
    <x v="0"/>
    <x v="0"/>
    <s v="LAG-smt-comp-01"/>
    <x v="0"/>
    <b v="0"/>
    <s v="No está en VPC"/>
    <n v="131"/>
    <s v="INTPG_VPC_130_1.46-47_131_1.46-47"/>
    <s v="ISEL-1.47"/>
    <n v="4"/>
    <s v="NO TIENE L3OUT"/>
    <n v="126"/>
    <n v="54"/>
  </r>
  <r>
    <n v="424"/>
    <x v="1"/>
    <x v="18"/>
    <s v="eth1/47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47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47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47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47"/>
    <x v="0"/>
    <x v="0"/>
    <x v="0"/>
    <m/>
    <x v="0"/>
    <b v="0"/>
    <s v="No está en VPC"/>
    <n v="727"/>
    <s v="INTPG-VPC_MGMT-20218_727_1.47_726_1.48"/>
    <s v="ISEL-1.47"/>
    <n v="6"/>
    <s v="NO TIENE L3OUT"/>
    <n v="0"/>
    <n v="54"/>
  </r>
  <r>
    <n v="724"/>
    <x v="2"/>
    <x v="23"/>
    <s v="eth1/47"/>
    <x v="0"/>
    <x v="0"/>
    <x v="0"/>
    <s v="LINK_HACIA_MGMT"/>
    <x v="0"/>
    <b v="0"/>
    <s v="No está en VPC"/>
    <n v="724"/>
    <s v="INTPG-VPC_MGMT-20214_724_1.47_725_1.48"/>
    <s v="ISEL-1.47"/>
    <n v="5"/>
    <s v="NO TIENE L3OUT"/>
    <n v="0"/>
    <n v="54"/>
  </r>
  <r>
    <n v="725"/>
    <x v="2"/>
    <x v="25"/>
    <s v="eth1/47"/>
    <x v="0"/>
    <x v="0"/>
    <x v="0"/>
    <m/>
    <x v="0"/>
    <b v="0"/>
    <s v="No está en VPC"/>
    <n v="725"/>
    <s v="INTPG-VPC_MGMT-20216_725_1.47_724_1.48"/>
    <s v="ISEL-1.47"/>
    <n v="4"/>
    <s v="NO TIENE L3OUT"/>
    <n v="0"/>
    <n v="54"/>
  </r>
  <r>
    <n v="431"/>
    <x v="1"/>
    <x v="26"/>
    <s v="eth1/47"/>
    <x v="0"/>
    <x v="0"/>
    <x v="0"/>
    <s v="To_ITHEA1B_eth0"/>
    <x v="0"/>
    <b v="0"/>
    <s v="No está en VPC"/>
    <n v="431"/>
    <s v="INTPG_ACC_431_1.47"/>
    <s v="ISEL-1.47"/>
    <n v="2"/>
    <s v="NO TIENE L3OUT"/>
    <n v="46"/>
    <n v="54"/>
  </r>
  <r>
    <n v="433"/>
    <x v="1"/>
    <x v="27"/>
    <s v="eth1/47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47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47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47"/>
    <x v="0"/>
    <x v="1"/>
    <x v="1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47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47"/>
    <x v="0"/>
    <x v="0"/>
    <x v="0"/>
    <m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47"/>
    <x v="0"/>
    <x v="0"/>
    <x v="0"/>
    <m/>
    <x v="0"/>
    <b v="0"/>
    <s v="No está en VPC"/>
    <n v="712"/>
    <s v="INTPG-VPC_MGMT-10216_712_1.47_713_1.48"/>
    <s v="ISEL-1.47"/>
    <n v="6"/>
    <s v="NO TIENE L3OUT"/>
    <n v="32"/>
    <n v="54"/>
  </r>
  <r>
    <n v="719"/>
    <x v="2"/>
    <x v="34"/>
    <s v="eth1/47"/>
    <x v="0"/>
    <x v="0"/>
    <x v="0"/>
    <m/>
    <x v="0"/>
    <b v="0"/>
    <s v="No está en VPC"/>
    <n v="719"/>
    <s v="INTPG-VPC_MGMT-20118_719_1.47_720_1.48"/>
    <s v="ISEL-1.47"/>
    <n v="5"/>
    <s v="NO TIENE L3OUT"/>
    <n v="0"/>
    <n v="54"/>
  </r>
  <r>
    <n v="715"/>
    <x v="2"/>
    <x v="35"/>
    <s v="eth1/47"/>
    <x v="0"/>
    <x v="0"/>
    <x v="0"/>
    <m/>
    <x v="0"/>
    <b v="0"/>
    <s v="No está en VPC"/>
    <n v="715"/>
    <s v="INTPG-VPC_MGMT-20112_715_1.47_716_1.48"/>
    <s v="ISEL-1.47"/>
    <n v="3"/>
    <s v="NO TIENE L3OUT"/>
    <n v="0"/>
    <n v="54"/>
  </r>
  <r>
    <n v="427"/>
    <x v="1"/>
    <x v="36"/>
    <s v="eth1/47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47"/>
    <x v="0"/>
    <x v="0"/>
    <x v="0"/>
    <m/>
    <x v="0"/>
    <b v="0"/>
    <s v="No está en VPC"/>
    <n v="711"/>
    <s v="INTPG-VPC_MGMT-10215_711_1.47_710_1.48"/>
    <s v="ISEL-1.47"/>
    <n v="3"/>
    <s v="NO TIENE L3OUT"/>
    <n v="16"/>
    <n v="54"/>
  </r>
  <r>
    <n v="716"/>
    <x v="2"/>
    <x v="38"/>
    <s v="eth1/47"/>
    <x v="0"/>
    <x v="0"/>
    <x v="0"/>
    <m/>
    <x v="0"/>
    <b v="0"/>
    <s v="No está en VPC"/>
    <n v="716"/>
    <s v="INTPG-VPC_MGMT-20113_716_1.47_715_1.48"/>
    <s v="ISEL-1.47"/>
    <n v="4"/>
    <s v="NO TIENE L3OUT"/>
    <n v="0"/>
    <n v="54"/>
  </r>
  <r>
    <n v="702"/>
    <x v="2"/>
    <x v="39"/>
    <s v="eth1/47"/>
    <x v="0"/>
    <x v="0"/>
    <x v="0"/>
    <m/>
    <x v="0"/>
    <b v="0"/>
    <s v="No está en VPC"/>
    <n v="702"/>
    <s v="INTPG-VPC_MGMT-10111_702_1.47_701_1.48"/>
    <s v="ISEL-1.47"/>
    <n v="3"/>
    <s v="NO TIENE L3OUT"/>
    <n v="0"/>
    <n v="54"/>
  </r>
  <r>
    <n v="435"/>
    <x v="1"/>
    <x v="40"/>
    <s v="eth1/47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47"/>
    <x v="0"/>
    <x v="1"/>
    <x v="3"/>
    <m/>
    <x v="0"/>
    <b v="0"/>
    <s v="No está en VPC"/>
    <n v="446"/>
    <s v="NO EXISTE PG"/>
    <s v="NO EXISTE ISEL"/>
    <n v="0"/>
    <s v="NO TIENE L3OUT"/>
    <n v="198"/>
    <n v="54"/>
  </r>
  <r>
    <n v="444"/>
    <x v="1"/>
    <x v="42"/>
    <s v="eth1/47"/>
    <x v="0"/>
    <x v="1"/>
    <x v="3"/>
    <m/>
    <x v="0"/>
    <b v="0"/>
    <s v="No está en VPC"/>
    <n v="444"/>
    <s v="NO EXISTE PG"/>
    <s v="NO EXISTE ISEL"/>
    <n v="0"/>
    <s v="NO TIENE L3OUT"/>
    <n v="234"/>
    <n v="54"/>
  </r>
  <r>
    <n v="701"/>
    <x v="2"/>
    <x v="43"/>
    <s v="eth1/47"/>
    <x v="0"/>
    <x v="0"/>
    <x v="0"/>
    <m/>
    <x v="0"/>
    <b v="0"/>
    <s v="No está en VPC"/>
    <n v="701"/>
    <s v="INTPG-VPC_MGMT-10109_701_1.47_702_1.48"/>
    <s v="ISEL-1.47"/>
    <n v="5"/>
    <s v="NO TIENE L3OUT"/>
    <n v="0"/>
    <n v="54"/>
  </r>
  <r>
    <n v="440"/>
    <x v="1"/>
    <x v="44"/>
    <s v="eth1/47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47"/>
    <x v="0"/>
    <x v="0"/>
    <x v="0"/>
    <s v="To_ITHEA1C_eth1"/>
    <x v="0"/>
    <b v="0"/>
    <s v="No está en VPC"/>
    <n v="448"/>
    <s v="INTPG_ACC_448_1.47"/>
    <s v="ISEL-1.47"/>
    <n v="2"/>
    <s v="NO TIENE L3OUT"/>
    <n v="46"/>
    <n v="54"/>
  </r>
  <r>
    <n v="704"/>
    <x v="2"/>
    <x v="46"/>
    <s v="eth1/47"/>
    <x v="0"/>
    <x v="0"/>
    <x v="0"/>
    <m/>
    <x v="0"/>
    <b v="0"/>
    <s v="No está en VPC"/>
    <n v="704"/>
    <s v="INTPG-VPC_MGMT-10116_704_1.47_703_1.48"/>
    <s v="ISEL-1.47"/>
    <n v="3"/>
    <s v="NO TIENE L3OUT"/>
    <n v="0"/>
    <n v="54"/>
  </r>
  <r>
    <n v="729"/>
    <x v="2"/>
    <x v="47"/>
    <s v="eth1/47"/>
    <x v="0"/>
    <x v="0"/>
    <x v="0"/>
    <m/>
    <x v="0"/>
    <b v="0"/>
    <s v="No está en VPC"/>
    <n v="729"/>
    <s v="INTPG-VPC_MGMT-10316_729_1.47_728_1.48"/>
    <s v="ISEL-1.47"/>
    <n v="2"/>
    <s v="NO TIENE L3OUT"/>
    <n v="4"/>
    <n v="54"/>
  </r>
  <r>
    <n v="728"/>
    <x v="2"/>
    <x v="48"/>
    <s v="eth1/47"/>
    <x v="0"/>
    <x v="0"/>
    <x v="0"/>
    <m/>
    <x v="0"/>
    <b v="0"/>
    <s v="No está en VPC"/>
    <n v="728"/>
    <s v="INTPG-VPC_MGMT-10317_728_1.47_729_1.48"/>
    <s v="ISEL-1.47"/>
    <n v="2"/>
    <s v="NO TIENE L3OUT"/>
    <n v="2"/>
    <n v="54"/>
  </r>
  <r>
    <n v="456"/>
    <x v="1"/>
    <x v="49"/>
    <s v="eth1/47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47"/>
    <x v="0"/>
    <x v="0"/>
    <x v="0"/>
    <m/>
    <x v="0"/>
    <b v="0"/>
    <s v="No está en VPC"/>
    <n v="746"/>
    <s v="INTPG_VPC_MGMT_10308_746_1.47_745_1.48"/>
    <s v="ISEL-1.47"/>
    <n v="8"/>
    <s v="NO TIENE L3OUT"/>
    <n v="0"/>
    <n v="54"/>
  </r>
  <r>
    <n v="745"/>
    <x v="2"/>
    <x v="52"/>
    <s v="eth1/47"/>
    <x v="0"/>
    <x v="0"/>
    <x v="0"/>
    <m/>
    <x v="0"/>
    <b v="0"/>
    <s v="No está en VPC"/>
    <n v="745"/>
    <s v="INTPG_VPC_MGMT_10311_745_1.47_746_1.48"/>
    <s v="ISEL-1.47"/>
    <n v="6"/>
    <s v="NO TIENE L3OUT"/>
    <n v="0"/>
    <n v="54"/>
  </r>
  <r>
    <n v="730"/>
    <x v="2"/>
    <x v="53"/>
    <s v="eth1/47"/>
    <x v="0"/>
    <x v="0"/>
    <x v="0"/>
    <m/>
    <x v="0"/>
    <b v="0"/>
    <s v="No está en VPC"/>
    <n v="730"/>
    <s v="INTPG-VPC_MGMT-10417_730_1.47_731_1.48"/>
    <s v="ISEL-1.47"/>
    <n v="3"/>
    <s v="NO TIENE L3OUT"/>
    <n v="36"/>
    <n v="54"/>
  </r>
  <r>
    <n v="722"/>
    <x v="2"/>
    <x v="54"/>
    <s v="eth1/47"/>
    <x v="0"/>
    <x v="0"/>
    <x v="0"/>
    <m/>
    <x v="0"/>
    <b v="0"/>
    <s v="No está en VPC"/>
    <n v="722"/>
    <s v="INTPG-VPC_MGMT-20212_722_1.47_723_1.48"/>
    <s v="ISEL-1.47"/>
    <n v="3"/>
    <s v="NO TIENE L3OUT"/>
    <n v="0"/>
    <n v="54"/>
  </r>
  <r>
    <n v="733"/>
    <x v="2"/>
    <x v="55"/>
    <s v="eth1/47"/>
    <x v="0"/>
    <x v="0"/>
    <x v="0"/>
    <m/>
    <x v="0"/>
    <b v="0"/>
    <s v="No está en VPC"/>
    <n v="733"/>
    <s v="INTPG-VPC_MGMT-10418_733_1.47_732_1.48"/>
    <s v="ISEL-1.47"/>
    <n v="4"/>
    <s v="NO TIENE L3OUT"/>
    <n v="0"/>
    <n v="54"/>
  </r>
  <r>
    <n v="755"/>
    <x v="2"/>
    <x v="56"/>
    <s v="eth1/47"/>
    <x v="0"/>
    <x v="0"/>
    <x v="0"/>
    <m/>
    <x v="0"/>
    <b v="0"/>
    <s v="No está en VPC"/>
    <n v="755"/>
    <s v="INTPG_VPC_MGMT_10106_755_1.47_756_1.48"/>
    <s v="ISEL-1.47"/>
    <n v="17"/>
    <s v="NO TIENE L3OUT"/>
    <n v="52"/>
    <n v="54"/>
  </r>
  <r>
    <n v="748"/>
    <x v="2"/>
    <x v="57"/>
    <s v="eth1/47"/>
    <x v="0"/>
    <x v="0"/>
    <x v="0"/>
    <m/>
    <x v="0"/>
    <b v="0"/>
    <s v="No está en VPC"/>
    <n v="748"/>
    <s v="INTPG_VPC_MGMT_10414_748_1.47_749_1.48"/>
    <s v="ISEL-1.47"/>
    <n v="4"/>
    <s v="NO TIENE L3OUT"/>
    <n v="2"/>
    <n v="54"/>
  </r>
  <r>
    <n v="756"/>
    <x v="2"/>
    <x v="58"/>
    <s v="eth1/47"/>
    <x v="0"/>
    <x v="0"/>
    <x v="0"/>
    <m/>
    <x v="0"/>
    <b v="0"/>
    <s v="No está en VPC"/>
    <n v="756"/>
    <s v="INTPG_VPC_MGMT_10108_756_1.47_755_1.48"/>
    <s v="ISEL-1.47"/>
    <n v="16"/>
    <s v="NO TIENE L3OUT"/>
    <n v="64"/>
    <n v="54"/>
  </r>
  <r>
    <n v="754"/>
    <x v="2"/>
    <x v="59"/>
    <s v="eth1/47"/>
    <x v="0"/>
    <x v="0"/>
    <x v="0"/>
    <m/>
    <x v="0"/>
    <b v="0"/>
    <s v="No está en VPC"/>
    <n v="754"/>
    <s v="INTPG_VPC_MGMT_10104_754_1.47_753_1.48"/>
    <s v="ISEL-1.47"/>
    <n v="18"/>
    <s v="NO TIENE L3OUT"/>
    <n v="62"/>
    <n v="54"/>
  </r>
  <r>
    <n v="751"/>
    <x v="2"/>
    <x v="60"/>
    <s v="eth1/47"/>
    <x v="0"/>
    <x v="0"/>
    <x v="0"/>
    <m/>
    <x v="0"/>
    <b v="0"/>
    <s v="No está en VPC"/>
    <n v="751"/>
    <s v="INTPG_VPC_MGMT_10409_751_1.47_750_1.48"/>
    <s v="ISEL-1.47"/>
    <n v="6"/>
    <s v="NO TIENE L3OUT"/>
    <n v="0"/>
    <n v="54"/>
  </r>
  <r>
    <n v="769"/>
    <x v="2"/>
    <x v="61"/>
    <s v="eth1/47"/>
    <x v="0"/>
    <x v="0"/>
    <x v="0"/>
    <s v="MGMT OSS POD3"/>
    <x v="0"/>
    <b v="0"/>
    <s v="No está en VPC"/>
    <n v="769"/>
    <s v="INTPG_VPC_MGMT_20419_769_1.47_764_1.48"/>
    <s v="ISEL-1.47"/>
    <n v="11"/>
    <s v="NO TIENE L3OUT"/>
    <n v="60"/>
    <n v="54"/>
  </r>
  <r>
    <n v="742"/>
    <x v="2"/>
    <x v="62"/>
    <s v="eth1/47"/>
    <x v="0"/>
    <x v="1"/>
    <x v="1"/>
    <m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47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47"/>
    <x v="0"/>
    <x v="0"/>
    <x v="0"/>
    <s v="MGMT OSS POD3"/>
    <x v="0"/>
    <b v="0"/>
    <s v="No está en VPC"/>
    <n v="766"/>
    <s v="INTPG_VPC_MGMT_20316_766_1.47_765_1.48"/>
    <s v="ISEL-1.47"/>
    <n v="10"/>
    <s v="NO TIENE L3OUT"/>
    <n v="58"/>
    <n v="54"/>
  </r>
  <r>
    <n v="760"/>
    <x v="2"/>
    <x v="65"/>
    <s v="eth1/47"/>
    <x v="0"/>
    <x v="0"/>
    <x v="0"/>
    <s v="METASAN"/>
    <x v="0"/>
    <b v="0"/>
    <s v="No está en VPC"/>
    <n v="760"/>
    <s v="INTPG_VPC_MGMT_20818_760_1.47_761_1.48"/>
    <s v="ISEL-1.47"/>
    <n v="11"/>
    <s v="NO TIENE L3OUT"/>
    <n v="0"/>
    <n v="54"/>
  </r>
  <r>
    <n v="752"/>
    <x v="2"/>
    <x v="66"/>
    <s v="eth1/47"/>
    <x v="0"/>
    <x v="0"/>
    <x v="0"/>
    <m/>
    <x v="0"/>
    <b v="0"/>
    <s v="No está en VPC"/>
    <n v="752"/>
    <s v="INTPG_VPC_MGMT_10407_752_1.47_747_1.48"/>
    <s v="ISEL-1.47"/>
    <n v="5"/>
    <s v="NO TIENE L3OUT"/>
    <n v="0"/>
    <n v="54"/>
  </r>
  <r>
    <n v="765"/>
    <x v="2"/>
    <x v="67"/>
    <s v="eth1/47"/>
    <x v="0"/>
    <x v="0"/>
    <x v="0"/>
    <s v="MGMT OSS POD3"/>
    <x v="0"/>
    <b v="0"/>
    <s v="No está en VPC"/>
    <n v="765"/>
    <s v="INTPG_VPC_MGMT_20318_765_1.47_766_1.48"/>
    <s v="ISEL-1.47"/>
    <n v="14"/>
    <s v="NO TIENE L3OUT"/>
    <n v="60"/>
    <n v="54"/>
  </r>
  <r>
    <n v="778"/>
    <x v="2"/>
    <x v="68"/>
    <s v="eth1/47"/>
    <x v="0"/>
    <x v="0"/>
    <x v="0"/>
    <m/>
    <x v="0"/>
    <b v="0"/>
    <s v="No está en VPC"/>
    <n v="778"/>
    <s v="INTPG_VPC_MGMT_20207_778_1.47_779_1.48"/>
    <s v="ISEL-1.47"/>
    <n v="12"/>
    <s v="NO TIENE L3OUT"/>
    <n v="26"/>
    <n v="54"/>
  </r>
  <r>
    <n v="780"/>
    <x v="2"/>
    <x v="69"/>
    <s v="eth1/47"/>
    <x v="0"/>
    <x v="0"/>
    <x v="0"/>
    <s v="ENIQ F2"/>
    <x v="0"/>
    <b v="0"/>
    <s v="No está en VPC"/>
    <n v="780"/>
    <s v="INTPG_VPC_MGMT_20305_780_1.47_781_1.48"/>
    <s v="ISEL-1.47"/>
    <n v="8"/>
    <s v="NO TIENE L3OUT"/>
    <n v="26"/>
    <n v="54"/>
  </r>
  <r>
    <n v="812"/>
    <x v="2"/>
    <x v="70"/>
    <s v="eth1/47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47"/>
    <x v="0"/>
    <x v="0"/>
    <x v="0"/>
    <s v="LINK_HACIA_MGMT"/>
    <x v="0"/>
    <b v="0"/>
    <s v="No está en VPC"/>
    <n v="796"/>
    <s v="INTPG_VPC_MGMT_20506_796_1.47_795_1.48"/>
    <s v="ISEL-1.47"/>
    <n v="6"/>
    <s v="NO TIENE L3OUT"/>
    <n v="18"/>
    <n v="54"/>
  </r>
  <r>
    <n v="795"/>
    <x v="2"/>
    <x v="72"/>
    <s v="eth1/47"/>
    <x v="0"/>
    <x v="0"/>
    <x v="0"/>
    <s v="LINK_HACIA_MGMT"/>
    <x v="0"/>
    <b v="0"/>
    <s v="No está en VPC"/>
    <n v="795"/>
    <s v="INTPG_VPC_MGMT_20505_795_1.47_796_1.48"/>
    <s v="ISEL-1.47"/>
    <n v="9"/>
    <s v="NO TIENE L3OUT"/>
    <n v="18"/>
    <n v="54"/>
  </r>
  <r>
    <n v="749"/>
    <x v="2"/>
    <x v="73"/>
    <s v="eth1/47"/>
    <x v="0"/>
    <x v="0"/>
    <x v="0"/>
    <m/>
    <x v="0"/>
    <b v="0"/>
    <s v="No está en VPC"/>
    <n v="749"/>
    <s v="INTPG_VPC_MGMT_10412_749_1.47_748_1.48"/>
    <s v="ISEL-1.47"/>
    <n v="6"/>
    <s v="NO TIENE L3OUT"/>
    <n v="4"/>
    <n v="54"/>
  </r>
  <r>
    <n v="824"/>
    <x v="2"/>
    <x v="74"/>
    <s v="eth1/47"/>
    <x v="0"/>
    <x v="1"/>
    <x v="3"/>
    <m/>
    <x v="0"/>
    <b v="0"/>
    <s v="No está en VPC"/>
    <n v="824"/>
    <s v="NO EXISTE PG"/>
    <s v="NO EXISTE ISEL"/>
    <n v="0"/>
    <s v="NO TIENE L3OUT"/>
    <n v="70"/>
    <n v="54"/>
  </r>
  <r>
    <n v="819"/>
    <x v="2"/>
    <x v="75"/>
    <s v="eth1/47"/>
    <x v="0"/>
    <x v="1"/>
    <x v="3"/>
    <m/>
    <x v="0"/>
    <b v="0"/>
    <s v="No está en VPC"/>
    <n v="819"/>
    <s v="NO EXISTE PG"/>
    <s v="NO EXISTE ISEL"/>
    <n v="0"/>
    <s v="NO TIENE L3OUT"/>
    <n v="70"/>
    <n v="54"/>
  </r>
  <r>
    <n v="737"/>
    <x v="2"/>
    <x v="76"/>
    <s v="eth1/47"/>
    <x v="0"/>
    <x v="1"/>
    <x v="1"/>
    <m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47"/>
    <x v="0"/>
    <x v="0"/>
    <x v="0"/>
    <s v="LINK_HACIA_MGMT"/>
    <x v="0"/>
    <b v="0"/>
    <s v="No está en VPC"/>
    <n v="844"/>
    <s v="INTPG_VPC_MGMT_10918_844_1.47_851_1.48"/>
    <s v="ISEL-1.47"/>
    <n v="2"/>
    <s v="NO TIENE L3OUT"/>
    <n v="282"/>
    <n v="54"/>
  </r>
  <r>
    <n v="843"/>
    <x v="2"/>
    <x v="78"/>
    <s v="eth1/47"/>
    <x v="0"/>
    <x v="0"/>
    <x v="0"/>
    <s v="LINK_TO_ITHFHWSEQLHDPS68 / Slot 4 PTO 1 / Principal"/>
    <x v="0"/>
    <b v="0"/>
    <s v="No está en VPC"/>
    <n v="843"/>
    <s v="INTPG_ACC_843_1.47"/>
    <s v="ISEL-1.47"/>
    <n v="1"/>
    <s v="NO TIENE L3OUT"/>
    <n v="38"/>
    <n v="54"/>
  </r>
  <r>
    <n v="797"/>
    <x v="2"/>
    <x v="79"/>
    <s v="eth1/47"/>
    <x v="0"/>
    <x v="0"/>
    <x v="0"/>
    <s v="LINK_HACIA_MGMT"/>
    <x v="0"/>
    <b v="0"/>
    <s v="No está en VPC"/>
    <n v="797"/>
    <s v="INTPG_VPC_MGMT_10504_797_1.47_802_1.48"/>
    <s v="ISEL-1.47"/>
    <n v="4"/>
    <s v="NO TIENE L3OUT"/>
    <n v="48"/>
    <n v="54"/>
  </r>
  <r>
    <n v="839"/>
    <x v="2"/>
    <x v="80"/>
    <s v="eth1/47"/>
    <x v="0"/>
    <x v="0"/>
    <x v="0"/>
    <s v="LINK_HACIA_MGMT"/>
    <x v="0"/>
    <b v="0"/>
    <s v="No está en VPC"/>
    <n v="839"/>
    <s v="INTPG_VPC_MGMT_21019_839_1.47_834_1.48"/>
    <s v="ISEL-1.47"/>
    <n v="5"/>
    <s v="NO TIENE L3OUT"/>
    <n v="0"/>
    <n v="54"/>
  </r>
  <r>
    <n v="847"/>
    <x v="2"/>
    <x v="81"/>
    <s v="eth1/47"/>
    <x v="0"/>
    <x v="0"/>
    <x v="0"/>
    <s v="LINK_TO_ITHFHWCRMPLCN154 / Slot7.1_10 / Redundante"/>
    <x v="0"/>
    <b v="0"/>
    <s v="No está en VPC"/>
    <n v="847"/>
    <s v="INTPG_ACC_847_1.47"/>
    <s v="ISEL-1.47"/>
    <n v="6"/>
    <s v="NO TIENE L3OUT"/>
    <n v="204"/>
    <n v="54"/>
  </r>
  <r>
    <n v="848"/>
    <x v="2"/>
    <x v="82"/>
    <s v="eth1/47"/>
    <x v="0"/>
    <x v="0"/>
    <x v="0"/>
    <s v="VPC_2DCRMP_BDA11_1"/>
    <x v="0"/>
    <b v="0"/>
    <s v="No está en VPC"/>
    <n v="848"/>
    <s v="INTPG_VPC_855_1.47_848_1.47"/>
    <s v="ISEL-1.47"/>
    <n v="5"/>
    <s v="NO TIENE L3OUT"/>
    <n v="254"/>
    <n v="54"/>
  </r>
  <r>
    <n v="846"/>
    <x v="2"/>
    <x v="83"/>
    <s v="eth1/47"/>
    <x v="0"/>
    <x v="0"/>
    <x v="0"/>
    <s v="LINK_TO_ITHFHWCRMPLCN87 / Slot1.2_32 / Principal"/>
    <x v="0"/>
    <b v="0"/>
    <s v="No está en VPC"/>
    <n v="846"/>
    <s v="INTPG_ACC_846_1.47"/>
    <s v="ISEL-1.47"/>
    <n v="2"/>
    <s v="NO TIENE L3OUT"/>
    <n v="242"/>
    <n v="54"/>
  </r>
  <r>
    <n v="838"/>
    <x v="2"/>
    <x v="84"/>
    <s v="eth1/47"/>
    <x v="0"/>
    <x v="0"/>
    <x v="0"/>
    <s v="LINK_TO_ITHFHWSEQLHDPS68 / Slot 5 PTO 1 / Redundante"/>
    <x v="0"/>
    <b v="0"/>
    <s v="No está en VPC"/>
    <n v="838"/>
    <s v="INTPG_ACC_838_1.47"/>
    <s v="ISEL-1.47"/>
    <n v="1"/>
    <s v="NO TIENE L3OUT"/>
    <n v="38"/>
    <n v="54"/>
  </r>
  <r>
    <n v="849"/>
    <x v="2"/>
    <x v="85"/>
    <s v="eth1/47"/>
    <x v="0"/>
    <x v="0"/>
    <x v="0"/>
    <s v="LINK_TO_ITHFHWCRMPLCN150 / Slot7.1_34 / Redundante"/>
    <x v="0"/>
    <b v="0"/>
    <s v="No está en VPC"/>
    <n v="849"/>
    <s v="INTPG_ACC_849_1.47"/>
    <s v="ISEL-1.47"/>
    <n v="6"/>
    <s v="NO TIENE L3OUT"/>
    <n v="286"/>
    <n v="54"/>
  </r>
  <r>
    <n v="845"/>
    <x v="2"/>
    <x v="86"/>
    <s v="eth1/47"/>
    <x v="0"/>
    <x v="0"/>
    <x v="0"/>
    <s v="LINK_TO_ITHFHWCRMPLCN99 / Slot1.3_30 / Principal"/>
    <x v="0"/>
    <b v="0"/>
    <s v="No está en VPC"/>
    <n v="845"/>
    <s v="INTPG_ACC_845_1.47"/>
    <s v="ISEL-1.47"/>
    <n v="1"/>
    <s v="NO TIENE L3OUT"/>
    <n v="258"/>
    <n v="54"/>
  </r>
  <r>
    <n v="873"/>
    <x v="2"/>
    <x v="87"/>
    <s v="eth1/47"/>
    <x v="0"/>
    <x v="0"/>
    <x v="0"/>
    <s v="To_ITHFHWCRMDLCN39_Redundante"/>
    <x v="0"/>
    <b v="0"/>
    <s v="No está en VPC"/>
    <n v="873"/>
    <s v="INTPG_ACC_873_1.47"/>
    <s v="ISEL-1.47"/>
    <n v="2"/>
    <s v="NO TIENE L3OUT"/>
    <n v="248"/>
    <n v="54"/>
  </r>
  <r>
    <n v="864"/>
    <x v="2"/>
    <x v="88"/>
    <s v="eth1/47"/>
    <x v="0"/>
    <x v="0"/>
    <x v="0"/>
    <s v="To_VPC_2DCBSD_WR51_2"/>
    <x v="0"/>
    <b v="0"/>
    <s v="No está en VPC"/>
    <n v="864"/>
    <s v="INTPG_VPC_859_1.47_864_1.47"/>
    <s v="ISEL-1.47"/>
    <n v="1"/>
    <s v="NO TIENE L3OUT"/>
    <n v="0"/>
    <n v="54"/>
  </r>
  <r>
    <n v="836"/>
    <x v="2"/>
    <x v="89"/>
    <s v="eth1/47"/>
    <x v="0"/>
    <x v="0"/>
    <x v="0"/>
    <s v="LINK_TO_ITHFHWCBSPSHD30 / Slot1.1_24 / Principal"/>
    <x v="0"/>
    <b v="0"/>
    <s v="No está en VPC"/>
    <n v="836"/>
    <s v="INTPG_VPC_836_1.47_841_1.47"/>
    <s v="ISEL-1.47"/>
    <n v="2"/>
    <s v="NO TIENE L3OUT"/>
    <n v="0"/>
    <n v="54"/>
  </r>
  <r>
    <n v="834"/>
    <x v="2"/>
    <x v="90"/>
    <s v="eth1/47"/>
    <x v="0"/>
    <x v="0"/>
    <x v="0"/>
    <s v="LINK_HACIA_MGMT"/>
    <x v="0"/>
    <b v="0"/>
    <s v="No está en VPC"/>
    <n v="834"/>
    <s v="INTPG_VPC_MGMT_20919_834_1.47_839_1.48"/>
    <s v="ISEL-1.47"/>
    <n v="5"/>
    <s v="NO TIENE L3OUT"/>
    <n v="0"/>
    <n v="54"/>
  </r>
  <r>
    <n v="872"/>
    <x v="2"/>
    <x v="91"/>
    <s v="eth1/47"/>
    <x v="0"/>
    <x v="0"/>
    <x v="0"/>
    <s v="TO_ITHFHWCRMDLCN52_Principal"/>
    <x v="0"/>
    <b v="0"/>
    <s v="No está en VPC"/>
    <n v="872"/>
    <s v="INTPG_ACC_872_1.47"/>
    <s v="ISEL-1.47"/>
    <n v="1"/>
    <s v="NO TIENE L3OUT"/>
    <n v="288"/>
    <n v="54"/>
  </r>
  <r>
    <n v="842"/>
    <x v="2"/>
    <x v="92"/>
    <s v="eth1/47"/>
    <x v="0"/>
    <x v="0"/>
    <x v="0"/>
    <s v="LINK_To_ITHFHWCBSPSHD23 / Slot7.3_22 / Redundante"/>
    <x v="0"/>
    <b v="0"/>
    <s v="No está en VPC"/>
    <n v="842"/>
    <s v="INTPG_VPC_837_1.47_842_1.47"/>
    <s v="ISEL-1.47"/>
    <n v="1"/>
    <s v="NO TIENE L3OUT"/>
    <n v="8"/>
    <n v="54"/>
  </r>
  <r>
    <n v="828"/>
    <x v="2"/>
    <x v="93"/>
    <s v="eth1/47"/>
    <x v="0"/>
    <x v="0"/>
    <x v="0"/>
    <s v="To_ITHFHWCRMDLCN42_Principal"/>
    <x v="0"/>
    <b v="0"/>
    <s v="No está en VPC"/>
    <n v="828"/>
    <s v="INTPG_ACC_828_1.47"/>
    <s v="ISEL-1.47"/>
    <n v="1"/>
    <s v="NO TIENE L3OUT"/>
    <n v="192"/>
    <n v="54"/>
  </r>
  <r>
    <n v="870"/>
    <x v="2"/>
    <x v="94"/>
    <s v="eth1/47"/>
    <x v="0"/>
    <x v="0"/>
    <x v="0"/>
    <s v="To_ITHFHWCRMDLCN39_Principal"/>
    <x v="0"/>
    <b v="0"/>
    <s v="No está en VPC"/>
    <n v="870"/>
    <s v="INTPG_ACC_870_1.47"/>
    <s v="ISEL-1.47"/>
    <n v="2"/>
    <s v="NO TIENE L3OUT"/>
    <n v="248"/>
    <n v="54"/>
  </r>
  <r>
    <n v="866"/>
    <x v="2"/>
    <x v="95"/>
    <s v="eth1/47"/>
    <x v="0"/>
    <x v="0"/>
    <x v="0"/>
    <s v="To_VPC_2DCBSD_WR37_1"/>
    <x v="0"/>
    <b v="0"/>
    <s v="No está en VPC"/>
    <n v="866"/>
    <s v="INTPG_VPC_861_1.47_866_1.47"/>
    <s v="ISEL-1.47"/>
    <n v="2"/>
    <s v="NO TIENE L3OUT"/>
    <n v="8"/>
    <n v="54"/>
  </r>
  <r>
    <n v="862"/>
    <x v="2"/>
    <x v="96"/>
    <s v="eth1/47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47"/>
    <x v="0"/>
    <x v="0"/>
    <x v="0"/>
    <s v="VPC_2DCRMP_BDA11_1"/>
    <x v="0"/>
    <b v="0"/>
    <s v="No está en VPC"/>
    <n v="855"/>
    <s v="INTPG_VPC_855_1.47_848_1.47"/>
    <s v="ISEL-1.47"/>
    <n v="5"/>
    <s v="NO TIENE L3OUT"/>
    <n v="254"/>
    <n v="54"/>
  </r>
  <r>
    <n v="871"/>
    <x v="2"/>
    <x v="98"/>
    <s v="eth1/47"/>
    <x v="0"/>
    <x v="0"/>
    <x v="0"/>
    <s v="LINK_HACIA_MGMT"/>
    <x v="0"/>
    <b v="0"/>
    <s v="No está en VPC"/>
    <n v="871"/>
    <s v="INTPG_VPC_MGMT_11418_871_1.47_868_1.48"/>
    <s v="ISEL-1.47"/>
    <n v="2"/>
    <s v="NO TIENE L3OUT"/>
    <n v="246"/>
    <n v="54"/>
  </r>
  <r>
    <n v="841"/>
    <x v="2"/>
    <x v="99"/>
    <s v="eth1/47"/>
    <x v="0"/>
    <x v="0"/>
    <x v="0"/>
    <s v="LINK_TO_ITHFHWCBSPSHD30 / Slot7.1_24 / Redundante"/>
    <x v="0"/>
    <b v="0"/>
    <s v="No está en VPC"/>
    <n v="841"/>
    <s v="INTPG_VPC_836_1.47_841_1.47"/>
    <s v="ISEL-1.47"/>
    <n v="2"/>
    <s v="NO TIENE L3OUT"/>
    <n v="0"/>
    <n v="54"/>
  </r>
  <r>
    <n v="868"/>
    <x v="2"/>
    <x v="100"/>
    <s v="eth1/47"/>
    <x v="0"/>
    <x v="0"/>
    <x v="0"/>
    <s v="LINK_HACIA_MGMT"/>
    <x v="0"/>
    <b v="0"/>
    <s v="No está en VPC"/>
    <n v="868"/>
    <s v="INTPG_VPC_MGMT_11318_868_1.47_871_1.48"/>
    <s v="ISEL-1.47"/>
    <n v="2"/>
    <s v="NO TIENE L3OUT"/>
    <n v="246"/>
    <n v="54"/>
  </r>
  <r>
    <n v="869"/>
    <x v="2"/>
    <x v="101"/>
    <s v="eth1/47"/>
    <x v="0"/>
    <x v="0"/>
    <x v="0"/>
    <s v="TO_ITHFHWCRMDLCN52_Redundante"/>
    <x v="0"/>
    <b v="0"/>
    <s v="No está en VPC"/>
    <n v="869"/>
    <s v="INTPG_ACC_869_1.47"/>
    <s v="ISEL-1.47"/>
    <n v="1"/>
    <s v="NO TIENE L3OUT"/>
    <n v="288"/>
    <n v="54"/>
  </r>
  <r>
    <n v="861"/>
    <x v="2"/>
    <x v="102"/>
    <s v="eth1/47"/>
    <x v="0"/>
    <x v="0"/>
    <x v="0"/>
    <s v="To_VPC_2DCBSD_WR37_1"/>
    <x v="0"/>
    <b v="0"/>
    <s v="No está en VPC"/>
    <n v="861"/>
    <s v="INTPG_VPC_861_1.47_866_1.47"/>
    <s v="ISEL-1.47"/>
    <n v="2"/>
    <s v="NO TIENE L3OUT"/>
    <n v="8"/>
    <n v="54"/>
  </r>
  <r>
    <n v="874"/>
    <x v="2"/>
    <x v="103"/>
    <s v="eth1/47"/>
    <x v="0"/>
    <x v="0"/>
    <x v="0"/>
    <s v="LINK_HACIA_MGMT"/>
    <x v="4"/>
    <b v="0"/>
    <s v="No está en VPC"/>
    <n v="874"/>
    <s v="INTPG_VPC_MGMT_20919_874_1.47_876_1.48"/>
    <s v="ISEL-1.47"/>
    <n v="3"/>
    <s v="NO TIENE L3OUT"/>
    <n v="92"/>
    <n v="54"/>
  </r>
  <r>
    <n v="865"/>
    <x v="2"/>
    <x v="104"/>
    <s v="eth1/47"/>
    <x v="0"/>
    <x v="0"/>
    <x v="0"/>
    <s v="To_VPC_2DCBSD_WR41_2"/>
    <x v="0"/>
    <b v="0"/>
    <s v="No está en VPC"/>
    <n v="865"/>
    <s v="INTPG_VPC_860_1.47_865_1.47"/>
    <s v="ISEL-1.47"/>
    <n v="1"/>
    <s v="NO TIENE L3OUT"/>
    <n v="0"/>
    <n v="54"/>
  </r>
  <r>
    <n v="753"/>
    <x v="2"/>
    <x v="105"/>
    <s v="eth1/47"/>
    <x v="0"/>
    <x v="0"/>
    <x v="0"/>
    <s v="MGMT OSS FASE 2"/>
    <x v="0"/>
    <b v="0"/>
    <s v="No está en VPC"/>
    <n v="753"/>
    <s v="INTPG_VPC_MGMT_10103_753_1.47_754_1.48"/>
    <s v="ISEL-1.47"/>
    <n v="18"/>
    <s v="NO TIENE L3OUT"/>
    <n v="62"/>
    <n v="54"/>
  </r>
  <r>
    <n v="708"/>
    <x v="2"/>
    <x v="106"/>
    <s v="eth1/47"/>
    <x v="0"/>
    <x v="0"/>
    <x v="0"/>
    <m/>
    <x v="0"/>
    <b v="0"/>
    <s v="No está en VPC"/>
    <n v="708"/>
    <s v="INTPG-VPC_MGMT-10211_708_1.47_709_1.48"/>
    <s v="ISEL-1.47"/>
    <n v="3"/>
    <s v="NO TIENE L3OUT"/>
    <n v="0"/>
    <n v="54"/>
  </r>
  <r>
    <n v="710"/>
    <x v="2"/>
    <x v="107"/>
    <s v="eth1/47"/>
    <x v="0"/>
    <x v="0"/>
    <x v="0"/>
    <m/>
    <x v="0"/>
    <b v="0"/>
    <s v="No está en VPC"/>
    <n v="710"/>
    <s v="INTPG-VPC_MGMT-10213_710_1.47_711_1.48"/>
    <s v="ISEL-1.47"/>
    <n v="3"/>
    <s v="NO TIENE L3OUT"/>
    <n v="16"/>
    <n v="54"/>
  </r>
  <r>
    <n v="713"/>
    <x v="2"/>
    <x v="108"/>
    <s v="eth1/47"/>
    <x v="0"/>
    <x v="0"/>
    <x v="0"/>
    <m/>
    <x v="0"/>
    <b v="0"/>
    <s v="No está en VPC"/>
    <n v="713"/>
    <s v="INTPG-VPC_MGMT-10217_713_1.47_712_1.48"/>
    <s v="ISEL-1.47"/>
    <n v="7"/>
    <s v="NO TIENE L3OUT"/>
    <n v="32"/>
    <n v="54"/>
  </r>
  <r>
    <n v="735"/>
    <x v="2"/>
    <x v="109"/>
    <s v="eth1/47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47"/>
    <x v="0"/>
    <x v="0"/>
    <x v="0"/>
    <m/>
    <x v="0"/>
    <b v="0"/>
    <s v="No está en VPC"/>
    <n v="731"/>
    <s v="INTPG-VPC_MGMT-10416_731_1.47_730_1.48"/>
    <s v="ISEL-1.47"/>
    <n v="3"/>
    <s v="NO TIENE L3OUT"/>
    <n v="38"/>
    <n v="54"/>
  </r>
  <r>
    <n v="703"/>
    <x v="2"/>
    <x v="111"/>
    <s v="eth1/47"/>
    <x v="0"/>
    <x v="0"/>
    <x v="0"/>
    <m/>
    <x v="0"/>
    <b v="0"/>
    <s v="No está en VPC"/>
    <n v="703"/>
    <s v="INTPG-VPC_MGMT-10112_703_1.47_704_1.48"/>
    <s v="ISEL-1.47"/>
    <n v="4"/>
    <s v="NO TIENE L3OUT"/>
    <n v="2"/>
    <n v="54"/>
  </r>
  <r>
    <n v="706"/>
    <x v="2"/>
    <x v="112"/>
    <s v="eth1/47"/>
    <x v="0"/>
    <x v="0"/>
    <x v="0"/>
    <m/>
    <x v="0"/>
    <b v="0"/>
    <s v="No está en VPC"/>
    <n v="706"/>
    <s v="INTPG-VPC_MGMT-10118_706_1.47_705_1.48"/>
    <s v="ISEL-1.47"/>
    <n v="6"/>
    <s v="NO TIENE L3OUT"/>
    <n v="16"/>
    <n v="54"/>
  </r>
  <r>
    <n v="762"/>
    <x v="2"/>
    <x v="113"/>
    <s v="eth1/47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47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47"/>
    <x v="0"/>
    <x v="0"/>
    <x v="0"/>
    <s v="LINK_HACIA_MGMT"/>
    <x v="0"/>
    <b v="0"/>
    <s v="No está en VPC"/>
    <n v="826"/>
    <s v="INTPG_VPC_MGMT_11318_826_1.47_830_1.48"/>
    <s v="ISEL-1.47"/>
    <n v="5"/>
    <s v="NO TIENE L3OUT"/>
    <n v="12"/>
    <n v="54"/>
  </r>
  <r>
    <n v="726"/>
    <x v="2"/>
    <x v="117"/>
    <s v="eth1/47"/>
    <x v="0"/>
    <x v="0"/>
    <x v="0"/>
    <m/>
    <x v="0"/>
    <b v="0"/>
    <s v="No está en VPC"/>
    <n v="726"/>
    <s v="INTPG-VPC_MGMT-20217_726_1.47_727_1.48"/>
    <s v="ISEL-1.47"/>
    <n v="5"/>
    <s v="NO TIENE L3OUT"/>
    <n v="0"/>
    <n v="54"/>
  </r>
  <r>
    <n v="740"/>
    <x v="2"/>
    <x v="118"/>
    <s v="eth1/47"/>
    <x v="0"/>
    <x v="1"/>
    <x v="1"/>
    <m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47"/>
    <x v="0"/>
    <x v="0"/>
    <x v="0"/>
    <s v="LINK_HACIA_MGMT"/>
    <x v="0"/>
    <b v="0"/>
    <s v="No está en VPC"/>
    <n v="705"/>
    <s v="INTPG-VPC_MGMT-10117_705_1.47_706_1.48"/>
    <s v="ISEL-1.47"/>
    <n v="6"/>
    <s v="NO TIENE L3OUT"/>
    <n v="16"/>
    <n v="54"/>
  </r>
  <r>
    <n v="723"/>
    <x v="2"/>
    <x v="120"/>
    <s v="eth1/47"/>
    <x v="0"/>
    <x v="0"/>
    <x v="0"/>
    <m/>
    <x v="0"/>
    <b v="0"/>
    <s v="No está en VPC"/>
    <n v="723"/>
    <s v="INTPG-VPC_MGMT-20213_723_1.47_722_1.48"/>
    <s v="ISEL-1.47"/>
    <n v="3"/>
    <s v="NO TIENE L3OUT"/>
    <n v="0"/>
    <n v="54"/>
  </r>
  <r>
    <n v="721"/>
    <x v="2"/>
    <x v="121"/>
    <s v="eth1/47"/>
    <x v="0"/>
    <x v="0"/>
    <x v="0"/>
    <m/>
    <x v="0"/>
    <b v="0"/>
    <s v="No está en VPC"/>
    <n v="721"/>
    <s v="INTPG-VPC_MGMT-20210_721_1.47_714_1.48"/>
    <s v="ISEL-1.47"/>
    <n v="4"/>
    <s v="NO TIENE L3OUT"/>
    <n v="20"/>
    <n v="54"/>
  </r>
  <r>
    <n v="788"/>
    <x v="2"/>
    <x v="122"/>
    <s v="eth1/47"/>
    <x v="0"/>
    <x v="0"/>
    <x v="0"/>
    <s v="TAISHAN"/>
    <x v="0"/>
    <b v="0"/>
    <s v="No está en VPC"/>
    <n v="788"/>
    <s v="INTPG_VPC_MGMT_10204_788_1.47_789_1.48"/>
    <s v="ISEL-1.47"/>
    <n v="3"/>
    <s v="NO TIENE L3OUT"/>
    <n v="4"/>
    <n v="54"/>
  </r>
  <r>
    <n v="732"/>
    <x v="2"/>
    <x v="123"/>
    <s v="eth1/47"/>
    <x v="0"/>
    <x v="0"/>
    <x v="0"/>
    <m/>
    <x v="0"/>
    <b v="0"/>
    <s v="No está en VPC"/>
    <n v="732"/>
    <s v="INTPG-VPC_MGMT-10318_732_1.47_733_1.48"/>
    <s v="ISEL-1.47"/>
    <n v="3"/>
    <s v="NO TIENE L3OUT"/>
    <n v="0"/>
    <n v="54"/>
  </r>
  <r>
    <n v="720"/>
    <x v="2"/>
    <x v="124"/>
    <s v="eth1/47"/>
    <x v="0"/>
    <x v="0"/>
    <x v="0"/>
    <m/>
    <x v="0"/>
    <b v="0"/>
    <s v="No está en VPC"/>
    <n v="720"/>
    <s v="INTPG-VPC_MGMT-20119_720_1.47_719_1.48"/>
    <s v="ISEL-1.47"/>
    <n v="6"/>
    <s v="NO TIENE L3OUT"/>
    <n v="0"/>
    <n v="54"/>
  </r>
  <r>
    <n v="709"/>
    <x v="2"/>
    <x v="125"/>
    <s v="eth1/47"/>
    <x v="0"/>
    <x v="0"/>
    <x v="0"/>
    <m/>
    <x v="0"/>
    <b v="0"/>
    <s v="No está en VPC"/>
    <n v="709"/>
    <s v="INTPG-VPC_MGMT-10212_709_1.47_708_1.48"/>
    <s v="ISEL-1.47"/>
    <n v="3"/>
    <s v="NO TIENE L3OUT"/>
    <n v="0"/>
    <n v="54"/>
  </r>
  <r>
    <n v="454"/>
    <x v="1"/>
    <x v="126"/>
    <s v="eth1/47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47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47"/>
    <x v="0"/>
    <x v="0"/>
    <x v="0"/>
    <m/>
    <x v="0"/>
    <b v="0"/>
    <s v="No está en VPC"/>
    <n v="743"/>
    <s v="INTPG_VPC_MGMT_10313_743_1.47_744_1.48"/>
    <s v="ISEL-1.47"/>
    <n v="6"/>
    <s v="NO TIENE L3OUT"/>
    <n v="4"/>
    <n v="54"/>
  </r>
  <r>
    <n v="718"/>
    <x v="2"/>
    <x v="130"/>
    <s v="eth1/47"/>
    <x v="0"/>
    <x v="0"/>
    <x v="0"/>
    <m/>
    <x v="0"/>
    <b v="0"/>
    <s v="No está en VPC"/>
    <n v="718"/>
    <s v="INTPG-VPC_MGMT-20116_718_1.47_717_1.48"/>
    <s v="ISEL-1.47"/>
    <n v="3"/>
    <s v="NO TIENE L3OUT"/>
    <n v="0"/>
    <n v="54"/>
  </r>
  <r>
    <n v="744"/>
    <x v="2"/>
    <x v="131"/>
    <s v="eth1/47"/>
    <x v="0"/>
    <x v="0"/>
    <x v="0"/>
    <m/>
    <x v="0"/>
    <b v="0"/>
    <s v="No está en VPC"/>
    <n v="744"/>
    <s v="INTPG_VPC_MGMT_10312_744_1.47_743_1.48"/>
    <s v="ISEL-1.47"/>
    <n v="4"/>
    <s v="NO TIENE L3OUT"/>
    <n v="4"/>
    <n v="54"/>
  </r>
  <r>
    <n v="741"/>
    <x v="2"/>
    <x v="132"/>
    <s v="eth1/47"/>
    <x v="0"/>
    <x v="1"/>
    <x v="1"/>
    <m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47"/>
    <x v="0"/>
    <x v="0"/>
    <x v="0"/>
    <s v="ENIQ F2"/>
    <x v="0"/>
    <b v="0"/>
    <s v="No está en VPC"/>
    <n v="787"/>
    <s v="INTPG_VPC_MGMT_20412_787_1.47_786_1.48"/>
    <s v="ISEL-1.47"/>
    <n v="17"/>
    <s v="NO TIENE L3OUT"/>
    <n v="26"/>
    <n v="54"/>
  </r>
  <r>
    <n v="750"/>
    <x v="2"/>
    <x v="134"/>
    <s v="eth1/47"/>
    <x v="0"/>
    <x v="0"/>
    <x v="0"/>
    <m/>
    <x v="0"/>
    <b v="0"/>
    <s v="No está en VPC"/>
    <n v="750"/>
    <s v="INTPG_VPC_MGMT_10411_750_1.47_751_1.48"/>
    <s v="ISEL-1.47"/>
    <n v="4"/>
    <s v="NO TIENE L3OUT"/>
    <n v="2"/>
    <n v="54"/>
  </r>
  <r>
    <n v="792"/>
    <x v="2"/>
    <x v="135"/>
    <s v="eth1/47"/>
    <x v="0"/>
    <x v="0"/>
    <x v="0"/>
    <s v="CRM_CBS"/>
    <x v="0"/>
    <b v="0"/>
    <s v="No está en VPC"/>
    <n v="792"/>
    <s v="INTPG_VPC_MGMT_10403_792_1.47_757_1.48"/>
    <s v="ISEL-1.47"/>
    <n v="4"/>
    <s v="NO TIENE L3OUT"/>
    <n v="0"/>
    <n v="54"/>
  </r>
  <r>
    <n v="736"/>
    <x v="2"/>
    <x v="136"/>
    <s v="eth1/47"/>
    <x v="0"/>
    <x v="1"/>
    <x v="3"/>
    <m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47"/>
    <x v="0"/>
    <x v="0"/>
    <x v="0"/>
    <s v="LINK_HACIA_MGMT"/>
    <x v="0"/>
    <b v="0"/>
    <s v="No está en VPC"/>
    <n v="799"/>
    <s v="INTPG_VPC_MGMT_10507_799_1.47_798_1.48"/>
    <s v="ISEL-1.47"/>
    <n v="6"/>
    <s v="NO TIENE L3OUT"/>
    <n v="52"/>
    <n v="54"/>
  </r>
  <r>
    <n v="768"/>
    <x v="2"/>
    <x v="138"/>
    <s v="eth1/47"/>
    <x v="0"/>
    <x v="0"/>
    <x v="0"/>
    <s v="MGMT OSS POD3"/>
    <x v="0"/>
    <b v="0"/>
    <s v="No está en VPC"/>
    <n v="768"/>
    <s v="INTPG_VPC_MGMT_20313_768_1.47_767_1.48"/>
    <s v="ISEL-1.47"/>
    <n v="8"/>
    <s v="NO TIENE L3OUT"/>
    <n v="62"/>
    <n v="54"/>
  </r>
  <r>
    <n v="714"/>
    <x v="2"/>
    <x v="139"/>
    <s v="eth1/47"/>
    <x v="0"/>
    <x v="0"/>
    <x v="0"/>
    <m/>
    <x v="0"/>
    <b v="0"/>
    <s v="No está en VPC"/>
    <n v="714"/>
    <s v="INTPG-VPC_MGMT-20110_714_1.47_721_1.48"/>
    <s v="ISEL-1.47"/>
    <n v="3"/>
    <s v="NO TIENE L3OUT"/>
    <n v="20"/>
    <n v="54"/>
  </r>
  <r>
    <n v="717"/>
    <x v="2"/>
    <x v="140"/>
    <s v="eth1/47"/>
    <x v="0"/>
    <x v="0"/>
    <x v="0"/>
    <m/>
    <x v="0"/>
    <b v="0"/>
    <s v="No está en VPC"/>
    <n v="717"/>
    <s v="INTPG-VPC_MGMT-20115_717_1.47_718_1.48"/>
    <s v="ISEL-1.47"/>
    <n v="3"/>
    <s v="NO TIENE L3OUT"/>
    <n v="0"/>
    <n v="54"/>
  </r>
  <r>
    <n v="789"/>
    <x v="2"/>
    <x v="141"/>
    <s v="eth1/47"/>
    <x v="0"/>
    <x v="0"/>
    <x v="0"/>
    <s v="TAISHAN"/>
    <x v="0"/>
    <b v="0"/>
    <s v="No está en VPC"/>
    <n v="789"/>
    <s v="INTPG_VPC_MGMT_10206_789_1.47_788_1.48"/>
    <s v="ISEL-1.47"/>
    <n v="1"/>
    <s v="NO TIENE L3OUT"/>
    <n v="0"/>
    <n v="54"/>
  </r>
  <r>
    <n v="764"/>
    <x v="2"/>
    <x v="142"/>
    <s v="eth1/47"/>
    <x v="0"/>
    <x v="0"/>
    <x v="0"/>
    <s v="MGMT OSS POD3"/>
    <x v="0"/>
    <b v="0"/>
    <s v="No está en VPC"/>
    <n v="764"/>
    <s v="INTPG_VPC_MGMT_20319_764_1.47_769_1.48"/>
    <s v="ISEL-1.47"/>
    <n v="13"/>
    <s v="NO TIENE L3OUT"/>
    <n v="62"/>
    <n v="54"/>
  </r>
  <r>
    <n v="783"/>
    <x v="2"/>
    <x v="143"/>
    <s v="eth1/47"/>
    <x v="0"/>
    <x v="0"/>
    <x v="0"/>
    <s v="ENIQ F2"/>
    <x v="0"/>
    <b v="0"/>
    <s v="No está en VPC"/>
    <n v="783"/>
    <s v="INTPG_VPC_MGMT_20310_783_1.47_782_1.48"/>
    <s v="ISEL-1.47"/>
    <n v="9"/>
    <s v="NO TIENE L3OUT"/>
    <n v="26"/>
    <n v="54"/>
  </r>
  <r>
    <n v="774"/>
    <x v="2"/>
    <x v="144"/>
    <s v="eth1/47"/>
    <x v="0"/>
    <x v="0"/>
    <x v="0"/>
    <s v="MGMT CLOUD II"/>
    <x v="0"/>
    <b v="0"/>
    <s v="No está en VPC"/>
    <n v="774"/>
    <s v="INTPG_VPC_MGMT_20104_774_1.47_775_1.48"/>
    <s v="ISEL-1.47"/>
    <n v="4"/>
    <s v="NO TIENE L3OUT"/>
    <n v="0"/>
    <n v="54"/>
  </r>
  <r>
    <n v="773"/>
    <x v="2"/>
    <x v="145"/>
    <s v="eth1/47"/>
    <x v="0"/>
    <x v="0"/>
    <x v="0"/>
    <s v="MGMT OSS POD3"/>
    <x v="0"/>
    <b v="0"/>
    <s v="No está en VPC"/>
    <n v="773"/>
    <s v="INTPG_VPC_MGMT_20413_773_1.47_772_1.48"/>
    <s v="ISEL-1.47"/>
    <n v="5"/>
    <s v="NO TIENE L3OUT"/>
    <n v="78"/>
    <n v="54"/>
  </r>
  <r>
    <n v="794"/>
    <x v="2"/>
    <x v="146"/>
    <s v="eth1/47"/>
    <x v="0"/>
    <x v="0"/>
    <x v="0"/>
    <s v="LINK_HACIA_MGMT"/>
    <x v="0"/>
    <b v="0"/>
    <s v="No está en VPC"/>
    <n v="794"/>
    <s v="INTPG_VPC_MGMT_20713_794_1.47_793_1.48"/>
    <s v="ISEL-1.47"/>
    <n v="5"/>
    <s v="NO TIENE L3OUT"/>
    <n v="12"/>
    <n v="54"/>
  </r>
  <r>
    <n v="803"/>
    <x v="2"/>
    <x v="147"/>
    <s v="eth1/47"/>
    <x v="0"/>
    <x v="0"/>
    <x v="0"/>
    <s v="LINK_HACIA_MGMT"/>
    <x v="0"/>
    <b v="0"/>
    <s v="No está en VPC"/>
    <n v="803"/>
    <s v="INTPG_VPC_MGMT_10605_803_1.47_804_1.48"/>
    <s v="ISEL-1.47"/>
    <n v="4"/>
    <s v="NO TIENE L3OUT"/>
    <n v="48"/>
    <n v="54"/>
  </r>
  <r>
    <n v="786"/>
    <x v="2"/>
    <x v="148"/>
    <s v="eth1/47"/>
    <x v="0"/>
    <x v="0"/>
    <x v="0"/>
    <s v="ENIQ F2"/>
    <x v="0"/>
    <b v="0"/>
    <s v="No está en VPC"/>
    <n v="786"/>
    <s v="INTPG_VPC_MGMT_20410_786_1.47_787_1.48"/>
    <s v="ISEL-1.47"/>
    <n v="16"/>
    <s v="NO TIENE L3OUT"/>
    <n v="26"/>
    <n v="54"/>
  </r>
  <r>
    <n v="757"/>
    <x v="2"/>
    <x v="149"/>
    <s v="eth1/47"/>
    <x v="0"/>
    <x v="0"/>
    <x v="0"/>
    <s v="CRM_CBS"/>
    <x v="0"/>
    <b v="0"/>
    <s v="No está en VPC"/>
    <n v="757"/>
    <s v="INTPG_VPC_MGMT_10406_757_1.47_792_1.48"/>
    <s v="ISEL-1.47"/>
    <n v="4"/>
    <s v="NO TIENE L3OUT"/>
    <n v="0"/>
    <n v="54"/>
  </r>
  <r>
    <n v="781"/>
    <x v="2"/>
    <x v="150"/>
    <s v="eth1/47"/>
    <x v="0"/>
    <x v="0"/>
    <x v="0"/>
    <s v="ENIQ F2"/>
    <x v="0"/>
    <b v="0"/>
    <s v="No está en VPC"/>
    <n v="781"/>
    <s v="INTPG_VPC_MGMT_20307_781_1.47_780_1.48"/>
    <s v="ISEL-1.47"/>
    <n v="8"/>
    <s v="NO TIENE L3OUT"/>
    <n v="26"/>
    <n v="54"/>
  </r>
  <r>
    <n v="793"/>
    <x v="2"/>
    <x v="151"/>
    <s v="eth1/47"/>
    <x v="0"/>
    <x v="0"/>
    <x v="0"/>
    <s v="LINK_HACIA_MGMT"/>
    <x v="0"/>
    <b v="0"/>
    <s v="No está en VPC"/>
    <n v="793"/>
    <s v="INTPG_VPC_MGMT_20712_793_1.47_794_1.48"/>
    <s v="ISEL-1.47"/>
    <n v="6"/>
    <s v="NO TIENE L3OUT"/>
    <n v="12"/>
    <n v="54"/>
  </r>
  <r>
    <n v="747"/>
    <x v="2"/>
    <x v="152"/>
    <s v="eth1/47"/>
    <x v="0"/>
    <x v="0"/>
    <x v="0"/>
    <m/>
    <x v="0"/>
    <b v="0"/>
    <s v="No está en VPC"/>
    <n v="747"/>
    <s v="INTPG_VPC_MGMT_10307_747_1.47_752_1.48"/>
    <s v="ISEL-1.47"/>
    <n v="5"/>
    <s v="NO TIENE L3OUT"/>
    <n v="0"/>
    <n v="54"/>
  </r>
  <r>
    <n v="784"/>
    <x v="2"/>
    <x v="153"/>
    <s v="eth1/47"/>
    <x v="0"/>
    <x v="0"/>
    <x v="0"/>
    <s v="ENIQ F2"/>
    <x v="0"/>
    <b v="0"/>
    <s v="No está en VPC"/>
    <n v="784"/>
    <s v="INTPG_VPC_MGMT_20407_784_1.47_785_1.48"/>
    <s v="ISEL-1.47"/>
    <n v="12"/>
    <s v="NO TIENE L3OUT"/>
    <n v="26"/>
    <n v="54"/>
  </r>
  <r>
    <n v="806"/>
    <x v="2"/>
    <x v="154"/>
    <s v="eth1/47"/>
    <x v="0"/>
    <x v="0"/>
    <x v="0"/>
    <s v="LINK_HACIA_MGMT"/>
    <x v="0"/>
    <b v="0"/>
    <s v="No está en VPC"/>
    <n v="806"/>
    <s v="INTPG_VPC_MGMT_10611_806_1.47_805_1.48"/>
    <s v="ISEL-1.47"/>
    <n v="6"/>
    <s v="NO TIENE L3OUT"/>
    <n v="44"/>
    <n v="54"/>
  </r>
  <r>
    <n v="777"/>
    <x v="2"/>
    <x v="155"/>
    <s v="eth1/47"/>
    <x v="0"/>
    <x v="0"/>
    <x v="0"/>
    <s v="MGMT CLOUD II"/>
    <x v="0"/>
    <b v="0"/>
    <s v="No está en VPC"/>
    <n v="777"/>
    <s v="INTPG_VPC_MGMT_20109_777_1.47_776_1.48"/>
    <s v="ISEL-1.47"/>
    <n v="3"/>
    <s v="NO TIENE L3OUT"/>
    <n v="0"/>
    <n v="54"/>
  </r>
  <r>
    <n v="770"/>
    <x v="2"/>
    <x v="156"/>
    <s v="eth1/47"/>
    <x v="0"/>
    <x v="0"/>
    <x v="0"/>
    <s v="MGMT OSS POD3"/>
    <x v="0"/>
    <b v="0"/>
    <s v="No está en VPC"/>
    <n v="770"/>
    <s v="INTPG_VPC_MGMT_20418_770_1.47_771_1.48"/>
    <s v="ISEL-1.47"/>
    <n v="10"/>
    <s v="NO TIENE L3OUT"/>
    <n v="60"/>
    <n v="54"/>
  </r>
  <r>
    <n v="813"/>
    <x v="2"/>
    <x v="157"/>
    <s v="eth1/47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47"/>
    <x v="0"/>
    <x v="1"/>
    <x v="1"/>
    <m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47"/>
    <x v="0"/>
    <x v="0"/>
    <x v="0"/>
    <s v="MGMT CLOUD II"/>
    <x v="0"/>
    <b v="0"/>
    <s v="No está en VPC"/>
    <n v="775"/>
    <s v="INTPG_VPC_MGMT_20105_775_1.47_774_1.48"/>
    <s v="ISEL-1.47"/>
    <n v="4"/>
    <s v="NO TIENE L3OUT"/>
    <n v="0"/>
    <n v="54"/>
  </r>
  <r>
    <n v="791"/>
    <x v="2"/>
    <x v="160"/>
    <s v="eth1/47"/>
    <x v="0"/>
    <x v="0"/>
    <x v="0"/>
    <s v="TAISHAN_POD7"/>
    <x v="0"/>
    <b v="0"/>
    <s v="No está en VPC"/>
    <n v="791"/>
    <s v="INTPG_VPC_MGMT_20816_791_1.47_790_1.48"/>
    <s v="ISEL-1.47"/>
    <n v="7"/>
    <s v="NO TIENE L3OUT"/>
    <n v="20"/>
    <n v="54"/>
  </r>
  <r>
    <n v="808"/>
    <x v="2"/>
    <x v="161"/>
    <s v="eth1/47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47"/>
    <x v="0"/>
    <x v="0"/>
    <x v="0"/>
    <s v="LINK_HACIA_MGMT"/>
    <x v="0"/>
    <b v="0"/>
    <s v="No está en VPC"/>
    <n v="830"/>
    <s v="INTPG_VPC_MGMT_11418_830_1.47_826_1.48"/>
    <s v="ISEL-1.47"/>
    <n v="5"/>
    <s v="NO TIENE L3OUT"/>
    <n v="12"/>
    <n v="54"/>
  </r>
  <r>
    <n v="821"/>
    <x v="2"/>
    <x v="163"/>
    <s v="eth1/47"/>
    <x v="0"/>
    <x v="0"/>
    <x v="0"/>
    <s v="LINK_HACIA_MGMT"/>
    <x v="0"/>
    <b v="0"/>
    <s v="No está en VPC"/>
    <n v="821"/>
    <s v="INTPG_VPC_MGMT_11018_821_1.47_816_1.48"/>
    <s v="ISEL-1.47"/>
    <n v="4"/>
    <s v="NO TIENE L3OUT"/>
    <n v="0"/>
    <n v="54"/>
  </r>
  <r>
    <n v="738"/>
    <x v="2"/>
    <x v="164"/>
    <s v="eth1/47"/>
    <x v="0"/>
    <x v="1"/>
    <x v="1"/>
    <m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47"/>
    <x v="0"/>
    <x v="1"/>
    <x v="3"/>
    <m/>
    <x v="0"/>
    <b v="0"/>
    <s v="No está en VPC"/>
    <n v="820"/>
    <s v="NO EXISTE PG"/>
    <s v="NO EXISTE ISEL"/>
    <n v="0"/>
    <s v="NO TIENE L3OUT"/>
    <n v="72"/>
    <n v="54"/>
  </r>
  <r>
    <n v="804"/>
    <x v="2"/>
    <x v="166"/>
    <s v="eth1/47"/>
    <x v="0"/>
    <x v="0"/>
    <x v="0"/>
    <s v="LINK_HACIA_MGMT"/>
    <x v="0"/>
    <b v="0"/>
    <s v="No está en VPC"/>
    <n v="804"/>
    <s v="INTPG_VPC_MGMT_10607_804_1.47_803_1.48"/>
    <s v="ISEL-1.47"/>
    <n v="5"/>
    <s v="NO TIENE L3OUT"/>
    <n v="48"/>
    <n v="54"/>
  </r>
  <r>
    <n v="779"/>
    <x v="2"/>
    <x v="167"/>
    <s v="eth1/47"/>
    <x v="0"/>
    <x v="0"/>
    <x v="0"/>
    <m/>
    <x v="0"/>
    <b v="0"/>
    <s v="No está en VPC"/>
    <n v="779"/>
    <s v="INTPG_VPC_MGMT_20208_779_1.47_778_1.48"/>
    <s v="ISEL-1.47"/>
    <n v="11"/>
    <s v="NO TIENE L3OUT"/>
    <n v="30"/>
    <n v="54"/>
  </r>
  <r>
    <n v="767"/>
    <x v="2"/>
    <x v="168"/>
    <s v="eth1/47"/>
    <x v="0"/>
    <x v="0"/>
    <x v="0"/>
    <s v="MGMT OSS POD3"/>
    <x v="0"/>
    <b v="0"/>
    <s v="No está en VPC"/>
    <n v="767"/>
    <s v="INTPG_VPC_MGMT_20314_767_1.47_768_1.48"/>
    <s v="ISEL-1.47"/>
    <n v="9"/>
    <s v="NO TIENE L3OUT"/>
    <n v="60"/>
    <n v="54"/>
  </r>
  <r>
    <n v="827"/>
    <x v="2"/>
    <x v="169"/>
    <s v="eth1/47"/>
    <x v="0"/>
    <x v="0"/>
    <x v="0"/>
    <s v="To_ITHFHWCRMDLCN40_Principal"/>
    <x v="0"/>
    <b v="0"/>
    <s v="No está en VPC"/>
    <n v="827"/>
    <s v="INTPG_ACC_827_1.47"/>
    <s v="ISEL-1.47"/>
    <n v="2"/>
    <s v="NO TIENE L3OUT"/>
    <n v="14"/>
    <n v="54"/>
  </r>
  <r>
    <n v="809"/>
    <x v="2"/>
    <x v="170"/>
    <s v="eth1/47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47"/>
    <x v="0"/>
    <x v="0"/>
    <x v="0"/>
    <s v="MGMT OSS POD3"/>
    <x v="0"/>
    <b v="0"/>
    <s v="No está en VPC"/>
    <n v="771"/>
    <s v="INTPG_VPC_MGMT_20416_771_1.47_770_1.48"/>
    <s v="ISEL-1.47"/>
    <n v="11"/>
    <s v="NO TIENE L3OUT"/>
    <n v="62"/>
    <n v="54"/>
  </r>
  <r>
    <n v="761"/>
    <x v="2"/>
    <x v="172"/>
    <s v="eth1/47"/>
    <x v="0"/>
    <x v="0"/>
    <x v="0"/>
    <s v="METASAN"/>
    <x v="0"/>
    <b v="0"/>
    <s v="No está en VPC"/>
    <n v="761"/>
    <s v="INTPG_VPC_MGMT_10817_761_1.47_760_1.48"/>
    <s v="ISEL-1.47"/>
    <n v="11"/>
    <s v="NO TIENE L3OUT"/>
    <n v="0"/>
    <n v="54"/>
  </r>
  <r>
    <n v="776"/>
    <x v="2"/>
    <x v="173"/>
    <s v="eth1/47"/>
    <x v="0"/>
    <x v="0"/>
    <x v="0"/>
    <s v="MGMT CLOUD II"/>
    <x v="0"/>
    <b v="0"/>
    <s v="No está en VPC"/>
    <n v="776"/>
    <s v="INTPG_VPC_MGMT_20107_776_1.47_777_1.48"/>
    <s v="ISEL-1.47"/>
    <n v="4"/>
    <s v="NO TIENE L3OUT"/>
    <n v="0"/>
    <n v="54"/>
  </r>
  <r>
    <n v="805"/>
    <x v="2"/>
    <x v="174"/>
    <s v="eth1/47"/>
    <x v="0"/>
    <x v="0"/>
    <x v="0"/>
    <s v="LINK_HACIA_MGMT"/>
    <x v="0"/>
    <b v="0"/>
    <s v="No está en VPC"/>
    <n v="805"/>
    <s v="INTPG_VPC_MGMT_10609_805_1.47_806_1.48"/>
    <s v="ISEL-1.47"/>
    <n v="5"/>
    <s v="NO TIENE L3OUT"/>
    <n v="44"/>
    <n v="54"/>
  </r>
  <r>
    <n v="772"/>
    <x v="2"/>
    <x v="175"/>
    <s v="eth1/47"/>
    <x v="0"/>
    <x v="0"/>
    <x v="0"/>
    <s v="MGMT OSS POD3"/>
    <x v="0"/>
    <b v="0"/>
    <s v="No está en VPC"/>
    <n v="772"/>
    <s v="INTPG_VPC_MGMT_20414_772_1.47_773_1.48"/>
    <s v="ISEL-1.47"/>
    <n v="6"/>
    <s v="NO TIENE L3OUT"/>
    <n v="82"/>
    <n v="54"/>
  </r>
  <r>
    <n v="785"/>
    <x v="2"/>
    <x v="176"/>
    <s v="eth1/47"/>
    <x v="0"/>
    <x v="0"/>
    <x v="0"/>
    <s v="ENIQ F2"/>
    <x v="0"/>
    <b v="0"/>
    <s v="No está en VPC"/>
    <n v="785"/>
    <s v="INTPG_VPC_MGMT_20409_785_1.47_784_1.48"/>
    <s v="ISEL-1.47"/>
    <n v="8"/>
    <s v="NO TIENE L3OUT"/>
    <n v="32"/>
    <n v="54"/>
  </r>
  <r>
    <n v="851"/>
    <x v="2"/>
    <x v="177"/>
    <s v="eth1/47"/>
    <x v="0"/>
    <x v="0"/>
    <x v="0"/>
    <s v="LINK_HACIA_MGMT"/>
    <x v="0"/>
    <b v="0"/>
    <s v="No está en VPC"/>
    <n v="851"/>
    <s v="INTPG_VPC_MGMT_11018_851_1.47_844_1.48"/>
    <s v="ISEL-1.47"/>
    <n v="2"/>
    <s v="NO TIENE L3OUT"/>
    <n v="282"/>
    <n v="54"/>
  </r>
  <r>
    <n v="798"/>
    <x v="2"/>
    <x v="178"/>
    <s v="eth1/47"/>
    <x v="0"/>
    <x v="0"/>
    <x v="0"/>
    <s v="LINK_HACIA_MGMT"/>
    <x v="0"/>
    <b v="0"/>
    <s v="No está en VPC"/>
    <n v="798"/>
    <s v="INTPG_VPC_MGMT_10506_798_1.47_799_1.48"/>
    <s v="ISEL-1.47"/>
    <n v="5"/>
    <s v="NO TIENE L3OUT"/>
    <n v="52"/>
    <n v="54"/>
  </r>
  <r>
    <n v="782"/>
    <x v="2"/>
    <x v="179"/>
    <s v="eth1/47"/>
    <x v="0"/>
    <x v="0"/>
    <x v="0"/>
    <s v="ENIQ F2"/>
    <x v="0"/>
    <b v="0"/>
    <s v="No está en VPC"/>
    <n v="782"/>
    <s v="INTPG_VPC_MGMT_20309_782_1.47_783_1.48"/>
    <s v="ISEL-1.47"/>
    <n v="9"/>
    <s v="NO TIENE L3OUT"/>
    <n v="32"/>
    <n v="54"/>
  </r>
  <r>
    <n v="852"/>
    <x v="2"/>
    <x v="180"/>
    <s v="eth1/47"/>
    <x v="0"/>
    <x v="0"/>
    <x v="0"/>
    <s v="LINK_TO_ITHFHWCRMPLCN99 / Slot7.3_30 / Redundante"/>
    <x v="0"/>
    <b v="0"/>
    <s v="No está en VPC"/>
    <n v="852"/>
    <s v="INTPG_ACC_852_1.47"/>
    <s v="ISEL-1.47"/>
    <n v="1"/>
    <s v="NO TIENE L3OUT"/>
    <n v="258"/>
    <n v="54"/>
  </r>
  <r>
    <n v="817"/>
    <x v="2"/>
    <x v="181"/>
    <s v="eth1/47"/>
    <x v="0"/>
    <x v="0"/>
    <x v="0"/>
    <s v="LINK_TO_ITHFHWCBSPSWR29 /10GE.1 /Principal"/>
    <x v="0"/>
    <b v="0"/>
    <s v="No está en VPC"/>
    <n v="817"/>
    <s v="INTPG_VPC_817_1.47_822_1.47"/>
    <s v="ISEL-1.47"/>
    <n v="1"/>
    <s v="NO TIENE L3OUT"/>
    <n v="0"/>
    <n v="54"/>
  </r>
  <r>
    <n v="832"/>
    <x v="2"/>
    <x v="182"/>
    <s v="eth1/47"/>
    <x v="0"/>
    <x v="0"/>
    <x v="0"/>
    <s v="To_ITHFHWCRMDLCN42_Redundante"/>
    <x v="0"/>
    <b v="0"/>
    <s v="No está en VPC"/>
    <n v="832"/>
    <s v="INTPG_ACC_832_1.47"/>
    <s v="ISEL-1.47"/>
    <n v="1"/>
    <s v="NO TIENE L3OUT"/>
    <n v="192"/>
    <n v="54"/>
  </r>
  <r>
    <n v="816"/>
    <x v="2"/>
    <x v="183"/>
    <s v="eth1/47"/>
    <x v="0"/>
    <x v="0"/>
    <x v="0"/>
    <s v="LINK_HACIA_MGMT"/>
    <x v="0"/>
    <b v="0"/>
    <s v="No está en VPC"/>
    <n v="816"/>
    <s v="INTPG_VPC_MGMT_10918_816_1.47_821_1.48"/>
    <s v="ISEL-1.47"/>
    <n v="4"/>
    <s v="NO TIENE L3OUT"/>
    <n v="0"/>
    <n v="54"/>
  </r>
  <r>
    <n v="825"/>
    <x v="2"/>
    <x v="184"/>
    <s v="eth1/47"/>
    <x v="0"/>
    <x v="1"/>
    <x v="3"/>
    <m/>
    <x v="0"/>
    <b v="0"/>
    <s v="No está en VPC"/>
    <n v="825"/>
    <s v="NO EXISTE PG"/>
    <s v="NO EXISTE ISEL"/>
    <n v="0"/>
    <s v="NO TIENE L3OUT"/>
    <n v="72"/>
    <n v="54"/>
  </r>
  <r>
    <n v="800"/>
    <x v="2"/>
    <x v="185"/>
    <s v="eth1/47"/>
    <x v="0"/>
    <x v="0"/>
    <x v="0"/>
    <s v="LINK_HACIA_MGMT"/>
    <x v="0"/>
    <b v="0"/>
    <s v="No está en VPC"/>
    <n v="800"/>
    <s v="INTPG_VPC_MGMT_10510_800_1.47_801_1.48"/>
    <s v="ISEL-1.47"/>
    <n v="6"/>
    <s v="NO TIENE L3OUT"/>
    <n v="78"/>
    <n v="54"/>
  </r>
  <r>
    <n v="801"/>
    <x v="2"/>
    <x v="186"/>
    <s v="eth1/47"/>
    <x v="0"/>
    <x v="0"/>
    <x v="0"/>
    <s v="LINK_HACIA_MGMT"/>
    <x v="0"/>
    <b v="0"/>
    <s v="No está en VPC"/>
    <n v="801"/>
    <s v="INTPG_VPC_MGMT_10513_801_1.47_800_1.48"/>
    <s v="ISEL-1.47"/>
    <n v="6"/>
    <s v="NO TIENE L3OUT"/>
    <n v="78"/>
    <n v="54"/>
  </r>
  <r>
    <n v="823"/>
    <x v="2"/>
    <x v="187"/>
    <s v="eth1/47"/>
    <x v="0"/>
    <x v="1"/>
    <x v="3"/>
    <m/>
    <x v="0"/>
    <b v="0"/>
    <s v="No está en VPC"/>
    <n v="823"/>
    <s v="NO EXISTE PG"/>
    <s v="NO EXISTE ISEL"/>
    <n v="0"/>
    <s v="NO TIENE L3OUT"/>
    <n v="8"/>
    <n v="54"/>
  </r>
  <r>
    <n v="837"/>
    <x v="2"/>
    <x v="188"/>
    <s v="eth1/47"/>
    <x v="0"/>
    <x v="0"/>
    <x v="0"/>
    <s v="LINK_To_ITHFHWCBSPSHD23 / Slot1.3_22 / Principal"/>
    <x v="0"/>
    <b v="0"/>
    <s v="No está en VPC"/>
    <n v="837"/>
    <s v="INTPG_VPC_837_1.47_842_1.47"/>
    <s v="ISEL-1.47"/>
    <n v="1"/>
    <s v="NO TIENE L3OUT"/>
    <n v="8"/>
    <n v="54"/>
  </r>
  <r>
    <n v="867"/>
    <x v="2"/>
    <x v="189"/>
    <s v="eth1/47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47"/>
    <x v="0"/>
    <x v="0"/>
    <x v="0"/>
    <s v="To_VPC_2DCRMD_SBD06_3_Principal"/>
    <x v="0"/>
    <b v="0"/>
    <s v="No está en VPC"/>
    <n v="829"/>
    <s v="INTPG_VPC_829_1.47_833_1.47"/>
    <s v="ISEL-1.47"/>
    <n v="1"/>
    <s v="NO TIENE L3OUT"/>
    <n v="224"/>
    <n v="54"/>
  </r>
  <r>
    <n v="831"/>
    <x v="2"/>
    <x v="191"/>
    <s v="eth1/47"/>
    <x v="0"/>
    <x v="0"/>
    <x v="0"/>
    <s v="To_ITHFHWCRMDLCN40_Redundante"/>
    <x v="0"/>
    <b v="0"/>
    <s v="No está en VPC"/>
    <n v="831"/>
    <s v="INTPG_ACC_831_1.47"/>
    <s v="ISEL-1.47"/>
    <n v="2"/>
    <s v="NO TIENE L3OUT"/>
    <n v="14"/>
    <n v="54"/>
  </r>
  <r>
    <n v="802"/>
    <x v="2"/>
    <x v="192"/>
    <s v="eth1/47"/>
    <x v="0"/>
    <x v="0"/>
    <x v="0"/>
    <s v="LINK_HACIA_MGMT"/>
    <x v="0"/>
    <b v="0"/>
    <s v="No está en VPC"/>
    <n v="802"/>
    <s v="INTPG_VPC_MGMT_10604_802_1.47_797_1.48"/>
    <s v="ISEL-1.47"/>
    <n v="4"/>
    <s v="NO TIENE L3OUT"/>
    <n v="48"/>
    <n v="54"/>
  </r>
  <r>
    <n v="835"/>
    <x v="2"/>
    <x v="193"/>
    <s v="eth1/47"/>
    <x v="0"/>
    <x v="0"/>
    <x v="0"/>
    <s v="LINK_TO_ITHFHWCBSPSUSBD31 / Slot1.1_4 / Principal"/>
    <x v="0"/>
    <b v="0"/>
    <s v="No está en VPC"/>
    <n v="835"/>
    <s v="INTPG_VPC_835_1.47_840_1.47"/>
    <s v="ISEL-1.47"/>
    <n v="2"/>
    <s v="NO TIENE L3OUT"/>
    <n v="8"/>
    <n v="54"/>
  </r>
  <r>
    <n v="822"/>
    <x v="2"/>
    <x v="194"/>
    <s v="eth1/47"/>
    <x v="0"/>
    <x v="0"/>
    <x v="0"/>
    <s v="LINK_TO_ITHFHWCBSPSWR29 /Slot5.1 /Redundante"/>
    <x v="0"/>
    <b v="0"/>
    <s v="No está en VPC"/>
    <n v="822"/>
    <s v="INTPG_VPC_817_1.47_822_1.47"/>
    <s v="ISEL-1.47"/>
    <n v="1"/>
    <s v="NO TIENE L3OUT"/>
    <n v="0"/>
    <n v="54"/>
  </r>
  <r>
    <n v="854"/>
    <x v="2"/>
    <x v="195"/>
    <s v="eth1/47"/>
    <x v="0"/>
    <x v="0"/>
    <x v="0"/>
    <s v="LINK_TO_ITHFHWCRMPLCN154 / Slot1.1_10 / Principal"/>
    <x v="0"/>
    <b v="0"/>
    <s v="No está en VPC"/>
    <n v="854"/>
    <s v="INTPG_ACC_854_1.47"/>
    <s v="ISEL-1.47"/>
    <n v="6"/>
    <s v="NO TIENE L3OUT"/>
    <n v="204"/>
    <n v="54"/>
  </r>
  <r>
    <n v="858"/>
    <x v="2"/>
    <x v="196"/>
    <s v="eth1/47"/>
    <x v="0"/>
    <x v="0"/>
    <x v="0"/>
    <s v="LINK_HACIA_MGMT"/>
    <x v="0"/>
    <b v="0"/>
    <s v="No está en VPC"/>
    <n v="858"/>
    <s v="INTPG_VPC_MGMT_21319_858_1.47_863_1.48"/>
    <s v="ISEL-1.47"/>
    <n v="5"/>
    <s v="NO TIENE L3OUT"/>
    <n v="8"/>
    <n v="54"/>
  </r>
  <r>
    <n v="857"/>
    <x v="2"/>
    <x v="197"/>
    <s v="eth1/47"/>
    <x v="0"/>
    <x v="0"/>
    <x v="0"/>
    <s v="LINKT_TO_ITHFHWCRMPLCN131 / Slot1.1_32 / Principal"/>
    <x v="0"/>
    <b v="0"/>
    <s v="No está en VPC"/>
    <n v="857"/>
    <s v="INTPG_ACC_857_1.47"/>
    <s v="ISEL-1.47"/>
    <n v="6"/>
    <s v="NO TIENE L3OUT"/>
    <n v="288"/>
    <n v="54"/>
  </r>
  <r>
    <n v="859"/>
    <x v="2"/>
    <x v="198"/>
    <s v="eth1/47"/>
    <x v="0"/>
    <x v="0"/>
    <x v="0"/>
    <s v="To_VPC_2DCBSD_WR51_2"/>
    <x v="0"/>
    <b v="0"/>
    <s v="No está en VPC"/>
    <n v="859"/>
    <s v="INTPG_VPC_859_1.47_864_1.47"/>
    <s v="ISEL-1.47"/>
    <n v="1"/>
    <s v="NO TIENE L3OUT"/>
    <n v="0"/>
    <n v="54"/>
  </r>
  <r>
    <n v="833"/>
    <x v="2"/>
    <x v="199"/>
    <s v="eth1/47"/>
    <x v="0"/>
    <x v="0"/>
    <x v="0"/>
    <s v="To_VPC_2DCRMD_SBD06_3_Redundancia"/>
    <x v="0"/>
    <b v="0"/>
    <s v="No está en VPC"/>
    <n v="833"/>
    <s v="INTPG_VPC_829_1.47_833_1.47"/>
    <s v="ISEL-1.47"/>
    <n v="1"/>
    <s v="NO TIENE L3OUT"/>
    <n v="224"/>
    <n v="54"/>
  </r>
  <r>
    <n v="818"/>
    <x v="2"/>
    <x v="200"/>
    <s v="eth1/47"/>
    <x v="0"/>
    <x v="1"/>
    <x v="3"/>
    <m/>
    <x v="0"/>
    <b v="0"/>
    <s v="No está en VPC"/>
    <n v="818"/>
    <s v="NO EXISTE PG"/>
    <s v="NO EXISTE ISEL"/>
    <n v="0"/>
    <s v="NO TIENE L3OUT"/>
    <n v="8"/>
    <n v="54"/>
  </r>
  <r>
    <n v="850"/>
    <x v="2"/>
    <x v="201"/>
    <s v="eth1/47"/>
    <x v="0"/>
    <x v="0"/>
    <x v="0"/>
    <s v="LINKT_TO_ITHFHWCRMPLCN131 / Slot7.1_32 / Redundante"/>
    <x v="0"/>
    <b v="0"/>
    <s v="No está en VPC"/>
    <n v="850"/>
    <s v="INTPG_ACC_850_1.47"/>
    <s v="ISEL-1.47"/>
    <n v="6"/>
    <s v="NO TIENE L3OUT"/>
    <n v="288"/>
    <n v="54"/>
  </r>
  <r>
    <n v="860"/>
    <x v="2"/>
    <x v="202"/>
    <s v="eth1/47"/>
    <x v="0"/>
    <x v="0"/>
    <x v="0"/>
    <s v="To_VPC_2DCBSD_WR41_2"/>
    <x v="0"/>
    <b v="0"/>
    <s v="No está en VPC"/>
    <n v="860"/>
    <s v="INTPG_VPC_860_1.47_865_1.47"/>
    <s v="ISEL-1.47"/>
    <n v="1"/>
    <s v="NO TIENE L3OUT"/>
    <n v="0"/>
    <n v="54"/>
  </r>
  <r>
    <n v="853"/>
    <x v="2"/>
    <x v="203"/>
    <s v="eth1/47"/>
    <x v="0"/>
    <x v="0"/>
    <x v="0"/>
    <s v="LINK_TO_ITHFHWCRMPLCN87 / Slot7.2_32 / Redundante"/>
    <x v="0"/>
    <b v="0"/>
    <s v="No está en VPC"/>
    <n v="853"/>
    <s v="INTPG_ACC_853_1.47"/>
    <s v="ISEL-1.47"/>
    <n v="2"/>
    <s v="NO TIENE L3OUT"/>
    <n v="242"/>
    <n v="54"/>
  </r>
  <r>
    <n v="790"/>
    <x v="2"/>
    <x v="204"/>
    <s v="eth1/47"/>
    <x v="0"/>
    <x v="0"/>
    <x v="0"/>
    <s v="TAISHAN_POD7"/>
    <x v="0"/>
    <b v="0"/>
    <s v="No está en VPC"/>
    <n v="790"/>
    <s v="INTPG_VPC_MGMT_20814_790_1.47_791_1.48"/>
    <s v="ISEL-1.47"/>
    <n v="6"/>
    <s v="NO TIENE L3OUT"/>
    <n v="20"/>
    <n v="54"/>
  </r>
  <r>
    <n v="105"/>
    <x v="0"/>
    <x v="205"/>
    <s v="eth1/47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47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47"/>
    <x v="0"/>
    <x v="0"/>
    <x v="0"/>
    <s v="Citrix Silot"/>
    <x v="6"/>
    <b v="0"/>
    <s v="No está en VPC"/>
    <n v="104"/>
    <s v="INTPG_ACC_104_1.47"/>
    <s v="ISEL-1.47"/>
    <n v="1"/>
    <s v="NO TIENE L3OUT"/>
    <n v="194"/>
    <n v="96"/>
  </r>
  <r>
    <n v="158"/>
    <x v="0"/>
    <x v="208"/>
    <s v="eth1/47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47"/>
    <x v="0"/>
    <x v="0"/>
    <x v="0"/>
    <s v="LINK_HACIA_MGMT"/>
    <x v="4"/>
    <b v="0"/>
    <s v="No está en VPC"/>
    <n v="875"/>
    <s v="INTPG_VPC_MGMT_20919_875_1.47_877_1.48"/>
    <s v="ISEL-1.47"/>
    <n v="4"/>
    <s v="NO TIENE L3OUT"/>
    <n v="2"/>
    <n v="54"/>
  </r>
  <r>
    <n v="879"/>
    <x v="2"/>
    <x v="210"/>
    <s v="eth1/47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47"/>
    <x v="1"/>
    <x v="1"/>
    <x v="2"/>
    <s v="OBIE_1-2"/>
    <x v="6"/>
    <b v="0"/>
    <s v="No está en VPC"/>
    <n v="108"/>
    <s v="INTPG_ACC_108_1.47"/>
    <s v="ISEL-1.47"/>
    <n v="1"/>
    <s v="NO TIENE L3OUT"/>
    <n v="126"/>
    <n v="96"/>
  </r>
  <r>
    <n v="112"/>
    <x v="0"/>
    <x v="212"/>
    <s v="eth1/47"/>
    <x v="0"/>
    <x v="1"/>
    <x v="1"/>
    <s v="SAPCCRATING02"/>
    <x v="6"/>
    <b v="0"/>
    <s v="No está en VPC"/>
    <n v="112"/>
    <s v="INTPG_VPC_112_1.47_114_1.44"/>
    <s v="ISEL-1.47"/>
    <n v="1"/>
    <s v="NO TIENE L3OUT"/>
    <n v="144"/>
    <n v="96"/>
  </r>
  <r>
    <n v="107"/>
    <x v="0"/>
    <x v="213"/>
    <s v="eth1/47"/>
    <x v="1"/>
    <x v="1"/>
    <x v="2"/>
    <s v="COMISIONES"/>
    <x v="6"/>
    <b v="0"/>
    <s v="No está en VPC"/>
    <n v="107"/>
    <s v="INTPG_ACC_107_1.47"/>
    <s v="ISEL-1.47"/>
    <n v="0"/>
    <s v="NO TIENE L3OUT"/>
    <n v="118"/>
    <n v="96"/>
  </r>
  <r>
    <n v="109"/>
    <x v="0"/>
    <x v="214"/>
    <s v="eth1/47"/>
    <x v="0"/>
    <x v="0"/>
    <x v="0"/>
    <m/>
    <x v="6"/>
    <b v="0"/>
    <s v="No está en VPC"/>
    <n v="109"/>
    <s v="INTPG_ACC_109_1.47"/>
    <s v="ISEL-1.47"/>
    <n v="1"/>
    <s v="NO TIENE L3OUT"/>
    <n v="126"/>
    <n v="96"/>
  </r>
  <r>
    <n v="113"/>
    <x v="0"/>
    <x v="215"/>
    <s v="eth1/47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47"/>
    <x v="0"/>
    <x v="1"/>
    <x v="1"/>
    <s v="SAPCCRATING05"/>
    <x v="6"/>
    <b v="0"/>
    <s v="No está en VPC"/>
    <n v="114"/>
    <s v="INTPG_VPC_112_1.50_114_1.47"/>
    <s v="ISEL-1.47"/>
    <n v="1"/>
    <s v="NO TIENE L3OUT"/>
    <n v="144"/>
    <n v="96"/>
  </r>
  <r>
    <n v="124"/>
    <x v="0"/>
    <x v="217"/>
    <s v="eth1/47"/>
    <x v="0"/>
    <x v="0"/>
    <x v="0"/>
    <m/>
    <x v="6"/>
    <b v="0"/>
    <s v="No está en VPC"/>
    <n v="124"/>
    <s v="INTPG_ACC_124_1.47"/>
    <s v="ISEL-1.47"/>
    <n v="1"/>
    <s v="NO TIENE L3OUT"/>
    <n v="80"/>
    <n v="96"/>
  </r>
  <r>
    <n v="118"/>
    <x v="0"/>
    <x v="218"/>
    <s v="eth1/47"/>
    <x v="0"/>
    <x v="0"/>
    <x v="0"/>
    <s v="IXTCDRLON"/>
    <x v="6"/>
    <b v="0"/>
    <s v="No está en VPC"/>
    <n v="118"/>
    <s v="INTPG_ACC_118_1.47"/>
    <s v="ISEL-1.47"/>
    <n v="1"/>
    <s v="NO TIENE L3OUT"/>
    <n v="180"/>
    <n v="96"/>
  </r>
  <r>
    <n v="159"/>
    <x v="0"/>
    <x v="219"/>
    <s v="eth1/47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47"/>
    <x v="0"/>
    <x v="0"/>
    <x v="0"/>
    <s v="LINK_TO_ITHFHWCBSPSUSBD31 / Slot7.1_4 / Redundante"/>
    <x v="0"/>
    <b v="0"/>
    <s v="No está en VPC"/>
    <n v="840"/>
    <s v="INTPG_VPC_835_1.47_840_1.47"/>
    <s v="ISEL-1.47"/>
    <n v="2"/>
    <s v="NO TIENE L3OUT"/>
    <n v="8"/>
    <n v="54"/>
  </r>
  <r>
    <n v="856"/>
    <x v="2"/>
    <x v="221"/>
    <s v="eth1/47"/>
    <x v="0"/>
    <x v="0"/>
    <x v="0"/>
    <s v="LINK_TO_ITHFHWCRMPLCN150 / Slot1.1_34 / Principal"/>
    <x v="0"/>
    <b v="0"/>
    <s v="No está en VPC"/>
    <n v="856"/>
    <s v="INTPG_ACC_856_1.47"/>
    <s v="ISEL-1.47"/>
    <n v="6"/>
    <s v="NO TIENE L3OUT"/>
    <n v="286"/>
    <n v="54"/>
  </r>
  <r>
    <n v="110"/>
    <x v="0"/>
    <x v="222"/>
    <s v="eth1/47"/>
    <x v="0"/>
    <x v="1"/>
    <x v="1"/>
    <s v="SUN6900_E25K"/>
    <x v="6"/>
    <b v="0"/>
    <s v="No está en VPC"/>
    <n v="110"/>
    <s v="INTPG_ACC_110_1.47"/>
    <s v="ISEL-1.47"/>
    <n v="1"/>
    <s v="NO TIENE L3OUT"/>
    <n v="102"/>
    <n v="96"/>
  </r>
  <r>
    <n v="163"/>
    <x v="0"/>
    <x v="223"/>
    <s v="eth1/47"/>
    <x v="0"/>
    <x v="0"/>
    <x v="0"/>
    <s v="MULTIMEDIACION"/>
    <x v="6"/>
    <b v="0"/>
    <s v="No está en VPC"/>
    <n v="163"/>
    <s v="INTPG_ACC_163_1.47"/>
    <s v="ISEL-1.47"/>
    <n v="1"/>
    <s v="NO TIENE L3OUT"/>
    <n v="140"/>
    <n v="96"/>
  </r>
  <r>
    <n v="407"/>
    <x v="1"/>
    <x v="224"/>
    <s v="eth1/47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47"/>
    <x v="0"/>
    <x v="0"/>
    <x v="0"/>
    <s v="SRS (Speedy Rating System)"/>
    <x v="6"/>
    <b v="0"/>
    <s v="No está en VPC"/>
    <n v="171"/>
    <s v="INTPG_ACC_171_1.47"/>
    <s v="ISEL-1.47"/>
    <n v="1"/>
    <s v="NO TIENE L3OUT"/>
    <n v="114"/>
    <n v="96"/>
  </r>
  <r>
    <n v="421"/>
    <x v="1"/>
    <x v="226"/>
    <s v="eth1/47"/>
    <x v="0"/>
    <x v="0"/>
    <x v="0"/>
    <s v="PortalCautivo2_stpcau02_netmgt"/>
    <x v="6"/>
    <b v="0"/>
    <s v="No está en VPC"/>
    <n v="421"/>
    <s v="INTPG_ACC_421_1.47"/>
    <s v="ISEL-1.47"/>
    <n v="1"/>
    <s v="NO TIENE L3OUT"/>
    <n v="72"/>
    <n v="96"/>
  </r>
  <r>
    <n v="173"/>
    <x v="0"/>
    <x v="227"/>
    <s v="eth1/47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47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47"/>
    <x v="0"/>
    <x v="0"/>
    <x v="0"/>
    <s v="SRS (Speedy Rating System)"/>
    <x v="6"/>
    <b v="0"/>
    <s v="No está en VPC"/>
    <n v="172"/>
    <s v="INTPG_ACC_172_1.47"/>
    <s v="ISEL-1.47"/>
    <n v="1"/>
    <s v="NO TIENE L3OUT"/>
    <n v="104"/>
    <n v="96"/>
  </r>
  <r>
    <n v="420"/>
    <x v="1"/>
    <x v="230"/>
    <s v="eth1/47"/>
    <x v="0"/>
    <x v="0"/>
    <x v="0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47"/>
    <x v="0"/>
    <x v="0"/>
    <x v="0"/>
    <s v="HP Proliant DL380p(A)"/>
    <x v="6"/>
    <b v="0"/>
    <s v="No está en VPC"/>
    <n v="423"/>
    <s v="INTPG_ACC_423_1.47"/>
    <s v="ISEL-1.47"/>
    <n v="1"/>
    <s v="NO TIENE L3OUT"/>
    <n v="86"/>
    <n v="96"/>
  </r>
  <r>
    <n v="415"/>
    <x v="1"/>
    <x v="232"/>
    <s v="eth1/47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47"/>
    <x v="1"/>
    <x v="1"/>
    <x v="2"/>
    <s v="IXTLA4_VC1:VMTLCLAMX5:VC1  X7"/>
    <x v="6"/>
    <b v="0"/>
    <s v="No está en VPC"/>
    <n v="102"/>
    <s v="INTPG_PC_102_1.41-48"/>
    <s v="ISEL-1.47"/>
    <n v="0"/>
    <s v="NO TIENE L3OUT"/>
    <n v="228"/>
    <n v="96"/>
  </r>
  <r>
    <n v="863"/>
    <x v="2"/>
    <x v="234"/>
    <s v="eth1/47"/>
    <x v="0"/>
    <x v="0"/>
    <x v="0"/>
    <s v="LINK_HACIA_MGMT"/>
    <x v="0"/>
    <b v="0"/>
    <s v="No está en VPC"/>
    <n v="863"/>
    <s v="INTPG_VPC_MGMT_21419_863_1.47_858_1.48"/>
    <s v="ISEL-1.47"/>
    <n v="5"/>
    <s v="NO TIENE L3OUT"/>
    <n v="8"/>
    <n v="54"/>
  </r>
  <r>
    <n v="876"/>
    <x v="2"/>
    <x v="235"/>
    <s v="eth1/47"/>
    <x v="0"/>
    <x v="0"/>
    <x v="0"/>
    <s v="LINK_HACIA_MGMT"/>
    <x v="4"/>
    <b v="0"/>
    <s v="No está en VPC"/>
    <n v="876"/>
    <s v="INTPG_VPC_MGMT_21019_876_1.47_874_1.48"/>
    <s v="ISEL-1.47"/>
    <n v="4"/>
    <s v="NO TIENE L3OUT"/>
    <n v="92"/>
    <n v="54"/>
  </r>
  <r>
    <n v="877"/>
    <x v="2"/>
    <x v="236"/>
    <s v="eth1/47"/>
    <x v="0"/>
    <x v="0"/>
    <x v="0"/>
    <s v="LINK_HACIA_MGMT"/>
    <x v="4"/>
    <b v="0"/>
    <s v="No está en VPC"/>
    <n v="877"/>
    <s v="INTPG_VPC_MGMT_21019_877_1.47_875_1.48"/>
    <s v="ISEL-1.47"/>
    <n v="4"/>
    <s v="NO TIENE L3OUT"/>
    <n v="2"/>
    <n v="54"/>
  </r>
  <r>
    <n v="122"/>
    <x v="0"/>
    <x v="237"/>
    <s v="eth1/47"/>
    <x v="1"/>
    <x v="1"/>
    <x v="2"/>
    <s v="ZFS X5-2"/>
    <x v="6"/>
    <b v="0"/>
    <s v="No está en VPC"/>
    <n v="122"/>
    <s v="INTPG_ACC_122_1.47"/>
    <s v="ISEL-1.47"/>
    <n v="0"/>
    <s v="NO TIENE L3OUT"/>
    <n v="148"/>
    <n v="96"/>
  </r>
  <r>
    <n v="157"/>
    <x v="0"/>
    <x v="238"/>
    <s v="eth1/47"/>
    <x v="0"/>
    <x v="1"/>
    <x v="1"/>
    <s v="uxcofeco"/>
    <x v="6"/>
    <b v="0"/>
    <s v="No está en VPC"/>
    <n v="157"/>
    <s v="INTPG_ACC_157_1.47"/>
    <s v="ISEL-1.47"/>
    <n v="1"/>
    <s v="NO TIENE L3OUT"/>
    <n v="202"/>
    <n v="96"/>
  </r>
  <r>
    <n v="408"/>
    <x v="1"/>
    <x v="239"/>
    <s v="eth1/47"/>
    <x v="0"/>
    <x v="0"/>
    <x v="0"/>
    <s v="HNMP101A"/>
    <x v="6"/>
    <b v="0"/>
    <s v="No está en VPC"/>
    <n v="408"/>
    <s v="INTPG_ACC_408_1.47"/>
    <s v="ISEL-1.47"/>
    <n v="1"/>
    <s v="NO TIENE L3OUT"/>
    <n v="152"/>
    <n v="96"/>
  </r>
  <r>
    <n v="405"/>
    <x v="1"/>
    <x v="240"/>
    <s v="eth1/47"/>
    <x v="0"/>
    <x v="0"/>
    <x v="0"/>
    <s v="ITHSGHP0"/>
    <x v="6"/>
    <b v="0"/>
    <s v="No está en VPC"/>
    <n v="405"/>
    <s v="INTPG_ACC_405_1.47"/>
    <s v="ISEL-1.47"/>
    <n v="1"/>
    <s v="NO TIENE L3OUT"/>
    <n v="138"/>
    <n v="96"/>
  </r>
  <r>
    <n v="169"/>
    <x v="0"/>
    <x v="241"/>
    <s v="eth1/47"/>
    <x v="0"/>
    <x v="0"/>
    <x v="0"/>
    <s v="TO-ITHFDENBURMS01-PRINCIPAL"/>
    <x v="6"/>
    <b v="0"/>
    <s v="No está en VPC"/>
    <n v="169"/>
    <s v="INTPG_ACC_169_1.47"/>
    <s v="ISEL-1.47"/>
    <n v="1"/>
    <s v="NO TIENE L3OUT"/>
    <n v="76"/>
    <n v="96"/>
  </r>
  <r>
    <n v="165"/>
    <x v="0"/>
    <x v="242"/>
    <s v="eth1/47"/>
    <x v="0"/>
    <x v="0"/>
    <x v="0"/>
    <s v="NOMINA_hmcNomina1"/>
    <x v="6"/>
    <b v="0"/>
    <s v="No está en VPC"/>
    <n v="165"/>
    <s v="INTPG_ACC_165_1.47"/>
    <s v="ISEL-1.47"/>
    <n v="1"/>
    <s v="NO TIENE L3OUT"/>
    <n v="86"/>
    <n v="96"/>
  </r>
  <r>
    <n v="417"/>
    <x v="1"/>
    <x v="243"/>
    <s v="eth1/47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47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47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47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47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47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47"/>
    <x v="0"/>
    <x v="0"/>
    <x v="0"/>
    <s v="VIOSDES3-VIOSDES3_CLT"/>
    <x v="6"/>
    <b v="0"/>
    <s v="No está en VPC"/>
    <n v="406"/>
    <s v="INTPG_VPC_404_1.47-48_406_1.47-48"/>
    <s v="ISEL-1.47"/>
    <n v="1"/>
    <s v="NO TIENE L3OUT"/>
    <n v="82"/>
    <n v="96"/>
  </r>
  <r>
    <n v="414"/>
    <x v="1"/>
    <x v="250"/>
    <s v="eth1/47"/>
    <x v="0"/>
    <x v="0"/>
    <x v="0"/>
    <s v="NMS02_S05"/>
    <x v="6"/>
    <b v="0"/>
    <s v="No está en VPC"/>
    <n v="414"/>
    <s v="INTPG_ACC_414_1.47"/>
    <s v="ISEL-1.47"/>
    <n v="1"/>
    <s v="NO TIENE L3OUT"/>
    <n v="144"/>
    <n v="96"/>
  </r>
  <r>
    <n v="416"/>
    <x v="1"/>
    <x v="251"/>
    <s v="eth1/47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47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47"/>
    <x v="0"/>
    <x v="0"/>
    <x v="0"/>
    <s v="To-uxingemc3 ldom 1 uxinghdr1"/>
    <x v="6"/>
    <b v="0"/>
    <s v="No está en VPC"/>
    <n v="413"/>
    <s v="INTPG_ACC_413_1.47"/>
    <s v="ISEL-1.47"/>
    <n v="1"/>
    <s v="NO TIENE L3OUT"/>
    <n v="126"/>
    <n v="96"/>
  </r>
  <r>
    <n v="403"/>
    <x v="1"/>
    <x v="254"/>
    <s v="eth1/47"/>
    <x v="0"/>
    <x v="0"/>
    <x v="0"/>
    <s v="ITHSGHP0"/>
    <x v="6"/>
    <b v="0"/>
    <s v="No está en VPC"/>
    <n v="403"/>
    <s v="INTPG_ACC_403_1.47"/>
    <s v="ISEL-1.47"/>
    <n v="1"/>
    <s v="NO TIENE L3OUT"/>
    <n v="150"/>
    <n v="96"/>
  </r>
  <r>
    <n v="125"/>
    <x v="0"/>
    <x v="255"/>
    <s v="eth1/47"/>
    <x v="0"/>
    <x v="0"/>
    <x v="0"/>
    <s v="CIRCULO Azul(UXCA)"/>
    <x v="6"/>
    <b v="0"/>
    <s v="No está en VPC"/>
    <n v="125"/>
    <s v="INTPG_ACC_125_1.47"/>
    <s v="ISEL-1.47"/>
    <n v="1"/>
    <s v="NO TIENE L3OUT"/>
    <n v="72"/>
    <n v="96"/>
  </r>
  <r>
    <n v="166"/>
    <x v="0"/>
    <x v="256"/>
    <s v="eth1/47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47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47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47"/>
    <x v="0"/>
    <x v="0"/>
    <x v="0"/>
    <s v="COMISIONES"/>
    <x v="6"/>
    <b v="0"/>
    <s v="No está en VPC"/>
    <n v="106"/>
    <s v="INTPG_ACC_106_1.47"/>
    <s v="ISEL-1.47"/>
    <n v="1"/>
    <s v="NO TIENE L3OUT"/>
    <n v="122"/>
    <n v="96"/>
  </r>
  <r>
    <n v="126"/>
    <x v="0"/>
    <x v="260"/>
    <s v="eth1/47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47"/>
    <x v="0"/>
    <x v="0"/>
    <x v="0"/>
    <s v="ITHVC2_eth1_IPMP-Pasiva"/>
    <x v="6"/>
    <b v="0"/>
    <s v="No está en VPC"/>
    <n v="425"/>
    <s v="INTPG_ACC_425_1.47"/>
    <s v="ISEL-1.47"/>
    <n v="1"/>
    <s v="NO TIENE L3OUT"/>
    <n v="86"/>
    <n v="96"/>
  </r>
  <r>
    <n v="151"/>
    <x v="0"/>
    <x v="262"/>
    <s v="eth1/47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47"/>
    <x v="0"/>
    <x v="0"/>
    <x v="0"/>
    <s v="TO-sfovhd02-LAN0"/>
    <x v="6"/>
    <b v="0"/>
    <s v="No está en VPC"/>
    <n v="430"/>
    <s v="INTPG_ACC_430_1.47"/>
    <s v="ISEL-1.47"/>
    <n v="1"/>
    <s v="NO TIENE L3OUT"/>
    <n v="86"/>
    <n v="96"/>
  </r>
  <r>
    <n v="419"/>
    <x v="1"/>
    <x v="264"/>
    <s v="eth1/47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47"/>
    <x v="0"/>
    <x v="0"/>
    <x v="0"/>
    <s v="IXT08PP"/>
    <x v="6"/>
    <b v="0"/>
    <s v="No está en VPC"/>
    <n v="155"/>
    <s v="INTPG_ACC_155_1.47"/>
    <s v="ISEL-1.47"/>
    <n v="0"/>
    <s v="L3OUT-SNA-IPCORP-A14"/>
    <n v="198"/>
    <n v="96"/>
  </r>
  <r>
    <n v="409"/>
    <x v="1"/>
    <x v="266"/>
    <s v="eth1/47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47"/>
    <x v="0"/>
    <x v="0"/>
    <x v="0"/>
    <s v="TEMIPCLOUD_B01"/>
    <x v="6"/>
    <b v="0"/>
    <s v="No está en VPC"/>
    <n v="422"/>
    <s v="INTPG_ACC_422_1.47"/>
    <s v="ISEL-1.47"/>
    <n v="6"/>
    <s v="NO TIENE L3OUT"/>
    <n v="182"/>
    <n v="96"/>
  </r>
  <r>
    <n v="436"/>
    <x v="1"/>
    <x v="268"/>
    <s v="eth1/47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47"/>
    <x v="0"/>
    <x v="0"/>
    <x v="0"/>
    <s v="MULTI01_S10"/>
    <x v="6"/>
    <b v="0"/>
    <s v="No está en VPC"/>
    <n v="410"/>
    <s v="INTPG_ACC_410_1.47"/>
    <s v="ISEL-1.47"/>
    <n v="1"/>
    <s v="NO TIENE L3OUT"/>
    <n v="178"/>
    <n v="96"/>
  </r>
  <r>
    <n v="161"/>
    <x v="0"/>
    <x v="270"/>
    <s v="eth1/47"/>
    <x v="0"/>
    <x v="0"/>
    <x v="0"/>
    <s v="STORAGE_VNX_0493_BKP1_AND_BKP2"/>
    <x v="6"/>
    <b v="0"/>
    <s v="No está en VPC"/>
    <n v="161"/>
    <s v="INTPG_ACC_161_1.47"/>
    <s v="ISEL-1.47"/>
    <n v="2"/>
    <s v="NO TIENE L3OUT"/>
    <n v="102"/>
    <n v="96"/>
  </r>
  <r>
    <n v="411"/>
    <x v="1"/>
    <x v="271"/>
    <s v="eth1/47"/>
    <x v="0"/>
    <x v="1"/>
    <x v="1"/>
    <s v="F5-IXE-VTAE"/>
    <x v="6"/>
    <b v="0"/>
    <s v="No está en VPC"/>
    <n v="411"/>
    <s v="INTPG_ACC_411_1.47"/>
    <s v="ISEL-1.47"/>
    <n v="2"/>
    <s v="NO TIENE L3OUT"/>
    <n v="96"/>
    <n v="96"/>
  </r>
  <r>
    <n v="116"/>
    <x v="0"/>
    <x v="272"/>
    <s v="eth1/47"/>
    <x v="0"/>
    <x v="1"/>
    <x v="1"/>
    <s v="USSD TANGO"/>
    <x v="6"/>
    <b v="0"/>
    <s v="No está en VPC"/>
    <n v="116"/>
    <s v="INTPG_ACC_116_1.47"/>
    <s v="ISEL-1.47"/>
    <n v="1"/>
    <s v="NO TIENE L3OUT"/>
    <n v="148"/>
    <n v="96"/>
  </r>
  <r>
    <n v="412"/>
    <x v="1"/>
    <x v="273"/>
    <s v="eth1/47"/>
    <x v="0"/>
    <x v="0"/>
    <x v="0"/>
    <s v="HNMP101B"/>
    <x v="6"/>
    <b v="0"/>
    <s v="No está en VPC"/>
    <n v="412"/>
    <s v="INTPG_ACC_412_1.47"/>
    <s v="ISEL-1.47"/>
    <n v="1"/>
    <s v="NO TIENE L3OUT"/>
    <n v="126"/>
    <n v="96"/>
  </r>
  <r>
    <n v="120"/>
    <x v="0"/>
    <x v="274"/>
    <s v="eth1/47"/>
    <x v="0"/>
    <x v="0"/>
    <x v="0"/>
    <s v="ASEGING"/>
    <x v="6"/>
    <b v="0"/>
    <s v="No está en VPC"/>
    <n v="120"/>
    <s v="INTPG_ACC_120_1.47"/>
    <s v="ISEL-1.47"/>
    <n v="1"/>
    <s v="NO TIENE L3OUT"/>
    <n v="158"/>
    <n v="96"/>
  </r>
  <r>
    <n v="404"/>
    <x v="1"/>
    <x v="275"/>
    <s v="eth1/47"/>
    <x v="0"/>
    <x v="0"/>
    <x v="0"/>
    <s v="VIOSDES3-VIOSDES3_CLT"/>
    <x v="6"/>
    <b v="0"/>
    <s v="No está en VPC"/>
    <n v="404"/>
    <s v="INTPG_VPC_404_1.47-48_406_1.47-48"/>
    <s v="ISEL-1.47"/>
    <n v="1"/>
    <s v="NO TIENE L3OUT"/>
    <n v="92"/>
    <n v="96"/>
  </r>
  <r>
    <n v="167"/>
    <x v="0"/>
    <x v="276"/>
    <s v="eth1/47"/>
    <x v="0"/>
    <x v="0"/>
    <x v="0"/>
    <s v="TO-ITHFDENBURMS02"/>
    <x v="6"/>
    <b v="0"/>
    <s v="No está en VPC"/>
    <n v="167"/>
    <s v="INTPG_VPC_167_1.47_169_1.48"/>
    <s v="ISEL-1.47"/>
    <n v="1"/>
    <s v="NO TIENE L3OUT"/>
    <n v="68"/>
    <n v="96"/>
  </r>
  <r>
    <n v="428"/>
    <x v="1"/>
    <x v="277"/>
    <s v="eth1/47"/>
    <x v="0"/>
    <x v="0"/>
    <x v="0"/>
    <s v="TO-ITHFORZDLRXGW01-NET_1"/>
    <x v="6"/>
    <b v="0"/>
    <s v="No está en VPC"/>
    <n v="428"/>
    <s v="INTPG_ACC_428_1.47"/>
    <s v="ISEL-1.47"/>
    <n v="1"/>
    <s v="NO TIENE L3OUT"/>
    <n v="102"/>
    <n v="96"/>
  </r>
  <r>
    <n v="128"/>
    <x v="0"/>
    <x v="0"/>
    <s v="eth1/48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48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48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48"/>
    <x v="0"/>
    <x v="0"/>
    <x v="0"/>
    <m/>
    <x v="0"/>
    <b v="0"/>
    <s v="No está en VPC"/>
    <n v="101"/>
    <s v="INTPG-VPC_101_1.47-48_150_1.47-48"/>
    <s v="ISEL-1.48"/>
    <n v="0"/>
    <s v="NO TIENE L3OUT"/>
    <n v="114"/>
    <n v="54"/>
  </r>
  <r>
    <n v="160"/>
    <x v="0"/>
    <x v="4"/>
    <s v="eth1/48"/>
    <x v="0"/>
    <x v="1"/>
    <x v="1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48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48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48"/>
    <x v="0"/>
    <x v="0"/>
    <x v="0"/>
    <s v="LINK TO DDI BROCADE ROOM 2"/>
    <x v="0"/>
    <b v="0"/>
    <s v="No está en VPC"/>
    <n v="401"/>
    <s v="INTPG_VPC_401_1.47-48_402_1.47-48"/>
    <s v="ISEL-1.48"/>
    <n v="4"/>
    <s v="NO TIENE L3OUT"/>
    <n v="40"/>
    <n v="54"/>
  </r>
  <r>
    <n v="402"/>
    <x v="1"/>
    <x v="8"/>
    <s v="eth1/48"/>
    <x v="0"/>
    <x v="0"/>
    <x v="0"/>
    <s v="LINK TO DDI BROCADE ROOM 2"/>
    <x v="0"/>
    <b v="0"/>
    <s v="No está en VPC"/>
    <n v="402"/>
    <s v="INTPG_VPC_401_1.47-48_402_1.47-48"/>
    <s v="ISEL-1.48"/>
    <n v="4"/>
    <s v="NO TIENE L3OUT"/>
    <n v="36"/>
    <n v="54"/>
  </r>
  <r>
    <n v="130"/>
    <x v="0"/>
    <x v="11"/>
    <s v="eth1/48"/>
    <x v="0"/>
    <x v="0"/>
    <x v="0"/>
    <s v="ITHFHWHSMTLCN01-LOM  P1"/>
    <x v="0"/>
    <b v="0"/>
    <s v="No está en VPC"/>
    <n v="130"/>
    <s v="INTPG_ACC_130_1.48"/>
    <s v="ISEL-1.48"/>
    <n v="9"/>
    <s v="NO TIENE L3OUT"/>
    <n v="128"/>
    <n v="54"/>
  </r>
  <r>
    <n v="150"/>
    <x v="0"/>
    <x v="12"/>
    <s v="eth1/48"/>
    <x v="0"/>
    <x v="0"/>
    <x v="0"/>
    <m/>
    <x v="0"/>
    <b v="0"/>
    <s v="No está en VPC"/>
    <n v="150"/>
    <s v="INTPG-VPC_101_1.47-48_150_1.47-48"/>
    <s v="ISEL-1.48"/>
    <n v="0"/>
    <s v="NO TIENE L3OUT"/>
    <n v="118"/>
    <n v="54"/>
  </r>
  <r>
    <n v="131"/>
    <x v="0"/>
    <x v="13"/>
    <s v="eth1/48"/>
    <x v="0"/>
    <x v="0"/>
    <x v="0"/>
    <s v="ITHFHWHSMTLCN01-LOM  P2"/>
    <x v="0"/>
    <b v="0"/>
    <s v="No está en VPC"/>
    <n v="131"/>
    <s v="INTPG_ACC_131_1.48"/>
    <s v="ISEL-1.48"/>
    <n v="9"/>
    <s v="NO TIENE L3OUT"/>
    <n v="126"/>
    <n v="54"/>
  </r>
  <r>
    <n v="424"/>
    <x v="1"/>
    <x v="18"/>
    <s v="eth1/48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48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48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48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48"/>
    <x v="0"/>
    <x v="0"/>
    <x v="0"/>
    <m/>
    <x v="0"/>
    <b v="0"/>
    <s v="No está en VPC"/>
    <n v="727"/>
    <s v="INTPG-VPC_MGMT-20217_726_1.47_727_1.48"/>
    <s v="ISEL-1.48"/>
    <n v="5"/>
    <s v="NO TIENE L3OUT"/>
    <n v="0"/>
    <n v="54"/>
  </r>
  <r>
    <n v="724"/>
    <x v="2"/>
    <x v="23"/>
    <s v="eth1/48"/>
    <x v="0"/>
    <x v="0"/>
    <x v="0"/>
    <m/>
    <x v="0"/>
    <b v="0"/>
    <s v="No está en VPC"/>
    <n v="724"/>
    <s v="INTPG-VPC_MGMT-20216_725_1.47_724_1.48"/>
    <s v="ISEL-1.48"/>
    <n v="4"/>
    <s v="NO TIENE L3OUT"/>
    <n v="0"/>
    <n v="54"/>
  </r>
  <r>
    <n v="725"/>
    <x v="2"/>
    <x v="25"/>
    <s v="eth1/48"/>
    <x v="0"/>
    <x v="0"/>
    <x v="0"/>
    <s v="LINK_HACIA_MGMT"/>
    <x v="0"/>
    <b v="0"/>
    <s v="No está en VPC"/>
    <n v="725"/>
    <s v="INTPG-VPC_MGMT-20214_724_1.47_725_1.48"/>
    <s v="ISEL-1.48"/>
    <n v="5"/>
    <s v="NO TIENE L3OUT"/>
    <n v="0"/>
    <n v="54"/>
  </r>
  <r>
    <n v="431"/>
    <x v="1"/>
    <x v="26"/>
    <s v="eth1/48"/>
    <x v="0"/>
    <x v="0"/>
    <x v="0"/>
    <s v="To_ITHEA1B_eth2"/>
    <x v="0"/>
    <b v="0"/>
    <s v="No está en VPC"/>
    <n v="431"/>
    <s v="INTPG_ACC_431_1.48"/>
    <s v="ISEL-1.48"/>
    <n v="4"/>
    <s v="NO TIENE L3OUT"/>
    <n v="46"/>
    <n v="54"/>
  </r>
  <r>
    <n v="433"/>
    <x v="1"/>
    <x v="27"/>
    <s v="eth1/48"/>
    <x v="0"/>
    <x v="0"/>
    <x v="0"/>
    <s v="TO-00S2.117.18.RPDUA_RPDU"/>
    <x v="1"/>
    <b v="0"/>
    <s v="No está en VPC"/>
    <n v="433"/>
    <s v="INTPG_ACC_433_1.48"/>
    <s v="ISEL-1.48"/>
    <n v="1"/>
    <s v="NO TIENE L3OUT"/>
    <n v="42"/>
    <n v="54"/>
  </r>
  <r>
    <n v="429"/>
    <x v="1"/>
    <x v="28"/>
    <s v="eth1/48"/>
    <x v="0"/>
    <x v="0"/>
    <x v="0"/>
    <s v="TO-00S2.114.18.RPDUB_RPDU"/>
    <x v="1"/>
    <b v="0"/>
    <s v="No está en VPC"/>
    <n v="429"/>
    <s v="INTPG_ACC_429_1.48"/>
    <s v="ISEL-1.48"/>
    <n v="1"/>
    <s v="NO TIENE L3OUT"/>
    <n v="8"/>
    <n v="54"/>
  </r>
  <r>
    <n v="432"/>
    <x v="1"/>
    <x v="29"/>
    <s v="eth1/48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48"/>
    <x v="0"/>
    <x v="0"/>
    <x v="0"/>
    <s v="TO-00S2.214.17.RPDUB_RPDU"/>
    <x v="1"/>
    <b v="0"/>
    <s v="No está en VPC"/>
    <n v="442"/>
    <s v="INTPG_ACC_442_1.48"/>
    <s v="ISEL-1.48"/>
    <n v="1"/>
    <s v="NO TIENE L3OUT"/>
    <n v="18"/>
    <n v="54"/>
  </r>
  <r>
    <n v="434"/>
    <x v="1"/>
    <x v="31"/>
    <s v="eth1/48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48"/>
    <x v="1"/>
    <x v="1"/>
    <x v="3"/>
    <m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48"/>
    <x v="0"/>
    <x v="0"/>
    <x v="0"/>
    <m/>
    <x v="0"/>
    <b v="0"/>
    <s v="No está en VPC"/>
    <n v="712"/>
    <s v="INTPG-VPC_MGMT-10217_713_1.47_712_1.48"/>
    <s v="ISEL-1.48"/>
    <n v="7"/>
    <s v="NO TIENE L3OUT"/>
    <n v="32"/>
    <n v="54"/>
  </r>
  <r>
    <n v="719"/>
    <x v="2"/>
    <x v="34"/>
    <s v="eth1/48"/>
    <x v="0"/>
    <x v="0"/>
    <x v="0"/>
    <m/>
    <x v="0"/>
    <b v="0"/>
    <s v="No está en VPC"/>
    <n v="719"/>
    <s v="INTPG-VPC_MGMT-20119_720_1.47_719_1.48"/>
    <s v="ISEL-1.48"/>
    <n v="6"/>
    <s v="NO TIENE L3OUT"/>
    <n v="0"/>
    <n v="54"/>
  </r>
  <r>
    <n v="715"/>
    <x v="2"/>
    <x v="35"/>
    <s v="eth1/48"/>
    <x v="0"/>
    <x v="0"/>
    <x v="0"/>
    <m/>
    <x v="0"/>
    <b v="0"/>
    <s v="No está en VPC"/>
    <n v="715"/>
    <s v="INTPG-VPC_MGMT-20113_716_1.47_715_1.48"/>
    <s v="ISEL-1.48"/>
    <n v="4"/>
    <s v="NO TIENE L3OUT"/>
    <n v="0"/>
    <n v="54"/>
  </r>
  <r>
    <n v="427"/>
    <x v="1"/>
    <x v="36"/>
    <s v="eth1/48"/>
    <x v="0"/>
    <x v="0"/>
    <x v="0"/>
    <s v="TO-00S2.114.18.RPDUA_RPDU"/>
    <x v="1"/>
    <b v="0"/>
    <s v="No está en VPC"/>
    <n v="427"/>
    <s v="INTPG_ACC_427_1.48"/>
    <s v="ISEL-1.48"/>
    <n v="1"/>
    <s v="NO TIENE L3OUT"/>
    <n v="10"/>
    <n v="54"/>
  </r>
  <r>
    <n v="711"/>
    <x v="2"/>
    <x v="37"/>
    <s v="eth1/48"/>
    <x v="0"/>
    <x v="0"/>
    <x v="0"/>
    <m/>
    <x v="0"/>
    <b v="0"/>
    <s v="No está en VPC"/>
    <n v="711"/>
    <s v="INTPG-VPC_MGMT-10213_710_1.47_711_1.48"/>
    <s v="ISEL-1.48"/>
    <n v="3"/>
    <s v="NO TIENE L3OUT"/>
    <n v="16"/>
    <n v="54"/>
  </r>
  <r>
    <n v="716"/>
    <x v="2"/>
    <x v="38"/>
    <s v="eth1/48"/>
    <x v="0"/>
    <x v="0"/>
    <x v="0"/>
    <m/>
    <x v="0"/>
    <b v="0"/>
    <s v="No está en VPC"/>
    <n v="716"/>
    <s v="INTPG-VPC_MGMT-20112_715_1.47_716_1.48"/>
    <s v="ISEL-1.48"/>
    <n v="3"/>
    <s v="NO TIENE L3OUT"/>
    <n v="0"/>
    <n v="54"/>
  </r>
  <r>
    <n v="702"/>
    <x v="2"/>
    <x v="39"/>
    <s v="eth1/48"/>
    <x v="0"/>
    <x v="0"/>
    <x v="0"/>
    <m/>
    <x v="0"/>
    <b v="0"/>
    <s v="No está en VPC"/>
    <n v="702"/>
    <s v="INTPG-VPC_MGMT-10109_701_1.47_702_1.48"/>
    <s v="ISEL-1.48"/>
    <n v="5"/>
    <s v="NO TIENE L3OUT"/>
    <n v="0"/>
    <n v="54"/>
  </r>
  <r>
    <n v="435"/>
    <x v="1"/>
    <x v="40"/>
    <s v="eth1/48"/>
    <x v="0"/>
    <x v="0"/>
    <x v="0"/>
    <s v="TO-00S2.117.18.RPDUB_RPDU"/>
    <x v="1"/>
    <b v="0"/>
    <s v="No está en VPC"/>
    <n v="435"/>
    <s v="INTPG_ACC_435_1.48"/>
    <s v="ISEL-1.48"/>
    <n v="1"/>
    <s v="NO TIENE L3OUT"/>
    <n v="34"/>
    <n v="54"/>
  </r>
  <r>
    <n v="446"/>
    <x v="1"/>
    <x v="41"/>
    <s v="eth1/48"/>
    <x v="0"/>
    <x v="1"/>
    <x v="3"/>
    <m/>
    <x v="0"/>
    <b v="0"/>
    <s v="No está en VPC"/>
    <n v="446"/>
    <s v="NO EXISTE PG"/>
    <s v="NO EXISTE ISEL"/>
    <n v="0"/>
    <s v="NO TIENE L3OUT"/>
    <n v="198"/>
    <n v="54"/>
  </r>
  <r>
    <n v="444"/>
    <x v="1"/>
    <x v="42"/>
    <s v="eth1/48"/>
    <x v="0"/>
    <x v="1"/>
    <x v="3"/>
    <m/>
    <x v="0"/>
    <b v="0"/>
    <s v="No está en VPC"/>
    <n v="444"/>
    <s v="NO EXISTE PG"/>
    <s v="NO EXISTE ISEL"/>
    <n v="0"/>
    <s v="NO TIENE L3OUT"/>
    <n v="234"/>
    <n v="54"/>
  </r>
  <r>
    <n v="701"/>
    <x v="2"/>
    <x v="43"/>
    <s v="eth1/48"/>
    <x v="0"/>
    <x v="0"/>
    <x v="0"/>
    <m/>
    <x v="0"/>
    <b v="0"/>
    <s v="No está en VPC"/>
    <n v="701"/>
    <s v="INTPG-VPC_MGMT-10111_702_1.47_701_1.48"/>
    <s v="ISEL-1.48"/>
    <n v="3"/>
    <s v="NO TIENE L3OUT"/>
    <n v="0"/>
    <n v="54"/>
  </r>
  <r>
    <n v="440"/>
    <x v="1"/>
    <x v="44"/>
    <s v="eth1/48"/>
    <x v="0"/>
    <x v="0"/>
    <x v="0"/>
    <s v="TO-00S2.214.17.RPDUA_RPDU"/>
    <x v="1"/>
    <b v="0"/>
    <s v="No está en VPC"/>
    <n v="440"/>
    <s v="INTPG_ACC_440_1.48"/>
    <s v="ISEL-1.48"/>
    <n v="1"/>
    <s v="NO TIENE L3OUT"/>
    <n v="22"/>
    <n v="54"/>
  </r>
  <r>
    <n v="448"/>
    <x v="1"/>
    <x v="45"/>
    <s v="eth1/48"/>
    <x v="0"/>
    <x v="0"/>
    <x v="0"/>
    <s v="To_ITHEA1C_eth3"/>
    <x v="0"/>
    <b v="0"/>
    <s v="No está en VPC"/>
    <n v="448"/>
    <s v="INTPG_ACC_448_1.48"/>
    <s v="ISEL-1.48"/>
    <n v="4"/>
    <s v="NO TIENE L3OUT"/>
    <n v="46"/>
    <n v="54"/>
  </r>
  <r>
    <n v="704"/>
    <x v="2"/>
    <x v="46"/>
    <s v="eth1/48"/>
    <x v="0"/>
    <x v="0"/>
    <x v="0"/>
    <m/>
    <x v="0"/>
    <b v="0"/>
    <s v="No está en VPC"/>
    <n v="704"/>
    <s v="INTPG-VPC_MGMT-10112_703_1.47_704_1.48"/>
    <s v="ISEL-1.48"/>
    <n v="4"/>
    <s v="NO TIENE L3OUT"/>
    <n v="0"/>
    <n v="54"/>
  </r>
  <r>
    <n v="729"/>
    <x v="2"/>
    <x v="47"/>
    <s v="eth1/48"/>
    <x v="0"/>
    <x v="0"/>
    <x v="0"/>
    <m/>
    <x v="0"/>
    <b v="0"/>
    <s v="No está en VPC"/>
    <n v="729"/>
    <s v="INTPG-VPC_MGMT-10317_728_1.47_729_1.48"/>
    <s v="ISEL-1.48"/>
    <n v="2"/>
    <s v="NO TIENE L3OUT"/>
    <n v="4"/>
    <n v="54"/>
  </r>
  <r>
    <n v="728"/>
    <x v="2"/>
    <x v="48"/>
    <s v="eth1/48"/>
    <x v="0"/>
    <x v="0"/>
    <x v="0"/>
    <m/>
    <x v="0"/>
    <b v="0"/>
    <s v="No está en VPC"/>
    <n v="728"/>
    <s v="INTPG-VPC_MGMT-10316_729_1.47_728_1.48"/>
    <s v="ISEL-1.48"/>
    <n v="2"/>
    <s v="NO TIENE L3OUT"/>
    <n v="2"/>
    <n v="54"/>
  </r>
  <r>
    <n v="456"/>
    <x v="1"/>
    <x v="49"/>
    <s v="eth1/48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48"/>
    <x v="0"/>
    <x v="0"/>
    <x v="0"/>
    <m/>
    <x v="0"/>
    <b v="0"/>
    <s v="No está en VPC"/>
    <n v="746"/>
    <s v="INTPG_VPC_MGMT_10311_745_1.47_746_1.48"/>
    <s v="ISEL-1.48"/>
    <n v="6"/>
    <s v="NO TIENE L3OUT"/>
    <n v="0"/>
    <n v="54"/>
  </r>
  <r>
    <n v="745"/>
    <x v="2"/>
    <x v="52"/>
    <s v="eth1/48"/>
    <x v="0"/>
    <x v="0"/>
    <x v="0"/>
    <m/>
    <x v="0"/>
    <b v="0"/>
    <s v="No está en VPC"/>
    <n v="745"/>
    <s v="INTPG_VPC_MGMT_10308_746_1.47_745_1.48"/>
    <s v="ISEL-1.48"/>
    <n v="8"/>
    <s v="NO TIENE L3OUT"/>
    <n v="0"/>
    <n v="54"/>
  </r>
  <r>
    <n v="730"/>
    <x v="2"/>
    <x v="53"/>
    <s v="eth1/48"/>
    <x v="0"/>
    <x v="0"/>
    <x v="0"/>
    <m/>
    <x v="0"/>
    <b v="0"/>
    <s v="No está en VPC"/>
    <n v="730"/>
    <s v="INTPG-VPC_MGMT-10416_731_1.47_730_1.48"/>
    <s v="ISEL-1.48"/>
    <n v="3"/>
    <s v="NO TIENE L3OUT"/>
    <n v="36"/>
    <n v="54"/>
  </r>
  <r>
    <n v="722"/>
    <x v="2"/>
    <x v="54"/>
    <s v="eth1/48"/>
    <x v="0"/>
    <x v="0"/>
    <x v="0"/>
    <m/>
    <x v="0"/>
    <b v="0"/>
    <s v="No está en VPC"/>
    <n v="722"/>
    <s v="INTPG-VPC_MGMT-20213_723_1.47_722_1.48"/>
    <s v="ISEL-1.48"/>
    <n v="3"/>
    <s v="NO TIENE L3OUT"/>
    <n v="0"/>
    <n v="54"/>
  </r>
  <r>
    <n v="733"/>
    <x v="2"/>
    <x v="55"/>
    <s v="eth1/48"/>
    <x v="0"/>
    <x v="0"/>
    <x v="0"/>
    <m/>
    <x v="0"/>
    <b v="0"/>
    <s v="No está en VPC"/>
    <n v="733"/>
    <s v="INTPG-VPC_MGMT-10318_732_1.47_733_1.48"/>
    <s v="ISEL-1.48"/>
    <n v="3"/>
    <s v="NO TIENE L3OUT"/>
    <n v="0"/>
    <n v="54"/>
  </r>
  <r>
    <n v="755"/>
    <x v="2"/>
    <x v="56"/>
    <s v="eth1/48"/>
    <x v="0"/>
    <x v="0"/>
    <x v="0"/>
    <m/>
    <x v="0"/>
    <b v="0"/>
    <s v="No está en VPC"/>
    <n v="755"/>
    <s v="INTPG_VPC_MGMT_10108_756_1.47_755_1.48"/>
    <s v="ISEL-1.48"/>
    <n v="16"/>
    <s v="NO TIENE L3OUT"/>
    <n v="52"/>
    <n v="54"/>
  </r>
  <r>
    <n v="748"/>
    <x v="2"/>
    <x v="57"/>
    <s v="eth1/48"/>
    <x v="0"/>
    <x v="0"/>
    <x v="0"/>
    <m/>
    <x v="0"/>
    <b v="0"/>
    <s v="No está en VPC"/>
    <n v="748"/>
    <s v="INTPG_VPC_MGMT_10412_749_1.47_748_1.48"/>
    <s v="ISEL-1.48"/>
    <n v="6"/>
    <s v="NO TIENE L3OUT"/>
    <n v="2"/>
    <n v="54"/>
  </r>
  <r>
    <n v="756"/>
    <x v="2"/>
    <x v="58"/>
    <s v="eth1/48"/>
    <x v="0"/>
    <x v="0"/>
    <x v="0"/>
    <m/>
    <x v="0"/>
    <b v="0"/>
    <s v="No está en VPC"/>
    <n v="756"/>
    <s v="INTPG_VPC_MGMT_10106_755_1.47_756_1.48"/>
    <s v="ISEL-1.48"/>
    <n v="17"/>
    <s v="NO TIENE L3OUT"/>
    <n v="64"/>
    <n v="54"/>
  </r>
  <r>
    <n v="754"/>
    <x v="2"/>
    <x v="59"/>
    <s v="eth1/48"/>
    <x v="0"/>
    <x v="0"/>
    <x v="0"/>
    <s v="MGMT OSS FASE 2"/>
    <x v="0"/>
    <b v="0"/>
    <s v="No está en VPC"/>
    <n v="754"/>
    <s v="INTPG_VPC_MGMT_10103_753_1.47_754_1.48"/>
    <s v="ISEL-1.48"/>
    <n v="18"/>
    <s v="NO TIENE L3OUT"/>
    <n v="62"/>
    <n v="54"/>
  </r>
  <r>
    <n v="751"/>
    <x v="2"/>
    <x v="60"/>
    <s v="eth1/48"/>
    <x v="0"/>
    <x v="0"/>
    <x v="0"/>
    <m/>
    <x v="0"/>
    <b v="0"/>
    <s v="No está en VPC"/>
    <n v="751"/>
    <s v="INTPG_VPC_MGMT_10411_750_1.47_751_1.48"/>
    <s v="ISEL-1.48"/>
    <n v="4"/>
    <s v="NO TIENE L3OUT"/>
    <n v="0"/>
    <n v="54"/>
  </r>
  <r>
    <n v="769"/>
    <x v="2"/>
    <x v="61"/>
    <s v="eth1/48"/>
    <x v="0"/>
    <x v="0"/>
    <x v="0"/>
    <s v="MGMT OSS POD3"/>
    <x v="0"/>
    <b v="0"/>
    <s v="No está en VPC"/>
    <n v="769"/>
    <s v="INTPG_VPC_MGMT_20319_764_1.47_769_1.48"/>
    <s v="ISEL-1.48"/>
    <n v="13"/>
    <s v="NO TIENE L3OUT"/>
    <n v="60"/>
    <n v="54"/>
  </r>
  <r>
    <n v="742"/>
    <x v="2"/>
    <x v="62"/>
    <s v="eth1/48"/>
    <x v="0"/>
    <x v="1"/>
    <x v="1"/>
    <m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48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48"/>
    <x v="0"/>
    <x v="0"/>
    <x v="0"/>
    <s v="MGMT OSS POD3"/>
    <x v="0"/>
    <b v="0"/>
    <s v="No está en VPC"/>
    <n v="766"/>
    <s v="INTPG_VPC_MGMT_20318_765_1.47_766_1.48"/>
    <s v="ISEL-1.48"/>
    <n v="14"/>
    <s v="NO TIENE L3OUT"/>
    <n v="58"/>
    <n v="54"/>
  </r>
  <r>
    <n v="760"/>
    <x v="2"/>
    <x v="65"/>
    <s v="eth1/48"/>
    <x v="0"/>
    <x v="0"/>
    <x v="0"/>
    <s v="METASAN"/>
    <x v="0"/>
    <b v="0"/>
    <s v="No está en VPC"/>
    <n v="760"/>
    <s v="INTPG_VPC_MGMT_10817_761_1.47_760_1.48"/>
    <s v="ISEL-1.48"/>
    <n v="11"/>
    <s v="NO TIENE L3OUT"/>
    <n v="0"/>
    <n v="54"/>
  </r>
  <r>
    <n v="752"/>
    <x v="2"/>
    <x v="66"/>
    <s v="eth1/48"/>
    <x v="0"/>
    <x v="0"/>
    <x v="0"/>
    <m/>
    <x v="0"/>
    <b v="0"/>
    <s v="No está en VPC"/>
    <n v="752"/>
    <s v="INTPG_VPC_MGMT_10307_747_1.47_752_1.48"/>
    <s v="ISEL-1.48"/>
    <n v="5"/>
    <s v="NO TIENE L3OUT"/>
    <n v="0"/>
    <n v="54"/>
  </r>
  <r>
    <n v="765"/>
    <x v="2"/>
    <x v="67"/>
    <s v="eth1/48"/>
    <x v="0"/>
    <x v="0"/>
    <x v="0"/>
    <s v="MGMT OSS POD3"/>
    <x v="0"/>
    <b v="0"/>
    <s v="No está en VPC"/>
    <n v="765"/>
    <s v="INTPG_VPC_MGMT_20316_766_1.47_765_1.48"/>
    <s v="ISEL-1.48"/>
    <n v="10"/>
    <s v="NO TIENE L3OUT"/>
    <n v="60"/>
    <n v="54"/>
  </r>
  <r>
    <n v="778"/>
    <x v="2"/>
    <x v="68"/>
    <s v="eth1/48"/>
    <x v="0"/>
    <x v="0"/>
    <x v="0"/>
    <m/>
    <x v="0"/>
    <b v="0"/>
    <s v="No está en VPC"/>
    <n v="778"/>
    <s v="INTPG_VPC_MGMT_20208_779_1.47_778_1.48"/>
    <s v="ISEL-1.48"/>
    <n v="11"/>
    <s v="NO TIENE L3OUT"/>
    <n v="26"/>
    <n v="54"/>
  </r>
  <r>
    <n v="780"/>
    <x v="2"/>
    <x v="69"/>
    <s v="eth1/48"/>
    <x v="0"/>
    <x v="0"/>
    <x v="0"/>
    <s v="ENIQ F2"/>
    <x v="0"/>
    <b v="0"/>
    <s v="No está en VPC"/>
    <n v="780"/>
    <s v="INTPG_VPC_MGMT_20307_781_1.47_780_1.48"/>
    <s v="ISEL-1.48"/>
    <n v="8"/>
    <s v="NO TIENE L3OUT"/>
    <n v="26"/>
    <n v="54"/>
  </r>
  <r>
    <n v="812"/>
    <x v="2"/>
    <x v="70"/>
    <s v="eth1/48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48"/>
    <x v="0"/>
    <x v="0"/>
    <x v="0"/>
    <s v="LINK_HACIA_MGMT"/>
    <x v="0"/>
    <b v="0"/>
    <s v="No está en VPC"/>
    <n v="796"/>
    <s v="INTPG_VPC_MGMT_20505_795_1.47_796_1.48"/>
    <s v="ISEL-1.48"/>
    <n v="9"/>
    <s v="NO TIENE L3OUT"/>
    <n v="18"/>
    <n v="54"/>
  </r>
  <r>
    <n v="795"/>
    <x v="2"/>
    <x v="72"/>
    <s v="eth1/48"/>
    <x v="0"/>
    <x v="0"/>
    <x v="0"/>
    <s v="LINK_HACIA_MGMT"/>
    <x v="0"/>
    <b v="0"/>
    <s v="No está en VPC"/>
    <n v="795"/>
    <s v="INTPG_VPC_MGMT_20506_796_1.47_795_1.48"/>
    <s v="ISEL-1.48"/>
    <n v="6"/>
    <s v="NO TIENE L3OUT"/>
    <n v="18"/>
    <n v="54"/>
  </r>
  <r>
    <n v="749"/>
    <x v="2"/>
    <x v="73"/>
    <s v="eth1/48"/>
    <x v="0"/>
    <x v="0"/>
    <x v="0"/>
    <m/>
    <x v="0"/>
    <b v="0"/>
    <s v="No está en VPC"/>
    <n v="749"/>
    <s v="INTPG_VPC_MGMT_10414_748_1.47_749_1.48"/>
    <s v="ISEL-1.48"/>
    <n v="4"/>
    <s v="NO TIENE L3OUT"/>
    <n v="4"/>
    <n v="54"/>
  </r>
  <r>
    <n v="824"/>
    <x v="2"/>
    <x v="74"/>
    <s v="eth1/48"/>
    <x v="0"/>
    <x v="1"/>
    <x v="3"/>
    <m/>
    <x v="0"/>
    <b v="0"/>
    <s v="No está en VPC"/>
    <n v="824"/>
    <s v="NO EXISTE PG"/>
    <s v="NO EXISTE ISEL"/>
    <n v="0"/>
    <s v="NO TIENE L3OUT"/>
    <n v="70"/>
    <n v="54"/>
  </r>
  <r>
    <n v="819"/>
    <x v="2"/>
    <x v="75"/>
    <s v="eth1/48"/>
    <x v="0"/>
    <x v="1"/>
    <x v="3"/>
    <m/>
    <x v="0"/>
    <b v="0"/>
    <s v="No está en VPC"/>
    <n v="819"/>
    <s v="NO EXISTE PG"/>
    <s v="NO EXISTE ISEL"/>
    <n v="0"/>
    <s v="NO TIENE L3OUT"/>
    <n v="70"/>
    <n v="54"/>
  </r>
  <r>
    <n v="737"/>
    <x v="2"/>
    <x v="76"/>
    <s v="eth1/48"/>
    <x v="0"/>
    <x v="1"/>
    <x v="1"/>
    <m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48"/>
    <x v="0"/>
    <x v="0"/>
    <x v="0"/>
    <s v="LINK_HACIA_MGMT"/>
    <x v="0"/>
    <b v="0"/>
    <s v="No está en VPC"/>
    <n v="844"/>
    <s v="INTPG_VPC_MGMT_11018_851_1.47_844_1.48"/>
    <s v="ISEL-1.48"/>
    <n v="2"/>
    <s v="NO TIENE L3OUT"/>
    <n v="282"/>
    <n v="54"/>
  </r>
  <r>
    <n v="843"/>
    <x v="2"/>
    <x v="78"/>
    <s v="eth1/48"/>
    <x v="0"/>
    <x v="0"/>
    <x v="0"/>
    <s v="LINK_TO_ITHFHWSEQLHDPS69 / Slot 4 PTO 1 / Principal"/>
    <x v="0"/>
    <b v="0"/>
    <s v="No está en VPC"/>
    <n v="843"/>
    <s v="INTPG_ACC_843_1.48"/>
    <s v="ISEL-1.48"/>
    <n v="1"/>
    <s v="NO TIENE L3OUT"/>
    <n v="38"/>
    <n v="54"/>
  </r>
  <r>
    <n v="797"/>
    <x v="2"/>
    <x v="79"/>
    <s v="eth1/48"/>
    <x v="0"/>
    <x v="0"/>
    <x v="0"/>
    <s v="LINK_HACIA_MGMT"/>
    <x v="0"/>
    <b v="0"/>
    <s v="No está en VPC"/>
    <n v="797"/>
    <s v="INTPG_VPC_MGMT_10604_802_1.47_797_1.48"/>
    <s v="ISEL-1.48"/>
    <n v="4"/>
    <s v="NO TIENE L3OUT"/>
    <n v="48"/>
    <n v="54"/>
  </r>
  <r>
    <n v="839"/>
    <x v="2"/>
    <x v="80"/>
    <s v="eth1/48"/>
    <x v="0"/>
    <x v="0"/>
    <x v="0"/>
    <s v="LINK_HACIA_MGMT"/>
    <x v="0"/>
    <b v="0"/>
    <s v="No está en VPC"/>
    <n v="839"/>
    <s v="INTPG_VPC_MGMT_20919_834_1.47_839_1.48"/>
    <s v="ISEL-1.48"/>
    <n v="5"/>
    <s v="NO TIENE L3OUT"/>
    <n v="0"/>
    <n v="54"/>
  </r>
  <r>
    <n v="847"/>
    <x v="2"/>
    <x v="81"/>
    <s v="eth1/48"/>
    <x v="0"/>
    <x v="0"/>
    <x v="0"/>
    <s v="LINK_TO_ITHFHWCRMPLCN154 / Slot7.2_10 / Redundante"/>
    <x v="0"/>
    <b v="0"/>
    <s v="No está en VPC"/>
    <n v="847"/>
    <s v="INTPG_ACC_847_1.48"/>
    <s v="ISEL-1.48"/>
    <n v="2"/>
    <s v="NO TIENE L3OUT"/>
    <n v="204"/>
    <n v="54"/>
  </r>
  <r>
    <n v="848"/>
    <x v="2"/>
    <x v="82"/>
    <s v="eth1/48"/>
    <x v="0"/>
    <x v="0"/>
    <x v="0"/>
    <s v="VPC_2DCRMP_BDA11_2"/>
    <x v="0"/>
    <b v="0"/>
    <s v="No está en VPC"/>
    <n v="848"/>
    <s v="INTPG_VPC_855_1.48_848_1.48"/>
    <s v="ISEL-1.48"/>
    <n v="2"/>
    <s v="NO TIENE L3OUT"/>
    <n v="254"/>
    <n v="54"/>
  </r>
  <r>
    <n v="846"/>
    <x v="2"/>
    <x v="83"/>
    <s v="eth1/48"/>
    <x v="0"/>
    <x v="0"/>
    <x v="0"/>
    <s v="LINK_TO_ITHFHWCRMPLCN87 / Slot1.3_32 / Principal"/>
    <x v="0"/>
    <b v="0"/>
    <s v="No está en VPC"/>
    <n v="846"/>
    <s v="INTPG_ACC_846_1.48"/>
    <s v="ISEL-1.48"/>
    <n v="1"/>
    <s v="NO TIENE L3OUT"/>
    <n v="242"/>
    <n v="54"/>
  </r>
  <r>
    <n v="838"/>
    <x v="2"/>
    <x v="84"/>
    <s v="eth1/48"/>
    <x v="0"/>
    <x v="0"/>
    <x v="0"/>
    <s v="LINK_TO_ITHFHWSEQLHDPS69 / Slot 5 PTO 1 / Redundante"/>
    <x v="0"/>
    <b v="0"/>
    <s v="No está en VPC"/>
    <n v="838"/>
    <s v="INTPG_ACC_838_1.48"/>
    <s v="ISEL-1.48"/>
    <n v="1"/>
    <s v="NO TIENE L3OUT"/>
    <n v="38"/>
    <n v="54"/>
  </r>
  <r>
    <n v="849"/>
    <x v="2"/>
    <x v="85"/>
    <s v="eth1/48"/>
    <x v="0"/>
    <x v="0"/>
    <x v="0"/>
    <s v="LINK_TO_ITHFHWCRMPLCN150 / Slot7.2_34 / Redundante"/>
    <x v="0"/>
    <b v="0"/>
    <s v="No está en VPC"/>
    <n v="849"/>
    <s v="INTPG_ACC_849_1.48"/>
    <s v="ISEL-1.48"/>
    <n v="2"/>
    <s v="NO TIENE L3OUT"/>
    <n v="286"/>
    <n v="54"/>
  </r>
  <r>
    <n v="845"/>
    <x v="2"/>
    <x v="86"/>
    <s v="eth1/48"/>
    <x v="0"/>
    <x v="0"/>
    <x v="0"/>
    <s v="VPC_2DCRMP_BDP05_1"/>
    <x v="0"/>
    <b v="0"/>
    <s v="No está en VPC"/>
    <n v="845"/>
    <s v="INTPG_VPC_845_1.48_852_1.48"/>
    <s v="ISEL-1.48"/>
    <n v="6"/>
    <s v="NO TIENE L3OUT"/>
    <n v="258"/>
    <n v="54"/>
  </r>
  <r>
    <n v="873"/>
    <x v="2"/>
    <x v="87"/>
    <s v="eth1/48"/>
    <x v="0"/>
    <x v="0"/>
    <x v="0"/>
    <s v="To_ITHFHWCRMDLCN39_Redundante"/>
    <x v="0"/>
    <b v="0"/>
    <s v="No está en VPC"/>
    <n v="873"/>
    <s v="INTPG_ACC_873_1.48"/>
    <s v="ISEL-1.48"/>
    <n v="1"/>
    <s v="NO TIENE L3OUT"/>
    <n v="248"/>
    <n v="54"/>
  </r>
  <r>
    <n v="864"/>
    <x v="2"/>
    <x v="88"/>
    <s v="eth1/48"/>
    <x v="0"/>
    <x v="0"/>
    <x v="0"/>
    <s v="To_VPC_2DCBSD_WR51_3"/>
    <x v="0"/>
    <b v="0"/>
    <s v="No está en VPC"/>
    <n v="864"/>
    <s v="INTPG_VPC_859_1.48_864_1.48"/>
    <s v="ISEL-1.48"/>
    <n v="1"/>
    <s v="NO TIENE L3OUT"/>
    <n v="0"/>
    <n v="54"/>
  </r>
  <r>
    <n v="836"/>
    <x v="2"/>
    <x v="89"/>
    <s v="eth1/48"/>
    <x v="0"/>
    <x v="0"/>
    <x v="0"/>
    <s v="LINK_TO_ITHFHWCBSPSHD30 / Slot1.2_24 / Principal"/>
    <x v="0"/>
    <b v="0"/>
    <s v="No está en VPC"/>
    <n v="836"/>
    <s v="INTPG_VPC_836_1.48_841_1.48"/>
    <s v="ISEL-1.48"/>
    <n v="1"/>
    <s v="NO TIENE L3OUT"/>
    <n v="0"/>
    <n v="54"/>
  </r>
  <r>
    <n v="834"/>
    <x v="2"/>
    <x v="90"/>
    <s v="eth1/48"/>
    <x v="0"/>
    <x v="0"/>
    <x v="0"/>
    <s v="LINK_HACIA_MGMT"/>
    <x v="0"/>
    <b v="0"/>
    <s v="No está en VPC"/>
    <n v="834"/>
    <s v="INTPG_VPC_MGMT_21019_839_1.47_834_1.48"/>
    <s v="ISEL-1.48"/>
    <n v="5"/>
    <s v="NO TIENE L3OUT"/>
    <n v="0"/>
    <n v="54"/>
  </r>
  <r>
    <n v="872"/>
    <x v="2"/>
    <x v="91"/>
    <s v="eth1/48"/>
    <x v="0"/>
    <x v="0"/>
    <x v="0"/>
    <s v="TO_ITHFHWCRMDLCN53_Principal"/>
    <x v="0"/>
    <b v="0"/>
    <s v="No está en VPC"/>
    <n v="872"/>
    <s v="INTPG_ACC_872_1.48"/>
    <s v="ISEL-1.48"/>
    <n v="6"/>
    <s v="NO TIENE L3OUT"/>
    <n v="288"/>
    <n v="54"/>
  </r>
  <r>
    <n v="842"/>
    <x v="2"/>
    <x v="92"/>
    <s v="eth1/48"/>
    <x v="0"/>
    <x v="0"/>
    <x v="0"/>
    <s v="LINK_To_ITHFHWCBSPSHD24 / Slot7.1_24 / Redundante"/>
    <x v="0"/>
    <b v="0"/>
    <s v="No está en VPC"/>
    <n v="842"/>
    <s v="INTPG_VPC_837_1.48_842_1.48"/>
    <s v="ISEL-1.48"/>
    <n v="2"/>
    <s v="NO TIENE L3OUT"/>
    <n v="8"/>
    <n v="54"/>
  </r>
  <r>
    <n v="828"/>
    <x v="2"/>
    <x v="93"/>
    <s v="eth1/48"/>
    <x v="0"/>
    <x v="0"/>
    <x v="0"/>
    <s v="To_ITHFHWCRMDLCN43_Principal"/>
    <x v="0"/>
    <b v="0"/>
    <s v="No está en VPC"/>
    <n v="828"/>
    <s v="INTPG_ACC_828_1.48"/>
    <s v="ISEL-1.48"/>
    <n v="6"/>
    <s v="NO TIENE L3OUT"/>
    <n v="192"/>
    <n v="54"/>
  </r>
  <r>
    <n v="870"/>
    <x v="2"/>
    <x v="94"/>
    <s v="eth1/48"/>
    <x v="0"/>
    <x v="0"/>
    <x v="0"/>
    <s v="To_ITHFHWCRMDLCN39_Principal"/>
    <x v="0"/>
    <b v="0"/>
    <s v="No está en VPC"/>
    <n v="870"/>
    <s v="INTPG_ACC_870_1.48"/>
    <s v="ISEL-1.48"/>
    <n v="1"/>
    <s v="NO TIENE L3OUT"/>
    <n v="248"/>
    <n v="54"/>
  </r>
  <r>
    <n v="866"/>
    <x v="2"/>
    <x v="95"/>
    <s v="eth1/48"/>
    <x v="0"/>
    <x v="0"/>
    <x v="0"/>
    <s v="To_VPC_2DCBSD_WR37_2"/>
    <x v="0"/>
    <b v="0"/>
    <s v="No está en VPC"/>
    <n v="866"/>
    <s v="INTPG_VPC_861_1.48_866_1.48"/>
    <s v="ISEL-1.48"/>
    <n v="1"/>
    <s v="NO TIENE L3OUT"/>
    <n v="8"/>
    <n v="54"/>
  </r>
  <r>
    <n v="862"/>
    <x v="2"/>
    <x v="96"/>
    <s v="eth1/48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48"/>
    <x v="0"/>
    <x v="0"/>
    <x v="0"/>
    <s v="VPC_2DCRMP_BDA11_2"/>
    <x v="0"/>
    <b v="0"/>
    <s v="No está en VPC"/>
    <n v="855"/>
    <s v="INTPG_VPC_855_1.48_848_1.48"/>
    <s v="ISEL-1.48"/>
    <n v="2"/>
    <s v="NO TIENE L3OUT"/>
    <n v="254"/>
    <n v="54"/>
  </r>
  <r>
    <n v="871"/>
    <x v="2"/>
    <x v="98"/>
    <s v="eth1/48"/>
    <x v="0"/>
    <x v="0"/>
    <x v="0"/>
    <s v="LINK_HACIA_MGMT"/>
    <x v="0"/>
    <b v="0"/>
    <s v="No está en VPC"/>
    <n v="871"/>
    <s v="INTPG_VPC_MGMT_11318_868_1.47_871_1.48"/>
    <s v="ISEL-1.48"/>
    <n v="2"/>
    <s v="NO TIENE L3OUT"/>
    <n v="246"/>
    <n v="54"/>
  </r>
  <r>
    <n v="841"/>
    <x v="2"/>
    <x v="99"/>
    <s v="eth1/48"/>
    <x v="0"/>
    <x v="0"/>
    <x v="0"/>
    <s v="LINK_TO_ITHFHWCBSPSHD30 / Slot7.2_24 / Redundante"/>
    <x v="0"/>
    <b v="0"/>
    <s v="No está en VPC"/>
    <n v="841"/>
    <s v="INTPG_VPC_836_1.48_841_1.48"/>
    <s v="ISEL-1.48"/>
    <n v="1"/>
    <s v="NO TIENE L3OUT"/>
    <n v="0"/>
    <n v="54"/>
  </r>
  <r>
    <n v="868"/>
    <x v="2"/>
    <x v="100"/>
    <s v="eth1/48"/>
    <x v="0"/>
    <x v="0"/>
    <x v="0"/>
    <s v="LINK_HACIA_MGMT"/>
    <x v="0"/>
    <b v="0"/>
    <s v="No está en VPC"/>
    <n v="868"/>
    <s v="INTPG_VPC_MGMT_11418_871_1.47_868_1.48"/>
    <s v="ISEL-1.48"/>
    <n v="2"/>
    <s v="NO TIENE L3OUT"/>
    <n v="246"/>
    <n v="54"/>
  </r>
  <r>
    <n v="869"/>
    <x v="2"/>
    <x v="101"/>
    <s v="eth1/48"/>
    <x v="0"/>
    <x v="0"/>
    <x v="0"/>
    <s v="TO_ITHFHWCRMDLCN53_Redundante"/>
    <x v="0"/>
    <b v="0"/>
    <s v="No está en VPC"/>
    <n v="869"/>
    <s v="INTPG_ACC_869_1.48"/>
    <s v="ISEL-1.48"/>
    <n v="6"/>
    <s v="NO TIENE L3OUT"/>
    <n v="288"/>
    <n v="54"/>
  </r>
  <r>
    <n v="861"/>
    <x v="2"/>
    <x v="102"/>
    <s v="eth1/48"/>
    <x v="0"/>
    <x v="0"/>
    <x v="0"/>
    <s v="To_VPC_2DCBSD_WR37_2"/>
    <x v="0"/>
    <b v="0"/>
    <s v="No está en VPC"/>
    <n v="861"/>
    <s v="INTPG_VPC_861_1.48_866_1.48"/>
    <s v="ISEL-1.48"/>
    <n v="1"/>
    <s v="NO TIENE L3OUT"/>
    <n v="8"/>
    <n v="54"/>
  </r>
  <r>
    <n v="874"/>
    <x v="2"/>
    <x v="103"/>
    <s v="eth1/48"/>
    <x v="0"/>
    <x v="0"/>
    <x v="0"/>
    <s v="LINK_HACIA_MGMT"/>
    <x v="4"/>
    <b v="0"/>
    <s v="No está en VPC"/>
    <n v="874"/>
    <s v="INTPG_VPC_MGMT_21019_876_1.47_874_1.48"/>
    <s v="ISEL-1.48"/>
    <n v="4"/>
    <s v="NO TIENE L3OUT"/>
    <n v="92"/>
    <n v="54"/>
  </r>
  <r>
    <n v="865"/>
    <x v="2"/>
    <x v="104"/>
    <s v="eth1/48"/>
    <x v="0"/>
    <x v="0"/>
    <x v="0"/>
    <s v="To_VPC_2DCBSD_WR41_3"/>
    <x v="0"/>
    <b v="0"/>
    <s v="No está en VPC"/>
    <n v="865"/>
    <s v="INTPG_VPC_860_1.48_865_1.48"/>
    <s v="ISEL-1.48"/>
    <n v="1"/>
    <s v="NO TIENE L3OUT"/>
    <n v="0"/>
    <n v="54"/>
  </r>
  <r>
    <n v="753"/>
    <x v="2"/>
    <x v="105"/>
    <s v="eth1/48"/>
    <x v="0"/>
    <x v="0"/>
    <x v="0"/>
    <m/>
    <x v="0"/>
    <b v="0"/>
    <s v="No está en VPC"/>
    <n v="753"/>
    <s v="INTPG_VPC_MGMT_10104_754_1.47_753_1.48"/>
    <s v="ISEL-1.48"/>
    <n v="18"/>
    <s v="NO TIENE L3OUT"/>
    <n v="62"/>
    <n v="54"/>
  </r>
  <r>
    <n v="708"/>
    <x v="2"/>
    <x v="106"/>
    <s v="eth1/48"/>
    <x v="0"/>
    <x v="0"/>
    <x v="0"/>
    <m/>
    <x v="0"/>
    <b v="0"/>
    <s v="No está en VPC"/>
    <n v="708"/>
    <s v="INTPG-VPC_MGMT-10212_709_1.47_708_1.48"/>
    <s v="ISEL-1.48"/>
    <n v="3"/>
    <s v="NO TIENE L3OUT"/>
    <n v="0"/>
    <n v="54"/>
  </r>
  <r>
    <n v="710"/>
    <x v="2"/>
    <x v="107"/>
    <s v="eth1/48"/>
    <x v="0"/>
    <x v="0"/>
    <x v="0"/>
    <m/>
    <x v="0"/>
    <b v="0"/>
    <s v="No está en VPC"/>
    <n v="710"/>
    <s v="INTPG-VPC_MGMT-10215_711_1.47_710_1.48"/>
    <s v="ISEL-1.48"/>
    <n v="3"/>
    <s v="NO TIENE L3OUT"/>
    <n v="16"/>
    <n v="54"/>
  </r>
  <r>
    <n v="713"/>
    <x v="2"/>
    <x v="108"/>
    <s v="eth1/48"/>
    <x v="0"/>
    <x v="0"/>
    <x v="0"/>
    <m/>
    <x v="0"/>
    <b v="0"/>
    <s v="No está en VPC"/>
    <n v="713"/>
    <s v="INTPG-VPC_MGMT-10216_712_1.47_713_1.48"/>
    <s v="ISEL-1.48"/>
    <n v="6"/>
    <s v="NO TIENE L3OUT"/>
    <n v="32"/>
    <n v="54"/>
  </r>
  <r>
    <n v="735"/>
    <x v="2"/>
    <x v="109"/>
    <s v="eth1/48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48"/>
    <x v="0"/>
    <x v="0"/>
    <x v="0"/>
    <m/>
    <x v="0"/>
    <b v="0"/>
    <s v="No está en VPC"/>
    <n v="731"/>
    <s v="INTPG-VPC_MGMT-10417_730_1.47_731_1.48"/>
    <s v="ISEL-1.48"/>
    <n v="3"/>
    <s v="NO TIENE L3OUT"/>
    <n v="38"/>
    <n v="54"/>
  </r>
  <r>
    <n v="703"/>
    <x v="2"/>
    <x v="111"/>
    <s v="eth1/48"/>
    <x v="0"/>
    <x v="1"/>
    <x v="1"/>
    <m/>
    <x v="0"/>
    <b v="0"/>
    <s v="No está en VPC"/>
    <n v="703"/>
    <s v="INTPG-VPC_MGMT-10116_704_1.47_703_1.48"/>
    <s v="ISEL-1.48"/>
    <n v="3"/>
    <s v="NO TIENE L3OUT"/>
    <n v="2"/>
    <n v="54"/>
  </r>
  <r>
    <n v="706"/>
    <x v="2"/>
    <x v="112"/>
    <s v="eth1/48"/>
    <x v="0"/>
    <x v="0"/>
    <x v="0"/>
    <s v="LINK_HACIA_MGMT"/>
    <x v="0"/>
    <b v="0"/>
    <s v="No está en VPC"/>
    <n v="706"/>
    <s v="INTPG-VPC_MGMT-10117_705_1.47_706_1.48"/>
    <s v="ISEL-1.48"/>
    <n v="6"/>
    <s v="NO TIENE L3OUT"/>
    <n v="16"/>
    <n v="54"/>
  </r>
  <r>
    <n v="762"/>
    <x v="2"/>
    <x v="113"/>
    <s v="eth1/48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48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48"/>
    <x v="0"/>
    <x v="0"/>
    <x v="0"/>
    <s v="LINK_HACIA_MGMT"/>
    <x v="0"/>
    <b v="0"/>
    <s v="No está en VPC"/>
    <n v="826"/>
    <s v="INTPG_VPC_MGMT_11418_830_1.47_826_1.48"/>
    <s v="ISEL-1.48"/>
    <n v="5"/>
    <s v="NO TIENE L3OUT"/>
    <n v="12"/>
    <n v="54"/>
  </r>
  <r>
    <n v="726"/>
    <x v="2"/>
    <x v="117"/>
    <s v="eth1/48"/>
    <x v="0"/>
    <x v="0"/>
    <x v="0"/>
    <m/>
    <x v="0"/>
    <b v="0"/>
    <s v="No está en VPC"/>
    <n v="726"/>
    <s v="INTPG-VPC_MGMT-20218_727_1.47_726_1.48"/>
    <s v="ISEL-1.48"/>
    <n v="6"/>
    <s v="NO TIENE L3OUT"/>
    <n v="0"/>
    <n v="54"/>
  </r>
  <r>
    <n v="740"/>
    <x v="2"/>
    <x v="118"/>
    <s v="eth1/48"/>
    <x v="0"/>
    <x v="1"/>
    <x v="1"/>
    <m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48"/>
    <x v="0"/>
    <x v="0"/>
    <x v="0"/>
    <m/>
    <x v="0"/>
    <b v="0"/>
    <s v="No está en VPC"/>
    <n v="705"/>
    <s v="INTPG-VPC_MGMT-10118_706_1.47_705_1.48"/>
    <s v="ISEL-1.48"/>
    <n v="6"/>
    <s v="NO TIENE L3OUT"/>
    <n v="16"/>
    <n v="54"/>
  </r>
  <r>
    <n v="723"/>
    <x v="2"/>
    <x v="120"/>
    <s v="eth1/48"/>
    <x v="0"/>
    <x v="0"/>
    <x v="0"/>
    <m/>
    <x v="0"/>
    <b v="0"/>
    <s v="No está en VPC"/>
    <n v="723"/>
    <s v="INTPG-VPC_MGMT-20212_722_1.47_723_1.48"/>
    <s v="ISEL-1.48"/>
    <n v="3"/>
    <s v="NO TIENE L3OUT"/>
    <n v="0"/>
    <n v="54"/>
  </r>
  <r>
    <n v="721"/>
    <x v="2"/>
    <x v="121"/>
    <s v="eth1/48"/>
    <x v="0"/>
    <x v="0"/>
    <x v="0"/>
    <m/>
    <x v="0"/>
    <b v="0"/>
    <s v="No está en VPC"/>
    <n v="721"/>
    <s v="INTPG-VPC_MGMT-20110_714_1.47_721_1.48"/>
    <s v="ISEL-1.48"/>
    <n v="3"/>
    <s v="NO TIENE L3OUT"/>
    <n v="20"/>
    <n v="54"/>
  </r>
  <r>
    <n v="788"/>
    <x v="2"/>
    <x v="122"/>
    <s v="eth1/48"/>
    <x v="0"/>
    <x v="0"/>
    <x v="0"/>
    <s v="TAISHAN"/>
    <x v="0"/>
    <b v="0"/>
    <s v="No está en VPC"/>
    <n v="788"/>
    <s v="INTPG_VPC_MGMT_10206_789_1.47_788_1.48"/>
    <s v="ISEL-1.48"/>
    <n v="1"/>
    <s v="NO TIENE L3OUT"/>
    <n v="4"/>
    <n v="54"/>
  </r>
  <r>
    <n v="732"/>
    <x v="2"/>
    <x v="123"/>
    <s v="eth1/48"/>
    <x v="0"/>
    <x v="1"/>
    <x v="1"/>
    <m/>
    <x v="0"/>
    <b v="0"/>
    <s v="No está en VPC"/>
    <n v="732"/>
    <s v="INTPG-VPC_MGMT-10418_733_1.47_732_1.48"/>
    <s v="ISEL-1.48"/>
    <n v="4"/>
    <s v="NO TIENE L3OUT"/>
    <n v="0"/>
    <n v="54"/>
  </r>
  <r>
    <n v="720"/>
    <x v="2"/>
    <x v="124"/>
    <s v="eth1/48"/>
    <x v="0"/>
    <x v="0"/>
    <x v="0"/>
    <m/>
    <x v="0"/>
    <b v="0"/>
    <s v="No está en VPC"/>
    <n v="720"/>
    <s v="INTPG-VPC_MGMT-20118_719_1.47_720_1.48"/>
    <s v="ISEL-1.48"/>
    <n v="5"/>
    <s v="NO TIENE L3OUT"/>
    <n v="0"/>
    <n v="54"/>
  </r>
  <r>
    <n v="709"/>
    <x v="2"/>
    <x v="125"/>
    <s v="eth1/48"/>
    <x v="0"/>
    <x v="0"/>
    <x v="0"/>
    <m/>
    <x v="0"/>
    <b v="0"/>
    <s v="No está en VPC"/>
    <n v="709"/>
    <s v="INTPG-VPC_MGMT-10211_708_1.47_709_1.48"/>
    <s v="ISEL-1.48"/>
    <n v="3"/>
    <s v="NO TIENE L3OUT"/>
    <n v="0"/>
    <n v="54"/>
  </r>
  <r>
    <n v="454"/>
    <x v="1"/>
    <x v="126"/>
    <s v="eth1/48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48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48"/>
    <x v="0"/>
    <x v="1"/>
    <x v="1"/>
    <m/>
    <x v="0"/>
    <b v="0"/>
    <s v="No está en VPC"/>
    <n v="743"/>
    <s v="INTPG_VPC_MGMT_10312_744_1.47_743_1.48"/>
    <s v="ISEL-1.48"/>
    <n v="4"/>
    <s v="NO TIENE L3OUT"/>
    <n v="4"/>
    <n v="54"/>
  </r>
  <r>
    <n v="718"/>
    <x v="2"/>
    <x v="130"/>
    <s v="eth1/48"/>
    <x v="0"/>
    <x v="0"/>
    <x v="0"/>
    <m/>
    <x v="0"/>
    <b v="0"/>
    <s v="No está en VPC"/>
    <n v="718"/>
    <s v="INTPG-VPC_MGMT-20115_717_1.47_718_1.48"/>
    <s v="ISEL-1.48"/>
    <n v="3"/>
    <s v="NO TIENE L3OUT"/>
    <n v="0"/>
    <n v="54"/>
  </r>
  <r>
    <n v="744"/>
    <x v="2"/>
    <x v="131"/>
    <s v="eth1/48"/>
    <x v="0"/>
    <x v="0"/>
    <x v="0"/>
    <m/>
    <x v="0"/>
    <b v="0"/>
    <s v="No está en VPC"/>
    <n v="744"/>
    <s v="INTPG_VPC_MGMT_10313_743_1.47_744_1.48"/>
    <s v="ISEL-1.48"/>
    <n v="6"/>
    <s v="NO TIENE L3OUT"/>
    <n v="4"/>
    <n v="54"/>
  </r>
  <r>
    <n v="741"/>
    <x v="2"/>
    <x v="132"/>
    <s v="eth1/48"/>
    <x v="0"/>
    <x v="1"/>
    <x v="1"/>
    <m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48"/>
    <x v="0"/>
    <x v="0"/>
    <x v="0"/>
    <s v="ENIQ F2"/>
    <x v="0"/>
    <b v="0"/>
    <s v="No está en VPC"/>
    <n v="787"/>
    <s v="INTPG_VPC_MGMT_20410_786_1.47_787_1.48"/>
    <s v="ISEL-1.48"/>
    <n v="16"/>
    <s v="NO TIENE L3OUT"/>
    <n v="26"/>
    <n v="54"/>
  </r>
  <r>
    <n v="750"/>
    <x v="2"/>
    <x v="134"/>
    <s v="eth1/48"/>
    <x v="0"/>
    <x v="0"/>
    <x v="0"/>
    <m/>
    <x v="0"/>
    <b v="0"/>
    <s v="No está en VPC"/>
    <n v="750"/>
    <s v="INTPG_VPC_MGMT_10409_751_1.47_750_1.48"/>
    <s v="ISEL-1.48"/>
    <n v="6"/>
    <s v="NO TIENE L3OUT"/>
    <n v="2"/>
    <n v="54"/>
  </r>
  <r>
    <n v="792"/>
    <x v="2"/>
    <x v="135"/>
    <s v="eth1/48"/>
    <x v="0"/>
    <x v="0"/>
    <x v="0"/>
    <s v="CRM_CBS"/>
    <x v="0"/>
    <b v="0"/>
    <s v="No está en VPC"/>
    <n v="792"/>
    <s v="INTPG_VPC_MGMT_10406_757_1.47_792_1.48"/>
    <s v="ISEL-1.48"/>
    <n v="4"/>
    <s v="NO TIENE L3OUT"/>
    <n v="0"/>
    <n v="54"/>
  </r>
  <r>
    <n v="736"/>
    <x v="2"/>
    <x v="136"/>
    <s v="eth1/48"/>
    <x v="0"/>
    <x v="1"/>
    <x v="3"/>
    <m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48"/>
    <x v="0"/>
    <x v="0"/>
    <x v="0"/>
    <s v="LINK_HACIA_MGMT"/>
    <x v="0"/>
    <b v="0"/>
    <s v="No está en VPC"/>
    <n v="799"/>
    <s v="INTPG_VPC_MGMT_10506_798_1.47_799_1.48"/>
    <s v="ISEL-1.48"/>
    <n v="5"/>
    <s v="NO TIENE L3OUT"/>
    <n v="52"/>
    <n v="54"/>
  </r>
  <r>
    <n v="768"/>
    <x v="2"/>
    <x v="138"/>
    <s v="eth1/48"/>
    <x v="0"/>
    <x v="0"/>
    <x v="0"/>
    <s v="MGMT OSS POD3"/>
    <x v="0"/>
    <b v="0"/>
    <s v="No está en VPC"/>
    <n v="768"/>
    <s v="INTPG_VPC_MGMT_20314_767_1.47_768_1.48"/>
    <s v="ISEL-1.48"/>
    <n v="9"/>
    <s v="NO TIENE L3OUT"/>
    <n v="62"/>
    <n v="54"/>
  </r>
  <r>
    <n v="714"/>
    <x v="2"/>
    <x v="139"/>
    <s v="eth1/48"/>
    <x v="0"/>
    <x v="0"/>
    <x v="0"/>
    <m/>
    <x v="0"/>
    <b v="0"/>
    <s v="No está en VPC"/>
    <n v="714"/>
    <s v="INTPG-VPC_MGMT-20210_721_1.47_714_1.48"/>
    <s v="ISEL-1.48"/>
    <n v="4"/>
    <s v="NO TIENE L3OUT"/>
    <n v="20"/>
    <n v="54"/>
  </r>
  <r>
    <n v="717"/>
    <x v="2"/>
    <x v="140"/>
    <s v="eth1/48"/>
    <x v="0"/>
    <x v="0"/>
    <x v="0"/>
    <m/>
    <x v="0"/>
    <b v="0"/>
    <s v="No está en VPC"/>
    <n v="717"/>
    <s v="INTPG-VPC_MGMT-20116_718_1.47_717_1.48"/>
    <s v="ISEL-1.48"/>
    <n v="3"/>
    <s v="NO TIENE L3OUT"/>
    <n v="0"/>
    <n v="54"/>
  </r>
  <r>
    <n v="789"/>
    <x v="2"/>
    <x v="141"/>
    <s v="eth1/48"/>
    <x v="0"/>
    <x v="0"/>
    <x v="0"/>
    <s v="TAISHAN"/>
    <x v="0"/>
    <b v="0"/>
    <s v="No está en VPC"/>
    <n v="789"/>
    <s v="INTPG_VPC_MGMT_10204_788_1.47_789_1.48"/>
    <s v="ISEL-1.48"/>
    <n v="3"/>
    <s v="NO TIENE L3OUT"/>
    <n v="0"/>
    <n v="54"/>
  </r>
  <r>
    <n v="764"/>
    <x v="2"/>
    <x v="142"/>
    <s v="eth1/48"/>
    <x v="0"/>
    <x v="0"/>
    <x v="0"/>
    <s v="MGMT OSS POD3"/>
    <x v="0"/>
    <b v="0"/>
    <s v="No está en VPC"/>
    <n v="764"/>
    <s v="INTPG_VPC_MGMT_20419_769_1.47_764_1.48"/>
    <s v="ISEL-1.48"/>
    <n v="11"/>
    <s v="NO TIENE L3OUT"/>
    <n v="62"/>
    <n v="54"/>
  </r>
  <r>
    <n v="783"/>
    <x v="2"/>
    <x v="143"/>
    <s v="eth1/48"/>
    <x v="0"/>
    <x v="0"/>
    <x v="0"/>
    <s v="ENIQ F2"/>
    <x v="0"/>
    <b v="0"/>
    <s v="No está en VPC"/>
    <n v="783"/>
    <s v="INTPG_VPC_MGMT_20309_782_1.47_783_1.48"/>
    <s v="ISEL-1.48"/>
    <n v="9"/>
    <s v="NO TIENE L3OUT"/>
    <n v="26"/>
    <n v="54"/>
  </r>
  <r>
    <n v="774"/>
    <x v="2"/>
    <x v="144"/>
    <s v="eth1/48"/>
    <x v="0"/>
    <x v="0"/>
    <x v="0"/>
    <s v="MGMT CLOUD II"/>
    <x v="0"/>
    <b v="0"/>
    <s v="No está en VPC"/>
    <n v="774"/>
    <s v="INTPG_VPC_MGMT_20105_775_1.47_774_1.48"/>
    <s v="ISEL-1.48"/>
    <n v="4"/>
    <s v="NO TIENE L3OUT"/>
    <n v="0"/>
    <n v="54"/>
  </r>
  <r>
    <n v="773"/>
    <x v="2"/>
    <x v="145"/>
    <s v="eth1/48"/>
    <x v="0"/>
    <x v="0"/>
    <x v="0"/>
    <s v="MGMT OSS POD3"/>
    <x v="0"/>
    <b v="0"/>
    <s v="No está en VPC"/>
    <n v="773"/>
    <s v="INTPG_VPC_MGMT_20414_772_1.47_773_1.48"/>
    <s v="ISEL-1.48"/>
    <n v="6"/>
    <s v="NO TIENE L3OUT"/>
    <n v="78"/>
    <n v="54"/>
  </r>
  <r>
    <n v="794"/>
    <x v="2"/>
    <x v="146"/>
    <s v="eth1/48"/>
    <x v="0"/>
    <x v="0"/>
    <x v="0"/>
    <s v="LINK_HACIA_MGMT"/>
    <x v="0"/>
    <b v="0"/>
    <s v="No está en VPC"/>
    <n v="794"/>
    <s v="INTPG_VPC_MGMT_20712_793_1.47_794_1.48"/>
    <s v="ISEL-1.48"/>
    <n v="6"/>
    <s v="NO TIENE L3OUT"/>
    <n v="12"/>
    <n v="54"/>
  </r>
  <r>
    <n v="803"/>
    <x v="2"/>
    <x v="147"/>
    <s v="eth1/48"/>
    <x v="0"/>
    <x v="0"/>
    <x v="0"/>
    <s v="LINK_HACIA_MGMT"/>
    <x v="0"/>
    <b v="0"/>
    <s v="No está en VPC"/>
    <n v="803"/>
    <s v="INTPG_VPC_MGMT_10607_804_1.47_803_1.48"/>
    <s v="ISEL-1.48"/>
    <n v="5"/>
    <s v="NO TIENE L3OUT"/>
    <n v="48"/>
    <n v="54"/>
  </r>
  <r>
    <n v="786"/>
    <x v="2"/>
    <x v="148"/>
    <s v="eth1/48"/>
    <x v="0"/>
    <x v="0"/>
    <x v="0"/>
    <s v="ENIQ F2"/>
    <x v="0"/>
    <b v="0"/>
    <s v="No está en VPC"/>
    <n v="786"/>
    <s v="INTPG_VPC_MGMT_20412_787_1.47_786_1.48"/>
    <s v="ISEL-1.48"/>
    <n v="17"/>
    <s v="NO TIENE L3OUT"/>
    <n v="26"/>
    <n v="54"/>
  </r>
  <r>
    <n v="757"/>
    <x v="2"/>
    <x v="149"/>
    <s v="eth1/48"/>
    <x v="0"/>
    <x v="0"/>
    <x v="0"/>
    <s v="CRM_CBS"/>
    <x v="0"/>
    <b v="0"/>
    <s v="No está en VPC"/>
    <n v="757"/>
    <s v="INTPG_VPC_MGMT_10403_792_1.47_757_1.48"/>
    <s v="ISEL-1.48"/>
    <n v="4"/>
    <s v="NO TIENE L3OUT"/>
    <n v="0"/>
    <n v="54"/>
  </r>
  <r>
    <n v="781"/>
    <x v="2"/>
    <x v="150"/>
    <s v="eth1/48"/>
    <x v="0"/>
    <x v="0"/>
    <x v="0"/>
    <s v="ENIQ F2"/>
    <x v="0"/>
    <b v="0"/>
    <s v="No está en VPC"/>
    <n v="781"/>
    <s v="INTPG_VPC_MGMT_20305_780_1.47_781_1.48"/>
    <s v="ISEL-1.48"/>
    <n v="8"/>
    <s v="NO TIENE L3OUT"/>
    <n v="26"/>
    <n v="54"/>
  </r>
  <r>
    <n v="793"/>
    <x v="2"/>
    <x v="151"/>
    <s v="eth1/48"/>
    <x v="0"/>
    <x v="0"/>
    <x v="0"/>
    <s v="LINK_HACIA_MGMT"/>
    <x v="0"/>
    <b v="0"/>
    <s v="No está en VPC"/>
    <n v="793"/>
    <s v="INTPG_VPC_MGMT_20713_794_1.47_793_1.48"/>
    <s v="ISEL-1.48"/>
    <n v="5"/>
    <s v="NO TIENE L3OUT"/>
    <n v="12"/>
    <n v="54"/>
  </r>
  <r>
    <n v="747"/>
    <x v="2"/>
    <x v="152"/>
    <s v="eth1/48"/>
    <x v="0"/>
    <x v="0"/>
    <x v="0"/>
    <m/>
    <x v="0"/>
    <b v="0"/>
    <s v="No está en VPC"/>
    <n v="747"/>
    <s v="INTPG_VPC_MGMT_10407_752_1.47_747_1.48"/>
    <s v="ISEL-1.48"/>
    <n v="5"/>
    <s v="NO TIENE L3OUT"/>
    <n v="0"/>
    <n v="54"/>
  </r>
  <r>
    <n v="784"/>
    <x v="2"/>
    <x v="153"/>
    <s v="eth1/48"/>
    <x v="0"/>
    <x v="0"/>
    <x v="0"/>
    <s v="ENIQ F2"/>
    <x v="0"/>
    <b v="0"/>
    <s v="No está en VPC"/>
    <n v="784"/>
    <s v="INTPG_VPC_MGMT_20409_785_1.47_784_1.48"/>
    <s v="ISEL-1.48"/>
    <n v="8"/>
    <s v="NO TIENE L3OUT"/>
    <n v="26"/>
    <n v="54"/>
  </r>
  <r>
    <n v="806"/>
    <x v="2"/>
    <x v="154"/>
    <s v="eth1/48"/>
    <x v="0"/>
    <x v="0"/>
    <x v="0"/>
    <s v="LINK_HACIA_MGMT"/>
    <x v="0"/>
    <b v="0"/>
    <s v="No está en VPC"/>
    <n v="806"/>
    <s v="INTPG_VPC_MGMT_10609_805_1.47_806_1.48"/>
    <s v="ISEL-1.48"/>
    <n v="5"/>
    <s v="NO TIENE L3OUT"/>
    <n v="44"/>
    <n v="54"/>
  </r>
  <r>
    <n v="777"/>
    <x v="2"/>
    <x v="155"/>
    <s v="eth1/48"/>
    <x v="0"/>
    <x v="0"/>
    <x v="0"/>
    <s v="MGMT CLOUD II"/>
    <x v="0"/>
    <b v="0"/>
    <s v="No está en VPC"/>
    <n v="777"/>
    <s v="INTPG_VPC_MGMT_20107_776_1.47_777_1.48"/>
    <s v="ISEL-1.48"/>
    <n v="4"/>
    <s v="NO TIENE L3OUT"/>
    <n v="0"/>
    <n v="54"/>
  </r>
  <r>
    <n v="770"/>
    <x v="2"/>
    <x v="156"/>
    <s v="eth1/48"/>
    <x v="0"/>
    <x v="0"/>
    <x v="0"/>
    <s v="MGMT OSS POD3"/>
    <x v="0"/>
    <b v="0"/>
    <s v="No está en VPC"/>
    <n v="770"/>
    <s v="INTPG_VPC_MGMT_20416_771_1.47_770_1.48"/>
    <s v="ISEL-1.48"/>
    <n v="11"/>
    <s v="NO TIENE L3OUT"/>
    <n v="60"/>
    <n v="54"/>
  </r>
  <r>
    <n v="813"/>
    <x v="2"/>
    <x v="157"/>
    <s v="eth1/48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48"/>
    <x v="0"/>
    <x v="1"/>
    <x v="1"/>
    <m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48"/>
    <x v="0"/>
    <x v="0"/>
    <x v="0"/>
    <s v="MGMT CLOUD II"/>
    <x v="0"/>
    <b v="0"/>
    <s v="No está en VPC"/>
    <n v="775"/>
    <s v="INTPG_VPC_MGMT_20104_774_1.47_775_1.48"/>
    <s v="ISEL-1.48"/>
    <n v="4"/>
    <s v="NO TIENE L3OUT"/>
    <n v="0"/>
    <n v="54"/>
  </r>
  <r>
    <n v="791"/>
    <x v="2"/>
    <x v="160"/>
    <s v="eth1/48"/>
    <x v="0"/>
    <x v="0"/>
    <x v="0"/>
    <s v="TAISHAN_POD7"/>
    <x v="0"/>
    <b v="0"/>
    <s v="No está en VPC"/>
    <n v="791"/>
    <s v="INTPG_VPC_MGMT_20814_790_1.47_791_1.48"/>
    <s v="ISEL-1.48"/>
    <n v="6"/>
    <s v="NO TIENE L3OUT"/>
    <n v="20"/>
    <n v="54"/>
  </r>
  <r>
    <n v="808"/>
    <x v="2"/>
    <x v="161"/>
    <s v="eth1/48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48"/>
    <x v="0"/>
    <x v="0"/>
    <x v="0"/>
    <s v="LINK_HACIA_MGMT"/>
    <x v="0"/>
    <b v="0"/>
    <s v="No está en VPC"/>
    <n v="830"/>
    <s v="INTPG_VPC_MGMT_11318_826_1.47_830_1.48"/>
    <s v="ISEL-1.48"/>
    <n v="5"/>
    <s v="NO TIENE L3OUT"/>
    <n v="12"/>
    <n v="54"/>
  </r>
  <r>
    <n v="821"/>
    <x v="2"/>
    <x v="163"/>
    <s v="eth1/48"/>
    <x v="0"/>
    <x v="0"/>
    <x v="0"/>
    <s v="LINK_HACIA_MGMT"/>
    <x v="0"/>
    <b v="0"/>
    <s v="No está en VPC"/>
    <n v="821"/>
    <s v="INTPG_VPC_MGMT_10918_816_1.47_821_1.48"/>
    <s v="ISEL-1.48"/>
    <n v="4"/>
    <s v="NO TIENE L3OUT"/>
    <n v="0"/>
    <n v="54"/>
  </r>
  <r>
    <n v="738"/>
    <x v="2"/>
    <x v="164"/>
    <s v="eth1/48"/>
    <x v="0"/>
    <x v="1"/>
    <x v="1"/>
    <m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48"/>
    <x v="0"/>
    <x v="1"/>
    <x v="1"/>
    <m/>
    <x v="0"/>
    <b v="0"/>
    <s v="No está en VPC"/>
    <n v="820"/>
    <s v="NO EXISTE PG"/>
    <s v="NO EXISTE ISEL"/>
    <n v="0"/>
    <s v="NO TIENE L3OUT"/>
    <n v="72"/>
    <n v="54"/>
  </r>
  <r>
    <n v="804"/>
    <x v="2"/>
    <x v="166"/>
    <s v="eth1/48"/>
    <x v="0"/>
    <x v="0"/>
    <x v="0"/>
    <s v="LINK_HACIA_MGMT"/>
    <x v="0"/>
    <b v="0"/>
    <s v="No está en VPC"/>
    <n v="804"/>
    <s v="INTPG_VPC_MGMT_10605_803_1.47_804_1.48"/>
    <s v="ISEL-1.48"/>
    <n v="4"/>
    <s v="NO TIENE L3OUT"/>
    <n v="48"/>
    <n v="54"/>
  </r>
  <r>
    <n v="779"/>
    <x v="2"/>
    <x v="167"/>
    <s v="eth1/48"/>
    <x v="0"/>
    <x v="0"/>
    <x v="0"/>
    <m/>
    <x v="0"/>
    <b v="0"/>
    <s v="No está en VPC"/>
    <n v="779"/>
    <s v="INTPG_VPC_MGMT_20207_778_1.47_779_1.48"/>
    <s v="ISEL-1.48"/>
    <n v="12"/>
    <s v="NO TIENE L3OUT"/>
    <n v="30"/>
    <n v="54"/>
  </r>
  <r>
    <n v="767"/>
    <x v="2"/>
    <x v="168"/>
    <s v="eth1/48"/>
    <x v="0"/>
    <x v="0"/>
    <x v="0"/>
    <s v="MGMT OSS POD3"/>
    <x v="0"/>
    <b v="0"/>
    <s v="No está en VPC"/>
    <n v="767"/>
    <s v="INTPG_VPC_MGMT_20313_768_1.47_767_1.48"/>
    <s v="ISEL-1.48"/>
    <n v="8"/>
    <s v="NO TIENE L3OUT"/>
    <n v="60"/>
    <n v="54"/>
  </r>
  <r>
    <n v="827"/>
    <x v="2"/>
    <x v="169"/>
    <s v="eth1/48"/>
    <x v="0"/>
    <x v="0"/>
    <x v="0"/>
    <s v="To_ITHFHWCRMDLCN40_Principal"/>
    <x v="0"/>
    <b v="0"/>
    <s v="No está en VPC"/>
    <n v="827"/>
    <s v="INTPG_ACC_827_1.48"/>
    <s v="ISEL-1.48"/>
    <n v="1"/>
    <s v="NO TIENE L3OUT"/>
    <n v="14"/>
    <n v="54"/>
  </r>
  <r>
    <n v="809"/>
    <x v="2"/>
    <x v="170"/>
    <s v="eth1/48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48"/>
    <x v="0"/>
    <x v="0"/>
    <x v="0"/>
    <s v="MGMT OSS POD3"/>
    <x v="0"/>
    <b v="0"/>
    <s v="No está en VPC"/>
    <n v="771"/>
    <s v="INTPG_VPC_MGMT_20418_770_1.47_771_1.48"/>
    <s v="ISEL-1.48"/>
    <n v="10"/>
    <s v="NO TIENE L3OUT"/>
    <n v="62"/>
    <n v="54"/>
  </r>
  <r>
    <n v="761"/>
    <x v="2"/>
    <x v="172"/>
    <s v="eth1/48"/>
    <x v="0"/>
    <x v="0"/>
    <x v="0"/>
    <s v="METASAN"/>
    <x v="0"/>
    <b v="0"/>
    <s v="No está en VPC"/>
    <n v="761"/>
    <s v="INTPG_VPC_MGMT_20818_760_1.47_761_1.48"/>
    <s v="ISEL-1.48"/>
    <n v="11"/>
    <s v="NO TIENE L3OUT"/>
    <n v="0"/>
    <n v="54"/>
  </r>
  <r>
    <n v="776"/>
    <x v="2"/>
    <x v="173"/>
    <s v="eth1/48"/>
    <x v="0"/>
    <x v="0"/>
    <x v="0"/>
    <s v="MGMT CLOUD II"/>
    <x v="0"/>
    <b v="0"/>
    <s v="No está en VPC"/>
    <n v="776"/>
    <s v="INTPG_VPC_MGMT_20109_777_1.47_776_1.48"/>
    <s v="ISEL-1.48"/>
    <n v="3"/>
    <s v="NO TIENE L3OUT"/>
    <n v="0"/>
    <n v="54"/>
  </r>
  <r>
    <n v="805"/>
    <x v="2"/>
    <x v="174"/>
    <s v="eth1/48"/>
    <x v="0"/>
    <x v="0"/>
    <x v="0"/>
    <s v="LINK_HACIA_MGMT"/>
    <x v="0"/>
    <b v="0"/>
    <s v="No está en VPC"/>
    <n v="805"/>
    <s v="INTPG_VPC_MGMT_10611_806_1.47_805_1.48"/>
    <s v="ISEL-1.48"/>
    <n v="6"/>
    <s v="NO TIENE L3OUT"/>
    <n v="44"/>
    <n v="54"/>
  </r>
  <r>
    <n v="772"/>
    <x v="2"/>
    <x v="175"/>
    <s v="eth1/48"/>
    <x v="0"/>
    <x v="0"/>
    <x v="0"/>
    <s v="MGMT OSS POD3"/>
    <x v="0"/>
    <b v="0"/>
    <s v="No está en VPC"/>
    <n v="772"/>
    <s v="INTPG_VPC_MGMT_20413_773_1.47_772_1.48"/>
    <s v="ISEL-1.48"/>
    <n v="5"/>
    <s v="NO TIENE L3OUT"/>
    <n v="82"/>
    <n v="54"/>
  </r>
  <r>
    <n v="785"/>
    <x v="2"/>
    <x v="176"/>
    <s v="eth1/48"/>
    <x v="0"/>
    <x v="0"/>
    <x v="0"/>
    <s v="ENIQ F2"/>
    <x v="0"/>
    <b v="0"/>
    <s v="No está en VPC"/>
    <n v="785"/>
    <s v="INTPG_VPC_MGMT_20407_784_1.47_785_1.48"/>
    <s v="ISEL-1.48"/>
    <n v="12"/>
    <s v="NO TIENE L3OUT"/>
    <n v="32"/>
    <n v="54"/>
  </r>
  <r>
    <n v="851"/>
    <x v="2"/>
    <x v="177"/>
    <s v="eth1/48"/>
    <x v="0"/>
    <x v="0"/>
    <x v="0"/>
    <s v="LINK_HACIA_MGMT"/>
    <x v="0"/>
    <b v="0"/>
    <s v="No está en VPC"/>
    <n v="851"/>
    <s v="INTPG_VPC_MGMT_10918_844_1.47_851_1.48"/>
    <s v="ISEL-1.48"/>
    <n v="2"/>
    <s v="NO TIENE L3OUT"/>
    <n v="282"/>
    <n v="54"/>
  </r>
  <r>
    <n v="798"/>
    <x v="2"/>
    <x v="178"/>
    <s v="eth1/48"/>
    <x v="0"/>
    <x v="0"/>
    <x v="0"/>
    <s v="LINK_HACIA_MGMT"/>
    <x v="0"/>
    <b v="0"/>
    <s v="No está en VPC"/>
    <n v="798"/>
    <s v="INTPG_VPC_MGMT_10507_799_1.47_798_1.48"/>
    <s v="ISEL-1.48"/>
    <n v="6"/>
    <s v="NO TIENE L3OUT"/>
    <n v="52"/>
    <n v="54"/>
  </r>
  <r>
    <n v="782"/>
    <x v="2"/>
    <x v="179"/>
    <s v="eth1/48"/>
    <x v="0"/>
    <x v="0"/>
    <x v="0"/>
    <s v="ENIQ F2"/>
    <x v="0"/>
    <b v="0"/>
    <s v="No está en VPC"/>
    <n v="782"/>
    <s v="INTPG_VPC_MGMT_20310_783_1.47_782_1.48"/>
    <s v="ISEL-1.48"/>
    <n v="9"/>
    <s v="NO TIENE L3OUT"/>
    <n v="32"/>
    <n v="54"/>
  </r>
  <r>
    <n v="852"/>
    <x v="2"/>
    <x v="180"/>
    <s v="eth1/48"/>
    <x v="0"/>
    <x v="0"/>
    <x v="0"/>
    <s v="VPC_2DCRMP_BDP05_1"/>
    <x v="0"/>
    <b v="0"/>
    <s v="No está en VPC"/>
    <n v="852"/>
    <s v="INTPG_VPC_845_1.48_852_1.48"/>
    <s v="ISEL-1.48"/>
    <n v="6"/>
    <s v="NO TIENE L3OUT"/>
    <n v="258"/>
    <n v="54"/>
  </r>
  <r>
    <n v="817"/>
    <x v="2"/>
    <x v="181"/>
    <s v="eth1/48"/>
    <x v="0"/>
    <x v="0"/>
    <x v="0"/>
    <s v="LINK_TO_ITHFHWCBSPSWR29 /Slot4.2 /Principal"/>
    <x v="0"/>
    <b v="0"/>
    <s v="No está en VPC"/>
    <n v="817"/>
    <s v="INTPG_VPC_817_1.48_822_1.48"/>
    <s v="ISEL-1.48"/>
    <n v="1"/>
    <s v="NO TIENE L3OUT"/>
    <n v="0"/>
    <n v="54"/>
  </r>
  <r>
    <n v="832"/>
    <x v="2"/>
    <x v="182"/>
    <s v="eth1/48"/>
    <x v="0"/>
    <x v="0"/>
    <x v="0"/>
    <s v="To_ITHFHWCRMDLCN43_Redundante"/>
    <x v="0"/>
    <b v="0"/>
    <s v="No está en VPC"/>
    <n v="832"/>
    <s v="INTPG_ACC_832_1.48"/>
    <s v="ISEL-1.48"/>
    <n v="6"/>
    <s v="NO TIENE L3OUT"/>
    <n v="192"/>
    <n v="54"/>
  </r>
  <r>
    <n v="816"/>
    <x v="2"/>
    <x v="183"/>
    <s v="eth1/48"/>
    <x v="0"/>
    <x v="0"/>
    <x v="0"/>
    <s v="LINK_HACIA_MGMT"/>
    <x v="0"/>
    <b v="0"/>
    <s v="No está en VPC"/>
    <n v="816"/>
    <s v="INTPG_VPC_MGMT_11018_821_1.47_816_1.48"/>
    <s v="ISEL-1.48"/>
    <n v="4"/>
    <s v="NO TIENE L3OUT"/>
    <n v="0"/>
    <n v="54"/>
  </r>
  <r>
    <n v="825"/>
    <x v="2"/>
    <x v="184"/>
    <s v="eth1/48"/>
    <x v="0"/>
    <x v="1"/>
    <x v="3"/>
    <m/>
    <x v="0"/>
    <b v="0"/>
    <s v="No está en VPC"/>
    <n v="825"/>
    <s v="NO EXISTE PG"/>
    <s v="NO EXISTE ISEL"/>
    <n v="0"/>
    <s v="NO TIENE L3OUT"/>
    <n v="72"/>
    <n v="54"/>
  </r>
  <r>
    <n v="800"/>
    <x v="2"/>
    <x v="185"/>
    <s v="eth1/48"/>
    <x v="0"/>
    <x v="0"/>
    <x v="0"/>
    <s v="LINK_HACIA_MGMT"/>
    <x v="0"/>
    <b v="0"/>
    <s v="No está en VPC"/>
    <n v="800"/>
    <s v="INTPG_VPC_MGMT_10513_801_1.47_800_1.48"/>
    <s v="ISEL-1.48"/>
    <n v="6"/>
    <s v="NO TIENE L3OUT"/>
    <n v="78"/>
    <n v="54"/>
  </r>
  <r>
    <n v="801"/>
    <x v="2"/>
    <x v="186"/>
    <s v="eth1/48"/>
    <x v="0"/>
    <x v="0"/>
    <x v="0"/>
    <s v="LINK_HACIA_MGMT"/>
    <x v="0"/>
    <b v="0"/>
    <s v="No está en VPC"/>
    <n v="801"/>
    <s v="INTPG_VPC_MGMT_10510_800_1.47_801_1.48"/>
    <s v="ISEL-1.48"/>
    <n v="6"/>
    <s v="NO TIENE L3OUT"/>
    <n v="78"/>
    <n v="54"/>
  </r>
  <r>
    <n v="823"/>
    <x v="2"/>
    <x v="187"/>
    <s v="eth1/48"/>
    <x v="0"/>
    <x v="1"/>
    <x v="3"/>
    <m/>
    <x v="0"/>
    <b v="0"/>
    <s v="No está en VPC"/>
    <n v="823"/>
    <s v="NO EXISTE PG"/>
    <s v="NO EXISTE ISEL"/>
    <n v="0"/>
    <s v="NO TIENE L3OUT"/>
    <n v="8"/>
    <n v="54"/>
  </r>
  <r>
    <n v="837"/>
    <x v="2"/>
    <x v="188"/>
    <s v="eth1/48"/>
    <x v="0"/>
    <x v="0"/>
    <x v="0"/>
    <s v="LINK_To_ITHFHWCBSPSHD24 / Slot1.1_24 / Principal"/>
    <x v="0"/>
    <b v="0"/>
    <s v="No está en VPC"/>
    <n v="837"/>
    <s v="INTPG_VPC_837_1.48_842_1.48"/>
    <s v="ISEL-1.48"/>
    <n v="2"/>
    <s v="NO TIENE L3OUT"/>
    <n v="8"/>
    <n v="54"/>
  </r>
  <r>
    <n v="867"/>
    <x v="2"/>
    <x v="189"/>
    <s v="eth1/48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48"/>
    <x v="1"/>
    <x v="1"/>
    <x v="3"/>
    <m/>
    <x v="0"/>
    <b v="0"/>
    <s v="No está en VPC"/>
    <n v="829"/>
    <s v="NO EXISTE PG"/>
    <s v="NO EXISTE ISEL"/>
    <n v="0"/>
    <s v="NO TIENE L3OUT"/>
    <n v="224"/>
    <n v="54"/>
  </r>
  <r>
    <n v="831"/>
    <x v="2"/>
    <x v="191"/>
    <s v="eth1/48"/>
    <x v="0"/>
    <x v="0"/>
    <x v="0"/>
    <s v="To_ITHFHWCRMDLCN40_Redundante"/>
    <x v="0"/>
    <b v="0"/>
    <s v="No está en VPC"/>
    <n v="831"/>
    <s v="INTPG_ACC_831_1.48"/>
    <s v="ISEL-1.48"/>
    <n v="1"/>
    <s v="NO TIENE L3OUT"/>
    <n v="14"/>
    <n v="54"/>
  </r>
  <r>
    <n v="802"/>
    <x v="2"/>
    <x v="192"/>
    <s v="eth1/48"/>
    <x v="0"/>
    <x v="0"/>
    <x v="0"/>
    <s v="LINK_HACIA_MGMT"/>
    <x v="0"/>
    <b v="0"/>
    <s v="No está en VPC"/>
    <n v="802"/>
    <s v="INTPG_VPC_MGMT_10504_797_1.47_802_1.48"/>
    <s v="ISEL-1.48"/>
    <n v="4"/>
    <s v="NO TIENE L3OUT"/>
    <n v="48"/>
    <n v="54"/>
  </r>
  <r>
    <n v="835"/>
    <x v="2"/>
    <x v="193"/>
    <s v="eth1/48"/>
    <x v="0"/>
    <x v="0"/>
    <x v="0"/>
    <s v="LINK_TO_ITHFHWCBSPSUSBD31 / Slot1.2_4 / Principal"/>
    <x v="0"/>
    <b v="0"/>
    <s v="No está en VPC"/>
    <n v="835"/>
    <s v="INTPG_VPC_835_1.48_840_1.48"/>
    <s v="ISEL-1.48"/>
    <n v="1"/>
    <s v="NO TIENE L3OUT"/>
    <n v="8"/>
    <n v="54"/>
  </r>
  <r>
    <n v="822"/>
    <x v="2"/>
    <x v="194"/>
    <s v="eth1/48"/>
    <x v="0"/>
    <x v="0"/>
    <x v="0"/>
    <s v="LINK_TO_ITHFHWCBSPSWR29 /Slot6.2 /Redundante"/>
    <x v="0"/>
    <b v="0"/>
    <s v="No está en VPC"/>
    <n v="822"/>
    <s v="INTPG_VPC_817_1.48_822_1.48"/>
    <s v="ISEL-1.48"/>
    <n v="1"/>
    <s v="NO TIENE L3OUT"/>
    <n v="0"/>
    <n v="54"/>
  </r>
  <r>
    <n v="854"/>
    <x v="2"/>
    <x v="195"/>
    <s v="eth1/48"/>
    <x v="0"/>
    <x v="0"/>
    <x v="0"/>
    <s v="LINK_TO_ITHFHWCRMPLCN154 / Slot1.2_10 / Principal"/>
    <x v="0"/>
    <b v="0"/>
    <s v="No está en VPC"/>
    <n v="854"/>
    <s v="INTPG_ACC_854_1.48"/>
    <s v="ISEL-1.48"/>
    <n v="2"/>
    <s v="NO TIENE L3OUT"/>
    <n v="204"/>
    <n v="54"/>
  </r>
  <r>
    <n v="858"/>
    <x v="2"/>
    <x v="196"/>
    <s v="eth1/48"/>
    <x v="0"/>
    <x v="0"/>
    <x v="0"/>
    <s v="LINK_HACIA_MGMT"/>
    <x v="0"/>
    <b v="0"/>
    <s v="No está en VPC"/>
    <n v="858"/>
    <s v="INTPG_VPC_MGMT_21419_863_1.47_858_1.48"/>
    <s v="ISEL-1.48"/>
    <n v="5"/>
    <s v="NO TIENE L3OUT"/>
    <n v="8"/>
    <n v="54"/>
  </r>
  <r>
    <n v="857"/>
    <x v="2"/>
    <x v="197"/>
    <s v="eth1/48"/>
    <x v="0"/>
    <x v="0"/>
    <x v="0"/>
    <s v="LINKT_TO_ITHFHWCRMPLCN131 / Slot1.2_32 / Principal"/>
    <x v="0"/>
    <b v="0"/>
    <s v="No está en VPC"/>
    <n v="857"/>
    <s v="INTPG_ACC_857_1.48"/>
    <s v="ISEL-1.48"/>
    <n v="2"/>
    <s v="NO TIENE L3OUT"/>
    <n v="288"/>
    <n v="54"/>
  </r>
  <r>
    <n v="859"/>
    <x v="2"/>
    <x v="198"/>
    <s v="eth1/48"/>
    <x v="0"/>
    <x v="0"/>
    <x v="0"/>
    <s v="To_VPC_2DCBSD_WR51_3"/>
    <x v="0"/>
    <b v="0"/>
    <s v="No está en VPC"/>
    <n v="859"/>
    <s v="INTPG_VPC_859_1.48_864_1.48"/>
    <s v="ISEL-1.48"/>
    <n v="1"/>
    <s v="NO TIENE L3OUT"/>
    <n v="0"/>
    <n v="54"/>
  </r>
  <r>
    <n v="833"/>
    <x v="2"/>
    <x v="199"/>
    <s v="eth1/48"/>
    <x v="0"/>
    <x v="1"/>
    <x v="3"/>
    <m/>
    <x v="0"/>
    <b v="0"/>
    <s v="No está en VPC"/>
    <n v="833"/>
    <s v="NO EXISTE PG"/>
    <s v="NO EXISTE ISEL"/>
    <n v="0"/>
    <s v="NO TIENE L3OUT"/>
    <n v="224"/>
    <n v="54"/>
  </r>
  <r>
    <n v="818"/>
    <x v="2"/>
    <x v="200"/>
    <s v="eth1/48"/>
    <x v="0"/>
    <x v="1"/>
    <x v="3"/>
    <m/>
    <x v="0"/>
    <b v="0"/>
    <s v="No está en VPC"/>
    <n v="818"/>
    <s v="NO EXISTE PG"/>
    <s v="NO EXISTE ISEL"/>
    <n v="0"/>
    <s v="NO TIENE L3OUT"/>
    <n v="8"/>
    <n v="54"/>
  </r>
  <r>
    <n v="850"/>
    <x v="2"/>
    <x v="201"/>
    <s v="eth1/48"/>
    <x v="0"/>
    <x v="0"/>
    <x v="0"/>
    <s v="LINKT_TO_ITHFHWCRMPLCN131 / Slot7.2_32 / Redundante"/>
    <x v="0"/>
    <b v="0"/>
    <s v="No está en VPC"/>
    <n v="850"/>
    <s v="INTPG_ACC_850_1.48"/>
    <s v="ISEL-1.48"/>
    <n v="2"/>
    <s v="NO TIENE L3OUT"/>
    <n v="288"/>
    <n v="54"/>
  </r>
  <r>
    <n v="860"/>
    <x v="2"/>
    <x v="202"/>
    <s v="eth1/48"/>
    <x v="0"/>
    <x v="0"/>
    <x v="0"/>
    <s v="To_VPC_2DCBSD_WR41_3"/>
    <x v="0"/>
    <b v="0"/>
    <s v="No está en VPC"/>
    <n v="860"/>
    <s v="INTPG_VPC_860_1.48_865_1.48"/>
    <s v="ISEL-1.48"/>
    <n v="1"/>
    <s v="NO TIENE L3OUT"/>
    <n v="0"/>
    <n v="54"/>
  </r>
  <r>
    <n v="853"/>
    <x v="2"/>
    <x v="203"/>
    <s v="eth1/48"/>
    <x v="0"/>
    <x v="0"/>
    <x v="0"/>
    <s v="LINK_TO_ITHFHWCRMPLCN87 / Slot7.3_32 / Redundante"/>
    <x v="0"/>
    <b v="0"/>
    <s v="No está en VPC"/>
    <n v="853"/>
    <s v="INTPG_ACC_853_1.48"/>
    <s v="ISEL-1.48"/>
    <n v="1"/>
    <s v="NO TIENE L3OUT"/>
    <n v="242"/>
    <n v="54"/>
  </r>
  <r>
    <n v="790"/>
    <x v="2"/>
    <x v="204"/>
    <s v="eth1/48"/>
    <x v="0"/>
    <x v="0"/>
    <x v="0"/>
    <s v="TAISHAN_POD7"/>
    <x v="0"/>
    <b v="0"/>
    <s v="No está en VPC"/>
    <n v="790"/>
    <s v="INTPG_VPC_MGMT_20816_791_1.47_790_1.48"/>
    <s v="ISEL-1.48"/>
    <n v="7"/>
    <s v="NO TIENE L3OUT"/>
    <n v="20"/>
    <n v="54"/>
  </r>
  <r>
    <n v="105"/>
    <x v="0"/>
    <x v="205"/>
    <s v="eth1/48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48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48"/>
    <x v="0"/>
    <x v="0"/>
    <x v="0"/>
    <s v="ITHNETZA"/>
    <x v="6"/>
    <b v="0"/>
    <s v="No está en VPC"/>
    <n v="104"/>
    <s v="INTPG_ACC_104_1.48"/>
    <s v="ISEL-1.48"/>
    <n v="1"/>
    <s v="NO TIENE L3OUT"/>
    <n v="194"/>
    <n v="96"/>
  </r>
  <r>
    <n v="158"/>
    <x v="0"/>
    <x v="208"/>
    <s v="eth1/48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48"/>
    <x v="0"/>
    <x v="0"/>
    <x v="0"/>
    <s v="LINK_HACIA_MGMT"/>
    <x v="4"/>
    <b v="0"/>
    <s v="No está en VPC"/>
    <n v="875"/>
    <s v="INTPG_VPC_MGMT_21019_877_1.47_875_1.48"/>
    <s v="ISEL-1.48"/>
    <n v="4"/>
    <s v="NO TIENE L3OUT"/>
    <n v="2"/>
    <n v="54"/>
  </r>
  <r>
    <n v="879"/>
    <x v="2"/>
    <x v="210"/>
    <s v="eth1/48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48"/>
    <x v="1"/>
    <x v="1"/>
    <x v="2"/>
    <s v="OBIE_1-2"/>
    <x v="6"/>
    <b v="0"/>
    <s v="No está en VPC"/>
    <n v="108"/>
    <s v="INTPG_ACC_108_1.48"/>
    <s v="ISEL-1.48"/>
    <n v="1"/>
    <s v="NO TIENE L3OUT"/>
    <n v="126"/>
    <n v="96"/>
  </r>
  <r>
    <n v="112"/>
    <x v="0"/>
    <x v="212"/>
    <s v="eth1/48"/>
    <x v="0"/>
    <x v="1"/>
    <x v="1"/>
    <s v="SAPCCRATING03"/>
    <x v="6"/>
    <b v="0"/>
    <s v="No está en VPC"/>
    <n v="112"/>
    <s v="INTPG_VPC_112_1.48_114_1.45"/>
    <s v="ISEL-1.48"/>
    <n v="1"/>
    <s v="NO TIENE L3OUT"/>
    <n v="144"/>
    <n v="96"/>
  </r>
  <r>
    <n v="107"/>
    <x v="0"/>
    <x v="213"/>
    <s v="eth1/48"/>
    <x v="1"/>
    <x v="1"/>
    <x v="2"/>
    <s v="COMISIONES"/>
    <x v="6"/>
    <b v="0"/>
    <s v="No está en VPC"/>
    <n v="107"/>
    <s v="INTPG_ACC_107_1.48"/>
    <s v="ISEL-1.48"/>
    <n v="0"/>
    <s v="NO TIENE L3OUT"/>
    <n v="118"/>
    <n v="96"/>
  </r>
  <r>
    <n v="109"/>
    <x v="0"/>
    <x v="214"/>
    <s v="eth1/48"/>
    <x v="0"/>
    <x v="0"/>
    <x v="0"/>
    <m/>
    <x v="6"/>
    <b v="0"/>
    <s v="No está en VPC"/>
    <n v="109"/>
    <s v="INTPG_ACC_109_1.48"/>
    <s v="ISEL-1.48"/>
    <n v="1"/>
    <s v="NO TIENE L3OUT"/>
    <n v="126"/>
    <n v="96"/>
  </r>
  <r>
    <n v="113"/>
    <x v="0"/>
    <x v="215"/>
    <s v="eth1/48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48"/>
    <x v="0"/>
    <x v="1"/>
    <x v="1"/>
    <s v="SAPCCRATING06"/>
    <x v="6"/>
    <b v="0"/>
    <s v="No está en VPC"/>
    <n v="114"/>
    <s v="INTPG_VPC_112_1.51_114_1.48"/>
    <s v="ISEL-1.48"/>
    <n v="1"/>
    <s v="NO TIENE L3OUT"/>
    <n v="144"/>
    <n v="96"/>
  </r>
  <r>
    <n v="124"/>
    <x v="0"/>
    <x v="217"/>
    <s v="eth1/48"/>
    <x v="0"/>
    <x v="0"/>
    <x v="0"/>
    <m/>
    <x v="6"/>
    <b v="0"/>
    <s v="No está en VPC"/>
    <n v="124"/>
    <s v="INTPG_ACC_124_1.48"/>
    <s v="ISEL-1.48"/>
    <n v="1"/>
    <s v="NO TIENE L3OUT"/>
    <n v="80"/>
    <n v="96"/>
  </r>
  <r>
    <n v="118"/>
    <x v="0"/>
    <x v="218"/>
    <s v="eth1/48"/>
    <x v="0"/>
    <x v="0"/>
    <x v="0"/>
    <s v="DATOS NETCRACKER"/>
    <x v="6"/>
    <b v="0"/>
    <s v="No está en VPC"/>
    <n v="118"/>
    <s v="INTPG_ACC_118_1.48"/>
    <s v="ISEL-1.48"/>
    <n v="1"/>
    <s v="NO TIENE L3OUT"/>
    <n v="180"/>
    <n v="96"/>
  </r>
  <r>
    <n v="159"/>
    <x v="0"/>
    <x v="219"/>
    <s v="eth1/48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48"/>
    <x v="0"/>
    <x v="0"/>
    <x v="0"/>
    <s v="LINK_TO_ITHFHWCBSPSUSBD31 / Slot7.2_4 / Redundante"/>
    <x v="0"/>
    <b v="0"/>
    <s v="No está en VPC"/>
    <n v="840"/>
    <s v="INTPG_VPC_835_1.48_840_1.48"/>
    <s v="ISEL-1.48"/>
    <n v="1"/>
    <s v="NO TIENE L3OUT"/>
    <n v="8"/>
    <n v="54"/>
  </r>
  <r>
    <n v="856"/>
    <x v="2"/>
    <x v="221"/>
    <s v="eth1/48"/>
    <x v="0"/>
    <x v="0"/>
    <x v="0"/>
    <s v="LINK_TO_ITHFHWCRMPLCN150 / Slot1.2_34 / Principal"/>
    <x v="0"/>
    <b v="0"/>
    <s v="No está en VPC"/>
    <n v="856"/>
    <s v="INTPG_ACC_856_1.48"/>
    <s v="ISEL-1.48"/>
    <n v="2"/>
    <s v="NO TIENE L3OUT"/>
    <n v="286"/>
    <n v="54"/>
  </r>
  <r>
    <n v="110"/>
    <x v="0"/>
    <x v="222"/>
    <s v="eth1/48"/>
    <x v="0"/>
    <x v="1"/>
    <x v="1"/>
    <s v="SUN6900_E25K"/>
    <x v="6"/>
    <b v="0"/>
    <s v="No está en VPC"/>
    <n v="110"/>
    <s v="INTPG_ACC_110_1.48"/>
    <s v="ISEL-1.48"/>
    <n v="1"/>
    <s v="NO TIENE L3OUT"/>
    <n v="102"/>
    <n v="96"/>
  </r>
  <r>
    <n v="163"/>
    <x v="0"/>
    <x v="223"/>
    <s v="eth1/48"/>
    <x v="0"/>
    <x v="0"/>
    <x v="0"/>
    <s v="MULTIMEDIACION"/>
    <x v="6"/>
    <b v="0"/>
    <s v="No está en VPC"/>
    <n v="163"/>
    <s v="INTPG_ACC_163_1.48"/>
    <s v="ISEL-1.48"/>
    <n v="1"/>
    <s v="NO TIENE L3OUT"/>
    <n v="140"/>
    <n v="96"/>
  </r>
  <r>
    <n v="407"/>
    <x v="1"/>
    <x v="224"/>
    <s v="eth1/48"/>
    <x v="0"/>
    <x v="0"/>
    <x v="0"/>
    <s v="TO-ITHFDEOCP1LWR03-PRINCIPAL"/>
    <x v="6"/>
    <b v="0"/>
    <s v="No está en VPC"/>
    <n v="407"/>
    <s v="INTPG_ACC_407_1.48"/>
    <s v="ISEL-1.48"/>
    <n v="1"/>
    <s v="NO TIENE L3OUT"/>
    <n v="122"/>
    <n v="96"/>
  </r>
  <r>
    <n v="171"/>
    <x v="0"/>
    <x v="225"/>
    <s v="eth1/48"/>
    <x v="1"/>
    <x v="1"/>
    <x v="2"/>
    <s v="SRS (Speedy Rating System)"/>
    <x v="6"/>
    <b v="0"/>
    <s v="No está en VPC"/>
    <n v="171"/>
    <s v="INTPG_ACC_171_1.48"/>
    <s v="ISEL-1.48"/>
    <n v="1"/>
    <s v="NO TIENE L3OUT"/>
    <n v="114"/>
    <n v="96"/>
  </r>
  <r>
    <n v="421"/>
    <x v="1"/>
    <x v="226"/>
    <s v="eth1/48"/>
    <x v="0"/>
    <x v="0"/>
    <x v="0"/>
    <s v="TO-SPECTRUM1-REDUNDANTE"/>
    <x v="6"/>
    <b v="0"/>
    <s v="No está en VPC"/>
    <n v="421"/>
    <s v="INTPG_ACC_421_1.48"/>
    <s v="ISEL-1.48"/>
    <n v="1"/>
    <s v="NO TIENE L3OUT"/>
    <n v="72"/>
    <n v="96"/>
  </r>
  <r>
    <n v="173"/>
    <x v="0"/>
    <x v="227"/>
    <s v="eth1/48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48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48"/>
    <x v="0"/>
    <x v="0"/>
    <x v="0"/>
    <s v="SRS (Speedy Rating System)"/>
    <x v="6"/>
    <b v="0"/>
    <s v="No está en VPC"/>
    <n v="172"/>
    <s v="INTPG_ACC_172_1.48"/>
    <s v="ISEL-1.48"/>
    <n v="1"/>
    <s v="NO TIENE L3OUT"/>
    <n v="104"/>
    <n v="96"/>
  </r>
  <r>
    <n v="420"/>
    <x v="1"/>
    <x v="230"/>
    <s v="eth1/48"/>
    <x v="0"/>
    <x v="0"/>
    <x v="0"/>
    <s v="PORTA_EXP1"/>
    <x v="6"/>
    <b v="0"/>
    <s v="No está en VPC"/>
    <n v="420"/>
    <s v="INTPG_ACC_420_1.48"/>
    <s v="ISEL-1.48"/>
    <n v="1"/>
    <s v="NO TIENE L3OUT"/>
    <n v="158"/>
    <n v="96"/>
  </r>
  <r>
    <n v="423"/>
    <x v="1"/>
    <x v="231"/>
    <s v="eth1/48"/>
    <x v="0"/>
    <x v="0"/>
    <x v="0"/>
    <s v="HP Proliant DL380p(A)"/>
    <x v="6"/>
    <b v="0"/>
    <s v="No está en VPC"/>
    <n v="423"/>
    <s v="INTPG_ACC_423_1.48"/>
    <s v="ISEL-1.48"/>
    <n v="1"/>
    <s v="NO TIENE L3OUT"/>
    <n v="86"/>
    <n v="96"/>
  </r>
  <r>
    <n v="415"/>
    <x v="1"/>
    <x v="232"/>
    <s v="eth1/48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48"/>
    <x v="1"/>
    <x v="1"/>
    <x v="2"/>
    <s v="IXTLA4_VC1:VMTLCLAMX5:VC1  X8"/>
    <x v="6"/>
    <b v="0"/>
    <s v="No está en VPC"/>
    <n v="102"/>
    <s v="INTPG_PC_102_1.41-48"/>
    <s v="ISEL-1.48"/>
    <n v="0"/>
    <s v="NO TIENE L3OUT"/>
    <n v="228"/>
    <n v="96"/>
  </r>
  <r>
    <n v="863"/>
    <x v="2"/>
    <x v="234"/>
    <s v="eth1/48"/>
    <x v="0"/>
    <x v="0"/>
    <x v="0"/>
    <s v="LINK_HACIA_MGMT"/>
    <x v="0"/>
    <b v="0"/>
    <s v="No está en VPC"/>
    <n v="863"/>
    <s v="INTPG_VPC_MGMT_21319_858_1.47_863_1.48"/>
    <s v="ISEL-1.48"/>
    <n v="5"/>
    <s v="NO TIENE L3OUT"/>
    <n v="8"/>
    <n v="54"/>
  </r>
  <r>
    <n v="876"/>
    <x v="2"/>
    <x v="235"/>
    <s v="eth1/48"/>
    <x v="0"/>
    <x v="0"/>
    <x v="0"/>
    <s v="LINK_HACIA_MGMT"/>
    <x v="4"/>
    <b v="0"/>
    <s v="No está en VPC"/>
    <n v="876"/>
    <s v="INTPG_VPC_MGMT_20919_874_1.47_876_1.48"/>
    <s v="ISEL-1.48"/>
    <n v="3"/>
    <s v="NO TIENE L3OUT"/>
    <n v="92"/>
    <n v="54"/>
  </r>
  <r>
    <n v="877"/>
    <x v="2"/>
    <x v="236"/>
    <s v="eth1/48"/>
    <x v="0"/>
    <x v="0"/>
    <x v="0"/>
    <s v="LINK_HACIA_MGMT"/>
    <x v="4"/>
    <b v="0"/>
    <s v="No está en VPC"/>
    <n v="877"/>
    <s v="INTPG_VPC_MGMT_20919_875_1.47_877_1.48"/>
    <s v="ISEL-1.48"/>
    <n v="4"/>
    <s v="NO TIENE L3OUT"/>
    <n v="2"/>
    <n v="54"/>
  </r>
  <r>
    <n v="122"/>
    <x v="0"/>
    <x v="237"/>
    <s v="eth1/48"/>
    <x v="0"/>
    <x v="0"/>
    <x v="0"/>
    <s v="ZFS X5-2"/>
    <x v="6"/>
    <b v="0"/>
    <s v="No está en VPC"/>
    <n v="122"/>
    <s v="INTPG_ACC_122_1.48"/>
    <s v="ISEL-1.48"/>
    <n v="1"/>
    <s v="NO TIENE L3OUT"/>
    <n v="148"/>
    <n v="96"/>
  </r>
  <r>
    <n v="157"/>
    <x v="0"/>
    <x v="238"/>
    <s v="eth1/48"/>
    <x v="0"/>
    <x v="0"/>
    <x v="0"/>
    <s v="DCX-8510-4B 01-03"/>
    <x v="6"/>
    <b v="0"/>
    <s v="No está en VPC"/>
    <n v="157"/>
    <s v="NO EXISTE PG"/>
    <s v="NO EXISTE ISEL"/>
    <n v="1"/>
    <s v="NO TIENE L3OUT"/>
    <n v="202"/>
    <n v="96"/>
  </r>
  <r>
    <n v="408"/>
    <x v="1"/>
    <x v="239"/>
    <s v="eth1/48"/>
    <x v="0"/>
    <x v="0"/>
    <x v="0"/>
    <s v="IBMWASII_01_ILO"/>
    <x v="6"/>
    <b v="0"/>
    <s v="No está en VPC"/>
    <n v="408"/>
    <s v="INTPG_ACC_408_1.48"/>
    <s v="ISEL-1.48"/>
    <n v="1"/>
    <s v="NO TIENE L3OUT"/>
    <n v="152"/>
    <n v="96"/>
  </r>
  <r>
    <n v="405"/>
    <x v="1"/>
    <x v="240"/>
    <s v="eth1/48"/>
    <x v="0"/>
    <x v="1"/>
    <x v="1"/>
    <s v="ITHSGHP0"/>
    <x v="6"/>
    <b v="0"/>
    <s v="No está en VPC"/>
    <n v="405"/>
    <s v="INTPG_ACC_405_1.48"/>
    <s v="ISEL-1.48"/>
    <n v="1"/>
    <s v="NO TIENE L3OUT"/>
    <n v="138"/>
    <n v="96"/>
  </r>
  <r>
    <n v="169"/>
    <x v="0"/>
    <x v="241"/>
    <s v="eth1/48"/>
    <x v="0"/>
    <x v="0"/>
    <x v="0"/>
    <s v="TO-ITHFDENBURMS02"/>
    <x v="6"/>
    <b v="0"/>
    <s v="No está en VPC"/>
    <n v="169"/>
    <s v="INTPG_VPC_167_1.47_169_1.48"/>
    <s v="ISEL-1.48"/>
    <n v="1"/>
    <s v="NO TIENE L3OUT"/>
    <n v="76"/>
    <n v="96"/>
  </r>
  <r>
    <n v="165"/>
    <x v="0"/>
    <x v="242"/>
    <s v="eth1/48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48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48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48"/>
    <x v="0"/>
    <x v="1"/>
    <x v="1"/>
    <s v="IXTCDRLON"/>
    <x v="6"/>
    <b v="0"/>
    <s v="No está en VPC"/>
    <n v="119"/>
    <s v="INTPG_ACC_119_1.48"/>
    <s v="ISEL-1.48"/>
    <n v="1"/>
    <s v="NO TIENE L3OUT"/>
    <n v="70"/>
    <n v="96"/>
  </r>
  <r>
    <n v="156"/>
    <x v="0"/>
    <x v="246"/>
    <s v="eth1/48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48"/>
    <x v="0"/>
    <x v="1"/>
    <x v="1"/>
    <s v="CISCO ANA 01 EHEALTH"/>
    <x v="6"/>
    <b v="0"/>
    <s v="No está en VPC"/>
    <n v="103"/>
    <s v="INTPG_ACC_103_1.48"/>
    <s v="ISEL-1.48"/>
    <n v="1"/>
    <s v="NO TIENE L3OUT"/>
    <n v="70"/>
    <n v="96"/>
  </r>
  <r>
    <n v="438"/>
    <x v="1"/>
    <x v="248"/>
    <s v="eth1/48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48"/>
    <x v="0"/>
    <x v="0"/>
    <x v="0"/>
    <s v="VIOSDES3-VIOSDES3_CLT"/>
    <x v="6"/>
    <b v="0"/>
    <s v="No está en VPC"/>
    <n v="406"/>
    <s v="INTPG_VPC_404_1.47-48_406_1.47-48"/>
    <s v="ISEL-1.48"/>
    <n v="1"/>
    <s v="NO TIENE L3OUT"/>
    <n v="82"/>
    <n v="96"/>
  </r>
  <r>
    <n v="414"/>
    <x v="1"/>
    <x v="250"/>
    <s v="eth1/48"/>
    <x v="0"/>
    <x v="0"/>
    <x v="0"/>
    <s v="APMS01_S09"/>
    <x v="6"/>
    <b v="0"/>
    <s v="No está en VPC"/>
    <n v="414"/>
    <s v="INTPG_ACC_414_1.48"/>
    <s v="ISEL-1.48"/>
    <n v="1"/>
    <s v="NO TIENE L3OUT"/>
    <n v="144"/>
    <n v="96"/>
  </r>
  <r>
    <n v="416"/>
    <x v="1"/>
    <x v="251"/>
    <s v="eth1/48"/>
    <x v="0"/>
    <x v="0"/>
    <x v="0"/>
    <s v="R9MEXIXTDAY-1"/>
    <x v="6"/>
    <b v="0"/>
    <s v="No está en VPC"/>
    <n v="416"/>
    <s v="INTPG_ACC_416_1.48"/>
    <s v="ISEL-1.48"/>
    <n v="1"/>
    <s v="NO TIENE L3OUT"/>
    <n v="110"/>
    <n v="96"/>
  </r>
  <r>
    <n v="418"/>
    <x v="1"/>
    <x v="252"/>
    <s v="eth1/48"/>
    <x v="0"/>
    <x v="0"/>
    <x v="0"/>
    <s v="IXTSD969B"/>
    <x v="6"/>
    <b v="0"/>
    <s v="No está en VPC"/>
    <n v="418"/>
    <s v="INTPG_ACC_418_1.48"/>
    <s v="ISEL-1.48"/>
    <n v="1"/>
    <s v="NO TIENE L3OUT"/>
    <n v="152"/>
    <n v="96"/>
  </r>
  <r>
    <n v="413"/>
    <x v="1"/>
    <x v="253"/>
    <s v="eth1/48"/>
    <x v="0"/>
    <x v="0"/>
    <x v="0"/>
    <s v="To-uxingemc3 ldom2 uxinghdr3"/>
    <x v="6"/>
    <b v="0"/>
    <s v="No está en VPC"/>
    <n v="413"/>
    <s v="INTPG_ACC_413_1.48"/>
    <s v="ISEL-1.48"/>
    <n v="1"/>
    <s v="NO TIENE L3OUT"/>
    <n v="126"/>
    <n v="96"/>
  </r>
  <r>
    <n v="403"/>
    <x v="1"/>
    <x v="254"/>
    <s v="eth1/48"/>
    <x v="0"/>
    <x v="0"/>
    <x v="0"/>
    <s v="ITHSGHP0"/>
    <x v="6"/>
    <b v="0"/>
    <s v="No está en VPC"/>
    <n v="403"/>
    <s v="INTPG_ACC_403_1.48"/>
    <s v="ISEL-1.48"/>
    <n v="1"/>
    <s v="NO TIENE L3OUT"/>
    <n v="150"/>
    <n v="96"/>
  </r>
  <r>
    <n v="125"/>
    <x v="0"/>
    <x v="255"/>
    <s v="eth1/48"/>
    <x v="1"/>
    <x v="1"/>
    <x v="2"/>
    <s v="CIRCULO Azul(UXCA)"/>
    <x v="6"/>
    <b v="0"/>
    <s v="No está en VPC"/>
    <n v="125"/>
    <s v="INTPG_ACC_125_1.48"/>
    <s v="ISEL-1.48"/>
    <n v="0"/>
    <s v="NO TIENE L3OUT"/>
    <n v="72"/>
    <n v="96"/>
  </r>
  <r>
    <n v="166"/>
    <x v="0"/>
    <x v="256"/>
    <s v="eth1/48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48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48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48"/>
    <x v="0"/>
    <x v="0"/>
    <x v="0"/>
    <s v="COMISIONES"/>
    <x v="6"/>
    <b v="0"/>
    <s v="No está en VPC"/>
    <n v="106"/>
    <s v="INTPG_ACC_106_1.48"/>
    <s v="ISEL-1.48"/>
    <n v="1"/>
    <s v="NO TIENE L3OUT"/>
    <n v="122"/>
    <n v="96"/>
  </r>
  <r>
    <n v="126"/>
    <x v="0"/>
    <x v="260"/>
    <s v="eth1/48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48"/>
    <x v="0"/>
    <x v="0"/>
    <x v="0"/>
    <s v="HP Proliant DL380p(f)"/>
    <x v="6"/>
    <b v="0"/>
    <s v="No está en VPC"/>
    <n v="425"/>
    <s v="INTPG_ACC_425_1.48"/>
    <s v="ISEL-1.48"/>
    <n v="1"/>
    <s v="NO TIENE L3OUT"/>
    <n v="86"/>
    <n v="96"/>
  </r>
  <r>
    <n v="151"/>
    <x v="0"/>
    <x v="262"/>
    <s v="eth1/48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48"/>
    <x v="0"/>
    <x v="0"/>
    <x v="0"/>
    <s v="TO-uxidmbd-NET0"/>
    <x v="6"/>
    <b v="0"/>
    <s v="No está en VPC"/>
    <n v="430"/>
    <s v="INTPG_ACC_430_1.48"/>
    <s v="ISEL-1.48"/>
    <n v="1"/>
    <s v="NO TIENE L3OUT"/>
    <n v="86"/>
    <n v="96"/>
  </r>
  <r>
    <n v="419"/>
    <x v="1"/>
    <x v="264"/>
    <s v="eth1/48"/>
    <x v="0"/>
    <x v="0"/>
    <x v="0"/>
    <s v="TO-SPECTRUM1-PRINCIPAL"/>
    <x v="6"/>
    <b v="0"/>
    <s v="No está en VPC"/>
    <n v="419"/>
    <s v="INTPG_ACC_419_1.48"/>
    <s v="ISEL-1.48"/>
    <n v="1"/>
    <s v="NO TIENE L3OUT"/>
    <n v="70"/>
    <n v="96"/>
  </r>
  <r>
    <n v="155"/>
    <x v="0"/>
    <x v="265"/>
    <s v="eth1/48"/>
    <x v="0"/>
    <x v="0"/>
    <x v="0"/>
    <s v="IXT08PP"/>
    <x v="6"/>
    <b v="0"/>
    <s v="No está en VPC"/>
    <n v="155"/>
    <s v="INTPG_ACC_155_1.48"/>
    <s v="ISEL-1.48"/>
    <n v="0"/>
    <s v="L3OUT-SNA-IXT08PP-BGP"/>
    <n v="198"/>
    <n v="96"/>
  </r>
  <r>
    <n v="409"/>
    <x v="1"/>
    <x v="266"/>
    <s v="eth1/48"/>
    <x v="0"/>
    <x v="0"/>
    <x v="0"/>
    <s v="IXTPPMAP02"/>
    <x v="6"/>
    <b v="0"/>
    <s v="No está en VPC"/>
    <n v="409"/>
    <s v="INTPG_ACC_409_1.48"/>
    <s v="ISEL-1.48"/>
    <n v="1"/>
    <s v="NO TIENE L3OUT"/>
    <n v="128"/>
    <n v="96"/>
  </r>
  <r>
    <n v="422"/>
    <x v="1"/>
    <x v="267"/>
    <s v="eth1/48"/>
    <x v="0"/>
    <x v="0"/>
    <x v="0"/>
    <s v="TEMIPCLOUD_B02"/>
    <x v="6"/>
    <b v="0"/>
    <s v="No está en VPC"/>
    <n v="422"/>
    <s v="INTPG_ACC_422_1.48"/>
    <s v="ISEL-1.48"/>
    <n v="6"/>
    <s v="NO TIENE L3OUT"/>
    <n v="182"/>
    <n v="96"/>
  </r>
  <r>
    <n v="436"/>
    <x v="1"/>
    <x v="268"/>
    <s v="eth1/48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48"/>
    <x v="0"/>
    <x v="0"/>
    <x v="0"/>
    <s v="APMS02_S12"/>
    <x v="6"/>
    <b v="0"/>
    <s v="No está en VPC"/>
    <n v="410"/>
    <s v="INTPG_ACC_410_1.48"/>
    <s v="ISEL-1.48"/>
    <n v="1"/>
    <s v="NO TIENE L3OUT"/>
    <n v="178"/>
    <n v="96"/>
  </r>
  <r>
    <n v="161"/>
    <x v="0"/>
    <x v="270"/>
    <s v="eth1/48"/>
    <x v="0"/>
    <x v="0"/>
    <x v="0"/>
    <s v="STORAGE_VNX_0493_BKP1_AND_BKP2"/>
    <x v="6"/>
    <b v="0"/>
    <s v="No está en VPC"/>
    <n v="161"/>
    <s v="INTPG_ACC_161_1.48"/>
    <s v="ISEL-1.48"/>
    <n v="2"/>
    <s v="NO TIENE L3OUT"/>
    <n v="102"/>
    <n v="96"/>
  </r>
  <r>
    <n v="411"/>
    <x v="1"/>
    <x v="271"/>
    <s v="eth1/48"/>
    <x v="0"/>
    <x v="0"/>
    <x v="0"/>
    <s v="ITHSPC1E_A"/>
    <x v="6"/>
    <b v="0"/>
    <s v="No está en VPC"/>
    <n v="411"/>
    <s v="INTPG_ACC_411_1.48"/>
    <s v="ISEL-1.48"/>
    <n v="1"/>
    <s v="NO TIENE L3OUT"/>
    <n v="96"/>
    <n v="96"/>
  </r>
  <r>
    <n v="116"/>
    <x v="0"/>
    <x v="272"/>
    <s v="eth1/48"/>
    <x v="0"/>
    <x v="1"/>
    <x v="1"/>
    <s v="USSD TANGO"/>
    <x v="6"/>
    <b v="0"/>
    <s v="No está en VPC"/>
    <n v="116"/>
    <s v="INTPG_ACC_116_1.48"/>
    <s v="ISEL-1.48"/>
    <n v="1"/>
    <s v="NO TIENE L3OUT"/>
    <n v="148"/>
    <n v="96"/>
  </r>
  <r>
    <n v="412"/>
    <x v="1"/>
    <x v="273"/>
    <s v="eth1/48"/>
    <x v="0"/>
    <x v="0"/>
    <x v="0"/>
    <s v="IBMWASII_01"/>
    <x v="6"/>
    <b v="0"/>
    <s v="No está en VPC"/>
    <n v="412"/>
    <s v="INTPG_ACC_412_1.48"/>
    <s v="ISEL-1.48"/>
    <n v="1"/>
    <s v="NO TIENE L3OUT"/>
    <n v="126"/>
    <n v="96"/>
  </r>
  <r>
    <n v="120"/>
    <x v="0"/>
    <x v="274"/>
    <s v="eth1/48"/>
    <x v="0"/>
    <x v="0"/>
    <x v="0"/>
    <s v="ASEGING"/>
    <x v="6"/>
    <b v="0"/>
    <s v="No está en VPC"/>
    <n v="120"/>
    <s v="INTPG_ACC_120_1.48"/>
    <s v="ISEL-1.48"/>
    <n v="1"/>
    <s v="NO TIENE L3OUT"/>
    <n v="158"/>
    <n v="96"/>
  </r>
  <r>
    <n v="404"/>
    <x v="1"/>
    <x v="275"/>
    <s v="eth1/48"/>
    <x v="0"/>
    <x v="0"/>
    <x v="0"/>
    <s v="VIOSDES3-VIOSDES3_CLT"/>
    <x v="6"/>
    <b v="0"/>
    <s v="No está en VPC"/>
    <n v="404"/>
    <s v="INTPG_VPC_404_1.47-48_406_1.47-48"/>
    <s v="ISEL-1.48"/>
    <n v="1"/>
    <s v="NO TIENE L3OUT"/>
    <n v="92"/>
    <n v="96"/>
  </r>
  <r>
    <n v="167"/>
    <x v="0"/>
    <x v="276"/>
    <s v="eth1/48"/>
    <x v="0"/>
    <x v="0"/>
    <x v="0"/>
    <s v="TO-ITHFDENBURMS03"/>
    <x v="6"/>
    <b v="0"/>
    <s v="No está en VPC"/>
    <n v="167"/>
    <s v="INTPG_VPC_167_1.48_169_1.50"/>
    <s v="ISEL-1.48"/>
    <n v="1"/>
    <s v="NO TIENE L3OUT"/>
    <n v="68"/>
    <n v="96"/>
  </r>
  <r>
    <n v="428"/>
    <x v="1"/>
    <x v="277"/>
    <s v="eth1/48"/>
    <x v="0"/>
    <x v="0"/>
    <x v="0"/>
    <s v="DCX BB3_S2_CP1"/>
    <x v="6"/>
    <b v="0"/>
    <s v="No está en VPC"/>
    <n v="428"/>
    <s v="INTPG_ACC_428_1.48"/>
    <s v="ISEL-1.48"/>
    <n v="1"/>
    <s v="NO TIENE L3OUT"/>
    <n v="102"/>
    <n v="96"/>
  </r>
  <r>
    <n v="128"/>
    <x v="0"/>
    <x v="0"/>
    <s v="eth1/49"/>
    <x v="0"/>
    <x v="0"/>
    <x v="0"/>
    <s v="LINK_HACIA_SPINE"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49"/>
    <x v="0"/>
    <x v="0"/>
    <x v="0"/>
    <s v="LINK_HACIA_SPINE"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49"/>
    <x v="0"/>
    <x v="0"/>
    <x v="0"/>
    <s v="LINK_HACIA_SPINE"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49"/>
    <x v="0"/>
    <x v="0"/>
    <x v="0"/>
    <s v="LINK_HACIA_SPINE"/>
    <x v="0"/>
    <b v="0"/>
    <s v="No está en VPC"/>
    <n v="101"/>
    <s v="NO EXISTE PG"/>
    <s v="NO EXISTE ISEL"/>
    <n v="0"/>
    <s v="NO TIENE L3OUT"/>
    <n v="114"/>
    <n v="54"/>
  </r>
  <r>
    <n v="160"/>
    <x v="0"/>
    <x v="4"/>
    <s v="eth1/49"/>
    <x v="0"/>
    <x v="0"/>
    <x v="0"/>
    <s v="LINK_HACIA_SPINE"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49"/>
    <x v="0"/>
    <x v="0"/>
    <x v="0"/>
    <s v="LINK_HACIA_SPINE"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49"/>
    <x v="0"/>
    <x v="0"/>
    <x v="0"/>
    <s v="LINK_HACIA_SPINE"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49"/>
    <x v="0"/>
    <x v="0"/>
    <x v="0"/>
    <s v="LINK_HACIA_SPINE"/>
    <x v="0"/>
    <b v="0"/>
    <s v="No está en VPC"/>
    <n v="401"/>
    <s v="NO EXISTE PG"/>
    <s v="NO EXISTE ISEL"/>
    <n v="0"/>
    <s v="NO TIENE L3OUT"/>
    <n v="40"/>
    <n v="54"/>
  </r>
  <r>
    <n v="402"/>
    <x v="1"/>
    <x v="8"/>
    <s v="eth1/49"/>
    <x v="0"/>
    <x v="0"/>
    <x v="0"/>
    <s v="LINK_HACIA_SPINE"/>
    <x v="0"/>
    <b v="0"/>
    <s v="No está en VPC"/>
    <n v="402"/>
    <s v="NO EXISTE PG"/>
    <s v="NO EXISTE ISEL"/>
    <n v="0"/>
    <s v="NO TIENE L3OUT"/>
    <n v="36"/>
    <n v="54"/>
  </r>
  <r>
    <n v="130"/>
    <x v="0"/>
    <x v="11"/>
    <s v="eth1/49"/>
    <x v="0"/>
    <x v="0"/>
    <x v="0"/>
    <s v="LINK_HACIA_SPINE"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49"/>
    <x v="0"/>
    <x v="0"/>
    <x v="0"/>
    <s v="LINK_HACIA_SPINE"/>
    <x v="0"/>
    <b v="0"/>
    <s v="No está en VPC"/>
    <n v="150"/>
    <s v="NO EXISTE PG"/>
    <s v="NO EXISTE ISEL"/>
    <n v="0"/>
    <s v="NO TIENE L3OUT"/>
    <n v="118"/>
    <n v="54"/>
  </r>
  <r>
    <n v="131"/>
    <x v="0"/>
    <x v="13"/>
    <s v="eth1/49"/>
    <x v="0"/>
    <x v="0"/>
    <x v="0"/>
    <s v="LINK_HACIA_SPINE"/>
    <x v="0"/>
    <b v="0"/>
    <s v="No está en VPC"/>
    <n v="131"/>
    <s v="NO EXISTE PG"/>
    <s v="NO EXISTE ISEL"/>
    <n v="0"/>
    <s v="NO TIENE L3OUT"/>
    <n v="126"/>
    <n v="54"/>
  </r>
  <r>
    <n v="424"/>
    <x v="1"/>
    <x v="18"/>
    <s v="eth1/49"/>
    <x v="0"/>
    <x v="0"/>
    <x v="0"/>
    <s v="LINK_HACIA_SPINE"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49"/>
    <x v="0"/>
    <x v="0"/>
    <x v="0"/>
    <s v="LINK_HACIA_SPINE"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49"/>
    <x v="0"/>
    <x v="0"/>
    <x v="0"/>
    <s v="LINK_HACIA_SPINE"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49"/>
    <x v="0"/>
    <x v="0"/>
    <x v="0"/>
    <s v="LINK_HACIA_SPINE"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49"/>
    <x v="0"/>
    <x v="0"/>
    <x v="0"/>
    <s v="LINK_HACIA_SPINE"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49"/>
    <x v="0"/>
    <x v="0"/>
    <x v="0"/>
    <s v="LINK_HACIA_SPINE"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49"/>
    <x v="0"/>
    <x v="0"/>
    <x v="0"/>
    <s v="LINK_HACIA_SPINE"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49"/>
    <x v="0"/>
    <x v="0"/>
    <x v="0"/>
    <s v="LINK_HACIA_SPINE"/>
    <x v="0"/>
    <b v="0"/>
    <s v="No está en VPC"/>
    <n v="431"/>
    <s v="NO EXISTE PG"/>
    <s v="NO EXISTE ISEL"/>
    <n v="0"/>
    <s v="NO TIENE L3OUT"/>
    <n v="46"/>
    <n v="54"/>
  </r>
  <r>
    <n v="433"/>
    <x v="1"/>
    <x v="27"/>
    <s v="eth1/49"/>
    <x v="0"/>
    <x v="0"/>
    <x v="0"/>
    <s v="LINK_HACIA_SPINE"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49"/>
    <x v="0"/>
    <x v="0"/>
    <x v="0"/>
    <s v="LINK_HACIA_SPINE"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49"/>
    <x v="0"/>
    <x v="0"/>
    <x v="0"/>
    <s v="LINK_HACIA_SPINE"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49"/>
    <x v="0"/>
    <x v="0"/>
    <x v="0"/>
    <s v="LINK_HACIA_SPINE"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49"/>
    <x v="0"/>
    <x v="0"/>
    <x v="0"/>
    <s v="LINK_HACIA_SPINE"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49"/>
    <x v="0"/>
    <x v="0"/>
    <x v="0"/>
    <s v="LINK_HACIA_SPINE"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49"/>
    <x v="0"/>
    <x v="0"/>
    <x v="0"/>
    <s v="LINK_HACIA_SPINE"/>
    <x v="0"/>
    <b v="0"/>
    <s v="No está en VPC"/>
    <n v="712"/>
    <s v="NO EXISTE PG"/>
    <s v="NO EXISTE ISEL"/>
    <n v="0"/>
    <s v="NO TIENE L3OUT"/>
    <n v="32"/>
    <n v="54"/>
  </r>
  <r>
    <n v="719"/>
    <x v="2"/>
    <x v="34"/>
    <s v="eth1/49"/>
    <x v="0"/>
    <x v="0"/>
    <x v="0"/>
    <s v="LINK_HACIA_SPINE"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49"/>
    <x v="0"/>
    <x v="0"/>
    <x v="0"/>
    <s v="LINK_HACIA_SPINE"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49"/>
    <x v="0"/>
    <x v="0"/>
    <x v="0"/>
    <s v="LINK_HACIA_SPINE"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49"/>
    <x v="0"/>
    <x v="0"/>
    <x v="0"/>
    <s v="LINK_HACIA_SPINE"/>
    <x v="0"/>
    <b v="0"/>
    <s v="No está en VPC"/>
    <n v="711"/>
    <s v="NO EXISTE PG"/>
    <s v="NO EXISTE ISEL"/>
    <n v="0"/>
    <s v="NO TIENE L3OUT"/>
    <n v="16"/>
    <n v="54"/>
  </r>
  <r>
    <n v="716"/>
    <x v="2"/>
    <x v="38"/>
    <s v="eth1/49"/>
    <x v="0"/>
    <x v="0"/>
    <x v="0"/>
    <s v="LINK_HACIA_SPINE"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49"/>
    <x v="0"/>
    <x v="0"/>
    <x v="0"/>
    <s v="LINK_HACIA_SPINE"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49"/>
    <x v="0"/>
    <x v="0"/>
    <x v="0"/>
    <s v="LINK_HACIA_SPINE"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49"/>
    <x v="0"/>
    <x v="0"/>
    <x v="0"/>
    <s v="LINK_HACIA_SPINE"/>
    <x v="0"/>
    <b v="0"/>
    <s v="No está en VPC"/>
    <n v="446"/>
    <s v="NO EXISTE PG"/>
    <s v="NO EXISTE ISEL"/>
    <n v="0"/>
    <s v="NO TIENE L3OUT"/>
    <n v="198"/>
    <n v="54"/>
  </r>
  <r>
    <n v="444"/>
    <x v="1"/>
    <x v="42"/>
    <s v="eth1/49"/>
    <x v="0"/>
    <x v="0"/>
    <x v="0"/>
    <s v="LINK_HACIA_SPINE"/>
    <x v="0"/>
    <b v="0"/>
    <s v="No está en VPC"/>
    <n v="444"/>
    <s v="NO EXISTE PG"/>
    <s v="NO EXISTE ISEL"/>
    <n v="0"/>
    <s v="NO TIENE L3OUT"/>
    <n v="234"/>
    <n v="54"/>
  </r>
  <r>
    <n v="701"/>
    <x v="2"/>
    <x v="43"/>
    <s v="eth1/49"/>
    <x v="0"/>
    <x v="0"/>
    <x v="0"/>
    <s v="LINK_HACIA_SPINE"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49"/>
    <x v="0"/>
    <x v="0"/>
    <x v="0"/>
    <s v="LINK_HACIA_SPINE"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49"/>
    <x v="0"/>
    <x v="0"/>
    <x v="0"/>
    <s v="LINK_HACIA_SPINE"/>
    <x v="0"/>
    <b v="0"/>
    <s v="No está en VPC"/>
    <n v="448"/>
    <s v="NO EXISTE PG"/>
    <s v="NO EXISTE ISEL"/>
    <n v="0"/>
    <s v="NO TIENE L3OUT"/>
    <n v="46"/>
    <n v="54"/>
  </r>
  <r>
    <n v="704"/>
    <x v="2"/>
    <x v="46"/>
    <s v="eth1/49"/>
    <x v="0"/>
    <x v="0"/>
    <x v="0"/>
    <s v="LINK_HACIA_SPINE"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49"/>
    <x v="0"/>
    <x v="0"/>
    <x v="0"/>
    <s v="LINK_HACIA_SPINE"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49"/>
    <x v="0"/>
    <x v="0"/>
    <x v="0"/>
    <s v="LINK_HACIA_SPINE"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49"/>
    <x v="0"/>
    <x v="0"/>
    <x v="0"/>
    <s v="LINK_HACIA_SPINE"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49"/>
    <x v="0"/>
    <x v="0"/>
    <x v="0"/>
    <s v="LINK_HACIA_SPINE"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49"/>
    <x v="0"/>
    <x v="0"/>
    <x v="0"/>
    <s v="LINK_HACIA_SPINE"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49"/>
    <x v="0"/>
    <x v="0"/>
    <x v="0"/>
    <s v="LINK_HACIA_SPINE"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49"/>
    <x v="0"/>
    <x v="0"/>
    <x v="0"/>
    <s v="LINK_HACIA_SPINE"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49"/>
    <x v="0"/>
    <x v="0"/>
    <x v="0"/>
    <s v="LINK_HACIA_SPINE"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49"/>
    <x v="0"/>
    <x v="0"/>
    <x v="0"/>
    <s v="LINK_HACIA_SPINE"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49"/>
    <x v="0"/>
    <x v="0"/>
    <x v="0"/>
    <s v="LINK_HACIA_SPINE"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49"/>
    <x v="0"/>
    <x v="0"/>
    <x v="0"/>
    <s v="LINK_HACIA_SPINE"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49"/>
    <x v="0"/>
    <x v="0"/>
    <x v="0"/>
    <s v="LINK_HACIA_SPINE"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49"/>
    <x v="0"/>
    <x v="0"/>
    <x v="0"/>
    <s v="LINK_HACIA_SPINE"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49"/>
    <x v="0"/>
    <x v="0"/>
    <x v="0"/>
    <s v="LINK_HACIA_SPINE"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49"/>
    <x v="0"/>
    <x v="1"/>
    <x v="3"/>
    <m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49"/>
    <x v="0"/>
    <x v="0"/>
    <x v="0"/>
    <s v="LINK_HACIA_SPINE"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49"/>
    <x v="0"/>
    <x v="0"/>
    <x v="0"/>
    <s v="LINK_HACIA_SPINE"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49"/>
    <x v="0"/>
    <x v="0"/>
    <x v="0"/>
    <s v="LINK_HACIA_SPINE"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49"/>
    <x v="0"/>
    <x v="0"/>
    <x v="0"/>
    <s v="LINK_HACIA_SPINE"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49"/>
    <x v="0"/>
    <x v="0"/>
    <x v="0"/>
    <s v="LINK_HACIA_SPINE"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49"/>
    <x v="0"/>
    <x v="0"/>
    <x v="0"/>
    <s v="LINK_HACIA_SPINE"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49"/>
    <x v="0"/>
    <x v="0"/>
    <x v="0"/>
    <s v="LINK_HACIA_SPINE"/>
    <x v="0"/>
    <b v="0"/>
    <s v="No está en VPC"/>
    <n v="780"/>
    <s v="NO EXISTE PG"/>
    <s v="NO EXISTE ISEL"/>
    <n v="0"/>
    <s v="NO TIENE L3OUT"/>
    <n v="26"/>
    <n v="54"/>
  </r>
  <r>
    <n v="812"/>
    <x v="2"/>
    <x v="70"/>
    <s v="eth1/49"/>
    <x v="0"/>
    <x v="0"/>
    <x v="0"/>
    <s v="LINK_HACIA_SPINE"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49"/>
    <x v="0"/>
    <x v="0"/>
    <x v="0"/>
    <s v="LINK_HACIA_SPINE"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49"/>
    <x v="0"/>
    <x v="0"/>
    <x v="0"/>
    <s v="LINK_HACIA_SPINE"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49"/>
    <x v="0"/>
    <x v="0"/>
    <x v="0"/>
    <s v="LINK_HACIA_SPINE"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49"/>
    <x v="0"/>
    <x v="0"/>
    <x v="0"/>
    <s v="LINK_HACIA_SPINE"/>
    <x v="0"/>
    <b v="0"/>
    <s v="No está en VPC"/>
    <n v="824"/>
    <s v="NO EXISTE PG"/>
    <s v="NO EXISTE ISEL"/>
    <n v="0"/>
    <s v="NO TIENE L3OUT"/>
    <n v="70"/>
    <n v="54"/>
  </r>
  <r>
    <n v="819"/>
    <x v="2"/>
    <x v="75"/>
    <s v="eth1/49"/>
    <x v="0"/>
    <x v="0"/>
    <x v="0"/>
    <s v="LINK_HACIA_SPINE"/>
    <x v="0"/>
    <b v="0"/>
    <s v="No está en VPC"/>
    <n v="819"/>
    <s v="NO EXISTE PG"/>
    <s v="NO EXISTE ISEL"/>
    <n v="0"/>
    <s v="NO TIENE L3OUT"/>
    <n v="70"/>
    <n v="54"/>
  </r>
  <r>
    <n v="737"/>
    <x v="2"/>
    <x v="76"/>
    <s v="eth1/49"/>
    <x v="0"/>
    <x v="1"/>
    <x v="3"/>
    <m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49"/>
    <x v="0"/>
    <x v="0"/>
    <x v="0"/>
    <s v="LINK_HACIA_SPINE"/>
    <x v="0"/>
    <b v="0"/>
    <s v="No está en VPC"/>
    <n v="844"/>
    <s v="NO EXISTE PG"/>
    <s v="NO EXISTE ISEL"/>
    <n v="0"/>
    <s v="NO TIENE L3OUT"/>
    <n v="282"/>
    <n v="54"/>
  </r>
  <r>
    <n v="843"/>
    <x v="2"/>
    <x v="78"/>
    <s v="eth1/49"/>
    <x v="0"/>
    <x v="0"/>
    <x v="0"/>
    <s v="LINK_HACIA_SPINE"/>
    <x v="0"/>
    <b v="0"/>
    <s v="No está en VPC"/>
    <n v="843"/>
    <s v="NO EXISTE PG"/>
    <s v="NO EXISTE ISEL"/>
    <n v="0"/>
    <s v="NO TIENE L3OUT"/>
    <n v="38"/>
    <n v="54"/>
  </r>
  <r>
    <n v="797"/>
    <x v="2"/>
    <x v="79"/>
    <s v="eth1/49"/>
    <x v="0"/>
    <x v="0"/>
    <x v="0"/>
    <s v="LINK_HACIA_SPINE"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49"/>
    <x v="0"/>
    <x v="0"/>
    <x v="0"/>
    <s v="LINK_HACIA_SPINE"/>
    <x v="0"/>
    <b v="0"/>
    <s v="No está en VPC"/>
    <n v="839"/>
    <s v="NO EXISTE PG"/>
    <s v="NO EXISTE ISEL"/>
    <n v="0"/>
    <s v="NO TIENE L3OUT"/>
    <n v="0"/>
    <n v="54"/>
  </r>
  <r>
    <n v="847"/>
    <x v="2"/>
    <x v="81"/>
    <s v="eth1/49"/>
    <x v="0"/>
    <x v="0"/>
    <x v="0"/>
    <s v="LINK_HACIA_SPINE"/>
    <x v="0"/>
    <b v="0"/>
    <s v="No está en VPC"/>
    <n v="847"/>
    <s v="NO EXISTE PG"/>
    <s v="NO EXISTE ISEL"/>
    <n v="0"/>
    <s v="NO TIENE L3OUT"/>
    <n v="204"/>
    <n v="54"/>
  </r>
  <r>
    <n v="848"/>
    <x v="2"/>
    <x v="82"/>
    <s v="eth1/49"/>
    <x v="0"/>
    <x v="0"/>
    <x v="0"/>
    <s v="LINK_HACIA_SPINE"/>
    <x v="0"/>
    <b v="0"/>
    <s v="No está en VPC"/>
    <n v="848"/>
    <s v="NO EXISTE PG"/>
    <s v="NO EXISTE ISEL"/>
    <n v="0"/>
    <s v="NO TIENE L3OUT"/>
    <n v="254"/>
    <n v="54"/>
  </r>
  <r>
    <n v="846"/>
    <x v="2"/>
    <x v="83"/>
    <s v="eth1/49"/>
    <x v="0"/>
    <x v="0"/>
    <x v="0"/>
    <s v="LINK_HACIA_SPINE"/>
    <x v="0"/>
    <b v="0"/>
    <s v="No está en VPC"/>
    <n v="846"/>
    <s v="NO EXISTE PG"/>
    <s v="NO EXISTE ISEL"/>
    <n v="0"/>
    <s v="NO TIENE L3OUT"/>
    <n v="242"/>
    <n v="54"/>
  </r>
  <r>
    <n v="838"/>
    <x v="2"/>
    <x v="84"/>
    <s v="eth1/49"/>
    <x v="0"/>
    <x v="0"/>
    <x v="0"/>
    <s v="LINK_HACIA_SPINE"/>
    <x v="0"/>
    <b v="0"/>
    <s v="No está en VPC"/>
    <n v="838"/>
    <s v="NO EXISTE PG"/>
    <s v="NO EXISTE ISEL"/>
    <n v="0"/>
    <s v="NO TIENE L3OUT"/>
    <n v="38"/>
    <n v="54"/>
  </r>
  <r>
    <n v="849"/>
    <x v="2"/>
    <x v="85"/>
    <s v="eth1/49"/>
    <x v="0"/>
    <x v="0"/>
    <x v="0"/>
    <s v="LINK_HACIA_SPINE"/>
    <x v="0"/>
    <b v="0"/>
    <s v="No está en VPC"/>
    <n v="849"/>
    <s v="NO EXISTE PG"/>
    <s v="NO EXISTE ISEL"/>
    <n v="0"/>
    <s v="NO TIENE L3OUT"/>
    <n v="286"/>
    <n v="54"/>
  </r>
  <r>
    <n v="845"/>
    <x v="2"/>
    <x v="86"/>
    <s v="eth1/49"/>
    <x v="0"/>
    <x v="0"/>
    <x v="0"/>
    <s v="LINK_HACIA_SPINE"/>
    <x v="0"/>
    <b v="0"/>
    <s v="No está en VPC"/>
    <n v="845"/>
    <s v="NO EXISTE PG"/>
    <s v="NO EXISTE ISEL"/>
    <n v="0"/>
    <s v="NO TIENE L3OUT"/>
    <n v="258"/>
    <n v="54"/>
  </r>
  <r>
    <n v="873"/>
    <x v="2"/>
    <x v="87"/>
    <s v="eth1/49"/>
    <x v="0"/>
    <x v="0"/>
    <x v="0"/>
    <s v="LINK_HACIA_SPINE"/>
    <x v="0"/>
    <b v="0"/>
    <s v="No está en VPC"/>
    <n v="873"/>
    <s v="NO EXISTE PG"/>
    <s v="NO EXISTE ISEL"/>
    <n v="0"/>
    <s v="NO TIENE L3OUT"/>
    <n v="248"/>
    <n v="54"/>
  </r>
  <r>
    <n v="864"/>
    <x v="2"/>
    <x v="88"/>
    <s v="eth1/49"/>
    <x v="0"/>
    <x v="0"/>
    <x v="0"/>
    <s v="LINK_HACIA_SPINE"/>
    <x v="0"/>
    <b v="0"/>
    <s v="No está en VPC"/>
    <n v="864"/>
    <s v="NO EXISTE PG"/>
    <s v="NO EXISTE ISEL"/>
    <n v="0"/>
    <s v="NO TIENE L3OUT"/>
    <n v="0"/>
    <n v="54"/>
  </r>
  <r>
    <n v="836"/>
    <x v="2"/>
    <x v="89"/>
    <s v="eth1/49"/>
    <x v="0"/>
    <x v="0"/>
    <x v="0"/>
    <s v="LINK_HACIA_SPINE"/>
    <x v="0"/>
    <b v="0"/>
    <s v="No está en VPC"/>
    <n v="836"/>
    <s v="NO EXISTE PG"/>
    <s v="NO EXISTE ISEL"/>
    <n v="0"/>
    <s v="NO TIENE L3OUT"/>
    <n v="0"/>
    <n v="54"/>
  </r>
  <r>
    <n v="834"/>
    <x v="2"/>
    <x v="90"/>
    <s v="eth1/49"/>
    <x v="0"/>
    <x v="0"/>
    <x v="0"/>
    <s v="LINK_HACIA_SPINE"/>
    <x v="0"/>
    <b v="0"/>
    <s v="No está en VPC"/>
    <n v="834"/>
    <s v="NO EXISTE PG"/>
    <s v="NO EXISTE ISEL"/>
    <n v="0"/>
    <s v="NO TIENE L3OUT"/>
    <n v="0"/>
    <n v="54"/>
  </r>
  <r>
    <n v="872"/>
    <x v="2"/>
    <x v="91"/>
    <s v="eth1/49"/>
    <x v="0"/>
    <x v="0"/>
    <x v="0"/>
    <s v="LINK_HACIA_SPINE"/>
    <x v="0"/>
    <b v="0"/>
    <s v="No está en VPC"/>
    <n v="872"/>
    <s v="NO EXISTE PG"/>
    <s v="NO EXISTE ISEL"/>
    <n v="0"/>
    <s v="NO TIENE L3OUT"/>
    <n v="288"/>
    <n v="54"/>
  </r>
  <r>
    <n v="842"/>
    <x v="2"/>
    <x v="92"/>
    <s v="eth1/49"/>
    <x v="0"/>
    <x v="0"/>
    <x v="0"/>
    <s v="LINK_HACIA_SPINE"/>
    <x v="0"/>
    <b v="0"/>
    <s v="No está en VPC"/>
    <n v="842"/>
    <s v="NO EXISTE PG"/>
    <s v="NO EXISTE ISEL"/>
    <n v="0"/>
    <s v="NO TIENE L3OUT"/>
    <n v="8"/>
    <n v="54"/>
  </r>
  <r>
    <n v="828"/>
    <x v="2"/>
    <x v="93"/>
    <s v="eth1/49"/>
    <x v="0"/>
    <x v="0"/>
    <x v="0"/>
    <s v="LINK_HACIA_SPINE"/>
    <x v="0"/>
    <b v="0"/>
    <s v="No está en VPC"/>
    <n v="828"/>
    <s v="NO EXISTE PG"/>
    <s v="NO EXISTE ISEL"/>
    <n v="0"/>
    <s v="NO TIENE L3OUT"/>
    <n v="192"/>
    <n v="54"/>
  </r>
  <r>
    <n v="870"/>
    <x v="2"/>
    <x v="94"/>
    <s v="eth1/49"/>
    <x v="0"/>
    <x v="0"/>
    <x v="0"/>
    <s v="LINK_HACIA_SPINE"/>
    <x v="0"/>
    <b v="0"/>
    <s v="No está en VPC"/>
    <n v="870"/>
    <s v="NO EXISTE PG"/>
    <s v="NO EXISTE ISEL"/>
    <n v="0"/>
    <s v="NO TIENE L3OUT"/>
    <n v="248"/>
    <n v="54"/>
  </r>
  <r>
    <n v="866"/>
    <x v="2"/>
    <x v="95"/>
    <s v="eth1/49"/>
    <x v="0"/>
    <x v="0"/>
    <x v="0"/>
    <s v="LINK_HACIA_SPINE"/>
    <x v="0"/>
    <b v="0"/>
    <s v="No está en VPC"/>
    <n v="866"/>
    <s v="NO EXISTE PG"/>
    <s v="NO EXISTE ISEL"/>
    <n v="0"/>
    <s v="NO TIENE L3OUT"/>
    <n v="8"/>
    <n v="54"/>
  </r>
  <r>
    <n v="862"/>
    <x v="2"/>
    <x v="96"/>
    <s v="eth1/49"/>
    <x v="0"/>
    <x v="0"/>
    <x v="0"/>
    <s v="LINK_HACIA_SPINE"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49"/>
    <x v="0"/>
    <x v="0"/>
    <x v="0"/>
    <s v="LINK_HACIA_SPINE"/>
    <x v="0"/>
    <b v="0"/>
    <s v="No está en VPC"/>
    <n v="855"/>
    <s v="NO EXISTE PG"/>
    <s v="NO EXISTE ISEL"/>
    <n v="0"/>
    <s v="NO TIENE L3OUT"/>
    <n v="254"/>
    <n v="54"/>
  </r>
  <r>
    <n v="871"/>
    <x v="2"/>
    <x v="98"/>
    <s v="eth1/49"/>
    <x v="0"/>
    <x v="0"/>
    <x v="0"/>
    <s v="LINK_HACIA_SPINE"/>
    <x v="0"/>
    <b v="0"/>
    <s v="No está en VPC"/>
    <n v="871"/>
    <s v="NO EXISTE PG"/>
    <s v="NO EXISTE ISEL"/>
    <n v="0"/>
    <s v="NO TIENE L3OUT"/>
    <n v="246"/>
    <n v="54"/>
  </r>
  <r>
    <n v="841"/>
    <x v="2"/>
    <x v="99"/>
    <s v="eth1/49"/>
    <x v="0"/>
    <x v="0"/>
    <x v="0"/>
    <s v="LINK_HACIA_SPINE"/>
    <x v="0"/>
    <b v="0"/>
    <s v="No está en VPC"/>
    <n v="841"/>
    <s v="NO EXISTE PG"/>
    <s v="NO EXISTE ISEL"/>
    <n v="0"/>
    <s v="NO TIENE L3OUT"/>
    <n v="0"/>
    <n v="54"/>
  </r>
  <r>
    <n v="868"/>
    <x v="2"/>
    <x v="100"/>
    <s v="eth1/49"/>
    <x v="0"/>
    <x v="0"/>
    <x v="0"/>
    <s v="LINK_HACIA_SPINE"/>
    <x v="0"/>
    <b v="0"/>
    <s v="No está en VPC"/>
    <n v="868"/>
    <s v="NO EXISTE PG"/>
    <s v="NO EXISTE ISEL"/>
    <n v="0"/>
    <s v="NO TIENE L3OUT"/>
    <n v="246"/>
    <n v="54"/>
  </r>
  <r>
    <n v="869"/>
    <x v="2"/>
    <x v="101"/>
    <s v="eth1/49"/>
    <x v="0"/>
    <x v="0"/>
    <x v="0"/>
    <s v="LINK_HACIA_SPINE"/>
    <x v="0"/>
    <b v="0"/>
    <s v="No está en VPC"/>
    <n v="869"/>
    <s v="NO EXISTE PG"/>
    <s v="NO EXISTE ISEL"/>
    <n v="0"/>
    <s v="NO TIENE L3OUT"/>
    <n v="288"/>
    <n v="54"/>
  </r>
  <r>
    <n v="861"/>
    <x v="2"/>
    <x v="102"/>
    <s v="eth1/49"/>
    <x v="0"/>
    <x v="0"/>
    <x v="0"/>
    <s v="LINK_HACIA_SPINE"/>
    <x v="0"/>
    <b v="0"/>
    <s v="No está en VPC"/>
    <n v="861"/>
    <s v="NO EXISTE PG"/>
    <s v="NO EXISTE ISEL"/>
    <n v="0"/>
    <s v="NO TIENE L3OUT"/>
    <n v="8"/>
    <n v="54"/>
  </r>
  <r>
    <n v="874"/>
    <x v="2"/>
    <x v="103"/>
    <s v="eth1/49"/>
    <x v="0"/>
    <x v="0"/>
    <x v="0"/>
    <s v="LINK_HACIA_SPINE"/>
    <x v="4"/>
    <b v="0"/>
    <s v="No está en VPC"/>
    <n v="874"/>
    <s v="NO EXISTE PG"/>
    <s v="NO EXISTE ISEL"/>
    <n v="0"/>
    <s v="NO TIENE L3OUT"/>
    <n v="92"/>
    <n v="54"/>
  </r>
  <r>
    <n v="865"/>
    <x v="2"/>
    <x v="104"/>
    <s v="eth1/49"/>
    <x v="0"/>
    <x v="0"/>
    <x v="0"/>
    <s v="LINK_HACIA_SPINE"/>
    <x v="0"/>
    <b v="0"/>
    <s v="No está en VPC"/>
    <n v="865"/>
    <s v="NO EXISTE PG"/>
    <s v="NO EXISTE ISEL"/>
    <n v="0"/>
    <s v="NO TIENE L3OUT"/>
    <n v="0"/>
    <n v="54"/>
  </r>
  <r>
    <n v="753"/>
    <x v="2"/>
    <x v="105"/>
    <s v="eth1/49"/>
    <x v="0"/>
    <x v="0"/>
    <x v="0"/>
    <s v="LINK_HACIA_SPINE"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49"/>
    <x v="0"/>
    <x v="0"/>
    <x v="0"/>
    <s v="LINK_HACIA_SPINE"/>
    <x v="0"/>
    <b v="0"/>
    <s v="No está en VPC"/>
    <n v="708"/>
    <s v="NO EXISTE PG"/>
    <s v="NO EXISTE ISEL"/>
    <n v="0"/>
    <s v="NO TIENE L3OUT"/>
    <n v="0"/>
    <n v="54"/>
  </r>
  <r>
    <n v="710"/>
    <x v="2"/>
    <x v="107"/>
    <s v="eth1/49"/>
    <x v="0"/>
    <x v="0"/>
    <x v="0"/>
    <s v="LINK_HACIA_SPINE"/>
    <x v="0"/>
    <b v="0"/>
    <s v="No está en VPC"/>
    <n v="710"/>
    <s v="NO EXISTE PG"/>
    <s v="NO EXISTE ISEL"/>
    <n v="0"/>
    <s v="NO TIENE L3OUT"/>
    <n v="16"/>
    <n v="54"/>
  </r>
  <r>
    <n v="713"/>
    <x v="2"/>
    <x v="108"/>
    <s v="eth1/49"/>
    <x v="0"/>
    <x v="0"/>
    <x v="0"/>
    <s v="LINK_HACIA_SPINE"/>
    <x v="0"/>
    <b v="0"/>
    <s v="No está en VPC"/>
    <n v="713"/>
    <s v="NO EXISTE PG"/>
    <s v="NO EXISTE ISEL"/>
    <n v="0"/>
    <s v="NO TIENE L3OUT"/>
    <n v="32"/>
    <n v="54"/>
  </r>
  <r>
    <n v="735"/>
    <x v="2"/>
    <x v="109"/>
    <s v="eth1/49"/>
    <x v="0"/>
    <x v="1"/>
    <x v="3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49"/>
    <x v="0"/>
    <x v="0"/>
    <x v="0"/>
    <s v="LINK_HACIA_SPINE"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49"/>
    <x v="0"/>
    <x v="0"/>
    <x v="0"/>
    <s v="LINK_HACIA_SPINE"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49"/>
    <x v="0"/>
    <x v="0"/>
    <x v="0"/>
    <s v="LINK_HACIA_SPINE"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49"/>
    <x v="0"/>
    <x v="0"/>
    <x v="0"/>
    <s v="LINK_HACIA_SPINE"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49"/>
    <x v="0"/>
    <x v="0"/>
    <x v="0"/>
    <s v="LINK_HACIA_SPINE"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49"/>
    <x v="0"/>
    <x v="0"/>
    <x v="0"/>
    <s v="LINK_HACIA_SPINE"/>
    <x v="0"/>
    <b v="0"/>
    <s v="No está en VPC"/>
    <n v="826"/>
    <s v="NO EXISTE PG"/>
    <s v="NO EXISTE ISEL"/>
    <n v="0"/>
    <s v="NO TIENE L3OUT"/>
    <n v="12"/>
    <n v="54"/>
  </r>
  <r>
    <n v="726"/>
    <x v="2"/>
    <x v="117"/>
    <s v="eth1/49"/>
    <x v="0"/>
    <x v="0"/>
    <x v="0"/>
    <s v="LINK_HACIA_SPINE"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49"/>
    <x v="0"/>
    <x v="1"/>
    <x v="3"/>
    <m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49"/>
    <x v="0"/>
    <x v="0"/>
    <x v="0"/>
    <s v="LINK_HACIA_SPINE"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49"/>
    <x v="0"/>
    <x v="0"/>
    <x v="0"/>
    <s v="LINK_HACIA_SPINE"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49"/>
    <x v="0"/>
    <x v="0"/>
    <x v="0"/>
    <s v="LINK_HACIA_SPINE"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49"/>
    <x v="0"/>
    <x v="0"/>
    <x v="0"/>
    <s v="LINK_HACIA_SPINE"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49"/>
    <x v="0"/>
    <x v="0"/>
    <x v="0"/>
    <s v="LINK_HACIA_SPINE"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49"/>
    <x v="0"/>
    <x v="0"/>
    <x v="0"/>
    <s v="LINK_HACIA_SPINE"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49"/>
    <x v="0"/>
    <x v="0"/>
    <x v="0"/>
    <s v="LINK_HACIA_SPINE"/>
    <x v="0"/>
    <b v="0"/>
    <s v="No está en VPC"/>
    <n v="709"/>
    <s v="NO EXISTE PG"/>
    <s v="NO EXISTE ISEL"/>
    <n v="0"/>
    <s v="NO TIENE L3OUT"/>
    <n v="0"/>
    <n v="54"/>
  </r>
  <r>
    <n v="454"/>
    <x v="1"/>
    <x v="126"/>
    <s v="eth1/49"/>
    <x v="0"/>
    <x v="0"/>
    <x v="0"/>
    <s v="LINK_HACIA_SPINE"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49"/>
    <x v="0"/>
    <x v="1"/>
    <x v="3"/>
    <m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49"/>
    <x v="0"/>
    <x v="0"/>
    <x v="0"/>
    <s v="LINK_HACIA_SPINE"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49"/>
    <x v="0"/>
    <x v="0"/>
    <x v="0"/>
    <s v="LINK_HACIA_SPINE"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49"/>
    <x v="0"/>
    <x v="0"/>
    <x v="0"/>
    <s v="LINK_HACIA_SPINE"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49"/>
    <x v="0"/>
    <x v="1"/>
    <x v="3"/>
    <m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49"/>
    <x v="0"/>
    <x v="0"/>
    <x v="0"/>
    <s v="LINK_HACIA_SPINE"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49"/>
    <x v="0"/>
    <x v="0"/>
    <x v="0"/>
    <s v="LINK_HACIA_SPINE"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49"/>
    <x v="0"/>
    <x v="0"/>
    <x v="0"/>
    <s v="LINK_HACIA_SPINE"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49"/>
    <x v="0"/>
    <x v="0"/>
    <x v="0"/>
    <s v="LINK_HACIA_SPINE"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49"/>
    <x v="0"/>
    <x v="0"/>
    <x v="0"/>
    <s v="LINK_HACIA_SPINE"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49"/>
    <x v="0"/>
    <x v="0"/>
    <x v="0"/>
    <s v="LINK_HACIA_SPINE"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49"/>
    <x v="0"/>
    <x v="0"/>
    <x v="0"/>
    <s v="LINK_HACIA_SPINE"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49"/>
    <x v="0"/>
    <x v="0"/>
    <x v="0"/>
    <s v="LINK_HACIA_SPINE"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49"/>
    <x v="0"/>
    <x v="0"/>
    <x v="0"/>
    <s v="LINK_HACIA_SPINE"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49"/>
    <x v="0"/>
    <x v="0"/>
    <x v="0"/>
    <s v="LINK_HACIA_SPINE"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49"/>
    <x v="0"/>
    <x v="0"/>
    <x v="0"/>
    <s v="LINK_HACIA_SPINE"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49"/>
    <x v="0"/>
    <x v="0"/>
    <x v="0"/>
    <s v="LINK_HACIA_SPINE"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49"/>
    <x v="0"/>
    <x v="0"/>
    <x v="0"/>
    <s v="LINK_HACIA_SPINE"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49"/>
    <x v="0"/>
    <x v="0"/>
    <x v="0"/>
    <s v="LINK_HACIA_SPINE"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49"/>
    <x v="0"/>
    <x v="0"/>
    <x v="0"/>
    <s v="LINK_HACIA_SPINE"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49"/>
    <x v="0"/>
    <x v="0"/>
    <x v="0"/>
    <s v="LINK_HACIA_SPINE"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49"/>
    <x v="0"/>
    <x v="0"/>
    <x v="0"/>
    <s v="LINK_HACIA_SPINE"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49"/>
    <x v="0"/>
    <x v="0"/>
    <x v="0"/>
    <s v="LINK_HACIA_SPINE"/>
    <x v="0"/>
    <b v="0"/>
    <s v="No está en VPC"/>
    <n v="781"/>
    <s v="NO EXISTE PG"/>
    <s v="NO EXISTE ISEL"/>
    <n v="0"/>
    <s v="NO TIENE L3OUT"/>
    <n v="26"/>
    <n v="54"/>
  </r>
  <r>
    <n v="793"/>
    <x v="2"/>
    <x v="151"/>
    <s v="eth1/49"/>
    <x v="0"/>
    <x v="0"/>
    <x v="0"/>
    <s v="LINK_HACIA_SPINE"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49"/>
    <x v="0"/>
    <x v="0"/>
    <x v="0"/>
    <s v="LINK_HACIA_SPINE"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49"/>
    <x v="0"/>
    <x v="0"/>
    <x v="0"/>
    <s v="LINK_HACIA_SPINE"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49"/>
    <x v="0"/>
    <x v="0"/>
    <x v="0"/>
    <s v="LINK_HACIA_SPINE"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49"/>
    <x v="0"/>
    <x v="0"/>
    <x v="0"/>
    <s v="LINK_HACIA_SPINE"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49"/>
    <x v="0"/>
    <x v="0"/>
    <x v="0"/>
    <s v="LINK_HACIA_SPINE"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49"/>
    <x v="0"/>
    <x v="0"/>
    <x v="0"/>
    <s v="LINK_HACIA_SPINE"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49"/>
    <x v="0"/>
    <x v="1"/>
    <x v="3"/>
    <m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49"/>
    <x v="0"/>
    <x v="0"/>
    <x v="0"/>
    <s v="LINK_HACIA_SPINE"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49"/>
    <x v="0"/>
    <x v="0"/>
    <x v="0"/>
    <s v="LINK_HACIA_SPINE"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49"/>
    <x v="0"/>
    <x v="0"/>
    <x v="0"/>
    <s v="LINK_HACIA_SPINE"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49"/>
    <x v="0"/>
    <x v="0"/>
    <x v="0"/>
    <s v="LINK_HACIA_SPINE"/>
    <x v="0"/>
    <b v="0"/>
    <s v="No está en VPC"/>
    <n v="830"/>
    <s v="NO EXISTE PG"/>
    <s v="NO EXISTE ISEL"/>
    <n v="0"/>
    <s v="NO TIENE L3OUT"/>
    <n v="12"/>
    <n v="54"/>
  </r>
  <r>
    <n v="821"/>
    <x v="2"/>
    <x v="163"/>
    <s v="eth1/49"/>
    <x v="0"/>
    <x v="0"/>
    <x v="0"/>
    <s v="LINK_HACIA_SPINE"/>
    <x v="0"/>
    <b v="0"/>
    <s v="No está en VPC"/>
    <n v="821"/>
    <s v="NO EXISTE PG"/>
    <s v="NO EXISTE ISEL"/>
    <n v="0"/>
    <s v="NO TIENE L3OUT"/>
    <n v="0"/>
    <n v="54"/>
  </r>
  <r>
    <n v="738"/>
    <x v="2"/>
    <x v="164"/>
    <s v="eth1/49"/>
    <x v="0"/>
    <x v="1"/>
    <x v="3"/>
    <m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49"/>
    <x v="0"/>
    <x v="0"/>
    <x v="0"/>
    <s v="LINK_HACIA_SPINE"/>
    <x v="0"/>
    <b v="0"/>
    <s v="No está en VPC"/>
    <n v="820"/>
    <s v="NO EXISTE PG"/>
    <s v="NO EXISTE ISEL"/>
    <n v="0"/>
    <s v="NO TIENE L3OUT"/>
    <n v="72"/>
    <n v="54"/>
  </r>
  <r>
    <n v="804"/>
    <x v="2"/>
    <x v="166"/>
    <s v="eth1/49"/>
    <x v="0"/>
    <x v="0"/>
    <x v="0"/>
    <s v="LINK_HACIA_SPINE"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49"/>
    <x v="0"/>
    <x v="0"/>
    <x v="0"/>
    <s v="LINK_HACIA_SPINE"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49"/>
    <x v="0"/>
    <x v="0"/>
    <x v="0"/>
    <s v="LINK_HACIA_SPINE"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49"/>
    <x v="0"/>
    <x v="0"/>
    <x v="0"/>
    <s v="LINK_HACIA_SPINE"/>
    <x v="0"/>
    <b v="0"/>
    <s v="No está en VPC"/>
    <n v="827"/>
    <s v="NO EXISTE PG"/>
    <s v="NO EXISTE ISEL"/>
    <n v="0"/>
    <s v="NO TIENE L3OUT"/>
    <n v="14"/>
    <n v="54"/>
  </r>
  <r>
    <n v="809"/>
    <x v="2"/>
    <x v="170"/>
    <s v="eth1/49"/>
    <x v="0"/>
    <x v="0"/>
    <x v="0"/>
    <s v="LINK_HACIA_SPINE"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49"/>
    <x v="0"/>
    <x v="0"/>
    <x v="0"/>
    <s v="LINK_HACIA_SPINE"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49"/>
    <x v="0"/>
    <x v="0"/>
    <x v="0"/>
    <s v="LINK_HACIA_SPINE"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49"/>
    <x v="0"/>
    <x v="0"/>
    <x v="0"/>
    <s v="LINK_HACIA_SPINE"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49"/>
    <x v="0"/>
    <x v="0"/>
    <x v="0"/>
    <s v="LINK_HACIA_SPINE"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49"/>
    <x v="0"/>
    <x v="0"/>
    <x v="0"/>
    <s v="LINK_HACIA_SPINE"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49"/>
    <x v="0"/>
    <x v="0"/>
    <x v="0"/>
    <s v="LINK_HACIA_SPINE"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49"/>
    <x v="0"/>
    <x v="0"/>
    <x v="0"/>
    <s v="LINK_HACIA_SPINE"/>
    <x v="0"/>
    <b v="0"/>
    <s v="No está en VPC"/>
    <n v="851"/>
    <s v="NO EXISTE PG"/>
    <s v="NO EXISTE ISEL"/>
    <n v="0"/>
    <s v="NO TIENE L3OUT"/>
    <n v="282"/>
    <n v="54"/>
  </r>
  <r>
    <n v="798"/>
    <x v="2"/>
    <x v="178"/>
    <s v="eth1/49"/>
    <x v="0"/>
    <x v="0"/>
    <x v="0"/>
    <s v="LINK_HACIA_SPINE"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49"/>
    <x v="0"/>
    <x v="0"/>
    <x v="0"/>
    <s v="LINK_HACIA_SPINE"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49"/>
    <x v="0"/>
    <x v="0"/>
    <x v="0"/>
    <s v="LINK_HACIA_SPINE"/>
    <x v="0"/>
    <b v="0"/>
    <s v="No está en VPC"/>
    <n v="852"/>
    <s v="NO EXISTE PG"/>
    <s v="NO EXISTE ISEL"/>
    <n v="0"/>
    <s v="NO TIENE L3OUT"/>
    <n v="258"/>
    <n v="54"/>
  </r>
  <r>
    <n v="817"/>
    <x v="2"/>
    <x v="181"/>
    <s v="eth1/49"/>
    <x v="0"/>
    <x v="0"/>
    <x v="0"/>
    <s v="LINK_HACIA_SPINE"/>
    <x v="0"/>
    <b v="0"/>
    <s v="No está en VPC"/>
    <n v="817"/>
    <s v="NO EXISTE PG"/>
    <s v="NO EXISTE ISEL"/>
    <n v="0"/>
    <s v="NO TIENE L3OUT"/>
    <n v="0"/>
    <n v="54"/>
  </r>
  <r>
    <n v="832"/>
    <x v="2"/>
    <x v="182"/>
    <s v="eth1/49"/>
    <x v="0"/>
    <x v="0"/>
    <x v="0"/>
    <s v="LINK_HACIA_SPINE"/>
    <x v="0"/>
    <b v="0"/>
    <s v="No está en VPC"/>
    <n v="832"/>
    <s v="NO EXISTE PG"/>
    <s v="NO EXISTE ISEL"/>
    <n v="0"/>
    <s v="NO TIENE L3OUT"/>
    <n v="192"/>
    <n v="54"/>
  </r>
  <r>
    <n v="816"/>
    <x v="2"/>
    <x v="183"/>
    <s v="eth1/49"/>
    <x v="0"/>
    <x v="0"/>
    <x v="0"/>
    <s v="LINK_HACIA_SPINE"/>
    <x v="0"/>
    <b v="0"/>
    <s v="No está en VPC"/>
    <n v="816"/>
    <s v="NO EXISTE PG"/>
    <s v="NO EXISTE ISEL"/>
    <n v="0"/>
    <s v="NO TIENE L3OUT"/>
    <n v="0"/>
    <n v="54"/>
  </r>
  <r>
    <n v="825"/>
    <x v="2"/>
    <x v="184"/>
    <s v="eth1/49"/>
    <x v="0"/>
    <x v="0"/>
    <x v="0"/>
    <s v="LINK_HACIA_SPINE"/>
    <x v="0"/>
    <b v="0"/>
    <s v="No está en VPC"/>
    <n v="825"/>
    <s v="NO EXISTE PG"/>
    <s v="NO EXISTE ISEL"/>
    <n v="0"/>
    <s v="NO TIENE L3OUT"/>
    <n v="72"/>
    <n v="54"/>
  </r>
  <r>
    <n v="800"/>
    <x v="2"/>
    <x v="185"/>
    <s v="eth1/49"/>
    <x v="0"/>
    <x v="0"/>
    <x v="0"/>
    <s v="LINK_HACIA_SPINE"/>
    <x v="0"/>
    <b v="0"/>
    <s v="No está en VPC"/>
    <n v="800"/>
    <s v="NO EXISTE PG"/>
    <s v="NO EXISTE ISEL"/>
    <n v="0"/>
    <s v="NO TIENE L3OUT"/>
    <n v="78"/>
    <n v="54"/>
  </r>
  <r>
    <n v="801"/>
    <x v="2"/>
    <x v="186"/>
    <s v="eth1/49"/>
    <x v="0"/>
    <x v="0"/>
    <x v="0"/>
    <s v="LINK_HACIA_SPINE"/>
    <x v="0"/>
    <b v="0"/>
    <s v="No está en VPC"/>
    <n v="801"/>
    <s v="NO EXISTE PG"/>
    <s v="NO EXISTE ISEL"/>
    <n v="0"/>
    <s v="NO TIENE L3OUT"/>
    <n v="78"/>
    <n v="54"/>
  </r>
  <r>
    <n v="823"/>
    <x v="2"/>
    <x v="187"/>
    <s v="eth1/49"/>
    <x v="0"/>
    <x v="0"/>
    <x v="0"/>
    <s v="LINK_HACIA_SPINE"/>
    <x v="0"/>
    <b v="0"/>
    <s v="No está en VPC"/>
    <n v="823"/>
    <s v="NO EXISTE PG"/>
    <s v="NO EXISTE ISEL"/>
    <n v="0"/>
    <s v="NO TIENE L3OUT"/>
    <n v="8"/>
    <n v="54"/>
  </r>
  <r>
    <n v="837"/>
    <x v="2"/>
    <x v="188"/>
    <s v="eth1/49"/>
    <x v="0"/>
    <x v="0"/>
    <x v="0"/>
    <s v="LINK_HACIA_SPINE"/>
    <x v="0"/>
    <b v="0"/>
    <s v="No está en VPC"/>
    <n v="837"/>
    <s v="NO EXISTE PG"/>
    <s v="NO EXISTE ISEL"/>
    <n v="0"/>
    <s v="NO TIENE L3OUT"/>
    <n v="8"/>
    <n v="54"/>
  </r>
  <r>
    <n v="867"/>
    <x v="2"/>
    <x v="189"/>
    <s v="eth1/49"/>
    <x v="0"/>
    <x v="0"/>
    <x v="0"/>
    <s v="LINK_HACIA_SPINE"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49"/>
    <x v="0"/>
    <x v="0"/>
    <x v="0"/>
    <s v="LINK_HACIA_SPINE"/>
    <x v="0"/>
    <b v="0"/>
    <s v="No está en VPC"/>
    <n v="829"/>
    <s v="NO EXISTE PG"/>
    <s v="NO EXISTE ISEL"/>
    <n v="0"/>
    <s v="NO TIENE L3OUT"/>
    <n v="224"/>
    <n v="54"/>
  </r>
  <r>
    <n v="831"/>
    <x v="2"/>
    <x v="191"/>
    <s v="eth1/49"/>
    <x v="0"/>
    <x v="0"/>
    <x v="0"/>
    <s v="LINK_HACIA_SPINE"/>
    <x v="0"/>
    <b v="0"/>
    <s v="No está en VPC"/>
    <n v="831"/>
    <s v="NO EXISTE PG"/>
    <s v="NO EXISTE ISEL"/>
    <n v="0"/>
    <s v="NO TIENE L3OUT"/>
    <n v="14"/>
    <n v="54"/>
  </r>
  <r>
    <n v="802"/>
    <x v="2"/>
    <x v="192"/>
    <s v="eth1/49"/>
    <x v="0"/>
    <x v="0"/>
    <x v="0"/>
    <s v="LINK_HACIA_SPINE"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49"/>
    <x v="0"/>
    <x v="0"/>
    <x v="0"/>
    <s v="LINK_HACIA_SPINE"/>
    <x v="0"/>
    <b v="0"/>
    <s v="No está en VPC"/>
    <n v="835"/>
    <s v="NO EXISTE PG"/>
    <s v="NO EXISTE ISEL"/>
    <n v="0"/>
    <s v="NO TIENE L3OUT"/>
    <n v="8"/>
    <n v="54"/>
  </r>
  <r>
    <n v="822"/>
    <x v="2"/>
    <x v="194"/>
    <s v="eth1/49"/>
    <x v="0"/>
    <x v="0"/>
    <x v="0"/>
    <s v="LINK_HACIA_SPINE"/>
    <x v="0"/>
    <b v="0"/>
    <s v="No está en VPC"/>
    <n v="822"/>
    <s v="NO EXISTE PG"/>
    <s v="NO EXISTE ISEL"/>
    <n v="0"/>
    <s v="NO TIENE L3OUT"/>
    <n v="0"/>
    <n v="54"/>
  </r>
  <r>
    <n v="854"/>
    <x v="2"/>
    <x v="195"/>
    <s v="eth1/49"/>
    <x v="0"/>
    <x v="0"/>
    <x v="0"/>
    <s v="LINK_HACIA_SPINE"/>
    <x v="0"/>
    <b v="0"/>
    <s v="No está en VPC"/>
    <n v="854"/>
    <s v="NO EXISTE PG"/>
    <s v="NO EXISTE ISEL"/>
    <n v="0"/>
    <s v="NO TIENE L3OUT"/>
    <n v="204"/>
    <n v="54"/>
  </r>
  <r>
    <n v="858"/>
    <x v="2"/>
    <x v="196"/>
    <s v="eth1/49"/>
    <x v="0"/>
    <x v="0"/>
    <x v="0"/>
    <s v="LINK_HACIA_SPINE"/>
    <x v="0"/>
    <b v="0"/>
    <s v="No está en VPC"/>
    <n v="858"/>
    <s v="NO EXISTE PG"/>
    <s v="NO EXISTE ISEL"/>
    <n v="0"/>
    <s v="NO TIENE L3OUT"/>
    <n v="8"/>
    <n v="54"/>
  </r>
  <r>
    <n v="857"/>
    <x v="2"/>
    <x v="197"/>
    <s v="eth1/49"/>
    <x v="0"/>
    <x v="0"/>
    <x v="0"/>
    <s v="LINK_HACIA_SPINE"/>
    <x v="0"/>
    <b v="0"/>
    <s v="No está en VPC"/>
    <n v="857"/>
    <s v="NO EXISTE PG"/>
    <s v="NO EXISTE ISEL"/>
    <n v="0"/>
    <s v="NO TIENE L3OUT"/>
    <n v="288"/>
    <n v="54"/>
  </r>
  <r>
    <n v="859"/>
    <x v="2"/>
    <x v="198"/>
    <s v="eth1/49"/>
    <x v="0"/>
    <x v="0"/>
    <x v="0"/>
    <s v="LINK_HACIA_SPINE"/>
    <x v="0"/>
    <b v="0"/>
    <s v="No está en VPC"/>
    <n v="859"/>
    <s v="NO EXISTE PG"/>
    <s v="NO EXISTE ISEL"/>
    <n v="0"/>
    <s v="NO TIENE L3OUT"/>
    <n v="0"/>
    <n v="54"/>
  </r>
  <r>
    <n v="833"/>
    <x v="2"/>
    <x v="199"/>
    <s v="eth1/49"/>
    <x v="0"/>
    <x v="0"/>
    <x v="0"/>
    <s v="LINK_HACIA_SPINE"/>
    <x v="0"/>
    <b v="0"/>
    <s v="No está en VPC"/>
    <n v="833"/>
    <s v="NO EXISTE PG"/>
    <s v="NO EXISTE ISEL"/>
    <n v="0"/>
    <s v="NO TIENE L3OUT"/>
    <n v="224"/>
    <n v="54"/>
  </r>
  <r>
    <n v="818"/>
    <x v="2"/>
    <x v="200"/>
    <s v="eth1/49"/>
    <x v="0"/>
    <x v="0"/>
    <x v="0"/>
    <s v="LINK_HACIA_SPINE"/>
    <x v="0"/>
    <b v="0"/>
    <s v="No está en VPC"/>
    <n v="818"/>
    <s v="NO EXISTE PG"/>
    <s v="NO EXISTE ISEL"/>
    <n v="0"/>
    <s v="NO TIENE L3OUT"/>
    <n v="8"/>
    <n v="54"/>
  </r>
  <r>
    <n v="850"/>
    <x v="2"/>
    <x v="201"/>
    <s v="eth1/49"/>
    <x v="0"/>
    <x v="0"/>
    <x v="0"/>
    <s v="LINK_HACIA_SPINE"/>
    <x v="0"/>
    <b v="0"/>
    <s v="No está en VPC"/>
    <n v="850"/>
    <s v="NO EXISTE PG"/>
    <s v="NO EXISTE ISEL"/>
    <n v="0"/>
    <s v="NO TIENE L3OUT"/>
    <n v="288"/>
    <n v="54"/>
  </r>
  <r>
    <n v="860"/>
    <x v="2"/>
    <x v="202"/>
    <s v="eth1/49"/>
    <x v="0"/>
    <x v="0"/>
    <x v="0"/>
    <s v="LINK_HACIA_SPINE"/>
    <x v="0"/>
    <b v="0"/>
    <s v="No está en VPC"/>
    <n v="860"/>
    <s v="NO EXISTE PG"/>
    <s v="NO EXISTE ISEL"/>
    <n v="0"/>
    <s v="NO TIENE L3OUT"/>
    <n v="0"/>
    <n v="54"/>
  </r>
  <r>
    <n v="853"/>
    <x v="2"/>
    <x v="203"/>
    <s v="eth1/49"/>
    <x v="0"/>
    <x v="0"/>
    <x v="0"/>
    <s v="LINK_HACIA_SPINE"/>
    <x v="0"/>
    <b v="0"/>
    <s v="No está en VPC"/>
    <n v="853"/>
    <s v="NO EXISTE PG"/>
    <s v="NO EXISTE ISEL"/>
    <n v="0"/>
    <s v="NO TIENE L3OUT"/>
    <n v="242"/>
    <n v="54"/>
  </r>
  <r>
    <n v="790"/>
    <x v="2"/>
    <x v="204"/>
    <s v="eth1/49"/>
    <x v="0"/>
    <x v="0"/>
    <x v="0"/>
    <s v="LINK_HACIA_SPINE"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49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49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49"/>
    <x v="0"/>
    <x v="0"/>
    <x v="0"/>
    <s v="ITHNETZA"/>
    <x v="6"/>
    <b v="0"/>
    <s v="No está en VPC"/>
    <n v="104"/>
    <s v="INTPG_ACC_104_1.49"/>
    <s v="ISEL-1.49"/>
    <n v="1"/>
    <s v="NO TIENE L3OUT"/>
    <n v="194"/>
    <n v="96"/>
  </r>
  <r>
    <n v="158"/>
    <x v="0"/>
    <x v="208"/>
    <s v="eth1/49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49"/>
    <x v="0"/>
    <x v="0"/>
    <x v="0"/>
    <s v="LINK_HACIA_SPINE"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49"/>
    <x v="0"/>
    <x v="0"/>
    <x v="0"/>
    <s v="LINK_HACIA_SPINE"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49"/>
    <x v="1"/>
    <x v="1"/>
    <x v="2"/>
    <s v="OBIE_1-2"/>
    <x v="6"/>
    <b v="0"/>
    <s v="No está en VPC"/>
    <n v="108"/>
    <s v="INTPG_ACC_108_1.49"/>
    <s v="ISEL-1.49"/>
    <n v="1"/>
    <s v="NO TIENE L3OUT"/>
    <n v="126"/>
    <n v="96"/>
  </r>
  <r>
    <n v="112"/>
    <x v="0"/>
    <x v="212"/>
    <s v="eth1/49"/>
    <x v="0"/>
    <x v="1"/>
    <x v="1"/>
    <s v="SAPCCRATING04"/>
    <x v="6"/>
    <b v="0"/>
    <s v="No está en VPC"/>
    <n v="112"/>
    <s v="INTPG_VPC_112_1.49_114_1.46"/>
    <s v="ISEL-1.49"/>
    <n v="1"/>
    <s v="NO TIENE L3OUT"/>
    <n v="144"/>
    <n v="96"/>
  </r>
  <r>
    <n v="107"/>
    <x v="0"/>
    <x v="213"/>
    <s v="eth1/49"/>
    <x v="1"/>
    <x v="1"/>
    <x v="2"/>
    <s v="COMISIONES"/>
    <x v="6"/>
    <b v="0"/>
    <s v="No está en VPC"/>
    <n v="107"/>
    <s v="INTPG_ACC_107_1.49"/>
    <s v="ISEL-1.49"/>
    <n v="0"/>
    <s v="NO TIENE L3OUT"/>
    <n v="118"/>
    <n v="96"/>
  </r>
  <r>
    <n v="109"/>
    <x v="0"/>
    <x v="214"/>
    <s v="eth1/49"/>
    <x v="0"/>
    <x v="0"/>
    <x v="0"/>
    <s v="OBIE_1-2"/>
    <x v="6"/>
    <b v="0"/>
    <s v="No está en VPC"/>
    <n v="109"/>
    <s v="INTPG_ACC_109_1.49"/>
    <s v="ISEL-1.49"/>
    <n v="1"/>
    <s v="NO TIENE L3OUT"/>
    <n v="126"/>
    <n v="96"/>
  </r>
  <r>
    <n v="113"/>
    <x v="0"/>
    <x v="215"/>
    <s v="eth1/49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49"/>
    <x v="0"/>
    <x v="1"/>
    <x v="1"/>
    <s v="SAPCCRATING07"/>
    <x v="6"/>
    <b v="0"/>
    <s v="No está en VPC"/>
    <n v="114"/>
    <s v="INTPG_VPC_112_1.52_114_1.49"/>
    <s v="ISEL-1.49"/>
    <n v="1"/>
    <s v="NO TIENE L3OUT"/>
    <n v="144"/>
    <n v="96"/>
  </r>
  <r>
    <n v="124"/>
    <x v="0"/>
    <x v="217"/>
    <s v="eth1/49"/>
    <x v="0"/>
    <x v="0"/>
    <x v="0"/>
    <s v="CIRCULO Azul(UXCA)"/>
    <x v="6"/>
    <b v="0"/>
    <s v="No está en VPC"/>
    <n v="124"/>
    <s v="INTPG_ACC_124_1.49"/>
    <s v="ISEL-1.49"/>
    <n v="1"/>
    <s v="NO TIENE L3OUT"/>
    <n v="80"/>
    <n v="96"/>
  </r>
  <r>
    <n v="118"/>
    <x v="0"/>
    <x v="218"/>
    <s v="eth1/49"/>
    <x v="1"/>
    <x v="1"/>
    <x v="2"/>
    <s v="DATOS NETCRACKER"/>
    <x v="6"/>
    <b v="0"/>
    <s v="No está en VPC"/>
    <n v="118"/>
    <s v="INTPG_ACC_118_1.49"/>
    <s v="ISEL-1.49"/>
    <n v="1"/>
    <s v="NO TIENE L3OUT"/>
    <n v="180"/>
    <n v="96"/>
  </r>
  <r>
    <n v="159"/>
    <x v="0"/>
    <x v="219"/>
    <s v="eth1/49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49"/>
    <x v="0"/>
    <x v="0"/>
    <x v="0"/>
    <s v="LINK_HACIA_SPINE"/>
    <x v="0"/>
    <b v="0"/>
    <s v="No está en VPC"/>
    <n v="840"/>
    <s v="NO EXISTE PG"/>
    <s v="NO EXISTE ISEL"/>
    <n v="0"/>
    <s v="NO TIENE L3OUT"/>
    <n v="8"/>
    <n v="54"/>
  </r>
  <r>
    <n v="856"/>
    <x v="2"/>
    <x v="221"/>
    <s v="eth1/49"/>
    <x v="0"/>
    <x v="0"/>
    <x v="0"/>
    <s v="LINK_HACIA_SPINE"/>
    <x v="0"/>
    <b v="0"/>
    <s v="No está en VPC"/>
    <n v="856"/>
    <s v="NO EXISTE PG"/>
    <s v="NO EXISTE ISEL"/>
    <n v="0"/>
    <s v="NO TIENE L3OUT"/>
    <n v="286"/>
    <n v="54"/>
  </r>
  <r>
    <n v="110"/>
    <x v="0"/>
    <x v="222"/>
    <s v="eth1/49"/>
    <x v="0"/>
    <x v="0"/>
    <x v="0"/>
    <s v="RENACE"/>
    <x v="6"/>
    <b v="0"/>
    <s v="No está en VPC"/>
    <n v="110"/>
    <s v="INTPG_ACC_110_1.49"/>
    <s v="ISEL-1.49"/>
    <n v="1"/>
    <s v="NO TIENE L3OUT"/>
    <n v="102"/>
    <n v="96"/>
  </r>
  <r>
    <n v="163"/>
    <x v="0"/>
    <x v="223"/>
    <s v="eth1/49"/>
    <x v="1"/>
    <x v="1"/>
    <x v="2"/>
    <s v="CELCITE"/>
    <x v="6"/>
    <b v="0"/>
    <s v="No está en VPC"/>
    <n v="163"/>
    <s v="INTPG_ACC_163_1.49"/>
    <s v="ISEL-1.49"/>
    <n v="1"/>
    <s v="NO TIENE L3OUT"/>
    <n v="140"/>
    <n v="96"/>
  </r>
  <r>
    <n v="407"/>
    <x v="1"/>
    <x v="224"/>
    <s v="eth1/49"/>
    <x v="0"/>
    <x v="0"/>
    <x v="0"/>
    <s v="TO-ITHFDEOCP1LWR02-PRINCIPAL"/>
    <x v="6"/>
    <b v="0"/>
    <s v="No está en VPC"/>
    <n v="407"/>
    <s v="INTPG_ACC_407_1.49"/>
    <s v="ISEL-1.49"/>
    <n v="1"/>
    <s v="NO TIENE L3OUT"/>
    <n v="122"/>
    <n v="96"/>
  </r>
  <r>
    <n v="171"/>
    <x v="0"/>
    <x v="225"/>
    <s v="eth1/49"/>
    <x v="0"/>
    <x v="0"/>
    <x v="0"/>
    <s v="SRS (Speedy Rating System)"/>
    <x v="6"/>
    <b v="0"/>
    <s v="No está en VPC"/>
    <n v="171"/>
    <s v="INTPG_ACC_171_1.49"/>
    <s v="ISEL-1.49"/>
    <n v="1"/>
    <s v="NO TIENE L3OUT"/>
    <n v="114"/>
    <n v="96"/>
  </r>
  <r>
    <n v="421"/>
    <x v="1"/>
    <x v="226"/>
    <s v="eth1/49"/>
    <x v="0"/>
    <x v="0"/>
    <x v="0"/>
    <s v="TO-SPECTRUM2-REDUNDANTE"/>
    <x v="6"/>
    <b v="0"/>
    <s v="No está en VPC"/>
    <n v="421"/>
    <s v="INTPG_ACC_421_1.49"/>
    <s v="ISEL-1.49"/>
    <n v="1"/>
    <s v="NO TIENE L3OUT"/>
    <n v="72"/>
    <n v="96"/>
  </r>
  <r>
    <n v="173"/>
    <x v="0"/>
    <x v="227"/>
    <s v="eth1/49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49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49"/>
    <x v="0"/>
    <x v="0"/>
    <x v="0"/>
    <s v="SRS (Speedy Rating System)"/>
    <x v="6"/>
    <b v="0"/>
    <s v="No está en VPC"/>
    <n v="172"/>
    <s v="INTPG_ACC_172_1.49"/>
    <s v="ISEL-1.49"/>
    <n v="1"/>
    <s v="NO TIENE L3OUT"/>
    <n v="104"/>
    <n v="96"/>
  </r>
  <r>
    <n v="420"/>
    <x v="1"/>
    <x v="230"/>
    <s v="eth1/49"/>
    <x v="0"/>
    <x v="0"/>
    <x v="0"/>
    <s v="PORTA_EXP2"/>
    <x v="6"/>
    <b v="0"/>
    <s v="No está en VPC"/>
    <n v="420"/>
    <s v="INTPG_ACC_420_1.49"/>
    <s v="ISEL-1.49"/>
    <n v="1"/>
    <s v="NO TIENE L3OUT"/>
    <n v="158"/>
    <n v="96"/>
  </r>
  <r>
    <n v="423"/>
    <x v="1"/>
    <x v="231"/>
    <s v="eth1/49"/>
    <x v="0"/>
    <x v="0"/>
    <x v="0"/>
    <s v="HP Proliant DL380p(A)"/>
    <x v="6"/>
    <b v="0"/>
    <s v="No está en VPC"/>
    <n v="423"/>
    <s v="INTPG_ACC_423_1.49"/>
    <s v="ISEL-1.49"/>
    <n v="1"/>
    <s v="NO TIENE L3OUT"/>
    <n v="86"/>
    <n v="96"/>
  </r>
  <r>
    <n v="415"/>
    <x v="1"/>
    <x v="232"/>
    <s v="eth1/49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49"/>
    <x v="0"/>
    <x v="0"/>
    <x v="0"/>
    <s v="Citrix Silot:Avocen:net0"/>
    <x v="6"/>
    <b v="0"/>
    <s v="No está en VPC"/>
    <n v="102"/>
    <s v="INTPG_ACC_102_1.49"/>
    <s v="ISEL-1.49"/>
    <n v="1"/>
    <s v="NO TIENE L3OUT"/>
    <n v="228"/>
    <n v="96"/>
  </r>
  <r>
    <n v="863"/>
    <x v="2"/>
    <x v="234"/>
    <s v="eth1/49"/>
    <x v="0"/>
    <x v="0"/>
    <x v="0"/>
    <s v="LINK_HACIA_SPINE"/>
    <x v="0"/>
    <b v="0"/>
    <s v="No está en VPC"/>
    <n v="863"/>
    <s v="NO EXISTE PG"/>
    <s v="NO EXISTE ISEL"/>
    <n v="0"/>
    <s v="NO TIENE L3OUT"/>
    <n v="8"/>
    <n v="54"/>
  </r>
  <r>
    <n v="876"/>
    <x v="2"/>
    <x v="235"/>
    <s v="eth1/49"/>
    <x v="0"/>
    <x v="0"/>
    <x v="0"/>
    <s v="LINK_HACIA_SPINE"/>
    <x v="4"/>
    <b v="0"/>
    <s v="No está en VPC"/>
    <n v="876"/>
    <s v="NO EXISTE PG"/>
    <s v="NO EXISTE ISEL"/>
    <n v="0"/>
    <s v="NO TIENE L3OUT"/>
    <n v="92"/>
    <n v="54"/>
  </r>
  <r>
    <n v="877"/>
    <x v="2"/>
    <x v="236"/>
    <s v="eth1/49"/>
    <x v="0"/>
    <x v="0"/>
    <x v="0"/>
    <s v="LINK_HACIA_SPINE"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49"/>
    <x v="0"/>
    <x v="0"/>
    <x v="0"/>
    <s v="ZFS X5-2"/>
    <x v="6"/>
    <b v="0"/>
    <s v="No está en VPC"/>
    <n v="122"/>
    <s v="INTPG_ACC_122_1.49"/>
    <s v="ISEL-1.49"/>
    <n v="1"/>
    <s v="NO TIENE L3OUT"/>
    <n v="148"/>
    <n v="96"/>
  </r>
  <r>
    <n v="157"/>
    <x v="0"/>
    <x v="238"/>
    <s v="eth1/49"/>
    <x v="0"/>
    <x v="0"/>
    <x v="0"/>
    <s v="PORTAL CAUTIVO"/>
    <x v="6"/>
    <b v="0"/>
    <s v="No está en VPC"/>
    <n v="157"/>
    <s v="INTPG_ACC_157_1.49"/>
    <s v="ISEL-1.49"/>
    <n v="1"/>
    <s v="NO TIENE L3OUT"/>
    <n v="202"/>
    <n v="96"/>
  </r>
  <r>
    <n v="408"/>
    <x v="1"/>
    <x v="239"/>
    <s v="eth1/49"/>
    <x v="0"/>
    <x v="0"/>
    <x v="0"/>
    <s v="M0N1T_uxwasix705_PAC"/>
    <x v="6"/>
    <b v="0"/>
    <s v="No está en VPC"/>
    <n v="408"/>
    <s v="INTPG_ACC_408_1.49"/>
    <s v="ISEL-1.49"/>
    <n v="1"/>
    <s v="NO TIENE L3OUT"/>
    <n v="152"/>
    <n v="96"/>
  </r>
  <r>
    <n v="405"/>
    <x v="1"/>
    <x v="240"/>
    <s v="eth1/49"/>
    <x v="0"/>
    <x v="0"/>
    <x v="0"/>
    <s v="ITHSGHP0"/>
    <x v="6"/>
    <b v="0"/>
    <s v="No está en VPC"/>
    <n v="405"/>
    <s v="INTPG_ACC_405_1.49"/>
    <s v="ISEL-1.49"/>
    <n v="1"/>
    <s v="NO TIENE L3OUT"/>
    <n v="138"/>
    <n v="96"/>
  </r>
  <r>
    <n v="169"/>
    <x v="0"/>
    <x v="241"/>
    <s v="eth1/49"/>
    <x v="0"/>
    <x v="0"/>
    <x v="0"/>
    <s v="TO-ITHFDENBURMS02-PRINCIPAL"/>
    <x v="6"/>
    <b v="0"/>
    <s v="No está en VPC"/>
    <n v="169"/>
    <s v="INTPG_ACC_169_1.49"/>
    <s v="ISEL-1.49"/>
    <n v="1"/>
    <s v="NO TIENE L3OUT"/>
    <n v="76"/>
    <n v="96"/>
  </r>
  <r>
    <n v="165"/>
    <x v="0"/>
    <x v="242"/>
    <s v="eth1/49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49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49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49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49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49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49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49"/>
    <x v="0"/>
    <x v="0"/>
    <x v="0"/>
    <s v="VIOSDES4-VIOSDES4_CLT"/>
    <x v="6"/>
    <b v="0"/>
    <s v="No está en VPC"/>
    <n v="406"/>
    <s v="INTPG_VPC_404_1.49-50_406_1.49-50"/>
    <s v="ISEL-1.49"/>
    <n v="1"/>
    <s v="NO TIENE L3OUT"/>
    <n v="82"/>
    <n v="96"/>
  </r>
  <r>
    <n v="414"/>
    <x v="1"/>
    <x v="250"/>
    <s v="eth1/49"/>
    <x v="0"/>
    <x v="0"/>
    <x v="0"/>
    <s v="MULTI01_S10"/>
    <x v="6"/>
    <b v="0"/>
    <s v="No está en VPC"/>
    <n v="414"/>
    <s v="INTPG_ACC_414_1.49"/>
    <s v="ISEL-1.49"/>
    <n v="1"/>
    <s v="NO TIENE L3OUT"/>
    <n v="144"/>
    <n v="96"/>
  </r>
  <r>
    <n v="416"/>
    <x v="1"/>
    <x v="251"/>
    <s v="eth1/49"/>
    <x v="0"/>
    <x v="0"/>
    <x v="0"/>
    <s v="R9MEXIXTDAY-2"/>
    <x v="6"/>
    <b v="0"/>
    <s v="No está en VPC"/>
    <n v="416"/>
    <s v="INTPG_ACC_416_1.49"/>
    <s v="ISEL-1.49"/>
    <n v="1"/>
    <s v="NO TIENE L3OUT"/>
    <n v="110"/>
    <n v="96"/>
  </r>
  <r>
    <n v="418"/>
    <x v="1"/>
    <x v="252"/>
    <s v="eth1/49"/>
    <x v="0"/>
    <x v="0"/>
    <x v="0"/>
    <s v="IXTSD970A"/>
    <x v="6"/>
    <b v="0"/>
    <s v="No está en VPC"/>
    <n v="418"/>
    <s v="INTPG_ACC_418_1.49"/>
    <s v="ISEL-1.49"/>
    <n v="1"/>
    <s v="NO TIENE L3OUT"/>
    <n v="152"/>
    <n v="96"/>
  </r>
  <r>
    <n v="413"/>
    <x v="1"/>
    <x v="253"/>
    <s v="eth1/49"/>
    <x v="0"/>
    <x v="0"/>
    <x v="0"/>
    <s v="To-uxingemc3 ldom3 uxinghdr5"/>
    <x v="6"/>
    <b v="0"/>
    <s v="No está en VPC"/>
    <n v="413"/>
    <s v="INTPG_ACC_413_1.49"/>
    <s v="ISEL-1.49"/>
    <n v="1"/>
    <s v="NO TIENE L3OUT"/>
    <n v="126"/>
    <n v="96"/>
  </r>
  <r>
    <n v="403"/>
    <x v="1"/>
    <x v="254"/>
    <s v="eth1/49"/>
    <x v="0"/>
    <x v="1"/>
    <x v="1"/>
    <s v="ITHSGHP0"/>
    <x v="6"/>
    <b v="0"/>
    <s v="No está en VPC"/>
    <n v="403"/>
    <s v="INTPG_ACC_403_1.49"/>
    <s v="ISEL-1.49"/>
    <n v="1"/>
    <s v="NO TIENE L3OUT"/>
    <n v="150"/>
    <n v="96"/>
  </r>
  <r>
    <n v="125"/>
    <x v="0"/>
    <x v="255"/>
    <s v="eth1/49"/>
    <x v="1"/>
    <x v="1"/>
    <x v="2"/>
    <s v="CIRCULO Azul(UXCA)"/>
    <x v="6"/>
    <b v="0"/>
    <s v="No está en VPC"/>
    <n v="125"/>
    <s v="INTPG_ACC_125_1.49"/>
    <s v="ISEL-1.49"/>
    <n v="0"/>
    <s v="NO TIENE L3OUT"/>
    <n v="72"/>
    <n v="96"/>
  </r>
  <r>
    <n v="166"/>
    <x v="0"/>
    <x v="256"/>
    <s v="eth1/49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49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49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49"/>
    <x v="0"/>
    <x v="0"/>
    <x v="0"/>
    <s v="COMISIONES"/>
    <x v="6"/>
    <b v="0"/>
    <s v="No está en VPC"/>
    <n v="106"/>
    <s v="INTPG_ACC_106_1.49"/>
    <s v="ISEL-1.49"/>
    <n v="1"/>
    <s v="NO TIENE L3OUT"/>
    <n v="122"/>
    <n v="96"/>
  </r>
  <r>
    <n v="126"/>
    <x v="0"/>
    <x v="260"/>
    <s v="eth1/49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49"/>
    <x v="0"/>
    <x v="0"/>
    <x v="0"/>
    <s v="HP Proliant DL380p(f)"/>
    <x v="6"/>
    <b v="0"/>
    <s v="No está en VPC"/>
    <n v="425"/>
    <s v="INTPG_ACC_425_1.49"/>
    <s v="ISEL-1.49"/>
    <n v="1"/>
    <s v="NO TIENE L3OUT"/>
    <n v="86"/>
    <n v="96"/>
  </r>
  <r>
    <n v="151"/>
    <x v="0"/>
    <x v="262"/>
    <s v="eth1/49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49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49"/>
    <x v="0"/>
    <x v="0"/>
    <x v="0"/>
    <s v="TO-SPECTRUM2-PRINCIPAL"/>
    <x v="6"/>
    <b v="0"/>
    <s v="No está en VPC"/>
    <n v="419"/>
    <s v="INTPG_ACC_419_1.49"/>
    <s v="ISEL-1.49"/>
    <n v="1"/>
    <s v="NO TIENE L3OUT"/>
    <n v="70"/>
    <n v="96"/>
  </r>
  <r>
    <n v="155"/>
    <x v="0"/>
    <x v="265"/>
    <s v="eth1/49"/>
    <x v="0"/>
    <x v="1"/>
    <x v="1"/>
    <s v="uxcofeco"/>
    <x v="6"/>
    <b v="0"/>
    <s v="No está en VPC"/>
    <n v="155"/>
    <s v="INTPG_ACC_155_1.49"/>
    <s v="ISEL-1.49"/>
    <n v="1"/>
    <s v="NO TIENE L3OUT"/>
    <n v="198"/>
    <n v="96"/>
  </r>
  <r>
    <n v="409"/>
    <x v="1"/>
    <x v="266"/>
    <s v="eth1/49"/>
    <x v="0"/>
    <x v="0"/>
    <x v="0"/>
    <s v="IXTPPMBR02"/>
    <x v="6"/>
    <b v="0"/>
    <s v="No está en VPC"/>
    <n v="409"/>
    <s v="INTPG_ACC_409_1.49"/>
    <s v="ISEL-1.49"/>
    <n v="1"/>
    <s v="NO TIENE L3OUT"/>
    <n v="128"/>
    <n v="96"/>
  </r>
  <r>
    <n v="422"/>
    <x v="1"/>
    <x v="267"/>
    <s v="eth1/49"/>
    <x v="0"/>
    <x v="0"/>
    <x v="0"/>
    <s v="TEMIPCLOUD_B05"/>
    <x v="6"/>
    <b v="0"/>
    <s v="No está en VPC"/>
    <n v="422"/>
    <s v="INTPG_ACC_422_1.49"/>
    <s v="ISEL-1.49"/>
    <n v="6"/>
    <s v="NO TIENE L3OUT"/>
    <n v="182"/>
    <n v="96"/>
  </r>
  <r>
    <n v="436"/>
    <x v="1"/>
    <x v="268"/>
    <s v="eth1/49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49"/>
    <x v="0"/>
    <x v="0"/>
    <x v="0"/>
    <s v="MULTI02_S13"/>
    <x v="6"/>
    <b v="0"/>
    <s v="No está en VPC"/>
    <n v="410"/>
    <s v="INTPG_ACC_410_1.49"/>
    <s v="ISEL-1.49"/>
    <n v="1"/>
    <s v="NO TIENE L3OUT"/>
    <n v="178"/>
    <n v="96"/>
  </r>
  <r>
    <n v="161"/>
    <x v="0"/>
    <x v="270"/>
    <s v="eth1/49"/>
    <x v="0"/>
    <x v="0"/>
    <x v="0"/>
    <s v="CELCITE"/>
    <x v="6"/>
    <b v="0"/>
    <s v="No está en VPC"/>
    <n v="161"/>
    <s v="INTPG_ACC_161_1.49"/>
    <s v="ISEL-1.49"/>
    <n v="1"/>
    <s v="NO TIENE L3OUT"/>
    <n v="102"/>
    <n v="96"/>
  </r>
  <r>
    <n v="411"/>
    <x v="1"/>
    <x v="271"/>
    <s v="eth1/49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49"/>
    <x v="0"/>
    <x v="1"/>
    <x v="1"/>
    <s v="USSD TANGO"/>
    <x v="6"/>
    <b v="0"/>
    <s v="No está en VPC"/>
    <n v="116"/>
    <s v="INTPG_ACC_116_1.49"/>
    <s v="ISEL-1.49"/>
    <n v="1"/>
    <s v="NO TIENE L3OUT"/>
    <n v="148"/>
    <n v="96"/>
  </r>
  <r>
    <n v="412"/>
    <x v="1"/>
    <x v="273"/>
    <s v="eth1/49"/>
    <x v="0"/>
    <x v="0"/>
    <x v="0"/>
    <s v="IBMWASII_01"/>
    <x v="6"/>
    <b v="0"/>
    <s v="No está en VPC"/>
    <n v="412"/>
    <s v="INTPG_ACC_412_1.49"/>
    <s v="ISEL-1.49"/>
    <n v="1"/>
    <s v="NO TIENE L3OUT"/>
    <n v="126"/>
    <n v="96"/>
  </r>
  <r>
    <n v="120"/>
    <x v="0"/>
    <x v="274"/>
    <s v="eth1/49"/>
    <x v="0"/>
    <x v="0"/>
    <x v="0"/>
    <s v="IXTCDRLON"/>
    <x v="6"/>
    <b v="0"/>
    <s v="No está en VPC"/>
    <n v="120"/>
    <s v="INTPG_ACC_120_1.49"/>
    <s v="ISEL-1.49"/>
    <n v="1"/>
    <s v="NO TIENE L3OUT"/>
    <n v="158"/>
    <n v="96"/>
  </r>
  <r>
    <n v="404"/>
    <x v="1"/>
    <x v="275"/>
    <s v="eth1/49"/>
    <x v="0"/>
    <x v="0"/>
    <x v="0"/>
    <s v="VIOSDES4-VIOSDES4_CLT"/>
    <x v="6"/>
    <b v="0"/>
    <s v="No está en VPC"/>
    <n v="404"/>
    <s v="INTPG_VPC_404_1.49-50_406_1.49-50"/>
    <s v="ISEL-1.49"/>
    <n v="1"/>
    <s v="NO TIENE L3OUT"/>
    <n v="92"/>
    <n v="96"/>
  </r>
  <r>
    <n v="167"/>
    <x v="0"/>
    <x v="276"/>
    <s v="eth1/49"/>
    <x v="0"/>
    <x v="0"/>
    <x v="0"/>
    <s v="TO-ITHFDENBURMS04"/>
    <x v="6"/>
    <b v="0"/>
    <s v="No está en VPC"/>
    <n v="167"/>
    <s v="INTPG_VPC_167_1.49_169_1.52"/>
    <s v="ISEL-1.49"/>
    <n v="1"/>
    <s v="NO TIENE L3OUT"/>
    <n v="68"/>
    <n v="96"/>
  </r>
  <r>
    <n v="428"/>
    <x v="1"/>
    <x v="277"/>
    <s v="eth1/49"/>
    <x v="0"/>
    <x v="0"/>
    <x v="0"/>
    <s v="DCX BB4_S2_CP1"/>
    <x v="6"/>
    <b v="0"/>
    <s v="No está en VPC"/>
    <n v="428"/>
    <s v="INTPG_ACC_428_1.49"/>
    <s v="ISEL-1.49"/>
    <n v="1"/>
    <s v="NO TIENE L3OUT"/>
    <n v="102"/>
    <n v="96"/>
  </r>
  <r>
    <n v="128"/>
    <x v="0"/>
    <x v="0"/>
    <s v="eth1/5"/>
    <x v="0"/>
    <x v="0"/>
    <x v="0"/>
    <s v="HUECOS DC_S1"/>
    <x v="0"/>
    <b v="0"/>
    <s v="No está en VPC"/>
    <n v="128"/>
    <s v="INTPG_VPC_128_1.1-6_129_1.1-6"/>
    <s v="ISEL-1.5"/>
    <n v="1"/>
    <s v="NO TIENE L3OUT"/>
    <n v="0"/>
    <n v="54"/>
  </r>
  <r>
    <n v="123"/>
    <x v="0"/>
    <x v="1"/>
    <s v="eth1/5"/>
    <x v="0"/>
    <x v="0"/>
    <x v="0"/>
    <m/>
    <x v="1"/>
    <b v="0"/>
    <s v="No está en VPC"/>
    <n v="123"/>
    <s v="INTPG_ACC_123_1.5"/>
    <s v="ISEL-1.5"/>
    <n v="1"/>
    <s v="NO TIENE L3OUT"/>
    <n v="20"/>
    <n v="54"/>
  </r>
  <r>
    <n v="152"/>
    <x v="0"/>
    <x v="2"/>
    <s v="eth1/5"/>
    <x v="0"/>
    <x v="0"/>
    <x v="0"/>
    <s v="DASHBOARD_GESTION"/>
    <x v="1"/>
    <b v="0"/>
    <s v="No está en VPC"/>
    <n v="152"/>
    <s v="INTPG_ACC_152_1.5"/>
    <s v="ISEL-1.5"/>
    <n v="1"/>
    <s v="NO TIENE L3OUT"/>
    <n v="38"/>
    <n v="54"/>
  </r>
  <r>
    <n v="101"/>
    <x v="0"/>
    <x v="3"/>
    <s v="eth1/5"/>
    <x v="0"/>
    <x v="0"/>
    <x v="0"/>
    <s v="DESC"/>
    <x v="0"/>
    <b v="0"/>
    <s v="No está en VPC"/>
    <n v="101"/>
    <s v="INTPG_PC_101_1.3-5"/>
    <s v="ISEL-1.5"/>
    <n v="15"/>
    <s v="NO TIENE L3OUT"/>
    <n v="114"/>
    <n v="54"/>
  </r>
  <r>
    <n v="160"/>
    <x v="0"/>
    <x v="4"/>
    <s v="eth1/5"/>
    <x v="0"/>
    <x v="1"/>
    <x v="1"/>
    <s v="TRAP"/>
    <x v="1"/>
    <b v="0"/>
    <s v="No está en VPC"/>
    <n v="160"/>
    <s v="INTPG_PC_160_1.3-8"/>
    <s v="ISEL-1.5"/>
    <n v="12"/>
    <s v="NO TIENE L3OUT"/>
    <n v="68"/>
    <n v="54"/>
  </r>
  <r>
    <n v="121"/>
    <x v="0"/>
    <x v="5"/>
    <s v="eth1/5"/>
    <x v="0"/>
    <x v="0"/>
    <x v="0"/>
    <s v="TEMIP"/>
    <x v="1"/>
    <b v="0"/>
    <s v="No está en VPC"/>
    <n v="121"/>
    <s v="INTPG_ACC_121_1.5"/>
    <s v="ISEL-1.5"/>
    <n v="1"/>
    <s v="NO TIENE L3OUT"/>
    <n v="14"/>
    <n v="54"/>
  </r>
  <r>
    <n v="129"/>
    <x v="0"/>
    <x v="6"/>
    <s v="eth1/5"/>
    <x v="0"/>
    <x v="0"/>
    <x v="0"/>
    <s v="HUECOS DC_S1"/>
    <x v="0"/>
    <b v="0"/>
    <s v="No está en VPC"/>
    <n v="129"/>
    <s v="INTPG_VPC_128_1.1-6_129_1.1-6"/>
    <s v="ISEL-1.5"/>
    <n v="1"/>
    <s v="NO TIENE L3OUT"/>
    <n v="0"/>
    <n v="54"/>
  </r>
  <r>
    <n v="401"/>
    <x v="1"/>
    <x v="7"/>
    <s v="eth1/5"/>
    <x v="0"/>
    <x v="0"/>
    <x v="0"/>
    <s v="TO-ITHFDEOVITRBD01"/>
    <x v="0"/>
    <b v="0"/>
    <s v="No está en VPC"/>
    <n v="401"/>
    <s v="INTPG_VPC_401_1.5_402_1.5"/>
    <s v="ISEL-1.5"/>
    <n v="1"/>
    <s v="NO TIENE L3OUT"/>
    <n v="40"/>
    <n v="54"/>
  </r>
  <r>
    <n v="402"/>
    <x v="1"/>
    <x v="8"/>
    <s v="eth1/5"/>
    <x v="0"/>
    <x v="0"/>
    <x v="0"/>
    <s v="TO-ITHFDEOVITRBD01"/>
    <x v="0"/>
    <b v="0"/>
    <s v="No está en VPC"/>
    <n v="402"/>
    <s v="INTPG_VPC_401_1.5_402_1.5"/>
    <s v="ISEL-1.5"/>
    <n v="1"/>
    <s v="NO TIENE L3OUT"/>
    <n v="36"/>
    <n v="54"/>
  </r>
  <r>
    <n v="447"/>
    <x v="1"/>
    <x v="9"/>
    <s v="eth1/5"/>
    <x v="0"/>
    <x v="0"/>
    <x v="0"/>
    <s v="YB_DESARROLLO_ETH-TRUNK_5"/>
    <x v="2"/>
    <b v="0"/>
    <s v="No está en VPC"/>
    <n v="447"/>
    <s v="INTPG_VPC_445_1.5_447_1.5"/>
    <s v="ISEL-1.5"/>
    <n v="1"/>
    <s v="NO TIENE L3OUT"/>
    <n v="16"/>
    <n v="42"/>
  </r>
  <r>
    <n v="445"/>
    <x v="1"/>
    <x v="10"/>
    <s v="eth1/5"/>
    <x v="0"/>
    <x v="0"/>
    <x v="0"/>
    <s v="YB_DESARROLLO_ETH-TRUNK_5"/>
    <x v="2"/>
    <b v="0"/>
    <s v="No está en VPC"/>
    <n v="445"/>
    <s v="INTPG_VPC_445_1.5_447_1.5"/>
    <s v="ISEL-1.5"/>
    <n v="1"/>
    <s v="NO TIENE L3OUT"/>
    <n v="16"/>
    <n v="42"/>
  </r>
  <r>
    <n v="130"/>
    <x v="0"/>
    <x v="11"/>
    <s v="eth1/5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5"/>
    <x v="0"/>
    <x v="0"/>
    <x v="0"/>
    <s v="DESC"/>
    <x v="0"/>
    <b v="0"/>
    <s v="No está en VPC"/>
    <n v="150"/>
    <s v="INTPG_PC_150_1.3-5"/>
    <s v="ISEL-1.5"/>
    <n v="15"/>
    <s v="NO TIENE L3OUT"/>
    <n v="118"/>
    <n v="54"/>
  </r>
  <r>
    <n v="131"/>
    <x v="0"/>
    <x v="13"/>
    <s v="eth1/5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5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5"/>
    <x v="0"/>
    <x v="0"/>
    <x v="0"/>
    <s v="TO-ITHFHWCCEXEN01-CCEX LAG 01_OCS_Transforma"/>
    <x v="2"/>
    <b v="0"/>
    <s v="No está en VPC"/>
    <n v="758"/>
    <s v="INTPG_VPC_758_1.5_759_1.5"/>
    <s v="ISEL-1.5"/>
    <n v="49"/>
    <s v="NO TIENE L3OUT"/>
    <n v="0"/>
    <n v="42"/>
  </r>
  <r>
    <n v="759"/>
    <x v="2"/>
    <x v="16"/>
    <s v="eth1/5"/>
    <x v="0"/>
    <x v="0"/>
    <x v="0"/>
    <s v="TO-ITHFHWCCEXEN01-CCEX LAG 01_OCS_Transforma"/>
    <x v="2"/>
    <b v="0"/>
    <s v="No está en VPC"/>
    <n v="759"/>
    <s v="INTPG_VPC_758_1.5_759_1.5"/>
    <s v="ISEL-1.5"/>
    <n v="49"/>
    <s v="NO TIENE L3OUT"/>
    <n v="0"/>
    <n v="42"/>
  </r>
  <r>
    <n v="302"/>
    <x v="0"/>
    <x v="17"/>
    <s v="eth1/5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5"/>
    <x v="0"/>
    <x v="0"/>
    <x v="0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5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5"/>
    <x v="0"/>
    <x v="0"/>
    <x v="0"/>
    <s v="HUECOS DC_S2"/>
    <x v="0"/>
    <b v="0"/>
    <s v="No está en VPC"/>
    <n v="452"/>
    <s v="INTPG_VPC_450_1.1-6_452_1.1-6"/>
    <s v="ISEL-1.5"/>
    <n v="1"/>
    <s v="NO TIENE L3OUT"/>
    <n v="0"/>
    <n v="54"/>
  </r>
  <r>
    <n v="450"/>
    <x v="1"/>
    <x v="21"/>
    <s v="eth1/5"/>
    <x v="0"/>
    <x v="0"/>
    <x v="0"/>
    <s v="HUECOS DC_S2"/>
    <x v="0"/>
    <b v="0"/>
    <s v="No está en VPC"/>
    <n v="450"/>
    <s v="INTPG_VPC_450_1.1-6_452_1.1-6"/>
    <s v="ISEL-1.5"/>
    <n v="1"/>
    <s v="NO TIENE L3OUT"/>
    <n v="0"/>
    <n v="54"/>
  </r>
  <r>
    <n v="727"/>
    <x v="2"/>
    <x v="22"/>
    <s v="eth1/5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5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5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5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5"/>
    <x v="0"/>
    <x v="0"/>
    <x v="0"/>
    <s v="VBLOCK1"/>
    <x v="0"/>
    <b v="0"/>
    <s v="No está en VPC"/>
    <n v="431"/>
    <s v="INTPG_VPC_431_1.5-6_448_1.5-6"/>
    <s v="ISEL-1.5"/>
    <n v="10"/>
    <s v="NO TIENE L3OUT"/>
    <n v="46"/>
    <n v="54"/>
  </r>
  <r>
    <n v="433"/>
    <x v="1"/>
    <x v="27"/>
    <s v="eth1/5"/>
    <x v="0"/>
    <x v="0"/>
    <x v="0"/>
    <s v="TO-ABF_R9_IXTLA_FORTI_1-Principal"/>
    <x v="1"/>
    <b v="0"/>
    <s v="No está en VPC"/>
    <n v="433"/>
    <s v="INTPG_ACC_433_1.5"/>
    <s v="ISEL-1.5"/>
    <n v="1"/>
    <s v="NO TIENE L3OUT"/>
    <n v="42"/>
    <n v="54"/>
  </r>
  <r>
    <n v="429"/>
    <x v="1"/>
    <x v="28"/>
    <s v="eth1/5"/>
    <x v="0"/>
    <x v="0"/>
    <x v="0"/>
    <s v="FASE_1.5_REDKNEE_produccion_4_client_LAG"/>
    <x v="1"/>
    <b v="0"/>
    <s v="No está en VPC"/>
    <n v="429"/>
    <s v="INTPG_VPC_427_1.2-3_429_1.5-6"/>
    <s v="ISEL-1.5"/>
    <n v="2"/>
    <s v="NO TIENE L3OUT"/>
    <n v="8"/>
    <n v="54"/>
  </r>
  <r>
    <n v="432"/>
    <x v="1"/>
    <x v="29"/>
    <s v="eth1/5"/>
    <x v="0"/>
    <x v="0"/>
    <x v="0"/>
    <s v="SSO"/>
    <x v="1"/>
    <b v="0"/>
    <s v="No está en VPC"/>
    <n v="432"/>
    <s v="INTPG_ACC_432_1.5"/>
    <s v="ISEL-1.5"/>
    <n v="1"/>
    <s v="NO TIENE L3OUT"/>
    <n v="54"/>
    <n v="54"/>
  </r>
  <r>
    <n v="442"/>
    <x v="1"/>
    <x v="30"/>
    <s v="eth1/5"/>
    <x v="0"/>
    <x v="0"/>
    <x v="0"/>
    <s v="INTELIGN_COMERCIAL_LAG4"/>
    <x v="1"/>
    <b v="0"/>
    <s v="No está en VPC"/>
    <n v="442"/>
    <s v="INTPG_VPC_440_1.5_442_1.5"/>
    <s v="ISEL-1.5"/>
    <n v="1"/>
    <s v="NO TIENE L3OUT"/>
    <n v="18"/>
    <n v="54"/>
  </r>
  <r>
    <n v="434"/>
    <x v="1"/>
    <x v="31"/>
    <s v="eth1/5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5"/>
    <x v="0"/>
    <x v="0"/>
    <x v="0"/>
    <s v="CEM:ITHCEMG2DAT03:LOM P1"/>
    <x v="0"/>
    <b v="0"/>
    <s v="No está en VPC"/>
    <n v="707"/>
    <s v="INTPG_ACC_707_1.5"/>
    <s v="ISEL-1.5"/>
    <n v="1"/>
    <s v="NO TIENE L3OUT"/>
    <n v="54"/>
    <n v="54"/>
  </r>
  <r>
    <n v="712"/>
    <x v="2"/>
    <x v="33"/>
    <s v="eth1/5"/>
    <x v="0"/>
    <x v="0"/>
    <x v="0"/>
    <s v="CEM:ITHCEMB2DAT03:LOM P1"/>
    <x v="0"/>
    <b v="0"/>
    <s v="No está en VPC"/>
    <n v="712"/>
    <s v="INTPG_ACC_712_1.5"/>
    <s v="ISEL-1.5"/>
    <n v="1"/>
    <s v="NO TIENE L3OUT"/>
    <n v="32"/>
    <n v="54"/>
  </r>
  <r>
    <n v="719"/>
    <x v="2"/>
    <x v="34"/>
    <s v="eth1/5"/>
    <x v="0"/>
    <x v="0"/>
    <x v="0"/>
    <m/>
    <x v="0"/>
    <b v="0"/>
    <s v="No está en VPC"/>
    <n v="719"/>
    <s v="INTPG-VPC_HDD05_719_1.5_720_1.6"/>
    <s v="ISEL-1.5"/>
    <n v="1"/>
    <s v="NO TIENE L3OUT"/>
    <n v="0"/>
    <n v="54"/>
  </r>
  <r>
    <n v="715"/>
    <x v="2"/>
    <x v="35"/>
    <s v="eth1/5"/>
    <x v="0"/>
    <x v="0"/>
    <x v="0"/>
    <m/>
    <x v="0"/>
    <b v="0"/>
    <s v="No está en VPC"/>
    <n v="715"/>
    <s v="INTPG-VPC_HDD46_715_1.5_716_1.6"/>
    <s v="ISEL-1.5"/>
    <n v="1"/>
    <s v="NO TIENE L3OUT"/>
    <n v="0"/>
    <n v="54"/>
  </r>
  <r>
    <n v="427"/>
    <x v="1"/>
    <x v="36"/>
    <s v="eth1/5"/>
    <x v="0"/>
    <x v="0"/>
    <x v="0"/>
    <s v="FASE_1.5_REDKNEE_produccion_3_client_LAG"/>
    <x v="1"/>
    <b v="0"/>
    <s v="No está en VPC"/>
    <n v="427"/>
    <s v="INTPG_VPC_427_1.4-5_429_1.2-3"/>
    <s v="ISEL-1.5"/>
    <n v="5"/>
    <s v="NO TIENE L3OUT"/>
    <n v="10"/>
    <n v="54"/>
  </r>
  <r>
    <n v="711"/>
    <x v="2"/>
    <x v="37"/>
    <s v="eth1/5"/>
    <x v="0"/>
    <x v="0"/>
    <x v="0"/>
    <s v="CEM:ITHCEMC2DAT03:LOM P1"/>
    <x v="0"/>
    <b v="0"/>
    <s v="No está en VPC"/>
    <n v="711"/>
    <s v="INTPG_ACC_711_1.5"/>
    <s v="ISEL-1.5"/>
    <n v="1"/>
    <s v="NO TIENE L3OUT"/>
    <n v="16"/>
    <n v="54"/>
  </r>
  <r>
    <n v="716"/>
    <x v="2"/>
    <x v="38"/>
    <s v="eth1/5"/>
    <x v="0"/>
    <x v="0"/>
    <x v="0"/>
    <m/>
    <x v="0"/>
    <b v="0"/>
    <s v="No está en VPC"/>
    <n v="716"/>
    <s v="INTPG-VPC_HDD37_716_1.5_715_1.6"/>
    <s v="ISEL-1.5"/>
    <n v="1"/>
    <s v="NO TIENE L3OUT"/>
    <n v="0"/>
    <n v="54"/>
  </r>
  <r>
    <n v="702"/>
    <x v="2"/>
    <x v="39"/>
    <s v="eth1/5"/>
    <x v="0"/>
    <x v="0"/>
    <x v="0"/>
    <m/>
    <x v="0"/>
    <b v="0"/>
    <s v="No está en VPC"/>
    <n v="702"/>
    <s v="INTPG_VPC_702_1.5_701_1.6"/>
    <s v="ISEL-1.5"/>
    <n v="1"/>
    <s v="NO TIENE L3OUT"/>
    <n v="0"/>
    <n v="54"/>
  </r>
  <r>
    <n v="435"/>
    <x v="1"/>
    <x v="40"/>
    <s v="eth1/5"/>
    <x v="0"/>
    <x v="0"/>
    <x v="0"/>
    <s v="TO-ABF_R9_IXTLA_FORTI_2-Redundante"/>
    <x v="1"/>
    <b v="0"/>
    <s v="No está en VPC"/>
    <n v="435"/>
    <s v="INTPG_ACC_435_1.5"/>
    <s v="ISEL-1.5"/>
    <n v="1"/>
    <s v="NO TIENE L3OUT"/>
    <n v="34"/>
    <n v="54"/>
  </r>
  <r>
    <n v="446"/>
    <x v="1"/>
    <x v="41"/>
    <s v="eth1/5"/>
    <x v="0"/>
    <x v="0"/>
    <x v="0"/>
    <m/>
    <x v="0"/>
    <b v="0"/>
    <s v="No está en VPC"/>
    <n v="446"/>
    <s v="INTPG_ACC_446_1.5"/>
    <s v="ISEL-1.5"/>
    <n v="9"/>
    <s v="NO TIENE L3OUT"/>
    <n v="198"/>
    <n v="54"/>
  </r>
  <r>
    <n v="444"/>
    <x v="1"/>
    <x v="42"/>
    <s v="eth1/5"/>
    <x v="0"/>
    <x v="0"/>
    <x v="0"/>
    <s v="TO-ITHFHPNBURBKP05"/>
    <x v="0"/>
    <b v="0"/>
    <s v="No está en VPC"/>
    <n v="444"/>
    <s v="INTPG_VPC_444_1.5_446_1.6"/>
    <s v="ISEL-1.5"/>
    <n v="1"/>
    <s v="NO TIENE L3OUT"/>
    <n v="234"/>
    <n v="54"/>
  </r>
  <r>
    <n v="701"/>
    <x v="2"/>
    <x v="43"/>
    <s v="eth1/5"/>
    <x v="0"/>
    <x v="0"/>
    <x v="0"/>
    <m/>
    <x v="0"/>
    <b v="0"/>
    <s v="No está en VPC"/>
    <n v="701"/>
    <s v="INTPG_VPC_701_1.5_702_1.6"/>
    <s v="ISEL-1.5"/>
    <n v="1"/>
    <s v="NO TIENE L3OUT"/>
    <n v="0"/>
    <n v="54"/>
  </r>
  <r>
    <n v="440"/>
    <x v="1"/>
    <x v="44"/>
    <s v="eth1/5"/>
    <x v="0"/>
    <x v="0"/>
    <x v="0"/>
    <s v="INTELIGN_COMERCIAL_LAG4"/>
    <x v="1"/>
    <b v="0"/>
    <s v="No está en VPC"/>
    <n v="440"/>
    <s v="INTPG_VPC_440_1.5_442_1.5"/>
    <s v="ISEL-1.5"/>
    <n v="1"/>
    <s v="NO TIENE L3OUT"/>
    <n v="22"/>
    <n v="54"/>
  </r>
  <r>
    <n v="448"/>
    <x v="1"/>
    <x v="45"/>
    <s v="eth1/5"/>
    <x v="0"/>
    <x v="0"/>
    <x v="0"/>
    <s v="VBLOCK1"/>
    <x v="0"/>
    <b v="0"/>
    <s v="No está en VPC"/>
    <n v="448"/>
    <s v="INTPG_VPC_431_1.5-6_448_1.5-6"/>
    <s v="ISEL-1.5"/>
    <n v="10"/>
    <s v="NO TIENE L3OUT"/>
    <n v="46"/>
    <n v="54"/>
  </r>
  <r>
    <n v="704"/>
    <x v="2"/>
    <x v="46"/>
    <s v="eth1/5"/>
    <x v="0"/>
    <x v="0"/>
    <x v="0"/>
    <m/>
    <x v="0"/>
    <b v="0"/>
    <s v="No está en VPC"/>
    <n v="704"/>
    <s v="INTPG_VPC_704_1.5_703_1.6"/>
    <s v="ISEL-1.5"/>
    <n v="1"/>
    <s v="NO TIENE L3OUT"/>
    <n v="0"/>
    <n v="54"/>
  </r>
  <r>
    <n v="729"/>
    <x v="2"/>
    <x v="47"/>
    <s v="eth1/5"/>
    <x v="0"/>
    <x v="0"/>
    <x v="0"/>
    <s v="eth-trunk-32"/>
    <x v="0"/>
    <b v="0"/>
    <s v="No está en VPC"/>
    <n v="729"/>
    <s v="INTPG_VPC_728_1.5_8_729_1.5_8"/>
    <s v="ISEL-1.5"/>
    <n v="11"/>
    <s v="NO TIENE L3OUT"/>
    <n v="4"/>
    <n v="54"/>
  </r>
  <r>
    <n v="728"/>
    <x v="2"/>
    <x v="48"/>
    <s v="eth1/5"/>
    <x v="0"/>
    <x v="0"/>
    <x v="0"/>
    <s v="eth-trunk-32"/>
    <x v="0"/>
    <b v="0"/>
    <s v="No está en VPC"/>
    <n v="728"/>
    <s v="INTPG_VPC_728_1.5_8_729_1.5_8"/>
    <s v="ISEL-1.5"/>
    <n v="11"/>
    <s v="NO TIENE L3OUT"/>
    <n v="2"/>
    <n v="54"/>
  </r>
  <r>
    <n v="456"/>
    <x v="1"/>
    <x v="49"/>
    <s v="eth1/5"/>
    <x v="0"/>
    <x v="0"/>
    <x v="0"/>
    <s v="HACIA_CSI-B-OSCP-F4-05_SECUNDARIO"/>
    <x v="4"/>
    <b v="0"/>
    <s v="No está en VPC"/>
    <n v="456"/>
    <s v="INTPG_VPC_454_1.5_456_1.5"/>
    <s v="ISEL-1.5"/>
    <n v="2"/>
    <s v="NO TIENE L3OUT"/>
    <n v="4"/>
    <n v="54"/>
  </r>
  <r>
    <n v="603"/>
    <x v="1"/>
    <x v="50"/>
    <s v="eth1/5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5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5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5"/>
    <x v="0"/>
    <x v="0"/>
    <x v="0"/>
    <s v="Server_Pre-R02-CBS-RH2288-01"/>
    <x v="0"/>
    <b v="0"/>
    <s v="No está en VPC"/>
    <n v="730"/>
    <s v="INTPG_ACC_730_1.5"/>
    <s v="ISEL-1.5"/>
    <n v="3"/>
    <s v="NO TIENE L3OUT"/>
    <n v="36"/>
    <n v="54"/>
  </r>
  <r>
    <n v="722"/>
    <x v="2"/>
    <x v="54"/>
    <s v="eth1/5"/>
    <x v="0"/>
    <x v="0"/>
    <x v="0"/>
    <m/>
    <x v="0"/>
    <b v="0"/>
    <s v="No está en VPC"/>
    <n v="722"/>
    <s v="INTPG-VPC_HDD131_722_1.5_723_1.6"/>
    <s v="ISEL-1.5"/>
    <n v="1"/>
    <s v="NO TIENE L3OUT"/>
    <n v="0"/>
    <n v="54"/>
  </r>
  <r>
    <n v="733"/>
    <x v="2"/>
    <x v="55"/>
    <s v="eth1/5"/>
    <x v="0"/>
    <x v="0"/>
    <x v="0"/>
    <s v="eth-trunk 22 fase 2 bes"/>
    <x v="0"/>
    <b v="0"/>
    <s v="No está en VPC"/>
    <n v="733"/>
    <s v="INTPG_VPC_732_1.5_8_733_1.5_8"/>
    <s v="ISEL-1.5"/>
    <n v="9"/>
    <s v="NO TIENE L3OUT"/>
    <n v="0"/>
    <n v="54"/>
  </r>
  <r>
    <n v="755"/>
    <x v="2"/>
    <x v="56"/>
    <s v="eth1/5"/>
    <x v="0"/>
    <x v="0"/>
    <x v="0"/>
    <s v="OSS F1:ithenmr06bl01nas1r9b:PCIe3 Slot 1/1"/>
    <x v="0"/>
    <b v="0"/>
    <s v="No está en VPC"/>
    <n v="755"/>
    <s v="INTPG_PC_755_1.3-6"/>
    <s v="ISEL-1.5"/>
    <n v="1"/>
    <s v="NO TIENE L3OUT"/>
    <n v="52"/>
    <n v="54"/>
  </r>
  <r>
    <n v="748"/>
    <x v="2"/>
    <x v="57"/>
    <s v="eth1/5"/>
    <x v="0"/>
    <x v="0"/>
    <x v="0"/>
    <s v="trunk13 Bes-Production"/>
    <x v="0"/>
    <b v="0"/>
    <s v="No está en VPC"/>
    <n v="748"/>
    <s v="INTPG_VPC_748_1.5_8_749_1.5_8"/>
    <s v="ISEL-1.5"/>
    <n v="14"/>
    <s v="NO TIENE L3OUT"/>
    <n v="2"/>
    <n v="54"/>
  </r>
  <r>
    <n v="756"/>
    <x v="2"/>
    <x v="58"/>
    <s v="eth1/5"/>
    <x v="0"/>
    <x v="0"/>
    <x v="0"/>
    <s v="OSS F1:ithenmr08bl03lms1r9a:PORT 1"/>
    <x v="0"/>
    <b v="0"/>
    <s v="No está en VPC"/>
    <n v="756"/>
    <s v="INTPG_ACC_756_1.5"/>
    <s v="ISEL-1.5"/>
    <n v="1"/>
    <s v="NO TIENE L3OUT"/>
    <n v="64"/>
    <n v="54"/>
  </r>
  <r>
    <n v="754"/>
    <x v="2"/>
    <x v="59"/>
    <s v="eth1/5"/>
    <x v="0"/>
    <x v="0"/>
    <x v="0"/>
    <s v="OSS F1:ithenmr04bl04ombsr9b:PORT 1"/>
    <x v="0"/>
    <b v="0"/>
    <s v="No está en VPC"/>
    <n v="754"/>
    <s v="INTPG_PC_754_1.5-8"/>
    <s v="ISEL-1.5"/>
    <n v="2"/>
    <s v="NO TIENE L3OUT"/>
    <n v="62"/>
    <n v="54"/>
  </r>
  <r>
    <n v="751"/>
    <x v="2"/>
    <x v="60"/>
    <s v="eth1/5"/>
    <x v="0"/>
    <x v="0"/>
    <x v="0"/>
    <s v="trunk17 Bes-Production"/>
    <x v="0"/>
    <b v="0"/>
    <s v="No está en VPC"/>
    <n v="751"/>
    <s v="INTPG_VPC_750_1.5_8_751_1.5_8"/>
    <s v="ISEL-1.5"/>
    <n v="13"/>
    <s v="NO TIENE L3OUT"/>
    <n v="0"/>
    <n v="54"/>
  </r>
  <r>
    <n v="769"/>
    <x v="2"/>
    <x v="61"/>
    <s v="eth1/5"/>
    <x v="0"/>
    <x v="0"/>
    <x v="0"/>
    <s v="Portchannel_6_R4A"/>
    <x v="0"/>
    <b v="0"/>
    <s v="No está en VPC"/>
    <n v="769"/>
    <s v="INTPG_PC_769_1.3-6"/>
    <s v="ISEL-1.5"/>
    <n v="1"/>
    <s v="NO TIENE L3OUT"/>
    <n v="60"/>
    <n v="54"/>
  </r>
  <r>
    <n v="742"/>
    <x v="2"/>
    <x v="62"/>
    <s v="eth1/5"/>
    <x v="0"/>
    <x v="1"/>
    <x v="1"/>
    <s v="CEM:ITHCEMA2DAT03:LOM P3"/>
    <x v="5"/>
    <b v="0"/>
    <s v="No está en VPC"/>
    <n v="742"/>
    <s v="INTPG_ACC_742_1.5"/>
    <s v="ISEL-1.5"/>
    <n v="1"/>
    <s v="NO TIENE L3OUT"/>
    <n v="64"/>
    <n v="54"/>
  </r>
  <r>
    <n v="763"/>
    <x v="2"/>
    <x v="63"/>
    <s v="eth1/5"/>
    <x v="0"/>
    <x v="0"/>
    <x v="0"/>
    <s v="PAAS:ithhwoscopap005:LOM PORT 3"/>
    <x v="0"/>
    <b v="0"/>
    <s v="No está en VPC"/>
    <n v="763"/>
    <s v="INTPG_VPC_762_1.5_763_1.5"/>
    <s v="ISEL-1.5"/>
    <n v="15"/>
    <s v="NO TIENE L3OUT"/>
    <n v="2"/>
    <n v="54"/>
  </r>
  <r>
    <n v="766"/>
    <x v="2"/>
    <x v="64"/>
    <s v="eth1/5"/>
    <x v="0"/>
    <x v="0"/>
    <x v="0"/>
    <s v="Portchannel_3_R6B"/>
    <x v="0"/>
    <b v="0"/>
    <s v="No está en VPC"/>
    <n v="766"/>
    <s v="INTPG_PC_766_1.5-6"/>
    <s v="ISEL-1.5"/>
    <n v="8"/>
    <s v="NO TIENE L3OUT"/>
    <n v="58"/>
    <n v="54"/>
  </r>
  <r>
    <n v="760"/>
    <x v="2"/>
    <x v="65"/>
    <s v="eth1/5"/>
    <x v="0"/>
    <x v="1"/>
    <x v="1"/>
    <m/>
    <x v="0"/>
    <b v="0"/>
    <s v="No está en VPC"/>
    <n v="760"/>
    <s v="INTPG_VPC_760_1.5-8_761_1.5-8"/>
    <s v="ISEL-1.5"/>
    <n v="0"/>
    <s v="L3OUT-EXACLOUD"/>
    <n v="0"/>
    <n v="54"/>
  </r>
  <r>
    <n v="752"/>
    <x v="2"/>
    <x v="66"/>
    <s v="eth1/5"/>
    <x v="0"/>
    <x v="0"/>
    <x v="0"/>
    <s v="PAAS:ithhwoscopap003:Slot4.1"/>
    <x v="0"/>
    <b v="0"/>
    <s v="No está en VPC"/>
    <n v="752"/>
    <s v="INTPG_VPC_747_1.5_752_1.5"/>
    <s v="ISEL-1.5"/>
    <n v="25"/>
    <s v="NO TIENE L3OUT"/>
    <n v="0"/>
    <n v="54"/>
  </r>
  <r>
    <n v="765"/>
    <x v="2"/>
    <x v="67"/>
    <s v="eth1/5"/>
    <x v="0"/>
    <x v="0"/>
    <x v="0"/>
    <s v="OSS_ENM"/>
    <x v="0"/>
    <b v="0"/>
    <s v="No está en VPC"/>
    <n v="765"/>
    <s v="INTPG_ACC_765_1.5"/>
    <s v="ISEL-1.5"/>
    <n v="1"/>
    <s v="NO TIENE L3OUT"/>
    <n v="60"/>
    <n v="54"/>
  </r>
  <r>
    <n v="778"/>
    <x v="2"/>
    <x v="68"/>
    <s v="eth1/5"/>
    <x v="0"/>
    <x v="0"/>
    <x v="0"/>
    <s v="ENIQ F1:itheniqr07nas1r2:Slot 2/2"/>
    <x v="0"/>
    <b v="0"/>
    <s v="No está en VPC"/>
    <n v="778"/>
    <s v="INTPG_PC_778_1.3-6"/>
    <s v="ISEL-1.5"/>
    <n v="1"/>
    <s v="NO TIENE L3OUT"/>
    <n v="26"/>
    <n v="54"/>
  </r>
  <r>
    <n v="780"/>
    <x v="2"/>
    <x v="69"/>
    <s v="eth1/5"/>
    <x v="0"/>
    <x v="0"/>
    <x v="0"/>
    <s v="LACP_NAS1_ENIQ1"/>
    <x v="0"/>
    <b v="0"/>
    <s v="No está en VPC"/>
    <n v="780"/>
    <s v="INTPG_PC_780_1.3-6"/>
    <s v="ISEL-1.5"/>
    <n v="1"/>
    <s v="NO TIENE L3OUT"/>
    <n v="26"/>
    <n v="54"/>
  </r>
  <r>
    <n v="812"/>
    <x v="2"/>
    <x v="70"/>
    <s v="eth1/5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5"/>
    <x v="0"/>
    <x v="0"/>
    <x v="0"/>
    <s v="ITHFHWTSHNLCN03_VMs-03_Taishan_IT"/>
    <x v="0"/>
    <b v="0"/>
    <s v="No está en VPC"/>
    <n v="796"/>
    <s v="INTPG_VPC_795_1.5_796_1.5"/>
    <s v="ISEL-1.5"/>
    <n v="14"/>
    <s v="NO TIENE L3OUT"/>
    <n v="18"/>
    <n v="54"/>
  </r>
  <r>
    <n v="795"/>
    <x v="2"/>
    <x v="72"/>
    <s v="eth1/5"/>
    <x v="0"/>
    <x v="0"/>
    <x v="0"/>
    <s v="ITHFHWTSHNLCN03_VMs-03_Taishan_IT"/>
    <x v="0"/>
    <b v="0"/>
    <s v="No está en VPC"/>
    <n v="795"/>
    <s v="INTPG_VPC_795_1.5_796_1.5"/>
    <s v="ISEL-1.5"/>
    <n v="14"/>
    <s v="NO TIENE L3OUT"/>
    <n v="18"/>
    <n v="54"/>
  </r>
  <r>
    <n v="749"/>
    <x v="2"/>
    <x v="73"/>
    <s v="eth1/5"/>
    <x v="0"/>
    <x v="0"/>
    <x v="0"/>
    <s v="trunk13 Bes-Production"/>
    <x v="0"/>
    <b v="0"/>
    <s v="No está en VPC"/>
    <n v="749"/>
    <s v="INTPG_VPC_748_1.5_8_749_1.5_8"/>
    <s v="ISEL-1.5"/>
    <n v="14"/>
    <s v="NO TIENE L3OUT"/>
    <n v="4"/>
    <n v="54"/>
  </r>
  <r>
    <n v="824"/>
    <x v="2"/>
    <x v="74"/>
    <s v="eth1/5"/>
    <x v="0"/>
    <x v="0"/>
    <x v="0"/>
    <s v="LINK_TO_ITHHWD6K60012DKC01 /CtrlA_IOM1.P1 /Redundante"/>
    <x v="0"/>
    <b v="0"/>
    <s v="No está en VPC"/>
    <n v="824"/>
    <s v="INTPG_ACC_824_1.5"/>
    <s v="ISEL-1.5"/>
    <n v="1"/>
    <s v="NO TIENE L3OUT"/>
    <n v="70"/>
    <n v="54"/>
  </r>
  <r>
    <n v="819"/>
    <x v="2"/>
    <x v="75"/>
    <s v="eth1/5"/>
    <x v="0"/>
    <x v="0"/>
    <x v="0"/>
    <s v="LINK_TO_ITHHWD6K60012DKC01 /CtrlA_IOM1.P0 /Principal"/>
    <x v="0"/>
    <b v="0"/>
    <s v="No está en VPC"/>
    <n v="819"/>
    <s v="INTPG_ACC_819_1.5"/>
    <s v="ISEL-1.5"/>
    <n v="1"/>
    <s v="NO TIENE L3OUT"/>
    <n v="70"/>
    <n v="54"/>
  </r>
  <r>
    <n v="737"/>
    <x v="2"/>
    <x v="76"/>
    <s v="eth1/5"/>
    <x v="0"/>
    <x v="0"/>
    <x v="0"/>
    <s v="CEM:ITHCEMF2DAT03:LOM P3"/>
    <x v="5"/>
    <b v="0"/>
    <s v="No está en VPC"/>
    <n v="737"/>
    <s v="INTPG_ACC_737_1.5"/>
    <s v="ISEL-1.5"/>
    <n v="1"/>
    <s v="NO TIENE L3OUT"/>
    <n v="72"/>
    <n v="54"/>
  </r>
  <r>
    <n v="844"/>
    <x v="2"/>
    <x v="77"/>
    <s v="eth1/5"/>
    <x v="0"/>
    <x v="0"/>
    <x v="0"/>
    <s v="LINK_TO_ITHFHWCRMPLCN102 / Slot1.2_8 / Principal"/>
    <x v="0"/>
    <b v="0"/>
    <s v="No está en VPC"/>
    <n v="844"/>
    <s v="INTPG_ACC_844_1.5"/>
    <s v="ISEL-1.5"/>
    <n v="2"/>
    <s v="NO TIENE L3OUT"/>
    <n v="282"/>
    <n v="54"/>
  </r>
  <r>
    <n v="843"/>
    <x v="2"/>
    <x v="78"/>
    <s v="eth1/5"/>
    <x v="0"/>
    <x v="0"/>
    <x v="0"/>
    <s v="LINK_To_ITHFHWCBSPSHDCTL04 / Slot7.3_12 / Redundante"/>
    <x v="0"/>
    <b v="0"/>
    <s v="No está en VPC"/>
    <n v="843"/>
    <s v="INTPG_VPC_838_1.5_843_1.5"/>
    <s v="ISEL-1.5"/>
    <n v="1"/>
    <s v="NO TIENE L3OUT"/>
    <n v="38"/>
    <n v="54"/>
  </r>
  <r>
    <n v="797"/>
    <x v="2"/>
    <x v="79"/>
    <s v="eth1/5"/>
    <x v="0"/>
    <x v="0"/>
    <x v="0"/>
    <s v="TO-HDPS_07-MSP"/>
    <x v="0"/>
    <b v="0"/>
    <s v="No está en VPC"/>
    <n v="797"/>
    <s v="INTPG_ACC_797_1.5"/>
    <s v="ISEL-1.5"/>
    <n v="1"/>
    <s v="NO TIENE L3OUT"/>
    <n v="48"/>
    <n v="54"/>
  </r>
  <r>
    <n v="839"/>
    <x v="2"/>
    <x v="80"/>
    <s v="eth1/5"/>
    <x v="0"/>
    <x v="0"/>
    <x v="0"/>
    <s v="LINK_TO_ITHFHWCBSPSHD44 / Slot7.2_6 / Redundante"/>
    <x v="0"/>
    <b v="0"/>
    <s v="No está en VPC"/>
    <n v="839"/>
    <s v="INTPG_VPC_834_1.5_839_1.5"/>
    <s v="ISEL-1.5"/>
    <n v="1"/>
    <s v="NO TIENE L3OUT"/>
    <n v="0"/>
    <n v="54"/>
  </r>
  <r>
    <n v="847"/>
    <x v="2"/>
    <x v="81"/>
    <s v="eth1/5"/>
    <x v="0"/>
    <x v="0"/>
    <x v="0"/>
    <s v="LINK_TO_ITHFHWCRMPSBDA06 / Slot1.2_6 / Principal"/>
    <x v="0"/>
    <b v="0"/>
    <s v="No está en VPC"/>
    <n v="847"/>
    <s v="INTPG_VPC_847_1.5_854_1.5"/>
    <s v="ISEL-1.5"/>
    <n v="2"/>
    <s v="NO TIENE L3OUT"/>
    <n v="204"/>
    <n v="54"/>
  </r>
  <r>
    <n v="848"/>
    <x v="2"/>
    <x v="82"/>
    <s v="eth1/5"/>
    <x v="0"/>
    <x v="0"/>
    <x v="0"/>
    <s v="LINK_TO_ITHFHWCRMPLCN156 / Slot7.1_14 / Redundante"/>
    <x v="0"/>
    <b v="0"/>
    <s v="No está en VPC"/>
    <n v="848"/>
    <s v="INTPG_ACC_848_1.5"/>
    <s v="ISEL-1.5"/>
    <n v="6"/>
    <s v="NO TIENE L3OUT"/>
    <n v="254"/>
    <n v="54"/>
  </r>
  <r>
    <n v="846"/>
    <x v="2"/>
    <x v="83"/>
    <s v="eth1/5"/>
    <x v="0"/>
    <x v="0"/>
    <x v="0"/>
    <s v="VPC_2DCRMP_BDP06_3"/>
    <x v="0"/>
    <b v="0"/>
    <s v="No está en VPC"/>
    <n v="846"/>
    <s v="INTPG_VPC_846_1.5_853_1.5"/>
    <s v="ISEL-1.5"/>
    <n v="1"/>
    <s v="NO TIENE L3OUT"/>
    <n v="242"/>
    <n v="54"/>
  </r>
  <r>
    <n v="838"/>
    <x v="2"/>
    <x v="84"/>
    <s v="eth1/5"/>
    <x v="0"/>
    <x v="0"/>
    <x v="0"/>
    <s v="LINK_To_ITHFHWCBSPSHDCTL04 / Slot1.3_12 / Principal"/>
    <x v="0"/>
    <b v="0"/>
    <s v="No está en VPC"/>
    <n v="838"/>
    <s v="INTPG_VPC_838_1.5_843_1.5"/>
    <s v="ISEL-1.5"/>
    <n v="1"/>
    <s v="NO TIENE L3OUT"/>
    <n v="38"/>
    <n v="54"/>
  </r>
  <r>
    <n v="849"/>
    <x v="2"/>
    <x v="85"/>
    <s v="eth1/5"/>
    <x v="0"/>
    <x v="0"/>
    <x v="0"/>
    <s v="LINK_TO_ITHFHWCRMPLCN136 / Slot7.1_6 / Redundante"/>
    <x v="0"/>
    <b v="0"/>
    <s v="No está en VPC"/>
    <n v="849"/>
    <s v="INTPG_ACC_849_1.5"/>
    <s v="ISEL-1.5"/>
    <n v="6"/>
    <s v="NO TIENE L3OUT"/>
    <n v="286"/>
    <n v="54"/>
  </r>
  <r>
    <n v="845"/>
    <x v="2"/>
    <x v="86"/>
    <s v="eth1/5"/>
    <x v="0"/>
    <x v="0"/>
    <x v="0"/>
    <s v="LINK_TO_ITHFHWCRMPLCN117 / Slot1.3_38 / Principal"/>
    <x v="0"/>
    <b v="0"/>
    <s v="No está en VPC"/>
    <n v="845"/>
    <s v="INTPG_ACC_845_1.5"/>
    <s v="ISEL-1.5"/>
    <n v="1"/>
    <s v="NO TIENE L3OUT"/>
    <n v="258"/>
    <n v="54"/>
  </r>
  <r>
    <n v="873"/>
    <x v="2"/>
    <x v="87"/>
    <s v="eth1/5"/>
    <x v="0"/>
    <x v="0"/>
    <x v="0"/>
    <s v="TO_ITHFHWCRMDLCN54_Principal"/>
    <x v="0"/>
    <b v="0"/>
    <s v="No está en VPC"/>
    <n v="873"/>
    <s v="INTPG_ACC_873_1.5"/>
    <s v="ISEL-1.5"/>
    <n v="1"/>
    <s v="NO TIENE L3OUT"/>
    <n v="248"/>
    <n v="54"/>
  </r>
  <r>
    <n v="864"/>
    <x v="2"/>
    <x v="88"/>
    <s v="eth1/5"/>
    <x v="0"/>
    <x v="0"/>
    <x v="0"/>
    <s v="To_VPC_2DCBSD_HD32_2"/>
    <x v="0"/>
    <b v="0"/>
    <s v="No está en VPC"/>
    <n v="864"/>
    <s v="INTPG_VPC_859_1.5_864_1.5"/>
    <s v="ISEL-1.5"/>
    <n v="1"/>
    <s v="NO TIENE L3OUT"/>
    <n v="0"/>
    <n v="54"/>
  </r>
  <r>
    <n v="836"/>
    <x v="2"/>
    <x v="89"/>
    <s v="eth1/5"/>
    <x v="0"/>
    <x v="0"/>
    <x v="0"/>
    <s v="LINK_TO_ITHFHWCBSPSUSBD35 / Slot1.1_8 / Principal"/>
    <x v="0"/>
    <b v="0"/>
    <s v="No está en VPC"/>
    <n v="836"/>
    <s v="INTPG_VPC_836_1.5_841_1.5"/>
    <s v="ISEL-1.5"/>
    <n v="2"/>
    <s v="NO TIENE L3OUT"/>
    <n v="0"/>
    <n v="54"/>
  </r>
  <r>
    <n v="834"/>
    <x v="2"/>
    <x v="90"/>
    <s v="eth1/5"/>
    <x v="0"/>
    <x v="0"/>
    <x v="0"/>
    <s v="LINK_TO_ITHFHWCBSPSHD44 / Slot1.2_6 / Principal"/>
    <x v="0"/>
    <b v="0"/>
    <s v="No está en VPC"/>
    <n v="834"/>
    <s v="INTPG_VPC_834_1.5_839_1.5"/>
    <s v="ISEL-1.5"/>
    <n v="1"/>
    <s v="NO TIENE L3OUT"/>
    <n v="0"/>
    <n v="54"/>
  </r>
  <r>
    <n v="872"/>
    <x v="2"/>
    <x v="91"/>
    <s v="eth1/5"/>
    <x v="0"/>
    <x v="0"/>
    <x v="0"/>
    <s v="To_ITHFHWCRMDLCN70_Principal"/>
    <x v="0"/>
    <b v="0"/>
    <s v="No está en VPC"/>
    <n v="872"/>
    <s v="INTPG_ACC_872_1.5"/>
    <s v="ISEL-1.5"/>
    <n v="1"/>
    <s v="NO TIENE L3OUT"/>
    <n v="288"/>
    <n v="54"/>
  </r>
  <r>
    <n v="842"/>
    <x v="2"/>
    <x v="92"/>
    <s v="eth1/5"/>
    <x v="0"/>
    <x v="0"/>
    <x v="0"/>
    <s v="LINK_TO_ITHFHWCBSPSUSBD24 / Slot7.1_4 / Redundante"/>
    <x v="0"/>
    <b v="0"/>
    <s v="No está en VPC"/>
    <n v="842"/>
    <s v="INTPG_VPC_837_1.5_842_1.5"/>
    <s v="ISEL-1.5"/>
    <n v="2"/>
    <s v="NO TIENE L3OUT"/>
    <n v="8"/>
    <n v="54"/>
  </r>
  <r>
    <n v="828"/>
    <x v="2"/>
    <x v="93"/>
    <s v="eth1/5"/>
    <x v="0"/>
    <x v="0"/>
    <x v="0"/>
    <s v="LINK_TO_ITHFHWCBSDSWR33 /10GE.1 /Principal"/>
    <x v="0"/>
    <b v="0"/>
    <s v="No está en VPC"/>
    <n v="828"/>
    <s v="INTPG_VPC_828_1.5_832_1.5"/>
    <s v="ISEL-1.5"/>
    <n v="1"/>
    <s v="NO TIENE L3OUT"/>
    <n v="192"/>
    <n v="54"/>
  </r>
  <r>
    <n v="870"/>
    <x v="2"/>
    <x v="94"/>
    <s v="eth1/5"/>
    <x v="0"/>
    <x v="0"/>
    <x v="0"/>
    <s v="TO_ITHFHWCRMDLCN54_Redundante"/>
    <x v="0"/>
    <b v="0"/>
    <s v="No está en VPC"/>
    <n v="870"/>
    <s v="INTPG_ACC_870_1.5"/>
    <s v="ISEL-1.5"/>
    <n v="1"/>
    <s v="NO TIENE L3OUT"/>
    <n v="248"/>
    <n v="54"/>
  </r>
  <r>
    <n v="866"/>
    <x v="2"/>
    <x v="95"/>
    <s v="eth1/5"/>
    <x v="0"/>
    <x v="0"/>
    <x v="0"/>
    <s v="To_ITHHWD6KV65100016DKC01_Redundante"/>
    <x v="0"/>
    <b v="0"/>
    <s v="No está en VPC"/>
    <n v="866"/>
    <s v="INTPG_ACC_866_1.5"/>
    <s v="ISEL-1.5"/>
    <n v="1"/>
    <s v="NO TIENE L3OUT"/>
    <n v="8"/>
    <n v="54"/>
  </r>
  <r>
    <n v="862"/>
    <x v="2"/>
    <x v="96"/>
    <s v="eth1/5"/>
    <x v="0"/>
    <x v="0"/>
    <x v="0"/>
    <s v="To_ITHHWD6KV65100013DKC01_Principal"/>
    <x v="0"/>
    <b v="0"/>
    <s v="No está en VPC"/>
    <n v="862"/>
    <s v="INTPG_ACC_862_1.5"/>
    <s v="ISEL-1.5"/>
    <n v="1"/>
    <s v="NO TIENE L3OUT"/>
    <n v="44"/>
    <n v="54"/>
  </r>
  <r>
    <n v="855"/>
    <x v="2"/>
    <x v="97"/>
    <s v="eth1/5"/>
    <x v="0"/>
    <x v="0"/>
    <x v="0"/>
    <s v="LINK_TO_ITHFHWCRMPLCN156 / Slot1.1_14 / Principal"/>
    <x v="0"/>
    <b v="0"/>
    <s v="No está en VPC"/>
    <n v="855"/>
    <s v="INTPG_ACC_855_1.5"/>
    <s v="ISEL-1.5"/>
    <n v="6"/>
    <s v="NO TIENE L3OUT"/>
    <n v="254"/>
    <n v="54"/>
  </r>
  <r>
    <n v="871"/>
    <x v="2"/>
    <x v="98"/>
    <s v="eth1/5"/>
    <x v="0"/>
    <x v="0"/>
    <x v="0"/>
    <s v="TO_ITHFHWCRMDLCN82_Principal"/>
    <x v="0"/>
    <b v="0"/>
    <s v="No está en VPC"/>
    <n v="871"/>
    <s v="INTPG_ACC_871_1.5"/>
    <s v="ISEL-1.5"/>
    <n v="2"/>
    <s v="NO TIENE L3OUT"/>
    <n v="246"/>
    <n v="54"/>
  </r>
  <r>
    <n v="841"/>
    <x v="2"/>
    <x v="99"/>
    <s v="eth1/5"/>
    <x v="0"/>
    <x v="0"/>
    <x v="0"/>
    <s v="LINK_TO_ITHFHWCBSPSUSBD35 / Slot7.1_8 / Redundante"/>
    <x v="0"/>
    <b v="0"/>
    <s v="No está en VPC"/>
    <n v="841"/>
    <s v="INTPG_VPC_836_1.5_841_1.5"/>
    <s v="ISEL-1.5"/>
    <n v="2"/>
    <s v="NO TIENE L3OUT"/>
    <n v="0"/>
    <n v="54"/>
  </r>
  <r>
    <n v="868"/>
    <x v="2"/>
    <x v="100"/>
    <s v="eth1/5"/>
    <x v="0"/>
    <x v="0"/>
    <x v="0"/>
    <s v="TO_ITHFHWCRMDLCN82_Redundante"/>
    <x v="0"/>
    <b v="0"/>
    <s v="No está en VPC"/>
    <n v="868"/>
    <s v="INTPG_ACC_868_1.5"/>
    <s v="ISEL-1.5"/>
    <n v="2"/>
    <s v="NO TIENE L3OUT"/>
    <n v="246"/>
    <n v="54"/>
  </r>
  <r>
    <n v="869"/>
    <x v="2"/>
    <x v="101"/>
    <s v="eth1/5"/>
    <x v="0"/>
    <x v="0"/>
    <x v="0"/>
    <s v="To_ITHFHWCRMDLCN70_Redundante"/>
    <x v="0"/>
    <b v="0"/>
    <s v="No está en VPC"/>
    <n v="869"/>
    <s v="INTPG_ACC_869_1.5"/>
    <s v="ISEL-1.5"/>
    <n v="1"/>
    <s v="NO TIENE L3OUT"/>
    <n v="288"/>
    <n v="54"/>
  </r>
  <r>
    <n v="861"/>
    <x v="2"/>
    <x v="102"/>
    <s v="eth1/5"/>
    <x v="0"/>
    <x v="0"/>
    <x v="0"/>
    <s v="To_ITHHWD6KV65100016DKC01_Principal"/>
    <x v="0"/>
    <b v="0"/>
    <s v="No está en VPC"/>
    <n v="861"/>
    <s v="INTPG_ACC_861_1.5"/>
    <s v="ISEL-1.5"/>
    <n v="1"/>
    <s v="NO TIENE L3OUT"/>
    <n v="8"/>
    <n v="54"/>
  </r>
  <r>
    <n v="874"/>
    <x v="2"/>
    <x v="103"/>
    <s v="eth1/5"/>
    <x v="0"/>
    <x v="0"/>
    <x v="0"/>
    <s v="LINK_TO_ITHFHWSEQLHDPS74 / Slot 5 PTO 1 / Redundante"/>
    <x v="4"/>
    <b v="0"/>
    <s v="No está en VPC"/>
    <n v="874"/>
    <s v="INTPG_ACC_874_1.5"/>
    <s v="ISEL-1.5"/>
    <n v="1"/>
    <s v="NO TIENE L3OUT"/>
    <n v="92"/>
    <n v="54"/>
  </r>
  <r>
    <n v="865"/>
    <x v="2"/>
    <x v="104"/>
    <s v="eth1/5"/>
    <x v="0"/>
    <x v="0"/>
    <x v="0"/>
    <s v="To_VPC_2DCBSD_WR53_2"/>
    <x v="0"/>
    <b v="0"/>
    <s v="No está en VPC"/>
    <n v="865"/>
    <s v="INTPG_VPC_860_1.5_865_1.5"/>
    <s v="ISEL-1.5"/>
    <n v="1"/>
    <s v="NO TIENE L3OUT"/>
    <n v="0"/>
    <n v="54"/>
  </r>
  <r>
    <n v="753"/>
    <x v="2"/>
    <x v="105"/>
    <s v="eth1/5"/>
    <x v="0"/>
    <x v="0"/>
    <x v="0"/>
    <s v="OSS F1:ithenmr03bl03lms1r9c:PORT 1"/>
    <x v="0"/>
    <b v="0"/>
    <s v="No está en VPC"/>
    <n v="753"/>
    <s v="INTPG_ACC_753_1.5"/>
    <s v="ISEL-1.5"/>
    <n v="1"/>
    <s v="NO TIENE L3OUT"/>
    <n v="62"/>
    <n v="54"/>
  </r>
  <r>
    <n v="708"/>
    <x v="2"/>
    <x v="106"/>
    <s v="eth1/5"/>
    <x v="0"/>
    <x v="1"/>
    <x v="5"/>
    <s v="CEM:ITHCEMF2DAT03:LOM P1"/>
    <x v="0"/>
    <b v="0"/>
    <s v="No está en VPC"/>
    <n v="708"/>
    <s v="INTPG_VPC_708_1.5_709_1.6"/>
    <s v="ISEL-1.5"/>
    <n v="1"/>
    <s v="NO TIENE L3OUT"/>
    <n v="0"/>
    <n v="54"/>
  </r>
  <r>
    <n v="710"/>
    <x v="2"/>
    <x v="107"/>
    <s v="eth1/5"/>
    <x v="0"/>
    <x v="1"/>
    <x v="5"/>
    <s v="CEM:ITHCEMD2DAT03:LOM P1"/>
    <x v="0"/>
    <b v="0"/>
    <s v="No está en VPC"/>
    <n v="710"/>
    <s v="INTPG_VPC_710_1.5_711_1.6"/>
    <s v="ISEL-1.5"/>
    <n v="1"/>
    <s v="NO TIENE L3OUT"/>
    <n v="16"/>
    <n v="54"/>
  </r>
  <r>
    <n v="713"/>
    <x v="2"/>
    <x v="108"/>
    <s v="eth1/5"/>
    <x v="0"/>
    <x v="0"/>
    <x v="0"/>
    <s v="CEM:ITHCEMA2DAT03:LOM P1"/>
    <x v="0"/>
    <b v="0"/>
    <s v="No está en VPC"/>
    <n v="713"/>
    <s v="INTPG_ACC_713_1.5"/>
    <s v="ISEL-1.5"/>
    <n v="1"/>
    <s v="NO TIENE L3OUT"/>
    <n v="32"/>
    <n v="54"/>
  </r>
  <r>
    <n v="735"/>
    <x v="2"/>
    <x v="109"/>
    <s v="eth1/5"/>
    <x v="0"/>
    <x v="1"/>
    <x v="1"/>
    <s v="CEM:ITHCEMA1DAT03:LOM P3"/>
    <x v="5"/>
    <b v="0"/>
    <s v="No está en VPC"/>
    <n v="735"/>
    <s v="INTPG_ACC_735_1.5"/>
    <s v="ISEL-1.5"/>
    <n v="1"/>
    <s v="NO TIENE L3OUT"/>
    <n v="34"/>
    <n v="54"/>
  </r>
  <r>
    <n v="731"/>
    <x v="2"/>
    <x v="110"/>
    <s v="eth1/5"/>
    <x v="0"/>
    <x v="0"/>
    <x v="0"/>
    <s v="Server_Pre-R02-CBS-RH2288-01"/>
    <x v="0"/>
    <b v="0"/>
    <s v="No está en VPC"/>
    <n v="731"/>
    <s v="INTPG_ACC_731_1.5"/>
    <s v="ISEL-1.5"/>
    <n v="3"/>
    <s v="NO TIENE L3OUT"/>
    <n v="38"/>
    <n v="54"/>
  </r>
  <r>
    <n v="703"/>
    <x v="2"/>
    <x v="111"/>
    <s v="eth1/5"/>
    <x v="0"/>
    <x v="0"/>
    <x v="0"/>
    <m/>
    <x v="0"/>
    <b v="0"/>
    <s v="No está en VPC"/>
    <n v="703"/>
    <s v="INTPG_VPC_703_1.5_704_1.6"/>
    <s v="ISEL-1.5"/>
    <n v="1"/>
    <s v="NO TIENE L3OUT"/>
    <n v="2"/>
    <n v="54"/>
  </r>
  <r>
    <n v="706"/>
    <x v="2"/>
    <x v="112"/>
    <s v="eth1/5"/>
    <x v="0"/>
    <x v="0"/>
    <x v="0"/>
    <s v="CEM:ITHCEMA1DAT03:LOM  P1"/>
    <x v="0"/>
    <b v="0"/>
    <s v="No está en VPC"/>
    <n v="706"/>
    <s v="INTPG_ACC_706_1.5"/>
    <s v="ISEL-1.5"/>
    <n v="1"/>
    <s v="NO TIENE L3OUT"/>
    <n v="16"/>
    <n v="54"/>
  </r>
  <r>
    <n v="762"/>
    <x v="2"/>
    <x v="113"/>
    <s v="eth1/5"/>
    <x v="0"/>
    <x v="0"/>
    <x v="0"/>
    <s v="PAAS:ithhwoscopap005:FlexIO.1"/>
    <x v="0"/>
    <b v="0"/>
    <s v="No está en VPC"/>
    <n v="762"/>
    <s v="INTPG_VPC_762_1.5_763_1.5"/>
    <s v="ISEL-1.5"/>
    <n v="15"/>
    <s v="NO TIENE L3OUT"/>
    <n v="0"/>
    <n v="54"/>
  </r>
  <r>
    <n v="814"/>
    <x v="2"/>
    <x v="114"/>
    <s v="eth1/5"/>
    <x v="0"/>
    <x v="0"/>
    <x v="0"/>
    <s v="A_ITHHPGRLKEN06_Principal"/>
    <x v="2"/>
    <b v="0"/>
    <s v="No está en VPC"/>
    <n v="814"/>
    <s v="INTPG_VPC_814_1.5_815_1.5"/>
    <s v="ISEL-1.5"/>
    <n v="98"/>
    <s v="NO TIENE L3OUT"/>
    <n v="0"/>
    <n v="42"/>
  </r>
  <r>
    <n v="878"/>
    <x v="2"/>
    <x v="115"/>
    <s v="eth1/5"/>
    <x v="0"/>
    <x v="0"/>
    <x v="0"/>
    <s v="HACIA_CSI-B-OSCP-F4-09_PRIMARIO"/>
    <x v="4"/>
    <b v="0"/>
    <s v="No está en VPC"/>
    <n v="878"/>
    <s v="INTPG_VPC_878_1.5_879_1.5"/>
    <s v="ISEL-1.5"/>
    <n v="2"/>
    <s v="NO TIENE L3OUT"/>
    <n v="0"/>
    <n v="54"/>
  </r>
  <r>
    <n v="826"/>
    <x v="2"/>
    <x v="116"/>
    <s v="eth1/5"/>
    <x v="0"/>
    <x v="0"/>
    <x v="0"/>
    <s v="LINK_TO_ITHFHWCBSDSUSBD05 /10GE.1 /Principal"/>
    <x v="0"/>
    <b v="0"/>
    <s v="No está en VPC"/>
    <n v="826"/>
    <s v="INTPG_VPC_826_1.5_830_1.5"/>
    <s v="ISEL-1.5"/>
    <n v="1"/>
    <s v="NO TIENE L3OUT"/>
    <n v="12"/>
    <n v="54"/>
  </r>
  <r>
    <n v="726"/>
    <x v="2"/>
    <x v="117"/>
    <s v="eth1/5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5"/>
    <x v="0"/>
    <x v="1"/>
    <x v="1"/>
    <s v="CEM:ITHCEMC2DAT03:LOM P3"/>
    <x v="5"/>
    <b v="0"/>
    <s v="No está en VPC"/>
    <n v="740"/>
    <s v="INTPG_ACC_740_1.5"/>
    <s v="ISEL-1.5"/>
    <n v="1"/>
    <s v="NO TIENE L3OUT"/>
    <n v="72"/>
    <n v="54"/>
  </r>
  <r>
    <n v="705"/>
    <x v="2"/>
    <x v="119"/>
    <s v="eth1/5"/>
    <x v="0"/>
    <x v="0"/>
    <x v="0"/>
    <s v="CEM:ITHOIDB1SVR03:LOM  P2"/>
    <x v="0"/>
    <b v="0"/>
    <s v="No está en VPC"/>
    <n v="705"/>
    <s v="INTPG_VPC_705_1.5_706_1.6"/>
    <s v="ISEL-1.5"/>
    <n v="2"/>
    <s v="NO TIENE L3OUT"/>
    <n v="16"/>
    <n v="54"/>
  </r>
  <r>
    <n v="723"/>
    <x v="2"/>
    <x v="120"/>
    <s v="eth1/5"/>
    <x v="0"/>
    <x v="0"/>
    <x v="0"/>
    <m/>
    <x v="0"/>
    <b v="0"/>
    <s v="No está en VPC"/>
    <n v="723"/>
    <s v="INTPG-VPC_HDD118_723_1.5_722_1.6"/>
    <s v="ISEL-1.5"/>
    <n v="1"/>
    <s v="NO TIENE L3OUT"/>
    <n v="0"/>
    <n v="54"/>
  </r>
  <r>
    <n v="721"/>
    <x v="2"/>
    <x v="121"/>
    <s v="eth1/5"/>
    <x v="0"/>
    <x v="0"/>
    <x v="0"/>
    <s v="TO-ITHFHWVRALCN08"/>
    <x v="0"/>
    <b v="0"/>
    <s v="No está en VPC"/>
    <n v="721"/>
    <s v="INTPG_VPC_714_1.6_721_1.5"/>
    <s v="ISEL-1.5"/>
    <n v="108"/>
    <s v="NO TIENE L3OUT"/>
    <n v="20"/>
    <n v="54"/>
  </r>
  <r>
    <n v="788"/>
    <x v="2"/>
    <x v="122"/>
    <s v="eth1/5"/>
    <x v="0"/>
    <x v="0"/>
    <x v="0"/>
    <s v="TO-ITHFHPMEDIRAP03"/>
    <x v="0"/>
    <b v="0"/>
    <s v="No está en VPC"/>
    <n v="788"/>
    <s v="INTPG_VPC_788_1.5_789_1.5"/>
    <s v="ISEL-1.5"/>
    <n v="1"/>
    <s v="NO TIENE L3OUT"/>
    <n v="4"/>
    <n v="54"/>
  </r>
  <r>
    <n v="732"/>
    <x v="2"/>
    <x v="123"/>
    <s v="eth1/5"/>
    <x v="0"/>
    <x v="0"/>
    <x v="0"/>
    <s v="eth-trunk 22 fase 2 bes"/>
    <x v="0"/>
    <b v="0"/>
    <s v="No está en VPC"/>
    <n v="732"/>
    <s v="INTPG_VPC_732_1.5_8_733_1.5_8"/>
    <s v="ISEL-1.5"/>
    <n v="9"/>
    <s v="NO TIENE L3OUT"/>
    <n v="0"/>
    <n v="54"/>
  </r>
  <r>
    <n v="720"/>
    <x v="2"/>
    <x v="124"/>
    <s v="eth1/5"/>
    <x v="0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5"/>
    <x v="0"/>
    <x v="1"/>
    <x v="5"/>
    <s v="CEM:ITHCEME2DAT03:LOM P1"/>
    <x v="0"/>
    <b v="0"/>
    <s v="No está en VPC"/>
    <n v="709"/>
    <s v="INTPG_VPC_708_1.6_709_1.5"/>
    <s v="ISEL-1.5"/>
    <n v="1"/>
    <s v="NO TIENE L3OUT"/>
    <n v="0"/>
    <n v="54"/>
  </r>
  <r>
    <n v="454"/>
    <x v="1"/>
    <x v="126"/>
    <s v="eth1/5"/>
    <x v="0"/>
    <x v="0"/>
    <x v="0"/>
    <s v="HACIA_CSI-B-OSCP-F4-05_PRIMARIO"/>
    <x v="4"/>
    <b v="0"/>
    <s v="No está en VPC"/>
    <n v="454"/>
    <s v="INTPG_VPC_454_1.5_456_1.5"/>
    <s v="ISEL-1.5"/>
    <n v="2"/>
    <s v="NO TIENE L3OUT"/>
    <n v="4"/>
    <n v="54"/>
  </r>
  <r>
    <n v="734"/>
    <x v="2"/>
    <x v="127"/>
    <s v="eth1/5"/>
    <x v="0"/>
    <x v="1"/>
    <x v="1"/>
    <s v="CEM_HADOOP"/>
    <x v="5"/>
    <b v="0"/>
    <s v="No está en VPC"/>
    <n v="734"/>
    <s v="INTPG_ACC_734_1.5"/>
    <s v="ISEL-1.5"/>
    <n v="1"/>
    <s v="NO TIENE L3OUT"/>
    <n v="32"/>
    <n v="54"/>
  </r>
  <r>
    <n v="815"/>
    <x v="2"/>
    <x v="128"/>
    <s v="eth1/5"/>
    <x v="0"/>
    <x v="0"/>
    <x v="0"/>
    <s v="A_ITHHPGRLKEN06_Redundante"/>
    <x v="2"/>
    <b v="0"/>
    <s v="No está en VPC"/>
    <n v="815"/>
    <s v="INTPG_VPC_814_1.5_815_1.5"/>
    <s v="ISEL-1.5"/>
    <n v="98"/>
    <s v="NO TIENE L3OUT"/>
    <n v="0"/>
    <n v="42"/>
  </r>
  <r>
    <n v="743"/>
    <x v="2"/>
    <x v="129"/>
    <s v="eth1/5"/>
    <x v="0"/>
    <x v="0"/>
    <x v="0"/>
    <s v="trunk21 Bes-Production"/>
    <x v="0"/>
    <b v="0"/>
    <s v="No está en VPC"/>
    <n v="743"/>
    <s v="INTPG_VPC_743_1.5_8_744_1.5_8"/>
    <s v="ISEL-1.5"/>
    <n v="13"/>
    <s v="NO TIENE L3OUT"/>
    <n v="4"/>
    <n v="54"/>
  </r>
  <r>
    <n v="718"/>
    <x v="2"/>
    <x v="130"/>
    <s v="eth1/5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5"/>
    <x v="0"/>
    <x v="0"/>
    <x v="0"/>
    <s v="trunk21 Bes-Production"/>
    <x v="0"/>
    <b v="0"/>
    <s v="No está en VPC"/>
    <n v="744"/>
    <s v="INTPG_VPC_743_1.5_8_744_1.5_8"/>
    <s v="ISEL-1.5"/>
    <n v="13"/>
    <s v="NO TIENE L3OUT"/>
    <n v="4"/>
    <n v="54"/>
  </r>
  <r>
    <n v="741"/>
    <x v="2"/>
    <x v="132"/>
    <s v="eth1/5"/>
    <x v="0"/>
    <x v="1"/>
    <x v="1"/>
    <s v="CEM:ITHCEMB2DAT03:LOM P3"/>
    <x v="5"/>
    <b v="0"/>
    <s v="No está en VPC"/>
    <n v="741"/>
    <s v="INTPG_ACC_741_1.5"/>
    <s v="ISEL-1.5"/>
    <n v="1"/>
    <s v="NO TIENE L3OUT"/>
    <n v="62"/>
    <n v="54"/>
  </r>
  <r>
    <n v="787"/>
    <x v="2"/>
    <x v="133"/>
    <s v="eth1/5"/>
    <x v="0"/>
    <x v="0"/>
    <x v="0"/>
    <s v="ENIQ F2:itheniqr16bl01nas1r4a:Slot 2/2"/>
    <x v="0"/>
    <b v="0"/>
    <s v="No está en VPC"/>
    <n v="787"/>
    <s v="INTPG_PC_787_1.3-6"/>
    <s v="ISEL-1.5"/>
    <n v="1"/>
    <s v="NO TIENE L3OUT"/>
    <n v="26"/>
    <n v="54"/>
  </r>
  <r>
    <n v="750"/>
    <x v="2"/>
    <x v="134"/>
    <s v="eth1/5"/>
    <x v="0"/>
    <x v="0"/>
    <x v="0"/>
    <s v="trunk17 Bes-Production"/>
    <x v="0"/>
    <b v="0"/>
    <s v="No está en VPC"/>
    <n v="750"/>
    <s v="INTPG_VPC_750_1.5_8_751_1.5_8"/>
    <s v="ISEL-1.5"/>
    <n v="13"/>
    <s v="NO TIENE L3OUT"/>
    <n v="2"/>
    <n v="54"/>
  </r>
  <r>
    <n v="792"/>
    <x v="2"/>
    <x v="135"/>
    <s v="eth1/5"/>
    <x v="0"/>
    <x v="0"/>
    <x v="0"/>
    <s v="CRM, CBS:TB-R03-F03:X3-10GE 2"/>
    <x v="0"/>
    <b v="0"/>
    <s v="No está en VPC"/>
    <n v="792"/>
    <s v="INTPG_VPC_757_1.4-5_792_1.4-5"/>
    <s v="ISEL-1.5"/>
    <n v="3"/>
    <s v="NO TIENE L3OUT"/>
    <n v="0"/>
    <n v="54"/>
  </r>
  <r>
    <n v="736"/>
    <x v="2"/>
    <x v="136"/>
    <s v="eth1/5"/>
    <x v="0"/>
    <x v="0"/>
    <x v="0"/>
    <s v="CEM:ITHCEMG2DAT03:LOM  P2"/>
    <x v="0"/>
    <b v="0"/>
    <s v="No está en VPC"/>
    <n v="736"/>
    <s v="INTPG_ACC_736_1.5"/>
    <s v="ISEL-1.5"/>
    <n v="1"/>
    <s v="NO TIENE L3OUT"/>
    <n v="48"/>
    <n v="54"/>
  </r>
  <r>
    <n v="799"/>
    <x v="2"/>
    <x v="137"/>
    <s v="eth1/5"/>
    <x v="0"/>
    <x v="0"/>
    <x v="0"/>
    <s v="TO-IMC_PS19-MSP"/>
    <x v="0"/>
    <b v="0"/>
    <s v="No está en VPC"/>
    <n v="799"/>
    <s v="INTPG_ACC_799_1.5"/>
    <s v="ISEL-1.5"/>
    <n v="1"/>
    <s v="NO TIENE L3OUT"/>
    <n v="52"/>
    <n v="54"/>
  </r>
  <r>
    <n v="768"/>
    <x v="2"/>
    <x v="138"/>
    <s v="eth1/5"/>
    <x v="0"/>
    <x v="0"/>
    <x v="0"/>
    <s v="OSS_ENM"/>
    <x v="0"/>
    <b v="0"/>
    <s v="No está en VPC"/>
    <n v="768"/>
    <s v="INTPG_ACC_768_1.5"/>
    <s v="ISEL-1.5"/>
    <n v="1"/>
    <s v="NO TIENE L3OUT"/>
    <n v="62"/>
    <n v="54"/>
  </r>
  <r>
    <n v="714"/>
    <x v="2"/>
    <x v="139"/>
    <s v="eth1/5"/>
    <x v="0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5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5"/>
    <x v="0"/>
    <x v="0"/>
    <x v="0"/>
    <s v="TO-ITHFHPMEDIRAP03"/>
    <x v="0"/>
    <b v="0"/>
    <s v="No está en VPC"/>
    <n v="789"/>
    <s v="INTPG_VPC_788_1.5_789_1.5"/>
    <s v="ISEL-1.5"/>
    <n v="1"/>
    <s v="NO TIENE L3OUT"/>
    <n v="0"/>
    <n v="54"/>
  </r>
  <r>
    <n v="764"/>
    <x v="2"/>
    <x v="142"/>
    <s v="eth1/5"/>
    <x v="0"/>
    <x v="0"/>
    <x v="0"/>
    <s v="OSS_ENM"/>
    <x v="0"/>
    <b v="0"/>
    <s v="No está en VPC"/>
    <n v="764"/>
    <s v="INTPG_ACC_764_1.5"/>
    <s v="ISEL-1.5"/>
    <n v="1"/>
    <s v="NO TIENE L3OUT"/>
    <n v="62"/>
    <n v="54"/>
  </r>
  <r>
    <n v="783"/>
    <x v="2"/>
    <x v="143"/>
    <s v="eth1/5"/>
    <x v="0"/>
    <x v="0"/>
    <x v="0"/>
    <s v="LACP_NAS1_ENIQ9A"/>
    <x v="0"/>
    <b v="0"/>
    <s v="No está en VPC"/>
    <n v="783"/>
    <s v="INTPG_PC_783_1.3-6"/>
    <s v="ISEL-1.5"/>
    <n v="1"/>
    <s v="NO TIENE L3OUT"/>
    <n v="26"/>
    <n v="54"/>
  </r>
  <r>
    <n v="774"/>
    <x v="2"/>
    <x v="144"/>
    <s v="eth1/5"/>
    <x v="0"/>
    <x v="0"/>
    <x v="0"/>
    <s v="CLOUD PASS PAYG F3:ITHHWOSCOPAP022:FLEX I/O P1"/>
    <x v="0"/>
    <b v="0"/>
    <s v="No está en VPC"/>
    <n v="774"/>
    <s v="INTPG_VPC_774_1.5_775_1.5"/>
    <s v="ISEL-1.5"/>
    <n v="23"/>
    <s v="NO TIENE L3OUT"/>
    <n v="0"/>
    <n v="54"/>
  </r>
  <r>
    <n v="773"/>
    <x v="2"/>
    <x v="145"/>
    <s v="eth1/5"/>
    <x v="0"/>
    <x v="0"/>
    <x v="0"/>
    <s v="Portchannel_7_R2"/>
    <x v="0"/>
    <b v="0"/>
    <s v="No está en VPC"/>
    <n v="773"/>
    <s v="INTPG_PC_773_1.3-6"/>
    <s v="ISEL-1.5"/>
    <n v="1"/>
    <s v="NO TIENE L3OUT"/>
    <n v="78"/>
    <n v="54"/>
  </r>
  <r>
    <n v="794"/>
    <x v="2"/>
    <x v="146"/>
    <s v="eth1/5"/>
    <x v="0"/>
    <x v="0"/>
    <x v="0"/>
    <s v="DESC"/>
    <x v="0"/>
    <b v="0"/>
    <s v="No está en VPC"/>
    <n v="794"/>
    <s v="INTPG_VPC_793_1.5_7_794_1.5_7"/>
    <s v="ISEL-1.5"/>
    <n v="1"/>
    <s v="NO TIENE L3OUT"/>
    <n v="12"/>
    <n v="54"/>
  </r>
  <r>
    <n v="803"/>
    <x v="2"/>
    <x v="147"/>
    <s v="eth1/5"/>
    <x v="0"/>
    <x v="0"/>
    <x v="0"/>
    <s v="TO-HDPS_31-MSP"/>
    <x v="0"/>
    <b v="0"/>
    <s v="No está en VPC"/>
    <n v="803"/>
    <s v="INTPG_ACC_803_1.5"/>
    <s v="ISEL-1.5"/>
    <n v="1"/>
    <s v="NO TIENE L3OUT"/>
    <n v="48"/>
    <n v="54"/>
  </r>
  <r>
    <n v="786"/>
    <x v="2"/>
    <x v="148"/>
    <s v="eth1/5"/>
    <x v="0"/>
    <x v="0"/>
    <x v="0"/>
    <s v="ENIQ F2:itheniqr14bl01nas1r4b:Slot 2/2"/>
    <x v="0"/>
    <b v="0"/>
    <s v="No está en VPC"/>
    <n v="786"/>
    <s v="INTPG_PC_786_1.3-6"/>
    <s v="ISEL-1.5"/>
    <n v="1"/>
    <s v="NO TIENE L3OUT"/>
    <n v="26"/>
    <n v="54"/>
  </r>
  <r>
    <n v="757"/>
    <x v="2"/>
    <x v="149"/>
    <s v="eth1/5"/>
    <x v="0"/>
    <x v="0"/>
    <x v="0"/>
    <s v="CRM, CBS:ITHHWTBRK12CH1:X3-10GE 1"/>
    <x v="0"/>
    <b v="0"/>
    <s v="No está en VPC"/>
    <n v="757"/>
    <s v="INTPG_VPC_757_1.4-5_792_1.4-5"/>
    <s v="ISEL-1.5"/>
    <n v="3"/>
    <s v="NO TIENE L3OUT"/>
    <n v="0"/>
    <n v="54"/>
  </r>
  <r>
    <n v="781"/>
    <x v="2"/>
    <x v="150"/>
    <s v="eth1/5"/>
    <x v="0"/>
    <x v="0"/>
    <x v="0"/>
    <s v="LACP_NAS1_ENIQ9C"/>
    <x v="0"/>
    <b v="0"/>
    <s v="No está en VPC"/>
    <n v="781"/>
    <s v="INTPG_PC_781_1.3-6"/>
    <s v="ISEL-1.5"/>
    <n v="1"/>
    <s v="NO TIENE L3OUT"/>
    <n v="26"/>
    <n v="54"/>
  </r>
  <r>
    <n v="793"/>
    <x v="2"/>
    <x v="151"/>
    <s v="eth1/5"/>
    <x v="0"/>
    <x v="0"/>
    <x v="0"/>
    <s v="DESC"/>
    <x v="0"/>
    <b v="0"/>
    <s v="No está en VPC"/>
    <n v="793"/>
    <s v="INTPG_VPC_793_1.5_7_794_1.5_7"/>
    <s v="ISEL-1.5"/>
    <n v="1"/>
    <s v="NO TIENE L3OUT"/>
    <n v="12"/>
    <n v="54"/>
  </r>
  <r>
    <n v="747"/>
    <x v="2"/>
    <x v="152"/>
    <s v="eth1/5"/>
    <x v="0"/>
    <x v="0"/>
    <x v="0"/>
    <s v="PAAS:ithhwoscopap005:LOM PORT 1"/>
    <x v="0"/>
    <b v="0"/>
    <s v="No está en VPC"/>
    <n v="747"/>
    <s v="INTPG_VPC_747_1.5_752_1.5"/>
    <s v="ISEL-1.5"/>
    <n v="25"/>
    <s v="NO TIENE L3OUT"/>
    <n v="0"/>
    <n v="54"/>
  </r>
  <r>
    <n v="784"/>
    <x v="2"/>
    <x v="153"/>
    <s v="eth1/5"/>
    <x v="0"/>
    <x v="0"/>
    <x v="0"/>
    <s v="ENIQ F2:itheniqr12bl01nas1r6b:Slot 2/2"/>
    <x v="0"/>
    <b v="0"/>
    <s v="No está en VPC"/>
    <n v="784"/>
    <s v="INTPG_PC_784_1.3-6"/>
    <s v="ISEL-1.5"/>
    <n v="1"/>
    <s v="NO TIENE L3OUT"/>
    <n v="26"/>
    <n v="54"/>
  </r>
  <r>
    <n v="806"/>
    <x v="2"/>
    <x v="154"/>
    <s v="eth1/5"/>
    <x v="0"/>
    <x v="0"/>
    <x v="0"/>
    <s v="TO-HDPS_55-MSP"/>
    <x v="0"/>
    <b v="0"/>
    <s v="No está en VPC"/>
    <n v="806"/>
    <s v="INTPG_ACC_806_1.5"/>
    <s v="ISEL-1.5"/>
    <n v="1"/>
    <s v="NO TIENE L3OUT"/>
    <n v="44"/>
    <n v="54"/>
  </r>
  <r>
    <n v="777"/>
    <x v="2"/>
    <x v="155"/>
    <s v="eth1/5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5"/>
    <x v="0"/>
    <x v="0"/>
    <x v="0"/>
    <s v="Portchannel_3_R4A"/>
    <x v="0"/>
    <b v="0"/>
    <s v="No está en VPC"/>
    <n v="770"/>
    <s v="INTPG_PC_770_1.5-6"/>
    <s v="ISEL-1.5"/>
    <n v="8"/>
    <s v="NO TIENE L3OUT"/>
    <n v="60"/>
    <n v="54"/>
  </r>
  <r>
    <n v="813"/>
    <x v="2"/>
    <x v="157"/>
    <s v="eth1/5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5"/>
    <x v="0"/>
    <x v="0"/>
    <x v="0"/>
    <s v="CEM:ITHCEMD2DAT03:LOM P3"/>
    <x v="5"/>
    <b v="0"/>
    <s v="No está en VPC"/>
    <n v="739"/>
    <s v="INTPG_ACC_739_1.5"/>
    <s v="ISEL-1.5"/>
    <n v="1"/>
    <s v="NO TIENE L3OUT"/>
    <n v="72"/>
    <n v="54"/>
  </r>
  <r>
    <n v="775"/>
    <x v="2"/>
    <x v="159"/>
    <s v="eth1/5"/>
    <x v="0"/>
    <x v="0"/>
    <x v="0"/>
    <s v="CLOUD PASS PAYG F3:ITHHWOSCOPAP022:LOM P3"/>
    <x v="0"/>
    <b v="0"/>
    <s v="No está en VPC"/>
    <n v="775"/>
    <s v="INTPG_VPC_774_1.5_775_1.5"/>
    <s v="ISEL-1.5"/>
    <n v="23"/>
    <s v="NO TIENE L3OUT"/>
    <n v="0"/>
    <n v="54"/>
  </r>
  <r>
    <n v="791"/>
    <x v="2"/>
    <x v="160"/>
    <s v="eth1/5"/>
    <x v="0"/>
    <x v="0"/>
    <x v="0"/>
    <s v="U2020_TO_ITHHWUMT12SW02"/>
    <x v="0"/>
    <b v="0"/>
    <s v="No está en VPC"/>
    <n v="791"/>
    <s v="INTPG_ACC_791_1.5"/>
    <s v="ISEL-1.5"/>
    <n v="2"/>
    <s v="NO TIENE L3OUT"/>
    <n v="20"/>
    <n v="54"/>
  </r>
  <r>
    <n v="808"/>
    <x v="2"/>
    <x v="161"/>
    <s v="eth1/5"/>
    <x v="0"/>
    <x v="0"/>
    <x v="0"/>
    <s v="HUECOS DC_S3"/>
    <x v="0"/>
    <b v="0"/>
    <s v="No está en VPC"/>
    <n v="808"/>
    <s v="INTPG_VPC_808_1.1-6_809_1.1-6"/>
    <s v="ISEL-1.5"/>
    <n v="1"/>
    <s v="NO TIENE L3OUT"/>
    <n v="0"/>
    <n v="54"/>
  </r>
  <r>
    <n v="830"/>
    <x v="2"/>
    <x v="162"/>
    <s v="eth1/5"/>
    <x v="0"/>
    <x v="0"/>
    <x v="0"/>
    <s v="LINK_TO_ITHFHWCBSDSUSBD05 /Slot5.1 /Redundante"/>
    <x v="0"/>
    <b v="0"/>
    <s v="No está en VPC"/>
    <n v="830"/>
    <s v="INTPG_VPC_826_1.5_830_1.5"/>
    <s v="ISEL-1.5"/>
    <n v="1"/>
    <s v="NO TIENE L3OUT"/>
    <n v="12"/>
    <n v="54"/>
  </r>
  <r>
    <n v="821"/>
    <x v="2"/>
    <x v="163"/>
    <s v="eth1/5"/>
    <x v="0"/>
    <x v="0"/>
    <x v="0"/>
    <s v="LINK_TO_ITHFHWCBSPSUSBD09 /Slot5.1 /Redundante"/>
    <x v="0"/>
    <b v="0"/>
    <s v="No está en VPC"/>
    <n v="821"/>
    <s v="INTPG_VPC_816_1.5_821_1.5"/>
    <s v="ISEL-1.5"/>
    <n v="1"/>
    <s v="NO TIENE L3OUT"/>
    <n v="0"/>
    <n v="54"/>
  </r>
  <r>
    <n v="738"/>
    <x v="2"/>
    <x v="164"/>
    <s v="eth1/5"/>
    <x v="0"/>
    <x v="0"/>
    <x v="0"/>
    <s v="CEM:ITHCEME2DAT03:LOM P3"/>
    <x v="5"/>
    <b v="0"/>
    <s v="No está en VPC"/>
    <n v="738"/>
    <s v="INTPG_ACC_738_1.5"/>
    <s v="ISEL-1.5"/>
    <n v="1"/>
    <s v="NO TIENE L3OUT"/>
    <n v="72"/>
    <n v="54"/>
  </r>
  <r>
    <n v="820"/>
    <x v="2"/>
    <x v="165"/>
    <s v="eth1/5"/>
    <x v="0"/>
    <x v="0"/>
    <x v="0"/>
    <s v="LINK_TO_ITHHWCRMPEN02 /E1-10GE 2 /Redundante"/>
    <x v="0"/>
    <b v="0"/>
    <s v="No está en VPC"/>
    <n v="820"/>
    <s v="INTPG_VPC_820_1.5_12_825_1.5_12"/>
    <s v="ISEL-1.5"/>
    <n v="9"/>
    <s v="NO TIENE L3OUT"/>
    <n v="72"/>
    <n v="54"/>
  </r>
  <r>
    <n v="804"/>
    <x v="2"/>
    <x v="166"/>
    <s v="eth1/5"/>
    <x v="0"/>
    <x v="0"/>
    <x v="0"/>
    <s v="TO-HDPS_31-MSP"/>
    <x v="0"/>
    <b v="0"/>
    <s v="No está en VPC"/>
    <n v="804"/>
    <s v="INTPG_ACC_804_1.5"/>
    <s v="ISEL-1.5"/>
    <n v="1"/>
    <s v="NO TIENE L3OUT"/>
    <n v="48"/>
    <n v="54"/>
  </r>
  <r>
    <n v="779"/>
    <x v="2"/>
    <x v="167"/>
    <s v="eth1/5"/>
    <x v="0"/>
    <x v="0"/>
    <x v="0"/>
    <s v="ENIQ F1:itheniqr08nas1r3:Slot 2/2"/>
    <x v="0"/>
    <b v="0"/>
    <s v="No está en VPC"/>
    <n v="779"/>
    <s v="INTPG_PC_779_1.3-6"/>
    <s v="ISEL-1.5"/>
    <n v="1"/>
    <s v="NO TIENE L3OUT"/>
    <n v="30"/>
    <n v="54"/>
  </r>
  <r>
    <n v="767"/>
    <x v="2"/>
    <x v="168"/>
    <s v="eth1/5"/>
    <x v="0"/>
    <x v="0"/>
    <x v="0"/>
    <s v="Portchannel_6_R6B"/>
    <x v="0"/>
    <b v="0"/>
    <s v="No está en VPC"/>
    <n v="767"/>
    <s v="INTPG_PC_767_1.3-6"/>
    <s v="ISEL-1.5"/>
    <n v="1"/>
    <s v="NO TIENE L3OUT"/>
    <n v="60"/>
    <n v="54"/>
  </r>
  <r>
    <n v="827"/>
    <x v="2"/>
    <x v="169"/>
    <s v="eth1/5"/>
    <x v="0"/>
    <x v="0"/>
    <x v="0"/>
    <s v="LINK_TO_ITHHWD6KV60013DKC01 /CtrlA_IOM1.P0 /Principal"/>
    <x v="0"/>
    <b v="0"/>
    <s v="No está en VPC"/>
    <n v="827"/>
    <s v="INTPG_ACC_827_1.5"/>
    <s v="ISEL-1.5"/>
    <n v="1"/>
    <s v="NO TIENE L3OUT"/>
    <n v="14"/>
    <n v="54"/>
  </r>
  <r>
    <n v="809"/>
    <x v="2"/>
    <x v="170"/>
    <s v="eth1/5"/>
    <x v="0"/>
    <x v="0"/>
    <x v="0"/>
    <s v="HUECOS DC_S3"/>
    <x v="0"/>
    <b v="0"/>
    <s v="No está en VPC"/>
    <n v="809"/>
    <s v="INTPG_VPC_808_1.1-6_809_1.1-6"/>
    <s v="ISEL-1.5"/>
    <n v="1"/>
    <s v="NO TIENE L3OUT"/>
    <n v="0"/>
    <n v="54"/>
  </r>
  <r>
    <n v="771"/>
    <x v="2"/>
    <x v="171"/>
    <s v="eth1/5"/>
    <x v="0"/>
    <x v="0"/>
    <x v="0"/>
    <s v="OSS_ENM"/>
    <x v="0"/>
    <b v="0"/>
    <s v="No está en VPC"/>
    <n v="771"/>
    <s v="INTPG_ACC_771_1.5"/>
    <s v="ISEL-1.5"/>
    <n v="1"/>
    <s v="NO TIENE L3OUT"/>
    <n v="62"/>
    <n v="54"/>
  </r>
  <r>
    <n v="761"/>
    <x v="2"/>
    <x v="172"/>
    <s v="eth1/5"/>
    <x v="0"/>
    <x v="1"/>
    <x v="1"/>
    <m/>
    <x v="0"/>
    <b v="0"/>
    <s v="No está en VPC"/>
    <n v="761"/>
    <s v="INTPG_VPC_760_1.5-8_761_1.5-8"/>
    <s v="ISEL-1.5"/>
    <n v="0"/>
    <s v="L3OUT-EXACLOUD"/>
    <n v="0"/>
    <n v="54"/>
  </r>
  <r>
    <n v="776"/>
    <x v="2"/>
    <x v="173"/>
    <s v="eth1/5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5"/>
    <x v="0"/>
    <x v="0"/>
    <x v="0"/>
    <s v="TO-HDPS_55-MSP"/>
    <x v="0"/>
    <b v="0"/>
    <s v="No está en VPC"/>
    <n v="805"/>
    <s v="INTPG_ACC_805_1.5"/>
    <s v="ISEL-1.5"/>
    <n v="1"/>
    <s v="NO TIENE L3OUT"/>
    <n v="44"/>
    <n v="54"/>
  </r>
  <r>
    <n v="772"/>
    <x v="2"/>
    <x v="175"/>
    <s v="eth1/5"/>
    <x v="0"/>
    <x v="0"/>
    <x v="0"/>
    <s v="OSS_ENM"/>
    <x v="0"/>
    <b v="0"/>
    <s v="No está en VPC"/>
    <n v="772"/>
    <s v="INTPG_ACC_772_1.5"/>
    <s v="ISEL-1.5"/>
    <n v="1"/>
    <s v="NO TIENE L3OUT"/>
    <n v="82"/>
    <n v="54"/>
  </r>
  <r>
    <n v="785"/>
    <x v="2"/>
    <x v="176"/>
    <s v="eth1/5"/>
    <x v="0"/>
    <x v="0"/>
    <x v="0"/>
    <s v="ENIQ F2:itheniqr13bl01nas1r6a:Slot 2/2"/>
    <x v="0"/>
    <b v="0"/>
    <s v="No está en VPC"/>
    <n v="785"/>
    <s v="INTPG_PC_785_1.3-6"/>
    <s v="ISEL-1.5"/>
    <n v="1"/>
    <s v="NO TIENE L3OUT"/>
    <n v="32"/>
    <n v="54"/>
  </r>
  <r>
    <n v="851"/>
    <x v="2"/>
    <x v="177"/>
    <s v="eth1/5"/>
    <x v="0"/>
    <x v="0"/>
    <x v="0"/>
    <s v="LINK_TO_ITHFHWCRMPLCN102 / Slot7.2_8 / Redundante"/>
    <x v="0"/>
    <b v="0"/>
    <s v="No está en VPC"/>
    <n v="851"/>
    <s v="INTPG_ACC_851_1.5"/>
    <s v="ISEL-1.5"/>
    <n v="2"/>
    <s v="NO TIENE L3OUT"/>
    <n v="282"/>
    <n v="54"/>
  </r>
  <r>
    <n v="798"/>
    <x v="2"/>
    <x v="178"/>
    <s v="eth1/5"/>
    <x v="0"/>
    <x v="0"/>
    <x v="0"/>
    <s v="TO-IMC_PS19-MSP"/>
    <x v="0"/>
    <b v="0"/>
    <s v="No está en VPC"/>
    <n v="798"/>
    <s v="INTPG_ACC_798_1.5"/>
    <s v="ISEL-1.5"/>
    <n v="1"/>
    <s v="NO TIENE L3OUT"/>
    <n v="52"/>
    <n v="54"/>
  </r>
  <r>
    <n v="782"/>
    <x v="2"/>
    <x v="179"/>
    <s v="eth1/5"/>
    <x v="0"/>
    <x v="0"/>
    <x v="0"/>
    <s v="LACP_NAS1_ENIQ9B"/>
    <x v="0"/>
    <b v="0"/>
    <s v="No está en VPC"/>
    <n v="782"/>
    <s v="INTPG_PC_782_1.3-6"/>
    <s v="ISEL-1.5"/>
    <n v="1"/>
    <s v="NO TIENE L3OUT"/>
    <n v="32"/>
    <n v="54"/>
  </r>
  <r>
    <n v="852"/>
    <x v="2"/>
    <x v="180"/>
    <s v="eth1/5"/>
    <x v="0"/>
    <x v="0"/>
    <x v="0"/>
    <s v="LINK_TO_ITHFHWCRMPLCN117 / Slot7.3_38 / Redundante"/>
    <x v="0"/>
    <b v="0"/>
    <s v="No está en VPC"/>
    <n v="852"/>
    <s v="INTPG_ACC_852_1.5"/>
    <s v="ISEL-1.5"/>
    <n v="1"/>
    <s v="NO TIENE L3OUT"/>
    <n v="258"/>
    <n v="54"/>
  </r>
  <r>
    <n v="817"/>
    <x v="2"/>
    <x v="181"/>
    <s v="eth1/5"/>
    <x v="0"/>
    <x v="0"/>
    <x v="0"/>
    <s v="LINK_TO_ITHFHWCBSPSWR23 /10GE.1 /Principal"/>
    <x v="0"/>
    <b v="0"/>
    <s v="No está en VPC"/>
    <n v="817"/>
    <s v="INTPG_VPC_817_1.5_822_1.5"/>
    <s v="ISEL-1.5"/>
    <n v="1"/>
    <s v="NO TIENE L3OUT"/>
    <n v="0"/>
    <n v="54"/>
  </r>
  <r>
    <n v="832"/>
    <x v="2"/>
    <x v="182"/>
    <s v="eth1/5"/>
    <x v="0"/>
    <x v="0"/>
    <x v="0"/>
    <s v="LINK_TO_ITHFHWCBSDSWR33 /Slot5.1 /Redundante"/>
    <x v="0"/>
    <b v="0"/>
    <s v="No está en VPC"/>
    <n v="832"/>
    <s v="INTPG_VPC_828_1.5_832_1.5"/>
    <s v="ISEL-1.5"/>
    <n v="1"/>
    <s v="NO TIENE L3OUT"/>
    <n v="192"/>
    <n v="54"/>
  </r>
  <r>
    <n v="816"/>
    <x v="2"/>
    <x v="183"/>
    <s v="eth1/5"/>
    <x v="0"/>
    <x v="0"/>
    <x v="0"/>
    <s v="LINK_TO_ITHFHWCBSPSUSBD09 /10GE.1 /Principal"/>
    <x v="0"/>
    <b v="0"/>
    <s v="No está en VPC"/>
    <n v="816"/>
    <s v="INTPG_VPC_816_1.5_821_1.5"/>
    <s v="ISEL-1.5"/>
    <n v="1"/>
    <s v="NO TIENE L3OUT"/>
    <n v="0"/>
    <n v="54"/>
  </r>
  <r>
    <n v="825"/>
    <x v="2"/>
    <x v="184"/>
    <s v="eth1/5"/>
    <x v="0"/>
    <x v="0"/>
    <x v="0"/>
    <s v="LINK_TO_ITHHWCRMPEN02 /E1-10GE 1 /Principal"/>
    <x v="0"/>
    <b v="0"/>
    <s v="No está en VPC"/>
    <n v="825"/>
    <s v="INTPG_VPC_820_1.5_12_825_1.5_12"/>
    <s v="ISEL-1.5"/>
    <n v="9"/>
    <s v="NO TIENE L3OUT"/>
    <n v="72"/>
    <n v="54"/>
  </r>
  <r>
    <n v="800"/>
    <x v="2"/>
    <x v="185"/>
    <s v="eth1/5"/>
    <x v="0"/>
    <x v="0"/>
    <x v="0"/>
    <s v="TO-CEPS_01-MSP"/>
    <x v="0"/>
    <b v="0"/>
    <s v="No está en VPC"/>
    <n v="800"/>
    <s v="INTPG_ACC_800_1.5"/>
    <s v="ISEL-1.5"/>
    <n v="1"/>
    <s v="NO TIENE L3OUT"/>
    <n v="78"/>
    <n v="54"/>
  </r>
  <r>
    <n v="801"/>
    <x v="2"/>
    <x v="186"/>
    <s v="eth1/5"/>
    <x v="0"/>
    <x v="0"/>
    <x v="0"/>
    <s v="TO-CEPS_01-MSP"/>
    <x v="0"/>
    <b v="0"/>
    <s v="No está en VPC"/>
    <n v="801"/>
    <s v="INTPG_ACC_801_1.5"/>
    <s v="ISEL-1.5"/>
    <n v="1"/>
    <s v="NO TIENE L3OUT"/>
    <n v="78"/>
    <n v="54"/>
  </r>
  <r>
    <n v="823"/>
    <x v="2"/>
    <x v="187"/>
    <s v="eth1/5"/>
    <x v="0"/>
    <x v="0"/>
    <x v="0"/>
    <s v="LINK_TO_ITHFHWCBSPSWR31 /Slot5.1 /Redundante"/>
    <x v="0"/>
    <b v="0"/>
    <s v="No está en VPC"/>
    <n v="823"/>
    <s v="INTPG_VPC_818_1.5_823_1.5"/>
    <s v="ISEL-1.5"/>
    <n v="1"/>
    <s v="NO TIENE L3OUT"/>
    <n v="8"/>
    <n v="54"/>
  </r>
  <r>
    <n v="837"/>
    <x v="2"/>
    <x v="188"/>
    <s v="eth1/5"/>
    <x v="0"/>
    <x v="0"/>
    <x v="0"/>
    <s v="LINK_TO_ITHFHWCBSPSUSBD24 / Slot1.1_4 / Principal"/>
    <x v="0"/>
    <b v="0"/>
    <s v="No está en VPC"/>
    <n v="837"/>
    <s v="INTPG_VPC_837_1.5_842_1.5"/>
    <s v="ISEL-1.5"/>
    <n v="2"/>
    <s v="NO TIENE L3OUT"/>
    <n v="8"/>
    <n v="54"/>
  </r>
  <r>
    <n v="867"/>
    <x v="2"/>
    <x v="189"/>
    <s v="eth1/5"/>
    <x v="0"/>
    <x v="0"/>
    <x v="0"/>
    <s v="To_ITHHWD6KV65100013DKC01_Redundante"/>
    <x v="0"/>
    <b v="0"/>
    <s v="No está en VPC"/>
    <n v="867"/>
    <s v="INTPG_ACC_867_1.5"/>
    <s v="ISEL-1.5"/>
    <n v="1"/>
    <s v="NO TIENE L3OUT"/>
    <n v="44"/>
    <n v="54"/>
  </r>
  <r>
    <n v="829"/>
    <x v="2"/>
    <x v="190"/>
    <s v="eth1/5"/>
    <x v="0"/>
    <x v="0"/>
    <x v="0"/>
    <s v="LINK_TO_ITHFHWCRMDLCN29 /Slot5.1 /Redundante"/>
    <x v="0"/>
    <b v="0"/>
    <s v="No está en VPC"/>
    <n v="829"/>
    <s v="INTPG_ACC_829_1.5"/>
    <s v="ISEL-1.5"/>
    <n v="2"/>
    <s v="NO TIENE L3OUT"/>
    <n v="224"/>
    <n v="54"/>
  </r>
  <r>
    <n v="831"/>
    <x v="2"/>
    <x v="191"/>
    <s v="eth1/5"/>
    <x v="0"/>
    <x v="0"/>
    <x v="0"/>
    <s v="LINK_TO_ITHHWD6KV60013DKC01 /CtrlA_IOM1.P1 /Redundante"/>
    <x v="0"/>
    <b v="0"/>
    <s v="No está en VPC"/>
    <n v="831"/>
    <s v="INTPG_ACC_831_1.5"/>
    <s v="ISEL-1.5"/>
    <n v="1"/>
    <s v="NO TIENE L3OUT"/>
    <n v="14"/>
    <n v="54"/>
  </r>
  <r>
    <n v="802"/>
    <x v="2"/>
    <x v="192"/>
    <s v="eth1/5"/>
    <x v="0"/>
    <x v="0"/>
    <x v="0"/>
    <s v="TO-HDPS_07-MSP"/>
    <x v="0"/>
    <b v="0"/>
    <s v="No está en VPC"/>
    <n v="802"/>
    <s v="INTPG_ACC_802_1.5"/>
    <s v="ISEL-1.5"/>
    <n v="1"/>
    <s v="NO TIENE L3OUT"/>
    <n v="48"/>
    <n v="54"/>
  </r>
  <r>
    <n v="835"/>
    <x v="2"/>
    <x v="193"/>
    <s v="eth1/5"/>
    <x v="0"/>
    <x v="0"/>
    <x v="0"/>
    <s v="LINK_TO_ITHFHWCBSPSUSBD38 / Slot1.2_10 / Principal"/>
    <x v="0"/>
    <b v="0"/>
    <s v="No está en VPC"/>
    <n v="835"/>
    <s v="INTPG_VPC_835_1.5_840_1.5"/>
    <s v="ISEL-1.5"/>
    <n v="1"/>
    <s v="NO TIENE L3OUT"/>
    <n v="8"/>
    <n v="54"/>
  </r>
  <r>
    <n v="822"/>
    <x v="2"/>
    <x v="194"/>
    <s v="eth1/5"/>
    <x v="0"/>
    <x v="0"/>
    <x v="0"/>
    <s v="LINK_TO_ITHFHWCBSPSWR23 /Slot5.1 /Redundante"/>
    <x v="0"/>
    <b v="0"/>
    <s v="No está en VPC"/>
    <n v="822"/>
    <s v="INTPG_VPC_817_1.5_822_1.5"/>
    <s v="ISEL-1.5"/>
    <n v="1"/>
    <s v="NO TIENE L3OUT"/>
    <n v="0"/>
    <n v="54"/>
  </r>
  <r>
    <n v="854"/>
    <x v="2"/>
    <x v="195"/>
    <s v="eth1/5"/>
    <x v="0"/>
    <x v="0"/>
    <x v="0"/>
    <s v="LINK_TO_ITHFHWCRMPSBDA06 / Slot7.2_6 / Redundante"/>
    <x v="0"/>
    <b v="0"/>
    <s v="No está en VPC"/>
    <n v="854"/>
    <s v="INTPG_VPC_847_1.5_854_1.5"/>
    <s v="ISEL-1.5"/>
    <n v="2"/>
    <s v="NO TIENE L3OUT"/>
    <n v="204"/>
    <n v="54"/>
  </r>
  <r>
    <n v="858"/>
    <x v="2"/>
    <x v="196"/>
    <s v="eth1/5"/>
    <x v="0"/>
    <x v="0"/>
    <x v="0"/>
    <s v="To_VPC_2DCBSD_HD38_2"/>
    <x v="0"/>
    <b v="0"/>
    <s v="No está en VPC"/>
    <n v="858"/>
    <s v="INTPG_VPC_858_1.5_863_1.5"/>
    <s v="ISEL-1.5"/>
    <n v="1"/>
    <s v="NO TIENE L3OUT"/>
    <n v="8"/>
    <n v="54"/>
  </r>
  <r>
    <n v="857"/>
    <x v="2"/>
    <x v="197"/>
    <s v="eth1/5"/>
    <x v="0"/>
    <x v="0"/>
    <x v="0"/>
    <s v="LINK_TO_ITHFHWCRMPLCN152 / Slot1.1_38 / Principal"/>
    <x v="0"/>
    <b v="0"/>
    <s v="No está en VPC"/>
    <n v="857"/>
    <s v="INTPG_ACC_857_1.5"/>
    <s v="ISEL-1.5"/>
    <n v="6"/>
    <s v="NO TIENE L3OUT"/>
    <n v="288"/>
    <n v="54"/>
  </r>
  <r>
    <n v="859"/>
    <x v="2"/>
    <x v="198"/>
    <s v="eth1/5"/>
    <x v="0"/>
    <x v="0"/>
    <x v="0"/>
    <s v="To_VPC_2DCBSD_HD32_2"/>
    <x v="0"/>
    <b v="0"/>
    <s v="No está en VPC"/>
    <n v="859"/>
    <s v="INTPG_VPC_859_1.5_864_1.5"/>
    <s v="ISEL-1.5"/>
    <n v="1"/>
    <s v="NO TIENE L3OUT"/>
    <n v="0"/>
    <n v="54"/>
  </r>
  <r>
    <n v="833"/>
    <x v="2"/>
    <x v="199"/>
    <s v="eth1/5"/>
    <x v="0"/>
    <x v="0"/>
    <x v="0"/>
    <s v="LINK_TO_ITHFHWCRMDLCN29 /10GE.1 /Principal"/>
    <x v="0"/>
    <b v="0"/>
    <s v="No está en VPC"/>
    <n v="833"/>
    <s v="INTPG_ACC_833_1.5"/>
    <s v="ISEL-1.5"/>
    <n v="2"/>
    <s v="NO TIENE L3OUT"/>
    <n v="224"/>
    <n v="54"/>
  </r>
  <r>
    <n v="818"/>
    <x v="2"/>
    <x v="200"/>
    <s v="eth1/5"/>
    <x v="0"/>
    <x v="0"/>
    <x v="0"/>
    <s v="LINK_TO_ITHFHWCBSPSWR31 /10GE.1 /Principal"/>
    <x v="0"/>
    <b v="0"/>
    <s v="No está en VPC"/>
    <n v="818"/>
    <s v="INTPG_VPC_818_1.5_823_1.5"/>
    <s v="ISEL-1.5"/>
    <n v="1"/>
    <s v="NO TIENE L3OUT"/>
    <n v="8"/>
    <n v="54"/>
  </r>
  <r>
    <n v="850"/>
    <x v="2"/>
    <x v="201"/>
    <s v="eth1/5"/>
    <x v="0"/>
    <x v="0"/>
    <x v="0"/>
    <s v="LINK_TO_ITHFHWCRMPLCN152 / Slot7.1_38 / Redundante"/>
    <x v="0"/>
    <b v="0"/>
    <s v="No está en VPC"/>
    <n v="850"/>
    <s v="INTPG_ACC_850_1.5"/>
    <s v="ISEL-1.5"/>
    <n v="6"/>
    <s v="NO TIENE L3OUT"/>
    <n v="288"/>
    <n v="54"/>
  </r>
  <r>
    <n v="860"/>
    <x v="2"/>
    <x v="202"/>
    <s v="eth1/5"/>
    <x v="0"/>
    <x v="0"/>
    <x v="0"/>
    <s v="To_VPC_2DCBSD_WR53_2"/>
    <x v="0"/>
    <b v="0"/>
    <s v="No está en VPC"/>
    <n v="860"/>
    <s v="INTPG_VPC_860_1.5_865_1.5"/>
    <s v="ISEL-1.5"/>
    <n v="1"/>
    <s v="NO TIENE L3OUT"/>
    <n v="0"/>
    <n v="54"/>
  </r>
  <r>
    <n v="853"/>
    <x v="2"/>
    <x v="203"/>
    <s v="eth1/5"/>
    <x v="0"/>
    <x v="0"/>
    <x v="0"/>
    <s v="VPC_2DCRMP_BDP06_3"/>
    <x v="0"/>
    <b v="0"/>
    <s v="No está en VPC"/>
    <n v="853"/>
    <s v="INTPG_VPC_846_1.5_853_1.5"/>
    <s v="ISEL-1.5"/>
    <n v="1"/>
    <s v="NO TIENE L3OUT"/>
    <n v="242"/>
    <n v="54"/>
  </r>
  <r>
    <n v="790"/>
    <x v="2"/>
    <x v="204"/>
    <s v="eth1/5"/>
    <x v="0"/>
    <x v="0"/>
    <x v="0"/>
    <s v="U2020_TO_ITHHWUMT12SW01"/>
    <x v="0"/>
    <b v="0"/>
    <s v="No está en VPC"/>
    <n v="790"/>
    <s v="INTPG_ACC_790_1.5"/>
    <s v="ISEL-1.5"/>
    <n v="2"/>
    <s v="NO TIENE L3OUT"/>
    <n v="20"/>
    <n v="54"/>
  </r>
  <r>
    <n v="105"/>
    <x v="0"/>
    <x v="205"/>
    <s v="eth1/5"/>
    <x v="0"/>
    <x v="1"/>
    <x v="1"/>
    <s v="CORREO AMERICA MOVIL"/>
    <x v="6"/>
    <b v="0"/>
    <s v="No está en VPC"/>
    <n v="105"/>
    <s v="INTPG_ACC_105_1.5"/>
    <s v="ISEL-1.5"/>
    <n v="1"/>
    <s v="NO TIENE L3OUT"/>
    <n v="106"/>
    <n v="96"/>
  </r>
  <r>
    <n v="117"/>
    <x v="0"/>
    <x v="206"/>
    <s v="eth1/5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5"/>
    <x v="0"/>
    <x v="0"/>
    <x v="0"/>
    <s v="File System AM"/>
    <x v="6"/>
    <b v="0"/>
    <s v="No está en VPC"/>
    <n v="104"/>
    <s v="INTPG_ACC_104_1.5"/>
    <s v="ISEL-1.5"/>
    <n v="1"/>
    <s v="NO TIENE L3OUT"/>
    <n v="194"/>
    <n v="96"/>
  </r>
  <r>
    <n v="158"/>
    <x v="0"/>
    <x v="208"/>
    <s v="eth1/5"/>
    <x v="1"/>
    <x v="1"/>
    <x v="2"/>
    <s v="RED CRICKET"/>
    <x v="6"/>
    <b v="0"/>
    <s v="No está en VPC"/>
    <n v="158"/>
    <s v="INTPG_ACC_158_1.5"/>
    <s v="ISEL-1.5"/>
    <n v="2"/>
    <s v="NO TIENE L3OUT"/>
    <n v="30"/>
    <n v="96"/>
  </r>
  <r>
    <n v="875"/>
    <x v="2"/>
    <x v="209"/>
    <s v="eth1/5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5"/>
    <x v="0"/>
    <x v="0"/>
    <x v="0"/>
    <s v="HACIA_CSI-B-OSCP-F4-09_PRIMARIO"/>
    <x v="4"/>
    <b v="0"/>
    <s v="No está en VPC"/>
    <n v="879"/>
    <s v="INTPG_VPC_878_1.5_879_1.5"/>
    <s v="ISEL-1.5"/>
    <n v="2"/>
    <s v="NO TIENE L3OUT"/>
    <n v="0"/>
    <n v="54"/>
  </r>
  <r>
    <n v="108"/>
    <x v="0"/>
    <x v="211"/>
    <s v="eth1/5"/>
    <x v="0"/>
    <x v="0"/>
    <x v="0"/>
    <m/>
    <x v="6"/>
    <b v="0"/>
    <s v="No está en VPC"/>
    <n v="108"/>
    <s v="INTPG_ACC_108_1.5"/>
    <s v="ISEL-1.5"/>
    <n v="1"/>
    <s v="NO TIENE L3OUT"/>
    <n v="126"/>
    <n v="96"/>
  </r>
  <r>
    <n v="112"/>
    <x v="0"/>
    <x v="212"/>
    <s v="eth1/5"/>
    <x v="1"/>
    <x v="1"/>
    <x v="2"/>
    <s v="NPG_1"/>
    <x v="6"/>
    <b v="0"/>
    <s v="No está en VPC"/>
    <n v="112"/>
    <s v="INTPG_ACC_112_1.5"/>
    <s v="ISEL-1.5"/>
    <n v="1"/>
    <s v="NO TIENE L3OUT"/>
    <n v="144"/>
    <n v="96"/>
  </r>
  <r>
    <n v="107"/>
    <x v="0"/>
    <x v="213"/>
    <s v="eth1/5"/>
    <x v="0"/>
    <x v="0"/>
    <x v="0"/>
    <m/>
    <x v="6"/>
    <b v="0"/>
    <s v="No está en VPC"/>
    <n v="107"/>
    <s v="INTPG_ACC_107_1.5"/>
    <s v="ISEL-1.5"/>
    <n v="1"/>
    <s v="NO TIENE L3OUT"/>
    <n v="118"/>
    <n v="96"/>
  </r>
  <r>
    <n v="109"/>
    <x v="0"/>
    <x v="214"/>
    <s v="eth1/5"/>
    <x v="0"/>
    <x v="0"/>
    <x v="0"/>
    <m/>
    <x v="6"/>
    <b v="0"/>
    <s v="No está en VPC"/>
    <n v="109"/>
    <s v="INTPG_ACC_109_1.5"/>
    <s v="ISEL-1.5"/>
    <n v="1"/>
    <s v="NO TIENE L3OUT"/>
    <n v="126"/>
    <n v="96"/>
  </r>
  <r>
    <n v="113"/>
    <x v="0"/>
    <x v="215"/>
    <s v="eth1/5"/>
    <x v="0"/>
    <x v="0"/>
    <x v="0"/>
    <s v="sfecpp01"/>
    <x v="6"/>
    <b v="0"/>
    <s v="No está en VPC"/>
    <n v="113"/>
    <s v="INTPG_VPC_113_1.5_115_1.4"/>
    <s v="ISEL-1.5"/>
    <n v="1"/>
    <s v="NO TIENE L3OUT"/>
    <n v="52"/>
    <n v="96"/>
  </r>
  <r>
    <n v="114"/>
    <x v="0"/>
    <x v="216"/>
    <s v="eth1/5"/>
    <x v="1"/>
    <x v="1"/>
    <x v="2"/>
    <s v="NPG_1"/>
    <x v="6"/>
    <b v="0"/>
    <s v="No está en VPC"/>
    <n v="114"/>
    <s v="INTPG_ACC_114_1.5"/>
    <s v="ISEL-1.5"/>
    <n v="1"/>
    <s v="NO TIENE L3OUT"/>
    <n v="144"/>
    <n v="96"/>
  </r>
  <r>
    <n v="124"/>
    <x v="0"/>
    <x v="217"/>
    <s v="eth1/5"/>
    <x v="0"/>
    <x v="0"/>
    <x v="0"/>
    <s v="GSM_ENIQ_MEX_R9"/>
    <x v="6"/>
    <b v="0"/>
    <s v="No está en VPC"/>
    <n v="124"/>
    <s v="INTPG_VPC_124_1.5_125_1.6"/>
    <s v="ISEL-1.5"/>
    <n v="10"/>
    <s v="NO TIENE L3OUT"/>
    <n v="80"/>
    <n v="96"/>
  </r>
  <r>
    <n v="118"/>
    <x v="0"/>
    <x v="218"/>
    <s v="eth1/5"/>
    <x v="0"/>
    <x v="0"/>
    <x v="0"/>
    <s v="COBROS NAVEGACION"/>
    <x v="6"/>
    <b v="0"/>
    <s v="No está en VPC"/>
    <n v="118"/>
    <s v="INTPG_ACC_118_1.5"/>
    <s v="ISEL-1.5"/>
    <n v="1"/>
    <s v="NO TIENE L3OUT"/>
    <n v="180"/>
    <n v="96"/>
  </r>
  <r>
    <n v="159"/>
    <x v="0"/>
    <x v="219"/>
    <s v="eth1/5"/>
    <x v="0"/>
    <x v="1"/>
    <x v="1"/>
    <s v="TRAP"/>
    <x v="6"/>
    <b v="0"/>
    <s v="No está en VPC"/>
    <n v="159"/>
    <s v="INTPG_PC_159_1.2-7"/>
    <s v="ISEL-1.5"/>
    <n v="12"/>
    <s v="NO TIENE L3OUT"/>
    <n v="72"/>
    <n v="96"/>
  </r>
  <r>
    <n v="840"/>
    <x v="2"/>
    <x v="220"/>
    <s v="eth1/5"/>
    <x v="0"/>
    <x v="0"/>
    <x v="0"/>
    <s v="LINK_TO_ITHFHWCBSPSUSBD38 / Slot7.2_10 / Redundante"/>
    <x v="0"/>
    <b v="0"/>
    <s v="No está en VPC"/>
    <n v="840"/>
    <s v="INTPG_VPC_835_1.5_840_1.5"/>
    <s v="ISEL-1.5"/>
    <n v="1"/>
    <s v="NO TIENE L3OUT"/>
    <n v="8"/>
    <n v="54"/>
  </r>
  <r>
    <n v="856"/>
    <x v="2"/>
    <x v="221"/>
    <s v="eth1/5"/>
    <x v="0"/>
    <x v="0"/>
    <x v="0"/>
    <s v="LINK_TO_ITHFHWCRMPLCN136 / Slot1.1_6 / Principal"/>
    <x v="0"/>
    <b v="0"/>
    <s v="No está en VPC"/>
    <n v="856"/>
    <s v="INTPG_ACC_856_1.5"/>
    <s v="ISEL-1.5"/>
    <n v="6"/>
    <s v="NO TIENE L3OUT"/>
    <n v="286"/>
    <n v="54"/>
  </r>
  <r>
    <n v="110"/>
    <x v="0"/>
    <x v="222"/>
    <s v="eth1/5"/>
    <x v="0"/>
    <x v="1"/>
    <x v="8"/>
    <s v="OCUDR_1"/>
    <x v="6"/>
    <b v="0"/>
    <s v="No está en VPC"/>
    <n v="110"/>
    <s v="INTPG_ACC_110_1.5"/>
    <s v="ISEL-1.5"/>
    <n v="1"/>
    <s v="NO TIENE L3OUT"/>
    <n v="102"/>
    <n v="96"/>
  </r>
  <r>
    <n v="163"/>
    <x v="0"/>
    <x v="223"/>
    <s v="eth1/5"/>
    <x v="0"/>
    <x v="1"/>
    <x v="1"/>
    <s v="IBM SICOD"/>
    <x v="6"/>
    <b v="0"/>
    <s v="No está en VPC"/>
    <n v="163"/>
    <s v="INTPG_ACC_163_1.5"/>
    <s v="ISEL-1.5"/>
    <n v="1"/>
    <s v="NO TIENE L3OUT"/>
    <n v="140"/>
    <n v="96"/>
  </r>
  <r>
    <n v="407"/>
    <x v="1"/>
    <x v="224"/>
    <s v="eth1/5"/>
    <x v="0"/>
    <x v="0"/>
    <x v="0"/>
    <s v="RLR2ARI04"/>
    <x v="6"/>
    <b v="0"/>
    <s v="No está en VPC"/>
    <n v="407"/>
    <s v="INTPG_ACC_407_1.5"/>
    <s v="ISEL-1.5"/>
    <n v="1"/>
    <s v="NO TIENE L3OUT"/>
    <n v="122"/>
    <n v="96"/>
  </r>
  <r>
    <n v="171"/>
    <x v="0"/>
    <x v="225"/>
    <s v="eth1/5"/>
    <x v="0"/>
    <x v="0"/>
    <x v="0"/>
    <s v="ENIQ3GMX_CLIENT1"/>
    <x v="6"/>
    <b v="0"/>
    <s v="No está en VPC"/>
    <n v="171"/>
    <s v="INTPG_VPC_171_1.5_15_172_1.5_67"/>
    <s v="ISEL-1.5"/>
    <n v="10"/>
    <s v="NO TIENE L3OUT"/>
    <n v="114"/>
    <n v="96"/>
  </r>
  <r>
    <n v="421"/>
    <x v="1"/>
    <x v="226"/>
    <s v="eth1/5"/>
    <x v="0"/>
    <x v="0"/>
    <x v="0"/>
    <s v="DESC"/>
    <x v="6"/>
    <b v="0"/>
    <s v="No está en VPC"/>
    <n v="421"/>
    <s v="INTPG_PC_421_5-6"/>
    <s v="ISEL-1.5"/>
    <n v="1"/>
    <s v="NO TIENE L3OUT"/>
    <n v="72"/>
    <n v="96"/>
  </r>
  <r>
    <n v="173"/>
    <x v="0"/>
    <x v="227"/>
    <s v="eth1/5"/>
    <x v="0"/>
    <x v="0"/>
    <x v="0"/>
    <s v="ENIQ"/>
    <x v="6"/>
    <b v="0"/>
    <s v="No está en VPC"/>
    <n v="173"/>
    <s v="INTPG_ACC_173_1.5"/>
    <s v="ISEL-1.5"/>
    <n v="1"/>
    <s v="NO TIENE L3OUT"/>
    <n v="66"/>
    <n v="96"/>
  </r>
  <r>
    <n v="154"/>
    <x v="0"/>
    <x v="228"/>
    <s v="eth1/5"/>
    <x v="0"/>
    <x v="0"/>
    <x v="0"/>
    <s v="BLOQUEO EMEI"/>
    <x v="6"/>
    <b v="0"/>
    <s v="No está en VPC"/>
    <n v="154"/>
    <s v="INTPG_ACC_154_1.5"/>
    <s v="ISEL-1.5"/>
    <n v="1"/>
    <s v="NO TIENE L3OUT"/>
    <n v="62"/>
    <n v="96"/>
  </r>
  <r>
    <n v="172"/>
    <x v="0"/>
    <x v="229"/>
    <s v="eth1/5"/>
    <x v="0"/>
    <x v="0"/>
    <x v="0"/>
    <s v="ENIQ3GMX_CLIENT1"/>
    <x v="6"/>
    <b v="0"/>
    <s v="No está en VPC"/>
    <n v="172"/>
    <s v="INTPG_VPC_171_1.5_15_172_1.5_67"/>
    <s v="ISEL-1.5"/>
    <n v="10"/>
    <s v="NO TIENE L3OUT"/>
    <n v="104"/>
    <n v="96"/>
  </r>
  <r>
    <n v="420"/>
    <x v="1"/>
    <x v="230"/>
    <s v="eth1/5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5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5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5"/>
    <x v="0"/>
    <x v="1"/>
    <x v="1"/>
    <s v="SFLDI:RLDIBI201:1"/>
    <x v="6"/>
    <b v="0"/>
    <s v="No está en VPC"/>
    <n v="102"/>
    <s v="INTPG_ACC_102_1.5"/>
    <s v="ISEL-1.5"/>
    <n v="1"/>
    <s v="NO TIENE L3OUT"/>
    <n v="228"/>
    <n v="96"/>
  </r>
  <r>
    <n v="863"/>
    <x v="2"/>
    <x v="234"/>
    <s v="eth1/5"/>
    <x v="0"/>
    <x v="0"/>
    <x v="0"/>
    <s v="To_VPC_2DCBSD_HD38_2"/>
    <x v="0"/>
    <b v="0"/>
    <s v="No está en VPC"/>
    <n v="863"/>
    <s v="INTPG_VPC_858_1.5_863_1.5"/>
    <s v="ISEL-1.5"/>
    <n v="1"/>
    <s v="NO TIENE L3OUT"/>
    <n v="8"/>
    <n v="54"/>
  </r>
  <r>
    <n v="876"/>
    <x v="2"/>
    <x v="235"/>
    <s v="eth1/5"/>
    <x v="0"/>
    <x v="0"/>
    <x v="0"/>
    <s v="LINK_TO_ITHFHWSEQLHDPS74 / Slot 4 PTO 1 / Principal"/>
    <x v="4"/>
    <b v="0"/>
    <s v="No está en VPC"/>
    <n v="876"/>
    <s v="INTPG_ACC_876_1.5"/>
    <s v="ISEL-1.5"/>
    <n v="1"/>
    <s v="NO TIENE L3OUT"/>
    <n v="92"/>
    <n v="54"/>
  </r>
  <r>
    <n v="877"/>
    <x v="2"/>
    <x v="236"/>
    <s v="eth1/5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5"/>
    <x v="0"/>
    <x v="0"/>
    <x v="0"/>
    <s v="DESC"/>
    <x v="6"/>
    <b v="0"/>
    <s v="No está en VPC"/>
    <n v="122"/>
    <s v="INTPG_PC_122_1.4-8"/>
    <s v="ISEL-1.5"/>
    <n v="1"/>
    <s v="NO TIENE L3OUT"/>
    <n v="148"/>
    <n v="96"/>
  </r>
  <r>
    <n v="157"/>
    <x v="0"/>
    <x v="238"/>
    <s v="eth1/5"/>
    <x v="0"/>
    <x v="0"/>
    <x v="0"/>
    <s v="COBROS NAVEGACION"/>
    <x v="6"/>
    <b v="0"/>
    <s v="No está en VPC"/>
    <n v="157"/>
    <s v="INTPG_ACC_157_1.5"/>
    <s v="ISEL-1.5"/>
    <n v="1"/>
    <s v="NO TIENE L3OUT"/>
    <n v="202"/>
    <n v="96"/>
  </r>
  <r>
    <n v="408"/>
    <x v="1"/>
    <x v="239"/>
    <s v="eth1/5"/>
    <x v="0"/>
    <x v="1"/>
    <x v="1"/>
    <s v="Suspend2"/>
    <x v="6"/>
    <b v="0"/>
    <s v="No está en VPC"/>
    <n v="408"/>
    <s v="INTPG_ACC_408_1.5"/>
    <s v="ISEL-1.5"/>
    <n v="1"/>
    <s v="NO TIENE L3OUT"/>
    <n v="152"/>
    <n v="96"/>
  </r>
  <r>
    <n v="405"/>
    <x v="1"/>
    <x v="240"/>
    <s v="eth1/5"/>
    <x v="0"/>
    <x v="0"/>
    <x v="0"/>
    <s v="IXT_ARIESO4_LDR5"/>
    <x v="6"/>
    <b v="0"/>
    <s v="No está en VPC"/>
    <n v="405"/>
    <s v="INTPG_ACC_405_1.5"/>
    <s v="ISEL-1.5"/>
    <n v="1"/>
    <s v="NO TIENE L3OUT"/>
    <n v="138"/>
    <n v="96"/>
  </r>
  <r>
    <n v="169"/>
    <x v="0"/>
    <x v="241"/>
    <s v="eth1/5"/>
    <x v="0"/>
    <x v="0"/>
    <x v="0"/>
    <s v="DCX_BKP1_BPK2_S1"/>
    <x v="6"/>
    <b v="0"/>
    <s v="No está en VPC"/>
    <n v="169"/>
    <s v="INTPG_ACC_169_1.5"/>
    <s v="ISEL-1.5"/>
    <n v="1"/>
    <s v="NO TIENE L3OUT"/>
    <n v="76"/>
    <n v="96"/>
  </r>
  <r>
    <n v="165"/>
    <x v="0"/>
    <x v="242"/>
    <s v="eth1/5"/>
    <x v="0"/>
    <x v="0"/>
    <x v="0"/>
    <s v="AMS500_Unity_MGMT"/>
    <x v="6"/>
    <b v="0"/>
    <s v="No está en VPC"/>
    <n v="165"/>
    <s v="INTPG_ACC_165_1.5"/>
    <s v="ISEL-1.5"/>
    <n v="1"/>
    <s v="NO TIENE L3OUT"/>
    <n v="86"/>
    <n v="96"/>
  </r>
  <r>
    <n v="417"/>
    <x v="1"/>
    <x v="243"/>
    <s v="eth1/5"/>
    <x v="0"/>
    <x v="0"/>
    <x v="0"/>
    <s v="To-uxingemc4"/>
    <x v="6"/>
    <b v="0"/>
    <s v="No está en VPC"/>
    <n v="417"/>
    <s v="INTPG_ACC_417_1.5"/>
    <s v="ISEL-1.5"/>
    <n v="1"/>
    <s v="NO TIENE L3OUT"/>
    <n v="56"/>
    <n v="96"/>
  </r>
  <r>
    <n v="153"/>
    <x v="0"/>
    <x v="244"/>
    <s v="eth1/5"/>
    <x v="0"/>
    <x v="1"/>
    <x v="1"/>
    <m/>
    <x v="6"/>
    <b v="0"/>
    <s v="No está en VPC"/>
    <n v="153"/>
    <s v="INTPG_ACC_153_1.5"/>
    <s v="ISEL-1.5"/>
    <n v="1"/>
    <s v="NO TIENE L3OUT"/>
    <n v="42"/>
    <n v="96"/>
  </r>
  <r>
    <n v="119"/>
    <x v="0"/>
    <x v="245"/>
    <s v="eth1/5"/>
    <x v="1"/>
    <x v="1"/>
    <x v="2"/>
    <s v="RLBAC"/>
    <x v="6"/>
    <b v="0"/>
    <s v="No está en VPC"/>
    <n v="119"/>
    <s v="INTPG_ACC_119_1.5"/>
    <s v="ISEL-1.5"/>
    <n v="1"/>
    <s v="NO TIENE L3OUT"/>
    <n v="70"/>
    <n v="96"/>
  </r>
  <r>
    <n v="156"/>
    <x v="0"/>
    <x v="246"/>
    <s v="eth1/5"/>
    <x v="1"/>
    <x v="1"/>
    <x v="2"/>
    <s v="RED CRICKET"/>
    <x v="6"/>
    <b v="0"/>
    <s v="No está en VPC"/>
    <n v="156"/>
    <s v="INTPG_ACC_156_1.5"/>
    <s v="ISEL-1.5"/>
    <n v="2"/>
    <s v="NO TIENE L3OUT"/>
    <n v="40"/>
    <n v="96"/>
  </r>
  <r>
    <n v="103"/>
    <x v="0"/>
    <x v="247"/>
    <s v="eth1/5"/>
    <x v="1"/>
    <x v="1"/>
    <x v="2"/>
    <s v="ROAMING_ENCLOSURE:SFROAP01:VC2-1"/>
    <x v="6"/>
    <b v="0"/>
    <s v="No está en VPC"/>
    <n v="103"/>
    <s v="INTPG_PC_103_5_6_41"/>
    <s v="ISEL-1.5"/>
    <n v="2"/>
    <s v="NO TIENE L3OUT"/>
    <n v="70"/>
    <n v="96"/>
  </r>
  <r>
    <n v="438"/>
    <x v="1"/>
    <x v="248"/>
    <s v="eth1/5"/>
    <x v="0"/>
    <x v="1"/>
    <x v="1"/>
    <s v="uxdomaine"/>
    <x v="6"/>
    <b v="0"/>
    <s v="No está en VPC"/>
    <n v="438"/>
    <s v="INTPG_ACC_438_1.5"/>
    <s v="ISEL-1.5"/>
    <n v="1"/>
    <s v="NO TIENE L3OUT"/>
    <n v="170"/>
    <n v="96"/>
  </r>
  <r>
    <n v="406"/>
    <x v="1"/>
    <x v="249"/>
    <s v="eth1/5"/>
    <x v="0"/>
    <x v="0"/>
    <x v="0"/>
    <s v="DESC"/>
    <x v="6"/>
    <b v="0"/>
    <s v="No está en VPC"/>
    <n v="406"/>
    <s v="INTPG_PC_406_1.5-6"/>
    <s v="ISEL-1.5"/>
    <n v="1"/>
    <s v="NO TIENE L3OUT"/>
    <n v="82"/>
    <n v="96"/>
  </r>
  <r>
    <n v="414"/>
    <x v="1"/>
    <x v="250"/>
    <s v="eth1/5"/>
    <x v="0"/>
    <x v="0"/>
    <x v="0"/>
    <s v="IXTPA4PC"/>
    <x v="6"/>
    <b v="0"/>
    <s v="No está en VPC"/>
    <n v="414"/>
    <s v="INTPG_ACC_414_1.5"/>
    <s v="ISEL-1.5"/>
    <n v="1"/>
    <s v="NO TIENE L3OUT"/>
    <n v="144"/>
    <n v="96"/>
  </r>
  <r>
    <n v="416"/>
    <x v="1"/>
    <x v="251"/>
    <s v="eth1/5"/>
    <x v="0"/>
    <x v="0"/>
    <x v="0"/>
    <s v="sfbcvp02-MEDVOZ_CLIENT1"/>
    <x v="6"/>
    <b v="0"/>
    <s v="No está en VPC"/>
    <n v="416"/>
    <s v="INTPG_VPC_416_1.5_418_1.5"/>
    <s v="ISEL-1.5"/>
    <n v="1"/>
    <s v="NO TIENE L3OUT"/>
    <n v="110"/>
    <n v="96"/>
  </r>
  <r>
    <n v="418"/>
    <x v="1"/>
    <x v="252"/>
    <s v="eth1/5"/>
    <x v="0"/>
    <x v="0"/>
    <x v="0"/>
    <s v="sfbcvp02-MEDVOZ_CLIENT1"/>
    <x v="6"/>
    <b v="0"/>
    <s v="No está en VPC"/>
    <n v="418"/>
    <s v="INTPG_VPC_416_1.5_418_1.5"/>
    <s v="ISEL-1.5"/>
    <n v="1"/>
    <s v="NO TIENE L3OUT"/>
    <n v="152"/>
    <n v="96"/>
  </r>
  <r>
    <n v="413"/>
    <x v="1"/>
    <x v="253"/>
    <s v="eth1/5"/>
    <x v="0"/>
    <x v="0"/>
    <x v="0"/>
    <s v="DESC"/>
    <x v="6"/>
    <b v="0"/>
    <s v="No está en VPC"/>
    <n v="413"/>
    <s v="INTPG_PC_413_1.5-8"/>
    <s v="ISEL-1.5"/>
    <n v="1"/>
    <s v="NO TIENE L3OUT"/>
    <n v="126"/>
    <n v="96"/>
  </r>
  <r>
    <n v="403"/>
    <x v="1"/>
    <x v="254"/>
    <s v="eth1/5"/>
    <x v="0"/>
    <x v="0"/>
    <x v="0"/>
    <s v="IXT_ARIESO4_LDR5"/>
    <x v="6"/>
    <b v="0"/>
    <s v="No está en VPC"/>
    <n v="403"/>
    <s v="INTPG_ACC_403_1.5"/>
    <s v="ISEL-1.5"/>
    <n v="1"/>
    <s v="NO TIENE L3OUT"/>
    <n v="150"/>
    <n v="96"/>
  </r>
  <r>
    <n v="125"/>
    <x v="0"/>
    <x v="255"/>
    <s v="eth1/5"/>
    <x v="0"/>
    <x v="1"/>
    <x v="1"/>
    <s v="GSM_ENIQ_QRO_R6"/>
    <x v="6"/>
    <b v="0"/>
    <s v="No está en VPC"/>
    <n v="125"/>
    <s v="INTPG_ACC_125_1.5"/>
    <s v="ISEL-1.5"/>
    <n v="1"/>
    <s v="NO TIENE L3OUT"/>
    <n v="72"/>
    <n v="96"/>
  </r>
  <r>
    <n v="166"/>
    <x v="0"/>
    <x v="256"/>
    <s v="eth1/5"/>
    <x v="0"/>
    <x v="0"/>
    <x v="0"/>
    <s v="Nomina"/>
    <x v="6"/>
    <b v="0"/>
    <s v="No está en VPC"/>
    <n v="166"/>
    <s v="INTPG_ACC_166_1.5"/>
    <s v="ISEL-1.5"/>
    <n v="1"/>
    <s v="NO TIENE L3OUT"/>
    <n v="84"/>
    <n v="96"/>
  </r>
  <r>
    <n v="111"/>
    <x v="0"/>
    <x v="257"/>
    <s v="eth1/5"/>
    <x v="0"/>
    <x v="0"/>
    <x v="0"/>
    <s v="BANCA MOVIL: Notificaciones"/>
    <x v="6"/>
    <b v="0"/>
    <s v="No está en VPC"/>
    <n v="111"/>
    <s v="INTPG_ACC_111_1.5"/>
    <s v="ISEL-1.5"/>
    <n v="1"/>
    <s v="NO TIENE L3OUT"/>
    <n v="58"/>
    <n v="96"/>
  </r>
  <r>
    <n v="115"/>
    <x v="0"/>
    <x v="258"/>
    <s v="eth1/5"/>
    <x v="0"/>
    <x v="0"/>
    <x v="0"/>
    <s v="sfecpp03"/>
    <x v="6"/>
    <b v="0"/>
    <s v="No está en VPC"/>
    <n v="115"/>
    <s v="INTPG_VPC_113_1.6_115_1.5"/>
    <s v="ISEL-1.5"/>
    <n v="1"/>
    <s v="NO TIENE L3OUT"/>
    <n v="42"/>
    <n v="96"/>
  </r>
  <r>
    <n v="106"/>
    <x v="0"/>
    <x v="259"/>
    <s v="eth1/5"/>
    <x v="0"/>
    <x v="1"/>
    <x v="1"/>
    <s v="OPEN VIEW BACK FASE2_1"/>
    <x v="6"/>
    <b v="0"/>
    <s v="No está en VPC"/>
    <n v="106"/>
    <s v="INTPG_ACC_106_1.5"/>
    <s v="ISEL-1.5"/>
    <n v="1"/>
    <s v="NO TIENE L3OUT"/>
    <n v="122"/>
    <n v="96"/>
  </r>
  <r>
    <n v="126"/>
    <x v="0"/>
    <x v="260"/>
    <s v="eth1/5"/>
    <x v="0"/>
    <x v="1"/>
    <x v="1"/>
    <s v="U2000_IPRAN"/>
    <x v="6"/>
    <b v="0"/>
    <s v="No está en VPC"/>
    <n v="126"/>
    <s v="INTPG_ACC_126_1.5"/>
    <s v="ISEL-1.5"/>
    <n v="1"/>
    <s v="NO TIENE L3OUT"/>
    <n v="54"/>
    <n v="96"/>
  </r>
  <r>
    <n v="425"/>
    <x v="1"/>
    <x v="261"/>
    <s v="eth1/5"/>
    <x v="0"/>
    <x v="1"/>
    <x v="1"/>
    <s v="VTA_uxvta073_Net0"/>
    <x v="6"/>
    <b v="0"/>
    <s v="No está en VPC"/>
    <n v="425"/>
    <s v="INTPG_ACC_425_1.5"/>
    <s v="ISEL-1.5"/>
    <n v="1"/>
    <s v="NO TIENE L3OUT"/>
    <n v="86"/>
    <n v="96"/>
  </r>
  <r>
    <n v="151"/>
    <x v="0"/>
    <x v="262"/>
    <s v="eth1/5"/>
    <x v="1"/>
    <x v="1"/>
    <x v="2"/>
    <s v="PLANTA_LINEAGE_POWER"/>
    <x v="6"/>
    <b v="0"/>
    <s v="No está en VPC"/>
    <n v="151"/>
    <s v="INTPG_ACC_151_1.5"/>
    <s v="ISEL-1.5"/>
    <n v="1"/>
    <s v="NO TIENE L3OUT"/>
    <n v="86"/>
    <n v="96"/>
  </r>
  <r>
    <n v="430"/>
    <x v="1"/>
    <x v="263"/>
    <s v="eth1/5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5"/>
    <x v="0"/>
    <x v="0"/>
    <x v="0"/>
    <s v="DESC"/>
    <x v="6"/>
    <b v="0"/>
    <s v="No está en VPC"/>
    <n v="419"/>
    <s v="INTPG_PC_419_5-6"/>
    <s v="ISEL-1.5"/>
    <n v="1"/>
    <s v="NO TIENE L3OUT"/>
    <n v="70"/>
    <n v="96"/>
  </r>
  <r>
    <n v="155"/>
    <x v="0"/>
    <x v="265"/>
    <s v="eth1/5"/>
    <x v="0"/>
    <x v="0"/>
    <x v="0"/>
    <s v="UXINGE"/>
    <x v="6"/>
    <b v="0"/>
    <s v="No está en VPC"/>
    <n v="155"/>
    <s v="INTPG_ACC_155_1.5"/>
    <s v="ISEL-1.5"/>
    <n v="1"/>
    <s v="NO TIENE L3OUT"/>
    <n v="198"/>
    <n v="96"/>
  </r>
  <r>
    <n v="409"/>
    <x v="1"/>
    <x v="266"/>
    <s v="eth1/5"/>
    <x v="0"/>
    <x v="0"/>
    <x v="0"/>
    <s v="RLR2ARI09"/>
    <x v="6"/>
    <b v="0"/>
    <s v="No está en VPC"/>
    <n v="409"/>
    <s v="INTPG_ACC_409_1.5"/>
    <s v="ISEL-1.5"/>
    <n v="1"/>
    <s v="NO TIENE L3OUT"/>
    <n v="128"/>
    <n v="96"/>
  </r>
  <r>
    <n v="422"/>
    <x v="1"/>
    <x v="267"/>
    <s v="eth1/5"/>
    <x v="0"/>
    <x v="0"/>
    <x v="0"/>
    <s v="GESTION_ FORTIMANAGER"/>
    <x v="6"/>
    <b v="0"/>
    <s v="No está en VPC"/>
    <n v="422"/>
    <s v="INTPG_ACC_422_1.5"/>
    <s v="ISEL-1.5"/>
    <n v="1"/>
    <s v="NO TIENE L3OUT"/>
    <n v="182"/>
    <n v="96"/>
  </r>
  <r>
    <n v="436"/>
    <x v="1"/>
    <x v="268"/>
    <s v="eth1/5"/>
    <x v="0"/>
    <x v="1"/>
    <x v="1"/>
    <s v="uxdomaine"/>
    <x v="6"/>
    <b v="0"/>
    <s v="No está en VPC"/>
    <n v="436"/>
    <s v="INTPG_ACC_436_1.5"/>
    <s v="ISEL-1.5"/>
    <n v="1"/>
    <s v="NO TIENE L3OUT"/>
    <n v="172"/>
    <n v="96"/>
  </r>
  <r>
    <n v="410"/>
    <x v="1"/>
    <x v="269"/>
    <s v="eth1/5"/>
    <x v="0"/>
    <x v="0"/>
    <x v="0"/>
    <s v="9UCS-IXTLA-WEBEX-SERV3"/>
    <x v="6"/>
    <b v="0"/>
    <s v="No está en VPC"/>
    <n v="410"/>
    <s v="INTPG_ACC_410_1.5"/>
    <s v="ISEL-1.5"/>
    <n v="1"/>
    <s v="NO TIENE L3OUT"/>
    <n v="178"/>
    <n v="96"/>
  </r>
  <r>
    <n v="161"/>
    <x v="0"/>
    <x v="270"/>
    <s v="eth1/5"/>
    <x v="0"/>
    <x v="1"/>
    <x v="1"/>
    <s v="IBM SICOD"/>
    <x v="6"/>
    <b v="0"/>
    <s v="No está en VPC"/>
    <n v="161"/>
    <s v="INTPG_ACC_161_1.5"/>
    <s v="ISEL-1.5"/>
    <n v="1"/>
    <s v="NO TIENE L3OUT"/>
    <n v="102"/>
    <n v="96"/>
  </r>
  <r>
    <n v="411"/>
    <x v="1"/>
    <x v="271"/>
    <s v="eth1/5"/>
    <x v="0"/>
    <x v="0"/>
    <x v="0"/>
    <s v="DESC"/>
    <x v="6"/>
    <b v="0"/>
    <s v="No está en VPC"/>
    <n v="411"/>
    <s v="INTPG_PC_411_1.5-8"/>
    <s v="ISEL-1.5"/>
    <n v="1"/>
    <s v="NO TIENE L3OUT"/>
    <n v="96"/>
    <n v="96"/>
  </r>
  <r>
    <n v="116"/>
    <x v="0"/>
    <x v="272"/>
    <s v="eth1/5"/>
    <x v="0"/>
    <x v="0"/>
    <x v="0"/>
    <s v="ASAP BATCH"/>
    <x v="6"/>
    <b v="0"/>
    <s v="No está en VPC"/>
    <n v="116"/>
    <s v="INTPG_ACC_116_1.5"/>
    <s v="ISEL-1.5"/>
    <n v="1"/>
    <s v="NO TIENE L3OUT"/>
    <n v="148"/>
    <n v="96"/>
  </r>
  <r>
    <n v="412"/>
    <x v="1"/>
    <x v="273"/>
    <s v="eth1/5"/>
    <x v="0"/>
    <x v="0"/>
    <x v="0"/>
    <s v="HMCDes01_ADMIN"/>
    <x v="6"/>
    <b v="0"/>
    <s v="No está en VPC"/>
    <n v="412"/>
    <s v="INTPG_ACC_412_1.5"/>
    <s v="ISEL-1.5"/>
    <n v="1"/>
    <s v="NO TIENE L3OUT"/>
    <n v="126"/>
    <n v="96"/>
  </r>
  <r>
    <n v="120"/>
    <x v="0"/>
    <x v="274"/>
    <s v="eth1/5"/>
    <x v="0"/>
    <x v="0"/>
    <x v="0"/>
    <s v="TemipAMX1"/>
    <x v="6"/>
    <b v="0"/>
    <s v="No está en VPC"/>
    <n v="120"/>
    <s v="INTPG_PC_120_1.4-8"/>
    <s v="ISEL-1.5"/>
    <n v="1"/>
    <s v="NO TIENE L3OUT"/>
    <n v="158"/>
    <n v="96"/>
  </r>
  <r>
    <n v="404"/>
    <x v="1"/>
    <x v="275"/>
    <s v="eth1/5"/>
    <x v="0"/>
    <x v="0"/>
    <x v="0"/>
    <s v="DESC"/>
    <x v="6"/>
    <b v="0"/>
    <s v="No está en VPC"/>
    <n v="404"/>
    <s v="INTPG_PC_404_1.5-6"/>
    <s v="ISEL-1.5"/>
    <n v="1"/>
    <s v="NO TIENE L3OUT"/>
    <n v="92"/>
    <n v="96"/>
  </r>
  <r>
    <n v="167"/>
    <x v="0"/>
    <x v="276"/>
    <s v="eth1/5"/>
    <x v="0"/>
    <x v="0"/>
    <x v="0"/>
    <s v="DCX_BKP1_BPK2_S1"/>
    <x v="6"/>
    <b v="0"/>
    <s v="No está en VPC"/>
    <n v="167"/>
    <s v="INTPG_ACC_167_1.5"/>
    <s v="ISEL-1.5"/>
    <n v="1"/>
    <s v="NO TIENE L3OUT"/>
    <n v="68"/>
    <n v="96"/>
  </r>
  <r>
    <n v="428"/>
    <x v="1"/>
    <x v="277"/>
    <s v="eth1/5"/>
    <x v="1"/>
    <x v="1"/>
    <x v="2"/>
    <s v="LDAP-IDM_DESARROLLO"/>
    <x v="6"/>
    <b v="0"/>
    <s v="No está en VPC"/>
    <n v="428"/>
    <s v="INTPG_PC_428_1.5-9"/>
    <s v="ISEL-1.5"/>
    <n v="1"/>
    <s v="NO TIENE L3OUT"/>
    <n v="102"/>
    <n v="96"/>
  </r>
  <r>
    <n v="903"/>
    <x v="2"/>
    <x v="278"/>
    <s v="eth1/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50"/>
    <x v="0"/>
    <x v="0"/>
    <x v="0"/>
    <s v="LINK_HACIA_SPINE"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50"/>
    <x v="0"/>
    <x v="0"/>
    <x v="0"/>
    <s v="LINK_HACIA_SPINE"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50"/>
    <x v="0"/>
    <x v="0"/>
    <x v="0"/>
    <s v="LINK_HACIA_SPINE"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50"/>
    <x v="0"/>
    <x v="0"/>
    <x v="0"/>
    <s v="LINK_HACIA_SPINE"/>
    <x v="0"/>
    <b v="0"/>
    <s v="No está en VPC"/>
    <n v="101"/>
    <s v="NO EXISTE PG"/>
    <s v="NO EXISTE ISEL"/>
    <n v="0"/>
    <s v="NO TIENE L3OUT"/>
    <n v="114"/>
    <n v="54"/>
  </r>
  <r>
    <n v="160"/>
    <x v="0"/>
    <x v="4"/>
    <s v="eth1/50"/>
    <x v="0"/>
    <x v="0"/>
    <x v="0"/>
    <s v="LINK_HACIA_SPINE"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50"/>
    <x v="0"/>
    <x v="0"/>
    <x v="0"/>
    <s v="LINK_HACIA_SPINE"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50"/>
    <x v="0"/>
    <x v="0"/>
    <x v="0"/>
    <s v="LINK_HACIA_SPINE"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50"/>
    <x v="0"/>
    <x v="0"/>
    <x v="0"/>
    <s v="LINK_HACIA_SPINE"/>
    <x v="0"/>
    <b v="0"/>
    <s v="No está en VPC"/>
    <n v="401"/>
    <s v="NO EXISTE PG"/>
    <s v="NO EXISTE ISEL"/>
    <n v="0"/>
    <s v="NO TIENE L3OUT"/>
    <n v="40"/>
    <n v="54"/>
  </r>
  <r>
    <n v="402"/>
    <x v="1"/>
    <x v="8"/>
    <s v="eth1/50"/>
    <x v="0"/>
    <x v="0"/>
    <x v="0"/>
    <s v="LINK_HACIA_SPINE"/>
    <x v="0"/>
    <b v="0"/>
    <s v="No está en VPC"/>
    <n v="402"/>
    <s v="NO EXISTE PG"/>
    <s v="NO EXISTE ISEL"/>
    <n v="0"/>
    <s v="NO TIENE L3OUT"/>
    <n v="36"/>
    <n v="54"/>
  </r>
  <r>
    <n v="130"/>
    <x v="0"/>
    <x v="11"/>
    <s v="eth1/50"/>
    <x v="0"/>
    <x v="0"/>
    <x v="0"/>
    <s v="LINK_HACIA_SPINE"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50"/>
    <x v="0"/>
    <x v="0"/>
    <x v="0"/>
    <s v="LINK_HACIA_SPINE"/>
    <x v="0"/>
    <b v="0"/>
    <s v="No está en VPC"/>
    <n v="150"/>
    <s v="NO EXISTE PG"/>
    <s v="NO EXISTE ISEL"/>
    <n v="0"/>
    <s v="NO TIENE L3OUT"/>
    <n v="118"/>
    <n v="54"/>
  </r>
  <r>
    <n v="131"/>
    <x v="0"/>
    <x v="13"/>
    <s v="eth1/50"/>
    <x v="0"/>
    <x v="0"/>
    <x v="0"/>
    <s v="LINK_HACIA_SPINE"/>
    <x v="0"/>
    <b v="0"/>
    <s v="No está en VPC"/>
    <n v="131"/>
    <s v="NO EXISTE PG"/>
    <s v="NO EXISTE ISEL"/>
    <n v="0"/>
    <s v="NO TIENE L3OUT"/>
    <n v="126"/>
    <n v="54"/>
  </r>
  <r>
    <n v="424"/>
    <x v="1"/>
    <x v="18"/>
    <s v="eth1/50"/>
    <x v="0"/>
    <x v="0"/>
    <x v="0"/>
    <s v="LINK_HACIA_SPINE"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50"/>
    <x v="0"/>
    <x v="0"/>
    <x v="0"/>
    <s v="LINK_HACIA_SPINE"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50"/>
    <x v="0"/>
    <x v="0"/>
    <x v="0"/>
    <s v="LINK_HACIA_SPINE"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50"/>
    <x v="1"/>
    <x v="1"/>
    <x v="2"/>
    <s v="LINK_HACIA_SPINE"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50"/>
    <x v="0"/>
    <x v="0"/>
    <x v="0"/>
    <s v="LINK_HACIA_SPINE"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50"/>
    <x v="0"/>
    <x v="0"/>
    <x v="0"/>
    <s v="LINK_HACIA_SPINE"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50"/>
    <x v="1"/>
    <x v="1"/>
    <x v="3"/>
    <s v="LINK_HACIA_SPINE"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50"/>
    <x v="0"/>
    <x v="0"/>
    <x v="0"/>
    <s v="LINK_HACIA_SPINE"/>
    <x v="0"/>
    <b v="0"/>
    <s v="No está en VPC"/>
    <n v="431"/>
    <s v="NO EXISTE PG"/>
    <s v="NO EXISTE ISEL"/>
    <n v="0"/>
    <s v="NO TIENE L3OUT"/>
    <n v="46"/>
    <n v="54"/>
  </r>
  <r>
    <n v="433"/>
    <x v="1"/>
    <x v="27"/>
    <s v="eth1/50"/>
    <x v="0"/>
    <x v="0"/>
    <x v="0"/>
    <s v="LINK_HACIA_SPINE"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50"/>
    <x v="0"/>
    <x v="0"/>
    <x v="0"/>
    <s v="LINK_HACIA_SPINE"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50"/>
    <x v="0"/>
    <x v="0"/>
    <x v="0"/>
    <s v="LINK_HACIA_SPINE"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50"/>
    <x v="0"/>
    <x v="0"/>
    <x v="0"/>
    <s v="LINK_HACIA_SPINE"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50"/>
    <x v="0"/>
    <x v="0"/>
    <x v="0"/>
    <s v="LINK_HACIA_SPINE"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50"/>
    <x v="0"/>
    <x v="0"/>
    <x v="0"/>
    <s v="LINK_HACIA_SPINE"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50"/>
    <x v="0"/>
    <x v="0"/>
    <x v="0"/>
    <s v="LINK_HACIA_SPINE"/>
    <x v="0"/>
    <b v="0"/>
    <s v="No está en VPC"/>
    <n v="712"/>
    <s v="NO EXISTE PG"/>
    <s v="NO EXISTE ISEL"/>
    <n v="0"/>
    <s v="NO TIENE L3OUT"/>
    <n v="32"/>
    <n v="54"/>
  </r>
  <r>
    <n v="719"/>
    <x v="2"/>
    <x v="34"/>
    <s v="eth1/50"/>
    <x v="0"/>
    <x v="0"/>
    <x v="0"/>
    <s v="LINK_HACIA_SPINE"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50"/>
    <x v="0"/>
    <x v="0"/>
    <x v="0"/>
    <s v="LINK_HACIA_SPINE"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50"/>
    <x v="0"/>
    <x v="0"/>
    <x v="0"/>
    <s v="LINK_HACIA_SPINE"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50"/>
    <x v="0"/>
    <x v="0"/>
    <x v="0"/>
    <s v="LINK_HACIA_SPINE"/>
    <x v="0"/>
    <b v="0"/>
    <s v="No está en VPC"/>
    <n v="711"/>
    <s v="NO EXISTE PG"/>
    <s v="NO EXISTE ISEL"/>
    <n v="0"/>
    <s v="NO TIENE L3OUT"/>
    <n v="16"/>
    <n v="54"/>
  </r>
  <r>
    <n v="716"/>
    <x v="2"/>
    <x v="38"/>
    <s v="eth1/50"/>
    <x v="0"/>
    <x v="0"/>
    <x v="0"/>
    <s v="LINK_HACIA_SPINE"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50"/>
    <x v="0"/>
    <x v="0"/>
    <x v="0"/>
    <s v="LINK_HACIA_SPINE"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50"/>
    <x v="0"/>
    <x v="0"/>
    <x v="0"/>
    <s v="LINK_HACIA_SPINE"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50"/>
    <x v="0"/>
    <x v="0"/>
    <x v="0"/>
    <s v="LINK_HACIA_SPINE"/>
    <x v="0"/>
    <b v="0"/>
    <s v="No está en VPC"/>
    <n v="446"/>
    <s v="NO EXISTE PG"/>
    <s v="NO EXISTE ISEL"/>
    <n v="0"/>
    <s v="NO TIENE L3OUT"/>
    <n v="198"/>
    <n v="54"/>
  </r>
  <r>
    <n v="444"/>
    <x v="1"/>
    <x v="42"/>
    <s v="eth1/50"/>
    <x v="0"/>
    <x v="0"/>
    <x v="0"/>
    <s v="LINK_HACIA_SPINE"/>
    <x v="0"/>
    <b v="0"/>
    <s v="No está en VPC"/>
    <n v="444"/>
    <s v="NO EXISTE PG"/>
    <s v="NO EXISTE ISEL"/>
    <n v="0"/>
    <s v="NO TIENE L3OUT"/>
    <n v="234"/>
    <n v="54"/>
  </r>
  <r>
    <n v="701"/>
    <x v="2"/>
    <x v="43"/>
    <s v="eth1/50"/>
    <x v="0"/>
    <x v="0"/>
    <x v="0"/>
    <s v="LINK_HACIA_SPINE"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50"/>
    <x v="0"/>
    <x v="0"/>
    <x v="0"/>
    <s v="LINK_HACIA_SPINE"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50"/>
    <x v="0"/>
    <x v="0"/>
    <x v="0"/>
    <s v="LINK_HACIA_SPINE"/>
    <x v="0"/>
    <b v="0"/>
    <s v="No está en VPC"/>
    <n v="448"/>
    <s v="NO EXISTE PG"/>
    <s v="NO EXISTE ISEL"/>
    <n v="0"/>
    <s v="NO TIENE L3OUT"/>
    <n v="46"/>
    <n v="54"/>
  </r>
  <r>
    <n v="704"/>
    <x v="2"/>
    <x v="46"/>
    <s v="eth1/50"/>
    <x v="0"/>
    <x v="0"/>
    <x v="0"/>
    <s v="LINK_HACIA_SPINE"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50"/>
    <x v="0"/>
    <x v="0"/>
    <x v="0"/>
    <s v="LINK_HACIA_SPINE"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50"/>
    <x v="0"/>
    <x v="0"/>
    <x v="0"/>
    <s v="LINK_HACIA_SPINE"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50"/>
    <x v="0"/>
    <x v="0"/>
    <x v="0"/>
    <s v="LINK_HACIA_SPINE"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50"/>
    <x v="0"/>
    <x v="0"/>
    <x v="0"/>
    <s v="LINK_HACIA_SPINE"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50"/>
    <x v="0"/>
    <x v="0"/>
    <x v="0"/>
    <s v="LINK_HACIA_SPINE"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50"/>
    <x v="0"/>
    <x v="0"/>
    <x v="0"/>
    <s v="LINK_HACIA_SPINE"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50"/>
    <x v="0"/>
    <x v="0"/>
    <x v="0"/>
    <s v="LINK_HACIA_SPINE"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50"/>
    <x v="0"/>
    <x v="0"/>
    <x v="0"/>
    <s v="LINK_HACIA_SPINE"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50"/>
    <x v="0"/>
    <x v="0"/>
    <x v="0"/>
    <s v="LINK_HACIA_SPINE"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50"/>
    <x v="0"/>
    <x v="0"/>
    <x v="0"/>
    <s v="LINK_HACIA_SPINE"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50"/>
    <x v="0"/>
    <x v="0"/>
    <x v="0"/>
    <s v="LINK_HACIA_SPINE"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50"/>
    <x v="0"/>
    <x v="0"/>
    <x v="0"/>
    <s v="LINK_HACIA_SPINE"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50"/>
    <x v="0"/>
    <x v="0"/>
    <x v="0"/>
    <s v="LINK_HACIA_SPINE"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50"/>
    <x v="0"/>
    <x v="0"/>
    <x v="0"/>
    <s v="LINK_HACIA_SPINE"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50"/>
    <x v="0"/>
    <x v="1"/>
    <x v="3"/>
    <m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50"/>
    <x v="0"/>
    <x v="0"/>
    <x v="0"/>
    <s v="LINK_HACIA_SPINE"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50"/>
    <x v="0"/>
    <x v="0"/>
    <x v="0"/>
    <s v="LINK_HACIA_SPINE"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50"/>
    <x v="0"/>
    <x v="0"/>
    <x v="0"/>
    <s v="LINK_HACIA_SPINE"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50"/>
    <x v="0"/>
    <x v="0"/>
    <x v="0"/>
    <s v="LINK_HACIA_SPINE"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50"/>
    <x v="0"/>
    <x v="0"/>
    <x v="0"/>
    <s v="LINK_HACIA_SPINE"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50"/>
    <x v="0"/>
    <x v="0"/>
    <x v="0"/>
    <s v="LINK_HACIA_SPINE"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50"/>
    <x v="0"/>
    <x v="0"/>
    <x v="0"/>
    <s v="LINK_HACIA_SPINE"/>
    <x v="0"/>
    <b v="0"/>
    <s v="No está en VPC"/>
    <n v="780"/>
    <s v="NO EXISTE PG"/>
    <s v="NO EXISTE ISEL"/>
    <n v="0"/>
    <s v="NO TIENE L3OUT"/>
    <n v="26"/>
    <n v="54"/>
  </r>
  <r>
    <n v="812"/>
    <x v="2"/>
    <x v="70"/>
    <s v="eth1/50"/>
    <x v="0"/>
    <x v="0"/>
    <x v="0"/>
    <s v="LINK_HACIA_SPINE"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50"/>
    <x v="0"/>
    <x v="0"/>
    <x v="0"/>
    <s v="LINK_HACIA_SPINE"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50"/>
    <x v="0"/>
    <x v="0"/>
    <x v="0"/>
    <s v="LINK_HACIA_SPINE"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50"/>
    <x v="0"/>
    <x v="0"/>
    <x v="0"/>
    <s v="LINK_HACIA_SPINE"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50"/>
    <x v="0"/>
    <x v="0"/>
    <x v="0"/>
    <s v="LINK_HACIA_SPINE"/>
    <x v="0"/>
    <b v="0"/>
    <s v="No está en VPC"/>
    <n v="824"/>
    <s v="NO EXISTE PG"/>
    <s v="NO EXISTE ISEL"/>
    <n v="0"/>
    <s v="NO TIENE L3OUT"/>
    <n v="70"/>
    <n v="54"/>
  </r>
  <r>
    <n v="819"/>
    <x v="2"/>
    <x v="75"/>
    <s v="eth1/50"/>
    <x v="0"/>
    <x v="0"/>
    <x v="0"/>
    <s v="LINK_HACIA_SPINE"/>
    <x v="0"/>
    <b v="0"/>
    <s v="No está en VPC"/>
    <n v="819"/>
    <s v="NO EXISTE PG"/>
    <s v="NO EXISTE ISEL"/>
    <n v="0"/>
    <s v="NO TIENE L3OUT"/>
    <n v="70"/>
    <n v="54"/>
  </r>
  <r>
    <n v="737"/>
    <x v="2"/>
    <x v="76"/>
    <s v="eth1/50"/>
    <x v="0"/>
    <x v="1"/>
    <x v="3"/>
    <m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50"/>
    <x v="0"/>
    <x v="0"/>
    <x v="0"/>
    <s v="LINK_HACIA_SPINE"/>
    <x v="0"/>
    <b v="0"/>
    <s v="No está en VPC"/>
    <n v="844"/>
    <s v="NO EXISTE PG"/>
    <s v="NO EXISTE ISEL"/>
    <n v="0"/>
    <s v="NO TIENE L3OUT"/>
    <n v="282"/>
    <n v="54"/>
  </r>
  <r>
    <n v="843"/>
    <x v="2"/>
    <x v="78"/>
    <s v="eth1/50"/>
    <x v="0"/>
    <x v="0"/>
    <x v="0"/>
    <s v="LINK_HACIA_SPINE"/>
    <x v="0"/>
    <b v="0"/>
    <s v="No está en VPC"/>
    <n v="843"/>
    <s v="NO EXISTE PG"/>
    <s v="NO EXISTE ISEL"/>
    <n v="0"/>
    <s v="NO TIENE L3OUT"/>
    <n v="38"/>
    <n v="54"/>
  </r>
  <r>
    <n v="797"/>
    <x v="2"/>
    <x v="79"/>
    <s v="eth1/50"/>
    <x v="0"/>
    <x v="0"/>
    <x v="0"/>
    <s v="LINK_HACIA_SPINE"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50"/>
    <x v="0"/>
    <x v="0"/>
    <x v="0"/>
    <s v="LINK_HACIA_SPINE"/>
    <x v="0"/>
    <b v="0"/>
    <s v="No está en VPC"/>
    <n v="839"/>
    <s v="NO EXISTE PG"/>
    <s v="NO EXISTE ISEL"/>
    <n v="0"/>
    <s v="NO TIENE L3OUT"/>
    <n v="0"/>
    <n v="54"/>
  </r>
  <r>
    <n v="847"/>
    <x v="2"/>
    <x v="81"/>
    <s v="eth1/50"/>
    <x v="0"/>
    <x v="0"/>
    <x v="0"/>
    <s v="LINK_HACIA_SPINE"/>
    <x v="0"/>
    <b v="0"/>
    <s v="No está en VPC"/>
    <n v="847"/>
    <s v="NO EXISTE PG"/>
    <s v="NO EXISTE ISEL"/>
    <n v="0"/>
    <s v="NO TIENE L3OUT"/>
    <n v="204"/>
    <n v="54"/>
  </r>
  <r>
    <n v="848"/>
    <x v="2"/>
    <x v="82"/>
    <s v="eth1/50"/>
    <x v="0"/>
    <x v="0"/>
    <x v="0"/>
    <s v="LINK_HACIA_SPINE"/>
    <x v="0"/>
    <b v="0"/>
    <s v="No está en VPC"/>
    <n v="848"/>
    <s v="NO EXISTE PG"/>
    <s v="NO EXISTE ISEL"/>
    <n v="0"/>
    <s v="NO TIENE L3OUT"/>
    <n v="254"/>
    <n v="54"/>
  </r>
  <r>
    <n v="846"/>
    <x v="2"/>
    <x v="83"/>
    <s v="eth1/50"/>
    <x v="0"/>
    <x v="0"/>
    <x v="0"/>
    <s v="LINK_HACIA_SPINE"/>
    <x v="0"/>
    <b v="0"/>
    <s v="No está en VPC"/>
    <n v="846"/>
    <s v="NO EXISTE PG"/>
    <s v="NO EXISTE ISEL"/>
    <n v="0"/>
    <s v="NO TIENE L3OUT"/>
    <n v="242"/>
    <n v="54"/>
  </r>
  <r>
    <n v="838"/>
    <x v="2"/>
    <x v="84"/>
    <s v="eth1/50"/>
    <x v="0"/>
    <x v="0"/>
    <x v="0"/>
    <s v="LINK_HACIA_SPINE"/>
    <x v="0"/>
    <b v="0"/>
    <s v="No está en VPC"/>
    <n v="838"/>
    <s v="NO EXISTE PG"/>
    <s v="NO EXISTE ISEL"/>
    <n v="0"/>
    <s v="NO TIENE L3OUT"/>
    <n v="38"/>
    <n v="54"/>
  </r>
  <r>
    <n v="849"/>
    <x v="2"/>
    <x v="85"/>
    <s v="eth1/50"/>
    <x v="0"/>
    <x v="0"/>
    <x v="0"/>
    <s v="LINK_HACIA_SPINE"/>
    <x v="0"/>
    <b v="0"/>
    <s v="No está en VPC"/>
    <n v="849"/>
    <s v="NO EXISTE PG"/>
    <s v="NO EXISTE ISEL"/>
    <n v="0"/>
    <s v="NO TIENE L3OUT"/>
    <n v="286"/>
    <n v="54"/>
  </r>
  <r>
    <n v="845"/>
    <x v="2"/>
    <x v="86"/>
    <s v="eth1/50"/>
    <x v="0"/>
    <x v="0"/>
    <x v="0"/>
    <s v="LINK_HACIA_SPINE"/>
    <x v="0"/>
    <b v="0"/>
    <s v="No está en VPC"/>
    <n v="845"/>
    <s v="NO EXISTE PG"/>
    <s v="NO EXISTE ISEL"/>
    <n v="0"/>
    <s v="NO TIENE L3OUT"/>
    <n v="258"/>
    <n v="54"/>
  </r>
  <r>
    <n v="873"/>
    <x v="2"/>
    <x v="87"/>
    <s v="eth1/50"/>
    <x v="0"/>
    <x v="0"/>
    <x v="0"/>
    <s v="LINK_HACIA_SPINE"/>
    <x v="0"/>
    <b v="0"/>
    <s v="No está en VPC"/>
    <n v="873"/>
    <s v="NO EXISTE PG"/>
    <s v="NO EXISTE ISEL"/>
    <n v="0"/>
    <s v="NO TIENE L3OUT"/>
    <n v="248"/>
    <n v="54"/>
  </r>
  <r>
    <n v="864"/>
    <x v="2"/>
    <x v="88"/>
    <s v="eth1/50"/>
    <x v="0"/>
    <x v="0"/>
    <x v="0"/>
    <s v="LINK_HACIA_SPINE"/>
    <x v="0"/>
    <b v="0"/>
    <s v="No está en VPC"/>
    <n v="864"/>
    <s v="NO EXISTE PG"/>
    <s v="NO EXISTE ISEL"/>
    <n v="0"/>
    <s v="NO TIENE L3OUT"/>
    <n v="0"/>
    <n v="54"/>
  </r>
  <r>
    <n v="836"/>
    <x v="2"/>
    <x v="89"/>
    <s v="eth1/50"/>
    <x v="0"/>
    <x v="0"/>
    <x v="0"/>
    <s v="LINK_HACIA_SPINE"/>
    <x v="0"/>
    <b v="0"/>
    <s v="No está en VPC"/>
    <n v="836"/>
    <s v="NO EXISTE PG"/>
    <s v="NO EXISTE ISEL"/>
    <n v="0"/>
    <s v="NO TIENE L3OUT"/>
    <n v="0"/>
    <n v="54"/>
  </r>
  <r>
    <n v="834"/>
    <x v="2"/>
    <x v="90"/>
    <s v="eth1/50"/>
    <x v="0"/>
    <x v="0"/>
    <x v="0"/>
    <s v="LINK_HACIA_SPINE"/>
    <x v="0"/>
    <b v="0"/>
    <s v="No está en VPC"/>
    <n v="834"/>
    <s v="NO EXISTE PG"/>
    <s v="NO EXISTE ISEL"/>
    <n v="0"/>
    <s v="NO TIENE L3OUT"/>
    <n v="0"/>
    <n v="54"/>
  </r>
  <r>
    <n v="872"/>
    <x v="2"/>
    <x v="91"/>
    <s v="eth1/50"/>
    <x v="0"/>
    <x v="0"/>
    <x v="0"/>
    <s v="LINK_HACIA_SPINE"/>
    <x v="0"/>
    <b v="0"/>
    <s v="No está en VPC"/>
    <n v="872"/>
    <s v="NO EXISTE PG"/>
    <s v="NO EXISTE ISEL"/>
    <n v="0"/>
    <s v="NO TIENE L3OUT"/>
    <n v="288"/>
    <n v="54"/>
  </r>
  <r>
    <n v="842"/>
    <x v="2"/>
    <x v="92"/>
    <s v="eth1/50"/>
    <x v="0"/>
    <x v="0"/>
    <x v="0"/>
    <s v="LINK_HACIA_SPINE"/>
    <x v="0"/>
    <b v="0"/>
    <s v="No está en VPC"/>
    <n v="842"/>
    <s v="NO EXISTE PG"/>
    <s v="NO EXISTE ISEL"/>
    <n v="0"/>
    <s v="NO TIENE L3OUT"/>
    <n v="8"/>
    <n v="54"/>
  </r>
  <r>
    <n v="828"/>
    <x v="2"/>
    <x v="93"/>
    <s v="eth1/50"/>
    <x v="0"/>
    <x v="0"/>
    <x v="0"/>
    <s v="LINK_HACIA_SPINE"/>
    <x v="0"/>
    <b v="0"/>
    <s v="No está en VPC"/>
    <n v="828"/>
    <s v="NO EXISTE PG"/>
    <s v="NO EXISTE ISEL"/>
    <n v="0"/>
    <s v="NO TIENE L3OUT"/>
    <n v="192"/>
    <n v="54"/>
  </r>
  <r>
    <n v="870"/>
    <x v="2"/>
    <x v="94"/>
    <s v="eth1/50"/>
    <x v="0"/>
    <x v="0"/>
    <x v="0"/>
    <s v="LINK_HACIA_SPINE"/>
    <x v="0"/>
    <b v="0"/>
    <s v="No está en VPC"/>
    <n v="870"/>
    <s v="NO EXISTE PG"/>
    <s v="NO EXISTE ISEL"/>
    <n v="0"/>
    <s v="NO TIENE L3OUT"/>
    <n v="248"/>
    <n v="54"/>
  </r>
  <r>
    <n v="866"/>
    <x v="2"/>
    <x v="95"/>
    <s v="eth1/50"/>
    <x v="0"/>
    <x v="0"/>
    <x v="0"/>
    <s v="LINK_HACIA_SPINE"/>
    <x v="0"/>
    <b v="0"/>
    <s v="No está en VPC"/>
    <n v="866"/>
    <s v="NO EXISTE PG"/>
    <s v="NO EXISTE ISEL"/>
    <n v="0"/>
    <s v="NO TIENE L3OUT"/>
    <n v="8"/>
    <n v="54"/>
  </r>
  <r>
    <n v="862"/>
    <x v="2"/>
    <x v="96"/>
    <s v="eth1/50"/>
    <x v="0"/>
    <x v="0"/>
    <x v="0"/>
    <s v="LINK_HACIA_SPINE"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50"/>
    <x v="0"/>
    <x v="0"/>
    <x v="0"/>
    <s v="LINK_HACIA_SPINE"/>
    <x v="0"/>
    <b v="0"/>
    <s v="No está en VPC"/>
    <n v="855"/>
    <s v="NO EXISTE PG"/>
    <s v="NO EXISTE ISEL"/>
    <n v="0"/>
    <s v="NO TIENE L3OUT"/>
    <n v="254"/>
    <n v="54"/>
  </r>
  <r>
    <n v="871"/>
    <x v="2"/>
    <x v="98"/>
    <s v="eth1/50"/>
    <x v="0"/>
    <x v="0"/>
    <x v="0"/>
    <s v="LINK_HACIA_SPINE"/>
    <x v="0"/>
    <b v="0"/>
    <s v="No está en VPC"/>
    <n v="871"/>
    <s v="NO EXISTE PG"/>
    <s v="NO EXISTE ISEL"/>
    <n v="0"/>
    <s v="NO TIENE L3OUT"/>
    <n v="246"/>
    <n v="54"/>
  </r>
  <r>
    <n v="841"/>
    <x v="2"/>
    <x v="99"/>
    <s v="eth1/50"/>
    <x v="0"/>
    <x v="0"/>
    <x v="0"/>
    <s v="LINK_HACIA_SPINE"/>
    <x v="0"/>
    <b v="0"/>
    <s v="No está en VPC"/>
    <n v="841"/>
    <s v="NO EXISTE PG"/>
    <s v="NO EXISTE ISEL"/>
    <n v="0"/>
    <s v="NO TIENE L3OUT"/>
    <n v="0"/>
    <n v="54"/>
  </r>
  <r>
    <n v="868"/>
    <x v="2"/>
    <x v="100"/>
    <s v="eth1/50"/>
    <x v="0"/>
    <x v="0"/>
    <x v="0"/>
    <s v="LINK_HACIA_SPINE"/>
    <x v="0"/>
    <b v="0"/>
    <s v="No está en VPC"/>
    <n v="868"/>
    <s v="NO EXISTE PG"/>
    <s v="NO EXISTE ISEL"/>
    <n v="0"/>
    <s v="NO TIENE L3OUT"/>
    <n v="246"/>
    <n v="54"/>
  </r>
  <r>
    <n v="869"/>
    <x v="2"/>
    <x v="101"/>
    <s v="eth1/50"/>
    <x v="0"/>
    <x v="0"/>
    <x v="0"/>
    <s v="LINK_HACIA_SPINE"/>
    <x v="0"/>
    <b v="0"/>
    <s v="No está en VPC"/>
    <n v="869"/>
    <s v="NO EXISTE PG"/>
    <s v="NO EXISTE ISEL"/>
    <n v="0"/>
    <s v="NO TIENE L3OUT"/>
    <n v="288"/>
    <n v="54"/>
  </r>
  <r>
    <n v="861"/>
    <x v="2"/>
    <x v="102"/>
    <s v="eth1/50"/>
    <x v="0"/>
    <x v="0"/>
    <x v="0"/>
    <s v="LINK_HACIA_SPINE"/>
    <x v="0"/>
    <b v="0"/>
    <s v="No está en VPC"/>
    <n v="861"/>
    <s v="NO EXISTE PG"/>
    <s v="NO EXISTE ISEL"/>
    <n v="0"/>
    <s v="NO TIENE L3OUT"/>
    <n v="8"/>
    <n v="54"/>
  </r>
  <r>
    <n v="874"/>
    <x v="2"/>
    <x v="103"/>
    <s v="eth1/50"/>
    <x v="0"/>
    <x v="0"/>
    <x v="0"/>
    <s v="LINK_HACIA_SPINE"/>
    <x v="4"/>
    <b v="0"/>
    <s v="No está en VPC"/>
    <n v="874"/>
    <s v="NO EXISTE PG"/>
    <s v="NO EXISTE ISEL"/>
    <n v="0"/>
    <s v="NO TIENE L3OUT"/>
    <n v="92"/>
    <n v="54"/>
  </r>
  <r>
    <n v="865"/>
    <x v="2"/>
    <x v="104"/>
    <s v="eth1/50"/>
    <x v="0"/>
    <x v="0"/>
    <x v="0"/>
    <s v="LINK_HACIA_SPINE"/>
    <x v="0"/>
    <b v="0"/>
    <s v="No está en VPC"/>
    <n v="865"/>
    <s v="NO EXISTE PG"/>
    <s v="NO EXISTE ISEL"/>
    <n v="0"/>
    <s v="NO TIENE L3OUT"/>
    <n v="0"/>
    <n v="54"/>
  </r>
  <r>
    <n v="753"/>
    <x v="2"/>
    <x v="105"/>
    <s v="eth1/50"/>
    <x v="0"/>
    <x v="0"/>
    <x v="0"/>
    <s v="LINK_HACIA_SPINE"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50"/>
    <x v="0"/>
    <x v="0"/>
    <x v="0"/>
    <s v="LINK_HACIA_SPINE"/>
    <x v="0"/>
    <b v="0"/>
    <s v="No está en VPC"/>
    <n v="708"/>
    <s v="NO EXISTE PG"/>
    <s v="NO EXISTE ISEL"/>
    <n v="0"/>
    <s v="NO TIENE L3OUT"/>
    <n v="0"/>
    <n v="54"/>
  </r>
  <r>
    <n v="710"/>
    <x v="2"/>
    <x v="107"/>
    <s v="eth1/50"/>
    <x v="0"/>
    <x v="0"/>
    <x v="0"/>
    <s v="LINK_HACIA_SPINE"/>
    <x v="0"/>
    <b v="0"/>
    <s v="No está en VPC"/>
    <n v="710"/>
    <s v="NO EXISTE PG"/>
    <s v="NO EXISTE ISEL"/>
    <n v="0"/>
    <s v="NO TIENE L3OUT"/>
    <n v="16"/>
    <n v="54"/>
  </r>
  <r>
    <n v="713"/>
    <x v="2"/>
    <x v="108"/>
    <s v="eth1/50"/>
    <x v="0"/>
    <x v="0"/>
    <x v="0"/>
    <s v="LINK_HACIA_SPINE"/>
    <x v="0"/>
    <b v="0"/>
    <s v="No está en VPC"/>
    <n v="713"/>
    <s v="NO EXISTE PG"/>
    <s v="NO EXISTE ISEL"/>
    <n v="0"/>
    <s v="NO TIENE L3OUT"/>
    <n v="32"/>
    <n v="54"/>
  </r>
  <r>
    <n v="735"/>
    <x v="2"/>
    <x v="109"/>
    <s v="eth1/50"/>
    <x v="0"/>
    <x v="1"/>
    <x v="3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50"/>
    <x v="0"/>
    <x v="0"/>
    <x v="0"/>
    <s v="LINK_HACIA_SPINE"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50"/>
    <x v="0"/>
    <x v="0"/>
    <x v="0"/>
    <s v="LINK_HACIA_SPINE"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50"/>
    <x v="0"/>
    <x v="0"/>
    <x v="0"/>
    <s v="LINK_HACIA_SPINE"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50"/>
    <x v="0"/>
    <x v="0"/>
    <x v="0"/>
    <s v="LINK_HACIA_SPINE"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50"/>
    <x v="0"/>
    <x v="0"/>
    <x v="0"/>
    <s v="LINK_HACIA_SPINE"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50"/>
    <x v="0"/>
    <x v="0"/>
    <x v="0"/>
    <s v="LINK_HACIA_SPINE"/>
    <x v="0"/>
    <b v="0"/>
    <s v="No está en VPC"/>
    <n v="826"/>
    <s v="NO EXISTE PG"/>
    <s v="NO EXISTE ISEL"/>
    <n v="0"/>
    <s v="NO TIENE L3OUT"/>
    <n v="12"/>
    <n v="54"/>
  </r>
  <r>
    <n v="726"/>
    <x v="2"/>
    <x v="117"/>
    <s v="eth1/50"/>
    <x v="0"/>
    <x v="0"/>
    <x v="0"/>
    <s v="LINK_HACIA_SPINE"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50"/>
    <x v="0"/>
    <x v="1"/>
    <x v="3"/>
    <m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50"/>
    <x v="0"/>
    <x v="0"/>
    <x v="0"/>
    <s v="LINK_HACIA_SPINE"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50"/>
    <x v="0"/>
    <x v="0"/>
    <x v="0"/>
    <s v="LINK_HACIA_SPINE"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50"/>
    <x v="0"/>
    <x v="0"/>
    <x v="0"/>
    <s v="LINK_HACIA_SPINE"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50"/>
    <x v="0"/>
    <x v="0"/>
    <x v="0"/>
    <s v="LINK_HACIA_SPINE"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50"/>
    <x v="0"/>
    <x v="0"/>
    <x v="0"/>
    <s v="LINK_HACIA_SPINE"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50"/>
    <x v="0"/>
    <x v="0"/>
    <x v="0"/>
    <s v="LINK_HACIA_SPINE"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50"/>
    <x v="0"/>
    <x v="0"/>
    <x v="0"/>
    <s v="LINK_HACIA_SPINE"/>
    <x v="0"/>
    <b v="0"/>
    <s v="No está en VPC"/>
    <n v="709"/>
    <s v="NO EXISTE PG"/>
    <s v="NO EXISTE ISEL"/>
    <n v="0"/>
    <s v="NO TIENE L3OUT"/>
    <n v="0"/>
    <n v="54"/>
  </r>
  <r>
    <n v="454"/>
    <x v="1"/>
    <x v="126"/>
    <s v="eth1/50"/>
    <x v="0"/>
    <x v="0"/>
    <x v="0"/>
    <s v="LINK_HACIA_SPINE"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50"/>
    <x v="0"/>
    <x v="1"/>
    <x v="3"/>
    <m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50"/>
    <x v="0"/>
    <x v="0"/>
    <x v="0"/>
    <s v="LINK_HACIA_SPINE"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50"/>
    <x v="0"/>
    <x v="0"/>
    <x v="0"/>
    <s v="LINK_HACIA_SPINE"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50"/>
    <x v="0"/>
    <x v="0"/>
    <x v="0"/>
    <s v="LINK_HACIA_SPINE"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50"/>
    <x v="0"/>
    <x v="1"/>
    <x v="3"/>
    <m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50"/>
    <x v="0"/>
    <x v="0"/>
    <x v="0"/>
    <s v="LINK_HACIA_SPINE"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50"/>
    <x v="0"/>
    <x v="0"/>
    <x v="0"/>
    <s v="LINK_HACIA_SPINE"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50"/>
    <x v="0"/>
    <x v="0"/>
    <x v="0"/>
    <s v="LINK_HACIA_SPINE"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50"/>
    <x v="0"/>
    <x v="0"/>
    <x v="0"/>
    <s v="LINK_HACIA_SPINE"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50"/>
    <x v="0"/>
    <x v="0"/>
    <x v="0"/>
    <s v="LINK_HACIA_SPINE"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50"/>
    <x v="0"/>
    <x v="0"/>
    <x v="0"/>
    <s v="LINK_HACIA_SPINE"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50"/>
    <x v="0"/>
    <x v="0"/>
    <x v="0"/>
    <s v="LINK_HACIA_SPINE"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50"/>
    <x v="0"/>
    <x v="0"/>
    <x v="0"/>
    <s v="LINK_HACIA_SPINE"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50"/>
    <x v="0"/>
    <x v="0"/>
    <x v="0"/>
    <s v="LINK_HACIA_SPINE"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50"/>
    <x v="0"/>
    <x v="0"/>
    <x v="0"/>
    <s v="LINK_HACIA_SPINE"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50"/>
    <x v="0"/>
    <x v="0"/>
    <x v="0"/>
    <s v="LINK_HACIA_SPINE"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50"/>
    <x v="0"/>
    <x v="0"/>
    <x v="0"/>
    <s v="LINK_HACIA_SPINE"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50"/>
    <x v="0"/>
    <x v="0"/>
    <x v="0"/>
    <s v="LINK_HACIA_SPINE"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50"/>
    <x v="0"/>
    <x v="0"/>
    <x v="0"/>
    <s v="LINK_HACIA_SPINE"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50"/>
    <x v="0"/>
    <x v="0"/>
    <x v="0"/>
    <s v="LINK_HACIA_SPINE"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50"/>
    <x v="0"/>
    <x v="0"/>
    <x v="0"/>
    <s v="LINK_HACIA_SPINE"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50"/>
    <x v="0"/>
    <x v="0"/>
    <x v="0"/>
    <s v="LINK_HACIA_SPINE"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50"/>
    <x v="0"/>
    <x v="0"/>
    <x v="0"/>
    <s v="LINK_HACIA_SPINE"/>
    <x v="0"/>
    <b v="0"/>
    <s v="No está en VPC"/>
    <n v="781"/>
    <s v="NO EXISTE PG"/>
    <s v="NO EXISTE ISEL"/>
    <n v="0"/>
    <s v="NO TIENE L3OUT"/>
    <n v="26"/>
    <n v="54"/>
  </r>
  <r>
    <n v="793"/>
    <x v="2"/>
    <x v="151"/>
    <s v="eth1/50"/>
    <x v="0"/>
    <x v="0"/>
    <x v="0"/>
    <s v="LINK_HACIA_SPINE"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50"/>
    <x v="0"/>
    <x v="0"/>
    <x v="0"/>
    <s v="LINK_HACIA_SPINE"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50"/>
    <x v="0"/>
    <x v="0"/>
    <x v="0"/>
    <s v="LINK_HACIA_SPINE"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50"/>
    <x v="0"/>
    <x v="0"/>
    <x v="0"/>
    <s v="LINK_HACIA_SPINE"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50"/>
    <x v="0"/>
    <x v="0"/>
    <x v="0"/>
    <s v="LINK_HACIA_SPINE"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50"/>
    <x v="0"/>
    <x v="0"/>
    <x v="0"/>
    <s v="LINK_HACIA_SPINE"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50"/>
    <x v="0"/>
    <x v="0"/>
    <x v="0"/>
    <s v="LINK_HACIA_SPINE"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50"/>
    <x v="0"/>
    <x v="1"/>
    <x v="3"/>
    <m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50"/>
    <x v="0"/>
    <x v="0"/>
    <x v="0"/>
    <s v="LINK_HACIA_SPINE"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50"/>
    <x v="0"/>
    <x v="0"/>
    <x v="0"/>
    <s v="LINK_HACIA_SPINE"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50"/>
    <x v="0"/>
    <x v="0"/>
    <x v="0"/>
    <s v="LINK_HACIA_SPINE"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50"/>
    <x v="0"/>
    <x v="0"/>
    <x v="0"/>
    <s v="LINK_HACIA_SPINE"/>
    <x v="0"/>
    <b v="0"/>
    <s v="No está en VPC"/>
    <n v="830"/>
    <s v="NO EXISTE PG"/>
    <s v="NO EXISTE ISEL"/>
    <n v="0"/>
    <s v="NO TIENE L3OUT"/>
    <n v="12"/>
    <n v="54"/>
  </r>
  <r>
    <n v="821"/>
    <x v="2"/>
    <x v="163"/>
    <s v="eth1/50"/>
    <x v="0"/>
    <x v="0"/>
    <x v="0"/>
    <s v="LINK_HACIA_SPINE"/>
    <x v="0"/>
    <b v="0"/>
    <s v="No está en VPC"/>
    <n v="821"/>
    <s v="NO EXISTE PG"/>
    <s v="NO EXISTE ISEL"/>
    <n v="0"/>
    <s v="NO TIENE L3OUT"/>
    <n v="0"/>
    <n v="54"/>
  </r>
  <r>
    <n v="738"/>
    <x v="2"/>
    <x v="164"/>
    <s v="eth1/50"/>
    <x v="0"/>
    <x v="1"/>
    <x v="3"/>
    <m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50"/>
    <x v="0"/>
    <x v="0"/>
    <x v="0"/>
    <s v="LINK_HACIA_SPINE"/>
    <x v="0"/>
    <b v="0"/>
    <s v="No está en VPC"/>
    <n v="820"/>
    <s v="NO EXISTE PG"/>
    <s v="NO EXISTE ISEL"/>
    <n v="0"/>
    <s v="NO TIENE L3OUT"/>
    <n v="72"/>
    <n v="54"/>
  </r>
  <r>
    <n v="804"/>
    <x v="2"/>
    <x v="166"/>
    <s v="eth1/50"/>
    <x v="0"/>
    <x v="0"/>
    <x v="0"/>
    <s v="LINK_HACIA_SPINE"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50"/>
    <x v="0"/>
    <x v="0"/>
    <x v="0"/>
    <s v="LINK_HACIA_SPINE"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50"/>
    <x v="0"/>
    <x v="0"/>
    <x v="0"/>
    <s v="LINK_HACIA_SPINE"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50"/>
    <x v="0"/>
    <x v="0"/>
    <x v="0"/>
    <s v="LINK_HACIA_SPINE"/>
    <x v="0"/>
    <b v="0"/>
    <s v="No está en VPC"/>
    <n v="827"/>
    <s v="NO EXISTE PG"/>
    <s v="NO EXISTE ISEL"/>
    <n v="0"/>
    <s v="NO TIENE L3OUT"/>
    <n v="14"/>
    <n v="54"/>
  </r>
  <r>
    <n v="809"/>
    <x v="2"/>
    <x v="170"/>
    <s v="eth1/50"/>
    <x v="0"/>
    <x v="0"/>
    <x v="0"/>
    <s v="LINK_HACIA_SPINE"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50"/>
    <x v="0"/>
    <x v="0"/>
    <x v="0"/>
    <s v="LINK_HACIA_SPINE"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50"/>
    <x v="0"/>
    <x v="0"/>
    <x v="0"/>
    <s v="LINK_HACIA_SPINE"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50"/>
    <x v="0"/>
    <x v="0"/>
    <x v="0"/>
    <s v="LINK_HACIA_SPINE"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50"/>
    <x v="0"/>
    <x v="0"/>
    <x v="0"/>
    <s v="LINK_HACIA_SPINE"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50"/>
    <x v="0"/>
    <x v="0"/>
    <x v="0"/>
    <s v="LINK_HACIA_SPINE"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50"/>
    <x v="0"/>
    <x v="0"/>
    <x v="0"/>
    <s v="LINK_HACIA_SPINE"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50"/>
    <x v="0"/>
    <x v="0"/>
    <x v="0"/>
    <s v="LINK_HACIA_SPINE"/>
    <x v="0"/>
    <b v="0"/>
    <s v="No está en VPC"/>
    <n v="851"/>
    <s v="NO EXISTE PG"/>
    <s v="NO EXISTE ISEL"/>
    <n v="0"/>
    <s v="NO TIENE L3OUT"/>
    <n v="282"/>
    <n v="54"/>
  </r>
  <r>
    <n v="798"/>
    <x v="2"/>
    <x v="178"/>
    <s v="eth1/50"/>
    <x v="0"/>
    <x v="0"/>
    <x v="0"/>
    <s v="LINK_HACIA_SPINE"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50"/>
    <x v="0"/>
    <x v="0"/>
    <x v="0"/>
    <s v="LINK_HACIA_SPINE"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50"/>
    <x v="0"/>
    <x v="0"/>
    <x v="0"/>
    <s v="LINK_HACIA_SPINE"/>
    <x v="0"/>
    <b v="0"/>
    <s v="No está en VPC"/>
    <n v="852"/>
    <s v="NO EXISTE PG"/>
    <s v="NO EXISTE ISEL"/>
    <n v="0"/>
    <s v="NO TIENE L3OUT"/>
    <n v="258"/>
    <n v="54"/>
  </r>
  <r>
    <n v="817"/>
    <x v="2"/>
    <x v="181"/>
    <s v="eth1/50"/>
    <x v="0"/>
    <x v="0"/>
    <x v="0"/>
    <s v="LINK_HACIA_SPINE"/>
    <x v="0"/>
    <b v="0"/>
    <s v="No está en VPC"/>
    <n v="817"/>
    <s v="NO EXISTE PG"/>
    <s v="NO EXISTE ISEL"/>
    <n v="0"/>
    <s v="NO TIENE L3OUT"/>
    <n v="0"/>
    <n v="54"/>
  </r>
  <r>
    <n v="832"/>
    <x v="2"/>
    <x v="182"/>
    <s v="eth1/50"/>
    <x v="0"/>
    <x v="0"/>
    <x v="0"/>
    <s v="LINK_HACIA_SPINE"/>
    <x v="0"/>
    <b v="0"/>
    <s v="No está en VPC"/>
    <n v="832"/>
    <s v="NO EXISTE PG"/>
    <s v="NO EXISTE ISEL"/>
    <n v="0"/>
    <s v="NO TIENE L3OUT"/>
    <n v="192"/>
    <n v="54"/>
  </r>
  <r>
    <n v="816"/>
    <x v="2"/>
    <x v="183"/>
    <s v="eth1/50"/>
    <x v="0"/>
    <x v="0"/>
    <x v="0"/>
    <s v="LINK_HACIA_SPINE"/>
    <x v="0"/>
    <b v="0"/>
    <s v="No está en VPC"/>
    <n v="816"/>
    <s v="NO EXISTE PG"/>
    <s v="NO EXISTE ISEL"/>
    <n v="0"/>
    <s v="NO TIENE L3OUT"/>
    <n v="0"/>
    <n v="54"/>
  </r>
  <r>
    <n v="825"/>
    <x v="2"/>
    <x v="184"/>
    <s v="eth1/50"/>
    <x v="0"/>
    <x v="0"/>
    <x v="0"/>
    <s v="LINK_HACIA_SPINE"/>
    <x v="0"/>
    <b v="0"/>
    <s v="No está en VPC"/>
    <n v="825"/>
    <s v="NO EXISTE PG"/>
    <s v="NO EXISTE ISEL"/>
    <n v="0"/>
    <s v="NO TIENE L3OUT"/>
    <n v="72"/>
    <n v="54"/>
  </r>
  <r>
    <n v="800"/>
    <x v="2"/>
    <x v="185"/>
    <s v="eth1/50"/>
    <x v="0"/>
    <x v="0"/>
    <x v="0"/>
    <s v="LINK_HACIA_SPINE"/>
    <x v="0"/>
    <b v="0"/>
    <s v="No está en VPC"/>
    <n v="800"/>
    <s v="NO EXISTE PG"/>
    <s v="NO EXISTE ISEL"/>
    <n v="0"/>
    <s v="NO TIENE L3OUT"/>
    <n v="78"/>
    <n v="54"/>
  </r>
  <r>
    <n v="801"/>
    <x v="2"/>
    <x v="186"/>
    <s v="eth1/50"/>
    <x v="0"/>
    <x v="0"/>
    <x v="0"/>
    <s v="LINK_HACIA_SPINE"/>
    <x v="0"/>
    <b v="0"/>
    <s v="No está en VPC"/>
    <n v="801"/>
    <s v="NO EXISTE PG"/>
    <s v="NO EXISTE ISEL"/>
    <n v="0"/>
    <s v="NO TIENE L3OUT"/>
    <n v="78"/>
    <n v="54"/>
  </r>
  <r>
    <n v="823"/>
    <x v="2"/>
    <x v="187"/>
    <s v="eth1/50"/>
    <x v="0"/>
    <x v="0"/>
    <x v="0"/>
    <s v="LINK_HACIA_SPINE"/>
    <x v="0"/>
    <b v="0"/>
    <s v="No está en VPC"/>
    <n v="823"/>
    <s v="NO EXISTE PG"/>
    <s v="NO EXISTE ISEL"/>
    <n v="0"/>
    <s v="NO TIENE L3OUT"/>
    <n v="8"/>
    <n v="54"/>
  </r>
  <r>
    <n v="837"/>
    <x v="2"/>
    <x v="188"/>
    <s v="eth1/50"/>
    <x v="0"/>
    <x v="0"/>
    <x v="0"/>
    <s v="LINK_HACIA_SPINE"/>
    <x v="0"/>
    <b v="0"/>
    <s v="No está en VPC"/>
    <n v="837"/>
    <s v="NO EXISTE PG"/>
    <s v="NO EXISTE ISEL"/>
    <n v="0"/>
    <s v="NO TIENE L3OUT"/>
    <n v="8"/>
    <n v="54"/>
  </r>
  <r>
    <n v="867"/>
    <x v="2"/>
    <x v="189"/>
    <s v="eth1/50"/>
    <x v="0"/>
    <x v="0"/>
    <x v="0"/>
    <s v="LINK_HACIA_SPINE"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50"/>
    <x v="0"/>
    <x v="0"/>
    <x v="0"/>
    <s v="LINK_HACIA_SPINE"/>
    <x v="0"/>
    <b v="0"/>
    <s v="No está en VPC"/>
    <n v="829"/>
    <s v="NO EXISTE PG"/>
    <s v="NO EXISTE ISEL"/>
    <n v="0"/>
    <s v="NO TIENE L3OUT"/>
    <n v="224"/>
    <n v="54"/>
  </r>
  <r>
    <n v="831"/>
    <x v="2"/>
    <x v="191"/>
    <s v="eth1/50"/>
    <x v="0"/>
    <x v="0"/>
    <x v="0"/>
    <s v="LINK_HACIA_SPINE"/>
    <x v="0"/>
    <b v="0"/>
    <s v="No está en VPC"/>
    <n v="831"/>
    <s v="NO EXISTE PG"/>
    <s v="NO EXISTE ISEL"/>
    <n v="0"/>
    <s v="NO TIENE L3OUT"/>
    <n v="14"/>
    <n v="54"/>
  </r>
  <r>
    <n v="802"/>
    <x v="2"/>
    <x v="192"/>
    <s v="eth1/50"/>
    <x v="0"/>
    <x v="0"/>
    <x v="0"/>
    <s v="LINK_HACIA_SPINE"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50"/>
    <x v="0"/>
    <x v="0"/>
    <x v="0"/>
    <s v="LINK_HACIA_SPINE"/>
    <x v="0"/>
    <b v="0"/>
    <s v="No está en VPC"/>
    <n v="835"/>
    <s v="NO EXISTE PG"/>
    <s v="NO EXISTE ISEL"/>
    <n v="0"/>
    <s v="NO TIENE L3OUT"/>
    <n v="8"/>
    <n v="54"/>
  </r>
  <r>
    <n v="822"/>
    <x v="2"/>
    <x v="194"/>
    <s v="eth1/50"/>
    <x v="0"/>
    <x v="0"/>
    <x v="0"/>
    <s v="LINK_HACIA_SPINE"/>
    <x v="0"/>
    <b v="0"/>
    <s v="No está en VPC"/>
    <n v="822"/>
    <s v="NO EXISTE PG"/>
    <s v="NO EXISTE ISEL"/>
    <n v="0"/>
    <s v="NO TIENE L3OUT"/>
    <n v="0"/>
    <n v="54"/>
  </r>
  <r>
    <n v="854"/>
    <x v="2"/>
    <x v="195"/>
    <s v="eth1/50"/>
    <x v="0"/>
    <x v="0"/>
    <x v="0"/>
    <s v="LINK_HACIA_SPINE"/>
    <x v="0"/>
    <b v="0"/>
    <s v="No está en VPC"/>
    <n v="854"/>
    <s v="NO EXISTE PG"/>
    <s v="NO EXISTE ISEL"/>
    <n v="0"/>
    <s v="NO TIENE L3OUT"/>
    <n v="204"/>
    <n v="54"/>
  </r>
  <r>
    <n v="858"/>
    <x v="2"/>
    <x v="196"/>
    <s v="eth1/50"/>
    <x v="0"/>
    <x v="0"/>
    <x v="0"/>
    <s v="LINK_HACIA_SPINE"/>
    <x v="0"/>
    <b v="0"/>
    <s v="No está en VPC"/>
    <n v="858"/>
    <s v="NO EXISTE PG"/>
    <s v="NO EXISTE ISEL"/>
    <n v="0"/>
    <s v="NO TIENE L3OUT"/>
    <n v="8"/>
    <n v="54"/>
  </r>
  <r>
    <n v="857"/>
    <x v="2"/>
    <x v="197"/>
    <s v="eth1/50"/>
    <x v="0"/>
    <x v="0"/>
    <x v="0"/>
    <s v="LINK_HACIA_SPINE"/>
    <x v="0"/>
    <b v="0"/>
    <s v="No está en VPC"/>
    <n v="857"/>
    <s v="NO EXISTE PG"/>
    <s v="NO EXISTE ISEL"/>
    <n v="0"/>
    <s v="NO TIENE L3OUT"/>
    <n v="288"/>
    <n v="54"/>
  </r>
  <r>
    <n v="859"/>
    <x v="2"/>
    <x v="198"/>
    <s v="eth1/50"/>
    <x v="0"/>
    <x v="0"/>
    <x v="0"/>
    <s v="LINK_HACIA_SPINE"/>
    <x v="0"/>
    <b v="0"/>
    <s v="No está en VPC"/>
    <n v="859"/>
    <s v="NO EXISTE PG"/>
    <s v="NO EXISTE ISEL"/>
    <n v="0"/>
    <s v="NO TIENE L3OUT"/>
    <n v="0"/>
    <n v="54"/>
  </r>
  <r>
    <n v="833"/>
    <x v="2"/>
    <x v="199"/>
    <s v="eth1/50"/>
    <x v="0"/>
    <x v="0"/>
    <x v="0"/>
    <s v="LINK_HACIA_SPINE"/>
    <x v="0"/>
    <b v="0"/>
    <s v="No está en VPC"/>
    <n v="833"/>
    <s v="NO EXISTE PG"/>
    <s v="NO EXISTE ISEL"/>
    <n v="0"/>
    <s v="NO TIENE L3OUT"/>
    <n v="224"/>
    <n v="54"/>
  </r>
  <r>
    <n v="818"/>
    <x v="2"/>
    <x v="200"/>
    <s v="eth1/50"/>
    <x v="0"/>
    <x v="0"/>
    <x v="0"/>
    <s v="LINK_HACIA_SPINE"/>
    <x v="0"/>
    <b v="0"/>
    <s v="No está en VPC"/>
    <n v="818"/>
    <s v="NO EXISTE PG"/>
    <s v="NO EXISTE ISEL"/>
    <n v="0"/>
    <s v="NO TIENE L3OUT"/>
    <n v="8"/>
    <n v="54"/>
  </r>
  <r>
    <n v="850"/>
    <x v="2"/>
    <x v="201"/>
    <s v="eth1/50"/>
    <x v="0"/>
    <x v="0"/>
    <x v="0"/>
    <s v="LINK_HACIA_SPINE"/>
    <x v="0"/>
    <b v="0"/>
    <s v="No está en VPC"/>
    <n v="850"/>
    <s v="NO EXISTE PG"/>
    <s v="NO EXISTE ISEL"/>
    <n v="0"/>
    <s v="NO TIENE L3OUT"/>
    <n v="288"/>
    <n v="54"/>
  </r>
  <r>
    <n v="860"/>
    <x v="2"/>
    <x v="202"/>
    <s v="eth1/50"/>
    <x v="0"/>
    <x v="0"/>
    <x v="0"/>
    <s v="LINK_HACIA_SPINE"/>
    <x v="0"/>
    <b v="0"/>
    <s v="No está en VPC"/>
    <n v="860"/>
    <s v="NO EXISTE PG"/>
    <s v="NO EXISTE ISEL"/>
    <n v="0"/>
    <s v="NO TIENE L3OUT"/>
    <n v="0"/>
    <n v="54"/>
  </r>
  <r>
    <n v="853"/>
    <x v="2"/>
    <x v="203"/>
    <s v="eth1/50"/>
    <x v="0"/>
    <x v="0"/>
    <x v="0"/>
    <s v="LINK_HACIA_SPINE"/>
    <x v="0"/>
    <b v="0"/>
    <s v="No está en VPC"/>
    <n v="853"/>
    <s v="NO EXISTE PG"/>
    <s v="NO EXISTE ISEL"/>
    <n v="0"/>
    <s v="NO TIENE L3OUT"/>
    <n v="242"/>
    <n v="54"/>
  </r>
  <r>
    <n v="790"/>
    <x v="2"/>
    <x v="204"/>
    <s v="eth1/50"/>
    <x v="0"/>
    <x v="0"/>
    <x v="0"/>
    <s v="LINK_HACIA_SPINE"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50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50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50"/>
    <x v="0"/>
    <x v="0"/>
    <x v="0"/>
    <s v="ITHNETZB"/>
    <x v="6"/>
    <b v="0"/>
    <s v="No está en VPC"/>
    <n v="104"/>
    <s v="INTPG_ACC_104_1.50"/>
    <s v="ISEL-1.50"/>
    <n v="1"/>
    <s v="NO TIENE L3OUT"/>
    <n v="194"/>
    <n v="96"/>
  </r>
  <r>
    <n v="158"/>
    <x v="0"/>
    <x v="208"/>
    <s v="eth1/50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50"/>
    <x v="0"/>
    <x v="0"/>
    <x v="0"/>
    <s v="LINK_HACIA_SPINE"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50"/>
    <x v="0"/>
    <x v="0"/>
    <x v="0"/>
    <s v="LINK_HACIA_SPINE"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50"/>
    <x v="0"/>
    <x v="0"/>
    <x v="0"/>
    <s v="OBIE_1-2"/>
    <x v="6"/>
    <b v="0"/>
    <s v="No está en VPC"/>
    <n v="108"/>
    <s v="INTPG_ACC_108_1.50"/>
    <s v="ISEL-1.50"/>
    <n v="1"/>
    <s v="NO TIENE L3OUT"/>
    <n v="126"/>
    <n v="96"/>
  </r>
  <r>
    <n v="112"/>
    <x v="0"/>
    <x v="212"/>
    <s v="eth1/50"/>
    <x v="0"/>
    <x v="1"/>
    <x v="1"/>
    <s v="SAPCCRATING05"/>
    <x v="6"/>
    <b v="0"/>
    <s v="No está en VPC"/>
    <n v="112"/>
    <s v="INTPG_VPC_112_1.50_114_1.47"/>
    <s v="ISEL-1.50"/>
    <n v="1"/>
    <s v="NO TIENE L3OUT"/>
    <n v="144"/>
    <n v="96"/>
  </r>
  <r>
    <n v="107"/>
    <x v="0"/>
    <x v="213"/>
    <s v="eth1/50"/>
    <x v="1"/>
    <x v="1"/>
    <x v="2"/>
    <s v="COMISIONES"/>
    <x v="6"/>
    <b v="0"/>
    <s v="No está en VPC"/>
    <n v="107"/>
    <s v="INTPG_ACC_107_1.50"/>
    <s v="ISEL-1.50"/>
    <n v="0"/>
    <s v="NO TIENE L3OUT"/>
    <n v="118"/>
    <n v="96"/>
  </r>
  <r>
    <n v="109"/>
    <x v="0"/>
    <x v="214"/>
    <s v="eth1/50"/>
    <x v="0"/>
    <x v="0"/>
    <x v="0"/>
    <s v="OBIE_1-2"/>
    <x v="6"/>
    <b v="0"/>
    <s v="No está en VPC"/>
    <n v="109"/>
    <s v="INTPG_ACC_109_1.50"/>
    <s v="ISEL-1.50"/>
    <n v="1"/>
    <s v="NO TIENE L3OUT"/>
    <n v="126"/>
    <n v="96"/>
  </r>
  <r>
    <n v="113"/>
    <x v="0"/>
    <x v="215"/>
    <s v="eth1/50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50"/>
    <x v="0"/>
    <x v="1"/>
    <x v="1"/>
    <s v="SAPCCRATING08"/>
    <x v="6"/>
    <b v="0"/>
    <s v="No está en VPC"/>
    <n v="114"/>
    <s v="INTPG_VPC_112_1.53_114_1.50"/>
    <s v="ISEL-1.50"/>
    <n v="1"/>
    <s v="NO TIENE L3OUT"/>
    <n v="144"/>
    <n v="96"/>
  </r>
  <r>
    <n v="124"/>
    <x v="0"/>
    <x v="217"/>
    <s v="eth1/50"/>
    <x v="1"/>
    <x v="1"/>
    <x v="2"/>
    <s v="CIRCULO Azul(UXCA)"/>
    <x v="6"/>
    <b v="0"/>
    <s v="No está en VPC"/>
    <n v="124"/>
    <s v="INTPG_ACC_124_1.50"/>
    <s v="ISEL-1.50"/>
    <n v="0"/>
    <s v="NO TIENE L3OUT"/>
    <n v="80"/>
    <n v="96"/>
  </r>
  <r>
    <n v="118"/>
    <x v="0"/>
    <x v="218"/>
    <s v="eth1/50"/>
    <x v="0"/>
    <x v="0"/>
    <x v="0"/>
    <s v="DATOS NETCRACKER"/>
    <x v="6"/>
    <b v="0"/>
    <s v="No está en VPC"/>
    <n v="118"/>
    <s v="INTPG_ACC_118_1.50"/>
    <s v="ISEL-1.50"/>
    <n v="1"/>
    <s v="NO TIENE L3OUT"/>
    <n v="180"/>
    <n v="96"/>
  </r>
  <r>
    <n v="159"/>
    <x v="0"/>
    <x v="219"/>
    <s v="eth1/50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50"/>
    <x v="0"/>
    <x v="0"/>
    <x v="0"/>
    <s v="LINK_HACIA_SPINE"/>
    <x v="0"/>
    <b v="0"/>
    <s v="No está en VPC"/>
    <n v="840"/>
    <s v="NO EXISTE PG"/>
    <s v="NO EXISTE ISEL"/>
    <n v="0"/>
    <s v="NO TIENE L3OUT"/>
    <n v="8"/>
    <n v="54"/>
  </r>
  <r>
    <n v="856"/>
    <x v="2"/>
    <x v="221"/>
    <s v="eth1/50"/>
    <x v="0"/>
    <x v="0"/>
    <x v="0"/>
    <s v="LINK_HACIA_SPINE"/>
    <x v="0"/>
    <b v="0"/>
    <s v="No está en VPC"/>
    <n v="856"/>
    <s v="NO EXISTE PG"/>
    <s v="NO EXISTE ISEL"/>
    <n v="0"/>
    <s v="NO TIENE L3OUT"/>
    <n v="286"/>
    <n v="54"/>
  </r>
  <r>
    <n v="110"/>
    <x v="0"/>
    <x v="222"/>
    <s v="eth1/50"/>
    <x v="0"/>
    <x v="0"/>
    <x v="0"/>
    <s v="RENACE"/>
    <x v="6"/>
    <b v="0"/>
    <s v="No está en VPC"/>
    <n v="110"/>
    <s v="INTPG_ACC_110_1.50"/>
    <s v="ISEL-1.50"/>
    <n v="1"/>
    <s v="NO TIENE L3OUT"/>
    <n v="102"/>
    <n v="96"/>
  </r>
  <r>
    <n v="163"/>
    <x v="0"/>
    <x v="223"/>
    <s v="eth1/50"/>
    <x v="1"/>
    <x v="1"/>
    <x v="2"/>
    <s v="CELCITE"/>
    <x v="6"/>
    <b v="0"/>
    <s v="No está en VPC"/>
    <n v="163"/>
    <s v="INTPG_ACC_163_1.50"/>
    <s v="ISEL-1.50"/>
    <n v="1"/>
    <s v="NO TIENE L3OUT"/>
    <n v="140"/>
    <n v="96"/>
  </r>
  <r>
    <n v="407"/>
    <x v="1"/>
    <x v="224"/>
    <s v="eth1/50"/>
    <x v="0"/>
    <x v="0"/>
    <x v="0"/>
    <s v="TO-ITHFDEOCP1LWR01-REDUNDANTE"/>
    <x v="6"/>
    <b v="0"/>
    <s v="No está en VPC"/>
    <n v="407"/>
    <s v="INTPG_ACC_407_1.50"/>
    <s v="ISEL-1.50"/>
    <n v="1"/>
    <s v="NO TIENE L3OUT"/>
    <n v="122"/>
    <n v="96"/>
  </r>
  <r>
    <n v="171"/>
    <x v="0"/>
    <x v="225"/>
    <s v="eth1/50"/>
    <x v="0"/>
    <x v="0"/>
    <x v="0"/>
    <s v="SRS (Speedy Rating System)"/>
    <x v="6"/>
    <b v="0"/>
    <s v="No está en VPC"/>
    <n v="171"/>
    <s v="INTPG_ACC_171_1.50"/>
    <s v="ISEL-1.50"/>
    <n v="1"/>
    <s v="NO TIENE L3OUT"/>
    <n v="114"/>
    <n v="96"/>
  </r>
  <r>
    <n v="421"/>
    <x v="1"/>
    <x v="226"/>
    <s v="eth1/50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50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50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50"/>
    <x v="0"/>
    <x v="0"/>
    <x v="0"/>
    <s v="SRS (Speedy Rating System)"/>
    <x v="6"/>
    <b v="0"/>
    <s v="No está en VPC"/>
    <n v="172"/>
    <s v="INTPG_ACC_172_1.50"/>
    <s v="ISEL-1.50"/>
    <n v="1"/>
    <s v="NO TIENE L3OUT"/>
    <n v="104"/>
    <n v="96"/>
  </r>
  <r>
    <n v="420"/>
    <x v="1"/>
    <x v="230"/>
    <s v="eth1/50"/>
    <x v="0"/>
    <x v="1"/>
    <x v="1"/>
    <s v="PORTA_EXP_ILOM"/>
    <x v="6"/>
    <b v="0"/>
    <s v="No está en VPC"/>
    <n v="420"/>
    <s v="INTPG_ACC_420_1.50"/>
    <s v="ISEL-1.50"/>
    <n v="1"/>
    <s v="NO TIENE L3OUT"/>
    <n v="158"/>
    <n v="96"/>
  </r>
  <r>
    <n v="423"/>
    <x v="1"/>
    <x v="231"/>
    <s v="eth1/50"/>
    <x v="0"/>
    <x v="0"/>
    <x v="0"/>
    <s v="HP Proliant DL380p(A)"/>
    <x v="6"/>
    <b v="0"/>
    <s v="No está en VPC"/>
    <n v="423"/>
    <s v="INTPG_ACC_423_1.50"/>
    <s v="ISEL-1.50"/>
    <n v="1"/>
    <s v="NO TIENE L3OUT"/>
    <n v="86"/>
    <n v="96"/>
  </r>
  <r>
    <n v="415"/>
    <x v="1"/>
    <x v="232"/>
    <s v="eth1/50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50"/>
    <x v="1"/>
    <x v="1"/>
    <x v="2"/>
    <s v="Citrix Silot"/>
    <x v="6"/>
    <b v="0"/>
    <s v="No está en VPC"/>
    <n v="102"/>
    <s v="INTPG_ACC_102_1.50"/>
    <s v="ISEL-1.50"/>
    <n v="0"/>
    <s v="NO TIENE L3OUT"/>
    <n v="228"/>
    <n v="96"/>
  </r>
  <r>
    <n v="863"/>
    <x v="2"/>
    <x v="234"/>
    <s v="eth1/50"/>
    <x v="0"/>
    <x v="0"/>
    <x v="0"/>
    <s v="LINK_HACIA_SPINE"/>
    <x v="0"/>
    <b v="0"/>
    <s v="No está en VPC"/>
    <n v="863"/>
    <s v="NO EXISTE PG"/>
    <s v="NO EXISTE ISEL"/>
    <n v="0"/>
    <s v="NO TIENE L3OUT"/>
    <n v="8"/>
    <n v="54"/>
  </r>
  <r>
    <n v="876"/>
    <x v="2"/>
    <x v="235"/>
    <s v="eth1/50"/>
    <x v="0"/>
    <x v="0"/>
    <x v="0"/>
    <s v="LINK_HACIA_SPINE"/>
    <x v="4"/>
    <b v="0"/>
    <s v="No está en VPC"/>
    <n v="876"/>
    <s v="NO EXISTE PG"/>
    <s v="NO EXISTE ISEL"/>
    <n v="0"/>
    <s v="NO TIENE L3OUT"/>
    <n v="92"/>
    <n v="54"/>
  </r>
  <r>
    <n v="877"/>
    <x v="2"/>
    <x v="236"/>
    <s v="eth1/50"/>
    <x v="1"/>
    <x v="1"/>
    <x v="3"/>
    <s v="LINK_HACIA_SPINE_PUERTO_FALLA"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50"/>
    <x v="0"/>
    <x v="0"/>
    <x v="0"/>
    <s v="INTRANET CORPORATIVA"/>
    <x v="6"/>
    <b v="0"/>
    <s v="No está en VPC"/>
    <n v="122"/>
    <s v="INTPG_ACC_122_1.50"/>
    <s v="ISEL-1.50"/>
    <n v="1"/>
    <s v="NO TIENE L3OUT"/>
    <n v="148"/>
    <n v="96"/>
  </r>
  <r>
    <n v="157"/>
    <x v="0"/>
    <x v="238"/>
    <s v="eth1/50"/>
    <x v="0"/>
    <x v="0"/>
    <x v="0"/>
    <s v="PORTAL CAUTIVO"/>
    <x v="6"/>
    <b v="0"/>
    <s v="No está en VPC"/>
    <n v="157"/>
    <s v="INTPG_ACC_157_1.50"/>
    <s v="ISEL-1.50"/>
    <n v="1"/>
    <s v="NO TIENE L3OUT"/>
    <n v="202"/>
    <n v="96"/>
  </r>
  <r>
    <n v="408"/>
    <x v="1"/>
    <x v="239"/>
    <s v="eth1/50"/>
    <x v="0"/>
    <x v="0"/>
    <x v="0"/>
    <s v="IBMWASII_01"/>
    <x v="6"/>
    <b v="0"/>
    <s v="No está en VPC"/>
    <n v="408"/>
    <s v="INTPG_ACC_408_1.50"/>
    <s v="ISEL-1.50"/>
    <n v="1"/>
    <s v="NO TIENE L3OUT"/>
    <n v="152"/>
    <n v="96"/>
  </r>
  <r>
    <n v="405"/>
    <x v="1"/>
    <x v="240"/>
    <s v="eth1/50"/>
    <x v="0"/>
    <x v="1"/>
    <x v="1"/>
    <s v="SYS_BAY_CONSOLIDA"/>
    <x v="6"/>
    <b v="0"/>
    <s v="No está en VPC"/>
    <n v="405"/>
    <s v="INTPG_ACC_405_1.50"/>
    <s v="ISEL-1.50"/>
    <n v="1"/>
    <s v="NO TIENE L3OUT"/>
    <n v="138"/>
    <n v="96"/>
  </r>
  <r>
    <n v="169"/>
    <x v="0"/>
    <x v="241"/>
    <s v="eth1/50"/>
    <x v="0"/>
    <x v="0"/>
    <x v="0"/>
    <s v="TO-ITHFDENBURMS03"/>
    <x v="6"/>
    <b v="0"/>
    <s v="No está en VPC"/>
    <n v="169"/>
    <s v="INTPG_VPC_167_1.48_169_1.50"/>
    <s v="ISEL-1.50"/>
    <n v="1"/>
    <s v="NO TIENE L3OUT"/>
    <n v="76"/>
    <n v="96"/>
  </r>
  <r>
    <n v="165"/>
    <x v="0"/>
    <x v="242"/>
    <s v="eth1/50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50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50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50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50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50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50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50"/>
    <x v="0"/>
    <x v="0"/>
    <x v="0"/>
    <s v="VIOSDES4-VIOSDES4_CLT"/>
    <x v="6"/>
    <b v="0"/>
    <s v="No está en VPC"/>
    <n v="406"/>
    <s v="INTPG_VPC_404_1.49-50_406_1.49-50"/>
    <s v="ISEL-1.50"/>
    <n v="1"/>
    <s v="NO TIENE L3OUT"/>
    <n v="82"/>
    <n v="96"/>
  </r>
  <r>
    <n v="414"/>
    <x v="1"/>
    <x v="250"/>
    <s v="eth1/50"/>
    <x v="0"/>
    <x v="0"/>
    <x v="0"/>
    <s v="APMS02_S12"/>
    <x v="6"/>
    <b v="0"/>
    <s v="No está en VPC"/>
    <n v="414"/>
    <s v="INTPG_ACC_414_1.50"/>
    <s v="ISEL-1.50"/>
    <n v="1"/>
    <s v="NO TIENE L3OUT"/>
    <n v="144"/>
    <n v="96"/>
  </r>
  <r>
    <n v="416"/>
    <x v="1"/>
    <x v="251"/>
    <s v="eth1/50"/>
    <x v="0"/>
    <x v="0"/>
    <x v="0"/>
    <s v="R9MEXIXTDAY-3"/>
    <x v="6"/>
    <b v="0"/>
    <s v="No está en VPC"/>
    <n v="416"/>
    <s v="INTPG_ACC_416_1.50"/>
    <s v="ISEL-1.50"/>
    <n v="1"/>
    <s v="NO TIENE L3OUT"/>
    <n v="110"/>
    <n v="96"/>
  </r>
  <r>
    <n v="418"/>
    <x v="1"/>
    <x v="252"/>
    <s v="eth1/50"/>
    <x v="0"/>
    <x v="0"/>
    <x v="0"/>
    <s v="IXTSD970A"/>
    <x v="6"/>
    <b v="0"/>
    <s v="No está en VPC"/>
    <n v="418"/>
    <s v="INTPG_ACC_418_1.50"/>
    <s v="ISEL-1.50"/>
    <n v="1"/>
    <s v="NO TIENE L3OUT"/>
    <n v="152"/>
    <n v="96"/>
  </r>
  <r>
    <n v="413"/>
    <x v="1"/>
    <x v="253"/>
    <s v="eth1/50"/>
    <x v="0"/>
    <x v="0"/>
    <x v="0"/>
    <s v="To-uxingemc3 ldom1 ldom2 ldom3"/>
    <x v="6"/>
    <b v="0"/>
    <s v="No está en VPC"/>
    <n v="413"/>
    <s v="INTPG_ACC_413_1.50"/>
    <s v="ISEL-1.50"/>
    <n v="1"/>
    <s v="NO TIENE L3OUT"/>
    <n v="126"/>
    <n v="96"/>
  </r>
  <r>
    <n v="403"/>
    <x v="1"/>
    <x v="254"/>
    <s v="eth1/50"/>
    <x v="0"/>
    <x v="0"/>
    <x v="0"/>
    <s v="ITHSGHP0"/>
    <x v="6"/>
    <b v="0"/>
    <s v="No está en VPC"/>
    <n v="403"/>
    <s v="INTPG_ACC_403_1.50"/>
    <s v="ISEL-1.50"/>
    <n v="1"/>
    <s v="NO TIENE L3OUT"/>
    <n v="150"/>
    <n v="96"/>
  </r>
  <r>
    <n v="125"/>
    <x v="0"/>
    <x v="255"/>
    <s v="eth1/50"/>
    <x v="0"/>
    <x v="0"/>
    <x v="0"/>
    <s v="CIRCULO Azul(UXCA)"/>
    <x v="6"/>
    <b v="0"/>
    <s v="No está en VPC"/>
    <n v="125"/>
    <s v="INTPG_ACC_125_1.50"/>
    <s v="ISEL-1.50"/>
    <n v="1"/>
    <s v="NO TIENE L3OUT"/>
    <n v="72"/>
    <n v="96"/>
  </r>
  <r>
    <n v="166"/>
    <x v="0"/>
    <x v="256"/>
    <s v="eth1/50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50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50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50"/>
    <x v="0"/>
    <x v="0"/>
    <x v="0"/>
    <s v="COMISIONES"/>
    <x v="6"/>
    <b v="0"/>
    <s v="No está en VPC"/>
    <n v="106"/>
    <s v="INTPG_ACC_106_1.50"/>
    <s v="ISEL-1.50"/>
    <n v="1"/>
    <s v="NO TIENE L3OUT"/>
    <n v="122"/>
    <n v="96"/>
  </r>
  <r>
    <n v="126"/>
    <x v="0"/>
    <x v="260"/>
    <s v="eth1/50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50"/>
    <x v="0"/>
    <x v="0"/>
    <x v="0"/>
    <s v="HP Proliant DL380p(f)"/>
    <x v="6"/>
    <b v="0"/>
    <s v="No está en VPC"/>
    <n v="425"/>
    <s v="INTPG_ACC_425_1.50"/>
    <s v="ISEL-1.50"/>
    <n v="1"/>
    <s v="NO TIENE L3OUT"/>
    <n v="86"/>
    <n v="96"/>
  </r>
  <r>
    <n v="151"/>
    <x v="0"/>
    <x v="262"/>
    <s v="eth1/50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50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50"/>
    <x v="0"/>
    <x v="0"/>
    <x v="0"/>
    <s v="SPECSERVER1_ETH0"/>
    <x v="6"/>
    <b v="0"/>
    <s v="No está en VPC"/>
    <n v="419"/>
    <s v="INTPG_ACC_419_1.50"/>
    <s v="ISEL-1.50"/>
    <n v="1"/>
    <s v="NO TIENE L3OUT"/>
    <n v="70"/>
    <n v="96"/>
  </r>
  <r>
    <n v="155"/>
    <x v="0"/>
    <x v="265"/>
    <s v="eth1/50"/>
    <x v="0"/>
    <x v="0"/>
    <x v="0"/>
    <s v="uxcofeco"/>
    <x v="6"/>
    <b v="0"/>
    <s v="No está en VPC"/>
    <n v="155"/>
    <s v="INTPG_ACC_155_1.50"/>
    <s v="ISEL-1.50"/>
    <n v="1"/>
    <s v="NO TIENE L3OUT"/>
    <n v="198"/>
    <n v="96"/>
  </r>
  <r>
    <n v="409"/>
    <x v="1"/>
    <x v="266"/>
    <s v="eth1/50"/>
    <x v="0"/>
    <x v="0"/>
    <x v="0"/>
    <s v="IXTPPMZS02"/>
    <x v="6"/>
    <b v="0"/>
    <s v="No está en VPC"/>
    <n v="409"/>
    <s v="INTPG_ACC_409_1.50"/>
    <s v="ISEL-1.50"/>
    <n v="1"/>
    <s v="NO TIENE L3OUT"/>
    <n v="128"/>
    <n v="96"/>
  </r>
  <r>
    <n v="422"/>
    <x v="1"/>
    <x v="267"/>
    <s v="eth1/50"/>
    <x v="0"/>
    <x v="0"/>
    <x v="0"/>
    <s v="TEMIPCLOUD_B12"/>
    <x v="6"/>
    <b v="0"/>
    <s v="No está en VPC"/>
    <n v="422"/>
    <s v="INTPG_ACC_422_1.50"/>
    <s v="ISEL-1.50"/>
    <n v="1"/>
    <s v="NO TIENE L3OUT"/>
    <n v="182"/>
    <n v="96"/>
  </r>
  <r>
    <n v="436"/>
    <x v="1"/>
    <x v="268"/>
    <s v="eth1/50"/>
    <x v="0"/>
    <x v="0"/>
    <x v="0"/>
    <s v="TC3_ithmomce1_VC1_X1"/>
    <x v="6"/>
    <b v="0"/>
    <s v="No está en VPC"/>
    <n v="436"/>
    <s v="INTPG_ACC_436_1.50"/>
    <s v="ISEL-1.50"/>
    <n v="7"/>
    <s v="NO TIENE L3OUT"/>
    <n v="172"/>
    <n v="96"/>
  </r>
  <r>
    <n v="410"/>
    <x v="1"/>
    <x v="269"/>
    <s v="eth1/50"/>
    <x v="0"/>
    <x v="0"/>
    <x v="0"/>
    <s v="KPAM01_S11"/>
    <x v="6"/>
    <b v="0"/>
    <s v="No está en VPC"/>
    <n v="410"/>
    <s v="INTPG_ACC_410_1.50"/>
    <s v="ISEL-1.50"/>
    <n v="1"/>
    <s v="NO TIENE L3OUT"/>
    <n v="178"/>
    <n v="96"/>
  </r>
  <r>
    <n v="161"/>
    <x v="0"/>
    <x v="270"/>
    <s v="eth1/50"/>
    <x v="0"/>
    <x v="0"/>
    <x v="0"/>
    <s v="CELCITE"/>
    <x v="6"/>
    <b v="0"/>
    <s v="No está en VPC"/>
    <n v="161"/>
    <s v="INTPG_ACC_161_1.50"/>
    <s v="ISEL-1.50"/>
    <n v="1"/>
    <s v="NO TIENE L3OUT"/>
    <n v="102"/>
    <n v="96"/>
  </r>
  <r>
    <n v="411"/>
    <x v="1"/>
    <x v="271"/>
    <s v="eth1/50"/>
    <x v="0"/>
    <x v="0"/>
    <x v="0"/>
    <s v="TO-SERVICE AVAILABILITY1-PRINCIPAL"/>
    <x v="6"/>
    <b v="0"/>
    <s v="No está en VPC"/>
    <n v="411"/>
    <s v="INTPG_ACC_411_1.50"/>
    <s v="ISEL-1.50"/>
    <n v="1"/>
    <s v="NO TIENE L3OUT"/>
    <n v="96"/>
    <n v="96"/>
  </r>
  <r>
    <n v="116"/>
    <x v="0"/>
    <x v="272"/>
    <s v="eth1/50"/>
    <x v="0"/>
    <x v="1"/>
    <x v="1"/>
    <s v="NOTIFICATION SERVER TANGO"/>
    <x v="6"/>
    <b v="0"/>
    <s v="No está en VPC"/>
    <n v="116"/>
    <s v="INTPG_ACC_116_1.50"/>
    <s v="ISEL-1.50"/>
    <n v="1"/>
    <s v="NO TIENE L3OUT"/>
    <n v="148"/>
    <n v="96"/>
  </r>
  <r>
    <n v="412"/>
    <x v="1"/>
    <x v="273"/>
    <s v="eth1/50"/>
    <x v="0"/>
    <x v="0"/>
    <x v="0"/>
    <s v="IBMWASII_01"/>
    <x v="6"/>
    <b v="0"/>
    <s v="No está en VPC"/>
    <n v="412"/>
    <s v="INTPG_ACC_412_1.50"/>
    <s v="ISEL-1.50"/>
    <n v="1"/>
    <s v="NO TIENE L3OUT"/>
    <n v="126"/>
    <n v="96"/>
  </r>
  <r>
    <n v="120"/>
    <x v="0"/>
    <x v="274"/>
    <s v="eth1/50"/>
    <x v="0"/>
    <x v="0"/>
    <x v="0"/>
    <s v="IXTTRAP-ETL"/>
    <x v="6"/>
    <b v="0"/>
    <s v="No está en VPC"/>
    <n v="120"/>
    <s v="INTPG_ACC_120_1.50"/>
    <s v="ISEL-1.50"/>
    <n v="1"/>
    <s v="NO TIENE L3OUT"/>
    <n v="158"/>
    <n v="96"/>
  </r>
  <r>
    <n v="404"/>
    <x v="1"/>
    <x v="275"/>
    <s v="eth1/50"/>
    <x v="0"/>
    <x v="0"/>
    <x v="0"/>
    <s v="VIOSDES4-VIOSDES4_CLT"/>
    <x v="6"/>
    <b v="0"/>
    <s v="No está en VPC"/>
    <n v="404"/>
    <s v="INTPG_VPC_404_1.49-50_406_1.49-50"/>
    <s v="ISEL-1.50"/>
    <n v="1"/>
    <s v="NO TIENE L3OUT"/>
    <n v="92"/>
    <n v="96"/>
  </r>
  <r>
    <n v="167"/>
    <x v="0"/>
    <x v="276"/>
    <s v="eth1/50"/>
    <x v="0"/>
    <x v="0"/>
    <x v="0"/>
    <s v="TO-ITHFDENBURMS05"/>
    <x v="6"/>
    <b v="0"/>
    <s v="No está en VPC"/>
    <n v="167"/>
    <s v="INTPG_VPC_167_1.50_169_1.54"/>
    <s v="ISEL-1.50"/>
    <n v="1"/>
    <s v="NO TIENE L3OUT"/>
    <n v="68"/>
    <n v="96"/>
  </r>
  <r>
    <n v="428"/>
    <x v="1"/>
    <x v="277"/>
    <s v="eth1/50"/>
    <x v="0"/>
    <x v="0"/>
    <x v="0"/>
    <s v="eth0_vert01hpov_Primario"/>
    <x v="6"/>
    <b v="0"/>
    <s v="No está en VPC"/>
    <n v="428"/>
    <s v="INTPG_ACC_428_1.50"/>
    <s v="ISEL-1.50"/>
    <n v="1"/>
    <s v="NO TIENE L3OUT"/>
    <n v="102"/>
    <n v="96"/>
  </r>
  <r>
    <n v="128"/>
    <x v="0"/>
    <x v="0"/>
    <s v="eth1/51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51"/>
    <x v="0"/>
    <x v="1"/>
    <x v="3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51"/>
    <x v="0"/>
    <x v="1"/>
    <x v="3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51"/>
    <x v="0"/>
    <x v="1"/>
    <x v="3"/>
    <m/>
    <x v="0"/>
    <b v="0"/>
    <s v="No está en VPC"/>
    <n v="101"/>
    <s v="NO EXISTE PG"/>
    <s v="NO EXISTE ISEL"/>
    <n v="0"/>
    <s v="NO TIENE L3OUT"/>
    <n v="114"/>
    <n v="54"/>
  </r>
  <r>
    <n v="160"/>
    <x v="0"/>
    <x v="4"/>
    <s v="eth1/51"/>
    <x v="0"/>
    <x v="1"/>
    <x v="3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51"/>
    <x v="0"/>
    <x v="1"/>
    <x v="3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51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51"/>
    <x v="0"/>
    <x v="1"/>
    <x v="3"/>
    <m/>
    <x v="0"/>
    <b v="0"/>
    <s v="No está en VPC"/>
    <n v="401"/>
    <s v="NO EXISTE PG"/>
    <s v="NO EXISTE ISEL"/>
    <n v="0"/>
    <s v="NO TIENE L3OUT"/>
    <n v="40"/>
    <n v="54"/>
  </r>
  <r>
    <n v="402"/>
    <x v="1"/>
    <x v="8"/>
    <s v="eth1/51"/>
    <x v="0"/>
    <x v="1"/>
    <x v="3"/>
    <m/>
    <x v="0"/>
    <b v="0"/>
    <s v="No está en VPC"/>
    <n v="402"/>
    <s v="NO EXISTE PG"/>
    <s v="NO EXISTE ISEL"/>
    <n v="0"/>
    <s v="NO TIENE L3OUT"/>
    <n v="36"/>
    <n v="54"/>
  </r>
  <r>
    <n v="130"/>
    <x v="0"/>
    <x v="11"/>
    <s v="eth1/51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51"/>
    <x v="0"/>
    <x v="1"/>
    <x v="3"/>
    <m/>
    <x v="0"/>
    <b v="0"/>
    <s v="No está en VPC"/>
    <n v="150"/>
    <s v="NO EXISTE PG"/>
    <s v="NO EXISTE ISEL"/>
    <n v="0"/>
    <s v="NO TIENE L3OUT"/>
    <n v="118"/>
    <n v="54"/>
  </r>
  <r>
    <n v="131"/>
    <x v="0"/>
    <x v="13"/>
    <s v="eth1/51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424"/>
    <x v="1"/>
    <x v="18"/>
    <s v="eth1/51"/>
    <x v="0"/>
    <x v="1"/>
    <x v="3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51"/>
    <x v="1"/>
    <x v="1"/>
    <x v="3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51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51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51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51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51"/>
    <x v="0"/>
    <x v="0"/>
    <x v="0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51"/>
    <x v="1"/>
    <x v="1"/>
    <x v="3"/>
    <m/>
    <x v="0"/>
    <b v="0"/>
    <s v="No está en VPC"/>
    <n v="431"/>
    <s v="NO EXISTE PG"/>
    <s v="NO EXISTE ISEL"/>
    <n v="0"/>
    <s v="NO TIENE L3OUT"/>
    <n v="46"/>
    <n v="54"/>
  </r>
  <r>
    <n v="433"/>
    <x v="1"/>
    <x v="27"/>
    <s v="eth1/51"/>
    <x v="1"/>
    <x v="1"/>
    <x v="3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51"/>
    <x v="1"/>
    <x v="1"/>
    <x v="3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51"/>
    <x v="1"/>
    <x v="1"/>
    <x v="3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51"/>
    <x v="1"/>
    <x v="1"/>
    <x v="3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51"/>
    <x v="1"/>
    <x v="1"/>
    <x v="3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51"/>
    <x v="1"/>
    <x v="1"/>
    <x v="3"/>
    <m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51"/>
    <x v="1"/>
    <x v="1"/>
    <x v="3"/>
    <m/>
    <x v="0"/>
    <b v="0"/>
    <s v="No está en VPC"/>
    <n v="712"/>
    <s v="NO EXISTE PG"/>
    <s v="NO EXISTE ISEL"/>
    <n v="0"/>
    <s v="NO TIENE L3OUT"/>
    <n v="32"/>
    <n v="54"/>
  </r>
  <r>
    <n v="719"/>
    <x v="2"/>
    <x v="34"/>
    <s v="eth1/51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51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51"/>
    <x v="1"/>
    <x v="1"/>
    <x v="3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51"/>
    <x v="1"/>
    <x v="1"/>
    <x v="3"/>
    <m/>
    <x v="0"/>
    <b v="0"/>
    <s v="No está en VPC"/>
    <n v="711"/>
    <s v="NO EXISTE PG"/>
    <s v="NO EXISTE ISEL"/>
    <n v="0"/>
    <s v="NO TIENE L3OUT"/>
    <n v="16"/>
    <n v="54"/>
  </r>
  <r>
    <n v="716"/>
    <x v="2"/>
    <x v="38"/>
    <s v="eth1/51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51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51"/>
    <x v="1"/>
    <x v="1"/>
    <x v="3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51"/>
    <x v="0"/>
    <x v="1"/>
    <x v="3"/>
    <m/>
    <x v="0"/>
    <b v="0"/>
    <s v="No está en VPC"/>
    <n v="446"/>
    <s v="NO EXISTE PG"/>
    <s v="NO EXISTE ISEL"/>
    <n v="0"/>
    <s v="NO TIENE L3OUT"/>
    <n v="198"/>
    <n v="54"/>
  </r>
  <r>
    <n v="444"/>
    <x v="1"/>
    <x v="42"/>
    <s v="eth1/51"/>
    <x v="0"/>
    <x v="1"/>
    <x v="3"/>
    <m/>
    <x v="0"/>
    <b v="0"/>
    <s v="No está en VPC"/>
    <n v="444"/>
    <s v="NO EXISTE PG"/>
    <s v="NO EXISTE ISEL"/>
    <n v="0"/>
    <s v="NO TIENE L3OUT"/>
    <n v="234"/>
    <n v="54"/>
  </r>
  <r>
    <n v="701"/>
    <x v="2"/>
    <x v="43"/>
    <s v="eth1/51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51"/>
    <x v="1"/>
    <x v="1"/>
    <x v="3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51"/>
    <x v="1"/>
    <x v="1"/>
    <x v="3"/>
    <m/>
    <x v="0"/>
    <b v="0"/>
    <s v="No está en VPC"/>
    <n v="448"/>
    <s v="NO EXISTE PG"/>
    <s v="NO EXISTE ISEL"/>
    <n v="0"/>
    <s v="NO TIENE L3OUT"/>
    <n v="46"/>
    <n v="54"/>
  </r>
  <r>
    <n v="704"/>
    <x v="2"/>
    <x v="46"/>
    <s v="eth1/51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51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51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51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51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51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51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51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51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51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51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51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51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51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51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51"/>
    <x v="0"/>
    <x v="1"/>
    <x v="3"/>
    <m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51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51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51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51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51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51"/>
    <x v="1"/>
    <x v="1"/>
    <x v="3"/>
    <m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51"/>
    <x v="1"/>
    <x v="1"/>
    <x v="3"/>
    <m/>
    <x v="0"/>
    <b v="0"/>
    <s v="No está en VPC"/>
    <n v="780"/>
    <s v="NO EXISTE PG"/>
    <s v="NO EXISTE ISEL"/>
    <n v="0"/>
    <s v="NO TIENE L3OUT"/>
    <n v="26"/>
    <n v="54"/>
  </r>
  <r>
    <n v="812"/>
    <x v="2"/>
    <x v="70"/>
    <s v="eth1/51"/>
    <x v="1"/>
    <x v="1"/>
    <x v="3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51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51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51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51"/>
    <x v="0"/>
    <x v="1"/>
    <x v="3"/>
    <m/>
    <x v="0"/>
    <b v="0"/>
    <s v="No está en VPC"/>
    <n v="824"/>
    <s v="NO EXISTE PG"/>
    <s v="NO EXISTE ISEL"/>
    <n v="0"/>
    <s v="NO TIENE L3OUT"/>
    <n v="70"/>
    <n v="54"/>
  </r>
  <r>
    <n v="819"/>
    <x v="2"/>
    <x v="75"/>
    <s v="eth1/51"/>
    <x v="0"/>
    <x v="1"/>
    <x v="3"/>
    <m/>
    <x v="0"/>
    <b v="0"/>
    <s v="No está en VPC"/>
    <n v="819"/>
    <s v="NO EXISTE PG"/>
    <s v="NO EXISTE ISEL"/>
    <n v="0"/>
    <s v="NO TIENE L3OUT"/>
    <n v="70"/>
    <n v="54"/>
  </r>
  <r>
    <n v="737"/>
    <x v="2"/>
    <x v="76"/>
    <s v="eth1/51"/>
    <x v="0"/>
    <x v="1"/>
    <x v="3"/>
    <m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51"/>
    <x v="1"/>
    <x v="1"/>
    <x v="3"/>
    <m/>
    <x v="0"/>
    <b v="0"/>
    <s v="No está en VPC"/>
    <n v="844"/>
    <s v="NO EXISTE PG"/>
    <s v="NO EXISTE ISEL"/>
    <n v="0"/>
    <s v="NO TIENE L3OUT"/>
    <n v="282"/>
    <n v="54"/>
  </r>
  <r>
    <n v="843"/>
    <x v="2"/>
    <x v="78"/>
    <s v="eth1/51"/>
    <x v="1"/>
    <x v="1"/>
    <x v="3"/>
    <m/>
    <x v="0"/>
    <b v="0"/>
    <s v="No está en VPC"/>
    <n v="843"/>
    <s v="NO EXISTE PG"/>
    <s v="NO EXISTE ISEL"/>
    <n v="0"/>
    <s v="NO TIENE L3OUT"/>
    <n v="38"/>
    <n v="54"/>
  </r>
  <r>
    <n v="797"/>
    <x v="2"/>
    <x v="79"/>
    <s v="eth1/51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51"/>
    <x v="1"/>
    <x v="1"/>
    <x v="3"/>
    <m/>
    <x v="0"/>
    <b v="0"/>
    <s v="No está en VPC"/>
    <n v="839"/>
    <s v="NO EXISTE PG"/>
    <s v="NO EXISTE ISEL"/>
    <n v="0"/>
    <s v="NO TIENE L3OUT"/>
    <n v="0"/>
    <n v="54"/>
  </r>
  <r>
    <n v="847"/>
    <x v="2"/>
    <x v="81"/>
    <s v="eth1/51"/>
    <x v="1"/>
    <x v="1"/>
    <x v="3"/>
    <m/>
    <x v="0"/>
    <b v="0"/>
    <s v="No está en VPC"/>
    <n v="847"/>
    <s v="NO EXISTE PG"/>
    <s v="NO EXISTE ISEL"/>
    <n v="0"/>
    <s v="NO TIENE L3OUT"/>
    <n v="204"/>
    <n v="54"/>
  </r>
  <r>
    <n v="848"/>
    <x v="2"/>
    <x v="82"/>
    <s v="eth1/51"/>
    <x v="1"/>
    <x v="1"/>
    <x v="3"/>
    <m/>
    <x v="0"/>
    <b v="0"/>
    <s v="No está en VPC"/>
    <n v="848"/>
    <s v="NO EXISTE PG"/>
    <s v="NO EXISTE ISEL"/>
    <n v="0"/>
    <s v="NO TIENE L3OUT"/>
    <n v="254"/>
    <n v="54"/>
  </r>
  <r>
    <n v="846"/>
    <x v="2"/>
    <x v="83"/>
    <s v="eth1/51"/>
    <x v="1"/>
    <x v="1"/>
    <x v="3"/>
    <m/>
    <x v="0"/>
    <b v="0"/>
    <s v="No está en VPC"/>
    <n v="846"/>
    <s v="NO EXISTE PG"/>
    <s v="NO EXISTE ISEL"/>
    <n v="0"/>
    <s v="NO TIENE L3OUT"/>
    <n v="242"/>
    <n v="54"/>
  </r>
  <r>
    <n v="838"/>
    <x v="2"/>
    <x v="84"/>
    <s v="eth1/51"/>
    <x v="1"/>
    <x v="1"/>
    <x v="3"/>
    <m/>
    <x v="0"/>
    <b v="0"/>
    <s v="No está en VPC"/>
    <n v="838"/>
    <s v="NO EXISTE PG"/>
    <s v="NO EXISTE ISEL"/>
    <n v="0"/>
    <s v="NO TIENE L3OUT"/>
    <n v="38"/>
    <n v="54"/>
  </r>
  <r>
    <n v="849"/>
    <x v="2"/>
    <x v="85"/>
    <s v="eth1/51"/>
    <x v="1"/>
    <x v="1"/>
    <x v="3"/>
    <m/>
    <x v="0"/>
    <b v="0"/>
    <s v="No está en VPC"/>
    <n v="849"/>
    <s v="NO EXISTE PG"/>
    <s v="NO EXISTE ISEL"/>
    <n v="0"/>
    <s v="NO TIENE L3OUT"/>
    <n v="286"/>
    <n v="54"/>
  </r>
  <r>
    <n v="845"/>
    <x v="2"/>
    <x v="86"/>
    <s v="eth1/51"/>
    <x v="1"/>
    <x v="1"/>
    <x v="3"/>
    <m/>
    <x v="0"/>
    <b v="0"/>
    <s v="No está en VPC"/>
    <n v="845"/>
    <s v="NO EXISTE PG"/>
    <s v="NO EXISTE ISEL"/>
    <n v="0"/>
    <s v="NO TIENE L3OUT"/>
    <n v="258"/>
    <n v="54"/>
  </r>
  <r>
    <n v="873"/>
    <x v="2"/>
    <x v="87"/>
    <s v="eth1/51"/>
    <x v="1"/>
    <x v="1"/>
    <x v="3"/>
    <m/>
    <x v="0"/>
    <b v="0"/>
    <s v="No está en VPC"/>
    <n v="873"/>
    <s v="NO EXISTE PG"/>
    <s v="NO EXISTE ISEL"/>
    <n v="0"/>
    <s v="NO TIENE L3OUT"/>
    <n v="248"/>
    <n v="54"/>
  </r>
  <r>
    <n v="864"/>
    <x v="2"/>
    <x v="88"/>
    <s v="eth1/51"/>
    <x v="1"/>
    <x v="1"/>
    <x v="3"/>
    <m/>
    <x v="0"/>
    <b v="0"/>
    <s v="No está en VPC"/>
    <n v="864"/>
    <s v="NO EXISTE PG"/>
    <s v="NO EXISTE ISEL"/>
    <n v="0"/>
    <s v="NO TIENE L3OUT"/>
    <n v="0"/>
    <n v="54"/>
  </r>
  <r>
    <n v="836"/>
    <x v="2"/>
    <x v="89"/>
    <s v="eth1/51"/>
    <x v="1"/>
    <x v="1"/>
    <x v="3"/>
    <m/>
    <x v="0"/>
    <b v="0"/>
    <s v="No está en VPC"/>
    <n v="836"/>
    <s v="NO EXISTE PG"/>
    <s v="NO EXISTE ISEL"/>
    <n v="0"/>
    <s v="NO TIENE L3OUT"/>
    <n v="0"/>
    <n v="54"/>
  </r>
  <r>
    <n v="834"/>
    <x v="2"/>
    <x v="90"/>
    <s v="eth1/51"/>
    <x v="1"/>
    <x v="1"/>
    <x v="3"/>
    <m/>
    <x v="0"/>
    <b v="0"/>
    <s v="No está en VPC"/>
    <n v="834"/>
    <s v="NO EXISTE PG"/>
    <s v="NO EXISTE ISEL"/>
    <n v="0"/>
    <s v="NO TIENE L3OUT"/>
    <n v="0"/>
    <n v="54"/>
  </r>
  <r>
    <n v="872"/>
    <x v="2"/>
    <x v="91"/>
    <s v="eth1/51"/>
    <x v="1"/>
    <x v="1"/>
    <x v="3"/>
    <m/>
    <x v="0"/>
    <b v="0"/>
    <s v="No está en VPC"/>
    <n v="872"/>
    <s v="NO EXISTE PG"/>
    <s v="NO EXISTE ISEL"/>
    <n v="0"/>
    <s v="NO TIENE L3OUT"/>
    <n v="288"/>
    <n v="54"/>
  </r>
  <r>
    <n v="842"/>
    <x v="2"/>
    <x v="92"/>
    <s v="eth1/51"/>
    <x v="1"/>
    <x v="1"/>
    <x v="3"/>
    <m/>
    <x v="0"/>
    <b v="0"/>
    <s v="No está en VPC"/>
    <n v="842"/>
    <s v="NO EXISTE PG"/>
    <s v="NO EXISTE ISEL"/>
    <n v="0"/>
    <s v="NO TIENE L3OUT"/>
    <n v="8"/>
    <n v="54"/>
  </r>
  <r>
    <n v="828"/>
    <x v="2"/>
    <x v="93"/>
    <s v="eth1/51"/>
    <x v="1"/>
    <x v="1"/>
    <x v="3"/>
    <m/>
    <x v="0"/>
    <b v="0"/>
    <s v="No está en VPC"/>
    <n v="828"/>
    <s v="NO EXISTE PG"/>
    <s v="NO EXISTE ISEL"/>
    <n v="0"/>
    <s v="NO TIENE L3OUT"/>
    <n v="192"/>
    <n v="54"/>
  </r>
  <r>
    <n v="870"/>
    <x v="2"/>
    <x v="94"/>
    <s v="eth1/51"/>
    <x v="1"/>
    <x v="1"/>
    <x v="3"/>
    <m/>
    <x v="0"/>
    <b v="0"/>
    <s v="No está en VPC"/>
    <n v="870"/>
    <s v="NO EXISTE PG"/>
    <s v="NO EXISTE ISEL"/>
    <n v="0"/>
    <s v="NO TIENE L3OUT"/>
    <n v="248"/>
    <n v="54"/>
  </r>
  <r>
    <n v="866"/>
    <x v="2"/>
    <x v="95"/>
    <s v="eth1/51"/>
    <x v="1"/>
    <x v="1"/>
    <x v="3"/>
    <m/>
    <x v="0"/>
    <b v="0"/>
    <s v="No está en VPC"/>
    <n v="866"/>
    <s v="NO EXISTE PG"/>
    <s v="NO EXISTE ISEL"/>
    <n v="0"/>
    <s v="NO TIENE L3OUT"/>
    <n v="8"/>
    <n v="54"/>
  </r>
  <r>
    <n v="862"/>
    <x v="2"/>
    <x v="96"/>
    <s v="eth1/51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51"/>
    <x v="1"/>
    <x v="1"/>
    <x v="3"/>
    <m/>
    <x v="0"/>
    <b v="0"/>
    <s v="No está en VPC"/>
    <n v="855"/>
    <s v="NO EXISTE PG"/>
    <s v="NO EXISTE ISEL"/>
    <n v="0"/>
    <s v="NO TIENE L3OUT"/>
    <n v="254"/>
    <n v="54"/>
  </r>
  <r>
    <n v="871"/>
    <x v="2"/>
    <x v="98"/>
    <s v="eth1/51"/>
    <x v="1"/>
    <x v="1"/>
    <x v="3"/>
    <m/>
    <x v="0"/>
    <b v="0"/>
    <s v="No está en VPC"/>
    <n v="871"/>
    <s v="NO EXISTE PG"/>
    <s v="NO EXISTE ISEL"/>
    <n v="0"/>
    <s v="NO TIENE L3OUT"/>
    <n v="246"/>
    <n v="54"/>
  </r>
  <r>
    <n v="841"/>
    <x v="2"/>
    <x v="99"/>
    <s v="eth1/51"/>
    <x v="1"/>
    <x v="1"/>
    <x v="3"/>
    <m/>
    <x v="0"/>
    <b v="0"/>
    <s v="No está en VPC"/>
    <n v="841"/>
    <s v="NO EXISTE PG"/>
    <s v="NO EXISTE ISEL"/>
    <n v="0"/>
    <s v="NO TIENE L3OUT"/>
    <n v="0"/>
    <n v="54"/>
  </r>
  <r>
    <n v="868"/>
    <x v="2"/>
    <x v="100"/>
    <s v="eth1/51"/>
    <x v="1"/>
    <x v="1"/>
    <x v="3"/>
    <m/>
    <x v="0"/>
    <b v="0"/>
    <s v="No está en VPC"/>
    <n v="868"/>
    <s v="NO EXISTE PG"/>
    <s v="NO EXISTE ISEL"/>
    <n v="0"/>
    <s v="NO TIENE L3OUT"/>
    <n v="246"/>
    <n v="54"/>
  </r>
  <r>
    <n v="869"/>
    <x v="2"/>
    <x v="101"/>
    <s v="eth1/51"/>
    <x v="1"/>
    <x v="1"/>
    <x v="3"/>
    <m/>
    <x v="0"/>
    <b v="0"/>
    <s v="No está en VPC"/>
    <n v="869"/>
    <s v="NO EXISTE PG"/>
    <s v="NO EXISTE ISEL"/>
    <n v="0"/>
    <s v="NO TIENE L3OUT"/>
    <n v="288"/>
    <n v="54"/>
  </r>
  <r>
    <n v="861"/>
    <x v="2"/>
    <x v="102"/>
    <s v="eth1/51"/>
    <x v="1"/>
    <x v="1"/>
    <x v="3"/>
    <m/>
    <x v="0"/>
    <b v="0"/>
    <s v="No está en VPC"/>
    <n v="861"/>
    <s v="NO EXISTE PG"/>
    <s v="NO EXISTE ISEL"/>
    <n v="0"/>
    <s v="NO TIENE L3OUT"/>
    <n v="8"/>
    <n v="54"/>
  </r>
  <r>
    <n v="874"/>
    <x v="2"/>
    <x v="103"/>
    <s v="eth1/51"/>
    <x v="1"/>
    <x v="1"/>
    <x v="3"/>
    <m/>
    <x v="4"/>
    <b v="0"/>
    <s v="No está en VPC"/>
    <n v="874"/>
    <s v="NO EXISTE PG"/>
    <s v="NO EXISTE ISEL"/>
    <n v="0"/>
    <s v="NO TIENE L3OUT"/>
    <n v="92"/>
    <n v="54"/>
  </r>
  <r>
    <n v="865"/>
    <x v="2"/>
    <x v="104"/>
    <s v="eth1/51"/>
    <x v="1"/>
    <x v="1"/>
    <x v="3"/>
    <m/>
    <x v="0"/>
    <b v="0"/>
    <s v="No está en VPC"/>
    <n v="865"/>
    <s v="NO EXISTE PG"/>
    <s v="NO EXISTE ISEL"/>
    <n v="0"/>
    <s v="NO TIENE L3OUT"/>
    <n v="0"/>
    <n v="54"/>
  </r>
  <r>
    <n v="753"/>
    <x v="2"/>
    <x v="105"/>
    <s v="eth1/51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51"/>
    <x v="1"/>
    <x v="1"/>
    <x v="3"/>
    <m/>
    <x v="0"/>
    <b v="0"/>
    <s v="No está en VPC"/>
    <n v="708"/>
    <s v="NO EXISTE PG"/>
    <s v="NO EXISTE ISEL"/>
    <n v="0"/>
    <s v="NO TIENE L3OUT"/>
    <n v="0"/>
    <n v="54"/>
  </r>
  <r>
    <n v="710"/>
    <x v="2"/>
    <x v="107"/>
    <s v="eth1/51"/>
    <x v="1"/>
    <x v="1"/>
    <x v="3"/>
    <m/>
    <x v="0"/>
    <b v="0"/>
    <s v="No está en VPC"/>
    <n v="710"/>
    <s v="NO EXISTE PG"/>
    <s v="NO EXISTE ISEL"/>
    <n v="0"/>
    <s v="NO TIENE L3OUT"/>
    <n v="16"/>
    <n v="54"/>
  </r>
  <r>
    <n v="713"/>
    <x v="2"/>
    <x v="108"/>
    <s v="eth1/51"/>
    <x v="1"/>
    <x v="1"/>
    <x v="3"/>
    <m/>
    <x v="0"/>
    <b v="0"/>
    <s v="No está en VPC"/>
    <n v="713"/>
    <s v="NO EXISTE PG"/>
    <s v="NO EXISTE ISEL"/>
    <n v="0"/>
    <s v="NO TIENE L3OUT"/>
    <n v="32"/>
    <n v="54"/>
  </r>
  <r>
    <n v="735"/>
    <x v="2"/>
    <x v="109"/>
    <s v="eth1/51"/>
    <x v="0"/>
    <x v="1"/>
    <x v="3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51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51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51"/>
    <x v="1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51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51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51"/>
    <x v="1"/>
    <x v="1"/>
    <x v="3"/>
    <m/>
    <x v="0"/>
    <b v="0"/>
    <s v="No está en VPC"/>
    <n v="826"/>
    <s v="NO EXISTE PG"/>
    <s v="NO EXISTE ISEL"/>
    <n v="0"/>
    <s v="NO TIENE L3OUT"/>
    <n v="12"/>
    <n v="54"/>
  </r>
  <r>
    <n v="726"/>
    <x v="2"/>
    <x v="117"/>
    <s v="eth1/51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51"/>
    <x v="0"/>
    <x v="1"/>
    <x v="3"/>
    <m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51"/>
    <x v="1"/>
    <x v="1"/>
    <x v="3"/>
    <m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51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51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51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51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51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51"/>
    <x v="1"/>
    <x v="1"/>
    <x v="3"/>
    <m/>
    <x v="0"/>
    <b v="0"/>
    <s v="No está en VPC"/>
    <n v="709"/>
    <s v="NO EXISTE PG"/>
    <s v="NO EXISTE ISEL"/>
    <n v="0"/>
    <s v="NO TIENE L3OUT"/>
    <n v="0"/>
    <n v="54"/>
  </r>
  <r>
    <n v="454"/>
    <x v="1"/>
    <x v="126"/>
    <s v="eth1/51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51"/>
    <x v="0"/>
    <x v="1"/>
    <x v="3"/>
    <m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51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51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51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51"/>
    <x v="0"/>
    <x v="1"/>
    <x v="3"/>
    <m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51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51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51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51"/>
    <x v="0"/>
    <x v="1"/>
    <x v="3"/>
    <m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51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51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51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51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51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51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51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51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51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51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51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51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51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51"/>
    <x v="1"/>
    <x v="1"/>
    <x v="3"/>
    <m/>
    <x v="0"/>
    <b v="0"/>
    <s v="No está en VPC"/>
    <n v="781"/>
    <s v="NO EXISTE PG"/>
    <s v="NO EXISTE ISEL"/>
    <n v="0"/>
    <s v="NO TIENE L3OUT"/>
    <n v="26"/>
    <n v="54"/>
  </r>
  <r>
    <n v="793"/>
    <x v="2"/>
    <x v="151"/>
    <s v="eth1/51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51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51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51"/>
    <x v="1"/>
    <x v="1"/>
    <x v="3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51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51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51"/>
    <x v="1"/>
    <x v="1"/>
    <x v="3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51"/>
    <x v="0"/>
    <x v="1"/>
    <x v="3"/>
    <m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51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51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51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51"/>
    <x v="1"/>
    <x v="1"/>
    <x v="3"/>
    <m/>
    <x v="0"/>
    <b v="0"/>
    <s v="No está en VPC"/>
    <n v="830"/>
    <s v="NO EXISTE PG"/>
    <s v="NO EXISTE ISEL"/>
    <n v="0"/>
    <s v="NO TIENE L3OUT"/>
    <n v="12"/>
    <n v="54"/>
  </r>
  <r>
    <n v="821"/>
    <x v="2"/>
    <x v="163"/>
    <s v="eth1/51"/>
    <x v="0"/>
    <x v="1"/>
    <x v="3"/>
    <m/>
    <x v="0"/>
    <b v="0"/>
    <s v="No está en VPC"/>
    <n v="821"/>
    <s v="NO EXISTE PG"/>
    <s v="NO EXISTE ISEL"/>
    <n v="0"/>
    <s v="NO TIENE L3OUT"/>
    <n v="0"/>
    <n v="54"/>
  </r>
  <r>
    <n v="738"/>
    <x v="2"/>
    <x v="164"/>
    <s v="eth1/51"/>
    <x v="0"/>
    <x v="1"/>
    <x v="3"/>
    <m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51"/>
    <x v="0"/>
    <x v="1"/>
    <x v="3"/>
    <m/>
    <x v="0"/>
    <b v="0"/>
    <s v="No está en VPC"/>
    <n v="820"/>
    <s v="NO EXISTE PG"/>
    <s v="NO EXISTE ISEL"/>
    <n v="0"/>
    <s v="NO TIENE L3OUT"/>
    <n v="72"/>
    <n v="54"/>
  </r>
  <r>
    <n v="804"/>
    <x v="2"/>
    <x v="166"/>
    <s v="eth1/51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51"/>
    <x v="1"/>
    <x v="1"/>
    <x v="3"/>
    <m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51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51"/>
    <x v="1"/>
    <x v="1"/>
    <x v="3"/>
    <m/>
    <x v="0"/>
    <b v="0"/>
    <s v="No está en VPC"/>
    <n v="827"/>
    <s v="NO EXISTE PG"/>
    <s v="NO EXISTE ISEL"/>
    <n v="0"/>
    <s v="NO TIENE L3OUT"/>
    <n v="14"/>
    <n v="54"/>
  </r>
  <r>
    <n v="809"/>
    <x v="2"/>
    <x v="170"/>
    <s v="eth1/51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51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51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51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51"/>
    <x v="1"/>
    <x v="1"/>
    <x v="3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51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51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51"/>
    <x v="1"/>
    <x v="1"/>
    <x v="3"/>
    <m/>
    <x v="0"/>
    <b v="0"/>
    <s v="No está en VPC"/>
    <n v="851"/>
    <s v="NO EXISTE PG"/>
    <s v="NO EXISTE ISEL"/>
    <n v="0"/>
    <s v="NO TIENE L3OUT"/>
    <n v="282"/>
    <n v="54"/>
  </r>
  <r>
    <n v="798"/>
    <x v="2"/>
    <x v="178"/>
    <s v="eth1/51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51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51"/>
    <x v="1"/>
    <x v="1"/>
    <x v="3"/>
    <m/>
    <x v="0"/>
    <b v="0"/>
    <s v="No está en VPC"/>
    <n v="852"/>
    <s v="NO EXISTE PG"/>
    <s v="NO EXISTE ISEL"/>
    <n v="0"/>
    <s v="NO TIENE L3OUT"/>
    <n v="258"/>
    <n v="54"/>
  </r>
  <r>
    <n v="817"/>
    <x v="2"/>
    <x v="181"/>
    <s v="eth1/51"/>
    <x v="1"/>
    <x v="1"/>
    <x v="3"/>
    <m/>
    <x v="0"/>
    <b v="0"/>
    <s v="No está en VPC"/>
    <n v="817"/>
    <s v="NO EXISTE PG"/>
    <s v="NO EXISTE ISEL"/>
    <n v="0"/>
    <s v="NO TIENE L3OUT"/>
    <n v="0"/>
    <n v="54"/>
  </r>
  <r>
    <n v="832"/>
    <x v="2"/>
    <x v="182"/>
    <s v="eth1/51"/>
    <x v="1"/>
    <x v="1"/>
    <x v="3"/>
    <m/>
    <x v="0"/>
    <b v="0"/>
    <s v="No está en VPC"/>
    <n v="832"/>
    <s v="NO EXISTE PG"/>
    <s v="NO EXISTE ISEL"/>
    <n v="0"/>
    <s v="NO TIENE L3OUT"/>
    <n v="192"/>
    <n v="54"/>
  </r>
  <r>
    <n v="816"/>
    <x v="2"/>
    <x v="183"/>
    <s v="eth1/51"/>
    <x v="0"/>
    <x v="1"/>
    <x v="3"/>
    <m/>
    <x v="0"/>
    <b v="0"/>
    <s v="No está en VPC"/>
    <n v="816"/>
    <s v="NO EXISTE PG"/>
    <s v="NO EXISTE ISEL"/>
    <n v="0"/>
    <s v="NO TIENE L3OUT"/>
    <n v="0"/>
    <n v="54"/>
  </r>
  <r>
    <n v="825"/>
    <x v="2"/>
    <x v="184"/>
    <s v="eth1/51"/>
    <x v="0"/>
    <x v="1"/>
    <x v="3"/>
    <m/>
    <x v="0"/>
    <b v="0"/>
    <s v="No está en VPC"/>
    <n v="825"/>
    <s v="NO EXISTE PG"/>
    <s v="NO EXISTE ISEL"/>
    <n v="0"/>
    <s v="NO TIENE L3OUT"/>
    <n v="72"/>
    <n v="54"/>
  </r>
  <r>
    <n v="800"/>
    <x v="2"/>
    <x v="185"/>
    <s v="eth1/51"/>
    <x v="1"/>
    <x v="1"/>
    <x v="3"/>
    <m/>
    <x v="0"/>
    <b v="0"/>
    <s v="No está en VPC"/>
    <n v="800"/>
    <s v="NO EXISTE PG"/>
    <s v="NO EXISTE ISEL"/>
    <n v="0"/>
    <s v="NO TIENE L3OUT"/>
    <n v="78"/>
    <n v="54"/>
  </r>
  <r>
    <n v="801"/>
    <x v="2"/>
    <x v="186"/>
    <s v="eth1/51"/>
    <x v="1"/>
    <x v="1"/>
    <x v="3"/>
    <m/>
    <x v="0"/>
    <b v="0"/>
    <s v="No está en VPC"/>
    <n v="801"/>
    <s v="NO EXISTE PG"/>
    <s v="NO EXISTE ISEL"/>
    <n v="0"/>
    <s v="NO TIENE L3OUT"/>
    <n v="78"/>
    <n v="54"/>
  </r>
  <r>
    <n v="823"/>
    <x v="2"/>
    <x v="187"/>
    <s v="eth1/51"/>
    <x v="0"/>
    <x v="1"/>
    <x v="3"/>
    <m/>
    <x v="0"/>
    <b v="0"/>
    <s v="No está en VPC"/>
    <n v="823"/>
    <s v="NO EXISTE PG"/>
    <s v="NO EXISTE ISEL"/>
    <n v="0"/>
    <s v="NO TIENE L3OUT"/>
    <n v="8"/>
    <n v="54"/>
  </r>
  <r>
    <n v="837"/>
    <x v="2"/>
    <x v="188"/>
    <s v="eth1/51"/>
    <x v="1"/>
    <x v="1"/>
    <x v="3"/>
    <m/>
    <x v="0"/>
    <b v="0"/>
    <s v="No está en VPC"/>
    <n v="837"/>
    <s v="NO EXISTE PG"/>
    <s v="NO EXISTE ISEL"/>
    <n v="0"/>
    <s v="NO TIENE L3OUT"/>
    <n v="8"/>
    <n v="54"/>
  </r>
  <r>
    <n v="867"/>
    <x v="2"/>
    <x v="189"/>
    <s v="eth1/51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51"/>
    <x v="1"/>
    <x v="1"/>
    <x v="3"/>
    <m/>
    <x v="0"/>
    <b v="0"/>
    <s v="No está en VPC"/>
    <n v="829"/>
    <s v="NO EXISTE PG"/>
    <s v="NO EXISTE ISEL"/>
    <n v="0"/>
    <s v="NO TIENE L3OUT"/>
    <n v="224"/>
    <n v="54"/>
  </r>
  <r>
    <n v="831"/>
    <x v="2"/>
    <x v="191"/>
    <s v="eth1/51"/>
    <x v="1"/>
    <x v="1"/>
    <x v="3"/>
    <m/>
    <x v="0"/>
    <b v="0"/>
    <s v="No está en VPC"/>
    <n v="831"/>
    <s v="NO EXISTE PG"/>
    <s v="NO EXISTE ISEL"/>
    <n v="0"/>
    <s v="NO TIENE L3OUT"/>
    <n v="14"/>
    <n v="54"/>
  </r>
  <r>
    <n v="802"/>
    <x v="2"/>
    <x v="192"/>
    <s v="eth1/51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51"/>
    <x v="1"/>
    <x v="1"/>
    <x v="3"/>
    <m/>
    <x v="0"/>
    <b v="0"/>
    <s v="No está en VPC"/>
    <n v="835"/>
    <s v="NO EXISTE PG"/>
    <s v="NO EXISTE ISEL"/>
    <n v="0"/>
    <s v="NO TIENE L3OUT"/>
    <n v="8"/>
    <n v="54"/>
  </r>
  <r>
    <n v="822"/>
    <x v="2"/>
    <x v="194"/>
    <s v="eth1/51"/>
    <x v="0"/>
    <x v="1"/>
    <x v="3"/>
    <m/>
    <x v="0"/>
    <b v="0"/>
    <s v="No está en VPC"/>
    <n v="822"/>
    <s v="NO EXISTE PG"/>
    <s v="NO EXISTE ISEL"/>
    <n v="0"/>
    <s v="NO TIENE L3OUT"/>
    <n v="0"/>
    <n v="54"/>
  </r>
  <r>
    <n v="854"/>
    <x v="2"/>
    <x v="195"/>
    <s v="eth1/51"/>
    <x v="1"/>
    <x v="1"/>
    <x v="3"/>
    <m/>
    <x v="0"/>
    <b v="0"/>
    <s v="No está en VPC"/>
    <n v="854"/>
    <s v="NO EXISTE PG"/>
    <s v="NO EXISTE ISEL"/>
    <n v="0"/>
    <s v="NO TIENE L3OUT"/>
    <n v="204"/>
    <n v="54"/>
  </r>
  <r>
    <n v="858"/>
    <x v="2"/>
    <x v="196"/>
    <s v="eth1/51"/>
    <x v="1"/>
    <x v="1"/>
    <x v="3"/>
    <m/>
    <x v="0"/>
    <b v="0"/>
    <s v="No está en VPC"/>
    <n v="858"/>
    <s v="NO EXISTE PG"/>
    <s v="NO EXISTE ISEL"/>
    <n v="0"/>
    <s v="NO TIENE L3OUT"/>
    <n v="8"/>
    <n v="54"/>
  </r>
  <r>
    <n v="857"/>
    <x v="2"/>
    <x v="197"/>
    <s v="eth1/51"/>
    <x v="1"/>
    <x v="1"/>
    <x v="3"/>
    <m/>
    <x v="0"/>
    <b v="0"/>
    <s v="No está en VPC"/>
    <n v="857"/>
    <s v="NO EXISTE PG"/>
    <s v="NO EXISTE ISEL"/>
    <n v="0"/>
    <s v="NO TIENE L3OUT"/>
    <n v="288"/>
    <n v="54"/>
  </r>
  <r>
    <n v="859"/>
    <x v="2"/>
    <x v="198"/>
    <s v="eth1/51"/>
    <x v="1"/>
    <x v="1"/>
    <x v="3"/>
    <m/>
    <x v="0"/>
    <b v="0"/>
    <s v="No está en VPC"/>
    <n v="859"/>
    <s v="NO EXISTE PG"/>
    <s v="NO EXISTE ISEL"/>
    <n v="0"/>
    <s v="NO TIENE L3OUT"/>
    <n v="0"/>
    <n v="54"/>
  </r>
  <r>
    <n v="833"/>
    <x v="2"/>
    <x v="199"/>
    <s v="eth1/51"/>
    <x v="1"/>
    <x v="1"/>
    <x v="3"/>
    <m/>
    <x v="0"/>
    <b v="0"/>
    <s v="No está en VPC"/>
    <n v="833"/>
    <s v="NO EXISTE PG"/>
    <s v="NO EXISTE ISEL"/>
    <n v="0"/>
    <s v="NO TIENE L3OUT"/>
    <n v="224"/>
    <n v="54"/>
  </r>
  <r>
    <n v="818"/>
    <x v="2"/>
    <x v="200"/>
    <s v="eth1/51"/>
    <x v="0"/>
    <x v="1"/>
    <x v="3"/>
    <m/>
    <x v="0"/>
    <b v="0"/>
    <s v="No está en VPC"/>
    <n v="818"/>
    <s v="NO EXISTE PG"/>
    <s v="NO EXISTE ISEL"/>
    <n v="0"/>
    <s v="NO TIENE L3OUT"/>
    <n v="8"/>
    <n v="54"/>
  </r>
  <r>
    <n v="850"/>
    <x v="2"/>
    <x v="201"/>
    <s v="eth1/51"/>
    <x v="1"/>
    <x v="1"/>
    <x v="3"/>
    <m/>
    <x v="0"/>
    <b v="0"/>
    <s v="No está en VPC"/>
    <n v="850"/>
    <s v="NO EXISTE PG"/>
    <s v="NO EXISTE ISEL"/>
    <n v="0"/>
    <s v="NO TIENE L3OUT"/>
    <n v="288"/>
    <n v="54"/>
  </r>
  <r>
    <n v="860"/>
    <x v="2"/>
    <x v="202"/>
    <s v="eth1/51"/>
    <x v="1"/>
    <x v="1"/>
    <x v="3"/>
    <m/>
    <x v="0"/>
    <b v="0"/>
    <s v="No está en VPC"/>
    <n v="860"/>
    <s v="NO EXISTE PG"/>
    <s v="NO EXISTE ISEL"/>
    <n v="0"/>
    <s v="NO TIENE L3OUT"/>
    <n v="0"/>
    <n v="54"/>
  </r>
  <r>
    <n v="853"/>
    <x v="2"/>
    <x v="203"/>
    <s v="eth1/51"/>
    <x v="1"/>
    <x v="1"/>
    <x v="3"/>
    <m/>
    <x v="0"/>
    <b v="0"/>
    <s v="No está en VPC"/>
    <n v="853"/>
    <s v="NO EXISTE PG"/>
    <s v="NO EXISTE ISEL"/>
    <n v="0"/>
    <s v="NO TIENE L3OUT"/>
    <n v="242"/>
    <n v="54"/>
  </r>
  <r>
    <n v="790"/>
    <x v="2"/>
    <x v="204"/>
    <s v="eth1/51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51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51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51"/>
    <x v="0"/>
    <x v="1"/>
    <x v="1"/>
    <s v="CISCO ANA 01 EHEALTH"/>
    <x v="6"/>
    <b v="0"/>
    <s v="No está en VPC"/>
    <n v="104"/>
    <s v="INTPG_ACC_104_1.51"/>
    <s v="ISEL-1.51"/>
    <n v="1"/>
    <s v="NO TIENE L3OUT"/>
    <n v="194"/>
    <n v="96"/>
  </r>
  <r>
    <n v="158"/>
    <x v="0"/>
    <x v="208"/>
    <s v="eth1/51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51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51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51"/>
    <x v="0"/>
    <x v="0"/>
    <x v="0"/>
    <s v="DESC"/>
    <x v="6"/>
    <b v="0"/>
    <s v="No está en VPC"/>
    <n v="108"/>
    <s v="INTPG_PC_108_1.51-52"/>
    <s v="ISEL-1.51"/>
    <n v="1"/>
    <s v="NO TIENE L3OUT"/>
    <n v="126"/>
    <n v="96"/>
  </r>
  <r>
    <n v="112"/>
    <x v="0"/>
    <x v="212"/>
    <s v="eth1/51"/>
    <x v="0"/>
    <x v="1"/>
    <x v="1"/>
    <s v="SAPCCRATING06"/>
    <x v="6"/>
    <b v="0"/>
    <s v="No está en VPC"/>
    <n v="112"/>
    <s v="INTPG_VPC_112_1.51_114_1.48"/>
    <s v="ISEL-1.51"/>
    <n v="1"/>
    <s v="NO TIENE L3OUT"/>
    <n v="144"/>
    <n v="96"/>
  </r>
  <r>
    <n v="107"/>
    <x v="0"/>
    <x v="213"/>
    <s v="eth1/51"/>
    <x v="0"/>
    <x v="0"/>
    <x v="0"/>
    <s v="COMISIONES"/>
    <x v="6"/>
    <b v="0"/>
    <s v="No está en VPC"/>
    <n v="107"/>
    <s v="INTPG_ACC_107_1.51"/>
    <s v="ISEL-1.51"/>
    <n v="1"/>
    <s v="NO TIENE L3OUT"/>
    <n v="118"/>
    <n v="96"/>
  </r>
  <r>
    <n v="109"/>
    <x v="0"/>
    <x v="214"/>
    <s v="eth1/51"/>
    <x v="0"/>
    <x v="0"/>
    <x v="0"/>
    <s v="OBIE_1-2"/>
    <x v="6"/>
    <b v="0"/>
    <s v="No está en VPC"/>
    <n v="109"/>
    <s v="INTPG_ACC_109_1.51"/>
    <s v="ISEL-1.51"/>
    <n v="1"/>
    <s v="NO TIENE L3OUT"/>
    <n v="126"/>
    <n v="96"/>
  </r>
  <r>
    <n v="113"/>
    <x v="0"/>
    <x v="215"/>
    <s v="eth1/51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51"/>
    <x v="0"/>
    <x v="1"/>
    <x v="1"/>
    <s v="SAPCCRATING09"/>
    <x v="6"/>
    <b v="0"/>
    <s v="No está en VPC"/>
    <n v="114"/>
    <s v="INTPG_VPC_112_1.54_114_1.51"/>
    <s v="ISEL-1.51"/>
    <n v="1"/>
    <s v="NO TIENE L3OUT"/>
    <n v="144"/>
    <n v="96"/>
  </r>
  <r>
    <n v="124"/>
    <x v="0"/>
    <x v="217"/>
    <s v="eth1/51"/>
    <x v="1"/>
    <x v="1"/>
    <x v="2"/>
    <s v="CIRCULO Azul(UXCA)"/>
    <x v="6"/>
    <b v="0"/>
    <s v="No está en VPC"/>
    <n v="124"/>
    <s v="INTPG_ACC_124_1.51"/>
    <s v="ISEL-1.51"/>
    <n v="0"/>
    <s v="NO TIENE L3OUT"/>
    <n v="80"/>
    <n v="96"/>
  </r>
  <r>
    <n v="118"/>
    <x v="0"/>
    <x v="218"/>
    <s v="eth1/51"/>
    <x v="0"/>
    <x v="0"/>
    <x v="0"/>
    <s v="USSD TANGO"/>
    <x v="6"/>
    <b v="0"/>
    <s v="No está en VPC"/>
    <n v="118"/>
    <s v="INTPG_ACC_118_1.51"/>
    <s v="ISEL-1.51"/>
    <n v="1"/>
    <s v="NO TIENE L3OUT"/>
    <n v="180"/>
    <n v="96"/>
  </r>
  <r>
    <n v="159"/>
    <x v="0"/>
    <x v="219"/>
    <s v="eth1/51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51"/>
    <x v="1"/>
    <x v="1"/>
    <x v="3"/>
    <m/>
    <x v="0"/>
    <b v="0"/>
    <s v="No está en VPC"/>
    <n v="840"/>
    <s v="NO EXISTE PG"/>
    <s v="NO EXISTE ISEL"/>
    <n v="0"/>
    <s v="NO TIENE L3OUT"/>
    <n v="8"/>
    <n v="54"/>
  </r>
  <r>
    <n v="856"/>
    <x v="2"/>
    <x v="221"/>
    <s v="eth1/51"/>
    <x v="1"/>
    <x v="1"/>
    <x v="3"/>
    <m/>
    <x v="0"/>
    <b v="0"/>
    <s v="No está en VPC"/>
    <n v="856"/>
    <s v="NO EXISTE PG"/>
    <s v="NO EXISTE ISEL"/>
    <n v="0"/>
    <s v="NO TIENE L3OUT"/>
    <n v="286"/>
    <n v="54"/>
  </r>
  <r>
    <n v="110"/>
    <x v="0"/>
    <x v="222"/>
    <s v="eth1/51"/>
    <x v="0"/>
    <x v="0"/>
    <x v="0"/>
    <s v="STORAGE_VNX_0493_BKP1_AND_BKP2"/>
    <x v="6"/>
    <b v="0"/>
    <s v="No está en VPC"/>
    <n v="110"/>
    <s v="INTPG_ACC_110_1.51"/>
    <s v="ISEL-1.51"/>
    <n v="1"/>
    <s v="NO TIENE L3OUT"/>
    <n v="102"/>
    <n v="96"/>
  </r>
  <r>
    <n v="163"/>
    <x v="0"/>
    <x v="223"/>
    <s v="eth1/51"/>
    <x v="1"/>
    <x v="1"/>
    <x v="2"/>
    <s v="CELCITE"/>
    <x v="6"/>
    <b v="0"/>
    <s v="No está en VPC"/>
    <n v="163"/>
    <s v="INTPG_ACC_163_1.51"/>
    <s v="ISEL-1.51"/>
    <n v="1"/>
    <s v="NO TIENE L3OUT"/>
    <n v="140"/>
    <n v="96"/>
  </r>
  <r>
    <n v="407"/>
    <x v="1"/>
    <x v="224"/>
    <s v="eth1/51"/>
    <x v="0"/>
    <x v="0"/>
    <x v="0"/>
    <s v="TO-ITHFDEOCP1LWR03-PRINCIPAL"/>
    <x v="6"/>
    <b v="0"/>
    <s v="No está en VPC"/>
    <n v="407"/>
    <s v="INTPG_ACC_407_1.51"/>
    <s v="ISEL-1.51"/>
    <n v="1"/>
    <s v="NO TIENE L3OUT"/>
    <n v="122"/>
    <n v="96"/>
  </r>
  <r>
    <n v="171"/>
    <x v="0"/>
    <x v="225"/>
    <s v="eth1/51"/>
    <x v="0"/>
    <x v="0"/>
    <x v="0"/>
    <s v="SRS (Speedy Rating System)"/>
    <x v="6"/>
    <b v="0"/>
    <s v="No está en VPC"/>
    <n v="171"/>
    <s v="INTPG_ACC_171_1.51"/>
    <s v="ISEL-1.51"/>
    <n v="1"/>
    <s v="NO TIENE L3OUT"/>
    <n v="114"/>
    <n v="96"/>
  </r>
  <r>
    <n v="421"/>
    <x v="1"/>
    <x v="226"/>
    <s v="eth1/51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51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51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51"/>
    <x v="0"/>
    <x v="0"/>
    <x v="0"/>
    <s v="SRS (Speedy Rating System)"/>
    <x v="6"/>
    <b v="0"/>
    <s v="No está en VPC"/>
    <n v="172"/>
    <s v="INTPG_ACC_172_1.51"/>
    <s v="ISEL-1.51"/>
    <n v="1"/>
    <s v="NO TIENE L3OUT"/>
    <n v="104"/>
    <n v="96"/>
  </r>
  <r>
    <n v="420"/>
    <x v="1"/>
    <x v="230"/>
    <s v="eth1/51"/>
    <x v="0"/>
    <x v="1"/>
    <x v="1"/>
    <s v="PORTAB_EXP1"/>
    <x v="6"/>
    <b v="0"/>
    <s v="No está en VPC"/>
    <n v="420"/>
    <s v="INTPG_ACC_420_1.51"/>
    <s v="ISEL-1.51"/>
    <n v="1"/>
    <s v="NO TIENE L3OUT"/>
    <n v="158"/>
    <n v="96"/>
  </r>
  <r>
    <n v="423"/>
    <x v="1"/>
    <x v="231"/>
    <s v="eth1/51"/>
    <x v="0"/>
    <x v="0"/>
    <x v="0"/>
    <s v="HP Proliant DL380p(b)"/>
    <x v="6"/>
    <b v="0"/>
    <s v="No está en VPC"/>
    <n v="423"/>
    <s v="INTPG_ACC_423_1.51"/>
    <s v="ISEL-1.51"/>
    <n v="1"/>
    <s v="NO TIENE L3OUT"/>
    <n v="86"/>
    <n v="96"/>
  </r>
  <r>
    <n v="415"/>
    <x v="1"/>
    <x v="232"/>
    <s v="eth1/51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51"/>
    <x v="0"/>
    <x v="1"/>
    <x v="1"/>
    <s v="CFD"/>
    <x v="6"/>
    <b v="0"/>
    <s v="No está en VPC"/>
    <n v="102"/>
    <s v="INTPG_ACC_102_1.51"/>
    <s v="ISEL-1.51"/>
    <n v="1"/>
    <s v="NO TIENE L3OUT"/>
    <n v="228"/>
    <n v="96"/>
  </r>
  <r>
    <n v="863"/>
    <x v="2"/>
    <x v="234"/>
    <s v="eth1/51"/>
    <x v="1"/>
    <x v="1"/>
    <x v="3"/>
    <m/>
    <x v="0"/>
    <b v="0"/>
    <s v="No está en VPC"/>
    <n v="863"/>
    <s v="NO EXISTE PG"/>
    <s v="NO EXISTE ISEL"/>
    <n v="0"/>
    <s v="NO TIENE L3OUT"/>
    <n v="8"/>
    <n v="54"/>
  </r>
  <r>
    <n v="876"/>
    <x v="2"/>
    <x v="235"/>
    <s v="eth1/51"/>
    <x v="1"/>
    <x v="1"/>
    <x v="3"/>
    <m/>
    <x v="4"/>
    <b v="0"/>
    <s v="No está en VPC"/>
    <n v="876"/>
    <s v="NO EXISTE PG"/>
    <s v="NO EXISTE ISEL"/>
    <n v="0"/>
    <s v="NO TIENE L3OUT"/>
    <n v="92"/>
    <n v="54"/>
  </r>
  <r>
    <n v="877"/>
    <x v="2"/>
    <x v="236"/>
    <s v="eth1/51"/>
    <x v="0"/>
    <x v="0"/>
    <x v="0"/>
    <s v="LINK_HACIA_SPINE"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51"/>
    <x v="1"/>
    <x v="1"/>
    <x v="2"/>
    <s v="INTRANET CORPORATIVA"/>
    <x v="6"/>
    <b v="0"/>
    <s v="No está en VPC"/>
    <n v="122"/>
    <s v="INTPG_ACC_122_1.51"/>
    <s v="ISEL-1.51"/>
    <n v="1"/>
    <s v="NO TIENE L3OUT"/>
    <n v="148"/>
    <n v="96"/>
  </r>
  <r>
    <n v="157"/>
    <x v="0"/>
    <x v="238"/>
    <s v="eth1/51"/>
    <x v="0"/>
    <x v="0"/>
    <x v="0"/>
    <s v="PORTAL CAUTIVO"/>
    <x v="6"/>
    <b v="0"/>
    <s v="No está en VPC"/>
    <n v="157"/>
    <s v="INTPG_ACC_157_1.51"/>
    <s v="ISEL-1.51"/>
    <n v="1"/>
    <s v="NO TIENE L3OUT"/>
    <n v="202"/>
    <n v="96"/>
  </r>
  <r>
    <n v="408"/>
    <x v="1"/>
    <x v="239"/>
    <s v="eth1/51"/>
    <x v="0"/>
    <x v="0"/>
    <x v="0"/>
    <s v="IBMWASII_01"/>
    <x v="6"/>
    <b v="0"/>
    <s v="No está en VPC"/>
    <n v="408"/>
    <s v="INTPG_ACC_408_1.51"/>
    <s v="ISEL-1.51"/>
    <n v="1"/>
    <s v="NO TIENE L3OUT"/>
    <n v="152"/>
    <n v="96"/>
  </r>
  <r>
    <n v="405"/>
    <x v="1"/>
    <x v="240"/>
    <s v="eth1/51"/>
    <x v="0"/>
    <x v="0"/>
    <x v="0"/>
    <s v="CCURE_9000"/>
    <x v="6"/>
    <b v="0"/>
    <s v="No está en VPC"/>
    <n v="405"/>
    <s v="INTPG_ACC_405_1.51"/>
    <s v="ISEL-1.51"/>
    <n v="1"/>
    <s v="NO TIENE L3OUT"/>
    <n v="138"/>
    <n v="96"/>
  </r>
  <r>
    <n v="169"/>
    <x v="0"/>
    <x v="241"/>
    <s v="eth1/51"/>
    <x v="0"/>
    <x v="1"/>
    <x v="1"/>
    <s v="TO-ITHFDENBURMS03-PRINCIPAL"/>
    <x v="6"/>
    <b v="0"/>
    <s v="No está en VPC"/>
    <n v="169"/>
    <s v="INTPG_ACC_169_1.51"/>
    <s v="ISEL-1.51"/>
    <n v="1"/>
    <s v="NO TIENE L3OUT"/>
    <n v="76"/>
    <n v="96"/>
  </r>
  <r>
    <n v="165"/>
    <x v="0"/>
    <x v="242"/>
    <s v="eth1/51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51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51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51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51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51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51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51"/>
    <x v="0"/>
    <x v="0"/>
    <x v="0"/>
    <s v="DESC"/>
    <x v="6"/>
    <b v="0"/>
    <s v="No está en VPC"/>
    <n v="406"/>
    <s v="INTPG_PC_406_1.51-52"/>
    <s v="ISEL-1.51"/>
    <n v="1"/>
    <s v="NO TIENE L3OUT"/>
    <n v="82"/>
    <n v="96"/>
  </r>
  <r>
    <n v="414"/>
    <x v="1"/>
    <x v="250"/>
    <s v="eth1/51"/>
    <x v="0"/>
    <x v="0"/>
    <x v="0"/>
    <s v="MULTI02_S13"/>
    <x v="6"/>
    <b v="0"/>
    <s v="No está en VPC"/>
    <n v="414"/>
    <s v="INTPG_ACC_414_1.51"/>
    <s v="ISEL-1.51"/>
    <n v="1"/>
    <s v="NO TIENE L3OUT"/>
    <n v="144"/>
    <n v="96"/>
  </r>
  <r>
    <n v="416"/>
    <x v="1"/>
    <x v="251"/>
    <s v="eth1/51"/>
    <x v="0"/>
    <x v="0"/>
    <x v="0"/>
    <s v="R9MEXIXTOAE-1"/>
    <x v="6"/>
    <b v="0"/>
    <s v="No está en VPC"/>
    <n v="416"/>
    <s v="INTPG_ACC_416_1.51"/>
    <s v="ISEL-1.51"/>
    <n v="1"/>
    <s v="NO TIENE L3OUT"/>
    <n v="110"/>
    <n v="96"/>
  </r>
  <r>
    <n v="418"/>
    <x v="1"/>
    <x v="252"/>
    <s v="eth1/51"/>
    <x v="0"/>
    <x v="0"/>
    <x v="0"/>
    <s v="IXTSD970B"/>
    <x v="6"/>
    <b v="0"/>
    <s v="No está en VPC"/>
    <n v="418"/>
    <s v="INTPG_ACC_418_1.51"/>
    <s v="ISEL-1.51"/>
    <n v="1"/>
    <s v="NO TIENE L3OUT"/>
    <n v="152"/>
    <n v="96"/>
  </r>
  <r>
    <n v="413"/>
    <x v="1"/>
    <x v="253"/>
    <s v="eth1/51"/>
    <x v="0"/>
    <x v="0"/>
    <x v="0"/>
    <s v="To-uxingemc3"/>
    <x v="6"/>
    <b v="0"/>
    <s v="No está en VPC"/>
    <n v="413"/>
    <s v="INTPG_ACC_413_1.51"/>
    <s v="ISEL-1.51"/>
    <n v="1"/>
    <s v="NO TIENE L3OUT"/>
    <n v="126"/>
    <n v="96"/>
  </r>
  <r>
    <n v="403"/>
    <x v="1"/>
    <x v="254"/>
    <s v="eth1/51"/>
    <x v="0"/>
    <x v="1"/>
    <x v="1"/>
    <s v="ITHSGHP0"/>
    <x v="6"/>
    <b v="0"/>
    <s v="No está en VPC"/>
    <n v="403"/>
    <s v="INTPG_ACC_403_1.51"/>
    <s v="ISEL-1.51"/>
    <n v="1"/>
    <s v="NO TIENE L3OUT"/>
    <n v="150"/>
    <n v="96"/>
  </r>
  <r>
    <n v="125"/>
    <x v="0"/>
    <x v="255"/>
    <s v="eth1/51"/>
    <x v="0"/>
    <x v="0"/>
    <x v="0"/>
    <s v="CIRCULO Azul(UXCA)"/>
    <x v="6"/>
    <b v="0"/>
    <s v="No está en VPC"/>
    <n v="125"/>
    <s v="INTPG_ACC_125_1.51"/>
    <s v="ISEL-1.51"/>
    <n v="1"/>
    <s v="NO TIENE L3OUT"/>
    <n v="72"/>
    <n v="96"/>
  </r>
  <r>
    <n v="166"/>
    <x v="0"/>
    <x v="256"/>
    <s v="eth1/51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51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51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51"/>
    <x v="0"/>
    <x v="0"/>
    <x v="0"/>
    <s v="COMISIONES"/>
    <x v="6"/>
    <b v="0"/>
    <s v="No está en VPC"/>
    <n v="106"/>
    <s v="INTPG_ACC_106_1.51"/>
    <s v="ISEL-1.51"/>
    <n v="1"/>
    <s v="NO TIENE L3OUT"/>
    <n v="122"/>
    <n v="96"/>
  </r>
  <r>
    <n v="126"/>
    <x v="0"/>
    <x v="260"/>
    <s v="eth1/51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51"/>
    <x v="0"/>
    <x v="0"/>
    <x v="0"/>
    <s v="HP_Proliant_DL360_Gen9"/>
    <x v="6"/>
    <b v="0"/>
    <s v="No está en VPC"/>
    <n v="425"/>
    <s v="INTPG_ACC_425_1.51"/>
    <s v="ISEL-1.51"/>
    <n v="1"/>
    <s v="NO TIENE L3OUT"/>
    <n v="86"/>
    <n v="96"/>
  </r>
  <r>
    <n v="151"/>
    <x v="0"/>
    <x v="262"/>
    <s v="eth1/51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51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51"/>
    <x v="0"/>
    <x v="0"/>
    <x v="0"/>
    <s v="SPECSERVER1_ETH2"/>
    <x v="6"/>
    <b v="0"/>
    <s v="No está en VPC"/>
    <n v="419"/>
    <s v="INTPG_ACC_419_1.51"/>
    <s v="ISEL-1.51"/>
    <n v="1"/>
    <s v="NO TIENE L3OUT"/>
    <n v="70"/>
    <n v="96"/>
  </r>
  <r>
    <n v="155"/>
    <x v="0"/>
    <x v="265"/>
    <s v="eth1/51"/>
    <x v="0"/>
    <x v="0"/>
    <x v="0"/>
    <s v="FW_VPN"/>
    <x v="6"/>
    <b v="0"/>
    <s v="No está en VPC"/>
    <n v="155"/>
    <s v="INTPG_ACC_155_1.51"/>
    <s v="ISEL-1.51"/>
    <n v="1"/>
    <s v="NO TIENE L3OUT"/>
    <n v="198"/>
    <n v="96"/>
  </r>
  <r>
    <n v="409"/>
    <x v="1"/>
    <x v="266"/>
    <s v="eth1/51"/>
    <x v="0"/>
    <x v="0"/>
    <x v="0"/>
    <s v="TO-ITHFDEOCP1LWR03-REDUNDANTE"/>
    <x v="6"/>
    <b v="0"/>
    <s v="No está en VPC"/>
    <n v="409"/>
    <s v="INTPG_ACC_409_1.51"/>
    <s v="ISEL-1.51"/>
    <n v="1"/>
    <s v="NO TIENE L3OUT"/>
    <n v="128"/>
    <n v="96"/>
  </r>
  <r>
    <n v="422"/>
    <x v="1"/>
    <x v="267"/>
    <s v="eth1/51"/>
    <x v="0"/>
    <x v="0"/>
    <x v="0"/>
    <s v="DCX_PROD1"/>
    <x v="6"/>
    <b v="0"/>
    <s v="No está en VPC"/>
    <n v="422"/>
    <s v="INTPG_ACC_422_1.51"/>
    <s v="ISEL-1.51"/>
    <n v="1"/>
    <s v="NO TIENE L3OUT"/>
    <n v="182"/>
    <n v="96"/>
  </r>
  <r>
    <n v="436"/>
    <x v="1"/>
    <x v="268"/>
    <s v="eth1/51"/>
    <x v="0"/>
    <x v="0"/>
    <x v="0"/>
    <s v="TC3_ithmomce1_VC1_X2"/>
    <x v="6"/>
    <b v="0"/>
    <s v="No está en VPC"/>
    <n v="436"/>
    <s v="INTPG_ACC_436_1.51"/>
    <s v="ISEL-1.51"/>
    <n v="7"/>
    <s v="NO TIENE L3OUT"/>
    <n v="172"/>
    <n v="96"/>
  </r>
  <r>
    <n v="410"/>
    <x v="1"/>
    <x v="269"/>
    <s v="eth1/51"/>
    <x v="0"/>
    <x v="0"/>
    <x v="0"/>
    <s v="ODA1"/>
    <x v="6"/>
    <b v="0"/>
    <s v="No está en VPC"/>
    <n v="410"/>
    <s v="INTPG_ACC_410_1.51"/>
    <s v="ISEL-1.51"/>
    <n v="1"/>
    <s v="NO TIENE L3OUT"/>
    <n v="178"/>
    <n v="96"/>
  </r>
  <r>
    <n v="161"/>
    <x v="0"/>
    <x v="270"/>
    <s v="eth1/51"/>
    <x v="0"/>
    <x v="0"/>
    <x v="0"/>
    <s v="CELCITE"/>
    <x v="6"/>
    <b v="0"/>
    <s v="No está en VPC"/>
    <n v="161"/>
    <s v="INTPG_ACC_161_1.51"/>
    <s v="ISEL-1.51"/>
    <n v="1"/>
    <s v="NO TIENE L3OUT"/>
    <n v="102"/>
    <n v="96"/>
  </r>
  <r>
    <n v="411"/>
    <x v="1"/>
    <x v="271"/>
    <s v="eth1/51"/>
    <x v="0"/>
    <x v="0"/>
    <x v="0"/>
    <s v="TO-SERVICE AVAILABILITY2-PRINCIPAL"/>
    <x v="6"/>
    <b v="0"/>
    <s v="No está en VPC"/>
    <n v="411"/>
    <s v="INTPG_ACC_411_1.51"/>
    <s v="ISEL-1.51"/>
    <n v="1"/>
    <s v="NO TIENE L3OUT"/>
    <n v="96"/>
    <n v="96"/>
  </r>
  <r>
    <n v="116"/>
    <x v="0"/>
    <x v="272"/>
    <s v="eth1/51"/>
    <x v="0"/>
    <x v="1"/>
    <x v="1"/>
    <s v="NOTIFICATION SERVER TANGO"/>
    <x v="6"/>
    <b v="0"/>
    <s v="No está en VPC"/>
    <n v="116"/>
    <s v="INTPG_ACC_116_1.51"/>
    <s v="ISEL-1.51"/>
    <n v="1"/>
    <s v="NO TIENE L3OUT"/>
    <n v="148"/>
    <n v="96"/>
  </r>
  <r>
    <n v="412"/>
    <x v="1"/>
    <x v="273"/>
    <s v="eth1/51"/>
    <x v="0"/>
    <x v="0"/>
    <x v="0"/>
    <s v="IBMWASII_01"/>
    <x v="6"/>
    <b v="0"/>
    <s v="No está en VPC"/>
    <n v="412"/>
    <s v="INTPG_ACC_412_1.51"/>
    <s v="ISEL-1.51"/>
    <n v="1"/>
    <s v="NO TIENE L3OUT"/>
    <n v="126"/>
    <n v="96"/>
  </r>
  <r>
    <n v="120"/>
    <x v="0"/>
    <x v="274"/>
    <s v="eth1/51"/>
    <x v="0"/>
    <x v="0"/>
    <x v="0"/>
    <s v="IXTTRAP-ETL"/>
    <x v="6"/>
    <b v="0"/>
    <s v="No está en VPC"/>
    <n v="120"/>
    <s v="INTPG_ACC_120_1.51"/>
    <s v="ISEL-1.51"/>
    <n v="1"/>
    <s v="NO TIENE L3OUT"/>
    <n v="158"/>
    <n v="96"/>
  </r>
  <r>
    <n v="404"/>
    <x v="1"/>
    <x v="275"/>
    <s v="eth1/51"/>
    <x v="0"/>
    <x v="0"/>
    <x v="0"/>
    <s v="DESC"/>
    <x v="6"/>
    <b v="0"/>
    <s v="No está en VPC"/>
    <n v="404"/>
    <s v="INTPG_PC_404_1.51-52"/>
    <s v="ISEL-1.51"/>
    <n v="1"/>
    <s v="NO TIENE L3OUT"/>
    <n v="92"/>
    <n v="96"/>
  </r>
  <r>
    <n v="167"/>
    <x v="0"/>
    <x v="276"/>
    <s v="eth1/51"/>
    <x v="0"/>
    <x v="0"/>
    <x v="0"/>
    <s v="TO-ITHFDENBURMS06"/>
    <x v="6"/>
    <b v="0"/>
    <s v="No está en VPC"/>
    <n v="167"/>
    <s v="INTPG_VPC_167_1.51_169_1.56"/>
    <s v="ISEL-1.51"/>
    <n v="1"/>
    <s v="NO TIENE L3OUT"/>
    <n v="68"/>
    <n v="96"/>
  </r>
  <r>
    <n v="428"/>
    <x v="1"/>
    <x v="277"/>
    <s v="eth1/51"/>
    <x v="0"/>
    <x v="0"/>
    <x v="0"/>
    <s v="eth0_vert02hpov_Primario"/>
    <x v="6"/>
    <b v="0"/>
    <s v="No está en VPC"/>
    <n v="428"/>
    <s v="INTPG_ACC_428_1.51"/>
    <s v="ISEL-1.51"/>
    <n v="1"/>
    <s v="NO TIENE L3OUT"/>
    <n v="102"/>
    <n v="96"/>
  </r>
  <r>
    <n v="128"/>
    <x v="0"/>
    <x v="0"/>
    <s v="eth1/52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52"/>
    <x v="0"/>
    <x v="1"/>
    <x v="3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52"/>
    <x v="0"/>
    <x v="1"/>
    <x v="3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52"/>
    <x v="0"/>
    <x v="1"/>
    <x v="3"/>
    <m/>
    <x v="0"/>
    <b v="0"/>
    <s v="No está en VPC"/>
    <n v="101"/>
    <s v="NO EXISTE PG"/>
    <s v="NO EXISTE ISEL"/>
    <n v="0"/>
    <s v="NO TIENE L3OUT"/>
    <n v="114"/>
    <n v="54"/>
  </r>
  <r>
    <n v="160"/>
    <x v="0"/>
    <x v="4"/>
    <s v="eth1/52"/>
    <x v="0"/>
    <x v="1"/>
    <x v="3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52"/>
    <x v="0"/>
    <x v="1"/>
    <x v="3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52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52"/>
    <x v="0"/>
    <x v="1"/>
    <x v="3"/>
    <m/>
    <x v="0"/>
    <b v="0"/>
    <s v="No está en VPC"/>
    <n v="401"/>
    <s v="NO EXISTE PG"/>
    <s v="NO EXISTE ISEL"/>
    <n v="0"/>
    <s v="NO TIENE L3OUT"/>
    <n v="40"/>
    <n v="54"/>
  </r>
  <r>
    <n v="402"/>
    <x v="1"/>
    <x v="8"/>
    <s v="eth1/52"/>
    <x v="0"/>
    <x v="1"/>
    <x v="3"/>
    <m/>
    <x v="0"/>
    <b v="0"/>
    <s v="No está en VPC"/>
    <n v="402"/>
    <s v="NO EXISTE PG"/>
    <s v="NO EXISTE ISEL"/>
    <n v="0"/>
    <s v="NO TIENE L3OUT"/>
    <n v="36"/>
    <n v="54"/>
  </r>
  <r>
    <n v="130"/>
    <x v="0"/>
    <x v="11"/>
    <s v="eth1/52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52"/>
    <x v="0"/>
    <x v="1"/>
    <x v="3"/>
    <m/>
    <x v="0"/>
    <b v="0"/>
    <s v="No está en VPC"/>
    <n v="150"/>
    <s v="NO EXISTE PG"/>
    <s v="NO EXISTE ISEL"/>
    <n v="0"/>
    <s v="NO TIENE L3OUT"/>
    <n v="118"/>
    <n v="54"/>
  </r>
  <r>
    <n v="131"/>
    <x v="0"/>
    <x v="13"/>
    <s v="eth1/52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424"/>
    <x v="1"/>
    <x v="18"/>
    <s v="eth1/52"/>
    <x v="0"/>
    <x v="1"/>
    <x v="3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52"/>
    <x v="1"/>
    <x v="1"/>
    <x v="3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52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52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52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52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52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52"/>
    <x v="1"/>
    <x v="1"/>
    <x v="3"/>
    <m/>
    <x v="0"/>
    <b v="0"/>
    <s v="No está en VPC"/>
    <n v="431"/>
    <s v="NO EXISTE PG"/>
    <s v="NO EXISTE ISEL"/>
    <n v="0"/>
    <s v="NO TIENE L3OUT"/>
    <n v="46"/>
    <n v="54"/>
  </r>
  <r>
    <n v="433"/>
    <x v="1"/>
    <x v="27"/>
    <s v="eth1/52"/>
    <x v="1"/>
    <x v="1"/>
    <x v="3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52"/>
    <x v="1"/>
    <x v="1"/>
    <x v="3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52"/>
    <x v="1"/>
    <x v="1"/>
    <x v="3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52"/>
    <x v="1"/>
    <x v="1"/>
    <x v="3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52"/>
    <x v="1"/>
    <x v="1"/>
    <x v="3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52"/>
    <x v="1"/>
    <x v="1"/>
    <x v="3"/>
    <m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52"/>
    <x v="1"/>
    <x v="1"/>
    <x v="3"/>
    <m/>
    <x v="0"/>
    <b v="0"/>
    <s v="No está en VPC"/>
    <n v="712"/>
    <s v="NO EXISTE PG"/>
    <s v="NO EXISTE ISEL"/>
    <n v="0"/>
    <s v="NO TIENE L3OUT"/>
    <n v="32"/>
    <n v="54"/>
  </r>
  <r>
    <n v="719"/>
    <x v="2"/>
    <x v="34"/>
    <s v="eth1/52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52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52"/>
    <x v="1"/>
    <x v="1"/>
    <x v="3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52"/>
    <x v="1"/>
    <x v="1"/>
    <x v="3"/>
    <m/>
    <x v="0"/>
    <b v="0"/>
    <s v="No está en VPC"/>
    <n v="711"/>
    <s v="NO EXISTE PG"/>
    <s v="NO EXISTE ISEL"/>
    <n v="0"/>
    <s v="NO TIENE L3OUT"/>
    <n v="16"/>
    <n v="54"/>
  </r>
  <r>
    <n v="716"/>
    <x v="2"/>
    <x v="38"/>
    <s v="eth1/52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52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52"/>
    <x v="1"/>
    <x v="1"/>
    <x v="3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52"/>
    <x v="0"/>
    <x v="1"/>
    <x v="3"/>
    <m/>
    <x v="0"/>
    <b v="0"/>
    <s v="No está en VPC"/>
    <n v="446"/>
    <s v="NO EXISTE PG"/>
    <s v="NO EXISTE ISEL"/>
    <n v="0"/>
    <s v="NO TIENE L3OUT"/>
    <n v="198"/>
    <n v="54"/>
  </r>
  <r>
    <n v="444"/>
    <x v="1"/>
    <x v="42"/>
    <s v="eth1/52"/>
    <x v="0"/>
    <x v="1"/>
    <x v="3"/>
    <m/>
    <x v="0"/>
    <b v="0"/>
    <s v="No está en VPC"/>
    <n v="444"/>
    <s v="NO EXISTE PG"/>
    <s v="NO EXISTE ISEL"/>
    <n v="0"/>
    <s v="NO TIENE L3OUT"/>
    <n v="234"/>
    <n v="54"/>
  </r>
  <r>
    <n v="701"/>
    <x v="2"/>
    <x v="43"/>
    <s v="eth1/52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52"/>
    <x v="1"/>
    <x v="1"/>
    <x v="3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52"/>
    <x v="1"/>
    <x v="1"/>
    <x v="3"/>
    <m/>
    <x v="0"/>
    <b v="0"/>
    <s v="No está en VPC"/>
    <n v="448"/>
    <s v="NO EXISTE PG"/>
    <s v="NO EXISTE ISEL"/>
    <n v="0"/>
    <s v="NO TIENE L3OUT"/>
    <n v="46"/>
    <n v="54"/>
  </r>
  <r>
    <n v="704"/>
    <x v="2"/>
    <x v="46"/>
    <s v="eth1/52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52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52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52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52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52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52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52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52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52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52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52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52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52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52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52"/>
    <x v="0"/>
    <x v="1"/>
    <x v="3"/>
    <m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52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52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52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52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52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52"/>
    <x v="1"/>
    <x v="1"/>
    <x v="3"/>
    <m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52"/>
    <x v="1"/>
    <x v="1"/>
    <x v="3"/>
    <m/>
    <x v="0"/>
    <b v="0"/>
    <s v="No está en VPC"/>
    <n v="780"/>
    <s v="NO EXISTE PG"/>
    <s v="NO EXISTE ISEL"/>
    <n v="0"/>
    <s v="NO TIENE L3OUT"/>
    <n v="26"/>
    <n v="54"/>
  </r>
  <r>
    <n v="812"/>
    <x v="2"/>
    <x v="70"/>
    <s v="eth1/52"/>
    <x v="1"/>
    <x v="1"/>
    <x v="3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52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52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52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52"/>
    <x v="0"/>
    <x v="1"/>
    <x v="3"/>
    <m/>
    <x v="0"/>
    <b v="0"/>
    <s v="No está en VPC"/>
    <n v="824"/>
    <s v="NO EXISTE PG"/>
    <s v="NO EXISTE ISEL"/>
    <n v="0"/>
    <s v="NO TIENE L3OUT"/>
    <n v="70"/>
    <n v="54"/>
  </r>
  <r>
    <n v="819"/>
    <x v="2"/>
    <x v="75"/>
    <s v="eth1/52"/>
    <x v="0"/>
    <x v="1"/>
    <x v="3"/>
    <m/>
    <x v="0"/>
    <b v="0"/>
    <s v="No está en VPC"/>
    <n v="819"/>
    <s v="NO EXISTE PG"/>
    <s v="NO EXISTE ISEL"/>
    <n v="0"/>
    <s v="NO TIENE L3OUT"/>
    <n v="70"/>
    <n v="54"/>
  </r>
  <r>
    <n v="737"/>
    <x v="2"/>
    <x v="76"/>
    <s v="eth1/52"/>
    <x v="0"/>
    <x v="1"/>
    <x v="3"/>
    <m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52"/>
    <x v="1"/>
    <x v="1"/>
    <x v="3"/>
    <m/>
    <x v="0"/>
    <b v="0"/>
    <s v="No está en VPC"/>
    <n v="844"/>
    <s v="NO EXISTE PG"/>
    <s v="NO EXISTE ISEL"/>
    <n v="0"/>
    <s v="NO TIENE L3OUT"/>
    <n v="282"/>
    <n v="54"/>
  </r>
  <r>
    <n v="843"/>
    <x v="2"/>
    <x v="78"/>
    <s v="eth1/52"/>
    <x v="1"/>
    <x v="1"/>
    <x v="3"/>
    <m/>
    <x v="0"/>
    <b v="0"/>
    <s v="No está en VPC"/>
    <n v="843"/>
    <s v="NO EXISTE PG"/>
    <s v="NO EXISTE ISEL"/>
    <n v="0"/>
    <s v="NO TIENE L3OUT"/>
    <n v="38"/>
    <n v="54"/>
  </r>
  <r>
    <n v="797"/>
    <x v="2"/>
    <x v="79"/>
    <s v="eth1/52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52"/>
    <x v="1"/>
    <x v="1"/>
    <x v="3"/>
    <m/>
    <x v="0"/>
    <b v="0"/>
    <s v="No está en VPC"/>
    <n v="839"/>
    <s v="NO EXISTE PG"/>
    <s v="NO EXISTE ISEL"/>
    <n v="0"/>
    <s v="NO TIENE L3OUT"/>
    <n v="0"/>
    <n v="54"/>
  </r>
  <r>
    <n v="847"/>
    <x v="2"/>
    <x v="81"/>
    <s v="eth1/52"/>
    <x v="1"/>
    <x v="1"/>
    <x v="3"/>
    <m/>
    <x v="0"/>
    <b v="0"/>
    <s v="No está en VPC"/>
    <n v="847"/>
    <s v="NO EXISTE PG"/>
    <s v="NO EXISTE ISEL"/>
    <n v="0"/>
    <s v="NO TIENE L3OUT"/>
    <n v="204"/>
    <n v="54"/>
  </r>
  <r>
    <n v="848"/>
    <x v="2"/>
    <x v="82"/>
    <s v="eth1/52"/>
    <x v="1"/>
    <x v="1"/>
    <x v="3"/>
    <m/>
    <x v="0"/>
    <b v="0"/>
    <s v="No está en VPC"/>
    <n v="848"/>
    <s v="NO EXISTE PG"/>
    <s v="NO EXISTE ISEL"/>
    <n v="0"/>
    <s v="NO TIENE L3OUT"/>
    <n v="254"/>
    <n v="54"/>
  </r>
  <r>
    <n v="846"/>
    <x v="2"/>
    <x v="83"/>
    <s v="eth1/52"/>
    <x v="1"/>
    <x v="1"/>
    <x v="3"/>
    <m/>
    <x v="0"/>
    <b v="0"/>
    <s v="No está en VPC"/>
    <n v="846"/>
    <s v="NO EXISTE PG"/>
    <s v="NO EXISTE ISEL"/>
    <n v="0"/>
    <s v="NO TIENE L3OUT"/>
    <n v="242"/>
    <n v="54"/>
  </r>
  <r>
    <n v="838"/>
    <x v="2"/>
    <x v="84"/>
    <s v="eth1/52"/>
    <x v="1"/>
    <x v="1"/>
    <x v="3"/>
    <m/>
    <x v="0"/>
    <b v="0"/>
    <s v="No está en VPC"/>
    <n v="838"/>
    <s v="NO EXISTE PG"/>
    <s v="NO EXISTE ISEL"/>
    <n v="0"/>
    <s v="NO TIENE L3OUT"/>
    <n v="38"/>
    <n v="54"/>
  </r>
  <r>
    <n v="849"/>
    <x v="2"/>
    <x v="85"/>
    <s v="eth1/52"/>
    <x v="1"/>
    <x v="1"/>
    <x v="3"/>
    <m/>
    <x v="0"/>
    <b v="0"/>
    <s v="No está en VPC"/>
    <n v="849"/>
    <s v="NO EXISTE PG"/>
    <s v="NO EXISTE ISEL"/>
    <n v="0"/>
    <s v="NO TIENE L3OUT"/>
    <n v="286"/>
    <n v="54"/>
  </r>
  <r>
    <n v="845"/>
    <x v="2"/>
    <x v="86"/>
    <s v="eth1/52"/>
    <x v="1"/>
    <x v="1"/>
    <x v="3"/>
    <m/>
    <x v="0"/>
    <b v="0"/>
    <s v="No está en VPC"/>
    <n v="845"/>
    <s v="NO EXISTE PG"/>
    <s v="NO EXISTE ISEL"/>
    <n v="0"/>
    <s v="NO TIENE L3OUT"/>
    <n v="258"/>
    <n v="54"/>
  </r>
  <r>
    <n v="873"/>
    <x v="2"/>
    <x v="87"/>
    <s v="eth1/52"/>
    <x v="1"/>
    <x v="1"/>
    <x v="3"/>
    <m/>
    <x v="0"/>
    <b v="0"/>
    <s v="No está en VPC"/>
    <n v="873"/>
    <s v="NO EXISTE PG"/>
    <s v="NO EXISTE ISEL"/>
    <n v="0"/>
    <s v="NO TIENE L3OUT"/>
    <n v="248"/>
    <n v="54"/>
  </r>
  <r>
    <n v="864"/>
    <x v="2"/>
    <x v="88"/>
    <s v="eth1/52"/>
    <x v="1"/>
    <x v="1"/>
    <x v="3"/>
    <m/>
    <x v="0"/>
    <b v="0"/>
    <s v="No está en VPC"/>
    <n v="864"/>
    <s v="NO EXISTE PG"/>
    <s v="NO EXISTE ISEL"/>
    <n v="0"/>
    <s v="NO TIENE L3OUT"/>
    <n v="0"/>
    <n v="54"/>
  </r>
  <r>
    <n v="836"/>
    <x v="2"/>
    <x v="89"/>
    <s v="eth1/52"/>
    <x v="1"/>
    <x v="1"/>
    <x v="3"/>
    <m/>
    <x v="0"/>
    <b v="0"/>
    <s v="No está en VPC"/>
    <n v="836"/>
    <s v="NO EXISTE PG"/>
    <s v="NO EXISTE ISEL"/>
    <n v="0"/>
    <s v="NO TIENE L3OUT"/>
    <n v="0"/>
    <n v="54"/>
  </r>
  <r>
    <n v="834"/>
    <x v="2"/>
    <x v="90"/>
    <s v="eth1/52"/>
    <x v="1"/>
    <x v="1"/>
    <x v="3"/>
    <m/>
    <x v="0"/>
    <b v="0"/>
    <s v="No está en VPC"/>
    <n v="834"/>
    <s v="NO EXISTE PG"/>
    <s v="NO EXISTE ISEL"/>
    <n v="0"/>
    <s v="NO TIENE L3OUT"/>
    <n v="0"/>
    <n v="54"/>
  </r>
  <r>
    <n v="872"/>
    <x v="2"/>
    <x v="91"/>
    <s v="eth1/52"/>
    <x v="1"/>
    <x v="1"/>
    <x v="3"/>
    <m/>
    <x v="0"/>
    <b v="0"/>
    <s v="No está en VPC"/>
    <n v="872"/>
    <s v="NO EXISTE PG"/>
    <s v="NO EXISTE ISEL"/>
    <n v="0"/>
    <s v="NO TIENE L3OUT"/>
    <n v="288"/>
    <n v="54"/>
  </r>
  <r>
    <n v="842"/>
    <x v="2"/>
    <x v="92"/>
    <s v="eth1/52"/>
    <x v="1"/>
    <x v="1"/>
    <x v="3"/>
    <m/>
    <x v="0"/>
    <b v="0"/>
    <s v="No está en VPC"/>
    <n v="842"/>
    <s v="NO EXISTE PG"/>
    <s v="NO EXISTE ISEL"/>
    <n v="0"/>
    <s v="NO TIENE L3OUT"/>
    <n v="8"/>
    <n v="54"/>
  </r>
  <r>
    <n v="828"/>
    <x v="2"/>
    <x v="93"/>
    <s v="eth1/52"/>
    <x v="1"/>
    <x v="1"/>
    <x v="3"/>
    <m/>
    <x v="0"/>
    <b v="0"/>
    <s v="No está en VPC"/>
    <n v="828"/>
    <s v="NO EXISTE PG"/>
    <s v="NO EXISTE ISEL"/>
    <n v="0"/>
    <s v="NO TIENE L3OUT"/>
    <n v="192"/>
    <n v="54"/>
  </r>
  <r>
    <n v="870"/>
    <x v="2"/>
    <x v="94"/>
    <s v="eth1/52"/>
    <x v="1"/>
    <x v="1"/>
    <x v="3"/>
    <m/>
    <x v="0"/>
    <b v="0"/>
    <s v="No está en VPC"/>
    <n v="870"/>
    <s v="NO EXISTE PG"/>
    <s v="NO EXISTE ISEL"/>
    <n v="0"/>
    <s v="NO TIENE L3OUT"/>
    <n v="248"/>
    <n v="54"/>
  </r>
  <r>
    <n v="866"/>
    <x v="2"/>
    <x v="95"/>
    <s v="eth1/52"/>
    <x v="1"/>
    <x v="1"/>
    <x v="3"/>
    <m/>
    <x v="0"/>
    <b v="0"/>
    <s v="No está en VPC"/>
    <n v="866"/>
    <s v="NO EXISTE PG"/>
    <s v="NO EXISTE ISEL"/>
    <n v="0"/>
    <s v="NO TIENE L3OUT"/>
    <n v="8"/>
    <n v="54"/>
  </r>
  <r>
    <n v="862"/>
    <x v="2"/>
    <x v="96"/>
    <s v="eth1/52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52"/>
    <x v="1"/>
    <x v="1"/>
    <x v="3"/>
    <m/>
    <x v="0"/>
    <b v="0"/>
    <s v="No está en VPC"/>
    <n v="855"/>
    <s v="NO EXISTE PG"/>
    <s v="NO EXISTE ISEL"/>
    <n v="0"/>
    <s v="NO TIENE L3OUT"/>
    <n v="254"/>
    <n v="54"/>
  </r>
  <r>
    <n v="871"/>
    <x v="2"/>
    <x v="98"/>
    <s v="eth1/52"/>
    <x v="1"/>
    <x v="1"/>
    <x v="3"/>
    <m/>
    <x v="0"/>
    <b v="0"/>
    <s v="No está en VPC"/>
    <n v="871"/>
    <s v="NO EXISTE PG"/>
    <s v="NO EXISTE ISEL"/>
    <n v="0"/>
    <s v="NO TIENE L3OUT"/>
    <n v="246"/>
    <n v="54"/>
  </r>
  <r>
    <n v="841"/>
    <x v="2"/>
    <x v="99"/>
    <s v="eth1/52"/>
    <x v="1"/>
    <x v="1"/>
    <x v="3"/>
    <m/>
    <x v="0"/>
    <b v="0"/>
    <s v="No está en VPC"/>
    <n v="841"/>
    <s v="NO EXISTE PG"/>
    <s v="NO EXISTE ISEL"/>
    <n v="0"/>
    <s v="NO TIENE L3OUT"/>
    <n v="0"/>
    <n v="54"/>
  </r>
  <r>
    <n v="868"/>
    <x v="2"/>
    <x v="100"/>
    <s v="eth1/52"/>
    <x v="1"/>
    <x v="1"/>
    <x v="3"/>
    <m/>
    <x v="0"/>
    <b v="0"/>
    <s v="No está en VPC"/>
    <n v="868"/>
    <s v="NO EXISTE PG"/>
    <s v="NO EXISTE ISEL"/>
    <n v="0"/>
    <s v="NO TIENE L3OUT"/>
    <n v="246"/>
    <n v="54"/>
  </r>
  <r>
    <n v="869"/>
    <x v="2"/>
    <x v="101"/>
    <s v="eth1/52"/>
    <x v="1"/>
    <x v="1"/>
    <x v="3"/>
    <m/>
    <x v="0"/>
    <b v="0"/>
    <s v="No está en VPC"/>
    <n v="869"/>
    <s v="NO EXISTE PG"/>
    <s v="NO EXISTE ISEL"/>
    <n v="0"/>
    <s v="NO TIENE L3OUT"/>
    <n v="288"/>
    <n v="54"/>
  </r>
  <r>
    <n v="861"/>
    <x v="2"/>
    <x v="102"/>
    <s v="eth1/52"/>
    <x v="1"/>
    <x v="1"/>
    <x v="3"/>
    <m/>
    <x v="0"/>
    <b v="0"/>
    <s v="No está en VPC"/>
    <n v="861"/>
    <s v="NO EXISTE PG"/>
    <s v="NO EXISTE ISEL"/>
    <n v="0"/>
    <s v="NO TIENE L3OUT"/>
    <n v="8"/>
    <n v="54"/>
  </r>
  <r>
    <n v="874"/>
    <x v="2"/>
    <x v="103"/>
    <s v="eth1/52"/>
    <x v="1"/>
    <x v="1"/>
    <x v="3"/>
    <m/>
    <x v="4"/>
    <b v="0"/>
    <s v="No está en VPC"/>
    <n v="874"/>
    <s v="NO EXISTE PG"/>
    <s v="NO EXISTE ISEL"/>
    <n v="0"/>
    <s v="NO TIENE L3OUT"/>
    <n v="92"/>
    <n v="54"/>
  </r>
  <r>
    <n v="865"/>
    <x v="2"/>
    <x v="104"/>
    <s v="eth1/52"/>
    <x v="1"/>
    <x v="1"/>
    <x v="3"/>
    <m/>
    <x v="0"/>
    <b v="0"/>
    <s v="No está en VPC"/>
    <n v="865"/>
    <s v="NO EXISTE PG"/>
    <s v="NO EXISTE ISEL"/>
    <n v="0"/>
    <s v="NO TIENE L3OUT"/>
    <n v="0"/>
    <n v="54"/>
  </r>
  <r>
    <n v="753"/>
    <x v="2"/>
    <x v="105"/>
    <s v="eth1/52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52"/>
    <x v="1"/>
    <x v="1"/>
    <x v="3"/>
    <m/>
    <x v="0"/>
    <b v="0"/>
    <s v="No está en VPC"/>
    <n v="708"/>
    <s v="NO EXISTE PG"/>
    <s v="NO EXISTE ISEL"/>
    <n v="0"/>
    <s v="NO TIENE L3OUT"/>
    <n v="0"/>
    <n v="54"/>
  </r>
  <r>
    <n v="710"/>
    <x v="2"/>
    <x v="107"/>
    <s v="eth1/52"/>
    <x v="1"/>
    <x v="1"/>
    <x v="3"/>
    <m/>
    <x v="0"/>
    <b v="0"/>
    <s v="No está en VPC"/>
    <n v="710"/>
    <s v="NO EXISTE PG"/>
    <s v="NO EXISTE ISEL"/>
    <n v="0"/>
    <s v="NO TIENE L3OUT"/>
    <n v="16"/>
    <n v="54"/>
  </r>
  <r>
    <n v="713"/>
    <x v="2"/>
    <x v="108"/>
    <s v="eth1/52"/>
    <x v="1"/>
    <x v="1"/>
    <x v="3"/>
    <m/>
    <x v="0"/>
    <b v="0"/>
    <s v="No está en VPC"/>
    <n v="713"/>
    <s v="NO EXISTE PG"/>
    <s v="NO EXISTE ISEL"/>
    <n v="0"/>
    <s v="NO TIENE L3OUT"/>
    <n v="32"/>
    <n v="54"/>
  </r>
  <r>
    <n v="735"/>
    <x v="2"/>
    <x v="109"/>
    <s v="eth1/52"/>
    <x v="0"/>
    <x v="1"/>
    <x v="3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52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52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52"/>
    <x v="1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52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52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52"/>
    <x v="1"/>
    <x v="1"/>
    <x v="3"/>
    <m/>
    <x v="0"/>
    <b v="0"/>
    <s v="No está en VPC"/>
    <n v="826"/>
    <s v="NO EXISTE PG"/>
    <s v="NO EXISTE ISEL"/>
    <n v="0"/>
    <s v="NO TIENE L3OUT"/>
    <n v="12"/>
    <n v="54"/>
  </r>
  <r>
    <n v="726"/>
    <x v="2"/>
    <x v="117"/>
    <s v="eth1/52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52"/>
    <x v="0"/>
    <x v="1"/>
    <x v="3"/>
    <m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52"/>
    <x v="1"/>
    <x v="1"/>
    <x v="3"/>
    <m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52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52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52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52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52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52"/>
    <x v="1"/>
    <x v="1"/>
    <x v="3"/>
    <m/>
    <x v="0"/>
    <b v="0"/>
    <s v="No está en VPC"/>
    <n v="709"/>
    <s v="NO EXISTE PG"/>
    <s v="NO EXISTE ISEL"/>
    <n v="0"/>
    <s v="NO TIENE L3OUT"/>
    <n v="0"/>
    <n v="54"/>
  </r>
  <r>
    <n v="454"/>
    <x v="1"/>
    <x v="126"/>
    <s v="eth1/52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52"/>
    <x v="0"/>
    <x v="1"/>
    <x v="3"/>
    <m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52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52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52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52"/>
    <x v="0"/>
    <x v="1"/>
    <x v="3"/>
    <m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52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52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52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52"/>
    <x v="0"/>
    <x v="1"/>
    <x v="3"/>
    <m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52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52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52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52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52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52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52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52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52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52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52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52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52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52"/>
    <x v="1"/>
    <x v="1"/>
    <x v="3"/>
    <m/>
    <x v="0"/>
    <b v="0"/>
    <s v="No está en VPC"/>
    <n v="781"/>
    <s v="NO EXISTE PG"/>
    <s v="NO EXISTE ISEL"/>
    <n v="0"/>
    <s v="NO TIENE L3OUT"/>
    <n v="26"/>
    <n v="54"/>
  </r>
  <r>
    <n v="793"/>
    <x v="2"/>
    <x v="151"/>
    <s v="eth1/52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52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52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52"/>
    <x v="1"/>
    <x v="1"/>
    <x v="3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52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52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52"/>
    <x v="1"/>
    <x v="1"/>
    <x v="3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52"/>
    <x v="0"/>
    <x v="1"/>
    <x v="3"/>
    <m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52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52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52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52"/>
    <x v="1"/>
    <x v="1"/>
    <x v="3"/>
    <m/>
    <x v="0"/>
    <b v="0"/>
    <s v="No está en VPC"/>
    <n v="830"/>
    <s v="NO EXISTE PG"/>
    <s v="NO EXISTE ISEL"/>
    <n v="0"/>
    <s v="NO TIENE L3OUT"/>
    <n v="12"/>
    <n v="54"/>
  </r>
  <r>
    <n v="821"/>
    <x v="2"/>
    <x v="163"/>
    <s v="eth1/52"/>
    <x v="0"/>
    <x v="1"/>
    <x v="3"/>
    <m/>
    <x v="0"/>
    <b v="0"/>
    <s v="No está en VPC"/>
    <n v="821"/>
    <s v="NO EXISTE PG"/>
    <s v="NO EXISTE ISEL"/>
    <n v="0"/>
    <s v="NO TIENE L3OUT"/>
    <n v="0"/>
    <n v="54"/>
  </r>
  <r>
    <n v="738"/>
    <x v="2"/>
    <x v="164"/>
    <s v="eth1/52"/>
    <x v="0"/>
    <x v="1"/>
    <x v="3"/>
    <m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52"/>
    <x v="0"/>
    <x v="1"/>
    <x v="3"/>
    <m/>
    <x v="0"/>
    <b v="0"/>
    <s v="No está en VPC"/>
    <n v="820"/>
    <s v="NO EXISTE PG"/>
    <s v="NO EXISTE ISEL"/>
    <n v="0"/>
    <s v="NO TIENE L3OUT"/>
    <n v="72"/>
    <n v="54"/>
  </r>
  <r>
    <n v="804"/>
    <x v="2"/>
    <x v="166"/>
    <s v="eth1/52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52"/>
    <x v="1"/>
    <x v="1"/>
    <x v="3"/>
    <m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52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52"/>
    <x v="1"/>
    <x v="1"/>
    <x v="3"/>
    <m/>
    <x v="0"/>
    <b v="0"/>
    <s v="No está en VPC"/>
    <n v="827"/>
    <s v="NO EXISTE PG"/>
    <s v="NO EXISTE ISEL"/>
    <n v="0"/>
    <s v="NO TIENE L3OUT"/>
    <n v="14"/>
    <n v="54"/>
  </r>
  <r>
    <n v="809"/>
    <x v="2"/>
    <x v="170"/>
    <s v="eth1/52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52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52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52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52"/>
    <x v="1"/>
    <x v="1"/>
    <x v="3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52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52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52"/>
    <x v="1"/>
    <x v="1"/>
    <x v="3"/>
    <m/>
    <x v="0"/>
    <b v="0"/>
    <s v="No está en VPC"/>
    <n v="851"/>
    <s v="NO EXISTE PG"/>
    <s v="NO EXISTE ISEL"/>
    <n v="0"/>
    <s v="NO TIENE L3OUT"/>
    <n v="282"/>
    <n v="54"/>
  </r>
  <r>
    <n v="798"/>
    <x v="2"/>
    <x v="178"/>
    <s v="eth1/52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52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52"/>
    <x v="1"/>
    <x v="1"/>
    <x v="3"/>
    <m/>
    <x v="0"/>
    <b v="0"/>
    <s v="No está en VPC"/>
    <n v="852"/>
    <s v="NO EXISTE PG"/>
    <s v="NO EXISTE ISEL"/>
    <n v="0"/>
    <s v="NO TIENE L3OUT"/>
    <n v="258"/>
    <n v="54"/>
  </r>
  <r>
    <n v="817"/>
    <x v="2"/>
    <x v="181"/>
    <s v="eth1/52"/>
    <x v="1"/>
    <x v="1"/>
    <x v="3"/>
    <m/>
    <x v="0"/>
    <b v="0"/>
    <s v="No está en VPC"/>
    <n v="817"/>
    <s v="NO EXISTE PG"/>
    <s v="NO EXISTE ISEL"/>
    <n v="0"/>
    <s v="NO TIENE L3OUT"/>
    <n v="0"/>
    <n v="54"/>
  </r>
  <r>
    <n v="832"/>
    <x v="2"/>
    <x v="182"/>
    <s v="eth1/52"/>
    <x v="1"/>
    <x v="1"/>
    <x v="3"/>
    <m/>
    <x v="0"/>
    <b v="0"/>
    <s v="No está en VPC"/>
    <n v="832"/>
    <s v="NO EXISTE PG"/>
    <s v="NO EXISTE ISEL"/>
    <n v="0"/>
    <s v="NO TIENE L3OUT"/>
    <n v="192"/>
    <n v="54"/>
  </r>
  <r>
    <n v="816"/>
    <x v="2"/>
    <x v="183"/>
    <s v="eth1/52"/>
    <x v="0"/>
    <x v="1"/>
    <x v="3"/>
    <m/>
    <x v="0"/>
    <b v="0"/>
    <s v="No está en VPC"/>
    <n v="816"/>
    <s v="NO EXISTE PG"/>
    <s v="NO EXISTE ISEL"/>
    <n v="0"/>
    <s v="NO TIENE L3OUT"/>
    <n v="0"/>
    <n v="54"/>
  </r>
  <r>
    <n v="825"/>
    <x v="2"/>
    <x v="184"/>
    <s v="eth1/52"/>
    <x v="0"/>
    <x v="1"/>
    <x v="3"/>
    <m/>
    <x v="0"/>
    <b v="0"/>
    <s v="No está en VPC"/>
    <n v="825"/>
    <s v="NO EXISTE PG"/>
    <s v="NO EXISTE ISEL"/>
    <n v="0"/>
    <s v="NO TIENE L3OUT"/>
    <n v="72"/>
    <n v="54"/>
  </r>
  <r>
    <n v="800"/>
    <x v="2"/>
    <x v="185"/>
    <s v="eth1/52"/>
    <x v="1"/>
    <x v="1"/>
    <x v="3"/>
    <m/>
    <x v="0"/>
    <b v="0"/>
    <s v="No está en VPC"/>
    <n v="800"/>
    <s v="NO EXISTE PG"/>
    <s v="NO EXISTE ISEL"/>
    <n v="0"/>
    <s v="NO TIENE L3OUT"/>
    <n v="78"/>
    <n v="54"/>
  </r>
  <r>
    <n v="801"/>
    <x v="2"/>
    <x v="186"/>
    <s v="eth1/52"/>
    <x v="1"/>
    <x v="1"/>
    <x v="3"/>
    <m/>
    <x v="0"/>
    <b v="0"/>
    <s v="No está en VPC"/>
    <n v="801"/>
    <s v="NO EXISTE PG"/>
    <s v="NO EXISTE ISEL"/>
    <n v="0"/>
    <s v="NO TIENE L3OUT"/>
    <n v="78"/>
    <n v="54"/>
  </r>
  <r>
    <n v="823"/>
    <x v="2"/>
    <x v="187"/>
    <s v="eth1/52"/>
    <x v="0"/>
    <x v="1"/>
    <x v="3"/>
    <m/>
    <x v="0"/>
    <b v="0"/>
    <s v="No está en VPC"/>
    <n v="823"/>
    <s v="NO EXISTE PG"/>
    <s v="NO EXISTE ISEL"/>
    <n v="0"/>
    <s v="NO TIENE L3OUT"/>
    <n v="8"/>
    <n v="54"/>
  </r>
  <r>
    <n v="837"/>
    <x v="2"/>
    <x v="188"/>
    <s v="eth1/52"/>
    <x v="1"/>
    <x v="1"/>
    <x v="3"/>
    <m/>
    <x v="0"/>
    <b v="0"/>
    <s v="No está en VPC"/>
    <n v="837"/>
    <s v="NO EXISTE PG"/>
    <s v="NO EXISTE ISEL"/>
    <n v="0"/>
    <s v="NO TIENE L3OUT"/>
    <n v="8"/>
    <n v="54"/>
  </r>
  <r>
    <n v="867"/>
    <x v="2"/>
    <x v="189"/>
    <s v="eth1/52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52"/>
    <x v="1"/>
    <x v="1"/>
    <x v="3"/>
    <m/>
    <x v="0"/>
    <b v="0"/>
    <s v="No está en VPC"/>
    <n v="829"/>
    <s v="NO EXISTE PG"/>
    <s v="NO EXISTE ISEL"/>
    <n v="0"/>
    <s v="NO TIENE L3OUT"/>
    <n v="224"/>
    <n v="54"/>
  </r>
  <r>
    <n v="831"/>
    <x v="2"/>
    <x v="191"/>
    <s v="eth1/52"/>
    <x v="1"/>
    <x v="1"/>
    <x v="3"/>
    <m/>
    <x v="0"/>
    <b v="0"/>
    <s v="No está en VPC"/>
    <n v="831"/>
    <s v="NO EXISTE PG"/>
    <s v="NO EXISTE ISEL"/>
    <n v="0"/>
    <s v="NO TIENE L3OUT"/>
    <n v="14"/>
    <n v="54"/>
  </r>
  <r>
    <n v="802"/>
    <x v="2"/>
    <x v="192"/>
    <s v="eth1/52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52"/>
    <x v="1"/>
    <x v="1"/>
    <x v="3"/>
    <m/>
    <x v="0"/>
    <b v="0"/>
    <s v="No está en VPC"/>
    <n v="835"/>
    <s v="NO EXISTE PG"/>
    <s v="NO EXISTE ISEL"/>
    <n v="0"/>
    <s v="NO TIENE L3OUT"/>
    <n v="8"/>
    <n v="54"/>
  </r>
  <r>
    <n v="822"/>
    <x v="2"/>
    <x v="194"/>
    <s v="eth1/52"/>
    <x v="0"/>
    <x v="1"/>
    <x v="3"/>
    <m/>
    <x v="0"/>
    <b v="0"/>
    <s v="No está en VPC"/>
    <n v="822"/>
    <s v="NO EXISTE PG"/>
    <s v="NO EXISTE ISEL"/>
    <n v="0"/>
    <s v="NO TIENE L3OUT"/>
    <n v="0"/>
    <n v="54"/>
  </r>
  <r>
    <n v="854"/>
    <x v="2"/>
    <x v="195"/>
    <s v="eth1/52"/>
    <x v="1"/>
    <x v="1"/>
    <x v="3"/>
    <m/>
    <x v="0"/>
    <b v="0"/>
    <s v="No está en VPC"/>
    <n v="854"/>
    <s v="NO EXISTE PG"/>
    <s v="NO EXISTE ISEL"/>
    <n v="0"/>
    <s v="NO TIENE L3OUT"/>
    <n v="204"/>
    <n v="54"/>
  </r>
  <r>
    <n v="858"/>
    <x v="2"/>
    <x v="196"/>
    <s v="eth1/52"/>
    <x v="1"/>
    <x v="1"/>
    <x v="3"/>
    <m/>
    <x v="0"/>
    <b v="0"/>
    <s v="No está en VPC"/>
    <n v="858"/>
    <s v="NO EXISTE PG"/>
    <s v="NO EXISTE ISEL"/>
    <n v="0"/>
    <s v="NO TIENE L3OUT"/>
    <n v="8"/>
    <n v="54"/>
  </r>
  <r>
    <n v="857"/>
    <x v="2"/>
    <x v="197"/>
    <s v="eth1/52"/>
    <x v="1"/>
    <x v="1"/>
    <x v="3"/>
    <m/>
    <x v="0"/>
    <b v="0"/>
    <s v="No está en VPC"/>
    <n v="857"/>
    <s v="NO EXISTE PG"/>
    <s v="NO EXISTE ISEL"/>
    <n v="0"/>
    <s v="NO TIENE L3OUT"/>
    <n v="288"/>
    <n v="54"/>
  </r>
  <r>
    <n v="859"/>
    <x v="2"/>
    <x v="198"/>
    <s v="eth1/52"/>
    <x v="1"/>
    <x v="1"/>
    <x v="3"/>
    <m/>
    <x v="0"/>
    <b v="0"/>
    <s v="No está en VPC"/>
    <n v="859"/>
    <s v="NO EXISTE PG"/>
    <s v="NO EXISTE ISEL"/>
    <n v="0"/>
    <s v="NO TIENE L3OUT"/>
    <n v="0"/>
    <n v="54"/>
  </r>
  <r>
    <n v="833"/>
    <x v="2"/>
    <x v="199"/>
    <s v="eth1/52"/>
    <x v="1"/>
    <x v="1"/>
    <x v="3"/>
    <m/>
    <x v="0"/>
    <b v="0"/>
    <s v="No está en VPC"/>
    <n v="833"/>
    <s v="NO EXISTE PG"/>
    <s v="NO EXISTE ISEL"/>
    <n v="0"/>
    <s v="NO TIENE L3OUT"/>
    <n v="224"/>
    <n v="54"/>
  </r>
  <r>
    <n v="818"/>
    <x v="2"/>
    <x v="200"/>
    <s v="eth1/52"/>
    <x v="0"/>
    <x v="1"/>
    <x v="3"/>
    <m/>
    <x v="0"/>
    <b v="0"/>
    <s v="No está en VPC"/>
    <n v="818"/>
    <s v="NO EXISTE PG"/>
    <s v="NO EXISTE ISEL"/>
    <n v="0"/>
    <s v="NO TIENE L3OUT"/>
    <n v="8"/>
    <n v="54"/>
  </r>
  <r>
    <n v="850"/>
    <x v="2"/>
    <x v="201"/>
    <s v="eth1/52"/>
    <x v="1"/>
    <x v="1"/>
    <x v="3"/>
    <m/>
    <x v="0"/>
    <b v="0"/>
    <s v="No está en VPC"/>
    <n v="850"/>
    <s v="NO EXISTE PG"/>
    <s v="NO EXISTE ISEL"/>
    <n v="0"/>
    <s v="NO TIENE L3OUT"/>
    <n v="288"/>
    <n v="54"/>
  </r>
  <r>
    <n v="860"/>
    <x v="2"/>
    <x v="202"/>
    <s v="eth1/52"/>
    <x v="1"/>
    <x v="1"/>
    <x v="3"/>
    <m/>
    <x v="0"/>
    <b v="0"/>
    <s v="No está en VPC"/>
    <n v="860"/>
    <s v="NO EXISTE PG"/>
    <s v="NO EXISTE ISEL"/>
    <n v="0"/>
    <s v="NO TIENE L3OUT"/>
    <n v="0"/>
    <n v="54"/>
  </r>
  <r>
    <n v="853"/>
    <x v="2"/>
    <x v="203"/>
    <s v="eth1/52"/>
    <x v="1"/>
    <x v="1"/>
    <x v="3"/>
    <m/>
    <x v="0"/>
    <b v="0"/>
    <s v="No está en VPC"/>
    <n v="853"/>
    <s v="NO EXISTE PG"/>
    <s v="NO EXISTE ISEL"/>
    <n v="0"/>
    <s v="NO TIENE L3OUT"/>
    <n v="242"/>
    <n v="54"/>
  </r>
  <r>
    <n v="790"/>
    <x v="2"/>
    <x v="204"/>
    <s v="eth1/52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52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52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52"/>
    <x v="0"/>
    <x v="1"/>
    <x v="1"/>
    <s v="CISCO ANA 01 EHEALTH"/>
    <x v="6"/>
    <b v="0"/>
    <s v="No está en VPC"/>
    <n v="104"/>
    <s v="INTPG_ACC_104_1.52"/>
    <s v="ISEL-1.52"/>
    <n v="1"/>
    <s v="NO TIENE L3OUT"/>
    <n v="194"/>
    <n v="96"/>
  </r>
  <r>
    <n v="158"/>
    <x v="0"/>
    <x v="208"/>
    <s v="eth1/52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52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52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52"/>
    <x v="0"/>
    <x v="0"/>
    <x v="0"/>
    <s v="DESC"/>
    <x v="6"/>
    <b v="0"/>
    <s v="No está en VPC"/>
    <n v="108"/>
    <s v="INTPG_PC_108_1.51-52"/>
    <s v="ISEL-1.52"/>
    <n v="1"/>
    <s v="NO TIENE L3OUT"/>
    <n v="126"/>
    <n v="96"/>
  </r>
  <r>
    <n v="112"/>
    <x v="0"/>
    <x v="212"/>
    <s v="eth1/52"/>
    <x v="0"/>
    <x v="1"/>
    <x v="1"/>
    <s v="SAPCCRATING07"/>
    <x v="6"/>
    <b v="0"/>
    <s v="No está en VPC"/>
    <n v="112"/>
    <s v="INTPG_VPC_112_1.52_114_1.49"/>
    <s v="ISEL-1.52"/>
    <n v="1"/>
    <s v="NO TIENE L3OUT"/>
    <n v="144"/>
    <n v="96"/>
  </r>
  <r>
    <n v="107"/>
    <x v="0"/>
    <x v="213"/>
    <s v="eth1/52"/>
    <x v="0"/>
    <x v="0"/>
    <x v="0"/>
    <s v="COMISIONES"/>
    <x v="6"/>
    <b v="0"/>
    <s v="No está en VPC"/>
    <n v="107"/>
    <s v="INTPG_ACC_107_1.52"/>
    <s v="ISEL-1.52"/>
    <n v="1"/>
    <s v="NO TIENE L3OUT"/>
    <n v="118"/>
    <n v="96"/>
  </r>
  <r>
    <n v="109"/>
    <x v="0"/>
    <x v="214"/>
    <s v="eth1/52"/>
    <x v="1"/>
    <x v="1"/>
    <x v="2"/>
    <s v="OBIE_1-2"/>
    <x v="6"/>
    <b v="0"/>
    <s v="No está en VPC"/>
    <n v="109"/>
    <s v="INTPG_ACC_109_1.52"/>
    <s v="ISEL-1.52"/>
    <n v="1"/>
    <s v="NO TIENE L3OUT"/>
    <n v="126"/>
    <n v="96"/>
  </r>
  <r>
    <n v="113"/>
    <x v="0"/>
    <x v="215"/>
    <s v="eth1/52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52"/>
    <x v="0"/>
    <x v="1"/>
    <x v="1"/>
    <s v="SAPCCRATING10"/>
    <x v="6"/>
    <b v="0"/>
    <s v="No está en VPC"/>
    <n v="114"/>
    <s v="INTPG_VPC_112_1.55_114_1.52"/>
    <s v="ISEL-1.52"/>
    <n v="1"/>
    <s v="NO TIENE L3OUT"/>
    <n v="144"/>
    <n v="96"/>
  </r>
  <r>
    <n v="124"/>
    <x v="0"/>
    <x v="217"/>
    <s v="eth1/52"/>
    <x v="0"/>
    <x v="0"/>
    <x v="0"/>
    <s v="CIRCULO Azul(UXCA)"/>
    <x v="6"/>
    <b v="0"/>
    <s v="No está en VPC"/>
    <n v="124"/>
    <s v="INTPG_ACC_124_1.52"/>
    <s v="ISEL-1.52"/>
    <n v="1"/>
    <s v="NO TIENE L3OUT"/>
    <n v="80"/>
    <n v="96"/>
  </r>
  <r>
    <n v="118"/>
    <x v="0"/>
    <x v="218"/>
    <s v="eth1/52"/>
    <x v="0"/>
    <x v="1"/>
    <x v="1"/>
    <s v="USSD TANGO"/>
    <x v="6"/>
    <b v="0"/>
    <s v="No está en VPC"/>
    <n v="118"/>
    <s v="INTPG_ACC_118_1.52"/>
    <s v="ISEL-1.52"/>
    <n v="1"/>
    <s v="NO TIENE L3OUT"/>
    <n v="180"/>
    <n v="96"/>
  </r>
  <r>
    <n v="159"/>
    <x v="0"/>
    <x v="219"/>
    <s v="eth1/52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52"/>
    <x v="1"/>
    <x v="1"/>
    <x v="3"/>
    <m/>
    <x v="0"/>
    <b v="0"/>
    <s v="No está en VPC"/>
    <n v="840"/>
    <s v="NO EXISTE PG"/>
    <s v="NO EXISTE ISEL"/>
    <n v="0"/>
    <s v="NO TIENE L3OUT"/>
    <n v="8"/>
    <n v="54"/>
  </r>
  <r>
    <n v="856"/>
    <x v="2"/>
    <x v="221"/>
    <s v="eth1/52"/>
    <x v="1"/>
    <x v="1"/>
    <x v="3"/>
    <m/>
    <x v="0"/>
    <b v="0"/>
    <s v="No está en VPC"/>
    <n v="856"/>
    <s v="NO EXISTE PG"/>
    <s v="NO EXISTE ISEL"/>
    <n v="0"/>
    <s v="NO TIENE L3OUT"/>
    <n v="286"/>
    <n v="54"/>
  </r>
  <r>
    <n v="110"/>
    <x v="0"/>
    <x v="222"/>
    <s v="eth1/52"/>
    <x v="0"/>
    <x v="0"/>
    <x v="0"/>
    <s v="STORAGE_VNX_0493_BKP1_AND_BKP2"/>
    <x v="6"/>
    <b v="0"/>
    <s v="No está en VPC"/>
    <n v="110"/>
    <s v="INTPG_ACC_110_1.52"/>
    <s v="ISEL-1.52"/>
    <n v="1"/>
    <s v="NO TIENE L3OUT"/>
    <n v="102"/>
    <n v="96"/>
  </r>
  <r>
    <n v="163"/>
    <x v="0"/>
    <x v="223"/>
    <s v="eth1/52"/>
    <x v="0"/>
    <x v="0"/>
    <x v="0"/>
    <s v="CELCITE"/>
    <x v="6"/>
    <b v="0"/>
    <s v="No está en VPC"/>
    <n v="163"/>
    <s v="INTPG_ACC_163_1.52"/>
    <s v="ISEL-1.52"/>
    <n v="1"/>
    <s v="NO TIENE L3OUT"/>
    <n v="140"/>
    <n v="96"/>
  </r>
  <r>
    <n v="407"/>
    <x v="1"/>
    <x v="224"/>
    <s v="eth1/52"/>
    <x v="0"/>
    <x v="0"/>
    <x v="0"/>
    <s v="TO-ITHFDEOCP1LWR02-PRINCIPAL"/>
    <x v="6"/>
    <b v="0"/>
    <s v="No está en VPC"/>
    <n v="407"/>
    <s v="INTPG_ACC_407_1.52"/>
    <s v="ISEL-1.52"/>
    <n v="1"/>
    <s v="NO TIENE L3OUT"/>
    <n v="122"/>
    <n v="96"/>
  </r>
  <r>
    <n v="171"/>
    <x v="0"/>
    <x v="225"/>
    <s v="eth1/52"/>
    <x v="0"/>
    <x v="0"/>
    <x v="0"/>
    <s v="SRS (Speedy Rating System)"/>
    <x v="6"/>
    <b v="0"/>
    <s v="No está en VPC"/>
    <n v="171"/>
    <s v="INTPG_ACC_171_1.52"/>
    <s v="ISEL-1.52"/>
    <n v="1"/>
    <s v="NO TIENE L3OUT"/>
    <n v="114"/>
    <n v="96"/>
  </r>
  <r>
    <n v="421"/>
    <x v="1"/>
    <x v="226"/>
    <s v="eth1/52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52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52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52"/>
    <x v="0"/>
    <x v="0"/>
    <x v="0"/>
    <s v="SRS (Speedy Rating System)"/>
    <x v="6"/>
    <b v="0"/>
    <s v="No está en VPC"/>
    <n v="172"/>
    <s v="INTPG_ACC_172_1.52"/>
    <s v="ISEL-1.52"/>
    <n v="1"/>
    <s v="NO TIENE L3OUT"/>
    <n v="104"/>
    <n v="96"/>
  </r>
  <r>
    <n v="420"/>
    <x v="1"/>
    <x v="230"/>
    <s v="eth1/52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52"/>
    <x v="0"/>
    <x v="0"/>
    <x v="0"/>
    <s v="HP Proliant DL380p(b)"/>
    <x v="6"/>
    <b v="0"/>
    <s v="No está en VPC"/>
    <n v="423"/>
    <s v="INTPG_ACC_423_1.52"/>
    <s v="ISEL-1.52"/>
    <n v="1"/>
    <s v="NO TIENE L3OUT"/>
    <n v="86"/>
    <n v="96"/>
  </r>
  <r>
    <n v="415"/>
    <x v="1"/>
    <x v="232"/>
    <s v="eth1/52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52"/>
    <x v="0"/>
    <x v="1"/>
    <x v="1"/>
    <s v="BLACKBERRY:SECURITY TEST:VC2-X8"/>
    <x v="6"/>
    <b v="0"/>
    <s v="No está en VPC"/>
    <n v="102"/>
    <s v="INTPG_PC_102_1.52_57-63"/>
    <s v="ISEL-1.52"/>
    <n v="32"/>
    <s v="NO TIENE L3OUT"/>
    <n v="228"/>
    <n v="96"/>
  </r>
  <r>
    <n v="863"/>
    <x v="2"/>
    <x v="234"/>
    <s v="eth1/52"/>
    <x v="1"/>
    <x v="1"/>
    <x v="3"/>
    <m/>
    <x v="0"/>
    <b v="0"/>
    <s v="No está en VPC"/>
    <n v="863"/>
    <s v="NO EXISTE PG"/>
    <s v="NO EXISTE ISEL"/>
    <n v="0"/>
    <s v="NO TIENE L3OUT"/>
    <n v="8"/>
    <n v="54"/>
  </r>
  <r>
    <n v="876"/>
    <x v="2"/>
    <x v="235"/>
    <s v="eth1/52"/>
    <x v="1"/>
    <x v="1"/>
    <x v="3"/>
    <m/>
    <x v="4"/>
    <b v="0"/>
    <s v="No está en VPC"/>
    <n v="876"/>
    <s v="NO EXISTE PG"/>
    <s v="NO EXISTE ISEL"/>
    <n v="0"/>
    <s v="NO TIENE L3OUT"/>
    <n v="92"/>
    <n v="54"/>
  </r>
  <r>
    <n v="877"/>
    <x v="2"/>
    <x v="236"/>
    <s v="eth1/52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52"/>
    <x v="0"/>
    <x v="0"/>
    <x v="0"/>
    <s v="Consola serial"/>
    <x v="6"/>
    <b v="0"/>
    <s v="No está en VPC"/>
    <n v="122"/>
    <s v="INTPG_ACC_122_1.52"/>
    <s v="ISEL-1.52"/>
    <n v="1"/>
    <s v="NO TIENE L3OUT"/>
    <n v="148"/>
    <n v="96"/>
  </r>
  <r>
    <n v="157"/>
    <x v="0"/>
    <x v="238"/>
    <s v="eth1/52"/>
    <x v="0"/>
    <x v="0"/>
    <x v="0"/>
    <s v="UXINGE"/>
    <x v="6"/>
    <b v="0"/>
    <s v="No está en VPC"/>
    <n v="157"/>
    <s v="INTPG_ACC_157_1.52"/>
    <s v="ISEL-1.52"/>
    <n v="1"/>
    <s v="NO TIENE L3OUT"/>
    <n v="202"/>
    <n v="96"/>
  </r>
  <r>
    <n v="408"/>
    <x v="1"/>
    <x v="239"/>
    <s v="eth1/52"/>
    <x v="0"/>
    <x v="0"/>
    <x v="0"/>
    <s v="IBMWASII_01"/>
    <x v="6"/>
    <b v="0"/>
    <s v="No está en VPC"/>
    <n v="408"/>
    <s v="INTPG_ACC_408_1.52"/>
    <s v="ISEL-1.52"/>
    <n v="1"/>
    <s v="NO TIENE L3OUT"/>
    <n v="152"/>
    <n v="96"/>
  </r>
  <r>
    <n v="405"/>
    <x v="1"/>
    <x v="240"/>
    <s v="eth1/52"/>
    <x v="0"/>
    <x v="0"/>
    <x v="0"/>
    <s v="CCURE_9000"/>
    <x v="6"/>
    <b v="0"/>
    <s v="No está en VPC"/>
    <n v="405"/>
    <s v="INTPG_ACC_405_1.52"/>
    <s v="ISEL-1.52"/>
    <n v="1"/>
    <s v="NO TIENE L3OUT"/>
    <n v="138"/>
    <n v="96"/>
  </r>
  <r>
    <n v="169"/>
    <x v="0"/>
    <x v="241"/>
    <s v="eth1/52"/>
    <x v="0"/>
    <x v="0"/>
    <x v="0"/>
    <s v="TO-ITHFDENBURMS04"/>
    <x v="6"/>
    <b v="0"/>
    <s v="No está en VPC"/>
    <n v="169"/>
    <s v="INTPG_VPC_167_1.49_169_1.52"/>
    <s v="ISEL-1.52"/>
    <n v="1"/>
    <s v="NO TIENE L3OUT"/>
    <n v="76"/>
    <n v="96"/>
  </r>
  <r>
    <n v="165"/>
    <x v="0"/>
    <x v="242"/>
    <s v="eth1/52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52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52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52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52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52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52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52"/>
    <x v="0"/>
    <x v="0"/>
    <x v="0"/>
    <s v="DESC"/>
    <x v="6"/>
    <b v="0"/>
    <s v="No está en VPC"/>
    <n v="406"/>
    <s v="INTPG_PC_406_1.51-52"/>
    <s v="ISEL-1.52"/>
    <n v="1"/>
    <s v="NO TIENE L3OUT"/>
    <n v="82"/>
    <n v="96"/>
  </r>
  <r>
    <n v="414"/>
    <x v="1"/>
    <x v="250"/>
    <s v="eth1/52"/>
    <x v="0"/>
    <x v="0"/>
    <x v="0"/>
    <s v="KPAM02_S14"/>
    <x v="6"/>
    <b v="0"/>
    <s v="No está en VPC"/>
    <n v="414"/>
    <s v="INTPG_ACC_414_1.52"/>
    <s v="ISEL-1.52"/>
    <n v="1"/>
    <s v="NO TIENE L3OUT"/>
    <n v="144"/>
    <n v="96"/>
  </r>
  <r>
    <n v="416"/>
    <x v="1"/>
    <x v="251"/>
    <s v="eth1/52"/>
    <x v="0"/>
    <x v="0"/>
    <x v="0"/>
    <s v="R9MEXIXTVIC-1"/>
    <x v="6"/>
    <b v="0"/>
    <s v="No está en VPC"/>
    <n v="416"/>
    <s v="INTPG_ACC_416_1.52"/>
    <s v="ISEL-1.52"/>
    <n v="1"/>
    <s v="NO TIENE L3OUT"/>
    <n v="110"/>
    <n v="96"/>
  </r>
  <r>
    <n v="418"/>
    <x v="1"/>
    <x v="252"/>
    <s v="eth1/52"/>
    <x v="0"/>
    <x v="0"/>
    <x v="0"/>
    <s v="IXTSD970B"/>
    <x v="6"/>
    <b v="0"/>
    <s v="No está en VPC"/>
    <n v="418"/>
    <s v="INTPG_ACC_418_1.52"/>
    <s v="ISEL-1.52"/>
    <n v="1"/>
    <s v="NO TIENE L3OUT"/>
    <n v="152"/>
    <n v="96"/>
  </r>
  <r>
    <n v="413"/>
    <x v="1"/>
    <x v="253"/>
    <s v="eth1/52"/>
    <x v="0"/>
    <x v="0"/>
    <x v="0"/>
    <s v="To-uxingemc4 ldom1 uxinghdr2"/>
    <x v="6"/>
    <b v="0"/>
    <s v="No está en VPC"/>
    <n v="413"/>
    <s v="INTPG_ACC_413_1.52"/>
    <s v="ISEL-1.52"/>
    <n v="1"/>
    <s v="NO TIENE L3OUT"/>
    <n v="126"/>
    <n v="96"/>
  </r>
  <r>
    <n v="403"/>
    <x v="1"/>
    <x v="254"/>
    <s v="eth1/52"/>
    <x v="0"/>
    <x v="0"/>
    <x v="0"/>
    <s v="ITHSGHP0"/>
    <x v="6"/>
    <b v="0"/>
    <s v="No está en VPC"/>
    <n v="403"/>
    <s v="INTPG_ACC_403_1.52"/>
    <s v="ISEL-1.52"/>
    <n v="1"/>
    <s v="NO TIENE L3OUT"/>
    <n v="150"/>
    <n v="96"/>
  </r>
  <r>
    <n v="125"/>
    <x v="0"/>
    <x v="255"/>
    <s v="eth1/52"/>
    <x v="0"/>
    <x v="0"/>
    <x v="0"/>
    <s v="CIRCULO Azul(UXCA)"/>
    <x v="6"/>
    <b v="0"/>
    <s v="No está en VPC"/>
    <n v="125"/>
    <s v="INTPG_ACC_125_1.52"/>
    <s v="ISEL-1.52"/>
    <n v="1"/>
    <s v="NO TIENE L3OUT"/>
    <n v="72"/>
    <n v="96"/>
  </r>
  <r>
    <n v="166"/>
    <x v="0"/>
    <x v="256"/>
    <s v="eth1/52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52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52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52"/>
    <x v="0"/>
    <x v="1"/>
    <x v="1"/>
    <s v="COMISIONES"/>
    <x v="6"/>
    <b v="0"/>
    <s v="No está en VPC"/>
    <n v="106"/>
    <s v="INTPG_ACC_106_1.52"/>
    <s v="ISEL-1.52"/>
    <n v="1"/>
    <s v="NO TIENE L3OUT"/>
    <n v="122"/>
    <n v="96"/>
  </r>
  <r>
    <n v="126"/>
    <x v="0"/>
    <x v="260"/>
    <s v="eth1/52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52"/>
    <x v="0"/>
    <x v="0"/>
    <x v="0"/>
    <s v="VMAX_FLASH_V0_1"/>
    <x v="6"/>
    <b v="0"/>
    <s v="No está en VPC"/>
    <n v="425"/>
    <s v="INTPG_ACC_425_1.52"/>
    <s v="ISEL-1.52"/>
    <n v="1"/>
    <s v="NO TIENE L3OUT"/>
    <n v="86"/>
    <n v="96"/>
  </r>
  <r>
    <n v="151"/>
    <x v="0"/>
    <x v="262"/>
    <s v="eth1/52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52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52"/>
    <x v="0"/>
    <x v="0"/>
    <x v="0"/>
    <s v="SPECSERVER1_ETH4"/>
    <x v="6"/>
    <b v="0"/>
    <s v="No está en VPC"/>
    <n v="419"/>
    <s v="INTPG_ACC_419_1.52"/>
    <s v="ISEL-1.52"/>
    <n v="1"/>
    <s v="NO TIENE L3OUT"/>
    <n v="70"/>
    <n v="96"/>
  </r>
  <r>
    <n v="155"/>
    <x v="0"/>
    <x v="265"/>
    <s v="eth1/52"/>
    <x v="0"/>
    <x v="0"/>
    <x v="0"/>
    <s v="DCX-8510-4B 01-03"/>
    <x v="6"/>
    <b v="0"/>
    <s v="No está en VPC"/>
    <n v="155"/>
    <s v="INTPG_ACC_155_1.52"/>
    <s v="ISEL-1.52"/>
    <n v="1"/>
    <s v="NO TIENE L3OUT"/>
    <n v="198"/>
    <n v="96"/>
  </r>
  <r>
    <n v="409"/>
    <x v="1"/>
    <x v="266"/>
    <s v="eth1/52"/>
    <x v="0"/>
    <x v="0"/>
    <x v="0"/>
    <s v="TO-ITHFDEOCP1LWR02-REDUNDANTE"/>
    <x v="6"/>
    <b v="0"/>
    <s v="No está en VPC"/>
    <n v="409"/>
    <s v="INTPG_ACC_409_1.52"/>
    <s v="ISEL-1.52"/>
    <n v="1"/>
    <s v="NO TIENE L3OUT"/>
    <n v="128"/>
    <n v="96"/>
  </r>
  <r>
    <n v="422"/>
    <x v="1"/>
    <x v="267"/>
    <s v="eth1/52"/>
    <x v="0"/>
    <x v="0"/>
    <x v="0"/>
    <s v="ixtf5oss01_MGMT"/>
    <x v="6"/>
    <b v="0"/>
    <s v="No está en VPC"/>
    <n v="422"/>
    <s v="INTPG_ACC_422_1.52"/>
    <s v="ISEL-1.52"/>
    <n v="1"/>
    <s v="NO TIENE L3OUT"/>
    <n v="182"/>
    <n v="96"/>
  </r>
  <r>
    <n v="436"/>
    <x v="1"/>
    <x v="268"/>
    <s v="eth1/52"/>
    <x v="0"/>
    <x v="0"/>
    <x v="0"/>
    <s v="TC3_ithmomce1_VC1_X3"/>
    <x v="6"/>
    <b v="0"/>
    <s v="No está en VPC"/>
    <n v="436"/>
    <s v="INTPG_ACC_436_1.52"/>
    <s v="ISEL-1.52"/>
    <n v="7"/>
    <s v="NO TIENE L3OUT"/>
    <n v="172"/>
    <n v="96"/>
  </r>
  <r>
    <n v="410"/>
    <x v="1"/>
    <x v="269"/>
    <s v="eth1/52"/>
    <x v="0"/>
    <x v="0"/>
    <x v="0"/>
    <s v="ODA2"/>
    <x v="6"/>
    <b v="0"/>
    <s v="No está en VPC"/>
    <n v="410"/>
    <s v="INTPG_ACC_410_1.52"/>
    <s v="ISEL-1.52"/>
    <n v="1"/>
    <s v="NO TIENE L3OUT"/>
    <n v="178"/>
    <n v="96"/>
  </r>
  <r>
    <n v="161"/>
    <x v="0"/>
    <x v="270"/>
    <s v="eth1/52"/>
    <x v="0"/>
    <x v="0"/>
    <x v="0"/>
    <s v="CELCITE"/>
    <x v="6"/>
    <b v="0"/>
    <s v="No está en VPC"/>
    <n v="161"/>
    <s v="INTPG_ACC_161_1.52"/>
    <s v="ISEL-1.52"/>
    <n v="1"/>
    <s v="NO TIENE L3OUT"/>
    <n v="102"/>
    <n v="96"/>
  </r>
  <r>
    <n v="411"/>
    <x v="1"/>
    <x v="271"/>
    <s v="eth1/52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52"/>
    <x v="0"/>
    <x v="1"/>
    <x v="1"/>
    <s v="NOTIFICATION SERVER TANGO"/>
    <x v="6"/>
    <b v="0"/>
    <s v="No está en VPC"/>
    <n v="116"/>
    <s v="INTPG_ACC_116_1.52"/>
    <s v="ISEL-1.52"/>
    <n v="1"/>
    <s v="NO TIENE L3OUT"/>
    <n v="148"/>
    <n v="96"/>
  </r>
  <r>
    <n v="412"/>
    <x v="1"/>
    <x v="273"/>
    <s v="eth1/52"/>
    <x v="0"/>
    <x v="0"/>
    <x v="0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52"/>
    <x v="0"/>
    <x v="0"/>
    <x v="0"/>
    <s v="IXTTRAP-ETL"/>
    <x v="6"/>
    <b v="0"/>
    <s v="No está en VPC"/>
    <n v="120"/>
    <s v="INTPG_ACC_120_1.52"/>
    <s v="ISEL-1.52"/>
    <n v="1"/>
    <s v="NO TIENE L3OUT"/>
    <n v="158"/>
    <n v="96"/>
  </r>
  <r>
    <n v="404"/>
    <x v="1"/>
    <x v="275"/>
    <s v="eth1/52"/>
    <x v="0"/>
    <x v="0"/>
    <x v="0"/>
    <s v="DESC"/>
    <x v="6"/>
    <b v="0"/>
    <s v="No está en VPC"/>
    <n v="404"/>
    <s v="INTPG_PC_404_1.51-52"/>
    <s v="ISEL-1.52"/>
    <n v="1"/>
    <s v="NO TIENE L3OUT"/>
    <n v="92"/>
    <n v="96"/>
  </r>
  <r>
    <n v="167"/>
    <x v="0"/>
    <x v="276"/>
    <s v="eth1/52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52"/>
    <x v="0"/>
    <x v="0"/>
    <x v="0"/>
    <s v="eth0_vert03hpov_Primario"/>
    <x v="6"/>
    <b v="0"/>
    <s v="No está en VPC"/>
    <n v="428"/>
    <s v="INTPG_ACC_428_1.52"/>
    <s v="ISEL-1.52"/>
    <n v="1"/>
    <s v="NO TIENE L3OUT"/>
    <n v="102"/>
    <n v="96"/>
  </r>
  <r>
    <n v="128"/>
    <x v="0"/>
    <x v="0"/>
    <s v="eth1/53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53"/>
    <x v="0"/>
    <x v="1"/>
    <x v="3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53"/>
    <x v="0"/>
    <x v="1"/>
    <x v="3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53"/>
    <x v="0"/>
    <x v="1"/>
    <x v="3"/>
    <m/>
    <x v="0"/>
    <b v="0"/>
    <s v="No está en VPC"/>
    <n v="101"/>
    <s v="NO EXISTE PG"/>
    <s v="NO EXISTE ISEL"/>
    <n v="0"/>
    <s v="NO TIENE L3OUT"/>
    <n v="114"/>
    <n v="54"/>
  </r>
  <r>
    <n v="160"/>
    <x v="0"/>
    <x v="4"/>
    <s v="eth1/53"/>
    <x v="0"/>
    <x v="1"/>
    <x v="3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53"/>
    <x v="0"/>
    <x v="1"/>
    <x v="3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53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53"/>
    <x v="0"/>
    <x v="1"/>
    <x v="3"/>
    <m/>
    <x v="0"/>
    <b v="0"/>
    <s v="No está en VPC"/>
    <n v="401"/>
    <s v="NO EXISTE PG"/>
    <s v="NO EXISTE ISEL"/>
    <n v="0"/>
    <s v="NO TIENE L3OUT"/>
    <n v="40"/>
    <n v="54"/>
  </r>
  <r>
    <n v="402"/>
    <x v="1"/>
    <x v="8"/>
    <s v="eth1/53"/>
    <x v="0"/>
    <x v="1"/>
    <x v="3"/>
    <m/>
    <x v="0"/>
    <b v="0"/>
    <s v="No está en VPC"/>
    <n v="402"/>
    <s v="NO EXISTE PG"/>
    <s v="NO EXISTE ISEL"/>
    <n v="0"/>
    <s v="NO TIENE L3OUT"/>
    <n v="36"/>
    <n v="54"/>
  </r>
  <r>
    <n v="130"/>
    <x v="0"/>
    <x v="11"/>
    <s v="eth1/53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53"/>
    <x v="0"/>
    <x v="1"/>
    <x v="3"/>
    <m/>
    <x v="0"/>
    <b v="0"/>
    <s v="No está en VPC"/>
    <n v="150"/>
    <s v="NO EXISTE PG"/>
    <s v="NO EXISTE ISEL"/>
    <n v="0"/>
    <s v="NO TIENE L3OUT"/>
    <n v="118"/>
    <n v="54"/>
  </r>
  <r>
    <n v="131"/>
    <x v="0"/>
    <x v="13"/>
    <s v="eth1/53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424"/>
    <x v="1"/>
    <x v="18"/>
    <s v="eth1/53"/>
    <x v="0"/>
    <x v="1"/>
    <x v="3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53"/>
    <x v="1"/>
    <x v="1"/>
    <x v="3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53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53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53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53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53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53"/>
    <x v="1"/>
    <x v="1"/>
    <x v="3"/>
    <m/>
    <x v="0"/>
    <b v="0"/>
    <s v="No está en VPC"/>
    <n v="431"/>
    <s v="NO EXISTE PG"/>
    <s v="NO EXISTE ISEL"/>
    <n v="0"/>
    <s v="NO TIENE L3OUT"/>
    <n v="46"/>
    <n v="54"/>
  </r>
  <r>
    <n v="433"/>
    <x v="1"/>
    <x v="27"/>
    <s v="eth1/53"/>
    <x v="1"/>
    <x v="1"/>
    <x v="3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53"/>
    <x v="1"/>
    <x v="1"/>
    <x v="3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53"/>
    <x v="1"/>
    <x v="1"/>
    <x v="3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53"/>
    <x v="1"/>
    <x v="1"/>
    <x v="3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53"/>
    <x v="1"/>
    <x v="1"/>
    <x v="3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53"/>
    <x v="1"/>
    <x v="1"/>
    <x v="3"/>
    <m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53"/>
    <x v="1"/>
    <x v="1"/>
    <x v="3"/>
    <m/>
    <x v="0"/>
    <b v="0"/>
    <s v="No está en VPC"/>
    <n v="712"/>
    <s v="NO EXISTE PG"/>
    <s v="NO EXISTE ISEL"/>
    <n v="0"/>
    <s v="NO TIENE L3OUT"/>
    <n v="32"/>
    <n v="54"/>
  </r>
  <r>
    <n v="719"/>
    <x v="2"/>
    <x v="34"/>
    <s v="eth1/53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53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53"/>
    <x v="1"/>
    <x v="1"/>
    <x v="3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53"/>
    <x v="1"/>
    <x v="1"/>
    <x v="3"/>
    <m/>
    <x v="0"/>
    <b v="0"/>
    <s v="No está en VPC"/>
    <n v="711"/>
    <s v="NO EXISTE PG"/>
    <s v="NO EXISTE ISEL"/>
    <n v="0"/>
    <s v="NO TIENE L3OUT"/>
    <n v="16"/>
    <n v="54"/>
  </r>
  <r>
    <n v="716"/>
    <x v="2"/>
    <x v="38"/>
    <s v="eth1/53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53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53"/>
    <x v="1"/>
    <x v="1"/>
    <x v="3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53"/>
    <x v="0"/>
    <x v="1"/>
    <x v="3"/>
    <m/>
    <x v="0"/>
    <b v="0"/>
    <s v="No está en VPC"/>
    <n v="446"/>
    <s v="NO EXISTE PG"/>
    <s v="NO EXISTE ISEL"/>
    <n v="0"/>
    <s v="NO TIENE L3OUT"/>
    <n v="198"/>
    <n v="54"/>
  </r>
  <r>
    <n v="444"/>
    <x v="1"/>
    <x v="42"/>
    <s v="eth1/53"/>
    <x v="0"/>
    <x v="1"/>
    <x v="3"/>
    <m/>
    <x v="0"/>
    <b v="0"/>
    <s v="No está en VPC"/>
    <n v="444"/>
    <s v="NO EXISTE PG"/>
    <s v="NO EXISTE ISEL"/>
    <n v="0"/>
    <s v="NO TIENE L3OUT"/>
    <n v="234"/>
    <n v="54"/>
  </r>
  <r>
    <n v="701"/>
    <x v="2"/>
    <x v="43"/>
    <s v="eth1/53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53"/>
    <x v="1"/>
    <x v="1"/>
    <x v="3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53"/>
    <x v="1"/>
    <x v="1"/>
    <x v="3"/>
    <m/>
    <x v="0"/>
    <b v="0"/>
    <s v="No está en VPC"/>
    <n v="448"/>
    <s v="NO EXISTE PG"/>
    <s v="NO EXISTE ISEL"/>
    <n v="0"/>
    <s v="NO TIENE L3OUT"/>
    <n v="46"/>
    <n v="54"/>
  </r>
  <r>
    <n v="704"/>
    <x v="2"/>
    <x v="46"/>
    <s v="eth1/53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53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53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53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53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53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53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53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53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53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53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53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53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53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53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53"/>
    <x v="0"/>
    <x v="0"/>
    <x v="0"/>
    <s v="LINK_HACIA_SPINE"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53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53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53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53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53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53"/>
    <x v="1"/>
    <x v="1"/>
    <x v="3"/>
    <m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53"/>
    <x v="1"/>
    <x v="1"/>
    <x v="3"/>
    <m/>
    <x v="0"/>
    <b v="0"/>
    <s v="No está en VPC"/>
    <n v="780"/>
    <s v="NO EXISTE PG"/>
    <s v="NO EXISTE ISEL"/>
    <n v="0"/>
    <s v="NO TIENE L3OUT"/>
    <n v="26"/>
    <n v="54"/>
  </r>
  <r>
    <n v="812"/>
    <x v="2"/>
    <x v="70"/>
    <s v="eth1/53"/>
    <x v="1"/>
    <x v="1"/>
    <x v="3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53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53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53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53"/>
    <x v="0"/>
    <x v="1"/>
    <x v="3"/>
    <m/>
    <x v="0"/>
    <b v="0"/>
    <s v="No está en VPC"/>
    <n v="824"/>
    <s v="NO EXISTE PG"/>
    <s v="NO EXISTE ISEL"/>
    <n v="0"/>
    <s v="NO TIENE L3OUT"/>
    <n v="70"/>
    <n v="54"/>
  </r>
  <r>
    <n v="819"/>
    <x v="2"/>
    <x v="75"/>
    <s v="eth1/53"/>
    <x v="0"/>
    <x v="1"/>
    <x v="3"/>
    <m/>
    <x v="0"/>
    <b v="0"/>
    <s v="No está en VPC"/>
    <n v="819"/>
    <s v="NO EXISTE PG"/>
    <s v="NO EXISTE ISEL"/>
    <n v="0"/>
    <s v="NO TIENE L3OUT"/>
    <n v="70"/>
    <n v="54"/>
  </r>
  <r>
    <n v="737"/>
    <x v="2"/>
    <x v="76"/>
    <s v="eth1/53"/>
    <x v="0"/>
    <x v="0"/>
    <x v="0"/>
    <s v="LINK_HACIA_SPINE"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53"/>
    <x v="1"/>
    <x v="1"/>
    <x v="3"/>
    <m/>
    <x v="0"/>
    <b v="0"/>
    <s v="No está en VPC"/>
    <n v="844"/>
    <s v="NO EXISTE PG"/>
    <s v="NO EXISTE ISEL"/>
    <n v="0"/>
    <s v="NO TIENE L3OUT"/>
    <n v="282"/>
    <n v="54"/>
  </r>
  <r>
    <n v="843"/>
    <x v="2"/>
    <x v="78"/>
    <s v="eth1/53"/>
    <x v="1"/>
    <x v="1"/>
    <x v="3"/>
    <m/>
    <x v="0"/>
    <b v="0"/>
    <s v="No está en VPC"/>
    <n v="843"/>
    <s v="NO EXISTE PG"/>
    <s v="NO EXISTE ISEL"/>
    <n v="0"/>
    <s v="NO TIENE L3OUT"/>
    <n v="38"/>
    <n v="54"/>
  </r>
  <r>
    <n v="797"/>
    <x v="2"/>
    <x v="79"/>
    <s v="eth1/53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53"/>
    <x v="1"/>
    <x v="1"/>
    <x v="3"/>
    <m/>
    <x v="0"/>
    <b v="0"/>
    <s v="No está en VPC"/>
    <n v="839"/>
    <s v="NO EXISTE PG"/>
    <s v="NO EXISTE ISEL"/>
    <n v="0"/>
    <s v="NO TIENE L3OUT"/>
    <n v="0"/>
    <n v="54"/>
  </r>
  <r>
    <n v="847"/>
    <x v="2"/>
    <x v="81"/>
    <s v="eth1/53"/>
    <x v="1"/>
    <x v="1"/>
    <x v="3"/>
    <m/>
    <x v="0"/>
    <b v="0"/>
    <s v="No está en VPC"/>
    <n v="847"/>
    <s v="NO EXISTE PG"/>
    <s v="NO EXISTE ISEL"/>
    <n v="0"/>
    <s v="NO TIENE L3OUT"/>
    <n v="204"/>
    <n v="54"/>
  </r>
  <r>
    <n v="848"/>
    <x v="2"/>
    <x v="82"/>
    <s v="eth1/53"/>
    <x v="1"/>
    <x v="1"/>
    <x v="3"/>
    <m/>
    <x v="0"/>
    <b v="0"/>
    <s v="No está en VPC"/>
    <n v="848"/>
    <s v="NO EXISTE PG"/>
    <s v="NO EXISTE ISEL"/>
    <n v="0"/>
    <s v="NO TIENE L3OUT"/>
    <n v="254"/>
    <n v="54"/>
  </r>
  <r>
    <n v="846"/>
    <x v="2"/>
    <x v="83"/>
    <s v="eth1/53"/>
    <x v="1"/>
    <x v="1"/>
    <x v="3"/>
    <m/>
    <x v="0"/>
    <b v="0"/>
    <s v="No está en VPC"/>
    <n v="846"/>
    <s v="NO EXISTE PG"/>
    <s v="NO EXISTE ISEL"/>
    <n v="0"/>
    <s v="NO TIENE L3OUT"/>
    <n v="242"/>
    <n v="54"/>
  </r>
  <r>
    <n v="838"/>
    <x v="2"/>
    <x v="84"/>
    <s v="eth1/53"/>
    <x v="1"/>
    <x v="1"/>
    <x v="3"/>
    <m/>
    <x v="0"/>
    <b v="0"/>
    <s v="No está en VPC"/>
    <n v="838"/>
    <s v="NO EXISTE PG"/>
    <s v="NO EXISTE ISEL"/>
    <n v="0"/>
    <s v="NO TIENE L3OUT"/>
    <n v="38"/>
    <n v="54"/>
  </r>
  <r>
    <n v="849"/>
    <x v="2"/>
    <x v="85"/>
    <s v="eth1/53"/>
    <x v="1"/>
    <x v="1"/>
    <x v="3"/>
    <m/>
    <x v="0"/>
    <b v="0"/>
    <s v="No está en VPC"/>
    <n v="849"/>
    <s v="NO EXISTE PG"/>
    <s v="NO EXISTE ISEL"/>
    <n v="0"/>
    <s v="NO TIENE L3OUT"/>
    <n v="286"/>
    <n v="54"/>
  </r>
  <r>
    <n v="845"/>
    <x v="2"/>
    <x v="86"/>
    <s v="eth1/53"/>
    <x v="1"/>
    <x v="1"/>
    <x v="3"/>
    <m/>
    <x v="0"/>
    <b v="0"/>
    <s v="No está en VPC"/>
    <n v="845"/>
    <s v="NO EXISTE PG"/>
    <s v="NO EXISTE ISEL"/>
    <n v="0"/>
    <s v="NO TIENE L3OUT"/>
    <n v="258"/>
    <n v="54"/>
  </r>
  <r>
    <n v="873"/>
    <x v="2"/>
    <x v="87"/>
    <s v="eth1/53"/>
    <x v="1"/>
    <x v="1"/>
    <x v="3"/>
    <m/>
    <x v="0"/>
    <b v="0"/>
    <s v="No está en VPC"/>
    <n v="873"/>
    <s v="NO EXISTE PG"/>
    <s v="NO EXISTE ISEL"/>
    <n v="0"/>
    <s v="NO TIENE L3OUT"/>
    <n v="248"/>
    <n v="54"/>
  </r>
  <r>
    <n v="864"/>
    <x v="2"/>
    <x v="88"/>
    <s v="eth1/53"/>
    <x v="1"/>
    <x v="1"/>
    <x v="3"/>
    <m/>
    <x v="0"/>
    <b v="0"/>
    <s v="No está en VPC"/>
    <n v="864"/>
    <s v="NO EXISTE PG"/>
    <s v="NO EXISTE ISEL"/>
    <n v="0"/>
    <s v="NO TIENE L3OUT"/>
    <n v="0"/>
    <n v="54"/>
  </r>
  <r>
    <n v="836"/>
    <x v="2"/>
    <x v="89"/>
    <s v="eth1/53"/>
    <x v="1"/>
    <x v="1"/>
    <x v="3"/>
    <m/>
    <x v="0"/>
    <b v="0"/>
    <s v="No está en VPC"/>
    <n v="836"/>
    <s v="NO EXISTE PG"/>
    <s v="NO EXISTE ISEL"/>
    <n v="0"/>
    <s v="NO TIENE L3OUT"/>
    <n v="0"/>
    <n v="54"/>
  </r>
  <r>
    <n v="834"/>
    <x v="2"/>
    <x v="90"/>
    <s v="eth1/53"/>
    <x v="1"/>
    <x v="1"/>
    <x v="3"/>
    <m/>
    <x v="0"/>
    <b v="0"/>
    <s v="No está en VPC"/>
    <n v="834"/>
    <s v="NO EXISTE PG"/>
    <s v="NO EXISTE ISEL"/>
    <n v="0"/>
    <s v="NO TIENE L3OUT"/>
    <n v="0"/>
    <n v="54"/>
  </r>
  <r>
    <n v="872"/>
    <x v="2"/>
    <x v="91"/>
    <s v="eth1/53"/>
    <x v="1"/>
    <x v="1"/>
    <x v="3"/>
    <m/>
    <x v="0"/>
    <b v="0"/>
    <s v="No está en VPC"/>
    <n v="872"/>
    <s v="NO EXISTE PG"/>
    <s v="NO EXISTE ISEL"/>
    <n v="0"/>
    <s v="NO TIENE L3OUT"/>
    <n v="288"/>
    <n v="54"/>
  </r>
  <r>
    <n v="842"/>
    <x v="2"/>
    <x v="92"/>
    <s v="eth1/53"/>
    <x v="1"/>
    <x v="1"/>
    <x v="3"/>
    <m/>
    <x v="0"/>
    <b v="0"/>
    <s v="No está en VPC"/>
    <n v="842"/>
    <s v="NO EXISTE PG"/>
    <s v="NO EXISTE ISEL"/>
    <n v="0"/>
    <s v="NO TIENE L3OUT"/>
    <n v="8"/>
    <n v="54"/>
  </r>
  <r>
    <n v="828"/>
    <x v="2"/>
    <x v="93"/>
    <s v="eth1/53"/>
    <x v="1"/>
    <x v="1"/>
    <x v="3"/>
    <m/>
    <x v="0"/>
    <b v="0"/>
    <s v="No está en VPC"/>
    <n v="828"/>
    <s v="NO EXISTE PG"/>
    <s v="NO EXISTE ISEL"/>
    <n v="0"/>
    <s v="NO TIENE L3OUT"/>
    <n v="192"/>
    <n v="54"/>
  </r>
  <r>
    <n v="870"/>
    <x v="2"/>
    <x v="94"/>
    <s v="eth1/53"/>
    <x v="1"/>
    <x v="1"/>
    <x v="3"/>
    <m/>
    <x v="0"/>
    <b v="0"/>
    <s v="No está en VPC"/>
    <n v="870"/>
    <s v="NO EXISTE PG"/>
    <s v="NO EXISTE ISEL"/>
    <n v="0"/>
    <s v="NO TIENE L3OUT"/>
    <n v="248"/>
    <n v="54"/>
  </r>
  <r>
    <n v="866"/>
    <x v="2"/>
    <x v="95"/>
    <s v="eth1/53"/>
    <x v="1"/>
    <x v="1"/>
    <x v="3"/>
    <m/>
    <x v="0"/>
    <b v="0"/>
    <s v="No está en VPC"/>
    <n v="866"/>
    <s v="NO EXISTE PG"/>
    <s v="NO EXISTE ISEL"/>
    <n v="0"/>
    <s v="NO TIENE L3OUT"/>
    <n v="8"/>
    <n v="54"/>
  </r>
  <r>
    <n v="862"/>
    <x v="2"/>
    <x v="96"/>
    <s v="eth1/53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53"/>
    <x v="1"/>
    <x v="1"/>
    <x v="3"/>
    <m/>
    <x v="0"/>
    <b v="0"/>
    <s v="No está en VPC"/>
    <n v="855"/>
    <s v="NO EXISTE PG"/>
    <s v="NO EXISTE ISEL"/>
    <n v="0"/>
    <s v="NO TIENE L3OUT"/>
    <n v="254"/>
    <n v="54"/>
  </r>
  <r>
    <n v="871"/>
    <x v="2"/>
    <x v="98"/>
    <s v="eth1/53"/>
    <x v="1"/>
    <x v="1"/>
    <x v="3"/>
    <m/>
    <x v="0"/>
    <b v="0"/>
    <s v="No está en VPC"/>
    <n v="871"/>
    <s v="NO EXISTE PG"/>
    <s v="NO EXISTE ISEL"/>
    <n v="0"/>
    <s v="NO TIENE L3OUT"/>
    <n v="246"/>
    <n v="54"/>
  </r>
  <r>
    <n v="841"/>
    <x v="2"/>
    <x v="99"/>
    <s v="eth1/53"/>
    <x v="1"/>
    <x v="1"/>
    <x v="3"/>
    <m/>
    <x v="0"/>
    <b v="0"/>
    <s v="No está en VPC"/>
    <n v="841"/>
    <s v="NO EXISTE PG"/>
    <s v="NO EXISTE ISEL"/>
    <n v="0"/>
    <s v="NO TIENE L3OUT"/>
    <n v="0"/>
    <n v="54"/>
  </r>
  <r>
    <n v="868"/>
    <x v="2"/>
    <x v="100"/>
    <s v="eth1/53"/>
    <x v="1"/>
    <x v="1"/>
    <x v="3"/>
    <m/>
    <x v="0"/>
    <b v="0"/>
    <s v="No está en VPC"/>
    <n v="868"/>
    <s v="NO EXISTE PG"/>
    <s v="NO EXISTE ISEL"/>
    <n v="0"/>
    <s v="NO TIENE L3OUT"/>
    <n v="246"/>
    <n v="54"/>
  </r>
  <r>
    <n v="869"/>
    <x v="2"/>
    <x v="101"/>
    <s v="eth1/53"/>
    <x v="1"/>
    <x v="1"/>
    <x v="3"/>
    <m/>
    <x v="0"/>
    <b v="0"/>
    <s v="No está en VPC"/>
    <n v="869"/>
    <s v="NO EXISTE PG"/>
    <s v="NO EXISTE ISEL"/>
    <n v="0"/>
    <s v="NO TIENE L3OUT"/>
    <n v="288"/>
    <n v="54"/>
  </r>
  <r>
    <n v="861"/>
    <x v="2"/>
    <x v="102"/>
    <s v="eth1/53"/>
    <x v="1"/>
    <x v="1"/>
    <x v="3"/>
    <m/>
    <x v="0"/>
    <b v="0"/>
    <s v="No está en VPC"/>
    <n v="861"/>
    <s v="NO EXISTE PG"/>
    <s v="NO EXISTE ISEL"/>
    <n v="0"/>
    <s v="NO TIENE L3OUT"/>
    <n v="8"/>
    <n v="54"/>
  </r>
  <r>
    <n v="874"/>
    <x v="2"/>
    <x v="103"/>
    <s v="eth1/53"/>
    <x v="1"/>
    <x v="1"/>
    <x v="3"/>
    <m/>
    <x v="4"/>
    <b v="0"/>
    <s v="No está en VPC"/>
    <n v="874"/>
    <s v="NO EXISTE PG"/>
    <s v="NO EXISTE ISEL"/>
    <n v="0"/>
    <s v="NO TIENE L3OUT"/>
    <n v="92"/>
    <n v="54"/>
  </r>
  <r>
    <n v="865"/>
    <x v="2"/>
    <x v="104"/>
    <s v="eth1/53"/>
    <x v="1"/>
    <x v="1"/>
    <x v="3"/>
    <m/>
    <x v="0"/>
    <b v="0"/>
    <s v="No está en VPC"/>
    <n v="865"/>
    <s v="NO EXISTE PG"/>
    <s v="NO EXISTE ISEL"/>
    <n v="0"/>
    <s v="NO TIENE L3OUT"/>
    <n v="0"/>
    <n v="54"/>
  </r>
  <r>
    <n v="753"/>
    <x v="2"/>
    <x v="105"/>
    <s v="eth1/53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53"/>
    <x v="1"/>
    <x v="1"/>
    <x v="3"/>
    <m/>
    <x v="0"/>
    <b v="0"/>
    <s v="No está en VPC"/>
    <n v="708"/>
    <s v="NO EXISTE PG"/>
    <s v="NO EXISTE ISEL"/>
    <n v="0"/>
    <s v="NO TIENE L3OUT"/>
    <n v="0"/>
    <n v="54"/>
  </r>
  <r>
    <n v="710"/>
    <x v="2"/>
    <x v="107"/>
    <s v="eth1/53"/>
    <x v="1"/>
    <x v="1"/>
    <x v="3"/>
    <m/>
    <x v="0"/>
    <b v="0"/>
    <s v="No está en VPC"/>
    <n v="710"/>
    <s v="NO EXISTE PG"/>
    <s v="NO EXISTE ISEL"/>
    <n v="0"/>
    <s v="NO TIENE L3OUT"/>
    <n v="16"/>
    <n v="54"/>
  </r>
  <r>
    <n v="713"/>
    <x v="2"/>
    <x v="108"/>
    <s v="eth1/53"/>
    <x v="1"/>
    <x v="1"/>
    <x v="3"/>
    <m/>
    <x v="0"/>
    <b v="0"/>
    <s v="No está en VPC"/>
    <n v="713"/>
    <s v="NO EXISTE PG"/>
    <s v="NO EXISTE ISEL"/>
    <n v="0"/>
    <s v="NO TIENE L3OUT"/>
    <n v="32"/>
    <n v="54"/>
  </r>
  <r>
    <n v="735"/>
    <x v="2"/>
    <x v="109"/>
    <s v="eth1/53"/>
    <x v="0"/>
    <x v="0"/>
    <x v="0"/>
    <s v="LINK_HACIA_SPINE"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53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53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53"/>
    <x v="1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53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53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53"/>
    <x v="1"/>
    <x v="1"/>
    <x v="3"/>
    <m/>
    <x v="0"/>
    <b v="0"/>
    <s v="No está en VPC"/>
    <n v="826"/>
    <s v="NO EXISTE PG"/>
    <s v="NO EXISTE ISEL"/>
    <n v="0"/>
    <s v="NO TIENE L3OUT"/>
    <n v="12"/>
    <n v="54"/>
  </r>
  <r>
    <n v="726"/>
    <x v="2"/>
    <x v="117"/>
    <s v="eth1/53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53"/>
    <x v="0"/>
    <x v="0"/>
    <x v="0"/>
    <s v="LINK_HACIA_SPINE"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53"/>
    <x v="1"/>
    <x v="1"/>
    <x v="3"/>
    <m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53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53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53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53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53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53"/>
    <x v="1"/>
    <x v="1"/>
    <x v="3"/>
    <m/>
    <x v="0"/>
    <b v="0"/>
    <s v="No está en VPC"/>
    <n v="709"/>
    <s v="NO EXISTE PG"/>
    <s v="NO EXISTE ISEL"/>
    <n v="0"/>
    <s v="NO TIENE L3OUT"/>
    <n v="0"/>
    <n v="54"/>
  </r>
  <r>
    <n v="454"/>
    <x v="1"/>
    <x v="126"/>
    <s v="eth1/53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53"/>
    <x v="0"/>
    <x v="0"/>
    <x v="0"/>
    <s v="LINK_HACIA_SPINE"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53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53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53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53"/>
    <x v="0"/>
    <x v="0"/>
    <x v="0"/>
    <s v="LINK_HACIA_SPINE"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53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53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53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53"/>
    <x v="0"/>
    <x v="1"/>
    <x v="3"/>
    <m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53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53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53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53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53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53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53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53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53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53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53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53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53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53"/>
    <x v="1"/>
    <x v="1"/>
    <x v="3"/>
    <m/>
    <x v="0"/>
    <b v="0"/>
    <s v="No está en VPC"/>
    <n v="781"/>
    <s v="NO EXISTE PG"/>
    <s v="NO EXISTE ISEL"/>
    <n v="0"/>
    <s v="NO TIENE L3OUT"/>
    <n v="26"/>
    <n v="54"/>
  </r>
  <r>
    <n v="793"/>
    <x v="2"/>
    <x v="151"/>
    <s v="eth1/53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53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53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53"/>
    <x v="1"/>
    <x v="1"/>
    <x v="3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53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53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53"/>
    <x v="1"/>
    <x v="1"/>
    <x v="3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53"/>
    <x v="0"/>
    <x v="0"/>
    <x v="0"/>
    <s v="LINK_HACIA_SPINE"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53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53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53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53"/>
    <x v="1"/>
    <x v="1"/>
    <x v="3"/>
    <m/>
    <x v="0"/>
    <b v="0"/>
    <s v="No está en VPC"/>
    <n v="830"/>
    <s v="NO EXISTE PG"/>
    <s v="NO EXISTE ISEL"/>
    <n v="0"/>
    <s v="NO TIENE L3OUT"/>
    <n v="12"/>
    <n v="54"/>
  </r>
  <r>
    <n v="821"/>
    <x v="2"/>
    <x v="163"/>
    <s v="eth1/53"/>
    <x v="0"/>
    <x v="1"/>
    <x v="3"/>
    <m/>
    <x v="0"/>
    <b v="0"/>
    <s v="No está en VPC"/>
    <n v="821"/>
    <s v="NO EXISTE PG"/>
    <s v="NO EXISTE ISEL"/>
    <n v="0"/>
    <s v="NO TIENE L3OUT"/>
    <n v="0"/>
    <n v="54"/>
  </r>
  <r>
    <n v="738"/>
    <x v="2"/>
    <x v="164"/>
    <s v="eth1/53"/>
    <x v="0"/>
    <x v="0"/>
    <x v="0"/>
    <s v="LINK_HACIA_SPINE"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53"/>
    <x v="0"/>
    <x v="1"/>
    <x v="3"/>
    <m/>
    <x v="0"/>
    <b v="0"/>
    <s v="No está en VPC"/>
    <n v="820"/>
    <s v="NO EXISTE PG"/>
    <s v="NO EXISTE ISEL"/>
    <n v="0"/>
    <s v="NO TIENE L3OUT"/>
    <n v="72"/>
    <n v="54"/>
  </r>
  <r>
    <n v="804"/>
    <x v="2"/>
    <x v="166"/>
    <s v="eth1/53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53"/>
    <x v="1"/>
    <x v="1"/>
    <x v="3"/>
    <m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53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53"/>
    <x v="1"/>
    <x v="1"/>
    <x v="3"/>
    <m/>
    <x v="0"/>
    <b v="0"/>
    <s v="No está en VPC"/>
    <n v="827"/>
    <s v="NO EXISTE PG"/>
    <s v="NO EXISTE ISEL"/>
    <n v="0"/>
    <s v="NO TIENE L3OUT"/>
    <n v="14"/>
    <n v="54"/>
  </r>
  <r>
    <n v="809"/>
    <x v="2"/>
    <x v="170"/>
    <s v="eth1/53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53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53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53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53"/>
    <x v="1"/>
    <x v="1"/>
    <x v="3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53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53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53"/>
    <x v="1"/>
    <x v="1"/>
    <x v="3"/>
    <m/>
    <x v="0"/>
    <b v="0"/>
    <s v="No está en VPC"/>
    <n v="851"/>
    <s v="NO EXISTE PG"/>
    <s v="NO EXISTE ISEL"/>
    <n v="0"/>
    <s v="NO TIENE L3OUT"/>
    <n v="282"/>
    <n v="54"/>
  </r>
  <r>
    <n v="798"/>
    <x v="2"/>
    <x v="178"/>
    <s v="eth1/53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53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53"/>
    <x v="1"/>
    <x v="1"/>
    <x v="3"/>
    <m/>
    <x v="0"/>
    <b v="0"/>
    <s v="No está en VPC"/>
    <n v="852"/>
    <s v="NO EXISTE PG"/>
    <s v="NO EXISTE ISEL"/>
    <n v="0"/>
    <s v="NO TIENE L3OUT"/>
    <n v="258"/>
    <n v="54"/>
  </r>
  <r>
    <n v="817"/>
    <x v="2"/>
    <x v="181"/>
    <s v="eth1/53"/>
    <x v="1"/>
    <x v="1"/>
    <x v="3"/>
    <m/>
    <x v="0"/>
    <b v="0"/>
    <s v="No está en VPC"/>
    <n v="817"/>
    <s v="NO EXISTE PG"/>
    <s v="NO EXISTE ISEL"/>
    <n v="0"/>
    <s v="NO TIENE L3OUT"/>
    <n v="0"/>
    <n v="54"/>
  </r>
  <r>
    <n v="832"/>
    <x v="2"/>
    <x v="182"/>
    <s v="eth1/53"/>
    <x v="1"/>
    <x v="1"/>
    <x v="3"/>
    <m/>
    <x v="0"/>
    <b v="0"/>
    <s v="No está en VPC"/>
    <n v="832"/>
    <s v="NO EXISTE PG"/>
    <s v="NO EXISTE ISEL"/>
    <n v="0"/>
    <s v="NO TIENE L3OUT"/>
    <n v="192"/>
    <n v="54"/>
  </r>
  <r>
    <n v="816"/>
    <x v="2"/>
    <x v="183"/>
    <s v="eth1/53"/>
    <x v="0"/>
    <x v="1"/>
    <x v="3"/>
    <m/>
    <x v="0"/>
    <b v="0"/>
    <s v="No está en VPC"/>
    <n v="816"/>
    <s v="NO EXISTE PG"/>
    <s v="NO EXISTE ISEL"/>
    <n v="0"/>
    <s v="NO TIENE L3OUT"/>
    <n v="0"/>
    <n v="54"/>
  </r>
  <r>
    <n v="825"/>
    <x v="2"/>
    <x v="184"/>
    <s v="eth1/53"/>
    <x v="0"/>
    <x v="1"/>
    <x v="3"/>
    <m/>
    <x v="0"/>
    <b v="0"/>
    <s v="No está en VPC"/>
    <n v="825"/>
    <s v="NO EXISTE PG"/>
    <s v="NO EXISTE ISEL"/>
    <n v="0"/>
    <s v="NO TIENE L3OUT"/>
    <n v="72"/>
    <n v="54"/>
  </r>
  <r>
    <n v="800"/>
    <x v="2"/>
    <x v="185"/>
    <s v="eth1/53"/>
    <x v="1"/>
    <x v="1"/>
    <x v="3"/>
    <m/>
    <x v="0"/>
    <b v="0"/>
    <s v="No está en VPC"/>
    <n v="800"/>
    <s v="NO EXISTE PG"/>
    <s v="NO EXISTE ISEL"/>
    <n v="0"/>
    <s v="NO TIENE L3OUT"/>
    <n v="78"/>
    <n v="54"/>
  </r>
  <r>
    <n v="801"/>
    <x v="2"/>
    <x v="186"/>
    <s v="eth1/53"/>
    <x v="1"/>
    <x v="1"/>
    <x v="3"/>
    <m/>
    <x v="0"/>
    <b v="0"/>
    <s v="No está en VPC"/>
    <n v="801"/>
    <s v="NO EXISTE PG"/>
    <s v="NO EXISTE ISEL"/>
    <n v="0"/>
    <s v="NO TIENE L3OUT"/>
    <n v="78"/>
    <n v="54"/>
  </r>
  <r>
    <n v="823"/>
    <x v="2"/>
    <x v="187"/>
    <s v="eth1/53"/>
    <x v="0"/>
    <x v="1"/>
    <x v="3"/>
    <m/>
    <x v="0"/>
    <b v="0"/>
    <s v="No está en VPC"/>
    <n v="823"/>
    <s v="NO EXISTE PG"/>
    <s v="NO EXISTE ISEL"/>
    <n v="0"/>
    <s v="NO TIENE L3OUT"/>
    <n v="8"/>
    <n v="54"/>
  </r>
  <r>
    <n v="837"/>
    <x v="2"/>
    <x v="188"/>
    <s v="eth1/53"/>
    <x v="1"/>
    <x v="1"/>
    <x v="3"/>
    <m/>
    <x v="0"/>
    <b v="0"/>
    <s v="No está en VPC"/>
    <n v="837"/>
    <s v="NO EXISTE PG"/>
    <s v="NO EXISTE ISEL"/>
    <n v="0"/>
    <s v="NO TIENE L3OUT"/>
    <n v="8"/>
    <n v="54"/>
  </r>
  <r>
    <n v="867"/>
    <x v="2"/>
    <x v="189"/>
    <s v="eth1/53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53"/>
    <x v="1"/>
    <x v="1"/>
    <x v="3"/>
    <m/>
    <x v="0"/>
    <b v="0"/>
    <s v="No está en VPC"/>
    <n v="829"/>
    <s v="NO EXISTE PG"/>
    <s v="NO EXISTE ISEL"/>
    <n v="0"/>
    <s v="NO TIENE L3OUT"/>
    <n v="224"/>
    <n v="54"/>
  </r>
  <r>
    <n v="831"/>
    <x v="2"/>
    <x v="191"/>
    <s v="eth1/53"/>
    <x v="1"/>
    <x v="1"/>
    <x v="3"/>
    <m/>
    <x v="0"/>
    <b v="0"/>
    <s v="No está en VPC"/>
    <n v="831"/>
    <s v="NO EXISTE PG"/>
    <s v="NO EXISTE ISEL"/>
    <n v="0"/>
    <s v="NO TIENE L3OUT"/>
    <n v="14"/>
    <n v="54"/>
  </r>
  <r>
    <n v="802"/>
    <x v="2"/>
    <x v="192"/>
    <s v="eth1/53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53"/>
    <x v="1"/>
    <x v="1"/>
    <x v="3"/>
    <m/>
    <x v="0"/>
    <b v="0"/>
    <s v="No está en VPC"/>
    <n v="835"/>
    <s v="NO EXISTE PG"/>
    <s v="NO EXISTE ISEL"/>
    <n v="0"/>
    <s v="NO TIENE L3OUT"/>
    <n v="8"/>
    <n v="54"/>
  </r>
  <r>
    <n v="822"/>
    <x v="2"/>
    <x v="194"/>
    <s v="eth1/53"/>
    <x v="0"/>
    <x v="1"/>
    <x v="3"/>
    <m/>
    <x v="0"/>
    <b v="0"/>
    <s v="No está en VPC"/>
    <n v="822"/>
    <s v="NO EXISTE PG"/>
    <s v="NO EXISTE ISEL"/>
    <n v="0"/>
    <s v="NO TIENE L3OUT"/>
    <n v="0"/>
    <n v="54"/>
  </r>
  <r>
    <n v="854"/>
    <x v="2"/>
    <x v="195"/>
    <s v="eth1/53"/>
    <x v="1"/>
    <x v="1"/>
    <x v="3"/>
    <m/>
    <x v="0"/>
    <b v="0"/>
    <s v="No está en VPC"/>
    <n v="854"/>
    <s v="NO EXISTE PG"/>
    <s v="NO EXISTE ISEL"/>
    <n v="0"/>
    <s v="NO TIENE L3OUT"/>
    <n v="204"/>
    <n v="54"/>
  </r>
  <r>
    <n v="858"/>
    <x v="2"/>
    <x v="196"/>
    <s v="eth1/53"/>
    <x v="1"/>
    <x v="1"/>
    <x v="3"/>
    <m/>
    <x v="0"/>
    <b v="0"/>
    <s v="No está en VPC"/>
    <n v="858"/>
    <s v="NO EXISTE PG"/>
    <s v="NO EXISTE ISEL"/>
    <n v="0"/>
    <s v="NO TIENE L3OUT"/>
    <n v="8"/>
    <n v="54"/>
  </r>
  <r>
    <n v="857"/>
    <x v="2"/>
    <x v="197"/>
    <s v="eth1/53"/>
    <x v="1"/>
    <x v="1"/>
    <x v="3"/>
    <m/>
    <x v="0"/>
    <b v="0"/>
    <s v="No está en VPC"/>
    <n v="857"/>
    <s v="NO EXISTE PG"/>
    <s v="NO EXISTE ISEL"/>
    <n v="0"/>
    <s v="NO TIENE L3OUT"/>
    <n v="288"/>
    <n v="54"/>
  </r>
  <r>
    <n v="859"/>
    <x v="2"/>
    <x v="198"/>
    <s v="eth1/53"/>
    <x v="1"/>
    <x v="1"/>
    <x v="3"/>
    <m/>
    <x v="0"/>
    <b v="0"/>
    <s v="No está en VPC"/>
    <n v="859"/>
    <s v="NO EXISTE PG"/>
    <s v="NO EXISTE ISEL"/>
    <n v="0"/>
    <s v="NO TIENE L3OUT"/>
    <n v="0"/>
    <n v="54"/>
  </r>
  <r>
    <n v="833"/>
    <x v="2"/>
    <x v="199"/>
    <s v="eth1/53"/>
    <x v="1"/>
    <x v="1"/>
    <x v="3"/>
    <m/>
    <x v="0"/>
    <b v="0"/>
    <s v="No está en VPC"/>
    <n v="833"/>
    <s v="NO EXISTE PG"/>
    <s v="NO EXISTE ISEL"/>
    <n v="0"/>
    <s v="NO TIENE L3OUT"/>
    <n v="224"/>
    <n v="54"/>
  </r>
  <r>
    <n v="818"/>
    <x v="2"/>
    <x v="200"/>
    <s v="eth1/53"/>
    <x v="0"/>
    <x v="1"/>
    <x v="3"/>
    <m/>
    <x v="0"/>
    <b v="0"/>
    <s v="No está en VPC"/>
    <n v="818"/>
    <s v="NO EXISTE PG"/>
    <s v="NO EXISTE ISEL"/>
    <n v="0"/>
    <s v="NO TIENE L3OUT"/>
    <n v="8"/>
    <n v="54"/>
  </r>
  <r>
    <n v="850"/>
    <x v="2"/>
    <x v="201"/>
    <s v="eth1/53"/>
    <x v="1"/>
    <x v="1"/>
    <x v="3"/>
    <m/>
    <x v="0"/>
    <b v="0"/>
    <s v="No está en VPC"/>
    <n v="850"/>
    <s v="NO EXISTE PG"/>
    <s v="NO EXISTE ISEL"/>
    <n v="0"/>
    <s v="NO TIENE L3OUT"/>
    <n v="288"/>
    <n v="54"/>
  </r>
  <r>
    <n v="860"/>
    <x v="2"/>
    <x v="202"/>
    <s v="eth1/53"/>
    <x v="1"/>
    <x v="1"/>
    <x v="3"/>
    <m/>
    <x v="0"/>
    <b v="0"/>
    <s v="No está en VPC"/>
    <n v="860"/>
    <s v="NO EXISTE PG"/>
    <s v="NO EXISTE ISEL"/>
    <n v="0"/>
    <s v="NO TIENE L3OUT"/>
    <n v="0"/>
    <n v="54"/>
  </r>
  <r>
    <n v="853"/>
    <x v="2"/>
    <x v="203"/>
    <s v="eth1/53"/>
    <x v="1"/>
    <x v="1"/>
    <x v="3"/>
    <m/>
    <x v="0"/>
    <b v="0"/>
    <s v="No está en VPC"/>
    <n v="853"/>
    <s v="NO EXISTE PG"/>
    <s v="NO EXISTE ISEL"/>
    <n v="0"/>
    <s v="NO TIENE L3OUT"/>
    <n v="242"/>
    <n v="54"/>
  </r>
  <r>
    <n v="790"/>
    <x v="2"/>
    <x v="204"/>
    <s v="eth1/53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53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53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53"/>
    <x v="0"/>
    <x v="1"/>
    <x v="1"/>
    <s v="CISCO ANA 01 EHEALTH"/>
    <x v="6"/>
    <b v="0"/>
    <s v="No está en VPC"/>
    <n v="104"/>
    <s v="INTPG_ACC_104_1.53"/>
    <s v="ISEL-1.53"/>
    <n v="1"/>
    <s v="NO TIENE L3OUT"/>
    <n v="194"/>
    <n v="96"/>
  </r>
  <r>
    <n v="158"/>
    <x v="0"/>
    <x v="208"/>
    <s v="eth1/53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53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53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53"/>
    <x v="0"/>
    <x v="0"/>
    <x v="0"/>
    <s v="DESC"/>
    <x v="6"/>
    <b v="0"/>
    <s v="No está en VPC"/>
    <n v="108"/>
    <s v="INTPG_PC_108_1.53-54"/>
    <s v="ISEL-1.53"/>
    <n v="1"/>
    <s v="NO TIENE L3OUT"/>
    <n v="126"/>
    <n v="96"/>
  </r>
  <r>
    <n v="112"/>
    <x v="0"/>
    <x v="212"/>
    <s v="eth1/53"/>
    <x v="0"/>
    <x v="1"/>
    <x v="1"/>
    <s v="SAPCCRATING08"/>
    <x v="6"/>
    <b v="0"/>
    <s v="No está en VPC"/>
    <n v="112"/>
    <s v="INTPG_VPC_112_1.53_114_1.50"/>
    <s v="ISEL-1.53"/>
    <n v="1"/>
    <s v="NO TIENE L3OUT"/>
    <n v="144"/>
    <n v="96"/>
  </r>
  <r>
    <n v="107"/>
    <x v="0"/>
    <x v="213"/>
    <s v="eth1/53"/>
    <x v="0"/>
    <x v="0"/>
    <x v="0"/>
    <s v="COMISIONES"/>
    <x v="6"/>
    <b v="0"/>
    <s v="No está en VPC"/>
    <n v="107"/>
    <s v="INTPG_ACC_107_1.53"/>
    <s v="ISEL-1.53"/>
    <n v="1"/>
    <s v="NO TIENE L3OUT"/>
    <n v="118"/>
    <n v="96"/>
  </r>
  <r>
    <n v="109"/>
    <x v="0"/>
    <x v="214"/>
    <s v="eth1/53"/>
    <x v="1"/>
    <x v="1"/>
    <x v="2"/>
    <s v="OBIE_1-2"/>
    <x v="6"/>
    <b v="0"/>
    <s v="No está en VPC"/>
    <n v="109"/>
    <s v="INTPG_ACC_109_1.53"/>
    <s v="ISEL-1.53"/>
    <n v="1"/>
    <s v="NO TIENE L3OUT"/>
    <n v="126"/>
    <n v="96"/>
  </r>
  <r>
    <n v="113"/>
    <x v="0"/>
    <x v="215"/>
    <s v="eth1/53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53"/>
    <x v="0"/>
    <x v="1"/>
    <x v="1"/>
    <s v="SAPCCRATING11"/>
    <x v="6"/>
    <b v="0"/>
    <s v="No está en VPC"/>
    <n v="114"/>
    <s v="INTPG_VPC_112_1.56_114_1.53"/>
    <s v="ISEL-1.53"/>
    <n v="1"/>
    <s v="NO TIENE L3OUT"/>
    <n v="144"/>
    <n v="96"/>
  </r>
  <r>
    <n v="124"/>
    <x v="0"/>
    <x v="217"/>
    <s v="eth1/53"/>
    <x v="1"/>
    <x v="1"/>
    <x v="2"/>
    <s v="CIRCULO Azul(UXCA)"/>
    <x v="6"/>
    <b v="0"/>
    <s v="No está en VPC"/>
    <n v="124"/>
    <s v="INTPG_ACC_124_1.53"/>
    <s v="ISEL-1.53"/>
    <n v="1"/>
    <s v="NO TIENE L3OUT"/>
    <n v="80"/>
    <n v="96"/>
  </r>
  <r>
    <n v="118"/>
    <x v="0"/>
    <x v="218"/>
    <s v="eth1/53"/>
    <x v="0"/>
    <x v="1"/>
    <x v="1"/>
    <s v="USSD TANGO"/>
    <x v="6"/>
    <b v="0"/>
    <s v="No está en VPC"/>
    <n v="118"/>
    <s v="INTPG_ACC_118_1.53"/>
    <s v="ISEL-1.53"/>
    <n v="1"/>
    <s v="NO TIENE L3OUT"/>
    <n v="180"/>
    <n v="96"/>
  </r>
  <r>
    <n v="159"/>
    <x v="0"/>
    <x v="219"/>
    <s v="eth1/53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53"/>
    <x v="1"/>
    <x v="1"/>
    <x v="3"/>
    <m/>
    <x v="0"/>
    <b v="0"/>
    <s v="No está en VPC"/>
    <n v="840"/>
    <s v="NO EXISTE PG"/>
    <s v="NO EXISTE ISEL"/>
    <n v="0"/>
    <s v="NO TIENE L3OUT"/>
    <n v="8"/>
    <n v="54"/>
  </r>
  <r>
    <n v="856"/>
    <x v="2"/>
    <x v="221"/>
    <s v="eth1/53"/>
    <x v="1"/>
    <x v="1"/>
    <x v="3"/>
    <m/>
    <x v="0"/>
    <b v="0"/>
    <s v="No está en VPC"/>
    <n v="856"/>
    <s v="NO EXISTE PG"/>
    <s v="NO EXISTE ISEL"/>
    <n v="0"/>
    <s v="NO TIENE L3OUT"/>
    <n v="286"/>
    <n v="54"/>
  </r>
  <r>
    <n v="110"/>
    <x v="0"/>
    <x v="222"/>
    <s v="eth1/53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53"/>
    <x v="1"/>
    <x v="1"/>
    <x v="2"/>
    <s v="CELCITE"/>
    <x v="6"/>
    <b v="0"/>
    <s v="No está en VPC"/>
    <n v="163"/>
    <s v="INTPG_ACC_163_1.53"/>
    <s v="ISEL-1.53"/>
    <n v="1"/>
    <s v="NO TIENE L3OUT"/>
    <n v="140"/>
    <n v="96"/>
  </r>
  <r>
    <n v="407"/>
    <x v="1"/>
    <x v="224"/>
    <s v="eth1/53"/>
    <x v="0"/>
    <x v="0"/>
    <x v="0"/>
    <s v="TO-ITHFDEOCP1LWR01-PRINCIPAL"/>
    <x v="6"/>
    <b v="0"/>
    <s v="No está en VPC"/>
    <n v="407"/>
    <s v="INTPG_ACC_407_1.53"/>
    <s v="ISEL-1.53"/>
    <n v="1"/>
    <s v="NO TIENE L3OUT"/>
    <n v="122"/>
    <n v="96"/>
  </r>
  <r>
    <n v="171"/>
    <x v="0"/>
    <x v="225"/>
    <s v="eth1/53"/>
    <x v="0"/>
    <x v="0"/>
    <x v="0"/>
    <s v="SRS (Speedy Rating System)"/>
    <x v="6"/>
    <b v="0"/>
    <s v="No está en VPC"/>
    <n v="171"/>
    <s v="INTPG_ACC_171_1.53"/>
    <s v="ISEL-1.53"/>
    <n v="1"/>
    <s v="NO TIENE L3OUT"/>
    <n v="114"/>
    <n v="96"/>
  </r>
  <r>
    <n v="421"/>
    <x v="1"/>
    <x v="226"/>
    <s v="eth1/53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53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53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53"/>
    <x v="0"/>
    <x v="0"/>
    <x v="0"/>
    <s v="SRS (Speedy Rating System)"/>
    <x v="6"/>
    <b v="0"/>
    <s v="No está en VPC"/>
    <n v="172"/>
    <s v="INTPG_ACC_172_1.53"/>
    <s v="ISEL-1.53"/>
    <n v="1"/>
    <s v="NO TIENE L3OUT"/>
    <n v="104"/>
    <n v="96"/>
  </r>
  <r>
    <n v="420"/>
    <x v="1"/>
    <x v="230"/>
    <s v="eth1/53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53"/>
    <x v="0"/>
    <x v="0"/>
    <x v="0"/>
    <s v="HP Proliant DL380p(b)"/>
    <x v="6"/>
    <b v="0"/>
    <s v="No está en VPC"/>
    <n v="423"/>
    <s v="INTPG_ACC_423_1.53"/>
    <s v="ISEL-1.53"/>
    <n v="1"/>
    <s v="NO TIENE L3OUT"/>
    <n v="86"/>
    <n v="96"/>
  </r>
  <r>
    <n v="415"/>
    <x v="1"/>
    <x v="232"/>
    <s v="eth1/53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53"/>
    <x v="0"/>
    <x v="1"/>
    <x v="1"/>
    <m/>
    <x v="6"/>
    <b v="0"/>
    <s v="No está en VPC"/>
    <n v="102"/>
    <s v="NO EXISTE PG"/>
    <s v="NO EXISTE ISEL"/>
    <n v="0"/>
    <s v="NO TIENE L3OUT"/>
    <n v="228"/>
    <n v="96"/>
  </r>
  <r>
    <n v="863"/>
    <x v="2"/>
    <x v="234"/>
    <s v="eth1/53"/>
    <x v="1"/>
    <x v="1"/>
    <x v="3"/>
    <m/>
    <x v="0"/>
    <b v="0"/>
    <s v="No está en VPC"/>
    <n v="863"/>
    <s v="NO EXISTE PG"/>
    <s v="NO EXISTE ISEL"/>
    <n v="0"/>
    <s v="NO TIENE L3OUT"/>
    <n v="8"/>
    <n v="54"/>
  </r>
  <r>
    <n v="876"/>
    <x v="2"/>
    <x v="235"/>
    <s v="eth1/53"/>
    <x v="1"/>
    <x v="1"/>
    <x v="3"/>
    <m/>
    <x v="4"/>
    <b v="0"/>
    <s v="No está en VPC"/>
    <n v="876"/>
    <s v="NO EXISTE PG"/>
    <s v="NO EXISTE ISEL"/>
    <n v="0"/>
    <s v="NO TIENE L3OUT"/>
    <n v="92"/>
    <n v="54"/>
  </r>
  <r>
    <n v="877"/>
    <x v="2"/>
    <x v="236"/>
    <s v="eth1/53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53"/>
    <x v="0"/>
    <x v="0"/>
    <x v="0"/>
    <s v="Consola serial"/>
    <x v="6"/>
    <b v="0"/>
    <s v="No está en VPC"/>
    <n v="122"/>
    <s v="INTPG_ACC_122_1.53"/>
    <s v="ISEL-1.53"/>
    <n v="1"/>
    <s v="NO TIENE L3OUT"/>
    <n v="148"/>
    <n v="96"/>
  </r>
  <r>
    <n v="157"/>
    <x v="0"/>
    <x v="238"/>
    <s v="eth1/53"/>
    <x v="0"/>
    <x v="0"/>
    <x v="0"/>
    <s v="UXINGE"/>
    <x v="6"/>
    <b v="0"/>
    <s v="No está en VPC"/>
    <n v="157"/>
    <s v="INTPG_ACC_157_1.53"/>
    <s v="ISEL-1.53"/>
    <n v="1"/>
    <s v="NO TIENE L3OUT"/>
    <n v="202"/>
    <n v="96"/>
  </r>
  <r>
    <n v="408"/>
    <x v="1"/>
    <x v="239"/>
    <s v="eth1/53"/>
    <x v="0"/>
    <x v="0"/>
    <x v="0"/>
    <s v="DESC"/>
    <x v="6"/>
    <b v="0"/>
    <s v="No está en VPC"/>
    <n v="408"/>
    <s v="INTPG_PC_408_1.53-54"/>
    <s v="ISEL-1.53"/>
    <n v="1"/>
    <s v="NO TIENE L3OUT"/>
    <n v="152"/>
    <n v="96"/>
  </r>
  <r>
    <n v="405"/>
    <x v="1"/>
    <x v="240"/>
    <s v="eth1/53"/>
    <x v="0"/>
    <x v="0"/>
    <x v="0"/>
    <s v="CCURE_9000"/>
    <x v="6"/>
    <b v="0"/>
    <s v="No está en VPC"/>
    <n v="405"/>
    <s v="INTPG_ACC_405_1.53"/>
    <s v="ISEL-1.53"/>
    <n v="1"/>
    <s v="NO TIENE L3OUT"/>
    <n v="138"/>
    <n v="96"/>
  </r>
  <r>
    <n v="169"/>
    <x v="0"/>
    <x v="241"/>
    <s v="eth1/53"/>
    <x v="0"/>
    <x v="1"/>
    <x v="1"/>
    <s v="TO-ITHFDENBURMS04-PRINCIPAL"/>
    <x v="6"/>
    <b v="0"/>
    <s v="No está en VPC"/>
    <n v="169"/>
    <s v="INTPG_ACC_169_1.53"/>
    <s v="ISEL-1.53"/>
    <n v="1"/>
    <s v="NO TIENE L3OUT"/>
    <n v="76"/>
    <n v="96"/>
  </r>
  <r>
    <n v="165"/>
    <x v="0"/>
    <x v="242"/>
    <s v="eth1/53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53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53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53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53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53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53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53"/>
    <x v="0"/>
    <x v="0"/>
    <x v="0"/>
    <s v="DESC"/>
    <x v="6"/>
    <b v="0"/>
    <s v="No está en VPC"/>
    <n v="406"/>
    <s v="INTPG_PC_406_1.53-54"/>
    <s v="ISEL-1.53"/>
    <n v="1"/>
    <s v="NO TIENE L3OUT"/>
    <n v="82"/>
    <n v="96"/>
  </r>
  <r>
    <n v="414"/>
    <x v="1"/>
    <x v="250"/>
    <s v="eth1/53"/>
    <x v="0"/>
    <x v="0"/>
    <x v="0"/>
    <s v="ODA1"/>
    <x v="6"/>
    <b v="0"/>
    <s v="No está en VPC"/>
    <n v="414"/>
    <s v="INTPG_ACC_414_1.53"/>
    <s v="ISEL-1.53"/>
    <n v="1"/>
    <s v="NO TIENE L3OUT"/>
    <n v="144"/>
    <n v="96"/>
  </r>
  <r>
    <n v="416"/>
    <x v="1"/>
    <x v="251"/>
    <s v="eth1/53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53"/>
    <x v="0"/>
    <x v="0"/>
    <x v="0"/>
    <s v="IXTSD971A"/>
    <x v="6"/>
    <b v="0"/>
    <s v="No está en VPC"/>
    <n v="418"/>
    <s v="INTPG_ACC_418_1.53"/>
    <s v="ISEL-1.53"/>
    <n v="1"/>
    <s v="NO TIENE L3OUT"/>
    <n v="152"/>
    <n v="96"/>
  </r>
  <r>
    <n v="413"/>
    <x v="1"/>
    <x v="253"/>
    <s v="eth1/53"/>
    <x v="0"/>
    <x v="0"/>
    <x v="0"/>
    <s v="To-uxingemc4 ldom2 uxinghdr4"/>
    <x v="6"/>
    <b v="0"/>
    <s v="No está en VPC"/>
    <n v="413"/>
    <s v="INTPG_ACC_413_1.53"/>
    <s v="ISEL-1.53"/>
    <n v="1"/>
    <s v="NO TIENE L3OUT"/>
    <n v="126"/>
    <n v="96"/>
  </r>
  <r>
    <n v="403"/>
    <x v="1"/>
    <x v="254"/>
    <s v="eth1/53"/>
    <x v="0"/>
    <x v="0"/>
    <x v="0"/>
    <s v="CCURE_9000"/>
    <x v="6"/>
    <b v="0"/>
    <s v="No está en VPC"/>
    <n v="403"/>
    <s v="INTPG_ACC_403_1.53"/>
    <s v="ISEL-1.53"/>
    <n v="1"/>
    <s v="NO TIENE L3OUT"/>
    <n v="150"/>
    <n v="96"/>
  </r>
  <r>
    <n v="125"/>
    <x v="0"/>
    <x v="255"/>
    <s v="eth1/53"/>
    <x v="0"/>
    <x v="0"/>
    <x v="0"/>
    <s v="CIRCULO Azul(UXCA)"/>
    <x v="6"/>
    <b v="0"/>
    <s v="No está en VPC"/>
    <n v="125"/>
    <s v="INTPG_ACC_125_1.53"/>
    <s v="ISEL-1.53"/>
    <n v="1"/>
    <s v="NO TIENE L3OUT"/>
    <n v="72"/>
    <n v="96"/>
  </r>
  <r>
    <n v="166"/>
    <x v="0"/>
    <x v="256"/>
    <s v="eth1/53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53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53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53"/>
    <x v="0"/>
    <x v="0"/>
    <x v="0"/>
    <s v="COMISIONES"/>
    <x v="6"/>
    <b v="0"/>
    <s v="No está en VPC"/>
    <n v="106"/>
    <s v="INTPG_ACC_106_1.53"/>
    <s v="ISEL-1.53"/>
    <n v="1"/>
    <s v="NO TIENE L3OUT"/>
    <n v="122"/>
    <n v="96"/>
  </r>
  <r>
    <n v="126"/>
    <x v="0"/>
    <x v="260"/>
    <s v="eth1/53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53"/>
    <x v="0"/>
    <x v="0"/>
    <x v="0"/>
    <s v="PMAX_S2_2DO"/>
    <x v="6"/>
    <b v="0"/>
    <s v="No está en VPC"/>
    <n v="425"/>
    <s v="INTPG_ACC_425_1.53"/>
    <s v="ISEL-1.53"/>
    <n v="1"/>
    <s v="NO TIENE L3OUT"/>
    <n v="86"/>
    <n v="96"/>
  </r>
  <r>
    <n v="151"/>
    <x v="0"/>
    <x v="262"/>
    <s v="eth1/53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53"/>
    <x v="0"/>
    <x v="0"/>
    <x v="0"/>
    <s v="TO-sfdacd08-NET2"/>
    <x v="6"/>
    <b v="0"/>
    <s v="No está en VPC"/>
    <n v="430"/>
    <s v="INTPG_ACC_430_1.53"/>
    <s v="ISEL-1.53"/>
    <n v="1"/>
    <s v="NO TIENE L3OUT"/>
    <n v="86"/>
    <n v="96"/>
  </r>
  <r>
    <n v="419"/>
    <x v="1"/>
    <x v="264"/>
    <s v="eth1/53"/>
    <x v="0"/>
    <x v="0"/>
    <x v="0"/>
    <s v="SPECSERVER1_ILOM"/>
    <x v="6"/>
    <b v="0"/>
    <s v="No está en VPC"/>
    <n v="419"/>
    <s v="INTPG_ACC_419_1.53"/>
    <s v="ISEL-1.53"/>
    <n v="1"/>
    <s v="NO TIENE L3OUT"/>
    <n v="70"/>
    <n v="96"/>
  </r>
  <r>
    <n v="155"/>
    <x v="0"/>
    <x v="265"/>
    <s v="eth1/53"/>
    <x v="0"/>
    <x v="0"/>
    <x v="0"/>
    <s v="PORTAL CAUTIVO"/>
    <x v="6"/>
    <b v="0"/>
    <s v="No está en VPC"/>
    <n v="155"/>
    <s v="INTPG_ACC_155_1.53"/>
    <s v="ISEL-1.53"/>
    <n v="1"/>
    <s v="NO TIENE L3OUT"/>
    <n v="198"/>
    <n v="96"/>
  </r>
  <r>
    <n v="409"/>
    <x v="1"/>
    <x v="266"/>
    <s v="eth1/53"/>
    <x v="0"/>
    <x v="0"/>
    <x v="0"/>
    <s v="TO-ITHFDEOCP1LWR01-REDUNDANTE"/>
    <x v="6"/>
    <b v="0"/>
    <s v="No está en VPC"/>
    <n v="409"/>
    <s v="INTPG_ACC_409_1.53"/>
    <s v="ISEL-1.53"/>
    <n v="1"/>
    <s v="NO TIENE L3OUT"/>
    <n v="128"/>
    <n v="96"/>
  </r>
  <r>
    <n v="422"/>
    <x v="1"/>
    <x v="267"/>
    <s v="eth1/53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53"/>
    <x v="0"/>
    <x v="0"/>
    <x v="0"/>
    <s v="TC3_ithmomce1_VC1_X4"/>
    <x v="6"/>
    <b v="0"/>
    <s v="No está en VPC"/>
    <n v="436"/>
    <s v="INTPG_ACC_436_1.53"/>
    <s v="ISEL-1.53"/>
    <n v="7"/>
    <s v="NO TIENE L3OUT"/>
    <n v="172"/>
    <n v="96"/>
  </r>
  <r>
    <n v="410"/>
    <x v="1"/>
    <x v="269"/>
    <s v="eth1/53"/>
    <x v="0"/>
    <x v="0"/>
    <x v="0"/>
    <s v="ITHRTC12VC2X4"/>
    <x v="6"/>
    <b v="0"/>
    <s v="No está en VPC"/>
    <n v="410"/>
    <s v="INTPG_ACC_410_1.53"/>
    <s v="ISEL-1.53"/>
    <n v="1"/>
    <s v="NO TIENE L3OUT"/>
    <n v="178"/>
    <n v="96"/>
  </r>
  <r>
    <n v="161"/>
    <x v="0"/>
    <x v="270"/>
    <s v="eth1/53"/>
    <x v="0"/>
    <x v="1"/>
    <x v="1"/>
    <s v="MULTIMEDIACION"/>
    <x v="6"/>
    <b v="0"/>
    <s v="No está en VPC"/>
    <n v="161"/>
    <s v="INTPG_ACC_161_1.53"/>
    <s v="ISEL-1.53"/>
    <n v="1"/>
    <s v="NO TIENE L3OUT"/>
    <n v="102"/>
    <n v="96"/>
  </r>
  <r>
    <n v="411"/>
    <x v="1"/>
    <x v="271"/>
    <s v="eth1/53"/>
    <x v="0"/>
    <x v="0"/>
    <x v="0"/>
    <s v="VNX5400_NETAC"/>
    <x v="6"/>
    <b v="0"/>
    <s v="No está en VPC"/>
    <n v="411"/>
    <s v="INTPG_ACC_411_1.53"/>
    <s v="ISEL-1.53"/>
    <n v="1"/>
    <s v="NO TIENE L3OUT"/>
    <n v="96"/>
    <n v="96"/>
  </r>
  <r>
    <n v="116"/>
    <x v="0"/>
    <x v="272"/>
    <s v="eth1/53"/>
    <x v="0"/>
    <x v="1"/>
    <x v="1"/>
    <s v="NOTIFICATION SERVER TANGO"/>
    <x v="6"/>
    <b v="0"/>
    <s v="No está en VPC"/>
    <n v="116"/>
    <s v="INTPG_ACC_116_1.53"/>
    <s v="ISEL-1.53"/>
    <n v="1"/>
    <s v="NO TIENE L3OUT"/>
    <n v="148"/>
    <n v="96"/>
  </r>
  <r>
    <n v="412"/>
    <x v="1"/>
    <x v="273"/>
    <s v="eth1/53"/>
    <x v="0"/>
    <x v="0"/>
    <x v="0"/>
    <s v="ITHRTC51VC2X4"/>
    <x v="6"/>
    <b v="0"/>
    <s v="No está en VPC"/>
    <n v="412"/>
    <s v="INTPG_ACC_412_1.53"/>
    <s v="ISEL-1.53"/>
    <n v="1"/>
    <s v="NO TIENE L3OUT"/>
    <n v="126"/>
    <n v="96"/>
  </r>
  <r>
    <n v="120"/>
    <x v="0"/>
    <x v="274"/>
    <s v="eth1/53"/>
    <x v="0"/>
    <x v="0"/>
    <x v="0"/>
    <s v="IXTTRAP-ETL"/>
    <x v="6"/>
    <b v="0"/>
    <s v="No está en VPC"/>
    <n v="120"/>
    <s v="INTPG_ACC_120_1.53"/>
    <s v="ISEL-1.53"/>
    <n v="1"/>
    <s v="NO TIENE L3OUT"/>
    <n v="158"/>
    <n v="96"/>
  </r>
  <r>
    <n v="404"/>
    <x v="1"/>
    <x v="275"/>
    <s v="eth1/53"/>
    <x v="0"/>
    <x v="0"/>
    <x v="0"/>
    <m/>
    <x v="6"/>
    <b v="0"/>
    <s v="No está en VPC"/>
    <n v="404"/>
    <s v="NO EXISTE PG"/>
    <s v="NO EXISTE ISEL"/>
    <n v="0"/>
    <s v="NO TIENE L3OUT"/>
    <n v="92"/>
    <n v="96"/>
  </r>
  <r>
    <n v="167"/>
    <x v="0"/>
    <x v="276"/>
    <s v="eth1/53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53"/>
    <x v="0"/>
    <x v="0"/>
    <x v="0"/>
    <s v="eth0_ora01hpov_Primario"/>
    <x v="6"/>
    <b v="0"/>
    <s v="No está en VPC"/>
    <n v="428"/>
    <s v="INTPG_ACC_428_1.53"/>
    <s v="ISEL-1.53"/>
    <n v="1"/>
    <s v="NO TIENE L3OUT"/>
    <n v="102"/>
    <n v="96"/>
  </r>
  <r>
    <n v="128"/>
    <x v="0"/>
    <x v="0"/>
    <s v="eth1/54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54"/>
    <x v="0"/>
    <x v="1"/>
    <x v="3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54"/>
    <x v="0"/>
    <x v="1"/>
    <x v="3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54"/>
    <x v="0"/>
    <x v="1"/>
    <x v="3"/>
    <m/>
    <x v="0"/>
    <b v="0"/>
    <s v="No está en VPC"/>
    <n v="101"/>
    <s v="NO EXISTE PG"/>
    <s v="NO EXISTE ISEL"/>
    <n v="0"/>
    <s v="NO TIENE L3OUT"/>
    <n v="114"/>
    <n v="54"/>
  </r>
  <r>
    <n v="160"/>
    <x v="0"/>
    <x v="4"/>
    <s v="eth1/54"/>
    <x v="0"/>
    <x v="1"/>
    <x v="3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54"/>
    <x v="0"/>
    <x v="1"/>
    <x v="3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54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54"/>
    <x v="0"/>
    <x v="1"/>
    <x v="3"/>
    <m/>
    <x v="0"/>
    <b v="0"/>
    <s v="No está en VPC"/>
    <n v="401"/>
    <s v="NO EXISTE PG"/>
    <s v="NO EXISTE ISEL"/>
    <n v="0"/>
    <s v="NO TIENE L3OUT"/>
    <n v="40"/>
    <n v="54"/>
  </r>
  <r>
    <n v="402"/>
    <x v="1"/>
    <x v="8"/>
    <s v="eth1/54"/>
    <x v="0"/>
    <x v="1"/>
    <x v="3"/>
    <m/>
    <x v="0"/>
    <b v="0"/>
    <s v="No está en VPC"/>
    <n v="402"/>
    <s v="NO EXISTE PG"/>
    <s v="NO EXISTE ISEL"/>
    <n v="0"/>
    <s v="NO TIENE L3OUT"/>
    <n v="36"/>
    <n v="54"/>
  </r>
  <r>
    <n v="130"/>
    <x v="0"/>
    <x v="11"/>
    <s v="eth1/54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54"/>
    <x v="0"/>
    <x v="1"/>
    <x v="3"/>
    <m/>
    <x v="0"/>
    <b v="0"/>
    <s v="No está en VPC"/>
    <n v="150"/>
    <s v="NO EXISTE PG"/>
    <s v="NO EXISTE ISEL"/>
    <n v="0"/>
    <s v="NO TIENE L3OUT"/>
    <n v="118"/>
    <n v="54"/>
  </r>
  <r>
    <n v="131"/>
    <x v="0"/>
    <x v="13"/>
    <s v="eth1/54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424"/>
    <x v="1"/>
    <x v="18"/>
    <s v="eth1/54"/>
    <x v="0"/>
    <x v="1"/>
    <x v="3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54"/>
    <x v="1"/>
    <x v="1"/>
    <x v="3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54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54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54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54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54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54"/>
    <x v="1"/>
    <x v="1"/>
    <x v="3"/>
    <m/>
    <x v="0"/>
    <b v="0"/>
    <s v="No está en VPC"/>
    <n v="431"/>
    <s v="NO EXISTE PG"/>
    <s v="NO EXISTE ISEL"/>
    <n v="0"/>
    <s v="NO TIENE L3OUT"/>
    <n v="46"/>
    <n v="54"/>
  </r>
  <r>
    <n v="433"/>
    <x v="1"/>
    <x v="27"/>
    <s v="eth1/54"/>
    <x v="1"/>
    <x v="1"/>
    <x v="3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54"/>
    <x v="1"/>
    <x v="1"/>
    <x v="3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54"/>
    <x v="1"/>
    <x v="1"/>
    <x v="3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54"/>
    <x v="1"/>
    <x v="1"/>
    <x v="3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54"/>
    <x v="1"/>
    <x v="1"/>
    <x v="3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54"/>
    <x v="1"/>
    <x v="1"/>
    <x v="3"/>
    <m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54"/>
    <x v="1"/>
    <x v="1"/>
    <x v="3"/>
    <m/>
    <x v="0"/>
    <b v="0"/>
    <s v="No está en VPC"/>
    <n v="712"/>
    <s v="NO EXISTE PG"/>
    <s v="NO EXISTE ISEL"/>
    <n v="0"/>
    <s v="NO TIENE L3OUT"/>
    <n v="32"/>
    <n v="54"/>
  </r>
  <r>
    <n v="719"/>
    <x v="2"/>
    <x v="34"/>
    <s v="eth1/54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54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54"/>
    <x v="1"/>
    <x v="1"/>
    <x v="3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54"/>
    <x v="1"/>
    <x v="1"/>
    <x v="3"/>
    <m/>
    <x v="0"/>
    <b v="0"/>
    <s v="No está en VPC"/>
    <n v="711"/>
    <s v="NO EXISTE PG"/>
    <s v="NO EXISTE ISEL"/>
    <n v="0"/>
    <s v="NO TIENE L3OUT"/>
    <n v="16"/>
    <n v="54"/>
  </r>
  <r>
    <n v="716"/>
    <x v="2"/>
    <x v="38"/>
    <s v="eth1/54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54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54"/>
    <x v="1"/>
    <x v="1"/>
    <x v="3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54"/>
    <x v="0"/>
    <x v="1"/>
    <x v="3"/>
    <m/>
    <x v="0"/>
    <b v="0"/>
    <s v="No está en VPC"/>
    <n v="446"/>
    <s v="NO EXISTE PG"/>
    <s v="NO EXISTE ISEL"/>
    <n v="0"/>
    <s v="NO TIENE L3OUT"/>
    <n v="198"/>
    <n v="54"/>
  </r>
  <r>
    <n v="444"/>
    <x v="1"/>
    <x v="42"/>
    <s v="eth1/54"/>
    <x v="0"/>
    <x v="1"/>
    <x v="3"/>
    <m/>
    <x v="0"/>
    <b v="0"/>
    <s v="No está en VPC"/>
    <n v="444"/>
    <s v="NO EXISTE PG"/>
    <s v="NO EXISTE ISEL"/>
    <n v="0"/>
    <s v="NO TIENE L3OUT"/>
    <n v="234"/>
    <n v="54"/>
  </r>
  <r>
    <n v="701"/>
    <x v="2"/>
    <x v="43"/>
    <s v="eth1/54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54"/>
    <x v="1"/>
    <x v="1"/>
    <x v="3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54"/>
    <x v="1"/>
    <x v="1"/>
    <x v="3"/>
    <m/>
    <x v="0"/>
    <b v="0"/>
    <s v="No está en VPC"/>
    <n v="448"/>
    <s v="NO EXISTE PG"/>
    <s v="NO EXISTE ISEL"/>
    <n v="0"/>
    <s v="NO TIENE L3OUT"/>
    <n v="46"/>
    <n v="54"/>
  </r>
  <r>
    <n v="704"/>
    <x v="2"/>
    <x v="46"/>
    <s v="eth1/54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54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54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54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54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54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54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54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54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54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54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54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54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54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54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54"/>
    <x v="0"/>
    <x v="0"/>
    <x v="0"/>
    <s v="LINK_HACIA_SPINE"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54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54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54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54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54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54"/>
    <x v="1"/>
    <x v="1"/>
    <x v="3"/>
    <m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54"/>
    <x v="1"/>
    <x v="1"/>
    <x v="3"/>
    <m/>
    <x v="0"/>
    <b v="0"/>
    <s v="No está en VPC"/>
    <n v="780"/>
    <s v="NO EXISTE PG"/>
    <s v="NO EXISTE ISEL"/>
    <n v="0"/>
    <s v="NO TIENE L3OUT"/>
    <n v="26"/>
    <n v="54"/>
  </r>
  <r>
    <n v="812"/>
    <x v="2"/>
    <x v="70"/>
    <s v="eth1/54"/>
    <x v="1"/>
    <x v="1"/>
    <x v="3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54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54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54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54"/>
    <x v="0"/>
    <x v="1"/>
    <x v="3"/>
    <m/>
    <x v="0"/>
    <b v="0"/>
    <s v="No está en VPC"/>
    <n v="824"/>
    <s v="NO EXISTE PG"/>
    <s v="NO EXISTE ISEL"/>
    <n v="0"/>
    <s v="NO TIENE L3OUT"/>
    <n v="70"/>
    <n v="54"/>
  </r>
  <r>
    <n v="819"/>
    <x v="2"/>
    <x v="75"/>
    <s v="eth1/54"/>
    <x v="0"/>
    <x v="1"/>
    <x v="3"/>
    <m/>
    <x v="0"/>
    <b v="0"/>
    <s v="No está en VPC"/>
    <n v="819"/>
    <s v="NO EXISTE PG"/>
    <s v="NO EXISTE ISEL"/>
    <n v="0"/>
    <s v="NO TIENE L3OUT"/>
    <n v="70"/>
    <n v="54"/>
  </r>
  <r>
    <n v="737"/>
    <x v="2"/>
    <x v="76"/>
    <s v="eth1/54"/>
    <x v="0"/>
    <x v="0"/>
    <x v="0"/>
    <s v="LINK_HACIA_SPINE"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54"/>
    <x v="1"/>
    <x v="1"/>
    <x v="3"/>
    <m/>
    <x v="0"/>
    <b v="0"/>
    <s v="No está en VPC"/>
    <n v="844"/>
    <s v="NO EXISTE PG"/>
    <s v="NO EXISTE ISEL"/>
    <n v="0"/>
    <s v="NO TIENE L3OUT"/>
    <n v="282"/>
    <n v="54"/>
  </r>
  <r>
    <n v="843"/>
    <x v="2"/>
    <x v="78"/>
    <s v="eth1/54"/>
    <x v="1"/>
    <x v="1"/>
    <x v="3"/>
    <m/>
    <x v="0"/>
    <b v="0"/>
    <s v="No está en VPC"/>
    <n v="843"/>
    <s v="NO EXISTE PG"/>
    <s v="NO EXISTE ISEL"/>
    <n v="0"/>
    <s v="NO TIENE L3OUT"/>
    <n v="38"/>
    <n v="54"/>
  </r>
  <r>
    <n v="797"/>
    <x v="2"/>
    <x v="79"/>
    <s v="eth1/54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54"/>
    <x v="1"/>
    <x v="1"/>
    <x v="3"/>
    <m/>
    <x v="0"/>
    <b v="0"/>
    <s v="No está en VPC"/>
    <n v="839"/>
    <s v="NO EXISTE PG"/>
    <s v="NO EXISTE ISEL"/>
    <n v="0"/>
    <s v="NO TIENE L3OUT"/>
    <n v="0"/>
    <n v="54"/>
  </r>
  <r>
    <n v="847"/>
    <x v="2"/>
    <x v="81"/>
    <s v="eth1/54"/>
    <x v="1"/>
    <x v="1"/>
    <x v="3"/>
    <m/>
    <x v="0"/>
    <b v="0"/>
    <s v="No está en VPC"/>
    <n v="847"/>
    <s v="NO EXISTE PG"/>
    <s v="NO EXISTE ISEL"/>
    <n v="0"/>
    <s v="NO TIENE L3OUT"/>
    <n v="204"/>
    <n v="54"/>
  </r>
  <r>
    <n v="848"/>
    <x v="2"/>
    <x v="82"/>
    <s v="eth1/54"/>
    <x v="1"/>
    <x v="1"/>
    <x v="3"/>
    <m/>
    <x v="0"/>
    <b v="0"/>
    <s v="No está en VPC"/>
    <n v="848"/>
    <s v="NO EXISTE PG"/>
    <s v="NO EXISTE ISEL"/>
    <n v="0"/>
    <s v="NO TIENE L3OUT"/>
    <n v="254"/>
    <n v="54"/>
  </r>
  <r>
    <n v="846"/>
    <x v="2"/>
    <x v="83"/>
    <s v="eth1/54"/>
    <x v="1"/>
    <x v="1"/>
    <x v="3"/>
    <m/>
    <x v="0"/>
    <b v="0"/>
    <s v="No está en VPC"/>
    <n v="846"/>
    <s v="NO EXISTE PG"/>
    <s v="NO EXISTE ISEL"/>
    <n v="0"/>
    <s v="NO TIENE L3OUT"/>
    <n v="242"/>
    <n v="54"/>
  </r>
  <r>
    <n v="838"/>
    <x v="2"/>
    <x v="84"/>
    <s v="eth1/54"/>
    <x v="1"/>
    <x v="1"/>
    <x v="3"/>
    <m/>
    <x v="0"/>
    <b v="0"/>
    <s v="No está en VPC"/>
    <n v="838"/>
    <s v="NO EXISTE PG"/>
    <s v="NO EXISTE ISEL"/>
    <n v="0"/>
    <s v="NO TIENE L3OUT"/>
    <n v="38"/>
    <n v="54"/>
  </r>
  <r>
    <n v="849"/>
    <x v="2"/>
    <x v="85"/>
    <s v="eth1/54"/>
    <x v="1"/>
    <x v="1"/>
    <x v="3"/>
    <m/>
    <x v="0"/>
    <b v="0"/>
    <s v="No está en VPC"/>
    <n v="849"/>
    <s v="NO EXISTE PG"/>
    <s v="NO EXISTE ISEL"/>
    <n v="0"/>
    <s v="NO TIENE L3OUT"/>
    <n v="286"/>
    <n v="54"/>
  </r>
  <r>
    <n v="845"/>
    <x v="2"/>
    <x v="86"/>
    <s v="eth1/54"/>
    <x v="1"/>
    <x v="1"/>
    <x v="3"/>
    <m/>
    <x v="0"/>
    <b v="0"/>
    <s v="No está en VPC"/>
    <n v="845"/>
    <s v="NO EXISTE PG"/>
    <s v="NO EXISTE ISEL"/>
    <n v="0"/>
    <s v="NO TIENE L3OUT"/>
    <n v="258"/>
    <n v="54"/>
  </r>
  <r>
    <n v="873"/>
    <x v="2"/>
    <x v="87"/>
    <s v="eth1/54"/>
    <x v="1"/>
    <x v="1"/>
    <x v="3"/>
    <m/>
    <x v="0"/>
    <b v="0"/>
    <s v="No está en VPC"/>
    <n v="873"/>
    <s v="NO EXISTE PG"/>
    <s v="NO EXISTE ISEL"/>
    <n v="0"/>
    <s v="NO TIENE L3OUT"/>
    <n v="248"/>
    <n v="54"/>
  </r>
  <r>
    <n v="864"/>
    <x v="2"/>
    <x v="88"/>
    <s v="eth1/54"/>
    <x v="1"/>
    <x v="1"/>
    <x v="3"/>
    <m/>
    <x v="0"/>
    <b v="0"/>
    <s v="No está en VPC"/>
    <n v="864"/>
    <s v="NO EXISTE PG"/>
    <s v="NO EXISTE ISEL"/>
    <n v="0"/>
    <s v="NO TIENE L3OUT"/>
    <n v="0"/>
    <n v="54"/>
  </r>
  <r>
    <n v="836"/>
    <x v="2"/>
    <x v="89"/>
    <s v="eth1/54"/>
    <x v="1"/>
    <x v="1"/>
    <x v="3"/>
    <m/>
    <x v="0"/>
    <b v="0"/>
    <s v="No está en VPC"/>
    <n v="836"/>
    <s v="NO EXISTE PG"/>
    <s v="NO EXISTE ISEL"/>
    <n v="0"/>
    <s v="NO TIENE L3OUT"/>
    <n v="0"/>
    <n v="54"/>
  </r>
  <r>
    <n v="834"/>
    <x v="2"/>
    <x v="90"/>
    <s v="eth1/54"/>
    <x v="1"/>
    <x v="1"/>
    <x v="3"/>
    <m/>
    <x v="0"/>
    <b v="0"/>
    <s v="No está en VPC"/>
    <n v="834"/>
    <s v="NO EXISTE PG"/>
    <s v="NO EXISTE ISEL"/>
    <n v="0"/>
    <s v="NO TIENE L3OUT"/>
    <n v="0"/>
    <n v="54"/>
  </r>
  <r>
    <n v="872"/>
    <x v="2"/>
    <x v="91"/>
    <s v="eth1/54"/>
    <x v="1"/>
    <x v="1"/>
    <x v="3"/>
    <m/>
    <x v="0"/>
    <b v="0"/>
    <s v="No está en VPC"/>
    <n v="872"/>
    <s v="NO EXISTE PG"/>
    <s v="NO EXISTE ISEL"/>
    <n v="0"/>
    <s v="NO TIENE L3OUT"/>
    <n v="288"/>
    <n v="54"/>
  </r>
  <r>
    <n v="842"/>
    <x v="2"/>
    <x v="92"/>
    <s v="eth1/54"/>
    <x v="1"/>
    <x v="1"/>
    <x v="3"/>
    <m/>
    <x v="0"/>
    <b v="0"/>
    <s v="No está en VPC"/>
    <n v="842"/>
    <s v="NO EXISTE PG"/>
    <s v="NO EXISTE ISEL"/>
    <n v="0"/>
    <s v="NO TIENE L3OUT"/>
    <n v="8"/>
    <n v="54"/>
  </r>
  <r>
    <n v="828"/>
    <x v="2"/>
    <x v="93"/>
    <s v="eth1/54"/>
    <x v="1"/>
    <x v="1"/>
    <x v="3"/>
    <m/>
    <x v="0"/>
    <b v="0"/>
    <s v="No está en VPC"/>
    <n v="828"/>
    <s v="NO EXISTE PG"/>
    <s v="NO EXISTE ISEL"/>
    <n v="0"/>
    <s v="NO TIENE L3OUT"/>
    <n v="192"/>
    <n v="54"/>
  </r>
  <r>
    <n v="870"/>
    <x v="2"/>
    <x v="94"/>
    <s v="eth1/54"/>
    <x v="1"/>
    <x v="1"/>
    <x v="3"/>
    <m/>
    <x v="0"/>
    <b v="0"/>
    <s v="No está en VPC"/>
    <n v="870"/>
    <s v="NO EXISTE PG"/>
    <s v="NO EXISTE ISEL"/>
    <n v="0"/>
    <s v="NO TIENE L3OUT"/>
    <n v="248"/>
    <n v="54"/>
  </r>
  <r>
    <n v="866"/>
    <x v="2"/>
    <x v="95"/>
    <s v="eth1/54"/>
    <x v="1"/>
    <x v="1"/>
    <x v="3"/>
    <m/>
    <x v="0"/>
    <b v="0"/>
    <s v="No está en VPC"/>
    <n v="866"/>
    <s v="NO EXISTE PG"/>
    <s v="NO EXISTE ISEL"/>
    <n v="0"/>
    <s v="NO TIENE L3OUT"/>
    <n v="8"/>
    <n v="54"/>
  </r>
  <r>
    <n v="862"/>
    <x v="2"/>
    <x v="96"/>
    <s v="eth1/54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54"/>
    <x v="1"/>
    <x v="1"/>
    <x v="3"/>
    <m/>
    <x v="0"/>
    <b v="0"/>
    <s v="No está en VPC"/>
    <n v="855"/>
    <s v="NO EXISTE PG"/>
    <s v="NO EXISTE ISEL"/>
    <n v="0"/>
    <s v="NO TIENE L3OUT"/>
    <n v="254"/>
    <n v="54"/>
  </r>
  <r>
    <n v="871"/>
    <x v="2"/>
    <x v="98"/>
    <s v="eth1/54"/>
    <x v="1"/>
    <x v="1"/>
    <x v="3"/>
    <m/>
    <x v="0"/>
    <b v="0"/>
    <s v="No está en VPC"/>
    <n v="871"/>
    <s v="NO EXISTE PG"/>
    <s v="NO EXISTE ISEL"/>
    <n v="0"/>
    <s v="NO TIENE L3OUT"/>
    <n v="246"/>
    <n v="54"/>
  </r>
  <r>
    <n v="841"/>
    <x v="2"/>
    <x v="99"/>
    <s v="eth1/54"/>
    <x v="1"/>
    <x v="1"/>
    <x v="3"/>
    <m/>
    <x v="0"/>
    <b v="0"/>
    <s v="No está en VPC"/>
    <n v="841"/>
    <s v="NO EXISTE PG"/>
    <s v="NO EXISTE ISEL"/>
    <n v="0"/>
    <s v="NO TIENE L3OUT"/>
    <n v="0"/>
    <n v="54"/>
  </r>
  <r>
    <n v="868"/>
    <x v="2"/>
    <x v="100"/>
    <s v="eth1/54"/>
    <x v="1"/>
    <x v="1"/>
    <x v="3"/>
    <m/>
    <x v="0"/>
    <b v="0"/>
    <s v="No está en VPC"/>
    <n v="868"/>
    <s v="NO EXISTE PG"/>
    <s v="NO EXISTE ISEL"/>
    <n v="0"/>
    <s v="NO TIENE L3OUT"/>
    <n v="246"/>
    <n v="54"/>
  </r>
  <r>
    <n v="869"/>
    <x v="2"/>
    <x v="101"/>
    <s v="eth1/54"/>
    <x v="1"/>
    <x v="1"/>
    <x v="3"/>
    <m/>
    <x v="0"/>
    <b v="0"/>
    <s v="No está en VPC"/>
    <n v="869"/>
    <s v="NO EXISTE PG"/>
    <s v="NO EXISTE ISEL"/>
    <n v="0"/>
    <s v="NO TIENE L3OUT"/>
    <n v="288"/>
    <n v="54"/>
  </r>
  <r>
    <n v="861"/>
    <x v="2"/>
    <x v="102"/>
    <s v="eth1/54"/>
    <x v="1"/>
    <x v="1"/>
    <x v="3"/>
    <m/>
    <x v="0"/>
    <b v="0"/>
    <s v="No está en VPC"/>
    <n v="861"/>
    <s v="NO EXISTE PG"/>
    <s v="NO EXISTE ISEL"/>
    <n v="0"/>
    <s v="NO TIENE L3OUT"/>
    <n v="8"/>
    <n v="54"/>
  </r>
  <r>
    <n v="874"/>
    <x v="2"/>
    <x v="103"/>
    <s v="eth1/54"/>
    <x v="1"/>
    <x v="1"/>
    <x v="3"/>
    <m/>
    <x v="4"/>
    <b v="0"/>
    <s v="No está en VPC"/>
    <n v="874"/>
    <s v="NO EXISTE PG"/>
    <s v="NO EXISTE ISEL"/>
    <n v="0"/>
    <s v="NO TIENE L3OUT"/>
    <n v="92"/>
    <n v="54"/>
  </r>
  <r>
    <n v="865"/>
    <x v="2"/>
    <x v="104"/>
    <s v="eth1/54"/>
    <x v="1"/>
    <x v="1"/>
    <x v="3"/>
    <m/>
    <x v="0"/>
    <b v="0"/>
    <s v="No está en VPC"/>
    <n v="865"/>
    <s v="NO EXISTE PG"/>
    <s v="NO EXISTE ISEL"/>
    <n v="0"/>
    <s v="NO TIENE L3OUT"/>
    <n v="0"/>
    <n v="54"/>
  </r>
  <r>
    <n v="753"/>
    <x v="2"/>
    <x v="105"/>
    <s v="eth1/54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54"/>
    <x v="1"/>
    <x v="1"/>
    <x v="3"/>
    <m/>
    <x v="0"/>
    <b v="0"/>
    <s v="No está en VPC"/>
    <n v="708"/>
    <s v="NO EXISTE PG"/>
    <s v="NO EXISTE ISEL"/>
    <n v="0"/>
    <s v="NO TIENE L3OUT"/>
    <n v="0"/>
    <n v="54"/>
  </r>
  <r>
    <n v="710"/>
    <x v="2"/>
    <x v="107"/>
    <s v="eth1/54"/>
    <x v="1"/>
    <x v="1"/>
    <x v="3"/>
    <m/>
    <x v="0"/>
    <b v="0"/>
    <s v="No está en VPC"/>
    <n v="710"/>
    <s v="NO EXISTE PG"/>
    <s v="NO EXISTE ISEL"/>
    <n v="0"/>
    <s v="NO TIENE L3OUT"/>
    <n v="16"/>
    <n v="54"/>
  </r>
  <r>
    <n v="713"/>
    <x v="2"/>
    <x v="108"/>
    <s v="eth1/54"/>
    <x v="1"/>
    <x v="1"/>
    <x v="3"/>
    <m/>
    <x v="0"/>
    <b v="0"/>
    <s v="No está en VPC"/>
    <n v="713"/>
    <s v="NO EXISTE PG"/>
    <s v="NO EXISTE ISEL"/>
    <n v="0"/>
    <s v="NO TIENE L3OUT"/>
    <n v="32"/>
    <n v="54"/>
  </r>
  <r>
    <n v="735"/>
    <x v="2"/>
    <x v="109"/>
    <s v="eth1/54"/>
    <x v="0"/>
    <x v="0"/>
    <x v="0"/>
    <s v="LINK_HACIA_SPINE"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54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54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54"/>
    <x v="1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54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54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54"/>
    <x v="1"/>
    <x v="1"/>
    <x v="3"/>
    <m/>
    <x v="0"/>
    <b v="0"/>
    <s v="No está en VPC"/>
    <n v="826"/>
    <s v="NO EXISTE PG"/>
    <s v="NO EXISTE ISEL"/>
    <n v="0"/>
    <s v="NO TIENE L3OUT"/>
    <n v="12"/>
    <n v="54"/>
  </r>
  <r>
    <n v="726"/>
    <x v="2"/>
    <x v="117"/>
    <s v="eth1/54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54"/>
    <x v="0"/>
    <x v="0"/>
    <x v="0"/>
    <s v="LINK_HACIA_SPINE"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54"/>
    <x v="1"/>
    <x v="1"/>
    <x v="3"/>
    <m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54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54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54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54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54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54"/>
    <x v="1"/>
    <x v="1"/>
    <x v="3"/>
    <m/>
    <x v="0"/>
    <b v="0"/>
    <s v="No está en VPC"/>
    <n v="709"/>
    <s v="NO EXISTE PG"/>
    <s v="NO EXISTE ISEL"/>
    <n v="0"/>
    <s v="NO TIENE L3OUT"/>
    <n v="0"/>
    <n v="54"/>
  </r>
  <r>
    <n v="454"/>
    <x v="1"/>
    <x v="126"/>
    <s v="eth1/54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54"/>
    <x v="0"/>
    <x v="0"/>
    <x v="0"/>
    <s v="LINK_HACIA_SPINE"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54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54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54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54"/>
    <x v="0"/>
    <x v="0"/>
    <x v="0"/>
    <s v="LINK_HACIA_SPINE"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54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54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54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54"/>
    <x v="0"/>
    <x v="1"/>
    <x v="3"/>
    <m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54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54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54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54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54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54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54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54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54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54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54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54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54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54"/>
    <x v="1"/>
    <x v="1"/>
    <x v="3"/>
    <m/>
    <x v="0"/>
    <b v="0"/>
    <s v="No está en VPC"/>
    <n v="781"/>
    <s v="NO EXISTE PG"/>
    <s v="NO EXISTE ISEL"/>
    <n v="0"/>
    <s v="NO TIENE L3OUT"/>
    <n v="26"/>
    <n v="54"/>
  </r>
  <r>
    <n v="793"/>
    <x v="2"/>
    <x v="151"/>
    <s v="eth1/54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54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54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54"/>
    <x v="1"/>
    <x v="1"/>
    <x v="3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54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54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54"/>
    <x v="1"/>
    <x v="1"/>
    <x v="3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54"/>
    <x v="0"/>
    <x v="0"/>
    <x v="0"/>
    <s v="LINK_HACIA_SPINE"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54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54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54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54"/>
    <x v="1"/>
    <x v="1"/>
    <x v="3"/>
    <m/>
    <x v="0"/>
    <b v="0"/>
    <s v="No está en VPC"/>
    <n v="830"/>
    <s v="NO EXISTE PG"/>
    <s v="NO EXISTE ISEL"/>
    <n v="0"/>
    <s v="NO TIENE L3OUT"/>
    <n v="12"/>
    <n v="54"/>
  </r>
  <r>
    <n v="821"/>
    <x v="2"/>
    <x v="163"/>
    <s v="eth1/54"/>
    <x v="0"/>
    <x v="1"/>
    <x v="3"/>
    <m/>
    <x v="0"/>
    <b v="0"/>
    <s v="No está en VPC"/>
    <n v="821"/>
    <s v="NO EXISTE PG"/>
    <s v="NO EXISTE ISEL"/>
    <n v="0"/>
    <s v="NO TIENE L3OUT"/>
    <n v="0"/>
    <n v="54"/>
  </r>
  <r>
    <n v="738"/>
    <x v="2"/>
    <x v="164"/>
    <s v="eth1/54"/>
    <x v="0"/>
    <x v="0"/>
    <x v="0"/>
    <s v="LINK_HACIA_SPINE"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54"/>
    <x v="0"/>
    <x v="1"/>
    <x v="3"/>
    <m/>
    <x v="0"/>
    <b v="0"/>
    <s v="No está en VPC"/>
    <n v="820"/>
    <s v="NO EXISTE PG"/>
    <s v="NO EXISTE ISEL"/>
    <n v="0"/>
    <s v="NO TIENE L3OUT"/>
    <n v="72"/>
    <n v="54"/>
  </r>
  <r>
    <n v="804"/>
    <x v="2"/>
    <x v="166"/>
    <s v="eth1/54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54"/>
    <x v="1"/>
    <x v="1"/>
    <x v="3"/>
    <m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54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54"/>
    <x v="1"/>
    <x v="1"/>
    <x v="3"/>
    <m/>
    <x v="0"/>
    <b v="0"/>
    <s v="No está en VPC"/>
    <n v="827"/>
    <s v="NO EXISTE PG"/>
    <s v="NO EXISTE ISEL"/>
    <n v="0"/>
    <s v="NO TIENE L3OUT"/>
    <n v="14"/>
    <n v="54"/>
  </r>
  <r>
    <n v="809"/>
    <x v="2"/>
    <x v="170"/>
    <s v="eth1/54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54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54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54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54"/>
    <x v="1"/>
    <x v="1"/>
    <x v="3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54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54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54"/>
    <x v="1"/>
    <x v="1"/>
    <x v="3"/>
    <m/>
    <x v="0"/>
    <b v="0"/>
    <s v="No está en VPC"/>
    <n v="851"/>
    <s v="NO EXISTE PG"/>
    <s v="NO EXISTE ISEL"/>
    <n v="0"/>
    <s v="NO TIENE L3OUT"/>
    <n v="282"/>
    <n v="54"/>
  </r>
  <r>
    <n v="798"/>
    <x v="2"/>
    <x v="178"/>
    <s v="eth1/54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54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54"/>
    <x v="1"/>
    <x v="1"/>
    <x v="3"/>
    <m/>
    <x v="0"/>
    <b v="0"/>
    <s v="No está en VPC"/>
    <n v="852"/>
    <s v="NO EXISTE PG"/>
    <s v="NO EXISTE ISEL"/>
    <n v="0"/>
    <s v="NO TIENE L3OUT"/>
    <n v="258"/>
    <n v="54"/>
  </r>
  <r>
    <n v="817"/>
    <x v="2"/>
    <x v="181"/>
    <s v="eth1/54"/>
    <x v="1"/>
    <x v="1"/>
    <x v="3"/>
    <m/>
    <x v="0"/>
    <b v="0"/>
    <s v="No está en VPC"/>
    <n v="817"/>
    <s v="NO EXISTE PG"/>
    <s v="NO EXISTE ISEL"/>
    <n v="0"/>
    <s v="NO TIENE L3OUT"/>
    <n v="0"/>
    <n v="54"/>
  </r>
  <r>
    <n v="832"/>
    <x v="2"/>
    <x v="182"/>
    <s v="eth1/54"/>
    <x v="1"/>
    <x v="1"/>
    <x v="3"/>
    <m/>
    <x v="0"/>
    <b v="0"/>
    <s v="No está en VPC"/>
    <n v="832"/>
    <s v="NO EXISTE PG"/>
    <s v="NO EXISTE ISEL"/>
    <n v="0"/>
    <s v="NO TIENE L3OUT"/>
    <n v="192"/>
    <n v="54"/>
  </r>
  <r>
    <n v="816"/>
    <x v="2"/>
    <x v="183"/>
    <s v="eth1/54"/>
    <x v="0"/>
    <x v="1"/>
    <x v="3"/>
    <m/>
    <x v="0"/>
    <b v="0"/>
    <s v="No está en VPC"/>
    <n v="816"/>
    <s v="NO EXISTE PG"/>
    <s v="NO EXISTE ISEL"/>
    <n v="0"/>
    <s v="NO TIENE L3OUT"/>
    <n v="0"/>
    <n v="54"/>
  </r>
  <r>
    <n v="825"/>
    <x v="2"/>
    <x v="184"/>
    <s v="eth1/54"/>
    <x v="0"/>
    <x v="1"/>
    <x v="3"/>
    <m/>
    <x v="0"/>
    <b v="0"/>
    <s v="No está en VPC"/>
    <n v="825"/>
    <s v="NO EXISTE PG"/>
    <s v="NO EXISTE ISEL"/>
    <n v="0"/>
    <s v="NO TIENE L3OUT"/>
    <n v="72"/>
    <n v="54"/>
  </r>
  <r>
    <n v="800"/>
    <x v="2"/>
    <x v="185"/>
    <s v="eth1/54"/>
    <x v="1"/>
    <x v="1"/>
    <x v="3"/>
    <m/>
    <x v="0"/>
    <b v="0"/>
    <s v="No está en VPC"/>
    <n v="800"/>
    <s v="NO EXISTE PG"/>
    <s v="NO EXISTE ISEL"/>
    <n v="0"/>
    <s v="NO TIENE L3OUT"/>
    <n v="78"/>
    <n v="54"/>
  </r>
  <r>
    <n v="801"/>
    <x v="2"/>
    <x v="186"/>
    <s v="eth1/54"/>
    <x v="1"/>
    <x v="1"/>
    <x v="3"/>
    <m/>
    <x v="0"/>
    <b v="0"/>
    <s v="No está en VPC"/>
    <n v="801"/>
    <s v="NO EXISTE PG"/>
    <s v="NO EXISTE ISEL"/>
    <n v="0"/>
    <s v="NO TIENE L3OUT"/>
    <n v="78"/>
    <n v="54"/>
  </r>
  <r>
    <n v="823"/>
    <x v="2"/>
    <x v="187"/>
    <s v="eth1/54"/>
    <x v="0"/>
    <x v="1"/>
    <x v="3"/>
    <m/>
    <x v="0"/>
    <b v="0"/>
    <s v="No está en VPC"/>
    <n v="823"/>
    <s v="NO EXISTE PG"/>
    <s v="NO EXISTE ISEL"/>
    <n v="0"/>
    <s v="NO TIENE L3OUT"/>
    <n v="8"/>
    <n v="54"/>
  </r>
  <r>
    <n v="837"/>
    <x v="2"/>
    <x v="188"/>
    <s v="eth1/54"/>
    <x v="1"/>
    <x v="1"/>
    <x v="3"/>
    <m/>
    <x v="0"/>
    <b v="0"/>
    <s v="No está en VPC"/>
    <n v="837"/>
    <s v="NO EXISTE PG"/>
    <s v="NO EXISTE ISEL"/>
    <n v="0"/>
    <s v="NO TIENE L3OUT"/>
    <n v="8"/>
    <n v="54"/>
  </r>
  <r>
    <n v="867"/>
    <x v="2"/>
    <x v="189"/>
    <s v="eth1/54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54"/>
    <x v="1"/>
    <x v="1"/>
    <x v="3"/>
    <m/>
    <x v="0"/>
    <b v="0"/>
    <s v="No está en VPC"/>
    <n v="829"/>
    <s v="NO EXISTE PG"/>
    <s v="NO EXISTE ISEL"/>
    <n v="0"/>
    <s v="NO TIENE L3OUT"/>
    <n v="224"/>
    <n v="54"/>
  </r>
  <r>
    <n v="831"/>
    <x v="2"/>
    <x v="191"/>
    <s v="eth1/54"/>
    <x v="1"/>
    <x v="1"/>
    <x v="3"/>
    <m/>
    <x v="0"/>
    <b v="0"/>
    <s v="No está en VPC"/>
    <n v="831"/>
    <s v="NO EXISTE PG"/>
    <s v="NO EXISTE ISEL"/>
    <n v="0"/>
    <s v="NO TIENE L3OUT"/>
    <n v="14"/>
    <n v="54"/>
  </r>
  <r>
    <n v="802"/>
    <x v="2"/>
    <x v="192"/>
    <s v="eth1/54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54"/>
    <x v="1"/>
    <x v="1"/>
    <x v="3"/>
    <m/>
    <x v="0"/>
    <b v="0"/>
    <s v="No está en VPC"/>
    <n v="835"/>
    <s v="NO EXISTE PG"/>
    <s v="NO EXISTE ISEL"/>
    <n v="0"/>
    <s v="NO TIENE L3OUT"/>
    <n v="8"/>
    <n v="54"/>
  </r>
  <r>
    <n v="822"/>
    <x v="2"/>
    <x v="194"/>
    <s v="eth1/54"/>
    <x v="0"/>
    <x v="1"/>
    <x v="3"/>
    <m/>
    <x v="0"/>
    <b v="0"/>
    <s v="No está en VPC"/>
    <n v="822"/>
    <s v="NO EXISTE PG"/>
    <s v="NO EXISTE ISEL"/>
    <n v="0"/>
    <s v="NO TIENE L3OUT"/>
    <n v="0"/>
    <n v="54"/>
  </r>
  <r>
    <n v="854"/>
    <x v="2"/>
    <x v="195"/>
    <s v="eth1/54"/>
    <x v="1"/>
    <x v="1"/>
    <x v="3"/>
    <m/>
    <x v="0"/>
    <b v="0"/>
    <s v="No está en VPC"/>
    <n v="854"/>
    <s v="NO EXISTE PG"/>
    <s v="NO EXISTE ISEL"/>
    <n v="0"/>
    <s v="NO TIENE L3OUT"/>
    <n v="204"/>
    <n v="54"/>
  </r>
  <r>
    <n v="858"/>
    <x v="2"/>
    <x v="196"/>
    <s v="eth1/54"/>
    <x v="1"/>
    <x v="1"/>
    <x v="3"/>
    <m/>
    <x v="0"/>
    <b v="0"/>
    <s v="No está en VPC"/>
    <n v="858"/>
    <s v="NO EXISTE PG"/>
    <s v="NO EXISTE ISEL"/>
    <n v="0"/>
    <s v="NO TIENE L3OUT"/>
    <n v="8"/>
    <n v="54"/>
  </r>
  <r>
    <n v="857"/>
    <x v="2"/>
    <x v="197"/>
    <s v="eth1/54"/>
    <x v="1"/>
    <x v="1"/>
    <x v="3"/>
    <m/>
    <x v="0"/>
    <b v="0"/>
    <s v="No está en VPC"/>
    <n v="857"/>
    <s v="NO EXISTE PG"/>
    <s v="NO EXISTE ISEL"/>
    <n v="0"/>
    <s v="NO TIENE L3OUT"/>
    <n v="288"/>
    <n v="54"/>
  </r>
  <r>
    <n v="859"/>
    <x v="2"/>
    <x v="198"/>
    <s v="eth1/54"/>
    <x v="1"/>
    <x v="1"/>
    <x v="3"/>
    <m/>
    <x v="0"/>
    <b v="0"/>
    <s v="No está en VPC"/>
    <n v="859"/>
    <s v="NO EXISTE PG"/>
    <s v="NO EXISTE ISEL"/>
    <n v="0"/>
    <s v="NO TIENE L3OUT"/>
    <n v="0"/>
    <n v="54"/>
  </r>
  <r>
    <n v="833"/>
    <x v="2"/>
    <x v="199"/>
    <s v="eth1/54"/>
    <x v="1"/>
    <x v="1"/>
    <x v="3"/>
    <m/>
    <x v="0"/>
    <b v="0"/>
    <s v="No está en VPC"/>
    <n v="833"/>
    <s v="NO EXISTE PG"/>
    <s v="NO EXISTE ISEL"/>
    <n v="0"/>
    <s v="NO TIENE L3OUT"/>
    <n v="224"/>
    <n v="54"/>
  </r>
  <r>
    <n v="818"/>
    <x v="2"/>
    <x v="200"/>
    <s v="eth1/54"/>
    <x v="0"/>
    <x v="1"/>
    <x v="3"/>
    <m/>
    <x v="0"/>
    <b v="0"/>
    <s v="No está en VPC"/>
    <n v="818"/>
    <s v="NO EXISTE PG"/>
    <s v="NO EXISTE ISEL"/>
    <n v="0"/>
    <s v="NO TIENE L3OUT"/>
    <n v="8"/>
    <n v="54"/>
  </r>
  <r>
    <n v="850"/>
    <x v="2"/>
    <x v="201"/>
    <s v="eth1/54"/>
    <x v="1"/>
    <x v="1"/>
    <x v="3"/>
    <m/>
    <x v="0"/>
    <b v="0"/>
    <s v="No está en VPC"/>
    <n v="850"/>
    <s v="NO EXISTE PG"/>
    <s v="NO EXISTE ISEL"/>
    <n v="0"/>
    <s v="NO TIENE L3OUT"/>
    <n v="288"/>
    <n v="54"/>
  </r>
  <r>
    <n v="860"/>
    <x v="2"/>
    <x v="202"/>
    <s v="eth1/54"/>
    <x v="1"/>
    <x v="1"/>
    <x v="3"/>
    <m/>
    <x v="0"/>
    <b v="0"/>
    <s v="No está en VPC"/>
    <n v="860"/>
    <s v="NO EXISTE PG"/>
    <s v="NO EXISTE ISEL"/>
    <n v="0"/>
    <s v="NO TIENE L3OUT"/>
    <n v="0"/>
    <n v="54"/>
  </r>
  <r>
    <n v="853"/>
    <x v="2"/>
    <x v="203"/>
    <s v="eth1/54"/>
    <x v="1"/>
    <x v="1"/>
    <x v="3"/>
    <m/>
    <x v="0"/>
    <b v="0"/>
    <s v="No está en VPC"/>
    <n v="853"/>
    <s v="NO EXISTE PG"/>
    <s v="NO EXISTE ISEL"/>
    <n v="0"/>
    <s v="NO TIENE L3OUT"/>
    <n v="242"/>
    <n v="54"/>
  </r>
  <r>
    <n v="790"/>
    <x v="2"/>
    <x v="204"/>
    <s v="eth1/54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54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54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54"/>
    <x v="0"/>
    <x v="1"/>
    <x v="1"/>
    <s v="CISCO ANA 01 EHEALTH"/>
    <x v="6"/>
    <b v="0"/>
    <s v="No está en VPC"/>
    <n v="104"/>
    <s v="INTPG_ACC_104_1.54"/>
    <s v="ISEL-1.54"/>
    <n v="1"/>
    <s v="NO TIENE L3OUT"/>
    <n v="194"/>
    <n v="96"/>
  </r>
  <r>
    <n v="158"/>
    <x v="0"/>
    <x v="208"/>
    <s v="eth1/54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54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54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54"/>
    <x v="0"/>
    <x v="0"/>
    <x v="0"/>
    <s v="DESC"/>
    <x v="6"/>
    <b v="0"/>
    <s v="No está en VPC"/>
    <n v="108"/>
    <s v="INTPG_PC_108_1.53-54"/>
    <s v="ISEL-1.54"/>
    <n v="1"/>
    <s v="NO TIENE L3OUT"/>
    <n v="126"/>
    <n v="96"/>
  </r>
  <r>
    <n v="112"/>
    <x v="0"/>
    <x v="212"/>
    <s v="eth1/54"/>
    <x v="0"/>
    <x v="1"/>
    <x v="1"/>
    <s v="SAPCCRATING09"/>
    <x v="6"/>
    <b v="0"/>
    <s v="No está en VPC"/>
    <n v="112"/>
    <s v="INTPG_VPC_112_1.54_114_1.51"/>
    <s v="ISEL-1.54"/>
    <n v="1"/>
    <s v="NO TIENE L3OUT"/>
    <n v="144"/>
    <n v="96"/>
  </r>
  <r>
    <n v="107"/>
    <x v="0"/>
    <x v="213"/>
    <s v="eth1/54"/>
    <x v="0"/>
    <x v="0"/>
    <x v="0"/>
    <s v="COMISIONES"/>
    <x v="6"/>
    <b v="0"/>
    <s v="No está en VPC"/>
    <n v="107"/>
    <s v="INTPG_ACC_107_1.54"/>
    <s v="ISEL-1.54"/>
    <n v="1"/>
    <s v="NO TIENE L3OUT"/>
    <n v="118"/>
    <n v="96"/>
  </r>
  <r>
    <n v="109"/>
    <x v="0"/>
    <x v="214"/>
    <s v="eth1/54"/>
    <x v="1"/>
    <x v="1"/>
    <x v="2"/>
    <s v="OBIE_1-2"/>
    <x v="6"/>
    <b v="0"/>
    <s v="No está en VPC"/>
    <n v="109"/>
    <s v="INTPG_ACC_109_1.54"/>
    <s v="ISEL-1.54"/>
    <n v="1"/>
    <s v="NO TIENE L3OUT"/>
    <n v="126"/>
    <n v="96"/>
  </r>
  <r>
    <n v="113"/>
    <x v="0"/>
    <x v="215"/>
    <s v="eth1/54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54"/>
    <x v="0"/>
    <x v="1"/>
    <x v="1"/>
    <s v="SAPCC-TO- SAPCCRATING12_CLIENT1"/>
    <x v="6"/>
    <b v="0"/>
    <s v="No está en VPC"/>
    <n v="114"/>
    <s v="INTPG_VPC_112_1.57_114_1.54"/>
    <s v="ISEL-1.54"/>
    <n v="1"/>
    <s v="NO TIENE L3OUT"/>
    <n v="144"/>
    <n v="96"/>
  </r>
  <r>
    <n v="124"/>
    <x v="0"/>
    <x v="217"/>
    <s v="eth1/54"/>
    <x v="1"/>
    <x v="1"/>
    <x v="2"/>
    <s v="CIRCULO Azul(UXCA)"/>
    <x v="6"/>
    <b v="0"/>
    <s v="No está en VPC"/>
    <n v="124"/>
    <s v="INTPG_ACC_124_1.54"/>
    <s v="ISEL-1.54"/>
    <n v="1"/>
    <s v="NO TIENE L3OUT"/>
    <n v="80"/>
    <n v="96"/>
  </r>
  <r>
    <n v="118"/>
    <x v="0"/>
    <x v="218"/>
    <s v="eth1/54"/>
    <x v="0"/>
    <x v="1"/>
    <x v="1"/>
    <s v="USSD TANGO"/>
    <x v="6"/>
    <b v="0"/>
    <s v="No está en VPC"/>
    <n v="118"/>
    <s v="INTPG_ACC_118_1.54"/>
    <s v="ISEL-1.54"/>
    <n v="1"/>
    <s v="NO TIENE L3OUT"/>
    <n v="180"/>
    <n v="96"/>
  </r>
  <r>
    <n v="159"/>
    <x v="0"/>
    <x v="219"/>
    <s v="eth1/54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54"/>
    <x v="1"/>
    <x v="1"/>
    <x v="3"/>
    <m/>
    <x v="0"/>
    <b v="0"/>
    <s v="No está en VPC"/>
    <n v="840"/>
    <s v="NO EXISTE PG"/>
    <s v="NO EXISTE ISEL"/>
    <n v="0"/>
    <s v="NO TIENE L3OUT"/>
    <n v="8"/>
    <n v="54"/>
  </r>
  <r>
    <n v="856"/>
    <x v="2"/>
    <x v="221"/>
    <s v="eth1/54"/>
    <x v="1"/>
    <x v="1"/>
    <x v="3"/>
    <m/>
    <x v="0"/>
    <b v="0"/>
    <s v="No está en VPC"/>
    <n v="856"/>
    <s v="NO EXISTE PG"/>
    <s v="NO EXISTE ISEL"/>
    <n v="0"/>
    <s v="NO TIENE L3OUT"/>
    <n v="286"/>
    <n v="54"/>
  </r>
  <r>
    <n v="110"/>
    <x v="0"/>
    <x v="222"/>
    <s v="eth1/54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54"/>
    <x v="1"/>
    <x v="1"/>
    <x v="2"/>
    <s v="CELCITE"/>
    <x v="6"/>
    <b v="0"/>
    <s v="No está en VPC"/>
    <n v="163"/>
    <s v="INTPG_ACC_163_1.54"/>
    <s v="ISEL-1.54"/>
    <n v="1"/>
    <s v="NO TIENE L3OUT"/>
    <n v="140"/>
    <n v="96"/>
  </r>
  <r>
    <n v="407"/>
    <x v="1"/>
    <x v="224"/>
    <s v="eth1/54"/>
    <x v="0"/>
    <x v="0"/>
    <x v="0"/>
    <s v="TO-ITHFDEOCP1LMT01-PRINCIPAL"/>
    <x v="6"/>
    <b v="0"/>
    <s v="No está en VPC"/>
    <n v="407"/>
    <s v="INTPG_ACC_407_1.54"/>
    <s v="ISEL-1.54"/>
    <n v="1"/>
    <s v="NO TIENE L3OUT"/>
    <n v="122"/>
    <n v="96"/>
  </r>
  <r>
    <n v="171"/>
    <x v="0"/>
    <x v="225"/>
    <s v="eth1/54"/>
    <x v="1"/>
    <x v="1"/>
    <x v="2"/>
    <s v="SRS (Speedy Rating System)"/>
    <x v="6"/>
    <b v="0"/>
    <s v="No está en VPC"/>
    <n v="171"/>
    <s v="INTPG_ACC_171_1.54"/>
    <s v="ISEL-1.54"/>
    <n v="1"/>
    <s v="NO TIENE L3OUT"/>
    <n v="114"/>
    <n v="96"/>
  </r>
  <r>
    <n v="421"/>
    <x v="1"/>
    <x v="226"/>
    <s v="eth1/54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54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54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54"/>
    <x v="0"/>
    <x v="0"/>
    <x v="0"/>
    <s v="SRS (Speedy Rating System)"/>
    <x v="6"/>
    <b v="0"/>
    <s v="No está en VPC"/>
    <n v="172"/>
    <s v="INTPG_ACC_172_1.54"/>
    <s v="ISEL-1.54"/>
    <n v="1"/>
    <s v="NO TIENE L3OUT"/>
    <n v="104"/>
    <n v="96"/>
  </r>
  <r>
    <n v="420"/>
    <x v="1"/>
    <x v="230"/>
    <s v="eth1/54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54"/>
    <x v="0"/>
    <x v="0"/>
    <x v="0"/>
    <s v="HP Proliant DL380p(c)"/>
    <x v="6"/>
    <b v="0"/>
    <s v="No está en VPC"/>
    <n v="423"/>
    <s v="INTPG_ACC_423_1.54"/>
    <s v="ISEL-1.54"/>
    <n v="1"/>
    <s v="NO TIENE L3OUT"/>
    <n v="86"/>
    <n v="96"/>
  </r>
  <r>
    <n v="415"/>
    <x v="1"/>
    <x v="232"/>
    <s v="eth1/54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54"/>
    <x v="0"/>
    <x v="0"/>
    <x v="0"/>
    <s v="PORTALES:SFPORP01:E8-1"/>
    <x v="6"/>
    <b v="0"/>
    <s v="No está en VPC"/>
    <n v="102"/>
    <s v="INTPG_ACC_102_1.54"/>
    <s v="ISEL-1.54"/>
    <n v="1"/>
    <s v="NO TIENE L3OUT"/>
    <n v="228"/>
    <n v="96"/>
  </r>
  <r>
    <n v="863"/>
    <x v="2"/>
    <x v="234"/>
    <s v="eth1/54"/>
    <x v="1"/>
    <x v="1"/>
    <x v="3"/>
    <m/>
    <x v="0"/>
    <b v="0"/>
    <s v="No está en VPC"/>
    <n v="863"/>
    <s v="NO EXISTE PG"/>
    <s v="NO EXISTE ISEL"/>
    <n v="0"/>
    <s v="NO TIENE L3OUT"/>
    <n v="8"/>
    <n v="54"/>
  </r>
  <r>
    <n v="876"/>
    <x v="2"/>
    <x v="235"/>
    <s v="eth1/54"/>
    <x v="1"/>
    <x v="1"/>
    <x v="3"/>
    <m/>
    <x v="4"/>
    <b v="0"/>
    <s v="No está en VPC"/>
    <n v="876"/>
    <s v="NO EXISTE PG"/>
    <s v="NO EXISTE ISEL"/>
    <n v="0"/>
    <s v="NO TIENE L3OUT"/>
    <n v="92"/>
    <n v="54"/>
  </r>
  <r>
    <n v="877"/>
    <x v="2"/>
    <x v="236"/>
    <s v="eth1/54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54"/>
    <x v="0"/>
    <x v="0"/>
    <x v="0"/>
    <s v="ASEGING"/>
    <x v="6"/>
    <b v="0"/>
    <s v="No está en VPC"/>
    <n v="122"/>
    <s v="INTPG_ACC_122_1.54"/>
    <s v="ISEL-1.54"/>
    <n v="1"/>
    <s v="NO TIENE L3OUT"/>
    <n v="148"/>
    <n v="96"/>
  </r>
  <r>
    <n v="157"/>
    <x v="0"/>
    <x v="238"/>
    <s v="eth1/54"/>
    <x v="0"/>
    <x v="0"/>
    <x v="0"/>
    <s v="UXINGE"/>
    <x v="6"/>
    <b v="0"/>
    <s v="No está en VPC"/>
    <n v="157"/>
    <s v="INTPG_ACC_157_1.54"/>
    <s v="ISEL-1.54"/>
    <n v="1"/>
    <s v="NO TIENE L3OUT"/>
    <n v="202"/>
    <n v="96"/>
  </r>
  <r>
    <n v="408"/>
    <x v="1"/>
    <x v="239"/>
    <s v="eth1/54"/>
    <x v="0"/>
    <x v="0"/>
    <x v="0"/>
    <s v="DESC"/>
    <x v="6"/>
    <b v="0"/>
    <s v="No está en VPC"/>
    <n v="408"/>
    <s v="INTPG_PC_408_1.53-54"/>
    <s v="ISEL-1.54"/>
    <n v="1"/>
    <s v="NO TIENE L3OUT"/>
    <n v="152"/>
    <n v="96"/>
  </r>
  <r>
    <n v="405"/>
    <x v="1"/>
    <x v="240"/>
    <s v="eth1/54"/>
    <x v="0"/>
    <x v="0"/>
    <x v="0"/>
    <s v="CCURE_9000"/>
    <x v="6"/>
    <b v="0"/>
    <s v="No está en VPC"/>
    <n v="405"/>
    <s v="INTPG_ACC_405_1.54"/>
    <s v="ISEL-1.54"/>
    <n v="1"/>
    <s v="NO TIENE L3OUT"/>
    <n v="138"/>
    <n v="96"/>
  </r>
  <r>
    <n v="169"/>
    <x v="0"/>
    <x v="241"/>
    <s v="eth1/54"/>
    <x v="0"/>
    <x v="0"/>
    <x v="0"/>
    <s v="TO-ITHFDENBURMS05"/>
    <x v="6"/>
    <b v="0"/>
    <s v="No está en VPC"/>
    <n v="169"/>
    <s v="INTPG_VPC_167_1.50_169_1.54"/>
    <s v="ISEL-1.54"/>
    <n v="1"/>
    <s v="NO TIENE L3OUT"/>
    <n v="76"/>
    <n v="96"/>
  </r>
  <r>
    <n v="165"/>
    <x v="0"/>
    <x v="242"/>
    <s v="eth1/54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54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54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54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54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54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54"/>
    <x v="0"/>
    <x v="0"/>
    <x v="0"/>
    <s v="P8000_PTO_2"/>
    <x v="6"/>
    <b v="0"/>
    <s v="No está en VPC"/>
    <n v="438"/>
    <s v="INTPG_ACC_438_1.54"/>
    <s v="ISEL-1.54"/>
    <n v="1"/>
    <s v="NO TIENE L3OUT"/>
    <n v="170"/>
    <n v="96"/>
  </r>
  <r>
    <n v="406"/>
    <x v="1"/>
    <x v="249"/>
    <s v="eth1/54"/>
    <x v="0"/>
    <x v="0"/>
    <x v="0"/>
    <s v="DESC"/>
    <x v="6"/>
    <b v="0"/>
    <s v="No está en VPC"/>
    <n v="406"/>
    <s v="INTPG_PC_406_1.53-54"/>
    <s v="ISEL-1.54"/>
    <n v="1"/>
    <s v="NO TIENE L3OUT"/>
    <n v="82"/>
    <n v="96"/>
  </r>
  <r>
    <n v="414"/>
    <x v="1"/>
    <x v="250"/>
    <s v="eth1/54"/>
    <x v="0"/>
    <x v="0"/>
    <x v="0"/>
    <s v="ODA2"/>
    <x v="6"/>
    <b v="0"/>
    <s v="No está en VPC"/>
    <n v="414"/>
    <s v="INTPG_ACC_414_1.54"/>
    <s v="ISEL-1.54"/>
    <n v="1"/>
    <s v="NO TIENE L3OUT"/>
    <n v="144"/>
    <n v="96"/>
  </r>
  <r>
    <n v="416"/>
    <x v="1"/>
    <x v="251"/>
    <s v="eth1/54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54"/>
    <x v="0"/>
    <x v="0"/>
    <x v="0"/>
    <s v="IXTSD971A"/>
    <x v="6"/>
    <b v="0"/>
    <s v="No está en VPC"/>
    <n v="418"/>
    <s v="INTPG_ACC_418_1.54"/>
    <s v="ISEL-1.54"/>
    <n v="1"/>
    <s v="NO TIENE L3OUT"/>
    <n v="152"/>
    <n v="96"/>
  </r>
  <r>
    <n v="413"/>
    <x v="1"/>
    <x v="253"/>
    <s v="eth1/54"/>
    <x v="0"/>
    <x v="0"/>
    <x v="0"/>
    <s v="To-uxingemc4 ldom3 uxinghdr6"/>
    <x v="6"/>
    <b v="0"/>
    <s v="No está en VPC"/>
    <n v="413"/>
    <s v="INTPG_ACC_413_1.54"/>
    <s v="ISEL-1.54"/>
    <n v="1"/>
    <s v="NO TIENE L3OUT"/>
    <n v="126"/>
    <n v="96"/>
  </r>
  <r>
    <n v="403"/>
    <x v="1"/>
    <x v="254"/>
    <s v="eth1/54"/>
    <x v="0"/>
    <x v="0"/>
    <x v="0"/>
    <s v="CCURE_9000"/>
    <x v="6"/>
    <b v="0"/>
    <s v="No está en VPC"/>
    <n v="403"/>
    <s v="INTPG_ACC_403_1.54"/>
    <s v="ISEL-1.54"/>
    <n v="1"/>
    <s v="NO TIENE L3OUT"/>
    <n v="150"/>
    <n v="96"/>
  </r>
  <r>
    <n v="125"/>
    <x v="0"/>
    <x v="255"/>
    <s v="eth1/54"/>
    <x v="0"/>
    <x v="0"/>
    <x v="0"/>
    <s v="IXTCDRLON"/>
    <x v="6"/>
    <b v="0"/>
    <s v="No está en VPC"/>
    <n v="125"/>
    <s v="INTPG_ACC_125_1.54"/>
    <s v="ISEL-1.54"/>
    <n v="1"/>
    <s v="NO TIENE L3OUT"/>
    <n v="72"/>
    <n v="96"/>
  </r>
  <r>
    <n v="166"/>
    <x v="0"/>
    <x v="256"/>
    <s v="eth1/54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54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54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54"/>
    <x v="0"/>
    <x v="0"/>
    <x v="0"/>
    <s v="COMISIONES"/>
    <x v="6"/>
    <b v="0"/>
    <s v="No está en VPC"/>
    <n v="106"/>
    <s v="INTPG_ACC_106_1.54"/>
    <s v="ISEL-1.54"/>
    <n v="1"/>
    <s v="NO TIENE L3OUT"/>
    <n v="122"/>
    <n v="96"/>
  </r>
  <r>
    <n v="126"/>
    <x v="0"/>
    <x v="260"/>
    <s v="eth1/54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54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54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54"/>
    <x v="0"/>
    <x v="0"/>
    <x v="0"/>
    <s v="TO-sfdacd04-NET2"/>
    <x v="6"/>
    <b v="0"/>
    <s v="No está en VPC"/>
    <n v="430"/>
    <s v="INTPG_ACC_430_1.54"/>
    <s v="ISEL-1.54"/>
    <n v="1"/>
    <s v="NO TIENE L3OUT"/>
    <n v="86"/>
    <n v="96"/>
  </r>
  <r>
    <n v="419"/>
    <x v="1"/>
    <x v="264"/>
    <s v="eth1/54"/>
    <x v="0"/>
    <x v="0"/>
    <x v="0"/>
    <s v="SPECSERVER1_VMOTION1"/>
    <x v="6"/>
    <b v="0"/>
    <s v="No está en VPC"/>
    <n v="419"/>
    <s v="INTPG_ACC_419_1.54"/>
    <s v="ISEL-1.54"/>
    <n v="1"/>
    <s v="NO TIENE L3OUT"/>
    <n v="70"/>
    <n v="96"/>
  </r>
  <r>
    <n v="155"/>
    <x v="0"/>
    <x v="265"/>
    <s v="eth1/54"/>
    <x v="0"/>
    <x v="0"/>
    <x v="0"/>
    <s v="PORTAL CAUTIVO"/>
    <x v="6"/>
    <b v="0"/>
    <s v="No está en VPC"/>
    <n v="155"/>
    <s v="INTPG_ACC_155_1.54"/>
    <s v="ISEL-1.54"/>
    <n v="1"/>
    <s v="NO TIENE L3OUT"/>
    <n v="198"/>
    <n v="96"/>
  </r>
  <r>
    <n v="409"/>
    <x v="1"/>
    <x v="266"/>
    <s v="eth1/54"/>
    <x v="0"/>
    <x v="0"/>
    <x v="0"/>
    <s v="TO-ITHFDEOCP1LMT01-REDUNDANTE"/>
    <x v="6"/>
    <b v="0"/>
    <s v="No está en VPC"/>
    <n v="409"/>
    <s v="INTPG_ACC_409_1.54"/>
    <s v="ISEL-1.54"/>
    <n v="1"/>
    <s v="NO TIENE L3OUT"/>
    <n v="128"/>
    <n v="96"/>
  </r>
  <r>
    <n v="422"/>
    <x v="1"/>
    <x v="267"/>
    <s v="eth1/54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54"/>
    <x v="0"/>
    <x v="0"/>
    <x v="0"/>
    <s v="TC3_ithmomce1_VC1_X5"/>
    <x v="6"/>
    <b v="0"/>
    <s v="No está en VPC"/>
    <n v="436"/>
    <s v="INTPG_ACC_436_1.54"/>
    <s v="ISEL-1.54"/>
    <n v="7"/>
    <s v="NO TIENE L3OUT"/>
    <n v="172"/>
    <n v="96"/>
  </r>
  <r>
    <n v="410"/>
    <x v="1"/>
    <x v="269"/>
    <s v="eth1/54"/>
    <x v="0"/>
    <x v="0"/>
    <x v="0"/>
    <s v="ITHRTC11VC2X4"/>
    <x v="6"/>
    <b v="0"/>
    <s v="No está en VPC"/>
    <n v="410"/>
    <s v="INTPG_ACC_410_1.54"/>
    <s v="ISEL-1.54"/>
    <n v="1"/>
    <s v="NO TIENE L3OUT"/>
    <n v="178"/>
    <n v="96"/>
  </r>
  <r>
    <n v="161"/>
    <x v="0"/>
    <x v="270"/>
    <s v="eth1/54"/>
    <x v="0"/>
    <x v="1"/>
    <x v="1"/>
    <s v="MULTIMEDIACION"/>
    <x v="6"/>
    <b v="0"/>
    <s v="No está en VPC"/>
    <n v="161"/>
    <s v="INTPG_ACC_161_1.54"/>
    <s v="ISEL-1.54"/>
    <n v="1"/>
    <s v="NO TIENE L3OUT"/>
    <n v="102"/>
    <n v="96"/>
  </r>
  <r>
    <n v="411"/>
    <x v="1"/>
    <x v="271"/>
    <s v="eth1/54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54"/>
    <x v="0"/>
    <x v="1"/>
    <x v="1"/>
    <s v="NOTIFICATION SERVER TANGO"/>
    <x v="6"/>
    <b v="0"/>
    <s v="No está en VPC"/>
    <n v="116"/>
    <s v="INTPG_ACC_116_1.54"/>
    <s v="ISEL-1.54"/>
    <n v="1"/>
    <s v="NO TIENE L3OUT"/>
    <n v="148"/>
    <n v="96"/>
  </r>
  <r>
    <n v="412"/>
    <x v="1"/>
    <x v="273"/>
    <s v="eth1/54"/>
    <x v="0"/>
    <x v="0"/>
    <x v="0"/>
    <s v="ITHRTC51VC2X4"/>
    <x v="6"/>
    <b v="0"/>
    <s v="No está en VPC"/>
    <n v="412"/>
    <s v="INTPG_ACC_412_1.54"/>
    <s v="ISEL-1.54"/>
    <n v="1"/>
    <s v="NO TIENE L3OUT"/>
    <n v="126"/>
    <n v="96"/>
  </r>
  <r>
    <n v="120"/>
    <x v="0"/>
    <x v="274"/>
    <s v="eth1/54"/>
    <x v="0"/>
    <x v="0"/>
    <x v="0"/>
    <s v="IXTTRAP-ETL"/>
    <x v="6"/>
    <b v="0"/>
    <s v="No está en VPC"/>
    <n v="120"/>
    <s v="INTPG_ACC_120_1.54"/>
    <s v="ISEL-1.54"/>
    <n v="1"/>
    <s v="NO TIENE L3OUT"/>
    <n v="158"/>
    <n v="96"/>
  </r>
  <r>
    <n v="404"/>
    <x v="1"/>
    <x v="275"/>
    <s v="eth1/54"/>
    <x v="0"/>
    <x v="0"/>
    <x v="0"/>
    <m/>
    <x v="6"/>
    <b v="0"/>
    <s v="No está en VPC"/>
    <n v="404"/>
    <s v="NO EXISTE PG"/>
    <s v="NO EXISTE ISEL"/>
    <n v="0"/>
    <s v="NO TIENE L3OUT"/>
    <n v="92"/>
    <n v="96"/>
  </r>
  <r>
    <n v="167"/>
    <x v="0"/>
    <x v="276"/>
    <s v="eth1/54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54"/>
    <x v="0"/>
    <x v="0"/>
    <x v="0"/>
    <s v="eth0_ora02hpov_Primario"/>
    <x v="6"/>
    <b v="0"/>
    <s v="No está en VPC"/>
    <n v="428"/>
    <s v="INTPG_ACC_428_1.54"/>
    <s v="ISEL-1.54"/>
    <n v="1"/>
    <s v="NO TIENE L3OUT"/>
    <n v="102"/>
    <n v="96"/>
  </r>
  <r>
    <n v="105"/>
    <x v="0"/>
    <x v="205"/>
    <s v="eth1/55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55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55"/>
    <x v="0"/>
    <x v="1"/>
    <x v="1"/>
    <m/>
    <x v="6"/>
    <b v="0"/>
    <s v="No está en VPC"/>
    <n v="104"/>
    <s v="INTPG_ACC_104_1.55"/>
    <s v="ISEL-1.55"/>
    <n v="1"/>
    <s v="NO TIENE L3OUT"/>
    <n v="194"/>
    <n v="96"/>
  </r>
  <r>
    <n v="158"/>
    <x v="0"/>
    <x v="208"/>
    <s v="eth1/55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55"/>
    <x v="0"/>
    <x v="0"/>
    <x v="0"/>
    <s v="MEDIACION PREPAGO"/>
    <x v="6"/>
    <b v="0"/>
    <s v="No está en VPC"/>
    <n v="108"/>
    <s v="INTPG_ACC_108_1.55"/>
    <s v="ISEL-1.55"/>
    <n v="1"/>
    <s v="NO TIENE L3OUT"/>
    <n v="126"/>
    <n v="96"/>
  </r>
  <r>
    <n v="112"/>
    <x v="0"/>
    <x v="212"/>
    <s v="eth1/55"/>
    <x v="0"/>
    <x v="1"/>
    <x v="1"/>
    <s v="SAPCCRATING10"/>
    <x v="6"/>
    <b v="0"/>
    <s v="No está en VPC"/>
    <n v="112"/>
    <s v="INTPG_VPC_112_1.55_114_1.52"/>
    <s v="ISEL-1.55"/>
    <n v="1"/>
    <s v="NO TIENE L3OUT"/>
    <n v="144"/>
    <n v="96"/>
  </r>
  <r>
    <n v="107"/>
    <x v="0"/>
    <x v="213"/>
    <s v="eth1/55"/>
    <x v="0"/>
    <x v="0"/>
    <x v="0"/>
    <s v="COMISIONES"/>
    <x v="6"/>
    <b v="0"/>
    <s v="No está en VPC"/>
    <n v="107"/>
    <s v="INTPG_ACC_107_1.55"/>
    <s v="ISEL-1.55"/>
    <n v="1"/>
    <s v="NO TIENE L3OUT"/>
    <n v="118"/>
    <n v="96"/>
  </r>
  <r>
    <n v="109"/>
    <x v="0"/>
    <x v="214"/>
    <s v="eth1/55"/>
    <x v="1"/>
    <x v="1"/>
    <x v="2"/>
    <s v="OBIE_1-2"/>
    <x v="6"/>
    <b v="0"/>
    <s v="No está en VPC"/>
    <n v="109"/>
    <s v="INTPG_ACC_109_1.55"/>
    <s v="ISEL-1.55"/>
    <n v="1"/>
    <s v="NO TIENE L3OUT"/>
    <n v="126"/>
    <n v="96"/>
  </r>
  <r>
    <n v="113"/>
    <x v="0"/>
    <x v="215"/>
    <s v="eth1/55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55"/>
    <x v="0"/>
    <x v="1"/>
    <x v="1"/>
    <s v="SAPCCRATING13"/>
    <x v="6"/>
    <b v="0"/>
    <s v="No está en VPC"/>
    <n v="114"/>
    <s v="INTPG_VPC_112_1.58_114_1.55"/>
    <s v="ISEL-1.55"/>
    <n v="1"/>
    <s v="NO TIENE L3OUT"/>
    <n v="144"/>
    <n v="96"/>
  </r>
  <r>
    <n v="124"/>
    <x v="0"/>
    <x v="217"/>
    <s v="eth1/55"/>
    <x v="0"/>
    <x v="0"/>
    <x v="0"/>
    <s v="CIRCULO Azul(UXCA)"/>
    <x v="6"/>
    <b v="0"/>
    <s v="No está en VPC"/>
    <n v="124"/>
    <s v="INTPG_ACC_124_1.55"/>
    <s v="ISEL-1.55"/>
    <n v="1"/>
    <s v="NO TIENE L3OUT"/>
    <n v="80"/>
    <n v="96"/>
  </r>
  <r>
    <n v="118"/>
    <x v="0"/>
    <x v="218"/>
    <s v="eth1/55"/>
    <x v="0"/>
    <x v="1"/>
    <x v="1"/>
    <s v="USSD TANGO"/>
    <x v="6"/>
    <b v="0"/>
    <s v="No está en VPC"/>
    <n v="118"/>
    <s v="INTPG_ACC_118_1.55"/>
    <s v="ISEL-1.55"/>
    <n v="1"/>
    <s v="NO TIENE L3OUT"/>
    <n v="180"/>
    <n v="96"/>
  </r>
  <r>
    <n v="159"/>
    <x v="0"/>
    <x v="219"/>
    <s v="eth1/55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55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55"/>
    <x v="0"/>
    <x v="0"/>
    <x v="0"/>
    <s v="STORAGE_VNX_0493_BKP1_AND_BKP2"/>
    <x v="6"/>
    <b v="0"/>
    <s v="No está en VPC"/>
    <n v="163"/>
    <s v="INTPG_ACC_163_1.55"/>
    <s v="ISEL-1.55"/>
    <n v="2"/>
    <s v="NO TIENE L3OUT"/>
    <n v="140"/>
    <n v="96"/>
  </r>
  <r>
    <n v="407"/>
    <x v="1"/>
    <x v="224"/>
    <s v="eth1/55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55"/>
    <x v="1"/>
    <x v="1"/>
    <x v="2"/>
    <s v="SRS (Speedy Rating System)"/>
    <x v="6"/>
    <b v="0"/>
    <s v="No está en VPC"/>
    <n v="171"/>
    <s v="INTPG_ACC_171_1.55"/>
    <s v="ISEL-1.55"/>
    <n v="1"/>
    <s v="NO TIENE L3OUT"/>
    <n v="114"/>
    <n v="96"/>
  </r>
  <r>
    <n v="421"/>
    <x v="1"/>
    <x v="226"/>
    <s v="eth1/55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55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55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55"/>
    <x v="0"/>
    <x v="0"/>
    <x v="0"/>
    <s v="SRS (Speedy Rating System)"/>
    <x v="6"/>
    <b v="0"/>
    <s v="No está en VPC"/>
    <n v="172"/>
    <s v="INTPG_ACC_172_1.55"/>
    <s v="ISEL-1.55"/>
    <n v="1"/>
    <s v="NO TIENE L3OUT"/>
    <n v="104"/>
    <n v="96"/>
  </r>
  <r>
    <n v="420"/>
    <x v="1"/>
    <x v="230"/>
    <s v="eth1/55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55"/>
    <x v="0"/>
    <x v="0"/>
    <x v="0"/>
    <s v="HP Proliant DL380p(c)"/>
    <x v="6"/>
    <b v="0"/>
    <s v="No está en VPC"/>
    <n v="423"/>
    <s v="INTPG_ACC_423_1.55"/>
    <s v="ISEL-1.55"/>
    <n v="1"/>
    <s v="NO TIENE L3OUT"/>
    <n v="86"/>
    <n v="96"/>
  </r>
  <r>
    <n v="415"/>
    <x v="1"/>
    <x v="232"/>
    <s v="eth1/55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55"/>
    <x v="0"/>
    <x v="1"/>
    <x v="1"/>
    <m/>
    <x v="6"/>
    <b v="0"/>
    <s v="No está en VPC"/>
    <n v="102"/>
    <s v="NO EXISTE PG"/>
    <s v="NO EXISTE ISEL"/>
    <n v="0"/>
    <s v="NO TIENE L3OUT"/>
    <n v="228"/>
    <n v="96"/>
  </r>
  <r>
    <n v="122"/>
    <x v="0"/>
    <x v="237"/>
    <s v="eth1/55"/>
    <x v="0"/>
    <x v="0"/>
    <x v="0"/>
    <s v="ASEGING"/>
    <x v="6"/>
    <b v="0"/>
    <s v="No está en VPC"/>
    <n v="122"/>
    <s v="INTPG_ACC_122_1.55"/>
    <s v="ISEL-1.55"/>
    <n v="1"/>
    <s v="NO TIENE L3OUT"/>
    <n v="148"/>
    <n v="96"/>
  </r>
  <r>
    <n v="157"/>
    <x v="0"/>
    <x v="238"/>
    <s v="eth1/55"/>
    <x v="0"/>
    <x v="0"/>
    <x v="0"/>
    <s v="PORTAL CAUTIVO"/>
    <x v="6"/>
    <b v="0"/>
    <s v="No está en VPC"/>
    <n v="157"/>
    <s v="INTPG_ACC_157_1.55"/>
    <s v="ISEL-1.55"/>
    <n v="1"/>
    <s v="NO TIENE L3OUT"/>
    <n v="202"/>
    <n v="96"/>
  </r>
  <r>
    <n v="408"/>
    <x v="1"/>
    <x v="239"/>
    <s v="eth1/55"/>
    <x v="0"/>
    <x v="0"/>
    <x v="0"/>
    <s v="DESC"/>
    <x v="6"/>
    <b v="0"/>
    <s v="No está en VPC"/>
    <n v="408"/>
    <s v="INTPG_PC_408_1.55-56"/>
    <s v="ISEL-1.55"/>
    <n v="1"/>
    <s v="NO TIENE L3OUT"/>
    <n v="152"/>
    <n v="96"/>
  </r>
  <r>
    <n v="405"/>
    <x v="1"/>
    <x v="240"/>
    <s v="eth1/55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55"/>
    <x v="0"/>
    <x v="0"/>
    <x v="0"/>
    <s v="TO-ITHFDENBURMS05-PRINCIPAL"/>
    <x v="6"/>
    <b v="0"/>
    <s v="No está en VPC"/>
    <n v="169"/>
    <s v="INTPG_ACC_169_1.55"/>
    <s v="ISEL-1.55"/>
    <n v="1"/>
    <s v="NO TIENE L3OUT"/>
    <n v="76"/>
    <n v="96"/>
  </r>
  <r>
    <n v="165"/>
    <x v="0"/>
    <x v="242"/>
    <s v="eth1/55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55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55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55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55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55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55"/>
    <x v="0"/>
    <x v="0"/>
    <x v="0"/>
    <m/>
    <x v="6"/>
    <b v="0"/>
    <s v="No está en VPC"/>
    <n v="438"/>
    <s v="INTPG_ACC_438_1.55"/>
    <s v="ISEL-1.55"/>
    <n v="1"/>
    <s v="NO TIENE L3OUT"/>
    <n v="170"/>
    <n v="96"/>
  </r>
  <r>
    <n v="406"/>
    <x v="1"/>
    <x v="249"/>
    <s v="eth1/55"/>
    <x v="0"/>
    <x v="0"/>
    <x v="0"/>
    <s v="DESC"/>
    <x v="6"/>
    <b v="0"/>
    <s v="No está en VPC"/>
    <n v="406"/>
    <s v="INTPG_PC_406_1.55-56"/>
    <s v="ISEL-1.55"/>
    <n v="1"/>
    <s v="NO TIENE L3OUT"/>
    <n v="82"/>
    <n v="96"/>
  </r>
  <r>
    <n v="414"/>
    <x v="1"/>
    <x v="250"/>
    <s v="eth1/55"/>
    <x v="0"/>
    <x v="0"/>
    <x v="0"/>
    <s v="APMS01_S09"/>
    <x v="6"/>
    <b v="0"/>
    <s v="No está en VPC"/>
    <n v="414"/>
    <s v="INTPG_ACC_414_1.55"/>
    <s v="ISEL-1.55"/>
    <n v="1"/>
    <s v="NO TIENE L3OUT"/>
    <n v="144"/>
    <n v="96"/>
  </r>
  <r>
    <n v="416"/>
    <x v="1"/>
    <x v="251"/>
    <s v="eth1/55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55"/>
    <x v="0"/>
    <x v="0"/>
    <x v="0"/>
    <s v="IXTSD971B"/>
    <x v="6"/>
    <b v="0"/>
    <s v="No está en VPC"/>
    <n v="418"/>
    <s v="INTPG_ACC_418_1.55"/>
    <s v="ISEL-1.55"/>
    <n v="1"/>
    <s v="NO TIENE L3OUT"/>
    <n v="152"/>
    <n v="96"/>
  </r>
  <r>
    <n v="413"/>
    <x v="1"/>
    <x v="253"/>
    <s v="eth1/55"/>
    <x v="0"/>
    <x v="0"/>
    <x v="0"/>
    <s v="To-uxingemc4 ldom1 ldom2 ldom3"/>
    <x v="6"/>
    <b v="0"/>
    <s v="No está en VPC"/>
    <n v="413"/>
    <s v="INTPG_ACC_413_1.55"/>
    <s v="ISEL-1.55"/>
    <n v="1"/>
    <s v="NO TIENE L3OUT"/>
    <n v="126"/>
    <n v="96"/>
  </r>
  <r>
    <n v="403"/>
    <x v="1"/>
    <x v="254"/>
    <s v="eth1/55"/>
    <x v="0"/>
    <x v="0"/>
    <x v="0"/>
    <s v="CCURE_9000"/>
    <x v="6"/>
    <b v="0"/>
    <s v="No está en VPC"/>
    <n v="403"/>
    <s v="INTPG_ACC_403_1.55"/>
    <s v="ISEL-1.55"/>
    <n v="1"/>
    <s v="NO TIENE L3OUT"/>
    <n v="150"/>
    <n v="96"/>
  </r>
  <r>
    <n v="125"/>
    <x v="0"/>
    <x v="255"/>
    <s v="eth1/55"/>
    <x v="0"/>
    <x v="1"/>
    <x v="1"/>
    <s v="MONITOREO DE SWITCHS EXTREME OSS EN SPECTRUM"/>
    <x v="6"/>
    <b v="0"/>
    <s v="No está en VPC"/>
    <n v="125"/>
    <s v="INTPG_ACC_125_1.55"/>
    <s v="ISEL-1.55"/>
    <n v="1"/>
    <s v="NO TIENE L3OUT"/>
    <n v="72"/>
    <n v="96"/>
  </r>
  <r>
    <n v="166"/>
    <x v="0"/>
    <x v="256"/>
    <s v="eth1/55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55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55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55"/>
    <x v="0"/>
    <x v="0"/>
    <x v="0"/>
    <s v="COMISIONES"/>
    <x v="6"/>
    <b v="0"/>
    <s v="No está en VPC"/>
    <n v="106"/>
    <s v="INTPG_ACC_106_1.55"/>
    <s v="ISEL-1.55"/>
    <n v="1"/>
    <s v="NO TIENE L3OUT"/>
    <n v="122"/>
    <n v="96"/>
  </r>
  <r>
    <n v="126"/>
    <x v="0"/>
    <x v="260"/>
    <s v="eth1/55"/>
    <x v="0"/>
    <x v="1"/>
    <x v="1"/>
    <s v="IXTCDRLON"/>
    <x v="6"/>
    <b v="0"/>
    <s v="No está en VPC"/>
    <n v="126"/>
    <s v="INTPG_ACC_126_1.55"/>
    <s v="ISEL-1.55"/>
    <n v="1"/>
    <s v="NO TIENE L3OUT"/>
    <n v="54"/>
    <n v="96"/>
  </r>
  <r>
    <n v="425"/>
    <x v="1"/>
    <x v="261"/>
    <s v="eth1/55"/>
    <x v="0"/>
    <x v="0"/>
    <x v="0"/>
    <s v="Prime-UCS-CLU2-A"/>
    <x v="6"/>
    <b v="0"/>
    <s v="No está en VPC"/>
    <n v="425"/>
    <s v="INTPG_ACC_425_1.55"/>
    <s v="ISEL-1.55"/>
    <n v="1"/>
    <s v="NO TIENE L3OUT"/>
    <n v="86"/>
    <n v="96"/>
  </r>
  <r>
    <n v="151"/>
    <x v="0"/>
    <x v="262"/>
    <s v="eth1/55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55"/>
    <x v="0"/>
    <x v="0"/>
    <x v="0"/>
    <s v="Gestor_SBCs_Principal"/>
    <x v="6"/>
    <b v="0"/>
    <s v="No está en VPC"/>
    <n v="430"/>
    <s v="INTPG_ACC_430_1.55"/>
    <s v="ISEL-1.55"/>
    <n v="1"/>
    <s v="NO TIENE L3OUT"/>
    <n v="86"/>
    <n v="96"/>
  </r>
  <r>
    <n v="419"/>
    <x v="1"/>
    <x v="264"/>
    <s v="eth1/55"/>
    <x v="0"/>
    <x v="0"/>
    <x v="0"/>
    <s v="SPECSERVER1_ADMIN1"/>
    <x v="6"/>
    <b v="0"/>
    <s v="No está en VPC"/>
    <n v="419"/>
    <s v="INTPG_ACC_419_1.55"/>
    <s v="ISEL-1.55"/>
    <n v="1"/>
    <s v="NO TIENE L3OUT"/>
    <n v="70"/>
    <n v="96"/>
  </r>
  <r>
    <n v="155"/>
    <x v="0"/>
    <x v="265"/>
    <s v="eth1/55"/>
    <x v="0"/>
    <x v="0"/>
    <x v="0"/>
    <s v="PORTAL CAUTIVO"/>
    <x v="6"/>
    <b v="0"/>
    <s v="No está en VPC"/>
    <n v="155"/>
    <s v="INTPG_ACC_155_1.55"/>
    <s v="ISEL-1.55"/>
    <n v="1"/>
    <s v="NO TIENE L3OUT"/>
    <n v="198"/>
    <n v="96"/>
  </r>
  <r>
    <n v="409"/>
    <x v="1"/>
    <x v="266"/>
    <s v="eth1/55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55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55"/>
    <x v="0"/>
    <x v="0"/>
    <x v="0"/>
    <m/>
    <x v="6"/>
    <b v="0"/>
    <s v="No está en VPC"/>
    <n v="436"/>
    <s v="INTPG_ACC_436_1.55"/>
    <s v="ISEL-1.55"/>
    <n v="1"/>
    <s v="NO TIENE L3OUT"/>
    <n v="172"/>
    <n v="96"/>
  </r>
  <r>
    <n v="410"/>
    <x v="1"/>
    <x v="269"/>
    <s v="eth1/55"/>
    <x v="0"/>
    <x v="0"/>
    <x v="0"/>
    <s v="ITHRTC1NB1"/>
    <x v="6"/>
    <b v="0"/>
    <s v="No está en VPC"/>
    <n v="410"/>
    <s v="INTPG_ACC_410_1.55"/>
    <s v="ISEL-1.55"/>
    <n v="1"/>
    <s v="NO TIENE L3OUT"/>
    <n v="178"/>
    <n v="96"/>
  </r>
  <r>
    <n v="161"/>
    <x v="0"/>
    <x v="270"/>
    <s v="eth1/55"/>
    <x v="0"/>
    <x v="1"/>
    <x v="1"/>
    <m/>
    <x v="6"/>
    <b v="0"/>
    <s v="No está en VPC"/>
    <n v="161"/>
    <s v="INTPG_VPC_163_1.63_161_1.55"/>
    <s v="ISEL-1.55"/>
    <n v="1"/>
    <s v="NO TIENE L3OUT"/>
    <n v="102"/>
    <n v="96"/>
  </r>
  <r>
    <n v="411"/>
    <x v="1"/>
    <x v="271"/>
    <s v="eth1/55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55"/>
    <x v="0"/>
    <x v="1"/>
    <x v="1"/>
    <s v="USSD TANGO"/>
    <x v="6"/>
    <b v="0"/>
    <s v="No está en VPC"/>
    <n v="116"/>
    <s v="INTPG_ACC_116_1.55"/>
    <s v="ISEL-1.55"/>
    <n v="1"/>
    <s v="NO TIENE L3OUT"/>
    <n v="148"/>
    <n v="96"/>
  </r>
  <r>
    <n v="412"/>
    <x v="1"/>
    <x v="273"/>
    <s v="eth1/55"/>
    <x v="0"/>
    <x v="0"/>
    <x v="0"/>
    <s v="ITHRTC51OA2"/>
    <x v="6"/>
    <b v="0"/>
    <s v="No está en VPC"/>
    <n v="412"/>
    <s v="INTPG_ACC_412_1.55"/>
    <s v="ISEL-1.55"/>
    <n v="1"/>
    <s v="NO TIENE L3OUT"/>
    <n v="126"/>
    <n v="96"/>
  </r>
  <r>
    <n v="120"/>
    <x v="0"/>
    <x v="274"/>
    <s v="eth1/55"/>
    <x v="0"/>
    <x v="0"/>
    <x v="0"/>
    <s v="IXTTRAP-ETL"/>
    <x v="6"/>
    <b v="0"/>
    <s v="No está en VPC"/>
    <n v="120"/>
    <s v="INTPG_ACC_120_1.55"/>
    <s v="ISEL-1.55"/>
    <n v="1"/>
    <s v="NO TIENE L3OUT"/>
    <n v="158"/>
    <n v="96"/>
  </r>
  <r>
    <n v="404"/>
    <x v="1"/>
    <x v="275"/>
    <s v="eth1/55"/>
    <x v="0"/>
    <x v="0"/>
    <x v="0"/>
    <s v="APMS01_S09"/>
    <x v="6"/>
    <b v="0"/>
    <s v="No está en VPC"/>
    <n v="404"/>
    <s v="INTPG_ACC_404_1.55"/>
    <s v="ISEL-1.55"/>
    <n v="1"/>
    <s v="NO TIENE L3OUT"/>
    <n v="92"/>
    <n v="96"/>
  </r>
  <r>
    <n v="167"/>
    <x v="0"/>
    <x v="276"/>
    <s v="eth1/55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55"/>
    <x v="0"/>
    <x v="0"/>
    <x v="0"/>
    <s v="Ilo_vert01hpov_Primario"/>
    <x v="6"/>
    <b v="0"/>
    <s v="No está en VPC"/>
    <n v="428"/>
    <s v="INTPG_ACC_428_1.55"/>
    <s v="ISEL-1.55"/>
    <n v="1"/>
    <s v="NO TIENE L3OUT"/>
    <n v="102"/>
    <n v="96"/>
  </r>
  <r>
    <n v="105"/>
    <x v="0"/>
    <x v="205"/>
    <s v="eth1/56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56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56"/>
    <x v="0"/>
    <x v="1"/>
    <x v="1"/>
    <s v="SILOT"/>
    <x v="6"/>
    <b v="0"/>
    <s v="No está en VPC"/>
    <n v="104"/>
    <s v="INTPG_ACC_104_1.56"/>
    <s v="ISEL-1.56"/>
    <n v="1"/>
    <s v="NO TIENE L3OUT"/>
    <n v="194"/>
    <n v="96"/>
  </r>
  <r>
    <n v="158"/>
    <x v="0"/>
    <x v="208"/>
    <s v="eth1/56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56"/>
    <x v="1"/>
    <x v="1"/>
    <x v="2"/>
    <s v="TO-UXWAS2_P3-P4"/>
    <x v="6"/>
    <b v="0"/>
    <s v="No está en VPC"/>
    <n v="108"/>
    <s v="INTPG_PC_108_1.56_57"/>
    <s v="ISEL-1.56"/>
    <n v="1"/>
    <s v="NO TIENE L3OUT"/>
    <n v="126"/>
    <n v="96"/>
  </r>
  <r>
    <n v="112"/>
    <x v="0"/>
    <x v="212"/>
    <s v="eth1/56"/>
    <x v="0"/>
    <x v="1"/>
    <x v="1"/>
    <s v="SAPCCRATING11"/>
    <x v="6"/>
    <b v="0"/>
    <s v="No está en VPC"/>
    <n v="112"/>
    <s v="INTPG_VPC_112_1.56_114_1.53"/>
    <s v="ISEL-1.56"/>
    <n v="1"/>
    <s v="NO TIENE L3OUT"/>
    <n v="144"/>
    <n v="96"/>
  </r>
  <r>
    <n v="107"/>
    <x v="0"/>
    <x v="213"/>
    <s v="eth1/56"/>
    <x v="0"/>
    <x v="0"/>
    <x v="0"/>
    <m/>
    <x v="6"/>
    <b v="0"/>
    <s v="No está en VPC"/>
    <n v="107"/>
    <s v="INTPG_ACC_107_1.56"/>
    <s v="ISEL-1.56"/>
    <n v="1"/>
    <s v="NO TIENE L3OUT"/>
    <n v="118"/>
    <n v="96"/>
  </r>
  <r>
    <n v="109"/>
    <x v="0"/>
    <x v="214"/>
    <s v="eth1/56"/>
    <x v="0"/>
    <x v="0"/>
    <x v="0"/>
    <s v="OBIE_1-2"/>
    <x v="6"/>
    <b v="0"/>
    <s v="No está en VPC"/>
    <n v="109"/>
    <s v="INTPG_ACC_109_1.56"/>
    <s v="ISEL-1.56"/>
    <n v="1"/>
    <s v="NO TIENE L3OUT"/>
    <n v="126"/>
    <n v="96"/>
  </r>
  <r>
    <n v="113"/>
    <x v="0"/>
    <x v="215"/>
    <s v="eth1/56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56"/>
    <x v="0"/>
    <x v="1"/>
    <x v="1"/>
    <s v="SAPCC"/>
    <x v="6"/>
    <b v="0"/>
    <s v="No está en VPC"/>
    <n v="114"/>
    <s v="INTPG_ACC_114_1.56"/>
    <s v="ISEL-1.56"/>
    <n v="1"/>
    <s v="NO TIENE L3OUT"/>
    <n v="144"/>
    <n v="96"/>
  </r>
  <r>
    <n v="124"/>
    <x v="0"/>
    <x v="217"/>
    <s v="eth1/56"/>
    <x v="0"/>
    <x v="0"/>
    <x v="0"/>
    <s v="CIRCULO Azul(UXCA)"/>
    <x v="6"/>
    <b v="0"/>
    <s v="No está en VPC"/>
    <n v="124"/>
    <s v="INTPG_ACC_124_1.56"/>
    <s v="ISEL-1.56"/>
    <n v="1"/>
    <s v="NO TIENE L3OUT"/>
    <n v="80"/>
    <n v="96"/>
  </r>
  <r>
    <n v="118"/>
    <x v="0"/>
    <x v="218"/>
    <s v="eth1/56"/>
    <x v="0"/>
    <x v="1"/>
    <x v="1"/>
    <s v="USSD TANGO"/>
    <x v="6"/>
    <b v="0"/>
    <s v="No está en VPC"/>
    <n v="118"/>
    <s v="INTPG_ACC_118_1.56"/>
    <s v="ISEL-1.56"/>
    <n v="1"/>
    <s v="NO TIENE L3OUT"/>
    <n v="180"/>
    <n v="96"/>
  </r>
  <r>
    <n v="159"/>
    <x v="0"/>
    <x v="219"/>
    <s v="eth1/56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56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56"/>
    <x v="0"/>
    <x v="0"/>
    <x v="0"/>
    <s v="STORAGE_VNX_0493_BKP1_AND_BKP2"/>
    <x v="6"/>
    <b v="0"/>
    <s v="No está en VPC"/>
    <n v="163"/>
    <s v="INTPG_ACC_163_1.56"/>
    <s v="ISEL-1.56"/>
    <n v="2"/>
    <s v="NO TIENE L3OUT"/>
    <n v="140"/>
    <n v="96"/>
  </r>
  <r>
    <n v="407"/>
    <x v="1"/>
    <x v="224"/>
    <s v="eth1/56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56"/>
    <x v="1"/>
    <x v="1"/>
    <x v="2"/>
    <s v="SRS (Speedy Rating System)"/>
    <x v="6"/>
    <b v="0"/>
    <s v="No está en VPC"/>
    <n v="171"/>
    <s v="INTPG_ACC_171_1.56"/>
    <s v="ISEL-1.56"/>
    <n v="1"/>
    <s v="NO TIENE L3OUT"/>
    <n v="114"/>
    <n v="96"/>
  </r>
  <r>
    <n v="421"/>
    <x v="1"/>
    <x v="226"/>
    <s v="eth1/56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56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56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56"/>
    <x v="0"/>
    <x v="0"/>
    <x v="0"/>
    <s v="SRS (Speedy Rating System)"/>
    <x v="6"/>
    <b v="0"/>
    <s v="No está en VPC"/>
    <n v="172"/>
    <s v="INTPG_ACC_172_1.56"/>
    <s v="ISEL-1.56"/>
    <n v="1"/>
    <s v="NO TIENE L3OUT"/>
    <n v="104"/>
    <n v="96"/>
  </r>
  <r>
    <n v="420"/>
    <x v="1"/>
    <x v="230"/>
    <s v="eth1/56"/>
    <x v="0"/>
    <x v="0"/>
    <x v="0"/>
    <s v="TEMIPCLOUD_A05"/>
    <x v="6"/>
    <b v="0"/>
    <s v="No está en VPC"/>
    <n v="420"/>
    <s v="INTPG_ACC_420_1.56"/>
    <s v="ISEL-1.56"/>
    <n v="1"/>
    <s v="NO TIENE L3OUT"/>
    <n v="158"/>
    <n v="96"/>
  </r>
  <r>
    <n v="423"/>
    <x v="1"/>
    <x v="231"/>
    <s v="eth1/56"/>
    <x v="0"/>
    <x v="0"/>
    <x v="0"/>
    <s v="HP Proliant DL380p(c)"/>
    <x v="6"/>
    <b v="0"/>
    <s v="No está en VPC"/>
    <n v="423"/>
    <s v="INTPG_ACC_423_1.56"/>
    <s v="ISEL-1.56"/>
    <n v="1"/>
    <s v="NO TIENE L3OUT"/>
    <n v="86"/>
    <n v="96"/>
  </r>
  <r>
    <n v="415"/>
    <x v="1"/>
    <x v="232"/>
    <s v="eth1/56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56"/>
    <x v="0"/>
    <x v="1"/>
    <x v="1"/>
    <s v="BLACKBERRY:SECURITY TEST:OA2"/>
    <x v="6"/>
    <b v="0"/>
    <s v="No está en VPC"/>
    <n v="102"/>
    <s v="INTPG_ACC_102_1.56"/>
    <s v="ISEL-1.56"/>
    <n v="1"/>
    <s v="NO TIENE L3OUT"/>
    <n v="228"/>
    <n v="96"/>
  </r>
  <r>
    <n v="122"/>
    <x v="0"/>
    <x v="237"/>
    <s v="eth1/56"/>
    <x v="0"/>
    <x v="0"/>
    <x v="0"/>
    <s v="ASEGING"/>
    <x v="6"/>
    <b v="0"/>
    <s v="No está en VPC"/>
    <n v="122"/>
    <s v="INTPG_ACC_122_1.56"/>
    <s v="ISEL-1.56"/>
    <n v="1"/>
    <s v="NO TIENE L3OUT"/>
    <n v="148"/>
    <n v="96"/>
  </r>
  <r>
    <n v="157"/>
    <x v="0"/>
    <x v="238"/>
    <s v="eth1/56"/>
    <x v="0"/>
    <x v="0"/>
    <x v="0"/>
    <s v="PORTAL CAUTIVO"/>
    <x v="6"/>
    <b v="0"/>
    <s v="No está en VPC"/>
    <n v="157"/>
    <s v="INTPG_ACC_157_1.56"/>
    <s v="ISEL-1.56"/>
    <n v="1"/>
    <s v="NO TIENE L3OUT"/>
    <n v="202"/>
    <n v="96"/>
  </r>
  <r>
    <n v="408"/>
    <x v="1"/>
    <x v="239"/>
    <s v="eth1/56"/>
    <x v="0"/>
    <x v="0"/>
    <x v="0"/>
    <s v="DESC"/>
    <x v="6"/>
    <b v="0"/>
    <s v="No está en VPC"/>
    <n v="408"/>
    <s v="INTPG_PC_408_1.55-56"/>
    <s v="ISEL-1.56"/>
    <n v="1"/>
    <s v="NO TIENE L3OUT"/>
    <n v="152"/>
    <n v="96"/>
  </r>
  <r>
    <n v="405"/>
    <x v="1"/>
    <x v="240"/>
    <s v="eth1/56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56"/>
    <x v="0"/>
    <x v="0"/>
    <x v="0"/>
    <s v="TO-ITHFDENBURMS06"/>
    <x v="6"/>
    <b v="0"/>
    <s v="No está en VPC"/>
    <n v="169"/>
    <s v="INTPG_VPC_167_1.51_169_1.56"/>
    <s v="ISEL-1.56"/>
    <n v="1"/>
    <s v="NO TIENE L3OUT"/>
    <n v="76"/>
    <n v="96"/>
  </r>
  <r>
    <n v="165"/>
    <x v="0"/>
    <x v="242"/>
    <s v="eth1/56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56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56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56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56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56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56"/>
    <x v="0"/>
    <x v="0"/>
    <x v="0"/>
    <s v="TO-ITHFERNTCTRIS03-Redundante"/>
    <x v="6"/>
    <b v="0"/>
    <s v="No está en VPC"/>
    <n v="438"/>
    <s v="INTPG_ACC_438_1.56"/>
    <s v="ISEL-1.56"/>
    <n v="1"/>
    <s v="NO TIENE L3OUT"/>
    <n v="170"/>
    <n v="96"/>
  </r>
  <r>
    <n v="406"/>
    <x v="1"/>
    <x v="249"/>
    <s v="eth1/56"/>
    <x v="0"/>
    <x v="0"/>
    <x v="0"/>
    <s v="DESC"/>
    <x v="6"/>
    <b v="0"/>
    <s v="No está en VPC"/>
    <n v="406"/>
    <s v="INTPG_PC_406_1.55-56"/>
    <s v="ISEL-1.56"/>
    <n v="1"/>
    <s v="NO TIENE L3OUT"/>
    <n v="82"/>
    <n v="96"/>
  </r>
  <r>
    <n v="414"/>
    <x v="1"/>
    <x v="250"/>
    <s v="eth1/56"/>
    <x v="0"/>
    <x v="0"/>
    <x v="0"/>
    <s v="MULTI01_S10"/>
    <x v="6"/>
    <b v="0"/>
    <s v="No está en VPC"/>
    <n v="414"/>
    <s v="INTPG_ACC_414_1.56"/>
    <s v="ISEL-1.56"/>
    <n v="1"/>
    <s v="NO TIENE L3OUT"/>
    <n v="144"/>
    <n v="96"/>
  </r>
  <r>
    <n v="416"/>
    <x v="1"/>
    <x v="251"/>
    <s v="eth1/56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56"/>
    <x v="0"/>
    <x v="0"/>
    <x v="0"/>
    <s v="IXTSD971B"/>
    <x v="6"/>
    <b v="0"/>
    <s v="No está en VPC"/>
    <n v="418"/>
    <s v="INTPG_ACC_418_1.56"/>
    <s v="ISEL-1.56"/>
    <n v="1"/>
    <s v="NO TIENE L3OUT"/>
    <n v="152"/>
    <n v="96"/>
  </r>
  <r>
    <n v="413"/>
    <x v="1"/>
    <x v="253"/>
    <s v="eth1/56"/>
    <x v="0"/>
    <x v="0"/>
    <x v="0"/>
    <s v="ixtnnmcol01"/>
    <x v="6"/>
    <b v="0"/>
    <s v="No está en VPC"/>
    <n v="413"/>
    <s v="INTPG_ACC_413_1.56"/>
    <s v="ISEL-1.56"/>
    <n v="1"/>
    <s v="NO TIENE L3OUT"/>
    <n v="126"/>
    <n v="96"/>
  </r>
  <r>
    <n v="403"/>
    <x v="1"/>
    <x v="254"/>
    <s v="eth1/56"/>
    <x v="0"/>
    <x v="0"/>
    <x v="0"/>
    <s v="CCURE_9000"/>
    <x v="6"/>
    <b v="0"/>
    <s v="No está en VPC"/>
    <n v="403"/>
    <s v="INTPG_ACC_403_1.56"/>
    <s v="ISEL-1.56"/>
    <n v="1"/>
    <s v="NO TIENE L3OUT"/>
    <n v="150"/>
    <n v="96"/>
  </r>
  <r>
    <n v="125"/>
    <x v="0"/>
    <x v="255"/>
    <s v="eth1/56"/>
    <x v="0"/>
    <x v="1"/>
    <x v="1"/>
    <s v="IXTCDRLON"/>
    <x v="6"/>
    <b v="0"/>
    <s v="No está en VPC"/>
    <n v="125"/>
    <s v="INTPG_ACC_125_1.56"/>
    <s v="ISEL-1.56"/>
    <n v="1"/>
    <s v="NO TIENE L3OUT"/>
    <n v="72"/>
    <n v="96"/>
  </r>
  <r>
    <n v="166"/>
    <x v="0"/>
    <x v="256"/>
    <s v="eth1/56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56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56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56"/>
    <x v="0"/>
    <x v="0"/>
    <x v="0"/>
    <s v="COMISIONES"/>
    <x v="6"/>
    <b v="0"/>
    <s v="No está en VPC"/>
    <n v="106"/>
    <s v="INTPG_ACC_106_1.56"/>
    <s v="ISEL-1.56"/>
    <n v="1"/>
    <s v="NO TIENE L3OUT"/>
    <n v="122"/>
    <n v="96"/>
  </r>
  <r>
    <n v="126"/>
    <x v="0"/>
    <x v="260"/>
    <s v="eth1/56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56"/>
    <x v="0"/>
    <x v="0"/>
    <x v="0"/>
    <s v="Prime-UCS-CLU1-B"/>
    <x v="6"/>
    <b v="0"/>
    <s v="No está en VPC"/>
    <n v="425"/>
    <s v="INTPG_ACC_425_1.56"/>
    <s v="ISEL-1.56"/>
    <n v="1"/>
    <s v="NO TIENE L3OUT"/>
    <n v="86"/>
    <n v="96"/>
  </r>
  <r>
    <n v="151"/>
    <x v="0"/>
    <x v="262"/>
    <s v="eth1/56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56"/>
    <x v="0"/>
    <x v="0"/>
    <x v="0"/>
    <s v="Gestor_SBCs"/>
    <x v="6"/>
    <b v="0"/>
    <s v="No está en VPC"/>
    <n v="430"/>
    <s v="INTPG_ACC_430_1.56"/>
    <s v="ISEL-1.56"/>
    <n v="1"/>
    <s v="NO TIENE L3OUT"/>
    <n v="86"/>
    <n v="96"/>
  </r>
  <r>
    <n v="419"/>
    <x v="1"/>
    <x v="264"/>
    <s v="eth1/56"/>
    <x v="0"/>
    <x v="0"/>
    <x v="0"/>
    <s v="SPECSERVER2_ETH0"/>
    <x v="6"/>
    <b v="0"/>
    <s v="No está en VPC"/>
    <n v="419"/>
    <s v="INTPG_ACC_419_1.56"/>
    <s v="ISEL-1.56"/>
    <n v="1"/>
    <s v="NO TIENE L3OUT"/>
    <n v="70"/>
    <n v="96"/>
  </r>
  <r>
    <n v="155"/>
    <x v="0"/>
    <x v="265"/>
    <s v="eth1/56"/>
    <x v="0"/>
    <x v="0"/>
    <x v="0"/>
    <s v="Consolidaci\u00f3n Aplicaciones Prepago"/>
    <x v="6"/>
    <b v="0"/>
    <s v="No está en VPC"/>
    <n v="155"/>
    <s v="INTPG_ACC_155_1.56"/>
    <s v="ISEL-1.56"/>
    <n v="1"/>
    <s v="NO TIENE L3OUT"/>
    <n v="198"/>
    <n v="96"/>
  </r>
  <r>
    <n v="409"/>
    <x v="1"/>
    <x v="266"/>
    <s v="eth1/56"/>
    <x v="0"/>
    <x v="0"/>
    <x v="0"/>
    <s v="UXIMSI1_IGB4"/>
    <x v="6"/>
    <b v="0"/>
    <s v="No está en VPC"/>
    <n v="409"/>
    <s v="INTPG_ACC_409_1.56"/>
    <s v="ISEL-1.56"/>
    <n v="1"/>
    <s v="NO TIENE L3OUT"/>
    <n v="128"/>
    <n v="96"/>
  </r>
  <r>
    <n v="422"/>
    <x v="1"/>
    <x v="267"/>
    <s v="eth1/56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56"/>
    <x v="0"/>
    <x v="0"/>
    <x v="0"/>
    <m/>
    <x v="6"/>
    <b v="0"/>
    <s v="No está en VPC"/>
    <n v="436"/>
    <s v="INTPG_ACC_436_1.56"/>
    <s v="ISEL-1.56"/>
    <n v="0"/>
    <s v="NO TIENE L3OUT"/>
    <n v="172"/>
    <n v="96"/>
  </r>
  <r>
    <n v="410"/>
    <x v="1"/>
    <x v="269"/>
    <s v="eth1/56"/>
    <x v="0"/>
    <x v="0"/>
    <x v="0"/>
    <s v="ITHRTC1OA2"/>
    <x v="6"/>
    <b v="0"/>
    <s v="No está en VPC"/>
    <n v="410"/>
    <s v="INTPG_ACC_410_1.56"/>
    <s v="ISEL-1.56"/>
    <n v="1"/>
    <s v="NO TIENE L3OUT"/>
    <n v="178"/>
    <n v="96"/>
  </r>
  <r>
    <n v="161"/>
    <x v="0"/>
    <x v="270"/>
    <s v="eth1/56"/>
    <x v="0"/>
    <x v="0"/>
    <x v="0"/>
    <s v="CTG"/>
    <x v="6"/>
    <b v="0"/>
    <s v="No está en VPC"/>
    <n v="161"/>
    <s v="INTPG_VPC_161_1.56_163_1.64"/>
    <s v="ISEL-1.56"/>
    <n v="0"/>
    <s v="NO TIENE L3OUT"/>
    <n v="102"/>
    <n v="96"/>
  </r>
  <r>
    <n v="411"/>
    <x v="1"/>
    <x v="271"/>
    <s v="eth1/56"/>
    <x v="0"/>
    <x v="0"/>
    <x v="0"/>
    <s v="TO-ITHFHPNBURBKP03-PRINCIPAL"/>
    <x v="6"/>
    <b v="0"/>
    <s v="No está en VPC"/>
    <n v="411"/>
    <s v="INTPG_ACC_411_1.56"/>
    <s v="ISEL-1.56"/>
    <n v="1"/>
    <s v="NO TIENE L3OUT"/>
    <n v="96"/>
    <n v="96"/>
  </r>
  <r>
    <n v="116"/>
    <x v="0"/>
    <x v="272"/>
    <s v="eth1/56"/>
    <x v="0"/>
    <x v="1"/>
    <x v="1"/>
    <s v="USSD TANGO"/>
    <x v="6"/>
    <b v="0"/>
    <s v="No está en VPC"/>
    <n v="116"/>
    <s v="INTPG_ACC_116_1.56"/>
    <s v="ISEL-1.56"/>
    <n v="1"/>
    <s v="NO TIENE L3OUT"/>
    <n v="148"/>
    <n v="96"/>
  </r>
  <r>
    <n v="412"/>
    <x v="1"/>
    <x v="273"/>
    <s v="eth1/56"/>
    <x v="0"/>
    <x v="1"/>
    <x v="1"/>
    <s v="ITHRTC52OA2"/>
    <x v="6"/>
    <b v="0"/>
    <s v="No está en VPC"/>
    <n v="412"/>
    <s v="INTPG_ACC_412_1.56"/>
    <s v="ISEL-1.56"/>
    <n v="1"/>
    <s v="NO TIENE L3OUT"/>
    <n v="126"/>
    <n v="96"/>
  </r>
  <r>
    <n v="120"/>
    <x v="0"/>
    <x v="274"/>
    <s v="eth1/56"/>
    <x v="0"/>
    <x v="0"/>
    <x v="0"/>
    <s v="IXTTRAP-ETL"/>
    <x v="6"/>
    <b v="0"/>
    <s v="No está en VPC"/>
    <n v="120"/>
    <s v="INTPG_ACC_120_1.56"/>
    <s v="ISEL-1.56"/>
    <n v="1"/>
    <s v="NO TIENE L3OUT"/>
    <n v="158"/>
    <n v="96"/>
  </r>
  <r>
    <n v="404"/>
    <x v="1"/>
    <x v="275"/>
    <s v="eth1/56"/>
    <x v="0"/>
    <x v="0"/>
    <x v="0"/>
    <s v="MULTI01_S10"/>
    <x v="6"/>
    <b v="0"/>
    <s v="No está en VPC"/>
    <n v="404"/>
    <s v="INTPG_ACC_404_1.56"/>
    <s v="ISEL-1.56"/>
    <n v="1"/>
    <s v="NO TIENE L3OUT"/>
    <n v="92"/>
    <n v="96"/>
  </r>
  <r>
    <n v="167"/>
    <x v="0"/>
    <x v="276"/>
    <s v="eth1/56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56"/>
    <x v="0"/>
    <x v="0"/>
    <x v="0"/>
    <s v="Ilo_vert02hpov_Primario"/>
    <x v="6"/>
    <b v="0"/>
    <s v="No está en VPC"/>
    <n v="428"/>
    <s v="INTPG_ACC_428_1.56"/>
    <s v="ISEL-1.56"/>
    <n v="1"/>
    <s v="NO TIENE L3OUT"/>
    <n v="102"/>
    <n v="96"/>
  </r>
  <r>
    <n v="105"/>
    <x v="0"/>
    <x v="205"/>
    <s v="eth1/57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57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57"/>
    <x v="0"/>
    <x v="1"/>
    <x v="1"/>
    <s v="SILOT"/>
    <x v="6"/>
    <b v="0"/>
    <s v="No está en VPC"/>
    <n v="104"/>
    <s v="INTPG_ACC_104_1.57"/>
    <s v="ISEL-1.57"/>
    <n v="1"/>
    <s v="NO TIENE L3OUT"/>
    <n v="194"/>
    <n v="96"/>
  </r>
  <r>
    <n v="158"/>
    <x v="0"/>
    <x v="208"/>
    <s v="eth1/57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57"/>
    <x v="1"/>
    <x v="1"/>
    <x v="2"/>
    <s v="TO-UXWAS2_P3-P4"/>
    <x v="6"/>
    <b v="0"/>
    <s v="No está en VPC"/>
    <n v="108"/>
    <s v="INTPG_PC_108_1.56_57"/>
    <s v="ISEL-1.57"/>
    <n v="1"/>
    <s v="NO TIENE L3OUT"/>
    <n v="126"/>
    <n v="96"/>
  </r>
  <r>
    <n v="112"/>
    <x v="0"/>
    <x v="212"/>
    <s v="eth1/57"/>
    <x v="0"/>
    <x v="1"/>
    <x v="1"/>
    <s v="SAPCC-TO- SAPCCRATING12_CLIENT1"/>
    <x v="6"/>
    <b v="0"/>
    <s v="No está en VPC"/>
    <n v="112"/>
    <s v="INTPG_VPC_112_1.57_114_1.54"/>
    <s v="ISEL-1.57"/>
    <n v="1"/>
    <s v="NO TIENE L3OUT"/>
    <n v="144"/>
    <n v="96"/>
  </r>
  <r>
    <n v="107"/>
    <x v="0"/>
    <x v="213"/>
    <s v="eth1/57"/>
    <x v="0"/>
    <x v="0"/>
    <x v="0"/>
    <m/>
    <x v="6"/>
    <b v="0"/>
    <s v="No está en VPC"/>
    <n v="107"/>
    <s v="INTPG_ACC_107_1.57"/>
    <s v="ISEL-1.57"/>
    <n v="1"/>
    <s v="NO TIENE L3OUT"/>
    <n v="118"/>
    <n v="96"/>
  </r>
  <r>
    <n v="109"/>
    <x v="0"/>
    <x v="214"/>
    <s v="eth1/57"/>
    <x v="0"/>
    <x v="0"/>
    <x v="0"/>
    <s v="OBIE_1-2"/>
    <x v="6"/>
    <b v="0"/>
    <s v="No está en VPC"/>
    <n v="109"/>
    <s v="INTPG_ACC_109_1.57"/>
    <s v="ISEL-1.57"/>
    <n v="1"/>
    <s v="NO TIENE L3OUT"/>
    <n v="126"/>
    <n v="96"/>
  </r>
  <r>
    <n v="113"/>
    <x v="0"/>
    <x v="215"/>
    <s v="eth1/57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57"/>
    <x v="0"/>
    <x v="1"/>
    <x v="1"/>
    <s v="SAPCC"/>
    <x v="6"/>
    <b v="0"/>
    <s v="No está en VPC"/>
    <n v="114"/>
    <s v="INTPG_ACC_114_1.57"/>
    <s v="ISEL-1.57"/>
    <n v="1"/>
    <s v="NO TIENE L3OUT"/>
    <n v="144"/>
    <n v="96"/>
  </r>
  <r>
    <n v="124"/>
    <x v="0"/>
    <x v="217"/>
    <s v="eth1/57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57"/>
    <x v="0"/>
    <x v="1"/>
    <x v="1"/>
    <s v="USSD TANGO"/>
    <x v="6"/>
    <b v="0"/>
    <s v="No está en VPC"/>
    <n v="118"/>
    <s v="INTPG_ACC_118_1.57"/>
    <s v="ISEL-1.57"/>
    <n v="1"/>
    <s v="NO TIENE L3OUT"/>
    <n v="180"/>
    <n v="96"/>
  </r>
  <r>
    <n v="159"/>
    <x v="0"/>
    <x v="219"/>
    <s v="eth1/57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57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57"/>
    <x v="0"/>
    <x v="0"/>
    <x v="0"/>
    <s v="CELCITE"/>
    <x v="6"/>
    <b v="0"/>
    <s v="No está en VPC"/>
    <n v="163"/>
    <s v="INTPG_ACC_163_1.57"/>
    <s v="ISEL-1.57"/>
    <n v="1"/>
    <s v="NO TIENE L3OUT"/>
    <n v="140"/>
    <n v="96"/>
  </r>
  <r>
    <n v="407"/>
    <x v="1"/>
    <x v="224"/>
    <s v="eth1/57"/>
    <x v="0"/>
    <x v="0"/>
    <x v="0"/>
    <s v="TO-ITHFDEOCP1LMT01-REDUNDANTE"/>
    <x v="6"/>
    <b v="0"/>
    <s v="No está en VPC"/>
    <n v="407"/>
    <s v="INTPG_ACC_407_1.57"/>
    <s v="ISEL-1.57"/>
    <n v="1"/>
    <s v="NO TIENE L3OUT"/>
    <n v="122"/>
    <n v="96"/>
  </r>
  <r>
    <n v="171"/>
    <x v="0"/>
    <x v="225"/>
    <s v="eth1/57"/>
    <x v="1"/>
    <x v="1"/>
    <x v="2"/>
    <s v="SRS (Speedy Rating System)"/>
    <x v="6"/>
    <b v="0"/>
    <s v="No está en VPC"/>
    <n v="171"/>
    <s v="INTPG_ACC_171_1.57"/>
    <s v="ISEL-1.57"/>
    <n v="1"/>
    <s v="NO TIENE L3OUT"/>
    <n v="114"/>
    <n v="96"/>
  </r>
  <r>
    <n v="421"/>
    <x v="1"/>
    <x v="226"/>
    <s v="eth1/57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57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57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57"/>
    <x v="0"/>
    <x v="0"/>
    <x v="0"/>
    <s v="SRS (Speedy Rating System)"/>
    <x v="6"/>
    <b v="0"/>
    <s v="No está en VPC"/>
    <n v="172"/>
    <s v="INTPG_ACC_172_1.57"/>
    <s v="ISEL-1.57"/>
    <n v="1"/>
    <s v="NO TIENE L3OUT"/>
    <n v="104"/>
    <n v="96"/>
  </r>
  <r>
    <n v="420"/>
    <x v="1"/>
    <x v="230"/>
    <s v="eth1/57"/>
    <x v="0"/>
    <x v="0"/>
    <x v="0"/>
    <s v="TEMIPCLOUD_A07"/>
    <x v="6"/>
    <b v="0"/>
    <s v="No está en VPC"/>
    <n v="420"/>
    <s v="INTPG_ACC_420_1.57"/>
    <s v="ISEL-1.57"/>
    <n v="1"/>
    <s v="NO TIENE L3OUT"/>
    <n v="158"/>
    <n v="96"/>
  </r>
  <r>
    <n v="423"/>
    <x v="1"/>
    <x v="231"/>
    <s v="eth1/57"/>
    <x v="0"/>
    <x v="0"/>
    <x v="0"/>
    <s v="HP Proliant DL380p(c)"/>
    <x v="6"/>
    <b v="0"/>
    <s v="No está en VPC"/>
    <n v="423"/>
    <s v="INTPG_ACC_423_1.57"/>
    <s v="ISEL-1.57"/>
    <n v="1"/>
    <s v="NO TIENE L3OUT"/>
    <n v="86"/>
    <n v="96"/>
  </r>
  <r>
    <n v="415"/>
    <x v="1"/>
    <x v="232"/>
    <s v="eth1/57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57"/>
    <x v="0"/>
    <x v="1"/>
    <x v="1"/>
    <s v="BLACKBERRY:SECURITY TEST:VC2-X1"/>
    <x v="6"/>
    <b v="0"/>
    <s v="No está en VPC"/>
    <n v="102"/>
    <s v="INTPG_PC_102_1.52_57-63"/>
    <s v="ISEL-1.57"/>
    <n v="32"/>
    <s v="NO TIENE L3OUT"/>
    <n v="228"/>
    <n v="96"/>
  </r>
  <r>
    <n v="122"/>
    <x v="0"/>
    <x v="237"/>
    <s v="eth1/57"/>
    <x v="0"/>
    <x v="0"/>
    <x v="0"/>
    <s v="IXTTRAP-ETL"/>
    <x v="6"/>
    <b v="0"/>
    <s v="No está en VPC"/>
    <n v="122"/>
    <s v="INTPG_ACC_122_1.57"/>
    <s v="ISEL-1.57"/>
    <n v="1"/>
    <s v="NO TIENE L3OUT"/>
    <n v="148"/>
    <n v="96"/>
  </r>
  <r>
    <n v="157"/>
    <x v="0"/>
    <x v="238"/>
    <s v="eth1/57"/>
    <x v="0"/>
    <x v="0"/>
    <x v="0"/>
    <s v="PORTAL CAUTIVO"/>
    <x v="6"/>
    <b v="0"/>
    <s v="No está en VPC"/>
    <n v="157"/>
    <s v="INTPG_ACC_157_1.57"/>
    <s v="ISEL-1.57"/>
    <n v="1"/>
    <s v="NO TIENE L3OUT"/>
    <n v="202"/>
    <n v="96"/>
  </r>
  <r>
    <n v="408"/>
    <x v="1"/>
    <x v="239"/>
    <s v="eth1/57"/>
    <x v="0"/>
    <x v="0"/>
    <x v="0"/>
    <s v="DESC"/>
    <x v="6"/>
    <b v="0"/>
    <s v="No está en VPC"/>
    <n v="408"/>
    <s v="INTPG_PC_408_1.57-58"/>
    <s v="ISEL-1.57"/>
    <n v="1"/>
    <s v="NO TIENE L3OUT"/>
    <n v="152"/>
    <n v="96"/>
  </r>
  <r>
    <n v="405"/>
    <x v="1"/>
    <x v="240"/>
    <s v="eth1/57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57"/>
    <x v="0"/>
    <x v="0"/>
    <x v="0"/>
    <s v="TO-ITHFDENBURMS06-PRINCIPAL"/>
    <x v="6"/>
    <b v="0"/>
    <s v="No está en VPC"/>
    <n v="169"/>
    <s v="INTPG_ACC_169_1.57"/>
    <s v="ISEL-1.57"/>
    <n v="1"/>
    <s v="NO TIENE L3OUT"/>
    <n v="76"/>
    <n v="96"/>
  </r>
  <r>
    <n v="165"/>
    <x v="0"/>
    <x v="242"/>
    <s v="eth1/57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57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57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57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57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57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57"/>
    <x v="0"/>
    <x v="0"/>
    <x v="0"/>
    <s v="TO_ITHEMCDD69008138DKC0_IDRAC"/>
    <x v="6"/>
    <b v="0"/>
    <s v="No está en VPC"/>
    <n v="438"/>
    <s v="INTPG_ACC_438_1.57"/>
    <s v="ISEL-1.57"/>
    <n v="1"/>
    <s v="NO TIENE L3OUT"/>
    <n v="170"/>
    <n v="96"/>
  </r>
  <r>
    <n v="406"/>
    <x v="1"/>
    <x v="249"/>
    <s v="eth1/57"/>
    <x v="0"/>
    <x v="0"/>
    <x v="0"/>
    <s v="DESC"/>
    <x v="6"/>
    <b v="0"/>
    <s v="No está en VPC"/>
    <n v="406"/>
    <s v="INTPG_PC_406_1.57-58"/>
    <s v="ISEL-1.57"/>
    <n v="1"/>
    <s v="NO TIENE L3OUT"/>
    <n v="82"/>
    <n v="96"/>
  </r>
  <r>
    <n v="414"/>
    <x v="1"/>
    <x v="250"/>
    <s v="eth1/57"/>
    <x v="0"/>
    <x v="0"/>
    <x v="0"/>
    <s v="APMS02_S12"/>
    <x v="6"/>
    <b v="0"/>
    <s v="No está en VPC"/>
    <n v="414"/>
    <s v="INTPG_ACC_414_1.57"/>
    <s v="ISEL-1.57"/>
    <n v="1"/>
    <s v="NO TIENE L3OUT"/>
    <n v="144"/>
    <n v="96"/>
  </r>
  <r>
    <n v="416"/>
    <x v="1"/>
    <x v="251"/>
    <s v="eth1/57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57"/>
    <x v="0"/>
    <x v="0"/>
    <x v="0"/>
    <s v="ITHRTC4AEN2VC1x4"/>
    <x v="6"/>
    <b v="0"/>
    <s v="No está en VPC"/>
    <n v="418"/>
    <s v="INTPG_ACC_418_1.57"/>
    <s v="ISEL-1.57"/>
    <n v="1"/>
    <s v="NO TIENE L3OUT"/>
    <n v="152"/>
    <n v="96"/>
  </r>
  <r>
    <n v="413"/>
    <x v="1"/>
    <x v="253"/>
    <s v="eth1/57"/>
    <x v="0"/>
    <x v="0"/>
    <x v="0"/>
    <s v="none"/>
    <x v="6"/>
    <b v="0"/>
    <s v="No está en VPC"/>
    <n v="413"/>
    <s v="INTPG_ACC_413_1.57"/>
    <s v="ISEL-1.57"/>
    <n v="1"/>
    <s v="NO TIENE L3OUT"/>
    <n v="126"/>
    <n v="96"/>
  </r>
  <r>
    <n v="403"/>
    <x v="1"/>
    <x v="254"/>
    <s v="eth1/57"/>
    <x v="0"/>
    <x v="0"/>
    <x v="0"/>
    <s v="CCURE_9000"/>
    <x v="6"/>
    <b v="0"/>
    <s v="No está en VPC"/>
    <n v="403"/>
    <s v="INTPG_ACC_403_1.57"/>
    <s v="ISEL-1.57"/>
    <n v="1"/>
    <s v="NO TIENE L3OUT"/>
    <n v="150"/>
    <n v="96"/>
  </r>
  <r>
    <n v="125"/>
    <x v="0"/>
    <x v="255"/>
    <s v="eth1/57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57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57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57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57"/>
    <x v="0"/>
    <x v="0"/>
    <x v="0"/>
    <s v="COMISIONES"/>
    <x v="6"/>
    <b v="0"/>
    <s v="No está en VPC"/>
    <n v="106"/>
    <s v="INTPG_ACC_106_1.57"/>
    <s v="ISEL-1.57"/>
    <n v="1"/>
    <s v="NO TIENE L3OUT"/>
    <n v="122"/>
    <n v="96"/>
  </r>
  <r>
    <n v="126"/>
    <x v="0"/>
    <x v="260"/>
    <s v="eth1/57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57"/>
    <x v="0"/>
    <x v="0"/>
    <x v="0"/>
    <s v="VNX5600SPB_4596"/>
    <x v="6"/>
    <b v="0"/>
    <s v="No está en VPC"/>
    <n v="425"/>
    <s v="INTPG_ACC_425_1.57"/>
    <s v="ISEL-1.57"/>
    <n v="1"/>
    <s v="NO TIENE L3OUT"/>
    <n v="86"/>
    <n v="96"/>
  </r>
  <r>
    <n v="151"/>
    <x v="0"/>
    <x v="262"/>
    <s v="eth1/57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57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57"/>
    <x v="0"/>
    <x v="0"/>
    <x v="0"/>
    <s v="SPECSERVER2_ETH2"/>
    <x v="6"/>
    <b v="0"/>
    <s v="No está en VPC"/>
    <n v="419"/>
    <s v="INTPG_ACC_419_1.57"/>
    <s v="ISEL-1.57"/>
    <n v="1"/>
    <s v="NO TIENE L3OUT"/>
    <n v="70"/>
    <n v="96"/>
  </r>
  <r>
    <n v="155"/>
    <x v="0"/>
    <x v="265"/>
    <s v="eth1/57"/>
    <x v="0"/>
    <x v="0"/>
    <x v="0"/>
    <s v="Consolidaci\u00f3n Aplicaciones Prepago_1"/>
    <x v="6"/>
    <b v="0"/>
    <s v="No está en VPC"/>
    <n v="155"/>
    <s v="INTPG_ACC_155_1.57"/>
    <s v="ISEL-1.57"/>
    <n v="1"/>
    <s v="NO TIENE L3OUT"/>
    <n v="198"/>
    <n v="96"/>
  </r>
  <r>
    <n v="409"/>
    <x v="1"/>
    <x v="266"/>
    <s v="eth1/57"/>
    <x v="0"/>
    <x v="0"/>
    <x v="0"/>
    <s v="UXIMSI1_IXGBE2"/>
    <x v="6"/>
    <b v="0"/>
    <s v="No está en VPC"/>
    <n v="409"/>
    <s v="INTPG_ACC_409_1.57"/>
    <s v="ISEL-1.57"/>
    <n v="1"/>
    <s v="NO TIENE L3OUT"/>
    <n v="128"/>
    <n v="96"/>
  </r>
  <r>
    <n v="422"/>
    <x v="1"/>
    <x v="267"/>
    <s v="eth1/57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57"/>
    <x v="0"/>
    <x v="0"/>
    <x v="0"/>
    <m/>
    <x v="6"/>
    <b v="0"/>
    <s v="No está en VPC"/>
    <n v="436"/>
    <s v="INTPG_ACC_436_1.57"/>
    <s v="ISEL-1.57"/>
    <n v="0"/>
    <s v="NO TIENE L3OUT"/>
    <n v="172"/>
    <n v="96"/>
  </r>
  <r>
    <n v="410"/>
    <x v="1"/>
    <x v="269"/>
    <s v="eth1/57"/>
    <x v="0"/>
    <x v="0"/>
    <x v="0"/>
    <s v="ITHRTC2OA2"/>
    <x v="6"/>
    <b v="0"/>
    <s v="No está en VPC"/>
    <n v="410"/>
    <s v="INTPG_ACC_410_1.57"/>
    <s v="ISEL-1.57"/>
    <n v="1"/>
    <s v="NO TIENE L3OUT"/>
    <n v="178"/>
    <n v="96"/>
  </r>
  <r>
    <n v="161"/>
    <x v="0"/>
    <x v="270"/>
    <s v="eth1/57"/>
    <x v="0"/>
    <x v="1"/>
    <x v="1"/>
    <m/>
    <x v="6"/>
    <b v="0"/>
    <s v="No está en VPC"/>
    <n v="161"/>
    <s v="INTPG_VPC_163_1.65_161_1.57"/>
    <s v="ISEL-1.57"/>
    <n v="1"/>
    <s v="NO TIENE L3OUT"/>
    <n v="102"/>
    <n v="96"/>
  </r>
  <r>
    <n v="411"/>
    <x v="1"/>
    <x v="271"/>
    <s v="eth1/57"/>
    <x v="0"/>
    <x v="0"/>
    <x v="0"/>
    <s v="TO-ITHFHPNBURBKP04-PRINCIPAL"/>
    <x v="6"/>
    <b v="0"/>
    <s v="No está en VPC"/>
    <n v="411"/>
    <s v="INTPG_ACC_411_1.57"/>
    <s v="ISEL-1.57"/>
    <n v="1"/>
    <s v="NO TIENE L3OUT"/>
    <n v="96"/>
    <n v="96"/>
  </r>
  <r>
    <n v="116"/>
    <x v="0"/>
    <x v="272"/>
    <s v="eth1/57"/>
    <x v="0"/>
    <x v="1"/>
    <x v="1"/>
    <s v="USSD TANGO"/>
    <x v="6"/>
    <b v="0"/>
    <s v="No está en VPC"/>
    <n v="116"/>
    <s v="INTPG_ACC_116_1.57"/>
    <s v="ISEL-1.57"/>
    <n v="1"/>
    <s v="NO TIENE L3OUT"/>
    <n v="148"/>
    <n v="96"/>
  </r>
  <r>
    <n v="412"/>
    <x v="1"/>
    <x v="273"/>
    <s v="eth1/57"/>
    <x v="0"/>
    <x v="0"/>
    <x v="0"/>
    <s v="ITHRTC5SW1"/>
    <x v="6"/>
    <b v="0"/>
    <s v="No está en VPC"/>
    <n v="412"/>
    <s v="INTPG_ACC_412_1.57"/>
    <s v="ISEL-1.57"/>
    <n v="1"/>
    <s v="NO TIENE L3OUT"/>
    <n v="126"/>
    <n v="96"/>
  </r>
  <r>
    <n v="120"/>
    <x v="0"/>
    <x v="274"/>
    <s v="eth1/57"/>
    <x v="0"/>
    <x v="0"/>
    <x v="0"/>
    <s v="IXTTRAP-ETL"/>
    <x v="6"/>
    <b v="0"/>
    <s v="No está en VPC"/>
    <n v="120"/>
    <s v="INTPG_ACC_120_1.57"/>
    <s v="ISEL-1.57"/>
    <n v="1"/>
    <s v="NO TIENE L3OUT"/>
    <n v="158"/>
    <n v="96"/>
  </r>
  <r>
    <n v="404"/>
    <x v="1"/>
    <x v="275"/>
    <s v="eth1/57"/>
    <x v="0"/>
    <x v="0"/>
    <x v="0"/>
    <s v="APMS02_S12"/>
    <x v="6"/>
    <b v="0"/>
    <s v="No está en VPC"/>
    <n v="404"/>
    <s v="INTPG_ACC_404_1.57"/>
    <s v="ISEL-1.57"/>
    <n v="1"/>
    <s v="NO TIENE L3OUT"/>
    <n v="92"/>
    <n v="96"/>
  </r>
  <r>
    <n v="167"/>
    <x v="0"/>
    <x v="276"/>
    <s v="eth1/57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57"/>
    <x v="0"/>
    <x v="0"/>
    <x v="0"/>
    <s v="Ilo_vert03hpov_Primario"/>
    <x v="6"/>
    <b v="0"/>
    <s v="No está en VPC"/>
    <n v="428"/>
    <s v="INTPG_ACC_428_1.57"/>
    <s v="ISEL-1.57"/>
    <n v="1"/>
    <s v="NO TIENE L3OUT"/>
    <n v="102"/>
    <n v="96"/>
  </r>
  <r>
    <n v="105"/>
    <x v="0"/>
    <x v="205"/>
    <s v="eth1/58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58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58"/>
    <x v="0"/>
    <x v="1"/>
    <x v="1"/>
    <s v="SILOT"/>
    <x v="6"/>
    <b v="0"/>
    <s v="No está en VPC"/>
    <n v="104"/>
    <s v="INTPG_ACC_104_1.58"/>
    <s v="ISEL-1.58"/>
    <n v="1"/>
    <s v="NO TIENE L3OUT"/>
    <n v="194"/>
    <n v="96"/>
  </r>
  <r>
    <n v="158"/>
    <x v="0"/>
    <x v="208"/>
    <s v="eth1/58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58"/>
    <x v="0"/>
    <x v="0"/>
    <x v="0"/>
    <s v="DATAPOWER"/>
    <x v="6"/>
    <b v="0"/>
    <s v="No está en VPC"/>
    <n v="108"/>
    <s v="INTPG_ACC_108_1.58"/>
    <s v="ISEL-1.58"/>
    <n v="1"/>
    <s v="NO TIENE L3OUT"/>
    <n v="126"/>
    <n v="96"/>
  </r>
  <r>
    <n v="112"/>
    <x v="0"/>
    <x v="212"/>
    <s v="eth1/58"/>
    <x v="0"/>
    <x v="1"/>
    <x v="1"/>
    <s v="SAPCCRATING13"/>
    <x v="6"/>
    <b v="0"/>
    <s v="No está en VPC"/>
    <n v="112"/>
    <s v="INTPG_VPC_112_1.58_114_1.55"/>
    <s v="ISEL-1.58"/>
    <n v="1"/>
    <s v="NO TIENE L3OUT"/>
    <n v="144"/>
    <n v="96"/>
  </r>
  <r>
    <n v="107"/>
    <x v="0"/>
    <x v="213"/>
    <s v="eth1/58"/>
    <x v="0"/>
    <x v="1"/>
    <x v="1"/>
    <m/>
    <x v="6"/>
    <b v="0"/>
    <s v="No está en VPC"/>
    <n v="107"/>
    <s v="INTPG_ACC_107_1.58"/>
    <s v="ISEL-1.58"/>
    <n v="1"/>
    <s v="NO TIENE L3OUT"/>
    <n v="118"/>
    <n v="96"/>
  </r>
  <r>
    <n v="109"/>
    <x v="0"/>
    <x v="214"/>
    <s v="eth1/58"/>
    <x v="0"/>
    <x v="0"/>
    <x v="0"/>
    <s v="OBIE_1-2"/>
    <x v="6"/>
    <b v="0"/>
    <s v="No está en VPC"/>
    <n v="109"/>
    <s v="INTPG_ACC_109_1.58"/>
    <s v="ISEL-1.58"/>
    <n v="1"/>
    <s v="NO TIENE L3OUT"/>
    <n v="126"/>
    <n v="96"/>
  </r>
  <r>
    <n v="113"/>
    <x v="0"/>
    <x v="215"/>
    <s v="eth1/58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58"/>
    <x v="0"/>
    <x v="1"/>
    <x v="1"/>
    <s v="SAPCC"/>
    <x v="6"/>
    <b v="0"/>
    <s v="No está en VPC"/>
    <n v="114"/>
    <s v="INTPG_ACC_114_1.58"/>
    <s v="ISEL-1.58"/>
    <n v="1"/>
    <s v="NO TIENE L3OUT"/>
    <n v="144"/>
    <n v="96"/>
  </r>
  <r>
    <n v="124"/>
    <x v="0"/>
    <x v="217"/>
    <s v="eth1/58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58"/>
    <x v="0"/>
    <x v="1"/>
    <x v="1"/>
    <s v="USSD TANGO"/>
    <x v="6"/>
    <b v="0"/>
    <s v="No está en VPC"/>
    <n v="118"/>
    <s v="INTPG_ACC_118_1.58"/>
    <s v="ISEL-1.58"/>
    <n v="1"/>
    <s v="NO TIENE L3OUT"/>
    <n v="180"/>
    <n v="96"/>
  </r>
  <r>
    <n v="159"/>
    <x v="0"/>
    <x v="219"/>
    <s v="eth1/58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58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58"/>
    <x v="0"/>
    <x v="0"/>
    <x v="0"/>
    <s v="CELCITE"/>
    <x v="6"/>
    <b v="0"/>
    <s v="No está en VPC"/>
    <n v="163"/>
    <s v="INTPG_ACC_163_1.58"/>
    <s v="ISEL-1.58"/>
    <n v="1"/>
    <s v="NO TIENE L3OUT"/>
    <n v="140"/>
    <n v="96"/>
  </r>
  <r>
    <n v="407"/>
    <x v="1"/>
    <x v="224"/>
    <s v="eth1/58"/>
    <x v="0"/>
    <x v="0"/>
    <x v="0"/>
    <s v="UXIMSI1_IGB0"/>
    <x v="6"/>
    <b v="0"/>
    <s v="No está en VPC"/>
    <n v="407"/>
    <s v="INTPG_ACC_407_1.58"/>
    <s v="ISEL-1.58"/>
    <n v="1"/>
    <s v="NO TIENE L3OUT"/>
    <n v="122"/>
    <n v="96"/>
  </r>
  <r>
    <n v="171"/>
    <x v="0"/>
    <x v="225"/>
    <s v="eth1/58"/>
    <x v="1"/>
    <x v="1"/>
    <x v="2"/>
    <s v="SRS (Speedy Rating System)"/>
    <x v="6"/>
    <b v="0"/>
    <s v="No está en VPC"/>
    <n v="171"/>
    <s v="INTPG_ACC_171_1.58"/>
    <s v="ISEL-1.58"/>
    <n v="1"/>
    <s v="NO TIENE L3OUT"/>
    <n v="114"/>
    <n v="96"/>
  </r>
  <r>
    <n v="421"/>
    <x v="1"/>
    <x v="226"/>
    <s v="eth1/58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58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58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58"/>
    <x v="0"/>
    <x v="0"/>
    <x v="0"/>
    <s v="SRS (Speedy Rating System)"/>
    <x v="6"/>
    <b v="0"/>
    <s v="No está en VPC"/>
    <n v="172"/>
    <s v="INTPG_ACC_172_1.58"/>
    <s v="ISEL-1.58"/>
    <n v="1"/>
    <s v="NO TIENE L3OUT"/>
    <n v="104"/>
    <n v="96"/>
  </r>
  <r>
    <n v="420"/>
    <x v="1"/>
    <x v="230"/>
    <s v="eth1/58"/>
    <x v="0"/>
    <x v="0"/>
    <x v="0"/>
    <s v="ITHRTC4AEN1VC1x4"/>
    <x v="6"/>
    <b v="0"/>
    <s v="No está en VPC"/>
    <n v="420"/>
    <s v="INTPG_ACC_420_1.58"/>
    <s v="ISEL-1.58"/>
    <n v="1"/>
    <s v="NO TIENE L3OUT"/>
    <n v="158"/>
    <n v="96"/>
  </r>
  <r>
    <n v="423"/>
    <x v="1"/>
    <x v="231"/>
    <s v="eth1/58"/>
    <x v="0"/>
    <x v="0"/>
    <x v="0"/>
    <s v="HP Proliant DL380p(d)"/>
    <x v="6"/>
    <b v="0"/>
    <s v="No está en VPC"/>
    <n v="423"/>
    <s v="INTPG_ACC_423_1.58"/>
    <s v="ISEL-1.58"/>
    <n v="1"/>
    <s v="NO TIENE L3OUT"/>
    <n v="86"/>
    <n v="96"/>
  </r>
  <r>
    <n v="415"/>
    <x v="1"/>
    <x v="232"/>
    <s v="eth1/58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58"/>
    <x v="0"/>
    <x v="1"/>
    <x v="1"/>
    <s v="BLACKBERRY:SECURITY TEST:VC2-X2"/>
    <x v="6"/>
    <b v="0"/>
    <s v="No está en VPC"/>
    <n v="102"/>
    <s v="INTPG_PC_102_1.52_57-63"/>
    <s v="ISEL-1.58"/>
    <n v="32"/>
    <s v="NO TIENE L3OUT"/>
    <n v="228"/>
    <n v="96"/>
  </r>
  <r>
    <n v="122"/>
    <x v="0"/>
    <x v="237"/>
    <s v="eth1/58"/>
    <x v="0"/>
    <x v="0"/>
    <x v="0"/>
    <s v="IXTTRAP-ETL"/>
    <x v="6"/>
    <b v="0"/>
    <s v="No está en VPC"/>
    <n v="122"/>
    <s v="INTPG_ACC_122_1.58"/>
    <s v="ISEL-1.58"/>
    <n v="1"/>
    <s v="NO TIENE L3OUT"/>
    <n v="148"/>
    <n v="96"/>
  </r>
  <r>
    <n v="157"/>
    <x v="0"/>
    <x v="238"/>
    <s v="eth1/58"/>
    <x v="0"/>
    <x v="0"/>
    <x v="0"/>
    <s v="PORTAL CAUTIVO"/>
    <x v="6"/>
    <b v="0"/>
    <s v="No está en VPC"/>
    <n v="157"/>
    <s v="INTPG_ACC_157_1.58"/>
    <s v="ISEL-1.58"/>
    <n v="1"/>
    <s v="NO TIENE L3OUT"/>
    <n v="202"/>
    <n v="96"/>
  </r>
  <r>
    <n v="408"/>
    <x v="1"/>
    <x v="239"/>
    <s v="eth1/58"/>
    <x v="0"/>
    <x v="0"/>
    <x v="0"/>
    <s v="DESC"/>
    <x v="6"/>
    <b v="0"/>
    <s v="No está en VPC"/>
    <n v="408"/>
    <s v="INTPG_PC_408_1.57-58"/>
    <s v="ISEL-1.58"/>
    <n v="1"/>
    <s v="NO TIENE L3OUT"/>
    <n v="152"/>
    <n v="96"/>
  </r>
  <r>
    <n v="405"/>
    <x v="1"/>
    <x v="240"/>
    <s v="eth1/58"/>
    <x v="0"/>
    <x v="0"/>
    <x v="0"/>
    <s v="ITHREDCR1A-CAS"/>
    <x v="6"/>
    <b v="0"/>
    <s v="No está en VPC"/>
    <n v="405"/>
    <s v="INTPG_ACC_405_1.58"/>
    <s v="ISEL-1.58"/>
    <n v="0"/>
    <s v="L3OUT-STATIC-RCG"/>
    <n v="138"/>
    <n v="96"/>
  </r>
  <r>
    <n v="169"/>
    <x v="0"/>
    <x v="241"/>
    <s v="eth1/58"/>
    <x v="0"/>
    <x v="0"/>
    <x v="0"/>
    <s v="TO-ITHEMCDD94009668-PRINCIPAL"/>
    <x v="6"/>
    <b v="0"/>
    <s v="No está en VPC"/>
    <n v="169"/>
    <s v="INTPG_ACC_169_1.58"/>
    <s v="ISEL-1.58"/>
    <n v="1"/>
    <s v="NO TIENE L3OUT"/>
    <n v="76"/>
    <n v="96"/>
  </r>
  <r>
    <n v="165"/>
    <x v="0"/>
    <x v="242"/>
    <s v="eth1/58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58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58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58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58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58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58"/>
    <x v="0"/>
    <x v="0"/>
    <x v="0"/>
    <s v="TO_ITHEMCDD69008138DKC0_INT1.1"/>
    <x v="6"/>
    <b v="0"/>
    <s v="No está en VPC"/>
    <n v="438"/>
    <s v="INTPG_ACC_438_1.58"/>
    <s v="ISEL-1.58"/>
    <n v="1"/>
    <s v="NO TIENE L3OUT"/>
    <n v="170"/>
    <n v="96"/>
  </r>
  <r>
    <n v="406"/>
    <x v="1"/>
    <x v="249"/>
    <s v="eth1/58"/>
    <x v="0"/>
    <x v="0"/>
    <x v="0"/>
    <s v="DESC"/>
    <x v="6"/>
    <b v="0"/>
    <s v="No está en VPC"/>
    <n v="406"/>
    <s v="INTPG_PC_406_1.57-58"/>
    <s v="ISEL-1.58"/>
    <n v="1"/>
    <s v="NO TIENE L3OUT"/>
    <n v="82"/>
    <n v="96"/>
  </r>
  <r>
    <n v="414"/>
    <x v="1"/>
    <x v="250"/>
    <s v="eth1/58"/>
    <x v="0"/>
    <x v="0"/>
    <x v="0"/>
    <s v="MULTI02_S13"/>
    <x v="6"/>
    <b v="0"/>
    <s v="No está en VPC"/>
    <n v="414"/>
    <s v="INTPG_ACC_414_1.58"/>
    <s v="ISEL-1.58"/>
    <n v="1"/>
    <s v="NO TIENE L3OUT"/>
    <n v="144"/>
    <n v="96"/>
  </r>
  <r>
    <n v="416"/>
    <x v="1"/>
    <x v="251"/>
    <s v="eth1/58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58"/>
    <x v="0"/>
    <x v="0"/>
    <x v="0"/>
    <s v="ITHRTC4ANB1"/>
    <x v="6"/>
    <b v="0"/>
    <s v="No está en VPC"/>
    <n v="418"/>
    <s v="INTPG_ACC_418_1.58"/>
    <s v="ISEL-1.58"/>
    <n v="1"/>
    <s v="NO TIENE L3OUT"/>
    <n v="152"/>
    <n v="96"/>
  </r>
  <r>
    <n v="413"/>
    <x v="1"/>
    <x v="253"/>
    <s v="eth1/58"/>
    <x v="0"/>
    <x v="0"/>
    <x v="0"/>
    <s v="ixtnpscol01"/>
    <x v="6"/>
    <b v="0"/>
    <s v="No está en VPC"/>
    <n v="413"/>
    <s v="INTPG_ACC_413_1.58"/>
    <s v="ISEL-1.58"/>
    <n v="1"/>
    <s v="NO TIENE L3OUT"/>
    <n v="126"/>
    <n v="96"/>
  </r>
  <r>
    <n v="403"/>
    <x v="1"/>
    <x v="254"/>
    <s v="eth1/58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58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58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58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58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58"/>
    <x v="0"/>
    <x v="0"/>
    <x v="0"/>
    <s v="COMISIONES"/>
    <x v="6"/>
    <b v="0"/>
    <s v="No está en VPC"/>
    <n v="106"/>
    <s v="INTPG_ACC_106_1.58"/>
    <s v="ISEL-1.58"/>
    <n v="1"/>
    <s v="NO TIENE L3OUT"/>
    <n v="122"/>
    <n v="96"/>
  </r>
  <r>
    <n v="126"/>
    <x v="0"/>
    <x v="260"/>
    <s v="eth1/58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58"/>
    <x v="0"/>
    <x v="0"/>
    <x v="0"/>
    <s v="VTA_uxvta073_Net3"/>
    <x v="6"/>
    <b v="0"/>
    <s v="No está en VPC"/>
    <n v="425"/>
    <s v="INTPG_ACC_425_1.58"/>
    <s v="ISEL-1.58"/>
    <n v="1"/>
    <s v="NO TIENE L3OUT"/>
    <n v="86"/>
    <n v="96"/>
  </r>
  <r>
    <n v="151"/>
    <x v="0"/>
    <x v="262"/>
    <s v="eth1/58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58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58"/>
    <x v="0"/>
    <x v="0"/>
    <x v="0"/>
    <s v="SPECSERVER2_ETH4"/>
    <x v="6"/>
    <b v="0"/>
    <s v="No está en VPC"/>
    <n v="419"/>
    <s v="INTPG_ACC_419_1.58"/>
    <s v="ISEL-1.58"/>
    <n v="1"/>
    <s v="NO TIENE L3OUT"/>
    <n v="70"/>
    <n v="96"/>
  </r>
  <r>
    <n v="155"/>
    <x v="0"/>
    <x v="265"/>
    <s v="eth1/58"/>
    <x v="0"/>
    <x v="0"/>
    <x v="0"/>
    <s v="Consolidaci\u00f3n Aplicaciones Prepago"/>
    <x v="6"/>
    <b v="0"/>
    <s v="No está en VPC"/>
    <n v="155"/>
    <s v="INTPG_ACC_155_1.58"/>
    <s v="ISEL-1.58"/>
    <n v="1"/>
    <s v="NO TIENE L3OUT"/>
    <n v="198"/>
    <n v="96"/>
  </r>
  <r>
    <n v="409"/>
    <x v="1"/>
    <x v="266"/>
    <s v="eth1/58"/>
    <x v="0"/>
    <x v="0"/>
    <x v="0"/>
    <s v="UXIMSI2_NETMGT-2"/>
    <x v="6"/>
    <b v="0"/>
    <s v="No está en VPC"/>
    <n v="409"/>
    <s v="INTPG_ACC_409_1.58"/>
    <s v="ISEL-1.58"/>
    <n v="1"/>
    <s v="NO TIENE L3OUT"/>
    <n v="128"/>
    <n v="96"/>
  </r>
  <r>
    <n v="422"/>
    <x v="1"/>
    <x v="267"/>
    <s v="eth1/58"/>
    <x v="0"/>
    <x v="1"/>
    <x v="1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58"/>
    <x v="0"/>
    <x v="0"/>
    <x v="0"/>
    <m/>
    <x v="6"/>
    <b v="0"/>
    <s v="No está en VPC"/>
    <n v="436"/>
    <s v="INTPG_ACC_436_1.58"/>
    <s v="ISEL-1.58"/>
    <n v="0"/>
    <s v="NO TIENE L3OUT"/>
    <n v="172"/>
    <n v="96"/>
  </r>
  <r>
    <n v="410"/>
    <x v="1"/>
    <x v="269"/>
    <s v="eth1/58"/>
    <x v="0"/>
    <x v="0"/>
    <x v="0"/>
    <s v="ITHRTC22VC2X4"/>
    <x v="6"/>
    <b v="0"/>
    <s v="No está en VPC"/>
    <n v="410"/>
    <s v="INTPG_ACC_410_1.58"/>
    <s v="ISEL-1.58"/>
    <n v="1"/>
    <s v="NO TIENE L3OUT"/>
    <n v="178"/>
    <n v="96"/>
  </r>
  <r>
    <n v="161"/>
    <x v="0"/>
    <x v="270"/>
    <s v="eth1/58"/>
    <x v="0"/>
    <x v="0"/>
    <x v="0"/>
    <s v="MULTIMEDIACION_1"/>
    <x v="6"/>
    <b v="0"/>
    <s v="No está en VPC"/>
    <n v="161"/>
    <s v="INTPG_ACC_161_1.58"/>
    <s v="ISEL-1.58"/>
    <n v="1"/>
    <s v="NO TIENE L3OUT"/>
    <n v="102"/>
    <n v="96"/>
  </r>
  <r>
    <n v="411"/>
    <x v="1"/>
    <x v="271"/>
    <s v="eth1/58"/>
    <x v="0"/>
    <x v="0"/>
    <x v="0"/>
    <s v="TO-ITHFHPNBURBKP05-PRINCIPAL"/>
    <x v="6"/>
    <b v="0"/>
    <s v="No está en VPC"/>
    <n v="411"/>
    <s v="INTPG_ACC_411_1.58"/>
    <s v="ISEL-1.58"/>
    <n v="1"/>
    <s v="NO TIENE L3OUT"/>
    <n v="96"/>
    <n v="96"/>
  </r>
  <r>
    <n v="116"/>
    <x v="0"/>
    <x v="272"/>
    <s v="eth1/58"/>
    <x v="0"/>
    <x v="1"/>
    <x v="1"/>
    <s v="USSD TANGO"/>
    <x v="6"/>
    <b v="0"/>
    <s v="No está en VPC"/>
    <n v="116"/>
    <s v="INTPG_ACC_116_1.58"/>
    <s v="ISEL-1.58"/>
    <n v="1"/>
    <s v="NO TIENE L3OUT"/>
    <n v="148"/>
    <n v="96"/>
  </r>
  <r>
    <n v="412"/>
    <x v="1"/>
    <x v="273"/>
    <s v="eth1/58"/>
    <x v="0"/>
    <x v="0"/>
    <x v="0"/>
    <s v="ITHRTC61VC2X4"/>
    <x v="6"/>
    <b v="0"/>
    <s v="No está en VPC"/>
    <n v="412"/>
    <s v="INTPG_ACC_412_1.58"/>
    <s v="ISEL-1.58"/>
    <n v="1"/>
    <s v="NO TIENE L3OUT"/>
    <n v="126"/>
    <n v="96"/>
  </r>
  <r>
    <n v="120"/>
    <x v="0"/>
    <x v="274"/>
    <s v="eth1/58"/>
    <x v="0"/>
    <x v="0"/>
    <x v="0"/>
    <s v="TRAP"/>
    <x v="6"/>
    <b v="0"/>
    <s v="No está en VPC"/>
    <n v="120"/>
    <s v="INTPG_PC_120_1.58-61"/>
    <s v="ISEL-1.58"/>
    <n v="1"/>
    <s v="NO TIENE L3OUT"/>
    <n v="158"/>
    <n v="96"/>
  </r>
  <r>
    <n v="404"/>
    <x v="1"/>
    <x v="275"/>
    <s v="eth1/58"/>
    <x v="0"/>
    <x v="0"/>
    <x v="0"/>
    <s v="MULTI02_S13"/>
    <x v="6"/>
    <b v="0"/>
    <s v="No está en VPC"/>
    <n v="404"/>
    <s v="INTPG_ACC_404_1.58"/>
    <s v="ISEL-1.58"/>
    <n v="1"/>
    <s v="NO TIENE L3OUT"/>
    <n v="92"/>
    <n v="96"/>
  </r>
  <r>
    <n v="167"/>
    <x v="0"/>
    <x v="276"/>
    <s v="eth1/58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58"/>
    <x v="0"/>
    <x v="0"/>
    <x v="0"/>
    <s v="Ilo_ora01hpov_Primario"/>
    <x v="6"/>
    <b v="0"/>
    <s v="No está en VPC"/>
    <n v="428"/>
    <s v="INTPG_ACC_428_1.58"/>
    <s v="ISEL-1.58"/>
    <n v="1"/>
    <s v="NO TIENE L3OUT"/>
    <n v="102"/>
    <n v="96"/>
  </r>
  <r>
    <n v="105"/>
    <x v="0"/>
    <x v="205"/>
    <s v="eth1/59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59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59"/>
    <x v="0"/>
    <x v="1"/>
    <x v="1"/>
    <s v="SILOT"/>
    <x v="6"/>
    <b v="0"/>
    <s v="No está en VPC"/>
    <n v="104"/>
    <s v="INTPG_ACC_104_1.59"/>
    <s v="ISEL-1.59"/>
    <n v="1"/>
    <s v="NO TIENE L3OUT"/>
    <n v="194"/>
    <n v="96"/>
  </r>
  <r>
    <n v="158"/>
    <x v="0"/>
    <x v="208"/>
    <s v="eth1/59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59"/>
    <x v="0"/>
    <x v="0"/>
    <x v="0"/>
    <s v="DATAPOWER"/>
    <x v="6"/>
    <b v="0"/>
    <s v="No está en VPC"/>
    <n v="108"/>
    <s v="INTPG_ACC_108_1.59"/>
    <s v="ISEL-1.59"/>
    <n v="1"/>
    <s v="NO TIENE L3OUT"/>
    <n v="126"/>
    <n v="96"/>
  </r>
  <r>
    <n v="112"/>
    <x v="0"/>
    <x v="212"/>
    <s v="eth1/59"/>
    <x v="0"/>
    <x v="1"/>
    <x v="1"/>
    <s v="SAPCC"/>
    <x v="6"/>
    <b v="0"/>
    <s v="No está en VPC"/>
    <n v="112"/>
    <s v="INTPG_ACC_112_1.59"/>
    <s v="ISEL-1.59"/>
    <n v="1"/>
    <s v="NO TIENE L3OUT"/>
    <n v="144"/>
    <n v="96"/>
  </r>
  <r>
    <n v="107"/>
    <x v="0"/>
    <x v="213"/>
    <s v="eth1/59"/>
    <x v="0"/>
    <x v="1"/>
    <x v="1"/>
    <m/>
    <x v="6"/>
    <b v="0"/>
    <s v="No está en VPC"/>
    <n v="107"/>
    <s v="INTPG_ACC_107_1.59"/>
    <s v="ISEL-1.59"/>
    <n v="1"/>
    <s v="NO TIENE L3OUT"/>
    <n v="118"/>
    <n v="96"/>
  </r>
  <r>
    <n v="109"/>
    <x v="0"/>
    <x v="214"/>
    <s v="eth1/59"/>
    <x v="0"/>
    <x v="0"/>
    <x v="0"/>
    <m/>
    <x v="6"/>
    <b v="0"/>
    <s v="No está en VPC"/>
    <n v="109"/>
    <s v="NO EXISTE PG"/>
    <s v="NO EXISTE ISEL"/>
    <n v="1"/>
    <s v="NO TIENE L3OUT"/>
    <n v="126"/>
    <n v="96"/>
  </r>
  <r>
    <n v="113"/>
    <x v="0"/>
    <x v="215"/>
    <s v="eth1/59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59"/>
    <x v="0"/>
    <x v="1"/>
    <x v="1"/>
    <s v="SAPCC"/>
    <x v="6"/>
    <b v="0"/>
    <s v="No está en VPC"/>
    <n v="114"/>
    <s v="INTPG_ACC_114_1.59"/>
    <s v="ISEL-1.59"/>
    <n v="1"/>
    <s v="NO TIENE L3OUT"/>
    <n v="144"/>
    <n v="96"/>
  </r>
  <r>
    <n v="124"/>
    <x v="0"/>
    <x v="217"/>
    <s v="eth1/59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59"/>
    <x v="0"/>
    <x v="1"/>
    <x v="1"/>
    <s v="NOTIFICATION SERVER TANGO"/>
    <x v="6"/>
    <b v="0"/>
    <s v="No está en VPC"/>
    <n v="118"/>
    <s v="INTPG_ACC_118_1.59"/>
    <s v="ISEL-1.59"/>
    <n v="1"/>
    <s v="NO TIENE L3OUT"/>
    <n v="180"/>
    <n v="96"/>
  </r>
  <r>
    <n v="159"/>
    <x v="0"/>
    <x v="219"/>
    <s v="eth1/59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59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59"/>
    <x v="0"/>
    <x v="0"/>
    <x v="0"/>
    <s v="CELCITE"/>
    <x v="6"/>
    <b v="0"/>
    <s v="No está en VPC"/>
    <n v="163"/>
    <s v="INTPG_ACC_163_1.59"/>
    <s v="ISEL-1.59"/>
    <n v="1"/>
    <s v="NO TIENE L3OUT"/>
    <n v="140"/>
    <n v="96"/>
  </r>
  <r>
    <n v="407"/>
    <x v="1"/>
    <x v="224"/>
    <s v="eth1/59"/>
    <x v="0"/>
    <x v="0"/>
    <x v="0"/>
    <s v="UXIMSI1_IXGBE0"/>
    <x v="6"/>
    <b v="0"/>
    <s v="No está en VPC"/>
    <n v="407"/>
    <s v="INTPG_ACC_407_1.59"/>
    <s v="ISEL-1.59"/>
    <n v="1"/>
    <s v="NO TIENE L3OUT"/>
    <n v="122"/>
    <n v="96"/>
  </r>
  <r>
    <n v="171"/>
    <x v="0"/>
    <x v="225"/>
    <s v="eth1/59"/>
    <x v="1"/>
    <x v="1"/>
    <x v="2"/>
    <s v="SRS (Speedy Rating System)"/>
    <x v="6"/>
    <b v="0"/>
    <s v="No está en VPC"/>
    <n v="171"/>
    <s v="INTPG_ACC_171_1.59"/>
    <s v="ISEL-1.59"/>
    <n v="1"/>
    <s v="NO TIENE L3OUT"/>
    <n v="114"/>
    <n v="96"/>
  </r>
  <r>
    <n v="421"/>
    <x v="1"/>
    <x v="226"/>
    <s v="eth1/59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59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59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59"/>
    <x v="0"/>
    <x v="0"/>
    <x v="0"/>
    <s v="SRS (Speedy Rating System)"/>
    <x v="6"/>
    <b v="0"/>
    <s v="No está en VPC"/>
    <n v="172"/>
    <s v="INTPG_ACC_172_1.59"/>
    <s v="ISEL-1.59"/>
    <n v="1"/>
    <s v="NO TIENE L3OUT"/>
    <n v="104"/>
    <n v="96"/>
  </r>
  <r>
    <n v="420"/>
    <x v="1"/>
    <x v="230"/>
    <s v="eth1/59"/>
    <x v="0"/>
    <x v="0"/>
    <x v="0"/>
    <s v="MGT-9C-FANA-IXTLA_3_PTO3"/>
    <x v="6"/>
    <b v="0"/>
    <s v="No está en VPC"/>
    <n v="420"/>
    <s v="INTPG_ACC_420_1.59"/>
    <s v="ISEL-1.59"/>
    <n v="1"/>
    <s v="NO TIENE L3OUT"/>
    <n v="158"/>
    <n v="96"/>
  </r>
  <r>
    <n v="423"/>
    <x v="1"/>
    <x v="231"/>
    <s v="eth1/59"/>
    <x v="0"/>
    <x v="0"/>
    <x v="0"/>
    <s v="HP Proliant DL380p(d)"/>
    <x v="6"/>
    <b v="0"/>
    <s v="No está en VPC"/>
    <n v="423"/>
    <s v="INTPG_ACC_423_1.59"/>
    <s v="ISEL-1.59"/>
    <n v="1"/>
    <s v="NO TIENE L3OUT"/>
    <n v="86"/>
    <n v="96"/>
  </r>
  <r>
    <n v="415"/>
    <x v="1"/>
    <x v="232"/>
    <s v="eth1/59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59"/>
    <x v="0"/>
    <x v="1"/>
    <x v="1"/>
    <s v="BLACKBERRY:SECURITY TEST:VC2-X3"/>
    <x v="6"/>
    <b v="0"/>
    <s v="No está en VPC"/>
    <n v="102"/>
    <s v="INTPG_PC_102_1.52_57-63"/>
    <s v="ISEL-1.59"/>
    <n v="32"/>
    <s v="NO TIENE L3OUT"/>
    <n v="228"/>
    <n v="96"/>
  </r>
  <r>
    <n v="122"/>
    <x v="0"/>
    <x v="237"/>
    <s v="eth1/59"/>
    <x v="0"/>
    <x v="0"/>
    <x v="0"/>
    <s v="IXTTRAP-ETL"/>
    <x v="6"/>
    <b v="0"/>
    <s v="No está en VPC"/>
    <n v="122"/>
    <s v="INTPG_ACC_122_1.59"/>
    <s v="ISEL-1.59"/>
    <n v="1"/>
    <s v="NO TIENE L3OUT"/>
    <n v="148"/>
    <n v="96"/>
  </r>
  <r>
    <n v="157"/>
    <x v="0"/>
    <x v="238"/>
    <s v="eth1/59"/>
    <x v="0"/>
    <x v="0"/>
    <x v="0"/>
    <s v="PORTAL CAUTIVO"/>
    <x v="6"/>
    <b v="0"/>
    <s v="No está en VPC"/>
    <n v="157"/>
    <s v="INTPG_ACC_157_1.59"/>
    <s v="ISEL-1.59"/>
    <n v="1"/>
    <s v="NO TIENE L3OUT"/>
    <n v="202"/>
    <n v="96"/>
  </r>
  <r>
    <n v="408"/>
    <x v="1"/>
    <x v="239"/>
    <s v="eth1/59"/>
    <x v="0"/>
    <x v="0"/>
    <x v="0"/>
    <s v="DESC"/>
    <x v="6"/>
    <b v="0"/>
    <s v="No está en VPC"/>
    <n v="408"/>
    <s v="INTPG_PC_408_1.59-60"/>
    <s v="ISEL-1.59"/>
    <n v="1"/>
    <s v="NO TIENE L3OUT"/>
    <n v="152"/>
    <n v="96"/>
  </r>
  <r>
    <n v="405"/>
    <x v="1"/>
    <x v="240"/>
    <s v="eth1/59"/>
    <x v="0"/>
    <x v="1"/>
    <x v="1"/>
    <s v="SRX240-TELCEL2-NODE1"/>
    <x v="6"/>
    <b v="0"/>
    <s v="No está en VPC"/>
    <n v="405"/>
    <s v="INTPG_ACC_405_1.59"/>
    <s v="ISEL-1.59"/>
    <n v="1"/>
    <s v="NO TIENE L3OUT"/>
    <n v="138"/>
    <n v="96"/>
  </r>
  <r>
    <n v="169"/>
    <x v="0"/>
    <x v="241"/>
    <s v="eth1/59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59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59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59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59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59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59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59"/>
    <x v="0"/>
    <x v="0"/>
    <x v="0"/>
    <s v="TO_ITHEMCDD94008139DKC0_IDRAC"/>
    <x v="6"/>
    <b v="0"/>
    <s v="No está en VPC"/>
    <n v="438"/>
    <s v="INTPG_ACC_438_1.59"/>
    <s v="ISEL-1.59"/>
    <n v="1"/>
    <s v="NO TIENE L3OUT"/>
    <n v="170"/>
    <n v="96"/>
  </r>
  <r>
    <n v="406"/>
    <x v="1"/>
    <x v="249"/>
    <s v="eth1/59"/>
    <x v="0"/>
    <x v="0"/>
    <x v="0"/>
    <s v="DESC"/>
    <x v="6"/>
    <b v="0"/>
    <s v="No está en VPC"/>
    <n v="406"/>
    <s v="INTPG_PC_406_1.59-60"/>
    <s v="ISEL-1.59"/>
    <n v="1"/>
    <s v="NO TIENE L3OUT"/>
    <n v="82"/>
    <n v="96"/>
  </r>
  <r>
    <n v="414"/>
    <x v="1"/>
    <x v="250"/>
    <s v="eth1/59"/>
    <x v="0"/>
    <x v="1"/>
    <x v="1"/>
    <s v="uxcompr1"/>
    <x v="6"/>
    <b v="0"/>
    <s v="No está en VPC"/>
    <n v="414"/>
    <s v="INTPG_ACC_414_1.59"/>
    <s v="ISEL-1.59"/>
    <n v="1"/>
    <s v="NO TIENE L3OUT"/>
    <n v="144"/>
    <n v="96"/>
  </r>
  <r>
    <n v="416"/>
    <x v="1"/>
    <x v="251"/>
    <s v="eth1/59"/>
    <x v="0"/>
    <x v="0"/>
    <x v="0"/>
    <s v="MGT-9C-FANA-IXTLA_3_PTO1"/>
    <x v="6"/>
    <b v="0"/>
    <s v="No está en VPC"/>
    <n v="416"/>
    <s v="INTPG_ACC_416_1.59"/>
    <s v="ISEL-1.59"/>
    <n v="1"/>
    <s v="NO TIENE L3OUT"/>
    <n v="110"/>
    <n v="96"/>
  </r>
  <r>
    <n v="418"/>
    <x v="1"/>
    <x v="252"/>
    <s v="eth1/59"/>
    <x v="0"/>
    <x v="0"/>
    <x v="0"/>
    <s v="ITHRTC4AEN1OA1"/>
    <x v="6"/>
    <b v="0"/>
    <s v="No está en VPC"/>
    <n v="418"/>
    <s v="INTPG_ACC_418_1.59"/>
    <s v="ISEL-1.59"/>
    <n v="1"/>
    <s v="NO TIENE L3OUT"/>
    <n v="152"/>
    <n v="96"/>
  </r>
  <r>
    <n v="413"/>
    <x v="1"/>
    <x v="253"/>
    <s v="eth1/59"/>
    <x v="0"/>
    <x v="0"/>
    <x v="0"/>
    <s v="ixtnnmcol01"/>
    <x v="6"/>
    <b v="0"/>
    <s v="No está en VPC"/>
    <n v="413"/>
    <s v="INTPG_ACC_413_1.59"/>
    <s v="ISEL-1.59"/>
    <n v="1"/>
    <s v="NO TIENE L3OUT"/>
    <n v="126"/>
    <n v="96"/>
  </r>
  <r>
    <n v="403"/>
    <x v="1"/>
    <x v="254"/>
    <s v="eth1/59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59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59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59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59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59"/>
    <x v="0"/>
    <x v="1"/>
    <x v="1"/>
    <s v="COMISIONES"/>
    <x v="6"/>
    <b v="0"/>
    <s v="No está en VPC"/>
    <n v="106"/>
    <s v="INTPG_ACC_106_1.59"/>
    <s v="ISEL-1.59"/>
    <n v="1"/>
    <s v="NO TIENE L3OUT"/>
    <n v="122"/>
    <n v="96"/>
  </r>
  <r>
    <n v="126"/>
    <x v="0"/>
    <x v="260"/>
    <s v="eth1/59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59"/>
    <x v="0"/>
    <x v="0"/>
    <x v="0"/>
    <s v="VTA_uxvta074_Net3"/>
    <x v="6"/>
    <b v="0"/>
    <s v="No está en VPC"/>
    <n v="425"/>
    <s v="INTPG_ACC_425_1.59"/>
    <s v="ISEL-1.59"/>
    <n v="1"/>
    <s v="NO TIENE L3OUT"/>
    <n v="86"/>
    <n v="96"/>
  </r>
  <r>
    <n v="151"/>
    <x v="0"/>
    <x v="262"/>
    <s v="eth1/59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59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59"/>
    <x v="0"/>
    <x v="0"/>
    <x v="0"/>
    <s v="SPECSERVER2_VMOTION1"/>
    <x v="6"/>
    <b v="0"/>
    <s v="No está en VPC"/>
    <n v="419"/>
    <s v="INTPG_ACC_419_1.59"/>
    <s v="ISEL-1.59"/>
    <n v="1"/>
    <s v="NO TIENE L3OUT"/>
    <n v="70"/>
    <n v="96"/>
  </r>
  <r>
    <n v="155"/>
    <x v="0"/>
    <x v="265"/>
    <s v="eth1/59"/>
    <x v="0"/>
    <x v="0"/>
    <x v="0"/>
    <s v="Cons. Prepago M8000"/>
    <x v="6"/>
    <b v="0"/>
    <s v="No está en VPC"/>
    <n v="155"/>
    <s v="INTPG_ACC_155_1.59"/>
    <s v="ISEL-1.59"/>
    <n v="1"/>
    <s v="NO TIENE L3OUT"/>
    <n v="198"/>
    <n v="96"/>
  </r>
  <r>
    <n v="409"/>
    <x v="1"/>
    <x v="266"/>
    <s v="eth1/59"/>
    <x v="0"/>
    <x v="0"/>
    <x v="0"/>
    <s v="UXIMSI2_IGB4"/>
    <x v="6"/>
    <b v="0"/>
    <s v="No está en VPC"/>
    <n v="409"/>
    <s v="INTPG_ACC_409_1.59"/>
    <s v="ISEL-1.59"/>
    <n v="1"/>
    <s v="NO TIENE L3OUT"/>
    <n v="128"/>
    <n v="96"/>
  </r>
  <r>
    <n v="422"/>
    <x v="1"/>
    <x v="267"/>
    <s v="eth1/59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59"/>
    <x v="0"/>
    <x v="1"/>
    <x v="1"/>
    <m/>
    <x v="6"/>
    <b v="0"/>
    <s v="No está en VPC"/>
    <n v="436"/>
    <s v="INTPG_ACC_436_1.59"/>
    <s v="ISEL-1.59"/>
    <n v="0"/>
    <s v="NO TIENE L3OUT"/>
    <n v="172"/>
    <n v="96"/>
  </r>
  <r>
    <n v="410"/>
    <x v="1"/>
    <x v="269"/>
    <s v="eth1/59"/>
    <x v="0"/>
    <x v="0"/>
    <x v="0"/>
    <s v="ITHRTC21VC2X4"/>
    <x v="6"/>
    <b v="0"/>
    <s v="No está en VPC"/>
    <n v="410"/>
    <s v="INTPG_ACC_410_1.59"/>
    <s v="ISEL-1.59"/>
    <n v="1"/>
    <s v="NO TIENE L3OUT"/>
    <n v="178"/>
    <n v="96"/>
  </r>
  <r>
    <n v="161"/>
    <x v="0"/>
    <x v="270"/>
    <s v="eth1/59"/>
    <x v="0"/>
    <x v="0"/>
    <x v="0"/>
    <s v="MULTIMEDIACION_1"/>
    <x v="6"/>
    <b v="0"/>
    <s v="No está en VPC"/>
    <n v="161"/>
    <s v="INTPG_ACC_161_1.59"/>
    <s v="ISEL-1.59"/>
    <n v="1"/>
    <s v="NO TIENE L3OUT"/>
    <n v="102"/>
    <n v="96"/>
  </r>
  <r>
    <n v="411"/>
    <x v="1"/>
    <x v="271"/>
    <s v="eth1/59"/>
    <x v="0"/>
    <x v="0"/>
    <x v="0"/>
    <s v="TO-ITHFHPNBURBKP06-PRINCIPAL"/>
    <x v="6"/>
    <b v="0"/>
    <s v="No está en VPC"/>
    <n v="411"/>
    <s v="INTPG_ACC_411_1.59"/>
    <s v="ISEL-1.59"/>
    <n v="1"/>
    <s v="NO TIENE L3OUT"/>
    <n v="96"/>
    <n v="96"/>
  </r>
  <r>
    <n v="116"/>
    <x v="0"/>
    <x v="272"/>
    <s v="eth1/59"/>
    <x v="0"/>
    <x v="1"/>
    <x v="1"/>
    <s v="USSD TANGO"/>
    <x v="6"/>
    <b v="0"/>
    <s v="No está en VPC"/>
    <n v="116"/>
    <s v="INTPG_ACC_116_1.59"/>
    <s v="ISEL-1.59"/>
    <n v="1"/>
    <s v="NO TIENE L3OUT"/>
    <n v="148"/>
    <n v="96"/>
  </r>
  <r>
    <n v="412"/>
    <x v="1"/>
    <x v="273"/>
    <s v="eth1/59"/>
    <x v="0"/>
    <x v="0"/>
    <x v="0"/>
    <s v="ITHRTC62VC2X4"/>
    <x v="6"/>
    <b v="0"/>
    <s v="No está en VPC"/>
    <n v="412"/>
    <s v="INTPG_ACC_412_1.59"/>
    <s v="ISEL-1.59"/>
    <n v="1"/>
    <s v="NO TIENE L3OUT"/>
    <n v="126"/>
    <n v="96"/>
  </r>
  <r>
    <n v="120"/>
    <x v="0"/>
    <x v="274"/>
    <s v="eth1/59"/>
    <x v="0"/>
    <x v="0"/>
    <x v="0"/>
    <s v="TRAP"/>
    <x v="6"/>
    <b v="0"/>
    <s v="No está en VPC"/>
    <n v="120"/>
    <s v="INTPG_PC_120_1.58-61"/>
    <s v="ISEL-1.59"/>
    <n v="1"/>
    <s v="NO TIENE L3OUT"/>
    <n v="158"/>
    <n v="96"/>
  </r>
  <r>
    <n v="404"/>
    <x v="1"/>
    <x v="275"/>
    <s v="eth1/59"/>
    <x v="0"/>
    <x v="1"/>
    <x v="1"/>
    <s v="uxcompr1"/>
    <x v="6"/>
    <b v="0"/>
    <s v="No está en VPC"/>
    <n v="404"/>
    <s v="INTPG_ACC_404_1.59"/>
    <s v="ISEL-1.59"/>
    <n v="1"/>
    <s v="NO TIENE L3OUT"/>
    <n v="92"/>
    <n v="96"/>
  </r>
  <r>
    <n v="167"/>
    <x v="0"/>
    <x v="276"/>
    <s v="eth1/59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59"/>
    <x v="0"/>
    <x v="0"/>
    <x v="0"/>
    <s v="Ilo_ora02hpov_Primario"/>
    <x v="6"/>
    <b v="0"/>
    <s v="No está en VPC"/>
    <n v="428"/>
    <s v="INTPG_ACC_428_1.59"/>
    <s v="ISEL-1.59"/>
    <n v="1"/>
    <s v="NO TIENE L3OUT"/>
    <n v="102"/>
    <n v="96"/>
  </r>
  <r>
    <n v="128"/>
    <x v="0"/>
    <x v="0"/>
    <s v="eth1/6"/>
    <x v="0"/>
    <x v="0"/>
    <x v="0"/>
    <s v="HUECOS DC_S1"/>
    <x v="0"/>
    <b v="0"/>
    <s v="No está en VPC"/>
    <n v="128"/>
    <s v="INTPG_VPC_128_1.1-6_129_1.1-6"/>
    <s v="ISEL-1.6"/>
    <n v="1"/>
    <s v="NO TIENE L3OUT"/>
    <n v="0"/>
    <n v="54"/>
  </r>
  <r>
    <n v="123"/>
    <x v="0"/>
    <x v="1"/>
    <s v="eth1/6"/>
    <x v="0"/>
    <x v="0"/>
    <x v="0"/>
    <m/>
    <x v="1"/>
    <b v="0"/>
    <s v="No está en VPC"/>
    <n v="123"/>
    <s v="INTPG_ACC_123_1.6"/>
    <s v="ISEL-1.6"/>
    <n v="1"/>
    <s v="NO TIENE L3OUT"/>
    <n v="20"/>
    <n v="54"/>
  </r>
  <r>
    <n v="152"/>
    <x v="0"/>
    <x v="2"/>
    <s v="eth1/6"/>
    <x v="0"/>
    <x v="0"/>
    <x v="0"/>
    <s v="DASHBOARD_GESTION"/>
    <x v="1"/>
    <b v="0"/>
    <s v="No está en VPC"/>
    <n v="152"/>
    <s v="INTPG_ACC_152_1.6"/>
    <s v="ISEL-1.6"/>
    <n v="1"/>
    <s v="NO TIENE L3OUT"/>
    <n v="38"/>
    <n v="54"/>
  </r>
  <r>
    <n v="101"/>
    <x v="0"/>
    <x v="3"/>
    <s v="eth1/6"/>
    <x v="0"/>
    <x v="1"/>
    <x v="1"/>
    <s v="DESC"/>
    <x v="0"/>
    <b v="0"/>
    <s v="No está en VPC"/>
    <n v="101"/>
    <s v="INTPG_PC_101_1.2_6"/>
    <s v="ISEL-1.6"/>
    <n v="19"/>
    <s v="NO TIENE L3OUT"/>
    <n v="114"/>
    <n v="54"/>
  </r>
  <r>
    <n v="160"/>
    <x v="0"/>
    <x v="4"/>
    <s v="eth1/6"/>
    <x v="0"/>
    <x v="1"/>
    <x v="1"/>
    <s v="TRAP"/>
    <x v="1"/>
    <b v="0"/>
    <s v="No está en VPC"/>
    <n v="160"/>
    <s v="INTPG_PC_160_1.3-8"/>
    <s v="ISEL-1.6"/>
    <n v="12"/>
    <s v="NO TIENE L3OUT"/>
    <n v="68"/>
    <n v="54"/>
  </r>
  <r>
    <n v="121"/>
    <x v="0"/>
    <x v="5"/>
    <s v="eth1/6"/>
    <x v="1"/>
    <x v="1"/>
    <x v="2"/>
    <s v="TEMIP"/>
    <x v="1"/>
    <b v="0"/>
    <s v="No está en VPC"/>
    <n v="121"/>
    <s v="INTPG_ACC_121_1.6"/>
    <s v="ISEL-1.6"/>
    <n v="1"/>
    <s v="NO TIENE L3OUT"/>
    <n v="14"/>
    <n v="54"/>
  </r>
  <r>
    <n v="129"/>
    <x v="0"/>
    <x v="6"/>
    <s v="eth1/6"/>
    <x v="0"/>
    <x v="0"/>
    <x v="0"/>
    <s v="HUECOS DC_S1"/>
    <x v="0"/>
    <b v="0"/>
    <s v="No está en VPC"/>
    <n v="129"/>
    <s v="INTPG_VPC_128_1.1-6_129_1.1-6"/>
    <s v="ISEL-1.6"/>
    <n v="1"/>
    <s v="NO TIENE L3OUT"/>
    <n v="0"/>
    <n v="54"/>
  </r>
  <r>
    <n v="401"/>
    <x v="1"/>
    <x v="7"/>
    <s v="eth1/6"/>
    <x v="0"/>
    <x v="0"/>
    <x v="0"/>
    <s v="TO-ITHFDEORBIRBD01"/>
    <x v="0"/>
    <b v="0"/>
    <s v="No está en VPC"/>
    <n v="401"/>
    <s v="INTPG_VPC_401_1.6_402_1.6"/>
    <s v="ISEL-1.6"/>
    <n v="1"/>
    <s v="NO TIENE L3OUT"/>
    <n v="40"/>
    <n v="54"/>
  </r>
  <r>
    <n v="402"/>
    <x v="1"/>
    <x v="8"/>
    <s v="eth1/6"/>
    <x v="0"/>
    <x v="0"/>
    <x v="0"/>
    <s v="TO-ITHFDEORBIRBD01"/>
    <x v="0"/>
    <b v="0"/>
    <s v="No está en VPC"/>
    <n v="402"/>
    <s v="INTPG_VPC_401_1.6_402_1.6"/>
    <s v="ISEL-1.6"/>
    <n v="1"/>
    <s v="NO TIENE L3OUT"/>
    <n v="36"/>
    <n v="54"/>
  </r>
  <r>
    <n v="447"/>
    <x v="1"/>
    <x v="9"/>
    <s v="eth1/6"/>
    <x v="0"/>
    <x v="2"/>
    <x v="9"/>
    <m/>
    <x v="2"/>
    <b v="0"/>
    <s v="No está en VPC"/>
    <n v="447"/>
    <s v="INTPG_ACC_BRK_447_1.6"/>
    <s v="ISEL-1.6"/>
    <n v="0"/>
    <s v="NO TIENE L3OUT"/>
    <n v="16"/>
    <n v="42"/>
  </r>
  <r>
    <n v="445"/>
    <x v="1"/>
    <x v="10"/>
    <s v="eth1/6"/>
    <x v="0"/>
    <x v="2"/>
    <x v="9"/>
    <m/>
    <x v="2"/>
    <b v="0"/>
    <s v="No está en VPC"/>
    <n v="445"/>
    <s v="INTPG_ACC_BRK_445_1.6"/>
    <s v="ISEL-1.6"/>
    <n v="0"/>
    <s v="NO TIENE L3OUT"/>
    <n v="16"/>
    <n v="42"/>
  </r>
  <r>
    <n v="130"/>
    <x v="0"/>
    <x v="11"/>
    <s v="eth1/6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6"/>
    <x v="0"/>
    <x v="1"/>
    <x v="1"/>
    <s v="DESC"/>
    <x v="0"/>
    <b v="0"/>
    <s v="No está en VPC"/>
    <n v="150"/>
    <s v="INTPG_PC_150_1.2_6"/>
    <s v="ISEL-1.6"/>
    <n v="19"/>
    <s v="NO TIENE L3OUT"/>
    <n v="118"/>
    <n v="54"/>
  </r>
  <r>
    <n v="131"/>
    <x v="0"/>
    <x v="13"/>
    <s v="eth1/6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6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6"/>
    <x v="0"/>
    <x v="0"/>
    <x v="0"/>
    <s v="TO-ITHFHWCCEXEN01-CCEX BACKUP LAG 01_OCS_Transforma"/>
    <x v="2"/>
    <b v="0"/>
    <s v="No está en VPC"/>
    <n v="758"/>
    <s v="INTPG_VPC_758_1.6_759_1.6"/>
    <s v="ISEL-1.6"/>
    <n v="6"/>
    <s v="NO TIENE L3OUT"/>
    <n v="0"/>
    <n v="42"/>
  </r>
  <r>
    <n v="759"/>
    <x v="2"/>
    <x v="16"/>
    <s v="eth1/6"/>
    <x v="0"/>
    <x v="0"/>
    <x v="0"/>
    <s v="TO-ITHFHWCCEXEN01-CCEX BACKUP LAG 01_OCS_Transforma"/>
    <x v="2"/>
    <b v="0"/>
    <s v="No está en VPC"/>
    <n v="759"/>
    <s v="INTPG_VPC_758_1.6_759_1.6"/>
    <s v="ISEL-1.6"/>
    <n v="6"/>
    <s v="NO TIENE L3OUT"/>
    <n v="0"/>
    <n v="42"/>
  </r>
  <r>
    <n v="302"/>
    <x v="0"/>
    <x v="17"/>
    <s v="eth1/6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6"/>
    <x v="0"/>
    <x v="0"/>
    <x v="0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6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6"/>
    <x v="0"/>
    <x v="0"/>
    <x v="0"/>
    <s v="HUECOS DC_S2"/>
    <x v="0"/>
    <b v="0"/>
    <s v="No está en VPC"/>
    <n v="452"/>
    <s v="INTPG_VPC_450_1.1-6_452_1.1-6"/>
    <s v="ISEL-1.6"/>
    <n v="1"/>
    <s v="NO TIENE L3OUT"/>
    <n v="0"/>
    <n v="54"/>
  </r>
  <r>
    <n v="450"/>
    <x v="1"/>
    <x v="21"/>
    <s v="eth1/6"/>
    <x v="0"/>
    <x v="0"/>
    <x v="0"/>
    <s v="HUECOS DC_S2"/>
    <x v="0"/>
    <b v="0"/>
    <s v="No está en VPC"/>
    <n v="450"/>
    <s v="INTPG_VPC_450_1.1-6_452_1.1-6"/>
    <s v="ISEL-1.6"/>
    <n v="1"/>
    <s v="NO TIENE L3OUT"/>
    <n v="0"/>
    <n v="54"/>
  </r>
  <r>
    <n v="727"/>
    <x v="2"/>
    <x v="22"/>
    <s v="eth1/6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6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6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6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6"/>
    <x v="0"/>
    <x v="0"/>
    <x v="0"/>
    <s v="VBLOCK1"/>
    <x v="0"/>
    <b v="0"/>
    <s v="No está en VPC"/>
    <n v="431"/>
    <s v="INTPG_VPC_431_1.5-6_448_1.5-6"/>
    <s v="ISEL-1.6"/>
    <n v="10"/>
    <s v="NO TIENE L3OUT"/>
    <n v="46"/>
    <n v="54"/>
  </r>
  <r>
    <n v="433"/>
    <x v="1"/>
    <x v="27"/>
    <s v="eth1/6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6"/>
    <x v="0"/>
    <x v="0"/>
    <x v="0"/>
    <s v="FASE_1.5_REDKNEE_produccion_4_client_LAG"/>
    <x v="1"/>
    <b v="0"/>
    <s v="No está en VPC"/>
    <n v="429"/>
    <s v="INTPG_VPC_427_1.2-3_429_1.5-6"/>
    <s v="ISEL-1.6"/>
    <n v="2"/>
    <s v="NO TIENE L3OUT"/>
    <n v="8"/>
    <n v="54"/>
  </r>
  <r>
    <n v="432"/>
    <x v="1"/>
    <x v="29"/>
    <s v="eth1/6"/>
    <x v="0"/>
    <x v="0"/>
    <x v="0"/>
    <s v="SSO"/>
    <x v="1"/>
    <b v="0"/>
    <s v="No está en VPC"/>
    <n v="432"/>
    <s v="INTPG_ACC_432_1.6"/>
    <s v="ISEL-1.6"/>
    <n v="1"/>
    <s v="NO TIENE L3OUT"/>
    <n v="54"/>
    <n v="54"/>
  </r>
  <r>
    <n v="442"/>
    <x v="1"/>
    <x v="30"/>
    <s v="eth1/6"/>
    <x v="0"/>
    <x v="0"/>
    <x v="0"/>
    <s v="HUAWEI_CLOUD_FASE2_LAG3"/>
    <x v="1"/>
    <b v="0"/>
    <s v="No está en VPC"/>
    <n v="442"/>
    <s v="INTPG_VPC_440_1.6_8_442_1.6_8"/>
    <s v="ISEL-1.6"/>
    <n v="6"/>
    <s v="NO TIENE L3OUT"/>
    <n v="18"/>
    <n v="54"/>
  </r>
  <r>
    <n v="434"/>
    <x v="1"/>
    <x v="31"/>
    <s v="eth1/6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6"/>
    <x v="0"/>
    <x v="1"/>
    <x v="3"/>
    <s v="CEM:ITHCEMG2DAT03:LOM P3"/>
    <x v="0"/>
    <b v="0"/>
    <s v="No está en VPC"/>
    <n v="707"/>
    <s v="INTPG_ACC_707_1.6"/>
    <s v="ISEL-1.6"/>
    <n v="1"/>
    <s v="NO TIENE L3OUT"/>
    <n v="54"/>
    <n v="54"/>
  </r>
  <r>
    <n v="712"/>
    <x v="2"/>
    <x v="33"/>
    <s v="eth1/6"/>
    <x v="0"/>
    <x v="0"/>
    <x v="0"/>
    <s v="CEM:ITHCEMA2DAT03:LOM  P2"/>
    <x v="0"/>
    <b v="0"/>
    <s v="No está en VPC"/>
    <n v="712"/>
    <s v="INTPG_ACC_712_1.6"/>
    <s v="ISEL-1.6"/>
    <n v="1"/>
    <s v="NO TIENE L3OUT"/>
    <n v="32"/>
    <n v="54"/>
  </r>
  <r>
    <n v="719"/>
    <x v="2"/>
    <x v="34"/>
    <s v="eth1/6"/>
    <x v="0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6"/>
    <x v="0"/>
    <x v="0"/>
    <x v="0"/>
    <m/>
    <x v="0"/>
    <b v="0"/>
    <s v="No está en VPC"/>
    <n v="715"/>
    <s v="INTPG-VPC_HDD37_716_1.5_715_1.6"/>
    <s v="ISEL-1.6"/>
    <n v="1"/>
    <s v="NO TIENE L3OUT"/>
    <n v="0"/>
    <n v="54"/>
  </r>
  <r>
    <n v="427"/>
    <x v="1"/>
    <x v="36"/>
    <s v="eth1/6"/>
    <x v="0"/>
    <x v="0"/>
    <x v="0"/>
    <s v="RKN_1.5__2248_2.1_Prt_36_PRIMARIO"/>
    <x v="1"/>
    <b v="0"/>
    <s v="No está en VPC"/>
    <n v="427"/>
    <s v="INTPG_ACC_427_1.6"/>
    <s v="ISEL-1.6"/>
    <n v="2"/>
    <s v="NO TIENE L3OUT"/>
    <n v="10"/>
    <n v="54"/>
  </r>
  <r>
    <n v="711"/>
    <x v="2"/>
    <x v="37"/>
    <s v="eth1/6"/>
    <x v="0"/>
    <x v="1"/>
    <x v="5"/>
    <s v="CEM:ITHCEMD2DAT03:LOM  P2"/>
    <x v="0"/>
    <b v="0"/>
    <s v="No está en VPC"/>
    <n v="711"/>
    <s v="INTPG_VPC_710_1.5_711_1.6"/>
    <s v="ISEL-1.6"/>
    <n v="1"/>
    <s v="NO TIENE L3OUT"/>
    <n v="16"/>
    <n v="54"/>
  </r>
  <r>
    <n v="716"/>
    <x v="2"/>
    <x v="38"/>
    <s v="eth1/6"/>
    <x v="0"/>
    <x v="0"/>
    <x v="0"/>
    <m/>
    <x v="0"/>
    <b v="0"/>
    <s v="No está en VPC"/>
    <n v="716"/>
    <s v="INTPG-VPC_HDD46_715_1.5_716_1.6"/>
    <s v="ISEL-1.6"/>
    <n v="1"/>
    <s v="NO TIENE L3OUT"/>
    <n v="0"/>
    <n v="54"/>
  </r>
  <r>
    <n v="702"/>
    <x v="2"/>
    <x v="39"/>
    <s v="eth1/6"/>
    <x v="0"/>
    <x v="0"/>
    <x v="0"/>
    <m/>
    <x v="0"/>
    <b v="0"/>
    <s v="No está en VPC"/>
    <n v="702"/>
    <s v="INTPG_VPC_701_1.5_702_1.6"/>
    <s v="ISEL-1.6"/>
    <n v="1"/>
    <s v="NO TIENE L3OUT"/>
    <n v="0"/>
    <n v="54"/>
  </r>
  <r>
    <n v="435"/>
    <x v="1"/>
    <x v="40"/>
    <s v="eth1/6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6"/>
    <x v="0"/>
    <x v="0"/>
    <x v="0"/>
    <s v="TO-ITHFHPNBURBKP05"/>
    <x v="0"/>
    <b v="0"/>
    <s v="No está en VPC"/>
    <n v="446"/>
    <s v="INTPG_VPC_444_1.5_446_1.6"/>
    <s v="ISEL-1.6"/>
    <n v="1"/>
    <s v="NO TIENE L3OUT"/>
    <n v="198"/>
    <n v="54"/>
  </r>
  <r>
    <n v="444"/>
    <x v="1"/>
    <x v="42"/>
    <s v="eth1/6"/>
    <x v="0"/>
    <x v="0"/>
    <x v="0"/>
    <m/>
    <x v="0"/>
    <b v="0"/>
    <s v="No está en VPC"/>
    <n v="444"/>
    <s v="INTPG_ACC_444_1.6"/>
    <s v="ISEL-1.6"/>
    <n v="9"/>
    <s v="NO TIENE L3OUT"/>
    <n v="234"/>
    <n v="54"/>
  </r>
  <r>
    <n v="701"/>
    <x v="2"/>
    <x v="43"/>
    <s v="eth1/6"/>
    <x v="0"/>
    <x v="0"/>
    <x v="0"/>
    <m/>
    <x v="0"/>
    <b v="0"/>
    <s v="No está en VPC"/>
    <n v="701"/>
    <s v="INTPG_VPC_702_1.5_701_1.6"/>
    <s v="ISEL-1.6"/>
    <n v="1"/>
    <s v="NO TIENE L3OUT"/>
    <n v="0"/>
    <n v="54"/>
  </r>
  <r>
    <n v="440"/>
    <x v="1"/>
    <x v="44"/>
    <s v="eth1/6"/>
    <x v="0"/>
    <x v="0"/>
    <x v="0"/>
    <s v="HUAWEI_CLOUD_FASE2_LAG3"/>
    <x v="1"/>
    <b v="0"/>
    <s v="No está en VPC"/>
    <n v="440"/>
    <s v="INTPG_VPC_440_1.6_8_442_1.6_8"/>
    <s v="ISEL-1.6"/>
    <n v="6"/>
    <s v="NO TIENE L3OUT"/>
    <n v="22"/>
    <n v="54"/>
  </r>
  <r>
    <n v="448"/>
    <x v="1"/>
    <x v="45"/>
    <s v="eth1/6"/>
    <x v="0"/>
    <x v="0"/>
    <x v="0"/>
    <s v="VBLOCK1"/>
    <x v="0"/>
    <b v="0"/>
    <s v="No está en VPC"/>
    <n v="448"/>
    <s v="INTPG_VPC_431_1.5-6_448_1.5-6"/>
    <s v="ISEL-1.6"/>
    <n v="10"/>
    <s v="NO TIENE L3OUT"/>
    <n v="46"/>
    <n v="54"/>
  </r>
  <r>
    <n v="704"/>
    <x v="2"/>
    <x v="46"/>
    <s v="eth1/6"/>
    <x v="0"/>
    <x v="0"/>
    <x v="0"/>
    <m/>
    <x v="0"/>
    <b v="0"/>
    <s v="No está en VPC"/>
    <n v="704"/>
    <s v="INTPG_VPC_703_1.5_704_1.6"/>
    <s v="ISEL-1.6"/>
    <n v="1"/>
    <s v="NO TIENE L3OUT"/>
    <n v="0"/>
    <n v="54"/>
  </r>
  <r>
    <n v="729"/>
    <x v="2"/>
    <x v="47"/>
    <s v="eth1/6"/>
    <x v="0"/>
    <x v="0"/>
    <x v="0"/>
    <s v="eth-trunk-31"/>
    <x v="0"/>
    <b v="0"/>
    <s v="No está en VPC"/>
    <n v="729"/>
    <s v="INTPG_VPC_728_1.6-7_729_1.6-7"/>
    <s v="ISEL-1.6"/>
    <n v="9"/>
    <s v="NO TIENE L3OUT"/>
    <n v="4"/>
    <n v="54"/>
  </r>
  <r>
    <n v="728"/>
    <x v="2"/>
    <x v="48"/>
    <s v="eth1/6"/>
    <x v="0"/>
    <x v="0"/>
    <x v="0"/>
    <s v="eth-trunk-31"/>
    <x v="0"/>
    <b v="0"/>
    <s v="No está en VPC"/>
    <n v="728"/>
    <s v="INTPG_VPC_728_1.6-7_729_1.6-7"/>
    <s v="ISEL-1.6"/>
    <n v="9"/>
    <s v="NO TIENE L3OUT"/>
    <n v="2"/>
    <n v="54"/>
  </r>
  <r>
    <n v="456"/>
    <x v="1"/>
    <x v="49"/>
    <s v="eth1/6"/>
    <x v="0"/>
    <x v="0"/>
    <x v="0"/>
    <s v="HACIA_CSI-B-OSCP-F4-06_SECUNDARIO"/>
    <x v="4"/>
    <b v="0"/>
    <s v="No está en VPC"/>
    <n v="456"/>
    <s v="INTPG_VPC_454_1.6_456_1.6"/>
    <s v="ISEL-1.6"/>
    <n v="2"/>
    <s v="NO TIENE L3OUT"/>
    <n v="4"/>
    <n v="54"/>
  </r>
  <r>
    <n v="603"/>
    <x v="1"/>
    <x v="50"/>
    <s v="eth1/6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6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6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6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6"/>
    <x v="0"/>
    <x v="0"/>
    <x v="0"/>
    <m/>
    <x v="0"/>
    <b v="0"/>
    <s v="No está en VPC"/>
    <n v="722"/>
    <s v="INTPG-VPC_HDD118_723_1.5_722_1.6"/>
    <s v="ISEL-1.6"/>
    <n v="1"/>
    <s v="NO TIENE L3OUT"/>
    <n v="0"/>
    <n v="54"/>
  </r>
  <r>
    <n v="733"/>
    <x v="2"/>
    <x v="55"/>
    <s v="eth1/6"/>
    <x v="0"/>
    <x v="0"/>
    <x v="0"/>
    <s v="TO-TESTBED"/>
    <x v="0"/>
    <b v="0"/>
    <s v="No está en VPC"/>
    <n v="733"/>
    <s v="INTPG_VPC_732_1.6-7_733_1.6-7"/>
    <s v="ISEL-1.6"/>
    <n v="3"/>
    <s v="NO TIENE L3OUT"/>
    <n v="0"/>
    <n v="54"/>
  </r>
  <r>
    <n v="755"/>
    <x v="2"/>
    <x v="56"/>
    <s v="eth1/6"/>
    <x v="0"/>
    <x v="0"/>
    <x v="0"/>
    <s v="OSS F1:ithenmr06bl01nas1r9b:PCIe3 Slot 1/2"/>
    <x v="0"/>
    <b v="0"/>
    <s v="No está en VPC"/>
    <n v="755"/>
    <s v="INTPG_PC_755_1.3-6"/>
    <s v="ISEL-1.6"/>
    <n v="1"/>
    <s v="NO TIENE L3OUT"/>
    <n v="52"/>
    <n v="54"/>
  </r>
  <r>
    <n v="748"/>
    <x v="2"/>
    <x v="57"/>
    <s v="eth1/6"/>
    <x v="0"/>
    <x v="0"/>
    <x v="0"/>
    <s v="trunk14 Bes-Production"/>
    <x v="0"/>
    <b v="0"/>
    <s v="No está en VPC"/>
    <n v="748"/>
    <s v="INTPG_VPC_748_1.6_7_749_1.6_7"/>
    <s v="ISEL-1.6"/>
    <n v="6"/>
    <s v="NO TIENE L3OUT"/>
    <n v="2"/>
    <n v="54"/>
  </r>
  <r>
    <n v="756"/>
    <x v="2"/>
    <x v="58"/>
    <s v="eth1/6"/>
    <x v="0"/>
    <x v="0"/>
    <x v="0"/>
    <s v="OSS F1:ithenmr08bl03lms1r9a:PORT 2"/>
    <x v="0"/>
    <b v="0"/>
    <s v="No está en VPC"/>
    <n v="756"/>
    <s v="INTPG_ACC_756_1.6"/>
    <s v="ISEL-1.6"/>
    <n v="1"/>
    <s v="NO TIENE L3OUT"/>
    <n v="64"/>
    <n v="54"/>
  </r>
  <r>
    <n v="754"/>
    <x v="2"/>
    <x v="59"/>
    <s v="eth1/6"/>
    <x v="0"/>
    <x v="0"/>
    <x v="0"/>
    <s v="OSS F1:ithenmr04bl04ombsr9b:PORT 2"/>
    <x v="0"/>
    <b v="0"/>
    <s v="No está en VPC"/>
    <n v="754"/>
    <s v="INTPG_PC_754_1.5-8"/>
    <s v="ISEL-1.6"/>
    <n v="2"/>
    <s v="NO TIENE L3OUT"/>
    <n v="62"/>
    <n v="54"/>
  </r>
  <r>
    <n v="751"/>
    <x v="2"/>
    <x v="60"/>
    <s v="eth1/6"/>
    <x v="0"/>
    <x v="0"/>
    <x v="0"/>
    <s v="trunk18 Bes-Production"/>
    <x v="0"/>
    <b v="0"/>
    <s v="No está en VPC"/>
    <n v="751"/>
    <s v="INTPG_VPC_750_1.6_7_751_1.6_7"/>
    <s v="ISEL-1.6"/>
    <n v="5"/>
    <s v="NO TIENE L3OUT"/>
    <n v="0"/>
    <n v="54"/>
  </r>
  <r>
    <n v="769"/>
    <x v="2"/>
    <x v="61"/>
    <s v="eth1/6"/>
    <x v="0"/>
    <x v="0"/>
    <x v="0"/>
    <s v="Portchannel_6_R4A"/>
    <x v="0"/>
    <b v="0"/>
    <s v="No está en VPC"/>
    <n v="769"/>
    <s v="INTPG_PC_769_1.3-6"/>
    <s v="ISEL-1.6"/>
    <n v="1"/>
    <s v="NO TIENE L3OUT"/>
    <n v="60"/>
    <n v="54"/>
  </r>
  <r>
    <n v="742"/>
    <x v="2"/>
    <x v="62"/>
    <s v="eth1/6"/>
    <x v="0"/>
    <x v="1"/>
    <x v="1"/>
    <s v="CEM:ITHCEMB2DAT03:FLEXIO P1"/>
    <x v="5"/>
    <b v="0"/>
    <s v="No está en VPC"/>
    <n v="742"/>
    <s v="INTPG_ACC_742_1.6"/>
    <s v="ISEL-1.6"/>
    <n v="1"/>
    <s v="NO TIENE L3OUT"/>
    <n v="64"/>
    <n v="54"/>
  </r>
  <r>
    <n v="763"/>
    <x v="2"/>
    <x v="63"/>
    <s v="eth1/6"/>
    <x v="0"/>
    <x v="0"/>
    <x v="0"/>
    <s v="PAAS:ithhwoscopap006:LOM PORT 3"/>
    <x v="0"/>
    <b v="0"/>
    <s v="No está en VPC"/>
    <n v="763"/>
    <s v="INTPG_VPC_762_1.6_763_1.6"/>
    <s v="ISEL-1.6"/>
    <n v="15"/>
    <s v="NO TIENE L3OUT"/>
    <n v="2"/>
    <n v="54"/>
  </r>
  <r>
    <n v="766"/>
    <x v="2"/>
    <x v="64"/>
    <s v="eth1/6"/>
    <x v="0"/>
    <x v="0"/>
    <x v="0"/>
    <s v="Portchannel_3_R6B"/>
    <x v="0"/>
    <b v="0"/>
    <s v="No está en VPC"/>
    <n v="766"/>
    <s v="INTPG_PC_766_1.5-6"/>
    <s v="ISEL-1.6"/>
    <n v="8"/>
    <s v="NO TIENE L3OUT"/>
    <n v="58"/>
    <n v="54"/>
  </r>
  <r>
    <n v="760"/>
    <x v="2"/>
    <x v="65"/>
    <s v="eth1/6"/>
    <x v="0"/>
    <x v="1"/>
    <x v="1"/>
    <m/>
    <x v="0"/>
    <b v="0"/>
    <s v="No está en VPC"/>
    <n v="760"/>
    <s v="INTPG_VPC_760_1.5-8_761_1.5-8"/>
    <s v="ISEL-1.6"/>
    <n v="0"/>
    <s v="L3OUT-EXACLOUD"/>
    <n v="0"/>
    <n v="54"/>
  </r>
  <r>
    <n v="752"/>
    <x v="2"/>
    <x v="66"/>
    <s v="eth1/6"/>
    <x v="0"/>
    <x v="0"/>
    <x v="0"/>
    <s v="PAAS:ithhwoscopap004:Slot4.1"/>
    <x v="0"/>
    <b v="0"/>
    <s v="No está en VPC"/>
    <n v="752"/>
    <s v="INTPG_VPC_747_1.6_752_1.6"/>
    <s v="ISEL-1.6"/>
    <n v="25"/>
    <s v="NO TIENE L3OUT"/>
    <n v="0"/>
    <n v="54"/>
  </r>
  <r>
    <n v="765"/>
    <x v="2"/>
    <x v="67"/>
    <s v="eth1/6"/>
    <x v="0"/>
    <x v="0"/>
    <x v="0"/>
    <s v="OSS_ENM"/>
    <x v="0"/>
    <b v="0"/>
    <s v="No está en VPC"/>
    <n v="765"/>
    <s v="INTPG_ACC_765_1.6"/>
    <s v="ISEL-1.6"/>
    <n v="1"/>
    <s v="NO TIENE L3OUT"/>
    <n v="60"/>
    <n v="54"/>
  </r>
  <r>
    <n v="778"/>
    <x v="2"/>
    <x v="68"/>
    <s v="eth1/6"/>
    <x v="0"/>
    <x v="0"/>
    <x v="0"/>
    <s v="ENIQ F1:itheniqr07nas1r2:Slot 2/1"/>
    <x v="0"/>
    <b v="0"/>
    <s v="No está en VPC"/>
    <n v="778"/>
    <s v="INTPG_PC_778_1.3-6"/>
    <s v="ISEL-1.6"/>
    <n v="1"/>
    <s v="NO TIENE L3OUT"/>
    <n v="26"/>
    <n v="54"/>
  </r>
  <r>
    <n v="780"/>
    <x v="2"/>
    <x v="69"/>
    <s v="eth1/6"/>
    <x v="0"/>
    <x v="0"/>
    <x v="0"/>
    <s v="LACP_NAS1_ENIQ1"/>
    <x v="0"/>
    <b v="0"/>
    <s v="No está en VPC"/>
    <n v="780"/>
    <s v="INTPG_PC_780_1.3-6"/>
    <s v="ISEL-1.6"/>
    <n v="1"/>
    <s v="NO TIENE L3OUT"/>
    <n v="26"/>
    <n v="54"/>
  </r>
  <r>
    <n v="812"/>
    <x v="2"/>
    <x v="70"/>
    <s v="eth1/6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6"/>
    <x v="0"/>
    <x v="0"/>
    <x v="0"/>
    <s v="TO_ITHFHWDCIMLAP02_REDUNDANTE"/>
    <x v="0"/>
    <b v="0"/>
    <s v="No está en VPC"/>
    <n v="796"/>
    <s v="INTPG_ACC_796_1.4"/>
    <s v="ISEL-1.6"/>
    <n v="1"/>
    <s v="NO TIENE L3OUT"/>
    <n v="18"/>
    <n v="54"/>
  </r>
  <r>
    <n v="795"/>
    <x v="2"/>
    <x v="72"/>
    <s v="eth1/6"/>
    <x v="0"/>
    <x v="0"/>
    <x v="0"/>
    <s v="TO_ITHFHWDCIMLAP02_OCP2.1"/>
    <x v="0"/>
    <b v="0"/>
    <s v="No está en VPC"/>
    <n v="795"/>
    <s v="INTPG_ACC_795_1.4"/>
    <s v="ISEL-1.6"/>
    <n v="1"/>
    <s v="NO TIENE L3OUT"/>
    <n v="18"/>
    <n v="54"/>
  </r>
  <r>
    <n v="749"/>
    <x v="2"/>
    <x v="73"/>
    <s v="eth1/6"/>
    <x v="0"/>
    <x v="0"/>
    <x v="0"/>
    <s v="trunk14 Bes-Production"/>
    <x v="0"/>
    <b v="0"/>
    <s v="No está en VPC"/>
    <n v="749"/>
    <s v="INTPG_VPC_748_1.6_7_749_1.6_7"/>
    <s v="ISEL-1.6"/>
    <n v="6"/>
    <s v="NO TIENE L3OUT"/>
    <n v="4"/>
    <n v="54"/>
  </r>
  <r>
    <n v="824"/>
    <x v="2"/>
    <x v="74"/>
    <s v="eth1/6"/>
    <x v="0"/>
    <x v="0"/>
    <x v="0"/>
    <s v="LINK_TO_ITHHWD6K60012DKC01 /CtrlB_IOM0.P1 /Redundante"/>
    <x v="0"/>
    <b v="0"/>
    <s v="No está en VPC"/>
    <n v="824"/>
    <s v="INTPG_ACC_824_1.6"/>
    <s v="ISEL-1.6"/>
    <n v="1"/>
    <s v="NO TIENE L3OUT"/>
    <n v="70"/>
    <n v="54"/>
  </r>
  <r>
    <n v="819"/>
    <x v="2"/>
    <x v="75"/>
    <s v="eth1/6"/>
    <x v="0"/>
    <x v="0"/>
    <x v="0"/>
    <s v="LINK_TO_ITHHWD6K60012DKC01 /CtrlB_IOM0.P0 /Principal"/>
    <x v="0"/>
    <b v="0"/>
    <s v="No está en VPC"/>
    <n v="819"/>
    <s v="INTPG_ACC_819_1.6"/>
    <s v="ISEL-1.6"/>
    <n v="1"/>
    <s v="NO TIENE L3OUT"/>
    <n v="70"/>
    <n v="54"/>
  </r>
  <r>
    <n v="737"/>
    <x v="2"/>
    <x v="76"/>
    <s v="eth1/6"/>
    <x v="0"/>
    <x v="0"/>
    <x v="0"/>
    <s v="CEM:ITHCEME2DAT03:FLEXIO P1"/>
    <x v="5"/>
    <b v="0"/>
    <s v="No está en VPC"/>
    <n v="737"/>
    <s v="INTPG_ACC_737_1.6"/>
    <s v="ISEL-1.6"/>
    <n v="1"/>
    <s v="NO TIENE L3OUT"/>
    <n v="72"/>
    <n v="54"/>
  </r>
  <r>
    <n v="844"/>
    <x v="2"/>
    <x v="77"/>
    <s v="eth1/6"/>
    <x v="0"/>
    <x v="0"/>
    <x v="0"/>
    <s v="LINK_TO_ITHFHWCRMPLCN102 / Slot1.3_8 / Principal"/>
    <x v="0"/>
    <b v="0"/>
    <s v="No está en VPC"/>
    <n v="844"/>
    <s v="INTPG_ACC_844_1.6"/>
    <s v="ISEL-1.6"/>
    <n v="1"/>
    <s v="NO TIENE L3OUT"/>
    <n v="282"/>
    <n v="54"/>
  </r>
  <r>
    <n v="843"/>
    <x v="2"/>
    <x v="78"/>
    <s v="eth1/6"/>
    <x v="0"/>
    <x v="0"/>
    <x v="0"/>
    <s v="LINK_To_ITHFHWCBSPSUSBD23 / Slot7.1_4 / Redundante"/>
    <x v="0"/>
    <b v="0"/>
    <s v="No está en VPC"/>
    <n v="843"/>
    <s v="INTPG_VPC_838_1.6_843_1.6"/>
    <s v="ISEL-1.6"/>
    <n v="2"/>
    <s v="NO TIENE L3OUT"/>
    <n v="38"/>
    <n v="54"/>
  </r>
  <r>
    <n v="797"/>
    <x v="2"/>
    <x v="79"/>
    <s v="eth1/6"/>
    <x v="0"/>
    <x v="0"/>
    <x v="0"/>
    <s v="TO-HDPS_08-MSP"/>
    <x v="0"/>
    <b v="0"/>
    <s v="No está en VPC"/>
    <n v="797"/>
    <s v="INTPG_ACC_797_1.6"/>
    <s v="ISEL-1.6"/>
    <n v="1"/>
    <s v="NO TIENE L3OUT"/>
    <n v="48"/>
    <n v="54"/>
  </r>
  <r>
    <n v="839"/>
    <x v="2"/>
    <x v="80"/>
    <s v="eth1/6"/>
    <x v="0"/>
    <x v="0"/>
    <x v="0"/>
    <s v="LINK_TO_ITHFHWCBSPSHD44 / Slot7.3_6 / Redundante"/>
    <x v="0"/>
    <b v="0"/>
    <s v="No está en VPC"/>
    <n v="839"/>
    <s v="INTPG_VPC_834_1.6_839_1.6"/>
    <s v="ISEL-1.6"/>
    <n v="1"/>
    <s v="NO TIENE L3OUT"/>
    <n v="0"/>
    <n v="54"/>
  </r>
  <r>
    <n v="847"/>
    <x v="2"/>
    <x v="81"/>
    <s v="eth1/6"/>
    <x v="0"/>
    <x v="0"/>
    <x v="0"/>
    <s v="LINK_TO_ITHFHWCRMPSBDA06 / Slot1.3_6 / Principal"/>
    <x v="0"/>
    <b v="0"/>
    <s v="No está en VPC"/>
    <n v="847"/>
    <s v="INTPG_VPC_847_1.6_854_1.6"/>
    <s v="ISEL-1.6"/>
    <n v="1"/>
    <s v="NO TIENE L3OUT"/>
    <n v="204"/>
    <n v="54"/>
  </r>
  <r>
    <n v="848"/>
    <x v="2"/>
    <x v="82"/>
    <s v="eth1/6"/>
    <x v="0"/>
    <x v="0"/>
    <x v="0"/>
    <s v="LINK_TO_ITHFHWCRMPLCN156 / Slot7.2_14 / Redundante"/>
    <x v="0"/>
    <b v="0"/>
    <s v="No está en VPC"/>
    <n v="848"/>
    <s v="INTPG_ACC_848_1.6"/>
    <s v="ISEL-1.6"/>
    <n v="2"/>
    <s v="NO TIENE L3OUT"/>
    <n v="254"/>
    <n v="54"/>
  </r>
  <r>
    <n v="846"/>
    <x v="2"/>
    <x v="83"/>
    <s v="eth1/6"/>
    <x v="0"/>
    <x v="0"/>
    <x v="0"/>
    <s v="LINK_TO_ITHHWD6KV65100011DKC01 / CTMA_IOM0.P0_34 / Principal"/>
    <x v="0"/>
    <b v="0"/>
    <s v="No está en VPC"/>
    <n v="846"/>
    <s v="INTPG_ACC_846_1.6"/>
    <s v="ISEL-1.6"/>
    <n v="1"/>
    <s v="NO TIENE L3OUT"/>
    <n v="242"/>
    <n v="54"/>
  </r>
  <r>
    <n v="838"/>
    <x v="2"/>
    <x v="84"/>
    <s v="eth1/6"/>
    <x v="0"/>
    <x v="0"/>
    <x v="0"/>
    <s v="LINK_To_ITHFHWCBSPSUSBD23 / Slot1.1_4 / Principal"/>
    <x v="0"/>
    <b v="0"/>
    <s v="No está en VPC"/>
    <n v="838"/>
    <s v="INTPG_VPC_838_1.6_843_1.6"/>
    <s v="ISEL-1.6"/>
    <n v="2"/>
    <s v="NO TIENE L3OUT"/>
    <n v="38"/>
    <n v="54"/>
  </r>
  <r>
    <n v="849"/>
    <x v="2"/>
    <x v="85"/>
    <s v="eth1/6"/>
    <x v="0"/>
    <x v="0"/>
    <x v="0"/>
    <s v="LINK_TO_ITHFHWCRMPLCN136 / Slot7.2_6 / Redundante"/>
    <x v="0"/>
    <b v="0"/>
    <s v="No está en VPC"/>
    <n v="849"/>
    <s v="INTPG_ACC_849_1.6"/>
    <s v="ISEL-1.6"/>
    <n v="2"/>
    <s v="NO TIENE L3OUT"/>
    <n v="286"/>
    <n v="54"/>
  </r>
  <r>
    <n v="845"/>
    <x v="2"/>
    <x v="86"/>
    <s v="eth1/6"/>
    <x v="0"/>
    <x v="0"/>
    <x v="0"/>
    <s v="LINK_TO_ITHFHWCRMPSBDA07 / Slot1.1_4 / Principal"/>
    <x v="0"/>
    <b v="0"/>
    <s v="No está en VPC"/>
    <n v="845"/>
    <s v="INTPG_VPC_845_1.6_852_1.6"/>
    <s v="ISEL-1.6"/>
    <n v="6"/>
    <s v="NO TIENE L3OUT"/>
    <n v="258"/>
    <n v="54"/>
  </r>
  <r>
    <n v="873"/>
    <x v="2"/>
    <x v="87"/>
    <s v="eth1/6"/>
    <x v="0"/>
    <x v="0"/>
    <x v="0"/>
    <s v="TO_ITHFHWCRMDLCN55_Principal"/>
    <x v="0"/>
    <b v="0"/>
    <s v="No está en VPC"/>
    <n v="873"/>
    <s v="INTPG_ACC_873_1.6"/>
    <s v="ISEL-1.6"/>
    <n v="6"/>
    <s v="NO TIENE L3OUT"/>
    <n v="248"/>
    <n v="54"/>
  </r>
  <r>
    <n v="864"/>
    <x v="2"/>
    <x v="88"/>
    <s v="eth1/6"/>
    <x v="0"/>
    <x v="0"/>
    <x v="0"/>
    <s v="To_VPC_2DCBSD_HD32_3"/>
    <x v="0"/>
    <b v="0"/>
    <s v="No está en VPC"/>
    <n v="864"/>
    <s v="INTPG_VPC_859_1.6_864_1.6"/>
    <s v="ISEL-1.6"/>
    <n v="1"/>
    <s v="NO TIENE L3OUT"/>
    <n v="0"/>
    <n v="54"/>
  </r>
  <r>
    <n v="836"/>
    <x v="2"/>
    <x v="89"/>
    <s v="eth1/6"/>
    <x v="0"/>
    <x v="0"/>
    <x v="0"/>
    <s v="LINK_TO_ITHFHWCBSPSUSBD35 / Slot1.2_8 / Principal"/>
    <x v="0"/>
    <b v="0"/>
    <s v="No está en VPC"/>
    <n v="836"/>
    <s v="INTPG_VPC_836_1.6_841_1.6"/>
    <s v="ISEL-1.6"/>
    <n v="1"/>
    <s v="NO TIENE L3OUT"/>
    <n v="0"/>
    <n v="54"/>
  </r>
  <r>
    <n v="834"/>
    <x v="2"/>
    <x v="90"/>
    <s v="eth1/6"/>
    <x v="0"/>
    <x v="0"/>
    <x v="0"/>
    <s v="LINK_TO_ITHFHWCBSPSHD44 / Slot1.3_6 / Principal"/>
    <x v="0"/>
    <b v="0"/>
    <s v="No está en VPC"/>
    <n v="834"/>
    <s v="INTPG_VPC_834_1.6_839_1.6"/>
    <s v="ISEL-1.6"/>
    <n v="1"/>
    <s v="NO TIENE L3OUT"/>
    <n v="0"/>
    <n v="54"/>
  </r>
  <r>
    <n v="872"/>
    <x v="2"/>
    <x v="91"/>
    <s v="eth1/6"/>
    <x v="0"/>
    <x v="0"/>
    <x v="0"/>
    <s v="To_ITHFHWCRMDLCN71_Principal"/>
    <x v="0"/>
    <b v="0"/>
    <s v="No está en VPC"/>
    <n v="872"/>
    <s v="INTPG_ACC_872_1.6"/>
    <s v="ISEL-1.6"/>
    <n v="6"/>
    <s v="NO TIENE L3OUT"/>
    <n v="288"/>
    <n v="54"/>
  </r>
  <r>
    <n v="842"/>
    <x v="2"/>
    <x v="92"/>
    <s v="eth1/6"/>
    <x v="0"/>
    <x v="0"/>
    <x v="0"/>
    <s v="LINK_TO_ITHFHWCBSPSUSBD24 / Slot7.2_4 / Redundante"/>
    <x v="0"/>
    <b v="0"/>
    <s v="No está en VPC"/>
    <n v="842"/>
    <s v="INTPG_VPC_837_1.6_842_1.6"/>
    <s v="ISEL-1.6"/>
    <n v="1"/>
    <s v="NO TIENE L3OUT"/>
    <n v="8"/>
    <n v="54"/>
  </r>
  <r>
    <n v="828"/>
    <x v="2"/>
    <x v="93"/>
    <s v="eth1/6"/>
    <x v="0"/>
    <x v="0"/>
    <x v="0"/>
    <s v="LINK_TO_ITHFHWCBSDSWR33 /Slot4.2 /Principal"/>
    <x v="0"/>
    <b v="0"/>
    <s v="No está en VPC"/>
    <n v="828"/>
    <s v="INTPG_VPC_828_1.6_832_1.6"/>
    <s v="ISEL-1.6"/>
    <n v="1"/>
    <s v="NO TIENE L3OUT"/>
    <n v="192"/>
    <n v="54"/>
  </r>
  <r>
    <n v="870"/>
    <x v="2"/>
    <x v="94"/>
    <s v="eth1/6"/>
    <x v="0"/>
    <x v="0"/>
    <x v="0"/>
    <s v="TO_ITHFHWCRMDLCN55_Redundante"/>
    <x v="0"/>
    <b v="0"/>
    <s v="No está en VPC"/>
    <n v="870"/>
    <s v="INTPG_ACC_870_1.6"/>
    <s v="ISEL-1.6"/>
    <n v="6"/>
    <s v="NO TIENE L3OUT"/>
    <n v="248"/>
    <n v="54"/>
  </r>
  <r>
    <n v="866"/>
    <x v="2"/>
    <x v="95"/>
    <s v="eth1/6"/>
    <x v="0"/>
    <x v="0"/>
    <x v="0"/>
    <s v="To_ITHHWD6KV65100016DKC01_Redundante"/>
    <x v="0"/>
    <b v="0"/>
    <s v="No está en VPC"/>
    <n v="866"/>
    <s v="INTPG_ACC_866_1.6"/>
    <s v="ISEL-1.6"/>
    <n v="1"/>
    <s v="NO TIENE L3OUT"/>
    <n v="8"/>
    <n v="54"/>
  </r>
  <r>
    <n v="862"/>
    <x v="2"/>
    <x v="96"/>
    <s v="eth1/6"/>
    <x v="0"/>
    <x v="0"/>
    <x v="0"/>
    <s v="To_ITHHWD6KV65100013DKC01_Principal"/>
    <x v="0"/>
    <b v="0"/>
    <s v="No está en VPC"/>
    <n v="862"/>
    <s v="INTPG_ACC_862_1.6"/>
    <s v="ISEL-1.6"/>
    <n v="1"/>
    <s v="NO TIENE L3OUT"/>
    <n v="44"/>
    <n v="54"/>
  </r>
  <r>
    <n v="855"/>
    <x v="2"/>
    <x v="97"/>
    <s v="eth1/6"/>
    <x v="0"/>
    <x v="0"/>
    <x v="0"/>
    <s v="LINK_TO_ITHFHWCRMPLCN156 / Slot1.2_14 / Principal"/>
    <x v="0"/>
    <b v="0"/>
    <s v="No está en VPC"/>
    <n v="855"/>
    <s v="INTPG_ACC_855_1.6"/>
    <s v="ISEL-1.6"/>
    <n v="2"/>
    <s v="NO TIENE L3OUT"/>
    <n v="254"/>
    <n v="54"/>
  </r>
  <r>
    <n v="871"/>
    <x v="2"/>
    <x v="98"/>
    <s v="eth1/6"/>
    <x v="0"/>
    <x v="0"/>
    <x v="0"/>
    <s v="TO_ITHFHWCRMDLCN82_Principal"/>
    <x v="0"/>
    <b v="0"/>
    <s v="No está en VPC"/>
    <n v="871"/>
    <s v="INTPG_ACC_871_1.6"/>
    <s v="ISEL-1.6"/>
    <n v="1"/>
    <s v="NO TIENE L3OUT"/>
    <n v="246"/>
    <n v="54"/>
  </r>
  <r>
    <n v="841"/>
    <x v="2"/>
    <x v="99"/>
    <s v="eth1/6"/>
    <x v="0"/>
    <x v="0"/>
    <x v="0"/>
    <s v="LINK_TO_ITHFHWCBSPSUSBD35 / Slot7.2_8 / Redundante"/>
    <x v="0"/>
    <b v="0"/>
    <s v="No está en VPC"/>
    <n v="841"/>
    <s v="INTPG_VPC_836_1.6_841_1.6"/>
    <s v="ISEL-1.6"/>
    <n v="1"/>
    <s v="NO TIENE L3OUT"/>
    <n v="0"/>
    <n v="54"/>
  </r>
  <r>
    <n v="868"/>
    <x v="2"/>
    <x v="100"/>
    <s v="eth1/6"/>
    <x v="0"/>
    <x v="0"/>
    <x v="0"/>
    <s v="TO_ITHFHWCRMDLCN82_Redundante"/>
    <x v="0"/>
    <b v="0"/>
    <s v="No está en VPC"/>
    <n v="868"/>
    <s v="INTPG_ACC_868_1.6"/>
    <s v="ISEL-1.6"/>
    <n v="1"/>
    <s v="NO TIENE L3OUT"/>
    <n v="246"/>
    <n v="54"/>
  </r>
  <r>
    <n v="869"/>
    <x v="2"/>
    <x v="101"/>
    <s v="eth1/6"/>
    <x v="0"/>
    <x v="0"/>
    <x v="0"/>
    <s v="To_ITHFHWCRMDLCN71_Redundante"/>
    <x v="0"/>
    <b v="0"/>
    <s v="No está en VPC"/>
    <n v="869"/>
    <s v="INTPG_ACC_869_1.6"/>
    <s v="ISEL-1.6"/>
    <n v="6"/>
    <s v="NO TIENE L3OUT"/>
    <n v="288"/>
    <n v="54"/>
  </r>
  <r>
    <n v="861"/>
    <x v="2"/>
    <x v="102"/>
    <s v="eth1/6"/>
    <x v="0"/>
    <x v="0"/>
    <x v="0"/>
    <s v="To_ITHHWD6KV65100016DKC01_Principal"/>
    <x v="0"/>
    <b v="0"/>
    <s v="No está en VPC"/>
    <n v="861"/>
    <s v="INTPG_ACC_861_1.6"/>
    <s v="ISEL-1.6"/>
    <n v="1"/>
    <s v="NO TIENE L3OUT"/>
    <n v="8"/>
    <n v="54"/>
  </r>
  <r>
    <n v="874"/>
    <x v="2"/>
    <x v="103"/>
    <s v="eth1/6"/>
    <x v="0"/>
    <x v="0"/>
    <x v="0"/>
    <s v="LINK_TO_ITHFHWSEQLHDPS75 / Slot 5 PTO 1 / Redundante"/>
    <x v="4"/>
    <b v="0"/>
    <s v="No está en VPC"/>
    <n v="874"/>
    <s v="INTPG_ACC_874_1.6"/>
    <s v="ISEL-1.6"/>
    <n v="1"/>
    <s v="NO TIENE L3OUT"/>
    <n v="92"/>
    <n v="54"/>
  </r>
  <r>
    <n v="865"/>
    <x v="2"/>
    <x v="104"/>
    <s v="eth1/6"/>
    <x v="0"/>
    <x v="0"/>
    <x v="0"/>
    <s v="To_VPC_2DCBSD_WR53_3"/>
    <x v="0"/>
    <b v="0"/>
    <s v="No está en VPC"/>
    <n v="865"/>
    <s v="INTPG_VPC_860_1.6_865_1.6"/>
    <s v="ISEL-1.6"/>
    <n v="1"/>
    <s v="NO TIENE L3OUT"/>
    <n v="0"/>
    <n v="54"/>
  </r>
  <r>
    <n v="753"/>
    <x v="2"/>
    <x v="105"/>
    <s v="eth1/6"/>
    <x v="0"/>
    <x v="0"/>
    <x v="0"/>
    <s v="OSS F1:ithenmr03bl03lms1r9c:PORT 2"/>
    <x v="0"/>
    <b v="0"/>
    <s v="No está en VPC"/>
    <n v="753"/>
    <s v="INTPG_ACC_753_1.6"/>
    <s v="ISEL-1.6"/>
    <n v="1"/>
    <s v="NO TIENE L3OUT"/>
    <n v="62"/>
    <n v="54"/>
  </r>
  <r>
    <n v="708"/>
    <x v="2"/>
    <x v="106"/>
    <s v="eth1/6"/>
    <x v="0"/>
    <x v="1"/>
    <x v="5"/>
    <s v="CEM:ITHCEME2DAT03:LOM  P2"/>
    <x v="0"/>
    <b v="0"/>
    <s v="No está en VPC"/>
    <n v="708"/>
    <s v="INTPG_VPC_708_1.6_709_1.5"/>
    <s v="ISEL-1.6"/>
    <n v="1"/>
    <s v="NO TIENE L3OUT"/>
    <n v="0"/>
    <n v="54"/>
  </r>
  <r>
    <n v="710"/>
    <x v="2"/>
    <x v="107"/>
    <s v="eth1/6"/>
    <x v="0"/>
    <x v="0"/>
    <x v="0"/>
    <s v="CEM:ITHCEMC2DAT03:LOM  P2"/>
    <x v="0"/>
    <b v="0"/>
    <s v="No está en VPC"/>
    <n v="710"/>
    <s v="INTPG_ACC_710_1.6"/>
    <s v="ISEL-1.6"/>
    <n v="1"/>
    <s v="NO TIENE L3OUT"/>
    <n v="16"/>
    <n v="54"/>
  </r>
  <r>
    <n v="713"/>
    <x v="2"/>
    <x v="108"/>
    <s v="eth1/6"/>
    <x v="0"/>
    <x v="0"/>
    <x v="0"/>
    <s v="CEM:ITHCEMB2DAT03:LOM  P2"/>
    <x v="0"/>
    <b v="0"/>
    <s v="No está en VPC"/>
    <n v="713"/>
    <s v="INTPG_ACC_713_1.6"/>
    <s v="ISEL-1.6"/>
    <n v="1"/>
    <s v="NO TIENE L3OUT"/>
    <n v="32"/>
    <n v="54"/>
  </r>
  <r>
    <n v="735"/>
    <x v="2"/>
    <x v="109"/>
    <s v="eth1/6"/>
    <x v="0"/>
    <x v="1"/>
    <x v="1"/>
    <s v="CEM_HADOOP"/>
    <x v="5"/>
    <b v="0"/>
    <s v="No está en VPC"/>
    <n v="735"/>
    <s v="INTPG_ACC_735_1.6"/>
    <s v="ISEL-1.6"/>
    <n v="1"/>
    <s v="NO TIENE L3OUT"/>
    <n v="34"/>
    <n v="54"/>
  </r>
  <r>
    <n v="731"/>
    <x v="2"/>
    <x v="110"/>
    <s v="eth1/6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6"/>
    <x v="0"/>
    <x v="0"/>
    <x v="0"/>
    <m/>
    <x v="0"/>
    <b v="0"/>
    <s v="No está en VPC"/>
    <n v="703"/>
    <s v="INTPG_VPC_704_1.5_703_1.6"/>
    <s v="ISEL-1.6"/>
    <n v="1"/>
    <s v="NO TIENE L3OUT"/>
    <n v="2"/>
    <n v="54"/>
  </r>
  <r>
    <n v="706"/>
    <x v="2"/>
    <x v="112"/>
    <s v="eth1/6"/>
    <x v="0"/>
    <x v="0"/>
    <x v="0"/>
    <m/>
    <x v="0"/>
    <b v="0"/>
    <s v="No está en VPC"/>
    <n v="706"/>
    <s v="INTPG_VPC_705_1.5_706_1.6"/>
    <s v="ISEL-1.6"/>
    <n v="2"/>
    <s v="NO TIENE L3OUT"/>
    <n v="16"/>
    <n v="54"/>
  </r>
  <r>
    <n v="762"/>
    <x v="2"/>
    <x v="113"/>
    <s v="eth1/6"/>
    <x v="0"/>
    <x v="0"/>
    <x v="0"/>
    <s v="PAAS:ithhwoscopap006:FlexIO.1"/>
    <x v="0"/>
    <b v="0"/>
    <s v="No está en VPC"/>
    <n v="762"/>
    <s v="INTPG_VPC_762_1.6_763_1.6"/>
    <s v="ISEL-1.6"/>
    <n v="15"/>
    <s v="NO TIENE L3OUT"/>
    <n v="0"/>
    <n v="54"/>
  </r>
  <r>
    <n v="814"/>
    <x v="2"/>
    <x v="114"/>
    <s v="eth1/6"/>
    <x v="0"/>
    <x v="0"/>
    <x v="0"/>
    <s v="A_ITHHPGRLKEN06_Principal"/>
    <x v="2"/>
    <b v="0"/>
    <s v="No está en VPC"/>
    <n v="814"/>
    <s v="INTPG_VPC_814_1.6_815_1.6"/>
    <s v="ISEL-1.6"/>
    <n v="98"/>
    <s v="NO TIENE L3OUT"/>
    <n v="0"/>
    <n v="42"/>
  </r>
  <r>
    <n v="878"/>
    <x v="2"/>
    <x v="115"/>
    <s v="eth1/6"/>
    <x v="0"/>
    <x v="0"/>
    <x v="0"/>
    <s v="HACIA_CSI-B-OSCP-F4-10_PRIMARIO"/>
    <x v="4"/>
    <b v="0"/>
    <s v="No está en VPC"/>
    <n v="878"/>
    <s v="INTPG_VPC_878_1.6_879_1.6"/>
    <s v="ISEL-1.6"/>
    <n v="2"/>
    <s v="NO TIENE L3OUT"/>
    <n v="0"/>
    <n v="54"/>
  </r>
  <r>
    <n v="826"/>
    <x v="2"/>
    <x v="116"/>
    <s v="eth1/6"/>
    <x v="0"/>
    <x v="0"/>
    <x v="0"/>
    <s v="LINK_TO_ITHFHWCBSDSUSBD05 /Slot4.2 /Principal"/>
    <x v="0"/>
    <b v="0"/>
    <s v="No está en VPC"/>
    <n v="826"/>
    <s v="INTPG_VPC_826_1.6_830_1.6"/>
    <s v="ISEL-1.6"/>
    <n v="1"/>
    <s v="NO TIENE L3OUT"/>
    <n v="12"/>
    <n v="54"/>
  </r>
  <r>
    <n v="726"/>
    <x v="2"/>
    <x v="117"/>
    <s v="eth1/6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6"/>
    <x v="0"/>
    <x v="0"/>
    <x v="0"/>
    <s v="CEM:ITHCEMD2DAT03:FLEXIO P1"/>
    <x v="5"/>
    <b v="0"/>
    <s v="No está en VPC"/>
    <n v="740"/>
    <s v="INTPG_ACC_740_1.6"/>
    <s v="ISEL-1.6"/>
    <n v="1"/>
    <s v="NO TIENE L3OUT"/>
    <n v="72"/>
    <n v="54"/>
  </r>
  <r>
    <n v="705"/>
    <x v="2"/>
    <x v="119"/>
    <s v="eth1/6"/>
    <x v="0"/>
    <x v="0"/>
    <x v="0"/>
    <s v="ITHCEMA1DAT03-LOM-P2"/>
    <x v="0"/>
    <b v="0"/>
    <s v="No está en VPC"/>
    <n v="705"/>
    <s v="INTPG_ACC_705_1.6"/>
    <s v="ISEL-1.6"/>
    <n v="1"/>
    <s v="NO TIENE L3OUT"/>
    <n v="16"/>
    <n v="54"/>
  </r>
  <r>
    <n v="723"/>
    <x v="2"/>
    <x v="120"/>
    <s v="eth1/6"/>
    <x v="0"/>
    <x v="0"/>
    <x v="0"/>
    <m/>
    <x v="0"/>
    <b v="0"/>
    <s v="No está en VPC"/>
    <n v="723"/>
    <s v="INTPG-VPC_HDD131_722_1.5_723_1.6"/>
    <s v="ISEL-1.6"/>
    <n v="1"/>
    <s v="NO TIENE L3OUT"/>
    <n v="0"/>
    <n v="54"/>
  </r>
  <r>
    <n v="721"/>
    <x v="2"/>
    <x v="121"/>
    <s v="eth1/6"/>
    <x v="0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6"/>
    <x v="0"/>
    <x v="0"/>
    <x v="0"/>
    <s v="TO-ITHFHPMEDIRAP04"/>
    <x v="0"/>
    <b v="0"/>
    <s v="No está en VPC"/>
    <n v="788"/>
    <s v="INTPG_VPC_788_1.6_789_1.6"/>
    <s v="ISEL-1.6"/>
    <n v="1"/>
    <s v="NO TIENE L3OUT"/>
    <n v="4"/>
    <n v="54"/>
  </r>
  <r>
    <n v="732"/>
    <x v="2"/>
    <x v="123"/>
    <s v="eth1/6"/>
    <x v="0"/>
    <x v="0"/>
    <x v="0"/>
    <s v="TO-TESTBED"/>
    <x v="0"/>
    <b v="0"/>
    <s v="No está en VPC"/>
    <n v="732"/>
    <s v="INTPG_VPC_732_1.6-7_733_1.6-7"/>
    <s v="ISEL-1.6"/>
    <n v="3"/>
    <s v="NO TIENE L3OUT"/>
    <n v="0"/>
    <n v="54"/>
  </r>
  <r>
    <n v="720"/>
    <x v="2"/>
    <x v="124"/>
    <s v="eth1/6"/>
    <x v="0"/>
    <x v="0"/>
    <x v="0"/>
    <m/>
    <x v="0"/>
    <b v="0"/>
    <s v="No está en VPC"/>
    <n v="720"/>
    <s v="INTPG-VPC_HDD05_719_1.5_720_1.6"/>
    <s v="ISEL-1.6"/>
    <n v="1"/>
    <s v="NO TIENE L3OUT"/>
    <n v="0"/>
    <n v="54"/>
  </r>
  <r>
    <n v="709"/>
    <x v="2"/>
    <x v="125"/>
    <s v="eth1/6"/>
    <x v="0"/>
    <x v="1"/>
    <x v="5"/>
    <s v="CEM:ITHCEMF2DAT03:LOM  P2"/>
    <x v="0"/>
    <b v="0"/>
    <s v="No está en VPC"/>
    <n v="709"/>
    <s v="INTPG_VPC_708_1.5_709_1.6"/>
    <s v="ISEL-1.6"/>
    <n v="1"/>
    <s v="NO TIENE L3OUT"/>
    <n v="0"/>
    <n v="54"/>
  </r>
  <r>
    <n v="454"/>
    <x v="1"/>
    <x v="126"/>
    <s v="eth1/6"/>
    <x v="0"/>
    <x v="0"/>
    <x v="0"/>
    <s v="HACIA_CSI-B-OSCP-F4-06_PRIMARIO"/>
    <x v="4"/>
    <b v="0"/>
    <s v="No está en VPC"/>
    <n v="454"/>
    <s v="INTPG_VPC_454_1.6_456_1.6"/>
    <s v="ISEL-1.6"/>
    <n v="2"/>
    <s v="NO TIENE L3OUT"/>
    <n v="4"/>
    <n v="54"/>
  </r>
  <r>
    <n v="734"/>
    <x v="2"/>
    <x v="127"/>
    <s v="eth1/6"/>
    <x v="0"/>
    <x v="1"/>
    <x v="1"/>
    <s v="CEM:ITHCEMA1DAT03:FLEXIO P1"/>
    <x v="5"/>
    <b v="0"/>
    <s v="No está en VPC"/>
    <n v="734"/>
    <s v="INTPG_ACC_734_1.6"/>
    <s v="ISEL-1.6"/>
    <n v="1"/>
    <s v="NO TIENE L3OUT"/>
    <n v="32"/>
    <n v="54"/>
  </r>
  <r>
    <n v="815"/>
    <x v="2"/>
    <x v="128"/>
    <s v="eth1/6"/>
    <x v="0"/>
    <x v="0"/>
    <x v="0"/>
    <s v="A_ITHHPGRLKEN06_Redundante"/>
    <x v="2"/>
    <b v="0"/>
    <s v="No está en VPC"/>
    <n v="815"/>
    <s v="INTPG_VPC_814_1.6_815_1.6"/>
    <s v="ISEL-1.6"/>
    <n v="98"/>
    <s v="NO TIENE L3OUT"/>
    <n v="0"/>
    <n v="42"/>
  </r>
  <r>
    <n v="743"/>
    <x v="2"/>
    <x v="129"/>
    <s v="eth1/6"/>
    <x v="0"/>
    <x v="0"/>
    <x v="0"/>
    <s v="trunk22 Bes-Production"/>
    <x v="0"/>
    <b v="0"/>
    <s v="No está en VPC"/>
    <n v="743"/>
    <s v="INTPG_VPC_743_1.6_7_744_1.6_7"/>
    <s v="ISEL-1.6"/>
    <n v="5"/>
    <s v="NO TIENE L3OUT"/>
    <n v="4"/>
    <n v="54"/>
  </r>
  <r>
    <n v="718"/>
    <x v="2"/>
    <x v="130"/>
    <s v="eth1/6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6"/>
    <x v="0"/>
    <x v="0"/>
    <x v="0"/>
    <s v="trunk22 Bes-Production"/>
    <x v="0"/>
    <b v="0"/>
    <s v="No está en VPC"/>
    <n v="744"/>
    <s v="INTPG_VPC_743_1.6_7_744_1.6_7"/>
    <s v="ISEL-1.6"/>
    <n v="5"/>
    <s v="NO TIENE L3OUT"/>
    <n v="4"/>
    <n v="54"/>
  </r>
  <r>
    <n v="741"/>
    <x v="2"/>
    <x v="132"/>
    <s v="eth1/6"/>
    <x v="0"/>
    <x v="1"/>
    <x v="1"/>
    <s v="CEM:ITHCEMA2DAT03:FLEXIO P1"/>
    <x v="5"/>
    <b v="0"/>
    <s v="No está en VPC"/>
    <n v="741"/>
    <s v="INTPG_ACC_741_1.6"/>
    <s v="ISEL-1.6"/>
    <n v="1"/>
    <s v="NO TIENE L3OUT"/>
    <n v="62"/>
    <n v="54"/>
  </r>
  <r>
    <n v="787"/>
    <x v="2"/>
    <x v="133"/>
    <s v="eth1/6"/>
    <x v="0"/>
    <x v="0"/>
    <x v="0"/>
    <s v="ENIQ F2:itheniqr16bl01nas1r4a:Slot 2/1"/>
    <x v="0"/>
    <b v="0"/>
    <s v="No está en VPC"/>
    <n v="787"/>
    <s v="INTPG_PC_787_1.3-6"/>
    <s v="ISEL-1.6"/>
    <n v="1"/>
    <s v="NO TIENE L3OUT"/>
    <n v="26"/>
    <n v="54"/>
  </r>
  <r>
    <n v="750"/>
    <x v="2"/>
    <x v="134"/>
    <s v="eth1/6"/>
    <x v="0"/>
    <x v="0"/>
    <x v="0"/>
    <s v="trunk18 Bes-Production"/>
    <x v="0"/>
    <b v="0"/>
    <s v="No está en VPC"/>
    <n v="750"/>
    <s v="INTPG_VPC_750_1.6_7_751_1.6_7"/>
    <s v="ISEL-1.6"/>
    <n v="5"/>
    <s v="NO TIENE L3OUT"/>
    <n v="2"/>
    <n v="54"/>
  </r>
  <r>
    <n v="792"/>
    <x v="2"/>
    <x v="135"/>
    <s v="eth1/6"/>
    <x v="0"/>
    <x v="0"/>
    <x v="0"/>
    <s v="CRM, CBS:TB-R03-F03:E4-10GE 2"/>
    <x v="0"/>
    <b v="0"/>
    <s v="No está en VPC"/>
    <n v="792"/>
    <s v="INTPG_VPC_757_1.3_6_792_1.3_6"/>
    <s v="ISEL-1.6"/>
    <n v="9"/>
    <s v="NO TIENE L3OUT"/>
    <n v="0"/>
    <n v="54"/>
  </r>
  <r>
    <n v="736"/>
    <x v="2"/>
    <x v="136"/>
    <s v="eth1/6"/>
    <x v="0"/>
    <x v="1"/>
    <x v="3"/>
    <s v="CEM:ITHCEMG2DAT03:SLOT1 P1"/>
    <x v="0"/>
    <b v="0"/>
    <s v="No está en VPC"/>
    <n v="736"/>
    <s v="INTPG_ACC_736_1.6"/>
    <s v="ISEL-1.6"/>
    <n v="1"/>
    <s v="NO TIENE L3OUT"/>
    <n v="48"/>
    <n v="54"/>
  </r>
  <r>
    <n v="799"/>
    <x v="2"/>
    <x v="137"/>
    <s v="eth1/6"/>
    <x v="0"/>
    <x v="0"/>
    <x v="0"/>
    <s v="TO-IMC_PS20-MSP"/>
    <x v="0"/>
    <b v="0"/>
    <s v="No está en VPC"/>
    <n v="799"/>
    <s v="INTPG_ACC_799_1.6"/>
    <s v="ISEL-1.6"/>
    <n v="1"/>
    <s v="NO TIENE L3OUT"/>
    <n v="52"/>
    <n v="54"/>
  </r>
  <r>
    <n v="768"/>
    <x v="2"/>
    <x v="138"/>
    <s v="eth1/6"/>
    <x v="0"/>
    <x v="0"/>
    <x v="0"/>
    <s v="OSS_ENM"/>
    <x v="0"/>
    <b v="0"/>
    <s v="No está en VPC"/>
    <n v="768"/>
    <s v="INTPG_ACC_768_1.6"/>
    <s v="ISEL-1.6"/>
    <n v="1"/>
    <s v="NO TIENE L3OUT"/>
    <n v="62"/>
    <n v="54"/>
  </r>
  <r>
    <n v="714"/>
    <x v="2"/>
    <x v="139"/>
    <s v="eth1/6"/>
    <x v="0"/>
    <x v="0"/>
    <x v="0"/>
    <s v="TO-ITHFHWVRALCN08"/>
    <x v="0"/>
    <b v="0"/>
    <s v="No está en VPC"/>
    <n v="714"/>
    <s v="INTPG_VPC_714_1.6_721_1.5"/>
    <s v="ISEL-1.6"/>
    <n v="108"/>
    <s v="NO TIENE L3OUT"/>
    <n v="20"/>
    <n v="54"/>
  </r>
  <r>
    <n v="717"/>
    <x v="2"/>
    <x v="140"/>
    <s v="eth1/6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6"/>
    <x v="0"/>
    <x v="0"/>
    <x v="0"/>
    <s v="TO-ITHFHPMEDIRAP04"/>
    <x v="0"/>
    <b v="0"/>
    <s v="No está en VPC"/>
    <n v="789"/>
    <s v="INTPG_VPC_788_1.6_789_1.6"/>
    <s v="ISEL-1.6"/>
    <n v="1"/>
    <s v="NO TIENE L3OUT"/>
    <n v="0"/>
    <n v="54"/>
  </r>
  <r>
    <n v="764"/>
    <x v="2"/>
    <x v="142"/>
    <s v="eth1/6"/>
    <x v="0"/>
    <x v="0"/>
    <x v="0"/>
    <s v="OSS_ENM"/>
    <x v="0"/>
    <b v="0"/>
    <s v="No está en VPC"/>
    <n v="764"/>
    <s v="INTPG_ACC_764_1.6"/>
    <s v="ISEL-1.6"/>
    <n v="1"/>
    <s v="NO TIENE L3OUT"/>
    <n v="62"/>
    <n v="54"/>
  </r>
  <r>
    <n v="783"/>
    <x v="2"/>
    <x v="143"/>
    <s v="eth1/6"/>
    <x v="0"/>
    <x v="0"/>
    <x v="0"/>
    <s v="LACP_NAS1_ENIQ9A"/>
    <x v="0"/>
    <b v="0"/>
    <s v="No está en VPC"/>
    <n v="783"/>
    <s v="INTPG_PC_783_1.3-6"/>
    <s v="ISEL-1.6"/>
    <n v="1"/>
    <s v="NO TIENE L3OUT"/>
    <n v="26"/>
    <n v="54"/>
  </r>
  <r>
    <n v="774"/>
    <x v="2"/>
    <x v="144"/>
    <s v="eth1/6"/>
    <x v="0"/>
    <x v="0"/>
    <x v="0"/>
    <s v="CLOUD PASS PAYG F3:ITHHWOSCOPAP023:FLEX I/O P1"/>
    <x v="0"/>
    <b v="0"/>
    <s v="No está en VPC"/>
    <n v="774"/>
    <s v="INTPG_VPC_774_1.6_775_1.6"/>
    <s v="ISEL-1.6"/>
    <n v="23"/>
    <s v="NO TIENE L3OUT"/>
    <n v="0"/>
    <n v="54"/>
  </r>
  <r>
    <n v="773"/>
    <x v="2"/>
    <x v="145"/>
    <s v="eth1/6"/>
    <x v="0"/>
    <x v="0"/>
    <x v="0"/>
    <s v="Portchannel_7_R2"/>
    <x v="0"/>
    <b v="0"/>
    <s v="No está en VPC"/>
    <n v="773"/>
    <s v="INTPG_PC_773_1.3-6"/>
    <s v="ISEL-1.6"/>
    <n v="1"/>
    <s v="NO TIENE L3OUT"/>
    <n v="78"/>
    <n v="54"/>
  </r>
  <r>
    <n v="794"/>
    <x v="2"/>
    <x v="146"/>
    <s v="eth1/6"/>
    <x v="0"/>
    <x v="0"/>
    <x v="0"/>
    <s v="TO-IXTFDLBKP3RAP03-REDUNDANTE_POWEREDGE"/>
    <x v="0"/>
    <b v="0"/>
    <s v="No está en VPC"/>
    <n v="794"/>
    <s v="INTPG_ACC_794_1.6"/>
    <s v="ISEL-1.6"/>
    <n v="1"/>
    <s v="NO TIENE L3OUT"/>
    <n v="12"/>
    <n v="54"/>
  </r>
  <r>
    <n v="803"/>
    <x v="2"/>
    <x v="147"/>
    <s v="eth1/6"/>
    <x v="0"/>
    <x v="0"/>
    <x v="0"/>
    <s v="TO-HDPS_32-MSP"/>
    <x v="0"/>
    <b v="0"/>
    <s v="No está en VPC"/>
    <n v="803"/>
    <s v="INTPG_ACC_803_1.6"/>
    <s v="ISEL-1.6"/>
    <n v="1"/>
    <s v="NO TIENE L3OUT"/>
    <n v="48"/>
    <n v="54"/>
  </r>
  <r>
    <n v="786"/>
    <x v="2"/>
    <x v="148"/>
    <s v="eth1/6"/>
    <x v="0"/>
    <x v="0"/>
    <x v="0"/>
    <s v="ENIQ F2:itheniqr14bl01nas1r4b:Slot 2/1"/>
    <x v="0"/>
    <b v="0"/>
    <s v="No está en VPC"/>
    <n v="786"/>
    <s v="INTPG_PC_786_1.3-6"/>
    <s v="ISEL-1.6"/>
    <n v="1"/>
    <s v="NO TIENE L3OUT"/>
    <n v="26"/>
    <n v="54"/>
  </r>
  <r>
    <n v="757"/>
    <x v="2"/>
    <x v="149"/>
    <s v="eth1/6"/>
    <x v="0"/>
    <x v="1"/>
    <x v="1"/>
    <s v="CRM, CBS:ITHHWTBRK12CH1:E4-10GE 1"/>
    <x v="0"/>
    <b v="0"/>
    <s v="No está en VPC"/>
    <n v="757"/>
    <s v="INTPG_VPC_757_1.3_6_792_1.3_6"/>
    <s v="ISEL-1.6"/>
    <n v="9"/>
    <s v="NO TIENE L3OUT"/>
    <n v="0"/>
    <n v="54"/>
  </r>
  <r>
    <n v="781"/>
    <x v="2"/>
    <x v="150"/>
    <s v="eth1/6"/>
    <x v="0"/>
    <x v="0"/>
    <x v="0"/>
    <s v="LACP_NAS1_ENIQ9C"/>
    <x v="0"/>
    <b v="0"/>
    <s v="No está en VPC"/>
    <n v="781"/>
    <s v="INTPG_PC_781_1.3-6"/>
    <s v="ISEL-1.6"/>
    <n v="1"/>
    <s v="NO TIENE L3OUT"/>
    <n v="26"/>
    <n v="54"/>
  </r>
  <r>
    <n v="793"/>
    <x v="2"/>
    <x v="151"/>
    <s v="eth1/6"/>
    <x v="0"/>
    <x v="0"/>
    <x v="0"/>
    <s v="TO-IXTFDLBKP3RAP03-PRINCIPAL_POWEREDGE"/>
    <x v="0"/>
    <b v="0"/>
    <s v="No está en VPC"/>
    <n v="793"/>
    <s v="INTPG_ACC_793_1.6"/>
    <s v="ISEL-1.6"/>
    <n v="1"/>
    <s v="NO TIENE L3OUT"/>
    <n v="12"/>
    <n v="54"/>
  </r>
  <r>
    <n v="747"/>
    <x v="2"/>
    <x v="152"/>
    <s v="eth1/6"/>
    <x v="0"/>
    <x v="0"/>
    <x v="0"/>
    <s v="PAAS:ithhwoscopap006:LOM PORT 1"/>
    <x v="0"/>
    <b v="0"/>
    <s v="No está en VPC"/>
    <n v="747"/>
    <s v="INTPG_VPC_747_1.6_752_1.6"/>
    <s v="ISEL-1.6"/>
    <n v="25"/>
    <s v="NO TIENE L3OUT"/>
    <n v="0"/>
    <n v="54"/>
  </r>
  <r>
    <n v="784"/>
    <x v="2"/>
    <x v="153"/>
    <s v="eth1/6"/>
    <x v="0"/>
    <x v="0"/>
    <x v="0"/>
    <s v="ENIQ F2:itheniqr12bl01nas1r6b:Slot 2/1"/>
    <x v="0"/>
    <b v="0"/>
    <s v="No está en VPC"/>
    <n v="784"/>
    <s v="INTPG_PC_784_1.3-6"/>
    <s v="ISEL-1.6"/>
    <n v="1"/>
    <s v="NO TIENE L3OUT"/>
    <n v="26"/>
    <n v="54"/>
  </r>
  <r>
    <n v="806"/>
    <x v="2"/>
    <x v="154"/>
    <s v="eth1/6"/>
    <x v="0"/>
    <x v="0"/>
    <x v="0"/>
    <s v="TO-HDPS_56-MSP"/>
    <x v="0"/>
    <b v="0"/>
    <s v="No está en VPC"/>
    <n v="806"/>
    <s v="INTPG_ACC_806_1.6"/>
    <s v="ISEL-1.6"/>
    <n v="1"/>
    <s v="NO TIENE L3OUT"/>
    <n v="44"/>
    <n v="54"/>
  </r>
  <r>
    <n v="777"/>
    <x v="2"/>
    <x v="155"/>
    <s v="eth1/6"/>
    <x v="0"/>
    <x v="0"/>
    <x v="0"/>
    <s v="TO-ITHHWOSCOAP026"/>
    <x v="0"/>
    <b v="0"/>
    <s v="No está en VPC"/>
    <n v="777"/>
    <s v="INTPG_VPC_776_1.6_777_1.6"/>
    <s v="ISEL-1.6"/>
    <n v="1"/>
    <s v="NO TIENE L3OUT"/>
    <n v="0"/>
    <n v="54"/>
  </r>
  <r>
    <n v="770"/>
    <x v="2"/>
    <x v="156"/>
    <s v="eth1/6"/>
    <x v="0"/>
    <x v="0"/>
    <x v="0"/>
    <s v="Portchannel_3_R4A"/>
    <x v="0"/>
    <b v="0"/>
    <s v="No está en VPC"/>
    <n v="770"/>
    <s v="INTPG_PC_770_1.5-6"/>
    <s v="ISEL-1.6"/>
    <n v="8"/>
    <s v="NO TIENE L3OUT"/>
    <n v="60"/>
    <n v="54"/>
  </r>
  <r>
    <n v="813"/>
    <x v="2"/>
    <x v="157"/>
    <s v="eth1/6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6"/>
    <x v="0"/>
    <x v="1"/>
    <x v="1"/>
    <s v="CEM:ITHCEMC2DAT03:FLEXIO P1"/>
    <x v="5"/>
    <b v="0"/>
    <s v="No está en VPC"/>
    <n v="739"/>
    <s v="INTPG_ACC_739_1.6"/>
    <s v="ISEL-1.6"/>
    <n v="1"/>
    <s v="NO TIENE L3OUT"/>
    <n v="72"/>
    <n v="54"/>
  </r>
  <r>
    <n v="775"/>
    <x v="2"/>
    <x v="159"/>
    <s v="eth1/6"/>
    <x v="0"/>
    <x v="0"/>
    <x v="0"/>
    <s v="CLOUD PASS PAYG F3:ITHHWOSCOPAP023:LOM P3"/>
    <x v="0"/>
    <b v="0"/>
    <s v="No está en VPC"/>
    <n v="775"/>
    <s v="INTPG_VPC_774_1.6_775_1.6"/>
    <s v="ISEL-1.6"/>
    <n v="23"/>
    <s v="NO TIENE L3OUT"/>
    <n v="0"/>
    <n v="54"/>
  </r>
  <r>
    <n v="791"/>
    <x v="2"/>
    <x v="160"/>
    <s v="eth1/6"/>
    <x v="0"/>
    <x v="0"/>
    <x v="0"/>
    <s v="LINK_TO_ITHEMCPS5200TWPT3 / Nodo B IOM 1.1_05 / Redundante"/>
    <x v="0"/>
    <b v="0"/>
    <s v="No está en VPC"/>
    <n v="791"/>
    <s v="INTPG_ACC_791_1.6"/>
    <s v="ISEL-1.6"/>
    <n v="2"/>
    <s v="NO TIENE L3OUT"/>
    <n v="20"/>
    <n v="54"/>
  </r>
  <r>
    <n v="808"/>
    <x v="2"/>
    <x v="161"/>
    <s v="eth1/6"/>
    <x v="0"/>
    <x v="0"/>
    <x v="0"/>
    <s v="HUECOS DC_S3"/>
    <x v="0"/>
    <b v="0"/>
    <s v="No está en VPC"/>
    <n v="808"/>
    <s v="INTPG_VPC_808_1.1-6_809_1.1-6"/>
    <s v="ISEL-1.6"/>
    <n v="1"/>
    <s v="NO TIENE L3OUT"/>
    <n v="0"/>
    <n v="54"/>
  </r>
  <r>
    <n v="830"/>
    <x v="2"/>
    <x v="162"/>
    <s v="eth1/6"/>
    <x v="0"/>
    <x v="0"/>
    <x v="0"/>
    <s v="LINK_TO_ITHFHWCBSDSUSBD05 /Slot6.2 /Redundante"/>
    <x v="0"/>
    <b v="0"/>
    <s v="No está en VPC"/>
    <n v="830"/>
    <s v="INTPG_VPC_826_1.6_830_1.6"/>
    <s v="ISEL-1.6"/>
    <n v="1"/>
    <s v="NO TIENE L3OUT"/>
    <n v="12"/>
    <n v="54"/>
  </r>
  <r>
    <n v="821"/>
    <x v="2"/>
    <x v="163"/>
    <s v="eth1/6"/>
    <x v="0"/>
    <x v="0"/>
    <x v="0"/>
    <s v="LINK_TO_ITHFHWCBSPSUSBD09 /Slot6.2 /Redundante"/>
    <x v="0"/>
    <b v="0"/>
    <s v="No está en VPC"/>
    <n v="821"/>
    <s v="INTPG_VPC_816_1.6_821_1.6"/>
    <s v="ISEL-1.6"/>
    <n v="1"/>
    <s v="NO TIENE L3OUT"/>
    <n v="0"/>
    <n v="54"/>
  </r>
  <r>
    <n v="738"/>
    <x v="2"/>
    <x v="164"/>
    <s v="eth1/6"/>
    <x v="0"/>
    <x v="0"/>
    <x v="0"/>
    <s v="CEM:ITHCEMF2DAT03:FLEXIO P1"/>
    <x v="5"/>
    <b v="0"/>
    <s v="No está en VPC"/>
    <n v="738"/>
    <s v="INTPG_ACC_738_1.6"/>
    <s v="ISEL-1.6"/>
    <n v="1"/>
    <s v="NO TIENE L3OUT"/>
    <n v="72"/>
    <n v="54"/>
  </r>
  <r>
    <n v="820"/>
    <x v="2"/>
    <x v="165"/>
    <s v="eth1/6"/>
    <x v="0"/>
    <x v="0"/>
    <x v="0"/>
    <s v="LINK_TO_ITHHWCRMPEN02 /X2-10GE 2 /Redundante"/>
    <x v="0"/>
    <b v="0"/>
    <s v="No está en VPC"/>
    <n v="820"/>
    <s v="INTPG_VPC_820_1.6_9_825_1.6_9"/>
    <s v="ISEL-1.6"/>
    <n v="4"/>
    <s v="NO TIENE L3OUT"/>
    <n v="72"/>
    <n v="54"/>
  </r>
  <r>
    <n v="804"/>
    <x v="2"/>
    <x v="166"/>
    <s v="eth1/6"/>
    <x v="0"/>
    <x v="0"/>
    <x v="0"/>
    <s v="TO-HDPS_32-MSP"/>
    <x v="0"/>
    <b v="0"/>
    <s v="No está en VPC"/>
    <n v="804"/>
    <s v="INTPG_ACC_804_1.6"/>
    <s v="ISEL-1.6"/>
    <n v="1"/>
    <s v="NO TIENE L3OUT"/>
    <n v="48"/>
    <n v="54"/>
  </r>
  <r>
    <n v="779"/>
    <x v="2"/>
    <x v="167"/>
    <s v="eth1/6"/>
    <x v="0"/>
    <x v="0"/>
    <x v="0"/>
    <s v="ENIQ F1:itheniqr08nas1r3:Slot 2/1"/>
    <x v="0"/>
    <b v="0"/>
    <s v="No está en VPC"/>
    <n v="779"/>
    <s v="INTPG_PC_779_1.3-6"/>
    <s v="ISEL-1.6"/>
    <n v="1"/>
    <s v="NO TIENE L3OUT"/>
    <n v="30"/>
    <n v="54"/>
  </r>
  <r>
    <n v="767"/>
    <x v="2"/>
    <x v="168"/>
    <s v="eth1/6"/>
    <x v="0"/>
    <x v="0"/>
    <x v="0"/>
    <s v="Portchannel_6_R6B"/>
    <x v="0"/>
    <b v="0"/>
    <s v="No está en VPC"/>
    <n v="767"/>
    <s v="INTPG_PC_767_1.3-6"/>
    <s v="ISEL-1.6"/>
    <n v="1"/>
    <s v="NO TIENE L3OUT"/>
    <n v="60"/>
    <n v="54"/>
  </r>
  <r>
    <n v="827"/>
    <x v="2"/>
    <x v="169"/>
    <s v="eth1/6"/>
    <x v="0"/>
    <x v="0"/>
    <x v="0"/>
    <s v="LINK_TO_ITHHWD6KV60013DKC01 /CtrlB_IOM0.P0 /Principal"/>
    <x v="0"/>
    <b v="0"/>
    <s v="No está en VPC"/>
    <n v="827"/>
    <s v="INTPG_ACC_827_1.6"/>
    <s v="ISEL-1.6"/>
    <n v="1"/>
    <s v="NO TIENE L3OUT"/>
    <n v="14"/>
    <n v="54"/>
  </r>
  <r>
    <n v="809"/>
    <x v="2"/>
    <x v="170"/>
    <s v="eth1/6"/>
    <x v="0"/>
    <x v="0"/>
    <x v="0"/>
    <s v="HUECOS DC_S3"/>
    <x v="0"/>
    <b v="0"/>
    <s v="No está en VPC"/>
    <n v="809"/>
    <s v="INTPG_VPC_808_1.1-6_809_1.1-6"/>
    <s v="ISEL-1.6"/>
    <n v="1"/>
    <s v="NO TIENE L3OUT"/>
    <n v="0"/>
    <n v="54"/>
  </r>
  <r>
    <n v="771"/>
    <x v="2"/>
    <x v="171"/>
    <s v="eth1/6"/>
    <x v="0"/>
    <x v="0"/>
    <x v="0"/>
    <s v="OSS_ENM"/>
    <x v="0"/>
    <b v="0"/>
    <s v="No está en VPC"/>
    <n v="771"/>
    <s v="INTPG_ACC_771_1.6"/>
    <s v="ISEL-1.6"/>
    <n v="1"/>
    <s v="NO TIENE L3OUT"/>
    <n v="62"/>
    <n v="54"/>
  </r>
  <r>
    <n v="761"/>
    <x v="2"/>
    <x v="172"/>
    <s v="eth1/6"/>
    <x v="0"/>
    <x v="1"/>
    <x v="1"/>
    <m/>
    <x v="0"/>
    <b v="0"/>
    <s v="No está en VPC"/>
    <n v="761"/>
    <s v="INTPG_VPC_760_1.5-8_761_1.5-8"/>
    <s v="ISEL-1.6"/>
    <n v="0"/>
    <s v="L3OUT-EXACLOUD"/>
    <n v="0"/>
    <n v="54"/>
  </r>
  <r>
    <n v="776"/>
    <x v="2"/>
    <x v="173"/>
    <s v="eth1/6"/>
    <x v="0"/>
    <x v="0"/>
    <x v="0"/>
    <s v="TO-ITHHWOSCOAP026"/>
    <x v="0"/>
    <b v="0"/>
    <s v="No está en VPC"/>
    <n v="776"/>
    <s v="INTPG_VPC_776_1.6_777_1.6"/>
    <s v="ISEL-1.6"/>
    <n v="1"/>
    <s v="NO TIENE L3OUT"/>
    <n v="0"/>
    <n v="54"/>
  </r>
  <r>
    <n v="805"/>
    <x v="2"/>
    <x v="174"/>
    <s v="eth1/6"/>
    <x v="0"/>
    <x v="0"/>
    <x v="0"/>
    <s v="TO-HDPS_56-MSP"/>
    <x v="0"/>
    <b v="0"/>
    <s v="No está en VPC"/>
    <n v="805"/>
    <s v="INTPG_ACC_805_1.6"/>
    <s v="ISEL-1.6"/>
    <n v="1"/>
    <s v="NO TIENE L3OUT"/>
    <n v="44"/>
    <n v="54"/>
  </r>
  <r>
    <n v="772"/>
    <x v="2"/>
    <x v="175"/>
    <s v="eth1/6"/>
    <x v="0"/>
    <x v="0"/>
    <x v="0"/>
    <s v="OSS_ENM"/>
    <x v="0"/>
    <b v="0"/>
    <s v="No está en VPC"/>
    <n v="772"/>
    <s v="INTPG_ACC_772_1.6"/>
    <s v="ISEL-1.6"/>
    <n v="1"/>
    <s v="NO TIENE L3OUT"/>
    <n v="82"/>
    <n v="54"/>
  </r>
  <r>
    <n v="785"/>
    <x v="2"/>
    <x v="176"/>
    <s v="eth1/6"/>
    <x v="0"/>
    <x v="0"/>
    <x v="0"/>
    <s v="ENIQ F2:itheniqr13bl01nas1r6a:Slot 2/1"/>
    <x v="0"/>
    <b v="0"/>
    <s v="No está en VPC"/>
    <n v="785"/>
    <s v="INTPG_PC_785_1.3-6"/>
    <s v="ISEL-1.6"/>
    <n v="1"/>
    <s v="NO TIENE L3OUT"/>
    <n v="32"/>
    <n v="54"/>
  </r>
  <r>
    <n v="851"/>
    <x v="2"/>
    <x v="177"/>
    <s v="eth1/6"/>
    <x v="0"/>
    <x v="0"/>
    <x v="0"/>
    <s v="LINK_TO_ITHFHWCRMPLCN102 / Slot7.3_8 / Redundante"/>
    <x v="0"/>
    <b v="0"/>
    <s v="No está en VPC"/>
    <n v="851"/>
    <s v="INTPG_ACC_851_1.6"/>
    <s v="ISEL-1.6"/>
    <n v="1"/>
    <s v="NO TIENE L3OUT"/>
    <n v="282"/>
    <n v="54"/>
  </r>
  <r>
    <n v="798"/>
    <x v="2"/>
    <x v="178"/>
    <s v="eth1/6"/>
    <x v="0"/>
    <x v="0"/>
    <x v="0"/>
    <s v="TO-IMC_PS20-MSP"/>
    <x v="0"/>
    <b v="0"/>
    <s v="No está en VPC"/>
    <n v="798"/>
    <s v="INTPG_ACC_798_1.6"/>
    <s v="ISEL-1.6"/>
    <n v="1"/>
    <s v="NO TIENE L3OUT"/>
    <n v="52"/>
    <n v="54"/>
  </r>
  <r>
    <n v="782"/>
    <x v="2"/>
    <x v="179"/>
    <s v="eth1/6"/>
    <x v="0"/>
    <x v="0"/>
    <x v="0"/>
    <s v="LACP_NAS1_ENIQ9B"/>
    <x v="0"/>
    <b v="0"/>
    <s v="No está en VPC"/>
    <n v="782"/>
    <s v="INTPG_PC_782_1.3-6"/>
    <s v="ISEL-1.6"/>
    <n v="1"/>
    <s v="NO TIENE L3OUT"/>
    <n v="32"/>
    <n v="54"/>
  </r>
  <r>
    <n v="852"/>
    <x v="2"/>
    <x v="180"/>
    <s v="eth1/6"/>
    <x v="0"/>
    <x v="0"/>
    <x v="0"/>
    <s v="LINK_TO_ITHFHWCRMPSBDA07 / Slot7.1_4 / Redundante"/>
    <x v="0"/>
    <b v="0"/>
    <s v="No está en VPC"/>
    <n v="852"/>
    <s v="INTPG_VPC_845_1.6_852_1.6"/>
    <s v="ISEL-1.6"/>
    <n v="6"/>
    <s v="NO TIENE L3OUT"/>
    <n v="258"/>
    <n v="54"/>
  </r>
  <r>
    <n v="817"/>
    <x v="2"/>
    <x v="181"/>
    <s v="eth1/6"/>
    <x v="0"/>
    <x v="0"/>
    <x v="0"/>
    <s v="LINK_TO_ITHFHWCBSPSWR23 /Slot4.2 /Principal"/>
    <x v="0"/>
    <b v="0"/>
    <s v="No está en VPC"/>
    <n v="817"/>
    <s v="INTPG_VPC_817_1.6_822_1.6"/>
    <s v="ISEL-1.6"/>
    <n v="1"/>
    <s v="NO TIENE L3OUT"/>
    <n v="0"/>
    <n v="54"/>
  </r>
  <r>
    <n v="832"/>
    <x v="2"/>
    <x v="182"/>
    <s v="eth1/6"/>
    <x v="0"/>
    <x v="0"/>
    <x v="0"/>
    <s v="LINK_TO_ITHFHWCBSDSWR33 /Slot6.2 /Redundante"/>
    <x v="0"/>
    <b v="0"/>
    <s v="No está en VPC"/>
    <n v="832"/>
    <s v="INTPG_VPC_828_1.6_832_1.6"/>
    <s v="ISEL-1.6"/>
    <n v="1"/>
    <s v="NO TIENE L3OUT"/>
    <n v="192"/>
    <n v="54"/>
  </r>
  <r>
    <n v="816"/>
    <x v="2"/>
    <x v="183"/>
    <s v="eth1/6"/>
    <x v="0"/>
    <x v="0"/>
    <x v="0"/>
    <s v="LINK_TO_ITHFHWCBSPSUSBD09 /Slot4.2 /Principal"/>
    <x v="0"/>
    <b v="0"/>
    <s v="No está en VPC"/>
    <n v="816"/>
    <s v="INTPG_VPC_816_1.6_821_1.6"/>
    <s v="ISEL-1.6"/>
    <n v="1"/>
    <s v="NO TIENE L3OUT"/>
    <n v="0"/>
    <n v="54"/>
  </r>
  <r>
    <n v="825"/>
    <x v="2"/>
    <x v="184"/>
    <s v="eth1/6"/>
    <x v="0"/>
    <x v="0"/>
    <x v="0"/>
    <s v="LINK_TO_ITHHWCRMPEN02 /X2-10GE 1 /Principal"/>
    <x v="0"/>
    <b v="0"/>
    <s v="No está en VPC"/>
    <n v="825"/>
    <s v="INTPG_VPC_820_1.6_9_825_1.6_9"/>
    <s v="ISEL-1.6"/>
    <n v="4"/>
    <s v="NO TIENE L3OUT"/>
    <n v="72"/>
    <n v="54"/>
  </r>
  <r>
    <n v="800"/>
    <x v="2"/>
    <x v="185"/>
    <s v="eth1/6"/>
    <x v="0"/>
    <x v="0"/>
    <x v="0"/>
    <s v="TO-CEPS_02-MSP"/>
    <x v="0"/>
    <b v="0"/>
    <s v="No está en VPC"/>
    <n v="800"/>
    <s v="INTPG_ACC_800_1.6"/>
    <s v="ISEL-1.6"/>
    <n v="1"/>
    <s v="NO TIENE L3OUT"/>
    <n v="78"/>
    <n v="54"/>
  </r>
  <r>
    <n v="801"/>
    <x v="2"/>
    <x v="186"/>
    <s v="eth1/6"/>
    <x v="0"/>
    <x v="0"/>
    <x v="0"/>
    <s v="TO-CEPS_02-MSP"/>
    <x v="0"/>
    <b v="0"/>
    <s v="No está en VPC"/>
    <n v="801"/>
    <s v="INTPG_ACC_801_1.6"/>
    <s v="ISEL-1.6"/>
    <n v="1"/>
    <s v="NO TIENE L3OUT"/>
    <n v="78"/>
    <n v="54"/>
  </r>
  <r>
    <n v="823"/>
    <x v="2"/>
    <x v="187"/>
    <s v="eth1/6"/>
    <x v="0"/>
    <x v="0"/>
    <x v="0"/>
    <s v="LINK_TO_ITHFHWCBSPSWR31 /Slot6.2 /Redundante"/>
    <x v="0"/>
    <b v="0"/>
    <s v="No está en VPC"/>
    <n v="823"/>
    <s v="INTPG_VPC_818_1.6_823_1.6"/>
    <s v="ISEL-1.6"/>
    <n v="1"/>
    <s v="NO TIENE L3OUT"/>
    <n v="8"/>
    <n v="54"/>
  </r>
  <r>
    <n v="837"/>
    <x v="2"/>
    <x v="188"/>
    <s v="eth1/6"/>
    <x v="0"/>
    <x v="0"/>
    <x v="0"/>
    <s v="LINK_TO_ITHFHWCBSPSUSBD24 / Slot1.2_4 / Principal"/>
    <x v="0"/>
    <b v="0"/>
    <s v="No está en VPC"/>
    <n v="837"/>
    <s v="INTPG_VPC_837_1.6_842_1.6"/>
    <s v="ISEL-1.6"/>
    <n v="1"/>
    <s v="NO TIENE L3OUT"/>
    <n v="8"/>
    <n v="54"/>
  </r>
  <r>
    <n v="867"/>
    <x v="2"/>
    <x v="189"/>
    <s v="eth1/6"/>
    <x v="0"/>
    <x v="0"/>
    <x v="0"/>
    <s v="To_ITHHWD6KV65100013DKC01_Redundante"/>
    <x v="0"/>
    <b v="0"/>
    <s v="No está en VPC"/>
    <n v="867"/>
    <s v="INTPG_ACC_867_1.6"/>
    <s v="ISEL-1.6"/>
    <n v="1"/>
    <s v="NO TIENE L3OUT"/>
    <n v="44"/>
    <n v="54"/>
  </r>
  <r>
    <n v="829"/>
    <x v="2"/>
    <x v="190"/>
    <s v="eth1/6"/>
    <x v="0"/>
    <x v="0"/>
    <x v="0"/>
    <s v="LINK_TO_ITHFHWCRMDLCN29 /Slot6.2 /Redundante"/>
    <x v="0"/>
    <b v="0"/>
    <s v="No está en VPC"/>
    <n v="829"/>
    <s v="INTPG_ACC_829_1.6"/>
    <s v="ISEL-1.6"/>
    <n v="1"/>
    <s v="NO TIENE L3OUT"/>
    <n v="224"/>
    <n v="54"/>
  </r>
  <r>
    <n v="831"/>
    <x v="2"/>
    <x v="191"/>
    <s v="eth1/6"/>
    <x v="0"/>
    <x v="0"/>
    <x v="0"/>
    <s v="LINK_TO_ITHHWD6KV60013DKC01 /CtrlB_IOM0.P1 /Redundante"/>
    <x v="0"/>
    <b v="0"/>
    <s v="No está en VPC"/>
    <n v="831"/>
    <s v="INTPG_ACC_831_1.6"/>
    <s v="ISEL-1.6"/>
    <n v="1"/>
    <s v="NO TIENE L3OUT"/>
    <n v="14"/>
    <n v="54"/>
  </r>
  <r>
    <n v="802"/>
    <x v="2"/>
    <x v="192"/>
    <s v="eth1/6"/>
    <x v="0"/>
    <x v="0"/>
    <x v="0"/>
    <s v="TO-HDPS_08-MSP"/>
    <x v="0"/>
    <b v="0"/>
    <s v="No está en VPC"/>
    <n v="802"/>
    <s v="INTPG_ACC_802_1.6"/>
    <s v="ISEL-1.6"/>
    <n v="1"/>
    <s v="NO TIENE L3OUT"/>
    <n v="48"/>
    <n v="54"/>
  </r>
  <r>
    <n v="835"/>
    <x v="2"/>
    <x v="193"/>
    <s v="eth1/6"/>
    <x v="0"/>
    <x v="0"/>
    <x v="0"/>
    <s v="LINK_TO_ITHFHWCBSPSUSBD38 / Slot1.3_10 / Principal"/>
    <x v="0"/>
    <b v="0"/>
    <s v="No está en VPC"/>
    <n v="835"/>
    <s v="INTPG_VPC_835_1.6_840_1.6"/>
    <s v="ISEL-1.6"/>
    <n v="1"/>
    <s v="NO TIENE L3OUT"/>
    <n v="8"/>
    <n v="54"/>
  </r>
  <r>
    <n v="822"/>
    <x v="2"/>
    <x v="194"/>
    <s v="eth1/6"/>
    <x v="0"/>
    <x v="0"/>
    <x v="0"/>
    <s v="LINK_TO_ITHFHWCBSPSWR23 /Slot6.2 /Redundante"/>
    <x v="0"/>
    <b v="0"/>
    <s v="No está en VPC"/>
    <n v="822"/>
    <s v="INTPG_VPC_817_1.6_822_1.6"/>
    <s v="ISEL-1.6"/>
    <n v="1"/>
    <s v="NO TIENE L3OUT"/>
    <n v="0"/>
    <n v="54"/>
  </r>
  <r>
    <n v="854"/>
    <x v="2"/>
    <x v="195"/>
    <s v="eth1/6"/>
    <x v="0"/>
    <x v="0"/>
    <x v="0"/>
    <s v="LINK_TO_ITHFHWCRMPSBDA06 / Slot7.3_6 / Redundante"/>
    <x v="0"/>
    <b v="0"/>
    <s v="No está en VPC"/>
    <n v="854"/>
    <s v="INTPG_VPC_847_1.6_854_1.6"/>
    <s v="ISEL-1.6"/>
    <n v="1"/>
    <s v="NO TIENE L3OUT"/>
    <n v="204"/>
    <n v="54"/>
  </r>
  <r>
    <n v="858"/>
    <x v="2"/>
    <x v="196"/>
    <s v="eth1/6"/>
    <x v="0"/>
    <x v="0"/>
    <x v="0"/>
    <s v="To_VPC_2DCBSD_HD38_3"/>
    <x v="0"/>
    <b v="0"/>
    <s v="No está en VPC"/>
    <n v="858"/>
    <s v="INTPG_VPC_858_1.6_863_1.6"/>
    <s v="ISEL-1.6"/>
    <n v="1"/>
    <s v="NO TIENE L3OUT"/>
    <n v="8"/>
    <n v="54"/>
  </r>
  <r>
    <n v="857"/>
    <x v="2"/>
    <x v="197"/>
    <s v="eth1/6"/>
    <x v="0"/>
    <x v="0"/>
    <x v="0"/>
    <s v="LINK_TO_ITHFHWCRMPLCN152 / Slot1.2_38 / Principal"/>
    <x v="0"/>
    <b v="0"/>
    <s v="No está en VPC"/>
    <n v="857"/>
    <s v="INTPG_ACC_857_1.6"/>
    <s v="ISEL-1.6"/>
    <n v="2"/>
    <s v="NO TIENE L3OUT"/>
    <n v="288"/>
    <n v="54"/>
  </r>
  <r>
    <n v="859"/>
    <x v="2"/>
    <x v="198"/>
    <s v="eth1/6"/>
    <x v="0"/>
    <x v="0"/>
    <x v="0"/>
    <s v="To_VPC_2DCBSD_HD32_3"/>
    <x v="0"/>
    <b v="0"/>
    <s v="No está en VPC"/>
    <n v="859"/>
    <s v="INTPG_VPC_859_1.6_864_1.6"/>
    <s v="ISEL-1.6"/>
    <n v="1"/>
    <s v="NO TIENE L3OUT"/>
    <n v="0"/>
    <n v="54"/>
  </r>
  <r>
    <n v="833"/>
    <x v="2"/>
    <x v="199"/>
    <s v="eth1/6"/>
    <x v="0"/>
    <x v="0"/>
    <x v="0"/>
    <s v="LINK_TO_ITHFHWCRMDLCN29 /Slot4.2 /Principal"/>
    <x v="0"/>
    <b v="0"/>
    <s v="No está en VPC"/>
    <n v="833"/>
    <s v="INTPG_ACC_833_1.6"/>
    <s v="ISEL-1.6"/>
    <n v="1"/>
    <s v="NO TIENE L3OUT"/>
    <n v="224"/>
    <n v="54"/>
  </r>
  <r>
    <n v="818"/>
    <x v="2"/>
    <x v="200"/>
    <s v="eth1/6"/>
    <x v="0"/>
    <x v="0"/>
    <x v="0"/>
    <s v="LINK_TO_ITHFHWCBSPSWR31 /Slot4.2 /Principal"/>
    <x v="0"/>
    <b v="0"/>
    <s v="No está en VPC"/>
    <n v="818"/>
    <s v="INTPG_VPC_818_1.6_823_1.6"/>
    <s v="ISEL-1.6"/>
    <n v="1"/>
    <s v="NO TIENE L3OUT"/>
    <n v="8"/>
    <n v="54"/>
  </r>
  <r>
    <n v="850"/>
    <x v="2"/>
    <x v="201"/>
    <s v="eth1/6"/>
    <x v="0"/>
    <x v="0"/>
    <x v="0"/>
    <s v="LINK_TO_ITHFHWCRMPLCN152 / Slot7.2_38 / Redundante"/>
    <x v="0"/>
    <b v="0"/>
    <s v="No está en VPC"/>
    <n v="850"/>
    <s v="INTPG_ACC_850_1.6"/>
    <s v="ISEL-1.6"/>
    <n v="2"/>
    <s v="NO TIENE L3OUT"/>
    <n v="288"/>
    <n v="54"/>
  </r>
  <r>
    <n v="860"/>
    <x v="2"/>
    <x v="202"/>
    <s v="eth1/6"/>
    <x v="0"/>
    <x v="0"/>
    <x v="0"/>
    <s v="To_VPC_2DCBSD_WR53_3"/>
    <x v="0"/>
    <b v="0"/>
    <s v="No está en VPC"/>
    <n v="860"/>
    <s v="INTPG_VPC_860_1.6_865_1.6"/>
    <s v="ISEL-1.6"/>
    <n v="1"/>
    <s v="NO TIENE L3OUT"/>
    <n v="0"/>
    <n v="54"/>
  </r>
  <r>
    <n v="853"/>
    <x v="2"/>
    <x v="203"/>
    <s v="eth1/6"/>
    <x v="0"/>
    <x v="0"/>
    <x v="0"/>
    <s v="LINK_TO_ITHHWD6KV65100011DKC01 / CTMA_IOM0.P1_34 / Redundante"/>
    <x v="0"/>
    <b v="0"/>
    <s v="No está en VPC"/>
    <n v="853"/>
    <s v="INTPG_ACC_853_1.6"/>
    <s v="ISEL-1.6"/>
    <n v="1"/>
    <s v="NO TIENE L3OUT"/>
    <n v="242"/>
    <n v="54"/>
  </r>
  <r>
    <n v="790"/>
    <x v="2"/>
    <x v="204"/>
    <s v="eth1/6"/>
    <x v="0"/>
    <x v="0"/>
    <x v="0"/>
    <s v="LINK_TO_ITHEMCPS5200TWPT3 / Nodo B IOM 1.0_05 / Principal"/>
    <x v="0"/>
    <b v="0"/>
    <s v="No está en VPC"/>
    <n v="790"/>
    <s v="INTPG_ACC_790_1.6"/>
    <s v="ISEL-1.6"/>
    <n v="2"/>
    <s v="NO TIENE L3OUT"/>
    <n v="20"/>
    <n v="54"/>
  </r>
  <r>
    <n v="105"/>
    <x v="0"/>
    <x v="205"/>
    <s v="eth1/6"/>
    <x v="0"/>
    <x v="1"/>
    <x v="1"/>
    <s v="DESC"/>
    <x v="6"/>
    <b v="0"/>
    <s v="No está en VPC"/>
    <n v="105"/>
    <s v="INTPG_PC_105_1.6-12_38"/>
    <s v="ISEL-1.6"/>
    <n v="17"/>
    <s v="NO TIENE L3OUT"/>
    <n v="106"/>
    <n v="96"/>
  </r>
  <r>
    <n v="117"/>
    <x v="0"/>
    <x v="206"/>
    <s v="eth1/6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6"/>
    <x v="0"/>
    <x v="1"/>
    <x v="1"/>
    <s v="SFLDI"/>
    <x v="6"/>
    <b v="0"/>
    <s v="No está en VPC"/>
    <n v="104"/>
    <s v="INTPG_ACC_104_1.6"/>
    <s v="ISEL-1.6"/>
    <n v="1"/>
    <s v="NO TIENE L3OUT"/>
    <n v="194"/>
    <n v="96"/>
  </r>
  <r>
    <n v="158"/>
    <x v="0"/>
    <x v="208"/>
    <s v="eth1/6"/>
    <x v="1"/>
    <x v="1"/>
    <x v="2"/>
    <s v="RED CRICKET"/>
    <x v="6"/>
    <b v="0"/>
    <s v="No está en VPC"/>
    <n v="158"/>
    <s v="INTPG_ACC_158_1.6"/>
    <s v="ISEL-1.6"/>
    <n v="1"/>
    <s v="NO TIENE L3OUT"/>
    <n v="30"/>
    <n v="96"/>
  </r>
  <r>
    <n v="875"/>
    <x v="2"/>
    <x v="209"/>
    <s v="eth1/6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6"/>
    <x v="0"/>
    <x v="0"/>
    <x v="0"/>
    <s v="HACIA_CSI-B-OSCP-F4-10_PRIMARIO"/>
    <x v="4"/>
    <b v="0"/>
    <s v="No está en VPC"/>
    <n v="879"/>
    <s v="INTPG_VPC_878_1.6_879_1.6"/>
    <s v="ISEL-1.6"/>
    <n v="2"/>
    <s v="NO TIENE L3OUT"/>
    <n v="0"/>
    <n v="54"/>
  </r>
  <r>
    <n v="108"/>
    <x v="0"/>
    <x v="211"/>
    <s v="eth1/6"/>
    <x v="0"/>
    <x v="0"/>
    <x v="0"/>
    <s v="MEDIACION PREPAGO"/>
    <x v="6"/>
    <b v="0"/>
    <s v="No está en VPC"/>
    <n v="108"/>
    <s v="INTPG_ACC_108_1.6"/>
    <s v="ISEL-1.6"/>
    <n v="1"/>
    <s v="NO TIENE L3OUT"/>
    <n v="126"/>
    <n v="96"/>
  </r>
  <r>
    <n v="112"/>
    <x v="0"/>
    <x v="212"/>
    <s v="eth1/6"/>
    <x v="1"/>
    <x v="1"/>
    <x v="2"/>
    <s v="NPG_1"/>
    <x v="6"/>
    <b v="0"/>
    <s v="No está en VPC"/>
    <n v="112"/>
    <s v="INTPG_ACC_112_1.6"/>
    <s v="ISEL-1.6"/>
    <n v="1"/>
    <s v="NO TIENE L3OUT"/>
    <n v="144"/>
    <n v="96"/>
  </r>
  <r>
    <n v="107"/>
    <x v="0"/>
    <x v="213"/>
    <s v="eth1/6"/>
    <x v="0"/>
    <x v="0"/>
    <x v="0"/>
    <s v="OPEN VIEW BACK FASE2_1"/>
    <x v="6"/>
    <b v="0"/>
    <s v="No está en VPC"/>
    <n v="107"/>
    <s v="INTPG_ACC_107_1.6"/>
    <s v="ISEL-1.6"/>
    <n v="1"/>
    <s v="NO TIENE L3OUT"/>
    <n v="118"/>
    <n v="96"/>
  </r>
  <r>
    <n v="109"/>
    <x v="0"/>
    <x v="214"/>
    <s v="eth1/6"/>
    <x v="0"/>
    <x v="0"/>
    <x v="0"/>
    <m/>
    <x v="6"/>
    <b v="0"/>
    <s v="No está en VPC"/>
    <n v="109"/>
    <s v="INTPG_ACC_109_1.6"/>
    <s v="ISEL-1.6"/>
    <n v="1"/>
    <s v="NO TIENE L3OUT"/>
    <n v="126"/>
    <n v="96"/>
  </r>
  <r>
    <n v="113"/>
    <x v="0"/>
    <x v="215"/>
    <s v="eth1/6"/>
    <x v="0"/>
    <x v="0"/>
    <x v="0"/>
    <s v="sfecpp03"/>
    <x v="6"/>
    <b v="0"/>
    <s v="No está en VPC"/>
    <n v="113"/>
    <s v="INTPG_VPC_113_1.6_115_1.5"/>
    <s v="ISEL-1.6"/>
    <n v="1"/>
    <s v="NO TIENE L3OUT"/>
    <n v="52"/>
    <n v="96"/>
  </r>
  <r>
    <n v="114"/>
    <x v="0"/>
    <x v="216"/>
    <s v="eth1/6"/>
    <x v="0"/>
    <x v="1"/>
    <x v="1"/>
    <s v="NPG_2"/>
    <x v="6"/>
    <b v="0"/>
    <s v="No está en VPC"/>
    <n v="114"/>
    <s v="INTPG_ACC_114_1.6"/>
    <s v="ISEL-1.6"/>
    <n v="1"/>
    <s v="NO TIENE L3OUT"/>
    <n v="144"/>
    <n v="96"/>
  </r>
  <r>
    <n v="124"/>
    <x v="0"/>
    <x v="217"/>
    <s v="eth1/6"/>
    <x v="0"/>
    <x v="0"/>
    <x v="0"/>
    <s v="ENIQ"/>
    <x v="6"/>
    <b v="0"/>
    <s v="No está en VPC"/>
    <n v="124"/>
    <s v="INTPG_VPC_124_1.6_125_1.8"/>
    <s v="ISEL-1.6"/>
    <n v="10"/>
    <s v="NO TIENE L3OUT"/>
    <n v="80"/>
    <n v="96"/>
  </r>
  <r>
    <n v="118"/>
    <x v="0"/>
    <x v="218"/>
    <s v="eth1/6"/>
    <x v="1"/>
    <x v="1"/>
    <x v="2"/>
    <s v="COBROS NAVEGACION"/>
    <x v="6"/>
    <b v="0"/>
    <s v="No está en VPC"/>
    <n v="118"/>
    <s v="INTPG_ACC_118_1.6"/>
    <s v="ISEL-1.6"/>
    <n v="1"/>
    <s v="NO TIENE L3OUT"/>
    <n v="180"/>
    <n v="96"/>
  </r>
  <r>
    <n v="159"/>
    <x v="0"/>
    <x v="219"/>
    <s v="eth1/6"/>
    <x v="0"/>
    <x v="1"/>
    <x v="1"/>
    <s v="TRAP"/>
    <x v="6"/>
    <b v="0"/>
    <s v="No está en VPC"/>
    <n v="159"/>
    <s v="INTPG_PC_159_1.2-7"/>
    <s v="ISEL-1.6"/>
    <n v="12"/>
    <s v="NO TIENE L3OUT"/>
    <n v="72"/>
    <n v="96"/>
  </r>
  <r>
    <n v="840"/>
    <x v="2"/>
    <x v="220"/>
    <s v="eth1/6"/>
    <x v="0"/>
    <x v="0"/>
    <x v="0"/>
    <s v="LINK_TO_ITHFHWCBSPSUSBD38 / Slot7.3_10 / Redundante"/>
    <x v="0"/>
    <b v="0"/>
    <s v="No está en VPC"/>
    <n v="840"/>
    <s v="INTPG_VPC_835_1.6_840_1.6"/>
    <s v="ISEL-1.6"/>
    <n v="1"/>
    <s v="NO TIENE L3OUT"/>
    <n v="8"/>
    <n v="54"/>
  </r>
  <r>
    <n v="856"/>
    <x v="2"/>
    <x v="221"/>
    <s v="eth1/6"/>
    <x v="0"/>
    <x v="0"/>
    <x v="0"/>
    <s v="LINK_TO_ITHFHWCRMPLCN136 / Slot1.2_6 / Principal"/>
    <x v="0"/>
    <b v="0"/>
    <s v="No está en VPC"/>
    <n v="856"/>
    <s v="INTPG_ACC_856_1.6"/>
    <s v="ISEL-1.6"/>
    <n v="2"/>
    <s v="NO TIENE L3OUT"/>
    <n v="286"/>
    <n v="54"/>
  </r>
  <r>
    <n v="110"/>
    <x v="0"/>
    <x v="222"/>
    <s v="eth1/6"/>
    <x v="0"/>
    <x v="1"/>
    <x v="1"/>
    <s v="OCUDR_1"/>
    <x v="6"/>
    <b v="0"/>
    <s v="No está en VPC"/>
    <n v="110"/>
    <s v="INTPG_ACC_110_1.6"/>
    <s v="ISEL-1.6"/>
    <n v="1"/>
    <s v="NO TIENE L3OUT"/>
    <n v="102"/>
    <n v="96"/>
  </r>
  <r>
    <n v="163"/>
    <x v="0"/>
    <x v="223"/>
    <s v="eth1/6"/>
    <x v="0"/>
    <x v="0"/>
    <x v="0"/>
    <m/>
    <x v="6"/>
    <b v="0"/>
    <s v="No está en VPC"/>
    <n v="163"/>
    <s v="INTPG_PC_163_1.2-6"/>
    <s v="ISEL-1.6"/>
    <n v="1"/>
    <s v="NO TIENE L3OUT"/>
    <n v="140"/>
    <n v="96"/>
  </r>
  <r>
    <n v="407"/>
    <x v="1"/>
    <x v="224"/>
    <s v="eth1/6"/>
    <x v="0"/>
    <x v="0"/>
    <x v="0"/>
    <s v="RLR2ARI05"/>
    <x v="6"/>
    <b v="0"/>
    <s v="No está en VPC"/>
    <n v="407"/>
    <s v="INTPG_ACC_407_1.6"/>
    <s v="ISEL-1.6"/>
    <n v="1"/>
    <s v="NO TIENE L3OUT"/>
    <n v="122"/>
    <n v="96"/>
  </r>
  <r>
    <n v="171"/>
    <x v="0"/>
    <x v="225"/>
    <s v="eth1/6"/>
    <x v="0"/>
    <x v="1"/>
    <x v="1"/>
    <s v="OSS_3G_12_2_DATOS"/>
    <x v="6"/>
    <b v="0"/>
    <s v="No está en VPC"/>
    <n v="171"/>
    <s v="INTPG_VPC_171_1.6_17_172_1.6_15"/>
    <s v="ISEL-1.6"/>
    <n v="5"/>
    <s v="NO TIENE L3OUT"/>
    <n v="114"/>
    <n v="96"/>
  </r>
  <r>
    <n v="421"/>
    <x v="1"/>
    <x v="226"/>
    <s v="eth1/6"/>
    <x v="0"/>
    <x v="0"/>
    <x v="0"/>
    <s v="DESC"/>
    <x v="6"/>
    <b v="0"/>
    <s v="No está en VPC"/>
    <n v="421"/>
    <s v="INTPG_PC_421_5-6"/>
    <s v="ISEL-1.6"/>
    <n v="1"/>
    <s v="NO TIENE L3OUT"/>
    <n v="72"/>
    <n v="96"/>
  </r>
  <r>
    <n v="173"/>
    <x v="0"/>
    <x v="227"/>
    <s v="eth1/6"/>
    <x v="0"/>
    <x v="0"/>
    <x v="0"/>
    <s v="ENIQ"/>
    <x v="6"/>
    <b v="0"/>
    <s v="No está en VPC"/>
    <n v="173"/>
    <s v="INTPG_ACC_173_1.6"/>
    <s v="ISEL-1.6"/>
    <n v="1"/>
    <s v="NO TIENE L3OUT"/>
    <n v="66"/>
    <n v="96"/>
  </r>
  <r>
    <n v="154"/>
    <x v="0"/>
    <x v="228"/>
    <s v="eth1/6"/>
    <x v="0"/>
    <x v="1"/>
    <x v="1"/>
    <m/>
    <x v="6"/>
    <b v="0"/>
    <s v="No está en VPC"/>
    <n v="154"/>
    <s v="INTPG_ACC_154_1.6"/>
    <s v="ISEL-1.6"/>
    <n v="1"/>
    <s v="NO TIENE L3OUT"/>
    <n v="62"/>
    <n v="96"/>
  </r>
  <r>
    <n v="172"/>
    <x v="0"/>
    <x v="229"/>
    <s v="eth1/6"/>
    <x v="0"/>
    <x v="1"/>
    <x v="1"/>
    <s v="OSS_3G_12_2_DATOS"/>
    <x v="6"/>
    <b v="0"/>
    <s v="No está en VPC"/>
    <n v="172"/>
    <s v="INTPG_VPC_171_1.6_17_172_1.6_15"/>
    <s v="ISEL-1.6"/>
    <n v="5"/>
    <s v="NO TIENE L3OUT"/>
    <n v="104"/>
    <n v="96"/>
  </r>
  <r>
    <n v="420"/>
    <x v="1"/>
    <x v="230"/>
    <s v="eth1/6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6"/>
    <x v="0"/>
    <x v="0"/>
    <x v="0"/>
    <s v="ITHPA01_ILO_IPMP-Activa"/>
    <x v="6"/>
    <b v="0"/>
    <s v="No está en VPC"/>
    <n v="423"/>
    <s v="INTPG_ACC_423_1.6"/>
    <s v="ISEL-1.6"/>
    <n v="1"/>
    <s v="NO TIENE L3OUT"/>
    <n v="86"/>
    <n v="96"/>
  </r>
  <r>
    <n v="415"/>
    <x v="1"/>
    <x v="232"/>
    <s v="eth1/6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6"/>
    <x v="0"/>
    <x v="1"/>
    <x v="1"/>
    <s v="SFLDI:RLDIBI101:1"/>
    <x v="6"/>
    <b v="0"/>
    <s v="No está en VPC"/>
    <n v="102"/>
    <s v="INTPG_ACC_102_1.6"/>
    <s v="ISEL-1.6"/>
    <n v="1"/>
    <s v="NO TIENE L3OUT"/>
    <n v="228"/>
    <n v="96"/>
  </r>
  <r>
    <n v="863"/>
    <x v="2"/>
    <x v="234"/>
    <s v="eth1/6"/>
    <x v="0"/>
    <x v="0"/>
    <x v="0"/>
    <s v="To_VPC_2DCBSD_HD38_3"/>
    <x v="0"/>
    <b v="0"/>
    <s v="No está en VPC"/>
    <n v="863"/>
    <s v="INTPG_VPC_858_1.6_863_1.6"/>
    <s v="ISEL-1.6"/>
    <n v="1"/>
    <s v="NO TIENE L3OUT"/>
    <n v="8"/>
    <n v="54"/>
  </r>
  <r>
    <n v="876"/>
    <x v="2"/>
    <x v="235"/>
    <s v="eth1/6"/>
    <x v="0"/>
    <x v="0"/>
    <x v="0"/>
    <s v="LINK_TO_ITHFHWSEQLHDPS75 / Slot 4 PTO 1 / Principal"/>
    <x v="4"/>
    <b v="0"/>
    <s v="No está en VPC"/>
    <n v="876"/>
    <s v="INTPG_ACC_876_1.6"/>
    <s v="ISEL-1.6"/>
    <n v="1"/>
    <s v="NO TIENE L3OUT"/>
    <n v="92"/>
    <n v="54"/>
  </r>
  <r>
    <n v="877"/>
    <x v="2"/>
    <x v="236"/>
    <s v="eth1/6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6"/>
    <x v="0"/>
    <x v="0"/>
    <x v="0"/>
    <s v="DESC"/>
    <x v="6"/>
    <b v="0"/>
    <s v="No está en VPC"/>
    <n v="122"/>
    <s v="INTPG_PC_122_1.4-8"/>
    <s v="ISEL-1.6"/>
    <n v="1"/>
    <s v="NO TIENE L3OUT"/>
    <n v="148"/>
    <n v="96"/>
  </r>
  <r>
    <n v="157"/>
    <x v="0"/>
    <x v="238"/>
    <s v="eth1/6"/>
    <x v="0"/>
    <x v="1"/>
    <x v="1"/>
    <s v="COBROS NAVEGACION"/>
    <x v="6"/>
    <b v="0"/>
    <s v="No está en VPC"/>
    <n v="157"/>
    <s v="INTPG_ACC_157_1.6"/>
    <s v="ISEL-1.6"/>
    <n v="1"/>
    <s v="NO TIENE L3OUT"/>
    <n v="202"/>
    <n v="96"/>
  </r>
  <r>
    <n v="408"/>
    <x v="1"/>
    <x v="239"/>
    <s v="eth1/6"/>
    <x v="0"/>
    <x v="1"/>
    <x v="1"/>
    <s v="Suspend4"/>
    <x v="6"/>
    <b v="0"/>
    <s v="No está en VPC"/>
    <n v="408"/>
    <s v="INTPG_ACC_408_1.6"/>
    <s v="ISEL-1.6"/>
    <n v="1"/>
    <s v="NO TIENE L3OUT"/>
    <n v="152"/>
    <n v="96"/>
  </r>
  <r>
    <n v="405"/>
    <x v="1"/>
    <x v="240"/>
    <s v="eth1/6"/>
    <x v="0"/>
    <x v="0"/>
    <x v="0"/>
    <s v="IXT_ARIESO4_LDR6"/>
    <x v="6"/>
    <b v="0"/>
    <s v="No está en VPC"/>
    <n v="405"/>
    <s v="INTPG_ACC_405_1.6"/>
    <s v="ISEL-1.6"/>
    <n v="1"/>
    <s v="NO TIENE L3OUT"/>
    <n v="138"/>
    <n v="96"/>
  </r>
  <r>
    <n v="169"/>
    <x v="0"/>
    <x v="241"/>
    <s v="eth1/6"/>
    <x v="0"/>
    <x v="0"/>
    <x v="0"/>
    <s v="LINKDOWN_HACIA_UCS_9UCS-GEO-IXTLA-SERV1"/>
    <x v="6"/>
    <b v="0"/>
    <s v="No está en VPC"/>
    <n v="169"/>
    <s v="INTPG_ACC_169_1.6"/>
    <s v="ISEL-1.6"/>
    <n v="1"/>
    <s v="NO TIENE L3OUT"/>
    <n v="76"/>
    <n v="96"/>
  </r>
  <r>
    <n v="165"/>
    <x v="0"/>
    <x v="242"/>
    <s v="eth1/6"/>
    <x v="0"/>
    <x v="1"/>
    <x v="1"/>
    <s v="Nomina"/>
    <x v="6"/>
    <b v="0"/>
    <s v="No está en VPC"/>
    <n v="165"/>
    <s v="INTPG_ACC_165_1.6"/>
    <s v="ISEL-1.6"/>
    <n v="1"/>
    <s v="NO TIENE L3OUT"/>
    <n v="86"/>
    <n v="96"/>
  </r>
  <r>
    <n v="417"/>
    <x v="1"/>
    <x v="243"/>
    <s v="eth1/6"/>
    <x v="0"/>
    <x v="0"/>
    <x v="0"/>
    <s v="ixtnnmcol01"/>
    <x v="6"/>
    <b v="0"/>
    <s v="No está en VPC"/>
    <n v="417"/>
    <s v="INTPG_ACC_417_1.6"/>
    <s v="ISEL-1.6"/>
    <n v="1"/>
    <s v="NO TIENE L3OUT"/>
    <n v="56"/>
    <n v="96"/>
  </r>
  <r>
    <n v="153"/>
    <x v="0"/>
    <x v="244"/>
    <s v="eth1/6"/>
    <x v="0"/>
    <x v="0"/>
    <x v="0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6"/>
    <x v="0"/>
    <x v="0"/>
    <x v="0"/>
    <s v="RLBAC"/>
    <x v="6"/>
    <b v="0"/>
    <s v="No está en VPC"/>
    <n v="119"/>
    <s v="INTPG_ACC_119_1.6"/>
    <s v="ISEL-1.6"/>
    <n v="1"/>
    <s v="NO TIENE L3OUT"/>
    <n v="70"/>
    <n v="96"/>
  </r>
  <r>
    <n v="156"/>
    <x v="0"/>
    <x v="246"/>
    <s v="eth1/6"/>
    <x v="1"/>
    <x v="1"/>
    <x v="2"/>
    <s v="RED CRICKET"/>
    <x v="6"/>
    <b v="0"/>
    <s v="No está en VPC"/>
    <n v="156"/>
    <s v="INTPG_ACC_156_1.6"/>
    <s v="ISEL-1.6"/>
    <n v="1"/>
    <s v="NO TIENE L3OUT"/>
    <n v="40"/>
    <n v="96"/>
  </r>
  <r>
    <n v="103"/>
    <x v="0"/>
    <x v="247"/>
    <s v="eth1/6"/>
    <x v="1"/>
    <x v="1"/>
    <x v="2"/>
    <s v="ROAMING_ENCLOSURE:SFROAP01:VC2-2"/>
    <x v="6"/>
    <b v="0"/>
    <s v="No está en VPC"/>
    <n v="103"/>
    <s v="INTPG_PC_103_5_6_41"/>
    <s v="ISEL-1.6"/>
    <n v="2"/>
    <s v="NO TIENE L3OUT"/>
    <n v="70"/>
    <n v="96"/>
  </r>
  <r>
    <n v="438"/>
    <x v="1"/>
    <x v="248"/>
    <s v="eth1/6"/>
    <x v="0"/>
    <x v="0"/>
    <x v="0"/>
    <s v="uxdomaine"/>
    <x v="6"/>
    <b v="0"/>
    <s v="No está en VPC"/>
    <n v="438"/>
    <s v="INTPG_ACC_438_1.6"/>
    <s v="ISEL-1.6"/>
    <n v="1"/>
    <s v="NO TIENE L3OUT"/>
    <n v="170"/>
    <n v="96"/>
  </r>
  <r>
    <n v="406"/>
    <x v="1"/>
    <x v="249"/>
    <s v="eth1/6"/>
    <x v="0"/>
    <x v="0"/>
    <x v="0"/>
    <s v="DESC"/>
    <x v="6"/>
    <b v="0"/>
    <s v="No está en VPC"/>
    <n v="406"/>
    <s v="INTPG_PC_406_1.5-6"/>
    <s v="ISEL-1.6"/>
    <n v="1"/>
    <s v="NO TIENE L3OUT"/>
    <n v="82"/>
    <n v="96"/>
  </r>
  <r>
    <n v="414"/>
    <x v="1"/>
    <x v="250"/>
    <s v="eth1/6"/>
    <x v="0"/>
    <x v="0"/>
    <x v="0"/>
    <s v="9UCS-IXTLA-WEBEX-SERV1"/>
    <x v="6"/>
    <b v="0"/>
    <s v="No está en VPC"/>
    <n v="414"/>
    <s v="INTPG_ACC_414_1.6"/>
    <s v="ISEL-1.6"/>
    <n v="1"/>
    <s v="NO TIENE L3OUT"/>
    <n v="144"/>
    <n v="96"/>
  </r>
  <r>
    <n v="416"/>
    <x v="1"/>
    <x v="251"/>
    <s v="eth1/6"/>
    <x v="0"/>
    <x v="0"/>
    <x v="0"/>
    <s v="sfmedp40-MEDVOZ_CLIENT4"/>
    <x v="6"/>
    <b v="0"/>
    <s v="No está en VPC"/>
    <n v="416"/>
    <s v="INTPG_VPC_416_1.6_418_1.6"/>
    <s v="ISEL-1.6"/>
    <n v="1"/>
    <s v="NO TIENE L3OUT"/>
    <n v="110"/>
    <n v="96"/>
  </r>
  <r>
    <n v="418"/>
    <x v="1"/>
    <x v="252"/>
    <s v="eth1/6"/>
    <x v="0"/>
    <x v="0"/>
    <x v="0"/>
    <s v="sfmedp40-MEDVOZ_CLIENT4"/>
    <x v="6"/>
    <b v="0"/>
    <s v="No está en VPC"/>
    <n v="418"/>
    <s v="INTPG_VPC_416_1.6_418_1.6"/>
    <s v="ISEL-1.6"/>
    <n v="1"/>
    <s v="NO TIENE L3OUT"/>
    <n v="152"/>
    <n v="96"/>
  </r>
  <r>
    <n v="413"/>
    <x v="1"/>
    <x v="253"/>
    <s v="eth1/6"/>
    <x v="0"/>
    <x v="0"/>
    <x v="0"/>
    <s v="DESC"/>
    <x v="6"/>
    <b v="0"/>
    <s v="No está en VPC"/>
    <n v="413"/>
    <s v="INTPG_PC_413_1.5-8"/>
    <s v="ISEL-1.6"/>
    <n v="1"/>
    <s v="NO TIENE L3OUT"/>
    <n v="126"/>
    <n v="96"/>
  </r>
  <r>
    <n v="403"/>
    <x v="1"/>
    <x v="254"/>
    <s v="eth1/6"/>
    <x v="0"/>
    <x v="0"/>
    <x v="0"/>
    <s v="IXT_ARIESO4_LDR6"/>
    <x v="6"/>
    <b v="0"/>
    <s v="No está en VPC"/>
    <n v="403"/>
    <s v="INTPG_ACC_403_1.6"/>
    <s v="ISEL-1.6"/>
    <n v="1"/>
    <s v="NO TIENE L3OUT"/>
    <n v="150"/>
    <n v="96"/>
  </r>
  <r>
    <n v="125"/>
    <x v="0"/>
    <x v="255"/>
    <s v="eth1/6"/>
    <x v="0"/>
    <x v="0"/>
    <x v="0"/>
    <s v="GSM_ENIQ_MEX_R9"/>
    <x v="6"/>
    <b v="0"/>
    <s v="No está en VPC"/>
    <n v="125"/>
    <s v="INTPG_VPC_124_1.5_125_1.6"/>
    <s v="ISEL-1.6"/>
    <n v="10"/>
    <s v="NO TIENE L3OUT"/>
    <n v="72"/>
    <n v="96"/>
  </r>
  <r>
    <n v="166"/>
    <x v="0"/>
    <x v="256"/>
    <s v="eth1/6"/>
    <x v="0"/>
    <x v="1"/>
    <x v="1"/>
    <s v="Nomina"/>
    <x v="6"/>
    <b v="0"/>
    <s v="No está en VPC"/>
    <n v="166"/>
    <s v="INTPG_ACC_166_1.6"/>
    <s v="ISEL-1.6"/>
    <n v="1"/>
    <s v="NO TIENE L3OUT"/>
    <n v="84"/>
    <n v="96"/>
  </r>
  <r>
    <n v="111"/>
    <x v="0"/>
    <x v="257"/>
    <s v="eth1/6"/>
    <x v="0"/>
    <x v="0"/>
    <x v="0"/>
    <s v="BANCA MOVIL: Notificaciones"/>
    <x v="6"/>
    <b v="0"/>
    <s v="No está en VPC"/>
    <n v="111"/>
    <s v="INTPG_ACC_111_1.6"/>
    <s v="ISEL-1.6"/>
    <n v="1"/>
    <s v="NO TIENE L3OUT"/>
    <n v="58"/>
    <n v="96"/>
  </r>
  <r>
    <n v="115"/>
    <x v="0"/>
    <x v="258"/>
    <s v="eth1/6"/>
    <x v="0"/>
    <x v="0"/>
    <x v="0"/>
    <s v="sfecpt01_1"/>
    <x v="6"/>
    <b v="0"/>
    <s v="No está en VPC"/>
    <n v="115"/>
    <s v="INTPG_VPC_113_1.7_115_1.6"/>
    <s v="ISEL-1.6"/>
    <n v="1"/>
    <s v="NO TIENE L3OUT"/>
    <n v="42"/>
    <n v="96"/>
  </r>
  <r>
    <n v="106"/>
    <x v="0"/>
    <x v="259"/>
    <s v="eth1/6"/>
    <x v="0"/>
    <x v="0"/>
    <x v="0"/>
    <m/>
    <x v="6"/>
    <b v="0"/>
    <s v="No está en VPC"/>
    <n v="106"/>
    <s v="INTPG_ACC_106_1.6"/>
    <s v="ISEL-1.6"/>
    <n v="1"/>
    <s v="NO TIENE L3OUT"/>
    <n v="122"/>
    <n v="96"/>
  </r>
  <r>
    <n v="126"/>
    <x v="0"/>
    <x v="260"/>
    <s v="eth1/6"/>
    <x v="1"/>
    <x v="1"/>
    <x v="2"/>
    <s v="U2000_IPRAN"/>
    <x v="6"/>
    <b v="0"/>
    <s v="No está en VPC"/>
    <n v="126"/>
    <s v="INTPG_ACC_126_1.6"/>
    <s v="ISEL-1.6"/>
    <n v="1"/>
    <s v="NO TIENE L3OUT"/>
    <n v="54"/>
    <n v="96"/>
  </r>
  <r>
    <n v="425"/>
    <x v="1"/>
    <x v="261"/>
    <s v="eth1/6"/>
    <x v="0"/>
    <x v="0"/>
    <x v="0"/>
    <s v="VTA_uxvta073_Net0"/>
    <x v="6"/>
    <b v="0"/>
    <s v="No está en VPC"/>
    <n v="425"/>
    <s v="INTPG_ACC_425_1.6"/>
    <s v="ISEL-1.6"/>
    <n v="1"/>
    <s v="NO TIENE L3OUT"/>
    <n v="86"/>
    <n v="96"/>
  </r>
  <r>
    <n v="151"/>
    <x v="0"/>
    <x v="262"/>
    <s v="eth1/6"/>
    <x v="0"/>
    <x v="1"/>
    <x v="1"/>
    <s v="OSS MEX GSM M"/>
    <x v="6"/>
    <b v="0"/>
    <s v="No está en VPC"/>
    <n v="151"/>
    <s v="INTPG_ACC_151_1.6"/>
    <s v="ISEL-1.6"/>
    <n v="1"/>
    <s v="NO TIENE L3OUT"/>
    <n v="86"/>
    <n v="96"/>
  </r>
  <r>
    <n v="430"/>
    <x v="1"/>
    <x v="263"/>
    <s v="eth1/6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6"/>
    <x v="0"/>
    <x v="0"/>
    <x v="0"/>
    <s v="DESC"/>
    <x v="6"/>
    <b v="0"/>
    <s v="No está en VPC"/>
    <n v="419"/>
    <s v="INTPG_PC_419_5-6"/>
    <s v="ISEL-1.6"/>
    <n v="1"/>
    <s v="NO TIENE L3OUT"/>
    <n v="70"/>
    <n v="96"/>
  </r>
  <r>
    <n v="155"/>
    <x v="0"/>
    <x v="265"/>
    <s v="eth1/6"/>
    <x v="0"/>
    <x v="0"/>
    <x v="0"/>
    <s v="UXINGE"/>
    <x v="6"/>
    <b v="0"/>
    <s v="No está en VPC"/>
    <n v="155"/>
    <s v="INTPG_ACC_155_1.6"/>
    <s v="ISEL-1.6"/>
    <n v="1"/>
    <s v="NO TIENE L3OUT"/>
    <n v="198"/>
    <n v="96"/>
  </r>
  <r>
    <n v="409"/>
    <x v="1"/>
    <x v="266"/>
    <s v="eth1/6"/>
    <x v="0"/>
    <x v="0"/>
    <x v="0"/>
    <s v="RLR2ARI10"/>
    <x v="6"/>
    <b v="0"/>
    <s v="No está en VPC"/>
    <n v="409"/>
    <s v="INTPG_ACC_409_1.6"/>
    <s v="ISEL-1.6"/>
    <n v="1"/>
    <s v="NO TIENE L3OUT"/>
    <n v="128"/>
    <n v="96"/>
  </r>
  <r>
    <n v="422"/>
    <x v="1"/>
    <x v="267"/>
    <s v="eth1/6"/>
    <x v="0"/>
    <x v="0"/>
    <x v="0"/>
    <s v="GESTION_ FORTIANALYZER"/>
    <x v="6"/>
    <b v="0"/>
    <s v="No está en VPC"/>
    <n v="422"/>
    <s v="INTPG_ACC_422_1.6"/>
    <s v="ISEL-1.6"/>
    <n v="1"/>
    <s v="NO TIENE L3OUT"/>
    <n v="182"/>
    <n v="96"/>
  </r>
  <r>
    <n v="436"/>
    <x v="1"/>
    <x v="268"/>
    <s v="eth1/6"/>
    <x v="0"/>
    <x v="0"/>
    <x v="0"/>
    <s v="uxdomaine"/>
    <x v="6"/>
    <b v="0"/>
    <s v="No está en VPC"/>
    <n v="436"/>
    <s v="INTPG_ACC_436_1.6"/>
    <s v="ISEL-1.6"/>
    <n v="1"/>
    <s v="NO TIENE L3OUT"/>
    <n v="172"/>
    <n v="96"/>
  </r>
  <r>
    <n v="410"/>
    <x v="1"/>
    <x v="269"/>
    <s v="eth1/6"/>
    <x v="0"/>
    <x v="0"/>
    <x v="0"/>
    <s v="9UCS-IXTLA-WEBEX-SERV4"/>
    <x v="6"/>
    <b v="0"/>
    <s v="No está en VPC"/>
    <n v="410"/>
    <s v="INTPG_ACC_410_1.6"/>
    <s v="ISEL-1.6"/>
    <n v="2"/>
    <s v="NO TIENE L3OUT"/>
    <n v="178"/>
    <n v="96"/>
  </r>
  <r>
    <n v="161"/>
    <x v="0"/>
    <x v="270"/>
    <s v="eth1/6"/>
    <x v="0"/>
    <x v="0"/>
    <x v="0"/>
    <s v="IBM SICOD"/>
    <x v="6"/>
    <b v="0"/>
    <s v="No está en VPC"/>
    <n v="161"/>
    <s v="INTPG_ACC_161_1.6"/>
    <s v="ISEL-1.6"/>
    <n v="1"/>
    <s v="NO TIENE L3OUT"/>
    <n v="102"/>
    <n v="96"/>
  </r>
  <r>
    <n v="411"/>
    <x v="1"/>
    <x v="271"/>
    <s v="eth1/6"/>
    <x v="0"/>
    <x v="0"/>
    <x v="0"/>
    <s v="DESC"/>
    <x v="6"/>
    <b v="0"/>
    <s v="No está en VPC"/>
    <n v="411"/>
    <s v="INTPG_PC_411_1.5-8"/>
    <s v="ISEL-1.6"/>
    <n v="1"/>
    <s v="NO TIENE L3OUT"/>
    <n v="96"/>
    <n v="96"/>
  </r>
  <r>
    <n v="116"/>
    <x v="0"/>
    <x v="272"/>
    <s v="eth1/6"/>
    <x v="1"/>
    <x v="1"/>
    <x v="2"/>
    <s v="DESC"/>
    <x v="6"/>
    <b v="0"/>
    <s v="No está en VPC"/>
    <n v="116"/>
    <s v="INTPG_PC_116_1.6-7"/>
    <s v="ISEL-1.6"/>
    <n v="0"/>
    <s v="NO TIENE L3OUT"/>
    <n v="148"/>
    <n v="96"/>
  </r>
  <r>
    <n v="412"/>
    <x v="1"/>
    <x v="273"/>
    <s v="eth1/6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6"/>
    <x v="0"/>
    <x v="0"/>
    <x v="0"/>
    <s v="TemipAMX1"/>
    <x v="6"/>
    <b v="0"/>
    <s v="No está en VPC"/>
    <n v="120"/>
    <s v="INTPG_PC_120_1.4-8"/>
    <s v="ISEL-1.6"/>
    <n v="1"/>
    <s v="NO TIENE L3OUT"/>
    <n v="158"/>
    <n v="96"/>
  </r>
  <r>
    <n v="404"/>
    <x v="1"/>
    <x v="275"/>
    <s v="eth1/6"/>
    <x v="0"/>
    <x v="0"/>
    <x v="0"/>
    <s v="DESC"/>
    <x v="6"/>
    <b v="0"/>
    <s v="No está en VPC"/>
    <n v="404"/>
    <s v="INTPG_PC_404_1.5-6"/>
    <s v="ISEL-1.6"/>
    <n v="1"/>
    <s v="NO TIENE L3OUT"/>
    <n v="92"/>
    <n v="96"/>
  </r>
  <r>
    <n v="167"/>
    <x v="0"/>
    <x v="276"/>
    <s v="eth1/6"/>
    <x v="0"/>
    <x v="0"/>
    <x v="0"/>
    <s v="LINKDOWN_HACIA_UCS_9UCS-GEO-IXTLA-SERV1"/>
    <x v="6"/>
    <b v="0"/>
    <s v="No está en VPC"/>
    <n v="167"/>
    <s v="INTPG_ACC_167_1.6"/>
    <s v="ISEL-1.6"/>
    <n v="1"/>
    <s v="NO TIENE L3OUT"/>
    <n v="68"/>
    <n v="96"/>
  </r>
  <r>
    <n v="428"/>
    <x v="1"/>
    <x v="277"/>
    <s v="eth1/6"/>
    <x v="0"/>
    <x v="0"/>
    <x v="0"/>
    <s v="LDAP-IDM_DESARROLLO"/>
    <x v="6"/>
    <b v="0"/>
    <s v="No está en VPC"/>
    <n v="428"/>
    <s v="INTPG_PC_428_1.5-9"/>
    <s v="ISEL-1.6"/>
    <n v="1"/>
    <s v="NO TIENE L3OUT"/>
    <n v="102"/>
    <n v="96"/>
  </r>
  <r>
    <n v="903"/>
    <x v="2"/>
    <x v="278"/>
    <s v="eth1/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447"/>
    <x v="1"/>
    <x v="9"/>
    <s v="eth1/6/1"/>
    <x v="0"/>
    <x v="0"/>
    <x v="0"/>
    <s v="ith3bda3sw-ib2 redundante"/>
    <x v="2"/>
    <b v="0"/>
    <s v="No está en VPC"/>
    <n v="447"/>
    <s v="NO EXISTE PG"/>
    <s v="NO EXISTE ISEL"/>
    <n v="1"/>
    <s v="NO TIENE L3OUT"/>
    <n v="16"/>
    <n v="42"/>
  </r>
  <r>
    <n v="445"/>
    <x v="1"/>
    <x v="10"/>
    <s v="eth1/6/1"/>
    <x v="0"/>
    <x v="0"/>
    <x v="0"/>
    <s v="ith3bda3sw-ib2 redundante"/>
    <x v="2"/>
    <b v="0"/>
    <s v="No está en VPC"/>
    <n v="445"/>
    <s v="NO EXISTE PG"/>
    <s v="NO EXISTE ISEL"/>
    <n v="1"/>
    <s v="NO TIENE L3OUT"/>
    <n v="16"/>
    <n v="42"/>
  </r>
  <r>
    <n v="447"/>
    <x v="1"/>
    <x v="9"/>
    <s v="eth1/6/2"/>
    <x v="0"/>
    <x v="0"/>
    <x v="0"/>
    <s v="ith3bda3sw-ib2 redundante"/>
    <x v="2"/>
    <b v="0"/>
    <s v="No está en VPC"/>
    <n v="447"/>
    <s v="NO EXISTE PG"/>
    <s v="NO EXISTE ISEL"/>
    <n v="1"/>
    <s v="NO TIENE L3OUT"/>
    <n v="16"/>
    <n v="42"/>
  </r>
  <r>
    <n v="445"/>
    <x v="1"/>
    <x v="10"/>
    <s v="eth1/6/2"/>
    <x v="0"/>
    <x v="0"/>
    <x v="0"/>
    <s v="ith3bda3sw-ib2 redundante"/>
    <x v="2"/>
    <b v="0"/>
    <s v="No está en VPC"/>
    <n v="445"/>
    <s v="NO EXISTE PG"/>
    <s v="NO EXISTE ISEL"/>
    <n v="1"/>
    <s v="NO TIENE L3OUT"/>
    <n v="16"/>
    <n v="42"/>
  </r>
  <r>
    <n v="447"/>
    <x v="1"/>
    <x v="9"/>
    <s v="eth1/6/3"/>
    <x v="0"/>
    <x v="0"/>
    <x v="0"/>
    <s v="ith3bda3sw-ib2 redundante"/>
    <x v="2"/>
    <b v="0"/>
    <s v="No está en VPC"/>
    <n v="447"/>
    <s v="NO EXISTE PG"/>
    <s v="NO EXISTE ISEL"/>
    <n v="1"/>
    <s v="NO TIENE L3OUT"/>
    <n v="16"/>
    <n v="42"/>
  </r>
  <r>
    <n v="445"/>
    <x v="1"/>
    <x v="10"/>
    <s v="eth1/6/3"/>
    <x v="0"/>
    <x v="0"/>
    <x v="0"/>
    <s v="ith3bda3sw-ib2 redundante"/>
    <x v="2"/>
    <b v="0"/>
    <s v="No está en VPC"/>
    <n v="445"/>
    <s v="NO EXISTE PG"/>
    <s v="NO EXISTE ISEL"/>
    <n v="1"/>
    <s v="NO TIENE L3OUT"/>
    <n v="16"/>
    <n v="42"/>
  </r>
  <r>
    <n v="447"/>
    <x v="1"/>
    <x v="9"/>
    <s v="eth1/6/4"/>
    <x v="0"/>
    <x v="0"/>
    <x v="0"/>
    <s v="ith3bda3sw-ib2 redundante"/>
    <x v="2"/>
    <b v="0"/>
    <s v="No está en VPC"/>
    <n v="447"/>
    <s v="NO EXISTE PG"/>
    <s v="NO EXISTE ISEL"/>
    <n v="1"/>
    <s v="NO TIENE L3OUT"/>
    <n v="16"/>
    <n v="42"/>
  </r>
  <r>
    <n v="445"/>
    <x v="1"/>
    <x v="10"/>
    <s v="eth1/6/4"/>
    <x v="0"/>
    <x v="0"/>
    <x v="0"/>
    <s v="ith3bda3sw-ib2 redundante"/>
    <x v="2"/>
    <b v="0"/>
    <s v="No está en VPC"/>
    <n v="445"/>
    <s v="NO EXISTE PG"/>
    <s v="NO EXISTE ISEL"/>
    <n v="1"/>
    <s v="NO TIENE L3OUT"/>
    <n v="16"/>
    <n v="42"/>
  </r>
  <r>
    <n v="105"/>
    <x v="0"/>
    <x v="205"/>
    <s v="eth1/60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60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60"/>
    <x v="0"/>
    <x v="1"/>
    <x v="1"/>
    <s v="SILOT"/>
    <x v="6"/>
    <b v="0"/>
    <s v="No está en VPC"/>
    <n v="104"/>
    <s v="INTPG_ACC_104_1.60"/>
    <s v="ISEL-1.60"/>
    <n v="1"/>
    <s v="NO TIENE L3OUT"/>
    <n v="194"/>
    <n v="96"/>
  </r>
  <r>
    <n v="158"/>
    <x v="0"/>
    <x v="208"/>
    <s v="eth1/60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60"/>
    <x v="0"/>
    <x v="1"/>
    <x v="1"/>
    <s v="DATAPOWER"/>
    <x v="6"/>
    <b v="0"/>
    <s v="No está en VPC"/>
    <n v="108"/>
    <s v="INTPG_ACC_108_1.60"/>
    <s v="ISEL-1.60"/>
    <n v="1"/>
    <s v="NO TIENE L3OUT"/>
    <n v="126"/>
    <n v="96"/>
  </r>
  <r>
    <n v="112"/>
    <x v="0"/>
    <x v="212"/>
    <s v="eth1/60"/>
    <x v="0"/>
    <x v="1"/>
    <x v="1"/>
    <s v="SAPCC"/>
    <x v="6"/>
    <b v="0"/>
    <s v="No está en VPC"/>
    <n v="112"/>
    <s v="INTPG_ACC_112_1.60"/>
    <s v="ISEL-1.60"/>
    <n v="1"/>
    <s v="NO TIENE L3OUT"/>
    <n v="144"/>
    <n v="96"/>
  </r>
  <r>
    <n v="107"/>
    <x v="0"/>
    <x v="213"/>
    <s v="eth1/60"/>
    <x v="1"/>
    <x v="1"/>
    <x v="2"/>
    <m/>
    <x v="6"/>
    <b v="0"/>
    <s v="No está en VPC"/>
    <n v="107"/>
    <s v="INTPG_PC_107_1.60-63"/>
    <s v="ISEL-1.60"/>
    <n v="0"/>
    <s v="NO TIENE L3OUT"/>
    <n v="118"/>
    <n v="96"/>
  </r>
  <r>
    <n v="109"/>
    <x v="0"/>
    <x v="214"/>
    <s v="eth1/60"/>
    <x v="1"/>
    <x v="1"/>
    <x v="2"/>
    <s v="TO-UXWAS1_P3-P4"/>
    <x v="6"/>
    <b v="0"/>
    <s v="No está en VPC"/>
    <n v="109"/>
    <s v="INTPG_PC_109_1.60_61"/>
    <s v="ISEL-1.60"/>
    <n v="1"/>
    <s v="NO TIENE L3OUT"/>
    <n v="126"/>
    <n v="96"/>
  </r>
  <r>
    <n v="113"/>
    <x v="0"/>
    <x v="215"/>
    <s v="eth1/60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60"/>
    <x v="0"/>
    <x v="1"/>
    <x v="1"/>
    <s v="SAPCC"/>
    <x v="6"/>
    <b v="0"/>
    <s v="No está en VPC"/>
    <n v="114"/>
    <s v="INTPG_ACC_114_1.60"/>
    <s v="ISEL-1.60"/>
    <n v="1"/>
    <s v="NO TIENE L3OUT"/>
    <n v="144"/>
    <n v="96"/>
  </r>
  <r>
    <n v="124"/>
    <x v="0"/>
    <x v="217"/>
    <s v="eth1/60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60"/>
    <x v="0"/>
    <x v="1"/>
    <x v="1"/>
    <s v="NOTIFICATION SERVER TANGO"/>
    <x v="6"/>
    <b v="0"/>
    <s v="No está en VPC"/>
    <n v="118"/>
    <s v="INTPG_ACC_118_1.60"/>
    <s v="ISEL-1.60"/>
    <n v="1"/>
    <s v="NO TIENE L3OUT"/>
    <n v="180"/>
    <n v="96"/>
  </r>
  <r>
    <n v="159"/>
    <x v="0"/>
    <x v="219"/>
    <s v="eth1/60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60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60"/>
    <x v="0"/>
    <x v="0"/>
    <x v="0"/>
    <s v="CELCITE"/>
    <x v="6"/>
    <b v="0"/>
    <s v="No está en VPC"/>
    <n v="163"/>
    <s v="INTPG_ACC_163_1.60"/>
    <s v="ISEL-1.60"/>
    <n v="1"/>
    <s v="NO TIENE L3OUT"/>
    <n v="140"/>
    <n v="96"/>
  </r>
  <r>
    <n v="407"/>
    <x v="1"/>
    <x v="224"/>
    <s v="eth1/60"/>
    <x v="0"/>
    <x v="0"/>
    <x v="0"/>
    <s v="UXIMSI1_NETMGT-1"/>
    <x v="6"/>
    <b v="0"/>
    <s v="No está en VPC"/>
    <n v="407"/>
    <s v="INTPG_ACC_407_1.60"/>
    <s v="ISEL-1.60"/>
    <n v="1"/>
    <s v="NO TIENE L3OUT"/>
    <n v="122"/>
    <n v="96"/>
  </r>
  <r>
    <n v="171"/>
    <x v="0"/>
    <x v="225"/>
    <s v="eth1/60"/>
    <x v="0"/>
    <x v="0"/>
    <x v="0"/>
    <s v="SRS (Speedy Rating System)"/>
    <x v="6"/>
    <b v="0"/>
    <s v="No está en VPC"/>
    <n v="171"/>
    <s v="INTPG_ACC_171_1.60"/>
    <s v="ISEL-1.60"/>
    <n v="1"/>
    <s v="NO TIENE L3OUT"/>
    <n v="114"/>
    <n v="96"/>
  </r>
  <r>
    <n v="421"/>
    <x v="1"/>
    <x v="226"/>
    <s v="eth1/60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60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60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60"/>
    <x v="0"/>
    <x v="0"/>
    <x v="0"/>
    <s v="SRS (Speedy Rating System)"/>
    <x v="6"/>
    <b v="0"/>
    <s v="No está en VPC"/>
    <n v="172"/>
    <s v="INTPG_ACC_172_1.60"/>
    <s v="ISEL-1.60"/>
    <n v="1"/>
    <s v="NO TIENE L3OUT"/>
    <n v="104"/>
    <n v="96"/>
  </r>
  <r>
    <n v="420"/>
    <x v="1"/>
    <x v="230"/>
    <s v="eth1/60"/>
    <x v="0"/>
    <x v="0"/>
    <x v="0"/>
    <s v="R9MEXIXTDAY-2"/>
    <x v="6"/>
    <b v="0"/>
    <s v="No está en VPC"/>
    <n v="420"/>
    <s v="INTPG_ACC_420_1.60"/>
    <s v="ISEL-1.60"/>
    <n v="1"/>
    <s v="NO TIENE L3OUT"/>
    <n v="158"/>
    <n v="96"/>
  </r>
  <r>
    <n v="423"/>
    <x v="1"/>
    <x v="231"/>
    <s v="eth1/60"/>
    <x v="0"/>
    <x v="0"/>
    <x v="0"/>
    <s v="HP Proliant DL380p(d)"/>
    <x v="6"/>
    <b v="0"/>
    <s v="No está en VPC"/>
    <n v="423"/>
    <s v="INTPG_ACC_423_1.60"/>
    <s v="ISEL-1.60"/>
    <n v="1"/>
    <s v="NO TIENE L3OUT"/>
    <n v="86"/>
    <n v="96"/>
  </r>
  <r>
    <n v="415"/>
    <x v="1"/>
    <x v="232"/>
    <s v="eth1/60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60"/>
    <x v="0"/>
    <x v="1"/>
    <x v="1"/>
    <s v="BLACKBERRY:SECURITY TEST:VC2-X4"/>
    <x v="6"/>
    <b v="0"/>
    <s v="No está en VPC"/>
    <n v="102"/>
    <s v="INTPG_PC_102_1.52_57-63"/>
    <s v="ISEL-1.60"/>
    <n v="32"/>
    <s v="NO TIENE L3OUT"/>
    <n v="228"/>
    <n v="96"/>
  </r>
  <r>
    <n v="122"/>
    <x v="0"/>
    <x v="237"/>
    <s v="eth1/60"/>
    <x v="0"/>
    <x v="1"/>
    <x v="1"/>
    <s v="IXTTRAP-ETL"/>
    <x v="6"/>
    <b v="0"/>
    <s v="No está en VPC"/>
    <n v="122"/>
    <s v="INTPG_ACC_122_1.60"/>
    <s v="ISEL-1.60"/>
    <n v="1"/>
    <s v="NO TIENE L3OUT"/>
    <n v="148"/>
    <n v="96"/>
  </r>
  <r>
    <n v="157"/>
    <x v="0"/>
    <x v="238"/>
    <s v="eth1/60"/>
    <x v="0"/>
    <x v="0"/>
    <x v="0"/>
    <s v="PORTAL CAUTIVO"/>
    <x v="6"/>
    <b v="0"/>
    <s v="No está en VPC"/>
    <n v="157"/>
    <s v="INTPG_ACC_157_1.60"/>
    <s v="ISEL-1.60"/>
    <n v="1"/>
    <s v="NO TIENE L3OUT"/>
    <n v="202"/>
    <n v="96"/>
  </r>
  <r>
    <n v="408"/>
    <x v="1"/>
    <x v="239"/>
    <s v="eth1/60"/>
    <x v="0"/>
    <x v="0"/>
    <x v="0"/>
    <s v="DESC"/>
    <x v="6"/>
    <b v="0"/>
    <s v="No está en VPC"/>
    <n v="408"/>
    <s v="INTPG_PC_408_1.59-60"/>
    <s v="ISEL-1.60"/>
    <n v="1"/>
    <s v="NO TIENE L3OUT"/>
    <n v="152"/>
    <n v="96"/>
  </r>
  <r>
    <n v="405"/>
    <x v="1"/>
    <x v="240"/>
    <s v="eth1/60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60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60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60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60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60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60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60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60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60"/>
    <x v="0"/>
    <x v="0"/>
    <x v="0"/>
    <s v="DESC"/>
    <x v="6"/>
    <b v="0"/>
    <s v="No está en VPC"/>
    <n v="406"/>
    <s v="INTPG_PC_406_1.59-60"/>
    <s v="ISEL-1.60"/>
    <n v="1"/>
    <s v="NO TIENE L3OUT"/>
    <n v="82"/>
    <n v="96"/>
  </r>
  <r>
    <n v="414"/>
    <x v="1"/>
    <x v="250"/>
    <s v="eth1/60"/>
    <x v="0"/>
    <x v="1"/>
    <x v="1"/>
    <s v="uxcompr2"/>
    <x v="6"/>
    <b v="0"/>
    <s v="No está en VPC"/>
    <n v="414"/>
    <s v="INTPG_ACC_414_1.60"/>
    <s v="ISEL-1.60"/>
    <n v="1"/>
    <s v="NO TIENE L3OUT"/>
    <n v="144"/>
    <n v="96"/>
  </r>
  <r>
    <n v="416"/>
    <x v="1"/>
    <x v="251"/>
    <s v="eth1/60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60"/>
    <x v="0"/>
    <x v="0"/>
    <x v="0"/>
    <s v="ITHRTC4AEN2OA1"/>
    <x v="6"/>
    <b v="0"/>
    <s v="No está en VPC"/>
    <n v="418"/>
    <s v="INTPG_ACC_418_1.60"/>
    <s v="ISEL-1.60"/>
    <n v="1"/>
    <s v="NO TIENE L3OUT"/>
    <n v="152"/>
    <n v="96"/>
  </r>
  <r>
    <n v="413"/>
    <x v="1"/>
    <x v="253"/>
    <s v="eth1/60"/>
    <x v="0"/>
    <x v="0"/>
    <x v="0"/>
    <s v="ixtshrcol01"/>
    <x v="6"/>
    <b v="0"/>
    <s v="No está en VPC"/>
    <n v="413"/>
    <s v="INTPG_ACC_413_1.60"/>
    <s v="ISEL-1.60"/>
    <n v="1"/>
    <s v="NO TIENE L3OUT"/>
    <n v="126"/>
    <n v="96"/>
  </r>
  <r>
    <n v="403"/>
    <x v="1"/>
    <x v="254"/>
    <s v="eth1/60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60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60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60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60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60"/>
    <x v="0"/>
    <x v="1"/>
    <x v="1"/>
    <s v="COMISIONES"/>
    <x v="6"/>
    <b v="0"/>
    <s v="No está en VPC"/>
    <n v="106"/>
    <s v="INTPG_ACC_106_1.60"/>
    <s v="ISEL-1.60"/>
    <n v="1"/>
    <s v="NO TIENE L3OUT"/>
    <n v="122"/>
    <n v="96"/>
  </r>
  <r>
    <n v="126"/>
    <x v="0"/>
    <x v="260"/>
    <s v="eth1/60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60"/>
    <x v="0"/>
    <x v="0"/>
    <x v="0"/>
    <s v="VTA_uxvta083_Net1"/>
    <x v="6"/>
    <b v="0"/>
    <s v="No está en VPC"/>
    <n v="425"/>
    <s v="INTPG_ACC_425_1.60"/>
    <s v="ISEL-1.60"/>
    <n v="1"/>
    <s v="NO TIENE L3OUT"/>
    <n v="86"/>
    <n v="96"/>
  </r>
  <r>
    <n v="151"/>
    <x v="0"/>
    <x v="262"/>
    <s v="eth1/60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60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60"/>
    <x v="0"/>
    <x v="0"/>
    <x v="0"/>
    <s v="SPECSERVER2_ADMIN1"/>
    <x v="6"/>
    <b v="0"/>
    <s v="No está en VPC"/>
    <n v="419"/>
    <s v="INTPG_ACC_419_1.60"/>
    <s v="ISEL-1.60"/>
    <n v="1"/>
    <s v="NO TIENE L3OUT"/>
    <n v="70"/>
    <n v="96"/>
  </r>
  <r>
    <n v="155"/>
    <x v="0"/>
    <x v="265"/>
    <s v="eth1/60"/>
    <x v="0"/>
    <x v="0"/>
    <x v="0"/>
    <s v="ARIESO_GEOLOCALIZACION"/>
    <x v="6"/>
    <b v="0"/>
    <s v="No está en VPC"/>
    <n v="155"/>
    <s v="INTPG_ACC_155_1.60"/>
    <s v="ISEL-1.60"/>
    <n v="2"/>
    <s v="NO TIENE L3OUT"/>
    <n v="198"/>
    <n v="96"/>
  </r>
  <r>
    <n v="409"/>
    <x v="1"/>
    <x v="266"/>
    <s v="eth1/60"/>
    <x v="0"/>
    <x v="0"/>
    <x v="0"/>
    <s v="UXIMSI2_IXGBE2"/>
    <x v="6"/>
    <b v="0"/>
    <s v="No está en VPC"/>
    <n v="409"/>
    <s v="INTPG_ACC_409_1.60"/>
    <s v="ISEL-1.60"/>
    <n v="1"/>
    <s v="NO TIENE L3OUT"/>
    <n v="128"/>
    <n v="96"/>
  </r>
  <r>
    <n v="422"/>
    <x v="1"/>
    <x v="267"/>
    <s v="eth1/60"/>
    <x v="0"/>
    <x v="0"/>
    <x v="0"/>
    <s v="IXTAI7"/>
    <x v="6"/>
    <b v="0"/>
    <s v="No está en VPC"/>
    <n v="422"/>
    <s v="INTPG_ACC_422_1.60"/>
    <s v="ISEL-1.60"/>
    <n v="1"/>
    <s v="NO TIENE L3OUT"/>
    <n v="182"/>
    <n v="96"/>
  </r>
  <r>
    <n v="436"/>
    <x v="1"/>
    <x v="268"/>
    <s v="eth1/60"/>
    <x v="0"/>
    <x v="0"/>
    <x v="0"/>
    <s v="TO-ITHFERNTCTRIS03-Principal"/>
    <x v="6"/>
    <b v="0"/>
    <s v="No está en VPC"/>
    <n v="436"/>
    <s v="INTPG_ACC_436_1.60"/>
    <s v="ISEL-1.60"/>
    <n v="1"/>
    <s v="NO TIENE L3OUT"/>
    <n v="172"/>
    <n v="96"/>
  </r>
  <r>
    <n v="410"/>
    <x v="1"/>
    <x v="269"/>
    <s v="eth1/60"/>
    <x v="0"/>
    <x v="0"/>
    <x v="0"/>
    <s v="ITHRTC2SW1"/>
    <x v="6"/>
    <b v="0"/>
    <s v="No está en VPC"/>
    <n v="410"/>
    <s v="INTPG_ACC_410_1.60"/>
    <s v="ISEL-1.60"/>
    <n v="1"/>
    <s v="NO TIENE L3OUT"/>
    <n v="178"/>
    <n v="96"/>
  </r>
  <r>
    <n v="161"/>
    <x v="0"/>
    <x v="270"/>
    <s v="eth1/60"/>
    <x v="0"/>
    <x v="0"/>
    <x v="0"/>
    <s v="MULTIMEDIACION_1"/>
    <x v="6"/>
    <b v="0"/>
    <s v="No está en VPC"/>
    <n v="161"/>
    <s v="INTPG_ACC_161_1.60"/>
    <s v="ISEL-1.60"/>
    <n v="1"/>
    <s v="NO TIENE L3OUT"/>
    <n v="102"/>
    <n v="96"/>
  </r>
  <r>
    <n v="411"/>
    <x v="1"/>
    <x v="271"/>
    <s v="eth1/60"/>
    <x v="0"/>
    <x v="0"/>
    <x v="0"/>
    <s v="TO-ITHFHPNBURBKP07-PRINCIPAL"/>
    <x v="6"/>
    <b v="0"/>
    <s v="No está en VPC"/>
    <n v="411"/>
    <s v="INTPG_ACC_411_1.60"/>
    <s v="ISEL-1.60"/>
    <n v="1"/>
    <s v="NO TIENE L3OUT"/>
    <n v="96"/>
    <n v="96"/>
  </r>
  <r>
    <n v="116"/>
    <x v="0"/>
    <x v="272"/>
    <s v="eth1/60"/>
    <x v="0"/>
    <x v="1"/>
    <x v="1"/>
    <s v="USSD TANGO"/>
    <x v="6"/>
    <b v="0"/>
    <s v="No está en VPC"/>
    <n v="116"/>
    <s v="INTPG_ACC_116_1.60"/>
    <s v="ISEL-1.60"/>
    <n v="1"/>
    <s v="NO TIENE L3OUT"/>
    <n v="148"/>
    <n v="96"/>
  </r>
  <r>
    <n v="412"/>
    <x v="1"/>
    <x v="273"/>
    <s v="eth1/60"/>
    <x v="0"/>
    <x v="0"/>
    <x v="0"/>
    <s v="ITHRTC61OA2"/>
    <x v="6"/>
    <b v="0"/>
    <s v="No está en VPC"/>
    <n v="412"/>
    <s v="INTPG_ACC_412_1.60"/>
    <s v="ISEL-1.60"/>
    <n v="1"/>
    <s v="NO TIENE L3OUT"/>
    <n v="126"/>
    <n v="96"/>
  </r>
  <r>
    <n v="120"/>
    <x v="0"/>
    <x v="274"/>
    <s v="eth1/60"/>
    <x v="0"/>
    <x v="0"/>
    <x v="0"/>
    <s v="TRAP"/>
    <x v="6"/>
    <b v="0"/>
    <s v="No está en VPC"/>
    <n v="120"/>
    <s v="INTPG_PC_120_1.58-61"/>
    <s v="ISEL-1.60"/>
    <n v="1"/>
    <s v="NO TIENE L3OUT"/>
    <n v="158"/>
    <n v="96"/>
  </r>
  <r>
    <n v="404"/>
    <x v="1"/>
    <x v="275"/>
    <s v="eth1/60"/>
    <x v="0"/>
    <x v="1"/>
    <x v="1"/>
    <s v="uxcompr2"/>
    <x v="6"/>
    <b v="0"/>
    <s v="No está en VPC"/>
    <n v="404"/>
    <s v="INTPG_ACC_404_1.60"/>
    <s v="ISEL-1.60"/>
    <n v="1"/>
    <s v="NO TIENE L3OUT"/>
    <n v="92"/>
    <n v="96"/>
  </r>
  <r>
    <n v="167"/>
    <x v="0"/>
    <x v="276"/>
    <s v="eth1/60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60"/>
    <x v="0"/>
    <x v="0"/>
    <x v="0"/>
    <s v="ITHSSO1A"/>
    <x v="6"/>
    <b v="0"/>
    <s v="No está en VPC"/>
    <n v="428"/>
    <s v="INTPG_ACC_428_1.60"/>
    <s v="ISEL-1.60"/>
    <n v="1"/>
    <s v="NO TIENE L3OUT"/>
    <n v="102"/>
    <n v="96"/>
  </r>
  <r>
    <n v="105"/>
    <x v="0"/>
    <x v="205"/>
    <s v="eth1/61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61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61"/>
    <x v="0"/>
    <x v="1"/>
    <x v="1"/>
    <m/>
    <x v="6"/>
    <b v="0"/>
    <s v="No está en VPC"/>
    <n v="104"/>
    <s v="INTPG_ACC_104_1.61"/>
    <s v="ISEL-1.61"/>
    <n v="1"/>
    <s v="NO TIENE L3OUT"/>
    <n v="194"/>
    <n v="96"/>
  </r>
  <r>
    <n v="158"/>
    <x v="0"/>
    <x v="208"/>
    <s v="eth1/61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61"/>
    <x v="0"/>
    <x v="1"/>
    <x v="1"/>
    <s v="DATAPOWER"/>
    <x v="6"/>
    <b v="0"/>
    <s v="No está en VPC"/>
    <n v="108"/>
    <s v="INTPG_ACC_108_1.61"/>
    <s v="ISEL-1.61"/>
    <n v="1"/>
    <s v="NO TIENE L3OUT"/>
    <n v="126"/>
    <n v="96"/>
  </r>
  <r>
    <n v="112"/>
    <x v="0"/>
    <x v="212"/>
    <s v="eth1/61"/>
    <x v="0"/>
    <x v="1"/>
    <x v="1"/>
    <s v="SAPCC"/>
    <x v="6"/>
    <b v="0"/>
    <s v="No está en VPC"/>
    <n v="112"/>
    <s v="INTPG_ACC_112_1.61"/>
    <s v="ISEL-1.61"/>
    <n v="1"/>
    <s v="NO TIENE L3OUT"/>
    <n v="144"/>
    <n v="96"/>
  </r>
  <r>
    <n v="107"/>
    <x v="0"/>
    <x v="213"/>
    <s v="eth1/61"/>
    <x v="1"/>
    <x v="1"/>
    <x v="2"/>
    <m/>
    <x v="6"/>
    <b v="0"/>
    <s v="No está en VPC"/>
    <n v="107"/>
    <s v="INTPG_PC_107_1.60-63"/>
    <s v="ISEL-1.61"/>
    <n v="0"/>
    <s v="NO TIENE L3OUT"/>
    <n v="118"/>
    <n v="96"/>
  </r>
  <r>
    <n v="109"/>
    <x v="0"/>
    <x v="214"/>
    <s v="eth1/61"/>
    <x v="1"/>
    <x v="1"/>
    <x v="2"/>
    <s v="TO-UXWAS1_P3-P4"/>
    <x v="6"/>
    <b v="0"/>
    <s v="No está en VPC"/>
    <n v="109"/>
    <s v="INTPG_PC_109_1.60_61"/>
    <s v="ISEL-1.61"/>
    <n v="1"/>
    <s v="NO TIENE L3OUT"/>
    <n v="126"/>
    <n v="96"/>
  </r>
  <r>
    <n v="113"/>
    <x v="0"/>
    <x v="215"/>
    <s v="eth1/61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61"/>
    <x v="0"/>
    <x v="1"/>
    <x v="1"/>
    <s v="SAPCC"/>
    <x v="6"/>
    <b v="0"/>
    <s v="No está en VPC"/>
    <n v="114"/>
    <s v="INTPG_ACC_114_1.61"/>
    <s v="ISEL-1.61"/>
    <n v="1"/>
    <s v="NO TIENE L3OUT"/>
    <n v="144"/>
    <n v="96"/>
  </r>
  <r>
    <n v="124"/>
    <x v="0"/>
    <x v="217"/>
    <s v="eth1/61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61"/>
    <x v="0"/>
    <x v="1"/>
    <x v="1"/>
    <s v="NOTIFICATION SERVER TANGO"/>
    <x v="6"/>
    <b v="0"/>
    <s v="No está en VPC"/>
    <n v="118"/>
    <s v="INTPG_ACC_118_1.61"/>
    <s v="ISEL-1.61"/>
    <n v="1"/>
    <s v="NO TIENE L3OUT"/>
    <n v="180"/>
    <n v="96"/>
  </r>
  <r>
    <n v="159"/>
    <x v="0"/>
    <x v="219"/>
    <s v="eth1/61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61"/>
    <x v="0"/>
    <x v="0"/>
    <x v="0"/>
    <s v="TO-ITHFHWHSMTLCN01_MGMT"/>
    <x v="6"/>
    <b v="0"/>
    <s v="No está en VPC"/>
    <n v="110"/>
    <s v="INTPG_ACC_110_1.61"/>
    <s v="ISEL-1.61"/>
    <n v="1"/>
    <s v="NO TIENE L3OUT"/>
    <n v="102"/>
    <n v="96"/>
  </r>
  <r>
    <n v="163"/>
    <x v="0"/>
    <x v="223"/>
    <s v="eth1/61"/>
    <x v="0"/>
    <x v="1"/>
    <x v="1"/>
    <s v="MULTIMEDIACION"/>
    <x v="6"/>
    <b v="0"/>
    <s v="No está en VPC"/>
    <n v="163"/>
    <s v="INTPG_ACC_163_1.61"/>
    <s v="ISEL-1.61"/>
    <n v="1"/>
    <s v="NO TIENE L3OUT"/>
    <n v="140"/>
    <n v="96"/>
  </r>
  <r>
    <n v="407"/>
    <x v="1"/>
    <x v="224"/>
    <s v="eth1/61"/>
    <x v="0"/>
    <x v="0"/>
    <x v="0"/>
    <s v="UXIMSI2_IGB0"/>
    <x v="6"/>
    <b v="0"/>
    <s v="No está en VPC"/>
    <n v="407"/>
    <s v="INTPG_ACC_407_1.61"/>
    <s v="ISEL-1.61"/>
    <n v="1"/>
    <s v="NO TIENE L3OUT"/>
    <n v="122"/>
    <n v="96"/>
  </r>
  <r>
    <n v="171"/>
    <x v="0"/>
    <x v="225"/>
    <s v="eth1/61"/>
    <x v="1"/>
    <x v="1"/>
    <x v="2"/>
    <s v="SRS (Speedy Rating System)"/>
    <x v="6"/>
    <b v="0"/>
    <s v="No está en VPC"/>
    <n v="171"/>
    <s v="INTPG_ACC_171_1.61"/>
    <s v="ISEL-1.61"/>
    <n v="1"/>
    <s v="NO TIENE L3OUT"/>
    <n v="114"/>
    <n v="96"/>
  </r>
  <r>
    <n v="421"/>
    <x v="1"/>
    <x v="226"/>
    <s v="eth1/61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61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61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61"/>
    <x v="0"/>
    <x v="0"/>
    <x v="0"/>
    <s v="SRS (Speedy Rating System)"/>
    <x v="6"/>
    <b v="0"/>
    <s v="No está en VPC"/>
    <n v="172"/>
    <s v="INTPG_ACC_172_1.61"/>
    <s v="ISEL-1.61"/>
    <n v="1"/>
    <s v="NO TIENE L3OUT"/>
    <n v="104"/>
    <n v="96"/>
  </r>
  <r>
    <n v="420"/>
    <x v="1"/>
    <x v="230"/>
    <s v="eth1/61"/>
    <x v="0"/>
    <x v="0"/>
    <x v="0"/>
    <s v="R9MEXIXTDAY-3"/>
    <x v="6"/>
    <b v="0"/>
    <s v="No está en VPC"/>
    <n v="420"/>
    <s v="INTPG_ACC_420_1.61"/>
    <s v="ISEL-1.61"/>
    <n v="1"/>
    <s v="NO TIENE L3OUT"/>
    <n v="158"/>
    <n v="96"/>
  </r>
  <r>
    <n v="423"/>
    <x v="1"/>
    <x v="231"/>
    <s v="eth1/61"/>
    <x v="0"/>
    <x v="0"/>
    <x v="0"/>
    <s v="HP Proliant DL380p(e)"/>
    <x v="6"/>
    <b v="0"/>
    <s v="No está en VPC"/>
    <n v="423"/>
    <s v="INTPG_ACC_423_1.61"/>
    <s v="ISEL-1.61"/>
    <n v="1"/>
    <s v="NO TIENE L3OUT"/>
    <n v="86"/>
    <n v="96"/>
  </r>
  <r>
    <n v="415"/>
    <x v="1"/>
    <x v="232"/>
    <s v="eth1/61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61"/>
    <x v="0"/>
    <x v="1"/>
    <x v="1"/>
    <s v="BLACKBERRY:SECURITY TEST:VC2-X5"/>
    <x v="6"/>
    <b v="0"/>
    <s v="No está en VPC"/>
    <n v="102"/>
    <s v="INTPG_PC_102_1.52_57-63"/>
    <s v="ISEL-1.61"/>
    <n v="32"/>
    <s v="NO TIENE L3OUT"/>
    <n v="228"/>
    <n v="96"/>
  </r>
  <r>
    <n v="122"/>
    <x v="0"/>
    <x v="237"/>
    <s v="eth1/61"/>
    <x v="0"/>
    <x v="1"/>
    <x v="1"/>
    <s v="IXTTRAP-ETL"/>
    <x v="6"/>
    <b v="0"/>
    <s v="No está en VPC"/>
    <n v="122"/>
    <s v="INTPG_ACC_122_1.61"/>
    <s v="ISEL-1.61"/>
    <n v="1"/>
    <s v="NO TIENE L3OUT"/>
    <n v="148"/>
    <n v="96"/>
  </r>
  <r>
    <n v="157"/>
    <x v="0"/>
    <x v="238"/>
    <s v="eth1/61"/>
    <x v="0"/>
    <x v="0"/>
    <x v="0"/>
    <s v="Consolidaci\u00f3n Aplicaciones Prepago_1"/>
    <x v="6"/>
    <b v="0"/>
    <s v="No está en VPC"/>
    <n v="157"/>
    <s v="INTPG_ACC_157_1.61"/>
    <s v="ISEL-1.61"/>
    <n v="1"/>
    <s v="NO TIENE L3OUT"/>
    <n v="202"/>
    <n v="96"/>
  </r>
  <r>
    <n v="408"/>
    <x v="1"/>
    <x v="239"/>
    <s v="eth1/61"/>
    <x v="0"/>
    <x v="0"/>
    <x v="0"/>
    <s v="DESC"/>
    <x v="6"/>
    <b v="0"/>
    <s v="No está en VPC"/>
    <n v="408"/>
    <s v="INTPG_PC_408_1.61-62"/>
    <s v="ISEL-1.61"/>
    <n v="1"/>
    <s v="NO TIENE L3OUT"/>
    <n v="152"/>
    <n v="96"/>
  </r>
  <r>
    <n v="405"/>
    <x v="1"/>
    <x v="240"/>
    <s v="eth1/61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61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61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61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61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61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61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61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61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61"/>
    <x v="0"/>
    <x v="0"/>
    <x v="0"/>
    <s v="WASII_4B"/>
    <x v="6"/>
    <b v="0"/>
    <s v="No está en VPC"/>
    <n v="406"/>
    <s v="INTPG_PC_406_1.61-62"/>
    <s v="ISEL-1.61"/>
    <n v="1"/>
    <s v="NO TIENE L3OUT"/>
    <n v="82"/>
    <n v="96"/>
  </r>
  <r>
    <n v="414"/>
    <x v="1"/>
    <x v="250"/>
    <s v="eth1/61"/>
    <x v="0"/>
    <x v="1"/>
    <x v="1"/>
    <s v="uxcompr3"/>
    <x v="6"/>
    <b v="0"/>
    <s v="No está en VPC"/>
    <n v="414"/>
    <s v="INTPG_ACC_414_1.61"/>
    <s v="ISEL-1.61"/>
    <n v="1"/>
    <s v="NO TIENE L3OUT"/>
    <n v="144"/>
    <n v="96"/>
  </r>
  <r>
    <n v="416"/>
    <x v="1"/>
    <x v="251"/>
    <s v="eth1/61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61"/>
    <x v="0"/>
    <x v="0"/>
    <x v="0"/>
    <s v="ITHRTC4ANBU1_ILO"/>
    <x v="6"/>
    <b v="0"/>
    <s v="No está en VPC"/>
    <n v="418"/>
    <s v="INTPG_ACC_418_1.61"/>
    <s v="ISEL-1.61"/>
    <n v="1"/>
    <s v="NO TIENE L3OUT"/>
    <n v="152"/>
    <n v="96"/>
  </r>
  <r>
    <n v="413"/>
    <x v="1"/>
    <x v="253"/>
    <s v="eth1/61"/>
    <x v="0"/>
    <x v="0"/>
    <x v="0"/>
    <s v="ECOSS"/>
    <x v="6"/>
    <b v="0"/>
    <s v="No está en VPC"/>
    <n v="413"/>
    <s v="INTPG_ACC_413_1.61"/>
    <s v="ISEL-1.61"/>
    <n v="1"/>
    <s v="NO TIENE L3OUT"/>
    <n v="126"/>
    <n v="96"/>
  </r>
  <r>
    <n v="403"/>
    <x v="1"/>
    <x v="254"/>
    <s v="eth1/61"/>
    <x v="0"/>
    <x v="1"/>
    <x v="1"/>
    <s v="ITHREDCR1A-CAS"/>
    <x v="6"/>
    <b v="0"/>
    <s v="No está en VPC"/>
    <n v="403"/>
    <s v="INTPG_ACC_403_1.61"/>
    <s v="ISEL-1.61"/>
    <n v="1"/>
    <s v="NO TIENE L3OUT"/>
    <n v="150"/>
    <n v="96"/>
  </r>
  <r>
    <n v="125"/>
    <x v="0"/>
    <x v="255"/>
    <s v="eth1/61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61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61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61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61"/>
    <x v="0"/>
    <x v="0"/>
    <x v="0"/>
    <s v="PMAX8_01A_S2"/>
    <x v="6"/>
    <b v="0"/>
    <s v="No está en VPC"/>
    <n v="106"/>
    <s v="INTPG_ACC_106_1.61"/>
    <s v="ISEL-1.61"/>
    <n v="1"/>
    <s v="NO TIENE L3OUT"/>
    <n v="122"/>
    <n v="96"/>
  </r>
  <r>
    <n v="126"/>
    <x v="0"/>
    <x v="260"/>
    <s v="eth1/61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61"/>
    <x v="0"/>
    <x v="0"/>
    <x v="0"/>
    <s v="VTA_uxvta072_Net3"/>
    <x v="6"/>
    <b v="0"/>
    <s v="No está en VPC"/>
    <n v="425"/>
    <s v="INTPG_ACC_425_1.61"/>
    <s v="ISEL-1.61"/>
    <n v="1"/>
    <s v="NO TIENE L3OUT"/>
    <n v="86"/>
    <n v="96"/>
  </r>
  <r>
    <n v="151"/>
    <x v="0"/>
    <x v="262"/>
    <s v="eth1/61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61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61"/>
    <x v="0"/>
    <x v="0"/>
    <x v="0"/>
    <s v="HP MSA 2040 (ARREGLO)"/>
    <x v="6"/>
    <b v="0"/>
    <s v="No está en VPC"/>
    <n v="419"/>
    <s v="INTPG_ACC_419_1.61"/>
    <s v="ISEL-1.61"/>
    <n v="1"/>
    <s v="NO TIENE L3OUT"/>
    <n v="70"/>
    <n v="96"/>
  </r>
  <r>
    <n v="155"/>
    <x v="0"/>
    <x v="265"/>
    <s v="eth1/61"/>
    <x v="0"/>
    <x v="0"/>
    <x v="0"/>
    <s v="ARIESO_GEOLOCALIZACION"/>
    <x v="6"/>
    <b v="0"/>
    <s v="No está en VPC"/>
    <n v="155"/>
    <s v="INTPG_ACC_155_1.61"/>
    <s v="ISEL-1.61"/>
    <n v="2"/>
    <s v="NO TIENE L3OUT"/>
    <n v="198"/>
    <n v="96"/>
  </r>
  <r>
    <n v="409"/>
    <x v="1"/>
    <x v="266"/>
    <s v="eth1/61"/>
    <x v="0"/>
    <x v="0"/>
    <x v="0"/>
    <s v="IMSI_PORT0_SW2"/>
    <x v="6"/>
    <b v="0"/>
    <s v="No está en VPC"/>
    <n v="409"/>
    <s v="INTPG_ACC_409_1.61"/>
    <s v="ISEL-1.61"/>
    <n v="1"/>
    <s v="NO TIENE L3OUT"/>
    <n v="128"/>
    <n v="96"/>
  </r>
  <r>
    <n v="422"/>
    <x v="1"/>
    <x v="267"/>
    <s v="eth1/61"/>
    <x v="0"/>
    <x v="0"/>
    <x v="0"/>
    <s v="IXTAI8"/>
    <x v="6"/>
    <b v="0"/>
    <s v="No está en VPC"/>
    <n v="422"/>
    <s v="INTPG_ACC_422_1.61"/>
    <s v="ISEL-1.61"/>
    <n v="1"/>
    <s v="NO TIENE L3OUT"/>
    <n v="182"/>
    <n v="96"/>
  </r>
  <r>
    <n v="436"/>
    <x v="1"/>
    <x v="268"/>
    <s v="eth1/61"/>
    <x v="0"/>
    <x v="0"/>
    <x v="0"/>
    <s v="TO-ITHFERNTCTLPFS02-Principal"/>
    <x v="6"/>
    <b v="0"/>
    <s v="No está en VPC"/>
    <n v="436"/>
    <s v="INTPG_ACC_436_1.61"/>
    <s v="ISEL-1.61"/>
    <n v="1"/>
    <s v="NO TIENE L3OUT"/>
    <n v="172"/>
    <n v="96"/>
  </r>
  <r>
    <n v="410"/>
    <x v="1"/>
    <x v="269"/>
    <s v="eth1/61"/>
    <x v="0"/>
    <x v="0"/>
    <x v="0"/>
    <s v="ITHRTC2OA2"/>
    <x v="6"/>
    <b v="0"/>
    <s v="No está en VPC"/>
    <n v="410"/>
    <s v="INTPG_ACC_410_1.61"/>
    <s v="ISEL-1.61"/>
    <n v="1"/>
    <s v="NO TIENE L3OUT"/>
    <n v="178"/>
    <n v="96"/>
  </r>
  <r>
    <n v="161"/>
    <x v="0"/>
    <x v="270"/>
    <s v="eth1/61"/>
    <x v="0"/>
    <x v="0"/>
    <x v="0"/>
    <s v="MULTIMEDIACION_1"/>
    <x v="6"/>
    <b v="0"/>
    <s v="No está en VPC"/>
    <n v="161"/>
    <s v="INTPG_ACC_161_1.61"/>
    <s v="ISEL-1.61"/>
    <n v="1"/>
    <s v="NO TIENE L3OUT"/>
    <n v="102"/>
    <n v="96"/>
  </r>
  <r>
    <n v="411"/>
    <x v="1"/>
    <x v="271"/>
    <s v="eth1/61"/>
    <x v="0"/>
    <x v="0"/>
    <x v="0"/>
    <s v="TO-ITHFHPNBURBKP08-PRINCIPAL"/>
    <x v="6"/>
    <b v="0"/>
    <s v="No está en VPC"/>
    <n v="411"/>
    <s v="INTPG_ACC_411_1.61"/>
    <s v="ISEL-1.61"/>
    <n v="1"/>
    <s v="NO TIENE L3OUT"/>
    <n v="96"/>
    <n v="96"/>
  </r>
  <r>
    <n v="116"/>
    <x v="0"/>
    <x v="272"/>
    <s v="eth1/61"/>
    <x v="0"/>
    <x v="1"/>
    <x v="1"/>
    <s v="USSD TANGO"/>
    <x v="6"/>
    <b v="0"/>
    <s v="No está en VPC"/>
    <n v="116"/>
    <s v="INTPG_ACC_116_1.61"/>
    <s v="ISEL-1.61"/>
    <n v="1"/>
    <s v="NO TIENE L3OUT"/>
    <n v="148"/>
    <n v="96"/>
  </r>
  <r>
    <n v="412"/>
    <x v="1"/>
    <x v="273"/>
    <s v="eth1/61"/>
    <x v="0"/>
    <x v="0"/>
    <x v="0"/>
    <s v="ITHRTC62OA2"/>
    <x v="6"/>
    <b v="0"/>
    <s v="No está en VPC"/>
    <n v="412"/>
    <s v="INTPG_ACC_412_1.61"/>
    <s v="ISEL-1.61"/>
    <n v="1"/>
    <s v="NO TIENE L3OUT"/>
    <n v="126"/>
    <n v="96"/>
  </r>
  <r>
    <n v="120"/>
    <x v="0"/>
    <x v="274"/>
    <s v="eth1/61"/>
    <x v="0"/>
    <x v="0"/>
    <x v="0"/>
    <s v="TRAP"/>
    <x v="6"/>
    <b v="0"/>
    <s v="No está en VPC"/>
    <n v="120"/>
    <s v="INTPG_PC_120_1.58-61"/>
    <s v="ISEL-1.61"/>
    <n v="1"/>
    <s v="NO TIENE L3OUT"/>
    <n v="158"/>
    <n v="96"/>
  </r>
  <r>
    <n v="404"/>
    <x v="1"/>
    <x v="275"/>
    <s v="eth1/61"/>
    <x v="0"/>
    <x v="1"/>
    <x v="1"/>
    <s v="uxcompr3"/>
    <x v="6"/>
    <b v="0"/>
    <s v="No está en VPC"/>
    <n v="404"/>
    <s v="INTPG_ACC_404_1.61"/>
    <s v="ISEL-1.61"/>
    <n v="1"/>
    <s v="NO TIENE L3OUT"/>
    <n v="92"/>
    <n v="96"/>
  </r>
  <r>
    <n v="167"/>
    <x v="0"/>
    <x v="276"/>
    <s v="eth1/61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61"/>
    <x v="0"/>
    <x v="0"/>
    <x v="0"/>
    <s v="ITHSSO1A"/>
    <x v="6"/>
    <b v="0"/>
    <s v="No está en VPC"/>
    <n v="428"/>
    <s v="INTPG_ACC_428_1.61"/>
    <s v="ISEL-1.61"/>
    <n v="1"/>
    <s v="NO TIENE L3OUT"/>
    <n v="102"/>
    <n v="96"/>
  </r>
  <r>
    <n v="105"/>
    <x v="0"/>
    <x v="205"/>
    <s v="eth1/62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62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62"/>
    <x v="0"/>
    <x v="1"/>
    <x v="1"/>
    <m/>
    <x v="6"/>
    <b v="0"/>
    <s v="No está en VPC"/>
    <n v="104"/>
    <s v="INTPG_ACC_104_1.62"/>
    <s v="ISEL-1.62"/>
    <n v="1"/>
    <s v="NO TIENE L3OUT"/>
    <n v="194"/>
    <n v="96"/>
  </r>
  <r>
    <n v="158"/>
    <x v="0"/>
    <x v="208"/>
    <s v="eth1/62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62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62"/>
    <x v="0"/>
    <x v="1"/>
    <x v="1"/>
    <s v="SAPCC"/>
    <x v="6"/>
    <b v="0"/>
    <s v="No está en VPC"/>
    <n v="112"/>
    <s v="INTPG_ACC_112_1.62"/>
    <s v="ISEL-1.62"/>
    <n v="1"/>
    <s v="NO TIENE L3OUT"/>
    <n v="144"/>
    <n v="96"/>
  </r>
  <r>
    <n v="107"/>
    <x v="0"/>
    <x v="213"/>
    <s v="eth1/62"/>
    <x v="1"/>
    <x v="1"/>
    <x v="2"/>
    <m/>
    <x v="6"/>
    <b v="0"/>
    <s v="No está en VPC"/>
    <n v="107"/>
    <s v="INTPG_PC_107_1.60-63"/>
    <s v="ISEL-1.62"/>
    <n v="0"/>
    <s v="NO TIENE L3OUT"/>
    <n v="118"/>
    <n v="96"/>
  </r>
  <r>
    <n v="109"/>
    <x v="0"/>
    <x v="214"/>
    <s v="eth1/62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62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62"/>
    <x v="0"/>
    <x v="1"/>
    <x v="1"/>
    <s v="SAPCC"/>
    <x v="6"/>
    <b v="0"/>
    <s v="No está en VPC"/>
    <n v="114"/>
    <s v="INTPG_ACC_114_1.62"/>
    <s v="ISEL-1.62"/>
    <n v="1"/>
    <s v="NO TIENE L3OUT"/>
    <n v="144"/>
    <n v="96"/>
  </r>
  <r>
    <n v="124"/>
    <x v="0"/>
    <x v="217"/>
    <s v="eth1/62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62"/>
    <x v="0"/>
    <x v="1"/>
    <x v="1"/>
    <s v="NOTIFICATION SERVER TANGO"/>
    <x v="6"/>
    <b v="0"/>
    <s v="No está en VPC"/>
    <n v="118"/>
    <s v="INTPG_ACC_118_1.62"/>
    <s v="ISEL-1.62"/>
    <n v="1"/>
    <s v="NO TIENE L3OUT"/>
    <n v="180"/>
    <n v="96"/>
  </r>
  <r>
    <n v="159"/>
    <x v="0"/>
    <x v="219"/>
    <s v="eth1/62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62"/>
    <x v="0"/>
    <x v="0"/>
    <x v="0"/>
    <s v="TO-ITHFHWHSMTLCN02_MGMT"/>
    <x v="6"/>
    <b v="0"/>
    <s v="No está en VPC"/>
    <n v="110"/>
    <s v="INTPG_ACC_110_1.62"/>
    <s v="ISEL-1.62"/>
    <n v="1"/>
    <s v="NO TIENE L3OUT"/>
    <n v="102"/>
    <n v="96"/>
  </r>
  <r>
    <n v="163"/>
    <x v="0"/>
    <x v="223"/>
    <s v="eth1/62"/>
    <x v="0"/>
    <x v="1"/>
    <x v="1"/>
    <s v="MULTIMEDIACION"/>
    <x v="6"/>
    <b v="0"/>
    <s v="No está en VPC"/>
    <n v="163"/>
    <s v="INTPG_ACC_163_1.62"/>
    <s v="ISEL-1.62"/>
    <n v="1"/>
    <s v="NO TIENE L3OUT"/>
    <n v="140"/>
    <n v="96"/>
  </r>
  <r>
    <n v="407"/>
    <x v="1"/>
    <x v="224"/>
    <s v="eth1/62"/>
    <x v="0"/>
    <x v="0"/>
    <x v="0"/>
    <s v="UXIMSI2_IXGBE0"/>
    <x v="6"/>
    <b v="0"/>
    <s v="No está en VPC"/>
    <n v="407"/>
    <s v="INTPG_ACC_407_1.62"/>
    <s v="ISEL-1.62"/>
    <n v="1"/>
    <s v="NO TIENE L3OUT"/>
    <n v="122"/>
    <n v="96"/>
  </r>
  <r>
    <n v="171"/>
    <x v="0"/>
    <x v="225"/>
    <s v="eth1/62"/>
    <x v="1"/>
    <x v="1"/>
    <x v="2"/>
    <s v="SRS (Speedy Rating System)"/>
    <x v="6"/>
    <b v="0"/>
    <s v="No está en VPC"/>
    <n v="171"/>
    <s v="INTPG_ACC_171_1.62"/>
    <s v="ISEL-1.62"/>
    <n v="1"/>
    <s v="NO TIENE L3OUT"/>
    <n v="114"/>
    <n v="96"/>
  </r>
  <r>
    <n v="421"/>
    <x v="1"/>
    <x v="226"/>
    <s v="eth1/62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62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62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62"/>
    <x v="0"/>
    <x v="0"/>
    <x v="0"/>
    <s v="TO-SRSIXT_01_F5"/>
    <x v="6"/>
    <b v="0"/>
    <s v="No está en VPC"/>
    <n v="172"/>
    <s v="INTPG_PC_172_1.62_63"/>
    <s v="ISEL-1.62"/>
    <n v="5"/>
    <s v="NO TIENE L3OUT"/>
    <n v="104"/>
    <n v="96"/>
  </r>
  <r>
    <n v="420"/>
    <x v="1"/>
    <x v="230"/>
    <s v="eth1/62"/>
    <x v="0"/>
    <x v="0"/>
    <x v="0"/>
    <s v="R9IXTILO-9"/>
    <x v="6"/>
    <b v="0"/>
    <s v="No está en VPC"/>
    <n v="420"/>
    <s v="INTPG_ACC_420_1.62"/>
    <s v="ISEL-1.62"/>
    <n v="1"/>
    <s v="NO TIENE L3OUT"/>
    <n v="158"/>
    <n v="96"/>
  </r>
  <r>
    <n v="423"/>
    <x v="1"/>
    <x v="231"/>
    <s v="eth1/62"/>
    <x v="0"/>
    <x v="0"/>
    <x v="0"/>
    <s v="HP Proliant DL380p(e)"/>
    <x v="6"/>
    <b v="0"/>
    <s v="No está en VPC"/>
    <n v="423"/>
    <s v="INTPG_ACC_423_1.62"/>
    <s v="ISEL-1.62"/>
    <n v="1"/>
    <s v="NO TIENE L3OUT"/>
    <n v="86"/>
    <n v="96"/>
  </r>
  <r>
    <n v="415"/>
    <x v="1"/>
    <x v="232"/>
    <s v="eth1/62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62"/>
    <x v="0"/>
    <x v="1"/>
    <x v="1"/>
    <s v="BLACKBERRY:SECURITY TEST:VC2-X6"/>
    <x v="6"/>
    <b v="0"/>
    <s v="No está en VPC"/>
    <n v="102"/>
    <s v="INTPG_PC_102_1.52_57-63"/>
    <s v="ISEL-1.62"/>
    <n v="32"/>
    <s v="NO TIENE L3OUT"/>
    <n v="228"/>
    <n v="96"/>
  </r>
  <r>
    <n v="122"/>
    <x v="0"/>
    <x v="237"/>
    <s v="eth1/62"/>
    <x v="0"/>
    <x v="1"/>
    <x v="1"/>
    <s v="IXTTRAP-ETL"/>
    <x v="6"/>
    <b v="0"/>
    <s v="No está en VPC"/>
    <n v="122"/>
    <s v="INTPG_ACC_122_1.62"/>
    <s v="ISEL-1.62"/>
    <n v="1"/>
    <s v="NO TIENE L3OUT"/>
    <n v="148"/>
    <n v="96"/>
  </r>
  <r>
    <n v="157"/>
    <x v="0"/>
    <x v="238"/>
    <s v="eth1/62"/>
    <x v="0"/>
    <x v="0"/>
    <x v="0"/>
    <s v="Consolidaci\u00f3n Aplicaciones Prepago_1"/>
    <x v="6"/>
    <b v="0"/>
    <s v="No está en VPC"/>
    <n v="157"/>
    <s v="INTPG_ACC_157_1.62"/>
    <s v="ISEL-1.62"/>
    <n v="1"/>
    <s v="NO TIENE L3OUT"/>
    <n v="202"/>
    <n v="96"/>
  </r>
  <r>
    <n v="408"/>
    <x v="1"/>
    <x v="239"/>
    <s v="eth1/62"/>
    <x v="0"/>
    <x v="0"/>
    <x v="0"/>
    <s v="DESC"/>
    <x v="6"/>
    <b v="0"/>
    <s v="No está en VPC"/>
    <n v="408"/>
    <s v="INTPG_PC_408_1.61-62"/>
    <s v="ISEL-1.62"/>
    <n v="1"/>
    <s v="NO TIENE L3OUT"/>
    <n v="152"/>
    <n v="96"/>
  </r>
  <r>
    <n v="405"/>
    <x v="1"/>
    <x v="240"/>
    <s v="eth1/62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62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62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62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62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62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62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62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62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62"/>
    <x v="0"/>
    <x v="0"/>
    <x v="0"/>
    <s v="WASII_4B"/>
    <x v="6"/>
    <b v="0"/>
    <s v="No está en VPC"/>
    <n v="406"/>
    <s v="INTPG_PC_406_1.61-62"/>
    <s v="ISEL-1.62"/>
    <n v="1"/>
    <s v="NO TIENE L3OUT"/>
    <n v="82"/>
    <n v="96"/>
  </r>
  <r>
    <n v="414"/>
    <x v="1"/>
    <x v="250"/>
    <s v="eth1/62"/>
    <x v="0"/>
    <x v="0"/>
    <x v="0"/>
    <s v="HMC_comisiones3"/>
    <x v="6"/>
    <b v="0"/>
    <s v="No está en VPC"/>
    <n v="414"/>
    <s v="INTPG_ACC_414_1.62"/>
    <s v="ISEL-1.62"/>
    <n v="1"/>
    <s v="NO TIENE L3OUT"/>
    <n v="144"/>
    <n v="96"/>
  </r>
  <r>
    <n v="416"/>
    <x v="1"/>
    <x v="251"/>
    <s v="eth1/62"/>
    <x v="0"/>
    <x v="0"/>
    <x v="0"/>
    <s v="GESTION_NETWORK_VIEW_DNS"/>
    <x v="6"/>
    <b v="0"/>
    <s v="No está en VPC"/>
    <n v="416"/>
    <s v="INTPG_ACC_416_1.62"/>
    <s v="ISEL-1.62"/>
    <n v="1"/>
    <s v="NO TIENE L3OUT"/>
    <n v="110"/>
    <n v="96"/>
  </r>
  <r>
    <n v="418"/>
    <x v="1"/>
    <x v="252"/>
    <s v="eth1/62"/>
    <x v="0"/>
    <x v="0"/>
    <x v="0"/>
    <s v="ITHRTC4BEN1VC1x4"/>
    <x v="6"/>
    <b v="0"/>
    <s v="No está en VPC"/>
    <n v="418"/>
    <s v="INTPG_ACC_418_1.62"/>
    <s v="ISEL-1.62"/>
    <n v="1"/>
    <s v="NO TIENE L3OUT"/>
    <n v="152"/>
    <n v="96"/>
  </r>
  <r>
    <n v="413"/>
    <x v="1"/>
    <x v="253"/>
    <s v="eth1/62"/>
    <x v="0"/>
    <x v="0"/>
    <x v="0"/>
    <s v="IXTSRM1"/>
    <x v="6"/>
    <b v="0"/>
    <s v="No está en VPC"/>
    <n v="413"/>
    <s v="INTPG_ACC_413_1.62"/>
    <s v="ISEL-1.62"/>
    <n v="1"/>
    <s v="NO TIENE L3OUT"/>
    <n v="126"/>
    <n v="96"/>
  </r>
  <r>
    <n v="403"/>
    <x v="1"/>
    <x v="254"/>
    <s v="eth1/62"/>
    <x v="0"/>
    <x v="0"/>
    <x v="0"/>
    <s v="SRX240-TELCEL2-NODE0"/>
    <x v="6"/>
    <b v="0"/>
    <s v="No está en VPC"/>
    <n v="403"/>
    <s v="INTPG_ACC_403_1.62"/>
    <s v="ISEL-1.62"/>
    <n v="1"/>
    <s v="NO TIENE L3OUT"/>
    <n v="150"/>
    <n v="96"/>
  </r>
  <r>
    <n v="125"/>
    <x v="0"/>
    <x v="255"/>
    <s v="eth1/62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62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62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62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62"/>
    <x v="0"/>
    <x v="0"/>
    <x v="0"/>
    <s v="TO-UXF5IXT39K01"/>
    <x v="6"/>
    <b v="0"/>
    <s v="No está en VPC"/>
    <n v="106"/>
    <s v="INTPG_VPC_106_1.62_107_1.28"/>
    <s v="ISEL-1.62"/>
    <n v="2"/>
    <s v="NO TIENE L3OUT"/>
    <n v="122"/>
    <n v="96"/>
  </r>
  <r>
    <n v="126"/>
    <x v="0"/>
    <x v="260"/>
    <s v="eth1/62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62"/>
    <x v="0"/>
    <x v="0"/>
    <x v="0"/>
    <s v="VTA_uxvta082_Net3"/>
    <x v="6"/>
    <b v="0"/>
    <s v="No está en VPC"/>
    <n v="425"/>
    <s v="INTPG_ACC_425_1.62"/>
    <s v="ISEL-1.62"/>
    <n v="1"/>
    <s v="NO TIENE L3OUT"/>
    <n v="86"/>
    <n v="96"/>
  </r>
  <r>
    <n v="151"/>
    <x v="0"/>
    <x v="262"/>
    <s v="eth1/62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62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62"/>
    <x v="0"/>
    <x v="0"/>
    <x v="0"/>
    <s v="SAN SWITCH A"/>
    <x v="6"/>
    <b v="0"/>
    <s v="No está en VPC"/>
    <n v="419"/>
    <s v="INTPG_ACC_419_1.62"/>
    <s v="ISEL-1.62"/>
    <n v="1"/>
    <s v="NO TIENE L3OUT"/>
    <n v="70"/>
    <n v="96"/>
  </r>
  <r>
    <n v="155"/>
    <x v="0"/>
    <x v="265"/>
    <s v="eth1/62"/>
    <x v="0"/>
    <x v="0"/>
    <x v="0"/>
    <s v="ARIESO_GEOLOCALIZACION"/>
    <x v="6"/>
    <b v="0"/>
    <s v="No está en VPC"/>
    <n v="155"/>
    <s v="INTPG_ACC_155_1.62"/>
    <s v="ISEL-1.62"/>
    <n v="2"/>
    <s v="NO TIENE L3OUT"/>
    <n v="198"/>
    <n v="96"/>
  </r>
  <r>
    <n v="409"/>
    <x v="1"/>
    <x v="266"/>
    <s v="eth1/62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62"/>
    <x v="0"/>
    <x v="1"/>
    <x v="1"/>
    <s v="PORTAB1"/>
    <x v="6"/>
    <b v="0"/>
    <s v="No está en VPC"/>
    <n v="422"/>
    <s v="INTPG_ACC_422_1.62"/>
    <s v="ISEL-1.62"/>
    <n v="1"/>
    <s v="NO TIENE L3OUT"/>
    <n v="182"/>
    <n v="96"/>
  </r>
  <r>
    <n v="436"/>
    <x v="1"/>
    <x v="268"/>
    <s v="eth1/62"/>
    <x v="0"/>
    <x v="0"/>
    <x v="0"/>
    <s v="TO-ithfdlroamrap01-Principal"/>
    <x v="6"/>
    <b v="0"/>
    <s v="No está en VPC"/>
    <n v="436"/>
    <s v="INTPG_ACC_436_1.62"/>
    <s v="ISEL-1.62"/>
    <n v="1"/>
    <s v="NO TIENE L3OUT"/>
    <n v="172"/>
    <n v="96"/>
  </r>
  <r>
    <n v="410"/>
    <x v="1"/>
    <x v="269"/>
    <s v="eth1/62"/>
    <x v="0"/>
    <x v="0"/>
    <x v="0"/>
    <s v="ITHRTC2OA2"/>
    <x v="6"/>
    <b v="0"/>
    <s v="No está en VPC"/>
    <n v="410"/>
    <s v="INTPG_ACC_410_1.62"/>
    <s v="ISEL-1.62"/>
    <n v="1"/>
    <s v="NO TIENE L3OUT"/>
    <n v="178"/>
    <n v="96"/>
  </r>
  <r>
    <n v="161"/>
    <x v="0"/>
    <x v="270"/>
    <s v="eth1/62"/>
    <x v="0"/>
    <x v="0"/>
    <x v="0"/>
    <s v="UPGRADE _HP_OV"/>
    <x v="6"/>
    <b v="0"/>
    <s v="No está en VPC"/>
    <n v="161"/>
    <s v="INTPG_ACC_161_1.62"/>
    <s v="ISEL-1.62"/>
    <n v="1"/>
    <s v="NO TIENE L3OUT"/>
    <n v="102"/>
    <n v="96"/>
  </r>
  <r>
    <n v="411"/>
    <x v="1"/>
    <x v="271"/>
    <s v="eth1/62"/>
    <x v="0"/>
    <x v="0"/>
    <x v="0"/>
    <s v="TO-ITHFHPNBURBKP09-PRINCIPAL"/>
    <x v="6"/>
    <b v="0"/>
    <s v="No está en VPC"/>
    <n v="411"/>
    <s v="INTPG_ACC_411_1.62"/>
    <s v="ISEL-1.62"/>
    <n v="1"/>
    <s v="NO TIENE L3OUT"/>
    <n v="96"/>
    <n v="96"/>
  </r>
  <r>
    <n v="116"/>
    <x v="0"/>
    <x v="272"/>
    <s v="eth1/62"/>
    <x v="0"/>
    <x v="0"/>
    <x v="0"/>
    <s v="ASAP BATCH"/>
    <x v="6"/>
    <b v="0"/>
    <s v="No está en VPC"/>
    <n v="116"/>
    <s v="INTPG_ACC_116_1.62"/>
    <s v="ISEL-1.62"/>
    <n v="1"/>
    <s v="NO TIENE L3OUT"/>
    <n v="148"/>
    <n v="96"/>
  </r>
  <r>
    <n v="412"/>
    <x v="1"/>
    <x v="273"/>
    <s v="eth1/62"/>
    <x v="0"/>
    <x v="0"/>
    <x v="0"/>
    <s v="ITHRTC2NB2"/>
    <x v="6"/>
    <b v="0"/>
    <s v="No está en VPC"/>
    <n v="412"/>
    <s v="INTPG_ACC_412_1.62"/>
    <s v="ISEL-1.62"/>
    <n v="1"/>
    <s v="NO TIENE L3OUT"/>
    <n v="126"/>
    <n v="96"/>
  </r>
  <r>
    <n v="120"/>
    <x v="0"/>
    <x v="274"/>
    <s v="eth1/62"/>
    <x v="1"/>
    <x v="1"/>
    <x v="2"/>
    <s v="N/A"/>
    <x v="6"/>
    <b v="0"/>
    <s v="No está en VPC"/>
    <n v="120"/>
    <s v="INTPG_ACC_120_1.62"/>
    <s v="ISEL-1.62"/>
    <n v="1"/>
    <s v="NO TIENE L3OUT"/>
    <n v="158"/>
    <n v="96"/>
  </r>
  <r>
    <n v="404"/>
    <x v="1"/>
    <x v="275"/>
    <s v="eth1/62"/>
    <x v="0"/>
    <x v="0"/>
    <x v="0"/>
    <s v="HMC_comisiones3"/>
    <x v="6"/>
    <b v="0"/>
    <s v="No está en VPC"/>
    <n v="404"/>
    <s v="INTPG_ACC_404_1.62"/>
    <s v="ISEL-1.62"/>
    <n v="1"/>
    <s v="NO TIENE L3OUT"/>
    <n v="92"/>
    <n v="96"/>
  </r>
  <r>
    <n v="167"/>
    <x v="0"/>
    <x v="276"/>
    <s v="eth1/62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62"/>
    <x v="0"/>
    <x v="0"/>
    <x v="0"/>
    <s v="ITHSSO1A"/>
    <x v="6"/>
    <b v="0"/>
    <s v="No está en VPC"/>
    <n v="428"/>
    <s v="INTPG_ACC_428_1.62"/>
    <s v="ISEL-1.62"/>
    <n v="1"/>
    <s v="NO TIENE L3OUT"/>
    <n v="102"/>
    <n v="96"/>
  </r>
  <r>
    <n v="105"/>
    <x v="0"/>
    <x v="205"/>
    <s v="eth1/63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63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63"/>
    <x v="0"/>
    <x v="1"/>
    <x v="1"/>
    <m/>
    <x v="6"/>
    <b v="0"/>
    <s v="No está en VPC"/>
    <n v="104"/>
    <s v="INTPG_ACC_104_1.63"/>
    <s v="ISEL-1.63"/>
    <n v="1"/>
    <s v="NO TIENE L3OUT"/>
    <n v="194"/>
    <n v="96"/>
  </r>
  <r>
    <n v="158"/>
    <x v="0"/>
    <x v="208"/>
    <s v="eth1/63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63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63"/>
    <x v="0"/>
    <x v="1"/>
    <x v="1"/>
    <s v="SAPCC"/>
    <x v="6"/>
    <b v="0"/>
    <s v="No está en VPC"/>
    <n v="112"/>
    <s v="INTPG_ACC_112_1.63"/>
    <s v="ISEL-1.63"/>
    <n v="1"/>
    <s v="NO TIENE L3OUT"/>
    <n v="144"/>
    <n v="96"/>
  </r>
  <r>
    <n v="107"/>
    <x v="0"/>
    <x v="213"/>
    <s v="eth1/63"/>
    <x v="1"/>
    <x v="1"/>
    <x v="2"/>
    <m/>
    <x v="6"/>
    <b v="0"/>
    <s v="No está en VPC"/>
    <n v="107"/>
    <s v="INTPG_PC_107_1.60-63"/>
    <s v="ISEL-1.63"/>
    <n v="0"/>
    <s v="NO TIENE L3OUT"/>
    <n v="118"/>
    <n v="96"/>
  </r>
  <r>
    <n v="109"/>
    <x v="0"/>
    <x v="214"/>
    <s v="eth1/63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63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63"/>
    <x v="0"/>
    <x v="0"/>
    <x v="0"/>
    <s v="ITHAS1B RACK 1"/>
    <x v="6"/>
    <b v="0"/>
    <s v="No está en VPC"/>
    <n v="114"/>
    <s v="INTPG_ACC_114_1.63"/>
    <s v="ISEL-1.63"/>
    <n v="1"/>
    <s v="NO TIENE L3OUT"/>
    <n v="144"/>
    <n v="96"/>
  </r>
  <r>
    <n v="124"/>
    <x v="0"/>
    <x v="217"/>
    <s v="eth1/63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63"/>
    <x v="0"/>
    <x v="1"/>
    <x v="1"/>
    <s v="NOTIFICATION SERVER TANGO"/>
    <x v="6"/>
    <b v="0"/>
    <s v="No está en VPC"/>
    <n v="118"/>
    <s v="INTPG_ACC_118_1.63"/>
    <s v="ISEL-1.63"/>
    <n v="1"/>
    <s v="NO TIENE L3OUT"/>
    <n v="180"/>
    <n v="96"/>
  </r>
  <r>
    <n v="159"/>
    <x v="0"/>
    <x v="219"/>
    <s v="eth1/63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63"/>
    <x v="0"/>
    <x v="0"/>
    <x v="0"/>
    <s v="TO-ITHFHWHSMTLCN03_MGMT"/>
    <x v="6"/>
    <b v="0"/>
    <s v="No está en VPC"/>
    <n v="110"/>
    <s v="INTPG_ACC_110_1.63"/>
    <s v="ISEL-1.63"/>
    <n v="1"/>
    <s v="NO TIENE L3OUT"/>
    <n v="102"/>
    <n v="96"/>
  </r>
  <r>
    <n v="163"/>
    <x v="0"/>
    <x v="223"/>
    <s v="eth1/63"/>
    <x v="0"/>
    <x v="1"/>
    <x v="5"/>
    <m/>
    <x v="6"/>
    <b v="0"/>
    <s v="No está en VPC"/>
    <n v="163"/>
    <s v="INTPG_VPC_163_1.63_161_1.55"/>
    <s v="ISEL-1.63"/>
    <n v="1"/>
    <s v="NO TIENE L3OUT"/>
    <n v="140"/>
    <n v="96"/>
  </r>
  <r>
    <n v="407"/>
    <x v="1"/>
    <x v="224"/>
    <s v="eth1/63"/>
    <x v="0"/>
    <x v="0"/>
    <x v="0"/>
    <s v="IMSI_PORT0_SW1"/>
    <x v="6"/>
    <b v="0"/>
    <s v="No está en VPC"/>
    <n v="407"/>
    <s v="INTPG_ACC_407_1.63"/>
    <s v="ISEL-1.63"/>
    <n v="1"/>
    <s v="NO TIENE L3OUT"/>
    <n v="122"/>
    <n v="96"/>
  </r>
  <r>
    <n v="171"/>
    <x v="0"/>
    <x v="225"/>
    <s v="eth1/63"/>
    <x v="1"/>
    <x v="1"/>
    <x v="2"/>
    <s v="SRS (Speedy Rating System)"/>
    <x v="6"/>
    <b v="0"/>
    <s v="No está en VPC"/>
    <n v="171"/>
    <s v="INTPG_ACC_171_1.63"/>
    <s v="ISEL-1.63"/>
    <n v="1"/>
    <s v="NO TIENE L3OUT"/>
    <n v="114"/>
    <n v="96"/>
  </r>
  <r>
    <n v="421"/>
    <x v="1"/>
    <x v="226"/>
    <s v="eth1/63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63"/>
    <x v="0"/>
    <x v="1"/>
    <x v="1"/>
    <s v="SRSIXT02_CLIENT1"/>
    <x v="6"/>
    <b v="0"/>
    <s v="No está en VPC"/>
    <n v="173"/>
    <s v="INTPG_VPC_126_1.66_173_1.63"/>
    <s v="ISEL-1.63"/>
    <n v="1"/>
    <s v="NO TIENE L3OUT"/>
    <n v="66"/>
    <n v="96"/>
  </r>
  <r>
    <n v="154"/>
    <x v="0"/>
    <x v="228"/>
    <s v="eth1/63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63"/>
    <x v="0"/>
    <x v="0"/>
    <x v="0"/>
    <s v="TO-SRSIXT_01_F5"/>
    <x v="6"/>
    <b v="0"/>
    <s v="No está en VPC"/>
    <n v="172"/>
    <s v="INTPG_PC_172_1.62_63"/>
    <s v="ISEL-1.63"/>
    <n v="5"/>
    <s v="NO TIENE L3OUT"/>
    <n v="104"/>
    <n v="96"/>
  </r>
  <r>
    <n v="420"/>
    <x v="1"/>
    <x v="230"/>
    <s v="eth1/63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63"/>
    <x v="0"/>
    <x v="0"/>
    <x v="0"/>
    <s v="HP Proliant DL380p(e)"/>
    <x v="6"/>
    <b v="0"/>
    <s v="No está en VPC"/>
    <n v="423"/>
    <s v="INTPG_ACC_423_1.63"/>
    <s v="ISEL-1.63"/>
    <n v="1"/>
    <s v="NO TIENE L3OUT"/>
    <n v="86"/>
    <n v="96"/>
  </r>
  <r>
    <n v="415"/>
    <x v="1"/>
    <x v="232"/>
    <s v="eth1/63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63"/>
    <x v="0"/>
    <x v="1"/>
    <x v="1"/>
    <s v="BLACKBERRY:SECURITY TEST:VC2-X7"/>
    <x v="6"/>
    <b v="0"/>
    <s v="No está en VPC"/>
    <n v="102"/>
    <s v="INTPG_PC_102_1.52_57-63"/>
    <s v="ISEL-1.63"/>
    <n v="32"/>
    <s v="NO TIENE L3OUT"/>
    <n v="228"/>
    <n v="96"/>
  </r>
  <r>
    <n v="122"/>
    <x v="0"/>
    <x v="237"/>
    <s v="eth1/63"/>
    <x v="0"/>
    <x v="0"/>
    <x v="0"/>
    <s v="IXTTRAP-ETL"/>
    <x v="6"/>
    <b v="0"/>
    <s v="No está en VPC"/>
    <n v="122"/>
    <s v="INTPG_ACC_122_1.63"/>
    <s v="ISEL-1.63"/>
    <n v="1"/>
    <s v="NO TIENE L3OUT"/>
    <n v="148"/>
    <n v="96"/>
  </r>
  <r>
    <n v="157"/>
    <x v="0"/>
    <x v="238"/>
    <s v="eth1/63"/>
    <x v="0"/>
    <x v="0"/>
    <x v="0"/>
    <s v="Consolidaci\u00f3n Aplicaciones Prepago"/>
    <x v="6"/>
    <b v="0"/>
    <s v="No está en VPC"/>
    <n v="157"/>
    <s v="INTPG_ACC_157_1.63"/>
    <s v="ISEL-1.63"/>
    <n v="1"/>
    <s v="NO TIENE L3OUT"/>
    <n v="202"/>
    <n v="96"/>
  </r>
  <r>
    <n v="408"/>
    <x v="1"/>
    <x v="239"/>
    <s v="eth1/63"/>
    <x v="0"/>
    <x v="0"/>
    <x v="0"/>
    <s v="ITHRTC51VC1X4"/>
    <x v="6"/>
    <b v="0"/>
    <s v="No está en VPC"/>
    <n v="408"/>
    <s v="INTPG_ACC_408_1.63"/>
    <s v="ISEL-1.63"/>
    <n v="1"/>
    <s v="NO TIENE L3OUT"/>
    <n v="152"/>
    <n v="96"/>
  </r>
  <r>
    <n v="405"/>
    <x v="1"/>
    <x v="240"/>
    <s v="eth1/63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63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63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63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63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63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63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63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63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63"/>
    <x v="0"/>
    <x v="0"/>
    <x v="0"/>
    <m/>
    <x v="6"/>
    <b v="0"/>
    <s v="No está en VPC"/>
    <n v="406"/>
    <s v="NO EXISTE PG"/>
    <s v="NO EXISTE ISEL"/>
    <n v="0"/>
    <s v="NO TIENE L3OUT"/>
    <n v="82"/>
    <n v="96"/>
  </r>
  <r>
    <n v="414"/>
    <x v="1"/>
    <x v="250"/>
    <s v="eth1/63"/>
    <x v="0"/>
    <x v="1"/>
    <x v="1"/>
    <s v="uxcompr4"/>
    <x v="6"/>
    <b v="0"/>
    <s v="No está en VPC"/>
    <n v="414"/>
    <s v="INTPG_ACC_414_1.63"/>
    <s v="ISEL-1.63"/>
    <n v="1"/>
    <s v="NO TIENE L3OUT"/>
    <n v="144"/>
    <n v="96"/>
  </r>
  <r>
    <n v="416"/>
    <x v="1"/>
    <x v="251"/>
    <s v="eth1/63"/>
    <x v="0"/>
    <x v="0"/>
    <x v="0"/>
    <s v="DNS_NOMINUM"/>
    <x v="6"/>
    <b v="0"/>
    <s v="No está en VPC"/>
    <n v="416"/>
    <s v="INTPG_ACC_416_1.63"/>
    <s v="ISEL-1.63"/>
    <n v="1"/>
    <s v="NO TIENE L3OUT"/>
    <n v="110"/>
    <n v="96"/>
  </r>
  <r>
    <n v="418"/>
    <x v="1"/>
    <x v="252"/>
    <s v="eth1/63"/>
    <x v="0"/>
    <x v="0"/>
    <x v="0"/>
    <s v="ITHRTC4BEN2VC1x4"/>
    <x v="6"/>
    <b v="0"/>
    <s v="No está en VPC"/>
    <n v="418"/>
    <s v="INTPG_ACC_418_1.63"/>
    <s v="ISEL-1.63"/>
    <n v="1"/>
    <s v="NO TIENE L3OUT"/>
    <n v="152"/>
    <n v="96"/>
  </r>
  <r>
    <n v="413"/>
    <x v="1"/>
    <x v="253"/>
    <s v="eth1/63"/>
    <x v="0"/>
    <x v="0"/>
    <x v="0"/>
    <s v="IXTSRM1_VM1"/>
    <x v="6"/>
    <b v="0"/>
    <s v="No está en VPC"/>
    <n v="413"/>
    <s v="INTPG_ACC_413_1.63"/>
    <s v="ISEL-1.63"/>
    <n v="1"/>
    <s v="NO TIENE L3OUT"/>
    <n v="126"/>
    <n v="96"/>
  </r>
  <r>
    <n v="403"/>
    <x v="1"/>
    <x v="254"/>
    <s v="eth1/63"/>
    <x v="0"/>
    <x v="0"/>
    <x v="0"/>
    <s v="TO-ITHFDLMCLWLCN02-Principal"/>
    <x v="6"/>
    <b v="0"/>
    <s v="No está en VPC"/>
    <n v="403"/>
    <s v="INTPG_ACC_403_1.63"/>
    <s v="ISEL-1.63"/>
    <n v="1"/>
    <s v="NO TIENE L3OUT"/>
    <n v="150"/>
    <n v="96"/>
  </r>
  <r>
    <n v="125"/>
    <x v="0"/>
    <x v="255"/>
    <s v="eth1/63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63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63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63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63"/>
    <x v="0"/>
    <x v="0"/>
    <x v="0"/>
    <s v="TO-UXF5IXT39K02"/>
    <x v="6"/>
    <b v="0"/>
    <s v="No está en VPC"/>
    <n v="106"/>
    <s v="INTPG_VPC_106_1.63_107_1.29"/>
    <s v="ISEL-1.63"/>
    <n v="2"/>
    <s v="NO TIENE L3OUT"/>
    <n v="122"/>
    <n v="96"/>
  </r>
  <r>
    <n v="126"/>
    <x v="0"/>
    <x v="260"/>
    <s v="eth1/63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63"/>
    <x v="0"/>
    <x v="0"/>
    <x v="0"/>
    <s v="PROD3_SP1"/>
    <x v="6"/>
    <b v="0"/>
    <s v="No está en VPC"/>
    <n v="425"/>
    <s v="INTPG_ACC_425_1.63"/>
    <s v="ISEL-1.63"/>
    <n v="1"/>
    <s v="NO TIENE L3OUT"/>
    <n v="86"/>
    <n v="96"/>
  </r>
  <r>
    <n v="151"/>
    <x v="0"/>
    <x v="262"/>
    <s v="eth1/63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63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63"/>
    <x v="0"/>
    <x v="0"/>
    <x v="0"/>
    <s v="HP Proliant DL380p(A)"/>
    <x v="6"/>
    <b v="0"/>
    <s v="No está en VPC"/>
    <n v="419"/>
    <s v="INTPG_ACC_419_1.63"/>
    <s v="ISEL-1.63"/>
    <n v="1"/>
    <s v="NO TIENE L3OUT"/>
    <n v="70"/>
    <n v="96"/>
  </r>
  <r>
    <n v="155"/>
    <x v="0"/>
    <x v="265"/>
    <s v="eth1/63"/>
    <x v="0"/>
    <x v="0"/>
    <x v="0"/>
    <s v="ARIESO_GEOLOCALIZACION"/>
    <x v="6"/>
    <b v="0"/>
    <s v="No está en VPC"/>
    <n v="155"/>
    <s v="INTPG_ACC_155_1.63"/>
    <s v="ISEL-1.63"/>
    <n v="2"/>
    <s v="NO TIENE L3OUT"/>
    <n v="198"/>
    <n v="96"/>
  </r>
  <r>
    <n v="409"/>
    <x v="1"/>
    <x v="266"/>
    <s v="eth1/63"/>
    <x v="1"/>
    <x v="1"/>
    <x v="2"/>
    <s v="IXT_SIEU"/>
    <x v="6"/>
    <b v="0"/>
    <s v="No está en VPC"/>
    <n v="409"/>
    <s v="INTPG_ACC_409_1.63"/>
    <s v="ISEL-1.63"/>
    <n v="0"/>
    <s v="NO TIENE L3OUT"/>
    <n v="128"/>
    <n v="96"/>
  </r>
  <r>
    <n v="422"/>
    <x v="1"/>
    <x v="267"/>
    <s v="eth1/63"/>
    <x v="0"/>
    <x v="1"/>
    <x v="1"/>
    <s v="PORTAB2"/>
    <x v="6"/>
    <b v="0"/>
    <s v="No está en VPC"/>
    <n v="422"/>
    <s v="INTPG_ACC_422_1.63"/>
    <s v="ISEL-1.63"/>
    <n v="1"/>
    <s v="NO TIENE L3OUT"/>
    <n v="182"/>
    <n v="96"/>
  </r>
  <r>
    <n v="436"/>
    <x v="1"/>
    <x v="268"/>
    <s v="eth1/63"/>
    <x v="0"/>
    <x v="0"/>
    <x v="0"/>
    <s v="PROD4_MGMT_prueba"/>
    <x v="6"/>
    <b v="0"/>
    <s v="No está en VPC"/>
    <n v="436"/>
    <s v="INTPG_ACC_436_1.63"/>
    <s v="ISEL-1.63"/>
    <n v="1"/>
    <s v="NO TIENE L3OUT"/>
    <n v="172"/>
    <n v="96"/>
  </r>
  <r>
    <n v="410"/>
    <x v="1"/>
    <x v="269"/>
    <s v="eth1/63"/>
    <x v="0"/>
    <x v="0"/>
    <x v="0"/>
    <s v="ITHRTC2NB2"/>
    <x v="6"/>
    <b v="0"/>
    <s v="No está en VPC"/>
    <n v="410"/>
    <s v="INTPG_ACC_410_1.63"/>
    <s v="ISEL-1.63"/>
    <n v="1"/>
    <s v="NO TIENE L3OUT"/>
    <n v="178"/>
    <n v="96"/>
  </r>
  <r>
    <n v="161"/>
    <x v="0"/>
    <x v="270"/>
    <s v="eth1/63"/>
    <x v="0"/>
    <x v="0"/>
    <x v="0"/>
    <s v="UPGRADE _HP_OV"/>
    <x v="6"/>
    <b v="0"/>
    <s v="No está en VPC"/>
    <n v="161"/>
    <s v="INTPG_ACC_161_1.63"/>
    <s v="ISEL-1.63"/>
    <n v="1"/>
    <s v="NO TIENE L3OUT"/>
    <n v="102"/>
    <n v="96"/>
  </r>
  <r>
    <n v="411"/>
    <x v="1"/>
    <x v="271"/>
    <s v="eth1/63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63"/>
    <x v="0"/>
    <x v="0"/>
    <x v="0"/>
    <s v="ASAP BATCH"/>
    <x v="6"/>
    <b v="0"/>
    <s v="No está en VPC"/>
    <n v="116"/>
    <s v="INTPG_ACC_116_1.63"/>
    <s v="ISEL-1.63"/>
    <n v="1"/>
    <s v="NO TIENE L3OUT"/>
    <n v="148"/>
    <n v="96"/>
  </r>
  <r>
    <n v="412"/>
    <x v="1"/>
    <x v="273"/>
    <s v="eth1/63"/>
    <x v="0"/>
    <x v="0"/>
    <x v="0"/>
    <s v="ITHRTCD3CONT3"/>
    <x v="6"/>
    <b v="0"/>
    <s v="No está en VPC"/>
    <n v="412"/>
    <s v="INTPG_ACC_412_1.63"/>
    <s v="ISEL-1.63"/>
    <n v="1"/>
    <s v="NO TIENE L3OUT"/>
    <n v="126"/>
    <n v="96"/>
  </r>
  <r>
    <n v="120"/>
    <x v="0"/>
    <x v="274"/>
    <s v="eth1/63"/>
    <x v="0"/>
    <x v="0"/>
    <x v="0"/>
    <s v="TRAP"/>
    <x v="6"/>
    <b v="0"/>
    <s v="No está en VPC"/>
    <n v="120"/>
    <s v="INTPG_PC_120_1.63-65"/>
    <s v="ISEL-1.63"/>
    <n v="1"/>
    <s v="NO TIENE L3OUT"/>
    <n v="158"/>
    <n v="96"/>
  </r>
  <r>
    <n v="404"/>
    <x v="1"/>
    <x v="275"/>
    <s v="eth1/63"/>
    <x v="0"/>
    <x v="1"/>
    <x v="1"/>
    <s v="uxcompr4"/>
    <x v="6"/>
    <b v="0"/>
    <s v="No está en VPC"/>
    <n v="404"/>
    <s v="INTPG_ACC_404_1.63"/>
    <s v="ISEL-1.63"/>
    <n v="1"/>
    <s v="NO TIENE L3OUT"/>
    <n v="92"/>
    <n v="96"/>
  </r>
  <r>
    <n v="167"/>
    <x v="0"/>
    <x v="276"/>
    <s v="eth1/63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63"/>
    <x v="0"/>
    <x v="0"/>
    <x v="0"/>
    <s v="ITHSSO1A"/>
    <x v="6"/>
    <b v="0"/>
    <s v="No está en VPC"/>
    <n v="428"/>
    <s v="INTPG_ACC_428_1.63"/>
    <s v="ISEL-1.63"/>
    <n v="1"/>
    <s v="NO TIENE L3OUT"/>
    <n v="102"/>
    <n v="96"/>
  </r>
  <r>
    <n v="105"/>
    <x v="0"/>
    <x v="205"/>
    <s v="eth1/64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64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64"/>
    <x v="0"/>
    <x v="1"/>
    <x v="1"/>
    <m/>
    <x v="6"/>
    <b v="0"/>
    <s v="No está en VPC"/>
    <n v="104"/>
    <s v="INTPG_ACC_104_1.64"/>
    <s v="ISEL-1.64"/>
    <n v="1"/>
    <s v="NO TIENE L3OUT"/>
    <n v="194"/>
    <n v="96"/>
  </r>
  <r>
    <n v="158"/>
    <x v="0"/>
    <x v="208"/>
    <s v="eth1/64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64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64"/>
    <x v="0"/>
    <x v="1"/>
    <x v="1"/>
    <s v="SAPCC"/>
    <x v="6"/>
    <b v="0"/>
    <s v="No está en VPC"/>
    <n v="112"/>
    <s v="INTPG_ACC_112_1.64"/>
    <s v="ISEL-1.64"/>
    <n v="1"/>
    <s v="NO TIENE L3OUT"/>
    <n v="144"/>
    <n v="96"/>
  </r>
  <r>
    <n v="107"/>
    <x v="0"/>
    <x v="213"/>
    <s v="eth1/64"/>
    <x v="0"/>
    <x v="0"/>
    <x v="0"/>
    <m/>
    <x v="6"/>
    <b v="0"/>
    <s v="No está en VPC"/>
    <n v="107"/>
    <s v="INTPG_ACC_107_1.64"/>
    <s v="ISEL-1.64"/>
    <n v="1"/>
    <s v="NO TIENE L3OUT"/>
    <n v="118"/>
    <n v="96"/>
  </r>
  <r>
    <n v="109"/>
    <x v="0"/>
    <x v="214"/>
    <s v="eth1/64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64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64"/>
    <x v="0"/>
    <x v="0"/>
    <x v="0"/>
    <s v="ITHAS1B RACK 1"/>
    <x v="6"/>
    <b v="0"/>
    <s v="No está en VPC"/>
    <n v="114"/>
    <s v="INTPG_ACC_114_1.64"/>
    <s v="ISEL-1.64"/>
    <n v="1"/>
    <s v="NO TIENE L3OUT"/>
    <n v="144"/>
    <n v="96"/>
  </r>
  <r>
    <n v="124"/>
    <x v="0"/>
    <x v="217"/>
    <s v="eth1/64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64"/>
    <x v="0"/>
    <x v="1"/>
    <x v="1"/>
    <s v="USSD TANGO"/>
    <x v="6"/>
    <b v="0"/>
    <s v="No está en VPC"/>
    <n v="118"/>
    <s v="INTPG_ACC_118_1.64"/>
    <s v="ISEL-1.64"/>
    <n v="1"/>
    <s v="NO TIENE L3OUT"/>
    <n v="180"/>
    <n v="96"/>
  </r>
  <r>
    <n v="159"/>
    <x v="0"/>
    <x v="219"/>
    <s v="eth1/64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64"/>
    <x v="0"/>
    <x v="0"/>
    <x v="0"/>
    <s v="TO-ITHFHWHSMTLCN04_MGMT"/>
    <x v="6"/>
    <b v="0"/>
    <s v="No está en VPC"/>
    <n v="110"/>
    <s v="INTPG_ACC_110_1.64"/>
    <s v="ISEL-1.64"/>
    <n v="1"/>
    <s v="NO TIENE L3OUT"/>
    <n v="102"/>
    <n v="96"/>
  </r>
  <r>
    <n v="163"/>
    <x v="0"/>
    <x v="223"/>
    <s v="eth1/64"/>
    <x v="0"/>
    <x v="0"/>
    <x v="0"/>
    <s v="CTG"/>
    <x v="6"/>
    <b v="0"/>
    <s v="No está en VPC"/>
    <n v="163"/>
    <s v="INTPG_VPC_161_1.56_163_1.64"/>
    <s v="ISEL-1.64"/>
    <n v="0"/>
    <s v="NO TIENE L3OUT"/>
    <n v="140"/>
    <n v="96"/>
  </r>
  <r>
    <n v="407"/>
    <x v="1"/>
    <x v="224"/>
    <s v="eth1/64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64"/>
    <x v="0"/>
    <x v="1"/>
    <x v="1"/>
    <s v="SRS (Speedy Rating System)"/>
    <x v="6"/>
    <b v="0"/>
    <s v="No está en VPC"/>
    <n v="171"/>
    <s v="INTPG_ACC_171_1.64"/>
    <s v="ISEL-1.64"/>
    <n v="1"/>
    <s v="NO TIENE L3OUT"/>
    <n v="114"/>
    <n v="96"/>
  </r>
  <r>
    <n v="421"/>
    <x v="1"/>
    <x v="226"/>
    <s v="eth1/64"/>
    <x v="0"/>
    <x v="0"/>
    <x v="0"/>
    <s v="XIO_MGMT_A-01"/>
    <x v="6"/>
    <b v="0"/>
    <s v="No está en VPC"/>
    <n v="421"/>
    <s v="INTPG_ACC_421_1.64"/>
    <s v="ISEL-1.64"/>
    <n v="1"/>
    <s v="NO TIENE L3OUT"/>
    <n v="72"/>
    <n v="96"/>
  </r>
  <r>
    <n v="173"/>
    <x v="0"/>
    <x v="227"/>
    <s v="eth1/64"/>
    <x v="0"/>
    <x v="1"/>
    <x v="1"/>
    <s v="SRSIXT022_CLIENT1"/>
    <x v="6"/>
    <b v="0"/>
    <s v="No está en VPC"/>
    <n v="173"/>
    <s v="INTPG_VPC_126_1.67_173_1.64"/>
    <s v="ISEL-1.64"/>
    <n v="1"/>
    <s v="NO TIENE L3OUT"/>
    <n v="66"/>
    <n v="96"/>
  </r>
  <r>
    <n v="154"/>
    <x v="0"/>
    <x v="228"/>
    <s v="eth1/64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64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64"/>
    <x v="0"/>
    <x v="0"/>
    <x v="0"/>
    <s v="R9MEXIXTILO-1"/>
    <x v="6"/>
    <b v="0"/>
    <s v="No está en VPC"/>
    <n v="420"/>
    <s v="INTPG_ACC_420_1.64"/>
    <s v="ISEL-1.64"/>
    <n v="1"/>
    <s v="NO TIENE L3OUT"/>
    <n v="158"/>
    <n v="96"/>
  </r>
  <r>
    <n v="423"/>
    <x v="1"/>
    <x v="231"/>
    <s v="eth1/64"/>
    <x v="0"/>
    <x v="0"/>
    <x v="0"/>
    <s v="HP Proliant DL380p(e)"/>
    <x v="6"/>
    <b v="0"/>
    <s v="No está en VPC"/>
    <n v="423"/>
    <s v="INTPG_ACC_423_1.64"/>
    <s v="ISEL-1.64"/>
    <n v="1"/>
    <s v="NO TIENE L3OUT"/>
    <n v="86"/>
    <n v="96"/>
  </r>
  <r>
    <n v="415"/>
    <x v="1"/>
    <x v="232"/>
    <s v="eth1/64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64"/>
    <x v="1"/>
    <x v="1"/>
    <x v="2"/>
    <s v="ITHNETZA-B:ithnetz1:P11"/>
    <x v="6"/>
    <b v="0"/>
    <s v="No está en VPC"/>
    <n v="102"/>
    <s v="INTPG_ACC_102_1.64"/>
    <s v="ISEL-1.64"/>
    <n v="0"/>
    <s v="NO TIENE L3OUT"/>
    <n v="228"/>
    <n v="96"/>
  </r>
  <r>
    <n v="122"/>
    <x v="0"/>
    <x v="237"/>
    <s v="eth1/64"/>
    <x v="0"/>
    <x v="0"/>
    <x v="0"/>
    <s v="IXTTRAP-ETL"/>
    <x v="6"/>
    <b v="0"/>
    <s v="No está en VPC"/>
    <n v="122"/>
    <s v="INTPG_ACC_122_1.64"/>
    <s v="ISEL-1.64"/>
    <n v="1"/>
    <s v="NO TIENE L3OUT"/>
    <n v="148"/>
    <n v="96"/>
  </r>
  <r>
    <n v="157"/>
    <x v="0"/>
    <x v="238"/>
    <s v="eth1/64"/>
    <x v="0"/>
    <x v="0"/>
    <x v="0"/>
    <s v="ARIESO_GEOLOCALIZACION"/>
    <x v="6"/>
    <b v="0"/>
    <s v="No está en VPC"/>
    <n v="157"/>
    <s v="INTPG_ACC_157_1.64"/>
    <s v="ISEL-1.64"/>
    <n v="2"/>
    <s v="NO TIENE L3OUT"/>
    <n v="202"/>
    <n v="96"/>
  </r>
  <r>
    <n v="408"/>
    <x v="1"/>
    <x v="239"/>
    <s v="eth1/64"/>
    <x v="0"/>
    <x v="0"/>
    <x v="0"/>
    <s v="ITHRTC11VC1X4"/>
    <x v="6"/>
    <b v="0"/>
    <s v="No está en VPC"/>
    <n v="408"/>
    <s v="INTPG_ACC_408_1.64"/>
    <s v="ISEL-1.64"/>
    <n v="1"/>
    <s v="NO TIENE L3OUT"/>
    <n v="152"/>
    <n v="96"/>
  </r>
  <r>
    <n v="405"/>
    <x v="1"/>
    <x v="240"/>
    <s v="eth1/64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64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64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64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64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64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64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64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64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64"/>
    <x v="1"/>
    <x v="1"/>
    <x v="2"/>
    <m/>
    <x v="6"/>
    <b v="0"/>
    <s v="No está en VPC"/>
    <n v="406"/>
    <s v="NO EXISTE PG"/>
    <s v="NO EXISTE ISEL"/>
    <n v="0"/>
    <s v="NO TIENE L3OUT"/>
    <n v="82"/>
    <n v="96"/>
  </r>
  <r>
    <n v="414"/>
    <x v="1"/>
    <x v="250"/>
    <s v="eth1/64"/>
    <x v="0"/>
    <x v="1"/>
    <x v="1"/>
    <s v="uxcompr5"/>
    <x v="6"/>
    <b v="0"/>
    <s v="No está en VPC"/>
    <n v="414"/>
    <s v="INTPG_ACC_414_1.64"/>
    <s v="ISEL-1.64"/>
    <n v="1"/>
    <s v="NO TIENE L3OUT"/>
    <n v="144"/>
    <n v="96"/>
  </r>
  <r>
    <n v="416"/>
    <x v="1"/>
    <x v="251"/>
    <s v="eth1/64"/>
    <x v="0"/>
    <x v="0"/>
    <x v="0"/>
    <s v="GESTION_ FORTIMANAGER"/>
    <x v="6"/>
    <b v="0"/>
    <s v="No está en VPC"/>
    <n v="416"/>
    <s v="INTPG_ACC_416_1.64"/>
    <s v="ISEL-1.64"/>
    <n v="1"/>
    <s v="NO TIENE L3OUT"/>
    <n v="110"/>
    <n v="96"/>
  </r>
  <r>
    <n v="418"/>
    <x v="1"/>
    <x v="252"/>
    <s v="eth1/64"/>
    <x v="0"/>
    <x v="0"/>
    <x v="0"/>
    <s v="ITHRTC4BNB1"/>
    <x v="6"/>
    <b v="0"/>
    <s v="No está en VPC"/>
    <n v="418"/>
    <s v="INTPG_ACC_418_1.64"/>
    <s v="ISEL-1.64"/>
    <n v="1"/>
    <s v="NO TIENE L3OUT"/>
    <n v="152"/>
    <n v="96"/>
  </r>
  <r>
    <n v="413"/>
    <x v="1"/>
    <x v="253"/>
    <s v="eth1/64"/>
    <x v="0"/>
    <x v="0"/>
    <x v="0"/>
    <s v="IXTSRM1_VM2"/>
    <x v="6"/>
    <b v="0"/>
    <s v="No está en VPC"/>
    <n v="413"/>
    <s v="INTPG_ACC_413_1.64"/>
    <s v="ISEL-1.64"/>
    <n v="1"/>
    <s v="NO TIENE L3OUT"/>
    <n v="126"/>
    <n v="96"/>
  </r>
  <r>
    <n v="403"/>
    <x v="1"/>
    <x v="254"/>
    <s v="eth1/64"/>
    <x v="0"/>
    <x v="0"/>
    <x v="0"/>
    <s v="TO-ITHFDLMCLWLCN03-Principal"/>
    <x v="6"/>
    <b v="0"/>
    <s v="No está en VPC"/>
    <n v="403"/>
    <s v="INTPG_ACC_403_1.64"/>
    <s v="ISEL-1.64"/>
    <n v="1"/>
    <s v="NO TIENE L3OUT"/>
    <n v="150"/>
    <n v="96"/>
  </r>
  <r>
    <n v="125"/>
    <x v="0"/>
    <x v="255"/>
    <s v="eth1/64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64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64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64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64"/>
    <x v="0"/>
    <x v="0"/>
    <x v="0"/>
    <s v="TO-UXF5IXT39K01-PRINCIPAL"/>
    <x v="6"/>
    <b v="0"/>
    <s v="No está en VPC"/>
    <n v="106"/>
    <s v="INTPG_ACC_106_1.64"/>
    <s v="ISEL-1.64"/>
    <n v="1"/>
    <s v="NO TIENE L3OUT"/>
    <n v="122"/>
    <n v="96"/>
  </r>
  <r>
    <n v="126"/>
    <x v="0"/>
    <x v="260"/>
    <s v="eth1/64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64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64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64"/>
    <x v="0"/>
    <x v="0"/>
    <x v="0"/>
    <s v="PROVISION1"/>
    <x v="6"/>
    <b v="0"/>
    <s v="No está en VPC"/>
    <n v="430"/>
    <s v="INTPG_ACC_430_1.64"/>
    <s v="ISEL-1.64"/>
    <n v="1"/>
    <s v="NO TIENE L3OUT"/>
    <n v="86"/>
    <n v="96"/>
  </r>
  <r>
    <n v="419"/>
    <x v="1"/>
    <x v="264"/>
    <s v="eth1/64"/>
    <x v="0"/>
    <x v="0"/>
    <x v="0"/>
    <s v="HP Proliant DL380p(A)"/>
    <x v="6"/>
    <b v="0"/>
    <s v="No está en VPC"/>
    <n v="419"/>
    <s v="INTPG_ACC_419_1.64"/>
    <s v="ISEL-1.64"/>
    <n v="1"/>
    <s v="NO TIENE L3OUT"/>
    <n v="70"/>
    <n v="96"/>
  </r>
  <r>
    <n v="155"/>
    <x v="0"/>
    <x v="265"/>
    <s v="eth1/64"/>
    <x v="0"/>
    <x v="0"/>
    <x v="0"/>
    <s v="ARIESO_GEOLOCALIZACION"/>
    <x v="6"/>
    <b v="0"/>
    <s v="No está en VPC"/>
    <n v="155"/>
    <s v="INTPG_ACC_155_1.64"/>
    <s v="ISEL-1.64"/>
    <n v="2"/>
    <s v="NO TIENE L3OUT"/>
    <n v="198"/>
    <n v="96"/>
  </r>
  <r>
    <n v="409"/>
    <x v="1"/>
    <x v="266"/>
    <s v="eth1/64"/>
    <x v="0"/>
    <x v="1"/>
    <x v="1"/>
    <s v="INSIGHTCA4"/>
    <x v="6"/>
    <b v="0"/>
    <s v="No está en VPC"/>
    <n v="409"/>
    <s v="INTPG_ACC_409_1.64"/>
    <s v="ISEL-1.64"/>
    <n v="1"/>
    <s v="NO TIENE L3OUT"/>
    <n v="128"/>
    <n v="96"/>
  </r>
  <r>
    <n v="422"/>
    <x v="1"/>
    <x v="267"/>
    <s v="eth1/64"/>
    <x v="0"/>
    <x v="0"/>
    <x v="0"/>
    <s v="PORTAB_ILOM"/>
    <x v="6"/>
    <b v="0"/>
    <s v="No está en VPC"/>
    <n v="422"/>
    <s v="INTPG_ACC_422_1.64"/>
    <s v="ISEL-1.64"/>
    <n v="1"/>
    <s v="NO TIENE L3OUT"/>
    <n v="182"/>
    <n v="96"/>
  </r>
  <r>
    <n v="436"/>
    <x v="1"/>
    <x v="268"/>
    <s v="eth1/64"/>
    <x v="0"/>
    <x v="0"/>
    <x v="0"/>
    <s v="TO_ITHEMCDD69008138DKC0_INT1.2"/>
    <x v="6"/>
    <b v="0"/>
    <s v="No está en VPC"/>
    <n v="436"/>
    <s v="INTPG_ACC_436_1.64"/>
    <s v="ISEL-1.64"/>
    <n v="1"/>
    <s v="NO TIENE L3OUT"/>
    <n v="172"/>
    <n v="96"/>
  </r>
  <r>
    <n v="410"/>
    <x v="1"/>
    <x v="269"/>
    <s v="eth1/64"/>
    <x v="0"/>
    <x v="0"/>
    <x v="0"/>
    <s v="ITHRTCD1CONT3"/>
    <x v="6"/>
    <b v="0"/>
    <s v="No está en VPC"/>
    <n v="410"/>
    <s v="INTPG_ACC_410_1.64"/>
    <s v="ISEL-1.64"/>
    <n v="1"/>
    <s v="NO TIENE L3OUT"/>
    <n v="178"/>
    <n v="96"/>
  </r>
  <r>
    <n v="161"/>
    <x v="0"/>
    <x v="270"/>
    <s v="eth1/64"/>
    <x v="0"/>
    <x v="0"/>
    <x v="0"/>
    <s v="UPGRADE _HP_OV"/>
    <x v="6"/>
    <b v="0"/>
    <s v="No está en VPC"/>
    <n v="161"/>
    <s v="INTPG_ACC_161_1.64"/>
    <s v="ISEL-1.64"/>
    <n v="1"/>
    <s v="NO TIENE L3OUT"/>
    <n v="102"/>
    <n v="96"/>
  </r>
  <r>
    <n v="411"/>
    <x v="1"/>
    <x v="271"/>
    <s v="eth1/64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64"/>
    <x v="0"/>
    <x v="0"/>
    <x v="0"/>
    <s v="ASAP BATCH"/>
    <x v="6"/>
    <b v="0"/>
    <s v="No está en VPC"/>
    <n v="116"/>
    <s v="INTPG_ACC_116_1.64"/>
    <s v="ISEL-1.64"/>
    <n v="1"/>
    <s v="NO TIENE L3OUT"/>
    <n v="148"/>
    <n v="96"/>
  </r>
  <r>
    <n v="412"/>
    <x v="1"/>
    <x v="273"/>
    <s v="eth1/64"/>
    <x v="0"/>
    <x v="0"/>
    <x v="0"/>
    <s v="ITHRTCD3CONT4"/>
    <x v="6"/>
    <b v="0"/>
    <s v="No está en VPC"/>
    <n v="412"/>
    <s v="INTPG_ACC_412_1.64"/>
    <s v="ISEL-1.64"/>
    <n v="1"/>
    <s v="NO TIENE L3OUT"/>
    <n v="126"/>
    <n v="96"/>
  </r>
  <r>
    <n v="120"/>
    <x v="0"/>
    <x v="274"/>
    <s v="eth1/64"/>
    <x v="0"/>
    <x v="0"/>
    <x v="0"/>
    <s v="TRAP"/>
    <x v="6"/>
    <b v="0"/>
    <s v="No está en VPC"/>
    <n v="120"/>
    <s v="INTPG_PC_120_1.63-65"/>
    <s v="ISEL-1.64"/>
    <n v="1"/>
    <s v="NO TIENE L3OUT"/>
    <n v="158"/>
    <n v="96"/>
  </r>
  <r>
    <n v="404"/>
    <x v="1"/>
    <x v="275"/>
    <s v="eth1/64"/>
    <x v="0"/>
    <x v="1"/>
    <x v="1"/>
    <s v="uxcompr5"/>
    <x v="6"/>
    <b v="0"/>
    <s v="No está en VPC"/>
    <n v="404"/>
    <s v="INTPG_ACC_404_1.64"/>
    <s v="ISEL-1.64"/>
    <n v="1"/>
    <s v="NO TIENE L3OUT"/>
    <n v="92"/>
    <n v="96"/>
  </r>
  <r>
    <n v="167"/>
    <x v="0"/>
    <x v="276"/>
    <s v="eth1/64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64"/>
    <x v="0"/>
    <x v="0"/>
    <x v="0"/>
    <s v="ITHSSO1A"/>
    <x v="6"/>
    <b v="0"/>
    <s v="No está en VPC"/>
    <n v="428"/>
    <s v="INTPG_ACC_428_1.64"/>
    <s v="ISEL-1.64"/>
    <n v="1"/>
    <s v="NO TIENE L3OUT"/>
    <n v="102"/>
    <n v="96"/>
  </r>
  <r>
    <n v="105"/>
    <x v="0"/>
    <x v="205"/>
    <s v="eth1/65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65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65"/>
    <x v="0"/>
    <x v="1"/>
    <x v="1"/>
    <m/>
    <x v="6"/>
    <b v="0"/>
    <s v="No está en VPC"/>
    <n v="104"/>
    <s v="INTPG_ACC_104_1.65"/>
    <s v="ISEL-1.65"/>
    <n v="1"/>
    <s v="NO TIENE L3OUT"/>
    <n v="194"/>
    <n v="96"/>
  </r>
  <r>
    <n v="158"/>
    <x v="0"/>
    <x v="208"/>
    <s v="eth1/65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65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65"/>
    <x v="0"/>
    <x v="0"/>
    <x v="0"/>
    <s v="ITHAS1B RACK 1"/>
    <x v="6"/>
    <b v="0"/>
    <s v="No está en VPC"/>
    <n v="112"/>
    <s v="INTPG_ACC_112_1.65"/>
    <s v="ISEL-1.65"/>
    <n v="1"/>
    <s v="NO TIENE L3OUT"/>
    <n v="144"/>
    <n v="96"/>
  </r>
  <r>
    <n v="107"/>
    <x v="0"/>
    <x v="213"/>
    <s v="eth1/65"/>
    <x v="0"/>
    <x v="0"/>
    <x v="0"/>
    <m/>
    <x v="6"/>
    <b v="0"/>
    <s v="No está en VPC"/>
    <n v="107"/>
    <s v="INTPG_ACC_107_1.65"/>
    <s v="ISEL-1.65"/>
    <n v="1"/>
    <s v="NO TIENE L3OUT"/>
    <n v="118"/>
    <n v="96"/>
  </r>
  <r>
    <n v="109"/>
    <x v="0"/>
    <x v="214"/>
    <s v="eth1/65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65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65"/>
    <x v="0"/>
    <x v="0"/>
    <x v="0"/>
    <s v="ITHAS1B RACK 1"/>
    <x v="6"/>
    <b v="0"/>
    <s v="No está en VPC"/>
    <n v="114"/>
    <s v="INTPG_ACC_114_1.65"/>
    <s v="ISEL-1.65"/>
    <n v="1"/>
    <s v="NO TIENE L3OUT"/>
    <n v="144"/>
    <n v="96"/>
  </r>
  <r>
    <n v="124"/>
    <x v="0"/>
    <x v="217"/>
    <s v="eth1/65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65"/>
    <x v="0"/>
    <x v="1"/>
    <x v="1"/>
    <s v="USSD TANGO"/>
    <x v="6"/>
    <b v="0"/>
    <s v="No está en VPC"/>
    <n v="118"/>
    <s v="INTPG_ACC_118_1.65"/>
    <s v="ISEL-1.65"/>
    <n v="1"/>
    <s v="NO TIENE L3OUT"/>
    <n v="180"/>
    <n v="96"/>
  </r>
  <r>
    <n v="159"/>
    <x v="0"/>
    <x v="219"/>
    <s v="eth1/65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65"/>
    <x v="0"/>
    <x v="0"/>
    <x v="0"/>
    <s v="TO-ITHFDEMCFRPMS01-PRINCIPAL"/>
    <x v="6"/>
    <b v="0"/>
    <s v="No está en VPC"/>
    <n v="110"/>
    <s v="INTPG_ACC_110_1.65"/>
    <s v="ISEL-1.65"/>
    <n v="1"/>
    <s v="NO TIENE L3OUT"/>
    <n v="102"/>
    <n v="96"/>
  </r>
  <r>
    <n v="163"/>
    <x v="0"/>
    <x v="223"/>
    <s v="eth1/65"/>
    <x v="0"/>
    <x v="1"/>
    <x v="5"/>
    <m/>
    <x v="6"/>
    <b v="0"/>
    <s v="No está en VPC"/>
    <n v="163"/>
    <s v="INTPG_VPC_163_1.65_161_1.57"/>
    <s v="ISEL-1.65"/>
    <n v="1"/>
    <s v="NO TIENE L3OUT"/>
    <n v="140"/>
    <n v="96"/>
  </r>
  <r>
    <n v="407"/>
    <x v="1"/>
    <x v="224"/>
    <s v="eth1/65"/>
    <x v="0"/>
    <x v="0"/>
    <x v="0"/>
    <s v="IXT_SIEU"/>
    <x v="6"/>
    <b v="0"/>
    <s v="No está en VPC"/>
    <n v="407"/>
    <s v="INTPG_ACC_407_1.65"/>
    <s v="ISEL-1.65"/>
    <n v="1"/>
    <s v="NO TIENE L3OUT"/>
    <n v="122"/>
    <n v="96"/>
  </r>
  <r>
    <n v="171"/>
    <x v="0"/>
    <x v="225"/>
    <s v="eth1/65"/>
    <x v="0"/>
    <x v="0"/>
    <x v="0"/>
    <s v="SRS (Speedy Rating System)"/>
    <x v="6"/>
    <b v="0"/>
    <s v="No está en VPC"/>
    <n v="171"/>
    <s v="INTPG_ACC_171_1.65"/>
    <s v="ISEL-1.65"/>
    <n v="1"/>
    <s v="NO TIENE L3OUT"/>
    <n v="114"/>
    <n v="96"/>
  </r>
  <r>
    <n v="421"/>
    <x v="1"/>
    <x v="226"/>
    <s v="eth1/65"/>
    <x v="0"/>
    <x v="0"/>
    <x v="0"/>
    <s v="MMSC_GESTION_1RIO"/>
    <x v="6"/>
    <b v="0"/>
    <s v="No está en VPC"/>
    <n v="421"/>
    <s v="INTPG_ACC_421_1.65"/>
    <s v="ISEL-1.65"/>
    <n v="1"/>
    <s v="NO TIENE L3OUT"/>
    <n v="72"/>
    <n v="96"/>
  </r>
  <r>
    <n v="173"/>
    <x v="0"/>
    <x v="227"/>
    <s v="eth1/65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65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65"/>
    <x v="0"/>
    <x v="0"/>
    <x v="0"/>
    <s v="TO-SRSIXT_02_F5_MGMT"/>
    <x v="6"/>
    <b v="0"/>
    <s v="No está en VPC"/>
    <n v="172"/>
    <s v="INTPG_ACC_172_1.65"/>
    <s v="ISEL-1.65"/>
    <n v="1"/>
    <s v="NO TIENE L3OUT"/>
    <n v="104"/>
    <n v="96"/>
  </r>
  <r>
    <n v="420"/>
    <x v="1"/>
    <x v="230"/>
    <s v="eth1/65"/>
    <x v="0"/>
    <x v="0"/>
    <x v="0"/>
    <s v="R9MEXIXTILO-2"/>
    <x v="6"/>
    <b v="0"/>
    <s v="No está en VPC"/>
    <n v="420"/>
    <s v="INTPG_ACC_420_1.65"/>
    <s v="ISEL-1.65"/>
    <n v="1"/>
    <s v="NO TIENE L3OUT"/>
    <n v="158"/>
    <n v="96"/>
  </r>
  <r>
    <n v="423"/>
    <x v="1"/>
    <x v="231"/>
    <s v="eth1/65"/>
    <x v="0"/>
    <x v="0"/>
    <x v="0"/>
    <s v="PROD3_MGMT-prueba"/>
    <x v="6"/>
    <b v="0"/>
    <s v="No está en VPC"/>
    <n v="423"/>
    <s v="INTPG_ACC_423_1.65"/>
    <s v="ISEL-1.65"/>
    <n v="1"/>
    <s v="NO TIENE L3OUT"/>
    <n v="86"/>
    <n v="96"/>
  </r>
  <r>
    <n v="415"/>
    <x v="1"/>
    <x v="232"/>
    <s v="eth1/65"/>
    <x v="1"/>
    <x v="1"/>
    <x v="2"/>
    <s v="GESTION_ FORTIANALYZER"/>
    <x v="6"/>
    <b v="0"/>
    <s v="No está en VPC"/>
    <n v="415"/>
    <s v="INTPG_ACC_416_1.65"/>
    <s v="ISEL-1.65"/>
    <n v="0"/>
    <s v="NO TIENE L3OUT"/>
    <n v="52"/>
    <n v="96"/>
  </r>
  <r>
    <n v="102"/>
    <x v="0"/>
    <x v="233"/>
    <s v="eth1/65"/>
    <x v="1"/>
    <x v="1"/>
    <x v="2"/>
    <s v="ITHNETZA-B_ithnetz2_-"/>
    <x v="6"/>
    <b v="0"/>
    <s v="No está en VPC"/>
    <n v="102"/>
    <s v="INTPG_ACC_102_1.65"/>
    <s v="ISEL-1.65"/>
    <n v="0"/>
    <s v="NO TIENE L3OUT"/>
    <n v="228"/>
    <n v="96"/>
  </r>
  <r>
    <n v="122"/>
    <x v="0"/>
    <x v="237"/>
    <s v="eth1/65"/>
    <x v="0"/>
    <x v="0"/>
    <x v="0"/>
    <s v="IXTTRAP-ETL"/>
    <x v="6"/>
    <b v="0"/>
    <s v="No está en VPC"/>
    <n v="122"/>
    <s v="INTPG_ACC_122_1.65"/>
    <s v="ISEL-1.65"/>
    <n v="1"/>
    <s v="NO TIENE L3OUT"/>
    <n v="148"/>
    <n v="96"/>
  </r>
  <r>
    <n v="157"/>
    <x v="0"/>
    <x v="238"/>
    <s v="eth1/65"/>
    <x v="0"/>
    <x v="0"/>
    <x v="0"/>
    <s v="ARIESO_GEOLOCALIZACION"/>
    <x v="6"/>
    <b v="0"/>
    <s v="No está en VPC"/>
    <n v="157"/>
    <s v="INTPG_ACC_157_1.65"/>
    <s v="ISEL-1.65"/>
    <n v="2"/>
    <s v="NO TIENE L3OUT"/>
    <n v="202"/>
    <n v="96"/>
  </r>
  <r>
    <n v="408"/>
    <x v="1"/>
    <x v="239"/>
    <s v="eth1/65"/>
    <x v="0"/>
    <x v="0"/>
    <x v="0"/>
    <s v="ITHRTC51OA1"/>
    <x v="6"/>
    <b v="0"/>
    <s v="No está en VPC"/>
    <n v="408"/>
    <s v="INTPG_ACC_408_1.65"/>
    <s v="ISEL-1.65"/>
    <n v="1"/>
    <s v="NO TIENE L3OUT"/>
    <n v="152"/>
    <n v="96"/>
  </r>
  <r>
    <n v="405"/>
    <x v="1"/>
    <x v="240"/>
    <s v="eth1/65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65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65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65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65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65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65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65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65"/>
    <x v="0"/>
    <x v="0"/>
    <x v="0"/>
    <s v="INGES_Secundario"/>
    <x v="6"/>
    <b v="0"/>
    <s v="No está en VPC"/>
    <n v="438"/>
    <s v="INTPG_ACC_438_1.65"/>
    <s v="ISEL-1.65"/>
    <n v="1"/>
    <s v="NO TIENE L3OUT"/>
    <n v="170"/>
    <n v="96"/>
  </r>
  <r>
    <n v="406"/>
    <x v="1"/>
    <x v="249"/>
    <s v="eth1/65"/>
    <x v="0"/>
    <x v="0"/>
    <x v="0"/>
    <s v="DESC"/>
    <x v="6"/>
    <b v="0"/>
    <s v="No está en VPC"/>
    <n v="406"/>
    <s v="INTPG_PC_406_1.65-66"/>
    <s v="ISEL-1.65"/>
    <n v="1"/>
    <s v="NO TIENE L3OUT"/>
    <n v="82"/>
    <n v="96"/>
  </r>
  <r>
    <n v="414"/>
    <x v="1"/>
    <x v="250"/>
    <s v="eth1/65"/>
    <x v="0"/>
    <x v="1"/>
    <x v="1"/>
    <s v="uxcompr6"/>
    <x v="6"/>
    <b v="0"/>
    <s v="No está en VPC"/>
    <n v="414"/>
    <s v="INTPG_ACC_414_1.65"/>
    <s v="ISEL-1.65"/>
    <n v="1"/>
    <s v="NO TIENE L3OUT"/>
    <n v="144"/>
    <n v="96"/>
  </r>
  <r>
    <n v="416"/>
    <x v="1"/>
    <x v="251"/>
    <s v="eth1/65"/>
    <x v="0"/>
    <x v="0"/>
    <x v="0"/>
    <m/>
    <x v="6"/>
    <b v="0"/>
    <s v="No está en VPC"/>
    <n v="416"/>
    <s v="NO EXISTE PG"/>
    <s v="NO EXISTE ISEL"/>
    <n v="1"/>
    <s v="NO TIENE L3OUT"/>
    <n v="110"/>
    <n v="96"/>
  </r>
  <r>
    <n v="418"/>
    <x v="1"/>
    <x v="252"/>
    <s v="eth1/65"/>
    <x v="0"/>
    <x v="0"/>
    <x v="0"/>
    <s v="ITHRTC4BEN1OA1"/>
    <x v="6"/>
    <b v="0"/>
    <s v="No está en VPC"/>
    <n v="418"/>
    <s v="INTPG_ACC_418_1.65"/>
    <s v="ISEL-1.65"/>
    <n v="1"/>
    <s v="NO TIENE L3OUT"/>
    <n v="152"/>
    <n v="96"/>
  </r>
  <r>
    <n v="413"/>
    <x v="1"/>
    <x v="253"/>
    <s v="eth1/65"/>
    <x v="0"/>
    <x v="0"/>
    <x v="0"/>
    <s v="IXTSRM1_VM3"/>
    <x v="6"/>
    <b v="0"/>
    <s v="No está en VPC"/>
    <n v="413"/>
    <s v="INTPG_ACC_413_1.65"/>
    <s v="ISEL-1.65"/>
    <n v="1"/>
    <s v="NO TIENE L3OUT"/>
    <n v="126"/>
    <n v="96"/>
  </r>
  <r>
    <n v="403"/>
    <x v="1"/>
    <x v="254"/>
    <s v="eth1/65"/>
    <x v="0"/>
    <x v="0"/>
    <x v="0"/>
    <s v="TO-ITHFDEILDPRAP01-PRINCIPAL"/>
    <x v="6"/>
    <b v="0"/>
    <s v="No está en VPC"/>
    <n v="403"/>
    <s v="INTPG_ACC_403_1.65"/>
    <s v="ISEL-1.65"/>
    <n v="1"/>
    <s v="NO TIENE L3OUT"/>
    <n v="150"/>
    <n v="96"/>
  </r>
  <r>
    <n v="125"/>
    <x v="0"/>
    <x v="255"/>
    <s v="eth1/65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65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65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65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65"/>
    <x v="0"/>
    <x v="0"/>
    <x v="0"/>
    <s v="TO-UXF5IXT39K02-PRINCIPAL"/>
    <x v="6"/>
    <b v="0"/>
    <s v="No está en VPC"/>
    <n v="106"/>
    <s v="INTPG_ACC_106_1.65"/>
    <s v="ISEL-1.65"/>
    <n v="1"/>
    <s v="NO TIENE L3OUT"/>
    <n v="122"/>
    <n v="96"/>
  </r>
  <r>
    <n v="126"/>
    <x v="0"/>
    <x v="260"/>
    <s v="eth1/65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65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65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65"/>
    <x v="0"/>
    <x v="0"/>
    <x v="0"/>
    <s v="PROVISION2"/>
    <x v="6"/>
    <b v="0"/>
    <s v="No está en VPC"/>
    <n v="430"/>
    <s v="INTPG_ACC_430_1.65"/>
    <s v="ISEL-1.65"/>
    <n v="1"/>
    <s v="NO TIENE L3OUT"/>
    <n v="86"/>
    <n v="96"/>
  </r>
  <r>
    <n v="419"/>
    <x v="1"/>
    <x v="264"/>
    <s v="eth1/65"/>
    <x v="0"/>
    <x v="0"/>
    <x v="0"/>
    <s v="HP Proliant DL380p(A)"/>
    <x v="6"/>
    <b v="0"/>
    <s v="No está en VPC"/>
    <n v="419"/>
    <s v="INTPG_ACC_419_1.65"/>
    <s v="ISEL-1.65"/>
    <n v="1"/>
    <s v="NO TIENE L3OUT"/>
    <n v="70"/>
    <n v="96"/>
  </r>
  <r>
    <n v="155"/>
    <x v="0"/>
    <x v="265"/>
    <s v="eth1/65"/>
    <x v="0"/>
    <x v="0"/>
    <x v="0"/>
    <s v="ARIESO_GEOLOCALIZACION"/>
    <x v="6"/>
    <b v="0"/>
    <s v="No está en VPC"/>
    <n v="155"/>
    <s v="INTPG_ACC_155_1.65"/>
    <s v="ISEL-1.65"/>
    <n v="2"/>
    <s v="NO TIENE L3OUT"/>
    <n v="198"/>
    <n v="96"/>
  </r>
  <r>
    <n v="409"/>
    <x v="1"/>
    <x v="266"/>
    <s v="eth1/65"/>
    <x v="0"/>
    <x v="0"/>
    <x v="0"/>
    <s v="INSIGHTCA5"/>
    <x v="6"/>
    <b v="0"/>
    <s v="No está en VPC"/>
    <n v="409"/>
    <s v="INTPG_ACC_409_1.65"/>
    <s v="ISEL-1.65"/>
    <n v="1"/>
    <s v="NO TIENE L3OUT"/>
    <n v="128"/>
    <n v="96"/>
  </r>
  <r>
    <n v="422"/>
    <x v="1"/>
    <x v="267"/>
    <s v="eth1/65"/>
    <x v="0"/>
    <x v="1"/>
    <x v="1"/>
    <s v="PORTABILIDAD_uxgsm10_Eth5"/>
    <x v="6"/>
    <b v="0"/>
    <s v="No está en VPC"/>
    <n v="422"/>
    <s v="INTPG_ACC_422_1.65"/>
    <s v="ISEL-1.65"/>
    <n v="1"/>
    <s v="NO TIENE L3OUT"/>
    <n v="182"/>
    <n v="96"/>
  </r>
  <r>
    <n v="436"/>
    <x v="1"/>
    <x v="268"/>
    <s v="eth1/65"/>
    <x v="0"/>
    <x v="0"/>
    <x v="0"/>
    <s v="INGES_Primario"/>
    <x v="6"/>
    <b v="0"/>
    <s v="No está en VPC"/>
    <n v="436"/>
    <s v="INTPG_ACC_436_1.65"/>
    <s v="ISEL-1.65"/>
    <n v="1"/>
    <s v="NO TIENE L3OUT"/>
    <n v="172"/>
    <n v="96"/>
  </r>
  <r>
    <n v="410"/>
    <x v="1"/>
    <x v="269"/>
    <s v="eth1/65"/>
    <x v="0"/>
    <x v="0"/>
    <x v="0"/>
    <s v="ITHRTCD1CONT4"/>
    <x v="6"/>
    <b v="0"/>
    <s v="No está en VPC"/>
    <n v="410"/>
    <s v="INTPG_ACC_410_1.65"/>
    <s v="ISEL-1.65"/>
    <n v="1"/>
    <s v="NO TIENE L3OUT"/>
    <n v="178"/>
    <n v="96"/>
  </r>
  <r>
    <n v="161"/>
    <x v="0"/>
    <x v="270"/>
    <s v="eth1/65"/>
    <x v="0"/>
    <x v="1"/>
    <x v="1"/>
    <s v="UPGRADE _HP_OV"/>
    <x v="6"/>
    <b v="0"/>
    <s v="No está en VPC"/>
    <n v="161"/>
    <s v="INTPG_ACC_161_1.65"/>
    <s v="ISEL-1.65"/>
    <n v="1"/>
    <s v="NO TIENE L3OUT"/>
    <n v="102"/>
    <n v="96"/>
  </r>
  <r>
    <n v="411"/>
    <x v="1"/>
    <x v="271"/>
    <s v="eth1/65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65"/>
    <x v="0"/>
    <x v="1"/>
    <x v="1"/>
    <s v="ASAP BATCH"/>
    <x v="6"/>
    <b v="0"/>
    <s v="No está en VPC"/>
    <n v="116"/>
    <s v="INTPG_ACC_116_1.65"/>
    <s v="ISEL-1.65"/>
    <n v="1"/>
    <s v="NO TIENE L3OUT"/>
    <n v="148"/>
    <n v="96"/>
  </r>
  <r>
    <n v="412"/>
    <x v="1"/>
    <x v="273"/>
    <s v="eth1/65"/>
    <x v="0"/>
    <x v="0"/>
    <x v="0"/>
    <s v="ITHRTCD3SP11"/>
    <x v="6"/>
    <b v="0"/>
    <s v="No está en VPC"/>
    <n v="412"/>
    <s v="INTPG_ACC_412_1.65"/>
    <s v="ISEL-1.65"/>
    <n v="1"/>
    <s v="NO TIENE L3OUT"/>
    <n v="126"/>
    <n v="96"/>
  </r>
  <r>
    <n v="120"/>
    <x v="0"/>
    <x v="274"/>
    <s v="eth1/65"/>
    <x v="0"/>
    <x v="0"/>
    <x v="0"/>
    <s v="TRAP"/>
    <x v="6"/>
    <b v="0"/>
    <s v="No está en VPC"/>
    <n v="120"/>
    <s v="INTPG_PC_120_1.63-65"/>
    <s v="ISEL-1.65"/>
    <n v="1"/>
    <s v="NO TIENE L3OUT"/>
    <n v="158"/>
    <n v="96"/>
  </r>
  <r>
    <n v="404"/>
    <x v="1"/>
    <x v="275"/>
    <s v="eth1/65"/>
    <x v="0"/>
    <x v="0"/>
    <x v="0"/>
    <s v="DESC"/>
    <x v="6"/>
    <b v="0"/>
    <s v="No está en VPC"/>
    <n v="404"/>
    <s v="INTPG_PC_404_1.65-66"/>
    <s v="ISEL-1.65"/>
    <n v="1"/>
    <s v="NO TIENE L3OUT"/>
    <n v="92"/>
    <n v="96"/>
  </r>
  <r>
    <n v="167"/>
    <x v="0"/>
    <x v="276"/>
    <s v="eth1/65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65"/>
    <x v="0"/>
    <x v="0"/>
    <x v="0"/>
    <s v="SSO"/>
    <x v="6"/>
    <b v="0"/>
    <s v="No está en VPC"/>
    <n v="428"/>
    <s v="INTPG_ACC_428_1.65"/>
    <s v="ISEL-1.65"/>
    <n v="1"/>
    <s v="NO TIENE L3OUT"/>
    <n v="102"/>
    <n v="96"/>
  </r>
  <r>
    <n v="105"/>
    <x v="0"/>
    <x v="205"/>
    <s v="eth1/66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66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66"/>
    <x v="0"/>
    <x v="0"/>
    <x v="0"/>
    <s v="Comp CISCO ANA CSR"/>
    <x v="6"/>
    <b v="0"/>
    <s v="No está en VPC"/>
    <n v="104"/>
    <s v="INTPG_ACC_104_1.66"/>
    <s v="ISEL-1.66"/>
    <n v="1"/>
    <s v="NO TIENE L3OUT"/>
    <n v="194"/>
    <n v="96"/>
  </r>
  <r>
    <n v="158"/>
    <x v="0"/>
    <x v="208"/>
    <s v="eth1/66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66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66"/>
    <x v="0"/>
    <x v="0"/>
    <x v="0"/>
    <s v="ITHAS1B RACK 1"/>
    <x v="6"/>
    <b v="0"/>
    <s v="No está en VPC"/>
    <n v="112"/>
    <s v="INTPG_ACC_112_1.66"/>
    <s v="ISEL-1.66"/>
    <n v="1"/>
    <s v="NO TIENE L3OUT"/>
    <n v="144"/>
    <n v="96"/>
  </r>
  <r>
    <n v="107"/>
    <x v="0"/>
    <x v="213"/>
    <s v="eth1/66"/>
    <x v="1"/>
    <x v="1"/>
    <x v="2"/>
    <m/>
    <x v="6"/>
    <b v="0"/>
    <s v="No está en VPC"/>
    <n v="107"/>
    <s v="INTPG_ACC_107_1.66"/>
    <s v="ISEL-1.66"/>
    <n v="2"/>
    <s v="NO TIENE L3OUT"/>
    <n v="118"/>
    <n v="96"/>
  </r>
  <r>
    <n v="109"/>
    <x v="0"/>
    <x v="214"/>
    <s v="eth1/66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66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66"/>
    <x v="0"/>
    <x v="1"/>
    <x v="1"/>
    <s v="DESC"/>
    <x v="6"/>
    <b v="0"/>
    <s v="No está en VPC"/>
    <n v="114"/>
    <s v="INTPG_PC_114_1.66-71"/>
    <s v="ISEL-1.66"/>
    <n v="12"/>
    <s v="NO TIENE L3OUT"/>
    <n v="144"/>
    <n v="96"/>
  </r>
  <r>
    <n v="124"/>
    <x v="0"/>
    <x v="217"/>
    <s v="eth1/66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66"/>
    <x v="0"/>
    <x v="1"/>
    <x v="1"/>
    <s v="USSD TANGO"/>
    <x v="6"/>
    <b v="0"/>
    <s v="No está en VPC"/>
    <n v="118"/>
    <s v="INTPG_ACC_118_1.66"/>
    <s v="ISEL-1.66"/>
    <n v="1"/>
    <s v="NO TIENE L3OUT"/>
    <n v="180"/>
    <n v="96"/>
  </r>
  <r>
    <n v="159"/>
    <x v="0"/>
    <x v="219"/>
    <s v="eth1/66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66"/>
    <x v="0"/>
    <x v="0"/>
    <x v="0"/>
    <s v="TO-ITHFDEMCFRPMS01"/>
    <x v="6"/>
    <b v="0"/>
    <s v="No está en VPC"/>
    <n v="110"/>
    <s v="INTPG_VPC_110_1.66_111_1.45"/>
    <s v="ISEL-1.66"/>
    <n v="1"/>
    <s v="NO TIENE L3OUT"/>
    <n v="102"/>
    <n v="96"/>
  </r>
  <r>
    <n v="163"/>
    <x v="0"/>
    <x v="223"/>
    <s v="eth1/66"/>
    <x v="0"/>
    <x v="1"/>
    <x v="1"/>
    <s v="Multimediaci\u00f3n 1"/>
    <x v="6"/>
    <b v="0"/>
    <s v="No está en VPC"/>
    <n v="163"/>
    <s v="INTPG_ACC_163_1.66"/>
    <s v="ISEL-1.66"/>
    <n v="1"/>
    <s v="NO TIENE L3OUT"/>
    <n v="140"/>
    <n v="96"/>
  </r>
  <r>
    <n v="407"/>
    <x v="1"/>
    <x v="224"/>
    <s v="eth1/66"/>
    <x v="0"/>
    <x v="1"/>
    <x v="1"/>
    <s v="INSIGHTCA4"/>
    <x v="6"/>
    <b v="0"/>
    <s v="No está en VPC"/>
    <n v="407"/>
    <s v="INTPG_ACC_407_1.66"/>
    <s v="ISEL-1.66"/>
    <n v="1"/>
    <s v="NO TIENE L3OUT"/>
    <n v="122"/>
    <n v="96"/>
  </r>
  <r>
    <n v="171"/>
    <x v="0"/>
    <x v="225"/>
    <s v="eth1/66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66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66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66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66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66"/>
    <x v="0"/>
    <x v="0"/>
    <x v="0"/>
    <s v="R9MEXIXTILO-3"/>
    <x v="6"/>
    <b v="0"/>
    <s v="No está en VPC"/>
    <n v="420"/>
    <s v="INTPG_ACC_420_1.66"/>
    <s v="ISEL-1.66"/>
    <n v="1"/>
    <s v="NO TIENE L3OUT"/>
    <n v="158"/>
    <n v="96"/>
  </r>
  <r>
    <n v="423"/>
    <x v="1"/>
    <x v="231"/>
    <s v="eth1/66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66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66"/>
    <x v="0"/>
    <x v="0"/>
    <x v="0"/>
    <s v="ITHNETZA-B:ithnetz2:"/>
    <x v="6"/>
    <b v="0"/>
    <s v="No está en VPC"/>
    <n v="102"/>
    <s v="INTPG_ACC_102_1.66"/>
    <s v="ISEL-1.66"/>
    <n v="1"/>
    <s v="NO TIENE L3OUT"/>
    <n v="228"/>
    <n v="96"/>
  </r>
  <r>
    <n v="122"/>
    <x v="0"/>
    <x v="237"/>
    <s v="eth1/66"/>
    <x v="0"/>
    <x v="0"/>
    <x v="0"/>
    <s v="TRAP"/>
    <x v="6"/>
    <b v="0"/>
    <s v="No está en VPC"/>
    <n v="122"/>
    <s v="INTPG_PC_122_1.66-69"/>
    <s v="ISEL-1.66"/>
    <n v="1"/>
    <s v="NO TIENE L3OUT"/>
    <n v="148"/>
    <n v="96"/>
  </r>
  <r>
    <n v="157"/>
    <x v="0"/>
    <x v="238"/>
    <s v="eth1/66"/>
    <x v="0"/>
    <x v="0"/>
    <x v="0"/>
    <s v="ARIESO_GEOLOCALIZACION"/>
    <x v="6"/>
    <b v="0"/>
    <s v="No está en VPC"/>
    <n v="157"/>
    <s v="INTPG_ACC_157_1.66"/>
    <s v="ISEL-1.66"/>
    <n v="2"/>
    <s v="NO TIENE L3OUT"/>
    <n v="202"/>
    <n v="96"/>
  </r>
  <r>
    <n v="408"/>
    <x v="1"/>
    <x v="239"/>
    <s v="eth1/66"/>
    <x v="0"/>
    <x v="1"/>
    <x v="1"/>
    <s v="ITHRTC52OA1"/>
    <x v="6"/>
    <b v="0"/>
    <s v="No está en VPC"/>
    <n v="408"/>
    <s v="INTPG_ACC_408_1.66"/>
    <s v="ISEL-1.66"/>
    <n v="1"/>
    <s v="NO TIENE L3OUT"/>
    <n v="152"/>
    <n v="96"/>
  </r>
  <r>
    <n v="405"/>
    <x v="1"/>
    <x v="240"/>
    <s v="eth1/66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66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66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66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66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66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66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66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66"/>
    <x v="0"/>
    <x v="0"/>
    <x v="0"/>
    <s v="1CONSOLA_M8s_Secundario"/>
    <x v="6"/>
    <b v="0"/>
    <s v="No está en VPC"/>
    <n v="438"/>
    <s v="INTPG_ACC_438_1.66"/>
    <s v="ISEL-1.66"/>
    <n v="1"/>
    <s v="NO TIENE L3OUT"/>
    <n v="170"/>
    <n v="96"/>
  </r>
  <r>
    <n v="406"/>
    <x v="1"/>
    <x v="249"/>
    <s v="eth1/66"/>
    <x v="0"/>
    <x v="0"/>
    <x v="0"/>
    <s v="DESC"/>
    <x v="6"/>
    <b v="0"/>
    <s v="No está en VPC"/>
    <n v="406"/>
    <s v="INTPG_PC_406_1.65-66"/>
    <s v="ISEL-1.66"/>
    <n v="1"/>
    <s v="NO TIENE L3OUT"/>
    <n v="82"/>
    <n v="96"/>
  </r>
  <r>
    <n v="414"/>
    <x v="1"/>
    <x v="250"/>
    <s v="eth1/66"/>
    <x v="0"/>
    <x v="1"/>
    <x v="1"/>
    <s v="uxcompr_new"/>
    <x v="6"/>
    <b v="0"/>
    <s v="No está en VPC"/>
    <n v="414"/>
    <s v="INTPG_ACC_414_1.66"/>
    <s v="ISEL-1.66"/>
    <n v="1"/>
    <s v="NO TIENE L3OUT"/>
    <n v="144"/>
    <n v="96"/>
  </r>
  <r>
    <n v="416"/>
    <x v="1"/>
    <x v="251"/>
    <s v="eth1/66"/>
    <x v="0"/>
    <x v="0"/>
    <x v="0"/>
    <s v="B6200A_MGMT_1"/>
    <x v="6"/>
    <b v="0"/>
    <s v="No está en VPC"/>
    <n v="416"/>
    <s v="INTPG_ACC_416_1.66"/>
    <s v="ISEL-1.66"/>
    <n v="1"/>
    <s v="NO TIENE L3OUT"/>
    <n v="110"/>
    <n v="96"/>
  </r>
  <r>
    <n v="418"/>
    <x v="1"/>
    <x v="252"/>
    <s v="eth1/66"/>
    <x v="0"/>
    <x v="0"/>
    <x v="0"/>
    <s v="ITHRTC4BEN2OA1"/>
    <x v="6"/>
    <b v="0"/>
    <s v="No está en VPC"/>
    <n v="418"/>
    <s v="INTPG_ACC_418_1.66"/>
    <s v="ISEL-1.66"/>
    <n v="1"/>
    <s v="NO TIENE L3OUT"/>
    <n v="152"/>
    <n v="96"/>
  </r>
  <r>
    <n v="413"/>
    <x v="1"/>
    <x v="253"/>
    <s v="eth1/66"/>
    <x v="0"/>
    <x v="0"/>
    <x v="0"/>
    <s v="IXTSRM1_VM4"/>
    <x v="6"/>
    <b v="0"/>
    <s v="No está en VPC"/>
    <n v="413"/>
    <s v="INTPG_ACC_413_1.66"/>
    <s v="ISEL-1.66"/>
    <n v="1"/>
    <s v="NO TIENE L3OUT"/>
    <n v="126"/>
    <n v="96"/>
  </r>
  <r>
    <n v="403"/>
    <x v="1"/>
    <x v="254"/>
    <s v="eth1/66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66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66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66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66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66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66"/>
    <x v="0"/>
    <x v="1"/>
    <x v="1"/>
    <s v="SRSIXT02_CLIENT1"/>
    <x v="6"/>
    <b v="0"/>
    <s v="No está en VPC"/>
    <n v="126"/>
    <s v="INTPG_VPC_126_1.66_173_1.63"/>
    <s v="ISEL-1.66"/>
    <n v="1"/>
    <s v="NO TIENE L3OUT"/>
    <n v="54"/>
    <n v="96"/>
  </r>
  <r>
    <n v="425"/>
    <x v="1"/>
    <x v="261"/>
    <s v="eth1/66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66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66"/>
    <x v="0"/>
    <x v="0"/>
    <x v="0"/>
    <s v="RLPNOVB02"/>
    <x v="6"/>
    <b v="0"/>
    <s v="No está en VPC"/>
    <n v="430"/>
    <s v="INTPG_ACC_430_1.66"/>
    <s v="ISEL-1.66"/>
    <n v="1"/>
    <s v="NO TIENE L3OUT"/>
    <n v="86"/>
    <n v="96"/>
  </r>
  <r>
    <n v="419"/>
    <x v="1"/>
    <x v="264"/>
    <s v="eth1/66"/>
    <x v="0"/>
    <x v="0"/>
    <x v="0"/>
    <s v="HP Proliant DL380p(b)"/>
    <x v="6"/>
    <b v="0"/>
    <s v="No está en VPC"/>
    <n v="419"/>
    <s v="INTPG_ACC_419_1.66"/>
    <s v="ISEL-1.66"/>
    <n v="1"/>
    <s v="NO TIENE L3OUT"/>
    <n v="70"/>
    <n v="96"/>
  </r>
  <r>
    <n v="155"/>
    <x v="0"/>
    <x v="265"/>
    <s v="eth1/66"/>
    <x v="0"/>
    <x v="0"/>
    <x v="0"/>
    <s v="ARIESO_GEOLOCALIZACION"/>
    <x v="6"/>
    <b v="0"/>
    <s v="No está en VPC"/>
    <n v="155"/>
    <s v="INTPG_ACC_155_1.66"/>
    <s v="ISEL-1.66"/>
    <n v="2"/>
    <s v="NO TIENE L3OUT"/>
    <n v="198"/>
    <n v="96"/>
  </r>
  <r>
    <n v="409"/>
    <x v="1"/>
    <x v="266"/>
    <s v="eth1/66"/>
    <x v="0"/>
    <x v="0"/>
    <x v="0"/>
    <s v="INSIGHTCA6"/>
    <x v="6"/>
    <b v="0"/>
    <s v="No está en VPC"/>
    <n v="409"/>
    <s v="INTPG_ACC_409_1.66"/>
    <s v="ISEL-1.66"/>
    <n v="1"/>
    <s v="NO TIENE L3OUT"/>
    <n v="128"/>
    <n v="96"/>
  </r>
  <r>
    <n v="422"/>
    <x v="1"/>
    <x v="267"/>
    <s v="eth1/66"/>
    <x v="0"/>
    <x v="0"/>
    <x v="0"/>
    <s v="DCX_BKP1"/>
    <x v="6"/>
    <b v="0"/>
    <s v="No está en VPC"/>
    <n v="422"/>
    <s v="INTPG_ACC_422_1.66"/>
    <s v="ISEL-1.66"/>
    <n v="1"/>
    <s v="NO TIENE L3OUT"/>
    <n v="182"/>
    <n v="96"/>
  </r>
  <r>
    <n v="436"/>
    <x v="1"/>
    <x v="268"/>
    <s v="eth1/66"/>
    <x v="0"/>
    <x v="0"/>
    <x v="0"/>
    <s v="1CONSOLA_M8s_Primario"/>
    <x v="6"/>
    <b v="0"/>
    <s v="No está en VPC"/>
    <n v="436"/>
    <s v="INTPG_ACC_436_1.66"/>
    <s v="ISEL-1.66"/>
    <n v="1"/>
    <s v="NO TIENE L3OUT"/>
    <n v="172"/>
    <n v="96"/>
  </r>
  <r>
    <n v="410"/>
    <x v="1"/>
    <x v="269"/>
    <s v="eth1/66"/>
    <x v="0"/>
    <x v="1"/>
    <x v="1"/>
    <s v="ITHRTCD1SP11"/>
    <x v="6"/>
    <b v="0"/>
    <s v="No está en VPC"/>
    <n v="410"/>
    <s v="INTPG_ACC_410_1.66"/>
    <s v="ISEL-1.66"/>
    <n v="1"/>
    <s v="NO TIENE L3OUT"/>
    <n v="178"/>
    <n v="96"/>
  </r>
  <r>
    <n v="161"/>
    <x v="0"/>
    <x v="270"/>
    <s v="eth1/66"/>
    <x v="0"/>
    <x v="0"/>
    <x v="0"/>
    <s v="Comp CISCO ANA CSR"/>
    <x v="6"/>
    <b v="0"/>
    <s v="No está en VPC"/>
    <n v="161"/>
    <s v="INTPG_ACC_161_1.66"/>
    <s v="ISEL-1.66"/>
    <n v="1"/>
    <s v="NO TIENE L3OUT"/>
    <n v="102"/>
    <n v="96"/>
  </r>
  <r>
    <n v="411"/>
    <x v="1"/>
    <x v="271"/>
    <s v="eth1/66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66"/>
    <x v="0"/>
    <x v="0"/>
    <x v="0"/>
    <s v="ASAP BATCH"/>
    <x v="6"/>
    <b v="0"/>
    <s v="No está en VPC"/>
    <n v="116"/>
    <s v="INTPG_ACC_116_1.66"/>
    <s v="ISEL-1.66"/>
    <n v="1"/>
    <s v="NO TIENE L3OUT"/>
    <n v="148"/>
    <n v="96"/>
  </r>
  <r>
    <n v="412"/>
    <x v="1"/>
    <x v="273"/>
    <s v="eth1/66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66"/>
    <x v="0"/>
    <x v="0"/>
    <x v="0"/>
    <s v="N/A"/>
    <x v="6"/>
    <b v="0"/>
    <s v="No está en VPC"/>
    <n v="120"/>
    <s v="INTPG_ACC_120_1.66"/>
    <s v="ISEL-1.66"/>
    <n v="1"/>
    <s v="NO TIENE L3OUT"/>
    <n v="158"/>
    <n v="96"/>
  </r>
  <r>
    <n v="404"/>
    <x v="1"/>
    <x v="275"/>
    <s v="eth1/66"/>
    <x v="0"/>
    <x v="0"/>
    <x v="0"/>
    <s v="DESC"/>
    <x v="6"/>
    <b v="0"/>
    <s v="No está en VPC"/>
    <n v="404"/>
    <s v="INTPG_PC_404_1.65-66"/>
    <s v="ISEL-1.66"/>
    <n v="1"/>
    <s v="NO TIENE L3OUT"/>
    <n v="92"/>
    <n v="96"/>
  </r>
  <r>
    <n v="167"/>
    <x v="0"/>
    <x v="276"/>
    <s v="eth1/66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66"/>
    <x v="0"/>
    <x v="0"/>
    <x v="0"/>
    <s v="SSO"/>
    <x v="6"/>
    <b v="0"/>
    <s v="No está en VPC"/>
    <n v="428"/>
    <s v="INTPG_ACC_428_1.66"/>
    <s v="ISEL-1.66"/>
    <n v="1"/>
    <s v="NO TIENE L3OUT"/>
    <n v="102"/>
    <n v="96"/>
  </r>
  <r>
    <n v="105"/>
    <x v="0"/>
    <x v="205"/>
    <s v="eth1/67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67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67"/>
    <x v="0"/>
    <x v="1"/>
    <x v="1"/>
    <s v="CISCO ANA 01 EHEALTH"/>
    <x v="6"/>
    <b v="0"/>
    <s v="No está en VPC"/>
    <n v="104"/>
    <s v="INTPG_ACC_104_1.67"/>
    <s v="ISEL-1.67"/>
    <n v="1"/>
    <s v="NO TIENE L3OUT"/>
    <n v="194"/>
    <n v="96"/>
  </r>
  <r>
    <n v="158"/>
    <x v="0"/>
    <x v="208"/>
    <s v="eth1/67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67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67"/>
    <x v="0"/>
    <x v="0"/>
    <x v="0"/>
    <s v="ITHAS1B RACK 1"/>
    <x v="6"/>
    <b v="0"/>
    <s v="No está en VPC"/>
    <n v="112"/>
    <s v="INTPG_ACC_112_1.67"/>
    <s v="ISEL-1.67"/>
    <n v="1"/>
    <s v="NO TIENE L3OUT"/>
    <n v="144"/>
    <n v="96"/>
  </r>
  <r>
    <n v="107"/>
    <x v="0"/>
    <x v="213"/>
    <s v="eth1/67"/>
    <x v="0"/>
    <x v="0"/>
    <x v="0"/>
    <m/>
    <x v="6"/>
    <b v="0"/>
    <s v="No está en VPC"/>
    <n v="107"/>
    <s v="INTPG_ACC_107_1.67"/>
    <s v="ISEL-1.67"/>
    <n v="1"/>
    <s v="NO TIENE L3OUT"/>
    <n v="118"/>
    <n v="96"/>
  </r>
  <r>
    <n v="109"/>
    <x v="0"/>
    <x v="214"/>
    <s v="eth1/67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67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67"/>
    <x v="0"/>
    <x v="1"/>
    <x v="1"/>
    <s v="DESC"/>
    <x v="6"/>
    <b v="0"/>
    <s v="No está en VPC"/>
    <n v="114"/>
    <s v="INTPG_PC_114_1.66-71"/>
    <s v="ISEL-1.67"/>
    <n v="12"/>
    <s v="NO TIENE L3OUT"/>
    <n v="144"/>
    <n v="96"/>
  </r>
  <r>
    <n v="124"/>
    <x v="0"/>
    <x v="217"/>
    <s v="eth1/67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67"/>
    <x v="0"/>
    <x v="1"/>
    <x v="1"/>
    <s v="USSD TANGO"/>
    <x v="6"/>
    <b v="0"/>
    <s v="No está en VPC"/>
    <n v="118"/>
    <s v="INTPG_ACC_118_1.67"/>
    <s v="ISEL-1.67"/>
    <n v="1"/>
    <s v="NO TIENE L3OUT"/>
    <n v="180"/>
    <n v="96"/>
  </r>
  <r>
    <n v="159"/>
    <x v="0"/>
    <x v="219"/>
    <s v="eth1/67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67"/>
    <x v="0"/>
    <x v="0"/>
    <x v="0"/>
    <s v="TO-ITHFDEMCFRPMS02-PRINCIPAL"/>
    <x v="6"/>
    <b v="0"/>
    <s v="No está en VPC"/>
    <n v="110"/>
    <s v="INTPG_ACC_110_1.67"/>
    <s v="ISEL-1.67"/>
    <n v="1"/>
    <s v="NO TIENE L3OUT"/>
    <n v="102"/>
    <n v="96"/>
  </r>
  <r>
    <n v="163"/>
    <x v="0"/>
    <x v="223"/>
    <s v="eth1/67"/>
    <x v="0"/>
    <x v="0"/>
    <x v="0"/>
    <s v="MULTIMEDIACION_1"/>
    <x v="6"/>
    <b v="0"/>
    <s v="No está en VPC"/>
    <n v="163"/>
    <s v="INTPG_ACC_163_1.67"/>
    <s v="ISEL-1.67"/>
    <n v="1"/>
    <s v="NO TIENE L3OUT"/>
    <n v="140"/>
    <n v="96"/>
  </r>
  <r>
    <n v="407"/>
    <x v="1"/>
    <x v="224"/>
    <s v="eth1/67"/>
    <x v="0"/>
    <x v="0"/>
    <x v="0"/>
    <s v="INSIGHTCA5"/>
    <x v="6"/>
    <b v="0"/>
    <s v="No está en VPC"/>
    <n v="407"/>
    <s v="INTPG_ACC_407_1.67"/>
    <s v="ISEL-1.67"/>
    <n v="1"/>
    <s v="NO TIENE L3OUT"/>
    <n v="122"/>
    <n v="96"/>
  </r>
  <r>
    <n v="171"/>
    <x v="0"/>
    <x v="225"/>
    <s v="eth1/67"/>
    <x v="1"/>
    <x v="1"/>
    <x v="2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67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67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67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67"/>
    <x v="0"/>
    <x v="1"/>
    <x v="1"/>
    <s v="ENIQ3GMX_CLIENT1"/>
    <x v="6"/>
    <b v="0"/>
    <s v="No está en VPC"/>
    <n v="172"/>
    <s v="INTPG_VPC_171_1.5_15_172_1.5_67"/>
    <s v="ISEL-1.67"/>
    <n v="10"/>
    <s v="NO TIENE L3OUT"/>
    <n v="104"/>
    <n v="96"/>
  </r>
  <r>
    <n v="420"/>
    <x v="1"/>
    <x v="230"/>
    <s v="eth1/67"/>
    <x v="0"/>
    <x v="0"/>
    <x v="0"/>
    <s v="R9MEXIXTILO-4"/>
    <x v="6"/>
    <b v="0"/>
    <s v="No está en VPC"/>
    <n v="420"/>
    <s v="INTPG_ACC_420_1.67"/>
    <s v="ISEL-1.67"/>
    <n v="1"/>
    <s v="NO TIENE L3OUT"/>
    <n v="158"/>
    <n v="96"/>
  </r>
  <r>
    <n v="423"/>
    <x v="1"/>
    <x v="231"/>
    <s v="eth1/67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67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67"/>
    <x v="0"/>
    <x v="1"/>
    <x v="1"/>
    <s v="SILOT"/>
    <x v="6"/>
    <b v="0"/>
    <s v="No está en VPC"/>
    <n v="102"/>
    <s v="INTPG_ACC_102_1.67"/>
    <s v="ISEL-1.67"/>
    <n v="1"/>
    <s v="NO TIENE L3OUT"/>
    <n v="228"/>
    <n v="96"/>
  </r>
  <r>
    <n v="122"/>
    <x v="0"/>
    <x v="237"/>
    <s v="eth1/67"/>
    <x v="0"/>
    <x v="0"/>
    <x v="0"/>
    <s v="TRAP"/>
    <x v="6"/>
    <b v="0"/>
    <s v="No está en VPC"/>
    <n v="122"/>
    <s v="INTPG_PC_122_1.66-69"/>
    <s v="ISEL-1.67"/>
    <n v="1"/>
    <s v="NO TIENE L3OUT"/>
    <n v="148"/>
    <n v="96"/>
  </r>
  <r>
    <n v="157"/>
    <x v="0"/>
    <x v="238"/>
    <s v="eth1/67"/>
    <x v="0"/>
    <x v="0"/>
    <x v="0"/>
    <s v="ARIESO_GEOLOCALIZACION"/>
    <x v="6"/>
    <b v="0"/>
    <s v="No está en VPC"/>
    <n v="157"/>
    <s v="INTPG_ACC_157_1.67"/>
    <s v="ISEL-1.67"/>
    <n v="2"/>
    <s v="NO TIENE L3OUT"/>
    <n v="202"/>
    <n v="96"/>
  </r>
  <r>
    <n v="408"/>
    <x v="1"/>
    <x v="239"/>
    <s v="eth1/67"/>
    <x v="0"/>
    <x v="0"/>
    <x v="0"/>
    <s v="ITHRTC61VC1X4"/>
    <x v="6"/>
    <b v="0"/>
    <s v="No está en VPC"/>
    <n v="408"/>
    <s v="INTPG_ACC_408_1.67"/>
    <s v="ISEL-1.67"/>
    <n v="1"/>
    <s v="NO TIENE L3OUT"/>
    <n v="152"/>
    <n v="96"/>
  </r>
  <r>
    <n v="405"/>
    <x v="1"/>
    <x v="240"/>
    <s v="eth1/67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67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67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67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67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67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67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67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67"/>
    <x v="0"/>
    <x v="0"/>
    <x v="0"/>
    <s v="3CONSOLA_M8s_Secundario"/>
    <x v="6"/>
    <b v="0"/>
    <s v="No está en VPC"/>
    <n v="438"/>
    <s v="INTPG_ACC_438_1.67"/>
    <s v="ISEL-1.67"/>
    <n v="1"/>
    <s v="NO TIENE L3OUT"/>
    <n v="170"/>
    <n v="96"/>
  </r>
  <r>
    <n v="406"/>
    <x v="1"/>
    <x v="249"/>
    <s v="eth1/67"/>
    <x v="0"/>
    <x v="0"/>
    <x v="0"/>
    <s v="ITHRTC3NB1"/>
    <x v="6"/>
    <b v="0"/>
    <s v="No está en VPC"/>
    <n v="406"/>
    <s v="INTPG_ACC_406_1.67"/>
    <s v="ISEL-1.67"/>
    <n v="1"/>
    <s v="NO TIENE L3OUT"/>
    <n v="82"/>
    <n v="96"/>
  </r>
  <r>
    <n v="414"/>
    <x v="1"/>
    <x v="250"/>
    <s v="eth1/67"/>
    <x v="0"/>
    <x v="0"/>
    <x v="0"/>
    <s v="ent0"/>
    <x v="6"/>
    <b v="0"/>
    <s v="No está en VPC"/>
    <n v="414"/>
    <s v="INTPG_ACC_414_1.67"/>
    <s v="ISEL-1.67"/>
    <n v="1"/>
    <s v="NO TIENE L3OUT"/>
    <n v="144"/>
    <n v="96"/>
  </r>
  <r>
    <n v="416"/>
    <x v="1"/>
    <x v="251"/>
    <s v="eth1/67"/>
    <x v="0"/>
    <x v="0"/>
    <x v="0"/>
    <s v="B6200B_MGMT_1"/>
    <x v="6"/>
    <b v="0"/>
    <s v="No está en VPC"/>
    <n v="416"/>
    <s v="INTPG_ACC_416_1.67"/>
    <s v="ISEL-1.67"/>
    <n v="1"/>
    <s v="NO TIENE L3OUT"/>
    <n v="110"/>
    <n v="96"/>
  </r>
  <r>
    <n v="418"/>
    <x v="1"/>
    <x v="252"/>
    <s v="eth1/67"/>
    <x v="0"/>
    <x v="0"/>
    <x v="0"/>
    <s v="ITHRTC4BNBU1_ILO"/>
    <x v="6"/>
    <b v="0"/>
    <s v="No está en VPC"/>
    <n v="418"/>
    <s v="INTPG_ACC_418_1.67"/>
    <s v="ISEL-1.67"/>
    <n v="1"/>
    <s v="NO TIENE L3OUT"/>
    <n v="152"/>
    <n v="96"/>
  </r>
  <r>
    <n v="413"/>
    <x v="1"/>
    <x v="253"/>
    <s v="eth1/67"/>
    <x v="0"/>
    <x v="0"/>
    <x v="0"/>
    <s v="IXTSRM2"/>
    <x v="6"/>
    <b v="0"/>
    <s v="No está en VPC"/>
    <n v="413"/>
    <s v="INTPG_ACC_413_1.67"/>
    <s v="ISEL-1.67"/>
    <n v="1"/>
    <s v="NO TIENE L3OUT"/>
    <n v="126"/>
    <n v="96"/>
  </r>
  <r>
    <n v="403"/>
    <x v="1"/>
    <x v="254"/>
    <s v="eth1/67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67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67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67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67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67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67"/>
    <x v="0"/>
    <x v="1"/>
    <x v="1"/>
    <s v="SRSIXT022_CLIENT1"/>
    <x v="6"/>
    <b v="0"/>
    <s v="No está en VPC"/>
    <n v="126"/>
    <s v="INTPG_VPC_126_1.67_173_1.64"/>
    <s v="ISEL-1.67"/>
    <n v="1"/>
    <s v="NO TIENE L3OUT"/>
    <n v="54"/>
    <n v="96"/>
  </r>
  <r>
    <n v="425"/>
    <x v="1"/>
    <x v="261"/>
    <s v="eth1/67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67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67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67"/>
    <x v="1"/>
    <x v="1"/>
    <x v="2"/>
    <s v="HP Proliant DL380p(b)"/>
    <x v="6"/>
    <b v="0"/>
    <s v="No está en VPC"/>
    <n v="419"/>
    <s v="INTPG_ACC_419_1.67"/>
    <s v="ISEL-1.67"/>
    <n v="0"/>
    <s v="NO TIENE L3OUT"/>
    <n v="70"/>
    <n v="96"/>
  </r>
  <r>
    <n v="155"/>
    <x v="0"/>
    <x v="265"/>
    <s v="eth1/67"/>
    <x v="0"/>
    <x v="0"/>
    <x v="0"/>
    <s v="ARIESO_GEOLOCALIZACION"/>
    <x v="6"/>
    <b v="0"/>
    <s v="No está en VPC"/>
    <n v="155"/>
    <s v="INTPG_ACC_155_1.67"/>
    <s v="ISEL-1.67"/>
    <n v="2"/>
    <s v="NO TIENE L3OUT"/>
    <n v="198"/>
    <n v="96"/>
  </r>
  <r>
    <n v="409"/>
    <x v="1"/>
    <x v="266"/>
    <s v="eth1/67"/>
    <x v="0"/>
    <x v="1"/>
    <x v="1"/>
    <s v="INSIGHTCA7"/>
    <x v="6"/>
    <b v="0"/>
    <s v="No está en VPC"/>
    <n v="409"/>
    <s v="INTPG_ACC_409_1.67"/>
    <s v="ISEL-1.67"/>
    <n v="1"/>
    <s v="NO TIENE L3OUT"/>
    <n v="128"/>
    <n v="96"/>
  </r>
  <r>
    <n v="422"/>
    <x v="1"/>
    <x v="267"/>
    <s v="eth1/67"/>
    <x v="0"/>
    <x v="0"/>
    <x v="0"/>
    <s v="DCX_BKP2"/>
    <x v="6"/>
    <b v="0"/>
    <s v="No está en VPC"/>
    <n v="422"/>
    <s v="INTPG_ACC_422_1.67"/>
    <s v="ISEL-1.67"/>
    <n v="1"/>
    <s v="NO TIENE L3OUT"/>
    <n v="182"/>
    <n v="96"/>
  </r>
  <r>
    <n v="436"/>
    <x v="1"/>
    <x v="268"/>
    <s v="eth1/67"/>
    <x v="0"/>
    <x v="0"/>
    <x v="0"/>
    <s v="3CONSOLA_M8s_Primario"/>
    <x v="6"/>
    <b v="0"/>
    <s v="No está en VPC"/>
    <n v="436"/>
    <s v="INTPG_ACC_436_1.67"/>
    <s v="ISEL-1.67"/>
    <n v="1"/>
    <s v="NO TIENE L3OUT"/>
    <n v="172"/>
    <n v="96"/>
  </r>
  <r>
    <n v="410"/>
    <x v="1"/>
    <x v="269"/>
    <s v="eth1/67"/>
    <x v="0"/>
    <x v="0"/>
    <x v="0"/>
    <s v="ITHRTCD1SSWB"/>
    <x v="6"/>
    <b v="0"/>
    <s v="No está en VPC"/>
    <n v="410"/>
    <s v="INTPG_ACC_410_1.67"/>
    <s v="ISEL-1.67"/>
    <n v="1"/>
    <s v="NO TIENE L3OUT"/>
    <n v="178"/>
    <n v="96"/>
  </r>
  <r>
    <n v="161"/>
    <x v="0"/>
    <x v="270"/>
    <s v="eth1/67"/>
    <x v="1"/>
    <x v="1"/>
    <x v="2"/>
    <s v="SERTEC_SGH250HXW1_CLIENT1"/>
    <x v="6"/>
    <b v="0"/>
    <s v="No está en VPC"/>
    <n v="161"/>
    <s v="INTPG_VPC_161_1.67_163_1.32"/>
    <s v="ISEL-1.67"/>
    <n v="0"/>
    <s v="NO TIENE L3OUT"/>
    <n v="102"/>
    <n v="96"/>
  </r>
  <r>
    <n v="411"/>
    <x v="1"/>
    <x v="271"/>
    <s v="eth1/67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67"/>
    <x v="0"/>
    <x v="1"/>
    <x v="1"/>
    <s v="COBROS NAVEGACION"/>
    <x v="6"/>
    <b v="0"/>
    <s v="No está en VPC"/>
    <n v="116"/>
    <s v="INTPG_ACC_116_1.67"/>
    <s v="ISEL-1.67"/>
    <n v="1"/>
    <s v="NO TIENE L3OUT"/>
    <n v="148"/>
    <n v="96"/>
  </r>
  <r>
    <n v="412"/>
    <x v="1"/>
    <x v="273"/>
    <s v="eth1/67"/>
    <x v="0"/>
    <x v="0"/>
    <x v="0"/>
    <s v="TO-ITHFDENBUUSW02-PRINCIPAL"/>
    <x v="6"/>
    <b v="0"/>
    <s v="No está en VPC"/>
    <n v="412"/>
    <s v="INTPG_ACC_412_1.67"/>
    <s v="ISEL-1.67"/>
    <n v="1"/>
    <s v="NO TIENE L3OUT"/>
    <n v="126"/>
    <n v="96"/>
  </r>
  <r>
    <n v="120"/>
    <x v="0"/>
    <x v="274"/>
    <s v="eth1/67"/>
    <x v="1"/>
    <x v="1"/>
    <x v="2"/>
    <s v="N/A"/>
    <x v="6"/>
    <b v="0"/>
    <s v="No está en VPC"/>
    <n v="120"/>
    <s v="INTPG_ACC_120_1.67"/>
    <s v="ISEL-1.67"/>
    <n v="1"/>
    <s v="NO TIENE L3OUT"/>
    <n v="158"/>
    <n v="96"/>
  </r>
  <r>
    <n v="404"/>
    <x v="1"/>
    <x v="275"/>
    <s v="eth1/67"/>
    <x v="0"/>
    <x v="1"/>
    <x v="1"/>
    <s v="uxcompr6"/>
    <x v="6"/>
    <b v="0"/>
    <s v="No está en VPC"/>
    <n v="404"/>
    <s v="INTPG_ACC_404_1.67"/>
    <s v="ISEL-1.67"/>
    <n v="1"/>
    <s v="NO TIENE L3OUT"/>
    <n v="92"/>
    <n v="96"/>
  </r>
  <r>
    <n v="167"/>
    <x v="0"/>
    <x v="276"/>
    <s v="eth1/67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67"/>
    <x v="0"/>
    <x v="0"/>
    <x v="0"/>
    <s v="SSO"/>
    <x v="6"/>
    <b v="0"/>
    <s v="No está en VPC"/>
    <n v="428"/>
    <s v="INTPG_ACC_428_1.67"/>
    <s v="ISEL-1.67"/>
    <n v="1"/>
    <s v="NO TIENE L3OUT"/>
    <n v="102"/>
    <n v="96"/>
  </r>
  <r>
    <n v="105"/>
    <x v="0"/>
    <x v="205"/>
    <s v="eth1/68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68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68"/>
    <x v="1"/>
    <x v="1"/>
    <x v="2"/>
    <s v="CISCO ANA 01 EHEALTH"/>
    <x v="6"/>
    <b v="0"/>
    <s v="No está en VPC"/>
    <n v="104"/>
    <s v="INTPG_ACC_104_1.68"/>
    <s v="ISEL-1.68"/>
    <n v="0"/>
    <s v="NO TIENE L3OUT"/>
    <n v="194"/>
    <n v="96"/>
  </r>
  <r>
    <n v="158"/>
    <x v="0"/>
    <x v="208"/>
    <s v="eth1/68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68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68"/>
    <x v="0"/>
    <x v="1"/>
    <x v="1"/>
    <s v="DESC"/>
    <x v="6"/>
    <b v="0"/>
    <s v="No está en VPC"/>
    <n v="112"/>
    <s v="INTPG_PC_112_1.68-73"/>
    <s v="ISEL-1.68"/>
    <n v="12"/>
    <s v="NO TIENE L3OUT"/>
    <n v="144"/>
    <n v="96"/>
  </r>
  <r>
    <n v="107"/>
    <x v="0"/>
    <x v="213"/>
    <s v="eth1/68"/>
    <x v="0"/>
    <x v="1"/>
    <x v="1"/>
    <s v="NETEZZA EMC "/>
    <x v="6"/>
    <b v="0"/>
    <s v="No está en VPC"/>
    <n v="107"/>
    <s v="INTPG_ACC_107_1.68"/>
    <s v="ISEL-1.68"/>
    <n v="1"/>
    <s v="NO TIENE L3OUT"/>
    <n v="118"/>
    <n v="96"/>
  </r>
  <r>
    <n v="109"/>
    <x v="0"/>
    <x v="214"/>
    <s v="eth1/68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68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68"/>
    <x v="0"/>
    <x v="1"/>
    <x v="1"/>
    <s v="DESC"/>
    <x v="6"/>
    <b v="0"/>
    <s v="No está en VPC"/>
    <n v="114"/>
    <s v="INTPG_PC_114_1.66-71"/>
    <s v="ISEL-1.68"/>
    <n v="12"/>
    <s v="NO TIENE L3OUT"/>
    <n v="144"/>
    <n v="96"/>
  </r>
  <r>
    <n v="124"/>
    <x v="0"/>
    <x v="217"/>
    <s v="eth1/68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68"/>
    <x v="0"/>
    <x v="1"/>
    <x v="1"/>
    <s v="USSD TANGO"/>
    <x v="6"/>
    <b v="0"/>
    <s v="No está en VPC"/>
    <n v="118"/>
    <s v="INTPG_ACC_118_1.68"/>
    <s v="ISEL-1.68"/>
    <n v="1"/>
    <s v="NO TIENE L3OUT"/>
    <n v="180"/>
    <n v="96"/>
  </r>
  <r>
    <n v="159"/>
    <x v="0"/>
    <x v="219"/>
    <s v="eth1/68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68"/>
    <x v="0"/>
    <x v="0"/>
    <x v="0"/>
    <s v="TO-ITHFDEMCFRPMS02"/>
    <x v="6"/>
    <b v="0"/>
    <s v="No está en VPC"/>
    <n v="110"/>
    <s v="INTPG_VPC_110_1.68_111_1.46"/>
    <s v="ISEL-1.68"/>
    <n v="1"/>
    <s v="NO TIENE L3OUT"/>
    <n v="102"/>
    <n v="96"/>
  </r>
  <r>
    <n v="163"/>
    <x v="0"/>
    <x v="223"/>
    <s v="eth1/68"/>
    <x v="0"/>
    <x v="0"/>
    <x v="0"/>
    <s v="IMEI"/>
    <x v="6"/>
    <b v="0"/>
    <s v="No está en VPC"/>
    <n v="163"/>
    <s v="INTPG_ACC_163_1.68"/>
    <s v="ISEL-1.68"/>
    <n v="1"/>
    <s v="NO TIENE L3OUT"/>
    <n v="140"/>
    <n v="96"/>
  </r>
  <r>
    <n v="407"/>
    <x v="1"/>
    <x v="224"/>
    <s v="eth1/68"/>
    <x v="0"/>
    <x v="1"/>
    <x v="1"/>
    <s v="INSIGHTCA7"/>
    <x v="6"/>
    <b v="0"/>
    <s v="No está en VPC"/>
    <n v="407"/>
    <s v="INTPG_ACC_407_1.68"/>
    <s v="ISEL-1.68"/>
    <n v="1"/>
    <s v="NO TIENE L3OUT"/>
    <n v="122"/>
    <n v="96"/>
  </r>
  <r>
    <n v="171"/>
    <x v="0"/>
    <x v="225"/>
    <s v="eth1/68"/>
    <x v="0"/>
    <x v="0"/>
    <x v="0"/>
    <s v="TO-SRSIXT_02_F5"/>
    <x v="6"/>
    <b v="0"/>
    <s v="No está en VPC"/>
    <n v="171"/>
    <s v="INTPG_PC_171_1.68_69"/>
    <s v="ISEL-1.68"/>
    <n v="5"/>
    <s v="NO TIENE L3OUT"/>
    <n v="114"/>
    <n v="96"/>
  </r>
  <r>
    <n v="421"/>
    <x v="1"/>
    <x v="226"/>
    <s v="eth1/68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68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68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68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68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68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68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68"/>
    <x v="0"/>
    <x v="1"/>
    <x v="1"/>
    <m/>
    <x v="6"/>
    <b v="0"/>
    <s v="No está en VPC"/>
    <n v="102"/>
    <s v="NO EXISTE PG"/>
    <s v="NO EXISTE ISEL"/>
    <n v="0"/>
    <s v="NO TIENE L3OUT"/>
    <n v="228"/>
    <n v="96"/>
  </r>
  <r>
    <n v="122"/>
    <x v="0"/>
    <x v="237"/>
    <s v="eth1/68"/>
    <x v="0"/>
    <x v="0"/>
    <x v="0"/>
    <s v="TRAP"/>
    <x v="6"/>
    <b v="0"/>
    <s v="No está en VPC"/>
    <n v="122"/>
    <s v="INTPG_PC_122_1.66-69"/>
    <s v="ISEL-1.68"/>
    <n v="1"/>
    <s v="NO TIENE L3OUT"/>
    <n v="148"/>
    <n v="96"/>
  </r>
  <r>
    <n v="157"/>
    <x v="0"/>
    <x v="238"/>
    <s v="eth1/68"/>
    <x v="0"/>
    <x v="0"/>
    <x v="0"/>
    <s v="ARIESO_GEOLOCALIZACION"/>
    <x v="6"/>
    <b v="0"/>
    <s v="No está en VPC"/>
    <n v="157"/>
    <s v="INTPG_ACC_157_1.68"/>
    <s v="ISEL-1.68"/>
    <n v="2"/>
    <s v="NO TIENE L3OUT"/>
    <n v="202"/>
    <n v="96"/>
  </r>
  <r>
    <n v="408"/>
    <x v="1"/>
    <x v="239"/>
    <s v="eth1/68"/>
    <x v="0"/>
    <x v="0"/>
    <x v="0"/>
    <s v="ITHRTC62VC1X4"/>
    <x v="6"/>
    <b v="0"/>
    <s v="No está en VPC"/>
    <n v="408"/>
    <s v="INTPG_ACC_408_1.68"/>
    <s v="ISEL-1.68"/>
    <n v="1"/>
    <s v="NO TIENE L3OUT"/>
    <n v="152"/>
    <n v="96"/>
  </r>
  <r>
    <n v="405"/>
    <x v="1"/>
    <x v="240"/>
    <s v="eth1/68"/>
    <x v="0"/>
    <x v="0"/>
    <x v="0"/>
    <s v="ARIESO_LTE_RLR4ARI11"/>
    <x v="6"/>
    <b v="0"/>
    <s v="No está en VPC"/>
    <n v="405"/>
    <s v="INTPG_ACC_405_1.68"/>
    <s v="ISEL-1.68"/>
    <n v="1"/>
    <s v="NO TIENE L3OUT"/>
    <n v="138"/>
    <n v="96"/>
  </r>
  <r>
    <n v="169"/>
    <x v="0"/>
    <x v="241"/>
    <s v="eth1/68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68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68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68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68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68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68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68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68"/>
    <x v="0"/>
    <x v="0"/>
    <x v="0"/>
    <s v="ITHRTC31OA1"/>
    <x v="6"/>
    <b v="0"/>
    <s v="No está en VPC"/>
    <n v="406"/>
    <s v="INTPG_ACC_406_1.68"/>
    <s v="ISEL-1.68"/>
    <n v="1"/>
    <s v="NO TIENE L3OUT"/>
    <n v="82"/>
    <n v="96"/>
  </r>
  <r>
    <n v="414"/>
    <x v="1"/>
    <x v="250"/>
    <s v="eth1/68"/>
    <x v="0"/>
    <x v="0"/>
    <x v="0"/>
    <s v="ent0"/>
    <x v="6"/>
    <b v="0"/>
    <s v="No está en VPC"/>
    <n v="414"/>
    <s v="INTPG_ACC_414_1.68"/>
    <s v="ISEL-1.68"/>
    <n v="1"/>
    <s v="NO TIENE L3OUT"/>
    <n v="144"/>
    <n v="96"/>
  </r>
  <r>
    <n v="416"/>
    <x v="1"/>
    <x v="251"/>
    <s v="eth1/68"/>
    <x v="0"/>
    <x v="0"/>
    <x v="0"/>
    <s v="B6200C_MGMT_1"/>
    <x v="6"/>
    <b v="0"/>
    <s v="No está en VPC"/>
    <n v="416"/>
    <s v="INTPG_ACC_416_1.68"/>
    <s v="ISEL-1.68"/>
    <n v="1"/>
    <s v="NO TIENE L3OUT"/>
    <n v="110"/>
    <n v="96"/>
  </r>
  <r>
    <n v="418"/>
    <x v="1"/>
    <x v="252"/>
    <s v="eth1/68"/>
    <x v="0"/>
    <x v="0"/>
    <x v="0"/>
    <s v="ITHRTC4CCR4_SL0"/>
    <x v="6"/>
    <b v="0"/>
    <s v="No está en VPC"/>
    <n v="418"/>
    <s v="INTPG_ACC_418_1.68"/>
    <s v="ISEL-1.68"/>
    <n v="1"/>
    <s v="NO TIENE L3OUT"/>
    <n v="152"/>
    <n v="96"/>
  </r>
  <r>
    <n v="413"/>
    <x v="1"/>
    <x v="253"/>
    <s v="eth1/68"/>
    <x v="0"/>
    <x v="0"/>
    <x v="0"/>
    <s v="IXTSRM2_VM1"/>
    <x v="6"/>
    <b v="0"/>
    <s v="No está en VPC"/>
    <n v="413"/>
    <s v="INTPG_ACC_413_1.68"/>
    <s v="ISEL-1.68"/>
    <n v="1"/>
    <s v="NO TIENE L3OUT"/>
    <n v="126"/>
    <n v="96"/>
  </r>
  <r>
    <n v="403"/>
    <x v="1"/>
    <x v="254"/>
    <s v="eth1/68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68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68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68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68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68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68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68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68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68"/>
    <x v="0"/>
    <x v="0"/>
    <x v="0"/>
    <s v="RLPNOVB02"/>
    <x v="6"/>
    <b v="0"/>
    <s v="No está en VPC"/>
    <n v="430"/>
    <s v="INTPG_ACC_430_1.68"/>
    <s v="ISEL-1.68"/>
    <n v="1"/>
    <s v="NO TIENE L3OUT"/>
    <n v="86"/>
    <n v="96"/>
  </r>
  <r>
    <n v="419"/>
    <x v="1"/>
    <x v="264"/>
    <s v="eth1/68"/>
    <x v="0"/>
    <x v="0"/>
    <x v="0"/>
    <s v="HP Proliant DL380p(b)"/>
    <x v="6"/>
    <b v="0"/>
    <s v="No está en VPC"/>
    <n v="419"/>
    <s v="INTPG_ACC_419_1.68"/>
    <s v="ISEL-1.68"/>
    <n v="1"/>
    <s v="NO TIENE L3OUT"/>
    <n v="70"/>
    <n v="96"/>
  </r>
  <r>
    <n v="155"/>
    <x v="0"/>
    <x v="265"/>
    <s v="eth1/68"/>
    <x v="0"/>
    <x v="0"/>
    <x v="0"/>
    <s v="ARIESO_GEOLOCALIZACION"/>
    <x v="6"/>
    <b v="0"/>
    <s v="No está en VPC"/>
    <n v="155"/>
    <s v="INTPG_ACC_155_1.68"/>
    <s v="ISEL-1.68"/>
    <n v="2"/>
    <s v="NO TIENE L3OUT"/>
    <n v="198"/>
    <n v="96"/>
  </r>
  <r>
    <n v="409"/>
    <x v="1"/>
    <x v="266"/>
    <s v="eth1/68"/>
    <x v="1"/>
    <x v="1"/>
    <x v="2"/>
    <s v="INSIGHTCA8"/>
    <x v="6"/>
    <b v="0"/>
    <s v="No está en VPC"/>
    <n v="409"/>
    <s v="INTPG_ACC_409_1.68"/>
    <s v="ISEL-1.68"/>
    <n v="0"/>
    <s v="NO TIENE L3OUT"/>
    <n v="128"/>
    <n v="96"/>
  </r>
  <r>
    <n v="422"/>
    <x v="1"/>
    <x v="267"/>
    <s v="eth1/68"/>
    <x v="0"/>
    <x v="0"/>
    <x v="0"/>
    <s v="sfmevp01"/>
    <x v="6"/>
    <b v="0"/>
    <s v="No está en VPC"/>
    <n v="422"/>
    <s v="INTPG_ACC_422_1.68"/>
    <s v="ISEL-1.68"/>
    <n v="1"/>
    <s v="NO TIENE L3OUT"/>
    <n v="182"/>
    <n v="96"/>
  </r>
  <r>
    <n v="436"/>
    <x v="1"/>
    <x v="268"/>
    <s v="eth1/68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68"/>
    <x v="0"/>
    <x v="0"/>
    <x v="0"/>
    <s v="ITHRTC31VC2-4"/>
    <x v="6"/>
    <b v="0"/>
    <s v="No está en VPC"/>
    <n v="410"/>
    <s v="INTPG_ACC_410_1.68"/>
    <s v="ISEL-1.68"/>
    <n v="1"/>
    <s v="NO TIENE L3OUT"/>
    <n v="178"/>
    <n v="96"/>
  </r>
  <r>
    <n v="161"/>
    <x v="0"/>
    <x v="270"/>
    <s v="eth1/68"/>
    <x v="0"/>
    <x v="1"/>
    <x v="5"/>
    <s v="SERTEC_SGH250HXW2_CLIENT1"/>
    <x v="6"/>
    <b v="0"/>
    <s v="No está en VPC"/>
    <n v="161"/>
    <s v="INTPG_VPC_161_1.68_163_1.95"/>
    <s v="ISEL-1.68"/>
    <n v="1"/>
    <s v="NO TIENE L3OUT"/>
    <n v="102"/>
    <n v="96"/>
  </r>
  <r>
    <n v="411"/>
    <x v="1"/>
    <x v="271"/>
    <s v="eth1/68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68"/>
    <x v="0"/>
    <x v="1"/>
    <x v="1"/>
    <s v="COBROS NAVEGACION"/>
    <x v="6"/>
    <b v="0"/>
    <s v="No está en VPC"/>
    <n v="116"/>
    <s v="INTPG_ACC_116_1.68"/>
    <s v="ISEL-1.68"/>
    <n v="1"/>
    <s v="NO TIENE L3OUT"/>
    <n v="148"/>
    <n v="96"/>
  </r>
  <r>
    <n v="412"/>
    <x v="1"/>
    <x v="273"/>
    <s v="eth1/68"/>
    <x v="0"/>
    <x v="0"/>
    <x v="0"/>
    <s v="TO-ITHFDENBUUSW01-PRINCIPAL"/>
    <x v="6"/>
    <b v="0"/>
    <s v="No está en VPC"/>
    <n v="412"/>
    <s v="INTPG_ACC_412_1.68"/>
    <s v="ISEL-1.68"/>
    <n v="1"/>
    <s v="NO TIENE L3OUT"/>
    <n v="126"/>
    <n v="96"/>
  </r>
  <r>
    <n v="120"/>
    <x v="0"/>
    <x v="274"/>
    <s v="eth1/68"/>
    <x v="1"/>
    <x v="1"/>
    <x v="2"/>
    <s v="N/A"/>
    <x v="6"/>
    <b v="0"/>
    <s v="No está en VPC"/>
    <n v="120"/>
    <s v="INTPG_ACC_120_1.68"/>
    <s v="ISEL-1.68"/>
    <n v="1"/>
    <s v="NO TIENE L3OUT"/>
    <n v="158"/>
    <n v="96"/>
  </r>
  <r>
    <n v="404"/>
    <x v="1"/>
    <x v="275"/>
    <s v="eth1/68"/>
    <x v="0"/>
    <x v="1"/>
    <x v="1"/>
    <s v="uxcompr_new"/>
    <x v="6"/>
    <b v="0"/>
    <s v="No está en VPC"/>
    <n v="404"/>
    <s v="INTPG_ACC_404_1.68"/>
    <s v="ISEL-1.68"/>
    <n v="1"/>
    <s v="NO TIENE L3OUT"/>
    <n v="92"/>
    <n v="96"/>
  </r>
  <r>
    <n v="167"/>
    <x v="0"/>
    <x v="276"/>
    <s v="eth1/68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68"/>
    <x v="0"/>
    <x v="0"/>
    <x v="0"/>
    <s v="SSO"/>
    <x v="6"/>
    <b v="0"/>
    <s v="No está en VPC"/>
    <n v="428"/>
    <s v="INTPG_ACC_428_1.68"/>
    <s v="ISEL-1.68"/>
    <n v="1"/>
    <s v="NO TIENE L3OUT"/>
    <n v="102"/>
    <n v="96"/>
  </r>
  <r>
    <n v="105"/>
    <x v="0"/>
    <x v="205"/>
    <s v="eth1/69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69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69"/>
    <x v="1"/>
    <x v="1"/>
    <x v="2"/>
    <s v="CISCO ANA 01 EHEALTH"/>
    <x v="6"/>
    <b v="0"/>
    <s v="No está en VPC"/>
    <n v="104"/>
    <s v="INTPG_ACC_104_1.69"/>
    <s v="ISEL-1.69"/>
    <n v="0"/>
    <s v="NO TIENE L3OUT"/>
    <n v="194"/>
    <n v="96"/>
  </r>
  <r>
    <n v="158"/>
    <x v="0"/>
    <x v="208"/>
    <s v="eth1/69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69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69"/>
    <x v="0"/>
    <x v="1"/>
    <x v="1"/>
    <s v="DESC"/>
    <x v="6"/>
    <b v="0"/>
    <s v="No está en VPC"/>
    <n v="112"/>
    <s v="INTPG_PC_112_1.68-73"/>
    <s v="ISEL-1.69"/>
    <n v="12"/>
    <s v="NO TIENE L3OUT"/>
    <n v="144"/>
    <n v="96"/>
  </r>
  <r>
    <n v="107"/>
    <x v="0"/>
    <x v="213"/>
    <s v="eth1/69"/>
    <x v="0"/>
    <x v="0"/>
    <x v="0"/>
    <s v="PMAX8_01A_S2"/>
    <x v="6"/>
    <b v="0"/>
    <s v="No está en VPC"/>
    <n v="107"/>
    <s v="INTPG_ACC_107_1.69"/>
    <s v="ISEL-1.69"/>
    <n v="1"/>
    <s v="NO TIENE L3OUT"/>
    <n v="118"/>
    <n v="96"/>
  </r>
  <r>
    <n v="109"/>
    <x v="0"/>
    <x v="214"/>
    <s v="eth1/69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69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69"/>
    <x v="0"/>
    <x v="1"/>
    <x v="1"/>
    <s v="DESC"/>
    <x v="6"/>
    <b v="0"/>
    <s v="No está en VPC"/>
    <n v="114"/>
    <s v="INTPG_PC_114_1.66-71"/>
    <s v="ISEL-1.69"/>
    <n v="12"/>
    <s v="NO TIENE L3OUT"/>
    <n v="144"/>
    <n v="96"/>
  </r>
  <r>
    <n v="124"/>
    <x v="0"/>
    <x v="217"/>
    <s v="eth1/69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69"/>
    <x v="0"/>
    <x v="1"/>
    <x v="1"/>
    <s v="USSD TANGO"/>
    <x v="6"/>
    <b v="0"/>
    <s v="No está en VPC"/>
    <n v="118"/>
    <s v="INTPG_ACC_118_1.69"/>
    <s v="ISEL-1.69"/>
    <n v="1"/>
    <s v="NO TIENE L3OUT"/>
    <n v="180"/>
    <n v="96"/>
  </r>
  <r>
    <n v="159"/>
    <x v="0"/>
    <x v="219"/>
    <s v="eth1/69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69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69"/>
    <x v="0"/>
    <x v="0"/>
    <x v="0"/>
    <s v="Registro Nacional de Celulares"/>
    <x v="6"/>
    <b v="0"/>
    <s v="No está en VPC"/>
    <n v="163"/>
    <s v="INTPG_ACC_163_1.69"/>
    <s v="ISEL-1.69"/>
    <n v="1"/>
    <s v="NO TIENE L3OUT"/>
    <n v="140"/>
    <n v="96"/>
  </r>
  <r>
    <n v="407"/>
    <x v="1"/>
    <x v="224"/>
    <s v="eth1/69"/>
    <x v="0"/>
    <x v="0"/>
    <x v="0"/>
    <s v="INSIGHTCA8"/>
    <x v="6"/>
    <b v="0"/>
    <s v="No está en VPC"/>
    <n v="407"/>
    <s v="INTPG_ACC_407_1.69"/>
    <s v="ISEL-1.69"/>
    <n v="1"/>
    <s v="NO TIENE L3OUT"/>
    <n v="122"/>
    <n v="96"/>
  </r>
  <r>
    <n v="171"/>
    <x v="0"/>
    <x v="225"/>
    <s v="eth1/69"/>
    <x v="0"/>
    <x v="0"/>
    <x v="0"/>
    <s v="TO-SRSIXT_02_F5"/>
    <x v="6"/>
    <b v="0"/>
    <s v="No está en VPC"/>
    <n v="171"/>
    <s v="INTPG_PC_171_1.68_69"/>
    <s v="ISEL-1.69"/>
    <n v="5"/>
    <s v="NO TIENE L3OUT"/>
    <n v="114"/>
    <n v="96"/>
  </r>
  <r>
    <n v="421"/>
    <x v="1"/>
    <x v="226"/>
    <s v="eth1/69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69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69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69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69"/>
    <x v="0"/>
    <x v="0"/>
    <x v="0"/>
    <s v="TO-ITHNM1-PRINCIPAL"/>
    <x v="6"/>
    <b v="0"/>
    <s v="No está en VPC"/>
    <n v="420"/>
    <s v="INTPG_ACC_420_1.69"/>
    <s v="ISEL-1.69"/>
    <n v="1"/>
    <s v="NO TIENE L3OUT"/>
    <n v="158"/>
    <n v="96"/>
  </r>
  <r>
    <n v="423"/>
    <x v="1"/>
    <x v="231"/>
    <s v="eth1/69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69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69"/>
    <x v="0"/>
    <x v="1"/>
    <x v="1"/>
    <m/>
    <x v="6"/>
    <b v="0"/>
    <s v="No está en VPC"/>
    <n v="102"/>
    <s v="NO EXISTE PG"/>
    <s v="NO EXISTE ISEL"/>
    <n v="0"/>
    <s v="NO TIENE L3OUT"/>
    <n v="228"/>
    <n v="96"/>
  </r>
  <r>
    <n v="122"/>
    <x v="0"/>
    <x v="237"/>
    <s v="eth1/69"/>
    <x v="0"/>
    <x v="0"/>
    <x v="0"/>
    <s v="TRAP"/>
    <x v="6"/>
    <b v="0"/>
    <s v="No está en VPC"/>
    <n v="122"/>
    <s v="INTPG_PC_122_1.66-69"/>
    <s v="ISEL-1.69"/>
    <n v="1"/>
    <s v="NO TIENE L3OUT"/>
    <n v="148"/>
    <n v="96"/>
  </r>
  <r>
    <n v="157"/>
    <x v="0"/>
    <x v="238"/>
    <s v="eth1/69"/>
    <x v="0"/>
    <x v="0"/>
    <x v="0"/>
    <s v="ARIESO_GEOLOCALIZACION"/>
    <x v="6"/>
    <b v="0"/>
    <s v="No está en VPC"/>
    <n v="157"/>
    <s v="INTPG_ACC_157_1.69"/>
    <s v="ISEL-1.69"/>
    <n v="2"/>
    <s v="NO TIENE L3OUT"/>
    <n v="202"/>
    <n v="96"/>
  </r>
  <r>
    <n v="408"/>
    <x v="1"/>
    <x v="239"/>
    <s v="eth1/69"/>
    <x v="0"/>
    <x v="0"/>
    <x v="0"/>
    <s v="ITHRTC6NB2"/>
    <x v="6"/>
    <b v="0"/>
    <s v="No está en VPC"/>
    <n v="408"/>
    <s v="INTPG_ACC_408_1.69"/>
    <s v="ISEL-1.69"/>
    <n v="1"/>
    <s v="NO TIENE L3OUT"/>
    <n v="152"/>
    <n v="96"/>
  </r>
  <r>
    <n v="405"/>
    <x v="1"/>
    <x v="240"/>
    <s v="eth1/69"/>
    <x v="0"/>
    <x v="1"/>
    <x v="1"/>
    <s v="XL5 RLR5ARI11 iLO"/>
    <x v="6"/>
    <b v="0"/>
    <s v="No está en VPC"/>
    <n v="405"/>
    <s v="INTPG_ACC_405_1.69"/>
    <s v="ISEL-1.69"/>
    <n v="1"/>
    <s v="NO TIENE L3OUT"/>
    <n v="138"/>
    <n v="96"/>
  </r>
  <r>
    <n v="169"/>
    <x v="0"/>
    <x v="241"/>
    <s v="eth1/69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69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69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69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69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69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69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69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69"/>
    <x v="0"/>
    <x v="0"/>
    <x v="0"/>
    <s v="ITHRTC32OA1"/>
    <x v="6"/>
    <b v="0"/>
    <s v="No está en VPC"/>
    <n v="406"/>
    <s v="INTPG_ACC_406_1.69"/>
    <s v="ISEL-1.69"/>
    <n v="1"/>
    <s v="NO TIENE L3OUT"/>
    <n v="82"/>
    <n v="96"/>
  </r>
  <r>
    <n v="414"/>
    <x v="1"/>
    <x v="250"/>
    <s v="eth1/69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69"/>
    <x v="0"/>
    <x v="0"/>
    <x v="0"/>
    <s v="B6200D_MGMT_1"/>
    <x v="6"/>
    <b v="0"/>
    <s v="No está en VPC"/>
    <n v="416"/>
    <s v="INTPG_ACC_416_1.69"/>
    <s v="ISEL-1.69"/>
    <n v="1"/>
    <s v="NO TIENE L3OUT"/>
    <n v="110"/>
    <n v="96"/>
  </r>
  <r>
    <n v="418"/>
    <x v="1"/>
    <x v="252"/>
    <s v="eth1/69"/>
    <x v="0"/>
    <x v="0"/>
    <x v="0"/>
    <s v="ITHRTC4CCR5_SL2"/>
    <x v="6"/>
    <b v="0"/>
    <s v="No está en VPC"/>
    <n v="418"/>
    <s v="INTPG_ACC_418_1.69"/>
    <s v="ISEL-1.69"/>
    <n v="1"/>
    <s v="NO TIENE L3OUT"/>
    <n v="152"/>
    <n v="96"/>
  </r>
  <r>
    <n v="413"/>
    <x v="1"/>
    <x v="253"/>
    <s v="eth1/69"/>
    <x v="0"/>
    <x v="0"/>
    <x v="0"/>
    <s v="IXTSRM2_VM2"/>
    <x v="6"/>
    <b v="0"/>
    <s v="No está en VPC"/>
    <n v="413"/>
    <s v="INTPG_ACC_413_1.69"/>
    <s v="ISEL-1.69"/>
    <n v="1"/>
    <s v="NO TIENE L3OUT"/>
    <n v="126"/>
    <n v="96"/>
  </r>
  <r>
    <n v="403"/>
    <x v="1"/>
    <x v="254"/>
    <s v="eth1/69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69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69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69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69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69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69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69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69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69"/>
    <x v="0"/>
    <x v="0"/>
    <x v="0"/>
    <s v="RLPNOVB01"/>
    <x v="6"/>
    <b v="0"/>
    <s v="No está en VPC"/>
    <n v="430"/>
    <s v="INTPG_ACC_430_1.69"/>
    <s v="ISEL-1.69"/>
    <n v="1"/>
    <s v="NO TIENE L3OUT"/>
    <n v="86"/>
    <n v="96"/>
  </r>
  <r>
    <n v="419"/>
    <x v="1"/>
    <x v="264"/>
    <s v="eth1/69"/>
    <x v="0"/>
    <x v="0"/>
    <x v="0"/>
    <s v="HP Proliant DL380p(b)"/>
    <x v="6"/>
    <b v="0"/>
    <s v="No está en VPC"/>
    <n v="419"/>
    <s v="INTPG_ACC_419_1.69"/>
    <s v="ISEL-1.69"/>
    <n v="1"/>
    <s v="NO TIENE L3OUT"/>
    <n v="70"/>
    <n v="96"/>
  </r>
  <r>
    <n v="155"/>
    <x v="0"/>
    <x v="265"/>
    <s v="eth1/69"/>
    <x v="0"/>
    <x v="0"/>
    <x v="0"/>
    <s v="ARIESO_GEOLOCALIZACION"/>
    <x v="6"/>
    <b v="0"/>
    <s v="No está en VPC"/>
    <n v="155"/>
    <s v="INTPG_ACC_155_1.69"/>
    <s v="ISEL-1.69"/>
    <n v="2"/>
    <s v="NO TIENE L3OUT"/>
    <n v="198"/>
    <n v="96"/>
  </r>
  <r>
    <n v="409"/>
    <x v="1"/>
    <x v="266"/>
    <s v="eth1/69"/>
    <x v="0"/>
    <x v="0"/>
    <x v="0"/>
    <s v="INSIGHTCA7-ilom"/>
    <x v="6"/>
    <b v="0"/>
    <s v="No está en VPC"/>
    <n v="409"/>
    <s v="INTPG_ACC_409_1.69"/>
    <s v="ISEL-1.69"/>
    <n v="1"/>
    <s v="NO TIENE L3OUT"/>
    <n v="128"/>
    <n v="96"/>
  </r>
  <r>
    <n v="422"/>
    <x v="1"/>
    <x v="267"/>
    <s v="eth1/69"/>
    <x v="0"/>
    <x v="0"/>
    <x v="0"/>
    <s v="sfmevp02"/>
    <x v="6"/>
    <b v="0"/>
    <s v="No está en VPC"/>
    <n v="422"/>
    <s v="INTPG_ACC_422_1.69"/>
    <s v="ISEL-1.69"/>
    <n v="1"/>
    <s v="NO TIENE L3OUT"/>
    <n v="182"/>
    <n v="96"/>
  </r>
  <r>
    <n v="436"/>
    <x v="1"/>
    <x v="268"/>
    <s v="eth1/69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69"/>
    <x v="0"/>
    <x v="0"/>
    <x v="0"/>
    <s v="ITHRTC32VC2-4"/>
    <x v="6"/>
    <b v="0"/>
    <s v="No está en VPC"/>
    <n v="410"/>
    <s v="INTPG_ACC_410_1.69"/>
    <s v="ISEL-1.69"/>
    <n v="1"/>
    <s v="NO TIENE L3OUT"/>
    <n v="178"/>
    <n v="96"/>
  </r>
  <r>
    <n v="161"/>
    <x v="0"/>
    <x v="270"/>
    <s v="eth1/69"/>
    <x v="0"/>
    <x v="1"/>
    <x v="1"/>
    <s v="SERTEC_SGH250HXW3_CLIENT1"/>
    <x v="6"/>
    <b v="0"/>
    <s v="No está en VPC"/>
    <n v="161"/>
    <s v="INTPG_VPC_161_1.69_163_1.96"/>
    <s v="ISEL-1.69"/>
    <n v="1"/>
    <s v="NO TIENE L3OUT"/>
    <n v="102"/>
    <n v="96"/>
  </r>
  <r>
    <n v="411"/>
    <x v="1"/>
    <x v="271"/>
    <s v="eth1/69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69"/>
    <x v="0"/>
    <x v="1"/>
    <x v="1"/>
    <s v="COBROS NAVEGACION"/>
    <x v="6"/>
    <b v="0"/>
    <s v="No está en VPC"/>
    <n v="116"/>
    <s v="INTPG_ACC_116_1.69"/>
    <s v="ISEL-1.69"/>
    <n v="1"/>
    <s v="NO TIENE L3OUT"/>
    <n v="148"/>
    <n v="96"/>
  </r>
  <r>
    <n v="412"/>
    <x v="1"/>
    <x v="273"/>
    <s v="eth1/69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69"/>
    <x v="1"/>
    <x v="1"/>
    <x v="2"/>
    <s v="N/A"/>
    <x v="6"/>
    <b v="0"/>
    <s v="No está en VPC"/>
    <n v="120"/>
    <s v="INTPG_ACC_120_1.69"/>
    <s v="ISEL-1.69"/>
    <n v="1"/>
    <s v="NO TIENE L3OUT"/>
    <n v="158"/>
    <n v="96"/>
  </r>
  <r>
    <n v="404"/>
    <x v="1"/>
    <x v="275"/>
    <s v="eth1/69"/>
    <x v="0"/>
    <x v="0"/>
    <x v="0"/>
    <s v="ITHRTC12VC1X4"/>
    <x v="6"/>
    <b v="0"/>
    <s v="No está en VPC"/>
    <n v="404"/>
    <s v="INTPG_ACC_404_1.69"/>
    <s v="ISEL-1.69"/>
    <n v="1"/>
    <s v="NO TIENE L3OUT"/>
    <n v="92"/>
    <n v="96"/>
  </r>
  <r>
    <n v="167"/>
    <x v="0"/>
    <x v="276"/>
    <s v="eth1/69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69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128"/>
    <x v="0"/>
    <x v="0"/>
    <s v="eth1/7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7"/>
    <x v="0"/>
    <x v="0"/>
    <x v="0"/>
    <m/>
    <x v="1"/>
    <b v="0"/>
    <s v="No está en VPC"/>
    <n v="123"/>
    <s v="INTPG_ACC_123_1.7"/>
    <s v="ISEL-1.7"/>
    <n v="1"/>
    <s v="NO TIENE L3OUT"/>
    <n v="20"/>
    <n v="54"/>
  </r>
  <r>
    <n v="152"/>
    <x v="0"/>
    <x v="2"/>
    <s v="eth1/7"/>
    <x v="0"/>
    <x v="0"/>
    <x v="0"/>
    <s v="DASHBOARD_GESTION"/>
    <x v="1"/>
    <b v="0"/>
    <s v="No está en VPC"/>
    <n v="152"/>
    <s v="INTPG_ACC_152_1.7"/>
    <s v="ISEL-1.7"/>
    <n v="1"/>
    <s v="NO TIENE L3OUT"/>
    <n v="38"/>
    <n v="54"/>
  </r>
  <r>
    <n v="101"/>
    <x v="0"/>
    <x v="3"/>
    <s v="eth1/7"/>
    <x v="0"/>
    <x v="1"/>
    <x v="1"/>
    <s v="DESC"/>
    <x v="0"/>
    <b v="0"/>
    <s v="No está en VPC"/>
    <n v="101"/>
    <s v="INTPG_PC_101_1.7_8"/>
    <s v="ISEL-1.7"/>
    <n v="18"/>
    <s v="NO TIENE L3OUT"/>
    <n v="114"/>
    <n v="54"/>
  </r>
  <r>
    <n v="160"/>
    <x v="0"/>
    <x v="4"/>
    <s v="eth1/7"/>
    <x v="0"/>
    <x v="1"/>
    <x v="1"/>
    <s v="TRAP"/>
    <x v="1"/>
    <b v="0"/>
    <s v="No está en VPC"/>
    <n v="160"/>
    <s v="INTPG_PC_160_1.3-8"/>
    <s v="ISEL-1.7"/>
    <n v="12"/>
    <s v="NO TIENE L3OUT"/>
    <n v="68"/>
    <n v="54"/>
  </r>
  <r>
    <n v="121"/>
    <x v="0"/>
    <x v="5"/>
    <s v="eth1/7"/>
    <x v="0"/>
    <x v="0"/>
    <x v="0"/>
    <s v="TO-ITHERIAPRK1_PDU_01"/>
    <x v="1"/>
    <b v="0"/>
    <s v="No está en VPC"/>
    <n v="121"/>
    <s v="INTPG_ACC_121_1.7"/>
    <s v="ISEL-1.7"/>
    <n v="1"/>
    <s v="NO TIENE L3OUT"/>
    <n v="14"/>
    <n v="54"/>
  </r>
  <r>
    <n v="129"/>
    <x v="0"/>
    <x v="6"/>
    <s v="eth1/7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7"/>
    <x v="0"/>
    <x v="0"/>
    <x v="0"/>
    <s v="TO-ITHFDESPBORBD01"/>
    <x v="0"/>
    <b v="0"/>
    <s v="No está en VPC"/>
    <n v="401"/>
    <s v="INTPG_VPC_401_1.7_402_1.7"/>
    <s v="ISEL-1.7"/>
    <n v="1"/>
    <s v="NO TIENE L3OUT"/>
    <n v="40"/>
    <n v="54"/>
  </r>
  <r>
    <n v="402"/>
    <x v="1"/>
    <x v="8"/>
    <s v="eth1/7"/>
    <x v="0"/>
    <x v="0"/>
    <x v="0"/>
    <s v="TO-ITHFDESPBORBD01"/>
    <x v="0"/>
    <b v="0"/>
    <s v="No está en VPC"/>
    <n v="402"/>
    <s v="INTPG_VPC_401_1.7_402_1.7"/>
    <s v="ISEL-1.7"/>
    <n v="1"/>
    <s v="NO TIENE L3OUT"/>
    <n v="36"/>
    <n v="54"/>
  </r>
  <r>
    <n v="447"/>
    <x v="1"/>
    <x v="9"/>
    <s v="eth1/7"/>
    <x v="0"/>
    <x v="2"/>
    <x v="9"/>
    <m/>
    <x v="2"/>
    <b v="0"/>
    <s v="No está en VPC"/>
    <n v="447"/>
    <s v="INTPG_ACC_BRK_447_1.7"/>
    <s v="ISEL-1.7"/>
    <n v="0"/>
    <s v="NO TIENE L3OUT"/>
    <n v="16"/>
    <n v="42"/>
  </r>
  <r>
    <n v="445"/>
    <x v="1"/>
    <x v="10"/>
    <s v="eth1/7"/>
    <x v="0"/>
    <x v="2"/>
    <x v="9"/>
    <m/>
    <x v="2"/>
    <b v="0"/>
    <s v="No está en VPC"/>
    <n v="445"/>
    <s v="INTPG_ACC_BRK_445_1.7"/>
    <s v="ISEL-1.7"/>
    <n v="0"/>
    <s v="NO TIENE L3OUT"/>
    <n v="16"/>
    <n v="42"/>
  </r>
  <r>
    <n v="130"/>
    <x v="0"/>
    <x v="11"/>
    <s v="eth1/7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7"/>
    <x v="0"/>
    <x v="1"/>
    <x v="1"/>
    <s v="DESC"/>
    <x v="0"/>
    <b v="0"/>
    <s v="No está en VPC"/>
    <n v="150"/>
    <s v="INTPG_PC_150_1.7_8"/>
    <s v="ISEL-1.7"/>
    <n v="18"/>
    <s v="NO TIENE L3OUT"/>
    <n v="118"/>
    <n v="54"/>
  </r>
  <r>
    <n v="131"/>
    <x v="0"/>
    <x v="13"/>
    <s v="eth1/7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7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7"/>
    <x v="0"/>
    <x v="0"/>
    <x v="0"/>
    <s v="TO-ITHFHWCCEXEN02-CCEX LAG 02_OCS_Transforma"/>
    <x v="2"/>
    <b v="0"/>
    <s v="No está en VPC"/>
    <n v="758"/>
    <s v="INTPG_VPC_758_1.7_759_1.7"/>
    <s v="ISEL-1.7"/>
    <n v="49"/>
    <s v="NO TIENE L3OUT"/>
    <n v="0"/>
    <n v="42"/>
  </r>
  <r>
    <n v="759"/>
    <x v="2"/>
    <x v="16"/>
    <s v="eth1/7"/>
    <x v="0"/>
    <x v="0"/>
    <x v="0"/>
    <s v="TO-ITHFHWCCEXEN02-CCEX LAG 02_OCS_Transforma"/>
    <x v="2"/>
    <b v="0"/>
    <s v="No está en VPC"/>
    <n v="759"/>
    <s v="INTPG_VPC_758_1.7_759_1.7"/>
    <s v="ISEL-1.7"/>
    <n v="49"/>
    <s v="NO TIENE L3OUT"/>
    <n v="0"/>
    <n v="42"/>
  </r>
  <r>
    <n v="302"/>
    <x v="0"/>
    <x v="17"/>
    <s v="eth1/7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7"/>
    <x v="0"/>
    <x v="0"/>
    <x v="0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7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7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7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7"/>
    <x v="0"/>
    <x v="0"/>
    <x v="0"/>
    <s v="DESC"/>
    <x v="0"/>
    <b v="0"/>
    <s v="No está en VPC"/>
    <n v="727"/>
    <s v="INTPG_PC_727_1.7-8"/>
    <s v="ISEL-1.7"/>
    <n v="0"/>
    <s v="L3OUT-HCS-MGMT-TELCEL-IPCORP"/>
    <n v="0"/>
    <n v="54"/>
  </r>
  <r>
    <n v="724"/>
    <x v="2"/>
    <x v="23"/>
    <s v="eth1/7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7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7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7"/>
    <x v="0"/>
    <x v="0"/>
    <x v="0"/>
    <s v="Portal_Cautivo_f5gwt01"/>
    <x v="0"/>
    <b v="0"/>
    <s v="No está en VPC"/>
    <n v="431"/>
    <s v="INTPG_VPC_431_1.7_448_1.7"/>
    <s v="ISEL-1.7"/>
    <n v="2"/>
    <s v="NO TIENE L3OUT"/>
    <n v="46"/>
    <n v="54"/>
  </r>
  <r>
    <n v="433"/>
    <x v="1"/>
    <x v="27"/>
    <s v="eth1/7"/>
    <x v="0"/>
    <x v="0"/>
    <x v="0"/>
    <m/>
    <x v="1"/>
    <b v="0"/>
    <s v="No está en VPC"/>
    <n v="433"/>
    <s v="INTPG_ACC_433_1.7"/>
    <s v="ISEL-1.7"/>
    <n v="1"/>
    <s v="NO TIENE L3OUT"/>
    <n v="42"/>
    <n v="54"/>
  </r>
  <r>
    <n v="429"/>
    <x v="1"/>
    <x v="28"/>
    <s v="eth1/7"/>
    <x v="0"/>
    <x v="0"/>
    <x v="0"/>
    <s v="FASE_1.5_REDKNEE_produccion_client_LAG"/>
    <x v="1"/>
    <b v="0"/>
    <s v="No está en VPC"/>
    <n v="429"/>
    <s v="INTPG_VPC_427_1.7_429_1.7"/>
    <s v="ISEL-1.7"/>
    <n v="2"/>
    <s v="NO TIENE L3OUT"/>
    <n v="8"/>
    <n v="54"/>
  </r>
  <r>
    <n v="432"/>
    <x v="1"/>
    <x v="29"/>
    <s v="eth1/7"/>
    <x v="0"/>
    <x v="0"/>
    <x v="0"/>
    <s v="SSO"/>
    <x v="1"/>
    <b v="0"/>
    <s v="No está en VPC"/>
    <n v="432"/>
    <s v="INTPG_ACC_432_1.7"/>
    <s v="ISEL-1.7"/>
    <n v="1"/>
    <s v="NO TIENE L3OUT"/>
    <n v="54"/>
    <n v="54"/>
  </r>
  <r>
    <n v="442"/>
    <x v="1"/>
    <x v="30"/>
    <s v="eth1/7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7"/>
    <x v="0"/>
    <x v="0"/>
    <x v="0"/>
    <s v="TO-sfovmp02-E-0-PRINCIPAL"/>
    <x v="1"/>
    <b v="0"/>
    <s v="No está en VPC"/>
    <n v="434"/>
    <s v="INTPG_ACC_434_1.7"/>
    <s v="ISEL-1.7"/>
    <n v="1"/>
    <s v="NO TIENE L3OUT"/>
    <n v="34"/>
    <n v="54"/>
  </r>
  <r>
    <n v="707"/>
    <x v="2"/>
    <x v="32"/>
    <s v="eth1/7"/>
    <x v="0"/>
    <x v="0"/>
    <x v="0"/>
    <s v="CEM:ITHCEMG2DAT04:LOM P1"/>
    <x v="0"/>
    <b v="0"/>
    <s v="No está en VPC"/>
    <n v="707"/>
    <s v="INTPG_ACC_707_1.7"/>
    <s v="ISEL-1.7"/>
    <n v="1"/>
    <s v="NO TIENE L3OUT"/>
    <n v="54"/>
    <n v="54"/>
  </r>
  <r>
    <n v="712"/>
    <x v="2"/>
    <x v="33"/>
    <s v="eth1/7"/>
    <x v="0"/>
    <x v="0"/>
    <x v="0"/>
    <s v="CEM:ITHCEMB2DAT04:LOM P1"/>
    <x v="0"/>
    <b v="0"/>
    <s v="No está en VPC"/>
    <n v="712"/>
    <s v="INTPG_ACC_712_1.7"/>
    <s v="ISEL-1.7"/>
    <n v="1"/>
    <s v="NO TIENE L3OUT"/>
    <n v="32"/>
    <n v="54"/>
  </r>
  <r>
    <n v="719"/>
    <x v="2"/>
    <x v="34"/>
    <s v="eth1/7"/>
    <x v="0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7"/>
    <x v="0"/>
    <x v="0"/>
    <x v="0"/>
    <m/>
    <x v="0"/>
    <b v="0"/>
    <s v="No está en VPC"/>
    <n v="715"/>
    <s v="INTPG-VPC_HDD45_715_1.7_716_1.8"/>
    <s v="ISEL-1.7"/>
    <n v="1"/>
    <s v="NO TIENE L3OUT"/>
    <n v="0"/>
    <n v="54"/>
  </r>
  <r>
    <n v="427"/>
    <x v="1"/>
    <x v="36"/>
    <s v="eth1/7"/>
    <x v="0"/>
    <x v="0"/>
    <x v="0"/>
    <s v="FASE_1.5_REDKNEE_produccion_client_LAG"/>
    <x v="1"/>
    <b v="0"/>
    <s v="No está en VPC"/>
    <n v="427"/>
    <s v="INTPG_VPC_427_1.7_429_1.7"/>
    <s v="ISEL-1.7"/>
    <n v="2"/>
    <s v="NO TIENE L3OUT"/>
    <n v="10"/>
    <n v="54"/>
  </r>
  <r>
    <n v="711"/>
    <x v="2"/>
    <x v="37"/>
    <s v="eth1/7"/>
    <x v="0"/>
    <x v="0"/>
    <x v="0"/>
    <s v="CEM:ITHCEMC2DAT04:LOM P1"/>
    <x v="0"/>
    <b v="0"/>
    <s v="No está en VPC"/>
    <n v="711"/>
    <s v="INTPG_ACC_711_1.7"/>
    <s v="ISEL-1.7"/>
    <n v="1"/>
    <s v="NO TIENE L3OUT"/>
    <n v="16"/>
    <n v="54"/>
  </r>
  <r>
    <n v="716"/>
    <x v="2"/>
    <x v="38"/>
    <s v="eth1/7"/>
    <x v="0"/>
    <x v="1"/>
    <x v="5"/>
    <m/>
    <x v="0"/>
    <b v="0"/>
    <s v="No está en VPC"/>
    <n v="716"/>
    <s v="INTPG-VPC_HDD36_716_1.7_715_1.8"/>
    <s v="ISEL-1.7"/>
    <n v="1"/>
    <s v="NO TIENE L3OUT"/>
    <n v="0"/>
    <n v="54"/>
  </r>
  <r>
    <n v="702"/>
    <x v="2"/>
    <x v="39"/>
    <s v="eth1/7"/>
    <x v="0"/>
    <x v="0"/>
    <x v="0"/>
    <m/>
    <x v="0"/>
    <b v="0"/>
    <s v="No está en VPC"/>
    <n v="702"/>
    <s v="INTPG_VPC_702_1.7_701_1.8"/>
    <s v="ISEL-1.7"/>
    <n v="1"/>
    <s v="NO TIENE L3OUT"/>
    <n v="0"/>
    <n v="54"/>
  </r>
  <r>
    <n v="435"/>
    <x v="1"/>
    <x v="40"/>
    <s v="eth1/7"/>
    <x v="0"/>
    <x v="0"/>
    <x v="0"/>
    <m/>
    <x v="1"/>
    <b v="0"/>
    <s v="No está en VPC"/>
    <n v="435"/>
    <s v="INTPG_ACC_435_1.7"/>
    <s v="ISEL-1.7"/>
    <n v="0"/>
    <s v="NO TIENE L3OUT"/>
    <n v="34"/>
    <n v="54"/>
  </r>
  <r>
    <n v="446"/>
    <x v="1"/>
    <x v="41"/>
    <s v="eth1/7"/>
    <x v="0"/>
    <x v="0"/>
    <x v="0"/>
    <m/>
    <x v="0"/>
    <b v="0"/>
    <s v="No está en VPC"/>
    <n v="446"/>
    <s v="INTPG_ACC_446_1.7"/>
    <s v="ISEL-1.7"/>
    <n v="9"/>
    <s v="NO TIENE L3OUT"/>
    <n v="198"/>
    <n v="54"/>
  </r>
  <r>
    <n v="444"/>
    <x v="1"/>
    <x v="42"/>
    <s v="eth1/7"/>
    <x v="0"/>
    <x v="0"/>
    <x v="0"/>
    <s v="TO-ITHFHPNBURBKP06"/>
    <x v="0"/>
    <b v="0"/>
    <s v="No está en VPC"/>
    <n v="444"/>
    <s v="INTPG_VPC_444_1.7_446_1.8"/>
    <s v="ISEL-1.7"/>
    <n v="1"/>
    <s v="NO TIENE L3OUT"/>
    <n v="234"/>
    <n v="54"/>
  </r>
  <r>
    <n v="701"/>
    <x v="2"/>
    <x v="43"/>
    <s v="eth1/7"/>
    <x v="0"/>
    <x v="0"/>
    <x v="0"/>
    <m/>
    <x v="0"/>
    <b v="0"/>
    <s v="No está en VPC"/>
    <n v="701"/>
    <s v="INTPG_VPC_701_1.7_702_1.8"/>
    <s v="ISEL-1.7"/>
    <n v="1"/>
    <s v="NO TIENE L3OUT"/>
    <n v="0"/>
    <n v="54"/>
  </r>
  <r>
    <n v="440"/>
    <x v="1"/>
    <x v="44"/>
    <s v="eth1/7"/>
    <x v="0"/>
    <x v="1"/>
    <x v="1"/>
    <s v="TO-TEMP_SALIDA_ROUTER_INTERNET"/>
    <x v="1"/>
    <b v="0"/>
    <s v="No está en VPC"/>
    <n v="440"/>
    <s v="INTPG_ACC_440_1.7"/>
    <s v="ISEL-1.7"/>
    <n v="1"/>
    <s v="NO TIENE L3OUT"/>
    <n v="22"/>
    <n v="54"/>
  </r>
  <r>
    <n v="448"/>
    <x v="1"/>
    <x v="45"/>
    <s v="eth1/7"/>
    <x v="0"/>
    <x v="0"/>
    <x v="0"/>
    <s v="Portal_Cautivo_f5gwt01"/>
    <x v="0"/>
    <b v="0"/>
    <s v="No está en VPC"/>
    <n v="448"/>
    <s v="INTPG_VPC_431_1.7_448_1.7"/>
    <s v="ISEL-1.7"/>
    <n v="2"/>
    <s v="NO TIENE L3OUT"/>
    <n v="46"/>
    <n v="54"/>
  </r>
  <r>
    <n v="704"/>
    <x v="2"/>
    <x v="46"/>
    <s v="eth1/7"/>
    <x v="0"/>
    <x v="0"/>
    <x v="0"/>
    <m/>
    <x v="0"/>
    <b v="0"/>
    <s v="No está en VPC"/>
    <n v="704"/>
    <s v="INTPG_VPC_704_1.7_703_1.8"/>
    <s v="ISEL-1.7"/>
    <n v="1"/>
    <s v="NO TIENE L3OUT"/>
    <n v="0"/>
    <n v="54"/>
  </r>
  <r>
    <n v="729"/>
    <x v="2"/>
    <x v="47"/>
    <s v="eth1/7"/>
    <x v="0"/>
    <x v="0"/>
    <x v="0"/>
    <s v="eth-trunk-31"/>
    <x v="0"/>
    <b v="0"/>
    <s v="No está en VPC"/>
    <n v="729"/>
    <s v="INTPG_VPC_728_1.6-7_729_1.6-7"/>
    <s v="ISEL-1.7"/>
    <n v="9"/>
    <s v="NO TIENE L3OUT"/>
    <n v="4"/>
    <n v="54"/>
  </r>
  <r>
    <n v="728"/>
    <x v="2"/>
    <x v="48"/>
    <s v="eth1/7"/>
    <x v="0"/>
    <x v="0"/>
    <x v="0"/>
    <s v="eth-trunk-31"/>
    <x v="0"/>
    <b v="0"/>
    <s v="No está en VPC"/>
    <n v="728"/>
    <s v="INTPG_VPC_728_1.6-7_729_1.6-7"/>
    <s v="ISEL-1.7"/>
    <n v="9"/>
    <s v="NO TIENE L3OUT"/>
    <n v="2"/>
    <n v="54"/>
  </r>
  <r>
    <n v="456"/>
    <x v="1"/>
    <x v="49"/>
    <s v="eth1/7"/>
    <x v="0"/>
    <x v="0"/>
    <x v="0"/>
    <s v="HACIA_CSI-B-OSCP-F4-07_SECUNDARIO"/>
    <x v="4"/>
    <b v="0"/>
    <s v="No está en VPC"/>
    <n v="456"/>
    <s v="INTPG_VPC_454_1.7_456_1.7"/>
    <s v="ISEL-1.7"/>
    <n v="2"/>
    <s v="NO TIENE L3OUT"/>
    <n v="4"/>
    <n v="54"/>
  </r>
  <r>
    <n v="603"/>
    <x v="1"/>
    <x v="50"/>
    <s v="eth1/7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7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7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7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7"/>
    <x v="0"/>
    <x v="0"/>
    <x v="0"/>
    <m/>
    <x v="0"/>
    <b v="0"/>
    <s v="No está en VPC"/>
    <n v="722"/>
    <s v="INTPG-VPC_HDD130_722_1.7_723_1.8"/>
    <s v="ISEL-1.7"/>
    <n v="1"/>
    <s v="NO TIENE L3OUT"/>
    <n v="0"/>
    <n v="54"/>
  </r>
  <r>
    <n v="733"/>
    <x v="2"/>
    <x v="55"/>
    <s v="eth1/7"/>
    <x v="0"/>
    <x v="0"/>
    <x v="0"/>
    <s v="TO-TESTBED"/>
    <x v="0"/>
    <b v="0"/>
    <s v="No está en VPC"/>
    <n v="733"/>
    <s v="INTPG_VPC_732_1.6-7_733_1.6-7"/>
    <s v="ISEL-1.7"/>
    <n v="3"/>
    <s v="NO TIENE L3OUT"/>
    <n v="0"/>
    <n v="54"/>
  </r>
  <r>
    <n v="755"/>
    <x v="2"/>
    <x v="56"/>
    <s v="eth1/7"/>
    <x v="0"/>
    <x v="0"/>
    <x v="0"/>
    <s v="OSS F1:ithenmr06e1r9b:Bay1/X1"/>
    <x v="0"/>
    <b v="0"/>
    <s v="No está en VPC"/>
    <n v="755"/>
    <s v="INTPG_PC_755_1.7-8"/>
    <s v="ISEL-1.7"/>
    <n v="8"/>
    <s v="NO TIENE L3OUT"/>
    <n v="52"/>
    <n v="54"/>
  </r>
  <r>
    <n v="748"/>
    <x v="2"/>
    <x v="57"/>
    <s v="eth1/7"/>
    <x v="0"/>
    <x v="0"/>
    <x v="0"/>
    <s v="trunk14 Bes-Production"/>
    <x v="0"/>
    <b v="0"/>
    <s v="No está en VPC"/>
    <n v="748"/>
    <s v="INTPG_VPC_748_1.6_7_749_1.6_7"/>
    <s v="ISEL-1.7"/>
    <n v="6"/>
    <s v="NO TIENE L3OUT"/>
    <n v="2"/>
    <n v="54"/>
  </r>
  <r>
    <n v="756"/>
    <x v="2"/>
    <x v="58"/>
    <s v="eth1/7"/>
    <x v="0"/>
    <x v="0"/>
    <x v="0"/>
    <s v="OSS F1:ithenmr08bl03lms1r9a:PCIe3 Slot 1/1"/>
    <x v="0"/>
    <b v="0"/>
    <s v="No está en VPC"/>
    <n v="756"/>
    <s v="INTPG_ACC_756_1.7"/>
    <s v="ISEL-1.7"/>
    <n v="1"/>
    <s v="NO TIENE L3OUT"/>
    <n v="64"/>
    <n v="54"/>
  </r>
  <r>
    <n v="754"/>
    <x v="2"/>
    <x v="59"/>
    <s v="eth1/7"/>
    <x v="0"/>
    <x v="0"/>
    <x v="0"/>
    <s v="OSS F1:ithenmr04bl04ombsr9b:PCIe3 Slot 1/1"/>
    <x v="0"/>
    <b v="0"/>
    <s v="No está en VPC"/>
    <n v="754"/>
    <s v="INTPG_PC_754_1.5-8"/>
    <s v="ISEL-1.7"/>
    <n v="2"/>
    <s v="NO TIENE L3OUT"/>
    <n v="62"/>
    <n v="54"/>
  </r>
  <r>
    <n v="751"/>
    <x v="2"/>
    <x v="60"/>
    <s v="eth1/7"/>
    <x v="0"/>
    <x v="0"/>
    <x v="0"/>
    <s v="trunk18 Bes-Production"/>
    <x v="0"/>
    <b v="0"/>
    <s v="No está en VPC"/>
    <n v="751"/>
    <s v="INTPG_VPC_750_1.6_7_751_1.6_7"/>
    <s v="ISEL-1.7"/>
    <n v="5"/>
    <s v="NO TIENE L3OUT"/>
    <n v="0"/>
    <n v="54"/>
  </r>
  <r>
    <n v="769"/>
    <x v="2"/>
    <x v="61"/>
    <s v="eth1/7"/>
    <x v="0"/>
    <x v="0"/>
    <x v="0"/>
    <s v="OSS_ENM"/>
    <x v="0"/>
    <b v="0"/>
    <s v="No está en VPC"/>
    <n v="769"/>
    <s v="INTPG_ACC_769_1.7"/>
    <s v="ISEL-1.7"/>
    <n v="1"/>
    <s v="NO TIENE L3OUT"/>
    <n v="60"/>
    <n v="54"/>
  </r>
  <r>
    <n v="742"/>
    <x v="2"/>
    <x v="62"/>
    <s v="eth1/7"/>
    <x v="0"/>
    <x v="1"/>
    <x v="1"/>
    <s v="CEM:ITHCEMA2DAT04:LOM P3"/>
    <x v="5"/>
    <b v="0"/>
    <s v="No está en VPC"/>
    <n v="742"/>
    <s v="INTPG_ACC_742_1.7"/>
    <s v="ISEL-1.7"/>
    <n v="1"/>
    <s v="NO TIENE L3OUT"/>
    <n v="64"/>
    <n v="54"/>
  </r>
  <r>
    <n v="763"/>
    <x v="2"/>
    <x v="63"/>
    <s v="eth1/7"/>
    <x v="0"/>
    <x v="0"/>
    <x v="0"/>
    <s v="PAAS:ithhwoscopap007:LOM PORT 3"/>
    <x v="0"/>
    <b v="0"/>
    <s v="No está en VPC"/>
    <n v="763"/>
    <s v="INTPG_VPC_762_1.7_763_1.7"/>
    <s v="ISEL-1.7"/>
    <n v="1"/>
    <s v="NO TIENE L3OUT"/>
    <n v="2"/>
    <n v="54"/>
  </r>
  <r>
    <n v="766"/>
    <x v="2"/>
    <x v="64"/>
    <s v="eth1/7"/>
    <x v="0"/>
    <x v="0"/>
    <x v="0"/>
    <s v="Portchannel_2_R6A"/>
    <x v="0"/>
    <b v="0"/>
    <s v="No está en VPC"/>
    <n v="766"/>
    <s v="INTPG_PC_766_1.7-8"/>
    <s v="ISEL-1.7"/>
    <n v="8"/>
    <s v="NO TIENE L3OUT"/>
    <n v="58"/>
    <n v="54"/>
  </r>
  <r>
    <n v="760"/>
    <x v="2"/>
    <x v="65"/>
    <s v="eth1/7"/>
    <x v="0"/>
    <x v="1"/>
    <x v="1"/>
    <m/>
    <x v="0"/>
    <b v="0"/>
    <s v="No está en VPC"/>
    <n v="760"/>
    <s v="INTPG_VPC_760_1.5-8_761_1.5-8"/>
    <s v="ISEL-1.7"/>
    <n v="0"/>
    <s v="L3OUT-EXACLOUD"/>
    <n v="0"/>
    <n v="54"/>
  </r>
  <r>
    <n v="752"/>
    <x v="2"/>
    <x v="66"/>
    <s v="eth1/7"/>
    <x v="0"/>
    <x v="0"/>
    <x v="0"/>
    <s v="PAAS:ithhwoscopap005:Slot4.1"/>
    <x v="0"/>
    <b v="0"/>
    <s v="No está en VPC"/>
    <n v="752"/>
    <s v="INTPG_VPC_747_1.7_752_1.7"/>
    <s v="ISEL-1.7"/>
    <n v="25"/>
    <s v="NO TIENE L3OUT"/>
    <n v="0"/>
    <n v="54"/>
  </r>
  <r>
    <n v="765"/>
    <x v="2"/>
    <x v="67"/>
    <s v="eth1/7"/>
    <x v="0"/>
    <x v="0"/>
    <x v="0"/>
    <s v="Portchannel_1_R6A"/>
    <x v="0"/>
    <b v="0"/>
    <s v="No está en VPC"/>
    <n v="765"/>
    <s v="INTPG_PC_765_1.7-10"/>
    <s v="ISEL-1.7"/>
    <n v="2"/>
    <s v="NO TIENE L3OUT"/>
    <n v="60"/>
    <n v="54"/>
  </r>
  <r>
    <n v="778"/>
    <x v="2"/>
    <x v="68"/>
    <s v="eth1/7"/>
    <x v="0"/>
    <x v="0"/>
    <x v="0"/>
    <s v="ENIQ F1:itheniqr07ombsr2:LOM PORT 1"/>
    <x v="0"/>
    <b v="0"/>
    <s v="No está en VPC"/>
    <n v="778"/>
    <s v="INTPG_PC_778_1.7-10"/>
    <s v="ISEL-1.7"/>
    <n v="2"/>
    <s v="NO TIENE L3OUT"/>
    <n v="26"/>
    <n v="54"/>
  </r>
  <r>
    <n v="780"/>
    <x v="2"/>
    <x v="69"/>
    <s v="eth1/7"/>
    <x v="0"/>
    <x v="0"/>
    <x v="0"/>
    <s v="LACP_OMBS_ENIQ1"/>
    <x v="0"/>
    <b v="0"/>
    <s v="No está en VPC"/>
    <n v="780"/>
    <s v="INTPG_PC_780_1.7-10"/>
    <s v="ISEL-1.7"/>
    <n v="2"/>
    <s v="NO TIENE L3OUT"/>
    <n v="26"/>
    <n v="54"/>
  </r>
  <r>
    <n v="812"/>
    <x v="2"/>
    <x v="70"/>
    <s v="eth1/7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7"/>
    <x v="0"/>
    <x v="0"/>
    <x v="0"/>
    <s v="ITHFHWTSHNLCN04_VMs-04_Taishan_IT"/>
    <x v="0"/>
    <b v="0"/>
    <s v="No está en VPC"/>
    <n v="796"/>
    <s v="INTPG_VPC_795_1.7_796_1.7"/>
    <s v="ISEL-1.7"/>
    <n v="14"/>
    <s v="NO TIENE L3OUT"/>
    <n v="18"/>
    <n v="54"/>
  </r>
  <r>
    <n v="795"/>
    <x v="2"/>
    <x v="72"/>
    <s v="eth1/7"/>
    <x v="0"/>
    <x v="0"/>
    <x v="0"/>
    <s v="ITHFHWTSHNLCN04_VMs-04_Taishan_IT"/>
    <x v="0"/>
    <b v="0"/>
    <s v="No está en VPC"/>
    <n v="795"/>
    <s v="INTPG_VPC_795_1.7_796_1.7"/>
    <s v="ISEL-1.7"/>
    <n v="14"/>
    <s v="NO TIENE L3OUT"/>
    <n v="18"/>
    <n v="54"/>
  </r>
  <r>
    <n v="749"/>
    <x v="2"/>
    <x v="73"/>
    <s v="eth1/7"/>
    <x v="0"/>
    <x v="0"/>
    <x v="0"/>
    <s v="trunk14 Bes-Production"/>
    <x v="0"/>
    <b v="0"/>
    <s v="No está en VPC"/>
    <n v="749"/>
    <s v="INTPG_VPC_748_1.6_7_749_1.6_7"/>
    <s v="ISEL-1.7"/>
    <n v="6"/>
    <s v="NO TIENE L3OUT"/>
    <n v="4"/>
    <n v="54"/>
  </r>
  <r>
    <n v="824"/>
    <x v="2"/>
    <x v="74"/>
    <s v="eth1/7"/>
    <x v="0"/>
    <x v="0"/>
    <x v="0"/>
    <s v="LINK_TO_ITHHWD6K60012DKC01 /CtrlB_IOM1.P1 /Redundante"/>
    <x v="0"/>
    <b v="0"/>
    <s v="No está en VPC"/>
    <n v="824"/>
    <s v="INTPG_ACC_824_1.7"/>
    <s v="ISEL-1.7"/>
    <n v="1"/>
    <s v="NO TIENE L3OUT"/>
    <n v="70"/>
    <n v="54"/>
  </r>
  <r>
    <n v="819"/>
    <x v="2"/>
    <x v="75"/>
    <s v="eth1/7"/>
    <x v="0"/>
    <x v="0"/>
    <x v="0"/>
    <s v="LINK_TO_ITHHWD6K60012DKC01 /CtrlB_IOM1.P0 /Principal"/>
    <x v="0"/>
    <b v="0"/>
    <s v="No está en VPC"/>
    <n v="819"/>
    <s v="INTPG_ACC_819_1.7"/>
    <s v="ISEL-1.7"/>
    <n v="1"/>
    <s v="NO TIENE L3OUT"/>
    <n v="70"/>
    <n v="54"/>
  </r>
  <r>
    <n v="737"/>
    <x v="2"/>
    <x v="76"/>
    <s v="eth1/7"/>
    <x v="0"/>
    <x v="0"/>
    <x v="0"/>
    <s v="CEM:ITHCEMF2DAT04:LOM P3"/>
    <x v="5"/>
    <b v="0"/>
    <s v="No está en VPC"/>
    <n v="737"/>
    <s v="INTPG_ACC_737_1.7"/>
    <s v="ISEL-1.7"/>
    <n v="1"/>
    <s v="NO TIENE L3OUT"/>
    <n v="72"/>
    <n v="54"/>
  </r>
  <r>
    <n v="844"/>
    <x v="2"/>
    <x v="77"/>
    <s v="eth1/7"/>
    <x v="0"/>
    <x v="0"/>
    <x v="0"/>
    <s v="LINK_TO_ITHFHWCRMPLCN103 / Slot1.1_10 / Principal"/>
    <x v="0"/>
    <b v="0"/>
    <s v="No está en VPC"/>
    <n v="844"/>
    <s v="INTPG_ACC_844_1.7"/>
    <s v="ISEL-1.7"/>
    <n v="6"/>
    <s v="NO TIENE L3OUT"/>
    <n v="282"/>
    <n v="54"/>
  </r>
  <r>
    <n v="843"/>
    <x v="2"/>
    <x v="78"/>
    <s v="eth1/7"/>
    <x v="0"/>
    <x v="0"/>
    <x v="0"/>
    <s v="LINK_To_ITHFHWCBSPSUSBD23 / Slot7.2_4 / Redundante"/>
    <x v="0"/>
    <b v="0"/>
    <s v="No está en VPC"/>
    <n v="843"/>
    <s v="INTPG_VPC_838_1.7_843_1.7"/>
    <s v="ISEL-1.7"/>
    <n v="1"/>
    <s v="NO TIENE L3OUT"/>
    <n v="38"/>
    <n v="54"/>
  </r>
  <r>
    <n v="797"/>
    <x v="2"/>
    <x v="79"/>
    <s v="eth1/7"/>
    <x v="0"/>
    <x v="0"/>
    <x v="0"/>
    <s v="TO-HDPS_09-MSP"/>
    <x v="0"/>
    <b v="0"/>
    <s v="No está en VPC"/>
    <n v="797"/>
    <s v="INTPG_ACC_797_1.7"/>
    <s v="ISEL-1.7"/>
    <n v="1"/>
    <s v="NO TIENE L3OUT"/>
    <n v="48"/>
    <n v="54"/>
  </r>
  <r>
    <n v="839"/>
    <x v="2"/>
    <x v="80"/>
    <s v="eth1/7"/>
    <x v="0"/>
    <x v="0"/>
    <x v="0"/>
    <s v="LINK_TO_ITHFHWCBSPSHD45 / Slot7.1_8 / Redundante"/>
    <x v="0"/>
    <b v="0"/>
    <s v="No está en VPC"/>
    <n v="839"/>
    <s v="INTPG_VPC_834_1.7_839_1.7"/>
    <s v="ISEL-1.7"/>
    <n v="2"/>
    <s v="NO TIENE L3OUT"/>
    <n v="0"/>
    <n v="54"/>
  </r>
  <r>
    <n v="847"/>
    <x v="2"/>
    <x v="81"/>
    <s v="eth1/7"/>
    <x v="0"/>
    <x v="0"/>
    <x v="0"/>
    <s v="LINK_TO_ITHHWD6KV65100018DKC01 / CTMA_IOM0.P0_34 / Principal"/>
    <x v="0"/>
    <b v="0"/>
    <s v="No está en VPC"/>
    <n v="847"/>
    <s v="INTPG_ACC_847_1.7"/>
    <s v="ISEL-1.7"/>
    <n v="1"/>
    <s v="NO TIENE L3OUT"/>
    <n v="204"/>
    <n v="54"/>
  </r>
  <r>
    <n v="848"/>
    <x v="2"/>
    <x v="82"/>
    <s v="eth1/7"/>
    <x v="0"/>
    <x v="0"/>
    <x v="0"/>
    <s v="LINK_TO_ITHFHWCRMPLCN156 / Slot7.3_14 / Redundante"/>
    <x v="0"/>
    <b v="0"/>
    <s v="No está en VPC"/>
    <n v="848"/>
    <s v="INTPG_ACC_848_1.7"/>
    <s v="ISEL-1.7"/>
    <n v="1"/>
    <s v="NO TIENE L3OUT"/>
    <n v="254"/>
    <n v="54"/>
  </r>
  <r>
    <n v="846"/>
    <x v="2"/>
    <x v="83"/>
    <s v="eth1/7"/>
    <x v="0"/>
    <x v="0"/>
    <x v="0"/>
    <s v="LINK_TO_ITHHWD6KV65100011DKC01 / CTMA_IOM1.P0_34 / Principal"/>
    <x v="0"/>
    <b v="0"/>
    <s v="No está en VPC"/>
    <n v="846"/>
    <s v="INTPG_ACC_846_1.7"/>
    <s v="ISEL-1.7"/>
    <n v="1"/>
    <s v="NO TIENE L3OUT"/>
    <n v="242"/>
    <n v="54"/>
  </r>
  <r>
    <n v="838"/>
    <x v="2"/>
    <x v="84"/>
    <s v="eth1/7"/>
    <x v="0"/>
    <x v="0"/>
    <x v="0"/>
    <s v="LINK_To_ITHFHWCBSPSUSBD23 / Slot1.2_4 / Principal"/>
    <x v="0"/>
    <b v="0"/>
    <s v="No está en VPC"/>
    <n v="838"/>
    <s v="INTPG_VPC_838_1.7_843_1.7"/>
    <s v="ISEL-1.7"/>
    <n v="1"/>
    <s v="NO TIENE L3OUT"/>
    <n v="38"/>
    <n v="54"/>
  </r>
  <r>
    <n v="849"/>
    <x v="2"/>
    <x v="85"/>
    <s v="eth1/7"/>
    <x v="0"/>
    <x v="0"/>
    <x v="0"/>
    <s v="LINK_TO_ITHFHWCRMPLCN136 / Slot7.3_6 / Redundante"/>
    <x v="0"/>
    <b v="0"/>
    <s v="No está en VPC"/>
    <n v="849"/>
    <s v="INTPG_ACC_849_1.7"/>
    <s v="ISEL-1.7"/>
    <n v="1"/>
    <s v="NO TIENE L3OUT"/>
    <n v="286"/>
    <n v="54"/>
  </r>
  <r>
    <n v="845"/>
    <x v="2"/>
    <x v="86"/>
    <s v="eth1/7"/>
    <x v="0"/>
    <x v="0"/>
    <x v="0"/>
    <s v="LINK_TO_ITHFHWCRMPSBDA07 / Slot1.2_4 / Principal"/>
    <x v="0"/>
    <b v="0"/>
    <s v="No está en VPC"/>
    <n v="845"/>
    <s v="INTPG_VPC_845_1.7_852_1.7"/>
    <s v="ISEL-1.7"/>
    <n v="2"/>
    <s v="NO TIENE L3OUT"/>
    <n v="258"/>
    <n v="54"/>
  </r>
  <r>
    <n v="873"/>
    <x v="2"/>
    <x v="87"/>
    <s v="eth1/7"/>
    <x v="0"/>
    <x v="0"/>
    <x v="0"/>
    <s v="TO_ITHFHWCRMDLCN55_Principal"/>
    <x v="0"/>
    <b v="0"/>
    <s v="No está en VPC"/>
    <n v="873"/>
    <s v="INTPG_ACC_873_1.7"/>
    <s v="ISEL-1.7"/>
    <n v="2"/>
    <s v="NO TIENE L3OUT"/>
    <n v="248"/>
    <n v="54"/>
  </r>
  <r>
    <n v="864"/>
    <x v="2"/>
    <x v="88"/>
    <s v="eth1/7"/>
    <x v="0"/>
    <x v="0"/>
    <x v="0"/>
    <s v="To_VPC_2DCBSD_HD33_1"/>
    <x v="0"/>
    <b v="0"/>
    <s v="No está en VPC"/>
    <n v="864"/>
    <s v="INTPG_VPC_859_1.7_864_1.7"/>
    <s v="ISEL-1.7"/>
    <n v="2"/>
    <s v="NO TIENE L3OUT"/>
    <n v="0"/>
    <n v="54"/>
  </r>
  <r>
    <n v="836"/>
    <x v="2"/>
    <x v="89"/>
    <s v="eth1/7"/>
    <x v="0"/>
    <x v="0"/>
    <x v="0"/>
    <s v="LINK_TO_ITHFHWCBSPSUSBD35 / Slot1.3_8 / Principal"/>
    <x v="0"/>
    <b v="0"/>
    <s v="No está en VPC"/>
    <n v="836"/>
    <s v="INTPG_VPC_836_1.7_841_1.7"/>
    <s v="ISEL-1.7"/>
    <n v="1"/>
    <s v="NO TIENE L3OUT"/>
    <n v="0"/>
    <n v="54"/>
  </r>
  <r>
    <n v="834"/>
    <x v="2"/>
    <x v="90"/>
    <s v="eth1/7"/>
    <x v="0"/>
    <x v="0"/>
    <x v="0"/>
    <s v="LINK_TO_ITHFHWCBSPSHD45 / Slot1.1_8 / Principal"/>
    <x v="0"/>
    <b v="0"/>
    <s v="No está en VPC"/>
    <n v="834"/>
    <s v="INTPG_VPC_834_1.7_839_1.7"/>
    <s v="ISEL-1.7"/>
    <n v="2"/>
    <s v="NO TIENE L3OUT"/>
    <n v="0"/>
    <n v="54"/>
  </r>
  <r>
    <n v="872"/>
    <x v="2"/>
    <x v="91"/>
    <s v="eth1/7"/>
    <x v="0"/>
    <x v="0"/>
    <x v="0"/>
    <s v="To_ITHFHWCRMDLCN71_Principal"/>
    <x v="0"/>
    <b v="0"/>
    <s v="No está en VPC"/>
    <n v="872"/>
    <s v="INTPG_ACC_872_1.7"/>
    <s v="ISEL-1.7"/>
    <n v="2"/>
    <s v="NO TIENE L3OUT"/>
    <n v="288"/>
    <n v="54"/>
  </r>
  <r>
    <n v="842"/>
    <x v="2"/>
    <x v="92"/>
    <s v="eth1/7"/>
    <x v="0"/>
    <x v="0"/>
    <x v="0"/>
    <s v="LINK_TO_ITHFHWCBSPSUSBD24 / Slot7.3_4 / Redundante"/>
    <x v="0"/>
    <b v="0"/>
    <s v="No está en VPC"/>
    <n v="842"/>
    <s v="INTPG_VPC_837_1.7_842_1.7"/>
    <s v="ISEL-1.7"/>
    <n v="1"/>
    <s v="NO TIENE L3OUT"/>
    <n v="8"/>
    <n v="54"/>
  </r>
  <r>
    <n v="828"/>
    <x v="2"/>
    <x v="93"/>
    <s v="eth1/7"/>
    <x v="0"/>
    <x v="0"/>
    <x v="0"/>
    <s v="LINK_TO_ITHFHWCBSDSWR34 /Slot5.2 /Principal"/>
    <x v="0"/>
    <b v="0"/>
    <s v="No está en VPC"/>
    <n v="828"/>
    <s v="INTPG_VPC_828_1.7_832_1.7"/>
    <s v="ISEL-1.7"/>
    <n v="2"/>
    <s v="NO TIENE L3OUT"/>
    <n v="192"/>
    <n v="54"/>
  </r>
  <r>
    <n v="870"/>
    <x v="2"/>
    <x v="94"/>
    <s v="eth1/7"/>
    <x v="0"/>
    <x v="0"/>
    <x v="0"/>
    <s v="TO_ITHFHWCRMDLCN55_Redundante"/>
    <x v="0"/>
    <b v="0"/>
    <s v="No está en VPC"/>
    <n v="870"/>
    <s v="INTPG_ACC_870_1.7"/>
    <s v="ISEL-1.7"/>
    <n v="2"/>
    <s v="NO TIENE L3OUT"/>
    <n v="248"/>
    <n v="54"/>
  </r>
  <r>
    <n v="866"/>
    <x v="2"/>
    <x v="95"/>
    <s v="eth1/7"/>
    <x v="0"/>
    <x v="0"/>
    <x v="0"/>
    <s v="To_ITHHWD6KV65100016DKC01_Redundante"/>
    <x v="0"/>
    <b v="0"/>
    <s v="No está en VPC"/>
    <n v="866"/>
    <s v="INTPG_ACC_866_1.7"/>
    <s v="ISEL-1.7"/>
    <n v="1"/>
    <s v="NO TIENE L3OUT"/>
    <n v="8"/>
    <n v="54"/>
  </r>
  <r>
    <n v="862"/>
    <x v="2"/>
    <x v="96"/>
    <s v="eth1/7"/>
    <x v="0"/>
    <x v="0"/>
    <x v="0"/>
    <s v="To_ITHHWD6KV65100013DKC01_Principal"/>
    <x v="0"/>
    <b v="0"/>
    <s v="No está en VPC"/>
    <n v="862"/>
    <s v="INTPG_ACC_862_1.7"/>
    <s v="ISEL-1.7"/>
    <n v="1"/>
    <s v="NO TIENE L3OUT"/>
    <n v="44"/>
    <n v="54"/>
  </r>
  <r>
    <n v="855"/>
    <x v="2"/>
    <x v="97"/>
    <s v="eth1/7"/>
    <x v="0"/>
    <x v="0"/>
    <x v="0"/>
    <s v="LINK_TO_ITHFHWCRMPLCN156 / Slot1.3_14 / Principal"/>
    <x v="0"/>
    <b v="0"/>
    <s v="No está en VPC"/>
    <n v="855"/>
    <s v="INTPG_ACC_855_1.7"/>
    <s v="ISEL-1.7"/>
    <n v="1"/>
    <s v="NO TIENE L3OUT"/>
    <n v="254"/>
    <n v="54"/>
  </r>
  <r>
    <n v="871"/>
    <x v="2"/>
    <x v="98"/>
    <s v="eth1/7"/>
    <x v="0"/>
    <x v="0"/>
    <x v="0"/>
    <s v="TO_ITHFHWCRMDLCN83_Principal"/>
    <x v="0"/>
    <b v="0"/>
    <s v="No está en VPC"/>
    <n v="871"/>
    <s v="INTPG_ACC_871_1.7"/>
    <s v="ISEL-1.7"/>
    <n v="6"/>
    <s v="NO TIENE L3OUT"/>
    <n v="246"/>
    <n v="54"/>
  </r>
  <r>
    <n v="841"/>
    <x v="2"/>
    <x v="99"/>
    <s v="eth1/7"/>
    <x v="0"/>
    <x v="0"/>
    <x v="0"/>
    <s v="LINK_TO_ITHFHWCBSPSUSBD35 / Slot7.3_8 / Redundante"/>
    <x v="0"/>
    <b v="0"/>
    <s v="No está en VPC"/>
    <n v="841"/>
    <s v="INTPG_VPC_836_1.7_841_1.7"/>
    <s v="ISEL-1.7"/>
    <n v="1"/>
    <s v="NO TIENE L3OUT"/>
    <n v="0"/>
    <n v="54"/>
  </r>
  <r>
    <n v="868"/>
    <x v="2"/>
    <x v="100"/>
    <s v="eth1/7"/>
    <x v="0"/>
    <x v="0"/>
    <x v="0"/>
    <s v="TO_ITHFHWCRMDLCN83_Redundante"/>
    <x v="0"/>
    <b v="0"/>
    <s v="No está en VPC"/>
    <n v="868"/>
    <s v="INTPG_ACC_868_1.7"/>
    <s v="ISEL-1.7"/>
    <n v="6"/>
    <s v="NO TIENE L3OUT"/>
    <n v="246"/>
    <n v="54"/>
  </r>
  <r>
    <n v="869"/>
    <x v="2"/>
    <x v="101"/>
    <s v="eth1/7"/>
    <x v="0"/>
    <x v="0"/>
    <x v="0"/>
    <s v="To_ITHFHWCRMDLCN71_Redundante"/>
    <x v="0"/>
    <b v="0"/>
    <s v="No está en VPC"/>
    <n v="869"/>
    <s v="INTPG_ACC_869_1.7"/>
    <s v="ISEL-1.7"/>
    <n v="2"/>
    <s v="NO TIENE L3OUT"/>
    <n v="288"/>
    <n v="54"/>
  </r>
  <r>
    <n v="861"/>
    <x v="2"/>
    <x v="102"/>
    <s v="eth1/7"/>
    <x v="0"/>
    <x v="0"/>
    <x v="0"/>
    <s v="To_ITHHWD6KV65100016DKC01_Principal"/>
    <x v="0"/>
    <b v="0"/>
    <s v="No está en VPC"/>
    <n v="861"/>
    <s v="INTPG_ACC_861_1.7"/>
    <s v="ISEL-1.7"/>
    <n v="1"/>
    <s v="NO TIENE L3OUT"/>
    <n v="8"/>
    <n v="54"/>
  </r>
  <r>
    <n v="874"/>
    <x v="2"/>
    <x v="103"/>
    <s v="eth1/7"/>
    <x v="0"/>
    <x v="0"/>
    <x v="0"/>
    <s v="LINK_TO_ITHFHWSEQLCAS30 / Slot 5 PTO 1 / Redundante"/>
    <x v="4"/>
    <b v="0"/>
    <s v="No está en VPC"/>
    <n v="874"/>
    <s v="INTPG_ACC_874_1.7"/>
    <s v="ISEL-1.7"/>
    <n v="1"/>
    <s v="NO TIENE L3OUT"/>
    <n v="92"/>
    <n v="54"/>
  </r>
  <r>
    <n v="865"/>
    <x v="2"/>
    <x v="104"/>
    <s v="eth1/7"/>
    <x v="0"/>
    <x v="0"/>
    <x v="0"/>
    <s v="To_VPC_2DCBSD_HD25_1"/>
    <x v="0"/>
    <b v="0"/>
    <s v="No está en VPC"/>
    <n v="865"/>
    <s v="INTPG_VPC_860_1.7_865_1.7"/>
    <s v="ISEL-1.7"/>
    <n v="2"/>
    <s v="NO TIENE L3OUT"/>
    <n v="0"/>
    <n v="54"/>
  </r>
  <r>
    <n v="753"/>
    <x v="2"/>
    <x v="105"/>
    <s v="eth1/7"/>
    <x v="0"/>
    <x v="0"/>
    <x v="0"/>
    <s v="OSS F1:ithenmr04bl03lms1r9b:Slot 2/1"/>
    <x v="0"/>
    <b v="0"/>
    <s v="No está en VPC"/>
    <n v="753"/>
    <s v="INTPG_ACC_753_1.7"/>
    <s v="ISEL-1.7"/>
    <n v="1"/>
    <s v="NO TIENE L3OUT"/>
    <n v="62"/>
    <n v="54"/>
  </r>
  <r>
    <n v="708"/>
    <x v="2"/>
    <x v="106"/>
    <s v="eth1/7"/>
    <x v="0"/>
    <x v="1"/>
    <x v="5"/>
    <s v="CEM:ITHCEMF2DAT04:LOM P1"/>
    <x v="0"/>
    <b v="0"/>
    <s v="No está en VPC"/>
    <n v="708"/>
    <s v="INTPG_VPC_708_1.7_709_1.8"/>
    <s v="ISEL-1.7"/>
    <n v="1"/>
    <s v="NO TIENE L3OUT"/>
    <n v="0"/>
    <n v="54"/>
  </r>
  <r>
    <n v="710"/>
    <x v="2"/>
    <x v="107"/>
    <s v="eth1/7"/>
    <x v="0"/>
    <x v="1"/>
    <x v="5"/>
    <s v="CEM:ITHCEMD2DAT04:LOM P1"/>
    <x v="0"/>
    <b v="0"/>
    <s v="No está en VPC"/>
    <n v="710"/>
    <s v="INTPG_VPC_710_1.7_711_1.8"/>
    <s v="ISEL-1.7"/>
    <n v="1"/>
    <s v="NO TIENE L3OUT"/>
    <n v="16"/>
    <n v="54"/>
  </r>
  <r>
    <n v="713"/>
    <x v="2"/>
    <x v="108"/>
    <s v="eth1/7"/>
    <x v="0"/>
    <x v="0"/>
    <x v="0"/>
    <s v="CEM:ITHCEMA2DAT04:LOM P1"/>
    <x v="0"/>
    <b v="0"/>
    <s v="No está en VPC"/>
    <n v="713"/>
    <s v="INTPG_ACC_713_1.7"/>
    <s v="ISEL-1.7"/>
    <n v="1"/>
    <s v="NO TIENE L3OUT"/>
    <n v="32"/>
    <n v="54"/>
  </r>
  <r>
    <n v="735"/>
    <x v="2"/>
    <x v="109"/>
    <s v="eth1/7"/>
    <x v="0"/>
    <x v="1"/>
    <x v="1"/>
    <s v="CEM:ITHCEMA1DAT04:LOM P3"/>
    <x v="5"/>
    <b v="0"/>
    <s v="No está en VPC"/>
    <n v="735"/>
    <s v="INTPG_ACC_735_1.7"/>
    <s v="ISEL-1.7"/>
    <n v="1"/>
    <s v="NO TIENE L3OUT"/>
    <n v="34"/>
    <n v="54"/>
  </r>
  <r>
    <n v="731"/>
    <x v="2"/>
    <x v="110"/>
    <s v="eth1/7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7"/>
    <x v="0"/>
    <x v="0"/>
    <x v="0"/>
    <m/>
    <x v="0"/>
    <b v="0"/>
    <s v="No está en VPC"/>
    <n v="703"/>
    <s v="INTPG_VPC_703_1.7_704_1.8"/>
    <s v="ISEL-1.7"/>
    <n v="1"/>
    <s v="NO TIENE L3OUT"/>
    <n v="2"/>
    <n v="54"/>
  </r>
  <r>
    <n v="706"/>
    <x v="2"/>
    <x v="112"/>
    <s v="eth1/7"/>
    <x v="0"/>
    <x v="0"/>
    <x v="0"/>
    <s v="CEM:ITHCEMA1DAT04:LOM  P1"/>
    <x v="0"/>
    <b v="0"/>
    <s v="No está en VPC"/>
    <n v="706"/>
    <s v="INTPG_ACC_706_1.7"/>
    <s v="ISEL-1.7"/>
    <n v="1"/>
    <s v="NO TIENE L3OUT"/>
    <n v="16"/>
    <n v="54"/>
  </r>
  <r>
    <n v="762"/>
    <x v="2"/>
    <x v="113"/>
    <s v="eth1/7"/>
    <x v="0"/>
    <x v="0"/>
    <x v="0"/>
    <s v="PAAS:ithhwoscopap007:FlexIO.1"/>
    <x v="0"/>
    <b v="0"/>
    <s v="No está en VPC"/>
    <n v="762"/>
    <s v="INTPG_VPC_762_1.7_763_1.7"/>
    <s v="ISEL-1.7"/>
    <n v="1"/>
    <s v="NO TIENE L3OUT"/>
    <n v="0"/>
    <n v="54"/>
  </r>
  <r>
    <n v="814"/>
    <x v="2"/>
    <x v="114"/>
    <s v="eth1/7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7"/>
    <x v="0"/>
    <x v="0"/>
    <x v="0"/>
    <s v="HACIA_CSI-B-OSCP-F4-11_PRIMARIO"/>
    <x v="4"/>
    <b v="0"/>
    <s v="No está en VPC"/>
    <n v="878"/>
    <s v="INTPG_VPC_878_1.7_879_1.7"/>
    <s v="ISEL-1.7"/>
    <n v="2"/>
    <s v="NO TIENE L3OUT"/>
    <n v="0"/>
    <n v="54"/>
  </r>
  <r>
    <n v="826"/>
    <x v="2"/>
    <x v="116"/>
    <s v="eth1/7"/>
    <x v="0"/>
    <x v="0"/>
    <x v="0"/>
    <s v="LINK_TO_ITHFHWCBSDSUSBD06 /Slot5.2 /Principal"/>
    <x v="0"/>
    <b v="0"/>
    <s v="No está en VPC"/>
    <n v="826"/>
    <s v="INTPG_VPC_826_1.7_830_1.7"/>
    <s v="ISEL-1.7"/>
    <n v="2"/>
    <s v="NO TIENE L3OUT"/>
    <n v="12"/>
    <n v="54"/>
  </r>
  <r>
    <n v="726"/>
    <x v="2"/>
    <x v="117"/>
    <s v="eth1/7"/>
    <x v="0"/>
    <x v="0"/>
    <x v="0"/>
    <s v="DESC"/>
    <x v="0"/>
    <b v="0"/>
    <s v="No está en VPC"/>
    <n v="726"/>
    <s v="INTPG_PC_726_1.7-8"/>
    <s v="ISEL-1.7"/>
    <n v="0"/>
    <s v="L3OUT-HCS-MGMT-TELCEL-IPCORP"/>
    <n v="0"/>
    <n v="54"/>
  </r>
  <r>
    <n v="740"/>
    <x v="2"/>
    <x v="118"/>
    <s v="eth1/7"/>
    <x v="0"/>
    <x v="1"/>
    <x v="1"/>
    <s v="CEM:ITHCEMC2DAT04:LOM P3"/>
    <x v="5"/>
    <b v="0"/>
    <s v="No está en VPC"/>
    <n v="740"/>
    <s v="INTPG_ACC_740_1.7"/>
    <s v="ISEL-1.7"/>
    <n v="1"/>
    <s v="NO TIENE L3OUT"/>
    <n v="72"/>
    <n v="54"/>
  </r>
  <r>
    <n v="705"/>
    <x v="2"/>
    <x v="119"/>
    <s v="eth1/7"/>
    <x v="0"/>
    <x v="0"/>
    <x v="0"/>
    <s v="CEM:ITHOIDB1SVR04:LOM  P2"/>
    <x v="0"/>
    <b v="0"/>
    <s v="No está en VPC"/>
    <n v="705"/>
    <s v="INTPG_VPC_705_1.7_706_1.8"/>
    <s v="ISEL-1.7"/>
    <n v="2"/>
    <s v="NO TIENE L3OUT"/>
    <n v="16"/>
    <n v="54"/>
  </r>
  <r>
    <n v="723"/>
    <x v="2"/>
    <x v="120"/>
    <s v="eth1/7"/>
    <x v="0"/>
    <x v="0"/>
    <x v="0"/>
    <m/>
    <x v="0"/>
    <b v="0"/>
    <s v="No está en VPC"/>
    <n v="723"/>
    <s v="INTPG-VPC_HDD117_723_1.7_722_1.8"/>
    <s v="ISEL-1.7"/>
    <n v="1"/>
    <s v="NO TIENE L3OUT"/>
    <n v="0"/>
    <n v="54"/>
  </r>
  <r>
    <n v="721"/>
    <x v="2"/>
    <x v="121"/>
    <s v="eth1/7"/>
    <x v="0"/>
    <x v="0"/>
    <x v="0"/>
    <s v="TO-ITHFHWVRALCN07"/>
    <x v="0"/>
    <b v="0"/>
    <s v="No está en VPC"/>
    <n v="721"/>
    <s v="INTPG_VPC_714_1.8_721_1.7"/>
    <s v="ISEL-1.7"/>
    <n v="108"/>
    <s v="NO TIENE L3OUT"/>
    <n v="20"/>
    <n v="54"/>
  </r>
  <r>
    <n v="788"/>
    <x v="2"/>
    <x v="122"/>
    <s v="eth1/7"/>
    <x v="0"/>
    <x v="0"/>
    <x v="0"/>
    <s v="TO-ITHFHPMEDIRAP05"/>
    <x v="0"/>
    <b v="0"/>
    <s v="No está en VPC"/>
    <n v="788"/>
    <s v="INTPG_VPC_788_1.7-8_789_1.7-8"/>
    <s v="ISEL-1.7"/>
    <n v="2"/>
    <s v="NO TIENE L3OUT"/>
    <n v="4"/>
    <n v="54"/>
  </r>
  <r>
    <n v="732"/>
    <x v="2"/>
    <x v="123"/>
    <s v="eth1/7"/>
    <x v="0"/>
    <x v="0"/>
    <x v="0"/>
    <s v="TO-TESTBED"/>
    <x v="0"/>
    <b v="0"/>
    <s v="No está en VPC"/>
    <n v="732"/>
    <s v="INTPG_VPC_732_1.6-7_733_1.6-7"/>
    <s v="ISEL-1.7"/>
    <n v="3"/>
    <s v="NO TIENE L3OUT"/>
    <n v="0"/>
    <n v="54"/>
  </r>
  <r>
    <n v="720"/>
    <x v="2"/>
    <x v="124"/>
    <s v="eth1/7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7"/>
    <x v="0"/>
    <x v="1"/>
    <x v="5"/>
    <s v="CEM:ITHCEME2DAT04:LOM P1"/>
    <x v="0"/>
    <b v="0"/>
    <s v="No está en VPC"/>
    <n v="709"/>
    <s v="INTPG_VPC_708_1.8_709_1.7"/>
    <s v="ISEL-1.7"/>
    <n v="1"/>
    <s v="NO TIENE L3OUT"/>
    <n v="0"/>
    <n v="54"/>
  </r>
  <r>
    <n v="454"/>
    <x v="1"/>
    <x v="126"/>
    <s v="eth1/7"/>
    <x v="0"/>
    <x v="0"/>
    <x v="0"/>
    <s v="HACIA_CSI-B-OSCP-F4-07_PRIMARIO"/>
    <x v="4"/>
    <b v="0"/>
    <s v="No está en VPC"/>
    <n v="454"/>
    <s v="INTPG_VPC_454_1.7_456_1.7"/>
    <s v="ISEL-1.7"/>
    <n v="2"/>
    <s v="NO TIENE L3OUT"/>
    <n v="4"/>
    <n v="54"/>
  </r>
  <r>
    <n v="734"/>
    <x v="2"/>
    <x v="127"/>
    <s v="eth1/7"/>
    <x v="0"/>
    <x v="1"/>
    <x v="1"/>
    <s v="CEM_HADOOP"/>
    <x v="5"/>
    <b v="0"/>
    <s v="No está en VPC"/>
    <n v="734"/>
    <s v="INTPG_ACC_734_1.7"/>
    <s v="ISEL-1.7"/>
    <n v="1"/>
    <s v="NO TIENE L3OUT"/>
    <n v="32"/>
    <n v="54"/>
  </r>
  <r>
    <n v="815"/>
    <x v="2"/>
    <x v="128"/>
    <s v="eth1/7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7"/>
    <x v="0"/>
    <x v="0"/>
    <x v="0"/>
    <s v="trunk22 Bes-Production"/>
    <x v="0"/>
    <b v="0"/>
    <s v="No está en VPC"/>
    <n v="743"/>
    <s v="INTPG_VPC_743_1.6_7_744_1.6_7"/>
    <s v="ISEL-1.7"/>
    <n v="5"/>
    <s v="NO TIENE L3OUT"/>
    <n v="4"/>
    <n v="54"/>
  </r>
  <r>
    <n v="718"/>
    <x v="2"/>
    <x v="130"/>
    <s v="eth1/7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7"/>
    <x v="0"/>
    <x v="0"/>
    <x v="0"/>
    <s v="trunk22 Bes-Production"/>
    <x v="0"/>
    <b v="0"/>
    <s v="No está en VPC"/>
    <n v="744"/>
    <s v="INTPG_VPC_743_1.6_7_744_1.6_7"/>
    <s v="ISEL-1.7"/>
    <n v="5"/>
    <s v="NO TIENE L3OUT"/>
    <n v="4"/>
    <n v="54"/>
  </r>
  <r>
    <n v="741"/>
    <x v="2"/>
    <x v="132"/>
    <s v="eth1/7"/>
    <x v="0"/>
    <x v="1"/>
    <x v="1"/>
    <s v="CEM:ITHCEMB2DAT04:LOM P3"/>
    <x v="5"/>
    <b v="0"/>
    <s v="No está en VPC"/>
    <n v="741"/>
    <s v="INTPG_ACC_741_1.7"/>
    <s v="ISEL-1.7"/>
    <n v="1"/>
    <s v="NO TIENE L3OUT"/>
    <n v="62"/>
    <n v="54"/>
  </r>
  <r>
    <n v="787"/>
    <x v="2"/>
    <x v="133"/>
    <s v="eth1/7"/>
    <x v="0"/>
    <x v="0"/>
    <x v="0"/>
    <s v="ENIQ F2:itheniqr16bl03ombsr4a:LOM PORT 1"/>
    <x v="0"/>
    <b v="0"/>
    <s v="No está en VPC"/>
    <n v="787"/>
    <s v="INTPG_PC_787_1.7-10"/>
    <s v="ISEL-1.7"/>
    <n v="2"/>
    <s v="NO TIENE L3OUT"/>
    <n v="26"/>
    <n v="54"/>
  </r>
  <r>
    <n v="750"/>
    <x v="2"/>
    <x v="134"/>
    <s v="eth1/7"/>
    <x v="0"/>
    <x v="0"/>
    <x v="0"/>
    <s v="trunk18 Bes-Production"/>
    <x v="0"/>
    <b v="0"/>
    <s v="No está en VPC"/>
    <n v="750"/>
    <s v="INTPG_VPC_750_1.6_7_751_1.6_7"/>
    <s v="ISEL-1.7"/>
    <n v="5"/>
    <s v="NO TIENE L3OUT"/>
    <n v="2"/>
    <n v="54"/>
  </r>
  <r>
    <n v="792"/>
    <x v="2"/>
    <x v="135"/>
    <s v="eth1/7"/>
    <x v="0"/>
    <x v="0"/>
    <x v="0"/>
    <s v="CRM, CBS:PR-R10-F07:E1-10GE 2"/>
    <x v="0"/>
    <b v="0"/>
    <s v="No está en VPC"/>
    <n v="792"/>
    <s v="INTPG_VPC_757_1.7_10_792_1.7_10"/>
    <s v="ISEL-1.7"/>
    <n v="13"/>
    <s v="NO TIENE L3OUT"/>
    <n v="0"/>
    <n v="54"/>
  </r>
  <r>
    <n v="736"/>
    <x v="2"/>
    <x v="136"/>
    <s v="eth1/7"/>
    <x v="0"/>
    <x v="0"/>
    <x v="0"/>
    <s v="CEM:ITHCEMG2DAT04:LOM  P2"/>
    <x v="0"/>
    <b v="0"/>
    <s v="No está en VPC"/>
    <n v="736"/>
    <s v="INTPG_ACC_736_1.7"/>
    <s v="ISEL-1.7"/>
    <n v="1"/>
    <s v="NO TIENE L3OUT"/>
    <n v="48"/>
    <n v="54"/>
  </r>
  <r>
    <n v="799"/>
    <x v="2"/>
    <x v="137"/>
    <s v="eth1/7"/>
    <x v="0"/>
    <x v="0"/>
    <x v="0"/>
    <s v="TO-IMC_PS21-MSP"/>
    <x v="0"/>
    <b v="0"/>
    <s v="No está en VPC"/>
    <n v="799"/>
    <s v="INTPG_ACC_799_1.7"/>
    <s v="ISEL-1.7"/>
    <n v="1"/>
    <s v="NO TIENE L3OUT"/>
    <n v="52"/>
    <n v="54"/>
  </r>
  <r>
    <n v="768"/>
    <x v="2"/>
    <x v="138"/>
    <s v="eth1/7"/>
    <x v="0"/>
    <x v="0"/>
    <x v="0"/>
    <s v="Portchannel_1_R3"/>
    <x v="0"/>
    <b v="0"/>
    <s v="No está en VPC"/>
    <n v="768"/>
    <s v="INTPG_PC_768_1.7-10"/>
    <s v="ISEL-1.7"/>
    <n v="2"/>
    <s v="NO TIENE L3OUT"/>
    <n v="62"/>
    <n v="54"/>
  </r>
  <r>
    <n v="714"/>
    <x v="2"/>
    <x v="139"/>
    <s v="eth1/7"/>
    <x v="0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7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7"/>
    <x v="0"/>
    <x v="0"/>
    <x v="0"/>
    <s v="TO-ITHFHPMEDIRAP05"/>
    <x v="0"/>
    <b v="0"/>
    <s v="No está en VPC"/>
    <n v="789"/>
    <s v="INTPG_VPC_788_1.7-8_789_1.7-8"/>
    <s v="ISEL-1.7"/>
    <n v="2"/>
    <s v="NO TIENE L3OUT"/>
    <n v="0"/>
    <n v="54"/>
  </r>
  <r>
    <n v="764"/>
    <x v="2"/>
    <x v="142"/>
    <s v="eth1/7"/>
    <x v="0"/>
    <x v="0"/>
    <x v="0"/>
    <s v="Portchannel_1_R1"/>
    <x v="0"/>
    <b v="0"/>
    <s v="No está en VPC"/>
    <n v="764"/>
    <s v="INTPG_PC_764_1.7-10"/>
    <s v="ISEL-1.7"/>
    <n v="2"/>
    <s v="NO TIENE L3OUT"/>
    <n v="62"/>
    <n v="54"/>
  </r>
  <r>
    <n v="783"/>
    <x v="2"/>
    <x v="143"/>
    <s v="eth1/7"/>
    <x v="0"/>
    <x v="0"/>
    <x v="0"/>
    <s v="LACP_OMBS_ENIQ9A"/>
    <x v="0"/>
    <b v="0"/>
    <s v="No está en VPC"/>
    <n v="783"/>
    <s v="INTPG_PC_783_1.7-10"/>
    <s v="ISEL-1.7"/>
    <n v="2"/>
    <s v="NO TIENE L3OUT"/>
    <n v="26"/>
    <n v="54"/>
  </r>
  <r>
    <n v="774"/>
    <x v="2"/>
    <x v="144"/>
    <s v="eth1/7"/>
    <x v="0"/>
    <x v="0"/>
    <x v="0"/>
    <s v="CLOUD PASS PAYG F3:ITHHWOSCOPAP024:LOM P3"/>
    <x v="0"/>
    <b v="0"/>
    <s v="No está en VPC"/>
    <n v="774"/>
    <s v="INTPG_VPC_774_1.7_775_1.7"/>
    <s v="ISEL-1.7"/>
    <n v="23"/>
    <s v="NO TIENE L3OUT"/>
    <n v="0"/>
    <n v="54"/>
  </r>
  <r>
    <n v="773"/>
    <x v="2"/>
    <x v="145"/>
    <s v="eth1/7"/>
    <x v="0"/>
    <x v="0"/>
    <x v="0"/>
    <s v="OSS_ENM"/>
    <x v="0"/>
    <b v="0"/>
    <s v="No está en VPC"/>
    <n v="773"/>
    <s v="INTPG_ACC_773_1.7"/>
    <s v="ISEL-1.7"/>
    <n v="1"/>
    <s v="NO TIENE L3OUT"/>
    <n v="78"/>
    <n v="54"/>
  </r>
  <r>
    <n v="794"/>
    <x v="2"/>
    <x v="146"/>
    <s v="eth1/7"/>
    <x v="0"/>
    <x v="0"/>
    <x v="0"/>
    <s v="DESC"/>
    <x v="0"/>
    <b v="0"/>
    <s v="No está en VPC"/>
    <n v="794"/>
    <s v="INTPG_VPC_793_1.5_7_794_1.5_7"/>
    <s v="ISEL-1.7"/>
    <n v="1"/>
    <s v="NO TIENE L3OUT"/>
    <n v="12"/>
    <n v="54"/>
  </r>
  <r>
    <n v="803"/>
    <x v="2"/>
    <x v="147"/>
    <s v="eth1/7"/>
    <x v="0"/>
    <x v="0"/>
    <x v="0"/>
    <s v="TO-HDPS_33-MSP"/>
    <x v="0"/>
    <b v="0"/>
    <s v="No está en VPC"/>
    <n v="803"/>
    <s v="INTPG_ACC_803_1.7"/>
    <s v="ISEL-1.7"/>
    <n v="1"/>
    <s v="NO TIENE L3OUT"/>
    <n v="48"/>
    <n v="54"/>
  </r>
  <r>
    <n v="786"/>
    <x v="2"/>
    <x v="148"/>
    <s v="eth1/7"/>
    <x v="0"/>
    <x v="0"/>
    <x v="0"/>
    <s v="ENIQ F2:itheniqr14bl03ombsr4b:LOM PORT 1"/>
    <x v="0"/>
    <b v="0"/>
    <s v="No está en VPC"/>
    <n v="786"/>
    <s v="INTPG_PC_786_1.7-10"/>
    <s v="ISEL-1.7"/>
    <n v="2"/>
    <s v="NO TIENE L3OUT"/>
    <n v="26"/>
    <n v="54"/>
  </r>
  <r>
    <n v="757"/>
    <x v="2"/>
    <x v="149"/>
    <s v="eth1/7"/>
    <x v="0"/>
    <x v="0"/>
    <x v="0"/>
    <s v="CRM, CBS:ITHHWBESRK10CH1:E1-10GE 1"/>
    <x v="0"/>
    <b v="0"/>
    <s v="No está en VPC"/>
    <n v="757"/>
    <s v="INTPG_VPC_757_1.7_10_792_1.7_10"/>
    <s v="ISEL-1.7"/>
    <n v="13"/>
    <s v="NO TIENE L3OUT"/>
    <n v="0"/>
    <n v="54"/>
  </r>
  <r>
    <n v="781"/>
    <x v="2"/>
    <x v="150"/>
    <s v="eth1/7"/>
    <x v="0"/>
    <x v="0"/>
    <x v="0"/>
    <s v="LACP_OMBS_ENIQ9C"/>
    <x v="0"/>
    <b v="0"/>
    <s v="No está en VPC"/>
    <n v="781"/>
    <s v="INTPG_PC_781_1.7-10"/>
    <s v="ISEL-1.7"/>
    <n v="2"/>
    <s v="NO TIENE L3OUT"/>
    <n v="26"/>
    <n v="54"/>
  </r>
  <r>
    <n v="793"/>
    <x v="2"/>
    <x v="151"/>
    <s v="eth1/7"/>
    <x v="0"/>
    <x v="0"/>
    <x v="0"/>
    <s v="DESC"/>
    <x v="0"/>
    <b v="0"/>
    <s v="No está en VPC"/>
    <n v="793"/>
    <s v="INTPG_VPC_793_1.5_7_794_1.5_7"/>
    <s v="ISEL-1.7"/>
    <n v="1"/>
    <s v="NO TIENE L3OUT"/>
    <n v="12"/>
    <n v="54"/>
  </r>
  <r>
    <n v="747"/>
    <x v="2"/>
    <x v="152"/>
    <s v="eth1/7"/>
    <x v="0"/>
    <x v="0"/>
    <x v="0"/>
    <s v="PAAS:ithhwoscopap007:LOM PORT 1"/>
    <x v="0"/>
    <b v="0"/>
    <s v="No está en VPC"/>
    <n v="747"/>
    <s v="INTPG_VPC_747_1.7_752_1.7"/>
    <s v="ISEL-1.7"/>
    <n v="25"/>
    <s v="NO TIENE L3OUT"/>
    <n v="0"/>
    <n v="54"/>
  </r>
  <r>
    <n v="784"/>
    <x v="2"/>
    <x v="153"/>
    <s v="eth1/7"/>
    <x v="0"/>
    <x v="0"/>
    <x v="0"/>
    <s v="ENIQ F2:itheniqr12bl03ombsr6b:LOM PORT 1"/>
    <x v="0"/>
    <b v="0"/>
    <s v="No está en VPC"/>
    <n v="784"/>
    <s v="INTPG_PC_784_1.7-10"/>
    <s v="ISEL-1.7"/>
    <n v="2"/>
    <s v="NO TIENE L3OUT"/>
    <n v="26"/>
    <n v="54"/>
  </r>
  <r>
    <n v="806"/>
    <x v="2"/>
    <x v="154"/>
    <s v="eth1/7"/>
    <x v="0"/>
    <x v="0"/>
    <x v="0"/>
    <s v="TO-HDPS_57-MSP"/>
    <x v="0"/>
    <b v="0"/>
    <s v="No está en VPC"/>
    <n v="806"/>
    <s v="INTPG_ACC_806_1.7"/>
    <s v="ISEL-1.7"/>
    <n v="1"/>
    <s v="NO TIENE L3OUT"/>
    <n v="44"/>
    <n v="54"/>
  </r>
  <r>
    <n v="777"/>
    <x v="2"/>
    <x v="155"/>
    <s v="eth1/7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7"/>
    <x v="0"/>
    <x v="0"/>
    <x v="0"/>
    <s v="Portchannel_2_R4B"/>
    <x v="0"/>
    <b v="0"/>
    <s v="No está en VPC"/>
    <n v="770"/>
    <s v="INTPG_PC_770_1.7-8"/>
    <s v="ISEL-1.7"/>
    <n v="8"/>
    <s v="NO TIENE L3OUT"/>
    <n v="60"/>
    <n v="54"/>
  </r>
  <r>
    <n v="813"/>
    <x v="2"/>
    <x v="157"/>
    <s v="eth1/7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7"/>
    <x v="0"/>
    <x v="0"/>
    <x v="0"/>
    <s v="CEM:ITHCEMD2DAT04:LOM P3"/>
    <x v="5"/>
    <b v="0"/>
    <s v="No está en VPC"/>
    <n v="739"/>
    <s v="INTPG_ACC_739_1.7"/>
    <s v="ISEL-1.7"/>
    <n v="1"/>
    <s v="NO TIENE L3OUT"/>
    <n v="72"/>
    <n v="54"/>
  </r>
  <r>
    <n v="775"/>
    <x v="2"/>
    <x v="159"/>
    <s v="eth1/7"/>
    <x v="0"/>
    <x v="0"/>
    <x v="0"/>
    <s v="CLOUD PASS PAYG F3:ITHHWOSCOPAP024:FLEX I/O P1"/>
    <x v="0"/>
    <b v="0"/>
    <s v="No está en VPC"/>
    <n v="775"/>
    <s v="INTPG_VPC_774_1.7_775_1.7"/>
    <s v="ISEL-1.7"/>
    <n v="23"/>
    <s v="NO TIENE L3OUT"/>
    <n v="0"/>
    <n v="54"/>
  </r>
  <r>
    <n v="791"/>
    <x v="2"/>
    <x v="160"/>
    <s v="eth1/7"/>
    <x v="0"/>
    <x v="0"/>
    <x v="0"/>
    <s v="LINK_TO_ITHEMCPS5200TWPT3 / Nodo B IOM 1.3_05 / Redundante"/>
    <x v="0"/>
    <b v="0"/>
    <s v="No está en VPC"/>
    <n v="791"/>
    <s v="INTPG_ACC_791_1.7"/>
    <s v="ISEL-1.7"/>
    <n v="2"/>
    <s v="NO TIENE L3OUT"/>
    <n v="20"/>
    <n v="54"/>
  </r>
  <r>
    <n v="808"/>
    <x v="2"/>
    <x v="161"/>
    <s v="eth1/7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7"/>
    <x v="0"/>
    <x v="0"/>
    <x v="0"/>
    <s v="LINK_TO_ITHFHWCBSDSUSBD06 /Slot7.2 /Redundante"/>
    <x v="0"/>
    <b v="0"/>
    <s v="No está en VPC"/>
    <n v="830"/>
    <s v="INTPG_VPC_826_1.7_830_1.7"/>
    <s v="ISEL-1.7"/>
    <n v="2"/>
    <s v="NO TIENE L3OUT"/>
    <n v="12"/>
    <n v="54"/>
  </r>
  <r>
    <n v="821"/>
    <x v="2"/>
    <x v="163"/>
    <s v="eth1/7"/>
    <x v="0"/>
    <x v="0"/>
    <x v="0"/>
    <s v="LINK_TO_ITHFHWCBSPSUSBD11 /Slot7.2 /Redundante"/>
    <x v="0"/>
    <b v="0"/>
    <s v="No está en VPC"/>
    <n v="821"/>
    <s v="INTPG_VPC_816_1.7_821_1.7"/>
    <s v="ISEL-1.7"/>
    <n v="2"/>
    <s v="NO TIENE L3OUT"/>
    <n v="0"/>
    <n v="54"/>
  </r>
  <r>
    <n v="738"/>
    <x v="2"/>
    <x v="164"/>
    <s v="eth1/7"/>
    <x v="0"/>
    <x v="0"/>
    <x v="0"/>
    <s v="CEM:ITHCEME2DAT04:LOM P3"/>
    <x v="5"/>
    <b v="0"/>
    <s v="No está en VPC"/>
    <n v="738"/>
    <s v="INTPG_ACC_738_1.7"/>
    <s v="ISEL-1.7"/>
    <n v="1"/>
    <s v="NO TIENE L3OUT"/>
    <n v="72"/>
    <n v="54"/>
  </r>
  <r>
    <n v="820"/>
    <x v="2"/>
    <x v="165"/>
    <s v="eth1/7"/>
    <x v="0"/>
    <x v="0"/>
    <x v="0"/>
    <s v="LINK_TO_ITHHWCRMPEN02 /X2-10GE 4 /Redundante"/>
    <x v="0"/>
    <b v="0"/>
    <s v="No está en VPC"/>
    <n v="820"/>
    <s v="INTPG_VPC_820_1.7-8_10-11_825_1.7-8_10-11"/>
    <s v="ISEL-1.7"/>
    <n v="1"/>
    <s v="NO TIENE L3OUT"/>
    <n v="72"/>
    <n v="54"/>
  </r>
  <r>
    <n v="804"/>
    <x v="2"/>
    <x v="166"/>
    <s v="eth1/7"/>
    <x v="0"/>
    <x v="0"/>
    <x v="0"/>
    <s v="TO-HDPS_33-MSP"/>
    <x v="0"/>
    <b v="0"/>
    <s v="No está en VPC"/>
    <n v="804"/>
    <s v="INTPG_ACC_804_1.7"/>
    <s v="ISEL-1.7"/>
    <n v="1"/>
    <s v="NO TIENE L3OUT"/>
    <n v="48"/>
    <n v="54"/>
  </r>
  <r>
    <n v="779"/>
    <x v="2"/>
    <x v="167"/>
    <s v="eth1/7"/>
    <x v="0"/>
    <x v="0"/>
    <x v="0"/>
    <s v="ENIQ F1:itheniqr08ombsr3:LOM PORT 1"/>
    <x v="0"/>
    <b v="0"/>
    <s v="No está en VPC"/>
    <n v="779"/>
    <s v="INTPG_PC_779_1.7-10"/>
    <s v="ISEL-1.7"/>
    <n v="2"/>
    <s v="NO TIENE L3OUT"/>
    <n v="30"/>
    <n v="54"/>
  </r>
  <r>
    <n v="767"/>
    <x v="2"/>
    <x v="168"/>
    <s v="eth1/7"/>
    <x v="0"/>
    <x v="0"/>
    <x v="0"/>
    <s v="OSS_ENM"/>
    <x v="0"/>
    <b v="0"/>
    <s v="No está en VPC"/>
    <n v="767"/>
    <s v="INTPG_ACC_767_1.7"/>
    <s v="ISEL-1.7"/>
    <n v="1"/>
    <s v="NO TIENE L3OUT"/>
    <n v="60"/>
    <n v="54"/>
  </r>
  <r>
    <n v="827"/>
    <x v="2"/>
    <x v="169"/>
    <s v="eth1/7"/>
    <x v="0"/>
    <x v="0"/>
    <x v="0"/>
    <s v="LINK_TO_ITHHWD6KV60013DKC01 /CtrlB_IOM1.P0 /Principal"/>
    <x v="0"/>
    <b v="0"/>
    <s v="No está en VPC"/>
    <n v="827"/>
    <s v="INTPG_ACC_827_1.7"/>
    <s v="ISEL-1.7"/>
    <n v="1"/>
    <s v="NO TIENE L3OUT"/>
    <n v="14"/>
    <n v="54"/>
  </r>
  <r>
    <n v="809"/>
    <x v="2"/>
    <x v="170"/>
    <s v="eth1/7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7"/>
    <x v="0"/>
    <x v="0"/>
    <x v="0"/>
    <s v="Portchannel_1_R4B"/>
    <x v="0"/>
    <b v="0"/>
    <s v="No está en VPC"/>
    <n v="771"/>
    <s v="INTPG_PC_771_1.7-10"/>
    <s v="ISEL-1.7"/>
    <n v="2"/>
    <s v="NO TIENE L3OUT"/>
    <n v="62"/>
    <n v="54"/>
  </r>
  <r>
    <n v="761"/>
    <x v="2"/>
    <x v="172"/>
    <s v="eth1/7"/>
    <x v="0"/>
    <x v="1"/>
    <x v="1"/>
    <m/>
    <x v="0"/>
    <b v="0"/>
    <s v="No está en VPC"/>
    <n v="761"/>
    <s v="INTPG_VPC_760_1.5-8_761_1.5-8"/>
    <s v="ISEL-1.7"/>
    <n v="0"/>
    <s v="L3OUT-EXACLOUD"/>
    <n v="0"/>
    <n v="54"/>
  </r>
  <r>
    <n v="776"/>
    <x v="2"/>
    <x v="173"/>
    <s v="eth1/7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7"/>
    <x v="0"/>
    <x v="0"/>
    <x v="0"/>
    <s v="TO-HDPS_57-MSP"/>
    <x v="0"/>
    <b v="0"/>
    <s v="No está en VPC"/>
    <n v="805"/>
    <s v="INTPG_ACC_805_1.7"/>
    <s v="ISEL-1.7"/>
    <n v="1"/>
    <s v="NO TIENE L3OUT"/>
    <n v="44"/>
    <n v="54"/>
  </r>
  <r>
    <n v="772"/>
    <x v="2"/>
    <x v="175"/>
    <s v="eth1/7"/>
    <x v="0"/>
    <x v="0"/>
    <x v="0"/>
    <s v="Portchannel_1_R2"/>
    <x v="0"/>
    <b v="0"/>
    <s v="No está en VPC"/>
    <n v="772"/>
    <s v="INTPG_PC_772_1.7-10"/>
    <s v="ISEL-1.7"/>
    <n v="2"/>
    <s v="NO TIENE L3OUT"/>
    <n v="82"/>
    <n v="54"/>
  </r>
  <r>
    <n v="785"/>
    <x v="2"/>
    <x v="176"/>
    <s v="eth1/7"/>
    <x v="0"/>
    <x v="0"/>
    <x v="0"/>
    <s v="ENIQ F2:itheniqr13bl03ombsr6a:LOM PORT 1"/>
    <x v="0"/>
    <b v="0"/>
    <s v="No está en VPC"/>
    <n v="785"/>
    <s v="INTPG_PC_785_1.7-10"/>
    <s v="ISEL-1.7"/>
    <n v="2"/>
    <s v="NO TIENE L3OUT"/>
    <n v="32"/>
    <n v="54"/>
  </r>
  <r>
    <n v="851"/>
    <x v="2"/>
    <x v="177"/>
    <s v="eth1/7"/>
    <x v="0"/>
    <x v="0"/>
    <x v="0"/>
    <s v="LINK_TO_ITHFHWCRMPLCN103 / Slot7.1_10 / Redundante"/>
    <x v="0"/>
    <b v="0"/>
    <s v="No está en VPC"/>
    <n v="851"/>
    <s v="INTPG_ACC_851_1.7"/>
    <s v="ISEL-1.7"/>
    <n v="6"/>
    <s v="NO TIENE L3OUT"/>
    <n v="282"/>
    <n v="54"/>
  </r>
  <r>
    <n v="798"/>
    <x v="2"/>
    <x v="178"/>
    <s v="eth1/7"/>
    <x v="0"/>
    <x v="0"/>
    <x v="0"/>
    <s v="TO-IMC_PS21-MSP"/>
    <x v="0"/>
    <b v="0"/>
    <s v="No está en VPC"/>
    <n v="798"/>
    <s v="INTPG_ACC_798_1.7"/>
    <s v="ISEL-1.7"/>
    <n v="1"/>
    <s v="NO TIENE L3OUT"/>
    <n v="52"/>
    <n v="54"/>
  </r>
  <r>
    <n v="782"/>
    <x v="2"/>
    <x v="179"/>
    <s v="eth1/7"/>
    <x v="0"/>
    <x v="0"/>
    <x v="0"/>
    <s v="LACP_OMBS_ENIQ9B"/>
    <x v="0"/>
    <b v="0"/>
    <s v="No está en VPC"/>
    <n v="782"/>
    <s v="INTPG_PC_782_1.7-10"/>
    <s v="ISEL-1.7"/>
    <n v="2"/>
    <s v="NO TIENE L3OUT"/>
    <n v="32"/>
    <n v="54"/>
  </r>
  <r>
    <n v="852"/>
    <x v="2"/>
    <x v="180"/>
    <s v="eth1/7"/>
    <x v="0"/>
    <x v="0"/>
    <x v="0"/>
    <s v="LINK_TO_ITHFHWCRMPSBDA07 / Slot7.2_4 / Redundante"/>
    <x v="0"/>
    <b v="0"/>
    <s v="No está en VPC"/>
    <n v="852"/>
    <s v="INTPG_VPC_845_1.7_852_1.7"/>
    <s v="ISEL-1.7"/>
    <n v="2"/>
    <s v="NO TIENE L3OUT"/>
    <n v="258"/>
    <n v="54"/>
  </r>
  <r>
    <n v="817"/>
    <x v="2"/>
    <x v="181"/>
    <s v="eth1/7"/>
    <x v="0"/>
    <x v="0"/>
    <x v="0"/>
    <s v="LINK_TO_ITHFHWCBSPSWR24 /Slot5.2 /Principal"/>
    <x v="0"/>
    <b v="0"/>
    <s v="No está en VPC"/>
    <n v="817"/>
    <s v="INTPG_VPC_817_1.7_822_1.7"/>
    <s v="ISEL-1.7"/>
    <n v="2"/>
    <s v="NO TIENE L3OUT"/>
    <n v="0"/>
    <n v="54"/>
  </r>
  <r>
    <n v="832"/>
    <x v="2"/>
    <x v="182"/>
    <s v="eth1/7"/>
    <x v="0"/>
    <x v="0"/>
    <x v="0"/>
    <s v="LINK_TO_ITHFHWCBSDSWR34 /Slot7.2 /Redundante"/>
    <x v="0"/>
    <b v="0"/>
    <s v="No está en VPC"/>
    <n v="832"/>
    <s v="INTPG_VPC_828_1.7_832_1.7"/>
    <s v="ISEL-1.7"/>
    <n v="2"/>
    <s v="NO TIENE L3OUT"/>
    <n v="192"/>
    <n v="54"/>
  </r>
  <r>
    <n v="816"/>
    <x v="2"/>
    <x v="183"/>
    <s v="eth1/7"/>
    <x v="0"/>
    <x v="0"/>
    <x v="0"/>
    <s v="LINK_TO_ITHFHWCBSPSUSBD11 /Slot5.2 /Principal"/>
    <x v="0"/>
    <b v="0"/>
    <s v="No está en VPC"/>
    <n v="816"/>
    <s v="INTPG_VPC_816_1.7_821_1.7"/>
    <s v="ISEL-1.7"/>
    <n v="2"/>
    <s v="NO TIENE L3OUT"/>
    <n v="0"/>
    <n v="54"/>
  </r>
  <r>
    <n v="825"/>
    <x v="2"/>
    <x v="184"/>
    <s v="eth1/7"/>
    <x v="0"/>
    <x v="0"/>
    <x v="0"/>
    <s v="LINK_TO_ITHHWCRMPEN02 /X2-10GE 3 /Principal"/>
    <x v="0"/>
    <b v="0"/>
    <s v="No está en VPC"/>
    <n v="825"/>
    <s v="INTPG_VPC_820_1.7-8_10-11_825_1.7-8_10-11"/>
    <s v="ISEL-1.7"/>
    <n v="1"/>
    <s v="NO TIENE L3OUT"/>
    <n v="72"/>
    <n v="54"/>
  </r>
  <r>
    <n v="800"/>
    <x v="2"/>
    <x v="185"/>
    <s v="eth1/7"/>
    <x v="0"/>
    <x v="0"/>
    <x v="0"/>
    <s v="TO-CEPS_03-MSP"/>
    <x v="0"/>
    <b v="0"/>
    <s v="No está en VPC"/>
    <n v="800"/>
    <s v="INTPG_ACC_800_1.7"/>
    <s v="ISEL-1.7"/>
    <n v="1"/>
    <s v="NO TIENE L3OUT"/>
    <n v="78"/>
    <n v="54"/>
  </r>
  <r>
    <n v="801"/>
    <x v="2"/>
    <x v="186"/>
    <s v="eth1/7"/>
    <x v="0"/>
    <x v="0"/>
    <x v="0"/>
    <s v="TO-CEPS_03-MSP"/>
    <x v="0"/>
    <b v="0"/>
    <s v="No está en VPC"/>
    <n v="801"/>
    <s v="INTPG_ACC_801_1.7"/>
    <s v="ISEL-1.7"/>
    <n v="1"/>
    <s v="NO TIENE L3OUT"/>
    <n v="78"/>
    <n v="54"/>
  </r>
  <r>
    <n v="823"/>
    <x v="2"/>
    <x v="187"/>
    <s v="eth1/7"/>
    <x v="0"/>
    <x v="0"/>
    <x v="0"/>
    <s v="TRANSFORMA PHASE 2C PR"/>
    <x v="0"/>
    <b v="0"/>
    <s v="No está en VPC"/>
    <n v="823"/>
    <s v="INTPG_ACC_823_1.7"/>
    <s v="ISEL-1.7"/>
    <n v="1"/>
    <s v="NO TIENE L3OUT"/>
    <n v="8"/>
    <n v="54"/>
  </r>
  <r>
    <n v="837"/>
    <x v="2"/>
    <x v="188"/>
    <s v="eth1/7"/>
    <x v="0"/>
    <x v="0"/>
    <x v="0"/>
    <s v="LINK_TO_ITHFHWCBSPSUSBD24 / Slot1.3_4 / Principal"/>
    <x v="0"/>
    <b v="0"/>
    <s v="No está en VPC"/>
    <n v="837"/>
    <s v="INTPG_VPC_837_1.7_842_1.7"/>
    <s v="ISEL-1.7"/>
    <n v="1"/>
    <s v="NO TIENE L3OUT"/>
    <n v="8"/>
    <n v="54"/>
  </r>
  <r>
    <n v="867"/>
    <x v="2"/>
    <x v="189"/>
    <s v="eth1/7"/>
    <x v="0"/>
    <x v="0"/>
    <x v="0"/>
    <s v="To_ITHHWD6KV65100013DKC01_Redundante"/>
    <x v="0"/>
    <b v="0"/>
    <s v="No está en VPC"/>
    <n v="867"/>
    <s v="INTPG_ACC_867_1.7"/>
    <s v="ISEL-1.7"/>
    <n v="1"/>
    <s v="NO TIENE L3OUT"/>
    <n v="44"/>
    <n v="54"/>
  </r>
  <r>
    <n v="829"/>
    <x v="2"/>
    <x v="190"/>
    <s v="eth1/7"/>
    <x v="0"/>
    <x v="0"/>
    <x v="0"/>
    <s v="LINK_TO_ITHFHWCRMDLCN30 /Slot7.2 /Redundante"/>
    <x v="0"/>
    <b v="0"/>
    <s v="No está en VPC"/>
    <n v="829"/>
    <s v="INTPG_ACC_829_1.7"/>
    <s v="ISEL-1.7"/>
    <n v="5"/>
    <s v="NO TIENE L3OUT"/>
    <n v="224"/>
    <n v="54"/>
  </r>
  <r>
    <n v="831"/>
    <x v="2"/>
    <x v="191"/>
    <s v="eth1/7"/>
    <x v="0"/>
    <x v="0"/>
    <x v="0"/>
    <s v="LINK_TO_ITHHWD6KV60013DKC01 /CtrlB_IOM1.P1 /Redundante"/>
    <x v="0"/>
    <b v="0"/>
    <s v="No está en VPC"/>
    <n v="831"/>
    <s v="INTPG_ACC_831_1.7"/>
    <s v="ISEL-1.7"/>
    <n v="1"/>
    <s v="NO TIENE L3OUT"/>
    <n v="14"/>
    <n v="54"/>
  </r>
  <r>
    <n v="802"/>
    <x v="2"/>
    <x v="192"/>
    <s v="eth1/7"/>
    <x v="0"/>
    <x v="0"/>
    <x v="0"/>
    <s v="TO-HDPS_09-MSP"/>
    <x v="0"/>
    <b v="0"/>
    <s v="No está en VPC"/>
    <n v="802"/>
    <s v="INTPG_ACC_802_1.7"/>
    <s v="ISEL-1.7"/>
    <n v="1"/>
    <s v="NO TIENE L3OUT"/>
    <n v="48"/>
    <n v="54"/>
  </r>
  <r>
    <n v="835"/>
    <x v="2"/>
    <x v="193"/>
    <s v="eth1/7"/>
    <x v="0"/>
    <x v="0"/>
    <x v="0"/>
    <s v="LINK_TO_ITHFHWCBSPSWR56 / Slot1.1_24 / Principal"/>
    <x v="0"/>
    <b v="0"/>
    <s v="No está en VPC"/>
    <n v="835"/>
    <s v="INTPG_VPC_835_1.7_840_1.7"/>
    <s v="ISEL-1.7"/>
    <n v="2"/>
    <s v="NO TIENE L3OUT"/>
    <n v="8"/>
    <n v="54"/>
  </r>
  <r>
    <n v="822"/>
    <x v="2"/>
    <x v="194"/>
    <s v="eth1/7"/>
    <x v="0"/>
    <x v="0"/>
    <x v="0"/>
    <s v="LINK_TO_ITHFHWCBSPSWR24 /Slot7.2 /Redundante"/>
    <x v="0"/>
    <b v="0"/>
    <s v="No está en VPC"/>
    <n v="822"/>
    <s v="INTPG_VPC_817_1.7_822_1.7"/>
    <s v="ISEL-1.7"/>
    <n v="2"/>
    <s v="NO TIENE L3OUT"/>
    <n v="0"/>
    <n v="54"/>
  </r>
  <r>
    <n v="854"/>
    <x v="2"/>
    <x v="195"/>
    <s v="eth1/7"/>
    <x v="0"/>
    <x v="0"/>
    <x v="0"/>
    <s v="LINK_TO_ITHHWD6KV65100018DKC01 / CTMA_IOM0.P1_34 / Redundante"/>
    <x v="0"/>
    <b v="0"/>
    <s v="No está en VPC"/>
    <n v="854"/>
    <s v="INTPG_ACC_854_1.7"/>
    <s v="ISEL-1.7"/>
    <n v="1"/>
    <s v="NO TIENE L3OUT"/>
    <n v="204"/>
    <n v="54"/>
  </r>
  <r>
    <n v="858"/>
    <x v="2"/>
    <x v="196"/>
    <s v="eth1/7"/>
    <x v="0"/>
    <x v="0"/>
    <x v="0"/>
    <s v="To_VPC_2DCBSD_HD39_1"/>
    <x v="0"/>
    <b v="0"/>
    <s v="No está en VPC"/>
    <n v="858"/>
    <s v="INTPG_VPC_858_1.7_863_1.7"/>
    <s v="ISEL-1.7"/>
    <n v="2"/>
    <s v="NO TIENE L3OUT"/>
    <n v="8"/>
    <n v="54"/>
  </r>
  <r>
    <n v="857"/>
    <x v="2"/>
    <x v="197"/>
    <s v="eth1/7"/>
    <x v="0"/>
    <x v="0"/>
    <x v="0"/>
    <s v="LINK_TO_ITHFHWCRMPLCN152 / Slot1.3_38 / Principal"/>
    <x v="0"/>
    <b v="0"/>
    <s v="No está en VPC"/>
    <n v="857"/>
    <s v="INTPG_ACC_857_1.7"/>
    <s v="ISEL-1.7"/>
    <n v="1"/>
    <s v="NO TIENE L3OUT"/>
    <n v="288"/>
    <n v="54"/>
  </r>
  <r>
    <n v="859"/>
    <x v="2"/>
    <x v="198"/>
    <s v="eth1/7"/>
    <x v="0"/>
    <x v="0"/>
    <x v="0"/>
    <s v="To_VPC_2DCBSD_HD33_1"/>
    <x v="0"/>
    <b v="0"/>
    <s v="No está en VPC"/>
    <n v="859"/>
    <s v="INTPG_VPC_859_1.7_864_1.7"/>
    <s v="ISEL-1.7"/>
    <n v="2"/>
    <s v="NO TIENE L3OUT"/>
    <n v="0"/>
    <n v="54"/>
  </r>
  <r>
    <n v="833"/>
    <x v="2"/>
    <x v="199"/>
    <s v="eth1/7"/>
    <x v="0"/>
    <x v="0"/>
    <x v="0"/>
    <s v="LINK_TO_ITHFHWCRMDLCN30 /Slot5.2 /Principal"/>
    <x v="0"/>
    <b v="0"/>
    <s v="No está en VPC"/>
    <n v="833"/>
    <s v="INTPG_ACC_833_1.7"/>
    <s v="ISEL-1.7"/>
    <n v="5"/>
    <s v="NO TIENE L3OUT"/>
    <n v="224"/>
    <n v="54"/>
  </r>
  <r>
    <n v="818"/>
    <x v="2"/>
    <x v="200"/>
    <s v="eth1/7"/>
    <x v="0"/>
    <x v="0"/>
    <x v="0"/>
    <s v="TRANSFORMA PHASE 2C PR"/>
    <x v="0"/>
    <b v="0"/>
    <s v="No está en VPC"/>
    <n v="818"/>
    <s v="INTPG_ACC_818_1.7"/>
    <s v="ISEL-1.7"/>
    <n v="1"/>
    <s v="NO TIENE L3OUT"/>
    <n v="8"/>
    <n v="54"/>
  </r>
  <r>
    <n v="850"/>
    <x v="2"/>
    <x v="201"/>
    <s v="eth1/7"/>
    <x v="0"/>
    <x v="0"/>
    <x v="0"/>
    <s v="LINK_TO_ITHFHWCRMPLCN152 / Slot7.3_38 / Redundante"/>
    <x v="0"/>
    <b v="0"/>
    <s v="No está en VPC"/>
    <n v="850"/>
    <s v="INTPG_ACC_850_1.7"/>
    <s v="ISEL-1.7"/>
    <n v="1"/>
    <s v="NO TIENE L3OUT"/>
    <n v="288"/>
    <n v="54"/>
  </r>
  <r>
    <n v="860"/>
    <x v="2"/>
    <x v="202"/>
    <s v="eth1/7"/>
    <x v="0"/>
    <x v="0"/>
    <x v="0"/>
    <s v="To_VPC_2DCBSD_HD25_1"/>
    <x v="0"/>
    <b v="0"/>
    <s v="No está en VPC"/>
    <n v="860"/>
    <s v="INTPG_VPC_860_1.7_865_1.7"/>
    <s v="ISEL-1.7"/>
    <n v="2"/>
    <s v="NO TIENE L3OUT"/>
    <n v="0"/>
    <n v="54"/>
  </r>
  <r>
    <n v="853"/>
    <x v="2"/>
    <x v="203"/>
    <s v="eth1/7"/>
    <x v="0"/>
    <x v="0"/>
    <x v="0"/>
    <s v="LINK_TO_ITHHWD6KV65100011DKC01 / CTMA_IOM1.P1_34 / Redundante"/>
    <x v="0"/>
    <b v="0"/>
    <s v="No está en VPC"/>
    <n v="853"/>
    <s v="INTPG_ACC_853_1.7"/>
    <s v="ISEL-1.7"/>
    <n v="1"/>
    <s v="NO TIENE L3OUT"/>
    <n v="242"/>
    <n v="54"/>
  </r>
  <r>
    <n v="790"/>
    <x v="2"/>
    <x v="204"/>
    <s v="eth1/7"/>
    <x v="0"/>
    <x v="0"/>
    <x v="0"/>
    <s v="LINK_TO_ITHEMCPS5200TWPT3 / Nodo B IOM 1.2_05 / Principal"/>
    <x v="0"/>
    <b v="0"/>
    <s v="No está en VPC"/>
    <n v="790"/>
    <s v="INTPG_ACC_790_1.7"/>
    <s v="ISEL-1.7"/>
    <n v="2"/>
    <s v="NO TIENE L3OUT"/>
    <n v="20"/>
    <n v="54"/>
  </r>
  <r>
    <n v="105"/>
    <x v="0"/>
    <x v="205"/>
    <s v="eth1/7"/>
    <x v="0"/>
    <x v="1"/>
    <x v="1"/>
    <s v="DESC"/>
    <x v="6"/>
    <b v="0"/>
    <s v="No está en VPC"/>
    <n v="105"/>
    <s v="INTPG_PC_105_1.6-12_38"/>
    <s v="ISEL-1.7"/>
    <n v="17"/>
    <s v="NO TIENE L3OUT"/>
    <n v="106"/>
    <n v="96"/>
  </r>
  <r>
    <n v="117"/>
    <x v="0"/>
    <x v="206"/>
    <s v="eth1/7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7"/>
    <x v="0"/>
    <x v="1"/>
    <x v="1"/>
    <s v="SFLDI"/>
    <x v="6"/>
    <b v="0"/>
    <s v="No está en VPC"/>
    <n v="104"/>
    <s v="INTPG_ACC_104_1.7"/>
    <s v="ISEL-1.7"/>
    <n v="1"/>
    <s v="NO TIENE L3OUT"/>
    <n v="194"/>
    <n v="96"/>
  </r>
  <r>
    <n v="158"/>
    <x v="0"/>
    <x v="208"/>
    <s v="eth1/7"/>
    <x v="1"/>
    <x v="1"/>
    <x v="2"/>
    <s v="RED CRICKET"/>
    <x v="6"/>
    <b v="0"/>
    <s v="No está en VPC"/>
    <n v="158"/>
    <s v="INTPG_ACC_158_1.7"/>
    <s v="ISEL-1.7"/>
    <n v="1"/>
    <s v="NO TIENE L3OUT"/>
    <n v="30"/>
    <n v="96"/>
  </r>
  <r>
    <n v="875"/>
    <x v="2"/>
    <x v="209"/>
    <s v="eth1/7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7"/>
    <x v="0"/>
    <x v="0"/>
    <x v="0"/>
    <s v="HACIA_CSI-B-OSCP-F4-11_PRIMARIO"/>
    <x v="4"/>
    <b v="0"/>
    <s v="No está en VPC"/>
    <n v="879"/>
    <s v="INTPG_VPC_878_1.7_879_1.7"/>
    <s v="ISEL-1.7"/>
    <n v="2"/>
    <s v="NO TIENE L3OUT"/>
    <n v="0"/>
    <n v="54"/>
  </r>
  <r>
    <n v="108"/>
    <x v="0"/>
    <x v="211"/>
    <s v="eth1/7"/>
    <x v="0"/>
    <x v="0"/>
    <x v="0"/>
    <s v="ZSMART"/>
    <x v="6"/>
    <b v="0"/>
    <s v="No está en VPC"/>
    <n v="108"/>
    <s v="INTPG_ACC_108_1.7"/>
    <s v="ISEL-1.7"/>
    <n v="1"/>
    <s v="NO TIENE L3OUT"/>
    <n v="126"/>
    <n v="96"/>
  </r>
  <r>
    <n v="112"/>
    <x v="0"/>
    <x v="212"/>
    <s v="eth1/7"/>
    <x v="0"/>
    <x v="0"/>
    <x v="0"/>
    <s v="CFD"/>
    <x v="6"/>
    <b v="0"/>
    <s v="No está en VPC"/>
    <n v="112"/>
    <s v="INTPG_ACC_112_1.7"/>
    <s v="ISEL-1.7"/>
    <n v="1"/>
    <s v="NO TIENE L3OUT"/>
    <n v="144"/>
    <n v="96"/>
  </r>
  <r>
    <n v="107"/>
    <x v="0"/>
    <x v="213"/>
    <s v="eth1/7"/>
    <x v="0"/>
    <x v="1"/>
    <x v="1"/>
    <s v="OPEN VIEW BACK FASE2_1"/>
    <x v="6"/>
    <b v="0"/>
    <s v="No está en VPC"/>
    <n v="107"/>
    <s v="INTPG_ACC_107_1.7"/>
    <s v="ISEL-1.7"/>
    <n v="1"/>
    <s v="NO TIENE L3OUT"/>
    <n v="118"/>
    <n v="96"/>
  </r>
  <r>
    <n v="109"/>
    <x v="0"/>
    <x v="214"/>
    <s v="eth1/7"/>
    <x v="0"/>
    <x v="0"/>
    <x v="0"/>
    <m/>
    <x v="6"/>
    <b v="0"/>
    <s v="No está en VPC"/>
    <n v="109"/>
    <s v="INTPG_ACC_109_1.7"/>
    <s v="ISEL-1.7"/>
    <n v="1"/>
    <s v="NO TIENE L3OUT"/>
    <n v="126"/>
    <n v="96"/>
  </r>
  <r>
    <n v="113"/>
    <x v="0"/>
    <x v="215"/>
    <s v="eth1/7"/>
    <x v="0"/>
    <x v="0"/>
    <x v="0"/>
    <s v="sfecpt01_1"/>
    <x v="6"/>
    <b v="0"/>
    <s v="No está en VPC"/>
    <n v="113"/>
    <s v="INTPG_VPC_113_1.7_115_1.6"/>
    <s v="ISEL-1.7"/>
    <n v="1"/>
    <s v="NO TIENE L3OUT"/>
    <n v="52"/>
    <n v="96"/>
  </r>
  <r>
    <n v="114"/>
    <x v="0"/>
    <x v="216"/>
    <s v="eth1/7"/>
    <x v="0"/>
    <x v="1"/>
    <x v="1"/>
    <s v="NPG_1"/>
    <x v="6"/>
    <b v="0"/>
    <s v="No está en VPC"/>
    <n v="114"/>
    <s v="INTPG_ACC_114_1.7"/>
    <s v="ISEL-1.7"/>
    <n v="1"/>
    <s v="NO TIENE L3OUT"/>
    <n v="144"/>
    <n v="96"/>
  </r>
  <r>
    <n v="124"/>
    <x v="0"/>
    <x v="217"/>
    <s v="eth1/7"/>
    <x v="0"/>
    <x v="0"/>
    <x v="0"/>
    <s v="GSM_ENIQ_MTY"/>
    <x v="6"/>
    <b v="0"/>
    <s v="No está en VPC"/>
    <n v="124"/>
    <s v="INTPG_VPC_124_1.7_125_1.12"/>
    <s v="ISEL-1.7"/>
    <n v="10"/>
    <s v="NO TIENE L3OUT"/>
    <n v="80"/>
    <n v="96"/>
  </r>
  <r>
    <n v="118"/>
    <x v="0"/>
    <x v="218"/>
    <s v="eth1/7"/>
    <x v="0"/>
    <x v="0"/>
    <x v="0"/>
    <s v="COBROS NAVEGACION"/>
    <x v="6"/>
    <b v="0"/>
    <s v="No está en VPC"/>
    <n v="118"/>
    <s v="INTPG_ACC_118_1.7"/>
    <s v="ISEL-1.7"/>
    <n v="1"/>
    <s v="NO TIENE L3OUT"/>
    <n v="180"/>
    <n v="96"/>
  </r>
  <r>
    <n v="159"/>
    <x v="0"/>
    <x v="219"/>
    <s v="eth1/7"/>
    <x v="0"/>
    <x v="1"/>
    <x v="1"/>
    <s v="TRAP"/>
    <x v="6"/>
    <b v="0"/>
    <s v="No está en VPC"/>
    <n v="159"/>
    <s v="INTPG_PC_159_1.2-7"/>
    <s v="ISEL-1.7"/>
    <n v="12"/>
    <s v="NO TIENE L3OUT"/>
    <n v="72"/>
    <n v="96"/>
  </r>
  <r>
    <n v="840"/>
    <x v="2"/>
    <x v="220"/>
    <s v="eth1/7"/>
    <x v="0"/>
    <x v="0"/>
    <x v="0"/>
    <s v="LINK_TO_ITHFHWCBSPSWR56 / Slot7.1_24 / Redundante"/>
    <x v="0"/>
    <b v="0"/>
    <s v="No está en VPC"/>
    <n v="840"/>
    <s v="INTPG_VPC_835_1.7_840_1.7"/>
    <s v="ISEL-1.7"/>
    <n v="2"/>
    <s v="NO TIENE L3OUT"/>
    <n v="8"/>
    <n v="54"/>
  </r>
  <r>
    <n v="856"/>
    <x v="2"/>
    <x v="221"/>
    <s v="eth1/7"/>
    <x v="0"/>
    <x v="0"/>
    <x v="0"/>
    <s v="LINK_TO_ITHFHWCRMPLCN136 / Slot1.3_6 / Principal"/>
    <x v="0"/>
    <b v="0"/>
    <s v="No está en VPC"/>
    <n v="856"/>
    <s v="INTPG_ACC_856_1.7"/>
    <s v="ISEL-1.7"/>
    <n v="1"/>
    <s v="NO TIENE L3OUT"/>
    <n v="286"/>
    <n v="54"/>
  </r>
  <r>
    <n v="110"/>
    <x v="0"/>
    <x v="222"/>
    <s v="eth1/7"/>
    <x v="0"/>
    <x v="0"/>
    <x v="0"/>
    <m/>
    <x v="6"/>
    <b v="0"/>
    <s v="No está en VPC"/>
    <n v="110"/>
    <s v="INTPG_ACC_110_1.7"/>
    <s v="ISEL-1.7"/>
    <n v="1"/>
    <s v="NO TIENE L3OUT"/>
    <n v="102"/>
    <n v="96"/>
  </r>
  <r>
    <n v="163"/>
    <x v="0"/>
    <x v="223"/>
    <s v="eth1/7"/>
    <x v="0"/>
    <x v="0"/>
    <x v="0"/>
    <s v="IBM SICOD"/>
    <x v="6"/>
    <b v="0"/>
    <s v="No está en VPC"/>
    <n v="163"/>
    <s v="INTPG_ACC_163_1.7"/>
    <s v="ISEL-1.7"/>
    <n v="1"/>
    <s v="NO TIENE L3OUT"/>
    <n v="140"/>
    <n v="96"/>
  </r>
  <r>
    <n v="407"/>
    <x v="1"/>
    <x v="224"/>
    <s v="eth1/7"/>
    <x v="0"/>
    <x v="0"/>
    <x v="0"/>
    <s v="RLR2ARI01_ilo"/>
    <x v="6"/>
    <b v="0"/>
    <s v="No está en VPC"/>
    <n v="407"/>
    <s v="INTPG_ACC_407_1.7"/>
    <s v="ISEL-1.7"/>
    <n v="1"/>
    <s v="NO TIENE L3OUT"/>
    <n v="122"/>
    <n v="96"/>
  </r>
  <r>
    <n v="171"/>
    <x v="0"/>
    <x v="225"/>
    <s v="eth1/7"/>
    <x v="0"/>
    <x v="1"/>
    <x v="1"/>
    <s v="OSS 3G 12.2 DATOS "/>
    <x v="6"/>
    <b v="0"/>
    <s v="No está en VPC"/>
    <n v="171"/>
    <s v="INTPG_ACC_171_1.7"/>
    <s v="ISEL-1.7"/>
    <n v="1"/>
    <s v="NO TIENE L3OUT"/>
    <n v="114"/>
    <n v="96"/>
  </r>
  <r>
    <n v="421"/>
    <x v="1"/>
    <x v="226"/>
    <s v="eth1/7"/>
    <x v="0"/>
    <x v="0"/>
    <x v="0"/>
    <s v="DESC"/>
    <x v="6"/>
    <b v="0"/>
    <s v="No está en VPC"/>
    <n v="421"/>
    <s v="INTPG_PC_421_7-8"/>
    <s v="ISEL-1.7"/>
    <n v="1"/>
    <s v="NO TIENE L3OUT"/>
    <n v="72"/>
    <n v="96"/>
  </r>
  <r>
    <n v="173"/>
    <x v="0"/>
    <x v="227"/>
    <s v="eth1/7"/>
    <x v="0"/>
    <x v="0"/>
    <x v="0"/>
    <s v="U2000_IPRAN"/>
    <x v="6"/>
    <b v="0"/>
    <s v="No está en VPC"/>
    <n v="173"/>
    <s v="INTPG_ACC_173_1.7"/>
    <s v="ISEL-1.7"/>
    <n v="1"/>
    <s v="NO TIENE L3OUT"/>
    <n v="66"/>
    <n v="96"/>
  </r>
  <r>
    <n v="154"/>
    <x v="0"/>
    <x v="228"/>
    <s v="eth1/7"/>
    <x v="0"/>
    <x v="1"/>
    <x v="1"/>
    <m/>
    <x v="6"/>
    <b v="0"/>
    <s v="No está en VPC"/>
    <n v="154"/>
    <s v="INTPG_ACC_154_1.7"/>
    <s v="ISEL-1.7"/>
    <n v="1"/>
    <s v="NO TIENE L3OUT"/>
    <n v="62"/>
    <n v="96"/>
  </r>
  <r>
    <n v="172"/>
    <x v="0"/>
    <x v="229"/>
    <s v="eth1/7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7"/>
    <x v="0"/>
    <x v="0"/>
    <x v="0"/>
    <s v="IXTAI7"/>
    <x v="6"/>
    <b v="0"/>
    <s v="No está en VPC"/>
    <n v="420"/>
    <s v="INTPG_ACC_420_1.7"/>
    <s v="ISEL-1.7"/>
    <n v="1"/>
    <s v="NO TIENE L3OUT"/>
    <n v="158"/>
    <n v="96"/>
  </r>
  <r>
    <n v="423"/>
    <x v="1"/>
    <x v="231"/>
    <s v="eth1/7"/>
    <x v="0"/>
    <x v="0"/>
    <x v="0"/>
    <s v="ITHPA01_eth0_IPMP-Activa"/>
    <x v="6"/>
    <b v="0"/>
    <s v="No está en VPC"/>
    <n v="423"/>
    <s v="INTPG_ACC_423_1.7"/>
    <s v="ISEL-1.7"/>
    <n v="1"/>
    <s v="NO TIENE L3OUT"/>
    <n v="86"/>
    <n v="96"/>
  </r>
  <r>
    <n v="415"/>
    <x v="1"/>
    <x v="232"/>
    <s v="eth1/7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7"/>
    <x v="0"/>
    <x v="1"/>
    <x v="1"/>
    <s v="SFLDI:RLDICDR05:1"/>
    <x v="6"/>
    <b v="0"/>
    <s v="No está en VPC"/>
    <n v="102"/>
    <s v="INTPG_ACC_102_1.7"/>
    <s v="ISEL-1.7"/>
    <n v="1"/>
    <s v="NO TIENE L3OUT"/>
    <n v="228"/>
    <n v="96"/>
  </r>
  <r>
    <n v="863"/>
    <x v="2"/>
    <x v="234"/>
    <s v="eth1/7"/>
    <x v="0"/>
    <x v="0"/>
    <x v="0"/>
    <s v="To_VPC_2DCBSD_HD39_1"/>
    <x v="0"/>
    <b v="0"/>
    <s v="No está en VPC"/>
    <n v="863"/>
    <s v="INTPG_VPC_858_1.7_863_1.7"/>
    <s v="ISEL-1.7"/>
    <n v="2"/>
    <s v="NO TIENE L3OUT"/>
    <n v="8"/>
    <n v="54"/>
  </r>
  <r>
    <n v="876"/>
    <x v="2"/>
    <x v="235"/>
    <s v="eth1/7"/>
    <x v="0"/>
    <x v="0"/>
    <x v="0"/>
    <s v="LINK_TO_ITHFHWSEQLCAS30 / Slot 4 PTO 1 / Principal"/>
    <x v="4"/>
    <b v="0"/>
    <s v="No está en VPC"/>
    <n v="876"/>
    <s v="INTPG_ACC_876_1.7"/>
    <s v="ISEL-1.7"/>
    <n v="1"/>
    <s v="NO TIENE L3OUT"/>
    <n v="92"/>
    <n v="54"/>
  </r>
  <r>
    <n v="877"/>
    <x v="2"/>
    <x v="236"/>
    <s v="eth1/7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7"/>
    <x v="0"/>
    <x v="0"/>
    <x v="0"/>
    <s v="DESC"/>
    <x v="6"/>
    <b v="0"/>
    <s v="No está en VPC"/>
    <n v="122"/>
    <s v="INTPG_PC_122_1.4-8"/>
    <s v="ISEL-1.7"/>
    <n v="1"/>
    <s v="NO TIENE L3OUT"/>
    <n v="148"/>
    <n v="96"/>
  </r>
  <r>
    <n v="157"/>
    <x v="0"/>
    <x v="238"/>
    <s v="eth1/7"/>
    <x v="0"/>
    <x v="0"/>
    <x v="0"/>
    <s v="COBROS NAVEGACION"/>
    <x v="6"/>
    <b v="0"/>
    <s v="No está en VPC"/>
    <n v="157"/>
    <s v="INTPG_ACC_157_1.7"/>
    <s v="ISEL-1.7"/>
    <n v="1"/>
    <s v="NO TIENE L3OUT"/>
    <n v="202"/>
    <n v="96"/>
  </r>
  <r>
    <n v="408"/>
    <x v="1"/>
    <x v="239"/>
    <s v="eth1/7"/>
    <x v="0"/>
    <x v="1"/>
    <x v="1"/>
    <s v="Suspend5"/>
    <x v="6"/>
    <b v="0"/>
    <s v="No está en VPC"/>
    <n v="408"/>
    <s v="INTPG_ACC_408_1.7"/>
    <s v="ISEL-1.7"/>
    <n v="1"/>
    <s v="NO TIENE L3OUT"/>
    <n v="152"/>
    <n v="96"/>
  </r>
  <r>
    <n v="405"/>
    <x v="1"/>
    <x v="240"/>
    <s v="eth1/7"/>
    <x v="0"/>
    <x v="0"/>
    <x v="0"/>
    <s v="IXT_ARIESO4_LDR7"/>
    <x v="6"/>
    <b v="0"/>
    <s v="No está en VPC"/>
    <n v="405"/>
    <s v="INTPG_ACC_405_1.7"/>
    <s v="ISEL-1.7"/>
    <n v="1"/>
    <s v="NO TIENE L3OUT"/>
    <n v="138"/>
    <n v="96"/>
  </r>
  <r>
    <n v="169"/>
    <x v="0"/>
    <x v="241"/>
    <s v="eth1/7"/>
    <x v="0"/>
    <x v="0"/>
    <x v="0"/>
    <s v="LINKDOWN_HACIA_UCS_9UCS-IXTLA-SERV1"/>
    <x v="6"/>
    <b v="0"/>
    <s v="No está en VPC"/>
    <n v="169"/>
    <s v="INTPG_ACC_169_1.7"/>
    <s v="ISEL-1.7"/>
    <n v="1"/>
    <s v="NO TIENE L3OUT"/>
    <n v="76"/>
    <n v="96"/>
  </r>
  <r>
    <n v="165"/>
    <x v="0"/>
    <x v="242"/>
    <s v="eth1/7"/>
    <x v="0"/>
    <x v="0"/>
    <x v="0"/>
    <s v="Nomina"/>
    <x v="6"/>
    <b v="0"/>
    <s v="No está en VPC"/>
    <n v="165"/>
    <s v="INTPG_ACC_165_1.7"/>
    <s v="ISEL-1.7"/>
    <n v="1"/>
    <s v="NO TIENE L3OUT"/>
    <n v="86"/>
    <n v="96"/>
  </r>
  <r>
    <n v="417"/>
    <x v="1"/>
    <x v="243"/>
    <s v="eth1/7"/>
    <x v="0"/>
    <x v="0"/>
    <x v="0"/>
    <s v="ixtnpscol01"/>
    <x v="6"/>
    <b v="0"/>
    <s v="No está en VPC"/>
    <n v="417"/>
    <s v="INTPG_ACC_417_1.7"/>
    <s v="ISEL-1.7"/>
    <n v="1"/>
    <s v="NO TIENE L3OUT"/>
    <n v="56"/>
    <n v="96"/>
  </r>
  <r>
    <n v="153"/>
    <x v="0"/>
    <x v="244"/>
    <s v="eth1/7"/>
    <x v="0"/>
    <x v="0"/>
    <x v="0"/>
    <s v="TO-ITHFDENBURBKP02(IXTFDLBKP5RAP)-REDUNDANTE"/>
    <x v="6"/>
    <b v="0"/>
    <s v="No está en VPC"/>
    <n v="153"/>
    <s v="INTPG_ACC_153_1.7"/>
    <s v="ISEL-1.7"/>
    <n v="0"/>
    <s v="NO TIENE L3OUT"/>
    <n v="42"/>
    <n v="96"/>
  </r>
  <r>
    <n v="119"/>
    <x v="0"/>
    <x v="245"/>
    <s v="eth1/7"/>
    <x v="0"/>
    <x v="0"/>
    <x v="0"/>
    <s v="DCX_BKP1_BPK2_S1"/>
    <x v="6"/>
    <b v="0"/>
    <s v="No está en VPC"/>
    <n v="119"/>
    <s v="INTPG_ACC_119_1.7"/>
    <s v="ISEL-1.7"/>
    <n v="1"/>
    <s v="NO TIENE L3OUT"/>
    <n v="70"/>
    <n v="96"/>
  </r>
  <r>
    <n v="156"/>
    <x v="0"/>
    <x v="246"/>
    <s v="eth1/7"/>
    <x v="1"/>
    <x v="1"/>
    <x v="2"/>
    <s v="RED CRICKET"/>
    <x v="6"/>
    <b v="0"/>
    <s v="No está en VPC"/>
    <n v="156"/>
    <s v="INTPG_ACC_156_1.7"/>
    <s v="ISEL-1.7"/>
    <n v="1"/>
    <s v="NO TIENE L3OUT"/>
    <n v="40"/>
    <n v="96"/>
  </r>
  <r>
    <n v="103"/>
    <x v="0"/>
    <x v="247"/>
    <s v="eth1/7"/>
    <x v="0"/>
    <x v="0"/>
    <x v="0"/>
    <s v="DESC"/>
    <x v="6"/>
    <b v="0"/>
    <s v="No está en VPC"/>
    <n v="103"/>
    <s v="INTPG_PC_103_1.7-9"/>
    <s v="ISEL-1.7"/>
    <n v="2"/>
    <s v="NO TIENE L3OUT"/>
    <n v="70"/>
    <n v="96"/>
  </r>
  <r>
    <n v="438"/>
    <x v="1"/>
    <x v="248"/>
    <s v="eth1/7"/>
    <x v="0"/>
    <x v="0"/>
    <x v="0"/>
    <s v="uxdxdb01(RENACE)"/>
    <x v="6"/>
    <b v="0"/>
    <s v="No está en VPC"/>
    <n v="438"/>
    <s v="INTPG_ACC_438_1.7"/>
    <s v="ISEL-1.7"/>
    <n v="1"/>
    <s v="NO TIENE L3OUT"/>
    <n v="170"/>
    <n v="96"/>
  </r>
  <r>
    <n v="406"/>
    <x v="1"/>
    <x v="249"/>
    <s v="eth1/7"/>
    <x v="0"/>
    <x v="0"/>
    <x v="0"/>
    <s v="DESC"/>
    <x v="6"/>
    <b v="0"/>
    <s v="No está en VPC"/>
    <n v="406"/>
    <s v="INTPG_PC_406_1.7-8"/>
    <s v="ISEL-1.7"/>
    <n v="1"/>
    <s v="NO TIENE L3OUT"/>
    <n v="82"/>
    <n v="96"/>
  </r>
  <r>
    <n v="414"/>
    <x v="1"/>
    <x v="250"/>
    <s v="eth1/7"/>
    <x v="0"/>
    <x v="0"/>
    <x v="0"/>
    <s v="9UCS-IXTLA-WEBEX-SERV2"/>
    <x v="6"/>
    <b v="0"/>
    <s v="No está en VPC"/>
    <n v="414"/>
    <s v="INTPG_ACC_414_1.7"/>
    <s v="ISEL-1.7"/>
    <n v="1"/>
    <s v="NO TIENE L3OUT"/>
    <n v="144"/>
    <n v="96"/>
  </r>
  <r>
    <n v="416"/>
    <x v="1"/>
    <x v="251"/>
    <s v="eth1/7"/>
    <x v="0"/>
    <x v="0"/>
    <x v="0"/>
    <s v="sfmedp42-MEDVOZ_CLIENT5"/>
    <x v="6"/>
    <b v="0"/>
    <s v="No está en VPC"/>
    <n v="416"/>
    <s v="INTPG_VPC_416_1.7_418_1.7"/>
    <s v="ISEL-1.7"/>
    <n v="1"/>
    <s v="NO TIENE L3OUT"/>
    <n v="110"/>
    <n v="96"/>
  </r>
  <r>
    <n v="418"/>
    <x v="1"/>
    <x v="252"/>
    <s v="eth1/7"/>
    <x v="0"/>
    <x v="0"/>
    <x v="0"/>
    <s v="sfmedp42-MEDVOZ_CLIENT5"/>
    <x v="6"/>
    <b v="0"/>
    <s v="No está en VPC"/>
    <n v="418"/>
    <s v="INTPG_VPC_416_1.7_418_1.7"/>
    <s v="ISEL-1.7"/>
    <n v="1"/>
    <s v="NO TIENE L3OUT"/>
    <n v="152"/>
    <n v="96"/>
  </r>
  <r>
    <n v="413"/>
    <x v="1"/>
    <x v="253"/>
    <s v="eth1/7"/>
    <x v="0"/>
    <x v="0"/>
    <x v="0"/>
    <s v="DESC"/>
    <x v="6"/>
    <b v="0"/>
    <s v="No está en VPC"/>
    <n v="413"/>
    <s v="INTPG_PC_413_1.5-8"/>
    <s v="ISEL-1.7"/>
    <n v="1"/>
    <s v="NO TIENE L3OUT"/>
    <n v="126"/>
    <n v="96"/>
  </r>
  <r>
    <n v="403"/>
    <x v="1"/>
    <x v="254"/>
    <s v="eth1/7"/>
    <x v="0"/>
    <x v="0"/>
    <x v="0"/>
    <s v="IXT_ARIESO4_LDR7"/>
    <x v="6"/>
    <b v="0"/>
    <s v="No está en VPC"/>
    <n v="403"/>
    <s v="INTPG_ACC_403_1.7"/>
    <s v="ISEL-1.7"/>
    <n v="1"/>
    <s v="NO TIENE L3OUT"/>
    <n v="150"/>
    <n v="96"/>
  </r>
  <r>
    <n v="125"/>
    <x v="0"/>
    <x v="255"/>
    <s v="eth1/7"/>
    <x v="0"/>
    <x v="0"/>
    <x v="0"/>
    <s v="GSM_OSS_MEX_R9"/>
    <x v="6"/>
    <b v="0"/>
    <s v="No está en VPC"/>
    <n v="125"/>
    <s v="INTPG_ACC_125_1.7"/>
    <s v="ISEL-1.7"/>
    <n v="1"/>
    <s v="NO TIENE L3OUT"/>
    <n v="72"/>
    <n v="96"/>
  </r>
  <r>
    <n v="166"/>
    <x v="0"/>
    <x v="256"/>
    <s v="eth1/7"/>
    <x v="0"/>
    <x v="0"/>
    <x v="0"/>
    <s v="Nomina"/>
    <x v="6"/>
    <b v="0"/>
    <s v="No está en VPC"/>
    <n v="166"/>
    <s v="INTPG_ACC_166_1.7"/>
    <s v="ISEL-1.7"/>
    <n v="1"/>
    <s v="NO TIENE L3OUT"/>
    <n v="84"/>
    <n v="96"/>
  </r>
  <r>
    <n v="111"/>
    <x v="0"/>
    <x v="257"/>
    <s v="eth1/7"/>
    <x v="1"/>
    <x v="1"/>
    <x v="2"/>
    <m/>
    <x v="6"/>
    <b v="0"/>
    <s v="No está en VPC"/>
    <n v="111"/>
    <s v="INTPG_ACC_111_1.7"/>
    <s v="ISEL-1.7"/>
    <n v="0"/>
    <s v="NO TIENE L3OUT"/>
    <n v="58"/>
    <n v="96"/>
  </r>
  <r>
    <n v="115"/>
    <x v="0"/>
    <x v="258"/>
    <s v="eth1/7"/>
    <x v="0"/>
    <x v="0"/>
    <x v="0"/>
    <m/>
    <x v="6"/>
    <b v="0"/>
    <s v="No está en VPC"/>
    <n v="115"/>
    <s v="NO EXISTE PG"/>
    <s v="NO EXISTE ISEL"/>
    <n v="1"/>
    <s v="NO TIENE L3OUT"/>
    <n v="42"/>
    <n v="96"/>
  </r>
  <r>
    <n v="106"/>
    <x v="0"/>
    <x v="259"/>
    <s v="eth1/7"/>
    <x v="0"/>
    <x v="0"/>
    <x v="0"/>
    <s v="COGNOS"/>
    <x v="6"/>
    <b v="0"/>
    <s v="No está en VPC"/>
    <n v="106"/>
    <s v="INTPG_ACC_106_1.7"/>
    <s v="ISEL-1.7"/>
    <n v="1"/>
    <s v="NO TIENE L3OUT"/>
    <n v="122"/>
    <n v="96"/>
  </r>
  <r>
    <n v="126"/>
    <x v="0"/>
    <x v="260"/>
    <s v="eth1/7"/>
    <x v="0"/>
    <x v="1"/>
    <x v="1"/>
    <s v="U2000_IPRAN"/>
    <x v="6"/>
    <b v="0"/>
    <s v="No está en VPC"/>
    <n v="126"/>
    <s v="INTPG_ACC_126_1.7"/>
    <s v="ISEL-1.7"/>
    <n v="1"/>
    <s v="NO TIENE L3OUT"/>
    <n v="54"/>
    <n v="96"/>
  </r>
  <r>
    <n v="425"/>
    <x v="1"/>
    <x v="261"/>
    <s v="eth1/7"/>
    <x v="0"/>
    <x v="1"/>
    <x v="1"/>
    <s v="VTA_uxvta073_Net0"/>
    <x v="6"/>
    <b v="0"/>
    <s v="No está en VPC"/>
    <n v="425"/>
    <s v="INTPG_ACC_425_1.7"/>
    <s v="ISEL-1.7"/>
    <n v="1"/>
    <s v="NO TIENE L3OUT"/>
    <n v="86"/>
    <n v="96"/>
  </r>
  <r>
    <n v="151"/>
    <x v="0"/>
    <x v="262"/>
    <s v="eth1/7"/>
    <x v="0"/>
    <x v="1"/>
    <x v="1"/>
    <s v="OSS MEX GSM M"/>
    <x v="6"/>
    <b v="0"/>
    <s v="No está en VPC"/>
    <n v="151"/>
    <s v="INTPG_ACC_151_1.7"/>
    <s v="ISEL-1.7"/>
    <n v="1"/>
    <s v="NO TIENE L3OUT"/>
    <n v="86"/>
    <n v="96"/>
  </r>
  <r>
    <n v="430"/>
    <x v="1"/>
    <x v="263"/>
    <s v="eth1/7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7"/>
    <x v="0"/>
    <x v="0"/>
    <x v="0"/>
    <s v="DESC"/>
    <x v="6"/>
    <b v="0"/>
    <s v="No está en VPC"/>
    <n v="419"/>
    <s v="INTPG_PC_419_7-8"/>
    <s v="ISEL-1.7"/>
    <n v="1"/>
    <s v="NO TIENE L3OUT"/>
    <n v="70"/>
    <n v="96"/>
  </r>
  <r>
    <n v="155"/>
    <x v="0"/>
    <x v="265"/>
    <s v="eth1/7"/>
    <x v="0"/>
    <x v="0"/>
    <x v="0"/>
    <s v="UXINGE"/>
    <x v="6"/>
    <b v="0"/>
    <s v="No está en VPC"/>
    <n v="155"/>
    <s v="INTPG_ACC_155_1.7"/>
    <s v="ISEL-1.7"/>
    <n v="1"/>
    <s v="NO TIENE L3OUT"/>
    <n v="198"/>
    <n v="96"/>
  </r>
  <r>
    <n v="409"/>
    <x v="1"/>
    <x v="266"/>
    <s v="eth1/7"/>
    <x v="0"/>
    <x v="0"/>
    <x v="0"/>
    <s v="RLR2ARI06_ilo"/>
    <x v="6"/>
    <b v="0"/>
    <s v="No está en VPC"/>
    <n v="409"/>
    <s v="INTPG_ACC_409_1.7"/>
    <s v="ISEL-1.7"/>
    <n v="1"/>
    <s v="NO TIENE L3OUT"/>
    <n v="128"/>
    <n v="96"/>
  </r>
  <r>
    <n v="422"/>
    <x v="1"/>
    <x v="267"/>
    <s v="eth1/7"/>
    <x v="0"/>
    <x v="0"/>
    <x v="0"/>
    <s v="B6200A_MGMT_2"/>
    <x v="6"/>
    <b v="0"/>
    <s v="No está en VPC"/>
    <n v="422"/>
    <s v="INTPG_ACC_422_1.7"/>
    <s v="ISEL-1.7"/>
    <n v="1"/>
    <s v="NO TIENE L3OUT"/>
    <n v="182"/>
    <n v="96"/>
  </r>
  <r>
    <n v="436"/>
    <x v="1"/>
    <x v="268"/>
    <s v="eth1/7"/>
    <x v="0"/>
    <x v="0"/>
    <x v="0"/>
    <s v="uxdxdb01(RENACE)"/>
    <x v="6"/>
    <b v="0"/>
    <s v="No está en VPC"/>
    <n v="436"/>
    <s v="INTPG_ACC_436_1.7"/>
    <s v="ISEL-1.7"/>
    <n v="1"/>
    <s v="NO TIENE L3OUT"/>
    <n v="172"/>
    <n v="96"/>
  </r>
  <r>
    <n v="410"/>
    <x v="1"/>
    <x v="269"/>
    <s v="eth1/7"/>
    <x v="0"/>
    <x v="1"/>
    <x v="1"/>
    <s v="NEC Femtocel NMS"/>
    <x v="6"/>
    <b v="0"/>
    <s v="No está en VPC"/>
    <n v="410"/>
    <s v="INTPG_ACC_410_1.7"/>
    <s v="ISEL-1.7"/>
    <n v="1"/>
    <s v="NO TIENE L3OUT"/>
    <n v="178"/>
    <n v="96"/>
  </r>
  <r>
    <n v="161"/>
    <x v="0"/>
    <x v="270"/>
    <s v="eth1/7"/>
    <x v="1"/>
    <x v="1"/>
    <x v="2"/>
    <s v="IBM SICOD"/>
    <x v="6"/>
    <b v="0"/>
    <s v="No está en VPC"/>
    <n v="161"/>
    <s v="INTPG_ACC_161_1.7"/>
    <s v="ISEL-1.7"/>
    <n v="0"/>
    <s v="NO TIENE L3OUT"/>
    <n v="102"/>
    <n v="96"/>
  </r>
  <r>
    <n v="411"/>
    <x v="1"/>
    <x v="271"/>
    <s v="eth1/7"/>
    <x v="0"/>
    <x v="0"/>
    <x v="0"/>
    <s v="DESC"/>
    <x v="6"/>
    <b v="0"/>
    <s v="No está en VPC"/>
    <n v="411"/>
    <s v="INTPG_PC_411_1.5-8"/>
    <s v="ISEL-1.7"/>
    <n v="1"/>
    <s v="NO TIENE L3OUT"/>
    <n v="96"/>
    <n v="96"/>
  </r>
  <r>
    <n v="116"/>
    <x v="0"/>
    <x v="272"/>
    <s v="eth1/7"/>
    <x v="1"/>
    <x v="1"/>
    <x v="2"/>
    <s v="DESC"/>
    <x v="6"/>
    <b v="0"/>
    <s v="No está en VPC"/>
    <n v="116"/>
    <s v="INTPG_PC_116_1.6-7"/>
    <s v="ISEL-1.7"/>
    <n v="0"/>
    <s v="NO TIENE L3OUT"/>
    <n v="148"/>
    <n v="96"/>
  </r>
  <r>
    <n v="412"/>
    <x v="1"/>
    <x v="273"/>
    <s v="eth1/7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7"/>
    <x v="0"/>
    <x v="0"/>
    <x v="0"/>
    <s v="TemipAMX1"/>
    <x v="6"/>
    <b v="0"/>
    <s v="No está en VPC"/>
    <n v="120"/>
    <s v="INTPG_PC_120_1.4-8"/>
    <s v="ISEL-1.7"/>
    <n v="1"/>
    <s v="NO TIENE L3OUT"/>
    <n v="158"/>
    <n v="96"/>
  </r>
  <r>
    <n v="404"/>
    <x v="1"/>
    <x v="275"/>
    <s v="eth1/7"/>
    <x v="0"/>
    <x v="0"/>
    <x v="0"/>
    <s v="DESC"/>
    <x v="6"/>
    <b v="0"/>
    <s v="No está en VPC"/>
    <n v="404"/>
    <s v="INTPG_PC_404_1.7-8"/>
    <s v="ISEL-1.7"/>
    <n v="1"/>
    <s v="NO TIENE L3OUT"/>
    <n v="92"/>
    <n v="96"/>
  </r>
  <r>
    <n v="167"/>
    <x v="0"/>
    <x v="276"/>
    <s v="eth1/7"/>
    <x v="0"/>
    <x v="0"/>
    <x v="0"/>
    <s v="ESTANDAR GSS Y TS_1"/>
    <x v="6"/>
    <b v="0"/>
    <s v="No está en VPC"/>
    <n v="167"/>
    <s v="INTPG_ACC_167_1.7"/>
    <s v="ISEL-1.7"/>
    <n v="1"/>
    <s v="NO TIENE L3OUT"/>
    <n v="68"/>
    <n v="96"/>
  </r>
  <r>
    <n v="428"/>
    <x v="1"/>
    <x v="277"/>
    <s v="eth1/7"/>
    <x v="0"/>
    <x v="0"/>
    <x v="0"/>
    <s v="LDAP-IDM_DESARROLLO"/>
    <x v="6"/>
    <b v="0"/>
    <s v="No está en VPC"/>
    <n v="428"/>
    <s v="INTPG_PC_428_1.5-9"/>
    <s v="ISEL-1.7"/>
    <n v="1"/>
    <s v="NO TIENE L3OUT"/>
    <n v="102"/>
    <n v="96"/>
  </r>
  <r>
    <n v="903"/>
    <x v="2"/>
    <x v="278"/>
    <s v="eth1/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447"/>
    <x v="1"/>
    <x v="9"/>
    <s v="eth1/7/1"/>
    <x v="0"/>
    <x v="0"/>
    <x v="0"/>
    <s v="ith3bda3sw-ib2 redundante"/>
    <x v="2"/>
    <b v="0"/>
    <s v="No está en VPC"/>
    <n v="447"/>
    <s v="NO EXISTE PG"/>
    <s v="NO EXISTE ISEL"/>
    <n v="1"/>
    <s v="NO TIENE L3OUT"/>
    <n v="16"/>
    <n v="42"/>
  </r>
  <r>
    <n v="445"/>
    <x v="1"/>
    <x v="10"/>
    <s v="eth1/7/1"/>
    <x v="0"/>
    <x v="0"/>
    <x v="0"/>
    <s v="ith3bda3sw-ib2 redundante"/>
    <x v="2"/>
    <b v="0"/>
    <s v="No está en VPC"/>
    <n v="445"/>
    <s v="NO EXISTE PG"/>
    <s v="NO EXISTE ISEL"/>
    <n v="1"/>
    <s v="NO TIENE L3OUT"/>
    <n v="16"/>
    <n v="42"/>
  </r>
  <r>
    <n v="447"/>
    <x v="1"/>
    <x v="9"/>
    <s v="eth1/7/2"/>
    <x v="0"/>
    <x v="0"/>
    <x v="0"/>
    <s v="ith3bda3sw-ib2 redundante"/>
    <x v="2"/>
    <b v="0"/>
    <s v="No está en VPC"/>
    <n v="447"/>
    <s v="NO EXISTE PG"/>
    <s v="NO EXISTE ISEL"/>
    <n v="1"/>
    <s v="NO TIENE L3OUT"/>
    <n v="16"/>
    <n v="42"/>
  </r>
  <r>
    <n v="445"/>
    <x v="1"/>
    <x v="10"/>
    <s v="eth1/7/2"/>
    <x v="0"/>
    <x v="0"/>
    <x v="0"/>
    <s v="ith3bda3sw-ib2 redundante"/>
    <x v="2"/>
    <b v="0"/>
    <s v="No está en VPC"/>
    <n v="445"/>
    <s v="NO EXISTE PG"/>
    <s v="NO EXISTE ISEL"/>
    <n v="1"/>
    <s v="NO TIENE L3OUT"/>
    <n v="16"/>
    <n v="42"/>
  </r>
  <r>
    <n v="447"/>
    <x v="1"/>
    <x v="9"/>
    <s v="eth1/7/3"/>
    <x v="0"/>
    <x v="0"/>
    <x v="0"/>
    <s v="ith3bda3sw-ib2 redundante"/>
    <x v="2"/>
    <b v="0"/>
    <s v="No está en VPC"/>
    <n v="447"/>
    <s v="NO EXISTE PG"/>
    <s v="NO EXISTE ISEL"/>
    <n v="1"/>
    <s v="NO TIENE L3OUT"/>
    <n v="16"/>
    <n v="42"/>
  </r>
  <r>
    <n v="445"/>
    <x v="1"/>
    <x v="10"/>
    <s v="eth1/7/3"/>
    <x v="0"/>
    <x v="0"/>
    <x v="0"/>
    <s v="ith3bda3sw-ib2 redundante"/>
    <x v="2"/>
    <b v="0"/>
    <s v="No está en VPC"/>
    <n v="445"/>
    <s v="NO EXISTE PG"/>
    <s v="NO EXISTE ISEL"/>
    <n v="1"/>
    <s v="NO TIENE L3OUT"/>
    <n v="16"/>
    <n v="42"/>
  </r>
  <r>
    <n v="447"/>
    <x v="1"/>
    <x v="9"/>
    <s v="eth1/7/4"/>
    <x v="0"/>
    <x v="0"/>
    <x v="0"/>
    <s v="ith3bda3sw-ib2 redundante"/>
    <x v="2"/>
    <b v="0"/>
    <s v="No está en VPC"/>
    <n v="447"/>
    <s v="NO EXISTE PG"/>
    <s v="NO EXISTE ISEL"/>
    <n v="1"/>
    <s v="NO TIENE L3OUT"/>
    <n v="16"/>
    <n v="42"/>
  </r>
  <r>
    <n v="445"/>
    <x v="1"/>
    <x v="10"/>
    <s v="eth1/7/4"/>
    <x v="0"/>
    <x v="0"/>
    <x v="0"/>
    <s v="ith3bda3sw-ib2 redundante"/>
    <x v="2"/>
    <b v="0"/>
    <s v="No está en VPC"/>
    <n v="445"/>
    <s v="NO EXISTE PG"/>
    <s v="NO EXISTE ISEL"/>
    <n v="1"/>
    <s v="NO TIENE L3OUT"/>
    <n v="16"/>
    <n v="42"/>
  </r>
  <r>
    <n v="105"/>
    <x v="0"/>
    <x v="205"/>
    <s v="eth1/70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70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70"/>
    <x v="0"/>
    <x v="0"/>
    <x v="0"/>
    <s v="CISCO ANA 01 EHEALTH"/>
    <x v="6"/>
    <b v="0"/>
    <s v="No está en VPC"/>
    <n v="104"/>
    <s v="INTPG_ACC_104_1.70"/>
    <s v="ISEL-1.70"/>
    <n v="1"/>
    <s v="NO TIENE L3OUT"/>
    <n v="194"/>
    <n v="96"/>
  </r>
  <r>
    <n v="158"/>
    <x v="0"/>
    <x v="208"/>
    <s v="eth1/70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70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70"/>
    <x v="0"/>
    <x v="1"/>
    <x v="1"/>
    <s v="DESC"/>
    <x v="6"/>
    <b v="0"/>
    <s v="No está en VPC"/>
    <n v="112"/>
    <s v="INTPG_PC_112_1.68-73"/>
    <s v="ISEL-1.70"/>
    <n v="12"/>
    <s v="NO TIENE L3OUT"/>
    <n v="144"/>
    <n v="96"/>
  </r>
  <r>
    <n v="107"/>
    <x v="0"/>
    <x v="213"/>
    <s v="eth1/70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70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70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70"/>
    <x v="0"/>
    <x v="1"/>
    <x v="1"/>
    <s v="DESC"/>
    <x v="6"/>
    <b v="0"/>
    <s v="No está en VPC"/>
    <n v="114"/>
    <s v="INTPG_PC_114_1.66-71"/>
    <s v="ISEL-1.70"/>
    <n v="12"/>
    <s v="NO TIENE L3OUT"/>
    <n v="144"/>
    <n v="96"/>
  </r>
  <r>
    <n v="124"/>
    <x v="0"/>
    <x v="217"/>
    <s v="eth1/70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70"/>
    <x v="0"/>
    <x v="1"/>
    <x v="1"/>
    <s v="USSD TANGO"/>
    <x v="6"/>
    <b v="0"/>
    <s v="No está en VPC"/>
    <n v="118"/>
    <s v="INTPG_ACC_118_1.70"/>
    <s v="ISEL-1.70"/>
    <n v="1"/>
    <s v="NO TIENE L3OUT"/>
    <n v="180"/>
    <n v="96"/>
  </r>
  <r>
    <n v="159"/>
    <x v="0"/>
    <x v="219"/>
    <s v="eth1/70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70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70"/>
    <x v="0"/>
    <x v="0"/>
    <x v="0"/>
    <s v="IMEI"/>
    <x v="6"/>
    <b v="0"/>
    <s v="No está en VPC"/>
    <n v="163"/>
    <s v="INTPG_ACC_163_1.70"/>
    <s v="ISEL-1.70"/>
    <n v="1"/>
    <s v="NO TIENE L3OUT"/>
    <n v="140"/>
    <n v="96"/>
  </r>
  <r>
    <n v="407"/>
    <x v="1"/>
    <x v="224"/>
    <s v="eth1/70"/>
    <x v="0"/>
    <x v="0"/>
    <x v="0"/>
    <s v="INSIGHTCA4-ilom"/>
    <x v="6"/>
    <b v="0"/>
    <s v="No está en VPC"/>
    <n v="407"/>
    <s v="INTPG_ACC_407_1.70"/>
    <s v="ISEL-1.70"/>
    <n v="1"/>
    <s v="NO TIENE L3OUT"/>
    <n v="122"/>
    <n v="96"/>
  </r>
  <r>
    <n v="171"/>
    <x v="0"/>
    <x v="225"/>
    <s v="eth1/70"/>
    <x v="0"/>
    <x v="0"/>
    <x v="0"/>
    <s v="GSM_OSS_GDL"/>
    <x v="6"/>
    <b v="0"/>
    <s v="No está en VPC"/>
    <n v="171"/>
    <s v="INTPG_VPC_171_1.1_70_172_1.1_46"/>
    <s v="ISEL-1.70"/>
    <n v="10"/>
    <s v="NO TIENE L3OUT"/>
    <n v="114"/>
    <n v="96"/>
  </r>
  <r>
    <n v="421"/>
    <x v="1"/>
    <x v="226"/>
    <s v="eth1/70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70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70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70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70"/>
    <x v="0"/>
    <x v="0"/>
    <x v="0"/>
    <s v="R9MEXIXTDAY-1"/>
    <x v="6"/>
    <b v="0"/>
    <s v="No está en VPC"/>
    <n v="420"/>
    <s v="INTPG_ACC_420_1.70"/>
    <s v="ISEL-1.70"/>
    <n v="1"/>
    <s v="NO TIENE L3OUT"/>
    <n v="158"/>
    <n v="96"/>
  </r>
  <r>
    <n v="423"/>
    <x v="1"/>
    <x v="231"/>
    <s v="eth1/70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70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70"/>
    <x v="0"/>
    <x v="0"/>
    <x v="0"/>
    <s v="REDES SOCIALES PERU:uxdwhix1:nxge0"/>
    <x v="6"/>
    <b v="0"/>
    <s v="No está en VPC"/>
    <n v="102"/>
    <s v="INTPG_ACC_102_1.70"/>
    <s v="ISEL-1.70"/>
    <n v="1"/>
    <s v="NO TIENE L3OUT"/>
    <n v="228"/>
    <n v="96"/>
  </r>
  <r>
    <n v="122"/>
    <x v="0"/>
    <x v="237"/>
    <s v="eth1/70"/>
    <x v="0"/>
    <x v="1"/>
    <x v="1"/>
    <m/>
    <x v="6"/>
    <b v="0"/>
    <s v="No está en VPC"/>
    <n v="122"/>
    <s v="INTPG_ACC_122_1.70"/>
    <s v="ISEL-1.70"/>
    <n v="1"/>
    <s v="NO TIENE L3OUT"/>
    <n v="148"/>
    <n v="96"/>
  </r>
  <r>
    <n v="157"/>
    <x v="0"/>
    <x v="238"/>
    <s v="eth1/70"/>
    <x v="0"/>
    <x v="0"/>
    <x v="0"/>
    <s v="ARIESO_GEOLOCALIZACION"/>
    <x v="6"/>
    <b v="0"/>
    <s v="No está en VPC"/>
    <n v="157"/>
    <s v="INTPG_ACC_157_1.70"/>
    <s v="ISEL-1.70"/>
    <n v="2"/>
    <s v="NO TIENE L3OUT"/>
    <n v="202"/>
    <n v="96"/>
  </r>
  <r>
    <n v="408"/>
    <x v="1"/>
    <x v="239"/>
    <s v="eth1/70"/>
    <x v="0"/>
    <x v="0"/>
    <x v="0"/>
    <s v="ITHRTC61OA1"/>
    <x v="6"/>
    <b v="0"/>
    <s v="No está en VPC"/>
    <n v="408"/>
    <s v="INTPG_ACC_408_1.70"/>
    <s v="ISEL-1.70"/>
    <n v="1"/>
    <s v="NO TIENE L3OUT"/>
    <n v="152"/>
    <n v="96"/>
  </r>
  <r>
    <n v="405"/>
    <x v="1"/>
    <x v="240"/>
    <s v="eth1/70"/>
    <x v="0"/>
    <x v="0"/>
    <x v="0"/>
    <s v="XL6 RLR7ARI11 ILO"/>
    <x v="6"/>
    <b v="0"/>
    <s v="No está en VPC"/>
    <n v="405"/>
    <s v="INTPG_ACC_405_1.70"/>
    <s v="ISEL-1.70"/>
    <n v="1"/>
    <s v="NO TIENE L3OUT"/>
    <n v="138"/>
    <n v="96"/>
  </r>
  <r>
    <n v="169"/>
    <x v="0"/>
    <x v="241"/>
    <s v="eth1/70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70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70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70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70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70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70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70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70"/>
    <x v="0"/>
    <x v="0"/>
    <x v="0"/>
    <s v="ITHRTC41VC1-4"/>
    <x v="6"/>
    <b v="0"/>
    <s v="No está en VPC"/>
    <n v="406"/>
    <s v="INTPG_ACC_406_1.70"/>
    <s v="ISEL-1.70"/>
    <n v="1"/>
    <s v="NO TIENE L3OUT"/>
    <n v="82"/>
    <n v="96"/>
  </r>
  <r>
    <n v="414"/>
    <x v="1"/>
    <x v="250"/>
    <s v="eth1/70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70"/>
    <x v="0"/>
    <x v="0"/>
    <x v="0"/>
    <s v="B6200A_DT_1"/>
    <x v="6"/>
    <b v="0"/>
    <s v="No está en VPC"/>
    <n v="416"/>
    <s v="INTPG_ACC_416_1.70"/>
    <s v="ISEL-1.70"/>
    <n v="1"/>
    <s v="NO TIENE L3OUT"/>
    <n v="110"/>
    <n v="96"/>
  </r>
  <r>
    <n v="418"/>
    <x v="1"/>
    <x v="252"/>
    <s v="eth1/70"/>
    <x v="0"/>
    <x v="0"/>
    <x v="0"/>
    <s v="ITHRTC4CSP1"/>
    <x v="6"/>
    <b v="0"/>
    <s v="No está en VPC"/>
    <n v="418"/>
    <s v="INTPG_ACC_418_1.70"/>
    <s v="ISEL-1.70"/>
    <n v="1"/>
    <s v="NO TIENE L3OUT"/>
    <n v="152"/>
    <n v="96"/>
  </r>
  <r>
    <n v="413"/>
    <x v="1"/>
    <x v="253"/>
    <s v="eth1/70"/>
    <x v="0"/>
    <x v="0"/>
    <x v="0"/>
    <s v="IXTSRM2_VM3"/>
    <x v="6"/>
    <b v="0"/>
    <s v="No está en VPC"/>
    <n v="413"/>
    <s v="INTPG_ACC_413_1.70"/>
    <s v="ISEL-1.70"/>
    <n v="1"/>
    <s v="NO TIENE L3OUT"/>
    <n v="126"/>
    <n v="96"/>
  </r>
  <r>
    <n v="403"/>
    <x v="1"/>
    <x v="254"/>
    <s v="eth1/70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70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70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70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70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70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70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70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70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70"/>
    <x v="0"/>
    <x v="0"/>
    <x v="0"/>
    <s v="RLPNOVB01"/>
    <x v="6"/>
    <b v="0"/>
    <s v="No está en VPC"/>
    <n v="430"/>
    <s v="INTPG_ACC_430_1.70"/>
    <s v="ISEL-1.70"/>
    <n v="1"/>
    <s v="NO TIENE L3OUT"/>
    <n v="86"/>
    <n v="96"/>
  </r>
  <r>
    <n v="419"/>
    <x v="1"/>
    <x v="264"/>
    <s v="eth1/70"/>
    <x v="0"/>
    <x v="0"/>
    <x v="0"/>
    <s v="HP Proliant DL380p(c)"/>
    <x v="6"/>
    <b v="0"/>
    <s v="No está en VPC"/>
    <n v="419"/>
    <s v="INTPG_ACC_419_1.70"/>
    <s v="ISEL-1.70"/>
    <n v="1"/>
    <s v="NO TIENE L3OUT"/>
    <n v="70"/>
    <n v="96"/>
  </r>
  <r>
    <n v="155"/>
    <x v="0"/>
    <x v="265"/>
    <s v="eth1/70"/>
    <x v="0"/>
    <x v="0"/>
    <x v="0"/>
    <s v="ARIESO_GEOLOCALIZACION"/>
    <x v="6"/>
    <b v="0"/>
    <s v="No está en VPC"/>
    <n v="155"/>
    <s v="INTPG_ACC_155_1.70"/>
    <s v="ISEL-1.70"/>
    <n v="2"/>
    <s v="NO TIENE L3OUT"/>
    <n v="198"/>
    <n v="96"/>
  </r>
  <r>
    <n v="409"/>
    <x v="1"/>
    <x v="266"/>
    <s v="eth1/70"/>
    <x v="0"/>
    <x v="0"/>
    <x v="0"/>
    <s v="INSIGHTCA8-ilom"/>
    <x v="6"/>
    <b v="0"/>
    <s v="No está en VPC"/>
    <n v="409"/>
    <s v="INTPG_ACC_409_1.70"/>
    <s v="ISEL-1.70"/>
    <n v="1"/>
    <s v="NO TIENE L3OUT"/>
    <n v="128"/>
    <n v="96"/>
  </r>
  <r>
    <n v="422"/>
    <x v="1"/>
    <x v="267"/>
    <s v="eth1/70"/>
    <x v="0"/>
    <x v="0"/>
    <x v="0"/>
    <s v="sfmevp03"/>
    <x v="6"/>
    <b v="0"/>
    <s v="No está en VPC"/>
    <n v="422"/>
    <s v="INTPG_ACC_422_1.70"/>
    <s v="ISEL-1.70"/>
    <n v="1"/>
    <s v="NO TIENE L3OUT"/>
    <n v="182"/>
    <n v="96"/>
  </r>
  <r>
    <n v="436"/>
    <x v="1"/>
    <x v="268"/>
    <s v="eth1/70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70"/>
    <x v="0"/>
    <x v="0"/>
    <x v="0"/>
    <s v="ITHRTC3NB1"/>
    <x v="6"/>
    <b v="0"/>
    <s v="No está en VPC"/>
    <n v="410"/>
    <s v="INTPG_ACC_410_1.70"/>
    <s v="ISEL-1.70"/>
    <n v="1"/>
    <s v="NO TIENE L3OUT"/>
    <n v="178"/>
    <n v="96"/>
  </r>
  <r>
    <n v="161"/>
    <x v="0"/>
    <x v="270"/>
    <s v="eth1/70"/>
    <x v="0"/>
    <x v="0"/>
    <x v="0"/>
    <s v="VIRTUAL_MACHINE_SGH250HXW4_CLIENT1"/>
    <x v="6"/>
    <b v="0"/>
    <s v="No está en VPC"/>
    <n v="161"/>
    <s v="INTPG_VPC_161_1.70_163_1.33"/>
    <s v="ISEL-1.70"/>
    <n v="1"/>
    <s v="NO TIENE L3OUT"/>
    <n v="102"/>
    <n v="96"/>
  </r>
  <r>
    <n v="411"/>
    <x v="1"/>
    <x v="271"/>
    <s v="eth1/70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70"/>
    <x v="0"/>
    <x v="1"/>
    <x v="1"/>
    <s v="COBROS NAVEGACION"/>
    <x v="6"/>
    <b v="0"/>
    <s v="No está en VPC"/>
    <n v="116"/>
    <s v="INTPG_ACC_116_1.70"/>
    <s v="ISEL-1.70"/>
    <n v="1"/>
    <s v="NO TIENE L3OUT"/>
    <n v="148"/>
    <n v="96"/>
  </r>
  <r>
    <n v="412"/>
    <x v="1"/>
    <x v="273"/>
    <s v="eth1/70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70"/>
    <x v="1"/>
    <x v="1"/>
    <x v="2"/>
    <s v="N/A"/>
    <x v="6"/>
    <b v="0"/>
    <s v="No está en VPC"/>
    <n v="120"/>
    <s v="INTPG_ACC_120_1.70"/>
    <s v="ISEL-1.70"/>
    <n v="1"/>
    <s v="NO TIENE L3OUT"/>
    <n v="158"/>
    <n v="96"/>
  </r>
  <r>
    <n v="404"/>
    <x v="1"/>
    <x v="275"/>
    <s v="eth1/70"/>
    <x v="0"/>
    <x v="0"/>
    <x v="0"/>
    <s v="ITHRTC11VC1X4"/>
    <x v="6"/>
    <b v="0"/>
    <s v="No está en VPC"/>
    <n v="404"/>
    <s v="INTPG_ACC_404_1.70"/>
    <s v="ISEL-1.70"/>
    <n v="1"/>
    <s v="NO TIENE L3OUT"/>
    <n v="92"/>
    <n v="96"/>
  </r>
  <r>
    <n v="167"/>
    <x v="0"/>
    <x v="276"/>
    <s v="eth1/70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70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105"/>
    <x v="0"/>
    <x v="205"/>
    <s v="eth1/71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71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71"/>
    <x v="0"/>
    <x v="1"/>
    <x v="1"/>
    <s v="CISCO ANA 01 EHEALTH"/>
    <x v="6"/>
    <b v="0"/>
    <s v="No está en VPC"/>
    <n v="104"/>
    <s v="INTPG_ACC_104_1.71"/>
    <s v="ISEL-1.71"/>
    <n v="1"/>
    <s v="NO TIENE L3OUT"/>
    <n v="194"/>
    <n v="96"/>
  </r>
  <r>
    <n v="158"/>
    <x v="0"/>
    <x v="208"/>
    <s v="eth1/71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71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71"/>
    <x v="0"/>
    <x v="1"/>
    <x v="1"/>
    <s v="DESC"/>
    <x v="6"/>
    <b v="0"/>
    <s v="No está en VPC"/>
    <n v="112"/>
    <s v="INTPG_PC_112_1.68-73"/>
    <s v="ISEL-1.71"/>
    <n v="12"/>
    <s v="NO TIENE L3OUT"/>
    <n v="144"/>
    <n v="96"/>
  </r>
  <r>
    <n v="107"/>
    <x v="0"/>
    <x v="213"/>
    <s v="eth1/71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71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71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71"/>
    <x v="0"/>
    <x v="1"/>
    <x v="1"/>
    <s v="DESC"/>
    <x v="6"/>
    <b v="0"/>
    <s v="No está en VPC"/>
    <n v="114"/>
    <s v="INTPG_PC_114_1.66-71"/>
    <s v="ISEL-1.71"/>
    <n v="12"/>
    <s v="NO TIENE L3OUT"/>
    <n v="144"/>
    <n v="96"/>
  </r>
  <r>
    <n v="124"/>
    <x v="0"/>
    <x v="217"/>
    <s v="eth1/71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71"/>
    <x v="1"/>
    <x v="1"/>
    <x v="2"/>
    <s v="ASAP BATCH"/>
    <x v="6"/>
    <b v="0"/>
    <s v="No está en VPC"/>
    <n v="118"/>
    <s v="INTPG_ACC_118_1.71"/>
    <s v="ISEL-1.71"/>
    <n v="0"/>
    <s v="NO TIENE L3OUT"/>
    <n v="180"/>
    <n v="96"/>
  </r>
  <r>
    <n v="159"/>
    <x v="0"/>
    <x v="219"/>
    <s v="eth1/71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71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71"/>
    <x v="0"/>
    <x v="1"/>
    <x v="1"/>
    <s v="MULTIMEDIACION_1"/>
    <x v="6"/>
    <b v="0"/>
    <s v="No está en VPC"/>
    <n v="163"/>
    <s v="INTPG_ACC_163_1.71"/>
    <s v="ISEL-1.71"/>
    <n v="1"/>
    <s v="NO TIENE L3OUT"/>
    <n v="140"/>
    <n v="96"/>
  </r>
  <r>
    <n v="407"/>
    <x v="1"/>
    <x v="224"/>
    <s v="eth1/71"/>
    <x v="0"/>
    <x v="0"/>
    <x v="0"/>
    <s v="INSIGHTCA5-ilom"/>
    <x v="6"/>
    <b v="0"/>
    <s v="No está en VPC"/>
    <n v="407"/>
    <s v="INTPG_ACC_407_1.71"/>
    <s v="ISEL-1.71"/>
    <n v="1"/>
    <s v="NO TIENE L3OUT"/>
    <n v="122"/>
    <n v="96"/>
  </r>
  <r>
    <n v="171"/>
    <x v="0"/>
    <x v="225"/>
    <s v="eth1/71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71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71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71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71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71"/>
    <x v="0"/>
    <x v="0"/>
    <x v="0"/>
    <s v="TO-ITHVRNR640A_1-Principal"/>
    <x v="6"/>
    <b v="0"/>
    <s v="No está en VPC"/>
    <n v="420"/>
    <s v="INTPG_ACC_420_1.71"/>
    <s v="ISEL-1.71"/>
    <n v="1"/>
    <s v="NO TIENE L3OUT"/>
    <n v="158"/>
    <n v="96"/>
  </r>
  <r>
    <n v="423"/>
    <x v="1"/>
    <x v="231"/>
    <s v="eth1/71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71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71"/>
    <x v="0"/>
    <x v="0"/>
    <x v="0"/>
    <s v="REDES SOCIALES PERU_uxgsm001_E1000g2"/>
    <x v="6"/>
    <b v="0"/>
    <s v="No está en VPC"/>
    <n v="102"/>
    <s v="INTPG_ACC_102_1.71"/>
    <s v="ISEL-1.71"/>
    <n v="1"/>
    <s v="NO TIENE L3OUT"/>
    <n v="228"/>
    <n v="96"/>
  </r>
  <r>
    <n v="122"/>
    <x v="0"/>
    <x v="237"/>
    <s v="eth1/71"/>
    <x v="0"/>
    <x v="0"/>
    <x v="0"/>
    <s v="TRAP"/>
    <x v="6"/>
    <b v="0"/>
    <s v="No está en VPC"/>
    <n v="122"/>
    <s v="INTPG_PC_122_1.71-73"/>
    <s v="ISEL-1.71"/>
    <n v="1"/>
    <s v="NO TIENE L3OUT"/>
    <n v="148"/>
    <n v="96"/>
  </r>
  <r>
    <n v="157"/>
    <x v="0"/>
    <x v="238"/>
    <s v="eth1/71"/>
    <x v="0"/>
    <x v="0"/>
    <x v="0"/>
    <s v="ARIESO_GEOLOCALIZACION"/>
    <x v="6"/>
    <b v="0"/>
    <s v="No está en VPC"/>
    <n v="157"/>
    <s v="INTPG_ACC_157_1.71"/>
    <s v="ISEL-1.71"/>
    <n v="2"/>
    <s v="NO TIENE L3OUT"/>
    <n v="202"/>
    <n v="96"/>
  </r>
  <r>
    <n v="408"/>
    <x v="1"/>
    <x v="239"/>
    <s v="eth1/71"/>
    <x v="0"/>
    <x v="0"/>
    <x v="0"/>
    <s v="ITHRTC62OA1"/>
    <x v="6"/>
    <b v="0"/>
    <s v="No está en VPC"/>
    <n v="408"/>
    <s v="INTPG_ACC_408_1.71"/>
    <s v="ISEL-1.71"/>
    <n v="1"/>
    <s v="NO TIENE L3OUT"/>
    <n v="152"/>
    <n v="96"/>
  </r>
  <r>
    <n v="405"/>
    <x v="1"/>
    <x v="240"/>
    <s v="eth1/71"/>
    <x v="0"/>
    <x v="0"/>
    <x v="0"/>
    <s v="ARIESO_LTE_RLR7ARI11"/>
    <x v="6"/>
    <b v="0"/>
    <s v="No está en VPC"/>
    <n v="405"/>
    <s v="INTPG_ACC_405_1.71"/>
    <s v="ISEL-1.71"/>
    <n v="1"/>
    <s v="NO TIENE L3OUT"/>
    <n v="138"/>
    <n v="96"/>
  </r>
  <r>
    <n v="169"/>
    <x v="0"/>
    <x v="241"/>
    <s v="eth1/71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71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71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71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71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71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71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71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71"/>
    <x v="0"/>
    <x v="0"/>
    <x v="0"/>
    <s v="ITHRTC42VC1-4"/>
    <x v="6"/>
    <b v="0"/>
    <s v="No está en VPC"/>
    <n v="406"/>
    <s v="INTPG_ACC_406_1.71"/>
    <s v="ISEL-1.71"/>
    <n v="1"/>
    <s v="NO TIENE L3OUT"/>
    <n v="82"/>
    <n v="96"/>
  </r>
  <r>
    <n v="414"/>
    <x v="1"/>
    <x v="250"/>
    <s v="eth1/71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71"/>
    <x v="0"/>
    <x v="0"/>
    <x v="0"/>
    <s v="B6200B_DT_1"/>
    <x v="6"/>
    <b v="0"/>
    <s v="No está en VPC"/>
    <n v="416"/>
    <s v="INTPG_ACC_416_1.71"/>
    <s v="ISEL-1.71"/>
    <n v="1"/>
    <s v="NO TIENE L3OUT"/>
    <n v="110"/>
    <n v="96"/>
  </r>
  <r>
    <n v="418"/>
    <x v="1"/>
    <x v="252"/>
    <s v="eth1/71"/>
    <x v="0"/>
    <x v="0"/>
    <x v="0"/>
    <s v="ITHRTC4CSS1"/>
    <x v="6"/>
    <b v="0"/>
    <s v="No está en VPC"/>
    <n v="418"/>
    <s v="INTPG_ACC_418_1.71"/>
    <s v="ISEL-1.71"/>
    <n v="1"/>
    <s v="NO TIENE L3OUT"/>
    <n v="152"/>
    <n v="96"/>
  </r>
  <r>
    <n v="413"/>
    <x v="1"/>
    <x v="253"/>
    <s v="eth1/71"/>
    <x v="0"/>
    <x v="0"/>
    <x v="0"/>
    <s v="IXTSRM2_VM4"/>
    <x v="6"/>
    <b v="0"/>
    <s v="No está en VPC"/>
    <n v="413"/>
    <s v="INTPG_ACC_413_1.71"/>
    <s v="ISEL-1.71"/>
    <n v="1"/>
    <s v="NO TIENE L3OUT"/>
    <n v="126"/>
    <n v="96"/>
  </r>
  <r>
    <n v="403"/>
    <x v="1"/>
    <x v="254"/>
    <s v="eth1/71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71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71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71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71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71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71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71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71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71"/>
    <x v="0"/>
    <x v="0"/>
    <x v="0"/>
    <s v="PDU"/>
    <x v="6"/>
    <b v="0"/>
    <s v="No está en VPC"/>
    <n v="430"/>
    <s v="INTPG_ACC_430_1.71"/>
    <s v="ISEL-1.71"/>
    <n v="1"/>
    <s v="NO TIENE L3OUT"/>
    <n v="86"/>
    <n v="96"/>
  </r>
  <r>
    <n v="419"/>
    <x v="1"/>
    <x v="264"/>
    <s v="eth1/71"/>
    <x v="0"/>
    <x v="0"/>
    <x v="0"/>
    <s v="HP Proliant DL380p(c)"/>
    <x v="6"/>
    <b v="0"/>
    <s v="No está en VPC"/>
    <n v="419"/>
    <s v="INTPG_ACC_419_1.71"/>
    <s v="ISEL-1.71"/>
    <n v="1"/>
    <s v="NO TIENE L3OUT"/>
    <n v="70"/>
    <n v="96"/>
  </r>
  <r>
    <n v="155"/>
    <x v="0"/>
    <x v="265"/>
    <s v="eth1/71"/>
    <x v="0"/>
    <x v="0"/>
    <x v="0"/>
    <s v="ARIESO_GEOLOCALIZACION"/>
    <x v="6"/>
    <b v="0"/>
    <s v="No está en VPC"/>
    <n v="155"/>
    <s v="INTPG_ACC_155_1.71"/>
    <s v="ISEL-1.71"/>
    <n v="2"/>
    <s v="NO TIENE L3OUT"/>
    <n v="198"/>
    <n v="96"/>
  </r>
  <r>
    <n v="409"/>
    <x v="1"/>
    <x v="266"/>
    <s v="eth1/71"/>
    <x v="0"/>
    <x v="0"/>
    <x v="0"/>
    <s v="BIGDATA SECUNDARIO"/>
    <x v="6"/>
    <b v="0"/>
    <s v="No está en VPC"/>
    <n v="409"/>
    <s v="INTPG_ACC_409_1.71"/>
    <s v="ISEL-1.71"/>
    <n v="1"/>
    <s v="NO TIENE L3OUT"/>
    <n v="128"/>
    <n v="96"/>
  </r>
  <r>
    <n v="422"/>
    <x v="1"/>
    <x v="267"/>
    <s v="eth1/71"/>
    <x v="0"/>
    <x v="0"/>
    <x v="0"/>
    <s v="sfmevp04"/>
    <x v="6"/>
    <b v="0"/>
    <s v="No está en VPC"/>
    <n v="422"/>
    <s v="INTPG_ACC_422_1.71"/>
    <s v="ISEL-1.71"/>
    <n v="1"/>
    <s v="NO TIENE L3OUT"/>
    <n v="182"/>
    <n v="96"/>
  </r>
  <r>
    <n v="436"/>
    <x v="1"/>
    <x v="268"/>
    <s v="eth1/71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71"/>
    <x v="0"/>
    <x v="0"/>
    <x v="0"/>
    <s v="ITHRTC31OA2"/>
    <x v="6"/>
    <b v="0"/>
    <s v="No está en VPC"/>
    <n v="410"/>
    <s v="INTPG_ACC_410_1.71"/>
    <s v="ISEL-1.71"/>
    <n v="1"/>
    <s v="NO TIENE L3OUT"/>
    <n v="178"/>
    <n v="96"/>
  </r>
  <r>
    <n v="161"/>
    <x v="0"/>
    <x v="270"/>
    <s v="eth1/71"/>
    <x v="0"/>
    <x v="0"/>
    <x v="0"/>
    <s v="CELCITE"/>
    <x v="6"/>
    <b v="0"/>
    <s v="No está en VPC"/>
    <n v="161"/>
    <s v="INTPG_ACC_161_1.71"/>
    <s v="ISEL-1.71"/>
    <n v="1"/>
    <s v="NO TIENE L3OUT"/>
    <n v="102"/>
    <n v="96"/>
  </r>
  <r>
    <n v="411"/>
    <x v="1"/>
    <x v="271"/>
    <s v="eth1/71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71"/>
    <x v="0"/>
    <x v="0"/>
    <x v="0"/>
    <s v="COBROS NAVEGACION"/>
    <x v="6"/>
    <b v="0"/>
    <s v="No está en VPC"/>
    <n v="116"/>
    <s v="INTPG_ACC_116_1.71"/>
    <s v="ISEL-1.71"/>
    <n v="1"/>
    <s v="NO TIENE L3OUT"/>
    <n v="148"/>
    <n v="96"/>
  </r>
  <r>
    <n v="412"/>
    <x v="1"/>
    <x v="273"/>
    <s v="eth1/71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71"/>
    <x v="1"/>
    <x v="1"/>
    <x v="2"/>
    <m/>
    <x v="6"/>
    <b v="0"/>
    <s v="No está en VPC"/>
    <n v="120"/>
    <s v="INTPG_VPC_120_1.71_122_1.79"/>
    <s v="ISEL-1.71"/>
    <n v="1"/>
    <s v="NO TIENE L3OUT"/>
    <n v="158"/>
    <n v="96"/>
  </r>
  <r>
    <n v="404"/>
    <x v="1"/>
    <x v="275"/>
    <s v="eth1/71"/>
    <x v="0"/>
    <x v="0"/>
    <x v="0"/>
    <s v="ITHRTC1NB1"/>
    <x v="6"/>
    <b v="0"/>
    <s v="No está en VPC"/>
    <n v="404"/>
    <s v="INTPG_ACC_404_1.71"/>
    <s v="ISEL-1.71"/>
    <n v="1"/>
    <s v="NO TIENE L3OUT"/>
    <n v="92"/>
    <n v="96"/>
  </r>
  <r>
    <n v="167"/>
    <x v="0"/>
    <x v="276"/>
    <s v="eth1/71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71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105"/>
    <x v="0"/>
    <x v="205"/>
    <s v="eth1/72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72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72"/>
    <x v="0"/>
    <x v="1"/>
    <x v="1"/>
    <s v="CISCO ANA 01 EHEALTH"/>
    <x v="6"/>
    <b v="0"/>
    <s v="No está en VPC"/>
    <n v="104"/>
    <s v="INTPG_ACC_104_1.72"/>
    <s v="ISEL-1.72"/>
    <n v="1"/>
    <s v="NO TIENE L3OUT"/>
    <n v="194"/>
    <n v="96"/>
  </r>
  <r>
    <n v="158"/>
    <x v="0"/>
    <x v="208"/>
    <s v="eth1/72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72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72"/>
    <x v="1"/>
    <x v="1"/>
    <x v="2"/>
    <s v="DESC"/>
    <x v="6"/>
    <b v="0"/>
    <s v="No está en VPC"/>
    <n v="112"/>
    <s v="INTPG_PC_112_1.68-73"/>
    <s v="ISEL-1.72"/>
    <n v="12"/>
    <s v="NO TIENE L3OUT"/>
    <n v="144"/>
    <n v="96"/>
  </r>
  <r>
    <n v="107"/>
    <x v="0"/>
    <x v="213"/>
    <s v="eth1/72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72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72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72"/>
    <x v="1"/>
    <x v="1"/>
    <x v="2"/>
    <s v="RATING FASE2 BLADES"/>
    <x v="6"/>
    <b v="0"/>
    <s v="No está en VPC"/>
    <n v="114"/>
    <s v="INTPG_ACC_114_1.72"/>
    <s v="ISEL-1.72"/>
    <n v="1"/>
    <s v="NO TIENE L3OUT"/>
    <n v="144"/>
    <n v="96"/>
  </r>
  <r>
    <n v="124"/>
    <x v="0"/>
    <x v="217"/>
    <s v="eth1/72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72"/>
    <x v="0"/>
    <x v="1"/>
    <x v="1"/>
    <s v="ASAP BATCH"/>
    <x v="6"/>
    <b v="0"/>
    <s v="No está en VPC"/>
    <n v="118"/>
    <s v="INTPG_ACC_118_1.72"/>
    <s v="ISEL-1.72"/>
    <n v="1"/>
    <s v="NO TIENE L3OUT"/>
    <n v="180"/>
    <n v="96"/>
  </r>
  <r>
    <n v="159"/>
    <x v="0"/>
    <x v="219"/>
    <s v="eth1/72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72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72"/>
    <x v="0"/>
    <x v="0"/>
    <x v="0"/>
    <s v="UPGRADE _HP_OV"/>
    <x v="6"/>
    <b v="0"/>
    <s v="No está en VPC"/>
    <n v="163"/>
    <s v="INTPG_ACC_163_1.72"/>
    <s v="ISEL-1.72"/>
    <n v="1"/>
    <s v="NO TIENE L3OUT"/>
    <n v="140"/>
    <n v="96"/>
  </r>
  <r>
    <n v="407"/>
    <x v="1"/>
    <x v="224"/>
    <s v="eth1/72"/>
    <x v="0"/>
    <x v="0"/>
    <x v="0"/>
    <s v="BIGDATA PRINCIPAL"/>
    <x v="6"/>
    <b v="0"/>
    <s v="No está en VPC"/>
    <n v="407"/>
    <s v="INTPG_ACC_407_1.72"/>
    <s v="ISEL-1.72"/>
    <n v="1"/>
    <s v="NO TIENE L3OUT"/>
    <n v="122"/>
    <n v="96"/>
  </r>
  <r>
    <n v="171"/>
    <x v="0"/>
    <x v="225"/>
    <s v="eth1/72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72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72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72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72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72"/>
    <x v="0"/>
    <x v="0"/>
    <x v="0"/>
    <s v="TO-ITHVRNR640A_2-Principal"/>
    <x v="6"/>
    <b v="0"/>
    <s v="No está en VPC"/>
    <n v="420"/>
    <s v="INTPG_ACC_420_1.72"/>
    <s v="ISEL-1.72"/>
    <n v="1"/>
    <s v="NO TIENE L3OUT"/>
    <n v="158"/>
    <n v="96"/>
  </r>
  <r>
    <n v="423"/>
    <x v="1"/>
    <x v="231"/>
    <s v="eth1/72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72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72"/>
    <x v="0"/>
    <x v="1"/>
    <x v="1"/>
    <s v="SIEMC:uxdomaing:nxge5"/>
    <x v="6"/>
    <b v="0"/>
    <s v="No está en VPC"/>
    <n v="102"/>
    <s v="INTPG_ACC_102_1.72"/>
    <s v="ISEL-1.72"/>
    <n v="1"/>
    <s v="NO TIENE L3OUT"/>
    <n v="228"/>
    <n v="96"/>
  </r>
  <r>
    <n v="122"/>
    <x v="0"/>
    <x v="237"/>
    <s v="eth1/72"/>
    <x v="0"/>
    <x v="0"/>
    <x v="0"/>
    <s v="TRAP"/>
    <x v="6"/>
    <b v="0"/>
    <s v="No está en VPC"/>
    <n v="122"/>
    <s v="INTPG_PC_122_1.71-73"/>
    <s v="ISEL-1.72"/>
    <n v="1"/>
    <s v="NO TIENE L3OUT"/>
    <n v="148"/>
    <n v="96"/>
  </r>
  <r>
    <n v="157"/>
    <x v="0"/>
    <x v="238"/>
    <s v="eth1/72"/>
    <x v="0"/>
    <x v="0"/>
    <x v="0"/>
    <s v="ARIESO_GEOLOCALIZACION"/>
    <x v="6"/>
    <b v="0"/>
    <s v="No está en VPC"/>
    <n v="157"/>
    <s v="INTPG_ACC_157_1.72"/>
    <s v="ISEL-1.72"/>
    <n v="2"/>
    <s v="NO TIENE L3OUT"/>
    <n v="202"/>
    <n v="96"/>
  </r>
  <r>
    <n v="408"/>
    <x v="1"/>
    <x v="239"/>
    <s v="eth1/72"/>
    <x v="0"/>
    <x v="0"/>
    <x v="0"/>
    <s v="ITHRTCD3CONT1"/>
    <x v="6"/>
    <b v="0"/>
    <s v="No está en VPC"/>
    <n v="408"/>
    <s v="INTPG_ACC_408_1.72"/>
    <s v="ISEL-1.72"/>
    <n v="1"/>
    <s v="NO TIENE L3OUT"/>
    <n v="152"/>
    <n v="96"/>
  </r>
  <r>
    <n v="405"/>
    <x v="1"/>
    <x v="240"/>
    <s v="eth1/72"/>
    <x v="0"/>
    <x v="0"/>
    <x v="0"/>
    <s v="SOEM_sec_iLO"/>
    <x v="6"/>
    <b v="0"/>
    <s v="No está en VPC"/>
    <n v="405"/>
    <s v="INTPG_ACC_405_1.72"/>
    <s v="ISEL-1.72"/>
    <n v="1"/>
    <s v="NO TIENE L3OUT"/>
    <n v="138"/>
    <n v="96"/>
  </r>
  <r>
    <n v="169"/>
    <x v="0"/>
    <x v="241"/>
    <s v="eth1/72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72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72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72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72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72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72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72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72"/>
    <x v="0"/>
    <x v="1"/>
    <x v="1"/>
    <s v="ITHRTC4NB2"/>
    <x v="6"/>
    <b v="0"/>
    <s v="No está en VPC"/>
    <n v="406"/>
    <s v="INTPG_ACC_406_1.72"/>
    <s v="ISEL-1.72"/>
    <n v="1"/>
    <s v="NO TIENE L3OUT"/>
    <n v="82"/>
    <n v="96"/>
  </r>
  <r>
    <n v="414"/>
    <x v="1"/>
    <x v="250"/>
    <s v="eth1/72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72"/>
    <x v="0"/>
    <x v="0"/>
    <x v="0"/>
    <s v="B6200C_DT_1"/>
    <x v="6"/>
    <b v="0"/>
    <s v="No está en VPC"/>
    <n v="416"/>
    <s v="INTPG_ACC_416_1.72"/>
    <s v="ISEL-1.72"/>
    <n v="1"/>
    <s v="NO TIENE L3OUT"/>
    <n v="110"/>
    <n v="96"/>
  </r>
  <r>
    <n v="418"/>
    <x v="1"/>
    <x v="252"/>
    <s v="eth1/72"/>
    <x v="0"/>
    <x v="0"/>
    <x v="0"/>
    <s v="TEMIPCLOUD_A01"/>
    <x v="6"/>
    <b v="0"/>
    <s v="No está en VPC"/>
    <n v="418"/>
    <s v="INTPG_ACC_418_1.72"/>
    <s v="ISEL-1.72"/>
    <n v="6"/>
    <s v="NO TIENE L3OUT"/>
    <n v="152"/>
    <n v="96"/>
  </r>
  <r>
    <n v="413"/>
    <x v="1"/>
    <x v="253"/>
    <s v="eth1/72"/>
    <x v="0"/>
    <x v="0"/>
    <x v="0"/>
    <s v="IXTSRM1-ilom"/>
    <x v="6"/>
    <b v="0"/>
    <s v="No está en VPC"/>
    <n v="413"/>
    <s v="INTPG_ACC_413_1.72"/>
    <s v="ISEL-1.72"/>
    <n v="1"/>
    <s v="NO TIENE L3OUT"/>
    <n v="126"/>
    <n v="96"/>
  </r>
  <r>
    <n v="403"/>
    <x v="1"/>
    <x v="254"/>
    <s v="eth1/72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72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72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72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72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72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72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72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72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72"/>
    <x v="0"/>
    <x v="1"/>
    <x v="1"/>
    <s v="DOC1_PROD2_ILO"/>
    <x v="6"/>
    <b v="0"/>
    <s v="No está en VPC"/>
    <n v="430"/>
    <s v="INTPG_ACC_430_1.72"/>
    <s v="ISEL-1.72"/>
    <n v="1"/>
    <s v="NO TIENE L3OUT"/>
    <n v="86"/>
    <n v="96"/>
  </r>
  <r>
    <n v="419"/>
    <x v="1"/>
    <x v="264"/>
    <s v="eth1/72"/>
    <x v="0"/>
    <x v="0"/>
    <x v="0"/>
    <s v="HP Proliant DL380p(c)"/>
    <x v="6"/>
    <b v="0"/>
    <s v="No está en VPC"/>
    <n v="419"/>
    <s v="INTPG_ACC_419_1.72"/>
    <s v="ISEL-1.72"/>
    <n v="1"/>
    <s v="NO TIENE L3OUT"/>
    <n v="70"/>
    <n v="96"/>
  </r>
  <r>
    <n v="155"/>
    <x v="0"/>
    <x v="265"/>
    <s v="eth1/72"/>
    <x v="0"/>
    <x v="0"/>
    <x v="0"/>
    <s v="ARIESO_GEOLOCALIZACION"/>
    <x v="6"/>
    <b v="0"/>
    <s v="No está en VPC"/>
    <n v="155"/>
    <s v="INTPG_ACC_155_1.72"/>
    <s v="ISEL-1.72"/>
    <n v="2"/>
    <s v="NO TIENE L3OUT"/>
    <n v="198"/>
    <n v="96"/>
  </r>
  <r>
    <n v="409"/>
    <x v="1"/>
    <x v="266"/>
    <s v="eth1/72"/>
    <x v="0"/>
    <x v="0"/>
    <x v="0"/>
    <s v="BIGDATA SECUNDARIO"/>
    <x v="6"/>
    <b v="0"/>
    <s v="No está en VPC"/>
    <n v="409"/>
    <s v="INTPG_ACC_409_1.72"/>
    <s v="ISEL-1.72"/>
    <n v="1"/>
    <s v="NO TIENE L3OUT"/>
    <n v="128"/>
    <n v="96"/>
  </r>
  <r>
    <n v="422"/>
    <x v="1"/>
    <x v="267"/>
    <s v="eth1/72"/>
    <x v="0"/>
    <x v="0"/>
    <x v="0"/>
    <s v="sfmevp05"/>
    <x v="6"/>
    <b v="0"/>
    <s v="No está en VPC"/>
    <n v="422"/>
    <s v="INTPG_ACC_422_1.72"/>
    <s v="ISEL-1.72"/>
    <n v="1"/>
    <s v="NO TIENE L3OUT"/>
    <n v="182"/>
    <n v="96"/>
  </r>
  <r>
    <n v="436"/>
    <x v="1"/>
    <x v="268"/>
    <s v="eth1/72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72"/>
    <x v="0"/>
    <x v="0"/>
    <x v="0"/>
    <s v="ITHRTC32OA2"/>
    <x v="6"/>
    <b v="0"/>
    <s v="No está en VPC"/>
    <n v="410"/>
    <s v="INTPG_ACC_410_1.72"/>
    <s v="ISEL-1.72"/>
    <n v="1"/>
    <s v="NO TIENE L3OUT"/>
    <n v="178"/>
    <n v="96"/>
  </r>
  <r>
    <n v="161"/>
    <x v="0"/>
    <x v="270"/>
    <s v="eth1/72"/>
    <x v="0"/>
    <x v="0"/>
    <x v="0"/>
    <s v="CELCITE"/>
    <x v="6"/>
    <b v="0"/>
    <s v="No está en VPC"/>
    <n v="161"/>
    <s v="INTPG_ACC_161_1.72"/>
    <s v="ISEL-1.72"/>
    <n v="1"/>
    <s v="NO TIENE L3OUT"/>
    <n v="102"/>
    <n v="96"/>
  </r>
  <r>
    <n v="411"/>
    <x v="1"/>
    <x v="271"/>
    <s v="eth1/72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72"/>
    <x v="0"/>
    <x v="1"/>
    <x v="1"/>
    <s v="LifeRay_to_ixtprodploym"/>
    <x v="6"/>
    <b v="0"/>
    <s v="No está en VPC"/>
    <n v="116"/>
    <s v="INTPG_ACC_116_1.72"/>
    <s v="ISEL-1.72"/>
    <n v="1"/>
    <s v="NO TIENE L3OUT"/>
    <n v="148"/>
    <n v="96"/>
  </r>
  <r>
    <n v="412"/>
    <x v="1"/>
    <x v="273"/>
    <s v="eth1/72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72"/>
    <x v="1"/>
    <x v="1"/>
    <x v="2"/>
    <s v="N/A"/>
    <x v="6"/>
    <b v="0"/>
    <s v="No está en VPC"/>
    <n v="120"/>
    <s v="INTPG_ACC_120_1.72"/>
    <s v="ISEL-1.72"/>
    <n v="1"/>
    <s v="NO TIENE L3OUT"/>
    <n v="158"/>
    <n v="96"/>
  </r>
  <r>
    <n v="404"/>
    <x v="1"/>
    <x v="275"/>
    <s v="eth1/72"/>
    <x v="0"/>
    <x v="0"/>
    <x v="0"/>
    <s v="ITHRTC1OA1"/>
    <x v="6"/>
    <b v="0"/>
    <s v="No está en VPC"/>
    <n v="404"/>
    <s v="INTPG_ACC_404_1.72"/>
    <s v="ISEL-1.72"/>
    <n v="1"/>
    <s v="NO TIENE L3OUT"/>
    <n v="92"/>
    <n v="96"/>
  </r>
  <r>
    <n v="167"/>
    <x v="0"/>
    <x v="276"/>
    <s v="eth1/72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72"/>
    <x v="0"/>
    <x v="1"/>
    <x v="1"/>
    <s v="sfrevp04_MGMT_RHEV_HUAWEI"/>
    <x v="6"/>
    <b v="0"/>
    <s v="No está en VPC"/>
    <n v="428"/>
    <s v="INTPG_ACC_428_1.72"/>
    <s v="ISEL-1.72"/>
    <n v="1"/>
    <s v="NO TIENE L3OUT"/>
    <n v="102"/>
    <n v="96"/>
  </r>
  <r>
    <n v="105"/>
    <x v="0"/>
    <x v="205"/>
    <s v="eth1/73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73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73"/>
    <x v="0"/>
    <x v="1"/>
    <x v="1"/>
    <s v="CISCO ANA 01 EHEALTH"/>
    <x v="6"/>
    <b v="0"/>
    <s v="No está en VPC"/>
    <n v="104"/>
    <s v="INTPG_ACC_104_1.73"/>
    <s v="ISEL-1.73"/>
    <n v="1"/>
    <s v="NO TIENE L3OUT"/>
    <n v="194"/>
    <n v="96"/>
  </r>
  <r>
    <n v="158"/>
    <x v="0"/>
    <x v="208"/>
    <s v="eth1/73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73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73"/>
    <x v="0"/>
    <x v="1"/>
    <x v="1"/>
    <s v="DESC"/>
    <x v="6"/>
    <b v="0"/>
    <s v="No está en VPC"/>
    <n v="112"/>
    <s v="INTPG_PC_112_1.68-73"/>
    <s v="ISEL-1.73"/>
    <n v="12"/>
    <s v="NO TIENE L3OUT"/>
    <n v="144"/>
    <n v="96"/>
  </r>
  <r>
    <n v="107"/>
    <x v="0"/>
    <x v="213"/>
    <s v="eth1/73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73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73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73"/>
    <x v="0"/>
    <x v="1"/>
    <x v="1"/>
    <s v="CFD"/>
    <x v="6"/>
    <b v="0"/>
    <s v="No está en VPC"/>
    <n v="114"/>
    <s v="INTPG_ACC_114_1.73"/>
    <s v="ISEL-1.73"/>
    <n v="1"/>
    <s v="NO TIENE L3OUT"/>
    <n v="144"/>
    <n v="96"/>
  </r>
  <r>
    <n v="124"/>
    <x v="0"/>
    <x v="217"/>
    <s v="eth1/73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73"/>
    <x v="0"/>
    <x v="0"/>
    <x v="0"/>
    <s v="ASAP BATCH"/>
    <x v="6"/>
    <b v="0"/>
    <s v="No está en VPC"/>
    <n v="118"/>
    <s v="INTPG_ACC_118_1.73"/>
    <s v="ISEL-1.73"/>
    <n v="1"/>
    <s v="NO TIENE L3OUT"/>
    <n v="180"/>
    <n v="96"/>
  </r>
  <r>
    <n v="159"/>
    <x v="0"/>
    <x v="219"/>
    <s v="eth1/73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73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73"/>
    <x v="0"/>
    <x v="0"/>
    <x v="0"/>
    <s v="UPGRADE _HP_OV"/>
    <x v="6"/>
    <b v="0"/>
    <s v="No está en VPC"/>
    <n v="163"/>
    <s v="INTPG_ACC_163_1.73"/>
    <s v="ISEL-1.73"/>
    <n v="1"/>
    <s v="NO TIENE L3OUT"/>
    <n v="140"/>
    <n v="96"/>
  </r>
  <r>
    <n v="407"/>
    <x v="1"/>
    <x v="224"/>
    <s v="eth1/73"/>
    <x v="0"/>
    <x v="0"/>
    <x v="0"/>
    <s v="BIGDATA PRINCIPAL"/>
    <x v="6"/>
    <b v="0"/>
    <s v="No está en VPC"/>
    <n v="407"/>
    <s v="INTPG_ACC_407_1.73"/>
    <s v="ISEL-1.73"/>
    <n v="1"/>
    <s v="NO TIENE L3OUT"/>
    <n v="122"/>
    <n v="96"/>
  </r>
  <r>
    <n v="171"/>
    <x v="0"/>
    <x v="225"/>
    <s v="eth1/73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73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73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73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73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73"/>
    <x v="0"/>
    <x v="1"/>
    <x v="1"/>
    <s v="TO-ITHVRNR640A_3-Principal"/>
    <x v="6"/>
    <b v="0"/>
    <s v="No está en VPC"/>
    <n v="420"/>
    <s v="INTPG_ACC_420_1.73"/>
    <s v="ISEL-1.73"/>
    <n v="1"/>
    <s v="NO TIENE L3OUT"/>
    <n v="158"/>
    <n v="96"/>
  </r>
  <r>
    <n v="423"/>
    <x v="1"/>
    <x v="231"/>
    <s v="eth1/73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73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73"/>
    <x v="0"/>
    <x v="0"/>
    <x v="0"/>
    <s v="SIEMC:uxedatum:onboard net0"/>
    <x v="6"/>
    <b v="0"/>
    <s v="No está en VPC"/>
    <n v="102"/>
    <s v="INTPG_ACC_102_1.73"/>
    <s v="ISEL-1.73"/>
    <n v="1"/>
    <s v="NO TIENE L3OUT"/>
    <n v="228"/>
    <n v="96"/>
  </r>
  <r>
    <n v="122"/>
    <x v="0"/>
    <x v="237"/>
    <s v="eth1/73"/>
    <x v="0"/>
    <x v="0"/>
    <x v="0"/>
    <s v="TRAP"/>
    <x v="6"/>
    <b v="0"/>
    <s v="No está en VPC"/>
    <n v="122"/>
    <s v="INTPG_PC_122_1.71-73"/>
    <s v="ISEL-1.73"/>
    <n v="1"/>
    <s v="NO TIENE L3OUT"/>
    <n v="148"/>
    <n v="96"/>
  </r>
  <r>
    <n v="157"/>
    <x v="0"/>
    <x v="238"/>
    <s v="eth1/73"/>
    <x v="0"/>
    <x v="0"/>
    <x v="0"/>
    <s v="ARIESO_GEOLOCALIZACION"/>
    <x v="6"/>
    <b v="0"/>
    <s v="No está en VPC"/>
    <n v="157"/>
    <s v="INTPG_ACC_157_1.73"/>
    <s v="ISEL-1.73"/>
    <n v="2"/>
    <s v="NO TIENE L3OUT"/>
    <n v="202"/>
    <n v="96"/>
  </r>
  <r>
    <n v="408"/>
    <x v="1"/>
    <x v="239"/>
    <s v="eth1/73"/>
    <x v="0"/>
    <x v="0"/>
    <x v="0"/>
    <s v="ITHRTCD3CONT2"/>
    <x v="6"/>
    <b v="0"/>
    <s v="No está en VPC"/>
    <n v="408"/>
    <s v="INTPG_ACC_408_1.73"/>
    <s v="ISEL-1.73"/>
    <n v="1"/>
    <s v="NO TIENE L3OUT"/>
    <n v="152"/>
    <n v="96"/>
  </r>
  <r>
    <n v="405"/>
    <x v="1"/>
    <x v="240"/>
    <s v="eth1/73"/>
    <x v="0"/>
    <x v="0"/>
    <x v="0"/>
    <s v="SOEM_prim_eth1"/>
    <x v="6"/>
    <b v="0"/>
    <s v="No está en VPC"/>
    <n v="405"/>
    <s v="INTPG_ACC_405_1.73"/>
    <s v="ISEL-1.73"/>
    <n v="1"/>
    <s v="NO TIENE L3OUT"/>
    <n v="138"/>
    <n v="96"/>
  </r>
  <r>
    <n v="169"/>
    <x v="0"/>
    <x v="241"/>
    <s v="eth1/73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73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73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73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73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73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73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73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73"/>
    <x v="0"/>
    <x v="0"/>
    <x v="0"/>
    <s v="ITHRTC41OA1"/>
    <x v="6"/>
    <b v="0"/>
    <s v="No está en VPC"/>
    <n v="406"/>
    <s v="INTPG_ACC_406_1.73"/>
    <s v="ISEL-1.73"/>
    <n v="1"/>
    <s v="NO TIENE L3OUT"/>
    <n v="82"/>
    <n v="96"/>
  </r>
  <r>
    <n v="414"/>
    <x v="1"/>
    <x v="250"/>
    <s v="eth1/73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73"/>
    <x v="0"/>
    <x v="0"/>
    <x v="0"/>
    <s v="B6200D_DT_1"/>
    <x v="6"/>
    <b v="0"/>
    <s v="No está en VPC"/>
    <n v="416"/>
    <s v="INTPG_ACC_416_1.73"/>
    <s v="ISEL-1.73"/>
    <n v="1"/>
    <s v="NO TIENE L3OUT"/>
    <n v="110"/>
    <n v="96"/>
  </r>
  <r>
    <n v="418"/>
    <x v="1"/>
    <x v="252"/>
    <s v="eth1/73"/>
    <x v="0"/>
    <x v="0"/>
    <x v="0"/>
    <s v="TEMIPCLOUD_A02"/>
    <x v="6"/>
    <b v="0"/>
    <s v="No está en VPC"/>
    <n v="418"/>
    <s v="INTPG_ACC_418_1.73"/>
    <s v="ISEL-1.73"/>
    <n v="6"/>
    <s v="NO TIENE L3OUT"/>
    <n v="152"/>
    <n v="96"/>
  </r>
  <r>
    <n v="413"/>
    <x v="1"/>
    <x v="253"/>
    <s v="eth1/73"/>
    <x v="0"/>
    <x v="0"/>
    <x v="0"/>
    <s v="VSP_G1K"/>
    <x v="6"/>
    <b v="0"/>
    <s v="No está en VPC"/>
    <n v="413"/>
    <s v="INTPG_ACC_413_1.73"/>
    <s v="ISEL-1.73"/>
    <n v="1"/>
    <s v="NO TIENE L3OUT"/>
    <n v="126"/>
    <n v="96"/>
  </r>
  <r>
    <n v="403"/>
    <x v="1"/>
    <x v="254"/>
    <s v="eth1/73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73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73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73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73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73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73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73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73"/>
    <x v="0"/>
    <x v="1"/>
    <x v="1"/>
    <s v="ETLI-SACI 8"/>
    <x v="6"/>
    <b v="0"/>
    <s v="No está en VPC"/>
    <n v="151"/>
    <s v="INTPG_ACC_151_1.73"/>
    <s v="ISEL-1.73"/>
    <n v="1"/>
    <s v="NO TIENE L3OUT"/>
    <n v="86"/>
    <n v="96"/>
  </r>
  <r>
    <n v="430"/>
    <x v="1"/>
    <x v="263"/>
    <s v="eth1/73"/>
    <x v="0"/>
    <x v="0"/>
    <x v="0"/>
    <s v="ECAC_PROD2_ILO"/>
    <x v="6"/>
    <b v="0"/>
    <s v="No está en VPC"/>
    <n v="430"/>
    <s v="INTPG_ACC_430_1.73"/>
    <s v="ISEL-1.73"/>
    <n v="1"/>
    <s v="NO TIENE L3OUT"/>
    <n v="86"/>
    <n v="96"/>
  </r>
  <r>
    <n v="419"/>
    <x v="1"/>
    <x v="264"/>
    <s v="eth1/73"/>
    <x v="0"/>
    <x v="0"/>
    <x v="0"/>
    <s v="HP Proliant DL380p(c)"/>
    <x v="6"/>
    <b v="0"/>
    <s v="No está en VPC"/>
    <n v="419"/>
    <s v="INTPG_ACC_419_1.73"/>
    <s v="ISEL-1.73"/>
    <n v="1"/>
    <s v="NO TIENE L3OUT"/>
    <n v="70"/>
    <n v="96"/>
  </r>
  <r>
    <n v="155"/>
    <x v="0"/>
    <x v="265"/>
    <s v="eth1/73"/>
    <x v="0"/>
    <x v="0"/>
    <x v="0"/>
    <s v="ARIESO_GEOLOCALIZACION"/>
    <x v="6"/>
    <b v="0"/>
    <s v="No está en VPC"/>
    <n v="155"/>
    <s v="INTPG_ACC_155_1.73"/>
    <s v="ISEL-1.73"/>
    <n v="2"/>
    <s v="NO TIENE L3OUT"/>
    <n v="198"/>
    <n v="96"/>
  </r>
  <r>
    <n v="409"/>
    <x v="1"/>
    <x v="266"/>
    <s v="eth1/73"/>
    <x v="0"/>
    <x v="0"/>
    <x v="0"/>
    <s v="BIGDATA SECUNDARIO"/>
    <x v="6"/>
    <b v="0"/>
    <s v="No está en VPC"/>
    <n v="409"/>
    <s v="INTPG_ACC_409_1.73"/>
    <s v="ISEL-1.73"/>
    <n v="1"/>
    <s v="NO TIENE L3OUT"/>
    <n v="128"/>
    <n v="96"/>
  </r>
  <r>
    <n v="422"/>
    <x v="1"/>
    <x v="267"/>
    <s v="eth1/73"/>
    <x v="0"/>
    <x v="0"/>
    <x v="0"/>
    <s v="sfmevp06"/>
    <x v="6"/>
    <b v="0"/>
    <s v="No está en VPC"/>
    <n v="422"/>
    <s v="INTPG_ACC_422_1.73"/>
    <s v="ISEL-1.73"/>
    <n v="1"/>
    <s v="NO TIENE L3OUT"/>
    <n v="182"/>
    <n v="96"/>
  </r>
  <r>
    <n v="436"/>
    <x v="1"/>
    <x v="268"/>
    <s v="eth1/73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73"/>
    <x v="0"/>
    <x v="1"/>
    <x v="1"/>
    <s v="ITHRTC3LSW1"/>
    <x v="6"/>
    <b v="0"/>
    <s v="No está en VPC"/>
    <n v="410"/>
    <s v="INTPG_ACC_410_1.73"/>
    <s v="ISEL-1.73"/>
    <n v="1"/>
    <s v="NO TIENE L3OUT"/>
    <n v="178"/>
    <n v="96"/>
  </r>
  <r>
    <n v="161"/>
    <x v="0"/>
    <x v="270"/>
    <s v="eth1/73"/>
    <x v="0"/>
    <x v="0"/>
    <x v="0"/>
    <s v="CELCITE"/>
    <x v="6"/>
    <b v="0"/>
    <s v="No está en VPC"/>
    <n v="161"/>
    <s v="INTPG_ACC_161_1.73"/>
    <s v="ISEL-1.73"/>
    <n v="1"/>
    <s v="NO TIENE L3OUT"/>
    <n v="102"/>
    <n v="96"/>
  </r>
  <r>
    <n v="411"/>
    <x v="1"/>
    <x v="271"/>
    <s v="eth1/73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73"/>
    <x v="0"/>
    <x v="1"/>
    <x v="1"/>
    <m/>
    <x v="6"/>
    <b v="0"/>
    <s v="No está en VPC"/>
    <n v="116"/>
    <s v="NO EXISTE PG"/>
    <s v="NO EXISTE ISEL"/>
    <n v="0"/>
    <s v="NO TIENE L3OUT"/>
    <n v="148"/>
    <n v="96"/>
  </r>
  <r>
    <n v="412"/>
    <x v="1"/>
    <x v="273"/>
    <s v="eth1/73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73"/>
    <x v="0"/>
    <x v="0"/>
    <x v="0"/>
    <s v="N/A"/>
    <x v="6"/>
    <b v="0"/>
    <s v="No está en VPC"/>
    <n v="120"/>
    <s v="INTPG_ACC_120_1.73"/>
    <s v="ISEL-1.73"/>
    <n v="1"/>
    <s v="NO TIENE L3OUT"/>
    <n v="158"/>
    <n v="96"/>
  </r>
  <r>
    <n v="404"/>
    <x v="1"/>
    <x v="275"/>
    <s v="eth1/73"/>
    <x v="0"/>
    <x v="0"/>
    <x v="0"/>
    <s v="ITHRTC2OA1"/>
    <x v="6"/>
    <b v="0"/>
    <s v="No está en VPC"/>
    <n v="404"/>
    <s v="INTPG_ACC_404_1.73"/>
    <s v="ISEL-1.73"/>
    <n v="1"/>
    <s v="NO TIENE L3OUT"/>
    <n v="92"/>
    <n v="96"/>
  </r>
  <r>
    <n v="167"/>
    <x v="0"/>
    <x v="276"/>
    <s v="eth1/73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73"/>
    <x v="0"/>
    <x v="1"/>
    <x v="1"/>
    <s v="sfrevp12_MGMT_RHEV_HUAWEI"/>
    <x v="6"/>
    <b v="0"/>
    <s v="No está en VPC"/>
    <n v="428"/>
    <s v="INTPG_ACC_428_1.73"/>
    <s v="ISEL-1.73"/>
    <n v="1"/>
    <s v="NO TIENE L3OUT"/>
    <n v="102"/>
    <n v="96"/>
  </r>
  <r>
    <n v="105"/>
    <x v="0"/>
    <x v="205"/>
    <s v="eth1/74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74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74"/>
    <x v="0"/>
    <x v="0"/>
    <x v="0"/>
    <s v="DataWharehosue"/>
    <x v="6"/>
    <b v="0"/>
    <s v="No está en VPC"/>
    <n v="104"/>
    <s v="INTPG_ACC_104_1.74"/>
    <s v="ISEL-1.74"/>
    <n v="1"/>
    <s v="NO TIENE L3OUT"/>
    <n v="194"/>
    <n v="96"/>
  </r>
  <r>
    <n v="158"/>
    <x v="0"/>
    <x v="208"/>
    <s v="eth1/74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74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74"/>
    <x v="0"/>
    <x v="1"/>
    <x v="1"/>
    <s v="RATING FASE2 BLADES"/>
    <x v="6"/>
    <b v="0"/>
    <s v="No está en VPC"/>
    <n v="112"/>
    <s v="INTPG_ACC_112_1.74"/>
    <s v="ISEL-1.74"/>
    <n v="1"/>
    <s v="NO TIENE L3OUT"/>
    <n v="144"/>
    <n v="96"/>
  </r>
  <r>
    <n v="107"/>
    <x v="0"/>
    <x v="213"/>
    <s v="eth1/74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74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74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74"/>
    <x v="0"/>
    <x v="1"/>
    <x v="1"/>
    <m/>
    <x v="6"/>
    <b v="0"/>
    <s v="No está en VPC"/>
    <n v="114"/>
    <s v="INTPG_VPC_114_1.74_112_1.75"/>
    <s v="ISEL-1.74"/>
    <n v="1"/>
    <s v="NO TIENE L3OUT"/>
    <n v="144"/>
    <n v="96"/>
  </r>
  <r>
    <n v="124"/>
    <x v="0"/>
    <x v="217"/>
    <s v="eth1/74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74"/>
    <x v="0"/>
    <x v="0"/>
    <x v="0"/>
    <s v="ASAP BATCH"/>
    <x v="6"/>
    <b v="0"/>
    <s v="No está en VPC"/>
    <n v="118"/>
    <s v="INTPG_ACC_118_1.74"/>
    <s v="ISEL-1.74"/>
    <n v="1"/>
    <s v="NO TIENE L3OUT"/>
    <n v="180"/>
    <n v="96"/>
  </r>
  <r>
    <n v="159"/>
    <x v="0"/>
    <x v="219"/>
    <s v="eth1/74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74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74"/>
    <x v="0"/>
    <x v="0"/>
    <x v="0"/>
    <s v="UPGRADE _HP_OV"/>
    <x v="6"/>
    <b v="0"/>
    <s v="No está en VPC"/>
    <n v="163"/>
    <s v="INTPG_ACC_163_1.74"/>
    <s v="ISEL-1.74"/>
    <n v="1"/>
    <s v="NO TIENE L3OUT"/>
    <n v="140"/>
    <n v="96"/>
  </r>
  <r>
    <n v="407"/>
    <x v="1"/>
    <x v="224"/>
    <s v="eth1/74"/>
    <x v="0"/>
    <x v="0"/>
    <x v="0"/>
    <s v="Ithuimbd1"/>
    <x v="6"/>
    <b v="0"/>
    <s v="No está en VPC"/>
    <n v="407"/>
    <s v="INTPG_VPC_407_1.74_409_1.74"/>
    <s v="ISEL-1.74"/>
    <n v="1"/>
    <s v="NO TIENE L3OUT"/>
    <n v="122"/>
    <n v="96"/>
  </r>
  <r>
    <n v="171"/>
    <x v="0"/>
    <x v="225"/>
    <s v="eth1/74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74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74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74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74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74"/>
    <x v="0"/>
    <x v="0"/>
    <x v="0"/>
    <s v="TO-ITHVRNR640A_4-Principal"/>
    <x v="6"/>
    <b v="0"/>
    <s v="No está en VPC"/>
    <n v="420"/>
    <s v="INTPG_ACC_420_1.74"/>
    <s v="ISEL-1.74"/>
    <n v="1"/>
    <s v="NO TIENE L3OUT"/>
    <n v="158"/>
    <n v="96"/>
  </r>
  <r>
    <n v="423"/>
    <x v="1"/>
    <x v="231"/>
    <s v="eth1/74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74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74"/>
    <x v="0"/>
    <x v="0"/>
    <x v="0"/>
    <s v="SILOT:b0abf28e4n:LAN 1"/>
    <x v="6"/>
    <b v="0"/>
    <s v="No está en VPC"/>
    <n v="102"/>
    <s v="INTPG_ACC_102_1.74"/>
    <s v="ISEL-1.74"/>
    <n v="1"/>
    <s v="NO TIENE L3OUT"/>
    <n v="228"/>
    <n v="96"/>
  </r>
  <r>
    <n v="122"/>
    <x v="0"/>
    <x v="237"/>
    <s v="eth1/74"/>
    <x v="0"/>
    <x v="0"/>
    <x v="0"/>
    <m/>
    <x v="6"/>
    <b v="0"/>
    <s v="No está en VPC"/>
    <n v="122"/>
    <s v="INTPG_ACC_122_1.74"/>
    <s v="ISEL-1.74"/>
    <n v="1"/>
    <s v="NO TIENE L3OUT"/>
    <n v="148"/>
    <n v="96"/>
  </r>
  <r>
    <n v="157"/>
    <x v="0"/>
    <x v="238"/>
    <s v="eth1/74"/>
    <x v="0"/>
    <x v="0"/>
    <x v="0"/>
    <s v="ARIESO_GEOLOCALIZACION"/>
    <x v="6"/>
    <b v="0"/>
    <s v="No está en VPC"/>
    <n v="157"/>
    <s v="INTPG_ACC_157_1.74"/>
    <s v="ISEL-1.74"/>
    <n v="2"/>
    <s v="NO TIENE L3OUT"/>
    <n v="202"/>
    <n v="96"/>
  </r>
  <r>
    <n v="408"/>
    <x v="1"/>
    <x v="239"/>
    <s v="eth1/74"/>
    <x v="0"/>
    <x v="0"/>
    <x v="0"/>
    <s v="ITHRTCD3SP12"/>
    <x v="6"/>
    <b v="0"/>
    <s v="No está en VPC"/>
    <n v="408"/>
    <s v="INTPG_ACC_408_1.74"/>
    <s v="ISEL-1.74"/>
    <n v="1"/>
    <s v="NO TIENE L3OUT"/>
    <n v="152"/>
    <n v="96"/>
  </r>
  <r>
    <n v="405"/>
    <x v="1"/>
    <x v="240"/>
    <s v="eth1/74"/>
    <x v="0"/>
    <x v="0"/>
    <x v="0"/>
    <s v="SOEM_prim_eth4"/>
    <x v="6"/>
    <b v="0"/>
    <s v="No está en VPC"/>
    <n v="405"/>
    <s v="INTPG_ACC_405_1.74"/>
    <s v="ISEL-1.74"/>
    <n v="1"/>
    <s v="NO TIENE L3OUT"/>
    <n v="138"/>
    <n v="96"/>
  </r>
  <r>
    <n v="169"/>
    <x v="0"/>
    <x v="241"/>
    <s v="eth1/74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74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74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74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74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74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74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74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74"/>
    <x v="0"/>
    <x v="1"/>
    <x v="1"/>
    <s v="ITHRTC42OA1"/>
    <x v="6"/>
    <b v="0"/>
    <s v="No está en VPC"/>
    <n v="406"/>
    <s v="INTPG_ACC_406_1.74"/>
    <s v="ISEL-1.74"/>
    <n v="1"/>
    <s v="NO TIENE L3OUT"/>
    <n v="82"/>
    <n v="96"/>
  </r>
  <r>
    <n v="414"/>
    <x v="1"/>
    <x v="250"/>
    <s v="eth1/74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74"/>
    <x v="0"/>
    <x v="0"/>
    <x v="0"/>
    <s v="ESL_G3_IO"/>
    <x v="6"/>
    <b v="0"/>
    <s v="No está en VPC"/>
    <n v="416"/>
    <s v="INTPG_ACC_416_1.74"/>
    <s v="ISEL-1.74"/>
    <n v="1"/>
    <s v="NO TIENE L3OUT"/>
    <n v="110"/>
    <n v="96"/>
  </r>
  <r>
    <n v="418"/>
    <x v="1"/>
    <x v="252"/>
    <s v="eth1/74"/>
    <x v="0"/>
    <x v="0"/>
    <x v="0"/>
    <s v="TEMIPCLOUD_A04"/>
    <x v="6"/>
    <b v="0"/>
    <s v="No está en VPC"/>
    <n v="418"/>
    <s v="INTPG_ACC_418_1.74"/>
    <s v="ISEL-1.74"/>
    <n v="6"/>
    <s v="NO TIENE L3OUT"/>
    <n v="152"/>
    <n v="96"/>
  </r>
  <r>
    <n v="413"/>
    <x v="1"/>
    <x v="253"/>
    <s v="eth1/74"/>
    <x v="0"/>
    <x v="1"/>
    <x v="1"/>
    <s v="F5_MASIVAS_f5-zryy-ajml_mgmt"/>
    <x v="6"/>
    <b v="0"/>
    <s v="No está en VPC"/>
    <n v="413"/>
    <s v="INTPG_ACC_413_1.74"/>
    <s v="ISEL-1.74"/>
    <n v="1"/>
    <s v="NO TIENE L3OUT"/>
    <n v="126"/>
    <n v="96"/>
  </r>
  <r>
    <n v="403"/>
    <x v="1"/>
    <x v="254"/>
    <s v="eth1/74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74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74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74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74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74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74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74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74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74"/>
    <x v="0"/>
    <x v="0"/>
    <x v="0"/>
    <s v="TO-ITHFORZDLRXGW01-NET_MGT"/>
    <x v="6"/>
    <b v="0"/>
    <s v="No está en VPC"/>
    <n v="430"/>
    <s v="INTPG_ACC_430_1.74"/>
    <s v="ISEL-1.74"/>
    <n v="1"/>
    <s v="NO TIENE L3OUT"/>
    <n v="86"/>
    <n v="96"/>
  </r>
  <r>
    <n v="419"/>
    <x v="1"/>
    <x v="264"/>
    <s v="eth1/74"/>
    <x v="0"/>
    <x v="0"/>
    <x v="0"/>
    <s v="HP Proliant DL380p(d)"/>
    <x v="6"/>
    <b v="0"/>
    <s v="No está en VPC"/>
    <n v="419"/>
    <s v="INTPG_ACC_419_1.74"/>
    <s v="ISEL-1.74"/>
    <n v="1"/>
    <s v="NO TIENE L3OUT"/>
    <n v="70"/>
    <n v="96"/>
  </r>
  <r>
    <n v="155"/>
    <x v="0"/>
    <x v="265"/>
    <s v="eth1/74"/>
    <x v="0"/>
    <x v="0"/>
    <x v="0"/>
    <s v="Consolidaci\u00f3n Aplicaciones Prepago"/>
    <x v="6"/>
    <b v="0"/>
    <s v="No está en VPC"/>
    <n v="155"/>
    <s v="INTPG_ACC_155_1.74"/>
    <s v="ISEL-1.74"/>
    <n v="1"/>
    <s v="NO TIENE L3OUT"/>
    <n v="198"/>
    <n v="96"/>
  </r>
  <r>
    <n v="409"/>
    <x v="1"/>
    <x v="266"/>
    <s v="eth1/74"/>
    <x v="0"/>
    <x v="0"/>
    <x v="0"/>
    <s v="Ithuimbd1"/>
    <x v="6"/>
    <b v="0"/>
    <s v="No está en VPC"/>
    <n v="409"/>
    <s v="INTPG_VPC_407_1.74_409_1.74"/>
    <s v="ISEL-1.74"/>
    <n v="1"/>
    <s v="NO TIENE L3OUT"/>
    <n v="128"/>
    <n v="96"/>
  </r>
  <r>
    <n v="422"/>
    <x v="1"/>
    <x v="267"/>
    <s v="eth1/74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74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74"/>
    <x v="0"/>
    <x v="0"/>
    <x v="0"/>
    <s v="ITHRTC41VC2-4"/>
    <x v="6"/>
    <b v="0"/>
    <s v="No está en VPC"/>
    <n v="410"/>
    <s v="INTPG_ACC_410_1.74"/>
    <s v="ISEL-1.74"/>
    <n v="1"/>
    <s v="NO TIENE L3OUT"/>
    <n v="178"/>
    <n v="96"/>
  </r>
  <r>
    <n v="161"/>
    <x v="0"/>
    <x v="270"/>
    <s v="eth1/74"/>
    <x v="0"/>
    <x v="0"/>
    <x v="0"/>
    <s v="IMEISRE_i4"/>
    <x v="6"/>
    <b v="0"/>
    <s v="No está en VPC"/>
    <n v="161"/>
    <s v="INTPG_VPC_161_1.74-75_163_1.85-86"/>
    <s v="ISEL-1.74"/>
    <n v="1"/>
    <s v="NO TIENE L3OUT"/>
    <n v="102"/>
    <n v="96"/>
  </r>
  <r>
    <n v="411"/>
    <x v="1"/>
    <x v="271"/>
    <s v="eth1/74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74"/>
    <x v="0"/>
    <x v="1"/>
    <x v="1"/>
    <m/>
    <x v="6"/>
    <b v="0"/>
    <s v="No está en VPC"/>
    <n v="116"/>
    <s v="NO EXISTE PG"/>
    <s v="NO EXISTE ISEL"/>
    <n v="0"/>
    <s v="NO TIENE L3OUT"/>
    <n v="148"/>
    <n v="96"/>
  </r>
  <r>
    <n v="412"/>
    <x v="1"/>
    <x v="273"/>
    <s v="eth1/74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74"/>
    <x v="0"/>
    <x v="0"/>
    <x v="0"/>
    <s v="N/A"/>
    <x v="6"/>
    <b v="0"/>
    <s v="No está en VPC"/>
    <n v="120"/>
    <s v="INTPG_ACC_120_1.74"/>
    <s v="ISEL-1.74"/>
    <n v="1"/>
    <s v="NO TIENE L3OUT"/>
    <n v="158"/>
    <n v="96"/>
  </r>
  <r>
    <n v="404"/>
    <x v="1"/>
    <x v="275"/>
    <s v="eth1/74"/>
    <x v="0"/>
    <x v="0"/>
    <x v="0"/>
    <s v="ITHRTC21VC1"/>
    <x v="6"/>
    <b v="0"/>
    <s v="No está en VPC"/>
    <n v="404"/>
    <s v="INTPG_ACC_404_1.74"/>
    <s v="ISEL-1.74"/>
    <n v="1"/>
    <s v="NO TIENE L3OUT"/>
    <n v="92"/>
    <n v="96"/>
  </r>
  <r>
    <n v="167"/>
    <x v="0"/>
    <x v="276"/>
    <s v="eth1/74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74"/>
    <x v="0"/>
    <x v="1"/>
    <x v="1"/>
    <s v="s6800t_PTO2_MGMT_RHEV_HUAWEI"/>
    <x v="6"/>
    <b v="0"/>
    <s v="No está en VPC"/>
    <n v="428"/>
    <s v="INTPG_ACC_428_1.74"/>
    <s v="ISEL-1.74"/>
    <n v="1"/>
    <s v="NO TIENE L3OUT"/>
    <n v="102"/>
    <n v="96"/>
  </r>
  <r>
    <n v="105"/>
    <x v="0"/>
    <x v="205"/>
    <s v="eth1/75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75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75"/>
    <x v="0"/>
    <x v="0"/>
    <x v="0"/>
    <s v="SILOT"/>
    <x v="6"/>
    <b v="0"/>
    <s v="No está en VPC"/>
    <n v="104"/>
    <s v="INTPG_ACC_104_1.75"/>
    <s v="ISEL-1.75"/>
    <n v="1"/>
    <s v="NO TIENE L3OUT"/>
    <n v="194"/>
    <n v="96"/>
  </r>
  <r>
    <n v="158"/>
    <x v="0"/>
    <x v="208"/>
    <s v="eth1/75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75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75"/>
    <x v="0"/>
    <x v="1"/>
    <x v="1"/>
    <m/>
    <x v="6"/>
    <b v="0"/>
    <s v="No está en VPC"/>
    <n v="112"/>
    <s v="INTPG_VPC_114_1.74_112_1.75"/>
    <s v="ISEL-1.75"/>
    <n v="1"/>
    <s v="NO TIENE L3OUT"/>
    <n v="144"/>
    <n v="96"/>
  </r>
  <r>
    <n v="107"/>
    <x v="0"/>
    <x v="213"/>
    <s v="eth1/75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75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75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75"/>
    <x v="0"/>
    <x v="0"/>
    <x v="0"/>
    <s v="VIRTUAL MACHINE 3"/>
    <x v="6"/>
    <b v="0"/>
    <s v="No está en VPC"/>
    <n v="114"/>
    <s v="INTPG_ACC_114_1.75"/>
    <s v="ISEL-1.75"/>
    <n v="1"/>
    <s v="NO TIENE L3OUT"/>
    <n v="144"/>
    <n v="96"/>
  </r>
  <r>
    <n v="124"/>
    <x v="0"/>
    <x v="217"/>
    <s v="eth1/75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75"/>
    <x v="1"/>
    <x v="1"/>
    <x v="2"/>
    <s v="ASAP BATCH"/>
    <x v="6"/>
    <b v="0"/>
    <s v="No está en VPC"/>
    <n v="118"/>
    <s v="INTPG_ACC_118_1.75"/>
    <s v="ISEL-1.75"/>
    <n v="0"/>
    <s v="NO TIENE L3OUT"/>
    <n v="180"/>
    <n v="96"/>
  </r>
  <r>
    <n v="159"/>
    <x v="0"/>
    <x v="219"/>
    <s v="eth1/75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75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75"/>
    <x v="0"/>
    <x v="0"/>
    <x v="0"/>
    <s v="UPGRADE _HP_OV"/>
    <x v="6"/>
    <b v="0"/>
    <s v="No está en VPC"/>
    <n v="163"/>
    <s v="INTPG_ACC_163_1.75"/>
    <s v="ISEL-1.75"/>
    <n v="1"/>
    <s v="NO TIENE L3OUT"/>
    <n v="140"/>
    <n v="96"/>
  </r>
  <r>
    <n v="407"/>
    <x v="1"/>
    <x v="224"/>
    <s v="eth1/75"/>
    <x v="0"/>
    <x v="0"/>
    <x v="0"/>
    <s v="Ithuimapp1"/>
    <x v="6"/>
    <b v="0"/>
    <s v="No está en VPC"/>
    <n v="407"/>
    <s v="INTPG_VPC_407_1.75_409_1.75"/>
    <s v="ISEL-1.75"/>
    <n v="1"/>
    <s v="NO TIENE L3OUT"/>
    <n v="122"/>
    <n v="96"/>
  </r>
  <r>
    <n v="171"/>
    <x v="0"/>
    <x v="225"/>
    <s v="eth1/75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75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75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75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75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75"/>
    <x v="0"/>
    <x v="1"/>
    <x v="1"/>
    <s v="To_BOTSINK3500_Pto_0"/>
    <x v="6"/>
    <b v="0"/>
    <s v="No está en VPC"/>
    <n v="420"/>
    <s v="INTPG_ACC_420_1.75"/>
    <s v="ISEL-1.75"/>
    <n v="1"/>
    <s v="NO TIENE L3OUT"/>
    <n v="158"/>
    <n v="96"/>
  </r>
  <r>
    <n v="423"/>
    <x v="1"/>
    <x v="231"/>
    <s v="eth1/75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75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75"/>
    <x v="0"/>
    <x v="1"/>
    <x v="1"/>
    <s v="SILOT:uxsilacs:GLAN0"/>
    <x v="6"/>
    <b v="0"/>
    <s v="No está en VPC"/>
    <n v="102"/>
    <s v="INTPG_ACC_102_1.75"/>
    <s v="ISEL-1.75"/>
    <n v="1"/>
    <s v="NO TIENE L3OUT"/>
    <n v="228"/>
    <n v="96"/>
  </r>
  <r>
    <n v="122"/>
    <x v="0"/>
    <x v="237"/>
    <s v="eth1/75"/>
    <x v="1"/>
    <x v="1"/>
    <x v="2"/>
    <s v="INTRANET CORPORATIVA"/>
    <x v="6"/>
    <b v="0"/>
    <s v="No está en VPC"/>
    <n v="122"/>
    <s v="INTPG_ACC_122_1.75"/>
    <s v="ISEL-1.75"/>
    <n v="1"/>
    <s v="NO TIENE L3OUT"/>
    <n v="148"/>
    <n v="96"/>
  </r>
  <r>
    <n v="157"/>
    <x v="0"/>
    <x v="238"/>
    <s v="eth1/75"/>
    <x v="0"/>
    <x v="0"/>
    <x v="0"/>
    <s v="ARIESO_GEOLOCALIZACION"/>
    <x v="6"/>
    <b v="0"/>
    <s v="No está en VPC"/>
    <n v="157"/>
    <s v="INTPG_ACC_157_1.75"/>
    <s v="ISEL-1.75"/>
    <n v="2"/>
    <s v="NO TIENE L3OUT"/>
    <n v="202"/>
    <n v="96"/>
  </r>
  <r>
    <n v="408"/>
    <x v="1"/>
    <x v="239"/>
    <s v="eth1/75"/>
    <x v="0"/>
    <x v="0"/>
    <x v="0"/>
    <s v="ITHRTCD3SSW1"/>
    <x v="6"/>
    <b v="0"/>
    <s v="No está en VPC"/>
    <n v="408"/>
    <s v="INTPG_ACC_408_1.75"/>
    <s v="ISEL-1.75"/>
    <n v="1"/>
    <s v="NO TIENE L3OUT"/>
    <n v="152"/>
    <n v="96"/>
  </r>
  <r>
    <n v="405"/>
    <x v="1"/>
    <x v="240"/>
    <s v="eth1/75"/>
    <x v="0"/>
    <x v="0"/>
    <x v="0"/>
    <s v="SOEM_sec_eth0"/>
    <x v="6"/>
    <b v="0"/>
    <s v="No está en VPC"/>
    <n v="405"/>
    <s v="INTPG_ACC_405_1.75"/>
    <s v="ISEL-1.75"/>
    <n v="1"/>
    <s v="NO TIENE L3OUT"/>
    <n v="138"/>
    <n v="96"/>
  </r>
  <r>
    <n v="169"/>
    <x v="0"/>
    <x v="241"/>
    <s v="eth1/75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75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75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75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75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75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75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75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75"/>
    <x v="0"/>
    <x v="0"/>
    <x v="0"/>
    <s v="ITHRTCD2CONT1"/>
    <x v="6"/>
    <b v="0"/>
    <s v="No está en VPC"/>
    <n v="406"/>
    <s v="INTPG_ACC_406_1.75"/>
    <s v="ISEL-1.75"/>
    <n v="1"/>
    <s v="NO TIENE L3OUT"/>
    <n v="82"/>
    <n v="96"/>
  </r>
  <r>
    <n v="414"/>
    <x v="1"/>
    <x v="250"/>
    <s v="eth1/75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75"/>
    <x v="0"/>
    <x v="0"/>
    <x v="0"/>
    <s v="FAZ-FORTINETR9"/>
    <x v="6"/>
    <b v="0"/>
    <s v="No está en VPC"/>
    <n v="416"/>
    <s v="INTPG_ACC_416_1.75"/>
    <s v="ISEL-1.75"/>
    <n v="1"/>
    <s v="NO TIENE L3OUT"/>
    <n v="110"/>
    <n v="96"/>
  </r>
  <r>
    <n v="418"/>
    <x v="1"/>
    <x v="252"/>
    <s v="eth1/75"/>
    <x v="0"/>
    <x v="0"/>
    <x v="0"/>
    <s v="TEMIPCLOUD_A05"/>
    <x v="6"/>
    <b v="0"/>
    <s v="No está en VPC"/>
    <n v="418"/>
    <s v="INTPG_ACC_418_1.75"/>
    <s v="ISEL-1.75"/>
    <n v="6"/>
    <s v="NO TIENE L3OUT"/>
    <n v="152"/>
    <n v="96"/>
  </r>
  <r>
    <n v="413"/>
    <x v="1"/>
    <x v="253"/>
    <s v="eth1/75"/>
    <x v="0"/>
    <x v="1"/>
    <x v="1"/>
    <s v="F5_MASIVAS_f5-zryy-ajml_1.1"/>
    <x v="6"/>
    <b v="0"/>
    <s v="No está en VPC"/>
    <n v="413"/>
    <s v="INTPG_ACC_413_1.75"/>
    <s v="ISEL-1.75"/>
    <n v="1"/>
    <s v="NO TIENE L3OUT"/>
    <n v="126"/>
    <n v="96"/>
  </r>
  <r>
    <n v="403"/>
    <x v="1"/>
    <x v="254"/>
    <s v="eth1/75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75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75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75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75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75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75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75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75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75"/>
    <x v="0"/>
    <x v="0"/>
    <x v="0"/>
    <s v="TO-ITHORAZDLRSW01-PORT_48"/>
    <x v="6"/>
    <b v="0"/>
    <s v="No está en VPC"/>
    <n v="430"/>
    <s v="INTPG_ACC_430_1.75"/>
    <s v="ISEL-1.75"/>
    <n v="1"/>
    <s v="NO TIENE L3OUT"/>
    <n v="86"/>
    <n v="96"/>
  </r>
  <r>
    <n v="419"/>
    <x v="1"/>
    <x v="264"/>
    <s v="eth1/75"/>
    <x v="0"/>
    <x v="0"/>
    <x v="0"/>
    <s v="HP Proliant DL380p(d)"/>
    <x v="6"/>
    <b v="0"/>
    <s v="No está en VPC"/>
    <n v="419"/>
    <s v="INTPG_ACC_419_1.75"/>
    <s v="ISEL-1.75"/>
    <n v="1"/>
    <s v="NO TIENE L3OUT"/>
    <n v="70"/>
    <n v="96"/>
  </r>
  <r>
    <n v="155"/>
    <x v="0"/>
    <x v="265"/>
    <s v="eth1/75"/>
    <x v="0"/>
    <x v="0"/>
    <x v="0"/>
    <s v="Consolidaci\u00f3n Aplicaciones Prepago"/>
    <x v="6"/>
    <b v="0"/>
    <s v="No está en VPC"/>
    <n v="155"/>
    <s v="INTPG_ACC_155_1.75"/>
    <s v="ISEL-1.75"/>
    <n v="1"/>
    <s v="NO TIENE L3OUT"/>
    <n v="198"/>
    <n v="96"/>
  </r>
  <r>
    <n v="409"/>
    <x v="1"/>
    <x v="266"/>
    <s v="eth1/75"/>
    <x v="0"/>
    <x v="0"/>
    <x v="0"/>
    <s v="Ithuimapp1"/>
    <x v="6"/>
    <b v="0"/>
    <s v="No está en VPC"/>
    <n v="409"/>
    <s v="INTPG_VPC_407_1.75_409_1.75"/>
    <s v="ISEL-1.75"/>
    <n v="1"/>
    <s v="NO TIENE L3OUT"/>
    <n v="128"/>
    <n v="96"/>
  </r>
  <r>
    <n v="422"/>
    <x v="1"/>
    <x v="267"/>
    <s v="eth1/75"/>
    <x v="0"/>
    <x v="1"/>
    <x v="1"/>
    <s v="SMUIXTLA5_ILO"/>
    <x v="6"/>
    <b v="0"/>
    <s v="No está en VPC"/>
    <n v="422"/>
    <s v="INTPG_ACC_422_1.75"/>
    <s v="ISEL-1.75"/>
    <n v="1"/>
    <s v="NO TIENE L3OUT"/>
    <n v="182"/>
    <n v="96"/>
  </r>
  <r>
    <n v="436"/>
    <x v="1"/>
    <x v="268"/>
    <s v="eth1/75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75"/>
    <x v="0"/>
    <x v="0"/>
    <x v="0"/>
    <s v="ITHRTC42VC2-4"/>
    <x v="6"/>
    <b v="0"/>
    <s v="No está en VPC"/>
    <n v="410"/>
    <s v="INTPG_ACC_410_1.75"/>
    <s v="ISEL-1.75"/>
    <n v="1"/>
    <s v="NO TIENE L3OUT"/>
    <n v="178"/>
    <n v="96"/>
  </r>
  <r>
    <n v="161"/>
    <x v="0"/>
    <x v="270"/>
    <s v="eth1/75"/>
    <x v="0"/>
    <x v="0"/>
    <x v="0"/>
    <s v="IMEISRE_i4"/>
    <x v="6"/>
    <b v="0"/>
    <s v="No está en VPC"/>
    <n v="161"/>
    <s v="INTPG_VPC_161_1.74-75_163_1.85-86"/>
    <s v="ISEL-1.75"/>
    <n v="1"/>
    <s v="NO TIENE L3OUT"/>
    <n v="102"/>
    <n v="96"/>
  </r>
  <r>
    <n v="411"/>
    <x v="1"/>
    <x v="271"/>
    <s v="eth1/75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75"/>
    <x v="0"/>
    <x v="1"/>
    <x v="1"/>
    <m/>
    <x v="6"/>
    <b v="0"/>
    <s v="No está en VPC"/>
    <n v="116"/>
    <s v="NO EXISTE PG"/>
    <s v="NO EXISTE ISEL"/>
    <n v="0"/>
    <s v="NO TIENE L3OUT"/>
    <n v="148"/>
    <n v="96"/>
  </r>
  <r>
    <n v="412"/>
    <x v="1"/>
    <x v="273"/>
    <s v="eth1/75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75"/>
    <x v="1"/>
    <x v="1"/>
    <x v="2"/>
    <s v="N/A"/>
    <x v="6"/>
    <b v="0"/>
    <s v="No está en VPC"/>
    <n v="120"/>
    <s v="INTPG_ACC_120_1.75"/>
    <s v="ISEL-1.75"/>
    <n v="1"/>
    <s v="NO TIENE L3OUT"/>
    <n v="158"/>
    <n v="96"/>
  </r>
  <r>
    <n v="404"/>
    <x v="1"/>
    <x v="275"/>
    <s v="eth1/75"/>
    <x v="0"/>
    <x v="0"/>
    <x v="0"/>
    <s v="ITHRTC2NB2"/>
    <x v="6"/>
    <b v="0"/>
    <s v="No está en VPC"/>
    <n v="404"/>
    <s v="INTPG_ACC_404_1.75"/>
    <s v="ISEL-1.75"/>
    <n v="1"/>
    <s v="NO TIENE L3OUT"/>
    <n v="92"/>
    <n v="96"/>
  </r>
  <r>
    <n v="167"/>
    <x v="0"/>
    <x v="276"/>
    <s v="eth1/75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75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105"/>
    <x v="0"/>
    <x v="205"/>
    <s v="eth1/76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76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76"/>
    <x v="0"/>
    <x v="1"/>
    <x v="1"/>
    <s v="SILOT"/>
    <x v="6"/>
    <b v="0"/>
    <s v="No está en VPC"/>
    <n v="104"/>
    <s v="INTPG_ACC_104_1.76"/>
    <s v="ISEL-1.76"/>
    <n v="1"/>
    <s v="NO TIENE L3OUT"/>
    <n v="194"/>
    <n v="96"/>
  </r>
  <r>
    <n v="158"/>
    <x v="0"/>
    <x v="208"/>
    <s v="eth1/76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76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76"/>
    <x v="0"/>
    <x v="0"/>
    <x v="0"/>
    <m/>
    <x v="6"/>
    <b v="0"/>
    <s v="No está en VPC"/>
    <n v="112"/>
    <s v="INTPG_VPC_114_1.76_112_1.76"/>
    <s v="ISEL-1.76"/>
    <n v="1"/>
    <s v="NO TIENE L3OUT"/>
    <n v="144"/>
    <n v="96"/>
  </r>
  <r>
    <n v="107"/>
    <x v="0"/>
    <x v="213"/>
    <s v="eth1/76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76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76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76"/>
    <x v="0"/>
    <x v="0"/>
    <x v="0"/>
    <m/>
    <x v="6"/>
    <b v="0"/>
    <s v="No está en VPC"/>
    <n v="114"/>
    <s v="INTPG_VPC_114_1.76_112_1.76"/>
    <s v="ISEL-1.76"/>
    <n v="1"/>
    <s v="NO TIENE L3OUT"/>
    <n v="144"/>
    <n v="96"/>
  </r>
  <r>
    <n v="124"/>
    <x v="0"/>
    <x v="217"/>
    <s v="eth1/76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76"/>
    <x v="0"/>
    <x v="1"/>
    <x v="1"/>
    <s v="COBROS NAVEGACION"/>
    <x v="6"/>
    <b v="0"/>
    <s v="No está en VPC"/>
    <n v="118"/>
    <s v="INTPG_ACC_118_1.76"/>
    <s v="ISEL-1.76"/>
    <n v="1"/>
    <s v="NO TIENE L3OUT"/>
    <n v="180"/>
    <n v="96"/>
  </r>
  <r>
    <n v="159"/>
    <x v="0"/>
    <x v="219"/>
    <s v="eth1/76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76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76"/>
    <x v="0"/>
    <x v="0"/>
    <x v="0"/>
    <s v="Comp CISCO ANA CSR"/>
    <x v="6"/>
    <b v="0"/>
    <s v="No está en VPC"/>
    <n v="163"/>
    <s v="INTPG_ACC_163_1.76"/>
    <s v="ISEL-1.76"/>
    <n v="1"/>
    <s v="NO TIENE L3OUT"/>
    <n v="140"/>
    <n v="96"/>
  </r>
  <r>
    <n v="407"/>
    <x v="1"/>
    <x v="224"/>
    <s v="eth1/76"/>
    <x v="0"/>
    <x v="0"/>
    <x v="0"/>
    <s v="PM_EHEALTH_UIM_1_ILOM_Primario"/>
    <x v="6"/>
    <b v="0"/>
    <s v="No está en VPC"/>
    <n v="407"/>
    <s v="INTPG_ACC_407_1.76"/>
    <s v="ISEL-1.76"/>
    <n v="1"/>
    <s v="NO TIENE L3OUT"/>
    <n v="122"/>
    <n v="96"/>
  </r>
  <r>
    <n v="171"/>
    <x v="0"/>
    <x v="225"/>
    <s v="eth1/76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76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76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76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76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76"/>
    <x v="0"/>
    <x v="1"/>
    <x v="1"/>
    <s v="To_BOTSINK3500_Pto_1"/>
    <x v="6"/>
    <b v="0"/>
    <s v="No está en VPC"/>
    <n v="420"/>
    <s v="INTPG_ACC_420_1.76"/>
    <s v="ISEL-1.76"/>
    <n v="1"/>
    <s v="NO TIENE L3OUT"/>
    <n v="158"/>
    <n v="96"/>
  </r>
  <r>
    <n v="423"/>
    <x v="1"/>
    <x v="231"/>
    <s v="eth1/76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76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76"/>
    <x v="0"/>
    <x v="1"/>
    <x v="1"/>
    <s v="CORREO AMERICA MOVIL:OPENSTACK 1 :OA1"/>
    <x v="6"/>
    <b v="0"/>
    <s v="No está en VPC"/>
    <n v="102"/>
    <s v="INTPG_ACC_102_1.76"/>
    <s v="ISEL-1.76"/>
    <n v="1"/>
    <s v="NO TIENE L3OUT"/>
    <n v="228"/>
    <n v="96"/>
  </r>
  <r>
    <n v="122"/>
    <x v="0"/>
    <x v="237"/>
    <s v="eth1/76"/>
    <x v="1"/>
    <x v="1"/>
    <x v="2"/>
    <s v="INTRANET CORPORATIVA"/>
    <x v="6"/>
    <b v="0"/>
    <s v="No está en VPC"/>
    <n v="122"/>
    <s v="INTPG_ACC_122_1.76"/>
    <s v="ISEL-1.76"/>
    <n v="1"/>
    <s v="NO TIENE L3OUT"/>
    <n v="148"/>
    <n v="96"/>
  </r>
  <r>
    <n v="157"/>
    <x v="0"/>
    <x v="238"/>
    <s v="eth1/76"/>
    <x v="0"/>
    <x v="0"/>
    <x v="0"/>
    <s v="ARIESO_GEOLOCALIZACION"/>
    <x v="6"/>
    <b v="0"/>
    <s v="No está en VPC"/>
    <n v="157"/>
    <s v="INTPG_ACC_157_1.76"/>
    <s v="ISEL-1.76"/>
    <n v="2"/>
    <s v="NO TIENE L3OUT"/>
    <n v="202"/>
    <n v="96"/>
  </r>
  <r>
    <n v="408"/>
    <x v="1"/>
    <x v="239"/>
    <s v="eth1/76"/>
    <x v="0"/>
    <x v="1"/>
    <x v="1"/>
    <s v="ITHRTCNBU1_1"/>
    <x v="6"/>
    <b v="0"/>
    <s v="No está en VPC"/>
    <n v="408"/>
    <s v="INTPG_ACC_408_1.76"/>
    <s v="ISEL-1.76"/>
    <n v="1"/>
    <s v="NO TIENE L3OUT"/>
    <n v="152"/>
    <n v="96"/>
  </r>
  <r>
    <n v="405"/>
    <x v="1"/>
    <x v="240"/>
    <s v="eth1/76"/>
    <x v="0"/>
    <x v="0"/>
    <x v="0"/>
    <s v="SOEM_sec_eth2"/>
    <x v="6"/>
    <b v="0"/>
    <s v="No está en VPC"/>
    <n v="405"/>
    <s v="INTPG_ACC_405_1.76"/>
    <s v="ISEL-1.76"/>
    <n v="1"/>
    <s v="NO TIENE L3OUT"/>
    <n v="138"/>
    <n v="96"/>
  </r>
  <r>
    <n v="169"/>
    <x v="0"/>
    <x v="241"/>
    <s v="eth1/76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76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76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76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76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76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76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76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76"/>
    <x v="0"/>
    <x v="0"/>
    <x v="0"/>
    <s v="ITHRTCD2CONT3"/>
    <x v="6"/>
    <b v="0"/>
    <s v="No está en VPC"/>
    <n v="406"/>
    <s v="INTPG_ACC_406_1.76"/>
    <s v="ISEL-1.76"/>
    <n v="1"/>
    <s v="NO TIENE L3OUT"/>
    <n v="82"/>
    <n v="96"/>
  </r>
  <r>
    <n v="414"/>
    <x v="1"/>
    <x v="250"/>
    <s v="eth1/76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76"/>
    <x v="0"/>
    <x v="0"/>
    <x v="0"/>
    <s v="TO_ITHNM1-eno2"/>
    <x v="6"/>
    <b v="0"/>
    <s v="No está en VPC"/>
    <n v="416"/>
    <s v="INTPG_ACC_416_1.76"/>
    <s v="ISEL-1.76"/>
    <n v="1"/>
    <s v="NO TIENE L3OUT"/>
    <n v="110"/>
    <n v="96"/>
  </r>
  <r>
    <n v="418"/>
    <x v="1"/>
    <x v="252"/>
    <s v="eth1/76"/>
    <x v="0"/>
    <x v="0"/>
    <x v="0"/>
    <s v="TEMIPCLOUD_A12"/>
    <x v="6"/>
    <b v="0"/>
    <s v="No está en VPC"/>
    <n v="418"/>
    <s v="INTPG_ACC_418_1.76"/>
    <s v="ISEL-1.76"/>
    <n v="1"/>
    <s v="NO TIENE L3OUT"/>
    <n v="152"/>
    <n v="96"/>
  </r>
  <r>
    <n v="413"/>
    <x v="1"/>
    <x v="253"/>
    <s v="eth1/76"/>
    <x v="0"/>
    <x v="0"/>
    <x v="0"/>
    <s v="SPIDERNET1"/>
    <x v="6"/>
    <b v="0"/>
    <s v="No está en VPC"/>
    <n v="413"/>
    <s v="INTPG_ACC_413_1.76"/>
    <s v="ISEL-1.76"/>
    <n v="1"/>
    <s v="NO TIENE L3OUT"/>
    <n v="126"/>
    <n v="96"/>
  </r>
  <r>
    <n v="403"/>
    <x v="1"/>
    <x v="254"/>
    <s v="eth1/76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76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76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76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76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76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76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76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76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76"/>
    <x v="0"/>
    <x v="0"/>
    <x v="0"/>
    <s v="DCX BB3_S2_CP1"/>
    <x v="6"/>
    <b v="0"/>
    <s v="No está en VPC"/>
    <n v="430"/>
    <s v="INTPG_ACC_430_1.76"/>
    <s v="ISEL-1.76"/>
    <n v="1"/>
    <s v="NO TIENE L3OUT"/>
    <n v="86"/>
    <n v="96"/>
  </r>
  <r>
    <n v="419"/>
    <x v="1"/>
    <x v="264"/>
    <s v="eth1/76"/>
    <x v="0"/>
    <x v="0"/>
    <x v="0"/>
    <s v="HP Proliant DL380p(d)"/>
    <x v="6"/>
    <b v="0"/>
    <s v="No está en VPC"/>
    <n v="419"/>
    <s v="INTPG_ACC_419_1.76"/>
    <s v="ISEL-1.76"/>
    <n v="1"/>
    <s v="NO TIENE L3OUT"/>
    <n v="70"/>
    <n v="96"/>
  </r>
  <r>
    <n v="155"/>
    <x v="0"/>
    <x v="265"/>
    <s v="eth1/76"/>
    <x v="0"/>
    <x v="0"/>
    <x v="0"/>
    <s v="Consolidaci\u00f3n Aplicaciones Prepago"/>
    <x v="6"/>
    <b v="0"/>
    <s v="No está en VPC"/>
    <n v="155"/>
    <s v="INTPG_ACC_155_1.76"/>
    <s v="ISEL-1.76"/>
    <n v="1"/>
    <s v="NO TIENE L3OUT"/>
    <n v="198"/>
    <n v="96"/>
  </r>
  <r>
    <n v="409"/>
    <x v="1"/>
    <x v="266"/>
    <s v="eth1/76"/>
    <x v="0"/>
    <x v="0"/>
    <x v="0"/>
    <s v="PM_EHEALTH_UIM_2_ILOM_Secundario"/>
    <x v="6"/>
    <b v="0"/>
    <s v="No está en VPC"/>
    <n v="409"/>
    <s v="INTPG_ACC_409_1.76"/>
    <s v="ISEL-1.76"/>
    <n v="1"/>
    <s v="NO TIENE L3OUT"/>
    <n v="128"/>
    <n v="96"/>
  </r>
  <r>
    <n v="422"/>
    <x v="1"/>
    <x v="267"/>
    <s v="eth1/76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76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76"/>
    <x v="0"/>
    <x v="0"/>
    <x v="0"/>
    <s v="ITHRTC41OA2"/>
    <x v="6"/>
    <b v="0"/>
    <s v="No está en VPC"/>
    <n v="410"/>
    <s v="INTPG_ACC_410_1.76"/>
    <s v="ISEL-1.76"/>
    <n v="1"/>
    <s v="NO TIENE L3OUT"/>
    <n v="178"/>
    <n v="96"/>
  </r>
  <r>
    <n v="161"/>
    <x v="0"/>
    <x v="270"/>
    <s v="eth1/76"/>
    <x v="0"/>
    <x v="0"/>
    <x v="0"/>
    <s v="IMEISRE_i2"/>
    <x v="6"/>
    <b v="0"/>
    <s v="No está en VPC"/>
    <n v="161"/>
    <s v="INTPG_VPC_161_1.76_163_1.87"/>
    <s v="ISEL-1.76"/>
    <n v="1"/>
    <s v="NO TIENE L3OUT"/>
    <n v="102"/>
    <n v="96"/>
  </r>
  <r>
    <n v="411"/>
    <x v="1"/>
    <x v="271"/>
    <s v="eth1/76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76"/>
    <x v="0"/>
    <x v="1"/>
    <x v="1"/>
    <m/>
    <x v="6"/>
    <b v="0"/>
    <s v="No está en VPC"/>
    <n v="116"/>
    <s v="NO EXISTE PG"/>
    <s v="NO EXISTE ISEL"/>
    <n v="0"/>
    <s v="NO TIENE L3OUT"/>
    <n v="148"/>
    <n v="96"/>
  </r>
  <r>
    <n v="412"/>
    <x v="1"/>
    <x v="273"/>
    <s v="eth1/76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76"/>
    <x v="1"/>
    <x v="1"/>
    <x v="2"/>
    <s v="N/A"/>
    <x v="6"/>
    <b v="0"/>
    <s v="No está en VPC"/>
    <n v="120"/>
    <s v="INTPG_ACC_120_1.76"/>
    <s v="ISEL-1.76"/>
    <n v="1"/>
    <s v="NO TIENE L3OUT"/>
    <n v="158"/>
    <n v="96"/>
  </r>
  <r>
    <n v="404"/>
    <x v="1"/>
    <x v="275"/>
    <s v="eth1/76"/>
    <x v="0"/>
    <x v="0"/>
    <x v="0"/>
    <s v="ITHRTC2OA1"/>
    <x v="6"/>
    <b v="0"/>
    <s v="No está en VPC"/>
    <n v="404"/>
    <s v="INTPG_ACC_404_1.76"/>
    <s v="ISEL-1.76"/>
    <n v="1"/>
    <s v="NO TIENE L3OUT"/>
    <n v="92"/>
    <n v="96"/>
  </r>
  <r>
    <n v="167"/>
    <x v="0"/>
    <x v="276"/>
    <s v="eth1/76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76"/>
    <x v="0"/>
    <x v="1"/>
    <x v="1"/>
    <s v="MSL6480_PAPERLESS_2"/>
    <x v="6"/>
    <b v="0"/>
    <s v="No está en VPC"/>
    <n v="428"/>
    <s v="INTPG_ACC_428_1.76"/>
    <s v="ISEL-1.76"/>
    <n v="1"/>
    <s v="NO TIENE L3OUT"/>
    <n v="102"/>
    <n v="96"/>
  </r>
  <r>
    <n v="105"/>
    <x v="0"/>
    <x v="205"/>
    <s v="eth1/77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77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77"/>
    <x v="0"/>
    <x v="1"/>
    <x v="1"/>
    <s v="CISCO ANA 01 EHEALTH"/>
    <x v="6"/>
    <b v="0"/>
    <s v="No está en VPC"/>
    <n v="104"/>
    <s v="INTPG_ACC_104_1.77"/>
    <s v="ISEL-1.77"/>
    <n v="1"/>
    <s v="NO TIENE L3OUT"/>
    <n v="194"/>
    <n v="96"/>
  </r>
  <r>
    <n v="158"/>
    <x v="0"/>
    <x v="208"/>
    <s v="eth1/77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77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77"/>
    <x v="1"/>
    <x v="1"/>
    <x v="2"/>
    <m/>
    <x v="6"/>
    <b v="0"/>
    <s v="No está en VPC"/>
    <n v="112"/>
    <s v="INTPG_VPC_112_1.77_114_1.95"/>
    <s v="ISEL-1.77"/>
    <n v="1"/>
    <s v="NO TIENE L3OUT"/>
    <n v="144"/>
    <n v="96"/>
  </r>
  <r>
    <n v="107"/>
    <x v="0"/>
    <x v="213"/>
    <s v="eth1/77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77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77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77"/>
    <x v="0"/>
    <x v="1"/>
    <x v="1"/>
    <s v="SAPCCRATING14"/>
    <x v="6"/>
    <b v="0"/>
    <s v="No está en VPC"/>
    <n v="114"/>
    <s v="INTPG_VPC_112_1.79_114_1.77"/>
    <s v="ISEL-1.77"/>
    <n v="1"/>
    <s v="NO TIENE L3OUT"/>
    <n v="144"/>
    <n v="96"/>
  </r>
  <r>
    <n v="124"/>
    <x v="0"/>
    <x v="217"/>
    <s v="eth1/77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77"/>
    <x v="0"/>
    <x v="1"/>
    <x v="1"/>
    <s v="COBROS NAVEGACION"/>
    <x v="6"/>
    <b v="0"/>
    <s v="No está en VPC"/>
    <n v="118"/>
    <s v="INTPG_ACC_118_1.77"/>
    <s v="ISEL-1.77"/>
    <n v="1"/>
    <s v="NO TIENE L3OUT"/>
    <n v="180"/>
    <n v="96"/>
  </r>
  <r>
    <n v="159"/>
    <x v="0"/>
    <x v="219"/>
    <s v="eth1/77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77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77"/>
    <x v="0"/>
    <x v="0"/>
    <x v="0"/>
    <s v="Comp CISCO ANA CSR"/>
    <x v="6"/>
    <b v="0"/>
    <s v="No está en VPC"/>
    <n v="163"/>
    <s v="INTPG_ACC_163_1.77"/>
    <s v="ISEL-1.77"/>
    <n v="1"/>
    <s v="NO TIENE L3OUT"/>
    <n v="140"/>
    <n v="96"/>
  </r>
  <r>
    <n v="407"/>
    <x v="1"/>
    <x v="224"/>
    <s v="eth1/77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77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77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77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77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77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77"/>
    <x v="0"/>
    <x v="1"/>
    <x v="1"/>
    <s v="To_BOTSINK3500_Pto_2"/>
    <x v="6"/>
    <b v="0"/>
    <s v="No está en VPC"/>
    <n v="420"/>
    <s v="INTPG_ACC_420_1.77"/>
    <s v="ISEL-1.77"/>
    <n v="25"/>
    <s v="NO TIENE L3OUT"/>
    <n v="158"/>
    <n v="96"/>
  </r>
  <r>
    <n v="423"/>
    <x v="1"/>
    <x v="231"/>
    <s v="eth1/77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77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77"/>
    <x v="0"/>
    <x v="1"/>
    <x v="1"/>
    <s v="CORREO AMERICA MOVIL_OPENSTACK 1 _VC1-X1"/>
    <x v="6"/>
    <b v="0"/>
    <s v="No está en VPC"/>
    <n v="102"/>
    <s v="INTPG_PC_102_1.77-84"/>
    <s v="ISEL-1.77"/>
    <n v="15"/>
    <s v="NO TIENE L3OUT"/>
    <n v="228"/>
    <n v="96"/>
  </r>
  <r>
    <n v="122"/>
    <x v="0"/>
    <x v="237"/>
    <s v="eth1/77"/>
    <x v="1"/>
    <x v="1"/>
    <x v="2"/>
    <s v="INTRANET CORPORATIVA"/>
    <x v="6"/>
    <b v="0"/>
    <s v="No está en VPC"/>
    <n v="122"/>
    <s v="INTPG_ACC_122_1.77"/>
    <s v="ISEL-1.77"/>
    <n v="1"/>
    <s v="NO TIENE L3OUT"/>
    <n v="148"/>
    <n v="96"/>
  </r>
  <r>
    <n v="157"/>
    <x v="0"/>
    <x v="238"/>
    <s v="eth1/77"/>
    <x v="0"/>
    <x v="0"/>
    <x v="0"/>
    <s v="ARIESO_GEOLOCALIZACION"/>
    <x v="6"/>
    <b v="0"/>
    <s v="No está en VPC"/>
    <n v="157"/>
    <s v="INTPG_ACC_157_1.77"/>
    <s v="ISEL-1.77"/>
    <n v="2"/>
    <s v="NO TIENE L3OUT"/>
    <n v="202"/>
    <n v="96"/>
  </r>
  <r>
    <n v="408"/>
    <x v="1"/>
    <x v="239"/>
    <s v="eth1/77"/>
    <x v="0"/>
    <x v="0"/>
    <x v="0"/>
    <s v="ITHRTCNBU1_2"/>
    <x v="6"/>
    <b v="0"/>
    <s v="No está en VPC"/>
    <n v="408"/>
    <s v="INTPG_ACC_408_1.77"/>
    <s v="ISEL-1.77"/>
    <n v="1"/>
    <s v="NO TIENE L3OUT"/>
    <n v="152"/>
    <n v="96"/>
  </r>
  <r>
    <n v="405"/>
    <x v="1"/>
    <x v="240"/>
    <s v="eth1/77"/>
    <x v="0"/>
    <x v="0"/>
    <x v="0"/>
    <s v="SOEM_sec_eth5"/>
    <x v="6"/>
    <b v="0"/>
    <s v="No está en VPC"/>
    <n v="405"/>
    <s v="INTPG_ACC_405_1.77"/>
    <s v="ISEL-1.77"/>
    <n v="1"/>
    <s v="NO TIENE L3OUT"/>
    <n v="138"/>
    <n v="96"/>
  </r>
  <r>
    <n v="169"/>
    <x v="0"/>
    <x v="241"/>
    <s v="eth1/77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77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77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77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77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77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77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77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77"/>
    <x v="0"/>
    <x v="0"/>
    <x v="0"/>
    <s v="ITHRTCD2SP1"/>
    <x v="6"/>
    <b v="0"/>
    <s v="No está en VPC"/>
    <n v="406"/>
    <s v="INTPG_ACC_406_1.77"/>
    <s v="ISEL-1.77"/>
    <n v="1"/>
    <s v="NO TIENE L3OUT"/>
    <n v="82"/>
    <n v="96"/>
  </r>
  <r>
    <n v="414"/>
    <x v="1"/>
    <x v="250"/>
    <s v="eth1/77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77"/>
    <x v="0"/>
    <x v="0"/>
    <x v="0"/>
    <s v="TO_ITHNM1-eno6"/>
    <x v="6"/>
    <b v="0"/>
    <s v="No está en VPC"/>
    <n v="416"/>
    <s v="INTPG_ACC_416_1.77"/>
    <s v="ISEL-1.77"/>
    <n v="1"/>
    <s v="NO TIENE L3OUT"/>
    <n v="110"/>
    <n v="96"/>
  </r>
  <r>
    <n v="418"/>
    <x v="1"/>
    <x v="252"/>
    <s v="eth1/77"/>
    <x v="0"/>
    <x v="0"/>
    <x v="0"/>
    <s v="DCX_PROD1"/>
    <x v="6"/>
    <b v="0"/>
    <s v="No está en VPC"/>
    <n v="418"/>
    <s v="INTPG_ACC_418_1.77"/>
    <s v="ISEL-1.77"/>
    <n v="1"/>
    <s v="NO TIENE L3OUT"/>
    <n v="152"/>
    <n v="96"/>
  </r>
  <r>
    <n v="413"/>
    <x v="1"/>
    <x v="253"/>
    <s v="eth1/77"/>
    <x v="0"/>
    <x v="0"/>
    <x v="0"/>
    <s v="SPIDERNET2"/>
    <x v="6"/>
    <b v="0"/>
    <s v="No está en VPC"/>
    <n v="413"/>
    <s v="INTPG_ACC_413_1.77"/>
    <s v="ISEL-1.77"/>
    <n v="1"/>
    <s v="NO TIENE L3OUT"/>
    <n v="126"/>
    <n v="96"/>
  </r>
  <r>
    <n v="403"/>
    <x v="1"/>
    <x v="254"/>
    <s v="eth1/77"/>
    <x v="0"/>
    <x v="0"/>
    <x v="0"/>
    <s v="ARIESO_LTE_RLR4ARI11"/>
    <x v="6"/>
    <b v="0"/>
    <s v="No está en VPC"/>
    <n v="403"/>
    <s v="INTPG_ACC_403_1.77"/>
    <s v="ISEL-1.77"/>
    <n v="1"/>
    <s v="NO TIENE L3OUT"/>
    <n v="150"/>
    <n v="96"/>
  </r>
  <r>
    <n v="125"/>
    <x v="0"/>
    <x v="255"/>
    <s v="eth1/77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77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77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77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77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77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77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77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77"/>
    <x v="0"/>
    <x v="0"/>
    <x v="0"/>
    <s v="DCX BB3_S2_CP1"/>
    <x v="6"/>
    <b v="0"/>
    <s v="No está en VPC"/>
    <n v="430"/>
    <s v="INTPG_ACC_430_1.77"/>
    <s v="ISEL-1.77"/>
    <n v="1"/>
    <s v="NO TIENE L3OUT"/>
    <n v="86"/>
    <n v="96"/>
  </r>
  <r>
    <n v="419"/>
    <x v="1"/>
    <x v="264"/>
    <s v="eth1/77"/>
    <x v="0"/>
    <x v="0"/>
    <x v="0"/>
    <s v="HP Proliant DL380p(e)"/>
    <x v="6"/>
    <b v="0"/>
    <s v="No está en VPC"/>
    <n v="419"/>
    <s v="INTPG_ACC_419_1.77"/>
    <s v="ISEL-1.77"/>
    <n v="1"/>
    <s v="NO TIENE L3OUT"/>
    <n v="70"/>
    <n v="96"/>
  </r>
  <r>
    <n v="155"/>
    <x v="0"/>
    <x v="265"/>
    <s v="eth1/77"/>
    <x v="0"/>
    <x v="0"/>
    <x v="0"/>
    <s v="Consolidaci\u00f3n Aplicaciones Prepago"/>
    <x v="6"/>
    <b v="0"/>
    <s v="No está en VPC"/>
    <n v="155"/>
    <s v="INTPG_ACC_155_1.77"/>
    <s v="ISEL-1.77"/>
    <n v="1"/>
    <s v="NO TIENE L3OUT"/>
    <n v="198"/>
    <n v="96"/>
  </r>
  <r>
    <n v="409"/>
    <x v="1"/>
    <x v="266"/>
    <s v="eth1/77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77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77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77"/>
    <x v="0"/>
    <x v="1"/>
    <x v="1"/>
    <s v="ITHRTC42OA2"/>
    <x v="6"/>
    <b v="0"/>
    <s v="No está en VPC"/>
    <n v="410"/>
    <s v="INTPG_ACC_410_1.77"/>
    <s v="ISEL-1.77"/>
    <n v="1"/>
    <s v="NO TIENE L3OUT"/>
    <n v="178"/>
    <n v="96"/>
  </r>
  <r>
    <n v="161"/>
    <x v="0"/>
    <x v="270"/>
    <s v="eth1/77"/>
    <x v="0"/>
    <x v="0"/>
    <x v="0"/>
    <s v="IMEISRE_i3"/>
    <x v="6"/>
    <b v="0"/>
    <s v="No está en VPC"/>
    <n v="161"/>
    <s v="INTPG_VPC_161_1.77_163_1.88"/>
    <s v="ISEL-1.77"/>
    <n v="1"/>
    <s v="NO TIENE L3OUT"/>
    <n v="102"/>
    <n v="96"/>
  </r>
  <r>
    <n v="411"/>
    <x v="1"/>
    <x v="271"/>
    <s v="eth1/77"/>
    <x v="0"/>
    <x v="0"/>
    <x v="0"/>
    <s v="MGMT-01_ROBOT_IBM_S2-ANACONDA"/>
    <x v="6"/>
    <b v="0"/>
    <s v="No está en VPC"/>
    <n v="411"/>
    <s v="INTPG_ACC_411_1.77"/>
    <s v="ISEL-1.77"/>
    <n v="1"/>
    <s v="NO TIENE L3OUT"/>
    <n v="96"/>
    <n v="96"/>
  </r>
  <r>
    <n v="116"/>
    <x v="0"/>
    <x v="272"/>
    <s v="eth1/77"/>
    <x v="0"/>
    <x v="0"/>
    <x v="0"/>
    <s v="LA-47R VIRTUALIZACION BLADES"/>
    <x v="6"/>
    <b v="0"/>
    <s v="No está en VPC"/>
    <n v="116"/>
    <s v="INTPG_ACC_116_1.77"/>
    <s v="ISEL-1.77"/>
    <n v="1"/>
    <s v="NO TIENE L3OUT"/>
    <n v="148"/>
    <n v="96"/>
  </r>
  <r>
    <n v="412"/>
    <x v="1"/>
    <x v="273"/>
    <s v="eth1/77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77"/>
    <x v="1"/>
    <x v="1"/>
    <x v="2"/>
    <s v="N/A"/>
    <x v="6"/>
    <b v="0"/>
    <s v="No está en VPC"/>
    <n v="120"/>
    <s v="INTPG_ACC_120_1.77"/>
    <s v="ISEL-1.77"/>
    <n v="1"/>
    <s v="NO TIENE L3OUT"/>
    <n v="158"/>
    <n v="96"/>
  </r>
  <r>
    <n v="404"/>
    <x v="1"/>
    <x v="275"/>
    <s v="eth1/77"/>
    <x v="0"/>
    <x v="0"/>
    <x v="0"/>
    <s v="ITHRTC2OA1"/>
    <x v="6"/>
    <b v="0"/>
    <s v="No está en VPC"/>
    <n v="404"/>
    <s v="INTPG_ACC_404_1.77"/>
    <s v="ISEL-1.77"/>
    <n v="1"/>
    <s v="NO TIENE L3OUT"/>
    <n v="92"/>
    <n v="96"/>
  </r>
  <r>
    <n v="167"/>
    <x v="0"/>
    <x v="276"/>
    <s v="eth1/77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77"/>
    <x v="0"/>
    <x v="0"/>
    <x v="0"/>
    <s v="SecAnLG_Gb1_01-Aplicativo-IXTSALG_SAS1"/>
    <x v="6"/>
    <b v="0"/>
    <s v="No está en VPC"/>
    <n v="428"/>
    <s v="INTPG_ACC_428_1.77"/>
    <s v="ISEL-1.77"/>
    <n v="1"/>
    <s v="NO TIENE L3OUT"/>
    <n v="102"/>
    <n v="96"/>
  </r>
  <r>
    <n v="105"/>
    <x v="0"/>
    <x v="205"/>
    <s v="eth1/78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78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78"/>
    <x v="0"/>
    <x v="1"/>
    <x v="1"/>
    <s v="SIEMC"/>
    <x v="6"/>
    <b v="0"/>
    <s v="No está en VPC"/>
    <n v="104"/>
    <s v="INTPG_ACC_104_1.78"/>
    <s v="ISEL-1.78"/>
    <n v="1"/>
    <s v="NO TIENE L3OUT"/>
    <n v="194"/>
    <n v="96"/>
  </r>
  <r>
    <n v="158"/>
    <x v="0"/>
    <x v="208"/>
    <s v="eth1/78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78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78"/>
    <x v="1"/>
    <x v="1"/>
    <x v="2"/>
    <m/>
    <x v="6"/>
    <b v="0"/>
    <s v="No está en VPC"/>
    <n v="112"/>
    <s v="INTPG_VPC_112_1.78_114_1.96"/>
    <s v="ISEL-1.78"/>
    <n v="1"/>
    <s v="NO TIENE L3OUT"/>
    <n v="144"/>
    <n v="96"/>
  </r>
  <r>
    <n v="107"/>
    <x v="0"/>
    <x v="213"/>
    <s v="eth1/78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78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78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78"/>
    <x v="0"/>
    <x v="1"/>
    <x v="1"/>
    <s v="SAPCCRATING15"/>
    <x v="6"/>
    <b v="0"/>
    <s v="No está en VPC"/>
    <n v="114"/>
    <s v="INTPG_VPC_112_1.80_114_1.78"/>
    <s v="ISEL-1.78"/>
    <n v="1"/>
    <s v="NO TIENE L3OUT"/>
    <n v="144"/>
    <n v="96"/>
  </r>
  <r>
    <n v="124"/>
    <x v="0"/>
    <x v="217"/>
    <s v="eth1/78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78"/>
    <x v="0"/>
    <x v="1"/>
    <x v="1"/>
    <s v="COBROS NAVEGACION"/>
    <x v="6"/>
    <b v="0"/>
    <s v="No está en VPC"/>
    <n v="118"/>
    <s v="INTPG_ACC_118_1.78"/>
    <s v="ISEL-1.78"/>
    <n v="1"/>
    <s v="NO TIENE L3OUT"/>
    <n v="180"/>
    <n v="96"/>
  </r>
  <r>
    <n v="159"/>
    <x v="0"/>
    <x v="219"/>
    <s v="eth1/78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78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78"/>
    <x v="0"/>
    <x v="1"/>
    <x v="1"/>
    <s v="Multimediacion 2"/>
    <x v="6"/>
    <b v="0"/>
    <s v="No está en VPC"/>
    <n v="163"/>
    <s v="INTPG_ACC_163_1.78"/>
    <s v="ISEL-1.78"/>
    <n v="1"/>
    <s v="NO TIENE L3OUT"/>
    <n v="140"/>
    <n v="96"/>
  </r>
  <r>
    <n v="407"/>
    <x v="1"/>
    <x v="224"/>
    <s v="eth1/78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78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78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78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78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78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78"/>
    <x v="0"/>
    <x v="0"/>
    <x v="0"/>
    <s v="TO-ITHNM2-REDUNDANTE"/>
    <x v="6"/>
    <b v="0"/>
    <s v="No está en VPC"/>
    <n v="420"/>
    <s v="INTPG_ACC_420_1.78"/>
    <s v="ISEL-1.78"/>
    <n v="1"/>
    <s v="NO TIENE L3OUT"/>
    <n v="158"/>
    <n v="96"/>
  </r>
  <r>
    <n v="423"/>
    <x v="1"/>
    <x v="231"/>
    <s v="eth1/78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78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78"/>
    <x v="0"/>
    <x v="1"/>
    <x v="1"/>
    <s v="CORREO AMERICA MOVIL:OPENSTACK 1 :VC1-X2"/>
    <x v="6"/>
    <b v="0"/>
    <s v="No está en VPC"/>
    <n v="102"/>
    <s v="INTPG_PC_102_1.77-84"/>
    <s v="ISEL-1.78"/>
    <n v="15"/>
    <s v="NO TIENE L3OUT"/>
    <n v="228"/>
    <n v="96"/>
  </r>
  <r>
    <n v="122"/>
    <x v="0"/>
    <x v="237"/>
    <s v="eth1/78"/>
    <x v="1"/>
    <x v="1"/>
    <x v="2"/>
    <s v="INTRANET CORPORATIVA"/>
    <x v="6"/>
    <b v="0"/>
    <s v="No está en VPC"/>
    <n v="122"/>
    <s v="INTPG_ACC_122_1.78"/>
    <s v="ISEL-1.78"/>
    <n v="1"/>
    <s v="NO TIENE L3OUT"/>
    <n v="148"/>
    <n v="96"/>
  </r>
  <r>
    <n v="157"/>
    <x v="0"/>
    <x v="238"/>
    <s v="eth1/78"/>
    <x v="0"/>
    <x v="0"/>
    <x v="0"/>
    <s v="ARIESO_GEOLOCALIZACION"/>
    <x v="6"/>
    <b v="0"/>
    <s v="No está en VPC"/>
    <n v="157"/>
    <s v="INTPG_ACC_157_1.78"/>
    <s v="ISEL-1.78"/>
    <n v="2"/>
    <s v="NO TIENE L3OUT"/>
    <n v="202"/>
    <n v="96"/>
  </r>
  <r>
    <n v="408"/>
    <x v="1"/>
    <x v="239"/>
    <s v="eth1/78"/>
    <x v="0"/>
    <x v="0"/>
    <x v="0"/>
    <s v="IXTPA4LE"/>
    <x v="6"/>
    <b v="0"/>
    <s v="No está en VPC"/>
    <n v="408"/>
    <s v="INTPG_ACC_408_1.78"/>
    <s v="ISEL-1.78"/>
    <n v="1"/>
    <s v="NO TIENE L3OUT"/>
    <n v="152"/>
    <n v="96"/>
  </r>
  <r>
    <n v="405"/>
    <x v="1"/>
    <x v="240"/>
    <s v="eth1/78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78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78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78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78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78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78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78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78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78"/>
    <x v="0"/>
    <x v="0"/>
    <x v="0"/>
    <s v="ITHRTCD2SSW1"/>
    <x v="6"/>
    <b v="0"/>
    <s v="No está en VPC"/>
    <n v="406"/>
    <s v="INTPG_ACC_406_1.78"/>
    <s v="ISEL-1.78"/>
    <n v="1"/>
    <s v="NO TIENE L3OUT"/>
    <n v="82"/>
    <n v="96"/>
  </r>
  <r>
    <n v="414"/>
    <x v="1"/>
    <x v="250"/>
    <s v="eth1/78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78"/>
    <x v="0"/>
    <x v="0"/>
    <x v="0"/>
    <s v="TO_ITHNM2-eno2"/>
    <x v="6"/>
    <b v="0"/>
    <s v="No está en VPC"/>
    <n v="416"/>
    <s v="INTPG_ACC_416_1.78"/>
    <s v="ISEL-1.78"/>
    <n v="1"/>
    <s v="NO TIENE L3OUT"/>
    <n v="110"/>
    <n v="96"/>
  </r>
  <r>
    <n v="418"/>
    <x v="1"/>
    <x v="252"/>
    <s v="eth1/78"/>
    <x v="0"/>
    <x v="0"/>
    <x v="0"/>
    <s v="ixtf5oss01_MGMT"/>
    <x v="6"/>
    <b v="0"/>
    <s v="No está en VPC"/>
    <n v="418"/>
    <s v="INTPG_ACC_418_1.78"/>
    <s v="ISEL-1.78"/>
    <n v="1"/>
    <s v="NO TIENE L3OUT"/>
    <n v="152"/>
    <n v="96"/>
  </r>
  <r>
    <n v="413"/>
    <x v="1"/>
    <x v="253"/>
    <s v="eth1/78"/>
    <x v="0"/>
    <x v="0"/>
    <x v="0"/>
    <s v="SPIDERNET3"/>
    <x v="6"/>
    <b v="0"/>
    <s v="No está en VPC"/>
    <n v="413"/>
    <s v="INTPG_ACC_413_1.78"/>
    <s v="ISEL-1.78"/>
    <n v="1"/>
    <s v="NO TIENE L3OUT"/>
    <n v="126"/>
    <n v="96"/>
  </r>
  <r>
    <n v="403"/>
    <x v="1"/>
    <x v="254"/>
    <s v="eth1/78"/>
    <x v="0"/>
    <x v="0"/>
    <x v="0"/>
    <s v="XL5 RLR5ARI11"/>
    <x v="6"/>
    <b v="0"/>
    <s v="No está en VPC"/>
    <n v="403"/>
    <s v="INTPG_ACC_403_1.78"/>
    <s v="ISEL-1.78"/>
    <n v="1"/>
    <s v="NO TIENE L3OUT"/>
    <n v="150"/>
    <n v="96"/>
  </r>
  <r>
    <n v="125"/>
    <x v="0"/>
    <x v="255"/>
    <s v="eth1/78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78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78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78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78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78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78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78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78"/>
    <x v="0"/>
    <x v="0"/>
    <x v="0"/>
    <s v="eth1_vert01hpov_Secundario"/>
    <x v="6"/>
    <b v="0"/>
    <s v="No está en VPC"/>
    <n v="430"/>
    <s v="INTPG_ACC_430_1.78"/>
    <s v="ISEL-1.78"/>
    <n v="1"/>
    <s v="NO TIENE L3OUT"/>
    <n v="86"/>
    <n v="96"/>
  </r>
  <r>
    <n v="419"/>
    <x v="1"/>
    <x v="264"/>
    <s v="eth1/78"/>
    <x v="0"/>
    <x v="0"/>
    <x v="0"/>
    <s v="HP Proliant DL380p(e)"/>
    <x v="6"/>
    <b v="0"/>
    <s v="No está en VPC"/>
    <n v="419"/>
    <s v="INTPG_ACC_419_1.78"/>
    <s v="ISEL-1.78"/>
    <n v="1"/>
    <s v="NO TIENE L3OUT"/>
    <n v="70"/>
    <n v="96"/>
  </r>
  <r>
    <n v="155"/>
    <x v="0"/>
    <x v="265"/>
    <s v="eth1/78"/>
    <x v="0"/>
    <x v="0"/>
    <x v="0"/>
    <s v="Consolidaci\u00f3n Aplicaciones Prepago"/>
    <x v="6"/>
    <b v="0"/>
    <s v="No está en VPC"/>
    <n v="155"/>
    <s v="INTPG_ACC_155_1.78"/>
    <s v="ISEL-1.78"/>
    <n v="1"/>
    <s v="NO TIENE L3OUT"/>
    <n v="198"/>
    <n v="96"/>
  </r>
  <r>
    <n v="409"/>
    <x v="1"/>
    <x v="266"/>
    <s v="eth1/78"/>
    <x v="0"/>
    <x v="0"/>
    <x v="0"/>
    <s v="ARIESO_LTE_RLR3"/>
    <x v="6"/>
    <b v="0"/>
    <s v="No está en VPC"/>
    <n v="409"/>
    <s v="INTPG_ACC_409_1.78"/>
    <s v="ISEL-1.78"/>
    <n v="1"/>
    <s v="NO TIENE L3OUT"/>
    <n v="128"/>
    <n v="96"/>
  </r>
  <r>
    <n v="422"/>
    <x v="1"/>
    <x v="267"/>
    <s v="eth1/78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78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78"/>
    <x v="0"/>
    <x v="0"/>
    <x v="0"/>
    <s v="ITHRTC4NB2"/>
    <x v="6"/>
    <b v="0"/>
    <s v="No está en VPC"/>
    <n v="410"/>
    <s v="INTPG_ACC_410_1.78"/>
    <s v="ISEL-1.78"/>
    <n v="1"/>
    <s v="NO TIENE L3OUT"/>
    <n v="178"/>
    <n v="96"/>
  </r>
  <r>
    <n v="161"/>
    <x v="0"/>
    <x v="270"/>
    <s v="eth1/78"/>
    <x v="0"/>
    <x v="0"/>
    <x v="0"/>
    <s v="SFODPP02"/>
    <x v="6"/>
    <b v="0"/>
    <s v="No está en VPC"/>
    <n v="161"/>
    <s v="INTPG_VPC_161_1.78_163_1.89"/>
    <s v="ISEL-1.78"/>
    <n v="1"/>
    <s v="NO TIENE L3OUT"/>
    <n v="102"/>
    <n v="96"/>
  </r>
  <r>
    <n v="411"/>
    <x v="1"/>
    <x v="271"/>
    <s v="eth1/78"/>
    <x v="0"/>
    <x v="0"/>
    <x v="0"/>
    <s v="TIMEPICTRA-GESTION"/>
    <x v="6"/>
    <b v="0"/>
    <s v="No está en VPC"/>
    <n v="411"/>
    <s v="INTPG_ACC_411_1.78"/>
    <s v="ISEL-1.78"/>
    <n v="1"/>
    <s v="NO TIENE L3OUT"/>
    <n v="96"/>
    <n v="96"/>
  </r>
  <r>
    <n v="116"/>
    <x v="0"/>
    <x v="272"/>
    <s v="eth1/78"/>
    <x v="0"/>
    <x v="0"/>
    <x v="0"/>
    <s v="LA-47R VIRTUALIZACION BLADES"/>
    <x v="6"/>
    <b v="0"/>
    <s v="No está en VPC"/>
    <n v="116"/>
    <s v="INTPG_ACC_116_1.78"/>
    <s v="ISEL-1.78"/>
    <n v="1"/>
    <s v="NO TIENE L3OUT"/>
    <n v="148"/>
    <n v="96"/>
  </r>
  <r>
    <n v="412"/>
    <x v="1"/>
    <x v="273"/>
    <s v="eth1/78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78"/>
    <x v="1"/>
    <x v="1"/>
    <x v="2"/>
    <m/>
    <x v="6"/>
    <b v="0"/>
    <s v="No está en VPC"/>
    <n v="120"/>
    <s v="INTPG_VPC_120_1.78_122_1.85"/>
    <s v="ISEL-1.78"/>
    <n v="1"/>
    <s v="NO TIENE L3OUT"/>
    <n v="158"/>
    <n v="96"/>
  </r>
  <r>
    <n v="404"/>
    <x v="1"/>
    <x v="275"/>
    <s v="eth1/78"/>
    <x v="0"/>
    <x v="0"/>
    <x v="0"/>
    <s v="ITHRTC2NB2"/>
    <x v="6"/>
    <b v="0"/>
    <s v="No está en VPC"/>
    <n v="404"/>
    <s v="INTPG_ACC_404_1.78"/>
    <s v="ISEL-1.78"/>
    <n v="1"/>
    <s v="NO TIENE L3OUT"/>
    <n v="92"/>
    <n v="96"/>
  </r>
  <r>
    <n v="167"/>
    <x v="0"/>
    <x v="276"/>
    <s v="eth1/78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78"/>
    <x v="0"/>
    <x v="0"/>
    <x v="0"/>
    <s v="SecAnLG_Gb1_02-Correlacionador-IXTSALG_ESA1"/>
    <x v="6"/>
    <b v="0"/>
    <s v="No está en VPC"/>
    <n v="428"/>
    <s v="INTPG_ACC_428_1.78"/>
    <s v="ISEL-1.78"/>
    <n v="1"/>
    <s v="NO TIENE L3OUT"/>
    <n v="102"/>
    <n v="96"/>
  </r>
  <r>
    <n v="105"/>
    <x v="0"/>
    <x v="205"/>
    <s v="eth1/79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79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79"/>
    <x v="0"/>
    <x v="1"/>
    <x v="1"/>
    <s v="SIEMC"/>
    <x v="6"/>
    <b v="0"/>
    <s v="No está en VPC"/>
    <n v="104"/>
    <s v="INTPG_ACC_104_1.79"/>
    <s v="ISEL-1.79"/>
    <n v="1"/>
    <s v="NO TIENE L3OUT"/>
    <n v="194"/>
    <n v="96"/>
  </r>
  <r>
    <n v="158"/>
    <x v="0"/>
    <x v="208"/>
    <s v="eth1/79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79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79"/>
    <x v="0"/>
    <x v="1"/>
    <x v="1"/>
    <s v="SAPCCRATING14"/>
    <x v="6"/>
    <b v="0"/>
    <s v="No está en VPC"/>
    <n v="112"/>
    <s v="INTPG_VPC_112_1.79_114_1.77"/>
    <s v="ISEL-1.79"/>
    <n v="1"/>
    <s v="NO TIENE L3OUT"/>
    <n v="144"/>
    <n v="96"/>
  </r>
  <r>
    <n v="107"/>
    <x v="0"/>
    <x v="213"/>
    <s v="eth1/79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79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79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79"/>
    <x v="0"/>
    <x v="1"/>
    <x v="1"/>
    <s v="SAPCCRATING16"/>
    <x v="6"/>
    <b v="0"/>
    <s v="No está en VPC"/>
    <n v="114"/>
    <s v="INTPG_VPC_112_1.81_114_1.79"/>
    <s v="ISEL-1.79"/>
    <n v="1"/>
    <s v="NO TIENE L3OUT"/>
    <n v="144"/>
    <n v="96"/>
  </r>
  <r>
    <n v="124"/>
    <x v="0"/>
    <x v="217"/>
    <s v="eth1/79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79"/>
    <x v="0"/>
    <x v="1"/>
    <x v="1"/>
    <s v="COBROS NAVEGACION"/>
    <x v="6"/>
    <b v="0"/>
    <s v="No está en VPC"/>
    <n v="118"/>
    <s v="INTPG_ACC_118_1.79"/>
    <s v="ISEL-1.79"/>
    <n v="1"/>
    <s v="NO TIENE L3OUT"/>
    <n v="180"/>
    <n v="96"/>
  </r>
  <r>
    <n v="159"/>
    <x v="0"/>
    <x v="219"/>
    <s v="eth1/79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79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79"/>
    <x v="0"/>
    <x v="1"/>
    <x v="1"/>
    <s v="Multimediacion 2"/>
    <x v="6"/>
    <b v="0"/>
    <s v="No está en VPC"/>
    <n v="163"/>
    <s v="INTPG_ACC_163_1.79"/>
    <s v="ISEL-1.79"/>
    <n v="1"/>
    <s v="NO TIENE L3OUT"/>
    <n v="140"/>
    <n v="96"/>
  </r>
  <r>
    <n v="407"/>
    <x v="1"/>
    <x v="224"/>
    <s v="eth1/79"/>
    <x v="1"/>
    <x v="1"/>
    <x v="0"/>
    <m/>
    <x v="6"/>
    <b v="0"/>
    <s v="No está en VPC"/>
    <n v="407"/>
    <s v="NO EXISTE PG"/>
    <s v="NO EXISTE ISEL"/>
    <n v="1"/>
    <s v="NO TIENE L3OUT"/>
    <n v="122"/>
    <n v="96"/>
  </r>
  <r>
    <n v="171"/>
    <x v="0"/>
    <x v="225"/>
    <s v="eth1/79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79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79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79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79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79"/>
    <x v="0"/>
    <x v="0"/>
    <x v="0"/>
    <s v="TO-ITHNM2-PRINCIPAL"/>
    <x v="6"/>
    <b v="0"/>
    <s v="No está en VPC"/>
    <n v="420"/>
    <s v="INTPG_ACC_420_1.79"/>
    <s v="ISEL-1.79"/>
    <n v="1"/>
    <s v="NO TIENE L3OUT"/>
    <n v="158"/>
    <n v="96"/>
  </r>
  <r>
    <n v="423"/>
    <x v="1"/>
    <x v="231"/>
    <s v="eth1/79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79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79"/>
    <x v="0"/>
    <x v="1"/>
    <x v="1"/>
    <s v="CORREO AMERICA MOVIL:OPENSTACK 1 :VC1-X3"/>
    <x v="6"/>
    <b v="0"/>
    <s v="No está en VPC"/>
    <n v="102"/>
    <s v="INTPG_PC_102_1.77-84"/>
    <s v="ISEL-1.79"/>
    <n v="15"/>
    <s v="NO TIENE L3OUT"/>
    <n v="228"/>
    <n v="96"/>
  </r>
  <r>
    <n v="122"/>
    <x v="0"/>
    <x v="237"/>
    <s v="eth1/79"/>
    <x v="1"/>
    <x v="1"/>
    <x v="2"/>
    <m/>
    <x v="6"/>
    <b v="0"/>
    <s v="No está en VPC"/>
    <n v="122"/>
    <s v="INTPG_VPC_120_1.71_122_1.79"/>
    <s v="ISEL-1.79"/>
    <n v="1"/>
    <s v="NO TIENE L3OUT"/>
    <n v="148"/>
    <n v="96"/>
  </r>
  <r>
    <n v="157"/>
    <x v="0"/>
    <x v="238"/>
    <s v="eth1/79"/>
    <x v="0"/>
    <x v="0"/>
    <x v="0"/>
    <s v="ARIESO_GEOLOCALIZACION"/>
    <x v="6"/>
    <b v="0"/>
    <s v="No está en VPC"/>
    <n v="157"/>
    <s v="INTPG_ACC_157_1.79"/>
    <s v="ISEL-1.79"/>
    <n v="2"/>
    <s v="NO TIENE L3OUT"/>
    <n v="202"/>
    <n v="96"/>
  </r>
  <r>
    <n v="408"/>
    <x v="1"/>
    <x v="239"/>
    <s v="eth1/79"/>
    <x v="0"/>
    <x v="0"/>
    <x v="0"/>
    <s v="9UCS-IXTLA-WEBEX-SERV1"/>
    <x v="6"/>
    <b v="0"/>
    <s v="No está en VPC"/>
    <n v="408"/>
    <s v="INTPG_ACC_408_1.79"/>
    <s v="ISEL-1.79"/>
    <n v="1"/>
    <s v="NO TIENE L3OUT"/>
    <n v="152"/>
    <n v="96"/>
  </r>
  <r>
    <n v="405"/>
    <x v="1"/>
    <x v="240"/>
    <s v="eth1/79"/>
    <x v="0"/>
    <x v="0"/>
    <x v="0"/>
    <s v="TO-ithfhpmvnorap01"/>
    <x v="6"/>
    <b v="0"/>
    <s v="No está en VPC"/>
    <n v="405"/>
    <s v="INTPG_VPC_403_1.89_405_1.79"/>
    <s v="ISEL-1.79"/>
    <n v="1"/>
    <s v="NO TIENE L3OUT"/>
    <n v="138"/>
    <n v="96"/>
  </r>
  <r>
    <n v="169"/>
    <x v="0"/>
    <x v="241"/>
    <s v="eth1/79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79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79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79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79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79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79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79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79"/>
    <x v="0"/>
    <x v="0"/>
    <x v="0"/>
    <s v="ETH0_uxppldb1"/>
    <x v="6"/>
    <b v="0"/>
    <s v="No está en VPC"/>
    <n v="406"/>
    <s v="INTPG_ACC_406_1.79"/>
    <s v="ISEL-1.79"/>
    <n v="1"/>
    <s v="NO TIENE L3OUT"/>
    <n v="82"/>
    <n v="96"/>
  </r>
  <r>
    <n v="414"/>
    <x v="1"/>
    <x v="250"/>
    <s v="eth1/79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79"/>
    <x v="0"/>
    <x v="0"/>
    <x v="0"/>
    <s v="TO_ITHNM2-eno6"/>
    <x v="6"/>
    <b v="0"/>
    <s v="No está en VPC"/>
    <n v="416"/>
    <s v="INTPG_ACC_416_1.79"/>
    <s v="ISEL-1.79"/>
    <n v="1"/>
    <s v="NO TIENE L3OUT"/>
    <n v="110"/>
    <n v="96"/>
  </r>
  <r>
    <n v="418"/>
    <x v="1"/>
    <x v="252"/>
    <s v="eth1/79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79"/>
    <x v="0"/>
    <x v="0"/>
    <x v="0"/>
    <s v="SPIDERNET4"/>
    <x v="6"/>
    <b v="0"/>
    <s v="No está en VPC"/>
    <n v="413"/>
    <s v="INTPG_ACC_413_1.79"/>
    <s v="ISEL-1.79"/>
    <n v="1"/>
    <s v="NO TIENE L3OUT"/>
    <n v="126"/>
    <n v="96"/>
  </r>
  <r>
    <n v="403"/>
    <x v="1"/>
    <x v="254"/>
    <s v="eth1/79"/>
    <x v="0"/>
    <x v="0"/>
    <x v="0"/>
    <s v="XL6 RLR6ARI08"/>
    <x v="6"/>
    <b v="0"/>
    <s v="No está en VPC"/>
    <n v="403"/>
    <s v="INTPG_ACC_403_1.79"/>
    <s v="ISEL-1.79"/>
    <n v="1"/>
    <s v="NO TIENE L3OUT"/>
    <n v="150"/>
    <n v="96"/>
  </r>
  <r>
    <n v="125"/>
    <x v="0"/>
    <x v="255"/>
    <s v="eth1/79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79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79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79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79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79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79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79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79"/>
    <x v="0"/>
    <x v="0"/>
    <x v="0"/>
    <s v="eth1_vert02hpov_Secundario"/>
    <x v="6"/>
    <b v="0"/>
    <s v="No está en VPC"/>
    <n v="430"/>
    <s v="INTPG_ACC_430_1.79"/>
    <s v="ISEL-1.79"/>
    <n v="1"/>
    <s v="NO TIENE L3OUT"/>
    <n v="86"/>
    <n v="96"/>
  </r>
  <r>
    <n v="419"/>
    <x v="1"/>
    <x v="264"/>
    <s v="eth1/79"/>
    <x v="0"/>
    <x v="0"/>
    <x v="0"/>
    <s v="HP Proliant DL380p(e)"/>
    <x v="6"/>
    <b v="0"/>
    <s v="No está en VPC"/>
    <n v="419"/>
    <s v="INTPG_ACC_419_1.79"/>
    <s v="ISEL-1.79"/>
    <n v="1"/>
    <s v="NO TIENE L3OUT"/>
    <n v="70"/>
    <n v="96"/>
  </r>
  <r>
    <n v="155"/>
    <x v="0"/>
    <x v="265"/>
    <s v="eth1/79"/>
    <x v="0"/>
    <x v="0"/>
    <x v="0"/>
    <s v="Consolidaci\u00f3n Aplicaciones Prepago"/>
    <x v="6"/>
    <b v="0"/>
    <s v="No está en VPC"/>
    <n v="155"/>
    <s v="INTPG_ACC_155_1.79"/>
    <s v="ISEL-1.79"/>
    <n v="1"/>
    <s v="NO TIENE L3OUT"/>
    <n v="198"/>
    <n v="96"/>
  </r>
  <r>
    <n v="409"/>
    <x v="1"/>
    <x v="266"/>
    <s v="eth1/79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79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79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79"/>
    <x v="0"/>
    <x v="0"/>
    <x v="0"/>
    <s v="ITHRTCD2CONT2"/>
    <x v="6"/>
    <b v="0"/>
    <s v="No está en VPC"/>
    <n v="410"/>
    <s v="INTPG_ACC_410_1.79"/>
    <s v="ISEL-1.79"/>
    <n v="1"/>
    <s v="NO TIENE L3OUT"/>
    <n v="178"/>
    <n v="96"/>
  </r>
  <r>
    <n v="161"/>
    <x v="0"/>
    <x v="270"/>
    <s v="eth1/79"/>
    <x v="0"/>
    <x v="0"/>
    <x v="0"/>
    <s v="SFCTGP01"/>
    <x v="6"/>
    <b v="0"/>
    <s v="No está en VPC"/>
    <n v="161"/>
    <s v="INTPG_VPC_161_1.79_163_1.90"/>
    <s v="ISEL-1.79"/>
    <n v="1"/>
    <s v="NO TIENE L3OUT"/>
    <n v="102"/>
    <n v="96"/>
  </r>
  <r>
    <n v="411"/>
    <x v="1"/>
    <x v="271"/>
    <s v="eth1/79"/>
    <x v="0"/>
    <x v="0"/>
    <x v="0"/>
    <s v="TIMEPICTRA-CONSOLA"/>
    <x v="6"/>
    <b v="0"/>
    <s v="No está en VPC"/>
    <n v="411"/>
    <s v="INTPG_ACC_411_1.79"/>
    <s v="ISEL-1.79"/>
    <n v="1"/>
    <s v="NO TIENE L3OUT"/>
    <n v="96"/>
    <n v="96"/>
  </r>
  <r>
    <n v="116"/>
    <x v="0"/>
    <x v="272"/>
    <s v="eth1/79"/>
    <x v="0"/>
    <x v="0"/>
    <x v="0"/>
    <s v="LA-47R VIRTUALIZACION BLADES"/>
    <x v="6"/>
    <b v="0"/>
    <s v="No está en VPC"/>
    <n v="116"/>
    <s v="INTPG_ACC_116_1.79"/>
    <s v="ISEL-1.79"/>
    <n v="1"/>
    <s v="NO TIENE L3OUT"/>
    <n v="148"/>
    <n v="96"/>
  </r>
  <r>
    <n v="412"/>
    <x v="1"/>
    <x v="273"/>
    <s v="eth1/79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79"/>
    <x v="1"/>
    <x v="1"/>
    <x v="2"/>
    <s v="N/A"/>
    <x v="6"/>
    <b v="0"/>
    <s v="No está en VPC"/>
    <n v="120"/>
    <s v="INTPG_ACC_120_1.79"/>
    <s v="ISEL-1.79"/>
    <n v="1"/>
    <s v="NO TIENE L3OUT"/>
    <n v="158"/>
    <n v="96"/>
  </r>
  <r>
    <n v="404"/>
    <x v="1"/>
    <x v="275"/>
    <s v="eth1/79"/>
    <x v="0"/>
    <x v="0"/>
    <x v="0"/>
    <s v="ITHRTCD1CONT1"/>
    <x v="6"/>
    <b v="0"/>
    <s v="No está en VPC"/>
    <n v="404"/>
    <s v="INTPG_ACC_404_1.79"/>
    <s v="ISEL-1.79"/>
    <n v="1"/>
    <s v="NO TIENE L3OUT"/>
    <n v="92"/>
    <n v="96"/>
  </r>
  <r>
    <n v="167"/>
    <x v="0"/>
    <x v="276"/>
    <s v="eth1/79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79"/>
    <x v="0"/>
    <x v="0"/>
    <x v="0"/>
    <s v="SecAnLG_Gb1_03-Colector_R1toR8_SA-IXTSALG_H1_8SA"/>
    <x v="6"/>
    <b v="0"/>
    <s v="No está en VPC"/>
    <n v="428"/>
    <s v="INTPG_ACC_428_1.79"/>
    <s v="ISEL-1.79"/>
    <n v="1"/>
    <s v="NO TIENE L3OUT"/>
    <n v="102"/>
    <n v="96"/>
  </r>
  <r>
    <n v="128"/>
    <x v="0"/>
    <x v="0"/>
    <s v="eth1/8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8"/>
    <x v="0"/>
    <x v="0"/>
    <x v="0"/>
    <m/>
    <x v="1"/>
    <b v="0"/>
    <s v="No está en VPC"/>
    <n v="123"/>
    <s v="INTPG_ACC_123_1.8"/>
    <s v="ISEL-1.8"/>
    <n v="1"/>
    <s v="NO TIENE L3OUT"/>
    <n v="20"/>
    <n v="54"/>
  </r>
  <r>
    <n v="152"/>
    <x v="0"/>
    <x v="2"/>
    <s v="eth1/8"/>
    <x v="0"/>
    <x v="1"/>
    <x v="1"/>
    <s v="HUAWEI"/>
    <x v="1"/>
    <b v="0"/>
    <s v="No está en VPC"/>
    <n v="152"/>
    <s v="INTPG_ACC_152_1.8"/>
    <s v="ISEL-1.8"/>
    <n v="1"/>
    <s v="NO TIENE L3OUT"/>
    <n v="38"/>
    <n v="54"/>
  </r>
  <r>
    <n v="101"/>
    <x v="0"/>
    <x v="3"/>
    <s v="eth1/8"/>
    <x v="0"/>
    <x v="1"/>
    <x v="1"/>
    <s v="DESC"/>
    <x v="0"/>
    <b v="0"/>
    <s v="No está en VPC"/>
    <n v="101"/>
    <s v="INTPG_PC_101_1.7_8"/>
    <s v="ISEL-1.8"/>
    <n v="18"/>
    <s v="NO TIENE L3OUT"/>
    <n v="114"/>
    <n v="54"/>
  </r>
  <r>
    <n v="160"/>
    <x v="0"/>
    <x v="4"/>
    <s v="eth1/8"/>
    <x v="0"/>
    <x v="1"/>
    <x v="1"/>
    <s v="TRAP"/>
    <x v="1"/>
    <b v="0"/>
    <s v="No está en VPC"/>
    <n v="160"/>
    <s v="INTPG_PC_160_1.3-8"/>
    <s v="ISEL-1.8"/>
    <n v="12"/>
    <s v="NO TIENE L3OUT"/>
    <n v="68"/>
    <n v="54"/>
  </r>
  <r>
    <n v="121"/>
    <x v="0"/>
    <x v="5"/>
    <s v="eth1/8"/>
    <x v="0"/>
    <x v="0"/>
    <x v="0"/>
    <s v="TO-ITHERIAPRK2_PDU_01"/>
    <x v="1"/>
    <b v="0"/>
    <s v="No está en VPC"/>
    <n v="121"/>
    <s v="INTPG_ACC_121_1.8"/>
    <s v="ISEL-1.8"/>
    <n v="1"/>
    <s v="NO TIENE L3OUT"/>
    <n v="14"/>
    <n v="54"/>
  </r>
  <r>
    <n v="129"/>
    <x v="0"/>
    <x v="6"/>
    <s v="eth1/8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8"/>
    <x v="0"/>
    <x v="0"/>
    <x v="0"/>
    <m/>
    <x v="0"/>
    <b v="0"/>
    <s v="No está en VPC"/>
    <n v="401"/>
    <s v="INTPG_ACC_401_1.8"/>
    <s v="ISEL-1.8"/>
    <n v="0"/>
    <s v="NO TIENE L3OUT"/>
    <n v="40"/>
    <n v="54"/>
  </r>
  <r>
    <n v="402"/>
    <x v="1"/>
    <x v="8"/>
    <s v="eth1/8"/>
    <x v="0"/>
    <x v="0"/>
    <x v="0"/>
    <m/>
    <x v="0"/>
    <b v="0"/>
    <s v="No está en VPC"/>
    <n v="402"/>
    <s v="INTPG_ACC_402_1.8"/>
    <s v="ISEL-1.8"/>
    <n v="0"/>
    <s v="NO TIENE L3OUT"/>
    <n v="36"/>
    <n v="54"/>
  </r>
  <r>
    <n v="447"/>
    <x v="1"/>
    <x v="9"/>
    <s v="eth1/8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8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8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8"/>
    <x v="0"/>
    <x v="1"/>
    <x v="1"/>
    <s v="DESC"/>
    <x v="0"/>
    <b v="0"/>
    <s v="No está en VPC"/>
    <n v="150"/>
    <s v="INTPG_PC_150_1.7_8"/>
    <s v="ISEL-1.8"/>
    <n v="18"/>
    <s v="NO TIENE L3OUT"/>
    <n v="118"/>
    <n v="54"/>
  </r>
  <r>
    <n v="131"/>
    <x v="0"/>
    <x v="13"/>
    <s v="eth1/8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8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8"/>
    <x v="0"/>
    <x v="0"/>
    <x v="0"/>
    <s v="TO-ITHFHWCCEXEN02-CCEX BACKUP LAG 02_OCS_Transforma"/>
    <x v="2"/>
    <b v="0"/>
    <s v="No está en VPC"/>
    <n v="758"/>
    <s v="INTPG_VPC_758_1.8_759_1.8"/>
    <s v="ISEL-1.8"/>
    <n v="6"/>
    <s v="NO TIENE L3OUT"/>
    <n v="0"/>
    <n v="42"/>
  </r>
  <r>
    <n v="759"/>
    <x v="2"/>
    <x v="16"/>
    <s v="eth1/8"/>
    <x v="0"/>
    <x v="0"/>
    <x v="0"/>
    <s v="TO-ITHFHWCCEXEN02-CCEX BACKUP LAG 02_OCS_Transforma"/>
    <x v="2"/>
    <b v="0"/>
    <s v="No está en VPC"/>
    <n v="759"/>
    <s v="INTPG_VPC_758_1.8_759_1.8"/>
    <s v="ISEL-1.8"/>
    <n v="6"/>
    <s v="NO TIENE L3OUT"/>
    <n v="0"/>
    <n v="42"/>
  </r>
  <r>
    <n v="302"/>
    <x v="0"/>
    <x v="17"/>
    <s v="eth1/8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8"/>
    <x v="0"/>
    <x v="0"/>
    <x v="0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8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8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8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8"/>
    <x v="0"/>
    <x v="0"/>
    <x v="0"/>
    <s v="DESC"/>
    <x v="0"/>
    <b v="0"/>
    <s v="No está en VPC"/>
    <n v="727"/>
    <s v="INTPG_PC_727_1.7-8"/>
    <s v="ISEL-1.8"/>
    <n v="0"/>
    <s v="L3OUT-HCS-MGMT-TELCEL-IPCORP"/>
    <n v="0"/>
    <n v="54"/>
  </r>
  <r>
    <n v="724"/>
    <x v="2"/>
    <x v="23"/>
    <s v="eth1/8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8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8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8"/>
    <x v="0"/>
    <x v="0"/>
    <x v="0"/>
    <s v="Portal_Cautivo_f5gwt02"/>
    <x v="0"/>
    <b v="0"/>
    <s v="No está en VPC"/>
    <n v="431"/>
    <s v="INTPG_VPC_431_1.8_448_1.8"/>
    <s v="ISEL-1.8"/>
    <n v="2"/>
    <s v="NO TIENE L3OUT"/>
    <n v="46"/>
    <n v="54"/>
  </r>
  <r>
    <n v="433"/>
    <x v="1"/>
    <x v="27"/>
    <s v="eth1/8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8"/>
    <x v="0"/>
    <x v="0"/>
    <x v="0"/>
    <s v="FASE_1.5_REDKNEE_produccion_1_client_LAG"/>
    <x v="1"/>
    <b v="0"/>
    <s v="No está en VPC"/>
    <n v="429"/>
    <s v="INTPG_VPC_427_1.8_429_1.8"/>
    <s v="ISEL-1.8"/>
    <n v="2"/>
    <s v="NO TIENE L3OUT"/>
    <n v="8"/>
    <n v="54"/>
  </r>
  <r>
    <n v="432"/>
    <x v="1"/>
    <x v="29"/>
    <s v="eth1/8"/>
    <x v="0"/>
    <x v="0"/>
    <x v="0"/>
    <s v="SSO"/>
    <x v="1"/>
    <b v="0"/>
    <s v="No está en VPC"/>
    <n v="432"/>
    <s v="INTPG_ACC_432_1.8"/>
    <s v="ISEL-1.8"/>
    <n v="1"/>
    <s v="NO TIENE L3OUT"/>
    <n v="54"/>
    <n v="54"/>
  </r>
  <r>
    <n v="442"/>
    <x v="1"/>
    <x v="30"/>
    <s v="eth1/8"/>
    <x v="0"/>
    <x v="0"/>
    <x v="0"/>
    <s v="HUAWEI_CLOUD_FASE2_LAG3"/>
    <x v="1"/>
    <b v="0"/>
    <s v="No está en VPC"/>
    <n v="442"/>
    <s v="INTPG_VPC_440_1.6_8_442_1.6_8"/>
    <s v="ISEL-1.8"/>
    <n v="6"/>
    <s v="NO TIENE L3OUT"/>
    <n v="18"/>
    <n v="54"/>
  </r>
  <r>
    <n v="434"/>
    <x v="1"/>
    <x v="31"/>
    <s v="eth1/8"/>
    <x v="0"/>
    <x v="1"/>
    <x v="1"/>
    <s v="TO-uxidmbd-E3-1"/>
    <x v="1"/>
    <b v="0"/>
    <s v="No está en VPC"/>
    <n v="434"/>
    <s v="INTPG_ACC_434_1.8"/>
    <s v="ISEL-1.8"/>
    <n v="1"/>
    <s v="NO TIENE L3OUT"/>
    <n v="34"/>
    <n v="54"/>
  </r>
  <r>
    <n v="707"/>
    <x v="2"/>
    <x v="32"/>
    <s v="eth1/8"/>
    <x v="0"/>
    <x v="1"/>
    <x v="3"/>
    <s v="CEM:ITHCEMG2DAT04:LOM P3"/>
    <x v="0"/>
    <b v="0"/>
    <s v="No está en VPC"/>
    <n v="707"/>
    <s v="INTPG_ACC_707_1.8"/>
    <s v="ISEL-1.8"/>
    <n v="1"/>
    <s v="NO TIENE L3OUT"/>
    <n v="54"/>
    <n v="54"/>
  </r>
  <r>
    <n v="712"/>
    <x v="2"/>
    <x v="33"/>
    <s v="eth1/8"/>
    <x v="0"/>
    <x v="0"/>
    <x v="0"/>
    <s v="CEM:ITHCEMA2DAT04:LOM  P2"/>
    <x v="0"/>
    <b v="0"/>
    <s v="No está en VPC"/>
    <n v="712"/>
    <s v="INTPG_ACC_712_1.8"/>
    <s v="ISEL-1.8"/>
    <n v="1"/>
    <s v="NO TIENE L3OUT"/>
    <n v="32"/>
    <n v="54"/>
  </r>
  <r>
    <n v="719"/>
    <x v="2"/>
    <x v="34"/>
    <s v="eth1/8"/>
    <x v="0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8"/>
    <x v="0"/>
    <x v="1"/>
    <x v="1"/>
    <m/>
    <x v="0"/>
    <b v="0"/>
    <s v="No está en VPC"/>
    <n v="715"/>
    <s v="INTPG-VPC_HDD36_716_1.7_715_1.8"/>
    <s v="ISEL-1.8"/>
    <n v="1"/>
    <s v="NO TIENE L3OUT"/>
    <n v="0"/>
    <n v="54"/>
  </r>
  <r>
    <n v="427"/>
    <x v="1"/>
    <x v="36"/>
    <s v="eth1/8"/>
    <x v="0"/>
    <x v="0"/>
    <x v="0"/>
    <s v="FASE_1.5_REDKNEE_produccion_1_client_LAG"/>
    <x v="1"/>
    <b v="0"/>
    <s v="No está en VPC"/>
    <n v="427"/>
    <s v="INTPG_VPC_427_1.8_429_1.8"/>
    <s v="ISEL-1.8"/>
    <n v="2"/>
    <s v="NO TIENE L3OUT"/>
    <n v="10"/>
    <n v="54"/>
  </r>
  <r>
    <n v="711"/>
    <x v="2"/>
    <x v="37"/>
    <s v="eth1/8"/>
    <x v="0"/>
    <x v="1"/>
    <x v="5"/>
    <s v="CEM:ITHCEMD2DAT04:LOM  P2"/>
    <x v="0"/>
    <b v="0"/>
    <s v="No está en VPC"/>
    <n v="711"/>
    <s v="INTPG_VPC_710_1.7_711_1.8"/>
    <s v="ISEL-1.8"/>
    <n v="1"/>
    <s v="NO TIENE L3OUT"/>
    <n v="16"/>
    <n v="54"/>
  </r>
  <r>
    <n v="716"/>
    <x v="2"/>
    <x v="38"/>
    <s v="eth1/8"/>
    <x v="0"/>
    <x v="0"/>
    <x v="0"/>
    <m/>
    <x v="0"/>
    <b v="0"/>
    <s v="No está en VPC"/>
    <n v="716"/>
    <s v="INTPG-VPC_HDD45_715_1.7_716_1.8"/>
    <s v="ISEL-1.8"/>
    <n v="1"/>
    <s v="NO TIENE L3OUT"/>
    <n v="0"/>
    <n v="54"/>
  </r>
  <r>
    <n v="702"/>
    <x v="2"/>
    <x v="39"/>
    <s v="eth1/8"/>
    <x v="0"/>
    <x v="0"/>
    <x v="0"/>
    <m/>
    <x v="0"/>
    <b v="0"/>
    <s v="No está en VPC"/>
    <n v="702"/>
    <s v="INTPG_VPC_701_1.7_702_1.8"/>
    <s v="ISEL-1.8"/>
    <n v="1"/>
    <s v="NO TIENE L3OUT"/>
    <n v="0"/>
    <n v="54"/>
  </r>
  <r>
    <n v="435"/>
    <x v="1"/>
    <x v="40"/>
    <s v="eth1/8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8"/>
    <x v="0"/>
    <x v="0"/>
    <x v="0"/>
    <s v="TO-ITHFHPNBURBKP06"/>
    <x v="0"/>
    <b v="0"/>
    <s v="No está en VPC"/>
    <n v="446"/>
    <s v="INTPG_VPC_444_1.7_446_1.8"/>
    <s v="ISEL-1.8"/>
    <n v="1"/>
    <s v="NO TIENE L3OUT"/>
    <n v="198"/>
    <n v="54"/>
  </r>
  <r>
    <n v="444"/>
    <x v="1"/>
    <x v="42"/>
    <s v="eth1/8"/>
    <x v="0"/>
    <x v="0"/>
    <x v="0"/>
    <m/>
    <x v="0"/>
    <b v="0"/>
    <s v="No está en VPC"/>
    <n v="444"/>
    <s v="INTPG_ACC_444_1.8"/>
    <s v="ISEL-1.8"/>
    <n v="9"/>
    <s v="NO TIENE L3OUT"/>
    <n v="234"/>
    <n v="54"/>
  </r>
  <r>
    <n v="701"/>
    <x v="2"/>
    <x v="43"/>
    <s v="eth1/8"/>
    <x v="0"/>
    <x v="0"/>
    <x v="0"/>
    <m/>
    <x v="0"/>
    <b v="0"/>
    <s v="No está en VPC"/>
    <n v="701"/>
    <s v="INTPG_VPC_702_1.7_701_1.8"/>
    <s v="ISEL-1.8"/>
    <n v="1"/>
    <s v="NO TIENE L3OUT"/>
    <n v="0"/>
    <n v="54"/>
  </r>
  <r>
    <n v="440"/>
    <x v="1"/>
    <x v="44"/>
    <s v="eth1/8"/>
    <x v="0"/>
    <x v="0"/>
    <x v="0"/>
    <s v="HUAWEI_CLOUD_FASE2_LAG3"/>
    <x v="1"/>
    <b v="0"/>
    <s v="No está en VPC"/>
    <n v="440"/>
    <s v="INTPG_VPC_440_1.6_8_442_1.6_8"/>
    <s v="ISEL-1.8"/>
    <n v="6"/>
    <s v="NO TIENE L3OUT"/>
    <n v="22"/>
    <n v="54"/>
  </r>
  <r>
    <n v="448"/>
    <x v="1"/>
    <x v="45"/>
    <s v="eth1/8"/>
    <x v="0"/>
    <x v="0"/>
    <x v="0"/>
    <s v="Portal_Cautivo_f5gwt02"/>
    <x v="0"/>
    <b v="0"/>
    <s v="No está en VPC"/>
    <n v="448"/>
    <s v="INTPG_VPC_431_1.8_448_1.8"/>
    <s v="ISEL-1.8"/>
    <n v="2"/>
    <s v="NO TIENE L3OUT"/>
    <n v="46"/>
    <n v="54"/>
  </r>
  <r>
    <n v="704"/>
    <x v="2"/>
    <x v="46"/>
    <s v="eth1/8"/>
    <x v="0"/>
    <x v="0"/>
    <x v="0"/>
    <m/>
    <x v="0"/>
    <b v="0"/>
    <s v="No está en VPC"/>
    <n v="704"/>
    <s v="INTPG_VPC_703_1.7_704_1.8"/>
    <s v="ISEL-1.8"/>
    <n v="1"/>
    <s v="NO TIENE L3OUT"/>
    <n v="0"/>
    <n v="54"/>
  </r>
  <r>
    <n v="729"/>
    <x v="2"/>
    <x v="47"/>
    <s v="eth1/8"/>
    <x v="0"/>
    <x v="0"/>
    <x v="0"/>
    <s v="eth-trunk-32"/>
    <x v="0"/>
    <b v="0"/>
    <s v="No está en VPC"/>
    <n v="729"/>
    <s v="INTPG_VPC_728_1.5_8_729_1.5_8"/>
    <s v="ISEL-1.8"/>
    <n v="11"/>
    <s v="NO TIENE L3OUT"/>
    <n v="4"/>
    <n v="54"/>
  </r>
  <r>
    <n v="728"/>
    <x v="2"/>
    <x v="48"/>
    <s v="eth1/8"/>
    <x v="0"/>
    <x v="0"/>
    <x v="0"/>
    <s v="eth-trunk-32"/>
    <x v="0"/>
    <b v="0"/>
    <s v="No está en VPC"/>
    <n v="728"/>
    <s v="INTPG_VPC_728_1.5_8_729_1.5_8"/>
    <s v="ISEL-1.8"/>
    <n v="11"/>
    <s v="NO TIENE L3OUT"/>
    <n v="2"/>
    <n v="54"/>
  </r>
  <r>
    <n v="456"/>
    <x v="1"/>
    <x v="49"/>
    <s v="eth1/8"/>
    <x v="0"/>
    <x v="0"/>
    <x v="0"/>
    <s v="HACIA_CSI-B-OSCP-F4-08_SECUNDARIO"/>
    <x v="4"/>
    <b v="0"/>
    <s v="No está en VPC"/>
    <n v="456"/>
    <s v="INTPG_VPC_454_1.8_456_1.8"/>
    <s v="ISEL-1.8"/>
    <n v="2"/>
    <s v="NO TIENE L3OUT"/>
    <n v="4"/>
    <n v="54"/>
  </r>
  <r>
    <n v="603"/>
    <x v="1"/>
    <x v="50"/>
    <s v="eth1/8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8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8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8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8"/>
    <x v="0"/>
    <x v="0"/>
    <x v="0"/>
    <m/>
    <x v="0"/>
    <b v="0"/>
    <s v="No está en VPC"/>
    <n v="722"/>
    <s v="INTPG-VPC_HDD117_723_1.7_722_1.8"/>
    <s v="ISEL-1.8"/>
    <n v="1"/>
    <s v="NO TIENE L3OUT"/>
    <n v="0"/>
    <n v="54"/>
  </r>
  <r>
    <n v="733"/>
    <x v="2"/>
    <x v="55"/>
    <s v="eth1/8"/>
    <x v="0"/>
    <x v="0"/>
    <x v="0"/>
    <s v="eth-trunk 22 fase 2 bes"/>
    <x v="0"/>
    <b v="0"/>
    <s v="No está en VPC"/>
    <n v="733"/>
    <s v="INTPG_VPC_732_1.5_8_733_1.5_8"/>
    <s v="ISEL-1.8"/>
    <n v="9"/>
    <s v="NO TIENE L3OUT"/>
    <n v="0"/>
    <n v="54"/>
  </r>
  <r>
    <n v="755"/>
    <x v="2"/>
    <x v="56"/>
    <s v="eth1/8"/>
    <x v="0"/>
    <x v="0"/>
    <x v="0"/>
    <s v="OSS F1:ithenmr06e1r9b:Bay1/X2"/>
    <x v="0"/>
    <b v="0"/>
    <s v="No está en VPC"/>
    <n v="755"/>
    <s v="INTPG_PC_755_1.7-8"/>
    <s v="ISEL-1.8"/>
    <n v="8"/>
    <s v="NO TIENE L3OUT"/>
    <n v="52"/>
    <n v="54"/>
  </r>
  <r>
    <n v="748"/>
    <x v="2"/>
    <x v="57"/>
    <s v="eth1/8"/>
    <x v="0"/>
    <x v="0"/>
    <x v="0"/>
    <s v="trunk13 Bes-Production"/>
    <x v="0"/>
    <b v="0"/>
    <s v="No está en VPC"/>
    <n v="748"/>
    <s v="INTPG_VPC_748_1.5_8_749_1.5_8"/>
    <s v="ISEL-1.8"/>
    <n v="14"/>
    <s v="NO TIENE L3OUT"/>
    <n v="2"/>
    <n v="54"/>
  </r>
  <r>
    <n v="756"/>
    <x v="2"/>
    <x v="58"/>
    <s v="eth1/8"/>
    <x v="0"/>
    <x v="0"/>
    <x v="0"/>
    <s v="OSS F1:ithenmr08bl03lms1r9a:PCIe3 Slot 1/2"/>
    <x v="0"/>
    <b v="0"/>
    <s v="No está en VPC"/>
    <n v="756"/>
    <s v="INTPG_ACC_756_1.8"/>
    <s v="ISEL-1.8"/>
    <n v="1"/>
    <s v="NO TIENE L3OUT"/>
    <n v="64"/>
    <n v="54"/>
  </r>
  <r>
    <n v="754"/>
    <x v="2"/>
    <x v="59"/>
    <s v="eth1/8"/>
    <x v="0"/>
    <x v="0"/>
    <x v="0"/>
    <s v="OSS F1:ithenmr04bl04ombsr9b:PCIe3 Slot 1/2"/>
    <x v="0"/>
    <b v="0"/>
    <s v="No está en VPC"/>
    <n v="754"/>
    <s v="INTPG_PC_754_1.5-8"/>
    <s v="ISEL-1.8"/>
    <n v="2"/>
    <s v="NO TIENE L3OUT"/>
    <n v="62"/>
    <n v="54"/>
  </r>
  <r>
    <n v="751"/>
    <x v="2"/>
    <x v="60"/>
    <s v="eth1/8"/>
    <x v="0"/>
    <x v="0"/>
    <x v="0"/>
    <s v="trunk17 Bes-Production"/>
    <x v="0"/>
    <b v="0"/>
    <s v="No está en VPC"/>
    <n v="751"/>
    <s v="INTPG_VPC_750_1.5_8_751_1.5_8"/>
    <s v="ISEL-1.8"/>
    <n v="13"/>
    <s v="NO TIENE L3OUT"/>
    <n v="0"/>
    <n v="54"/>
  </r>
  <r>
    <n v="769"/>
    <x v="2"/>
    <x v="61"/>
    <s v="eth1/8"/>
    <x v="0"/>
    <x v="0"/>
    <x v="0"/>
    <s v="OSS_ENM"/>
    <x v="0"/>
    <b v="0"/>
    <s v="No está en VPC"/>
    <n v="769"/>
    <s v="INTPG_ACC_769_1.8"/>
    <s v="ISEL-1.8"/>
    <n v="1"/>
    <s v="NO TIENE L3OUT"/>
    <n v="60"/>
    <n v="54"/>
  </r>
  <r>
    <n v="742"/>
    <x v="2"/>
    <x v="62"/>
    <s v="eth1/8"/>
    <x v="0"/>
    <x v="1"/>
    <x v="1"/>
    <s v="CEM:ITHCEMB2DAT04:FLEXIO P1"/>
    <x v="5"/>
    <b v="0"/>
    <s v="No está en VPC"/>
    <n v="742"/>
    <s v="INTPG_ACC_742_1.8"/>
    <s v="ISEL-1.8"/>
    <n v="1"/>
    <s v="NO TIENE L3OUT"/>
    <n v="64"/>
    <n v="54"/>
  </r>
  <r>
    <n v="763"/>
    <x v="2"/>
    <x v="63"/>
    <s v="eth1/8"/>
    <x v="0"/>
    <x v="0"/>
    <x v="0"/>
    <s v="PAAS:ithhwoscopap008:LOM PORT 3"/>
    <x v="0"/>
    <b v="0"/>
    <s v="No está en VPC"/>
    <n v="763"/>
    <s v="INTPG_VPC_762_1.8_763_1.8"/>
    <s v="ISEL-1.8"/>
    <n v="15"/>
    <s v="NO TIENE L3OUT"/>
    <n v="2"/>
    <n v="54"/>
  </r>
  <r>
    <n v="766"/>
    <x v="2"/>
    <x v="64"/>
    <s v="eth1/8"/>
    <x v="0"/>
    <x v="0"/>
    <x v="0"/>
    <s v="Portchannel_2_R6A"/>
    <x v="0"/>
    <b v="0"/>
    <s v="No está en VPC"/>
    <n v="766"/>
    <s v="INTPG_PC_766_1.7-8"/>
    <s v="ISEL-1.8"/>
    <n v="8"/>
    <s v="NO TIENE L3OUT"/>
    <n v="58"/>
    <n v="54"/>
  </r>
  <r>
    <n v="760"/>
    <x v="2"/>
    <x v="65"/>
    <s v="eth1/8"/>
    <x v="0"/>
    <x v="1"/>
    <x v="1"/>
    <m/>
    <x v="0"/>
    <b v="0"/>
    <s v="No está en VPC"/>
    <n v="760"/>
    <s v="INTPG_VPC_760_1.5-8_761_1.5-8"/>
    <s v="ISEL-1.8"/>
    <n v="0"/>
    <s v="L3OUT-EXACLOUD"/>
    <n v="0"/>
    <n v="54"/>
  </r>
  <r>
    <n v="752"/>
    <x v="2"/>
    <x v="66"/>
    <s v="eth1/8"/>
    <x v="0"/>
    <x v="0"/>
    <x v="0"/>
    <s v="PAAS:ithhwoscopap006:Slot4.1"/>
    <x v="0"/>
    <b v="0"/>
    <s v="No está en VPC"/>
    <n v="752"/>
    <s v="INTPG_VPC_747_1.8_752_1.8"/>
    <s v="ISEL-1.8"/>
    <n v="25"/>
    <s v="NO TIENE L3OUT"/>
    <n v="0"/>
    <n v="54"/>
  </r>
  <r>
    <n v="765"/>
    <x v="2"/>
    <x v="67"/>
    <s v="eth1/8"/>
    <x v="0"/>
    <x v="0"/>
    <x v="0"/>
    <s v="Portchannel_1_R6A"/>
    <x v="0"/>
    <b v="0"/>
    <s v="No está en VPC"/>
    <n v="765"/>
    <s v="INTPG_PC_765_1.7-10"/>
    <s v="ISEL-1.8"/>
    <n v="2"/>
    <s v="NO TIENE L3OUT"/>
    <n v="60"/>
    <n v="54"/>
  </r>
  <r>
    <n v="778"/>
    <x v="2"/>
    <x v="68"/>
    <s v="eth1/8"/>
    <x v="0"/>
    <x v="0"/>
    <x v="0"/>
    <s v="ENIQ F1:itheniqr07ombsr2:LOM PORT 2"/>
    <x v="0"/>
    <b v="0"/>
    <s v="No está en VPC"/>
    <n v="778"/>
    <s v="INTPG_PC_778_1.7-10"/>
    <s v="ISEL-1.8"/>
    <n v="2"/>
    <s v="NO TIENE L3OUT"/>
    <n v="26"/>
    <n v="54"/>
  </r>
  <r>
    <n v="780"/>
    <x v="2"/>
    <x v="69"/>
    <s v="eth1/8"/>
    <x v="0"/>
    <x v="0"/>
    <x v="0"/>
    <s v="LACP_OMBS_ENIQ1"/>
    <x v="0"/>
    <b v="0"/>
    <s v="No está en VPC"/>
    <n v="780"/>
    <s v="INTPG_PC_780_1.7-10"/>
    <s v="ISEL-1.8"/>
    <n v="2"/>
    <s v="NO TIENE L3OUT"/>
    <n v="26"/>
    <n v="54"/>
  </r>
  <r>
    <n v="812"/>
    <x v="2"/>
    <x v="70"/>
    <s v="eth1/8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8"/>
    <x v="0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8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8"/>
    <x v="0"/>
    <x v="0"/>
    <x v="0"/>
    <s v="trunk13 Bes-Production"/>
    <x v="0"/>
    <b v="0"/>
    <s v="No está en VPC"/>
    <n v="749"/>
    <s v="INTPG_VPC_748_1.5_8_749_1.5_8"/>
    <s v="ISEL-1.8"/>
    <n v="14"/>
    <s v="NO TIENE L3OUT"/>
    <n v="4"/>
    <n v="54"/>
  </r>
  <r>
    <n v="824"/>
    <x v="2"/>
    <x v="74"/>
    <s v="eth1/8"/>
    <x v="0"/>
    <x v="0"/>
    <x v="0"/>
    <s v="LINK_TO_ITHFHWCMVWPMA08 /Slot7.2 /Redundante"/>
    <x v="0"/>
    <b v="0"/>
    <s v="No está en VPC"/>
    <n v="824"/>
    <s v="INTPG_ACC_824_1.8"/>
    <s v="ISEL-1.8"/>
    <n v="1"/>
    <s v="NO TIENE L3OUT"/>
    <n v="70"/>
    <n v="54"/>
  </r>
  <r>
    <n v="819"/>
    <x v="2"/>
    <x v="75"/>
    <s v="eth1/8"/>
    <x v="0"/>
    <x v="0"/>
    <x v="0"/>
    <s v="LINK_TO_ITHFHWCMVWPMA08 /Slot5.2 /Principal"/>
    <x v="0"/>
    <b v="0"/>
    <s v="No está en VPC"/>
    <n v="819"/>
    <s v="INTPG_ACC_819_1.8"/>
    <s v="ISEL-1.8"/>
    <n v="1"/>
    <s v="NO TIENE L3OUT"/>
    <n v="70"/>
    <n v="54"/>
  </r>
  <r>
    <n v="737"/>
    <x v="2"/>
    <x v="76"/>
    <s v="eth1/8"/>
    <x v="0"/>
    <x v="0"/>
    <x v="0"/>
    <s v="CEM:ITHCEME2DAT04:FLEXIO P1"/>
    <x v="5"/>
    <b v="0"/>
    <s v="No está en VPC"/>
    <n v="737"/>
    <s v="INTPG_ACC_737_1.8"/>
    <s v="ISEL-1.8"/>
    <n v="1"/>
    <s v="NO TIENE L3OUT"/>
    <n v="72"/>
    <n v="54"/>
  </r>
  <r>
    <n v="844"/>
    <x v="2"/>
    <x v="77"/>
    <s v="eth1/8"/>
    <x v="0"/>
    <x v="0"/>
    <x v="0"/>
    <s v="LINK_TO_ITHFHWCRMPLCN103 / Slot1.2_10 / Principal"/>
    <x v="0"/>
    <b v="0"/>
    <s v="No está en VPC"/>
    <n v="844"/>
    <s v="INTPG_ACC_844_1.8"/>
    <s v="ISEL-1.8"/>
    <n v="2"/>
    <s v="NO TIENE L3OUT"/>
    <n v="282"/>
    <n v="54"/>
  </r>
  <r>
    <n v="843"/>
    <x v="2"/>
    <x v="78"/>
    <s v="eth1/8"/>
    <x v="0"/>
    <x v="0"/>
    <x v="0"/>
    <s v="LINK_To_ITHFHWCBSPSUSBD23 / Slot7.3_4 / Redundante"/>
    <x v="0"/>
    <b v="0"/>
    <s v="No está en VPC"/>
    <n v="843"/>
    <s v="INTPG_VPC_838_1.8_843_1.8"/>
    <s v="ISEL-1.8"/>
    <n v="1"/>
    <s v="NO TIENE L3OUT"/>
    <n v="38"/>
    <n v="54"/>
  </r>
  <r>
    <n v="797"/>
    <x v="2"/>
    <x v="79"/>
    <s v="eth1/8"/>
    <x v="0"/>
    <x v="0"/>
    <x v="0"/>
    <s v="TO-HDPS_10-MSP"/>
    <x v="0"/>
    <b v="0"/>
    <s v="No está en VPC"/>
    <n v="797"/>
    <s v="INTPG_ACC_797_1.8"/>
    <s v="ISEL-1.8"/>
    <n v="1"/>
    <s v="NO TIENE L3OUT"/>
    <n v="48"/>
    <n v="54"/>
  </r>
  <r>
    <n v="839"/>
    <x v="2"/>
    <x v="80"/>
    <s v="eth1/8"/>
    <x v="0"/>
    <x v="0"/>
    <x v="0"/>
    <s v="LINK_TO_ITHFHWCBSPSHD45 / Slot7.2_8 / Redundante"/>
    <x v="0"/>
    <b v="0"/>
    <s v="No está en VPC"/>
    <n v="839"/>
    <s v="INTPG_VPC_834_1.8_839_1.8"/>
    <s v="ISEL-1.8"/>
    <n v="1"/>
    <s v="NO TIENE L3OUT"/>
    <n v="0"/>
    <n v="54"/>
  </r>
  <r>
    <n v="847"/>
    <x v="2"/>
    <x v="81"/>
    <s v="eth1/8"/>
    <x v="0"/>
    <x v="0"/>
    <x v="0"/>
    <s v="LINK_TO_ITHHWD6KV65100018DKC01 / CTMA_IOM1.P0_34 / Principal"/>
    <x v="0"/>
    <b v="0"/>
    <s v="No está en VPC"/>
    <n v="847"/>
    <s v="INTPG_ACC_847_1.8"/>
    <s v="ISEL-1.8"/>
    <n v="1"/>
    <s v="NO TIENE L3OUT"/>
    <n v="204"/>
    <n v="54"/>
  </r>
  <r>
    <n v="848"/>
    <x v="2"/>
    <x v="82"/>
    <s v="eth1/8"/>
    <x v="0"/>
    <x v="0"/>
    <x v="0"/>
    <s v="LINK_TO_ITHFHWCRMPLCN157 / Slot7.1_16 / Redundante"/>
    <x v="0"/>
    <b v="0"/>
    <s v="No está en VPC"/>
    <n v="848"/>
    <s v="INTPG_ACC_848_1.8"/>
    <s v="ISEL-1.8"/>
    <n v="6"/>
    <s v="NO TIENE L3OUT"/>
    <n v="254"/>
    <n v="54"/>
  </r>
  <r>
    <n v="846"/>
    <x v="2"/>
    <x v="83"/>
    <s v="eth1/8"/>
    <x v="0"/>
    <x v="0"/>
    <x v="0"/>
    <s v="LINK_TO_ITHHWD6KV65100011DKC01 / CTMB_IOM0.P0_34 / Principal"/>
    <x v="0"/>
    <b v="0"/>
    <s v="No está en VPC"/>
    <n v="846"/>
    <s v="INTPG_ACC_846_1.8"/>
    <s v="ISEL-1.8"/>
    <n v="1"/>
    <s v="NO TIENE L3OUT"/>
    <n v="242"/>
    <n v="54"/>
  </r>
  <r>
    <n v="838"/>
    <x v="2"/>
    <x v="84"/>
    <s v="eth1/8"/>
    <x v="0"/>
    <x v="0"/>
    <x v="0"/>
    <s v="LINK_To_ITHFHWCBSPSUSBD23 / Slot1.3_4 / Principal"/>
    <x v="0"/>
    <b v="0"/>
    <s v="No está en VPC"/>
    <n v="838"/>
    <s v="INTPG_VPC_838_1.8_843_1.8"/>
    <s v="ISEL-1.8"/>
    <n v="1"/>
    <s v="NO TIENE L3OUT"/>
    <n v="38"/>
    <n v="54"/>
  </r>
  <r>
    <n v="849"/>
    <x v="2"/>
    <x v="85"/>
    <s v="eth1/8"/>
    <x v="0"/>
    <x v="0"/>
    <x v="0"/>
    <s v="LINK_TO_ITHFHWCRMPLCN137 / Slot7.1_8 / Redundante"/>
    <x v="0"/>
    <b v="0"/>
    <s v="No está en VPC"/>
    <n v="849"/>
    <s v="INTPG_ACC_849_1.8"/>
    <s v="ISEL-1.8"/>
    <n v="6"/>
    <s v="NO TIENE L3OUT"/>
    <n v="286"/>
    <n v="54"/>
  </r>
  <r>
    <n v="845"/>
    <x v="2"/>
    <x v="86"/>
    <s v="eth1/8"/>
    <x v="0"/>
    <x v="0"/>
    <x v="0"/>
    <s v="LINK_TO_ITHFHWCRMPSBDA07 / Slot1.3_4 / Principal"/>
    <x v="0"/>
    <b v="0"/>
    <s v="No está en VPC"/>
    <n v="845"/>
    <s v="INTPG_VPC_845_1.8_852_1.8"/>
    <s v="ISEL-1.8"/>
    <n v="1"/>
    <s v="NO TIENE L3OUT"/>
    <n v="258"/>
    <n v="54"/>
  </r>
  <r>
    <n v="873"/>
    <x v="2"/>
    <x v="87"/>
    <s v="eth1/8"/>
    <x v="0"/>
    <x v="0"/>
    <x v="0"/>
    <s v="TO_ITHFHWCRMDLCN55_Principal"/>
    <x v="0"/>
    <b v="0"/>
    <s v="No está en VPC"/>
    <n v="873"/>
    <s v="INTPG_ACC_873_1.8"/>
    <s v="ISEL-1.8"/>
    <n v="1"/>
    <s v="NO TIENE L3OUT"/>
    <n v="248"/>
    <n v="54"/>
  </r>
  <r>
    <n v="864"/>
    <x v="2"/>
    <x v="88"/>
    <s v="eth1/8"/>
    <x v="0"/>
    <x v="0"/>
    <x v="0"/>
    <s v="To_VPC_2DCBSD_HD33_2"/>
    <x v="0"/>
    <b v="0"/>
    <s v="No está en VPC"/>
    <n v="864"/>
    <s v="INTPG_VPC_859_1.8_864_1.8"/>
    <s v="ISEL-1.8"/>
    <n v="1"/>
    <s v="NO TIENE L3OUT"/>
    <n v="0"/>
    <n v="54"/>
  </r>
  <r>
    <n v="836"/>
    <x v="2"/>
    <x v="89"/>
    <s v="eth1/8"/>
    <x v="0"/>
    <x v="0"/>
    <x v="0"/>
    <s v="LINK_TO_ITHFHWCBSPSUSBD37 / Slot1.1_10 / Principal"/>
    <x v="0"/>
    <b v="0"/>
    <s v="No está en VPC"/>
    <n v="836"/>
    <s v="INTPG_VPC_836_1.8_841_1.8"/>
    <s v="ISEL-1.8"/>
    <n v="2"/>
    <s v="NO TIENE L3OUT"/>
    <n v="0"/>
    <n v="54"/>
  </r>
  <r>
    <n v="834"/>
    <x v="2"/>
    <x v="90"/>
    <s v="eth1/8"/>
    <x v="0"/>
    <x v="0"/>
    <x v="0"/>
    <s v="LINK_TO_ITHFHWCBSPSHD45 / Slot1.2_8 / Principal"/>
    <x v="0"/>
    <b v="0"/>
    <s v="No está en VPC"/>
    <n v="834"/>
    <s v="INTPG_VPC_834_1.8_839_1.8"/>
    <s v="ISEL-1.8"/>
    <n v="1"/>
    <s v="NO TIENE L3OUT"/>
    <n v="0"/>
    <n v="54"/>
  </r>
  <r>
    <n v="872"/>
    <x v="2"/>
    <x v="91"/>
    <s v="eth1/8"/>
    <x v="0"/>
    <x v="0"/>
    <x v="0"/>
    <s v="To_ITHFHWCRMDLCN71_Principal"/>
    <x v="0"/>
    <b v="0"/>
    <s v="No está en VPC"/>
    <n v="872"/>
    <s v="INTPG_ACC_872_1.8"/>
    <s v="ISEL-1.8"/>
    <n v="1"/>
    <s v="NO TIENE L3OUT"/>
    <n v="288"/>
    <n v="54"/>
  </r>
  <r>
    <n v="842"/>
    <x v="2"/>
    <x v="92"/>
    <s v="eth1/8"/>
    <x v="0"/>
    <x v="0"/>
    <x v="0"/>
    <s v="LINK_TO_ITHFHWCBSPSUSBD26 / Slot7.1_6 / Redundante"/>
    <x v="0"/>
    <b v="0"/>
    <s v="No está en VPC"/>
    <n v="842"/>
    <s v="INTPG_VPC_837_1.8_842_1.8"/>
    <s v="ISEL-1.8"/>
    <n v="2"/>
    <s v="NO TIENE L3OUT"/>
    <n v="8"/>
    <n v="54"/>
  </r>
  <r>
    <n v="828"/>
    <x v="2"/>
    <x v="93"/>
    <s v="eth1/8"/>
    <x v="0"/>
    <x v="0"/>
    <x v="0"/>
    <s v="LINK_TO_ITHFHWCBSDSWR34 /10GE.1 /Principal"/>
    <x v="0"/>
    <b v="0"/>
    <s v="No está en VPC"/>
    <n v="828"/>
    <s v="INTPG_VPC_828_1.8_832_1.8"/>
    <s v="ISEL-1.8"/>
    <n v="1"/>
    <s v="NO TIENE L3OUT"/>
    <n v="192"/>
    <n v="54"/>
  </r>
  <r>
    <n v="870"/>
    <x v="2"/>
    <x v="94"/>
    <s v="eth1/8"/>
    <x v="0"/>
    <x v="0"/>
    <x v="0"/>
    <s v="TO_ITHFHWCRMDLCN55_Redundante"/>
    <x v="0"/>
    <b v="0"/>
    <s v="No está en VPC"/>
    <n v="870"/>
    <s v="INTPG_ACC_870_1.8"/>
    <s v="ISEL-1.8"/>
    <n v="1"/>
    <s v="NO TIENE L3OUT"/>
    <n v="248"/>
    <n v="54"/>
  </r>
  <r>
    <n v="866"/>
    <x v="2"/>
    <x v="95"/>
    <s v="eth1/8"/>
    <x v="0"/>
    <x v="0"/>
    <x v="0"/>
    <s v="To_VPC_2DCBSD_HD19_1"/>
    <x v="0"/>
    <b v="0"/>
    <s v="No está en VPC"/>
    <n v="866"/>
    <s v="INTPG_VPC_861_1.8_866_1.8"/>
    <s v="ISEL-1.8"/>
    <n v="2"/>
    <s v="NO TIENE L3OUT"/>
    <n v="8"/>
    <n v="54"/>
  </r>
  <r>
    <n v="862"/>
    <x v="2"/>
    <x v="96"/>
    <s v="eth1/8"/>
    <x v="0"/>
    <x v="0"/>
    <x v="0"/>
    <s v="To_ITHHWD6KV65100013DKC01_Principal"/>
    <x v="0"/>
    <b v="0"/>
    <s v="No está en VPC"/>
    <n v="862"/>
    <s v="INTPG_ACC_862_1.8"/>
    <s v="ISEL-1.8"/>
    <n v="1"/>
    <s v="NO TIENE L3OUT"/>
    <n v="44"/>
    <n v="54"/>
  </r>
  <r>
    <n v="855"/>
    <x v="2"/>
    <x v="97"/>
    <s v="eth1/8"/>
    <x v="0"/>
    <x v="0"/>
    <x v="0"/>
    <s v="LINK_TO_ITHFHWCRMPLCN157 / Slot1.1_16 / Principal"/>
    <x v="0"/>
    <b v="0"/>
    <s v="No está en VPC"/>
    <n v="855"/>
    <s v="INTPG_ACC_855_1.8"/>
    <s v="ISEL-1.8"/>
    <n v="6"/>
    <s v="NO TIENE L3OUT"/>
    <n v="254"/>
    <n v="54"/>
  </r>
  <r>
    <n v="871"/>
    <x v="2"/>
    <x v="98"/>
    <s v="eth1/8"/>
    <x v="0"/>
    <x v="0"/>
    <x v="0"/>
    <s v="TO_ITHFHWCRMDLCN83_Principal"/>
    <x v="0"/>
    <b v="0"/>
    <s v="No está en VPC"/>
    <n v="871"/>
    <s v="INTPG_ACC_871_1.8"/>
    <s v="ISEL-1.8"/>
    <n v="2"/>
    <s v="NO TIENE L3OUT"/>
    <n v="246"/>
    <n v="54"/>
  </r>
  <r>
    <n v="841"/>
    <x v="2"/>
    <x v="99"/>
    <s v="eth1/8"/>
    <x v="0"/>
    <x v="0"/>
    <x v="0"/>
    <s v="LINK_TO_ITHFHWCBSPSUSBD37 / Slot7.1_10 / Redundante"/>
    <x v="0"/>
    <b v="0"/>
    <s v="No está en VPC"/>
    <n v="841"/>
    <s v="INTPG_VPC_836_1.8_841_1.8"/>
    <s v="ISEL-1.8"/>
    <n v="2"/>
    <s v="NO TIENE L3OUT"/>
    <n v="0"/>
    <n v="54"/>
  </r>
  <r>
    <n v="868"/>
    <x v="2"/>
    <x v="100"/>
    <s v="eth1/8"/>
    <x v="0"/>
    <x v="0"/>
    <x v="0"/>
    <s v="TO_ITHFHWCRMDLCN83_Redundante"/>
    <x v="0"/>
    <b v="0"/>
    <s v="No está en VPC"/>
    <n v="868"/>
    <s v="INTPG_ACC_868_1.8"/>
    <s v="ISEL-1.8"/>
    <n v="2"/>
    <s v="NO TIENE L3OUT"/>
    <n v="246"/>
    <n v="54"/>
  </r>
  <r>
    <n v="869"/>
    <x v="2"/>
    <x v="101"/>
    <s v="eth1/8"/>
    <x v="0"/>
    <x v="0"/>
    <x v="0"/>
    <s v="To_ITHFHWCRMDLCN71_Redundante"/>
    <x v="0"/>
    <b v="0"/>
    <s v="No está en VPC"/>
    <n v="869"/>
    <s v="INTPG_ACC_869_1.8"/>
    <s v="ISEL-1.8"/>
    <n v="1"/>
    <s v="NO TIENE L3OUT"/>
    <n v="288"/>
    <n v="54"/>
  </r>
  <r>
    <n v="861"/>
    <x v="2"/>
    <x v="102"/>
    <s v="eth1/8"/>
    <x v="0"/>
    <x v="0"/>
    <x v="0"/>
    <s v="To_VPC_2DCBSD_HD19_1"/>
    <x v="0"/>
    <b v="0"/>
    <s v="No está en VPC"/>
    <n v="861"/>
    <s v="INTPG_VPC_861_1.8_866_1.8"/>
    <s v="ISEL-1.8"/>
    <n v="2"/>
    <s v="NO TIENE L3OUT"/>
    <n v="8"/>
    <n v="54"/>
  </r>
  <r>
    <n v="874"/>
    <x v="2"/>
    <x v="103"/>
    <s v="eth1/8"/>
    <x v="0"/>
    <x v="0"/>
    <x v="0"/>
    <s v="LINK_TO_ITHFHWSEQLCAS31 / Slot 5 PTO 1 / Redundante"/>
    <x v="4"/>
    <b v="0"/>
    <s v="No está en VPC"/>
    <n v="874"/>
    <s v="INTPG_ACC_874_1.8"/>
    <s v="ISEL-1.8"/>
    <n v="1"/>
    <s v="NO TIENE L3OUT"/>
    <n v="92"/>
    <n v="54"/>
  </r>
  <r>
    <n v="865"/>
    <x v="2"/>
    <x v="104"/>
    <s v="eth1/8"/>
    <x v="0"/>
    <x v="0"/>
    <x v="0"/>
    <s v="To_VPC_2DCBSD_HD25_2"/>
    <x v="0"/>
    <b v="0"/>
    <s v="No está en VPC"/>
    <n v="865"/>
    <s v="INTPG_VPC_860_1.8_865_1.8"/>
    <s v="ISEL-1.8"/>
    <n v="1"/>
    <s v="NO TIENE L3OUT"/>
    <n v="0"/>
    <n v="54"/>
  </r>
  <r>
    <n v="753"/>
    <x v="2"/>
    <x v="105"/>
    <s v="eth1/8"/>
    <x v="0"/>
    <x v="0"/>
    <x v="0"/>
    <s v="OSS F1:ithenmr04bl03lms1r9b:Slot 2/2"/>
    <x v="0"/>
    <b v="0"/>
    <s v="No está en VPC"/>
    <n v="753"/>
    <s v="INTPG_ACC_753_1.8"/>
    <s v="ISEL-1.8"/>
    <n v="1"/>
    <s v="NO TIENE L3OUT"/>
    <n v="62"/>
    <n v="54"/>
  </r>
  <r>
    <n v="708"/>
    <x v="2"/>
    <x v="106"/>
    <s v="eth1/8"/>
    <x v="0"/>
    <x v="1"/>
    <x v="5"/>
    <s v="CEM:ITHCEME2DAT04:LOM  P2"/>
    <x v="0"/>
    <b v="0"/>
    <s v="No está en VPC"/>
    <n v="708"/>
    <s v="INTPG_VPC_708_1.8_709_1.7"/>
    <s v="ISEL-1.8"/>
    <n v="1"/>
    <s v="NO TIENE L3OUT"/>
    <n v="0"/>
    <n v="54"/>
  </r>
  <r>
    <n v="710"/>
    <x v="2"/>
    <x v="107"/>
    <s v="eth1/8"/>
    <x v="0"/>
    <x v="0"/>
    <x v="0"/>
    <s v="CEM:ITHCEMC2DAT04:LOM  P2"/>
    <x v="0"/>
    <b v="0"/>
    <s v="No está en VPC"/>
    <n v="710"/>
    <s v="INTPG_ACC_710_1.8"/>
    <s v="ISEL-1.8"/>
    <n v="1"/>
    <s v="NO TIENE L3OUT"/>
    <n v="16"/>
    <n v="54"/>
  </r>
  <r>
    <n v="713"/>
    <x v="2"/>
    <x v="108"/>
    <s v="eth1/8"/>
    <x v="0"/>
    <x v="0"/>
    <x v="0"/>
    <s v="CEM:ITHCEMB2DAT04:LOM  P2"/>
    <x v="0"/>
    <b v="0"/>
    <s v="No está en VPC"/>
    <n v="713"/>
    <s v="INTPG_ACC_713_1.8"/>
    <s v="ISEL-1.8"/>
    <n v="1"/>
    <s v="NO TIENE L3OUT"/>
    <n v="32"/>
    <n v="54"/>
  </r>
  <r>
    <n v="735"/>
    <x v="2"/>
    <x v="109"/>
    <s v="eth1/8"/>
    <x v="0"/>
    <x v="1"/>
    <x v="1"/>
    <s v="CEM_HADOOP"/>
    <x v="5"/>
    <b v="0"/>
    <s v="No está en VPC"/>
    <n v="735"/>
    <s v="INTPG_ACC_735_1.8"/>
    <s v="ISEL-1.8"/>
    <n v="1"/>
    <s v="NO TIENE L3OUT"/>
    <n v="34"/>
    <n v="54"/>
  </r>
  <r>
    <n v="731"/>
    <x v="2"/>
    <x v="110"/>
    <s v="eth1/8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8"/>
    <x v="0"/>
    <x v="0"/>
    <x v="0"/>
    <m/>
    <x v="0"/>
    <b v="0"/>
    <s v="No está en VPC"/>
    <n v="703"/>
    <s v="INTPG_VPC_704_1.7_703_1.8"/>
    <s v="ISEL-1.8"/>
    <n v="1"/>
    <s v="NO TIENE L3OUT"/>
    <n v="2"/>
    <n v="54"/>
  </r>
  <r>
    <n v="706"/>
    <x v="2"/>
    <x v="112"/>
    <s v="eth1/8"/>
    <x v="0"/>
    <x v="0"/>
    <x v="0"/>
    <m/>
    <x v="0"/>
    <b v="0"/>
    <s v="No está en VPC"/>
    <n v="706"/>
    <s v="INTPG_VPC_705_1.7_706_1.8"/>
    <s v="ISEL-1.8"/>
    <n v="2"/>
    <s v="NO TIENE L3OUT"/>
    <n v="16"/>
    <n v="54"/>
  </r>
  <r>
    <n v="762"/>
    <x v="2"/>
    <x v="113"/>
    <s v="eth1/8"/>
    <x v="0"/>
    <x v="0"/>
    <x v="0"/>
    <s v="PAAS:ithhwoscopap008:FlexIO.1"/>
    <x v="0"/>
    <b v="0"/>
    <s v="No está en VPC"/>
    <n v="762"/>
    <s v="INTPG_VPC_762_1.8_763_1.8"/>
    <s v="ISEL-1.8"/>
    <n v="15"/>
    <s v="NO TIENE L3OUT"/>
    <n v="0"/>
    <n v="54"/>
  </r>
  <r>
    <n v="814"/>
    <x v="2"/>
    <x v="114"/>
    <s v="eth1/8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8"/>
    <x v="0"/>
    <x v="0"/>
    <x v="0"/>
    <s v="HACIA_CSI-B-OSCP-F4-12_PRIMARIO"/>
    <x v="4"/>
    <b v="0"/>
    <s v="No está en VPC"/>
    <n v="878"/>
    <s v="INTPG_VPC_878_1.8_879_1.8"/>
    <s v="ISEL-1.8"/>
    <n v="2"/>
    <s v="NO TIENE L3OUT"/>
    <n v="0"/>
    <n v="54"/>
  </r>
  <r>
    <n v="826"/>
    <x v="2"/>
    <x v="116"/>
    <s v="eth1/8"/>
    <x v="0"/>
    <x v="0"/>
    <x v="0"/>
    <s v="LINK_TO_ITHFHWCBSDSUSBD06 /10GE.1 /Principal"/>
    <x v="0"/>
    <b v="0"/>
    <s v="No está en VPC"/>
    <n v="826"/>
    <s v="INTPG_VPC_826_1.8_830_1.8"/>
    <s v="ISEL-1.8"/>
    <n v="1"/>
    <s v="NO TIENE L3OUT"/>
    <n v="12"/>
    <n v="54"/>
  </r>
  <r>
    <n v="726"/>
    <x v="2"/>
    <x v="117"/>
    <s v="eth1/8"/>
    <x v="0"/>
    <x v="0"/>
    <x v="0"/>
    <s v="DESC"/>
    <x v="0"/>
    <b v="0"/>
    <s v="No está en VPC"/>
    <n v="726"/>
    <s v="INTPG_PC_726_1.7-8"/>
    <s v="ISEL-1.8"/>
    <n v="0"/>
    <s v="L3OUT-HCS-MGMT-TELCEL-IPCORP"/>
    <n v="0"/>
    <n v="54"/>
  </r>
  <r>
    <n v="740"/>
    <x v="2"/>
    <x v="118"/>
    <s v="eth1/8"/>
    <x v="0"/>
    <x v="0"/>
    <x v="0"/>
    <s v="CEM:ITHCEMD2DAT04:FLEXIO P1"/>
    <x v="5"/>
    <b v="0"/>
    <s v="No está en VPC"/>
    <n v="740"/>
    <s v="INTPG_ACC_740_1.8"/>
    <s v="ISEL-1.8"/>
    <n v="1"/>
    <s v="NO TIENE L3OUT"/>
    <n v="72"/>
    <n v="54"/>
  </r>
  <r>
    <n v="705"/>
    <x v="2"/>
    <x v="119"/>
    <s v="eth1/8"/>
    <x v="0"/>
    <x v="0"/>
    <x v="0"/>
    <s v="ITHCEMA1DAT04-LOM-P2"/>
    <x v="0"/>
    <b v="0"/>
    <s v="No está en VPC"/>
    <n v="705"/>
    <s v="INTPG_ACC_705_1.8"/>
    <s v="ISEL-1.8"/>
    <n v="1"/>
    <s v="NO TIENE L3OUT"/>
    <n v="16"/>
    <n v="54"/>
  </r>
  <r>
    <n v="723"/>
    <x v="2"/>
    <x v="120"/>
    <s v="eth1/8"/>
    <x v="0"/>
    <x v="0"/>
    <x v="0"/>
    <m/>
    <x v="0"/>
    <b v="0"/>
    <s v="No está en VPC"/>
    <n v="723"/>
    <s v="INTPG-VPC_HDD130_722_1.7_723_1.8"/>
    <s v="ISEL-1.8"/>
    <n v="1"/>
    <s v="NO TIENE L3OUT"/>
    <n v="0"/>
    <n v="54"/>
  </r>
  <r>
    <n v="721"/>
    <x v="2"/>
    <x v="121"/>
    <s v="eth1/8"/>
    <x v="0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8"/>
    <x v="0"/>
    <x v="0"/>
    <x v="0"/>
    <s v="TO-ITHFHPMEDIRAP05"/>
    <x v="0"/>
    <b v="0"/>
    <s v="No está en VPC"/>
    <n v="788"/>
    <s v="INTPG_VPC_788_1.7-8_789_1.7-8"/>
    <s v="ISEL-1.8"/>
    <n v="2"/>
    <s v="NO TIENE L3OUT"/>
    <n v="4"/>
    <n v="54"/>
  </r>
  <r>
    <n v="732"/>
    <x v="2"/>
    <x v="123"/>
    <s v="eth1/8"/>
    <x v="0"/>
    <x v="0"/>
    <x v="0"/>
    <s v="eth-trunk 22 fase 2 bes"/>
    <x v="0"/>
    <b v="0"/>
    <s v="No está en VPC"/>
    <n v="732"/>
    <s v="INTPG_VPC_732_1.5_8_733_1.5_8"/>
    <s v="ISEL-1.8"/>
    <n v="9"/>
    <s v="NO TIENE L3OUT"/>
    <n v="0"/>
    <n v="54"/>
  </r>
  <r>
    <n v="720"/>
    <x v="2"/>
    <x v="124"/>
    <s v="eth1/8"/>
    <x v="0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8"/>
    <x v="0"/>
    <x v="1"/>
    <x v="5"/>
    <s v="CEM:ITHCEMF2DAT04:LOM  P2"/>
    <x v="0"/>
    <b v="0"/>
    <s v="No está en VPC"/>
    <n v="709"/>
    <s v="INTPG_VPC_708_1.7_709_1.8"/>
    <s v="ISEL-1.8"/>
    <n v="1"/>
    <s v="NO TIENE L3OUT"/>
    <n v="0"/>
    <n v="54"/>
  </r>
  <r>
    <n v="454"/>
    <x v="1"/>
    <x v="126"/>
    <s v="eth1/8"/>
    <x v="0"/>
    <x v="0"/>
    <x v="0"/>
    <s v="HACIA_CSI-B-OSCP-F4-08_PRIMARIO"/>
    <x v="4"/>
    <b v="0"/>
    <s v="No está en VPC"/>
    <n v="454"/>
    <s v="INTPG_VPC_454_1.8_456_1.8"/>
    <s v="ISEL-1.8"/>
    <n v="2"/>
    <s v="NO TIENE L3OUT"/>
    <n v="4"/>
    <n v="54"/>
  </r>
  <r>
    <n v="734"/>
    <x v="2"/>
    <x v="127"/>
    <s v="eth1/8"/>
    <x v="0"/>
    <x v="1"/>
    <x v="1"/>
    <s v="CEM:ITHCEMA1DAT04:FLEXIO P1"/>
    <x v="5"/>
    <b v="0"/>
    <s v="No está en VPC"/>
    <n v="734"/>
    <s v="INTPG_ACC_734_1.8"/>
    <s v="ISEL-1.8"/>
    <n v="1"/>
    <s v="NO TIENE L3OUT"/>
    <n v="32"/>
    <n v="54"/>
  </r>
  <r>
    <n v="815"/>
    <x v="2"/>
    <x v="128"/>
    <s v="eth1/8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8"/>
    <x v="0"/>
    <x v="0"/>
    <x v="0"/>
    <s v="trunk21 Bes-Production"/>
    <x v="0"/>
    <b v="0"/>
    <s v="No está en VPC"/>
    <n v="743"/>
    <s v="INTPG_VPC_743_1.5_8_744_1.5_8"/>
    <s v="ISEL-1.8"/>
    <n v="13"/>
    <s v="NO TIENE L3OUT"/>
    <n v="4"/>
    <n v="54"/>
  </r>
  <r>
    <n v="718"/>
    <x v="2"/>
    <x v="130"/>
    <s v="eth1/8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8"/>
    <x v="0"/>
    <x v="0"/>
    <x v="0"/>
    <s v="trunk21 Bes-Production"/>
    <x v="0"/>
    <b v="0"/>
    <s v="No está en VPC"/>
    <n v="744"/>
    <s v="INTPG_VPC_743_1.5_8_744_1.5_8"/>
    <s v="ISEL-1.8"/>
    <n v="13"/>
    <s v="NO TIENE L3OUT"/>
    <n v="4"/>
    <n v="54"/>
  </r>
  <r>
    <n v="741"/>
    <x v="2"/>
    <x v="132"/>
    <s v="eth1/8"/>
    <x v="0"/>
    <x v="1"/>
    <x v="1"/>
    <s v="CEM:ITHCEMA2DAT04:FLEXIO P1"/>
    <x v="5"/>
    <b v="0"/>
    <s v="No está en VPC"/>
    <n v="741"/>
    <s v="INTPG_ACC_741_1.8"/>
    <s v="ISEL-1.8"/>
    <n v="1"/>
    <s v="NO TIENE L3OUT"/>
    <n v="62"/>
    <n v="54"/>
  </r>
  <r>
    <n v="787"/>
    <x v="2"/>
    <x v="133"/>
    <s v="eth1/8"/>
    <x v="0"/>
    <x v="0"/>
    <x v="0"/>
    <s v="ENIQ F2:itheniqr16bl03ombsr4a:LOM PORT 2"/>
    <x v="0"/>
    <b v="0"/>
    <s v="No está en VPC"/>
    <n v="787"/>
    <s v="INTPG_PC_787_1.7-10"/>
    <s v="ISEL-1.8"/>
    <n v="2"/>
    <s v="NO TIENE L3OUT"/>
    <n v="26"/>
    <n v="54"/>
  </r>
  <r>
    <n v="750"/>
    <x v="2"/>
    <x v="134"/>
    <s v="eth1/8"/>
    <x v="0"/>
    <x v="0"/>
    <x v="0"/>
    <s v="trunk17 Bes-Production"/>
    <x v="0"/>
    <b v="0"/>
    <s v="No está en VPC"/>
    <n v="750"/>
    <s v="INTPG_VPC_750_1.5_8_751_1.5_8"/>
    <s v="ISEL-1.8"/>
    <n v="13"/>
    <s v="NO TIENE L3OUT"/>
    <n v="2"/>
    <n v="54"/>
  </r>
  <r>
    <n v="792"/>
    <x v="2"/>
    <x v="135"/>
    <s v="eth1/8"/>
    <x v="0"/>
    <x v="0"/>
    <x v="0"/>
    <s v="CRM, CBS:PR-R10-F07:X2-10GE 2"/>
    <x v="0"/>
    <b v="0"/>
    <s v="No está en VPC"/>
    <n v="792"/>
    <s v="INTPG_VPC_757_1.8-9_792_1.8-9"/>
    <s v="ISEL-1.8"/>
    <n v="6"/>
    <s v="NO TIENE L3OUT"/>
    <n v="0"/>
    <n v="54"/>
  </r>
  <r>
    <n v="736"/>
    <x v="2"/>
    <x v="136"/>
    <s v="eth1/8"/>
    <x v="0"/>
    <x v="1"/>
    <x v="3"/>
    <s v="CEM:ITHCEMG2DAT04:SLOT1 P1"/>
    <x v="0"/>
    <b v="0"/>
    <s v="No está en VPC"/>
    <n v="736"/>
    <s v="INTPG_ACC_736_1.8"/>
    <s v="ISEL-1.8"/>
    <n v="1"/>
    <s v="NO TIENE L3OUT"/>
    <n v="48"/>
    <n v="54"/>
  </r>
  <r>
    <n v="799"/>
    <x v="2"/>
    <x v="137"/>
    <s v="eth1/8"/>
    <x v="0"/>
    <x v="0"/>
    <x v="0"/>
    <s v="TO-IMC_PS22-MSP"/>
    <x v="0"/>
    <b v="0"/>
    <s v="No está en VPC"/>
    <n v="799"/>
    <s v="INTPG_ACC_799_1.8"/>
    <s v="ISEL-1.8"/>
    <n v="1"/>
    <s v="NO TIENE L3OUT"/>
    <n v="52"/>
    <n v="54"/>
  </r>
  <r>
    <n v="768"/>
    <x v="2"/>
    <x v="138"/>
    <s v="eth1/8"/>
    <x v="0"/>
    <x v="0"/>
    <x v="0"/>
    <s v="Portchannel_1_R3"/>
    <x v="0"/>
    <b v="0"/>
    <s v="No está en VPC"/>
    <n v="768"/>
    <s v="INTPG_PC_768_1.7-10"/>
    <s v="ISEL-1.8"/>
    <n v="2"/>
    <s v="NO TIENE L3OUT"/>
    <n v="62"/>
    <n v="54"/>
  </r>
  <r>
    <n v="714"/>
    <x v="2"/>
    <x v="139"/>
    <s v="eth1/8"/>
    <x v="0"/>
    <x v="0"/>
    <x v="0"/>
    <s v="TO-ITHFHWVRALCN07"/>
    <x v="0"/>
    <b v="0"/>
    <s v="No está en VPC"/>
    <n v="714"/>
    <s v="INTPG_VPC_714_1.8_721_1.7"/>
    <s v="ISEL-1.8"/>
    <n v="108"/>
    <s v="NO TIENE L3OUT"/>
    <n v="20"/>
    <n v="54"/>
  </r>
  <r>
    <n v="717"/>
    <x v="2"/>
    <x v="140"/>
    <s v="eth1/8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8"/>
    <x v="0"/>
    <x v="0"/>
    <x v="0"/>
    <s v="TO-ITHFHPMEDIRAP05"/>
    <x v="0"/>
    <b v="0"/>
    <s v="No está en VPC"/>
    <n v="789"/>
    <s v="INTPG_VPC_788_1.7-8_789_1.7-8"/>
    <s v="ISEL-1.8"/>
    <n v="2"/>
    <s v="NO TIENE L3OUT"/>
    <n v="0"/>
    <n v="54"/>
  </r>
  <r>
    <n v="764"/>
    <x v="2"/>
    <x v="142"/>
    <s v="eth1/8"/>
    <x v="0"/>
    <x v="0"/>
    <x v="0"/>
    <s v="Portchannel_1_R1"/>
    <x v="0"/>
    <b v="0"/>
    <s v="No está en VPC"/>
    <n v="764"/>
    <s v="INTPG_PC_764_1.7-10"/>
    <s v="ISEL-1.8"/>
    <n v="2"/>
    <s v="NO TIENE L3OUT"/>
    <n v="62"/>
    <n v="54"/>
  </r>
  <r>
    <n v="783"/>
    <x v="2"/>
    <x v="143"/>
    <s v="eth1/8"/>
    <x v="0"/>
    <x v="0"/>
    <x v="0"/>
    <s v="LACP_OMBS_ENIQ9A"/>
    <x v="0"/>
    <b v="0"/>
    <s v="No está en VPC"/>
    <n v="783"/>
    <s v="INTPG_PC_783_1.7-10"/>
    <s v="ISEL-1.8"/>
    <n v="2"/>
    <s v="NO TIENE L3OUT"/>
    <n v="26"/>
    <n v="54"/>
  </r>
  <r>
    <n v="774"/>
    <x v="2"/>
    <x v="144"/>
    <s v="eth1/8"/>
    <x v="0"/>
    <x v="0"/>
    <x v="0"/>
    <s v="CLOUD PASS PAYG F3:ITHHWOSCOPAP025:LOM P3"/>
    <x v="0"/>
    <b v="0"/>
    <s v="No está en VPC"/>
    <n v="774"/>
    <s v="INTPG_VPC_774_1.8_775_1.8"/>
    <s v="ISEL-1.8"/>
    <n v="23"/>
    <s v="NO TIENE L3OUT"/>
    <n v="0"/>
    <n v="54"/>
  </r>
  <r>
    <n v="773"/>
    <x v="2"/>
    <x v="145"/>
    <s v="eth1/8"/>
    <x v="0"/>
    <x v="0"/>
    <x v="0"/>
    <s v="OSS_ENM"/>
    <x v="0"/>
    <b v="0"/>
    <s v="No está en VPC"/>
    <n v="773"/>
    <s v="INTPG_ACC_773_1.8"/>
    <s v="ISEL-1.8"/>
    <n v="1"/>
    <s v="NO TIENE L3OUT"/>
    <n v="78"/>
    <n v="54"/>
  </r>
  <r>
    <n v="794"/>
    <x v="2"/>
    <x v="146"/>
    <s v="eth1/8"/>
    <x v="0"/>
    <x v="0"/>
    <x v="0"/>
    <s v="TO-IXTFDLBKP4RAP04-REDUNDANTE_POWEREDGE"/>
    <x v="0"/>
    <b v="0"/>
    <s v="No está en VPC"/>
    <n v="794"/>
    <s v="INTPG_ACC_794_1.8"/>
    <s v="ISEL-1.8"/>
    <n v="1"/>
    <s v="NO TIENE L3OUT"/>
    <n v="12"/>
    <n v="54"/>
  </r>
  <r>
    <n v="803"/>
    <x v="2"/>
    <x v="147"/>
    <s v="eth1/8"/>
    <x v="0"/>
    <x v="0"/>
    <x v="0"/>
    <s v="TO-HDPS_34-MSP"/>
    <x v="0"/>
    <b v="0"/>
    <s v="No está en VPC"/>
    <n v="803"/>
    <s v="INTPG_ACC_803_1.8"/>
    <s v="ISEL-1.8"/>
    <n v="1"/>
    <s v="NO TIENE L3OUT"/>
    <n v="48"/>
    <n v="54"/>
  </r>
  <r>
    <n v="786"/>
    <x v="2"/>
    <x v="148"/>
    <s v="eth1/8"/>
    <x v="0"/>
    <x v="0"/>
    <x v="0"/>
    <s v="ENIQ F2:itheniqr14bl03ombsr4b:LOM PORT 2"/>
    <x v="0"/>
    <b v="0"/>
    <s v="No está en VPC"/>
    <n v="786"/>
    <s v="INTPG_PC_786_1.7-10"/>
    <s v="ISEL-1.8"/>
    <n v="2"/>
    <s v="NO TIENE L3OUT"/>
    <n v="26"/>
    <n v="54"/>
  </r>
  <r>
    <n v="757"/>
    <x v="2"/>
    <x v="149"/>
    <s v="eth1/8"/>
    <x v="0"/>
    <x v="0"/>
    <x v="0"/>
    <s v="CRM, CBS:ITHHWBESRK10CH1:X2-10GE 1"/>
    <x v="0"/>
    <b v="0"/>
    <s v="No está en VPC"/>
    <n v="757"/>
    <s v="INTPG_VPC_757_1.8-9_792_1.8-9"/>
    <s v="ISEL-1.8"/>
    <n v="6"/>
    <s v="NO TIENE L3OUT"/>
    <n v="0"/>
    <n v="54"/>
  </r>
  <r>
    <n v="781"/>
    <x v="2"/>
    <x v="150"/>
    <s v="eth1/8"/>
    <x v="0"/>
    <x v="0"/>
    <x v="0"/>
    <s v="LACP_OMBS_ENIQ9C"/>
    <x v="0"/>
    <b v="0"/>
    <s v="No está en VPC"/>
    <n v="781"/>
    <s v="INTPG_PC_781_1.7-10"/>
    <s v="ISEL-1.8"/>
    <n v="2"/>
    <s v="NO TIENE L3OUT"/>
    <n v="26"/>
    <n v="54"/>
  </r>
  <r>
    <n v="793"/>
    <x v="2"/>
    <x v="151"/>
    <s v="eth1/8"/>
    <x v="0"/>
    <x v="0"/>
    <x v="0"/>
    <s v="TO-IXTFDLBKP4RAP04-PRINCIPAL_POWEREDGE"/>
    <x v="0"/>
    <b v="0"/>
    <s v="No está en VPC"/>
    <n v="793"/>
    <s v="INTPG_ACC_793_1.8"/>
    <s v="ISEL-1.8"/>
    <n v="1"/>
    <s v="NO TIENE L3OUT"/>
    <n v="12"/>
    <n v="54"/>
  </r>
  <r>
    <n v="747"/>
    <x v="2"/>
    <x v="152"/>
    <s v="eth1/8"/>
    <x v="0"/>
    <x v="0"/>
    <x v="0"/>
    <s v="PAAS:ithhwoscopap008:LOM PORT 1"/>
    <x v="0"/>
    <b v="0"/>
    <s v="No está en VPC"/>
    <n v="747"/>
    <s v="INTPG_VPC_747_1.8_752_1.8"/>
    <s v="ISEL-1.8"/>
    <n v="25"/>
    <s v="NO TIENE L3OUT"/>
    <n v="0"/>
    <n v="54"/>
  </r>
  <r>
    <n v="784"/>
    <x v="2"/>
    <x v="153"/>
    <s v="eth1/8"/>
    <x v="0"/>
    <x v="0"/>
    <x v="0"/>
    <s v="ENIQ F2:itheniqr12bl03ombsr6b:LOM PORT 2"/>
    <x v="0"/>
    <b v="0"/>
    <s v="No está en VPC"/>
    <n v="784"/>
    <s v="INTPG_PC_784_1.7-10"/>
    <s v="ISEL-1.8"/>
    <n v="2"/>
    <s v="NO TIENE L3OUT"/>
    <n v="26"/>
    <n v="54"/>
  </r>
  <r>
    <n v="806"/>
    <x v="2"/>
    <x v="154"/>
    <s v="eth1/8"/>
    <x v="0"/>
    <x v="0"/>
    <x v="0"/>
    <s v="TO-HDPS_58-MSP"/>
    <x v="0"/>
    <b v="0"/>
    <s v="No está en VPC"/>
    <n v="806"/>
    <s v="INTPG_ACC_806_1.8"/>
    <s v="ISEL-1.8"/>
    <n v="1"/>
    <s v="NO TIENE L3OUT"/>
    <n v="44"/>
    <n v="54"/>
  </r>
  <r>
    <n v="777"/>
    <x v="2"/>
    <x v="155"/>
    <s v="eth1/8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8"/>
    <x v="0"/>
    <x v="0"/>
    <x v="0"/>
    <s v="Portchannel_2_R4B"/>
    <x v="0"/>
    <b v="0"/>
    <s v="No está en VPC"/>
    <n v="770"/>
    <s v="INTPG_PC_770_1.7-8"/>
    <s v="ISEL-1.8"/>
    <n v="8"/>
    <s v="NO TIENE L3OUT"/>
    <n v="60"/>
    <n v="54"/>
  </r>
  <r>
    <n v="813"/>
    <x v="2"/>
    <x v="157"/>
    <s v="eth1/8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8"/>
    <x v="0"/>
    <x v="1"/>
    <x v="1"/>
    <s v="CEM:ITHCEMC2DAT04:FLEXIO P1"/>
    <x v="5"/>
    <b v="0"/>
    <s v="No está en VPC"/>
    <n v="739"/>
    <s v="INTPG_ACC_739_1.8"/>
    <s v="ISEL-1.8"/>
    <n v="1"/>
    <s v="NO TIENE L3OUT"/>
    <n v="72"/>
    <n v="54"/>
  </r>
  <r>
    <n v="775"/>
    <x v="2"/>
    <x v="159"/>
    <s v="eth1/8"/>
    <x v="0"/>
    <x v="0"/>
    <x v="0"/>
    <s v="CLOUD PASS PAYG F3:ITHHWOSCOPAP025:FLEX I/O P1"/>
    <x v="0"/>
    <b v="0"/>
    <s v="No está en VPC"/>
    <n v="775"/>
    <s v="INTPG_VPC_774_1.8_775_1.8"/>
    <s v="ISEL-1.8"/>
    <n v="23"/>
    <s v="NO TIENE L3OUT"/>
    <n v="0"/>
    <n v="54"/>
  </r>
  <r>
    <n v="791"/>
    <x v="2"/>
    <x v="160"/>
    <s v="eth1/8"/>
    <x v="0"/>
    <x v="0"/>
    <x v="0"/>
    <s v="LINK_TO_ITHEMCPS5200TWPT3 / Nodo A IOM 1.1_04 / Redundante"/>
    <x v="0"/>
    <b v="0"/>
    <s v="No está en VPC"/>
    <n v="791"/>
    <s v="INTPG_ACC_791_1.8"/>
    <s v="ISEL-1.8"/>
    <n v="2"/>
    <s v="NO TIENE L3OUT"/>
    <n v="20"/>
    <n v="54"/>
  </r>
  <r>
    <n v="808"/>
    <x v="2"/>
    <x v="161"/>
    <s v="eth1/8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8"/>
    <x v="0"/>
    <x v="0"/>
    <x v="0"/>
    <s v="LINK_TO_ITHFHWCBSDSUSBD06 /Slot5.1 /Redundante"/>
    <x v="0"/>
    <b v="0"/>
    <s v="No está en VPC"/>
    <n v="830"/>
    <s v="INTPG_VPC_826_1.8_830_1.8"/>
    <s v="ISEL-1.8"/>
    <n v="1"/>
    <s v="NO TIENE L3OUT"/>
    <n v="12"/>
    <n v="54"/>
  </r>
  <r>
    <n v="821"/>
    <x v="2"/>
    <x v="163"/>
    <s v="eth1/8"/>
    <x v="0"/>
    <x v="0"/>
    <x v="0"/>
    <s v="LINK_TO_ITHFHWCBSPSUSBD11 /Slot5.1 /Redundante"/>
    <x v="0"/>
    <b v="0"/>
    <s v="No está en VPC"/>
    <n v="821"/>
    <s v="INTPG_VPC_816_1.8_821_1.8"/>
    <s v="ISEL-1.8"/>
    <n v="1"/>
    <s v="NO TIENE L3OUT"/>
    <n v="0"/>
    <n v="54"/>
  </r>
  <r>
    <n v="738"/>
    <x v="2"/>
    <x v="164"/>
    <s v="eth1/8"/>
    <x v="0"/>
    <x v="0"/>
    <x v="0"/>
    <s v="CEM:ITHCEMF2DAT04:FLEXIO P1"/>
    <x v="5"/>
    <b v="0"/>
    <s v="No está en VPC"/>
    <n v="738"/>
    <s v="INTPG_ACC_738_1.8"/>
    <s v="ISEL-1.8"/>
    <n v="1"/>
    <s v="NO TIENE L3OUT"/>
    <n v="72"/>
    <n v="54"/>
  </r>
  <r>
    <n v="820"/>
    <x v="2"/>
    <x v="165"/>
    <s v="eth1/8"/>
    <x v="0"/>
    <x v="0"/>
    <x v="0"/>
    <s v="LINK_TO_ITHHWCRMPEN02 /X2-10GE 6 /Redundante"/>
    <x v="0"/>
    <b v="0"/>
    <s v="No está en VPC"/>
    <n v="820"/>
    <s v="INTPG_VPC_820_1.7-8_10-11_825_1.7-8_10-11"/>
    <s v="ISEL-1.8"/>
    <n v="1"/>
    <s v="NO TIENE L3OUT"/>
    <n v="72"/>
    <n v="54"/>
  </r>
  <r>
    <n v="804"/>
    <x v="2"/>
    <x v="166"/>
    <s v="eth1/8"/>
    <x v="0"/>
    <x v="0"/>
    <x v="0"/>
    <s v="TO-HDPS_34-MSP"/>
    <x v="0"/>
    <b v="0"/>
    <s v="No está en VPC"/>
    <n v="804"/>
    <s v="INTPG_ACC_804_1.8"/>
    <s v="ISEL-1.8"/>
    <n v="1"/>
    <s v="NO TIENE L3OUT"/>
    <n v="48"/>
    <n v="54"/>
  </r>
  <r>
    <n v="779"/>
    <x v="2"/>
    <x v="167"/>
    <s v="eth1/8"/>
    <x v="0"/>
    <x v="0"/>
    <x v="0"/>
    <s v="ENIQ F1:itheniqr08ombsr3:LOM PORT 2"/>
    <x v="0"/>
    <b v="0"/>
    <s v="No está en VPC"/>
    <n v="779"/>
    <s v="INTPG_PC_779_1.7-10"/>
    <s v="ISEL-1.8"/>
    <n v="2"/>
    <s v="NO TIENE L3OUT"/>
    <n v="30"/>
    <n v="54"/>
  </r>
  <r>
    <n v="767"/>
    <x v="2"/>
    <x v="168"/>
    <s v="eth1/8"/>
    <x v="0"/>
    <x v="0"/>
    <x v="0"/>
    <s v="OSS_ENM"/>
    <x v="0"/>
    <b v="0"/>
    <s v="No está en VPC"/>
    <n v="767"/>
    <s v="INTPG_ACC_767_1.8"/>
    <s v="ISEL-1.8"/>
    <n v="1"/>
    <s v="NO TIENE L3OUT"/>
    <n v="60"/>
    <n v="54"/>
  </r>
  <r>
    <n v="827"/>
    <x v="2"/>
    <x v="169"/>
    <s v="eth1/8"/>
    <x v="0"/>
    <x v="0"/>
    <x v="0"/>
    <s v="LINK_TO_ITHFHWCBSDSUSBD08 /Slot5.2 /Principal"/>
    <x v="0"/>
    <b v="0"/>
    <s v="No está en VPC"/>
    <n v="827"/>
    <s v="INTPG_VPC_827_1.8_831_1.8"/>
    <s v="ISEL-1.8"/>
    <n v="2"/>
    <s v="NO TIENE L3OUT"/>
    <n v="14"/>
    <n v="54"/>
  </r>
  <r>
    <n v="809"/>
    <x v="2"/>
    <x v="170"/>
    <s v="eth1/8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8"/>
    <x v="0"/>
    <x v="0"/>
    <x v="0"/>
    <s v="Portchannel_1_R4B"/>
    <x v="0"/>
    <b v="0"/>
    <s v="No está en VPC"/>
    <n v="771"/>
    <s v="INTPG_PC_771_1.7-10"/>
    <s v="ISEL-1.8"/>
    <n v="2"/>
    <s v="NO TIENE L3OUT"/>
    <n v="62"/>
    <n v="54"/>
  </r>
  <r>
    <n v="761"/>
    <x v="2"/>
    <x v="172"/>
    <s v="eth1/8"/>
    <x v="0"/>
    <x v="1"/>
    <x v="1"/>
    <m/>
    <x v="0"/>
    <b v="0"/>
    <s v="No está en VPC"/>
    <n v="761"/>
    <s v="INTPG_VPC_760_1.5-8_761_1.5-8"/>
    <s v="ISEL-1.8"/>
    <n v="0"/>
    <s v="L3OUT-EXACLOUD"/>
    <n v="0"/>
    <n v="54"/>
  </r>
  <r>
    <n v="776"/>
    <x v="2"/>
    <x v="173"/>
    <s v="eth1/8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8"/>
    <x v="0"/>
    <x v="0"/>
    <x v="0"/>
    <s v="TO-HDPS_58-MSP"/>
    <x v="0"/>
    <b v="0"/>
    <s v="No está en VPC"/>
    <n v="805"/>
    <s v="INTPG_ACC_805_1.8"/>
    <s v="ISEL-1.8"/>
    <n v="1"/>
    <s v="NO TIENE L3OUT"/>
    <n v="44"/>
    <n v="54"/>
  </r>
  <r>
    <n v="772"/>
    <x v="2"/>
    <x v="175"/>
    <s v="eth1/8"/>
    <x v="0"/>
    <x v="0"/>
    <x v="0"/>
    <s v="Portchannel_1_R2"/>
    <x v="0"/>
    <b v="0"/>
    <s v="No está en VPC"/>
    <n v="772"/>
    <s v="INTPG_PC_772_1.7-10"/>
    <s v="ISEL-1.8"/>
    <n v="2"/>
    <s v="NO TIENE L3OUT"/>
    <n v="82"/>
    <n v="54"/>
  </r>
  <r>
    <n v="785"/>
    <x v="2"/>
    <x v="176"/>
    <s v="eth1/8"/>
    <x v="0"/>
    <x v="0"/>
    <x v="0"/>
    <s v="ENIQ F2:itheniqr13bl03ombsr6a:LOM PORT 2"/>
    <x v="0"/>
    <b v="0"/>
    <s v="No está en VPC"/>
    <n v="785"/>
    <s v="INTPG_PC_785_1.7-10"/>
    <s v="ISEL-1.8"/>
    <n v="2"/>
    <s v="NO TIENE L3OUT"/>
    <n v="32"/>
    <n v="54"/>
  </r>
  <r>
    <n v="851"/>
    <x v="2"/>
    <x v="177"/>
    <s v="eth1/8"/>
    <x v="0"/>
    <x v="0"/>
    <x v="0"/>
    <s v="LINK_TO_ITHFHWCRMPLCN103 / Slot7.2_10 / Redundante"/>
    <x v="0"/>
    <b v="0"/>
    <s v="No está en VPC"/>
    <n v="851"/>
    <s v="INTPG_ACC_851_1.8"/>
    <s v="ISEL-1.8"/>
    <n v="2"/>
    <s v="NO TIENE L3OUT"/>
    <n v="282"/>
    <n v="54"/>
  </r>
  <r>
    <n v="798"/>
    <x v="2"/>
    <x v="178"/>
    <s v="eth1/8"/>
    <x v="0"/>
    <x v="0"/>
    <x v="0"/>
    <s v="TO-IMC_PS22-MSP"/>
    <x v="0"/>
    <b v="0"/>
    <s v="No está en VPC"/>
    <n v="798"/>
    <s v="INTPG_ACC_798_1.8"/>
    <s v="ISEL-1.8"/>
    <n v="1"/>
    <s v="NO TIENE L3OUT"/>
    <n v="52"/>
    <n v="54"/>
  </r>
  <r>
    <n v="782"/>
    <x v="2"/>
    <x v="179"/>
    <s v="eth1/8"/>
    <x v="0"/>
    <x v="0"/>
    <x v="0"/>
    <s v="LACP_OMBS_ENIQ9B"/>
    <x v="0"/>
    <b v="0"/>
    <s v="No está en VPC"/>
    <n v="782"/>
    <s v="INTPG_PC_782_1.7-10"/>
    <s v="ISEL-1.8"/>
    <n v="2"/>
    <s v="NO TIENE L3OUT"/>
    <n v="32"/>
    <n v="54"/>
  </r>
  <r>
    <n v="852"/>
    <x v="2"/>
    <x v="180"/>
    <s v="eth1/8"/>
    <x v="0"/>
    <x v="0"/>
    <x v="0"/>
    <s v="LINK_TO_ITHFHWCRMPSBDA07 / Slot7.3_4 / Redundante"/>
    <x v="0"/>
    <b v="0"/>
    <s v="No está en VPC"/>
    <n v="852"/>
    <s v="INTPG_VPC_845_1.8_852_1.8"/>
    <s v="ISEL-1.8"/>
    <n v="1"/>
    <s v="NO TIENE L3OUT"/>
    <n v="258"/>
    <n v="54"/>
  </r>
  <r>
    <n v="817"/>
    <x v="2"/>
    <x v="181"/>
    <s v="eth1/8"/>
    <x v="0"/>
    <x v="0"/>
    <x v="0"/>
    <s v="LINK_TO_ITHFHWCBSPSWR24 /10GE.1 /Principal"/>
    <x v="0"/>
    <b v="0"/>
    <s v="No está en VPC"/>
    <n v="817"/>
    <s v="INTPG_VPC_817_1.8_822_1.8"/>
    <s v="ISEL-1.8"/>
    <n v="1"/>
    <s v="NO TIENE L3OUT"/>
    <n v="0"/>
    <n v="54"/>
  </r>
  <r>
    <n v="832"/>
    <x v="2"/>
    <x v="182"/>
    <s v="eth1/8"/>
    <x v="0"/>
    <x v="0"/>
    <x v="0"/>
    <s v="LINK_TO_ITHFHWCBSDSWR34 /Slot5.1 /Redundante"/>
    <x v="0"/>
    <b v="0"/>
    <s v="No está en VPC"/>
    <n v="832"/>
    <s v="INTPG_VPC_828_1.8_832_1.8"/>
    <s v="ISEL-1.8"/>
    <n v="1"/>
    <s v="NO TIENE L3OUT"/>
    <n v="192"/>
    <n v="54"/>
  </r>
  <r>
    <n v="816"/>
    <x v="2"/>
    <x v="183"/>
    <s v="eth1/8"/>
    <x v="0"/>
    <x v="0"/>
    <x v="0"/>
    <s v="LINK_TO_ITHFHWCBSPSUSBD11 /10GE.1 /Principal"/>
    <x v="0"/>
    <b v="0"/>
    <s v="No está en VPC"/>
    <n v="816"/>
    <s v="INTPG_VPC_816_1.8_821_1.8"/>
    <s v="ISEL-1.8"/>
    <n v="1"/>
    <s v="NO TIENE L3OUT"/>
    <n v="0"/>
    <n v="54"/>
  </r>
  <r>
    <n v="825"/>
    <x v="2"/>
    <x v="184"/>
    <s v="eth1/8"/>
    <x v="0"/>
    <x v="0"/>
    <x v="0"/>
    <s v="LINK_TO_ITHHWCRMPEN02 /X2-10GE 5 /Principal"/>
    <x v="0"/>
    <b v="0"/>
    <s v="No está en VPC"/>
    <n v="825"/>
    <s v="INTPG_VPC_820_1.7-8_10-11_825_1.7-8_10-11"/>
    <s v="ISEL-1.8"/>
    <n v="1"/>
    <s v="NO TIENE L3OUT"/>
    <n v="72"/>
    <n v="54"/>
  </r>
  <r>
    <n v="800"/>
    <x v="2"/>
    <x v="185"/>
    <s v="eth1/8"/>
    <x v="0"/>
    <x v="0"/>
    <x v="0"/>
    <s v="TO-CEPS_04-MSP"/>
    <x v="0"/>
    <b v="0"/>
    <s v="No está en VPC"/>
    <n v="800"/>
    <s v="INTPG_ACC_800_1.8"/>
    <s v="ISEL-1.8"/>
    <n v="1"/>
    <s v="NO TIENE L3OUT"/>
    <n v="78"/>
    <n v="54"/>
  </r>
  <r>
    <n v="801"/>
    <x v="2"/>
    <x v="186"/>
    <s v="eth1/8"/>
    <x v="0"/>
    <x v="0"/>
    <x v="0"/>
    <s v="TO-CEPS_04-MSP"/>
    <x v="0"/>
    <b v="0"/>
    <s v="No está en VPC"/>
    <n v="801"/>
    <s v="INTPG_ACC_801_1.8"/>
    <s v="ISEL-1.8"/>
    <n v="1"/>
    <s v="NO TIENE L3OUT"/>
    <n v="78"/>
    <n v="54"/>
  </r>
  <r>
    <n v="823"/>
    <x v="2"/>
    <x v="187"/>
    <s v="eth1/8"/>
    <x v="0"/>
    <x v="0"/>
    <x v="0"/>
    <s v="TRANSFORMA PHASE 2C PR"/>
    <x v="0"/>
    <b v="0"/>
    <s v="No está en VPC"/>
    <n v="823"/>
    <s v="INTPG_ACC_823_1.8"/>
    <s v="ISEL-1.8"/>
    <n v="1"/>
    <s v="NO TIENE L3OUT"/>
    <n v="8"/>
    <n v="54"/>
  </r>
  <r>
    <n v="837"/>
    <x v="2"/>
    <x v="188"/>
    <s v="eth1/8"/>
    <x v="0"/>
    <x v="0"/>
    <x v="0"/>
    <s v="LINK_TO_ITHFHWCBSPSUSBD26 / Slot1.1_6 / Principal"/>
    <x v="0"/>
    <b v="0"/>
    <s v="No está en VPC"/>
    <n v="837"/>
    <s v="INTPG_VPC_837_1.8_842_1.8"/>
    <s v="ISEL-1.8"/>
    <n v="2"/>
    <s v="NO TIENE L3OUT"/>
    <n v="8"/>
    <n v="54"/>
  </r>
  <r>
    <n v="867"/>
    <x v="2"/>
    <x v="189"/>
    <s v="eth1/8"/>
    <x v="0"/>
    <x v="0"/>
    <x v="0"/>
    <s v="To_ITHHWD6KV65100013DKC01_Redundante"/>
    <x v="0"/>
    <b v="0"/>
    <s v="No está en VPC"/>
    <n v="867"/>
    <s v="INTPG_ACC_867_1.8"/>
    <s v="ISEL-1.8"/>
    <n v="1"/>
    <s v="NO TIENE L3OUT"/>
    <n v="44"/>
    <n v="54"/>
  </r>
  <r>
    <n v="829"/>
    <x v="2"/>
    <x v="190"/>
    <s v="eth1/8"/>
    <x v="0"/>
    <x v="0"/>
    <x v="0"/>
    <s v="LINK_TO_ITHFHWCRMDLCN30 /Slot5.1 /Redundante"/>
    <x v="0"/>
    <b v="0"/>
    <s v="No está en VPC"/>
    <n v="829"/>
    <s v="INTPG_ACC_829_1.8"/>
    <s v="ISEL-1.8"/>
    <n v="2"/>
    <s v="NO TIENE L3OUT"/>
    <n v="224"/>
    <n v="54"/>
  </r>
  <r>
    <n v="831"/>
    <x v="2"/>
    <x v="191"/>
    <s v="eth1/8"/>
    <x v="0"/>
    <x v="0"/>
    <x v="0"/>
    <s v="LINK_TO_ITHFHWCBSDSUSBD08 /Slot7.2 /Redundante"/>
    <x v="0"/>
    <b v="0"/>
    <s v="No está en VPC"/>
    <n v="831"/>
    <s v="INTPG_VPC_827_1.8_831_1.8"/>
    <s v="ISEL-1.8"/>
    <n v="2"/>
    <s v="NO TIENE L3OUT"/>
    <n v="14"/>
    <n v="54"/>
  </r>
  <r>
    <n v="802"/>
    <x v="2"/>
    <x v="192"/>
    <s v="eth1/8"/>
    <x v="0"/>
    <x v="0"/>
    <x v="0"/>
    <s v="TO-HDPS_10-MSP"/>
    <x v="0"/>
    <b v="0"/>
    <s v="No está en VPC"/>
    <n v="802"/>
    <s v="INTPG_ACC_802_1.8"/>
    <s v="ISEL-1.8"/>
    <n v="1"/>
    <s v="NO TIENE L3OUT"/>
    <n v="48"/>
    <n v="54"/>
  </r>
  <r>
    <n v="835"/>
    <x v="2"/>
    <x v="193"/>
    <s v="eth1/8"/>
    <x v="0"/>
    <x v="0"/>
    <x v="0"/>
    <s v="LINK_TO_ITHFHWCBSPSWR56 / Slot1.2_24 / Principal"/>
    <x v="0"/>
    <b v="0"/>
    <s v="No está en VPC"/>
    <n v="835"/>
    <s v="INTPG_VPC_835_1.8_840_1.8"/>
    <s v="ISEL-1.8"/>
    <n v="1"/>
    <s v="NO TIENE L3OUT"/>
    <n v="8"/>
    <n v="54"/>
  </r>
  <r>
    <n v="822"/>
    <x v="2"/>
    <x v="194"/>
    <s v="eth1/8"/>
    <x v="0"/>
    <x v="0"/>
    <x v="0"/>
    <s v="LINK_TO_ITHFHWCBSPSWR24 /Slot5.1 /Redundante"/>
    <x v="0"/>
    <b v="0"/>
    <s v="No está en VPC"/>
    <n v="822"/>
    <s v="INTPG_VPC_817_1.8_822_1.8"/>
    <s v="ISEL-1.8"/>
    <n v="1"/>
    <s v="NO TIENE L3OUT"/>
    <n v="0"/>
    <n v="54"/>
  </r>
  <r>
    <n v="854"/>
    <x v="2"/>
    <x v="195"/>
    <s v="eth1/8"/>
    <x v="0"/>
    <x v="0"/>
    <x v="0"/>
    <s v="LINK_TO_ITHHWD6KV65100018DKC01 / CTMA_IOM1.P1_34 / Redundante"/>
    <x v="0"/>
    <b v="0"/>
    <s v="No está en VPC"/>
    <n v="854"/>
    <s v="INTPG_ACC_854_1.8"/>
    <s v="ISEL-1.8"/>
    <n v="1"/>
    <s v="NO TIENE L3OUT"/>
    <n v="204"/>
    <n v="54"/>
  </r>
  <r>
    <n v="858"/>
    <x v="2"/>
    <x v="196"/>
    <s v="eth1/8"/>
    <x v="0"/>
    <x v="0"/>
    <x v="0"/>
    <s v="To_VPC_2DCBSD_HD39_2"/>
    <x v="0"/>
    <b v="0"/>
    <s v="No está en VPC"/>
    <n v="858"/>
    <s v="INTPG_VPC_858_1.8_863_1.8"/>
    <s v="ISEL-1.8"/>
    <n v="1"/>
    <s v="NO TIENE L3OUT"/>
    <n v="8"/>
    <n v="54"/>
  </r>
  <r>
    <n v="857"/>
    <x v="2"/>
    <x v="197"/>
    <s v="eth1/8"/>
    <x v="0"/>
    <x v="0"/>
    <x v="0"/>
    <s v="LINKT_TO_ITHFHWCRMPLCN118 / Slot1.1_6 / Principal"/>
    <x v="0"/>
    <b v="0"/>
    <s v="No está en VPC"/>
    <n v="857"/>
    <s v="INTPG_ACC_857_1.8"/>
    <s v="ISEL-1.8"/>
    <n v="6"/>
    <s v="NO TIENE L3OUT"/>
    <n v="288"/>
    <n v="54"/>
  </r>
  <r>
    <n v="859"/>
    <x v="2"/>
    <x v="198"/>
    <s v="eth1/8"/>
    <x v="0"/>
    <x v="0"/>
    <x v="0"/>
    <s v="To_VPC_2DCBSD_HD33_2"/>
    <x v="0"/>
    <b v="0"/>
    <s v="No está en VPC"/>
    <n v="859"/>
    <s v="INTPG_VPC_859_1.8_864_1.8"/>
    <s v="ISEL-1.8"/>
    <n v="1"/>
    <s v="NO TIENE L3OUT"/>
    <n v="0"/>
    <n v="54"/>
  </r>
  <r>
    <n v="833"/>
    <x v="2"/>
    <x v="199"/>
    <s v="eth1/8"/>
    <x v="0"/>
    <x v="0"/>
    <x v="0"/>
    <s v="LINK_TO_ITHFHWCRMDLCN30 /10GE.1 /Principal"/>
    <x v="0"/>
    <b v="0"/>
    <s v="No está en VPC"/>
    <n v="833"/>
    <s v="INTPG_ACC_833_1.8"/>
    <s v="ISEL-1.8"/>
    <n v="2"/>
    <s v="NO TIENE L3OUT"/>
    <n v="224"/>
    <n v="54"/>
  </r>
  <r>
    <n v="818"/>
    <x v="2"/>
    <x v="200"/>
    <s v="eth1/8"/>
    <x v="0"/>
    <x v="0"/>
    <x v="0"/>
    <s v="TRANSFORMA PHASE 2C PR"/>
    <x v="0"/>
    <b v="0"/>
    <s v="No está en VPC"/>
    <n v="818"/>
    <s v="INTPG_ACC_818_1.8"/>
    <s v="ISEL-1.8"/>
    <n v="1"/>
    <s v="NO TIENE L3OUT"/>
    <n v="8"/>
    <n v="54"/>
  </r>
  <r>
    <n v="850"/>
    <x v="2"/>
    <x v="201"/>
    <s v="eth1/8"/>
    <x v="0"/>
    <x v="0"/>
    <x v="0"/>
    <s v="LINKT_TO_ITHFHWCRMPLCN118 / Slot7.1_6 / Redundante"/>
    <x v="0"/>
    <b v="0"/>
    <s v="No está en VPC"/>
    <n v="850"/>
    <s v="INTPG_ACC_850_1.8"/>
    <s v="ISEL-1.8"/>
    <n v="6"/>
    <s v="NO TIENE L3OUT"/>
    <n v="288"/>
    <n v="54"/>
  </r>
  <r>
    <n v="860"/>
    <x v="2"/>
    <x v="202"/>
    <s v="eth1/8"/>
    <x v="0"/>
    <x v="0"/>
    <x v="0"/>
    <s v="To_VPC_2DCBSD_HD25_2"/>
    <x v="0"/>
    <b v="0"/>
    <s v="No está en VPC"/>
    <n v="860"/>
    <s v="INTPG_VPC_860_1.8_865_1.8"/>
    <s v="ISEL-1.8"/>
    <n v="1"/>
    <s v="NO TIENE L3OUT"/>
    <n v="0"/>
    <n v="54"/>
  </r>
  <r>
    <n v="853"/>
    <x v="2"/>
    <x v="203"/>
    <s v="eth1/8"/>
    <x v="0"/>
    <x v="0"/>
    <x v="0"/>
    <s v="LINK_TO_ITHHWD6KV65100011DKC01 / CTMB_IOM0.P1_34 / Redundante"/>
    <x v="0"/>
    <b v="0"/>
    <s v="No está en VPC"/>
    <n v="853"/>
    <s v="INTPG_ACC_853_1.8"/>
    <s v="ISEL-1.8"/>
    <n v="1"/>
    <s v="NO TIENE L3OUT"/>
    <n v="242"/>
    <n v="54"/>
  </r>
  <r>
    <n v="790"/>
    <x v="2"/>
    <x v="204"/>
    <s v="eth1/8"/>
    <x v="0"/>
    <x v="0"/>
    <x v="0"/>
    <s v="LINK_TO_ITHEMCPS5200TWPT3 / Nodo A IOM 1.0_04 / Principal"/>
    <x v="0"/>
    <b v="0"/>
    <s v="No está en VPC"/>
    <n v="790"/>
    <s v="INTPG_ACC_790_1.8"/>
    <s v="ISEL-1.8"/>
    <n v="2"/>
    <s v="NO TIENE L3OUT"/>
    <n v="20"/>
    <n v="54"/>
  </r>
  <r>
    <n v="105"/>
    <x v="0"/>
    <x v="205"/>
    <s v="eth1/8"/>
    <x v="0"/>
    <x v="1"/>
    <x v="1"/>
    <s v="DESC"/>
    <x v="6"/>
    <b v="0"/>
    <s v="No está en VPC"/>
    <n v="105"/>
    <s v="INTPG_PC_105_1.6-12_38"/>
    <s v="ISEL-1.8"/>
    <n v="17"/>
    <s v="NO TIENE L3OUT"/>
    <n v="106"/>
    <n v="96"/>
  </r>
  <r>
    <n v="117"/>
    <x v="0"/>
    <x v="206"/>
    <s v="eth1/8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8"/>
    <x v="0"/>
    <x v="1"/>
    <x v="1"/>
    <s v="SFLDI"/>
    <x v="6"/>
    <b v="0"/>
    <s v="No está en VPC"/>
    <n v="104"/>
    <s v="INTPG_ACC_104_1.8"/>
    <s v="ISEL-1.8"/>
    <n v="1"/>
    <s v="NO TIENE L3OUT"/>
    <n v="194"/>
    <n v="96"/>
  </r>
  <r>
    <n v="158"/>
    <x v="0"/>
    <x v="208"/>
    <s v="eth1/8"/>
    <x v="1"/>
    <x v="1"/>
    <x v="2"/>
    <s v="RED CRICKET"/>
    <x v="6"/>
    <b v="0"/>
    <s v="No está en VPC"/>
    <n v="158"/>
    <s v="INTPG_ACC_158_1.8"/>
    <s v="ISEL-1.8"/>
    <n v="2"/>
    <s v="NO TIENE L3OUT"/>
    <n v="30"/>
    <n v="96"/>
  </r>
  <r>
    <n v="875"/>
    <x v="2"/>
    <x v="209"/>
    <s v="eth1/8"/>
    <x v="1"/>
    <x v="1"/>
    <x v="2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8"/>
    <x v="0"/>
    <x v="0"/>
    <x v="0"/>
    <s v="HACIA_CSI-B-OSCP-F4-12_PRIMARIO"/>
    <x v="4"/>
    <b v="0"/>
    <s v="No está en VPC"/>
    <n v="879"/>
    <s v="INTPG_VPC_878_1.8_879_1.8"/>
    <s v="ISEL-1.8"/>
    <n v="2"/>
    <s v="NO TIENE L3OUT"/>
    <n v="0"/>
    <n v="54"/>
  </r>
  <r>
    <n v="108"/>
    <x v="0"/>
    <x v="211"/>
    <s v="eth1/8"/>
    <x v="0"/>
    <x v="0"/>
    <x v="0"/>
    <s v="ZSMART"/>
    <x v="6"/>
    <b v="0"/>
    <s v="No está en VPC"/>
    <n v="108"/>
    <s v="INTPG_ACC_108_1.8"/>
    <s v="ISEL-1.8"/>
    <n v="1"/>
    <s v="NO TIENE L3OUT"/>
    <n v="126"/>
    <n v="96"/>
  </r>
  <r>
    <n v="112"/>
    <x v="0"/>
    <x v="212"/>
    <s v="eth1/8"/>
    <x v="0"/>
    <x v="1"/>
    <x v="1"/>
    <s v="CFD"/>
    <x v="6"/>
    <b v="0"/>
    <s v="No está en VPC"/>
    <n v="112"/>
    <s v="INTPG_ACC_112_1.8"/>
    <s v="ISEL-1.8"/>
    <n v="1"/>
    <s v="NO TIENE L3OUT"/>
    <n v="144"/>
    <n v="96"/>
  </r>
  <r>
    <n v="107"/>
    <x v="0"/>
    <x v="213"/>
    <s v="eth1/8"/>
    <x v="0"/>
    <x v="1"/>
    <x v="1"/>
    <s v="OPEN VIEW BACK FASE2_1"/>
    <x v="6"/>
    <b v="0"/>
    <s v="No está en VPC"/>
    <n v="107"/>
    <s v="INTPG_ACC_107_1.8"/>
    <s v="ISEL-1.8"/>
    <n v="1"/>
    <s v="NO TIENE L3OUT"/>
    <n v="118"/>
    <n v="96"/>
  </r>
  <r>
    <n v="109"/>
    <x v="0"/>
    <x v="214"/>
    <s v="eth1/8"/>
    <x v="0"/>
    <x v="0"/>
    <x v="0"/>
    <m/>
    <x v="6"/>
    <b v="0"/>
    <s v="No está en VPC"/>
    <n v="109"/>
    <s v="INTPG_ACC_109_1.8"/>
    <s v="ISEL-1.8"/>
    <n v="1"/>
    <s v="NO TIENE L3OUT"/>
    <n v="126"/>
    <n v="96"/>
  </r>
  <r>
    <n v="113"/>
    <x v="0"/>
    <x v="215"/>
    <s v="eth1/8"/>
    <x v="0"/>
    <x v="0"/>
    <x v="0"/>
    <m/>
    <x v="6"/>
    <b v="0"/>
    <s v="No está en VPC"/>
    <n v="113"/>
    <s v="NO EXISTE PG"/>
    <s v="NO EXISTE ISEL"/>
    <n v="1"/>
    <s v="NO TIENE L3OUT"/>
    <n v="52"/>
    <n v="96"/>
  </r>
  <r>
    <n v="114"/>
    <x v="0"/>
    <x v="216"/>
    <s v="eth1/8"/>
    <x v="1"/>
    <x v="1"/>
    <x v="2"/>
    <s v="NPG_1"/>
    <x v="6"/>
    <b v="0"/>
    <s v="No está en VPC"/>
    <n v="114"/>
    <s v="INTPG_ACC_114_1.8"/>
    <s v="ISEL-1.8"/>
    <n v="1"/>
    <s v="NO TIENE L3OUT"/>
    <n v="144"/>
    <n v="96"/>
  </r>
  <r>
    <n v="124"/>
    <x v="0"/>
    <x v="217"/>
    <s v="eth1/8"/>
    <x v="0"/>
    <x v="1"/>
    <x v="1"/>
    <s v="GSM_ENIQ_MTY"/>
    <x v="6"/>
    <b v="0"/>
    <s v="No está en VPC"/>
    <n v="124"/>
    <s v="INTPG_ACC_124_1.8"/>
    <s v="ISEL-1.8"/>
    <n v="1"/>
    <s v="NO TIENE L3OUT"/>
    <n v="80"/>
    <n v="96"/>
  </r>
  <r>
    <n v="118"/>
    <x v="0"/>
    <x v="218"/>
    <s v="eth1/8"/>
    <x v="0"/>
    <x v="0"/>
    <x v="0"/>
    <s v="COBROS NAVEGACION"/>
    <x v="6"/>
    <b v="0"/>
    <s v="No está en VPC"/>
    <n v="118"/>
    <s v="INTPG_ACC_118_1.8"/>
    <s v="ISEL-1.8"/>
    <n v="1"/>
    <s v="NO TIENE L3OUT"/>
    <n v="180"/>
    <n v="96"/>
  </r>
  <r>
    <n v="159"/>
    <x v="0"/>
    <x v="219"/>
    <s v="eth1/8"/>
    <x v="0"/>
    <x v="1"/>
    <x v="1"/>
    <s v="Servidores Virtuales LA"/>
    <x v="6"/>
    <b v="0"/>
    <s v="No está en VPC"/>
    <n v="159"/>
    <s v="INTPG_ACC_159_1.8"/>
    <s v="ISEL-1.8"/>
    <n v="1"/>
    <s v="NO TIENE L3OUT"/>
    <n v="72"/>
    <n v="96"/>
  </r>
  <r>
    <n v="840"/>
    <x v="2"/>
    <x v="220"/>
    <s v="eth1/8"/>
    <x v="0"/>
    <x v="0"/>
    <x v="0"/>
    <s v="LINK_TO_ITHFHWCBSPSWR56 / Slot7.2_24 / Redundante"/>
    <x v="0"/>
    <b v="0"/>
    <s v="No está en VPC"/>
    <n v="840"/>
    <s v="INTPG_VPC_835_1.8_840_1.8"/>
    <s v="ISEL-1.8"/>
    <n v="1"/>
    <s v="NO TIENE L3OUT"/>
    <n v="8"/>
    <n v="54"/>
  </r>
  <r>
    <n v="856"/>
    <x v="2"/>
    <x v="221"/>
    <s v="eth1/8"/>
    <x v="0"/>
    <x v="0"/>
    <x v="0"/>
    <s v="LINK_TO_ITHFHWCRMPLCN137 / Slot1.1_8 / Principal"/>
    <x v="0"/>
    <b v="0"/>
    <s v="No está en VPC"/>
    <n v="856"/>
    <s v="INTPG_ACC_856_1.8"/>
    <s v="ISEL-1.8"/>
    <n v="6"/>
    <s v="NO TIENE L3OUT"/>
    <n v="286"/>
    <n v="54"/>
  </r>
  <r>
    <n v="110"/>
    <x v="0"/>
    <x v="222"/>
    <s v="eth1/8"/>
    <x v="0"/>
    <x v="0"/>
    <x v="0"/>
    <m/>
    <x v="6"/>
    <b v="0"/>
    <s v="No está en VPC"/>
    <n v="110"/>
    <s v="INTPG_ACC_110_1.8"/>
    <s v="ISEL-1.8"/>
    <n v="1"/>
    <s v="NO TIENE L3OUT"/>
    <n v="102"/>
    <n v="96"/>
  </r>
  <r>
    <n v="163"/>
    <x v="0"/>
    <x v="223"/>
    <s v="eth1/8"/>
    <x v="0"/>
    <x v="0"/>
    <x v="0"/>
    <m/>
    <x v="6"/>
    <b v="0"/>
    <s v="No está en VPC"/>
    <n v="163"/>
    <s v="INTPG_PC_163_1.1-8"/>
    <s v="ISEL-1.8"/>
    <n v="1"/>
    <s v="NO TIENE L3OUT"/>
    <n v="140"/>
    <n v="96"/>
  </r>
  <r>
    <n v="407"/>
    <x v="1"/>
    <x v="224"/>
    <s v="eth1/8"/>
    <x v="0"/>
    <x v="0"/>
    <x v="0"/>
    <s v="RLR2ARI02_ilo"/>
    <x v="6"/>
    <b v="0"/>
    <s v="No está en VPC"/>
    <n v="407"/>
    <s v="INTPG_ACC_407_1.8"/>
    <s v="ISEL-1.8"/>
    <n v="1"/>
    <s v="NO TIENE L3OUT"/>
    <n v="122"/>
    <n v="96"/>
  </r>
  <r>
    <n v="171"/>
    <x v="0"/>
    <x v="225"/>
    <s v="eth1/8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8"/>
    <x v="0"/>
    <x v="0"/>
    <x v="0"/>
    <s v="DESC"/>
    <x v="6"/>
    <b v="0"/>
    <s v="No está en VPC"/>
    <n v="421"/>
    <s v="INTPG_PC_421_7-8"/>
    <s v="ISEL-1.8"/>
    <n v="1"/>
    <s v="NO TIENE L3OUT"/>
    <n v="72"/>
    <n v="96"/>
  </r>
  <r>
    <n v="173"/>
    <x v="0"/>
    <x v="227"/>
    <s v="eth1/8"/>
    <x v="0"/>
    <x v="0"/>
    <x v="0"/>
    <s v="U2000_IPRAN"/>
    <x v="6"/>
    <b v="0"/>
    <s v="No está en VPC"/>
    <n v="173"/>
    <s v="INTPG_ACC_173_1.8"/>
    <s v="ISEL-1.8"/>
    <n v="1"/>
    <s v="NO TIENE L3OUT"/>
    <n v="66"/>
    <n v="96"/>
  </r>
  <r>
    <n v="154"/>
    <x v="0"/>
    <x v="228"/>
    <s v="eth1/8"/>
    <x v="0"/>
    <x v="0"/>
    <x v="0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8"/>
    <x v="0"/>
    <x v="1"/>
    <x v="1"/>
    <s v="OSS_3G_12_2_DATOS"/>
    <x v="6"/>
    <b v="0"/>
    <s v="No está en VPC"/>
    <n v="172"/>
    <s v="INTPG_VPC_171_1.9_172_1.8"/>
    <s v="ISEL-1.8"/>
    <n v="10"/>
    <s v="NO TIENE L3OUT"/>
    <n v="104"/>
    <n v="96"/>
  </r>
  <r>
    <n v="420"/>
    <x v="1"/>
    <x v="230"/>
    <s v="eth1/8"/>
    <x v="0"/>
    <x v="0"/>
    <x v="0"/>
    <s v="IXTAI8"/>
    <x v="6"/>
    <b v="0"/>
    <s v="No está en VPC"/>
    <n v="420"/>
    <s v="INTPG_ACC_420_1.8"/>
    <s v="ISEL-1.8"/>
    <n v="1"/>
    <s v="NO TIENE L3OUT"/>
    <n v="158"/>
    <n v="96"/>
  </r>
  <r>
    <n v="423"/>
    <x v="1"/>
    <x v="231"/>
    <s v="eth1/8"/>
    <x v="0"/>
    <x v="0"/>
    <x v="0"/>
    <s v="ITHPA02_ILO_IPMP-Activa"/>
    <x v="6"/>
    <b v="0"/>
    <s v="No está en VPC"/>
    <n v="423"/>
    <s v="INTPG_ACC_423_1.8"/>
    <s v="ISEL-1.8"/>
    <n v="1"/>
    <s v="NO TIENE L3OUT"/>
    <n v="86"/>
    <n v="96"/>
  </r>
  <r>
    <n v="415"/>
    <x v="1"/>
    <x v="232"/>
    <s v="eth1/8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8"/>
    <x v="1"/>
    <x v="1"/>
    <x v="2"/>
    <s v="SFLDI:RLDICDR03:1"/>
    <x v="6"/>
    <b v="0"/>
    <s v="No está en VPC"/>
    <n v="102"/>
    <s v="INTPG_ACC_102_1.8"/>
    <s v="ISEL-1.8"/>
    <n v="0"/>
    <s v="NO TIENE L3OUT"/>
    <n v="228"/>
    <n v="96"/>
  </r>
  <r>
    <n v="863"/>
    <x v="2"/>
    <x v="234"/>
    <s v="eth1/8"/>
    <x v="0"/>
    <x v="0"/>
    <x v="0"/>
    <s v="To_VPC_2DCBSD_HD39_2"/>
    <x v="0"/>
    <b v="0"/>
    <s v="No está en VPC"/>
    <n v="863"/>
    <s v="INTPG_VPC_858_1.8_863_1.8"/>
    <s v="ISEL-1.8"/>
    <n v="1"/>
    <s v="NO TIENE L3OUT"/>
    <n v="8"/>
    <n v="54"/>
  </r>
  <r>
    <n v="876"/>
    <x v="2"/>
    <x v="235"/>
    <s v="eth1/8"/>
    <x v="0"/>
    <x v="0"/>
    <x v="0"/>
    <s v="LINK_TO_ITHFHWSEQLCAS31 / Slot 4 PTO 1 / Principal"/>
    <x v="4"/>
    <b v="0"/>
    <s v="No está en VPC"/>
    <n v="876"/>
    <s v="INTPG_ACC_876_1.8"/>
    <s v="ISEL-1.8"/>
    <n v="1"/>
    <s v="NO TIENE L3OUT"/>
    <n v="92"/>
    <n v="54"/>
  </r>
  <r>
    <n v="877"/>
    <x v="2"/>
    <x v="236"/>
    <s v="eth1/8"/>
    <x v="1"/>
    <x v="1"/>
    <x v="2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8"/>
    <x v="0"/>
    <x v="0"/>
    <x v="0"/>
    <s v="DESC"/>
    <x v="6"/>
    <b v="0"/>
    <s v="No está en VPC"/>
    <n v="122"/>
    <s v="INTPG_PC_122_1.4-8"/>
    <s v="ISEL-1.8"/>
    <n v="1"/>
    <s v="NO TIENE L3OUT"/>
    <n v="148"/>
    <n v="96"/>
  </r>
  <r>
    <n v="157"/>
    <x v="0"/>
    <x v="238"/>
    <s v="eth1/8"/>
    <x v="1"/>
    <x v="1"/>
    <x v="2"/>
    <s v="COBROS NAVEGACION"/>
    <x v="6"/>
    <b v="0"/>
    <s v="No está en VPC"/>
    <n v="157"/>
    <s v="INTPG_ACC_157_1.8"/>
    <s v="ISEL-1.8"/>
    <n v="1"/>
    <s v="NO TIENE L3OUT"/>
    <n v="202"/>
    <n v="96"/>
  </r>
  <r>
    <n v="408"/>
    <x v="1"/>
    <x v="239"/>
    <s v="eth1/8"/>
    <x v="0"/>
    <x v="1"/>
    <x v="1"/>
    <s v="Suspend6"/>
    <x v="6"/>
    <b v="0"/>
    <s v="No está en VPC"/>
    <n v="408"/>
    <s v="INTPG_ACC_408_1.8"/>
    <s v="ISEL-1.8"/>
    <n v="1"/>
    <s v="NO TIENE L3OUT"/>
    <n v="152"/>
    <n v="96"/>
  </r>
  <r>
    <n v="405"/>
    <x v="1"/>
    <x v="240"/>
    <s v="eth1/8"/>
    <x v="0"/>
    <x v="0"/>
    <x v="0"/>
    <s v="IXT_ARIESO4_LDR8"/>
    <x v="6"/>
    <b v="0"/>
    <s v="No está en VPC"/>
    <n v="405"/>
    <s v="INTPG_ACC_405_1.8"/>
    <s v="ISEL-1.8"/>
    <n v="1"/>
    <s v="NO TIENE L3OUT"/>
    <n v="138"/>
    <n v="96"/>
  </r>
  <r>
    <n v="169"/>
    <x v="0"/>
    <x v="241"/>
    <s v="eth1/8"/>
    <x v="0"/>
    <x v="0"/>
    <x v="0"/>
    <s v="LINKDOWN_HACIA_UCS_9UCS-IXTLA-SERV2"/>
    <x v="6"/>
    <b v="0"/>
    <s v="No está en VPC"/>
    <n v="169"/>
    <s v="INTPG_ACC_169_1.8"/>
    <s v="ISEL-1.8"/>
    <n v="1"/>
    <s v="NO TIENE L3OUT"/>
    <n v="76"/>
    <n v="96"/>
  </r>
  <r>
    <n v="165"/>
    <x v="0"/>
    <x v="242"/>
    <s v="eth1/8"/>
    <x v="0"/>
    <x v="1"/>
    <x v="1"/>
    <s v="Nomina"/>
    <x v="6"/>
    <b v="0"/>
    <s v="No está en VPC"/>
    <n v="165"/>
    <s v="INTPG_ACC_165_1.8"/>
    <s v="ISEL-1.8"/>
    <n v="1"/>
    <s v="NO TIENE L3OUT"/>
    <n v="86"/>
    <n v="96"/>
  </r>
  <r>
    <n v="417"/>
    <x v="1"/>
    <x v="243"/>
    <s v="eth1/8"/>
    <x v="0"/>
    <x v="0"/>
    <x v="0"/>
    <s v="ixtshrcol01"/>
    <x v="6"/>
    <b v="0"/>
    <s v="No está en VPC"/>
    <n v="417"/>
    <s v="INTPG_ACC_417_1.8"/>
    <s v="ISEL-1.8"/>
    <n v="1"/>
    <s v="NO TIENE L3OUT"/>
    <n v="56"/>
    <n v="96"/>
  </r>
  <r>
    <n v="153"/>
    <x v="0"/>
    <x v="244"/>
    <s v="eth1/8"/>
    <x v="0"/>
    <x v="0"/>
    <x v="0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8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8"/>
    <x v="0"/>
    <x v="0"/>
    <x v="0"/>
    <s v="RED CRICKET"/>
    <x v="6"/>
    <b v="0"/>
    <s v="No está en VPC"/>
    <n v="156"/>
    <s v="INTPG_ACC_156_1.8"/>
    <s v="ISEL-1.8"/>
    <n v="2"/>
    <s v="NO TIENE L3OUT"/>
    <n v="40"/>
    <n v="96"/>
  </r>
  <r>
    <n v="103"/>
    <x v="0"/>
    <x v="247"/>
    <s v="eth1/8"/>
    <x v="0"/>
    <x v="0"/>
    <x v="0"/>
    <s v="DESC"/>
    <x v="6"/>
    <b v="0"/>
    <s v="No está en VPC"/>
    <n v="103"/>
    <s v="INTPG_PC_103_1.7-9"/>
    <s v="ISEL-1.8"/>
    <n v="2"/>
    <s v="NO TIENE L3OUT"/>
    <n v="70"/>
    <n v="96"/>
  </r>
  <r>
    <n v="438"/>
    <x v="1"/>
    <x v="248"/>
    <s v="eth1/8"/>
    <x v="0"/>
    <x v="0"/>
    <x v="0"/>
    <s v="uxdxdb02(RENACE)"/>
    <x v="6"/>
    <b v="0"/>
    <s v="No está en VPC"/>
    <n v="438"/>
    <s v="INTPG_ACC_438_1.8"/>
    <s v="ISEL-1.8"/>
    <n v="1"/>
    <s v="NO TIENE L3OUT"/>
    <n v="170"/>
    <n v="96"/>
  </r>
  <r>
    <n v="406"/>
    <x v="1"/>
    <x v="249"/>
    <s v="eth1/8"/>
    <x v="0"/>
    <x v="0"/>
    <x v="0"/>
    <s v="DESC"/>
    <x v="6"/>
    <b v="0"/>
    <s v="No está en VPC"/>
    <n v="406"/>
    <s v="INTPG_PC_406_1.7-8"/>
    <s v="ISEL-1.8"/>
    <n v="1"/>
    <s v="NO TIENE L3OUT"/>
    <n v="82"/>
    <n v="96"/>
  </r>
  <r>
    <n v="414"/>
    <x v="1"/>
    <x v="250"/>
    <s v="eth1/8"/>
    <x v="0"/>
    <x v="0"/>
    <x v="0"/>
    <s v="9UCS-IXTLA-WEBEX-SERV3"/>
    <x v="6"/>
    <b v="0"/>
    <s v="No está en VPC"/>
    <n v="414"/>
    <s v="INTPG_ACC_414_1.8"/>
    <s v="ISEL-1.8"/>
    <n v="1"/>
    <s v="NO TIENE L3OUT"/>
    <n v="144"/>
    <n v="96"/>
  </r>
  <r>
    <n v="416"/>
    <x v="1"/>
    <x v="251"/>
    <s v="eth1/8"/>
    <x v="0"/>
    <x v="0"/>
    <x v="0"/>
    <s v="sfmedp44-MEDVOZ_CLIENT6"/>
    <x v="6"/>
    <b v="0"/>
    <s v="No está en VPC"/>
    <n v="416"/>
    <s v="INTPG_VPC_416_1.8_418_1.8"/>
    <s v="ISEL-1.8"/>
    <n v="1"/>
    <s v="NO TIENE L3OUT"/>
    <n v="110"/>
    <n v="96"/>
  </r>
  <r>
    <n v="418"/>
    <x v="1"/>
    <x v="252"/>
    <s v="eth1/8"/>
    <x v="0"/>
    <x v="0"/>
    <x v="0"/>
    <s v="sfmedp44-MEDVOZ_CLIENT6"/>
    <x v="6"/>
    <b v="0"/>
    <s v="No está en VPC"/>
    <n v="418"/>
    <s v="INTPG_VPC_416_1.8_418_1.8"/>
    <s v="ISEL-1.8"/>
    <n v="1"/>
    <s v="NO TIENE L3OUT"/>
    <n v="152"/>
    <n v="96"/>
  </r>
  <r>
    <n v="413"/>
    <x v="1"/>
    <x v="253"/>
    <s v="eth1/8"/>
    <x v="0"/>
    <x v="0"/>
    <x v="0"/>
    <s v="DESC"/>
    <x v="6"/>
    <b v="0"/>
    <s v="No está en VPC"/>
    <n v="413"/>
    <s v="INTPG_PC_413_1.5-8"/>
    <s v="ISEL-1.8"/>
    <n v="1"/>
    <s v="NO TIENE L3OUT"/>
    <n v="126"/>
    <n v="96"/>
  </r>
  <r>
    <n v="403"/>
    <x v="1"/>
    <x v="254"/>
    <s v="eth1/8"/>
    <x v="0"/>
    <x v="0"/>
    <x v="0"/>
    <s v="IXT_ARIESO4_LDR8"/>
    <x v="6"/>
    <b v="0"/>
    <s v="No está en VPC"/>
    <n v="403"/>
    <s v="INTPG_ACC_403_1.8"/>
    <s v="ISEL-1.8"/>
    <n v="1"/>
    <s v="NO TIENE L3OUT"/>
    <n v="150"/>
    <n v="96"/>
  </r>
  <r>
    <n v="125"/>
    <x v="0"/>
    <x v="255"/>
    <s v="eth1/8"/>
    <x v="0"/>
    <x v="0"/>
    <x v="0"/>
    <s v="ENIQ"/>
    <x v="6"/>
    <b v="0"/>
    <s v="No está en VPC"/>
    <n v="125"/>
    <s v="INTPG_VPC_124_1.6_125_1.8"/>
    <s v="ISEL-1.8"/>
    <n v="10"/>
    <s v="NO TIENE L3OUT"/>
    <n v="72"/>
    <n v="96"/>
  </r>
  <r>
    <n v="166"/>
    <x v="0"/>
    <x v="256"/>
    <s v="eth1/8"/>
    <x v="0"/>
    <x v="1"/>
    <x v="1"/>
    <s v="Nomina"/>
    <x v="6"/>
    <b v="0"/>
    <s v="No está en VPC"/>
    <n v="166"/>
    <s v="INTPG_ACC_166_1.8"/>
    <s v="ISEL-1.8"/>
    <n v="1"/>
    <s v="NO TIENE L3OUT"/>
    <n v="84"/>
    <n v="96"/>
  </r>
  <r>
    <n v="111"/>
    <x v="0"/>
    <x v="257"/>
    <s v="eth1/8"/>
    <x v="1"/>
    <x v="1"/>
    <x v="2"/>
    <s v="Storage"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8"/>
    <x v="0"/>
    <x v="0"/>
    <x v="0"/>
    <s v="VYCAN"/>
    <x v="6"/>
    <b v="0"/>
    <s v="No está en VPC"/>
    <n v="115"/>
    <s v="INTPG_ACC_115_1.8"/>
    <s v="ISEL-1.8"/>
    <n v="1"/>
    <s v="NO TIENE L3OUT"/>
    <n v="42"/>
    <n v="96"/>
  </r>
  <r>
    <n v="106"/>
    <x v="0"/>
    <x v="259"/>
    <s v="eth1/8"/>
    <x v="0"/>
    <x v="0"/>
    <x v="0"/>
    <s v="COGNOS"/>
    <x v="6"/>
    <b v="0"/>
    <s v="No está en VPC"/>
    <n v="106"/>
    <s v="INTPG_ACC_106_1.8"/>
    <s v="ISEL-1.8"/>
    <n v="1"/>
    <s v="NO TIENE L3OUT"/>
    <n v="122"/>
    <n v="96"/>
  </r>
  <r>
    <n v="126"/>
    <x v="0"/>
    <x v="260"/>
    <s v="eth1/8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8"/>
    <x v="0"/>
    <x v="1"/>
    <x v="1"/>
    <s v="VTA_uxvta073_Net0"/>
    <x v="6"/>
    <b v="0"/>
    <s v="No está en VPC"/>
    <n v="425"/>
    <s v="INTPG_ACC_425_1.8"/>
    <s v="ISEL-1.8"/>
    <n v="1"/>
    <s v="NO TIENE L3OUT"/>
    <n v="86"/>
    <n v="96"/>
  </r>
  <r>
    <n v="151"/>
    <x v="0"/>
    <x v="262"/>
    <s v="eth1/8"/>
    <x v="0"/>
    <x v="1"/>
    <x v="1"/>
    <s v="OSS MEX GSM M"/>
    <x v="6"/>
    <b v="0"/>
    <s v="No está en VPC"/>
    <n v="151"/>
    <s v="INTPG_ACC_151_1.8"/>
    <s v="ISEL-1.8"/>
    <n v="1"/>
    <s v="NO TIENE L3OUT"/>
    <n v="86"/>
    <n v="96"/>
  </r>
  <r>
    <n v="430"/>
    <x v="1"/>
    <x v="263"/>
    <s v="eth1/8"/>
    <x v="0"/>
    <x v="0"/>
    <x v="0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8"/>
    <x v="0"/>
    <x v="0"/>
    <x v="0"/>
    <s v="DESC"/>
    <x v="6"/>
    <b v="0"/>
    <s v="No está en VPC"/>
    <n v="419"/>
    <s v="INTPG_PC_419_7-8"/>
    <s v="ISEL-1.8"/>
    <n v="1"/>
    <s v="NO TIENE L3OUT"/>
    <n v="70"/>
    <n v="96"/>
  </r>
  <r>
    <n v="155"/>
    <x v="0"/>
    <x v="265"/>
    <s v="eth1/8"/>
    <x v="0"/>
    <x v="0"/>
    <x v="0"/>
    <m/>
    <x v="6"/>
    <b v="0"/>
    <s v="No está en VPC"/>
    <n v="155"/>
    <s v="INTPG_ACC_155_1.8"/>
    <s v="ISEL-1.8"/>
    <n v="1"/>
    <s v="NO TIENE L3OUT"/>
    <n v="198"/>
    <n v="96"/>
  </r>
  <r>
    <n v="409"/>
    <x v="1"/>
    <x v="266"/>
    <s v="eth1/8"/>
    <x v="0"/>
    <x v="0"/>
    <x v="0"/>
    <s v="RLR2ARI07_ilo"/>
    <x v="6"/>
    <b v="0"/>
    <s v="No está en VPC"/>
    <n v="409"/>
    <s v="INTPG_ACC_409_1.8"/>
    <s v="ISEL-1.8"/>
    <n v="1"/>
    <s v="NO TIENE L3OUT"/>
    <n v="128"/>
    <n v="96"/>
  </r>
  <r>
    <n v="422"/>
    <x v="1"/>
    <x v="267"/>
    <s v="eth1/8"/>
    <x v="0"/>
    <x v="0"/>
    <x v="0"/>
    <s v="B6200B_MGMT_2"/>
    <x v="6"/>
    <b v="0"/>
    <s v="No está en VPC"/>
    <n v="422"/>
    <s v="INTPG_ACC_422_1.8"/>
    <s v="ISEL-1.8"/>
    <n v="1"/>
    <s v="NO TIENE L3OUT"/>
    <n v="182"/>
    <n v="96"/>
  </r>
  <r>
    <n v="436"/>
    <x v="1"/>
    <x v="268"/>
    <s v="eth1/8"/>
    <x v="0"/>
    <x v="0"/>
    <x v="0"/>
    <s v="uxdxdb02(RENACE)"/>
    <x v="6"/>
    <b v="0"/>
    <s v="No está en VPC"/>
    <n v="436"/>
    <s v="INTPG_ACC_436_1.8"/>
    <s v="ISEL-1.8"/>
    <n v="1"/>
    <s v="NO TIENE L3OUT"/>
    <n v="172"/>
    <n v="96"/>
  </r>
  <r>
    <n v="410"/>
    <x v="1"/>
    <x v="269"/>
    <s v="eth1/8"/>
    <x v="0"/>
    <x v="0"/>
    <x v="0"/>
    <s v="NEC Femtocel NMS"/>
    <x v="6"/>
    <b v="0"/>
    <s v="No está en VPC"/>
    <n v="410"/>
    <s v="INTPG_ACC_410_1.8"/>
    <s v="ISEL-1.8"/>
    <n v="1"/>
    <s v="NO TIENE L3OUT"/>
    <n v="178"/>
    <n v="96"/>
  </r>
  <r>
    <n v="161"/>
    <x v="0"/>
    <x v="270"/>
    <s v="eth1/8"/>
    <x v="0"/>
    <x v="0"/>
    <x v="0"/>
    <s v="IBM SICOD"/>
    <x v="6"/>
    <b v="0"/>
    <s v="No está en VPC"/>
    <n v="161"/>
    <s v="INTPG_ACC_161_1.8"/>
    <s v="ISEL-1.8"/>
    <n v="1"/>
    <s v="NO TIENE L3OUT"/>
    <n v="102"/>
    <n v="96"/>
  </r>
  <r>
    <n v="411"/>
    <x v="1"/>
    <x v="271"/>
    <s v="eth1/8"/>
    <x v="0"/>
    <x v="0"/>
    <x v="0"/>
    <s v="DESC"/>
    <x v="6"/>
    <b v="0"/>
    <s v="No está en VPC"/>
    <n v="411"/>
    <s v="INTPG_PC_411_1.5-8"/>
    <s v="ISEL-1.8"/>
    <n v="1"/>
    <s v="NO TIENE L3OUT"/>
    <n v="96"/>
    <n v="96"/>
  </r>
  <r>
    <n v="116"/>
    <x v="0"/>
    <x v="272"/>
    <s v="eth1/8"/>
    <x v="0"/>
    <x v="0"/>
    <x v="0"/>
    <s v="COBROS NAVEGACION"/>
    <x v="6"/>
    <b v="0"/>
    <s v="No está en VPC"/>
    <n v="116"/>
    <s v="INTPG_ACC_116_1.8"/>
    <s v="ISEL-1.8"/>
    <n v="1"/>
    <s v="NO TIENE L3OUT"/>
    <n v="148"/>
    <n v="96"/>
  </r>
  <r>
    <n v="412"/>
    <x v="1"/>
    <x v="273"/>
    <s v="eth1/8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8"/>
    <x v="0"/>
    <x v="0"/>
    <x v="0"/>
    <s v="TemipAMX1"/>
    <x v="6"/>
    <b v="0"/>
    <s v="No está en VPC"/>
    <n v="120"/>
    <s v="INTPG_PC_120_1.4-8"/>
    <s v="ISEL-1.8"/>
    <n v="1"/>
    <s v="NO TIENE L3OUT"/>
    <n v="158"/>
    <n v="96"/>
  </r>
  <r>
    <n v="404"/>
    <x v="1"/>
    <x v="275"/>
    <s v="eth1/8"/>
    <x v="0"/>
    <x v="0"/>
    <x v="0"/>
    <s v="DESC"/>
    <x v="6"/>
    <b v="0"/>
    <s v="No está en VPC"/>
    <n v="404"/>
    <s v="INTPG_PC_404_1.7-8"/>
    <s v="ISEL-1.8"/>
    <n v="1"/>
    <s v="NO TIENE L3OUT"/>
    <n v="92"/>
    <n v="96"/>
  </r>
  <r>
    <n v="167"/>
    <x v="0"/>
    <x v="276"/>
    <s v="eth1/8"/>
    <x v="0"/>
    <x v="0"/>
    <x v="0"/>
    <s v="ESTANDAR GSS Y TS"/>
    <x v="6"/>
    <b v="0"/>
    <s v="No está en VPC"/>
    <n v="167"/>
    <s v="INTPG_ACC_167_1.8"/>
    <s v="ISEL-1.8"/>
    <n v="1"/>
    <s v="NO TIENE L3OUT"/>
    <n v="68"/>
    <n v="96"/>
  </r>
  <r>
    <n v="428"/>
    <x v="1"/>
    <x v="277"/>
    <s v="eth1/8"/>
    <x v="0"/>
    <x v="0"/>
    <x v="0"/>
    <s v="LDAP-IDM_DESARROLLO"/>
    <x v="6"/>
    <b v="0"/>
    <s v="No está en VPC"/>
    <n v="428"/>
    <s v="INTPG_PC_428_1.5-9"/>
    <s v="ISEL-1.8"/>
    <n v="1"/>
    <s v="NO TIENE L3OUT"/>
    <n v="102"/>
    <n v="96"/>
  </r>
  <r>
    <n v="903"/>
    <x v="2"/>
    <x v="278"/>
    <s v="eth1/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05"/>
    <x v="0"/>
    <x v="205"/>
    <s v="eth1/80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80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80"/>
    <x v="0"/>
    <x v="0"/>
    <x v="0"/>
    <s v="SIEMC"/>
    <x v="6"/>
    <b v="0"/>
    <s v="No está en VPC"/>
    <n v="104"/>
    <s v="INTPG_ACC_104_1.80"/>
    <s v="ISEL-1.80"/>
    <n v="1"/>
    <s v="NO TIENE L3OUT"/>
    <n v="194"/>
    <n v="96"/>
  </r>
  <r>
    <n v="158"/>
    <x v="0"/>
    <x v="208"/>
    <s v="eth1/80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80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80"/>
    <x v="0"/>
    <x v="1"/>
    <x v="1"/>
    <s v="SAPCCRATING15"/>
    <x v="6"/>
    <b v="0"/>
    <s v="No está en VPC"/>
    <n v="112"/>
    <s v="INTPG_VPC_112_1.80_114_1.78"/>
    <s v="ISEL-1.80"/>
    <n v="1"/>
    <s v="NO TIENE L3OUT"/>
    <n v="144"/>
    <n v="96"/>
  </r>
  <r>
    <n v="107"/>
    <x v="0"/>
    <x v="213"/>
    <s v="eth1/80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80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80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80"/>
    <x v="0"/>
    <x v="1"/>
    <x v="1"/>
    <s v="SAPCCRATING17"/>
    <x v="6"/>
    <b v="0"/>
    <s v="No está en VPC"/>
    <n v="114"/>
    <s v="INTPG_VPC_112_1.82_114_1.80"/>
    <s v="ISEL-1.80"/>
    <n v="1"/>
    <s v="NO TIENE L3OUT"/>
    <n v="144"/>
    <n v="96"/>
  </r>
  <r>
    <n v="124"/>
    <x v="0"/>
    <x v="217"/>
    <s v="eth1/80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80"/>
    <x v="0"/>
    <x v="0"/>
    <x v="0"/>
    <s v="COBROS NAVEGACION"/>
    <x v="6"/>
    <b v="0"/>
    <s v="No está en VPC"/>
    <n v="118"/>
    <s v="INTPG_ACC_118_1.80"/>
    <s v="ISEL-1.80"/>
    <n v="1"/>
    <s v="NO TIENE L3OUT"/>
    <n v="180"/>
    <n v="96"/>
  </r>
  <r>
    <n v="159"/>
    <x v="0"/>
    <x v="219"/>
    <s v="eth1/80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80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80"/>
    <x v="0"/>
    <x v="1"/>
    <x v="1"/>
    <s v="CELCITE"/>
    <x v="6"/>
    <b v="0"/>
    <s v="No está en VPC"/>
    <n v="163"/>
    <s v="INTPG_ACC_163_1.80"/>
    <s v="ISEL-1.80"/>
    <n v="1"/>
    <s v="NO TIENE L3OUT"/>
    <n v="140"/>
    <n v="96"/>
  </r>
  <r>
    <n v="407"/>
    <x v="1"/>
    <x v="224"/>
    <s v="eth1/80"/>
    <x v="1"/>
    <x v="1"/>
    <x v="0"/>
    <m/>
    <x v="6"/>
    <b v="0"/>
    <s v="No está en VPC"/>
    <n v="407"/>
    <s v="NO EXISTE PG"/>
    <s v="NO EXISTE ISEL"/>
    <n v="1"/>
    <s v="NO TIENE L3OUT"/>
    <n v="122"/>
    <n v="96"/>
  </r>
  <r>
    <n v="171"/>
    <x v="0"/>
    <x v="225"/>
    <s v="eth1/80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80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80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80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80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80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80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80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80"/>
    <x v="0"/>
    <x v="1"/>
    <x v="1"/>
    <s v="CORREO AMERICA MOVIL:OPENSTACK 1 :VC1-X4"/>
    <x v="6"/>
    <b v="0"/>
    <s v="No está en VPC"/>
    <n v="102"/>
    <s v="INTPG_PC_102_1.77-84"/>
    <s v="ISEL-1.80"/>
    <n v="15"/>
    <s v="NO TIENE L3OUT"/>
    <n v="228"/>
    <n v="96"/>
  </r>
  <r>
    <n v="122"/>
    <x v="0"/>
    <x v="237"/>
    <s v="eth1/80"/>
    <x v="1"/>
    <x v="1"/>
    <x v="2"/>
    <s v="INTRANET CORPORATIVA"/>
    <x v="6"/>
    <b v="0"/>
    <s v="No está en VPC"/>
    <n v="122"/>
    <s v="INTPG_ACC_122_1.80"/>
    <s v="ISEL-1.80"/>
    <n v="1"/>
    <s v="NO TIENE L3OUT"/>
    <n v="148"/>
    <n v="96"/>
  </r>
  <r>
    <n v="157"/>
    <x v="0"/>
    <x v="238"/>
    <s v="eth1/80"/>
    <x v="0"/>
    <x v="0"/>
    <x v="0"/>
    <s v="ARIESO_GEOLOCALIZACION"/>
    <x v="6"/>
    <b v="0"/>
    <s v="No está en VPC"/>
    <n v="157"/>
    <s v="INTPG_ACC_157_1.80"/>
    <s v="ISEL-1.80"/>
    <n v="2"/>
    <s v="NO TIENE L3OUT"/>
    <n v="202"/>
    <n v="96"/>
  </r>
  <r>
    <n v="408"/>
    <x v="1"/>
    <x v="239"/>
    <s v="eth1/80"/>
    <x v="0"/>
    <x v="0"/>
    <x v="0"/>
    <s v="9UCS-IXTLA-WEBEX-SERV2"/>
    <x v="6"/>
    <b v="0"/>
    <s v="No está en VPC"/>
    <n v="408"/>
    <s v="INTPG_ACC_408_1.80"/>
    <s v="ISEL-1.80"/>
    <n v="1"/>
    <s v="NO TIENE L3OUT"/>
    <n v="152"/>
    <n v="96"/>
  </r>
  <r>
    <n v="405"/>
    <x v="1"/>
    <x v="240"/>
    <s v="eth1/80"/>
    <x v="0"/>
    <x v="0"/>
    <x v="0"/>
    <s v="TO-ithfhpmvnorbd01"/>
    <x v="6"/>
    <b v="0"/>
    <s v="No está en VPC"/>
    <n v="405"/>
    <s v="INTPG_VPC_403_1.91_405_1.80"/>
    <s v="ISEL-1.80"/>
    <n v="1"/>
    <s v="NO TIENE L3OUT"/>
    <n v="138"/>
    <n v="96"/>
  </r>
  <r>
    <n v="169"/>
    <x v="0"/>
    <x v="241"/>
    <s v="eth1/80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80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80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80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80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80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80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80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80"/>
    <x v="0"/>
    <x v="0"/>
    <x v="0"/>
    <s v="ETH0_uxppldb2"/>
    <x v="6"/>
    <b v="0"/>
    <s v="No está en VPC"/>
    <n v="406"/>
    <s v="INTPG_ACC_406_1.80"/>
    <s v="ISEL-1.80"/>
    <n v="1"/>
    <s v="NO TIENE L3OUT"/>
    <n v="82"/>
    <n v="96"/>
  </r>
  <r>
    <n v="414"/>
    <x v="1"/>
    <x v="250"/>
    <s v="eth1/80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80"/>
    <x v="0"/>
    <x v="0"/>
    <x v="0"/>
    <s v="IXTAI5_SERVER"/>
    <x v="6"/>
    <b v="0"/>
    <s v="No está en VPC"/>
    <n v="416"/>
    <s v="INTPG_ACC_416_1.80"/>
    <s v="ISEL-1.80"/>
    <n v="1"/>
    <s v="NO TIENE L3OUT"/>
    <n v="110"/>
    <n v="96"/>
  </r>
  <r>
    <n v="418"/>
    <x v="1"/>
    <x v="252"/>
    <s v="eth1/80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80"/>
    <x v="0"/>
    <x v="1"/>
    <x v="1"/>
    <s v="Ixt_guardium01_Secundario"/>
    <x v="6"/>
    <b v="0"/>
    <s v="No está en VPC"/>
    <n v="413"/>
    <s v="INTPG_ACC_413_1.80"/>
    <s v="ISEL-1.80"/>
    <n v="1"/>
    <s v="NO TIENE L3OUT"/>
    <n v="126"/>
    <n v="96"/>
  </r>
  <r>
    <n v="403"/>
    <x v="1"/>
    <x v="254"/>
    <s v="eth1/80"/>
    <x v="0"/>
    <x v="0"/>
    <x v="0"/>
    <s v="ARIESO_LTE_RLR7ARI11"/>
    <x v="6"/>
    <b v="0"/>
    <s v="No está en VPC"/>
    <n v="403"/>
    <s v="INTPG_ACC_403_1.80"/>
    <s v="ISEL-1.80"/>
    <n v="1"/>
    <s v="NO TIENE L3OUT"/>
    <n v="150"/>
    <n v="96"/>
  </r>
  <r>
    <n v="125"/>
    <x v="0"/>
    <x v="255"/>
    <s v="eth1/80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80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80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80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80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80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80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80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80"/>
    <x v="0"/>
    <x v="0"/>
    <x v="0"/>
    <s v="eth1_vert03hpov_Secundario"/>
    <x v="6"/>
    <b v="0"/>
    <s v="No está en VPC"/>
    <n v="430"/>
    <s v="INTPG_ACC_430_1.80"/>
    <s v="ISEL-1.80"/>
    <n v="1"/>
    <s v="NO TIENE L3OUT"/>
    <n v="86"/>
    <n v="96"/>
  </r>
  <r>
    <n v="419"/>
    <x v="1"/>
    <x v="264"/>
    <s v="eth1/80"/>
    <x v="0"/>
    <x v="0"/>
    <x v="0"/>
    <s v="HP Proliant DL380p(f)"/>
    <x v="6"/>
    <b v="0"/>
    <s v="No está en VPC"/>
    <n v="419"/>
    <s v="INTPG_ACC_419_1.80"/>
    <s v="ISEL-1.80"/>
    <n v="1"/>
    <s v="NO TIENE L3OUT"/>
    <n v="70"/>
    <n v="96"/>
  </r>
  <r>
    <n v="155"/>
    <x v="0"/>
    <x v="265"/>
    <s v="eth1/80"/>
    <x v="0"/>
    <x v="1"/>
    <x v="1"/>
    <s v="GESTOR HUAWEI U2000 MW Tx"/>
    <x v="6"/>
    <b v="0"/>
    <s v="No está en VPC"/>
    <n v="155"/>
    <s v="INTPG_ACC_155_1.80"/>
    <s v="ISEL-1.80"/>
    <n v="1"/>
    <s v="NO TIENE L3OUT"/>
    <n v="198"/>
    <n v="96"/>
  </r>
  <r>
    <n v="409"/>
    <x v="1"/>
    <x v="266"/>
    <s v="eth1/80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80"/>
    <x v="0"/>
    <x v="0"/>
    <x v="0"/>
    <s v="TO_ITHAI9-eno2"/>
    <x v="6"/>
    <b v="0"/>
    <s v="No está en VPC"/>
    <n v="422"/>
    <s v="INTPG_ACC_422_1.80"/>
    <s v="ISEL-1.80"/>
    <n v="1"/>
    <s v="NO TIENE L3OUT"/>
    <n v="182"/>
    <n v="96"/>
  </r>
  <r>
    <n v="436"/>
    <x v="1"/>
    <x v="268"/>
    <s v="eth1/80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80"/>
    <x v="0"/>
    <x v="0"/>
    <x v="0"/>
    <s v="ITHRTCD2CONT4"/>
    <x v="6"/>
    <b v="0"/>
    <s v="No está en VPC"/>
    <n v="410"/>
    <s v="INTPG_ACC_410_1.80"/>
    <s v="ISEL-1.80"/>
    <n v="1"/>
    <s v="NO TIENE L3OUT"/>
    <n v="178"/>
    <n v="96"/>
  </r>
  <r>
    <n v="161"/>
    <x v="0"/>
    <x v="270"/>
    <s v="eth1/80"/>
    <x v="0"/>
    <x v="0"/>
    <x v="0"/>
    <s v="SFTMPP01"/>
    <x v="6"/>
    <b v="0"/>
    <s v="No está en VPC"/>
    <n v="161"/>
    <s v="INTPG_VPC_161_1.80_163_1.92"/>
    <s v="ISEL-1.80"/>
    <n v="1"/>
    <s v="NO TIENE L3OUT"/>
    <n v="102"/>
    <n v="96"/>
  </r>
  <r>
    <n v="411"/>
    <x v="1"/>
    <x v="271"/>
    <s v="eth1/80"/>
    <x v="0"/>
    <x v="0"/>
    <x v="0"/>
    <s v="OCC ITHCC1 GESTION"/>
    <x v="6"/>
    <b v="0"/>
    <s v="No está en VPC"/>
    <n v="411"/>
    <s v="INTPG_ACC_411_1.80"/>
    <s v="ISEL-1.80"/>
    <n v="1"/>
    <s v="NO TIENE L3OUT"/>
    <n v="96"/>
    <n v="96"/>
  </r>
  <r>
    <n v="116"/>
    <x v="0"/>
    <x v="272"/>
    <s v="eth1/80"/>
    <x v="0"/>
    <x v="0"/>
    <x v="0"/>
    <s v="LA-47R VIRTUALIZACION BLADES"/>
    <x v="6"/>
    <b v="0"/>
    <s v="No está en VPC"/>
    <n v="116"/>
    <s v="INTPG_ACC_116_1.80"/>
    <s v="ISEL-1.80"/>
    <n v="1"/>
    <s v="NO TIENE L3OUT"/>
    <n v="148"/>
    <n v="96"/>
  </r>
  <r>
    <n v="412"/>
    <x v="1"/>
    <x v="273"/>
    <s v="eth1/80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80"/>
    <x v="0"/>
    <x v="1"/>
    <x v="1"/>
    <s v="N/A"/>
    <x v="6"/>
    <b v="0"/>
    <s v="No está en VPC"/>
    <n v="120"/>
    <s v="INTPG_ACC_120_1.80"/>
    <s v="ISEL-1.80"/>
    <n v="1"/>
    <s v="NO TIENE L3OUT"/>
    <n v="158"/>
    <n v="96"/>
  </r>
  <r>
    <n v="404"/>
    <x v="1"/>
    <x v="275"/>
    <s v="eth1/80"/>
    <x v="0"/>
    <x v="0"/>
    <x v="0"/>
    <s v="ITHRTCD1CONT2"/>
    <x v="6"/>
    <b v="0"/>
    <s v="No está en VPC"/>
    <n v="404"/>
    <s v="INTPG_ACC_404_1.80"/>
    <s v="ISEL-1.80"/>
    <n v="1"/>
    <s v="NO TIENE L3OUT"/>
    <n v="92"/>
    <n v="96"/>
  </r>
  <r>
    <n v="167"/>
    <x v="0"/>
    <x v="276"/>
    <s v="eth1/80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80"/>
    <x v="0"/>
    <x v="0"/>
    <x v="0"/>
    <s v="SecAnLG_Gb1_04-Colector_R9-SA_IXTSALG_H9SA"/>
    <x v="6"/>
    <b v="0"/>
    <s v="No está en VPC"/>
    <n v="428"/>
    <s v="INTPG_ACC_428_1.80"/>
    <s v="ISEL-1.80"/>
    <n v="1"/>
    <s v="NO TIENE L3OUT"/>
    <n v="102"/>
    <n v="96"/>
  </r>
  <r>
    <n v="105"/>
    <x v="0"/>
    <x v="205"/>
    <s v="eth1/81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81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81"/>
    <x v="0"/>
    <x v="1"/>
    <x v="1"/>
    <m/>
    <x v="6"/>
    <b v="0"/>
    <s v="No está en VPC"/>
    <n v="104"/>
    <s v="NO EXISTE PG"/>
    <s v="NO EXISTE ISEL"/>
    <n v="0"/>
    <s v="NO TIENE L3OUT"/>
    <n v="194"/>
    <n v="96"/>
  </r>
  <r>
    <n v="158"/>
    <x v="0"/>
    <x v="208"/>
    <s v="eth1/81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81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81"/>
    <x v="0"/>
    <x v="1"/>
    <x v="1"/>
    <s v="SAPCCRATING16"/>
    <x v="6"/>
    <b v="0"/>
    <s v="No está en VPC"/>
    <n v="112"/>
    <s v="INTPG_VPC_112_1.81_114_1.79"/>
    <s v="ISEL-1.81"/>
    <n v="1"/>
    <s v="NO TIENE L3OUT"/>
    <n v="144"/>
    <n v="96"/>
  </r>
  <r>
    <n v="107"/>
    <x v="0"/>
    <x v="213"/>
    <s v="eth1/81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81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81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81"/>
    <x v="0"/>
    <x v="1"/>
    <x v="1"/>
    <s v="SAPCCRATING18"/>
    <x v="6"/>
    <b v="0"/>
    <s v="No está en VPC"/>
    <n v="114"/>
    <s v="INTPG_VPC_112_1.83_114_1.81"/>
    <s v="ISEL-1.81"/>
    <n v="1"/>
    <s v="NO TIENE L3OUT"/>
    <n v="144"/>
    <n v="96"/>
  </r>
  <r>
    <n v="124"/>
    <x v="0"/>
    <x v="217"/>
    <s v="eth1/81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81"/>
    <x v="0"/>
    <x v="0"/>
    <x v="0"/>
    <s v="COBROS NAVEGACION"/>
    <x v="6"/>
    <b v="0"/>
    <s v="No está en VPC"/>
    <n v="118"/>
    <s v="INTPG_ACC_118_1.81"/>
    <s v="ISEL-1.81"/>
    <n v="1"/>
    <s v="NO TIENE L3OUT"/>
    <n v="180"/>
    <n v="96"/>
  </r>
  <r>
    <n v="159"/>
    <x v="0"/>
    <x v="219"/>
    <s v="eth1/81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81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81"/>
    <x v="0"/>
    <x v="1"/>
    <x v="1"/>
    <s v="VIRTUAL MACHINE 1"/>
    <x v="6"/>
    <b v="0"/>
    <s v="No está en VPC"/>
    <n v="163"/>
    <s v="INTPG_ACC_163_1.81"/>
    <s v="ISEL-1.81"/>
    <n v="1"/>
    <s v="NO TIENE L3OUT"/>
    <n v="140"/>
    <n v="96"/>
  </r>
  <r>
    <n v="407"/>
    <x v="1"/>
    <x v="224"/>
    <s v="eth1/81"/>
    <x v="1"/>
    <x v="1"/>
    <x v="0"/>
    <m/>
    <x v="6"/>
    <b v="0"/>
    <s v="No está en VPC"/>
    <n v="407"/>
    <s v="NO EXISTE PG"/>
    <s v="NO EXISTE ISEL"/>
    <n v="1"/>
    <s v="NO TIENE L3OUT"/>
    <n v="122"/>
    <n v="96"/>
  </r>
  <r>
    <n v="171"/>
    <x v="0"/>
    <x v="225"/>
    <s v="eth1/81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81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81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81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81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81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81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81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81"/>
    <x v="0"/>
    <x v="1"/>
    <x v="1"/>
    <s v="CORREO AMERICA MOVIL:OPENSTACK 1 :VC1-X5"/>
    <x v="6"/>
    <b v="0"/>
    <s v="No está en VPC"/>
    <n v="102"/>
    <s v="INTPG_PC_102_1.77-84"/>
    <s v="ISEL-1.81"/>
    <n v="15"/>
    <s v="NO TIENE L3OUT"/>
    <n v="228"/>
    <n v="96"/>
  </r>
  <r>
    <n v="122"/>
    <x v="0"/>
    <x v="237"/>
    <s v="eth1/81"/>
    <x v="1"/>
    <x v="1"/>
    <x v="2"/>
    <s v="INTRANET CORPORATIVA"/>
    <x v="6"/>
    <b v="0"/>
    <s v="No está en VPC"/>
    <n v="122"/>
    <s v="INTPG_ACC_122_1.81"/>
    <s v="ISEL-1.81"/>
    <n v="0"/>
    <s v="NO TIENE L3OUT"/>
    <n v="148"/>
    <n v="96"/>
  </r>
  <r>
    <n v="157"/>
    <x v="0"/>
    <x v="238"/>
    <s v="eth1/81"/>
    <x v="0"/>
    <x v="0"/>
    <x v="0"/>
    <s v="Consolidaci\u00f3n Aplicaciones Prepago"/>
    <x v="6"/>
    <b v="0"/>
    <s v="No está en VPC"/>
    <n v="157"/>
    <s v="INTPG_ACC_157_1.81"/>
    <s v="ISEL-1.81"/>
    <n v="1"/>
    <s v="NO TIENE L3OUT"/>
    <n v="202"/>
    <n v="96"/>
  </r>
  <r>
    <n v="408"/>
    <x v="1"/>
    <x v="239"/>
    <s v="eth1/81"/>
    <x v="0"/>
    <x v="0"/>
    <x v="0"/>
    <s v="9UCS-IXTLA-WEBEX-SERV3"/>
    <x v="6"/>
    <b v="0"/>
    <s v="No está en VPC"/>
    <n v="408"/>
    <s v="INTPG_ACC_408_1.81"/>
    <s v="ISEL-1.81"/>
    <n v="1"/>
    <s v="NO TIENE L3OUT"/>
    <n v="152"/>
    <n v="96"/>
  </r>
  <r>
    <n v="405"/>
    <x v="1"/>
    <x v="240"/>
    <s v="eth1/81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81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81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81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81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81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81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81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81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81"/>
    <x v="0"/>
    <x v="0"/>
    <x v="0"/>
    <s v="uxhdr01b"/>
    <x v="6"/>
    <b v="0"/>
    <s v="No está en VPC"/>
    <n v="406"/>
    <s v="INTPG_ACC_406_1.81"/>
    <s v="ISEL-1.81"/>
    <n v="1"/>
    <s v="NO TIENE L3OUT"/>
    <n v="82"/>
    <n v="96"/>
  </r>
  <r>
    <n v="414"/>
    <x v="1"/>
    <x v="250"/>
    <s v="eth1/81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81"/>
    <x v="0"/>
    <x v="0"/>
    <x v="0"/>
    <s v="IXTAI6_SERVER"/>
    <x v="6"/>
    <b v="0"/>
    <s v="No está en VPC"/>
    <n v="416"/>
    <s v="INTPG_ACC_416_1.81"/>
    <s v="ISEL-1.81"/>
    <n v="1"/>
    <s v="NO TIENE L3OUT"/>
    <n v="110"/>
    <n v="96"/>
  </r>
  <r>
    <n v="418"/>
    <x v="1"/>
    <x v="252"/>
    <s v="eth1/81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81"/>
    <x v="0"/>
    <x v="1"/>
    <x v="1"/>
    <s v="Ixt_guardium02_Secundario"/>
    <x v="6"/>
    <b v="0"/>
    <s v="No está en VPC"/>
    <n v="413"/>
    <s v="INTPG_ACC_413_1.81"/>
    <s v="ISEL-1.81"/>
    <n v="1"/>
    <s v="NO TIENE L3OUT"/>
    <n v="126"/>
    <n v="96"/>
  </r>
  <r>
    <n v="403"/>
    <x v="1"/>
    <x v="254"/>
    <s v="eth1/81"/>
    <x v="0"/>
    <x v="0"/>
    <x v="0"/>
    <s v="SOEM_prim_iLO"/>
    <x v="6"/>
    <b v="0"/>
    <s v="No está en VPC"/>
    <n v="403"/>
    <s v="INTPG_ACC_403_1.81"/>
    <s v="ISEL-1.81"/>
    <n v="1"/>
    <s v="NO TIENE L3OUT"/>
    <n v="150"/>
    <n v="96"/>
  </r>
  <r>
    <n v="125"/>
    <x v="0"/>
    <x v="255"/>
    <s v="eth1/81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81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81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81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81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81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81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81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81"/>
    <x v="0"/>
    <x v="0"/>
    <x v="0"/>
    <s v="eth1_ora01hpov_Secundario"/>
    <x v="6"/>
    <b v="0"/>
    <s v="No está en VPC"/>
    <n v="430"/>
    <s v="INTPG_ACC_430_1.81"/>
    <s v="ISEL-1.81"/>
    <n v="1"/>
    <s v="NO TIENE L3OUT"/>
    <n v="86"/>
    <n v="96"/>
  </r>
  <r>
    <n v="419"/>
    <x v="1"/>
    <x v="264"/>
    <s v="eth1/81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81"/>
    <x v="0"/>
    <x v="1"/>
    <x v="1"/>
    <s v="GESTOR HUAWEI U2000 MW Tx"/>
    <x v="6"/>
    <b v="0"/>
    <s v="No está en VPC"/>
    <n v="155"/>
    <s v="INTPG_ACC_155_1.81"/>
    <s v="ISEL-1.81"/>
    <n v="1"/>
    <s v="NO TIENE L3OUT"/>
    <n v="198"/>
    <n v="96"/>
  </r>
  <r>
    <n v="409"/>
    <x v="1"/>
    <x v="266"/>
    <s v="eth1/81"/>
    <x v="1"/>
    <x v="1"/>
    <x v="0"/>
    <m/>
    <x v="6"/>
    <b v="0"/>
    <s v="No está en VPC"/>
    <n v="409"/>
    <s v="NO EXISTE PG"/>
    <s v="NO EXISTE ISEL"/>
    <n v="1"/>
    <s v="NO TIENE L3OUT"/>
    <n v="128"/>
    <n v="96"/>
  </r>
  <r>
    <n v="422"/>
    <x v="1"/>
    <x v="267"/>
    <s v="eth1/81"/>
    <x v="0"/>
    <x v="0"/>
    <x v="0"/>
    <s v="TO_ITHAI9-eno6"/>
    <x v="6"/>
    <b v="0"/>
    <s v="No está en VPC"/>
    <n v="422"/>
    <s v="INTPG_ACC_422_1.81"/>
    <s v="ISEL-1.81"/>
    <n v="1"/>
    <s v="NO TIENE L3OUT"/>
    <n v="182"/>
    <n v="96"/>
  </r>
  <r>
    <n v="436"/>
    <x v="1"/>
    <x v="268"/>
    <s v="eth1/81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81"/>
    <x v="0"/>
    <x v="0"/>
    <x v="0"/>
    <s v="ITHRTCD2SP1"/>
    <x v="6"/>
    <b v="0"/>
    <s v="No está en VPC"/>
    <n v="410"/>
    <s v="INTPG_ACC_410_1.81"/>
    <s v="ISEL-1.81"/>
    <n v="1"/>
    <s v="NO TIENE L3OUT"/>
    <n v="178"/>
    <n v="96"/>
  </r>
  <r>
    <n v="161"/>
    <x v="0"/>
    <x v="270"/>
    <s v="eth1/81"/>
    <x v="0"/>
    <x v="0"/>
    <x v="0"/>
    <s v="SFODPP02_CM"/>
    <x v="6"/>
    <b v="0"/>
    <s v="No está en VPC"/>
    <n v="161"/>
    <s v="INTPG_VPC_161_1.81_163_1.93"/>
    <s v="ISEL-1.81"/>
    <n v="1"/>
    <s v="NO TIENE L3OUT"/>
    <n v="102"/>
    <n v="96"/>
  </r>
  <r>
    <n v="411"/>
    <x v="1"/>
    <x v="271"/>
    <s v="eth1/81"/>
    <x v="0"/>
    <x v="0"/>
    <x v="0"/>
    <s v="OCC ITHCC1 TRAFICO GY-RO"/>
    <x v="6"/>
    <b v="0"/>
    <s v="No está en VPC"/>
    <n v="411"/>
    <s v="INTPG_ACC_411_1.81"/>
    <s v="ISEL-1.81"/>
    <n v="1"/>
    <s v="NO TIENE L3OUT"/>
    <n v="96"/>
    <n v="96"/>
  </r>
  <r>
    <n v="116"/>
    <x v="0"/>
    <x v="272"/>
    <s v="eth1/81"/>
    <x v="0"/>
    <x v="0"/>
    <x v="0"/>
    <s v="LA-47R VIRTUALIZACION BLADES"/>
    <x v="6"/>
    <b v="0"/>
    <s v="No está en VPC"/>
    <n v="116"/>
    <s v="INTPG_ACC_116_1.81"/>
    <s v="ISEL-1.81"/>
    <n v="1"/>
    <s v="NO TIENE L3OUT"/>
    <n v="148"/>
    <n v="96"/>
  </r>
  <r>
    <n v="412"/>
    <x v="1"/>
    <x v="273"/>
    <s v="eth1/81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81"/>
    <x v="0"/>
    <x v="0"/>
    <x v="0"/>
    <s v="N/A"/>
    <x v="6"/>
    <b v="0"/>
    <s v="No está en VPC"/>
    <n v="120"/>
    <s v="INTPG_ACC_120_1.81"/>
    <s v="ISEL-1.81"/>
    <n v="1"/>
    <s v="NO TIENE L3OUT"/>
    <n v="158"/>
    <n v="96"/>
  </r>
  <r>
    <n v="404"/>
    <x v="1"/>
    <x v="275"/>
    <s v="eth1/81"/>
    <x v="0"/>
    <x v="0"/>
    <x v="0"/>
    <s v="ITHRTCD1SP12"/>
    <x v="6"/>
    <b v="0"/>
    <s v="No está en VPC"/>
    <n v="404"/>
    <s v="INTPG_ACC_404_1.81"/>
    <s v="ISEL-1.81"/>
    <n v="1"/>
    <s v="NO TIENE L3OUT"/>
    <n v="92"/>
    <n v="96"/>
  </r>
  <r>
    <n v="167"/>
    <x v="0"/>
    <x v="276"/>
    <s v="eth1/81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81"/>
    <x v="0"/>
    <x v="0"/>
    <x v="0"/>
    <s v="SecAnLG_Gb1_05-Colector_R1toR8_RD-IXTSALG_H1_8RD"/>
    <x v="6"/>
    <b v="0"/>
    <s v="No está en VPC"/>
    <n v="428"/>
    <s v="INTPG_ACC_428_1.81"/>
    <s v="ISEL-1.81"/>
    <n v="1"/>
    <s v="NO TIENE L3OUT"/>
    <n v="102"/>
    <n v="96"/>
  </r>
  <r>
    <n v="105"/>
    <x v="0"/>
    <x v="205"/>
    <s v="eth1/82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82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82"/>
    <x v="0"/>
    <x v="1"/>
    <x v="1"/>
    <m/>
    <x v="6"/>
    <b v="0"/>
    <s v="No está en VPC"/>
    <n v="104"/>
    <s v="NO EXISTE PG"/>
    <s v="NO EXISTE ISEL"/>
    <n v="0"/>
    <s v="NO TIENE L3OUT"/>
    <n v="194"/>
    <n v="96"/>
  </r>
  <r>
    <n v="158"/>
    <x v="0"/>
    <x v="208"/>
    <s v="eth1/82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82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82"/>
    <x v="0"/>
    <x v="1"/>
    <x v="1"/>
    <s v="SAPCCRATING17"/>
    <x v="6"/>
    <b v="0"/>
    <s v="No está en VPC"/>
    <n v="112"/>
    <s v="INTPG_VPC_112_1.82_114_1.80"/>
    <s v="ISEL-1.82"/>
    <n v="1"/>
    <s v="NO TIENE L3OUT"/>
    <n v="144"/>
    <n v="96"/>
  </r>
  <r>
    <n v="107"/>
    <x v="0"/>
    <x v="213"/>
    <s v="eth1/82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82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82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82"/>
    <x v="0"/>
    <x v="1"/>
    <x v="1"/>
    <s v="SAPCCRATING19"/>
    <x v="6"/>
    <b v="0"/>
    <s v="No está en VPC"/>
    <n v="114"/>
    <s v="INTPG_VPC_112_1.84_114_1.82"/>
    <s v="ISEL-1.82"/>
    <n v="1"/>
    <s v="NO TIENE L3OUT"/>
    <n v="144"/>
    <n v="96"/>
  </r>
  <r>
    <n v="124"/>
    <x v="0"/>
    <x v="217"/>
    <s v="eth1/82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82"/>
    <x v="0"/>
    <x v="1"/>
    <x v="1"/>
    <m/>
    <x v="6"/>
    <b v="0"/>
    <s v="No está en VPC"/>
    <n v="118"/>
    <s v="NO EXISTE PG"/>
    <s v="NO EXISTE ISEL"/>
    <n v="0"/>
    <s v="NO TIENE L3OUT"/>
    <n v="180"/>
    <n v="96"/>
  </r>
  <r>
    <n v="159"/>
    <x v="0"/>
    <x v="219"/>
    <s v="eth1/82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82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82"/>
    <x v="0"/>
    <x v="0"/>
    <x v="0"/>
    <s v="CELCITE"/>
    <x v="6"/>
    <b v="0"/>
    <s v="No está en VPC"/>
    <n v="163"/>
    <s v="INTPG_ACC_163_1.82"/>
    <s v="ISEL-1.82"/>
    <n v="1"/>
    <s v="NO TIENE L3OUT"/>
    <n v="140"/>
    <n v="96"/>
  </r>
  <r>
    <n v="407"/>
    <x v="1"/>
    <x v="224"/>
    <s v="eth1/82"/>
    <x v="1"/>
    <x v="1"/>
    <x v="0"/>
    <m/>
    <x v="6"/>
    <b v="0"/>
    <s v="No está en VPC"/>
    <n v="407"/>
    <s v="NO EXISTE PG"/>
    <s v="NO EXISTE ISEL"/>
    <n v="1"/>
    <s v="NO TIENE L3OUT"/>
    <n v="122"/>
    <n v="96"/>
  </r>
  <r>
    <n v="171"/>
    <x v="0"/>
    <x v="225"/>
    <s v="eth1/82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82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82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82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82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82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82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82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82"/>
    <x v="0"/>
    <x v="1"/>
    <x v="1"/>
    <s v="CORREO AMERICA MOVIL:OPENSTACK 1 :VC1-X6"/>
    <x v="6"/>
    <b v="0"/>
    <s v="No está en VPC"/>
    <n v="102"/>
    <s v="INTPG_PC_102_1.77-84"/>
    <s v="ISEL-1.82"/>
    <n v="15"/>
    <s v="NO TIENE L3OUT"/>
    <n v="228"/>
    <n v="96"/>
  </r>
  <r>
    <n v="122"/>
    <x v="0"/>
    <x v="237"/>
    <s v="eth1/82"/>
    <x v="1"/>
    <x v="1"/>
    <x v="2"/>
    <s v="INTRANET CORPORATIVA"/>
    <x v="6"/>
    <b v="0"/>
    <s v="No está en VPC"/>
    <n v="122"/>
    <s v="INTPG_ACC_122_1.82"/>
    <s v="ISEL-1.82"/>
    <n v="1"/>
    <s v="NO TIENE L3OUT"/>
    <n v="148"/>
    <n v="96"/>
  </r>
  <r>
    <n v="157"/>
    <x v="0"/>
    <x v="238"/>
    <s v="eth1/82"/>
    <x v="0"/>
    <x v="0"/>
    <x v="0"/>
    <s v="Consolidaci\u00f3n Aplicaciones Prepago"/>
    <x v="6"/>
    <b v="0"/>
    <s v="No está en VPC"/>
    <n v="157"/>
    <s v="INTPG_ACC_157_1.82"/>
    <s v="ISEL-1.82"/>
    <n v="1"/>
    <s v="NO TIENE L3OUT"/>
    <n v="202"/>
    <n v="96"/>
  </r>
  <r>
    <n v="408"/>
    <x v="1"/>
    <x v="239"/>
    <s v="eth1/82"/>
    <x v="0"/>
    <x v="0"/>
    <x v="0"/>
    <s v="9UCS-IXTLA-WEBEX-SERV4"/>
    <x v="6"/>
    <b v="0"/>
    <s v="No está en VPC"/>
    <n v="408"/>
    <s v="INTPG_ACC_408_1.82"/>
    <s v="ISEL-1.82"/>
    <n v="1"/>
    <s v="NO TIENE L3OUT"/>
    <n v="152"/>
    <n v="96"/>
  </r>
  <r>
    <n v="405"/>
    <x v="1"/>
    <x v="240"/>
    <s v="eth1/82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82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82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82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82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82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82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82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82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82"/>
    <x v="0"/>
    <x v="0"/>
    <x v="0"/>
    <s v="ETH1_uxppldb1"/>
    <x v="6"/>
    <b v="0"/>
    <s v="No está en VPC"/>
    <n v="406"/>
    <s v="INTPG_ACC_406_1.82"/>
    <s v="ISEL-1.82"/>
    <n v="1"/>
    <s v="NO TIENE L3OUT"/>
    <n v="82"/>
    <n v="96"/>
  </r>
  <r>
    <n v="414"/>
    <x v="1"/>
    <x v="250"/>
    <s v="eth1/82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82"/>
    <x v="0"/>
    <x v="0"/>
    <x v="0"/>
    <s v="IXTSD969A"/>
    <x v="6"/>
    <b v="0"/>
    <s v="No está en VPC"/>
    <n v="416"/>
    <s v="INTPG_ACC_416_1.82"/>
    <s v="ISEL-1.82"/>
    <n v="1"/>
    <s v="NO TIENE L3OUT"/>
    <n v="110"/>
    <n v="96"/>
  </r>
  <r>
    <n v="418"/>
    <x v="1"/>
    <x v="252"/>
    <s v="eth1/82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82"/>
    <x v="0"/>
    <x v="1"/>
    <x v="1"/>
    <s v="F5-IXE-VTAE"/>
    <x v="6"/>
    <b v="0"/>
    <s v="No está en VPC"/>
    <n v="413"/>
    <s v="INTPG_ACC_413_1.82"/>
    <s v="ISEL-1.82"/>
    <n v="2"/>
    <s v="NO TIENE L3OUT"/>
    <n v="126"/>
    <n v="96"/>
  </r>
  <r>
    <n v="403"/>
    <x v="1"/>
    <x v="254"/>
    <s v="eth1/82"/>
    <x v="0"/>
    <x v="0"/>
    <x v="0"/>
    <s v="SOEM_prim_eth0"/>
    <x v="6"/>
    <b v="0"/>
    <s v="No está en VPC"/>
    <n v="403"/>
    <s v="INTPG_ACC_403_1.82"/>
    <s v="ISEL-1.82"/>
    <n v="1"/>
    <s v="NO TIENE L3OUT"/>
    <n v="150"/>
    <n v="96"/>
  </r>
  <r>
    <n v="125"/>
    <x v="0"/>
    <x v="255"/>
    <s v="eth1/82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82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82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82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82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82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82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82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82"/>
    <x v="0"/>
    <x v="0"/>
    <x v="0"/>
    <s v="eth1_ora02hpov_Secundario"/>
    <x v="6"/>
    <b v="0"/>
    <s v="No está en VPC"/>
    <n v="430"/>
    <s v="INTPG_ACC_430_1.82"/>
    <s v="ISEL-1.82"/>
    <n v="1"/>
    <s v="NO TIENE L3OUT"/>
    <n v="86"/>
    <n v="96"/>
  </r>
  <r>
    <n v="419"/>
    <x v="1"/>
    <x v="264"/>
    <s v="eth1/82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82"/>
    <x v="0"/>
    <x v="0"/>
    <x v="0"/>
    <s v="SNA TEST BED"/>
    <x v="6"/>
    <b v="0"/>
    <s v="No está en VPC"/>
    <n v="155"/>
    <s v="INTPG_ACC_155_1.82"/>
    <s v="ISEL-1.82"/>
    <n v="0"/>
    <s v="L3OUT-SNA-IPCORP-A21"/>
    <n v="198"/>
    <n v="96"/>
  </r>
  <r>
    <n v="409"/>
    <x v="1"/>
    <x v="266"/>
    <s v="eth1/82"/>
    <x v="1"/>
    <x v="1"/>
    <x v="0"/>
    <m/>
    <x v="6"/>
    <b v="0"/>
    <s v="No está en VPC"/>
    <n v="409"/>
    <s v="NO EXISTE PG"/>
    <s v="NO EXISTE ISEL"/>
    <n v="1"/>
    <s v="NO TIENE L3OUT"/>
    <n v="128"/>
    <n v="96"/>
  </r>
  <r>
    <n v="422"/>
    <x v="1"/>
    <x v="267"/>
    <s v="eth1/82"/>
    <x v="0"/>
    <x v="0"/>
    <x v="0"/>
    <s v="TO_ITHAI10-eno2"/>
    <x v="6"/>
    <b v="0"/>
    <s v="No está en VPC"/>
    <n v="422"/>
    <s v="INTPG_ACC_422_1.82"/>
    <s v="ISEL-1.82"/>
    <n v="1"/>
    <s v="NO TIENE L3OUT"/>
    <n v="182"/>
    <n v="96"/>
  </r>
  <r>
    <n v="436"/>
    <x v="1"/>
    <x v="268"/>
    <s v="eth1/82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82"/>
    <x v="0"/>
    <x v="0"/>
    <x v="0"/>
    <s v="ITHRTCD2SSW2"/>
    <x v="6"/>
    <b v="0"/>
    <s v="No está en VPC"/>
    <n v="410"/>
    <s v="INTPG_ACC_410_1.82"/>
    <s v="ISEL-1.82"/>
    <n v="1"/>
    <s v="NO TIENE L3OUT"/>
    <n v="178"/>
    <n v="96"/>
  </r>
  <r>
    <n v="161"/>
    <x v="0"/>
    <x v="270"/>
    <s v="eth1/82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82"/>
    <x v="0"/>
    <x v="0"/>
    <x v="0"/>
    <s v="OCC ITHCC1  TRAFICO SCTP CIP"/>
    <x v="6"/>
    <b v="0"/>
    <s v="No está en VPC"/>
    <n v="411"/>
    <s v="INTPG_ACC_411_1.82"/>
    <s v="ISEL-1.82"/>
    <n v="1"/>
    <s v="NO TIENE L3OUT"/>
    <n v="96"/>
    <n v="96"/>
  </r>
  <r>
    <n v="116"/>
    <x v="0"/>
    <x v="272"/>
    <s v="eth1/82"/>
    <x v="0"/>
    <x v="0"/>
    <x v="0"/>
    <s v="LA-47R VIRTUALIZACION BLADES"/>
    <x v="6"/>
    <b v="0"/>
    <s v="No está en VPC"/>
    <n v="116"/>
    <s v="INTPG_ACC_116_1.82"/>
    <s v="ISEL-1.82"/>
    <n v="1"/>
    <s v="NO TIENE L3OUT"/>
    <n v="148"/>
    <n v="96"/>
  </r>
  <r>
    <n v="412"/>
    <x v="1"/>
    <x v="273"/>
    <s v="eth1/82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82"/>
    <x v="0"/>
    <x v="0"/>
    <x v="0"/>
    <s v="N/A"/>
    <x v="6"/>
    <b v="0"/>
    <s v="No está en VPC"/>
    <n v="120"/>
    <s v="INTPG_ACC_120_1.82"/>
    <s v="ISEL-1.82"/>
    <n v="1"/>
    <s v="NO TIENE L3OUT"/>
    <n v="158"/>
    <n v="96"/>
  </r>
  <r>
    <n v="404"/>
    <x v="1"/>
    <x v="275"/>
    <s v="eth1/82"/>
    <x v="0"/>
    <x v="0"/>
    <x v="0"/>
    <s v="ITHRTCD1SSWA"/>
    <x v="6"/>
    <b v="0"/>
    <s v="No está en VPC"/>
    <n v="404"/>
    <s v="INTPG_ACC_404_1.82"/>
    <s v="ISEL-1.82"/>
    <n v="1"/>
    <s v="NO TIENE L3OUT"/>
    <n v="92"/>
    <n v="96"/>
  </r>
  <r>
    <n v="167"/>
    <x v="0"/>
    <x v="276"/>
    <s v="eth1/82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82"/>
    <x v="0"/>
    <x v="0"/>
    <x v="0"/>
    <s v="SecAnLG_Gb1_06-Colector_R9_RD-IXTSALG_H9RD"/>
    <x v="6"/>
    <b v="0"/>
    <s v="No está en VPC"/>
    <n v="428"/>
    <s v="INTPG_ACC_428_1.82"/>
    <s v="ISEL-1.82"/>
    <n v="1"/>
    <s v="NO TIENE L3OUT"/>
    <n v="102"/>
    <n v="96"/>
  </r>
  <r>
    <n v="105"/>
    <x v="0"/>
    <x v="205"/>
    <s v="eth1/83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83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83"/>
    <x v="0"/>
    <x v="1"/>
    <x v="1"/>
    <s v="CORREO AMERICA MOVIL"/>
    <x v="6"/>
    <b v="0"/>
    <s v="No está en VPC"/>
    <n v="104"/>
    <s v="INTPG_ACC_104_1.83"/>
    <s v="ISEL-1.83"/>
    <n v="1"/>
    <s v="NO TIENE L3OUT"/>
    <n v="194"/>
    <n v="96"/>
  </r>
  <r>
    <n v="158"/>
    <x v="0"/>
    <x v="208"/>
    <s v="eth1/83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83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83"/>
    <x v="0"/>
    <x v="1"/>
    <x v="1"/>
    <s v="SAPCCRATING18"/>
    <x v="6"/>
    <b v="0"/>
    <s v="No está en VPC"/>
    <n v="112"/>
    <s v="INTPG_VPC_112_1.83_114_1.81"/>
    <s v="ISEL-1.83"/>
    <n v="1"/>
    <s v="NO TIENE L3OUT"/>
    <n v="144"/>
    <n v="96"/>
  </r>
  <r>
    <n v="107"/>
    <x v="0"/>
    <x v="213"/>
    <s v="eth1/83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83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83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83"/>
    <x v="0"/>
    <x v="1"/>
    <x v="1"/>
    <s v="SAPCCRATING20"/>
    <x v="6"/>
    <b v="0"/>
    <s v="No está en VPC"/>
    <n v="114"/>
    <s v="INTPG_VPC_112_1.85_114_1.83"/>
    <s v="ISEL-1.83"/>
    <n v="1"/>
    <s v="NO TIENE L3OUT"/>
    <n v="144"/>
    <n v="96"/>
  </r>
  <r>
    <n v="124"/>
    <x v="0"/>
    <x v="217"/>
    <s v="eth1/83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83"/>
    <x v="0"/>
    <x v="1"/>
    <x v="1"/>
    <m/>
    <x v="6"/>
    <b v="0"/>
    <s v="No está en VPC"/>
    <n v="118"/>
    <s v="NO EXISTE PG"/>
    <s v="NO EXISTE ISEL"/>
    <n v="0"/>
    <s v="NO TIENE L3OUT"/>
    <n v="180"/>
    <n v="96"/>
  </r>
  <r>
    <n v="159"/>
    <x v="0"/>
    <x v="219"/>
    <s v="eth1/83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83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83"/>
    <x v="0"/>
    <x v="0"/>
    <x v="0"/>
    <s v="CELCITE"/>
    <x v="6"/>
    <b v="0"/>
    <s v="No está en VPC"/>
    <n v="163"/>
    <s v="INTPG_ACC_163_1.83"/>
    <s v="ISEL-1.83"/>
    <n v="1"/>
    <s v="NO TIENE L3OUT"/>
    <n v="140"/>
    <n v="96"/>
  </r>
  <r>
    <n v="407"/>
    <x v="1"/>
    <x v="224"/>
    <s v="eth1/83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83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83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83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83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83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83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83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83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83"/>
    <x v="0"/>
    <x v="1"/>
    <x v="1"/>
    <s v="CORREO AMERICA MOVIL:OPENSTACK 1 :VC1-X7"/>
    <x v="6"/>
    <b v="0"/>
    <s v="No está en VPC"/>
    <n v="102"/>
    <s v="INTPG_PC_102_1.77-84"/>
    <s v="ISEL-1.83"/>
    <n v="15"/>
    <s v="NO TIENE L3OUT"/>
    <n v="228"/>
    <n v="96"/>
  </r>
  <r>
    <n v="122"/>
    <x v="0"/>
    <x v="237"/>
    <s v="eth1/83"/>
    <x v="1"/>
    <x v="1"/>
    <x v="2"/>
    <s v="INTRANET CORPORATIVA"/>
    <x v="6"/>
    <b v="0"/>
    <s v="No está en VPC"/>
    <n v="122"/>
    <s v="INTPG_ACC_122_1.83"/>
    <s v="ISEL-1.83"/>
    <n v="1"/>
    <s v="NO TIENE L3OUT"/>
    <n v="148"/>
    <n v="96"/>
  </r>
  <r>
    <n v="157"/>
    <x v="0"/>
    <x v="238"/>
    <s v="eth1/83"/>
    <x v="0"/>
    <x v="0"/>
    <x v="0"/>
    <s v="Consolidaci\u00f3n Aplicaciones Prepago"/>
    <x v="6"/>
    <b v="0"/>
    <s v="No está en VPC"/>
    <n v="157"/>
    <s v="INTPG_ACC_157_1.83"/>
    <s v="ISEL-1.83"/>
    <n v="1"/>
    <s v="NO TIENE L3OUT"/>
    <n v="202"/>
    <n v="96"/>
  </r>
  <r>
    <n v="408"/>
    <x v="1"/>
    <x v="239"/>
    <s v="eth1/83"/>
    <x v="0"/>
    <x v="0"/>
    <x v="0"/>
    <s v="9UCS-IXTLA-WEBEX-SERV1"/>
    <x v="6"/>
    <b v="0"/>
    <s v="No está en VPC"/>
    <n v="408"/>
    <s v="INTPG_ACC_408_1.83"/>
    <s v="ISEL-1.83"/>
    <n v="1"/>
    <s v="NO TIENE L3OUT"/>
    <n v="152"/>
    <n v="96"/>
  </r>
  <r>
    <n v="405"/>
    <x v="1"/>
    <x v="240"/>
    <s v="eth1/83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83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83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83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83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83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83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83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83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83"/>
    <x v="1"/>
    <x v="1"/>
    <x v="2"/>
    <m/>
    <x v="6"/>
    <b v="0"/>
    <s v="No está en VPC"/>
    <n v="406"/>
    <s v="NO EXISTE PG"/>
    <s v="NO EXISTE ISEL"/>
    <n v="0"/>
    <s v="NO TIENE L3OUT"/>
    <n v="82"/>
    <n v="96"/>
  </r>
  <r>
    <n v="414"/>
    <x v="1"/>
    <x v="250"/>
    <s v="eth1/83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83"/>
    <x v="0"/>
    <x v="0"/>
    <x v="0"/>
    <s v="IXTSD969A"/>
    <x v="6"/>
    <b v="0"/>
    <s v="No está en VPC"/>
    <n v="416"/>
    <s v="INTPG_ACC_416_1.83"/>
    <s v="ISEL-1.83"/>
    <n v="1"/>
    <s v="NO TIENE L3OUT"/>
    <n v="110"/>
    <n v="96"/>
  </r>
  <r>
    <n v="418"/>
    <x v="1"/>
    <x v="252"/>
    <s v="eth1/83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83"/>
    <x v="0"/>
    <x v="0"/>
    <x v="0"/>
    <s v="ECAC_PROD1_ILO"/>
    <x v="6"/>
    <b v="0"/>
    <s v="No está en VPC"/>
    <n v="413"/>
    <s v="INTPG_ACC_413_1.83"/>
    <s v="ISEL-1.83"/>
    <n v="1"/>
    <s v="NO TIENE L3OUT"/>
    <n v="126"/>
    <n v="96"/>
  </r>
  <r>
    <n v="403"/>
    <x v="1"/>
    <x v="254"/>
    <s v="eth1/83"/>
    <x v="0"/>
    <x v="0"/>
    <x v="0"/>
    <s v="SOEM_prim_eth2"/>
    <x v="6"/>
    <b v="0"/>
    <s v="No está en VPC"/>
    <n v="403"/>
    <s v="INTPG_ACC_403_1.83"/>
    <s v="ISEL-1.83"/>
    <n v="1"/>
    <s v="NO TIENE L3OUT"/>
    <n v="150"/>
    <n v="96"/>
  </r>
  <r>
    <n v="125"/>
    <x v="0"/>
    <x v="255"/>
    <s v="eth1/83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83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83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83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83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83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83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83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83"/>
    <x v="0"/>
    <x v="0"/>
    <x v="0"/>
    <s v="VSP_02_G1K"/>
    <x v="6"/>
    <b v="0"/>
    <s v="No está en VPC"/>
    <n v="430"/>
    <s v="INTPG_ACC_430_1.83"/>
    <s v="ISEL-1.83"/>
    <n v="1"/>
    <s v="NO TIENE L3OUT"/>
    <n v="86"/>
    <n v="96"/>
  </r>
  <r>
    <n v="419"/>
    <x v="1"/>
    <x v="264"/>
    <s v="eth1/83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83"/>
    <x v="0"/>
    <x v="0"/>
    <x v="0"/>
    <s v="SNA TEST BED"/>
    <x v="6"/>
    <b v="0"/>
    <s v="No está en VPC"/>
    <n v="155"/>
    <s v="INTPG_ACC_155_1.83"/>
    <s v="ISEL-1.83"/>
    <n v="0"/>
    <s v="L3OUT-SNA-TRIM-SITE-BGP"/>
    <n v="198"/>
    <n v="96"/>
  </r>
  <r>
    <n v="409"/>
    <x v="1"/>
    <x v="266"/>
    <s v="eth1/83"/>
    <x v="1"/>
    <x v="1"/>
    <x v="0"/>
    <m/>
    <x v="6"/>
    <b v="0"/>
    <s v="No está en VPC"/>
    <n v="409"/>
    <s v="NO EXISTE PG"/>
    <s v="NO EXISTE ISEL"/>
    <n v="1"/>
    <s v="NO TIENE L3OUT"/>
    <n v="128"/>
    <n v="96"/>
  </r>
  <r>
    <n v="422"/>
    <x v="1"/>
    <x v="267"/>
    <s v="eth1/83"/>
    <x v="0"/>
    <x v="0"/>
    <x v="0"/>
    <s v="TO_ITHAI10-eno6"/>
    <x v="6"/>
    <b v="0"/>
    <s v="No está en VPC"/>
    <n v="422"/>
    <s v="INTPG_ACC_422_1.83"/>
    <s v="ISEL-1.83"/>
    <n v="1"/>
    <s v="NO TIENE L3OUT"/>
    <n v="182"/>
    <n v="96"/>
  </r>
  <r>
    <n v="436"/>
    <x v="1"/>
    <x v="268"/>
    <s v="eth1/83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83"/>
    <x v="0"/>
    <x v="0"/>
    <x v="0"/>
    <s v="ETH4_uxppldb1"/>
    <x v="6"/>
    <b v="0"/>
    <s v="No está en VPC"/>
    <n v="410"/>
    <s v="INTPG_ACC_410_1.83"/>
    <s v="ISEL-1.83"/>
    <n v="1"/>
    <s v="NO TIENE L3OUT"/>
    <n v="178"/>
    <n v="96"/>
  </r>
  <r>
    <n v="161"/>
    <x v="0"/>
    <x v="270"/>
    <s v="eth1/83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83"/>
    <x v="0"/>
    <x v="0"/>
    <x v="0"/>
    <s v="OCC ITHCC1 ALARMAS"/>
    <x v="6"/>
    <b v="0"/>
    <s v="No está en VPC"/>
    <n v="411"/>
    <s v="INTPG_ACC_411_1.83"/>
    <s v="ISEL-1.83"/>
    <n v="1"/>
    <s v="NO TIENE L3OUT"/>
    <n v="96"/>
    <n v="96"/>
  </r>
  <r>
    <n v="116"/>
    <x v="0"/>
    <x v="272"/>
    <s v="eth1/83"/>
    <x v="0"/>
    <x v="1"/>
    <x v="1"/>
    <s v="LifeRay_Portal"/>
    <x v="6"/>
    <b v="0"/>
    <s v="No está en VPC"/>
    <n v="116"/>
    <s v="INTPG_ACC_116_1.83"/>
    <s v="ISEL-1.83"/>
    <n v="1"/>
    <s v="NO TIENE L3OUT"/>
    <n v="148"/>
    <n v="96"/>
  </r>
  <r>
    <n v="412"/>
    <x v="1"/>
    <x v="273"/>
    <s v="eth1/83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83"/>
    <x v="0"/>
    <x v="0"/>
    <x v="0"/>
    <s v="IXTZFSBK1"/>
    <x v="6"/>
    <b v="0"/>
    <s v="No está en VPC"/>
    <n v="120"/>
    <s v="INTPG_ACC_120_1.83"/>
    <s v="ISEL-1.83"/>
    <n v="1"/>
    <s v="NO TIENE L3OUT"/>
    <n v="158"/>
    <n v="96"/>
  </r>
  <r>
    <n v="404"/>
    <x v="1"/>
    <x v="275"/>
    <s v="eth1/83"/>
    <x v="0"/>
    <x v="0"/>
    <x v="0"/>
    <s v="ITHRTC31VC1-4"/>
    <x v="6"/>
    <b v="0"/>
    <s v="No está en VPC"/>
    <n v="404"/>
    <s v="INTPG_ACC_404_1.83"/>
    <s v="ISEL-1.83"/>
    <n v="1"/>
    <s v="NO TIENE L3OUT"/>
    <n v="92"/>
    <n v="96"/>
  </r>
  <r>
    <n v="167"/>
    <x v="0"/>
    <x v="276"/>
    <s v="eth1/83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83"/>
    <x v="0"/>
    <x v="0"/>
    <x v="0"/>
    <s v="SecAnLG_Gb1_07-Archiver-IXTSALG_ARC1"/>
    <x v="6"/>
    <b v="0"/>
    <s v="No está en VPC"/>
    <n v="428"/>
    <s v="INTPG_ACC_428_1.83"/>
    <s v="ISEL-1.83"/>
    <n v="1"/>
    <s v="NO TIENE L3OUT"/>
    <n v="102"/>
    <n v="96"/>
  </r>
  <r>
    <n v="105"/>
    <x v="0"/>
    <x v="205"/>
    <s v="eth1/84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84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84"/>
    <x v="0"/>
    <x v="1"/>
    <x v="1"/>
    <s v="DESC"/>
    <x v="6"/>
    <b v="0"/>
    <s v="No está en VPC"/>
    <n v="104"/>
    <s v="INTPG_PC_104_1.84-91"/>
    <s v="ISEL-1.84"/>
    <n v="32"/>
    <s v="NO TIENE L3OUT"/>
    <n v="194"/>
    <n v="96"/>
  </r>
  <r>
    <n v="158"/>
    <x v="0"/>
    <x v="208"/>
    <s v="eth1/84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84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84"/>
    <x v="0"/>
    <x v="1"/>
    <x v="1"/>
    <s v="SAPCCRATING19"/>
    <x v="6"/>
    <b v="0"/>
    <s v="No está en VPC"/>
    <n v="112"/>
    <s v="INTPG_VPC_112_1.84_114_1.82"/>
    <s v="ISEL-1.84"/>
    <n v="1"/>
    <s v="NO TIENE L3OUT"/>
    <n v="144"/>
    <n v="96"/>
  </r>
  <r>
    <n v="107"/>
    <x v="0"/>
    <x v="213"/>
    <s v="eth1/84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84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84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84"/>
    <x v="0"/>
    <x v="1"/>
    <x v="1"/>
    <s v="SAPCCRATING21"/>
    <x v="6"/>
    <b v="0"/>
    <s v="No está en VPC"/>
    <n v="114"/>
    <s v="INTPG_VPC_112_1.86_114_1.84"/>
    <s v="ISEL-1.84"/>
    <n v="1"/>
    <s v="NO TIENE L3OUT"/>
    <n v="144"/>
    <n v="96"/>
  </r>
  <r>
    <n v="124"/>
    <x v="0"/>
    <x v="217"/>
    <s v="eth1/84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84"/>
    <x v="0"/>
    <x v="1"/>
    <x v="1"/>
    <m/>
    <x v="6"/>
    <b v="0"/>
    <s v="No está en VPC"/>
    <n v="118"/>
    <s v="NO EXISTE PG"/>
    <s v="NO EXISTE ISEL"/>
    <n v="0"/>
    <s v="NO TIENE L3OUT"/>
    <n v="180"/>
    <n v="96"/>
  </r>
  <r>
    <n v="159"/>
    <x v="0"/>
    <x v="219"/>
    <s v="eth1/84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84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84"/>
    <x v="0"/>
    <x v="0"/>
    <x v="0"/>
    <s v="CELCITE"/>
    <x v="6"/>
    <b v="0"/>
    <s v="No está en VPC"/>
    <n v="163"/>
    <s v="INTPG_ACC_163_1.84"/>
    <s v="ISEL-1.84"/>
    <n v="1"/>
    <s v="NO TIENE L3OUT"/>
    <n v="140"/>
    <n v="96"/>
  </r>
  <r>
    <n v="407"/>
    <x v="1"/>
    <x v="224"/>
    <s v="eth1/84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84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84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84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84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84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84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84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84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84"/>
    <x v="0"/>
    <x v="1"/>
    <x v="1"/>
    <s v="CORREO AMERICA MOVIL:OPENSTACK 1 :VC1-X8"/>
    <x v="6"/>
    <b v="0"/>
    <s v="No está en VPC"/>
    <n v="102"/>
    <s v="INTPG_PC_102_1.77-84"/>
    <s v="ISEL-1.84"/>
    <n v="15"/>
    <s v="NO TIENE L3OUT"/>
    <n v="228"/>
    <n v="96"/>
  </r>
  <r>
    <n v="122"/>
    <x v="0"/>
    <x v="237"/>
    <s v="eth1/84"/>
    <x v="1"/>
    <x v="1"/>
    <x v="2"/>
    <s v="INTRANET CORPORATIVA"/>
    <x v="6"/>
    <b v="0"/>
    <s v="No está en VPC"/>
    <n v="122"/>
    <s v="INTPG_ACC_122_1.84"/>
    <s v="ISEL-1.84"/>
    <n v="1"/>
    <s v="NO TIENE L3OUT"/>
    <n v="148"/>
    <n v="96"/>
  </r>
  <r>
    <n v="157"/>
    <x v="0"/>
    <x v="238"/>
    <s v="eth1/84"/>
    <x v="0"/>
    <x v="0"/>
    <x v="0"/>
    <s v="Consolidaci\u00f3n Aplicaciones Prepago"/>
    <x v="6"/>
    <b v="0"/>
    <s v="No está en VPC"/>
    <n v="157"/>
    <s v="INTPG_ACC_157_1.84"/>
    <s v="ISEL-1.84"/>
    <n v="1"/>
    <s v="NO TIENE L3OUT"/>
    <n v="202"/>
    <n v="96"/>
  </r>
  <r>
    <n v="408"/>
    <x v="1"/>
    <x v="239"/>
    <s v="eth1/84"/>
    <x v="0"/>
    <x v="0"/>
    <x v="0"/>
    <s v="9UCS-IXTLA-WEBEX-SERV2"/>
    <x v="6"/>
    <b v="0"/>
    <s v="No está en VPC"/>
    <n v="408"/>
    <s v="INTPG_ACC_408_1.84"/>
    <s v="ISEL-1.84"/>
    <n v="1"/>
    <s v="NO TIENE L3OUT"/>
    <n v="152"/>
    <n v="96"/>
  </r>
  <r>
    <n v="405"/>
    <x v="1"/>
    <x v="240"/>
    <s v="eth1/84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84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84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84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84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84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84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84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84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84"/>
    <x v="0"/>
    <x v="0"/>
    <x v="0"/>
    <s v="HMCDes01_ADMIN"/>
    <x v="6"/>
    <b v="0"/>
    <s v="No está en VPC"/>
    <n v="406"/>
    <s v="INTPG_ACC_406_1.84"/>
    <s v="ISEL-1.84"/>
    <n v="1"/>
    <s v="NO TIENE L3OUT"/>
    <n v="82"/>
    <n v="96"/>
  </r>
  <r>
    <n v="414"/>
    <x v="1"/>
    <x v="250"/>
    <s v="eth1/84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84"/>
    <x v="0"/>
    <x v="0"/>
    <x v="0"/>
    <s v="IXTSD969B"/>
    <x v="6"/>
    <b v="0"/>
    <s v="No está en VPC"/>
    <n v="416"/>
    <s v="INTPG_ACC_416_1.84"/>
    <s v="ISEL-1.84"/>
    <n v="1"/>
    <s v="NO TIENE L3OUT"/>
    <n v="110"/>
    <n v="96"/>
  </r>
  <r>
    <n v="418"/>
    <x v="1"/>
    <x v="252"/>
    <s v="eth1/84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84"/>
    <x v="1"/>
    <x v="1"/>
    <x v="2"/>
    <m/>
    <x v="6"/>
    <b v="0"/>
    <s v="No está en VPC"/>
    <n v="413"/>
    <s v="NO EXISTE PG"/>
    <s v="NO EXISTE ISEL"/>
    <n v="0"/>
    <s v="NO TIENE L3OUT"/>
    <n v="126"/>
    <n v="96"/>
  </r>
  <r>
    <n v="403"/>
    <x v="1"/>
    <x v="254"/>
    <s v="eth1/84"/>
    <x v="0"/>
    <x v="0"/>
    <x v="0"/>
    <s v="SOEM_prim_eth5"/>
    <x v="6"/>
    <b v="0"/>
    <s v="No está en VPC"/>
    <n v="403"/>
    <s v="INTPG_ACC_403_1.84"/>
    <s v="ISEL-1.84"/>
    <n v="1"/>
    <s v="NO TIENE L3OUT"/>
    <n v="150"/>
    <n v="96"/>
  </r>
  <r>
    <n v="125"/>
    <x v="0"/>
    <x v="255"/>
    <s v="eth1/84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84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84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84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84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84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84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84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84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84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84"/>
    <x v="0"/>
    <x v="0"/>
    <x v="0"/>
    <s v="COBROS NAVEGACION"/>
    <x v="6"/>
    <b v="0"/>
    <s v="No está en VPC"/>
    <n v="155"/>
    <s v="INTPG_ACC_155_1.84"/>
    <s v="ISEL-1.84"/>
    <n v="1"/>
    <s v="NO TIENE L3OUT"/>
    <n v="198"/>
    <n v="96"/>
  </r>
  <r>
    <n v="409"/>
    <x v="1"/>
    <x v="266"/>
    <s v="eth1/84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84"/>
    <x v="0"/>
    <x v="0"/>
    <x v="0"/>
    <s v="TO-ITHFDEOCP1LWR04-REDUNDANTE"/>
    <x v="6"/>
    <b v="0"/>
    <s v="No está en VPC"/>
    <n v="422"/>
    <s v="INTPG_ACC_422_1.84"/>
    <s v="ISEL-1.84"/>
    <n v="1"/>
    <s v="NO TIENE L3OUT"/>
    <n v="182"/>
    <n v="96"/>
  </r>
  <r>
    <n v="436"/>
    <x v="1"/>
    <x v="268"/>
    <s v="eth1/84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84"/>
    <x v="0"/>
    <x v="0"/>
    <x v="0"/>
    <s v="ETH4_uxppldb2"/>
    <x v="6"/>
    <b v="0"/>
    <s v="No está en VPC"/>
    <n v="410"/>
    <s v="INTPG_ACC_410_1.84"/>
    <s v="ISEL-1.84"/>
    <n v="1"/>
    <s v="NO TIENE L3OUT"/>
    <n v="178"/>
    <n v="96"/>
  </r>
  <r>
    <n v="161"/>
    <x v="0"/>
    <x v="270"/>
    <s v="eth1/84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84"/>
    <x v="0"/>
    <x v="0"/>
    <x v="0"/>
    <s v="OCC ITHCC1  ILO MANAGMENT"/>
    <x v="6"/>
    <b v="0"/>
    <s v="No está en VPC"/>
    <n v="411"/>
    <s v="INTPG_ACC_411_1.84"/>
    <s v="ISEL-1.84"/>
    <n v="1"/>
    <s v="NO TIENE L3OUT"/>
    <n v="96"/>
    <n v="96"/>
  </r>
  <r>
    <n v="116"/>
    <x v="0"/>
    <x v="272"/>
    <s v="eth1/84"/>
    <x v="0"/>
    <x v="1"/>
    <x v="1"/>
    <s v="LifeRay_Portal"/>
    <x v="6"/>
    <b v="0"/>
    <s v="No está en VPC"/>
    <n v="116"/>
    <s v="INTPG_ACC_116_1.84"/>
    <s v="ISEL-1.84"/>
    <n v="1"/>
    <s v="NO TIENE L3OUT"/>
    <n v="148"/>
    <n v="96"/>
  </r>
  <r>
    <n v="412"/>
    <x v="1"/>
    <x v="273"/>
    <s v="eth1/84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84"/>
    <x v="1"/>
    <x v="1"/>
    <x v="2"/>
    <s v="IXTZFSBK1"/>
    <x v="6"/>
    <b v="0"/>
    <s v="No está en VPC"/>
    <n v="120"/>
    <s v="INTPG_ACC_120_1.84"/>
    <s v="ISEL-1.84"/>
    <n v="0"/>
    <s v="NO TIENE L3OUT"/>
    <n v="158"/>
    <n v="96"/>
  </r>
  <r>
    <n v="404"/>
    <x v="1"/>
    <x v="275"/>
    <s v="eth1/84"/>
    <x v="0"/>
    <x v="0"/>
    <x v="0"/>
    <s v="ITHRTC32VC1-4"/>
    <x v="6"/>
    <b v="0"/>
    <s v="No está en VPC"/>
    <n v="404"/>
    <s v="INTPG_ACC_404_1.84"/>
    <s v="ISEL-1.84"/>
    <n v="1"/>
    <s v="NO TIENE L3OUT"/>
    <n v="92"/>
    <n v="96"/>
  </r>
  <r>
    <n v="167"/>
    <x v="0"/>
    <x v="276"/>
    <s v="eth1/84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84"/>
    <x v="1"/>
    <x v="1"/>
    <x v="2"/>
    <s v="SNS2224-2_MGMT_RHEV_HUAWEI"/>
    <x v="6"/>
    <b v="0"/>
    <s v="No está en VPC"/>
    <n v="428"/>
    <s v="INTPG_ACC_428_1.84"/>
    <s v="ISEL-1.84"/>
    <n v="0"/>
    <s v="NO TIENE L3OUT"/>
    <n v="102"/>
    <n v="96"/>
  </r>
  <r>
    <n v="105"/>
    <x v="0"/>
    <x v="205"/>
    <s v="eth1/85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85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85"/>
    <x v="0"/>
    <x v="1"/>
    <x v="1"/>
    <s v="DESC"/>
    <x v="6"/>
    <b v="0"/>
    <s v="No está en VPC"/>
    <n v="104"/>
    <s v="INTPG_PC_104_1.84-91"/>
    <s v="ISEL-1.85"/>
    <n v="32"/>
    <s v="NO TIENE L3OUT"/>
    <n v="194"/>
    <n v="96"/>
  </r>
  <r>
    <n v="158"/>
    <x v="0"/>
    <x v="208"/>
    <s v="eth1/85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85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85"/>
    <x v="0"/>
    <x v="1"/>
    <x v="1"/>
    <s v="SAPCCRATING20"/>
    <x v="6"/>
    <b v="0"/>
    <s v="No está en VPC"/>
    <n v="112"/>
    <s v="INTPG_VPC_112_1.85_114_1.83"/>
    <s v="ISEL-1.85"/>
    <n v="1"/>
    <s v="NO TIENE L3OUT"/>
    <n v="144"/>
    <n v="96"/>
  </r>
  <r>
    <n v="107"/>
    <x v="0"/>
    <x v="213"/>
    <s v="eth1/85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85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85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85"/>
    <x v="0"/>
    <x v="1"/>
    <x v="1"/>
    <s v="SAPCCRATING22"/>
    <x v="6"/>
    <b v="0"/>
    <s v="No está en VPC"/>
    <n v="114"/>
    <s v="INTPG_VPC_112_1.87_114_1.85"/>
    <s v="ISEL-1.85"/>
    <n v="1"/>
    <s v="NO TIENE L3OUT"/>
    <n v="144"/>
    <n v="96"/>
  </r>
  <r>
    <n v="124"/>
    <x v="0"/>
    <x v="217"/>
    <s v="eth1/85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85"/>
    <x v="0"/>
    <x v="0"/>
    <x v="0"/>
    <s v="LA-47R VIRTUALIZACION BLADES"/>
    <x v="6"/>
    <b v="0"/>
    <s v="No está en VPC"/>
    <n v="118"/>
    <s v="INTPG_ACC_118_1.85"/>
    <s v="ISEL-1.85"/>
    <n v="1"/>
    <s v="NO TIENE L3OUT"/>
    <n v="180"/>
    <n v="96"/>
  </r>
  <r>
    <n v="159"/>
    <x v="0"/>
    <x v="219"/>
    <s v="eth1/85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85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85"/>
    <x v="0"/>
    <x v="0"/>
    <x v="0"/>
    <s v="IMEISRE_i4"/>
    <x v="6"/>
    <b v="0"/>
    <s v="No está en VPC"/>
    <n v="163"/>
    <s v="INTPG_VPC_161_1.74-75_163_1.85-86"/>
    <s v="ISEL-1.85"/>
    <n v="1"/>
    <s v="NO TIENE L3OUT"/>
    <n v="140"/>
    <n v="96"/>
  </r>
  <r>
    <n v="407"/>
    <x v="1"/>
    <x v="224"/>
    <s v="eth1/85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85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85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85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85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85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85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85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85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85"/>
    <x v="0"/>
    <x v="1"/>
    <x v="1"/>
    <s v="CORREO AMERICA MOVIL:OPENSTACK 2:OA2"/>
    <x v="6"/>
    <b v="0"/>
    <s v="No está en VPC"/>
    <n v="102"/>
    <s v="INTPG_ACC_102_1.85"/>
    <s v="ISEL-1.85"/>
    <n v="1"/>
    <s v="NO TIENE L3OUT"/>
    <n v="228"/>
    <n v="96"/>
  </r>
  <r>
    <n v="122"/>
    <x v="0"/>
    <x v="237"/>
    <s v="eth1/85"/>
    <x v="1"/>
    <x v="1"/>
    <x v="2"/>
    <m/>
    <x v="6"/>
    <b v="0"/>
    <s v="No está en VPC"/>
    <n v="122"/>
    <s v="INTPG_VPC_120_1.78_122_1.85"/>
    <s v="ISEL-1.85"/>
    <n v="1"/>
    <s v="NO TIENE L3OUT"/>
    <n v="148"/>
    <n v="96"/>
  </r>
  <r>
    <n v="157"/>
    <x v="0"/>
    <x v="238"/>
    <s v="eth1/85"/>
    <x v="0"/>
    <x v="0"/>
    <x v="0"/>
    <s v="Consolidaci\u00f3n Aplicaciones Prepago"/>
    <x v="6"/>
    <b v="0"/>
    <s v="No está en VPC"/>
    <n v="157"/>
    <s v="INTPG_ACC_157_1.85"/>
    <s v="ISEL-1.85"/>
    <n v="1"/>
    <s v="NO TIENE L3OUT"/>
    <n v="202"/>
    <n v="96"/>
  </r>
  <r>
    <n v="408"/>
    <x v="1"/>
    <x v="239"/>
    <s v="eth1/85"/>
    <x v="1"/>
    <x v="1"/>
    <x v="2"/>
    <m/>
    <x v="6"/>
    <b v="0"/>
    <s v="No está en VPC"/>
    <n v="408"/>
    <s v="NO EXISTE PG"/>
    <s v="NO EXISTE ISEL"/>
    <n v="0"/>
    <s v="NO TIENE L3OUT"/>
    <n v="152"/>
    <n v="96"/>
  </r>
  <r>
    <n v="405"/>
    <x v="1"/>
    <x v="240"/>
    <s v="eth1/85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85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85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85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85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85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85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85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85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85"/>
    <x v="0"/>
    <x v="0"/>
    <x v="0"/>
    <s v="uxhdr01b_ILOM"/>
    <x v="6"/>
    <b v="0"/>
    <s v="No está en VPC"/>
    <n v="406"/>
    <s v="INTPG_ACC_406_1.85"/>
    <s v="ISEL-1.85"/>
    <n v="1"/>
    <s v="NO TIENE L3OUT"/>
    <n v="82"/>
    <n v="96"/>
  </r>
  <r>
    <n v="414"/>
    <x v="1"/>
    <x v="250"/>
    <s v="eth1/85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85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85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85"/>
    <x v="0"/>
    <x v="0"/>
    <x v="0"/>
    <s v="IMANA_2"/>
    <x v="6"/>
    <b v="0"/>
    <s v="No está en VPC"/>
    <n v="413"/>
    <s v="INTPG_ACC_413_1.85"/>
    <s v="ISEL-1.85"/>
    <n v="1"/>
    <s v="NO TIENE L3OUT"/>
    <n v="126"/>
    <n v="96"/>
  </r>
  <r>
    <n v="403"/>
    <x v="1"/>
    <x v="254"/>
    <s v="eth1/85"/>
    <x v="0"/>
    <x v="0"/>
    <x v="0"/>
    <s v="SOEM_sec_eth1"/>
    <x v="6"/>
    <b v="0"/>
    <s v="No está en VPC"/>
    <n v="403"/>
    <s v="INTPG_ACC_403_1.85"/>
    <s v="ISEL-1.85"/>
    <n v="1"/>
    <s v="NO TIENE L3OUT"/>
    <n v="150"/>
    <n v="96"/>
  </r>
  <r>
    <n v="125"/>
    <x v="0"/>
    <x v="255"/>
    <s v="eth1/85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85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85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85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85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85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85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85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85"/>
    <x v="0"/>
    <x v="0"/>
    <x v="0"/>
    <s v="MSL6480_PAPERLESS_2"/>
    <x v="6"/>
    <b v="0"/>
    <s v="No está en VPC"/>
    <n v="430"/>
    <s v="INTPG_ACC_430_1.85"/>
    <s v="ISEL-1.85"/>
    <n v="1"/>
    <s v="NO TIENE L3OUT"/>
    <n v="86"/>
    <n v="96"/>
  </r>
  <r>
    <n v="419"/>
    <x v="1"/>
    <x v="264"/>
    <s v="eth1/85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85"/>
    <x v="0"/>
    <x v="0"/>
    <x v="0"/>
    <s v="COBROS NAVEGACION"/>
    <x v="6"/>
    <b v="0"/>
    <s v="No está en VPC"/>
    <n v="155"/>
    <s v="INTPG_ACC_155_1.85"/>
    <s v="ISEL-1.85"/>
    <n v="1"/>
    <s v="NO TIENE L3OUT"/>
    <n v="198"/>
    <n v="96"/>
  </r>
  <r>
    <n v="409"/>
    <x v="1"/>
    <x v="266"/>
    <s v="eth1/85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85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85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85"/>
    <x v="1"/>
    <x v="1"/>
    <x v="2"/>
    <m/>
    <x v="6"/>
    <b v="0"/>
    <s v="No está en VPC"/>
    <n v="410"/>
    <s v="NO EXISTE PG"/>
    <s v="NO EXISTE ISEL"/>
    <n v="0"/>
    <s v="NO TIENE L3OUT"/>
    <n v="178"/>
    <n v="96"/>
  </r>
  <r>
    <n v="161"/>
    <x v="0"/>
    <x v="270"/>
    <s v="eth1/85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85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85"/>
    <x v="0"/>
    <x v="1"/>
    <x v="1"/>
    <s v="LifeRay_Portal"/>
    <x v="6"/>
    <b v="0"/>
    <s v="No está en VPC"/>
    <n v="116"/>
    <s v="INTPG_ACC_116_1.85"/>
    <s v="ISEL-1.85"/>
    <n v="1"/>
    <s v="NO TIENE L3OUT"/>
    <n v="148"/>
    <n v="96"/>
  </r>
  <r>
    <n v="412"/>
    <x v="1"/>
    <x v="273"/>
    <s v="eth1/85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85"/>
    <x v="0"/>
    <x v="0"/>
    <x v="0"/>
    <s v="MASTER SERVER"/>
    <x v="6"/>
    <b v="0"/>
    <s v="No está en VPC"/>
    <n v="120"/>
    <s v="INTPG_ACC_120_1.85"/>
    <s v="ISEL-1.85"/>
    <n v="1"/>
    <s v="NO TIENE L3OUT"/>
    <n v="158"/>
    <n v="96"/>
  </r>
  <r>
    <n v="404"/>
    <x v="1"/>
    <x v="275"/>
    <s v="eth1/85"/>
    <x v="0"/>
    <x v="0"/>
    <x v="0"/>
    <s v="ITHRTC22VC1"/>
    <x v="6"/>
    <b v="0"/>
    <s v="No está en VPC"/>
    <n v="404"/>
    <s v="INTPG_ACC_404_1.85"/>
    <s v="ISEL-1.85"/>
    <n v="1"/>
    <s v="NO TIENE L3OUT"/>
    <n v="92"/>
    <n v="96"/>
  </r>
  <r>
    <n v="167"/>
    <x v="0"/>
    <x v="276"/>
    <s v="eth1/85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85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105"/>
    <x v="0"/>
    <x v="205"/>
    <s v="eth1/86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86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86"/>
    <x v="0"/>
    <x v="1"/>
    <x v="1"/>
    <s v="DESC"/>
    <x v="6"/>
    <b v="0"/>
    <s v="No está en VPC"/>
    <n v="104"/>
    <s v="INTPG_PC_104_1.84-91"/>
    <s v="ISEL-1.86"/>
    <n v="32"/>
    <s v="NO TIENE L3OUT"/>
    <n v="194"/>
    <n v="96"/>
  </r>
  <r>
    <n v="158"/>
    <x v="0"/>
    <x v="208"/>
    <s v="eth1/86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86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86"/>
    <x v="0"/>
    <x v="1"/>
    <x v="1"/>
    <s v="SAPCCRATING21"/>
    <x v="6"/>
    <b v="0"/>
    <s v="No está en VPC"/>
    <n v="112"/>
    <s v="INTPG_VPC_112_1.86_114_1.84"/>
    <s v="ISEL-1.86"/>
    <n v="1"/>
    <s v="NO TIENE L3OUT"/>
    <n v="144"/>
    <n v="96"/>
  </r>
  <r>
    <n v="107"/>
    <x v="0"/>
    <x v="213"/>
    <s v="eth1/86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86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86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86"/>
    <x v="0"/>
    <x v="1"/>
    <x v="1"/>
    <s v="SAPCCRATING23"/>
    <x v="6"/>
    <b v="0"/>
    <s v="No está en VPC"/>
    <n v="114"/>
    <s v="INTPG_VPC_112_1.88_114_1.86"/>
    <s v="ISEL-1.86"/>
    <n v="1"/>
    <s v="NO TIENE L3OUT"/>
    <n v="144"/>
    <n v="96"/>
  </r>
  <r>
    <n v="124"/>
    <x v="0"/>
    <x v="217"/>
    <s v="eth1/86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86"/>
    <x v="0"/>
    <x v="0"/>
    <x v="0"/>
    <s v="LA-47R VIRTUALIZACION BLADES"/>
    <x v="6"/>
    <b v="0"/>
    <s v="No está en VPC"/>
    <n v="118"/>
    <s v="INTPG_ACC_118_1.86"/>
    <s v="ISEL-1.86"/>
    <n v="1"/>
    <s v="NO TIENE L3OUT"/>
    <n v="180"/>
    <n v="96"/>
  </r>
  <r>
    <n v="159"/>
    <x v="0"/>
    <x v="219"/>
    <s v="eth1/86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86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86"/>
    <x v="0"/>
    <x v="0"/>
    <x v="0"/>
    <s v="IMEISRE_i4"/>
    <x v="6"/>
    <b v="0"/>
    <s v="No está en VPC"/>
    <n v="163"/>
    <s v="INTPG_VPC_161_1.74-75_163_1.85-86"/>
    <s v="ISEL-1.86"/>
    <n v="1"/>
    <s v="NO TIENE L3OUT"/>
    <n v="140"/>
    <n v="96"/>
  </r>
  <r>
    <n v="407"/>
    <x v="1"/>
    <x v="224"/>
    <s v="eth1/86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86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86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86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86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86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86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86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86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86"/>
    <x v="0"/>
    <x v="1"/>
    <x v="1"/>
    <s v="CORREO AMERICA MOVIL:OPENSTACK 2:VC1-X1"/>
    <x v="6"/>
    <b v="0"/>
    <s v="No está en VPC"/>
    <n v="102"/>
    <s v="INTPG_PC_102_1.86-93"/>
    <s v="ISEL-1.86"/>
    <n v="15"/>
    <s v="NO TIENE L3OUT"/>
    <n v="228"/>
    <n v="96"/>
  </r>
  <r>
    <n v="122"/>
    <x v="0"/>
    <x v="237"/>
    <s v="eth1/86"/>
    <x v="1"/>
    <x v="1"/>
    <x v="2"/>
    <s v="INTRANET CORPORATIVA"/>
    <x v="6"/>
    <b v="0"/>
    <s v="No está en VPC"/>
    <n v="122"/>
    <s v="INTPG_ACC_122_1.86"/>
    <s v="ISEL-1.86"/>
    <n v="1"/>
    <s v="NO TIENE L3OUT"/>
    <n v="148"/>
    <n v="96"/>
  </r>
  <r>
    <n v="157"/>
    <x v="0"/>
    <x v="238"/>
    <s v="eth1/86"/>
    <x v="0"/>
    <x v="0"/>
    <x v="0"/>
    <s v="Consolidaci\u00f3n Aplicaciones Prepago"/>
    <x v="6"/>
    <b v="0"/>
    <s v="No está en VPC"/>
    <n v="157"/>
    <s v="INTPG_ACC_157_1.86"/>
    <s v="ISEL-1.86"/>
    <n v="1"/>
    <s v="NO TIENE L3OUT"/>
    <n v="202"/>
    <n v="96"/>
  </r>
  <r>
    <n v="408"/>
    <x v="1"/>
    <x v="239"/>
    <s v="eth1/86"/>
    <x v="1"/>
    <x v="1"/>
    <x v="2"/>
    <m/>
    <x v="6"/>
    <b v="0"/>
    <s v="No está en VPC"/>
    <n v="408"/>
    <s v="NO EXISTE PG"/>
    <s v="NO EXISTE ISEL"/>
    <n v="0"/>
    <s v="NO TIENE L3OUT"/>
    <n v="152"/>
    <n v="96"/>
  </r>
  <r>
    <n v="405"/>
    <x v="1"/>
    <x v="240"/>
    <s v="eth1/86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86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86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86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86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86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86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86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86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86"/>
    <x v="1"/>
    <x v="1"/>
    <x v="2"/>
    <m/>
    <x v="6"/>
    <b v="0"/>
    <s v="No está en VPC"/>
    <n v="406"/>
    <s v="NO EXISTE PG"/>
    <s v="NO EXISTE ISEL"/>
    <n v="0"/>
    <s v="NO TIENE L3OUT"/>
    <n v="82"/>
    <n v="96"/>
  </r>
  <r>
    <n v="414"/>
    <x v="1"/>
    <x v="250"/>
    <s v="eth1/86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86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86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86"/>
    <x v="0"/>
    <x v="0"/>
    <x v="0"/>
    <s v="To_lagidmhlapvp08_produccion1"/>
    <x v="6"/>
    <b v="0"/>
    <s v="No está en VPC"/>
    <n v="413"/>
    <s v="INTPG_VPC_411_1.26-29_413_1.19-20_22_86"/>
    <s v="ISEL-1.86"/>
    <n v="2"/>
    <s v="NO TIENE L3OUT"/>
    <n v="126"/>
    <n v="96"/>
  </r>
  <r>
    <n v="403"/>
    <x v="1"/>
    <x v="254"/>
    <s v="eth1/86"/>
    <x v="0"/>
    <x v="0"/>
    <x v="0"/>
    <s v="SOEM_sec_eth4"/>
    <x v="6"/>
    <b v="0"/>
    <s v="No está en VPC"/>
    <n v="403"/>
    <s v="INTPG_ACC_403_1.86"/>
    <s v="ISEL-1.86"/>
    <n v="1"/>
    <s v="NO TIENE L3OUT"/>
    <n v="150"/>
    <n v="96"/>
  </r>
  <r>
    <n v="125"/>
    <x v="0"/>
    <x v="255"/>
    <s v="eth1/86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86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86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86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86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86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86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86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86"/>
    <x v="0"/>
    <x v="0"/>
    <x v="0"/>
    <s v="TO-uxidmbd-NET0"/>
    <x v="6"/>
    <b v="0"/>
    <s v="No está en VPC"/>
    <n v="430"/>
    <s v="INTPG_ACC_430_1.86"/>
    <s v="ISEL-1.86"/>
    <n v="1"/>
    <s v="NO TIENE L3OUT"/>
    <n v="86"/>
    <n v="96"/>
  </r>
  <r>
    <n v="419"/>
    <x v="1"/>
    <x v="264"/>
    <s v="eth1/86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86"/>
    <x v="0"/>
    <x v="0"/>
    <x v="0"/>
    <s v="COBROS NAVEGACION"/>
    <x v="6"/>
    <b v="0"/>
    <s v="No está en VPC"/>
    <n v="155"/>
    <s v="INTPG_ACC_155_1.86"/>
    <s v="ISEL-1.86"/>
    <n v="1"/>
    <s v="NO TIENE L3OUT"/>
    <n v="198"/>
    <n v="96"/>
  </r>
  <r>
    <n v="409"/>
    <x v="1"/>
    <x v="266"/>
    <s v="eth1/86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86"/>
    <x v="0"/>
    <x v="0"/>
    <x v="0"/>
    <s v="TEMIPCLOUD_B04"/>
    <x v="6"/>
    <b v="0"/>
    <s v="No está en VPC"/>
    <n v="422"/>
    <s v="INTPG_ACC_422_1.86"/>
    <s v="ISEL-1.86"/>
    <n v="6"/>
    <s v="NO TIENE L3OUT"/>
    <n v="182"/>
    <n v="96"/>
  </r>
  <r>
    <n v="436"/>
    <x v="1"/>
    <x v="268"/>
    <s v="eth1/86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86"/>
    <x v="0"/>
    <x v="1"/>
    <x v="1"/>
    <s v="IXTNS11-DD_RESPALDO_CS5_NET1"/>
    <x v="6"/>
    <b v="0"/>
    <s v="No está en VPC"/>
    <n v="410"/>
    <s v="INTPG_ACC_410_1.86"/>
    <s v="ISEL-1.86"/>
    <n v="1"/>
    <s v="NO TIENE L3OUT"/>
    <n v="178"/>
    <n v="96"/>
  </r>
  <r>
    <n v="161"/>
    <x v="0"/>
    <x v="270"/>
    <s v="eth1/86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86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86"/>
    <x v="0"/>
    <x v="0"/>
    <x v="0"/>
    <s v="RLBAC"/>
    <x v="6"/>
    <b v="0"/>
    <s v="No está en VPC"/>
    <n v="116"/>
    <s v="INTPG_ACC_116_1.86"/>
    <s v="ISEL-1.86"/>
    <n v="1"/>
    <s v="NO TIENE L3OUT"/>
    <n v="148"/>
    <n v="96"/>
  </r>
  <r>
    <n v="412"/>
    <x v="1"/>
    <x v="273"/>
    <s v="eth1/86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86"/>
    <x v="0"/>
    <x v="0"/>
    <x v="0"/>
    <s v="MASTER SERVER"/>
    <x v="6"/>
    <b v="0"/>
    <s v="No está en VPC"/>
    <n v="120"/>
    <s v="INTPG_ACC_120_1.86"/>
    <s v="ISEL-1.86"/>
    <n v="1"/>
    <s v="NO TIENE L3OUT"/>
    <n v="158"/>
    <n v="96"/>
  </r>
  <r>
    <n v="404"/>
    <x v="1"/>
    <x v="275"/>
    <s v="eth1/86"/>
    <x v="0"/>
    <x v="0"/>
    <x v="0"/>
    <s v="none"/>
    <x v="6"/>
    <b v="0"/>
    <s v="No está en VPC"/>
    <n v="404"/>
    <s v="INTPG_ACC_404_1.86"/>
    <s v="ISEL-1.86"/>
    <n v="1"/>
    <s v="NO TIENE L3OUT"/>
    <n v="92"/>
    <n v="96"/>
  </r>
  <r>
    <n v="167"/>
    <x v="0"/>
    <x v="276"/>
    <s v="eth1/86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86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105"/>
    <x v="0"/>
    <x v="205"/>
    <s v="eth1/87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87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87"/>
    <x v="0"/>
    <x v="1"/>
    <x v="1"/>
    <s v="DESC"/>
    <x v="6"/>
    <b v="0"/>
    <s v="No está en VPC"/>
    <n v="104"/>
    <s v="INTPG_PC_104_1.84-91"/>
    <s v="ISEL-1.87"/>
    <n v="32"/>
    <s v="NO TIENE L3OUT"/>
    <n v="194"/>
    <n v="96"/>
  </r>
  <r>
    <n v="158"/>
    <x v="0"/>
    <x v="208"/>
    <s v="eth1/87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87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87"/>
    <x v="0"/>
    <x v="1"/>
    <x v="1"/>
    <s v="SAPCCRATING22"/>
    <x v="6"/>
    <b v="0"/>
    <s v="No está en VPC"/>
    <n v="112"/>
    <s v="INTPG_VPC_112_1.87_114_1.85"/>
    <s v="ISEL-1.87"/>
    <n v="1"/>
    <s v="NO TIENE L3OUT"/>
    <n v="144"/>
    <n v="96"/>
  </r>
  <r>
    <n v="107"/>
    <x v="0"/>
    <x v="213"/>
    <s v="eth1/87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87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87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87"/>
    <x v="0"/>
    <x v="1"/>
    <x v="1"/>
    <s v="SAPCCRATING24"/>
    <x v="6"/>
    <b v="0"/>
    <s v="No está en VPC"/>
    <n v="114"/>
    <s v="INTPG_VPC_112_1.89_114_1.87"/>
    <s v="ISEL-1.87"/>
    <n v="1"/>
    <s v="NO TIENE L3OUT"/>
    <n v="144"/>
    <n v="96"/>
  </r>
  <r>
    <n v="124"/>
    <x v="0"/>
    <x v="217"/>
    <s v="eth1/87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87"/>
    <x v="0"/>
    <x v="0"/>
    <x v="0"/>
    <s v="LA-47R VIRTUALIZACION BLADES"/>
    <x v="6"/>
    <b v="0"/>
    <s v="No está en VPC"/>
    <n v="118"/>
    <s v="INTPG_ACC_118_1.87"/>
    <s v="ISEL-1.87"/>
    <n v="1"/>
    <s v="NO TIENE L3OUT"/>
    <n v="180"/>
    <n v="96"/>
  </r>
  <r>
    <n v="159"/>
    <x v="0"/>
    <x v="219"/>
    <s v="eth1/87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87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87"/>
    <x v="0"/>
    <x v="0"/>
    <x v="0"/>
    <s v="IMEISRE_i2"/>
    <x v="6"/>
    <b v="0"/>
    <s v="No está en VPC"/>
    <n v="163"/>
    <s v="INTPG_VPC_161_1.76_163_1.87"/>
    <s v="ISEL-1.87"/>
    <n v="1"/>
    <s v="NO TIENE L3OUT"/>
    <n v="140"/>
    <n v="96"/>
  </r>
  <r>
    <n v="407"/>
    <x v="1"/>
    <x v="224"/>
    <s v="eth1/87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87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87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87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87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87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87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87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87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87"/>
    <x v="0"/>
    <x v="1"/>
    <x v="1"/>
    <s v="CORREO AMERICA MOVIL:OPENSTACK 2:VC1-X2"/>
    <x v="6"/>
    <b v="0"/>
    <s v="No está en VPC"/>
    <n v="102"/>
    <s v="INTPG_PC_102_1.86-93"/>
    <s v="ISEL-1.87"/>
    <n v="15"/>
    <s v="NO TIENE L3OUT"/>
    <n v="228"/>
    <n v="96"/>
  </r>
  <r>
    <n v="122"/>
    <x v="0"/>
    <x v="237"/>
    <s v="eth1/87"/>
    <x v="0"/>
    <x v="1"/>
    <x v="1"/>
    <s v="INTRANET CORPORATIVA"/>
    <x v="6"/>
    <b v="0"/>
    <s v="No está en VPC"/>
    <n v="122"/>
    <s v="INTPG_ACC_122_1.87"/>
    <s v="ISEL-1.87"/>
    <n v="1"/>
    <s v="NO TIENE L3OUT"/>
    <n v="148"/>
    <n v="96"/>
  </r>
  <r>
    <n v="157"/>
    <x v="0"/>
    <x v="238"/>
    <s v="eth1/87"/>
    <x v="0"/>
    <x v="1"/>
    <x v="1"/>
    <s v="GESTOR HUAWEI U2000 MW Tx"/>
    <x v="6"/>
    <b v="0"/>
    <s v="No está en VPC"/>
    <n v="157"/>
    <s v="INTPG_ACC_157_1.87"/>
    <s v="ISEL-1.87"/>
    <n v="1"/>
    <s v="NO TIENE L3OUT"/>
    <n v="202"/>
    <n v="96"/>
  </r>
  <r>
    <n v="408"/>
    <x v="1"/>
    <x v="239"/>
    <s v="eth1/87"/>
    <x v="1"/>
    <x v="1"/>
    <x v="2"/>
    <m/>
    <x v="6"/>
    <b v="0"/>
    <s v="No está en VPC"/>
    <n v="408"/>
    <s v="NO EXISTE PG"/>
    <s v="NO EXISTE ISEL"/>
    <n v="0"/>
    <s v="NO TIENE L3OUT"/>
    <n v="152"/>
    <n v="96"/>
  </r>
  <r>
    <n v="405"/>
    <x v="1"/>
    <x v="240"/>
    <s v="eth1/87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87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87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87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87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87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87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87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87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87"/>
    <x v="1"/>
    <x v="1"/>
    <x v="2"/>
    <m/>
    <x v="6"/>
    <b v="0"/>
    <s v="No está en VPC"/>
    <n v="406"/>
    <s v="NO EXISTE PG"/>
    <s v="NO EXISTE ISEL"/>
    <n v="0"/>
    <s v="NO TIENE L3OUT"/>
    <n v="82"/>
    <n v="96"/>
  </r>
  <r>
    <n v="414"/>
    <x v="1"/>
    <x v="250"/>
    <s v="eth1/87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87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87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87"/>
    <x v="1"/>
    <x v="1"/>
    <x v="2"/>
    <m/>
    <x v="6"/>
    <b v="0"/>
    <s v="No está en VPC"/>
    <n v="413"/>
    <s v="NO EXISTE PG"/>
    <s v="NO EXISTE ISEL"/>
    <n v="0"/>
    <s v="NO TIENE L3OUT"/>
    <n v="126"/>
    <n v="96"/>
  </r>
  <r>
    <n v="403"/>
    <x v="1"/>
    <x v="254"/>
    <s v="eth1/87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87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87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87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87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87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87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87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87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87"/>
    <x v="0"/>
    <x v="0"/>
    <x v="0"/>
    <s v="RLPNOVB01"/>
    <x v="6"/>
    <b v="0"/>
    <s v="No está en VPC"/>
    <n v="430"/>
    <s v="INTPG_ACC_430_1.87"/>
    <s v="ISEL-1.87"/>
    <n v="1"/>
    <s v="NO TIENE L3OUT"/>
    <n v="86"/>
    <n v="96"/>
  </r>
  <r>
    <n v="419"/>
    <x v="1"/>
    <x v="264"/>
    <s v="eth1/87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87"/>
    <x v="0"/>
    <x v="0"/>
    <x v="0"/>
    <s v="COBROS NAVEGACION"/>
    <x v="6"/>
    <b v="0"/>
    <s v="No está en VPC"/>
    <n v="155"/>
    <s v="INTPG_ACC_155_1.87"/>
    <s v="ISEL-1.87"/>
    <n v="1"/>
    <s v="NO TIENE L3OUT"/>
    <n v="198"/>
    <n v="96"/>
  </r>
  <r>
    <n v="409"/>
    <x v="1"/>
    <x v="266"/>
    <s v="eth1/87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87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87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87"/>
    <x v="1"/>
    <x v="1"/>
    <x v="2"/>
    <m/>
    <x v="6"/>
    <b v="0"/>
    <s v="No está en VPC"/>
    <n v="410"/>
    <s v="NO EXISTE PG"/>
    <s v="NO EXISTE ISEL"/>
    <n v="0"/>
    <s v="NO TIENE L3OUT"/>
    <n v="178"/>
    <n v="96"/>
  </r>
  <r>
    <n v="161"/>
    <x v="0"/>
    <x v="270"/>
    <s v="eth1/87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87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87"/>
    <x v="1"/>
    <x v="1"/>
    <x v="2"/>
    <s v="DESC"/>
    <x v="6"/>
    <b v="0"/>
    <s v="No está en VPC"/>
    <n v="116"/>
    <s v="INTPG_PC_116_1.87-94"/>
    <s v="ISEL-1.87"/>
    <n v="0"/>
    <s v="NO TIENE L3OUT"/>
    <n v="148"/>
    <n v="96"/>
  </r>
  <r>
    <n v="412"/>
    <x v="1"/>
    <x v="273"/>
    <s v="eth1/87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87"/>
    <x v="0"/>
    <x v="0"/>
    <x v="0"/>
    <s v="MASTER SERVER"/>
    <x v="6"/>
    <b v="0"/>
    <s v="No está en VPC"/>
    <n v="120"/>
    <s v="INTPG_ACC_120_1.87"/>
    <s v="ISEL-1.87"/>
    <n v="1"/>
    <s v="NO TIENE L3OUT"/>
    <n v="158"/>
    <n v="96"/>
  </r>
  <r>
    <n v="404"/>
    <x v="1"/>
    <x v="275"/>
    <s v="eth1/87"/>
    <x v="1"/>
    <x v="1"/>
    <x v="2"/>
    <m/>
    <x v="6"/>
    <b v="0"/>
    <s v="No está en VPC"/>
    <n v="404"/>
    <s v="NO EXISTE PG"/>
    <s v="NO EXISTE ISEL"/>
    <n v="0"/>
    <s v="NO TIENE L3OUT"/>
    <n v="92"/>
    <n v="96"/>
  </r>
  <r>
    <n v="167"/>
    <x v="0"/>
    <x v="276"/>
    <s v="eth1/87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87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105"/>
    <x v="0"/>
    <x v="205"/>
    <s v="eth1/88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88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88"/>
    <x v="0"/>
    <x v="1"/>
    <x v="1"/>
    <s v="DESC"/>
    <x v="6"/>
    <b v="0"/>
    <s v="No está en VPC"/>
    <n v="104"/>
    <s v="INTPG_PC_104_1.84-91"/>
    <s v="ISEL-1.88"/>
    <n v="32"/>
    <s v="NO TIENE L3OUT"/>
    <n v="194"/>
    <n v="96"/>
  </r>
  <r>
    <n v="158"/>
    <x v="0"/>
    <x v="208"/>
    <s v="eth1/88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88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88"/>
    <x v="0"/>
    <x v="1"/>
    <x v="1"/>
    <s v="SAPCCRATING23"/>
    <x v="6"/>
    <b v="0"/>
    <s v="No está en VPC"/>
    <n v="112"/>
    <s v="INTPG_VPC_112_1.88_114_1.86"/>
    <s v="ISEL-1.88"/>
    <n v="1"/>
    <s v="NO TIENE L3OUT"/>
    <n v="144"/>
    <n v="96"/>
  </r>
  <r>
    <n v="107"/>
    <x v="0"/>
    <x v="213"/>
    <s v="eth1/88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88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88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88"/>
    <x v="0"/>
    <x v="1"/>
    <x v="1"/>
    <s v="SAPCCRATING25"/>
    <x v="6"/>
    <b v="0"/>
    <s v="No está en VPC"/>
    <n v="114"/>
    <s v="INTPG_VPC_112_1.90_114_1.88"/>
    <s v="ISEL-1.88"/>
    <n v="1"/>
    <s v="NO TIENE L3OUT"/>
    <n v="144"/>
    <n v="96"/>
  </r>
  <r>
    <n v="124"/>
    <x v="0"/>
    <x v="217"/>
    <s v="eth1/88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88"/>
    <x v="0"/>
    <x v="0"/>
    <x v="0"/>
    <s v="LA-47R VIRTUALIZACION BLADES"/>
    <x v="6"/>
    <b v="0"/>
    <s v="No está en VPC"/>
    <n v="118"/>
    <s v="INTPG_ACC_118_1.88"/>
    <s v="ISEL-1.88"/>
    <n v="1"/>
    <s v="NO TIENE L3OUT"/>
    <n v="180"/>
    <n v="96"/>
  </r>
  <r>
    <n v="159"/>
    <x v="0"/>
    <x v="219"/>
    <s v="eth1/88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88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88"/>
    <x v="0"/>
    <x v="0"/>
    <x v="0"/>
    <s v="IMEISRE_i3"/>
    <x v="6"/>
    <b v="0"/>
    <s v="No está en VPC"/>
    <n v="163"/>
    <s v="INTPG_VPC_161_1.77_163_1.88"/>
    <s v="ISEL-1.88"/>
    <n v="1"/>
    <s v="NO TIENE L3OUT"/>
    <n v="140"/>
    <n v="96"/>
  </r>
  <r>
    <n v="407"/>
    <x v="1"/>
    <x v="224"/>
    <s v="eth1/88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88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88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88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88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88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88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88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88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88"/>
    <x v="0"/>
    <x v="1"/>
    <x v="1"/>
    <s v="CORREO AMERICA MOVIL:OPENSTACK 2:VC1-X3"/>
    <x v="6"/>
    <b v="0"/>
    <s v="No está en VPC"/>
    <n v="102"/>
    <s v="INTPG_PC_102_1.86-93"/>
    <s v="ISEL-1.88"/>
    <n v="15"/>
    <s v="NO TIENE L3OUT"/>
    <n v="228"/>
    <n v="96"/>
  </r>
  <r>
    <n v="122"/>
    <x v="0"/>
    <x v="237"/>
    <s v="eth1/88"/>
    <x v="0"/>
    <x v="0"/>
    <x v="0"/>
    <s v="INTRANET CORPORATIVA"/>
    <x v="6"/>
    <b v="0"/>
    <s v="No está en VPC"/>
    <n v="122"/>
    <s v="INTPG_ACC_122_1.88"/>
    <s v="ISEL-1.88"/>
    <n v="1"/>
    <s v="NO TIENE L3OUT"/>
    <n v="148"/>
    <n v="96"/>
  </r>
  <r>
    <n v="157"/>
    <x v="0"/>
    <x v="238"/>
    <s v="eth1/88"/>
    <x v="0"/>
    <x v="1"/>
    <x v="1"/>
    <s v="GESTOR HUAWEI U2000 MW Tx"/>
    <x v="6"/>
    <b v="0"/>
    <s v="No está en VPC"/>
    <n v="157"/>
    <s v="INTPG_ACC_157_1.88"/>
    <s v="ISEL-1.88"/>
    <n v="1"/>
    <s v="NO TIENE L3OUT"/>
    <n v="202"/>
    <n v="96"/>
  </r>
  <r>
    <n v="408"/>
    <x v="1"/>
    <x v="239"/>
    <s v="eth1/88"/>
    <x v="1"/>
    <x v="1"/>
    <x v="2"/>
    <m/>
    <x v="6"/>
    <b v="0"/>
    <s v="No está en VPC"/>
    <n v="408"/>
    <s v="NO EXISTE PG"/>
    <s v="NO EXISTE ISEL"/>
    <n v="0"/>
    <s v="NO TIENE L3OUT"/>
    <n v="152"/>
    <n v="96"/>
  </r>
  <r>
    <n v="405"/>
    <x v="1"/>
    <x v="240"/>
    <s v="eth1/88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88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88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88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88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88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88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88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88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88"/>
    <x v="1"/>
    <x v="1"/>
    <x v="2"/>
    <m/>
    <x v="6"/>
    <b v="0"/>
    <s v="No está en VPC"/>
    <n v="406"/>
    <s v="NO EXISTE PG"/>
    <s v="NO EXISTE ISEL"/>
    <n v="0"/>
    <s v="NO TIENE L3OUT"/>
    <n v="82"/>
    <n v="96"/>
  </r>
  <r>
    <n v="414"/>
    <x v="1"/>
    <x v="250"/>
    <s v="eth1/88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88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88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88"/>
    <x v="1"/>
    <x v="1"/>
    <x v="2"/>
    <m/>
    <x v="6"/>
    <b v="0"/>
    <s v="No está en VPC"/>
    <n v="413"/>
    <s v="NO EXISTE PG"/>
    <s v="NO EXISTE ISEL"/>
    <n v="0"/>
    <s v="NO TIENE L3OUT"/>
    <n v="126"/>
    <n v="96"/>
  </r>
  <r>
    <n v="403"/>
    <x v="1"/>
    <x v="254"/>
    <s v="eth1/88"/>
    <x v="0"/>
    <x v="0"/>
    <x v="0"/>
    <s v="TO-ithfhpmvnorap01-Principal"/>
    <x v="6"/>
    <b v="0"/>
    <s v="No está en VPC"/>
    <n v="403"/>
    <s v="INTPG_ACC_403_1.88"/>
    <s v="ISEL-1.88"/>
    <n v="1"/>
    <s v="NO TIENE L3OUT"/>
    <n v="150"/>
    <n v="96"/>
  </r>
  <r>
    <n v="125"/>
    <x v="0"/>
    <x v="255"/>
    <s v="eth1/88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88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88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88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88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88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88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88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88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88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88"/>
    <x v="0"/>
    <x v="0"/>
    <x v="0"/>
    <s v="VTAE"/>
    <x v="6"/>
    <b v="0"/>
    <s v="No está en VPC"/>
    <n v="155"/>
    <s v="INTPG_ACC_155_1.88"/>
    <s v="ISEL-1.88"/>
    <n v="1"/>
    <s v="NO TIENE L3OUT"/>
    <n v="198"/>
    <n v="96"/>
  </r>
  <r>
    <n v="409"/>
    <x v="1"/>
    <x v="266"/>
    <s v="eth1/88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88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88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88"/>
    <x v="0"/>
    <x v="0"/>
    <x v="0"/>
    <s v="IXTNS11-DD_RESPALDO_CS5_NET1"/>
    <x v="6"/>
    <b v="0"/>
    <s v="No está en VPC"/>
    <n v="410"/>
    <s v="INTPG_ACC_410_1.88"/>
    <s v="ISEL-1.88"/>
    <n v="1"/>
    <s v="NO TIENE L3OUT"/>
    <n v="178"/>
    <n v="96"/>
  </r>
  <r>
    <n v="161"/>
    <x v="0"/>
    <x v="270"/>
    <s v="eth1/88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88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88"/>
    <x v="1"/>
    <x v="1"/>
    <x v="2"/>
    <s v="DESC"/>
    <x v="6"/>
    <b v="0"/>
    <s v="No está en VPC"/>
    <n v="116"/>
    <s v="INTPG_PC_116_1.87-94"/>
    <s v="ISEL-1.88"/>
    <n v="0"/>
    <s v="NO TIENE L3OUT"/>
    <n v="148"/>
    <n v="96"/>
  </r>
  <r>
    <n v="412"/>
    <x v="1"/>
    <x v="273"/>
    <s v="eth1/88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88"/>
    <x v="0"/>
    <x v="0"/>
    <x v="0"/>
    <s v="MASTER SERVER"/>
    <x v="6"/>
    <b v="0"/>
    <s v="No está en VPC"/>
    <n v="120"/>
    <s v="INTPG_ACC_120_1.88"/>
    <s v="ISEL-1.88"/>
    <n v="1"/>
    <s v="NO TIENE L3OUT"/>
    <n v="158"/>
    <n v="96"/>
  </r>
  <r>
    <n v="404"/>
    <x v="1"/>
    <x v="275"/>
    <s v="eth1/88"/>
    <x v="1"/>
    <x v="1"/>
    <x v="2"/>
    <m/>
    <x v="6"/>
    <b v="0"/>
    <s v="No está en VPC"/>
    <n v="404"/>
    <s v="NO EXISTE PG"/>
    <s v="NO EXISTE ISEL"/>
    <n v="0"/>
    <s v="NO TIENE L3OUT"/>
    <n v="92"/>
    <n v="96"/>
  </r>
  <r>
    <n v="167"/>
    <x v="0"/>
    <x v="276"/>
    <s v="eth1/88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88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105"/>
    <x v="0"/>
    <x v="205"/>
    <s v="eth1/89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89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89"/>
    <x v="0"/>
    <x v="1"/>
    <x v="1"/>
    <s v="DESC"/>
    <x v="6"/>
    <b v="0"/>
    <s v="No está en VPC"/>
    <n v="104"/>
    <s v="INTPG_PC_104_1.84-91"/>
    <s v="ISEL-1.89"/>
    <n v="32"/>
    <s v="NO TIENE L3OUT"/>
    <n v="194"/>
    <n v="96"/>
  </r>
  <r>
    <n v="158"/>
    <x v="0"/>
    <x v="208"/>
    <s v="eth1/89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89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89"/>
    <x v="0"/>
    <x v="1"/>
    <x v="1"/>
    <s v="SAPCCRATING24"/>
    <x v="6"/>
    <b v="0"/>
    <s v="No está en VPC"/>
    <n v="112"/>
    <s v="INTPG_VPC_112_1.89_114_1.87"/>
    <s v="ISEL-1.89"/>
    <n v="1"/>
    <s v="NO TIENE L3OUT"/>
    <n v="144"/>
    <n v="96"/>
  </r>
  <r>
    <n v="107"/>
    <x v="0"/>
    <x v="213"/>
    <s v="eth1/89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89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89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89"/>
    <x v="0"/>
    <x v="1"/>
    <x v="1"/>
    <s v="SAPCCRATING26"/>
    <x v="6"/>
    <b v="0"/>
    <s v="No está en VPC"/>
    <n v="114"/>
    <s v="INTPG_VPC_112_1.91_114_1.89"/>
    <s v="ISEL-1.89"/>
    <n v="1"/>
    <s v="NO TIENE L3OUT"/>
    <n v="144"/>
    <n v="96"/>
  </r>
  <r>
    <n v="124"/>
    <x v="0"/>
    <x v="217"/>
    <s v="eth1/89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89"/>
    <x v="0"/>
    <x v="0"/>
    <x v="0"/>
    <s v="LA-47R VIRTUALIZACION BLADES"/>
    <x v="6"/>
    <b v="0"/>
    <s v="No está en VPC"/>
    <n v="118"/>
    <s v="INTPG_ACC_118_1.89"/>
    <s v="ISEL-1.89"/>
    <n v="1"/>
    <s v="NO TIENE L3OUT"/>
    <n v="180"/>
    <n v="96"/>
  </r>
  <r>
    <n v="159"/>
    <x v="0"/>
    <x v="219"/>
    <s v="eth1/89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89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89"/>
    <x v="0"/>
    <x v="0"/>
    <x v="0"/>
    <s v="SFODPP02"/>
    <x v="6"/>
    <b v="0"/>
    <s v="No está en VPC"/>
    <n v="163"/>
    <s v="INTPG_VPC_161_1.78_163_1.89"/>
    <s v="ISEL-1.89"/>
    <n v="1"/>
    <s v="NO TIENE L3OUT"/>
    <n v="140"/>
    <n v="96"/>
  </r>
  <r>
    <n v="407"/>
    <x v="1"/>
    <x v="224"/>
    <s v="eth1/89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89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89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89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89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89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89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89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89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89"/>
    <x v="0"/>
    <x v="1"/>
    <x v="1"/>
    <s v="CORREO AMERICA MOVIL:OPENSTACK 2:VC1-X4"/>
    <x v="6"/>
    <b v="0"/>
    <s v="No está en VPC"/>
    <n v="102"/>
    <s v="INTPG_PC_102_1.86-93"/>
    <s v="ISEL-1.89"/>
    <n v="15"/>
    <s v="NO TIENE L3OUT"/>
    <n v="228"/>
    <n v="96"/>
  </r>
  <r>
    <n v="122"/>
    <x v="0"/>
    <x v="237"/>
    <s v="eth1/89"/>
    <x v="0"/>
    <x v="0"/>
    <x v="0"/>
    <s v="INTRANET CORPORATIVA"/>
    <x v="6"/>
    <b v="0"/>
    <s v="No está en VPC"/>
    <n v="122"/>
    <s v="INTPG_ACC_122_1.89"/>
    <s v="ISEL-1.89"/>
    <n v="1"/>
    <s v="NO TIENE L3OUT"/>
    <n v="148"/>
    <n v="96"/>
  </r>
  <r>
    <n v="157"/>
    <x v="0"/>
    <x v="238"/>
    <s v="eth1/89"/>
    <x v="0"/>
    <x v="0"/>
    <x v="0"/>
    <s v="SNA TEST BED"/>
    <x v="6"/>
    <b v="0"/>
    <s v="No está en VPC"/>
    <n v="157"/>
    <s v="INTPG_ACC_157_1.89"/>
    <s v="ISEL-1.89"/>
    <n v="0"/>
    <s v="L3OUT-SNA-IPCORP-A21"/>
    <n v="202"/>
    <n v="96"/>
  </r>
  <r>
    <n v="408"/>
    <x v="1"/>
    <x v="239"/>
    <s v="eth1/89"/>
    <x v="1"/>
    <x v="1"/>
    <x v="2"/>
    <m/>
    <x v="6"/>
    <b v="0"/>
    <s v="No está en VPC"/>
    <n v="408"/>
    <s v="NO EXISTE PG"/>
    <s v="NO EXISTE ISEL"/>
    <n v="0"/>
    <s v="NO TIENE L3OUT"/>
    <n v="152"/>
    <n v="96"/>
  </r>
  <r>
    <n v="405"/>
    <x v="1"/>
    <x v="240"/>
    <s v="eth1/89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89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89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89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89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89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89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89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89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89"/>
    <x v="1"/>
    <x v="1"/>
    <x v="2"/>
    <m/>
    <x v="6"/>
    <b v="0"/>
    <s v="No está en VPC"/>
    <n v="406"/>
    <s v="NO EXISTE PG"/>
    <s v="NO EXISTE ISEL"/>
    <n v="0"/>
    <s v="NO TIENE L3OUT"/>
    <n v="82"/>
    <n v="96"/>
  </r>
  <r>
    <n v="414"/>
    <x v="1"/>
    <x v="250"/>
    <s v="eth1/89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89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89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89"/>
    <x v="1"/>
    <x v="1"/>
    <x v="2"/>
    <m/>
    <x v="6"/>
    <b v="0"/>
    <s v="No está en VPC"/>
    <n v="413"/>
    <s v="NO EXISTE PG"/>
    <s v="NO EXISTE ISEL"/>
    <n v="0"/>
    <s v="NO TIENE L3OUT"/>
    <n v="126"/>
    <n v="96"/>
  </r>
  <r>
    <n v="403"/>
    <x v="1"/>
    <x v="254"/>
    <s v="eth1/89"/>
    <x v="0"/>
    <x v="0"/>
    <x v="0"/>
    <s v="TO-ithfhpmvnorap01"/>
    <x v="6"/>
    <b v="0"/>
    <s v="No está en VPC"/>
    <n v="403"/>
    <s v="INTPG_VPC_403_1.89_405_1.79"/>
    <s v="ISEL-1.89"/>
    <n v="1"/>
    <s v="NO TIENE L3OUT"/>
    <n v="150"/>
    <n v="96"/>
  </r>
  <r>
    <n v="125"/>
    <x v="0"/>
    <x v="255"/>
    <s v="eth1/89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89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89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89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89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89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89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89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89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89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89"/>
    <x v="0"/>
    <x v="0"/>
    <x v="0"/>
    <s v="VTAE"/>
    <x v="6"/>
    <b v="0"/>
    <s v="No está en VPC"/>
    <n v="155"/>
    <s v="INTPG_ACC_155_1.89"/>
    <s v="ISEL-1.89"/>
    <n v="1"/>
    <s v="NO TIENE L3OUT"/>
    <n v="198"/>
    <n v="96"/>
  </r>
  <r>
    <n v="409"/>
    <x v="1"/>
    <x v="266"/>
    <s v="eth1/89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89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89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89"/>
    <x v="1"/>
    <x v="1"/>
    <x v="2"/>
    <m/>
    <x v="6"/>
    <b v="0"/>
    <s v="No está en VPC"/>
    <n v="410"/>
    <s v="NO EXISTE PG"/>
    <s v="NO EXISTE ISEL"/>
    <n v="0"/>
    <s v="NO TIENE L3OUT"/>
    <n v="178"/>
    <n v="96"/>
  </r>
  <r>
    <n v="161"/>
    <x v="0"/>
    <x v="270"/>
    <s v="eth1/89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89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89"/>
    <x v="1"/>
    <x v="1"/>
    <x v="2"/>
    <s v="DESC"/>
    <x v="6"/>
    <b v="0"/>
    <s v="No está en VPC"/>
    <n v="116"/>
    <s v="INTPG_PC_116_1.87-94"/>
    <s v="ISEL-1.89"/>
    <n v="0"/>
    <s v="NO TIENE L3OUT"/>
    <n v="148"/>
    <n v="96"/>
  </r>
  <r>
    <n v="412"/>
    <x v="1"/>
    <x v="273"/>
    <s v="eth1/89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89"/>
    <x v="0"/>
    <x v="0"/>
    <x v="0"/>
    <s v="MASTER SERVER"/>
    <x v="6"/>
    <b v="0"/>
    <s v="No está en VPC"/>
    <n v="120"/>
    <s v="INTPG_ACC_120_1.89"/>
    <s v="ISEL-1.89"/>
    <n v="1"/>
    <s v="NO TIENE L3OUT"/>
    <n v="158"/>
    <n v="96"/>
  </r>
  <r>
    <n v="404"/>
    <x v="1"/>
    <x v="275"/>
    <s v="eth1/89"/>
    <x v="1"/>
    <x v="1"/>
    <x v="2"/>
    <m/>
    <x v="6"/>
    <b v="0"/>
    <s v="No está en VPC"/>
    <n v="404"/>
    <s v="NO EXISTE PG"/>
    <s v="NO EXISTE ISEL"/>
    <n v="0"/>
    <s v="NO TIENE L3OUT"/>
    <n v="92"/>
    <n v="96"/>
  </r>
  <r>
    <n v="167"/>
    <x v="0"/>
    <x v="276"/>
    <s v="eth1/89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89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128"/>
    <x v="0"/>
    <x v="0"/>
    <s v="eth1/9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9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9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9"/>
    <x v="0"/>
    <x v="0"/>
    <x v="0"/>
    <s v="DESC"/>
    <x v="0"/>
    <b v="0"/>
    <s v="No está en VPC"/>
    <n v="101"/>
    <s v="INTPG_PC_101_1.9-10"/>
    <s v="ISEL-1.9"/>
    <n v="1"/>
    <s v="NO TIENE L3OUT"/>
    <n v="114"/>
    <n v="54"/>
  </r>
  <r>
    <n v="160"/>
    <x v="0"/>
    <x v="4"/>
    <s v="eth1/9"/>
    <x v="0"/>
    <x v="1"/>
    <x v="1"/>
    <s v="Servidores Virtuales LA"/>
    <x v="1"/>
    <b v="0"/>
    <s v="No está en VPC"/>
    <n v="160"/>
    <s v="INTPG_ACC_160_1.9"/>
    <s v="ISEL-1.9"/>
    <n v="1"/>
    <s v="NO TIENE L3OUT"/>
    <n v="68"/>
    <n v="54"/>
  </r>
  <r>
    <n v="121"/>
    <x v="0"/>
    <x v="5"/>
    <s v="eth1/9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9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9"/>
    <x v="0"/>
    <x v="0"/>
    <x v="0"/>
    <m/>
    <x v="0"/>
    <b v="0"/>
    <s v="No está en VPC"/>
    <n v="401"/>
    <s v="INTPG_ACC_401_1.9"/>
    <s v="ISEL-1.9"/>
    <n v="1"/>
    <s v="NO TIENE L3OUT"/>
    <n v="40"/>
    <n v="54"/>
  </r>
  <r>
    <n v="402"/>
    <x v="1"/>
    <x v="8"/>
    <s v="eth1/9"/>
    <x v="0"/>
    <x v="0"/>
    <x v="0"/>
    <m/>
    <x v="0"/>
    <b v="0"/>
    <s v="No está en VPC"/>
    <n v="402"/>
    <s v="INTPG_ACC_402_1.9"/>
    <s v="ISEL-1.9"/>
    <n v="0"/>
    <s v="NO TIENE L3OUT"/>
    <n v="36"/>
    <n v="54"/>
  </r>
  <r>
    <n v="447"/>
    <x v="1"/>
    <x v="9"/>
    <s v="eth1/9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9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9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9"/>
    <x v="0"/>
    <x v="0"/>
    <x v="0"/>
    <s v="DESC"/>
    <x v="0"/>
    <b v="0"/>
    <s v="No está en VPC"/>
    <n v="150"/>
    <s v="INTPG_PC_150_1.9-10"/>
    <s v="ISEL-1.9"/>
    <n v="1"/>
    <s v="NO TIENE L3OUT"/>
    <n v="118"/>
    <n v="54"/>
  </r>
  <r>
    <n v="131"/>
    <x v="0"/>
    <x v="13"/>
    <s v="eth1/9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9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9"/>
    <x v="0"/>
    <x v="0"/>
    <x v="0"/>
    <s v="vTMIP-LAG01"/>
    <x v="2"/>
    <b v="0"/>
    <s v="No está en VPC"/>
    <n v="758"/>
    <s v="INTPG_VPC_758_1.9_759_1.9"/>
    <s v="ISEL-1.9"/>
    <n v="9"/>
    <s v="NO TIENE L3OUT"/>
    <n v="0"/>
    <n v="42"/>
  </r>
  <r>
    <n v="759"/>
    <x v="2"/>
    <x v="16"/>
    <s v="eth1/9"/>
    <x v="0"/>
    <x v="0"/>
    <x v="0"/>
    <s v="vTMIP-LAG01"/>
    <x v="2"/>
    <b v="0"/>
    <s v="No está en VPC"/>
    <n v="759"/>
    <s v="INTPG_VPC_758_1.9_759_1.9"/>
    <s v="ISEL-1.9"/>
    <n v="9"/>
    <s v="NO TIENE L3OUT"/>
    <n v="0"/>
    <n v="42"/>
  </r>
  <r>
    <n v="302"/>
    <x v="0"/>
    <x v="17"/>
    <s v="eth1/9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9"/>
    <x v="0"/>
    <x v="0"/>
    <x v="0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9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9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9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9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9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9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9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9"/>
    <x v="0"/>
    <x v="1"/>
    <x v="3"/>
    <s v="VBLOCK2"/>
    <x v="0"/>
    <b v="0"/>
    <s v="No está en VPC"/>
    <n v="431"/>
    <s v="INTPG_VPC_431_1.9-10_448_1.9-10"/>
    <s v="ISEL-1.9"/>
    <n v="10"/>
    <s v="NO TIENE L3OUT"/>
    <n v="46"/>
    <n v="54"/>
  </r>
  <r>
    <n v="433"/>
    <x v="1"/>
    <x v="27"/>
    <s v="eth1/9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9"/>
    <x v="0"/>
    <x v="0"/>
    <x v="0"/>
    <s v="RKN_1.5__PTO_21_SECUNDARIO"/>
    <x v="1"/>
    <b v="0"/>
    <s v="No está en VPC"/>
    <n v="429"/>
    <s v="INTPG_ACC_429_1.9"/>
    <s v="ISEL-1.9"/>
    <n v="2"/>
    <s v="NO TIENE L3OUT"/>
    <n v="8"/>
    <n v="54"/>
  </r>
  <r>
    <n v="432"/>
    <x v="1"/>
    <x v="29"/>
    <s v="eth1/9"/>
    <x v="0"/>
    <x v="0"/>
    <x v="0"/>
    <s v="SSO"/>
    <x v="1"/>
    <b v="0"/>
    <s v="No está en VPC"/>
    <n v="432"/>
    <s v="INTPG_ACC_432_1.9"/>
    <s v="ISEL-1.9"/>
    <n v="1"/>
    <s v="NO TIENE L3OUT"/>
    <n v="54"/>
    <n v="54"/>
  </r>
  <r>
    <n v="442"/>
    <x v="1"/>
    <x v="30"/>
    <s v="eth1/9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9"/>
    <x v="0"/>
    <x v="1"/>
    <x v="1"/>
    <s v="TO-uxidmbd2 -E3-1"/>
    <x v="1"/>
    <b v="0"/>
    <s v="No está en VPC"/>
    <n v="434"/>
    <s v="INTPG_ACC_434_1.9"/>
    <s v="ISEL-1.9"/>
    <n v="1"/>
    <s v="NO TIENE L3OUT"/>
    <n v="34"/>
    <n v="54"/>
  </r>
  <r>
    <n v="707"/>
    <x v="2"/>
    <x v="32"/>
    <s v="eth1/9"/>
    <x v="0"/>
    <x v="0"/>
    <x v="0"/>
    <s v="CEM:ITHCEMG2DAT05:LOM P1"/>
    <x v="0"/>
    <b v="0"/>
    <s v="No está en VPC"/>
    <n v="707"/>
    <s v="INTPG_ACC_707_1.9"/>
    <s v="ISEL-1.9"/>
    <n v="1"/>
    <s v="NO TIENE L3OUT"/>
    <n v="54"/>
    <n v="54"/>
  </r>
  <r>
    <n v="712"/>
    <x v="2"/>
    <x v="33"/>
    <s v="eth1/9"/>
    <x v="0"/>
    <x v="0"/>
    <x v="0"/>
    <s v="CEM:ITHCEMB2DAT05:LOM P1"/>
    <x v="0"/>
    <b v="0"/>
    <s v="No está en VPC"/>
    <n v="712"/>
    <s v="INTPG_ACC_712_1.9"/>
    <s v="ISEL-1.9"/>
    <n v="1"/>
    <s v="NO TIENE L3OUT"/>
    <n v="32"/>
    <n v="54"/>
  </r>
  <r>
    <n v="719"/>
    <x v="2"/>
    <x v="34"/>
    <s v="eth1/9"/>
    <x v="0"/>
    <x v="0"/>
    <x v="0"/>
    <m/>
    <x v="0"/>
    <b v="0"/>
    <s v="No está en VPC"/>
    <n v="719"/>
    <s v="INTPG-VPC_HDD03_719_1.9_720_1.10"/>
    <s v="ISEL-1.9"/>
    <n v="1"/>
    <s v="NO TIENE L3OUT"/>
    <n v="0"/>
    <n v="54"/>
  </r>
  <r>
    <n v="715"/>
    <x v="2"/>
    <x v="35"/>
    <s v="eth1/9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9"/>
    <x v="0"/>
    <x v="0"/>
    <x v="0"/>
    <s v="TO-ITHFHPSMEPRAP01_ILO"/>
    <x v="1"/>
    <b v="0"/>
    <s v="No está en VPC"/>
    <n v="427"/>
    <s v="INTPG_ACC_427_1.9"/>
    <s v="ISEL-1.9"/>
    <n v="1"/>
    <s v="NO TIENE L3OUT"/>
    <n v="10"/>
    <n v="54"/>
  </r>
  <r>
    <n v="711"/>
    <x v="2"/>
    <x v="37"/>
    <s v="eth1/9"/>
    <x v="0"/>
    <x v="0"/>
    <x v="0"/>
    <s v="CEM:ITHCEMC2DAT05:LOM P1"/>
    <x v="0"/>
    <b v="0"/>
    <s v="No está en VPC"/>
    <n v="711"/>
    <s v="INTPG_ACC_711_1.9"/>
    <s v="ISEL-1.9"/>
    <n v="1"/>
    <s v="NO TIENE L3OUT"/>
    <n v="16"/>
    <n v="54"/>
  </r>
  <r>
    <n v="716"/>
    <x v="2"/>
    <x v="38"/>
    <s v="eth1/9"/>
    <x v="0"/>
    <x v="0"/>
    <x v="0"/>
    <m/>
    <x v="0"/>
    <b v="0"/>
    <s v="No está en VPC"/>
    <n v="716"/>
    <s v="INTPG-VPC_HDD35_716_1.9_715_1.10"/>
    <s v="ISEL-1.9"/>
    <n v="1"/>
    <s v="NO TIENE L3OUT"/>
    <n v="0"/>
    <n v="54"/>
  </r>
  <r>
    <n v="702"/>
    <x v="2"/>
    <x v="39"/>
    <s v="eth1/9"/>
    <x v="0"/>
    <x v="0"/>
    <x v="0"/>
    <m/>
    <x v="0"/>
    <b v="0"/>
    <s v="No está en VPC"/>
    <n v="702"/>
    <s v="INTPG_VPC_702_1.9_701_1.10"/>
    <s v="ISEL-1.9"/>
    <n v="1"/>
    <s v="NO TIENE L3OUT"/>
    <n v="0"/>
    <n v="54"/>
  </r>
  <r>
    <n v="435"/>
    <x v="1"/>
    <x v="40"/>
    <s v="eth1/9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9"/>
    <x v="0"/>
    <x v="0"/>
    <x v="0"/>
    <m/>
    <x v="0"/>
    <b v="0"/>
    <s v="No está en VPC"/>
    <n v="446"/>
    <s v="INTPG_ACC_446_1.9"/>
    <s v="ISEL-1.9"/>
    <n v="9"/>
    <s v="NO TIENE L3OUT"/>
    <n v="198"/>
    <n v="54"/>
  </r>
  <r>
    <n v="444"/>
    <x v="1"/>
    <x v="42"/>
    <s v="eth1/9"/>
    <x v="0"/>
    <x v="0"/>
    <x v="0"/>
    <s v="TO-ITHFHPNBURBKP07"/>
    <x v="0"/>
    <b v="0"/>
    <s v="No está en VPC"/>
    <n v="444"/>
    <s v="INTPG_VPC_444_1.9_446_1.10"/>
    <s v="ISEL-1.9"/>
    <n v="1"/>
    <s v="NO TIENE L3OUT"/>
    <n v="234"/>
    <n v="54"/>
  </r>
  <r>
    <n v="701"/>
    <x v="2"/>
    <x v="43"/>
    <s v="eth1/9"/>
    <x v="0"/>
    <x v="0"/>
    <x v="0"/>
    <m/>
    <x v="0"/>
    <b v="0"/>
    <s v="No está en VPC"/>
    <n v="701"/>
    <s v="INTPG_VPC_701_1.9_702_1.10"/>
    <s v="ISEL-1.9"/>
    <n v="1"/>
    <s v="NO TIENE L3OUT"/>
    <n v="0"/>
    <n v="54"/>
  </r>
  <r>
    <n v="440"/>
    <x v="1"/>
    <x v="44"/>
    <s v="eth1/9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9"/>
    <x v="0"/>
    <x v="1"/>
    <x v="3"/>
    <s v="VBLOCK2"/>
    <x v="0"/>
    <b v="0"/>
    <s v="No está en VPC"/>
    <n v="448"/>
    <s v="INTPG_VPC_431_1.9-10_448_1.9-10"/>
    <s v="ISEL-1.9"/>
    <n v="10"/>
    <s v="NO TIENE L3OUT"/>
    <n v="46"/>
    <n v="54"/>
  </r>
  <r>
    <n v="704"/>
    <x v="2"/>
    <x v="46"/>
    <s v="eth1/9"/>
    <x v="0"/>
    <x v="0"/>
    <x v="0"/>
    <m/>
    <x v="0"/>
    <b v="0"/>
    <s v="No está en VPC"/>
    <n v="704"/>
    <s v="INTPG_VPC_704_1.9_703_1.10"/>
    <s v="ISEL-1.9"/>
    <n v="1"/>
    <s v="NO TIENE L3OUT"/>
    <n v="0"/>
    <n v="54"/>
  </r>
  <r>
    <n v="729"/>
    <x v="2"/>
    <x v="47"/>
    <s v="eth1/9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9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9"/>
    <x v="0"/>
    <x v="0"/>
    <x v="0"/>
    <s v="HACIA_MGMT-OSCP-F4-05_SECUNDARIO"/>
    <x v="4"/>
    <b v="0"/>
    <s v="No está en VPC"/>
    <n v="456"/>
    <s v="INTPG_VPC_454_1.9_456_1.9"/>
    <s v="ISEL-1.9"/>
    <n v="1"/>
    <s v="NO TIENE L3OUT"/>
    <n v="4"/>
    <n v="54"/>
  </r>
  <r>
    <n v="603"/>
    <x v="1"/>
    <x v="50"/>
    <s v="eth1/9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9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9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9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9"/>
    <x v="0"/>
    <x v="1"/>
    <x v="5"/>
    <m/>
    <x v="0"/>
    <b v="0"/>
    <s v="No está en VPC"/>
    <n v="722"/>
    <s v="INTPG-VPC_HDD129_722_1.9_723_1.10"/>
    <s v="ISEL-1.9"/>
    <n v="1"/>
    <s v="NO TIENE L3OUT"/>
    <n v="0"/>
    <n v="54"/>
  </r>
  <r>
    <n v="733"/>
    <x v="2"/>
    <x v="55"/>
    <s v="eth1/9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9"/>
    <x v="0"/>
    <x v="0"/>
    <x v="0"/>
    <s v="OSS F1:ithenmr08bl02nas2r9a:PORT 1"/>
    <x v="0"/>
    <b v="0"/>
    <s v="No está en VPC"/>
    <n v="755"/>
    <s v="INTPG_PC_755_1.9-12"/>
    <s v="ISEL-1.9"/>
    <n v="1"/>
    <s v="NO TIENE L3OUT"/>
    <n v="52"/>
    <n v="54"/>
  </r>
  <r>
    <n v="748"/>
    <x v="2"/>
    <x v="57"/>
    <s v="eth1/9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9"/>
    <x v="0"/>
    <x v="0"/>
    <x v="0"/>
    <s v="OSS F1:ithenmr08bl04ombsr9a:PORT 1"/>
    <x v="0"/>
    <b v="0"/>
    <s v="No está en VPC"/>
    <n v="756"/>
    <s v="INTPG_PC_756_1.9-12"/>
    <s v="ISEL-1.9"/>
    <n v="2"/>
    <s v="NO TIENE L3OUT"/>
    <n v="64"/>
    <n v="54"/>
  </r>
  <r>
    <n v="754"/>
    <x v="2"/>
    <x v="59"/>
    <s v="eth1/9"/>
    <x v="0"/>
    <x v="0"/>
    <x v="0"/>
    <s v="OSS F1:ithenmr04e2r9b:Bay1/X1"/>
    <x v="0"/>
    <b v="0"/>
    <s v="No está en VPC"/>
    <n v="754"/>
    <s v="INTPG_PC_754_1.9-10"/>
    <s v="ISEL-1.9"/>
    <n v="8"/>
    <s v="NO TIENE L3OUT"/>
    <n v="62"/>
    <n v="54"/>
  </r>
  <r>
    <n v="751"/>
    <x v="2"/>
    <x v="60"/>
    <s v="eth1/9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9"/>
    <x v="0"/>
    <x v="0"/>
    <x v="0"/>
    <s v="Portchannel_2_R4A"/>
    <x v="0"/>
    <b v="0"/>
    <s v="No está en VPC"/>
    <n v="769"/>
    <s v="INTPG_PC_769_1.9-10"/>
    <s v="ISEL-1.9"/>
    <n v="8"/>
    <s v="NO TIENE L3OUT"/>
    <n v="60"/>
    <n v="54"/>
  </r>
  <r>
    <n v="742"/>
    <x v="2"/>
    <x v="62"/>
    <s v="eth1/9"/>
    <x v="0"/>
    <x v="1"/>
    <x v="1"/>
    <s v="CEM:ITHCEMA2DAT05:LOM P3"/>
    <x v="5"/>
    <b v="0"/>
    <s v="No está en VPC"/>
    <n v="742"/>
    <s v="INTPG_ACC_742_1.9"/>
    <s v="ISEL-1.9"/>
    <n v="0"/>
    <s v="NO TIENE L3OUT"/>
    <n v="64"/>
    <n v="54"/>
  </r>
  <r>
    <n v="763"/>
    <x v="2"/>
    <x v="63"/>
    <s v="eth1/9"/>
    <x v="0"/>
    <x v="0"/>
    <x v="0"/>
    <s v="PAAS:ithhwoscopap009:LOM PORT 3"/>
    <x v="0"/>
    <b v="0"/>
    <s v="No está en VPC"/>
    <n v="763"/>
    <s v="INTPG_VPC_762_1.9_763_1.9"/>
    <s v="ISEL-1.9"/>
    <n v="15"/>
    <s v="NO TIENE L3OUT"/>
    <n v="2"/>
    <n v="54"/>
  </r>
  <r>
    <n v="766"/>
    <x v="2"/>
    <x v="64"/>
    <s v="eth1/9"/>
    <x v="0"/>
    <x v="0"/>
    <x v="0"/>
    <s v="Portchannel_7_R6A"/>
    <x v="0"/>
    <b v="0"/>
    <s v="No está en VPC"/>
    <n v="766"/>
    <s v="INTPG_PC_766_1.9-12"/>
    <s v="ISEL-1.9"/>
    <n v="1"/>
    <s v="NO TIENE L3OUT"/>
    <n v="58"/>
    <n v="54"/>
  </r>
  <r>
    <n v="760"/>
    <x v="2"/>
    <x v="65"/>
    <s v="eth1/9"/>
    <x v="0"/>
    <x v="1"/>
    <x v="1"/>
    <m/>
    <x v="0"/>
    <b v="0"/>
    <s v="No está en VPC"/>
    <n v="760"/>
    <s v="INTPG_VPC_760_1.9-12_761_1.9-12"/>
    <s v="ISEL-1.9"/>
    <n v="0"/>
    <s v="L3OUT-EXACLOUD"/>
    <n v="0"/>
    <n v="54"/>
  </r>
  <r>
    <n v="752"/>
    <x v="2"/>
    <x v="66"/>
    <s v="eth1/9"/>
    <x v="0"/>
    <x v="0"/>
    <x v="0"/>
    <s v="PAAS:ithhwoscopap007:Slot4.1"/>
    <x v="0"/>
    <b v="0"/>
    <s v="No está en VPC"/>
    <n v="752"/>
    <s v="INTPG_VPC_747_1.9_752_1.9"/>
    <s v="ISEL-1.9"/>
    <n v="25"/>
    <s v="NO TIENE L3OUT"/>
    <n v="0"/>
    <n v="54"/>
  </r>
  <r>
    <n v="765"/>
    <x v="2"/>
    <x v="67"/>
    <s v="eth1/9"/>
    <x v="0"/>
    <x v="0"/>
    <x v="0"/>
    <s v="Portchannel_1_R6A"/>
    <x v="0"/>
    <b v="0"/>
    <s v="No está en VPC"/>
    <n v="765"/>
    <s v="INTPG_PC_765_1.7-10"/>
    <s v="ISEL-1.9"/>
    <n v="2"/>
    <s v="NO TIENE L3OUT"/>
    <n v="60"/>
    <n v="54"/>
  </r>
  <r>
    <n v="778"/>
    <x v="2"/>
    <x v="68"/>
    <s v="eth1/9"/>
    <x v="0"/>
    <x v="0"/>
    <x v="0"/>
    <s v="ENIQ F1:itheniqr07ombsr2:Slot 2/2"/>
    <x v="0"/>
    <b v="0"/>
    <s v="No está en VPC"/>
    <n v="778"/>
    <s v="INTPG_PC_778_1.7-10"/>
    <s v="ISEL-1.9"/>
    <n v="2"/>
    <s v="NO TIENE L3OUT"/>
    <n v="26"/>
    <n v="54"/>
  </r>
  <r>
    <n v="780"/>
    <x v="2"/>
    <x v="69"/>
    <s v="eth1/9"/>
    <x v="0"/>
    <x v="0"/>
    <x v="0"/>
    <s v="LACP_OMBS_ENIQ1"/>
    <x v="0"/>
    <b v="0"/>
    <s v="No está en VPC"/>
    <n v="780"/>
    <s v="INTPG_PC_780_1.7-10"/>
    <s v="ISEL-1.9"/>
    <n v="2"/>
    <s v="NO TIENE L3OUT"/>
    <n v="26"/>
    <n v="54"/>
  </r>
  <r>
    <n v="812"/>
    <x v="2"/>
    <x v="70"/>
    <s v="eth1/9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9"/>
    <x v="0"/>
    <x v="0"/>
    <x v="0"/>
    <s v="ITHFHWTSHNLCN05_VMs-05_Taishan_IT"/>
    <x v="0"/>
    <b v="0"/>
    <s v="No está en VPC"/>
    <n v="796"/>
    <s v="INTPG_VPC_795_1.9_796_1.9"/>
    <s v="ISEL-1.9"/>
    <n v="14"/>
    <s v="NO TIENE L3OUT"/>
    <n v="18"/>
    <n v="54"/>
  </r>
  <r>
    <n v="795"/>
    <x v="2"/>
    <x v="72"/>
    <s v="eth1/9"/>
    <x v="0"/>
    <x v="0"/>
    <x v="0"/>
    <s v="ITHFHWTSHNLCN05_VMs-05_Taishan_IT"/>
    <x v="0"/>
    <b v="0"/>
    <s v="No está en VPC"/>
    <n v="795"/>
    <s v="INTPG_VPC_795_1.9_796_1.9"/>
    <s v="ISEL-1.9"/>
    <n v="14"/>
    <s v="NO TIENE L3OUT"/>
    <n v="18"/>
    <n v="54"/>
  </r>
  <r>
    <n v="749"/>
    <x v="2"/>
    <x v="73"/>
    <s v="eth1/9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9"/>
    <x v="0"/>
    <x v="0"/>
    <x v="0"/>
    <s v="LINK_TO_ITHFHWCMVWPMA08 /Slot5.1 /Redundante"/>
    <x v="0"/>
    <b v="0"/>
    <s v="No está en VPC"/>
    <n v="824"/>
    <s v="INTPG_ACC_824_1.9"/>
    <s v="ISEL-1.9"/>
    <n v="1"/>
    <s v="NO TIENE L3OUT"/>
    <n v="70"/>
    <n v="54"/>
  </r>
  <r>
    <n v="819"/>
    <x v="2"/>
    <x v="75"/>
    <s v="eth1/9"/>
    <x v="0"/>
    <x v="0"/>
    <x v="0"/>
    <s v="LINK_TO_ITHFHWCMVWPMA08 /10GE.1 /Principal"/>
    <x v="0"/>
    <b v="0"/>
    <s v="No está en VPC"/>
    <n v="819"/>
    <s v="INTPG_ACC_819_1.9"/>
    <s v="ISEL-1.9"/>
    <n v="1"/>
    <s v="NO TIENE L3OUT"/>
    <n v="70"/>
    <n v="54"/>
  </r>
  <r>
    <n v="737"/>
    <x v="2"/>
    <x v="76"/>
    <s v="eth1/9"/>
    <x v="0"/>
    <x v="0"/>
    <x v="0"/>
    <s v="CEM:ITHCEMF2DAT05:LOM P3"/>
    <x v="5"/>
    <b v="0"/>
    <s v="No está en VPC"/>
    <n v="737"/>
    <s v="INTPG_ACC_737_1.9"/>
    <s v="ISEL-1.9"/>
    <n v="1"/>
    <s v="NO TIENE L3OUT"/>
    <n v="72"/>
    <n v="54"/>
  </r>
  <r>
    <n v="844"/>
    <x v="2"/>
    <x v="77"/>
    <s v="eth1/9"/>
    <x v="0"/>
    <x v="0"/>
    <x v="0"/>
    <s v="LINK_TO_ITHFHWCRMPLCN103 / Slot1.3_10 / Principal"/>
    <x v="0"/>
    <b v="0"/>
    <s v="No está en VPC"/>
    <n v="844"/>
    <s v="INTPG_ACC_844_1.9"/>
    <s v="ISEL-1.9"/>
    <n v="1"/>
    <s v="NO TIENE L3OUT"/>
    <n v="282"/>
    <n v="54"/>
  </r>
  <r>
    <n v="843"/>
    <x v="2"/>
    <x v="78"/>
    <s v="eth1/9"/>
    <x v="0"/>
    <x v="0"/>
    <x v="0"/>
    <s v="LINK_To_ITHFHWCBSPSUSBD25 / Slot7.1_6 / Redundante"/>
    <x v="0"/>
    <b v="0"/>
    <s v="No está en VPC"/>
    <n v="843"/>
    <s v="INTPG_VPC_838_1.9_843_1.9"/>
    <s v="ISEL-1.9"/>
    <n v="2"/>
    <s v="NO TIENE L3OUT"/>
    <n v="38"/>
    <n v="54"/>
  </r>
  <r>
    <n v="797"/>
    <x v="2"/>
    <x v="79"/>
    <s v="eth1/9"/>
    <x v="0"/>
    <x v="0"/>
    <x v="0"/>
    <s v="TO-HDPS_11-MSP"/>
    <x v="0"/>
    <b v="0"/>
    <s v="No está en VPC"/>
    <n v="797"/>
    <s v="INTPG_ACC_797_1.9"/>
    <s v="ISEL-1.9"/>
    <n v="1"/>
    <s v="NO TIENE L3OUT"/>
    <n v="48"/>
    <n v="54"/>
  </r>
  <r>
    <n v="839"/>
    <x v="2"/>
    <x v="80"/>
    <s v="eth1/9"/>
    <x v="0"/>
    <x v="0"/>
    <x v="0"/>
    <s v="LINK_TO_ITHFHWCBSPSHD45 / Slot7.3_8 / Redundante"/>
    <x v="0"/>
    <b v="0"/>
    <s v="No está en VPC"/>
    <n v="839"/>
    <s v="INTPG_VPC_834_1.9_839_1.9"/>
    <s v="ISEL-1.9"/>
    <n v="1"/>
    <s v="NO TIENE L3OUT"/>
    <n v="0"/>
    <n v="54"/>
  </r>
  <r>
    <n v="847"/>
    <x v="2"/>
    <x v="81"/>
    <s v="eth1/9"/>
    <x v="0"/>
    <x v="0"/>
    <x v="0"/>
    <s v="LINK_TO_ITHHWD6KV65100018DKC01 / CTMB_IOM0.P0_34 / Principal"/>
    <x v="0"/>
    <b v="0"/>
    <s v="No está en VPC"/>
    <n v="847"/>
    <s v="INTPG_ACC_847_1.9"/>
    <s v="ISEL-1.9"/>
    <n v="1"/>
    <s v="NO TIENE L3OUT"/>
    <n v="204"/>
    <n v="54"/>
  </r>
  <r>
    <n v="848"/>
    <x v="2"/>
    <x v="82"/>
    <s v="eth1/9"/>
    <x v="0"/>
    <x v="0"/>
    <x v="0"/>
    <s v="LINK_TO_ITHFHWCRMPLCN157 / Slot7.2_16 / Redundante"/>
    <x v="0"/>
    <b v="0"/>
    <s v="No está en VPC"/>
    <n v="848"/>
    <s v="INTPG_ACC_848_1.9"/>
    <s v="ISEL-1.9"/>
    <n v="2"/>
    <s v="NO TIENE L3OUT"/>
    <n v="254"/>
    <n v="54"/>
  </r>
  <r>
    <n v="846"/>
    <x v="2"/>
    <x v="83"/>
    <s v="eth1/9"/>
    <x v="0"/>
    <x v="0"/>
    <x v="0"/>
    <s v="LINK_TO_ITHHWD6KV65100011DKC01 / CTMB_IOM1.P0_34 / Principal"/>
    <x v="0"/>
    <b v="0"/>
    <s v="No está en VPC"/>
    <n v="846"/>
    <s v="INTPG_ACC_846_1.9"/>
    <s v="ISEL-1.9"/>
    <n v="1"/>
    <s v="NO TIENE L3OUT"/>
    <n v="242"/>
    <n v="54"/>
  </r>
  <r>
    <n v="838"/>
    <x v="2"/>
    <x v="84"/>
    <s v="eth1/9"/>
    <x v="0"/>
    <x v="0"/>
    <x v="0"/>
    <s v="LINK_To_ITHFHWCBSPSUSBD25 / Slot1.1_6 / Principal"/>
    <x v="0"/>
    <b v="0"/>
    <s v="No está en VPC"/>
    <n v="838"/>
    <s v="INTPG_VPC_838_1.9_843_1.9"/>
    <s v="ISEL-1.9"/>
    <n v="2"/>
    <s v="NO TIENE L3OUT"/>
    <n v="38"/>
    <n v="54"/>
  </r>
  <r>
    <n v="849"/>
    <x v="2"/>
    <x v="85"/>
    <s v="eth1/9"/>
    <x v="0"/>
    <x v="0"/>
    <x v="0"/>
    <s v="LINK_TO_ITHFHWCRMPLCN137 / Slot7.2_8 / Redundante"/>
    <x v="0"/>
    <b v="0"/>
    <s v="No está en VPC"/>
    <n v="849"/>
    <s v="INTPG_ACC_849_1.9"/>
    <s v="ISEL-1.9"/>
    <n v="2"/>
    <s v="NO TIENE L3OUT"/>
    <n v="286"/>
    <n v="54"/>
  </r>
  <r>
    <n v="845"/>
    <x v="2"/>
    <x v="86"/>
    <s v="eth1/9"/>
    <x v="0"/>
    <x v="0"/>
    <x v="0"/>
    <s v="LINK_TO_ITHFHWCRMPLCN100 / Slot1.1_32 / Principal"/>
    <x v="0"/>
    <b v="0"/>
    <s v="No está en VPC"/>
    <n v="845"/>
    <s v="INTPG_ACC_845_1.9"/>
    <s v="ISEL-1.9"/>
    <n v="6"/>
    <s v="NO TIENE L3OUT"/>
    <n v="258"/>
    <n v="54"/>
  </r>
  <r>
    <n v="873"/>
    <x v="2"/>
    <x v="87"/>
    <s v="eth1/9"/>
    <x v="0"/>
    <x v="0"/>
    <x v="0"/>
    <s v="TO_ITHFHWCRMDLCN56_Principal"/>
    <x v="0"/>
    <b v="0"/>
    <s v="No está en VPC"/>
    <n v="873"/>
    <s v="INTPG_ACC_873_1.9"/>
    <s v="ISEL-1.9"/>
    <n v="6"/>
    <s v="NO TIENE L3OUT"/>
    <n v="248"/>
    <n v="54"/>
  </r>
  <r>
    <n v="864"/>
    <x v="2"/>
    <x v="88"/>
    <s v="eth1/9"/>
    <x v="0"/>
    <x v="0"/>
    <x v="0"/>
    <s v="To_VPC_2DCBSD_HD33_3"/>
    <x v="0"/>
    <b v="0"/>
    <s v="No está en VPC"/>
    <n v="864"/>
    <s v="INTPG_VPC_859_1.9_864_1.9"/>
    <s v="ISEL-1.9"/>
    <n v="1"/>
    <s v="NO TIENE L3OUT"/>
    <n v="0"/>
    <n v="54"/>
  </r>
  <r>
    <n v="836"/>
    <x v="2"/>
    <x v="89"/>
    <s v="eth1/9"/>
    <x v="0"/>
    <x v="0"/>
    <x v="0"/>
    <s v="LINK_TO_ITHFHWCBSPSUSBD37 / Slot1.2_10 / Principal"/>
    <x v="0"/>
    <b v="0"/>
    <s v="No está en VPC"/>
    <n v="836"/>
    <s v="INTPG_VPC_836_1.9_841_1.9"/>
    <s v="ISEL-1.9"/>
    <n v="1"/>
    <s v="NO TIENE L3OUT"/>
    <n v="0"/>
    <n v="54"/>
  </r>
  <r>
    <n v="834"/>
    <x v="2"/>
    <x v="90"/>
    <s v="eth1/9"/>
    <x v="0"/>
    <x v="0"/>
    <x v="0"/>
    <s v="LINK_TO_ITHFHWCBSPSHD45 / Slot1.3_8 / Principal"/>
    <x v="0"/>
    <b v="0"/>
    <s v="No está en VPC"/>
    <n v="834"/>
    <s v="INTPG_VPC_834_1.9_839_1.9"/>
    <s v="ISEL-1.9"/>
    <n v="1"/>
    <s v="NO TIENE L3OUT"/>
    <n v="0"/>
    <n v="54"/>
  </r>
  <r>
    <n v="872"/>
    <x v="2"/>
    <x v="91"/>
    <s v="eth1/9"/>
    <x v="0"/>
    <x v="0"/>
    <x v="0"/>
    <s v="To_ITHFHWCRMDLCN72_Principal"/>
    <x v="0"/>
    <b v="0"/>
    <s v="No está en VPC"/>
    <n v="872"/>
    <s v="INTPG_ACC_872_1.9"/>
    <s v="ISEL-1.9"/>
    <n v="6"/>
    <s v="NO TIENE L3OUT"/>
    <n v="288"/>
    <n v="54"/>
  </r>
  <r>
    <n v="842"/>
    <x v="2"/>
    <x v="92"/>
    <s v="eth1/9"/>
    <x v="0"/>
    <x v="0"/>
    <x v="0"/>
    <s v="LINK_TO_ITHFHWCBSPSUSBD26 / Slot7.2_6 / Redundante"/>
    <x v="0"/>
    <b v="0"/>
    <s v="No está en VPC"/>
    <n v="842"/>
    <s v="INTPG_VPC_837_1.9_842_1.9"/>
    <s v="ISEL-1.9"/>
    <n v="1"/>
    <s v="NO TIENE L3OUT"/>
    <n v="8"/>
    <n v="54"/>
  </r>
  <r>
    <n v="828"/>
    <x v="2"/>
    <x v="93"/>
    <s v="eth1/9"/>
    <x v="0"/>
    <x v="0"/>
    <x v="0"/>
    <s v="LINK_TO_ITHFHWCBSDSWR34 /Slot4.2 /Principal"/>
    <x v="0"/>
    <b v="0"/>
    <s v="No está en VPC"/>
    <n v="828"/>
    <s v="INTPG_VPC_828_1.9_832_1.9"/>
    <s v="ISEL-1.9"/>
    <n v="1"/>
    <s v="NO TIENE L3OUT"/>
    <n v="192"/>
    <n v="54"/>
  </r>
  <r>
    <n v="870"/>
    <x v="2"/>
    <x v="94"/>
    <s v="eth1/9"/>
    <x v="0"/>
    <x v="0"/>
    <x v="0"/>
    <s v="TO_ITHFHWCRMDLCN56_Redundante"/>
    <x v="0"/>
    <b v="0"/>
    <s v="No está en VPC"/>
    <n v="870"/>
    <s v="INTPG_ACC_870_1.9"/>
    <s v="ISEL-1.9"/>
    <n v="6"/>
    <s v="NO TIENE L3OUT"/>
    <n v="248"/>
    <n v="54"/>
  </r>
  <r>
    <n v="866"/>
    <x v="2"/>
    <x v="95"/>
    <s v="eth1/9"/>
    <x v="0"/>
    <x v="0"/>
    <x v="0"/>
    <s v="To_VPC_2DCBSD_HD19_2"/>
    <x v="0"/>
    <b v="0"/>
    <s v="No está en VPC"/>
    <n v="866"/>
    <s v="INTPG_VPC_861_1.9_866_1.9"/>
    <s v="ISEL-1.9"/>
    <n v="1"/>
    <s v="NO TIENE L3OUT"/>
    <n v="8"/>
    <n v="54"/>
  </r>
  <r>
    <n v="862"/>
    <x v="2"/>
    <x v="96"/>
    <s v="eth1/9"/>
    <x v="0"/>
    <x v="0"/>
    <x v="0"/>
    <s v="TO-ITHFSUEXG2XCN01_PCI3.P1"/>
    <x v="0"/>
    <b v="0"/>
    <s v="No está en VPC"/>
    <n v="862"/>
    <s v="INTPG_ACC_862_1.9"/>
    <s v="ISEL-1.9"/>
    <n v="2"/>
    <s v="NO TIENE L3OUT"/>
    <n v="44"/>
    <n v="54"/>
  </r>
  <r>
    <n v="855"/>
    <x v="2"/>
    <x v="97"/>
    <s v="eth1/9"/>
    <x v="0"/>
    <x v="0"/>
    <x v="0"/>
    <s v="LINK_TO_ITHFHWCRMPLCN157 / Slot1.2_16 / Principal"/>
    <x v="0"/>
    <b v="0"/>
    <s v="No está en VPC"/>
    <n v="855"/>
    <s v="INTPG_ACC_855_1.9"/>
    <s v="ISEL-1.9"/>
    <n v="2"/>
    <s v="NO TIENE L3OUT"/>
    <n v="254"/>
    <n v="54"/>
  </r>
  <r>
    <n v="871"/>
    <x v="2"/>
    <x v="98"/>
    <s v="eth1/9"/>
    <x v="0"/>
    <x v="0"/>
    <x v="0"/>
    <s v="TO_ITHFHWCRMDLCN83_Principal"/>
    <x v="0"/>
    <b v="0"/>
    <s v="No está en VPC"/>
    <n v="871"/>
    <s v="INTPG_ACC_871_1.9"/>
    <s v="ISEL-1.9"/>
    <n v="1"/>
    <s v="NO TIENE L3OUT"/>
    <n v="246"/>
    <n v="54"/>
  </r>
  <r>
    <n v="841"/>
    <x v="2"/>
    <x v="99"/>
    <s v="eth1/9"/>
    <x v="0"/>
    <x v="0"/>
    <x v="0"/>
    <s v="LINK_TO_ITHFHWCBSPSUSBD37 / Slot7.2_10 / Redundante"/>
    <x v="0"/>
    <b v="0"/>
    <s v="No está en VPC"/>
    <n v="841"/>
    <s v="INTPG_VPC_836_1.9_841_1.9"/>
    <s v="ISEL-1.9"/>
    <n v="1"/>
    <s v="NO TIENE L3OUT"/>
    <n v="0"/>
    <n v="54"/>
  </r>
  <r>
    <n v="868"/>
    <x v="2"/>
    <x v="100"/>
    <s v="eth1/9"/>
    <x v="0"/>
    <x v="0"/>
    <x v="0"/>
    <s v="TO_ITHFHWCRMDLCN83_Redundante"/>
    <x v="0"/>
    <b v="0"/>
    <s v="No está en VPC"/>
    <n v="868"/>
    <s v="INTPG_ACC_868_1.9"/>
    <s v="ISEL-1.9"/>
    <n v="1"/>
    <s v="NO TIENE L3OUT"/>
    <n v="246"/>
    <n v="54"/>
  </r>
  <r>
    <n v="869"/>
    <x v="2"/>
    <x v="101"/>
    <s v="eth1/9"/>
    <x v="0"/>
    <x v="0"/>
    <x v="0"/>
    <s v="To_ITHFHWCRMDLCN72_Redundante"/>
    <x v="0"/>
    <b v="0"/>
    <s v="No está en VPC"/>
    <n v="869"/>
    <s v="INTPG_ACC_869_1.9"/>
    <s v="ISEL-1.9"/>
    <n v="6"/>
    <s v="NO TIENE L3OUT"/>
    <n v="288"/>
    <n v="54"/>
  </r>
  <r>
    <n v="861"/>
    <x v="2"/>
    <x v="102"/>
    <s v="eth1/9"/>
    <x v="0"/>
    <x v="0"/>
    <x v="0"/>
    <s v="To_VPC_2DCBSD_HD19_2"/>
    <x v="0"/>
    <b v="0"/>
    <s v="No está en VPC"/>
    <n v="861"/>
    <s v="INTPG_VPC_861_1.9_866_1.9"/>
    <s v="ISEL-1.9"/>
    <n v="1"/>
    <s v="NO TIENE L3OUT"/>
    <n v="8"/>
    <n v="54"/>
  </r>
  <r>
    <n v="874"/>
    <x v="2"/>
    <x v="103"/>
    <s v="eth1/9"/>
    <x v="0"/>
    <x v="0"/>
    <x v="0"/>
    <s v="LINK_TO_ITHFHWSEQLCAS32 / Slot 5 PTO 1 / Redundante"/>
    <x v="4"/>
    <b v="0"/>
    <s v="No está en VPC"/>
    <n v="874"/>
    <s v="INTPG_ACC_874_1.9"/>
    <s v="ISEL-1.9"/>
    <n v="1"/>
    <s v="NO TIENE L3OUT"/>
    <n v="92"/>
    <n v="54"/>
  </r>
  <r>
    <n v="865"/>
    <x v="2"/>
    <x v="104"/>
    <s v="eth1/9"/>
    <x v="0"/>
    <x v="0"/>
    <x v="0"/>
    <s v="To_VPC_2DCBSD_HD25_3"/>
    <x v="0"/>
    <b v="0"/>
    <s v="No está en VPC"/>
    <n v="865"/>
    <s v="INTPG_VPC_860_1.9_865_1.9"/>
    <s v="ISEL-1.9"/>
    <n v="1"/>
    <s v="NO TIENE L3OUT"/>
    <n v="0"/>
    <n v="54"/>
  </r>
  <r>
    <n v="753"/>
    <x v="2"/>
    <x v="105"/>
    <s v="eth1/9"/>
    <x v="0"/>
    <x v="0"/>
    <x v="0"/>
    <s v="OSS F1:ithenmr03bl04ombsr9c:PORT 1"/>
    <x v="0"/>
    <b v="0"/>
    <s v="No está en VPC"/>
    <n v="753"/>
    <s v="INTPG_PC_753_1.9-12"/>
    <s v="ISEL-1.9"/>
    <n v="2"/>
    <s v="NO TIENE L3OUT"/>
    <n v="62"/>
    <n v="54"/>
  </r>
  <r>
    <n v="708"/>
    <x v="2"/>
    <x v="106"/>
    <s v="eth1/9"/>
    <x v="0"/>
    <x v="1"/>
    <x v="5"/>
    <s v="CEM:ITHCEMF2DAT05:LOM P1"/>
    <x v="0"/>
    <b v="0"/>
    <s v="No está en VPC"/>
    <n v="708"/>
    <s v="INTPG_VPC_708_1.9_709_1.10"/>
    <s v="ISEL-1.9"/>
    <n v="1"/>
    <s v="NO TIENE L3OUT"/>
    <n v="0"/>
    <n v="54"/>
  </r>
  <r>
    <n v="710"/>
    <x v="2"/>
    <x v="107"/>
    <s v="eth1/9"/>
    <x v="0"/>
    <x v="1"/>
    <x v="5"/>
    <s v="CEM:ITHCEMD2DAT05:LOM P1"/>
    <x v="0"/>
    <b v="0"/>
    <s v="No está en VPC"/>
    <n v="710"/>
    <s v="INTPG_VPC_710_1.9_711_1.10"/>
    <s v="ISEL-1.9"/>
    <n v="1"/>
    <s v="NO TIENE L3OUT"/>
    <n v="16"/>
    <n v="54"/>
  </r>
  <r>
    <n v="713"/>
    <x v="2"/>
    <x v="108"/>
    <s v="eth1/9"/>
    <x v="0"/>
    <x v="0"/>
    <x v="0"/>
    <s v="CEM:ITHCEMA2DAT05:LOM P1"/>
    <x v="0"/>
    <b v="0"/>
    <s v="No está en VPC"/>
    <n v="713"/>
    <s v="INTPG_ACC_713_1.9"/>
    <s v="ISEL-1.9"/>
    <n v="1"/>
    <s v="NO TIENE L3OUT"/>
    <n v="32"/>
    <n v="54"/>
  </r>
  <r>
    <n v="735"/>
    <x v="2"/>
    <x v="109"/>
    <s v="eth1/9"/>
    <x v="0"/>
    <x v="1"/>
    <x v="1"/>
    <s v="CEM:ITHCEMA1DAT05:LOM P3"/>
    <x v="5"/>
    <b v="0"/>
    <s v="No está en VPC"/>
    <n v="735"/>
    <s v="INTPG_ACC_735_1.9"/>
    <s v="ISEL-1.9"/>
    <n v="1"/>
    <s v="NO TIENE L3OUT"/>
    <n v="34"/>
    <n v="54"/>
  </r>
  <r>
    <n v="731"/>
    <x v="2"/>
    <x v="110"/>
    <s v="eth1/9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9"/>
    <x v="0"/>
    <x v="0"/>
    <x v="0"/>
    <m/>
    <x v="0"/>
    <b v="0"/>
    <s v="No está en VPC"/>
    <n v="703"/>
    <s v="INTPG_VPC_703_1.9_704_1.10"/>
    <s v="ISEL-1.9"/>
    <n v="1"/>
    <s v="NO TIENE L3OUT"/>
    <n v="2"/>
    <n v="54"/>
  </r>
  <r>
    <n v="706"/>
    <x v="2"/>
    <x v="112"/>
    <s v="eth1/9"/>
    <x v="0"/>
    <x v="0"/>
    <x v="0"/>
    <s v="CEM:ITHCEMA1DAT05:LOM  P1"/>
    <x v="0"/>
    <b v="0"/>
    <s v="No está en VPC"/>
    <n v="706"/>
    <s v="INTPG_ACC_706_1.9"/>
    <s v="ISEL-1.9"/>
    <n v="1"/>
    <s v="NO TIENE L3OUT"/>
    <n v="16"/>
    <n v="54"/>
  </r>
  <r>
    <n v="762"/>
    <x v="2"/>
    <x v="113"/>
    <s v="eth1/9"/>
    <x v="0"/>
    <x v="0"/>
    <x v="0"/>
    <s v="PAAS:ithhwoscopap009:FlexIO.1"/>
    <x v="0"/>
    <b v="0"/>
    <s v="No está en VPC"/>
    <n v="762"/>
    <s v="INTPG_VPC_762_1.9_763_1.9"/>
    <s v="ISEL-1.9"/>
    <n v="15"/>
    <s v="NO TIENE L3OUT"/>
    <n v="0"/>
    <n v="54"/>
  </r>
  <r>
    <n v="814"/>
    <x v="2"/>
    <x v="114"/>
    <s v="eth1/9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9"/>
    <x v="0"/>
    <x v="0"/>
    <x v="0"/>
    <s v="HACIA_MGMT-OSCP-F4-09_PRINCIPAL"/>
    <x v="4"/>
    <b v="0"/>
    <s v="No está en VPC"/>
    <n v="878"/>
    <s v="INTPG_VPC_878_1.9_879_1.9"/>
    <s v="ISEL-1.9"/>
    <n v="1"/>
    <s v="NO TIENE L3OUT"/>
    <n v="0"/>
    <n v="54"/>
  </r>
  <r>
    <n v="826"/>
    <x v="2"/>
    <x v="116"/>
    <s v="eth1/9"/>
    <x v="0"/>
    <x v="0"/>
    <x v="0"/>
    <s v="LINK_TO_ITHFHWCBSDSUSBD06 /Slot4.2 /Principal"/>
    <x v="0"/>
    <b v="0"/>
    <s v="No está en VPC"/>
    <n v="826"/>
    <s v="INTPG_VPC_826_1.9_830_1.9"/>
    <s v="ISEL-1.9"/>
    <n v="1"/>
    <s v="NO TIENE L3OUT"/>
    <n v="12"/>
    <n v="54"/>
  </r>
  <r>
    <n v="726"/>
    <x v="2"/>
    <x v="117"/>
    <s v="eth1/9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9"/>
    <x v="0"/>
    <x v="1"/>
    <x v="1"/>
    <s v="CEM:ITHCEMC2DAT05:LOM P3"/>
    <x v="5"/>
    <b v="0"/>
    <s v="No está en VPC"/>
    <n v="740"/>
    <s v="INTPG_ACC_740_1.9"/>
    <s v="ISEL-1.9"/>
    <n v="1"/>
    <s v="NO TIENE L3OUT"/>
    <n v="72"/>
    <n v="54"/>
  </r>
  <r>
    <n v="705"/>
    <x v="2"/>
    <x v="119"/>
    <s v="eth1/9"/>
    <x v="0"/>
    <x v="0"/>
    <x v="0"/>
    <s v="CEM:ITHOIDB1SVR05:LOM  P2"/>
    <x v="0"/>
    <b v="0"/>
    <s v="No está en VPC"/>
    <n v="705"/>
    <s v="INTPG_VPC_705_1.9_706_1.10"/>
    <s v="ISEL-1.9"/>
    <n v="2"/>
    <s v="NO TIENE L3OUT"/>
    <n v="16"/>
    <n v="54"/>
  </r>
  <r>
    <n v="723"/>
    <x v="2"/>
    <x v="120"/>
    <s v="eth1/9"/>
    <x v="0"/>
    <x v="0"/>
    <x v="0"/>
    <m/>
    <x v="0"/>
    <b v="0"/>
    <s v="No está en VPC"/>
    <n v="723"/>
    <s v="INTPG-VPC_HDD116_723_1.9_722_1.10"/>
    <s v="ISEL-1.9"/>
    <n v="1"/>
    <s v="NO TIENE L3OUT"/>
    <n v="0"/>
    <n v="54"/>
  </r>
  <r>
    <n v="721"/>
    <x v="2"/>
    <x v="121"/>
    <s v="eth1/9"/>
    <x v="0"/>
    <x v="0"/>
    <x v="0"/>
    <s v="TO-ITHFHWVRALCN06"/>
    <x v="0"/>
    <b v="0"/>
    <s v="No está en VPC"/>
    <n v="721"/>
    <s v="INTPG_VPC_714_1.10_721_1.9"/>
    <s v="ISEL-1.9"/>
    <n v="108"/>
    <s v="NO TIENE L3OUT"/>
    <n v="20"/>
    <n v="54"/>
  </r>
  <r>
    <n v="788"/>
    <x v="2"/>
    <x v="122"/>
    <s v="eth1/9"/>
    <x v="0"/>
    <x v="0"/>
    <x v="0"/>
    <s v="TO-ITHFHPMEDIRAP01-Principal"/>
    <x v="0"/>
    <b v="0"/>
    <s v="No está en VPC"/>
    <n v="788"/>
    <s v="INTPG_ACC_788_1.9"/>
    <s v="ISEL-1.9"/>
    <n v="1"/>
    <s v="NO TIENE L3OUT"/>
    <n v="4"/>
    <n v="54"/>
  </r>
  <r>
    <n v="732"/>
    <x v="2"/>
    <x v="123"/>
    <s v="eth1/9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9"/>
    <x v="0"/>
    <x v="0"/>
    <x v="0"/>
    <m/>
    <x v="0"/>
    <b v="0"/>
    <s v="No está en VPC"/>
    <n v="720"/>
    <s v="INTPG-VPC_MGN01_720_1.9_719_1.10"/>
    <s v="ISEL-1.9"/>
    <n v="1"/>
    <s v="NO TIENE L3OUT"/>
    <n v="0"/>
    <n v="54"/>
  </r>
  <r>
    <n v="709"/>
    <x v="2"/>
    <x v="125"/>
    <s v="eth1/9"/>
    <x v="0"/>
    <x v="1"/>
    <x v="5"/>
    <s v="CEM:ITHCEME2DAT05:LOM P1"/>
    <x v="0"/>
    <b v="0"/>
    <s v="No está en VPC"/>
    <n v="709"/>
    <s v="INTPG_VPC_708_1.10_709_1.9"/>
    <s v="ISEL-1.9"/>
    <n v="1"/>
    <s v="NO TIENE L3OUT"/>
    <n v="0"/>
    <n v="54"/>
  </r>
  <r>
    <n v="454"/>
    <x v="1"/>
    <x v="126"/>
    <s v="eth1/9"/>
    <x v="0"/>
    <x v="0"/>
    <x v="0"/>
    <s v="HACIA_MGMT-OSCP-F4-05_PRINCIPAL"/>
    <x v="4"/>
    <b v="0"/>
    <s v="No está en VPC"/>
    <n v="454"/>
    <s v="INTPG_VPC_454_1.9_456_1.9"/>
    <s v="ISEL-1.9"/>
    <n v="1"/>
    <s v="NO TIENE L3OUT"/>
    <n v="4"/>
    <n v="54"/>
  </r>
  <r>
    <n v="734"/>
    <x v="2"/>
    <x v="127"/>
    <s v="eth1/9"/>
    <x v="0"/>
    <x v="1"/>
    <x v="1"/>
    <s v="CEM_HADOOP"/>
    <x v="5"/>
    <b v="0"/>
    <s v="No está en VPC"/>
    <n v="734"/>
    <s v="INTPG_ACC_734_1.9"/>
    <s v="ISEL-1.9"/>
    <n v="1"/>
    <s v="NO TIENE L3OUT"/>
    <n v="32"/>
    <n v="54"/>
  </r>
  <r>
    <n v="815"/>
    <x v="2"/>
    <x v="128"/>
    <s v="eth1/9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9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9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9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9"/>
    <x v="0"/>
    <x v="1"/>
    <x v="1"/>
    <s v="CEM:ITHCEMB2DAT05:LOM P3"/>
    <x v="5"/>
    <b v="0"/>
    <s v="No está en VPC"/>
    <n v="741"/>
    <s v="INTPG_ACC_741_1.9"/>
    <s v="ISEL-1.9"/>
    <n v="1"/>
    <s v="NO TIENE L3OUT"/>
    <n v="62"/>
    <n v="54"/>
  </r>
  <r>
    <n v="787"/>
    <x v="2"/>
    <x v="133"/>
    <s v="eth1/9"/>
    <x v="0"/>
    <x v="1"/>
    <x v="5"/>
    <s v="ENIQ F2:itheniqr16bl03ombsr4a:Slot 2/2"/>
    <x v="0"/>
    <b v="0"/>
    <s v="No está en VPC"/>
    <n v="787"/>
    <s v="INTPG_PC_787_1.7-10"/>
    <s v="ISEL-1.9"/>
    <n v="2"/>
    <s v="NO TIENE L3OUT"/>
    <n v="26"/>
    <n v="54"/>
  </r>
  <r>
    <n v="750"/>
    <x v="2"/>
    <x v="134"/>
    <s v="eth1/9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9"/>
    <x v="0"/>
    <x v="0"/>
    <x v="0"/>
    <s v="CRM, CBS:PR-R10-F07:X3-10GE 2"/>
    <x v="0"/>
    <b v="0"/>
    <s v="No está en VPC"/>
    <n v="792"/>
    <s v="INTPG_VPC_757_1.8-9_792_1.8-9"/>
    <s v="ISEL-1.9"/>
    <n v="6"/>
    <s v="NO TIENE L3OUT"/>
    <n v="0"/>
    <n v="54"/>
  </r>
  <r>
    <n v="736"/>
    <x v="2"/>
    <x v="136"/>
    <s v="eth1/9"/>
    <x v="0"/>
    <x v="0"/>
    <x v="0"/>
    <s v="CEM:ITHCEMG2DAT05:LOM  P2"/>
    <x v="0"/>
    <b v="0"/>
    <s v="No está en VPC"/>
    <n v="736"/>
    <s v="INTPG_ACC_736_1.9"/>
    <s v="ISEL-1.9"/>
    <n v="1"/>
    <s v="NO TIENE L3OUT"/>
    <n v="48"/>
    <n v="54"/>
  </r>
  <r>
    <n v="799"/>
    <x v="2"/>
    <x v="137"/>
    <s v="eth1/9"/>
    <x v="0"/>
    <x v="0"/>
    <x v="0"/>
    <s v="TO-IMC_PS23-MSP"/>
    <x v="0"/>
    <b v="0"/>
    <s v="No está en VPC"/>
    <n v="799"/>
    <s v="INTPG_ACC_799_1.9"/>
    <s v="ISEL-1.9"/>
    <n v="1"/>
    <s v="NO TIENE L3OUT"/>
    <n v="52"/>
    <n v="54"/>
  </r>
  <r>
    <n v="768"/>
    <x v="2"/>
    <x v="138"/>
    <s v="eth1/9"/>
    <x v="0"/>
    <x v="0"/>
    <x v="0"/>
    <s v="Portchannel_1_R3"/>
    <x v="0"/>
    <b v="0"/>
    <s v="No está en VPC"/>
    <n v="768"/>
    <s v="INTPG_PC_768_1.7-10"/>
    <s v="ISEL-1.9"/>
    <n v="2"/>
    <s v="NO TIENE L3OUT"/>
    <n v="62"/>
    <n v="54"/>
  </r>
  <r>
    <n v="714"/>
    <x v="2"/>
    <x v="139"/>
    <s v="eth1/9"/>
    <x v="0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9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9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9"/>
    <x v="0"/>
    <x v="0"/>
    <x v="0"/>
    <s v="Portchannel_1_R1"/>
    <x v="0"/>
    <b v="0"/>
    <s v="No está en VPC"/>
    <n v="764"/>
    <s v="INTPG_PC_764_1.7-10"/>
    <s v="ISEL-1.9"/>
    <n v="2"/>
    <s v="NO TIENE L3OUT"/>
    <n v="62"/>
    <n v="54"/>
  </r>
  <r>
    <n v="783"/>
    <x v="2"/>
    <x v="143"/>
    <s v="eth1/9"/>
    <x v="0"/>
    <x v="0"/>
    <x v="0"/>
    <s v="LACP_OMBS_ENIQ9A"/>
    <x v="0"/>
    <b v="0"/>
    <s v="No está en VPC"/>
    <n v="783"/>
    <s v="INTPG_PC_783_1.7-10"/>
    <s v="ISEL-1.9"/>
    <n v="2"/>
    <s v="NO TIENE L3OUT"/>
    <n v="26"/>
    <n v="54"/>
  </r>
  <r>
    <n v="774"/>
    <x v="2"/>
    <x v="144"/>
    <s v="eth1/9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9"/>
    <x v="0"/>
    <x v="0"/>
    <x v="0"/>
    <s v="Portchannel_4_R2"/>
    <x v="0"/>
    <b v="0"/>
    <s v="No está en VPC"/>
    <n v="773"/>
    <s v="INTPG_PC_773_1.9-10"/>
    <s v="ISEL-1.9"/>
    <n v="8"/>
    <s v="NO TIENE L3OUT"/>
    <n v="78"/>
    <n v="54"/>
  </r>
  <r>
    <n v="794"/>
    <x v="2"/>
    <x v="146"/>
    <s v="eth1/9"/>
    <x v="0"/>
    <x v="0"/>
    <x v="0"/>
    <s v="DESC"/>
    <x v="0"/>
    <b v="0"/>
    <s v="No está en VPC"/>
    <n v="794"/>
    <s v="INTPG_VPC_793_1.9_11_794_1.9_11"/>
    <s v="ISEL-1.9"/>
    <n v="1"/>
    <s v="NO TIENE L3OUT"/>
    <n v="12"/>
    <n v="54"/>
  </r>
  <r>
    <n v="803"/>
    <x v="2"/>
    <x v="147"/>
    <s v="eth1/9"/>
    <x v="0"/>
    <x v="0"/>
    <x v="0"/>
    <s v="TO-HDPS_35-MSP"/>
    <x v="0"/>
    <b v="0"/>
    <s v="No está en VPC"/>
    <n v="803"/>
    <s v="INTPG_ACC_803_1.9"/>
    <s v="ISEL-1.9"/>
    <n v="1"/>
    <s v="NO TIENE L3OUT"/>
    <n v="48"/>
    <n v="54"/>
  </r>
  <r>
    <n v="786"/>
    <x v="2"/>
    <x v="148"/>
    <s v="eth1/9"/>
    <x v="0"/>
    <x v="0"/>
    <x v="0"/>
    <s v="ENIQ F2:itheniqr14bl03ombsr4b:Slot 2/2"/>
    <x v="0"/>
    <b v="0"/>
    <s v="No está en VPC"/>
    <n v="786"/>
    <s v="INTPG_PC_786_1.7-10"/>
    <s v="ISEL-1.9"/>
    <n v="2"/>
    <s v="NO TIENE L3OUT"/>
    <n v="26"/>
    <n v="54"/>
  </r>
  <r>
    <n v="757"/>
    <x v="2"/>
    <x v="149"/>
    <s v="eth1/9"/>
    <x v="0"/>
    <x v="0"/>
    <x v="0"/>
    <s v="CRM, CBS:ITHHWBESRK10CH1:X3-10GE 1"/>
    <x v="0"/>
    <b v="0"/>
    <s v="No está en VPC"/>
    <n v="757"/>
    <s v="INTPG_VPC_757_1.8-9_792_1.8-9"/>
    <s v="ISEL-1.9"/>
    <n v="6"/>
    <s v="NO TIENE L3OUT"/>
    <n v="0"/>
    <n v="54"/>
  </r>
  <r>
    <n v="781"/>
    <x v="2"/>
    <x v="150"/>
    <s v="eth1/9"/>
    <x v="0"/>
    <x v="0"/>
    <x v="0"/>
    <s v="LACP_OMBS_ENIQ9C"/>
    <x v="0"/>
    <b v="0"/>
    <s v="No está en VPC"/>
    <n v="781"/>
    <s v="INTPG_PC_781_1.7-10"/>
    <s v="ISEL-1.9"/>
    <n v="2"/>
    <s v="NO TIENE L3OUT"/>
    <n v="26"/>
    <n v="54"/>
  </r>
  <r>
    <n v="793"/>
    <x v="2"/>
    <x v="151"/>
    <s v="eth1/9"/>
    <x v="0"/>
    <x v="0"/>
    <x v="0"/>
    <s v="DESC"/>
    <x v="0"/>
    <b v="0"/>
    <s v="No está en VPC"/>
    <n v="793"/>
    <s v="INTPG_VPC_793_1.9_11_794_1.9_11"/>
    <s v="ISEL-1.9"/>
    <n v="1"/>
    <s v="NO TIENE L3OUT"/>
    <n v="12"/>
    <n v="54"/>
  </r>
  <r>
    <n v="747"/>
    <x v="2"/>
    <x v="152"/>
    <s v="eth1/9"/>
    <x v="0"/>
    <x v="0"/>
    <x v="0"/>
    <s v="PAAS:ithhwoscopap009:LOM PORT 1"/>
    <x v="0"/>
    <b v="0"/>
    <s v="No está en VPC"/>
    <n v="747"/>
    <s v="INTPG_VPC_747_1.9_752_1.9"/>
    <s v="ISEL-1.9"/>
    <n v="25"/>
    <s v="NO TIENE L3OUT"/>
    <n v="0"/>
    <n v="54"/>
  </r>
  <r>
    <n v="784"/>
    <x v="2"/>
    <x v="153"/>
    <s v="eth1/9"/>
    <x v="0"/>
    <x v="0"/>
    <x v="0"/>
    <s v="ENIQ F2:itheniqr12bl03ombsr6b:Slot 2/2"/>
    <x v="0"/>
    <b v="0"/>
    <s v="No está en VPC"/>
    <n v="784"/>
    <s v="INTPG_PC_784_1.7-10"/>
    <s v="ISEL-1.9"/>
    <n v="2"/>
    <s v="NO TIENE L3OUT"/>
    <n v="26"/>
    <n v="54"/>
  </r>
  <r>
    <n v="806"/>
    <x v="2"/>
    <x v="154"/>
    <s v="eth1/9"/>
    <x v="0"/>
    <x v="0"/>
    <x v="0"/>
    <s v="TO-HDPS_59-MSP"/>
    <x v="0"/>
    <b v="0"/>
    <s v="No está en VPC"/>
    <n v="806"/>
    <s v="INTPG_ACC_806_1.9"/>
    <s v="ISEL-1.9"/>
    <n v="1"/>
    <s v="NO TIENE L3OUT"/>
    <n v="44"/>
    <n v="54"/>
  </r>
  <r>
    <n v="777"/>
    <x v="2"/>
    <x v="155"/>
    <s v="eth1/9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9"/>
    <x v="0"/>
    <x v="0"/>
    <x v="0"/>
    <s v="Portchannel_7_R4B"/>
    <x v="0"/>
    <b v="0"/>
    <s v="No está en VPC"/>
    <n v="770"/>
    <s v="INTPG_PC_770_1.9-12"/>
    <s v="ISEL-1.9"/>
    <n v="1"/>
    <s v="NO TIENE L3OUT"/>
    <n v="60"/>
    <n v="54"/>
  </r>
  <r>
    <n v="813"/>
    <x v="2"/>
    <x v="157"/>
    <s v="eth1/9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9"/>
    <x v="0"/>
    <x v="0"/>
    <x v="0"/>
    <s v="CEM:ITHCEMD2DAT05:LOM P3"/>
    <x v="5"/>
    <b v="0"/>
    <s v="No está en VPC"/>
    <n v="739"/>
    <s v="INTPG_ACC_739_1.9"/>
    <s v="ISEL-1.9"/>
    <n v="1"/>
    <s v="NO TIENE L3OUT"/>
    <n v="72"/>
    <n v="54"/>
  </r>
  <r>
    <n v="775"/>
    <x v="2"/>
    <x v="159"/>
    <s v="eth1/9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9"/>
    <x v="0"/>
    <x v="0"/>
    <x v="0"/>
    <s v="LINK_TO_ITHEMCPS5200TWPT3 / Nodo A IOM 1.3_04 / Redundante"/>
    <x v="0"/>
    <b v="0"/>
    <s v="No está en VPC"/>
    <n v="791"/>
    <s v="INTPG_ACC_791_1.9"/>
    <s v="ISEL-1.9"/>
    <n v="2"/>
    <s v="NO TIENE L3OUT"/>
    <n v="20"/>
    <n v="54"/>
  </r>
  <r>
    <n v="808"/>
    <x v="2"/>
    <x v="161"/>
    <s v="eth1/9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9"/>
    <x v="0"/>
    <x v="0"/>
    <x v="0"/>
    <s v="LINK_TO_ITHFHWCBSDSUSBD06 /Slot6.2 /Redundante"/>
    <x v="0"/>
    <b v="0"/>
    <s v="No está en VPC"/>
    <n v="830"/>
    <s v="INTPG_VPC_826_1.9_830_1.9"/>
    <s v="ISEL-1.9"/>
    <n v="1"/>
    <s v="NO TIENE L3OUT"/>
    <n v="12"/>
    <n v="54"/>
  </r>
  <r>
    <n v="821"/>
    <x v="2"/>
    <x v="163"/>
    <s v="eth1/9"/>
    <x v="0"/>
    <x v="0"/>
    <x v="0"/>
    <s v="LINK_TO_ITHFHWCBSPSUSBD11 /Slot6.2 /Redundante"/>
    <x v="0"/>
    <b v="0"/>
    <s v="No está en VPC"/>
    <n v="821"/>
    <s v="INTPG_VPC_816_1.9_821_1.9"/>
    <s v="ISEL-1.9"/>
    <n v="1"/>
    <s v="NO TIENE L3OUT"/>
    <n v="0"/>
    <n v="54"/>
  </r>
  <r>
    <n v="738"/>
    <x v="2"/>
    <x v="164"/>
    <s v="eth1/9"/>
    <x v="0"/>
    <x v="0"/>
    <x v="0"/>
    <s v="CEM:ITHCEME2DAT05:LOM P3"/>
    <x v="5"/>
    <b v="0"/>
    <s v="No está en VPC"/>
    <n v="738"/>
    <s v="INTPG_ACC_738_1.9"/>
    <s v="ISEL-1.9"/>
    <n v="1"/>
    <s v="NO TIENE L3OUT"/>
    <n v="72"/>
    <n v="54"/>
  </r>
  <r>
    <n v="820"/>
    <x v="2"/>
    <x v="165"/>
    <s v="eth1/9"/>
    <x v="0"/>
    <x v="0"/>
    <x v="0"/>
    <s v="LINK_TO_ITHHWCRMPEN02 /X3-10GE 2 /Redundante"/>
    <x v="0"/>
    <b v="0"/>
    <s v="No está en VPC"/>
    <n v="820"/>
    <s v="INTPG_VPC_820_1.6_9_825_1.6_9"/>
    <s v="ISEL-1.9"/>
    <n v="4"/>
    <s v="NO TIENE L3OUT"/>
    <n v="72"/>
    <n v="54"/>
  </r>
  <r>
    <n v="804"/>
    <x v="2"/>
    <x v="166"/>
    <s v="eth1/9"/>
    <x v="0"/>
    <x v="0"/>
    <x v="0"/>
    <s v="TO-HDPS_35-MSP"/>
    <x v="0"/>
    <b v="0"/>
    <s v="No está en VPC"/>
    <n v="804"/>
    <s v="INTPG_ACC_804_1.9"/>
    <s v="ISEL-1.9"/>
    <n v="1"/>
    <s v="NO TIENE L3OUT"/>
    <n v="48"/>
    <n v="54"/>
  </r>
  <r>
    <n v="779"/>
    <x v="2"/>
    <x v="167"/>
    <s v="eth1/9"/>
    <x v="0"/>
    <x v="0"/>
    <x v="0"/>
    <s v="ENIQ F1:itheniqr08ombsr3:Slot 2/2"/>
    <x v="0"/>
    <b v="0"/>
    <s v="No está en VPC"/>
    <n v="779"/>
    <s v="INTPG_PC_779_1.7-10"/>
    <s v="ISEL-1.9"/>
    <n v="2"/>
    <s v="NO TIENE L3OUT"/>
    <n v="30"/>
    <n v="54"/>
  </r>
  <r>
    <n v="767"/>
    <x v="2"/>
    <x v="168"/>
    <s v="eth1/9"/>
    <x v="0"/>
    <x v="0"/>
    <x v="0"/>
    <s v="Portchannel_2_R6B"/>
    <x v="0"/>
    <b v="0"/>
    <s v="No está en VPC"/>
    <n v="767"/>
    <s v="INTPG_PC_767_1.9-10"/>
    <s v="ISEL-1.9"/>
    <n v="8"/>
    <s v="NO TIENE L3OUT"/>
    <n v="60"/>
    <n v="54"/>
  </r>
  <r>
    <n v="827"/>
    <x v="2"/>
    <x v="169"/>
    <s v="eth1/9"/>
    <x v="0"/>
    <x v="0"/>
    <x v="0"/>
    <s v="LINK_TO_ITHFHWCBSDSUSBD08 /10GE.1 /Principal"/>
    <x v="0"/>
    <b v="0"/>
    <s v="No está en VPC"/>
    <n v="827"/>
    <s v="INTPG_VPC_827_1.9_831_1.9"/>
    <s v="ISEL-1.9"/>
    <n v="1"/>
    <s v="NO TIENE L3OUT"/>
    <n v="14"/>
    <n v="54"/>
  </r>
  <r>
    <n v="809"/>
    <x v="2"/>
    <x v="170"/>
    <s v="eth1/9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9"/>
    <x v="0"/>
    <x v="0"/>
    <x v="0"/>
    <s v="Portchannel_1_R4B"/>
    <x v="0"/>
    <b v="0"/>
    <s v="No está en VPC"/>
    <n v="771"/>
    <s v="INTPG_PC_771_1.7-10"/>
    <s v="ISEL-1.9"/>
    <n v="2"/>
    <s v="NO TIENE L3OUT"/>
    <n v="62"/>
    <n v="54"/>
  </r>
  <r>
    <n v="761"/>
    <x v="2"/>
    <x v="172"/>
    <s v="eth1/9"/>
    <x v="0"/>
    <x v="1"/>
    <x v="1"/>
    <m/>
    <x v="0"/>
    <b v="0"/>
    <s v="No está en VPC"/>
    <n v="761"/>
    <s v="INTPG_VPC_760_1.9-12_761_1.9-12"/>
    <s v="ISEL-1.9"/>
    <n v="0"/>
    <s v="L3OUT-EXACLOUD"/>
    <n v="0"/>
    <n v="54"/>
  </r>
  <r>
    <n v="776"/>
    <x v="2"/>
    <x v="173"/>
    <s v="eth1/9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9"/>
    <x v="0"/>
    <x v="0"/>
    <x v="0"/>
    <s v="TO-HDPS_59-MSP"/>
    <x v="0"/>
    <b v="0"/>
    <s v="No está en VPC"/>
    <n v="805"/>
    <s v="INTPG_ACC_805_1.9"/>
    <s v="ISEL-1.9"/>
    <n v="1"/>
    <s v="NO TIENE L3OUT"/>
    <n v="44"/>
    <n v="54"/>
  </r>
  <r>
    <n v="772"/>
    <x v="2"/>
    <x v="175"/>
    <s v="eth1/9"/>
    <x v="0"/>
    <x v="0"/>
    <x v="0"/>
    <s v="Portchannel_1_R2"/>
    <x v="0"/>
    <b v="0"/>
    <s v="No está en VPC"/>
    <n v="772"/>
    <s v="INTPG_PC_772_1.7-10"/>
    <s v="ISEL-1.9"/>
    <n v="2"/>
    <s v="NO TIENE L3OUT"/>
    <n v="82"/>
    <n v="54"/>
  </r>
  <r>
    <n v="785"/>
    <x v="2"/>
    <x v="176"/>
    <s v="eth1/9"/>
    <x v="0"/>
    <x v="0"/>
    <x v="0"/>
    <s v="ENIQ F2:itheniqr13bl03ombsr6a:Slot 2/2"/>
    <x v="0"/>
    <b v="0"/>
    <s v="No está en VPC"/>
    <n v="785"/>
    <s v="INTPG_PC_785_1.7-10"/>
    <s v="ISEL-1.9"/>
    <n v="2"/>
    <s v="NO TIENE L3OUT"/>
    <n v="32"/>
    <n v="54"/>
  </r>
  <r>
    <n v="851"/>
    <x v="2"/>
    <x v="177"/>
    <s v="eth1/9"/>
    <x v="0"/>
    <x v="0"/>
    <x v="0"/>
    <s v="LINK_TO_ITHFHWCRMPLCN103 / Slot7.3_10 / Redundante"/>
    <x v="0"/>
    <b v="0"/>
    <s v="No está en VPC"/>
    <n v="851"/>
    <s v="INTPG_ACC_851_1.9"/>
    <s v="ISEL-1.9"/>
    <n v="1"/>
    <s v="NO TIENE L3OUT"/>
    <n v="282"/>
    <n v="54"/>
  </r>
  <r>
    <n v="798"/>
    <x v="2"/>
    <x v="178"/>
    <s v="eth1/9"/>
    <x v="0"/>
    <x v="0"/>
    <x v="0"/>
    <s v="TO-IMC_PS23-MSP"/>
    <x v="0"/>
    <b v="0"/>
    <s v="No está en VPC"/>
    <n v="798"/>
    <s v="INTPG_ACC_798_1.9"/>
    <s v="ISEL-1.9"/>
    <n v="1"/>
    <s v="NO TIENE L3OUT"/>
    <n v="52"/>
    <n v="54"/>
  </r>
  <r>
    <n v="782"/>
    <x v="2"/>
    <x v="179"/>
    <s v="eth1/9"/>
    <x v="0"/>
    <x v="0"/>
    <x v="0"/>
    <s v="LACP_OMBS_ENIQ9B"/>
    <x v="0"/>
    <b v="0"/>
    <s v="No está en VPC"/>
    <n v="782"/>
    <s v="INTPG_PC_782_1.7-10"/>
    <s v="ISEL-1.9"/>
    <n v="2"/>
    <s v="NO TIENE L3OUT"/>
    <n v="32"/>
    <n v="54"/>
  </r>
  <r>
    <n v="852"/>
    <x v="2"/>
    <x v="180"/>
    <s v="eth1/9"/>
    <x v="0"/>
    <x v="0"/>
    <x v="0"/>
    <s v="LINK_TO_ITHFHWCRMPLCN100 / Slot7.1_32 / Redundante"/>
    <x v="0"/>
    <b v="0"/>
    <s v="No está en VPC"/>
    <n v="852"/>
    <s v="INTPG_ACC_852_1.9"/>
    <s v="ISEL-1.9"/>
    <n v="6"/>
    <s v="NO TIENE L3OUT"/>
    <n v="258"/>
    <n v="54"/>
  </r>
  <r>
    <n v="817"/>
    <x v="2"/>
    <x v="181"/>
    <s v="eth1/9"/>
    <x v="0"/>
    <x v="0"/>
    <x v="0"/>
    <s v="LINK_TO_ITHFHWCBSPSWR24 /Slot4.2 /Principal"/>
    <x v="0"/>
    <b v="0"/>
    <s v="No está en VPC"/>
    <n v="817"/>
    <s v="INTPG_VPC_817_1.9_822_1.9"/>
    <s v="ISEL-1.9"/>
    <n v="1"/>
    <s v="NO TIENE L3OUT"/>
    <n v="0"/>
    <n v="54"/>
  </r>
  <r>
    <n v="832"/>
    <x v="2"/>
    <x v="182"/>
    <s v="eth1/9"/>
    <x v="0"/>
    <x v="0"/>
    <x v="0"/>
    <s v="LINK_TO_ITHFHWCBSDSWR34 /Slot6.2 /Redundante"/>
    <x v="0"/>
    <b v="0"/>
    <s v="No está en VPC"/>
    <n v="832"/>
    <s v="INTPG_VPC_828_1.9_832_1.9"/>
    <s v="ISEL-1.9"/>
    <n v="1"/>
    <s v="NO TIENE L3OUT"/>
    <n v="192"/>
    <n v="54"/>
  </r>
  <r>
    <n v="816"/>
    <x v="2"/>
    <x v="183"/>
    <s v="eth1/9"/>
    <x v="0"/>
    <x v="0"/>
    <x v="0"/>
    <s v="LINK_TO_ITHFHWCBSPSUSBD11 /Slot4.2 /Principal"/>
    <x v="0"/>
    <b v="0"/>
    <s v="No está en VPC"/>
    <n v="816"/>
    <s v="INTPG_VPC_816_1.9_821_1.9"/>
    <s v="ISEL-1.9"/>
    <n v="1"/>
    <s v="NO TIENE L3OUT"/>
    <n v="0"/>
    <n v="54"/>
  </r>
  <r>
    <n v="825"/>
    <x v="2"/>
    <x v="184"/>
    <s v="eth1/9"/>
    <x v="0"/>
    <x v="0"/>
    <x v="0"/>
    <s v="LINK_TO_ITHHWCRMPEN02 /X3-10GE 1 /Principal"/>
    <x v="0"/>
    <b v="0"/>
    <s v="No está en VPC"/>
    <n v="825"/>
    <s v="INTPG_VPC_820_1.6_9_825_1.6_9"/>
    <s v="ISEL-1.9"/>
    <n v="4"/>
    <s v="NO TIENE L3OUT"/>
    <n v="72"/>
    <n v="54"/>
  </r>
  <r>
    <n v="800"/>
    <x v="2"/>
    <x v="185"/>
    <s v="eth1/9"/>
    <x v="0"/>
    <x v="0"/>
    <x v="0"/>
    <s v="TO-CEPS_05-MSP"/>
    <x v="0"/>
    <b v="0"/>
    <s v="No está en VPC"/>
    <n v="800"/>
    <s v="INTPG_ACC_800_1.9"/>
    <s v="ISEL-1.9"/>
    <n v="1"/>
    <s v="NO TIENE L3OUT"/>
    <n v="78"/>
    <n v="54"/>
  </r>
  <r>
    <n v="801"/>
    <x v="2"/>
    <x v="186"/>
    <s v="eth1/9"/>
    <x v="0"/>
    <x v="0"/>
    <x v="0"/>
    <s v="TO-CEPS_05-MSP"/>
    <x v="0"/>
    <b v="0"/>
    <s v="No está en VPC"/>
    <n v="801"/>
    <s v="INTPG_ACC_801_1.9"/>
    <s v="ISEL-1.9"/>
    <n v="1"/>
    <s v="NO TIENE L3OUT"/>
    <n v="78"/>
    <n v="54"/>
  </r>
  <r>
    <n v="823"/>
    <x v="2"/>
    <x v="187"/>
    <s v="eth1/9"/>
    <x v="0"/>
    <x v="0"/>
    <x v="0"/>
    <s v="TRANSFORMA PHASE 2C PR"/>
    <x v="0"/>
    <b v="0"/>
    <s v="No está en VPC"/>
    <n v="823"/>
    <s v="INTPG_ACC_823_1.9"/>
    <s v="ISEL-1.9"/>
    <n v="1"/>
    <s v="NO TIENE L3OUT"/>
    <n v="8"/>
    <n v="54"/>
  </r>
  <r>
    <n v="837"/>
    <x v="2"/>
    <x v="188"/>
    <s v="eth1/9"/>
    <x v="0"/>
    <x v="0"/>
    <x v="0"/>
    <s v="LINK_TO_ITHFHWCBSPSUSBD26 / Slot1.2_6 / Principal"/>
    <x v="0"/>
    <b v="0"/>
    <s v="No está en VPC"/>
    <n v="837"/>
    <s v="INTPG_VPC_837_1.9_842_1.9"/>
    <s v="ISEL-1.9"/>
    <n v="1"/>
    <s v="NO TIENE L3OUT"/>
    <n v="8"/>
    <n v="54"/>
  </r>
  <r>
    <n v="867"/>
    <x v="2"/>
    <x v="189"/>
    <s v="eth1/9"/>
    <x v="0"/>
    <x v="0"/>
    <x v="0"/>
    <s v="TO-ITHFSUEXG2XCN01_PCI3.P2"/>
    <x v="0"/>
    <b v="0"/>
    <s v="No está en VPC"/>
    <n v="867"/>
    <s v="INTPG_ACC_867_1.9"/>
    <s v="ISEL-1.9"/>
    <n v="2"/>
    <s v="NO TIENE L3OUT"/>
    <n v="44"/>
    <n v="54"/>
  </r>
  <r>
    <n v="829"/>
    <x v="2"/>
    <x v="190"/>
    <s v="eth1/9"/>
    <x v="0"/>
    <x v="0"/>
    <x v="0"/>
    <s v="LINK_TO_ITHFHWCRMDLCN30 /Slot6.2 /Redundante"/>
    <x v="0"/>
    <b v="0"/>
    <s v="No está en VPC"/>
    <n v="829"/>
    <s v="INTPG_ACC_829_1.9"/>
    <s v="ISEL-1.9"/>
    <n v="1"/>
    <s v="NO TIENE L3OUT"/>
    <n v="224"/>
    <n v="54"/>
  </r>
  <r>
    <n v="831"/>
    <x v="2"/>
    <x v="191"/>
    <s v="eth1/9"/>
    <x v="0"/>
    <x v="0"/>
    <x v="0"/>
    <s v="LINK_TO_ITHFHWCBSDSUSBD08 /Slot5.1 /Redundante"/>
    <x v="0"/>
    <b v="0"/>
    <s v="No está en VPC"/>
    <n v="831"/>
    <s v="INTPG_VPC_827_1.9_831_1.9"/>
    <s v="ISEL-1.9"/>
    <n v="1"/>
    <s v="NO TIENE L3OUT"/>
    <n v="14"/>
    <n v="54"/>
  </r>
  <r>
    <n v="802"/>
    <x v="2"/>
    <x v="192"/>
    <s v="eth1/9"/>
    <x v="0"/>
    <x v="0"/>
    <x v="0"/>
    <s v="TO-HDPS_11-MSP"/>
    <x v="0"/>
    <b v="0"/>
    <s v="No está en VPC"/>
    <n v="802"/>
    <s v="INTPG_ACC_802_1.9"/>
    <s v="ISEL-1.9"/>
    <n v="1"/>
    <s v="NO TIENE L3OUT"/>
    <n v="48"/>
    <n v="54"/>
  </r>
  <r>
    <n v="835"/>
    <x v="2"/>
    <x v="193"/>
    <s v="eth1/9"/>
    <x v="0"/>
    <x v="0"/>
    <x v="0"/>
    <s v="LINK_TO_ITHFHWCBSPSWR56 / Slot1.3_24 / Principal"/>
    <x v="0"/>
    <b v="0"/>
    <s v="No está en VPC"/>
    <n v="835"/>
    <s v="INTPG_VPC_835_1.9_840_1.9"/>
    <s v="ISEL-1.9"/>
    <n v="1"/>
    <s v="NO TIENE L3OUT"/>
    <n v="8"/>
    <n v="54"/>
  </r>
  <r>
    <n v="822"/>
    <x v="2"/>
    <x v="194"/>
    <s v="eth1/9"/>
    <x v="0"/>
    <x v="0"/>
    <x v="0"/>
    <s v="LINK_TO_ITHFHWCBSPSWR24 /Slot6.2 /Redundante"/>
    <x v="0"/>
    <b v="0"/>
    <s v="No está en VPC"/>
    <n v="822"/>
    <s v="INTPG_VPC_817_1.9_822_1.9"/>
    <s v="ISEL-1.9"/>
    <n v="1"/>
    <s v="NO TIENE L3OUT"/>
    <n v="0"/>
    <n v="54"/>
  </r>
  <r>
    <n v="854"/>
    <x v="2"/>
    <x v="195"/>
    <s v="eth1/9"/>
    <x v="0"/>
    <x v="0"/>
    <x v="0"/>
    <s v="LINK_TO_ITHHWD6KV65100018DKC01 / CTMB_IOM0.P1_34 / Redundante"/>
    <x v="0"/>
    <b v="0"/>
    <s v="No está en VPC"/>
    <n v="854"/>
    <s v="INTPG_ACC_854_1.9"/>
    <s v="ISEL-1.9"/>
    <n v="1"/>
    <s v="NO TIENE L3OUT"/>
    <n v="204"/>
    <n v="54"/>
  </r>
  <r>
    <n v="858"/>
    <x v="2"/>
    <x v="196"/>
    <s v="eth1/9"/>
    <x v="0"/>
    <x v="0"/>
    <x v="0"/>
    <s v="To_VPC_2DCBSD_HD39_3"/>
    <x v="0"/>
    <b v="0"/>
    <s v="No está en VPC"/>
    <n v="858"/>
    <s v="INTPG_VPC_858_1.9_863_1.9"/>
    <s v="ISEL-1.9"/>
    <n v="1"/>
    <s v="NO TIENE L3OUT"/>
    <n v="8"/>
    <n v="54"/>
  </r>
  <r>
    <n v="857"/>
    <x v="2"/>
    <x v="197"/>
    <s v="eth1/9"/>
    <x v="0"/>
    <x v="0"/>
    <x v="0"/>
    <s v="LINKT_TO_ITHFHWCRMPLCN118 / Slot1.2_6 / Principal"/>
    <x v="0"/>
    <b v="0"/>
    <s v="No está en VPC"/>
    <n v="857"/>
    <s v="INTPG_ACC_857_1.9"/>
    <s v="ISEL-1.9"/>
    <n v="2"/>
    <s v="NO TIENE L3OUT"/>
    <n v="288"/>
    <n v="54"/>
  </r>
  <r>
    <n v="859"/>
    <x v="2"/>
    <x v="198"/>
    <s v="eth1/9"/>
    <x v="0"/>
    <x v="0"/>
    <x v="0"/>
    <s v="To_VPC_2DCBSD_HD33_3"/>
    <x v="0"/>
    <b v="0"/>
    <s v="No está en VPC"/>
    <n v="859"/>
    <s v="INTPG_VPC_859_1.9_864_1.9"/>
    <s v="ISEL-1.9"/>
    <n v="1"/>
    <s v="NO TIENE L3OUT"/>
    <n v="0"/>
    <n v="54"/>
  </r>
  <r>
    <n v="833"/>
    <x v="2"/>
    <x v="199"/>
    <s v="eth1/9"/>
    <x v="0"/>
    <x v="0"/>
    <x v="0"/>
    <s v="LINK_TO_ITHFHWCRMDLCN30 /Slot4.2 /Principal"/>
    <x v="0"/>
    <b v="0"/>
    <s v="No está en VPC"/>
    <n v="833"/>
    <s v="INTPG_ACC_833_1.9"/>
    <s v="ISEL-1.9"/>
    <n v="1"/>
    <s v="NO TIENE L3OUT"/>
    <n v="224"/>
    <n v="54"/>
  </r>
  <r>
    <n v="818"/>
    <x v="2"/>
    <x v="200"/>
    <s v="eth1/9"/>
    <x v="0"/>
    <x v="0"/>
    <x v="0"/>
    <s v="TRANSFORMA PHASE 2C PR"/>
    <x v="0"/>
    <b v="0"/>
    <s v="No está en VPC"/>
    <n v="818"/>
    <s v="INTPG_ACC_818_1.9"/>
    <s v="ISEL-1.9"/>
    <n v="1"/>
    <s v="NO TIENE L3OUT"/>
    <n v="8"/>
    <n v="54"/>
  </r>
  <r>
    <n v="850"/>
    <x v="2"/>
    <x v="201"/>
    <s v="eth1/9"/>
    <x v="0"/>
    <x v="0"/>
    <x v="0"/>
    <s v="LINKT_TO_ITHFHWCRMPLCN118 / Slot7.2_6 / Redundante"/>
    <x v="0"/>
    <b v="0"/>
    <s v="No está en VPC"/>
    <n v="850"/>
    <s v="INTPG_ACC_850_1.9"/>
    <s v="ISEL-1.9"/>
    <n v="2"/>
    <s v="NO TIENE L3OUT"/>
    <n v="288"/>
    <n v="54"/>
  </r>
  <r>
    <n v="860"/>
    <x v="2"/>
    <x v="202"/>
    <s v="eth1/9"/>
    <x v="0"/>
    <x v="0"/>
    <x v="0"/>
    <s v="To_VPC_2DCBSD_HD25_3"/>
    <x v="0"/>
    <b v="0"/>
    <s v="No está en VPC"/>
    <n v="860"/>
    <s v="INTPG_VPC_860_1.9_865_1.9"/>
    <s v="ISEL-1.9"/>
    <n v="1"/>
    <s v="NO TIENE L3OUT"/>
    <n v="0"/>
    <n v="54"/>
  </r>
  <r>
    <n v="853"/>
    <x v="2"/>
    <x v="203"/>
    <s v="eth1/9"/>
    <x v="0"/>
    <x v="0"/>
    <x v="0"/>
    <s v="LINK_TO_ITHHWD6KV65100011DKC01 / CTMB_IOM1.P1_34 / Redundante"/>
    <x v="0"/>
    <b v="0"/>
    <s v="No está en VPC"/>
    <n v="853"/>
    <s v="INTPG_ACC_853_1.9"/>
    <s v="ISEL-1.9"/>
    <n v="1"/>
    <s v="NO TIENE L3OUT"/>
    <n v="242"/>
    <n v="54"/>
  </r>
  <r>
    <n v="790"/>
    <x v="2"/>
    <x v="204"/>
    <s v="eth1/9"/>
    <x v="0"/>
    <x v="0"/>
    <x v="0"/>
    <s v="LINK_TO_ITHEMCPS5200TWPT3 / Nodo A IOM 1.2_04 / Principal"/>
    <x v="0"/>
    <b v="0"/>
    <s v="No está en VPC"/>
    <n v="790"/>
    <s v="INTPG_ACC_790_1.9"/>
    <s v="ISEL-1.9"/>
    <n v="2"/>
    <s v="NO TIENE L3OUT"/>
    <n v="20"/>
    <n v="54"/>
  </r>
  <r>
    <n v="105"/>
    <x v="0"/>
    <x v="205"/>
    <s v="eth1/9"/>
    <x v="0"/>
    <x v="1"/>
    <x v="1"/>
    <s v="DESC"/>
    <x v="6"/>
    <b v="0"/>
    <s v="No está en VPC"/>
    <n v="105"/>
    <s v="INTPG_PC_105_1.6-12_38"/>
    <s v="ISEL-1.9"/>
    <n v="17"/>
    <s v="NO TIENE L3OUT"/>
    <n v="106"/>
    <n v="96"/>
  </r>
  <r>
    <n v="117"/>
    <x v="0"/>
    <x v="206"/>
    <s v="eth1/9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9"/>
    <x v="0"/>
    <x v="1"/>
    <x v="1"/>
    <s v="SFLDI"/>
    <x v="6"/>
    <b v="0"/>
    <s v="No está en VPC"/>
    <n v="104"/>
    <s v="INTPG_ACC_104_1.9"/>
    <s v="ISEL-1.9"/>
    <n v="1"/>
    <s v="NO TIENE L3OUT"/>
    <n v="194"/>
    <n v="96"/>
  </r>
  <r>
    <n v="158"/>
    <x v="0"/>
    <x v="208"/>
    <s v="eth1/9"/>
    <x v="0"/>
    <x v="0"/>
    <x v="0"/>
    <s v="RED CRICKET"/>
    <x v="6"/>
    <b v="0"/>
    <s v="No está en VPC"/>
    <n v="158"/>
    <s v="INTPG_ACC_158_1.9"/>
    <s v="ISEL-1.9"/>
    <n v="1"/>
    <s v="NO TIENE L3OUT"/>
    <n v="30"/>
    <n v="96"/>
  </r>
  <r>
    <n v="875"/>
    <x v="2"/>
    <x v="209"/>
    <s v="eth1/9"/>
    <x v="1"/>
    <x v="1"/>
    <x v="2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9"/>
    <x v="0"/>
    <x v="0"/>
    <x v="0"/>
    <s v="HACIA_MGMT-OSCP-F4-09_PRINCIPAL"/>
    <x v="4"/>
    <b v="0"/>
    <s v="No está en VPC"/>
    <n v="879"/>
    <s v="INTPG_VPC_878_1.9_879_1.9"/>
    <s v="ISEL-1.9"/>
    <n v="1"/>
    <s v="NO TIENE L3OUT"/>
    <n v="0"/>
    <n v="54"/>
  </r>
  <r>
    <n v="108"/>
    <x v="0"/>
    <x v="211"/>
    <s v="eth1/9"/>
    <x v="0"/>
    <x v="0"/>
    <x v="0"/>
    <s v="ZSMART"/>
    <x v="6"/>
    <b v="0"/>
    <s v="No está en VPC"/>
    <n v="108"/>
    <s v="INTPG_ACC_108_1.9"/>
    <s v="ISEL-1.9"/>
    <n v="1"/>
    <s v="NO TIENE L3OUT"/>
    <n v="126"/>
    <n v="96"/>
  </r>
  <r>
    <n v="112"/>
    <x v="0"/>
    <x v="212"/>
    <s v="eth1/9"/>
    <x v="0"/>
    <x v="1"/>
    <x v="1"/>
    <s v="MARCACIONES"/>
    <x v="6"/>
    <b v="0"/>
    <s v="No está en VPC"/>
    <n v="112"/>
    <s v="INTPG_ACC_112_1.9"/>
    <s v="ISEL-1.9"/>
    <n v="1"/>
    <s v="NO TIENE L3OUT"/>
    <n v="144"/>
    <n v="96"/>
  </r>
  <r>
    <n v="107"/>
    <x v="0"/>
    <x v="213"/>
    <s v="eth1/9"/>
    <x v="0"/>
    <x v="0"/>
    <x v="0"/>
    <s v="COGNOS"/>
    <x v="6"/>
    <b v="0"/>
    <s v="No está en VPC"/>
    <n v="107"/>
    <s v="INTPG_ACC_107_1.9"/>
    <s v="ISEL-1.9"/>
    <n v="1"/>
    <s v="NO TIENE L3OUT"/>
    <n v="118"/>
    <n v="96"/>
  </r>
  <r>
    <n v="109"/>
    <x v="0"/>
    <x v="214"/>
    <s v="eth1/9"/>
    <x v="0"/>
    <x v="1"/>
    <x v="1"/>
    <s v="ZSMART"/>
    <x v="6"/>
    <b v="0"/>
    <s v="No está en VPC"/>
    <n v="109"/>
    <s v="INTPG_ACC_109_1.9"/>
    <s v="ISEL-1.9"/>
    <n v="1"/>
    <s v="NO TIENE L3OUT"/>
    <n v="126"/>
    <n v="96"/>
  </r>
  <r>
    <n v="113"/>
    <x v="0"/>
    <x v="215"/>
    <s v="eth1/9"/>
    <x v="0"/>
    <x v="0"/>
    <x v="0"/>
    <m/>
    <x v="6"/>
    <b v="0"/>
    <s v="No está en VPC"/>
    <n v="113"/>
    <s v="NO EXISTE PG"/>
    <s v="NO EXISTE ISEL"/>
    <n v="1"/>
    <s v="NO TIENE L3OUT"/>
    <n v="52"/>
    <n v="96"/>
  </r>
  <r>
    <n v="114"/>
    <x v="0"/>
    <x v="216"/>
    <s v="eth1/9"/>
    <x v="0"/>
    <x v="1"/>
    <x v="1"/>
    <s v="CONSOLA"/>
    <x v="6"/>
    <b v="0"/>
    <s v="No está en VPC"/>
    <n v="114"/>
    <s v="INTPG_ACC_114_1.9"/>
    <s v="ISEL-1.9"/>
    <n v="1"/>
    <s v="NO TIENE L3OUT"/>
    <n v="144"/>
    <n v="96"/>
  </r>
  <r>
    <n v="124"/>
    <x v="0"/>
    <x v="217"/>
    <s v="eth1/9"/>
    <x v="0"/>
    <x v="0"/>
    <x v="0"/>
    <s v="GSM_OSS_TIJ"/>
    <x v="6"/>
    <b v="0"/>
    <s v="No está en VPC"/>
    <n v="124"/>
    <s v="INTPG_VPC_124_1.9_125_1.14"/>
    <s v="ISEL-1.9"/>
    <n v="10"/>
    <s v="NO TIENE L3OUT"/>
    <n v="80"/>
    <n v="96"/>
  </r>
  <r>
    <n v="118"/>
    <x v="0"/>
    <x v="218"/>
    <s v="eth1/9"/>
    <x v="0"/>
    <x v="0"/>
    <x v="0"/>
    <s v="COBROS NAVEGACION"/>
    <x v="6"/>
    <b v="0"/>
    <s v="No está en VPC"/>
    <n v="118"/>
    <s v="INTPG_ACC_118_1.9"/>
    <s v="ISEL-1.9"/>
    <n v="1"/>
    <s v="NO TIENE L3OUT"/>
    <n v="180"/>
    <n v="96"/>
  </r>
  <r>
    <n v="159"/>
    <x v="0"/>
    <x v="219"/>
    <s v="eth1/9"/>
    <x v="0"/>
    <x v="1"/>
    <x v="1"/>
    <s v="ArrobaDOC Y CF"/>
    <x v="6"/>
    <b v="0"/>
    <s v="No está en VPC"/>
    <n v="159"/>
    <s v="INTPG_ACC_159_1.9"/>
    <s v="ISEL-1.9"/>
    <n v="1"/>
    <s v="NO TIENE L3OUT"/>
    <n v="72"/>
    <n v="96"/>
  </r>
  <r>
    <n v="840"/>
    <x v="2"/>
    <x v="220"/>
    <s v="eth1/9"/>
    <x v="0"/>
    <x v="0"/>
    <x v="0"/>
    <s v="LINK_TO_ITHFHWCBSPSWR56 / Slot7.3_24 / Redundante"/>
    <x v="0"/>
    <b v="0"/>
    <s v="No está en VPC"/>
    <n v="840"/>
    <s v="INTPG_VPC_835_1.9_840_1.9"/>
    <s v="ISEL-1.9"/>
    <n v="1"/>
    <s v="NO TIENE L3OUT"/>
    <n v="8"/>
    <n v="54"/>
  </r>
  <r>
    <n v="856"/>
    <x v="2"/>
    <x v="221"/>
    <s v="eth1/9"/>
    <x v="0"/>
    <x v="0"/>
    <x v="0"/>
    <s v="LINK_TO_ITHFHWCRMPLCN137 / Slot1.2_8 / Principal"/>
    <x v="0"/>
    <b v="0"/>
    <s v="No está en VPC"/>
    <n v="856"/>
    <s v="INTPG_ACC_856_1.9"/>
    <s v="ISEL-1.9"/>
    <n v="2"/>
    <s v="NO TIENE L3OUT"/>
    <n v="286"/>
    <n v="54"/>
  </r>
  <r>
    <n v="110"/>
    <x v="0"/>
    <x v="222"/>
    <s v="eth1/9"/>
    <x v="0"/>
    <x v="0"/>
    <x v="0"/>
    <m/>
    <x v="6"/>
    <b v="0"/>
    <s v="No está en VPC"/>
    <n v="110"/>
    <s v="INTPG_ACC_110_1.9"/>
    <s v="ISEL-1.9"/>
    <n v="1"/>
    <s v="NO TIENE L3OUT"/>
    <n v="102"/>
    <n v="96"/>
  </r>
  <r>
    <n v="163"/>
    <x v="0"/>
    <x v="223"/>
    <s v="eth1/9"/>
    <x v="1"/>
    <x v="1"/>
    <x v="2"/>
    <s v="DESC"/>
    <x v="6"/>
    <b v="0"/>
    <s v="No está en VPC"/>
    <n v="163"/>
    <s v="INTPG_PC_163_1.9-11"/>
    <s v="ISEL-1.9"/>
    <n v="0"/>
    <s v="NO TIENE L3OUT"/>
    <n v="140"/>
    <n v="96"/>
  </r>
  <r>
    <n v="407"/>
    <x v="1"/>
    <x v="224"/>
    <s v="eth1/9"/>
    <x v="0"/>
    <x v="0"/>
    <x v="0"/>
    <s v="RLR2ARI03_ilo"/>
    <x v="6"/>
    <b v="0"/>
    <s v="No está en VPC"/>
    <n v="407"/>
    <s v="INTPG_ACC_407_1.9"/>
    <s v="ISEL-1.9"/>
    <n v="1"/>
    <s v="NO TIENE L3OUT"/>
    <n v="122"/>
    <n v="96"/>
  </r>
  <r>
    <n v="171"/>
    <x v="0"/>
    <x v="225"/>
    <s v="eth1/9"/>
    <x v="0"/>
    <x v="1"/>
    <x v="1"/>
    <s v="OSS_3G_12_2_DATOS"/>
    <x v="6"/>
    <b v="0"/>
    <s v="No está en VPC"/>
    <n v="171"/>
    <s v="INTPG_VPC_171_1.9_172_1.8"/>
    <s v="ISEL-1.9"/>
    <n v="10"/>
    <s v="NO TIENE L3OUT"/>
    <n v="114"/>
    <n v="96"/>
  </r>
  <r>
    <n v="421"/>
    <x v="1"/>
    <x v="226"/>
    <s v="eth1/9"/>
    <x v="0"/>
    <x v="0"/>
    <x v="0"/>
    <s v="Portal_Cautivo_f5em01"/>
    <x v="6"/>
    <b v="0"/>
    <s v="No está en VPC"/>
    <n v="421"/>
    <s v="INTPG_VPC_419_1.9_421_1.9"/>
    <s v="ISEL-1.9"/>
    <n v="1"/>
    <s v="NO TIENE L3OUT"/>
    <n v="72"/>
    <n v="96"/>
  </r>
  <r>
    <n v="173"/>
    <x v="0"/>
    <x v="227"/>
    <s v="eth1/9"/>
    <x v="0"/>
    <x v="0"/>
    <x v="0"/>
    <s v="U2000_IPRAN"/>
    <x v="6"/>
    <b v="0"/>
    <s v="No está en VPC"/>
    <n v="173"/>
    <s v="INTPG_ACC_173_1.9"/>
    <s v="ISEL-1.9"/>
    <n v="1"/>
    <s v="NO TIENE L3OUT"/>
    <n v="66"/>
    <n v="96"/>
  </r>
  <r>
    <n v="154"/>
    <x v="0"/>
    <x v="228"/>
    <s v="eth1/9"/>
    <x v="0"/>
    <x v="0"/>
    <x v="0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9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9"/>
    <x v="0"/>
    <x v="1"/>
    <x v="1"/>
    <s v="PORTAB1"/>
    <x v="6"/>
    <b v="0"/>
    <s v="No está en VPC"/>
    <n v="420"/>
    <s v="INTPG_ACC_420_1.9"/>
    <s v="ISEL-1.9"/>
    <n v="1"/>
    <s v="NO TIENE L3OUT"/>
    <n v="158"/>
    <n v="96"/>
  </r>
  <r>
    <n v="423"/>
    <x v="1"/>
    <x v="231"/>
    <s v="eth1/9"/>
    <x v="0"/>
    <x v="0"/>
    <x v="0"/>
    <s v="ITHPA02_eth0_IPMP-Activa"/>
    <x v="6"/>
    <b v="0"/>
    <s v="No está en VPC"/>
    <n v="423"/>
    <s v="INTPG_ACC_423_1.9"/>
    <s v="ISEL-1.9"/>
    <n v="1"/>
    <s v="NO TIENE L3OUT"/>
    <n v="86"/>
    <n v="96"/>
  </r>
  <r>
    <n v="415"/>
    <x v="1"/>
    <x v="232"/>
    <s v="eth1/9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9"/>
    <x v="0"/>
    <x v="1"/>
    <x v="1"/>
    <s v="SFLDI:RLDICDR01:1"/>
    <x v="6"/>
    <b v="0"/>
    <s v="No está en VPC"/>
    <n v="102"/>
    <s v="INTPG_ACC_102_1.9"/>
    <s v="ISEL-1.9"/>
    <n v="1"/>
    <s v="NO TIENE L3OUT"/>
    <n v="228"/>
    <n v="96"/>
  </r>
  <r>
    <n v="863"/>
    <x v="2"/>
    <x v="234"/>
    <s v="eth1/9"/>
    <x v="0"/>
    <x v="0"/>
    <x v="0"/>
    <s v="To_VPC_2DCBSD_HD39_3"/>
    <x v="0"/>
    <b v="0"/>
    <s v="No está en VPC"/>
    <n v="863"/>
    <s v="INTPG_VPC_858_1.9_863_1.9"/>
    <s v="ISEL-1.9"/>
    <n v="1"/>
    <s v="NO TIENE L3OUT"/>
    <n v="8"/>
    <n v="54"/>
  </r>
  <r>
    <n v="876"/>
    <x v="2"/>
    <x v="235"/>
    <s v="eth1/9"/>
    <x v="0"/>
    <x v="0"/>
    <x v="0"/>
    <s v="LINK_TO_ITHFHWSEQLCAS32 / Slot 4 PTO 1 / Principal"/>
    <x v="4"/>
    <b v="0"/>
    <s v="No está en VPC"/>
    <n v="876"/>
    <s v="INTPG_ACC_876_1.9"/>
    <s v="ISEL-1.9"/>
    <n v="1"/>
    <s v="NO TIENE L3OUT"/>
    <n v="92"/>
    <n v="54"/>
  </r>
  <r>
    <n v="877"/>
    <x v="2"/>
    <x v="236"/>
    <s v="eth1/9"/>
    <x v="1"/>
    <x v="1"/>
    <x v="2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9"/>
    <x v="0"/>
    <x v="0"/>
    <x v="0"/>
    <s v="TEMIPAMX"/>
    <x v="6"/>
    <b v="0"/>
    <s v="No está en VPC"/>
    <n v="122"/>
    <s v="INTPG_ACC_122_1.9"/>
    <s v="ISEL-1.9"/>
    <n v="1"/>
    <s v="NO TIENE L3OUT"/>
    <n v="148"/>
    <n v="96"/>
  </r>
  <r>
    <n v="157"/>
    <x v="0"/>
    <x v="238"/>
    <s v="eth1/9"/>
    <x v="0"/>
    <x v="0"/>
    <x v="0"/>
    <s v="COBROS NAVEGACION"/>
    <x v="6"/>
    <b v="0"/>
    <s v="No está en VPC"/>
    <n v="157"/>
    <s v="INTPG_ACC_157_1.9"/>
    <s v="ISEL-1.9"/>
    <n v="1"/>
    <s v="NO TIENE L3OUT"/>
    <n v="202"/>
    <n v="96"/>
  </r>
  <r>
    <n v="408"/>
    <x v="1"/>
    <x v="239"/>
    <s v="eth1/9"/>
    <x v="0"/>
    <x v="0"/>
    <x v="0"/>
    <s v="RESPAL_CS5_ASAP8"/>
    <x v="6"/>
    <b v="0"/>
    <s v="No está en VPC"/>
    <n v="408"/>
    <s v="INTPG_ACC_408_1.9"/>
    <s v="ISEL-1.9"/>
    <n v="1"/>
    <s v="NO TIENE L3OUT"/>
    <n v="152"/>
    <n v="96"/>
  </r>
  <r>
    <n v="405"/>
    <x v="1"/>
    <x v="240"/>
    <s v="eth1/9"/>
    <x v="0"/>
    <x v="0"/>
    <x v="0"/>
    <s v="IXT_ARIESO4_ NAS1"/>
    <x v="6"/>
    <b v="0"/>
    <s v="No está en VPC"/>
    <n v="405"/>
    <s v="INTPG_ACC_405_1.9"/>
    <s v="ISEL-1.9"/>
    <n v="1"/>
    <s v="NO TIENE L3OUT"/>
    <n v="138"/>
    <n v="96"/>
  </r>
  <r>
    <n v="169"/>
    <x v="0"/>
    <x v="241"/>
    <s v="eth1/9"/>
    <x v="0"/>
    <x v="0"/>
    <x v="0"/>
    <s v="LINKDOWN_HACIA_UCS_9UCS-IXTLA-SERV3"/>
    <x v="6"/>
    <b v="0"/>
    <s v="No está en VPC"/>
    <n v="169"/>
    <s v="INTPG_ACC_169_1.9"/>
    <s v="ISEL-1.9"/>
    <n v="1"/>
    <s v="NO TIENE L3OUT"/>
    <n v="76"/>
    <n v="96"/>
  </r>
  <r>
    <n v="165"/>
    <x v="0"/>
    <x v="242"/>
    <s v="eth1/9"/>
    <x v="0"/>
    <x v="0"/>
    <x v="0"/>
    <s v="Nomina"/>
    <x v="6"/>
    <b v="0"/>
    <s v="No está en VPC"/>
    <n v="165"/>
    <s v="INTPG_ACC_165_1.9"/>
    <s v="ISEL-1.9"/>
    <n v="1"/>
    <s v="NO TIENE L3OUT"/>
    <n v="86"/>
    <n v="96"/>
  </r>
  <r>
    <n v="417"/>
    <x v="1"/>
    <x v="243"/>
    <s v="eth1/9"/>
    <x v="0"/>
    <x v="0"/>
    <x v="0"/>
    <s v="ixtnpscol01"/>
    <x v="6"/>
    <b v="0"/>
    <s v="No está en VPC"/>
    <n v="417"/>
    <s v="INTPG_ACC_417_1.9"/>
    <s v="ISEL-1.9"/>
    <n v="1"/>
    <s v="NO TIENE L3OUT"/>
    <n v="56"/>
    <n v="96"/>
  </r>
  <r>
    <n v="153"/>
    <x v="0"/>
    <x v="244"/>
    <s v="eth1/9"/>
    <x v="0"/>
    <x v="0"/>
    <x v="0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9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9"/>
    <x v="0"/>
    <x v="0"/>
    <x v="0"/>
    <s v="ARIESO_GEOLOCALIZACION"/>
    <x v="6"/>
    <b v="0"/>
    <s v="No está en VPC"/>
    <n v="156"/>
    <s v="INTPG_ACC_156_1.9"/>
    <s v="ISEL-1.9"/>
    <n v="1"/>
    <s v="NO TIENE L3OUT"/>
    <n v="40"/>
    <n v="96"/>
  </r>
  <r>
    <n v="103"/>
    <x v="0"/>
    <x v="247"/>
    <s v="eth1/9"/>
    <x v="0"/>
    <x v="0"/>
    <x v="0"/>
    <s v="DESC"/>
    <x v="6"/>
    <b v="0"/>
    <s v="No está en VPC"/>
    <n v="103"/>
    <s v="INTPG_PC_103_1.7-9"/>
    <s v="ISEL-1.9"/>
    <n v="2"/>
    <s v="NO TIENE L3OUT"/>
    <n v="70"/>
    <n v="96"/>
  </r>
  <r>
    <n v="438"/>
    <x v="1"/>
    <x v="248"/>
    <s v="eth1/9"/>
    <x v="0"/>
    <x v="0"/>
    <x v="0"/>
    <s v="uxdxdb03(RENACE)"/>
    <x v="6"/>
    <b v="0"/>
    <s v="No está en VPC"/>
    <n v="438"/>
    <s v="INTPG_ACC_438_1.9"/>
    <s v="ISEL-1.9"/>
    <n v="1"/>
    <s v="NO TIENE L3OUT"/>
    <n v="170"/>
    <n v="96"/>
  </r>
  <r>
    <n v="406"/>
    <x v="1"/>
    <x v="249"/>
    <s v="eth1/9"/>
    <x v="0"/>
    <x v="0"/>
    <x v="0"/>
    <s v="DESC"/>
    <x v="6"/>
    <b v="0"/>
    <s v="No está en VPC"/>
    <n v="406"/>
    <s v="INTPG_PC_406_1.9-10"/>
    <s v="ISEL-1.9"/>
    <n v="1"/>
    <s v="NO TIENE L3OUT"/>
    <n v="82"/>
    <n v="96"/>
  </r>
  <r>
    <n v="414"/>
    <x v="1"/>
    <x v="250"/>
    <s v="eth1/9"/>
    <x v="0"/>
    <x v="0"/>
    <x v="0"/>
    <s v="9UCS-IXTLA-WEBEX-SERV4"/>
    <x v="6"/>
    <b v="0"/>
    <s v="No está en VPC"/>
    <n v="414"/>
    <s v="INTPG_ACC_414_1.9"/>
    <s v="ISEL-1.9"/>
    <n v="1"/>
    <s v="NO TIENE L3OUT"/>
    <n v="144"/>
    <n v="96"/>
  </r>
  <r>
    <n v="416"/>
    <x v="1"/>
    <x v="251"/>
    <s v="eth1/9"/>
    <x v="0"/>
    <x v="1"/>
    <x v="5"/>
    <s v="sfmedp50-MEDVOZ_CLIENT7"/>
    <x v="6"/>
    <b v="0"/>
    <s v="No está en VPC"/>
    <n v="416"/>
    <s v="INTPG_VPC_416_1.9_418_1.9"/>
    <s v="ISEL-1.9"/>
    <n v="1"/>
    <s v="NO TIENE L3OUT"/>
    <n v="110"/>
    <n v="96"/>
  </r>
  <r>
    <n v="418"/>
    <x v="1"/>
    <x v="252"/>
    <s v="eth1/9"/>
    <x v="0"/>
    <x v="1"/>
    <x v="5"/>
    <s v="sfmedp50-MEDVOZ_CLIENT7"/>
    <x v="6"/>
    <b v="0"/>
    <s v="No está en VPC"/>
    <n v="418"/>
    <s v="INTPG_VPC_416_1.9_418_1.9"/>
    <s v="ISEL-1.9"/>
    <n v="1"/>
    <s v="NO TIENE L3OUT"/>
    <n v="152"/>
    <n v="96"/>
  </r>
  <r>
    <n v="413"/>
    <x v="1"/>
    <x v="253"/>
    <s v="eth1/9"/>
    <x v="0"/>
    <x v="0"/>
    <x v="0"/>
    <s v="DESC"/>
    <x v="6"/>
    <b v="0"/>
    <s v="No está en VPC"/>
    <n v="413"/>
    <s v="INTPG_PC_413_1.9-12"/>
    <s v="ISEL-1.9"/>
    <n v="1"/>
    <s v="NO TIENE L3OUT"/>
    <n v="126"/>
    <n v="96"/>
  </r>
  <r>
    <n v="403"/>
    <x v="1"/>
    <x v="254"/>
    <s v="eth1/9"/>
    <x v="0"/>
    <x v="0"/>
    <x v="0"/>
    <s v="IXT_ARIESO4_ NAS1"/>
    <x v="6"/>
    <b v="0"/>
    <s v="No está en VPC"/>
    <n v="403"/>
    <s v="INTPG_ACC_403_1.9"/>
    <s v="ISEL-1.9"/>
    <n v="1"/>
    <s v="NO TIENE L3OUT"/>
    <n v="150"/>
    <n v="96"/>
  </r>
  <r>
    <n v="125"/>
    <x v="0"/>
    <x v="255"/>
    <s v="eth1/9"/>
    <x v="1"/>
    <x v="1"/>
    <x v="2"/>
    <s v="GSM_ENIQ_MEX_R9"/>
    <x v="6"/>
    <b v="0"/>
    <s v="No está en VPC"/>
    <n v="125"/>
    <s v="INTPG_ACC_125_1.9"/>
    <s v="ISEL-1.9"/>
    <n v="1"/>
    <s v="NO TIENE L3OUT"/>
    <n v="72"/>
    <n v="96"/>
  </r>
  <r>
    <n v="166"/>
    <x v="0"/>
    <x v="256"/>
    <s v="eth1/9"/>
    <x v="0"/>
    <x v="0"/>
    <x v="0"/>
    <s v="Nomina"/>
    <x v="6"/>
    <b v="0"/>
    <s v="No está en VPC"/>
    <n v="166"/>
    <s v="INTPG_ACC_166_1.9"/>
    <s v="ISEL-1.9"/>
    <n v="1"/>
    <s v="NO TIENE L3OUT"/>
    <n v="84"/>
    <n v="96"/>
  </r>
  <r>
    <n v="111"/>
    <x v="0"/>
    <x v="257"/>
    <s v="eth1/9"/>
    <x v="0"/>
    <x v="0"/>
    <x v="0"/>
    <s v="SUN6900_E25K"/>
    <x v="6"/>
    <b v="0"/>
    <s v="No está en VPC"/>
    <n v="111"/>
    <s v="INTPG_ACC_111_1.9"/>
    <s v="ISEL-1.9"/>
    <n v="1"/>
    <s v="NO TIENE L3OUT"/>
    <n v="58"/>
    <n v="96"/>
  </r>
  <r>
    <n v="115"/>
    <x v="0"/>
    <x v="258"/>
    <s v="eth1/9"/>
    <x v="0"/>
    <x v="0"/>
    <x v="0"/>
    <s v="VYCAN"/>
    <x v="6"/>
    <b v="0"/>
    <s v="No está en VPC"/>
    <n v="115"/>
    <s v="INTPG_ACC_115_1.9"/>
    <s v="ISEL-1.9"/>
    <n v="1"/>
    <s v="NO TIENE L3OUT"/>
    <n v="42"/>
    <n v="96"/>
  </r>
  <r>
    <n v="106"/>
    <x v="0"/>
    <x v="259"/>
    <s v="eth1/9"/>
    <x v="0"/>
    <x v="0"/>
    <x v="0"/>
    <s v="PLATAFORMA NUMERACION "/>
    <x v="6"/>
    <b v="0"/>
    <s v="No está en VPC"/>
    <n v="106"/>
    <s v="INTPG_ACC_106_1.9"/>
    <s v="ISEL-1.9"/>
    <n v="1"/>
    <s v="NO TIENE L3OUT"/>
    <n v="122"/>
    <n v="96"/>
  </r>
  <r>
    <n v="126"/>
    <x v="0"/>
    <x v="260"/>
    <s v="eth1/9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9"/>
    <x v="0"/>
    <x v="1"/>
    <x v="1"/>
    <s v="VTA_uxvta073_Net0"/>
    <x v="6"/>
    <b v="0"/>
    <s v="No está en VPC"/>
    <n v="425"/>
    <s v="INTPG_ACC_425_1.9"/>
    <s v="ISEL-1.9"/>
    <n v="1"/>
    <s v="NO TIENE L3OUT"/>
    <n v="86"/>
    <n v="96"/>
  </r>
  <r>
    <n v="151"/>
    <x v="0"/>
    <x v="262"/>
    <s v="eth1/9"/>
    <x v="0"/>
    <x v="1"/>
    <x v="1"/>
    <s v="OSS MEX GSM M"/>
    <x v="6"/>
    <b v="0"/>
    <s v="No está en VPC"/>
    <n v="151"/>
    <s v="INTPG_ACC_151_1.9"/>
    <s v="ISEL-1.9"/>
    <n v="1"/>
    <s v="NO TIENE L3OUT"/>
    <n v="86"/>
    <n v="96"/>
  </r>
  <r>
    <n v="430"/>
    <x v="1"/>
    <x v="263"/>
    <s v="eth1/9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9"/>
    <x v="0"/>
    <x v="0"/>
    <x v="0"/>
    <s v="Portal_Cautivo_f5em01"/>
    <x v="6"/>
    <b v="0"/>
    <s v="No está en VPC"/>
    <n v="419"/>
    <s v="INTPG_VPC_419_1.9_421_1.9"/>
    <s v="ISEL-1.9"/>
    <n v="1"/>
    <s v="NO TIENE L3OUT"/>
    <n v="70"/>
    <n v="96"/>
  </r>
  <r>
    <n v="155"/>
    <x v="0"/>
    <x v="265"/>
    <s v="eth1/9"/>
    <x v="1"/>
    <x v="1"/>
    <x v="2"/>
    <s v="Circulo Azul M5000"/>
    <x v="6"/>
    <b v="0"/>
    <s v="No está en VPC"/>
    <n v="155"/>
    <s v="INTPG_ACC_155_1.9"/>
    <s v="ISEL-1.9"/>
    <n v="0"/>
    <s v="NO TIENE L3OUT"/>
    <n v="198"/>
    <n v="96"/>
  </r>
  <r>
    <n v="409"/>
    <x v="1"/>
    <x v="266"/>
    <s v="eth1/9"/>
    <x v="0"/>
    <x v="0"/>
    <x v="0"/>
    <s v="RLR2ARI08_ilo"/>
    <x v="6"/>
    <b v="0"/>
    <s v="No está en VPC"/>
    <n v="409"/>
    <s v="INTPG_ACC_409_1.9"/>
    <s v="ISEL-1.9"/>
    <n v="1"/>
    <s v="NO TIENE L3OUT"/>
    <n v="128"/>
    <n v="96"/>
  </r>
  <r>
    <n v="422"/>
    <x v="1"/>
    <x v="267"/>
    <s v="eth1/9"/>
    <x v="0"/>
    <x v="0"/>
    <x v="0"/>
    <s v="B6200C_MGMT_2"/>
    <x v="6"/>
    <b v="0"/>
    <s v="No está en VPC"/>
    <n v="422"/>
    <s v="INTPG_ACC_422_1.9"/>
    <s v="ISEL-1.9"/>
    <n v="1"/>
    <s v="NO TIENE L3OUT"/>
    <n v="182"/>
    <n v="96"/>
  </r>
  <r>
    <n v="436"/>
    <x v="1"/>
    <x v="268"/>
    <s v="eth1/9"/>
    <x v="0"/>
    <x v="0"/>
    <x v="0"/>
    <s v="uxdxdb03(RENACE)"/>
    <x v="6"/>
    <b v="0"/>
    <s v="No está en VPC"/>
    <n v="436"/>
    <s v="INTPG_ACC_436_1.9"/>
    <s v="ISEL-1.9"/>
    <n v="1"/>
    <s v="NO TIENE L3OUT"/>
    <n v="172"/>
    <n v="96"/>
  </r>
  <r>
    <n v="410"/>
    <x v="1"/>
    <x v="269"/>
    <s v="eth1/9"/>
    <x v="0"/>
    <x v="0"/>
    <x v="0"/>
    <s v="NEC Femtocel NMS"/>
    <x v="6"/>
    <b v="0"/>
    <s v="No está en VPC"/>
    <n v="410"/>
    <s v="INTPG_ACC_410_1.9"/>
    <s v="ISEL-1.9"/>
    <n v="1"/>
    <s v="NO TIENE L3OUT"/>
    <n v="178"/>
    <n v="96"/>
  </r>
  <r>
    <n v="161"/>
    <x v="0"/>
    <x v="270"/>
    <s v="eth1/9"/>
    <x v="0"/>
    <x v="0"/>
    <x v="0"/>
    <s v="DESC"/>
    <x v="6"/>
    <b v="0"/>
    <s v="No está en VPC"/>
    <n v="161"/>
    <s v="INTPG_PC_161_1.9_11_13"/>
    <s v="ISEL-1.9"/>
    <n v="1"/>
    <s v="NO TIENE L3OUT"/>
    <n v="102"/>
    <n v="96"/>
  </r>
  <r>
    <n v="411"/>
    <x v="1"/>
    <x v="271"/>
    <s v="eth1/9"/>
    <x v="0"/>
    <x v="0"/>
    <x v="0"/>
    <s v="DESC"/>
    <x v="6"/>
    <b v="0"/>
    <s v="No está en VPC"/>
    <n v="411"/>
    <s v="INTPG_PC_411_1.9-12"/>
    <s v="ISEL-1.9"/>
    <n v="1"/>
    <s v="NO TIENE L3OUT"/>
    <n v="96"/>
    <n v="96"/>
  </r>
  <r>
    <n v="116"/>
    <x v="0"/>
    <x v="272"/>
    <s v="eth1/9"/>
    <x v="0"/>
    <x v="0"/>
    <x v="0"/>
    <s v="COBROS NAVEGACION"/>
    <x v="6"/>
    <b v="0"/>
    <s v="No está en VPC"/>
    <n v="116"/>
    <s v="INTPG_ACC_116_1.9"/>
    <s v="ISEL-1.9"/>
    <n v="1"/>
    <s v="NO TIENE L3OUT"/>
    <n v="148"/>
    <n v="96"/>
  </r>
  <r>
    <n v="412"/>
    <x v="1"/>
    <x v="273"/>
    <s v="eth1/9"/>
    <x v="0"/>
    <x v="1"/>
    <x v="1"/>
    <s v="Suspend1"/>
    <x v="6"/>
    <b v="0"/>
    <s v="No está en VPC"/>
    <n v="412"/>
    <s v="INTPG_ACC_412_1.9"/>
    <s v="ISEL-1.9"/>
    <n v="1"/>
    <s v="NO TIENE L3OUT"/>
    <n v="126"/>
    <n v="96"/>
  </r>
  <r>
    <n v="120"/>
    <x v="0"/>
    <x v="274"/>
    <s v="eth1/9"/>
    <x v="0"/>
    <x v="0"/>
    <x v="0"/>
    <s v="TEMIPAMX"/>
    <x v="6"/>
    <b v="0"/>
    <s v="No está en VPC"/>
    <n v="120"/>
    <s v="INTPG_ACC_120_1.9"/>
    <s v="ISEL-1.9"/>
    <n v="1"/>
    <s v="NO TIENE L3OUT"/>
    <n v="158"/>
    <n v="96"/>
  </r>
  <r>
    <n v="404"/>
    <x v="1"/>
    <x v="275"/>
    <s v="eth1/9"/>
    <x v="0"/>
    <x v="0"/>
    <x v="0"/>
    <s v="DESC"/>
    <x v="6"/>
    <b v="0"/>
    <s v="No está en VPC"/>
    <n v="404"/>
    <s v="INTPG_PC_404_1.9-10"/>
    <s v="ISEL-1.9"/>
    <n v="1"/>
    <s v="NO TIENE L3OUT"/>
    <n v="92"/>
    <n v="96"/>
  </r>
  <r>
    <n v="167"/>
    <x v="0"/>
    <x v="276"/>
    <s v="eth1/9"/>
    <x v="0"/>
    <x v="0"/>
    <x v="0"/>
    <s v="TO-ITHFDENBURBKP01(IXTFDLBKP6RAP)-REDUNDANTE"/>
    <x v="6"/>
    <b v="0"/>
    <s v="No está en VPC"/>
    <n v="167"/>
    <s v="INTPG_ACC_167_1.9"/>
    <s v="ISEL-1.9"/>
    <n v="1"/>
    <s v="NO TIENE L3OUT"/>
    <n v="68"/>
    <n v="96"/>
  </r>
  <r>
    <n v="428"/>
    <x v="1"/>
    <x v="277"/>
    <s v="eth1/9"/>
    <x v="0"/>
    <x v="0"/>
    <x v="0"/>
    <s v="LDAP-IDM_DESARROLLO"/>
    <x v="6"/>
    <b v="0"/>
    <s v="No está en VPC"/>
    <n v="428"/>
    <s v="INTPG_PC_428_1.5-9"/>
    <s v="ISEL-1.9"/>
    <n v="1"/>
    <s v="NO TIENE L3OUT"/>
    <n v="102"/>
    <n v="96"/>
  </r>
  <r>
    <n v="903"/>
    <x v="2"/>
    <x v="278"/>
    <s v="eth1/9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9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05"/>
    <x v="0"/>
    <x v="205"/>
    <s v="eth1/90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90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90"/>
    <x v="0"/>
    <x v="1"/>
    <x v="1"/>
    <s v="DESC"/>
    <x v="6"/>
    <b v="0"/>
    <s v="No está en VPC"/>
    <n v="104"/>
    <s v="INTPG_PC_104_1.84-91"/>
    <s v="ISEL-1.90"/>
    <n v="32"/>
    <s v="NO TIENE L3OUT"/>
    <n v="194"/>
    <n v="96"/>
  </r>
  <r>
    <n v="158"/>
    <x v="0"/>
    <x v="208"/>
    <s v="eth1/90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90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90"/>
    <x v="0"/>
    <x v="1"/>
    <x v="1"/>
    <s v="SAPCCRATING25"/>
    <x v="6"/>
    <b v="0"/>
    <s v="No está en VPC"/>
    <n v="112"/>
    <s v="INTPG_VPC_112_1.90_114_1.88"/>
    <s v="ISEL-1.90"/>
    <n v="1"/>
    <s v="NO TIENE L3OUT"/>
    <n v="144"/>
    <n v="96"/>
  </r>
  <r>
    <n v="107"/>
    <x v="0"/>
    <x v="213"/>
    <s v="eth1/90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90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90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90"/>
    <x v="0"/>
    <x v="1"/>
    <x v="1"/>
    <s v="SAPCC"/>
    <x v="6"/>
    <b v="0"/>
    <s v="No está en VPC"/>
    <n v="114"/>
    <s v="INTPG_ACC_114_1.90"/>
    <s v="ISEL-1.90"/>
    <n v="1"/>
    <s v="NO TIENE L3OUT"/>
    <n v="144"/>
    <n v="96"/>
  </r>
  <r>
    <n v="124"/>
    <x v="0"/>
    <x v="217"/>
    <s v="eth1/90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90"/>
    <x v="0"/>
    <x v="0"/>
    <x v="0"/>
    <s v="LA-47R VIRTUALIZACION BLADES"/>
    <x v="6"/>
    <b v="0"/>
    <s v="No está en VPC"/>
    <n v="118"/>
    <s v="INTPG_ACC_118_1.90"/>
    <s v="ISEL-1.90"/>
    <n v="1"/>
    <s v="NO TIENE L3OUT"/>
    <n v="180"/>
    <n v="96"/>
  </r>
  <r>
    <n v="159"/>
    <x v="0"/>
    <x v="219"/>
    <s v="eth1/90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90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90"/>
    <x v="0"/>
    <x v="0"/>
    <x v="0"/>
    <s v="SFCTGP01"/>
    <x v="6"/>
    <b v="0"/>
    <s v="No está en VPC"/>
    <n v="163"/>
    <s v="INTPG_VPC_161_1.79_163_1.90"/>
    <s v="ISEL-1.90"/>
    <n v="1"/>
    <s v="NO TIENE L3OUT"/>
    <n v="140"/>
    <n v="96"/>
  </r>
  <r>
    <n v="407"/>
    <x v="1"/>
    <x v="224"/>
    <s v="eth1/90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90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90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90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90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90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90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90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90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90"/>
    <x v="0"/>
    <x v="1"/>
    <x v="1"/>
    <s v="CORREO AMERICA MOVIL:OPENSTACK 2:VC1-X5"/>
    <x v="6"/>
    <b v="0"/>
    <s v="No está en VPC"/>
    <n v="102"/>
    <s v="INTPG_PC_102_1.86-93"/>
    <s v="ISEL-1.90"/>
    <n v="15"/>
    <s v="NO TIENE L3OUT"/>
    <n v="228"/>
    <n v="96"/>
  </r>
  <r>
    <n v="122"/>
    <x v="0"/>
    <x v="237"/>
    <s v="eth1/90"/>
    <x v="0"/>
    <x v="0"/>
    <x v="0"/>
    <s v="IXTZFSBK1"/>
    <x v="6"/>
    <b v="0"/>
    <s v="No está en VPC"/>
    <n v="122"/>
    <s v="INTPG_ACC_122_1.90"/>
    <s v="ISEL-1.90"/>
    <n v="1"/>
    <s v="NO TIENE L3OUT"/>
    <n v="148"/>
    <n v="96"/>
  </r>
  <r>
    <n v="157"/>
    <x v="0"/>
    <x v="238"/>
    <s v="eth1/90"/>
    <x v="0"/>
    <x v="0"/>
    <x v="0"/>
    <s v="SNA TEST BED"/>
    <x v="6"/>
    <b v="0"/>
    <s v="No está en VPC"/>
    <n v="157"/>
    <s v="INTPG_ACC_157_1.90"/>
    <s v="ISEL-1.90"/>
    <n v="0"/>
    <s v="L3OUT-SNA-TRIM-SITE-BGP"/>
    <n v="202"/>
    <n v="96"/>
  </r>
  <r>
    <n v="408"/>
    <x v="1"/>
    <x v="239"/>
    <s v="eth1/90"/>
    <x v="1"/>
    <x v="1"/>
    <x v="2"/>
    <m/>
    <x v="6"/>
    <b v="0"/>
    <s v="No está en VPC"/>
    <n v="408"/>
    <s v="NO EXISTE PG"/>
    <s v="NO EXISTE ISEL"/>
    <n v="0"/>
    <s v="NO TIENE L3OUT"/>
    <n v="152"/>
    <n v="96"/>
  </r>
  <r>
    <n v="405"/>
    <x v="1"/>
    <x v="240"/>
    <s v="eth1/90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90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90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90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90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90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90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90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90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90"/>
    <x v="1"/>
    <x v="1"/>
    <x v="2"/>
    <m/>
    <x v="6"/>
    <b v="0"/>
    <s v="No está en VPC"/>
    <n v="406"/>
    <s v="NO EXISTE PG"/>
    <s v="NO EXISTE ISEL"/>
    <n v="0"/>
    <s v="NO TIENE L3OUT"/>
    <n v="82"/>
    <n v="96"/>
  </r>
  <r>
    <n v="414"/>
    <x v="1"/>
    <x v="250"/>
    <s v="eth1/90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90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90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90"/>
    <x v="1"/>
    <x v="1"/>
    <x v="2"/>
    <m/>
    <x v="6"/>
    <b v="0"/>
    <s v="No está en VPC"/>
    <n v="413"/>
    <s v="NO EXISTE PG"/>
    <s v="NO EXISTE ISEL"/>
    <n v="0"/>
    <s v="NO TIENE L3OUT"/>
    <n v="126"/>
    <n v="96"/>
  </r>
  <r>
    <n v="403"/>
    <x v="1"/>
    <x v="254"/>
    <s v="eth1/90"/>
    <x v="0"/>
    <x v="0"/>
    <x v="0"/>
    <s v="TO-ithfhpmvnorbd01-Principal"/>
    <x v="6"/>
    <b v="0"/>
    <s v="No está en VPC"/>
    <n v="403"/>
    <s v="INTPG_ACC_403_1.90"/>
    <s v="ISEL-1.90"/>
    <n v="1"/>
    <s v="NO TIENE L3OUT"/>
    <n v="150"/>
    <n v="96"/>
  </r>
  <r>
    <n v="125"/>
    <x v="0"/>
    <x v="255"/>
    <s v="eth1/90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90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90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90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90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90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90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90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90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90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90"/>
    <x v="0"/>
    <x v="0"/>
    <x v="0"/>
    <s v="VTAE"/>
    <x v="6"/>
    <b v="0"/>
    <s v="No está en VPC"/>
    <n v="155"/>
    <s v="INTPG_ACC_155_1.90"/>
    <s v="ISEL-1.90"/>
    <n v="1"/>
    <s v="NO TIENE L3OUT"/>
    <n v="198"/>
    <n v="96"/>
  </r>
  <r>
    <n v="409"/>
    <x v="1"/>
    <x v="266"/>
    <s v="eth1/90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90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90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90"/>
    <x v="1"/>
    <x v="1"/>
    <x v="2"/>
    <m/>
    <x v="6"/>
    <b v="0"/>
    <s v="No está en VPC"/>
    <n v="410"/>
    <s v="NO EXISTE PG"/>
    <s v="NO EXISTE ISEL"/>
    <n v="0"/>
    <s v="NO TIENE L3OUT"/>
    <n v="178"/>
    <n v="96"/>
  </r>
  <r>
    <n v="161"/>
    <x v="0"/>
    <x v="270"/>
    <s v="eth1/90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90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90"/>
    <x v="1"/>
    <x v="1"/>
    <x v="2"/>
    <s v="DESC"/>
    <x v="6"/>
    <b v="0"/>
    <s v="No está en VPC"/>
    <n v="116"/>
    <s v="INTPG_PC_116_1.87-94"/>
    <s v="ISEL-1.90"/>
    <n v="0"/>
    <s v="NO TIENE L3OUT"/>
    <n v="148"/>
    <n v="96"/>
  </r>
  <r>
    <n v="412"/>
    <x v="1"/>
    <x v="273"/>
    <s v="eth1/90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90"/>
    <x v="0"/>
    <x v="0"/>
    <x v="0"/>
    <s v="MASTER SERVER"/>
    <x v="6"/>
    <b v="0"/>
    <s v="No está en VPC"/>
    <n v="120"/>
    <s v="INTPG_ACC_120_1.90"/>
    <s v="ISEL-1.90"/>
    <n v="1"/>
    <s v="NO TIENE L3OUT"/>
    <n v="158"/>
    <n v="96"/>
  </r>
  <r>
    <n v="404"/>
    <x v="1"/>
    <x v="275"/>
    <s v="eth1/90"/>
    <x v="1"/>
    <x v="1"/>
    <x v="2"/>
    <m/>
    <x v="6"/>
    <b v="0"/>
    <s v="No está en VPC"/>
    <n v="404"/>
    <s v="NO EXISTE PG"/>
    <s v="NO EXISTE ISEL"/>
    <n v="0"/>
    <s v="NO TIENE L3OUT"/>
    <n v="92"/>
    <n v="96"/>
  </r>
  <r>
    <n v="167"/>
    <x v="0"/>
    <x v="276"/>
    <s v="eth1/90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90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105"/>
    <x v="0"/>
    <x v="205"/>
    <s v="eth1/91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91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91"/>
    <x v="0"/>
    <x v="1"/>
    <x v="1"/>
    <s v="DESC"/>
    <x v="6"/>
    <b v="0"/>
    <s v="No está en VPC"/>
    <n v="104"/>
    <s v="INTPG_PC_104_1.84-91"/>
    <s v="ISEL-1.91"/>
    <n v="32"/>
    <s v="NO TIENE L3OUT"/>
    <n v="194"/>
    <n v="96"/>
  </r>
  <r>
    <n v="158"/>
    <x v="0"/>
    <x v="208"/>
    <s v="eth1/91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91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91"/>
    <x v="0"/>
    <x v="1"/>
    <x v="1"/>
    <s v="SAPCCRATING26"/>
    <x v="6"/>
    <b v="0"/>
    <s v="No está en VPC"/>
    <n v="112"/>
    <s v="INTPG_VPC_112_1.91_114_1.89"/>
    <s v="ISEL-1.91"/>
    <n v="1"/>
    <s v="NO TIENE L3OUT"/>
    <n v="144"/>
    <n v="96"/>
  </r>
  <r>
    <n v="107"/>
    <x v="0"/>
    <x v="213"/>
    <s v="eth1/91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91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91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91"/>
    <x v="0"/>
    <x v="1"/>
    <x v="1"/>
    <s v="SAPCC"/>
    <x v="6"/>
    <b v="0"/>
    <s v="No está en VPC"/>
    <n v="114"/>
    <s v="INTPG_ACC_114_1.91"/>
    <s v="ISEL-1.91"/>
    <n v="1"/>
    <s v="NO TIENE L3OUT"/>
    <n v="144"/>
    <n v="96"/>
  </r>
  <r>
    <n v="124"/>
    <x v="0"/>
    <x v="217"/>
    <s v="eth1/91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91"/>
    <x v="0"/>
    <x v="0"/>
    <x v="0"/>
    <s v="LA-47R VIRTUALIZACION BLADES"/>
    <x v="6"/>
    <b v="0"/>
    <s v="No está en VPC"/>
    <n v="118"/>
    <s v="INTPG_ACC_118_1.91"/>
    <s v="ISEL-1.91"/>
    <n v="1"/>
    <s v="NO TIENE L3OUT"/>
    <n v="180"/>
    <n v="96"/>
  </r>
  <r>
    <n v="159"/>
    <x v="0"/>
    <x v="219"/>
    <s v="eth1/91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91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91"/>
    <x v="0"/>
    <x v="0"/>
    <x v="0"/>
    <s v="VPARTITION"/>
    <x v="6"/>
    <b v="0"/>
    <s v="No está en VPC"/>
    <n v="163"/>
    <s v="INTPG_ACC_163_1.91"/>
    <s v="ISEL-1.91"/>
    <n v="1"/>
    <s v="NO TIENE L3OUT"/>
    <n v="140"/>
    <n v="96"/>
  </r>
  <r>
    <n v="407"/>
    <x v="1"/>
    <x v="224"/>
    <s v="eth1/91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91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91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91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91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91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91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91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91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91"/>
    <x v="0"/>
    <x v="1"/>
    <x v="1"/>
    <s v="CORREO AMERICA MOVIL:OPENSTACK 2:VC1-X6"/>
    <x v="6"/>
    <b v="0"/>
    <s v="No está en VPC"/>
    <n v="102"/>
    <s v="INTPG_PC_102_1.86-93"/>
    <s v="ISEL-1.91"/>
    <n v="15"/>
    <s v="NO TIENE L3OUT"/>
    <n v="228"/>
    <n v="96"/>
  </r>
  <r>
    <n v="122"/>
    <x v="0"/>
    <x v="237"/>
    <s v="eth1/91"/>
    <x v="0"/>
    <x v="0"/>
    <x v="0"/>
    <s v="SWITCH LAN"/>
    <x v="6"/>
    <b v="0"/>
    <s v="No está en VPC"/>
    <n v="122"/>
    <s v="INTPG_ACC_122_1.91"/>
    <s v="ISEL-1.91"/>
    <n v="1"/>
    <s v="NO TIENE L3OUT"/>
    <n v="148"/>
    <n v="96"/>
  </r>
  <r>
    <n v="157"/>
    <x v="0"/>
    <x v="238"/>
    <s v="eth1/91"/>
    <x v="0"/>
    <x v="0"/>
    <x v="0"/>
    <s v="COBROS NAVEGACION"/>
    <x v="6"/>
    <b v="0"/>
    <s v="No está en VPC"/>
    <n v="157"/>
    <s v="INTPG_ACC_157_1.91"/>
    <s v="ISEL-1.91"/>
    <n v="1"/>
    <s v="NO TIENE L3OUT"/>
    <n v="202"/>
    <n v="96"/>
  </r>
  <r>
    <n v="408"/>
    <x v="1"/>
    <x v="239"/>
    <s v="eth1/91"/>
    <x v="1"/>
    <x v="1"/>
    <x v="2"/>
    <m/>
    <x v="6"/>
    <b v="0"/>
    <s v="No está en VPC"/>
    <n v="408"/>
    <s v="NO EXISTE PG"/>
    <s v="NO EXISTE ISEL"/>
    <n v="0"/>
    <s v="NO TIENE L3OUT"/>
    <n v="152"/>
    <n v="96"/>
  </r>
  <r>
    <n v="405"/>
    <x v="1"/>
    <x v="240"/>
    <s v="eth1/91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91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91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91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91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91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91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91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91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91"/>
    <x v="1"/>
    <x v="1"/>
    <x v="2"/>
    <m/>
    <x v="6"/>
    <b v="0"/>
    <s v="No está en VPC"/>
    <n v="406"/>
    <s v="NO EXISTE PG"/>
    <s v="NO EXISTE ISEL"/>
    <n v="0"/>
    <s v="NO TIENE L3OUT"/>
    <n v="82"/>
    <n v="96"/>
  </r>
  <r>
    <n v="414"/>
    <x v="1"/>
    <x v="250"/>
    <s v="eth1/91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91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91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91"/>
    <x v="1"/>
    <x v="1"/>
    <x v="2"/>
    <m/>
    <x v="6"/>
    <b v="0"/>
    <s v="No está en VPC"/>
    <n v="413"/>
    <s v="NO EXISTE PG"/>
    <s v="NO EXISTE ISEL"/>
    <n v="0"/>
    <s v="NO TIENE L3OUT"/>
    <n v="126"/>
    <n v="96"/>
  </r>
  <r>
    <n v="403"/>
    <x v="1"/>
    <x v="254"/>
    <s v="eth1/91"/>
    <x v="0"/>
    <x v="0"/>
    <x v="0"/>
    <s v="TO-ithfhpmvnorbd01"/>
    <x v="6"/>
    <b v="0"/>
    <s v="No está en VPC"/>
    <n v="403"/>
    <s v="INTPG_VPC_403_1.91_405_1.80"/>
    <s v="ISEL-1.91"/>
    <n v="1"/>
    <s v="NO TIENE L3OUT"/>
    <n v="150"/>
    <n v="96"/>
  </r>
  <r>
    <n v="125"/>
    <x v="0"/>
    <x v="255"/>
    <s v="eth1/91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91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91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91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91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91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91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91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91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91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91"/>
    <x v="0"/>
    <x v="0"/>
    <x v="0"/>
    <s v="VTAE"/>
    <x v="6"/>
    <b v="0"/>
    <s v="No está en VPC"/>
    <n v="155"/>
    <s v="INTPG_ACC_155_1.91"/>
    <s v="ISEL-1.91"/>
    <n v="1"/>
    <s v="NO TIENE L3OUT"/>
    <n v="198"/>
    <n v="96"/>
  </r>
  <r>
    <n v="409"/>
    <x v="1"/>
    <x v="266"/>
    <s v="eth1/91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91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91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91"/>
    <x v="1"/>
    <x v="1"/>
    <x v="2"/>
    <m/>
    <x v="6"/>
    <b v="0"/>
    <s v="No está en VPC"/>
    <n v="410"/>
    <s v="NO EXISTE PG"/>
    <s v="NO EXISTE ISEL"/>
    <n v="0"/>
    <s v="NO TIENE L3OUT"/>
    <n v="178"/>
    <n v="96"/>
  </r>
  <r>
    <n v="161"/>
    <x v="0"/>
    <x v="270"/>
    <s v="eth1/91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91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91"/>
    <x v="1"/>
    <x v="1"/>
    <x v="2"/>
    <s v="DESC"/>
    <x v="6"/>
    <b v="0"/>
    <s v="No está en VPC"/>
    <n v="116"/>
    <s v="INTPG_PC_116_1.87-94"/>
    <s v="ISEL-1.91"/>
    <n v="0"/>
    <s v="NO TIENE L3OUT"/>
    <n v="148"/>
    <n v="96"/>
  </r>
  <r>
    <n v="412"/>
    <x v="1"/>
    <x v="273"/>
    <s v="eth1/91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91"/>
    <x v="0"/>
    <x v="0"/>
    <x v="0"/>
    <s v="MASTER SERVER"/>
    <x v="6"/>
    <b v="0"/>
    <s v="No está en VPC"/>
    <n v="120"/>
    <s v="INTPG_ACC_120_1.91"/>
    <s v="ISEL-1.91"/>
    <n v="1"/>
    <s v="NO TIENE L3OUT"/>
    <n v="158"/>
    <n v="96"/>
  </r>
  <r>
    <n v="404"/>
    <x v="1"/>
    <x v="275"/>
    <s v="eth1/91"/>
    <x v="1"/>
    <x v="1"/>
    <x v="2"/>
    <m/>
    <x v="6"/>
    <b v="0"/>
    <s v="No está en VPC"/>
    <n v="404"/>
    <s v="NO EXISTE PG"/>
    <s v="NO EXISTE ISEL"/>
    <n v="0"/>
    <s v="NO TIENE L3OUT"/>
    <n v="92"/>
    <n v="96"/>
  </r>
  <r>
    <n v="167"/>
    <x v="0"/>
    <x v="276"/>
    <s v="eth1/91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91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105"/>
    <x v="0"/>
    <x v="205"/>
    <s v="eth1/92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92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92"/>
    <x v="0"/>
    <x v="1"/>
    <x v="1"/>
    <s v="CORREO AMERICA MOVIL"/>
    <x v="6"/>
    <b v="0"/>
    <s v="No está en VPC"/>
    <n v="104"/>
    <s v="INTPG_ACC_104_1.92"/>
    <s v="ISEL-1.92"/>
    <n v="1"/>
    <s v="NO TIENE L3OUT"/>
    <n v="194"/>
    <n v="96"/>
  </r>
  <r>
    <n v="158"/>
    <x v="0"/>
    <x v="208"/>
    <s v="eth1/92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92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92"/>
    <x v="0"/>
    <x v="1"/>
    <x v="1"/>
    <s v="SAPCC"/>
    <x v="6"/>
    <b v="0"/>
    <s v="No está en VPC"/>
    <n v="112"/>
    <s v="INTPG_ACC_112_1.92"/>
    <s v="ISEL-1.92"/>
    <n v="1"/>
    <s v="NO TIENE L3OUT"/>
    <n v="144"/>
    <n v="96"/>
  </r>
  <r>
    <n v="107"/>
    <x v="0"/>
    <x v="213"/>
    <s v="eth1/92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92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92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92"/>
    <x v="0"/>
    <x v="1"/>
    <x v="1"/>
    <s v="SAPCC"/>
    <x v="6"/>
    <b v="0"/>
    <s v="No está en VPC"/>
    <n v="114"/>
    <s v="INTPG_ACC_114_1.92"/>
    <s v="ISEL-1.92"/>
    <n v="1"/>
    <s v="NO TIENE L3OUT"/>
    <n v="144"/>
    <n v="96"/>
  </r>
  <r>
    <n v="124"/>
    <x v="0"/>
    <x v="217"/>
    <s v="eth1/92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92"/>
    <x v="0"/>
    <x v="1"/>
    <x v="1"/>
    <s v="LifeRay_Portal"/>
    <x v="6"/>
    <b v="0"/>
    <s v="No está en VPC"/>
    <n v="118"/>
    <s v="INTPG_ACC_118_1.92"/>
    <s v="ISEL-1.92"/>
    <n v="1"/>
    <s v="NO TIENE L3OUT"/>
    <n v="180"/>
    <n v="96"/>
  </r>
  <r>
    <n v="159"/>
    <x v="0"/>
    <x v="219"/>
    <s v="eth1/92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92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92"/>
    <x v="0"/>
    <x v="0"/>
    <x v="0"/>
    <s v="SFTMPP01"/>
    <x v="6"/>
    <b v="0"/>
    <s v="No está en VPC"/>
    <n v="163"/>
    <s v="INTPG_VPC_161_1.80_163_1.92"/>
    <s v="ISEL-1.92"/>
    <n v="1"/>
    <s v="NO TIENE L3OUT"/>
    <n v="140"/>
    <n v="96"/>
  </r>
  <r>
    <n v="407"/>
    <x v="1"/>
    <x v="224"/>
    <s v="eth1/92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92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92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92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92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92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92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92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92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92"/>
    <x v="0"/>
    <x v="1"/>
    <x v="1"/>
    <s v="CORREO AMERICA MOVIL:OPENSTACK 2:VC1-X7"/>
    <x v="6"/>
    <b v="0"/>
    <s v="No está en VPC"/>
    <n v="102"/>
    <s v="INTPG_PC_102_1.86-93"/>
    <s v="ISEL-1.92"/>
    <n v="15"/>
    <s v="NO TIENE L3OUT"/>
    <n v="228"/>
    <n v="96"/>
  </r>
  <r>
    <n v="122"/>
    <x v="0"/>
    <x v="237"/>
    <s v="eth1/92"/>
    <x v="0"/>
    <x v="0"/>
    <x v="0"/>
    <s v="MASTER SERVER"/>
    <x v="6"/>
    <b v="0"/>
    <s v="No está en VPC"/>
    <n v="122"/>
    <s v="INTPG_ACC_122_1.92"/>
    <s v="ISEL-1.92"/>
    <n v="1"/>
    <s v="NO TIENE L3OUT"/>
    <n v="148"/>
    <n v="96"/>
  </r>
  <r>
    <n v="157"/>
    <x v="0"/>
    <x v="238"/>
    <s v="eth1/92"/>
    <x v="0"/>
    <x v="0"/>
    <x v="0"/>
    <s v="COBROS NAVEGACION"/>
    <x v="6"/>
    <b v="0"/>
    <s v="No está en VPC"/>
    <n v="157"/>
    <s v="INTPG_ACC_157_1.92"/>
    <s v="ISEL-1.92"/>
    <n v="1"/>
    <s v="NO TIENE L3OUT"/>
    <n v="202"/>
    <n v="96"/>
  </r>
  <r>
    <n v="408"/>
    <x v="1"/>
    <x v="239"/>
    <s v="eth1/92"/>
    <x v="1"/>
    <x v="1"/>
    <x v="2"/>
    <m/>
    <x v="6"/>
    <b v="0"/>
    <s v="No está en VPC"/>
    <n v="408"/>
    <s v="NO EXISTE PG"/>
    <s v="NO EXISTE ISEL"/>
    <n v="0"/>
    <s v="NO TIENE L3OUT"/>
    <n v="152"/>
    <n v="96"/>
  </r>
  <r>
    <n v="405"/>
    <x v="1"/>
    <x v="240"/>
    <s v="eth1/92"/>
    <x v="1"/>
    <x v="1"/>
    <x v="2"/>
    <s v="To OoB APIC 7"/>
    <x v="6"/>
    <b v="0"/>
    <s v="No está en VPC"/>
    <n v="405"/>
    <s v="INTPG_ACC_405_1.92"/>
    <s v="ISEL-1.92"/>
    <n v="1"/>
    <s v="NO TIENE L3OUT"/>
    <n v="138"/>
    <n v="96"/>
  </r>
  <r>
    <n v="169"/>
    <x v="0"/>
    <x v="241"/>
    <s v="eth1/92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92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92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92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92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92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92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92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92"/>
    <x v="1"/>
    <x v="1"/>
    <x v="2"/>
    <m/>
    <x v="6"/>
    <b v="0"/>
    <s v="No está en VPC"/>
    <n v="406"/>
    <s v="NO EXISTE PG"/>
    <s v="NO EXISTE ISEL"/>
    <n v="0"/>
    <s v="NO TIENE L3OUT"/>
    <n v="82"/>
    <n v="96"/>
  </r>
  <r>
    <n v="414"/>
    <x v="1"/>
    <x v="250"/>
    <s v="eth1/92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92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92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92"/>
    <x v="1"/>
    <x v="1"/>
    <x v="2"/>
    <m/>
    <x v="6"/>
    <b v="0"/>
    <s v="No está en VPC"/>
    <n v="413"/>
    <s v="NO EXISTE PG"/>
    <s v="NO EXISTE ISEL"/>
    <n v="0"/>
    <s v="NO TIENE L3OUT"/>
    <n v="126"/>
    <n v="96"/>
  </r>
  <r>
    <n v="403"/>
    <x v="1"/>
    <x v="254"/>
    <s v="eth1/92"/>
    <x v="1"/>
    <x v="1"/>
    <x v="2"/>
    <s v="EMS_Pantallas_en_CACs"/>
    <x v="6"/>
    <b v="0"/>
    <s v="No está en VPC"/>
    <n v="403"/>
    <s v="INTPG_ACC_403_1.92"/>
    <s v="ISEL-1.92"/>
    <n v="0"/>
    <s v="NO TIENE L3OUT"/>
    <n v="150"/>
    <n v="96"/>
  </r>
  <r>
    <n v="125"/>
    <x v="0"/>
    <x v="255"/>
    <s v="eth1/92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92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92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92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92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92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92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92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92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92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92"/>
    <x v="0"/>
    <x v="0"/>
    <x v="0"/>
    <s v="UXINGE"/>
    <x v="6"/>
    <b v="0"/>
    <s v="No está en VPC"/>
    <n v="155"/>
    <s v="INTPG_ACC_155_1.92"/>
    <s v="ISEL-1.92"/>
    <n v="1"/>
    <s v="NO TIENE L3OUT"/>
    <n v="198"/>
    <n v="96"/>
  </r>
  <r>
    <n v="409"/>
    <x v="1"/>
    <x v="266"/>
    <s v="eth1/92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92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92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92"/>
    <x v="1"/>
    <x v="1"/>
    <x v="2"/>
    <m/>
    <x v="6"/>
    <b v="0"/>
    <s v="No está en VPC"/>
    <n v="410"/>
    <s v="NO EXISTE PG"/>
    <s v="NO EXISTE ISEL"/>
    <n v="0"/>
    <s v="NO TIENE L3OUT"/>
    <n v="178"/>
    <n v="96"/>
  </r>
  <r>
    <n v="161"/>
    <x v="0"/>
    <x v="270"/>
    <s v="eth1/92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92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92"/>
    <x v="1"/>
    <x v="1"/>
    <x v="2"/>
    <s v="DESC"/>
    <x v="6"/>
    <b v="0"/>
    <s v="No está en VPC"/>
    <n v="116"/>
    <s v="INTPG_PC_116_1.87-94"/>
    <s v="ISEL-1.92"/>
    <n v="0"/>
    <s v="NO TIENE L3OUT"/>
    <n v="148"/>
    <n v="96"/>
  </r>
  <r>
    <n v="412"/>
    <x v="1"/>
    <x v="273"/>
    <s v="eth1/92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92"/>
    <x v="0"/>
    <x v="0"/>
    <x v="0"/>
    <s v="MASTER SERVER"/>
    <x v="6"/>
    <b v="0"/>
    <s v="No está en VPC"/>
    <n v="120"/>
    <s v="INTPG_ACC_120_1.92"/>
    <s v="ISEL-1.92"/>
    <n v="1"/>
    <s v="NO TIENE L3OUT"/>
    <n v="158"/>
    <n v="96"/>
  </r>
  <r>
    <n v="404"/>
    <x v="1"/>
    <x v="275"/>
    <s v="eth1/92"/>
    <x v="1"/>
    <x v="1"/>
    <x v="2"/>
    <m/>
    <x v="6"/>
    <b v="0"/>
    <s v="No está en VPC"/>
    <n v="404"/>
    <s v="NO EXISTE PG"/>
    <s v="NO EXISTE ISEL"/>
    <n v="0"/>
    <s v="NO TIENE L3OUT"/>
    <n v="92"/>
    <n v="96"/>
  </r>
  <r>
    <n v="167"/>
    <x v="0"/>
    <x v="276"/>
    <s v="eth1/92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92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105"/>
    <x v="0"/>
    <x v="205"/>
    <s v="eth1/93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93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93"/>
    <x v="0"/>
    <x v="1"/>
    <x v="1"/>
    <m/>
    <x v="6"/>
    <b v="0"/>
    <s v="No está en VPC"/>
    <n v="104"/>
    <s v="NO EXISTE PG"/>
    <s v="NO EXISTE ISEL"/>
    <n v="0"/>
    <s v="NO TIENE L3OUT"/>
    <n v="194"/>
    <n v="96"/>
  </r>
  <r>
    <n v="158"/>
    <x v="0"/>
    <x v="208"/>
    <s v="eth1/93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93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93"/>
    <x v="0"/>
    <x v="1"/>
    <x v="1"/>
    <s v="SAPCC"/>
    <x v="6"/>
    <b v="0"/>
    <s v="No está en VPC"/>
    <n v="112"/>
    <s v="INTPG_ACC_112_1.93"/>
    <s v="ISEL-1.93"/>
    <n v="1"/>
    <s v="NO TIENE L3OUT"/>
    <n v="144"/>
    <n v="96"/>
  </r>
  <r>
    <n v="107"/>
    <x v="0"/>
    <x v="213"/>
    <s v="eth1/93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93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93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93"/>
    <x v="0"/>
    <x v="1"/>
    <x v="1"/>
    <s v="SAPCC"/>
    <x v="6"/>
    <b v="0"/>
    <s v="No está en VPC"/>
    <n v="114"/>
    <s v="INTPG_ACC_114_1.93"/>
    <s v="ISEL-1.93"/>
    <n v="1"/>
    <s v="NO TIENE L3OUT"/>
    <n v="144"/>
    <n v="96"/>
  </r>
  <r>
    <n v="124"/>
    <x v="0"/>
    <x v="217"/>
    <s v="eth1/93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93"/>
    <x v="0"/>
    <x v="0"/>
    <x v="0"/>
    <s v="DESC"/>
    <x v="6"/>
    <b v="0"/>
    <s v="No está en VPC"/>
    <n v="118"/>
    <s v="INTPG_PC_118_1.93-94"/>
    <s v="ISEL-1.93"/>
    <n v="3"/>
    <s v="NO TIENE L3OUT"/>
    <n v="180"/>
    <n v="96"/>
  </r>
  <r>
    <n v="159"/>
    <x v="0"/>
    <x v="219"/>
    <s v="eth1/93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93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93"/>
    <x v="0"/>
    <x v="0"/>
    <x v="0"/>
    <s v="SFODPP02_CM"/>
    <x v="6"/>
    <b v="0"/>
    <s v="No está en VPC"/>
    <n v="163"/>
    <s v="INTPG_VPC_161_1.81_163_1.93"/>
    <s v="ISEL-1.93"/>
    <n v="1"/>
    <s v="NO TIENE L3OUT"/>
    <n v="140"/>
    <n v="96"/>
  </r>
  <r>
    <n v="407"/>
    <x v="1"/>
    <x v="224"/>
    <s v="eth1/93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93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93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93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93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93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93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93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93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93"/>
    <x v="0"/>
    <x v="1"/>
    <x v="1"/>
    <s v="CORREO AMERICA MOVIL:OPENSTACK 2:VC1-X8"/>
    <x v="6"/>
    <b v="0"/>
    <s v="No está en VPC"/>
    <n v="102"/>
    <s v="INTPG_PC_102_1.86-93"/>
    <s v="ISEL-1.93"/>
    <n v="15"/>
    <s v="NO TIENE L3OUT"/>
    <n v="228"/>
    <n v="96"/>
  </r>
  <r>
    <n v="122"/>
    <x v="0"/>
    <x v="237"/>
    <s v="eth1/93"/>
    <x v="1"/>
    <x v="1"/>
    <x v="2"/>
    <s v="MASTER SERVER"/>
    <x v="6"/>
    <b v="0"/>
    <s v="No está en VPC"/>
    <n v="122"/>
    <s v="INTPG_ACC_122_1.93"/>
    <s v="ISEL-1.93"/>
    <n v="0"/>
    <s v="NO TIENE L3OUT"/>
    <n v="148"/>
    <n v="96"/>
  </r>
  <r>
    <n v="157"/>
    <x v="0"/>
    <x v="238"/>
    <s v="eth1/93"/>
    <x v="0"/>
    <x v="0"/>
    <x v="0"/>
    <s v="COBROS NAVEGACION"/>
    <x v="6"/>
    <b v="0"/>
    <s v="No está en VPC"/>
    <n v="157"/>
    <s v="INTPG_ACC_157_1.93"/>
    <s v="ISEL-1.93"/>
    <n v="1"/>
    <s v="NO TIENE L3OUT"/>
    <n v="202"/>
    <n v="96"/>
  </r>
  <r>
    <n v="408"/>
    <x v="1"/>
    <x v="239"/>
    <s v="eth1/93"/>
    <x v="1"/>
    <x v="1"/>
    <x v="2"/>
    <m/>
    <x v="6"/>
    <b v="0"/>
    <s v="No está en VPC"/>
    <n v="408"/>
    <s v="NO EXISTE PG"/>
    <s v="NO EXISTE ISEL"/>
    <n v="0"/>
    <s v="NO TIENE L3OUT"/>
    <n v="152"/>
    <n v="96"/>
  </r>
  <r>
    <n v="405"/>
    <x v="1"/>
    <x v="240"/>
    <s v="eth1/93"/>
    <x v="0"/>
    <x v="0"/>
    <x v="0"/>
    <s v="To CIMC APIC 7"/>
    <x v="6"/>
    <b v="0"/>
    <s v="No está en VPC"/>
    <n v="405"/>
    <s v="INTPG_ACC_405_1.93"/>
    <s v="ISEL-1.93"/>
    <n v="1"/>
    <s v="NO TIENE L3OUT"/>
    <n v="138"/>
    <n v="96"/>
  </r>
  <r>
    <n v="169"/>
    <x v="0"/>
    <x v="241"/>
    <s v="eth1/93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93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93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93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93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93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93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93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93"/>
    <x v="1"/>
    <x v="1"/>
    <x v="2"/>
    <m/>
    <x v="6"/>
    <b v="0"/>
    <s v="No está en VPC"/>
    <n v="406"/>
    <s v="NO EXISTE PG"/>
    <s v="NO EXISTE ISEL"/>
    <n v="0"/>
    <s v="NO TIENE L3OUT"/>
    <n v="82"/>
    <n v="96"/>
  </r>
  <r>
    <n v="414"/>
    <x v="1"/>
    <x v="250"/>
    <s v="eth1/93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93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93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93"/>
    <x v="1"/>
    <x v="1"/>
    <x v="2"/>
    <m/>
    <x v="6"/>
    <b v="0"/>
    <s v="No está en VPC"/>
    <n v="413"/>
    <s v="NO EXISTE PG"/>
    <s v="NO EXISTE ISEL"/>
    <n v="0"/>
    <s v="NO TIENE L3OUT"/>
    <n v="126"/>
    <n v="96"/>
  </r>
  <r>
    <n v="403"/>
    <x v="1"/>
    <x v="254"/>
    <s v="eth1/93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93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93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93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93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93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93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93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93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93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93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93"/>
    <x v="0"/>
    <x v="0"/>
    <x v="0"/>
    <s v="UXINGE"/>
    <x v="6"/>
    <b v="0"/>
    <s v="No está en VPC"/>
    <n v="155"/>
    <s v="INTPG_ACC_155_1.93"/>
    <s v="ISEL-1.93"/>
    <n v="1"/>
    <s v="NO TIENE L3OUT"/>
    <n v="198"/>
    <n v="96"/>
  </r>
  <r>
    <n v="409"/>
    <x v="1"/>
    <x v="266"/>
    <s v="eth1/93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93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93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93"/>
    <x v="1"/>
    <x v="1"/>
    <x v="2"/>
    <m/>
    <x v="6"/>
    <b v="0"/>
    <s v="No está en VPC"/>
    <n v="410"/>
    <s v="NO EXISTE PG"/>
    <s v="NO EXISTE ISEL"/>
    <n v="0"/>
    <s v="NO TIENE L3OUT"/>
    <n v="178"/>
    <n v="96"/>
  </r>
  <r>
    <n v="161"/>
    <x v="0"/>
    <x v="270"/>
    <s v="eth1/93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93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93"/>
    <x v="1"/>
    <x v="1"/>
    <x v="2"/>
    <s v="DESC"/>
    <x v="6"/>
    <b v="0"/>
    <s v="No está en VPC"/>
    <n v="116"/>
    <s v="INTPG_PC_116_1.87-94"/>
    <s v="ISEL-1.93"/>
    <n v="0"/>
    <s v="NO TIENE L3OUT"/>
    <n v="148"/>
    <n v="96"/>
  </r>
  <r>
    <n v="412"/>
    <x v="1"/>
    <x v="273"/>
    <s v="eth1/93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93"/>
    <x v="0"/>
    <x v="0"/>
    <x v="0"/>
    <s v="MASTER SERVER"/>
    <x v="6"/>
    <b v="0"/>
    <s v="No está en VPC"/>
    <n v="120"/>
    <s v="INTPG_ACC_120_1.93"/>
    <s v="ISEL-1.93"/>
    <n v="1"/>
    <s v="NO TIENE L3OUT"/>
    <n v="158"/>
    <n v="96"/>
  </r>
  <r>
    <n v="404"/>
    <x v="1"/>
    <x v="275"/>
    <s v="eth1/93"/>
    <x v="1"/>
    <x v="1"/>
    <x v="2"/>
    <m/>
    <x v="6"/>
    <b v="0"/>
    <s v="No está en VPC"/>
    <n v="404"/>
    <s v="NO EXISTE PG"/>
    <s v="NO EXISTE ISEL"/>
    <n v="0"/>
    <s v="NO TIENE L3OUT"/>
    <n v="92"/>
    <n v="96"/>
  </r>
  <r>
    <n v="167"/>
    <x v="0"/>
    <x v="276"/>
    <s v="eth1/93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93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105"/>
    <x v="0"/>
    <x v="205"/>
    <s v="eth1/94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94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94"/>
    <x v="0"/>
    <x v="1"/>
    <x v="1"/>
    <m/>
    <x v="6"/>
    <b v="0"/>
    <s v="No está en VPC"/>
    <n v="104"/>
    <s v="NO EXISTE PG"/>
    <s v="NO EXISTE ISEL"/>
    <n v="0"/>
    <s v="NO TIENE L3OUT"/>
    <n v="194"/>
    <n v="96"/>
  </r>
  <r>
    <n v="158"/>
    <x v="0"/>
    <x v="208"/>
    <s v="eth1/94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94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94"/>
    <x v="0"/>
    <x v="1"/>
    <x v="1"/>
    <s v="SAPCC"/>
    <x v="6"/>
    <b v="0"/>
    <s v="No está en VPC"/>
    <n v="112"/>
    <s v="INTPG_ACC_112_1.94"/>
    <s v="ISEL-1.94"/>
    <n v="1"/>
    <s v="NO TIENE L3OUT"/>
    <n v="144"/>
    <n v="96"/>
  </r>
  <r>
    <n v="107"/>
    <x v="0"/>
    <x v="213"/>
    <s v="eth1/94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94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94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94"/>
    <x v="0"/>
    <x v="1"/>
    <x v="1"/>
    <s v="SAPCC"/>
    <x v="6"/>
    <b v="0"/>
    <s v="No está en VPC"/>
    <n v="114"/>
    <s v="INTPG_ACC_114_1.94"/>
    <s v="ISEL-1.94"/>
    <n v="1"/>
    <s v="NO TIENE L3OUT"/>
    <n v="144"/>
    <n v="96"/>
  </r>
  <r>
    <n v="124"/>
    <x v="0"/>
    <x v="217"/>
    <s v="eth1/94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94"/>
    <x v="0"/>
    <x v="0"/>
    <x v="0"/>
    <s v="DESC"/>
    <x v="6"/>
    <b v="0"/>
    <s v="No está en VPC"/>
    <n v="118"/>
    <s v="INTPG_PC_118_1.93-94"/>
    <s v="ISEL-1.94"/>
    <n v="3"/>
    <s v="NO TIENE L3OUT"/>
    <n v="180"/>
    <n v="96"/>
  </r>
  <r>
    <n v="159"/>
    <x v="0"/>
    <x v="219"/>
    <s v="eth1/94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94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94"/>
    <x v="0"/>
    <x v="0"/>
    <x v="0"/>
    <s v="VM5"/>
    <x v="6"/>
    <b v="0"/>
    <s v="No está en VPC"/>
    <n v="163"/>
    <s v="INTPG_ACC_163_1.94"/>
    <s v="ISEL-1.94"/>
    <n v="1"/>
    <s v="NO TIENE L3OUT"/>
    <n v="140"/>
    <n v="96"/>
  </r>
  <r>
    <n v="407"/>
    <x v="1"/>
    <x v="224"/>
    <s v="eth1/94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94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94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94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94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94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94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94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94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94"/>
    <x v="0"/>
    <x v="1"/>
    <x v="1"/>
    <s v="EHEALTH:ehealthp05:NET0"/>
    <x v="6"/>
    <b v="0"/>
    <s v="No está en VPC"/>
    <n v="102"/>
    <s v="INTPG_ACC_102_1.94"/>
    <s v="ISEL-1.94"/>
    <n v="1"/>
    <s v="NO TIENE L3OUT"/>
    <n v="228"/>
    <n v="96"/>
  </r>
  <r>
    <n v="122"/>
    <x v="0"/>
    <x v="237"/>
    <s v="eth1/94"/>
    <x v="0"/>
    <x v="0"/>
    <x v="0"/>
    <s v="MASTER SERVER"/>
    <x v="6"/>
    <b v="0"/>
    <s v="No está en VPC"/>
    <n v="122"/>
    <s v="INTPG_ACC_122_1.94"/>
    <s v="ISEL-1.94"/>
    <n v="1"/>
    <s v="NO TIENE L3OUT"/>
    <n v="148"/>
    <n v="96"/>
  </r>
  <r>
    <n v="157"/>
    <x v="0"/>
    <x v="238"/>
    <s v="eth1/94"/>
    <x v="0"/>
    <x v="0"/>
    <x v="0"/>
    <s v="COBROS NAVEGACION"/>
    <x v="6"/>
    <b v="0"/>
    <s v="No está en VPC"/>
    <n v="157"/>
    <s v="INTPG_ACC_157_1.94"/>
    <s v="ISEL-1.94"/>
    <n v="1"/>
    <s v="NO TIENE L3OUT"/>
    <n v="202"/>
    <n v="96"/>
  </r>
  <r>
    <n v="408"/>
    <x v="1"/>
    <x v="239"/>
    <s v="eth1/94"/>
    <x v="1"/>
    <x v="1"/>
    <x v="2"/>
    <m/>
    <x v="6"/>
    <b v="0"/>
    <s v="No está en VPC"/>
    <n v="408"/>
    <s v="NO EXISTE PG"/>
    <s v="NO EXISTE ISEL"/>
    <n v="0"/>
    <s v="NO TIENE L3OUT"/>
    <n v="152"/>
    <n v="96"/>
  </r>
  <r>
    <n v="405"/>
    <x v="1"/>
    <x v="240"/>
    <s v="eth1/94"/>
    <x v="1"/>
    <x v="1"/>
    <x v="2"/>
    <s v="RSPAN_ARIESO"/>
    <x v="6"/>
    <b v="0"/>
    <s v="No está en VPC"/>
    <n v="405"/>
    <s v="INTPG_ACC_405_1.94"/>
    <s v="ISEL-1.94"/>
    <n v="1"/>
    <s v="NO TIENE L3OUT"/>
    <n v="138"/>
    <n v="96"/>
  </r>
  <r>
    <n v="169"/>
    <x v="0"/>
    <x v="241"/>
    <s v="eth1/94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94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94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94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94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94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94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94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94"/>
    <x v="1"/>
    <x v="1"/>
    <x v="2"/>
    <m/>
    <x v="6"/>
    <b v="0"/>
    <s v="No está en VPC"/>
    <n v="406"/>
    <s v="NO EXISTE PG"/>
    <s v="NO EXISTE ISEL"/>
    <n v="0"/>
    <s v="NO TIENE L3OUT"/>
    <n v="82"/>
    <n v="96"/>
  </r>
  <r>
    <n v="414"/>
    <x v="1"/>
    <x v="250"/>
    <s v="eth1/94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94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94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94"/>
    <x v="1"/>
    <x v="1"/>
    <x v="2"/>
    <m/>
    <x v="6"/>
    <b v="0"/>
    <s v="No está en VPC"/>
    <n v="413"/>
    <s v="NO EXISTE PG"/>
    <s v="NO EXISTE ISEL"/>
    <n v="0"/>
    <s v="NO TIENE L3OUT"/>
    <n v="126"/>
    <n v="96"/>
  </r>
  <r>
    <n v="403"/>
    <x v="1"/>
    <x v="254"/>
    <s v="eth1/94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94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94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94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94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94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94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94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94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94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94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94"/>
    <x v="0"/>
    <x v="0"/>
    <x v="0"/>
    <s v="UXINGE"/>
    <x v="6"/>
    <b v="0"/>
    <s v="No está en VPC"/>
    <n v="155"/>
    <s v="INTPG_ACC_155_1.94"/>
    <s v="ISEL-1.94"/>
    <n v="1"/>
    <s v="NO TIENE L3OUT"/>
    <n v="198"/>
    <n v="96"/>
  </r>
  <r>
    <n v="409"/>
    <x v="1"/>
    <x v="266"/>
    <s v="eth1/94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94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94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94"/>
    <x v="1"/>
    <x v="1"/>
    <x v="2"/>
    <m/>
    <x v="6"/>
    <b v="0"/>
    <s v="No está en VPC"/>
    <n v="410"/>
    <s v="NO EXISTE PG"/>
    <s v="NO EXISTE ISEL"/>
    <n v="0"/>
    <s v="NO TIENE L3OUT"/>
    <n v="178"/>
    <n v="96"/>
  </r>
  <r>
    <n v="161"/>
    <x v="0"/>
    <x v="270"/>
    <s v="eth1/94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94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94"/>
    <x v="1"/>
    <x v="1"/>
    <x v="2"/>
    <s v="DESC"/>
    <x v="6"/>
    <b v="0"/>
    <s v="No está en VPC"/>
    <n v="116"/>
    <s v="INTPG_PC_116_1.87-94"/>
    <s v="ISEL-1.94"/>
    <n v="0"/>
    <s v="NO TIENE L3OUT"/>
    <n v="148"/>
    <n v="96"/>
  </r>
  <r>
    <n v="412"/>
    <x v="1"/>
    <x v="273"/>
    <s v="eth1/94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94"/>
    <x v="0"/>
    <x v="0"/>
    <x v="0"/>
    <s v="MASTER SERVER"/>
    <x v="6"/>
    <b v="0"/>
    <s v="No está en VPC"/>
    <n v="120"/>
    <s v="INTPG_ACC_120_1.94"/>
    <s v="ISEL-1.94"/>
    <n v="1"/>
    <s v="NO TIENE L3OUT"/>
    <n v="158"/>
    <n v="96"/>
  </r>
  <r>
    <n v="404"/>
    <x v="1"/>
    <x v="275"/>
    <s v="eth1/94"/>
    <x v="1"/>
    <x v="1"/>
    <x v="2"/>
    <m/>
    <x v="6"/>
    <b v="0"/>
    <s v="No está en VPC"/>
    <n v="404"/>
    <s v="NO EXISTE PG"/>
    <s v="NO EXISTE ISEL"/>
    <n v="0"/>
    <s v="NO TIENE L3OUT"/>
    <n v="92"/>
    <n v="96"/>
  </r>
  <r>
    <n v="167"/>
    <x v="0"/>
    <x v="276"/>
    <s v="eth1/94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94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105"/>
    <x v="0"/>
    <x v="205"/>
    <s v="eth1/95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95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95"/>
    <x v="0"/>
    <x v="1"/>
    <x v="1"/>
    <m/>
    <x v="6"/>
    <b v="0"/>
    <s v="No está en VPC"/>
    <n v="104"/>
    <s v="NO EXISTE PG"/>
    <s v="NO EXISTE ISEL"/>
    <n v="0"/>
    <s v="NO TIENE L3OUT"/>
    <n v="194"/>
    <n v="96"/>
  </r>
  <r>
    <n v="158"/>
    <x v="0"/>
    <x v="208"/>
    <s v="eth1/95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95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95"/>
    <x v="0"/>
    <x v="1"/>
    <x v="1"/>
    <s v="SAPCC"/>
    <x v="6"/>
    <b v="0"/>
    <s v="No está en VPC"/>
    <n v="112"/>
    <s v="INTPG_ACC_112_1.95"/>
    <s v="ISEL-1.95"/>
    <n v="1"/>
    <s v="NO TIENE L3OUT"/>
    <n v="144"/>
    <n v="96"/>
  </r>
  <r>
    <n v="107"/>
    <x v="0"/>
    <x v="213"/>
    <s v="eth1/95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95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95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95"/>
    <x v="1"/>
    <x v="1"/>
    <x v="2"/>
    <m/>
    <x v="6"/>
    <b v="0"/>
    <s v="No está en VPC"/>
    <n v="114"/>
    <s v="INTPG_VPC_112_1.77_114_1.95"/>
    <s v="ISEL-1.95"/>
    <n v="1"/>
    <s v="NO TIENE L3OUT"/>
    <n v="144"/>
    <n v="96"/>
  </r>
  <r>
    <n v="124"/>
    <x v="0"/>
    <x v="217"/>
    <s v="eth1/95"/>
    <x v="0"/>
    <x v="1"/>
    <x v="1"/>
    <s v="IXTCDRLON"/>
    <x v="6"/>
    <b v="0"/>
    <s v="No está en VPC"/>
    <n v="124"/>
    <s v="INTPG_ACC_124_1.95"/>
    <s v="ISEL-1.95"/>
    <n v="1"/>
    <s v="NO TIENE L3OUT"/>
    <n v="80"/>
    <n v="96"/>
  </r>
  <r>
    <n v="118"/>
    <x v="0"/>
    <x v="218"/>
    <s v="eth1/95"/>
    <x v="0"/>
    <x v="1"/>
    <x v="1"/>
    <m/>
    <x v="6"/>
    <b v="0"/>
    <s v="No está en VPC"/>
    <n v="118"/>
    <s v="NO EXISTE PG"/>
    <s v="NO EXISTE ISEL"/>
    <n v="0"/>
    <s v="NO TIENE L3OUT"/>
    <n v="180"/>
    <n v="96"/>
  </r>
  <r>
    <n v="159"/>
    <x v="0"/>
    <x v="219"/>
    <s v="eth1/95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95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95"/>
    <x v="0"/>
    <x v="1"/>
    <x v="1"/>
    <s v="SERTEC_SGH250HXW2_CLIENT1"/>
    <x v="6"/>
    <b v="0"/>
    <s v="No está en VPC"/>
    <n v="163"/>
    <s v="INTPG_VPC_161_1.68_163_1.95"/>
    <s v="ISEL-1.95"/>
    <n v="1"/>
    <s v="NO TIENE L3OUT"/>
    <n v="140"/>
    <n v="96"/>
  </r>
  <r>
    <n v="407"/>
    <x v="1"/>
    <x v="224"/>
    <s v="eth1/95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95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95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95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95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95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95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95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95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95"/>
    <x v="0"/>
    <x v="1"/>
    <x v="1"/>
    <s v="EHEALTH:ehealthp06:NET0"/>
    <x v="6"/>
    <b v="0"/>
    <s v="No está en VPC"/>
    <n v="102"/>
    <s v="INTPG_ACC_102_1.95"/>
    <s v="ISEL-1.95"/>
    <n v="1"/>
    <s v="NO TIENE L3OUT"/>
    <n v="228"/>
    <n v="96"/>
  </r>
  <r>
    <n v="122"/>
    <x v="0"/>
    <x v="237"/>
    <s v="eth1/95"/>
    <x v="0"/>
    <x v="0"/>
    <x v="0"/>
    <s v="MASTER SERVER"/>
    <x v="6"/>
    <b v="0"/>
    <s v="No está en VPC"/>
    <n v="122"/>
    <s v="INTPG_ACC_122_1.95"/>
    <s v="ISEL-1.95"/>
    <n v="1"/>
    <s v="NO TIENE L3OUT"/>
    <n v="148"/>
    <n v="96"/>
  </r>
  <r>
    <n v="157"/>
    <x v="0"/>
    <x v="238"/>
    <s v="eth1/95"/>
    <x v="0"/>
    <x v="0"/>
    <x v="0"/>
    <s v="COBROS NAVEGACION"/>
    <x v="6"/>
    <b v="0"/>
    <s v="No está en VPC"/>
    <n v="157"/>
    <s v="INTPG_ACC_157_1.95"/>
    <s v="ISEL-1.95"/>
    <n v="1"/>
    <s v="NO TIENE L3OUT"/>
    <n v="202"/>
    <n v="96"/>
  </r>
  <r>
    <n v="408"/>
    <x v="1"/>
    <x v="239"/>
    <s v="eth1/95"/>
    <x v="1"/>
    <x v="1"/>
    <x v="2"/>
    <m/>
    <x v="6"/>
    <b v="0"/>
    <s v="No está en VPC"/>
    <n v="408"/>
    <s v="NO EXISTE PG"/>
    <s v="NO EXISTE ISEL"/>
    <n v="0"/>
    <s v="NO TIENE L3OUT"/>
    <n v="152"/>
    <n v="96"/>
  </r>
  <r>
    <n v="405"/>
    <x v="1"/>
    <x v="240"/>
    <s v="eth1/95"/>
    <x v="0"/>
    <x v="0"/>
    <x v="0"/>
    <s v="VMWARE_DEMO_TO_APIC"/>
    <x v="6"/>
    <b v="0"/>
    <s v="No está en VPC"/>
    <n v="405"/>
    <s v="INTPG_ACC_405_1.95"/>
    <s v="ISEL-1.95"/>
    <n v="1"/>
    <s v="NO TIENE L3OUT"/>
    <n v="138"/>
    <n v="96"/>
  </r>
  <r>
    <n v="169"/>
    <x v="0"/>
    <x v="241"/>
    <s v="eth1/95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95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95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95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95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95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95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95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95"/>
    <x v="1"/>
    <x v="1"/>
    <x v="2"/>
    <m/>
    <x v="6"/>
    <b v="0"/>
    <s v="No está en VPC"/>
    <n v="406"/>
    <s v="NO EXISTE PG"/>
    <s v="NO EXISTE ISEL"/>
    <n v="0"/>
    <s v="NO TIENE L3OUT"/>
    <n v="82"/>
    <n v="96"/>
  </r>
  <r>
    <n v="414"/>
    <x v="1"/>
    <x v="250"/>
    <s v="eth1/95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95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95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95"/>
    <x v="1"/>
    <x v="1"/>
    <x v="2"/>
    <m/>
    <x v="6"/>
    <b v="0"/>
    <s v="No está en VPC"/>
    <n v="413"/>
    <s v="NO EXISTE PG"/>
    <s v="NO EXISTE ISEL"/>
    <n v="0"/>
    <s v="NO TIENE L3OUT"/>
    <n v="126"/>
    <n v="96"/>
  </r>
  <r>
    <n v="403"/>
    <x v="1"/>
    <x v="254"/>
    <s v="eth1/95"/>
    <x v="0"/>
    <x v="1"/>
    <x v="1"/>
    <m/>
    <x v="6"/>
    <b v="0"/>
    <s v="No está en VPC"/>
    <n v="403"/>
    <s v="ACC-LAP_TEST"/>
    <s v="ISEL-1.95"/>
    <n v="0"/>
    <s v="NO TIENE L3OUT"/>
    <n v="150"/>
    <n v="96"/>
  </r>
  <r>
    <n v="125"/>
    <x v="0"/>
    <x v="255"/>
    <s v="eth1/95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95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95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95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95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95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95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95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95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95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95"/>
    <x v="0"/>
    <x v="0"/>
    <x v="0"/>
    <s v="Respaldos"/>
    <x v="6"/>
    <b v="0"/>
    <s v="No está en VPC"/>
    <n v="155"/>
    <s v="INTPG_ACC_155_1.95"/>
    <s v="ISEL-1.95"/>
    <n v="1"/>
    <s v="NO TIENE L3OUT"/>
    <n v="198"/>
    <n v="96"/>
  </r>
  <r>
    <n v="409"/>
    <x v="1"/>
    <x v="266"/>
    <s v="eth1/95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95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95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95"/>
    <x v="1"/>
    <x v="1"/>
    <x v="2"/>
    <m/>
    <x v="6"/>
    <b v="0"/>
    <s v="No está en VPC"/>
    <n v="410"/>
    <s v="NO EXISTE PG"/>
    <s v="NO EXISTE ISEL"/>
    <n v="0"/>
    <s v="NO TIENE L3OUT"/>
    <n v="178"/>
    <n v="96"/>
  </r>
  <r>
    <n v="161"/>
    <x v="0"/>
    <x v="270"/>
    <s v="eth1/95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95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95"/>
    <x v="1"/>
    <x v="1"/>
    <x v="2"/>
    <s v="RLBAC"/>
    <x v="6"/>
    <b v="0"/>
    <s v="No está en VPC"/>
    <n v="116"/>
    <s v="INTPG_ACC_116_1.95"/>
    <s v="ISEL-1.95"/>
    <n v="0"/>
    <s v="NO TIENE L3OUT"/>
    <n v="148"/>
    <n v="96"/>
  </r>
  <r>
    <n v="412"/>
    <x v="1"/>
    <x v="273"/>
    <s v="eth1/95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95"/>
    <x v="0"/>
    <x v="0"/>
    <x v="0"/>
    <s v="MASTER SERVER"/>
    <x v="6"/>
    <b v="0"/>
    <s v="No está en VPC"/>
    <n v="120"/>
    <s v="INTPG_ACC_120_1.95"/>
    <s v="ISEL-1.95"/>
    <n v="1"/>
    <s v="NO TIENE L3OUT"/>
    <n v="158"/>
    <n v="96"/>
  </r>
  <r>
    <n v="404"/>
    <x v="1"/>
    <x v="275"/>
    <s v="eth1/95"/>
    <x v="1"/>
    <x v="1"/>
    <x v="2"/>
    <m/>
    <x v="6"/>
    <b v="0"/>
    <s v="No está en VPC"/>
    <n v="404"/>
    <s v="NO EXISTE PG"/>
    <s v="NO EXISTE ISEL"/>
    <n v="0"/>
    <s v="NO TIENE L3OUT"/>
    <n v="92"/>
    <n v="96"/>
  </r>
  <r>
    <n v="167"/>
    <x v="0"/>
    <x v="276"/>
    <s v="eth1/95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95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105"/>
    <x v="0"/>
    <x v="205"/>
    <s v="eth1/96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96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96"/>
    <x v="0"/>
    <x v="1"/>
    <x v="1"/>
    <m/>
    <x v="6"/>
    <b v="0"/>
    <s v="No está en VPC"/>
    <n v="104"/>
    <s v="NO EXISTE PG"/>
    <s v="NO EXISTE ISEL"/>
    <n v="0"/>
    <s v="NO TIENE L3OUT"/>
    <n v="194"/>
    <n v="96"/>
  </r>
  <r>
    <n v="158"/>
    <x v="0"/>
    <x v="208"/>
    <s v="eth1/96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96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96"/>
    <x v="0"/>
    <x v="1"/>
    <x v="1"/>
    <s v="SAPCC"/>
    <x v="6"/>
    <b v="0"/>
    <s v="No está en VPC"/>
    <n v="112"/>
    <s v="INTPG_ACC_112_1.96"/>
    <s v="ISEL-1.96"/>
    <n v="1"/>
    <s v="NO TIENE L3OUT"/>
    <n v="144"/>
    <n v="96"/>
  </r>
  <r>
    <n v="107"/>
    <x v="0"/>
    <x v="213"/>
    <s v="eth1/96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96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96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96"/>
    <x v="1"/>
    <x v="1"/>
    <x v="2"/>
    <m/>
    <x v="6"/>
    <b v="0"/>
    <s v="No está en VPC"/>
    <n v="114"/>
    <s v="INTPG_VPC_112_1.78_114_1.96"/>
    <s v="ISEL-1.96"/>
    <n v="1"/>
    <s v="NO TIENE L3OUT"/>
    <n v="144"/>
    <n v="96"/>
  </r>
  <r>
    <n v="124"/>
    <x v="0"/>
    <x v="217"/>
    <s v="eth1/96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96"/>
    <x v="0"/>
    <x v="1"/>
    <x v="1"/>
    <m/>
    <x v="6"/>
    <b v="0"/>
    <s v="No está en VPC"/>
    <n v="118"/>
    <s v="NO EXISTE PG"/>
    <s v="NO EXISTE ISEL"/>
    <n v="0"/>
    <s v="NO TIENE L3OUT"/>
    <n v="180"/>
    <n v="96"/>
  </r>
  <r>
    <n v="159"/>
    <x v="0"/>
    <x v="219"/>
    <s v="eth1/96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96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96"/>
    <x v="0"/>
    <x v="1"/>
    <x v="5"/>
    <s v="SERTEC_SGH250HXW3_CLIENT1"/>
    <x v="6"/>
    <b v="0"/>
    <s v="No está en VPC"/>
    <n v="163"/>
    <s v="INTPG_VPC_161_1.69_163_1.96"/>
    <s v="ISEL-1.96"/>
    <n v="1"/>
    <s v="NO TIENE L3OUT"/>
    <n v="140"/>
    <n v="96"/>
  </r>
  <r>
    <n v="407"/>
    <x v="1"/>
    <x v="224"/>
    <s v="eth1/96"/>
    <x v="0"/>
    <x v="0"/>
    <x v="0"/>
    <s v="TO-00S2.105.18.RPDUA_RPDU"/>
    <x v="6"/>
    <b v="0"/>
    <s v="No está en VPC"/>
    <n v="407"/>
    <s v="INTPG_ACC_407_1.96"/>
    <s v="ISEL-1.96"/>
    <n v="1"/>
    <s v="NO TIENE L3OUT"/>
    <n v="122"/>
    <n v="96"/>
  </r>
  <r>
    <n v="171"/>
    <x v="0"/>
    <x v="225"/>
    <s v="eth1/96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96"/>
    <x v="0"/>
    <x v="0"/>
    <x v="0"/>
    <s v="TO-00S2.111.18.RPDUB_RPDU"/>
    <x v="6"/>
    <b v="0"/>
    <s v="No está en VPC"/>
    <n v="421"/>
    <s v="INTPG_ACC_421_1.96"/>
    <s v="ISEL-1.96"/>
    <n v="1"/>
    <s v="NO TIENE L3OUT"/>
    <n v="72"/>
    <n v="96"/>
  </r>
  <r>
    <n v="173"/>
    <x v="0"/>
    <x v="227"/>
    <s v="eth1/96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96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96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96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96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96"/>
    <x v="0"/>
    <x v="1"/>
    <x v="1"/>
    <s v="VSP_G1K"/>
    <x v="6"/>
    <b v="0"/>
    <s v="No está en VPC"/>
    <n v="415"/>
    <s v="INTPG_ACC_415_1.96"/>
    <s v="ISEL-1.96"/>
    <n v="1"/>
    <s v="NO TIENE L3OUT"/>
    <n v="52"/>
    <n v="96"/>
  </r>
  <r>
    <n v="102"/>
    <x v="0"/>
    <x v="233"/>
    <s v="eth1/96"/>
    <x v="0"/>
    <x v="1"/>
    <x v="1"/>
    <m/>
    <x v="6"/>
    <b v="0"/>
    <s v="No está en VPC"/>
    <n v="102"/>
    <s v="NO EXISTE PG"/>
    <s v="NO EXISTE ISEL"/>
    <n v="0"/>
    <s v="NO TIENE L3OUT"/>
    <n v="228"/>
    <n v="96"/>
  </r>
  <r>
    <n v="122"/>
    <x v="0"/>
    <x v="237"/>
    <s v="eth1/96"/>
    <x v="1"/>
    <x v="1"/>
    <x v="2"/>
    <s v="MASTER SERVER"/>
    <x v="6"/>
    <b v="0"/>
    <s v="No está en VPC"/>
    <n v="122"/>
    <s v="INTPG_ACC_122_1.96"/>
    <s v="ISEL-1.96"/>
    <n v="0"/>
    <s v="NO TIENE L3OUT"/>
    <n v="148"/>
    <n v="96"/>
  </r>
  <r>
    <n v="157"/>
    <x v="0"/>
    <x v="238"/>
    <s v="eth1/96"/>
    <x v="0"/>
    <x v="0"/>
    <x v="0"/>
    <s v="ARIESO_GEOLOCALIZACION"/>
    <x v="6"/>
    <b v="0"/>
    <s v="No está en VPC"/>
    <n v="157"/>
    <s v="INTPG_ACC_157_1.96"/>
    <s v="ISEL-1.96"/>
    <n v="1"/>
    <s v="NO TIENE L3OUT"/>
    <n v="202"/>
    <n v="96"/>
  </r>
  <r>
    <n v="408"/>
    <x v="1"/>
    <x v="239"/>
    <s v="eth1/96"/>
    <x v="0"/>
    <x v="1"/>
    <x v="1"/>
    <m/>
    <x v="6"/>
    <b v="0"/>
    <s v="No está en VPC"/>
    <n v="408"/>
    <s v="NO EXISTE PG"/>
    <s v="NO EXISTE ISEL"/>
    <n v="0"/>
    <s v="NO TIENE L3OUT"/>
    <n v="152"/>
    <n v="96"/>
  </r>
  <r>
    <n v="405"/>
    <x v="1"/>
    <x v="240"/>
    <s v="eth1/96"/>
    <x v="0"/>
    <x v="0"/>
    <x v="0"/>
    <s v="TO-00S2.102.18.RPDUB_RPDU"/>
    <x v="6"/>
    <b v="0"/>
    <s v="No está en VPC"/>
    <n v="405"/>
    <s v="INTPG_ACC_405_1.96"/>
    <s v="ISEL-1.96"/>
    <n v="1"/>
    <s v="NO TIENE L3OUT"/>
    <n v="138"/>
    <n v="96"/>
  </r>
  <r>
    <n v="169"/>
    <x v="0"/>
    <x v="241"/>
    <s v="eth1/96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96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96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96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96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96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96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96"/>
    <x v="0"/>
    <x v="0"/>
    <x v="0"/>
    <s v="TO-00S2.211.17.RPDUB_RPDU"/>
    <x v="6"/>
    <b v="0"/>
    <s v="No está en VPC"/>
    <n v="438"/>
    <s v="INTPG_ACC_438_1.96"/>
    <s v="ISEL-1.96"/>
    <n v="1"/>
    <s v="NO TIENE L3OUT"/>
    <n v="170"/>
    <n v="96"/>
  </r>
  <r>
    <n v="406"/>
    <x v="1"/>
    <x v="249"/>
    <s v="eth1/96"/>
    <x v="0"/>
    <x v="0"/>
    <x v="0"/>
    <s v="TO-00S2.202.17.RPDUB_RPDU"/>
    <x v="6"/>
    <b v="0"/>
    <s v="No está en VPC"/>
    <n v="406"/>
    <s v="INTPG_ACC_406_1.96"/>
    <s v="ISEL-1.96"/>
    <n v="1"/>
    <s v="NO TIENE L3OUT"/>
    <n v="82"/>
    <n v="96"/>
  </r>
  <r>
    <n v="414"/>
    <x v="1"/>
    <x v="250"/>
    <s v="eth1/96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96"/>
    <x v="0"/>
    <x v="0"/>
    <x v="0"/>
    <s v="TO-00S2.205.17.RPDUA_RPDU"/>
    <x v="6"/>
    <b v="0"/>
    <s v="No está en VPC"/>
    <n v="416"/>
    <s v="INTPG_ACC_416_1.96"/>
    <s v="ISEL-1.96"/>
    <n v="1"/>
    <s v="NO TIENE L3OUT"/>
    <n v="110"/>
    <n v="96"/>
  </r>
  <r>
    <n v="418"/>
    <x v="1"/>
    <x v="252"/>
    <s v="eth1/96"/>
    <x v="0"/>
    <x v="0"/>
    <x v="0"/>
    <s v="TO-00S2.205.17.RPDUB_RPDU"/>
    <x v="6"/>
    <b v="0"/>
    <s v="No está en VPC"/>
    <n v="418"/>
    <s v="INTPG_ACC_418_1.96"/>
    <s v="ISEL-1.96"/>
    <n v="1"/>
    <s v="NO TIENE L3OUT"/>
    <n v="152"/>
    <n v="96"/>
  </r>
  <r>
    <n v="413"/>
    <x v="1"/>
    <x v="253"/>
    <s v="eth1/96"/>
    <x v="0"/>
    <x v="0"/>
    <x v="0"/>
    <s v="TO-00S2.108.18.RPDUB_RPDU"/>
    <x v="6"/>
    <b v="0"/>
    <s v="No está en VPC"/>
    <n v="413"/>
    <s v="INTPG_ACC_413_1.96"/>
    <s v="ISEL-1.96"/>
    <n v="1"/>
    <s v="NO TIENE L3OUT"/>
    <n v="126"/>
    <n v="96"/>
  </r>
  <r>
    <n v="403"/>
    <x v="1"/>
    <x v="254"/>
    <s v="eth1/96"/>
    <x v="0"/>
    <x v="0"/>
    <x v="0"/>
    <s v="TO-00S2.102.18.RPDUA_RPDU"/>
    <x v="6"/>
    <b v="0"/>
    <s v="No está en VPC"/>
    <n v="403"/>
    <s v="INTPG_ACC_403_1.96"/>
    <s v="ISEL-1.96"/>
    <n v="1"/>
    <s v="NO TIENE L3OUT"/>
    <n v="150"/>
    <n v="96"/>
  </r>
  <r>
    <n v="125"/>
    <x v="0"/>
    <x v="255"/>
    <s v="eth1/96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96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96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96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96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96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96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96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96"/>
    <x v="0"/>
    <x v="0"/>
    <x v="0"/>
    <s v="TO-00S2.208.17.RPDUB_RPDU"/>
    <x v="6"/>
    <b v="0"/>
    <s v="No está en VPC"/>
    <n v="430"/>
    <s v="INTPG_ACC_430_1.96"/>
    <s v="ISEL-1.96"/>
    <n v="1"/>
    <s v="NO TIENE L3OUT"/>
    <n v="86"/>
    <n v="96"/>
  </r>
  <r>
    <n v="419"/>
    <x v="1"/>
    <x v="264"/>
    <s v="eth1/96"/>
    <x v="0"/>
    <x v="0"/>
    <x v="0"/>
    <s v="TO-00S2.111.18.RPDUA_RPDU"/>
    <x v="6"/>
    <b v="0"/>
    <s v="No está en VPC"/>
    <n v="419"/>
    <s v="INTPG_ACC_419_1.96"/>
    <s v="ISEL-1.96"/>
    <n v="1"/>
    <s v="NO TIENE L3OUT"/>
    <n v="70"/>
    <n v="96"/>
  </r>
  <r>
    <n v="155"/>
    <x v="0"/>
    <x v="265"/>
    <s v="eth1/96"/>
    <x v="0"/>
    <x v="1"/>
    <x v="1"/>
    <m/>
    <x v="6"/>
    <b v="0"/>
    <s v="No está en VPC"/>
    <n v="155"/>
    <s v="NO EXISTE PG"/>
    <s v="NO EXISTE ISEL"/>
    <n v="0"/>
    <s v="NO TIENE L3OUT"/>
    <n v="198"/>
    <n v="96"/>
  </r>
  <r>
    <n v="409"/>
    <x v="1"/>
    <x v="266"/>
    <s v="eth1/96"/>
    <x v="0"/>
    <x v="0"/>
    <x v="0"/>
    <s v="TO-00S2.105.18.RPDUB_RPDU"/>
    <x v="6"/>
    <b v="0"/>
    <s v="No está en VPC"/>
    <n v="409"/>
    <s v="INTPG_ACC_409_1.96"/>
    <s v="ISEL-1.96"/>
    <n v="1"/>
    <s v="NO TIENE L3OUT"/>
    <n v="128"/>
    <n v="96"/>
  </r>
  <r>
    <n v="422"/>
    <x v="1"/>
    <x v="267"/>
    <s v="eth1/96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96"/>
    <x v="0"/>
    <x v="0"/>
    <x v="0"/>
    <s v="TO-00S2.211.17.RPDUA_RPDU"/>
    <x v="6"/>
    <b v="0"/>
    <s v="No está en VPC"/>
    <n v="436"/>
    <s v="INTPG_ACC_436_1.96"/>
    <s v="ISEL-1.96"/>
    <n v="1"/>
    <s v="NO TIENE L3OUT"/>
    <n v="172"/>
    <n v="96"/>
  </r>
  <r>
    <n v="410"/>
    <x v="1"/>
    <x v="269"/>
    <s v="eth1/96"/>
    <x v="1"/>
    <x v="1"/>
    <x v="2"/>
    <m/>
    <x v="6"/>
    <b v="0"/>
    <s v="No está en VPC"/>
    <n v="410"/>
    <s v="NO EXISTE PG"/>
    <s v="NO EXISTE ISEL"/>
    <n v="0"/>
    <s v="NO TIENE L3OUT"/>
    <n v="178"/>
    <n v="96"/>
  </r>
  <r>
    <n v="161"/>
    <x v="0"/>
    <x v="270"/>
    <s v="eth1/96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96"/>
    <x v="0"/>
    <x v="0"/>
    <x v="0"/>
    <s v="TO-00S2.108.18.RPDUA_RPDU"/>
    <x v="6"/>
    <b v="0"/>
    <s v="No está en VPC"/>
    <n v="411"/>
    <s v="INTPG_ACC_411_1.96"/>
    <s v="ISEL-1.96"/>
    <n v="1"/>
    <s v="NO TIENE L3OUT"/>
    <n v="96"/>
    <n v="96"/>
  </r>
  <r>
    <n v="116"/>
    <x v="0"/>
    <x v="272"/>
    <s v="eth1/96"/>
    <x v="0"/>
    <x v="0"/>
    <x v="0"/>
    <s v="DCX_BKP1_BPK2_S1"/>
    <x v="6"/>
    <b v="0"/>
    <s v="No está en VPC"/>
    <n v="116"/>
    <s v="INTPG_ACC_116_1.96"/>
    <s v="ISEL-1.96"/>
    <n v="1"/>
    <s v="NO TIENE L3OUT"/>
    <n v="148"/>
    <n v="96"/>
  </r>
  <r>
    <n v="412"/>
    <x v="1"/>
    <x v="273"/>
    <s v="eth1/96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96"/>
    <x v="0"/>
    <x v="1"/>
    <x v="1"/>
    <m/>
    <x v="6"/>
    <b v="0"/>
    <s v="No está en VPC"/>
    <n v="120"/>
    <s v="NO EXISTE PG"/>
    <s v="NO EXISTE ISEL"/>
    <n v="0"/>
    <s v="NO TIENE L3OUT"/>
    <n v="158"/>
    <n v="96"/>
  </r>
  <r>
    <n v="404"/>
    <x v="1"/>
    <x v="275"/>
    <s v="eth1/96"/>
    <x v="0"/>
    <x v="0"/>
    <x v="0"/>
    <s v="TO-00S2.202.17.RPDUA_RPDU"/>
    <x v="6"/>
    <b v="0"/>
    <s v="No está en VPC"/>
    <n v="404"/>
    <s v="INTPG_ACC_404_1.96"/>
    <s v="ISEL-1.96"/>
    <n v="1"/>
    <s v="NO TIENE L3OUT"/>
    <n v="92"/>
    <n v="96"/>
  </r>
  <r>
    <n v="167"/>
    <x v="0"/>
    <x v="276"/>
    <s v="eth1/96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96"/>
    <x v="0"/>
    <x v="0"/>
    <x v="0"/>
    <s v="TO-00S2.208.17.RPDUA_RPDU"/>
    <x v="6"/>
    <b v="0"/>
    <s v="No está en VPC"/>
    <n v="428"/>
    <s v="INTPG_ACC_428_1.96"/>
    <s v="ISEL-1.96"/>
    <n v="1"/>
    <s v="NO TIENE L3OUT"/>
    <n v="102"/>
    <n v="96"/>
  </r>
  <r>
    <n v="303"/>
    <x v="0"/>
    <x v="14"/>
    <s v="eth2/1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1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1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1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10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10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10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10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10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10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11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11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11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11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1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1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12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12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12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12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1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1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13"/>
    <x v="1"/>
    <x v="1"/>
    <x v="3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13"/>
    <x v="1"/>
    <x v="1"/>
    <x v="3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13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13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1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1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14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14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14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14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1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1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15"/>
    <x v="1"/>
    <x v="1"/>
    <x v="3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15"/>
    <x v="1"/>
    <x v="1"/>
    <x v="3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15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15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1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1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16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16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16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16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1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1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17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17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17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17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1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1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18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18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18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18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1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1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19"/>
    <x v="1"/>
    <x v="1"/>
    <x v="3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19"/>
    <x v="1"/>
    <x v="1"/>
    <x v="3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19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19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19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19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2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2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2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2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20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20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20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20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20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20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21"/>
    <x v="1"/>
    <x v="1"/>
    <x v="3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21"/>
    <x v="1"/>
    <x v="1"/>
    <x v="3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21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21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2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2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22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22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22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22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22"/>
    <x v="0"/>
    <x v="0"/>
    <x v="0"/>
    <s v="9LF_IXT3_10407_01"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2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23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23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23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23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2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2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24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24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24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24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2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2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25"/>
    <x v="0"/>
    <x v="1"/>
    <x v="3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25"/>
    <x v="0"/>
    <x v="1"/>
    <x v="3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25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25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2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2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26"/>
    <x v="0"/>
    <x v="1"/>
    <x v="3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26"/>
    <x v="0"/>
    <x v="1"/>
    <x v="3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26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26"/>
    <x v="1"/>
    <x v="1"/>
    <x v="2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2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2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27"/>
    <x v="0"/>
    <x v="1"/>
    <x v="3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27"/>
    <x v="0"/>
    <x v="1"/>
    <x v="3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27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27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2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2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28"/>
    <x v="0"/>
    <x v="1"/>
    <x v="3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28"/>
    <x v="0"/>
    <x v="1"/>
    <x v="3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28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28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2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2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29"/>
    <x v="0"/>
    <x v="1"/>
    <x v="3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29"/>
    <x v="0"/>
    <x v="1"/>
    <x v="3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29"/>
    <x v="0"/>
    <x v="1"/>
    <x v="3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29"/>
    <x v="0"/>
    <x v="1"/>
    <x v="3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29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29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3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3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3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3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30"/>
    <x v="0"/>
    <x v="1"/>
    <x v="3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30"/>
    <x v="0"/>
    <x v="1"/>
    <x v="3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30"/>
    <x v="0"/>
    <x v="1"/>
    <x v="3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30"/>
    <x v="0"/>
    <x v="1"/>
    <x v="3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30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30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31"/>
    <x v="0"/>
    <x v="1"/>
    <x v="3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31"/>
    <x v="0"/>
    <x v="1"/>
    <x v="3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31"/>
    <x v="0"/>
    <x v="1"/>
    <x v="3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31"/>
    <x v="0"/>
    <x v="1"/>
    <x v="3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3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3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32"/>
    <x v="0"/>
    <x v="0"/>
    <x v="0"/>
    <s v="LINK_HACIA_RMAC"/>
    <x v="3"/>
    <b v="0"/>
    <s v="No está en VPC"/>
    <n v="303"/>
    <s v="NO EXISTE PG"/>
    <s v="NO EXISTE ISEL"/>
    <n v="0"/>
    <s v="multipod"/>
    <n v="0"/>
    <s v="SPINE"/>
  </r>
  <r>
    <n v="302"/>
    <x v="0"/>
    <x v="17"/>
    <s v="eth2/32"/>
    <x v="0"/>
    <x v="0"/>
    <x v="0"/>
    <s v="LINK_HACIA_RMAC"/>
    <x v="3"/>
    <b v="0"/>
    <s v="No está en VPC"/>
    <n v="302"/>
    <s v="NO EXISTE PG"/>
    <s v="NO EXISTE ISEL"/>
    <n v="0"/>
    <s v="multipod"/>
    <n v="0"/>
    <s v="SPINE"/>
  </r>
  <r>
    <n v="602"/>
    <x v="1"/>
    <x v="24"/>
    <s v="eth2/32"/>
    <x v="0"/>
    <x v="0"/>
    <x v="0"/>
    <s v="LINK_HACIA_RMAC"/>
    <x v="3"/>
    <b v="0"/>
    <s v="No está en VPC"/>
    <n v="602"/>
    <s v="NO EXISTE PG"/>
    <s v="NO EXISTE ISEL"/>
    <n v="0"/>
    <s v="multipod"/>
    <n v="0"/>
    <s v="SPINE"/>
  </r>
  <r>
    <n v="603"/>
    <x v="1"/>
    <x v="50"/>
    <s v="eth2/32"/>
    <x v="0"/>
    <x v="0"/>
    <x v="0"/>
    <s v="LINK_HACIA_RMAC"/>
    <x v="3"/>
    <b v="0"/>
    <s v="No está en VPC"/>
    <n v="603"/>
    <s v="NO EXISTE PG"/>
    <s v="NO EXISTE ISEL"/>
    <n v="0"/>
    <s v="multipod"/>
    <n v="0"/>
    <s v="SPINE"/>
  </r>
  <r>
    <n v="903"/>
    <x v="2"/>
    <x v="278"/>
    <s v="eth2/3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3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4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4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4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4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5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5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5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5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6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6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6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6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7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7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7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7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8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8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8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8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9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9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9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9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9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9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10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10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1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1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1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1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1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1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1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1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1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1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1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1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1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1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1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1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19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19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20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20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2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2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2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2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2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2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2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2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2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2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2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2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2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2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2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2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29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29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30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30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3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3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3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3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9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9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10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10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1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1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1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1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1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1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1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1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1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1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1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1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1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1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1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1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19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19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20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20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2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2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2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2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2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2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2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2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2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2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2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2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2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2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2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2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29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29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30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30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3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3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3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3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9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9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10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10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1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1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1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1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1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1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1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1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1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1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1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1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1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1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1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1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19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19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20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20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2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2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2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2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2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2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2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2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2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2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2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2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2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2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2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2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29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29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30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30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3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3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3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3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9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9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10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10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1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1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1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1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1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1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1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1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1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1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1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1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1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1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1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1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19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19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20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20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21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21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22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22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23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23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24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24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25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25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26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26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27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27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28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28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29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29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30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30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31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31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32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32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33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33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34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34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35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35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36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36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9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9"/>
    <x v="0"/>
    <x v="0"/>
    <x v="0"/>
    <m/>
    <x v="7"/>
    <b v="0"/>
    <s v="No está en VPC"/>
    <n v="902"/>
    <s v="NO EXISTE PG"/>
    <s v="NO EXISTE ISEL"/>
    <n v="0"/>
    <s v="NO TIENE L3OUT"/>
    <n v="0"/>
    <s v="SPINE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3" cacheId="7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4:G288" firstHeaderRow="1" firstDataRow="4" firstDataCol="1" rowPageCount="2" colPageCount="1"/>
  <pivotFields count="18">
    <pivotField showDropDowns="1" compact="1" outline="1" subtotalTop="0" dragToRow="1" dragToCol="1" dragToPage="1" dragToData="1" dragOff="1" showAll="0" topAutoShow="1" itemPageCount="10" sortType="manual" defaultSubtotal="0"/>
    <pivotField axis="axisPage" showDropDowns="1" compact="1" outline="1" subtotalTop="0" dragToRow="1" dragToCol="1" multipleItemSelectionAllowed="1" dragToPage="1" dragToData="1" dragOff="1" showAll="0" topAutoShow="1" itemPageCount="10" sortType="manual" defaultSubtotal="0">
      <items count="3">
        <item t="data" sd="1" x="0"/>
        <item t="data" sd="1" x="1"/>
        <item t="data" sd="1" x="2"/>
      </items>
    </pivotField>
    <pivotField axis="axisRow" showDropDowns="1" compact="1" outline="1" subtotalTop="0" dragToRow="1" dragToCol="1" dragToPage="1" dragToData="1" dragOff="1" showAll="0" topAutoShow="1" itemPageCount="10" sortType="manual" defaultSubtotal="0">
      <items count="281">
        <item t="data" sd="1" x="3"/>
        <item t="data" sd="1" x="233"/>
        <item t="data" sd="1" x="247"/>
        <item t="data" sd="1" x="207"/>
        <item t="data" sd="1" x="205"/>
        <item t="data" sd="1" x="259"/>
        <item t="data" sd="1" x="213"/>
        <item t="data" sd="1" x="211"/>
        <item t="data" sd="1" x="214"/>
        <item t="data" sd="1" x="222"/>
        <item t="data" sd="1" x="11"/>
        <item t="data" sd="1" x="13"/>
        <item t="data" sd="1" x="257"/>
        <item t="data" sd="1" x="212"/>
        <item t="data" sd="1" x="215"/>
        <item t="data" sd="1" x="0"/>
        <item t="data" sd="1" x="6"/>
        <item t="data" sd="1" x="216"/>
        <item t="data" sd="1" x="258"/>
        <item t="data" sd="1" x="272"/>
        <item t="data" sd="1" x="206"/>
        <item t="data" sd="1" x="218"/>
        <item t="data" sd="1" x="245"/>
        <item t="data" sd="1" x="274"/>
        <item t="data" sd="1" x="5"/>
        <item t="data" sd="1" x="237"/>
        <item t="data" sd="1" x="1"/>
        <item t="data" sd="1" x="217"/>
        <item t="data" sd="1" x="255"/>
        <item t="data" sd="1" x="260"/>
        <item t="data" sd="1" x="12"/>
        <item t="data" sd="1" x="262"/>
        <item t="data" sd="1" x="2"/>
        <item t="data" sd="1" x="244"/>
        <item t="data" sd="1" x="228"/>
        <item t="data" sd="1" x="265"/>
        <item t="data" sd="1" x="246"/>
        <item t="data" sd="1" x="238"/>
        <item t="data" sd="1" x="208"/>
        <item t="data" sd="1" x="219"/>
        <item t="data" sd="1" x="4"/>
        <item t="data" sd="1" x="270"/>
        <item t="data" sd="1" x="223"/>
        <item t="data" sd="1" x="242"/>
        <item t="data" sd="1" x="256"/>
        <item t="data" sd="1" x="276"/>
        <item t="data" sd="1" x="241"/>
        <item t="data" sd="1" x="225"/>
        <item t="data" sd="1" x="229"/>
        <item t="data" sd="1" x="227"/>
        <item t="data" sd="1" x="7"/>
        <item t="data" sd="1" x="254"/>
        <item t="data" sd="1" x="240"/>
        <item t="data" sd="1" x="224"/>
        <item t="data" sd="1" x="266"/>
        <item t="data" sd="1" x="271"/>
        <item t="data" sd="1" x="253"/>
        <item t="data" sd="1" x="232"/>
        <item t="data" sd="1" x="243"/>
        <item t="data" sd="1" x="264"/>
        <item t="data" sd="1" x="226"/>
        <item t="data" sd="1" x="231"/>
        <item t="data" sd="1" x="261"/>
        <item t="data" sd="1" x="36"/>
        <item t="data" sd="1" x="28"/>
        <item t="data" sd="1" x="26"/>
        <item t="data" sd="1" x="21"/>
        <item t="data" sd="1" x="10"/>
        <item t="data" sd="1" x="9"/>
        <item t="data" sd="1" x="27"/>
        <item t="data" sd="1" x="40"/>
        <item t="data" sd="1" x="8"/>
        <item t="data" sd="1" x="275"/>
        <item t="data" sd="1" x="249"/>
        <item t="data" sd="1" x="239"/>
        <item t="data" sd="1" x="269"/>
        <item t="data" sd="1" x="273"/>
        <item t="data" sd="1" x="250"/>
        <item t="data" sd="1" x="251"/>
        <item t="data" sd="1" x="252"/>
        <item t="data" sd="1" x="230"/>
        <item t="data" sd="1" x="267"/>
        <item t="data" sd="1" x="18"/>
        <item t="data" sd="1" x="19"/>
        <item t="data" sd="1" x="126"/>
        <item t="data" sd="1" x="49"/>
        <item t="data" sd="1" x="277"/>
        <item t="data" sd="1" x="263"/>
        <item t="data" sd="1" x="29"/>
        <item t="data" sd="1" x="31"/>
        <item t="data" sd="1" x="268"/>
        <item t="data" sd="1" x="248"/>
        <item t="data" sd="1" x="41"/>
        <item t="data" sd="1" x="42"/>
        <item t="data" sd="1" x="44"/>
        <item t="data" sd="1" x="30"/>
        <item t="data" sd="1" x="45"/>
        <item t="data" sd="1" x="20"/>
        <item t="data" sd="1" x="105"/>
        <item t="data" sd="1" x="59"/>
        <item t="data" sd="1" x="56"/>
        <item t="data" sd="1" x="58"/>
        <item t="data" sd="1" x="43"/>
        <item t="data" sd="1" x="39"/>
        <item t="data" sd="1" x="111"/>
        <item t="data" sd="1" x="46"/>
        <item t="data" sd="1" x="119"/>
        <item t="data" sd="1" x="127"/>
        <item t="data" sd="1" x="112"/>
        <item t="data" sd="1" x="109"/>
        <item t="data" sd="1" x="122"/>
        <item t="data" sd="1" x="141"/>
        <item t="data" sd="1" x="32"/>
        <item t="data" sd="1" x="136"/>
        <item t="data" sd="1" x="106"/>
        <item t="data" sd="1" x="76"/>
        <item t="data" sd="1" x="125"/>
        <item t="data" sd="1" x="164"/>
        <item t="data" sd="1" x="107"/>
        <item t="data" sd="1" x="158"/>
        <item t="data" sd="1" x="37"/>
        <item t="data" sd="1" x="118"/>
        <item t="data" sd="1" x="33"/>
        <item t="data" sd="1" x="132"/>
        <item t="data" sd="1" x="108"/>
        <item t="data" sd="1" x="62"/>
        <item t="data" sd="1" x="152"/>
        <item t="data" sd="1" x="113"/>
        <item t="data" sd="1" x="51"/>
        <item t="data" sd="1" x="52"/>
        <item t="data" sd="1" x="131"/>
        <item t="data" sd="1" x="129"/>
        <item t="data" sd="1" x="47"/>
        <item t="data" sd="1" x="48"/>
        <item t="data" sd="1" x="123"/>
        <item t="data" sd="1" x="135"/>
        <item t="data" sd="1" x="149"/>
        <item t="data" sd="1" x="66"/>
        <item t="data" sd="1" x="63"/>
        <item t="data" sd="1" x="60"/>
        <item t="data" sd="1" x="134"/>
        <item t="data" sd="1" x="73"/>
        <item t="data" sd="1" x="57"/>
        <item t="data" sd="1" x="110"/>
        <item t="data" sd="1" x="53"/>
        <item t="data" sd="1" x="55"/>
        <item t="data" sd="1" x="79"/>
        <item t="data" sd="1" x="178"/>
        <item t="data" sd="1" x="137"/>
        <item t="data" sd="1" x="185"/>
        <item t="data" sd="1" x="186"/>
        <item t="data" sd="1" x="115"/>
        <item t="data" sd="1" x="210"/>
        <item t="data" sd="1" x="192"/>
        <item t="data" sd="1" x="147"/>
        <item t="data" sd="1" x="166"/>
        <item t="data" sd="1" x="174"/>
        <item t="data" sd="1" x="154"/>
        <item t="data" sd="1" x="114"/>
        <item t="data" sd="1" x="128"/>
        <item t="data" sd="1" x="70"/>
        <item t="data" sd="1" x="157"/>
        <item t="data" sd="1" x="172"/>
        <item t="data" sd="1" x="183"/>
        <item t="data" sd="1" x="181"/>
        <item t="data" sd="1" x="200"/>
        <item t="data" sd="1" x="75"/>
        <item t="data" sd="1" x="165"/>
        <item t="data" sd="1" x="77"/>
        <item t="data" sd="1" x="86"/>
        <item t="data" sd="1" x="83"/>
        <item t="data" sd="1" x="81"/>
        <item t="data" sd="1" x="82"/>
        <item t="data" sd="1" x="85"/>
        <item t="data" sd="1" x="201"/>
        <item t="data" sd="1" x="163"/>
        <item t="data" sd="1" x="194"/>
        <item t="data" sd="1" x="187"/>
        <item t="data" sd="1" x="74"/>
        <item t="data" sd="1" x="184"/>
        <item t="data" sd="1" x="177"/>
        <item t="data" sd="1" x="180"/>
        <item t="data" sd="1" x="203"/>
        <item t="data" sd="1" x="195"/>
        <item t="data" sd="1" x="97"/>
        <item t="data" sd="1" x="221"/>
        <item t="data" sd="1" x="197"/>
        <item t="data" sd="1" x="116"/>
        <item t="data" sd="1" x="169"/>
        <item t="data" sd="1" x="93"/>
        <item t="data" sd="1" x="190"/>
        <item t="data" sd="1" x="100"/>
        <item t="data" sd="1" x="101"/>
        <item t="data" sd="1" x="94"/>
        <item t="data" sd="1" x="162"/>
        <item t="data" sd="1" x="191"/>
        <item t="data" sd="1" x="182"/>
        <item t="data" sd="1" x="199"/>
        <item t="data" sd="1" x="98"/>
        <item t="data" sd="1" x="91"/>
        <item t="data" sd="1" x="87"/>
        <item t="data" sd="1" x="144"/>
        <item t="data" sd="1" x="159"/>
        <item t="data" sd="1" x="173"/>
        <item t="data" sd="1" x="155"/>
        <item t="data" sd="1" x="139"/>
        <item t="data" sd="1" x="35"/>
        <item t="data" sd="1" x="38"/>
        <item t="data" sd="1" x="140"/>
        <item t="data" sd="1" x="130"/>
        <item t="data" sd="1" x="34"/>
        <item t="data" sd="1" x="124"/>
        <item t="data" sd="1" x="68"/>
        <item t="data" sd="1" x="167"/>
        <item t="data" sd="1" x="121"/>
        <item t="data" sd="1" x="54"/>
        <item t="data" sd="1" x="120"/>
        <item t="data" sd="1" x="23"/>
        <item t="data" sd="1" x="25"/>
        <item t="data" sd="1" x="117"/>
        <item t="data" sd="1" x="22"/>
        <item t="data" sd="1" x="69"/>
        <item t="data" sd="1" x="150"/>
        <item t="data" sd="1" x="179"/>
        <item t="data" sd="1" x="143"/>
        <item t="data" sd="1" x="138"/>
        <item t="data" sd="1" x="168"/>
        <item t="data" sd="1" x="64"/>
        <item t="data" sd="1" x="67"/>
        <item t="data" sd="1" x="142"/>
        <item t="data" sd="1" x="153"/>
        <item t="data" sd="1" x="176"/>
        <item t="data" sd="1" x="148"/>
        <item t="data" sd="1" x="133"/>
        <item t="data" sd="1" x="145"/>
        <item t="data" sd="1" x="175"/>
        <item t="data" sd="1" x="171"/>
        <item t="data" sd="1" x="156"/>
        <item t="data" sd="1" x="61"/>
        <item t="data" sd="1" x="72"/>
        <item t="data" sd="1" x="71"/>
        <item t="data" sd="1" x="15"/>
        <item t="data" sd="1" x="16"/>
        <item t="data" sd="1" x="151"/>
        <item t="data" sd="1" x="146"/>
        <item t="data" sd="1" x="161"/>
        <item t="data" sd="1" x="170"/>
        <item t="data" sd="1" x="204"/>
        <item t="data" sd="1" x="160"/>
        <item t="data" sd="1" x="65"/>
        <item t="data" sd="1" x="90"/>
        <item t="data" sd="1" x="193"/>
        <item t="data" sd="1" x="89"/>
        <item t="data" sd="1" x="188"/>
        <item t="data" sd="1" x="84"/>
        <item t="data" sd="1" x="103"/>
        <item t="data" sd="1" x="209"/>
        <item t="data" sd="1" x="80"/>
        <item t="data" sd="1" x="220"/>
        <item t="data" sd="1" x="99"/>
        <item t="data" sd="1" x="92"/>
        <item t="data" sd="1" x="78"/>
        <item t="data" sd="1" x="235"/>
        <item t="data" sd="1" x="236"/>
        <item t="data" sd="1" x="196"/>
        <item t="data" sd="1" x="198"/>
        <item t="data" sd="1" x="202"/>
        <item t="data" sd="1" x="102"/>
        <item t="data" sd="1" x="96"/>
        <item t="data" sd="1" x="234"/>
        <item t="data" sd="1" x="88"/>
        <item t="data" sd="1" x="104"/>
        <item t="data" sd="1" x="95"/>
        <item t="data" sd="1" x="189"/>
        <item t="data" sd="1" x="14"/>
        <item t="data" sd="1" x="17"/>
        <item t="data" sd="1" x="50"/>
        <item t="data" sd="1" x="24"/>
        <item t="data" sd="1" x="279"/>
        <item t="data" sd="1" x="278"/>
        <item t="data" sd="1" m="1" x="280"/>
      </items>
    </pivotField>
    <pivotField showDropDowns="1" compact="1" outline="1" subtotalTop="0" dragToRow="1" dragToCol="1" dragToPage="1" dragToData="1" dragOff="1" showAll="0" topAutoShow="1" itemPageCount="10" sortType="manual" defaultSubtotal="0"/>
    <pivotField axis="axisCol" dataField="1" showDropDowns="1" compact="1" outline="1" subtotalTop="0" dragToRow="1" dragToCol="1" dragToPage="1" dragToData="1" dragOff="1" showAll="0" topAutoShow="1" itemPageCount="10" sortType="manual" defaultSubtotal="0">
      <items count="2">
        <item t="data" sd="1" x="1"/>
        <item t="data" sd="1" x="0"/>
      </items>
    </pivotField>
    <pivotField axis="axisCol" showDropDowns="1" compact="1" outline="1" subtotalTop="0" dragToRow="1" dragToCol="1" dragToPage="1" dragToData="1" dragOff="1" showAll="0" topAutoShow="1" itemPageCount="10" sortType="manual" defaultSubtotal="0">
      <items count="3">
        <item t="data" sd="1" x="2"/>
        <item t="data" sd="0" x="1"/>
        <item t="data" sd="1" x="0"/>
      </items>
    </pivotField>
    <pivotField axis="axisCol" showDropDowns="1" compact="1" outline="1" subtotalTop="0" dragToRow="1" dragToCol="1" dragToPage="1" dragToData="1" dragOff="1" showAll="0" topAutoShow="1" itemPageCount="10" sortType="manual" defaultSubtotal="0">
      <items count="10">
        <item t="data" sd="0" x="2"/>
        <item t="data" sd="0" x="8"/>
        <item t="data" sd="1" x="4"/>
        <item t="data" sd="0" x="1"/>
        <item t="data" sd="1" x="0"/>
        <item t="data" sd="0" x="3"/>
        <item t="data" sd="1" x="6"/>
        <item t="data" sd="0" x="5"/>
        <item t="data" sd="1" x="7"/>
        <item t="data" sd="1" x="9"/>
      </items>
    </pivotField>
    <pivotField showDropDowns="1" compact="1" outline="1" subtotalTop="0" dragToRow="1" dragToCol="1" dragToPage="1" dragToData="1" dragOff="1" showAll="0" topAutoShow="1" itemPageCount="10" sortType="manual" defaultSubtotal="0"/>
    <pivotField axis="axisPage" showDropDowns="1" compact="1" outline="1" subtotalTop="0" dragToRow="1" dragToCol="1" multipleItemSelectionAllowed="1" dragToPage="1" dragToData="1" dragOff="1" showAll="0" topAutoShow="1" itemPageCount="10" sortType="manual" defaultSubtotal="0">
      <items count="8">
        <item t="data" sd="1" x="3"/>
        <item t="data" sd="1" x="7"/>
        <item t="data" sd="1" x="6"/>
        <item t="data" sd="1" x="2"/>
        <item t="data" sd="1" x="1"/>
        <item t="data" sd="1" x="0"/>
        <item t="data" sd="1" x="5"/>
        <item t="data" sd="1" x="4"/>
      </items>
    </pivotField>
    <pivotField showDropDowns="1" compact="1" outline="1" subtotalTop="0" dragToRow="1" dragToCol="1" dragToPage="1" dragToData="1" dragOff="1" showAll="0" topAutoShow="1" itemPageCount="10" sortType="manual" defaultSubtotal="0"/>
    <pivotField showDropDowns="1" compact="1" outline="1" subtotalTop="0" dragToRow="1" dragToCol="1" dragToPage="1" dragToData="1" dragOff="1" showAll="0" topAutoShow="1" itemPageCount="10" sortType="manual" defaultSubtotal="0"/>
    <pivotField showDropDowns="1" compact="1" outline="1" subtotalTop="0" dragToRow="1" dragToCol="1" dragToPage="1" dragToData="1" dragOff="1" showAll="0" topAutoShow="1" itemPageCount="10" sortType="manual" defaultSubtotal="0"/>
    <pivotField showDropDowns="1" compact="1" outline="1" subtotalTop="0" dragToRow="1" dragToCol="1" dragToPage="1" dragToData="1" dragOff="1" showAll="0" topAutoShow="1" itemPageCount="10" sortType="manual" defaultSubtotal="0"/>
    <pivotField showDropDowns="1" compact="1" outline="1" subtotalTop="0" dragToRow="1" dragToCol="1" dragToPage="1" dragToData="1" dragOff="1" showAll="0" topAutoShow="1" itemPageCount="10" sortType="manual" defaultSubtotal="0"/>
    <pivotField showDropDowns="1" compact="1" outline="1" subtotalTop="0" dragToRow="1" dragToCol="1" dragToPage="1" dragToData="1" dragOff="1" showAll="0" topAutoShow="1" itemPageCount="10" sortType="manual" defaultSubtotal="0"/>
    <pivotField showDropDowns="1" compact="1" outline="1" subtotalTop="0" dragToRow="1" dragToCol="1" dragToPage="1" dragToData="1" dragOff="1" showAll="0" topAutoShow="1" itemPageCount="10" sortType="manual" defaultSubtotal="0"/>
    <pivotField showDropDowns="1" compact="1" outline="1" subtotalTop="0" dragToRow="1" dragToCol="1" dragToPage="1" dragToData="1" dragOff="1" showAll="0" topAutoShow="1" itemPageCount="10" sortType="manual" defaultSubtotal="0"/>
    <pivotField showDropDowns="1" compact="1" outline="1" subtotalTop="0" dragToRow="1" dragToCol="1" dragToPage="1" dragToData="1" dragOff="1" showAll="0" topAutoShow="1" itemPageCount="10" sortType="manual" defaultSubtotal="0"/>
  </pivotFields>
  <rowFields count="1">
    <field x="2"/>
  </rowFields>
  <rowItems count="281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  <i t="data" r="0" i="0">
      <x v="38"/>
    </i>
    <i t="data" r="0" i="0">
      <x v="39"/>
    </i>
    <i t="data" r="0" i="0">
      <x v="40"/>
    </i>
    <i t="data" r="0" i="0">
      <x v="41"/>
    </i>
    <i t="data" r="0" i="0">
      <x v="42"/>
    </i>
    <i t="data" r="0" i="0">
      <x v="43"/>
    </i>
    <i t="data" r="0" i="0">
      <x v="44"/>
    </i>
    <i t="data" r="0" i="0">
      <x v="45"/>
    </i>
    <i t="data" r="0" i="0">
      <x v="46"/>
    </i>
    <i t="data" r="0" i="0">
      <x v="47"/>
    </i>
    <i t="data" r="0" i="0">
      <x v="48"/>
    </i>
    <i t="data" r="0" i="0">
      <x v="49"/>
    </i>
    <i t="data" r="0" i="0">
      <x v="50"/>
    </i>
    <i t="data" r="0" i="0">
      <x v="51"/>
    </i>
    <i t="data" r="0" i="0">
      <x v="52"/>
    </i>
    <i t="data" r="0" i="0">
      <x v="53"/>
    </i>
    <i t="data" r="0" i="0">
      <x v="54"/>
    </i>
    <i t="data" r="0" i="0">
      <x v="55"/>
    </i>
    <i t="data" r="0" i="0">
      <x v="56"/>
    </i>
    <i t="data" r="0" i="0">
      <x v="57"/>
    </i>
    <i t="data" r="0" i="0">
      <x v="58"/>
    </i>
    <i t="data" r="0" i="0">
      <x v="59"/>
    </i>
    <i t="data" r="0" i="0">
      <x v="60"/>
    </i>
    <i t="data" r="0" i="0">
      <x v="61"/>
    </i>
    <i t="data" r="0" i="0">
      <x v="62"/>
    </i>
    <i t="data" r="0" i="0">
      <x v="63"/>
    </i>
    <i t="data" r="0" i="0">
      <x v="64"/>
    </i>
    <i t="data" r="0" i="0">
      <x v="65"/>
    </i>
    <i t="data" r="0" i="0">
      <x v="66"/>
    </i>
    <i t="data" r="0" i="0">
      <x v="67"/>
    </i>
    <i t="data" r="0" i="0">
      <x v="68"/>
    </i>
    <i t="data" r="0" i="0">
      <x v="69"/>
    </i>
    <i t="data" r="0" i="0">
      <x v="70"/>
    </i>
    <i t="data" r="0" i="0">
      <x v="71"/>
    </i>
    <i t="data" r="0" i="0">
      <x v="72"/>
    </i>
    <i t="data" r="0" i="0">
      <x v="73"/>
    </i>
    <i t="data" r="0" i="0">
      <x v="74"/>
    </i>
    <i t="data" r="0" i="0">
      <x v="75"/>
    </i>
    <i t="data" r="0" i="0">
      <x v="76"/>
    </i>
    <i t="data" r="0" i="0">
      <x v="77"/>
    </i>
    <i t="data" r="0" i="0">
      <x v="78"/>
    </i>
    <i t="data" r="0" i="0">
      <x v="79"/>
    </i>
    <i t="data" r="0" i="0">
      <x v="80"/>
    </i>
    <i t="data" r="0" i="0">
      <x v="81"/>
    </i>
    <i t="data" r="0" i="0">
      <x v="82"/>
    </i>
    <i t="data" r="0" i="0">
      <x v="83"/>
    </i>
    <i t="data" r="0" i="0">
      <x v="84"/>
    </i>
    <i t="data" r="0" i="0">
      <x v="85"/>
    </i>
    <i t="data" r="0" i="0">
      <x v="86"/>
    </i>
    <i t="data" r="0" i="0">
      <x v="87"/>
    </i>
    <i t="data" r="0" i="0">
      <x v="88"/>
    </i>
    <i t="data" r="0" i="0">
      <x v="89"/>
    </i>
    <i t="data" r="0" i="0">
      <x v="90"/>
    </i>
    <i t="data" r="0" i="0">
      <x v="91"/>
    </i>
    <i t="data" r="0" i="0">
      <x v="92"/>
    </i>
    <i t="data" r="0" i="0">
      <x v="93"/>
    </i>
    <i t="data" r="0" i="0">
      <x v="94"/>
    </i>
    <i t="data" r="0" i="0">
      <x v="95"/>
    </i>
    <i t="data" r="0" i="0">
      <x v="96"/>
    </i>
    <i t="data" r="0" i="0">
      <x v="97"/>
    </i>
    <i t="data" r="0" i="0">
      <x v="98"/>
    </i>
    <i t="data" r="0" i="0">
      <x v="99"/>
    </i>
    <i t="data" r="0" i="0">
      <x v="100"/>
    </i>
    <i t="data" r="0" i="0">
      <x v="101"/>
    </i>
    <i t="data" r="0" i="0">
      <x v="102"/>
    </i>
    <i t="data" r="0" i="0">
      <x v="103"/>
    </i>
    <i t="data" r="0" i="0">
      <x v="104"/>
    </i>
    <i t="data" r="0" i="0">
      <x v="105"/>
    </i>
    <i t="data" r="0" i="0">
      <x v="106"/>
    </i>
    <i t="data" r="0" i="0">
      <x v="107"/>
    </i>
    <i t="data" r="0" i="0">
      <x v="108"/>
    </i>
    <i t="data" r="0" i="0">
      <x v="109"/>
    </i>
    <i t="data" r="0" i="0">
      <x v="110"/>
    </i>
    <i t="data" r="0" i="0">
      <x v="111"/>
    </i>
    <i t="data" r="0" i="0">
      <x v="112"/>
    </i>
    <i t="data" r="0" i="0">
      <x v="113"/>
    </i>
    <i t="data" r="0" i="0">
      <x v="114"/>
    </i>
    <i t="data" r="0" i="0">
      <x v="115"/>
    </i>
    <i t="data" r="0" i="0">
      <x v="116"/>
    </i>
    <i t="data" r="0" i="0">
      <x v="117"/>
    </i>
    <i t="data" r="0" i="0">
      <x v="118"/>
    </i>
    <i t="data" r="0" i="0">
      <x v="119"/>
    </i>
    <i t="data" r="0" i="0">
      <x v="120"/>
    </i>
    <i t="data" r="0" i="0">
      <x v="121"/>
    </i>
    <i t="data" r="0" i="0">
      <x v="122"/>
    </i>
    <i t="data" r="0" i="0">
      <x v="123"/>
    </i>
    <i t="data" r="0" i="0">
      <x v="124"/>
    </i>
    <i t="data" r="0" i="0">
      <x v="125"/>
    </i>
    <i t="data" r="0" i="0">
      <x v="126"/>
    </i>
    <i t="data" r="0" i="0">
      <x v="127"/>
    </i>
    <i t="data" r="0" i="0">
      <x v="128"/>
    </i>
    <i t="data" r="0" i="0">
      <x v="129"/>
    </i>
    <i t="data" r="0" i="0">
      <x v="130"/>
    </i>
    <i t="data" r="0" i="0">
      <x v="131"/>
    </i>
    <i t="data" r="0" i="0">
      <x v="132"/>
    </i>
    <i t="data" r="0" i="0">
      <x v="133"/>
    </i>
    <i t="data" r="0" i="0">
      <x v="134"/>
    </i>
    <i t="data" r="0" i="0">
      <x v="135"/>
    </i>
    <i t="data" r="0" i="0">
      <x v="136"/>
    </i>
    <i t="data" r="0" i="0">
      <x v="137"/>
    </i>
    <i t="data" r="0" i="0">
      <x v="138"/>
    </i>
    <i t="data" r="0" i="0">
      <x v="139"/>
    </i>
    <i t="data" r="0" i="0">
      <x v="140"/>
    </i>
    <i t="data" r="0" i="0">
      <x v="141"/>
    </i>
    <i t="data" r="0" i="0">
      <x v="142"/>
    </i>
    <i t="data" r="0" i="0">
      <x v="143"/>
    </i>
    <i t="data" r="0" i="0">
      <x v="144"/>
    </i>
    <i t="data" r="0" i="0">
      <x v="145"/>
    </i>
    <i t="data" r="0" i="0">
      <x v="146"/>
    </i>
    <i t="data" r="0" i="0">
      <x v="147"/>
    </i>
    <i t="data" r="0" i="0">
      <x v="148"/>
    </i>
    <i t="data" r="0" i="0">
      <x v="149"/>
    </i>
    <i t="data" r="0" i="0">
      <x v="150"/>
    </i>
    <i t="data" r="0" i="0">
      <x v="151"/>
    </i>
    <i t="data" r="0" i="0">
      <x v="152"/>
    </i>
    <i t="data" r="0" i="0">
      <x v="153"/>
    </i>
    <i t="data" r="0" i="0">
      <x v="154"/>
    </i>
    <i t="data" r="0" i="0">
      <x v="155"/>
    </i>
    <i t="data" r="0" i="0">
      <x v="156"/>
    </i>
    <i t="data" r="0" i="0">
      <x v="157"/>
    </i>
    <i t="data" r="0" i="0">
      <x v="158"/>
    </i>
    <i t="data" r="0" i="0">
      <x v="159"/>
    </i>
    <i t="data" r="0" i="0">
      <x v="160"/>
    </i>
    <i t="data" r="0" i="0">
      <x v="161"/>
    </i>
    <i t="data" r="0" i="0">
      <x v="162"/>
    </i>
    <i t="data" r="0" i="0">
      <x v="163"/>
    </i>
    <i t="data" r="0" i="0">
      <x v="164"/>
    </i>
    <i t="data" r="0" i="0">
      <x v="165"/>
    </i>
    <i t="data" r="0" i="0">
      <x v="166"/>
    </i>
    <i t="data" r="0" i="0">
      <x v="167"/>
    </i>
    <i t="data" r="0" i="0">
      <x v="168"/>
    </i>
    <i t="data" r="0" i="0">
      <x v="169"/>
    </i>
    <i t="data" r="0" i="0">
      <x v="170"/>
    </i>
    <i t="data" r="0" i="0">
      <x v="171"/>
    </i>
    <i t="data" r="0" i="0">
      <x v="172"/>
    </i>
    <i t="data" r="0" i="0">
      <x v="173"/>
    </i>
    <i t="data" r="0" i="0">
      <x v="174"/>
    </i>
    <i t="data" r="0" i="0">
      <x v="175"/>
    </i>
    <i t="data" r="0" i="0">
      <x v="176"/>
    </i>
    <i t="data" r="0" i="0">
      <x v="177"/>
    </i>
    <i t="data" r="0" i="0">
      <x v="178"/>
    </i>
    <i t="data" r="0" i="0">
      <x v="179"/>
    </i>
    <i t="data" r="0" i="0">
      <x v="180"/>
    </i>
    <i t="data" r="0" i="0">
      <x v="181"/>
    </i>
    <i t="data" r="0" i="0">
      <x v="182"/>
    </i>
    <i t="data" r="0" i="0">
      <x v="183"/>
    </i>
    <i t="data" r="0" i="0">
      <x v="184"/>
    </i>
    <i t="data" r="0" i="0">
      <x v="185"/>
    </i>
    <i t="data" r="0" i="0">
      <x v="186"/>
    </i>
    <i t="data" r="0" i="0">
      <x v="187"/>
    </i>
    <i t="data" r="0" i="0">
      <x v="188"/>
    </i>
    <i t="data" r="0" i="0">
      <x v="189"/>
    </i>
    <i t="data" r="0" i="0">
      <x v="190"/>
    </i>
    <i t="data" r="0" i="0">
      <x v="191"/>
    </i>
    <i t="data" r="0" i="0">
      <x v="192"/>
    </i>
    <i t="data" r="0" i="0">
      <x v="193"/>
    </i>
    <i t="data" r="0" i="0">
      <x v="194"/>
    </i>
    <i t="data" r="0" i="0">
      <x v="195"/>
    </i>
    <i t="data" r="0" i="0">
      <x v="196"/>
    </i>
    <i t="data" r="0" i="0">
      <x v="197"/>
    </i>
    <i t="data" r="0" i="0">
      <x v="198"/>
    </i>
    <i t="data" r="0" i="0">
      <x v="199"/>
    </i>
    <i t="data" r="0" i="0">
      <x v="200"/>
    </i>
    <i t="data" r="0" i="0">
      <x v="201"/>
    </i>
    <i t="data" r="0" i="0">
      <x v="202"/>
    </i>
    <i t="data" r="0" i="0">
      <x v="203"/>
    </i>
    <i t="data" r="0" i="0">
      <x v="204"/>
    </i>
    <i t="data" r="0" i="0">
      <x v="205"/>
    </i>
    <i t="data" r="0" i="0">
      <x v="206"/>
    </i>
    <i t="data" r="0" i="0">
      <x v="207"/>
    </i>
    <i t="data" r="0" i="0">
      <x v="208"/>
    </i>
    <i t="data" r="0" i="0">
      <x v="209"/>
    </i>
    <i t="data" r="0" i="0">
      <x v="210"/>
    </i>
    <i t="data" r="0" i="0">
      <x v="211"/>
    </i>
    <i t="data" r="0" i="0">
      <x v="212"/>
    </i>
    <i t="data" r="0" i="0">
      <x v="213"/>
    </i>
    <i t="data" r="0" i="0">
      <x v="214"/>
    </i>
    <i t="data" r="0" i="0">
      <x v="215"/>
    </i>
    <i t="data" r="0" i="0">
      <x v="216"/>
    </i>
    <i t="data" r="0" i="0">
      <x v="217"/>
    </i>
    <i t="data" r="0" i="0">
      <x v="218"/>
    </i>
    <i t="data" r="0" i="0">
      <x v="219"/>
    </i>
    <i t="data" r="0" i="0">
      <x v="220"/>
    </i>
    <i t="data" r="0" i="0">
      <x v="221"/>
    </i>
    <i t="data" r="0" i="0">
      <x v="222"/>
    </i>
    <i t="data" r="0" i="0">
      <x v="223"/>
    </i>
    <i t="data" r="0" i="0">
      <x v="224"/>
    </i>
    <i t="data" r="0" i="0">
      <x v="225"/>
    </i>
    <i t="data" r="0" i="0">
      <x v="226"/>
    </i>
    <i t="data" r="0" i="0">
      <x v="227"/>
    </i>
    <i t="data" r="0" i="0">
      <x v="228"/>
    </i>
    <i t="data" r="0" i="0">
      <x v="229"/>
    </i>
    <i t="data" r="0" i="0">
      <x v="230"/>
    </i>
    <i t="data" r="0" i="0">
      <x v="231"/>
    </i>
    <i t="data" r="0" i="0">
      <x v="232"/>
    </i>
    <i t="data" r="0" i="0">
      <x v="233"/>
    </i>
    <i t="data" r="0" i="0">
      <x v="234"/>
    </i>
    <i t="data" r="0" i="0">
      <x v="235"/>
    </i>
    <i t="data" r="0" i="0">
      <x v="236"/>
    </i>
    <i t="data" r="0" i="0">
      <x v="237"/>
    </i>
    <i t="data" r="0" i="0">
      <x v="238"/>
    </i>
    <i t="data" r="0" i="0">
      <x v="239"/>
    </i>
    <i t="data" r="0" i="0">
      <x v="240"/>
    </i>
    <i t="data" r="0" i="0">
      <x v="241"/>
    </i>
    <i t="data" r="0" i="0">
      <x v="242"/>
    </i>
    <i t="data" r="0" i="0">
      <x v="243"/>
    </i>
    <i t="data" r="0" i="0">
      <x v="244"/>
    </i>
    <i t="data" r="0" i="0">
      <x v="245"/>
    </i>
    <i t="data" r="0" i="0">
      <x v="246"/>
    </i>
    <i t="data" r="0" i="0">
      <x v="247"/>
    </i>
    <i t="data" r="0" i="0">
      <x v="248"/>
    </i>
    <i t="data" r="0" i="0">
      <x v="249"/>
    </i>
    <i t="data" r="0" i="0">
      <x v="250"/>
    </i>
    <i t="data" r="0" i="0">
      <x v="251"/>
    </i>
    <i t="data" r="0" i="0">
      <x v="252"/>
    </i>
    <i t="data" r="0" i="0">
      <x v="253"/>
    </i>
    <i t="data" r="0" i="0">
      <x v="254"/>
    </i>
    <i t="data" r="0" i="0">
      <x v="255"/>
    </i>
    <i t="data" r="0" i="0">
      <x v="256"/>
    </i>
    <i t="data" r="0" i="0">
      <x v="257"/>
    </i>
    <i t="data" r="0" i="0">
      <x v="258"/>
    </i>
    <i t="data" r="0" i="0">
      <x v="259"/>
    </i>
    <i t="data" r="0" i="0">
      <x v="260"/>
    </i>
    <i t="data" r="0" i="0">
      <x v="261"/>
    </i>
    <i t="data" r="0" i="0">
      <x v="262"/>
    </i>
    <i t="data" r="0" i="0">
      <x v="263"/>
    </i>
    <i t="data" r="0" i="0">
      <x v="264"/>
    </i>
    <i t="data" r="0" i="0">
      <x v="265"/>
    </i>
    <i t="data" r="0" i="0">
      <x v="266"/>
    </i>
    <i t="data" r="0" i="0">
      <x v="267"/>
    </i>
    <i t="data" r="0" i="0">
      <x v="268"/>
    </i>
    <i t="data" r="0" i="0">
      <x v="269"/>
    </i>
    <i t="data" r="0" i="0">
      <x v="270"/>
    </i>
    <i t="data" r="0" i="0">
      <x v="271"/>
    </i>
    <i t="data" r="0" i="0">
      <x v="272"/>
    </i>
    <i t="data" r="0" i="0">
      <x v="273"/>
    </i>
    <i t="data" r="0" i="0">
      <x v="274"/>
    </i>
    <i t="data" r="0" i="0">
      <x v="275"/>
    </i>
    <i t="data" r="0" i="0">
      <x v="276"/>
    </i>
    <i t="data" r="0" i="0">
      <x v="277"/>
    </i>
    <i t="data" r="0" i="0">
      <x v="278"/>
    </i>
    <i t="data" r="0" i="0">
      <x v="279"/>
    </i>
    <i t="grand" r="0" i="0">
      <x v="0"/>
    </i>
  </rowItems>
  <colFields count="3">
    <field x="4"/>
    <field x="5"/>
    <field x="6"/>
  </colFields>
  <colItems count="6">
    <i t="data" r="0" i="0">
      <x v="0"/>
      <x v="0"/>
      <x v="9"/>
    </i>
    <i t="data" r="1" i="0">
      <x v="1"/>
    </i>
    <i t="data" r="0" i="0">
      <x v="1"/>
      <x v="0"/>
      <x v="9"/>
    </i>
    <i t="data" r="1" i="0">
      <x v="1"/>
    </i>
    <i t="data" r="1" i="0">
      <x v="2"/>
      <x v="4"/>
    </i>
    <i t="grand" r="0" i="0">
      <x v="0"/>
    </i>
  </colItems>
  <pageFields count="2">
    <pageField fld="1" hier="-1"/>
    <pageField fld="8" hier="-1"/>
  </pageFields>
  <dataFields count="1">
    <dataField name="Count of Admin State" fld="4" subtotal="count" showDataAs="normal" baseField="0" baseItem="0"/>
  </dataFields>
  <pivotTableStyleInfo name="PivotStyleMedium2" showRowHeaders="1" showColHeaders="1" showRowStripes="1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1" cacheId="2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4:D13" firstHeaderRow="1" firstDataRow="2" firstDataCol="1" rowPageCount="2" colPageCount="1"/>
  <pivotFields count="9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279">
        <item t="data" sd="1" x="22"/>
        <item t="data" sd="1" x="31"/>
        <item t="data" sd="1" x="101"/>
        <item t="data" sd="1" x="102"/>
        <item t="data" sd="1" x="103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23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24"/>
        <item t="data" sd="1" x="51"/>
        <item t="data" sd="1" x="94"/>
        <item t="data" sd="1" x="95"/>
        <item t="data" sd="1" x="96"/>
        <item t="data" sd="1" x="97"/>
        <item t="data" sd="1" x="52"/>
        <item t="data" sd="1" x="53"/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25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26"/>
        <item t="data" sd="1" x="17"/>
        <item t="data" sd="1" x="18"/>
        <item t="data" sd="1" x="19"/>
        <item t="data" sd="1" x="20"/>
        <item t="data" sd="1" x="21"/>
        <item t="data" sd="1" x="104"/>
        <item t="data" sd="1" x="105"/>
        <item t="data" sd="1" x="106"/>
        <item t="data" sd="1" x="107"/>
        <item t="data" sd="1" x="108"/>
        <item t="data" sd="1" x="27"/>
        <item t="data" sd="1" x="86"/>
        <item t="data" sd="1" x="87"/>
        <item t="data" sd="1" x="88"/>
        <item t="data" sd="1" x="89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28"/>
        <item t="data" sd="1" x="90"/>
        <item t="data" sd="1" x="91"/>
        <item t="data" sd="1" x="92"/>
        <item t="data" sd="1" x="93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29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30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98"/>
        <item t="data" sd="1" x="99"/>
        <item t="data" sd="1" x="100"/>
        <item t="data" sd="1" x="54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55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56"/>
        <item t="data" sd="1" x="83"/>
        <item t="data" sd="1" x="84"/>
        <item t="data" sd="1" x="85"/>
        <item t="data" sd="1" x="57"/>
        <item t="data" sd="1" x="58"/>
        <item t="data" sd="1" x="59"/>
        <item t="data" sd="1" x="60"/>
        <item t="data" sd="1" x="61"/>
        <item t="data" sd="1" x="62"/>
        <item t="data" sd="1" x="150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51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52"/>
        <item t="data" sd="1" x="179"/>
        <item t="data" sd="1" x="180"/>
        <item t="data" sd="1" x="181"/>
        <item t="data" sd="1" x="153"/>
        <item t="data" sd="1" x="154"/>
        <item t="data" sd="1" x="155"/>
        <item t="data" sd="1" x="156"/>
        <item t="data" sd="1" x="157"/>
        <item t="data" sd="1" x="158"/>
        <item t="data" sd="1" x="182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183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184"/>
        <item t="data" sd="1" x="211"/>
        <item t="data" sd="1" x="212"/>
        <item t="data" sd="1" x="213"/>
        <item t="data" sd="1" x="185"/>
        <item t="data" sd="1" x="186"/>
        <item t="data" sd="1" x="187"/>
        <item t="data" sd="1" x="188"/>
        <item t="data" sd="1" x="189"/>
        <item t="data" sd="1" x="190"/>
        <item t="data" sd="1" x="214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15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16"/>
        <item t="data" sd="1" x="243"/>
        <item t="data" sd="1" x="244"/>
        <item t="data" sd="1" x="245"/>
        <item t="data" sd="1" x="217"/>
        <item t="data" sd="1" x="218"/>
        <item t="data" sd="1" x="219"/>
        <item t="data" sd="1" x="220"/>
        <item t="data" sd="1" x="221"/>
        <item t="data" sd="1" x="222"/>
        <item t="data" sd="1" x="246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47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48"/>
        <item t="data" sd="1" x="275"/>
        <item t="data" sd="1" x="276"/>
        <item t="data" sd="1" x="277"/>
        <item t="data" sd="1" x="146"/>
        <item t="data" sd="1" x="147"/>
        <item t="data" sd="1" x="148"/>
        <item t="data" sd="1" x="149"/>
        <item t="data" sd="1" x="249"/>
        <item t="data" sd="1" x="250"/>
        <item t="data" sd="1" x="251"/>
        <item t="data" sd="1" x="252"/>
        <item t="data" sd="1" x="253"/>
        <item t="data" sd="1" x="25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8">
        <item t="data" sd="1" x="3"/>
        <item t="data" sd="1" x="6"/>
        <item t="data" sd="1" x="0"/>
        <item t="data" sd="1" x="5"/>
        <item t="data" sd="1" x="1"/>
        <item t="data" sd="1" x="2"/>
        <item t="data" sd="1" x="4"/>
        <item t="default" sd="1"/>
      </items>
    </pivotField>
    <pivotField axis="axisCol" dataField="1" showDropDowns="1" compact="1" outline="1" subtotalTop="1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9">
        <item t="data" sd="1" x="2"/>
        <item t="data" sd="1" x="7"/>
        <item t="data" sd="1" x="6"/>
        <item t="data" sd="1" x="3"/>
        <item t="data" sd="1" x="1"/>
        <item t="data" sd="1" x="0"/>
        <item t="data" sd="1" x="4"/>
        <item t="data" sd="1" x="5"/>
        <item t="default" sd="1"/>
      </items>
    </pivotField>
  </pivotFields>
  <rowFields count="1">
    <field x="3"/>
  </rowFields>
  <rowItems count="8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grand" r="0" i="0">
      <x v="0"/>
    </i>
  </rowItems>
  <colFields count="1">
    <field x="4"/>
  </colFields>
  <colItems count="3">
    <i t="data" r="0" i="0">
      <x v="0"/>
    </i>
    <i t="data" r="0" i="0">
      <x v="1"/>
    </i>
    <i t="grand" r="0" i="0">
      <x v="0"/>
    </i>
  </colItems>
  <pageFields count="2">
    <pageField fld="6" hier="-1"/>
    <pageField fld="8" hier="-1"/>
  </pageFields>
  <dataFields count="1">
    <dataField name="Count of oper state" fld="4" subtotal="count" showDataAs="normal" baseField="0" baseItem="0"/>
  </dataFields>
  <pivotTableStyleInfo name="PivotStyleMedium2" showRowHeaders="1" showColHeaders="1" showRowStripes="1" showColStripes="0" showLastColumn="1"/>
</pivotTableDefinition>
</file>

<file path=xl/tables/table1.xml><?xml version="1.0" encoding="utf-8"?>
<table xmlns="http://schemas.openxmlformats.org/spreadsheetml/2006/main" id="1" name="Table5" displayName="Table5" ref="A1:R18133" headerRowCount="1" totalsRowShown="0" headerRowDxfId="84" dataDxfId="83" tableBorderDxfId="82">
  <autoFilter ref="A1:R18133"/>
  <tableColumns count="18">
    <tableColumn id="1" name="NODE" dataDxfId="33"/>
    <tableColumn id="2" name="POD" dataDxfId="32"/>
    <tableColumn id="3" name="HOSTNAME" dataDxfId="31">
      <calculatedColumnFormula>VLOOKUP(VALUE(Table5[[#This Row],[NODE]]),LEAF_INFO!B:H,6,0)</calculatedColumnFormula>
    </tableColumn>
    <tableColumn id="4" name="PORT" dataDxfId="30"/>
    <tableColumn id="5" name="Admin State" dataDxfId="29"/>
    <tableColumn id="6" name="Operational State" dataDxfId="27"/>
    <tableColumn id="13" name="Reason" dataDxfId="28">
      <calculatedColumnFormula>VLOOKUP(_xlfn.CONCAT(Table5[[#This Row],[NODE]],Table5[[#This Row],[PORT]]),PORTS_!A:G,7,0)</calculatedColumnFormula>
    </tableColumn>
    <tableColumn id="7" name="Description" dataDxfId="34"/>
    <tableColumn id="11" name="MODEL" dataDxfId="35">
      <calculatedColumnFormula>VLOOKUP(VALUE(Table5[[#This Row],[NODE]]),LEAF_INFO!B:H,7,0)</calculatedColumnFormula>
    </tableColumn>
    <tableColumn id="21" name="VPC" dataDxfId="81">
      <calculatedColumnFormula>ISNUMBER(SEARCH("vpc-leaf", SUBSTITUTE(LOWER(K2), "_", "-")))</calculatedColumnFormula>
    </tableColumn>
    <tableColumn id="12" name="VPC2" dataDxfId="80">
      <calculatedColumnFormula>_xlfn.IFNA(VLOOKUP(VALUE(Table5[[#This Row],[NODE]]), VPC!A:A, 2, 0), "No está en VPC")</calculatedColumnFormula>
    </tableColumn>
    <tableColumn id="15" name="ID" dataDxfId="79">
      <calculatedColumnFormula>IF(OR(ISNUMBER(SEARCH("VPC-Leaf", K2)), ISNUMBER(SEARCH("VPC_Leaf", K2))),SUBSTITUTE(SUBSTITUTE(SUBSTITUTE(K2, "VPC-Leaf", ""), "VPC_Leaf", ""), "_", "-"),A2)</calculatedColumnFormula>
    </tableColumn>
    <tableColumn id="17" name="PG" dataDxfId="78">
      <calculatedColumnFormula>_xlfn.IFNA(VLOOKUP(_xlfn.CONCAT(VALUE(Table5[[#This Row],[NODE]]),Table5[[#This Row],[PORT]]),PG!C:H,6,0),"NO EXISTE PG")</calculatedColumnFormula>
    </tableColumn>
    <tableColumn id="18" name="ISEL" dataDxfId="77">
      <calculatedColumnFormula>_xlfn.IFNA(VLOOKUP(_xlfn.CONCAT(VALUE(Table5[[#This Row],[NODE]]),Table5[[#This Row],[PORT]]),PG!C:H,4,0),"NO EXISTE ISEL")</calculatedColumnFormula>
    </tableColumn>
    <tableColumn id="19" name="STATIC PORT" dataDxfId="76">
      <calculatedColumnFormula>COUNTIF(Statics!G:G,Table5[[#This Row],[PG]])+COUNTIF(Statics!H:H,_xlfn.CONCAT((Table5[[#This Row],[NODE]]),Table5[[#This Row],[PORT]]))</calculatedColumnFormula>
    </tableColumn>
    <tableColumn id="20" name="L3OUT" dataDxfId="36">
      <calculatedColumnFormula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calculatedColumnFormula>
    </tableColumn>
    <tableColumn id="14" name="STATIC PORT P/LEAF" dataDxfId="75">
      <calculatedColumnFormula>COUNTIF(Statics!F:F,Table5[[#This Row],[ID]])+COUNTIF(Statics!F:F,VALUE(Table5[[#This Row],[NODE]]))</calculatedColumnFormula>
    </tableColumn>
    <tableColumn id="16" name="PORTS P/LEAF" dataDxfId="74">
      <calculatedColumnFormula>_xlfn.IFNA(VLOOKUP(Table5[[#This Row],[MODEL]],Table1[[#All],[MODEL]:[PORTS]],7,0), "SPINE")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a4" displayName="Tabla4" ref="A1:H281" headerRowCount="1" totalsRowShown="0" headerRowDxfId="18" dataDxfId="17">
  <autoFilter ref="A1:H281"/>
  <tableColumns count="8">
    <tableColumn id="1" name="pod_id" dataDxfId="26"/>
    <tableColumn id="2" name="id" dataDxfId="25"/>
    <tableColumn id="16" name="pod_id2" dataDxfId="24">
      <calculatedColumnFormula>Tabla4[[#This Row],[pod_id]]</calculatedColumnFormula>
    </tableColumn>
    <tableColumn id="3" name="address" dataDxfId="23"/>
    <tableColumn id="6" name="version" dataDxfId="22"/>
    <tableColumn id="7" name="serialNumber" dataDxfId="21"/>
    <tableColumn id="10" name="name" dataDxfId="20"/>
    <tableColumn id="15" name="model" dataDxfId="19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1" displayName="Table1" ref="A2:S139" headerRowCount="1" totalsRowShown="0" headerRowDxfId="73" headerRowBorderDxfId="72">
  <autoFilter ref="A2:S139"/>
  <tableColumns count="19">
    <tableColumn id="1" name="NAME" dataDxfId="15"/>
    <tableColumn id="2" name="VPC ID" dataDxfId="16">
      <calculatedColumnFormula>VLOOKUP(Table1[[#This Row],[NAME]],VPC!A:B,2,0)</calculatedColumnFormula>
    </tableColumn>
    <tableColumn id="19" name="SALA" dataDxfId="71">
      <calculatedColumnFormula>VLOOKUP(VALUE(Table1[[#This Row],[ID]]),LEAF_INFO!B:C,2,0)</calculatedColumnFormula>
    </tableColumn>
    <tableColumn id="15" name="HOSTNAME" dataDxfId="70">
      <calculatedColumnFormula>VLOOKUP(VALUE(Table1[[#This Row],[ID]]),LEAF_INFO!B:G,6,0)</calculatedColumnFormula>
    </tableColumn>
    <tableColumn id="17" name="MODEL" dataDxfId="69">
      <calculatedColumnFormula>VLOOKUP(VALUE(Table1[[#This Row],[ID]]),LEAF_INFO!B:H,7,0)</calculatedColumnFormula>
    </tableColumn>
    <tableColumn id="3" name="ID" dataDxfId="37">
      <calculatedColumnFormula>IFERROR(
    --_xlfn.TEXTBEFORE(
        MID(LOWER(A3),
            SEARCH("vpc",LOWER(A3)) + 4 + IF(MID(LOWER(A3),SEARCH("vpc",LOWER(A3))+4,4)="leaf",4,0),
            20),
        "-"
    ),
"")</calculatedColumnFormula>
    </tableColumn>
    <tableColumn id="25" name="VPC_MEMBER" dataDxfId="68">
      <calculatedColumnFormula>Table1[[#This Row],[NAME]]</calculatedColumnFormula>
    </tableColumn>
    <tableColumn id="20" name="UP_UP" dataDxfId="67">
      <calculatedColumnFormula>COUNTIFS(PORTs!A:A,"up", PORTs!B:B,"up", PORTs!E:E,Table1[[#This Row],[ID]])</calculatedColumnFormula>
    </tableColumn>
    <tableColumn id="22" name="UP_DOWN" dataDxfId="66">
      <calculatedColumnFormula>COUNTIFS(PORTs!A:A,"up", PORTs!B:B,"down", PORTs!E:E,Table1[[#This Row],[ID]])</calculatedColumnFormula>
    </tableColumn>
    <tableColumn id="21" name="DOWN_DOWN" dataDxfId="65">
      <calculatedColumnFormula>COUNTIFS(PORTs!A:A,"down", PORTs!B:B,"down", PORTs!E:E,Table1[[#This Row],[ID]])</calculatedColumnFormula>
    </tableColumn>
    <tableColumn id="23" name="PORTS" dataDxfId="64">
      <calculatedColumnFormula>Table1[[#This Row],[UP_UP]]+Table1[[#This Row],[UP_DOWN]]+Table1[[#This Row],[DOWN_DOWN]]</calculatedColumnFormula>
    </tableColumn>
    <tableColumn id="16" name="HOSTNAME_" dataDxfId="63">
      <calculatedColumnFormula>VLOOKUP(VALUE(Table1[[#This Row],[ID_]]),LEAF_INFO!B:G,6,0)</calculatedColumnFormula>
    </tableColumn>
    <tableColumn id="18" name="MODEL_" dataDxfId="62">
      <calculatedColumnFormula>VLOOKUP(VALUE(Table1[[#This Row],[ID_]]),LEAF_INFO!B:H,7,0)</calculatedColumnFormula>
    </tableColumn>
    <tableColumn id="4" name="ID_" dataDxfId="61">
      <calculatedColumnFormula>_xlfn.LET(
_xlpm.txt, A3,
_xlpm.clean, SUBSTITUTE(SUBSTITUTE(_xlpm.txt, "_", "-"), "--", "-"),
_xlfn.TEXTAFTER(_xlpm.clean, "-", -1)
)</calculatedColumnFormula>
    </tableColumn>
    <tableColumn id="26" name="VPC_MEMBER_" dataDxfId="60">
      <calculatedColumnFormula>Table1[[#This Row],[NAME]]</calculatedColumnFormula>
    </tableColumn>
    <tableColumn id="10" name="UP_UP_" dataDxfId="59">
      <calculatedColumnFormula>COUNTIFS(PORTs!A:A,"up", PORTs!B:B,"up", PORTs!E:E,Table1[[#This Row],[ID_]])</calculatedColumnFormula>
    </tableColumn>
    <tableColumn id="11" name="UP_DOWN_" dataDxfId="58">
      <calculatedColumnFormula>COUNTIFS(PORTs!A:A,"up", PORTs!B:B,"down", PORTs!E:E,Table1[[#This Row],[ID_]])</calculatedColumnFormula>
    </tableColumn>
    <tableColumn id="12" name="DOWN_DOWN_" dataDxfId="57">
      <calculatedColumnFormula>COUNTIFS(PORTs!A:A,"down", PORTs!B:B,"down", PORTs!E:E,Table1[[#This Row],[ID_]])</calculatedColumnFormula>
    </tableColumn>
    <tableColumn id="13" name="PORTS_" dataDxfId="56">
      <calculatedColumnFormula>Table1[[#This Row],[UP_UP_]]+Table1[[#This Row],[UP_DOWN_]]+Table1[[#This Row],[DOWN_DOWN_]]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3" displayName="Table3" ref="A1:F18133" headerRowCount="1" totalsRowShown="0" headerRowDxfId="8" dataDxfId="7">
  <autoFilter ref="A1:F18133"/>
  <tableColumns count="6">
    <tableColumn id="1" name="Admin State" dataDxfId="14"/>
    <tableColumn id="2" name="Operational State" dataDxfId="13"/>
    <tableColumn id="3" name="Description" dataDxfId="12"/>
    <tableColumn id="5" name="POD" dataDxfId="11"/>
    <tableColumn id="6" name="NODE" dataDxfId="10"/>
    <tableColumn id="7" name="PORT" dataDxfId="9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J18523" headerRowCount="1" totalsRowShown="0">
  <autoFilter ref="A1:J18523"/>
  <tableColumns count="10">
    <tableColumn id="1" name="concat">
      <calculatedColumnFormula>_xlfn.CONCAT(B2,C2)</calculatedColumnFormula>
    </tableColumn>
    <tableColumn id="2" name="node">
      <calculatedColumnFormula>_xlfn.TEXTBEFORE(_xlfn.TEXTAFTER(I2, "node-"), "/")</calculatedColumnFormula>
    </tableColumn>
    <tableColumn id="3" name="port">
      <calculatedColumnFormula>_xlfn.TEXTBEFORE(_xlfn.TEXTAFTER(I2, "phys-["), "]")</calculatedColumnFormula>
    </tableColumn>
    <tableColumn id="4" name="duplex" dataDxfId="0"/>
    <tableColumn id="5" name="oper speed" dataDxfId="1"/>
    <tableColumn id="6" name="oper state" dataDxfId="6"/>
    <tableColumn id="7" name="oper st qual" dataDxfId="5"/>
    <tableColumn id="8" name="pod" dataDxfId="4">
      <calculatedColumnFormula>_xlfn.TEXTBEFORE(_xlfn.TEXTAFTER(I2, "pod-"), "/")</calculatedColumnFormula>
    </tableColumn>
    <tableColumn id="9" name="dn" dataDxfId="3"/>
    <tableColumn id="10" name="MODEL" dataDxfId="2">
      <calculatedColumnFormula>VLOOKUP(VALUE(Table6[[#This Row],[node]]), LEAF_INFO!B:I, 7,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2.xml.rels><Relationships xmlns="http://schemas.openxmlformats.org/package/2006/relationships"><Relationship Type="http://schemas.openxmlformats.org/officeDocument/2006/relationships/pivotTable" Target="/xl/pivotTables/pivot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8"/>
  <sheetViews>
    <sheetView tabSelected="1" zoomScale="144" workbookViewId="0">
      <selection activeCell="A1" sqref="A1"/>
    </sheetView>
  </sheetViews>
  <sheetFormatPr baseColWidth="10" defaultRowHeight="16"/>
  <cols>
    <col width="18.6640625" bestFit="1" customWidth="1" style="22" min="1" max="1"/>
    <col width="16" bestFit="1" customWidth="1" style="22" min="2" max="2"/>
    <col width="8" bestFit="1" customWidth="1" style="22" min="3" max="3"/>
    <col width="16" bestFit="1" customWidth="1" style="22" min="4" max="4"/>
    <col width="8" bestFit="1" customWidth="1" style="22" min="5" max="5"/>
    <col width="5.6640625" bestFit="1" customWidth="1" style="22" min="6" max="6"/>
    <col width="10.5" bestFit="1" customWidth="1" style="22" min="7" max="8"/>
    <col width="21.1640625" bestFit="1" customWidth="1" style="22" min="9" max="11"/>
    <col width="21.83203125" bestFit="1" customWidth="1" style="22" min="12" max="12"/>
    <col width="26.83203125" bestFit="1" customWidth="1" style="22" min="13" max="13"/>
    <col width="23.5" bestFit="1" customWidth="1" style="22" min="14" max="14"/>
    <col width="14.33203125" bestFit="1" customWidth="1" style="22" min="15" max="15"/>
    <col width="10.5" bestFit="1" customWidth="1" style="22" min="16" max="16"/>
    <col width="14.33203125" bestFit="1" customWidth="1" style="22" min="17" max="17"/>
    <col width="10.5" bestFit="1" customWidth="1" style="22" min="18" max="18"/>
  </cols>
  <sheetData>
    <row r="1">
      <c r="A1" s="4" t="inlineStr">
        <is>
          <t>POD</t>
        </is>
      </c>
      <c r="B1" t="inlineStr">
        <is>
          <t>(All)</t>
        </is>
      </c>
    </row>
    <row r="2">
      <c r="A2" s="4" t="inlineStr">
        <is>
          <t>MODEL</t>
        </is>
      </c>
      <c r="B2" t="inlineStr">
        <is>
          <t>(All)</t>
        </is>
      </c>
    </row>
    <row r="4">
      <c r="A4" s="4" t="inlineStr">
        <is>
          <t>Count of Admin State</t>
        </is>
      </c>
      <c r="B4" s="4" t="inlineStr">
        <is>
          <t>Column Labels</t>
        </is>
      </c>
    </row>
    <row r="5">
      <c r="B5" t="inlineStr">
        <is>
          <t>down</t>
        </is>
      </c>
      <c r="D5" t="inlineStr">
        <is>
          <t>up</t>
        </is>
      </c>
      <c r="G5" t="inlineStr">
        <is>
          <t>Grand Total</t>
        </is>
      </c>
    </row>
    <row r="6">
      <c r="B6" t="inlineStr">
        <is>
          <t>Breake-Out port</t>
        </is>
      </c>
      <c r="C6" t="inlineStr">
        <is>
          <t>down</t>
        </is>
      </c>
      <c r="D6" t="inlineStr">
        <is>
          <t>Breake-Out port</t>
        </is>
      </c>
      <c r="E6" t="inlineStr">
        <is>
          <t>down</t>
        </is>
      </c>
      <c r="F6" t="inlineStr">
        <is>
          <t>up</t>
        </is>
      </c>
    </row>
    <row r="7">
      <c r="A7" s="4" t="inlineStr">
        <is>
          <t>Row Labels</t>
        </is>
      </c>
      <c r="B7" t="inlineStr">
        <is>
          <t>#N/A</t>
        </is>
      </c>
      <c r="D7" t="inlineStr">
        <is>
          <t>#N/A</t>
        </is>
      </c>
      <c r="F7" t="inlineStr">
        <is>
          <t>none</t>
        </is>
      </c>
    </row>
    <row r="8">
      <c r="A8" s="5" t="inlineStr">
        <is>
          <t>9LF_IXT1_10112_01</t>
        </is>
      </c>
      <c r="C8" t="n">
        <v>3</v>
      </c>
      <c r="E8" t="n">
        <v>10</v>
      </c>
      <c r="F8" t="n">
        <v>41</v>
      </c>
      <c r="G8" t="n">
        <v>54</v>
      </c>
    </row>
    <row r="9">
      <c r="A9" s="5" t="inlineStr">
        <is>
          <t>9LF_IXT1_10218_01</t>
        </is>
      </c>
      <c r="C9" t="n">
        <v>13</v>
      </c>
      <c r="E9" t="n">
        <v>74</v>
      </c>
      <c r="F9" t="n">
        <v>9</v>
      </c>
      <c r="G9" t="n">
        <v>96</v>
      </c>
    </row>
    <row r="10">
      <c r="A10" s="5" t="inlineStr">
        <is>
          <t>9LF_IXT1_10218_02</t>
        </is>
      </c>
      <c r="C10" t="n">
        <v>3</v>
      </c>
      <c r="E10" t="n">
        <v>83</v>
      </c>
      <c r="F10" t="n">
        <v>10</v>
      </c>
      <c r="G10" t="n">
        <v>96</v>
      </c>
    </row>
    <row r="11">
      <c r="A11" s="5" t="inlineStr">
        <is>
          <t>9LF_IXT1_10218_03</t>
        </is>
      </c>
      <c r="C11" t="n">
        <v>13</v>
      </c>
      <c r="E11" t="n">
        <v>71</v>
      </c>
      <c r="F11" t="n">
        <v>12</v>
      </c>
      <c r="G11" t="n">
        <v>96</v>
      </c>
    </row>
    <row r="12">
      <c r="A12" s="5" t="inlineStr">
        <is>
          <t>9LF_IXT1_10218_04</t>
        </is>
      </c>
      <c r="C12" t="n">
        <v>3</v>
      </c>
      <c r="E12" t="n">
        <v>78</v>
      </c>
      <c r="F12" t="n">
        <v>15</v>
      </c>
      <c r="G12" t="n">
        <v>96</v>
      </c>
    </row>
    <row r="13">
      <c r="A13" s="5" t="inlineStr">
        <is>
          <t>9LF_IXT1_10318_01</t>
        </is>
      </c>
      <c r="C13" t="n">
        <v>1</v>
      </c>
      <c r="E13" t="n">
        <v>47</v>
      </c>
      <c r="F13" t="n">
        <v>48</v>
      </c>
      <c r="G13" t="n">
        <v>96</v>
      </c>
    </row>
    <row r="14">
      <c r="A14" s="5" t="inlineStr">
        <is>
          <t>9LF_IXT1_10418_01</t>
        </is>
      </c>
      <c r="C14" t="n">
        <v>16</v>
      </c>
      <c r="E14" t="n">
        <v>36</v>
      </c>
      <c r="F14" t="n">
        <v>44</v>
      </c>
      <c r="G14" t="n">
        <v>96</v>
      </c>
    </row>
    <row r="15">
      <c r="A15" s="5" t="inlineStr">
        <is>
          <t>9LF_IXT1_10518_01</t>
        </is>
      </c>
      <c r="C15" t="n">
        <v>13</v>
      </c>
      <c r="E15" t="n">
        <v>44</v>
      </c>
      <c r="F15" t="n">
        <v>39</v>
      </c>
      <c r="G15" t="n">
        <v>96</v>
      </c>
    </row>
    <row r="16">
      <c r="A16" s="5" t="inlineStr">
        <is>
          <t>9LF_IXT1_10618_01</t>
        </is>
      </c>
      <c r="C16" t="n">
        <v>12</v>
      </c>
      <c r="E16" t="n">
        <v>43</v>
      </c>
      <c r="F16" t="n">
        <v>41</v>
      </c>
      <c r="G16" t="n">
        <v>96</v>
      </c>
    </row>
    <row r="17">
      <c r="A17" s="5" t="inlineStr">
        <is>
          <t>9LF_IXT1_10718_01</t>
        </is>
      </c>
      <c r="C17" t="n">
        <v>3</v>
      </c>
      <c r="E17" t="n">
        <v>45</v>
      </c>
      <c r="F17" t="n">
        <v>48</v>
      </c>
      <c r="G17" t="n">
        <v>96</v>
      </c>
    </row>
    <row r="18">
      <c r="A18" s="5" t="inlineStr">
        <is>
          <t>9LF_IXT1_10718_02</t>
        </is>
      </c>
      <c r="C18" t="n">
        <v>22</v>
      </c>
      <c r="E18" t="n">
        <v>1</v>
      </c>
      <c r="F18" t="n">
        <v>31</v>
      </c>
      <c r="G18" t="n">
        <v>54</v>
      </c>
    </row>
    <row r="19">
      <c r="A19" s="5" t="inlineStr">
        <is>
          <t>9LF_IXT1_10718_03</t>
        </is>
      </c>
      <c r="C19" t="n">
        <v>22</v>
      </c>
      <c r="F19" t="n">
        <v>32</v>
      </c>
      <c r="G19" t="n">
        <v>54</v>
      </c>
    </row>
    <row r="20">
      <c r="A20" s="5" t="inlineStr">
        <is>
          <t>9LF_IXT1_10818_01</t>
        </is>
      </c>
      <c r="C20" t="n">
        <v>4</v>
      </c>
      <c r="E20" t="n">
        <v>59</v>
      </c>
      <c r="F20" t="n">
        <v>33</v>
      </c>
      <c r="G20" t="n">
        <v>96</v>
      </c>
    </row>
    <row r="21">
      <c r="A21" s="5" t="inlineStr">
        <is>
          <t>9LF_IXT1_10918_01</t>
        </is>
      </c>
      <c r="C21" t="n">
        <v>13</v>
      </c>
      <c r="E21" t="n">
        <v>50</v>
      </c>
      <c r="F21" t="n">
        <v>33</v>
      </c>
      <c r="G21" t="n">
        <v>96</v>
      </c>
    </row>
    <row r="22">
      <c r="A22" s="5" t="inlineStr">
        <is>
          <t>9LF_IXT1_10918_02</t>
        </is>
      </c>
      <c r="E22" t="n">
        <v>72</v>
      </c>
      <c r="F22" t="n">
        <v>24</v>
      </c>
      <c r="G22" t="n">
        <v>96</v>
      </c>
    </row>
    <row r="23">
      <c r="A23" s="5" t="inlineStr">
        <is>
          <t>9LF_IXT1_10918_03</t>
        </is>
      </c>
      <c r="C23" t="n">
        <v>46</v>
      </c>
      <c r="F23" t="n">
        <v>8</v>
      </c>
      <c r="G23" t="n">
        <v>54</v>
      </c>
    </row>
    <row r="24">
      <c r="A24" s="5" t="inlineStr">
        <is>
          <t>9LF_IXT1_10918_04</t>
        </is>
      </c>
      <c r="C24" t="n">
        <v>46</v>
      </c>
      <c r="F24" t="n">
        <v>8</v>
      </c>
      <c r="G24" t="n">
        <v>54</v>
      </c>
    </row>
    <row r="25">
      <c r="A25" s="5" t="inlineStr">
        <is>
          <t>9LF_IXT1_11018_01</t>
        </is>
      </c>
      <c r="C25" t="n">
        <v>13</v>
      </c>
      <c r="E25" t="n">
        <v>52</v>
      </c>
      <c r="F25" t="n">
        <v>31</v>
      </c>
      <c r="G25" t="n">
        <v>96</v>
      </c>
    </row>
    <row r="26">
      <c r="A26" s="5" t="inlineStr">
        <is>
          <t>9LF_IXT1_11018_02</t>
        </is>
      </c>
      <c r="E26" t="n">
        <v>77</v>
      </c>
      <c r="F26" t="n">
        <v>19</v>
      </c>
      <c r="G26" t="n">
        <v>96</v>
      </c>
    </row>
    <row r="27">
      <c r="A27" s="5" t="inlineStr">
        <is>
          <t>9LF_IXT1_11118_01</t>
        </is>
      </c>
      <c r="C27" t="n">
        <v>18</v>
      </c>
      <c r="E27" t="n">
        <v>37</v>
      </c>
      <c r="F27" t="n">
        <v>41</v>
      </c>
      <c r="G27" t="n">
        <v>96</v>
      </c>
    </row>
    <row r="28">
      <c r="A28" s="5" t="inlineStr">
        <is>
          <t>9LF_IXT1_11118_02</t>
        </is>
      </c>
      <c r="E28" t="n">
        <v>94</v>
      </c>
      <c r="F28" t="n">
        <v>2</v>
      </c>
      <c r="G28" t="n">
        <v>96</v>
      </c>
    </row>
    <row r="29">
      <c r="A29" s="5" t="inlineStr">
        <is>
          <t>9LF_IXT1_11218_01</t>
        </is>
      </c>
      <c r="C29" t="n">
        <v>13</v>
      </c>
      <c r="E29" t="n">
        <v>38</v>
      </c>
      <c r="F29" t="n">
        <v>45</v>
      </c>
      <c r="G29" t="n">
        <v>96</v>
      </c>
    </row>
    <row r="30">
      <c r="A30" s="5" t="inlineStr">
        <is>
          <t>9LF_IXT1_11218_02</t>
        </is>
      </c>
      <c r="C30" t="n">
        <v>9</v>
      </c>
      <c r="E30" t="n">
        <v>85</v>
      </c>
      <c r="F30" t="n">
        <v>2</v>
      </c>
      <c r="G30" t="n">
        <v>96</v>
      </c>
    </row>
    <row r="31">
      <c r="A31" s="5" t="inlineStr">
        <is>
          <t>9LF_IXT1_11318_01</t>
        </is>
      </c>
      <c r="C31" t="n">
        <v>22</v>
      </c>
      <c r="E31" t="n">
        <v>5</v>
      </c>
      <c r="F31" t="n">
        <v>69</v>
      </c>
      <c r="G31" t="n">
        <v>96</v>
      </c>
    </row>
    <row r="32">
      <c r="A32" s="5" t="inlineStr">
        <is>
          <t>9LF_IXT1_11318_02</t>
        </is>
      </c>
      <c r="C32" t="n">
        <v>1</v>
      </c>
      <c r="E32" t="n">
        <v>46</v>
      </c>
      <c r="F32" t="n">
        <v>7</v>
      </c>
      <c r="G32" t="n">
        <v>54</v>
      </c>
    </row>
    <row r="33">
      <c r="A33" s="5" t="inlineStr">
        <is>
          <t>9LF_IXT1_11418_01</t>
        </is>
      </c>
      <c r="C33" t="n">
        <v>22</v>
      </c>
      <c r="E33" t="n">
        <v>10</v>
      </c>
      <c r="F33" t="n">
        <v>64</v>
      </c>
      <c r="G33" t="n">
        <v>96</v>
      </c>
    </row>
    <row r="34">
      <c r="A34" s="5" t="inlineStr">
        <is>
          <t>9LF_IXT1_11418_02</t>
        </is>
      </c>
      <c r="C34" t="n">
        <v>1</v>
      </c>
      <c r="E34" t="n">
        <v>40</v>
      </c>
      <c r="F34" t="n">
        <v>13</v>
      </c>
      <c r="G34" t="n">
        <v>54</v>
      </c>
    </row>
    <row r="35">
      <c r="A35" s="5" t="inlineStr">
        <is>
          <t>9LF_IXT1_11518_01</t>
        </is>
      </c>
      <c r="C35" t="n">
        <v>10</v>
      </c>
      <c r="E35" t="n">
        <v>51</v>
      </c>
      <c r="F35" t="n">
        <v>35</v>
      </c>
      <c r="G35" t="n">
        <v>96</v>
      </c>
    </row>
    <row r="36">
      <c r="A36" s="5" t="inlineStr">
        <is>
          <t>9LF_IXT1_11618_01</t>
        </is>
      </c>
      <c r="C36" t="n">
        <v>11</v>
      </c>
      <c r="E36" t="n">
        <v>52</v>
      </c>
      <c r="F36" t="n">
        <v>33</v>
      </c>
      <c r="G36" t="n">
        <v>96</v>
      </c>
    </row>
    <row r="37">
      <c r="A37" s="5" t="inlineStr">
        <is>
          <t>9LF_IXT1_11718_01</t>
        </is>
      </c>
      <c r="C37" t="n">
        <v>1</v>
      </c>
      <c r="E37" t="n">
        <v>69</v>
      </c>
      <c r="F37" t="n">
        <v>26</v>
      </c>
      <c r="G37" t="n">
        <v>96</v>
      </c>
    </row>
    <row r="38">
      <c r="A38" s="5" t="inlineStr">
        <is>
          <t>9LF_IXT1_20114_01</t>
        </is>
      </c>
      <c r="C38" t="n">
        <v>2</v>
      </c>
      <c r="E38" t="n">
        <v>9</v>
      </c>
      <c r="F38" t="n">
        <v>43</v>
      </c>
      <c r="G38" t="n">
        <v>54</v>
      </c>
    </row>
    <row r="39">
      <c r="A39" s="5" t="inlineStr">
        <is>
          <t>9LF_IXT1_20219_01</t>
        </is>
      </c>
      <c r="C39" t="n">
        <v>2</v>
      </c>
      <c r="E39" t="n">
        <v>68</v>
      </c>
      <c r="F39" t="n">
        <v>26</v>
      </c>
      <c r="G39" t="n">
        <v>96</v>
      </c>
    </row>
    <row r="40">
      <c r="A40" s="5" t="inlineStr">
        <is>
          <t>9LF_IXT1_20219_02</t>
        </is>
      </c>
      <c r="C40" t="n">
        <v>1</v>
      </c>
      <c r="E40" t="n">
        <v>34</v>
      </c>
      <c r="F40" t="n">
        <v>19</v>
      </c>
      <c r="G40" t="n">
        <v>54</v>
      </c>
    </row>
    <row r="41">
      <c r="A41" s="5" t="inlineStr">
        <is>
          <t>9LF_IXT1_20319_01</t>
        </is>
      </c>
      <c r="C41" t="n">
        <v>3</v>
      </c>
      <c r="E41" t="n">
        <v>71</v>
      </c>
      <c r="F41" t="n">
        <v>22</v>
      </c>
      <c r="G41" t="n">
        <v>96</v>
      </c>
    </row>
    <row r="42">
      <c r="A42" s="5" t="inlineStr">
        <is>
          <t>9LF_IXT1_20419_01</t>
        </is>
      </c>
      <c r="C42" t="n">
        <v>1</v>
      </c>
      <c r="E42" t="n">
        <v>61</v>
      </c>
      <c r="F42" t="n">
        <v>34</v>
      </c>
      <c r="G42" t="n">
        <v>96</v>
      </c>
    </row>
    <row r="43">
      <c r="A43" s="5" t="inlineStr">
        <is>
          <t>9LF_IXT1_20519_01</t>
        </is>
      </c>
      <c r="C43" t="n">
        <v>8</v>
      </c>
      <c r="E43" t="n">
        <v>9</v>
      </c>
      <c r="F43" t="n">
        <v>79</v>
      </c>
      <c r="G43" t="n">
        <v>96</v>
      </c>
    </row>
    <row r="44">
      <c r="A44" s="5" t="inlineStr">
        <is>
          <t>9LF_IXT1_20519_02</t>
        </is>
      </c>
      <c r="C44" t="n">
        <v>6</v>
      </c>
      <c r="E44" t="n">
        <v>80</v>
      </c>
      <c r="F44" t="n">
        <v>10</v>
      </c>
      <c r="G44" t="n">
        <v>96</v>
      </c>
    </row>
    <row r="45">
      <c r="A45" s="5" t="inlineStr">
        <is>
          <t>9LF_IXT1_20619_01</t>
        </is>
      </c>
      <c r="C45" t="n">
        <v>14</v>
      </c>
      <c r="E45" t="n">
        <v>8</v>
      </c>
      <c r="F45" t="n">
        <v>74</v>
      </c>
      <c r="G45" t="n">
        <v>96</v>
      </c>
    </row>
    <row r="46">
      <c r="A46" s="5" t="inlineStr">
        <is>
          <t>9LF_IXT1_20619_02</t>
        </is>
      </c>
      <c r="C46" t="n">
        <v>5</v>
      </c>
      <c r="E46" t="n">
        <v>83</v>
      </c>
      <c r="F46" t="n">
        <v>8</v>
      </c>
      <c r="G46" t="n">
        <v>96</v>
      </c>
    </row>
    <row r="47">
      <c r="A47" s="5" t="inlineStr">
        <is>
          <t>9LF_IXT1_20719_01</t>
        </is>
      </c>
      <c r="C47" t="n">
        <v>1</v>
      </c>
      <c r="E47" t="n">
        <v>75</v>
      </c>
      <c r="F47" t="n">
        <v>20</v>
      </c>
      <c r="G47" t="n">
        <v>96</v>
      </c>
    </row>
    <row r="48">
      <c r="A48" s="5" t="inlineStr">
        <is>
          <t>9LF_IXT1_20819_01</t>
        </is>
      </c>
      <c r="C48" t="n">
        <v>6</v>
      </c>
      <c r="E48" t="n">
        <v>31</v>
      </c>
      <c r="F48" t="n">
        <v>17</v>
      </c>
      <c r="G48" t="n">
        <v>54</v>
      </c>
    </row>
    <row r="49">
      <c r="A49" s="5" t="inlineStr">
        <is>
          <t>9LF_IXT1_20919_01</t>
        </is>
      </c>
      <c r="C49" t="n">
        <v>10</v>
      </c>
      <c r="E49" t="n">
        <v>33</v>
      </c>
      <c r="F49" t="n">
        <v>53</v>
      </c>
      <c r="G49" t="n">
        <v>96</v>
      </c>
    </row>
    <row r="50">
      <c r="A50" s="5" t="inlineStr">
        <is>
          <t>9LF_IXT1_21019_01</t>
        </is>
      </c>
      <c r="C50" t="n">
        <v>11</v>
      </c>
      <c r="E50" t="n">
        <v>19</v>
      </c>
      <c r="F50" t="n">
        <v>66</v>
      </c>
      <c r="G50" t="n">
        <v>96</v>
      </c>
    </row>
    <row r="51">
      <c r="A51" s="5" t="inlineStr">
        <is>
          <t>9LF_IXT1_21119_01</t>
        </is>
      </c>
      <c r="C51" t="n">
        <v>2</v>
      </c>
      <c r="E51" t="n">
        <v>59</v>
      </c>
      <c r="F51" t="n">
        <v>35</v>
      </c>
      <c r="G51" t="n">
        <v>96</v>
      </c>
    </row>
    <row r="52">
      <c r="A52" s="5" t="inlineStr">
        <is>
          <t>9LF_IXT1_21219_01</t>
        </is>
      </c>
      <c r="C52" t="n">
        <v>4</v>
      </c>
      <c r="E52" t="n">
        <v>60</v>
      </c>
      <c r="F52" t="n">
        <v>32</v>
      </c>
      <c r="G52" t="n">
        <v>96</v>
      </c>
    </row>
    <row r="53">
      <c r="A53" s="5" t="inlineStr">
        <is>
          <t>9LF_IXT1_21319_01</t>
        </is>
      </c>
      <c r="C53" t="n">
        <v>5</v>
      </c>
      <c r="E53" t="n">
        <v>51</v>
      </c>
      <c r="F53" t="n">
        <v>40</v>
      </c>
      <c r="G53" t="n">
        <v>96</v>
      </c>
    </row>
    <row r="54">
      <c r="A54" s="5" t="inlineStr">
        <is>
          <t>9LF_IXT1_21419_01</t>
        </is>
      </c>
      <c r="C54" t="n">
        <v>12</v>
      </c>
      <c r="E54" t="n">
        <v>42</v>
      </c>
      <c r="F54" t="n">
        <v>42</v>
      </c>
      <c r="G54" t="n">
        <v>96</v>
      </c>
    </row>
    <row r="55">
      <c r="A55" s="5" t="inlineStr">
        <is>
          <t>9LF_IXT1_21519_01</t>
        </is>
      </c>
      <c r="C55" t="n">
        <v>13</v>
      </c>
      <c r="E55" t="n">
        <v>52</v>
      </c>
      <c r="F55" t="n">
        <v>31</v>
      </c>
      <c r="G55" t="n">
        <v>96</v>
      </c>
    </row>
    <row r="56">
      <c r="A56" s="5" t="inlineStr">
        <is>
          <t>9LF_IXT1_21619_01</t>
        </is>
      </c>
      <c r="C56" t="n">
        <v>1</v>
      </c>
      <c r="E56" t="n">
        <v>56</v>
      </c>
      <c r="F56" t="n">
        <v>39</v>
      </c>
      <c r="G56" t="n">
        <v>96</v>
      </c>
    </row>
    <row r="57">
      <c r="A57" s="5" t="inlineStr">
        <is>
          <t>9LF_IXT1_21719_01</t>
        </is>
      </c>
      <c r="C57" t="n">
        <v>2</v>
      </c>
      <c r="E57" t="n">
        <v>70</v>
      </c>
      <c r="F57" t="n">
        <v>24</v>
      </c>
      <c r="G57" t="n">
        <v>96</v>
      </c>
    </row>
    <row r="58">
      <c r="A58" s="5" t="inlineStr">
        <is>
          <t>9LF_IXT2_10118_01</t>
        </is>
      </c>
      <c r="C58" t="n">
        <v>1</v>
      </c>
      <c r="E58" t="n">
        <v>17</v>
      </c>
      <c r="F58" t="n">
        <v>36</v>
      </c>
      <c r="G58" t="n">
        <v>54</v>
      </c>
    </row>
    <row r="59">
      <c r="A59" s="5" t="inlineStr">
        <is>
          <t>9LF_IXT2_10218_01</t>
        </is>
      </c>
      <c r="C59" t="n">
        <v>19</v>
      </c>
      <c r="E59" t="n">
        <v>5</v>
      </c>
      <c r="F59" t="n">
        <v>72</v>
      </c>
      <c r="G59" t="n">
        <v>96</v>
      </c>
    </row>
    <row r="60">
      <c r="A60" s="5" t="inlineStr">
        <is>
          <t>9LF_IXT2_10218_02</t>
        </is>
      </c>
      <c r="C60" t="n">
        <v>26</v>
      </c>
      <c r="E60" t="n">
        <v>5</v>
      </c>
      <c r="F60" t="n">
        <v>65</v>
      </c>
      <c r="G60" t="n">
        <v>96</v>
      </c>
    </row>
    <row r="61">
      <c r="A61" s="5" t="inlineStr">
        <is>
          <t>9LF_IXT2_10518_01</t>
        </is>
      </c>
      <c r="C61" t="n">
        <v>33</v>
      </c>
      <c r="E61" t="n">
        <v>5</v>
      </c>
      <c r="F61" t="n">
        <v>58</v>
      </c>
      <c r="G61" t="n">
        <v>96</v>
      </c>
    </row>
    <row r="62">
      <c r="A62" s="5" t="inlineStr">
        <is>
          <t>9LF_IXT2_10518_02</t>
        </is>
      </c>
      <c r="C62" t="n">
        <v>30</v>
      </c>
      <c r="E62" t="n">
        <v>5</v>
      </c>
      <c r="F62" t="n">
        <v>61</v>
      </c>
      <c r="G62" t="n">
        <v>96</v>
      </c>
    </row>
    <row r="63">
      <c r="A63" s="5" t="inlineStr">
        <is>
          <t>9LF_IXT2_10818_01</t>
        </is>
      </c>
      <c r="C63" t="n">
        <v>29</v>
      </c>
      <c r="E63" t="n">
        <v>5</v>
      </c>
      <c r="F63" t="n">
        <v>62</v>
      </c>
      <c r="G63" t="n">
        <v>96</v>
      </c>
    </row>
    <row r="64">
      <c r="A64" s="5" t="inlineStr">
        <is>
          <t>9LF_IXT2_10818_02</t>
        </is>
      </c>
      <c r="C64" t="n">
        <v>11</v>
      </c>
      <c r="E64" t="n">
        <v>7</v>
      </c>
      <c r="F64" t="n">
        <v>78</v>
      </c>
      <c r="G64" t="n">
        <v>96</v>
      </c>
    </row>
    <row r="65">
      <c r="A65" s="5" t="inlineStr">
        <is>
          <t>9LF_IXT2_10818_03</t>
        </is>
      </c>
      <c r="C65" t="n">
        <v>70</v>
      </c>
      <c r="E65" t="n">
        <v>1</v>
      </c>
      <c r="F65" t="n">
        <v>25</v>
      </c>
      <c r="G65" t="n">
        <v>96</v>
      </c>
    </row>
    <row r="66">
      <c r="A66" s="5" t="inlineStr">
        <is>
          <t>9LF_IXT2_10818_04</t>
        </is>
      </c>
      <c r="C66" t="n">
        <v>68</v>
      </c>
      <c r="E66" t="n">
        <v>1</v>
      </c>
      <c r="F66" t="n">
        <v>27</v>
      </c>
      <c r="G66" t="n">
        <v>96</v>
      </c>
    </row>
    <row r="67">
      <c r="A67" s="5" t="inlineStr">
        <is>
          <t>9LF_IXT2_11118_01</t>
        </is>
      </c>
      <c r="C67" t="n">
        <v>46</v>
      </c>
      <c r="F67" t="n">
        <v>50</v>
      </c>
      <c r="G67" t="n">
        <v>96</v>
      </c>
    </row>
    <row r="68">
      <c r="A68" s="5" t="inlineStr">
        <is>
          <t>9LF_IXT2_11118_02</t>
        </is>
      </c>
      <c r="C68" t="n">
        <v>47</v>
      </c>
      <c r="E68" t="n">
        <v>15</v>
      </c>
      <c r="F68" t="n">
        <v>34</v>
      </c>
      <c r="G68" t="n">
        <v>96</v>
      </c>
    </row>
    <row r="69">
      <c r="A69" s="5" t="inlineStr">
        <is>
          <t>9LF_IXT2_11118_03</t>
        </is>
      </c>
      <c r="C69" t="n">
        <v>53</v>
      </c>
      <c r="F69" t="n">
        <v>43</v>
      </c>
      <c r="G69" t="n">
        <v>96</v>
      </c>
    </row>
    <row r="70">
      <c r="A70" s="5" t="inlineStr">
        <is>
          <t>9LF_IXT2_11118_04</t>
        </is>
      </c>
      <c r="C70" t="n">
        <v>53</v>
      </c>
      <c r="E70" t="n">
        <v>8</v>
      </c>
      <c r="F70" t="n">
        <v>35</v>
      </c>
      <c r="G70" t="n">
        <v>96</v>
      </c>
    </row>
    <row r="71">
      <c r="A71" s="5" t="inlineStr">
        <is>
          <t>9LF_IXT2_11418_01</t>
        </is>
      </c>
      <c r="C71" t="n">
        <v>41</v>
      </c>
      <c r="E71" t="n">
        <v>1</v>
      </c>
      <c r="F71" t="n">
        <v>12</v>
      </c>
      <c r="G71" t="n">
        <v>54</v>
      </c>
    </row>
    <row r="72">
      <c r="A72" s="5" t="inlineStr">
        <is>
          <t>9LF_IXT2_11418_02</t>
        </is>
      </c>
      <c r="C72" t="n">
        <v>42</v>
      </c>
      <c r="F72" t="n">
        <v>12</v>
      </c>
      <c r="G72" t="n">
        <v>54</v>
      </c>
    </row>
    <row r="73">
      <c r="A73" s="5" t="inlineStr">
        <is>
          <t>9LF_IXT2_11418_03</t>
        </is>
      </c>
      <c r="C73" t="n">
        <v>8</v>
      </c>
      <c r="E73" t="n">
        <v>3</v>
      </c>
      <c r="F73" t="n">
        <v>43</v>
      </c>
      <c r="G73" t="n">
        <v>54</v>
      </c>
    </row>
    <row r="74">
      <c r="A74" s="5" t="inlineStr">
        <is>
          <t>9LF_IXT2_11418_04</t>
        </is>
      </c>
      <c r="C74" t="n">
        <v>47</v>
      </c>
      <c r="F74" t="n">
        <v>7</v>
      </c>
      <c r="G74" t="n">
        <v>54</v>
      </c>
    </row>
    <row r="75">
      <c r="A75" s="5" t="inlineStr">
        <is>
          <t>9LF_IXT2_11709_01</t>
        </is>
      </c>
      <c r="D75" t="n">
        <v>2</v>
      </c>
      <c r="E75" t="n">
        <v>27</v>
      </c>
      <c r="F75" t="n">
        <v>15</v>
      </c>
      <c r="G75" t="n">
        <v>44</v>
      </c>
    </row>
    <row r="76">
      <c r="A76" s="5" t="inlineStr">
        <is>
          <t>9LF_IXT2_11710_01</t>
        </is>
      </c>
      <c r="D76" t="n">
        <v>2</v>
      </c>
      <c r="E76" t="n">
        <v>27</v>
      </c>
      <c r="F76" t="n">
        <v>15</v>
      </c>
      <c r="G76" t="n">
        <v>44</v>
      </c>
    </row>
    <row r="77">
      <c r="A77" s="5" t="inlineStr">
        <is>
          <t>9LF_IXT2_11718_01</t>
        </is>
      </c>
      <c r="C77" t="n">
        <v>30</v>
      </c>
      <c r="E77" t="n">
        <v>2</v>
      </c>
      <c r="F77" t="n">
        <v>22</v>
      </c>
      <c r="G77" t="n">
        <v>54</v>
      </c>
    </row>
    <row r="78">
      <c r="A78" s="5" t="inlineStr">
        <is>
          <t>9LF_IXT2_11718_02</t>
        </is>
      </c>
      <c r="C78" t="n">
        <v>33</v>
      </c>
      <c r="E78" t="n">
        <v>3</v>
      </c>
      <c r="F78" t="n">
        <v>18</v>
      </c>
      <c r="G78" t="n">
        <v>54</v>
      </c>
    </row>
    <row r="79">
      <c r="A79" s="5" t="inlineStr">
        <is>
          <t>9LF_IXT2_20117_01</t>
        </is>
      </c>
      <c r="C79" t="n">
        <v>2</v>
      </c>
      <c r="E79" t="n">
        <v>15</v>
      </c>
      <c r="F79" t="n">
        <v>37</v>
      </c>
      <c r="G79" t="n">
        <v>54</v>
      </c>
    </row>
    <row r="80">
      <c r="A80" s="5" t="inlineStr">
        <is>
          <t>9LF_IXT2_20217_01</t>
        </is>
      </c>
      <c r="C80" t="n">
        <v>10</v>
      </c>
      <c r="E80" t="n">
        <v>10</v>
      </c>
      <c r="F80" t="n">
        <v>76</v>
      </c>
      <c r="G80" t="n">
        <v>96</v>
      </c>
    </row>
    <row r="81">
      <c r="A81" s="5" t="inlineStr">
        <is>
          <t>9LF_IXT2_20217_02</t>
        </is>
      </c>
      <c r="C81" t="n">
        <v>17</v>
      </c>
      <c r="E81" t="n">
        <v>4</v>
      </c>
      <c r="F81" t="n">
        <v>75</v>
      </c>
      <c r="G81" t="n">
        <v>96</v>
      </c>
    </row>
    <row r="82">
      <c r="A82" s="5" t="inlineStr">
        <is>
          <t>9LF_IXT2_20217_03</t>
        </is>
      </c>
      <c r="C82" t="n">
        <v>14</v>
      </c>
      <c r="E82" t="n">
        <v>11</v>
      </c>
      <c r="F82" t="n">
        <v>71</v>
      </c>
      <c r="G82" t="n">
        <v>96</v>
      </c>
    </row>
    <row r="83">
      <c r="A83" s="5" t="inlineStr">
        <is>
          <t>9LF_IXT2_20217_04</t>
        </is>
      </c>
      <c r="C83" t="n">
        <v>13</v>
      </c>
      <c r="E83" t="n">
        <v>8</v>
      </c>
      <c r="F83" t="n">
        <v>75</v>
      </c>
      <c r="G83" t="n">
        <v>96</v>
      </c>
    </row>
    <row r="84">
      <c r="A84" s="5" t="inlineStr">
        <is>
          <t>9LF_IXT2_20217_05</t>
        </is>
      </c>
      <c r="C84" t="n">
        <v>32</v>
      </c>
      <c r="E84" t="n">
        <v>9</v>
      </c>
      <c r="F84" t="n">
        <v>55</v>
      </c>
      <c r="G84" t="n">
        <v>96</v>
      </c>
    </row>
    <row r="85">
      <c r="A85" s="5" t="inlineStr">
        <is>
          <t>9LF_IXT2_20217_06</t>
        </is>
      </c>
      <c r="C85" t="n">
        <v>30</v>
      </c>
      <c r="E85" t="n">
        <v>12</v>
      </c>
      <c r="F85" t="n">
        <v>54</v>
      </c>
      <c r="G85" t="n">
        <v>96</v>
      </c>
    </row>
    <row r="86">
      <c r="A86" s="5" t="inlineStr">
        <is>
          <t>9LF_IXT2_20517_01</t>
        </is>
      </c>
      <c r="C86" t="n">
        <v>22</v>
      </c>
      <c r="E86" t="n">
        <v>14</v>
      </c>
      <c r="F86" t="n">
        <v>60</v>
      </c>
      <c r="G86" t="n">
        <v>96</v>
      </c>
    </row>
    <row r="87">
      <c r="A87" s="5" t="inlineStr">
        <is>
          <t>9LF_IXT2_20517_02</t>
        </is>
      </c>
      <c r="C87" t="n">
        <v>21</v>
      </c>
      <c r="E87" t="n">
        <v>16</v>
      </c>
      <c r="F87" t="n">
        <v>59</v>
      </c>
      <c r="G87" t="n">
        <v>96</v>
      </c>
    </row>
    <row r="88">
      <c r="A88" s="5" t="inlineStr">
        <is>
          <t>9LF_IXT2_20517_03</t>
        </is>
      </c>
      <c r="C88" t="n">
        <v>39</v>
      </c>
      <c r="E88" t="n">
        <v>11</v>
      </c>
      <c r="F88" t="n">
        <v>46</v>
      </c>
      <c r="G88" t="n">
        <v>96</v>
      </c>
    </row>
    <row r="89">
      <c r="A89" s="5" t="inlineStr">
        <is>
          <t>9LF_IXT2_20517_04</t>
        </is>
      </c>
      <c r="C89" t="n">
        <v>24</v>
      </c>
      <c r="E89" t="n">
        <v>8</v>
      </c>
      <c r="F89" t="n">
        <v>64</v>
      </c>
      <c r="G89" t="n">
        <v>96</v>
      </c>
    </row>
    <row r="90">
      <c r="A90" s="5" t="inlineStr">
        <is>
          <t>9LF_IXT2_20517_05</t>
        </is>
      </c>
      <c r="E90" t="n">
        <v>31</v>
      </c>
      <c r="F90" t="n">
        <v>23</v>
      </c>
      <c r="G90" t="n">
        <v>54</v>
      </c>
    </row>
    <row r="91">
      <c r="A91" s="5" t="inlineStr">
        <is>
          <t>9LF_IXT2_20517_06</t>
        </is>
      </c>
      <c r="C91" t="n">
        <v>52</v>
      </c>
      <c r="F91" t="n">
        <v>2</v>
      </c>
      <c r="G91" t="n">
        <v>54</v>
      </c>
    </row>
    <row r="92">
      <c r="A92" s="5" t="inlineStr">
        <is>
          <t>9LF_IXT2_20518_01</t>
        </is>
      </c>
      <c r="E92" t="n">
        <v>26</v>
      </c>
      <c r="F92" t="n">
        <v>28</v>
      </c>
      <c r="G92" t="n">
        <v>54</v>
      </c>
    </row>
    <row r="93">
      <c r="A93" s="5" t="inlineStr">
        <is>
          <t>9LF_IXT2_20518_02</t>
        </is>
      </c>
      <c r="E93" t="n">
        <v>26</v>
      </c>
      <c r="F93" t="n">
        <v>28</v>
      </c>
      <c r="G93" t="n">
        <v>54</v>
      </c>
    </row>
    <row r="94">
      <c r="A94" s="5" t="inlineStr">
        <is>
          <t>9LF_IXT2_20817_01</t>
        </is>
      </c>
      <c r="C94" t="n">
        <v>28</v>
      </c>
      <c r="E94" t="n">
        <v>9</v>
      </c>
      <c r="F94" t="n">
        <v>59</v>
      </c>
      <c r="G94" t="n">
        <v>96</v>
      </c>
    </row>
    <row r="95">
      <c r="A95" s="5" t="inlineStr">
        <is>
          <t>9LF_IXT2_20817_02</t>
        </is>
      </c>
      <c r="C95" t="n">
        <v>38</v>
      </c>
      <c r="E95" t="n">
        <v>9</v>
      </c>
      <c r="F95" t="n">
        <v>49</v>
      </c>
      <c r="G95" t="n">
        <v>96</v>
      </c>
    </row>
    <row r="96">
      <c r="A96" s="5" t="inlineStr">
        <is>
          <t>9LF_IXT2_20817_03</t>
        </is>
      </c>
      <c r="C96" t="n">
        <v>23</v>
      </c>
      <c r="E96" t="n">
        <v>8</v>
      </c>
      <c r="F96" t="n">
        <v>23</v>
      </c>
      <c r="G96" t="n">
        <v>54</v>
      </c>
    </row>
    <row r="97">
      <c r="A97" s="5" t="inlineStr">
        <is>
          <t>9LF_IXT2_20817_04</t>
        </is>
      </c>
      <c r="C97" t="n">
        <v>32</v>
      </c>
      <c r="E97" t="n">
        <v>3</v>
      </c>
      <c r="F97" t="n">
        <v>19</v>
      </c>
      <c r="G97" t="n">
        <v>54</v>
      </c>
    </row>
    <row r="98">
      <c r="A98" s="5" t="inlineStr">
        <is>
          <t>9LF_IXT2_21117_01</t>
        </is>
      </c>
      <c r="C98" t="n">
        <v>39</v>
      </c>
      <c r="E98" t="n">
        <v>6</v>
      </c>
      <c r="F98" t="n">
        <v>51</v>
      </c>
      <c r="G98" t="n">
        <v>96</v>
      </c>
    </row>
    <row r="99">
      <c r="A99" s="5" t="inlineStr">
        <is>
          <t>9LF_IXT2_21117_02</t>
        </is>
      </c>
      <c r="C99" t="n">
        <v>44</v>
      </c>
      <c r="E99" t="n">
        <v>4</v>
      </c>
      <c r="F99" t="n">
        <v>48</v>
      </c>
      <c r="G99" t="n">
        <v>96</v>
      </c>
    </row>
    <row r="100">
      <c r="A100" s="5" t="inlineStr">
        <is>
          <t>9LF_IXT2_21410_01</t>
        </is>
      </c>
      <c r="C100" t="n">
        <v>1</v>
      </c>
      <c r="E100" t="n">
        <v>12</v>
      </c>
      <c r="F100" t="n">
        <v>41</v>
      </c>
      <c r="G100" t="n">
        <v>54</v>
      </c>
    </row>
    <row r="101">
      <c r="A101" s="5" t="inlineStr">
        <is>
          <t>9LF_IXT2_21411_01</t>
        </is>
      </c>
      <c r="E101" t="n">
        <v>10</v>
      </c>
      <c r="F101" t="n">
        <v>44</v>
      </c>
      <c r="G101" t="n">
        <v>54</v>
      </c>
    </row>
    <row r="102">
      <c r="A102" s="5" t="inlineStr">
        <is>
          <t>9LF_IXT2_21417_01</t>
        </is>
      </c>
      <c r="C102" t="n">
        <v>34</v>
      </c>
      <c r="E102" t="n">
        <v>2</v>
      </c>
      <c r="F102" t="n">
        <v>18</v>
      </c>
      <c r="G102" t="n">
        <v>54</v>
      </c>
    </row>
    <row r="103">
      <c r="A103" s="5" t="inlineStr">
        <is>
          <t>9LF_IXT2_21417_02</t>
        </is>
      </c>
      <c r="C103" t="n">
        <v>35</v>
      </c>
      <c r="E103" t="n">
        <v>1</v>
      </c>
      <c r="F103" t="n">
        <v>18</v>
      </c>
      <c r="G103" t="n">
        <v>54</v>
      </c>
    </row>
    <row r="104">
      <c r="A104" s="5" t="inlineStr">
        <is>
          <t>9LF_IXT2_21417_03</t>
        </is>
      </c>
      <c r="C104" t="n">
        <v>8</v>
      </c>
      <c r="E104" t="n">
        <v>5</v>
      </c>
      <c r="F104" t="n">
        <v>41</v>
      </c>
      <c r="G104" t="n">
        <v>54</v>
      </c>
    </row>
    <row r="105">
      <c r="A105" s="5" t="inlineStr">
        <is>
          <t>9LF_IXT2_21417_04</t>
        </is>
      </c>
      <c r="C105" t="n">
        <v>46</v>
      </c>
      <c r="F105" t="n">
        <v>8</v>
      </c>
      <c r="G105" t="n">
        <v>54</v>
      </c>
    </row>
    <row r="106">
      <c r="A106" s="5" t="inlineStr">
        <is>
          <t>9LF_IXT3_10103_01</t>
        </is>
      </c>
      <c r="C106" t="n">
        <v>32</v>
      </c>
      <c r="E106" t="n">
        <v>1</v>
      </c>
      <c r="F106" t="n">
        <v>21</v>
      </c>
      <c r="G106" t="n">
        <v>54</v>
      </c>
    </row>
    <row r="107">
      <c r="A107" s="5" t="inlineStr">
        <is>
          <t>9LF_IXT3_10104_01</t>
        </is>
      </c>
      <c r="C107" t="n">
        <v>31</v>
      </c>
      <c r="E107" t="n">
        <v>1</v>
      </c>
      <c r="F107" t="n">
        <v>22</v>
      </c>
      <c r="G107" t="n">
        <v>54</v>
      </c>
    </row>
    <row r="108">
      <c r="A108" s="5" t="inlineStr">
        <is>
          <t>9LF_IXT3_10106_01</t>
        </is>
      </c>
      <c r="C108" t="n">
        <v>36</v>
      </c>
      <c r="F108" t="n">
        <v>18</v>
      </c>
      <c r="G108" t="n">
        <v>54</v>
      </c>
    </row>
    <row r="109">
      <c r="A109" s="5" t="inlineStr">
        <is>
          <t>9LF_IXT3_10108_01</t>
        </is>
      </c>
      <c r="C109" t="n">
        <v>28</v>
      </c>
      <c r="F109" t="n">
        <v>26</v>
      </c>
      <c r="G109" t="n">
        <v>54</v>
      </c>
    </row>
    <row r="110">
      <c r="A110" s="5" t="inlineStr">
        <is>
          <t>9LF_IXT3_10109_01</t>
        </is>
      </c>
      <c r="C110" t="n">
        <v>21</v>
      </c>
      <c r="E110" t="n">
        <v>2</v>
      </c>
      <c r="F110" t="n">
        <v>31</v>
      </c>
      <c r="G110" t="n">
        <v>54</v>
      </c>
    </row>
    <row r="111">
      <c r="A111" s="5" t="inlineStr">
        <is>
          <t>9LF_IXT3_10111_01</t>
        </is>
      </c>
      <c r="C111" t="n">
        <v>21</v>
      </c>
      <c r="E111" t="n">
        <v>2</v>
      </c>
      <c r="F111" t="n">
        <v>31</v>
      </c>
      <c r="G111" t="n">
        <v>54</v>
      </c>
    </row>
    <row r="112">
      <c r="A112" s="5" t="inlineStr">
        <is>
          <t>9LF_IXT3_10112_01</t>
        </is>
      </c>
      <c r="C112" t="n">
        <v>21</v>
      </c>
      <c r="E112" t="n">
        <v>3</v>
      </c>
      <c r="F112" t="n">
        <v>30</v>
      </c>
      <c r="G112" t="n">
        <v>54</v>
      </c>
    </row>
    <row r="113">
      <c r="A113" s="5" t="inlineStr">
        <is>
          <t>9LF_IXT3_10116_01</t>
        </is>
      </c>
      <c r="C113" t="n">
        <v>20</v>
      </c>
      <c r="E113" t="n">
        <v>2</v>
      </c>
      <c r="F113" t="n">
        <v>32</v>
      </c>
      <c r="G113" t="n">
        <v>54</v>
      </c>
    </row>
    <row r="114">
      <c r="A114" s="5" t="inlineStr">
        <is>
          <t>9LF_IXT3_10117_01</t>
        </is>
      </c>
      <c r="C114" t="n">
        <v>13</v>
      </c>
      <c r="E114" t="n">
        <v>8</v>
      </c>
      <c r="F114" t="n">
        <v>33</v>
      </c>
      <c r="G114" t="n">
        <v>54</v>
      </c>
    </row>
    <row r="115">
      <c r="A115" s="5" t="inlineStr">
        <is>
          <t>9LF_IXT3_10117_02</t>
        </is>
      </c>
      <c r="E115" t="n">
        <v>48</v>
      </c>
      <c r="F115" t="n">
        <v>6</v>
      </c>
      <c r="G115" t="n">
        <v>54</v>
      </c>
    </row>
    <row r="116">
      <c r="A116" s="5" t="inlineStr">
        <is>
          <t>9LF_IXT3_10118_01</t>
        </is>
      </c>
      <c r="C116" t="n">
        <v>13</v>
      </c>
      <c r="E116" t="n">
        <v>8</v>
      </c>
      <c r="F116" t="n">
        <v>33</v>
      </c>
      <c r="G116" t="n">
        <v>54</v>
      </c>
    </row>
    <row r="117">
      <c r="A117" s="5" t="inlineStr">
        <is>
          <t>9LF_IXT3_10118_02</t>
        </is>
      </c>
      <c r="E117" t="n">
        <v>48</v>
      </c>
      <c r="F117" t="n">
        <v>6</v>
      </c>
      <c r="G117" t="n">
        <v>54</v>
      </c>
    </row>
    <row r="118">
      <c r="A118" s="5" t="inlineStr">
        <is>
          <t>9LF_IXT3_10204_01</t>
        </is>
      </c>
      <c r="C118" t="n">
        <v>40</v>
      </c>
      <c r="F118" t="n">
        <v>14</v>
      </c>
      <c r="G118" t="n">
        <v>54</v>
      </c>
    </row>
    <row r="119">
      <c r="A119" s="5" t="inlineStr">
        <is>
          <t>9LF_IXT3_10206_01</t>
        </is>
      </c>
      <c r="C119" t="n">
        <v>42</v>
      </c>
      <c r="F119" t="n">
        <v>12</v>
      </c>
      <c r="G119" t="n">
        <v>54</v>
      </c>
    </row>
    <row r="120">
      <c r="A120" s="5" t="inlineStr">
        <is>
          <t>9LF_IXT3_10209_01</t>
        </is>
      </c>
      <c r="C120" t="n">
        <v>17</v>
      </c>
      <c r="E120" t="n">
        <v>24</v>
      </c>
      <c r="F120" t="n">
        <v>13</v>
      </c>
      <c r="G120" t="n">
        <v>54</v>
      </c>
    </row>
    <row r="121">
      <c r="A121" s="5" t="inlineStr">
        <is>
          <t>9LF_IXT3_10209_02</t>
        </is>
      </c>
      <c r="C121" t="n">
        <v>2</v>
      </c>
      <c r="E121" t="n">
        <v>40</v>
      </c>
      <c r="F121" t="n">
        <v>12</v>
      </c>
      <c r="G121" t="n">
        <v>54</v>
      </c>
    </row>
    <row r="122">
      <c r="A122" s="5" t="inlineStr">
        <is>
          <t>9LF_IXT3_10211_01</t>
        </is>
      </c>
      <c r="C122" t="n">
        <v>5</v>
      </c>
      <c r="E122" t="n">
        <v>45</v>
      </c>
      <c r="F122" t="n">
        <v>4</v>
      </c>
      <c r="G122" t="n">
        <v>54</v>
      </c>
    </row>
    <row r="123">
      <c r="A123" s="5" t="inlineStr">
        <is>
          <t>9LF_IXT3_10211_02</t>
        </is>
      </c>
      <c r="E123" t="n">
        <v>16</v>
      </c>
      <c r="F123" t="n">
        <v>38</v>
      </c>
      <c r="G123" t="n">
        <v>54</v>
      </c>
    </row>
    <row r="124">
      <c r="A124" s="5" t="inlineStr">
        <is>
          <t>9LF_IXT3_10212_01</t>
        </is>
      </c>
      <c r="C124" t="n">
        <v>9</v>
      </c>
      <c r="E124" t="n">
        <v>41</v>
      </c>
      <c r="F124" t="n">
        <v>4</v>
      </c>
      <c r="G124" t="n">
        <v>54</v>
      </c>
    </row>
    <row r="125">
      <c r="A125" s="5" t="inlineStr">
        <is>
          <t>9LF_IXT3_10212_02</t>
        </is>
      </c>
      <c r="E125" t="n">
        <v>16</v>
      </c>
      <c r="F125" t="n">
        <v>38</v>
      </c>
      <c r="G125" t="n">
        <v>54</v>
      </c>
    </row>
    <row r="126">
      <c r="A126" s="5" t="inlineStr">
        <is>
          <t>9LF_IXT3_10213_01</t>
        </is>
      </c>
      <c r="C126" t="n">
        <v>14</v>
      </c>
      <c r="E126" t="n">
        <v>28</v>
      </c>
      <c r="F126" t="n">
        <v>12</v>
      </c>
      <c r="G126" t="n">
        <v>54</v>
      </c>
    </row>
    <row r="127">
      <c r="A127" s="5" t="inlineStr">
        <is>
          <t>9LF_IXT3_10213_02</t>
        </is>
      </c>
      <c r="E127" t="n">
        <v>24</v>
      </c>
      <c r="F127" t="n">
        <v>30</v>
      </c>
      <c r="G127" t="n">
        <v>54</v>
      </c>
    </row>
    <row r="128">
      <c r="A128" s="5" t="inlineStr">
        <is>
          <t>9LF_IXT3_10215_01</t>
        </is>
      </c>
      <c r="C128" t="n">
        <v>14</v>
      </c>
      <c r="E128" t="n">
        <v>28</v>
      </c>
      <c r="F128" t="n">
        <v>12</v>
      </c>
      <c r="G128" t="n">
        <v>54</v>
      </c>
    </row>
    <row r="129">
      <c r="A129" s="5" t="inlineStr">
        <is>
          <t>9LF_IXT3_10215_02</t>
        </is>
      </c>
      <c r="E129" t="n">
        <v>24</v>
      </c>
      <c r="F129" t="n">
        <v>30</v>
      </c>
      <c r="G129" t="n">
        <v>54</v>
      </c>
    </row>
    <row r="130">
      <c r="A130" s="5" t="inlineStr">
        <is>
          <t>9LF_IXT3_10216_01</t>
        </is>
      </c>
      <c r="C130" t="n">
        <v>17</v>
      </c>
      <c r="E130" t="n">
        <v>15</v>
      </c>
      <c r="F130" t="n">
        <v>22</v>
      </c>
      <c r="G130" t="n">
        <v>54</v>
      </c>
    </row>
    <row r="131">
      <c r="A131" s="5" t="inlineStr">
        <is>
          <t>9LF_IXT3_10216_02</t>
        </is>
      </c>
      <c r="E131" t="n">
        <v>38</v>
      </c>
      <c r="F131" t="n">
        <v>16</v>
      </c>
      <c r="G131" t="n">
        <v>54</v>
      </c>
    </row>
    <row r="132">
      <c r="A132" s="5" t="inlineStr">
        <is>
          <t>9LF_IXT3_10217_01</t>
        </is>
      </c>
      <c r="C132" t="n">
        <v>17</v>
      </c>
      <c r="E132" t="n">
        <v>15</v>
      </c>
      <c r="F132" t="n">
        <v>22</v>
      </c>
      <c r="G132" t="n">
        <v>54</v>
      </c>
    </row>
    <row r="133">
      <c r="A133" s="5" t="inlineStr">
        <is>
          <t>9LF_IXT3_10217_02</t>
        </is>
      </c>
      <c r="E133" t="n">
        <v>38</v>
      </c>
      <c r="F133" t="n">
        <v>16</v>
      </c>
      <c r="G133" t="n">
        <v>54</v>
      </c>
    </row>
    <row r="134">
      <c r="A134" s="5" t="inlineStr">
        <is>
          <t>9LF_IXT3_10307_01</t>
        </is>
      </c>
      <c r="E134" t="n">
        <v>25</v>
      </c>
      <c r="F134" t="n">
        <v>29</v>
      </c>
      <c r="G134" t="n">
        <v>54</v>
      </c>
    </row>
    <row r="135">
      <c r="A135" s="5" t="inlineStr">
        <is>
          <t>9LF_IXT3_10307_02</t>
        </is>
      </c>
      <c r="E135" t="n">
        <v>27</v>
      </c>
      <c r="F135" t="n">
        <v>27</v>
      </c>
      <c r="G135" t="n">
        <v>54</v>
      </c>
    </row>
    <row r="136">
      <c r="A136" s="5" t="inlineStr">
        <is>
          <t>9LF_IXT3_10308_01</t>
        </is>
      </c>
      <c r="E136" t="n">
        <v>45</v>
      </c>
      <c r="F136" t="n">
        <v>9</v>
      </c>
      <c r="G136" t="n">
        <v>54</v>
      </c>
    </row>
    <row r="137">
      <c r="A137" s="5" t="inlineStr">
        <is>
          <t>9LF_IXT3_10311_01</t>
        </is>
      </c>
      <c r="C137" t="n">
        <v>2</v>
      </c>
      <c r="E137" t="n">
        <v>43</v>
      </c>
      <c r="F137" t="n">
        <v>9</v>
      </c>
      <c r="G137" t="n">
        <v>54</v>
      </c>
    </row>
    <row r="138">
      <c r="A138" s="5" t="inlineStr">
        <is>
          <t>9LF_IXT3_10312_01</t>
        </is>
      </c>
      <c r="E138" t="n">
        <v>40</v>
      </c>
      <c r="F138" t="n">
        <v>14</v>
      </c>
      <c r="G138" t="n">
        <v>54</v>
      </c>
    </row>
    <row r="139">
      <c r="A139" s="5" t="inlineStr">
        <is>
          <t>9LF_IXT3_10313_01</t>
        </is>
      </c>
      <c r="E139" t="n">
        <v>41</v>
      </c>
      <c r="F139" t="n">
        <v>13</v>
      </c>
      <c r="G139" t="n">
        <v>54</v>
      </c>
    </row>
    <row r="140">
      <c r="A140" s="5" t="inlineStr">
        <is>
          <t>9LF_IXT3_10316_01</t>
        </is>
      </c>
      <c r="E140" t="n">
        <v>40</v>
      </c>
      <c r="F140" t="n">
        <v>14</v>
      </c>
      <c r="G140" t="n">
        <v>54</v>
      </c>
    </row>
    <row r="141">
      <c r="A141" s="5" t="inlineStr">
        <is>
          <t>9LF_IXT3_10317_01</t>
        </is>
      </c>
      <c r="E141" t="n">
        <v>41</v>
      </c>
      <c r="F141" t="n">
        <v>13</v>
      </c>
      <c r="G141" t="n">
        <v>54</v>
      </c>
    </row>
    <row r="142">
      <c r="A142" s="5" t="inlineStr">
        <is>
          <t>9LF_IXT3_10318_01</t>
        </is>
      </c>
      <c r="E142" t="n">
        <v>43</v>
      </c>
      <c r="F142" t="n">
        <v>11</v>
      </c>
      <c r="G142" t="n">
        <v>54</v>
      </c>
    </row>
    <row r="143">
      <c r="A143" s="5" t="inlineStr">
        <is>
          <t>9LF_IXT3_10403_01</t>
        </is>
      </c>
      <c r="C143" t="n">
        <v>40</v>
      </c>
      <c r="E143" t="n">
        <v>2</v>
      </c>
      <c r="F143" t="n">
        <v>12</v>
      </c>
      <c r="G143" t="n">
        <v>54</v>
      </c>
    </row>
    <row r="144">
      <c r="A144" s="5" t="inlineStr">
        <is>
          <t>9LF_IXT3_10406_01</t>
        </is>
      </c>
      <c r="C144" t="n">
        <v>25</v>
      </c>
      <c r="E144" t="n">
        <v>18</v>
      </c>
      <c r="F144" t="n">
        <v>11</v>
      </c>
      <c r="G144" t="n">
        <v>54</v>
      </c>
    </row>
    <row r="145">
      <c r="A145" s="5" t="inlineStr">
        <is>
          <t>9LF_IXT3_10407_01</t>
        </is>
      </c>
      <c r="E145" t="n">
        <v>25</v>
      </c>
      <c r="F145" t="n">
        <v>29</v>
      </c>
      <c r="G145" t="n">
        <v>54</v>
      </c>
    </row>
    <row r="146">
      <c r="A146" s="5" t="inlineStr">
        <is>
          <t>9LF_IXT3_10407_02</t>
        </is>
      </c>
      <c r="E146" t="n">
        <v>26</v>
      </c>
      <c r="F146" t="n">
        <v>28</v>
      </c>
      <c r="G146" t="n">
        <v>54</v>
      </c>
    </row>
    <row r="147">
      <c r="A147" s="5" t="inlineStr">
        <is>
          <t>9LF_IXT3_10409_01</t>
        </is>
      </c>
      <c r="E147" t="n">
        <v>36</v>
      </c>
      <c r="F147" t="n">
        <v>18</v>
      </c>
      <c r="G147" t="n">
        <v>54</v>
      </c>
    </row>
    <row r="148">
      <c r="A148" s="5" t="inlineStr">
        <is>
          <t>9LF_IXT3_10411_01</t>
        </is>
      </c>
      <c r="E148" t="n">
        <v>36</v>
      </c>
      <c r="F148" t="n">
        <v>18</v>
      </c>
      <c r="G148" t="n">
        <v>54</v>
      </c>
    </row>
    <row r="149">
      <c r="A149" s="5" t="inlineStr">
        <is>
          <t>9LF_IXT3_10412_01</t>
        </is>
      </c>
      <c r="E149" t="n">
        <v>31</v>
      </c>
      <c r="F149" t="n">
        <v>23</v>
      </c>
      <c r="G149" t="n">
        <v>54</v>
      </c>
    </row>
    <row r="150">
      <c r="A150" s="5" t="inlineStr">
        <is>
          <t>9LF_IXT3_10414_01</t>
        </is>
      </c>
      <c r="E150" t="n">
        <v>31</v>
      </c>
      <c r="F150" t="n">
        <v>23</v>
      </c>
      <c r="G150" t="n">
        <v>54</v>
      </c>
    </row>
    <row r="151">
      <c r="A151" s="5" t="inlineStr">
        <is>
          <t>9LF_IXT3_10416_01</t>
        </is>
      </c>
      <c r="E151" t="n">
        <v>30</v>
      </c>
      <c r="F151" t="n">
        <v>24</v>
      </c>
      <c r="G151" t="n">
        <v>54</v>
      </c>
    </row>
    <row r="152">
      <c r="A152" s="5" t="inlineStr">
        <is>
          <t>9LF_IXT3_10417_01</t>
        </is>
      </c>
      <c r="E152" t="n">
        <v>30</v>
      </c>
      <c r="F152" t="n">
        <v>24</v>
      </c>
      <c r="G152" t="n">
        <v>54</v>
      </c>
    </row>
    <row r="153">
      <c r="A153" s="5" t="inlineStr">
        <is>
          <t>9LF_IXT3_10418_01</t>
        </is>
      </c>
      <c r="E153" t="n">
        <v>42</v>
      </c>
      <c r="F153" t="n">
        <v>12</v>
      </c>
      <c r="G153" t="n">
        <v>54</v>
      </c>
    </row>
    <row r="154">
      <c r="A154" s="5" t="inlineStr">
        <is>
          <t>9LF_IXT3_10504_01</t>
        </is>
      </c>
      <c r="C154" t="n">
        <v>26</v>
      </c>
      <c r="F154" t="n">
        <v>28</v>
      </c>
      <c r="G154" t="n">
        <v>54</v>
      </c>
    </row>
    <row r="155">
      <c r="A155" s="5" t="inlineStr">
        <is>
          <t>9LF_IXT3_10506_01</t>
        </is>
      </c>
      <c r="C155" t="n">
        <v>20</v>
      </c>
      <c r="F155" t="n">
        <v>34</v>
      </c>
      <c r="G155" t="n">
        <v>54</v>
      </c>
    </row>
    <row r="156">
      <c r="A156" s="5" t="inlineStr">
        <is>
          <t>9LF_IXT3_10507_01</t>
        </is>
      </c>
      <c r="C156" t="n">
        <v>20</v>
      </c>
      <c r="F156" t="n">
        <v>34</v>
      </c>
      <c r="G156" t="n">
        <v>54</v>
      </c>
    </row>
    <row r="157">
      <c r="A157" s="5" t="inlineStr">
        <is>
          <t>9LF_IXT3_10510_01</t>
        </is>
      </c>
      <c r="C157" t="n">
        <v>4</v>
      </c>
      <c r="F157" t="n">
        <v>50</v>
      </c>
      <c r="G157" t="n">
        <v>54</v>
      </c>
    </row>
    <row r="158">
      <c r="A158" s="5" t="inlineStr">
        <is>
          <t>9LF_IXT3_10513_01</t>
        </is>
      </c>
      <c r="C158" t="n">
        <v>4</v>
      </c>
      <c r="E158" t="n">
        <v>2</v>
      </c>
      <c r="F158" t="n">
        <v>48</v>
      </c>
      <c r="G158" t="n">
        <v>54</v>
      </c>
    </row>
    <row r="159">
      <c r="A159" s="5" t="inlineStr">
        <is>
          <t>9LF_IXT3_10514_01</t>
        </is>
      </c>
      <c r="C159" t="n">
        <v>26</v>
      </c>
      <c r="E159" t="n">
        <v>1</v>
      </c>
      <c r="F159" t="n">
        <v>27</v>
      </c>
      <c r="G159" t="n">
        <v>54</v>
      </c>
    </row>
    <row r="160">
      <c r="A160" s="5" t="inlineStr">
        <is>
          <t>9LF_IXT3_10517_01</t>
        </is>
      </c>
      <c r="C160" t="n">
        <v>26</v>
      </c>
      <c r="E160" t="n">
        <v>1</v>
      </c>
      <c r="F160" t="n">
        <v>27</v>
      </c>
      <c r="G160" t="n">
        <v>54</v>
      </c>
    </row>
    <row r="161">
      <c r="A161" s="5" t="inlineStr">
        <is>
          <t>9LF_IXT3_10604_01</t>
        </is>
      </c>
      <c r="C161" t="n">
        <v>26</v>
      </c>
      <c r="F161" t="n">
        <v>28</v>
      </c>
      <c r="G161" t="n">
        <v>54</v>
      </c>
    </row>
    <row r="162">
      <c r="A162" s="5" t="inlineStr">
        <is>
          <t>9LF_IXT3_10605_01</t>
        </is>
      </c>
      <c r="C162" t="n">
        <v>26</v>
      </c>
      <c r="E162" t="n">
        <v>1</v>
      </c>
      <c r="F162" t="n">
        <v>27</v>
      </c>
      <c r="G162" t="n">
        <v>54</v>
      </c>
    </row>
    <row r="163">
      <c r="A163" s="5" t="inlineStr">
        <is>
          <t>9LF_IXT3_10607_01</t>
        </is>
      </c>
      <c r="C163" t="n">
        <v>26</v>
      </c>
      <c r="E163" t="n">
        <v>1</v>
      </c>
      <c r="F163" t="n">
        <v>27</v>
      </c>
      <c r="G163" t="n">
        <v>54</v>
      </c>
    </row>
    <row r="164">
      <c r="A164" s="5" t="inlineStr">
        <is>
          <t>9LF_IXT3_10609_01</t>
        </is>
      </c>
      <c r="C164" t="n">
        <v>24</v>
      </c>
      <c r="F164" t="n">
        <v>30</v>
      </c>
      <c r="G164" t="n">
        <v>54</v>
      </c>
    </row>
    <row r="165">
      <c r="A165" s="5" t="inlineStr">
        <is>
          <t>9LF_IXT3_10611_01</t>
        </is>
      </c>
      <c r="C165" t="n">
        <v>24</v>
      </c>
      <c r="F165" t="n">
        <v>30</v>
      </c>
      <c r="G165" t="n">
        <v>54</v>
      </c>
    </row>
    <row r="166">
      <c r="A166" s="5" t="inlineStr">
        <is>
          <t>9LF_IXT3_10703_01</t>
        </is>
      </c>
      <c r="C166" t="n">
        <v>28</v>
      </c>
      <c r="F166" t="n">
        <v>8</v>
      </c>
      <c r="G166" t="n">
        <v>36</v>
      </c>
    </row>
    <row r="167">
      <c r="A167" s="5" t="inlineStr">
        <is>
          <t>9LF_IXT3_10803_01</t>
        </is>
      </c>
      <c r="C167" t="n">
        <v>28</v>
      </c>
      <c r="F167" t="n">
        <v>8</v>
      </c>
      <c r="G167" t="n">
        <v>36</v>
      </c>
    </row>
    <row r="168">
      <c r="A168" s="5" t="inlineStr">
        <is>
          <t>9LF_IXT3_10812_02</t>
        </is>
      </c>
      <c r="C168" t="n">
        <v>50</v>
      </c>
      <c r="F168" t="n">
        <v>4</v>
      </c>
      <c r="G168" t="n">
        <v>54</v>
      </c>
    </row>
    <row r="169">
      <c r="A169" s="5" t="inlineStr">
        <is>
          <t>9LF_IXT3_10813_02</t>
        </is>
      </c>
      <c r="C169" t="n">
        <v>50</v>
      </c>
      <c r="F169" t="n">
        <v>4</v>
      </c>
      <c r="G169" t="n">
        <v>54</v>
      </c>
    </row>
    <row r="170">
      <c r="A170" s="5" t="inlineStr">
        <is>
          <t>9LF_IXT3_10817_01</t>
        </is>
      </c>
      <c r="C170" t="n">
        <v>4</v>
      </c>
      <c r="E170" t="n">
        <v>41</v>
      </c>
      <c r="F170" t="n">
        <v>9</v>
      </c>
      <c r="G170" t="n">
        <v>54</v>
      </c>
    </row>
    <row r="171">
      <c r="A171" s="5" t="inlineStr">
        <is>
          <t>9LF_IXT3_10918_01</t>
        </is>
      </c>
      <c r="E171" t="n">
        <v>5</v>
      </c>
      <c r="F171" t="n">
        <v>49</v>
      </c>
      <c r="G171" t="n">
        <v>54</v>
      </c>
    </row>
    <row r="172">
      <c r="A172" s="5" t="inlineStr">
        <is>
          <t>9LF_IXT3_10918_02</t>
        </is>
      </c>
      <c r="C172" t="n">
        <v>4</v>
      </c>
      <c r="F172" t="n">
        <v>50</v>
      </c>
      <c r="G172" t="n">
        <v>54</v>
      </c>
    </row>
    <row r="173">
      <c r="A173" s="5" t="inlineStr">
        <is>
          <t>9LF_IXT3_10918_03</t>
        </is>
      </c>
      <c r="E173" t="n">
        <v>6</v>
      </c>
      <c r="F173" t="n">
        <v>48</v>
      </c>
      <c r="G173" t="n">
        <v>54</v>
      </c>
    </row>
    <row r="174">
      <c r="A174" s="5" t="inlineStr">
        <is>
          <t>9LF_IXT3_10918_04</t>
        </is>
      </c>
      <c r="E174" t="n">
        <v>6</v>
      </c>
      <c r="F174" t="n">
        <v>48</v>
      </c>
      <c r="G174" t="n">
        <v>54</v>
      </c>
    </row>
    <row r="175">
      <c r="A175" s="5" t="inlineStr">
        <is>
          <t>9LF_IXT3_10918_05</t>
        </is>
      </c>
      <c r="E175" t="n">
        <v>11</v>
      </c>
      <c r="F175" t="n">
        <v>43</v>
      </c>
      <c r="G175" t="n">
        <v>54</v>
      </c>
    </row>
    <row r="176">
      <c r="A176" s="5" t="inlineStr">
        <is>
          <t>9LF_IXT3_10918_06</t>
        </is>
      </c>
      <c r="C176" t="n">
        <v>4</v>
      </c>
      <c r="F176" t="n">
        <v>50</v>
      </c>
      <c r="G176" t="n">
        <v>54</v>
      </c>
    </row>
    <row r="177">
      <c r="A177" s="5" t="inlineStr">
        <is>
          <t>9LF_IXT3_10918_07</t>
        </is>
      </c>
      <c r="C177" t="n">
        <v>4</v>
      </c>
      <c r="F177" t="n">
        <v>50</v>
      </c>
      <c r="G177" t="n">
        <v>54</v>
      </c>
    </row>
    <row r="178">
      <c r="A178" s="5" t="inlineStr">
        <is>
          <t>9LF_IXT3_10918_08</t>
        </is>
      </c>
      <c r="C178" t="n">
        <v>4</v>
      </c>
      <c r="F178" t="n">
        <v>50</v>
      </c>
      <c r="G178" t="n">
        <v>54</v>
      </c>
    </row>
    <row r="179">
      <c r="A179" s="5" t="inlineStr">
        <is>
          <t>9LF_IXT3_10918_09</t>
        </is>
      </c>
      <c r="C179" t="n">
        <v>4</v>
      </c>
      <c r="F179" t="n">
        <v>50</v>
      </c>
      <c r="G179" t="n">
        <v>54</v>
      </c>
    </row>
    <row r="180">
      <c r="A180" s="5" t="inlineStr">
        <is>
          <t>9LF_IXT3_10918_10</t>
        </is>
      </c>
      <c r="C180" t="n">
        <v>4</v>
      </c>
      <c r="F180" t="n">
        <v>50</v>
      </c>
      <c r="G180" t="n">
        <v>54</v>
      </c>
    </row>
    <row r="181">
      <c r="A181" s="5" t="inlineStr">
        <is>
          <t>9LF_IXT3_10918_11</t>
        </is>
      </c>
      <c r="C181" t="n">
        <v>4</v>
      </c>
      <c r="F181" t="n">
        <v>50</v>
      </c>
      <c r="G181" t="n">
        <v>54</v>
      </c>
    </row>
    <row r="182">
      <c r="A182" s="5" t="inlineStr">
        <is>
          <t>9LF_IXT3_10918_12</t>
        </is>
      </c>
      <c r="C182" t="n">
        <v>4</v>
      </c>
      <c r="F182" t="n">
        <v>50</v>
      </c>
      <c r="G182" t="n">
        <v>54</v>
      </c>
    </row>
    <row r="183">
      <c r="A183" s="5" t="inlineStr">
        <is>
          <t>9LF_IXT3_11018_01</t>
        </is>
      </c>
      <c r="E183" t="n">
        <v>5</v>
      </c>
      <c r="F183" t="n">
        <v>49</v>
      </c>
      <c r="G183" t="n">
        <v>54</v>
      </c>
    </row>
    <row r="184">
      <c r="A184" s="5" t="inlineStr">
        <is>
          <t>9LF_IXT3_11018_02</t>
        </is>
      </c>
      <c r="E184" t="n">
        <v>4</v>
      </c>
      <c r="F184" t="n">
        <v>50</v>
      </c>
      <c r="G184" t="n">
        <v>54</v>
      </c>
    </row>
    <row r="185">
      <c r="A185" s="5" t="inlineStr">
        <is>
          <t>9LF_IXT3_11018_03</t>
        </is>
      </c>
      <c r="E185" t="n">
        <v>6</v>
      </c>
      <c r="F185" t="n">
        <v>48</v>
      </c>
      <c r="G185" t="n">
        <v>54</v>
      </c>
    </row>
    <row r="186">
      <c r="A186" s="5" t="inlineStr">
        <is>
          <t>9LF_IXT3_11018_04</t>
        </is>
      </c>
      <c r="E186" t="n">
        <v>6</v>
      </c>
      <c r="F186" t="n">
        <v>48</v>
      </c>
      <c r="G186" t="n">
        <v>54</v>
      </c>
    </row>
    <row r="187">
      <c r="A187" s="5" t="inlineStr">
        <is>
          <t>9LF_IXT3_11018_05</t>
        </is>
      </c>
      <c r="E187" t="n">
        <v>11</v>
      </c>
      <c r="F187" t="n">
        <v>43</v>
      </c>
      <c r="G187" t="n">
        <v>54</v>
      </c>
    </row>
    <row r="188">
      <c r="A188" s="5" t="inlineStr">
        <is>
          <t>9LF_IXT3_11018_06</t>
        </is>
      </c>
      <c r="C188" t="n">
        <v>4</v>
      </c>
      <c r="F188" t="n">
        <v>50</v>
      </c>
      <c r="G188" t="n">
        <v>54</v>
      </c>
    </row>
    <row r="189">
      <c r="A189" s="5" t="inlineStr">
        <is>
          <t>9LF_IXT3_11018_07</t>
        </is>
      </c>
      <c r="C189" t="n">
        <v>4</v>
      </c>
      <c r="F189" t="n">
        <v>50</v>
      </c>
      <c r="G189" t="n">
        <v>54</v>
      </c>
    </row>
    <row r="190">
      <c r="A190" s="5" t="inlineStr">
        <is>
          <t>9LF_IXT3_11018_08</t>
        </is>
      </c>
      <c r="C190" t="n">
        <v>4</v>
      </c>
      <c r="F190" t="n">
        <v>50</v>
      </c>
      <c r="G190" t="n">
        <v>54</v>
      </c>
    </row>
    <row r="191">
      <c r="A191" s="5" t="inlineStr">
        <is>
          <t>9LF_IXT3_11018_09</t>
        </is>
      </c>
      <c r="C191" t="n">
        <v>4</v>
      </c>
      <c r="F191" t="n">
        <v>50</v>
      </c>
      <c r="G191" t="n">
        <v>54</v>
      </c>
    </row>
    <row r="192">
      <c r="A192" s="5" t="inlineStr">
        <is>
          <t>9LF_IXT3_11018_10</t>
        </is>
      </c>
      <c r="C192" t="n">
        <v>4</v>
      </c>
      <c r="F192" t="n">
        <v>50</v>
      </c>
      <c r="G192" t="n">
        <v>54</v>
      </c>
    </row>
    <row r="193">
      <c r="A193" s="5" t="inlineStr">
        <is>
          <t>9LF_IXT3_11018_11</t>
        </is>
      </c>
      <c r="C193" t="n">
        <v>4</v>
      </c>
      <c r="F193" t="n">
        <v>50</v>
      </c>
      <c r="G193" t="n">
        <v>54</v>
      </c>
    </row>
    <row r="194">
      <c r="A194" s="5" t="inlineStr">
        <is>
          <t>9LF_IXT3_11018_12</t>
        </is>
      </c>
      <c r="C194" t="n">
        <v>4</v>
      </c>
      <c r="F194" t="n">
        <v>50</v>
      </c>
      <c r="G194" t="n">
        <v>54</v>
      </c>
    </row>
    <row r="195">
      <c r="A195" s="5" t="inlineStr">
        <is>
          <t>9LF_IXT3_11318_01</t>
        </is>
      </c>
      <c r="C195" t="n">
        <v>4</v>
      </c>
      <c r="F195" t="n">
        <v>50</v>
      </c>
      <c r="G195" t="n">
        <v>54</v>
      </c>
    </row>
    <row r="196">
      <c r="A196" s="5" t="inlineStr">
        <is>
          <t>9LF_IXT3_11318_02</t>
        </is>
      </c>
      <c r="C196" t="n">
        <v>4</v>
      </c>
      <c r="F196" t="n">
        <v>50</v>
      </c>
      <c r="G196" t="n">
        <v>54</v>
      </c>
    </row>
    <row r="197">
      <c r="A197" s="5" t="inlineStr">
        <is>
          <t>9LF_IXT3_11318_03</t>
        </is>
      </c>
      <c r="C197" t="n">
        <v>4</v>
      </c>
      <c r="F197" t="n">
        <v>50</v>
      </c>
      <c r="G197" t="n">
        <v>54</v>
      </c>
    </row>
    <row r="198">
      <c r="A198" s="5" t="inlineStr">
        <is>
          <t>9LF_IXT3_11318_04</t>
        </is>
      </c>
      <c r="C198" t="n">
        <v>5</v>
      </c>
      <c r="F198" t="n">
        <v>49</v>
      </c>
      <c r="G198" t="n">
        <v>54</v>
      </c>
    </row>
    <row r="199">
      <c r="A199" s="5" t="inlineStr">
        <is>
          <t>9LF_IXT3_11318_05</t>
        </is>
      </c>
      <c r="C199" t="n">
        <v>4</v>
      </c>
      <c r="F199" t="n">
        <v>50</v>
      </c>
      <c r="G199" t="n">
        <v>54</v>
      </c>
    </row>
    <row r="200">
      <c r="A200" s="5" t="inlineStr">
        <is>
          <t>9LF_IXT3_11318_06</t>
        </is>
      </c>
      <c r="C200" t="n">
        <v>4</v>
      </c>
      <c r="F200" t="n">
        <v>50</v>
      </c>
      <c r="G200" t="n">
        <v>54</v>
      </c>
    </row>
    <row r="201">
      <c r="A201" s="5" t="inlineStr">
        <is>
          <t>9LF_IXT3_11318_07</t>
        </is>
      </c>
      <c r="C201" t="n">
        <v>4</v>
      </c>
      <c r="F201" t="n">
        <v>50</v>
      </c>
      <c r="G201" t="n">
        <v>54</v>
      </c>
    </row>
    <row r="202">
      <c r="A202" s="5" t="inlineStr">
        <is>
          <t>9LF_IXT3_11418_01</t>
        </is>
      </c>
      <c r="C202" t="n">
        <v>4</v>
      </c>
      <c r="F202" t="n">
        <v>50</v>
      </c>
      <c r="G202" t="n">
        <v>54</v>
      </c>
    </row>
    <row r="203">
      <c r="A203" s="5" t="inlineStr">
        <is>
          <t>9LF_IXT3_11418_02</t>
        </is>
      </c>
      <c r="C203" t="n">
        <v>4</v>
      </c>
      <c r="F203" t="n">
        <v>50</v>
      </c>
      <c r="G203" t="n">
        <v>54</v>
      </c>
    </row>
    <row r="204">
      <c r="A204" s="5" t="inlineStr">
        <is>
          <t>9LF_IXT3_11418_03</t>
        </is>
      </c>
      <c r="C204" t="n">
        <v>4</v>
      </c>
      <c r="F204" t="n">
        <v>50</v>
      </c>
      <c r="G204" t="n">
        <v>54</v>
      </c>
    </row>
    <row r="205">
      <c r="A205" s="5" t="inlineStr">
        <is>
          <t>9LF_IXT3_11418_04</t>
        </is>
      </c>
      <c r="C205" t="n">
        <v>4</v>
      </c>
      <c r="E205" t="n">
        <v>1</v>
      </c>
      <c r="F205" t="n">
        <v>49</v>
      </c>
      <c r="G205" t="n">
        <v>54</v>
      </c>
    </row>
    <row r="206">
      <c r="A206" s="5" t="inlineStr">
        <is>
          <t>9LF_IXT3_11418_05</t>
        </is>
      </c>
      <c r="C206" t="n">
        <v>4</v>
      </c>
      <c r="F206" t="n">
        <v>50</v>
      </c>
      <c r="G206" t="n">
        <v>54</v>
      </c>
    </row>
    <row r="207">
      <c r="A207" s="5" t="inlineStr">
        <is>
          <t>9LF_IXT3_11418_06</t>
        </is>
      </c>
      <c r="C207" t="n">
        <v>4</v>
      </c>
      <c r="F207" t="n">
        <v>50</v>
      </c>
      <c r="G207" t="n">
        <v>54</v>
      </c>
    </row>
    <row r="208">
      <c r="A208" s="5" t="inlineStr">
        <is>
          <t>9LF_IXT3_11418_07</t>
        </is>
      </c>
      <c r="C208" t="n">
        <v>4</v>
      </c>
      <c r="F208" t="n">
        <v>50</v>
      </c>
      <c r="G208" t="n">
        <v>54</v>
      </c>
    </row>
    <row r="209">
      <c r="A209" s="5" t="inlineStr">
        <is>
          <t>9LF_IXT3_20104_01</t>
        </is>
      </c>
      <c r="E209" t="n">
        <v>26</v>
      </c>
      <c r="F209" t="n">
        <v>28</v>
      </c>
      <c r="G209" t="n">
        <v>54</v>
      </c>
    </row>
    <row r="210">
      <c r="A210" s="5" t="inlineStr">
        <is>
          <t>9LF_IXT3_20105_01</t>
        </is>
      </c>
      <c r="E210" t="n">
        <v>26</v>
      </c>
      <c r="F210" t="n">
        <v>28</v>
      </c>
      <c r="G210" t="n">
        <v>54</v>
      </c>
    </row>
    <row r="211">
      <c r="A211" s="5" t="inlineStr">
        <is>
          <t>9LF_IXT3_20107_01</t>
        </is>
      </c>
      <c r="E211" t="n">
        <v>34</v>
      </c>
      <c r="F211" t="n">
        <v>20</v>
      </c>
      <c r="G211" t="n">
        <v>54</v>
      </c>
    </row>
    <row r="212">
      <c r="A212" s="5" t="inlineStr">
        <is>
          <t>9LF_IXT3_20109_01</t>
        </is>
      </c>
      <c r="E212" t="n">
        <v>34</v>
      </c>
      <c r="F212" t="n">
        <v>20</v>
      </c>
      <c r="G212" t="n">
        <v>54</v>
      </c>
    </row>
    <row r="213">
      <c r="A213" s="5" t="inlineStr">
        <is>
          <t>9LF_IXT3_20110_01</t>
        </is>
      </c>
      <c r="C213" t="n">
        <v>20</v>
      </c>
      <c r="E213" t="n">
        <v>11</v>
      </c>
      <c r="F213" t="n">
        <v>23</v>
      </c>
      <c r="G213" t="n">
        <v>54</v>
      </c>
    </row>
    <row r="214">
      <c r="A214" s="5" t="inlineStr">
        <is>
          <t>9LF_IXT3_20112_01</t>
        </is>
      </c>
      <c r="C214" t="n">
        <v>21</v>
      </c>
      <c r="E214" t="n">
        <v>3</v>
      </c>
      <c r="F214" t="n">
        <v>30</v>
      </c>
      <c r="G214" t="n">
        <v>54</v>
      </c>
    </row>
    <row r="215">
      <c r="A215" s="5" t="inlineStr">
        <is>
          <t>9LF_IXT3_20113_01</t>
        </is>
      </c>
      <c r="C215" t="n">
        <v>20</v>
      </c>
      <c r="E215" t="n">
        <v>4</v>
      </c>
      <c r="F215" t="n">
        <v>30</v>
      </c>
      <c r="G215" t="n">
        <v>54</v>
      </c>
    </row>
    <row r="216">
      <c r="A216" s="5" t="inlineStr">
        <is>
          <t>9LF_IXT3_20115_01</t>
        </is>
      </c>
      <c r="C216" t="n">
        <v>28</v>
      </c>
      <c r="E216" t="n">
        <v>6</v>
      </c>
      <c r="F216" t="n">
        <v>20</v>
      </c>
      <c r="G216" t="n">
        <v>54</v>
      </c>
    </row>
    <row r="217">
      <c r="A217" s="5" t="inlineStr">
        <is>
          <t>9LF_IXT3_20116_01</t>
        </is>
      </c>
      <c r="C217" t="n">
        <v>30</v>
      </c>
      <c r="E217" t="n">
        <v>2</v>
      </c>
      <c r="F217" t="n">
        <v>22</v>
      </c>
      <c r="G217" t="n">
        <v>54</v>
      </c>
    </row>
    <row r="218">
      <c r="A218" s="5" t="inlineStr">
        <is>
          <t>9LF_IXT3_20118_01</t>
        </is>
      </c>
      <c r="C218" t="n">
        <v>25</v>
      </c>
      <c r="E218" t="n">
        <v>12</v>
      </c>
      <c r="F218" t="n">
        <v>17</v>
      </c>
      <c r="G218" t="n">
        <v>54</v>
      </c>
    </row>
    <row r="219">
      <c r="A219" s="5" t="inlineStr">
        <is>
          <t>9LF_IXT3_20119_01</t>
        </is>
      </c>
      <c r="C219" t="n">
        <v>27</v>
      </c>
      <c r="E219" t="n">
        <v>11</v>
      </c>
      <c r="F219" t="n">
        <v>16</v>
      </c>
      <c r="G219" t="n">
        <v>54</v>
      </c>
    </row>
    <row r="220">
      <c r="A220" s="5" t="inlineStr">
        <is>
          <t>9LF_IXT3_20207_01</t>
        </is>
      </c>
      <c r="C220" t="n">
        <v>8</v>
      </c>
      <c r="E220" t="n">
        <v>9</v>
      </c>
      <c r="F220" t="n">
        <v>37</v>
      </c>
      <c r="G220" t="n">
        <v>54</v>
      </c>
    </row>
    <row r="221">
      <c r="A221" s="5" t="inlineStr">
        <is>
          <t>9LF_IXT3_20208_01</t>
        </is>
      </c>
      <c r="C221" t="n">
        <v>8</v>
      </c>
      <c r="E221" t="n">
        <v>7</v>
      </c>
      <c r="F221" t="n">
        <v>39</v>
      </c>
      <c r="G221" t="n">
        <v>54</v>
      </c>
    </row>
    <row r="222">
      <c r="A222" s="5" t="inlineStr">
        <is>
          <t>9LF_IXT3_20210_01</t>
        </is>
      </c>
      <c r="C222" t="n">
        <v>21</v>
      </c>
      <c r="E222" t="n">
        <v>9</v>
      </c>
      <c r="F222" t="n">
        <v>24</v>
      </c>
      <c r="G222" t="n">
        <v>54</v>
      </c>
    </row>
    <row r="223">
      <c r="A223" s="5" t="inlineStr">
        <is>
          <t>9LF_IXT3_20212_01</t>
        </is>
      </c>
      <c r="C223" t="n">
        <v>18</v>
      </c>
      <c r="E223" t="n">
        <v>7</v>
      </c>
      <c r="F223" t="n">
        <v>29</v>
      </c>
      <c r="G223" t="n">
        <v>54</v>
      </c>
    </row>
    <row r="224">
      <c r="A224" s="5" t="inlineStr">
        <is>
          <t>9LF_IXT3_20213_01</t>
        </is>
      </c>
      <c r="C224" t="n">
        <v>18</v>
      </c>
      <c r="E224" t="n">
        <v>9</v>
      </c>
      <c r="F224" t="n">
        <v>27</v>
      </c>
      <c r="G224" t="n">
        <v>54</v>
      </c>
    </row>
    <row r="225">
      <c r="A225" s="5" t="inlineStr">
        <is>
          <t>9LF_IXT3_20214_01</t>
        </is>
      </c>
      <c r="C225" t="n">
        <v>20</v>
      </c>
      <c r="E225" t="n">
        <v>27</v>
      </c>
      <c r="F225" t="n">
        <v>7</v>
      </c>
      <c r="G225" t="n">
        <v>54</v>
      </c>
    </row>
    <row r="226">
      <c r="A226" s="5" t="inlineStr">
        <is>
          <t>9LF_IXT3_20216_01</t>
        </is>
      </c>
      <c r="C226" t="n">
        <v>21</v>
      </c>
      <c r="E226" t="n">
        <v>25</v>
      </c>
      <c r="F226" t="n">
        <v>8</v>
      </c>
      <c r="G226" t="n">
        <v>54</v>
      </c>
    </row>
    <row r="227">
      <c r="A227" s="5" t="inlineStr">
        <is>
          <t>9LF_IXT3_20217_01</t>
        </is>
      </c>
      <c r="C227" t="n">
        <v>21</v>
      </c>
      <c r="E227" t="n">
        <v>24</v>
      </c>
      <c r="F227" t="n">
        <v>9</v>
      </c>
      <c r="G227" t="n">
        <v>54</v>
      </c>
    </row>
    <row r="228">
      <c r="A228" s="5" t="inlineStr">
        <is>
          <t>9LF_IXT3_20218_01</t>
        </is>
      </c>
      <c r="C228" t="n">
        <v>21</v>
      </c>
      <c r="E228" t="n">
        <v>26</v>
      </c>
      <c r="F228" t="n">
        <v>7</v>
      </c>
      <c r="G228" t="n">
        <v>54</v>
      </c>
    </row>
    <row r="229">
      <c r="A229" s="5" t="inlineStr">
        <is>
          <t>9LF_IXT3_20305_01</t>
        </is>
      </c>
      <c r="C229" t="n">
        <v>13</v>
      </c>
      <c r="F229" t="n">
        <v>41</v>
      </c>
      <c r="G229" t="n">
        <v>54</v>
      </c>
    </row>
    <row r="230">
      <c r="A230" s="5" t="inlineStr">
        <is>
          <t>9LF_IXT3_20307_01</t>
        </is>
      </c>
      <c r="C230" t="n">
        <v>13</v>
      </c>
      <c r="F230" t="n">
        <v>41</v>
      </c>
      <c r="G230" t="n">
        <v>54</v>
      </c>
    </row>
    <row r="231">
      <c r="A231" s="5" t="inlineStr">
        <is>
          <t>9LF_IXT3_20309_01</t>
        </is>
      </c>
      <c r="C231" t="n">
        <v>25</v>
      </c>
      <c r="F231" t="n">
        <v>29</v>
      </c>
      <c r="G231" t="n">
        <v>54</v>
      </c>
    </row>
    <row r="232">
      <c r="A232" s="5" t="inlineStr">
        <is>
          <t>9LF_IXT3_20310_01</t>
        </is>
      </c>
      <c r="C232" t="n">
        <v>27</v>
      </c>
      <c r="F232" t="n">
        <v>27</v>
      </c>
      <c r="G232" t="n">
        <v>54</v>
      </c>
    </row>
    <row r="233">
      <c r="A233" s="5" t="inlineStr">
        <is>
          <t>9LF_IXT3_20313_01</t>
        </is>
      </c>
      <c r="C233" t="n">
        <v>32</v>
      </c>
      <c r="F233" t="n">
        <v>22</v>
      </c>
      <c r="G233" t="n">
        <v>54</v>
      </c>
    </row>
    <row r="234">
      <c r="A234" s="5" t="inlineStr">
        <is>
          <t>9LF_IXT3_20314_01</t>
        </is>
      </c>
      <c r="C234" t="n">
        <v>32</v>
      </c>
      <c r="F234" t="n">
        <v>22</v>
      </c>
      <c r="G234" t="n">
        <v>54</v>
      </c>
    </row>
    <row r="235">
      <c r="A235" s="5" t="inlineStr">
        <is>
          <t>9LF_IXT3_20316_01</t>
        </is>
      </c>
      <c r="C235" t="n">
        <v>34</v>
      </c>
      <c r="E235" t="n">
        <v>1</v>
      </c>
      <c r="F235" t="n">
        <v>19</v>
      </c>
      <c r="G235" t="n">
        <v>54</v>
      </c>
    </row>
    <row r="236">
      <c r="A236" s="5" t="inlineStr">
        <is>
          <t>9LF_IXT3_20318_01</t>
        </is>
      </c>
      <c r="C236" t="n">
        <v>30</v>
      </c>
      <c r="F236" t="n">
        <v>24</v>
      </c>
      <c r="G236" t="n">
        <v>54</v>
      </c>
    </row>
    <row r="237">
      <c r="A237" s="5" t="inlineStr">
        <is>
          <t>9LF_IXT3_20319_01</t>
        </is>
      </c>
      <c r="C237" t="n">
        <v>30</v>
      </c>
      <c r="E237" t="n">
        <v>2</v>
      </c>
      <c r="F237" t="n">
        <v>22</v>
      </c>
      <c r="G237" t="n">
        <v>54</v>
      </c>
    </row>
    <row r="238">
      <c r="A238" s="5" t="inlineStr">
        <is>
          <t>9LF_IXT3_20407_01</t>
        </is>
      </c>
      <c r="C238" t="n">
        <v>28</v>
      </c>
      <c r="E238" t="n">
        <v>1</v>
      </c>
      <c r="F238" t="n">
        <v>25</v>
      </c>
      <c r="G238" t="n">
        <v>54</v>
      </c>
    </row>
    <row r="239">
      <c r="A239" s="5" t="inlineStr">
        <is>
          <t>9LF_IXT3_20409_01</t>
        </is>
      </c>
      <c r="C239" t="n">
        <v>26</v>
      </c>
      <c r="F239" t="n">
        <v>28</v>
      </c>
      <c r="G239" t="n">
        <v>54</v>
      </c>
    </row>
    <row r="240">
      <c r="A240" s="5" t="inlineStr">
        <is>
          <t>9LF_IXT3_20410_01</t>
        </is>
      </c>
      <c r="C240" t="n">
        <v>31</v>
      </c>
      <c r="F240" t="n">
        <v>23</v>
      </c>
      <c r="G240" t="n">
        <v>54</v>
      </c>
    </row>
    <row r="241">
      <c r="A241" s="5" t="inlineStr">
        <is>
          <t>9LF_IXT3_20412_01</t>
        </is>
      </c>
      <c r="C241" t="n">
        <v>31</v>
      </c>
      <c r="E241" t="n">
        <v>1</v>
      </c>
      <c r="F241" t="n">
        <v>22</v>
      </c>
      <c r="G241" t="n">
        <v>54</v>
      </c>
    </row>
    <row r="242">
      <c r="A242" s="5" t="inlineStr">
        <is>
          <t>9LF_IXT3_20413_01</t>
        </is>
      </c>
      <c r="C242" t="n">
        <v>36</v>
      </c>
      <c r="F242" t="n">
        <v>18</v>
      </c>
      <c r="G242" t="n">
        <v>54</v>
      </c>
    </row>
    <row r="243">
      <c r="A243" s="5" t="inlineStr">
        <is>
          <t>9LF_IXT3_20414_01</t>
        </is>
      </c>
      <c r="C243" t="n">
        <v>32</v>
      </c>
      <c r="F243" t="n">
        <v>22</v>
      </c>
      <c r="G243" t="n">
        <v>54</v>
      </c>
    </row>
    <row r="244">
      <c r="A244" s="5" t="inlineStr">
        <is>
          <t>9LF_IXT3_20416_01</t>
        </is>
      </c>
      <c r="C244" t="n">
        <v>30</v>
      </c>
      <c r="F244" t="n">
        <v>24</v>
      </c>
      <c r="G244" t="n">
        <v>54</v>
      </c>
    </row>
    <row r="245">
      <c r="A245" s="5" t="inlineStr">
        <is>
          <t>9LF_IXT3_20418_01</t>
        </is>
      </c>
      <c r="C245" t="n">
        <v>34</v>
      </c>
      <c r="F245" t="n">
        <v>20</v>
      </c>
      <c r="G245" t="n">
        <v>54</v>
      </c>
    </row>
    <row r="246">
      <c r="A246" s="5" t="inlineStr">
        <is>
          <t>9LF_IXT3_20419_01</t>
        </is>
      </c>
      <c r="C246" t="n">
        <v>30</v>
      </c>
      <c r="E246" t="n">
        <v>2</v>
      </c>
      <c r="F246" t="n">
        <v>22</v>
      </c>
      <c r="G246" t="n">
        <v>54</v>
      </c>
    </row>
    <row r="247">
      <c r="A247" s="5" t="inlineStr">
        <is>
          <t>9LF_IXT3_20505_01</t>
        </is>
      </c>
      <c r="C247" t="n">
        <v>25</v>
      </c>
      <c r="E247" t="n">
        <v>3</v>
      </c>
      <c r="F247" t="n">
        <v>26</v>
      </c>
      <c r="G247" t="n">
        <v>54</v>
      </c>
    </row>
    <row r="248">
      <c r="A248" s="5" t="inlineStr">
        <is>
          <t>9LF_IXT3_20506_01</t>
        </is>
      </c>
      <c r="C248" t="n">
        <v>23</v>
      </c>
      <c r="E248" t="n">
        <v>6</v>
      </c>
      <c r="F248" t="n">
        <v>25</v>
      </c>
      <c r="G248" t="n">
        <v>54</v>
      </c>
    </row>
    <row r="249">
      <c r="A249" s="5" t="inlineStr">
        <is>
          <t>9LF_IXT3_20519_01</t>
        </is>
      </c>
      <c r="D249" t="n">
        <v>1</v>
      </c>
      <c r="E249" t="n">
        <v>13</v>
      </c>
      <c r="F249" t="n">
        <v>26</v>
      </c>
      <c r="G249" t="n">
        <v>40</v>
      </c>
    </row>
    <row r="250">
      <c r="A250" s="5" t="inlineStr">
        <is>
          <t>9LF_IXT3_20619_01</t>
        </is>
      </c>
      <c r="B250" t="n">
        <v>1</v>
      </c>
      <c r="C250" t="n">
        <v>12</v>
      </c>
      <c r="E250" t="n">
        <v>1</v>
      </c>
      <c r="F250" t="n">
        <v>26</v>
      </c>
      <c r="G250" t="n">
        <v>40</v>
      </c>
    </row>
    <row r="251">
      <c r="A251" s="5" t="inlineStr">
        <is>
          <t>9LF_IXT3_20712_01</t>
        </is>
      </c>
      <c r="C251" t="n">
        <v>22</v>
      </c>
      <c r="E251" t="n">
        <v>1</v>
      </c>
      <c r="F251" t="n">
        <v>31</v>
      </c>
      <c r="G251" t="n">
        <v>54</v>
      </c>
    </row>
    <row r="252">
      <c r="A252" s="5" t="inlineStr">
        <is>
          <t>9LF_IXT3_20713_01</t>
        </is>
      </c>
      <c r="C252" t="n">
        <v>22</v>
      </c>
      <c r="E252" t="n">
        <v>3</v>
      </c>
      <c r="F252" t="n">
        <v>29</v>
      </c>
      <c r="G252" t="n">
        <v>54</v>
      </c>
    </row>
    <row r="253">
      <c r="A253" s="5" t="inlineStr">
        <is>
          <t>9LF_IXT3_20715_01</t>
        </is>
      </c>
      <c r="C253" t="n">
        <v>46</v>
      </c>
      <c r="F253" t="n">
        <v>8</v>
      </c>
      <c r="G253" t="n">
        <v>54</v>
      </c>
    </row>
    <row r="254">
      <c r="A254" s="5" t="inlineStr">
        <is>
          <t>9LF_IXT3_20715_02</t>
        </is>
      </c>
      <c r="C254" t="n">
        <v>46</v>
      </c>
      <c r="F254" t="n">
        <v>8</v>
      </c>
      <c r="G254" t="n">
        <v>54</v>
      </c>
    </row>
    <row r="255">
      <c r="A255" s="5" t="inlineStr">
        <is>
          <t>9LF_IXT3_20814_01</t>
        </is>
      </c>
      <c r="C255" t="n">
        <v>38</v>
      </c>
      <c r="F255" t="n">
        <v>16</v>
      </c>
      <c r="G255" t="n">
        <v>54</v>
      </c>
    </row>
    <row r="256">
      <c r="A256" s="5" t="inlineStr">
        <is>
          <t>9LF_IXT3_20816_01</t>
        </is>
      </c>
      <c r="C256" t="n">
        <v>38</v>
      </c>
      <c r="F256" t="n">
        <v>16</v>
      </c>
      <c r="G256" t="n">
        <v>54</v>
      </c>
    </row>
    <row r="257">
      <c r="A257" s="5" t="inlineStr">
        <is>
          <t>9LF_IXT3_20818_01</t>
        </is>
      </c>
      <c r="C257" t="n">
        <v>4</v>
      </c>
      <c r="E257" t="n">
        <v>41</v>
      </c>
      <c r="F257" t="n">
        <v>9</v>
      </c>
      <c r="G257" t="n">
        <v>54</v>
      </c>
    </row>
    <row r="258">
      <c r="A258" s="5" t="inlineStr">
        <is>
          <t>9LF_IXT3_20919_01</t>
        </is>
      </c>
      <c r="C258" t="n">
        <v>5</v>
      </c>
      <c r="F258" t="n">
        <v>49</v>
      </c>
      <c r="G258" t="n">
        <v>54</v>
      </c>
    </row>
    <row r="259">
      <c r="A259" s="5" t="inlineStr">
        <is>
          <t>9LF_IXT3_20919_02</t>
        </is>
      </c>
      <c r="C259" t="n">
        <v>4</v>
      </c>
      <c r="F259" t="n">
        <v>50</v>
      </c>
      <c r="G259" t="n">
        <v>54</v>
      </c>
    </row>
    <row r="260">
      <c r="A260" s="5" t="inlineStr">
        <is>
          <t>9LF_IXT3_20919_03</t>
        </is>
      </c>
      <c r="C260" t="n">
        <v>4</v>
      </c>
      <c r="F260" t="n">
        <v>50</v>
      </c>
      <c r="G260" t="n">
        <v>54</v>
      </c>
    </row>
    <row r="261">
      <c r="A261" s="5" t="inlineStr">
        <is>
          <t>9LF_IXT3_20919_04</t>
        </is>
      </c>
      <c r="C261" t="n">
        <v>4</v>
      </c>
      <c r="F261" t="n">
        <v>50</v>
      </c>
      <c r="G261" t="n">
        <v>54</v>
      </c>
    </row>
    <row r="262">
      <c r="A262" s="5" t="inlineStr">
        <is>
          <t>9LF_IXT3_20919_05</t>
        </is>
      </c>
      <c r="C262" t="n">
        <v>4</v>
      </c>
      <c r="F262" t="n">
        <v>50</v>
      </c>
      <c r="G262" t="n">
        <v>54</v>
      </c>
    </row>
    <row r="263">
      <c r="A263" s="5" t="inlineStr">
        <is>
          <t>9LF_IXT3_20919_06</t>
        </is>
      </c>
      <c r="C263" t="n">
        <v>4</v>
      </c>
      <c r="F263" t="n">
        <v>50</v>
      </c>
      <c r="G263" t="n">
        <v>54</v>
      </c>
    </row>
    <row r="264">
      <c r="A264" s="5" t="inlineStr">
        <is>
          <t>9LF_IXT3_20919_07</t>
        </is>
      </c>
      <c r="C264" t="n">
        <v>49</v>
      </c>
      <c r="F264" t="n">
        <v>5</v>
      </c>
      <c r="G264" t="n">
        <v>54</v>
      </c>
    </row>
    <row r="265">
      <c r="A265" s="5" t="inlineStr">
        <is>
          <t>9LF_IXT3_21019_01</t>
        </is>
      </c>
      <c r="C265" t="n">
        <v>5</v>
      </c>
      <c r="F265" t="n">
        <v>49</v>
      </c>
      <c r="G265" t="n">
        <v>54</v>
      </c>
    </row>
    <row r="266">
      <c r="A266" s="5" t="inlineStr">
        <is>
          <t>9LF_IXT3_21019_02</t>
        </is>
      </c>
      <c r="C266" t="n">
        <v>4</v>
      </c>
      <c r="F266" t="n">
        <v>50</v>
      </c>
      <c r="G266" t="n">
        <v>54</v>
      </c>
    </row>
    <row r="267">
      <c r="A267" s="5" t="inlineStr">
        <is>
          <t>9LF_IXT3_21019_03</t>
        </is>
      </c>
      <c r="C267" t="n">
        <v>4</v>
      </c>
      <c r="F267" t="n">
        <v>50</v>
      </c>
      <c r="G267" t="n">
        <v>54</v>
      </c>
    </row>
    <row r="268">
      <c r="A268" s="5" t="inlineStr">
        <is>
          <t>9LF_IXT3_21019_04</t>
        </is>
      </c>
      <c r="C268" t="n">
        <v>4</v>
      </c>
      <c r="F268" t="n">
        <v>50</v>
      </c>
      <c r="G268" t="n">
        <v>54</v>
      </c>
    </row>
    <row r="269">
      <c r="A269" s="5" t="inlineStr">
        <is>
          <t>9LF_IXT3_21019_05</t>
        </is>
      </c>
      <c r="C269" t="n">
        <v>4</v>
      </c>
      <c r="F269" t="n">
        <v>50</v>
      </c>
      <c r="G269" t="n">
        <v>54</v>
      </c>
    </row>
    <row r="270">
      <c r="A270" s="5" t="inlineStr">
        <is>
          <t>9LF_IXT3_21019_06</t>
        </is>
      </c>
      <c r="C270" t="n">
        <v>4</v>
      </c>
      <c r="F270" t="n">
        <v>50</v>
      </c>
      <c r="G270" t="n">
        <v>54</v>
      </c>
    </row>
    <row r="271">
      <c r="A271" s="5" t="inlineStr">
        <is>
          <t>9LF_IXT3_21019_07</t>
        </is>
      </c>
      <c r="C271" t="n">
        <v>49</v>
      </c>
      <c r="F271" t="n">
        <v>5</v>
      </c>
      <c r="G271" t="n">
        <v>54</v>
      </c>
    </row>
    <row r="272">
      <c r="A272" s="5" t="inlineStr">
        <is>
          <t>9LF_IXT3_21319_01</t>
        </is>
      </c>
      <c r="C272" t="n">
        <v>4</v>
      </c>
      <c r="F272" t="n">
        <v>50</v>
      </c>
      <c r="G272" t="n">
        <v>54</v>
      </c>
    </row>
    <row r="273">
      <c r="A273" s="5" t="inlineStr">
        <is>
          <t>9LF_IXT3_21319_02</t>
        </is>
      </c>
      <c r="C273" t="n">
        <v>4</v>
      </c>
      <c r="F273" t="n">
        <v>50</v>
      </c>
      <c r="G273" t="n">
        <v>54</v>
      </c>
    </row>
    <row r="274">
      <c r="A274" s="5" t="inlineStr">
        <is>
          <t>9LF_IXT3_21319_03</t>
        </is>
      </c>
      <c r="C274" t="n">
        <v>4</v>
      </c>
      <c r="F274" t="n">
        <v>50</v>
      </c>
      <c r="G274" t="n">
        <v>54</v>
      </c>
    </row>
    <row r="275">
      <c r="A275" s="5" t="inlineStr">
        <is>
          <t>9LF_IXT3_21319_04</t>
        </is>
      </c>
      <c r="C275" t="n">
        <v>4</v>
      </c>
      <c r="F275" t="n">
        <v>50</v>
      </c>
      <c r="G275" t="n">
        <v>54</v>
      </c>
    </row>
    <row r="276">
      <c r="A276" s="5" t="inlineStr">
        <is>
          <t>9LF_IXT3_21319_05</t>
        </is>
      </c>
      <c r="C276" t="n">
        <v>29</v>
      </c>
      <c r="F276" t="n">
        <v>25</v>
      </c>
      <c r="G276" t="n">
        <v>54</v>
      </c>
    </row>
    <row r="277">
      <c r="A277" s="5" t="inlineStr">
        <is>
          <t>9LF_IXT3_21419_01</t>
        </is>
      </c>
      <c r="C277" t="n">
        <v>4</v>
      </c>
      <c r="F277" t="n">
        <v>50</v>
      </c>
      <c r="G277" t="n">
        <v>54</v>
      </c>
    </row>
    <row r="278">
      <c r="A278" s="5" t="inlineStr">
        <is>
          <t>9LF_IXT3_21419_02</t>
        </is>
      </c>
      <c r="C278" t="n">
        <v>4</v>
      </c>
      <c r="F278" t="n">
        <v>50</v>
      </c>
      <c r="G278" t="n">
        <v>54</v>
      </c>
    </row>
    <row r="279">
      <c r="A279" s="5" t="inlineStr">
        <is>
          <t>9LF_IXT3_21419_03</t>
        </is>
      </c>
      <c r="C279" t="n">
        <v>4</v>
      </c>
      <c r="F279" t="n">
        <v>50</v>
      </c>
      <c r="G279" t="n">
        <v>54</v>
      </c>
    </row>
    <row r="280">
      <c r="A280" s="5" t="inlineStr">
        <is>
          <t>9LF_IXT3_21419_04</t>
        </is>
      </c>
      <c r="C280" t="n">
        <v>4</v>
      </c>
      <c r="F280" t="n">
        <v>50</v>
      </c>
      <c r="G280" t="n">
        <v>54</v>
      </c>
    </row>
    <row r="281">
      <c r="A281" s="5" t="inlineStr">
        <is>
          <t>9LF_IXT3_21419_05</t>
        </is>
      </c>
      <c r="C281" t="n">
        <v>29</v>
      </c>
      <c r="F281" t="n">
        <v>25</v>
      </c>
      <c r="G281" t="n">
        <v>54</v>
      </c>
    </row>
    <row r="282">
      <c r="A282" s="5" t="inlineStr">
        <is>
          <t>9SP_IXT1_10112_01</t>
        </is>
      </c>
      <c r="C282" t="n">
        <v>4</v>
      </c>
      <c r="E282" t="n">
        <v>8</v>
      </c>
      <c r="F282" t="n">
        <v>52</v>
      </c>
      <c r="G282" t="n">
        <v>64</v>
      </c>
    </row>
    <row r="283">
      <c r="A283" s="5" t="inlineStr">
        <is>
          <t>9SP_IXT1_20114_01</t>
        </is>
      </c>
      <c r="C283" t="n">
        <v>4</v>
      </c>
      <c r="E283" t="n">
        <v>8</v>
      </c>
      <c r="F283" t="n">
        <v>52</v>
      </c>
      <c r="G283" t="n">
        <v>64</v>
      </c>
    </row>
    <row r="284">
      <c r="A284" s="5" t="inlineStr">
        <is>
          <t>9SP_IXT2_10118_01</t>
        </is>
      </c>
      <c r="C284" t="n">
        <v>1</v>
      </c>
      <c r="E284" t="n">
        <v>14</v>
      </c>
      <c r="F284" t="n">
        <v>49</v>
      </c>
      <c r="G284" t="n">
        <v>64</v>
      </c>
    </row>
    <row r="285">
      <c r="A285" s="5" t="inlineStr">
        <is>
          <t>9SP_IXT2_20117_01</t>
        </is>
      </c>
      <c r="E285" t="n">
        <v>14</v>
      </c>
      <c r="F285" t="n">
        <v>50</v>
      </c>
      <c r="G285" t="n">
        <v>64</v>
      </c>
    </row>
    <row r="286">
      <c r="A286" s="5" t="inlineStr">
        <is>
          <t>9SP_IXT3_10818_01</t>
        </is>
      </c>
      <c r="E286" t="n">
        <v>18</v>
      </c>
      <c r="F286" t="n">
        <v>178</v>
      </c>
      <c r="G286" t="n">
        <v>196</v>
      </c>
    </row>
    <row r="287">
      <c r="A287" s="5" t="inlineStr">
        <is>
          <t>9SP_IXT3_20819_01</t>
        </is>
      </c>
      <c r="E287" t="n">
        <v>18</v>
      </c>
      <c r="F287" t="n">
        <v>178</v>
      </c>
      <c r="G287" t="n">
        <v>196</v>
      </c>
    </row>
    <row r="288">
      <c r="A288" s="5" t="inlineStr">
        <is>
          <t>Grand Total</t>
        </is>
      </c>
      <c r="B288" t="n">
        <v>1</v>
      </c>
      <c r="C288" t="n">
        <v>4127</v>
      </c>
      <c r="D288" t="n">
        <v>5</v>
      </c>
      <c r="E288" t="n">
        <v>4489</v>
      </c>
      <c r="F288" t="n">
        <v>9510</v>
      </c>
      <c r="G288" t="n">
        <v>18132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zoomScale="200" workbookViewId="0">
      <selection activeCell="A1" sqref="A1"/>
    </sheetView>
  </sheetViews>
  <sheetFormatPr baseColWidth="10" defaultRowHeight="16"/>
  <cols>
    <col width="17" bestFit="1" customWidth="1" style="22" min="1" max="1"/>
    <col width="15.5" bestFit="1" customWidth="1" style="22" min="2" max="2"/>
    <col width="5.1640625" bestFit="1" customWidth="1" style="22" min="3" max="3"/>
    <col width="10.5" bestFit="1" customWidth="1" style="22" min="4" max="4"/>
    <col width="8.5" bestFit="1" customWidth="1" style="22" min="5" max="6"/>
    <col width="7.5" bestFit="1" customWidth="1" style="22" min="7" max="15"/>
    <col width="6.5" bestFit="1" customWidth="1" style="22" min="16" max="16"/>
    <col width="7.5" bestFit="1" customWidth="1" style="22" min="17" max="26"/>
    <col width="6.5" bestFit="1" customWidth="1" style="22" min="27" max="27"/>
    <col width="7.5" bestFit="1" customWidth="1" style="22" min="28" max="28"/>
    <col width="9.1640625" bestFit="1" customWidth="1" style="22" min="29" max="32"/>
    <col width="7.5" bestFit="1" customWidth="1" style="22" min="33" max="41"/>
    <col width="6.5" bestFit="1" customWidth="1" style="22" min="42" max="42"/>
    <col width="7.5" bestFit="1" customWidth="1" style="22" min="43" max="52"/>
    <col width="6.5" bestFit="1" customWidth="1" style="22" min="53" max="53"/>
    <col width="7.5" bestFit="1" customWidth="1" style="22" min="54" max="63"/>
    <col width="6.5" bestFit="1" customWidth="1" style="22" min="64" max="64"/>
    <col width="8.1640625" bestFit="1" customWidth="1" style="22" min="65" max="68"/>
    <col width="7.5" bestFit="1" customWidth="1" style="22" min="69" max="78"/>
    <col width="6.5" bestFit="1" customWidth="1" style="22" min="79" max="79"/>
    <col width="8.1640625" bestFit="1" customWidth="1" style="22" min="80" max="83"/>
    <col width="7.5" bestFit="1" customWidth="1" style="22" min="84" max="93"/>
    <col width="6.5" bestFit="1" customWidth="1" style="22" min="94" max="94"/>
    <col width="7.5" bestFit="1" customWidth="1" style="22" min="95" max="104"/>
    <col width="6.5" bestFit="1" customWidth="1" style="22" min="105" max="105"/>
    <col width="7.5" bestFit="1" customWidth="1" style="22" min="106" max="115"/>
    <col width="6.5" bestFit="1" customWidth="1" style="22" min="116" max="116"/>
    <col width="7.5" bestFit="1" customWidth="1" style="22" min="117" max="126"/>
    <col width="6.5" bestFit="1" customWidth="1" style="22" min="127" max="127"/>
    <col width="7.5" bestFit="1" customWidth="1" style="22" min="128" max="137"/>
    <col width="6.5" bestFit="1" customWidth="1" style="22" min="138" max="138"/>
    <col width="7.5" bestFit="1" customWidth="1" style="22" min="139" max="141"/>
    <col width="6.5" bestFit="1" customWidth="1" style="22" min="142" max="148"/>
    <col width="7.5" bestFit="1" customWidth="1" style="22" min="149" max="158"/>
    <col width="6.5" bestFit="1" customWidth="1" style="22" min="159" max="159"/>
    <col width="7.5" bestFit="1" customWidth="1" style="22" min="160" max="169"/>
    <col width="6.5" bestFit="1" customWidth="1" style="22" min="170" max="170"/>
    <col width="7.5" bestFit="1" customWidth="1" style="22" min="171" max="173"/>
    <col width="6.5" bestFit="1" customWidth="1" style="22" min="174" max="180"/>
    <col width="7.5" bestFit="1" customWidth="1" style="22" min="181" max="190"/>
    <col width="6.5" bestFit="1" customWidth="1" style="22" min="191" max="191"/>
    <col width="7.5" bestFit="1" customWidth="1" style="22" min="192" max="201"/>
    <col width="6.5" bestFit="1" customWidth="1" style="22" min="202" max="202"/>
    <col width="7.5" bestFit="1" customWidth="1" style="22" min="203" max="205"/>
    <col width="6.5" bestFit="1" customWidth="1" style="22" min="206" max="212"/>
    <col width="7.5" bestFit="1" customWidth="1" style="22" min="213" max="222"/>
    <col width="6.5" bestFit="1" customWidth="1" style="22" min="223" max="223"/>
    <col width="7.5" bestFit="1" customWidth="1" style="22" min="224" max="233"/>
    <col width="6.5" bestFit="1" customWidth="1" style="22" min="234" max="234"/>
    <col width="7.5" bestFit="1" customWidth="1" style="22" min="235" max="237"/>
    <col width="6.5" bestFit="1" customWidth="1" style="22" min="238" max="244"/>
    <col width="7.5" bestFit="1" customWidth="1" style="22" min="245" max="254"/>
    <col width="6.5" bestFit="1" customWidth="1" style="22" min="255" max="255"/>
    <col width="7.5" bestFit="1" customWidth="1" style="22" min="256" max="265"/>
    <col width="6.5" bestFit="1" customWidth="1" style="22" min="266" max="266"/>
    <col width="7.5" bestFit="1" customWidth="1" style="22" min="267" max="273"/>
    <col width="6.5" bestFit="1" customWidth="1" style="22" min="274" max="279"/>
    <col width="10.5" bestFit="1" customWidth="1" style="22" min="280" max="280"/>
  </cols>
  <sheetData>
    <row r="1">
      <c r="A1" s="4" t="inlineStr">
        <is>
          <t>pod</t>
        </is>
      </c>
      <c r="B1" t="inlineStr">
        <is>
          <t>(All)</t>
        </is>
      </c>
    </row>
    <row r="2">
      <c r="A2" s="4" t="inlineStr">
        <is>
          <t>MODEL</t>
        </is>
      </c>
      <c r="B2" t="inlineStr">
        <is>
          <t>(All)</t>
        </is>
      </c>
    </row>
    <row r="4">
      <c r="A4" s="4" t="inlineStr">
        <is>
          <t>Count of oper state</t>
        </is>
      </c>
      <c r="B4" s="4" t="inlineStr">
        <is>
          <t>Column Labels</t>
        </is>
      </c>
    </row>
    <row r="5">
      <c r="A5" s="4" t="inlineStr">
        <is>
          <t>Row Labels</t>
        </is>
      </c>
      <c r="B5" t="inlineStr">
        <is>
          <t>down</t>
        </is>
      </c>
      <c r="C5" t="inlineStr">
        <is>
          <t>up</t>
        </is>
      </c>
      <c r="D5" t="inlineStr">
        <is>
          <t>Grand Total</t>
        </is>
      </c>
    </row>
    <row r="6">
      <c r="A6" s="5" t="inlineStr">
        <is>
          <t>100G</t>
        </is>
      </c>
      <c r="B6" t="n">
        <v>990</v>
      </c>
      <c r="C6" t="n">
        <v>12</v>
      </c>
      <c r="D6" t="n">
        <v>1002</v>
      </c>
    </row>
    <row r="7">
      <c r="A7" s="5" t="inlineStr">
        <is>
          <t>100M</t>
        </is>
      </c>
      <c r="B7" t="n">
        <v>141</v>
      </c>
      <c r="C7" t="n">
        <v>739</v>
      </c>
      <c r="D7" t="n">
        <v>880</v>
      </c>
    </row>
    <row r="8">
      <c r="A8" s="5" t="inlineStr">
        <is>
          <t>10G</t>
        </is>
      </c>
      <c r="B8" t="n">
        <v>3716</v>
      </c>
      <c r="C8" t="n">
        <v>5203</v>
      </c>
      <c r="D8" t="n">
        <v>8919</v>
      </c>
    </row>
    <row r="9">
      <c r="A9" s="5" t="inlineStr">
        <is>
          <t>1G</t>
        </is>
      </c>
      <c r="B9" t="n">
        <v>763</v>
      </c>
      <c r="C9" t="n">
        <v>2525</v>
      </c>
      <c r="D9" t="n">
        <v>3288</v>
      </c>
    </row>
    <row r="10">
      <c r="A10" s="5" t="inlineStr">
        <is>
          <t>25G</t>
        </is>
      </c>
      <c r="B10" t="n">
        <v>2980</v>
      </c>
      <c r="C10" t="n">
        <v>8</v>
      </c>
      <c r="D10" t="n">
        <v>2988</v>
      </c>
    </row>
    <row r="11">
      <c r="A11" s="5" t="inlineStr">
        <is>
          <t>40G</t>
        </is>
      </c>
      <c r="B11" t="n">
        <v>268</v>
      </c>
      <c r="C11" t="n">
        <v>1160</v>
      </c>
      <c r="D11" t="n">
        <v>1428</v>
      </c>
    </row>
    <row r="12">
      <c r="A12" s="5" t="inlineStr">
        <is>
          <t>auto</t>
        </is>
      </c>
      <c r="B12" t="n">
        <v>17</v>
      </c>
      <c r="D12" t="n">
        <v>17</v>
      </c>
    </row>
    <row r="13">
      <c r="A13" s="5" t="inlineStr">
        <is>
          <t>Grand Total</t>
        </is>
      </c>
      <c r="B13" t="n">
        <v>8875</v>
      </c>
      <c r="C13" t="n">
        <v>9647</v>
      </c>
      <c r="D13" t="n">
        <v>18522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85"/>
  <sheetViews>
    <sheetView zoomScale="156" workbookViewId="0">
      <selection activeCell="E13" sqref="E13"/>
    </sheetView>
  </sheetViews>
  <sheetFormatPr baseColWidth="10" defaultColWidth="11" defaultRowHeight="16"/>
  <cols>
    <col width="11" customWidth="1" style="22" min="1" max="2"/>
    <col width="17.6640625" bestFit="1" customWidth="1" style="22" min="3" max="3"/>
    <col width="11" customWidth="1" style="22" min="4" max="4"/>
    <col width="13.6640625" bestFit="1" customWidth="1" style="22" min="5" max="5"/>
    <col width="18" bestFit="1" customWidth="1" style="22" min="6" max="6"/>
    <col width="27.6640625" bestFit="1" customWidth="1" style="22" min="7" max="7"/>
    <col width="33" customWidth="1" style="22" min="8" max="8"/>
    <col width="17.6640625" bestFit="1" customWidth="1" style="22" min="9" max="9"/>
    <col width="17.6640625" customWidth="1" style="22" min="10" max="10"/>
    <col width="15.5" bestFit="1" customWidth="1" style="22" min="11" max="11"/>
    <col width="8" bestFit="1" customWidth="1" style="22" min="12" max="12"/>
    <col width="45.5" bestFit="1" customWidth="1" style="22" min="13" max="13"/>
    <col width="13.5" bestFit="1" customWidth="1" style="22" min="14" max="14"/>
    <col width="14.1640625" bestFit="1" customWidth="1" style="22" min="15" max="15"/>
    <col width="30.5" bestFit="1" customWidth="1" style="22" min="16" max="16"/>
    <col width="20.6640625" bestFit="1" customWidth="1" style="22" min="17" max="17"/>
    <col width="15.5" bestFit="1" customWidth="1" style="22" min="18" max="18"/>
  </cols>
  <sheetData>
    <row r="1">
      <c r="A1" t="inlineStr">
        <is>
          <t>NODE</t>
        </is>
      </c>
      <c r="B1" t="inlineStr">
        <is>
          <t>POD</t>
        </is>
      </c>
      <c r="C1" t="inlineStr">
        <is>
          <t>HOSTNAME</t>
        </is>
      </c>
      <c r="D1" t="inlineStr">
        <is>
          <t>PORT</t>
        </is>
      </c>
      <c r="E1" s="26" t="inlineStr">
        <is>
          <t>Admin State</t>
        </is>
      </c>
      <c r="F1" s="23" t="inlineStr">
        <is>
          <t>Operational State</t>
        </is>
      </c>
      <c r="G1" s="2" t="inlineStr">
        <is>
          <t>Reason</t>
        </is>
      </c>
      <c r="H1" s="23" t="inlineStr">
        <is>
          <t>Description</t>
        </is>
      </c>
      <c r="I1" s="11" t="inlineStr">
        <is>
          <t>MODEL</t>
        </is>
      </c>
      <c r="J1" s="11" t="inlineStr">
        <is>
          <t>VPC</t>
        </is>
      </c>
      <c r="K1" s="11" t="inlineStr">
        <is>
          <t>VPC2</t>
        </is>
      </c>
      <c r="L1" s="11" t="inlineStr">
        <is>
          <t>ID</t>
        </is>
      </c>
      <c r="M1" s="11" t="inlineStr">
        <is>
          <t>PG</t>
        </is>
      </c>
      <c r="N1" s="11" t="inlineStr">
        <is>
          <t>ISEL</t>
        </is>
      </c>
      <c r="O1" s="11" t="inlineStr">
        <is>
          <t>STATIC PORT</t>
        </is>
      </c>
      <c r="P1" s="11" t="inlineStr">
        <is>
          <t>L3OUT</t>
        </is>
      </c>
      <c r="Q1" s="11" t="inlineStr">
        <is>
          <t>STATIC PORT P/LEAF</t>
        </is>
      </c>
      <c r="R1" s="11" t="inlineStr">
        <is>
          <t>PORTS P/LEAF</t>
        </is>
      </c>
    </row>
    <row r="2">
      <c r="A2" s="24" t="inlineStr">
        <is>
          <t>101</t>
        </is>
      </c>
      <c r="B2" s="24" t="inlineStr">
        <is>
          <t>1</t>
        </is>
      </c>
      <c r="C2">
        <f>VLOOKUP(VALUE(Table5[[#This Row],[NODE]]),LEAF_INFO!B:H,6,0)</f>
        <v/>
      </c>
      <c r="D2" s="24" t="inlineStr">
        <is>
          <t>eth1/33</t>
        </is>
      </c>
      <c r="E2" s="27" t="inlineStr">
        <is>
          <t>down</t>
        </is>
      </c>
      <c r="F2" s="24" t="inlineStr">
        <is>
          <t>down</t>
        </is>
      </c>
      <c r="G2" s="24">
        <f>VLOOKUP(_xlfn.CONCAT(Table5[[#This Row],[NODE]],Table5[[#This Row],[PORT]]),PORTS_!A:G,7,0)</f>
        <v/>
      </c>
      <c r="H2" s="24" t="inlineStr"/>
      <c r="I2">
        <f>VLOOKUP(VALUE(Table5[[#This Row],[NODE]]),LEAF_INFO!B:H,7,0)</f>
        <v/>
      </c>
      <c r="J2">
        <f>ISNUMBER(SEARCH("vpc-leaf", SUBSTITUTE(LOWER(K2), "_", "-")))</f>
        <v/>
      </c>
      <c r="K2">
        <f>_xlfn.IFNA(VLOOKUP(VALUE(Table5[[#This Row],[NODE]]), VPC!A:A, 2, 0), "No está en VPC")</f>
        <v/>
      </c>
      <c r="L2">
        <f>IF(OR(ISNUMBER(SEARCH("VPC-Leaf", K2)), ISNUMBER(SEARCH("VPC_Leaf", K2))),SUBSTITUTE(SUBSTITUTE(SUBSTITUTE(K2, "VPC-Leaf", ""), "VPC_Leaf", ""), "_", "-"),A2)</f>
        <v/>
      </c>
      <c r="M2">
        <f>_xlfn.IFNA(VLOOKUP(_xlfn.CONCAT(VALUE(Table5[[#This Row],[NODE]]),Table5[[#This Row],[PORT]]),PG!C:H,6,0),"NO EXISTE PG")</f>
        <v/>
      </c>
      <c r="N2">
        <f>_xlfn.IFNA(VLOOKUP(_xlfn.CONCAT(VALUE(Table5[[#This Row],[NODE]]),Table5[[#This Row],[PORT]]),PG!C:H,4,0),"NO EXISTE ISEL")</f>
        <v/>
      </c>
      <c r="O2">
        <f>COUNTIF(Statics!G:G,Table5[[#This Row],[PG]])+COUNTIF(Statics!H:H,_xlfn.CONCAT((Table5[[#This Row],[NODE]]),Table5[[#This Row],[PORT]]))</f>
        <v/>
      </c>
      <c r="P2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">
        <f>COUNTIF(Statics!F:F,Table5[[#This Row],[ID]])+COUNTIF(Statics!F:F,VALUE(Table5[[#This Row],[NODE]]))</f>
        <v/>
      </c>
    </row>
    <row r="3">
      <c r="A3" t="inlineStr">
        <is>
          <t>101</t>
        </is>
      </c>
      <c r="B3" t="inlineStr">
        <is>
          <t>1</t>
        </is>
      </c>
      <c r="C3">
        <f>VLOOKUP(VALUE(Table5[[#This Row],[NODE]]),LEAF_INFO!B:H,6,0)</f>
        <v/>
      </c>
      <c r="D3" t="inlineStr">
        <is>
          <t>eth1/34</t>
        </is>
      </c>
      <c r="E3" t="inlineStr">
        <is>
          <t>down</t>
        </is>
      </c>
      <c r="F3" t="inlineStr">
        <is>
          <t>down</t>
        </is>
      </c>
      <c r="G3">
        <f>VLOOKUP(_xlfn.CONCAT(Table5[[#This Row],[NODE]],Table5[[#This Row],[PORT]]),PORTS_!A:G,7,0)</f>
        <v/>
      </c>
      <c r="H3" t="inlineStr"/>
      <c r="I3">
        <f>VLOOKUP(VALUE(Table5[[#This Row],[NODE]]),LEAF_INFO!B:H,7,0)</f>
        <v/>
      </c>
      <c r="J3">
        <f>ISNUMBER(SEARCH("vpc-leaf", SUBSTITUTE(LOWER(K3), "_", "-")))</f>
        <v/>
      </c>
      <c r="K3">
        <f>_xlfn.IFNA(VLOOKUP(VALUE(Table5[[#This Row],[NODE]]), VPC!A:A, 2, 0), "No está en VPC")</f>
        <v/>
      </c>
      <c r="L3">
        <f>IF(OR(ISNUMBER(SEARCH("VPC-Leaf", K3)), ISNUMBER(SEARCH("VPC_Leaf", K3))),SUBSTITUTE(SUBSTITUTE(SUBSTITUTE(K3, "VPC-Leaf", ""), "VPC_Leaf", ""), "_", "-"),A3)</f>
        <v/>
      </c>
      <c r="M3">
        <f>_xlfn.IFNA(VLOOKUP(_xlfn.CONCAT(VALUE(Table5[[#This Row],[NODE]]),Table5[[#This Row],[PORT]]),PG!C:H,6,0),"NO EXISTE PG")</f>
        <v/>
      </c>
      <c r="N3">
        <f>_xlfn.IFNA(VLOOKUP(_xlfn.CONCAT(VALUE(Table5[[#This Row],[NODE]]),Table5[[#This Row],[PORT]]),PG!C:H,4,0),"NO EXISTE ISEL")</f>
        <v/>
      </c>
      <c r="O3">
        <f>COUNTIF(Statics!G:G,Table5[[#This Row],[PG]])+COUNTIF(Statics!H:H,_xlfn.CONCAT((Table5[[#This Row],[NODE]]),Table5[[#This Row],[PORT]]))</f>
        <v/>
      </c>
      <c r="P3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3">
        <f>COUNTIF(Statics!F:F,Table5[[#This Row],[ID]])+COUNTIF(Statics!F:F,VALUE(Table5[[#This Row],[NODE]]))</f>
        <v/>
      </c>
    </row>
    <row r="4">
      <c r="A4" t="inlineStr">
        <is>
          <t>101</t>
        </is>
      </c>
      <c r="B4" t="inlineStr">
        <is>
          <t>1</t>
        </is>
      </c>
      <c r="C4">
        <f>VLOOKUP(VALUE(Table5[[#This Row],[NODE]]),LEAF_INFO!B:H,6,0)</f>
        <v/>
      </c>
      <c r="D4" t="inlineStr">
        <is>
          <t>eth1/35</t>
        </is>
      </c>
      <c r="E4" t="inlineStr">
        <is>
          <t>down</t>
        </is>
      </c>
      <c r="F4" t="inlineStr">
        <is>
          <t>down</t>
        </is>
      </c>
      <c r="G4">
        <f>VLOOKUP(_xlfn.CONCAT(Table5[[#This Row],[NODE]],Table5[[#This Row],[PORT]]),PORTS_!A:G,7,0)</f>
        <v/>
      </c>
      <c r="H4" t="inlineStr"/>
      <c r="I4">
        <f>VLOOKUP(VALUE(Table5[[#This Row],[NODE]]),LEAF_INFO!B:H,7,0)</f>
        <v/>
      </c>
      <c r="J4">
        <f>ISNUMBER(SEARCH("vpc-leaf", SUBSTITUTE(LOWER(K4), "_", "-")))</f>
        <v/>
      </c>
      <c r="K4">
        <f>_xlfn.IFNA(VLOOKUP(VALUE(Table5[[#This Row],[NODE]]), VPC!A:A, 2, 0), "No está en VPC")</f>
        <v/>
      </c>
      <c r="L4">
        <f>IF(OR(ISNUMBER(SEARCH("VPC-Leaf", K4)), ISNUMBER(SEARCH("VPC_Leaf", K4))),SUBSTITUTE(SUBSTITUTE(SUBSTITUTE(K4, "VPC-Leaf", ""), "VPC_Leaf", ""), "_", "-"),A4)</f>
        <v/>
      </c>
      <c r="M4">
        <f>_xlfn.IFNA(VLOOKUP(_xlfn.CONCAT(VALUE(Table5[[#This Row],[NODE]]),Table5[[#This Row],[PORT]]),PG!C:H,6,0),"NO EXISTE PG")</f>
        <v/>
      </c>
      <c r="N4">
        <f>_xlfn.IFNA(VLOOKUP(_xlfn.CONCAT(VALUE(Table5[[#This Row],[NODE]]),Table5[[#This Row],[PORT]]),PG!C:H,4,0),"NO EXISTE ISEL")</f>
        <v/>
      </c>
      <c r="O4">
        <f>COUNTIF(Statics!G:G,Table5[[#This Row],[PG]])+COUNTIF(Statics!H:H,_xlfn.CONCAT((Table5[[#This Row],[NODE]]),Table5[[#This Row],[PORT]]))</f>
        <v/>
      </c>
      <c r="P4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4">
        <f>COUNTIF(Statics!F:F,Table5[[#This Row],[ID]])+COUNTIF(Statics!F:F,VALUE(Table5[[#This Row],[NODE]]))</f>
        <v/>
      </c>
    </row>
    <row r="5">
      <c r="A5" t="inlineStr">
        <is>
          <t>101</t>
        </is>
      </c>
      <c r="B5" t="inlineStr">
        <is>
          <t>1</t>
        </is>
      </c>
      <c r="C5">
        <f>VLOOKUP(VALUE(Table5[[#This Row],[NODE]]),LEAF_INFO!B:H,6,0)</f>
        <v/>
      </c>
      <c r="D5" t="inlineStr">
        <is>
          <t>eth1/36</t>
        </is>
      </c>
      <c r="E5" t="inlineStr">
        <is>
          <t>up</t>
        </is>
      </c>
      <c r="F5" t="inlineStr">
        <is>
          <t>up</t>
        </is>
      </c>
      <c r="G5">
        <f>VLOOKUP(_xlfn.CONCAT(Table5[[#This Row],[NODE]],Table5[[#This Row],[PORT]]),PORTS_!A:G,7,0)</f>
        <v/>
      </c>
      <c r="H5" t="inlineStr">
        <is>
          <t>B2B A SMAC1</t>
        </is>
      </c>
      <c r="I5">
        <f>VLOOKUP(VALUE(Table5[[#This Row],[NODE]]),LEAF_INFO!B:H,7,0)</f>
        <v/>
      </c>
      <c r="J5">
        <f>ISNUMBER(SEARCH("vpc-leaf", SUBSTITUTE(LOWER(K5), "_", "-")))</f>
        <v/>
      </c>
      <c r="K5">
        <f>_xlfn.IFNA(VLOOKUP(VALUE(Table5[[#This Row],[NODE]]), VPC!A:A, 2, 0), "No está en VPC")</f>
        <v/>
      </c>
      <c r="L5">
        <f>IF(OR(ISNUMBER(SEARCH("VPC-Leaf", K5)), ISNUMBER(SEARCH("VPC_Leaf", K5))),SUBSTITUTE(SUBSTITUTE(SUBSTITUTE(K5, "VPC-Leaf", ""), "VPC_Leaf", ""), "_", "-"),A5)</f>
        <v/>
      </c>
      <c r="M5">
        <f>_xlfn.IFNA(VLOOKUP(_xlfn.CONCAT(VALUE(Table5[[#This Row],[NODE]]),Table5[[#This Row],[PORT]]),PG!C:H,6,0),"NO EXISTE PG")</f>
        <v/>
      </c>
      <c r="N5">
        <f>_xlfn.IFNA(VLOOKUP(_xlfn.CONCAT(VALUE(Table5[[#This Row],[NODE]]),Table5[[#This Row],[PORT]]),PG!C:H,4,0),"NO EXISTE ISEL")</f>
        <v/>
      </c>
      <c r="O5">
        <f>COUNTIF(Statics!G:G,Table5[[#This Row],[PG]])+COUNTIF(Statics!H:H,_xlfn.CONCAT((Table5[[#This Row],[NODE]]),Table5[[#This Row],[PORT]]))</f>
        <v/>
      </c>
      <c r="P5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5">
        <f>COUNTIF(Statics!F:F,Table5[[#This Row],[ID]])+COUNTIF(Statics!F:F,VALUE(Table5[[#This Row],[NODE]]))</f>
        <v/>
      </c>
    </row>
    <row r="6">
      <c r="A6" t="inlineStr">
        <is>
          <t>101</t>
        </is>
      </c>
      <c r="B6" t="inlineStr">
        <is>
          <t>1</t>
        </is>
      </c>
      <c r="C6">
        <f>VLOOKUP(VALUE(Table5[[#This Row],[NODE]]),LEAF_INFO!B:H,6,0)</f>
        <v/>
      </c>
      <c r="D6" t="inlineStr">
        <is>
          <t>eth1/37</t>
        </is>
      </c>
      <c r="E6" t="inlineStr">
        <is>
          <t>down</t>
        </is>
      </c>
      <c r="F6" t="inlineStr">
        <is>
          <t>down</t>
        </is>
      </c>
      <c r="G6">
        <f>VLOOKUP(_xlfn.CONCAT(Table5[[#This Row],[NODE]],Table5[[#This Row],[PORT]]),PORTS_!A:G,7,0)</f>
        <v/>
      </c>
      <c r="H6" t="inlineStr"/>
      <c r="I6">
        <f>VLOOKUP(VALUE(Table5[[#This Row],[NODE]]),LEAF_INFO!B:H,7,0)</f>
        <v/>
      </c>
      <c r="J6">
        <f>ISNUMBER(SEARCH("vpc-leaf", SUBSTITUTE(LOWER(K6), "_", "-")))</f>
        <v/>
      </c>
      <c r="K6">
        <f>_xlfn.IFNA(VLOOKUP(VALUE(Table5[[#This Row],[NODE]]), VPC!A:A, 2, 0), "No está en VPC")</f>
        <v/>
      </c>
      <c r="L6">
        <f>IF(OR(ISNUMBER(SEARCH("VPC-Leaf", K6)), ISNUMBER(SEARCH("VPC_Leaf", K6))),SUBSTITUTE(SUBSTITUTE(SUBSTITUTE(K6, "VPC-Leaf", ""), "VPC_Leaf", ""), "_", "-"),A6)</f>
        <v/>
      </c>
      <c r="M6">
        <f>_xlfn.IFNA(VLOOKUP(_xlfn.CONCAT(VALUE(Table5[[#This Row],[NODE]]),Table5[[#This Row],[PORT]]),PG!C:H,6,0),"NO EXISTE PG")</f>
        <v/>
      </c>
      <c r="N6">
        <f>_xlfn.IFNA(VLOOKUP(_xlfn.CONCAT(VALUE(Table5[[#This Row],[NODE]]),Table5[[#This Row],[PORT]]),PG!C:H,4,0),"NO EXISTE ISEL")</f>
        <v/>
      </c>
      <c r="O6">
        <f>COUNTIF(Statics!G:G,Table5[[#This Row],[PG]])+COUNTIF(Statics!H:H,_xlfn.CONCAT((Table5[[#This Row],[NODE]]),Table5[[#This Row],[PORT]]))</f>
        <v/>
      </c>
      <c r="P6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6">
        <f>COUNTIF(Statics!F:F,Table5[[#This Row],[ID]])+COUNTIF(Statics!F:F,VALUE(Table5[[#This Row],[NODE]]))</f>
        <v/>
      </c>
    </row>
    <row r="7">
      <c r="A7" t="inlineStr">
        <is>
          <t>101</t>
        </is>
      </c>
      <c r="B7" t="inlineStr">
        <is>
          <t>1</t>
        </is>
      </c>
      <c r="C7">
        <f>VLOOKUP(VALUE(Table5[[#This Row],[NODE]]),LEAF_INFO!B:H,6,0)</f>
        <v/>
      </c>
      <c r="D7" t="inlineStr">
        <is>
          <t>eth1/38</t>
        </is>
      </c>
      <c r="E7" t="inlineStr">
        <is>
          <t>up</t>
        </is>
      </c>
      <c r="F7" t="inlineStr">
        <is>
          <t>up</t>
        </is>
      </c>
      <c r="G7">
        <f>VLOOKUP(_xlfn.CONCAT(Table5[[#This Row],[NODE]],Table5[[#This Row],[PORT]]),PORTS_!A:G,7,0)</f>
        <v/>
      </c>
      <c r="H7" t="inlineStr">
        <is>
          <t>HACIA RMAC1 BUNDLE110</t>
        </is>
      </c>
      <c r="I7">
        <f>VLOOKUP(VALUE(Table5[[#This Row],[NODE]]),LEAF_INFO!B:H,7,0)</f>
        <v/>
      </c>
      <c r="J7">
        <f>ISNUMBER(SEARCH("vpc-leaf", SUBSTITUTE(LOWER(K7), "_", "-")))</f>
        <v/>
      </c>
      <c r="K7">
        <f>_xlfn.IFNA(VLOOKUP(VALUE(Table5[[#This Row],[NODE]]), VPC!A:A, 2, 0), "No está en VPC")</f>
        <v/>
      </c>
      <c r="L7">
        <f>IF(OR(ISNUMBER(SEARCH("VPC-Leaf", K7)), ISNUMBER(SEARCH("VPC_Leaf", K7))),SUBSTITUTE(SUBSTITUTE(SUBSTITUTE(K7, "VPC-Leaf", ""), "VPC_Leaf", ""), "_", "-"),A7)</f>
        <v/>
      </c>
      <c r="M7">
        <f>_xlfn.IFNA(VLOOKUP(_xlfn.CONCAT(VALUE(Table5[[#This Row],[NODE]]),Table5[[#This Row],[PORT]]),PG!C:H,6,0),"NO EXISTE PG")</f>
        <v/>
      </c>
      <c r="N7">
        <f>_xlfn.IFNA(VLOOKUP(_xlfn.CONCAT(VALUE(Table5[[#This Row],[NODE]]),Table5[[#This Row],[PORT]]),PG!C:H,4,0),"NO EXISTE ISEL")</f>
        <v/>
      </c>
      <c r="O7">
        <f>COUNTIF(Statics!G:G,Table5[[#This Row],[PG]])+COUNTIF(Statics!H:H,_xlfn.CONCAT((Table5[[#This Row],[NODE]]),Table5[[#This Row],[PORT]]))</f>
        <v/>
      </c>
      <c r="P7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7">
        <f>COUNTIF(Statics!F:F,Table5[[#This Row],[ID]])+COUNTIF(Statics!F:F,VALUE(Table5[[#This Row],[NODE]]))</f>
        <v/>
      </c>
    </row>
    <row r="8">
      <c r="A8" t="inlineStr">
        <is>
          <t>101</t>
        </is>
      </c>
      <c r="B8" t="inlineStr">
        <is>
          <t>1</t>
        </is>
      </c>
      <c r="C8">
        <f>VLOOKUP(VALUE(Table5[[#This Row],[NODE]]),LEAF_INFO!B:H,6,0)</f>
        <v/>
      </c>
      <c r="D8" t="inlineStr">
        <is>
          <t>eth1/39</t>
        </is>
      </c>
      <c r="E8" t="inlineStr">
        <is>
          <t>down</t>
        </is>
      </c>
      <c r="F8" t="inlineStr">
        <is>
          <t>down</t>
        </is>
      </c>
      <c r="G8">
        <f>VLOOKUP(_xlfn.CONCAT(Table5[[#This Row],[NODE]],Table5[[#This Row],[PORT]]),PORTS_!A:G,7,0)</f>
        <v/>
      </c>
      <c r="H8" t="inlineStr"/>
      <c r="I8">
        <f>VLOOKUP(VALUE(Table5[[#This Row],[NODE]]),LEAF_INFO!B:H,7,0)</f>
        <v/>
      </c>
      <c r="J8">
        <f>ISNUMBER(SEARCH("vpc-leaf", SUBSTITUTE(LOWER(K8), "_", "-")))</f>
        <v/>
      </c>
      <c r="K8">
        <f>_xlfn.IFNA(VLOOKUP(VALUE(Table5[[#This Row],[NODE]]), VPC!A:A, 2, 0), "No está en VPC")</f>
        <v/>
      </c>
      <c r="L8">
        <f>IF(OR(ISNUMBER(SEARCH("VPC-Leaf", K8)), ISNUMBER(SEARCH("VPC_Leaf", K8))),SUBSTITUTE(SUBSTITUTE(SUBSTITUTE(K8, "VPC-Leaf", ""), "VPC_Leaf", ""), "_", "-"),A8)</f>
        <v/>
      </c>
      <c r="M8">
        <f>_xlfn.IFNA(VLOOKUP(_xlfn.CONCAT(VALUE(Table5[[#This Row],[NODE]]),Table5[[#This Row],[PORT]]),PG!C:H,6,0),"NO EXISTE PG")</f>
        <v/>
      </c>
      <c r="N8">
        <f>_xlfn.IFNA(VLOOKUP(_xlfn.CONCAT(VALUE(Table5[[#This Row],[NODE]]),Table5[[#This Row],[PORT]]),PG!C:H,4,0),"NO EXISTE ISEL")</f>
        <v/>
      </c>
      <c r="O8">
        <f>COUNTIF(Statics!G:G,Table5[[#This Row],[PG]])+COUNTIF(Statics!H:H,_xlfn.CONCAT((Table5[[#This Row],[NODE]]),Table5[[#This Row],[PORT]]))</f>
        <v/>
      </c>
      <c r="P8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8">
        <f>COUNTIF(Statics!F:F,Table5[[#This Row],[ID]])+COUNTIF(Statics!F:F,VALUE(Table5[[#This Row],[NODE]]))</f>
        <v/>
      </c>
    </row>
    <row r="9">
      <c r="A9" t="inlineStr">
        <is>
          <t>101</t>
        </is>
      </c>
      <c r="B9" t="inlineStr">
        <is>
          <t>1</t>
        </is>
      </c>
      <c r="C9">
        <f>VLOOKUP(VALUE(Table5[[#This Row],[NODE]]),LEAF_INFO!B:H,6,0)</f>
        <v/>
      </c>
      <c r="D9" t="inlineStr">
        <is>
          <t>eth1/40</t>
        </is>
      </c>
      <c r="E9" t="inlineStr">
        <is>
          <t>up</t>
        </is>
      </c>
      <c r="F9" t="inlineStr">
        <is>
          <t>up</t>
        </is>
      </c>
      <c r="G9">
        <f>VLOOKUP(_xlfn.CONCAT(Table5[[#This Row],[NODE]],Table5[[#This Row],[PORT]]),PORTS_!A:G,7,0)</f>
        <v/>
      </c>
      <c r="H9" t="inlineStr">
        <is>
          <t>A 2R_MAC_MXINGEN_1 | B2B | UP-LINK SERVICIOS</t>
        </is>
      </c>
      <c r="I9">
        <f>VLOOKUP(VALUE(Table5[[#This Row],[NODE]]),LEAF_INFO!B:H,7,0)</f>
        <v/>
      </c>
      <c r="J9">
        <f>ISNUMBER(SEARCH("vpc-leaf", SUBSTITUTE(LOWER(K9), "_", "-")))</f>
        <v/>
      </c>
      <c r="K9">
        <f>_xlfn.IFNA(VLOOKUP(VALUE(Table5[[#This Row],[NODE]]), VPC!A:A, 2, 0), "No está en VPC")</f>
        <v/>
      </c>
      <c r="L9">
        <f>IF(OR(ISNUMBER(SEARCH("VPC-Leaf", K9)), ISNUMBER(SEARCH("VPC_Leaf", K9))),SUBSTITUTE(SUBSTITUTE(SUBSTITUTE(K9, "VPC-Leaf", ""), "VPC_Leaf", ""), "_", "-"),A9)</f>
        <v/>
      </c>
      <c r="M9">
        <f>_xlfn.IFNA(VLOOKUP(_xlfn.CONCAT(VALUE(Table5[[#This Row],[NODE]]),Table5[[#This Row],[PORT]]),PG!C:H,6,0),"NO EXISTE PG")</f>
        <v/>
      </c>
      <c r="N9">
        <f>_xlfn.IFNA(VLOOKUP(_xlfn.CONCAT(VALUE(Table5[[#This Row],[NODE]]),Table5[[#This Row],[PORT]]),PG!C:H,4,0),"NO EXISTE ISEL")</f>
        <v/>
      </c>
      <c r="O9">
        <f>COUNTIF(Statics!G:G,Table5[[#This Row],[PG]])+COUNTIF(Statics!H:H,_xlfn.CONCAT((Table5[[#This Row],[NODE]]),Table5[[#This Row],[PORT]]))</f>
        <v/>
      </c>
      <c r="P9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9">
        <f>COUNTIF(Statics!F:F,Table5[[#This Row],[ID]])+COUNTIF(Statics!F:F,VALUE(Table5[[#This Row],[NODE]]))</f>
        <v/>
      </c>
    </row>
    <row r="10">
      <c r="A10" t="inlineStr">
        <is>
          <t>101</t>
        </is>
      </c>
      <c r="B10" t="inlineStr">
        <is>
          <t>1</t>
        </is>
      </c>
      <c r="C10">
        <f>VLOOKUP(VALUE(Table5[[#This Row],[NODE]]),LEAF_INFO!B:H,6,0)</f>
        <v/>
      </c>
      <c r="D10" t="inlineStr">
        <is>
          <t>eth1/41</t>
        </is>
      </c>
      <c r="E10" t="inlineStr">
        <is>
          <t>up</t>
        </is>
      </c>
      <c r="F10" t="inlineStr">
        <is>
          <t>up</t>
        </is>
      </c>
      <c r="G10">
        <f>VLOOKUP(_xlfn.CONCAT(Table5[[#This Row],[NODE]],Table5[[#This Row],[PORT]]),PORTS_!A:G,7,0)</f>
        <v/>
      </c>
      <c r="H10" t="inlineStr">
        <is>
          <t>LINK_GESTION</t>
        </is>
      </c>
      <c r="I10">
        <f>VLOOKUP(VALUE(Table5[[#This Row],[NODE]]),LEAF_INFO!B:H,7,0)</f>
        <v/>
      </c>
      <c r="J10">
        <f>ISNUMBER(SEARCH("vpc-leaf", SUBSTITUTE(LOWER(K10), "_", "-")))</f>
        <v/>
      </c>
      <c r="K10">
        <f>_xlfn.IFNA(VLOOKUP(VALUE(Table5[[#This Row],[NODE]]), VPC!A:A, 2, 0), "No está en VPC")</f>
        <v/>
      </c>
      <c r="L10">
        <f>IF(OR(ISNUMBER(SEARCH("VPC-Leaf", K10)), ISNUMBER(SEARCH("VPC_Leaf", K10))),SUBSTITUTE(SUBSTITUTE(SUBSTITUTE(K10, "VPC-Leaf", ""), "VPC_Leaf", ""), "_", "-"),A10)</f>
        <v/>
      </c>
      <c r="M10">
        <f>_xlfn.IFNA(VLOOKUP(_xlfn.CONCAT(VALUE(Table5[[#This Row],[NODE]]),Table5[[#This Row],[PORT]]),PG!C:H,6,0),"NO EXISTE PG")</f>
        <v/>
      </c>
      <c r="N10">
        <f>_xlfn.IFNA(VLOOKUP(_xlfn.CONCAT(VALUE(Table5[[#This Row],[NODE]]),Table5[[#This Row],[PORT]]),PG!C:H,4,0),"NO EXISTE ISEL")</f>
        <v/>
      </c>
      <c r="O10">
        <f>COUNTIF(Statics!G:G,Table5[[#This Row],[PG]])+COUNTIF(Statics!H:H,_xlfn.CONCAT((Table5[[#This Row],[NODE]]),Table5[[#This Row],[PORT]]))</f>
        <v/>
      </c>
      <c r="P10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0">
        <f>COUNTIF(Statics!F:F,Table5[[#This Row],[ID]])+COUNTIF(Statics!F:F,VALUE(Table5[[#This Row],[NODE]]))</f>
        <v/>
      </c>
    </row>
    <row r="11">
      <c r="A11" t="inlineStr">
        <is>
          <t>101</t>
        </is>
      </c>
      <c r="B11" t="inlineStr">
        <is>
          <t>1</t>
        </is>
      </c>
      <c r="C11">
        <f>VLOOKUP(VALUE(Table5[[#This Row],[NODE]]),LEAF_INFO!B:H,6,0)</f>
        <v/>
      </c>
      <c r="D11" t="inlineStr">
        <is>
          <t>eth1/42</t>
        </is>
      </c>
      <c r="E11" t="inlineStr">
        <is>
          <t>down</t>
        </is>
      </c>
      <c r="F11" t="inlineStr">
        <is>
          <t>down</t>
        </is>
      </c>
      <c r="G11">
        <f>VLOOKUP(_xlfn.CONCAT(Table5[[#This Row],[NODE]],Table5[[#This Row],[PORT]]),PORTS_!A:G,7,0)</f>
        <v/>
      </c>
      <c r="H11" t="inlineStr"/>
      <c r="I11">
        <f>VLOOKUP(VALUE(Table5[[#This Row],[NODE]]),LEAF_INFO!B:H,7,0)</f>
        <v/>
      </c>
      <c r="J11">
        <f>ISNUMBER(SEARCH("vpc-leaf", SUBSTITUTE(LOWER(K11), "_", "-")))</f>
        <v/>
      </c>
      <c r="K11">
        <f>_xlfn.IFNA(VLOOKUP(VALUE(Table5[[#This Row],[NODE]]), VPC!A:A, 2, 0), "No está en VPC")</f>
        <v/>
      </c>
      <c r="L11">
        <f>IF(OR(ISNUMBER(SEARCH("VPC-Leaf", K11)), ISNUMBER(SEARCH("VPC_Leaf", K11))),SUBSTITUTE(SUBSTITUTE(SUBSTITUTE(K11, "VPC-Leaf", ""), "VPC_Leaf", ""), "_", "-"),A11)</f>
        <v/>
      </c>
      <c r="M11">
        <f>_xlfn.IFNA(VLOOKUP(_xlfn.CONCAT(VALUE(Table5[[#This Row],[NODE]]),Table5[[#This Row],[PORT]]),PG!C:H,6,0),"NO EXISTE PG")</f>
        <v/>
      </c>
      <c r="N11">
        <f>_xlfn.IFNA(VLOOKUP(_xlfn.CONCAT(VALUE(Table5[[#This Row],[NODE]]),Table5[[#This Row],[PORT]]),PG!C:H,4,0),"NO EXISTE ISEL")</f>
        <v/>
      </c>
      <c r="O11">
        <f>COUNTIF(Statics!G:G,Table5[[#This Row],[PG]])+COUNTIF(Statics!H:H,_xlfn.CONCAT((Table5[[#This Row],[NODE]]),Table5[[#This Row],[PORT]]))</f>
        <v/>
      </c>
      <c r="P11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1">
        <f>COUNTIF(Statics!F:F,Table5[[#This Row],[ID]])+COUNTIF(Statics!F:F,VALUE(Table5[[#This Row],[NODE]]))</f>
        <v/>
      </c>
    </row>
    <row r="12">
      <c r="A12" t="inlineStr">
        <is>
          <t>101</t>
        </is>
      </c>
      <c r="B12" t="inlineStr">
        <is>
          <t>1</t>
        </is>
      </c>
      <c r="C12">
        <f>VLOOKUP(VALUE(Table5[[#This Row],[NODE]]),LEAF_INFO!B:H,6,0)</f>
        <v/>
      </c>
      <c r="D12" t="inlineStr">
        <is>
          <t>eth1/43</t>
        </is>
      </c>
      <c r="E12" t="inlineStr">
        <is>
          <t>down</t>
        </is>
      </c>
      <c r="F12" t="inlineStr">
        <is>
          <t>down</t>
        </is>
      </c>
      <c r="G12">
        <f>VLOOKUP(_xlfn.CONCAT(Table5[[#This Row],[NODE]],Table5[[#This Row],[PORT]]),PORTS_!A:G,7,0)</f>
        <v/>
      </c>
      <c r="H12" t="inlineStr"/>
      <c r="I12">
        <f>VLOOKUP(VALUE(Table5[[#This Row],[NODE]]),LEAF_INFO!B:H,7,0)</f>
        <v/>
      </c>
      <c r="J12">
        <f>ISNUMBER(SEARCH("vpc-leaf", SUBSTITUTE(LOWER(K12), "_", "-")))</f>
        <v/>
      </c>
      <c r="K12">
        <f>_xlfn.IFNA(VLOOKUP(VALUE(Table5[[#This Row],[NODE]]), VPC!A:A, 2, 0), "No está en VPC")</f>
        <v/>
      </c>
      <c r="L12">
        <f>IF(OR(ISNUMBER(SEARCH("VPC-Leaf", K12)), ISNUMBER(SEARCH("VPC_Leaf", K12))),SUBSTITUTE(SUBSTITUTE(SUBSTITUTE(K12, "VPC-Leaf", ""), "VPC_Leaf", ""), "_", "-"),A12)</f>
        <v/>
      </c>
      <c r="M12">
        <f>_xlfn.IFNA(VLOOKUP(_xlfn.CONCAT(VALUE(Table5[[#This Row],[NODE]]),Table5[[#This Row],[PORT]]),PG!C:H,6,0),"NO EXISTE PG")</f>
        <v/>
      </c>
      <c r="N12">
        <f>_xlfn.IFNA(VLOOKUP(_xlfn.CONCAT(VALUE(Table5[[#This Row],[NODE]]),Table5[[#This Row],[PORT]]),PG!C:H,4,0),"NO EXISTE ISEL")</f>
        <v/>
      </c>
      <c r="O12">
        <f>COUNTIF(Statics!G:G,Table5[[#This Row],[PG]])+COUNTIF(Statics!H:H,_xlfn.CONCAT((Table5[[#This Row],[NODE]]),Table5[[#This Row],[PORT]]))</f>
        <v/>
      </c>
      <c r="P12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2">
        <f>COUNTIF(Statics!F:F,Table5[[#This Row],[ID]])+COUNTIF(Statics!F:F,VALUE(Table5[[#This Row],[NODE]]))</f>
        <v/>
      </c>
    </row>
    <row r="13">
      <c r="A13" t="inlineStr">
        <is>
          <t>101</t>
        </is>
      </c>
      <c r="B13" t="inlineStr">
        <is>
          <t>1</t>
        </is>
      </c>
      <c r="C13">
        <f>VLOOKUP(VALUE(Table5[[#This Row],[NODE]]),LEAF_INFO!B:H,6,0)</f>
        <v/>
      </c>
      <c r="D13" t="inlineStr">
        <is>
          <t>eth1/44</t>
        </is>
      </c>
      <c r="E13" t="inlineStr">
        <is>
          <t>down</t>
        </is>
      </c>
      <c r="F13" t="inlineStr">
        <is>
          <t>down</t>
        </is>
      </c>
      <c r="G13">
        <f>VLOOKUP(_xlfn.CONCAT(Table5[[#This Row],[NODE]],Table5[[#This Row],[PORT]]),PORTS_!A:G,7,0)</f>
        <v/>
      </c>
      <c r="H13" t="inlineStr"/>
      <c r="I13">
        <f>VLOOKUP(VALUE(Table5[[#This Row],[NODE]]),LEAF_INFO!B:H,7,0)</f>
        <v/>
      </c>
      <c r="J13">
        <f>ISNUMBER(SEARCH("vpc-leaf", SUBSTITUTE(LOWER(K13), "_", "-")))</f>
        <v/>
      </c>
      <c r="K13">
        <f>_xlfn.IFNA(VLOOKUP(VALUE(Table5[[#This Row],[NODE]]), VPC!A:A, 2, 0), "No está en VPC")</f>
        <v/>
      </c>
      <c r="L13">
        <f>IF(OR(ISNUMBER(SEARCH("VPC-Leaf", K13)), ISNUMBER(SEARCH("VPC_Leaf", K13))),SUBSTITUTE(SUBSTITUTE(SUBSTITUTE(K13, "VPC-Leaf", ""), "VPC_Leaf", ""), "_", "-"),A13)</f>
        <v/>
      </c>
      <c r="M13">
        <f>_xlfn.IFNA(VLOOKUP(_xlfn.CONCAT(VALUE(Table5[[#This Row],[NODE]]),Table5[[#This Row],[PORT]]),PG!C:H,6,0),"NO EXISTE PG")</f>
        <v/>
      </c>
      <c r="N13">
        <f>_xlfn.IFNA(VLOOKUP(_xlfn.CONCAT(VALUE(Table5[[#This Row],[NODE]]),Table5[[#This Row],[PORT]]),PG!C:H,4,0),"NO EXISTE ISEL")</f>
        <v/>
      </c>
      <c r="O13">
        <f>COUNTIF(Statics!G:G,Table5[[#This Row],[PG]])+COUNTIF(Statics!H:H,_xlfn.CONCAT((Table5[[#This Row],[NODE]]),Table5[[#This Row],[PORT]]))</f>
        <v/>
      </c>
      <c r="P13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3">
        <f>COUNTIF(Statics!F:F,Table5[[#This Row],[ID]])+COUNTIF(Statics!F:F,VALUE(Table5[[#This Row],[NODE]]))</f>
        <v/>
      </c>
    </row>
    <row r="14">
      <c r="A14" t="inlineStr">
        <is>
          <t>101</t>
        </is>
      </c>
      <c r="B14" t="inlineStr">
        <is>
          <t>1</t>
        </is>
      </c>
      <c r="C14">
        <f>VLOOKUP(VALUE(Table5[[#This Row],[NODE]]),LEAF_INFO!B:H,6,0)</f>
        <v/>
      </c>
      <c r="D14" t="inlineStr">
        <is>
          <t>eth1/45</t>
        </is>
      </c>
      <c r="E14" t="inlineStr">
        <is>
          <t>up</t>
        </is>
      </c>
      <c r="F14" t="inlineStr">
        <is>
          <t>up</t>
        </is>
      </c>
      <c r="G14">
        <f>VLOOKUP(_xlfn.CONCAT(Table5[[#This Row],[NODE]],Table5[[#This Row],[PORT]]),PORTS_!A:G,7,0)</f>
        <v/>
      </c>
      <c r="H14" t="inlineStr">
        <is>
          <t>HACIA RMAC1 BUNDLE110</t>
        </is>
      </c>
      <c r="I14">
        <f>VLOOKUP(VALUE(Table5[[#This Row],[NODE]]),LEAF_INFO!B:H,7,0)</f>
        <v/>
      </c>
      <c r="J14">
        <f>ISNUMBER(SEARCH("vpc-leaf", SUBSTITUTE(LOWER(K14), "_", "-")))</f>
        <v/>
      </c>
      <c r="K14">
        <f>_xlfn.IFNA(VLOOKUP(VALUE(Table5[[#This Row],[NODE]]), VPC!A:A, 2, 0), "No está en VPC")</f>
        <v/>
      </c>
      <c r="L14">
        <f>IF(OR(ISNUMBER(SEARCH("VPC-Leaf", K14)), ISNUMBER(SEARCH("VPC_Leaf", K14))),SUBSTITUTE(SUBSTITUTE(SUBSTITUTE(K14, "VPC-Leaf", ""), "VPC_Leaf", ""), "_", "-"),A14)</f>
        <v/>
      </c>
      <c r="M14">
        <f>_xlfn.IFNA(VLOOKUP(_xlfn.CONCAT(VALUE(Table5[[#This Row],[NODE]]),Table5[[#This Row],[PORT]]),PG!C:H,6,0),"NO EXISTE PG")</f>
        <v/>
      </c>
      <c r="N14">
        <f>_xlfn.IFNA(VLOOKUP(_xlfn.CONCAT(VALUE(Table5[[#This Row],[NODE]]),Table5[[#This Row],[PORT]]),PG!C:H,4,0),"NO EXISTE ISEL")</f>
        <v/>
      </c>
      <c r="O14">
        <f>COUNTIF(Statics!G:G,Table5[[#This Row],[PG]])+COUNTIF(Statics!H:H,_xlfn.CONCAT((Table5[[#This Row],[NODE]]),Table5[[#This Row],[PORT]]))</f>
        <v/>
      </c>
      <c r="P14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4">
        <f>COUNTIF(Statics!F:F,Table5[[#This Row],[ID]])+COUNTIF(Statics!F:F,VALUE(Table5[[#This Row],[NODE]]))</f>
        <v/>
      </c>
    </row>
    <row r="15">
      <c r="A15" t="inlineStr">
        <is>
          <t>101</t>
        </is>
      </c>
      <c r="B15" t="inlineStr">
        <is>
          <t>1</t>
        </is>
      </c>
      <c r="C15">
        <f>VLOOKUP(VALUE(Table5[[#This Row],[NODE]]),LEAF_INFO!B:H,6,0)</f>
        <v/>
      </c>
      <c r="D15" t="inlineStr">
        <is>
          <t>eth1/46</t>
        </is>
      </c>
      <c r="E15" t="inlineStr">
        <is>
          <t>up</t>
        </is>
      </c>
      <c r="F15" t="inlineStr">
        <is>
          <t>up</t>
        </is>
      </c>
      <c r="G15">
        <f>VLOOKUP(_xlfn.CONCAT(Table5[[#This Row],[NODE]],Table5[[#This Row],[PORT]]),PORTS_!A:G,7,0)</f>
        <v/>
      </c>
      <c r="H15" t="inlineStr">
        <is>
          <t>LINK_HACIA_APIC</t>
        </is>
      </c>
      <c r="I15">
        <f>VLOOKUP(VALUE(Table5[[#This Row],[NODE]]),LEAF_INFO!B:H,7,0)</f>
        <v/>
      </c>
      <c r="J15">
        <f>ISNUMBER(SEARCH("vpc-leaf", SUBSTITUTE(LOWER(K15), "_", "-")))</f>
        <v/>
      </c>
      <c r="K15">
        <f>_xlfn.IFNA(VLOOKUP(VALUE(Table5[[#This Row],[NODE]]), VPC!A:A, 2, 0), "No está en VPC")</f>
        <v/>
      </c>
      <c r="L15">
        <f>IF(OR(ISNUMBER(SEARCH("VPC-Leaf", K15)), ISNUMBER(SEARCH("VPC_Leaf", K15))),SUBSTITUTE(SUBSTITUTE(SUBSTITUTE(K15, "VPC-Leaf", ""), "VPC_Leaf", ""), "_", "-"),A15)</f>
        <v/>
      </c>
      <c r="M15">
        <f>_xlfn.IFNA(VLOOKUP(_xlfn.CONCAT(VALUE(Table5[[#This Row],[NODE]]),Table5[[#This Row],[PORT]]),PG!C:H,6,0),"NO EXISTE PG")</f>
        <v/>
      </c>
      <c r="N15">
        <f>_xlfn.IFNA(VLOOKUP(_xlfn.CONCAT(VALUE(Table5[[#This Row],[NODE]]),Table5[[#This Row],[PORT]]),PG!C:H,4,0),"NO EXISTE ISEL")</f>
        <v/>
      </c>
      <c r="O15">
        <f>COUNTIF(Statics!G:G,Table5[[#This Row],[PG]])+COUNTIF(Statics!H:H,_xlfn.CONCAT((Table5[[#This Row],[NODE]]),Table5[[#This Row],[PORT]]))</f>
        <v/>
      </c>
      <c r="P15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5">
        <f>COUNTIF(Statics!F:F,Table5[[#This Row],[ID]])+COUNTIF(Statics!F:F,VALUE(Table5[[#This Row],[NODE]]))</f>
        <v/>
      </c>
    </row>
    <row r="16">
      <c r="A16" t="inlineStr">
        <is>
          <t>101</t>
        </is>
      </c>
      <c r="B16" t="inlineStr">
        <is>
          <t>1</t>
        </is>
      </c>
      <c r="C16">
        <f>VLOOKUP(VALUE(Table5[[#This Row],[NODE]]),LEAF_INFO!B:H,6,0)</f>
        <v/>
      </c>
      <c r="D16" t="inlineStr">
        <is>
          <t>eth1/47</t>
        </is>
      </c>
      <c r="E16" t="inlineStr">
        <is>
          <t>up</t>
        </is>
      </c>
      <c r="F16" t="inlineStr">
        <is>
          <t>up</t>
        </is>
      </c>
      <c r="G16">
        <f>VLOOKUP(_xlfn.CONCAT(Table5[[#This Row],[NODE]],Table5[[#This Row],[PORT]]),PORTS_!A:G,7,0)</f>
        <v/>
      </c>
      <c r="H16" t="inlineStr">
        <is>
          <t>LINK_HACIA_APIC</t>
        </is>
      </c>
      <c r="I16">
        <f>VLOOKUP(VALUE(Table5[[#This Row],[NODE]]),LEAF_INFO!B:H,7,0)</f>
        <v/>
      </c>
      <c r="J16">
        <f>ISNUMBER(SEARCH("vpc-leaf", SUBSTITUTE(LOWER(K16), "_", "-")))</f>
        <v/>
      </c>
      <c r="K16">
        <f>_xlfn.IFNA(VLOOKUP(VALUE(Table5[[#This Row],[NODE]]), VPC!A:A, 2, 0), "No está en VPC")</f>
        <v/>
      </c>
      <c r="L16">
        <f>IF(OR(ISNUMBER(SEARCH("VPC-Leaf", K16)), ISNUMBER(SEARCH("VPC_Leaf", K16))),SUBSTITUTE(SUBSTITUTE(SUBSTITUTE(K16, "VPC-Leaf", ""), "VPC_Leaf", ""), "_", "-"),A16)</f>
        <v/>
      </c>
      <c r="M16">
        <f>_xlfn.IFNA(VLOOKUP(_xlfn.CONCAT(VALUE(Table5[[#This Row],[NODE]]),Table5[[#This Row],[PORT]]),PG!C:H,6,0),"NO EXISTE PG")</f>
        <v/>
      </c>
      <c r="N16">
        <f>_xlfn.IFNA(VLOOKUP(_xlfn.CONCAT(VALUE(Table5[[#This Row],[NODE]]),Table5[[#This Row],[PORT]]),PG!C:H,4,0),"NO EXISTE ISEL")</f>
        <v/>
      </c>
      <c r="O16">
        <f>COUNTIF(Statics!G:G,Table5[[#This Row],[PG]])+COUNTIF(Statics!H:H,_xlfn.CONCAT((Table5[[#This Row],[NODE]]),Table5[[#This Row],[PORT]]))</f>
        <v/>
      </c>
      <c r="P16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6">
        <f>COUNTIF(Statics!F:F,Table5[[#This Row],[ID]])+COUNTIF(Statics!F:F,VALUE(Table5[[#This Row],[NODE]]))</f>
        <v/>
      </c>
    </row>
    <row r="17">
      <c r="A17" t="inlineStr">
        <is>
          <t>101</t>
        </is>
      </c>
      <c r="B17" t="inlineStr">
        <is>
          <t>1</t>
        </is>
      </c>
      <c r="C17">
        <f>VLOOKUP(VALUE(Table5[[#This Row],[NODE]]),LEAF_INFO!B:H,6,0)</f>
        <v/>
      </c>
      <c r="D17" t="inlineStr">
        <is>
          <t>eth1/48</t>
        </is>
      </c>
      <c r="E17" t="inlineStr">
        <is>
          <t>up</t>
        </is>
      </c>
      <c r="F17" t="inlineStr">
        <is>
          <t>up</t>
        </is>
      </c>
      <c r="G17">
        <f>VLOOKUP(_xlfn.CONCAT(Table5[[#This Row],[NODE]],Table5[[#This Row],[PORT]]),PORTS_!A:G,7,0)</f>
        <v/>
      </c>
      <c r="H17" t="inlineStr">
        <is>
          <t>LINK_HACIA_APIC</t>
        </is>
      </c>
      <c r="I17">
        <f>VLOOKUP(VALUE(Table5[[#This Row],[NODE]]),LEAF_INFO!B:H,7,0)</f>
        <v/>
      </c>
      <c r="J17">
        <f>ISNUMBER(SEARCH("vpc-leaf", SUBSTITUTE(LOWER(K17), "_", "-")))</f>
        <v/>
      </c>
      <c r="K17">
        <f>_xlfn.IFNA(VLOOKUP(VALUE(Table5[[#This Row],[NODE]]), VPC!A:A, 2, 0), "No está en VPC")</f>
        <v/>
      </c>
      <c r="L17">
        <f>IF(OR(ISNUMBER(SEARCH("VPC-Leaf", K17)), ISNUMBER(SEARCH("VPC_Leaf", K17))),SUBSTITUTE(SUBSTITUTE(SUBSTITUTE(K17, "VPC-Leaf", ""), "VPC_Leaf", ""), "_", "-"),A17)</f>
        <v/>
      </c>
      <c r="M17">
        <f>_xlfn.IFNA(VLOOKUP(_xlfn.CONCAT(VALUE(Table5[[#This Row],[NODE]]),Table5[[#This Row],[PORT]]),PG!C:H,6,0),"NO EXISTE PG")</f>
        <v/>
      </c>
      <c r="N17">
        <f>_xlfn.IFNA(VLOOKUP(_xlfn.CONCAT(VALUE(Table5[[#This Row],[NODE]]),Table5[[#This Row],[PORT]]),PG!C:H,4,0),"NO EXISTE ISEL")</f>
        <v/>
      </c>
      <c r="O17">
        <f>COUNTIF(Statics!G:G,Table5[[#This Row],[PG]])+COUNTIF(Statics!H:H,_xlfn.CONCAT((Table5[[#This Row],[NODE]]),Table5[[#This Row],[PORT]]))</f>
        <v/>
      </c>
      <c r="P17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7">
        <f>COUNTIF(Statics!F:F,Table5[[#This Row],[ID]])+COUNTIF(Statics!F:F,VALUE(Table5[[#This Row],[NODE]]))</f>
        <v/>
      </c>
    </row>
    <row r="18">
      <c r="A18" t="inlineStr">
        <is>
          <t>101</t>
        </is>
      </c>
      <c r="B18" t="inlineStr">
        <is>
          <t>1</t>
        </is>
      </c>
      <c r="C18">
        <f>VLOOKUP(VALUE(Table5[[#This Row],[NODE]]),LEAF_INFO!B:H,6,0)</f>
        <v/>
      </c>
      <c r="D18" t="inlineStr">
        <is>
          <t>eth1/49</t>
        </is>
      </c>
      <c r="E18" t="inlineStr">
        <is>
          <t>down</t>
        </is>
      </c>
      <c r="F18" t="inlineStr">
        <is>
          <t>down</t>
        </is>
      </c>
      <c r="G18">
        <f>VLOOKUP(_xlfn.CONCAT(Table5[[#This Row],[NODE]],Table5[[#This Row],[PORT]]),PORTS_!A:G,7,0)</f>
        <v/>
      </c>
      <c r="H18" t="inlineStr"/>
      <c r="I18">
        <f>VLOOKUP(VALUE(Table5[[#This Row],[NODE]]),LEAF_INFO!B:H,7,0)</f>
        <v/>
      </c>
      <c r="J18">
        <f>ISNUMBER(SEARCH("vpc-leaf", SUBSTITUTE(LOWER(K18), "_", "-")))</f>
        <v/>
      </c>
      <c r="K18">
        <f>_xlfn.IFNA(VLOOKUP(VALUE(Table5[[#This Row],[NODE]]), VPC!A:A, 2, 0), "No está en VPC")</f>
        <v/>
      </c>
      <c r="L18">
        <f>IF(OR(ISNUMBER(SEARCH("VPC-Leaf", K18)), ISNUMBER(SEARCH("VPC_Leaf", K18))),SUBSTITUTE(SUBSTITUTE(SUBSTITUTE(K18, "VPC-Leaf", ""), "VPC_Leaf", ""), "_", "-"),A18)</f>
        <v/>
      </c>
      <c r="M18">
        <f>_xlfn.IFNA(VLOOKUP(_xlfn.CONCAT(VALUE(Table5[[#This Row],[NODE]]),Table5[[#This Row],[PORT]]),PG!C:H,6,0),"NO EXISTE PG")</f>
        <v/>
      </c>
      <c r="N18">
        <f>_xlfn.IFNA(VLOOKUP(_xlfn.CONCAT(VALUE(Table5[[#This Row],[NODE]]),Table5[[#This Row],[PORT]]),PG!C:H,4,0),"NO EXISTE ISEL")</f>
        <v/>
      </c>
      <c r="O18">
        <f>COUNTIF(Statics!G:G,Table5[[#This Row],[PG]])+COUNTIF(Statics!H:H,_xlfn.CONCAT((Table5[[#This Row],[NODE]]),Table5[[#This Row],[PORT]]))</f>
        <v/>
      </c>
      <c r="P18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8">
        <f>COUNTIF(Statics!F:F,Table5[[#This Row],[ID]])+COUNTIF(Statics!F:F,VALUE(Table5[[#This Row],[NODE]]))</f>
        <v/>
      </c>
    </row>
    <row r="19">
      <c r="A19" t="inlineStr">
        <is>
          <t>101</t>
        </is>
      </c>
      <c r="B19" t="inlineStr">
        <is>
          <t>1</t>
        </is>
      </c>
      <c r="C19">
        <f>VLOOKUP(VALUE(Table5[[#This Row],[NODE]]),LEAF_INFO!B:H,6,0)</f>
        <v/>
      </c>
      <c r="D19" t="inlineStr">
        <is>
          <t>eth1/50</t>
        </is>
      </c>
      <c r="E19" t="inlineStr">
        <is>
          <t>down</t>
        </is>
      </c>
      <c r="F19" t="inlineStr">
        <is>
          <t>down</t>
        </is>
      </c>
      <c r="G19">
        <f>VLOOKUP(_xlfn.CONCAT(Table5[[#This Row],[NODE]],Table5[[#This Row],[PORT]]),PORTS_!A:G,7,0)</f>
        <v/>
      </c>
      <c r="H19" t="inlineStr"/>
      <c r="I19">
        <f>VLOOKUP(VALUE(Table5[[#This Row],[NODE]]),LEAF_INFO!B:H,7,0)</f>
        <v/>
      </c>
      <c r="J19">
        <f>ISNUMBER(SEARCH("vpc-leaf", SUBSTITUTE(LOWER(K19), "_", "-")))</f>
        <v/>
      </c>
      <c r="K19">
        <f>_xlfn.IFNA(VLOOKUP(VALUE(Table5[[#This Row],[NODE]]), VPC!A:A, 2, 0), "No está en VPC")</f>
        <v/>
      </c>
      <c r="L19">
        <f>IF(OR(ISNUMBER(SEARCH("VPC-Leaf", K19)), ISNUMBER(SEARCH("VPC_Leaf", K19))),SUBSTITUTE(SUBSTITUTE(SUBSTITUTE(K19, "VPC-Leaf", ""), "VPC_Leaf", ""), "_", "-"),A19)</f>
        <v/>
      </c>
      <c r="M19">
        <f>_xlfn.IFNA(VLOOKUP(_xlfn.CONCAT(VALUE(Table5[[#This Row],[NODE]]),Table5[[#This Row],[PORT]]),PG!C:H,6,0),"NO EXISTE PG")</f>
        <v/>
      </c>
      <c r="N19">
        <f>_xlfn.IFNA(VLOOKUP(_xlfn.CONCAT(VALUE(Table5[[#This Row],[NODE]]),Table5[[#This Row],[PORT]]),PG!C:H,4,0),"NO EXISTE ISEL")</f>
        <v/>
      </c>
      <c r="O19">
        <f>COUNTIF(Statics!G:G,Table5[[#This Row],[PG]])+COUNTIF(Statics!H:H,_xlfn.CONCAT((Table5[[#This Row],[NODE]]),Table5[[#This Row],[PORT]]))</f>
        <v/>
      </c>
      <c r="P19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9">
        <f>COUNTIF(Statics!F:F,Table5[[#This Row],[ID]])+COUNTIF(Statics!F:F,VALUE(Table5[[#This Row],[NODE]]))</f>
        <v/>
      </c>
    </row>
    <row r="20">
      <c r="A20" t="inlineStr">
        <is>
          <t>101</t>
        </is>
      </c>
      <c r="B20" t="inlineStr">
        <is>
          <t>1</t>
        </is>
      </c>
      <c r="C20">
        <f>VLOOKUP(VALUE(Table5[[#This Row],[NODE]]),LEAF_INFO!B:H,6,0)</f>
        <v/>
      </c>
      <c r="D20" t="inlineStr">
        <is>
          <t>eth1/51</t>
        </is>
      </c>
      <c r="E20" t="inlineStr">
        <is>
          <t>down</t>
        </is>
      </c>
      <c r="F20" t="inlineStr">
        <is>
          <t>down</t>
        </is>
      </c>
      <c r="G20">
        <f>VLOOKUP(_xlfn.CONCAT(Table5[[#This Row],[NODE]],Table5[[#This Row],[PORT]]),PORTS_!A:G,7,0)</f>
        <v/>
      </c>
      <c r="H20" t="inlineStr"/>
      <c r="I20">
        <f>VLOOKUP(VALUE(Table5[[#This Row],[NODE]]),LEAF_INFO!B:H,7,0)</f>
        <v/>
      </c>
      <c r="J20">
        <f>ISNUMBER(SEARCH("vpc-leaf", SUBSTITUTE(LOWER(K20), "_", "-")))</f>
        <v/>
      </c>
      <c r="K20">
        <f>_xlfn.IFNA(VLOOKUP(VALUE(Table5[[#This Row],[NODE]]), VPC!A:A, 2, 0), "No está en VPC")</f>
        <v/>
      </c>
      <c r="L20">
        <f>IF(OR(ISNUMBER(SEARCH("VPC-Leaf", K20)), ISNUMBER(SEARCH("VPC_Leaf", K20))),SUBSTITUTE(SUBSTITUTE(SUBSTITUTE(K20, "VPC-Leaf", ""), "VPC_Leaf", ""), "_", "-"),A20)</f>
        <v/>
      </c>
      <c r="M20">
        <f>_xlfn.IFNA(VLOOKUP(_xlfn.CONCAT(VALUE(Table5[[#This Row],[NODE]]),Table5[[#This Row],[PORT]]),PG!C:H,6,0),"NO EXISTE PG")</f>
        <v/>
      </c>
      <c r="N20">
        <f>_xlfn.IFNA(VLOOKUP(_xlfn.CONCAT(VALUE(Table5[[#This Row],[NODE]]),Table5[[#This Row],[PORT]]),PG!C:H,4,0),"NO EXISTE ISEL")</f>
        <v/>
      </c>
      <c r="O20">
        <f>COUNTIF(Statics!G:G,Table5[[#This Row],[PG]])+COUNTIF(Statics!H:H,_xlfn.CONCAT((Table5[[#This Row],[NODE]]),Table5[[#This Row],[PORT]]))</f>
        <v/>
      </c>
      <c r="P20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0">
        <f>COUNTIF(Statics!F:F,Table5[[#This Row],[ID]])+COUNTIF(Statics!F:F,VALUE(Table5[[#This Row],[NODE]]))</f>
        <v/>
      </c>
    </row>
    <row r="21">
      <c r="A21" t="inlineStr">
        <is>
          <t>101</t>
        </is>
      </c>
      <c r="B21" t="inlineStr">
        <is>
          <t>1</t>
        </is>
      </c>
      <c r="C21">
        <f>VLOOKUP(VALUE(Table5[[#This Row],[NODE]]),LEAF_INFO!B:H,6,0)</f>
        <v/>
      </c>
      <c r="D21" t="inlineStr">
        <is>
          <t>eth1/52</t>
        </is>
      </c>
      <c r="E21" t="inlineStr">
        <is>
          <t>down</t>
        </is>
      </c>
      <c r="F21" t="inlineStr">
        <is>
          <t>down</t>
        </is>
      </c>
      <c r="G21">
        <f>VLOOKUP(_xlfn.CONCAT(Table5[[#This Row],[NODE]],Table5[[#This Row],[PORT]]),PORTS_!A:G,7,0)</f>
        <v/>
      </c>
      <c r="H21" t="inlineStr"/>
      <c r="I21">
        <f>VLOOKUP(VALUE(Table5[[#This Row],[NODE]]),LEAF_INFO!B:H,7,0)</f>
        <v/>
      </c>
      <c r="J21">
        <f>ISNUMBER(SEARCH("vpc-leaf", SUBSTITUTE(LOWER(K21), "_", "-")))</f>
        <v/>
      </c>
      <c r="K21">
        <f>_xlfn.IFNA(VLOOKUP(VALUE(Table5[[#This Row],[NODE]]), VPC!A:A, 2, 0), "No está en VPC")</f>
        <v/>
      </c>
      <c r="L21">
        <f>IF(OR(ISNUMBER(SEARCH("VPC-Leaf", K21)), ISNUMBER(SEARCH("VPC_Leaf", K21))),SUBSTITUTE(SUBSTITUTE(SUBSTITUTE(K21, "VPC-Leaf", ""), "VPC_Leaf", ""), "_", "-"),A21)</f>
        <v/>
      </c>
      <c r="M21">
        <f>_xlfn.IFNA(VLOOKUP(_xlfn.CONCAT(VALUE(Table5[[#This Row],[NODE]]),Table5[[#This Row],[PORT]]),PG!C:H,6,0),"NO EXISTE PG")</f>
        <v/>
      </c>
      <c r="N21">
        <f>_xlfn.IFNA(VLOOKUP(_xlfn.CONCAT(VALUE(Table5[[#This Row],[NODE]]),Table5[[#This Row],[PORT]]),PG!C:H,4,0),"NO EXISTE ISEL")</f>
        <v/>
      </c>
      <c r="O21">
        <f>COUNTIF(Statics!G:G,Table5[[#This Row],[PG]])+COUNTIF(Statics!H:H,_xlfn.CONCAT((Table5[[#This Row],[NODE]]),Table5[[#This Row],[PORT]]))</f>
        <v/>
      </c>
      <c r="P21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1">
        <f>COUNTIF(Statics!F:F,Table5[[#This Row],[ID]])+COUNTIF(Statics!F:F,VALUE(Table5[[#This Row],[NODE]]))</f>
        <v/>
      </c>
    </row>
    <row r="22">
      <c r="A22" t="inlineStr">
        <is>
          <t>101</t>
        </is>
      </c>
      <c r="B22" t="inlineStr">
        <is>
          <t>1</t>
        </is>
      </c>
      <c r="C22">
        <f>VLOOKUP(VALUE(Table5[[#This Row],[NODE]]),LEAF_INFO!B:H,6,0)</f>
        <v/>
      </c>
      <c r="D22" t="inlineStr">
        <is>
          <t>eth1/53</t>
        </is>
      </c>
      <c r="E22" t="inlineStr">
        <is>
          <t>up</t>
        </is>
      </c>
      <c r="F22" t="inlineStr">
        <is>
          <t>up</t>
        </is>
      </c>
      <c r="G22">
        <f>VLOOKUP(_xlfn.CONCAT(Table5[[#This Row],[NODE]],Table5[[#This Row],[PORT]]),PORTS_!A:G,7,0)</f>
        <v/>
      </c>
      <c r="H22" t="inlineStr">
        <is>
          <t>LINK_HACIA_SPINE</t>
        </is>
      </c>
      <c r="I22">
        <f>VLOOKUP(VALUE(Table5[[#This Row],[NODE]]),LEAF_INFO!B:H,7,0)</f>
        <v/>
      </c>
      <c r="J22">
        <f>ISNUMBER(SEARCH("vpc-leaf", SUBSTITUTE(LOWER(K22), "_", "-")))</f>
        <v/>
      </c>
      <c r="K22">
        <f>_xlfn.IFNA(VLOOKUP(VALUE(Table5[[#This Row],[NODE]]), VPC!A:A, 2, 0), "No está en VPC")</f>
        <v/>
      </c>
      <c r="L22">
        <f>IF(OR(ISNUMBER(SEARCH("VPC-Leaf", K22)), ISNUMBER(SEARCH("VPC_Leaf", K22))),SUBSTITUTE(SUBSTITUTE(SUBSTITUTE(K22, "VPC-Leaf", ""), "VPC_Leaf", ""), "_", "-"),A22)</f>
        <v/>
      </c>
      <c r="M22">
        <f>_xlfn.IFNA(VLOOKUP(_xlfn.CONCAT(VALUE(Table5[[#This Row],[NODE]]),Table5[[#This Row],[PORT]]),PG!C:H,6,0),"NO EXISTE PG")</f>
        <v/>
      </c>
      <c r="N22">
        <f>_xlfn.IFNA(VLOOKUP(_xlfn.CONCAT(VALUE(Table5[[#This Row],[NODE]]),Table5[[#This Row],[PORT]]),PG!C:H,4,0),"NO EXISTE ISEL")</f>
        <v/>
      </c>
      <c r="O22">
        <f>COUNTIF(Statics!G:G,Table5[[#This Row],[PG]])+COUNTIF(Statics!H:H,_xlfn.CONCAT((Table5[[#This Row],[NODE]]),Table5[[#This Row],[PORT]]))</f>
        <v/>
      </c>
      <c r="P22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2">
        <f>COUNTIF(Statics!F:F,Table5[[#This Row],[ID]])+COUNTIF(Statics!F:F,VALUE(Table5[[#This Row],[NODE]]))</f>
        <v/>
      </c>
    </row>
    <row r="23">
      <c r="A23" t="inlineStr">
        <is>
          <t>101</t>
        </is>
      </c>
      <c r="B23" t="inlineStr">
        <is>
          <t>1</t>
        </is>
      </c>
      <c r="C23">
        <f>VLOOKUP(VALUE(Table5[[#This Row],[NODE]]),LEAF_INFO!B:H,6,0)</f>
        <v/>
      </c>
      <c r="D23" t="inlineStr">
        <is>
          <t>eth1/54</t>
        </is>
      </c>
      <c r="E23" t="inlineStr">
        <is>
          <t>up</t>
        </is>
      </c>
      <c r="F23" t="inlineStr">
        <is>
          <t>up</t>
        </is>
      </c>
      <c r="G23">
        <f>VLOOKUP(_xlfn.CONCAT(Table5[[#This Row],[NODE]],Table5[[#This Row],[PORT]]),PORTS_!A:G,7,0)</f>
        <v/>
      </c>
      <c r="H23" t="inlineStr">
        <is>
          <t>LINK_HACIA_SPINE</t>
        </is>
      </c>
      <c r="I23">
        <f>VLOOKUP(VALUE(Table5[[#This Row],[NODE]]),LEAF_INFO!B:H,7,0)</f>
        <v/>
      </c>
      <c r="J23">
        <f>ISNUMBER(SEARCH("vpc-leaf", SUBSTITUTE(LOWER(K23), "_", "-")))</f>
        <v/>
      </c>
      <c r="K23">
        <f>_xlfn.IFNA(VLOOKUP(VALUE(Table5[[#This Row],[NODE]]), VPC!A:A, 2, 0), "No está en VPC")</f>
        <v/>
      </c>
      <c r="L23">
        <f>IF(OR(ISNUMBER(SEARCH("VPC-Leaf", K23)), ISNUMBER(SEARCH("VPC_Leaf", K23))),SUBSTITUTE(SUBSTITUTE(SUBSTITUTE(K23, "VPC-Leaf", ""), "VPC_Leaf", ""), "_", "-"),A23)</f>
        <v/>
      </c>
      <c r="M23">
        <f>_xlfn.IFNA(VLOOKUP(_xlfn.CONCAT(VALUE(Table5[[#This Row],[NODE]]),Table5[[#This Row],[PORT]]),PG!C:H,6,0),"NO EXISTE PG")</f>
        <v/>
      </c>
      <c r="N23">
        <f>_xlfn.IFNA(VLOOKUP(_xlfn.CONCAT(VALUE(Table5[[#This Row],[NODE]]),Table5[[#This Row],[PORT]]),PG!C:H,4,0),"NO EXISTE ISEL")</f>
        <v/>
      </c>
      <c r="O23">
        <f>COUNTIF(Statics!G:G,Table5[[#This Row],[PG]])+COUNTIF(Statics!H:H,_xlfn.CONCAT((Table5[[#This Row],[NODE]]),Table5[[#This Row],[PORT]]))</f>
        <v/>
      </c>
      <c r="P23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3">
        <f>COUNTIF(Statics!F:F,Table5[[#This Row],[ID]])+COUNTIF(Statics!F:F,VALUE(Table5[[#This Row],[NODE]]))</f>
        <v/>
      </c>
    </row>
    <row r="24">
      <c r="A24" t="inlineStr">
        <is>
          <t>101</t>
        </is>
      </c>
      <c r="B24" t="inlineStr">
        <is>
          <t>1</t>
        </is>
      </c>
      <c r="C24">
        <f>VLOOKUP(VALUE(Table5[[#This Row],[NODE]]),LEAF_INFO!B:H,6,0)</f>
        <v/>
      </c>
      <c r="D24" t="inlineStr">
        <is>
          <t>eth1/1</t>
        </is>
      </c>
      <c r="E24" t="inlineStr">
        <is>
          <t>down</t>
        </is>
      </c>
      <c r="F24" t="inlineStr">
        <is>
          <t>down</t>
        </is>
      </c>
      <c r="G24">
        <f>VLOOKUP(_xlfn.CONCAT(Table5[[#This Row],[NODE]],Table5[[#This Row],[PORT]]),PORTS_!A:G,7,0)</f>
        <v/>
      </c>
      <c r="H24" t="inlineStr"/>
      <c r="I24">
        <f>VLOOKUP(VALUE(Table5[[#This Row],[NODE]]),LEAF_INFO!B:H,7,0)</f>
        <v/>
      </c>
      <c r="J24">
        <f>ISNUMBER(SEARCH("vpc-leaf", SUBSTITUTE(LOWER(K24), "_", "-")))</f>
        <v/>
      </c>
      <c r="K24">
        <f>_xlfn.IFNA(VLOOKUP(VALUE(Table5[[#This Row],[NODE]]), VPC!A:A, 2, 0), "No está en VPC")</f>
        <v/>
      </c>
      <c r="L24">
        <f>IF(OR(ISNUMBER(SEARCH("VPC-Leaf", K24)), ISNUMBER(SEARCH("VPC_Leaf", K24))),SUBSTITUTE(SUBSTITUTE(SUBSTITUTE(K24, "VPC-Leaf", ""), "VPC_Leaf", ""), "_", "-"),A24)</f>
        <v/>
      </c>
      <c r="M24">
        <f>_xlfn.IFNA(VLOOKUP(_xlfn.CONCAT(VALUE(Table5[[#This Row],[NODE]]),Table5[[#This Row],[PORT]]),PG!C:H,6,0),"NO EXISTE PG")</f>
        <v/>
      </c>
      <c r="N24">
        <f>_xlfn.IFNA(VLOOKUP(_xlfn.CONCAT(VALUE(Table5[[#This Row],[NODE]]),Table5[[#This Row],[PORT]]),PG!C:H,4,0),"NO EXISTE ISEL")</f>
        <v/>
      </c>
      <c r="O24">
        <f>COUNTIF(Statics!G:G,Table5[[#This Row],[PG]])+COUNTIF(Statics!H:H,_xlfn.CONCAT((Table5[[#This Row],[NODE]]),Table5[[#This Row],[PORT]]))</f>
        <v/>
      </c>
      <c r="P24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4">
        <f>COUNTIF(Statics!F:F,Table5[[#This Row],[ID]])+COUNTIF(Statics!F:F,VALUE(Table5[[#This Row],[NODE]]))</f>
        <v/>
      </c>
    </row>
    <row r="25">
      <c r="A25" t="inlineStr">
        <is>
          <t>101</t>
        </is>
      </c>
      <c r="B25" t="inlineStr">
        <is>
          <t>1</t>
        </is>
      </c>
      <c r="C25">
        <f>VLOOKUP(VALUE(Table5[[#This Row],[NODE]]),LEAF_INFO!B:H,6,0)</f>
        <v/>
      </c>
      <c r="D25" t="inlineStr">
        <is>
          <t>eth1/2</t>
        </is>
      </c>
      <c r="E25" t="inlineStr">
        <is>
          <t>down</t>
        </is>
      </c>
      <c r="F25" t="inlineStr">
        <is>
          <t>down</t>
        </is>
      </c>
      <c r="G25">
        <f>VLOOKUP(_xlfn.CONCAT(Table5[[#This Row],[NODE]],Table5[[#This Row],[PORT]]),PORTS_!A:G,7,0)</f>
        <v/>
      </c>
      <c r="H25" t="inlineStr"/>
      <c r="I25">
        <f>VLOOKUP(VALUE(Table5[[#This Row],[NODE]]),LEAF_INFO!B:H,7,0)</f>
        <v/>
      </c>
      <c r="J25">
        <f>ISNUMBER(SEARCH("vpc-leaf", SUBSTITUTE(LOWER(K25), "_", "-")))</f>
        <v/>
      </c>
      <c r="K25">
        <f>_xlfn.IFNA(VLOOKUP(VALUE(Table5[[#This Row],[NODE]]), VPC!A:A, 2, 0), "No está en VPC")</f>
        <v/>
      </c>
      <c r="L25">
        <f>IF(OR(ISNUMBER(SEARCH("VPC-Leaf", K25)), ISNUMBER(SEARCH("VPC_Leaf", K25))),SUBSTITUTE(SUBSTITUTE(SUBSTITUTE(K25, "VPC-Leaf", ""), "VPC_Leaf", ""), "_", "-"),A25)</f>
        <v/>
      </c>
      <c r="M25">
        <f>_xlfn.IFNA(VLOOKUP(_xlfn.CONCAT(VALUE(Table5[[#This Row],[NODE]]),Table5[[#This Row],[PORT]]),PG!C:H,6,0),"NO EXISTE PG")</f>
        <v/>
      </c>
      <c r="N25">
        <f>_xlfn.IFNA(VLOOKUP(_xlfn.CONCAT(VALUE(Table5[[#This Row],[NODE]]),Table5[[#This Row],[PORT]]),PG!C:H,4,0),"NO EXISTE ISEL")</f>
        <v/>
      </c>
      <c r="O25">
        <f>COUNTIF(Statics!G:G,Table5[[#This Row],[PG]])+COUNTIF(Statics!H:H,_xlfn.CONCAT((Table5[[#This Row],[NODE]]),Table5[[#This Row],[PORT]]))</f>
        <v/>
      </c>
      <c r="P25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5">
        <f>COUNTIF(Statics!F:F,Table5[[#This Row],[ID]])+COUNTIF(Statics!F:F,VALUE(Table5[[#This Row],[NODE]]))</f>
        <v/>
      </c>
    </row>
    <row r="26">
      <c r="A26" t="inlineStr">
        <is>
          <t>101</t>
        </is>
      </c>
      <c r="B26" t="inlineStr">
        <is>
          <t>1</t>
        </is>
      </c>
      <c r="C26">
        <f>VLOOKUP(VALUE(Table5[[#This Row],[NODE]]),LEAF_INFO!B:H,6,0)</f>
        <v/>
      </c>
      <c r="D26" t="inlineStr">
        <is>
          <t>eth1/3</t>
        </is>
      </c>
      <c r="E26" t="inlineStr">
        <is>
          <t>down</t>
        </is>
      </c>
      <c r="F26" t="inlineStr">
        <is>
          <t>down</t>
        </is>
      </c>
      <c r="G26">
        <f>VLOOKUP(_xlfn.CONCAT(Table5[[#This Row],[NODE]],Table5[[#This Row],[PORT]]),PORTS_!A:G,7,0)</f>
        <v/>
      </c>
      <c r="H26" t="inlineStr"/>
      <c r="I26">
        <f>VLOOKUP(VALUE(Table5[[#This Row],[NODE]]),LEAF_INFO!B:H,7,0)</f>
        <v/>
      </c>
      <c r="J26">
        <f>ISNUMBER(SEARCH("vpc-leaf", SUBSTITUTE(LOWER(K26), "_", "-")))</f>
        <v/>
      </c>
      <c r="K26">
        <f>_xlfn.IFNA(VLOOKUP(VALUE(Table5[[#This Row],[NODE]]), VPC!A:A, 2, 0), "No está en VPC")</f>
        <v/>
      </c>
      <c r="L26">
        <f>IF(OR(ISNUMBER(SEARCH("VPC-Leaf", K26)), ISNUMBER(SEARCH("VPC_Leaf", K26))),SUBSTITUTE(SUBSTITUTE(SUBSTITUTE(K26, "VPC-Leaf", ""), "VPC_Leaf", ""), "_", "-"),A26)</f>
        <v/>
      </c>
      <c r="M26">
        <f>_xlfn.IFNA(VLOOKUP(_xlfn.CONCAT(VALUE(Table5[[#This Row],[NODE]]),Table5[[#This Row],[PORT]]),PG!C:H,6,0),"NO EXISTE PG")</f>
        <v/>
      </c>
      <c r="N26">
        <f>_xlfn.IFNA(VLOOKUP(_xlfn.CONCAT(VALUE(Table5[[#This Row],[NODE]]),Table5[[#This Row],[PORT]]),PG!C:H,4,0),"NO EXISTE ISEL")</f>
        <v/>
      </c>
      <c r="O26">
        <f>COUNTIF(Statics!G:G,Table5[[#This Row],[PG]])+COUNTIF(Statics!H:H,_xlfn.CONCAT((Table5[[#This Row],[NODE]]),Table5[[#This Row],[PORT]]))</f>
        <v/>
      </c>
      <c r="P26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6">
        <f>COUNTIF(Statics!F:F,Table5[[#This Row],[ID]])+COUNTIF(Statics!F:F,VALUE(Table5[[#This Row],[NODE]]))</f>
        <v/>
      </c>
    </row>
    <row r="27">
      <c r="A27" t="inlineStr">
        <is>
          <t>101</t>
        </is>
      </c>
      <c r="B27" t="inlineStr">
        <is>
          <t>1</t>
        </is>
      </c>
      <c r="C27">
        <f>VLOOKUP(VALUE(Table5[[#This Row],[NODE]]),LEAF_INFO!B:H,6,0)</f>
        <v/>
      </c>
      <c r="D27" t="inlineStr">
        <is>
          <t>eth1/4</t>
        </is>
      </c>
      <c r="E27" t="inlineStr">
        <is>
          <t>down</t>
        </is>
      </c>
      <c r="F27" t="inlineStr">
        <is>
          <t>down</t>
        </is>
      </c>
      <c r="G27">
        <f>VLOOKUP(_xlfn.CONCAT(Table5[[#This Row],[NODE]],Table5[[#This Row],[PORT]]),PORTS_!A:G,7,0)</f>
        <v/>
      </c>
      <c r="H27" t="inlineStr"/>
      <c r="I27">
        <f>VLOOKUP(VALUE(Table5[[#This Row],[NODE]]),LEAF_INFO!B:H,7,0)</f>
        <v/>
      </c>
      <c r="J27">
        <f>ISNUMBER(SEARCH("vpc-leaf", SUBSTITUTE(LOWER(K27), "_", "-")))</f>
        <v/>
      </c>
      <c r="K27">
        <f>_xlfn.IFNA(VLOOKUP(VALUE(Table5[[#This Row],[NODE]]), VPC!A:A, 2, 0), "No está en VPC")</f>
        <v/>
      </c>
      <c r="L27">
        <f>IF(OR(ISNUMBER(SEARCH("VPC-Leaf", K27)), ISNUMBER(SEARCH("VPC_Leaf", K27))),SUBSTITUTE(SUBSTITUTE(SUBSTITUTE(K27, "VPC-Leaf", ""), "VPC_Leaf", ""), "_", "-"),A27)</f>
        <v/>
      </c>
      <c r="M27">
        <f>_xlfn.IFNA(VLOOKUP(_xlfn.CONCAT(VALUE(Table5[[#This Row],[NODE]]),Table5[[#This Row],[PORT]]),PG!C:H,6,0),"NO EXISTE PG")</f>
        <v/>
      </c>
      <c r="N27">
        <f>_xlfn.IFNA(VLOOKUP(_xlfn.CONCAT(VALUE(Table5[[#This Row],[NODE]]),Table5[[#This Row],[PORT]]),PG!C:H,4,0),"NO EXISTE ISEL")</f>
        <v/>
      </c>
      <c r="O27">
        <f>COUNTIF(Statics!G:G,Table5[[#This Row],[PG]])+COUNTIF(Statics!H:H,_xlfn.CONCAT((Table5[[#This Row],[NODE]]),Table5[[#This Row],[PORT]]))</f>
        <v/>
      </c>
      <c r="P27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7">
        <f>COUNTIF(Statics!F:F,Table5[[#This Row],[ID]])+COUNTIF(Statics!F:F,VALUE(Table5[[#This Row],[NODE]]))</f>
        <v/>
      </c>
    </row>
    <row r="28">
      <c r="A28" t="inlineStr">
        <is>
          <t>101</t>
        </is>
      </c>
      <c r="B28" t="inlineStr">
        <is>
          <t>1</t>
        </is>
      </c>
      <c r="C28">
        <f>VLOOKUP(VALUE(Table5[[#This Row],[NODE]]),LEAF_INFO!B:H,6,0)</f>
        <v/>
      </c>
      <c r="D28" t="inlineStr">
        <is>
          <t>eth1/5</t>
        </is>
      </c>
      <c r="E28" t="inlineStr">
        <is>
          <t>down</t>
        </is>
      </c>
      <c r="F28" t="inlineStr">
        <is>
          <t>down</t>
        </is>
      </c>
      <c r="G28">
        <f>VLOOKUP(_xlfn.CONCAT(Table5[[#This Row],[NODE]],Table5[[#This Row],[PORT]]),PORTS_!A:G,7,0)</f>
        <v/>
      </c>
      <c r="H28" t="inlineStr"/>
      <c r="I28">
        <f>VLOOKUP(VALUE(Table5[[#This Row],[NODE]]),LEAF_INFO!B:H,7,0)</f>
        <v/>
      </c>
      <c r="J28">
        <f>ISNUMBER(SEARCH("vpc-leaf", SUBSTITUTE(LOWER(K28), "_", "-")))</f>
        <v/>
      </c>
      <c r="K28">
        <f>_xlfn.IFNA(VLOOKUP(VALUE(Table5[[#This Row],[NODE]]), VPC!A:A, 2, 0), "No está en VPC")</f>
        <v/>
      </c>
      <c r="L28">
        <f>IF(OR(ISNUMBER(SEARCH("VPC-Leaf", K28)), ISNUMBER(SEARCH("VPC_Leaf", K28))),SUBSTITUTE(SUBSTITUTE(SUBSTITUTE(K28, "VPC-Leaf", ""), "VPC_Leaf", ""), "_", "-"),A28)</f>
        <v/>
      </c>
      <c r="M28">
        <f>_xlfn.IFNA(VLOOKUP(_xlfn.CONCAT(VALUE(Table5[[#This Row],[NODE]]),Table5[[#This Row],[PORT]]),PG!C:H,6,0),"NO EXISTE PG")</f>
        <v/>
      </c>
      <c r="N28">
        <f>_xlfn.IFNA(VLOOKUP(_xlfn.CONCAT(VALUE(Table5[[#This Row],[NODE]]),Table5[[#This Row],[PORT]]),PG!C:H,4,0),"NO EXISTE ISEL")</f>
        <v/>
      </c>
      <c r="O28">
        <f>COUNTIF(Statics!G:G,Table5[[#This Row],[PG]])+COUNTIF(Statics!H:H,_xlfn.CONCAT((Table5[[#This Row],[NODE]]),Table5[[#This Row],[PORT]]))</f>
        <v/>
      </c>
      <c r="P28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8">
        <f>COUNTIF(Statics!F:F,Table5[[#This Row],[ID]])+COUNTIF(Statics!F:F,VALUE(Table5[[#This Row],[NODE]]))</f>
        <v/>
      </c>
    </row>
    <row r="29">
      <c r="A29" t="inlineStr">
        <is>
          <t>101</t>
        </is>
      </c>
      <c r="B29" t="inlineStr">
        <is>
          <t>1</t>
        </is>
      </c>
      <c r="C29">
        <f>VLOOKUP(VALUE(Table5[[#This Row],[NODE]]),LEAF_INFO!B:H,6,0)</f>
        <v/>
      </c>
      <c r="D29" t="inlineStr">
        <is>
          <t>eth1/6</t>
        </is>
      </c>
      <c r="E29" t="inlineStr">
        <is>
          <t>down</t>
        </is>
      </c>
      <c r="F29" t="inlineStr">
        <is>
          <t>down</t>
        </is>
      </c>
      <c r="G29">
        <f>VLOOKUP(_xlfn.CONCAT(Table5[[#This Row],[NODE]],Table5[[#This Row],[PORT]]),PORTS_!A:G,7,0)</f>
        <v/>
      </c>
      <c r="H29" t="inlineStr"/>
      <c r="I29">
        <f>VLOOKUP(VALUE(Table5[[#This Row],[NODE]]),LEAF_INFO!B:H,7,0)</f>
        <v/>
      </c>
      <c r="J29">
        <f>ISNUMBER(SEARCH("vpc-leaf", SUBSTITUTE(LOWER(K29), "_", "-")))</f>
        <v/>
      </c>
      <c r="K29">
        <f>_xlfn.IFNA(VLOOKUP(VALUE(Table5[[#This Row],[NODE]]), VPC!A:A, 2, 0), "No está en VPC")</f>
        <v/>
      </c>
      <c r="L29">
        <f>IF(OR(ISNUMBER(SEARCH("VPC-Leaf", K29)), ISNUMBER(SEARCH("VPC_Leaf", K29))),SUBSTITUTE(SUBSTITUTE(SUBSTITUTE(K29, "VPC-Leaf", ""), "VPC_Leaf", ""), "_", "-"),A29)</f>
        <v/>
      </c>
      <c r="M29">
        <f>_xlfn.IFNA(VLOOKUP(_xlfn.CONCAT(VALUE(Table5[[#This Row],[NODE]]),Table5[[#This Row],[PORT]]),PG!C:H,6,0),"NO EXISTE PG")</f>
        <v/>
      </c>
      <c r="N29">
        <f>_xlfn.IFNA(VLOOKUP(_xlfn.CONCAT(VALUE(Table5[[#This Row],[NODE]]),Table5[[#This Row],[PORT]]),PG!C:H,4,0),"NO EXISTE ISEL")</f>
        <v/>
      </c>
      <c r="O29">
        <f>COUNTIF(Statics!G:G,Table5[[#This Row],[PG]])+COUNTIF(Statics!H:H,_xlfn.CONCAT((Table5[[#This Row],[NODE]]),Table5[[#This Row],[PORT]]))</f>
        <v/>
      </c>
      <c r="P29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9">
        <f>COUNTIF(Statics!F:F,Table5[[#This Row],[ID]])+COUNTIF(Statics!F:F,VALUE(Table5[[#This Row],[NODE]]))</f>
        <v/>
      </c>
    </row>
    <row r="30">
      <c r="A30" t="inlineStr">
        <is>
          <t>101</t>
        </is>
      </c>
      <c r="B30" t="inlineStr">
        <is>
          <t>1</t>
        </is>
      </c>
      <c r="C30">
        <f>VLOOKUP(VALUE(Table5[[#This Row],[NODE]]),LEAF_INFO!B:H,6,0)</f>
        <v/>
      </c>
      <c r="D30" t="inlineStr">
        <is>
          <t>eth1/7</t>
        </is>
      </c>
      <c r="E30" t="inlineStr">
        <is>
          <t>up</t>
        </is>
      </c>
      <c r="F30" t="inlineStr">
        <is>
          <t>up</t>
        </is>
      </c>
      <c r="G30">
        <f>VLOOKUP(_xlfn.CONCAT(Table5[[#This Row],[NODE]],Table5[[#This Row],[PORT]]),PORTS_!A:G,7,0)</f>
        <v/>
      </c>
      <c r="H30" t="inlineStr">
        <is>
          <t>To_BSC_ERICCSON_01</t>
        </is>
      </c>
      <c r="I30">
        <f>VLOOKUP(VALUE(Table5[[#This Row],[NODE]]),LEAF_INFO!B:H,7,0)</f>
        <v/>
      </c>
      <c r="J30">
        <f>ISNUMBER(SEARCH("vpc-leaf", SUBSTITUTE(LOWER(K30), "_", "-")))</f>
        <v/>
      </c>
      <c r="K30">
        <f>_xlfn.IFNA(VLOOKUP(VALUE(Table5[[#This Row],[NODE]]), VPC!A:A, 2, 0), "No está en VPC")</f>
        <v/>
      </c>
      <c r="L30">
        <f>IF(OR(ISNUMBER(SEARCH("VPC-Leaf", K30)), ISNUMBER(SEARCH("VPC_Leaf", K30))),SUBSTITUTE(SUBSTITUTE(SUBSTITUTE(K30, "VPC-Leaf", ""), "VPC_Leaf", ""), "_", "-"),A30)</f>
        <v/>
      </c>
      <c r="M30">
        <f>_xlfn.IFNA(VLOOKUP(_xlfn.CONCAT(VALUE(Table5[[#This Row],[NODE]]),Table5[[#This Row],[PORT]]),PG!C:H,6,0),"NO EXISTE PG")</f>
        <v/>
      </c>
      <c r="N30">
        <f>_xlfn.IFNA(VLOOKUP(_xlfn.CONCAT(VALUE(Table5[[#This Row],[NODE]]),Table5[[#This Row],[PORT]]),PG!C:H,4,0),"NO EXISTE ISEL")</f>
        <v/>
      </c>
      <c r="O30">
        <f>COUNTIF(Statics!G:G,Table5[[#This Row],[PG]])+COUNTIF(Statics!H:H,_xlfn.CONCAT((Table5[[#This Row],[NODE]]),Table5[[#This Row],[PORT]]))</f>
        <v/>
      </c>
      <c r="P30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30">
        <f>COUNTIF(Statics!F:F,Table5[[#This Row],[ID]])+COUNTIF(Statics!F:F,VALUE(Table5[[#This Row],[NODE]]))</f>
        <v/>
      </c>
    </row>
    <row r="31">
      <c r="A31" t="inlineStr">
        <is>
          <t>101</t>
        </is>
      </c>
      <c r="B31" t="inlineStr">
        <is>
          <t>1</t>
        </is>
      </c>
      <c r="C31">
        <f>VLOOKUP(VALUE(Table5[[#This Row],[NODE]]),LEAF_INFO!B:H,6,0)</f>
        <v/>
      </c>
      <c r="D31" t="inlineStr">
        <is>
          <t>eth1/8</t>
        </is>
      </c>
      <c r="E31" t="inlineStr">
        <is>
          <t>down</t>
        </is>
      </c>
      <c r="F31" t="inlineStr">
        <is>
          <t>down</t>
        </is>
      </c>
      <c r="G31">
        <f>VLOOKUP(_xlfn.CONCAT(Table5[[#This Row],[NODE]],Table5[[#This Row],[PORT]]),PORTS_!A:G,7,0)</f>
        <v/>
      </c>
      <c r="H31" t="inlineStr"/>
      <c r="I31">
        <f>VLOOKUP(VALUE(Table5[[#This Row],[NODE]]),LEAF_INFO!B:H,7,0)</f>
        <v/>
      </c>
      <c r="J31">
        <f>ISNUMBER(SEARCH("vpc-leaf", SUBSTITUTE(LOWER(K31), "_", "-")))</f>
        <v/>
      </c>
      <c r="K31">
        <f>_xlfn.IFNA(VLOOKUP(VALUE(Table5[[#This Row],[NODE]]), VPC!A:A, 2, 0), "No está en VPC")</f>
        <v/>
      </c>
      <c r="L31">
        <f>IF(OR(ISNUMBER(SEARCH("VPC-Leaf", K31)), ISNUMBER(SEARCH("VPC_Leaf", K31))),SUBSTITUTE(SUBSTITUTE(SUBSTITUTE(K31, "VPC-Leaf", ""), "VPC_Leaf", ""), "_", "-"),A31)</f>
        <v/>
      </c>
      <c r="M31">
        <f>_xlfn.IFNA(VLOOKUP(_xlfn.CONCAT(VALUE(Table5[[#This Row],[NODE]]),Table5[[#This Row],[PORT]]),PG!C:H,6,0),"NO EXISTE PG")</f>
        <v/>
      </c>
      <c r="N31">
        <f>_xlfn.IFNA(VLOOKUP(_xlfn.CONCAT(VALUE(Table5[[#This Row],[NODE]]),Table5[[#This Row],[PORT]]),PG!C:H,4,0),"NO EXISTE ISEL")</f>
        <v/>
      </c>
      <c r="O31">
        <f>COUNTIF(Statics!G:G,Table5[[#This Row],[PG]])+COUNTIF(Statics!H:H,_xlfn.CONCAT((Table5[[#This Row],[NODE]]),Table5[[#This Row],[PORT]]))</f>
        <v/>
      </c>
      <c r="P31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31">
        <f>COUNTIF(Statics!F:F,Table5[[#This Row],[ID]])+COUNTIF(Statics!F:F,VALUE(Table5[[#This Row],[NODE]]))</f>
        <v/>
      </c>
    </row>
    <row r="32">
      <c r="A32" t="inlineStr">
        <is>
          <t>101</t>
        </is>
      </c>
      <c r="B32" t="inlineStr">
        <is>
          <t>1</t>
        </is>
      </c>
      <c r="C32">
        <f>VLOOKUP(VALUE(Table5[[#This Row],[NODE]]),LEAF_INFO!B:H,6,0)</f>
        <v/>
      </c>
      <c r="D32" t="inlineStr">
        <is>
          <t>eth1/9</t>
        </is>
      </c>
      <c r="E32" t="inlineStr">
        <is>
          <t>down</t>
        </is>
      </c>
      <c r="F32" t="inlineStr">
        <is>
          <t>down</t>
        </is>
      </c>
      <c r="G32">
        <f>VLOOKUP(_xlfn.CONCAT(Table5[[#This Row],[NODE]],Table5[[#This Row],[PORT]]),PORTS_!A:G,7,0)</f>
        <v/>
      </c>
      <c r="H32" t="inlineStr"/>
      <c r="I32">
        <f>VLOOKUP(VALUE(Table5[[#This Row],[NODE]]),LEAF_INFO!B:H,7,0)</f>
        <v/>
      </c>
      <c r="J32">
        <f>ISNUMBER(SEARCH("vpc-leaf", SUBSTITUTE(LOWER(K32), "_", "-")))</f>
        <v/>
      </c>
      <c r="K32">
        <f>_xlfn.IFNA(VLOOKUP(VALUE(Table5[[#This Row],[NODE]]), VPC!A:A, 2, 0), "No está en VPC")</f>
        <v/>
      </c>
      <c r="L32">
        <f>IF(OR(ISNUMBER(SEARCH("VPC-Leaf", K32)), ISNUMBER(SEARCH("VPC_Leaf", K32))),SUBSTITUTE(SUBSTITUTE(SUBSTITUTE(K32, "VPC-Leaf", ""), "VPC_Leaf", ""), "_", "-"),A32)</f>
        <v/>
      </c>
      <c r="M32">
        <f>_xlfn.IFNA(VLOOKUP(_xlfn.CONCAT(VALUE(Table5[[#This Row],[NODE]]),Table5[[#This Row],[PORT]]),PG!C:H,6,0),"NO EXISTE PG")</f>
        <v/>
      </c>
      <c r="N32">
        <f>_xlfn.IFNA(VLOOKUP(_xlfn.CONCAT(VALUE(Table5[[#This Row],[NODE]]),Table5[[#This Row],[PORT]]),PG!C:H,4,0),"NO EXISTE ISEL")</f>
        <v/>
      </c>
      <c r="O32">
        <f>COUNTIF(Statics!G:G,Table5[[#This Row],[PG]])+COUNTIF(Statics!H:H,_xlfn.CONCAT((Table5[[#This Row],[NODE]]),Table5[[#This Row],[PORT]]))</f>
        <v/>
      </c>
      <c r="P32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32">
        <f>COUNTIF(Statics!F:F,Table5[[#This Row],[ID]])+COUNTIF(Statics!F:F,VALUE(Table5[[#This Row],[NODE]]))</f>
        <v/>
      </c>
    </row>
    <row r="33">
      <c r="A33" t="inlineStr">
        <is>
          <t>101</t>
        </is>
      </c>
      <c r="B33" t="inlineStr">
        <is>
          <t>1</t>
        </is>
      </c>
      <c r="C33">
        <f>VLOOKUP(VALUE(Table5[[#This Row],[NODE]]),LEAF_INFO!B:H,6,0)</f>
        <v/>
      </c>
      <c r="D33" t="inlineStr">
        <is>
          <t>eth1/10</t>
        </is>
      </c>
      <c r="E33" t="inlineStr">
        <is>
          <t>down</t>
        </is>
      </c>
      <c r="F33" t="inlineStr">
        <is>
          <t>down</t>
        </is>
      </c>
      <c r="G33">
        <f>VLOOKUP(_xlfn.CONCAT(Table5[[#This Row],[NODE]],Table5[[#This Row],[PORT]]),PORTS_!A:G,7,0)</f>
        <v/>
      </c>
      <c r="H33" t="inlineStr"/>
      <c r="I33">
        <f>VLOOKUP(VALUE(Table5[[#This Row],[NODE]]),LEAF_INFO!B:H,7,0)</f>
        <v/>
      </c>
      <c r="J33">
        <f>ISNUMBER(SEARCH("vpc-leaf", SUBSTITUTE(LOWER(K33), "_", "-")))</f>
        <v/>
      </c>
      <c r="K33">
        <f>_xlfn.IFNA(VLOOKUP(VALUE(Table5[[#This Row],[NODE]]), VPC!A:A, 2, 0), "No está en VPC")</f>
        <v/>
      </c>
      <c r="L33">
        <f>IF(OR(ISNUMBER(SEARCH("VPC-Leaf", K33)), ISNUMBER(SEARCH("VPC_Leaf", K33))),SUBSTITUTE(SUBSTITUTE(SUBSTITUTE(K33, "VPC-Leaf", ""), "VPC_Leaf", ""), "_", "-"),A33)</f>
        <v/>
      </c>
      <c r="M33">
        <f>_xlfn.IFNA(VLOOKUP(_xlfn.CONCAT(VALUE(Table5[[#This Row],[NODE]]),Table5[[#This Row],[PORT]]),PG!C:H,6,0),"NO EXISTE PG")</f>
        <v/>
      </c>
      <c r="N33">
        <f>_xlfn.IFNA(VLOOKUP(_xlfn.CONCAT(VALUE(Table5[[#This Row],[NODE]]),Table5[[#This Row],[PORT]]),PG!C:H,4,0),"NO EXISTE ISEL")</f>
        <v/>
      </c>
      <c r="O33">
        <f>COUNTIF(Statics!G:G,Table5[[#This Row],[PG]])+COUNTIF(Statics!H:H,_xlfn.CONCAT((Table5[[#This Row],[NODE]]),Table5[[#This Row],[PORT]]))</f>
        <v/>
      </c>
      <c r="P33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33">
        <f>COUNTIF(Statics!F:F,Table5[[#This Row],[ID]])+COUNTIF(Statics!F:F,VALUE(Table5[[#This Row],[NODE]]))</f>
        <v/>
      </c>
    </row>
    <row r="34">
      <c r="A34" t="inlineStr">
        <is>
          <t>101</t>
        </is>
      </c>
      <c r="B34" t="inlineStr">
        <is>
          <t>1</t>
        </is>
      </c>
      <c r="C34">
        <f>VLOOKUP(VALUE(Table5[[#This Row],[NODE]]),LEAF_INFO!B:H,6,0)</f>
        <v/>
      </c>
      <c r="D34" t="inlineStr">
        <is>
          <t>eth1/11</t>
        </is>
      </c>
      <c r="E34" t="inlineStr">
        <is>
          <t>up</t>
        </is>
      </c>
      <c r="F34" t="inlineStr">
        <is>
          <t>up</t>
        </is>
      </c>
      <c r="G34">
        <f>VLOOKUP(_xlfn.CONCAT(Table5[[#This Row],[NODE]],Table5[[#This Row],[PORT]]),PORTS_!A:G,7,0)</f>
        <v/>
      </c>
      <c r="H34" t="inlineStr">
        <is>
          <t>To_PTMP-UG0-1112-0066</t>
        </is>
      </c>
      <c r="I34">
        <f>VLOOKUP(VALUE(Table5[[#This Row],[NODE]]),LEAF_INFO!B:H,7,0)</f>
        <v/>
      </c>
      <c r="J34">
        <f>ISNUMBER(SEARCH("vpc-leaf", SUBSTITUTE(LOWER(K34), "_", "-")))</f>
        <v/>
      </c>
      <c r="K34">
        <f>_xlfn.IFNA(VLOOKUP(VALUE(Table5[[#This Row],[NODE]]), VPC!A:A, 2, 0), "No está en VPC")</f>
        <v/>
      </c>
      <c r="L34">
        <f>IF(OR(ISNUMBER(SEARCH("VPC-Leaf", K34)), ISNUMBER(SEARCH("VPC_Leaf", K34))),SUBSTITUTE(SUBSTITUTE(SUBSTITUTE(K34, "VPC-Leaf", ""), "VPC_Leaf", ""), "_", "-"),A34)</f>
        <v/>
      </c>
      <c r="M34">
        <f>_xlfn.IFNA(VLOOKUP(_xlfn.CONCAT(VALUE(Table5[[#This Row],[NODE]]),Table5[[#This Row],[PORT]]),PG!C:H,6,0),"NO EXISTE PG")</f>
        <v/>
      </c>
      <c r="N34">
        <f>_xlfn.IFNA(VLOOKUP(_xlfn.CONCAT(VALUE(Table5[[#This Row],[NODE]]),Table5[[#This Row],[PORT]]),PG!C:H,4,0),"NO EXISTE ISEL")</f>
        <v/>
      </c>
      <c r="O34">
        <f>COUNTIF(Statics!G:G,Table5[[#This Row],[PG]])+COUNTIF(Statics!H:H,_xlfn.CONCAT((Table5[[#This Row],[NODE]]),Table5[[#This Row],[PORT]]))</f>
        <v/>
      </c>
      <c r="P34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34">
        <f>COUNTIF(Statics!F:F,Table5[[#This Row],[ID]])+COUNTIF(Statics!F:F,VALUE(Table5[[#This Row],[NODE]]))</f>
        <v/>
      </c>
    </row>
    <row r="35">
      <c r="A35" t="inlineStr">
        <is>
          <t>101</t>
        </is>
      </c>
      <c r="B35" t="inlineStr">
        <is>
          <t>1</t>
        </is>
      </c>
      <c r="C35">
        <f>VLOOKUP(VALUE(Table5[[#This Row],[NODE]]),LEAF_INFO!B:H,6,0)</f>
        <v/>
      </c>
      <c r="D35" t="inlineStr">
        <is>
          <t>eth1/12</t>
        </is>
      </c>
      <c r="E35" t="inlineStr">
        <is>
          <t>up</t>
        </is>
      </c>
      <c r="F35" t="inlineStr">
        <is>
          <t>up</t>
        </is>
      </c>
      <c r="G35">
        <f>VLOOKUP(_xlfn.CONCAT(Table5[[#This Row],[NODE]],Table5[[#This Row],[PORT]]),PORTS_!A:G,7,0)</f>
        <v/>
      </c>
      <c r="H35" t="inlineStr">
        <is>
          <t>LINK_HACIA_To_PTMP-UG0-1112-0140</t>
        </is>
      </c>
      <c r="I35">
        <f>VLOOKUP(VALUE(Table5[[#This Row],[NODE]]),LEAF_INFO!B:H,7,0)</f>
        <v/>
      </c>
      <c r="J35">
        <f>ISNUMBER(SEARCH("vpc-leaf", SUBSTITUTE(LOWER(K35), "_", "-")))</f>
        <v/>
      </c>
      <c r="K35">
        <f>_xlfn.IFNA(VLOOKUP(VALUE(Table5[[#This Row],[NODE]]), VPC!A:A, 2, 0), "No está en VPC")</f>
        <v/>
      </c>
      <c r="L35">
        <f>IF(OR(ISNUMBER(SEARCH("VPC-Leaf", K35)), ISNUMBER(SEARCH("VPC_Leaf", K35))),SUBSTITUTE(SUBSTITUTE(SUBSTITUTE(K35, "VPC-Leaf", ""), "VPC_Leaf", ""), "_", "-"),A35)</f>
        <v/>
      </c>
      <c r="M35">
        <f>_xlfn.IFNA(VLOOKUP(_xlfn.CONCAT(VALUE(Table5[[#This Row],[NODE]]),Table5[[#This Row],[PORT]]),PG!C:H,6,0),"NO EXISTE PG")</f>
        <v/>
      </c>
      <c r="N35">
        <f>_xlfn.IFNA(VLOOKUP(_xlfn.CONCAT(VALUE(Table5[[#This Row],[NODE]]),Table5[[#This Row],[PORT]]),PG!C:H,4,0),"NO EXISTE ISEL")</f>
        <v/>
      </c>
      <c r="O35">
        <f>COUNTIF(Statics!G:G,Table5[[#This Row],[PG]])+COUNTIF(Statics!H:H,_xlfn.CONCAT((Table5[[#This Row],[NODE]]),Table5[[#This Row],[PORT]]))</f>
        <v/>
      </c>
      <c r="P35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35">
        <f>COUNTIF(Statics!F:F,Table5[[#This Row],[ID]])+COUNTIF(Statics!F:F,VALUE(Table5[[#This Row],[NODE]]))</f>
        <v/>
      </c>
    </row>
    <row r="36">
      <c r="A36" t="inlineStr">
        <is>
          <t>101</t>
        </is>
      </c>
      <c r="B36" t="inlineStr">
        <is>
          <t>1</t>
        </is>
      </c>
      <c r="C36">
        <f>VLOOKUP(VALUE(Table5[[#This Row],[NODE]]),LEAF_INFO!B:H,6,0)</f>
        <v/>
      </c>
      <c r="D36" t="inlineStr">
        <is>
          <t>eth1/13</t>
        </is>
      </c>
      <c r="E36" t="inlineStr">
        <is>
          <t>up</t>
        </is>
      </c>
      <c r="F36" t="inlineStr">
        <is>
          <t>up</t>
        </is>
      </c>
      <c r="G36">
        <f>VLOOKUP(_xlfn.CONCAT(Table5[[#This Row],[NODE]],Table5[[#This Row],[PORT]]),PORTS_!A:G,7,0)</f>
        <v/>
      </c>
      <c r="H36" t="inlineStr">
        <is>
          <t>To_EVO1_INGEV1</t>
        </is>
      </c>
      <c r="I36">
        <f>VLOOKUP(VALUE(Table5[[#This Row],[NODE]]),LEAF_INFO!B:H,7,0)</f>
        <v/>
      </c>
      <c r="J36">
        <f>ISNUMBER(SEARCH("vpc-leaf", SUBSTITUTE(LOWER(K36), "_", "-")))</f>
        <v/>
      </c>
      <c r="K36">
        <f>_xlfn.IFNA(VLOOKUP(VALUE(Table5[[#This Row],[NODE]]), VPC!A:A, 2, 0), "No está en VPC")</f>
        <v/>
      </c>
      <c r="L36">
        <f>IF(OR(ISNUMBER(SEARCH("VPC-Leaf", K36)), ISNUMBER(SEARCH("VPC_Leaf", K36))),SUBSTITUTE(SUBSTITUTE(SUBSTITUTE(K36, "VPC-Leaf", ""), "VPC_Leaf", ""), "_", "-"),A36)</f>
        <v/>
      </c>
      <c r="M36">
        <f>_xlfn.IFNA(VLOOKUP(_xlfn.CONCAT(VALUE(Table5[[#This Row],[NODE]]),Table5[[#This Row],[PORT]]),PG!C:H,6,0),"NO EXISTE PG")</f>
        <v/>
      </c>
      <c r="N36">
        <f>_xlfn.IFNA(VLOOKUP(_xlfn.CONCAT(VALUE(Table5[[#This Row],[NODE]]),Table5[[#This Row],[PORT]]),PG!C:H,4,0),"NO EXISTE ISEL")</f>
        <v/>
      </c>
      <c r="O36">
        <f>COUNTIF(Statics!G:G,Table5[[#This Row],[PG]])+COUNTIF(Statics!H:H,_xlfn.CONCAT((Table5[[#This Row],[NODE]]),Table5[[#This Row],[PORT]]))</f>
        <v/>
      </c>
      <c r="P36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36">
        <f>COUNTIF(Statics!F:F,Table5[[#This Row],[ID]])+COUNTIF(Statics!F:F,VALUE(Table5[[#This Row],[NODE]]))</f>
        <v/>
      </c>
    </row>
    <row r="37">
      <c r="A37" t="inlineStr">
        <is>
          <t>101</t>
        </is>
      </c>
      <c r="B37" t="inlineStr">
        <is>
          <t>1</t>
        </is>
      </c>
      <c r="C37">
        <f>VLOOKUP(VALUE(Table5[[#This Row],[NODE]]),LEAF_INFO!B:H,6,0)</f>
        <v/>
      </c>
      <c r="D37" t="inlineStr">
        <is>
          <t>eth1/14</t>
        </is>
      </c>
      <c r="E37" t="inlineStr">
        <is>
          <t>up</t>
        </is>
      </c>
      <c r="F37" t="inlineStr">
        <is>
          <t>up</t>
        </is>
      </c>
      <c r="G37">
        <f>VLOOKUP(_xlfn.CONCAT(Table5[[#This Row],[NODE]],Table5[[#This Row],[PORT]]),PORTS_!A:G,7,0)</f>
        <v/>
      </c>
      <c r="H37" t="inlineStr">
        <is>
          <t>Hacia NR 5G INGENIEROS</t>
        </is>
      </c>
      <c r="I37">
        <f>VLOOKUP(VALUE(Table5[[#This Row],[NODE]]),LEAF_INFO!B:H,7,0)</f>
        <v/>
      </c>
      <c r="J37">
        <f>ISNUMBER(SEARCH("vpc-leaf", SUBSTITUTE(LOWER(K37), "_", "-")))</f>
        <v/>
      </c>
      <c r="K37">
        <f>_xlfn.IFNA(VLOOKUP(VALUE(Table5[[#This Row],[NODE]]), VPC!A:A, 2, 0), "No está en VPC")</f>
        <v/>
      </c>
      <c r="L37">
        <f>IF(OR(ISNUMBER(SEARCH("VPC-Leaf", K37)), ISNUMBER(SEARCH("VPC_Leaf", K37))),SUBSTITUTE(SUBSTITUTE(SUBSTITUTE(K37, "VPC-Leaf", ""), "VPC_Leaf", ""), "_", "-"),A37)</f>
        <v/>
      </c>
      <c r="M37">
        <f>_xlfn.IFNA(VLOOKUP(_xlfn.CONCAT(VALUE(Table5[[#This Row],[NODE]]),Table5[[#This Row],[PORT]]),PG!C:H,6,0),"NO EXISTE PG")</f>
        <v/>
      </c>
      <c r="N37">
        <f>_xlfn.IFNA(VLOOKUP(_xlfn.CONCAT(VALUE(Table5[[#This Row],[NODE]]),Table5[[#This Row],[PORT]]),PG!C:H,4,0),"NO EXISTE ISEL")</f>
        <v/>
      </c>
      <c r="O37">
        <f>COUNTIF(Statics!G:G,Table5[[#This Row],[PG]])+COUNTIF(Statics!H:H,_xlfn.CONCAT((Table5[[#This Row],[NODE]]),Table5[[#This Row],[PORT]]))</f>
        <v/>
      </c>
      <c r="P37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37">
        <f>COUNTIF(Statics!F:F,Table5[[#This Row],[ID]])+COUNTIF(Statics!F:F,VALUE(Table5[[#This Row],[NODE]]))</f>
        <v/>
      </c>
    </row>
    <row r="38">
      <c r="A38" t="inlineStr">
        <is>
          <t>101</t>
        </is>
      </c>
      <c r="B38" t="inlineStr">
        <is>
          <t>1</t>
        </is>
      </c>
      <c r="C38">
        <f>VLOOKUP(VALUE(Table5[[#This Row],[NODE]]),LEAF_INFO!B:H,6,0)</f>
        <v/>
      </c>
      <c r="D38" t="inlineStr">
        <is>
          <t>eth1/15</t>
        </is>
      </c>
      <c r="E38" t="inlineStr">
        <is>
          <t>down</t>
        </is>
      </c>
      <c r="F38" t="inlineStr">
        <is>
          <t>down</t>
        </is>
      </c>
      <c r="G38">
        <f>VLOOKUP(_xlfn.CONCAT(Table5[[#This Row],[NODE]],Table5[[#This Row],[PORT]]),PORTS_!A:G,7,0)</f>
        <v/>
      </c>
      <c r="H38" t="inlineStr"/>
      <c r="I38">
        <f>VLOOKUP(VALUE(Table5[[#This Row],[NODE]]),LEAF_INFO!B:H,7,0)</f>
        <v/>
      </c>
      <c r="J38">
        <f>ISNUMBER(SEARCH("vpc-leaf", SUBSTITUTE(LOWER(K38), "_", "-")))</f>
        <v/>
      </c>
      <c r="K38">
        <f>_xlfn.IFNA(VLOOKUP(VALUE(Table5[[#This Row],[NODE]]), VPC!A:A, 2, 0), "No está en VPC")</f>
        <v/>
      </c>
      <c r="L38">
        <f>IF(OR(ISNUMBER(SEARCH("VPC-Leaf", K38)), ISNUMBER(SEARCH("VPC_Leaf", K38))),SUBSTITUTE(SUBSTITUTE(SUBSTITUTE(K38, "VPC-Leaf", ""), "VPC_Leaf", ""), "_", "-"),A38)</f>
        <v/>
      </c>
      <c r="M38">
        <f>_xlfn.IFNA(VLOOKUP(_xlfn.CONCAT(VALUE(Table5[[#This Row],[NODE]]),Table5[[#This Row],[PORT]]),PG!C:H,6,0),"NO EXISTE PG")</f>
        <v/>
      </c>
      <c r="N38">
        <f>_xlfn.IFNA(VLOOKUP(_xlfn.CONCAT(VALUE(Table5[[#This Row],[NODE]]),Table5[[#This Row],[PORT]]),PG!C:H,4,0),"NO EXISTE ISEL")</f>
        <v/>
      </c>
      <c r="O38">
        <f>COUNTIF(Statics!G:G,Table5[[#This Row],[PG]])+COUNTIF(Statics!H:H,_xlfn.CONCAT((Table5[[#This Row],[NODE]]),Table5[[#This Row],[PORT]]))</f>
        <v/>
      </c>
      <c r="P38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38">
        <f>COUNTIF(Statics!F:F,Table5[[#This Row],[ID]])+COUNTIF(Statics!F:F,VALUE(Table5[[#This Row],[NODE]]))</f>
        <v/>
      </c>
    </row>
    <row r="39">
      <c r="A39" t="inlineStr">
        <is>
          <t>101</t>
        </is>
      </c>
      <c r="B39" t="inlineStr">
        <is>
          <t>1</t>
        </is>
      </c>
      <c r="C39">
        <f>VLOOKUP(VALUE(Table5[[#This Row],[NODE]]),LEAF_INFO!B:H,6,0)</f>
        <v/>
      </c>
      <c r="D39" t="inlineStr">
        <is>
          <t>eth1/16</t>
        </is>
      </c>
      <c r="E39" t="inlineStr">
        <is>
          <t>down</t>
        </is>
      </c>
      <c r="F39" t="inlineStr">
        <is>
          <t>down</t>
        </is>
      </c>
      <c r="G39">
        <f>VLOOKUP(_xlfn.CONCAT(Table5[[#This Row],[NODE]],Table5[[#This Row],[PORT]]),PORTS_!A:G,7,0)</f>
        <v/>
      </c>
      <c r="H39" t="inlineStr"/>
      <c r="I39">
        <f>VLOOKUP(VALUE(Table5[[#This Row],[NODE]]),LEAF_INFO!B:H,7,0)</f>
        <v/>
      </c>
      <c r="J39">
        <f>ISNUMBER(SEARCH("vpc-leaf", SUBSTITUTE(LOWER(K39), "_", "-")))</f>
        <v/>
      </c>
      <c r="K39">
        <f>_xlfn.IFNA(VLOOKUP(VALUE(Table5[[#This Row],[NODE]]), VPC!A:A, 2, 0), "No está en VPC")</f>
        <v/>
      </c>
      <c r="L39">
        <f>IF(OR(ISNUMBER(SEARCH("VPC-Leaf", K39)), ISNUMBER(SEARCH("VPC_Leaf", K39))),SUBSTITUTE(SUBSTITUTE(SUBSTITUTE(K39, "VPC-Leaf", ""), "VPC_Leaf", ""), "_", "-"),A39)</f>
        <v/>
      </c>
      <c r="M39">
        <f>_xlfn.IFNA(VLOOKUP(_xlfn.CONCAT(VALUE(Table5[[#This Row],[NODE]]),Table5[[#This Row],[PORT]]),PG!C:H,6,0),"NO EXISTE PG")</f>
        <v/>
      </c>
      <c r="N39">
        <f>_xlfn.IFNA(VLOOKUP(_xlfn.CONCAT(VALUE(Table5[[#This Row],[NODE]]),Table5[[#This Row],[PORT]]),PG!C:H,4,0),"NO EXISTE ISEL")</f>
        <v/>
      </c>
      <c r="O39">
        <f>COUNTIF(Statics!G:G,Table5[[#This Row],[PG]])+COUNTIF(Statics!H:H,_xlfn.CONCAT((Table5[[#This Row],[NODE]]),Table5[[#This Row],[PORT]]))</f>
        <v/>
      </c>
      <c r="P39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39">
        <f>COUNTIF(Statics!F:F,Table5[[#This Row],[ID]])+COUNTIF(Statics!F:F,VALUE(Table5[[#This Row],[NODE]]))</f>
        <v/>
      </c>
    </row>
    <row r="40">
      <c r="A40" t="inlineStr">
        <is>
          <t>101</t>
        </is>
      </c>
      <c r="B40" t="inlineStr">
        <is>
          <t>1</t>
        </is>
      </c>
      <c r="C40">
        <f>VLOOKUP(VALUE(Table5[[#This Row],[NODE]]),LEAF_INFO!B:H,6,0)</f>
        <v/>
      </c>
      <c r="D40" t="inlineStr">
        <is>
          <t>eth1/17</t>
        </is>
      </c>
      <c r="E40" t="inlineStr">
        <is>
          <t>down</t>
        </is>
      </c>
      <c r="F40" t="inlineStr">
        <is>
          <t>down</t>
        </is>
      </c>
      <c r="G40">
        <f>VLOOKUP(_xlfn.CONCAT(Table5[[#This Row],[NODE]],Table5[[#This Row],[PORT]]),PORTS_!A:G,7,0)</f>
        <v/>
      </c>
      <c r="H40" t="inlineStr"/>
      <c r="I40">
        <f>VLOOKUP(VALUE(Table5[[#This Row],[NODE]]),LEAF_INFO!B:H,7,0)</f>
        <v/>
      </c>
      <c r="J40">
        <f>ISNUMBER(SEARCH("vpc-leaf", SUBSTITUTE(LOWER(K40), "_", "-")))</f>
        <v/>
      </c>
      <c r="K40">
        <f>_xlfn.IFNA(VLOOKUP(VALUE(Table5[[#This Row],[NODE]]), VPC!A:A, 2, 0), "No está en VPC")</f>
        <v/>
      </c>
      <c r="L40">
        <f>IF(OR(ISNUMBER(SEARCH("VPC-Leaf", K40)), ISNUMBER(SEARCH("VPC_Leaf", K40))),SUBSTITUTE(SUBSTITUTE(SUBSTITUTE(K40, "VPC-Leaf", ""), "VPC_Leaf", ""), "_", "-"),A40)</f>
        <v/>
      </c>
      <c r="M40">
        <f>_xlfn.IFNA(VLOOKUP(_xlfn.CONCAT(VALUE(Table5[[#This Row],[NODE]]),Table5[[#This Row],[PORT]]),PG!C:H,6,0),"NO EXISTE PG")</f>
        <v/>
      </c>
      <c r="N40">
        <f>_xlfn.IFNA(VLOOKUP(_xlfn.CONCAT(VALUE(Table5[[#This Row],[NODE]]),Table5[[#This Row],[PORT]]),PG!C:H,4,0),"NO EXISTE ISEL")</f>
        <v/>
      </c>
      <c r="O40">
        <f>COUNTIF(Statics!G:G,Table5[[#This Row],[PG]])+COUNTIF(Statics!H:H,_xlfn.CONCAT((Table5[[#This Row],[NODE]]),Table5[[#This Row],[PORT]]))</f>
        <v/>
      </c>
      <c r="P40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40">
        <f>COUNTIF(Statics!F:F,Table5[[#This Row],[ID]])+COUNTIF(Statics!F:F,VALUE(Table5[[#This Row],[NODE]]))</f>
        <v/>
      </c>
    </row>
    <row r="41">
      <c r="A41" t="inlineStr">
        <is>
          <t>101</t>
        </is>
      </c>
      <c r="B41" t="inlineStr">
        <is>
          <t>1</t>
        </is>
      </c>
      <c r="C41">
        <f>VLOOKUP(VALUE(Table5[[#This Row],[NODE]]),LEAF_INFO!B:H,6,0)</f>
        <v/>
      </c>
      <c r="D41" t="inlineStr">
        <is>
          <t>eth1/18</t>
        </is>
      </c>
      <c r="E41" t="inlineStr">
        <is>
          <t>down</t>
        </is>
      </c>
      <c r="F41" t="inlineStr">
        <is>
          <t>down</t>
        </is>
      </c>
      <c r="G41">
        <f>VLOOKUP(_xlfn.CONCAT(Table5[[#This Row],[NODE]],Table5[[#This Row],[PORT]]),PORTS_!A:G,7,0)</f>
        <v/>
      </c>
      <c r="H41" t="inlineStr"/>
      <c r="I41">
        <f>VLOOKUP(VALUE(Table5[[#This Row],[NODE]]),LEAF_INFO!B:H,7,0)</f>
        <v/>
      </c>
      <c r="J41">
        <f>ISNUMBER(SEARCH("vpc-leaf", SUBSTITUTE(LOWER(K41), "_", "-")))</f>
        <v/>
      </c>
      <c r="K41">
        <f>_xlfn.IFNA(VLOOKUP(VALUE(Table5[[#This Row],[NODE]]), VPC!A:A, 2, 0), "No está en VPC")</f>
        <v/>
      </c>
      <c r="L41">
        <f>IF(OR(ISNUMBER(SEARCH("VPC-Leaf", K41)), ISNUMBER(SEARCH("VPC_Leaf", K41))),SUBSTITUTE(SUBSTITUTE(SUBSTITUTE(K41, "VPC-Leaf", ""), "VPC_Leaf", ""), "_", "-"),A41)</f>
        <v/>
      </c>
      <c r="M41">
        <f>_xlfn.IFNA(VLOOKUP(_xlfn.CONCAT(VALUE(Table5[[#This Row],[NODE]]),Table5[[#This Row],[PORT]]),PG!C:H,6,0),"NO EXISTE PG")</f>
        <v/>
      </c>
      <c r="N41">
        <f>_xlfn.IFNA(VLOOKUP(_xlfn.CONCAT(VALUE(Table5[[#This Row],[NODE]]),Table5[[#This Row],[PORT]]),PG!C:H,4,0),"NO EXISTE ISEL")</f>
        <v/>
      </c>
      <c r="O41">
        <f>COUNTIF(Statics!G:G,Table5[[#This Row],[PG]])+COUNTIF(Statics!H:H,_xlfn.CONCAT((Table5[[#This Row],[NODE]]),Table5[[#This Row],[PORT]]))</f>
        <v/>
      </c>
      <c r="P41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41">
        <f>COUNTIF(Statics!F:F,Table5[[#This Row],[ID]])+COUNTIF(Statics!F:F,VALUE(Table5[[#This Row],[NODE]]))</f>
        <v/>
      </c>
    </row>
    <row r="42">
      <c r="A42" t="inlineStr">
        <is>
          <t>101</t>
        </is>
      </c>
      <c r="B42" t="inlineStr">
        <is>
          <t>1</t>
        </is>
      </c>
      <c r="C42">
        <f>VLOOKUP(VALUE(Table5[[#This Row],[NODE]]),LEAF_INFO!B:H,6,0)</f>
        <v/>
      </c>
      <c r="D42" t="inlineStr">
        <is>
          <t>eth1/19</t>
        </is>
      </c>
      <c r="E42" t="inlineStr">
        <is>
          <t>down</t>
        </is>
      </c>
      <c r="F42" t="inlineStr">
        <is>
          <t>down</t>
        </is>
      </c>
      <c r="G42">
        <f>VLOOKUP(_xlfn.CONCAT(Table5[[#This Row],[NODE]],Table5[[#This Row],[PORT]]),PORTS_!A:G,7,0)</f>
        <v/>
      </c>
      <c r="H42" t="inlineStr"/>
      <c r="I42">
        <f>VLOOKUP(VALUE(Table5[[#This Row],[NODE]]),LEAF_INFO!B:H,7,0)</f>
        <v/>
      </c>
      <c r="J42">
        <f>ISNUMBER(SEARCH("vpc-leaf", SUBSTITUTE(LOWER(K42), "_", "-")))</f>
        <v/>
      </c>
      <c r="K42">
        <f>_xlfn.IFNA(VLOOKUP(VALUE(Table5[[#This Row],[NODE]]), VPC!A:A, 2, 0), "No está en VPC")</f>
        <v/>
      </c>
      <c r="L42">
        <f>IF(OR(ISNUMBER(SEARCH("VPC-Leaf", K42)), ISNUMBER(SEARCH("VPC_Leaf", K42))),SUBSTITUTE(SUBSTITUTE(SUBSTITUTE(K42, "VPC-Leaf", ""), "VPC_Leaf", ""), "_", "-"),A42)</f>
        <v/>
      </c>
      <c r="M42">
        <f>_xlfn.IFNA(VLOOKUP(_xlfn.CONCAT(VALUE(Table5[[#This Row],[NODE]]),Table5[[#This Row],[PORT]]),PG!C:H,6,0),"NO EXISTE PG")</f>
        <v/>
      </c>
      <c r="N42">
        <f>_xlfn.IFNA(VLOOKUP(_xlfn.CONCAT(VALUE(Table5[[#This Row],[NODE]]),Table5[[#This Row],[PORT]]),PG!C:H,4,0),"NO EXISTE ISEL")</f>
        <v/>
      </c>
      <c r="O42">
        <f>COUNTIF(Statics!G:G,Table5[[#This Row],[PG]])+COUNTIF(Statics!H:H,_xlfn.CONCAT((Table5[[#This Row],[NODE]]),Table5[[#This Row],[PORT]]))</f>
        <v/>
      </c>
      <c r="P42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42">
        <f>COUNTIF(Statics!F:F,Table5[[#This Row],[ID]])+COUNTIF(Statics!F:F,VALUE(Table5[[#This Row],[NODE]]))</f>
        <v/>
      </c>
    </row>
    <row r="43">
      <c r="A43" t="inlineStr">
        <is>
          <t>101</t>
        </is>
      </c>
      <c r="B43" t="inlineStr">
        <is>
          <t>1</t>
        </is>
      </c>
      <c r="C43">
        <f>VLOOKUP(VALUE(Table5[[#This Row],[NODE]]),LEAF_INFO!B:H,6,0)</f>
        <v/>
      </c>
      <c r="D43" t="inlineStr">
        <is>
          <t>eth1/20</t>
        </is>
      </c>
      <c r="E43" t="inlineStr">
        <is>
          <t>down</t>
        </is>
      </c>
      <c r="F43" t="inlineStr">
        <is>
          <t>down</t>
        </is>
      </c>
      <c r="G43">
        <f>VLOOKUP(_xlfn.CONCAT(Table5[[#This Row],[NODE]],Table5[[#This Row],[PORT]]),PORTS_!A:G,7,0)</f>
        <v/>
      </c>
      <c r="H43" t="inlineStr"/>
      <c r="I43">
        <f>VLOOKUP(VALUE(Table5[[#This Row],[NODE]]),LEAF_INFO!B:H,7,0)</f>
        <v/>
      </c>
      <c r="J43">
        <f>ISNUMBER(SEARCH("vpc-leaf", SUBSTITUTE(LOWER(K43), "_", "-")))</f>
        <v/>
      </c>
      <c r="K43">
        <f>_xlfn.IFNA(VLOOKUP(VALUE(Table5[[#This Row],[NODE]]), VPC!A:A, 2, 0), "No está en VPC")</f>
        <v/>
      </c>
      <c r="L43">
        <f>IF(OR(ISNUMBER(SEARCH("VPC-Leaf", K43)), ISNUMBER(SEARCH("VPC_Leaf", K43))),SUBSTITUTE(SUBSTITUTE(SUBSTITUTE(K43, "VPC-Leaf", ""), "VPC_Leaf", ""), "_", "-"),A43)</f>
        <v/>
      </c>
      <c r="M43">
        <f>_xlfn.IFNA(VLOOKUP(_xlfn.CONCAT(VALUE(Table5[[#This Row],[NODE]]),Table5[[#This Row],[PORT]]),PG!C:H,6,0),"NO EXISTE PG")</f>
        <v/>
      </c>
      <c r="N43">
        <f>_xlfn.IFNA(VLOOKUP(_xlfn.CONCAT(VALUE(Table5[[#This Row],[NODE]]),Table5[[#This Row],[PORT]]),PG!C:H,4,0),"NO EXISTE ISEL")</f>
        <v/>
      </c>
      <c r="O43">
        <f>COUNTIF(Statics!G:G,Table5[[#This Row],[PG]])+COUNTIF(Statics!H:H,_xlfn.CONCAT((Table5[[#This Row],[NODE]]),Table5[[#This Row],[PORT]]))</f>
        <v/>
      </c>
      <c r="P43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43">
        <f>COUNTIF(Statics!F:F,Table5[[#This Row],[ID]])+COUNTIF(Statics!F:F,VALUE(Table5[[#This Row],[NODE]]))</f>
        <v/>
      </c>
    </row>
    <row r="44">
      <c r="A44" t="inlineStr">
        <is>
          <t>101</t>
        </is>
      </c>
      <c r="B44" t="inlineStr">
        <is>
          <t>1</t>
        </is>
      </c>
      <c r="C44">
        <f>VLOOKUP(VALUE(Table5[[#This Row],[NODE]]),LEAF_INFO!B:H,6,0)</f>
        <v/>
      </c>
      <c r="D44" t="inlineStr">
        <is>
          <t>eth1/21</t>
        </is>
      </c>
      <c r="E44" t="inlineStr">
        <is>
          <t>down</t>
        </is>
      </c>
      <c r="F44" t="inlineStr">
        <is>
          <t>down</t>
        </is>
      </c>
      <c r="G44">
        <f>VLOOKUP(_xlfn.CONCAT(Table5[[#This Row],[NODE]],Table5[[#This Row],[PORT]]),PORTS_!A:G,7,0)</f>
        <v/>
      </c>
      <c r="H44" t="inlineStr"/>
      <c r="I44">
        <f>VLOOKUP(VALUE(Table5[[#This Row],[NODE]]),LEAF_INFO!B:H,7,0)</f>
        <v/>
      </c>
      <c r="J44">
        <f>ISNUMBER(SEARCH("vpc-leaf", SUBSTITUTE(LOWER(K44), "_", "-")))</f>
        <v/>
      </c>
      <c r="K44">
        <f>_xlfn.IFNA(VLOOKUP(VALUE(Table5[[#This Row],[NODE]]), VPC!A:A, 2, 0), "No está en VPC")</f>
        <v/>
      </c>
      <c r="L44">
        <f>IF(OR(ISNUMBER(SEARCH("VPC-Leaf", K44)), ISNUMBER(SEARCH("VPC_Leaf", K44))),SUBSTITUTE(SUBSTITUTE(SUBSTITUTE(K44, "VPC-Leaf", ""), "VPC_Leaf", ""), "_", "-"),A44)</f>
        <v/>
      </c>
      <c r="M44">
        <f>_xlfn.IFNA(VLOOKUP(_xlfn.CONCAT(VALUE(Table5[[#This Row],[NODE]]),Table5[[#This Row],[PORT]]),PG!C:H,6,0),"NO EXISTE PG")</f>
        <v/>
      </c>
      <c r="N44">
        <f>_xlfn.IFNA(VLOOKUP(_xlfn.CONCAT(VALUE(Table5[[#This Row],[NODE]]),Table5[[#This Row],[PORT]]),PG!C:H,4,0),"NO EXISTE ISEL")</f>
        <v/>
      </c>
      <c r="O44">
        <f>COUNTIF(Statics!G:G,Table5[[#This Row],[PG]])+COUNTIF(Statics!H:H,_xlfn.CONCAT((Table5[[#This Row],[NODE]]),Table5[[#This Row],[PORT]]))</f>
        <v/>
      </c>
      <c r="P44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44">
        <f>COUNTIF(Statics!F:F,Table5[[#This Row],[ID]])+COUNTIF(Statics!F:F,VALUE(Table5[[#This Row],[NODE]]))</f>
        <v/>
      </c>
    </row>
    <row r="45">
      <c r="A45" t="inlineStr">
        <is>
          <t>101</t>
        </is>
      </c>
      <c r="B45" t="inlineStr">
        <is>
          <t>1</t>
        </is>
      </c>
      <c r="C45">
        <f>VLOOKUP(VALUE(Table5[[#This Row],[NODE]]),LEAF_INFO!B:H,6,0)</f>
        <v/>
      </c>
      <c r="D45" t="inlineStr">
        <is>
          <t>eth1/22</t>
        </is>
      </c>
      <c r="E45" t="inlineStr">
        <is>
          <t>down</t>
        </is>
      </c>
      <c r="F45" t="inlineStr">
        <is>
          <t>down</t>
        </is>
      </c>
      <c r="G45">
        <f>VLOOKUP(_xlfn.CONCAT(Table5[[#This Row],[NODE]],Table5[[#This Row],[PORT]]),PORTS_!A:G,7,0)</f>
        <v/>
      </c>
      <c r="H45" t="inlineStr"/>
      <c r="I45">
        <f>VLOOKUP(VALUE(Table5[[#This Row],[NODE]]),LEAF_INFO!B:H,7,0)</f>
        <v/>
      </c>
      <c r="J45">
        <f>ISNUMBER(SEARCH("vpc-leaf", SUBSTITUTE(LOWER(K45), "_", "-")))</f>
        <v/>
      </c>
      <c r="K45">
        <f>_xlfn.IFNA(VLOOKUP(VALUE(Table5[[#This Row],[NODE]]), VPC!A:A, 2, 0), "No está en VPC")</f>
        <v/>
      </c>
      <c r="L45">
        <f>IF(OR(ISNUMBER(SEARCH("VPC-Leaf", K45)), ISNUMBER(SEARCH("VPC_Leaf", K45))),SUBSTITUTE(SUBSTITUTE(SUBSTITUTE(K45, "VPC-Leaf", ""), "VPC_Leaf", ""), "_", "-"),A45)</f>
        <v/>
      </c>
      <c r="M45">
        <f>_xlfn.IFNA(VLOOKUP(_xlfn.CONCAT(VALUE(Table5[[#This Row],[NODE]]),Table5[[#This Row],[PORT]]),PG!C:H,6,0),"NO EXISTE PG")</f>
        <v/>
      </c>
      <c r="N45">
        <f>_xlfn.IFNA(VLOOKUP(_xlfn.CONCAT(VALUE(Table5[[#This Row],[NODE]]),Table5[[#This Row],[PORT]]),PG!C:H,4,0),"NO EXISTE ISEL")</f>
        <v/>
      </c>
      <c r="O45">
        <f>COUNTIF(Statics!G:G,Table5[[#This Row],[PG]])+COUNTIF(Statics!H:H,_xlfn.CONCAT((Table5[[#This Row],[NODE]]),Table5[[#This Row],[PORT]]))</f>
        <v/>
      </c>
      <c r="P45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45">
        <f>COUNTIF(Statics!F:F,Table5[[#This Row],[ID]])+COUNTIF(Statics!F:F,VALUE(Table5[[#This Row],[NODE]]))</f>
        <v/>
      </c>
    </row>
    <row r="46">
      <c r="A46" t="inlineStr">
        <is>
          <t>101</t>
        </is>
      </c>
      <c r="B46" t="inlineStr">
        <is>
          <t>1</t>
        </is>
      </c>
      <c r="C46">
        <f>VLOOKUP(VALUE(Table5[[#This Row],[NODE]]),LEAF_INFO!B:H,6,0)</f>
        <v/>
      </c>
      <c r="D46" t="inlineStr">
        <is>
          <t>eth1/23</t>
        </is>
      </c>
      <c r="E46" t="inlineStr">
        <is>
          <t>down</t>
        </is>
      </c>
      <c r="F46" t="inlineStr">
        <is>
          <t>down</t>
        </is>
      </c>
      <c r="G46">
        <f>VLOOKUP(_xlfn.CONCAT(Table5[[#This Row],[NODE]],Table5[[#This Row],[PORT]]),PORTS_!A:G,7,0)</f>
        <v/>
      </c>
      <c r="H46" t="inlineStr"/>
      <c r="I46">
        <f>VLOOKUP(VALUE(Table5[[#This Row],[NODE]]),LEAF_INFO!B:H,7,0)</f>
        <v/>
      </c>
      <c r="J46">
        <f>ISNUMBER(SEARCH("vpc-leaf", SUBSTITUTE(LOWER(K46), "_", "-")))</f>
        <v/>
      </c>
      <c r="K46">
        <f>_xlfn.IFNA(VLOOKUP(VALUE(Table5[[#This Row],[NODE]]), VPC!A:A, 2, 0), "No está en VPC")</f>
        <v/>
      </c>
      <c r="L46">
        <f>IF(OR(ISNUMBER(SEARCH("VPC-Leaf", K46)), ISNUMBER(SEARCH("VPC_Leaf", K46))),SUBSTITUTE(SUBSTITUTE(SUBSTITUTE(K46, "VPC-Leaf", ""), "VPC_Leaf", ""), "_", "-"),A46)</f>
        <v/>
      </c>
      <c r="M46">
        <f>_xlfn.IFNA(VLOOKUP(_xlfn.CONCAT(VALUE(Table5[[#This Row],[NODE]]),Table5[[#This Row],[PORT]]),PG!C:H,6,0),"NO EXISTE PG")</f>
        <v/>
      </c>
      <c r="N46">
        <f>_xlfn.IFNA(VLOOKUP(_xlfn.CONCAT(VALUE(Table5[[#This Row],[NODE]]),Table5[[#This Row],[PORT]]),PG!C:H,4,0),"NO EXISTE ISEL")</f>
        <v/>
      </c>
      <c r="O46">
        <f>COUNTIF(Statics!G:G,Table5[[#This Row],[PG]])+COUNTIF(Statics!H:H,_xlfn.CONCAT((Table5[[#This Row],[NODE]]),Table5[[#This Row],[PORT]]))</f>
        <v/>
      </c>
      <c r="P46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46">
        <f>COUNTIF(Statics!F:F,Table5[[#This Row],[ID]])+COUNTIF(Statics!F:F,VALUE(Table5[[#This Row],[NODE]]))</f>
        <v/>
      </c>
    </row>
    <row r="47">
      <c r="A47" t="inlineStr">
        <is>
          <t>101</t>
        </is>
      </c>
      <c r="B47" t="inlineStr">
        <is>
          <t>1</t>
        </is>
      </c>
      <c r="C47">
        <f>VLOOKUP(VALUE(Table5[[#This Row],[NODE]]),LEAF_INFO!B:H,6,0)</f>
        <v/>
      </c>
      <c r="D47" t="inlineStr">
        <is>
          <t>eth1/24</t>
        </is>
      </c>
      <c r="E47" t="inlineStr">
        <is>
          <t>down</t>
        </is>
      </c>
      <c r="F47" t="inlineStr">
        <is>
          <t>down</t>
        </is>
      </c>
      <c r="G47">
        <f>VLOOKUP(_xlfn.CONCAT(Table5[[#This Row],[NODE]],Table5[[#This Row],[PORT]]),PORTS_!A:G,7,0)</f>
        <v/>
      </c>
      <c r="H47" t="inlineStr"/>
      <c r="I47">
        <f>VLOOKUP(VALUE(Table5[[#This Row],[NODE]]),LEAF_INFO!B:H,7,0)</f>
        <v/>
      </c>
      <c r="J47">
        <f>ISNUMBER(SEARCH("vpc-leaf", SUBSTITUTE(LOWER(K47), "_", "-")))</f>
        <v/>
      </c>
      <c r="K47">
        <f>_xlfn.IFNA(VLOOKUP(VALUE(Table5[[#This Row],[NODE]]), VPC!A:A, 2, 0), "No está en VPC")</f>
        <v/>
      </c>
      <c r="L47">
        <f>IF(OR(ISNUMBER(SEARCH("VPC-Leaf", K47)), ISNUMBER(SEARCH("VPC_Leaf", K47))),SUBSTITUTE(SUBSTITUTE(SUBSTITUTE(K47, "VPC-Leaf", ""), "VPC_Leaf", ""), "_", "-"),A47)</f>
        <v/>
      </c>
      <c r="M47">
        <f>_xlfn.IFNA(VLOOKUP(_xlfn.CONCAT(VALUE(Table5[[#This Row],[NODE]]),Table5[[#This Row],[PORT]]),PG!C:H,6,0),"NO EXISTE PG")</f>
        <v/>
      </c>
      <c r="N47">
        <f>_xlfn.IFNA(VLOOKUP(_xlfn.CONCAT(VALUE(Table5[[#This Row],[NODE]]),Table5[[#This Row],[PORT]]),PG!C:H,4,0),"NO EXISTE ISEL")</f>
        <v/>
      </c>
      <c r="O47">
        <f>COUNTIF(Statics!G:G,Table5[[#This Row],[PG]])+COUNTIF(Statics!H:H,_xlfn.CONCAT((Table5[[#This Row],[NODE]]),Table5[[#This Row],[PORT]]))</f>
        <v/>
      </c>
      <c r="P47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47">
        <f>COUNTIF(Statics!F:F,Table5[[#This Row],[ID]])+COUNTIF(Statics!F:F,VALUE(Table5[[#This Row],[NODE]]))</f>
        <v/>
      </c>
    </row>
    <row r="48">
      <c r="A48" t="inlineStr">
        <is>
          <t>101</t>
        </is>
      </c>
      <c r="B48" t="inlineStr">
        <is>
          <t>1</t>
        </is>
      </c>
      <c r="C48">
        <f>VLOOKUP(VALUE(Table5[[#This Row],[NODE]]),LEAF_INFO!B:H,6,0)</f>
        <v/>
      </c>
      <c r="D48" t="inlineStr">
        <is>
          <t>eth1/25</t>
        </is>
      </c>
      <c r="E48" t="inlineStr">
        <is>
          <t>down</t>
        </is>
      </c>
      <c r="F48" t="inlineStr">
        <is>
          <t>down</t>
        </is>
      </c>
      <c r="G48">
        <f>VLOOKUP(_xlfn.CONCAT(Table5[[#This Row],[NODE]],Table5[[#This Row],[PORT]]),PORTS_!A:G,7,0)</f>
        <v/>
      </c>
      <c r="H48" t="inlineStr"/>
      <c r="I48">
        <f>VLOOKUP(VALUE(Table5[[#This Row],[NODE]]),LEAF_INFO!B:H,7,0)</f>
        <v/>
      </c>
      <c r="J48">
        <f>ISNUMBER(SEARCH("vpc-leaf", SUBSTITUTE(LOWER(K48), "_", "-")))</f>
        <v/>
      </c>
      <c r="K48">
        <f>_xlfn.IFNA(VLOOKUP(VALUE(Table5[[#This Row],[NODE]]), VPC!A:A, 2, 0), "No está en VPC")</f>
        <v/>
      </c>
      <c r="L48">
        <f>IF(OR(ISNUMBER(SEARCH("VPC-Leaf", K48)), ISNUMBER(SEARCH("VPC_Leaf", K48))),SUBSTITUTE(SUBSTITUTE(SUBSTITUTE(K48, "VPC-Leaf", ""), "VPC_Leaf", ""), "_", "-"),A48)</f>
        <v/>
      </c>
      <c r="M48">
        <f>_xlfn.IFNA(VLOOKUP(_xlfn.CONCAT(VALUE(Table5[[#This Row],[NODE]]),Table5[[#This Row],[PORT]]),PG!C:H,6,0),"NO EXISTE PG")</f>
        <v/>
      </c>
      <c r="N48">
        <f>_xlfn.IFNA(VLOOKUP(_xlfn.CONCAT(VALUE(Table5[[#This Row],[NODE]]),Table5[[#This Row],[PORT]]),PG!C:H,4,0),"NO EXISTE ISEL")</f>
        <v/>
      </c>
      <c r="O48">
        <f>COUNTIF(Statics!G:G,Table5[[#This Row],[PG]])+COUNTIF(Statics!H:H,_xlfn.CONCAT((Table5[[#This Row],[NODE]]),Table5[[#This Row],[PORT]]))</f>
        <v/>
      </c>
      <c r="P48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48">
        <f>COUNTIF(Statics!F:F,Table5[[#This Row],[ID]])+COUNTIF(Statics!F:F,VALUE(Table5[[#This Row],[NODE]]))</f>
        <v/>
      </c>
    </row>
    <row r="49">
      <c r="A49" t="inlineStr">
        <is>
          <t>101</t>
        </is>
      </c>
      <c r="B49" t="inlineStr">
        <is>
          <t>1</t>
        </is>
      </c>
      <c r="C49">
        <f>VLOOKUP(VALUE(Table5[[#This Row],[NODE]]),LEAF_INFO!B:H,6,0)</f>
        <v/>
      </c>
      <c r="D49" t="inlineStr">
        <is>
          <t>eth1/26</t>
        </is>
      </c>
      <c r="E49" t="inlineStr">
        <is>
          <t>down</t>
        </is>
      </c>
      <c r="F49" t="inlineStr">
        <is>
          <t>down</t>
        </is>
      </c>
      <c r="G49">
        <f>VLOOKUP(_xlfn.CONCAT(Table5[[#This Row],[NODE]],Table5[[#This Row],[PORT]]),PORTS_!A:G,7,0)</f>
        <v/>
      </c>
      <c r="H49" t="inlineStr"/>
      <c r="I49">
        <f>VLOOKUP(VALUE(Table5[[#This Row],[NODE]]),LEAF_INFO!B:H,7,0)</f>
        <v/>
      </c>
      <c r="J49">
        <f>ISNUMBER(SEARCH("vpc-leaf", SUBSTITUTE(LOWER(K49), "_", "-")))</f>
        <v/>
      </c>
      <c r="K49">
        <f>_xlfn.IFNA(VLOOKUP(VALUE(Table5[[#This Row],[NODE]]), VPC!A:A, 2, 0), "No está en VPC")</f>
        <v/>
      </c>
      <c r="L49">
        <f>IF(OR(ISNUMBER(SEARCH("VPC-Leaf", K49)), ISNUMBER(SEARCH("VPC_Leaf", K49))),SUBSTITUTE(SUBSTITUTE(SUBSTITUTE(K49, "VPC-Leaf", ""), "VPC_Leaf", ""), "_", "-"),A49)</f>
        <v/>
      </c>
      <c r="M49">
        <f>_xlfn.IFNA(VLOOKUP(_xlfn.CONCAT(VALUE(Table5[[#This Row],[NODE]]),Table5[[#This Row],[PORT]]),PG!C:H,6,0),"NO EXISTE PG")</f>
        <v/>
      </c>
      <c r="N49">
        <f>_xlfn.IFNA(VLOOKUP(_xlfn.CONCAT(VALUE(Table5[[#This Row],[NODE]]),Table5[[#This Row],[PORT]]),PG!C:H,4,0),"NO EXISTE ISEL")</f>
        <v/>
      </c>
      <c r="O49">
        <f>COUNTIF(Statics!G:G,Table5[[#This Row],[PG]])+COUNTIF(Statics!H:H,_xlfn.CONCAT((Table5[[#This Row],[NODE]]),Table5[[#This Row],[PORT]]))</f>
        <v/>
      </c>
      <c r="P49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49">
        <f>COUNTIF(Statics!F:F,Table5[[#This Row],[ID]])+COUNTIF(Statics!F:F,VALUE(Table5[[#This Row],[NODE]]))</f>
        <v/>
      </c>
    </row>
    <row r="50">
      <c r="A50" t="inlineStr">
        <is>
          <t>101</t>
        </is>
      </c>
      <c r="B50" t="inlineStr">
        <is>
          <t>1</t>
        </is>
      </c>
      <c r="C50">
        <f>VLOOKUP(VALUE(Table5[[#This Row],[NODE]]),LEAF_INFO!B:H,6,0)</f>
        <v/>
      </c>
      <c r="D50" t="inlineStr">
        <is>
          <t>eth1/27</t>
        </is>
      </c>
      <c r="E50" t="inlineStr">
        <is>
          <t>down</t>
        </is>
      </c>
      <c r="F50" t="inlineStr">
        <is>
          <t>down</t>
        </is>
      </c>
      <c r="G50">
        <f>VLOOKUP(_xlfn.CONCAT(Table5[[#This Row],[NODE]],Table5[[#This Row],[PORT]]),PORTS_!A:G,7,0)</f>
        <v/>
      </c>
      <c r="H50" t="inlineStr"/>
      <c r="I50">
        <f>VLOOKUP(VALUE(Table5[[#This Row],[NODE]]),LEAF_INFO!B:H,7,0)</f>
        <v/>
      </c>
      <c r="J50">
        <f>ISNUMBER(SEARCH("vpc-leaf", SUBSTITUTE(LOWER(K50), "_", "-")))</f>
        <v/>
      </c>
      <c r="K50">
        <f>_xlfn.IFNA(VLOOKUP(VALUE(Table5[[#This Row],[NODE]]), VPC!A:A, 2, 0), "No está en VPC")</f>
        <v/>
      </c>
      <c r="L50">
        <f>IF(OR(ISNUMBER(SEARCH("VPC-Leaf", K50)), ISNUMBER(SEARCH("VPC_Leaf", K50))),SUBSTITUTE(SUBSTITUTE(SUBSTITUTE(K50, "VPC-Leaf", ""), "VPC_Leaf", ""), "_", "-"),A50)</f>
        <v/>
      </c>
      <c r="M50">
        <f>_xlfn.IFNA(VLOOKUP(_xlfn.CONCAT(VALUE(Table5[[#This Row],[NODE]]),Table5[[#This Row],[PORT]]),PG!C:H,6,0),"NO EXISTE PG")</f>
        <v/>
      </c>
      <c r="N50">
        <f>_xlfn.IFNA(VLOOKUP(_xlfn.CONCAT(VALUE(Table5[[#This Row],[NODE]]),Table5[[#This Row],[PORT]]),PG!C:H,4,0),"NO EXISTE ISEL")</f>
        <v/>
      </c>
      <c r="O50">
        <f>COUNTIF(Statics!G:G,Table5[[#This Row],[PG]])+COUNTIF(Statics!H:H,_xlfn.CONCAT((Table5[[#This Row],[NODE]]),Table5[[#This Row],[PORT]]))</f>
        <v/>
      </c>
      <c r="P50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50">
        <f>COUNTIF(Statics!F:F,Table5[[#This Row],[ID]])+COUNTIF(Statics!F:F,VALUE(Table5[[#This Row],[NODE]]))</f>
        <v/>
      </c>
    </row>
    <row r="51">
      <c r="A51" t="inlineStr">
        <is>
          <t>101</t>
        </is>
      </c>
      <c r="B51" t="inlineStr">
        <is>
          <t>1</t>
        </is>
      </c>
      <c r="C51">
        <f>VLOOKUP(VALUE(Table5[[#This Row],[NODE]]),LEAF_INFO!B:H,6,0)</f>
        <v/>
      </c>
      <c r="D51" t="inlineStr">
        <is>
          <t>eth1/28</t>
        </is>
      </c>
      <c r="E51" t="inlineStr">
        <is>
          <t>down</t>
        </is>
      </c>
      <c r="F51" t="inlineStr">
        <is>
          <t>down</t>
        </is>
      </c>
      <c r="G51">
        <f>VLOOKUP(_xlfn.CONCAT(Table5[[#This Row],[NODE]],Table5[[#This Row],[PORT]]),PORTS_!A:G,7,0)</f>
        <v/>
      </c>
      <c r="H51" t="inlineStr"/>
      <c r="I51">
        <f>VLOOKUP(VALUE(Table5[[#This Row],[NODE]]),LEAF_INFO!B:H,7,0)</f>
        <v/>
      </c>
      <c r="J51">
        <f>ISNUMBER(SEARCH("vpc-leaf", SUBSTITUTE(LOWER(K51), "_", "-")))</f>
        <v/>
      </c>
      <c r="K51">
        <f>_xlfn.IFNA(VLOOKUP(VALUE(Table5[[#This Row],[NODE]]), VPC!A:A, 2, 0), "No está en VPC")</f>
        <v/>
      </c>
      <c r="L51">
        <f>IF(OR(ISNUMBER(SEARCH("VPC-Leaf", K51)), ISNUMBER(SEARCH("VPC_Leaf", K51))),SUBSTITUTE(SUBSTITUTE(SUBSTITUTE(K51, "VPC-Leaf", ""), "VPC_Leaf", ""), "_", "-"),A51)</f>
        <v/>
      </c>
      <c r="M51">
        <f>_xlfn.IFNA(VLOOKUP(_xlfn.CONCAT(VALUE(Table5[[#This Row],[NODE]]),Table5[[#This Row],[PORT]]),PG!C:H,6,0),"NO EXISTE PG")</f>
        <v/>
      </c>
      <c r="N51">
        <f>_xlfn.IFNA(VLOOKUP(_xlfn.CONCAT(VALUE(Table5[[#This Row],[NODE]]),Table5[[#This Row],[PORT]]),PG!C:H,4,0),"NO EXISTE ISEL")</f>
        <v/>
      </c>
      <c r="O51">
        <f>COUNTIF(Statics!G:G,Table5[[#This Row],[PG]])+COUNTIF(Statics!H:H,_xlfn.CONCAT((Table5[[#This Row],[NODE]]),Table5[[#This Row],[PORT]]))</f>
        <v/>
      </c>
      <c r="P51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51">
        <f>COUNTIF(Statics!F:F,Table5[[#This Row],[ID]])+COUNTIF(Statics!F:F,VALUE(Table5[[#This Row],[NODE]]))</f>
        <v/>
      </c>
    </row>
    <row r="52">
      <c r="A52" t="inlineStr">
        <is>
          <t>101</t>
        </is>
      </c>
      <c r="B52" t="inlineStr">
        <is>
          <t>1</t>
        </is>
      </c>
      <c r="C52">
        <f>VLOOKUP(VALUE(Table5[[#This Row],[NODE]]),LEAF_INFO!B:H,6,0)</f>
        <v/>
      </c>
      <c r="D52" t="inlineStr">
        <is>
          <t>eth1/29</t>
        </is>
      </c>
      <c r="E52" t="inlineStr">
        <is>
          <t>down</t>
        </is>
      </c>
      <c r="F52" t="inlineStr">
        <is>
          <t>down</t>
        </is>
      </c>
      <c r="G52">
        <f>VLOOKUP(_xlfn.CONCAT(Table5[[#This Row],[NODE]],Table5[[#This Row],[PORT]]),PORTS_!A:G,7,0)</f>
        <v/>
      </c>
      <c r="H52" t="inlineStr"/>
      <c r="I52">
        <f>VLOOKUP(VALUE(Table5[[#This Row],[NODE]]),LEAF_INFO!B:H,7,0)</f>
        <v/>
      </c>
      <c r="J52">
        <f>ISNUMBER(SEARCH("vpc-leaf", SUBSTITUTE(LOWER(K52), "_", "-")))</f>
        <v/>
      </c>
      <c r="K52">
        <f>_xlfn.IFNA(VLOOKUP(VALUE(Table5[[#This Row],[NODE]]), VPC!A:A, 2, 0), "No está en VPC")</f>
        <v/>
      </c>
      <c r="L52">
        <f>IF(OR(ISNUMBER(SEARCH("VPC-Leaf", K52)), ISNUMBER(SEARCH("VPC_Leaf", K52))),SUBSTITUTE(SUBSTITUTE(SUBSTITUTE(K52, "VPC-Leaf", ""), "VPC_Leaf", ""), "_", "-"),A52)</f>
        <v/>
      </c>
      <c r="M52">
        <f>_xlfn.IFNA(VLOOKUP(_xlfn.CONCAT(VALUE(Table5[[#This Row],[NODE]]),Table5[[#This Row],[PORT]]),PG!C:H,6,0),"NO EXISTE PG")</f>
        <v/>
      </c>
      <c r="N52">
        <f>_xlfn.IFNA(VLOOKUP(_xlfn.CONCAT(VALUE(Table5[[#This Row],[NODE]]),Table5[[#This Row],[PORT]]),PG!C:H,4,0),"NO EXISTE ISEL")</f>
        <v/>
      </c>
      <c r="O52">
        <f>COUNTIF(Statics!G:G,Table5[[#This Row],[PG]])+COUNTIF(Statics!H:H,_xlfn.CONCAT((Table5[[#This Row],[NODE]]),Table5[[#This Row],[PORT]]))</f>
        <v/>
      </c>
      <c r="P52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52">
        <f>COUNTIF(Statics!F:F,Table5[[#This Row],[ID]])+COUNTIF(Statics!F:F,VALUE(Table5[[#This Row],[NODE]]))</f>
        <v/>
      </c>
    </row>
    <row r="53">
      <c r="A53" t="inlineStr">
        <is>
          <t>101</t>
        </is>
      </c>
      <c r="B53" t="inlineStr">
        <is>
          <t>1</t>
        </is>
      </c>
      <c r="C53">
        <f>VLOOKUP(VALUE(Table5[[#This Row],[NODE]]),LEAF_INFO!B:H,6,0)</f>
        <v/>
      </c>
      <c r="D53" t="inlineStr">
        <is>
          <t>eth1/30</t>
        </is>
      </c>
      <c r="E53" t="inlineStr">
        <is>
          <t>down</t>
        </is>
      </c>
      <c r="F53" t="inlineStr">
        <is>
          <t>down</t>
        </is>
      </c>
      <c r="G53">
        <f>VLOOKUP(_xlfn.CONCAT(Table5[[#This Row],[NODE]],Table5[[#This Row],[PORT]]),PORTS_!A:G,7,0)</f>
        <v/>
      </c>
      <c r="H53" t="inlineStr"/>
      <c r="I53">
        <f>VLOOKUP(VALUE(Table5[[#This Row],[NODE]]),LEAF_INFO!B:H,7,0)</f>
        <v/>
      </c>
      <c r="J53">
        <f>ISNUMBER(SEARCH("vpc-leaf", SUBSTITUTE(LOWER(K53), "_", "-")))</f>
        <v/>
      </c>
      <c r="K53">
        <f>_xlfn.IFNA(VLOOKUP(VALUE(Table5[[#This Row],[NODE]]), VPC!A:A, 2, 0), "No está en VPC")</f>
        <v/>
      </c>
      <c r="L53">
        <f>IF(OR(ISNUMBER(SEARCH("VPC-Leaf", K53)), ISNUMBER(SEARCH("VPC_Leaf", K53))),SUBSTITUTE(SUBSTITUTE(SUBSTITUTE(K53, "VPC-Leaf", ""), "VPC_Leaf", ""), "_", "-"),A53)</f>
        <v/>
      </c>
      <c r="M53">
        <f>_xlfn.IFNA(VLOOKUP(_xlfn.CONCAT(VALUE(Table5[[#This Row],[NODE]]),Table5[[#This Row],[PORT]]),PG!C:H,6,0),"NO EXISTE PG")</f>
        <v/>
      </c>
      <c r="N53">
        <f>_xlfn.IFNA(VLOOKUP(_xlfn.CONCAT(VALUE(Table5[[#This Row],[NODE]]),Table5[[#This Row],[PORT]]),PG!C:H,4,0),"NO EXISTE ISEL")</f>
        <v/>
      </c>
      <c r="O53">
        <f>COUNTIF(Statics!G:G,Table5[[#This Row],[PG]])+COUNTIF(Statics!H:H,_xlfn.CONCAT((Table5[[#This Row],[NODE]]),Table5[[#This Row],[PORT]]))</f>
        <v/>
      </c>
      <c r="P53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53">
        <f>COUNTIF(Statics!F:F,Table5[[#This Row],[ID]])+COUNTIF(Statics!F:F,VALUE(Table5[[#This Row],[NODE]]))</f>
        <v/>
      </c>
    </row>
    <row r="54">
      <c r="A54" t="inlineStr">
        <is>
          <t>101</t>
        </is>
      </c>
      <c r="B54" t="inlineStr">
        <is>
          <t>1</t>
        </is>
      </c>
      <c r="C54">
        <f>VLOOKUP(VALUE(Table5[[#This Row],[NODE]]),LEAF_INFO!B:H,6,0)</f>
        <v/>
      </c>
      <c r="D54" t="inlineStr">
        <is>
          <t>eth1/31</t>
        </is>
      </c>
      <c r="E54" t="inlineStr">
        <is>
          <t>down</t>
        </is>
      </c>
      <c r="F54" t="inlineStr">
        <is>
          <t>down</t>
        </is>
      </c>
      <c r="G54">
        <f>VLOOKUP(_xlfn.CONCAT(Table5[[#This Row],[NODE]],Table5[[#This Row],[PORT]]),PORTS_!A:G,7,0)</f>
        <v/>
      </c>
      <c r="H54" t="inlineStr"/>
      <c r="I54">
        <f>VLOOKUP(VALUE(Table5[[#This Row],[NODE]]),LEAF_INFO!B:H,7,0)</f>
        <v/>
      </c>
      <c r="J54">
        <f>ISNUMBER(SEARCH("vpc-leaf", SUBSTITUTE(LOWER(K54), "_", "-")))</f>
        <v/>
      </c>
      <c r="K54">
        <f>_xlfn.IFNA(VLOOKUP(VALUE(Table5[[#This Row],[NODE]]), VPC!A:A, 2, 0), "No está en VPC")</f>
        <v/>
      </c>
      <c r="L54">
        <f>IF(OR(ISNUMBER(SEARCH("VPC-Leaf", K54)), ISNUMBER(SEARCH("VPC_Leaf", K54))),SUBSTITUTE(SUBSTITUTE(SUBSTITUTE(K54, "VPC-Leaf", ""), "VPC_Leaf", ""), "_", "-"),A54)</f>
        <v/>
      </c>
      <c r="M54">
        <f>_xlfn.IFNA(VLOOKUP(_xlfn.CONCAT(VALUE(Table5[[#This Row],[NODE]]),Table5[[#This Row],[PORT]]),PG!C:H,6,0),"NO EXISTE PG")</f>
        <v/>
      </c>
      <c r="N54">
        <f>_xlfn.IFNA(VLOOKUP(_xlfn.CONCAT(VALUE(Table5[[#This Row],[NODE]]),Table5[[#This Row],[PORT]]),PG!C:H,4,0),"NO EXISTE ISEL")</f>
        <v/>
      </c>
      <c r="O54">
        <f>COUNTIF(Statics!G:G,Table5[[#This Row],[PG]])+COUNTIF(Statics!H:H,_xlfn.CONCAT((Table5[[#This Row],[NODE]]),Table5[[#This Row],[PORT]]))</f>
        <v/>
      </c>
      <c r="P54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54">
        <f>COUNTIF(Statics!F:F,Table5[[#This Row],[ID]])+COUNTIF(Statics!F:F,VALUE(Table5[[#This Row],[NODE]]))</f>
        <v/>
      </c>
    </row>
    <row r="55">
      <c r="A55" t="inlineStr">
        <is>
          <t>101</t>
        </is>
      </c>
      <c r="B55" t="inlineStr">
        <is>
          <t>1</t>
        </is>
      </c>
      <c r="C55">
        <f>VLOOKUP(VALUE(Table5[[#This Row],[NODE]]),LEAF_INFO!B:H,6,0)</f>
        <v/>
      </c>
      <c r="D55" t="inlineStr">
        <is>
          <t>eth1/32</t>
        </is>
      </c>
      <c r="E55" t="inlineStr">
        <is>
          <t>down</t>
        </is>
      </c>
      <c r="F55" t="inlineStr">
        <is>
          <t>down</t>
        </is>
      </c>
      <c r="G55">
        <f>VLOOKUP(_xlfn.CONCAT(Table5[[#This Row],[NODE]],Table5[[#This Row],[PORT]]),PORTS_!A:G,7,0)</f>
        <v/>
      </c>
      <c r="H55" t="inlineStr"/>
      <c r="I55">
        <f>VLOOKUP(VALUE(Table5[[#This Row],[NODE]]),LEAF_INFO!B:H,7,0)</f>
        <v/>
      </c>
      <c r="J55">
        <f>ISNUMBER(SEARCH("vpc-leaf", SUBSTITUTE(LOWER(K55), "_", "-")))</f>
        <v/>
      </c>
      <c r="K55">
        <f>_xlfn.IFNA(VLOOKUP(VALUE(Table5[[#This Row],[NODE]]), VPC!A:A, 2, 0), "No está en VPC")</f>
        <v/>
      </c>
      <c r="L55">
        <f>IF(OR(ISNUMBER(SEARCH("VPC-Leaf", K55)), ISNUMBER(SEARCH("VPC_Leaf", K55))),SUBSTITUTE(SUBSTITUTE(SUBSTITUTE(K55, "VPC-Leaf", ""), "VPC_Leaf", ""), "_", "-"),A55)</f>
        <v/>
      </c>
      <c r="M55">
        <f>_xlfn.IFNA(VLOOKUP(_xlfn.CONCAT(VALUE(Table5[[#This Row],[NODE]]),Table5[[#This Row],[PORT]]),PG!C:H,6,0),"NO EXISTE PG")</f>
        <v/>
      </c>
      <c r="N55">
        <f>_xlfn.IFNA(VLOOKUP(_xlfn.CONCAT(VALUE(Table5[[#This Row],[NODE]]),Table5[[#This Row],[PORT]]),PG!C:H,4,0),"NO EXISTE ISEL")</f>
        <v/>
      </c>
      <c r="O55">
        <f>COUNTIF(Statics!G:G,Table5[[#This Row],[PG]])+COUNTIF(Statics!H:H,_xlfn.CONCAT((Table5[[#This Row],[NODE]]),Table5[[#This Row],[PORT]]))</f>
        <v/>
      </c>
      <c r="P55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55">
        <f>COUNTIF(Statics!F:F,Table5[[#This Row],[ID]])+COUNTIF(Statics!F:F,VALUE(Table5[[#This Row],[NODE]]))</f>
        <v/>
      </c>
    </row>
    <row r="56">
      <c r="A56" t="inlineStr">
        <is>
          <t>102</t>
        </is>
      </c>
      <c r="B56" t="inlineStr">
        <is>
          <t>1</t>
        </is>
      </c>
      <c r="C56">
        <f>VLOOKUP(VALUE(Table5[[#This Row],[NODE]]),LEAF_INFO!B:H,6,0)</f>
        <v/>
      </c>
      <c r="D56" t="inlineStr">
        <is>
          <t>eth1/33</t>
        </is>
      </c>
      <c r="E56" t="inlineStr">
        <is>
          <t>down</t>
        </is>
      </c>
      <c r="F56" t="inlineStr">
        <is>
          <t>down</t>
        </is>
      </c>
      <c r="G56">
        <f>VLOOKUP(_xlfn.CONCAT(Table5[[#This Row],[NODE]],Table5[[#This Row],[PORT]]),PORTS_!A:G,7,0)</f>
        <v/>
      </c>
      <c r="H56" t="inlineStr"/>
      <c r="I56">
        <f>VLOOKUP(VALUE(Table5[[#This Row],[NODE]]),LEAF_INFO!B:H,7,0)</f>
        <v/>
      </c>
      <c r="J56">
        <f>ISNUMBER(SEARCH("vpc-leaf", SUBSTITUTE(LOWER(K56), "_", "-")))</f>
        <v/>
      </c>
      <c r="K56">
        <f>_xlfn.IFNA(VLOOKUP(VALUE(Table5[[#This Row],[NODE]]), VPC!A:A, 2, 0), "No está en VPC")</f>
        <v/>
      </c>
      <c r="L56">
        <f>IF(OR(ISNUMBER(SEARCH("VPC-Leaf", K56)), ISNUMBER(SEARCH("VPC_Leaf", K56))),SUBSTITUTE(SUBSTITUTE(SUBSTITUTE(K56, "VPC-Leaf", ""), "VPC_Leaf", ""), "_", "-"),A56)</f>
        <v/>
      </c>
      <c r="M56">
        <f>_xlfn.IFNA(VLOOKUP(_xlfn.CONCAT(VALUE(Table5[[#This Row],[NODE]]),Table5[[#This Row],[PORT]]),PG!C:H,6,0),"NO EXISTE PG")</f>
        <v/>
      </c>
      <c r="N56">
        <f>_xlfn.IFNA(VLOOKUP(_xlfn.CONCAT(VALUE(Table5[[#This Row],[NODE]]),Table5[[#This Row],[PORT]]),PG!C:H,4,0),"NO EXISTE ISEL")</f>
        <v/>
      </c>
      <c r="O56">
        <f>COUNTIF(Statics!G:G,Table5[[#This Row],[PG]])+COUNTIF(Statics!H:H,_xlfn.CONCAT((Table5[[#This Row],[NODE]]),Table5[[#This Row],[PORT]]))</f>
        <v/>
      </c>
      <c r="P56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56">
        <f>COUNTIF(Statics!F:F,Table5[[#This Row],[ID]])+COUNTIF(Statics!F:F,VALUE(Table5[[#This Row],[NODE]]))</f>
        <v/>
      </c>
    </row>
    <row r="57">
      <c r="A57" t="inlineStr">
        <is>
          <t>102</t>
        </is>
      </c>
      <c r="B57" t="inlineStr">
        <is>
          <t>1</t>
        </is>
      </c>
      <c r="C57">
        <f>VLOOKUP(VALUE(Table5[[#This Row],[NODE]]),LEAF_INFO!B:H,6,0)</f>
        <v/>
      </c>
      <c r="D57" t="inlineStr">
        <is>
          <t>eth1/34</t>
        </is>
      </c>
      <c r="E57" t="inlineStr">
        <is>
          <t>down</t>
        </is>
      </c>
      <c r="F57" t="inlineStr">
        <is>
          <t>down</t>
        </is>
      </c>
      <c r="G57">
        <f>VLOOKUP(_xlfn.CONCAT(Table5[[#This Row],[NODE]],Table5[[#This Row],[PORT]]),PORTS_!A:G,7,0)</f>
        <v/>
      </c>
      <c r="H57" t="inlineStr"/>
      <c r="I57">
        <f>VLOOKUP(VALUE(Table5[[#This Row],[NODE]]),LEAF_INFO!B:H,7,0)</f>
        <v/>
      </c>
      <c r="J57">
        <f>ISNUMBER(SEARCH("vpc-leaf", SUBSTITUTE(LOWER(K57), "_", "-")))</f>
        <v/>
      </c>
      <c r="K57">
        <f>_xlfn.IFNA(VLOOKUP(VALUE(Table5[[#This Row],[NODE]]), VPC!A:A, 2, 0), "No está en VPC")</f>
        <v/>
      </c>
      <c r="L57">
        <f>IF(OR(ISNUMBER(SEARCH("VPC-Leaf", K57)), ISNUMBER(SEARCH("VPC_Leaf", K57))),SUBSTITUTE(SUBSTITUTE(SUBSTITUTE(K57, "VPC-Leaf", ""), "VPC_Leaf", ""), "_", "-"),A57)</f>
        <v/>
      </c>
      <c r="M57">
        <f>_xlfn.IFNA(VLOOKUP(_xlfn.CONCAT(VALUE(Table5[[#This Row],[NODE]]),Table5[[#This Row],[PORT]]),PG!C:H,6,0),"NO EXISTE PG")</f>
        <v/>
      </c>
      <c r="N57">
        <f>_xlfn.IFNA(VLOOKUP(_xlfn.CONCAT(VALUE(Table5[[#This Row],[NODE]]),Table5[[#This Row],[PORT]]),PG!C:H,4,0),"NO EXISTE ISEL")</f>
        <v/>
      </c>
      <c r="O57">
        <f>COUNTIF(Statics!G:G,Table5[[#This Row],[PG]])+COUNTIF(Statics!H:H,_xlfn.CONCAT((Table5[[#This Row],[NODE]]),Table5[[#This Row],[PORT]]))</f>
        <v/>
      </c>
      <c r="P57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57">
        <f>COUNTIF(Statics!F:F,Table5[[#This Row],[ID]])+COUNTIF(Statics!F:F,VALUE(Table5[[#This Row],[NODE]]))</f>
        <v/>
      </c>
    </row>
    <row r="58">
      <c r="A58" t="inlineStr">
        <is>
          <t>102</t>
        </is>
      </c>
      <c r="B58" t="inlineStr">
        <is>
          <t>1</t>
        </is>
      </c>
      <c r="C58">
        <f>VLOOKUP(VALUE(Table5[[#This Row],[NODE]]),LEAF_INFO!B:H,6,0)</f>
        <v/>
      </c>
      <c r="D58" t="inlineStr">
        <is>
          <t>eth1/35</t>
        </is>
      </c>
      <c r="E58" t="inlineStr">
        <is>
          <t>down</t>
        </is>
      </c>
      <c r="F58" t="inlineStr">
        <is>
          <t>down</t>
        </is>
      </c>
      <c r="G58">
        <f>VLOOKUP(_xlfn.CONCAT(Table5[[#This Row],[NODE]],Table5[[#This Row],[PORT]]),PORTS_!A:G,7,0)</f>
        <v/>
      </c>
      <c r="H58" t="inlineStr"/>
      <c r="I58">
        <f>VLOOKUP(VALUE(Table5[[#This Row],[NODE]]),LEAF_INFO!B:H,7,0)</f>
        <v/>
      </c>
      <c r="J58">
        <f>ISNUMBER(SEARCH("vpc-leaf", SUBSTITUTE(LOWER(K58), "_", "-")))</f>
        <v/>
      </c>
      <c r="K58">
        <f>_xlfn.IFNA(VLOOKUP(VALUE(Table5[[#This Row],[NODE]]), VPC!A:A, 2, 0), "No está en VPC")</f>
        <v/>
      </c>
      <c r="L58">
        <f>IF(OR(ISNUMBER(SEARCH("VPC-Leaf", K58)), ISNUMBER(SEARCH("VPC_Leaf", K58))),SUBSTITUTE(SUBSTITUTE(SUBSTITUTE(K58, "VPC-Leaf", ""), "VPC_Leaf", ""), "_", "-"),A58)</f>
        <v/>
      </c>
      <c r="M58">
        <f>_xlfn.IFNA(VLOOKUP(_xlfn.CONCAT(VALUE(Table5[[#This Row],[NODE]]),Table5[[#This Row],[PORT]]),PG!C:H,6,0),"NO EXISTE PG")</f>
        <v/>
      </c>
      <c r="N58">
        <f>_xlfn.IFNA(VLOOKUP(_xlfn.CONCAT(VALUE(Table5[[#This Row],[NODE]]),Table5[[#This Row],[PORT]]),PG!C:H,4,0),"NO EXISTE ISEL")</f>
        <v/>
      </c>
      <c r="O58">
        <f>COUNTIF(Statics!G:G,Table5[[#This Row],[PG]])+COUNTIF(Statics!H:H,_xlfn.CONCAT((Table5[[#This Row],[NODE]]),Table5[[#This Row],[PORT]]))</f>
        <v/>
      </c>
      <c r="P58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58">
        <f>COUNTIF(Statics!F:F,Table5[[#This Row],[ID]])+COUNTIF(Statics!F:F,VALUE(Table5[[#This Row],[NODE]]))</f>
        <v/>
      </c>
    </row>
    <row r="59">
      <c r="A59" t="inlineStr">
        <is>
          <t>102</t>
        </is>
      </c>
      <c r="B59" t="inlineStr">
        <is>
          <t>1</t>
        </is>
      </c>
      <c r="C59">
        <f>VLOOKUP(VALUE(Table5[[#This Row],[NODE]]),LEAF_INFO!B:H,6,0)</f>
        <v/>
      </c>
      <c r="D59" t="inlineStr">
        <is>
          <t>eth1/36</t>
        </is>
      </c>
      <c r="E59" t="inlineStr">
        <is>
          <t>up</t>
        </is>
      </c>
      <c r="F59" t="inlineStr">
        <is>
          <t>up</t>
        </is>
      </c>
      <c r="G59">
        <f>VLOOKUP(_xlfn.CONCAT(Table5[[#This Row],[NODE]],Table5[[#This Row],[PORT]]),PORTS_!A:G,7,0)</f>
        <v/>
      </c>
      <c r="H59" t="inlineStr">
        <is>
          <t>B2B A SMAC2</t>
        </is>
      </c>
      <c r="I59">
        <f>VLOOKUP(VALUE(Table5[[#This Row],[NODE]]),LEAF_INFO!B:H,7,0)</f>
        <v/>
      </c>
      <c r="J59">
        <f>ISNUMBER(SEARCH("vpc-leaf", SUBSTITUTE(LOWER(K59), "_", "-")))</f>
        <v/>
      </c>
      <c r="K59">
        <f>_xlfn.IFNA(VLOOKUP(VALUE(Table5[[#This Row],[NODE]]), VPC!A:A, 2, 0), "No está en VPC")</f>
        <v/>
      </c>
      <c r="L59">
        <f>IF(OR(ISNUMBER(SEARCH("VPC-Leaf", K59)), ISNUMBER(SEARCH("VPC_Leaf", K59))),SUBSTITUTE(SUBSTITUTE(SUBSTITUTE(K59, "VPC-Leaf", ""), "VPC_Leaf", ""), "_", "-"),A59)</f>
        <v/>
      </c>
      <c r="M59">
        <f>_xlfn.IFNA(VLOOKUP(_xlfn.CONCAT(VALUE(Table5[[#This Row],[NODE]]),Table5[[#This Row],[PORT]]),PG!C:H,6,0),"NO EXISTE PG")</f>
        <v/>
      </c>
      <c r="N59">
        <f>_xlfn.IFNA(VLOOKUP(_xlfn.CONCAT(VALUE(Table5[[#This Row],[NODE]]),Table5[[#This Row],[PORT]]),PG!C:H,4,0),"NO EXISTE ISEL")</f>
        <v/>
      </c>
      <c r="O59">
        <f>COUNTIF(Statics!G:G,Table5[[#This Row],[PG]])+COUNTIF(Statics!H:H,_xlfn.CONCAT((Table5[[#This Row],[NODE]]),Table5[[#This Row],[PORT]]))</f>
        <v/>
      </c>
      <c r="P59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59">
        <f>COUNTIF(Statics!F:F,Table5[[#This Row],[ID]])+COUNTIF(Statics!F:F,VALUE(Table5[[#This Row],[NODE]]))</f>
        <v/>
      </c>
    </row>
    <row r="60">
      <c r="A60" t="inlineStr">
        <is>
          <t>102</t>
        </is>
      </c>
      <c r="B60" t="inlineStr">
        <is>
          <t>1</t>
        </is>
      </c>
      <c r="C60">
        <f>VLOOKUP(VALUE(Table5[[#This Row],[NODE]]),LEAF_INFO!B:H,6,0)</f>
        <v/>
      </c>
      <c r="D60" t="inlineStr">
        <is>
          <t>eth1/37</t>
        </is>
      </c>
      <c r="E60" t="inlineStr">
        <is>
          <t>down</t>
        </is>
      </c>
      <c r="F60" t="inlineStr">
        <is>
          <t>down</t>
        </is>
      </c>
      <c r="G60">
        <f>VLOOKUP(_xlfn.CONCAT(Table5[[#This Row],[NODE]],Table5[[#This Row],[PORT]]),PORTS_!A:G,7,0)</f>
        <v/>
      </c>
      <c r="H60" t="inlineStr"/>
      <c r="I60">
        <f>VLOOKUP(VALUE(Table5[[#This Row],[NODE]]),LEAF_INFO!B:H,7,0)</f>
        <v/>
      </c>
      <c r="J60">
        <f>ISNUMBER(SEARCH("vpc-leaf", SUBSTITUTE(LOWER(K60), "_", "-")))</f>
        <v/>
      </c>
      <c r="K60">
        <f>_xlfn.IFNA(VLOOKUP(VALUE(Table5[[#This Row],[NODE]]), VPC!A:A, 2, 0), "No está en VPC")</f>
        <v/>
      </c>
      <c r="L60">
        <f>IF(OR(ISNUMBER(SEARCH("VPC-Leaf", K60)), ISNUMBER(SEARCH("VPC_Leaf", K60))),SUBSTITUTE(SUBSTITUTE(SUBSTITUTE(K60, "VPC-Leaf", ""), "VPC_Leaf", ""), "_", "-"),A60)</f>
        <v/>
      </c>
      <c r="M60">
        <f>_xlfn.IFNA(VLOOKUP(_xlfn.CONCAT(VALUE(Table5[[#This Row],[NODE]]),Table5[[#This Row],[PORT]]),PG!C:H,6,0),"NO EXISTE PG")</f>
        <v/>
      </c>
      <c r="N60">
        <f>_xlfn.IFNA(VLOOKUP(_xlfn.CONCAT(VALUE(Table5[[#This Row],[NODE]]),Table5[[#This Row],[PORT]]),PG!C:H,4,0),"NO EXISTE ISEL")</f>
        <v/>
      </c>
      <c r="O60">
        <f>COUNTIF(Statics!G:G,Table5[[#This Row],[PG]])+COUNTIF(Statics!H:H,_xlfn.CONCAT((Table5[[#This Row],[NODE]]),Table5[[#This Row],[PORT]]))</f>
        <v/>
      </c>
      <c r="P60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60">
        <f>COUNTIF(Statics!F:F,Table5[[#This Row],[ID]])+COUNTIF(Statics!F:F,VALUE(Table5[[#This Row],[NODE]]))</f>
        <v/>
      </c>
    </row>
    <row r="61">
      <c r="A61" t="inlineStr">
        <is>
          <t>102</t>
        </is>
      </c>
      <c r="B61" t="inlineStr">
        <is>
          <t>1</t>
        </is>
      </c>
      <c r="C61">
        <f>VLOOKUP(VALUE(Table5[[#This Row],[NODE]]),LEAF_INFO!B:H,6,0)</f>
        <v/>
      </c>
      <c r="D61" t="inlineStr">
        <is>
          <t>eth1/38</t>
        </is>
      </c>
      <c r="E61" t="inlineStr">
        <is>
          <t>up</t>
        </is>
      </c>
      <c r="F61" t="inlineStr">
        <is>
          <t>up</t>
        </is>
      </c>
      <c r="G61">
        <f>VLOOKUP(_xlfn.CONCAT(Table5[[#This Row],[NODE]],Table5[[#This Row],[PORT]]),PORTS_!A:G,7,0)</f>
        <v/>
      </c>
      <c r="H61" t="inlineStr">
        <is>
          <t>HACIA RMAC2 BUNDLE110</t>
        </is>
      </c>
      <c r="I61">
        <f>VLOOKUP(VALUE(Table5[[#This Row],[NODE]]),LEAF_INFO!B:H,7,0)</f>
        <v/>
      </c>
      <c r="J61">
        <f>ISNUMBER(SEARCH("vpc-leaf", SUBSTITUTE(LOWER(K61), "_", "-")))</f>
        <v/>
      </c>
      <c r="K61">
        <f>_xlfn.IFNA(VLOOKUP(VALUE(Table5[[#This Row],[NODE]]), VPC!A:A, 2, 0), "No está en VPC")</f>
        <v/>
      </c>
      <c r="L61">
        <f>IF(OR(ISNUMBER(SEARCH("VPC-Leaf", K61)), ISNUMBER(SEARCH("VPC_Leaf", K61))),SUBSTITUTE(SUBSTITUTE(SUBSTITUTE(K61, "VPC-Leaf", ""), "VPC_Leaf", ""), "_", "-"),A61)</f>
        <v/>
      </c>
      <c r="M61">
        <f>_xlfn.IFNA(VLOOKUP(_xlfn.CONCAT(VALUE(Table5[[#This Row],[NODE]]),Table5[[#This Row],[PORT]]),PG!C:H,6,0),"NO EXISTE PG")</f>
        <v/>
      </c>
      <c r="N61">
        <f>_xlfn.IFNA(VLOOKUP(_xlfn.CONCAT(VALUE(Table5[[#This Row],[NODE]]),Table5[[#This Row],[PORT]]),PG!C:H,4,0),"NO EXISTE ISEL")</f>
        <v/>
      </c>
      <c r="O61">
        <f>COUNTIF(Statics!G:G,Table5[[#This Row],[PG]])+COUNTIF(Statics!H:H,_xlfn.CONCAT((Table5[[#This Row],[NODE]]),Table5[[#This Row],[PORT]]))</f>
        <v/>
      </c>
      <c r="P61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61">
        <f>COUNTIF(Statics!F:F,Table5[[#This Row],[ID]])+COUNTIF(Statics!F:F,VALUE(Table5[[#This Row],[NODE]]))</f>
        <v/>
      </c>
    </row>
    <row r="62">
      <c r="A62" t="inlineStr">
        <is>
          <t>102</t>
        </is>
      </c>
      <c r="B62" t="inlineStr">
        <is>
          <t>1</t>
        </is>
      </c>
      <c r="C62">
        <f>VLOOKUP(VALUE(Table5[[#This Row],[NODE]]),LEAF_INFO!B:H,6,0)</f>
        <v/>
      </c>
      <c r="D62" t="inlineStr">
        <is>
          <t>eth1/39</t>
        </is>
      </c>
      <c r="E62" t="inlineStr">
        <is>
          <t>down</t>
        </is>
      </c>
      <c r="F62" t="inlineStr">
        <is>
          <t>down</t>
        </is>
      </c>
      <c r="G62">
        <f>VLOOKUP(_xlfn.CONCAT(Table5[[#This Row],[NODE]],Table5[[#This Row],[PORT]]),PORTS_!A:G,7,0)</f>
        <v/>
      </c>
      <c r="H62" t="inlineStr"/>
      <c r="I62">
        <f>VLOOKUP(VALUE(Table5[[#This Row],[NODE]]),LEAF_INFO!B:H,7,0)</f>
        <v/>
      </c>
      <c r="J62">
        <f>ISNUMBER(SEARCH("vpc-leaf", SUBSTITUTE(LOWER(K62), "_", "-")))</f>
        <v/>
      </c>
      <c r="K62">
        <f>_xlfn.IFNA(VLOOKUP(VALUE(Table5[[#This Row],[NODE]]), VPC!A:A, 2, 0), "No está en VPC")</f>
        <v/>
      </c>
      <c r="L62">
        <f>IF(OR(ISNUMBER(SEARCH("VPC-Leaf", K62)), ISNUMBER(SEARCH("VPC_Leaf", K62))),SUBSTITUTE(SUBSTITUTE(SUBSTITUTE(K62, "VPC-Leaf", ""), "VPC_Leaf", ""), "_", "-"),A62)</f>
        <v/>
      </c>
      <c r="M62">
        <f>_xlfn.IFNA(VLOOKUP(_xlfn.CONCAT(VALUE(Table5[[#This Row],[NODE]]),Table5[[#This Row],[PORT]]),PG!C:H,6,0),"NO EXISTE PG")</f>
        <v/>
      </c>
      <c r="N62">
        <f>_xlfn.IFNA(VLOOKUP(_xlfn.CONCAT(VALUE(Table5[[#This Row],[NODE]]),Table5[[#This Row],[PORT]]),PG!C:H,4,0),"NO EXISTE ISEL")</f>
        <v/>
      </c>
      <c r="O62">
        <f>COUNTIF(Statics!G:G,Table5[[#This Row],[PG]])+COUNTIF(Statics!H:H,_xlfn.CONCAT((Table5[[#This Row],[NODE]]),Table5[[#This Row],[PORT]]))</f>
        <v/>
      </c>
      <c r="P62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62">
        <f>COUNTIF(Statics!F:F,Table5[[#This Row],[ID]])+COUNTIF(Statics!F:F,VALUE(Table5[[#This Row],[NODE]]))</f>
        <v/>
      </c>
    </row>
    <row r="63">
      <c r="A63" t="inlineStr">
        <is>
          <t>102</t>
        </is>
      </c>
      <c r="B63" t="inlineStr">
        <is>
          <t>1</t>
        </is>
      </c>
      <c r="C63">
        <f>VLOOKUP(VALUE(Table5[[#This Row],[NODE]]),LEAF_INFO!B:H,6,0)</f>
        <v/>
      </c>
      <c r="D63" t="inlineStr">
        <is>
          <t>eth1/40</t>
        </is>
      </c>
      <c r="E63" t="inlineStr">
        <is>
          <t>up</t>
        </is>
      </c>
      <c r="F63" t="inlineStr">
        <is>
          <t>up</t>
        </is>
      </c>
      <c r="G63">
        <f>VLOOKUP(_xlfn.CONCAT(Table5[[#This Row],[NODE]],Table5[[#This Row],[PORT]]),PORTS_!A:G,7,0)</f>
        <v/>
      </c>
      <c r="H63" t="inlineStr">
        <is>
          <t>A 2R_MAC_MXINGEN_2 | B2B | UP-LINK SERVICIOS</t>
        </is>
      </c>
      <c r="I63">
        <f>VLOOKUP(VALUE(Table5[[#This Row],[NODE]]),LEAF_INFO!B:H,7,0)</f>
        <v/>
      </c>
      <c r="J63">
        <f>ISNUMBER(SEARCH("vpc-leaf", SUBSTITUTE(LOWER(K63), "_", "-")))</f>
        <v/>
      </c>
      <c r="K63">
        <f>_xlfn.IFNA(VLOOKUP(VALUE(Table5[[#This Row],[NODE]]), VPC!A:A, 2, 0), "No está en VPC")</f>
        <v/>
      </c>
      <c r="L63">
        <f>IF(OR(ISNUMBER(SEARCH("VPC-Leaf", K63)), ISNUMBER(SEARCH("VPC_Leaf", K63))),SUBSTITUTE(SUBSTITUTE(SUBSTITUTE(K63, "VPC-Leaf", ""), "VPC_Leaf", ""), "_", "-"),A63)</f>
        <v/>
      </c>
      <c r="M63">
        <f>_xlfn.IFNA(VLOOKUP(_xlfn.CONCAT(VALUE(Table5[[#This Row],[NODE]]),Table5[[#This Row],[PORT]]),PG!C:H,6,0),"NO EXISTE PG")</f>
        <v/>
      </c>
      <c r="N63">
        <f>_xlfn.IFNA(VLOOKUP(_xlfn.CONCAT(VALUE(Table5[[#This Row],[NODE]]),Table5[[#This Row],[PORT]]),PG!C:H,4,0),"NO EXISTE ISEL")</f>
        <v/>
      </c>
      <c r="O63">
        <f>COUNTIF(Statics!G:G,Table5[[#This Row],[PG]])+COUNTIF(Statics!H:H,_xlfn.CONCAT((Table5[[#This Row],[NODE]]),Table5[[#This Row],[PORT]]))</f>
        <v/>
      </c>
      <c r="P63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63">
        <f>COUNTIF(Statics!F:F,Table5[[#This Row],[ID]])+COUNTIF(Statics!F:F,VALUE(Table5[[#This Row],[NODE]]))</f>
        <v/>
      </c>
    </row>
    <row r="64">
      <c r="A64" t="inlineStr">
        <is>
          <t>102</t>
        </is>
      </c>
      <c r="B64" t="inlineStr">
        <is>
          <t>1</t>
        </is>
      </c>
      <c r="C64">
        <f>VLOOKUP(VALUE(Table5[[#This Row],[NODE]]),LEAF_INFO!B:H,6,0)</f>
        <v/>
      </c>
      <c r="D64" t="inlineStr">
        <is>
          <t>eth1/41</t>
        </is>
      </c>
      <c r="E64" t="inlineStr">
        <is>
          <t>up</t>
        </is>
      </c>
      <c r="F64" t="inlineStr">
        <is>
          <t>up</t>
        </is>
      </c>
      <c r="G64">
        <f>VLOOKUP(_xlfn.CONCAT(Table5[[#This Row],[NODE]],Table5[[#This Row],[PORT]]),PORTS_!A:G,7,0)</f>
        <v/>
      </c>
      <c r="H64" t="inlineStr">
        <is>
          <t>LINK_GESTION</t>
        </is>
      </c>
      <c r="I64">
        <f>VLOOKUP(VALUE(Table5[[#This Row],[NODE]]),LEAF_INFO!B:H,7,0)</f>
        <v/>
      </c>
      <c r="J64">
        <f>ISNUMBER(SEARCH("vpc-leaf", SUBSTITUTE(LOWER(K64), "_", "-")))</f>
        <v/>
      </c>
      <c r="K64">
        <f>_xlfn.IFNA(VLOOKUP(VALUE(Table5[[#This Row],[NODE]]), VPC!A:A, 2, 0), "No está en VPC")</f>
        <v/>
      </c>
      <c r="L64">
        <f>IF(OR(ISNUMBER(SEARCH("VPC-Leaf", K64)), ISNUMBER(SEARCH("VPC_Leaf", K64))),SUBSTITUTE(SUBSTITUTE(SUBSTITUTE(K64, "VPC-Leaf", ""), "VPC_Leaf", ""), "_", "-"),A64)</f>
        <v/>
      </c>
      <c r="M64">
        <f>_xlfn.IFNA(VLOOKUP(_xlfn.CONCAT(VALUE(Table5[[#This Row],[NODE]]),Table5[[#This Row],[PORT]]),PG!C:H,6,0),"NO EXISTE PG")</f>
        <v/>
      </c>
      <c r="N64">
        <f>_xlfn.IFNA(VLOOKUP(_xlfn.CONCAT(VALUE(Table5[[#This Row],[NODE]]),Table5[[#This Row],[PORT]]),PG!C:H,4,0),"NO EXISTE ISEL")</f>
        <v/>
      </c>
      <c r="O64">
        <f>COUNTIF(Statics!G:G,Table5[[#This Row],[PG]])+COUNTIF(Statics!H:H,_xlfn.CONCAT((Table5[[#This Row],[NODE]]),Table5[[#This Row],[PORT]]))</f>
        <v/>
      </c>
      <c r="P64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64">
        <f>COUNTIF(Statics!F:F,Table5[[#This Row],[ID]])+COUNTIF(Statics!F:F,VALUE(Table5[[#This Row],[NODE]]))</f>
        <v/>
      </c>
    </row>
    <row r="65">
      <c r="A65" t="inlineStr">
        <is>
          <t>102</t>
        </is>
      </c>
      <c r="B65" t="inlineStr">
        <is>
          <t>1</t>
        </is>
      </c>
      <c r="C65">
        <f>VLOOKUP(VALUE(Table5[[#This Row],[NODE]]),LEAF_INFO!B:H,6,0)</f>
        <v/>
      </c>
      <c r="D65" t="inlineStr">
        <is>
          <t>eth1/42</t>
        </is>
      </c>
      <c r="E65" t="inlineStr">
        <is>
          <t>down</t>
        </is>
      </c>
      <c r="F65" t="inlineStr">
        <is>
          <t>down</t>
        </is>
      </c>
      <c r="G65">
        <f>VLOOKUP(_xlfn.CONCAT(Table5[[#This Row],[NODE]],Table5[[#This Row],[PORT]]),PORTS_!A:G,7,0)</f>
        <v/>
      </c>
      <c r="H65" t="inlineStr"/>
      <c r="I65">
        <f>VLOOKUP(VALUE(Table5[[#This Row],[NODE]]),LEAF_INFO!B:H,7,0)</f>
        <v/>
      </c>
      <c r="J65">
        <f>ISNUMBER(SEARCH("vpc-leaf", SUBSTITUTE(LOWER(K65), "_", "-")))</f>
        <v/>
      </c>
      <c r="K65">
        <f>_xlfn.IFNA(VLOOKUP(VALUE(Table5[[#This Row],[NODE]]), VPC!A:A, 2, 0), "No está en VPC")</f>
        <v/>
      </c>
      <c r="L65">
        <f>IF(OR(ISNUMBER(SEARCH("VPC-Leaf", K65)), ISNUMBER(SEARCH("VPC_Leaf", K65))),SUBSTITUTE(SUBSTITUTE(SUBSTITUTE(K65, "VPC-Leaf", ""), "VPC_Leaf", ""), "_", "-"),A65)</f>
        <v/>
      </c>
      <c r="M65">
        <f>_xlfn.IFNA(VLOOKUP(_xlfn.CONCAT(VALUE(Table5[[#This Row],[NODE]]),Table5[[#This Row],[PORT]]),PG!C:H,6,0),"NO EXISTE PG")</f>
        <v/>
      </c>
      <c r="N65">
        <f>_xlfn.IFNA(VLOOKUP(_xlfn.CONCAT(VALUE(Table5[[#This Row],[NODE]]),Table5[[#This Row],[PORT]]),PG!C:H,4,0),"NO EXISTE ISEL")</f>
        <v/>
      </c>
      <c r="O65">
        <f>COUNTIF(Statics!G:G,Table5[[#This Row],[PG]])+COUNTIF(Statics!H:H,_xlfn.CONCAT((Table5[[#This Row],[NODE]]),Table5[[#This Row],[PORT]]))</f>
        <v/>
      </c>
      <c r="P65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65">
        <f>COUNTIF(Statics!F:F,Table5[[#This Row],[ID]])+COUNTIF(Statics!F:F,VALUE(Table5[[#This Row],[NODE]]))</f>
        <v/>
      </c>
    </row>
    <row r="66">
      <c r="A66" t="inlineStr">
        <is>
          <t>102</t>
        </is>
      </c>
      <c r="B66" t="inlineStr">
        <is>
          <t>1</t>
        </is>
      </c>
      <c r="C66">
        <f>VLOOKUP(VALUE(Table5[[#This Row],[NODE]]),LEAF_INFO!B:H,6,0)</f>
        <v/>
      </c>
      <c r="D66" t="inlineStr">
        <is>
          <t>eth1/43</t>
        </is>
      </c>
      <c r="E66" t="inlineStr">
        <is>
          <t>down</t>
        </is>
      </c>
      <c r="F66" t="inlineStr">
        <is>
          <t>down</t>
        </is>
      </c>
      <c r="G66">
        <f>VLOOKUP(_xlfn.CONCAT(Table5[[#This Row],[NODE]],Table5[[#This Row],[PORT]]),PORTS_!A:G,7,0)</f>
        <v/>
      </c>
      <c r="H66" t="inlineStr"/>
      <c r="I66">
        <f>VLOOKUP(VALUE(Table5[[#This Row],[NODE]]),LEAF_INFO!B:H,7,0)</f>
        <v/>
      </c>
      <c r="J66">
        <f>ISNUMBER(SEARCH("vpc-leaf", SUBSTITUTE(LOWER(K66), "_", "-")))</f>
        <v/>
      </c>
      <c r="K66">
        <f>_xlfn.IFNA(VLOOKUP(VALUE(Table5[[#This Row],[NODE]]), VPC!A:A, 2, 0), "No está en VPC")</f>
        <v/>
      </c>
      <c r="L66">
        <f>IF(OR(ISNUMBER(SEARCH("VPC-Leaf", K66)), ISNUMBER(SEARCH("VPC_Leaf", K66))),SUBSTITUTE(SUBSTITUTE(SUBSTITUTE(K66, "VPC-Leaf", ""), "VPC_Leaf", ""), "_", "-"),A66)</f>
        <v/>
      </c>
      <c r="M66">
        <f>_xlfn.IFNA(VLOOKUP(_xlfn.CONCAT(VALUE(Table5[[#This Row],[NODE]]),Table5[[#This Row],[PORT]]),PG!C:H,6,0),"NO EXISTE PG")</f>
        <v/>
      </c>
      <c r="N66">
        <f>_xlfn.IFNA(VLOOKUP(_xlfn.CONCAT(VALUE(Table5[[#This Row],[NODE]]),Table5[[#This Row],[PORT]]),PG!C:H,4,0),"NO EXISTE ISEL")</f>
        <v/>
      </c>
      <c r="O66">
        <f>COUNTIF(Statics!G:G,Table5[[#This Row],[PG]])+COUNTIF(Statics!H:H,_xlfn.CONCAT((Table5[[#This Row],[NODE]]),Table5[[#This Row],[PORT]]))</f>
        <v/>
      </c>
      <c r="P66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66">
        <f>COUNTIF(Statics!F:F,Table5[[#This Row],[ID]])+COUNTIF(Statics!F:F,VALUE(Table5[[#This Row],[NODE]]))</f>
        <v/>
      </c>
    </row>
    <row r="67">
      <c r="A67" t="inlineStr">
        <is>
          <t>102</t>
        </is>
      </c>
      <c r="B67" t="inlineStr">
        <is>
          <t>1</t>
        </is>
      </c>
      <c r="C67">
        <f>VLOOKUP(VALUE(Table5[[#This Row],[NODE]]),LEAF_INFO!B:H,6,0)</f>
        <v/>
      </c>
      <c r="D67" t="inlineStr">
        <is>
          <t>eth1/44</t>
        </is>
      </c>
      <c r="E67" t="inlineStr">
        <is>
          <t>down</t>
        </is>
      </c>
      <c r="F67" t="inlineStr">
        <is>
          <t>down</t>
        </is>
      </c>
      <c r="G67">
        <f>VLOOKUP(_xlfn.CONCAT(Table5[[#This Row],[NODE]],Table5[[#This Row],[PORT]]),PORTS_!A:G,7,0)</f>
        <v/>
      </c>
      <c r="H67" t="inlineStr"/>
      <c r="I67">
        <f>VLOOKUP(VALUE(Table5[[#This Row],[NODE]]),LEAF_INFO!B:H,7,0)</f>
        <v/>
      </c>
      <c r="J67">
        <f>ISNUMBER(SEARCH("vpc-leaf", SUBSTITUTE(LOWER(K67), "_", "-")))</f>
        <v/>
      </c>
      <c r="K67">
        <f>_xlfn.IFNA(VLOOKUP(VALUE(Table5[[#This Row],[NODE]]), VPC!A:A, 2, 0), "No está en VPC")</f>
        <v/>
      </c>
      <c r="L67">
        <f>IF(OR(ISNUMBER(SEARCH("VPC-Leaf", K67)), ISNUMBER(SEARCH("VPC_Leaf", K67))),SUBSTITUTE(SUBSTITUTE(SUBSTITUTE(K67, "VPC-Leaf", ""), "VPC_Leaf", ""), "_", "-"),A67)</f>
        <v/>
      </c>
      <c r="M67">
        <f>_xlfn.IFNA(VLOOKUP(_xlfn.CONCAT(VALUE(Table5[[#This Row],[NODE]]),Table5[[#This Row],[PORT]]),PG!C:H,6,0),"NO EXISTE PG")</f>
        <v/>
      </c>
      <c r="N67">
        <f>_xlfn.IFNA(VLOOKUP(_xlfn.CONCAT(VALUE(Table5[[#This Row],[NODE]]),Table5[[#This Row],[PORT]]),PG!C:H,4,0),"NO EXISTE ISEL")</f>
        <v/>
      </c>
      <c r="O67">
        <f>COUNTIF(Statics!G:G,Table5[[#This Row],[PG]])+COUNTIF(Statics!H:H,_xlfn.CONCAT((Table5[[#This Row],[NODE]]),Table5[[#This Row],[PORT]]))</f>
        <v/>
      </c>
      <c r="P67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67">
        <f>COUNTIF(Statics!F:F,Table5[[#This Row],[ID]])+COUNTIF(Statics!F:F,VALUE(Table5[[#This Row],[NODE]]))</f>
        <v/>
      </c>
    </row>
    <row r="68">
      <c r="A68" t="inlineStr">
        <is>
          <t>102</t>
        </is>
      </c>
      <c r="B68" t="inlineStr">
        <is>
          <t>1</t>
        </is>
      </c>
      <c r="C68">
        <f>VLOOKUP(VALUE(Table5[[#This Row],[NODE]]),LEAF_INFO!B:H,6,0)</f>
        <v/>
      </c>
      <c r="D68" t="inlineStr">
        <is>
          <t>eth1/45</t>
        </is>
      </c>
      <c r="E68" t="inlineStr">
        <is>
          <t>up</t>
        </is>
      </c>
      <c r="F68" t="inlineStr">
        <is>
          <t>up</t>
        </is>
      </c>
      <c r="G68">
        <f>VLOOKUP(_xlfn.CONCAT(Table5[[#This Row],[NODE]],Table5[[#This Row],[PORT]]),PORTS_!A:G,7,0)</f>
        <v/>
      </c>
      <c r="H68" t="inlineStr">
        <is>
          <t>HACIA RMAC2 BUNDLE110</t>
        </is>
      </c>
      <c r="I68">
        <f>VLOOKUP(VALUE(Table5[[#This Row],[NODE]]),LEAF_INFO!B:H,7,0)</f>
        <v/>
      </c>
      <c r="J68">
        <f>ISNUMBER(SEARCH("vpc-leaf", SUBSTITUTE(LOWER(K68), "_", "-")))</f>
        <v/>
      </c>
      <c r="K68">
        <f>_xlfn.IFNA(VLOOKUP(VALUE(Table5[[#This Row],[NODE]]), VPC!A:A, 2, 0), "No está en VPC")</f>
        <v/>
      </c>
      <c r="L68">
        <f>IF(OR(ISNUMBER(SEARCH("VPC-Leaf", K68)), ISNUMBER(SEARCH("VPC_Leaf", K68))),SUBSTITUTE(SUBSTITUTE(SUBSTITUTE(K68, "VPC-Leaf", ""), "VPC_Leaf", ""), "_", "-"),A68)</f>
        <v/>
      </c>
      <c r="M68">
        <f>_xlfn.IFNA(VLOOKUP(_xlfn.CONCAT(VALUE(Table5[[#This Row],[NODE]]),Table5[[#This Row],[PORT]]),PG!C:H,6,0),"NO EXISTE PG")</f>
        <v/>
      </c>
      <c r="N68">
        <f>_xlfn.IFNA(VLOOKUP(_xlfn.CONCAT(VALUE(Table5[[#This Row],[NODE]]),Table5[[#This Row],[PORT]]),PG!C:H,4,0),"NO EXISTE ISEL")</f>
        <v/>
      </c>
      <c r="O68">
        <f>COUNTIF(Statics!G:G,Table5[[#This Row],[PG]])+COUNTIF(Statics!H:H,_xlfn.CONCAT((Table5[[#This Row],[NODE]]),Table5[[#This Row],[PORT]]))</f>
        <v/>
      </c>
      <c r="P68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68">
        <f>COUNTIF(Statics!F:F,Table5[[#This Row],[ID]])+COUNTIF(Statics!F:F,VALUE(Table5[[#This Row],[NODE]]))</f>
        <v/>
      </c>
    </row>
    <row r="69">
      <c r="A69" t="inlineStr">
        <is>
          <t>102</t>
        </is>
      </c>
      <c r="B69" t="inlineStr">
        <is>
          <t>1</t>
        </is>
      </c>
      <c r="C69">
        <f>VLOOKUP(VALUE(Table5[[#This Row],[NODE]]),LEAF_INFO!B:H,6,0)</f>
        <v/>
      </c>
      <c r="D69" t="inlineStr">
        <is>
          <t>eth1/46</t>
        </is>
      </c>
      <c r="E69" t="inlineStr">
        <is>
          <t>up</t>
        </is>
      </c>
      <c r="F69" t="inlineStr">
        <is>
          <t>up</t>
        </is>
      </c>
      <c r="G69">
        <f>VLOOKUP(_xlfn.CONCAT(Table5[[#This Row],[NODE]],Table5[[#This Row],[PORT]]),PORTS_!A:G,7,0)</f>
        <v/>
      </c>
      <c r="H69" t="inlineStr">
        <is>
          <t>LINK_HACIA_APIC</t>
        </is>
      </c>
      <c r="I69">
        <f>VLOOKUP(VALUE(Table5[[#This Row],[NODE]]),LEAF_INFO!B:H,7,0)</f>
        <v/>
      </c>
      <c r="J69">
        <f>ISNUMBER(SEARCH("vpc-leaf", SUBSTITUTE(LOWER(K69), "_", "-")))</f>
        <v/>
      </c>
      <c r="K69">
        <f>_xlfn.IFNA(VLOOKUP(VALUE(Table5[[#This Row],[NODE]]), VPC!A:A, 2, 0), "No está en VPC")</f>
        <v/>
      </c>
      <c r="L69">
        <f>IF(OR(ISNUMBER(SEARCH("VPC-Leaf", K69)), ISNUMBER(SEARCH("VPC_Leaf", K69))),SUBSTITUTE(SUBSTITUTE(SUBSTITUTE(K69, "VPC-Leaf", ""), "VPC_Leaf", ""), "_", "-"),A69)</f>
        <v/>
      </c>
      <c r="M69">
        <f>_xlfn.IFNA(VLOOKUP(_xlfn.CONCAT(VALUE(Table5[[#This Row],[NODE]]),Table5[[#This Row],[PORT]]),PG!C:H,6,0),"NO EXISTE PG")</f>
        <v/>
      </c>
      <c r="N69">
        <f>_xlfn.IFNA(VLOOKUP(_xlfn.CONCAT(VALUE(Table5[[#This Row],[NODE]]),Table5[[#This Row],[PORT]]),PG!C:H,4,0),"NO EXISTE ISEL")</f>
        <v/>
      </c>
      <c r="O69">
        <f>COUNTIF(Statics!G:G,Table5[[#This Row],[PG]])+COUNTIF(Statics!H:H,_xlfn.CONCAT((Table5[[#This Row],[NODE]]),Table5[[#This Row],[PORT]]))</f>
        <v/>
      </c>
      <c r="P69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69">
        <f>COUNTIF(Statics!F:F,Table5[[#This Row],[ID]])+COUNTIF(Statics!F:F,VALUE(Table5[[#This Row],[NODE]]))</f>
        <v/>
      </c>
    </row>
    <row r="70">
      <c r="A70" t="inlineStr">
        <is>
          <t>102</t>
        </is>
      </c>
      <c r="B70" t="inlineStr">
        <is>
          <t>1</t>
        </is>
      </c>
      <c r="C70">
        <f>VLOOKUP(VALUE(Table5[[#This Row],[NODE]]),LEAF_INFO!B:H,6,0)</f>
        <v/>
      </c>
      <c r="D70" t="inlineStr">
        <is>
          <t>eth1/47</t>
        </is>
      </c>
      <c r="E70" t="inlineStr">
        <is>
          <t>up</t>
        </is>
      </c>
      <c r="F70" t="inlineStr">
        <is>
          <t>up</t>
        </is>
      </c>
      <c r="G70">
        <f>VLOOKUP(_xlfn.CONCAT(Table5[[#This Row],[NODE]],Table5[[#This Row],[PORT]]),PORTS_!A:G,7,0)</f>
        <v/>
      </c>
      <c r="H70" t="inlineStr">
        <is>
          <t>LINK_HACIA_APIC</t>
        </is>
      </c>
      <c r="I70">
        <f>VLOOKUP(VALUE(Table5[[#This Row],[NODE]]),LEAF_INFO!B:H,7,0)</f>
        <v/>
      </c>
      <c r="J70">
        <f>ISNUMBER(SEARCH("vpc-leaf", SUBSTITUTE(LOWER(K70), "_", "-")))</f>
        <v/>
      </c>
      <c r="K70">
        <f>_xlfn.IFNA(VLOOKUP(VALUE(Table5[[#This Row],[NODE]]), VPC!A:A, 2, 0), "No está en VPC")</f>
        <v/>
      </c>
      <c r="L70">
        <f>IF(OR(ISNUMBER(SEARCH("VPC-Leaf", K70)), ISNUMBER(SEARCH("VPC_Leaf", K70))),SUBSTITUTE(SUBSTITUTE(SUBSTITUTE(K70, "VPC-Leaf", ""), "VPC_Leaf", ""), "_", "-"),A70)</f>
        <v/>
      </c>
      <c r="M70">
        <f>_xlfn.IFNA(VLOOKUP(_xlfn.CONCAT(VALUE(Table5[[#This Row],[NODE]]),Table5[[#This Row],[PORT]]),PG!C:H,6,0),"NO EXISTE PG")</f>
        <v/>
      </c>
      <c r="N70">
        <f>_xlfn.IFNA(VLOOKUP(_xlfn.CONCAT(VALUE(Table5[[#This Row],[NODE]]),Table5[[#This Row],[PORT]]),PG!C:H,4,0),"NO EXISTE ISEL")</f>
        <v/>
      </c>
      <c r="O70">
        <f>COUNTIF(Statics!G:G,Table5[[#This Row],[PG]])+COUNTIF(Statics!H:H,_xlfn.CONCAT((Table5[[#This Row],[NODE]]),Table5[[#This Row],[PORT]]))</f>
        <v/>
      </c>
      <c r="P70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70">
        <f>COUNTIF(Statics!F:F,Table5[[#This Row],[ID]])+COUNTIF(Statics!F:F,VALUE(Table5[[#This Row],[NODE]]))</f>
        <v/>
      </c>
    </row>
    <row r="71">
      <c r="A71" t="inlineStr">
        <is>
          <t>102</t>
        </is>
      </c>
      <c r="B71" t="inlineStr">
        <is>
          <t>1</t>
        </is>
      </c>
      <c r="C71">
        <f>VLOOKUP(VALUE(Table5[[#This Row],[NODE]]),LEAF_INFO!B:H,6,0)</f>
        <v/>
      </c>
      <c r="D71" t="inlineStr">
        <is>
          <t>eth1/48</t>
        </is>
      </c>
      <c r="E71" t="inlineStr">
        <is>
          <t>up</t>
        </is>
      </c>
      <c r="F71" t="inlineStr">
        <is>
          <t>up</t>
        </is>
      </c>
      <c r="G71">
        <f>VLOOKUP(_xlfn.CONCAT(Table5[[#This Row],[NODE]],Table5[[#This Row],[PORT]]),PORTS_!A:G,7,0)</f>
        <v/>
      </c>
      <c r="H71" t="inlineStr">
        <is>
          <t>LINK_HACIA_APIC</t>
        </is>
      </c>
      <c r="I71">
        <f>VLOOKUP(VALUE(Table5[[#This Row],[NODE]]),LEAF_INFO!B:H,7,0)</f>
        <v/>
      </c>
      <c r="J71">
        <f>ISNUMBER(SEARCH("vpc-leaf", SUBSTITUTE(LOWER(K71), "_", "-")))</f>
        <v/>
      </c>
      <c r="K71">
        <f>_xlfn.IFNA(VLOOKUP(VALUE(Table5[[#This Row],[NODE]]), VPC!A:A, 2, 0), "No está en VPC")</f>
        <v/>
      </c>
      <c r="L71">
        <f>IF(OR(ISNUMBER(SEARCH("VPC-Leaf", K71)), ISNUMBER(SEARCH("VPC_Leaf", K71))),SUBSTITUTE(SUBSTITUTE(SUBSTITUTE(K71, "VPC-Leaf", ""), "VPC_Leaf", ""), "_", "-"),A71)</f>
        <v/>
      </c>
      <c r="M71">
        <f>_xlfn.IFNA(VLOOKUP(_xlfn.CONCAT(VALUE(Table5[[#This Row],[NODE]]),Table5[[#This Row],[PORT]]),PG!C:H,6,0),"NO EXISTE PG")</f>
        <v/>
      </c>
      <c r="N71">
        <f>_xlfn.IFNA(VLOOKUP(_xlfn.CONCAT(VALUE(Table5[[#This Row],[NODE]]),Table5[[#This Row],[PORT]]),PG!C:H,4,0),"NO EXISTE ISEL")</f>
        <v/>
      </c>
      <c r="O71">
        <f>COUNTIF(Statics!G:G,Table5[[#This Row],[PG]])+COUNTIF(Statics!H:H,_xlfn.CONCAT((Table5[[#This Row],[NODE]]),Table5[[#This Row],[PORT]]))</f>
        <v/>
      </c>
      <c r="P71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71">
        <f>COUNTIF(Statics!F:F,Table5[[#This Row],[ID]])+COUNTIF(Statics!F:F,VALUE(Table5[[#This Row],[NODE]]))</f>
        <v/>
      </c>
    </row>
    <row r="72">
      <c r="A72" t="inlineStr">
        <is>
          <t>102</t>
        </is>
      </c>
      <c r="B72" t="inlineStr">
        <is>
          <t>1</t>
        </is>
      </c>
      <c r="C72">
        <f>VLOOKUP(VALUE(Table5[[#This Row],[NODE]]),LEAF_INFO!B:H,6,0)</f>
        <v/>
      </c>
      <c r="D72" t="inlineStr">
        <is>
          <t>eth1/49</t>
        </is>
      </c>
      <c r="E72" t="inlineStr">
        <is>
          <t>down</t>
        </is>
      </c>
      <c r="F72" t="inlineStr">
        <is>
          <t>down</t>
        </is>
      </c>
      <c r="G72">
        <f>VLOOKUP(_xlfn.CONCAT(Table5[[#This Row],[NODE]],Table5[[#This Row],[PORT]]),PORTS_!A:G,7,0)</f>
        <v/>
      </c>
      <c r="H72" t="inlineStr"/>
      <c r="I72">
        <f>VLOOKUP(VALUE(Table5[[#This Row],[NODE]]),LEAF_INFO!B:H,7,0)</f>
        <v/>
      </c>
      <c r="J72">
        <f>ISNUMBER(SEARCH("vpc-leaf", SUBSTITUTE(LOWER(K72), "_", "-")))</f>
        <v/>
      </c>
      <c r="K72">
        <f>_xlfn.IFNA(VLOOKUP(VALUE(Table5[[#This Row],[NODE]]), VPC!A:A, 2, 0), "No está en VPC")</f>
        <v/>
      </c>
      <c r="L72">
        <f>IF(OR(ISNUMBER(SEARCH("VPC-Leaf", K72)), ISNUMBER(SEARCH("VPC_Leaf", K72))),SUBSTITUTE(SUBSTITUTE(SUBSTITUTE(K72, "VPC-Leaf", ""), "VPC_Leaf", ""), "_", "-"),A72)</f>
        <v/>
      </c>
      <c r="M72">
        <f>_xlfn.IFNA(VLOOKUP(_xlfn.CONCAT(VALUE(Table5[[#This Row],[NODE]]),Table5[[#This Row],[PORT]]),PG!C:H,6,0),"NO EXISTE PG")</f>
        <v/>
      </c>
      <c r="N72">
        <f>_xlfn.IFNA(VLOOKUP(_xlfn.CONCAT(VALUE(Table5[[#This Row],[NODE]]),Table5[[#This Row],[PORT]]),PG!C:H,4,0),"NO EXISTE ISEL")</f>
        <v/>
      </c>
      <c r="O72">
        <f>COUNTIF(Statics!G:G,Table5[[#This Row],[PG]])+COUNTIF(Statics!H:H,_xlfn.CONCAT((Table5[[#This Row],[NODE]]),Table5[[#This Row],[PORT]]))</f>
        <v/>
      </c>
      <c r="P72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72">
        <f>COUNTIF(Statics!F:F,Table5[[#This Row],[ID]])+COUNTIF(Statics!F:F,VALUE(Table5[[#This Row],[NODE]]))</f>
        <v/>
      </c>
    </row>
    <row r="73">
      <c r="A73" t="inlineStr">
        <is>
          <t>102</t>
        </is>
      </c>
      <c r="B73" t="inlineStr">
        <is>
          <t>1</t>
        </is>
      </c>
      <c r="C73">
        <f>VLOOKUP(VALUE(Table5[[#This Row],[NODE]]),LEAF_INFO!B:H,6,0)</f>
        <v/>
      </c>
      <c r="D73" t="inlineStr">
        <is>
          <t>eth1/50</t>
        </is>
      </c>
      <c r="E73" t="inlineStr">
        <is>
          <t>down</t>
        </is>
      </c>
      <c r="F73" t="inlineStr">
        <is>
          <t>down</t>
        </is>
      </c>
      <c r="G73">
        <f>VLOOKUP(_xlfn.CONCAT(Table5[[#This Row],[NODE]],Table5[[#This Row],[PORT]]),PORTS_!A:G,7,0)</f>
        <v/>
      </c>
      <c r="H73" t="inlineStr"/>
      <c r="I73">
        <f>VLOOKUP(VALUE(Table5[[#This Row],[NODE]]),LEAF_INFO!B:H,7,0)</f>
        <v/>
      </c>
      <c r="J73">
        <f>ISNUMBER(SEARCH("vpc-leaf", SUBSTITUTE(LOWER(K73), "_", "-")))</f>
        <v/>
      </c>
      <c r="K73">
        <f>_xlfn.IFNA(VLOOKUP(VALUE(Table5[[#This Row],[NODE]]), VPC!A:A, 2, 0), "No está en VPC")</f>
        <v/>
      </c>
      <c r="L73">
        <f>IF(OR(ISNUMBER(SEARCH("VPC-Leaf", K73)), ISNUMBER(SEARCH("VPC_Leaf", K73))),SUBSTITUTE(SUBSTITUTE(SUBSTITUTE(K73, "VPC-Leaf", ""), "VPC_Leaf", ""), "_", "-"),A73)</f>
        <v/>
      </c>
      <c r="M73">
        <f>_xlfn.IFNA(VLOOKUP(_xlfn.CONCAT(VALUE(Table5[[#This Row],[NODE]]),Table5[[#This Row],[PORT]]),PG!C:H,6,0),"NO EXISTE PG")</f>
        <v/>
      </c>
      <c r="N73">
        <f>_xlfn.IFNA(VLOOKUP(_xlfn.CONCAT(VALUE(Table5[[#This Row],[NODE]]),Table5[[#This Row],[PORT]]),PG!C:H,4,0),"NO EXISTE ISEL")</f>
        <v/>
      </c>
      <c r="O73">
        <f>COUNTIF(Statics!G:G,Table5[[#This Row],[PG]])+COUNTIF(Statics!H:H,_xlfn.CONCAT((Table5[[#This Row],[NODE]]),Table5[[#This Row],[PORT]]))</f>
        <v/>
      </c>
      <c r="P73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73">
        <f>COUNTIF(Statics!F:F,Table5[[#This Row],[ID]])+COUNTIF(Statics!F:F,VALUE(Table5[[#This Row],[NODE]]))</f>
        <v/>
      </c>
    </row>
    <row r="74">
      <c r="A74" t="inlineStr">
        <is>
          <t>102</t>
        </is>
      </c>
      <c r="B74" t="inlineStr">
        <is>
          <t>1</t>
        </is>
      </c>
      <c r="C74">
        <f>VLOOKUP(VALUE(Table5[[#This Row],[NODE]]),LEAF_INFO!B:H,6,0)</f>
        <v/>
      </c>
      <c r="D74" t="inlineStr">
        <is>
          <t>eth1/51</t>
        </is>
      </c>
      <c r="E74" t="inlineStr">
        <is>
          <t>down</t>
        </is>
      </c>
      <c r="F74" t="inlineStr">
        <is>
          <t>down</t>
        </is>
      </c>
      <c r="G74">
        <f>VLOOKUP(_xlfn.CONCAT(Table5[[#This Row],[NODE]],Table5[[#This Row],[PORT]]),PORTS_!A:G,7,0)</f>
        <v/>
      </c>
      <c r="H74" t="inlineStr"/>
      <c r="I74">
        <f>VLOOKUP(VALUE(Table5[[#This Row],[NODE]]),LEAF_INFO!B:H,7,0)</f>
        <v/>
      </c>
      <c r="J74">
        <f>ISNUMBER(SEARCH("vpc-leaf", SUBSTITUTE(LOWER(K74), "_", "-")))</f>
        <v/>
      </c>
      <c r="K74">
        <f>_xlfn.IFNA(VLOOKUP(VALUE(Table5[[#This Row],[NODE]]), VPC!A:A, 2, 0), "No está en VPC")</f>
        <v/>
      </c>
      <c r="L74">
        <f>IF(OR(ISNUMBER(SEARCH("VPC-Leaf", K74)), ISNUMBER(SEARCH("VPC_Leaf", K74))),SUBSTITUTE(SUBSTITUTE(SUBSTITUTE(K74, "VPC-Leaf", ""), "VPC_Leaf", ""), "_", "-"),A74)</f>
        <v/>
      </c>
      <c r="M74">
        <f>_xlfn.IFNA(VLOOKUP(_xlfn.CONCAT(VALUE(Table5[[#This Row],[NODE]]),Table5[[#This Row],[PORT]]),PG!C:H,6,0),"NO EXISTE PG")</f>
        <v/>
      </c>
      <c r="N74">
        <f>_xlfn.IFNA(VLOOKUP(_xlfn.CONCAT(VALUE(Table5[[#This Row],[NODE]]),Table5[[#This Row],[PORT]]),PG!C:H,4,0),"NO EXISTE ISEL")</f>
        <v/>
      </c>
      <c r="O74">
        <f>COUNTIF(Statics!G:G,Table5[[#This Row],[PG]])+COUNTIF(Statics!H:H,_xlfn.CONCAT((Table5[[#This Row],[NODE]]),Table5[[#This Row],[PORT]]))</f>
        <v/>
      </c>
      <c r="P74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74">
        <f>COUNTIF(Statics!F:F,Table5[[#This Row],[ID]])+COUNTIF(Statics!F:F,VALUE(Table5[[#This Row],[NODE]]))</f>
        <v/>
      </c>
    </row>
    <row r="75">
      <c r="A75" t="inlineStr">
        <is>
          <t>102</t>
        </is>
      </c>
      <c r="B75" t="inlineStr">
        <is>
          <t>1</t>
        </is>
      </c>
      <c r="C75">
        <f>VLOOKUP(VALUE(Table5[[#This Row],[NODE]]),LEAF_INFO!B:H,6,0)</f>
        <v/>
      </c>
      <c r="D75" t="inlineStr">
        <is>
          <t>eth1/52</t>
        </is>
      </c>
      <c r="E75" t="inlineStr">
        <is>
          <t>down</t>
        </is>
      </c>
      <c r="F75" t="inlineStr">
        <is>
          <t>down</t>
        </is>
      </c>
      <c r="G75">
        <f>VLOOKUP(_xlfn.CONCAT(Table5[[#This Row],[NODE]],Table5[[#This Row],[PORT]]),PORTS_!A:G,7,0)</f>
        <v/>
      </c>
      <c r="H75" t="inlineStr"/>
      <c r="I75">
        <f>VLOOKUP(VALUE(Table5[[#This Row],[NODE]]),LEAF_INFO!B:H,7,0)</f>
        <v/>
      </c>
      <c r="J75">
        <f>ISNUMBER(SEARCH("vpc-leaf", SUBSTITUTE(LOWER(K75), "_", "-")))</f>
        <v/>
      </c>
      <c r="K75">
        <f>_xlfn.IFNA(VLOOKUP(VALUE(Table5[[#This Row],[NODE]]), VPC!A:A, 2, 0), "No está en VPC")</f>
        <v/>
      </c>
      <c r="L75">
        <f>IF(OR(ISNUMBER(SEARCH("VPC-Leaf", K75)), ISNUMBER(SEARCH("VPC_Leaf", K75))),SUBSTITUTE(SUBSTITUTE(SUBSTITUTE(K75, "VPC-Leaf", ""), "VPC_Leaf", ""), "_", "-"),A75)</f>
        <v/>
      </c>
      <c r="M75">
        <f>_xlfn.IFNA(VLOOKUP(_xlfn.CONCAT(VALUE(Table5[[#This Row],[NODE]]),Table5[[#This Row],[PORT]]),PG!C:H,6,0),"NO EXISTE PG")</f>
        <v/>
      </c>
      <c r="N75">
        <f>_xlfn.IFNA(VLOOKUP(_xlfn.CONCAT(VALUE(Table5[[#This Row],[NODE]]),Table5[[#This Row],[PORT]]),PG!C:H,4,0),"NO EXISTE ISEL")</f>
        <v/>
      </c>
      <c r="O75">
        <f>COUNTIF(Statics!G:G,Table5[[#This Row],[PG]])+COUNTIF(Statics!H:H,_xlfn.CONCAT((Table5[[#This Row],[NODE]]),Table5[[#This Row],[PORT]]))</f>
        <v/>
      </c>
      <c r="P75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75">
        <f>COUNTIF(Statics!F:F,Table5[[#This Row],[ID]])+COUNTIF(Statics!F:F,VALUE(Table5[[#This Row],[NODE]]))</f>
        <v/>
      </c>
    </row>
    <row r="76">
      <c r="A76" t="inlineStr">
        <is>
          <t>102</t>
        </is>
      </c>
      <c r="B76" t="inlineStr">
        <is>
          <t>1</t>
        </is>
      </c>
      <c r="C76">
        <f>VLOOKUP(VALUE(Table5[[#This Row],[NODE]]),LEAF_INFO!B:H,6,0)</f>
        <v/>
      </c>
      <c r="D76" t="inlineStr">
        <is>
          <t>eth1/53</t>
        </is>
      </c>
      <c r="E76" t="inlineStr">
        <is>
          <t>up</t>
        </is>
      </c>
      <c r="F76" t="inlineStr">
        <is>
          <t>up</t>
        </is>
      </c>
      <c r="G76">
        <f>VLOOKUP(_xlfn.CONCAT(Table5[[#This Row],[NODE]],Table5[[#This Row],[PORT]]),PORTS_!A:G,7,0)</f>
        <v/>
      </c>
      <c r="H76" t="inlineStr">
        <is>
          <t>LINK_HACIA_SPINE</t>
        </is>
      </c>
      <c r="I76">
        <f>VLOOKUP(VALUE(Table5[[#This Row],[NODE]]),LEAF_INFO!B:H,7,0)</f>
        <v/>
      </c>
      <c r="J76">
        <f>ISNUMBER(SEARCH("vpc-leaf", SUBSTITUTE(LOWER(K76), "_", "-")))</f>
        <v/>
      </c>
      <c r="K76">
        <f>_xlfn.IFNA(VLOOKUP(VALUE(Table5[[#This Row],[NODE]]), VPC!A:A, 2, 0), "No está en VPC")</f>
        <v/>
      </c>
      <c r="L76">
        <f>IF(OR(ISNUMBER(SEARCH("VPC-Leaf", K76)), ISNUMBER(SEARCH("VPC_Leaf", K76))),SUBSTITUTE(SUBSTITUTE(SUBSTITUTE(K76, "VPC-Leaf", ""), "VPC_Leaf", ""), "_", "-"),A76)</f>
        <v/>
      </c>
      <c r="M76">
        <f>_xlfn.IFNA(VLOOKUP(_xlfn.CONCAT(VALUE(Table5[[#This Row],[NODE]]),Table5[[#This Row],[PORT]]),PG!C:H,6,0),"NO EXISTE PG")</f>
        <v/>
      </c>
      <c r="N76">
        <f>_xlfn.IFNA(VLOOKUP(_xlfn.CONCAT(VALUE(Table5[[#This Row],[NODE]]),Table5[[#This Row],[PORT]]),PG!C:H,4,0),"NO EXISTE ISEL")</f>
        <v/>
      </c>
      <c r="O76">
        <f>COUNTIF(Statics!G:G,Table5[[#This Row],[PG]])+COUNTIF(Statics!H:H,_xlfn.CONCAT((Table5[[#This Row],[NODE]]),Table5[[#This Row],[PORT]]))</f>
        <v/>
      </c>
      <c r="P76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76">
        <f>COUNTIF(Statics!F:F,Table5[[#This Row],[ID]])+COUNTIF(Statics!F:F,VALUE(Table5[[#This Row],[NODE]]))</f>
        <v/>
      </c>
    </row>
    <row r="77">
      <c r="A77" t="inlineStr">
        <is>
          <t>102</t>
        </is>
      </c>
      <c r="B77" t="inlineStr">
        <is>
          <t>1</t>
        </is>
      </c>
      <c r="C77">
        <f>VLOOKUP(VALUE(Table5[[#This Row],[NODE]]),LEAF_INFO!B:H,6,0)</f>
        <v/>
      </c>
      <c r="D77" t="inlineStr">
        <is>
          <t>eth1/54</t>
        </is>
      </c>
      <c r="E77" t="inlineStr">
        <is>
          <t>up</t>
        </is>
      </c>
      <c r="F77" t="inlineStr">
        <is>
          <t>up</t>
        </is>
      </c>
      <c r="G77">
        <f>VLOOKUP(_xlfn.CONCAT(Table5[[#This Row],[NODE]],Table5[[#This Row],[PORT]]),PORTS_!A:G,7,0)</f>
        <v/>
      </c>
      <c r="H77" t="inlineStr">
        <is>
          <t>LINK_HACIA_SPINE</t>
        </is>
      </c>
      <c r="I77">
        <f>VLOOKUP(VALUE(Table5[[#This Row],[NODE]]),LEAF_INFO!B:H,7,0)</f>
        <v/>
      </c>
      <c r="J77">
        <f>ISNUMBER(SEARCH("vpc-leaf", SUBSTITUTE(LOWER(K77), "_", "-")))</f>
        <v/>
      </c>
      <c r="K77">
        <f>_xlfn.IFNA(VLOOKUP(VALUE(Table5[[#This Row],[NODE]]), VPC!A:A, 2, 0), "No está en VPC")</f>
        <v/>
      </c>
      <c r="L77">
        <f>IF(OR(ISNUMBER(SEARCH("VPC-Leaf", K77)), ISNUMBER(SEARCH("VPC_Leaf", K77))),SUBSTITUTE(SUBSTITUTE(SUBSTITUTE(K77, "VPC-Leaf", ""), "VPC_Leaf", ""), "_", "-"),A77)</f>
        <v/>
      </c>
      <c r="M77">
        <f>_xlfn.IFNA(VLOOKUP(_xlfn.CONCAT(VALUE(Table5[[#This Row],[NODE]]),Table5[[#This Row],[PORT]]),PG!C:H,6,0),"NO EXISTE PG")</f>
        <v/>
      </c>
      <c r="N77">
        <f>_xlfn.IFNA(VLOOKUP(_xlfn.CONCAT(VALUE(Table5[[#This Row],[NODE]]),Table5[[#This Row],[PORT]]),PG!C:H,4,0),"NO EXISTE ISEL")</f>
        <v/>
      </c>
      <c r="O77">
        <f>COUNTIF(Statics!G:G,Table5[[#This Row],[PG]])+COUNTIF(Statics!H:H,_xlfn.CONCAT((Table5[[#This Row],[NODE]]),Table5[[#This Row],[PORT]]))</f>
        <v/>
      </c>
      <c r="P77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77">
        <f>COUNTIF(Statics!F:F,Table5[[#This Row],[ID]])+COUNTIF(Statics!F:F,VALUE(Table5[[#This Row],[NODE]]))</f>
        <v/>
      </c>
    </row>
    <row r="78">
      <c r="A78" t="inlineStr">
        <is>
          <t>102</t>
        </is>
      </c>
      <c r="B78" t="inlineStr">
        <is>
          <t>1</t>
        </is>
      </c>
      <c r="C78">
        <f>VLOOKUP(VALUE(Table5[[#This Row],[NODE]]),LEAF_INFO!B:H,6,0)</f>
        <v/>
      </c>
      <c r="D78" t="inlineStr">
        <is>
          <t>eth1/1</t>
        </is>
      </c>
      <c r="E78" t="inlineStr">
        <is>
          <t>down</t>
        </is>
      </c>
      <c r="F78" t="inlineStr">
        <is>
          <t>down</t>
        </is>
      </c>
      <c r="G78">
        <f>VLOOKUP(_xlfn.CONCAT(Table5[[#This Row],[NODE]],Table5[[#This Row],[PORT]]),PORTS_!A:G,7,0)</f>
        <v/>
      </c>
      <c r="H78" t="inlineStr"/>
      <c r="I78">
        <f>VLOOKUP(VALUE(Table5[[#This Row],[NODE]]),LEAF_INFO!B:H,7,0)</f>
        <v/>
      </c>
      <c r="J78">
        <f>ISNUMBER(SEARCH("vpc-leaf", SUBSTITUTE(LOWER(K78), "_", "-")))</f>
        <v/>
      </c>
      <c r="K78">
        <f>_xlfn.IFNA(VLOOKUP(VALUE(Table5[[#This Row],[NODE]]), VPC!A:A, 2, 0), "No está en VPC")</f>
        <v/>
      </c>
      <c r="L78">
        <f>IF(OR(ISNUMBER(SEARCH("VPC-Leaf", K78)), ISNUMBER(SEARCH("VPC_Leaf", K78))),SUBSTITUTE(SUBSTITUTE(SUBSTITUTE(K78, "VPC-Leaf", ""), "VPC_Leaf", ""), "_", "-"),A78)</f>
        <v/>
      </c>
      <c r="M78">
        <f>_xlfn.IFNA(VLOOKUP(_xlfn.CONCAT(VALUE(Table5[[#This Row],[NODE]]),Table5[[#This Row],[PORT]]),PG!C:H,6,0),"NO EXISTE PG")</f>
        <v/>
      </c>
      <c r="N78">
        <f>_xlfn.IFNA(VLOOKUP(_xlfn.CONCAT(VALUE(Table5[[#This Row],[NODE]]),Table5[[#This Row],[PORT]]),PG!C:H,4,0),"NO EXISTE ISEL")</f>
        <v/>
      </c>
      <c r="O78">
        <f>COUNTIF(Statics!G:G,Table5[[#This Row],[PG]])+COUNTIF(Statics!H:H,_xlfn.CONCAT((Table5[[#This Row],[NODE]]),Table5[[#This Row],[PORT]]))</f>
        <v/>
      </c>
      <c r="P78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78">
        <f>COUNTIF(Statics!F:F,Table5[[#This Row],[ID]])+COUNTIF(Statics!F:F,VALUE(Table5[[#This Row],[NODE]]))</f>
        <v/>
      </c>
    </row>
    <row r="79">
      <c r="A79" t="inlineStr">
        <is>
          <t>102</t>
        </is>
      </c>
      <c r="B79" t="inlineStr">
        <is>
          <t>1</t>
        </is>
      </c>
      <c r="C79">
        <f>VLOOKUP(VALUE(Table5[[#This Row],[NODE]]),LEAF_INFO!B:H,6,0)</f>
        <v/>
      </c>
      <c r="D79" t="inlineStr">
        <is>
          <t>eth1/2</t>
        </is>
      </c>
      <c r="E79" t="inlineStr">
        <is>
          <t>down</t>
        </is>
      </c>
      <c r="F79" t="inlineStr">
        <is>
          <t>down</t>
        </is>
      </c>
      <c r="G79">
        <f>VLOOKUP(_xlfn.CONCAT(Table5[[#This Row],[NODE]],Table5[[#This Row],[PORT]]),PORTS_!A:G,7,0)</f>
        <v/>
      </c>
      <c r="H79" t="inlineStr"/>
      <c r="I79">
        <f>VLOOKUP(VALUE(Table5[[#This Row],[NODE]]),LEAF_INFO!B:H,7,0)</f>
        <v/>
      </c>
      <c r="J79">
        <f>ISNUMBER(SEARCH("vpc-leaf", SUBSTITUTE(LOWER(K79), "_", "-")))</f>
        <v/>
      </c>
      <c r="K79">
        <f>_xlfn.IFNA(VLOOKUP(VALUE(Table5[[#This Row],[NODE]]), VPC!A:A, 2, 0), "No está en VPC")</f>
        <v/>
      </c>
      <c r="L79">
        <f>IF(OR(ISNUMBER(SEARCH("VPC-Leaf", K79)), ISNUMBER(SEARCH("VPC_Leaf", K79))),SUBSTITUTE(SUBSTITUTE(SUBSTITUTE(K79, "VPC-Leaf", ""), "VPC_Leaf", ""), "_", "-"),A79)</f>
        <v/>
      </c>
      <c r="M79">
        <f>_xlfn.IFNA(VLOOKUP(_xlfn.CONCAT(VALUE(Table5[[#This Row],[NODE]]),Table5[[#This Row],[PORT]]),PG!C:H,6,0),"NO EXISTE PG")</f>
        <v/>
      </c>
      <c r="N79">
        <f>_xlfn.IFNA(VLOOKUP(_xlfn.CONCAT(VALUE(Table5[[#This Row],[NODE]]),Table5[[#This Row],[PORT]]),PG!C:H,4,0),"NO EXISTE ISEL")</f>
        <v/>
      </c>
      <c r="O79">
        <f>COUNTIF(Statics!G:G,Table5[[#This Row],[PG]])+COUNTIF(Statics!H:H,_xlfn.CONCAT((Table5[[#This Row],[NODE]]),Table5[[#This Row],[PORT]]))</f>
        <v/>
      </c>
      <c r="P79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79">
        <f>COUNTIF(Statics!F:F,Table5[[#This Row],[ID]])+COUNTIF(Statics!F:F,VALUE(Table5[[#This Row],[NODE]]))</f>
        <v/>
      </c>
    </row>
    <row r="80">
      <c r="A80" t="inlineStr">
        <is>
          <t>102</t>
        </is>
      </c>
      <c r="B80" t="inlineStr">
        <is>
          <t>1</t>
        </is>
      </c>
      <c r="C80">
        <f>VLOOKUP(VALUE(Table5[[#This Row],[NODE]]),LEAF_INFO!B:H,6,0)</f>
        <v/>
      </c>
      <c r="D80" t="inlineStr">
        <is>
          <t>eth1/3</t>
        </is>
      </c>
      <c r="E80" t="inlineStr">
        <is>
          <t>down</t>
        </is>
      </c>
      <c r="F80" t="inlineStr">
        <is>
          <t>down</t>
        </is>
      </c>
      <c r="G80">
        <f>VLOOKUP(_xlfn.CONCAT(Table5[[#This Row],[NODE]],Table5[[#This Row],[PORT]]),PORTS_!A:G,7,0)</f>
        <v/>
      </c>
      <c r="H80" t="inlineStr"/>
      <c r="I80">
        <f>VLOOKUP(VALUE(Table5[[#This Row],[NODE]]),LEAF_INFO!B:H,7,0)</f>
        <v/>
      </c>
      <c r="J80">
        <f>ISNUMBER(SEARCH("vpc-leaf", SUBSTITUTE(LOWER(K80), "_", "-")))</f>
        <v/>
      </c>
      <c r="K80">
        <f>_xlfn.IFNA(VLOOKUP(VALUE(Table5[[#This Row],[NODE]]), VPC!A:A, 2, 0), "No está en VPC")</f>
        <v/>
      </c>
      <c r="L80">
        <f>IF(OR(ISNUMBER(SEARCH("VPC-Leaf", K80)), ISNUMBER(SEARCH("VPC_Leaf", K80))),SUBSTITUTE(SUBSTITUTE(SUBSTITUTE(K80, "VPC-Leaf", ""), "VPC_Leaf", ""), "_", "-"),A80)</f>
        <v/>
      </c>
      <c r="M80">
        <f>_xlfn.IFNA(VLOOKUP(_xlfn.CONCAT(VALUE(Table5[[#This Row],[NODE]]),Table5[[#This Row],[PORT]]),PG!C:H,6,0),"NO EXISTE PG")</f>
        <v/>
      </c>
      <c r="N80">
        <f>_xlfn.IFNA(VLOOKUP(_xlfn.CONCAT(VALUE(Table5[[#This Row],[NODE]]),Table5[[#This Row],[PORT]]),PG!C:H,4,0),"NO EXISTE ISEL")</f>
        <v/>
      </c>
      <c r="O80">
        <f>COUNTIF(Statics!G:G,Table5[[#This Row],[PG]])+COUNTIF(Statics!H:H,_xlfn.CONCAT((Table5[[#This Row],[NODE]]),Table5[[#This Row],[PORT]]))</f>
        <v/>
      </c>
      <c r="P80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80">
        <f>COUNTIF(Statics!F:F,Table5[[#This Row],[ID]])+COUNTIF(Statics!F:F,VALUE(Table5[[#This Row],[NODE]]))</f>
        <v/>
      </c>
    </row>
    <row r="81">
      <c r="A81" t="inlineStr">
        <is>
          <t>102</t>
        </is>
      </c>
      <c r="B81" t="inlineStr">
        <is>
          <t>1</t>
        </is>
      </c>
      <c r="C81">
        <f>VLOOKUP(VALUE(Table5[[#This Row],[NODE]]),LEAF_INFO!B:H,6,0)</f>
        <v/>
      </c>
      <c r="D81" t="inlineStr">
        <is>
          <t>eth1/4</t>
        </is>
      </c>
      <c r="E81" t="inlineStr">
        <is>
          <t>down</t>
        </is>
      </c>
      <c r="F81" t="inlineStr">
        <is>
          <t>down</t>
        </is>
      </c>
      <c r="G81">
        <f>VLOOKUP(_xlfn.CONCAT(Table5[[#This Row],[NODE]],Table5[[#This Row],[PORT]]),PORTS_!A:G,7,0)</f>
        <v/>
      </c>
      <c r="H81" t="inlineStr"/>
      <c r="I81">
        <f>VLOOKUP(VALUE(Table5[[#This Row],[NODE]]),LEAF_INFO!B:H,7,0)</f>
        <v/>
      </c>
      <c r="J81">
        <f>ISNUMBER(SEARCH("vpc-leaf", SUBSTITUTE(LOWER(K81), "_", "-")))</f>
        <v/>
      </c>
      <c r="K81">
        <f>_xlfn.IFNA(VLOOKUP(VALUE(Table5[[#This Row],[NODE]]), VPC!A:A, 2, 0), "No está en VPC")</f>
        <v/>
      </c>
      <c r="L81">
        <f>IF(OR(ISNUMBER(SEARCH("VPC-Leaf", K81)), ISNUMBER(SEARCH("VPC_Leaf", K81))),SUBSTITUTE(SUBSTITUTE(SUBSTITUTE(K81, "VPC-Leaf", ""), "VPC_Leaf", ""), "_", "-"),A81)</f>
        <v/>
      </c>
      <c r="M81">
        <f>_xlfn.IFNA(VLOOKUP(_xlfn.CONCAT(VALUE(Table5[[#This Row],[NODE]]),Table5[[#This Row],[PORT]]),PG!C:H,6,0),"NO EXISTE PG")</f>
        <v/>
      </c>
      <c r="N81">
        <f>_xlfn.IFNA(VLOOKUP(_xlfn.CONCAT(VALUE(Table5[[#This Row],[NODE]]),Table5[[#This Row],[PORT]]),PG!C:H,4,0),"NO EXISTE ISEL")</f>
        <v/>
      </c>
      <c r="O81">
        <f>COUNTIF(Statics!G:G,Table5[[#This Row],[PG]])+COUNTIF(Statics!H:H,_xlfn.CONCAT((Table5[[#This Row],[NODE]]),Table5[[#This Row],[PORT]]))</f>
        <v/>
      </c>
      <c r="P81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81">
        <f>COUNTIF(Statics!F:F,Table5[[#This Row],[ID]])+COUNTIF(Statics!F:F,VALUE(Table5[[#This Row],[NODE]]))</f>
        <v/>
      </c>
    </row>
    <row r="82">
      <c r="A82" t="inlineStr">
        <is>
          <t>102</t>
        </is>
      </c>
      <c r="B82" t="inlineStr">
        <is>
          <t>1</t>
        </is>
      </c>
      <c r="C82">
        <f>VLOOKUP(VALUE(Table5[[#This Row],[NODE]]),LEAF_INFO!B:H,6,0)</f>
        <v/>
      </c>
      <c r="D82" t="inlineStr">
        <is>
          <t>eth1/5</t>
        </is>
      </c>
      <c r="E82" t="inlineStr">
        <is>
          <t>down</t>
        </is>
      </c>
      <c r="F82" t="inlineStr">
        <is>
          <t>down</t>
        </is>
      </c>
      <c r="G82">
        <f>VLOOKUP(_xlfn.CONCAT(Table5[[#This Row],[NODE]],Table5[[#This Row],[PORT]]),PORTS_!A:G,7,0)</f>
        <v/>
      </c>
      <c r="H82" t="inlineStr"/>
      <c r="I82">
        <f>VLOOKUP(VALUE(Table5[[#This Row],[NODE]]),LEAF_INFO!B:H,7,0)</f>
        <v/>
      </c>
      <c r="J82">
        <f>ISNUMBER(SEARCH("vpc-leaf", SUBSTITUTE(LOWER(K82), "_", "-")))</f>
        <v/>
      </c>
      <c r="K82">
        <f>_xlfn.IFNA(VLOOKUP(VALUE(Table5[[#This Row],[NODE]]), VPC!A:A, 2, 0), "No está en VPC")</f>
        <v/>
      </c>
      <c r="L82">
        <f>IF(OR(ISNUMBER(SEARCH("VPC-Leaf", K82)), ISNUMBER(SEARCH("VPC_Leaf", K82))),SUBSTITUTE(SUBSTITUTE(SUBSTITUTE(K82, "VPC-Leaf", ""), "VPC_Leaf", ""), "_", "-"),A82)</f>
        <v/>
      </c>
      <c r="M82">
        <f>_xlfn.IFNA(VLOOKUP(_xlfn.CONCAT(VALUE(Table5[[#This Row],[NODE]]),Table5[[#This Row],[PORT]]),PG!C:H,6,0),"NO EXISTE PG")</f>
        <v/>
      </c>
      <c r="N82">
        <f>_xlfn.IFNA(VLOOKUP(_xlfn.CONCAT(VALUE(Table5[[#This Row],[NODE]]),Table5[[#This Row],[PORT]]),PG!C:H,4,0),"NO EXISTE ISEL")</f>
        <v/>
      </c>
      <c r="O82">
        <f>COUNTIF(Statics!G:G,Table5[[#This Row],[PG]])+COUNTIF(Statics!H:H,_xlfn.CONCAT((Table5[[#This Row],[NODE]]),Table5[[#This Row],[PORT]]))</f>
        <v/>
      </c>
      <c r="P82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82">
        <f>COUNTIF(Statics!F:F,Table5[[#This Row],[ID]])+COUNTIF(Statics!F:F,VALUE(Table5[[#This Row],[NODE]]))</f>
        <v/>
      </c>
    </row>
    <row r="83">
      <c r="A83" t="inlineStr">
        <is>
          <t>102</t>
        </is>
      </c>
      <c r="B83" t="inlineStr">
        <is>
          <t>1</t>
        </is>
      </c>
      <c r="C83">
        <f>VLOOKUP(VALUE(Table5[[#This Row],[NODE]]),LEAF_INFO!B:H,6,0)</f>
        <v/>
      </c>
      <c r="D83" t="inlineStr">
        <is>
          <t>eth1/6</t>
        </is>
      </c>
      <c r="E83" t="inlineStr">
        <is>
          <t>up</t>
        </is>
      </c>
      <c r="F83" t="inlineStr">
        <is>
          <t>up</t>
        </is>
      </c>
      <c r="G83">
        <f>VLOOKUP(_xlfn.CONCAT(Table5[[#This Row],[NODE]],Table5[[#This Row],[PORT]]),PORTS_!A:G,7,0)</f>
        <v/>
      </c>
      <c r="H83" t="inlineStr">
        <is>
          <t>To_BSC_ERICCSON_02</t>
        </is>
      </c>
      <c r="I83">
        <f>VLOOKUP(VALUE(Table5[[#This Row],[NODE]]),LEAF_INFO!B:H,7,0)</f>
        <v/>
      </c>
      <c r="J83">
        <f>ISNUMBER(SEARCH("vpc-leaf", SUBSTITUTE(LOWER(K83), "_", "-")))</f>
        <v/>
      </c>
      <c r="K83">
        <f>_xlfn.IFNA(VLOOKUP(VALUE(Table5[[#This Row],[NODE]]), VPC!A:A, 2, 0), "No está en VPC")</f>
        <v/>
      </c>
      <c r="L83">
        <f>IF(OR(ISNUMBER(SEARCH("VPC-Leaf", K83)), ISNUMBER(SEARCH("VPC_Leaf", K83))),SUBSTITUTE(SUBSTITUTE(SUBSTITUTE(K83, "VPC-Leaf", ""), "VPC_Leaf", ""), "_", "-"),A83)</f>
        <v/>
      </c>
      <c r="M83">
        <f>_xlfn.IFNA(VLOOKUP(_xlfn.CONCAT(VALUE(Table5[[#This Row],[NODE]]),Table5[[#This Row],[PORT]]),PG!C:H,6,0),"NO EXISTE PG")</f>
        <v/>
      </c>
      <c r="N83">
        <f>_xlfn.IFNA(VLOOKUP(_xlfn.CONCAT(VALUE(Table5[[#This Row],[NODE]]),Table5[[#This Row],[PORT]]),PG!C:H,4,0),"NO EXISTE ISEL")</f>
        <v/>
      </c>
      <c r="O83">
        <f>COUNTIF(Statics!G:G,Table5[[#This Row],[PG]])+COUNTIF(Statics!H:H,_xlfn.CONCAT((Table5[[#This Row],[NODE]]),Table5[[#This Row],[PORT]]))</f>
        <v/>
      </c>
      <c r="P83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83">
        <f>COUNTIF(Statics!F:F,Table5[[#This Row],[ID]])+COUNTIF(Statics!F:F,VALUE(Table5[[#This Row],[NODE]]))</f>
        <v/>
      </c>
    </row>
    <row r="84">
      <c r="A84" t="inlineStr">
        <is>
          <t>102</t>
        </is>
      </c>
      <c r="B84" t="inlineStr">
        <is>
          <t>1</t>
        </is>
      </c>
      <c r="C84">
        <f>VLOOKUP(VALUE(Table5[[#This Row],[NODE]]),LEAF_INFO!B:H,6,0)</f>
        <v/>
      </c>
      <c r="D84" t="inlineStr">
        <is>
          <t>eth1/7</t>
        </is>
      </c>
      <c r="E84" t="inlineStr">
        <is>
          <t>up</t>
        </is>
      </c>
      <c r="F84" t="inlineStr">
        <is>
          <t>up</t>
        </is>
      </c>
      <c r="G84">
        <f>VLOOKUP(_xlfn.CONCAT(Table5[[#This Row],[NODE]],Table5[[#This Row],[PORT]]),PORTS_!A:G,7,0)</f>
        <v/>
      </c>
      <c r="H84" t="inlineStr">
        <is>
          <t>To_PTMP-UG0-1710-0008</t>
        </is>
      </c>
      <c r="I84">
        <f>VLOOKUP(VALUE(Table5[[#This Row],[NODE]]),LEAF_INFO!B:H,7,0)</f>
        <v/>
      </c>
      <c r="J84">
        <f>ISNUMBER(SEARCH("vpc-leaf", SUBSTITUTE(LOWER(K84), "_", "-")))</f>
        <v/>
      </c>
      <c r="K84">
        <f>_xlfn.IFNA(VLOOKUP(VALUE(Table5[[#This Row],[NODE]]), VPC!A:A, 2, 0), "No está en VPC")</f>
        <v/>
      </c>
      <c r="L84">
        <f>IF(OR(ISNUMBER(SEARCH("VPC-Leaf", K84)), ISNUMBER(SEARCH("VPC_Leaf", K84))),SUBSTITUTE(SUBSTITUTE(SUBSTITUTE(K84, "VPC-Leaf", ""), "VPC_Leaf", ""), "_", "-"),A84)</f>
        <v/>
      </c>
      <c r="M84">
        <f>_xlfn.IFNA(VLOOKUP(_xlfn.CONCAT(VALUE(Table5[[#This Row],[NODE]]),Table5[[#This Row],[PORT]]),PG!C:H,6,0),"NO EXISTE PG")</f>
        <v/>
      </c>
      <c r="N84">
        <f>_xlfn.IFNA(VLOOKUP(_xlfn.CONCAT(VALUE(Table5[[#This Row],[NODE]]),Table5[[#This Row],[PORT]]),PG!C:H,4,0),"NO EXISTE ISEL")</f>
        <v/>
      </c>
      <c r="O84">
        <f>COUNTIF(Statics!G:G,Table5[[#This Row],[PG]])+COUNTIF(Statics!H:H,_xlfn.CONCAT((Table5[[#This Row],[NODE]]),Table5[[#This Row],[PORT]]))</f>
        <v/>
      </c>
      <c r="P84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84">
        <f>COUNTIF(Statics!F:F,Table5[[#This Row],[ID]])+COUNTIF(Statics!F:F,VALUE(Table5[[#This Row],[NODE]]))</f>
        <v/>
      </c>
    </row>
    <row r="85">
      <c r="A85" t="inlineStr">
        <is>
          <t>102</t>
        </is>
      </c>
      <c r="B85" t="inlineStr">
        <is>
          <t>1</t>
        </is>
      </c>
      <c r="C85">
        <f>VLOOKUP(VALUE(Table5[[#This Row],[NODE]]),LEAF_INFO!B:H,6,0)</f>
        <v/>
      </c>
      <c r="D85" t="inlineStr">
        <is>
          <t>eth1/8</t>
        </is>
      </c>
      <c r="E85" t="inlineStr">
        <is>
          <t>up</t>
        </is>
      </c>
      <c r="F85" t="inlineStr">
        <is>
          <t>up</t>
        </is>
      </c>
      <c r="G85">
        <f>VLOOKUP(_xlfn.CONCAT(Table5[[#This Row],[NODE]],Table5[[#This Row],[PORT]]),PORTS_!A:G,7,0)</f>
        <v/>
      </c>
      <c r="H85" t="inlineStr">
        <is>
          <t>To_PTMP-UG0-1507-0002</t>
        </is>
      </c>
      <c r="I85">
        <f>VLOOKUP(VALUE(Table5[[#This Row],[NODE]]),LEAF_INFO!B:H,7,0)</f>
        <v/>
      </c>
      <c r="J85">
        <f>ISNUMBER(SEARCH("vpc-leaf", SUBSTITUTE(LOWER(K85), "_", "-")))</f>
        <v/>
      </c>
      <c r="K85">
        <f>_xlfn.IFNA(VLOOKUP(VALUE(Table5[[#This Row],[NODE]]), VPC!A:A, 2, 0), "No está en VPC")</f>
        <v/>
      </c>
      <c r="L85">
        <f>IF(OR(ISNUMBER(SEARCH("VPC-Leaf", K85)), ISNUMBER(SEARCH("VPC_Leaf", K85))),SUBSTITUTE(SUBSTITUTE(SUBSTITUTE(K85, "VPC-Leaf", ""), "VPC_Leaf", ""), "_", "-"),A85)</f>
        <v/>
      </c>
      <c r="M85">
        <f>_xlfn.IFNA(VLOOKUP(_xlfn.CONCAT(VALUE(Table5[[#This Row],[NODE]]),Table5[[#This Row],[PORT]]),PG!C:H,6,0),"NO EXISTE PG")</f>
        <v/>
      </c>
      <c r="N85">
        <f>_xlfn.IFNA(VLOOKUP(_xlfn.CONCAT(VALUE(Table5[[#This Row],[NODE]]),Table5[[#This Row],[PORT]]),PG!C:H,4,0),"NO EXISTE ISEL")</f>
        <v/>
      </c>
      <c r="O85">
        <f>COUNTIF(Statics!G:G,Table5[[#This Row],[PG]])+COUNTIF(Statics!H:H,_xlfn.CONCAT((Table5[[#This Row],[NODE]]),Table5[[#This Row],[PORT]]))</f>
        <v/>
      </c>
      <c r="P85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85">
        <f>COUNTIF(Statics!F:F,Table5[[#This Row],[ID]])+COUNTIF(Statics!F:F,VALUE(Table5[[#This Row],[NODE]]))</f>
        <v/>
      </c>
    </row>
    <row r="86">
      <c r="A86" t="inlineStr">
        <is>
          <t>102</t>
        </is>
      </c>
      <c r="B86" t="inlineStr">
        <is>
          <t>1</t>
        </is>
      </c>
      <c r="C86">
        <f>VLOOKUP(VALUE(Table5[[#This Row],[NODE]]),LEAF_INFO!B:H,6,0)</f>
        <v/>
      </c>
      <c r="D86" t="inlineStr">
        <is>
          <t>eth1/9</t>
        </is>
      </c>
      <c r="E86" t="inlineStr">
        <is>
          <t>up</t>
        </is>
      </c>
      <c r="F86" t="inlineStr">
        <is>
          <t>up</t>
        </is>
      </c>
      <c r="G86">
        <f>VLOOKUP(_xlfn.CONCAT(Table5[[#This Row],[NODE]],Table5[[#This Row],[PORT]]),PORTS_!A:G,7,0)</f>
        <v/>
      </c>
      <c r="H86" t="inlineStr">
        <is>
          <t>LINK HACIA To_PTMP-UG0-1208-0008</t>
        </is>
      </c>
      <c r="I86">
        <f>VLOOKUP(VALUE(Table5[[#This Row],[NODE]]),LEAF_INFO!B:H,7,0)</f>
        <v/>
      </c>
      <c r="J86">
        <f>ISNUMBER(SEARCH("vpc-leaf", SUBSTITUTE(LOWER(K86), "_", "-")))</f>
        <v/>
      </c>
      <c r="K86">
        <f>_xlfn.IFNA(VLOOKUP(VALUE(Table5[[#This Row],[NODE]]), VPC!A:A, 2, 0), "No está en VPC")</f>
        <v/>
      </c>
      <c r="L86">
        <f>IF(OR(ISNUMBER(SEARCH("VPC-Leaf", K86)), ISNUMBER(SEARCH("VPC_Leaf", K86))),SUBSTITUTE(SUBSTITUTE(SUBSTITUTE(K86, "VPC-Leaf", ""), "VPC_Leaf", ""), "_", "-"),A86)</f>
        <v/>
      </c>
      <c r="M86">
        <f>_xlfn.IFNA(VLOOKUP(_xlfn.CONCAT(VALUE(Table5[[#This Row],[NODE]]),Table5[[#This Row],[PORT]]),PG!C:H,6,0),"NO EXISTE PG")</f>
        <v/>
      </c>
      <c r="N86">
        <f>_xlfn.IFNA(VLOOKUP(_xlfn.CONCAT(VALUE(Table5[[#This Row],[NODE]]),Table5[[#This Row],[PORT]]),PG!C:H,4,0),"NO EXISTE ISEL")</f>
        <v/>
      </c>
      <c r="O86">
        <f>COUNTIF(Statics!G:G,Table5[[#This Row],[PG]])+COUNTIF(Statics!H:H,_xlfn.CONCAT((Table5[[#This Row],[NODE]]),Table5[[#This Row],[PORT]]))</f>
        <v/>
      </c>
      <c r="P86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86">
        <f>COUNTIF(Statics!F:F,Table5[[#This Row],[ID]])+COUNTIF(Statics!F:F,VALUE(Table5[[#This Row],[NODE]]))</f>
        <v/>
      </c>
    </row>
    <row r="87">
      <c r="A87" t="inlineStr">
        <is>
          <t>102</t>
        </is>
      </c>
      <c r="B87" t="inlineStr">
        <is>
          <t>1</t>
        </is>
      </c>
      <c r="C87">
        <f>VLOOKUP(VALUE(Table5[[#This Row],[NODE]]),LEAF_INFO!B:H,6,0)</f>
        <v/>
      </c>
      <c r="D87" t="inlineStr">
        <is>
          <t>eth1/10</t>
        </is>
      </c>
      <c r="E87" t="inlineStr">
        <is>
          <t>up</t>
        </is>
      </c>
      <c r="F87" t="inlineStr">
        <is>
          <t>up</t>
        </is>
      </c>
      <c r="G87">
        <f>VLOOKUP(_xlfn.CONCAT(Table5[[#This Row],[NODE]],Table5[[#This Row],[PORT]]),PORTS_!A:G,7,0)</f>
        <v/>
      </c>
      <c r="H87" t="inlineStr">
        <is>
          <t>To_EVO1_INGEV1</t>
        </is>
      </c>
      <c r="I87">
        <f>VLOOKUP(VALUE(Table5[[#This Row],[NODE]]),LEAF_INFO!B:H,7,0)</f>
        <v/>
      </c>
      <c r="J87">
        <f>ISNUMBER(SEARCH("vpc-leaf", SUBSTITUTE(LOWER(K87), "_", "-")))</f>
        <v/>
      </c>
      <c r="K87">
        <f>_xlfn.IFNA(VLOOKUP(VALUE(Table5[[#This Row],[NODE]]), VPC!A:A, 2, 0), "No está en VPC")</f>
        <v/>
      </c>
      <c r="L87">
        <f>IF(OR(ISNUMBER(SEARCH("VPC-Leaf", K87)), ISNUMBER(SEARCH("VPC_Leaf", K87))),SUBSTITUTE(SUBSTITUTE(SUBSTITUTE(K87, "VPC-Leaf", ""), "VPC_Leaf", ""), "_", "-"),A87)</f>
        <v/>
      </c>
      <c r="M87">
        <f>_xlfn.IFNA(VLOOKUP(_xlfn.CONCAT(VALUE(Table5[[#This Row],[NODE]]),Table5[[#This Row],[PORT]]),PG!C:H,6,0),"NO EXISTE PG")</f>
        <v/>
      </c>
      <c r="N87">
        <f>_xlfn.IFNA(VLOOKUP(_xlfn.CONCAT(VALUE(Table5[[#This Row],[NODE]]),Table5[[#This Row],[PORT]]),PG!C:H,4,0),"NO EXISTE ISEL")</f>
        <v/>
      </c>
      <c r="O87">
        <f>COUNTIF(Statics!G:G,Table5[[#This Row],[PG]])+COUNTIF(Statics!H:H,_xlfn.CONCAT((Table5[[#This Row],[NODE]]),Table5[[#This Row],[PORT]]))</f>
        <v/>
      </c>
      <c r="P87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87">
        <f>COUNTIF(Statics!F:F,Table5[[#This Row],[ID]])+COUNTIF(Statics!F:F,VALUE(Table5[[#This Row],[NODE]]))</f>
        <v/>
      </c>
    </row>
    <row r="88">
      <c r="A88" t="inlineStr">
        <is>
          <t>102</t>
        </is>
      </c>
      <c r="B88" t="inlineStr">
        <is>
          <t>1</t>
        </is>
      </c>
      <c r="C88">
        <f>VLOOKUP(VALUE(Table5[[#This Row],[NODE]]),LEAF_INFO!B:H,6,0)</f>
        <v/>
      </c>
      <c r="D88" t="inlineStr">
        <is>
          <t>eth1/11</t>
        </is>
      </c>
      <c r="E88" t="inlineStr">
        <is>
          <t>down</t>
        </is>
      </c>
      <c r="F88" t="inlineStr">
        <is>
          <t>down</t>
        </is>
      </c>
      <c r="G88">
        <f>VLOOKUP(_xlfn.CONCAT(Table5[[#This Row],[NODE]],Table5[[#This Row],[PORT]]),PORTS_!A:G,7,0)</f>
        <v/>
      </c>
      <c r="H88" t="inlineStr"/>
      <c r="I88">
        <f>VLOOKUP(VALUE(Table5[[#This Row],[NODE]]),LEAF_INFO!B:H,7,0)</f>
        <v/>
      </c>
      <c r="J88">
        <f>ISNUMBER(SEARCH("vpc-leaf", SUBSTITUTE(LOWER(K88), "_", "-")))</f>
        <v/>
      </c>
      <c r="K88">
        <f>_xlfn.IFNA(VLOOKUP(VALUE(Table5[[#This Row],[NODE]]), VPC!A:A, 2, 0), "No está en VPC")</f>
        <v/>
      </c>
      <c r="L88">
        <f>IF(OR(ISNUMBER(SEARCH("VPC-Leaf", K88)), ISNUMBER(SEARCH("VPC_Leaf", K88))),SUBSTITUTE(SUBSTITUTE(SUBSTITUTE(K88, "VPC-Leaf", ""), "VPC_Leaf", ""), "_", "-"),A88)</f>
        <v/>
      </c>
      <c r="M88">
        <f>_xlfn.IFNA(VLOOKUP(_xlfn.CONCAT(VALUE(Table5[[#This Row],[NODE]]),Table5[[#This Row],[PORT]]),PG!C:H,6,0),"NO EXISTE PG")</f>
        <v/>
      </c>
      <c r="N88">
        <f>_xlfn.IFNA(VLOOKUP(_xlfn.CONCAT(VALUE(Table5[[#This Row],[NODE]]),Table5[[#This Row],[PORT]]),PG!C:H,4,0),"NO EXISTE ISEL")</f>
        <v/>
      </c>
      <c r="O88">
        <f>COUNTIF(Statics!G:G,Table5[[#This Row],[PG]])+COUNTIF(Statics!H:H,_xlfn.CONCAT((Table5[[#This Row],[NODE]]),Table5[[#This Row],[PORT]]))</f>
        <v/>
      </c>
      <c r="P88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88">
        <f>COUNTIF(Statics!F:F,Table5[[#This Row],[ID]])+COUNTIF(Statics!F:F,VALUE(Table5[[#This Row],[NODE]]))</f>
        <v/>
      </c>
    </row>
    <row r="89">
      <c r="A89" t="inlineStr">
        <is>
          <t>102</t>
        </is>
      </c>
      <c r="B89" t="inlineStr">
        <is>
          <t>1</t>
        </is>
      </c>
      <c r="C89">
        <f>VLOOKUP(VALUE(Table5[[#This Row],[NODE]]),LEAF_INFO!B:H,6,0)</f>
        <v/>
      </c>
      <c r="D89" t="inlineStr">
        <is>
          <t>eth1/12</t>
        </is>
      </c>
      <c r="E89" t="inlineStr">
        <is>
          <t>down</t>
        </is>
      </c>
      <c r="F89" t="inlineStr">
        <is>
          <t>down</t>
        </is>
      </c>
      <c r="G89">
        <f>VLOOKUP(_xlfn.CONCAT(Table5[[#This Row],[NODE]],Table5[[#This Row],[PORT]]),PORTS_!A:G,7,0)</f>
        <v/>
      </c>
      <c r="H89" t="inlineStr"/>
      <c r="I89">
        <f>VLOOKUP(VALUE(Table5[[#This Row],[NODE]]),LEAF_INFO!B:H,7,0)</f>
        <v/>
      </c>
      <c r="J89">
        <f>ISNUMBER(SEARCH("vpc-leaf", SUBSTITUTE(LOWER(K89), "_", "-")))</f>
        <v/>
      </c>
      <c r="K89">
        <f>_xlfn.IFNA(VLOOKUP(VALUE(Table5[[#This Row],[NODE]]), VPC!A:A, 2, 0), "No está en VPC")</f>
        <v/>
      </c>
      <c r="L89">
        <f>IF(OR(ISNUMBER(SEARCH("VPC-Leaf", K89)), ISNUMBER(SEARCH("VPC_Leaf", K89))),SUBSTITUTE(SUBSTITUTE(SUBSTITUTE(K89, "VPC-Leaf", ""), "VPC_Leaf", ""), "_", "-"),A89)</f>
        <v/>
      </c>
      <c r="M89">
        <f>_xlfn.IFNA(VLOOKUP(_xlfn.CONCAT(VALUE(Table5[[#This Row],[NODE]]),Table5[[#This Row],[PORT]]),PG!C:H,6,0),"NO EXISTE PG")</f>
        <v/>
      </c>
      <c r="N89">
        <f>_xlfn.IFNA(VLOOKUP(_xlfn.CONCAT(VALUE(Table5[[#This Row],[NODE]]),Table5[[#This Row],[PORT]]),PG!C:H,4,0),"NO EXISTE ISEL")</f>
        <v/>
      </c>
      <c r="O89">
        <f>COUNTIF(Statics!G:G,Table5[[#This Row],[PG]])+COUNTIF(Statics!H:H,_xlfn.CONCAT((Table5[[#This Row],[NODE]]),Table5[[#This Row],[PORT]]))</f>
        <v/>
      </c>
      <c r="P89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89">
        <f>COUNTIF(Statics!F:F,Table5[[#This Row],[ID]])+COUNTIF(Statics!F:F,VALUE(Table5[[#This Row],[NODE]]))</f>
        <v/>
      </c>
    </row>
    <row r="90">
      <c r="A90" t="inlineStr">
        <is>
          <t>102</t>
        </is>
      </c>
      <c r="B90" t="inlineStr">
        <is>
          <t>1</t>
        </is>
      </c>
      <c r="C90">
        <f>VLOOKUP(VALUE(Table5[[#This Row],[NODE]]),LEAF_INFO!B:H,6,0)</f>
        <v/>
      </c>
      <c r="D90" t="inlineStr">
        <is>
          <t>eth1/13</t>
        </is>
      </c>
      <c r="E90" t="inlineStr">
        <is>
          <t>down</t>
        </is>
      </c>
      <c r="F90" t="inlineStr">
        <is>
          <t>down</t>
        </is>
      </c>
      <c r="G90">
        <f>VLOOKUP(_xlfn.CONCAT(Table5[[#This Row],[NODE]],Table5[[#This Row],[PORT]]),PORTS_!A:G,7,0)</f>
        <v/>
      </c>
      <c r="H90" t="inlineStr"/>
      <c r="I90">
        <f>VLOOKUP(VALUE(Table5[[#This Row],[NODE]]),LEAF_INFO!B:H,7,0)</f>
        <v/>
      </c>
      <c r="J90">
        <f>ISNUMBER(SEARCH("vpc-leaf", SUBSTITUTE(LOWER(K90), "_", "-")))</f>
        <v/>
      </c>
      <c r="K90">
        <f>_xlfn.IFNA(VLOOKUP(VALUE(Table5[[#This Row],[NODE]]), VPC!A:A, 2, 0), "No está en VPC")</f>
        <v/>
      </c>
      <c r="L90">
        <f>IF(OR(ISNUMBER(SEARCH("VPC-Leaf", K90)), ISNUMBER(SEARCH("VPC_Leaf", K90))),SUBSTITUTE(SUBSTITUTE(SUBSTITUTE(K90, "VPC-Leaf", ""), "VPC_Leaf", ""), "_", "-"),A90)</f>
        <v/>
      </c>
      <c r="M90">
        <f>_xlfn.IFNA(VLOOKUP(_xlfn.CONCAT(VALUE(Table5[[#This Row],[NODE]]),Table5[[#This Row],[PORT]]),PG!C:H,6,0),"NO EXISTE PG")</f>
        <v/>
      </c>
      <c r="N90">
        <f>_xlfn.IFNA(VLOOKUP(_xlfn.CONCAT(VALUE(Table5[[#This Row],[NODE]]),Table5[[#This Row],[PORT]]),PG!C:H,4,0),"NO EXISTE ISEL")</f>
        <v/>
      </c>
      <c r="O90">
        <f>COUNTIF(Statics!G:G,Table5[[#This Row],[PG]])+COUNTIF(Statics!H:H,_xlfn.CONCAT((Table5[[#This Row],[NODE]]),Table5[[#This Row],[PORT]]))</f>
        <v/>
      </c>
      <c r="P90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90">
        <f>COUNTIF(Statics!F:F,Table5[[#This Row],[ID]])+COUNTIF(Statics!F:F,VALUE(Table5[[#This Row],[NODE]]))</f>
        <v/>
      </c>
    </row>
    <row r="91">
      <c r="A91" t="inlineStr">
        <is>
          <t>102</t>
        </is>
      </c>
      <c r="B91" t="inlineStr">
        <is>
          <t>1</t>
        </is>
      </c>
      <c r="C91">
        <f>VLOOKUP(VALUE(Table5[[#This Row],[NODE]]),LEAF_INFO!B:H,6,0)</f>
        <v/>
      </c>
      <c r="D91" t="inlineStr">
        <is>
          <t>eth1/14</t>
        </is>
      </c>
      <c r="E91" t="inlineStr">
        <is>
          <t>down</t>
        </is>
      </c>
      <c r="F91" t="inlineStr">
        <is>
          <t>down</t>
        </is>
      </c>
      <c r="G91">
        <f>VLOOKUP(_xlfn.CONCAT(Table5[[#This Row],[NODE]],Table5[[#This Row],[PORT]]),PORTS_!A:G,7,0)</f>
        <v/>
      </c>
      <c r="H91" t="inlineStr"/>
      <c r="I91">
        <f>VLOOKUP(VALUE(Table5[[#This Row],[NODE]]),LEAF_INFO!B:H,7,0)</f>
        <v/>
      </c>
      <c r="J91">
        <f>ISNUMBER(SEARCH("vpc-leaf", SUBSTITUTE(LOWER(K91), "_", "-")))</f>
        <v/>
      </c>
      <c r="K91">
        <f>_xlfn.IFNA(VLOOKUP(VALUE(Table5[[#This Row],[NODE]]), VPC!A:A, 2, 0), "No está en VPC")</f>
        <v/>
      </c>
      <c r="L91">
        <f>IF(OR(ISNUMBER(SEARCH("VPC-Leaf", K91)), ISNUMBER(SEARCH("VPC_Leaf", K91))),SUBSTITUTE(SUBSTITUTE(SUBSTITUTE(K91, "VPC-Leaf", ""), "VPC_Leaf", ""), "_", "-"),A91)</f>
        <v/>
      </c>
      <c r="M91">
        <f>_xlfn.IFNA(VLOOKUP(_xlfn.CONCAT(VALUE(Table5[[#This Row],[NODE]]),Table5[[#This Row],[PORT]]),PG!C:H,6,0),"NO EXISTE PG")</f>
        <v/>
      </c>
      <c r="N91">
        <f>_xlfn.IFNA(VLOOKUP(_xlfn.CONCAT(VALUE(Table5[[#This Row],[NODE]]),Table5[[#This Row],[PORT]]),PG!C:H,4,0),"NO EXISTE ISEL")</f>
        <v/>
      </c>
      <c r="O91">
        <f>COUNTIF(Statics!G:G,Table5[[#This Row],[PG]])+COUNTIF(Statics!H:H,_xlfn.CONCAT((Table5[[#This Row],[NODE]]),Table5[[#This Row],[PORT]]))</f>
        <v/>
      </c>
      <c r="P91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91">
        <f>COUNTIF(Statics!F:F,Table5[[#This Row],[ID]])+COUNTIF(Statics!F:F,VALUE(Table5[[#This Row],[NODE]]))</f>
        <v/>
      </c>
    </row>
    <row r="92">
      <c r="A92" t="inlineStr">
        <is>
          <t>102</t>
        </is>
      </c>
      <c r="B92" t="inlineStr">
        <is>
          <t>1</t>
        </is>
      </c>
      <c r="C92">
        <f>VLOOKUP(VALUE(Table5[[#This Row],[NODE]]),LEAF_INFO!B:H,6,0)</f>
        <v/>
      </c>
      <c r="D92" t="inlineStr">
        <is>
          <t>eth1/15</t>
        </is>
      </c>
      <c r="E92" t="inlineStr">
        <is>
          <t>down</t>
        </is>
      </c>
      <c r="F92" t="inlineStr">
        <is>
          <t>down</t>
        </is>
      </c>
      <c r="G92">
        <f>VLOOKUP(_xlfn.CONCAT(Table5[[#This Row],[NODE]],Table5[[#This Row],[PORT]]),PORTS_!A:G,7,0)</f>
        <v/>
      </c>
      <c r="H92" t="inlineStr"/>
      <c r="I92">
        <f>VLOOKUP(VALUE(Table5[[#This Row],[NODE]]),LEAF_INFO!B:H,7,0)</f>
        <v/>
      </c>
      <c r="J92">
        <f>ISNUMBER(SEARCH("vpc-leaf", SUBSTITUTE(LOWER(K92), "_", "-")))</f>
        <v/>
      </c>
      <c r="K92">
        <f>_xlfn.IFNA(VLOOKUP(VALUE(Table5[[#This Row],[NODE]]), VPC!A:A, 2, 0), "No está en VPC")</f>
        <v/>
      </c>
      <c r="L92">
        <f>IF(OR(ISNUMBER(SEARCH("VPC-Leaf", K92)), ISNUMBER(SEARCH("VPC_Leaf", K92))),SUBSTITUTE(SUBSTITUTE(SUBSTITUTE(K92, "VPC-Leaf", ""), "VPC_Leaf", ""), "_", "-"),A92)</f>
        <v/>
      </c>
      <c r="M92">
        <f>_xlfn.IFNA(VLOOKUP(_xlfn.CONCAT(VALUE(Table5[[#This Row],[NODE]]),Table5[[#This Row],[PORT]]),PG!C:H,6,0),"NO EXISTE PG")</f>
        <v/>
      </c>
      <c r="N92">
        <f>_xlfn.IFNA(VLOOKUP(_xlfn.CONCAT(VALUE(Table5[[#This Row],[NODE]]),Table5[[#This Row],[PORT]]),PG!C:H,4,0),"NO EXISTE ISEL")</f>
        <v/>
      </c>
      <c r="O92">
        <f>COUNTIF(Statics!G:G,Table5[[#This Row],[PG]])+COUNTIF(Statics!H:H,_xlfn.CONCAT((Table5[[#This Row],[NODE]]),Table5[[#This Row],[PORT]]))</f>
        <v/>
      </c>
      <c r="P92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92">
        <f>COUNTIF(Statics!F:F,Table5[[#This Row],[ID]])+COUNTIF(Statics!F:F,VALUE(Table5[[#This Row],[NODE]]))</f>
        <v/>
      </c>
    </row>
    <row r="93">
      <c r="A93" t="inlineStr">
        <is>
          <t>102</t>
        </is>
      </c>
      <c r="B93" t="inlineStr">
        <is>
          <t>1</t>
        </is>
      </c>
      <c r="C93">
        <f>VLOOKUP(VALUE(Table5[[#This Row],[NODE]]),LEAF_INFO!B:H,6,0)</f>
        <v/>
      </c>
      <c r="D93" t="inlineStr">
        <is>
          <t>eth1/16</t>
        </is>
      </c>
      <c r="E93" t="inlineStr">
        <is>
          <t>down</t>
        </is>
      </c>
      <c r="F93" t="inlineStr">
        <is>
          <t>down</t>
        </is>
      </c>
      <c r="G93">
        <f>VLOOKUP(_xlfn.CONCAT(Table5[[#This Row],[NODE]],Table5[[#This Row],[PORT]]),PORTS_!A:G,7,0)</f>
        <v/>
      </c>
      <c r="H93" t="inlineStr"/>
      <c r="I93">
        <f>VLOOKUP(VALUE(Table5[[#This Row],[NODE]]),LEAF_INFO!B:H,7,0)</f>
        <v/>
      </c>
      <c r="J93">
        <f>ISNUMBER(SEARCH("vpc-leaf", SUBSTITUTE(LOWER(K93), "_", "-")))</f>
        <v/>
      </c>
      <c r="K93">
        <f>_xlfn.IFNA(VLOOKUP(VALUE(Table5[[#This Row],[NODE]]), VPC!A:A, 2, 0), "No está en VPC")</f>
        <v/>
      </c>
      <c r="L93">
        <f>IF(OR(ISNUMBER(SEARCH("VPC-Leaf", K93)), ISNUMBER(SEARCH("VPC_Leaf", K93))),SUBSTITUTE(SUBSTITUTE(SUBSTITUTE(K93, "VPC-Leaf", ""), "VPC_Leaf", ""), "_", "-"),A93)</f>
        <v/>
      </c>
      <c r="M93">
        <f>_xlfn.IFNA(VLOOKUP(_xlfn.CONCAT(VALUE(Table5[[#This Row],[NODE]]),Table5[[#This Row],[PORT]]),PG!C:H,6,0),"NO EXISTE PG")</f>
        <v/>
      </c>
      <c r="N93">
        <f>_xlfn.IFNA(VLOOKUP(_xlfn.CONCAT(VALUE(Table5[[#This Row],[NODE]]),Table5[[#This Row],[PORT]]),PG!C:H,4,0),"NO EXISTE ISEL")</f>
        <v/>
      </c>
      <c r="O93">
        <f>COUNTIF(Statics!G:G,Table5[[#This Row],[PG]])+COUNTIF(Statics!H:H,_xlfn.CONCAT((Table5[[#This Row],[NODE]]),Table5[[#This Row],[PORT]]))</f>
        <v/>
      </c>
      <c r="P93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93">
        <f>COUNTIF(Statics!F:F,Table5[[#This Row],[ID]])+COUNTIF(Statics!F:F,VALUE(Table5[[#This Row],[NODE]]))</f>
        <v/>
      </c>
    </row>
    <row r="94">
      <c r="A94" t="inlineStr">
        <is>
          <t>102</t>
        </is>
      </c>
      <c r="B94" t="inlineStr">
        <is>
          <t>1</t>
        </is>
      </c>
      <c r="C94">
        <f>VLOOKUP(VALUE(Table5[[#This Row],[NODE]]),LEAF_INFO!B:H,6,0)</f>
        <v/>
      </c>
      <c r="D94" t="inlineStr">
        <is>
          <t>eth1/17</t>
        </is>
      </c>
      <c r="E94" t="inlineStr">
        <is>
          <t>down</t>
        </is>
      </c>
      <c r="F94" t="inlineStr">
        <is>
          <t>down</t>
        </is>
      </c>
      <c r="G94">
        <f>VLOOKUP(_xlfn.CONCAT(Table5[[#This Row],[NODE]],Table5[[#This Row],[PORT]]),PORTS_!A:G,7,0)</f>
        <v/>
      </c>
      <c r="H94" t="inlineStr"/>
      <c r="I94">
        <f>VLOOKUP(VALUE(Table5[[#This Row],[NODE]]),LEAF_INFO!B:H,7,0)</f>
        <v/>
      </c>
      <c r="J94">
        <f>ISNUMBER(SEARCH("vpc-leaf", SUBSTITUTE(LOWER(K94), "_", "-")))</f>
        <v/>
      </c>
      <c r="K94">
        <f>_xlfn.IFNA(VLOOKUP(VALUE(Table5[[#This Row],[NODE]]), VPC!A:A, 2, 0), "No está en VPC")</f>
        <v/>
      </c>
      <c r="L94">
        <f>IF(OR(ISNUMBER(SEARCH("VPC-Leaf", K94)), ISNUMBER(SEARCH("VPC_Leaf", K94))),SUBSTITUTE(SUBSTITUTE(SUBSTITUTE(K94, "VPC-Leaf", ""), "VPC_Leaf", ""), "_", "-"),A94)</f>
        <v/>
      </c>
      <c r="M94">
        <f>_xlfn.IFNA(VLOOKUP(_xlfn.CONCAT(VALUE(Table5[[#This Row],[NODE]]),Table5[[#This Row],[PORT]]),PG!C:H,6,0),"NO EXISTE PG")</f>
        <v/>
      </c>
      <c r="N94">
        <f>_xlfn.IFNA(VLOOKUP(_xlfn.CONCAT(VALUE(Table5[[#This Row],[NODE]]),Table5[[#This Row],[PORT]]),PG!C:H,4,0),"NO EXISTE ISEL")</f>
        <v/>
      </c>
      <c r="O94">
        <f>COUNTIF(Statics!G:G,Table5[[#This Row],[PG]])+COUNTIF(Statics!H:H,_xlfn.CONCAT((Table5[[#This Row],[NODE]]),Table5[[#This Row],[PORT]]))</f>
        <v/>
      </c>
      <c r="P94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94">
        <f>COUNTIF(Statics!F:F,Table5[[#This Row],[ID]])+COUNTIF(Statics!F:F,VALUE(Table5[[#This Row],[NODE]]))</f>
        <v/>
      </c>
    </row>
    <row r="95">
      <c r="A95" t="inlineStr">
        <is>
          <t>102</t>
        </is>
      </c>
      <c r="B95" t="inlineStr">
        <is>
          <t>1</t>
        </is>
      </c>
      <c r="C95">
        <f>VLOOKUP(VALUE(Table5[[#This Row],[NODE]]),LEAF_INFO!B:H,6,0)</f>
        <v/>
      </c>
      <c r="D95" t="inlineStr">
        <is>
          <t>eth1/18</t>
        </is>
      </c>
      <c r="E95" t="inlineStr">
        <is>
          <t>down</t>
        </is>
      </c>
      <c r="F95" t="inlineStr">
        <is>
          <t>down</t>
        </is>
      </c>
      <c r="G95">
        <f>VLOOKUP(_xlfn.CONCAT(Table5[[#This Row],[NODE]],Table5[[#This Row],[PORT]]),PORTS_!A:G,7,0)</f>
        <v/>
      </c>
      <c r="H95" t="inlineStr"/>
      <c r="I95">
        <f>VLOOKUP(VALUE(Table5[[#This Row],[NODE]]),LEAF_INFO!B:H,7,0)</f>
        <v/>
      </c>
      <c r="J95">
        <f>ISNUMBER(SEARCH("vpc-leaf", SUBSTITUTE(LOWER(K95), "_", "-")))</f>
        <v/>
      </c>
      <c r="K95">
        <f>_xlfn.IFNA(VLOOKUP(VALUE(Table5[[#This Row],[NODE]]), VPC!A:A, 2, 0), "No está en VPC")</f>
        <v/>
      </c>
      <c r="L95">
        <f>IF(OR(ISNUMBER(SEARCH("VPC-Leaf", K95)), ISNUMBER(SEARCH("VPC_Leaf", K95))),SUBSTITUTE(SUBSTITUTE(SUBSTITUTE(K95, "VPC-Leaf", ""), "VPC_Leaf", ""), "_", "-"),A95)</f>
        <v/>
      </c>
      <c r="M95">
        <f>_xlfn.IFNA(VLOOKUP(_xlfn.CONCAT(VALUE(Table5[[#This Row],[NODE]]),Table5[[#This Row],[PORT]]),PG!C:H,6,0),"NO EXISTE PG")</f>
        <v/>
      </c>
      <c r="N95">
        <f>_xlfn.IFNA(VLOOKUP(_xlfn.CONCAT(VALUE(Table5[[#This Row],[NODE]]),Table5[[#This Row],[PORT]]),PG!C:H,4,0),"NO EXISTE ISEL")</f>
        <v/>
      </c>
      <c r="O95">
        <f>COUNTIF(Statics!G:G,Table5[[#This Row],[PG]])+COUNTIF(Statics!H:H,_xlfn.CONCAT((Table5[[#This Row],[NODE]]),Table5[[#This Row],[PORT]]))</f>
        <v/>
      </c>
      <c r="P95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95">
        <f>COUNTIF(Statics!F:F,Table5[[#This Row],[ID]])+COUNTIF(Statics!F:F,VALUE(Table5[[#This Row],[NODE]]))</f>
        <v/>
      </c>
    </row>
    <row r="96">
      <c r="A96" t="inlineStr">
        <is>
          <t>102</t>
        </is>
      </c>
      <c r="B96" t="inlineStr">
        <is>
          <t>1</t>
        </is>
      </c>
      <c r="C96">
        <f>VLOOKUP(VALUE(Table5[[#This Row],[NODE]]),LEAF_INFO!B:H,6,0)</f>
        <v/>
      </c>
      <c r="D96" t="inlineStr">
        <is>
          <t>eth1/19</t>
        </is>
      </c>
      <c r="E96" t="inlineStr">
        <is>
          <t>down</t>
        </is>
      </c>
      <c r="F96" t="inlineStr">
        <is>
          <t>down</t>
        </is>
      </c>
      <c r="G96">
        <f>VLOOKUP(_xlfn.CONCAT(Table5[[#This Row],[NODE]],Table5[[#This Row],[PORT]]),PORTS_!A:G,7,0)</f>
        <v/>
      </c>
      <c r="H96" t="inlineStr"/>
      <c r="I96">
        <f>VLOOKUP(VALUE(Table5[[#This Row],[NODE]]),LEAF_INFO!B:H,7,0)</f>
        <v/>
      </c>
      <c r="J96">
        <f>ISNUMBER(SEARCH("vpc-leaf", SUBSTITUTE(LOWER(K96), "_", "-")))</f>
        <v/>
      </c>
      <c r="K96">
        <f>_xlfn.IFNA(VLOOKUP(VALUE(Table5[[#This Row],[NODE]]), VPC!A:A, 2, 0), "No está en VPC")</f>
        <v/>
      </c>
      <c r="L96">
        <f>IF(OR(ISNUMBER(SEARCH("VPC-Leaf", K96)), ISNUMBER(SEARCH("VPC_Leaf", K96))),SUBSTITUTE(SUBSTITUTE(SUBSTITUTE(K96, "VPC-Leaf", ""), "VPC_Leaf", ""), "_", "-"),A96)</f>
        <v/>
      </c>
      <c r="M96">
        <f>_xlfn.IFNA(VLOOKUP(_xlfn.CONCAT(VALUE(Table5[[#This Row],[NODE]]),Table5[[#This Row],[PORT]]),PG!C:H,6,0),"NO EXISTE PG")</f>
        <v/>
      </c>
      <c r="N96">
        <f>_xlfn.IFNA(VLOOKUP(_xlfn.CONCAT(VALUE(Table5[[#This Row],[NODE]]),Table5[[#This Row],[PORT]]),PG!C:H,4,0),"NO EXISTE ISEL")</f>
        <v/>
      </c>
      <c r="O96">
        <f>COUNTIF(Statics!G:G,Table5[[#This Row],[PG]])+COUNTIF(Statics!H:H,_xlfn.CONCAT((Table5[[#This Row],[NODE]]),Table5[[#This Row],[PORT]]))</f>
        <v/>
      </c>
      <c r="P96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96">
        <f>COUNTIF(Statics!F:F,Table5[[#This Row],[ID]])+COUNTIF(Statics!F:F,VALUE(Table5[[#This Row],[NODE]]))</f>
        <v/>
      </c>
    </row>
    <row r="97">
      <c r="A97" t="inlineStr">
        <is>
          <t>102</t>
        </is>
      </c>
      <c r="B97" t="inlineStr">
        <is>
          <t>1</t>
        </is>
      </c>
      <c r="C97">
        <f>VLOOKUP(VALUE(Table5[[#This Row],[NODE]]),LEAF_INFO!B:H,6,0)</f>
        <v/>
      </c>
      <c r="D97" t="inlineStr">
        <is>
          <t>eth1/20</t>
        </is>
      </c>
      <c r="E97" t="inlineStr">
        <is>
          <t>down</t>
        </is>
      </c>
      <c r="F97" t="inlineStr">
        <is>
          <t>down</t>
        </is>
      </c>
      <c r="G97">
        <f>VLOOKUP(_xlfn.CONCAT(Table5[[#This Row],[NODE]],Table5[[#This Row],[PORT]]),PORTS_!A:G,7,0)</f>
        <v/>
      </c>
      <c r="H97" t="inlineStr"/>
      <c r="I97">
        <f>VLOOKUP(VALUE(Table5[[#This Row],[NODE]]),LEAF_INFO!B:H,7,0)</f>
        <v/>
      </c>
      <c r="J97">
        <f>ISNUMBER(SEARCH("vpc-leaf", SUBSTITUTE(LOWER(K97), "_", "-")))</f>
        <v/>
      </c>
      <c r="K97">
        <f>_xlfn.IFNA(VLOOKUP(VALUE(Table5[[#This Row],[NODE]]), VPC!A:A, 2, 0), "No está en VPC")</f>
        <v/>
      </c>
      <c r="L97">
        <f>IF(OR(ISNUMBER(SEARCH("VPC-Leaf", K97)), ISNUMBER(SEARCH("VPC_Leaf", K97))),SUBSTITUTE(SUBSTITUTE(SUBSTITUTE(K97, "VPC-Leaf", ""), "VPC_Leaf", ""), "_", "-"),A97)</f>
        <v/>
      </c>
      <c r="M97">
        <f>_xlfn.IFNA(VLOOKUP(_xlfn.CONCAT(VALUE(Table5[[#This Row],[NODE]]),Table5[[#This Row],[PORT]]),PG!C:H,6,0),"NO EXISTE PG")</f>
        <v/>
      </c>
      <c r="N97">
        <f>_xlfn.IFNA(VLOOKUP(_xlfn.CONCAT(VALUE(Table5[[#This Row],[NODE]]),Table5[[#This Row],[PORT]]),PG!C:H,4,0),"NO EXISTE ISEL")</f>
        <v/>
      </c>
      <c r="O97">
        <f>COUNTIF(Statics!G:G,Table5[[#This Row],[PG]])+COUNTIF(Statics!H:H,_xlfn.CONCAT((Table5[[#This Row],[NODE]]),Table5[[#This Row],[PORT]]))</f>
        <v/>
      </c>
      <c r="P97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97">
        <f>COUNTIF(Statics!F:F,Table5[[#This Row],[ID]])+COUNTIF(Statics!F:F,VALUE(Table5[[#This Row],[NODE]]))</f>
        <v/>
      </c>
    </row>
    <row r="98">
      <c r="A98" t="inlineStr">
        <is>
          <t>102</t>
        </is>
      </c>
      <c r="B98" t="inlineStr">
        <is>
          <t>1</t>
        </is>
      </c>
      <c r="C98">
        <f>VLOOKUP(VALUE(Table5[[#This Row],[NODE]]),LEAF_INFO!B:H,6,0)</f>
        <v/>
      </c>
      <c r="D98" t="inlineStr">
        <is>
          <t>eth1/21</t>
        </is>
      </c>
      <c r="E98" t="inlineStr">
        <is>
          <t>down</t>
        </is>
      </c>
      <c r="F98" t="inlineStr">
        <is>
          <t>down</t>
        </is>
      </c>
      <c r="G98">
        <f>VLOOKUP(_xlfn.CONCAT(Table5[[#This Row],[NODE]],Table5[[#This Row],[PORT]]),PORTS_!A:G,7,0)</f>
        <v/>
      </c>
      <c r="H98" t="inlineStr"/>
      <c r="I98">
        <f>VLOOKUP(VALUE(Table5[[#This Row],[NODE]]),LEAF_INFO!B:H,7,0)</f>
        <v/>
      </c>
      <c r="J98">
        <f>ISNUMBER(SEARCH("vpc-leaf", SUBSTITUTE(LOWER(K98), "_", "-")))</f>
        <v/>
      </c>
      <c r="K98">
        <f>_xlfn.IFNA(VLOOKUP(VALUE(Table5[[#This Row],[NODE]]), VPC!A:A, 2, 0), "No está en VPC")</f>
        <v/>
      </c>
      <c r="L98">
        <f>IF(OR(ISNUMBER(SEARCH("VPC-Leaf", K98)), ISNUMBER(SEARCH("VPC_Leaf", K98))),SUBSTITUTE(SUBSTITUTE(SUBSTITUTE(K98, "VPC-Leaf", ""), "VPC_Leaf", ""), "_", "-"),A98)</f>
        <v/>
      </c>
      <c r="M98">
        <f>_xlfn.IFNA(VLOOKUP(_xlfn.CONCAT(VALUE(Table5[[#This Row],[NODE]]),Table5[[#This Row],[PORT]]),PG!C:H,6,0),"NO EXISTE PG")</f>
        <v/>
      </c>
      <c r="N98">
        <f>_xlfn.IFNA(VLOOKUP(_xlfn.CONCAT(VALUE(Table5[[#This Row],[NODE]]),Table5[[#This Row],[PORT]]),PG!C:H,4,0),"NO EXISTE ISEL")</f>
        <v/>
      </c>
      <c r="O98">
        <f>COUNTIF(Statics!G:G,Table5[[#This Row],[PG]])+COUNTIF(Statics!H:H,_xlfn.CONCAT((Table5[[#This Row],[NODE]]),Table5[[#This Row],[PORT]]))</f>
        <v/>
      </c>
      <c r="P98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98">
        <f>COUNTIF(Statics!F:F,Table5[[#This Row],[ID]])+COUNTIF(Statics!F:F,VALUE(Table5[[#This Row],[NODE]]))</f>
        <v/>
      </c>
    </row>
    <row r="99">
      <c r="A99" t="inlineStr">
        <is>
          <t>102</t>
        </is>
      </c>
      <c r="B99" t="inlineStr">
        <is>
          <t>1</t>
        </is>
      </c>
      <c r="C99">
        <f>VLOOKUP(VALUE(Table5[[#This Row],[NODE]]),LEAF_INFO!B:H,6,0)</f>
        <v/>
      </c>
      <c r="D99" t="inlineStr">
        <is>
          <t>eth1/22</t>
        </is>
      </c>
      <c r="E99" t="inlineStr">
        <is>
          <t>down</t>
        </is>
      </c>
      <c r="F99" t="inlineStr">
        <is>
          <t>down</t>
        </is>
      </c>
      <c r="G99">
        <f>VLOOKUP(_xlfn.CONCAT(Table5[[#This Row],[NODE]],Table5[[#This Row],[PORT]]),PORTS_!A:G,7,0)</f>
        <v/>
      </c>
      <c r="H99" t="inlineStr"/>
      <c r="I99">
        <f>VLOOKUP(VALUE(Table5[[#This Row],[NODE]]),LEAF_INFO!B:H,7,0)</f>
        <v/>
      </c>
      <c r="J99">
        <f>ISNUMBER(SEARCH("vpc-leaf", SUBSTITUTE(LOWER(K99), "_", "-")))</f>
        <v/>
      </c>
      <c r="K99">
        <f>_xlfn.IFNA(VLOOKUP(VALUE(Table5[[#This Row],[NODE]]), VPC!A:A, 2, 0), "No está en VPC")</f>
        <v/>
      </c>
      <c r="L99">
        <f>IF(OR(ISNUMBER(SEARCH("VPC-Leaf", K99)), ISNUMBER(SEARCH("VPC_Leaf", K99))),SUBSTITUTE(SUBSTITUTE(SUBSTITUTE(K99, "VPC-Leaf", ""), "VPC_Leaf", ""), "_", "-"),A99)</f>
        <v/>
      </c>
      <c r="M99">
        <f>_xlfn.IFNA(VLOOKUP(_xlfn.CONCAT(VALUE(Table5[[#This Row],[NODE]]),Table5[[#This Row],[PORT]]),PG!C:H,6,0),"NO EXISTE PG")</f>
        <v/>
      </c>
      <c r="N99">
        <f>_xlfn.IFNA(VLOOKUP(_xlfn.CONCAT(VALUE(Table5[[#This Row],[NODE]]),Table5[[#This Row],[PORT]]),PG!C:H,4,0),"NO EXISTE ISEL")</f>
        <v/>
      </c>
      <c r="O99">
        <f>COUNTIF(Statics!G:G,Table5[[#This Row],[PG]])+COUNTIF(Statics!H:H,_xlfn.CONCAT((Table5[[#This Row],[NODE]]),Table5[[#This Row],[PORT]]))</f>
        <v/>
      </c>
      <c r="P99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99">
        <f>COUNTIF(Statics!F:F,Table5[[#This Row],[ID]])+COUNTIF(Statics!F:F,VALUE(Table5[[#This Row],[NODE]]))</f>
        <v/>
      </c>
    </row>
    <row r="100">
      <c r="A100" t="inlineStr">
        <is>
          <t>102</t>
        </is>
      </c>
      <c r="B100" t="inlineStr">
        <is>
          <t>1</t>
        </is>
      </c>
      <c r="C100">
        <f>VLOOKUP(VALUE(Table5[[#This Row],[NODE]]),LEAF_INFO!B:H,6,0)</f>
        <v/>
      </c>
      <c r="D100" t="inlineStr">
        <is>
          <t>eth1/23</t>
        </is>
      </c>
      <c r="E100" t="inlineStr">
        <is>
          <t>down</t>
        </is>
      </c>
      <c r="F100" t="inlineStr">
        <is>
          <t>down</t>
        </is>
      </c>
      <c r="G100">
        <f>VLOOKUP(_xlfn.CONCAT(Table5[[#This Row],[NODE]],Table5[[#This Row],[PORT]]),PORTS_!A:G,7,0)</f>
        <v/>
      </c>
      <c r="H100" t="inlineStr"/>
      <c r="I100">
        <f>VLOOKUP(VALUE(Table5[[#This Row],[NODE]]),LEAF_INFO!B:H,7,0)</f>
        <v/>
      </c>
      <c r="J100">
        <f>ISNUMBER(SEARCH("vpc-leaf", SUBSTITUTE(LOWER(K100), "_", "-")))</f>
        <v/>
      </c>
      <c r="K100">
        <f>_xlfn.IFNA(VLOOKUP(VALUE(Table5[[#This Row],[NODE]]), VPC!A:A, 2, 0), "No está en VPC")</f>
        <v/>
      </c>
      <c r="L100">
        <f>IF(OR(ISNUMBER(SEARCH("VPC-Leaf", K100)), ISNUMBER(SEARCH("VPC_Leaf", K100))),SUBSTITUTE(SUBSTITUTE(SUBSTITUTE(K100, "VPC-Leaf", ""), "VPC_Leaf", ""), "_", "-"),A100)</f>
        <v/>
      </c>
      <c r="M100">
        <f>_xlfn.IFNA(VLOOKUP(_xlfn.CONCAT(VALUE(Table5[[#This Row],[NODE]]),Table5[[#This Row],[PORT]]),PG!C:H,6,0),"NO EXISTE PG")</f>
        <v/>
      </c>
      <c r="N100">
        <f>_xlfn.IFNA(VLOOKUP(_xlfn.CONCAT(VALUE(Table5[[#This Row],[NODE]]),Table5[[#This Row],[PORT]]),PG!C:H,4,0),"NO EXISTE ISEL")</f>
        <v/>
      </c>
      <c r="O100">
        <f>COUNTIF(Statics!G:G,Table5[[#This Row],[PG]])+COUNTIF(Statics!H:H,_xlfn.CONCAT((Table5[[#This Row],[NODE]]),Table5[[#This Row],[PORT]]))</f>
        <v/>
      </c>
      <c r="P100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00">
        <f>COUNTIF(Statics!F:F,Table5[[#This Row],[ID]])+COUNTIF(Statics!F:F,VALUE(Table5[[#This Row],[NODE]]))</f>
        <v/>
      </c>
    </row>
    <row r="101">
      <c r="A101" t="inlineStr">
        <is>
          <t>102</t>
        </is>
      </c>
      <c r="B101" t="inlineStr">
        <is>
          <t>1</t>
        </is>
      </c>
      <c r="C101">
        <f>VLOOKUP(VALUE(Table5[[#This Row],[NODE]]),LEAF_INFO!B:H,6,0)</f>
        <v/>
      </c>
      <c r="D101" t="inlineStr">
        <is>
          <t>eth1/24</t>
        </is>
      </c>
      <c r="E101" t="inlineStr">
        <is>
          <t>down</t>
        </is>
      </c>
      <c r="F101" t="inlineStr">
        <is>
          <t>down</t>
        </is>
      </c>
      <c r="G101">
        <f>VLOOKUP(_xlfn.CONCAT(Table5[[#This Row],[NODE]],Table5[[#This Row],[PORT]]),PORTS_!A:G,7,0)</f>
        <v/>
      </c>
      <c r="H101" t="inlineStr"/>
      <c r="I101">
        <f>VLOOKUP(VALUE(Table5[[#This Row],[NODE]]),LEAF_INFO!B:H,7,0)</f>
        <v/>
      </c>
      <c r="J101">
        <f>ISNUMBER(SEARCH("vpc-leaf", SUBSTITUTE(LOWER(K101), "_", "-")))</f>
        <v/>
      </c>
      <c r="K101">
        <f>_xlfn.IFNA(VLOOKUP(VALUE(Table5[[#This Row],[NODE]]), VPC!A:A, 2, 0), "No está en VPC")</f>
        <v/>
      </c>
      <c r="L101">
        <f>IF(OR(ISNUMBER(SEARCH("VPC-Leaf", K101)), ISNUMBER(SEARCH("VPC_Leaf", K101))),SUBSTITUTE(SUBSTITUTE(SUBSTITUTE(K101, "VPC-Leaf", ""), "VPC_Leaf", ""), "_", "-"),A101)</f>
        <v/>
      </c>
      <c r="M101">
        <f>_xlfn.IFNA(VLOOKUP(_xlfn.CONCAT(VALUE(Table5[[#This Row],[NODE]]),Table5[[#This Row],[PORT]]),PG!C:H,6,0),"NO EXISTE PG")</f>
        <v/>
      </c>
      <c r="N101">
        <f>_xlfn.IFNA(VLOOKUP(_xlfn.CONCAT(VALUE(Table5[[#This Row],[NODE]]),Table5[[#This Row],[PORT]]),PG!C:H,4,0),"NO EXISTE ISEL")</f>
        <v/>
      </c>
      <c r="O101">
        <f>COUNTIF(Statics!G:G,Table5[[#This Row],[PG]])+COUNTIF(Statics!H:H,_xlfn.CONCAT((Table5[[#This Row],[NODE]]),Table5[[#This Row],[PORT]]))</f>
        <v/>
      </c>
      <c r="P101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01">
        <f>COUNTIF(Statics!F:F,Table5[[#This Row],[ID]])+COUNTIF(Statics!F:F,VALUE(Table5[[#This Row],[NODE]]))</f>
        <v/>
      </c>
    </row>
    <row r="102">
      <c r="A102" t="inlineStr">
        <is>
          <t>102</t>
        </is>
      </c>
      <c r="B102" t="inlineStr">
        <is>
          <t>1</t>
        </is>
      </c>
      <c r="C102">
        <f>VLOOKUP(VALUE(Table5[[#This Row],[NODE]]),LEAF_INFO!B:H,6,0)</f>
        <v/>
      </c>
      <c r="D102" t="inlineStr">
        <is>
          <t>eth1/25</t>
        </is>
      </c>
      <c r="E102" t="inlineStr">
        <is>
          <t>down</t>
        </is>
      </c>
      <c r="F102" t="inlineStr">
        <is>
          <t>down</t>
        </is>
      </c>
      <c r="G102">
        <f>VLOOKUP(_xlfn.CONCAT(Table5[[#This Row],[NODE]],Table5[[#This Row],[PORT]]),PORTS_!A:G,7,0)</f>
        <v/>
      </c>
      <c r="H102" t="inlineStr"/>
      <c r="I102">
        <f>VLOOKUP(VALUE(Table5[[#This Row],[NODE]]),LEAF_INFO!B:H,7,0)</f>
        <v/>
      </c>
      <c r="J102">
        <f>ISNUMBER(SEARCH("vpc-leaf", SUBSTITUTE(LOWER(K102), "_", "-")))</f>
        <v/>
      </c>
      <c r="K102">
        <f>_xlfn.IFNA(VLOOKUP(VALUE(Table5[[#This Row],[NODE]]), VPC!A:A, 2, 0), "No está en VPC")</f>
        <v/>
      </c>
      <c r="L102">
        <f>IF(OR(ISNUMBER(SEARCH("VPC-Leaf", K102)), ISNUMBER(SEARCH("VPC_Leaf", K102))),SUBSTITUTE(SUBSTITUTE(SUBSTITUTE(K102, "VPC-Leaf", ""), "VPC_Leaf", ""), "_", "-"),A102)</f>
        <v/>
      </c>
      <c r="M102">
        <f>_xlfn.IFNA(VLOOKUP(_xlfn.CONCAT(VALUE(Table5[[#This Row],[NODE]]),Table5[[#This Row],[PORT]]),PG!C:H,6,0),"NO EXISTE PG")</f>
        <v/>
      </c>
      <c r="N102">
        <f>_xlfn.IFNA(VLOOKUP(_xlfn.CONCAT(VALUE(Table5[[#This Row],[NODE]]),Table5[[#This Row],[PORT]]),PG!C:H,4,0),"NO EXISTE ISEL")</f>
        <v/>
      </c>
      <c r="O102">
        <f>COUNTIF(Statics!G:G,Table5[[#This Row],[PG]])+COUNTIF(Statics!H:H,_xlfn.CONCAT((Table5[[#This Row],[NODE]]),Table5[[#This Row],[PORT]]))</f>
        <v/>
      </c>
      <c r="P102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02">
        <f>COUNTIF(Statics!F:F,Table5[[#This Row],[ID]])+COUNTIF(Statics!F:F,VALUE(Table5[[#This Row],[NODE]]))</f>
        <v/>
      </c>
    </row>
    <row r="103">
      <c r="A103" t="inlineStr">
        <is>
          <t>102</t>
        </is>
      </c>
      <c r="B103" t="inlineStr">
        <is>
          <t>1</t>
        </is>
      </c>
      <c r="C103">
        <f>VLOOKUP(VALUE(Table5[[#This Row],[NODE]]),LEAF_INFO!B:H,6,0)</f>
        <v/>
      </c>
      <c r="D103" t="inlineStr">
        <is>
          <t>eth1/26</t>
        </is>
      </c>
      <c r="E103" t="inlineStr">
        <is>
          <t>down</t>
        </is>
      </c>
      <c r="F103" t="inlineStr">
        <is>
          <t>down</t>
        </is>
      </c>
      <c r="G103">
        <f>VLOOKUP(_xlfn.CONCAT(Table5[[#This Row],[NODE]],Table5[[#This Row],[PORT]]),PORTS_!A:G,7,0)</f>
        <v/>
      </c>
      <c r="H103" t="inlineStr"/>
      <c r="I103">
        <f>VLOOKUP(VALUE(Table5[[#This Row],[NODE]]),LEAF_INFO!B:H,7,0)</f>
        <v/>
      </c>
      <c r="J103">
        <f>ISNUMBER(SEARCH("vpc-leaf", SUBSTITUTE(LOWER(K103), "_", "-")))</f>
        <v/>
      </c>
      <c r="K103">
        <f>_xlfn.IFNA(VLOOKUP(VALUE(Table5[[#This Row],[NODE]]), VPC!A:A, 2, 0), "No está en VPC")</f>
        <v/>
      </c>
      <c r="L103">
        <f>IF(OR(ISNUMBER(SEARCH("VPC-Leaf", K103)), ISNUMBER(SEARCH("VPC_Leaf", K103))),SUBSTITUTE(SUBSTITUTE(SUBSTITUTE(K103, "VPC-Leaf", ""), "VPC_Leaf", ""), "_", "-"),A103)</f>
        <v/>
      </c>
      <c r="M103">
        <f>_xlfn.IFNA(VLOOKUP(_xlfn.CONCAT(VALUE(Table5[[#This Row],[NODE]]),Table5[[#This Row],[PORT]]),PG!C:H,6,0),"NO EXISTE PG")</f>
        <v/>
      </c>
      <c r="N103">
        <f>_xlfn.IFNA(VLOOKUP(_xlfn.CONCAT(VALUE(Table5[[#This Row],[NODE]]),Table5[[#This Row],[PORT]]),PG!C:H,4,0),"NO EXISTE ISEL")</f>
        <v/>
      </c>
      <c r="O103">
        <f>COUNTIF(Statics!G:G,Table5[[#This Row],[PG]])+COUNTIF(Statics!H:H,_xlfn.CONCAT((Table5[[#This Row],[NODE]]),Table5[[#This Row],[PORT]]))</f>
        <v/>
      </c>
      <c r="P103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03">
        <f>COUNTIF(Statics!F:F,Table5[[#This Row],[ID]])+COUNTIF(Statics!F:F,VALUE(Table5[[#This Row],[NODE]]))</f>
        <v/>
      </c>
    </row>
    <row r="104">
      <c r="A104" t="inlineStr">
        <is>
          <t>102</t>
        </is>
      </c>
      <c r="B104" t="inlineStr">
        <is>
          <t>1</t>
        </is>
      </c>
      <c r="C104">
        <f>VLOOKUP(VALUE(Table5[[#This Row],[NODE]]),LEAF_INFO!B:H,6,0)</f>
        <v/>
      </c>
      <c r="D104" t="inlineStr">
        <is>
          <t>eth1/27</t>
        </is>
      </c>
      <c r="E104" t="inlineStr">
        <is>
          <t>down</t>
        </is>
      </c>
      <c r="F104" t="inlineStr">
        <is>
          <t>down</t>
        </is>
      </c>
      <c r="G104">
        <f>VLOOKUP(_xlfn.CONCAT(Table5[[#This Row],[NODE]],Table5[[#This Row],[PORT]]),PORTS_!A:G,7,0)</f>
        <v/>
      </c>
      <c r="H104" t="inlineStr"/>
      <c r="I104">
        <f>VLOOKUP(VALUE(Table5[[#This Row],[NODE]]),LEAF_INFO!B:H,7,0)</f>
        <v/>
      </c>
      <c r="J104">
        <f>ISNUMBER(SEARCH("vpc-leaf", SUBSTITUTE(LOWER(K104), "_", "-")))</f>
        <v/>
      </c>
      <c r="K104">
        <f>_xlfn.IFNA(VLOOKUP(VALUE(Table5[[#This Row],[NODE]]), VPC!A:A, 2, 0), "No está en VPC")</f>
        <v/>
      </c>
      <c r="L104">
        <f>IF(OR(ISNUMBER(SEARCH("VPC-Leaf", K104)), ISNUMBER(SEARCH("VPC_Leaf", K104))),SUBSTITUTE(SUBSTITUTE(SUBSTITUTE(K104, "VPC-Leaf", ""), "VPC_Leaf", ""), "_", "-"),A104)</f>
        <v/>
      </c>
      <c r="M104">
        <f>_xlfn.IFNA(VLOOKUP(_xlfn.CONCAT(VALUE(Table5[[#This Row],[NODE]]),Table5[[#This Row],[PORT]]),PG!C:H,6,0),"NO EXISTE PG")</f>
        <v/>
      </c>
      <c r="N104">
        <f>_xlfn.IFNA(VLOOKUP(_xlfn.CONCAT(VALUE(Table5[[#This Row],[NODE]]),Table5[[#This Row],[PORT]]),PG!C:H,4,0),"NO EXISTE ISEL")</f>
        <v/>
      </c>
      <c r="O104">
        <f>COUNTIF(Statics!G:G,Table5[[#This Row],[PG]])+COUNTIF(Statics!H:H,_xlfn.CONCAT((Table5[[#This Row],[NODE]]),Table5[[#This Row],[PORT]]))</f>
        <v/>
      </c>
      <c r="P104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04">
        <f>COUNTIF(Statics!F:F,Table5[[#This Row],[ID]])+COUNTIF(Statics!F:F,VALUE(Table5[[#This Row],[NODE]]))</f>
        <v/>
      </c>
    </row>
    <row r="105">
      <c r="A105" t="inlineStr">
        <is>
          <t>102</t>
        </is>
      </c>
      <c r="B105" t="inlineStr">
        <is>
          <t>1</t>
        </is>
      </c>
      <c r="C105">
        <f>VLOOKUP(VALUE(Table5[[#This Row],[NODE]]),LEAF_INFO!B:H,6,0)</f>
        <v/>
      </c>
      <c r="D105" t="inlineStr">
        <is>
          <t>eth1/28</t>
        </is>
      </c>
      <c r="E105" t="inlineStr">
        <is>
          <t>down</t>
        </is>
      </c>
      <c r="F105" t="inlineStr">
        <is>
          <t>down</t>
        </is>
      </c>
      <c r="G105">
        <f>VLOOKUP(_xlfn.CONCAT(Table5[[#This Row],[NODE]],Table5[[#This Row],[PORT]]),PORTS_!A:G,7,0)</f>
        <v/>
      </c>
      <c r="H105" t="inlineStr"/>
      <c r="I105">
        <f>VLOOKUP(VALUE(Table5[[#This Row],[NODE]]),LEAF_INFO!B:H,7,0)</f>
        <v/>
      </c>
      <c r="J105">
        <f>ISNUMBER(SEARCH("vpc-leaf", SUBSTITUTE(LOWER(K105), "_", "-")))</f>
        <v/>
      </c>
      <c r="K105">
        <f>_xlfn.IFNA(VLOOKUP(VALUE(Table5[[#This Row],[NODE]]), VPC!A:A, 2, 0), "No está en VPC")</f>
        <v/>
      </c>
      <c r="L105">
        <f>IF(OR(ISNUMBER(SEARCH("VPC-Leaf", K105)), ISNUMBER(SEARCH("VPC_Leaf", K105))),SUBSTITUTE(SUBSTITUTE(SUBSTITUTE(K105, "VPC-Leaf", ""), "VPC_Leaf", ""), "_", "-"),A105)</f>
        <v/>
      </c>
      <c r="M105">
        <f>_xlfn.IFNA(VLOOKUP(_xlfn.CONCAT(VALUE(Table5[[#This Row],[NODE]]),Table5[[#This Row],[PORT]]),PG!C:H,6,0),"NO EXISTE PG")</f>
        <v/>
      </c>
      <c r="N105">
        <f>_xlfn.IFNA(VLOOKUP(_xlfn.CONCAT(VALUE(Table5[[#This Row],[NODE]]),Table5[[#This Row],[PORT]]),PG!C:H,4,0),"NO EXISTE ISEL")</f>
        <v/>
      </c>
      <c r="O105">
        <f>COUNTIF(Statics!G:G,Table5[[#This Row],[PG]])+COUNTIF(Statics!H:H,_xlfn.CONCAT((Table5[[#This Row],[NODE]]),Table5[[#This Row],[PORT]]))</f>
        <v/>
      </c>
      <c r="P105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05">
        <f>COUNTIF(Statics!F:F,Table5[[#This Row],[ID]])+COUNTIF(Statics!F:F,VALUE(Table5[[#This Row],[NODE]]))</f>
        <v/>
      </c>
    </row>
    <row r="106">
      <c r="A106" t="inlineStr">
        <is>
          <t>102</t>
        </is>
      </c>
      <c r="B106" t="inlineStr">
        <is>
          <t>1</t>
        </is>
      </c>
      <c r="C106">
        <f>VLOOKUP(VALUE(Table5[[#This Row],[NODE]]),LEAF_INFO!B:H,6,0)</f>
        <v/>
      </c>
      <c r="D106" t="inlineStr">
        <is>
          <t>eth1/29</t>
        </is>
      </c>
      <c r="E106" t="inlineStr">
        <is>
          <t>down</t>
        </is>
      </c>
      <c r="F106" t="inlineStr">
        <is>
          <t>down</t>
        </is>
      </c>
      <c r="G106">
        <f>VLOOKUP(_xlfn.CONCAT(Table5[[#This Row],[NODE]],Table5[[#This Row],[PORT]]),PORTS_!A:G,7,0)</f>
        <v/>
      </c>
      <c r="H106" t="inlineStr"/>
      <c r="I106">
        <f>VLOOKUP(VALUE(Table5[[#This Row],[NODE]]),LEAF_INFO!B:H,7,0)</f>
        <v/>
      </c>
      <c r="J106">
        <f>ISNUMBER(SEARCH("vpc-leaf", SUBSTITUTE(LOWER(K106), "_", "-")))</f>
        <v/>
      </c>
      <c r="K106">
        <f>_xlfn.IFNA(VLOOKUP(VALUE(Table5[[#This Row],[NODE]]), VPC!A:A, 2, 0), "No está en VPC")</f>
        <v/>
      </c>
      <c r="L106">
        <f>IF(OR(ISNUMBER(SEARCH("VPC-Leaf", K106)), ISNUMBER(SEARCH("VPC_Leaf", K106))),SUBSTITUTE(SUBSTITUTE(SUBSTITUTE(K106, "VPC-Leaf", ""), "VPC_Leaf", ""), "_", "-"),A106)</f>
        <v/>
      </c>
      <c r="M106">
        <f>_xlfn.IFNA(VLOOKUP(_xlfn.CONCAT(VALUE(Table5[[#This Row],[NODE]]),Table5[[#This Row],[PORT]]),PG!C:H,6,0),"NO EXISTE PG")</f>
        <v/>
      </c>
      <c r="N106">
        <f>_xlfn.IFNA(VLOOKUP(_xlfn.CONCAT(VALUE(Table5[[#This Row],[NODE]]),Table5[[#This Row],[PORT]]),PG!C:H,4,0),"NO EXISTE ISEL")</f>
        <v/>
      </c>
      <c r="O106">
        <f>COUNTIF(Statics!G:G,Table5[[#This Row],[PG]])+COUNTIF(Statics!H:H,_xlfn.CONCAT((Table5[[#This Row],[NODE]]),Table5[[#This Row],[PORT]]))</f>
        <v/>
      </c>
      <c r="P106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06">
        <f>COUNTIF(Statics!F:F,Table5[[#This Row],[ID]])+COUNTIF(Statics!F:F,VALUE(Table5[[#This Row],[NODE]]))</f>
        <v/>
      </c>
    </row>
    <row r="107">
      <c r="A107" t="inlineStr">
        <is>
          <t>102</t>
        </is>
      </c>
      <c r="B107" t="inlineStr">
        <is>
          <t>1</t>
        </is>
      </c>
      <c r="C107">
        <f>VLOOKUP(VALUE(Table5[[#This Row],[NODE]]),LEAF_INFO!B:H,6,0)</f>
        <v/>
      </c>
      <c r="D107" t="inlineStr">
        <is>
          <t>eth1/30</t>
        </is>
      </c>
      <c r="E107" t="inlineStr">
        <is>
          <t>down</t>
        </is>
      </c>
      <c r="F107" t="inlineStr">
        <is>
          <t>down</t>
        </is>
      </c>
      <c r="G107">
        <f>VLOOKUP(_xlfn.CONCAT(Table5[[#This Row],[NODE]],Table5[[#This Row],[PORT]]),PORTS_!A:G,7,0)</f>
        <v/>
      </c>
      <c r="H107" t="inlineStr"/>
      <c r="I107">
        <f>VLOOKUP(VALUE(Table5[[#This Row],[NODE]]),LEAF_INFO!B:H,7,0)</f>
        <v/>
      </c>
      <c r="J107">
        <f>ISNUMBER(SEARCH("vpc-leaf", SUBSTITUTE(LOWER(K107), "_", "-")))</f>
        <v/>
      </c>
      <c r="K107">
        <f>_xlfn.IFNA(VLOOKUP(VALUE(Table5[[#This Row],[NODE]]), VPC!A:A, 2, 0), "No está en VPC")</f>
        <v/>
      </c>
      <c r="L107">
        <f>IF(OR(ISNUMBER(SEARCH("VPC-Leaf", K107)), ISNUMBER(SEARCH("VPC_Leaf", K107))),SUBSTITUTE(SUBSTITUTE(SUBSTITUTE(K107, "VPC-Leaf", ""), "VPC_Leaf", ""), "_", "-"),A107)</f>
        <v/>
      </c>
      <c r="M107">
        <f>_xlfn.IFNA(VLOOKUP(_xlfn.CONCAT(VALUE(Table5[[#This Row],[NODE]]),Table5[[#This Row],[PORT]]),PG!C:H,6,0),"NO EXISTE PG")</f>
        <v/>
      </c>
      <c r="N107">
        <f>_xlfn.IFNA(VLOOKUP(_xlfn.CONCAT(VALUE(Table5[[#This Row],[NODE]]),Table5[[#This Row],[PORT]]),PG!C:H,4,0),"NO EXISTE ISEL")</f>
        <v/>
      </c>
      <c r="O107">
        <f>COUNTIF(Statics!G:G,Table5[[#This Row],[PG]])+COUNTIF(Statics!H:H,_xlfn.CONCAT((Table5[[#This Row],[NODE]]),Table5[[#This Row],[PORT]]))</f>
        <v/>
      </c>
      <c r="P107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07">
        <f>COUNTIF(Statics!F:F,Table5[[#This Row],[ID]])+COUNTIF(Statics!F:F,VALUE(Table5[[#This Row],[NODE]]))</f>
        <v/>
      </c>
    </row>
    <row r="108">
      <c r="A108" t="inlineStr">
        <is>
          <t>102</t>
        </is>
      </c>
      <c r="B108" t="inlineStr">
        <is>
          <t>1</t>
        </is>
      </c>
      <c r="C108">
        <f>VLOOKUP(VALUE(Table5[[#This Row],[NODE]]),LEAF_INFO!B:H,6,0)</f>
        <v/>
      </c>
      <c r="D108" t="inlineStr">
        <is>
          <t>eth1/31</t>
        </is>
      </c>
      <c r="E108" t="inlineStr">
        <is>
          <t>down</t>
        </is>
      </c>
      <c r="F108" t="inlineStr">
        <is>
          <t>down</t>
        </is>
      </c>
      <c r="G108">
        <f>VLOOKUP(_xlfn.CONCAT(Table5[[#This Row],[NODE]],Table5[[#This Row],[PORT]]),PORTS_!A:G,7,0)</f>
        <v/>
      </c>
      <c r="H108" t="inlineStr"/>
      <c r="I108">
        <f>VLOOKUP(VALUE(Table5[[#This Row],[NODE]]),LEAF_INFO!B:H,7,0)</f>
        <v/>
      </c>
      <c r="J108">
        <f>ISNUMBER(SEARCH("vpc-leaf", SUBSTITUTE(LOWER(K108), "_", "-")))</f>
        <v/>
      </c>
      <c r="K108">
        <f>_xlfn.IFNA(VLOOKUP(VALUE(Table5[[#This Row],[NODE]]), VPC!A:A, 2, 0), "No está en VPC")</f>
        <v/>
      </c>
      <c r="L108">
        <f>IF(OR(ISNUMBER(SEARCH("VPC-Leaf", K108)), ISNUMBER(SEARCH("VPC_Leaf", K108))),SUBSTITUTE(SUBSTITUTE(SUBSTITUTE(K108, "VPC-Leaf", ""), "VPC_Leaf", ""), "_", "-"),A108)</f>
        <v/>
      </c>
      <c r="M108">
        <f>_xlfn.IFNA(VLOOKUP(_xlfn.CONCAT(VALUE(Table5[[#This Row],[NODE]]),Table5[[#This Row],[PORT]]),PG!C:H,6,0),"NO EXISTE PG")</f>
        <v/>
      </c>
      <c r="N108">
        <f>_xlfn.IFNA(VLOOKUP(_xlfn.CONCAT(VALUE(Table5[[#This Row],[NODE]]),Table5[[#This Row],[PORT]]),PG!C:H,4,0),"NO EXISTE ISEL")</f>
        <v/>
      </c>
      <c r="O108">
        <f>COUNTIF(Statics!G:G,Table5[[#This Row],[PG]])+COUNTIF(Statics!H:H,_xlfn.CONCAT((Table5[[#This Row],[NODE]]),Table5[[#This Row],[PORT]]))</f>
        <v/>
      </c>
      <c r="P108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08">
        <f>COUNTIF(Statics!F:F,Table5[[#This Row],[ID]])+COUNTIF(Statics!F:F,VALUE(Table5[[#This Row],[NODE]]))</f>
        <v/>
      </c>
    </row>
    <row r="109">
      <c r="A109" t="inlineStr">
        <is>
          <t>102</t>
        </is>
      </c>
      <c r="B109" t="inlineStr">
        <is>
          <t>1</t>
        </is>
      </c>
      <c r="C109">
        <f>VLOOKUP(VALUE(Table5[[#This Row],[NODE]]),LEAF_INFO!B:H,6,0)</f>
        <v/>
      </c>
      <c r="D109" t="inlineStr">
        <is>
          <t>eth1/32</t>
        </is>
      </c>
      <c r="E109" t="inlineStr">
        <is>
          <t>down</t>
        </is>
      </c>
      <c r="F109" t="inlineStr">
        <is>
          <t>down</t>
        </is>
      </c>
      <c r="G109">
        <f>VLOOKUP(_xlfn.CONCAT(Table5[[#This Row],[NODE]],Table5[[#This Row],[PORT]]),PORTS_!A:G,7,0)</f>
        <v/>
      </c>
      <c r="H109" t="inlineStr"/>
      <c r="I109">
        <f>VLOOKUP(VALUE(Table5[[#This Row],[NODE]]),LEAF_INFO!B:H,7,0)</f>
        <v/>
      </c>
      <c r="J109">
        <f>ISNUMBER(SEARCH("vpc-leaf", SUBSTITUTE(LOWER(K109), "_", "-")))</f>
        <v/>
      </c>
      <c r="K109">
        <f>_xlfn.IFNA(VLOOKUP(VALUE(Table5[[#This Row],[NODE]]), VPC!A:A, 2, 0), "No está en VPC")</f>
        <v/>
      </c>
      <c r="L109">
        <f>IF(OR(ISNUMBER(SEARCH("VPC-Leaf", K109)), ISNUMBER(SEARCH("VPC_Leaf", K109))),SUBSTITUTE(SUBSTITUTE(SUBSTITUTE(K109, "VPC-Leaf", ""), "VPC_Leaf", ""), "_", "-"),A109)</f>
        <v/>
      </c>
      <c r="M109">
        <f>_xlfn.IFNA(VLOOKUP(_xlfn.CONCAT(VALUE(Table5[[#This Row],[NODE]]),Table5[[#This Row],[PORT]]),PG!C:H,6,0),"NO EXISTE PG")</f>
        <v/>
      </c>
      <c r="N109">
        <f>_xlfn.IFNA(VLOOKUP(_xlfn.CONCAT(VALUE(Table5[[#This Row],[NODE]]),Table5[[#This Row],[PORT]]),PG!C:H,4,0),"NO EXISTE ISEL")</f>
        <v/>
      </c>
      <c r="O109">
        <f>COUNTIF(Statics!G:G,Table5[[#This Row],[PG]])+COUNTIF(Statics!H:H,_xlfn.CONCAT((Table5[[#This Row],[NODE]]),Table5[[#This Row],[PORT]]))</f>
        <v/>
      </c>
      <c r="P109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09">
        <f>COUNTIF(Statics!F:F,Table5[[#This Row],[ID]])+COUNTIF(Statics!F:F,VALUE(Table5[[#This Row],[NODE]]))</f>
        <v/>
      </c>
    </row>
    <row r="110">
      <c r="A110" t="inlineStr">
        <is>
          <t>201</t>
        </is>
      </c>
      <c r="B110" t="inlineStr">
        <is>
          <t>1</t>
        </is>
      </c>
      <c r="C110">
        <f>VLOOKUP(VALUE(Table5[[#This Row],[NODE]]),LEAF_INFO!B:H,6,0)</f>
        <v/>
      </c>
      <c r="D110" t="inlineStr">
        <is>
          <t>eth1/33</t>
        </is>
      </c>
      <c r="E110" t="inlineStr">
        <is>
          <t>down</t>
        </is>
      </c>
      <c r="F110" t="inlineStr">
        <is>
          <t>down</t>
        </is>
      </c>
      <c r="G110">
        <f>VLOOKUP(_xlfn.CONCAT(Table5[[#This Row],[NODE]],Table5[[#This Row],[PORT]]),PORTS_!A:G,7,0)</f>
        <v/>
      </c>
      <c r="H110" t="inlineStr"/>
      <c r="I110">
        <f>VLOOKUP(VALUE(Table5[[#This Row],[NODE]]),LEAF_INFO!B:H,7,0)</f>
        <v/>
      </c>
      <c r="J110">
        <f>ISNUMBER(SEARCH("vpc-leaf", SUBSTITUTE(LOWER(K110), "_", "-")))</f>
        <v/>
      </c>
      <c r="K110">
        <f>_xlfn.IFNA(VLOOKUP(VALUE(Table5[[#This Row],[NODE]]), VPC!A:A, 2, 0), "No está en VPC")</f>
        <v/>
      </c>
      <c r="L110">
        <f>IF(OR(ISNUMBER(SEARCH("VPC-Leaf", K110)), ISNUMBER(SEARCH("VPC_Leaf", K110))),SUBSTITUTE(SUBSTITUTE(SUBSTITUTE(K110, "VPC-Leaf", ""), "VPC_Leaf", ""), "_", "-"),A110)</f>
        <v/>
      </c>
      <c r="M110">
        <f>_xlfn.IFNA(VLOOKUP(_xlfn.CONCAT(VALUE(Table5[[#This Row],[NODE]]),Table5[[#This Row],[PORT]]),PG!C:H,6,0),"NO EXISTE PG")</f>
        <v/>
      </c>
      <c r="N110">
        <f>_xlfn.IFNA(VLOOKUP(_xlfn.CONCAT(VALUE(Table5[[#This Row],[NODE]]),Table5[[#This Row],[PORT]]),PG!C:H,4,0),"NO EXISTE ISEL")</f>
        <v/>
      </c>
      <c r="O110">
        <f>COUNTIF(Statics!G:G,Table5[[#This Row],[PG]])+COUNTIF(Statics!H:H,_xlfn.CONCAT((Table5[[#This Row],[NODE]]),Table5[[#This Row],[PORT]]))</f>
        <v/>
      </c>
      <c r="P110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10">
        <f>COUNTIF(Statics!F:F,Table5[[#This Row],[ID]])+COUNTIF(Statics!F:F,VALUE(Table5[[#This Row],[NODE]]))</f>
        <v/>
      </c>
    </row>
    <row r="111">
      <c r="A111" t="inlineStr">
        <is>
          <t>201</t>
        </is>
      </c>
      <c r="B111" t="inlineStr">
        <is>
          <t>1</t>
        </is>
      </c>
      <c r="C111">
        <f>VLOOKUP(VALUE(Table5[[#This Row],[NODE]]),LEAF_INFO!B:H,6,0)</f>
        <v/>
      </c>
      <c r="D111" t="inlineStr">
        <is>
          <t>eth1/34</t>
        </is>
      </c>
      <c r="E111" t="inlineStr">
        <is>
          <t>down</t>
        </is>
      </c>
      <c r="F111" t="inlineStr">
        <is>
          <t>down</t>
        </is>
      </c>
      <c r="G111">
        <f>VLOOKUP(_xlfn.CONCAT(Table5[[#This Row],[NODE]],Table5[[#This Row],[PORT]]),PORTS_!A:G,7,0)</f>
        <v/>
      </c>
      <c r="H111" t="inlineStr"/>
      <c r="I111">
        <f>VLOOKUP(VALUE(Table5[[#This Row],[NODE]]),LEAF_INFO!B:H,7,0)</f>
        <v/>
      </c>
      <c r="J111">
        <f>ISNUMBER(SEARCH("vpc-leaf", SUBSTITUTE(LOWER(K111), "_", "-")))</f>
        <v/>
      </c>
      <c r="K111">
        <f>_xlfn.IFNA(VLOOKUP(VALUE(Table5[[#This Row],[NODE]]), VPC!A:A, 2, 0), "No está en VPC")</f>
        <v/>
      </c>
      <c r="L111">
        <f>IF(OR(ISNUMBER(SEARCH("VPC-Leaf", K111)), ISNUMBER(SEARCH("VPC_Leaf", K111))),SUBSTITUTE(SUBSTITUTE(SUBSTITUTE(K111, "VPC-Leaf", ""), "VPC_Leaf", ""), "_", "-"),A111)</f>
        <v/>
      </c>
      <c r="M111">
        <f>_xlfn.IFNA(VLOOKUP(_xlfn.CONCAT(VALUE(Table5[[#This Row],[NODE]]),Table5[[#This Row],[PORT]]),PG!C:H,6,0),"NO EXISTE PG")</f>
        <v/>
      </c>
      <c r="N111">
        <f>_xlfn.IFNA(VLOOKUP(_xlfn.CONCAT(VALUE(Table5[[#This Row],[NODE]]),Table5[[#This Row],[PORT]]),PG!C:H,4,0),"NO EXISTE ISEL")</f>
        <v/>
      </c>
      <c r="O111">
        <f>COUNTIF(Statics!G:G,Table5[[#This Row],[PG]])+COUNTIF(Statics!H:H,_xlfn.CONCAT((Table5[[#This Row],[NODE]]),Table5[[#This Row],[PORT]]))</f>
        <v/>
      </c>
      <c r="P111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11">
        <f>COUNTIF(Statics!F:F,Table5[[#This Row],[ID]])+COUNTIF(Statics!F:F,VALUE(Table5[[#This Row],[NODE]]))</f>
        <v/>
      </c>
    </row>
    <row r="112">
      <c r="A112" t="inlineStr">
        <is>
          <t>201</t>
        </is>
      </c>
      <c r="B112" t="inlineStr">
        <is>
          <t>1</t>
        </is>
      </c>
      <c r="C112">
        <f>VLOOKUP(VALUE(Table5[[#This Row],[NODE]]),LEAF_INFO!B:H,6,0)</f>
        <v/>
      </c>
      <c r="D112" t="inlineStr">
        <is>
          <t>eth1/1</t>
        </is>
      </c>
      <c r="E112" t="inlineStr">
        <is>
          <t>up</t>
        </is>
      </c>
      <c r="F112" t="inlineStr">
        <is>
          <t>up</t>
        </is>
      </c>
      <c r="G112">
        <f>VLOOKUP(_xlfn.CONCAT(Table5[[#This Row],[NODE]],Table5[[#This Row],[PORT]]),PORTS_!A:G,7,0)</f>
        <v/>
      </c>
      <c r="H112" t="inlineStr">
        <is>
          <t>LINK_HACIA_LEAF</t>
        </is>
      </c>
      <c r="I112">
        <f>VLOOKUP(VALUE(Table5[[#This Row],[NODE]]),LEAF_INFO!B:H,7,0)</f>
        <v/>
      </c>
      <c r="J112">
        <f>ISNUMBER(SEARCH("vpc-leaf", SUBSTITUTE(LOWER(K112), "_", "-")))</f>
        <v/>
      </c>
      <c r="K112">
        <f>_xlfn.IFNA(VLOOKUP(VALUE(Table5[[#This Row],[NODE]]), VPC!A:A, 2, 0), "No está en VPC")</f>
        <v/>
      </c>
      <c r="L112">
        <f>IF(OR(ISNUMBER(SEARCH("VPC-Leaf", K112)), ISNUMBER(SEARCH("VPC_Leaf", K112))),SUBSTITUTE(SUBSTITUTE(SUBSTITUTE(K112, "VPC-Leaf", ""), "VPC_Leaf", ""), "_", "-"),A112)</f>
        <v/>
      </c>
      <c r="M112">
        <f>_xlfn.IFNA(VLOOKUP(_xlfn.CONCAT(VALUE(Table5[[#This Row],[NODE]]),Table5[[#This Row],[PORT]]),PG!C:H,6,0),"NO EXISTE PG")</f>
        <v/>
      </c>
      <c r="N112">
        <f>_xlfn.IFNA(VLOOKUP(_xlfn.CONCAT(VALUE(Table5[[#This Row],[NODE]]),Table5[[#This Row],[PORT]]),PG!C:H,4,0),"NO EXISTE ISEL")</f>
        <v/>
      </c>
      <c r="O112">
        <f>COUNTIF(Statics!G:G,Table5[[#This Row],[PG]])+COUNTIF(Statics!H:H,_xlfn.CONCAT((Table5[[#This Row],[NODE]]),Table5[[#This Row],[PORT]]))</f>
        <v/>
      </c>
      <c r="P112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12">
        <f>COUNTIF(Statics!F:F,Table5[[#This Row],[ID]])+COUNTIF(Statics!F:F,VALUE(Table5[[#This Row],[NODE]]))</f>
        <v/>
      </c>
    </row>
    <row r="113">
      <c r="A113" t="inlineStr">
        <is>
          <t>201</t>
        </is>
      </c>
      <c r="B113" t="inlineStr">
        <is>
          <t>1</t>
        </is>
      </c>
      <c r="C113">
        <f>VLOOKUP(VALUE(Table5[[#This Row],[NODE]]),LEAF_INFO!B:H,6,0)</f>
        <v/>
      </c>
      <c r="D113" t="inlineStr">
        <is>
          <t>eth1/2</t>
        </is>
      </c>
      <c r="E113" t="inlineStr">
        <is>
          <t>up</t>
        </is>
      </c>
      <c r="F113" t="inlineStr">
        <is>
          <t>up</t>
        </is>
      </c>
      <c r="G113">
        <f>VLOOKUP(_xlfn.CONCAT(Table5[[#This Row],[NODE]],Table5[[#This Row],[PORT]]),PORTS_!A:G,7,0)</f>
        <v/>
      </c>
      <c r="H113" t="inlineStr">
        <is>
          <t>LINK_HACIA_LEAF</t>
        </is>
      </c>
      <c r="I113">
        <f>VLOOKUP(VALUE(Table5[[#This Row],[NODE]]),LEAF_INFO!B:H,7,0)</f>
        <v/>
      </c>
      <c r="J113">
        <f>ISNUMBER(SEARCH("vpc-leaf", SUBSTITUTE(LOWER(K113), "_", "-")))</f>
        <v/>
      </c>
      <c r="K113">
        <f>_xlfn.IFNA(VLOOKUP(VALUE(Table5[[#This Row],[NODE]]), VPC!A:A, 2, 0), "No está en VPC")</f>
        <v/>
      </c>
      <c r="L113">
        <f>IF(OR(ISNUMBER(SEARCH("VPC-Leaf", K113)), ISNUMBER(SEARCH("VPC_Leaf", K113))),SUBSTITUTE(SUBSTITUTE(SUBSTITUTE(K113, "VPC-Leaf", ""), "VPC_Leaf", ""), "_", "-"),A113)</f>
        <v/>
      </c>
      <c r="M113">
        <f>_xlfn.IFNA(VLOOKUP(_xlfn.CONCAT(VALUE(Table5[[#This Row],[NODE]]),Table5[[#This Row],[PORT]]),PG!C:H,6,0),"NO EXISTE PG")</f>
        <v/>
      </c>
      <c r="N113">
        <f>_xlfn.IFNA(VLOOKUP(_xlfn.CONCAT(VALUE(Table5[[#This Row],[NODE]]),Table5[[#This Row],[PORT]]),PG!C:H,4,0),"NO EXISTE ISEL")</f>
        <v/>
      </c>
      <c r="O113">
        <f>COUNTIF(Statics!G:G,Table5[[#This Row],[PG]])+COUNTIF(Statics!H:H,_xlfn.CONCAT((Table5[[#This Row],[NODE]]),Table5[[#This Row],[PORT]]))</f>
        <v/>
      </c>
      <c r="P113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13">
        <f>COUNTIF(Statics!F:F,Table5[[#This Row],[ID]])+COUNTIF(Statics!F:F,VALUE(Table5[[#This Row],[NODE]]))</f>
        <v/>
      </c>
    </row>
    <row r="114">
      <c r="A114" t="inlineStr">
        <is>
          <t>201</t>
        </is>
      </c>
      <c r="B114" t="inlineStr">
        <is>
          <t>1</t>
        </is>
      </c>
      <c r="C114">
        <f>VLOOKUP(VALUE(Table5[[#This Row],[NODE]]),LEAF_INFO!B:H,6,0)</f>
        <v/>
      </c>
      <c r="D114" t="inlineStr">
        <is>
          <t>eth1/3</t>
        </is>
      </c>
      <c r="E114" t="inlineStr">
        <is>
          <t>up</t>
        </is>
      </c>
      <c r="F114" t="inlineStr">
        <is>
          <t>up</t>
        </is>
      </c>
      <c r="G114">
        <f>VLOOKUP(_xlfn.CONCAT(Table5[[#This Row],[NODE]],Table5[[#This Row],[PORT]]),PORTS_!A:G,7,0)</f>
        <v/>
      </c>
      <c r="H114" t="inlineStr">
        <is>
          <t>LINK_HACIA_LEAF</t>
        </is>
      </c>
      <c r="I114">
        <f>VLOOKUP(VALUE(Table5[[#This Row],[NODE]]),LEAF_INFO!B:H,7,0)</f>
        <v/>
      </c>
      <c r="J114">
        <f>ISNUMBER(SEARCH("vpc-leaf", SUBSTITUTE(LOWER(K114), "_", "-")))</f>
        <v/>
      </c>
      <c r="K114">
        <f>_xlfn.IFNA(VLOOKUP(VALUE(Table5[[#This Row],[NODE]]), VPC!A:A, 2, 0), "No está en VPC")</f>
        <v/>
      </c>
      <c r="L114">
        <f>IF(OR(ISNUMBER(SEARCH("VPC-Leaf", K114)), ISNUMBER(SEARCH("VPC_Leaf", K114))),SUBSTITUTE(SUBSTITUTE(SUBSTITUTE(K114, "VPC-Leaf", ""), "VPC_Leaf", ""), "_", "-"),A114)</f>
        <v/>
      </c>
      <c r="M114">
        <f>_xlfn.IFNA(VLOOKUP(_xlfn.CONCAT(VALUE(Table5[[#This Row],[NODE]]),Table5[[#This Row],[PORT]]),PG!C:H,6,0),"NO EXISTE PG")</f>
        <v/>
      </c>
      <c r="N114">
        <f>_xlfn.IFNA(VLOOKUP(_xlfn.CONCAT(VALUE(Table5[[#This Row],[NODE]]),Table5[[#This Row],[PORT]]),PG!C:H,4,0),"NO EXISTE ISEL")</f>
        <v/>
      </c>
      <c r="O114">
        <f>COUNTIF(Statics!G:G,Table5[[#This Row],[PG]])+COUNTIF(Statics!H:H,_xlfn.CONCAT((Table5[[#This Row],[NODE]]),Table5[[#This Row],[PORT]]))</f>
        <v/>
      </c>
      <c r="P114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14">
        <f>COUNTIF(Statics!F:F,Table5[[#This Row],[ID]])+COUNTIF(Statics!F:F,VALUE(Table5[[#This Row],[NODE]]))</f>
        <v/>
      </c>
    </row>
    <row r="115">
      <c r="A115" t="inlineStr">
        <is>
          <t>201</t>
        </is>
      </c>
      <c r="B115" t="inlineStr">
        <is>
          <t>1</t>
        </is>
      </c>
      <c r="C115">
        <f>VLOOKUP(VALUE(Table5[[#This Row],[NODE]]),LEAF_INFO!B:H,6,0)</f>
        <v/>
      </c>
      <c r="D115" t="inlineStr">
        <is>
          <t>eth1/4</t>
        </is>
      </c>
      <c r="E115" t="inlineStr">
        <is>
          <t>up</t>
        </is>
      </c>
      <c r="F115" t="inlineStr">
        <is>
          <t>up</t>
        </is>
      </c>
      <c r="G115">
        <f>VLOOKUP(_xlfn.CONCAT(Table5[[#This Row],[NODE]],Table5[[#This Row],[PORT]]),PORTS_!A:G,7,0)</f>
        <v/>
      </c>
      <c r="H115" t="inlineStr">
        <is>
          <t>LINK_HACIA_LEAF</t>
        </is>
      </c>
      <c r="I115">
        <f>VLOOKUP(VALUE(Table5[[#This Row],[NODE]]),LEAF_INFO!B:H,7,0)</f>
        <v/>
      </c>
      <c r="J115">
        <f>ISNUMBER(SEARCH("vpc-leaf", SUBSTITUTE(LOWER(K115), "_", "-")))</f>
        <v/>
      </c>
      <c r="K115">
        <f>_xlfn.IFNA(VLOOKUP(VALUE(Table5[[#This Row],[NODE]]), VPC!A:A, 2, 0), "No está en VPC")</f>
        <v/>
      </c>
      <c r="L115">
        <f>IF(OR(ISNUMBER(SEARCH("VPC-Leaf", K115)), ISNUMBER(SEARCH("VPC_Leaf", K115))),SUBSTITUTE(SUBSTITUTE(SUBSTITUTE(K115, "VPC-Leaf", ""), "VPC_Leaf", ""), "_", "-"),A115)</f>
        <v/>
      </c>
      <c r="M115">
        <f>_xlfn.IFNA(VLOOKUP(_xlfn.CONCAT(VALUE(Table5[[#This Row],[NODE]]),Table5[[#This Row],[PORT]]),PG!C:H,6,0),"NO EXISTE PG")</f>
        <v/>
      </c>
      <c r="N115">
        <f>_xlfn.IFNA(VLOOKUP(_xlfn.CONCAT(VALUE(Table5[[#This Row],[NODE]]),Table5[[#This Row],[PORT]]),PG!C:H,4,0),"NO EXISTE ISEL")</f>
        <v/>
      </c>
      <c r="O115">
        <f>COUNTIF(Statics!G:G,Table5[[#This Row],[PG]])+COUNTIF(Statics!H:H,_xlfn.CONCAT((Table5[[#This Row],[NODE]]),Table5[[#This Row],[PORT]]))</f>
        <v/>
      </c>
      <c r="P115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15">
        <f>COUNTIF(Statics!F:F,Table5[[#This Row],[ID]])+COUNTIF(Statics!F:F,VALUE(Table5[[#This Row],[NODE]]))</f>
        <v/>
      </c>
    </row>
    <row r="116">
      <c r="A116" t="inlineStr">
        <is>
          <t>201</t>
        </is>
      </c>
      <c r="B116" t="inlineStr">
        <is>
          <t>1</t>
        </is>
      </c>
      <c r="C116">
        <f>VLOOKUP(VALUE(Table5[[#This Row],[NODE]]),LEAF_INFO!B:H,6,0)</f>
        <v/>
      </c>
      <c r="D116" t="inlineStr">
        <is>
          <t>eth1/5</t>
        </is>
      </c>
      <c r="E116" t="inlineStr">
        <is>
          <t>down</t>
        </is>
      </c>
      <c r="F116" t="inlineStr">
        <is>
          <t>down</t>
        </is>
      </c>
      <c r="G116">
        <f>VLOOKUP(_xlfn.CONCAT(Table5[[#This Row],[NODE]],Table5[[#This Row],[PORT]]),PORTS_!A:G,7,0)</f>
        <v/>
      </c>
      <c r="H116" t="inlineStr"/>
      <c r="I116">
        <f>VLOOKUP(VALUE(Table5[[#This Row],[NODE]]),LEAF_INFO!B:H,7,0)</f>
        <v/>
      </c>
      <c r="J116">
        <f>ISNUMBER(SEARCH("vpc-leaf", SUBSTITUTE(LOWER(K116), "_", "-")))</f>
        <v/>
      </c>
      <c r="K116">
        <f>_xlfn.IFNA(VLOOKUP(VALUE(Table5[[#This Row],[NODE]]), VPC!A:A, 2, 0), "No está en VPC")</f>
        <v/>
      </c>
      <c r="L116">
        <f>IF(OR(ISNUMBER(SEARCH("VPC-Leaf", K116)), ISNUMBER(SEARCH("VPC_Leaf", K116))),SUBSTITUTE(SUBSTITUTE(SUBSTITUTE(K116, "VPC-Leaf", ""), "VPC_Leaf", ""), "_", "-"),A116)</f>
        <v/>
      </c>
      <c r="M116">
        <f>_xlfn.IFNA(VLOOKUP(_xlfn.CONCAT(VALUE(Table5[[#This Row],[NODE]]),Table5[[#This Row],[PORT]]),PG!C:H,6,0),"NO EXISTE PG")</f>
        <v/>
      </c>
      <c r="N116">
        <f>_xlfn.IFNA(VLOOKUP(_xlfn.CONCAT(VALUE(Table5[[#This Row],[NODE]]),Table5[[#This Row],[PORT]]),PG!C:H,4,0),"NO EXISTE ISEL")</f>
        <v/>
      </c>
      <c r="O116">
        <f>COUNTIF(Statics!G:G,Table5[[#This Row],[PG]])+COUNTIF(Statics!H:H,_xlfn.CONCAT((Table5[[#This Row],[NODE]]),Table5[[#This Row],[PORT]]))</f>
        <v/>
      </c>
      <c r="P116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16">
        <f>COUNTIF(Statics!F:F,Table5[[#This Row],[ID]])+COUNTIF(Statics!F:F,VALUE(Table5[[#This Row],[NODE]]))</f>
        <v/>
      </c>
    </row>
    <row r="117">
      <c r="A117" t="inlineStr">
        <is>
          <t>201</t>
        </is>
      </c>
      <c r="B117" t="inlineStr">
        <is>
          <t>1</t>
        </is>
      </c>
      <c r="C117">
        <f>VLOOKUP(VALUE(Table5[[#This Row],[NODE]]),LEAF_INFO!B:H,6,0)</f>
        <v/>
      </c>
      <c r="D117" t="inlineStr">
        <is>
          <t>eth1/6</t>
        </is>
      </c>
      <c r="E117" t="inlineStr">
        <is>
          <t>down</t>
        </is>
      </c>
      <c r="F117" t="inlineStr">
        <is>
          <t>down</t>
        </is>
      </c>
      <c r="G117">
        <f>VLOOKUP(_xlfn.CONCAT(Table5[[#This Row],[NODE]],Table5[[#This Row],[PORT]]),PORTS_!A:G,7,0)</f>
        <v/>
      </c>
      <c r="H117" t="inlineStr"/>
      <c r="I117">
        <f>VLOOKUP(VALUE(Table5[[#This Row],[NODE]]),LEAF_INFO!B:H,7,0)</f>
        <v/>
      </c>
      <c r="J117">
        <f>ISNUMBER(SEARCH("vpc-leaf", SUBSTITUTE(LOWER(K117), "_", "-")))</f>
        <v/>
      </c>
      <c r="K117">
        <f>_xlfn.IFNA(VLOOKUP(VALUE(Table5[[#This Row],[NODE]]), VPC!A:A, 2, 0), "No está en VPC")</f>
        <v/>
      </c>
      <c r="L117">
        <f>IF(OR(ISNUMBER(SEARCH("VPC-Leaf", K117)), ISNUMBER(SEARCH("VPC_Leaf", K117))),SUBSTITUTE(SUBSTITUTE(SUBSTITUTE(K117, "VPC-Leaf", ""), "VPC_Leaf", ""), "_", "-"),A117)</f>
        <v/>
      </c>
      <c r="M117">
        <f>_xlfn.IFNA(VLOOKUP(_xlfn.CONCAT(VALUE(Table5[[#This Row],[NODE]]),Table5[[#This Row],[PORT]]),PG!C:H,6,0),"NO EXISTE PG")</f>
        <v/>
      </c>
      <c r="N117">
        <f>_xlfn.IFNA(VLOOKUP(_xlfn.CONCAT(VALUE(Table5[[#This Row],[NODE]]),Table5[[#This Row],[PORT]]),PG!C:H,4,0),"NO EXISTE ISEL")</f>
        <v/>
      </c>
      <c r="O117">
        <f>COUNTIF(Statics!G:G,Table5[[#This Row],[PG]])+COUNTIF(Statics!H:H,_xlfn.CONCAT((Table5[[#This Row],[NODE]]),Table5[[#This Row],[PORT]]))</f>
        <v/>
      </c>
      <c r="P117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17">
        <f>COUNTIF(Statics!F:F,Table5[[#This Row],[ID]])+COUNTIF(Statics!F:F,VALUE(Table5[[#This Row],[NODE]]))</f>
        <v/>
      </c>
    </row>
    <row r="118">
      <c r="A118" t="inlineStr">
        <is>
          <t>201</t>
        </is>
      </c>
      <c r="B118" t="inlineStr">
        <is>
          <t>1</t>
        </is>
      </c>
      <c r="C118">
        <f>VLOOKUP(VALUE(Table5[[#This Row],[NODE]]),LEAF_INFO!B:H,6,0)</f>
        <v/>
      </c>
      <c r="D118" t="inlineStr">
        <is>
          <t>eth1/7</t>
        </is>
      </c>
      <c r="E118" t="inlineStr">
        <is>
          <t>down</t>
        </is>
      </c>
      <c r="F118" t="inlineStr">
        <is>
          <t>down</t>
        </is>
      </c>
      <c r="G118">
        <f>VLOOKUP(_xlfn.CONCAT(Table5[[#This Row],[NODE]],Table5[[#This Row],[PORT]]),PORTS_!A:G,7,0)</f>
        <v/>
      </c>
      <c r="H118" t="inlineStr"/>
      <c r="I118">
        <f>VLOOKUP(VALUE(Table5[[#This Row],[NODE]]),LEAF_INFO!B:H,7,0)</f>
        <v/>
      </c>
      <c r="J118">
        <f>ISNUMBER(SEARCH("vpc-leaf", SUBSTITUTE(LOWER(K118), "_", "-")))</f>
        <v/>
      </c>
      <c r="K118">
        <f>_xlfn.IFNA(VLOOKUP(VALUE(Table5[[#This Row],[NODE]]), VPC!A:A, 2, 0), "No está en VPC")</f>
        <v/>
      </c>
      <c r="L118">
        <f>IF(OR(ISNUMBER(SEARCH("VPC-Leaf", K118)), ISNUMBER(SEARCH("VPC_Leaf", K118))),SUBSTITUTE(SUBSTITUTE(SUBSTITUTE(K118, "VPC-Leaf", ""), "VPC_Leaf", ""), "_", "-"),A118)</f>
        <v/>
      </c>
      <c r="M118">
        <f>_xlfn.IFNA(VLOOKUP(_xlfn.CONCAT(VALUE(Table5[[#This Row],[NODE]]),Table5[[#This Row],[PORT]]),PG!C:H,6,0),"NO EXISTE PG")</f>
        <v/>
      </c>
      <c r="N118">
        <f>_xlfn.IFNA(VLOOKUP(_xlfn.CONCAT(VALUE(Table5[[#This Row],[NODE]]),Table5[[#This Row],[PORT]]),PG!C:H,4,0),"NO EXISTE ISEL")</f>
        <v/>
      </c>
      <c r="O118">
        <f>COUNTIF(Statics!G:G,Table5[[#This Row],[PG]])+COUNTIF(Statics!H:H,_xlfn.CONCAT((Table5[[#This Row],[NODE]]),Table5[[#This Row],[PORT]]))</f>
        <v/>
      </c>
      <c r="P118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18">
        <f>COUNTIF(Statics!F:F,Table5[[#This Row],[ID]])+COUNTIF(Statics!F:F,VALUE(Table5[[#This Row],[NODE]]))</f>
        <v/>
      </c>
    </row>
    <row r="119">
      <c r="A119" t="inlineStr">
        <is>
          <t>201</t>
        </is>
      </c>
      <c r="B119" t="inlineStr">
        <is>
          <t>1</t>
        </is>
      </c>
      <c r="C119">
        <f>VLOOKUP(VALUE(Table5[[#This Row],[NODE]]),LEAF_INFO!B:H,6,0)</f>
        <v/>
      </c>
      <c r="D119" t="inlineStr">
        <is>
          <t>eth1/8</t>
        </is>
      </c>
      <c r="E119" t="inlineStr">
        <is>
          <t>down</t>
        </is>
      </c>
      <c r="F119" t="inlineStr">
        <is>
          <t>down</t>
        </is>
      </c>
      <c r="G119">
        <f>VLOOKUP(_xlfn.CONCAT(Table5[[#This Row],[NODE]],Table5[[#This Row],[PORT]]),PORTS_!A:G,7,0)</f>
        <v/>
      </c>
      <c r="H119" t="inlineStr"/>
      <c r="I119">
        <f>VLOOKUP(VALUE(Table5[[#This Row],[NODE]]),LEAF_INFO!B:H,7,0)</f>
        <v/>
      </c>
      <c r="J119">
        <f>ISNUMBER(SEARCH("vpc-leaf", SUBSTITUTE(LOWER(K119), "_", "-")))</f>
        <v/>
      </c>
      <c r="K119">
        <f>_xlfn.IFNA(VLOOKUP(VALUE(Table5[[#This Row],[NODE]]), VPC!A:A, 2, 0), "No está en VPC")</f>
        <v/>
      </c>
      <c r="L119">
        <f>IF(OR(ISNUMBER(SEARCH("VPC-Leaf", K119)), ISNUMBER(SEARCH("VPC_Leaf", K119))),SUBSTITUTE(SUBSTITUTE(SUBSTITUTE(K119, "VPC-Leaf", ""), "VPC_Leaf", ""), "_", "-"),A119)</f>
        <v/>
      </c>
      <c r="M119">
        <f>_xlfn.IFNA(VLOOKUP(_xlfn.CONCAT(VALUE(Table5[[#This Row],[NODE]]),Table5[[#This Row],[PORT]]),PG!C:H,6,0),"NO EXISTE PG")</f>
        <v/>
      </c>
      <c r="N119">
        <f>_xlfn.IFNA(VLOOKUP(_xlfn.CONCAT(VALUE(Table5[[#This Row],[NODE]]),Table5[[#This Row],[PORT]]),PG!C:H,4,0),"NO EXISTE ISEL")</f>
        <v/>
      </c>
      <c r="O119">
        <f>COUNTIF(Statics!G:G,Table5[[#This Row],[PG]])+COUNTIF(Statics!H:H,_xlfn.CONCAT((Table5[[#This Row],[NODE]]),Table5[[#This Row],[PORT]]))</f>
        <v/>
      </c>
      <c r="P119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19">
        <f>COUNTIF(Statics!F:F,Table5[[#This Row],[ID]])+COUNTIF(Statics!F:F,VALUE(Table5[[#This Row],[NODE]]))</f>
        <v/>
      </c>
    </row>
    <row r="120">
      <c r="A120" t="inlineStr">
        <is>
          <t>201</t>
        </is>
      </c>
      <c r="B120" t="inlineStr">
        <is>
          <t>1</t>
        </is>
      </c>
      <c r="C120">
        <f>VLOOKUP(VALUE(Table5[[#This Row],[NODE]]),LEAF_INFO!B:H,6,0)</f>
        <v/>
      </c>
      <c r="D120" t="inlineStr">
        <is>
          <t>eth1/9</t>
        </is>
      </c>
      <c r="E120" t="inlineStr">
        <is>
          <t>down</t>
        </is>
      </c>
      <c r="F120" t="inlineStr">
        <is>
          <t>down</t>
        </is>
      </c>
      <c r="G120">
        <f>VLOOKUP(_xlfn.CONCAT(Table5[[#This Row],[NODE]],Table5[[#This Row],[PORT]]),PORTS_!A:G,7,0)</f>
        <v/>
      </c>
      <c r="H120" t="inlineStr"/>
      <c r="I120">
        <f>VLOOKUP(VALUE(Table5[[#This Row],[NODE]]),LEAF_INFO!B:H,7,0)</f>
        <v/>
      </c>
      <c r="J120">
        <f>ISNUMBER(SEARCH("vpc-leaf", SUBSTITUTE(LOWER(K120), "_", "-")))</f>
        <v/>
      </c>
      <c r="K120">
        <f>_xlfn.IFNA(VLOOKUP(VALUE(Table5[[#This Row],[NODE]]), VPC!A:A, 2, 0), "No está en VPC")</f>
        <v/>
      </c>
      <c r="L120">
        <f>IF(OR(ISNUMBER(SEARCH("VPC-Leaf", K120)), ISNUMBER(SEARCH("VPC_Leaf", K120))),SUBSTITUTE(SUBSTITUTE(SUBSTITUTE(K120, "VPC-Leaf", ""), "VPC_Leaf", ""), "_", "-"),A120)</f>
        <v/>
      </c>
      <c r="M120">
        <f>_xlfn.IFNA(VLOOKUP(_xlfn.CONCAT(VALUE(Table5[[#This Row],[NODE]]),Table5[[#This Row],[PORT]]),PG!C:H,6,0),"NO EXISTE PG")</f>
        <v/>
      </c>
      <c r="N120">
        <f>_xlfn.IFNA(VLOOKUP(_xlfn.CONCAT(VALUE(Table5[[#This Row],[NODE]]),Table5[[#This Row],[PORT]]),PG!C:H,4,0),"NO EXISTE ISEL")</f>
        <v/>
      </c>
      <c r="O120">
        <f>COUNTIF(Statics!G:G,Table5[[#This Row],[PG]])+COUNTIF(Statics!H:H,_xlfn.CONCAT((Table5[[#This Row],[NODE]]),Table5[[#This Row],[PORT]]))</f>
        <v/>
      </c>
      <c r="P120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20">
        <f>COUNTIF(Statics!F:F,Table5[[#This Row],[ID]])+COUNTIF(Statics!F:F,VALUE(Table5[[#This Row],[NODE]]))</f>
        <v/>
      </c>
    </row>
    <row r="121">
      <c r="A121" t="inlineStr">
        <is>
          <t>201</t>
        </is>
      </c>
      <c r="B121" t="inlineStr">
        <is>
          <t>1</t>
        </is>
      </c>
      <c r="C121">
        <f>VLOOKUP(VALUE(Table5[[#This Row],[NODE]]),LEAF_INFO!B:H,6,0)</f>
        <v/>
      </c>
      <c r="D121" t="inlineStr">
        <is>
          <t>eth1/10</t>
        </is>
      </c>
      <c r="E121" t="inlineStr">
        <is>
          <t>down</t>
        </is>
      </c>
      <c r="F121" t="inlineStr">
        <is>
          <t>down</t>
        </is>
      </c>
      <c r="G121">
        <f>VLOOKUP(_xlfn.CONCAT(Table5[[#This Row],[NODE]],Table5[[#This Row],[PORT]]),PORTS_!A:G,7,0)</f>
        <v/>
      </c>
      <c r="H121" t="inlineStr"/>
      <c r="I121">
        <f>VLOOKUP(VALUE(Table5[[#This Row],[NODE]]),LEAF_INFO!B:H,7,0)</f>
        <v/>
      </c>
      <c r="J121">
        <f>ISNUMBER(SEARCH("vpc-leaf", SUBSTITUTE(LOWER(K121), "_", "-")))</f>
        <v/>
      </c>
      <c r="K121">
        <f>_xlfn.IFNA(VLOOKUP(VALUE(Table5[[#This Row],[NODE]]), VPC!A:A, 2, 0), "No está en VPC")</f>
        <v/>
      </c>
      <c r="L121">
        <f>IF(OR(ISNUMBER(SEARCH("VPC-Leaf", K121)), ISNUMBER(SEARCH("VPC_Leaf", K121))),SUBSTITUTE(SUBSTITUTE(SUBSTITUTE(K121, "VPC-Leaf", ""), "VPC_Leaf", ""), "_", "-"),A121)</f>
        <v/>
      </c>
      <c r="M121">
        <f>_xlfn.IFNA(VLOOKUP(_xlfn.CONCAT(VALUE(Table5[[#This Row],[NODE]]),Table5[[#This Row],[PORT]]),PG!C:H,6,0),"NO EXISTE PG")</f>
        <v/>
      </c>
      <c r="N121">
        <f>_xlfn.IFNA(VLOOKUP(_xlfn.CONCAT(VALUE(Table5[[#This Row],[NODE]]),Table5[[#This Row],[PORT]]),PG!C:H,4,0),"NO EXISTE ISEL")</f>
        <v/>
      </c>
      <c r="O121">
        <f>COUNTIF(Statics!G:G,Table5[[#This Row],[PG]])+COUNTIF(Statics!H:H,_xlfn.CONCAT((Table5[[#This Row],[NODE]]),Table5[[#This Row],[PORT]]))</f>
        <v/>
      </c>
      <c r="P121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21">
        <f>COUNTIF(Statics!F:F,Table5[[#This Row],[ID]])+COUNTIF(Statics!F:F,VALUE(Table5[[#This Row],[NODE]]))</f>
        <v/>
      </c>
    </row>
    <row r="122">
      <c r="A122" t="inlineStr">
        <is>
          <t>201</t>
        </is>
      </c>
      <c r="B122" t="inlineStr">
        <is>
          <t>1</t>
        </is>
      </c>
      <c r="C122">
        <f>VLOOKUP(VALUE(Table5[[#This Row],[NODE]]),LEAF_INFO!B:H,6,0)</f>
        <v/>
      </c>
      <c r="D122" t="inlineStr">
        <is>
          <t>eth1/11</t>
        </is>
      </c>
      <c r="E122" t="inlineStr">
        <is>
          <t>down</t>
        </is>
      </c>
      <c r="F122" t="inlineStr">
        <is>
          <t>down</t>
        </is>
      </c>
      <c r="G122">
        <f>VLOOKUP(_xlfn.CONCAT(Table5[[#This Row],[NODE]],Table5[[#This Row],[PORT]]),PORTS_!A:G,7,0)</f>
        <v/>
      </c>
      <c r="H122" t="inlineStr"/>
      <c r="I122">
        <f>VLOOKUP(VALUE(Table5[[#This Row],[NODE]]),LEAF_INFO!B:H,7,0)</f>
        <v/>
      </c>
      <c r="J122">
        <f>ISNUMBER(SEARCH("vpc-leaf", SUBSTITUTE(LOWER(K122), "_", "-")))</f>
        <v/>
      </c>
      <c r="K122">
        <f>_xlfn.IFNA(VLOOKUP(VALUE(Table5[[#This Row],[NODE]]), VPC!A:A, 2, 0), "No está en VPC")</f>
        <v/>
      </c>
      <c r="L122">
        <f>IF(OR(ISNUMBER(SEARCH("VPC-Leaf", K122)), ISNUMBER(SEARCH("VPC_Leaf", K122))),SUBSTITUTE(SUBSTITUTE(SUBSTITUTE(K122, "VPC-Leaf", ""), "VPC_Leaf", ""), "_", "-"),A122)</f>
        <v/>
      </c>
      <c r="M122">
        <f>_xlfn.IFNA(VLOOKUP(_xlfn.CONCAT(VALUE(Table5[[#This Row],[NODE]]),Table5[[#This Row],[PORT]]),PG!C:H,6,0),"NO EXISTE PG")</f>
        <v/>
      </c>
      <c r="N122">
        <f>_xlfn.IFNA(VLOOKUP(_xlfn.CONCAT(VALUE(Table5[[#This Row],[NODE]]),Table5[[#This Row],[PORT]]),PG!C:H,4,0),"NO EXISTE ISEL")</f>
        <v/>
      </c>
      <c r="O122">
        <f>COUNTIF(Statics!G:G,Table5[[#This Row],[PG]])+COUNTIF(Statics!H:H,_xlfn.CONCAT((Table5[[#This Row],[NODE]]),Table5[[#This Row],[PORT]]))</f>
        <v/>
      </c>
      <c r="P122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22">
        <f>COUNTIF(Statics!F:F,Table5[[#This Row],[ID]])+COUNTIF(Statics!F:F,VALUE(Table5[[#This Row],[NODE]]))</f>
        <v/>
      </c>
    </row>
    <row r="123">
      <c r="A123" t="inlineStr">
        <is>
          <t>201</t>
        </is>
      </c>
      <c r="B123" t="inlineStr">
        <is>
          <t>1</t>
        </is>
      </c>
      <c r="C123">
        <f>VLOOKUP(VALUE(Table5[[#This Row],[NODE]]),LEAF_INFO!B:H,6,0)</f>
        <v/>
      </c>
      <c r="D123" t="inlineStr">
        <is>
          <t>eth1/12</t>
        </is>
      </c>
      <c r="E123" t="inlineStr">
        <is>
          <t>down</t>
        </is>
      </c>
      <c r="F123" t="inlineStr">
        <is>
          <t>down</t>
        </is>
      </c>
      <c r="G123">
        <f>VLOOKUP(_xlfn.CONCAT(Table5[[#This Row],[NODE]],Table5[[#This Row],[PORT]]),PORTS_!A:G,7,0)</f>
        <v/>
      </c>
      <c r="H123" t="inlineStr"/>
      <c r="I123">
        <f>VLOOKUP(VALUE(Table5[[#This Row],[NODE]]),LEAF_INFO!B:H,7,0)</f>
        <v/>
      </c>
      <c r="J123">
        <f>ISNUMBER(SEARCH("vpc-leaf", SUBSTITUTE(LOWER(K123), "_", "-")))</f>
        <v/>
      </c>
      <c r="K123">
        <f>_xlfn.IFNA(VLOOKUP(VALUE(Table5[[#This Row],[NODE]]), VPC!A:A, 2, 0), "No está en VPC")</f>
        <v/>
      </c>
      <c r="L123">
        <f>IF(OR(ISNUMBER(SEARCH("VPC-Leaf", K123)), ISNUMBER(SEARCH("VPC_Leaf", K123))),SUBSTITUTE(SUBSTITUTE(SUBSTITUTE(K123, "VPC-Leaf", ""), "VPC_Leaf", ""), "_", "-"),A123)</f>
        <v/>
      </c>
      <c r="M123">
        <f>_xlfn.IFNA(VLOOKUP(_xlfn.CONCAT(VALUE(Table5[[#This Row],[NODE]]),Table5[[#This Row],[PORT]]),PG!C:H,6,0),"NO EXISTE PG")</f>
        <v/>
      </c>
      <c r="N123">
        <f>_xlfn.IFNA(VLOOKUP(_xlfn.CONCAT(VALUE(Table5[[#This Row],[NODE]]),Table5[[#This Row],[PORT]]),PG!C:H,4,0),"NO EXISTE ISEL")</f>
        <v/>
      </c>
      <c r="O123">
        <f>COUNTIF(Statics!G:G,Table5[[#This Row],[PG]])+COUNTIF(Statics!H:H,_xlfn.CONCAT((Table5[[#This Row],[NODE]]),Table5[[#This Row],[PORT]]))</f>
        <v/>
      </c>
      <c r="P123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23">
        <f>COUNTIF(Statics!F:F,Table5[[#This Row],[ID]])+COUNTIF(Statics!F:F,VALUE(Table5[[#This Row],[NODE]]))</f>
        <v/>
      </c>
    </row>
    <row r="124">
      <c r="A124" t="inlineStr">
        <is>
          <t>201</t>
        </is>
      </c>
      <c r="B124" t="inlineStr">
        <is>
          <t>1</t>
        </is>
      </c>
      <c r="C124">
        <f>VLOOKUP(VALUE(Table5[[#This Row],[NODE]]),LEAF_INFO!B:H,6,0)</f>
        <v/>
      </c>
      <c r="D124" t="inlineStr">
        <is>
          <t>eth1/13</t>
        </is>
      </c>
      <c r="E124" t="inlineStr">
        <is>
          <t>down</t>
        </is>
      </c>
      <c r="F124" t="inlineStr">
        <is>
          <t>down</t>
        </is>
      </c>
      <c r="G124">
        <f>VLOOKUP(_xlfn.CONCAT(Table5[[#This Row],[NODE]],Table5[[#This Row],[PORT]]),PORTS_!A:G,7,0)</f>
        <v/>
      </c>
      <c r="H124" t="inlineStr"/>
      <c r="I124">
        <f>VLOOKUP(VALUE(Table5[[#This Row],[NODE]]),LEAF_INFO!B:H,7,0)</f>
        <v/>
      </c>
      <c r="J124">
        <f>ISNUMBER(SEARCH("vpc-leaf", SUBSTITUTE(LOWER(K124), "_", "-")))</f>
        <v/>
      </c>
      <c r="K124">
        <f>_xlfn.IFNA(VLOOKUP(VALUE(Table5[[#This Row],[NODE]]), VPC!A:A, 2, 0), "No está en VPC")</f>
        <v/>
      </c>
      <c r="L124">
        <f>IF(OR(ISNUMBER(SEARCH("VPC-Leaf", K124)), ISNUMBER(SEARCH("VPC_Leaf", K124))),SUBSTITUTE(SUBSTITUTE(SUBSTITUTE(K124, "VPC-Leaf", ""), "VPC_Leaf", ""), "_", "-"),A124)</f>
        <v/>
      </c>
      <c r="M124">
        <f>_xlfn.IFNA(VLOOKUP(_xlfn.CONCAT(VALUE(Table5[[#This Row],[NODE]]),Table5[[#This Row],[PORT]]),PG!C:H,6,0),"NO EXISTE PG")</f>
        <v/>
      </c>
      <c r="N124">
        <f>_xlfn.IFNA(VLOOKUP(_xlfn.CONCAT(VALUE(Table5[[#This Row],[NODE]]),Table5[[#This Row],[PORT]]),PG!C:H,4,0),"NO EXISTE ISEL")</f>
        <v/>
      </c>
      <c r="O124">
        <f>COUNTIF(Statics!G:G,Table5[[#This Row],[PG]])+COUNTIF(Statics!H:H,_xlfn.CONCAT((Table5[[#This Row],[NODE]]),Table5[[#This Row],[PORT]]))</f>
        <v/>
      </c>
      <c r="P124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24">
        <f>COUNTIF(Statics!F:F,Table5[[#This Row],[ID]])+COUNTIF(Statics!F:F,VALUE(Table5[[#This Row],[NODE]]))</f>
        <v/>
      </c>
    </row>
    <row r="125">
      <c r="A125" t="inlineStr">
        <is>
          <t>201</t>
        </is>
      </c>
      <c r="B125" t="inlineStr">
        <is>
          <t>1</t>
        </is>
      </c>
      <c r="C125">
        <f>VLOOKUP(VALUE(Table5[[#This Row],[NODE]]),LEAF_INFO!B:H,6,0)</f>
        <v/>
      </c>
      <c r="D125" t="inlineStr">
        <is>
          <t>eth1/14</t>
        </is>
      </c>
      <c r="E125" t="inlineStr">
        <is>
          <t>down</t>
        </is>
      </c>
      <c r="F125" t="inlineStr">
        <is>
          <t>down</t>
        </is>
      </c>
      <c r="G125">
        <f>VLOOKUP(_xlfn.CONCAT(Table5[[#This Row],[NODE]],Table5[[#This Row],[PORT]]),PORTS_!A:G,7,0)</f>
        <v/>
      </c>
      <c r="H125" t="inlineStr"/>
      <c r="I125">
        <f>VLOOKUP(VALUE(Table5[[#This Row],[NODE]]),LEAF_INFO!B:H,7,0)</f>
        <v/>
      </c>
      <c r="J125">
        <f>ISNUMBER(SEARCH("vpc-leaf", SUBSTITUTE(LOWER(K125), "_", "-")))</f>
        <v/>
      </c>
      <c r="K125">
        <f>_xlfn.IFNA(VLOOKUP(VALUE(Table5[[#This Row],[NODE]]), VPC!A:A, 2, 0), "No está en VPC")</f>
        <v/>
      </c>
      <c r="L125">
        <f>IF(OR(ISNUMBER(SEARCH("VPC-Leaf", K125)), ISNUMBER(SEARCH("VPC_Leaf", K125))),SUBSTITUTE(SUBSTITUTE(SUBSTITUTE(K125, "VPC-Leaf", ""), "VPC_Leaf", ""), "_", "-"),A125)</f>
        <v/>
      </c>
      <c r="M125">
        <f>_xlfn.IFNA(VLOOKUP(_xlfn.CONCAT(VALUE(Table5[[#This Row],[NODE]]),Table5[[#This Row],[PORT]]),PG!C:H,6,0),"NO EXISTE PG")</f>
        <v/>
      </c>
      <c r="N125">
        <f>_xlfn.IFNA(VLOOKUP(_xlfn.CONCAT(VALUE(Table5[[#This Row],[NODE]]),Table5[[#This Row],[PORT]]),PG!C:H,4,0),"NO EXISTE ISEL")</f>
        <v/>
      </c>
      <c r="O125">
        <f>COUNTIF(Statics!G:G,Table5[[#This Row],[PG]])+COUNTIF(Statics!H:H,_xlfn.CONCAT((Table5[[#This Row],[NODE]]),Table5[[#This Row],[PORT]]))</f>
        <v/>
      </c>
      <c r="P125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25">
        <f>COUNTIF(Statics!F:F,Table5[[#This Row],[ID]])+COUNTIF(Statics!F:F,VALUE(Table5[[#This Row],[NODE]]))</f>
        <v/>
      </c>
    </row>
    <row r="126">
      <c r="A126" t="inlineStr">
        <is>
          <t>201</t>
        </is>
      </c>
      <c r="B126" t="inlineStr">
        <is>
          <t>1</t>
        </is>
      </c>
      <c r="C126">
        <f>VLOOKUP(VALUE(Table5[[#This Row],[NODE]]),LEAF_INFO!B:H,6,0)</f>
        <v/>
      </c>
      <c r="D126" t="inlineStr">
        <is>
          <t>eth1/15</t>
        </is>
      </c>
      <c r="E126" t="inlineStr">
        <is>
          <t>down</t>
        </is>
      </c>
      <c r="F126" t="inlineStr">
        <is>
          <t>down</t>
        </is>
      </c>
      <c r="G126">
        <f>VLOOKUP(_xlfn.CONCAT(Table5[[#This Row],[NODE]],Table5[[#This Row],[PORT]]),PORTS_!A:G,7,0)</f>
        <v/>
      </c>
      <c r="H126" t="inlineStr"/>
      <c r="I126">
        <f>VLOOKUP(VALUE(Table5[[#This Row],[NODE]]),LEAF_INFO!B:H,7,0)</f>
        <v/>
      </c>
      <c r="J126">
        <f>ISNUMBER(SEARCH("vpc-leaf", SUBSTITUTE(LOWER(K126), "_", "-")))</f>
        <v/>
      </c>
      <c r="K126">
        <f>_xlfn.IFNA(VLOOKUP(VALUE(Table5[[#This Row],[NODE]]), VPC!A:A, 2, 0), "No está en VPC")</f>
        <v/>
      </c>
      <c r="L126">
        <f>IF(OR(ISNUMBER(SEARCH("VPC-Leaf", K126)), ISNUMBER(SEARCH("VPC_Leaf", K126))),SUBSTITUTE(SUBSTITUTE(SUBSTITUTE(K126, "VPC-Leaf", ""), "VPC_Leaf", ""), "_", "-"),A126)</f>
        <v/>
      </c>
      <c r="M126">
        <f>_xlfn.IFNA(VLOOKUP(_xlfn.CONCAT(VALUE(Table5[[#This Row],[NODE]]),Table5[[#This Row],[PORT]]),PG!C:H,6,0),"NO EXISTE PG")</f>
        <v/>
      </c>
      <c r="N126">
        <f>_xlfn.IFNA(VLOOKUP(_xlfn.CONCAT(VALUE(Table5[[#This Row],[NODE]]),Table5[[#This Row],[PORT]]),PG!C:H,4,0),"NO EXISTE ISEL")</f>
        <v/>
      </c>
      <c r="O126">
        <f>COUNTIF(Statics!G:G,Table5[[#This Row],[PG]])+COUNTIF(Statics!H:H,_xlfn.CONCAT((Table5[[#This Row],[NODE]]),Table5[[#This Row],[PORT]]))</f>
        <v/>
      </c>
      <c r="P126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26">
        <f>COUNTIF(Statics!F:F,Table5[[#This Row],[ID]])+COUNTIF(Statics!F:F,VALUE(Table5[[#This Row],[NODE]]))</f>
        <v/>
      </c>
    </row>
    <row r="127">
      <c r="A127" t="inlineStr">
        <is>
          <t>201</t>
        </is>
      </c>
      <c r="B127" t="inlineStr">
        <is>
          <t>1</t>
        </is>
      </c>
      <c r="C127">
        <f>VLOOKUP(VALUE(Table5[[#This Row],[NODE]]),LEAF_INFO!B:H,6,0)</f>
        <v/>
      </c>
      <c r="D127" t="inlineStr">
        <is>
          <t>eth1/16</t>
        </is>
      </c>
      <c r="E127" t="inlineStr">
        <is>
          <t>down</t>
        </is>
      </c>
      <c r="F127" t="inlineStr">
        <is>
          <t>down</t>
        </is>
      </c>
      <c r="G127">
        <f>VLOOKUP(_xlfn.CONCAT(Table5[[#This Row],[NODE]],Table5[[#This Row],[PORT]]),PORTS_!A:G,7,0)</f>
        <v/>
      </c>
      <c r="H127" t="inlineStr"/>
      <c r="I127">
        <f>VLOOKUP(VALUE(Table5[[#This Row],[NODE]]),LEAF_INFO!B:H,7,0)</f>
        <v/>
      </c>
      <c r="J127">
        <f>ISNUMBER(SEARCH("vpc-leaf", SUBSTITUTE(LOWER(K127), "_", "-")))</f>
        <v/>
      </c>
      <c r="K127">
        <f>_xlfn.IFNA(VLOOKUP(VALUE(Table5[[#This Row],[NODE]]), VPC!A:A, 2, 0), "No está en VPC")</f>
        <v/>
      </c>
      <c r="L127">
        <f>IF(OR(ISNUMBER(SEARCH("VPC-Leaf", K127)), ISNUMBER(SEARCH("VPC_Leaf", K127))),SUBSTITUTE(SUBSTITUTE(SUBSTITUTE(K127, "VPC-Leaf", ""), "VPC_Leaf", ""), "_", "-"),A127)</f>
        <v/>
      </c>
      <c r="M127">
        <f>_xlfn.IFNA(VLOOKUP(_xlfn.CONCAT(VALUE(Table5[[#This Row],[NODE]]),Table5[[#This Row],[PORT]]),PG!C:H,6,0),"NO EXISTE PG")</f>
        <v/>
      </c>
      <c r="N127">
        <f>_xlfn.IFNA(VLOOKUP(_xlfn.CONCAT(VALUE(Table5[[#This Row],[NODE]]),Table5[[#This Row],[PORT]]),PG!C:H,4,0),"NO EXISTE ISEL")</f>
        <v/>
      </c>
      <c r="O127">
        <f>COUNTIF(Statics!G:G,Table5[[#This Row],[PG]])+COUNTIF(Statics!H:H,_xlfn.CONCAT((Table5[[#This Row],[NODE]]),Table5[[#This Row],[PORT]]))</f>
        <v/>
      </c>
      <c r="P127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27">
        <f>COUNTIF(Statics!F:F,Table5[[#This Row],[ID]])+COUNTIF(Statics!F:F,VALUE(Table5[[#This Row],[NODE]]))</f>
        <v/>
      </c>
    </row>
    <row r="128">
      <c r="A128" t="inlineStr">
        <is>
          <t>201</t>
        </is>
      </c>
      <c r="B128" t="inlineStr">
        <is>
          <t>1</t>
        </is>
      </c>
      <c r="C128">
        <f>VLOOKUP(VALUE(Table5[[#This Row],[NODE]]),LEAF_INFO!B:H,6,0)</f>
        <v/>
      </c>
      <c r="D128" t="inlineStr">
        <is>
          <t>eth1/17</t>
        </is>
      </c>
      <c r="E128" t="inlineStr">
        <is>
          <t>down</t>
        </is>
      </c>
      <c r="F128" t="inlineStr">
        <is>
          <t>down</t>
        </is>
      </c>
      <c r="G128">
        <f>VLOOKUP(_xlfn.CONCAT(Table5[[#This Row],[NODE]],Table5[[#This Row],[PORT]]),PORTS_!A:G,7,0)</f>
        <v/>
      </c>
      <c r="H128" t="inlineStr"/>
      <c r="I128">
        <f>VLOOKUP(VALUE(Table5[[#This Row],[NODE]]),LEAF_INFO!B:H,7,0)</f>
        <v/>
      </c>
      <c r="J128">
        <f>ISNUMBER(SEARCH("vpc-leaf", SUBSTITUTE(LOWER(K128), "_", "-")))</f>
        <v/>
      </c>
      <c r="K128">
        <f>_xlfn.IFNA(VLOOKUP(VALUE(Table5[[#This Row],[NODE]]), VPC!A:A, 2, 0), "No está en VPC")</f>
        <v/>
      </c>
      <c r="L128">
        <f>IF(OR(ISNUMBER(SEARCH("VPC-Leaf", K128)), ISNUMBER(SEARCH("VPC_Leaf", K128))),SUBSTITUTE(SUBSTITUTE(SUBSTITUTE(K128, "VPC-Leaf", ""), "VPC_Leaf", ""), "_", "-"),A128)</f>
        <v/>
      </c>
      <c r="M128">
        <f>_xlfn.IFNA(VLOOKUP(_xlfn.CONCAT(VALUE(Table5[[#This Row],[NODE]]),Table5[[#This Row],[PORT]]),PG!C:H,6,0),"NO EXISTE PG")</f>
        <v/>
      </c>
      <c r="N128">
        <f>_xlfn.IFNA(VLOOKUP(_xlfn.CONCAT(VALUE(Table5[[#This Row],[NODE]]),Table5[[#This Row],[PORT]]),PG!C:H,4,0),"NO EXISTE ISEL")</f>
        <v/>
      </c>
      <c r="O128">
        <f>COUNTIF(Statics!G:G,Table5[[#This Row],[PG]])+COUNTIF(Statics!H:H,_xlfn.CONCAT((Table5[[#This Row],[NODE]]),Table5[[#This Row],[PORT]]))</f>
        <v/>
      </c>
      <c r="P128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28">
        <f>COUNTIF(Statics!F:F,Table5[[#This Row],[ID]])+COUNTIF(Statics!F:F,VALUE(Table5[[#This Row],[NODE]]))</f>
        <v/>
      </c>
    </row>
    <row r="129">
      <c r="A129" t="inlineStr">
        <is>
          <t>201</t>
        </is>
      </c>
      <c r="B129" t="inlineStr">
        <is>
          <t>1</t>
        </is>
      </c>
      <c r="C129">
        <f>VLOOKUP(VALUE(Table5[[#This Row],[NODE]]),LEAF_INFO!B:H,6,0)</f>
        <v/>
      </c>
      <c r="D129" t="inlineStr">
        <is>
          <t>eth1/18</t>
        </is>
      </c>
      <c r="E129" t="inlineStr">
        <is>
          <t>down</t>
        </is>
      </c>
      <c r="F129" t="inlineStr">
        <is>
          <t>down</t>
        </is>
      </c>
      <c r="G129">
        <f>VLOOKUP(_xlfn.CONCAT(Table5[[#This Row],[NODE]],Table5[[#This Row],[PORT]]),PORTS_!A:G,7,0)</f>
        <v/>
      </c>
      <c r="H129" t="inlineStr"/>
      <c r="I129">
        <f>VLOOKUP(VALUE(Table5[[#This Row],[NODE]]),LEAF_INFO!B:H,7,0)</f>
        <v/>
      </c>
      <c r="J129">
        <f>ISNUMBER(SEARCH("vpc-leaf", SUBSTITUTE(LOWER(K129), "_", "-")))</f>
        <v/>
      </c>
      <c r="K129">
        <f>_xlfn.IFNA(VLOOKUP(VALUE(Table5[[#This Row],[NODE]]), VPC!A:A, 2, 0), "No está en VPC")</f>
        <v/>
      </c>
      <c r="L129">
        <f>IF(OR(ISNUMBER(SEARCH("VPC-Leaf", K129)), ISNUMBER(SEARCH("VPC_Leaf", K129))),SUBSTITUTE(SUBSTITUTE(SUBSTITUTE(K129, "VPC-Leaf", ""), "VPC_Leaf", ""), "_", "-"),A129)</f>
        <v/>
      </c>
      <c r="M129">
        <f>_xlfn.IFNA(VLOOKUP(_xlfn.CONCAT(VALUE(Table5[[#This Row],[NODE]]),Table5[[#This Row],[PORT]]),PG!C:H,6,0),"NO EXISTE PG")</f>
        <v/>
      </c>
      <c r="N129">
        <f>_xlfn.IFNA(VLOOKUP(_xlfn.CONCAT(VALUE(Table5[[#This Row],[NODE]]),Table5[[#This Row],[PORT]]),PG!C:H,4,0),"NO EXISTE ISEL")</f>
        <v/>
      </c>
      <c r="O129">
        <f>COUNTIF(Statics!G:G,Table5[[#This Row],[PG]])+COUNTIF(Statics!H:H,_xlfn.CONCAT((Table5[[#This Row],[NODE]]),Table5[[#This Row],[PORT]]))</f>
        <v/>
      </c>
      <c r="P129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29">
        <f>COUNTIF(Statics!F:F,Table5[[#This Row],[ID]])+COUNTIF(Statics!F:F,VALUE(Table5[[#This Row],[NODE]]))</f>
        <v/>
      </c>
    </row>
    <row r="130">
      <c r="A130" t="inlineStr">
        <is>
          <t>201</t>
        </is>
      </c>
      <c r="B130" t="inlineStr">
        <is>
          <t>1</t>
        </is>
      </c>
      <c r="C130">
        <f>VLOOKUP(VALUE(Table5[[#This Row],[NODE]]),LEAF_INFO!B:H,6,0)</f>
        <v/>
      </c>
      <c r="D130" t="inlineStr">
        <is>
          <t>eth1/19</t>
        </is>
      </c>
      <c r="E130" t="inlineStr">
        <is>
          <t>down</t>
        </is>
      </c>
      <c r="F130" t="inlineStr">
        <is>
          <t>down</t>
        </is>
      </c>
      <c r="G130">
        <f>VLOOKUP(_xlfn.CONCAT(Table5[[#This Row],[NODE]],Table5[[#This Row],[PORT]]),PORTS_!A:G,7,0)</f>
        <v/>
      </c>
      <c r="H130" t="inlineStr"/>
      <c r="I130">
        <f>VLOOKUP(VALUE(Table5[[#This Row],[NODE]]),LEAF_INFO!B:H,7,0)</f>
        <v/>
      </c>
      <c r="J130">
        <f>ISNUMBER(SEARCH("vpc-leaf", SUBSTITUTE(LOWER(K130), "_", "-")))</f>
        <v/>
      </c>
      <c r="K130">
        <f>_xlfn.IFNA(VLOOKUP(VALUE(Table5[[#This Row],[NODE]]), VPC!A:A, 2, 0), "No está en VPC")</f>
        <v/>
      </c>
      <c r="L130">
        <f>IF(OR(ISNUMBER(SEARCH("VPC-Leaf", K130)), ISNUMBER(SEARCH("VPC_Leaf", K130))),SUBSTITUTE(SUBSTITUTE(SUBSTITUTE(K130, "VPC-Leaf", ""), "VPC_Leaf", ""), "_", "-"),A130)</f>
        <v/>
      </c>
      <c r="M130">
        <f>_xlfn.IFNA(VLOOKUP(_xlfn.CONCAT(VALUE(Table5[[#This Row],[NODE]]),Table5[[#This Row],[PORT]]),PG!C:H,6,0),"NO EXISTE PG")</f>
        <v/>
      </c>
      <c r="N130">
        <f>_xlfn.IFNA(VLOOKUP(_xlfn.CONCAT(VALUE(Table5[[#This Row],[NODE]]),Table5[[#This Row],[PORT]]),PG!C:H,4,0),"NO EXISTE ISEL")</f>
        <v/>
      </c>
      <c r="O130">
        <f>COUNTIF(Statics!G:G,Table5[[#This Row],[PG]])+COUNTIF(Statics!H:H,_xlfn.CONCAT((Table5[[#This Row],[NODE]]),Table5[[#This Row],[PORT]]))</f>
        <v/>
      </c>
      <c r="P130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30">
        <f>COUNTIF(Statics!F:F,Table5[[#This Row],[ID]])+COUNTIF(Statics!F:F,VALUE(Table5[[#This Row],[NODE]]))</f>
        <v/>
      </c>
    </row>
    <row r="131">
      <c r="A131" t="inlineStr">
        <is>
          <t>201</t>
        </is>
      </c>
      <c r="B131" t="inlineStr">
        <is>
          <t>1</t>
        </is>
      </c>
      <c r="C131">
        <f>VLOOKUP(VALUE(Table5[[#This Row],[NODE]]),LEAF_INFO!B:H,6,0)</f>
        <v/>
      </c>
      <c r="D131" t="inlineStr">
        <is>
          <t>eth1/20</t>
        </is>
      </c>
      <c r="E131" t="inlineStr">
        <is>
          <t>down</t>
        </is>
      </c>
      <c r="F131" t="inlineStr">
        <is>
          <t>down</t>
        </is>
      </c>
      <c r="G131">
        <f>VLOOKUP(_xlfn.CONCAT(Table5[[#This Row],[NODE]],Table5[[#This Row],[PORT]]),PORTS_!A:G,7,0)</f>
        <v/>
      </c>
      <c r="H131" t="inlineStr"/>
      <c r="I131">
        <f>VLOOKUP(VALUE(Table5[[#This Row],[NODE]]),LEAF_INFO!B:H,7,0)</f>
        <v/>
      </c>
      <c r="J131">
        <f>ISNUMBER(SEARCH("vpc-leaf", SUBSTITUTE(LOWER(K131), "_", "-")))</f>
        <v/>
      </c>
      <c r="K131">
        <f>_xlfn.IFNA(VLOOKUP(VALUE(Table5[[#This Row],[NODE]]), VPC!A:A, 2, 0), "No está en VPC")</f>
        <v/>
      </c>
      <c r="L131">
        <f>IF(OR(ISNUMBER(SEARCH("VPC-Leaf", K131)), ISNUMBER(SEARCH("VPC_Leaf", K131))),SUBSTITUTE(SUBSTITUTE(SUBSTITUTE(K131, "VPC-Leaf", ""), "VPC_Leaf", ""), "_", "-"),A131)</f>
        <v/>
      </c>
      <c r="M131">
        <f>_xlfn.IFNA(VLOOKUP(_xlfn.CONCAT(VALUE(Table5[[#This Row],[NODE]]),Table5[[#This Row],[PORT]]),PG!C:H,6,0),"NO EXISTE PG")</f>
        <v/>
      </c>
      <c r="N131">
        <f>_xlfn.IFNA(VLOOKUP(_xlfn.CONCAT(VALUE(Table5[[#This Row],[NODE]]),Table5[[#This Row],[PORT]]),PG!C:H,4,0),"NO EXISTE ISEL")</f>
        <v/>
      </c>
      <c r="O131">
        <f>COUNTIF(Statics!G:G,Table5[[#This Row],[PG]])+COUNTIF(Statics!H:H,_xlfn.CONCAT((Table5[[#This Row],[NODE]]),Table5[[#This Row],[PORT]]))</f>
        <v/>
      </c>
      <c r="P131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31">
        <f>COUNTIF(Statics!F:F,Table5[[#This Row],[ID]])+COUNTIF(Statics!F:F,VALUE(Table5[[#This Row],[NODE]]))</f>
        <v/>
      </c>
    </row>
    <row r="132">
      <c r="A132" t="inlineStr">
        <is>
          <t>201</t>
        </is>
      </c>
      <c r="B132" t="inlineStr">
        <is>
          <t>1</t>
        </is>
      </c>
      <c r="C132">
        <f>VLOOKUP(VALUE(Table5[[#This Row],[NODE]]),LEAF_INFO!B:H,6,0)</f>
        <v/>
      </c>
      <c r="D132" t="inlineStr">
        <is>
          <t>eth1/21</t>
        </is>
      </c>
      <c r="E132" t="inlineStr">
        <is>
          <t>down</t>
        </is>
      </c>
      <c r="F132" t="inlineStr">
        <is>
          <t>down</t>
        </is>
      </c>
      <c r="G132">
        <f>VLOOKUP(_xlfn.CONCAT(Table5[[#This Row],[NODE]],Table5[[#This Row],[PORT]]),PORTS_!A:G,7,0)</f>
        <v/>
      </c>
      <c r="H132" t="inlineStr"/>
      <c r="I132">
        <f>VLOOKUP(VALUE(Table5[[#This Row],[NODE]]),LEAF_INFO!B:H,7,0)</f>
        <v/>
      </c>
      <c r="J132">
        <f>ISNUMBER(SEARCH("vpc-leaf", SUBSTITUTE(LOWER(K132), "_", "-")))</f>
        <v/>
      </c>
      <c r="K132">
        <f>_xlfn.IFNA(VLOOKUP(VALUE(Table5[[#This Row],[NODE]]), VPC!A:A, 2, 0), "No está en VPC")</f>
        <v/>
      </c>
      <c r="L132">
        <f>IF(OR(ISNUMBER(SEARCH("VPC-Leaf", K132)), ISNUMBER(SEARCH("VPC_Leaf", K132))),SUBSTITUTE(SUBSTITUTE(SUBSTITUTE(K132, "VPC-Leaf", ""), "VPC_Leaf", ""), "_", "-"),A132)</f>
        <v/>
      </c>
      <c r="M132">
        <f>_xlfn.IFNA(VLOOKUP(_xlfn.CONCAT(VALUE(Table5[[#This Row],[NODE]]),Table5[[#This Row],[PORT]]),PG!C:H,6,0),"NO EXISTE PG")</f>
        <v/>
      </c>
      <c r="N132">
        <f>_xlfn.IFNA(VLOOKUP(_xlfn.CONCAT(VALUE(Table5[[#This Row],[NODE]]),Table5[[#This Row],[PORT]]),PG!C:H,4,0),"NO EXISTE ISEL")</f>
        <v/>
      </c>
      <c r="O132">
        <f>COUNTIF(Statics!G:G,Table5[[#This Row],[PG]])+COUNTIF(Statics!H:H,_xlfn.CONCAT((Table5[[#This Row],[NODE]]),Table5[[#This Row],[PORT]]))</f>
        <v/>
      </c>
      <c r="P132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32">
        <f>COUNTIF(Statics!F:F,Table5[[#This Row],[ID]])+COUNTIF(Statics!F:F,VALUE(Table5[[#This Row],[NODE]]))</f>
        <v/>
      </c>
    </row>
    <row r="133">
      <c r="A133" t="inlineStr">
        <is>
          <t>201</t>
        </is>
      </c>
      <c r="B133" t="inlineStr">
        <is>
          <t>1</t>
        </is>
      </c>
      <c r="C133">
        <f>VLOOKUP(VALUE(Table5[[#This Row],[NODE]]),LEAF_INFO!B:H,6,0)</f>
        <v/>
      </c>
      <c r="D133" t="inlineStr">
        <is>
          <t>eth1/22</t>
        </is>
      </c>
      <c r="E133" t="inlineStr">
        <is>
          <t>down</t>
        </is>
      </c>
      <c r="F133" t="inlineStr">
        <is>
          <t>down</t>
        </is>
      </c>
      <c r="G133">
        <f>VLOOKUP(_xlfn.CONCAT(Table5[[#This Row],[NODE]],Table5[[#This Row],[PORT]]),PORTS_!A:G,7,0)</f>
        <v/>
      </c>
      <c r="H133" t="inlineStr"/>
      <c r="I133">
        <f>VLOOKUP(VALUE(Table5[[#This Row],[NODE]]),LEAF_INFO!B:H,7,0)</f>
        <v/>
      </c>
      <c r="J133">
        <f>ISNUMBER(SEARCH("vpc-leaf", SUBSTITUTE(LOWER(K133), "_", "-")))</f>
        <v/>
      </c>
      <c r="K133">
        <f>_xlfn.IFNA(VLOOKUP(VALUE(Table5[[#This Row],[NODE]]), VPC!A:A, 2, 0), "No está en VPC")</f>
        <v/>
      </c>
      <c r="L133">
        <f>IF(OR(ISNUMBER(SEARCH("VPC-Leaf", K133)), ISNUMBER(SEARCH("VPC_Leaf", K133))),SUBSTITUTE(SUBSTITUTE(SUBSTITUTE(K133, "VPC-Leaf", ""), "VPC_Leaf", ""), "_", "-"),A133)</f>
        <v/>
      </c>
      <c r="M133">
        <f>_xlfn.IFNA(VLOOKUP(_xlfn.CONCAT(VALUE(Table5[[#This Row],[NODE]]),Table5[[#This Row],[PORT]]),PG!C:H,6,0),"NO EXISTE PG")</f>
        <v/>
      </c>
      <c r="N133">
        <f>_xlfn.IFNA(VLOOKUP(_xlfn.CONCAT(VALUE(Table5[[#This Row],[NODE]]),Table5[[#This Row],[PORT]]),PG!C:H,4,0),"NO EXISTE ISEL")</f>
        <v/>
      </c>
      <c r="O133">
        <f>COUNTIF(Statics!G:G,Table5[[#This Row],[PG]])+COUNTIF(Statics!H:H,_xlfn.CONCAT((Table5[[#This Row],[NODE]]),Table5[[#This Row],[PORT]]))</f>
        <v/>
      </c>
      <c r="P133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33">
        <f>COUNTIF(Statics!F:F,Table5[[#This Row],[ID]])+COUNTIF(Statics!F:F,VALUE(Table5[[#This Row],[NODE]]))</f>
        <v/>
      </c>
    </row>
    <row r="134">
      <c r="A134" t="inlineStr">
        <is>
          <t>201</t>
        </is>
      </c>
      <c r="B134" t="inlineStr">
        <is>
          <t>1</t>
        </is>
      </c>
      <c r="C134">
        <f>VLOOKUP(VALUE(Table5[[#This Row],[NODE]]),LEAF_INFO!B:H,6,0)</f>
        <v/>
      </c>
      <c r="D134" t="inlineStr">
        <is>
          <t>eth1/23</t>
        </is>
      </c>
      <c r="E134" t="inlineStr">
        <is>
          <t>down</t>
        </is>
      </c>
      <c r="F134" t="inlineStr">
        <is>
          <t>down</t>
        </is>
      </c>
      <c r="G134">
        <f>VLOOKUP(_xlfn.CONCAT(Table5[[#This Row],[NODE]],Table5[[#This Row],[PORT]]),PORTS_!A:G,7,0)</f>
        <v/>
      </c>
      <c r="H134" t="inlineStr"/>
      <c r="I134">
        <f>VLOOKUP(VALUE(Table5[[#This Row],[NODE]]),LEAF_INFO!B:H,7,0)</f>
        <v/>
      </c>
      <c r="J134">
        <f>ISNUMBER(SEARCH("vpc-leaf", SUBSTITUTE(LOWER(K134), "_", "-")))</f>
        <v/>
      </c>
      <c r="K134">
        <f>_xlfn.IFNA(VLOOKUP(VALUE(Table5[[#This Row],[NODE]]), VPC!A:A, 2, 0), "No está en VPC")</f>
        <v/>
      </c>
      <c r="L134">
        <f>IF(OR(ISNUMBER(SEARCH("VPC-Leaf", K134)), ISNUMBER(SEARCH("VPC_Leaf", K134))),SUBSTITUTE(SUBSTITUTE(SUBSTITUTE(K134, "VPC-Leaf", ""), "VPC_Leaf", ""), "_", "-"),A134)</f>
        <v/>
      </c>
      <c r="M134">
        <f>_xlfn.IFNA(VLOOKUP(_xlfn.CONCAT(VALUE(Table5[[#This Row],[NODE]]),Table5[[#This Row],[PORT]]),PG!C:H,6,0),"NO EXISTE PG")</f>
        <v/>
      </c>
      <c r="N134">
        <f>_xlfn.IFNA(VLOOKUP(_xlfn.CONCAT(VALUE(Table5[[#This Row],[NODE]]),Table5[[#This Row],[PORT]]),PG!C:H,4,0),"NO EXISTE ISEL")</f>
        <v/>
      </c>
      <c r="O134">
        <f>COUNTIF(Statics!G:G,Table5[[#This Row],[PG]])+COUNTIF(Statics!H:H,_xlfn.CONCAT((Table5[[#This Row],[NODE]]),Table5[[#This Row],[PORT]]))</f>
        <v/>
      </c>
      <c r="P134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34">
        <f>COUNTIF(Statics!F:F,Table5[[#This Row],[ID]])+COUNTIF(Statics!F:F,VALUE(Table5[[#This Row],[NODE]]))</f>
        <v/>
      </c>
    </row>
    <row r="135">
      <c r="A135" t="inlineStr">
        <is>
          <t>201</t>
        </is>
      </c>
      <c r="B135" t="inlineStr">
        <is>
          <t>1</t>
        </is>
      </c>
      <c r="C135">
        <f>VLOOKUP(VALUE(Table5[[#This Row],[NODE]]),LEAF_INFO!B:H,6,0)</f>
        <v/>
      </c>
      <c r="D135" t="inlineStr">
        <is>
          <t>eth1/24</t>
        </is>
      </c>
      <c r="E135" t="inlineStr">
        <is>
          <t>down</t>
        </is>
      </c>
      <c r="F135" t="inlineStr">
        <is>
          <t>down</t>
        </is>
      </c>
      <c r="G135">
        <f>VLOOKUP(_xlfn.CONCAT(Table5[[#This Row],[NODE]],Table5[[#This Row],[PORT]]),PORTS_!A:G,7,0)</f>
        <v/>
      </c>
      <c r="H135" t="inlineStr"/>
      <c r="I135">
        <f>VLOOKUP(VALUE(Table5[[#This Row],[NODE]]),LEAF_INFO!B:H,7,0)</f>
        <v/>
      </c>
      <c r="J135">
        <f>ISNUMBER(SEARCH("vpc-leaf", SUBSTITUTE(LOWER(K135), "_", "-")))</f>
        <v/>
      </c>
      <c r="K135">
        <f>_xlfn.IFNA(VLOOKUP(VALUE(Table5[[#This Row],[NODE]]), VPC!A:A, 2, 0), "No está en VPC")</f>
        <v/>
      </c>
      <c r="L135">
        <f>IF(OR(ISNUMBER(SEARCH("VPC-Leaf", K135)), ISNUMBER(SEARCH("VPC_Leaf", K135))),SUBSTITUTE(SUBSTITUTE(SUBSTITUTE(K135, "VPC-Leaf", ""), "VPC_Leaf", ""), "_", "-"),A135)</f>
        <v/>
      </c>
      <c r="M135">
        <f>_xlfn.IFNA(VLOOKUP(_xlfn.CONCAT(VALUE(Table5[[#This Row],[NODE]]),Table5[[#This Row],[PORT]]),PG!C:H,6,0),"NO EXISTE PG")</f>
        <v/>
      </c>
      <c r="N135">
        <f>_xlfn.IFNA(VLOOKUP(_xlfn.CONCAT(VALUE(Table5[[#This Row],[NODE]]),Table5[[#This Row],[PORT]]),PG!C:H,4,0),"NO EXISTE ISEL")</f>
        <v/>
      </c>
      <c r="O135">
        <f>COUNTIF(Statics!G:G,Table5[[#This Row],[PG]])+COUNTIF(Statics!H:H,_xlfn.CONCAT((Table5[[#This Row],[NODE]]),Table5[[#This Row],[PORT]]))</f>
        <v/>
      </c>
      <c r="P135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35">
        <f>COUNTIF(Statics!F:F,Table5[[#This Row],[ID]])+COUNTIF(Statics!F:F,VALUE(Table5[[#This Row],[NODE]]))</f>
        <v/>
      </c>
    </row>
    <row r="136">
      <c r="A136" t="inlineStr">
        <is>
          <t>201</t>
        </is>
      </c>
      <c r="B136" t="inlineStr">
        <is>
          <t>1</t>
        </is>
      </c>
      <c r="C136">
        <f>VLOOKUP(VALUE(Table5[[#This Row],[NODE]]),LEAF_INFO!B:H,6,0)</f>
        <v/>
      </c>
      <c r="D136" t="inlineStr">
        <is>
          <t>eth1/25</t>
        </is>
      </c>
      <c r="E136" t="inlineStr">
        <is>
          <t>down</t>
        </is>
      </c>
      <c r="F136" t="inlineStr">
        <is>
          <t>down</t>
        </is>
      </c>
      <c r="G136">
        <f>VLOOKUP(_xlfn.CONCAT(Table5[[#This Row],[NODE]],Table5[[#This Row],[PORT]]),PORTS_!A:G,7,0)</f>
        <v/>
      </c>
      <c r="H136" t="inlineStr"/>
      <c r="I136">
        <f>VLOOKUP(VALUE(Table5[[#This Row],[NODE]]),LEAF_INFO!B:H,7,0)</f>
        <v/>
      </c>
      <c r="J136">
        <f>ISNUMBER(SEARCH("vpc-leaf", SUBSTITUTE(LOWER(K136), "_", "-")))</f>
        <v/>
      </c>
      <c r="K136">
        <f>_xlfn.IFNA(VLOOKUP(VALUE(Table5[[#This Row],[NODE]]), VPC!A:A, 2, 0), "No está en VPC")</f>
        <v/>
      </c>
      <c r="L136">
        <f>IF(OR(ISNUMBER(SEARCH("VPC-Leaf", K136)), ISNUMBER(SEARCH("VPC_Leaf", K136))),SUBSTITUTE(SUBSTITUTE(SUBSTITUTE(K136, "VPC-Leaf", ""), "VPC_Leaf", ""), "_", "-"),A136)</f>
        <v/>
      </c>
      <c r="M136">
        <f>_xlfn.IFNA(VLOOKUP(_xlfn.CONCAT(VALUE(Table5[[#This Row],[NODE]]),Table5[[#This Row],[PORT]]),PG!C:H,6,0),"NO EXISTE PG")</f>
        <v/>
      </c>
      <c r="N136">
        <f>_xlfn.IFNA(VLOOKUP(_xlfn.CONCAT(VALUE(Table5[[#This Row],[NODE]]),Table5[[#This Row],[PORT]]),PG!C:H,4,0),"NO EXISTE ISEL")</f>
        <v/>
      </c>
      <c r="O136">
        <f>COUNTIF(Statics!G:G,Table5[[#This Row],[PG]])+COUNTIF(Statics!H:H,_xlfn.CONCAT((Table5[[#This Row],[NODE]]),Table5[[#This Row],[PORT]]))</f>
        <v/>
      </c>
      <c r="P136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36">
        <f>COUNTIF(Statics!F:F,Table5[[#This Row],[ID]])+COUNTIF(Statics!F:F,VALUE(Table5[[#This Row],[NODE]]))</f>
        <v/>
      </c>
    </row>
    <row r="137">
      <c r="A137" t="inlineStr">
        <is>
          <t>201</t>
        </is>
      </c>
      <c r="B137" t="inlineStr">
        <is>
          <t>1</t>
        </is>
      </c>
      <c r="C137">
        <f>VLOOKUP(VALUE(Table5[[#This Row],[NODE]]),LEAF_INFO!B:H,6,0)</f>
        <v/>
      </c>
      <c r="D137" t="inlineStr">
        <is>
          <t>eth1/26</t>
        </is>
      </c>
      <c r="E137" t="inlineStr">
        <is>
          <t>down</t>
        </is>
      </c>
      <c r="F137" t="inlineStr">
        <is>
          <t>down</t>
        </is>
      </c>
      <c r="G137">
        <f>VLOOKUP(_xlfn.CONCAT(Table5[[#This Row],[NODE]],Table5[[#This Row],[PORT]]),PORTS_!A:G,7,0)</f>
        <v/>
      </c>
      <c r="H137" t="inlineStr"/>
      <c r="I137">
        <f>VLOOKUP(VALUE(Table5[[#This Row],[NODE]]),LEAF_INFO!B:H,7,0)</f>
        <v/>
      </c>
      <c r="J137">
        <f>ISNUMBER(SEARCH("vpc-leaf", SUBSTITUTE(LOWER(K137), "_", "-")))</f>
        <v/>
      </c>
      <c r="K137">
        <f>_xlfn.IFNA(VLOOKUP(VALUE(Table5[[#This Row],[NODE]]), VPC!A:A, 2, 0), "No está en VPC")</f>
        <v/>
      </c>
      <c r="L137">
        <f>IF(OR(ISNUMBER(SEARCH("VPC-Leaf", K137)), ISNUMBER(SEARCH("VPC_Leaf", K137))),SUBSTITUTE(SUBSTITUTE(SUBSTITUTE(K137, "VPC-Leaf", ""), "VPC_Leaf", ""), "_", "-"),A137)</f>
        <v/>
      </c>
      <c r="M137">
        <f>_xlfn.IFNA(VLOOKUP(_xlfn.CONCAT(VALUE(Table5[[#This Row],[NODE]]),Table5[[#This Row],[PORT]]),PG!C:H,6,0),"NO EXISTE PG")</f>
        <v/>
      </c>
      <c r="N137">
        <f>_xlfn.IFNA(VLOOKUP(_xlfn.CONCAT(VALUE(Table5[[#This Row],[NODE]]),Table5[[#This Row],[PORT]]),PG!C:H,4,0),"NO EXISTE ISEL")</f>
        <v/>
      </c>
      <c r="O137">
        <f>COUNTIF(Statics!G:G,Table5[[#This Row],[PG]])+COUNTIF(Statics!H:H,_xlfn.CONCAT((Table5[[#This Row],[NODE]]),Table5[[#This Row],[PORT]]))</f>
        <v/>
      </c>
      <c r="P137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37">
        <f>COUNTIF(Statics!F:F,Table5[[#This Row],[ID]])+COUNTIF(Statics!F:F,VALUE(Table5[[#This Row],[NODE]]))</f>
        <v/>
      </c>
    </row>
    <row r="138">
      <c r="A138" t="inlineStr">
        <is>
          <t>201</t>
        </is>
      </c>
      <c r="B138" t="inlineStr">
        <is>
          <t>1</t>
        </is>
      </c>
      <c r="C138">
        <f>VLOOKUP(VALUE(Table5[[#This Row],[NODE]]),LEAF_INFO!B:H,6,0)</f>
        <v/>
      </c>
      <c r="D138" t="inlineStr">
        <is>
          <t>eth1/27</t>
        </is>
      </c>
      <c r="E138" t="inlineStr">
        <is>
          <t>down</t>
        </is>
      </c>
      <c r="F138" t="inlineStr">
        <is>
          <t>down</t>
        </is>
      </c>
      <c r="G138">
        <f>VLOOKUP(_xlfn.CONCAT(Table5[[#This Row],[NODE]],Table5[[#This Row],[PORT]]),PORTS_!A:G,7,0)</f>
        <v/>
      </c>
      <c r="H138" t="inlineStr"/>
      <c r="I138">
        <f>VLOOKUP(VALUE(Table5[[#This Row],[NODE]]),LEAF_INFO!B:H,7,0)</f>
        <v/>
      </c>
      <c r="J138">
        <f>ISNUMBER(SEARCH("vpc-leaf", SUBSTITUTE(LOWER(K138), "_", "-")))</f>
        <v/>
      </c>
      <c r="K138">
        <f>_xlfn.IFNA(VLOOKUP(VALUE(Table5[[#This Row],[NODE]]), VPC!A:A, 2, 0), "No está en VPC")</f>
        <v/>
      </c>
      <c r="L138">
        <f>IF(OR(ISNUMBER(SEARCH("VPC-Leaf", K138)), ISNUMBER(SEARCH("VPC_Leaf", K138))),SUBSTITUTE(SUBSTITUTE(SUBSTITUTE(K138, "VPC-Leaf", ""), "VPC_Leaf", ""), "_", "-"),A138)</f>
        <v/>
      </c>
      <c r="M138">
        <f>_xlfn.IFNA(VLOOKUP(_xlfn.CONCAT(VALUE(Table5[[#This Row],[NODE]]),Table5[[#This Row],[PORT]]),PG!C:H,6,0),"NO EXISTE PG")</f>
        <v/>
      </c>
      <c r="N138">
        <f>_xlfn.IFNA(VLOOKUP(_xlfn.CONCAT(VALUE(Table5[[#This Row],[NODE]]),Table5[[#This Row],[PORT]]),PG!C:H,4,0),"NO EXISTE ISEL")</f>
        <v/>
      </c>
      <c r="O138">
        <f>COUNTIF(Statics!G:G,Table5[[#This Row],[PG]])+COUNTIF(Statics!H:H,_xlfn.CONCAT((Table5[[#This Row],[NODE]]),Table5[[#This Row],[PORT]]))</f>
        <v/>
      </c>
      <c r="P138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38">
        <f>COUNTIF(Statics!F:F,Table5[[#This Row],[ID]])+COUNTIF(Statics!F:F,VALUE(Table5[[#This Row],[NODE]]))</f>
        <v/>
      </c>
    </row>
    <row r="139">
      <c r="A139" t="inlineStr">
        <is>
          <t>201</t>
        </is>
      </c>
      <c r="B139" t="inlineStr">
        <is>
          <t>1</t>
        </is>
      </c>
      <c r="C139">
        <f>VLOOKUP(VALUE(Table5[[#This Row],[NODE]]),LEAF_INFO!B:H,6,0)</f>
        <v/>
      </c>
      <c r="D139" t="inlineStr">
        <is>
          <t>eth1/28</t>
        </is>
      </c>
      <c r="E139" t="inlineStr">
        <is>
          <t>down</t>
        </is>
      </c>
      <c r="F139" t="inlineStr">
        <is>
          <t>down</t>
        </is>
      </c>
      <c r="G139">
        <f>VLOOKUP(_xlfn.CONCAT(Table5[[#This Row],[NODE]],Table5[[#This Row],[PORT]]),PORTS_!A:G,7,0)</f>
        <v/>
      </c>
      <c r="H139" t="inlineStr"/>
      <c r="I139">
        <f>VLOOKUP(VALUE(Table5[[#This Row],[NODE]]),LEAF_INFO!B:H,7,0)</f>
        <v/>
      </c>
      <c r="J139">
        <f>ISNUMBER(SEARCH("vpc-leaf", SUBSTITUTE(LOWER(K139), "_", "-")))</f>
        <v/>
      </c>
      <c r="K139">
        <f>_xlfn.IFNA(VLOOKUP(VALUE(Table5[[#This Row],[NODE]]), VPC!A:A, 2, 0), "No está en VPC")</f>
        <v/>
      </c>
      <c r="L139">
        <f>IF(OR(ISNUMBER(SEARCH("VPC-Leaf", K139)), ISNUMBER(SEARCH("VPC_Leaf", K139))),SUBSTITUTE(SUBSTITUTE(SUBSTITUTE(K139, "VPC-Leaf", ""), "VPC_Leaf", ""), "_", "-"),A139)</f>
        <v/>
      </c>
      <c r="M139">
        <f>_xlfn.IFNA(VLOOKUP(_xlfn.CONCAT(VALUE(Table5[[#This Row],[NODE]]),Table5[[#This Row],[PORT]]),PG!C:H,6,0),"NO EXISTE PG")</f>
        <v/>
      </c>
      <c r="N139">
        <f>_xlfn.IFNA(VLOOKUP(_xlfn.CONCAT(VALUE(Table5[[#This Row],[NODE]]),Table5[[#This Row],[PORT]]),PG!C:H,4,0),"NO EXISTE ISEL")</f>
        <v/>
      </c>
      <c r="O139">
        <f>COUNTIF(Statics!G:G,Table5[[#This Row],[PG]])+COUNTIF(Statics!H:H,_xlfn.CONCAT((Table5[[#This Row],[NODE]]),Table5[[#This Row],[PORT]]))</f>
        <v/>
      </c>
      <c r="P139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39">
        <f>COUNTIF(Statics!F:F,Table5[[#This Row],[ID]])+COUNTIF(Statics!F:F,VALUE(Table5[[#This Row],[NODE]]))</f>
        <v/>
      </c>
    </row>
    <row r="140">
      <c r="A140" t="inlineStr">
        <is>
          <t>201</t>
        </is>
      </c>
      <c r="B140" t="inlineStr">
        <is>
          <t>1</t>
        </is>
      </c>
      <c r="C140">
        <f>VLOOKUP(VALUE(Table5[[#This Row],[NODE]]),LEAF_INFO!B:H,6,0)</f>
        <v/>
      </c>
      <c r="D140" t="inlineStr">
        <is>
          <t>eth1/29</t>
        </is>
      </c>
      <c r="E140" t="inlineStr">
        <is>
          <t>down</t>
        </is>
      </c>
      <c r="F140" t="inlineStr">
        <is>
          <t>down</t>
        </is>
      </c>
      <c r="G140">
        <f>VLOOKUP(_xlfn.CONCAT(Table5[[#This Row],[NODE]],Table5[[#This Row],[PORT]]),PORTS_!A:G,7,0)</f>
        <v/>
      </c>
      <c r="H140" t="inlineStr"/>
      <c r="I140">
        <f>VLOOKUP(VALUE(Table5[[#This Row],[NODE]]),LEAF_INFO!B:H,7,0)</f>
        <v/>
      </c>
      <c r="J140">
        <f>ISNUMBER(SEARCH("vpc-leaf", SUBSTITUTE(LOWER(K140), "_", "-")))</f>
        <v/>
      </c>
      <c r="K140">
        <f>_xlfn.IFNA(VLOOKUP(VALUE(Table5[[#This Row],[NODE]]), VPC!A:A, 2, 0), "No está en VPC")</f>
        <v/>
      </c>
      <c r="L140">
        <f>IF(OR(ISNUMBER(SEARCH("VPC-Leaf", K140)), ISNUMBER(SEARCH("VPC_Leaf", K140))),SUBSTITUTE(SUBSTITUTE(SUBSTITUTE(K140, "VPC-Leaf", ""), "VPC_Leaf", ""), "_", "-"),A140)</f>
        <v/>
      </c>
      <c r="M140">
        <f>_xlfn.IFNA(VLOOKUP(_xlfn.CONCAT(VALUE(Table5[[#This Row],[NODE]]),Table5[[#This Row],[PORT]]),PG!C:H,6,0),"NO EXISTE PG")</f>
        <v/>
      </c>
      <c r="N140">
        <f>_xlfn.IFNA(VLOOKUP(_xlfn.CONCAT(VALUE(Table5[[#This Row],[NODE]]),Table5[[#This Row],[PORT]]),PG!C:H,4,0),"NO EXISTE ISEL")</f>
        <v/>
      </c>
      <c r="O140">
        <f>COUNTIF(Statics!G:G,Table5[[#This Row],[PG]])+COUNTIF(Statics!H:H,_xlfn.CONCAT((Table5[[#This Row],[NODE]]),Table5[[#This Row],[PORT]]))</f>
        <v/>
      </c>
      <c r="P140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40">
        <f>COUNTIF(Statics!F:F,Table5[[#This Row],[ID]])+COUNTIF(Statics!F:F,VALUE(Table5[[#This Row],[NODE]]))</f>
        <v/>
      </c>
    </row>
    <row r="141">
      <c r="A141" t="inlineStr">
        <is>
          <t>201</t>
        </is>
      </c>
      <c r="B141" t="inlineStr">
        <is>
          <t>1</t>
        </is>
      </c>
      <c r="C141">
        <f>VLOOKUP(VALUE(Table5[[#This Row],[NODE]]),LEAF_INFO!B:H,6,0)</f>
        <v/>
      </c>
      <c r="D141" t="inlineStr">
        <is>
          <t>eth1/30</t>
        </is>
      </c>
      <c r="E141" t="inlineStr">
        <is>
          <t>down</t>
        </is>
      </c>
      <c r="F141" t="inlineStr">
        <is>
          <t>down</t>
        </is>
      </c>
      <c r="G141">
        <f>VLOOKUP(_xlfn.CONCAT(Table5[[#This Row],[NODE]],Table5[[#This Row],[PORT]]),PORTS_!A:G,7,0)</f>
        <v/>
      </c>
      <c r="H141" t="inlineStr"/>
      <c r="I141">
        <f>VLOOKUP(VALUE(Table5[[#This Row],[NODE]]),LEAF_INFO!B:H,7,0)</f>
        <v/>
      </c>
      <c r="J141">
        <f>ISNUMBER(SEARCH("vpc-leaf", SUBSTITUTE(LOWER(K141), "_", "-")))</f>
        <v/>
      </c>
      <c r="K141">
        <f>_xlfn.IFNA(VLOOKUP(VALUE(Table5[[#This Row],[NODE]]), VPC!A:A, 2, 0), "No está en VPC")</f>
        <v/>
      </c>
      <c r="L141">
        <f>IF(OR(ISNUMBER(SEARCH("VPC-Leaf", K141)), ISNUMBER(SEARCH("VPC_Leaf", K141))),SUBSTITUTE(SUBSTITUTE(SUBSTITUTE(K141, "VPC-Leaf", ""), "VPC_Leaf", ""), "_", "-"),A141)</f>
        <v/>
      </c>
      <c r="M141">
        <f>_xlfn.IFNA(VLOOKUP(_xlfn.CONCAT(VALUE(Table5[[#This Row],[NODE]]),Table5[[#This Row],[PORT]]),PG!C:H,6,0),"NO EXISTE PG")</f>
        <v/>
      </c>
      <c r="N141">
        <f>_xlfn.IFNA(VLOOKUP(_xlfn.CONCAT(VALUE(Table5[[#This Row],[NODE]]),Table5[[#This Row],[PORT]]),PG!C:H,4,0),"NO EXISTE ISEL")</f>
        <v/>
      </c>
      <c r="O141">
        <f>COUNTIF(Statics!G:G,Table5[[#This Row],[PG]])+COUNTIF(Statics!H:H,_xlfn.CONCAT((Table5[[#This Row],[NODE]]),Table5[[#This Row],[PORT]]))</f>
        <v/>
      </c>
      <c r="P141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41">
        <f>COUNTIF(Statics!F:F,Table5[[#This Row],[ID]])+COUNTIF(Statics!F:F,VALUE(Table5[[#This Row],[NODE]]))</f>
        <v/>
      </c>
    </row>
    <row r="142">
      <c r="A142" t="inlineStr">
        <is>
          <t>201</t>
        </is>
      </c>
      <c r="B142" t="inlineStr">
        <is>
          <t>1</t>
        </is>
      </c>
      <c r="C142">
        <f>VLOOKUP(VALUE(Table5[[#This Row],[NODE]]),LEAF_INFO!B:H,6,0)</f>
        <v/>
      </c>
      <c r="D142" t="inlineStr">
        <is>
          <t>eth1/31</t>
        </is>
      </c>
      <c r="E142" t="inlineStr">
        <is>
          <t>down</t>
        </is>
      </c>
      <c r="F142" t="inlineStr">
        <is>
          <t>down</t>
        </is>
      </c>
      <c r="G142">
        <f>VLOOKUP(_xlfn.CONCAT(Table5[[#This Row],[NODE]],Table5[[#This Row],[PORT]]),PORTS_!A:G,7,0)</f>
        <v/>
      </c>
      <c r="H142" t="inlineStr"/>
      <c r="I142">
        <f>VLOOKUP(VALUE(Table5[[#This Row],[NODE]]),LEAF_INFO!B:H,7,0)</f>
        <v/>
      </c>
      <c r="J142">
        <f>ISNUMBER(SEARCH("vpc-leaf", SUBSTITUTE(LOWER(K142), "_", "-")))</f>
        <v/>
      </c>
      <c r="K142">
        <f>_xlfn.IFNA(VLOOKUP(VALUE(Table5[[#This Row],[NODE]]), VPC!A:A, 2, 0), "No está en VPC")</f>
        <v/>
      </c>
      <c r="L142">
        <f>IF(OR(ISNUMBER(SEARCH("VPC-Leaf", K142)), ISNUMBER(SEARCH("VPC_Leaf", K142))),SUBSTITUTE(SUBSTITUTE(SUBSTITUTE(K142, "VPC-Leaf", ""), "VPC_Leaf", ""), "_", "-"),A142)</f>
        <v/>
      </c>
      <c r="M142">
        <f>_xlfn.IFNA(VLOOKUP(_xlfn.CONCAT(VALUE(Table5[[#This Row],[NODE]]),Table5[[#This Row],[PORT]]),PG!C:H,6,0),"NO EXISTE PG")</f>
        <v/>
      </c>
      <c r="N142">
        <f>_xlfn.IFNA(VLOOKUP(_xlfn.CONCAT(VALUE(Table5[[#This Row],[NODE]]),Table5[[#This Row],[PORT]]),PG!C:H,4,0),"NO EXISTE ISEL")</f>
        <v/>
      </c>
      <c r="O142">
        <f>COUNTIF(Statics!G:G,Table5[[#This Row],[PG]])+COUNTIF(Statics!H:H,_xlfn.CONCAT((Table5[[#This Row],[NODE]]),Table5[[#This Row],[PORT]]))</f>
        <v/>
      </c>
      <c r="P142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42">
        <f>COUNTIF(Statics!F:F,Table5[[#This Row],[ID]])+COUNTIF(Statics!F:F,VALUE(Table5[[#This Row],[NODE]]))</f>
        <v/>
      </c>
    </row>
    <row r="143">
      <c r="A143" t="inlineStr">
        <is>
          <t>201</t>
        </is>
      </c>
      <c r="B143" t="inlineStr">
        <is>
          <t>1</t>
        </is>
      </c>
      <c r="C143">
        <f>VLOOKUP(VALUE(Table5[[#This Row],[NODE]]),LEAF_INFO!B:H,6,0)</f>
        <v/>
      </c>
      <c r="D143" t="inlineStr">
        <is>
          <t>eth1/32</t>
        </is>
      </c>
      <c r="E143" t="inlineStr">
        <is>
          <t>down</t>
        </is>
      </c>
      <c r="F143" t="inlineStr">
        <is>
          <t>down</t>
        </is>
      </c>
      <c r="G143">
        <f>VLOOKUP(_xlfn.CONCAT(Table5[[#This Row],[NODE]],Table5[[#This Row],[PORT]]),PORTS_!A:G,7,0)</f>
        <v/>
      </c>
      <c r="H143" t="inlineStr"/>
      <c r="I143">
        <f>VLOOKUP(VALUE(Table5[[#This Row],[NODE]]),LEAF_INFO!B:H,7,0)</f>
        <v/>
      </c>
      <c r="J143">
        <f>ISNUMBER(SEARCH("vpc-leaf", SUBSTITUTE(LOWER(K143), "_", "-")))</f>
        <v/>
      </c>
      <c r="K143">
        <f>_xlfn.IFNA(VLOOKUP(VALUE(Table5[[#This Row],[NODE]]), VPC!A:A, 2, 0), "No está en VPC")</f>
        <v/>
      </c>
      <c r="L143">
        <f>IF(OR(ISNUMBER(SEARCH("VPC-Leaf", K143)), ISNUMBER(SEARCH("VPC_Leaf", K143))),SUBSTITUTE(SUBSTITUTE(SUBSTITUTE(K143, "VPC-Leaf", ""), "VPC_Leaf", ""), "_", "-"),A143)</f>
        <v/>
      </c>
      <c r="M143">
        <f>_xlfn.IFNA(VLOOKUP(_xlfn.CONCAT(VALUE(Table5[[#This Row],[NODE]]),Table5[[#This Row],[PORT]]),PG!C:H,6,0),"NO EXISTE PG")</f>
        <v/>
      </c>
      <c r="N143">
        <f>_xlfn.IFNA(VLOOKUP(_xlfn.CONCAT(VALUE(Table5[[#This Row],[NODE]]),Table5[[#This Row],[PORT]]),PG!C:H,4,0),"NO EXISTE ISEL")</f>
        <v/>
      </c>
      <c r="O143">
        <f>COUNTIF(Statics!G:G,Table5[[#This Row],[PG]])+COUNTIF(Statics!H:H,_xlfn.CONCAT((Table5[[#This Row],[NODE]]),Table5[[#This Row],[PORT]]))</f>
        <v/>
      </c>
      <c r="P143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43">
        <f>COUNTIF(Statics!F:F,Table5[[#This Row],[ID]])+COUNTIF(Statics!F:F,VALUE(Table5[[#This Row],[NODE]]))</f>
        <v/>
      </c>
    </row>
    <row r="144">
      <c r="A144" t="inlineStr">
        <is>
          <t>202</t>
        </is>
      </c>
      <c r="B144" t="inlineStr">
        <is>
          <t>1</t>
        </is>
      </c>
      <c r="C144">
        <f>VLOOKUP(VALUE(Table5[[#This Row],[NODE]]),LEAF_INFO!B:H,6,0)</f>
        <v/>
      </c>
      <c r="D144" t="inlineStr">
        <is>
          <t>eth1/33</t>
        </is>
      </c>
      <c r="E144" t="inlineStr">
        <is>
          <t>down</t>
        </is>
      </c>
      <c r="F144" t="inlineStr">
        <is>
          <t>down</t>
        </is>
      </c>
      <c r="G144">
        <f>VLOOKUP(_xlfn.CONCAT(Table5[[#This Row],[NODE]],Table5[[#This Row],[PORT]]),PORTS_!A:G,7,0)</f>
        <v/>
      </c>
      <c r="H144" t="inlineStr"/>
      <c r="I144">
        <f>VLOOKUP(VALUE(Table5[[#This Row],[NODE]]),LEAF_INFO!B:H,7,0)</f>
        <v/>
      </c>
      <c r="J144">
        <f>ISNUMBER(SEARCH("vpc-leaf", SUBSTITUTE(LOWER(K144), "_", "-")))</f>
        <v/>
      </c>
      <c r="K144">
        <f>_xlfn.IFNA(VLOOKUP(VALUE(Table5[[#This Row],[NODE]]), VPC!A:A, 2, 0), "No está en VPC")</f>
        <v/>
      </c>
      <c r="L144">
        <f>IF(OR(ISNUMBER(SEARCH("VPC-Leaf", K144)), ISNUMBER(SEARCH("VPC_Leaf", K144))),SUBSTITUTE(SUBSTITUTE(SUBSTITUTE(K144, "VPC-Leaf", ""), "VPC_Leaf", ""), "_", "-"),A144)</f>
        <v/>
      </c>
      <c r="M144">
        <f>_xlfn.IFNA(VLOOKUP(_xlfn.CONCAT(VALUE(Table5[[#This Row],[NODE]]),Table5[[#This Row],[PORT]]),PG!C:H,6,0),"NO EXISTE PG")</f>
        <v/>
      </c>
      <c r="N144">
        <f>_xlfn.IFNA(VLOOKUP(_xlfn.CONCAT(VALUE(Table5[[#This Row],[NODE]]),Table5[[#This Row],[PORT]]),PG!C:H,4,0),"NO EXISTE ISEL")</f>
        <v/>
      </c>
      <c r="O144">
        <f>COUNTIF(Statics!G:G,Table5[[#This Row],[PG]])+COUNTIF(Statics!H:H,_xlfn.CONCAT((Table5[[#This Row],[NODE]]),Table5[[#This Row],[PORT]]))</f>
        <v/>
      </c>
      <c r="P144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44">
        <f>COUNTIF(Statics!F:F,Table5[[#This Row],[ID]])+COUNTIF(Statics!F:F,VALUE(Table5[[#This Row],[NODE]]))</f>
        <v/>
      </c>
    </row>
    <row r="145">
      <c r="A145" t="inlineStr">
        <is>
          <t>202</t>
        </is>
      </c>
      <c r="B145" t="inlineStr">
        <is>
          <t>1</t>
        </is>
      </c>
      <c r="C145">
        <f>VLOOKUP(VALUE(Table5[[#This Row],[NODE]]),LEAF_INFO!B:H,6,0)</f>
        <v/>
      </c>
      <c r="D145" t="inlineStr">
        <is>
          <t>eth1/34</t>
        </is>
      </c>
      <c r="E145" t="inlineStr">
        <is>
          <t>down</t>
        </is>
      </c>
      <c r="F145" t="inlineStr">
        <is>
          <t>down</t>
        </is>
      </c>
      <c r="G145">
        <f>VLOOKUP(_xlfn.CONCAT(Table5[[#This Row],[NODE]],Table5[[#This Row],[PORT]]),PORTS_!A:G,7,0)</f>
        <v/>
      </c>
      <c r="H145" t="inlineStr"/>
      <c r="I145">
        <f>VLOOKUP(VALUE(Table5[[#This Row],[NODE]]),LEAF_INFO!B:H,7,0)</f>
        <v/>
      </c>
      <c r="J145">
        <f>ISNUMBER(SEARCH("vpc-leaf", SUBSTITUTE(LOWER(K145), "_", "-")))</f>
        <v/>
      </c>
      <c r="K145">
        <f>_xlfn.IFNA(VLOOKUP(VALUE(Table5[[#This Row],[NODE]]), VPC!A:A, 2, 0), "No está en VPC")</f>
        <v/>
      </c>
      <c r="L145">
        <f>IF(OR(ISNUMBER(SEARCH("VPC-Leaf", K145)), ISNUMBER(SEARCH("VPC_Leaf", K145))),SUBSTITUTE(SUBSTITUTE(SUBSTITUTE(K145, "VPC-Leaf", ""), "VPC_Leaf", ""), "_", "-"),A145)</f>
        <v/>
      </c>
      <c r="M145">
        <f>_xlfn.IFNA(VLOOKUP(_xlfn.CONCAT(VALUE(Table5[[#This Row],[NODE]]),Table5[[#This Row],[PORT]]),PG!C:H,6,0),"NO EXISTE PG")</f>
        <v/>
      </c>
      <c r="N145">
        <f>_xlfn.IFNA(VLOOKUP(_xlfn.CONCAT(VALUE(Table5[[#This Row],[NODE]]),Table5[[#This Row],[PORT]]),PG!C:H,4,0),"NO EXISTE ISEL")</f>
        <v/>
      </c>
      <c r="O145">
        <f>COUNTIF(Statics!G:G,Table5[[#This Row],[PG]])+COUNTIF(Statics!H:H,_xlfn.CONCAT((Table5[[#This Row],[NODE]]),Table5[[#This Row],[PORT]]))</f>
        <v/>
      </c>
      <c r="P145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45">
        <f>COUNTIF(Statics!F:F,Table5[[#This Row],[ID]])+COUNTIF(Statics!F:F,VALUE(Table5[[#This Row],[NODE]]))</f>
        <v/>
      </c>
    </row>
    <row r="146">
      <c r="A146" t="inlineStr">
        <is>
          <t>202</t>
        </is>
      </c>
      <c r="B146" t="inlineStr">
        <is>
          <t>1</t>
        </is>
      </c>
      <c r="C146">
        <f>VLOOKUP(VALUE(Table5[[#This Row],[NODE]]),LEAF_INFO!B:H,6,0)</f>
        <v/>
      </c>
      <c r="D146" t="inlineStr">
        <is>
          <t>eth1/1</t>
        </is>
      </c>
      <c r="E146" t="inlineStr">
        <is>
          <t>up</t>
        </is>
      </c>
      <c r="F146" t="inlineStr">
        <is>
          <t>up</t>
        </is>
      </c>
      <c r="G146">
        <f>VLOOKUP(_xlfn.CONCAT(Table5[[#This Row],[NODE]],Table5[[#This Row],[PORT]]),PORTS_!A:G,7,0)</f>
        <v/>
      </c>
      <c r="H146" t="inlineStr">
        <is>
          <t>LINK_HACIA_LEAF</t>
        </is>
      </c>
      <c r="I146">
        <f>VLOOKUP(VALUE(Table5[[#This Row],[NODE]]),LEAF_INFO!B:H,7,0)</f>
        <v/>
      </c>
      <c r="J146">
        <f>ISNUMBER(SEARCH("vpc-leaf", SUBSTITUTE(LOWER(K146), "_", "-")))</f>
        <v/>
      </c>
      <c r="K146">
        <f>_xlfn.IFNA(VLOOKUP(VALUE(Table5[[#This Row],[NODE]]), VPC!A:A, 2, 0), "No está en VPC")</f>
        <v/>
      </c>
      <c r="L146">
        <f>IF(OR(ISNUMBER(SEARCH("VPC-Leaf", K146)), ISNUMBER(SEARCH("VPC_Leaf", K146))),SUBSTITUTE(SUBSTITUTE(SUBSTITUTE(K146, "VPC-Leaf", ""), "VPC_Leaf", ""), "_", "-"),A146)</f>
        <v/>
      </c>
      <c r="M146">
        <f>_xlfn.IFNA(VLOOKUP(_xlfn.CONCAT(VALUE(Table5[[#This Row],[NODE]]),Table5[[#This Row],[PORT]]),PG!C:H,6,0),"NO EXISTE PG")</f>
        <v/>
      </c>
      <c r="N146">
        <f>_xlfn.IFNA(VLOOKUP(_xlfn.CONCAT(VALUE(Table5[[#This Row],[NODE]]),Table5[[#This Row],[PORT]]),PG!C:H,4,0),"NO EXISTE ISEL")</f>
        <v/>
      </c>
      <c r="O146">
        <f>COUNTIF(Statics!G:G,Table5[[#This Row],[PG]])+COUNTIF(Statics!H:H,_xlfn.CONCAT((Table5[[#This Row],[NODE]]),Table5[[#This Row],[PORT]]))</f>
        <v/>
      </c>
      <c r="P146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46">
        <f>COUNTIF(Statics!F:F,Table5[[#This Row],[ID]])+COUNTIF(Statics!F:F,VALUE(Table5[[#This Row],[NODE]]))</f>
        <v/>
      </c>
    </row>
    <row r="147">
      <c r="A147" t="inlineStr">
        <is>
          <t>202</t>
        </is>
      </c>
      <c r="B147" t="inlineStr">
        <is>
          <t>1</t>
        </is>
      </c>
      <c r="C147">
        <f>VLOOKUP(VALUE(Table5[[#This Row],[NODE]]),LEAF_INFO!B:H,6,0)</f>
        <v/>
      </c>
      <c r="D147" t="inlineStr">
        <is>
          <t>eth1/2</t>
        </is>
      </c>
      <c r="E147" t="inlineStr">
        <is>
          <t>up</t>
        </is>
      </c>
      <c r="F147" t="inlineStr">
        <is>
          <t>up</t>
        </is>
      </c>
      <c r="G147">
        <f>VLOOKUP(_xlfn.CONCAT(Table5[[#This Row],[NODE]],Table5[[#This Row],[PORT]]),PORTS_!A:G,7,0)</f>
        <v/>
      </c>
      <c r="H147" t="inlineStr">
        <is>
          <t>LINK_HACIA_LEAF</t>
        </is>
      </c>
      <c r="I147">
        <f>VLOOKUP(VALUE(Table5[[#This Row],[NODE]]),LEAF_INFO!B:H,7,0)</f>
        <v/>
      </c>
      <c r="J147">
        <f>ISNUMBER(SEARCH("vpc-leaf", SUBSTITUTE(LOWER(K147), "_", "-")))</f>
        <v/>
      </c>
      <c r="K147">
        <f>_xlfn.IFNA(VLOOKUP(VALUE(Table5[[#This Row],[NODE]]), VPC!A:A, 2, 0), "No está en VPC")</f>
        <v/>
      </c>
      <c r="L147">
        <f>IF(OR(ISNUMBER(SEARCH("VPC-Leaf", K147)), ISNUMBER(SEARCH("VPC_Leaf", K147))),SUBSTITUTE(SUBSTITUTE(SUBSTITUTE(K147, "VPC-Leaf", ""), "VPC_Leaf", ""), "_", "-"),A147)</f>
        <v/>
      </c>
      <c r="M147">
        <f>_xlfn.IFNA(VLOOKUP(_xlfn.CONCAT(VALUE(Table5[[#This Row],[NODE]]),Table5[[#This Row],[PORT]]),PG!C:H,6,0),"NO EXISTE PG")</f>
        <v/>
      </c>
      <c r="N147">
        <f>_xlfn.IFNA(VLOOKUP(_xlfn.CONCAT(VALUE(Table5[[#This Row],[NODE]]),Table5[[#This Row],[PORT]]),PG!C:H,4,0),"NO EXISTE ISEL")</f>
        <v/>
      </c>
      <c r="O147">
        <f>COUNTIF(Statics!G:G,Table5[[#This Row],[PG]])+COUNTIF(Statics!H:H,_xlfn.CONCAT((Table5[[#This Row],[NODE]]),Table5[[#This Row],[PORT]]))</f>
        <v/>
      </c>
      <c r="P147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47">
        <f>COUNTIF(Statics!F:F,Table5[[#This Row],[ID]])+COUNTIF(Statics!F:F,VALUE(Table5[[#This Row],[NODE]]))</f>
        <v/>
      </c>
    </row>
    <row r="148">
      <c r="A148" t="inlineStr">
        <is>
          <t>202</t>
        </is>
      </c>
      <c r="B148" t="inlineStr">
        <is>
          <t>1</t>
        </is>
      </c>
      <c r="C148">
        <f>VLOOKUP(VALUE(Table5[[#This Row],[NODE]]),LEAF_INFO!B:H,6,0)</f>
        <v/>
      </c>
      <c r="D148" t="inlineStr">
        <is>
          <t>eth1/3</t>
        </is>
      </c>
      <c r="E148" t="inlineStr">
        <is>
          <t>up</t>
        </is>
      </c>
      <c r="F148" t="inlineStr">
        <is>
          <t>up</t>
        </is>
      </c>
      <c r="G148">
        <f>VLOOKUP(_xlfn.CONCAT(Table5[[#This Row],[NODE]],Table5[[#This Row],[PORT]]),PORTS_!A:G,7,0)</f>
        <v/>
      </c>
      <c r="H148" t="inlineStr">
        <is>
          <t>LINK_HACIA_LEAF</t>
        </is>
      </c>
      <c r="I148">
        <f>VLOOKUP(VALUE(Table5[[#This Row],[NODE]]),LEAF_INFO!B:H,7,0)</f>
        <v/>
      </c>
      <c r="J148">
        <f>ISNUMBER(SEARCH("vpc-leaf", SUBSTITUTE(LOWER(K148), "_", "-")))</f>
        <v/>
      </c>
      <c r="K148">
        <f>_xlfn.IFNA(VLOOKUP(VALUE(Table5[[#This Row],[NODE]]), VPC!A:A, 2, 0), "No está en VPC")</f>
        <v/>
      </c>
      <c r="L148">
        <f>IF(OR(ISNUMBER(SEARCH("VPC-Leaf", K148)), ISNUMBER(SEARCH("VPC_Leaf", K148))),SUBSTITUTE(SUBSTITUTE(SUBSTITUTE(K148, "VPC-Leaf", ""), "VPC_Leaf", ""), "_", "-"),A148)</f>
        <v/>
      </c>
      <c r="M148">
        <f>_xlfn.IFNA(VLOOKUP(_xlfn.CONCAT(VALUE(Table5[[#This Row],[NODE]]),Table5[[#This Row],[PORT]]),PG!C:H,6,0),"NO EXISTE PG")</f>
        <v/>
      </c>
      <c r="N148">
        <f>_xlfn.IFNA(VLOOKUP(_xlfn.CONCAT(VALUE(Table5[[#This Row],[NODE]]),Table5[[#This Row],[PORT]]),PG!C:H,4,0),"NO EXISTE ISEL")</f>
        <v/>
      </c>
      <c r="O148">
        <f>COUNTIF(Statics!G:G,Table5[[#This Row],[PG]])+COUNTIF(Statics!H:H,_xlfn.CONCAT((Table5[[#This Row],[NODE]]),Table5[[#This Row],[PORT]]))</f>
        <v/>
      </c>
      <c r="P148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48">
        <f>COUNTIF(Statics!F:F,Table5[[#This Row],[ID]])+COUNTIF(Statics!F:F,VALUE(Table5[[#This Row],[NODE]]))</f>
        <v/>
      </c>
    </row>
    <row r="149">
      <c r="A149" t="inlineStr">
        <is>
          <t>202</t>
        </is>
      </c>
      <c r="B149" t="inlineStr">
        <is>
          <t>1</t>
        </is>
      </c>
      <c r="C149">
        <f>VLOOKUP(VALUE(Table5[[#This Row],[NODE]]),LEAF_INFO!B:H,6,0)</f>
        <v/>
      </c>
      <c r="D149" t="inlineStr">
        <is>
          <t>eth1/4</t>
        </is>
      </c>
      <c r="E149" t="inlineStr">
        <is>
          <t>up</t>
        </is>
      </c>
      <c r="F149" t="inlineStr">
        <is>
          <t>up</t>
        </is>
      </c>
      <c r="G149">
        <f>VLOOKUP(_xlfn.CONCAT(Table5[[#This Row],[NODE]],Table5[[#This Row],[PORT]]),PORTS_!A:G,7,0)</f>
        <v/>
      </c>
      <c r="H149" t="inlineStr">
        <is>
          <t>LINK_HACIA_LEAF</t>
        </is>
      </c>
      <c r="I149">
        <f>VLOOKUP(VALUE(Table5[[#This Row],[NODE]]),LEAF_INFO!B:H,7,0)</f>
        <v/>
      </c>
      <c r="J149">
        <f>ISNUMBER(SEARCH("vpc-leaf", SUBSTITUTE(LOWER(K149), "_", "-")))</f>
        <v/>
      </c>
      <c r="K149">
        <f>_xlfn.IFNA(VLOOKUP(VALUE(Table5[[#This Row],[NODE]]), VPC!A:A, 2, 0), "No está en VPC")</f>
        <v/>
      </c>
      <c r="L149">
        <f>IF(OR(ISNUMBER(SEARCH("VPC-Leaf", K149)), ISNUMBER(SEARCH("VPC_Leaf", K149))),SUBSTITUTE(SUBSTITUTE(SUBSTITUTE(K149, "VPC-Leaf", ""), "VPC_Leaf", ""), "_", "-"),A149)</f>
        <v/>
      </c>
      <c r="M149">
        <f>_xlfn.IFNA(VLOOKUP(_xlfn.CONCAT(VALUE(Table5[[#This Row],[NODE]]),Table5[[#This Row],[PORT]]),PG!C:H,6,0),"NO EXISTE PG")</f>
        <v/>
      </c>
      <c r="N149">
        <f>_xlfn.IFNA(VLOOKUP(_xlfn.CONCAT(VALUE(Table5[[#This Row],[NODE]]),Table5[[#This Row],[PORT]]),PG!C:H,4,0),"NO EXISTE ISEL")</f>
        <v/>
      </c>
      <c r="O149">
        <f>COUNTIF(Statics!G:G,Table5[[#This Row],[PG]])+COUNTIF(Statics!H:H,_xlfn.CONCAT((Table5[[#This Row],[NODE]]),Table5[[#This Row],[PORT]]))</f>
        <v/>
      </c>
      <c r="P149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49">
        <f>COUNTIF(Statics!F:F,Table5[[#This Row],[ID]])+COUNTIF(Statics!F:F,VALUE(Table5[[#This Row],[NODE]]))</f>
        <v/>
      </c>
    </row>
    <row r="150">
      <c r="A150" t="inlineStr">
        <is>
          <t>202</t>
        </is>
      </c>
      <c r="B150" t="inlineStr">
        <is>
          <t>1</t>
        </is>
      </c>
      <c r="C150">
        <f>VLOOKUP(VALUE(Table5[[#This Row],[NODE]]),LEAF_INFO!B:H,6,0)</f>
        <v/>
      </c>
      <c r="D150" t="inlineStr">
        <is>
          <t>eth1/5</t>
        </is>
      </c>
      <c r="E150" t="inlineStr">
        <is>
          <t>down</t>
        </is>
      </c>
      <c r="F150" t="inlineStr">
        <is>
          <t>down</t>
        </is>
      </c>
      <c r="G150">
        <f>VLOOKUP(_xlfn.CONCAT(Table5[[#This Row],[NODE]],Table5[[#This Row],[PORT]]),PORTS_!A:G,7,0)</f>
        <v/>
      </c>
      <c r="H150" t="inlineStr"/>
      <c r="I150">
        <f>VLOOKUP(VALUE(Table5[[#This Row],[NODE]]),LEAF_INFO!B:H,7,0)</f>
        <v/>
      </c>
      <c r="J150">
        <f>ISNUMBER(SEARCH("vpc-leaf", SUBSTITUTE(LOWER(K150), "_", "-")))</f>
        <v/>
      </c>
      <c r="K150">
        <f>_xlfn.IFNA(VLOOKUP(VALUE(Table5[[#This Row],[NODE]]), VPC!A:A, 2, 0), "No está en VPC")</f>
        <v/>
      </c>
      <c r="L150">
        <f>IF(OR(ISNUMBER(SEARCH("VPC-Leaf", K150)), ISNUMBER(SEARCH("VPC_Leaf", K150))),SUBSTITUTE(SUBSTITUTE(SUBSTITUTE(K150, "VPC-Leaf", ""), "VPC_Leaf", ""), "_", "-"),A150)</f>
        <v/>
      </c>
      <c r="M150">
        <f>_xlfn.IFNA(VLOOKUP(_xlfn.CONCAT(VALUE(Table5[[#This Row],[NODE]]),Table5[[#This Row],[PORT]]),PG!C:H,6,0),"NO EXISTE PG")</f>
        <v/>
      </c>
      <c r="N150">
        <f>_xlfn.IFNA(VLOOKUP(_xlfn.CONCAT(VALUE(Table5[[#This Row],[NODE]]),Table5[[#This Row],[PORT]]),PG!C:H,4,0),"NO EXISTE ISEL")</f>
        <v/>
      </c>
      <c r="O150">
        <f>COUNTIF(Statics!G:G,Table5[[#This Row],[PG]])+COUNTIF(Statics!H:H,_xlfn.CONCAT((Table5[[#This Row],[NODE]]),Table5[[#This Row],[PORT]]))</f>
        <v/>
      </c>
      <c r="P150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50">
        <f>COUNTIF(Statics!F:F,Table5[[#This Row],[ID]])+COUNTIF(Statics!F:F,VALUE(Table5[[#This Row],[NODE]]))</f>
        <v/>
      </c>
    </row>
    <row r="151">
      <c r="A151" t="inlineStr">
        <is>
          <t>202</t>
        </is>
      </c>
      <c r="B151" t="inlineStr">
        <is>
          <t>1</t>
        </is>
      </c>
      <c r="C151">
        <f>VLOOKUP(VALUE(Table5[[#This Row],[NODE]]),LEAF_INFO!B:H,6,0)</f>
        <v/>
      </c>
      <c r="D151" t="inlineStr">
        <is>
          <t>eth1/6</t>
        </is>
      </c>
      <c r="E151" t="inlineStr">
        <is>
          <t>down</t>
        </is>
      </c>
      <c r="F151" t="inlineStr">
        <is>
          <t>down</t>
        </is>
      </c>
      <c r="G151">
        <f>VLOOKUP(_xlfn.CONCAT(Table5[[#This Row],[NODE]],Table5[[#This Row],[PORT]]),PORTS_!A:G,7,0)</f>
        <v/>
      </c>
      <c r="H151" t="inlineStr"/>
      <c r="I151">
        <f>VLOOKUP(VALUE(Table5[[#This Row],[NODE]]),LEAF_INFO!B:H,7,0)</f>
        <v/>
      </c>
      <c r="J151">
        <f>ISNUMBER(SEARCH("vpc-leaf", SUBSTITUTE(LOWER(K151), "_", "-")))</f>
        <v/>
      </c>
      <c r="K151">
        <f>_xlfn.IFNA(VLOOKUP(VALUE(Table5[[#This Row],[NODE]]), VPC!A:A, 2, 0), "No está en VPC")</f>
        <v/>
      </c>
      <c r="L151">
        <f>IF(OR(ISNUMBER(SEARCH("VPC-Leaf", K151)), ISNUMBER(SEARCH("VPC_Leaf", K151))),SUBSTITUTE(SUBSTITUTE(SUBSTITUTE(K151, "VPC-Leaf", ""), "VPC_Leaf", ""), "_", "-"),A151)</f>
        <v/>
      </c>
      <c r="M151">
        <f>_xlfn.IFNA(VLOOKUP(_xlfn.CONCAT(VALUE(Table5[[#This Row],[NODE]]),Table5[[#This Row],[PORT]]),PG!C:H,6,0),"NO EXISTE PG")</f>
        <v/>
      </c>
      <c r="N151">
        <f>_xlfn.IFNA(VLOOKUP(_xlfn.CONCAT(VALUE(Table5[[#This Row],[NODE]]),Table5[[#This Row],[PORT]]),PG!C:H,4,0),"NO EXISTE ISEL")</f>
        <v/>
      </c>
      <c r="O151">
        <f>COUNTIF(Statics!G:G,Table5[[#This Row],[PG]])+COUNTIF(Statics!H:H,_xlfn.CONCAT((Table5[[#This Row],[NODE]]),Table5[[#This Row],[PORT]]))</f>
        <v/>
      </c>
      <c r="P151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51">
        <f>COUNTIF(Statics!F:F,Table5[[#This Row],[ID]])+COUNTIF(Statics!F:F,VALUE(Table5[[#This Row],[NODE]]))</f>
        <v/>
      </c>
    </row>
    <row r="152">
      <c r="A152" t="inlineStr">
        <is>
          <t>202</t>
        </is>
      </c>
      <c r="B152" t="inlineStr">
        <is>
          <t>1</t>
        </is>
      </c>
      <c r="C152">
        <f>VLOOKUP(VALUE(Table5[[#This Row],[NODE]]),LEAF_INFO!B:H,6,0)</f>
        <v/>
      </c>
      <c r="D152" t="inlineStr">
        <is>
          <t>eth1/7</t>
        </is>
      </c>
      <c r="E152" t="inlineStr">
        <is>
          <t>down</t>
        </is>
      </c>
      <c r="F152" t="inlineStr">
        <is>
          <t>down</t>
        </is>
      </c>
      <c r="G152">
        <f>VLOOKUP(_xlfn.CONCAT(Table5[[#This Row],[NODE]],Table5[[#This Row],[PORT]]),PORTS_!A:G,7,0)</f>
        <v/>
      </c>
      <c r="H152" t="inlineStr"/>
      <c r="I152">
        <f>VLOOKUP(VALUE(Table5[[#This Row],[NODE]]),LEAF_INFO!B:H,7,0)</f>
        <v/>
      </c>
      <c r="J152">
        <f>ISNUMBER(SEARCH("vpc-leaf", SUBSTITUTE(LOWER(K152), "_", "-")))</f>
        <v/>
      </c>
      <c r="K152">
        <f>_xlfn.IFNA(VLOOKUP(VALUE(Table5[[#This Row],[NODE]]), VPC!A:A, 2, 0), "No está en VPC")</f>
        <v/>
      </c>
      <c r="L152">
        <f>IF(OR(ISNUMBER(SEARCH("VPC-Leaf", K152)), ISNUMBER(SEARCH("VPC_Leaf", K152))),SUBSTITUTE(SUBSTITUTE(SUBSTITUTE(K152, "VPC-Leaf", ""), "VPC_Leaf", ""), "_", "-"),A152)</f>
        <v/>
      </c>
      <c r="M152">
        <f>_xlfn.IFNA(VLOOKUP(_xlfn.CONCAT(VALUE(Table5[[#This Row],[NODE]]),Table5[[#This Row],[PORT]]),PG!C:H,6,0),"NO EXISTE PG")</f>
        <v/>
      </c>
      <c r="N152">
        <f>_xlfn.IFNA(VLOOKUP(_xlfn.CONCAT(VALUE(Table5[[#This Row],[NODE]]),Table5[[#This Row],[PORT]]),PG!C:H,4,0),"NO EXISTE ISEL")</f>
        <v/>
      </c>
      <c r="O152">
        <f>COUNTIF(Statics!G:G,Table5[[#This Row],[PG]])+COUNTIF(Statics!H:H,_xlfn.CONCAT((Table5[[#This Row],[NODE]]),Table5[[#This Row],[PORT]]))</f>
        <v/>
      </c>
      <c r="P152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52">
        <f>COUNTIF(Statics!F:F,Table5[[#This Row],[ID]])+COUNTIF(Statics!F:F,VALUE(Table5[[#This Row],[NODE]]))</f>
        <v/>
      </c>
    </row>
    <row r="153">
      <c r="A153" t="inlineStr">
        <is>
          <t>202</t>
        </is>
      </c>
      <c r="B153" t="inlineStr">
        <is>
          <t>1</t>
        </is>
      </c>
      <c r="C153">
        <f>VLOOKUP(VALUE(Table5[[#This Row],[NODE]]),LEAF_INFO!B:H,6,0)</f>
        <v/>
      </c>
      <c r="D153" t="inlineStr">
        <is>
          <t>eth1/8</t>
        </is>
      </c>
      <c r="E153" t="inlineStr">
        <is>
          <t>down</t>
        </is>
      </c>
      <c r="F153" t="inlineStr">
        <is>
          <t>down</t>
        </is>
      </c>
      <c r="G153">
        <f>VLOOKUP(_xlfn.CONCAT(Table5[[#This Row],[NODE]],Table5[[#This Row],[PORT]]),PORTS_!A:G,7,0)</f>
        <v/>
      </c>
      <c r="H153" t="inlineStr"/>
      <c r="I153">
        <f>VLOOKUP(VALUE(Table5[[#This Row],[NODE]]),LEAF_INFO!B:H,7,0)</f>
        <v/>
      </c>
      <c r="J153">
        <f>ISNUMBER(SEARCH("vpc-leaf", SUBSTITUTE(LOWER(K153), "_", "-")))</f>
        <v/>
      </c>
      <c r="K153">
        <f>_xlfn.IFNA(VLOOKUP(VALUE(Table5[[#This Row],[NODE]]), VPC!A:A, 2, 0), "No está en VPC")</f>
        <v/>
      </c>
      <c r="L153">
        <f>IF(OR(ISNUMBER(SEARCH("VPC-Leaf", K153)), ISNUMBER(SEARCH("VPC_Leaf", K153))),SUBSTITUTE(SUBSTITUTE(SUBSTITUTE(K153, "VPC-Leaf", ""), "VPC_Leaf", ""), "_", "-"),A153)</f>
        <v/>
      </c>
      <c r="M153">
        <f>_xlfn.IFNA(VLOOKUP(_xlfn.CONCAT(VALUE(Table5[[#This Row],[NODE]]),Table5[[#This Row],[PORT]]),PG!C:H,6,0),"NO EXISTE PG")</f>
        <v/>
      </c>
      <c r="N153">
        <f>_xlfn.IFNA(VLOOKUP(_xlfn.CONCAT(VALUE(Table5[[#This Row],[NODE]]),Table5[[#This Row],[PORT]]),PG!C:H,4,0),"NO EXISTE ISEL")</f>
        <v/>
      </c>
      <c r="O153">
        <f>COUNTIF(Statics!G:G,Table5[[#This Row],[PG]])+COUNTIF(Statics!H:H,_xlfn.CONCAT((Table5[[#This Row],[NODE]]),Table5[[#This Row],[PORT]]))</f>
        <v/>
      </c>
      <c r="P153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53">
        <f>COUNTIF(Statics!F:F,Table5[[#This Row],[ID]])+COUNTIF(Statics!F:F,VALUE(Table5[[#This Row],[NODE]]))</f>
        <v/>
      </c>
    </row>
    <row r="154">
      <c r="A154" t="inlineStr">
        <is>
          <t>202</t>
        </is>
      </c>
      <c r="B154" t="inlineStr">
        <is>
          <t>1</t>
        </is>
      </c>
      <c r="C154">
        <f>VLOOKUP(VALUE(Table5[[#This Row],[NODE]]),LEAF_INFO!B:H,6,0)</f>
        <v/>
      </c>
      <c r="D154" t="inlineStr">
        <is>
          <t>eth1/9</t>
        </is>
      </c>
      <c r="E154" t="inlineStr">
        <is>
          <t>down</t>
        </is>
      </c>
      <c r="F154" t="inlineStr">
        <is>
          <t>down</t>
        </is>
      </c>
      <c r="G154">
        <f>VLOOKUP(_xlfn.CONCAT(Table5[[#This Row],[NODE]],Table5[[#This Row],[PORT]]),PORTS_!A:G,7,0)</f>
        <v/>
      </c>
      <c r="H154" t="inlineStr"/>
      <c r="I154">
        <f>VLOOKUP(VALUE(Table5[[#This Row],[NODE]]),LEAF_INFO!B:H,7,0)</f>
        <v/>
      </c>
      <c r="J154">
        <f>ISNUMBER(SEARCH("vpc-leaf", SUBSTITUTE(LOWER(K154), "_", "-")))</f>
        <v/>
      </c>
      <c r="K154">
        <f>_xlfn.IFNA(VLOOKUP(VALUE(Table5[[#This Row],[NODE]]), VPC!A:A, 2, 0), "No está en VPC")</f>
        <v/>
      </c>
      <c r="L154">
        <f>IF(OR(ISNUMBER(SEARCH("VPC-Leaf", K154)), ISNUMBER(SEARCH("VPC_Leaf", K154))),SUBSTITUTE(SUBSTITUTE(SUBSTITUTE(K154, "VPC-Leaf", ""), "VPC_Leaf", ""), "_", "-"),A154)</f>
        <v/>
      </c>
      <c r="M154">
        <f>_xlfn.IFNA(VLOOKUP(_xlfn.CONCAT(VALUE(Table5[[#This Row],[NODE]]),Table5[[#This Row],[PORT]]),PG!C:H,6,0),"NO EXISTE PG")</f>
        <v/>
      </c>
      <c r="N154">
        <f>_xlfn.IFNA(VLOOKUP(_xlfn.CONCAT(VALUE(Table5[[#This Row],[NODE]]),Table5[[#This Row],[PORT]]),PG!C:H,4,0),"NO EXISTE ISEL")</f>
        <v/>
      </c>
      <c r="O154">
        <f>COUNTIF(Statics!G:G,Table5[[#This Row],[PG]])+COUNTIF(Statics!H:H,_xlfn.CONCAT((Table5[[#This Row],[NODE]]),Table5[[#This Row],[PORT]]))</f>
        <v/>
      </c>
      <c r="P154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54">
        <f>COUNTIF(Statics!F:F,Table5[[#This Row],[ID]])+COUNTIF(Statics!F:F,VALUE(Table5[[#This Row],[NODE]]))</f>
        <v/>
      </c>
    </row>
    <row r="155">
      <c r="A155" t="inlineStr">
        <is>
          <t>202</t>
        </is>
      </c>
      <c r="B155" t="inlineStr">
        <is>
          <t>1</t>
        </is>
      </c>
      <c r="C155">
        <f>VLOOKUP(VALUE(Table5[[#This Row],[NODE]]),LEAF_INFO!B:H,6,0)</f>
        <v/>
      </c>
      <c r="D155" t="inlineStr">
        <is>
          <t>eth1/10</t>
        </is>
      </c>
      <c r="E155" t="inlineStr">
        <is>
          <t>down</t>
        </is>
      </c>
      <c r="F155" t="inlineStr">
        <is>
          <t>down</t>
        </is>
      </c>
      <c r="G155">
        <f>VLOOKUP(_xlfn.CONCAT(Table5[[#This Row],[NODE]],Table5[[#This Row],[PORT]]),PORTS_!A:G,7,0)</f>
        <v/>
      </c>
      <c r="H155" t="inlineStr"/>
      <c r="I155">
        <f>VLOOKUP(VALUE(Table5[[#This Row],[NODE]]),LEAF_INFO!B:H,7,0)</f>
        <v/>
      </c>
      <c r="J155">
        <f>ISNUMBER(SEARCH("vpc-leaf", SUBSTITUTE(LOWER(K155), "_", "-")))</f>
        <v/>
      </c>
      <c r="K155">
        <f>_xlfn.IFNA(VLOOKUP(VALUE(Table5[[#This Row],[NODE]]), VPC!A:A, 2, 0), "No está en VPC")</f>
        <v/>
      </c>
      <c r="L155">
        <f>IF(OR(ISNUMBER(SEARCH("VPC-Leaf", K155)), ISNUMBER(SEARCH("VPC_Leaf", K155))),SUBSTITUTE(SUBSTITUTE(SUBSTITUTE(K155, "VPC-Leaf", ""), "VPC_Leaf", ""), "_", "-"),A155)</f>
        <v/>
      </c>
      <c r="M155">
        <f>_xlfn.IFNA(VLOOKUP(_xlfn.CONCAT(VALUE(Table5[[#This Row],[NODE]]),Table5[[#This Row],[PORT]]),PG!C:H,6,0),"NO EXISTE PG")</f>
        <v/>
      </c>
      <c r="N155">
        <f>_xlfn.IFNA(VLOOKUP(_xlfn.CONCAT(VALUE(Table5[[#This Row],[NODE]]),Table5[[#This Row],[PORT]]),PG!C:H,4,0),"NO EXISTE ISEL")</f>
        <v/>
      </c>
      <c r="O155">
        <f>COUNTIF(Statics!G:G,Table5[[#This Row],[PG]])+COUNTIF(Statics!H:H,_xlfn.CONCAT((Table5[[#This Row],[NODE]]),Table5[[#This Row],[PORT]]))</f>
        <v/>
      </c>
      <c r="P155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55">
        <f>COUNTIF(Statics!F:F,Table5[[#This Row],[ID]])+COUNTIF(Statics!F:F,VALUE(Table5[[#This Row],[NODE]]))</f>
        <v/>
      </c>
    </row>
    <row r="156">
      <c r="A156" t="inlineStr">
        <is>
          <t>202</t>
        </is>
      </c>
      <c r="B156" t="inlineStr">
        <is>
          <t>1</t>
        </is>
      </c>
      <c r="C156">
        <f>VLOOKUP(VALUE(Table5[[#This Row],[NODE]]),LEAF_INFO!B:H,6,0)</f>
        <v/>
      </c>
      <c r="D156" t="inlineStr">
        <is>
          <t>eth1/11</t>
        </is>
      </c>
      <c r="E156" t="inlineStr">
        <is>
          <t>down</t>
        </is>
      </c>
      <c r="F156" t="inlineStr">
        <is>
          <t>down</t>
        </is>
      </c>
      <c r="G156">
        <f>VLOOKUP(_xlfn.CONCAT(Table5[[#This Row],[NODE]],Table5[[#This Row],[PORT]]),PORTS_!A:G,7,0)</f>
        <v/>
      </c>
      <c r="H156" t="inlineStr"/>
      <c r="I156">
        <f>VLOOKUP(VALUE(Table5[[#This Row],[NODE]]),LEAF_INFO!B:H,7,0)</f>
        <v/>
      </c>
      <c r="J156">
        <f>ISNUMBER(SEARCH("vpc-leaf", SUBSTITUTE(LOWER(K156), "_", "-")))</f>
        <v/>
      </c>
      <c r="K156">
        <f>_xlfn.IFNA(VLOOKUP(VALUE(Table5[[#This Row],[NODE]]), VPC!A:A, 2, 0), "No está en VPC")</f>
        <v/>
      </c>
      <c r="L156">
        <f>IF(OR(ISNUMBER(SEARCH("VPC-Leaf", K156)), ISNUMBER(SEARCH("VPC_Leaf", K156))),SUBSTITUTE(SUBSTITUTE(SUBSTITUTE(K156, "VPC-Leaf", ""), "VPC_Leaf", ""), "_", "-"),A156)</f>
        <v/>
      </c>
      <c r="M156">
        <f>_xlfn.IFNA(VLOOKUP(_xlfn.CONCAT(VALUE(Table5[[#This Row],[NODE]]),Table5[[#This Row],[PORT]]),PG!C:H,6,0),"NO EXISTE PG")</f>
        <v/>
      </c>
      <c r="N156">
        <f>_xlfn.IFNA(VLOOKUP(_xlfn.CONCAT(VALUE(Table5[[#This Row],[NODE]]),Table5[[#This Row],[PORT]]),PG!C:H,4,0),"NO EXISTE ISEL")</f>
        <v/>
      </c>
      <c r="O156">
        <f>COUNTIF(Statics!G:G,Table5[[#This Row],[PG]])+COUNTIF(Statics!H:H,_xlfn.CONCAT((Table5[[#This Row],[NODE]]),Table5[[#This Row],[PORT]]))</f>
        <v/>
      </c>
      <c r="P156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56">
        <f>COUNTIF(Statics!F:F,Table5[[#This Row],[ID]])+COUNTIF(Statics!F:F,VALUE(Table5[[#This Row],[NODE]]))</f>
        <v/>
      </c>
    </row>
    <row r="157">
      <c r="A157" t="inlineStr">
        <is>
          <t>202</t>
        </is>
      </c>
      <c r="B157" t="inlineStr">
        <is>
          <t>1</t>
        </is>
      </c>
      <c r="C157">
        <f>VLOOKUP(VALUE(Table5[[#This Row],[NODE]]),LEAF_INFO!B:H,6,0)</f>
        <v/>
      </c>
      <c r="D157" t="inlineStr">
        <is>
          <t>eth1/12</t>
        </is>
      </c>
      <c r="E157" t="inlineStr">
        <is>
          <t>down</t>
        </is>
      </c>
      <c r="F157" t="inlineStr">
        <is>
          <t>down</t>
        </is>
      </c>
      <c r="G157">
        <f>VLOOKUP(_xlfn.CONCAT(Table5[[#This Row],[NODE]],Table5[[#This Row],[PORT]]),PORTS_!A:G,7,0)</f>
        <v/>
      </c>
      <c r="H157" t="inlineStr"/>
      <c r="I157">
        <f>VLOOKUP(VALUE(Table5[[#This Row],[NODE]]),LEAF_INFO!B:H,7,0)</f>
        <v/>
      </c>
      <c r="J157">
        <f>ISNUMBER(SEARCH("vpc-leaf", SUBSTITUTE(LOWER(K157), "_", "-")))</f>
        <v/>
      </c>
      <c r="K157">
        <f>_xlfn.IFNA(VLOOKUP(VALUE(Table5[[#This Row],[NODE]]), VPC!A:A, 2, 0), "No está en VPC")</f>
        <v/>
      </c>
      <c r="L157">
        <f>IF(OR(ISNUMBER(SEARCH("VPC-Leaf", K157)), ISNUMBER(SEARCH("VPC_Leaf", K157))),SUBSTITUTE(SUBSTITUTE(SUBSTITUTE(K157, "VPC-Leaf", ""), "VPC_Leaf", ""), "_", "-"),A157)</f>
        <v/>
      </c>
      <c r="M157">
        <f>_xlfn.IFNA(VLOOKUP(_xlfn.CONCAT(VALUE(Table5[[#This Row],[NODE]]),Table5[[#This Row],[PORT]]),PG!C:H,6,0),"NO EXISTE PG")</f>
        <v/>
      </c>
      <c r="N157">
        <f>_xlfn.IFNA(VLOOKUP(_xlfn.CONCAT(VALUE(Table5[[#This Row],[NODE]]),Table5[[#This Row],[PORT]]),PG!C:H,4,0),"NO EXISTE ISEL")</f>
        <v/>
      </c>
      <c r="O157">
        <f>COUNTIF(Statics!G:G,Table5[[#This Row],[PG]])+COUNTIF(Statics!H:H,_xlfn.CONCAT((Table5[[#This Row],[NODE]]),Table5[[#This Row],[PORT]]))</f>
        <v/>
      </c>
      <c r="P157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57">
        <f>COUNTIF(Statics!F:F,Table5[[#This Row],[ID]])+COUNTIF(Statics!F:F,VALUE(Table5[[#This Row],[NODE]]))</f>
        <v/>
      </c>
    </row>
    <row r="158">
      <c r="A158" t="inlineStr">
        <is>
          <t>202</t>
        </is>
      </c>
      <c r="B158" t="inlineStr">
        <is>
          <t>1</t>
        </is>
      </c>
      <c r="C158">
        <f>VLOOKUP(VALUE(Table5[[#This Row],[NODE]]),LEAF_INFO!B:H,6,0)</f>
        <v/>
      </c>
      <c r="D158" t="inlineStr">
        <is>
          <t>eth1/13</t>
        </is>
      </c>
      <c r="E158" t="inlineStr">
        <is>
          <t>down</t>
        </is>
      </c>
      <c r="F158" t="inlineStr">
        <is>
          <t>down</t>
        </is>
      </c>
      <c r="G158">
        <f>VLOOKUP(_xlfn.CONCAT(Table5[[#This Row],[NODE]],Table5[[#This Row],[PORT]]),PORTS_!A:G,7,0)</f>
        <v/>
      </c>
      <c r="H158" t="inlineStr"/>
      <c r="I158">
        <f>VLOOKUP(VALUE(Table5[[#This Row],[NODE]]),LEAF_INFO!B:H,7,0)</f>
        <v/>
      </c>
      <c r="J158">
        <f>ISNUMBER(SEARCH("vpc-leaf", SUBSTITUTE(LOWER(K158), "_", "-")))</f>
        <v/>
      </c>
      <c r="K158">
        <f>_xlfn.IFNA(VLOOKUP(VALUE(Table5[[#This Row],[NODE]]), VPC!A:A, 2, 0), "No está en VPC")</f>
        <v/>
      </c>
      <c r="L158">
        <f>IF(OR(ISNUMBER(SEARCH("VPC-Leaf", K158)), ISNUMBER(SEARCH("VPC_Leaf", K158))),SUBSTITUTE(SUBSTITUTE(SUBSTITUTE(K158, "VPC-Leaf", ""), "VPC_Leaf", ""), "_", "-"),A158)</f>
        <v/>
      </c>
      <c r="M158">
        <f>_xlfn.IFNA(VLOOKUP(_xlfn.CONCAT(VALUE(Table5[[#This Row],[NODE]]),Table5[[#This Row],[PORT]]),PG!C:H,6,0),"NO EXISTE PG")</f>
        <v/>
      </c>
      <c r="N158">
        <f>_xlfn.IFNA(VLOOKUP(_xlfn.CONCAT(VALUE(Table5[[#This Row],[NODE]]),Table5[[#This Row],[PORT]]),PG!C:H,4,0),"NO EXISTE ISEL")</f>
        <v/>
      </c>
      <c r="O158">
        <f>COUNTIF(Statics!G:G,Table5[[#This Row],[PG]])+COUNTIF(Statics!H:H,_xlfn.CONCAT((Table5[[#This Row],[NODE]]),Table5[[#This Row],[PORT]]))</f>
        <v/>
      </c>
      <c r="P158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58">
        <f>COUNTIF(Statics!F:F,Table5[[#This Row],[ID]])+COUNTIF(Statics!F:F,VALUE(Table5[[#This Row],[NODE]]))</f>
        <v/>
      </c>
    </row>
    <row r="159">
      <c r="A159" t="inlineStr">
        <is>
          <t>202</t>
        </is>
      </c>
      <c r="B159" t="inlineStr">
        <is>
          <t>1</t>
        </is>
      </c>
      <c r="C159">
        <f>VLOOKUP(VALUE(Table5[[#This Row],[NODE]]),LEAF_INFO!B:H,6,0)</f>
        <v/>
      </c>
      <c r="D159" t="inlineStr">
        <is>
          <t>eth1/14</t>
        </is>
      </c>
      <c r="E159" t="inlineStr">
        <is>
          <t>down</t>
        </is>
      </c>
      <c r="F159" t="inlineStr">
        <is>
          <t>down</t>
        </is>
      </c>
      <c r="G159">
        <f>VLOOKUP(_xlfn.CONCAT(Table5[[#This Row],[NODE]],Table5[[#This Row],[PORT]]),PORTS_!A:G,7,0)</f>
        <v/>
      </c>
      <c r="H159" t="inlineStr"/>
      <c r="I159">
        <f>VLOOKUP(VALUE(Table5[[#This Row],[NODE]]),LEAF_INFO!B:H,7,0)</f>
        <v/>
      </c>
      <c r="J159">
        <f>ISNUMBER(SEARCH("vpc-leaf", SUBSTITUTE(LOWER(K159), "_", "-")))</f>
        <v/>
      </c>
      <c r="K159">
        <f>_xlfn.IFNA(VLOOKUP(VALUE(Table5[[#This Row],[NODE]]), VPC!A:A, 2, 0), "No está en VPC")</f>
        <v/>
      </c>
      <c r="L159">
        <f>IF(OR(ISNUMBER(SEARCH("VPC-Leaf", K159)), ISNUMBER(SEARCH("VPC_Leaf", K159))),SUBSTITUTE(SUBSTITUTE(SUBSTITUTE(K159, "VPC-Leaf", ""), "VPC_Leaf", ""), "_", "-"),A159)</f>
        <v/>
      </c>
      <c r="M159">
        <f>_xlfn.IFNA(VLOOKUP(_xlfn.CONCAT(VALUE(Table5[[#This Row],[NODE]]),Table5[[#This Row],[PORT]]),PG!C:H,6,0),"NO EXISTE PG")</f>
        <v/>
      </c>
      <c r="N159">
        <f>_xlfn.IFNA(VLOOKUP(_xlfn.CONCAT(VALUE(Table5[[#This Row],[NODE]]),Table5[[#This Row],[PORT]]),PG!C:H,4,0),"NO EXISTE ISEL")</f>
        <v/>
      </c>
      <c r="O159">
        <f>COUNTIF(Statics!G:G,Table5[[#This Row],[PG]])+COUNTIF(Statics!H:H,_xlfn.CONCAT((Table5[[#This Row],[NODE]]),Table5[[#This Row],[PORT]]))</f>
        <v/>
      </c>
      <c r="P159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59">
        <f>COUNTIF(Statics!F:F,Table5[[#This Row],[ID]])+COUNTIF(Statics!F:F,VALUE(Table5[[#This Row],[NODE]]))</f>
        <v/>
      </c>
    </row>
    <row r="160">
      <c r="A160" t="inlineStr">
        <is>
          <t>202</t>
        </is>
      </c>
      <c r="B160" t="inlineStr">
        <is>
          <t>1</t>
        </is>
      </c>
      <c r="C160">
        <f>VLOOKUP(VALUE(Table5[[#This Row],[NODE]]),LEAF_INFO!B:H,6,0)</f>
        <v/>
      </c>
      <c r="D160" t="inlineStr">
        <is>
          <t>eth1/15</t>
        </is>
      </c>
      <c r="E160" t="inlineStr">
        <is>
          <t>down</t>
        </is>
      </c>
      <c r="F160" t="inlineStr">
        <is>
          <t>down</t>
        </is>
      </c>
      <c r="G160">
        <f>VLOOKUP(_xlfn.CONCAT(Table5[[#This Row],[NODE]],Table5[[#This Row],[PORT]]),PORTS_!A:G,7,0)</f>
        <v/>
      </c>
      <c r="H160" t="inlineStr"/>
      <c r="I160">
        <f>VLOOKUP(VALUE(Table5[[#This Row],[NODE]]),LEAF_INFO!B:H,7,0)</f>
        <v/>
      </c>
      <c r="J160">
        <f>ISNUMBER(SEARCH("vpc-leaf", SUBSTITUTE(LOWER(K160), "_", "-")))</f>
        <v/>
      </c>
      <c r="K160">
        <f>_xlfn.IFNA(VLOOKUP(VALUE(Table5[[#This Row],[NODE]]), VPC!A:A, 2, 0), "No está en VPC")</f>
        <v/>
      </c>
      <c r="L160">
        <f>IF(OR(ISNUMBER(SEARCH("VPC-Leaf", K160)), ISNUMBER(SEARCH("VPC_Leaf", K160))),SUBSTITUTE(SUBSTITUTE(SUBSTITUTE(K160, "VPC-Leaf", ""), "VPC_Leaf", ""), "_", "-"),A160)</f>
        <v/>
      </c>
      <c r="M160">
        <f>_xlfn.IFNA(VLOOKUP(_xlfn.CONCAT(VALUE(Table5[[#This Row],[NODE]]),Table5[[#This Row],[PORT]]),PG!C:H,6,0),"NO EXISTE PG")</f>
        <v/>
      </c>
      <c r="N160">
        <f>_xlfn.IFNA(VLOOKUP(_xlfn.CONCAT(VALUE(Table5[[#This Row],[NODE]]),Table5[[#This Row],[PORT]]),PG!C:H,4,0),"NO EXISTE ISEL")</f>
        <v/>
      </c>
      <c r="O160">
        <f>COUNTIF(Statics!G:G,Table5[[#This Row],[PG]])+COUNTIF(Statics!H:H,_xlfn.CONCAT((Table5[[#This Row],[NODE]]),Table5[[#This Row],[PORT]]))</f>
        <v/>
      </c>
      <c r="P160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60">
        <f>COUNTIF(Statics!F:F,Table5[[#This Row],[ID]])+COUNTIF(Statics!F:F,VALUE(Table5[[#This Row],[NODE]]))</f>
        <v/>
      </c>
    </row>
    <row r="161">
      <c r="A161" t="inlineStr">
        <is>
          <t>202</t>
        </is>
      </c>
      <c r="B161" t="inlineStr">
        <is>
          <t>1</t>
        </is>
      </c>
      <c r="C161">
        <f>VLOOKUP(VALUE(Table5[[#This Row],[NODE]]),LEAF_INFO!B:H,6,0)</f>
        <v/>
      </c>
      <c r="D161" t="inlineStr">
        <is>
          <t>eth1/16</t>
        </is>
      </c>
      <c r="E161" t="inlineStr">
        <is>
          <t>down</t>
        </is>
      </c>
      <c r="F161" t="inlineStr">
        <is>
          <t>down</t>
        </is>
      </c>
      <c r="G161">
        <f>VLOOKUP(_xlfn.CONCAT(Table5[[#This Row],[NODE]],Table5[[#This Row],[PORT]]),PORTS_!A:G,7,0)</f>
        <v/>
      </c>
      <c r="H161" t="inlineStr"/>
      <c r="I161">
        <f>VLOOKUP(VALUE(Table5[[#This Row],[NODE]]),LEAF_INFO!B:H,7,0)</f>
        <v/>
      </c>
      <c r="J161">
        <f>ISNUMBER(SEARCH("vpc-leaf", SUBSTITUTE(LOWER(K161), "_", "-")))</f>
        <v/>
      </c>
      <c r="K161">
        <f>_xlfn.IFNA(VLOOKUP(VALUE(Table5[[#This Row],[NODE]]), VPC!A:A, 2, 0), "No está en VPC")</f>
        <v/>
      </c>
      <c r="L161">
        <f>IF(OR(ISNUMBER(SEARCH("VPC-Leaf", K161)), ISNUMBER(SEARCH("VPC_Leaf", K161))),SUBSTITUTE(SUBSTITUTE(SUBSTITUTE(K161, "VPC-Leaf", ""), "VPC_Leaf", ""), "_", "-"),A161)</f>
        <v/>
      </c>
      <c r="M161">
        <f>_xlfn.IFNA(VLOOKUP(_xlfn.CONCAT(VALUE(Table5[[#This Row],[NODE]]),Table5[[#This Row],[PORT]]),PG!C:H,6,0),"NO EXISTE PG")</f>
        <v/>
      </c>
      <c r="N161">
        <f>_xlfn.IFNA(VLOOKUP(_xlfn.CONCAT(VALUE(Table5[[#This Row],[NODE]]),Table5[[#This Row],[PORT]]),PG!C:H,4,0),"NO EXISTE ISEL")</f>
        <v/>
      </c>
      <c r="O161">
        <f>COUNTIF(Statics!G:G,Table5[[#This Row],[PG]])+COUNTIF(Statics!H:H,_xlfn.CONCAT((Table5[[#This Row],[NODE]]),Table5[[#This Row],[PORT]]))</f>
        <v/>
      </c>
      <c r="P161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61">
        <f>COUNTIF(Statics!F:F,Table5[[#This Row],[ID]])+COUNTIF(Statics!F:F,VALUE(Table5[[#This Row],[NODE]]))</f>
        <v/>
      </c>
    </row>
    <row r="162">
      <c r="A162" t="inlineStr">
        <is>
          <t>202</t>
        </is>
      </c>
      <c r="B162" t="inlineStr">
        <is>
          <t>1</t>
        </is>
      </c>
      <c r="C162">
        <f>VLOOKUP(VALUE(Table5[[#This Row],[NODE]]),LEAF_INFO!B:H,6,0)</f>
        <v/>
      </c>
      <c r="D162" t="inlineStr">
        <is>
          <t>eth1/17</t>
        </is>
      </c>
      <c r="E162" t="inlineStr">
        <is>
          <t>down</t>
        </is>
      </c>
      <c r="F162" t="inlineStr">
        <is>
          <t>down</t>
        </is>
      </c>
      <c r="G162">
        <f>VLOOKUP(_xlfn.CONCAT(Table5[[#This Row],[NODE]],Table5[[#This Row],[PORT]]),PORTS_!A:G,7,0)</f>
        <v/>
      </c>
      <c r="H162" t="inlineStr"/>
      <c r="I162">
        <f>VLOOKUP(VALUE(Table5[[#This Row],[NODE]]),LEAF_INFO!B:H,7,0)</f>
        <v/>
      </c>
      <c r="J162">
        <f>ISNUMBER(SEARCH("vpc-leaf", SUBSTITUTE(LOWER(K162), "_", "-")))</f>
        <v/>
      </c>
      <c r="K162">
        <f>_xlfn.IFNA(VLOOKUP(VALUE(Table5[[#This Row],[NODE]]), VPC!A:A, 2, 0), "No está en VPC")</f>
        <v/>
      </c>
      <c r="L162">
        <f>IF(OR(ISNUMBER(SEARCH("VPC-Leaf", K162)), ISNUMBER(SEARCH("VPC_Leaf", K162))),SUBSTITUTE(SUBSTITUTE(SUBSTITUTE(K162, "VPC-Leaf", ""), "VPC_Leaf", ""), "_", "-"),A162)</f>
        <v/>
      </c>
      <c r="M162">
        <f>_xlfn.IFNA(VLOOKUP(_xlfn.CONCAT(VALUE(Table5[[#This Row],[NODE]]),Table5[[#This Row],[PORT]]),PG!C:H,6,0),"NO EXISTE PG")</f>
        <v/>
      </c>
      <c r="N162">
        <f>_xlfn.IFNA(VLOOKUP(_xlfn.CONCAT(VALUE(Table5[[#This Row],[NODE]]),Table5[[#This Row],[PORT]]),PG!C:H,4,0),"NO EXISTE ISEL")</f>
        <v/>
      </c>
      <c r="O162">
        <f>COUNTIF(Statics!G:G,Table5[[#This Row],[PG]])+COUNTIF(Statics!H:H,_xlfn.CONCAT((Table5[[#This Row],[NODE]]),Table5[[#This Row],[PORT]]))</f>
        <v/>
      </c>
      <c r="P162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62">
        <f>COUNTIF(Statics!F:F,Table5[[#This Row],[ID]])+COUNTIF(Statics!F:F,VALUE(Table5[[#This Row],[NODE]]))</f>
        <v/>
      </c>
    </row>
    <row r="163">
      <c r="A163" t="inlineStr">
        <is>
          <t>202</t>
        </is>
      </c>
      <c r="B163" t="inlineStr">
        <is>
          <t>1</t>
        </is>
      </c>
      <c r="C163">
        <f>VLOOKUP(VALUE(Table5[[#This Row],[NODE]]),LEAF_INFO!B:H,6,0)</f>
        <v/>
      </c>
      <c r="D163" t="inlineStr">
        <is>
          <t>eth1/18</t>
        </is>
      </c>
      <c r="E163" t="inlineStr">
        <is>
          <t>down</t>
        </is>
      </c>
      <c r="F163" t="inlineStr">
        <is>
          <t>down</t>
        </is>
      </c>
      <c r="G163">
        <f>VLOOKUP(_xlfn.CONCAT(Table5[[#This Row],[NODE]],Table5[[#This Row],[PORT]]),PORTS_!A:G,7,0)</f>
        <v/>
      </c>
      <c r="H163" t="inlineStr"/>
      <c r="I163">
        <f>VLOOKUP(VALUE(Table5[[#This Row],[NODE]]),LEAF_INFO!B:H,7,0)</f>
        <v/>
      </c>
      <c r="J163">
        <f>ISNUMBER(SEARCH("vpc-leaf", SUBSTITUTE(LOWER(K163), "_", "-")))</f>
        <v/>
      </c>
      <c r="K163">
        <f>_xlfn.IFNA(VLOOKUP(VALUE(Table5[[#This Row],[NODE]]), VPC!A:A, 2, 0), "No está en VPC")</f>
        <v/>
      </c>
      <c r="L163">
        <f>IF(OR(ISNUMBER(SEARCH("VPC-Leaf", K163)), ISNUMBER(SEARCH("VPC_Leaf", K163))),SUBSTITUTE(SUBSTITUTE(SUBSTITUTE(K163, "VPC-Leaf", ""), "VPC_Leaf", ""), "_", "-"),A163)</f>
        <v/>
      </c>
      <c r="M163">
        <f>_xlfn.IFNA(VLOOKUP(_xlfn.CONCAT(VALUE(Table5[[#This Row],[NODE]]),Table5[[#This Row],[PORT]]),PG!C:H,6,0),"NO EXISTE PG")</f>
        <v/>
      </c>
      <c r="N163">
        <f>_xlfn.IFNA(VLOOKUP(_xlfn.CONCAT(VALUE(Table5[[#This Row],[NODE]]),Table5[[#This Row],[PORT]]),PG!C:H,4,0),"NO EXISTE ISEL")</f>
        <v/>
      </c>
      <c r="O163">
        <f>COUNTIF(Statics!G:G,Table5[[#This Row],[PG]])+COUNTIF(Statics!H:H,_xlfn.CONCAT((Table5[[#This Row],[NODE]]),Table5[[#This Row],[PORT]]))</f>
        <v/>
      </c>
      <c r="P163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63">
        <f>COUNTIF(Statics!F:F,Table5[[#This Row],[ID]])+COUNTIF(Statics!F:F,VALUE(Table5[[#This Row],[NODE]]))</f>
        <v/>
      </c>
    </row>
    <row r="164">
      <c r="A164" t="inlineStr">
        <is>
          <t>202</t>
        </is>
      </c>
      <c r="B164" t="inlineStr">
        <is>
          <t>1</t>
        </is>
      </c>
      <c r="C164">
        <f>VLOOKUP(VALUE(Table5[[#This Row],[NODE]]),LEAF_INFO!B:H,6,0)</f>
        <v/>
      </c>
      <c r="D164" t="inlineStr">
        <is>
          <t>eth1/19</t>
        </is>
      </c>
      <c r="E164" t="inlineStr">
        <is>
          <t>down</t>
        </is>
      </c>
      <c r="F164" t="inlineStr">
        <is>
          <t>down</t>
        </is>
      </c>
      <c r="G164">
        <f>VLOOKUP(_xlfn.CONCAT(Table5[[#This Row],[NODE]],Table5[[#This Row],[PORT]]),PORTS_!A:G,7,0)</f>
        <v/>
      </c>
      <c r="H164" t="inlineStr"/>
      <c r="I164">
        <f>VLOOKUP(VALUE(Table5[[#This Row],[NODE]]),LEAF_INFO!B:H,7,0)</f>
        <v/>
      </c>
      <c r="J164">
        <f>ISNUMBER(SEARCH("vpc-leaf", SUBSTITUTE(LOWER(K164), "_", "-")))</f>
        <v/>
      </c>
      <c r="K164">
        <f>_xlfn.IFNA(VLOOKUP(VALUE(Table5[[#This Row],[NODE]]), VPC!A:A, 2, 0), "No está en VPC")</f>
        <v/>
      </c>
      <c r="L164">
        <f>IF(OR(ISNUMBER(SEARCH("VPC-Leaf", K164)), ISNUMBER(SEARCH("VPC_Leaf", K164))),SUBSTITUTE(SUBSTITUTE(SUBSTITUTE(K164, "VPC-Leaf", ""), "VPC_Leaf", ""), "_", "-"),A164)</f>
        <v/>
      </c>
      <c r="M164">
        <f>_xlfn.IFNA(VLOOKUP(_xlfn.CONCAT(VALUE(Table5[[#This Row],[NODE]]),Table5[[#This Row],[PORT]]),PG!C:H,6,0),"NO EXISTE PG")</f>
        <v/>
      </c>
      <c r="N164">
        <f>_xlfn.IFNA(VLOOKUP(_xlfn.CONCAT(VALUE(Table5[[#This Row],[NODE]]),Table5[[#This Row],[PORT]]),PG!C:H,4,0),"NO EXISTE ISEL")</f>
        <v/>
      </c>
      <c r="O164">
        <f>COUNTIF(Statics!G:G,Table5[[#This Row],[PG]])+COUNTIF(Statics!H:H,_xlfn.CONCAT((Table5[[#This Row],[NODE]]),Table5[[#This Row],[PORT]]))</f>
        <v/>
      </c>
      <c r="P164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64">
        <f>COUNTIF(Statics!F:F,Table5[[#This Row],[ID]])+COUNTIF(Statics!F:F,VALUE(Table5[[#This Row],[NODE]]))</f>
        <v/>
      </c>
    </row>
    <row r="165">
      <c r="A165" t="inlineStr">
        <is>
          <t>202</t>
        </is>
      </c>
      <c r="B165" t="inlineStr">
        <is>
          <t>1</t>
        </is>
      </c>
      <c r="C165">
        <f>VLOOKUP(VALUE(Table5[[#This Row],[NODE]]),LEAF_INFO!B:H,6,0)</f>
        <v/>
      </c>
      <c r="D165" t="inlineStr">
        <is>
          <t>eth1/20</t>
        </is>
      </c>
      <c r="E165" t="inlineStr">
        <is>
          <t>down</t>
        </is>
      </c>
      <c r="F165" t="inlineStr">
        <is>
          <t>down</t>
        </is>
      </c>
      <c r="G165">
        <f>VLOOKUP(_xlfn.CONCAT(Table5[[#This Row],[NODE]],Table5[[#This Row],[PORT]]),PORTS_!A:G,7,0)</f>
        <v/>
      </c>
      <c r="H165" t="inlineStr"/>
      <c r="I165">
        <f>VLOOKUP(VALUE(Table5[[#This Row],[NODE]]),LEAF_INFO!B:H,7,0)</f>
        <v/>
      </c>
      <c r="J165">
        <f>ISNUMBER(SEARCH("vpc-leaf", SUBSTITUTE(LOWER(K165), "_", "-")))</f>
        <v/>
      </c>
      <c r="K165">
        <f>_xlfn.IFNA(VLOOKUP(VALUE(Table5[[#This Row],[NODE]]), VPC!A:A, 2, 0), "No está en VPC")</f>
        <v/>
      </c>
      <c r="L165">
        <f>IF(OR(ISNUMBER(SEARCH("VPC-Leaf", K165)), ISNUMBER(SEARCH("VPC_Leaf", K165))),SUBSTITUTE(SUBSTITUTE(SUBSTITUTE(K165, "VPC-Leaf", ""), "VPC_Leaf", ""), "_", "-"),A165)</f>
        <v/>
      </c>
      <c r="M165">
        <f>_xlfn.IFNA(VLOOKUP(_xlfn.CONCAT(VALUE(Table5[[#This Row],[NODE]]),Table5[[#This Row],[PORT]]),PG!C:H,6,0),"NO EXISTE PG")</f>
        <v/>
      </c>
      <c r="N165">
        <f>_xlfn.IFNA(VLOOKUP(_xlfn.CONCAT(VALUE(Table5[[#This Row],[NODE]]),Table5[[#This Row],[PORT]]),PG!C:H,4,0),"NO EXISTE ISEL")</f>
        <v/>
      </c>
      <c r="O165">
        <f>COUNTIF(Statics!G:G,Table5[[#This Row],[PG]])+COUNTIF(Statics!H:H,_xlfn.CONCAT((Table5[[#This Row],[NODE]]),Table5[[#This Row],[PORT]]))</f>
        <v/>
      </c>
      <c r="P165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65">
        <f>COUNTIF(Statics!F:F,Table5[[#This Row],[ID]])+COUNTIF(Statics!F:F,VALUE(Table5[[#This Row],[NODE]]))</f>
        <v/>
      </c>
    </row>
    <row r="166">
      <c r="A166" t="inlineStr">
        <is>
          <t>202</t>
        </is>
      </c>
      <c r="B166" t="inlineStr">
        <is>
          <t>1</t>
        </is>
      </c>
      <c r="C166">
        <f>VLOOKUP(VALUE(Table5[[#This Row],[NODE]]),LEAF_INFO!B:H,6,0)</f>
        <v/>
      </c>
      <c r="D166" t="inlineStr">
        <is>
          <t>eth1/21</t>
        </is>
      </c>
      <c r="E166" t="inlineStr">
        <is>
          <t>down</t>
        </is>
      </c>
      <c r="F166" t="inlineStr">
        <is>
          <t>down</t>
        </is>
      </c>
      <c r="G166">
        <f>VLOOKUP(_xlfn.CONCAT(Table5[[#This Row],[NODE]],Table5[[#This Row],[PORT]]),PORTS_!A:G,7,0)</f>
        <v/>
      </c>
      <c r="H166" t="inlineStr"/>
      <c r="I166">
        <f>VLOOKUP(VALUE(Table5[[#This Row],[NODE]]),LEAF_INFO!B:H,7,0)</f>
        <v/>
      </c>
      <c r="J166">
        <f>ISNUMBER(SEARCH("vpc-leaf", SUBSTITUTE(LOWER(K166), "_", "-")))</f>
        <v/>
      </c>
      <c r="K166">
        <f>_xlfn.IFNA(VLOOKUP(VALUE(Table5[[#This Row],[NODE]]), VPC!A:A, 2, 0), "No está en VPC")</f>
        <v/>
      </c>
      <c r="L166">
        <f>IF(OR(ISNUMBER(SEARCH("VPC-Leaf", K166)), ISNUMBER(SEARCH("VPC_Leaf", K166))),SUBSTITUTE(SUBSTITUTE(SUBSTITUTE(K166, "VPC-Leaf", ""), "VPC_Leaf", ""), "_", "-"),A166)</f>
        <v/>
      </c>
      <c r="M166">
        <f>_xlfn.IFNA(VLOOKUP(_xlfn.CONCAT(VALUE(Table5[[#This Row],[NODE]]),Table5[[#This Row],[PORT]]),PG!C:H,6,0),"NO EXISTE PG")</f>
        <v/>
      </c>
      <c r="N166">
        <f>_xlfn.IFNA(VLOOKUP(_xlfn.CONCAT(VALUE(Table5[[#This Row],[NODE]]),Table5[[#This Row],[PORT]]),PG!C:H,4,0),"NO EXISTE ISEL")</f>
        <v/>
      </c>
      <c r="O166">
        <f>COUNTIF(Statics!G:G,Table5[[#This Row],[PG]])+COUNTIF(Statics!H:H,_xlfn.CONCAT((Table5[[#This Row],[NODE]]),Table5[[#This Row],[PORT]]))</f>
        <v/>
      </c>
      <c r="P166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66">
        <f>COUNTIF(Statics!F:F,Table5[[#This Row],[ID]])+COUNTIF(Statics!F:F,VALUE(Table5[[#This Row],[NODE]]))</f>
        <v/>
      </c>
    </row>
    <row r="167">
      <c r="A167" t="inlineStr">
        <is>
          <t>202</t>
        </is>
      </c>
      <c r="B167" t="inlineStr">
        <is>
          <t>1</t>
        </is>
      </c>
      <c r="C167">
        <f>VLOOKUP(VALUE(Table5[[#This Row],[NODE]]),LEAF_INFO!B:H,6,0)</f>
        <v/>
      </c>
      <c r="D167" t="inlineStr">
        <is>
          <t>eth1/22</t>
        </is>
      </c>
      <c r="E167" t="inlineStr">
        <is>
          <t>down</t>
        </is>
      </c>
      <c r="F167" t="inlineStr">
        <is>
          <t>down</t>
        </is>
      </c>
      <c r="G167">
        <f>VLOOKUP(_xlfn.CONCAT(Table5[[#This Row],[NODE]],Table5[[#This Row],[PORT]]),PORTS_!A:G,7,0)</f>
        <v/>
      </c>
      <c r="H167" t="inlineStr"/>
      <c r="I167">
        <f>VLOOKUP(VALUE(Table5[[#This Row],[NODE]]),LEAF_INFO!B:H,7,0)</f>
        <v/>
      </c>
      <c r="J167">
        <f>ISNUMBER(SEARCH("vpc-leaf", SUBSTITUTE(LOWER(K167), "_", "-")))</f>
        <v/>
      </c>
      <c r="K167">
        <f>_xlfn.IFNA(VLOOKUP(VALUE(Table5[[#This Row],[NODE]]), VPC!A:A, 2, 0), "No está en VPC")</f>
        <v/>
      </c>
      <c r="L167">
        <f>IF(OR(ISNUMBER(SEARCH("VPC-Leaf", K167)), ISNUMBER(SEARCH("VPC_Leaf", K167))),SUBSTITUTE(SUBSTITUTE(SUBSTITUTE(K167, "VPC-Leaf", ""), "VPC_Leaf", ""), "_", "-"),A167)</f>
        <v/>
      </c>
      <c r="M167">
        <f>_xlfn.IFNA(VLOOKUP(_xlfn.CONCAT(VALUE(Table5[[#This Row],[NODE]]),Table5[[#This Row],[PORT]]),PG!C:H,6,0),"NO EXISTE PG")</f>
        <v/>
      </c>
      <c r="N167">
        <f>_xlfn.IFNA(VLOOKUP(_xlfn.CONCAT(VALUE(Table5[[#This Row],[NODE]]),Table5[[#This Row],[PORT]]),PG!C:H,4,0),"NO EXISTE ISEL")</f>
        <v/>
      </c>
      <c r="O167">
        <f>COUNTIF(Statics!G:G,Table5[[#This Row],[PG]])+COUNTIF(Statics!H:H,_xlfn.CONCAT((Table5[[#This Row],[NODE]]),Table5[[#This Row],[PORT]]))</f>
        <v/>
      </c>
      <c r="P167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67">
        <f>COUNTIF(Statics!F:F,Table5[[#This Row],[ID]])+COUNTIF(Statics!F:F,VALUE(Table5[[#This Row],[NODE]]))</f>
        <v/>
      </c>
    </row>
    <row r="168">
      <c r="A168" t="inlineStr">
        <is>
          <t>202</t>
        </is>
      </c>
      <c r="B168" t="inlineStr">
        <is>
          <t>1</t>
        </is>
      </c>
      <c r="C168">
        <f>VLOOKUP(VALUE(Table5[[#This Row],[NODE]]),LEAF_INFO!B:H,6,0)</f>
        <v/>
      </c>
      <c r="D168" t="inlineStr">
        <is>
          <t>eth1/23</t>
        </is>
      </c>
      <c r="E168" t="inlineStr">
        <is>
          <t>down</t>
        </is>
      </c>
      <c r="F168" t="inlineStr">
        <is>
          <t>down</t>
        </is>
      </c>
      <c r="G168">
        <f>VLOOKUP(_xlfn.CONCAT(Table5[[#This Row],[NODE]],Table5[[#This Row],[PORT]]),PORTS_!A:G,7,0)</f>
        <v/>
      </c>
      <c r="H168" t="inlineStr"/>
      <c r="I168">
        <f>VLOOKUP(VALUE(Table5[[#This Row],[NODE]]),LEAF_INFO!B:H,7,0)</f>
        <v/>
      </c>
      <c r="J168">
        <f>ISNUMBER(SEARCH("vpc-leaf", SUBSTITUTE(LOWER(K168), "_", "-")))</f>
        <v/>
      </c>
      <c r="K168">
        <f>_xlfn.IFNA(VLOOKUP(VALUE(Table5[[#This Row],[NODE]]), VPC!A:A, 2, 0), "No está en VPC")</f>
        <v/>
      </c>
      <c r="L168">
        <f>IF(OR(ISNUMBER(SEARCH("VPC-Leaf", K168)), ISNUMBER(SEARCH("VPC_Leaf", K168))),SUBSTITUTE(SUBSTITUTE(SUBSTITUTE(K168, "VPC-Leaf", ""), "VPC_Leaf", ""), "_", "-"),A168)</f>
        <v/>
      </c>
      <c r="M168">
        <f>_xlfn.IFNA(VLOOKUP(_xlfn.CONCAT(VALUE(Table5[[#This Row],[NODE]]),Table5[[#This Row],[PORT]]),PG!C:H,6,0),"NO EXISTE PG")</f>
        <v/>
      </c>
      <c r="N168">
        <f>_xlfn.IFNA(VLOOKUP(_xlfn.CONCAT(VALUE(Table5[[#This Row],[NODE]]),Table5[[#This Row],[PORT]]),PG!C:H,4,0),"NO EXISTE ISEL")</f>
        <v/>
      </c>
      <c r="O168">
        <f>COUNTIF(Statics!G:G,Table5[[#This Row],[PG]])+COUNTIF(Statics!H:H,_xlfn.CONCAT((Table5[[#This Row],[NODE]]),Table5[[#This Row],[PORT]]))</f>
        <v/>
      </c>
      <c r="P168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68">
        <f>COUNTIF(Statics!F:F,Table5[[#This Row],[ID]])+COUNTIF(Statics!F:F,VALUE(Table5[[#This Row],[NODE]]))</f>
        <v/>
      </c>
    </row>
    <row r="169">
      <c r="A169" t="inlineStr">
        <is>
          <t>202</t>
        </is>
      </c>
      <c r="B169" t="inlineStr">
        <is>
          <t>1</t>
        </is>
      </c>
      <c r="C169">
        <f>VLOOKUP(VALUE(Table5[[#This Row],[NODE]]),LEAF_INFO!B:H,6,0)</f>
        <v/>
      </c>
      <c r="D169" t="inlineStr">
        <is>
          <t>eth1/24</t>
        </is>
      </c>
      <c r="E169" t="inlineStr">
        <is>
          <t>down</t>
        </is>
      </c>
      <c r="F169" t="inlineStr">
        <is>
          <t>down</t>
        </is>
      </c>
      <c r="G169">
        <f>VLOOKUP(_xlfn.CONCAT(Table5[[#This Row],[NODE]],Table5[[#This Row],[PORT]]),PORTS_!A:G,7,0)</f>
        <v/>
      </c>
      <c r="H169" t="inlineStr"/>
      <c r="I169">
        <f>VLOOKUP(VALUE(Table5[[#This Row],[NODE]]),LEAF_INFO!B:H,7,0)</f>
        <v/>
      </c>
      <c r="J169">
        <f>ISNUMBER(SEARCH("vpc-leaf", SUBSTITUTE(LOWER(K169), "_", "-")))</f>
        <v/>
      </c>
      <c r="K169">
        <f>_xlfn.IFNA(VLOOKUP(VALUE(Table5[[#This Row],[NODE]]), VPC!A:A, 2, 0), "No está en VPC")</f>
        <v/>
      </c>
      <c r="L169">
        <f>IF(OR(ISNUMBER(SEARCH("VPC-Leaf", K169)), ISNUMBER(SEARCH("VPC_Leaf", K169))),SUBSTITUTE(SUBSTITUTE(SUBSTITUTE(K169, "VPC-Leaf", ""), "VPC_Leaf", ""), "_", "-"),A169)</f>
        <v/>
      </c>
      <c r="M169">
        <f>_xlfn.IFNA(VLOOKUP(_xlfn.CONCAT(VALUE(Table5[[#This Row],[NODE]]),Table5[[#This Row],[PORT]]),PG!C:H,6,0),"NO EXISTE PG")</f>
        <v/>
      </c>
      <c r="N169">
        <f>_xlfn.IFNA(VLOOKUP(_xlfn.CONCAT(VALUE(Table5[[#This Row],[NODE]]),Table5[[#This Row],[PORT]]),PG!C:H,4,0),"NO EXISTE ISEL")</f>
        <v/>
      </c>
      <c r="O169">
        <f>COUNTIF(Statics!G:G,Table5[[#This Row],[PG]])+COUNTIF(Statics!H:H,_xlfn.CONCAT((Table5[[#This Row],[NODE]]),Table5[[#This Row],[PORT]]))</f>
        <v/>
      </c>
      <c r="P169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69">
        <f>COUNTIF(Statics!F:F,Table5[[#This Row],[ID]])+COUNTIF(Statics!F:F,VALUE(Table5[[#This Row],[NODE]]))</f>
        <v/>
      </c>
    </row>
    <row r="170">
      <c r="A170" t="inlineStr">
        <is>
          <t>202</t>
        </is>
      </c>
      <c r="B170" t="inlineStr">
        <is>
          <t>1</t>
        </is>
      </c>
      <c r="C170">
        <f>VLOOKUP(VALUE(Table5[[#This Row],[NODE]]),LEAF_INFO!B:H,6,0)</f>
        <v/>
      </c>
      <c r="D170" t="inlineStr">
        <is>
          <t>eth1/25</t>
        </is>
      </c>
      <c r="E170" t="inlineStr">
        <is>
          <t>down</t>
        </is>
      </c>
      <c r="F170" t="inlineStr">
        <is>
          <t>down</t>
        </is>
      </c>
      <c r="G170">
        <f>VLOOKUP(_xlfn.CONCAT(Table5[[#This Row],[NODE]],Table5[[#This Row],[PORT]]),PORTS_!A:G,7,0)</f>
        <v/>
      </c>
      <c r="H170" t="inlineStr"/>
      <c r="I170">
        <f>VLOOKUP(VALUE(Table5[[#This Row],[NODE]]),LEAF_INFO!B:H,7,0)</f>
        <v/>
      </c>
      <c r="J170">
        <f>ISNUMBER(SEARCH("vpc-leaf", SUBSTITUTE(LOWER(K170), "_", "-")))</f>
        <v/>
      </c>
      <c r="K170">
        <f>_xlfn.IFNA(VLOOKUP(VALUE(Table5[[#This Row],[NODE]]), VPC!A:A, 2, 0), "No está en VPC")</f>
        <v/>
      </c>
      <c r="L170">
        <f>IF(OR(ISNUMBER(SEARCH("VPC-Leaf", K170)), ISNUMBER(SEARCH("VPC_Leaf", K170))),SUBSTITUTE(SUBSTITUTE(SUBSTITUTE(K170, "VPC-Leaf", ""), "VPC_Leaf", ""), "_", "-"),A170)</f>
        <v/>
      </c>
      <c r="M170">
        <f>_xlfn.IFNA(VLOOKUP(_xlfn.CONCAT(VALUE(Table5[[#This Row],[NODE]]),Table5[[#This Row],[PORT]]),PG!C:H,6,0),"NO EXISTE PG")</f>
        <v/>
      </c>
      <c r="N170">
        <f>_xlfn.IFNA(VLOOKUP(_xlfn.CONCAT(VALUE(Table5[[#This Row],[NODE]]),Table5[[#This Row],[PORT]]),PG!C:H,4,0),"NO EXISTE ISEL")</f>
        <v/>
      </c>
      <c r="O170">
        <f>COUNTIF(Statics!G:G,Table5[[#This Row],[PG]])+COUNTIF(Statics!H:H,_xlfn.CONCAT((Table5[[#This Row],[NODE]]),Table5[[#This Row],[PORT]]))</f>
        <v/>
      </c>
      <c r="P170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70">
        <f>COUNTIF(Statics!F:F,Table5[[#This Row],[ID]])+COUNTIF(Statics!F:F,VALUE(Table5[[#This Row],[NODE]]))</f>
        <v/>
      </c>
    </row>
    <row r="171">
      <c r="A171" t="inlineStr">
        <is>
          <t>202</t>
        </is>
      </c>
      <c r="B171" t="inlineStr">
        <is>
          <t>1</t>
        </is>
      </c>
      <c r="C171">
        <f>VLOOKUP(VALUE(Table5[[#This Row],[NODE]]),LEAF_INFO!B:H,6,0)</f>
        <v/>
      </c>
      <c r="D171" t="inlineStr">
        <is>
          <t>eth1/26</t>
        </is>
      </c>
      <c r="E171" t="inlineStr">
        <is>
          <t>down</t>
        </is>
      </c>
      <c r="F171" t="inlineStr">
        <is>
          <t>down</t>
        </is>
      </c>
      <c r="G171">
        <f>VLOOKUP(_xlfn.CONCAT(Table5[[#This Row],[NODE]],Table5[[#This Row],[PORT]]),PORTS_!A:G,7,0)</f>
        <v/>
      </c>
      <c r="H171" t="inlineStr"/>
      <c r="I171">
        <f>VLOOKUP(VALUE(Table5[[#This Row],[NODE]]),LEAF_INFO!B:H,7,0)</f>
        <v/>
      </c>
      <c r="J171">
        <f>ISNUMBER(SEARCH("vpc-leaf", SUBSTITUTE(LOWER(K171), "_", "-")))</f>
        <v/>
      </c>
      <c r="K171">
        <f>_xlfn.IFNA(VLOOKUP(VALUE(Table5[[#This Row],[NODE]]), VPC!A:A, 2, 0), "No está en VPC")</f>
        <v/>
      </c>
      <c r="L171">
        <f>IF(OR(ISNUMBER(SEARCH("VPC-Leaf", K171)), ISNUMBER(SEARCH("VPC_Leaf", K171))),SUBSTITUTE(SUBSTITUTE(SUBSTITUTE(K171, "VPC-Leaf", ""), "VPC_Leaf", ""), "_", "-"),A171)</f>
        <v/>
      </c>
      <c r="M171">
        <f>_xlfn.IFNA(VLOOKUP(_xlfn.CONCAT(VALUE(Table5[[#This Row],[NODE]]),Table5[[#This Row],[PORT]]),PG!C:H,6,0),"NO EXISTE PG")</f>
        <v/>
      </c>
      <c r="N171">
        <f>_xlfn.IFNA(VLOOKUP(_xlfn.CONCAT(VALUE(Table5[[#This Row],[NODE]]),Table5[[#This Row],[PORT]]),PG!C:H,4,0),"NO EXISTE ISEL")</f>
        <v/>
      </c>
      <c r="O171">
        <f>COUNTIF(Statics!G:G,Table5[[#This Row],[PG]])+COUNTIF(Statics!H:H,_xlfn.CONCAT((Table5[[#This Row],[NODE]]),Table5[[#This Row],[PORT]]))</f>
        <v/>
      </c>
      <c r="P171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71">
        <f>COUNTIF(Statics!F:F,Table5[[#This Row],[ID]])+COUNTIF(Statics!F:F,VALUE(Table5[[#This Row],[NODE]]))</f>
        <v/>
      </c>
    </row>
    <row r="172">
      <c r="A172" t="inlineStr">
        <is>
          <t>202</t>
        </is>
      </c>
      <c r="B172" t="inlineStr">
        <is>
          <t>1</t>
        </is>
      </c>
      <c r="C172">
        <f>VLOOKUP(VALUE(Table5[[#This Row],[NODE]]),LEAF_INFO!B:H,6,0)</f>
        <v/>
      </c>
      <c r="D172" t="inlineStr">
        <is>
          <t>eth1/27</t>
        </is>
      </c>
      <c r="E172" t="inlineStr">
        <is>
          <t>down</t>
        </is>
      </c>
      <c r="F172" t="inlineStr">
        <is>
          <t>down</t>
        </is>
      </c>
      <c r="G172">
        <f>VLOOKUP(_xlfn.CONCAT(Table5[[#This Row],[NODE]],Table5[[#This Row],[PORT]]),PORTS_!A:G,7,0)</f>
        <v/>
      </c>
      <c r="H172" t="inlineStr"/>
      <c r="I172">
        <f>VLOOKUP(VALUE(Table5[[#This Row],[NODE]]),LEAF_INFO!B:H,7,0)</f>
        <v/>
      </c>
      <c r="J172">
        <f>ISNUMBER(SEARCH("vpc-leaf", SUBSTITUTE(LOWER(K172), "_", "-")))</f>
        <v/>
      </c>
      <c r="K172">
        <f>_xlfn.IFNA(VLOOKUP(VALUE(Table5[[#This Row],[NODE]]), VPC!A:A, 2, 0), "No está en VPC")</f>
        <v/>
      </c>
      <c r="L172">
        <f>IF(OR(ISNUMBER(SEARCH("VPC-Leaf", K172)), ISNUMBER(SEARCH("VPC_Leaf", K172))),SUBSTITUTE(SUBSTITUTE(SUBSTITUTE(K172, "VPC-Leaf", ""), "VPC_Leaf", ""), "_", "-"),A172)</f>
        <v/>
      </c>
      <c r="M172">
        <f>_xlfn.IFNA(VLOOKUP(_xlfn.CONCAT(VALUE(Table5[[#This Row],[NODE]]),Table5[[#This Row],[PORT]]),PG!C:H,6,0),"NO EXISTE PG")</f>
        <v/>
      </c>
      <c r="N172">
        <f>_xlfn.IFNA(VLOOKUP(_xlfn.CONCAT(VALUE(Table5[[#This Row],[NODE]]),Table5[[#This Row],[PORT]]),PG!C:H,4,0),"NO EXISTE ISEL")</f>
        <v/>
      </c>
      <c r="O172">
        <f>COUNTIF(Statics!G:G,Table5[[#This Row],[PG]])+COUNTIF(Statics!H:H,_xlfn.CONCAT((Table5[[#This Row],[NODE]]),Table5[[#This Row],[PORT]]))</f>
        <v/>
      </c>
      <c r="P172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72">
        <f>COUNTIF(Statics!F:F,Table5[[#This Row],[ID]])+COUNTIF(Statics!F:F,VALUE(Table5[[#This Row],[NODE]]))</f>
        <v/>
      </c>
    </row>
    <row r="173">
      <c r="A173" t="inlineStr">
        <is>
          <t>202</t>
        </is>
      </c>
      <c r="B173" t="inlineStr">
        <is>
          <t>1</t>
        </is>
      </c>
      <c r="C173">
        <f>VLOOKUP(VALUE(Table5[[#This Row],[NODE]]),LEAF_INFO!B:H,6,0)</f>
        <v/>
      </c>
      <c r="D173" t="inlineStr">
        <is>
          <t>eth1/28</t>
        </is>
      </c>
      <c r="E173" t="inlineStr">
        <is>
          <t>down</t>
        </is>
      </c>
      <c r="F173" t="inlineStr">
        <is>
          <t>down</t>
        </is>
      </c>
      <c r="G173">
        <f>VLOOKUP(_xlfn.CONCAT(Table5[[#This Row],[NODE]],Table5[[#This Row],[PORT]]),PORTS_!A:G,7,0)</f>
        <v/>
      </c>
      <c r="H173" t="inlineStr"/>
      <c r="I173">
        <f>VLOOKUP(VALUE(Table5[[#This Row],[NODE]]),LEAF_INFO!B:H,7,0)</f>
        <v/>
      </c>
      <c r="J173">
        <f>ISNUMBER(SEARCH("vpc-leaf", SUBSTITUTE(LOWER(K173), "_", "-")))</f>
        <v/>
      </c>
      <c r="K173">
        <f>_xlfn.IFNA(VLOOKUP(VALUE(Table5[[#This Row],[NODE]]), VPC!A:A, 2, 0), "No está en VPC")</f>
        <v/>
      </c>
      <c r="L173">
        <f>IF(OR(ISNUMBER(SEARCH("VPC-Leaf", K173)), ISNUMBER(SEARCH("VPC_Leaf", K173))),SUBSTITUTE(SUBSTITUTE(SUBSTITUTE(K173, "VPC-Leaf", ""), "VPC_Leaf", ""), "_", "-"),A173)</f>
        <v/>
      </c>
      <c r="M173">
        <f>_xlfn.IFNA(VLOOKUP(_xlfn.CONCAT(VALUE(Table5[[#This Row],[NODE]]),Table5[[#This Row],[PORT]]),PG!C:H,6,0),"NO EXISTE PG")</f>
        <v/>
      </c>
      <c r="N173">
        <f>_xlfn.IFNA(VLOOKUP(_xlfn.CONCAT(VALUE(Table5[[#This Row],[NODE]]),Table5[[#This Row],[PORT]]),PG!C:H,4,0),"NO EXISTE ISEL")</f>
        <v/>
      </c>
      <c r="O173">
        <f>COUNTIF(Statics!G:G,Table5[[#This Row],[PG]])+COUNTIF(Statics!H:H,_xlfn.CONCAT((Table5[[#This Row],[NODE]]),Table5[[#This Row],[PORT]]))</f>
        <v/>
      </c>
      <c r="P173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73">
        <f>COUNTIF(Statics!F:F,Table5[[#This Row],[ID]])+COUNTIF(Statics!F:F,VALUE(Table5[[#This Row],[NODE]]))</f>
        <v/>
      </c>
    </row>
    <row r="174">
      <c r="A174" t="inlineStr">
        <is>
          <t>202</t>
        </is>
      </c>
      <c r="B174" t="inlineStr">
        <is>
          <t>1</t>
        </is>
      </c>
      <c r="C174">
        <f>VLOOKUP(VALUE(Table5[[#This Row],[NODE]]),LEAF_INFO!B:H,6,0)</f>
        <v/>
      </c>
      <c r="D174" t="inlineStr">
        <is>
          <t>eth1/29</t>
        </is>
      </c>
      <c r="E174" t="inlineStr">
        <is>
          <t>down</t>
        </is>
      </c>
      <c r="F174" t="inlineStr">
        <is>
          <t>down</t>
        </is>
      </c>
      <c r="G174">
        <f>VLOOKUP(_xlfn.CONCAT(Table5[[#This Row],[NODE]],Table5[[#This Row],[PORT]]),PORTS_!A:G,7,0)</f>
        <v/>
      </c>
      <c r="H174" t="inlineStr"/>
      <c r="I174">
        <f>VLOOKUP(VALUE(Table5[[#This Row],[NODE]]),LEAF_INFO!B:H,7,0)</f>
        <v/>
      </c>
      <c r="J174">
        <f>ISNUMBER(SEARCH("vpc-leaf", SUBSTITUTE(LOWER(K174), "_", "-")))</f>
        <v/>
      </c>
      <c r="K174">
        <f>_xlfn.IFNA(VLOOKUP(VALUE(Table5[[#This Row],[NODE]]), VPC!A:A, 2, 0), "No está en VPC")</f>
        <v/>
      </c>
      <c r="L174">
        <f>IF(OR(ISNUMBER(SEARCH("VPC-Leaf", K174)), ISNUMBER(SEARCH("VPC_Leaf", K174))),SUBSTITUTE(SUBSTITUTE(SUBSTITUTE(K174, "VPC-Leaf", ""), "VPC_Leaf", ""), "_", "-"),A174)</f>
        <v/>
      </c>
      <c r="M174">
        <f>_xlfn.IFNA(VLOOKUP(_xlfn.CONCAT(VALUE(Table5[[#This Row],[NODE]]),Table5[[#This Row],[PORT]]),PG!C:H,6,0),"NO EXISTE PG")</f>
        <v/>
      </c>
      <c r="N174">
        <f>_xlfn.IFNA(VLOOKUP(_xlfn.CONCAT(VALUE(Table5[[#This Row],[NODE]]),Table5[[#This Row],[PORT]]),PG!C:H,4,0),"NO EXISTE ISEL")</f>
        <v/>
      </c>
      <c r="O174">
        <f>COUNTIF(Statics!G:G,Table5[[#This Row],[PG]])+COUNTIF(Statics!H:H,_xlfn.CONCAT((Table5[[#This Row],[NODE]]),Table5[[#This Row],[PORT]]))</f>
        <v/>
      </c>
      <c r="P174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74">
        <f>COUNTIF(Statics!F:F,Table5[[#This Row],[ID]])+COUNTIF(Statics!F:F,VALUE(Table5[[#This Row],[NODE]]))</f>
        <v/>
      </c>
    </row>
    <row r="175">
      <c r="A175" t="inlineStr">
        <is>
          <t>202</t>
        </is>
      </c>
      <c r="B175" t="inlineStr">
        <is>
          <t>1</t>
        </is>
      </c>
      <c r="C175">
        <f>VLOOKUP(VALUE(Table5[[#This Row],[NODE]]),LEAF_INFO!B:H,6,0)</f>
        <v/>
      </c>
      <c r="D175" t="inlineStr">
        <is>
          <t>eth1/30</t>
        </is>
      </c>
      <c r="E175" t="inlineStr">
        <is>
          <t>down</t>
        </is>
      </c>
      <c r="F175" t="inlineStr">
        <is>
          <t>down</t>
        </is>
      </c>
      <c r="G175">
        <f>VLOOKUP(_xlfn.CONCAT(Table5[[#This Row],[NODE]],Table5[[#This Row],[PORT]]),PORTS_!A:G,7,0)</f>
        <v/>
      </c>
      <c r="H175" t="inlineStr"/>
      <c r="I175">
        <f>VLOOKUP(VALUE(Table5[[#This Row],[NODE]]),LEAF_INFO!B:H,7,0)</f>
        <v/>
      </c>
      <c r="J175">
        <f>ISNUMBER(SEARCH("vpc-leaf", SUBSTITUTE(LOWER(K175), "_", "-")))</f>
        <v/>
      </c>
      <c r="K175">
        <f>_xlfn.IFNA(VLOOKUP(VALUE(Table5[[#This Row],[NODE]]), VPC!A:A, 2, 0), "No está en VPC")</f>
        <v/>
      </c>
      <c r="L175">
        <f>IF(OR(ISNUMBER(SEARCH("VPC-Leaf", K175)), ISNUMBER(SEARCH("VPC_Leaf", K175))),SUBSTITUTE(SUBSTITUTE(SUBSTITUTE(K175, "VPC-Leaf", ""), "VPC_Leaf", ""), "_", "-"),A175)</f>
        <v/>
      </c>
      <c r="M175">
        <f>_xlfn.IFNA(VLOOKUP(_xlfn.CONCAT(VALUE(Table5[[#This Row],[NODE]]),Table5[[#This Row],[PORT]]),PG!C:H,6,0),"NO EXISTE PG")</f>
        <v/>
      </c>
      <c r="N175">
        <f>_xlfn.IFNA(VLOOKUP(_xlfn.CONCAT(VALUE(Table5[[#This Row],[NODE]]),Table5[[#This Row],[PORT]]),PG!C:H,4,0),"NO EXISTE ISEL")</f>
        <v/>
      </c>
      <c r="O175">
        <f>COUNTIF(Statics!G:G,Table5[[#This Row],[PG]])+COUNTIF(Statics!H:H,_xlfn.CONCAT((Table5[[#This Row],[NODE]]),Table5[[#This Row],[PORT]]))</f>
        <v/>
      </c>
      <c r="P175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75">
        <f>COUNTIF(Statics!F:F,Table5[[#This Row],[ID]])+COUNTIF(Statics!F:F,VALUE(Table5[[#This Row],[NODE]]))</f>
        <v/>
      </c>
    </row>
    <row r="176">
      <c r="A176" t="inlineStr">
        <is>
          <t>202</t>
        </is>
      </c>
      <c r="B176" t="inlineStr">
        <is>
          <t>1</t>
        </is>
      </c>
      <c r="C176">
        <f>VLOOKUP(VALUE(Table5[[#This Row],[NODE]]),LEAF_INFO!B:H,6,0)</f>
        <v/>
      </c>
      <c r="D176" t="inlineStr">
        <is>
          <t>eth1/31</t>
        </is>
      </c>
      <c r="E176" t="inlineStr">
        <is>
          <t>down</t>
        </is>
      </c>
      <c r="F176" t="inlineStr">
        <is>
          <t>down</t>
        </is>
      </c>
      <c r="G176">
        <f>VLOOKUP(_xlfn.CONCAT(Table5[[#This Row],[NODE]],Table5[[#This Row],[PORT]]),PORTS_!A:G,7,0)</f>
        <v/>
      </c>
      <c r="H176" t="inlineStr"/>
      <c r="I176">
        <f>VLOOKUP(VALUE(Table5[[#This Row],[NODE]]),LEAF_INFO!B:H,7,0)</f>
        <v/>
      </c>
      <c r="J176">
        <f>ISNUMBER(SEARCH("vpc-leaf", SUBSTITUTE(LOWER(K176), "_", "-")))</f>
        <v/>
      </c>
      <c r="K176">
        <f>_xlfn.IFNA(VLOOKUP(VALUE(Table5[[#This Row],[NODE]]), VPC!A:A, 2, 0), "No está en VPC")</f>
        <v/>
      </c>
      <c r="L176">
        <f>IF(OR(ISNUMBER(SEARCH("VPC-Leaf", K176)), ISNUMBER(SEARCH("VPC_Leaf", K176))),SUBSTITUTE(SUBSTITUTE(SUBSTITUTE(K176, "VPC-Leaf", ""), "VPC_Leaf", ""), "_", "-"),A176)</f>
        <v/>
      </c>
      <c r="M176">
        <f>_xlfn.IFNA(VLOOKUP(_xlfn.CONCAT(VALUE(Table5[[#This Row],[NODE]]),Table5[[#This Row],[PORT]]),PG!C:H,6,0),"NO EXISTE PG")</f>
        <v/>
      </c>
      <c r="N176">
        <f>_xlfn.IFNA(VLOOKUP(_xlfn.CONCAT(VALUE(Table5[[#This Row],[NODE]]),Table5[[#This Row],[PORT]]),PG!C:H,4,0),"NO EXISTE ISEL")</f>
        <v/>
      </c>
      <c r="O176">
        <f>COUNTIF(Statics!G:G,Table5[[#This Row],[PG]])+COUNTIF(Statics!H:H,_xlfn.CONCAT((Table5[[#This Row],[NODE]]),Table5[[#This Row],[PORT]]))</f>
        <v/>
      </c>
      <c r="P176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76">
        <f>COUNTIF(Statics!F:F,Table5[[#This Row],[ID]])+COUNTIF(Statics!F:F,VALUE(Table5[[#This Row],[NODE]]))</f>
        <v/>
      </c>
    </row>
    <row r="177">
      <c r="A177" t="inlineStr">
        <is>
          <t>202</t>
        </is>
      </c>
      <c r="B177" t="inlineStr">
        <is>
          <t>1</t>
        </is>
      </c>
      <c r="C177">
        <f>VLOOKUP(VALUE(Table5[[#This Row],[NODE]]),LEAF_INFO!B:H,6,0)</f>
        <v/>
      </c>
      <c r="D177" t="inlineStr">
        <is>
          <t>eth1/32</t>
        </is>
      </c>
      <c r="E177" t="inlineStr">
        <is>
          <t>down</t>
        </is>
      </c>
      <c r="F177" t="inlineStr">
        <is>
          <t>down</t>
        </is>
      </c>
      <c r="G177">
        <f>VLOOKUP(_xlfn.CONCAT(Table5[[#This Row],[NODE]],Table5[[#This Row],[PORT]]),PORTS_!A:G,7,0)</f>
        <v/>
      </c>
      <c r="H177" t="inlineStr"/>
      <c r="I177">
        <f>VLOOKUP(VALUE(Table5[[#This Row],[NODE]]),LEAF_INFO!B:H,7,0)</f>
        <v/>
      </c>
      <c r="J177">
        <f>ISNUMBER(SEARCH("vpc-leaf", SUBSTITUTE(LOWER(K177), "_", "-")))</f>
        <v/>
      </c>
      <c r="K177">
        <f>_xlfn.IFNA(VLOOKUP(VALUE(Table5[[#This Row],[NODE]]), VPC!A:A, 2, 0), "No está en VPC")</f>
        <v/>
      </c>
      <c r="L177">
        <f>IF(OR(ISNUMBER(SEARCH("VPC-Leaf", K177)), ISNUMBER(SEARCH("VPC_Leaf", K177))),SUBSTITUTE(SUBSTITUTE(SUBSTITUTE(K177, "VPC-Leaf", ""), "VPC_Leaf", ""), "_", "-"),A177)</f>
        <v/>
      </c>
      <c r="M177">
        <f>_xlfn.IFNA(VLOOKUP(_xlfn.CONCAT(VALUE(Table5[[#This Row],[NODE]]),Table5[[#This Row],[PORT]]),PG!C:H,6,0),"NO EXISTE PG")</f>
        <v/>
      </c>
      <c r="N177">
        <f>_xlfn.IFNA(VLOOKUP(_xlfn.CONCAT(VALUE(Table5[[#This Row],[NODE]]),Table5[[#This Row],[PORT]]),PG!C:H,4,0),"NO EXISTE ISEL")</f>
        <v/>
      </c>
      <c r="O177">
        <f>COUNTIF(Statics!G:G,Table5[[#This Row],[PG]])+COUNTIF(Statics!H:H,_xlfn.CONCAT((Table5[[#This Row],[NODE]]),Table5[[#This Row],[PORT]]))</f>
        <v/>
      </c>
      <c r="P177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77">
        <f>COUNTIF(Statics!F:F,Table5[[#This Row],[ID]])+COUNTIF(Statics!F:F,VALUE(Table5[[#This Row],[NODE]]))</f>
        <v/>
      </c>
    </row>
    <row r="178">
      <c r="A178" t="inlineStr">
        <is>
          <t>151</t>
        </is>
      </c>
      <c r="B178" t="inlineStr">
        <is>
          <t>1</t>
        </is>
      </c>
      <c r="C178">
        <f>VLOOKUP(VALUE(Table5[[#This Row],[NODE]]),LEAF_INFO!B:H,6,0)</f>
        <v/>
      </c>
      <c r="D178" t="inlineStr">
        <is>
          <t>eth1/33</t>
        </is>
      </c>
      <c r="E178" t="inlineStr">
        <is>
          <t>up</t>
        </is>
      </c>
      <c r="F178" t="inlineStr">
        <is>
          <t>up</t>
        </is>
      </c>
      <c r="G178">
        <f>VLOOKUP(_xlfn.CONCAT(Table5[[#This Row],[NODE]],Table5[[#This Row],[PORT]]),PORTS_!A:G,7,0)</f>
        <v/>
      </c>
      <c r="H178" t="inlineStr">
        <is>
          <t>HACIA_SALA_OYM_CUBICULO4</t>
        </is>
      </c>
      <c r="I178">
        <f>VLOOKUP(VALUE(Table5[[#This Row],[NODE]]),LEAF_INFO!B:H,7,0)</f>
        <v/>
      </c>
      <c r="J178">
        <f>ISNUMBER(SEARCH("vpc-leaf", SUBSTITUTE(LOWER(K178), "_", "-")))</f>
        <v/>
      </c>
      <c r="K178">
        <f>_xlfn.IFNA(VLOOKUP(VALUE(Table5[[#This Row],[NODE]]), VPC!A:A, 2, 0), "No está en VPC")</f>
        <v/>
      </c>
      <c r="L178">
        <f>IF(OR(ISNUMBER(SEARCH("VPC-Leaf", K178)), ISNUMBER(SEARCH("VPC_Leaf", K178))),SUBSTITUTE(SUBSTITUTE(SUBSTITUTE(K178, "VPC-Leaf", ""), "VPC_Leaf", ""), "_", "-"),A178)</f>
        <v/>
      </c>
      <c r="M178">
        <f>_xlfn.IFNA(VLOOKUP(_xlfn.CONCAT(VALUE(Table5[[#This Row],[NODE]]),Table5[[#This Row],[PORT]]),PG!C:H,6,0),"NO EXISTE PG")</f>
        <v/>
      </c>
      <c r="N178">
        <f>_xlfn.IFNA(VLOOKUP(_xlfn.CONCAT(VALUE(Table5[[#This Row],[NODE]]),Table5[[#This Row],[PORT]]),PG!C:H,4,0),"NO EXISTE ISEL")</f>
        <v/>
      </c>
      <c r="O178">
        <f>COUNTIF(Statics!G:G,Table5[[#This Row],[PG]])+COUNTIF(Statics!H:H,_xlfn.CONCAT((Table5[[#This Row],[NODE]]),Table5[[#This Row],[PORT]]))</f>
        <v/>
      </c>
      <c r="P178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78">
        <f>COUNTIF(Statics!F:F,Table5[[#This Row],[ID]])+COUNTIF(Statics!F:F,VALUE(Table5[[#This Row],[NODE]]))</f>
        <v/>
      </c>
    </row>
    <row r="179">
      <c r="A179" t="inlineStr">
        <is>
          <t>151</t>
        </is>
      </c>
      <c r="B179" t="inlineStr">
        <is>
          <t>1</t>
        </is>
      </c>
      <c r="C179">
        <f>VLOOKUP(VALUE(Table5[[#This Row],[NODE]]),LEAF_INFO!B:H,6,0)</f>
        <v/>
      </c>
      <c r="D179" t="inlineStr">
        <is>
          <t>eth1/34</t>
        </is>
      </c>
      <c r="E179" t="inlineStr">
        <is>
          <t>up</t>
        </is>
      </c>
      <c r="F179" t="inlineStr">
        <is>
          <t>up</t>
        </is>
      </c>
      <c r="G179">
        <f>VLOOKUP(_xlfn.CONCAT(Table5[[#This Row],[NODE]],Table5[[#This Row],[PORT]]),PORTS_!A:G,7,0)</f>
        <v/>
      </c>
      <c r="H179" t="inlineStr">
        <is>
          <t>HACIA_SALA_OYM_CUBICULO1</t>
        </is>
      </c>
      <c r="I179">
        <f>VLOOKUP(VALUE(Table5[[#This Row],[NODE]]),LEAF_INFO!B:H,7,0)</f>
        <v/>
      </c>
      <c r="J179">
        <f>ISNUMBER(SEARCH("vpc-leaf", SUBSTITUTE(LOWER(K179), "_", "-")))</f>
        <v/>
      </c>
      <c r="K179">
        <f>_xlfn.IFNA(VLOOKUP(VALUE(Table5[[#This Row],[NODE]]), VPC!A:A, 2, 0), "No está en VPC")</f>
        <v/>
      </c>
      <c r="L179">
        <f>IF(OR(ISNUMBER(SEARCH("VPC-Leaf", K179)), ISNUMBER(SEARCH("VPC_Leaf", K179))),SUBSTITUTE(SUBSTITUTE(SUBSTITUTE(K179, "VPC-Leaf", ""), "VPC_Leaf", ""), "_", "-"),A179)</f>
        <v/>
      </c>
      <c r="M179">
        <f>_xlfn.IFNA(VLOOKUP(_xlfn.CONCAT(VALUE(Table5[[#This Row],[NODE]]),Table5[[#This Row],[PORT]]),PG!C:H,6,0),"NO EXISTE PG")</f>
        <v/>
      </c>
      <c r="N179">
        <f>_xlfn.IFNA(VLOOKUP(_xlfn.CONCAT(VALUE(Table5[[#This Row],[NODE]]),Table5[[#This Row],[PORT]]),PG!C:H,4,0),"NO EXISTE ISEL")</f>
        <v/>
      </c>
      <c r="O179">
        <f>COUNTIF(Statics!G:G,Table5[[#This Row],[PG]])+COUNTIF(Statics!H:H,_xlfn.CONCAT((Table5[[#This Row],[NODE]]),Table5[[#This Row],[PORT]]))</f>
        <v/>
      </c>
      <c r="P179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79">
        <f>COUNTIF(Statics!F:F,Table5[[#This Row],[ID]])+COUNTIF(Statics!F:F,VALUE(Table5[[#This Row],[NODE]]))</f>
        <v/>
      </c>
    </row>
    <row r="180">
      <c r="A180" t="inlineStr">
        <is>
          <t>151</t>
        </is>
      </c>
      <c r="B180" t="inlineStr">
        <is>
          <t>1</t>
        </is>
      </c>
      <c r="C180">
        <f>VLOOKUP(VALUE(Table5[[#This Row],[NODE]]),LEAF_INFO!B:H,6,0)</f>
        <v/>
      </c>
      <c r="D180" t="inlineStr">
        <is>
          <t>eth1/35</t>
        </is>
      </c>
      <c r="E180" t="inlineStr">
        <is>
          <t>down</t>
        </is>
      </c>
      <c r="F180" t="inlineStr">
        <is>
          <t>down</t>
        </is>
      </c>
      <c r="G180">
        <f>VLOOKUP(_xlfn.CONCAT(Table5[[#This Row],[NODE]],Table5[[#This Row],[PORT]]),PORTS_!A:G,7,0)</f>
        <v/>
      </c>
      <c r="H180" t="inlineStr"/>
      <c r="I180">
        <f>VLOOKUP(VALUE(Table5[[#This Row],[NODE]]),LEAF_INFO!B:H,7,0)</f>
        <v/>
      </c>
      <c r="J180">
        <f>ISNUMBER(SEARCH("vpc-leaf", SUBSTITUTE(LOWER(K180), "_", "-")))</f>
        <v/>
      </c>
      <c r="K180">
        <f>_xlfn.IFNA(VLOOKUP(VALUE(Table5[[#This Row],[NODE]]), VPC!A:A, 2, 0), "No está en VPC")</f>
        <v/>
      </c>
      <c r="L180">
        <f>IF(OR(ISNUMBER(SEARCH("VPC-Leaf", K180)), ISNUMBER(SEARCH("VPC_Leaf", K180))),SUBSTITUTE(SUBSTITUTE(SUBSTITUTE(K180, "VPC-Leaf", ""), "VPC_Leaf", ""), "_", "-"),A180)</f>
        <v/>
      </c>
      <c r="M180">
        <f>_xlfn.IFNA(VLOOKUP(_xlfn.CONCAT(VALUE(Table5[[#This Row],[NODE]]),Table5[[#This Row],[PORT]]),PG!C:H,6,0),"NO EXISTE PG")</f>
        <v/>
      </c>
      <c r="N180">
        <f>_xlfn.IFNA(VLOOKUP(_xlfn.CONCAT(VALUE(Table5[[#This Row],[NODE]]),Table5[[#This Row],[PORT]]),PG!C:H,4,0),"NO EXISTE ISEL")</f>
        <v/>
      </c>
      <c r="O180">
        <f>COUNTIF(Statics!G:G,Table5[[#This Row],[PG]])+COUNTIF(Statics!H:H,_xlfn.CONCAT((Table5[[#This Row],[NODE]]),Table5[[#This Row],[PORT]]))</f>
        <v/>
      </c>
      <c r="P180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80">
        <f>COUNTIF(Statics!F:F,Table5[[#This Row],[ID]])+COUNTIF(Statics!F:F,VALUE(Table5[[#This Row],[NODE]]))</f>
        <v/>
      </c>
    </row>
    <row r="181">
      <c r="A181" t="inlineStr">
        <is>
          <t>151</t>
        </is>
      </c>
      <c r="B181" t="inlineStr">
        <is>
          <t>1</t>
        </is>
      </c>
      <c r="C181">
        <f>VLOOKUP(VALUE(Table5[[#This Row],[NODE]]),LEAF_INFO!B:H,6,0)</f>
        <v/>
      </c>
      <c r="D181" t="inlineStr">
        <is>
          <t>eth1/36</t>
        </is>
      </c>
      <c r="E181" t="inlineStr">
        <is>
          <t>down</t>
        </is>
      </c>
      <c r="F181" t="inlineStr">
        <is>
          <t>down</t>
        </is>
      </c>
      <c r="G181">
        <f>VLOOKUP(_xlfn.CONCAT(Table5[[#This Row],[NODE]],Table5[[#This Row],[PORT]]),PORTS_!A:G,7,0)</f>
        <v/>
      </c>
      <c r="H181" t="inlineStr"/>
      <c r="I181">
        <f>VLOOKUP(VALUE(Table5[[#This Row],[NODE]]),LEAF_INFO!B:H,7,0)</f>
        <v/>
      </c>
      <c r="J181">
        <f>ISNUMBER(SEARCH("vpc-leaf", SUBSTITUTE(LOWER(K181), "_", "-")))</f>
        <v/>
      </c>
      <c r="K181">
        <f>_xlfn.IFNA(VLOOKUP(VALUE(Table5[[#This Row],[NODE]]), VPC!A:A, 2, 0), "No está en VPC")</f>
        <v/>
      </c>
      <c r="L181">
        <f>IF(OR(ISNUMBER(SEARCH("VPC-Leaf", K181)), ISNUMBER(SEARCH("VPC_Leaf", K181))),SUBSTITUTE(SUBSTITUTE(SUBSTITUTE(K181, "VPC-Leaf", ""), "VPC_Leaf", ""), "_", "-"),A181)</f>
        <v/>
      </c>
      <c r="M181">
        <f>_xlfn.IFNA(VLOOKUP(_xlfn.CONCAT(VALUE(Table5[[#This Row],[NODE]]),Table5[[#This Row],[PORT]]),PG!C:H,6,0),"NO EXISTE PG")</f>
        <v/>
      </c>
      <c r="N181">
        <f>_xlfn.IFNA(VLOOKUP(_xlfn.CONCAT(VALUE(Table5[[#This Row],[NODE]]),Table5[[#This Row],[PORT]]),PG!C:H,4,0),"NO EXISTE ISEL")</f>
        <v/>
      </c>
      <c r="O181">
        <f>COUNTIF(Statics!G:G,Table5[[#This Row],[PG]])+COUNTIF(Statics!H:H,_xlfn.CONCAT((Table5[[#This Row],[NODE]]),Table5[[#This Row],[PORT]]))</f>
        <v/>
      </c>
      <c r="P181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81">
        <f>COUNTIF(Statics!F:F,Table5[[#This Row],[ID]])+COUNTIF(Statics!F:F,VALUE(Table5[[#This Row],[NODE]]))</f>
        <v/>
      </c>
    </row>
    <row r="182">
      <c r="A182" t="inlineStr">
        <is>
          <t>151</t>
        </is>
      </c>
      <c r="B182" t="inlineStr">
        <is>
          <t>1</t>
        </is>
      </c>
      <c r="C182">
        <f>VLOOKUP(VALUE(Table5[[#This Row],[NODE]]),LEAF_INFO!B:H,6,0)</f>
        <v/>
      </c>
      <c r="D182" t="inlineStr">
        <is>
          <t>eth1/37</t>
        </is>
      </c>
      <c r="E182" t="inlineStr">
        <is>
          <t>down</t>
        </is>
      </c>
      <c r="F182" t="inlineStr">
        <is>
          <t>down</t>
        </is>
      </c>
      <c r="G182">
        <f>VLOOKUP(_xlfn.CONCAT(Table5[[#This Row],[NODE]],Table5[[#This Row],[PORT]]),PORTS_!A:G,7,0)</f>
        <v/>
      </c>
      <c r="H182" t="inlineStr"/>
      <c r="I182">
        <f>VLOOKUP(VALUE(Table5[[#This Row],[NODE]]),LEAF_INFO!B:H,7,0)</f>
        <v/>
      </c>
      <c r="J182">
        <f>ISNUMBER(SEARCH("vpc-leaf", SUBSTITUTE(LOWER(K182), "_", "-")))</f>
        <v/>
      </c>
      <c r="K182">
        <f>_xlfn.IFNA(VLOOKUP(VALUE(Table5[[#This Row],[NODE]]), VPC!A:A, 2, 0), "No está en VPC")</f>
        <v/>
      </c>
      <c r="L182">
        <f>IF(OR(ISNUMBER(SEARCH("VPC-Leaf", K182)), ISNUMBER(SEARCH("VPC_Leaf", K182))),SUBSTITUTE(SUBSTITUTE(SUBSTITUTE(K182, "VPC-Leaf", ""), "VPC_Leaf", ""), "_", "-"),A182)</f>
        <v/>
      </c>
      <c r="M182">
        <f>_xlfn.IFNA(VLOOKUP(_xlfn.CONCAT(VALUE(Table5[[#This Row],[NODE]]),Table5[[#This Row],[PORT]]),PG!C:H,6,0),"NO EXISTE PG")</f>
        <v/>
      </c>
      <c r="N182">
        <f>_xlfn.IFNA(VLOOKUP(_xlfn.CONCAT(VALUE(Table5[[#This Row],[NODE]]),Table5[[#This Row],[PORT]]),PG!C:H,4,0),"NO EXISTE ISEL")</f>
        <v/>
      </c>
      <c r="O182">
        <f>COUNTIF(Statics!G:G,Table5[[#This Row],[PG]])+COUNTIF(Statics!H:H,_xlfn.CONCAT((Table5[[#This Row],[NODE]]),Table5[[#This Row],[PORT]]))</f>
        <v/>
      </c>
      <c r="P182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82">
        <f>COUNTIF(Statics!F:F,Table5[[#This Row],[ID]])+COUNTIF(Statics!F:F,VALUE(Table5[[#This Row],[NODE]]))</f>
        <v/>
      </c>
    </row>
    <row r="183">
      <c r="A183" t="inlineStr">
        <is>
          <t>151</t>
        </is>
      </c>
      <c r="B183" t="inlineStr">
        <is>
          <t>1</t>
        </is>
      </c>
      <c r="C183">
        <f>VLOOKUP(VALUE(Table5[[#This Row],[NODE]]),LEAF_INFO!B:H,6,0)</f>
        <v/>
      </c>
      <c r="D183" t="inlineStr">
        <is>
          <t>eth1/38</t>
        </is>
      </c>
      <c r="E183" t="inlineStr">
        <is>
          <t>down</t>
        </is>
      </c>
      <c r="F183" t="inlineStr">
        <is>
          <t>down</t>
        </is>
      </c>
      <c r="G183">
        <f>VLOOKUP(_xlfn.CONCAT(Table5[[#This Row],[NODE]],Table5[[#This Row],[PORT]]),PORTS_!A:G,7,0)</f>
        <v/>
      </c>
      <c r="H183" t="inlineStr"/>
      <c r="I183">
        <f>VLOOKUP(VALUE(Table5[[#This Row],[NODE]]),LEAF_INFO!B:H,7,0)</f>
        <v/>
      </c>
      <c r="J183">
        <f>ISNUMBER(SEARCH("vpc-leaf", SUBSTITUTE(LOWER(K183), "_", "-")))</f>
        <v/>
      </c>
      <c r="K183">
        <f>_xlfn.IFNA(VLOOKUP(VALUE(Table5[[#This Row],[NODE]]), VPC!A:A, 2, 0), "No está en VPC")</f>
        <v/>
      </c>
      <c r="L183">
        <f>IF(OR(ISNUMBER(SEARCH("VPC-Leaf", K183)), ISNUMBER(SEARCH("VPC_Leaf", K183))),SUBSTITUTE(SUBSTITUTE(SUBSTITUTE(K183, "VPC-Leaf", ""), "VPC_Leaf", ""), "_", "-"),A183)</f>
        <v/>
      </c>
      <c r="M183">
        <f>_xlfn.IFNA(VLOOKUP(_xlfn.CONCAT(VALUE(Table5[[#This Row],[NODE]]),Table5[[#This Row],[PORT]]),PG!C:H,6,0),"NO EXISTE PG")</f>
        <v/>
      </c>
      <c r="N183">
        <f>_xlfn.IFNA(VLOOKUP(_xlfn.CONCAT(VALUE(Table5[[#This Row],[NODE]]),Table5[[#This Row],[PORT]]),PG!C:H,4,0),"NO EXISTE ISEL")</f>
        <v/>
      </c>
      <c r="O183">
        <f>COUNTIF(Statics!G:G,Table5[[#This Row],[PG]])+COUNTIF(Statics!H:H,_xlfn.CONCAT((Table5[[#This Row],[NODE]]),Table5[[#This Row],[PORT]]))</f>
        <v/>
      </c>
      <c r="P183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83">
        <f>COUNTIF(Statics!F:F,Table5[[#This Row],[ID]])+COUNTIF(Statics!F:F,VALUE(Table5[[#This Row],[NODE]]))</f>
        <v/>
      </c>
    </row>
    <row r="184">
      <c r="A184" t="inlineStr">
        <is>
          <t>151</t>
        </is>
      </c>
      <c r="B184" t="inlineStr">
        <is>
          <t>1</t>
        </is>
      </c>
      <c r="C184">
        <f>VLOOKUP(VALUE(Table5[[#This Row],[NODE]]),LEAF_INFO!B:H,6,0)</f>
        <v/>
      </c>
      <c r="D184" t="inlineStr">
        <is>
          <t>eth1/39</t>
        </is>
      </c>
      <c r="E184" t="inlineStr">
        <is>
          <t>down</t>
        </is>
      </c>
      <c r="F184" t="inlineStr">
        <is>
          <t>down</t>
        </is>
      </c>
      <c r="G184">
        <f>VLOOKUP(_xlfn.CONCAT(Table5[[#This Row],[NODE]],Table5[[#This Row],[PORT]]),PORTS_!A:G,7,0)</f>
        <v/>
      </c>
      <c r="H184" t="inlineStr"/>
      <c r="I184">
        <f>VLOOKUP(VALUE(Table5[[#This Row],[NODE]]),LEAF_INFO!B:H,7,0)</f>
        <v/>
      </c>
      <c r="J184">
        <f>ISNUMBER(SEARCH("vpc-leaf", SUBSTITUTE(LOWER(K184), "_", "-")))</f>
        <v/>
      </c>
      <c r="K184">
        <f>_xlfn.IFNA(VLOOKUP(VALUE(Table5[[#This Row],[NODE]]), VPC!A:A, 2, 0), "No está en VPC")</f>
        <v/>
      </c>
      <c r="L184">
        <f>IF(OR(ISNUMBER(SEARCH("VPC-Leaf", K184)), ISNUMBER(SEARCH("VPC_Leaf", K184))),SUBSTITUTE(SUBSTITUTE(SUBSTITUTE(K184, "VPC-Leaf", ""), "VPC_Leaf", ""), "_", "-"),A184)</f>
        <v/>
      </c>
      <c r="M184">
        <f>_xlfn.IFNA(VLOOKUP(_xlfn.CONCAT(VALUE(Table5[[#This Row],[NODE]]),Table5[[#This Row],[PORT]]),PG!C:H,6,0),"NO EXISTE PG")</f>
        <v/>
      </c>
      <c r="N184">
        <f>_xlfn.IFNA(VLOOKUP(_xlfn.CONCAT(VALUE(Table5[[#This Row],[NODE]]),Table5[[#This Row],[PORT]]),PG!C:H,4,0),"NO EXISTE ISEL")</f>
        <v/>
      </c>
      <c r="O184">
        <f>COUNTIF(Statics!G:G,Table5[[#This Row],[PG]])+COUNTIF(Statics!H:H,_xlfn.CONCAT((Table5[[#This Row],[NODE]]),Table5[[#This Row],[PORT]]))</f>
        <v/>
      </c>
      <c r="P184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84">
        <f>COUNTIF(Statics!F:F,Table5[[#This Row],[ID]])+COUNTIF(Statics!F:F,VALUE(Table5[[#This Row],[NODE]]))</f>
        <v/>
      </c>
    </row>
    <row r="185">
      <c r="A185" t="inlineStr">
        <is>
          <t>151</t>
        </is>
      </c>
      <c r="B185" t="inlineStr">
        <is>
          <t>1</t>
        </is>
      </c>
      <c r="C185">
        <f>VLOOKUP(VALUE(Table5[[#This Row],[NODE]]),LEAF_INFO!B:H,6,0)</f>
        <v/>
      </c>
      <c r="D185" t="inlineStr">
        <is>
          <t>eth1/40</t>
        </is>
      </c>
      <c r="E185" t="inlineStr">
        <is>
          <t>down</t>
        </is>
      </c>
      <c r="F185" t="inlineStr">
        <is>
          <t>down</t>
        </is>
      </c>
      <c r="G185">
        <f>VLOOKUP(_xlfn.CONCAT(Table5[[#This Row],[NODE]],Table5[[#This Row],[PORT]]),PORTS_!A:G,7,0)</f>
        <v/>
      </c>
      <c r="H185" t="inlineStr"/>
      <c r="I185">
        <f>VLOOKUP(VALUE(Table5[[#This Row],[NODE]]),LEAF_INFO!B:H,7,0)</f>
        <v/>
      </c>
      <c r="J185">
        <f>ISNUMBER(SEARCH("vpc-leaf", SUBSTITUTE(LOWER(K185), "_", "-")))</f>
        <v/>
      </c>
      <c r="K185">
        <f>_xlfn.IFNA(VLOOKUP(VALUE(Table5[[#This Row],[NODE]]), VPC!A:A, 2, 0), "No está en VPC")</f>
        <v/>
      </c>
      <c r="L185">
        <f>IF(OR(ISNUMBER(SEARCH("VPC-Leaf", K185)), ISNUMBER(SEARCH("VPC_Leaf", K185))),SUBSTITUTE(SUBSTITUTE(SUBSTITUTE(K185, "VPC-Leaf", ""), "VPC_Leaf", ""), "_", "-"),A185)</f>
        <v/>
      </c>
      <c r="M185">
        <f>_xlfn.IFNA(VLOOKUP(_xlfn.CONCAT(VALUE(Table5[[#This Row],[NODE]]),Table5[[#This Row],[PORT]]),PG!C:H,6,0),"NO EXISTE PG")</f>
        <v/>
      </c>
      <c r="N185">
        <f>_xlfn.IFNA(VLOOKUP(_xlfn.CONCAT(VALUE(Table5[[#This Row],[NODE]]),Table5[[#This Row],[PORT]]),PG!C:H,4,0),"NO EXISTE ISEL")</f>
        <v/>
      </c>
      <c r="O185">
        <f>COUNTIF(Statics!G:G,Table5[[#This Row],[PG]])+COUNTIF(Statics!H:H,_xlfn.CONCAT((Table5[[#This Row],[NODE]]),Table5[[#This Row],[PORT]]))</f>
        <v/>
      </c>
      <c r="P185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85">
        <f>COUNTIF(Statics!F:F,Table5[[#This Row],[ID]])+COUNTIF(Statics!F:F,VALUE(Table5[[#This Row],[NODE]]))</f>
        <v/>
      </c>
    </row>
    <row r="186">
      <c r="A186" t="inlineStr">
        <is>
          <t>151</t>
        </is>
      </c>
      <c r="B186" t="inlineStr">
        <is>
          <t>1</t>
        </is>
      </c>
      <c r="C186">
        <f>VLOOKUP(VALUE(Table5[[#This Row],[NODE]]),LEAF_INFO!B:H,6,0)</f>
        <v/>
      </c>
      <c r="D186" t="inlineStr">
        <is>
          <t>eth1/41</t>
        </is>
      </c>
      <c r="E186" t="inlineStr">
        <is>
          <t>down</t>
        </is>
      </c>
      <c r="F186" t="inlineStr">
        <is>
          <t>down</t>
        </is>
      </c>
      <c r="G186">
        <f>VLOOKUP(_xlfn.CONCAT(Table5[[#This Row],[NODE]],Table5[[#This Row],[PORT]]),PORTS_!A:G,7,0)</f>
        <v/>
      </c>
      <c r="H186" t="inlineStr"/>
      <c r="I186">
        <f>VLOOKUP(VALUE(Table5[[#This Row],[NODE]]),LEAF_INFO!B:H,7,0)</f>
        <v/>
      </c>
      <c r="J186">
        <f>ISNUMBER(SEARCH("vpc-leaf", SUBSTITUTE(LOWER(K186), "_", "-")))</f>
        <v/>
      </c>
      <c r="K186">
        <f>_xlfn.IFNA(VLOOKUP(VALUE(Table5[[#This Row],[NODE]]), VPC!A:A, 2, 0), "No está en VPC")</f>
        <v/>
      </c>
      <c r="L186">
        <f>IF(OR(ISNUMBER(SEARCH("VPC-Leaf", K186)), ISNUMBER(SEARCH("VPC_Leaf", K186))),SUBSTITUTE(SUBSTITUTE(SUBSTITUTE(K186, "VPC-Leaf", ""), "VPC_Leaf", ""), "_", "-"),A186)</f>
        <v/>
      </c>
      <c r="M186">
        <f>_xlfn.IFNA(VLOOKUP(_xlfn.CONCAT(VALUE(Table5[[#This Row],[NODE]]),Table5[[#This Row],[PORT]]),PG!C:H,6,0),"NO EXISTE PG")</f>
        <v/>
      </c>
      <c r="N186">
        <f>_xlfn.IFNA(VLOOKUP(_xlfn.CONCAT(VALUE(Table5[[#This Row],[NODE]]),Table5[[#This Row],[PORT]]),PG!C:H,4,0),"NO EXISTE ISEL")</f>
        <v/>
      </c>
      <c r="O186">
        <f>COUNTIF(Statics!G:G,Table5[[#This Row],[PG]])+COUNTIF(Statics!H:H,_xlfn.CONCAT((Table5[[#This Row],[NODE]]),Table5[[#This Row],[PORT]]))</f>
        <v/>
      </c>
      <c r="P186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86">
        <f>COUNTIF(Statics!F:F,Table5[[#This Row],[ID]])+COUNTIF(Statics!F:F,VALUE(Table5[[#This Row],[NODE]]))</f>
        <v/>
      </c>
    </row>
    <row r="187">
      <c r="A187" t="inlineStr">
        <is>
          <t>151</t>
        </is>
      </c>
      <c r="B187" t="inlineStr">
        <is>
          <t>1</t>
        </is>
      </c>
      <c r="C187">
        <f>VLOOKUP(VALUE(Table5[[#This Row],[NODE]]),LEAF_INFO!B:H,6,0)</f>
        <v/>
      </c>
      <c r="D187" t="inlineStr">
        <is>
          <t>eth1/42</t>
        </is>
      </c>
      <c r="E187" t="inlineStr">
        <is>
          <t>down</t>
        </is>
      </c>
      <c r="F187" t="inlineStr">
        <is>
          <t>down</t>
        </is>
      </c>
      <c r="G187">
        <f>VLOOKUP(_xlfn.CONCAT(Table5[[#This Row],[NODE]],Table5[[#This Row],[PORT]]),PORTS_!A:G,7,0)</f>
        <v/>
      </c>
      <c r="H187" t="inlineStr"/>
      <c r="I187">
        <f>VLOOKUP(VALUE(Table5[[#This Row],[NODE]]),LEAF_INFO!B:H,7,0)</f>
        <v/>
      </c>
      <c r="J187">
        <f>ISNUMBER(SEARCH("vpc-leaf", SUBSTITUTE(LOWER(K187), "_", "-")))</f>
        <v/>
      </c>
      <c r="K187">
        <f>_xlfn.IFNA(VLOOKUP(VALUE(Table5[[#This Row],[NODE]]), VPC!A:A, 2, 0), "No está en VPC")</f>
        <v/>
      </c>
      <c r="L187">
        <f>IF(OR(ISNUMBER(SEARCH("VPC-Leaf", K187)), ISNUMBER(SEARCH("VPC_Leaf", K187))),SUBSTITUTE(SUBSTITUTE(SUBSTITUTE(K187, "VPC-Leaf", ""), "VPC_Leaf", ""), "_", "-"),A187)</f>
        <v/>
      </c>
      <c r="M187">
        <f>_xlfn.IFNA(VLOOKUP(_xlfn.CONCAT(VALUE(Table5[[#This Row],[NODE]]),Table5[[#This Row],[PORT]]),PG!C:H,6,0),"NO EXISTE PG")</f>
        <v/>
      </c>
      <c r="N187">
        <f>_xlfn.IFNA(VLOOKUP(_xlfn.CONCAT(VALUE(Table5[[#This Row],[NODE]]),Table5[[#This Row],[PORT]]),PG!C:H,4,0),"NO EXISTE ISEL")</f>
        <v/>
      </c>
      <c r="O187">
        <f>COUNTIF(Statics!G:G,Table5[[#This Row],[PG]])+COUNTIF(Statics!H:H,_xlfn.CONCAT((Table5[[#This Row],[NODE]]),Table5[[#This Row],[PORT]]))</f>
        <v/>
      </c>
      <c r="P187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87">
        <f>COUNTIF(Statics!F:F,Table5[[#This Row],[ID]])+COUNTIF(Statics!F:F,VALUE(Table5[[#This Row],[NODE]]))</f>
        <v/>
      </c>
    </row>
    <row r="188">
      <c r="A188" t="inlineStr">
        <is>
          <t>151</t>
        </is>
      </c>
      <c r="B188" t="inlineStr">
        <is>
          <t>1</t>
        </is>
      </c>
      <c r="C188">
        <f>VLOOKUP(VALUE(Table5[[#This Row],[NODE]]),LEAF_INFO!B:H,6,0)</f>
        <v/>
      </c>
      <c r="D188" t="inlineStr">
        <is>
          <t>eth1/43</t>
        </is>
      </c>
      <c r="E188" t="inlineStr">
        <is>
          <t>down</t>
        </is>
      </c>
      <c r="F188" t="inlineStr">
        <is>
          <t>down</t>
        </is>
      </c>
      <c r="G188">
        <f>VLOOKUP(_xlfn.CONCAT(Table5[[#This Row],[NODE]],Table5[[#This Row],[PORT]]),PORTS_!A:G,7,0)</f>
        <v/>
      </c>
      <c r="H188" t="inlineStr"/>
      <c r="I188">
        <f>VLOOKUP(VALUE(Table5[[#This Row],[NODE]]),LEAF_INFO!B:H,7,0)</f>
        <v/>
      </c>
      <c r="J188">
        <f>ISNUMBER(SEARCH("vpc-leaf", SUBSTITUTE(LOWER(K188), "_", "-")))</f>
        <v/>
      </c>
      <c r="K188">
        <f>_xlfn.IFNA(VLOOKUP(VALUE(Table5[[#This Row],[NODE]]), VPC!A:A, 2, 0), "No está en VPC")</f>
        <v/>
      </c>
      <c r="L188">
        <f>IF(OR(ISNUMBER(SEARCH("VPC-Leaf", K188)), ISNUMBER(SEARCH("VPC_Leaf", K188))),SUBSTITUTE(SUBSTITUTE(SUBSTITUTE(K188, "VPC-Leaf", ""), "VPC_Leaf", ""), "_", "-"),A188)</f>
        <v/>
      </c>
      <c r="M188">
        <f>_xlfn.IFNA(VLOOKUP(_xlfn.CONCAT(VALUE(Table5[[#This Row],[NODE]]),Table5[[#This Row],[PORT]]),PG!C:H,6,0),"NO EXISTE PG")</f>
        <v/>
      </c>
      <c r="N188">
        <f>_xlfn.IFNA(VLOOKUP(_xlfn.CONCAT(VALUE(Table5[[#This Row],[NODE]]),Table5[[#This Row],[PORT]]),PG!C:H,4,0),"NO EXISTE ISEL")</f>
        <v/>
      </c>
      <c r="O188">
        <f>COUNTIF(Statics!G:G,Table5[[#This Row],[PG]])+COUNTIF(Statics!H:H,_xlfn.CONCAT((Table5[[#This Row],[NODE]]),Table5[[#This Row],[PORT]]))</f>
        <v/>
      </c>
      <c r="P188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88">
        <f>COUNTIF(Statics!F:F,Table5[[#This Row],[ID]])+COUNTIF(Statics!F:F,VALUE(Table5[[#This Row],[NODE]]))</f>
        <v/>
      </c>
    </row>
    <row r="189">
      <c r="A189" t="inlineStr">
        <is>
          <t>151</t>
        </is>
      </c>
      <c r="B189" t="inlineStr">
        <is>
          <t>1</t>
        </is>
      </c>
      <c r="C189">
        <f>VLOOKUP(VALUE(Table5[[#This Row],[NODE]]),LEAF_INFO!B:H,6,0)</f>
        <v/>
      </c>
      <c r="D189" t="inlineStr">
        <is>
          <t>eth1/44</t>
        </is>
      </c>
      <c r="E189" t="inlineStr">
        <is>
          <t>down</t>
        </is>
      </c>
      <c r="F189" t="inlineStr">
        <is>
          <t>down</t>
        </is>
      </c>
      <c r="G189">
        <f>VLOOKUP(_xlfn.CONCAT(Table5[[#This Row],[NODE]],Table5[[#This Row],[PORT]]),PORTS_!A:G,7,0)</f>
        <v/>
      </c>
      <c r="H189" t="inlineStr"/>
      <c r="I189">
        <f>VLOOKUP(VALUE(Table5[[#This Row],[NODE]]),LEAF_INFO!B:H,7,0)</f>
        <v/>
      </c>
      <c r="J189">
        <f>ISNUMBER(SEARCH("vpc-leaf", SUBSTITUTE(LOWER(K189), "_", "-")))</f>
        <v/>
      </c>
      <c r="K189">
        <f>_xlfn.IFNA(VLOOKUP(VALUE(Table5[[#This Row],[NODE]]), VPC!A:A, 2, 0), "No está en VPC")</f>
        <v/>
      </c>
      <c r="L189">
        <f>IF(OR(ISNUMBER(SEARCH("VPC-Leaf", K189)), ISNUMBER(SEARCH("VPC_Leaf", K189))),SUBSTITUTE(SUBSTITUTE(SUBSTITUTE(K189, "VPC-Leaf", ""), "VPC_Leaf", ""), "_", "-"),A189)</f>
        <v/>
      </c>
      <c r="M189">
        <f>_xlfn.IFNA(VLOOKUP(_xlfn.CONCAT(VALUE(Table5[[#This Row],[NODE]]),Table5[[#This Row],[PORT]]),PG!C:H,6,0),"NO EXISTE PG")</f>
        <v/>
      </c>
      <c r="N189">
        <f>_xlfn.IFNA(VLOOKUP(_xlfn.CONCAT(VALUE(Table5[[#This Row],[NODE]]),Table5[[#This Row],[PORT]]),PG!C:H,4,0),"NO EXISTE ISEL")</f>
        <v/>
      </c>
      <c r="O189">
        <f>COUNTIF(Statics!G:G,Table5[[#This Row],[PG]])+COUNTIF(Statics!H:H,_xlfn.CONCAT((Table5[[#This Row],[NODE]]),Table5[[#This Row],[PORT]]))</f>
        <v/>
      </c>
      <c r="P189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89">
        <f>COUNTIF(Statics!F:F,Table5[[#This Row],[ID]])+COUNTIF(Statics!F:F,VALUE(Table5[[#This Row],[NODE]]))</f>
        <v/>
      </c>
    </row>
    <row r="190">
      <c r="A190" t="inlineStr">
        <is>
          <t>151</t>
        </is>
      </c>
      <c r="B190" t="inlineStr">
        <is>
          <t>1</t>
        </is>
      </c>
      <c r="C190">
        <f>VLOOKUP(VALUE(Table5[[#This Row],[NODE]]),LEAF_INFO!B:H,6,0)</f>
        <v/>
      </c>
      <c r="D190" t="inlineStr">
        <is>
          <t>eth1/45</t>
        </is>
      </c>
      <c r="E190" t="inlineStr">
        <is>
          <t>down</t>
        </is>
      </c>
      <c r="F190" t="inlineStr">
        <is>
          <t>down</t>
        </is>
      </c>
      <c r="G190">
        <f>VLOOKUP(_xlfn.CONCAT(Table5[[#This Row],[NODE]],Table5[[#This Row],[PORT]]),PORTS_!A:G,7,0)</f>
        <v/>
      </c>
      <c r="H190" t="inlineStr"/>
      <c r="I190">
        <f>VLOOKUP(VALUE(Table5[[#This Row],[NODE]]),LEAF_INFO!B:H,7,0)</f>
        <v/>
      </c>
      <c r="J190">
        <f>ISNUMBER(SEARCH("vpc-leaf", SUBSTITUTE(LOWER(K190), "_", "-")))</f>
        <v/>
      </c>
      <c r="K190">
        <f>_xlfn.IFNA(VLOOKUP(VALUE(Table5[[#This Row],[NODE]]), VPC!A:A, 2, 0), "No está en VPC")</f>
        <v/>
      </c>
      <c r="L190">
        <f>IF(OR(ISNUMBER(SEARCH("VPC-Leaf", K190)), ISNUMBER(SEARCH("VPC_Leaf", K190))),SUBSTITUTE(SUBSTITUTE(SUBSTITUTE(K190, "VPC-Leaf", ""), "VPC_Leaf", ""), "_", "-"),A190)</f>
        <v/>
      </c>
      <c r="M190">
        <f>_xlfn.IFNA(VLOOKUP(_xlfn.CONCAT(VALUE(Table5[[#This Row],[NODE]]),Table5[[#This Row],[PORT]]),PG!C:H,6,0),"NO EXISTE PG")</f>
        <v/>
      </c>
      <c r="N190">
        <f>_xlfn.IFNA(VLOOKUP(_xlfn.CONCAT(VALUE(Table5[[#This Row],[NODE]]),Table5[[#This Row],[PORT]]),PG!C:H,4,0),"NO EXISTE ISEL")</f>
        <v/>
      </c>
      <c r="O190">
        <f>COUNTIF(Statics!G:G,Table5[[#This Row],[PG]])+COUNTIF(Statics!H:H,_xlfn.CONCAT((Table5[[#This Row],[NODE]]),Table5[[#This Row],[PORT]]))</f>
        <v/>
      </c>
      <c r="P190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90">
        <f>COUNTIF(Statics!F:F,Table5[[#This Row],[ID]])+COUNTIF(Statics!F:F,VALUE(Table5[[#This Row],[NODE]]))</f>
        <v/>
      </c>
    </row>
    <row r="191">
      <c r="A191" t="inlineStr">
        <is>
          <t>151</t>
        </is>
      </c>
      <c r="B191" t="inlineStr">
        <is>
          <t>1</t>
        </is>
      </c>
      <c r="C191">
        <f>VLOOKUP(VALUE(Table5[[#This Row],[NODE]]),LEAF_INFO!B:H,6,0)</f>
        <v/>
      </c>
      <c r="D191" t="inlineStr">
        <is>
          <t>eth1/46</t>
        </is>
      </c>
      <c r="E191" t="inlineStr">
        <is>
          <t>down</t>
        </is>
      </c>
      <c r="F191" t="inlineStr">
        <is>
          <t>down</t>
        </is>
      </c>
      <c r="G191">
        <f>VLOOKUP(_xlfn.CONCAT(Table5[[#This Row],[NODE]],Table5[[#This Row],[PORT]]),PORTS_!A:G,7,0)</f>
        <v/>
      </c>
      <c r="H191" t="inlineStr">
        <is>
          <t>TO_MGMT1_2ACIAPICINGENIE03</t>
        </is>
      </c>
      <c r="I191">
        <f>VLOOKUP(VALUE(Table5[[#This Row],[NODE]]),LEAF_INFO!B:H,7,0)</f>
        <v/>
      </c>
      <c r="J191">
        <f>ISNUMBER(SEARCH("vpc-leaf", SUBSTITUTE(LOWER(K191), "_", "-")))</f>
        <v/>
      </c>
      <c r="K191">
        <f>_xlfn.IFNA(VLOOKUP(VALUE(Table5[[#This Row],[NODE]]), VPC!A:A, 2, 0), "No está en VPC")</f>
        <v/>
      </c>
      <c r="L191">
        <f>IF(OR(ISNUMBER(SEARCH("VPC-Leaf", K191)), ISNUMBER(SEARCH("VPC_Leaf", K191))),SUBSTITUTE(SUBSTITUTE(SUBSTITUTE(K191, "VPC-Leaf", ""), "VPC_Leaf", ""), "_", "-"),A191)</f>
        <v/>
      </c>
      <c r="M191">
        <f>_xlfn.IFNA(VLOOKUP(_xlfn.CONCAT(VALUE(Table5[[#This Row],[NODE]]),Table5[[#This Row],[PORT]]),PG!C:H,6,0),"NO EXISTE PG")</f>
        <v/>
      </c>
      <c r="N191">
        <f>_xlfn.IFNA(VLOOKUP(_xlfn.CONCAT(VALUE(Table5[[#This Row],[NODE]]),Table5[[#This Row],[PORT]]),PG!C:H,4,0),"NO EXISTE ISEL")</f>
        <v/>
      </c>
      <c r="O191">
        <f>COUNTIF(Statics!G:G,Table5[[#This Row],[PG]])+COUNTIF(Statics!H:H,_xlfn.CONCAT((Table5[[#This Row],[NODE]]),Table5[[#This Row],[PORT]]))</f>
        <v/>
      </c>
      <c r="P191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91">
        <f>COUNTIF(Statics!F:F,Table5[[#This Row],[ID]])+COUNTIF(Statics!F:F,VALUE(Table5[[#This Row],[NODE]]))</f>
        <v/>
      </c>
    </row>
    <row r="192">
      <c r="A192" t="inlineStr">
        <is>
          <t>151</t>
        </is>
      </c>
      <c r="B192" t="inlineStr">
        <is>
          <t>1</t>
        </is>
      </c>
      <c r="C192">
        <f>VLOOKUP(VALUE(Table5[[#This Row],[NODE]]),LEAF_INFO!B:H,6,0)</f>
        <v/>
      </c>
      <c r="D192" t="inlineStr">
        <is>
          <t>eth1/47</t>
        </is>
      </c>
      <c r="E192" t="inlineStr">
        <is>
          <t>down</t>
        </is>
      </c>
      <c r="F192" t="inlineStr">
        <is>
          <t>down</t>
        </is>
      </c>
      <c r="G192">
        <f>VLOOKUP(_xlfn.CONCAT(Table5[[#This Row],[NODE]],Table5[[#This Row],[PORT]]),PORTS_!A:G,7,0)</f>
        <v/>
      </c>
      <c r="H192" t="inlineStr">
        <is>
          <t>TO_MGMT1_2ACIAPICINGENIE02</t>
        </is>
      </c>
      <c r="I192">
        <f>VLOOKUP(VALUE(Table5[[#This Row],[NODE]]),LEAF_INFO!B:H,7,0)</f>
        <v/>
      </c>
      <c r="J192">
        <f>ISNUMBER(SEARCH("vpc-leaf", SUBSTITUTE(LOWER(K192), "_", "-")))</f>
        <v/>
      </c>
      <c r="K192">
        <f>_xlfn.IFNA(VLOOKUP(VALUE(Table5[[#This Row],[NODE]]), VPC!A:A, 2, 0), "No está en VPC")</f>
        <v/>
      </c>
      <c r="L192">
        <f>IF(OR(ISNUMBER(SEARCH("VPC-Leaf", K192)), ISNUMBER(SEARCH("VPC_Leaf", K192))),SUBSTITUTE(SUBSTITUTE(SUBSTITUTE(K192, "VPC-Leaf", ""), "VPC_Leaf", ""), "_", "-"),A192)</f>
        <v/>
      </c>
      <c r="M192">
        <f>_xlfn.IFNA(VLOOKUP(_xlfn.CONCAT(VALUE(Table5[[#This Row],[NODE]]),Table5[[#This Row],[PORT]]),PG!C:H,6,0),"NO EXISTE PG")</f>
        <v/>
      </c>
      <c r="N192">
        <f>_xlfn.IFNA(VLOOKUP(_xlfn.CONCAT(VALUE(Table5[[#This Row],[NODE]]),Table5[[#This Row],[PORT]]),PG!C:H,4,0),"NO EXISTE ISEL")</f>
        <v/>
      </c>
      <c r="O192">
        <f>COUNTIF(Statics!G:G,Table5[[#This Row],[PG]])+COUNTIF(Statics!H:H,_xlfn.CONCAT((Table5[[#This Row],[NODE]]),Table5[[#This Row],[PORT]]))</f>
        <v/>
      </c>
      <c r="P192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92">
        <f>COUNTIF(Statics!F:F,Table5[[#This Row],[ID]])+COUNTIF(Statics!F:F,VALUE(Table5[[#This Row],[NODE]]))</f>
        <v/>
      </c>
    </row>
    <row r="193">
      <c r="A193" t="inlineStr">
        <is>
          <t>151</t>
        </is>
      </c>
      <c r="B193" t="inlineStr">
        <is>
          <t>1</t>
        </is>
      </c>
      <c r="C193">
        <f>VLOOKUP(VALUE(Table5[[#This Row],[NODE]]),LEAF_INFO!B:H,6,0)</f>
        <v/>
      </c>
      <c r="D193" t="inlineStr">
        <is>
          <t>eth1/48</t>
        </is>
      </c>
      <c r="E193" t="inlineStr">
        <is>
          <t>down</t>
        </is>
      </c>
      <c r="F193" t="inlineStr">
        <is>
          <t>down</t>
        </is>
      </c>
      <c r="G193">
        <f>VLOOKUP(_xlfn.CONCAT(Table5[[#This Row],[NODE]],Table5[[#This Row],[PORT]]),PORTS_!A:G,7,0)</f>
        <v/>
      </c>
      <c r="H193" t="inlineStr">
        <is>
          <t>TO_MGMT1_2ACIAPICINGENIE01</t>
        </is>
      </c>
      <c r="I193">
        <f>VLOOKUP(VALUE(Table5[[#This Row],[NODE]]),LEAF_INFO!B:H,7,0)</f>
        <v/>
      </c>
      <c r="J193">
        <f>ISNUMBER(SEARCH("vpc-leaf", SUBSTITUTE(LOWER(K193), "_", "-")))</f>
        <v/>
      </c>
      <c r="K193">
        <f>_xlfn.IFNA(VLOOKUP(VALUE(Table5[[#This Row],[NODE]]), VPC!A:A, 2, 0), "No está en VPC")</f>
        <v/>
      </c>
      <c r="L193">
        <f>IF(OR(ISNUMBER(SEARCH("VPC-Leaf", K193)), ISNUMBER(SEARCH("VPC_Leaf", K193))),SUBSTITUTE(SUBSTITUTE(SUBSTITUTE(K193, "VPC-Leaf", ""), "VPC_Leaf", ""), "_", "-"),A193)</f>
        <v/>
      </c>
      <c r="M193">
        <f>_xlfn.IFNA(VLOOKUP(_xlfn.CONCAT(VALUE(Table5[[#This Row],[NODE]]),Table5[[#This Row],[PORT]]),PG!C:H,6,0),"NO EXISTE PG")</f>
        <v/>
      </c>
      <c r="N193">
        <f>_xlfn.IFNA(VLOOKUP(_xlfn.CONCAT(VALUE(Table5[[#This Row],[NODE]]),Table5[[#This Row],[PORT]]),PG!C:H,4,0),"NO EXISTE ISEL")</f>
        <v/>
      </c>
      <c r="O193">
        <f>COUNTIF(Statics!G:G,Table5[[#This Row],[PG]])+COUNTIF(Statics!H:H,_xlfn.CONCAT((Table5[[#This Row],[NODE]]),Table5[[#This Row],[PORT]]))</f>
        <v/>
      </c>
      <c r="P193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93">
        <f>COUNTIF(Statics!F:F,Table5[[#This Row],[ID]])+COUNTIF(Statics!F:F,VALUE(Table5[[#This Row],[NODE]]))</f>
        <v/>
      </c>
    </row>
    <row r="194">
      <c r="A194" t="inlineStr">
        <is>
          <t>151</t>
        </is>
      </c>
      <c r="B194" t="inlineStr">
        <is>
          <t>1</t>
        </is>
      </c>
      <c r="C194">
        <f>VLOOKUP(VALUE(Table5[[#This Row],[NODE]]),LEAF_INFO!B:H,6,0)</f>
        <v/>
      </c>
      <c r="D194" t="inlineStr">
        <is>
          <t>eth1/49</t>
        </is>
      </c>
      <c r="E194" t="inlineStr">
        <is>
          <t>down</t>
        </is>
      </c>
      <c r="F194" t="inlineStr">
        <is>
          <t>down</t>
        </is>
      </c>
      <c r="G194">
        <f>VLOOKUP(_xlfn.CONCAT(Table5[[#This Row],[NODE]],Table5[[#This Row],[PORT]]),PORTS_!A:G,7,0)</f>
        <v/>
      </c>
      <c r="H194" t="inlineStr"/>
      <c r="I194">
        <f>VLOOKUP(VALUE(Table5[[#This Row],[NODE]]),LEAF_INFO!B:H,7,0)</f>
        <v/>
      </c>
      <c r="J194">
        <f>ISNUMBER(SEARCH("vpc-leaf", SUBSTITUTE(LOWER(K194), "_", "-")))</f>
        <v/>
      </c>
      <c r="K194">
        <f>_xlfn.IFNA(VLOOKUP(VALUE(Table5[[#This Row],[NODE]]), VPC!A:A, 2, 0), "No está en VPC")</f>
        <v/>
      </c>
      <c r="L194">
        <f>IF(OR(ISNUMBER(SEARCH("VPC-Leaf", K194)), ISNUMBER(SEARCH("VPC_Leaf", K194))),SUBSTITUTE(SUBSTITUTE(SUBSTITUTE(K194, "VPC-Leaf", ""), "VPC_Leaf", ""), "_", "-"),A194)</f>
        <v/>
      </c>
      <c r="M194">
        <f>_xlfn.IFNA(VLOOKUP(_xlfn.CONCAT(VALUE(Table5[[#This Row],[NODE]]),Table5[[#This Row],[PORT]]),PG!C:H,6,0),"NO EXISTE PG")</f>
        <v/>
      </c>
      <c r="N194">
        <f>_xlfn.IFNA(VLOOKUP(_xlfn.CONCAT(VALUE(Table5[[#This Row],[NODE]]),Table5[[#This Row],[PORT]]),PG!C:H,4,0),"NO EXISTE ISEL")</f>
        <v/>
      </c>
      <c r="O194">
        <f>COUNTIF(Statics!G:G,Table5[[#This Row],[PG]])+COUNTIF(Statics!H:H,_xlfn.CONCAT((Table5[[#This Row],[NODE]]),Table5[[#This Row],[PORT]]))</f>
        <v/>
      </c>
      <c r="P194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94">
        <f>COUNTIF(Statics!F:F,Table5[[#This Row],[ID]])+COUNTIF(Statics!F:F,VALUE(Table5[[#This Row],[NODE]]))</f>
        <v/>
      </c>
    </row>
    <row r="195">
      <c r="A195" t="inlineStr">
        <is>
          <t>151</t>
        </is>
      </c>
      <c r="B195" t="inlineStr">
        <is>
          <t>1</t>
        </is>
      </c>
      <c r="C195">
        <f>VLOOKUP(VALUE(Table5[[#This Row],[NODE]]),LEAF_INFO!B:H,6,0)</f>
        <v/>
      </c>
      <c r="D195" t="inlineStr">
        <is>
          <t>eth1/50</t>
        </is>
      </c>
      <c r="E195" t="inlineStr">
        <is>
          <t>down</t>
        </is>
      </c>
      <c r="F195" t="inlineStr">
        <is>
          <t>down</t>
        </is>
      </c>
      <c r="G195">
        <f>VLOOKUP(_xlfn.CONCAT(Table5[[#This Row],[NODE]],Table5[[#This Row],[PORT]]),PORTS_!A:G,7,0)</f>
        <v/>
      </c>
      <c r="H195" t="inlineStr"/>
      <c r="I195">
        <f>VLOOKUP(VALUE(Table5[[#This Row],[NODE]]),LEAF_INFO!B:H,7,0)</f>
        <v/>
      </c>
      <c r="J195">
        <f>ISNUMBER(SEARCH("vpc-leaf", SUBSTITUTE(LOWER(K195), "_", "-")))</f>
        <v/>
      </c>
      <c r="K195">
        <f>_xlfn.IFNA(VLOOKUP(VALUE(Table5[[#This Row],[NODE]]), VPC!A:A, 2, 0), "No está en VPC")</f>
        <v/>
      </c>
      <c r="L195">
        <f>IF(OR(ISNUMBER(SEARCH("VPC-Leaf", K195)), ISNUMBER(SEARCH("VPC_Leaf", K195))),SUBSTITUTE(SUBSTITUTE(SUBSTITUTE(K195, "VPC-Leaf", ""), "VPC_Leaf", ""), "_", "-"),A195)</f>
        <v/>
      </c>
      <c r="M195">
        <f>_xlfn.IFNA(VLOOKUP(_xlfn.CONCAT(VALUE(Table5[[#This Row],[NODE]]),Table5[[#This Row],[PORT]]),PG!C:H,6,0),"NO EXISTE PG")</f>
        <v/>
      </c>
      <c r="N195">
        <f>_xlfn.IFNA(VLOOKUP(_xlfn.CONCAT(VALUE(Table5[[#This Row],[NODE]]),Table5[[#This Row],[PORT]]),PG!C:H,4,0),"NO EXISTE ISEL")</f>
        <v/>
      </c>
      <c r="O195">
        <f>COUNTIF(Statics!G:G,Table5[[#This Row],[PG]])+COUNTIF(Statics!H:H,_xlfn.CONCAT((Table5[[#This Row],[NODE]]),Table5[[#This Row],[PORT]]))</f>
        <v/>
      </c>
      <c r="P195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95">
        <f>COUNTIF(Statics!F:F,Table5[[#This Row],[ID]])+COUNTIF(Statics!F:F,VALUE(Table5[[#This Row],[NODE]]))</f>
        <v/>
      </c>
    </row>
    <row r="196">
      <c r="A196" t="inlineStr">
        <is>
          <t>151</t>
        </is>
      </c>
      <c r="B196" t="inlineStr">
        <is>
          <t>1</t>
        </is>
      </c>
      <c r="C196">
        <f>VLOOKUP(VALUE(Table5[[#This Row],[NODE]]),LEAF_INFO!B:H,6,0)</f>
        <v/>
      </c>
      <c r="D196" t="inlineStr">
        <is>
          <t>eth1/51</t>
        </is>
      </c>
      <c r="E196" t="inlineStr">
        <is>
          <t>down</t>
        </is>
      </c>
      <c r="F196" t="inlineStr">
        <is>
          <t>down</t>
        </is>
      </c>
      <c r="G196">
        <f>VLOOKUP(_xlfn.CONCAT(Table5[[#This Row],[NODE]],Table5[[#This Row],[PORT]]),PORTS_!A:G,7,0)</f>
        <v/>
      </c>
      <c r="H196" t="inlineStr"/>
      <c r="I196">
        <f>VLOOKUP(VALUE(Table5[[#This Row],[NODE]]),LEAF_INFO!B:H,7,0)</f>
        <v/>
      </c>
      <c r="J196">
        <f>ISNUMBER(SEARCH("vpc-leaf", SUBSTITUTE(LOWER(K196), "_", "-")))</f>
        <v/>
      </c>
      <c r="K196">
        <f>_xlfn.IFNA(VLOOKUP(VALUE(Table5[[#This Row],[NODE]]), VPC!A:A, 2, 0), "No está en VPC")</f>
        <v/>
      </c>
      <c r="L196">
        <f>IF(OR(ISNUMBER(SEARCH("VPC-Leaf", K196)), ISNUMBER(SEARCH("VPC_Leaf", K196))),SUBSTITUTE(SUBSTITUTE(SUBSTITUTE(K196, "VPC-Leaf", ""), "VPC_Leaf", ""), "_", "-"),A196)</f>
        <v/>
      </c>
      <c r="M196">
        <f>_xlfn.IFNA(VLOOKUP(_xlfn.CONCAT(VALUE(Table5[[#This Row],[NODE]]),Table5[[#This Row],[PORT]]),PG!C:H,6,0),"NO EXISTE PG")</f>
        <v/>
      </c>
      <c r="N196">
        <f>_xlfn.IFNA(VLOOKUP(_xlfn.CONCAT(VALUE(Table5[[#This Row],[NODE]]),Table5[[#This Row],[PORT]]),PG!C:H,4,0),"NO EXISTE ISEL")</f>
        <v/>
      </c>
      <c r="O196">
        <f>COUNTIF(Statics!G:G,Table5[[#This Row],[PG]])+COUNTIF(Statics!H:H,_xlfn.CONCAT((Table5[[#This Row],[NODE]]),Table5[[#This Row],[PORT]]))</f>
        <v/>
      </c>
      <c r="P196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96">
        <f>COUNTIF(Statics!F:F,Table5[[#This Row],[ID]])+COUNTIF(Statics!F:F,VALUE(Table5[[#This Row],[NODE]]))</f>
        <v/>
      </c>
    </row>
    <row r="197">
      <c r="A197" t="inlineStr">
        <is>
          <t>151</t>
        </is>
      </c>
      <c r="B197" t="inlineStr">
        <is>
          <t>1</t>
        </is>
      </c>
      <c r="C197">
        <f>VLOOKUP(VALUE(Table5[[#This Row],[NODE]]),LEAF_INFO!B:H,6,0)</f>
        <v/>
      </c>
      <c r="D197" t="inlineStr">
        <is>
          <t>eth1/52</t>
        </is>
      </c>
      <c r="E197" t="inlineStr">
        <is>
          <t>down</t>
        </is>
      </c>
      <c r="F197" t="inlineStr">
        <is>
          <t>down</t>
        </is>
      </c>
      <c r="G197">
        <f>VLOOKUP(_xlfn.CONCAT(Table5[[#This Row],[NODE]],Table5[[#This Row],[PORT]]),PORTS_!A:G,7,0)</f>
        <v/>
      </c>
      <c r="H197" t="inlineStr"/>
      <c r="I197">
        <f>VLOOKUP(VALUE(Table5[[#This Row],[NODE]]),LEAF_INFO!B:H,7,0)</f>
        <v/>
      </c>
      <c r="J197">
        <f>ISNUMBER(SEARCH("vpc-leaf", SUBSTITUTE(LOWER(K197), "_", "-")))</f>
        <v/>
      </c>
      <c r="K197">
        <f>_xlfn.IFNA(VLOOKUP(VALUE(Table5[[#This Row],[NODE]]), VPC!A:A, 2, 0), "No está en VPC")</f>
        <v/>
      </c>
      <c r="L197">
        <f>IF(OR(ISNUMBER(SEARCH("VPC-Leaf", K197)), ISNUMBER(SEARCH("VPC_Leaf", K197))),SUBSTITUTE(SUBSTITUTE(SUBSTITUTE(K197, "VPC-Leaf", ""), "VPC_Leaf", ""), "_", "-"),A197)</f>
        <v/>
      </c>
      <c r="M197">
        <f>_xlfn.IFNA(VLOOKUP(_xlfn.CONCAT(VALUE(Table5[[#This Row],[NODE]]),Table5[[#This Row],[PORT]]),PG!C:H,6,0),"NO EXISTE PG")</f>
        <v/>
      </c>
      <c r="N197">
        <f>_xlfn.IFNA(VLOOKUP(_xlfn.CONCAT(VALUE(Table5[[#This Row],[NODE]]),Table5[[#This Row],[PORT]]),PG!C:H,4,0),"NO EXISTE ISEL")</f>
        <v/>
      </c>
      <c r="O197">
        <f>COUNTIF(Statics!G:G,Table5[[#This Row],[PG]])+COUNTIF(Statics!H:H,_xlfn.CONCAT((Table5[[#This Row],[NODE]]),Table5[[#This Row],[PORT]]))</f>
        <v/>
      </c>
      <c r="P197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97">
        <f>COUNTIF(Statics!F:F,Table5[[#This Row],[ID]])+COUNTIF(Statics!F:F,VALUE(Table5[[#This Row],[NODE]]))</f>
        <v/>
      </c>
    </row>
    <row r="198">
      <c r="A198" t="inlineStr">
        <is>
          <t>151</t>
        </is>
      </c>
      <c r="B198" t="inlineStr">
        <is>
          <t>1</t>
        </is>
      </c>
      <c r="C198">
        <f>VLOOKUP(VALUE(Table5[[#This Row],[NODE]]),LEAF_INFO!B:H,6,0)</f>
        <v/>
      </c>
      <c r="D198" t="inlineStr">
        <is>
          <t>eth1/53</t>
        </is>
      </c>
      <c r="E198" t="inlineStr">
        <is>
          <t>up</t>
        </is>
      </c>
      <c r="F198" t="inlineStr">
        <is>
          <t>up</t>
        </is>
      </c>
      <c r="G198">
        <f>VLOOKUP(_xlfn.CONCAT(Table5[[#This Row],[NODE]],Table5[[#This Row],[PORT]]),PORTS_!A:G,7,0)</f>
        <v/>
      </c>
      <c r="H198" t="inlineStr">
        <is>
          <t>LINK_HACIA_SPINE</t>
        </is>
      </c>
      <c r="I198">
        <f>VLOOKUP(VALUE(Table5[[#This Row],[NODE]]),LEAF_INFO!B:H,7,0)</f>
        <v/>
      </c>
      <c r="J198">
        <f>ISNUMBER(SEARCH("vpc-leaf", SUBSTITUTE(LOWER(K198), "_", "-")))</f>
        <v/>
      </c>
      <c r="K198">
        <f>_xlfn.IFNA(VLOOKUP(VALUE(Table5[[#This Row],[NODE]]), VPC!A:A, 2, 0), "No está en VPC")</f>
        <v/>
      </c>
      <c r="L198">
        <f>IF(OR(ISNUMBER(SEARCH("VPC-Leaf", K198)), ISNUMBER(SEARCH("VPC_Leaf", K198))),SUBSTITUTE(SUBSTITUTE(SUBSTITUTE(K198, "VPC-Leaf", ""), "VPC_Leaf", ""), "_", "-"),A198)</f>
        <v/>
      </c>
      <c r="M198">
        <f>_xlfn.IFNA(VLOOKUP(_xlfn.CONCAT(VALUE(Table5[[#This Row],[NODE]]),Table5[[#This Row],[PORT]]),PG!C:H,6,0),"NO EXISTE PG")</f>
        <v/>
      </c>
      <c r="N198">
        <f>_xlfn.IFNA(VLOOKUP(_xlfn.CONCAT(VALUE(Table5[[#This Row],[NODE]]),Table5[[#This Row],[PORT]]),PG!C:H,4,0),"NO EXISTE ISEL")</f>
        <v/>
      </c>
      <c r="O198">
        <f>COUNTIF(Statics!G:G,Table5[[#This Row],[PG]])+COUNTIF(Statics!H:H,_xlfn.CONCAT((Table5[[#This Row],[NODE]]),Table5[[#This Row],[PORT]]))</f>
        <v/>
      </c>
      <c r="P198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98">
        <f>COUNTIF(Statics!F:F,Table5[[#This Row],[ID]])+COUNTIF(Statics!F:F,VALUE(Table5[[#This Row],[NODE]]))</f>
        <v/>
      </c>
    </row>
    <row r="199">
      <c r="A199" t="inlineStr">
        <is>
          <t>151</t>
        </is>
      </c>
      <c r="B199" t="inlineStr">
        <is>
          <t>1</t>
        </is>
      </c>
      <c r="C199">
        <f>VLOOKUP(VALUE(Table5[[#This Row],[NODE]]),LEAF_INFO!B:H,6,0)</f>
        <v/>
      </c>
      <c r="D199" t="inlineStr">
        <is>
          <t>eth1/54</t>
        </is>
      </c>
      <c r="E199" t="inlineStr">
        <is>
          <t>up</t>
        </is>
      </c>
      <c r="F199" t="inlineStr">
        <is>
          <t>up</t>
        </is>
      </c>
      <c r="G199">
        <f>VLOOKUP(_xlfn.CONCAT(Table5[[#This Row],[NODE]],Table5[[#This Row],[PORT]]),PORTS_!A:G,7,0)</f>
        <v/>
      </c>
      <c r="H199" t="inlineStr">
        <is>
          <t>LINK_HACIA_SPINE</t>
        </is>
      </c>
      <c r="I199">
        <f>VLOOKUP(VALUE(Table5[[#This Row],[NODE]]),LEAF_INFO!B:H,7,0)</f>
        <v/>
      </c>
      <c r="J199">
        <f>ISNUMBER(SEARCH("vpc-leaf", SUBSTITUTE(LOWER(K199), "_", "-")))</f>
        <v/>
      </c>
      <c r="K199">
        <f>_xlfn.IFNA(VLOOKUP(VALUE(Table5[[#This Row],[NODE]]), VPC!A:A, 2, 0), "No está en VPC")</f>
        <v/>
      </c>
      <c r="L199">
        <f>IF(OR(ISNUMBER(SEARCH("VPC-Leaf", K199)), ISNUMBER(SEARCH("VPC_Leaf", K199))),SUBSTITUTE(SUBSTITUTE(SUBSTITUTE(K199, "VPC-Leaf", ""), "VPC_Leaf", ""), "_", "-"),A199)</f>
        <v/>
      </c>
      <c r="M199">
        <f>_xlfn.IFNA(VLOOKUP(_xlfn.CONCAT(VALUE(Table5[[#This Row],[NODE]]),Table5[[#This Row],[PORT]]),PG!C:H,6,0),"NO EXISTE PG")</f>
        <v/>
      </c>
      <c r="N199">
        <f>_xlfn.IFNA(VLOOKUP(_xlfn.CONCAT(VALUE(Table5[[#This Row],[NODE]]),Table5[[#This Row],[PORT]]),PG!C:H,4,0),"NO EXISTE ISEL")</f>
        <v/>
      </c>
      <c r="O199">
        <f>COUNTIF(Statics!G:G,Table5[[#This Row],[PG]])+COUNTIF(Statics!H:H,_xlfn.CONCAT((Table5[[#This Row],[NODE]]),Table5[[#This Row],[PORT]]))</f>
        <v/>
      </c>
      <c r="P199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99">
        <f>COUNTIF(Statics!F:F,Table5[[#This Row],[ID]])+COUNTIF(Statics!F:F,VALUE(Table5[[#This Row],[NODE]]))</f>
        <v/>
      </c>
    </row>
    <row r="200">
      <c r="A200" t="inlineStr">
        <is>
          <t>151</t>
        </is>
      </c>
      <c r="B200" t="inlineStr">
        <is>
          <t>1</t>
        </is>
      </c>
      <c r="C200">
        <f>VLOOKUP(VALUE(Table5[[#This Row],[NODE]]),LEAF_INFO!B:H,6,0)</f>
        <v/>
      </c>
      <c r="D200" t="inlineStr">
        <is>
          <t>eth1/1</t>
        </is>
      </c>
      <c r="E200" t="inlineStr">
        <is>
          <t>down</t>
        </is>
      </c>
      <c r="F200" t="inlineStr">
        <is>
          <t>down</t>
        </is>
      </c>
      <c r="G200">
        <f>VLOOKUP(_xlfn.CONCAT(Table5[[#This Row],[NODE]],Table5[[#This Row],[PORT]]),PORTS_!A:G,7,0)</f>
        <v/>
      </c>
      <c r="H200" t="inlineStr">
        <is>
          <t>HACIA_IP RAN</t>
        </is>
      </c>
      <c r="I200">
        <f>VLOOKUP(VALUE(Table5[[#This Row],[NODE]]),LEAF_INFO!B:H,7,0)</f>
        <v/>
      </c>
      <c r="J200">
        <f>ISNUMBER(SEARCH("vpc-leaf", SUBSTITUTE(LOWER(K200), "_", "-")))</f>
        <v/>
      </c>
      <c r="K200">
        <f>_xlfn.IFNA(VLOOKUP(VALUE(Table5[[#This Row],[NODE]]), VPC!A:A, 2, 0), "No está en VPC")</f>
        <v/>
      </c>
      <c r="L200">
        <f>IF(OR(ISNUMBER(SEARCH("VPC-Leaf", K200)), ISNUMBER(SEARCH("VPC_Leaf", K200))),SUBSTITUTE(SUBSTITUTE(SUBSTITUTE(K200, "VPC-Leaf", ""), "VPC_Leaf", ""), "_", "-"),A200)</f>
        <v/>
      </c>
      <c r="M200">
        <f>_xlfn.IFNA(VLOOKUP(_xlfn.CONCAT(VALUE(Table5[[#This Row],[NODE]]),Table5[[#This Row],[PORT]]),PG!C:H,6,0),"NO EXISTE PG")</f>
        <v/>
      </c>
      <c r="N200">
        <f>_xlfn.IFNA(VLOOKUP(_xlfn.CONCAT(VALUE(Table5[[#This Row],[NODE]]),Table5[[#This Row],[PORT]]),PG!C:H,4,0),"NO EXISTE ISEL")</f>
        <v/>
      </c>
      <c r="O200">
        <f>COUNTIF(Statics!G:G,Table5[[#This Row],[PG]])+COUNTIF(Statics!H:H,_xlfn.CONCAT((Table5[[#This Row],[NODE]]),Table5[[#This Row],[PORT]]))</f>
        <v/>
      </c>
      <c r="P200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00">
        <f>COUNTIF(Statics!F:F,Table5[[#This Row],[ID]])+COUNTIF(Statics!F:F,VALUE(Table5[[#This Row],[NODE]]))</f>
        <v/>
      </c>
    </row>
    <row r="201">
      <c r="A201" t="inlineStr">
        <is>
          <t>151</t>
        </is>
      </c>
      <c r="B201" t="inlineStr">
        <is>
          <t>1</t>
        </is>
      </c>
      <c r="C201">
        <f>VLOOKUP(VALUE(Table5[[#This Row],[NODE]]),LEAF_INFO!B:H,6,0)</f>
        <v/>
      </c>
      <c r="D201" t="inlineStr">
        <is>
          <t>eth1/2</t>
        </is>
      </c>
      <c r="E201" t="inlineStr">
        <is>
          <t>up</t>
        </is>
      </c>
      <c r="F201" t="inlineStr">
        <is>
          <t>down</t>
        </is>
      </c>
      <c r="G201">
        <f>VLOOKUP(_xlfn.CONCAT(Table5[[#This Row],[NODE]],Table5[[#This Row],[PORT]]),PORTS_!A:G,7,0)</f>
        <v/>
      </c>
      <c r="H201" t="inlineStr">
        <is>
          <t>HACIA _IP RAN ZTE</t>
        </is>
      </c>
      <c r="I201">
        <f>VLOOKUP(VALUE(Table5[[#This Row],[NODE]]),LEAF_INFO!B:H,7,0)</f>
        <v/>
      </c>
      <c r="J201">
        <f>ISNUMBER(SEARCH("vpc-leaf", SUBSTITUTE(LOWER(K201), "_", "-")))</f>
        <v/>
      </c>
      <c r="K201">
        <f>_xlfn.IFNA(VLOOKUP(VALUE(Table5[[#This Row],[NODE]]), VPC!A:A, 2, 0), "No está en VPC")</f>
        <v/>
      </c>
      <c r="L201">
        <f>IF(OR(ISNUMBER(SEARCH("VPC-Leaf", K201)), ISNUMBER(SEARCH("VPC_Leaf", K201))),SUBSTITUTE(SUBSTITUTE(SUBSTITUTE(K201, "VPC-Leaf", ""), "VPC_Leaf", ""), "_", "-"),A201)</f>
        <v/>
      </c>
      <c r="M201">
        <f>_xlfn.IFNA(VLOOKUP(_xlfn.CONCAT(VALUE(Table5[[#This Row],[NODE]]),Table5[[#This Row],[PORT]]),PG!C:H,6,0),"NO EXISTE PG")</f>
        <v/>
      </c>
      <c r="N201">
        <f>_xlfn.IFNA(VLOOKUP(_xlfn.CONCAT(VALUE(Table5[[#This Row],[NODE]]),Table5[[#This Row],[PORT]]),PG!C:H,4,0),"NO EXISTE ISEL")</f>
        <v/>
      </c>
      <c r="O201">
        <f>COUNTIF(Statics!G:G,Table5[[#This Row],[PG]])+COUNTIF(Statics!H:H,_xlfn.CONCAT((Table5[[#This Row],[NODE]]),Table5[[#This Row],[PORT]]))</f>
        <v/>
      </c>
      <c r="P201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01">
        <f>COUNTIF(Statics!F:F,Table5[[#This Row],[ID]])+COUNTIF(Statics!F:F,VALUE(Table5[[#This Row],[NODE]]))</f>
        <v/>
      </c>
    </row>
    <row r="202">
      <c r="A202" t="inlineStr">
        <is>
          <t>151</t>
        </is>
      </c>
      <c r="B202" t="inlineStr">
        <is>
          <t>1</t>
        </is>
      </c>
      <c r="C202">
        <f>VLOOKUP(VALUE(Table5[[#This Row],[NODE]]),LEAF_INFO!B:H,6,0)</f>
        <v/>
      </c>
      <c r="D202" t="inlineStr">
        <is>
          <t>eth1/3</t>
        </is>
      </c>
      <c r="E202" t="inlineStr">
        <is>
          <t>down</t>
        </is>
      </c>
      <c r="F202" t="inlineStr">
        <is>
          <t>down</t>
        </is>
      </c>
      <c r="G202">
        <f>VLOOKUP(_xlfn.CONCAT(Table5[[#This Row],[NODE]],Table5[[#This Row],[PORT]]),PORTS_!A:G,7,0)</f>
        <v/>
      </c>
      <c r="H202" t="inlineStr">
        <is>
          <t>HACIA_NODE-AP NO_CRITICO GES SINCRONIA 2NOGAXE1-NOGSSU SIN_REDUNDAN</t>
        </is>
      </c>
      <c r="I202">
        <f>VLOOKUP(VALUE(Table5[[#This Row],[NODE]]),LEAF_INFO!B:H,7,0)</f>
        <v/>
      </c>
      <c r="J202">
        <f>ISNUMBER(SEARCH("vpc-leaf", SUBSTITUTE(LOWER(K202), "_", "-")))</f>
        <v/>
      </c>
      <c r="K202">
        <f>_xlfn.IFNA(VLOOKUP(VALUE(Table5[[#This Row],[NODE]]), VPC!A:A, 2, 0), "No está en VPC")</f>
        <v/>
      </c>
      <c r="L202">
        <f>IF(OR(ISNUMBER(SEARCH("VPC-Leaf", K202)), ISNUMBER(SEARCH("VPC_Leaf", K202))),SUBSTITUTE(SUBSTITUTE(SUBSTITUTE(K202, "VPC-Leaf", ""), "VPC_Leaf", ""), "_", "-"),A202)</f>
        <v/>
      </c>
      <c r="M202">
        <f>_xlfn.IFNA(VLOOKUP(_xlfn.CONCAT(VALUE(Table5[[#This Row],[NODE]]),Table5[[#This Row],[PORT]]),PG!C:H,6,0),"NO EXISTE PG")</f>
        <v/>
      </c>
      <c r="N202">
        <f>_xlfn.IFNA(VLOOKUP(_xlfn.CONCAT(VALUE(Table5[[#This Row],[NODE]]),Table5[[#This Row],[PORT]]),PG!C:H,4,0),"NO EXISTE ISEL")</f>
        <v/>
      </c>
      <c r="O202">
        <f>COUNTIF(Statics!G:G,Table5[[#This Row],[PG]])+COUNTIF(Statics!H:H,_xlfn.CONCAT((Table5[[#This Row],[NODE]]),Table5[[#This Row],[PORT]]))</f>
        <v/>
      </c>
      <c r="P202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02">
        <f>COUNTIF(Statics!F:F,Table5[[#This Row],[ID]])+COUNTIF(Statics!F:F,VALUE(Table5[[#This Row],[NODE]]))</f>
        <v/>
      </c>
    </row>
    <row r="203">
      <c r="A203" t="inlineStr">
        <is>
          <t>151</t>
        </is>
      </c>
      <c r="B203" t="inlineStr">
        <is>
          <t>1</t>
        </is>
      </c>
      <c r="C203">
        <f>VLOOKUP(VALUE(Table5[[#This Row],[NODE]]),LEAF_INFO!B:H,6,0)</f>
        <v/>
      </c>
      <c r="D203" t="inlineStr">
        <is>
          <t>eth1/4</t>
        </is>
      </c>
      <c r="E203" t="inlineStr">
        <is>
          <t>up</t>
        </is>
      </c>
      <c r="F203" t="inlineStr">
        <is>
          <t>up</t>
        </is>
      </c>
      <c r="G203">
        <f>VLOOKUP(_xlfn.CONCAT(Table5[[#This Row],[NODE]],Table5[[#This Row],[PORT]]),PORTS_!A:G,7,0)</f>
        <v/>
      </c>
      <c r="H203" t="inlineStr">
        <is>
          <t>HACIA_INGMG1 -  ET-IPG206 Activo | MUTOA 3 Pos 10</t>
        </is>
      </c>
      <c r="I203">
        <f>VLOOKUP(VALUE(Table5[[#This Row],[NODE]]),LEAF_INFO!B:H,7,0)</f>
        <v/>
      </c>
      <c r="J203">
        <f>ISNUMBER(SEARCH("vpc-leaf", SUBSTITUTE(LOWER(K203), "_", "-")))</f>
        <v/>
      </c>
      <c r="K203">
        <f>_xlfn.IFNA(VLOOKUP(VALUE(Table5[[#This Row],[NODE]]), VPC!A:A, 2, 0), "No está en VPC")</f>
        <v/>
      </c>
      <c r="L203">
        <f>IF(OR(ISNUMBER(SEARCH("VPC-Leaf", K203)), ISNUMBER(SEARCH("VPC_Leaf", K203))),SUBSTITUTE(SUBSTITUTE(SUBSTITUTE(K203, "VPC-Leaf", ""), "VPC_Leaf", ""), "_", "-"),A203)</f>
        <v/>
      </c>
      <c r="M203">
        <f>_xlfn.IFNA(VLOOKUP(_xlfn.CONCAT(VALUE(Table5[[#This Row],[NODE]]),Table5[[#This Row],[PORT]]),PG!C:H,6,0),"NO EXISTE PG")</f>
        <v/>
      </c>
      <c r="N203">
        <f>_xlfn.IFNA(VLOOKUP(_xlfn.CONCAT(VALUE(Table5[[#This Row],[NODE]]),Table5[[#This Row],[PORT]]),PG!C:H,4,0),"NO EXISTE ISEL")</f>
        <v/>
      </c>
      <c r="O203">
        <f>COUNTIF(Statics!G:G,Table5[[#This Row],[PG]])+COUNTIF(Statics!H:H,_xlfn.CONCAT((Table5[[#This Row],[NODE]]),Table5[[#This Row],[PORT]]))</f>
        <v/>
      </c>
      <c r="P203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03">
        <f>COUNTIF(Statics!F:F,Table5[[#This Row],[ID]])+COUNTIF(Statics!F:F,VALUE(Table5[[#This Row],[NODE]]))</f>
        <v/>
      </c>
    </row>
    <row r="204">
      <c r="A204" t="inlineStr">
        <is>
          <t>151</t>
        </is>
      </c>
      <c r="B204" t="inlineStr">
        <is>
          <t>1</t>
        </is>
      </c>
      <c r="C204">
        <f>VLOOKUP(VALUE(Table5[[#This Row],[NODE]]),LEAF_INFO!B:H,6,0)</f>
        <v/>
      </c>
      <c r="D204" t="inlineStr">
        <is>
          <t>eth1/5</t>
        </is>
      </c>
      <c r="E204" t="inlineStr">
        <is>
          <t>up</t>
        </is>
      </c>
      <c r="F204" t="inlineStr">
        <is>
          <t>up</t>
        </is>
      </c>
      <c r="G204">
        <f>VLOOKUP(_xlfn.CONCAT(Table5[[#This Row],[NODE]],Table5[[#This Row],[PORT]]),PORTS_!A:G,7,0)</f>
        <v/>
      </c>
      <c r="H204" t="inlineStr">
        <is>
          <t>HACIA_INGMG1 -  ET-IPG223 Pasivo | MUTOA 3 Pos 11</t>
        </is>
      </c>
      <c r="I204">
        <f>VLOOKUP(VALUE(Table5[[#This Row],[NODE]]),LEAF_INFO!B:H,7,0)</f>
        <v/>
      </c>
      <c r="J204">
        <f>ISNUMBER(SEARCH("vpc-leaf", SUBSTITUTE(LOWER(K204), "_", "-")))</f>
        <v/>
      </c>
      <c r="K204">
        <f>_xlfn.IFNA(VLOOKUP(VALUE(Table5[[#This Row],[NODE]]), VPC!A:A, 2, 0), "No está en VPC")</f>
        <v/>
      </c>
      <c r="L204">
        <f>IF(OR(ISNUMBER(SEARCH("VPC-Leaf", K204)), ISNUMBER(SEARCH("VPC_Leaf", K204))),SUBSTITUTE(SUBSTITUTE(SUBSTITUTE(K204, "VPC-Leaf", ""), "VPC_Leaf", ""), "_", "-"),A204)</f>
        <v/>
      </c>
      <c r="M204">
        <f>_xlfn.IFNA(VLOOKUP(_xlfn.CONCAT(VALUE(Table5[[#This Row],[NODE]]),Table5[[#This Row],[PORT]]),PG!C:H,6,0),"NO EXISTE PG")</f>
        <v/>
      </c>
      <c r="N204">
        <f>_xlfn.IFNA(VLOOKUP(_xlfn.CONCAT(VALUE(Table5[[#This Row],[NODE]]),Table5[[#This Row],[PORT]]),PG!C:H,4,0),"NO EXISTE ISEL")</f>
        <v/>
      </c>
      <c r="O204">
        <f>COUNTIF(Statics!G:G,Table5[[#This Row],[PG]])+COUNTIF(Statics!H:H,_xlfn.CONCAT((Table5[[#This Row],[NODE]]),Table5[[#This Row],[PORT]]))</f>
        <v/>
      </c>
      <c r="P204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04">
        <f>COUNTIF(Statics!F:F,Table5[[#This Row],[ID]])+COUNTIF(Statics!F:F,VALUE(Table5[[#This Row],[NODE]]))</f>
        <v/>
      </c>
    </row>
    <row r="205">
      <c r="A205" t="inlineStr">
        <is>
          <t>151</t>
        </is>
      </c>
      <c r="B205" t="inlineStr">
        <is>
          <t>1</t>
        </is>
      </c>
      <c r="C205">
        <f>VLOOKUP(VALUE(Table5[[#This Row],[NODE]]),LEAF_INFO!B:H,6,0)</f>
        <v/>
      </c>
      <c r="D205" t="inlineStr">
        <is>
          <t>eth1/6</t>
        </is>
      </c>
      <c r="E205" t="inlineStr">
        <is>
          <t>up</t>
        </is>
      </c>
      <c r="F205" t="inlineStr">
        <is>
          <t>up</t>
        </is>
      </c>
      <c r="G205">
        <f>VLOOKUP(_xlfn.CONCAT(Table5[[#This Row],[NODE]],Table5[[#This Row],[PORT]]),PORTS_!A:G,7,0)</f>
        <v/>
      </c>
      <c r="H205" t="inlineStr">
        <is>
          <t>HACIA_GESTION EQUIPO DE SINCRONIA</t>
        </is>
      </c>
      <c r="I205">
        <f>VLOOKUP(VALUE(Table5[[#This Row],[NODE]]),LEAF_INFO!B:H,7,0)</f>
        <v/>
      </c>
      <c r="J205">
        <f>ISNUMBER(SEARCH("vpc-leaf", SUBSTITUTE(LOWER(K205), "_", "-")))</f>
        <v/>
      </c>
      <c r="K205">
        <f>_xlfn.IFNA(VLOOKUP(VALUE(Table5[[#This Row],[NODE]]), VPC!A:A, 2, 0), "No está en VPC")</f>
        <v/>
      </c>
      <c r="L205">
        <f>IF(OR(ISNUMBER(SEARCH("VPC-Leaf", K205)), ISNUMBER(SEARCH("VPC_Leaf", K205))),SUBSTITUTE(SUBSTITUTE(SUBSTITUTE(K205, "VPC-Leaf", ""), "VPC_Leaf", ""), "_", "-"),A205)</f>
        <v/>
      </c>
      <c r="M205">
        <f>_xlfn.IFNA(VLOOKUP(_xlfn.CONCAT(VALUE(Table5[[#This Row],[NODE]]),Table5[[#This Row],[PORT]]),PG!C:H,6,0),"NO EXISTE PG")</f>
        <v/>
      </c>
      <c r="N205">
        <f>_xlfn.IFNA(VLOOKUP(_xlfn.CONCAT(VALUE(Table5[[#This Row],[NODE]]),Table5[[#This Row],[PORT]]),PG!C:H,4,0),"NO EXISTE ISEL")</f>
        <v/>
      </c>
      <c r="O205">
        <f>COUNTIF(Statics!G:G,Table5[[#This Row],[PG]])+COUNTIF(Statics!H:H,_xlfn.CONCAT((Table5[[#This Row],[NODE]]),Table5[[#This Row],[PORT]]))</f>
        <v/>
      </c>
      <c r="P205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05">
        <f>COUNTIF(Statics!F:F,Table5[[#This Row],[ID]])+COUNTIF(Statics!F:F,VALUE(Table5[[#This Row],[NODE]]))</f>
        <v/>
      </c>
    </row>
    <row r="206">
      <c r="A206" t="inlineStr">
        <is>
          <t>151</t>
        </is>
      </c>
      <c r="B206" t="inlineStr">
        <is>
          <t>1</t>
        </is>
      </c>
      <c r="C206">
        <f>VLOOKUP(VALUE(Table5[[#This Row],[NODE]]),LEAF_INFO!B:H,6,0)</f>
        <v/>
      </c>
      <c r="D206" t="inlineStr">
        <is>
          <t>eth1/7</t>
        </is>
      </c>
      <c r="E206" t="inlineStr">
        <is>
          <t>up</t>
        </is>
      </c>
      <c r="F206" t="inlineStr">
        <is>
          <t>up</t>
        </is>
      </c>
      <c r="G206">
        <f>VLOOKUP(_xlfn.CONCAT(Table5[[#This Row],[NODE]],Table5[[#This Row],[PORT]]),PORTS_!A:G,7,0)</f>
        <v/>
      </c>
      <c r="H206" t="inlineStr">
        <is>
          <t>HACIA_RNC INGRN1 Trafico IuPS+Iur_CP1 PANEL 22 POSC 24</t>
        </is>
      </c>
      <c r="I206">
        <f>VLOOKUP(VALUE(Table5[[#This Row],[NODE]]),LEAF_INFO!B:H,7,0)</f>
        <v/>
      </c>
      <c r="J206">
        <f>ISNUMBER(SEARCH("vpc-leaf", SUBSTITUTE(LOWER(K206), "_", "-")))</f>
        <v/>
      </c>
      <c r="K206">
        <f>_xlfn.IFNA(VLOOKUP(VALUE(Table5[[#This Row],[NODE]]), VPC!A:A, 2, 0), "No está en VPC")</f>
        <v/>
      </c>
      <c r="L206">
        <f>IF(OR(ISNUMBER(SEARCH("VPC-Leaf", K206)), ISNUMBER(SEARCH("VPC_Leaf", K206))),SUBSTITUTE(SUBSTITUTE(SUBSTITUTE(K206, "VPC-Leaf", ""), "VPC_Leaf", ""), "_", "-"),A206)</f>
        <v/>
      </c>
      <c r="M206">
        <f>_xlfn.IFNA(VLOOKUP(_xlfn.CONCAT(VALUE(Table5[[#This Row],[NODE]]),Table5[[#This Row],[PORT]]),PG!C:H,6,0),"NO EXISTE PG")</f>
        <v/>
      </c>
      <c r="N206">
        <f>_xlfn.IFNA(VLOOKUP(_xlfn.CONCAT(VALUE(Table5[[#This Row],[NODE]]),Table5[[#This Row],[PORT]]),PG!C:H,4,0),"NO EXISTE ISEL")</f>
        <v/>
      </c>
      <c r="O206">
        <f>COUNTIF(Statics!G:G,Table5[[#This Row],[PG]])+COUNTIF(Statics!H:H,_xlfn.CONCAT((Table5[[#This Row],[NODE]]),Table5[[#This Row],[PORT]]))</f>
        <v/>
      </c>
      <c r="P206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06">
        <f>COUNTIF(Statics!F:F,Table5[[#This Row],[ID]])+COUNTIF(Statics!F:F,VALUE(Table5[[#This Row],[NODE]]))</f>
        <v/>
      </c>
    </row>
    <row r="207">
      <c r="A207" t="inlineStr">
        <is>
          <t>151</t>
        </is>
      </c>
      <c r="B207" t="inlineStr">
        <is>
          <t>1</t>
        </is>
      </c>
      <c r="C207">
        <f>VLOOKUP(VALUE(Table5[[#This Row],[NODE]]),LEAF_INFO!B:H,6,0)</f>
        <v/>
      </c>
      <c r="D207" t="inlineStr">
        <is>
          <t>eth1/8</t>
        </is>
      </c>
      <c r="E207" t="inlineStr">
        <is>
          <t>up</t>
        </is>
      </c>
      <c r="F207" t="inlineStr">
        <is>
          <t>up</t>
        </is>
      </c>
      <c r="G207">
        <f>VLOOKUP(_xlfn.CONCAT(Table5[[#This Row],[NODE]],Table5[[#This Row],[PORT]]),PORTS_!A:G,7,0)</f>
        <v/>
      </c>
      <c r="H207" t="inlineStr">
        <is>
          <t>HACIA_GESTION VOIP 10.25.104.4/29</t>
        </is>
      </c>
      <c r="I207">
        <f>VLOOKUP(VALUE(Table5[[#This Row],[NODE]]),LEAF_INFO!B:H,7,0)</f>
        <v/>
      </c>
      <c r="J207">
        <f>ISNUMBER(SEARCH("vpc-leaf", SUBSTITUTE(LOWER(K207), "_", "-")))</f>
        <v/>
      </c>
      <c r="K207">
        <f>_xlfn.IFNA(VLOOKUP(VALUE(Table5[[#This Row],[NODE]]), VPC!A:A, 2, 0), "No está en VPC")</f>
        <v/>
      </c>
      <c r="L207">
        <f>IF(OR(ISNUMBER(SEARCH("VPC-Leaf", K207)), ISNUMBER(SEARCH("VPC_Leaf", K207))),SUBSTITUTE(SUBSTITUTE(SUBSTITUTE(K207, "VPC-Leaf", ""), "VPC_Leaf", ""), "_", "-"),A207)</f>
        <v/>
      </c>
      <c r="M207">
        <f>_xlfn.IFNA(VLOOKUP(_xlfn.CONCAT(VALUE(Table5[[#This Row],[NODE]]),Table5[[#This Row],[PORT]]),PG!C:H,6,0),"NO EXISTE PG")</f>
        <v/>
      </c>
      <c r="N207">
        <f>_xlfn.IFNA(VLOOKUP(_xlfn.CONCAT(VALUE(Table5[[#This Row],[NODE]]),Table5[[#This Row],[PORT]]),PG!C:H,4,0),"NO EXISTE ISEL")</f>
        <v/>
      </c>
      <c r="O207">
        <f>COUNTIF(Statics!G:G,Table5[[#This Row],[PG]])+COUNTIF(Statics!H:H,_xlfn.CONCAT((Table5[[#This Row],[NODE]]),Table5[[#This Row],[PORT]]))</f>
        <v/>
      </c>
      <c r="P207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07">
        <f>COUNTIF(Statics!F:F,Table5[[#This Row],[ID]])+COUNTIF(Statics!F:F,VALUE(Table5[[#This Row],[NODE]]))</f>
        <v/>
      </c>
    </row>
    <row r="208">
      <c r="A208" t="inlineStr">
        <is>
          <t>151</t>
        </is>
      </c>
      <c r="B208" t="inlineStr">
        <is>
          <t>1</t>
        </is>
      </c>
      <c r="C208">
        <f>VLOOKUP(VALUE(Table5[[#This Row],[NODE]]),LEAF_INFO!B:H,6,0)</f>
        <v/>
      </c>
      <c r="D208" t="inlineStr">
        <is>
          <t>eth1/9</t>
        </is>
      </c>
      <c r="E208" t="inlineStr">
        <is>
          <t>up</t>
        </is>
      </c>
      <c r="F208" t="inlineStr">
        <is>
          <t>up</t>
        </is>
      </c>
      <c r="G208">
        <f>VLOOKUP(_xlfn.CONCAT(Table5[[#This Row],[NODE]],Table5[[#This Row],[PORT]]),PORTS_!A:G,7,0)</f>
        <v/>
      </c>
      <c r="H208" t="inlineStr">
        <is>
          <t>HACIA_INGMG1 Tarjeta O&amp;M Puerto 0 / Panel 21 Pos-29</t>
        </is>
      </c>
      <c r="I208">
        <f>VLOOKUP(VALUE(Table5[[#This Row],[NODE]]),LEAF_INFO!B:H,7,0)</f>
        <v/>
      </c>
      <c r="J208">
        <f>ISNUMBER(SEARCH("vpc-leaf", SUBSTITUTE(LOWER(K208), "_", "-")))</f>
        <v/>
      </c>
      <c r="K208">
        <f>_xlfn.IFNA(VLOOKUP(VALUE(Table5[[#This Row],[NODE]]), VPC!A:A, 2, 0), "No está en VPC")</f>
        <v/>
      </c>
      <c r="L208">
        <f>IF(OR(ISNUMBER(SEARCH("VPC-Leaf", K208)), ISNUMBER(SEARCH("VPC_Leaf", K208))),SUBSTITUTE(SUBSTITUTE(SUBSTITUTE(K208, "VPC-Leaf", ""), "VPC_Leaf", ""), "_", "-"),A208)</f>
        <v/>
      </c>
      <c r="M208">
        <f>_xlfn.IFNA(VLOOKUP(_xlfn.CONCAT(VALUE(Table5[[#This Row],[NODE]]),Table5[[#This Row],[PORT]]),PG!C:H,6,0),"NO EXISTE PG")</f>
        <v/>
      </c>
      <c r="N208">
        <f>_xlfn.IFNA(VLOOKUP(_xlfn.CONCAT(VALUE(Table5[[#This Row],[NODE]]),Table5[[#This Row],[PORT]]),PG!C:H,4,0),"NO EXISTE ISEL")</f>
        <v/>
      </c>
      <c r="O208">
        <f>COUNTIF(Statics!G:G,Table5[[#This Row],[PG]])+COUNTIF(Statics!H:H,_xlfn.CONCAT((Table5[[#This Row],[NODE]]),Table5[[#This Row],[PORT]]))</f>
        <v/>
      </c>
      <c r="P208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08">
        <f>COUNTIF(Statics!F:F,Table5[[#This Row],[ID]])+COUNTIF(Statics!F:F,VALUE(Table5[[#This Row],[NODE]]))</f>
        <v/>
      </c>
    </row>
    <row r="209">
      <c r="A209" t="inlineStr">
        <is>
          <t>151</t>
        </is>
      </c>
      <c r="B209" t="inlineStr">
        <is>
          <t>1</t>
        </is>
      </c>
      <c r="C209">
        <f>VLOOKUP(VALUE(Table5[[#This Row],[NODE]]),LEAF_INFO!B:H,6,0)</f>
        <v/>
      </c>
      <c r="D209" t="inlineStr">
        <is>
          <t>eth1/10</t>
        </is>
      </c>
      <c r="E209" t="inlineStr">
        <is>
          <t>up</t>
        </is>
      </c>
      <c r="F209" t="inlineStr">
        <is>
          <t>up</t>
        </is>
      </c>
      <c r="G209">
        <f>VLOOKUP(_xlfn.CONCAT(Table5[[#This Row],[NODE]],Table5[[#This Row],[PORT]]),PORTS_!A:G,7,0)</f>
        <v/>
      </c>
      <c r="H209" t="inlineStr">
        <is>
          <t>HACIA_INGMG1 Tarjeta ET-IPG1 Puerto Activo / Panel 22 Pos-30</t>
        </is>
      </c>
      <c r="I209">
        <f>VLOOKUP(VALUE(Table5[[#This Row],[NODE]]),LEAF_INFO!B:H,7,0)</f>
        <v/>
      </c>
      <c r="J209">
        <f>ISNUMBER(SEARCH("vpc-leaf", SUBSTITUTE(LOWER(K209), "_", "-")))</f>
        <v/>
      </c>
      <c r="K209">
        <f>_xlfn.IFNA(VLOOKUP(VALUE(Table5[[#This Row],[NODE]]), VPC!A:A, 2, 0), "No está en VPC")</f>
        <v/>
      </c>
      <c r="L209">
        <f>IF(OR(ISNUMBER(SEARCH("VPC-Leaf", K209)), ISNUMBER(SEARCH("VPC_Leaf", K209))),SUBSTITUTE(SUBSTITUTE(SUBSTITUTE(K209, "VPC-Leaf", ""), "VPC_Leaf", ""), "_", "-"),A209)</f>
        <v/>
      </c>
      <c r="M209">
        <f>_xlfn.IFNA(VLOOKUP(_xlfn.CONCAT(VALUE(Table5[[#This Row],[NODE]]),Table5[[#This Row],[PORT]]),PG!C:H,6,0),"NO EXISTE PG")</f>
        <v/>
      </c>
      <c r="N209">
        <f>_xlfn.IFNA(VLOOKUP(_xlfn.CONCAT(VALUE(Table5[[#This Row],[NODE]]),Table5[[#This Row],[PORT]]),PG!C:H,4,0),"NO EXISTE ISEL")</f>
        <v/>
      </c>
      <c r="O209">
        <f>COUNTIF(Statics!G:G,Table5[[#This Row],[PG]])+COUNTIF(Statics!H:H,_xlfn.CONCAT((Table5[[#This Row],[NODE]]),Table5[[#This Row],[PORT]]))</f>
        <v/>
      </c>
      <c r="P209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09">
        <f>COUNTIF(Statics!F:F,Table5[[#This Row],[ID]])+COUNTIF(Statics!F:F,VALUE(Table5[[#This Row],[NODE]]))</f>
        <v/>
      </c>
    </row>
    <row r="210">
      <c r="A210" t="inlineStr">
        <is>
          <t>151</t>
        </is>
      </c>
      <c r="B210" t="inlineStr">
        <is>
          <t>1</t>
        </is>
      </c>
      <c r="C210">
        <f>VLOOKUP(VALUE(Table5[[#This Row],[NODE]]),LEAF_INFO!B:H,6,0)</f>
        <v/>
      </c>
      <c r="D210" t="inlineStr">
        <is>
          <t>eth1/11</t>
        </is>
      </c>
      <c r="E210" t="inlineStr">
        <is>
          <t>up</t>
        </is>
      </c>
      <c r="F210" t="inlineStr">
        <is>
          <t>up</t>
        </is>
      </c>
      <c r="G210">
        <f>VLOOKUP(_xlfn.CONCAT(Table5[[#This Row],[NODE]],Table5[[#This Row],[PORT]]),PORTS_!A:G,7,0)</f>
        <v/>
      </c>
      <c r="H210" t="inlineStr">
        <is>
          <t>HACIA_EVO INGEV1 Trafico MUR / Panel 25 Pto31</t>
        </is>
      </c>
      <c r="I210">
        <f>VLOOKUP(VALUE(Table5[[#This Row],[NODE]]),LEAF_INFO!B:H,7,0)</f>
        <v/>
      </c>
      <c r="J210">
        <f>ISNUMBER(SEARCH("vpc-leaf", SUBSTITUTE(LOWER(K210), "_", "-")))</f>
        <v/>
      </c>
      <c r="K210">
        <f>_xlfn.IFNA(VLOOKUP(VALUE(Table5[[#This Row],[NODE]]), VPC!A:A, 2, 0), "No está en VPC")</f>
        <v/>
      </c>
      <c r="L210">
        <f>IF(OR(ISNUMBER(SEARCH("VPC-Leaf", K210)), ISNUMBER(SEARCH("VPC_Leaf", K210))),SUBSTITUTE(SUBSTITUTE(SUBSTITUTE(K210, "VPC-Leaf", ""), "VPC_Leaf", ""), "_", "-"),A210)</f>
        <v/>
      </c>
      <c r="M210">
        <f>_xlfn.IFNA(VLOOKUP(_xlfn.CONCAT(VALUE(Table5[[#This Row],[NODE]]),Table5[[#This Row],[PORT]]),PG!C:H,6,0),"NO EXISTE PG")</f>
        <v/>
      </c>
      <c r="N210">
        <f>_xlfn.IFNA(VLOOKUP(_xlfn.CONCAT(VALUE(Table5[[#This Row],[NODE]]),Table5[[#This Row],[PORT]]),PG!C:H,4,0),"NO EXISTE ISEL")</f>
        <v/>
      </c>
      <c r="O210">
        <f>COUNTIF(Statics!G:G,Table5[[#This Row],[PG]])+COUNTIF(Statics!H:H,_xlfn.CONCAT((Table5[[#This Row],[NODE]]),Table5[[#This Row],[PORT]]))</f>
        <v/>
      </c>
      <c r="P210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10">
        <f>COUNTIF(Statics!F:F,Table5[[#This Row],[ID]])+COUNTIF(Statics!F:F,VALUE(Table5[[#This Row],[NODE]]))</f>
        <v/>
      </c>
    </row>
    <row r="211">
      <c r="A211" t="inlineStr">
        <is>
          <t>151</t>
        </is>
      </c>
      <c r="B211" t="inlineStr">
        <is>
          <t>1</t>
        </is>
      </c>
      <c r="C211">
        <f>VLOOKUP(VALUE(Table5[[#This Row],[NODE]]),LEAF_INFO!B:H,6,0)</f>
        <v/>
      </c>
      <c r="D211" t="inlineStr">
        <is>
          <t>eth1/12</t>
        </is>
      </c>
      <c r="E211" t="inlineStr">
        <is>
          <t>down</t>
        </is>
      </c>
      <c r="F211" t="inlineStr">
        <is>
          <t>down</t>
        </is>
      </c>
      <c r="G211">
        <f>VLOOKUP(_xlfn.CONCAT(Table5[[#This Row],[NODE]],Table5[[#This Row],[PORT]]),PORTS_!A:G,7,0)</f>
        <v/>
      </c>
      <c r="H211" t="inlineStr">
        <is>
          <t>HACIA_HLR_LDAP</t>
        </is>
      </c>
      <c r="I211">
        <f>VLOOKUP(VALUE(Table5[[#This Row],[NODE]]),LEAF_INFO!B:H,7,0)</f>
        <v/>
      </c>
      <c r="J211">
        <f>ISNUMBER(SEARCH("vpc-leaf", SUBSTITUTE(LOWER(K211), "_", "-")))</f>
        <v/>
      </c>
      <c r="K211">
        <f>_xlfn.IFNA(VLOOKUP(VALUE(Table5[[#This Row],[NODE]]), VPC!A:A, 2, 0), "No está en VPC")</f>
        <v/>
      </c>
      <c r="L211">
        <f>IF(OR(ISNUMBER(SEARCH("VPC-Leaf", K211)), ISNUMBER(SEARCH("VPC_Leaf", K211))),SUBSTITUTE(SUBSTITUTE(SUBSTITUTE(K211, "VPC-Leaf", ""), "VPC_Leaf", ""), "_", "-"),A211)</f>
        <v/>
      </c>
      <c r="M211">
        <f>_xlfn.IFNA(VLOOKUP(_xlfn.CONCAT(VALUE(Table5[[#This Row],[NODE]]),Table5[[#This Row],[PORT]]),PG!C:H,6,0),"NO EXISTE PG")</f>
        <v/>
      </c>
      <c r="N211">
        <f>_xlfn.IFNA(VLOOKUP(_xlfn.CONCAT(VALUE(Table5[[#This Row],[NODE]]),Table5[[#This Row],[PORT]]),PG!C:H,4,0),"NO EXISTE ISEL")</f>
        <v/>
      </c>
      <c r="O211">
        <f>COUNTIF(Statics!G:G,Table5[[#This Row],[PG]])+COUNTIF(Statics!H:H,_xlfn.CONCAT((Table5[[#This Row],[NODE]]),Table5[[#This Row],[PORT]]))</f>
        <v/>
      </c>
      <c r="P211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11">
        <f>COUNTIF(Statics!F:F,Table5[[#This Row],[ID]])+COUNTIF(Statics!F:F,VALUE(Table5[[#This Row],[NODE]]))</f>
        <v/>
      </c>
    </row>
    <row r="212">
      <c r="A212" t="inlineStr">
        <is>
          <t>151</t>
        </is>
      </c>
      <c r="B212" t="inlineStr">
        <is>
          <t>1</t>
        </is>
      </c>
      <c r="C212">
        <f>VLOOKUP(VALUE(Table5[[#This Row],[NODE]]),LEAF_INFO!B:H,6,0)</f>
        <v/>
      </c>
      <c r="D212" t="inlineStr">
        <is>
          <t>eth1/13</t>
        </is>
      </c>
      <c r="E212" t="inlineStr">
        <is>
          <t>down</t>
        </is>
      </c>
      <c r="F212" t="inlineStr">
        <is>
          <t>down</t>
        </is>
      </c>
      <c r="G212">
        <f>VLOOKUP(_xlfn.CONCAT(Table5[[#This Row],[NODE]],Table5[[#This Row],[PORT]]),PORTS_!A:G,7,0)</f>
        <v/>
      </c>
      <c r="H212" t="inlineStr">
        <is>
          <t>HACIA_HLR_LDAP_Y_SOAP</t>
        </is>
      </c>
      <c r="I212">
        <f>VLOOKUP(VALUE(Table5[[#This Row],[NODE]]),LEAF_INFO!B:H,7,0)</f>
        <v/>
      </c>
      <c r="J212">
        <f>ISNUMBER(SEARCH("vpc-leaf", SUBSTITUTE(LOWER(K212), "_", "-")))</f>
        <v/>
      </c>
      <c r="K212">
        <f>_xlfn.IFNA(VLOOKUP(VALUE(Table5[[#This Row],[NODE]]), VPC!A:A, 2, 0), "No está en VPC")</f>
        <v/>
      </c>
      <c r="L212">
        <f>IF(OR(ISNUMBER(SEARCH("VPC-Leaf", K212)), ISNUMBER(SEARCH("VPC_Leaf", K212))),SUBSTITUTE(SUBSTITUTE(SUBSTITUTE(K212, "VPC-Leaf", ""), "VPC_Leaf", ""), "_", "-"),A212)</f>
        <v/>
      </c>
      <c r="M212">
        <f>_xlfn.IFNA(VLOOKUP(_xlfn.CONCAT(VALUE(Table5[[#This Row],[NODE]]),Table5[[#This Row],[PORT]]),PG!C:H,6,0),"NO EXISTE PG")</f>
        <v/>
      </c>
      <c r="N212">
        <f>_xlfn.IFNA(VLOOKUP(_xlfn.CONCAT(VALUE(Table5[[#This Row],[NODE]]),Table5[[#This Row],[PORT]]),PG!C:H,4,0),"NO EXISTE ISEL")</f>
        <v/>
      </c>
      <c r="O212">
        <f>COUNTIF(Statics!G:G,Table5[[#This Row],[PG]])+COUNTIF(Statics!H:H,_xlfn.CONCAT((Table5[[#This Row],[NODE]]),Table5[[#This Row],[PORT]]))</f>
        <v/>
      </c>
      <c r="P212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12">
        <f>COUNTIF(Statics!F:F,Table5[[#This Row],[ID]])+COUNTIF(Statics!F:F,VALUE(Table5[[#This Row],[NODE]]))</f>
        <v/>
      </c>
    </row>
    <row r="213">
      <c r="A213" t="inlineStr">
        <is>
          <t>151</t>
        </is>
      </c>
      <c r="B213" t="inlineStr">
        <is>
          <t>1</t>
        </is>
      </c>
      <c r="C213">
        <f>VLOOKUP(VALUE(Table5[[#This Row],[NODE]]),LEAF_INFO!B:H,6,0)</f>
        <v/>
      </c>
      <c r="D213" t="inlineStr">
        <is>
          <t>eth1/14</t>
        </is>
      </c>
      <c r="E213" t="inlineStr">
        <is>
          <t>up</t>
        </is>
      </c>
      <c r="F213" t="inlineStr">
        <is>
          <t>down</t>
        </is>
      </c>
      <c r="G213">
        <f>VLOOKUP(_xlfn.CONCAT(Table5[[#This Row],[NODE]],Table5[[#This Row],[PORT]]),PORTS_!A:G,7,0)</f>
        <v/>
      </c>
      <c r="H213" t="inlineStr">
        <is>
          <t>HACIA_HLR_SIG</t>
        </is>
      </c>
      <c r="I213">
        <f>VLOOKUP(VALUE(Table5[[#This Row],[NODE]]),LEAF_INFO!B:H,7,0)</f>
        <v/>
      </c>
      <c r="J213">
        <f>ISNUMBER(SEARCH("vpc-leaf", SUBSTITUTE(LOWER(K213), "_", "-")))</f>
        <v/>
      </c>
      <c r="K213">
        <f>_xlfn.IFNA(VLOOKUP(VALUE(Table5[[#This Row],[NODE]]), VPC!A:A, 2, 0), "No está en VPC")</f>
        <v/>
      </c>
      <c r="L213">
        <f>IF(OR(ISNUMBER(SEARCH("VPC-Leaf", K213)), ISNUMBER(SEARCH("VPC_Leaf", K213))),SUBSTITUTE(SUBSTITUTE(SUBSTITUTE(K213, "VPC-Leaf", ""), "VPC_Leaf", ""), "_", "-"),A213)</f>
        <v/>
      </c>
      <c r="M213">
        <f>_xlfn.IFNA(VLOOKUP(_xlfn.CONCAT(VALUE(Table5[[#This Row],[NODE]]),Table5[[#This Row],[PORT]]),PG!C:H,6,0),"NO EXISTE PG")</f>
        <v/>
      </c>
      <c r="N213">
        <f>_xlfn.IFNA(VLOOKUP(_xlfn.CONCAT(VALUE(Table5[[#This Row],[NODE]]),Table5[[#This Row],[PORT]]),PG!C:H,4,0),"NO EXISTE ISEL")</f>
        <v/>
      </c>
      <c r="O213">
        <f>COUNTIF(Statics!G:G,Table5[[#This Row],[PG]])+COUNTIF(Statics!H:H,_xlfn.CONCAT((Table5[[#This Row],[NODE]]),Table5[[#This Row],[PORT]]))</f>
        <v/>
      </c>
      <c r="P213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13">
        <f>COUNTIF(Statics!F:F,Table5[[#This Row],[ID]])+COUNTIF(Statics!F:F,VALUE(Table5[[#This Row],[NODE]]))</f>
        <v/>
      </c>
    </row>
    <row r="214">
      <c r="A214" t="inlineStr">
        <is>
          <t>151</t>
        </is>
      </c>
      <c r="B214" t="inlineStr">
        <is>
          <t>1</t>
        </is>
      </c>
      <c r="C214">
        <f>VLOOKUP(VALUE(Table5[[#This Row],[NODE]]),LEAF_INFO!B:H,6,0)</f>
        <v/>
      </c>
      <c r="D214" t="inlineStr">
        <is>
          <t>eth1/15</t>
        </is>
      </c>
      <c r="E214" t="inlineStr">
        <is>
          <t>down</t>
        </is>
      </c>
      <c r="F214" t="inlineStr">
        <is>
          <t>down</t>
        </is>
      </c>
      <c r="G214">
        <f>VLOOKUP(_xlfn.CONCAT(Table5[[#This Row],[NODE]],Table5[[#This Row],[PORT]]),PORTS_!A:G,7,0)</f>
        <v/>
      </c>
      <c r="H214" t="inlineStr">
        <is>
          <t>HACIA_HLR_OYM</t>
        </is>
      </c>
      <c r="I214">
        <f>VLOOKUP(VALUE(Table5[[#This Row],[NODE]]),LEAF_INFO!B:H,7,0)</f>
        <v/>
      </c>
      <c r="J214">
        <f>ISNUMBER(SEARCH("vpc-leaf", SUBSTITUTE(LOWER(K214), "_", "-")))</f>
        <v/>
      </c>
      <c r="K214">
        <f>_xlfn.IFNA(VLOOKUP(VALUE(Table5[[#This Row],[NODE]]), VPC!A:A, 2, 0), "No está en VPC")</f>
        <v/>
      </c>
      <c r="L214">
        <f>IF(OR(ISNUMBER(SEARCH("VPC-Leaf", K214)), ISNUMBER(SEARCH("VPC_Leaf", K214))),SUBSTITUTE(SUBSTITUTE(SUBSTITUTE(K214, "VPC-Leaf", ""), "VPC_Leaf", ""), "_", "-"),A214)</f>
        <v/>
      </c>
      <c r="M214">
        <f>_xlfn.IFNA(VLOOKUP(_xlfn.CONCAT(VALUE(Table5[[#This Row],[NODE]]),Table5[[#This Row],[PORT]]),PG!C:H,6,0),"NO EXISTE PG")</f>
        <v/>
      </c>
      <c r="N214">
        <f>_xlfn.IFNA(VLOOKUP(_xlfn.CONCAT(VALUE(Table5[[#This Row],[NODE]]),Table5[[#This Row],[PORT]]),PG!C:H,4,0),"NO EXISTE ISEL")</f>
        <v/>
      </c>
      <c r="O214">
        <f>COUNTIF(Statics!G:G,Table5[[#This Row],[PG]])+COUNTIF(Statics!H:H,_xlfn.CONCAT((Table5[[#This Row],[NODE]]),Table5[[#This Row],[PORT]]))</f>
        <v/>
      </c>
      <c r="P214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14">
        <f>COUNTIF(Statics!F:F,Table5[[#This Row],[ID]])+COUNTIF(Statics!F:F,VALUE(Table5[[#This Row],[NODE]]))</f>
        <v/>
      </c>
    </row>
    <row r="215">
      <c r="A215" t="inlineStr">
        <is>
          <t>151</t>
        </is>
      </c>
      <c r="B215" t="inlineStr">
        <is>
          <t>1</t>
        </is>
      </c>
      <c r="C215">
        <f>VLOOKUP(VALUE(Table5[[#This Row],[NODE]]),LEAF_INFO!B:H,6,0)</f>
        <v/>
      </c>
      <c r="D215" t="inlineStr">
        <is>
          <t>eth1/16</t>
        </is>
      </c>
      <c r="E215" t="inlineStr">
        <is>
          <t>up</t>
        </is>
      </c>
      <c r="F215" t="inlineStr">
        <is>
          <t>up</t>
        </is>
      </c>
      <c r="G215">
        <f>VLOOKUP(_xlfn.CONCAT(Table5[[#This Row],[NODE]],Table5[[#This Row],[PORT]]),PORTS_!A:G,7,0)</f>
        <v/>
      </c>
      <c r="H215" t="inlineStr">
        <is>
          <t>HACIA_2R_MSC_NOGALES Fa0/0 / LINK RED CORPORATIVA</t>
        </is>
      </c>
      <c r="I215">
        <f>VLOOKUP(VALUE(Table5[[#This Row],[NODE]]),LEAF_INFO!B:H,7,0)</f>
        <v/>
      </c>
      <c r="J215">
        <f>ISNUMBER(SEARCH("vpc-leaf", SUBSTITUTE(LOWER(K215), "_", "-")))</f>
        <v/>
      </c>
      <c r="K215">
        <f>_xlfn.IFNA(VLOOKUP(VALUE(Table5[[#This Row],[NODE]]), VPC!A:A, 2, 0), "No está en VPC")</f>
        <v/>
      </c>
      <c r="L215">
        <f>IF(OR(ISNUMBER(SEARCH("VPC-Leaf", K215)), ISNUMBER(SEARCH("VPC_Leaf", K215))),SUBSTITUTE(SUBSTITUTE(SUBSTITUTE(K215, "VPC-Leaf", ""), "VPC_Leaf", ""), "_", "-"),A215)</f>
        <v/>
      </c>
      <c r="M215">
        <f>_xlfn.IFNA(VLOOKUP(_xlfn.CONCAT(VALUE(Table5[[#This Row],[NODE]]),Table5[[#This Row],[PORT]]),PG!C:H,6,0),"NO EXISTE PG")</f>
        <v/>
      </c>
      <c r="N215">
        <f>_xlfn.IFNA(VLOOKUP(_xlfn.CONCAT(VALUE(Table5[[#This Row],[NODE]]),Table5[[#This Row],[PORT]]),PG!C:H,4,0),"NO EXISTE ISEL")</f>
        <v/>
      </c>
      <c r="O215">
        <f>COUNTIF(Statics!G:G,Table5[[#This Row],[PG]])+COUNTIF(Statics!H:H,_xlfn.CONCAT((Table5[[#This Row],[NODE]]),Table5[[#This Row],[PORT]]))</f>
        <v/>
      </c>
      <c r="P215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15">
        <f>COUNTIF(Statics!F:F,Table5[[#This Row],[ID]])+COUNTIF(Statics!F:F,VALUE(Table5[[#This Row],[NODE]]))</f>
        <v/>
      </c>
    </row>
    <row r="216">
      <c r="A216" t="inlineStr">
        <is>
          <t>151</t>
        </is>
      </c>
      <c r="B216" t="inlineStr">
        <is>
          <t>1</t>
        </is>
      </c>
      <c r="C216">
        <f>VLOOKUP(VALUE(Table5[[#This Row],[NODE]]),LEAF_INFO!B:H,6,0)</f>
        <v/>
      </c>
      <c r="D216" t="inlineStr">
        <is>
          <t>eth1/17</t>
        </is>
      </c>
      <c r="E216" t="inlineStr">
        <is>
          <t>down</t>
        </is>
      </c>
      <c r="F216" t="inlineStr">
        <is>
          <t>down</t>
        </is>
      </c>
      <c r="G216">
        <f>VLOOKUP(_xlfn.CONCAT(Table5[[#This Row],[NODE]],Table5[[#This Row],[PORT]]),PORTS_!A:G,7,0)</f>
        <v/>
      </c>
      <c r="H216" t="inlineStr">
        <is>
          <t>HACIA_2A_MSC_NOGALES</t>
        </is>
      </c>
      <c r="I216">
        <f>VLOOKUP(VALUE(Table5[[#This Row],[NODE]]),LEAF_INFO!B:H,7,0)</f>
        <v/>
      </c>
      <c r="J216">
        <f>ISNUMBER(SEARCH("vpc-leaf", SUBSTITUTE(LOWER(K216), "_", "-")))</f>
        <v/>
      </c>
      <c r="K216">
        <f>_xlfn.IFNA(VLOOKUP(VALUE(Table5[[#This Row],[NODE]]), VPC!A:A, 2, 0), "No está en VPC")</f>
        <v/>
      </c>
      <c r="L216">
        <f>IF(OR(ISNUMBER(SEARCH("VPC-Leaf", K216)), ISNUMBER(SEARCH("VPC_Leaf", K216))),SUBSTITUTE(SUBSTITUTE(SUBSTITUTE(K216, "VPC-Leaf", ""), "VPC_Leaf", ""), "_", "-"),A216)</f>
        <v/>
      </c>
      <c r="M216">
        <f>_xlfn.IFNA(VLOOKUP(_xlfn.CONCAT(VALUE(Table5[[#This Row],[NODE]]),Table5[[#This Row],[PORT]]),PG!C:H,6,0),"NO EXISTE PG")</f>
        <v/>
      </c>
      <c r="N216">
        <f>_xlfn.IFNA(VLOOKUP(_xlfn.CONCAT(VALUE(Table5[[#This Row],[NODE]]),Table5[[#This Row],[PORT]]),PG!C:H,4,0),"NO EXISTE ISEL")</f>
        <v/>
      </c>
      <c r="O216">
        <f>COUNTIF(Statics!G:G,Table5[[#This Row],[PG]])+COUNTIF(Statics!H:H,_xlfn.CONCAT((Table5[[#This Row],[NODE]]),Table5[[#This Row],[PORT]]))</f>
        <v/>
      </c>
      <c r="P216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16">
        <f>COUNTIF(Statics!F:F,Table5[[#This Row],[ID]])+COUNTIF(Statics!F:F,VALUE(Table5[[#This Row],[NODE]]))</f>
        <v/>
      </c>
    </row>
    <row r="217">
      <c r="A217" t="inlineStr">
        <is>
          <t>151</t>
        </is>
      </c>
      <c r="B217" t="inlineStr">
        <is>
          <t>1</t>
        </is>
      </c>
      <c r="C217">
        <f>VLOOKUP(VALUE(Table5[[#This Row],[NODE]]),LEAF_INFO!B:H,6,0)</f>
        <v/>
      </c>
      <c r="D217" t="inlineStr">
        <is>
          <t>eth1/18</t>
        </is>
      </c>
      <c r="E217" t="inlineStr">
        <is>
          <t>up</t>
        </is>
      </c>
      <c r="F217" t="inlineStr">
        <is>
          <t>down</t>
        </is>
      </c>
      <c r="G217">
        <f>VLOOKUP(_xlfn.CONCAT(Table5[[#This Row],[NODE]],Table5[[#This Row],[PORT]]),PORTS_!A:G,7,0)</f>
        <v/>
      </c>
      <c r="H217" t="inlineStr">
        <is>
          <t>HACIA_HUAWEI</t>
        </is>
      </c>
      <c r="I217">
        <f>VLOOKUP(VALUE(Table5[[#This Row],[NODE]]),LEAF_INFO!B:H,7,0)</f>
        <v/>
      </c>
      <c r="J217">
        <f>ISNUMBER(SEARCH("vpc-leaf", SUBSTITUTE(LOWER(K217), "_", "-")))</f>
        <v/>
      </c>
      <c r="K217">
        <f>_xlfn.IFNA(VLOOKUP(VALUE(Table5[[#This Row],[NODE]]), VPC!A:A, 2, 0), "No está en VPC")</f>
        <v/>
      </c>
      <c r="L217">
        <f>IF(OR(ISNUMBER(SEARCH("VPC-Leaf", K217)), ISNUMBER(SEARCH("VPC_Leaf", K217))),SUBSTITUTE(SUBSTITUTE(SUBSTITUTE(K217, "VPC-Leaf", ""), "VPC_Leaf", ""), "_", "-"),A217)</f>
        <v/>
      </c>
      <c r="M217">
        <f>_xlfn.IFNA(VLOOKUP(_xlfn.CONCAT(VALUE(Table5[[#This Row],[NODE]]),Table5[[#This Row],[PORT]]),PG!C:H,6,0),"NO EXISTE PG")</f>
        <v/>
      </c>
      <c r="N217">
        <f>_xlfn.IFNA(VLOOKUP(_xlfn.CONCAT(VALUE(Table5[[#This Row],[NODE]]),Table5[[#This Row],[PORT]]),PG!C:H,4,0),"NO EXISTE ISEL")</f>
        <v/>
      </c>
      <c r="O217">
        <f>COUNTIF(Statics!G:G,Table5[[#This Row],[PG]])+COUNTIF(Statics!H:H,_xlfn.CONCAT((Table5[[#This Row],[NODE]]),Table5[[#This Row],[PORT]]))</f>
        <v/>
      </c>
      <c r="P217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17">
        <f>COUNTIF(Statics!F:F,Table5[[#This Row],[ID]])+COUNTIF(Statics!F:F,VALUE(Table5[[#This Row],[NODE]]))</f>
        <v/>
      </c>
    </row>
    <row r="218">
      <c r="A218" t="inlineStr">
        <is>
          <t>151</t>
        </is>
      </c>
      <c r="B218" t="inlineStr">
        <is>
          <t>1</t>
        </is>
      </c>
      <c r="C218">
        <f>VLOOKUP(VALUE(Table5[[#This Row],[NODE]]),LEAF_INFO!B:H,6,0)</f>
        <v/>
      </c>
      <c r="D218" t="inlineStr">
        <is>
          <t>eth1/19</t>
        </is>
      </c>
      <c r="E218" t="inlineStr">
        <is>
          <t>up</t>
        </is>
      </c>
      <c r="F218" t="inlineStr">
        <is>
          <t>up</t>
        </is>
      </c>
      <c r="G218">
        <f>VLOOKUP(_xlfn.CONCAT(Table5[[#This Row],[NODE]],Table5[[#This Row],[PORT]]),PORTS_!A:G,7,0)</f>
        <v/>
      </c>
      <c r="H218" t="inlineStr">
        <is>
          <t>HACIA_CELTRO_NOGALES3_RESPALDO</t>
        </is>
      </c>
      <c r="I218">
        <f>VLOOKUP(VALUE(Table5[[#This Row],[NODE]]),LEAF_INFO!B:H,7,0)</f>
        <v/>
      </c>
      <c r="J218">
        <f>ISNUMBER(SEARCH("vpc-leaf", SUBSTITUTE(LOWER(K218), "_", "-")))</f>
        <v/>
      </c>
      <c r="K218">
        <f>_xlfn.IFNA(VLOOKUP(VALUE(Table5[[#This Row],[NODE]]), VPC!A:A, 2, 0), "No está en VPC")</f>
        <v/>
      </c>
      <c r="L218">
        <f>IF(OR(ISNUMBER(SEARCH("VPC-Leaf", K218)), ISNUMBER(SEARCH("VPC_Leaf", K218))),SUBSTITUTE(SUBSTITUTE(SUBSTITUTE(K218, "VPC-Leaf", ""), "VPC_Leaf", ""), "_", "-"),A218)</f>
        <v/>
      </c>
      <c r="M218">
        <f>_xlfn.IFNA(VLOOKUP(_xlfn.CONCAT(VALUE(Table5[[#This Row],[NODE]]),Table5[[#This Row],[PORT]]),PG!C:H,6,0),"NO EXISTE PG")</f>
        <v/>
      </c>
      <c r="N218">
        <f>_xlfn.IFNA(VLOOKUP(_xlfn.CONCAT(VALUE(Table5[[#This Row],[NODE]]),Table5[[#This Row],[PORT]]),PG!C:H,4,0),"NO EXISTE ISEL")</f>
        <v/>
      </c>
      <c r="O218">
        <f>COUNTIF(Statics!G:G,Table5[[#This Row],[PG]])+COUNTIF(Statics!H:H,_xlfn.CONCAT((Table5[[#This Row],[NODE]]),Table5[[#This Row],[PORT]]))</f>
        <v/>
      </c>
      <c r="P218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18">
        <f>COUNTIF(Statics!F:F,Table5[[#This Row],[ID]])+COUNTIF(Statics!F:F,VALUE(Table5[[#This Row],[NODE]]))</f>
        <v/>
      </c>
    </row>
    <row r="219">
      <c r="A219" t="inlineStr">
        <is>
          <t>151</t>
        </is>
      </c>
      <c r="B219" t="inlineStr">
        <is>
          <t>1</t>
        </is>
      </c>
      <c r="C219">
        <f>VLOOKUP(VALUE(Table5[[#This Row],[NODE]]),LEAF_INFO!B:H,6,0)</f>
        <v/>
      </c>
      <c r="D219" t="inlineStr">
        <is>
          <t>eth1/20</t>
        </is>
      </c>
      <c r="E219" t="inlineStr">
        <is>
          <t>up</t>
        </is>
      </c>
      <c r="F219" t="inlineStr">
        <is>
          <t>up</t>
        </is>
      </c>
      <c r="G219">
        <f>VLOOKUP(_xlfn.CONCAT(Table5[[#This Row],[NODE]],Table5[[#This Row],[PORT]]),PORTS_!A:G,7,0)</f>
        <v/>
      </c>
      <c r="H219" t="inlineStr">
        <is>
          <t>HACIA_EQUIPO ANRITSU</t>
        </is>
      </c>
      <c r="I219">
        <f>VLOOKUP(VALUE(Table5[[#This Row],[NODE]]),LEAF_INFO!B:H,7,0)</f>
        <v/>
      </c>
      <c r="J219">
        <f>ISNUMBER(SEARCH("vpc-leaf", SUBSTITUTE(LOWER(K219), "_", "-")))</f>
        <v/>
      </c>
      <c r="K219">
        <f>_xlfn.IFNA(VLOOKUP(VALUE(Table5[[#This Row],[NODE]]), VPC!A:A, 2, 0), "No está en VPC")</f>
        <v/>
      </c>
      <c r="L219">
        <f>IF(OR(ISNUMBER(SEARCH("VPC-Leaf", K219)), ISNUMBER(SEARCH("VPC_Leaf", K219))),SUBSTITUTE(SUBSTITUTE(SUBSTITUTE(K219, "VPC-Leaf", ""), "VPC_Leaf", ""), "_", "-"),A219)</f>
        <v/>
      </c>
      <c r="M219">
        <f>_xlfn.IFNA(VLOOKUP(_xlfn.CONCAT(VALUE(Table5[[#This Row],[NODE]]),Table5[[#This Row],[PORT]]),PG!C:H,6,0),"NO EXISTE PG")</f>
        <v/>
      </c>
      <c r="N219">
        <f>_xlfn.IFNA(VLOOKUP(_xlfn.CONCAT(VALUE(Table5[[#This Row],[NODE]]),Table5[[#This Row],[PORT]]),PG!C:H,4,0),"NO EXISTE ISEL")</f>
        <v/>
      </c>
      <c r="O219">
        <f>COUNTIF(Statics!G:G,Table5[[#This Row],[PG]])+COUNTIF(Statics!H:H,_xlfn.CONCAT((Table5[[#This Row],[NODE]]),Table5[[#This Row],[PORT]]))</f>
        <v/>
      </c>
      <c r="P219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19">
        <f>COUNTIF(Statics!F:F,Table5[[#This Row],[ID]])+COUNTIF(Statics!F:F,VALUE(Table5[[#This Row],[NODE]]))</f>
        <v/>
      </c>
    </row>
    <row r="220">
      <c r="A220" t="inlineStr">
        <is>
          <t>151</t>
        </is>
      </c>
      <c r="B220" t="inlineStr">
        <is>
          <t>1</t>
        </is>
      </c>
      <c r="C220">
        <f>VLOOKUP(VALUE(Table5[[#This Row],[NODE]]),LEAF_INFO!B:H,6,0)</f>
        <v/>
      </c>
      <c r="D220" t="inlineStr">
        <is>
          <t>eth1/21</t>
        </is>
      </c>
      <c r="E220" t="inlineStr">
        <is>
          <t>down</t>
        </is>
      </c>
      <c r="F220" t="inlineStr">
        <is>
          <t>down</t>
        </is>
      </c>
      <c r="G220">
        <f>VLOOKUP(_xlfn.CONCAT(Table5[[#This Row],[NODE]],Table5[[#This Row],[PORT]]),PORTS_!A:G,7,0)</f>
        <v/>
      </c>
      <c r="H220" t="inlineStr">
        <is>
          <t>HACIA_VMS NUEVO</t>
        </is>
      </c>
      <c r="I220">
        <f>VLOOKUP(VALUE(Table5[[#This Row],[NODE]]),LEAF_INFO!B:H,7,0)</f>
        <v/>
      </c>
      <c r="J220">
        <f>ISNUMBER(SEARCH("vpc-leaf", SUBSTITUTE(LOWER(K220), "_", "-")))</f>
        <v/>
      </c>
      <c r="K220">
        <f>_xlfn.IFNA(VLOOKUP(VALUE(Table5[[#This Row],[NODE]]), VPC!A:A, 2, 0), "No está en VPC")</f>
        <v/>
      </c>
      <c r="L220">
        <f>IF(OR(ISNUMBER(SEARCH("VPC-Leaf", K220)), ISNUMBER(SEARCH("VPC_Leaf", K220))),SUBSTITUTE(SUBSTITUTE(SUBSTITUTE(K220, "VPC-Leaf", ""), "VPC_Leaf", ""), "_", "-"),A220)</f>
        <v/>
      </c>
      <c r="M220">
        <f>_xlfn.IFNA(VLOOKUP(_xlfn.CONCAT(VALUE(Table5[[#This Row],[NODE]]),Table5[[#This Row],[PORT]]),PG!C:H,6,0),"NO EXISTE PG")</f>
        <v/>
      </c>
      <c r="N220">
        <f>_xlfn.IFNA(VLOOKUP(_xlfn.CONCAT(VALUE(Table5[[#This Row],[NODE]]),Table5[[#This Row],[PORT]]),PG!C:H,4,0),"NO EXISTE ISEL")</f>
        <v/>
      </c>
      <c r="O220">
        <f>COUNTIF(Statics!G:G,Table5[[#This Row],[PG]])+COUNTIF(Statics!H:H,_xlfn.CONCAT((Table5[[#This Row],[NODE]]),Table5[[#This Row],[PORT]]))</f>
        <v/>
      </c>
      <c r="P220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20">
        <f>COUNTIF(Statics!F:F,Table5[[#This Row],[ID]])+COUNTIF(Statics!F:F,VALUE(Table5[[#This Row],[NODE]]))</f>
        <v/>
      </c>
    </row>
    <row r="221">
      <c r="A221" t="inlineStr">
        <is>
          <t>151</t>
        </is>
      </c>
      <c r="B221" t="inlineStr">
        <is>
          <t>1</t>
        </is>
      </c>
      <c r="C221">
        <f>VLOOKUP(VALUE(Table5[[#This Row],[NODE]]),LEAF_INFO!B:H,6,0)</f>
        <v/>
      </c>
      <c r="D221" t="inlineStr">
        <is>
          <t>eth1/22</t>
        </is>
      </c>
      <c r="E221" t="inlineStr">
        <is>
          <t>down</t>
        </is>
      </c>
      <c r="F221" t="inlineStr">
        <is>
          <t>down</t>
        </is>
      </c>
      <c r="G221">
        <f>VLOOKUP(_xlfn.CONCAT(Table5[[#This Row],[NODE]],Table5[[#This Row],[PORT]]),PORTS_!A:G,7,0)</f>
        <v/>
      </c>
      <c r="H221" t="inlineStr">
        <is>
          <t>HACIA_VMS NUEVO</t>
        </is>
      </c>
      <c r="I221">
        <f>VLOOKUP(VALUE(Table5[[#This Row],[NODE]]),LEAF_INFO!B:H,7,0)</f>
        <v/>
      </c>
      <c r="J221">
        <f>ISNUMBER(SEARCH("vpc-leaf", SUBSTITUTE(LOWER(K221), "_", "-")))</f>
        <v/>
      </c>
      <c r="K221">
        <f>_xlfn.IFNA(VLOOKUP(VALUE(Table5[[#This Row],[NODE]]), VPC!A:A, 2, 0), "No está en VPC")</f>
        <v/>
      </c>
      <c r="L221">
        <f>IF(OR(ISNUMBER(SEARCH("VPC-Leaf", K221)), ISNUMBER(SEARCH("VPC_Leaf", K221))),SUBSTITUTE(SUBSTITUTE(SUBSTITUTE(K221, "VPC-Leaf", ""), "VPC_Leaf", ""), "_", "-"),A221)</f>
        <v/>
      </c>
      <c r="M221">
        <f>_xlfn.IFNA(VLOOKUP(_xlfn.CONCAT(VALUE(Table5[[#This Row],[NODE]]),Table5[[#This Row],[PORT]]),PG!C:H,6,0),"NO EXISTE PG")</f>
        <v/>
      </c>
      <c r="N221">
        <f>_xlfn.IFNA(VLOOKUP(_xlfn.CONCAT(VALUE(Table5[[#This Row],[NODE]]),Table5[[#This Row],[PORT]]),PG!C:H,4,0),"NO EXISTE ISEL")</f>
        <v/>
      </c>
      <c r="O221">
        <f>COUNTIF(Statics!G:G,Table5[[#This Row],[PG]])+COUNTIF(Statics!H:H,_xlfn.CONCAT((Table5[[#This Row],[NODE]]),Table5[[#This Row],[PORT]]))</f>
        <v/>
      </c>
      <c r="P221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21">
        <f>COUNTIF(Statics!F:F,Table5[[#This Row],[ID]])+COUNTIF(Statics!F:F,VALUE(Table5[[#This Row],[NODE]]))</f>
        <v/>
      </c>
    </row>
    <row r="222">
      <c r="A222" t="inlineStr">
        <is>
          <t>151</t>
        </is>
      </c>
      <c r="B222" t="inlineStr">
        <is>
          <t>1</t>
        </is>
      </c>
      <c r="C222">
        <f>VLOOKUP(VALUE(Table5[[#This Row],[NODE]]),LEAF_INFO!B:H,6,0)</f>
        <v/>
      </c>
      <c r="D222" t="inlineStr">
        <is>
          <t>eth1/23</t>
        </is>
      </c>
      <c r="E222" t="inlineStr">
        <is>
          <t>down</t>
        </is>
      </c>
      <c r="F222" t="inlineStr">
        <is>
          <t>down</t>
        </is>
      </c>
      <c r="G222">
        <f>VLOOKUP(_xlfn.CONCAT(Table5[[#This Row],[NODE]],Table5[[#This Row],[PORT]]),PORTS_!A:G,7,0)</f>
        <v/>
      </c>
      <c r="H222" t="inlineStr">
        <is>
          <t>HACIA_VMS NUEVO</t>
        </is>
      </c>
      <c r="I222">
        <f>VLOOKUP(VALUE(Table5[[#This Row],[NODE]]),LEAF_INFO!B:H,7,0)</f>
        <v/>
      </c>
      <c r="J222">
        <f>ISNUMBER(SEARCH("vpc-leaf", SUBSTITUTE(LOWER(K222), "_", "-")))</f>
        <v/>
      </c>
      <c r="K222">
        <f>_xlfn.IFNA(VLOOKUP(VALUE(Table5[[#This Row],[NODE]]), VPC!A:A, 2, 0), "No está en VPC")</f>
        <v/>
      </c>
      <c r="L222">
        <f>IF(OR(ISNUMBER(SEARCH("VPC-Leaf", K222)), ISNUMBER(SEARCH("VPC_Leaf", K222))),SUBSTITUTE(SUBSTITUTE(SUBSTITUTE(K222, "VPC-Leaf", ""), "VPC_Leaf", ""), "_", "-"),A222)</f>
        <v/>
      </c>
      <c r="M222">
        <f>_xlfn.IFNA(VLOOKUP(_xlfn.CONCAT(VALUE(Table5[[#This Row],[NODE]]),Table5[[#This Row],[PORT]]),PG!C:H,6,0),"NO EXISTE PG")</f>
        <v/>
      </c>
      <c r="N222">
        <f>_xlfn.IFNA(VLOOKUP(_xlfn.CONCAT(VALUE(Table5[[#This Row],[NODE]]),Table5[[#This Row],[PORT]]),PG!C:H,4,0),"NO EXISTE ISEL")</f>
        <v/>
      </c>
      <c r="O222">
        <f>COUNTIF(Statics!G:G,Table5[[#This Row],[PG]])+COUNTIF(Statics!H:H,_xlfn.CONCAT((Table5[[#This Row],[NODE]]),Table5[[#This Row],[PORT]]))</f>
        <v/>
      </c>
      <c r="P222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22">
        <f>COUNTIF(Statics!F:F,Table5[[#This Row],[ID]])+COUNTIF(Statics!F:F,VALUE(Table5[[#This Row],[NODE]]))</f>
        <v/>
      </c>
    </row>
    <row r="223">
      <c r="A223" t="inlineStr">
        <is>
          <t>151</t>
        </is>
      </c>
      <c r="B223" t="inlineStr">
        <is>
          <t>1</t>
        </is>
      </c>
      <c r="C223">
        <f>VLOOKUP(VALUE(Table5[[#This Row],[NODE]]),LEAF_INFO!B:H,6,0)</f>
        <v/>
      </c>
      <c r="D223" t="inlineStr">
        <is>
          <t>eth1/24</t>
        </is>
      </c>
      <c r="E223" t="inlineStr">
        <is>
          <t>up</t>
        </is>
      </c>
      <c r="F223" t="inlineStr">
        <is>
          <t>up</t>
        </is>
      </c>
      <c r="G223">
        <f>VLOOKUP(_xlfn.CONCAT(Table5[[#This Row],[NODE]],Table5[[#This Row],[PORT]]),PORTS_!A:G,7,0)</f>
        <v/>
      </c>
      <c r="H223" t="inlineStr">
        <is>
          <t>HACIA_INGMG1 Tarjeta ET-IPG2 Puerto Pasivo / Panel 26 Pos-30</t>
        </is>
      </c>
      <c r="I223">
        <f>VLOOKUP(VALUE(Table5[[#This Row],[NODE]]),LEAF_INFO!B:H,7,0)</f>
        <v/>
      </c>
      <c r="J223">
        <f>ISNUMBER(SEARCH("vpc-leaf", SUBSTITUTE(LOWER(K223), "_", "-")))</f>
        <v/>
      </c>
      <c r="K223">
        <f>_xlfn.IFNA(VLOOKUP(VALUE(Table5[[#This Row],[NODE]]), VPC!A:A, 2, 0), "No está en VPC")</f>
        <v/>
      </c>
      <c r="L223">
        <f>IF(OR(ISNUMBER(SEARCH("VPC-Leaf", K223)), ISNUMBER(SEARCH("VPC_Leaf", K223))),SUBSTITUTE(SUBSTITUTE(SUBSTITUTE(K223, "VPC-Leaf", ""), "VPC_Leaf", ""), "_", "-"),A223)</f>
        <v/>
      </c>
      <c r="M223">
        <f>_xlfn.IFNA(VLOOKUP(_xlfn.CONCAT(VALUE(Table5[[#This Row],[NODE]]),Table5[[#This Row],[PORT]]),PG!C:H,6,0),"NO EXISTE PG")</f>
        <v/>
      </c>
      <c r="N223">
        <f>_xlfn.IFNA(VLOOKUP(_xlfn.CONCAT(VALUE(Table5[[#This Row],[NODE]]),Table5[[#This Row],[PORT]]),PG!C:H,4,0),"NO EXISTE ISEL")</f>
        <v/>
      </c>
      <c r="O223">
        <f>COUNTIF(Statics!G:G,Table5[[#This Row],[PG]])+COUNTIF(Statics!H:H,_xlfn.CONCAT((Table5[[#This Row],[NODE]]),Table5[[#This Row],[PORT]]))</f>
        <v/>
      </c>
      <c r="P223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23">
        <f>COUNTIF(Statics!F:F,Table5[[#This Row],[ID]])+COUNTIF(Statics!F:F,VALUE(Table5[[#This Row],[NODE]]))</f>
        <v/>
      </c>
    </row>
    <row r="224">
      <c r="A224" t="inlineStr">
        <is>
          <t>151</t>
        </is>
      </c>
      <c r="B224" t="inlineStr">
        <is>
          <t>1</t>
        </is>
      </c>
      <c r="C224">
        <f>VLOOKUP(VALUE(Table5[[#This Row],[NODE]]),LEAF_INFO!B:H,6,0)</f>
        <v/>
      </c>
      <c r="D224" t="inlineStr">
        <is>
          <t>eth1/25</t>
        </is>
      </c>
      <c r="E224" t="inlineStr">
        <is>
          <t>down</t>
        </is>
      </c>
      <c r="F224" t="inlineStr">
        <is>
          <t>down</t>
        </is>
      </c>
      <c r="G224">
        <f>VLOOKUP(_xlfn.CONCAT(Table5[[#This Row],[NODE]],Table5[[#This Row],[PORT]]),PORTS_!A:G,7,0)</f>
        <v/>
      </c>
      <c r="H224" t="inlineStr">
        <is>
          <t>HACIA_VMS NUEVO</t>
        </is>
      </c>
      <c r="I224">
        <f>VLOOKUP(VALUE(Table5[[#This Row],[NODE]]),LEAF_INFO!B:H,7,0)</f>
        <v/>
      </c>
      <c r="J224">
        <f>ISNUMBER(SEARCH("vpc-leaf", SUBSTITUTE(LOWER(K224), "_", "-")))</f>
        <v/>
      </c>
      <c r="K224">
        <f>_xlfn.IFNA(VLOOKUP(VALUE(Table5[[#This Row],[NODE]]), VPC!A:A, 2, 0), "No está en VPC")</f>
        <v/>
      </c>
      <c r="L224">
        <f>IF(OR(ISNUMBER(SEARCH("VPC-Leaf", K224)), ISNUMBER(SEARCH("VPC_Leaf", K224))),SUBSTITUTE(SUBSTITUTE(SUBSTITUTE(K224, "VPC-Leaf", ""), "VPC_Leaf", ""), "_", "-"),A224)</f>
        <v/>
      </c>
      <c r="M224">
        <f>_xlfn.IFNA(VLOOKUP(_xlfn.CONCAT(VALUE(Table5[[#This Row],[NODE]]),Table5[[#This Row],[PORT]]),PG!C:H,6,0),"NO EXISTE PG")</f>
        <v/>
      </c>
      <c r="N224">
        <f>_xlfn.IFNA(VLOOKUP(_xlfn.CONCAT(VALUE(Table5[[#This Row],[NODE]]),Table5[[#This Row],[PORT]]),PG!C:H,4,0),"NO EXISTE ISEL")</f>
        <v/>
      </c>
      <c r="O224">
        <f>COUNTIF(Statics!G:G,Table5[[#This Row],[PG]])+COUNTIF(Statics!H:H,_xlfn.CONCAT((Table5[[#This Row],[NODE]]),Table5[[#This Row],[PORT]]))</f>
        <v/>
      </c>
      <c r="P224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24">
        <f>COUNTIF(Statics!F:F,Table5[[#This Row],[ID]])+COUNTIF(Statics!F:F,VALUE(Table5[[#This Row],[NODE]]))</f>
        <v/>
      </c>
    </row>
    <row r="225">
      <c r="A225" t="inlineStr">
        <is>
          <t>151</t>
        </is>
      </c>
      <c r="B225" t="inlineStr">
        <is>
          <t>1</t>
        </is>
      </c>
      <c r="C225">
        <f>VLOOKUP(VALUE(Table5[[#This Row],[NODE]]),LEAF_INFO!B:H,6,0)</f>
        <v/>
      </c>
      <c r="D225" t="inlineStr">
        <is>
          <t>eth1/26</t>
        </is>
      </c>
      <c r="E225" t="inlineStr">
        <is>
          <t>down</t>
        </is>
      </c>
      <c r="F225" t="inlineStr">
        <is>
          <t>down</t>
        </is>
      </c>
      <c r="G225">
        <f>VLOOKUP(_xlfn.CONCAT(Table5[[#This Row],[NODE]],Table5[[#This Row],[PORT]]),PORTS_!A:G,7,0)</f>
        <v/>
      </c>
      <c r="H225" t="inlineStr"/>
      <c r="I225">
        <f>VLOOKUP(VALUE(Table5[[#This Row],[NODE]]),LEAF_INFO!B:H,7,0)</f>
        <v/>
      </c>
      <c r="J225">
        <f>ISNUMBER(SEARCH("vpc-leaf", SUBSTITUTE(LOWER(K225), "_", "-")))</f>
        <v/>
      </c>
      <c r="K225">
        <f>_xlfn.IFNA(VLOOKUP(VALUE(Table5[[#This Row],[NODE]]), VPC!A:A, 2, 0), "No está en VPC")</f>
        <v/>
      </c>
      <c r="L225">
        <f>IF(OR(ISNUMBER(SEARCH("VPC-Leaf", K225)), ISNUMBER(SEARCH("VPC_Leaf", K225))),SUBSTITUTE(SUBSTITUTE(SUBSTITUTE(K225, "VPC-Leaf", ""), "VPC_Leaf", ""), "_", "-"),A225)</f>
        <v/>
      </c>
      <c r="M225">
        <f>_xlfn.IFNA(VLOOKUP(_xlfn.CONCAT(VALUE(Table5[[#This Row],[NODE]]),Table5[[#This Row],[PORT]]),PG!C:H,6,0),"NO EXISTE PG")</f>
        <v/>
      </c>
      <c r="N225">
        <f>_xlfn.IFNA(VLOOKUP(_xlfn.CONCAT(VALUE(Table5[[#This Row],[NODE]]),Table5[[#This Row],[PORT]]),PG!C:H,4,0),"NO EXISTE ISEL")</f>
        <v/>
      </c>
      <c r="O225">
        <f>COUNTIF(Statics!G:G,Table5[[#This Row],[PG]])+COUNTIF(Statics!H:H,_xlfn.CONCAT((Table5[[#This Row],[NODE]]),Table5[[#This Row],[PORT]]))</f>
        <v/>
      </c>
      <c r="P225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25">
        <f>COUNTIF(Statics!F:F,Table5[[#This Row],[ID]])+COUNTIF(Statics!F:F,VALUE(Table5[[#This Row],[NODE]]))</f>
        <v/>
      </c>
    </row>
    <row r="226">
      <c r="A226" t="inlineStr">
        <is>
          <t>151</t>
        </is>
      </c>
      <c r="B226" t="inlineStr">
        <is>
          <t>1</t>
        </is>
      </c>
      <c r="C226">
        <f>VLOOKUP(VALUE(Table5[[#This Row],[NODE]]),LEAF_INFO!B:H,6,0)</f>
        <v/>
      </c>
      <c r="D226" t="inlineStr">
        <is>
          <t>eth1/27</t>
        </is>
      </c>
      <c r="E226" t="inlineStr">
        <is>
          <t>up</t>
        </is>
      </c>
      <c r="F226" t="inlineStr">
        <is>
          <t>up</t>
        </is>
      </c>
      <c r="G226">
        <f>VLOOKUP(_xlfn.CONCAT(Table5[[#This Row],[NODE]],Table5[[#This Row],[PORT]]),PORTS_!A:G,7,0)</f>
        <v/>
      </c>
      <c r="H226" t="inlineStr">
        <is>
          <t>NB-Ingenieros</t>
        </is>
      </c>
      <c r="I226">
        <f>VLOOKUP(VALUE(Table5[[#This Row],[NODE]]),LEAF_INFO!B:H,7,0)</f>
        <v/>
      </c>
      <c r="J226">
        <f>ISNUMBER(SEARCH("vpc-leaf", SUBSTITUTE(LOWER(K226), "_", "-")))</f>
        <v/>
      </c>
      <c r="K226">
        <f>_xlfn.IFNA(VLOOKUP(VALUE(Table5[[#This Row],[NODE]]), VPC!A:A, 2, 0), "No está en VPC")</f>
        <v/>
      </c>
      <c r="L226">
        <f>IF(OR(ISNUMBER(SEARCH("VPC-Leaf", K226)), ISNUMBER(SEARCH("VPC_Leaf", K226))),SUBSTITUTE(SUBSTITUTE(SUBSTITUTE(K226, "VPC-Leaf", ""), "VPC_Leaf", ""), "_", "-"),A226)</f>
        <v/>
      </c>
      <c r="M226">
        <f>_xlfn.IFNA(VLOOKUP(_xlfn.CONCAT(VALUE(Table5[[#This Row],[NODE]]),Table5[[#This Row],[PORT]]),PG!C:H,6,0),"NO EXISTE PG")</f>
        <v/>
      </c>
      <c r="N226">
        <f>_xlfn.IFNA(VLOOKUP(_xlfn.CONCAT(VALUE(Table5[[#This Row],[NODE]]),Table5[[#This Row],[PORT]]),PG!C:H,4,0),"NO EXISTE ISEL")</f>
        <v/>
      </c>
      <c r="O226">
        <f>COUNTIF(Statics!G:G,Table5[[#This Row],[PG]])+COUNTIF(Statics!H:H,_xlfn.CONCAT((Table5[[#This Row],[NODE]]),Table5[[#This Row],[PORT]]))</f>
        <v/>
      </c>
      <c r="P226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26">
        <f>COUNTIF(Statics!F:F,Table5[[#This Row],[ID]])+COUNTIF(Statics!F:F,VALUE(Table5[[#This Row],[NODE]]))</f>
        <v/>
      </c>
    </row>
    <row r="227">
      <c r="A227" t="inlineStr">
        <is>
          <t>151</t>
        </is>
      </c>
      <c r="B227" t="inlineStr">
        <is>
          <t>1</t>
        </is>
      </c>
      <c r="C227">
        <f>VLOOKUP(VALUE(Table5[[#This Row],[NODE]]),LEAF_INFO!B:H,6,0)</f>
        <v/>
      </c>
      <c r="D227" t="inlineStr">
        <is>
          <t>eth1/28</t>
        </is>
      </c>
      <c r="E227" t="inlineStr">
        <is>
          <t>up</t>
        </is>
      </c>
      <c r="F227" t="inlineStr">
        <is>
          <t>up</t>
        </is>
      </c>
      <c r="G227">
        <f>VLOOKUP(_xlfn.CONCAT(Table5[[#This Row],[NODE]],Table5[[#This Row],[PORT]]),PORTS_!A:G,7,0)</f>
        <v/>
      </c>
      <c r="H227" t="inlineStr">
        <is>
          <t>To_NB-INGENIEROS_U1900</t>
        </is>
      </c>
      <c r="I227">
        <f>VLOOKUP(VALUE(Table5[[#This Row],[NODE]]),LEAF_INFO!B:H,7,0)</f>
        <v/>
      </c>
      <c r="J227">
        <f>ISNUMBER(SEARCH("vpc-leaf", SUBSTITUTE(LOWER(K227), "_", "-")))</f>
        <v/>
      </c>
      <c r="K227">
        <f>_xlfn.IFNA(VLOOKUP(VALUE(Table5[[#This Row],[NODE]]), VPC!A:A, 2, 0), "No está en VPC")</f>
        <v/>
      </c>
      <c r="L227">
        <f>IF(OR(ISNUMBER(SEARCH("VPC-Leaf", K227)), ISNUMBER(SEARCH("VPC_Leaf", K227))),SUBSTITUTE(SUBSTITUTE(SUBSTITUTE(K227, "VPC-Leaf", ""), "VPC_Leaf", ""), "_", "-"),A227)</f>
        <v/>
      </c>
      <c r="M227">
        <f>_xlfn.IFNA(VLOOKUP(_xlfn.CONCAT(VALUE(Table5[[#This Row],[NODE]]),Table5[[#This Row],[PORT]]),PG!C:H,6,0),"NO EXISTE PG")</f>
        <v/>
      </c>
      <c r="N227">
        <f>_xlfn.IFNA(VLOOKUP(_xlfn.CONCAT(VALUE(Table5[[#This Row],[NODE]]),Table5[[#This Row],[PORT]]),PG!C:H,4,0),"NO EXISTE ISEL")</f>
        <v/>
      </c>
      <c r="O227">
        <f>COUNTIF(Statics!G:G,Table5[[#This Row],[PG]])+COUNTIF(Statics!H:H,_xlfn.CONCAT((Table5[[#This Row],[NODE]]),Table5[[#This Row],[PORT]]))</f>
        <v/>
      </c>
      <c r="P227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27">
        <f>COUNTIF(Statics!F:F,Table5[[#This Row],[ID]])+COUNTIF(Statics!F:F,VALUE(Table5[[#This Row],[NODE]]))</f>
        <v/>
      </c>
    </row>
    <row r="228">
      <c r="A228" t="inlineStr">
        <is>
          <t>151</t>
        </is>
      </c>
      <c r="B228" t="inlineStr">
        <is>
          <t>1</t>
        </is>
      </c>
      <c r="C228">
        <f>VLOOKUP(VALUE(Table5[[#This Row],[NODE]]),LEAF_INFO!B:H,6,0)</f>
        <v/>
      </c>
      <c r="D228" t="inlineStr">
        <is>
          <t>eth1/29</t>
        </is>
      </c>
      <c r="E228" t="inlineStr">
        <is>
          <t>up</t>
        </is>
      </c>
      <c r="F228" t="inlineStr">
        <is>
          <t>up</t>
        </is>
      </c>
      <c r="G228">
        <f>VLOOKUP(_xlfn.CONCAT(Table5[[#This Row],[NODE]],Table5[[#This Row],[PORT]]),PORTS_!A:G,7,0)</f>
        <v/>
      </c>
      <c r="H228" t="inlineStr">
        <is>
          <t>LTE_PTP_SINCRONIA</t>
        </is>
      </c>
      <c r="I228">
        <f>VLOOKUP(VALUE(Table5[[#This Row],[NODE]]),LEAF_INFO!B:H,7,0)</f>
        <v/>
      </c>
      <c r="J228">
        <f>ISNUMBER(SEARCH("vpc-leaf", SUBSTITUTE(LOWER(K228), "_", "-")))</f>
        <v/>
      </c>
      <c r="K228">
        <f>_xlfn.IFNA(VLOOKUP(VALUE(Table5[[#This Row],[NODE]]), VPC!A:A, 2, 0), "No está en VPC")</f>
        <v/>
      </c>
      <c r="L228">
        <f>IF(OR(ISNUMBER(SEARCH("VPC-Leaf", K228)), ISNUMBER(SEARCH("VPC_Leaf", K228))),SUBSTITUTE(SUBSTITUTE(SUBSTITUTE(K228, "VPC-Leaf", ""), "VPC_Leaf", ""), "_", "-"),A228)</f>
        <v/>
      </c>
      <c r="M228">
        <f>_xlfn.IFNA(VLOOKUP(_xlfn.CONCAT(VALUE(Table5[[#This Row],[NODE]]),Table5[[#This Row],[PORT]]),PG!C:H,6,0),"NO EXISTE PG")</f>
        <v/>
      </c>
      <c r="N228">
        <f>_xlfn.IFNA(VLOOKUP(_xlfn.CONCAT(VALUE(Table5[[#This Row],[NODE]]),Table5[[#This Row],[PORT]]),PG!C:H,4,0),"NO EXISTE ISEL")</f>
        <v/>
      </c>
      <c r="O228">
        <f>COUNTIF(Statics!G:G,Table5[[#This Row],[PG]])+COUNTIF(Statics!H:H,_xlfn.CONCAT((Table5[[#This Row],[NODE]]),Table5[[#This Row],[PORT]]))</f>
        <v/>
      </c>
      <c r="P228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28">
        <f>COUNTIF(Statics!F:F,Table5[[#This Row],[ID]])+COUNTIF(Statics!F:F,VALUE(Table5[[#This Row],[NODE]]))</f>
        <v/>
      </c>
    </row>
    <row r="229">
      <c r="A229" t="inlineStr">
        <is>
          <t>151</t>
        </is>
      </c>
      <c r="B229" t="inlineStr">
        <is>
          <t>1</t>
        </is>
      </c>
      <c r="C229">
        <f>VLOOKUP(VALUE(Table5[[#This Row],[NODE]]),LEAF_INFO!B:H,6,0)</f>
        <v/>
      </c>
      <c r="D229" t="inlineStr">
        <is>
          <t>eth1/30</t>
        </is>
      </c>
      <c r="E229" t="inlineStr">
        <is>
          <t>up</t>
        </is>
      </c>
      <c r="F229" t="inlineStr">
        <is>
          <t>up</t>
        </is>
      </c>
      <c r="G229">
        <f>VLOOKUP(_xlfn.CONCAT(Table5[[#This Row],[NODE]],Table5[[#This Row],[PORT]]),PORTS_!A:G,7,0)</f>
        <v/>
      </c>
      <c r="H229" t="inlineStr">
        <is>
          <t>To_eNB_INGENIEROS</t>
        </is>
      </c>
      <c r="I229">
        <f>VLOOKUP(VALUE(Table5[[#This Row],[NODE]]),LEAF_INFO!B:H,7,0)</f>
        <v/>
      </c>
      <c r="J229">
        <f>ISNUMBER(SEARCH("vpc-leaf", SUBSTITUTE(LOWER(K229), "_", "-")))</f>
        <v/>
      </c>
      <c r="K229">
        <f>_xlfn.IFNA(VLOOKUP(VALUE(Table5[[#This Row],[NODE]]), VPC!A:A, 2, 0), "No está en VPC")</f>
        <v/>
      </c>
      <c r="L229">
        <f>IF(OR(ISNUMBER(SEARCH("VPC-Leaf", K229)), ISNUMBER(SEARCH("VPC_Leaf", K229))),SUBSTITUTE(SUBSTITUTE(SUBSTITUTE(K229, "VPC-Leaf", ""), "VPC_Leaf", ""), "_", "-"),A229)</f>
        <v/>
      </c>
      <c r="M229">
        <f>_xlfn.IFNA(VLOOKUP(_xlfn.CONCAT(VALUE(Table5[[#This Row],[NODE]]),Table5[[#This Row],[PORT]]),PG!C:H,6,0),"NO EXISTE PG")</f>
        <v/>
      </c>
      <c r="N229">
        <f>_xlfn.IFNA(VLOOKUP(_xlfn.CONCAT(VALUE(Table5[[#This Row],[NODE]]),Table5[[#This Row],[PORT]]),PG!C:H,4,0),"NO EXISTE ISEL")</f>
        <v/>
      </c>
      <c r="O229">
        <f>COUNTIF(Statics!G:G,Table5[[#This Row],[PG]])+COUNTIF(Statics!H:H,_xlfn.CONCAT((Table5[[#This Row],[NODE]]),Table5[[#This Row],[PORT]]))</f>
        <v/>
      </c>
      <c r="P229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29">
        <f>COUNTIF(Statics!F:F,Table5[[#This Row],[ID]])+COUNTIF(Statics!F:F,VALUE(Table5[[#This Row],[NODE]]))</f>
        <v/>
      </c>
    </row>
    <row r="230">
      <c r="A230" t="inlineStr">
        <is>
          <t>151</t>
        </is>
      </c>
      <c r="B230" t="inlineStr">
        <is>
          <t>1</t>
        </is>
      </c>
      <c r="C230">
        <f>VLOOKUP(VALUE(Table5[[#This Row],[NODE]]),LEAF_INFO!B:H,6,0)</f>
        <v/>
      </c>
      <c r="D230" t="inlineStr">
        <is>
          <t>eth1/31</t>
        </is>
      </c>
      <c r="E230" t="inlineStr">
        <is>
          <t>up</t>
        </is>
      </c>
      <c r="F230" t="inlineStr">
        <is>
          <t>up</t>
        </is>
      </c>
      <c r="G230">
        <f>VLOOKUP(_xlfn.CONCAT(Table5[[#This Row],[NODE]],Table5[[#This Row],[PORT]]),PORTS_!A:G,7,0)</f>
        <v/>
      </c>
      <c r="H230" t="inlineStr">
        <is>
          <t>Sync-Server_PTP5000</t>
        </is>
      </c>
      <c r="I230">
        <f>VLOOKUP(VALUE(Table5[[#This Row],[NODE]]),LEAF_INFO!B:H,7,0)</f>
        <v/>
      </c>
      <c r="J230">
        <f>ISNUMBER(SEARCH("vpc-leaf", SUBSTITUTE(LOWER(K230), "_", "-")))</f>
        <v/>
      </c>
      <c r="K230">
        <f>_xlfn.IFNA(VLOOKUP(VALUE(Table5[[#This Row],[NODE]]), VPC!A:A, 2, 0), "No está en VPC")</f>
        <v/>
      </c>
      <c r="L230">
        <f>IF(OR(ISNUMBER(SEARCH("VPC-Leaf", K230)), ISNUMBER(SEARCH("VPC_Leaf", K230))),SUBSTITUTE(SUBSTITUTE(SUBSTITUTE(K230, "VPC-Leaf", ""), "VPC_Leaf", ""), "_", "-"),A230)</f>
        <v/>
      </c>
      <c r="M230">
        <f>_xlfn.IFNA(VLOOKUP(_xlfn.CONCAT(VALUE(Table5[[#This Row],[NODE]]),Table5[[#This Row],[PORT]]),PG!C:H,6,0),"NO EXISTE PG")</f>
        <v/>
      </c>
      <c r="N230">
        <f>_xlfn.IFNA(VLOOKUP(_xlfn.CONCAT(VALUE(Table5[[#This Row],[NODE]]),Table5[[#This Row],[PORT]]),PG!C:H,4,0),"NO EXISTE ISEL")</f>
        <v/>
      </c>
      <c r="O230">
        <f>COUNTIF(Statics!G:G,Table5[[#This Row],[PG]])+COUNTIF(Statics!H:H,_xlfn.CONCAT((Table5[[#This Row],[NODE]]),Table5[[#This Row],[PORT]]))</f>
        <v/>
      </c>
      <c r="P230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30">
        <f>COUNTIF(Statics!F:F,Table5[[#This Row],[ID]])+COUNTIF(Statics!F:F,VALUE(Table5[[#This Row],[NODE]]))</f>
        <v/>
      </c>
    </row>
    <row r="231">
      <c r="A231" t="inlineStr">
        <is>
          <t>151</t>
        </is>
      </c>
      <c r="B231" t="inlineStr">
        <is>
          <t>1</t>
        </is>
      </c>
      <c r="C231">
        <f>VLOOKUP(VALUE(Table5[[#This Row],[NODE]]),LEAF_INFO!B:H,6,0)</f>
        <v/>
      </c>
      <c r="D231" t="inlineStr">
        <is>
          <t>eth1/32</t>
        </is>
      </c>
      <c r="E231" t="inlineStr">
        <is>
          <t>down</t>
        </is>
      </c>
      <c r="F231" t="inlineStr">
        <is>
          <t>down</t>
        </is>
      </c>
      <c r="G231">
        <f>VLOOKUP(_xlfn.CONCAT(Table5[[#This Row],[NODE]],Table5[[#This Row],[PORT]]),PORTS_!A:G,7,0)</f>
        <v/>
      </c>
      <c r="H231" t="inlineStr"/>
      <c r="I231">
        <f>VLOOKUP(VALUE(Table5[[#This Row],[NODE]]),LEAF_INFO!B:H,7,0)</f>
        <v/>
      </c>
      <c r="J231">
        <f>ISNUMBER(SEARCH("vpc-leaf", SUBSTITUTE(LOWER(K231), "_", "-")))</f>
        <v/>
      </c>
      <c r="K231">
        <f>_xlfn.IFNA(VLOOKUP(VALUE(Table5[[#This Row],[NODE]]), VPC!A:A, 2, 0), "No está en VPC")</f>
        <v/>
      </c>
      <c r="L231">
        <f>IF(OR(ISNUMBER(SEARCH("VPC-Leaf", K231)), ISNUMBER(SEARCH("VPC_Leaf", K231))),SUBSTITUTE(SUBSTITUTE(SUBSTITUTE(K231, "VPC-Leaf", ""), "VPC_Leaf", ""), "_", "-"),A231)</f>
        <v/>
      </c>
      <c r="M231">
        <f>_xlfn.IFNA(VLOOKUP(_xlfn.CONCAT(VALUE(Table5[[#This Row],[NODE]]),Table5[[#This Row],[PORT]]),PG!C:H,6,0),"NO EXISTE PG")</f>
        <v/>
      </c>
      <c r="N231">
        <f>_xlfn.IFNA(VLOOKUP(_xlfn.CONCAT(VALUE(Table5[[#This Row],[NODE]]),Table5[[#This Row],[PORT]]),PG!C:H,4,0),"NO EXISTE ISEL")</f>
        <v/>
      </c>
      <c r="O231">
        <f>COUNTIF(Statics!G:G,Table5[[#This Row],[PG]])+COUNTIF(Statics!H:H,_xlfn.CONCAT((Table5[[#This Row],[NODE]]),Table5[[#This Row],[PORT]]))</f>
        <v/>
      </c>
      <c r="P231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31">
        <f>COUNTIF(Statics!F:F,Table5[[#This Row],[ID]])+COUNTIF(Statics!F:F,VALUE(Table5[[#This Row],[NODE]]))</f>
        <v/>
      </c>
    </row>
    <row r="232">
      <c r="A232" t="inlineStr">
        <is>
          <t>152</t>
        </is>
      </c>
      <c r="B232" t="inlineStr">
        <is>
          <t>1</t>
        </is>
      </c>
      <c r="C232">
        <f>VLOOKUP(VALUE(Table5[[#This Row],[NODE]]),LEAF_INFO!B:H,6,0)</f>
        <v/>
      </c>
      <c r="D232" t="inlineStr">
        <is>
          <t>eth1/33</t>
        </is>
      </c>
      <c r="E232" t="inlineStr">
        <is>
          <t>down</t>
        </is>
      </c>
      <c r="F232" t="inlineStr">
        <is>
          <t>down</t>
        </is>
      </c>
      <c r="G232">
        <f>VLOOKUP(_xlfn.CONCAT(Table5[[#This Row],[NODE]],Table5[[#This Row],[PORT]]),PORTS_!A:G,7,0)</f>
        <v/>
      </c>
      <c r="H232" t="inlineStr"/>
      <c r="I232">
        <f>VLOOKUP(VALUE(Table5[[#This Row],[NODE]]),LEAF_INFO!B:H,7,0)</f>
        <v/>
      </c>
      <c r="J232">
        <f>ISNUMBER(SEARCH("vpc-leaf", SUBSTITUTE(LOWER(K232), "_", "-")))</f>
        <v/>
      </c>
      <c r="K232">
        <f>_xlfn.IFNA(VLOOKUP(VALUE(Table5[[#This Row],[NODE]]), VPC!A:A, 2, 0), "No está en VPC")</f>
        <v/>
      </c>
      <c r="L232">
        <f>IF(OR(ISNUMBER(SEARCH("VPC-Leaf", K232)), ISNUMBER(SEARCH("VPC_Leaf", K232))),SUBSTITUTE(SUBSTITUTE(SUBSTITUTE(K232, "VPC-Leaf", ""), "VPC_Leaf", ""), "_", "-"),A232)</f>
        <v/>
      </c>
      <c r="M232">
        <f>_xlfn.IFNA(VLOOKUP(_xlfn.CONCAT(VALUE(Table5[[#This Row],[NODE]]),Table5[[#This Row],[PORT]]),PG!C:H,6,0),"NO EXISTE PG")</f>
        <v/>
      </c>
      <c r="N232">
        <f>_xlfn.IFNA(VLOOKUP(_xlfn.CONCAT(VALUE(Table5[[#This Row],[NODE]]),Table5[[#This Row],[PORT]]),PG!C:H,4,0),"NO EXISTE ISEL")</f>
        <v/>
      </c>
      <c r="O232">
        <f>COUNTIF(Statics!G:G,Table5[[#This Row],[PG]])+COUNTIF(Statics!H:H,_xlfn.CONCAT((Table5[[#This Row],[NODE]]),Table5[[#This Row],[PORT]]))</f>
        <v/>
      </c>
      <c r="P232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32">
        <f>COUNTIF(Statics!F:F,Table5[[#This Row],[ID]])+COUNTIF(Statics!F:F,VALUE(Table5[[#This Row],[NODE]]))</f>
        <v/>
      </c>
    </row>
    <row r="233">
      <c r="A233" t="inlineStr">
        <is>
          <t>152</t>
        </is>
      </c>
      <c r="B233" t="inlineStr">
        <is>
          <t>1</t>
        </is>
      </c>
      <c r="C233">
        <f>VLOOKUP(VALUE(Table5[[#This Row],[NODE]]),LEAF_INFO!B:H,6,0)</f>
        <v/>
      </c>
      <c r="D233" t="inlineStr">
        <is>
          <t>eth1/34</t>
        </is>
      </c>
      <c r="E233" t="inlineStr">
        <is>
          <t>down</t>
        </is>
      </c>
      <c r="F233" t="inlineStr">
        <is>
          <t>down</t>
        </is>
      </c>
      <c r="G233">
        <f>VLOOKUP(_xlfn.CONCAT(Table5[[#This Row],[NODE]],Table5[[#This Row],[PORT]]),PORTS_!A:G,7,0)</f>
        <v/>
      </c>
      <c r="H233" t="inlineStr"/>
      <c r="I233">
        <f>VLOOKUP(VALUE(Table5[[#This Row],[NODE]]),LEAF_INFO!B:H,7,0)</f>
        <v/>
      </c>
      <c r="J233">
        <f>ISNUMBER(SEARCH("vpc-leaf", SUBSTITUTE(LOWER(K233), "_", "-")))</f>
        <v/>
      </c>
      <c r="K233">
        <f>_xlfn.IFNA(VLOOKUP(VALUE(Table5[[#This Row],[NODE]]), VPC!A:A, 2, 0), "No está en VPC")</f>
        <v/>
      </c>
      <c r="L233">
        <f>IF(OR(ISNUMBER(SEARCH("VPC-Leaf", K233)), ISNUMBER(SEARCH("VPC_Leaf", K233))),SUBSTITUTE(SUBSTITUTE(SUBSTITUTE(K233, "VPC-Leaf", ""), "VPC_Leaf", ""), "_", "-"),A233)</f>
        <v/>
      </c>
      <c r="M233">
        <f>_xlfn.IFNA(VLOOKUP(_xlfn.CONCAT(VALUE(Table5[[#This Row],[NODE]]),Table5[[#This Row],[PORT]]),PG!C:H,6,0),"NO EXISTE PG")</f>
        <v/>
      </c>
      <c r="N233">
        <f>_xlfn.IFNA(VLOOKUP(_xlfn.CONCAT(VALUE(Table5[[#This Row],[NODE]]),Table5[[#This Row],[PORT]]),PG!C:H,4,0),"NO EXISTE ISEL")</f>
        <v/>
      </c>
      <c r="O233">
        <f>COUNTIF(Statics!G:G,Table5[[#This Row],[PG]])+COUNTIF(Statics!H:H,_xlfn.CONCAT((Table5[[#This Row],[NODE]]),Table5[[#This Row],[PORT]]))</f>
        <v/>
      </c>
      <c r="P233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33">
        <f>COUNTIF(Statics!F:F,Table5[[#This Row],[ID]])+COUNTIF(Statics!F:F,VALUE(Table5[[#This Row],[NODE]]))</f>
        <v/>
      </c>
    </row>
    <row r="234">
      <c r="A234" t="inlineStr">
        <is>
          <t>152</t>
        </is>
      </c>
      <c r="B234" t="inlineStr">
        <is>
          <t>1</t>
        </is>
      </c>
      <c r="C234">
        <f>VLOOKUP(VALUE(Table5[[#This Row],[NODE]]),LEAF_INFO!B:H,6,0)</f>
        <v/>
      </c>
      <c r="D234" t="inlineStr">
        <is>
          <t>eth1/35</t>
        </is>
      </c>
      <c r="E234" t="inlineStr">
        <is>
          <t>down</t>
        </is>
      </c>
      <c r="F234" t="inlineStr">
        <is>
          <t>down</t>
        </is>
      </c>
      <c r="G234">
        <f>VLOOKUP(_xlfn.CONCAT(Table5[[#This Row],[NODE]],Table5[[#This Row],[PORT]]),PORTS_!A:G,7,0)</f>
        <v/>
      </c>
      <c r="H234" t="inlineStr"/>
      <c r="I234">
        <f>VLOOKUP(VALUE(Table5[[#This Row],[NODE]]),LEAF_INFO!B:H,7,0)</f>
        <v/>
      </c>
      <c r="J234">
        <f>ISNUMBER(SEARCH("vpc-leaf", SUBSTITUTE(LOWER(K234), "_", "-")))</f>
        <v/>
      </c>
      <c r="K234">
        <f>_xlfn.IFNA(VLOOKUP(VALUE(Table5[[#This Row],[NODE]]), VPC!A:A, 2, 0), "No está en VPC")</f>
        <v/>
      </c>
      <c r="L234">
        <f>IF(OR(ISNUMBER(SEARCH("VPC-Leaf", K234)), ISNUMBER(SEARCH("VPC_Leaf", K234))),SUBSTITUTE(SUBSTITUTE(SUBSTITUTE(K234, "VPC-Leaf", ""), "VPC_Leaf", ""), "_", "-"),A234)</f>
        <v/>
      </c>
      <c r="M234">
        <f>_xlfn.IFNA(VLOOKUP(_xlfn.CONCAT(VALUE(Table5[[#This Row],[NODE]]),Table5[[#This Row],[PORT]]),PG!C:H,6,0),"NO EXISTE PG")</f>
        <v/>
      </c>
      <c r="N234">
        <f>_xlfn.IFNA(VLOOKUP(_xlfn.CONCAT(VALUE(Table5[[#This Row],[NODE]]),Table5[[#This Row],[PORT]]),PG!C:H,4,0),"NO EXISTE ISEL")</f>
        <v/>
      </c>
      <c r="O234">
        <f>COUNTIF(Statics!G:G,Table5[[#This Row],[PG]])+COUNTIF(Statics!H:H,_xlfn.CONCAT((Table5[[#This Row],[NODE]]),Table5[[#This Row],[PORT]]))</f>
        <v/>
      </c>
      <c r="P234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34">
        <f>COUNTIF(Statics!F:F,Table5[[#This Row],[ID]])+COUNTIF(Statics!F:F,VALUE(Table5[[#This Row],[NODE]]))</f>
        <v/>
      </c>
    </row>
    <row r="235">
      <c r="A235" t="inlineStr">
        <is>
          <t>152</t>
        </is>
      </c>
      <c r="B235" t="inlineStr">
        <is>
          <t>1</t>
        </is>
      </c>
      <c r="C235">
        <f>VLOOKUP(VALUE(Table5[[#This Row],[NODE]]),LEAF_INFO!B:H,6,0)</f>
        <v/>
      </c>
      <c r="D235" t="inlineStr">
        <is>
          <t>eth1/36</t>
        </is>
      </c>
      <c r="E235" t="inlineStr">
        <is>
          <t>down</t>
        </is>
      </c>
      <c r="F235" t="inlineStr">
        <is>
          <t>down</t>
        </is>
      </c>
      <c r="G235">
        <f>VLOOKUP(_xlfn.CONCAT(Table5[[#This Row],[NODE]],Table5[[#This Row],[PORT]]),PORTS_!A:G,7,0)</f>
        <v/>
      </c>
      <c r="H235" t="inlineStr"/>
      <c r="I235">
        <f>VLOOKUP(VALUE(Table5[[#This Row],[NODE]]),LEAF_INFO!B:H,7,0)</f>
        <v/>
      </c>
      <c r="J235">
        <f>ISNUMBER(SEARCH("vpc-leaf", SUBSTITUTE(LOWER(K235), "_", "-")))</f>
        <v/>
      </c>
      <c r="K235">
        <f>_xlfn.IFNA(VLOOKUP(VALUE(Table5[[#This Row],[NODE]]), VPC!A:A, 2, 0), "No está en VPC")</f>
        <v/>
      </c>
      <c r="L235">
        <f>IF(OR(ISNUMBER(SEARCH("VPC-Leaf", K235)), ISNUMBER(SEARCH("VPC_Leaf", K235))),SUBSTITUTE(SUBSTITUTE(SUBSTITUTE(K235, "VPC-Leaf", ""), "VPC_Leaf", ""), "_", "-"),A235)</f>
        <v/>
      </c>
      <c r="M235">
        <f>_xlfn.IFNA(VLOOKUP(_xlfn.CONCAT(VALUE(Table5[[#This Row],[NODE]]),Table5[[#This Row],[PORT]]),PG!C:H,6,0),"NO EXISTE PG")</f>
        <v/>
      </c>
      <c r="N235">
        <f>_xlfn.IFNA(VLOOKUP(_xlfn.CONCAT(VALUE(Table5[[#This Row],[NODE]]),Table5[[#This Row],[PORT]]),PG!C:H,4,0),"NO EXISTE ISEL")</f>
        <v/>
      </c>
      <c r="O235">
        <f>COUNTIF(Statics!G:G,Table5[[#This Row],[PG]])+COUNTIF(Statics!H:H,_xlfn.CONCAT((Table5[[#This Row],[NODE]]),Table5[[#This Row],[PORT]]))</f>
        <v/>
      </c>
      <c r="P235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35">
        <f>COUNTIF(Statics!F:F,Table5[[#This Row],[ID]])+COUNTIF(Statics!F:F,VALUE(Table5[[#This Row],[NODE]]))</f>
        <v/>
      </c>
    </row>
    <row r="236">
      <c r="A236" t="inlineStr">
        <is>
          <t>152</t>
        </is>
      </c>
      <c r="B236" t="inlineStr">
        <is>
          <t>1</t>
        </is>
      </c>
      <c r="C236">
        <f>VLOOKUP(VALUE(Table5[[#This Row],[NODE]]),LEAF_INFO!B:H,6,0)</f>
        <v/>
      </c>
      <c r="D236" t="inlineStr">
        <is>
          <t>eth1/37</t>
        </is>
      </c>
      <c r="E236" t="inlineStr">
        <is>
          <t>down</t>
        </is>
      </c>
      <c r="F236" t="inlineStr">
        <is>
          <t>down</t>
        </is>
      </c>
      <c r="G236">
        <f>VLOOKUP(_xlfn.CONCAT(Table5[[#This Row],[NODE]],Table5[[#This Row],[PORT]]),PORTS_!A:G,7,0)</f>
        <v/>
      </c>
      <c r="H236" t="inlineStr"/>
      <c r="I236">
        <f>VLOOKUP(VALUE(Table5[[#This Row],[NODE]]),LEAF_INFO!B:H,7,0)</f>
        <v/>
      </c>
      <c r="J236">
        <f>ISNUMBER(SEARCH("vpc-leaf", SUBSTITUTE(LOWER(K236), "_", "-")))</f>
        <v/>
      </c>
      <c r="K236">
        <f>_xlfn.IFNA(VLOOKUP(VALUE(Table5[[#This Row],[NODE]]), VPC!A:A, 2, 0), "No está en VPC")</f>
        <v/>
      </c>
      <c r="L236">
        <f>IF(OR(ISNUMBER(SEARCH("VPC-Leaf", K236)), ISNUMBER(SEARCH("VPC_Leaf", K236))),SUBSTITUTE(SUBSTITUTE(SUBSTITUTE(K236, "VPC-Leaf", ""), "VPC_Leaf", ""), "_", "-"),A236)</f>
        <v/>
      </c>
      <c r="M236">
        <f>_xlfn.IFNA(VLOOKUP(_xlfn.CONCAT(VALUE(Table5[[#This Row],[NODE]]),Table5[[#This Row],[PORT]]),PG!C:H,6,0),"NO EXISTE PG")</f>
        <v/>
      </c>
      <c r="N236">
        <f>_xlfn.IFNA(VLOOKUP(_xlfn.CONCAT(VALUE(Table5[[#This Row],[NODE]]),Table5[[#This Row],[PORT]]),PG!C:H,4,0),"NO EXISTE ISEL")</f>
        <v/>
      </c>
      <c r="O236">
        <f>COUNTIF(Statics!G:G,Table5[[#This Row],[PG]])+COUNTIF(Statics!H:H,_xlfn.CONCAT((Table5[[#This Row],[NODE]]),Table5[[#This Row],[PORT]]))</f>
        <v/>
      </c>
      <c r="P236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36">
        <f>COUNTIF(Statics!F:F,Table5[[#This Row],[ID]])+COUNTIF(Statics!F:F,VALUE(Table5[[#This Row],[NODE]]))</f>
        <v/>
      </c>
    </row>
    <row r="237">
      <c r="A237" t="inlineStr">
        <is>
          <t>152</t>
        </is>
      </c>
      <c r="B237" t="inlineStr">
        <is>
          <t>1</t>
        </is>
      </c>
      <c r="C237">
        <f>VLOOKUP(VALUE(Table5[[#This Row],[NODE]]),LEAF_INFO!B:H,6,0)</f>
        <v/>
      </c>
      <c r="D237" t="inlineStr">
        <is>
          <t>eth1/38</t>
        </is>
      </c>
      <c r="E237" t="inlineStr">
        <is>
          <t>down</t>
        </is>
      </c>
      <c r="F237" t="inlineStr">
        <is>
          <t>down</t>
        </is>
      </c>
      <c r="G237">
        <f>VLOOKUP(_xlfn.CONCAT(Table5[[#This Row],[NODE]],Table5[[#This Row],[PORT]]),PORTS_!A:G,7,0)</f>
        <v/>
      </c>
      <c r="H237" t="inlineStr"/>
      <c r="I237">
        <f>VLOOKUP(VALUE(Table5[[#This Row],[NODE]]),LEAF_INFO!B:H,7,0)</f>
        <v/>
      </c>
      <c r="J237">
        <f>ISNUMBER(SEARCH("vpc-leaf", SUBSTITUTE(LOWER(K237), "_", "-")))</f>
        <v/>
      </c>
      <c r="K237">
        <f>_xlfn.IFNA(VLOOKUP(VALUE(Table5[[#This Row],[NODE]]), VPC!A:A, 2, 0), "No está en VPC")</f>
        <v/>
      </c>
      <c r="L237">
        <f>IF(OR(ISNUMBER(SEARCH("VPC-Leaf", K237)), ISNUMBER(SEARCH("VPC_Leaf", K237))),SUBSTITUTE(SUBSTITUTE(SUBSTITUTE(K237, "VPC-Leaf", ""), "VPC_Leaf", ""), "_", "-"),A237)</f>
        <v/>
      </c>
      <c r="M237">
        <f>_xlfn.IFNA(VLOOKUP(_xlfn.CONCAT(VALUE(Table5[[#This Row],[NODE]]),Table5[[#This Row],[PORT]]),PG!C:H,6,0),"NO EXISTE PG")</f>
        <v/>
      </c>
      <c r="N237">
        <f>_xlfn.IFNA(VLOOKUP(_xlfn.CONCAT(VALUE(Table5[[#This Row],[NODE]]),Table5[[#This Row],[PORT]]),PG!C:H,4,0),"NO EXISTE ISEL")</f>
        <v/>
      </c>
      <c r="O237">
        <f>COUNTIF(Statics!G:G,Table5[[#This Row],[PG]])+COUNTIF(Statics!H:H,_xlfn.CONCAT((Table5[[#This Row],[NODE]]),Table5[[#This Row],[PORT]]))</f>
        <v/>
      </c>
      <c r="P237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37">
        <f>COUNTIF(Statics!F:F,Table5[[#This Row],[ID]])+COUNTIF(Statics!F:F,VALUE(Table5[[#This Row],[NODE]]))</f>
        <v/>
      </c>
    </row>
    <row r="238">
      <c r="A238" t="inlineStr">
        <is>
          <t>152</t>
        </is>
      </c>
      <c r="B238" t="inlineStr">
        <is>
          <t>1</t>
        </is>
      </c>
      <c r="C238">
        <f>VLOOKUP(VALUE(Table5[[#This Row],[NODE]]),LEAF_INFO!B:H,6,0)</f>
        <v/>
      </c>
      <c r="D238" t="inlineStr">
        <is>
          <t>eth1/39</t>
        </is>
      </c>
      <c r="E238" t="inlineStr">
        <is>
          <t>down</t>
        </is>
      </c>
      <c r="F238" t="inlineStr">
        <is>
          <t>down</t>
        </is>
      </c>
      <c r="G238">
        <f>VLOOKUP(_xlfn.CONCAT(Table5[[#This Row],[NODE]],Table5[[#This Row],[PORT]]),PORTS_!A:G,7,0)</f>
        <v/>
      </c>
      <c r="H238" t="inlineStr"/>
      <c r="I238">
        <f>VLOOKUP(VALUE(Table5[[#This Row],[NODE]]),LEAF_INFO!B:H,7,0)</f>
        <v/>
      </c>
      <c r="J238">
        <f>ISNUMBER(SEARCH("vpc-leaf", SUBSTITUTE(LOWER(K238), "_", "-")))</f>
        <v/>
      </c>
      <c r="K238">
        <f>_xlfn.IFNA(VLOOKUP(VALUE(Table5[[#This Row],[NODE]]), VPC!A:A, 2, 0), "No está en VPC")</f>
        <v/>
      </c>
      <c r="L238">
        <f>IF(OR(ISNUMBER(SEARCH("VPC-Leaf", K238)), ISNUMBER(SEARCH("VPC_Leaf", K238))),SUBSTITUTE(SUBSTITUTE(SUBSTITUTE(K238, "VPC-Leaf", ""), "VPC_Leaf", ""), "_", "-"),A238)</f>
        <v/>
      </c>
      <c r="M238">
        <f>_xlfn.IFNA(VLOOKUP(_xlfn.CONCAT(VALUE(Table5[[#This Row],[NODE]]),Table5[[#This Row],[PORT]]),PG!C:H,6,0),"NO EXISTE PG")</f>
        <v/>
      </c>
      <c r="N238">
        <f>_xlfn.IFNA(VLOOKUP(_xlfn.CONCAT(VALUE(Table5[[#This Row],[NODE]]),Table5[[#This Row],[PORT]]),PG!C:H,4,0),"NO EXISTE ISEL")</f>
        <v/>
      </c>
      <c r="O238">
        <f>COUNTIF(Statics!G:G,Table5[[#This Row],[PG]])+COUNTIF(Statics!H:H,_xlfn.CONCAT((Table5[[#This Row],[NODE]]),Table5[[#This Row],[PORT]]))</f>
        <v/>
      </c>
      <c r="P238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38">
        <f>COUNTIF(Statics!F:F,Table5[[#This Row],[ID]])+COUNTIF(Statics!F:F,VALUE(Table5[[#This Row],[NODE]]))</f>
        <v/>
      </c>
    </row>
    <row r="239">
      <c r="A239" t="inlineStr">
        <is>
          <t>152</t>
        </is>
      </c>
      <c r="B239" t="inlineStr">
        <is>
          <t>1</t>
        </is>
      </c>
      <c r="C239">
        <f>VLOOKUP(VALUE(Table5[[#This Row],[NODE]]),LEAF_INFO!B:H,6,0)</f>
        <v/>
      </c>
      <c r="D239" t="inlineStr">
        <is>
          <t>eth1/40</t>
        </is>
      </c>
      <c r="E239" t="inlineStr">
        <is>
          <t>down</t>
        </is>
      </c>
      <c r="F239" t="inlineStr">
        <is>
          <t>down</t>
        </is>
      </c>
      <c r="G239">
        <f>VLOOKUP(_xlfn.CONCAT(Table5[[#This Row],[NODE]],Table5[[#This Row],[PORT]]),PORTS_!A:G,7,0)</f>
        <v/>
      </c>
      <c r="H239" t="inlineStr"/>
      <c r="I239">
        <f>VLOOKUP(VALUE(Table5[[#This Row],[NODE]]),LEAF_INFO!B:H,7,0)</f>
        <v/>
      </c>
      <c r="J239">
        <f>ISNUMBER(SEARCH("vpc-leaf", SUBSTITUTE(LOWER(K239), "_", "-")))</f>
        <v/>
      </c>
      <c r="K239">
        <f>_xlfn.IFNA(VLOOKUP(VALUE(Table5[[#This Row],[NODE]]), VPC!A:A, 2, 0), "No está en VPC")</f>
        <v/>
      </c>
      <c r="L239">
        <f>IF(OR(ISNUMBER(SEARCH("VPC-Leaf", K239)), ISNUMBER(SEARCH("VPC_Leaf", K239))),SUBSTITUTE(SUBSTITUTE(SUBSTITUTE(K239, "VPC-Leaf", ""), "VPC_Leaf", ""), "_", "-"),A239)</f>
        <v/>
      </c>
      <c r="M239">
        <f>_xlfn.IFNA(VLOOKUP(_xlfn.CONCAT(VALUE(Table5[[#This Row],[NODE]]),Table5[[#This Row],[PORT]]),PG!C:H,6,0),"NO EXISTE PG")</f>
        <v/>
      </c>
      <c r="N239">
        <f>_xlfn.IFNA(VLOOKUP(_xlfn.CONCAT(VALUE(Table5[[#This Row],[NODE]]),Table5[[#This Row],[PORT]]),PG!C:H,4,0),"NO EXISTE ISEL")</f>
        <v/>
      </c>
      <c r="O239">
        <f>COUNTIF(Statics!G:G,Table5[[#This Row],[PG]])+COUNTIF(Statics!H:H,_xlfn.CONCAT((Table5[[#This Row],[NODE]]),Table5[[#This Row],[PORT]]))</f>
        <v/>
      </c>
      <c r="P239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39">
        <f>COUNTIF(Statics!F:F,Table5[[#This Row],[ID]])+COUNTIF(Statics!F:F,VALUE(Table5[[#This Row],[NODE]]))</f>
        <v/>
      </c>
    </row>
    <row r="240">
      <c r="A240" t="inlineStr">
        <is>
          <t>152</t>
        </is>
      </c>
      <c r="B240" t="inlineStr">
        <is>
          <t>1</t>
        </is>
      </c>
      <c r="C240">
        <f>VLOOKUP(VALUE(Table5[[#This Row],[NODE]]),LEAF_INFO!B:H,6,0)</f>
        <v/>
      </c>
      <c r="D240" t="inlineStr">
        <is>
          <t>eth1/41</t>
        </is>
      </c>
      <c r="E240" t="inlineStr">
        <is>
          <t>down</t>
        </is>
      </c>
      <c r="F240" t="inlineStr">
        <is>
          <t>down</t>
        </is>
      </c>
      <c r="G240">
        <f>VLOOKUP(_xlfn.CONCAT(Table5[[#This Row],[NODE]],Table5[[#This Row],[PORT]]),PORTS_!A:G,7,0)</f>
        <v/>
      </c>
      <c r="H240" t="inlineStr"/>
      <c r="I240">
        <f>VLOOKUP(VALUE(Table5[[#This Row],[NODE]]),LEAF_INFO!B:H,7,0)</f>
        <v/>
      </c>
      <c r="J240">
        <f>ISNUMBER(SEARCH("vpc-leaf", SUBSTITUTE(LOWER(K240), "_", "-")))</f>
        <v/>
      </c>
      <c r="K240">
        <f>_xlfn.IFNA(VLOOKUP(VALUE(Table5[[#This Row],[NODE]]), VPC!A:A, 2, 0), "No está en VPC")</f>
        <v/>
      </c>
      <c r="L240">
        <f>IF(OR(ISNUMBER(SEARCH("VPC-Leaf", K240)), ISNUMBER(SEARCH("VPC_Leaf", K240))),SUBSTITUTE(SUBSTITUTE(SUBSTITUTE(K240, "VPC-Leaf", ""), "VPC_Leaf", ""), "_", "-"),A240)</f>
        <v/>
      </c>
      <c r="M240">
        <f>_xlfn.IFNA(VLOOKUP(_xlfn.CONCAT(VALUE(Table5[[#This Row],[NODE]]),Table5[[#This Row],[PORT]]),PG!C:H,6,0),"NO EXISTE PG")</f>
        <v/>
      </c>
      <c r="N240">
        <f>_xlfn.IFNA(VLOOKUP(_xlfn.CONCAT(VALUE(Table5[[#This Row],[NODE]]),Table5[[#This Row],[PORT]]),PG!C:H,4,0),"NO EXISTE ISEL")</f>
        <v/>
      </c>
      <c r="O240">
        <f>COUNTIF(Statics!G:G,Table5[[#This Row],[PG]])+COUNTIF(Statics!H:H,_xlfn.CONCAT((Table5[[#This Row],[NODE]]),Table5[[#This Row],[PORT]]))</f>
        <v/>
      </c>
      <c r="P240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40">
        <f>COUNTIF(Statics!F:F,Table5[[#This Row],[ID]])+COUNTIF(Statics!F:F,VALUE(Table5[[#This Row],[NODE]]))</f>
        <v/>
      </c>
    </row>
    <row r="241">
      <c r="A241" t="inlineStr">
        <is>
          <t>152</t>
        </is>
      </c>
      <c r="B241" t="inlineStr">
        <is>
          <t>1</t>
        </is>
      </c>
      <c r="C241">
        <f>VLOOKUP(VALUE(Table5[[#This Row],[NODE]]),LEAF_INFO!B:H,6,0)</f>
        <v/>
      </c>
      <c r="D241" t="inlineStr">
        <is>
          <t>eth1/42</t>
        </is>
      </c>
      <c r="E241" t="inlineStr">
        <is>
          <t>down</t>
        </is>
      </c>
      <c r="F241" t="inlineStr">
        <is>
          <t>down</t>
        </is>
      </c>
      <c r="G241">
        <f>VLOOKUP(_xlfn.CONCAT(Table5[[#This Row],[NODE]],Table5[[#This Row],[PORT]]),PORTS_!A:G,7,0)</f>
        <v/>
      </c>
      <c r="H241" t="inlineStr"/>
      <c r="I241">
        <f>VLOOKUP(VALUE(Table5[[#This Row],[NODE]]),LEAF_INFO!B:H,7,0)</f>
        <v/>
      </c>
      <c r="J241">
        <f>ISNUMBER(SEARCH("vpc-leaf", SUBSTITUTE(LOWER(K241), "_", "-")))</f>
        <v/>
      </c>
      <c r="K241">
        <f>_xlfn.IFNA(VLOOKUP(VALUE(Table5[[#This Row],[NODE]]), VPC!A:A, 2, 0), "No está en VPC")</f>
        <v/>
      </c>
      <c r="L241">
        <f>IF(OR(ISNUMBER(SEARCH("VPC-Leaf", K241)), ISNUMBER(SEARCH("VPC_Leaf", K241))),SUBSTITUTE(SUBSTITUTE(SUBSTITUTE(K241, "VPC-Leaf", ""), "VPC_Leaf", ""), "_", "-"),A241)</f>
        <v/>
      </c>
      <c r="M241">
        <f>_xlfn.IFNA(VLOOKUP(_xlfn.CONCAT(VALUE(Table5[[#This Row],[NODE]]),Table5[[#This Row],[PORT]]),PG!C:H,6,0),"NO EXISTE PG")</f>
        <v/>
      </c>
      <c r="N241">
        <f>_xlfn.IFNA(VLOOKUP(_xlfn.CONCAT(VALUE(Table5[[#This Row],[NODE]]),Table5[[#This Row],[PORT]]),PG!C:H,4,0),"NO EXISTE ISEL")</f>
        <v/>
      </c>
      <c r="O241">
        <f>COUNTIF(Statics!G:G,Table5[[#This Row],[PG]])+COUNTIF(Statics!H:H,_xlfn.CONCAT((Table5[[#This Row],[NODE]]),Table5[[#This Row],[PORT]]))</f>
        <v/>
      </c>
      <c r="P241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41">
        <f>COUNTIF(Statics!F:F,Table5[[#This Row],[ID]])+COUNTIF(Statics!F:F,VALUE(Table5[[#This Row],[NODE]]))</f>
        <v/>
      </c>
    </row>
    <row r="242">
      <c r="A242" t="inlineStr">
        <is>
          <t>152</t>
        </is>
      </c>
      <c r="B242" t="inlineStr">
        <is>
          <t>1</t>
        </is>
      </c>
      <c r="C242">
        <f>VLOOKUP(VALUE(Table5[[#This Row],[NODE]]),LEAF_INFO!B:H,6,0)</f>
        <v/>
      </c>
      <c r="D242" t="inlineStr">
        <is>
          <t>eth1/43</t>
        </is>
      </c>
      <c r="E242" t="inlineStr">
        <is>
          <t>down</t>
        </is>
      </c>
      <c r="F242" t="inlineStr">
        <is>
          <t>down</t>
        </is>
      </c>
      <c r="G242">
        <f>VLOOKUP(_xlfn.CONCAT(Table5[[#This Row],[NODE]],Table5[[#This Row],[PORT]]),PORTS_!A:G,7,0)</f>
        <v/>
      </c>
      <c r="H242" t="inlineStr"/>
      <c r="I242">
        <f>VLOOKUP(VALUE(Table5[[#This Row],[NODE]]),LEAF_INFO!B:H,7,0)</f>
        <v/>
      </c>
      <c r="J242">
        <f>ISNUMBER(SEARCH("vpc-leaf", SUBSTITUTE(LOWER(K242), "_", "-")))</f>
        <v/>
      </c>
      <c r="K242">
        <f>_xlfn.IFNA(VLOOKUP(VALUE(Table5[[#This Row],[NODE]]), VPC!A:A, 2, 0), "No está en VPC")</f>
        <v/>
      </c>
      <c r="L242">
        <f>IF(OR(ISNUMBER(SEARCH("VPC-Leaf", K242)), ISNUMBER(SEARCH("VPC_Leaf", K242))),SUBSTITUTE(SUBSTITUTE(SUBSTITUTE(K242, "VPC-Leaf", ""), "VPC_Leaf", ""), "_", "-"),A242)</f>
        <v/>
      </c>
      <c r="M242">
        <f>_xlfn.IFNA(VLOOKUP(_xlfn.CONCAT(VALUE(Table5[[#This Row],[NODE]]),Table5[[#This Row],[PORT]]),PG!C:H,6,0),"NO EXISTE PG")</f>
        <v/>
      </c>
      <c r="N242">
        <f>_xlfn.IFNA(VLOOKUP(_xlfn.CONCAT(VALUE(Table5[[#This Row],[NODE]]),Table5[[#This Row],[PORT]]),PG!C:H,4,0),"NO EXISTE ISEL")</f>
        <v/>
      </c>
      <c r="O242">
        <f>COUNTIF(Statics!G:G,Table5[[#This Row],[PG]])+COUNTIF(Statics!H:H,_xlfn.CONCAT((Table5[[#This Row],[NODE]]),Table5[[#This Row],[PORT]]))</f>
        <v/>
      </c>
      <c r="P242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42">
        <f>COUNTIF(Statics!F:F,Table5[[#This Row],[ID]])+COUNTIF(Statics!F:F,VALUE(Table5[[#This Row],[NODE]]))</f>
        <v/>
      </c>
    </row>
    <row r="243">
      <c r="A243" t="inlineStr">
        <is>
          <t>152</t>
        </is>
      </c>
      <c r="B243" t="inlineStr">
        <is>
          <t>1</t>
        </is>
      </c>
      <c r="C243">
        <f>VLOOKUP(VALUE(Table5[[#This Row],[NODE]]),LEAF_INFO!B:H,6,0)</f>
        <v/>
      </c>
      <c r="D243" t="inlineStr">
        <is>
          <t>eth1/44</t>
        </is>
      </c>
      <c r="E243" t="inlineStr">
        <is>
          <t>down</t>
        </is>
      </c>
      <c r="F243" t="inlineStr">
        <is>
          <t>down</t>
        </is>
      </c>
      <c r="G243">
        <f>VLOOKUP(_xlfn.CONCAT(Table5[[#This Row],[NODE]],Table5[[#This Row],[PORT]]),PORTS_!A:G,7,0)</f>
        <v/>
      </c>
      <c r="H243" t="inlineStr"/>
      <c r="I243">
        <f>VLOOKUP(VALUE(Table5[[#This Row],[NODE]]),LEAF_INFO!B:H,7,0)</f>
        <v/>
      </c>
      <c r="J243">
        <f>ISNUMBER(SEARCH("vpc-leaf", SUBSTITUTE(LOWER(K243), "_", "-")))</f>
        <v/>
      </c>
      <c r="K243">
        <f>_xlfn.IFNA(VLOOKUP(VALUE(Table5[[#This Row],[NODE]]), VPC!A:A, 2, 0), "No está en VPC")</f>
        <v/>
      </c>
      <c r="L243">
        <f>IF(OR(ISNUMBER(SEARCH("VPC-Leaf", K243)), ISNUMBER(SEARCH("VPC_Leaf", K243))),SUBSTITUTE(SUBSTITUTE(SUBSTITUTE(K243, "VPC-Leaf", ""), "VPC_Leaf", ""), "_", "-"),A243)</f>
        <v/>
      </c>
      <c r="M243">
        <f>_xlfn.IFNA(VLOOKUP(_xlfn.CONCAT(VALUE(Table5[[#This Row],[NODE]]),Table5[[#This Row],[PORT]]),PG!C:H,6,0),"NO EXISTE PG")</f>
        <v/>
      </c>
      <c r="N243">
        <f>_xlfn.IFNA(VLOOKUP(_xlfn.CONCAT(VALUE(Table5[[#This Row],[NODE]]),Table5[[#This Row],[PORT]]),PG!C:H,4,0),"NO EXISTE ISEL")</f>
        <v/>
      </c>
      <c r="O243">
        <f>COUNTIF(Statics!G:G,Table5[[#This Row],[PG]])+COUNTIF(Statics!H:H,_xlfn.CONCAT((Table5[[#This Row],[NODE]]),Table5[[#This Row],[PORT]]))</f>
        <v/>
      </c>
      <c r="P243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43">
        <f>COUNTIF(Statics!F:F,Table5[[#This Row],[ID]])+COUNTIF(Statics!F:F,VALUE(Table5[[#This Row],[NODE]]))</f>
        <v/>
      </c>
    </row>
    <row r="244">
      <c r="A244" t="inlineStr">
        <is>
          <t>152</t>
        </is>
      </c>
      <c r="B244" t="inlineStr">
        <is>
          <t>1</t>
        </is>
      </c>
      <c r="C244">
        <f>VLOOKUP(VALUE(Table5[[#This Row],[NODE]]),LEAF_INFO!B:H,6,0)</f>
        <v/>
      </c>
      <c r="D244" t="inlineStr">
        <is>
          <t>eth1/45</t>
        </is>
      </c>
      <c r="E244" t="inlineStr">
        <is>
          <t>down</t>
        </is>
      </c>
      <c r="F244" t="inlineStr">
        <is>
          <t>down</t>
        </is>
      </c>
      <c r="G244">
        <f>VLOOKUP(_xlfn.CONCAT(Table5[[#This Row],[NODE]],Table5[[#This Row],[PORT]]),PORTS_!A:G,7,0)</f>
        <v/>
      </c>
      <c r="H244" t="inlineStr"/>
      <c r="I244">
        <f>VLOOKUP(VALUE(Table5[[#This Row],[NODE]]),LEAF_INFO!B:H,7,0)</f>
        <v/>
      </c>
      <c r="J244">
        <f>ISNUMBER(SEARCH("vpc-leaf", SUBSTITUTE(LOWER(K244), "_", "-")))</f>
        <v/>
      </c>
      <c r="K244">
        <f>_xlfn.IFNA(VLOOKUP(VALUE(Table5[[#This Row],[NODE]]), VPC!A:A, 2, 0), "No está en VPC")</f>
        <v/>
      </c>
      <c r="L244">
        <f>IF(OR(ISNUMBER(SEARCH("VPC-Leaf", K244)), ISNUMBER(SEARCH("VPC_Leaf", K244))),SUBSTITUTE(SUBSTITUTE(SUBSTITUTE(K244, "VPC-Leaf", ""), "VPC_Leaf", ""), "_", "-"),A244)</f>
        <v/>
      </c>
      <c r="M244">
        <f>_xlfn.IFNA(VLOOKUP(_xlfn.CONCAT(VALUE(Table5[[#This Row],[NODE]]),Table5[[#This Row],[PORT]]),PG!C:H,6,0),"NO EXISTE PG")</f>
        <v/>
      </c>
      <c r="N244">
        <f>_xlfn.IFNA(VLOOKUP(_xlfn.CONCAT(VALUE(Table5[[#This Row],[NODE]]),Table5[[#This Row],[PORT]]),PG!C:H,4,0),"NO EXISTE ISEL")</f>
        <v/>
      </c>
      <c r="O244">
        <f>COUNTIF(Statics!G:G,Table5[[#This Row],[PG]])+COUNTIF(Statics!H:H,_xlfn.CONCAT((Table5[[#This Row],[NODE]]),Table5[[#This Row],[PORT]]))</f>
        <v/>
      </c>
      <c r="P244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44">
        <f>COUNTIF(Statics!F:F,Table5[[#This Row],[ID]])+COUNTIF(Statics!F:F,VALUE(Table5[[#This Row],[NODE]]))</f>
        <v/>
      </c>
    </row>
    <row r="245">
      <c r="A245" t="inlineStr">
        <is>
          <t>152</t>
        </is>
      </c>
      <c r="B245" t="inlineStr">
        <is>
          <t>1</t>
        </is>
      </c>
      <c r="C245">
        <f>VLOOKUP(VALUE(Table5[[#This Row],[NODE]]),LEAF_INFO!B:H,6,0)</f>
        <v/>
      </c>
      <c r="D245" t="inlineStr">
        <is>
          <t>eth1/46</t>
        </is>
      </c>
      <c r="E245" t="inlineStr">
        <is>
          <t>up</t>
        </is>
      </c>
      <c r="F245" t="inlineStr">
        <is>
          <t>up</t>
        </is>
      </c>
      <c r="G245">
        <f>VLOOKUP(_xlfn.CONCAT(Table5[[#This Row],[NODE]],Table5[[#This Row],[PORT]]),PORTS_!A:G,7,0)</f>
        <v/>
      </c>
      <c r="H245" t="inlineStr">
        <is>
          <t>TO_CIMC1_2ACIAPICINGENIE03</t>
        </is>
      </c>
      <c r="I245">
        <f>VLOOKUP(VALUE(Table5[[#This Row],[NODE]]),LEAF_INFO!B:H,7,0)</f>
        <v/>
      </c>
      <c r="J245">
        <f>ISNUMBER(SEARCH("vpc-leaf", SUBSTITUTE(LOWER(K245), "_", "-")))</f>
        <v/>
      </c>
      <c r="K245">
        <f>_xlfn.IFNA(VLOOKUP(VALUE(Table5[[#This Row],[NODE]]), VPC!A:A, 2, 0), "No está en VPC")</f>
        <v/>
      </c>
      <c r="L245">
        <f>IF(OR(ISNUMBER(SEARCH("VPC-Leaf", K245)), ISNUMBER(SEARCH("VPC_Leaf", K245))),SUBSTITUTE(SUBSTITUTE(SUBSTITUTE(K245, "VPC-Leaf", ""), "VPC_Leaf", ""), "_", "-"),A245)</f>
        <v/>
      </c>
      <c r="M245">
        <f>_xlfn.IFNA(VLOOKUP(_xlfn.CONCAT(VALUE(Table5[[#This Row],[NODE]]),Table5[[#This Row],[PORT]]),PG!C:H,6,0),"NO EXISTE PG")</f>
        <v/>
      </c>
      <c r="N245">
        <f>_xlfn.IFNA(VLOOKUP(_xlfn.CONCAT(VALUE(Table5[[#This Row],[NODE]]),Table5[[#This Row],[PORT]]),PG!C:H,4,0),"NO EXISTE ISEL")</f>
        <v/>
      </c>
      <c r="O245">
        <f>COUNTIF(Statics!G:G,Table5[[#This Row],[PG]])+COUNTIF(Statics!H:H,_xlfn.CONCAT((Table5[[#This Row],[NODE]]),Table5[[#This Row],[PORT]]))</f>
        <v/>
      </c>
      <c r="P245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45">
        <f>COUNTIF(Statics!F:F,Table5[[#This Row],[ID]])+COUNTIF(Statics!F:F,VALUE(Table5[[#This Row],[NODE]]))</f>
        <v/>
      </c>
    </row>
    <row r="246">
      <c r="A246" t="inlineStr">
        <is>
          <t>152</t>
        </is>
      </c>
      <c r="B246" t="inlineStr">
        <is>
          <t>1</t>
        </is>
      </c>
      <c r="C246">
        <f>VLOOKUP(VALUE(Table5[[#This Row],[NODE]]),LEAF_INFO!B:H,6,0)</f>
        <v/>
      </c>
      <c r="D246" t="inlineStr">
        <is>
          <t>eth1/47</t>
        </is>
      </c>
      <c r="E246" t="inlineStr">
        <is>
          <t>up</t>
        </is>
      </c>
      <c r="F246" t="inlineStr">
        <is>
          <t>up</t>
        </is>
      </c>
      <c r="G246">
        <f>VLOOKUP(_xlfn.CONCAT(Table5[[#This Row],[NODE]],Table5[[#This Row],[PORT]]),PORTS_!A:G,7,0)</f>
        <v/>
      </c>
      <c r="H246" t="inlineStr">
        <is>
          <t>TO_CIMC1_2ACIAPICINGENIE02</t>
        </is>
      </c>
      <c r="I246">
        <f>VLOOKUP(VALUE(Table5[[#This Row],[NODE]]),LEAF_INFO!B:H,7,0)</f>
        <v/>
      </c>
      <c r="J246">
        <f>ISNUMBER(SEARCH("vpc-leaf", SUBSTITUTE(LOWER(K246), "_", "-")))</f>
        <v/>
      </c>
      <c r="K246">
        <f>_xlfn.IFNA(VLOOKUP(VALUE(Table5[[#This Row],[NODE]]), VPC!A:A, 2, 0), "No está en VPC")</f>
        <v/>
      </c>
      <c r="L246">
        <f>IF(OR(ISNUMBER(SEARCH("VPC-Leaf", K246)), ISNUMBER(SEARCH("VPC_Leaf", K246))),SUBSTITUTE(SUBSTITUTE(SUBSTITUTE(K246, "VPC-Leaf", ""), "VPC_Leaf", ""), "_", "-"),A246)</f>
        <v/>
      </c>
      <c r="M246">
        <f>_xlfn.IFNA(VLOOKUP(_xlfn.CONCAT(VALUE(Table5[[#This Row],[NODE]]),Table5[[#This Row],[PORT]]),PG!C:H,6,0),"NO EXISTE PG")</f>
        <v/>
      </c>
      <c r="N246">
        <f>_xlfn.IFNA(VLOOKUP(_xlfn.CONCAT(VALUE(Table5[[#This Row],[NODE]]),Table5[[#This Row],[PORT]]),PG!C:H,4,0),"NO EXISTE ISEL")</f>
        <v/>
      </c>
      <c r="O246">
        <f>COUNTIF(Statics!G:G,Table5[[#This Row],[PG]])+COUNTIF(Statics!H:H,_xlfn.CONCAT((Table5[[#This Row],[NODE]]),Table5[[#This Row],[PORT]]))</f>
        <v/>
      </c>
      <c r="P246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46">
        <f>COUNTIF(Statics!F:F,Table5[[#This Row],[ID]])+COUNTIF(Statics!F:F,VALUE(Table5[[#This Row],[NODE]]))</f>
        <v/>
      </c>
    </row>
    <row r="247">
      <c r="A247" t="inlineStr">
        <is>
          <t>152</t>
        </is>
      </c>
      <c r="B247" t="inlineStr">
        <is>
          <t>1</t>
        </is>
      </c>
      <c r="C247">
        <f>VLOOKUP(VALUE(Table5[[#This Row],[NODE]]),LEAF_INFO!B:H,6,0)</f>
        <v/>
      </c>
      <c r="D247" t="inlineStr">
        <is>
          <t>eth1/48</t>
        </is>
      </c>
      <c r="E247" t="inlineStr">
        <is>
          <t>up</t>
        </is>
      </c>
      <c r="F247" t="inlineStr">
        <is>
          <t>up</t>
        </is>
      </c>
      <c r="G247">
        <f>VLOOKUP(_xlfn.CONCAT(Table5[[#This Row],[NODE]],Table5[[#This Row],[PORT]]),PORTS_!A:G,7,0)</f>
        <v/>
      </c>
      <c r="H247" t="inlineStr">
        <is>
          <t>TO_CIMC1_2ACIAPICINGENIE01</t>
        </is>
      </c>
      <c r="I247">
        <f>VLOOKUP(VALUE(Table5[[#This Row],[NODE]]),LEAF_INFO!B:H,7,0)</f>
        <v/>
      </c>
      <c r="J247">
        <f>ISNUMBER(SEARCH("vpc-leaf", SUBSTITUTE(LOWER(K247), "_", "-")))</f>
        <v/>
      </c>
      <c r="K247">
        <f>_xlfn.IFNA(VLOOKUP(VALUE(Table5[[#This Row],[NODE]]), VPC!A:A, 2, 0), "No está en VPC")</f>
        <v/>
      </c>
      <c r="L247">
        <f>IF(OR(ISNUMBER(SEARCH("VPC-Leaf", K247)), ISNUMBER(SEARCH("VPC_Leaf", K247))),SUBSTITUTE(SUBSTITUTE(SUBSTITUTE(K247, "VPC-Leaf", ""), "VPC_Leaf", ""), "_", "-"),A247)</f>
        <v/>
      </c>
      <c r="M247">
        <f>_xlfn.IFNA(VLOOKUP(_xlfn.CONCAT(VALUE(Table5[[#This Row],[NODE]]),Table5[[#This Row],[PORT]]),PG!C:H,6,0),"NO EXISTE PG")</f>
        <v/>
      </c>
      <c r="N247">
        <f>_xlfn.IFNA(VLOOKUP(_xlfn.CONCAT(VALUE(Table5[[#This Row],[NODE]]),Table5[[#This Row],[PORT]]),PG!C:H,4,0),"NO EXISTE ISEL")</f>
        <v/>
      </c>
      <c r="O247">
        <f>COUNTIF(Statics!G:G,Table5[[#This Row],[PG]])+COUNTIF(Statics!H:H,_xlfn.CONCAT((Table5[[#This Row],[NODE]]),Table5[[#This Row],[PORT]]))</f>
        <v/>
      </c>
      <c r="P247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47">
        <f>COUNTIF(Statics!F:F,Table5[[#This Row],[ID]])+COUNTIF(Statics!F:F,VALUE(Table5[[#This Row],[NODE]]))</f>
        <v/>
      </c>
    </row>
    <row r="248">
      <c r="A248" t="inlineStr">
        <is>
          <t>152</t>
        </is>
      </c>
      <c r="B248" t="inlineStr">
        <is>
          <t>1</t>
        </is>
      </c>
      <c r="C248">
        <f>VLOOKUP(VALUE(Table5[[#This Row],[NODE]]),LEAF_INFO!B:H,6,0)</f>
        <v/>
      </c>
      <c r="D248" t="inlineStr">
        <is>
          <t>eth1/49</t>
        </is>
      </c>
      <c r="E248" t="inlineStr">
        <is>
          <t>down</t>
        </is>
      </c>
      <c r="F248" t="inlineStr">
        <is>
          <t>down</t>
        </is>
      </c>
      <c r="G248">
        <f>VLOOKUP(_xlfn.CONCAT(Table5[[#This Row],[NODE]],Table5[[#This Row],[PORT]]),PORTS_!A:G,7,0)</f>
        <v/>
      </c>
      <c r="H248" t="inlineStr"/>
      <c r="I248">
        <f>VLOOKUP(VALUE(Table5[[#This Row],[NODE]]),LEAF_INFO!B:H,7,0)</f>
        <v/>
      </c>
      <c r="J248">
        <f>ISNUMBER(SEARCH("vpc-leaf", SUBSTITUTE(LOWER(K248), "_", "-")))</f>
        <v/>
      </c>
      <c r="K248">
        <f>_xlfn.IFNA(VLOOKUP(VALUE(Table5[[#This Row],[NODE]]), VPC!A:A, 2, 0), "No está en VPC")</f>
        <v/>
      </c>
      <c r="L248">
        <f>IF(OR(ISNUMBER(SEARCH("VPC-Leaf", K248)), ISNUMBER(SEARCH("VPC_Leaf", K248))),SUBSTITUTE(SUBSTITUTE(SUBSTITUTE(K248, "VPC-Leaf", ""), "VPC_Leaf", ""), "_", "-"),A248)</f>
        <v/>
      </c>
      <c r="M248">
        <f>_xlfn.IFNA(VLOOKUP(_xlfn.CONCAT(VALUE(Table5[[#This Row],[NODE]]),Table5[[#This Row],[PORT]]),PG!C:H,6,0),"NO EXISTE PG")</f>
        <v/>
      </c>
      <c r="N248">
        <f>_xlfn.IFNA(VLOOKUP(_xlfn.CONCAT(VALUE(Table5[[#This Row],[NODE]]),Table5[[#This Row],[PORT]]),PG!C:H,4,0),"NO EXISTE ISEL")</f>
        <v/>
      </c>
      <c r="O248">
        <f>COUNTIF(Statics!G:G,Table5[[#This Row],[PG]])+COUNTIF(Statics!H:H,_xlfn.CONCAT((Table5[[#This Row],[NODE]]),Table5[[#This Row],[PORT]]))</f>
        <v/>
      </c>
      <c r="P248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48">
        <f>COUNTIF(Statics!F:F,Table5[[#This Row],[ID]])+COUNTIF(Statics!F:F,VALUE(Table5[[#This Row],[NODE]]))</f>
        <v/>
      </c>
    </row>
    <row r="249">
      <c r="A249" t="inlineStr">
        <is>
          <t>152</t>
        </is>
      </c>
      <c r="B249" t="inlineStr">
        <is>
          <t>1</t>
        </is>
      </c>
      <c r="C249">
        <f>VLOOKUP(VALUE(Table5[[#This Row],[NODE]]),LEAF_INFO!B:H,6,0)</f>
        <v/>
      </c>
      <c r="D249" t="inlineStr">
        <is>
          <t>eth1/50</t>
        </is>
      </c>
      <c r="E249" t="inlineStr">
        <is>
          <t>down</t>
        </is>
      </c>
      <c r="F249" t="inlineStr">
        <is>
          <t>down</t>
        </is>
      </c>
      <c r="G249">
        <f>VLOOKUP(_xlfn.CONCAT(Table5[[#This Row],[NODE]],Table5[[#This Row],[PORT]]),PORTS_!A:G,7,0)</f>
        <v/>
      </c>
      <c r="H249" t="inlineStr"/>
      <c r="I249">
        <f>VLOOKUP(VALUE(Table5[[#This Row],[NODE]]),LEAF_INFO!B:H,7,0)</f>
        <v/>
      </c>
      <c r="J249">
        <f>ISNUMBER(SEARCH("vpc-leaf", SUBSTITUTE(LOWER(K249), "_", "-")))</f>
        <v/>
      </c>
      <c r="K249">
        <f>_xlfn.IFNA(VLOOKUP(VALUE(Table5[[#This Row],[NODE]]), VPC!A:A, 2, 0), "No está en VPC")</f>
        <v/>
      </c>
      <c r="L249">
        <f>IF(OR(ISNUMBER(SEARCH("VPC-Leaf", K249)), ISNUMBER(SEARCH("VPC_Leaf", K249))),SUBSTITUTE(SUBSTITUTE(SUBSTITUTE(K249, "VPC-Leaf", ""), "VPC_Leaf", ""), "_", "-"),A249)</f>
        <v/>
      </c>
      <c r="M249">
        <f>_xlfn.IFNA(VLOOKUP(_xlfn.CONCAT(VALUE(Table5[[#This Row],[NODE]]),Table5[[#This Row],[PORT]]),PG!C:H,6,0),"NO EXISTE PG")</f>
        <v/>
      </c>
      <c r="N249">
        <f>_xlfn.IFNA(VLOOKUP(_xlfn.CONCAT(VALUE(Table5[[#This Row],[NODE]]),Table5[[#This Row],[PORT]]),PG!C:H,4,0),"NO EXISTE ISEL")</f>
        <v/>
      </c>
      <c r="O249">
        <f>COUNTIF(Statics!G:G,Table5[[#This Row],[PG]])+COUNTIF(Statics!H:H,_xlfn.CONCAT((Table5[[#This Row],[NODE]]),Table5[[#This Row],[PORT]]))</f>
        <v/>
      </c>
      <c r="P249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49">
        <f>COUNTIF(Statics!F:F,Table5[[#This Row],[ID]])+COUNTIF(Statics!F:F,VALUE(Table5[[#This Row],[NODE]]))</f>
        <v/>
      </c>
    </row>
    <row r="250">
      <c r="A250" t="inlineStr">
        <is>
          <t>152</t>
        </is>
      </c>
      <c r="B250" t="inlineStr">
        <is>
          <t>1</t>
        </is>
      </c>
      <c r="C250">
        <f>VLOOKUP(VALUE(Table5[[#This Row],[NODE]]),LEAF_INFO!B:H,6,0)</f>
        <v/>
      </c>
      <c r="D250" t="inlineStr">
        <is>
          <t>eth1/51</t>
        </is>
      </c>
      <c r="E250" t="inlineStr">
        <is>
          <t>down</t>
        </is>
      </c>
      <c r="F250" t="inlineStr">
        <is>
          <t>down</t>
        </is>
      </c>
      <c r="G250">
        <f>VLOOKUP(_xlfn.CONCAT(Table5[[#This Row],[NODE]],Table5[[#This Row],[PORT]]),PORTS_!A:G,7,0)</f>
        <v/>
      </c>
      <c r="H250" t="inlineStr"/>
      <c r="I250">
        <f>VLOOKUP(VALUE(Table5[[#This Row],[NODE]]),LEAF_INFO!B:H,7,0)</f>
        <v/>
      </c>
      <c r="J250">
        <f>ISNUMBER(SEARCH("vpc-leaf", SUBSTITUTE(LOWER(K250), "_", "-")))</f>
        <v/>
      </c>
      <c r="K250">
        <f>_xlfn.IFNA(VLOOKUP(VALUE(Table5[[#This Row],[NODE]]), VPC!A:A, 2, 0), "No está en VPC")</f>
        <v/>
      </c>
      <c r="L250">
        <f>IF(OR(ISNUMBER(SEARCH("VPC-Leaf", K250)), ISNUMBER(SEARCH("VPC_Leaf", K250))),SUBSTITUTE(SUBSTITUTE(SUBSTITUTE(K250, "VPC-Leaf", ""), "VPC_Leaf", ""), "_", "-"),A250)</f>
        <v/>
      </c>
      <c r="M250">
        <f>_xlfn.IFNA(VLOOKUP(_xlfn.CONCAT(VALUE(Table5[[#This Row],[NODE]]),Table5[[#This Row],[PORT]]),PG!C:H,6,0),"NO EXISTE PG")</f>
        <v/>
      </c>
      <c r="N250">
        <f>_xlfn.IFNA(VLOOKUP(_xlfn.CONCAT(VALUE(Table5[[#This Row],[NODE]]),Table5[[#This Row],[PORT]]),PG!C:H,4,0),"NO EXISTE ISEL")</f>
        <v/>
      </c>
      <c r="O250">
        <f>COUNTIF(Statics!G:G,Table5[[#This Row],[PG]])+COUNTIF(Statics!H:H,_xlfn.CONCAT((Table5[[#This Row],[NODE]]),Table5[[#This Row],[PORT]]))</f>
        <v/>
      </c>
      <c r="P250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50">
        <f>COUNTIF(Statics!F:F,Table5[[#This Row],[ID]])+COUNTIF(Statics!F:F,VALUE(Table5[[#This Row],[NODE]]))</f>
        <v/>
      </c>
    </row>
    <row r="251">
      <c r="A251" t="inlineStr">
        <is>
          <t>152</t>
        </is>
      </c>
      <c r="B251" t="inlineStr">
        <is>
          <t>1</t>
        </is>
      </c>
      <c r="C251">
        <f>VLOOKUP(VALUE(Table5[[#This Row],[NODE]]),LEAF_INFO!B:H,6,0)</f>
        <v/>
      </c>
      <c r="D251" t="inlineStr">
        <is>
          <t>eth1/52</t>
        </is>
      </c>
      <c r="E251" t="inlineStr">
        <is>
          <t>down</t>
        </is>
      </c>
      <c r="F251" t="inlineStr">
        <is>
          <t>down</t>
        </is>
      </c>
      <c r="G251">
        <f>VLOOKUP(_xlfn.CONCAT(Table5[[#This Row],[NODE]],Table5[[#This Row],[PORT]]),PORTS_!A:G,7,0)</f>
        <v/>
      </c>
      <c r="H251" t="inlineStr"/>
      <c r="I251">
        <f>VLOOKUP(VALUE(Table5[[#This Row],[NODE]]),LEAF_INFO!B:H,7,0)</f>
        <v/>
      </c>
      <c r="J251">
        <f>ISNUMBER(SEARCH("vpc-leaf", SUBSTITUTE(LOWER(K251), "_", "-")))</f>
        <v/>
      </c>
      <c r="K251">
        <f>_xlfn.IFNA(VLOOKUP(VALUE(Table5[[#This Row],[NODE]]), VPC!A:A, 2, 0), "No está en VPC")</f>
        <v/>
      </c>
      <c r="L251">
        <f>IF(OR(ISNUMBER(SEARCH("VPC-Leaf", K251)), ISNUMBER(SEARCH("VPC_Leaf", K251))),SUBSTITUTE(SUBSTITUTE(SUBSTITUTE(K251, "VPC-Leaf", ""), "VPC_Leaf", ""), "_", "-"),A251)</f>
        <v/>
      </c>
      <c r="M251">
        <f>_xlfn.IFNA(VLOOKUP(_xlfn.CONCAT(VALUE(Table5[[#This Row],[NODE]]),Table5[[#This Row],[PORT]]),PG!C:H,6,0),"NO EXISTE PG")</f>
        <v/>
      </c>
      <c r="N251">
        <f>_xlfn.IFNA(VLOOKUP(_xlfn.CONCAT(VALUE(Table5[[#This Row],[NODE]]),Table5[[#This Row],[PORT]]),PG!C:H,4,0),"NO EXISTE ISEL")</f>
        <v/>
      </c>
      <c r="O251">
        <f>COUNTIF(Statics!G:G,Table5[[#This Row],[PG]])+COUNTIF(Statics!H:H,_xlfn.CONCAT((Table5[[#This Row],[NODE]]),Table5[[#This Row],[PORT]]))</f>
        <v/>
      </c>
      <c r="P251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51">
        <f>COUNTIF(Statics!F:F,Table5[[#This Row],[ID]])+COUNTIF(Statics!F:F,VALUE(Table5[[#This Row],[NODE]]))</f>
        <v/>
      </c>
    </row>
    <row r="252">
      <c r="A252" t="inlineStr">
        <is>
          <t>152</t>
        </is>
      </c>
      <c r="B252" t="inlineStr">
        <is>
          <t>1</t>
        </is>
      </c>
      <c r="C252">
        <f>VLOOKUP(VALUE(Table5[[#This Row],[NODE]]),LEAF_INFO!B:H,6,0)</f>
        <v/>
      </c>
      <c r="D252" t="inlineStr">
        <is>
          <t>eth1/53</t>
        </is>
      </c>
      <c r="E252" t="inlineStr">
        <is>
          <t>up</t>
        </is>
      </c>
      <c r="F252" t="inlineStr">
        <is>
          <t>up</t>
        </is>
      </c>
      <c r="G252">
        <f>VLOOKUP(_xlfn.CONCAT(Table5[[#This Row],[NODE]],Table5[[#This Row],[PORT]]),PORTS_!A:G,7,0)</f>
        <v/>
      </c>
      <c r="H252" t="inlineStr">
        <is>
          <t>LINK_HACIA_SPINE</t>
        </is>
      </c>
      <c r="I252">
        <f>VLOOKUP(VALUE(Table5[[#This Row],[NODE]]),LEAF_INFO!B:H,7,0)</f>
        <v/>
      </c>
      <c r="J252">
        <f>ISNUMBER(SEARCH("vpc-leaf", SUBSTITUTE(LOWER(K252), "_", "-")))</f>
        <v/>
      </c>
      <c r="K252">
        <f>_xlfn.IFNA(VLOOKUP(VALUE(Table5[[#This Row],[NODE]]), VPC!A:A, 2, 0), "No está en VPC")</f>
        <v/>
      </c>
      <c r="L252">
        <f>IF(OR(ISNUMBER(SEARCH("VPC-Leaf", K252)), ISNUMBER(SEARCH("VPC_Leaf", K252))),SUBSTITUTE(SUBSTITUTE(SUBSTITUTE(K252, "VPC-Leaf", ""), "VPC_Leaf", ""), "_", "-"),A252)</f>
        <v/>
      </c>
      <c r="M252">
        <f>_xlfn.IFNA(VLOOKUP(_xlfn.CONCAT(VALUE(Table5[[#This Row],[NODE]]),Table5[[#This Row],[PORT]]),PG!C:H,6,0),"NO EXISTE PG")</f>
        <v/>
      </c>
      <c r="N252">
        <f>_xlfn.IFNA(VLOOKUP(_xlfn.CONCAT(VALUE(Table5[[#This Row],[NODE]]),Table5[[#This Row],[PORT]]),PG!C:H,4,0),"NO EXISTE ISEL")</f>
        <v/>
      </c>
      <c r="O252">
        <f>COUNTIF(Statics!G:G,Table5[[#This Row],[PG]])+COUNTIF(Statics!H:H,_xlfn.CONCAT((Table5[[#This Row],[NODE]]),Table5[[#This Row],[PORT]]))</f>
        <v/>
      </c>
      <c r="P252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52">
        <f>COUNTIF(Statics!F:F,Table5[[#This Row],[ID]])+COUNTIF(Statics!F:F,VALUE(Table5[[#This Row],[NODE]]))</f>
        <v/>
      </c>
    </row>
    <row r="253">
      <c r="A253" t="inlineStr">
        <is>
          <t>152</t>
        </is>
      </c>
      <c r="B253" t="inlineStr">
        <is>
          <t>1</t>
        </is>
      </c>
      <c r="C253">
        <f>VLOOKUP(VALUE(Table5[[#This Row],[NODE]]),LEAF_INFO!B:H,6,0)</f>
        <v/>
      </c>
      <c r="D253" t="inlineStr">
        <is>
          <t>eth1/54</t>
        </is>
      </c>
      <c r="E253" t="inlineStr">
        <is>
          <t>up</t>
        </is>
      </c>
      <c r="F253" t="inlineStr">
        <is>
          <t>up</t>
        </is>
      </c>
      <c r="G253">
        <f>VLOOKUP(_xlfn.CONCAT(Table5[[#This Row],[NODE]],Table5[[#This Row],[PORT]]),PORTS_!A:G,7,0)</f>
        <v/>
      </c>
      <c r="H253" t="inlineStr">
        <is>
          <t>LINK_HACIA_SPINE</t>
        </is>
      </c>
      <c r="I253">
        <f>VLOOKUP(VALUE(Table5[[#This Row],[NODE]]),LEAF_INFO!B:H,7,0)</f>
        <v/>
      </c>
      <c r="J253">
        <f>ISNUMBER(SEARCH("vpc-leaf", SUBSTITUTE(LOWER(K253), "_", "-")))</f>
        <v/>
      </c>
      <c r="K253">
        <f>_xlfn.IFNA(VLOOKUP(VALUE(Table5[[#This Row],[NODE]]), VPC!A:A, 2, 0), "No está en VPC")</f>
        <v/>
      </c>
      <c r="L253">
        <f>IF(OR(ISNUMBER(SEARCH("VPC-Leaf", K253)), ISNUMBER(SEARCH("VPC_Leaf", K253))),SUBSTITUTE(SUBSTITUTE(SUBSTITUTE(K253, "VPC-Leaf", ""), "VPC_Leaf", ""), "_", "-"),A253)</f>
        <v/>
      </c>
      <c r="M253">
        <f>_xlfn.IFNA(VLOOKUP(_xlfn.CONCAT(VALUE(Table5[[#This Row],[NODE]]),Table5[[#This Row],[PORT]]),PG!C:H,6,0),"NO EXISTE PG")</f>
        <v/>
      </c>
      <c r="N253">
        <f>_xlfn.IFNA(VLOOKUP(_xlfn.CONCAT(VALUE(Table5[[#This Row],[NODE]]),Table5[[#This Row],[PORT]]),PG!C:H,4,0),"NO EXISTE ISEL")</f>
        <v/>
      </c>
      <c r="O253">
        <f>COUNTIF(Statics!G:G,Table5[[#This Row],[PG]])+COUNTIF(Statics!H:H,_xlfn.CONCAT((Table5[[#This Row],[NODE]]),Table5[[#This Row],[PORT]]))</f>
        <v/>
      </c>
      <c r="P253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53">
        <f>COUNTIF(Statics!F:F,Table5[[#This Row],[ID]])+COUNTIF(Statics!F:F,VALUE(Table5[[#This Row],[NODE]]))</f>
        <v/>
      </c>
    </row>
    <row r="254">
      <c r="A254" t="inlineStr">
        <is>
          <t>152</t>
        </is>
      </c>
      <c r="B254" t="inlineStr">
        <is>
          <t>1</t>
        </is>
      </c>
      <c r="C254">
        <f>VLOOKUP(VALUE(Table5[[#This Row],[NODE]]),LEAF_INFO!B:H,6,0)</f>
        <v/>
      </c>
      <c r="D254" t="inlineStr">
        <is>
          <t>eth1/1</t>
        </is>
      </c>
      <c r="E254" t="inlineStr">
        <is>
          <t>down</t>
        </is>
      </c>
      <c r="F254" t="inlineStr">
        <is>
          <t>down</t>
        </is>
      </c>
      <c r="G254">
        <f>VLOOKUP(_xlfn.CONCAT(Table5[[#This Row],[NODE]],Table5[[#This Row],[PORT]]),PORTS_!A:G,7,0)</f>
        <v/>
      </c>
      <c r="H254" t="inlineStr">
        <is>
          <t>HACIA_PLANTA3201_GABINETE1</t>
        </is>
      </c>
      <c r="I254">
        <f>VLOOKUP(VALUE(Table5[[#This Row],[NODE]]),LEAF_INFO!B:H,7,0)</f>
        <v/>
      </c>
      <c r="J254">
        <f>ISNUMBER(SEARCH("vpc-leaf", SUBSTITUTE(LOWER(K254), "_", "-")))</f>
        <v/>
      </c>
      <c r="K254">
        <f>_xlfn.IFNA(VLOOKUP(VALUE(Table5[[#This Row],[NODE]]), VPC!A:A, 2, 0), "No está en VPC")</f>
        <v/>
      </c>
      <c r="L254">
        <f>IF(OR(ISNUMBER(SEARCH("VPC-Leaf", K254)), ISNUMBER(SEARCH("VPC_Leaf", K254))),SUBSTITUTE(SUBSTITUTE(SUBSTITUTE(K254, "VPC-Leaf", ""), "VPC_Leaf", ""), "_", "-"),A254)</f>
        <v/>
      </c>
      <c r="M254">
        <f>_xlfn.IFNA(VLOOKUP(_xlfn.CONCAT(VALUE(Table5[[#This Row],[NODE]]),Table5[[#This Row],[PORT]]),PG!C:H,6,0),"NO EXISTE PG")</f>
        <v/>
      </c>
      <c r="N254">
        <f>_xlfn.IFNA(VLOOKUP(_xlfn.CONCAT(VALUE(Table5[[#This Row],[NODE]]),Table5[[#This Row],[PORT]]),PG!C:H,4,0),"NO EXISTE ISEL")</f>
        <v/>
      </c>
      <c r="O254">
        <f>COUNTIF(Statics!G:G,Table5[[#This Row],[PG]])+COUNTIF(Statics!H:H,_xlfn.CONCAT((Table5[[#This Row],[NODE]]),Table5[[#This Row],[PORT]]))</f>
        <v/>
      </c>
      <c r="P254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54">
        <f>COUNTIF(Statics!F:F,Table5[[#This Row],[ID]])+COUNTIF(Statics!F:F,VALUE(Table5[[#This Row],[NODE]]))</f>
        <v/>
      </c>
    </row>
    <row r="255">
      <c r="A255" t="inlineStr">
        <is>
          <t>152</t>
        </is>
      </c>
      <c r="B255" t="inlineStr">
        <is>
          <t>1</t>
        </is>
      </c>
      <c r="C255">
        <f>VLOOKUP(VALUE(Table5[[#This Row],[NODE]]),LEAF_INFO!B:H,6,0)</f>
        <v/>
      </c>
      <c r="D255" t="inlineStr">
        <is>
          <t>eth1/2</t>
        </is>
      </c>
      <c r="E255" t="inlineStr">
        <is>
          <t>up</t>
        </is>
      </c>
      <c r="F255" t="inlineStr">
        <is>
          <t>up</t>
        </is>
      </c>
      <c r="G255">
        <f>VLOOKUP(_xlfn.CONCAT(Table5[[#This Row],[NODE]],Table5[[#This Row],[PORT]]),PORTS_!A:G,7,0)</f>
        <v/>
      </c>
      <c r="H255" t="inlineStr">
        <is>
          <t>HACIA_CUBICULO_JEFATURA</t>
        </is>
      </c>
      <c r="I255">
        <f>VLOOKUP(VALUE(Table5[[#This Row],[NODE]]),LEAF_INFO!B:H,7,0)</f>
        <v/>
      </c>
      <c r="J255">
        <f>ISNUMBER(SEARCH("vpc-leaf", SUBSTITUTE(LOWER(K255), "_", "-")))</f>
        <v/>
      </c>
      <c r="K255">
        <f>_xlfn.IFNA(VLOOKUP(VALUE(Table5[[#This Row],[NODE]]), VPC!A:A, 2, 0), "No está en VPC")</f>
        <v/>
      </c>
      <c r="L255">
        <f>IF(OR(ISNUMBER(SEARCH("VPC-Leaf", K255)), ISNUMBER(SEARCH("VPC_Leaf", K255))),SUBSTITUTE(SUBSTITUTE(SUBSTITUTE(K255, "VPC-Leaf", ""), "VPC_Leaf", ""), "_", "-"),A255)</f>
        <v/>
      </c>
      <c r="M255">
        <f>_xlfn.IFNA(VLOOKUP(_xlfn.CONCAT(VALUE(Table5[[#This Row],[NODE]]),Table5[[#This Row],[PORT]]),PG!C:H,6,0),"NO EXISTE PG")</f>
        <v/>
      </c>
      <c r="N255">
        <f>_xlfn.IFNA(VLOOKUP(_xlfn.CONCAT(VALUE(Table5[[#This Row],[NODE]]),Table5[[#This Row],[PORT]]),PG!C:H,4,0),"NO EXISTE ISEL")</f>
        <v/>
      </c>
      <c r="O255">
        <f>COUNTIF(Statics!G:G,Table5[[#This Row],[PG]])+COUNTIF(Statics!H:H,_xlfn.CONCAT((Table5[[#This Row],[NODE]]),Table5[[#This Row],[PORT]]))</f>
        <v/>
      </c>
      <c r="P255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55">
        <f>COUNTIF(Statics!F:F,Table5[[#This Row],[ID]])+COUNTIF(Statics!F:F,VALUE(Table5[[#This Row],[NODE]]))</f>
        <v/>
      </c>
    </row>
    <row r="256">
      <c r="A256" t="inlineStr">
        <is>
          <t>152</t>
        </is>
      </c>
      <c r="B256" t="inlineStr">
        <is>
          <t>1</t>
        </is>
      </c>
      <c r="C256">
        <f>VLOOKUP(VALUE(Table5[[#This Row],[NODE]]),LEAF_INFO!B:H,6,0)</f>
        <v/>
      </c>
      <c r="D256" t="inlineStr">
        <is>
          <t>eth1/3</t>
        </is>
      </c>
      <c r="E256" t="inlineStr">
        <is>
          <t>down</t>
        </is>
      </c>
      <c r="F256" t="inlineStr">
        <is>
          <t>down</t>
        </is>
      </c>
      <c r="G256">
        <f>VLOOKUP(_xlfn.CONCAT(Table5[[#This Row],[NODE]],Table5[[#This Row],[PORT]]),PORTS_!A:G,7,0)</f>
        <v/>
      </c>
      <c r="H256" t="inlineStr">
        <is>
          <t>NODE-AP NO_CRITICO GES MUX-HUAWEI 31-Ingenieros SIN_REDUNDANCIA</t>
        </is>
      </c>
      <c r="I256">
        <f>VLOOKUP(VALUE(Table5[[#This Row],[NODE]]),LEAF_INFO!B:H,7,0)</f>
        <v/>
      </c>
      <c r="J256">
        <f>ISNUMBER(SEARCH("vpc-leaf", SUBSTITUTE(LOWER(K256), "_", "-")))</f>
        <v/>
      </c>
      <c r="K256">
        <f>_xlfn.IFNA(VLOOKUP(VALUE(Table5[[#This Row],[NODE]]), VPC!A:A, 2, 0), "No está en VPC")</f>
        <v/>
      </c>
      <c r="L256">
        <f>IF(OR(ISNUMBER(SEARCH("VPC-Leaf", K256)), ISNUMBER(SEARCH("VPC_Leaf", K256))),SUBSTITUTE(SUBSTITUTE(SUBSTITUTE(K256, "VPC-Leaf", ""), "VPC_Leaf", ""), "_", "-"),A256)</f>
        <v/>
      </c>
      <c r="M256">
        <f>_xlfn.IFNA(VLOOKUP(_xlfn.CONCAT(VALUE(Table5[[#This Row],[NODE]]),Table5[[#This Row],[PORT]]),PG!C:H,6,0),"NO EXISTE PG")</f>
        <v/>
      </c>
      <c r="N256">
        <f>_xlfn.IFNA(VLOOKUP(_xlfn.CONCAT(VALUE(Table5[[#This Row],[NODE]]),Table5[[#This Row],[PORT]]),PG!C:H,4,0),"NO EXISTE ISEL")</f>
        <v/>
      </c>
      <c r="O256">
        <f>COUNTIF(Statics!G:G,Table5[[#This Row],[PG]])+COUNTIF(Statics!H:H,_xlfn.CONCAT((Table5[[#This Row],[NODE]]),Table5[[#This Row],[PORT]]))</f>
        <v/>
      </c>
      <c r="P256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56">
        <f>COUNTIF(Statics!F:F,Table5[[#This Row],[ID]])+COUNTIF(Statics!F:F,VALUE(Table5[[#This Row],[NODE]]))</f>
        <v/>
      </c>
    </row>
    <row r="257">
      <c r="A257" t="inlineStr">
        <is>
          <t>152</t>
        </is>
      </c>
      <c r="B257" t="inlineStr">
        <is>
          <t>1</t>
        </is>
      </c>
      <c r="C257">
        <f>VLOOKUP(VALUE(Table5[[#This Row],[NODE]]),LEAF_INFO!B:H,6,0)</f>
        <v/>
      </c>
      <c r="D257" t="inlineStr">
        <is>
          <t>eth1/4</t>
        </is>
      </c>
      <c r="E257" t="inlineStr">
        <is>
          <t>up</t>
        </is>
      </c>
      <c r="F257" t="inlineStr">
        <is>
          <t>up</t>
        </is>
      </c>
      <c r="G257">
        <f>VLOOKUP(_xlfn.CONCAT(Table5[[#This Row],[NODE]],Table5[[#This Row],[PORT]]),PORTS_!A:G,7,0)</f>
        <v/>
      </c>
      <c r="H257" t="inlineStr">
        <is>
          <t>HACIA_HUAWEI</t>
        </is>
      </c>
      <c r="I257">
        <f>VLOOKUP(VALUE(Table5[[#This Row],[NODE]]),LEAF_INFO!B:H,7,0)</f>
        <v/>
      </c>
      <c r="J257">
        <f>ISNUMBER(SEARCH("vpc-leaf", SUBSTITUTE(LOWER(K257), "_", "-")))</f>
        <v/>
      </c>
      <c r="K257">
        <f>_xlfn.IFNA(VLOOKUP(VALUE(Table5[[#This Row],[NODE]]), VPC!A:A, 2, 0), "No está en VPC")</f>
        <v/>
      </c>
      <c r="L257">
        <f>IF(OR(ISNUMBER(SEARCH("VPC-Leaf", K257)), ISNUMBER(SEARCH("VPC_Leaf", K257))),SUBSTITUTE(SUBSTITUTE(SUBSTITUTE(K257, "VPC-Leaf", ""), "VPC_Leaf", ""), "_", "-"),A257)</f>
        <v/>
      </c>
      <c r="M257">
        <f>_xlfn.IFNA(VLOOKUP(_xlfn.CONCAT(VALUE(Table5[[#This Row],[NODE]]),Table5[[#This Row],[PORT]]),PG!C:H,6,0),"NO EXISTE PG")</f>
        <v/>
      </c>
      <c r="N257">
        <f>_xlfn.IFNA(VLOOKUP(_xlfn.CONCAT(VALUE(Table5[[#This Row],[NODE]]),Table5[[#This Row],[PORT]]),PG!C:H,4,0),"NO EXISTE ISEL")</f>
        <v/>
      </c>
      <c r="O257">
        <f>COUNTIF(Statics!G:G,Table5[[#This Row],[PG]])+COUNTIF(Statics!H:H,_xlfn.CONCAT((Table5[[#This Row],[NODE]]),Table5[[#This Row],[PORT]]))</f>
        <v/>
      </c>
      <c r="P257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57">
        <f>COUNTIF(Statics!F:F,Table5[[#This Row],[ID]])+COUNTIF(Statics!F:F,VALUE(Table5[[#This Row],[NODE]]))</f>
        <v/>
      </c>
    </row>
    <row r="258">
      <c r="A258" t="inlineStr">
        <is>
          <t>152</t>
        </is>
      </c>
      <c r="B258" t="inlineStr">
        <is>
          <t>1</t>
        </is>
      </c>
      <c r="C258">
        <f>VLOOKUP(VALUE(Table5[[#This Row],[NODE]]),LEAF_INFO!B:H,6,0)</f>
        <v/>
      </c>
      <c r="D258" t="inlineStr">
        <is>
          <t>eth1/5</t>
        </is>
      </c>
      <c r="E258" t="inlineStr">
        <is>
          <t>up</t>
        </is>
      </c>
      <c r="F258" t="inlineStr">
        <is>
          <t>up</t>
        </is>
      </c>
      <c r="G258">
        <f>VLOOKUP(_xlfn.CONCAT(Table5[[#This Row],[NODE]],Table5[[#This Row],[PORT]]),PORTS_!A:G,7,0)</f>
        <v/>
      </c>
      <c r="H258" t="inlineStr">
        <is>
          <t>HACIA_CELTRO_NOGALES2_RESPALDO</t>
        </is>
      </c>
      <c r="I258">
        <f>VLOOKUP(VALUE(Table5[[#This Row],[NODE]]),LEAF_INFO!B:H,7,0)</f>
        <v/>
      </c>
      <c r="J258">
        <f>ISNUMBER(SEARCH("vpc-leaf", SUBSTITUTE(LOWER(K258), "_", "-")))</f>
        <v/>
      </c>
      <c r="K258">
        <f>_xlfn.IFNA(VLOOKUP(VALUE(Table5[[#This Row],[NODE]]), VPC!A:A, 2, 0), "No está en VPC")</f>
        <v/>
      </c>
      <c r="L258">
        <f>IF(OR(ISNUMBER(SEARCH("VPC-Leaf", K258)), ISNUMBER(SEARCH("VPC_Leaf", K258))),SUBSTITUTE(SUBSTITUTE(SUBSTITUTE(K258, "VPC-Leaf", ""), "VPC_Leaf", ""), "_", "-"),A258)</f>
        <v/>
      </c>
      <c r="M258">
        <f>_xlfn.IFNA(VLOOKUP(_xlfn.CONCAT(VALUE(Table5[[#This Row],[NODE]]),Table5[[#This Row],[PORT]]),PG!C:H,6,0),"NO EXISTE PG")</f>
        <v/>
      </c>
      <c r="N258">
        <f>_xlfn.IFNA(VLOOKUP(_xlfn.CONCAT(VALUE(Table5[[#This Row],[NODE]]),Table5[[#This Row],[PORT]]),PG!C:H,4,0),"NO EXISTE ISEL")</f>
        <v/>
      </c>
      <c r="O258">
        <f>COUNTIF(Statics!G:G,Table5[[#This Row],[PG]])+COUNTIF(Statics!H:H,_xlfn.CONCAT((Table5[[#This Row],[NODE]]),Table5[[#This Row],[PORT]]))</f>
        <v/>
      </c>
      <c r="P258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58">
        <f>COUNTIF(Statics!F:F,Table5[[#This Row],[ID]])+COUNTIF(Statics!F:F,VALUE(Table5[[#This Row],[NODE]]))</f>
        <v/>
      </c>
    </row>
    <row r="259">
      <c r="A259" t="inlineStr">
        <is>
          <t>152</t>
        </is>
      </c>
      <c r="B259" t="inlineStr">
        <is>
          <t>1</t>
        </is>
      </c>
      <c r="C259">
        <f>VLOOKUP(VALUE(Table5[[#This Row],[NODE]]),LEAF_INFO!B:H,6,0)</f>
        <v/>
      </c>
      <c r="D259" t="inlineStr">
        <is>
          <t>eth1/6</t>
        </is>
      </c>
      <c r="E259" t="inlineStr">
        <is>
          <t>down</t>
        </is>
      </c>
      <c r="F259" t="inlineStr">
        <is>
          <t>down</t>
        </is>
      </c>
      <c r="G259">
        <f>VLOOKUP(_xlfn.CONCAT(Table5[[#This Row],[NODE]],Table5[[#This Row],[PORT]]),PORTS_!A:G,7,0)</f>
        <v/>
      </c>
      <c r="H259" t="inlineStr">
        <is>
          <t>HACIA_SALA_OYM_EXT_IMPRESORA</t>
        </is>
      </c>
      <c r="I259">
        <f>VLOOKUP(VALUE(Table5[[#This Row],[NODE]]),LEAF_INFO!B:H,7,0)</f>
        <v/>
      </c>
      <c r="J259">
        <f>ISNUMBER(SEARCH("vpc-leaf", SUBSTITUTE(LOWER(K259), "_", "-")))</f>
        <v/>
      </c>
      <c r="K259">
        <f>_xlfn.IFNA(VLOOKUP(VALUE(Table5[[#This Row],[NODE]]), VPC!A:A, 2, 0), "No está en VPC")</f>
        <v/>
      </c>
      <c r="L259">
        <f>IF(OR(ISNUMBER(SEARCH("VPC-Leaf", K259)), ISNUMBER(SEARCH("VPC_Leaf", K259))),SUBSTITUTE(SUBSTITUTE(SUBSTITUTE(K259, "VPC-Leaf", ""), "VPC_Leaf", ""), "_", "-"),A259)</f>
        <v/>
      </c>
      <c r="M259">
        <f>_xlfn.IFNA(VLOOKUP(_xlfn.CONCAT(VALUE(Table5[[#This Row],[NODE]]),Table5[[#This Row],[PORT]]),PG!C:H,6,0),"NO EXISTE PG")</f>
        <v/>
      </c>
      <c r="N259">
        <f>_xlfn.IFNA(VLOOKUP(_xlfn.CONCAT(VALUE(Table5[[#This Row],[NODE]]),Table5[[#This Row],[PORT]]),PG!C:H,4,0),"NO EXISTE ISEL")</f>
        <v/>
      </c>
      <c r="O259">
        <f>COUNTIF(Statics!G:G,Table5[[#This Row],[PG]])+COUNTIF(Statics!H:H,_xlfn.CONCAT((Table5[[#This Row],[NODE]]),Table5[[#This Row],[PORT]]))</f>
        <v/>
      </c>
      <c r="P259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59">
        <f>COUNTIF(Statics!F:F,Table5[[#This Row],[ID]])+COUNTIF(Statics!F:F,VALUE(Table5[[#This Row],[NODE]]))</f>
        <v/>
      </c>
    </row>
    <row r="260">
      <c r="A260" t="inlineStr">
        <is>
          <t>152</t>
        </is>
      </c>
      <c r="B260" t="inlineStr">
        <is>
          <t>1</t>
        </is>
      </c>
      <c r="C260">
        <f>VLOOKUP(VALUE(Table5[[#This Row],[NODE]]),LEAF_INFO!B:H,6,0)</f>
        <v/>
      </c>
      <c r="D260" t="inlineStr">
        <is>
          <t>eth1/7</t>
        </is>
      </c>
      <c r="E260" t="inlineStr">
        <is>
          <t>up</t>
        </is>
      </c>
      <c r="F260" t="inlineStr">
        <is>
          <t>down</t>
        </is>
      </c>
      <c r="G260">
        <f>VLOOKUP(_xlfn.CONCAT(Table5[[#This Row],[NODE]],Table5[[#This Row],[PORT]]),PORTS_!A:G,7,0)</f>
        <v/>
      </c>
      <c r="H260" t="inlineStr">
        <is>
          <t>HACIA_EXT_CHECADOR</t>
        </is>
      </c>
      <c r="I260">
        <f>VLOOKUP(VALUE(Table5[[#This Row],[NODE]]),LEAF_INFO!B:H,7,0)</f>
        <v/>
      </c>
      <c r="J260">
        <f>ISNUMBER(SEARCH("vpc-leaf", SUBSTITUTE(LOWER(K260), "_", "-")))</f>
        <v/>
      </c>
      <c r="K260">
        <f>_xlfn.IFNA(VLOOKUP(VALUE(Table5[[#This Row],[NODE]]), VPC!A:A, 2, 0), "No está en VPC")</f>
        <v/>
      </c>
      <c r="L260">
        <f>IF(OR(ISNUMBER(SEARCH("VPC-Leaf", K260)), ISNUMBER(SEARCH("VPC_Leaf", K260))),SUBSTITUTE(SUBSTITUTE(SUBSTITUTE(K260, "VPC-Leaf", ""), "VPC_Leaf", ""), "_", "-"),A260)</f>
        <v/>
      </c>
      <c r="M260">
        <f>_xlfn.IFNA(VLOOKUP(_xlfn.CONCAT(VALUE(Table5[[#This Row],[NODE]]),Table5[[#This Row],[PORT]]),PG!C:H,6,0),"NO EXISTE PG")</f>
        <v/>
      </c>
      <c r="N260">
        <f>_xlfn.IFNA(VLOOKUP(_xlfn.CONCAT(VALUE(Table5[[#This Row],[NODE]]),Table5[[#This Row],[PORT]]),PG!C:H,4,0),"NO EXISTE ISEL")</f>
        <v/>
      </c>
      <c r="O260">
        <f>COUNTIF(Statics!G:G,Table5[[#This Row],[PG]])+COUNTIF(Statics!H:H,_xlfn.CONCAT((Table5[[#This Row],[NODE]]),Table5[[#This Row],[PORT]]))</f>
        <v/>
      </c>
      <c r="P260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60">
        <f>COUNTIF(Statics!F:F,Table5[[#This Row],[ID]])+COUNTIF(Statics!F:F,VALUE(Table5[[#This Row],[NODE]]))</f>
        <v/>
      </c>
    </row>
    <row r="261">
      <c r="A261" t="inlineStr">
        <is>
          <t>152</t>
        </is>
      </c>
      <c r="B261" t="inlineStr">
        <is>
          <t>1</t>
        </is>
      </c>
      <c r="C261">
        <f>VLOOKUP(VALUE(Table5[[#This Row],[NODE]]),LEAF_INFO!B:H,6,0)</f>
        <v/>
      </c>
      <c r="D261" t="inlineStr">
        <is>
          <t>eth1/8</t>
        </is>
      </c>
      <c r="E261" t="inlineStr">
        <is>
          <t>up</t>
        </is>
      </c>
      <c r="F261" t="inlineStr">
        <is>
          <t>down</t>
        </is>
      </c>
      <c r="G261">
        <f>VLOOKUP(_xlfn.CONCAT(Table5[[#This Row],[NODE]],Table5[[#This Row],[PORT]]),PORTS_!A:G,7,0)</f>
        <v/>
      </c>
      <c r="H261" t="inlineStr">
        <is>
          <t>HACIA _IP RAN ZTE</t>
        </is>
      </c>
      <c r="I261">
        <f>VLOOKUP(VALUE(Table5[[#This Row],[NODE]]),LEAF_INFO!B:H,7,0)</f>
        <v/>
      </c>
      <c r="J261">
        <f>ISNUMBER(SEARCH("vpc-leaf", SUBSTITUTE(LOWER(K261), "_", "-")))</f>
        <v/>
      </c>
      <c r="K261">
        <f>_xlfn.IFNA(VLOOKUP(VALUE(Table5[[#This Row],[NODE]]), VPC!A:A, 2, 0), "No está en VPC")</f>
        <v/>
      </c>
      <c r="L261">
        <f>IF(OR(ISNUMBER(SEARCH("VPC-Leaf", K261)), ISNUMBER(SEARCH("VPC_Leaf", K261))),SUBSTITUTE(SUBSTITUTE(SUBSTITUTE(K261, "VPC-Leaf", ""), "VPC_Leaf", ""), "_", "-"),A261)</f>
        <v/>
      </c>
      <c r="M261">
        <f>_xlfn.IFNA(VLOOKUP(_xlfn.CONCAT(VALUE(Table5[[#This Row],[NODE]]),Table5[[#This Row],[PORT]]),PG!C:H,6,0),"NO EXISTE PG")</f>
        <v/>
      </c>
      <c r="N261">
        <f>_xlfn.IFNA(VLOOKUP(_xlfn.CONCAT(VALUE(Table5[[#This Row],[NODE]]),Table5[[#This Row],[PORT]]),PG!C:H,4,0),"NO EXISTE ISEL")</f>
        <v/>
      </c>
      <c r="O261">
        <f>COUNTIF(Statics!G:G,Table5[[#This Row],[PG]])+COUNTIF(Statics!H:H,_xlfn.CONCAT((Table5[[#This Row],[NODE]]),Table5[[#This Row],[PORT]]))</f>
        <v/>
      </c>
      <c r="P261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61">
        <f>COUNTIF(Statics!F:F,Table5[[#This Row],[ID]])+COUNTIF(Statics!F:F,VALUE(Table5[[#This Row],[NODE]]))</f>
        <v/>
      </c>
    </row>
    <row r="262">
      <c r="A262" t="inlineStr">
        <is>
          <t>152</t>
        </is>
      </c>
      <c r="B262" t="inlineStr">
        <is>
          <t>1</t>
        </is>
      </c>
      <c r="C262">
        <f>VLOOKUP(VALUE(Table5[[#This Row],[NODE]]),LEAF_INFO!B:H,6,0)</f>
        <v/>
      </c>
      <c r="D262" t="inlineStr">
        <is>
          <t>eth1/9</t>
        </is>
      </c>
      <c r="E262" t="inlineStr">
        <is>
          <t>up</t>
        </is>
      </c>
      <c r="F262" t="inlineStr">
        <is>
          <t>up</t>
        </is>
      </c>
      <c r="G262">
        <f>VLOOKUP(_xlfn.CONCAT(Table5[[#This Row],[NODE]],Table5[[#This Row],[PORT]]),PORTS_!A:G,7,0)</f>
        <v/>
      </c>
      <c r="H262" t="inlineStr">
        <is>
          <t>HACIA_RNC INGRN1 Trafico IuPS+Iur_CP1 / Panel 19 Pto 21 - MUTOA Sal</t>
        </is>
      </c>
      <c r="I262">
        <f>VLOOKUP(VALUE(Table5[[#This Row],[NODE]]),LEAF_INFO!B:H,7,0)</f>
        <v/>
      </c>
      <c r="J262">
        <f>ISNUMBER(SEARCH("vpc-leaf", SUBSTITUTE(LOWER(K262), "_", "-")))</f>
        <v/>
      </c>
      <c r="K262">
        <f>_xlfn.IFNA(VLOOKUP(VALUE(Table5[[#This Row],[NODE]]), VPC!A:A, 2, 0), "No está en VPC")</f>
        <v/>
      </c>
      <c r="L262">
        <f>IF(OR(ISNUMBER(SEARCH("VPC-Leaf", K262)), ISNUMBER(SEARCH("VPC_Leaf", K262))),SUBSTITUTE(SUBSTITUTE(SUBSTITUTE(K262, "VPC-Leaf", ""), "VPC_Leaf", ""), "_", "-"),A262)</f>
        <v/>
      </c>
      <c r="M262">
        <f>_xlfn.IFNA(VLOOKUP(_xlfn.CONCAT(VALUE(Table5[[#This Row],[NODE]]),Table5[[#This Row],[PORT]]),PG!C:H,6,0),"NO EXISTE PG")</f>
        <v/>
      </c>
      <c r="N262">
        <f>_xlfn.IFNA(VLOOKUP(_xlfn.CONCAT(VALUE(Table5[[#This Row],[NODE]]),Table5[[#This Row],[PORT]]),PG!C:H,4,0),"NO EXISTE ISEL")</f>
        <v/>
      </c>
      <c r="O262">
        <f>COUNTIF(Statics!G:G,Table5[[#This Row],[PG]])+COUNTIF(Statics!H:H,_xlfn.CONCAT((Table5[[#This Row],[NODE]]),Table5[[#This Row],[PORT]]))</f>
        <v/>
      </c>
      <c r="P262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62">
        <f>COUNTIF(Statics!F:F,Table5[[#This Row],[ID]])+COUNTIF(Statics!F:F,VALUE(Table5[[#This Row],[NODE]]))</f>
        <v/>
      </c>
    </row>
    <row r="263">
      <c r="A263" t="inlineStr">
        <is>
          <t>152</t>
        </is>
      </c>
      <c r="B263" t="inlineStr">
        <is>
          <t>1</t>
        </is>
      </c>
      <c r="C263">
        <f>VLOOKUP(VALUE(Table5[[#This Row],[NODE]]),LEAF_INFO!B:H,6,0)</f>
        <v/>
      </c>
      <c r="D263" t="inlineStr">
        <is>
          <t>eth1/10</t>
        </is>
      </c>
      <c r="E263" t="inlineStr">
        <is>
          <t>up</t>
        </is>
      </c>
      <c r="F263" t="inlineStr">
        <is>
          <t>up</t>
        </is>
      </c>
      <c r="G263">
        <f>VLOOKUP(_xlfn.CONCAT(Table5[[#This Row],[NODE]],Table5[[#This Row],[PORT]]),PORTS_!A:G,7,0)</f>
        <v/>
      </c>
      <c r="H263" t="inlineStr">
        <is>
          <t>HACIA_INGMG1 Tarjeta O&amp;M Puerto 1 / Panel 23 Pos-29</t>
        </is>
      </c>
      <c r="I263">
        <f>VLOOKUP(VALUE(Table5[[#This Row],[NODE]]),LEAF_INFO!B:H,7,0)</f>
        <v/>
      </c>
      <c r="J263">
        <f>ISNUMBER(SEARCH("vpc-leaf", SUBSTITUTE(LOWER(K263), "_", "-")))</f>
        <v/>
      </c>
      <c r="K263">
        <f>_xlfn.IFNA(VLOOKUP(VALUE(Table5[[#This Row],[NODE]]), VPC!A:A, 2, 0), "No está en VPC")</f>
        <v/>
      </c>
      <c r="L263">
        <f>IF(OR(ISNUMBER(SEARCH("VPC-Leaf", K263)), ISNUMBER(SEARCH("VPC_Leaf", K263))),SUBSTITUTE(SUBSTITUTE(SUBSTITUTE(K263, "VPC-Leaf", ""), "VPC_Leaf", ""), "_", "-"),A263)</f>
        <v/>
      </c>
      <c r="M263">
        <f>_xlfn.IFNA(VLOOKUP(_xlfn.CONCAT(VALUE(Table5[[#This Row],[NODE]]),Table5[[#This Row],[PORT]]),PG!C:H,6,0),"NO EXISTE PG")</f>
        <v/>
      </c>
      <c r="N263">
        <f>_xlfn.IFNA(VLOOKUP(_xlfn.CONCAT(VALUE(Table5[[#This Row],[NODE]]),Table5[[#This Row],[PORT]]),PG!C:H,4,0),"NO EXISTE ISEL")</f>
        <v/>
      </c>
      <c r="O263">
        <f>COUNTIF(Statics!G:G,Table5[[#This Row],[PG]])+COUNTIF(Statics!H:H,_xlfn.CONCAT((Table5[[#This Row],[NODE]]),Table5[[#This Row],[PORT]]))</f>
        <v/>
      </c>
      <c r="P263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63">
        <f>COUNTIF(Statics!F:F,Table5[[#This Row],[ID]])+COUNTIF(Statics!F:F,VALUE(Table5[[#This Row],[NODE]]))</f>
        <v/>
      </c>
    </row>
    <row r="264">
      <c r="A264" t="inlineStr">
        <is>
          <t>152</t>
        </is>
      </c>
      <c r="B264" t="inlineStr">
        <is>
          <t>1</t>
        </is>
      </c>
      <c r="C264">
        <f>VLOOKUP(VALUE(Table5[[#This Row],[NODE]]),LEAF_INFO!B:H,6,0)</f>
        <v/>
      </c>
      <c r="D264" t="inlineStr">
        <is>
          <t>eth1/11</t>
        </is>
      </c>
      <c r="E264" t="inlineStr">
        <is>
          <t>up</t>
        </is>
      </c>
      <c r="F264" t="inlineStr">
        <is>
          <t>up</t>
        </is>
      </c>
      <c r="G264">
        <f>VLOOKUP(_xlfn.CONCAT(Table5[[#This Row],[NODE]],Table5[[#This Row],[PORT]]),PORTS_!A:G,7,0)</f>
        <v/>
      </c>
      <c r="H264" t="inlineStr">
        <is>
          <t>HACIA_INGMG1 Tarjeta ET-IPG1 Puerto Pasivo / Panel 24 Pos-30</t>
        </is>
      </c>
      <c r="I264">
        <f>VLOOKUP(VALUE(Table5[[#This Row],[NODE]]),LEAF_INFO!B:H,7,0)</f>
        <v/>
      </c>
      <c r="J264">
        <f>ISNUMBER(SEARCH("vpc-leaf", SUBSTITUTE(LOWER(K264), "_", "-")))</f>
        <v/>
      </c>
      <c r="K264">
        <f>_xlfn.IFNA(VLOOKUP(VALUE(Table5[[#This Row],[NODE]]), VPC!A:A, 2, 0), "No está en VPC")</f>
        <v/>
      </c>
      <c r="L264">
        <f>IF(OR(ISNUMBER(SEARCH("VPC-Leaf", K264)), ISNUMBER(SEARCH("VPC_Leaf", K264))),SUBSTITUTE(SUBSTITUTE(SUBSTITUTE(K264, "VPC-Leaf", ""), "VPC_Leaf", ""), "_", "-"),A264)</f>
        <v/>
      </c>
      <c r="M264">
        <f>_xlfn.IFNA(VLOOKUP(_xlfn.CONCAT(VALUE(Table5[[#This Row],[NODE]]),Table5[[#This Row],[PORT]]),PG!C:H,6,0),"NO EXISTE PG")</f>
        <v/>
      </c>
      <c r="N264">
        <f>_xlfn.IFNA(VLOOKUP(_xlfn.CONCAT(VALUE(Table5[[#This Row],[NODE]]),Table5[[#This Row],[PORT]]),PG!C:H,4,0),"NO EXISTE ISEL")</f>
        <v/>
      </c>
      <c r="O264">
        <f>COUNTIF(Statics!G:G,Table5[[#This Row],[PG]])+COUNTIF(Statics!H:H,_xlfn.CONCAT((Table5[[#This Row],[NODE]]),Table5[[#This Row],[PORT]]))</f>
        <v/>
      </c>
      <c r="P264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64">
        <f>COUNTIF(Statics!F:F,Table5[[#This Row],[ID]])+COUNTIF(Statics!F:F,VALUE(Table5[[#This Row],[NODE]]))</f>
        <v/>
      </c>
    </row>
    <row r="265">
      <c r="A265" t="inlineStr">
        <is>
          <t>152</t>
        </is>
      </c>
      <c r="B265" t="inlineStr">
        <is>
          <t>1</t>
        </is>
      </c>
      <c r="C265">
        <f>VLOOKUP(VALUE(Table5[[#This Row],[NODE]]),LEAF_INFO!B:H,6,0)</f>
        <v/>
      </c>
      <c r="D265" t="inlineStr">
        <is>
          <t>eth1/12</t>
        </is>
      </c>
      <c r="E265" t="inlineStr">
        <is>
          <t>up</t>
        </is>
      </c>
      <c r="F265" t="inlineStr">
        <is>
          <t>up</t>
        </is>
      </c>
      <c r="G265">
        <f>VLOOKUP(_xlfn.CONCAT(Table5[[#This Row],[NODE]],Table5[[#This Row],[PORT]]),PORTS_!A:G,7,0)</f>
        <v/>
      </c>
      <c r="H265" t="inlineStr">
        <is>
          <t>HACIA_EVO INGEV1 Trafico MUR / Panel 28 Pto28</t>
        </is>
      </c>
      <c r="I265">
        <f>VLOOKUP(VALUE(Table5[[#This Row],[NODE]]),LEAF_INFO!B:H,7,0)</f>
        <v/>
      </c>
      <c r="J265">
        <f>ISNUMBER(SEARCH("vpc-leaf", SUBSTITUTE(LOWER(K265), "_", "-")))</f>
        <v/>
      </c>
      <c r="K265">
        <f>_xlfn.IFNA(VLOOKUP(VALUE(Table5[[#This Row],[NODE]]), VPC!A:A, 2, 0), "No está en VPC")</f>
        <v/>
      </c>
      <c r="L265">
        <f>IF(OR(ISNUMBER(SEARCH("VPC-Leaf", K265)), ISNUMBER(SEARCH("VPC_Leaf", K265))),SUBSTITUTE(SUBSTITUTE(SUBSTITUTE(K265, "VPC-Leaf", ""), "VPC_Leaf", ""), "_", "-"),A265)</f>
        <v/>
      </c>
      <c r="M265">
        <f>_xlfn.IFNA(VLOOKUP(_xlfn.CONCAT(VALUE(Table5[[#This Row],[NODE]]),Table5[[#This Row],[PORT]]),PG!C:H,6,0),"NO EXISTE PG")</f>
        <v/>
      </c>
      <c r="N265">
        <f>_xlfn.IFNA(VLOOKUP(_xlfn.CONCAT(VALUE(Table5[[#This Row],[NODE]]),Table5[[#This Row],[PORT]]),PG!C:H,4,0),"NO EXISTE ISEL")</f>
        <v/>
      </c>
      <c r="O265">
        <f>COUNTIF(Statics!G:G,Table5[[#This Row],[PG]])+COUNTIF(Statics!H:H,_xlfn.CONCAT((Table5[[#This Row],[NODE]]),Table5[[#This Row],[PORT]]))</f>
        <v/>
      </c>
      <c r="P265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65">
        <f>COUNTIF(Statics!F:F,Table5[[#This Row],[ID]])+COUNTIF(Statics!F:F,VALUE(Table5[[#This Row],[NODE]]))</f>
        <v/>
      </c>
    </row>
    <row r="266">
      <c r="A266" t="inlineStr">
        <is>
          <t>152</t>
        </is>
      </c>
      <c r="B266" t="inlineStr">
        <is>
          <t>1</t>
        </is>
      </c>
      <c r="C266">
        <f>VLOOKUP(VALUE(Table5[[#This Row],[NODE]]),LEAF_INFO!B:H,6,0)</f>
        <v/>
      </c>
      <c r="D266" t="inlineStr">
        <is>
          <t>eth1/13</t>
        </is>
      </c>
      <c r="E266" t="inlineStr">
        <is>
          <t>up</t>
        </is>
      </c>
      <c r="F266" t="inlineStr">
        <is>
          <t>up</t>
        </is>
      </c>
      <c r="G266">
        <f>VLOOKUP(_xlfn.CONCAT(Table5[[#This Row],[NODE]],Table5[[#This Row],[PORT]]),PORTS_!A:G,7,0)</f>
        <v/>
      </c>
      <c r="H266" t="inlineStr">
        <is>
          <t>HACIA_HLR_OYM</t>
        </is>
      </c>
      <c r="I266">
        <f>VLOOKUP(VALUE(Table5[[#This Row],[NODE]]),LEAF_INFO!B:H,7,0)</f>
        <v/>
      </c>
      <c r="J266">
        <f>ISNUMBER(SEARCH("vpc-leaf", SUBSTITUTE(LOWER(K266), "_", "-")))</f>
        <v/>
      </c>
      <c r="K266">
        <f>_xlfn.IFNA(VLOOKUP(VALUE(Table5[[#This Row],[NODE]]), VPC!A:A, 2, 0), "No está en VPC")</f>
        <v/>
      </c>
      <c r="L266">
        <f>IF(OR(ISNUMBER(SEARCH("VPC-Leaf", K266)), ISNUMBER(SEARCH("VPC_Leaf", K266))),SUBSTITUTE(SUBSTITUTE(SUBSTITUTE(K266, "VPC-Leaf", ""), "VPC_Leaf", ""), "_", "-"),A266)</f>
        <v/>
      </c>
      <c r="M266">
        <f>_xlfn.IFNA(VLOOKUP(_xlfn.CONCAT(VALUE(Table5[[#This Row],[NODE]]),Table5[[#This Row],[PORT]]),PG!C:H,6,0),"NO EXISTE PG")</f>
        <v/>
      </c>
      <c r="N266">
        <f>_xlfn.IFNA(VLOOKUP(_xlfn.CONCAT(VALUE(Table5[[#This Row],[NODE]]),Table5[[#This Row],[PORT]]),PG!C:H,4,0),"NO EXISTE ISEL")</f>
        <v/>
      </c>
      <c r="O266">
        <f>COUNTIF(Statics!G:G,Table5[[#This Row],[PG]])+COUNTIF(Statics!H:H,_xlfn.CONCAT((Table5[[#This Row],[NODE]]),Table5[[#This Row],[PORT]]))</f>
        <v/>
      </c>
      <c r="P266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66">
        <f>COUNTIF(Statics!F:F,Table5[[#This Row],[ID]])+COUNTIF(Statics!F:F,VALUE(Table5[[#This Row],[NODE]]))</f>
        <v/>
      </c>
    </row>
    <row r="267">
      <c r="A267" t="inlineStr">
        <is>
          <t>152</t>
        </is>
      </c>
      <c r="B267" t="inlineStr">
        <is>
          <t>1</t>
        </is>
      </c>
      <c r="C267">
        <f>VLOOKUP(VALUE(Table5[[#This Row],[NODE]]),LEAF_INFO!B:H,6,0)</f>
        <v/>
      </c>
      <c r="D267" t="inlineStr">
        <is>
          <t>eth1/14</t>
        </is>
      </c>
      <c r="E267" t="inlineStr">
        <is>
          <t>up</t>
        </is>
      </c>
      <c r="F267" t="inlineStr">
        <is>
          <t>up</t>
        </is>
      </c>
      <c r="G267">
        <f>VLOOKUP(_xlfn.CONCAT(Table5[[#This Row],[NODE]],Table5[[#This Row],[PORT]]),PORTS_!A:G,7,0)</f>
        <v/>
      </c>
      <c r="H267" t="inlineStr">
        <is>
          <t>HACIA_HLR_OYM</t>
        </is>
      </c>
      <c r="I267">
        <f>VLOOKUP(VALUE(Table5[[#This Row],[NODE]]),LEAF_INFO!B:H,7,0)</f>
        <v/>
      </c>
      <c r="J267">
        <f>ISNUMBER(SEARCH("vpc-leaf", SUBSTITUTE(LOWER(K267), "_", "-")))</f>
        <v/>
      </c>
      <c r="K267">
        <f>_xlfn.IFNA(VLOOKUP(VALUE(Table5[[#This Row],[NODE]]), VPC!A:A, 2, 0), "No está en VPC")</f>
        <v/>
      </c>
      <c r="L267">
        <f>IF(OR(ISNUMBER(SEARCH("VPC-Leaf", K267)), ISNUMBER(SEARCH("VPC_Leaf", K267))),SUBSTITUTE(SUBSTITUTE(SUBSTITUTE(K267, "VPC-Leaf", ""), "VPC_Leaf", ""), "_", "-"),A267)</f>
        <v/>
      </c>
      <c r="M267">
        <f>_xlfn.IFNA(VLOOKUP(_xlfn.CONCAT(VALUE(Table5[[#This Row],[NODE]]),Table5[[#This Row],[PORT]]),PG!C:H,6,0),"NO EXISTE PG")</f>
        <v/>
      </c>
      <c r="N267">
        <f>_xlfn.IFNA(VLOOKUP(_xlfn.CONCAT(VALUE(Table5[[#This Row],[NODE]]),Table5[[#This Row],[PORT]]),PG!C:H,4,0),"NO EXISTE ISEL")</f>
        <v/>
      </c>
      <c r="O267">
        <f>COUNTIF(Statics!G:G,Table5[[#This Row],[PG]])+COUNTIF(Statics!H:H,_xlfn.CONCAT((Table5[[#This Row],[NODE]]),Table5[[#This Row],[PORT]]))</f>
        <v/>
      </c>
      <c r="P267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67">
        <f>COUNTIF(Statics!F:F,Table5[[#This Row],[ID]])+COUNTIF(Statics!F:F,VALUE(Table5[[#This Row],[NODE]]))</f>
        <v/>
      </c>
    </row>
    <row r="268">
      <c r="A268" t="inlineStr">
        <is>
          <t>152</t>
        </is>
      </c>
      <c r="B268" t="inlineStr">
        <is>
          <t>1</t>
        </is>
      </c>
      <c r="C268">
        <f>VLOOKUP(VALUE(Table5[[#This Row],[NODE]]),LEAF_INFO!B:H,6,0)</f>
        <v/>
      </c>
      <c r="D268" t="inlineStr">
        <is>
          <t>eth1/15</t>
        </is>
      </c>
      <c r="E268" t="inlineStr">
        <is>
          <t>up</t>
        </is>
      </c>
      <c r="F268" t="inlineStr">
        <is>
          <t>up</t>
        </is>
      </c>
      <c r="G268">
        <f>VLOOKUP(_xlfn.CONCAT(Table5[[#This Row],[NODE]],Table5[[#This Row],[PORT]]),PORTS_!A:G,7,0)</f>
        <v/>
      </c>
      <c r="H268" t="inlineStr">
        <is>
          <t>HACIA_HLR_SIG</t>
        </is>
      </c>
      <c r="I268">
        <f>VLOOKUP(VALUE(Table5[[#This Row],[NODE]]),LEAF_INFO!B:H,7,0)</f>
        <v/>
      </c>
      <c r="J268">
        <f>ISNUMBER(SEARCH("vpc-leaf", SUBSTITUTE(LOWER(K268), "_", "-")))</f>
        <v/>
      </c>
      <c r="K268">
        <f>_xlfn.IFNA(VLOOKUP(VALUE(Table5[[#This Row],[NODE]]), VPC!A:A, 2, 0), "No está en VPC")</f>
        <v/>
      </c>
      <c r="L268">
        <f>IF(OR(ISNUMBER(SEARCH("VPC-Leaf", K268)), ISNUMBER(SEARCH("VPC_Leaf", K268))),SUBSTITUTE(SUBSTITUTE(SUBSTITUTE(K268, "VPC-Leaf", ""), "VPC_Leaf", ""), "_", "-"),A268)</f>
        <v/>
      </c>
      <c r="M268">
        <f>_xlfn.IFNA(VLOOKUP(_xlfn.CONCAT(VALUE(Table5[[#This Row],[NODE]]),Table5[[#This Row],[PORT]]),PG!C:H,6,0),"NO EXISTE PG")</f>
        <v/>
      </c>
      <c r="N268">
        <f>_xlfn.IFNA(VLOOKUP(_xlfn.CONCAT(VALUE(Table5[[#This Row],[NODE]]),Table5[[#This Row],[PORT]]),PG!C:H,4,0),"NO EXISTE ISEL")</f>
        <v/>
      </c>
      <c r="O268">
        <f>COUNTIF(Statics!G:G,Table5[[#This Row],[PG]])+COUNTIF(Statics!H:H,_xlfn.CONCAT((Table5[[#This Row],[NODE]]),Table5[[#This Row],[PORT]]))</f>
        <v/>
      </c>
      <c r="P268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68">
        <f>COUNTIF(Statics!F:F,Table5[[#This Row],[ID]])+COUNTIF(Statics!F:F,VALUE(Table5[[#This Row],[NODE]]))</f>
        <v/>
      </c>
    </row>
    <row r="269">
      <c r="A269" t="inlineStr">
        <is>
          <t>152</t>
        </is>
      </c>
      <c r="B269" t="inlineStr">
        <is>
          <t>1</t>
        </is>
      </c>
      <c r="C269">
        <f>VLOOKUP(VALUE(Table5[[#This Row],[NODE]]),LEAF_INFO!B:H,6,0)</f>
        <v/>
      </c>
      <c r="D269" t="inlineStr">
        <is>
          <t>eth1/16</t>
        </is>
      </c>
      <c r="E269" t="inlineStr">
        <is>
          <t>up</t>
        </is>
      </c>
      <c r="F269" t="inlineStr">
        <is>
          <t>up</t>
        </is>
      </c>
      <c r="G269">
        <f>VLOOKUP(_xlfn.CONCAT(Table5[[#This Row],[NODE]],Table5[[#This Row],[PORT]]),PORTS_!A:G,7,0)</f>
        <v/>
      </c>
      <c r="H269" t="inlineStr">
        <is>
          <t>HACIA_HLR_OYM</t>
        </is>
      </c>
      <c r="I269">
        <f>VLOOKUP(VALUE(Table5[[#This Row],[NODE]]),LEAF_INFO!B:H,7,0)</f>
        <v/>
      </c>
      <c r="J269">
        <f>ISNUMBER(SEARCH("vpc-leaf", SUBSTITUTE(LOWER(K269), "_", "-")))</f>
        <v/>
      </c>
      <c r="K269">
        <f>_xlfn.IFNA(VLOOKUP(VALUE(Table5[[#This Row],[NODE]]), VPC!A:A, 2, 0), "No está en VPC")</f>
        <v/>
      </c>
      <c r="L269">
        <f>IF(OR(ISNUMBER(SEARCH("VPC-Leaf", K269)), ISNUMBER(SEARCH("VPC_Leaf", K269))),SUBSTITUTE(SUBSTITUTE(SUBSTITUTE(K269, "VPC-Leaf", ""), "VPC_Leaf", ""), "_", "-"),A269)</f>
        <v/>
      </c>
      <c r="M269">
        <f>_xlfn.IFNA(VLOOKUP(_xlfn.CONCAT(VALUE(Table5[[#This Row],[NODE]]),Table5[[#This Row],[PORT]]),PG!C:H,6,0),"NO EXISTE PG")</f>
        <v/>
      </c>
      <c r="N269">
        <f>_xlfn.IFNA(VLOOKUP(_xlfn.CONCAT(VALUE(Table5[[#This Row],[NODE]]),Table5[[#This Row],[PORT]]),PG!C:H,4,0),"NO EXISTE ISEL")</f>
        <v/>
      </c>
      <c r="O269">
        <f>COUNTIF(Statics!G:G,Table5[[#This Row],[PG]])+COUNTIF(Statics!H:H,_xlfn.CONCAT((Table5[[#This Row],[NODE]]),Table5[[#This Row],[PORT]]))</f>
        <v/>
      </c>
      <c r="P269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69">
        <f>COUNTIF(Statics!F:F,Table5[[#This Row],[ID]])+COUNTIF(Statics!F:F,VALUE(Table5[[#This Row],[NODE]]))</f>
        <v/>
      </c>
    </row>
    <row r="270">
      <c r="A270" t="inlineStr">
        <is>
          <t>152</t>
        </is>
      </c>
      <c r="B270" t="inlineStr">
        <is>
          <t>1</t>
        </is>
      </c>
      <c r="C270">
        <f>VLOOKUP(VALUE(Table5[[#This Row],[NODE]]),LEAF_INFO!B:H,6,0)</f>
        <v/>
      </c>
      <c r="D270" t="inlineStr">
        <is>
          <t>eth1/17</t>
        </is>
      </c>
      <c r="E270" t="inlineStr">
        <is>
          <t>down</t>
        </is>
      </c>
      <c r="F270" t="inlineStr">
        <is>
          <t>down</t>
        </is>
      </c>
      <c r="G270">
        <f>VLOOKUP(_xlfn.CONCAT(Table5[[#This Row],[NODE]],Table5[[#This Row],[PORT]]),PORTS_!A:G,7,0)</f>
        <v/>
      </c>
      <c r="H270" t="inlineStr">
        <is>
          <t>HACIA-IP RAN</t>
        </is>
      </c>
      <c r="I270">
        <f>VLOOKUP(VALUE(Table5[[#This Row],[NODE]]),LEAF_INFO!B:H,7,0)</f>
        <v/>
      </c>
      <c r="J270">
        <f>ISNUMBER(SEARCH("vpc-leaf", SUBSTITUTE(LOWER(K270), "_", "-")))</f>
        <v/>
      </c>
      <c r="K270">
        <f>_xlfn.IFNA(VLOOKUP(VALUE(Table5[[#This Row],[NODE]]), VPC!A:A, 2, 0), "No está en VPC")</f>
        <v/>
      </c>
      <c r="L270">
        <f>IF(OR(ISNUMBER(SEARCH("VPC-Leaf", K270)), ISNUMBER(SEARCH("VPC_Leaf", K270))),SUBSTITUTE(SUBSTITUTE(SUBSTITUTE(K270, "VPC-Leaf", ""), "VPC_Leaf", ""), "_", "-"),A270)</f>
        <v/>
      </c>
      <c r="M270">
        <f>_xlfn.IFNA(VLOOKUP(_xlfn.CONCAT(VALUE(Table5[[#This Row],[NODE]]),Table5[[#This Row],[PORT]]),PG!C:H,6,0),"NO EXISTE PG")</f>
        <v/>
      </c>
      <c r="N270">
        <f>_xlfn.IFNA(VLOOKUP(_xlfn.CONCAT(VALUE(Table5[[#This Row],[NODE]]),Table5[[#This Row],[PORT]]),PG!C:H,4,0),"NO EXISTE ISEL")</f>
        <v/>
      </c>
      <c r="O270">
        <f>COUNTIF(Statics!G:G,Table5[[#This Row],[PG]])+COUNTIF(Statics!H:H,_xlfn.CONCAT((Table5[[#This Row],[NODE]]),Table5[[#This Row],[PORT]]))</f>
        <v/>
      </c>
      <c r="P270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70">
        <f>COUNTIF(Statics!F:F,Table5[[#This Row],[ID]])+COUNTIF(Statics!F:F,VALUE(Table5[[#This Row],[NODE]]))</f>
        <v/>
      </c>
    </row>
    <row r="271">
      <c r="A271" t="inlineStr">
        <is>
          <t>152</t>
        </is>
      </c>
      <c r="B271" t="inlineStr">
        <is>
          <t>1</t>
        </is>
      </c>
      <c r="C271">
        <f>VLOOKUP(VALUE(Table5[[#This Row],[NODE]]),LEAF_INFO!B:H,6,0)</f>
        <v/>
      </c>
      <c r="D271" t="inlineStr">
        <is>
          <t>eth1/18</t>
        </is>
      </c>
      <c r="E271" t="inlineStr">
        <is>
          <t>up</t>
        </is>
      </c>
      <c r="F271" t="inlineStr">
        <is>
          <t>up</t>
        </is>
      </c>
      <c r="G271">
        <f>VLOOKUP(_xlfn.CONCAT(Table5[[#This Row],[NODE]],Table5[[#This Row],[PORT]]),PORTS_!A:G,7,0)</f>
        <v/>
      </c>
      <c r="H271" t="inlineStr">
        <is>
          <t>HACIA_FZA_ELTEK</t>
        </is>
      </c>
      <c r="I271">
        <f>VLOOKUP(VALUE(Table5[[#This Row],[NODE]]),LEAF_INFO!B:H,7,0)</f>
        <v/>
      </c>
      <c r="J271">
        <f>ISNUMBER(SEARCH("vpc-leaf", SUBSTITUTE(LOWER(K271), "_", "-")))</f>
        <v/>
      </c>
      <c r="K271">
        <f>_xlfn.IFNA(VLOOKUP(VALUE(Table5[[#This Row],[NODE]]), VPC!A:A, 2, 0), "No está en VPC")</f>
        <v/>
      </c>
      <c r="L271">
        <f>IF(OR(ISNUMBER(SEARCH("VPC-Leaf", K271)), ISNUMBER(SEARCH("VPC_Leaf", K271))),SUBSTITUTE(SUBSTITUTE(SUBSTITUTE(K271, "VPC-Leaf", ""), "VPC_Leaf", ""), "_", "-"),A271)</f>
        <v/>
      </c>
      <c r="M271">
        <f>_xlfn.IFNA(VLOOKUP(_xlfn.CONCAT(VALUE(Table5[[#This Row],[NODE]]),Table5[[#This Row],[PORT]]),PG!C:H,6,0),"NO EXISTE PG")</f>
        <v/>
      </c>
      <c r="N271">
        <f>_xlfn.IFNA(VLOOKUP(_xlfn.CONCAT(VALUE(Table5[[#This Row],[NODE]]),Table5[[#This Row],[PORT]]),PG!C:H,4,0),"NO EXISTE ISEL")</f>
        <v/>
      </c>
      <c r="O271">
        <f>COUNTIF(Statics!G:G,Table5[[#This Row],[PG]])+COUNTIF(Statics!H:H,_xlfn.CONCAT((Table5[[#This Row],[NODE]]),Table5[[#This Row],[PORT]]))</f>
        <v/>
      </c>
      <c r="P271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71">
        <f>COUNTIF(Statics!F:F,Table5[[#This Row],[ID]])+COUNTIF(Statics!F:F,VALUE(Table5[[#This Row],[NODE]]))</f>
        <v/>
      </c>
    </row>
    <row r="272">
      <c r="A272" t="inlineStr">
        <is>
          <t>152</t>
        </is>
      </c>
      <c r="B272" t="inlineStr">
        <is>
          <t>1</t>
        </is>
      </c>
      <c r="C272">
        <f>VLOOKUP(VALUE(Table5[[#This Row],[NODE]]),LEAF_INFO!B:H,6,0)</f>
        <v/>
      </c>
      <c r="D272" t="inlineStr">
        <is>
          <t>eth1/19</t>
        </is>
      </c>
      <c r="E272" t="inlineStr">
        <is>
          <t>up</t>
        </is>
      </c>
      <c r="F272" t="inlineStr">
        <is>
          <t>up</t>
        </is>
      </c>
      <c r="G272">
        <f>VLOOKUP(_xlfn.CONCAT(Table5[[#This Row],[NODE]],Table5[[#This Row],[PORT]]),PORTS_!A:G,7,0)</f>
        <v/>
      </c>
      <c r="H272" t="inlineStr">
        <is>
          <t>HACIA_INGMG1 -  ET-IPG206 Pasivo | MUTOA 3 Pos 12</t>
        </is>
      </c>
      <c r="I272">
        <f>VLOOKUP(VALUE(Table5[[#This Row],[NODE]]),LEAF_INFO!B:H,7,0)</f>
        <v/>
      </c>
      <c r="J272">
        <f>ISNUMBER(SEARCH("vpc-leaf", SUBSTITUTE(LOWER(K272), "_", "-")))</f>
        <v/>
      </c>
      <c r="K272">
        <f>_xlfn.IFNA(VLOOKUP(VALUE(Table5[[#This Row],[NODE]]), VPC!A:A, 2, 0), "No está en VPC")</f>
        <v/>
      </c>
      <c r="L272">
        <f>IF(OR(ISNUMBER(SEARCH("VPC-Leaf", K272)), ISNUMBER(SEARCH("VPC_Leaf", K272))),SUBSTITUTE(SUBSTITUTE(SUBSTITUTE(K272, "VPC-Leaf", ""), "VPC_Leaf", ""), "_", "-"),A272)</f>
        <v/>
      </c>
      <c r="M272">
        <f>_xlfn.IFNA(VLOOKUP(_xlfn.CONCAT(VALUE(Table5[[#This Row],[NODE]]),Table5[[#This Row],[PORT]]),PG!C:H,6,0),"NO EXISTE PG")</f>
        <v/>
      </c>
      <c r="N272">
        <f>_xlfn.IFNA(VLOOKUP(_xlfn.CONCAT(VALUE(Table5[[#This Row],[NODE]]),Table5[[#This Row],[PORT]]),PG!C:H,4,0),"NO EXISTE ISEL")</f>
        <v/>
      </c>
      <c r="O272">
        <f>COUNTIF(Statics!G:G,Table5[[#This Row],[PG]])+COUNTIF(Statics!H:H,_xlfn.CONCAT((Table5[[#This Row],[NODE]]),Table5[[#This Row],[PORT]]))</f>
        <v/>
      </c>
      <c r="P272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72">
        <f>COUNTIF(Statics!F:F,Table5[[#This Row],[ID]])+COUNTIF(Statics!F:F,VALUE(Table5[[#This Row],[NODE]]))</f>
        <v/>
      </c>
    </row>
    <row r="273">
      <c r="A273" t="inlineStr">
        <is>
          <t>152</t>
        </is>
      </c>
      <c r="B273" t="inlineStr">
        <is>
          <t>1</t>
        </is>
      </c>
      <c r="C273">
        <f>VLOOKUP(VALUE(Table5[[#This Row],[NODE]]),LEAF_INFO!B:H,6,0)</f>
        <v/>
      </c>
      <c r="D273" t="inlineStr">
        <is>
          <t>eth1/20</t>
        </is>
      </c>
      <c r="E273" t="inlineStr">
        <is>
          <t>up</t>
        </is>
      </c>
      <c r="F273" t="inlineStr">
        <is>
          <t>up</t>
        </is>
      </c>
      <c r="G273">
        <f>VLOOKUP(_xlfn.CONCAT(Table5[[#This Row],[NODE]],Table5[[#This Row],[PORT]]),PORTS_!A:G,7,0)</f>
        <v/>
      </c>
      <c r="H273" t="inlineStr">
        <is>
          <t>HACIA_INGMG1 -  ET-IPG223 Activo | MUTOA 2 Pos 13</t>
        </is>
      </c>
      <c r="I273">
        <f>VLOOKUP(VALUE(Table5[[#This Row],[NODE]]),LEAF_INFO!B:H,7,0)</f>
        <v/>
      </c>
      <c r="J273">
        <f>ISNUMBER(SEARCH("vpc-leaf", SUBSTITUTE(LOWER(K273), "_", "-")))</f>
        <v/>
      </c>
      <c r="K273">
        <f>_xlfn.IFNA(VLOOKUP(VALUE(Table5[[#This Row],[NODE]]), VPC!A:A, 2, 0), "No está en VPC")</f>
        <v/>
      </c>
      <c r="L273">
        <f>IF(OR(ISNUMBER(SEARCH("VPC-Leaf", K273)), ISNUMBER(SEARCH("VPC_Leaf", K273))),SUBSTITUTE(SUBSTITUTE(SUBSTITUTE(K273, "VPC-Leaf", ""), "VPC_Leaf", ""), "_", "-"),A273)</f>
        <v/>
      </c>
      <c r="M273">
        <f>_xlfn.IFNA(VLOOKUP(_xlfn.CONCAT(VALUE(Table5[[#This Row],[NODE]]),Table5[[#This Row],[PORT]]),PG!C:H,6,0),"NO EXISTE PG")</f>
        <v/>
      </c>
      <c r="N273">
        <f>_xlfn.IFNA(VLOOKUP(_xlfn.CONCAT(VALUE(Table5[[#This Row],[NODE]]),Table5[[#This Row],[PORT]]),PG!C:H,4,0),"NO EXISTE ISEL")</f>
        <v/>
      </c>
      <c r="O273">
        <f>COUNTIF(Statics!G:G,Table5[[#This Row],[PG]])+COUNTIF(Statics!H:H,_xlfn.CONCAT((Table5[[#This Row],[NODE]]),Table5[[#This Row],[PORT]]))</f>
        <v/>
      </c>
      <c r="P273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73">
        <f>COUNTIF(Statics!F:F,Table5[[#This Row],[ID]])+COUNTIF(Statics!F:F,VALUE(Table5[[#This Row],[NODE]]))</f>
        <v/>
      </c>
    </row>
    <row r="274">
      <c r="A274" t="inlineStr">
        <is>
          <t>152</t>
        </is>
      </c>
      <c r="B274" t="inlineStr">
        <is>
          <t>1</t>
        </is>
      </c>
      <c r="C274">
        <f>VLOOKUP(VALUE(Table5[[#This Row],[NODE]]),LEAF_INFO!B:H,6,0)</f>
        <v/>
      </c>
      <c r="D274" t="inlineStr">
        <is>
          <t>eth1/21</t>
        </is>
      </c>
      <c r="E274" t="inlineStr">
        <is>
          <t>down</t>
        </is>
      </c>
      <c r="F274" t="inlineStr">
        <is>
          <t>down</t>
        </is>
      </c>
      <c r="G274">
        <f>VLOOKUP(_xlfn.CONCAT(Table5[[#This Row],[NODE]],Table5[[#This Row],[PORT]]),PORTS_!A:G,7,0)</f>
        <v/>
      </c>
      <c r="H274" t="inlineStr">
        <is>
          <t>HACIA_VMS NUEVO</t>
        </is>
      </c>
      <c r="I274">
        <f>VLOOKUP(VALUE(Table5[[#This Row],[NODE]]),LEAF_INFO!B:H,7,0)</f>
        <v/>
      </c>
      <c r="J274">
        <f>ISNUMBER(SEARCH("vpc-leaf", SUBSTITUTE(LOWER(K274), "_", "-")))</f>
        <v/>
      </c>
      <c r="K274">
        <f>_xlfn.IFNA(VLOOKUP(VALUE(Table5[[#This Row],[NODE]]), VPC!A:A, 2, 0), "No está en VPC")</f>
        <v/>
      </c>
      <c r="L274">
        <f>IF(OR(ISNUMBER(SEARCH("VPC-Leaf", K274)), ISNUMBER(SEARCH("VPC_Leaf", K274))),SUBSTITUTE(SUBSTITUTE(SUBSTITUTE(K274, "VPC-Leaf", ""), "VPC_Leaf", ""), "_", "-"),A274)</f>
        <v/>
      </c>
      <c r="M274">
        <f>_xlfn.IFNA(VLOOKUP(_xlfn.CONCAT(VALUE(Table5[[#This Row],[NODE]]),Table5[[#This Row],[PORT]]),PG!C:H,6,0),"NO EXISTE PG")</f>
        <v/>
      </c>
      <c r="N274">
        <f>_xlfn.IFNA(VLOOKUP(_xlfn.CONCAT(VALUE(Table5[[#This Row],[NODE]]),Table5[[#This Row],[PORT]]),PG!C:H,4,0),"NO EXISTE ISEL")</f>
        <v/>
      </c>
      <c r="O274">
        <f>COUNTIF(Statics!G:G,Table5[[#This Row],[PG]])+COUNTIF(Statics!H:H,_xlfn.CONCAT((Table5[[#This Row],[NODE]]),Table5[[#This Row],[PORT]]))</f>
        <v/>
      </c>
      <c r="P274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74">
        <f>COUNTIF(Statics!F:F,Table5[[#This Row],[ID]])+COUNTIF(Statics!F:F,VALUE(Table5[[#This Row],[NODE]]))</f>
        <v/>
      </c>
    </row>
    <row r="275">
      <c r="A275" t="inlineStr">
        <is>
          <t>152</t>
        </is>
      </c>
      <c r="B275" t="inlineStr">
        <is>
          <t>1</t>
        </is>
      </c>
      <c r="C275">
        <f>VLOOKUP(VALUE(Table5[[#This Row],[NODE]]),LEAF_INFO!B:H,6,0)</f>
        <v/>
      </c>
      <c r="D275" t="inlineStr">
        <is>
          <t>eth1/22</t>
        </is>
      </c>
      <c r="E275" t="inlineStr">
        <is>
          <t>down</t>
        </is>
      </c>
      <c r="F275" t="inlineStr">
        <is>
          <t>down</t>
        </is>
      </c>
      <c r="G275">
        <f>VLOOKUP(_xlfn.CONCAT(Table5[[#This Row],[NODE]],Table5[[#This Row],[PORT]]),PORTS_!A:G,7,0)</f>
        <v/>
      </c>
      <c r="H275" t="inlineStr">
        <is>
          <t>HACIA_VMS NUEVO</t>
        </is>
      </c>
      <c r="I275">
        <f>VLOOKUP(VALUE(Table5[[#This Row],[NODE]]),LEAF_INFO!B:H,7,0)</f>
        <v/>
      </c>
      <c r="J275">
        <f>ISNUMBER(SEARCH("vpc-leaf", SUBSTITUTE(LOWER(K275), "_", "-")))</f>
        <v/>
      </c>
      <c r="K275">
        <f>_xlfn.IFNA(VLOOKUP(VALUE(Table5[[#This Row],[NODE]]), VPC!A:A, 2, 0), "No está en VPC")</f>
        <v/>
      </c>
      <c r="L275">
        <f>IF(OR(ISNUMBER(SEARCH("VPC-Leaf", K275)), ISNUMBER(SEARCH("VPC_Leaf", K275))),SUBSTITUTE(SUBSTITUTE(SUBSTITUTE(K275, "VPC-Leaf", ""), "VPC_Leaf", ""), "_", "-"),A275)</f>
        <v/>
      </c>
      <c r="M275">
        <f>_xlfn.IFNA(VLOOKUP(_xlfn.CONCAT(VALUE(Table5[[#This Row],[NODE]]),Table5[[#This Row],[PORT]]),PG!C:H,6,0),"NO EXISTE PG")</f>
        <v/>
      </c>
      <c r="N275">
        <f>_xlfn.IFNA(VLOOKUP(_xlfn.CONCAT(VALUE(Table5[[#This Row],[NODE]]),Table5[[#This Row],[PORT]]),PG!C:H,4,0),"NO EXISTE ISEL")</f>
        <v/>
      </c>
      <c r="O275">
        <f>COUNTIF(Statics!G:G,Table5[[#This Row],[PG]])+COUNTIF(Statics!H:H,_xlfn.CONCAT((Table5[[#This Row],[NODE]]),Table5[[#This Row],[PORT]]))</f>
        <v/>
      </c>
      <c r="P275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75">
        <f>COUNTIF(Statics!F:F,Table5[[#This Row],[ID]])+COUNTIF(Statics!F:F,VALUE(Table5[[#This Row],[NODE]]))</f>
        <v/>
      </c>
    </row>
    <row r="276">
      <c r="A276" t="inlineStr">
        <is>
          <t>152</t>
        </is>
      </c>
      <c r="B276" t="inlineStr">
        <is>
          <t>1</t>
        </is>
      </c>
      <c r="C276">
        <f>VLOOKUP(VALUE(Table5[[#This Row],[NODE]]),LEAF_INFO!B:H,6,0)</f>
        <v/>
      </c>
      <c r="D276" t="inlineStr">
        <is>
          <t>eth1/23</t>
        </is>
      </c>
      <c r="E276" t="inlineStr">
        <is>
          <t>up</t>
        </is>
      </c>
      <c r="F276" t="inlineStr">
        <is>
          <t>up</t>
        </is>
      </c>
      <c r="G276">
        <f>VLOOKUP(_xlfn.CONCAT(Table5[[#This Row],[NODE]],Table5[[#This Row],[PORT]]),PORTS_!A:G,7,0)</f>
        <v/>
      </c>
      <c r="H276" t="inlineStr">
        <is>
          <t>HACIA_INGMG1 Tarjeta ET-IPG2 Puerto Activo / Panel 28 Pos-30</t>
        </is>
      </c>
      <c r="I276">
        <f>VLOOKUP(VALUE(Table5[[#This Row],[NODE]]),LEAF_INFO!B:H,7,0)</f>
        <v/>
      </c>
      <c r="J276">
        <f>ISNUMBER(SEARCH("vpc-leaf", SUBSTITUTE(LOWER(K276), "_", "-")))</f>
        <v/>
      </c>
      <c r="K276">
        <f>_xlfn.IFNA(VLOOKUP(VALUE(Table5[[#This Row],[NODE]]), VPC!A:A, 2, 0), "No está en VPC")</f>
        <v/>
      </c>
      <c r="L276">
        <f>IF(OR(ISNUMBER(SEARCH("VPC-Leaf", K276)), ISNUMBER(SEARCH("VPC_Leaf", K276))),SUBSTITUTE(SUBSTITUTE(SUBSTITUTE(K276, "VPC-Leaf", ""), "VPC_Leaf", ""), "_", "-"),A276)</f>
        <v/>
      </c>
      <c r="M276">
        <f>_xlfn.IFNA(VLOOKUP(_xlfn.CONCAT(VALUE(Table5[[#This Row],[NODE]]),Table5[[#This Row],[PORT]]),PG!C:H,6,0),"NO EXISTE PG")</f>
        <v/>
      </c>
      <c r="N276">
        <f>_xlfn.IFNA(VLOOKUP(_xlfn.CONCAT(VALUE(Table5[[#This Row],[NODE]]),Table5[[#This Row],[PORT]]),PG!C:H,4,0),"NO EXISTE ISEL")</f>
        <v/>
      </c>
      <c r="O276">
        <f>COUNTIF(Statics!G:G,Table5[[#This Row],[PG]])+COUNTIF(Statics!H:H,_xlfn.CONCAT((Table5[[#This Row],[NODE]]),Table5[[#This Row],[PORT]]))</f>
        <v/>
      </c>
      <c r="P276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76">
        <f>COUNTIF(Statics!F:F,Table5[[#This Row],[ID]])+COUNTIF(Statics!F:F,VALUE(Table5[[#This Row],[NODE]]))</f>
        <v/>
      </c>
    </row>
    <row r="277">
      <c r="A277" t="inlineStr">
        <is>
          <t>152</t>
        </is>
      </c>
      <c r="B277" t="inlineStr">
        <is>
          <t>1</t>
        </is>
      </c>
      <c r="C277">
        <f>VLOOKUP(VALUE(Table5[[#This Row],[NODE]]),LEAF_INFO!B:H,6,0)</f>
        <v/>
      </c>
      <c r="D277" t="inlineStr">
        <is>
          <t>eth1/24</t>
        </is>
      </c>
      <c r="E277" t="inlineStr">
        <is>
          <t>down</t>
        </is>
      </c>
      <c r="F277" t="inlineStr">
        <is>
          <t>down</t>
        </is>
      </c>
      <c r="G277">
        <f>VLOOKUP(_xlfn.CONCAT(Table5[[#This Row],[NODE]],Table5[[#This Row],[PORT]]),PORTS_!A:G,7,0)</f>
        <v/>
      </c>
      <c r="H277" t="inlineStr">
        <is>
          <t>HACIA_VMS NUEVO</t>
        </is>
      </c>
      <c r="I277">
        <f>VLOOKUP(VALUE(Table5[[#This Row],[NODE]]),LEAF_INFO!B:H,7,0)</f>
        <v/>
      </c>
      <c r="J277">
        <f>ISNUMBER(SEARCH("vpc-leaf", SUBSTITUTE(LOWER(K277), "_", "-")))</f>
        <v/>
      </c>
      <c r="K277">
        <f>_xlfn.IFNA(VLOOKUP(VALUE(Table5[[#This Row],[NODE]]), VPC!A:A, 2, 0), "No está en VPC")</f>
        <v/>
      </c>
      <c r="L277">
        <f>IF(OR(ISNUMBER(SEARCH("VPC-Leaf", K277)), ISNUMBER(SEARCH("VPC_Leaf", K277))),SUBSTITUTE(SUBSTITUTE(SUBSTITUTE(K277, "VPC-Leaf", ""), "VPC_Leaf", ""), "_", "-"),A277)</f>
        <v/>
      </c>
      <c r="M277">
        <f>_xlfn.IFNA(VLOOKUP(_xlfn.CONCAT(VALUE(Table5[[#This Row],[NODE]]),Table5[[#This Row],[PORT]]),PG!C:H,6,0),"NO EXISTE PG")</f>
        <v/>
      </c>
      <c r="N277">
        <f>_xlfn.IFNA(VLOOKUP(_xlfn.CONCAT(VALUE(Table5[[#This Row],[NODE]]),Table5[[#This Row],[PORT]]),PG!C:H,4,0),"NO EXISTE ISEL")</f>
        <v/>
      </c>
      <c r="O277">
        <f>COUNTIF(Statics!G:G,Table5[[#This Row],[PG]])+COUNTIF(Statics!H:H,_xlfn.CONCAT((Table5[[#This Row],[NODE]]),Table5[[#This Row],[PORT]]))</f>
        <v/>
      </c>
      <c r="P277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77">
        <f>COUNTIF(Statics!F:F,Table5[[#This Row],[ID]])+COUNTIF(Statics!F:F,VALUE(Table5[[#This Row],[NODE]]))</f>
        <v/>
      </c>
    </row>
    <row r="278">
      <c r="A278" t="inlineStr">
        <is>
          <t>152</t>
        </is>
      </c>
      <c r="B278" t="inlineStr">
        <is>
          <t>1</t>
        </is>
      </c>
      <c r="C278">
        <f>VLOOKUP(VALUE(Table5[[#This Row],[NODE]]),LEAF_INFO!B:H,6,0)</f>
        <v/>
      </c>
      <c r="D278" t="inlineStr">
        <is>
          <t>eth1/25</t>
        </is>
      </c>
      <c r="E278" t="inlineStr">
        <is>
          <t>down</t>
        </is>
      </c>
      <c r="F278" t="inlineStr">
        <is>
          <t>down</t>
        </is>
      </c>
      <c r="G278">
        <f>VLOOKUP(_xlfn.CONCAT(Table5[[#This Row],[NODE]],Table5[[#This Row],[PORT]]),PORTS_!A:G,7,0)</f>
        <v/>
      </c>
      <c r="H278" t="inlineStr"/>
      <c r="I278">
        <f>VLOOKUP(VALUE(Table5[[#This Row],[NODE]]),LEAF_INFO!B:H,7,0)</f>
        <v/>
      </c>
      <c r="J278">
        <f>ISNUMBER(SEARCH("vpc-leaf", SUBSTITUTE(LOWER(K278), "_", "-")))</f>
        <v/>
      </c>
      <c r="K278">
        <f>_xlfn.IFNA(VLOOKUP(VALUE(Table5[[#This Row],[NODE]]), VPC!A:A, 2, 0), "No está en VPC")</f>
        <v/>
      </c>
      <c r="L278">
        <f>IF(OR(ISNUMBER(SEARCH("VPC-Leaf", K278)), ISNUMBER(SEARCH("VPC_Leaf", K278))),SUBSTITUTE(SUBSTITUTE(SUBSTITUTE(K278, "VPC-Leaf", ""), "VPC_Leaf", ""), "_", "-"),A278)</f>
        <v/>
      </c>
      <c r="M278">
        <f>_xlfn.IFNA(VLOOKUP(_xlfn.CONCAT(VALUE(Table5[[#This Row],[NODE]]),Table5[[#This Row],[PORT]]),PG!C:H,6,0),"NO EXISTE PG")</f>
        <v/>
      </c>
      <c r="N278">
        <f>_xlfn.IFNA(VLOOKUP(_xlfn.CONCAT(VALUE(Table5[[#This Row],[NODE]]),Table5[[#This Row],[PORT]]),PG!C:H,4,0),"NO EXISTE ISEL")</f>
        <v/>
      </c>
      <c r="O278">
        <f>COUNTIF(Statics!G:G,Table5[[#This Row],[PG]])+COUNTIF(Statics!H:H,_xlfn.CONCAT((Table5[[#This Row],[NODE]]),Table5[[#This Row],[PORT]]))</f>
        <v/>
      </c>
      <c r="P278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78">
        <f>COUNTIF(Statics!F:F,Table5[[#This Row],[ID]])+COUNTIF(Statics!F:F,VALUE(Table5[[#This Row],[NODE]]))</f>
        <v/>
      </c>
    </row>
    <row r="279">
      <c r="A279" t="inlineStr">
        <is>
          <t>152</t>
        </is>
      </c>
      <c r="B279" t="inlineStr">
        <is>
          <t>1</t>
        </is>
      </c>
      <c r="C279">
        <f>VLOOKUP(VALUE(Table5[[#This Row],[NODE]]),LEAF_INFO!B:H,6,0)</f>
        <v/>
      </c>
      <c r="D279" t="inlineStr">
        <is>
          <t>eth1/26</t>
        </is>
      </c>
      <c r="E279" t="inlineStr">
        <is>
          <t>up</t>
        </is>
      </c>
      <c r="F279" t="inlineStr">
        <is>
          <t>up</t>
        </is>
      </c>
      <c r="G279">
        <f>VLOOKUP(_xlfn.CONCAT(Table5[[#This Row],[NODE]],Table5[[#This Row],[PORT]]),PORTS_!A:G,7,0)</f>
        <v/>
      </c>
      <c r="H279" t="inlineStr">
        <is>
          <t>LTE_PTP_SINCRONIA</t>
        </is>
      </c>
      <c r="I279">
        <f>VLOOKUP(VALUE(Table5[[#This Row],[NODE]]),LEAF_INFO!B:H,7,0)</f>
        <v/>
      </c>
      <c r="J279">
        <f>ISNUMBER(SEARCH("vpc-leaf", SUBSTITUTE(LOWER(K279), "_", "-")))</f>
        <v/>
      </c>
      <c r="K279">
        <f>_xlfn.IFNA(VLOOKUP(VALUE(Table5[[#This Row],[NODE]]), VPC!A:A, 2, 0), "No está en VPC")</f>
        <v/>
      </c>
      <c r="L279">
        <f>IF(OR(ISNUMBER(SEARCH("VPC-Leaf", K279)), ISNUMBER(SEARCH("VPC_Leaf", K279))),SUBSTITUTE(SUBSTITUTE(SUBSTITUTE(K279, "VPC-Leaf", ""), "VPC_Leaf", ""), "_", "-"),A279)</f>
        <v/>
      </c>
      <c r="M279">
        <f>_xlfn.IFNA(VLOOKUP(_xlfn.CONCAT(VALUE(Table5[[#This Row],[NODE]]),Table5[[#This Row],[PORT]]),PG!C:H,6,0),"NO EXISTE PG")</f>
        <v/>
      </c>
      <c r="N279">
        <f>_xlfn.IFNA(VLOOKUP(_xlfn.CONCAT(VALUE(Table5[[#This Row],[NODE]]),Table5[[#This Row],[PORT]]),PG!C:H,4,0),"NO EXISTE ISEL")</f>
        <v/>
      </c>
      <c r="O279">
        <f>COUNTIF(Statics!G:G,Table5[[#This Row],[PG]])+COUNTIF(Statics!H:H,_xlfn.CONCAT((Table5[[#This Row],[NODE]]),Table5[[#This Row],[PORT]]))</f>
        <v/>
      </c>
      <c r="P279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79">
        <f>COUNTIF(Statics!F:F,Table5[[#This Row],[ID]])+COUNTIF(Statics!F:F,VALUE(Table5[[#This Row],[NODE]]))</f>
        <v/>
      </c>
    </row>
    <row r="280">
      <c r="A280" t="inlineStr">
        <is>
          <t>152</t>
        </is>
      </c>
      <c r="B280" t="inlineStr">
        <is>
          <t>1</t>
        </is>
      </c>
      <c r="C280">
        <f>VLOOKUP(VALUE(Table5[[#This Row],[NODE]]),LEAF_INFO!B:H,6,0)</f>
        <v/>
      </c>
      <c r="D280" t="inlineStr">
        <is>
          <t>eth1/27</t>
        </is>
      </c>
      <c r="E280" t="inlineStr">
        <is>
          <t>up</t>
        </is>
      </c>
      <c r="F280" t="inlineStr">
        <is>
          <t>up</t>
        </is>
      </c>
      <c r="G280">
        <f>VLOOKUP(_xlfn.CONCAT(Table5[[#This Row],[NODE]],Table5[[#This Row],[PORT]]),PORTS_!A:G,7,0)</f>
        <v/>
      </c>
      <c r="H280" t="inlineStr">
        <is>
          <t>HACIA_SALA_OYM_CUBICULO5</t>
        </is>
      </c>
      <c r="I280">
        <f>VLOOKUP(VALUE(Table5[[#This Row],[NODE]]),LEAF_INFO!B:H,7,0)</f>
        <v/>
      </c>
      <c r="J280">
        <f>ISNUMBER(SEARCH("vpc-leaf", SUBSTITUTE(LOWER(K280), "_", "-")))</f>
        <v/>
      </c>
      <c r="K280">
        <f>_xlfn.IFNA(VLOOKUP(VALUE(Table5[[#This Row],[NODE]]), VPC!A:A, 2, 0), "No está en VPC")</f>
        <v/>
      </c>
      <c r="L280">
        <f>IF(OR(ISNUMBER(SEARCH("VPC-Leaf", K280)), ISNUMBER(SEARCH("VPC_Leaf", K280))),SUBSTITUTE(SUBSTITUTE(SUBSTITUTE(K280, "VPC-Leaf", ""), "VPC_Leaf", ""), "_", "-"),A280)</f>
        <v/>
      </c>
      <c r="M280">
        <f>_xlfn.IFNA(VLOOKUP(_xlfn.CONCAT(VALUE(Table5[[#This Row],[NODE]]),Table5[[#This Row],[PORT]]),PG!C:H,6,0),"NO EXISTE PG")</f>
        <v/>
      </c>
      <c r="N280">
        <f>_xlfn.IFNA(VLOOKUP(_xlfn.CONCAT(VALUE(Table5[[#This Row],[NODE]]),Table5[[#This Row],[PORT]]),PG!C:H,4,0),"NO EXISTE ISEL")</f>
        <v/>
      </c>
      <c r="O280">
        <f>COUNTIF(Statics!G:G,Table5[[#This Row],[PG]])+COUNTIF(Statics!H:H,_xlfn.CONCAT((Table5[[#This Row],[NODE]]),Table5[[#This Row],[PORT]]))</f>
        <v/>
      </c>
      <c r="P280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80">
        <f>COUNTIF(Statics!F:F,Table5[[#This Row],[ID]])+COUNTIF(Statics!F:F,VALUE(Table5[[#This Row],[NODE]]))</f>
        <v/>
      </c>
    </row>
    <row r="281">
      <c r="A281" t="inlineStr">
        <is>
          <t>152</t>
        </is>
      </c>
      <c r="B281" t="inlineStr">
        <is>
          <t>1</t>
        </is>
      </c>
      <c r="C281">
        <f>VLOOKUP(VALUE(Table5[[#This Row],[NODE]]),LEAF_INFO!B:H,6,0)</f>
        <v/>
      </c>
      <c r="D281" t="inlineStr">
        <is>
          <t>eth1/28</t>
        </is>
      </c>
      <c r="E281" t="inlineStr">
        <is>
          <t>up</t>
        </is>
      </c>
      <c r="F281" t="inlineStr">
        <is>
          <t>up</t>
        </is>
      </c>
      <c r="G281">
        <f>VLOOKUP(_xlfn.CONCAT(Table5[[#This Row],[NODE]],Table5[[#This Row],[PORT]]),PORTS_!A:G,7,0)</f>
        <v/>
      </c>
      <c r="H281" t="inlineStr">
        <is>
          <t>Sync-Server_PTP5000</t>
        </is>
      </c>
      <c r="I281">
        <f>VLOOKUP(VALUE(Table5[[#This Row],[NODE]]),LEAF_INFO!B:H,7,0)</f>
        <v/>
      </c>
      <c r="J281">
        <f>ISNUMBER(SEARCH("vpc-leaf", SUBSTITUTE(LOWER(K281), "_", "-")))</f>
        <v/>
      </c>
      <c r="K281">
        <f>_xlfn.IFNA(VLOOKUP(VALUE(Table5[[#This Row],[NODE]]), VPC!A:A, 2, 0), "No está en VPC")</f>
        <v/>
      </c>
      <c r="L281">
        <f>IF(OR(ISNUMBER(SEARCH("VPC-Leaf", K281)), ISNUMBER(SEARCH("VPC_Leaf", K281))),SUBSTITUTE(SUBSTITUTE(SUBSTITUTE(K281, "VPC-Leaf", ""), "VPC_Leaf", ""), "_", "-"),A281)</f>
        <v/>
      </c>
      <c r="M281">
        <f>_xlfn.IFNA(VLOOKUP(_xlfn.CONCAT(VALUE(Table5[[#This Row],[NODE]]),Table5[[#This Row],[PORT]]),PG!C:H,6,0),"NO EXISTE PG")</f>
        <v/>
      </c>
      <c r="N281">
        <f>_xlfn.IFNA(VLOOKUP(_xlfn.CONCAT(VALUE(Table5[[#This Row],[NODE]]),Table5[[#This Row],[PORT]]),PG!C:H,4,0),"NO EXISTE ISEL")</f>
        <v/>
      </c>
      <c r="O281">
        <f>COUNTIF(Statics!G:G,Table5[[#This Row],[PG]])+COUNTIF(Statics!H:H,_xlfn.CONCAT((Table5[[#This Row],[NODE]]),Table5[[#This Row],[PORT]]))</f>
        <v/>
      </c>
      <c r="P281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81">
        <f>COUNTIF(Statics!F:F,Table5[[#This Row],[ID]])+COUNTIF(Statics!F:F,VALUE(Table5[[#This Row],[NODE]]))</f>
        <v/>
      </c>
    </row>
    <row r="282">
      <c r="A282" t="inlineStr">
        <is>
          <t>152</t>
        </is>
      </c>
      <c r="B282" t="inlineStr">
        <is>
          <t>1</t>
        </is>
      </c>
      <c r="C282">
        <f>VLOOKUP(VALUE(Table5[[#This Row],[NODE]]),LEAF_INFO!B:H,6,0)</f>
        <v/>
      </c>
      <c r="D282" t="inlineStr">
        <is>
          <t>eth1/29</t>
        </is>
      </c>
      <c r="E282" t="inlineStr">
        <is>
          <t>down</t>
        </is>
      </c>
      <c r="F282" t="inlineStr">
        <is>
          <t>down</t>
        </is>
      </c>
      <c r="G282">
        <f>VLOOKUP(_xlfn.CONCAT(Table5[[#This Row],[NODE]],Table5[[#This Row],[PORT]]),PORTS_!A:G,7,0)</f>
        <v/>
      </c>
      <c r="H282" t="inlineStr"/>
      <c r="I282">
        <f>VLOOKUP(VALUE(Table5[[#This Row],[NODE]]),LEAF_INFO!B:H,7,0)</f>
        <v/>
      </c>
      <c r="J282">
        <f>ISNUMBER(SEARCH("vpc-leaf", SUBSTITUTE(LOWER(K282), "_", "-")))</f>
        <v/>
      </c>
      <c r="K282">
        <f>_xlfn.IFNA(VLOOKUP(VALUE(Table5[[#This Row],[NODE]]), VPC!A:A, 2, 0), "No está en VPC")</f>
        <v/>
      </c>
      <c r="L282">
        <f>IF(OR(ISNUMBER(SEARCH("VPC-Leaf", K282)), ISNUMBER(SEARCH("VPC_Leaf", K282))),SUBSTITUTE(SUBSTITUTE(SUBSTITUTE(K282, "VPC-Leaf", ""), "VPC_Leaf", ""), "_", "-"),A282)</f>
        <v/>
      </c>
      <c r="M282">
        <f>_xlfn.IFNA(VLOOKUP(_xlfn.CONCAT(VALUE(Table5[[#This Row],[NODE]]),Table5[[#This Row],[PORT]]),PG!C:H,6,0),"NO EXISTE PG")</f>
        <v/>
      </c>
      <c r="N282">
        <f>_xlfn.IFNA(VLOOKUP(_xlfn.CONCAT(VALUE(Table5[[#This Row],[NODE]]),Table5[[#This Row],[PORT]]),PG!C:H,4,0),"NO EXISTE ISEL")</f>
        <v/>
      </c>
      <c r="O282">
        <f>COUNTIF(Statics!G:G,Table5[[#This Row],[PG]])+COUNTIF(Statics!H:H,_xlfn.CONCAT((Table5[[#This Row],[NODE]]),Table5[[#This Row],[PORT]]))</f>
        <v/>
      </c>
      <c r="P282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82">
        <f>COUNTIF(Statics!F:F,Table5[[#This Row],[ID]])+COUNTIF(Statics!F:F,VALUE(Table5[[#This Row],[NODE]]))</f>
        <v/>
      </c>
    </row>
    <row r="283">
      <c r="A283" t="inlineStr">
        <is>
          <t>152</t>
        </is>
      </c>
      <c r="B283" t="inlineStr">
        <is>
          <t>1</t>
        </is>
      </c>
      <c r="C283">
        <f>VLOOKUP(VALUE(Table5[[#This Row],[NODE]]),LEAF_INFO!B:H,6,0)</f>
        <v/>
      </c>
      <c r="D283" t="inlineStr">
        <is>
          <t>eth1/30</t>
        </is>
      </c>
      <c r="E283" t="inlineStr">
        <is>
          <t>down</t>
        </is>
      </c>
      <c r="F283" t="inlineStr">
        <is>
          <t>down</t>
        </is>
      </c>
      <c r="G283">
        <f>VLOOKUP(_xlfn.CONCAT(Table5[[#This Row],[NODE]],Table5[[#This Row],[PORT]]),PORTS_!A:G,7,0)</f>
        <v/>
      </c>
      <c r="H283" t="inlineStr"/>
      <c r="I283">
        <f>VLOOKUP(VALUE(Table5[[#This Row],[NODE]]),LEAF_INFO!B:H,7,0)</f>
        <v/>
      </c>
      <c r="J283">
        <f>ISNUMBER(SEARCH("vpc-leaf", SUBSTITUTE(LOWER(K283), "_", "-")))</f>
        <v/>
      </c>
      <c r="K283">
        <f>_xlfn.IFNA(VLOOKUP(VALUE(Table5[[#This Row],[NODE]]), VPC!A:A, 2, 0), "No está en VPC")</f>
        <v/>
      </c>
      <c r="L283">
        <f>IF(OR(ISNUMBER(SEARCH("VPC-Leaf", K283)), ISNUMBER(SEARCH("VPC_Leaf", K283))),SUBSTITUTE(SUBSTITUTE(SUBSTITUTE(K283, "VPC-Leaf", ""), "VPC_Leaf", ""), "_", "-"),A283)</f>
        <v/>
      </c>
      <c r="M283">
        <f>_xlfn.IFNA(VLOOKUP(_xlfn.CONCAT(VALUE(Table5[[#This Row],[NODE]]),Table5[[#This Row],[PORT]]),PG!C:H,6,0),"NO EXISTE PG")</f>
        <v/>
      </c>
      <c r="N283">
        <f>_xlfn.IFNA(VLOOKUP(_xlfn.CONCAT(VALUE(Table5[[#This Row],[NODE]]),Table5[[#This Row],[PORT]]),PG!C:H,4,0),"NO EXISTE ISEL")</f>
        <v/>
      </c>
      <c r="O283">
        <f>COUNTIF(Statics!G:G,Table5[[#This Row],[PG]])+COUNTIF(Statics!H:H,_xlfn.CONCAT((Table5[[#This Row],[NODE]]),Table5[[#This Row],[PORT]]))</f>
        <v/>
      </c>
      <c r="P283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83">
        <f>COUNTIF(Statics!F:F,Table5[[#This Row],[ID]])+COUNTIF(Statics!F:F,VALUE(Table5[[#This Row],[NODE]]))</f>
        <v/>
      </c>
    </row>
    <row r="284">
      <c r="A284" t="inlineStr">
        <is>
          <t>152</t>
        </is>
      </c>
      <c r="B284" t="inlineStr">
        <is>
          <t>1</t>
        </is>
      </c>
      <c r="C284">
        <f>VLOOKUP(VALUE(Table5[[#This Row],[NODE]]),LEAF_INFO!B:H,6,0)</f>
        <v/>
      </c>
      <c r="D284" t="inlineStr">
        <is>
          <t>eth1/31</t>
        </is>
      </c>
      <c r="E284" t="inlineStr">
        <is>
          <t>down</t>
        </is>
      </c>
      <c r="F284" t="inlineStr">
        <is>
          <t>down</t>
        </is>
      </c>
      <c r="G284">
        <f>VLOOKUP(_xlfn.CONCAT(Table5[[#This Row],[NODE]],Table5[[#This Row],[PORT]]),PORTS_!A:G,7,0)</f>
        <v/>
      </c>
      <c r="H284" t="inlineStr"/>
      <c r="I284">
        <f>VLOOKUP(VALUE(Table5[[#This Row],[NODE]]),LEAF_INFO!B:H,7,0)</f>
        <v/>
      </c>
      <c r="J284">
        <f>ISNUMBER(SEARCH("vpc-leaf", SUBSTITUTE(LOWER(K284), "_", "-")))</f>
        <v/>
      </c>
      <c r="K284">
        <f>_xlfn.IFNA(VLOOKUP(VALUE(Table5[[#This Row],[NODE]]), VPC!A:A, 2, 0), "No está en VPC")</f>
        <v/>
      </c>
      <c r="L284">
        <f>IF(OR(ISNUMBER(SEARCH("VPC-Leaf", K284)), ISNUMBER(SEARCH("VPC_Leaf", K284))),SUBSTITUTE(SUBSTITUTE(SUBSTITUTE(K284, "VPC-Leaf", ""), "VPC_Leaf", ""), "_", "-"),A284)</f>
        <v/>
      </c>
      <c r="M284">
        <f>_xlfn.IFNA(VLOOKUP(_xlfn.CONCAT(VALUE(Table5[[#This Row],[NODE]]),Table5[[#This Row],[PORT]]),PG!C:H,6,0),"NO EXISTE PG")</f>
        <v/>
      </c>
      <c r="N284">
        <f>_xlfn.IFNA(VLOOKUP(_xlfn.CONCAT(VALUE(Table5[[#This Row],[NODE]]),Table5[[#This Row],[PORT]]),PG!C:H,4,0),"NO EXISTE ISEL")</f>
        <v/>
      </c>
      <c r="O284">
        <f>COUNTIF(Statics!G:G,Table5[[#This Row],[PG]])+COUNTIF(Statics!H:H,_xlfn.CONCAT((Table5[[#This Row],[NODE]]),Table5[[#This Row],[PORT]]))</f>
        <v/>
      </c>
      <c r="P284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84">
        <f>COUNTIF(Statics!F:F,Table5[[#This Row],[ID]])+COUNTIF(Statics!F:F,VALUE(Table5[[#This Row],[NODE]]))</f>
        <v/>
      </c>
    </row>
    <row r="285">
      <c r="A285" t="inlineStr">
        <is>
          <t>152</t>
        </is>
      </c>
      <c r="B285" t="inlineStr">
        <is>
          <t>1</t>
        </is>
      </c>
      <c r="C285">
        <f>VLOOKUP(VALUE(Table5[[#This Row],[NODE]]),LEAF_INFO!B:H,6,0)</f>
        <v/>
      </c>
      <c r="D285" t="inlineStr">
        <is>
          <t>eth1/32</t>
        </is>
      </c>
      <c r="E285" t="inlineStr">
        <is>
          <t>down</t>
        </is>
      </c>
      <c r="F285" t="inlineStr">
        <is>
          <t>down</t>
        </is>
      </c>
      <c r="G285">
        <f>VLOOKUP(_xlfn.CONCAT(Table5[[#This Row],[NODE]],Table5[[#This Row],[PORT]]),PORTS_!A:G,7,0)</f>
        <v/>
      </c>
      <c r="H285" t="inlineStr"/>
      <c r="I285">
        <f>VLOOKUP(VALUE(Table5[[#This Row],[NODE]]),LEAF_INFO!B:H,7,0)</f>
        <v/>
      </c>
      <c r="J285">
        <f>ISNUMBER(SEARCH("vpc-leaf", SUBSTITUTE(LOWER(K285), "_", "-")))</f>
        <v/>
      </c>
      <c r="K285">
        <f>_xlfn.IFNA(VLOOKUP(VALUE(Table5[[#This Row],[NODE]]), VPC!A:A, 2, 0), "No está en VPC")</f>
        <v/>
      </c>
      <c r="L285">
        <f>IF(OR(ISNUMBER(SEARCH("VPC-Leaf", K285)), ISNUMBER(SEARCH("VPC_Leaf", K285))),SUBSTITUTE(SUBSTITUTE(SUBSTITUTE(K285, "VPC-Leaf", ""), "VPC_Leaf", ""), "_", "-"),A285)</f>
        <v/>
      </c>
      <c r="M285">
        <f>_xlfn.IFNA(VLOOKUP(_xlfn.CONCAT(VALUE(Table5[[#This Row],[NODE]]),Table5[[#This Row],[PORT]]),PG!C:H,6,0),"NO EXISTE PG")</f>
        <v/>
      </c>
      <c r="N285">
        <f>_xlfn.IFNA(VLOOKUP(_xlfn.CONCAT(VALUE(Table5[[#This Row],[NODE]]),Table5[[#This Row],[PORT]]),PG!C:H,4,0),"NO EXISTE ISEL")</f>
        <v/>
      </c>
      <c r="O285">
        <f>COUNTIF(Statics!G:G,Table5[[#This Row],[PG]])+COUNTIF(Statics!H:H,_xlfn.CONCAT((Table5[[#This Row],[NODE]]),Table5[[#This Row],[PORT]]))</f>
        <v/>
      </c>
      <c r="P285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85">
        <f>COUNTIF(Statics!F:F,Table5[[#This Row],[ID]])+COUNTIF(Statics!F:F,VALUE(Table5[[#This Row],[NODE]]))</f>
        <v/>
      </c>
    </row>
  </sheetData>
  <conditionalFormatting sqref="D2:D18133">
    <cfRule type="containsText" priority="3" operator="containsText" dxfId="38" text="eth1/102">
      <formula>NOT(ISERROR(SEARCH("eth1/102",D2)))</formula>
    </cfRule>
    <cfRule type="containsText" priority="4" operator="containsText" dxfId="38" text="eth1/101">
      <formula>NOT(ISERROR(SEARCH("eth1/101",D2)))</formula>
    </cfRule>
    <cfRule type="containsText" priority="5" operator="containsText" dxfId="38" text="eth1/100">
      <formula>NOT(ISERROR(SEARCH("eth1/100",D2)))</formula>
    </cfRule>
    <cfRule type="containsText" priority="6" operator="containsText" dxfId="38" text="eth1/99">
      <formula>NOT(ISERROR(SEARCH("eth1/99",D2)))</formula>
    </cfRule>
    <cfRule type="containsText" priority="7" operator="containsText" dxfId="38" text="eth1/98">
      <formula>NOT(ISERROR(SEARCH("eth1/98",D2)))</formula>
    </cfRule>
    <cfRule type="containsText" priority="8" operator="containsText" dxfId="38" text="eth1/97">
      <formula>NOT(ISERROR(SEARCH("eth1/97",D2)))</formula>
    </cfRule>
  </conditionalFormatting>
  <conditionalFormatting sqref="M1:P1048576">
    <cfRule type="containsText" priority="2" operator="containsText" dxfId="47" text="NO EXISTE PG">
      <formula>NOT(ISERROR(SEARCH("NO EXISTE PG",M1)))</formula>
    </cfRule>
  </conditionalFormatting>
  <conditionalFormatting sqref="N1:P1048576">
    <cfRule type="containsText" priority="1" operator="containsText" dxfId="47" text="no">
      <formula>NOT(ISERROR(SEARCH("no",N1)))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10" defaultRowHeight="16"/>
  <cols>
    <col width="219" bestFit="1" customWidth="1" style="22" min="1" max="1"/>
    <col width="14.1640625" bestFit="1" customWidth="1" style="22" min="2" max="2"/>
    <col width="36.33203125" bestFit="1" customWidth="1" style="22" min="3" max="3"/>
    <col width="33.6640625" bestFit="1" customWidth="1" style="22" min="6" max="6"/>
    <col width="33.6640625" customWidth="1" style="22" min="7" max="7"/>
    <col width="36.33203125" bestFit="1" customWidth="1" style="22" min="8" max="8"/>
  </cols>
  <sheetData>
    <row r="1">
      <c r="A1" t="inlineStr">
        <is>
          <t>DN</t>
        </is>
      </c>
      <c r="B1" t="inlineStr">
        <is>
          <t>Tenant</t>
        </is>
      </c>
      <c r="C1" t="inlineStr">
        <is>
          <t>L3Out Name</t>
        </is>
      </c>
      <c r="D1" t="inlineStr">
        <is>
          <t>POD</t>
        </is>
      </c>
      <c r="E1" t="inlineStr">
        <is>
          <t>leaf</t>
        </is>
      </c>
      <c r="F1" t="inlineStr">
        <is>
          <t>PORT</t>
        </is>
      </c>
      <c r="G1" t="inlineStr">
        <is>
          <t>concat</t>
        </is>
      </c>
      <c r="H1" t="inlineStr">
        <is>
          <t>L3Out Name</t>
        </is>
      </c>
    </row>
    <row r="2">
      <c r="A2" t="inlineStr">
        <is>
          <t>uni/tn-TELCEL_TELCO_NETWORK/out-L3OUT_UG0-1208-0008/lnodep-NP_LF_102/lifp-INTP_LF_102_SO6312/rspathL3OutAtt-[topology/pod-1/paths-102/pathep-[eth1/9]]</t>
        </is>
      </c>
      <c r="B2">
        <f>_xlfn.TEXTBEFORE(_xlfn.TEXTAFTER(A2, "tn-"), "/")</f>
        <v/>
      </c>
      <c r="C2">
        <f>_xlfn.TEXTBEFORE(_xlfn.TEXTAFTER(A2, "out-"), "/")</f>
        <v/>
      </c>
      <c r="D2">
        <f>_xlfn.TEXTBEFORE(_xlfn.TEXTAFTER(A2, "topology/pod-"), "/")</f>
        <v/>
      </c>
      <c r="E2">
        <f>_xlfn.TEXTBEFORE(_xlfn.TEXTAFTER(A2, "paths-"), "/")</f>
        <v/>
      </c>
      <c r="F2">
        <f>_xlfn.TEXTBEFORE(_xlfn.TEXTAFTER(A2, "pathep-["), "]")</f>
        <v/>
      </c>
      <c r="G2">
        <f>IF(ISNUMBER(SEARCH("PG",F2)),F2,_xlfn.CONCAT(E2,F2))</f>
        <v/>
      </c>
      <c r="H2">
        <f>C2</f>
        <v/>
      </c>
    </row>
    <row r="3">
      <c r="A3" t="inlineStr">
        <is>
          <t>uni/tn-TELCEL_TELCO_NETWORK/out-L3OUT_RED_GPRS_GN_RMAC/lnodep-NP_LF_101/lifp-INTP_LF_101/rspathL3OutAtt-[topology/pod-1/paths-101/pathep-[PG_PC_101_L3_RMAC1]]</t>
        </is>
      </c>
      <c r="B3">
        <f>_xlfn.TEXTBEFORE(_xlfn.TEXTAFTER(A3, "tn-"), "/")</f>
        <v/>
      </c>
      <c r="C3">
        <f>_xlfn.TEXTBEFORE(_xlfn.TEXTAFTER(A3, "out-"), "/")</f>
        <v/>
      </c>
      <c r="D3">
        <f>_xlfn.TEXTBEFORE(_xlfn.TEXTAFTER(A3, "topology/pod-"), "/")</f>
        <v/>
      </c>
      <c r="E3">
        <f>_xlfn.TEXTBEFORE(_xlfn.TEXTAFTER(A3, "paths-"), "/")</f>
        <v/>
      </c>
      <c r="F3">
        <f>_xlfn.TEXTBEFORE(_xlfn.TEXTAFTER(A3, "pathep-["), "]")</f>
        <v/>
      </c>
      <c r="G3">
        <f>IF(ISNUMBER(SEARCH("PG",F3)),F3,_xlfn.CONCAT(E3,F3))</f>
        <v/>
      </c>
      <c r="H3">
        <f>C3</f>
        <v/>
      </c>
    </row>
    <row r="4">
      <c r="A4" t="inlineStr">
        <is>
          <t>uni/tn-mgmt/out-L3OUT_GESTION_INB_RMAC2/lnodep-NP_GESTION_INB/lifp-INTP_102_GESTION_INB/rspathL3OutAtt-[topology/pod-1/paths-102/pathep-[eth1/41]]</t>
        </is>
      </c>
      <c r="B4">
        <f>_xlfn.TEXTBEFORE(_xlfn.TEXTAFTER(A4, "tn-"), "/")</f>
        <v/>
      </c>
      <c r="C4">
        <f>_xlfn.TEXTBEFORE(_xlfn.TEXTAFTER(A4, "out-"), "/")</f>
        <v/>
      </c>
      <c r="D4">
        <f>_xlfn.TEXTBEFORE(_xlfn.TEXTAFTER(A4, "topology/pod-"), "/")</f>
        <v/>
      </c>
      <c r="E4">
        <f>_xlfn.TEXTBEFORE(_xlfn.TEXTAFTER(A4, "paths-"), "/")</f>
        <v/>
      </c>
      <c r="F4">
        <f>_xlfn.TEXTBEFORE(_xlfn.TEXTAFTER(A4, "pathep-["), "]")</f>
        <v/>
      </c>
      <c r="G4">
        <f>IF(ISNUMBER(SEARCH("PG",F4)),F4,_xlfn.CONCAT(E4,F4))</f>
        <v/>
      </c>
      <c r="H4">
        <f>C4</f>
        <v/>
      </c>
    </row>
    <row r="5">
      <c r="A5" t="inlineStr">
        <is>
          <t>uni/tn-mgmt/out-L3OUT_GESTION_INB_RMAC1/lnodep-NP_GESTION_INB/lifp-INTP_101_GESTION_INB/rspathL3OutAtt-[topology/pod-1/paths-101/pathep-[eth1/41]]</t>
        </is>
      </c>
      <c r="B5">
        <f>_xlfn.TEXTBEFORE(_xlfn.TEXTAFTER(A5, "tn-"), "/")</f>
        <v/>
      </c>
      <c r="C5">
        <f>_xlfn.TEXTBEFORE(_xlfn.TEXTAFTER(A5, "out-"), "/")</f>
        <v/>
      </c>
      <c r="D5">
        <f>_xlfn.TEXTBEFORE(_xlfn.TEXTAFTER(A5, "topology/pod-"), "/")</f>
        <v/>
      </c>
      <c r="E5">
        <f>_xlfn.TEXTBEFORE(_xlfn.TEXTAFTER(A5, "paths-"), "/")</f>
        <v/>
      </c>
      <c r="F5">
        <f>_xlfn.TEXTBEFORE(_xlfn.TEXTAFTER(A5, "pathep-["), "]")</f>
        <v/>
      </c>
      <c r="G5">
        <f>IF(ISNUMBER(SEARCH("PG",F5)),F5,_xlfn.CONCAT(E5,F5))</f>
        <v/>
      </c>
      <c r="H5">
        <f>C5</f>
        <v/>
      </c>
    </row>
    <row r="6">
      <c r="A6" t="inlineStr">
        <is>
          <t>uni/tn-TELCEL_TELCO_NETWORK/out-L3OUT_UG0-1112-0140/lnodep-NP_LF_101/lifp-INTP_LF_101_SO3689/rspathL3OutAtt-[topology/pod-1/paths-101/pathep-[eth1/12]]</t>
        </is>
      </c>
      <c r="B6">
        <f>_xlfn.TEXTBEFORE(_xlfn.TEXTAFTER(A6, "tn-"), "/")</f>
        <v/>
      </c>
      <c r="C6">
        <f>_xlfn.TEXTBEFORE(_xlfn.TEXTAFTER(A6, "out-"), "/")</f>
        <v/>
      </c>
      <c r="D6">
        <f>_xlfn.TEXTBEFORE(_xlfn.TEXTAFTER(A6, "topology/pod-"), "/")</f>
        <v/>
      </c>
      <c r="E6">
        <f>_xlfn.TEXTBEFORE(_xlfn.TEXTAFTER(A6, "paths-"), "/")</f>
        <v/>
      </c>
      <c r="F6">
        <f>_xlfn.TEXTBEFORE(_xlfn.TEXTAFTER(A6, "pathep-["), "]")</f>
        <v/>
      </c>
      <c r="G6">
        <f>IF(ISNUMBER(SEARCH("PG",F6)),F6,_xlfn.CONCAT(E6,F6))</f>
        <v/>
      </c>
      <c r="H6">
        <f>C6</f>
        <v/>
      </c>
    </row>
    <row r="7">
      <c r="A7" t="inlineStr">
        <is>
          <t>uni/tn-TELCEL_TELCO_NETWORK/out-L3OUT_ABIS_2G_IP_BSC_ERICCSON/lnodep-NP_LF_101_102/lifp-INTP_LF_101/rspathL3OutAtt-[topology/pod-1/paths-101/pathep-[eth1/7]]</t>
        </is>
      </c>
      <c r="B7">
        <f>_xlfn.TEXTBEFORE(_xlfn.TEXTAFTER(A7, "tn-"), "/")</f>
        <v/>
      </c>
      <c r="C7">
        <f>_xlfn.TEXTBEFORE(_xlfn.TEXTAFTER(A7, "out-"), "/")</f>
        <v/>
      </c>
      <c r="D7">
        <f>_xlfn.TEXTBEFORE(_xlfn.TEXTAFTER(A7, "topology/pod-"), "/")</f>
        <v/>
      </c>
      <c r="E7">
        <f>_xlfn.TEXTBEFORE(_xlfn.TEXTAFTER(A7, "paths-"), "/")</f>
        <v/>
      </c>
      <c r="F7">
        <f>_xlfn.TEXTBEFORE(_xlfn.TEXTAFTER(A7, "pathep-["), "]")</f>
        <v/>
      </c>
      <c r="G7">
        <f>IF(ISNUMBER(SEARCH("PG",F7)),F7,_xlfn.CONCAT(E7,F7))</f>
        <v/>
      </c>
      <c r="H7">
        <f>C7</f>
        <v/>
      </c>
    </row>
    <row r="8">
      <c r="A8" t="inlineStr">
        <is>
          <t>uni/tn-TELCEL_TELCO_NETWORK/out-L3OUT_ABIS_2G_IP_BSC_ERICCSON/lnodep-NP_LF_101_102/lifp-INTP_LF_101/rspathL3OutAtt-[topology/pod-1/paths-101/pathep-[eth1/7]]</t>
        </is>
      </c>
      <c r="B8">
        <f>_xlfn.TEXTBEFORE(_xlfn.TEXTAFTER(A8, "tn-"), "/")</f>
        <v/>
      </c>
      <c r="C8">
        <f>_xlfn.TEXTBEFORE(_xlfn.TEXTAFTER(A8, "out-"), "/")</f>
        <v/>
      </c>
      <c r="D8">
        <f>_xlfn.TEXTBEFORE(_xlfn.TEXTAFTER(A8, "topology/pod-"), "/")</f>
        <v/>
      </c>
      <c r="E8">
        <f>_xlfn.TEXTBEFORE(_xlfn.TEXTAFTER(A8, "paths-"), "/")</f>
        <v/>
      </c>
      <c r="F8">
        <f>_xlfn.TEXTBEFORE(_xlfn.TEXTAFTER(A8, "pathep-["), "]")</f>
        <v/>
      </c>
      <c r="G8">
        <f>IF(ISNUMBER(SEARCH("PG",F8)),F8,_xlfn.CONCAT(E8,F8))</f>
        <v/>
      </c>
      <c r="H8">
        <f>C8</f>
        <v/>
      </c>
    </row>
    <row r="9">
      <c r="A9" t="inlineStr">
        <is>
          <t>uni/tn-TELCEL_TELCO_NETWORK/out-L3OUT_UG0-1208-0008/lnodep-NP_LF_102/lifp-INTP_LF_102_SO6312/rspathL3OutAtt-[topology/pod-1/paths-102/pathep-[eth1/9]]</t>
        </is>
      </c>
      <c r="B9">
        <f>_xlfn.TEXTBEFORE(_xlfn.TEXTAFTER(A9, "tn-"), "/")</f>
        <v/>
      </c>
      <c r="C9">
        <f>_xlfn.TEXTBEFORE(_xlfn.TEXTAFTER(A9, "out-"), "/")</f>
        <v/>
      </c>
      <c r="D9">
        <f>_xlfn.TEXTBEFORE(_xlfn.TEXTAFTER(A9, "topology/pod-"), "/")</f>
        <v/>
      </c>
      <c r="E9">
        <f>_xlfn.TEXTBEFORE(_xlfn.TEXTAFTER(A9, "paths-"), "/")</f>
        <v/>
      </c>
      <c r="F9">
        <f>_xlfn.TEXTBEFORE(_xlfn.TEXTAFTER(A9, "pathep-["), "]")</f>
        <v/>
      </c>
      <c r="G9">
        <f>IF(ISNUMBER(SEARCH("PG",F9)),F9,_xlfn.CONCAT(E9,F9))</f>
        <v/>
      </c>
      <c r="H9">
        <f>C9</f>
        <v/>
      </c>
    </row>
    <row r="10">
      <c r="A10" t="inlineStr">
        <is>
          <t>uni/tn-TELCEL_TELCO_NETWORK/out-L3OUT_UG0-1208-0008/lnodep-NP_LF_102/lifp-INTP_LF_102_SO6312/rspathL3OutAtt-[topology/pod-1/paths-102/pathep-[eth1/9]]</t>
        </is>
      </c>
      <c r="B10">
        <f>_xlfn.TEXTBEFORE(_xlfn.TEXTAFTER(A10, "tn-"), "/")</f>
        <v/>
      </c>
      <c r="C10">
        <f>_xlfn.TEXTBEFORE(_xlfn.TEXTAFTER(A10, "out-"), "/")</f>
        <v/>
      </c>
      <c r="D10">
        <f>_xlfn.TEXTBEFORE(_xlfn.TEXTAFTER(A10, "topology/pod-"), "/")</f>
        <v/>
      </c>
      <c r="E10">
        <f>_xlfn.TEXTBEFORE(_xlfn.TEXTAFTER(A10, "paths-"), "/")</f>
        <v/>
      </c>
      <c r="F10">
        <f>_xlfn.TEXTBEFORE(_xlfn.TEXTAFTER(A10, "pathep-["), "]")</f>
        <v/>
      </c>
      <c r="G10">
        <f>IF(ISNUMBER(SEARCH("PG",F10)),F10,_xlfn.CONCAT(E10,F10))</f>
        <v/>
      </c>
      <c r="H10">
        <f>C10</f>
        <v/>
      </c>
    </row>
    <row r="11">
      <c r="A11" t="inlineStr">
        <is>
          <t>uni/tn-TELCEL_TELCO_NETWORK/out-L3OUT_INT_SERVIDORES_RMAC/lnodep-NP_LF_101/lifp-INTP_LF_101/rspathL3OutAtt-[topology/pod-1/paths-101/pathep-[PG_PC_101_L3_RMAC1]]</t>
        </is>
      </c>
      <c r="B11">
        <f>_xlfn.TEXTBEFORE(_xlfn.TEXTAFTER(A11, "tn-"), "/")</f>
        <v/>
      </c>
      <c r="C11">
        <f>_xlfn.TEXTBEFORE(_xlfn.TEXTAFTER(A11, "out-"), "/")</f>
        <v/>
      </c>
      <c r="D11">
        <f>_xlfn.TEXTBEFORE(_xlfn.TEXTAFTER(A11, "topology/pod-"), "/")</f>
        <v/>
      </c>
      <c r="E11">
        <f>_xlfn.TEXTBEFORE(_xlfn.TEXTAFTER(A11, "paths-"), "/")</f>
        <v/>
      </c>
      <c r="F11">
        <f>_xlfn.TEXTBEFORE(_xlfn.TEXTAFTER(A11, "pathep-["), "]")</f>
        <v/>
      </c>
      <c r="G11">
        <f>IF(ISNUMBER(SEARCH("PG",F11)),F11,_xlfn.CONCAT(E11,F11))</f>
        <v/>
      </c>
      <c r="H11">
        <f>C11</f>
        <v/>
      </c>
    </row>
    <row r="12">
      <c r="A12" t="inlineStr">
        <is>
          <t>uni/tn-TELCEL_TELCO_NETWORK/out-L3OUT_INT_SERVIDORES_RMAC/lnodep-NP_LF_102/lifp-INTP_LF_102/rspathL3OutAtt-[topology/pod-1/paths-102/pathep-[PG_PC_102_L3_RMAC2]]</t>
        </is>
      </c>
      <c r="B12">
        <f>_xlfn.TEXTBEFORE(_xlfn.TEXTAFTER(A12, "tn-"), "/")</f>
        <v/>
      </c>
      <c r="C12">
        <f>_xlfn.TEXTBEFORE(_xlfn.TEXTAFTER(A12, "out-"), "/")</f>
        <v/>
      </c>
      <c r="D12">
        <f>_xlfn.TEXTBEFORE(_xlfn.TEXTAFTER(A12, "topology/pod-"), "/")</f>
        <v/>
      </c>
      <c r="E12">
        <f>_xlfn.TEXTBEFORE(_xlfn.TEXTAFTER(A12, "paths-"), "/")</f>
        <v/>
      </c>
      <c r="F12">
        <f>_xlfn.TEXTBEFORE(_xlfn.TEXTAFTER(A12, "pathep-["), "]")</f>
        <v/>
      </c>
      <c r="G12">
        <f>IF(ISNUMBER(SEARCH("PG",F12)),F12,_xlfn.CONCAT(E12,F12))</f>
        <v/>
      </c>
      <c r="H12">
        <f>C12</f>
        <v/>
      </c>
    </row>
    <row r="13">
      <c r="A13" t="inlineStr">
        <is>
          <t>uni/tn-TELCEL_TELCO_NETWORK/out-L3OUT_WIFI_OFFLOAD-R2_RMAC/lnodep-NP_LF_102/lifp-INTP_LF_102/rspathL3OutAtt-[topology/pod-1/paths-102/pathep-[PG_PC_102_L3_RMAC2]]</t>
        </is>
      </c>
      <c r="B13">
        <f>_xlfn.TEXTBEFORE(_xlfn.TEXTAFTER(A13, "tn-"), "/")</f>
        <v/>
      </c>
      <c r="C13">
        <f>_xlfn.TEXTBEFORE(_xlfn.TEXTAFTER(A13, "out-"), "/")</f>
        <v/>
      </c>
      <c r="D13">
        <f>_xlfn.TEXTBEFORE(_xlfn.TEXTAFTER(A13, "topology/pod-"), "/")</f>
        <v/>
      </c>
      <c r="E13">
        <f>_xlfn.TEXTBEFORE(_xlfn.TEXTAFTER(A13, "paths-"), "/")</f>
        <v/>
      </c>
      <c r="F13">
        <f>_xlfn.TEXTBEFORE(_xlfn.TEXTAFTER(A13, "pathep-["), "]")</f>
        <v/>
      </c>
      <c r="G13">
        <f>IF(ISNUMBER(SEARCH("PG",F13)),F13,_xlfn.CONCAT(E13,F13))</f>
        <v/>
      </c>
      <c r="H13">
        <f>C13</f>
        <v/>
      </c>
    </row>
    <row r="14">
      <c r="A14" t="inlineStr">
        <is>
          <t>uni/tn-TELCEL_TELCO_NETWORK/out-L3OUT_IUB_US_RMAC/lnodep-NP_LF_102/lifp-INTP_LF_102/rspathL3OutAtt-[topology/pod-1/paths-102/pathep-[PG_PC_102_L3_RMAC2]]</t>
        </is>
      </c>
      <c r="B14">
        <f>_xlfn.TEXTBEFORE(_xlfn.TEXTAFTER(A14, "tn-"), "/")</f>
        <v/>
      </c>
      <c r="C14">
        <f>_xlfn.TEXTBEFORE(_xlfn.TEXTAFTER(A14, "out-"), "/")</f>
        <v/>
      </c>
      <c r="D14">
        <f>_xlfn.TEXTBEFORE(_xlfn.TEXTAFTER(A14, "topology/pod-"), "/")</f>
        <v/>
      </c>
      <c r="E14">
        <f>_xlfn.TEXTBEFORE(_xlfn.TEXTAFTER(A14, "paths-"), "/")</f>
        <v/>
      </c>
      <c r="F14">
        <f>_xlfn.TEXTBEFORE(_xlfn.TEXTAFTER(A14, "pathep-["), "]")</f>
        <v/>
      </c>
      <c r="G14">
        <f>IF(ISNUMBER(SEARCH("PG",F14)),F14,_xlfn.CONCAT(E14,F14))</f>
        <v/>
      </c>
      <c r="H14">
        <f>C14</f>
        <v/>
      </c>
    </row>
    <row r="15">
      <c r="A15" t="inlineStr">
        <is>
          <t>uni/tn-TELCEL_TELCO_NETWORK/out-L3OUT_IUB_US_EVO1_INGEV1/lnodep-NP_LF_101_102/lifp-INTP_LF_101/rspathL3OutAtt-[topology/pod-1/paths-101/pathep-[eth1/13]]</t>
        </is>
      </c>
      <c r="B15">
        <f>_xlfn.TEXTBEFORE(_xlfn.TEXTAFTER(A15, "tn-"), "/")</f>
        <v/>
      </c>
      <c r="C15">
        <f>_xlfn.TEXTBEFORE(_xlfn.TEXTAFTER(A15, "out-"), "/")</f>
        <v/>
      </c>
      <c r="D15">
        <f>_xlfn.TEXTBEFORE(_xlfn.TEXTAFTER(A15, "topology/pod-"), "/")</f>
        <v/>
      </c>
      <c r="E15">
        <f>_xlfn.TEXTBEFORE(_xlfn.TEXTAFTER(A15, "paths-"), "/")</f>
        <v/>
      </c>
      <c r="F15">
        <f>_xlfn.TEXTBEFORE(_xlfn.TEXTAFTER(A15, "pathep-["), "]")</f>
        <v/>
      </c>
      <c r="G15">
        <f>IF(ISNUMBER(SEARCH("PG",F15)),F15,_xlfn.CONCAT(E15,F15))</f>
        <v/>
      </c>
      <c r="H15">
        <f>C15</f>
        <v/>
      </c>
    </row>
    <row r="16">
      <c r="A16" t="inlineStr">
        <is>
          <t>uni/tn-TELCEL_TELCO_NETWORK/out-L3OUT_IUB_US_EVO1_INGEV1/lnodep-NP_LF_101_102/lifp-INTP_LF_101/rspathL3OutAtt-[topology/pod-1/paths-101/pathep-[eth1/13]]</t>
        </is>
      </c>
      <c r="B16">
        <f>_xlfn.TEXTBEFORE(_xlfn.TEXTAFTER(A16, "tn-"), "/")</f>
        <v/>
      </c>
      <c r="C16">
        <f>_xlfn.TEXTBEFORE(_xlfn.TEXTAFTER(A16, "out-"), "/")</f>
        <v/>
      </c>
      <c r="D16">
        <f>_xlfn.TEXTBEFORE(_xlfn.TEXTAFTER(A16, "topology/pod-"), "/")</f>
        <v/>
      </c>
      <c r="E16">
        <f>_xlfn.TEXTBEFORE(_xlfn.TEXTAFTER(A16, "paths-"), "/")</f>
        <v/>
      </c>
      <c r="F16">
        <f>_xlfn.TEXTBEFORE(_xlfn.TEXTAFTER(A16, "pathep-["), "]")</f>
        <v/>
      </c>
      <c r="G16">
        <f>IF(ISNUMBER(SEARCH("PG",F16)),F16,_xlfn.CONCAT(E16,F16))</f>
        <v/>
      </c>
      <c r="H16">
        <f>C16</f>
        <v/>
      </c>
    </row>
    <row r="17">
      <c r="A17" t="inlineStr">
        <is>
          <t>uni/tn-TELCEL_TELCO_NETWORK/out-L3OUT_TELCEL_IPCORP_RMAC/lnodep-NP_LF_101/lifp-INTP_LF_101/rspathL3OutAtt-[topology/pod-1/paths-101/pathep-[PG_PC_101_L3_RMAC1]]</t>
        </is>
      </c>
      <c r="B17">
        <f>_xlfn.TEXTBEFORE(_xlfn.TEXTAFTER(A17, "tn-"), "/")</f>
        <v/>
      </c>
      <c r="C17">
        <f>_xlfn.TEXTBEFORE(_xlfn.TEXTAFTER(A17, "out-"), "/")</f>
        <v/>
      </c>
      <c r="D17">
        <f>_xlfn.TEXTBEFORE(_xlfn.TEXTAFTER(A17, "topology/pod-"), "/")</f>
        <v/>
      </c>
      <c r="E17">
        <f>_xlfn.TEXTBEFORE(_xlfn.TEXTAFTER(A17, "paths-"), "/")</f>
        <v/>
      </c>
      <c r="F17">
        <f>_xlfn.TEXTBEFORE(_xlfn.TEXTAFTER(A17, "pathep-["), "]")</f>
        <v/>
      </c>
      <c r="G17">
        <f>IF(ISNUMBER(SEARCH("PG",F17)),F17,_xlfn.CONCAT(E17,F17))</f>
        <v/>
      </c>
      <c r="H17">
        <f>C17</f>
        <v/>
      </c>
    </row>
    <row r="18">
      <c r="A18" t="inlineStr">
        <is>
          <t>uni/tn-TELCEL_TELCO_NETWORK/out-L3OUT_TELCEL_IPCORP_RMAC/lnodep-NP_LF_102/lifp-INTP_LF_102/rspathL3OutAtt-[topology/pod-1/paths-102/pathep-[PG_PC_102_L3_RMAC2]]</t>
        </is>
      </c>
      <c r="B18">
        <f>_xlfn.TEXTBEFORE(_xlfn.TEXTAFTER(A18, "tn-"), "/")</f>
        <v/>
      </c>
      <c r="C18">
        <f>_xlfn.TEXTBEFORE(_xlfn.TEXTAFTER(A18, "out-"), "/")</f>
        <v/>
      </c>
      <c r="D18">
        <f>_xlfn.TEXTBEFORE(_xlfn.TEXTAFTER(A18, "topology/pod-"), "/")</f>
        <v/>
      </c>
      <c r="E18">
        <f>_xlfn.TEXTBEFORE(_xlfn.TEXTAFTER(A18, "paths-"), "/")</f>
        <v/>
      </c>
      <c r="F18">
        <f>_xlfn.TEXTBEFORE(_xlfn.TEXTAFTER(A18, "pathep-["), "]")</f>
        <v/>
      </c>
      <c r="G18">
        <f>IF(ISNUMBER(SEARCH("PG",F18)),F18,_xlfn.CONCAT(E18,F18))</f>
        <v/>
      </c>
      <c r="H18">
        <f>C18</f>
        <v/>
      </c>
    </row>
    <row r="19">
      <c r="A19" t="inlineStr">
        <is>
          <t>uni/tn-TELCEL_TELCO_NETWORK/out-L3OUT_IUB_US_RMAC/lnodep-NP_LF_101/lifp-INTP_LF_101/rspathL3OutAtt-[topology/pod-1/paths-101/pathep-[PG_PC_101_L3_RMAC1]]</t>
        </is>
      </c>
      <c r="B19">
        <f>_xlfn.TEXTBEFORE(_xlfn.TEXTAFTER(A19, "tn-"), "/")</f>
        <v/>
      </c>
      <c r="C19">
        <f>_xlfn.TEXTBEFORE(_xlfn.TEXTAFTER(A19, "out-"), "/")</f>
        <v/>
      </c>
      <c r="D19">
        <f>_xlfn.TEXTBEFORE(_xlfn.TEXTAFTER(A19, "topology/pod-"), "/")</f>
        <v/>
      </c>
      <c r="E19">
        <f>_xlfn.TEXTBEFORE(_xlfn.TEXTAFTER(A19, "paths-"), "/")</f>
        <v/>
      </c>
      <c r="F19">
        <f>_xlfn.TEXTBEFORE(_xlfn.TEXTAFTER(A19, "pathep-["), "]")</f>
        <v/>
      </c>
      <c r="G19">
        <f>IF(ISNUMBER(SEARCH("PG",F19)),F19,_xlfn.CONCAT(E19,F19))</f>
        <v/>
      </c>
      <c r="H19">
        <f>C19</f>
        <v/>
      </c>
    </row>
    <row r="20">
      <c r="A20" t="inlineStr">
        <is>
          <t>uni/tn-TELCEL_TELCO_NETWORK/out-L3OUT_WIFI_OFFLOAD-R2_RMAC/lnodep-NP_LF_101/lifp-INTP_LF_101/rspathL3OutAtt-[topology/pod-1/paths-101/pathep-[PG_PC_101_L3_RMAC1]]</t>
        </is>
      </c>
      <c r="B20">
        <f>_xlfn.TEXTBEFORE(_xlfn.TEXTAFTER(A20, "tn-"), "/")</f>
        <v/>
      </c>
      <c r="C20">
        <f>_xlfn.TEXTBEFORE(_xlfn.TEXTAFTER(A20, "out-"), "/")</f>
        <v/>
      </c>
      <c r="D20">
        <f>_xlfn.TEXTBEFORE(_xlfn.TEXTAFTER(A20, "topology/pod-"), "/")</f>
        <v/>
      </c>
      <c r="E20">
        <f>_xlfn.TEXTBEFORE(_xlfn.TEXTAFTER(A20, "paths-"), "/")</f>
        <v/>
      </c>
      <c r="F20">
        <f>_xlfn.TEXTBEFORE(_xlfn.TEXTAFTER(A20, "pathep-["), "]")</f>
        <v/>
      </c>
      <c r="G20">
        <f>IF(ISNUMBER(SEARCH("PG",F20)),F20,_xlfn.CONCAT(E20,F20))</f>
        <v/>
      </c>
      <c r="H20">
        <f>C20</f>
        <v/>
      </c>
    </row>
    <row r="21">
      <c r="A21" t="inlineStr">
        <is>
          <t>uni/tn-TELCEL_TELCO_NETWORK/out-L3OUT_ABIS_2G_IP_RMAC/lnodep-NP_LF_101/lifp-INTP_LF_101/rspathL3OutAtt-[topology/pod-1/paths-101/pathep-[PG_PC_101_L3_RMAC1]]</t>
        </is>
      </c>
      <c r="B21">
        <f>_xlfn.TEXTBEFORE(_xlfn.TEXTAFTER(A21, "tn-"), "/")</f>
        <v/>
      </c>
      <c r="C21">
        <f>_xlfn.TEXTBEFORE(_xlfn.TEXTAFTER(A21, "out-"), "/")</f>
        <v/>
      </c>
      <c r="D21">
        <f>_xlfn.TEXTBEFORE(_xlfn.TEXTAFTER(A21, "topology/pod-"), "/")</f>
        <v/>
      </c>
      <c r="E21">
        <f>_xlfn.TEXTBEFORE(_xlfn.TEXTAFTER(A21, "paths-"), "/")</f>
        <v/>
      </c>
      <c r="F21">
        <f>_xlfn.TEXTBEFORE(_xlfn.TEXTAFTER(A21, "pathep-["), "]")</f>
        <v/>
      </c>
      <c r="G21">
        <f>IF(ISNUMBER(SEARCH("PG",F21)),F21,_xlfn.CONCAT(E21,F21))</f>
        <v/>
      </c>
      <c r="H21">
        <f>C21</f>
        <v/>
      </c>
    </row>
    <row r="22">
      <c r="A22" t="inlineStr">
        <is>
          <t>uni/tn-TELCEL_TELCO_NETWORK/out-L3OUT_ABIS_2G_IP_RMAC/lnodep-NP_LF_102/lifp-INTP_LF_102/rspathL3OutAtt-[topology/pod-1/paths-102/pathep-[PG_PC_102_L3_RMAC2]]</t>
        </is>
      </c>
      <c r="B22">
        <f>_xlfn.TEXTBEFORE(_xlfn.TEXTAFTER(A22, "tn-"), "/")</f>
        <v/>
      </c>
      <c r="C22">
        <f>_xlfn.TEXTBEFORE(_xlfn.TEXTAFTER(A22, "out-"), "/")</f>
        <v/>
      </c>
      <c r="D22">
        <f>_xlfn.TEXTBEFORE(_xlfn.TEXTAFTER(A22, "topology/pod-"), "/")</f>
        <v/>
      </c>
      <c r="E22">
        <f>_xlfn.TEXTBEFORE(_xlfn.TEXTAFTER(A22, "paths-"), "/")</f>
        <v/>
      </c>
      <c r="F22">
        <f>_xlfn.TEXTBEFORE(_xlfn.TEXTAFTER(A22, "pathep-["), "]")</f>
        <v/>
      </c>
      <c r="G22">
        <f>IF(ISNUMBER(SEARCH("PG",F22)),F22,_xlfn.CONCAT(E22,F22))</f>
        <v/>
      </c>
      <c r="H22">
        <f>C22</f>
        <v/>
      </c>
    </row>
    <row r="23">
      <c r="A23" t="inlineStr">
        <is>
          <t>uni/tn-TELCEL_TELCO_NETWORK/out-L3OUT_UG0-1507-0002/lnodep-NP_LF_102/lifp-INTP_LF_102_SO5898/rspathL3OutAtt-[topology/pod-1/paths-102/pathep-[eth1/8]]</t>
        </is>
      </c>
      <c r="B23">
        <f>_xlfn.TEXTBEFORE(_xlfn.TEXTAFTER(A23, "tn-"), "/")</f>
        <v/>
      </c>
      <c r="C23">
        <f>_xlfn.TEXTBEFORE(_xlfn.TEXTAFTER(A23, "out-"), "/")</f>
        <v/>
      </c>
      <c r="D23">
        <f>_xlfn.TEXTBEFORE(_xlfn.TEXTAFTER(A23, "topology/pod-"), "/")</f>
        <v/>
      </c>
      <c r="E23">
        <f>_xlfn.TEXTBEFORE(_xlfn.TEXTAFTER(A23, "paths-"), "/")</f>
        <v/>
      </c>
      <c r="F23">
        <f>_xlfn.TEXTBEFORE(_xlfn.TEXTAFTER(A23, "pathep-["), "]")</f>
        <v/>
      </c>
      <c r="G23">
        <f>IF(ISNUMBER(SEARCH("PG",F23)),F23,_xlfn.CONCAT(E23,F23))</f>
        <v/>
      </c>
      <c r="H23">
        <f>C23</f>
        <v/>
      </c>
    </row>
    <row r="24">
      <c r="A24" t="inlineStr">
        <is>
          <t>uni/tn-TELCEL_TELCO_NETWORK/out-L3OUT_RED_GPRS_GN_RMAC/lnodep-NP_LF_102/lifp-INTP_LF_102/rspathL3OutAtt-[topology/pod-1/paths-102/pathep-[PG_PC_102_L3_RMAC2]]</t>
        </is>
      </c>
      <c r="B24">
        <f>_xlfn.TEXTBEFORE(_xlfn.TEXTAFTER(A24, "tn-"), "/")</f>
        <v/>
      </c>
      <c r="C24">
        <f>_xlfn.TEXTBEFORE(_xlfn.TEXTAFTER(A24, "out-"), "/")</f>
        <v/>
      </c>
      <c r="D24">
        <f>_xlfn.TEXTBEFORE(_xlfn.TEXTAFTER(A24, "topology/pod-"), "/")</f>
        <v/>
      </c>
      <c r="E24">
        <f>_xlfn.TEXTBEFORE(_xlfn.TEXTAFTER(A24, "paths-"), "/")</f>
        <v/>
      </c>
      <c r="F24">
        <f>_xlfn.TEXTBEFORE(_xlfn.TEXTAFTER(A24, "pathep-["), "]")</f>
        <v/>
      </c>
      <c r="G24">
        <f>IF(ISNUMBER(SEARCH("PG",F24)),F24,_xlfn.CONCAT(E24,F24))</f>
        <v/>
      </c>
      <c r="H24">
        <f>C24</f>
        <v/>
      </c>
    </row>
    <row r="25">
      <c r="A25" t="inlineStr">
        <is>
          <t>uni/tn-TELCEL_TELCO_NETWORK/out-L3OUT_UG0-1208-0008/lnodep-NP_LF_102/lifp-INTP_LF_102_SO6312/rspathL3OutAtt-[topology/pod-1/paths-102/pathep-[eth1/9]]</t>
        </is>
      </c>
      <c r="B25">
        <f>_xlfn.TEXTBEFORE(_xlfn.TEXTAFTER(A25, "tn-"), "/")</f>
        <v/>
      </c>
      <c r="C25">
        <f>_xlfn.TEXTBEFORE(_xlfn.TEXTAFTER(A25, "out-"), "/")</f>
        <v/>
      </c>
      <c r="D25">
        <f>_xlfn.TEXTBEFORE(_xlfn.TEXTAFTER(A25, "topology/pod-"), "/")</f>
        <v/>
      </c>
      <c r="E25">
        <f>_xlfn.TEXTBEFORE(_xlfn.TEXTAFTER(A25, "paths-"), "/")</f>
        <v/>
      </c>
      <c r="F25">
        <f>_xlfn.TEXTBEFORE(_xlfn.TEXTAFTER(A25, "pathep-["), "]")</f>
        <v/>
      </c>
      <c r="G25">
        <f>IF(ISNUMBER(SEARCH("PG",F25)),F25,_xlfn.CONCAT(E25,F25))</f>
        <v/>
      </c>
      <c r="H25">
        <f>C25</f>
        <v/>
      </c>
    </row>
  </sheetData>
  <autoFilter ref="A1:H79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2"/>
  <sheetViews>
    <sheetView zoomScale="125" workbookViewId="0">
      <selection activeCell="A1" sqref="A1"/>
    </sheetView>
  </sheetViews>
  <sheetFormatPr baseColWidth="10" defaultColWidth="11" defaultRowHeight="16"/>
  <cols>
    <col width="7" bestFit="1" customWidth="1" style="22" min="1" max="1"/>
    <col width="11.83203125" bestFit="1" customWidth="1" style="22" min="2" max="2"/>
    <col width="15.1640625" bestFit="1" customWidth="1" style="22" min="3" max="3"/>
    <col width="106.6640625" bestFit="1" customWidth="1" style="22" min="4" max="4"/>
    <col width="17.83203125" customWidth="1" style="22" min="5" max="5"/>
    <col width="25.6640625" bestFit="1" customWidth="1" style="22" min="6" max="6"/>
    <col width="77.6640625" bestFit="1" customWidth="1" style="22" min="7" max="7"/>
    <col width="45.5" bestFit="1" customWidth="1" style="22" min="8" max="8"/>
  </cols>
  <sheetData>
    <row r="1">
      <c r="A1" t="inlineStr">
        <is>
          <t>Leaf</t>
        </is>
      </c>
      <c r="B1" t="inlineStr">
        <is>
          <t>PORT</t>
        </is>
      </c>
      <c r="C1" t="inlineStr">
        <is>
          <t>CONCAT</t>
        </is>
      </c>
      <c r="D1" t="inlineStr">
        <is>
          <t>dn</t>
        </is>
      </c>
      <c r="E1" t="inlineStr">
        <is>
          <t>INTPR</t>
        </is>
      </c>
      <c r="F1" t="inlineStr">
        <is>
          <t>ISEL</t>
        </is>
      </c>
      <c r="G1" t="inlineStr">
        <is>
          <t>tDn</t>
        </is>
      </c>
      <c r="H1" t="inlineStr">
        <is>
          <t>PG</t>
        </is>
      </c>
    </row>
    <row r="2">
      <c r="A2">
        <f>TRIM(
  _xlfn.IFNA(
    _xlfn.TEXTBEFORE(_xlfn.TEXTAFTER(D2, "Leaf"), "/"),
    _xlfn.TEXTAFTER(
      MID(
        _xlfn.TEXTBEFORE(_xlfn.TEXTAFTER(D2, "INTP_"), "/"),
        16,
        LEN(_xlfn.TEXTBEFORE(_xlfn.TEXTAFTER(D2, "INTP_"), "/"))
      ),
      "_"
    )
  )
)</f>
        <v/>
      </c>
      <c r="B2">
        <f>_xlfn.CONCAT(
  "eth1/",
  _xlfn.IFNA(
    _xlfn.TEXTBEFORE(_xlfn.TEXTAFTER(LOWER(D2),"isel-1."),"-"),
    _xlfn.IFNA(
      _xlfn.TEXTBEFORE(_xlfn.TEXTAFTER(LOWER(D2),"ints_port-"),"-"),
      _xlfn.TEXTBEFORE(_xlfn.TEXTAFTER(LOWER(D2),"inst_port-"),"-")
    )
  )
)</f>
        <v/>
      </c>
      <c r="C2">
        <f>_xlfn.CONCAT(A2,B2)</f>
        <v/>
      </c>
      <c r="D2" t="inlineStr">
        <is>
          <t>uni/infra/accportprof-INTP_2ACI_LE_INGENIE_151/hports-INTS_PORT-31-typ-range/rsaccBas</t>
        </is>
      </c>
      <c r="E2">
        <f>_xlfn.TEXTBEFORE(_xlfn.TEXTAFTER(D2,"accportprof-"),"/")</f>
        <v/>
      </c>
      <c r="F2">
        <f>_xlfn.TEXTBEFORE(_xlfn.TEXTAFTER(D2,"hports-"),"-typ")</f>
        <v/>
      </c>
      <c r="G2" t="inlineStr">
        <is>
          <t>uni/infra/funcprof/accportgrp-PG_ACC_151_1.31</t>
        </is>
      </c>
      <c r="H2">
        <f>IFERROR(
 MID(G2, SEARCH("accportgrp-", LOWER(G2)) + 11, LEN(G2)),
 IFERROR(
  MID(G2, SEARCH("accbundle-", LOWER(G2)) + 10, LEN(G2)),
  IFERROR(
   MID(G2, SEARCH("brkoutportgrp-", LOWER(G2)) + 14, LEN(G2)),
   ""
  )
 )
)</f>
        <v/>
      </c>
    </row>
    <row r="3">
      <c r="A3">
        <f>TRIM(
  _xlfn.IFNA(
    _xlfn.TEXTBEFORE(_xlfn.TEXTAFTER(D3, "Leaf"), "/"),
    _xlfn.TEXTAFTER(
      MID(
        _xlfn.TEXTBEFORE(_xlfn.TEXTAFTER(D3, "INTP_"), "/"),
        16,
        LEN(_xlfn.TEXTBEFORE(_xlfn.TEXTAFTER(D3, "INTP_"), "/"))
      ),
      "_"
    )
  )
)</f>
        <v/>
      </c>
      <c r="B3">
        <f>_xlfn.CONCAT(
  "eth1/",
  _xlfn.IFNA(
    _xlfn.TEXTBEFORE(_xlfn.TEXTAFTER(LOWER(D3),"isel-1."),"-"),
    _xlfn.IFNA(
      _xlfn.TEXTBEFORE(_xlfn.TEXTAFTER(LOWER(D3),"ints_port-"),"-"),
      _xlfn.TEXTBEFORE(_xlfn.TEXTAFTER(LOWER(D3),"inst_port-"),"-")
    )
  )
)</f>
        <v/>
      </c>
      <c r="C3">
        <f>_xlfn.CONCAT(A3,B3)</f>
        <v/>
      </c>
      <c r="D3" t="inlineStr">
        <is>
          <t>uni/infra/accportprof-INTP_2ACI_LO_INGENIE_101/hports-INTS_PORT-14-typ-range/rsaccBas</t>
        </is>
      </c>
      <c r="E3">
        <f>_xlfn.TEXTBEFORE(_xlfn.TEXTAFTER(D3,"accportprof-"),"/")</f>
        <v/>
      </c>
      <c r="F3">
        <f>_xlfn.TEXTBEFORE(_xlfn.TEXTAFTER(D3,"hports-"),"-typ")</f>
        <v/>
      </c>
      <c r="G3" t="inlineStr">
        <is>
          <t>uni/infra/funcprof/accportgrp-PG_ACC_101_1.14</t>
        </is>
      </c>
      <c r="H3">
        <f>IFERROR(
 MID(G3, SEARCH("accportgrp-", LOWER(G3)) + 11, LEN(G3)),
 IFERROR(
  MID(G3, SEARCH("accbundle-", LOWER(G3)) + 10, LEN(G3)),
  IFERROR(
   MID(G3, SEARCH("brkoutportgrp-", LOWER(G3)) + 14, LEN(G3)),
   ""
  )
 )
)</f>
        <v/>
      </c>
    </row>
    <row r="4">
      <c r="A4">
        <f>TRIM(
  _xlfn.IFNA(
    _xlfn.TEXTBEFORE(_xlfn.TEXTAFTER(D4, "Leaf"), "/"),
    _xlfn.TEXTAFTER(
      MID(
        _xlfn.TEXTBEFORE(_xlfn.TEXTAFTER(D4, "INTP_"), "/"),
        16,
        LEN(_xlfn.TEXTBEFORE(_xlfn.TEXTAFTER(D4, "INTP_"), "/"))
      ),
      "_"
    )
  )
)</f>
        <v/>
      </c>
      <c r="B4">
        <f>_xlfn.CONCAT(
  "eth1/",
  _xlfn.IFNA(
    _xlfn.TEXTBEFORE(_xlfn.TEXTAFTER(LOWER(D4),"isel-1."),"-"),
    _xlfn.IFNA(
      _xlfn.TEXTBEFORE(_xlfn.TEXTAFTER(LOWER(D4),"ints_port-"),"-"),
      _xlfn.TEXTBEFORE(_xlfn.TEXTAFTER(LOWER(D4),"inst_port-"),"-")
    )
  )
)</f>
        <v/>
      </c>
      <c r="C4">
        <f>_xlfn.CONCAT(A4,B4)</f>
        <v/>
      </c>
      <c r="D4" t="inlineStr">
        <is>
          <t>uni/infra/accportprof-INTP_2ACI_LO_INGENIE_101/hports-INTS_PORT-47-typ-range/rsaccBas</t>
        </is>
      </c>
      <c r="E4">
        <f>_xlfn.TEXTBEFORE(_xlfn.TEXTAFTER(D4,"accportprof-"),"/")</f>
        <v/>
      </c>
      <c r="F4">
        <f>_xlfn.TEXTBEFORE(_xlfn.TEXTAFTER(D4,"hports-"),"-typ")</f>
        <v/>
      </c>
      <c r="G4" t="inlineStr">
        <is>
          <t>uni/infra/funcprof/accportgrp-PG_ACC_101_1.47</t>
        </is>
      </c>
      <c r="H4">
        <f>IFERROR(
 MID(G4, SEARCH("accportgrp-", LOWER(G4)) + 11, LEN(G4)),
 IFERROR(
  MID(G4, SEARCH("accbundle-", LOWER(G4)) + 10, LEN(G4)),
  IFERROR(
   MID(G4, SEARCH("brkoutportgrp-", LOWER(G4)) + 14, LEN(G4)),
   ""
  )
 )
)</f>
        <v/>
      </c>
    </row>
    <row r="5">
      <c r="A5">
        <f>TRIM(
  _xlfn.IFNA(
    _xlfn.TEXTBEFORE(_xlfn.TEXTAFTER(D5, "Leaf"), "/"),
    _xlfn.TEXTAFTER(
      MID(
        _xlfn.TEXTBEFORE(_xlfn.TEXTAFTER(D5, "INTP_"), "/"),
        16,
        LEN(_xlfn.TEXTBEFORE(_xlfn.TEXTAFTER(D5, "INTP_"), "/"))
      ),
      "_"
    )
  )
)</f>
        <v/>
      </c>
      <c r="B5">
        <f>_xlfn.CONCAT(
  "eth1/",
  _xlfn.IFNA(
    _xlfn.TEXTBEFORE(_xlfn.TEXTAFTER(LOWER(D5),"isel-1."),"-"),
    _xlfn.IFNA(
      _xlfn.TEXTBEFORE(_xlfn.TEXTAFTER(LOWER(D5),"ints_port-"),"-"),
      _xlfn.TEXTBEFORE(_xlfn.TEXTAFTER(LOWER(D5),"inst_port-"),"-")
    )
  )
)</f>
        <v/>
      </c>
      <c r="C5">
        <f>_xlfn.CONCAT(A5,B5)</f>
        <v/>
      </c>
      <c r="D5" t="inlineStr">
        <is>
          <t>uni/infra/accportprof-INTP_2ACI_LE_INGENIE_152/hports-INTS_PORT-10-typ-range/rsaccBas</t>
        </is>
      </c>
      <c r="E5">
        <f>_xlfn.TEXTBEFORE(_xlfn.TEXTAFTER(D5,"accportprof-"),"/")</f>
        <v/>
      </c>
      <c r="F5">
        <f>_xlfn.TEXTBEFORE(_xlfn.TEXTAFTER(D5,"hports-"),"-typ")</f>
        <v/>
      </c>
      <c r="G5" t="inlineStr">
        <is>
          <t>uni/infra/funcprof/accportgrp-PG_ACC_152_1.10</t>
        </is>
      </c>
      <c r="H5">
        <f>IFERROR(
 MID(G5, SEARCH("accportgrp-", LOWER(G5)) + 11, LEN(G5)),
 IFERROR(
  MID(G5, SEARCH("accbundle-", LOWER(G5)) + 10, LEN(G5)),
  IFERROR(
   MID(G5, SEARCH("brkoutportgrp-", LOWER(G5)) + 14, LEN(G5)),
   ""
  )
 )
)</f>
        <v/>
      </c>
    </row>
    <row r="6">
      <c r="A6">
        <f>TRIM(
  _xlfn.IFNA(
    _xlfn.TEXTBEFORE(_xlfn.TEXTAFTER(D6, "Leaf"), "/"),
    _xlfn.TEXTAFTER(
      MID(
        _xlfn.TEXTBEFORE(_xlfn.TEXTAFTER(D6, "INTP_"), "/"),
        16,
        LEN(_xlfn.TEXTBEFORE(_xlfn.TEXTAFTER(D6, "INTP_"), "/"))
      ),
      "_"
    )
  )
)</f>
        <v/>
      </c>
      <c r="B6">
        <f>_xlfn.CONCAT(
  "eth1/",
  _xlfn.IFNA(
    _xlfn.TEXTBEFORE(_xlfn.TEXTAFTER(LOWER(D6),"isel-1."),"-"),
    _xlfn.IFNA(
      _xlfn.TEXTBEFORE(_xlfn.TEXTAFTER(LOWER(D6),"ints_port-"),"-"),
      _xlfn.TEXTBEFORE(_xlfn.TEXTAFTER(LOWER(D6),"inst_port-"),"-")
    )
  )
)</f>
        <v/>
      </c>
      <c r="C6">
        <f>_xlfn.CONCAT(A6,B6)</f>
        <v/>
      </c>
      <c r="D6" t="inlineStr">
        <is>
          <t>uni/infra/accportprof-INTP_2ACI_LE_INGENIE_152/hports-INTS_PORT-7-typ-range/rsaccBase</t>
        </is>
      </c>
      <c r="E6">
        <f>_xlfn.TEXTBEFORE(_xlfn.TEXTAFTER(D6,"accportprof-"),"/")</f>
        <v/>
      </c>
      <c r="F6">
        <f>_xlfn.TEXTBEFORE(_xlfn.TEXTAFTER(D6,"hports-"),"-typ")</f>
        <v/>
      </c>
      <c r="G6" t="inlineStr">
        <is>
          <t>uni/infra/funcprof/accportgrp-PG_ACC_152_1.7</t>
        </is>
      </c>
      <c r="H6">
        <f>IFERROR(
 MID(G6, SEARCH("accportgrp-", LOWER(G6)) + 11, LEN(G6)),
 IFERROR(
  MID(G6, SEARCH("accbundle-", LOWER(G6)) + 10, LEN(G6)),
  IFERROR(
   MID(G6, SEARCH("brkoutportgrp-", LOWER(G6)) + 14, LEN(G6)),
   ""
  )
 )
)</f>
        <v/>
      </c>
    </row>
    <row r="7">
      <c r="A7">
        <f>TRIM(
  _xlfn.IFNA(
    _xlfn.TEXTBEFORE(_xlfn.TEXTAFTER(D7, "Leaf"), "/"),
    _xlfn.TEXTAFTER(
      MID(
        _xlfn.TEXTBEFORE(_xlfn.TEXTAFTER(D7, "INTP_"), "/"),
        16,
        LEN(_xlfn.TEXTBEFORE(_xlfn.TEXTAFTER(D7, "INTP_"), "/"))
      ),
      "_"
    )
  )
)</f>
        <v/>
      </c>
      <c r="B7">
        <f>_xlfn.CONCAT(
  "eth1/",
  _xlfn.IFNA(
    _xlfn.TEXTBEFORE(_xlfn.TEXTAFTER(LOWER(D7),"isel-1."),"-"),
    _xlfn.IFNA(
      _xlfn.TEXTBEFORE(_xlfn.TEXTAFTER(LOWER(D7),"ints_port-"),"-"),
      _xlfn.TEXTBEFORE(_xlfn.TEXTAFTER(LOWER(D7),"inst_port-"),"-")
    )
  )
)</f>
        <v/>
      </c>
      <c r="C7">
        <f>_xlfn.CONCAT(A7,B7)</f>
        <v/>
      </c>
      <c r="D7" t="inlineStr">
        <is>
          <t>uni/infra/accportprof-INTP_2ACI_LE_INGENIE_151/hports-INTS_PORT-20-typ-range/rsaccBas</t>
        </is>
      </c>
      <c r="E7">
        <f>_xlfn.TEXTBEFORE(_xlfn.TEXTAFTER(D7,"accportprof-"),"/")</f>
        <v/>
      </c>
      <c r="F7">
        <f>_xlfn.TEXTBEFORE(_xlfn.TEXTAFTER(D7,"hports-"),"-typ")</f>
        <v/>
      </c>
      <c r="G7" t="inlineStr">
        <is>
          <t>uni/infra/funcprof/accportgrp-PG_ACC_151_1.20</t>
        </is>
      </c>
      <c r="H7">
        <f>IFERROR(
 MID(G7, SEARCH("accportgrp-", LOWER(G7)) + 11, LEN(G7)),
 IFERROR(
  MID(G7, SEARCH("accbundle-", LOWER(G7)) + 10, LEN(G7)),
  IFERROR(
   MID(G7, SEARCH("brkoutportgrp-", LOWER(G7)) + 14, LEN(G7)),
   ""
  )
 )
)</f>
        <v/>
      </c>
    </row>
    <row r="8">
      <c r="A8">
        <f>TRIM(
  _xlfn.IFNA(
    _xlfn.TEXTBEFORE(_xlfn.TEXTAFTER(D8, "Leaf"), "/"),
    _xlfn.TEXTAFTER(
      MID(
        _xlfn.TEXTBEFORE(_xlfn.TEXTAFTER(D8, "INTP_"), "/"),
        16,
        LEN(_xlfn.TEXTBEFORE(_xlfn.TEXTAFTER(D8, "INTP_"), "/"))
      ),
      "_"
    )
  )
)</f>
        <v/>
      </c>
      <c r="B8">
        <f>_xlfn.CONCAT(
  "eth1/",
  _xlfn.IFNA(
    _xlfn.TEXTBEFORE(_xlfn.TEXTAFTER(LOWER(D8),"isel-1."),"-"),
    _xlfn.IFNA(
      _xlfn.TEXTBEFORE(_xlfn.TEXTAFTER(LOWER(D8),"ints_port-"),"-"),
      _xlfn.TEXTBEFORE(_xlfn.TEXTAFTER(LOWER(D8),"inst_port-"),"-")
    )
  )
)</f>
        <v/>
      </c>
      <c r="C8">
        <f>_xlfn.CONCAT(A8,B8)</f>
        <v/>
      </c>
      <c r="D8" t="inlineStr">
        <is>
          <t>uni/infra/accportprof-INTP_2ACI_LE_INGENIE_151/hports-INTS_PORT-33-typ-range/rsaccBas</t>
        </is>
      </c>
      <c r="E8">
        <f>_xlfn.TEXTBEFORE(_xlfn.TEXTAFTER(D8,"accportprof-"),"/")</f>
        <v/>
      </c>
      <c r="F8">
        <f>_xlfn.TEXTBEFORE(_xlfn.TEXTAFTER(D8,"hports-"),"-typ")</f>
        <v/>
      </c>
      <c r="G8" t="inlineStr">
        <is>
          <t>uni/infra/funcprof/accportgrp-PG_ACC_151_1.33</t>
        </is>
      </c>
      <c r="H8">
        <f>IFERROR(
 MID(G8, SEARCH("accportgrp-", LOWER(G8)) + 11, LEN(G8)),
 IFERROR(
  MID(G8, SEARCH("accbundle-", LOWER(G8)) + 10, LEN(G8)),
  IFERROR(
   MID(G8, SEARCH("brkoutportgrp-", LOWER(G8)) + 14, LEN(G8)),
   ""
  )
 )
)</f>
        <v/>
      </c>
    </row>
    <row r="9">
      <c r="A9">
        <f>TRIM(
  _xlfn.IFNA(
    _xlfn.TEXTBEFORE(_xlfn.TEXTAFTER(D9, "Leaf"), "/"),
    _xlfn.TEXTAFTER(
      MID(
        _xlfn.TEXTBEFORE(_xlfn.TEXTAFTER(D9, "INTP_"), "/"),
        16,
        LEN(_xlfn.TEXTBEFORE(_xlfn.TEXTAFTER(D9, "INTP_"), "/"))
      ),
      "_"
    )
  )
)</f>
        <v/>
      </c>
      <c r="B9">
        <f>_xlfn.CONCAT(
  "eth1/",
  _xlfn.IFNA(
    _xlfn.TEXTBEFORE(_xlfn.TEXTAFTER(LOWER(D9),"isel-1."),"-"),
    _xlfn.IFNA(
      _xlfn.TEXTBEFORE(_xlfn.TEXTAFTER(LOWER(D9),"ints_port-"),"-"),
      _xlfn.TEXTBEFORE(_xlfn.TEXTAFTER(LOWER(D9),"inst_port-"),"-")
    )
  )
)</f>
        <v/>
      </c>
      <c r="C9">
        <f>_xlfn.CONCAT(A9,B9)</f>
        <v/>
      </c>
      <c r="D9" t="inlineStr">
        <is>
          <t>uni/infra/accportprof-INTP_2ACI_LE_INGENIE_151/hports-INTS_PORT-13-typ-range/rsaccBas</t>
        </is>
      </c>
      <c r="E9">
        <f>_xlfn.TEXTBEFORE(_xlfn.TEXTAFTER(D9,"accportprof-"),"/")</f>
        <v/>
      </c>
      <c r="F9">
        <f>_xlfn.TEXTBEFORE(_xlfn.TEXTAFTER(D9,"hports-"),"-typ")</f>
        <v/>
      </c>
      <c r="G9" t="inlineStr">
        <is>
          <t>uni/infra/funcprof/accportgrp-PG_ACC_151_1.13</t>
        </is>
      </c>
      <c r="H9">
        <f>IFERROR(
 MID(G9, SEARCH("accportgrp-", LOWER(G9)) + 11, LEN(G9)),
 IFERROR(
  MID(G9, SEARCH("accbundle-", LOWER(G9)) + 10, LEN(G9)),
  IFERROR(
   MID(G9, SEARCH("brkoutportgrp-", LOWER(G9)) + 14, LEN(G9)),
   ""
  )
 )
)</f>
        <v/>
      </c>
    </row>
    <row r="10">
      <c r="A10">
        <f>TRIM(
  _xlfn.IFNA(
    _xlfn.TEXTBEFORE(_xlfn.TEXTAFTER(D10, "Leaf"), "/"),
    _xlfn.TEXTAFTER(
      MID(
        _xlfn.TEXTBEFORE(_xlfn.TEXTAFTER(D10, "INTP_"), "/"),
        16,
        LEN(_xlfn.TEXTBEFORE(_xlfn.TEXTAFTER(D10, "INTP_"), "/"))
      ),
      "_"
    )
  )
)</f>
        <v/>
      </c>
      <c r="B10">
        <f>_xlfn.CONCAT(
  "eth1/",
  _xlfn.IFNA(
    _xlfn.TEXTBEFORE(_xlfn.TEXTAFTER(LOWER(D10),"isel-1."),"-"),
    _xlfn.IFNA(
      _xlfn.TEXTBEFORE(_xlfn.TEXTAFTER(LOWER(D10),"ints_port-"),"-"),
      _xlfn.TEXTBEFORE(_xlfn.TEXTAFTER(LOWER(D10),"inst_port-"),"-")
    )
  )
)</f>
        <v/>
      </c>
      <c r="C10">
        <f>_xlfn.CONCAT(A10,B10)</f>
        <v/>
      </c>
      <c r="D10" t="inlineStr">
        <is>
          <t>uni/infra/accportprof-INTP_2ACI_LE_INGENIE_152/hports-INTS_PORT-13-typ-range/rsaccBas</t>
        </is>
      </c>
      <c r="E10">
        <f>_xlfn.TEXTBEFORE(_xlfn.TEXTAFTER(D10,"accportprof-"),"/")</f>
        <v/>
      </c>
      <c r="F10">
        <f>_xlfn.TEXTBEFORE(_xlfn.TEXTAFTER(D10,"hports-"),"-typ")</f>
        <v/>
      </c>
      <c r="G10" t="inlineStr">
        <is>
          <t>uni/infra/funcprof/accportgrp-PG_ACC_152_1.13</t>
        </is>
      </c>
      <c r="H10">
        <f>IFERROR(
 MID(G10, SEARCH("accportgrp-", LOWER(G10)) + 11, LEN(G10)),
 IFERROR(
  MID(G10, SEARCH("accbundle-", LOWER(G10)) + 10, LEN(G10)),
  IFERROR(
   MID(G10, SEARCH("brkoutportgrp-", LOWER(G10)) + 14, LEN(G10)),
   ""
  )
 )
)</f>
        <v/>
      </c>
    </row>
    <row r="11">
      <c r="A11">
        <f>TRIM(
  _xlfn.IFNA(
    _xlfn.TEXTBEFORE(_xlfn.TEXTAFTER(D11, "Leaf"), "/"),
    _xlfn.TEXTAFTER(
      MID(
        _xlfn.TEXTBEFORE(_xlfn.TEXTAFTER(D11, "INTP_"), "/"),
        16,
        LEN(_xlfn.TEXTBEFORE(_xlfn.TEXTAFTER(D11, "INTP_"), "/"))
      ),
      "_"
    )
  )
)</f>
        <v/>
      </c>
      <c r="B11">
        <f>_xlfn.CONCAT(
  "eth1/",
  _xlfn.IFNA(
    _xlfn.TEXTBEFORE(_xlfn.TEXTAFTER(LOWER(D11),"isel-1."),"-"),
    _xlfn.IFNA(
      _xlfn.TEXTBEFORE(_xlfn.TEXTAFTER(LOWER(D11),"ints_port-"),"-"),
      _xlfn.TEXTBEFORE(_xlfn.TEXTAFTER(LOWER(D11),"inst_port-"),"-")
    )
  )
)</f>
        <v/>
      </c>
      <c r="C11">
        <f>_xlfn.CONCAT(A11,B11)</f>
        <v/>
      </c>
      <c r="D11" t="inlineStr">
        <is>
          <t>uni/infra/accportprof-INTP_2ACI_LE_INGENIE_152/hports-INTS_PORT-27-typ-range/rsaccBas</t>
        </is>
      </c>
      <c r="E11">
        <f>_xlfn.TEXTBEFORE(_xlfn.TEXTAFTER(D11,"accportprof-"),"/")</f>
        <v/>
      </c>
      <c r="F11">
        <f>_xlfn.TEXTBEFORE(_xlfn.TEXTAFTER(D11,"hports-"),"-typ")</f>
        <v/>
      </c>
      <c r="G11" t="inlineStr">
        <is>
          <t>uni/infra/funcprof/accportgrp-PG_ACC_152_1.27</t>
        </is>
      </c>
      <c r="H11">
        <f>IFERROR(
 MID(G11, SEARCH("accportgrp-", LOWER(G11)) + 11, LEN(G11)),
 IFERROR(
  MID(G11, SEARCH("accbundle-", LOWER(G11)) + 10, LEN(G11)),
  IFERROR(
   MID(G11, SEARCH("brkoutportgrp-", LOWER(G11)) + 14, LEN(G11)),
   ""
  )
 )
)</f>
        <v/>
      </c>
    </row>
    <row r="12">
      <c r="A12">
        <f>TRIM(
  _xlfn.IFNA(
    _xlfn.TEXTBEFORE(_xlfn.TEXTAFTER(D12, "Leaf"), "/"),
    _xlfn.TEXTAFTER(
      MID(
        _xlfn.TEXTBEFORE(_xlfn.TEXTAFTER(D12, "INTP_"), "/"),
        16,
        LEN(_xlfn.TEXTBEFORE(_xlfn.TEXTAFTER(D12, "INTP_"), "/"))
      ),
      "_"
    )
  )
)</f>
        <v/>
      </c>
      <c r="B12">
        <f>_xlfn.CONCAT(
  "eth1/",
  _xlfn.IFNA(
    _xlfn.TEXTBEFORE(_xlfn.TEXTAFTER(LOWER(D12),"isel-1."),"-"),
    _xlfn.IFNA(
      _xlfn.TEXTBEFORE(_xlfn.TEXTAFTER(LOWER(D12),"ints_port-"),"-"),
      _xlfn.TEXTBEFORE(_xlfn.TEXTAFTER(LOWER(D12),"inst_port-"),"-")
    )
  )
)</f>
        <v/>
      </c>
      <c r="C12">
        <f>_xlfn.CONCAT(A12,B12)</f>
        <v/>
      </c>
      <c r="D12" t="inlineStr">
        <is>
          <t>uni/infra/accportprof-INTP_2ACI_LO_INGENIE_102/hports-INTS_PORT-45-typ-range/rsaccBas</t>
        </is>
      </c>
      <c r="E12">
        <f>_xlfn.TEXTBEFORE(_xlfn.TEXTAFTER(D12,"accportprof-"),"/")</f>
        <v/>
      </c>
      <c r="F12">
        <f>_xlfn.TEXTBEFORE(_xlfn.TEXTAFTER(D12,"hports-"),"-typ")</f>
        <v/>
      </c>
      <c r="G12" t="inlineStr">
        <is>
          <t>uni/infra/funcprof/accbundle-PG_PC_102_L3_RMAC2</t>
        </is>
      </c>
      <c r="H12">
        <f>IFERROR(
 MID(G12, SEARCH("accportgrp-", LOWER(G12)) + 11, LEN(G12)),
 IFERROR(
  MID(G12, SEARCH("accbundle-", LOWER(G12)) + 10, LEN(G12)),
  IFERROR(
   MID(G12, SEARCH("brkoutportgrp-", LOWER(G12)) + 14, LEN(G12)),
   ""
  )
 )
)</f>
        <v/>
      </c>
    </row>
    <row r="13">
      <c r="A13">
        <f>TRIM(
  _xlfn.IFNA(
    _xlfn.TEXTBEFORE(_xlfn.TEXTAFTER(D13, "Leaf"), "/"),
    _xlfn.TEXTAFTER(
      MID(
        _xlfn.TEXTBEFORE(_xlfn.TEXTAFTER(D13, "INTP_"), "/"),
        16,
        LEN(_xlfn.TEXTBEFORE(_xlfn.TEXTAFTER(D13, "INTP_"), "/"))
      ),
      "_"
    )
  )
)</f>
        <v/>
      </c>
      <c r="B13">
        <f>_xlfn.CONCAT(
  "eth1/",
  _xlfn.IFNA(
    _xlfn.TEXTBEFORE(_xlfn.TEXTAFTER(LOWER(D13),"isel-1."),"-"),
    _xlfn.IFNA(
      _xlfn.TEXTBEFORE(_xlfn.TEXTAFTER(LOWER(D13),"ints_port-"),"-"),
      _xlfn.TEXTBEFORE(_xlfn.TEXTAFTER(LOWER(D13),"inst_port-"),"-")
    )
  )
)</f>
        <v/>
      </c>
      <c r="C13">
        <f>_xlfn.CONCAT(A13,B13)</f>
        <v/>
      </c>
      <c r="D13" t="inlineStr">
        <is>
          <t>uni/infra/accportprof-INTP_2ACI_LE_INGENIE_151/hports-INTS_PORT-27-typ-range/rsaccBas</t>
        </is>
      </c>
      <c r="E13">
        <f>_xlfn.TEXTBEFORE(_xlfn.TEXTAFTER(D13,"accportprof-"),"/")</f>
        <v/>
      </c>
      <c r="F13">
        <f>_xlfn.TEXTBEFORE(_xlfn.TEXTAFTER(D13,"hports-"),"-typ")</f>
        <v/>
      </c>
      <c r="G13" t="inlineStr">
        <is>
          <t>uni/infra/funcprof/accportgrp-PG_ACC_151_1.27</t>
        </is>
      </c>
      <c r="H13">
        <f>IFERROR(
 MID(G13, SEARCH("accportgrp-", LOWER(G13)) + 11, LEN(G13)),
 IFERROR(
  MID(G13, SEARCH("accbundle-", LOWER(G13)) + 10, LEN(G13)),
  IFERROR(
   MID(G13, SEARCH("brkoutportgrp-", LOWER(G13)) + 14, LEN(G13)),
   ""
  )
 )
)</f>
        <v/>
      </c>
    </row>
    <row r="14">
      <c r="A14">
        <f>TRIM(
  _xlfn.IFNA(
    _xlfn.TEXTBEFORE(_xlfn.TEXTAFTER(D14, "Leaf"), "/"),
    _xlfn.TEXTAFTER(
      MID(
        _xlfn.TEXTBEFORE(_xlfn.TEXTAFTER(D14, "INTP_"), "/"),
        16,
        LEN(_xlfn.TEXTBEFORE(_xlfn.TEXTAFTER(D14, "INTP_"), "/"))
      ),
      "_"
    )
  )
)</f>
        <v/>
      </c>
      <c r="B14">
        <f>_xlfn.CONCAT(
  "eth1/",
  _xlfn.IFNA(
    _xlfn.TEXTBEFORE(_xlfn.TEXTAFTER(LOWER(D14),"isel-1."),"-"),
    _xlfn.IFNA(
      _xlfn.TEXTBEFORE(_xlfn.TEXTAFTER(LOWER(D14),"ints_port-"),"-"),
      _xlfn.TEXTBEFORE(_xlfn.TEXTAFTER(LOWER(D14),"inst_port-"),"-")
    )
  )
)</f>
        <v/>
      </c>
      <c r="C14">
        <f>_xlfn.CONCAT(A14,B14)</f>
        <v/>
      </c>
      <c r="D14" t="inlineStr">
        <is>
          <t>uni/infra/accportprof-INTP_2ACI_LE_INGENIE_151/hports-INTS_PORT-28-typ-range/rsaccBas</t>
        </is>
      </c>
      <c r="E14">
        <f>_xlfn.TEXTBEFORE(_xlfn.TEXTAFTER(D14,"accportprof-"),"/")</f>
        <v/>
      </c>
      <c r="F14">
        <f>_xlfn.TEXTBEFORE(_xlfn.TEXTAFTER(D14,"hports-"),"-typ")</f>
        <v/>
      </c>
      <c r="G14" t="inlineStr">
        <is>
          <t>uni/infra/funcprof/accportgrp-PG_ACC_151_1.28</t>
        </is>
      </c>
      <c r="H14">
        <f>IFERROR(
 MID(G14, SEARCH("accportgrp-", LOWER(G14)) + 11, LEN(G14)),
 IFERROR(
  MID(G14, SEARCH("accbundle-", LOWER(G14)) + 10, LEN(G14)),
  IFERROR(
   MID(G14, SEARCH("brkoutportgrp-", LOWER(G14)) + 14, LEN(G14)),
   ""
  )
 )
)</f>
        <v/>
      </c>
    </row>
    <row r="15">
      <c r="A15">
        <f>TRIM(
  _xlfn.IFNA(
    _xlfn.TEXTBEFORE(_xlfn.TEXTAFTER(D15, "Leaf"), "/"),
    _xlfn.TEXTAFTER(
      MID(
        _xlfn.TEXTBEFORE(_xlfn.TEXTAFTER(D15, "INTP_"), "/"),
        16,
        LEN(_xlfn.TEXTBEFORE(_xlfn.TEXTAFTER(D15, "INTP_"), "/"))
      ),
      "_"
    )
  )
)</f>
        <v/>
      </c>
      <c r="B15">
        <f>_xlfn.CONCAT(
  "eth1/",
  _xlfn.IFNA(
    _xlfn.TEXTBEFORE(_xlfn.TEXTAFTER(LOWER(D15),"isel-1."),"-"),
    _xlfn.IFNA(
      _xlfn.TEXTBEFORE(_xlfn.TEXTAFTER(LOWER(D15),"ints_port-"),"-"),
      _xlfn.TEXTBEFORE(_xlfn.TEXTAFTER(LOWER(D15),"inst_port-"),"-")
    )
  )
)</f>
        <v/>
      </c>
      <c r="C15">
        <f>_xlfn.CONCAT(A15,B15)</f>
        <v/>
      </c>
      <c r="D15" t="inlineStr">
        <is>
          <t>uni/infra/accportprof-INTP_2ACI_LE_INGENIE_152/hports-INTS_PORT-26-typ-range/rsaccBas</t>
        </is>
      </c>
      <c r="E15">
        <f>_xlfn.TEXTBEFORE(_xlfn.TEXTAFTER(D15,"accportprof-"),"/")</f>
        <v/>
      </c>
      <c r="F15">
        <f>_xlfn.TEXTBEFORE(_xlfn.TEXTAFTER(D15,"hports-"),"-typ")</f>
        <v/>
      </c>
      <c r="G15" t="inlineStr">
        <is>
          <t>uni/infra/funcprof/accportgrp-PG_ACC_152_1.26</t>
        </is>
      </c>
      <c r="H15">
        <f>IFERROR(
 MID(G15, SEARCH("accportgrp-", LOWER(G15)) + 11, LEN(G15)),
 IFERROR(
  MID(G15, SEARCH("accbundle-", LOWER(G15)) + 10, LEN(G15)),
  IFERROR(
   MID(G15, SEARCH("brkoutportgrp-", LOWER(G15)) + 14, LEN(G15)),
   ""
  )
 )
)</f>
        <v/>
      </c>
    </row>
    <row r="16">
      <c r="A16">
        <f>TRIM(
  _xlfn.IFNA(
    _xlfn.TEXTBEFORE(_xlfn.TEXTAFTER(D16, "Leaf"), "/"),
    _xlfn.TEXTAFTER(
      MID(
        _xlfn.TEXTBEFORE(_xlfn.TEXTAFTER(D16, "INTP_"), "/"),
        16,
        LEN(_xlfn.TEXTBEFORE(_xlfn.TEXTAFTER(D16, "INTP_"), "/"))
      ),
      "_"
    )
  )
)</f>
        <v/>
      </c>
      <c r="B16">
        <f>_xlfn.CONCAT(
  "eth1/",
  _xlfn.IFNA(
    _xlfn.TEXTBEFORE(_xlfn.TEXTAFTER(LOWER(D16),"isel-1."),"-"),
    _xlfn.IFNA(
      _xlfn.TEXTBEFORE(_xlfn.TEXTAFTER(LOWER(D16),"ints_port-"),"-"),
      _xlfn.TEXTBEFORE(_xlfn.TEXTAFTER(LOWER(D16),"inst_port-"),"-")
    )
  )
)</f>
        <v/>
      </c>
      <c r="C16">
        <f>_xlfn.CONCAT(A16,B16)</f>
        <v/>
      </c>
      <c r="D16" t="inlineStr">
        <is>
          <t>uni/infra/accportprof-INTP_2ACI_LO_INGENIE_101/hports-INTS_PORT-41-typ-range/rsaccBas</t>
        </is>
      </c>
      <c r="E16">
        <f>_xlfn.TEXTBEFORE(_xlfn.TEXTAFTER(D16,"accportprof-"),"/")</f>
        <v/>
      </c>
      <c r="F16">
        <f>_xlfn.TEXTBEFORE(_xlfn.TEXTAFTER(D16,"hports-"),"-typ")</f>
        <v/>
      </c>
      <c r="G16" t="inlineStr">
        <is>
          <t>uni/infra/funcprof/accportgrp-PG_ACC_101_1.41</t>
        </is>
      </c>
      <c r="H16">
        <f>IFERROR(
 MID(G16, SEARCH("accportgrp-", LOWER(G16)) + 11, LEN(G16)),
 IFERROR(
  MID(G16, SEARCH("accbundle-", LOWER(G16)) + 10, LEN(G16)),
  IFERROR(
   MID(G16, SEARCH("brkoutportgrp-", LOWER(G16)) + 14, LEN(G16)),
   ""
  )
 )
)</f>
        <v/>
      </c>
    </row>
    <row r="17">
      <c r="A17">
        <f>TRIM(
  _xlfn.IFNA(
    _xlfn.TEXTBEFORE(_xlfn.TEXTAFTER(D17, "Leaf"), "/"),
    _xlfn.TEXTAFTER(
      MID(
        _xlfn.TEXTBEFORE(_xlfn.TEXTAFTER(D17, "INTP_"), "/"),
        16,
        LEN(_xlfn.TEXTBEFORE(_xlfn.TEXTAFTER(D17, "INTP_"), "/"))
      ),
      "_"
    )
  )
)</f>
        <v/>
      </c>
      <c r="B17">
        <f>_xlfn.CONCAT(
  "eth1/",
  _xlfn.IFNA(
    _xlfn.TEXTBEFORE(_xlfn.TEXTAFTER(LOWER(D17),"isel-1."),"-"),
    _xlfn.IFNA(
      _xlfn.TEXTBEFORE(_xlfn.TEXTAFTER(LOWER(D17),"ints_port-"),"-"),
      _xlfn.TEXTBEFORE(_xlfn.TEXTAFTER(LOWER(D17),"inst_port-"),"-")
    )
  )
)</f>
        <v/>
      </c>
      <c r="C17">
        <f>_xlfn.CONCAT(A17,B17)</f>
        <v/>
      </c>
      <c r="D17" t="inlineStr">
        <is>
          <t>uni/infra/accportprof-INTP_2ACI_LE_INGENIE_152/hports-INTS_PORT-6-typ-range/rsaccBase</t>
        </is>
      </c>
      <c r="E17">
        <f>_xlfn.TEXTBEFORE(_xlfn.TEXTAFTER(D17,"accportprof-"),"/")</f>
        <v/>
      </c>
      <c r="F17">
        <f>_xlfn.TEXTBEFORE(_xlfn.TEXTAFTER(D17,"hports-"),"-typ")</f>
        <v/>
      </c>
      <c r="G17" t="inlineStr">
        <is>
          <t>uni/infra/funcprof/accportgrp-PG_ACC_152_1.6</t>
        </is>
      </c>
      <c r="H17">
        <f>IFERROR(
 MID(G17, SEARCH("accportgrp-", LOWER(G17)) + 11, LEN(G17)),
 IFERROR(
  MID(G17, SEARCH("accbundle-", LOWER(G17)) + 10, LEN(G17)),
  IFERROR(
   MID(G17, SEARCH("brkoutportgrp-", LOWER(G17)) + 14, LEN(G17)),
   ""
  )
 )
)</f>
        <v/>
      </c>
    </row>
    <row r="18">
      <c r="A18">
        <f>TRIM(
  _xlfn.IFNA(
    _xlfn.TEXTBEFORE(_xlfn.TEXTAFTER(D18, "Leaf"), "/"),
    _xlfn.TEXTAFTER(
      MID(
        _xlfn.TEXTBEFORE(_xlfn.TEXTAFTER(D18, "INTP_"), "/"),
        16,
        LEN(_xlfn.TEXTBEFORE(_xlfn.TEXTAFTER(D18, "INTP_"), "/"))
      ),
      "_"
    )
  )
)</f>
        <v/>
      </c>
      <c r="B18">
        <f>_xlfn.CONCAT(
  "eth1/",
  _xlfn.IFNA(
    _xlfn.TEXTBEFORE(_xlfn.TEXTAFTER(LOWER(D18),"isel-1."),"-"),
    _xlfn.IFNA(
      _xlfn.TEXTBEFORE(_xlfn.TEXTAFTER(LOWER(D18),"ints_port-"),"-"),
      _xlfn.TEXTBEFORE(_xlfn.TEXTAFTER(LOWER(D18),"inst_port-"),"-")
    )
  )
)</f>
        <v/>
      </c>
      <c r="C18">
        <f>_xlfn.CONCAT(A18,B18)</f>
        <v/>
      </c>
      <c r="D18" t="inlineStr">
        <is>
          <t>uni/infra/accportprof-INTP_2ACI_LE_INGENIE_152/hports-INTS_PORT-16-typ-range/rsaccBas</t>
        </is>
      </c>
      <c r="E18">
        <f>_xlfn.TEXTBEFORE(_xlfn.TEXTAFTER(D18,"accportprof-"),"/")</f>
        <v/>
      </c>
      <c r="F18">
        <f>_xlfn.TEXTBEFORE(_xlfn.TEXTAFTER(D18,"hports-"),"-typ")</f>
        <v/>
      </c>
      <c r="G18" t="inlineStr">
        <is>
          <t>uni/infra/funcprof/accportgrp-PG_ACC_152_1.16</t>
        </is>
      </c>
      <c r="H18">
        <f>IFERROR(
 MID(G18, SEARCH("accportgrp-", LOWER(G18)) + 11, LEN(G18)),
 IFERROR(
  MID(G18, SEARCH("accbundle-", LOWER(G18)) + 10, LEN(G18)),
  IFERROR(
   MID(G18, SEARCH("brkoutportgrp-", LOWER(G18)) + 14, LEN(G18)),
   ""
  )
 )
)</f>
        <v/>
      </c>
    </row>
    <row r="19">
      <c r="A19">
        <f>TRIM(
  _xlfn.IFNA(
    _xlfn.TEXTBEFORE(_xlfn.TEXTAFTER(D19, "Leaf"), "/"),
    _xlfn.TEXTAFTER(
      MID(
        _xlfn.TEXTBEFORE(_xlfn.TEXTAFTER(D19, "INTP_"), "/"),
        16,
        LEN(_xlfn.TEXTBEFORE(_xlfn.TEXTAFTER(D19, "INTP_"), "/"))
      ),
      "_"
    )
  )
)</f>
        <v/>
      </c>
      <c r="B19">
        <f>_xlfn.CONCAT(
  "eth1/",
  _xlfn.IFNA(
    _xlfn.TEXTBEFORE(_xlfn.TEXTAFTER(LOWER(D19),"isel-1."),"-"),
    _xlfn.IFNA(
      _xlfn.TEXTBEFORE(_xlfn.TEXTAFTER(LOWER(D19),"ints_port-"),"-"),
      _xlfn.TEXTBEFORE(_xlfn.TEXTAFTER(LOWER(D19),"inst_port-"),"-")
    )
  )
)</f>
        <v/>
      </c>
      <c r="C19">
        <f>_xlfn.CONCAT(A19,B19)</f>
        <v/>
      </c>
      <c r="D19" t="inlineStr">
        <is>
          <t>uni/infra/accportprof-INTP_2ACI_LE_INGENIE_151/hports-INTS_PORT-24-typ-range/rsaccBas</t>
        </is>
      </c>
      <c r="E19">
        <f>_xlfn.TEXTBEFORE(_xlfn.TEXTAFTER(D19,"accportprof-"),"/")</f>
        <v/>
      </c>
      <c r="F19">
        <f>_xlfn.TEXTBEFORE(_xlfn.TEXTAFTER(D19,"hports-"),"-typ")</f>
        <v/>
      </c>
      <c r="G19" t="inlineStr">
        <is>
          <t>uni/infra/funcprof/accportgrp-PG_ACC_151_1.24</t>
        </is>
      </c>
      <c r="H19">
        <f>IFERROR(
 MID(G19, SEARCH("accportgrp-", LOWER(G19)) + 11, LEN(G19)),
 IFERROR(
  MID(G19, SEARCH("accbundle-", LOWER(G19)) + 10, LEN(G19)),
  IFERROR(
   MID(G19, SEARCH("brkoutportgrp-", LOWER(G19)) + 14, LEN(G19)),
   ""
  )
 )
)</f>
        <v/>
      </c>
    </row>
    <row r="20">
      <c r="A20">
        <f>TRIM(
  _xlfn.IFNA(
    _xlfn.TEXTBEFORE(_xlfn.TEXTAFTER(D20, "Leaf"), "/"),
    _xlfn.TEXTAFTER(
      MID(
        _xlfn.TEXTBEFORE(_xlfn.TEXTAFTER(D20, "INTP_"), "/"),
        16,
        LEN(_xlfn.TEXTBEFORE(_xlfn.TEXTAFTER(D20, "INTP_"), "/"))
      ),
      "_"
    )
  )
)</f>
        <v/>
      </c>
      <c r="B20">
        <f>_xlfn.CONCAT(
  "eth1/",
  _xlfn.IFNA(
    _xlfn.TEXTBEFORE(_xlfn.TEXTAFTER(LOWER(D20),"isel-1."),"-"),
    _xlfn.IFNA(
      _xlfn.TEXTBEFORE(_xlfn.TEXTAFTER(LOWER(D20),"ints_port-"),"-"),
      _xlfn.TEXTBEFORE(_xlfn.TEXTAFTER(LOWER(D20),"inst_port-"),"-")
    )
  )
)</f>
        <v/>
      </c>
      <c r="C20">
        <f>_xlfn.CONCAT(A20,B20)</f>
        <v/>
      </c>
      <c r="D20" t="inlineStr">
        <is>
          <t>uni/infra/accportprof-INTP_2ACI_LO_INGENIE_101/hports-INTS_PORT-40-typ-range/rsaccBas</t>
        </is>
      </c>
      <c r="E20">
        <f>_xlfn.TEXTBEFORE(_xlfn.TEXTAFTER(D20,"accportprof-"),"/")</f>
        <v/>
      </c>
      <c r="F20">
        <f>_xlfn.TEXTBEFORE(_xlfn.TEXTAFTER(D20,"hports-"),"-typ")</f>
        <v/>
      </c>
      <c r="G20" t="inlineStr">
        <is>
          <t>uni/infra/funcprof/accbundle-PG_PC_L2_RMAC1</t>
        </is>
      </c>
      <c r="H20">
        <f>IFERROR(
 MID(G20, SEARCH("accportgrp-", LOWER(G20)) + 11, LEN(G20)),
 IFERROR(
  MID(G20, SEARCH("accbundle-", LOWER(G20)) + 10, LEN(G20)),
  IFERROR(
   MID(G20, SEARCH("brkoutportgrp-", LOWER(G20)) + 14, LEN(G20)),
   ""
  )
 )
)</f>
        <v/>
      </c>
    </row>
    <row r="21">
      <c r="A21">
        <f>TRIM(
  _xlfn.IFNA(
    _xlfn.TEXTBEFORE(_xlfn.TEXTAFTER(D21, "Leaf"), "/"),
    _xlfn.TEXTAFTER(
      MID(
        _xlfn.TEXTBEFORE(_xlfn.TEXTAFTER(D21, "INTP_"), "/"),
        16,
        LEN(_xlfn.TEXTBEFORE(_xlfn.TEXTAFTER(D21, "INTP_"), "/"))
      ),
      "_"
    )
  )
)</f>
        <v/>
      </c>
      <c r="B21">
        <f>_xlfn.CONCAT(
  "eth1/",
  _xlfn.IFNA(
    _xlfn.TEXTBEFORE(_xlfn.TEXTAFTER(LOWER(D21),"isel-1."),"-"),
    _xlfn.IFNA(
      _xlfn.TEXTBEFORE(_xlfn.TEXTAFTER(LOWER(D21),"ints_port-"),"-"),
      _xlfn.TEXTBEFORE(_xlfn.TEXTAFTER(LOWER(D21),"inst_port-"),"-")
    )
  )
)</f>
        <v/>
      </c>
      <c r="C21">
        <f>_xlfn.CONCAT(A21,B21)</f>
        <v/>
      </c>
      <c r="D21" t="inlineStr">
        <is>
          <t>uni/infra/accportprof-INTP_2ACI_LE_INGENIE_152/hports-INTS_PORT-19-typ-range/rsaccBas</t>
        </is>
      </c>
      <c r="E21">
        <f>_xlfn.TEXTBEFORE(_xlfn.TEXTAFTER(D21,"accportprof-"),"/")</f>
        <v/>
      </c>
      <c r="F21">
        <f>_xlfn.TEXTBEFORE(_xlfn.TEXTAFTER(D21,"hports-"),"-typ")</f>
        <v/>
      </c>
      <c r="G21" t="inlineStr">
        <is>
          <t>uni/infra/funcprof/accportgrp-PG_ACC_152_1.19</t>
        </is>
      </c>
      <c r="H21">
        <f>IFERROR(
 MID(G21, SEARCH("accportgrp-", LOWER(G21)) + 11, LEN(G21)),
 IFERROR(
  MID(G21, SEARCH("accbundle-", LOWER(G21)) + 10, LEN(G21)),
  IFERROR(
   MID(G21, SEARCH("brkoutportgrp-", LOWER(G21)) + 14, LEN(G21)),
   ""
  )
 )
)</f>
        <v/>
      </c>
    </row>
    <row r="22">
      <c r="A22">
        <f>TRIM(
  _xlfn.IFNA(
    _xlfn.TEXTBEFORE(_xlfn.TEXTAFTER(D22, "Leaf"), "/"),
    _xlfn.TEXTAFTER(
      MID(
        _xlfn.TEXTBEFORE(_xlfn.TEXTAFTER(D22, "INTP_"), "/"),
        16,
        LEN(_xlfn.TEXTBEFORE(_xlfn.TEXTAFTER(D22, "INTP_"), "/"))
      ),
      "_"
    )
  )
)</f>
        <v/>
      </c>
      <c r="B22">
        <f>_xlfn.CONCAT(
  "eth1/",
  _xlfn.IFNA(
    _xlfn.TEXTBEFORE(_xlfn.TEXTAFTER(LOWER(D22),"isel-1."),"-"),
    _xlfn.IFNA(
      _xlfn.TEXTBEFORE(_xlfn.TEXTAFTER(LOWER(D22),"ints_port-"),"-"),
      _xlfn.TEXTBEFORE(_xlfn.TEXTAFTER(LOWER(D22),"inst_port-"),"-")
    )
  )
)</f>
        <v/>
      </c>
      <c r="C22">
        <f>_xlfn.CONCAT(A22,B22)</f>
        <v/>
      </c>
      <c r="D22" t="inlineStr">
        <is>
          <t>uni/infra/accportprof-INTP_2ACI_LE_INGENIE_152/hports-INTS_PORT-2-typ-range/rsaccBase</t>
        </is>
      </c>
      <c r="E22">
        <f>_xlfn.TEXTBEFORE(_xlfn.TEXTAFTER(D22,"accportprof-"),"/")</f>
        <v/>
      </c>
      <c r="F22">
        <f>_xlfn.TEXTBEFORE(_xlfn.TEXTAFTER(D22,"hports-"),"-typ")</f>
        <v/>
      </c>
      <c r="G22" t="inlineStr">
        <is>
          <t>uni/infra/funcprof/accportgrp-PG_ACC_152_1.2</t>
        </is>
      </c>
      <c r="H22">
        <f>IFERROR(
 MID(G22, SEARCH("accportgrp-", LOWER(G22)) + 11, LEN(G22)),
 IFERROR(
  MID(G22, SEARCH("accbundle-", LOWER(G22)) + 10, LEN(G22)),
  IFERROR(
   MID(G22, SEARCH("brkoutportgrp-", LOWER(G22)) + 14, LEN(G22)),
   ""
  )
 )
)</f>
        <v/>
      </c>
    </row>
    <row r="23">
      <c r="A23">
        <f>TRIM(
  _xlfn.IFNA(
    _xlfn.TEXTBEFORE(_xlfn.TEXTAFTER(D23, "Leaf"), "/"),
    _xlfn.TEXTAFTER(
      MID(
        _xlfn.TEXTBEFORE(_xlfn.TEXTAFTER(D23, "INTP_"), "/"),
        16,
        LEN(_xlfn.TEXTBEFORE(_xlfn.TEXTAFTER(D23, "INTP_"), "/"))
      ),
      "_"
    )
  )
)</f>
        <v/>
      </c>
      <c r="B23">
        <f>_xlfn.CONCAT(
  "eth1/",
  _xlfn.IFNA(
    _xlfn.TEXTBEFORE(_xlfn.TEXTAFTER(LOWER(D23),"isel-1."),"-"),
    _xlfn.IFNA(
      _xlfn.TEXTBEFORE(_xlfn.TEXTAFTER(LOWER(D23),"ints_port-"),"-"),
      _xlfn.TEXTBEFORE(_xlfn.TEXTAFTER(LOWER(D23),"inst_port-"),"-")
    )
  )
)</f>
        <v/>
      </c>
      <c r="C23">
        <f>_xlfn.CONCAT(A23,B23)</f>
        <v/>
      </c>
      <c r="D23" t="inlineStr">
        <is>
          <t>uni/infra/accportprof-INTP_2ACI_LO_INGENIE_102/hports-INTS_PORT-10-typ-range/rsaccBas</t>
        </is>
      </c>
      <c r="E23">
        <f>_xlfn.TEXTBEFORE(_xlfn.TEXTAFTER(D23,"accportprof-"),"/")</f>
        <v/>
      </c>
      <c r="F23">
        <f>_xlfn.TEXTBEFORE(_xlfn.TEXTAFTER(D23,"hports-"),"-typ")</f>
        <v/>
      </c>
      <c r="G23" t="inlineStr">
        <is>
          <t>uni/infra/funcprof/accportgrp-PG_ACC_102_1.10</t>
        </is>
      </c>
      <c r="H23">
        <f>IFERROR(
 MID(G23, SEARCH("accportgrp-", LOWER(G23)) + 11, LEN(G23)),
 IFERROR(
  MID(G23, SEARCH("accbundle-", LOWER(G23)) + 10, LEN(G23)),
  IFERROR(
   MID(G23, SEARCH("brkoutportgrp-", LOWER(G23)) + 14, LEN(G23)),
   ""
  )
 )
)</f>
        <v/>
      </c>
    </row>
    <row r="24">
      <c r="A24">
        <f>TRIM(
  _xlfn.IFNA(
    _xlfn.TEXTBEFORE(_xlfn.TEXTAFTER(D24, "Leaf"), "/"),
    _xlfn.TEXTAFTER(
      MID(
        _xlfn.TEXTBEFORE(_xlfn.TEXTAFTER(D24, "INTP_"), "/"),
        16,
        LEN(_xlfn.TEXTBEFORE(_xlfn.TEXTAFTER(D24, "INTP_"), "/"))
      ),
      "_"
    )
  )
)</f>
        <v/>
      </c>
      <c r="B24">
        <f>_xlfn.CONCAT(
  "eth1/",
  _xlfn.IFNA(
    _xlfn.TEXTBEFORE(_xlfn.TEXTAFTER(LOWER(D24),"isel-1."),"-"),
    _xlfn.IFNA(
      _xlfn.TEXTBEFORE(_xlfn.TEXTAFTER(LOWER(D24),"ints_port-"),"-"),
      _xlfn.TEXTBEFORE(_xlfn.TEXTAFTER(LOWER(D24),"inst_port-"),"-")
    )
  )
)</f>
        <v/>
      </c>
      <c r="C24">
        <f>_xlfn.CONCAT(A24,B24)</f>
        <v/>
      </c>
      <c r="D24" t="inlineStr">
        <is>
          <t>uni/infra/accportprof-INTP_2ACI_LO_INGENIE_102/hports-INTS_PORT-48-typ-range/rsaccBas</t>
        </is>
      </c>
      <c r="E24">
        <f>_xlfn.TEXTBEFORE(_xlfn.TEXTAFTER(D24,"accportprof-"),"/")</f>
        <v/>
      </c>
      <c r="F24">
        <f>_xlfn.TEXTBEFORE(_xlfn.TEXTAFTER(D24,"hports-"),"-typ")</f>
        <v/>
      </c>
      <c r="G24" t="inlineStr">
        <is>
          <t>uni/infra/funcprof/accportgrp-PG_ACC_102_1.48</t>
        </is>
      </c>
      <c r="H24">
        <f>IFERROR(
 MID(G24, SEARCH("accportgrp-", LOWER(G24)) + 11, LEN(G24)),
 IFERROR(
  MID(G24, SEARCH("accbundle-", LOWER(G24)) + 10, LEN(G24)),
  IFERROR(
   MID(G24, SEARCH("brkoutportgrp-", LOWER(G24)) + 14, LEN(G24)),
   ""
  )
 )
)</f>
        <v/>
      </c>
    </row>
    <row r="25">
      <c r="A25">
        <f>TRIM(
  _xlfn.IFNA(
    _xlfn.TEXTBEFORE(_xlfn.TEXTAFTER(D25, "Leaf"), "/"),
    _xlfn.TEXTAFTER(
      MID(
        _xlfn.TEXTBEFORE(_xlfn.TEXTAFTER(D25, "INTP_"), "/"),
        16,
        LEN(_xlfn.TEXTBEFORE(_xlfn.TEXTAFTER(D25, "INTP_"), "/"))
      ),
      "_"
    )
  )
)</f>
        <v/>
      </c>
      <c r="B25">
        <f>_xlfn.CONCAT(
  "eth1/",
  _xlfn.IFNA(
    _xlfn.TEXTBEFORE(_xlfn.TEXTAFTER(LOWER(D25),"isel-1."),"-"),
    _xlfn.IFNA(
      _xlfn.TEXTBEFORE(_xlfn.TEXTAFTER(LOWER(D25),"ints_port-"),"-"),
      _xlfn.TEXTBEFORE(_xlfn.TEXTAFTER(LOWER(D25),"inst_port-"),"-")
    )
  )
)</f>
        <v/>
      </c>
      <c r="C25">
        <f>_xlfn.CONCAT(A25,B25)</f>
        <v/>
      </c>
      <c r="D25" t="inlineStr">
        <is>
          <t>uni/infra/accportprof-INTP_2ACI_LO_INGENIE_101/hports-INTS_PORT-7-typ-range/rsaccBase</t>
        </is>
      </c>
      <c r="E25">
        <f>_xlfn.TEXTBEFORE(_xlfn.TEXTAFTER(D25,"accportprof-"),"/")</f>
        <v/>
      </c>
      <c r="F25">
        <f>_xlfn.TEXTBEFORE(_xlfn.TEXTAFTER(D25,"hports-"),"-typ")</f>
        <v/>
      </c>
      <c r="G25" t="inlineStr">
        <is>
          <t>uni/infra/funcprof/accportgrp-PG_ACC_101_1.7</t>
        </is>
      </c>
      <c r="H25">
        <f>IFERROR(
 MID(G25, SEARCH("accportgrp-", LOWER(G25)) + 11, LEN(G25)),
 IFERROR(
  MID(G25, SEARCH("accbundle-", LOWER(G25)) + 10, LEN(G25)),
  IFERROR(
   MID(G25, SEARCH("brkoutportgrp-", LOWER(G25)) + 14, LEN(G25)),
   ""
  )
 )
)</f>
        <v/>
      </c>
    </row>
    <row r="26">
      <c r="A26">
        <f>TRIM(
  _xlfn.IFNA(
    _xlfn.TEXTBEFORE(_xlfn.TEXTAFTER(D26, "Leaf"), "/"),
    _xlfn.TEXTAFTER(
      MID(
        _xlfn.TEXTBEFORE(_xlfn.TEXTAFTER(D26, "INTP_"), "/"),
        16,
        LEN(_xlfn.TEXTBEFORE(_xlfn.TEXTAFTER(D26, "INTP_"), "/"))
      ),
      "_"
    )
  )
)</f>
        <v/>
      </c>
      <c r="B26">
        <f>_xlfn.CONCAT(
  "eth1/",
  _xlfn.IFNA(
    _xlfn.TEXTBEFORE(_xlfn.TEXTAFTER(LOWER(D26),"isel-1."),"-"),
    _xlfn.IFNA(
      _xlfn.TEXTBEFORE(_xlfn.TEXTAFTER(LOWER(D26),"ints_port-"),"-"),
      _xlfn.TEXTBEFORE(_xlfn.TEXTAFTER(LOWER(D26),"inst_port-"),"-")
    )
  )
)</f>
        <v/>
      </c>
      <c r="C26">
        <f>_xlfn.CONCAT(A26,B26)</f>
        <v/>
      </c>
      <c r="D26" t="inlineStr">
        <is>
          <t>uni/infra/accportprof-INTP_2ACI_LO_INGENIE_101/hports-INTS_PORT-45-typ-range/rsaccBas</t>
        </is>
      </c>
      <c r="E26">
        <f>_xlfn.TEXTBEFORE(_xlfn.TEXTAFTER(D26,"accportprof-"),"/")</f>
        <v/>
      </c>
      <c r="F26">
        <f>_xlfn.TEXTBEFORE(_xlfn.TEXTAFTER(D26,"hports-"),"-typ")</f>
        <v/>
      </c>
      <c r="G26" t="inlineStr">
        <is>
          <t>uni/infra/funcprof/accbundle-PG_PC_101_L3_RMAC1</t>
        </is>
      </c>
      <c r="H26">
        <f>IFERROR(
 MID(G26, SEARCH("accportgrp-", LOWER(G26)) + 11, LEN(G26)),
 IFERROR(
  MID(G26, SEARCH("accbundle-", LOWER(G26)) + 10, LEN(G26)),
  IFERROR(
   MID(G26, SEARCH("brkoutportgrp-", LOWER(G26)) + 14, LEN(G26)),
   ""
  )
 )
)</f>
        <v/>
      </c>
    </row>
    <row r="27">
      <c r="A27">
        <f>TRIM(
  _xlfn.IFNA(
    _xlfn.TEXTBEFORE(_xlfn.TEXTAFTER(D27, "Leaf"), "/"),
    _xlfn.TEXTAFTER(
      MID(
        _xlfn.TEXTBEFORE(_xlfn.TEXTAFTER(D27, "INTP_"), "/"),
        16,
        LEN(_xlfn.TEXTBEFORE(_xlfn.TEXTAFTER(D27, "INTP_"), "/"))
      ),
      "_"
    )
  )
)</f>
        <v/>
      </c>
      <c r="B27">
        <f>_xlfn.CONCAT(
  "eth1/",
  _xlfn.IFNA(
    _xlfn.TEXTBEFORE(_xlfn.TEXTAFTER(LOWER(D27),"isel-1."),"-"),
    _xlfn.IFNA(
      _xlfn.TEXTBEFORE(_xlfn.TEXTAFTER(LOWER(D27),"ints_port-"),"-"),
      _xlfn.TEXTBEFORE(_xlfn.TEXTAFTER(LOWER(D27),"inst_port-"),"-")
    )
  )
)</f>
        <v/>
      </c>
      <c r="C27">
        <f>_xlfn.CONCAT(A27,B27)</f>
        <v/>
      </c>
      <c r="D27" t="inlineStr">
        <is>
          <t>uni/infra/accportprof-INTP_2ACI_LO_INGENIE_102/hports-INTS_POR-9-typ-range/rsaccBaseG</t>
        </is>
      </c>
      <c r="E27">
        <f>_xlfn.TEXTBEFORE(_xlfn.TEXTAFTER(D27,"accportprof-"),"/")</f>
        <v/>
      </c>
      <c r="F27">
        <f>_xlfn.TEXTBEFORE(_xlfn.TEXTAFTER(D27,"hports-"),"-typ")</f>
        <v/>
      </c>
      <c r="G27" t="inlineStr">
        <is>
          <t>uni/infra/funcprof/accportgrp-PG_ACC_102_1.9</t>
        </is>
      </c>
      <c r="H27">
        <f>IFERROR(
 MID(G27, SEARCH("accportgrp-", LOWER(G27)) + 11, LEN(G27)),
 IFERROR(
  MID(G27, SEARCH("accbundle-", LOWER(G27)) + 10, LEN(G27)),
  IFERROR(
   MID(G27, SEARCH("brkoutportgrp-", LOWER(G27)) + 14, LEN(G27)),
   ""
  )
 )
)</f>
        <v/>
      </c>
    </row>
    <row r="28">
      <c r="A28">
        <f>TRIM(
  _xlfn.IFNA(
    _xlfn.TEXTBEFORE(_xlfn.TEXTAFTER(D28, "Leaf"), "/"),
    _xlfn.TEXTAFTER(
      MID(
        _xlfn.TEXTBEFORE(_xlfn.TEXTAFTER(D28, "INTP_"), "/"),
        16,
        LEN(_xlfn.TEXTBEFORE(_xlfn.TEXTAFTER(D28, "INTP_"), "/"))
      ),
      "_"
    )
  )
)</f>
        <v/>
      </c>
      <c r="B28">
        <f>_xlfn.CONCAT(
  "eth1/",
  _xlfn.IFNA(
    _xlfn.TEXTBEFORE(_xlfn.TEXTAFTER(LOWER(D28),"isel-1."),"-"),
    _xlfn.IFNA(
      _xlfn.TEXTBEFORE(_xlfn.TEXTAFTER(LOWER(D28),"ints_port-"),"-"),
      _xlfn.TEXTBEFORE(_xlfn.TEXTAFTER(LOWER(D28),"inst_port-"),"-")
    )
  )
)</f>
        <v/>
      </c>
      <c r="C28">
        <f>_xlfn.CONCAT(A28,B28)</f>
        <v/>
      </c>
      <c r="D28" t="inlineStr">
        <is>
          <t>uni/infra/accportprof-INTP_2ACI_LO_INGENIE_102/hports-INTS_PORT-38-typ-range/rsaccBas</t>
        </is>
      </c>
      <c r="E28">
        <f>_xlfn.TEXTBEFORE(_xlfn.TEXTAFTER(D28,"accportprof-"),"/")</f>
        <v/>
      </c>
      <c r="F28">
        <f>_xlfn.TEXTBEFORE(_xlfn.TEXTAFTER(D28,"hports-"),"-typ")</f>
        <v/>
      </c>
      <c r="G28" t="inlineStr">
        <is>
          <t>uni/infra/funcprof/accbundle-PG_PC_102_L3_RMAC2</t>
        </is>
      </c>
      <c r="H28">
        <f>IFERROR(
 MID(G28, SEARCH("accportgrp-", LOWER(G28)) + 11, LEN(G28)),
 IFERROR(
  MID(G28, SEARCH("accbundle-", LOWER(G28)) + 10, LEN(G28)),
  IFERROR(
   MID(G28, SEARCH("brkoutportgrp-", LOWER(G28)) + 14, LEN(G28)),
   ""
  )
 )
)</f>
        <v/>
      </c>
    </row>
    <row r="29">
      <c r="A29">
        <f>TRIM(
  _xlfn.IFNA(
    _xlfn.TEXTBEFORE(_xlfn.TEXTAFTER(D29, "Leaf"), "/"),
    _xlfn.TEXTAFTER(
      MID(
        _xlfn.TEXTBEFORE(_xlfn.TEXTAFTER(D29, "INTP_"), "/"),
        16,
        LEN(_xlfn.TEXTBEFORE(_xlfn.TEXTAFTER(D29, "INTP_"), "/"))
      ),
      "_"
    )
  )
)</f>
        <v/>
      </c>
      <c r="B29">
        <f>_xlfn.CONCAT(
  "eth1/",
  _xlfn.IFNA(
    _xlfn.TEXTBEFORE(_xlfn.TEXTAFTER(LOWER(D29),"isel-1."),"-"),
    _xlfn.IFNA(
      _xlfn.TEXTBEFORE(_xlfn.TEXTAFTER(LOWER(D29),"ints_port-"),"-"),
      _xlfn.TEXTBEFORE(_xlfn.TEXTAFTER(LOWER(D29),"inst_port-"),"-")
    )
  )
)</f>
        <v/>
      </c>
      <c r="C29">
        <f>_xlfn.CONCAT(A29,B29)</f>
        <v/>
      </c>
      <c r="D29" t="inlineStr">
        <is>
          <t>uni/infra/accportprof-INTP_2ACI_LO_INGENIE_101/hports-INTS_PORT-12-typ-range/rsaccBas</t>
        </is>
      </c>
      <c r="E29">
        <f>_xlfn.TEXTBEFORE(_xlfn.TEXTAFTER(D29,"accportprof-"),"/")</f>
        <v/>
      </c>
      <c r="F29">
        <f>_xlfn.TEXTBEFORE(_xlfn.TEXTAFTER(D29,"hports-"),"-typ")</f>
        <v/>
      </c>
      <c r="G29" t="inlineStr">
        <is>
          <t>uni/infra/funcprof/accportgrp-PG_ACC_101_1.12</t>
        </is>
      </c>
      <c r="H29">
        <f>IFERROR(
 MID(G29, SEARCH("accportgrp-", LOWER(G29)) + 11, LEN(G29)),
 IFERROR(
  MID(G29, SEARCH("accbundle-", LOWER(G29)) + 10, LEN(G29)),
  IFERROR(
   MID(G29, SEARCH("brkoutportgrp-", LOWER(G29)) + 14, LEN(G29)),
   ""
  )
 )
)</f>
        <v/>
      </c>
    </row>
    <row r="30">
      <c r="A30">
        <f>TRIM(
  _xlfn.IFNA(
    _xlfn.TEXTBEFORE(_xlfn.TEXTAFTER(D30, "Leaf"), "/"),
    _xlfn.TEXTAFTER(
      MID(
        _xlfn.TEXTBEFORE(_xlfn.TEXTAFTER(D30, "INTP_"), "/"),
        16,
        LEN(_xlfn.TEXTBEFORE(_xlfn.TEXTAFTER(D30, "INTP_"), "/"))
      ),
      "_"
    )
  )
)</f>
        <v/>
      </c>
      <c r="B30">
        <f>_xlfn.CONCAT(
  "eth1/",
  _xlfn.IFNA(
    _xlfn.TEXTBEFORE(_xlfn.TEXTAFTER(LOWER(D30),"isel-1."),"-"),
    _xlfn.IFNA(
      _xlfn.TEXTBEFORE(_xlfn.TEXTAFTER(LOWER(D30),"ints_port-"),"-"),
      _xlfn.TEXTBEFORE(_xlfn.TEXTAFTER(LOWER(D30),"inst_port-"),"-")
    )
  )
)</f>
        <v/>
      </c>
      <c r="C30">
        <f>_xlfn.CONCAT(A30,B30)</f>
        <v/>
      </c>
      <c r="D30" t="inlineStr">
        <is>
          <t>uni/infra/accportprof-INTP_2ACI_LO_INGENIE_101/hports-INTS_PORT-38-typ-range/rsaccBas</t>
        </is>
      </c>
      <c r="E30">
        <f>_xlfn.TEXTBEFORE(_xlfn.TEXTAFTER(D30,"accportprof-"),"/")</f>
        <v/>
      </c>
      <c r="F30">
        <f>_xlfn.TEXTBEFORE(_xlfn.TEXTAFTER(D30,"hports-"),"-typ")</f>
        <v/>
      </c>
      <c r="G30" t="inlineStr">
        <is>
          <t>uni/infra/funcprof/accbundle-PG_PC_101_L3_RMAC1</t>
        </is>
      </c>
      <c r="H30">
        <f>IFERROR(
 MID(G30, SEARCH("accportgrp-", LOWER(G30)) + 11, LEN(G30)),
 IFERROR(
  MID(G30, SEARCH("accbundle-", LOWER(G30)) + 10, LEN(G30)),
  IFERROR(
   MID(G30, SEARCH("brkoutportgrp-", LOWER(G30)) + 14, LEN(G30)),
   ""
  )
 )
)</f>
        <v/>
      </c>
    </row>
    <row r="31">
      <c r="A31">
        <f>TRIM(
  _xlfn.IFNA(
    _xlfn.TEXTBEFORE(_xlfn.TEXTAFTER(D31, "Leaf"), "/"),
    _xlfn.TEXTAFTER(
      MID(
        _xlfn.TEXTBEFORE(_xlfn.TEXTAFTER(D31, "INTP_"), "/"),
        16,
        LEN(_xlfn.TEXTBEFORE(_xlfn.TEXTAFTER(D31, "INTP_"), "/"))
      ),
      "_"
    )
  )
)</f>
        <v/>
      </c>
      <c r="B31">
        <f>_xlfn.CONCAT(
  "eth1/",
  _xlfn.IFNA(
    _xlfn.TEXTBEFORE(_xlfn.TEXTAFTER(LOWER(D31),"isel-1."),"-"),
    _xlfn.IFNA(
      _xlfn.TEXTBEFORE(_xlfn.TEXTAFTER(LOWER(D31),"ints_port-"),"-"),
      _xlfn.TEXTBEFORE(_xlfn.TEXTAFTER(LOWER(D31),"inst_port-"),"-")
    )
  )
)</f>
        <v/>
      </c>
      <c r="C31">
        <f>_xlfn.CONCAT(A31,B31)</f>
        <v/>
      </c>
      <c r="D31" t="inlineStr">
        <is>
          <t>uni/infra/accportprof-INTP_2ACI_LO_INGENIE_101/hports-INTS_PORT-11-typ-range/rsaccBas</t>
        </is>
      </c>
      <c r="E31">
        <f>_xlfn.TEXTBEFORE(_xlfn.TEXTAFTER(D31,"accportprof-"),"/")</f>
        <v/>
      </c>
      <c r="F31">
        <f>_xlfn.TEXTBEFORE(_xlfn.TEXTAFTER(D31,"hports-"),"-typ")</f>
        <v/>
      </c>
      <c r="G31" t="inlineStr">
        <is>
          <t>uni/infra/funcprof/accportgrp-PG_ACC_101_1.11</t>
        </is>
      </c>
      <c r="H31">
        <f>IFERROR(
 MID(G31, SEARCH("accportgrp-", LOWER(G31)) + 11, LEN(G31)),
 IFERROR(
  MID(G31, SEARCH("accbundle-", LOWER(G31)) + 10, LEN(G31)),
  IFERROR(
   MID(G31, SEARCH("brkoutportgrp-", LOWER(G31)) + 14, LEN(G31)),
   ""
  )
 )
)</f>
        <v/>
      </c>
    </row>
    <row r="32">
      <c r="A32">
        <f>TRIM(
  _xlfn.IFNA(
    _xlfn.TEXTBEFORE(_xlfn.TEXTAFTER(D32, "Leaf"), "/"),
    _xlfn.TEXTAFTER(
      MID(
        _xlfn.TEXTBEFORE(_xlfn.TEXTAFTER(D32, "INTP_"), "/"),
        16,
        LEN(_xlfn.TEXTBEFORE(_xlfn.TEXTAFTER(D32, "INTP_"), "/"))
      ),
      "_"
    )
  )
)</f>
        <v/>
      </c>
      <c r="B32">
        <f>_xlfn.CONCAT(
  "eth1/",
  _xlfn.IFNA(
    _xlfn.TEXTBEFORE(_xlfn.TEXTAFTER(LOWER(D32),"isel-1."),"-"),
    _xlfn.IFNA(
      _xlfn.TEXTBEFORE(_xlfn.TEXTAFTER(LOWER(D32),"ints_port-"),"-"),
      _xlfn.TEXTBEFORE(_xlfn.TEXTAFTER(LOWER(D32),"inst_port-"),"-")
    )
  )
)</f>
        <v/>
      </c>
      <c r="C32">
        <f>_xlfn.CONCAT(A32,B32)</f>
        <v/>
      </c>
      <c r="D32" t="inlineStr">
        <is>
          <t>uni/infra/accportprof-INTP_2ACI_LO_INGENIE_101/hports-INTS_PORT-48-typ-range/rsaccBas</t>
        </is>
      </c>
      <c r="E32">
        <f>_xlfn.TEXTBEFORE(_xlfn.TEXTAFTER(D32,"accportprof-"),"/")</f>
        <v/>
      </c>
      <c r="F32">
        <f>_xlfn.TEXTBEFORE(_xlfn.TEXTAFTER(D32,"hports-"),"-typ")</f>
        <v/>
      </c>
      <c r="G32" t="inlineStr">
        <is>
          <t>uni/infra/funcprof/accportgrp-PG_ACC_101_1.48</t>
        </is>
      </c>
      <c r="H32">
        <f>IFERROR(
 MID(G32, SEARCH("accportgrp-", LOWER(G32)) + 11, LEN(G32)),
 IFERROR(
  MID(G32, SEARCH("accbundle-", LOWER(G32)) + 10, LEN(G32)),
  IFERROR(
   MID(G32, SEARCH("brkoutportgrp-", LOWER(G32)) + 14, LEN(G32)),
   ""
  )
 )
)</f>
        <v/>
      </c>
    </row>
    <row r="33">
      <c r="A33">
        <f>TRIM(
  _xlfn.IFNA(
    _xlfn.TEXTBEFORE(_xlfn.TEXTAFTER(D33, "Leaf"), "/"),
    _xlfn.TEXTAFTER(
      MID(
        _xlfn.TEXTBEFORE(_xlfn.TEXTAFTER(D33, "INTP_"), "/"),
        16,
        LEN(_xlfn.TEXTBEFORE(_xlfn.TEXTAFTER(D33, "INTP_"), "/"))
      ),
      "_"
    )
  )
)</f>
        <v/>
      </c>
      <c r="B33">
        <f>_xlfn.CONCAT(
  "eth1/",
  _xlfn.IFNA(
    _xlfn.TEXTBEFORE(_xlfn.TEXTAFTER(LOWER(D33),"isel-1."),"-"),
    _xlfn.IFNA(
      _xlfn.TEXTBEFORE(_xlfn.TEXTAFTER(LOWER(D33),"ints_port-"),"-"),
      _xlfn.TEXTBEFORE(_xlfn.TEXTAFTER(LOWER(D33),"inst_port-"),"-")
    )
  )
)</f>
        <v/>
      </c>
      <c r="C33">
        <f>_xlfn.CONCAT(A33,B33)</f>
        <v/>
      </c>
      <c r="D33" t="inlineStr">
        <is>
          <t>uni/infra/accportprof-INTP_2ACI_LO_INGENIE_101/hports-INTS_PORT-36-typ-range/rsaccBas</t>
        </is>
      </c>
      <c r="E33">
        <f>_xlfn.TEXTBEFORE(_xlfn.TEXTAFTER(D33,"accportprof-"),"/")</f>
        <v/>
      </c>
      <c r="F33">
        <f>_xlfn.TEXTBEFORE(_xlfn.TEXTAFTER(D33,"hports-"),"-typ")</f>
        <v/>
      </c>
      <c r="G33" t="inlineStr">
        <is>
          <t>uni/infra/funcprof/accportgrp-PG_ACC_L2_SMAC1</t>
        </is>
      </c>
      <c r="H33">
        <f>IFERROR(
 MID(G33, SEARCH("accportgrp-", LOWER(G33)) + 11, LEN(G33)),
 IFERROR(
  MID(G33, SEARCH("accbundle-", LOWER(G33)) + 10, LEN(G33)),
  IFERROR(
   MID(G33, SEARCH("brkoutportgrp-", LOWER(G33)) + 14, LEN(G33)),
   ""
  )
 )
)</f>
        <v/>
      </c>
    </row>
    <row r="34">
      <c r="A34">
        <f>TRIM(
  _xlfn.IFNA(
    _xlfn.TEXTBEFORE(_xlfn.TEXTAFTER(D34, "Leaf"), "/"),
    _xlfn.TEXTAFTER(
      MID(
        _xlfn.TEXTBEFORE(_xlfn.TEXTAFTER(D34, "INTP_"), "/"),
        16,
        LEN(_xlfn.TEXTBEFORE(_xlfn.TEXTAFTER(D34, "INTP_"), "/"))
      ),
      "_"
    )
  )
)</f>
        <v/>
      </c>
      <c r="B34">
        <f>_xlfn.CONCAT(
  "eth1/",
  _xlfn.IFNA(
    _xlfn.TEXTBEFORE(_xlfn.TEXTAFTER(LOWER(D34),"isel-1."),"-"),
    _xlfn.IFNA(
      _xlfn.TEXTBEFORE(_xlfn.TEXTAFTER(LOWER(D34),"ints_port-"),"-"),
      _xlfn.TEXTBEFORE(_xlfn.TEXTAFTER(LOWER(D34),"inst_port-"),"-")
    )
  )
)</f>
        <v/>
      </c>
      <c r="C34">
        <f>_xlfn.CONCAT(A34,B34)</f>
        <v/>
      </c>
      <c r="D34" t="inlineStr">
        <is>
          <t>uni/infra/accportprof-INTP_2ACI_LO_INGENIE_101/hports-INTS_PORT-46-typ-range/rsaccBas</t>
        </is>
      </c>
      <c r="E34">
        <f>_xlfn.TEXTBEFORE(_xlfn.TEXTAFTER(D34,"accportprof-"),"/")</f>
        <v/>
      </c>
      <c r="F34">
        <f>_xlfn.TEXTBEFORE(_xlfn.TEXTAFTER(D34,"hports-"),"-typ")</f>
        <v/>
      </c>
      <c r="G34" t="inlineStr">
        <is>
          <t>uni/infra/funcprof/accportgrp-PG_ACC_101_1.46</t>
        </is>
      </c>
      <c r="H34">
        <f>IFERROR(
 MID(G34, SEARCH("accportgrp-", LOWER(G34)) + 11, LEN(G34)),
 IFERROR(
  MID(G34, SEARCH("accbundle-", LOWER(G34)) + 10, LEN(G34)),
  IFERROR(
   MID(G34, SEARCH("brkoutportgrp-", LOWER(G34)) + 14, LEN(G34)),
   ""
  )
 )
)</f>
        <v/>
      </c>
    </row>
    <row r="35">
      <c r="A35">
        <f>TRIM(
  _xlfn.IFNA(
    _xlfn.TEXTBEFORE(_xlfn.TEXTAFTER(D35, "Leaf"), "/"),
    _xlfn.TEXTAFTER(
      MID(
        _xlfn.TEXTBEFORE(_xlfn.TEXTAFTER(D35, "INTP_"), "/"),
        16,
        LEN(_xlfn.TEXTBEFORE(_xlfn.TEXTAFTER(D35, "INTP_"), "/"))
      ),
      "_"
    )
  )
)</f>
        <v/>
      </c>
      <c r="B35">
        <f>_xlfn.CONCAT(
  "eth1/",
  _xlfn.IFNA(
    _xlfn.TEXTBEFORE(_xlfn.TEXTAFTER(LOWER(D35),"isel-1."),"-"),
    _xlfn.IFNA(
      _xlfn.TEXTBEFORE(_xlfn.TEXTAFTER(LOWER(D35),"ints_port-"),"-"),
      _xlfn.TEXTBEFORE(_xlfn.TEXTAFTER(LOWER(D35),"inst_port-"),"-")
    )
  )
)</f>
        <v/>
      </c>
      <c r="C35">
        <f>_xlfn.CONCAT(A35,B35)</f>
        <v/>
      </c>
      <c r="D35" t="inlineStr">
        <is>
          <t>uni/infra/accportprof-INTP_2ACI_LO_INGENIE_101/hports-INTS_PORT-13-typ-range/rsaccBas</t>
        </is>
      </c>
      <c r="E35">
        <f>_xlfn.TEXTBEFORE(_xlfn.TEXTAFTER(D35,"accportprof-"),"/")</f>
        <v/>
      </c>
      <c r="F35">
        <f>_xlfn.TEXTBEFORE(_xlfn.TEXTAFTER(D35,"hports-"),"-typ")</f>
        <v/>
      </c>
      <c r="G35" t="inlineStr">
        <is>
          <t>uni/infra/funcprof/accportgrp-PG_ACC_101_1.13</t>
        </is>
      </c>
      <c r="H35">
        <f>IFERROR(
 MID(G35, SEARCH("accportgrp-", LOWER(G35)) + 11, LEN(G35)),
 IFERROR(
  MID(G35, SEARCH("accbundle-", LOWER(G35)) + 10, LEN(G35)),
  IFERROR(
   MID(G35, SEARCH("brkoutportgrp-", LOWER(G35)) + 14, LEN(G35)),
   ""
  )
 )
)</f>
        <v/>
      </c>
    </row>
    <row r="36">
      <c r="A36">
        <f>TRIM(
  _xlfn.IFNA(
    _xlfn.TEXTBEFORE(_xlfn.TEXTAFTER(D36, "Leaf"), "/"),
    _xlfn.TEXTAFTER(
      MID(
        _xlfn.TEXTBEFORE(_xlfn.TEXTAFTER(D36, "INTP_"), "/"),
        16,
        LEN(_xlfn.TEXTBEFORE(_xlfn.TEXTAFTER(D36, "INTP_"), "/"))
      ),
      "_"
    )
  )
)</f>
        <v/>
      </c>
      <c r="B36">
        <f>_xlfn.CONCAT(
  "eth1/",
  _xlfn.IFNA(
    _xlfn.TEXTBEFORE(_xlfn.TEXTAFTER(LOWER(D36),"isel-1."),"-"),
    _xlfn.IFNA(
      _xlfn.TEXTBEFORE(_xlfn.TEXTAFTER(LOWER(D36),"ints_port-"),"-"),
      _xlfn.TEXTBEFORE(_xlfn.TEXTAFTER(LOWER(D36),"inst_port-"),"-")
    )
  )
)</f>
        <v/>
      </c>
      <c r="C36">
        <f>_xlfn.CONCAT(A36,B36)</f>
        <v/>
      </c>
      <c r="D36" t="inlineStr">
        <is>
          <t>uni/infra/accportprof-INTP_2ACI_LO_INGENIE_102/hports-INTS_PORT-40-typ-range/rsaccBas</t>
        </is>
      </c>
      <c r="E36">
        <f>_xlfn.TEXTBEFORE(_xlfn.TEXTAFTER(D36,"accportprof-"),"/")</f>
        <v/>
      </c>
      <c r="F36">
        <f>_xlfn.TEXTBEFORE(_xlfn.TEXTAFTER(D36,"hports-"),"-typ")</f>
        <v/>
      </c>
      <c r="G36" t="inlineStr">
        <is>
          <t>uni/infra/funcprof/accbundle-PG_PC_L2_RMAC2</t>
        </is>
      </c>
      <c r="H36">
        <f>IFERROR(
 MID(G36, SEARCH("accportgrp-", LOWER(G36)) + 11, LEN(G36)),
 IFERROR(
  MID(G36, SEARCH("accbundle-", LOWER(G36)) + 10, LEN(G36)),
  IFERROR(
   MID(G36, SEARCH("brkoutportgrp-", LOWER(G36)) + 14, LEN(G36)),
   ""
  )
 )
)</f>
        <v/>
      </c>
    </row>
    <row r="37">
      <c r="A37">
        <f>TRIM(
  _xlfn.IFNA(
    _xlfn.TEXTBEFORE(_xlfn.TEXTAFTER(D37, "Leaf"), "/"),
    _xlfn.TEXTAFTER(
      MID(
        _xlfn.TEXTBEFORE(_xlfn.TEXTAFTER(D37, "INTP_"), "/"),
        16,
        LEN(_xlfn.TEXTBEFORE(_xlfn.TEXTAFTER(D37, "INTP_"), "/"))
      ),
      "_"
    )
  )
)</f>
        <v/>
      </c>
      <c r="B37">
        <f>_xlfn.CONCAT(
  "eth1/",
  _xlfn.IFNA(
    _xlfn.TEXTBEFORE(_xlfn.TEXTAFTER(LOWER(D37),"isel-1."),"-"),
    _xlfn.IFNA(
      _xlfn.TEXTBEFORE(_xlfn.TEXTAFTER(LOWER(D37),"ints_port-"),"-"),
      _xlfn.TEXTBEFORE(_xlfn.TEXTAFTER(LOWER(D37),"inst_port-"),"-")
    )
  )
)</f>
        <v/>
      </c>
      <c r="C37">
        <f>_xlfn.CONCAT(A37,B37)</f>
        <v/>
      </c>
      <c r="D37" t="inlineStr">
        <is>
          <t>uni/infra/accportprof-INTP_2ACI_LO_INGENIE_102/hports-INTS_PORT-47-typ-range/rsaccBas</t>
        </is>
      </c>
      <c r="E37">
        <f>_xlfn.TEXTBEFORE(_xlfn.TEXTAFTER(D37,"accportprof-"),"/")</f>
        <v/>
      </c>
      <c r="F37">
        <f>_xlfn.TEXTBEFORE(_xlfn.TEXTAFTER(D37,"hports-"),"-typ")</f>
        <v/>
      </c>
      <c r="G37" t="inlineStr">
        <is>
          <t>uni/infra/funcprof/accportgrp-PG_ACC_102_1.47</t>
        </is>
      </c>
      <c r="H37">
        <f>IFERROR(
 MID(G37, SEARCH("accportgrp-", LOWER(G37)) + 11, LEN(G37)),
 IFERROR(
  MID(G37, SEARCH("accbundle-", LOWER(G37)) + 10, LEN(G37)),
  IFERROR(
   MID(G37, SEARCH("brkoutportgrp-", LOWER(G37)) + 14, LEN(G37)),
   ""
  )
 )
)</f>
        <v/>
      </c>
    </row>
    <row r="38">
      <c r="A38">
        <f>TRIM(
  _xlfn.IFNA(
    _xlfn.TEXTBEFORE(_xlfn.TEXTAFTER(D38, "Leaf"), "/"),
    _xlfn.TEXTAFTER(
      MID(
        _xlfn.TEXTBEFORE(_xlfn.TEXTAFTER(D38, "INTP_"), "/"),
        16,
        LEN(_xlfn.TEXTBEFORE(_xlfn.TEXTAFTER(D38, "INTP_"), "/"))
      ),
      "_"
    )
  )
)</f>
        <v/>
      </c>
      <c r="B38">
        <f>_xlfn.CONCAT(
  "eth1/",
  _xlfn.IFNA(
    _xlfn.TEXTBEFORE(_xlfn.TEXTAFTER(LOWER(D38),"isel-1."),"-"),
    _xlfn.IFNA(
      _xlfn.TEXTBEFORE(_xlfn.TEXTAFTER(LOWER(D38),"ints_port-"),"-"),
      _xlfn.TEXTBEFORE(_xlfn.TEXTAFTER(LOWER(D38),"inst_port-"),"-")
    )
  )
)</f>
        <v/>
      </c>
      <c r="C38">
        <f>_xlfn.CONCAT(A38,B38)</f>
        <v/>
      </c>
      <c r="D38" t="inlineStr">
        <is>
          <t>uni/infra/accportprof-INTP_2ACI_LO_INGENIE_102/hports-INTS_PORT-8-typ-range/rsaccBase</t>
        </is>
      </c>
      <c r="E38">
        <f>_xlfn.TEXTBEFORE(_xlfn.TEXTAFTER(D38,"accportprof-"),"/")</f>
        <v/>
      </c>
      <c r="F38">
        <f>_xlfn.TEXTBEFORE(_xlfn.TEXTAFTER(D38,"hports-"),"-typ")</f>
        <v/>
      </c>
      <c r="G38" t="inlineStr">
        <is>
          <t>uni/infra/funcprof/accportgrp-PG_ACC_102_1.8</t>
        </is>
      </c>
      <c r="H38">
        <f>IFERROR(
 MID(G38, SEARCH("accportgrp-", LOWER(G38)) + 11, LEN(G38)),
 IFERROR(
  MID(G38, SEARCH("accbundle-", LOWER(G38)) + 10, LEN(G38)),
  IFERROR(
   MID(G38, SEARCH("brkoutportgrp-", LOWER(G38)) + 14, LEN(G38)),
   ""
  )
 )
)</f>
        <v/>
      </c>
    </row>
    <row r="39">
      <c r="A39">
        <f>TRIM(
  _xlfn.IFNA(
    _xlfn.TEXTBEFORE(_xlfn.TEXTAFTER(D39, "Leaf"), "/"),
    _xlfn.TEXTAFTER(
      MID(
        _xlfn.TEXTBEFORE(_xlfn.TEXTAFTER(D39, "INTP_"), "/"),
        16,
        LEN(_xlfn.TEXTBEFORE(_xlfn.TEXTAFTER(D39, "INTP_"), "/"))
      ),
      "_"
    )
  )
)</f>
        <v/>
      </c>
      <c r="B39">
        <f>_xlfn.CONCAT(
  "eth1/",
  _xlfn.IFNA(
    _xlfn.TEXTBEFORE(_xlfn.TEXTAFTER(LOWER(D39),"isel-1."),"-"),
    _xlfn.IFNA(
      _xlfn.TEXTBEFORE(_xlfn.TEXTAFTER(LOWER(D39),"ints_port-"),"-"),
      _xlfn.TEXTBEFORE(_xlfn.TEXTAFTER(LOWER(D39),"inst_port-"),"-")
    )
  )
)</f>
        <v/>
      </c>
      <c r="C39">
        <f>_xlfn.CONCAT(A39,B39)</f>
        <v/>
      </c>
      <c r="D39" t="inlineStr">
        <is>
          <t>uni/infra/accportprof-INTP_2ACI_LO_INGENIE_102/hports-INTS_PORT-36-typ-range/rsaccBas</t>
        </is>
      </c>
      <c r="E39">
        <f>_xlfn.TEXTBEFORE(_xlfn.TEXTAFTER(D39,"accportprof-"),"/")</f>
        <v/>
      </c>
      <c r="F39">
        <f>_xlfn.TEXTBEFORE(_xlfn.TEXTAFTER(D39,"hports-"),"-typ")</f>
        <v/>
      </c>
      <c r="G39" t="inlineStr">
        <is>
          <t>uni/infra/funcprof/accportgrp-PG_ACC_L2_SMAC2</t>
        </is>
      </c>
      <c r="H39">
        <f>IFERROR(
 MID(G39, SEARCH("accportgrp-", LOWER(G39)) + 11, LEN(G39)),
 IFERROR(
  MID(G39, SEARCH("accbundle-", LOWER(G39)) + 10, LEN(G39)),
  IFERROR(
   MID(G39, SEARCH("brkoutportgrp-", LOWER(G39)) + 14, LEN(G39)),
   ""
  )
 )
)</f>
        <v/>
      </c>
    </row>
    <row r="40">
      <c r="A40">
        <f>TRIM(
  _xlfn.IFNA(
    _xlfn.TEXTBEFORE(_xlfn.TEXTAFTER(D40, "Leaf"), "/"),
    _xlfn.TEXTAFTER(
      MID(
        _xlfn.TEXTBEFORE(_xlfn.TEXTAFTER(D40, "INTP_"), "/"),
        16,
        LEN(_xlfn.TEXTBEFORE(_xlfn.TEXTAFTER(D40, "INTP_"), "/"))
      ),
      "_"
    )
  )
)</f>
        <v/>
      </c>
      <c r="B40">
        <f>_xlfn.CONCAT(
  "eth1/",
  _xlfn.IFNA(
    _xlfn.TEXTBEFORE(_xlfn.TEXTAFTER(LOWER(D40),"isel-1."),"-"),
    _xlfn.IFNA(
      _xlfn.TEXTBEFORE(_xlfn.TEXTAFTER(LOWER(D40),"ints_port-"),"-"),
      _xlfn.TEXTBEFORE(_xlfn.TEXTAFTER(LOWER(D40),"inst_port-"),"-")
    )
  )
)</f>
        <v/>
      </c>
      <c r="C40">
        <f>_xlfn.CONCAT(A40,B40)</f>
        <v/>
      </c>
      <c r="D40" t="inlineStr">
        <is>
          <t>uni/infra/accportprof-INTP_2ACI_LO_INGENIE_102/hports-INTS_PORT-46-typ-range/rsaccBas</t>
        </is>
      </c>
      <c r="E40">
        <f>_xlfn.TEXTBEFORE(_xlfn.TEXTAFTER(D40,"accportprof-"),"/")</f>
        <v/>
      </c>
      <c r="F40">
        <f>_xlfn.TEXTBEFORE(_xlfn.TEXTAFTER(D40,"hports-"),"-typ")</f>
        <v/>
      </c>
      <c r="G40" t="inlineStr">
        <is>
          <t>uni/infra/funcprof/accportgrp-PG_ACC_102_1.46</t>
        </is>
      </c>
      <c r="H40">
        <f>IFERROR(
 MID(G40, SEARCH("accportgrp-", LOWER(G40)) + 11, LEN(G40)),
 IFERROR(
  MID(G40, SEARCH("accbundle-", LOWER(G40)) + 10, LEN(G40)),
  IFERROR(
   MID(G40, SEARCH("brkoutportgrp-", LOWER(G40)) + 14, LEN(G40)),
   ""
  )
 )
)</f>
        <v/>
      </c>
    </row>
    <row r="41">
      <c r="A41">
        <f>TRIM(
  _xlfn.IFNA(
    _xlfn.TEXTBEFORE(_xlfn.TEXTAFTER(D41, "Leaf"), "/"),
    _xlfn.TEXTAFTER(
      MID(
        _xlfn.TEXTBEFORE(_xlfn.TEXTAFTER(D41, "INTP_"), "/"),
        16,
        LEN(_xlfn.TEXTBEFORE(_xlfn.TEXTAFTER(D41, "INTP_"), "/"))
      ),
      "_"
    )
  )
)</f>
        <v/>
      </c>
      <c r="B41">
        <f>_xlfn.CONCAT(
  "eth1/",
  _xlfn.IFNA(
    _xlfn.TEXTBEFORE(_xlfn.TEXTAFTER(LOWER(D41),"isel-1."),"-"),
    _xlfn.IFNA(
      _xlfn.TEXTBEFORE(_xlfn.TEXTAFTER(LOWER(D41),"ints_port-"),"-"),
      _xlfn.TEXTBEFORE(_xlfn.TEXTAFTER(LOWER(D41),"inst_port-"),"-")
    )
  )
)</f>
        <v/>
      </c>
      <c r="C41">
        <f>_xlfn.CONCAT(A41,B41)</f>
        <v/>
      </c>
      <c r="D41" t="inlineStr">
        <is>
          <t>uni/infra/accportprof-INTP_2ACI_LO_INGENIE_102/hports-INTS_PORT-7-typ-range/rsaccBase</t>
        </is>
      </c>
      <c r="E41">
        <f>_xlfn.TEXTBEFORE(_xlfn.TEXTAFTER(D41,"accportprof-"),"/")</f>
        <v/>
      </c>
      <c r="F41">
        <f>_xlfn.TEXTBEFORE(_xlfn.TEXTAFTER(D41,"hports-"),"-typ")</f>
        <v/>
      </c>
      <c r="G41" t="inlineStr">
        <is>
          <t>uni/infra/funcprof/accportgrp-PG_ACC_102_1.7</t>
        </is>
      </c>
      <c r="H41">
        <f>IFERROR(
 MID(G41, SEARCH("accportgrp-", LOWER(G41)) + 11, LEN(G41)),
 IFERROR(
  MID(G41, SEARCH("accbundle-", LOWER(G41)) + 10, LEN(G41)),
  IFERROR(
   MID(G41, SEARCH("brkoutportgrp-", LOWER(G41)) + 14, LEN(G41)),
   ""
  )
 )
)</f>
        <v/>
      </c>
    </row>
    <row r="42">
      <c r="A42">
        <f>TRIM(
  _xlfn.IFNA(
    _xlfn.TEXTBEFORE(_xlfn.TEXTAFTER(D42, "Leaf"), "/"),
    _xlfn.TEXTAFTER(
      MID(
        _xlfn.TEXTBEFORE(_xlfn.TEXTAFTER(D42, "INTP_"), "/"),
        16,
        LEN(_xlfn.TEXTBEFORE(_xlfn.TEXTAFTER(D42, "INTP_"), "/"))
      ),
      "_"
    )
  )
)</f>
        <v/>
      </c>
      <c r="B42">
        <f>_xlfn.CONCAT(
  "eth1/",
  _xlfn.IFNA(
    _xlfn.TEXTBEFORE(_xlfn.TEXTAFTER(LOWER(D42),"isel-1."),"-"),
    _xlfn.IFNA(
      _xlfn.TEXTBEFORE(_xlfn.TEXTAFTER(LOWER(D42),"ints_port-"),"-"),
      _xlfn.TEXTBEFORE(_xlfn.TEXTAFTER(LOWER(D42),"inst_port-"),"-")
    )
  )
)</f>
        <v/>
      </c>
      <c r="C42">
        <f>_xlfn.CONCAT(A42,B42)</f>
        <v/>
      </c>
      <c r="D42" t="inlineStr">
        <is>
          <t>uni/infra/accportprof-INTP_2ACI_LO_INGENIE_102/hports-INTS_PORT-6-typ-range/rsaccBase</t>
        </is>
      </c>
      <c r="E42">
        <f>_xlfn.TEXTBEFORE(_xlfn.TEXTAFTER(D42,"accportprof-"),"/")</f>
        <v/>
      </c>
      <c r="F42">
        <f>_xlfn.TEXTBEFORE(_xlfn.TEXTAFTER(D42,"hports-"),"-typ")</f>
        <v/>
      </c>
      <c r="G42" t="inlineStr">
        <is>
          <t>uni/infra/funcprof/accportgrp-PG_ACC_102_1.6</t>
        </is>
      </c>
      <c r="H42">
        <f>IFERROR(
 MID(G42, SEARCH("accportgrp-", LOWER(G42)) + 11, LEN(G42)),
 IFERROR(
  MID(G42, SEARCH("accbundle-", LOWER(G42)) + 10, LEN(G42)),
  IFERROR(
   MID(G42, SEARCH("brkoutportgrp-", LOWER(G42)) + 14, LEN(G42)),
   ""
  )
 )
)</f>
        <v/>
      </c>
    </row>
    <row r="43">
      <c r="A43">
        <f>TRIM(
  _xlfn.IFNA(
    _xlfn.TEXTBEFORE(_xlfn.TEXTAFTER(D43, "Leaf"), "/"),
    _xlfn.TEXTAFTER(
      MID(
        _xlfn.TEXTBEFORE(_xlfn.TEXTAFTER(D43, "INTP_"), "/"),
        16,
        LEN(_xlfn.TEXTBEFORE(_xlfn.TEXTAFTER(D43, "INTP_"), "/"))
      ),
      "_"
    )
  )
)</f>
        <v/>
      </c>
      <c r="B43">
        <f>_xlfn.CONCAT(
  "eth1/",
  _xlfn.IFNA(
    _xlfn.TEXTBEFORE(_xlfn.TEXTAFTER(LOWER(D43),"isel-1."),"-"),
    _xlfn.IFNA(
      _xlfn.TEXTBEFORE(_xlfn.TEXTAFTER(LOWER(D43),"ints_port-"),"-"),
      _xlfn.TEXTBEFORE(_xlfn.TEXTAFTER(LOWER(D43),"inst_port-"),"-")
    )
  )
)</f>
        <v/>
      </c>
      <c r="C43">
        <f>_xlfn.CONCAT(A43,B43)</f>
        <v/>
      </c>
      <c r="D43" t="inlineStr">
        <is>
          <t>uni/infra/accportprof-INTP_2ACI_LE_INGENIE_151/hports-INTS_PORT-6-typ-range/rsaccBase</t>
        </is>
      </c>
      <c r="E43">
        <f>_xlfn.TEXTBEFORE(_xlfn.TEXTAFTER(D43,"accportprof-"),"/")</f>
        <v/>
      </c>
      <c r="F43">
        <f>_xlfn.TEXTBEFORE(_xlfn.TEXTAFTER(D43,"hports-"),"-typ")</f>
        <v/>
      </c>
      <c r="G43" t="inlineStr">
        <is>
          <t>uni/infra/funcprof/accportgrp-PG_ACC_151_1.6</t>
        </is>
      </c>
      <c r="H43">
        <f>IFERROR(
 MID(G43, SEARCH("accportgrp-", LOWER(G43)) + 11, LEN(G43)),
 IFERROR(
  MID(G43, SEARCH("accbundle-", LOWER(G43)) + 10, LEN(G43)),
  IFERROR(
   MID(G43, SEARCH("brkoutportgrp-", LOWER(G43)) + 14, LEN(G43)),
   ""
  )
 )
)</f>
        <v/>
      </c>
    </row>
    <row r="44">
      <c r="A44">
        <f>TRIM(
  _xlfn.IFNA(
    _xlfn.TEXTBEFORE(_xlfn.TEXTAFTER(D44, "Leaf"), "/"),
    _xlfn.TEXTAFTER(
      MID(
        _xlfn.TEXTBEFORE(_xlfn.TEXTAFTER(D44, "INTP_"), "/"),
        16,
        LEN(_xlfn.TEXTBEFORE(_xlfn.TEXTAFTER(D44, "INTP_"), "/"))
      ),
      "_"
    )
  )
)</f>
        <v/>
      </c>
      <c r="B44">
        <f>_xlfn.CONCAT(
  "eth1/",
  _xlfn.IFNA(
    _xlfn.TEXTBEFORE(_xlfn.TEXTAFTER(LOWER(D44),"isel-1."),"-"),
    _xlfn.IFNA(
      _xlfn.TEXTBEFORE(_xlfn.TEXTAFTER(LOWER(D44),"ints_port-"),"-"),
      _xlfn.TEXTBEFORE(_xlfn.TEXTAFTER(LOWER(D44),"inst_port-"),"-")
    )
  )
)</f>
        <v/>
      </c>
      <c r="C44">
        <f>_xlfn.CONCAT(A44,B44)</f>
        <v/>
      </c>
      <c r="D44" t="inlineStr">
        <is>
          <t>uni/infra/accportprof-INTP_2ACI_LE_INGENIE_151/hports-INTS_PORT-7-typ-range/rsaccBase</t>
        </is>
      </c>
      <c r="E44">
        <f>_xlfn.TEXTBEFORE(_xlfn.TEXTAFTER(D44,"accportprof-"),"/")</f>
        <v/>
      </c>
      <c r="F44">
        <f>_xlfn.TEXTBEFORE(_xlfn.TEXTAFTER(D44,"hports-"),"-typ")</f>
        <v/>
      </c>
      <c r="G44" t="inlineStr">
        <is>
          <t>uni/infra/funcprof/accportgrp-PG_ACC_151_1.7</t>
        </is>
      </c>
      <c r="H44">
        <f>IFERROR(
 MID(G44, SEARCH("accportgrp-", LOWER(G44)) + 11, LEN(G44)),
 IFERROR(
  MID(G44, SEARCH("accbundle-", LOWER(G44)) + 10, LEN(G44)),
  IFERROR(
   MID(G44, SEARCH("brkoutportgrp-", LOWER(G44)) + 14, LEN(G44)),
   ""
  )
 )
)</f>
        <v/>
      </c>
    </row>
    <row r="45">
      <c r="A45">
        <f>TRIM(
  _xlfn.IFNA(
    _xlfn.TEXTBEFORE(_xlfn.TEXTAFTER(D45, "Leaf"), "/"),
    _xlfn.TEXTAFTER(
      MID(
        _xlfn.TEXTBEFORE(_xlfn.TEXTAFTER(D45, "INTP_"), "/"),
        16,
        LEN(_xlfn.TEXTBEFORE(_xlfn.TEXTAFTER(D45, "INTP_"), "/"))
      ),
      "_"
    )
  )
)</f>
        <v/>
      </c>
      <c r="B45">
        <f>_xlfn.CONCAT(
  "eth1/",
  _xlfn.IFNA(
    _xlfn.TEXTBEFORE(_xlfn.TEXTAFTER(LOWER(D45),"isel-1."),"-"),
    _xlfn.IFNA(
      _xlfn.TEXTBEFORE(_xlfn.TEXTAFTER(LOWER(D45),"ints_port-"),"-"),
      _xlfn.TEXTBEFORE(_xlfn.TEXTAFTER(LOWER(D45),"inst_port-"),"-")
    )
  )
)</f>
        <v/>
      </c>
      <c r="C45">
        <f>_xlfn.CONCAT(A45,B45)</f>
        <v/>
      </c>
      <c r="D45" t="inlineStr">
        <is>
          <t>uni/infra/accportprof-INTP_2ACI_LE_INGENIE_151/hports-INTS_PORT-19-typ-range/rsaccBas</t>
        </is>
      </c>
      <c r="E45">
        <f>_xlfn.TEXTBEFORE(_xlfn.TEXTAFTER(D45,"accportprof-"),"/")</f>
        <v/>
      </c>
      <c r="F45">
        <f>_xlfn.TEXTBEFORE(_xlfn.TEXTAFTER(D45,"hports-"),"-typ")</f>
        <v/>
      </c>
      <c r="G45" t="inlineStr">
        <is>
          <t>uni/infra/funcprof/accportgrp-PG_ACC_151_1.19</t>
        </is>
      </c>
      <c r="H45">
        <f>IFERROR(
 MID(G45, SEARCH("accportgrp-", LOWER(G45)) + 11, LEN(G45)),
 IFERROR(
  MID(G45, SEARCH("accbundle-", LOWER(G45)) + 10, LEN(G45)),
  IFERROR(
   MID(G45, SEARCH("brkoutportgrp-", LOWER(G45)) + 14, LEN(G45)),
   ""
  )
 )
)</f>
        <v/>
      </c>
    </row>
    <row r="46">
      <c r="A46">
        <f>TRIM(
  _xlfn.IFNA(
    _xlfn.TEXTBEFORE(_xlfn.TEXTAFTER(D46, "Leaf"), "/"),
    _xlfn.TEXTAFTER(
      MID(
        _xlfn.TEXTBEFORE(_xlfn.TEXTAFTER(D46, "INTP_"), "/"),
        16,
        LEN(_xlfn.TEXTBEFORE(_xlfn.TEXTAFTER(D46, "INTP_"), "/"))
      ),
      "_"
    )
  )
)</f>
        <v/>
      </c>
      <c r="B46">
        <f>_xlfn.CONCAT(
  "eth1/",
  _xlfn.IFNA(
    _xlfn.TEXTBEFORE(_xlfn.TEXTAFTER(LOWER(D46),"isel-1."),"-"),
    _xlfn.IFNA(
      _xlfn.TEXTBEFORE(_xlfn.TEXTAFTER(LOWER(D46),"ints_port-"),"-"),
      _xlfn.TEXTBEFORE(_xlfn.TEXTAFTER(LOWER(D46),"inst_port-"),"-")
    )
  )
)</f>
        <v/>
      </c>
      <c r="C46">
        <f>_xlfn.CONCAT(A46,B46)</f>
        <v/>
      </c>
      <c r="D46" t="inlineStr">
        <is>
          <t>uni/infra/accportprof-INTP_2ACI_LE_INGENIE_151/hports-INTS_PORT-2-typ-range/rsaccBase</t>
        </is>
      </c>
      <c r="E46">
        <f>_xlfn.TEXTBEFORE(_xlfn.TEXTAFTER(D46,"accportprof-"),"/")</f>
        <v/>
      </c>
      <c r="F46">
        <f>_xlfn.TEXTBEFORE(_xlfn.TEXTAFTER(D46,"hports-"),"-typ")</f>
        <v/>
      </c>
      <c r="G46" t="inlineStr">
        <is>
          <t>uni/infra/funcprof/accportgrp-PG_ACC_151_1.2</t>
        </is>
      </c>
      <c r="H46">
        <f>IFERROR(
 MID(G46, SEARCH("accportgrp-", LOWER(G46)) + 11, LEN(G46)),
 IFERROR(
  MID(G46, SEARCH("accbundle-", LOWER(G46)) + 10, LEN(G46)),
  IFERROR(
   MID(G46, SEARCH("brkoutportgrp-", LOWER(G46)) + 14, LEN(G46)),
   ""
  )
 )
)</f>
        <v/>
      </c>
    </row>
    <row r="47">
      <c r="A47">
        <f>TRIM(
  _xlfn.IFNA(
    _xlfn.TEXTBEFORE(_xlfn.TEXTAFTER(D47, "Leaf"), "/"),
    _xlfn.TEXTAFTER(
      MID(
        _xlfn.TEXTBEFORE(_xlfn.TEXTAFTER(D47, "INTP_"), "/"),
        16,
        LEN(_xlfn.TEXTBEFORE(_xlfn.TEXTAFTER(D47, "INTP_"), "/"))
      ),
      "_"
    )
  )
)</f>
        <v/>
      </c>
      <c r="B47">
        <f>_xlfn.CONCAT(
  "eth1/",
  _xlfn.IFNA(
    _xlfn.TEXTBEFORE(_xlfn.TEXTAFTER(LOWER(D47),"isel-1."),"-"),
    _xlfn.IFNA(
      _xlfn.TEXTBEFORE(_xlfn.TEXTAFTER(LOWER(D47),"ints_port-"),"-"),
      _xlfn.TEXTBEFORE(_xlfn.TEXTAFTER(LOWER(D47),"inst_port-"),"-")
    )
  )
)</f>
        <v/>
      </c>
      <c r="C47">
        <f>_xlfn.CONCAT(A47,B47)</f>
        <v/>
      </c>
      <c r="D47" t="inlineStr">
        <is>
          <t>uni/infra/accportprof-INTP_2ACI_LE_INGENIE_151/hports-INTS_PORT-18-typ-range/rsaccBas</t>
        </is>
      </c>
      <c r="E47">
        <f>_xlfn.TEXTBEFORE(_xlfn.TEXTAFTER(D47,"accportprof-"),"/")</f>
        <v/>
      </c>
      <c r="F47">
        <f>_xlfn.TEXTBEFORE(_xlfn.TEXTAFTER(D47,"hports-"),"-typ")</f>
        <v/>
      </c>
      <c r="G47" t="inlineStr">
        <is>
          <t>uni/infra/funcprof/accportgrp-PG_ACC_151_1.18</t>
        </is>
      </c>
      <c r="H47">
        <f>IFERROR(
 MID(G47, SEARCH("accportgrp-", LOWER(G47)) + 11, LEN(G47)),
 IFERROR(
  MID(G47, SEARCH("accbundle-", LOWER(G47)) + 10, LEN(G47)),
  IFERROR(
   MID(G47, SEARCH("brkoutportgrp-", LOWER(G47)) + 14, LEN(G47)),
   ""
  )
 )
)</f>
        <v/>
      </c>
    </row>
    <row r="48">
      <c r="A48">
        <f>TRIM(
  _xlfn.IFNA(
    _xlfn.TEXTBEFORE(_xlfn.TEXTAFTER(D48, "Leaf"), "/"),
    _xlfn.TEXTAFTER(
      MID(
        _xlfn.TEXTBEFORE(_xlfn.TEXTAFTER(D48, "INTP_"), "/"),
        16,
        LEN(_xlfn.TEXTBEFORE(_xlfn.TEXTAFTER(D48, "INTP_"), "/"))
      ),
      "_"
    )
  )
)</f>
        <v/>
      </c>
      <c r="B48">
        <f>_xlfn.CONCAT(
  "eth1/",
  _xlfn.IFNA(
    _xlfn.TEXTBEFORE(_xlfn.TEXTAFTER(LOWER(D48),"isel-1."),"-"),
    _xlfn.IFNA(
      _xlfn.TEXTBEFORE(_xlfn.TEXTAFTER(LOWER(D48),"ints_port-"),"-"),
      _xlfn.TEXTBEFORE(_xlfn.TEXTAFTER(LOWER(D48),"inst_port-"),"-")
    )
  )
)</f>
        <v/>
      </c>
      <c r="C48">
        <f>_xlfn.CONCAT(A48,B48)</f>
        <v/>
      </c>
      <c r="D48" t="inlineStr">
        <is>
          <t>uni/infra/accportprof-INTP_2ACI_LE_INGENIE_151/hports-INTS_PORT-21-typ-range/rsaccBas</t>
        </is>
      </c>
      <c r="E48">
        <f>_xlfn.TEXTBEFORE(_xlfn.TEXTAFTER(D48,"accportprof-"),"/")</f>
        <v/>
      </c>
      <c r="F48">
        <f>_xlfn.TEXTBEFORE(_xlfn.TEXTAFTER(D48,"hports-"),"-typ")</f>
        <v/>
      </c>
      <c r="G48" t="inlineStr">
        <is>
          <t>uni/infra/funcprof/accbundle-PG_PC_151_1.21-23_25</t>
        </is>
      </c>
      <c r="H48">
        <f>IFERROR(
 MID(G48, SEARCH("accportgrp-", LOWER(G48)) + 11, LEN(G48)),
 IFERROR(
  MID(G48, SEARCH("accbundle-", LOWER(G48)) + 10, LEN(G48)),
  IFERROR(
   MID(G48, SEARCH("brkoutportgrp-", LOWER(G48)) + 14, LEN(G48)),
   ""
  )
 )
)</f>
        <v/>
      </c>
    </row>
    <row r="49">
      <c r="A49">
        <f>TRIM(
  _xlfn.IFNA(
    _xlfn.TEXTBEFORE(_xlfn.TEXTAFTER(D49, "Leaf"), "/"),
    _xlfn.TEXTAFTER(
      MID(
        _xlfn.TEXTBEFORE(_xlfn.TEXTAFTER(D49, "INTP_"), "/"),
        16,
        LEN(_xlfn.TEXTBEFORE(_xlfn.TEXTAFTER(D49, "INTP_"), "/"))
      ),
      "_"
    )
  )
)</f>
        <v/>
      </c>
      <c r="B49">
        <f>_xlfn.CONCAT(
  "eth1/",
  _xlfn.IFNA(
    _xlfn.TEXTBEFORE(_xlfn.TEXTAFTER(LOWER(D49),"isel-1."),"-"),
    _xlfn.IFNA(
      _xlfn.TEXTBEFORE(_xlfn.TEXTAFTER(LOWER(D49),"ints_port-"),"-"),
      _xlfn.TEXTBEFORE(_xlfn.TEXTAFTER(LOWER(D49),"inst_port-"),"-")
    )
  )
)</f>
        <v/>
      </c>
      <c r="C49">
        <f>_xlfn.CONCAT(A49,B49)</f>
        <v/>
      </c>
      <c r="D49" t="inlineStr">
        <is>
          <t>uni/infra/accportprof-INTP_2ACI_LE_INGENIE_151/hports-INTS_PORT-17-typ-range/rsaccBas</t>
        </is>
      </c>
      <c r="E49">
        <f>_xlfn.TEXTBEFORE(_xlfn.TEXTAFTER(D49,"accportprof-"),"/")</f>
        <v/>
      </c>
      <c r="F49">
        <f>_xlfn.TEXTBEFORE(_xlfn.TEXTAFTER(D49,"hports-"),"-typ")</f>
        <v/>
      </c>
      <c r="G49" t="inlineStr">
        <is>
          <t>uni/infra/funcprof/accportgrp-PG_ACC_151_1.17</t>
        </is>
      </c>
      <c r="H49">
        <f>IFERROR(
 MID(G49, SEARCH("accportgrp-", LOWER(G49)) + 11, LEN(G49)),
 IFERROR(
  MID(G49, SEARCH("accbundle-", LOWER(G49)) + 10, LEN(G49)),
  IFERROR(
   MID(G49, SEARCH("brkoutportgrp-", LOWER(G49)) + 14, LEN(G49)),
   ""
  )
 )
)</f>
        <v/>
      </c>
    </row>
    <row r="50">
      <c r="A50">
        <f>TRIM(
  _xlfn.IFNA(
    _xlfn.TEXTBEFORE(_xlfn.TEXTAFTER(D50, "Leaf"), "/"),
    _xlfn.TEXTAFTER(
      MID(
        _xlfn.TEXTBEFORE(_xlfn.TEXTAFTER(D50, "INTP_"), "/"),
        16,
        LEN(_xlfn.TEXTBEFORE(_xlfn.TEXTAFTER(D50, "INTP_"), "/"))
      ),
      "_"
    )
  )
)</f>
        <v/>
      </c>
      <c r="B50">
        <f>_xlfn.CONCAT(
  "eth1/",
  _xlfn.IFNA(
    _xlfn.TEXTBEFORE(_xlfn.TEXTAFTER(LOWER(D50),"isel-1."),"-"),
    _xlfn.IFNA(
      _xlfn.TEXTBEFORE(_xlfn.TEXTAFTER(LOWER(D50),"ints_port-"),"-"),
      _xlfn.TEXTBEFORE(_xlfn.TEXTAFTER(LOWER(D50),"inst_port-"),"-")
    )
  )
)</f>
        <v/>
      </c>
      <c r="C50">
        <f>_xlfn.CONCAT(A50,B50)</f>
        <v/>
      </c>
      <c r="D50" t="inlineStr">
        <is>
          <t>uni/infra/accportprof-INTP_2ACI_LE_INGENIE_151/hports-INTS_PORT-3-typ-range/rsaccBase</t>
        </is>
      </c>
      <c r="E50">
        <f>_xlfn.TEXTBEFORE(_xlfn.TEXTAFTER(D50,"accportprof-"),"/")</f>
        <v/>
      </c>
      <c r="F50">
        <f>_xlfn.TEXTBEFORE(_xlfn.TEXTAFTER(D50,"hports-"),"-typ")</f>
        <v/>
      </c>
      <c r="G50" t="inlineStr">
        <is>
          <t>uni/infra/funcprof/accportgrp-PG_ACC_151_1.3</t>
        </is>
      </c>
      <c r="H50">
        <f>IFERROR(
 MID(G50, SEARCH("accportgrp-", LOWER(G50)) + 11, LEN(G50)),
 IFERROR(
  MID(G50, SEARCH("accbundle-", LOWER(G50)) + 10, LEN(G50)),
  IFERROR(
   MID(G50, SEARCH("brkoutportgrp-", LOWER(G50)) + 14, LEN(G50)),
   ""
  )
 )
)</f>
        <v/>
      </c>
    </row>
    <row r="51">
      <c r="A51">
        <f>TRIM(
  _xlfn.IFNA(
    _xlfn.TEXTBEFORE(_xlfn.TEXTAFTER(D51, "Leaf"), "/"),
    _xlfn.TEXTAFTER(
      MID(
        _xlfn.TEXTBEFORE(_xlfn.TEXTAFTER(D51, "INTP_"), "/"),
        16,
        LEN(_xlfn.TEXTBEFORE(_xlfn.TEXTAFTER(D51, "INTP_"), "/"))
      ),
      "_"
    )
  )
)</f>
        <v/>
      </c>
      <c r="B51">
        <f>_xlfn.CONCAT(
  "eth1/",
  _xlfn.IFNA(
    _xlfn.TEXTBEFORE(_xlfn.TEXTAFTER(LOWER(D51),"isel-1."),"-"),
    _xlfn.IFNA(
      _xlfn.TEXTBEFORE(_xlfn.TEXTAFTER(LOWER(D51),"ints_port-"),"-"),
      _xlfn.TEXTBEFORE(_xlfn.TEXTAFTER(LOWER(D51),"inst_port-"),"-")
    )
  )
)</f>
        <v/>
      </c>
      <c r="C51">
        <f>_xlfn.CONCAT(A51,B51)</f>
        <v/>
      </c>
      <c r="D51" t="inlineStr">
        <is>
          <t>uni/infra/accportprof-INTP_2ACI_LE_INGENIE_151/hports-INTS_PORT-11-typ-range/rsaccBas</t>
        </is>
      </c>
      <c r="E51">
        <f>_xlfn.TEXTBEFORE(_xlfn.TEXTAFTER(D51,"accportprof-"),"/")</f>
        <v/>
      </c>
      <c r="F51">
        <f>_xlfn.TEXTBEFORE(_xlfn.TEXTAFTER(D51,"hports-"),"-typ")</f>
        <v/>
      </c>
      <c r="G51" t="inlineStr">
        <is>
          <t>uni/infra/funcprof/accportgrp-PG_ACC_151_1.11</t>
        </is>
      </c>
      <c r="H51">
        <f>IFERROR(
 MID(G51, SEARCH("accportgrp-", LOWER(G51)) + 11, LEN(G51)),
 IFERROR(
  MID(G51, SEARCH("accbundle-", LOWER(G51)) + 10, LEN(G51)),
  IFERROR(
   MID(G51, SEARCH("brkoutportgrp-", LOWER(G51)) + 14, LEN(G51)),
   ""
  )
 )
)</f>
        <v/>
      </c>
    </row>
    <row r="52">
      <c r="A52">
        <f>TRIM(
  _xlfn.IFNA(
    _xlfn.TEXTBEFORE(_xlfn.TEXTAFTER(D52, "Leaf"), "/"),
    _xlfn.TEXTAFTER(
      MID(
        _xlfn.TEXTBEFORE(_xlfn.TEXTAFTER(D52, "INTP_"), "/"),
        16,
        LEN(_xlfn.TEXTBEFORE(_xlfn.TEXTAFTER(D52, "INTP_"), "/"))
      ),
      "_"
    )
  )
)</f>
        <v/>
      </c>
      <c r="B52">
        <f>_xlfn.CONCAT(
  "eth1/",
  _xlfn.IFNA(
    _xlfn.TEXTBEFORE(_xlfn.TEXTAFTER(LOWER(D52),"isel-1."),"-"),
    _xlfn.IFNA(
      _xlfn.TEXTBEFORE(_xlfn.TEXTAFTER(LOWER(D52),"ints_port-"),"-"),
      _xlfn.TEXTBEFORE(_xlfn.TEXTAFTER(LOWER(D52),"inst_port-"),"-")
    )
  )
)</f>
        <v/>
      </c>
      <c r="C52">
        <f>_xlfn.CONCAT(A52,B52)</f>
        <v/>
      </c>
      <c r="D52" t="inlineStr">
        <is>
          <t>uni/infra/accportprof-INTP_2ACI_LE_INGENIE_151/hports-INTS_PORT-30-typ-range/rsaccBas</t>
        </is>
      </c>
      <c r="E52">
        <f>_xlfn.TEXTBEFORE(_xlfn.TEXTAFTER(D52,"accportprof-"),"/")</f>
        <v/>
      </c>
      <c r="F52">
        <f>_xlfn.TEXTBEFORE(_xlfn.TEXTAFTER(D52,"hports-"),"-typ")</f>
        <v/>
      </c>
      <c r="G52" t="inlineStr">
        <is>
          <t>uni/infra/funcprof/accportgrp-PG_ACC_151_1.30</t>
        </is>
      </c>
      <c r="H52">
        <f>IFERROR(
 MID(G52, SEARCH("accportgrp-", LOWER(G52)) + 11, LEN(G52)),
 IFERROR(
  MID(G52, SEARCH("accbundle-", LOWER(G52)) + 10, LEN(G52)),
  IFERROR(
   MID(G52, SEARCH("brkoutportgrp-", LOWER(G52)) + 14, LEN(G52)),
   ""
  )
 )
)</f>
        <v/>
      </c>
    </row>
    <row r="53">
      <c r="A53">
        <f>TRIM(
  _xlfn.IFNA(
    _xlfn.TEXTBEFORE(_xlfn.TEXTAFTER(D53, "Leaf"), "/"),
    _xlfn.TEXTAFTER(
      MID(
        _xlfn.TEXTBEFORE(_xlfn.TEXTAFTER(D53, "INTP_"), "/"),
        16,
        LEN(_xlfn.TEXTBEFORE(_xlfn.TEXTAFTER(D53, "INTP_"), "/"))
      ),
      "_"
    )
  )
)</f>
        <v/>
      </c>
      <c r="B53">
        <f>_xlfn.CONCAT(
  "eth1/",
  _xlfn.IFNA(
    _xlfn.TEXTBEFORE(_xlfn.TEXTAFTER(LOWER(D53),"isel-1."),"-"),
    _xlfn.IFNA(
      _xlfn.TEXTBEFORE(_xlfn.TEXTAFTER(LOWER(D53),"ints_port-"),"-"),
      _xlfn.TEXTBEFORE(_xlfn.TEXTAFTER(LOWER(D53),"inst_port-"),"-")
    )
  )
)</f>
        <v/>
      </c>
      <c r="C53">
        <f>_xlfn.CONCAT(A53,B53)</f>
        <v/>
      </c>
      <c r="D53" t="inlineStr">
        <is>
          <t>uni/infra/accportprof-INTP_2ACI_LE_INGENIE_151/hports-INTS_PORT-29-typ-range/rsaccBas</t>
        </is>
      </c>
      <c r="E53">
        <f>_xlfn.TEXTBEFORE(_xlfn.TEXTAFTER(D53,"accportprof-"),"/")</f>
        <v/>
      </c>
      <c r="F53">
        <f>_xlfn.TEXTBEFORE(_xlfn.TEXTAFTER(D53,"hports-"),"-typ")</f>
        <v/>
      </c>
      <c r="G53" t="inlineStr">
        <is>
          <t>uni/infra/funcprof/accportgrp-PG_ACC_151_1.29</t>
        </is>
      </c>
      <c r="H53">
        <f>IFERROR(
 MID(G53, SEARCH("accportgrp-", LOWER(G53)) + 11, LEN(G53)),
 IFERROR(
  MID(G53, SEARCH("accbundle-", LOWER(G53)) + 10, LEN(G53)),
  IFERROR(
   MID(G53, SEARCH("brkoutportgrp-", LOWER(G53)) + 14, LEN(G53)),
   ""
  )
 )
)</f>
        <v/>
      </c>
    </row>
    <row r="54">
      <c r="A54">
        <f>TRIM(
  _xlfn.IFNA(
    _xlfn.TEXTBEFORE(_xlfn.TEXTAFTER(D54, "Leaf"), "/"),
    _xlfn.TEXTAFTER(
      MID(
        _xlfn.TEXTBEFORE(_xlfn.TEXTAFTER(D54, "INTP_"), "/"),
        16,
        LEN(_xlfn.TEXTBEFORE(_xlfn.TEXTAFTER(D54, "INTP_"), "/"))
      ),
      "_"
    )
  )
)</f>
        <v/>
      </c>
      <c r="B54">
        <f>_xlfn.CONCAT(
  "eth1/",
  _xlfn.IFNA(
    _xlfn.TEXTBEFORE(_xlfn.TEXTAFTER(LOWER(D54),"isel-1."),"-"),
    _xlfn.IFNA(
      _xlfn.TEXTBEFORE(_xlfn.TEXTAFTER(LOWER(D54),"ints_port-"),"-"),
      _xlfn.TEXTBEFORE(_xlfn.TEXTAFTER(LOWER(D54),"inst_port-"),"-")
    )
  )
)</f>
        <v/>
      </c>
      <c r="C54">
        <f>_xlfn.CONCAT(A54,B54)</f>
        <v/>
      </c>
      <c r="D54" t="inlineStr">
        <is>
          <t>uni/infra/accportprof-INTP_2ACI_LE_INGENIE_151/hports-INTS_PORT-4-typ-range/rsaccBase</t>
        </is>
      </c>
      <c r="E54">
        <f>_xlfn.TEXTBEFORE(_xlfn.TEXTAFTER(D54,"accportprof-"),"/")</f>
        <v/>
      </c>
      <c r="F54">
        <f>_xlfn.TEXTBEFORE(_xlfn.TEXTAFTER(D54,"hports-"),"-typ")</f>
        <v/>
      </c>
      <c r="G54" t="inlineStr">
        <is>
          <t>uni/infra/funcprof/accportgrp-PG_ACC_151_1.4</t>
        </is>
      </c>
      <c r="H54">
        <f>IFERROR(
 MID(G54, SEARCH("accportgrp-", LOWER(G54)) + 11, LEN(G54)),
 IFERROR(
  MID(G54, SEARCH("accbundle-", LOWER(G54)) + 10, LEN(G54)),
  IFERROR(
   MID(G54, SEARCH("brkoutportgrp-", LOWER(G54)) + 14, LEN(G54)),
   ""
  )
 )
)</f>
        <v/>
      </c>
    </row>
    <row r="55">
      <c r="A55">
        <f>TRIM(
  _xlfn.IFNA(
    _xlfn.TEXTBEFORE(_xlfn.TEXTAFTER(D55, "Leaf"), "/"),
    _xlfn.TEXTAFTER(
      MID(
        _xlfn.TEXTBEFORE(_xlfn.TEXTAFTER(D55, "INTP_"), "/"),
        16,
        LEN(_xlfn.TEXTBEFORE(_xlfn.TEXTAFTER(D55, "INTP_"), "/"))
      ),
      "_"
    )
  )
)</f>
        <v/>
      </c>
      <c r="B55">
        <f>_xlfn.CONCAT(
  "eth1/",
  _xlfn.IFNA(
    _xlfn.TEXTBEFORE(_xlfn.TEXTAFTER(LOWER(D55),"isel-1."),"-"),
    _xlfn.IFNA(
      _xlfn.TEXTBEFORE(_xlfn.TEXTAFTER(LOWER(D55),"ints_port-"),"-"),
      _xlfn.TEXTBEFORE(_xlfn.TEXTAFTER(LOWER(D55),"inst_port-"),"-")
    )
  )
)</f>
        <v/>
      </c>
      <c r="C55">
        <f>_xlfn.CONCAT(A55,B55)</f>
        <v/>
      </c>
      <c r="D55" t="inlineStr">
        <is>
          <t>uni/infra/accportprof-INTP_2ACI_LE_INGENIE_151/hports-INTS_PORT-8-typ-range/rsaccBase</t>
        </is>
      </c>
      <c r="E55">
        <f>_xlfn.TEXTBEFORE(_xlfn.TEXTAFTER(D55,"accportprof-"),"/")</f>
        <v/>
      </c>
      <c r="F55">
        <f>_xlfn.TEXTBEFORE(_xlfn.TEXTAFTER(D55,"hports-"),"-typ")</f>
        <v/>
      </c>
      <c r="G55" t="inlineStr">
        <is>
          <t>uni/infra/funcprof/accportgrp-PG_ACC_151_1.8</t>
        </is>
      </c>
      <c r="H55">
        <f>IFERROR(
 MID(G55, SEARCH("accportgrp-", LOWER(G55)) + 11, LEN(G55)),
 IFERROR(
  MID(G55, SEARCH("accbundle-", LOWER(G55)) + 10, LEN(G55)),
  IFERROR(
   MID(G55, SEARCH("brkoutportgrp-", LOWER(G55)) + 14, LEN(G55)),
   ""
  )
 )
)</f>
        <v/>
      </c>
    </row>
    <row r="56">
      <c r="A56">
        <f>TRIM(
  _xlfn.IFNA(
    _xlfn.TEXTBEFORE(_xlfn.TEXTAFTER(D56, "Leaf"), "/"),
    _xlfn.TEXTAFTER(
      MID(
        _xlfn.TEXTBEFORE(_xlfn.TEXTAFTER(D56, "INTP_"), "/"),
        16,
        LEN(_xlfn.TEXTBEFORE(_xlfn.TEXTAFTER(D56, "INTP_"), "/"))
      ),
      "_"
    )
  )
)</f>
        <v/>
      </c>
      <c r="B56">
        <f>_xlfn.CONCAT(
  "eth1/",
  _xlfn.IFNA(
    _xlfn.TEXTBEFORE(_xlfn.TEXTAFTER(LOWER(D56),"isel-1."),"-"),
    _xlfn.IFNA(
      _xlfn.TEXTBEFORE(_xlfn.TEXTAFTER(LOWER(D56),"ints_port-"),"-"),
      _xlfn.TEXTBEFORE(_xlfn.TEXTAFTER(LOWER(D56),"inst_port-"),"-")
    )
  )
)</f>
        <v/>
      </c>
      <c r="C56">
        <f>_xlfn.CONCAT(A56,B56)</f>
        <v/>
      </c>
      <c r="D56" t="inlineStr">
        <is>
          <t>uni/infra/accportprof-INTP_2ACI_LE_INGENIE_151/hports-INTS_PORT-15-typ-range/rsaccBas</t>
        </is>
      </c>
      <c r="E56">
        <f>_xlfn.TEXTBEFORE(_xlfn.TEXTAFTER(D56,"accportprof-"),"/")</f>
        <v/>
      </c>
      <c r="F56">
        <f>_xlfn.TEXTBEFORE(_xlfn.TEXTAFTER(D56,"hports-"),"-typ")</f>
        <v/>
      </c>
      <c r="G56" t="inlineStr">
        <is>
          <t>uni/infra/funcprof/accportgrp-PG_ACC_151_1.15</t>
        </is>
      </c>
      <c r="H56">
        <f>IFERROR(
 MID(G56, SEARCH("accportgrp-", LOWER(G56)) + 11, LEN(G56)),
 IFERROR(
  MID(G56, SEARCH("accbundle-", LOWER(G56)) + 10, LEN(G56)),
  IFERROR(
   MID(G56, SEARCH("brkoutportgrp-", LOWER(G56)) + 14, LEN(G56)),
   ""
  )
 )
)</f>
        <v/>
      </c>
    </row>
    <row r="57">
      <c r="A57">
        <f>TRIM(
  _xlfn.IFNA(
    _xlfn.TEXTBEFORE(_xlfn.TEXTAFTER(D57, "Leaf"), "/"),
    _xlfn.TEXTAFTER(
      MID(
        _xlfn.TEXTBEFORE(_xlfn.TEXTAFTER(D57, "INTP_"), "/"),
        16,
        LEN(_xlfn.TEXTBEFORE(_xlfn.TEXTAFTER(D57, "INTP_"), "/"))
      ),
      "_"
    )
  )
)</f>
        <v/>
      </c>
      <c r="B57">
        <f>_xlfn.CONCAT(
  "eth1/",
  _xlfn.IFNA(
    _xlfn.TEXTBEFORE(_xlfn.TEXTAFTER(LOWER(D57),"isel-1."),"-"),
    _xlfn.IFNA(
      _xlfn.TEXTBEFORE(_xlfn.TEXTAFTER(LOWER(D57),"ints_port-"),"-"),
      _xlfn.TEXTBEFORE(_xlfn.TEXTAFTER(LOWER(D57),"inst_port-"),"-")
    )
  )
)</f>
        <v/>
      </c>
      <c r="C57">
        <f>_xlfn.CONCAT(A57,B57)</f>
        <v/>
      </c>
      <c r="D57" t="inlineStr">
        <is>
          <t>uni/infra/accportprof-INTP_2ACI_LE_INGENIE_151/hports-INTS_PORT-10-typ-range/rsaccBas</t>
        </is>
      </c>
      <c r="E57">
        <f>_xlfn.TEXTBEFORE(_xlfn.TEXTAFTER(D57,"accportprof-"),"/")</f>
        <v/>
      </c>
      <c r="F57">
        <f>_xlfn.TEXTBEFORE(_xlfn.TEXTAFTER(D57,"hports-"),"-typ")</f>
        <v/>
      </c>
      <c r="G57" t="inlineStr">
        <is>
          <t>uni/infra/funcprof/accportgrp-PG_ACC_151_1.10</t>
        </is>
      </c>
      <c r="H57">
        <f>IFERROR(
 MID(G57, SEARCH("accportgrp-", LOWER(G57)) + 11, LEN(G57)),
 IFERROR(
  MID(G57, SEARCH("accbundle-", LOWER(G57)) + 10, LEN(G57)),
  IFERROR(
   MID(G57, SEARCH("brkoutportgrp-", LOWER(G57)) + 14, LEN(G57)),
   ""
  )
 )
)</f>
        <v/>
      </c>
    </row>
    <row r="58">
      <c r="A58">
        <f>TRIM(
  _xlfn.IFNA(
    _xlfn.TEXTBEFORE(_xlfn.TEXTAFTER(D58, "Leaf"), "/"),
    _xlfn.TEXTAFTER(
      MID(
        _xlfn.TEXTBEFORE(_xlfn.TEXTAFTER(D58, "INTP_"), "/"),
        16,
        LEN(_xlfn.TEXTBEFORE(_xlfn.TEXTAFTER(D58, "INTP_"), "/"))
      ),
      "_"
    )
  )
)</f>
        <v/>
      </c>
      <c r="B58">
        <f>_xlfn.CONCAT(
  "eth1/",
  _xlfn.IFNA(
    _xlfn.TEXTBEFORE(_xlfn.TEXTAFTER(LOWER(D58),"isel-1."),"-"),
    _xlfn.IFNA(
      _xlfn.TEXTBEFORE(_xlfn.TEXTAFTER(LOWER(D58),"ints_port-"),"-"),
      _xlfn.TEXTBEFORE(_xlfn.TEXTAFTER(LOWER(D58),"inst_port-"),"-")
    )
  )
)</f>
        <v/>
      </c>
      <c r="C58">
        <f>_xlfn.CONCAT(A58,B58)</f>
        <v/>
      </c>
      <c r="D58" t="inlineStr">
        <is>
          <t>uni/infra/accportprof-INTP_2ACI_LE_INGENIE_151/hports-INTS_PORT-47-typ-range/rsaccBas</t>
        </is>
      </c>
      <c r="E58">
        <f>_xlfn.TEXTBEFORE(_xlfn.TEXTAFTER(D58,"accportprof-"),"/")</f>
        <v/>
      </c>
      <c r="F58">
        <f>_xlfn.TEXTBEFORE(_xlfn.TEXTAFTER(D58,"hports-"),"-typ")</f>
        <v/>
      </c>
      <c r="G58" t="inlineStr">
        <is>
          <t>uni/infra/funcprof/accportgrp-PG_ACC_151_1.47</t>
        </is>
      </c>
      <c r="H58">
        <f>IFERROR(
 MID(G58, SEARCH("accportgrp-", LOWER(G58)) + 11, LEN(G58)),
 IFERROR(
  MID(G58, SEARCH("accbundle-", LOWER(G58)) + 10, LEN(G58)),
  IFERROR(
   MID(G58, SEARCH("brkoutportgrp-", LOWER(G58)) + 14, LEN(G58)),
   ""
  )
 )
)</f>
        <v/>
      </c>
    </row>
    <row r="59">
      <c r="A59">
        <f>TRIM(
  _xlfn.IFNA(
    _xlfn.TEXTBEFORE(_xlfn.TEXTAFTER(D59, "Leaf"), "/"),
    _xlfn.TEXTAFTER(
      MID(
        _xlfn.TEXTBEFORE(_xlfn.TEXTAFTER(D59, "INTP_"), "/"),
        16,
        LEN(_xlfn.TEXTBEFORE(_xlfn.TEXTAFTER(D59, "INTP_"), "/"))
      ),
      "_"
    )
  )
)</f>
        <v/>
      </c>
      <c r="B59">
        <f>_xlfn.CONCAT(
  "eth1/",
  _xlfn.IFNA(
    _xlfn.TEXTBEFORE(_xlfn.TEXTAFTER(LOWER(D59),"isel-1."),"-"),
    _xlfn.IFNA(
      _xlfn.TEXTBEFORE(_xlfn.TEXTAFTER(LOWER(D59),"ints_port-"),"-"),
      _xlfn.TEXTBEFORE(_xlfn.TEXTAFTER(LOWER(D59),"inst_port-"),"-")
    )
  )
)</f>
        <v/>
      </c>
      <c r="C59">
        <f>_xlfn.CONCAT(A59,B59)</f>
        <v/>
      </c>
      <c r="D59" t="inlineStr">
        <is>
          <t>uni/infra/accportprof-INTP_2ACI_LE_INGENIE_151/hports-INTS_PORT-35-typ-range/rsaccBas</t>
        </is>
      </c>
      <c r="E59">
        <f>_xlfn.TEXTBEFORE(_xlfn.TEXTAFTER(D59,"accportprof-"),"/")</f>
        <v/>
      </c>
      <c r="F59">
        <f>_xlfn.TEXTBEFORE(_xlfn.TEXTAFTER(D59,"hports-"),"-typ")</f>
        <v/>
      </c>
      <c r="G59" t="inlineStr">
        <is>
          <t>uni/infra/funcprof/accportgrp-PG_ACC_151_1.35</t>
        </is>
      </c>
      <c r="H59">
        <f>IFERROR(
 MID(G59, SEARCH("accportgrp-", LOWER(G59)) + 11, LEN(G59)),
 IFERROR(
  MID(G59, SEARCH("accbundle-", LOWER(G59)) + 10, LEN(G59)),
  IFERROR(
   MID(G59, SEARCH("brkoutportgrp-", LOWER(G59)) + 14, LEN(G59)),
   ""
  )
 )
)</f>
        <v/>
      </c>
    </row>
    <row r="60">
      <c r="A60">
        <f>TRIM(
  _xlfn.IFNA(
    _xlfn.TEXTBEFORE(_xlfn.TEXTAFTER(D60, "Leaf"), "/"),
    _xlfn.TEXTAFTER(
      MID(
        _xlfn.TEXTBEFORE(_xlfn.TEXTAFTER(D60, "INTP_"), "/"),
        16,
        LEN(_xlfn.TEXTBEFORE(_xlfn.TEXTAFTER(D60, "INTP_"), "/"))
      ),
      "_"
    )
  )
)</f>
        <v/>
      </c>
      <c r="B60">
        <f>_xlfn.CONCAT(
  "eth1/",
  _xlfn.IFNA(
    _xlfn.TEXTBEFORE(_xlfn.TEXTAFTER(LOWER(D60),"isel-1."),"-"),
    _xlfn.IFNA(
      _xlfn.TEXTBEFORE(_xlfn.TEXTAFTER(LOWER(D60),"ints_port-"),"-"),
      _xlfn.TEXTBEFORE(_xlfn.TEXTAFTER(LOWER(D60),"inst_port-"),"-")
    )
  )
)</f>
        <v/>
      </c>
      <c r="C60">
        <f>_xlfn.CONCAT(A60,B60)</f>
        <v/>
      </c>
      <c r="D60" t="inlineStr">
        <is>
          <t>uni/infra/accportprof-INTP_2ACI_LE_INGENIE_151/hports-INTS_PORT-48-typ-range/rsaccBas</t>
        </is>
      </c>
      <c r="E60">
        <f>_xlfn.TEXTBEFORE(_xlfn.TEXTAFTER(D60,"accportprof-"),"/")</f>
        <v/>
      </c>
      <c r="F60">
        <f>_xlfn.TEXTBEFORE(_xlfn.TEXTAFTER(D60,"hports-"),"-typ")</f>
        <v/>
      </c>
      <c r="G60" t="inlineStr">
        <is>
          <t>uni/infra/funcprof/accportgrp-PG_ACC_151_1.48</t>
        </is>
      </c>
      <c r="H60">
        <f>IFERROR(
 MID(G60, SEARCH("accportgrp-", LOWER(G60)) + 11, LEN(G60)),
 IFERROR(
  MID(G60, SEARCH("accbundle-", LOWER(G60)) + 10, LEN(G60)),
  IFERROR(
   MID(G60, SEARCH("brkoutportgrp-", LOWER(G60)) + 14, LEN(G60)),
   ""
  )
 )
)</f>
        <v/>
      </c>
    </row>
    <row r="61">
      <c r="A61">
        <f>TRIM(
  _xlfn.IFNA(
    _xlfn.TEXTBEFORE(_xlfn.TEXTAFTER(D61, "Leaf"), "/"),
    _xlfn.TEXTAFTER(
      MID(
        _xlfn.TEXTBEFORE(_xlfn.TEXTAFTER(D61, "INTP_"), "/"),
        16,
        LEN(_xlfn.TEXTBEFORE(_xlfn.TEXTAFTER(D61, "INTP_"), "/"))
      ),
      "_"
    )
  )
)</f>
        <v/>
      </c>
      <c r="B61">
        <f>_xlfn.CONCAT(
  "eth1/",
  _xlfn.IFNA(
    _xlfn.TEXTBEFORE(_xlfn.TEXTAFTER(LOWER(D61),"isel-1."),"-"),
    _xlfn.IFNA(
      _xlfn.TEXTBEFORE(_xlfn.TEXTAFTER(LOWER(D61),"ints_port-"),"-"),
      _xlfn.TEXTBEFORE(_xlfn.TEXTAFTER(LOWER(D61),"inst_port-"),"-")
    )
  )
)</f>
        <v/>
      </c>
      <c r="C61">
        <f>_xlfn.CONCAT(A61,B61)</f>
        <v/>
      </c>
      <c r="D61" t="inlineStr">
        <is>
          <t>uni/infra/accportprof-INTP_2ACI_LE_INGENIE_151/hports-INTS_PORT-22-typ-range/rsaccBas</t>
        </is>
      </c>
      <c r="E61">
        <f>_xlfn.TEXTBEFORE(_xlfn.TEXTAFTER(D61,"accportprof-"),"/")</f>
        <v/>
      </c>
      <c r="F61">
        <f>_xlfn.TEXTBEFORE(_xlfn.TEXTAFTER(D61,"hports-"),"-typ")</f>
        <v/>
      </c>
      <c r="G61" t="inlineStr">
        <is>
          <t>uni/infra/funcprof/accbundle-PG_PC_151_1.21-23_25</t>
        </is>
      </c>
      <c r="H61">
        <f>IFERROR(
 MID(G61, SEARCH("accportgrp-", LOWER(G61)) + 11, LEN(G61)),
 IFERROR(
  MID(G61, SEARCH("accbundle-", LOWER(G61)) + 10, LEN(G61)),
  IFERROR(
   MID(G61, SEARCH("brkoutportgrp-", LOWER(G61)) + 14, LEN(G61)),
   ""
  )
 )
)</f>
        <v/>
      </c>
    </row>
    <row r="62">
      <c r="A62">
        <f>TRIM(
  _xlfn.IFNA(
    _xlfn.TEXTBEFORE(_xlfn.TEXTAFTER(D62, "Leaf"), "/"),
    _xlfn.TEXTAFTER(
      MID(
        _xlfn.TEXTBEFORE(_xlfn.TEXTAFTER(D62, "INTP_"), "/"),
        16,
        LEN(_xlfn.TEXTBEFORE(_xlfn.TEXTAFTER(D62, "INTP_"), "/"))
      ),
      "_"
    )
  )
)</f>
        <v/>
      </c>
      <c r="B62">
        <f>_xlfn.CONCAT(
  "eth1/",
  _xlfn.IFNA(
    _xlfn.TEXTBEFORE(_xlfn.TEXTAFTER(LOWER(D62),"isel-1."),"-"),
    _xlfn.IFNA(
      _xlfn.TEXTBEFORE(_xlfn.TEXTAFTER(LOWER(D62),"ints_port-"),"-"),
      _xlfn.TEXTBEFORE(_xlfn.TEXTAFTER(LOWER(D62),"inst_port-"),"-")
    )
  )
)</f>
        <v/>
      </c>
      <c r="C62">
        <f>_xlfn.CONCAT(A62,B62)</f>
        <v/>
      </c>
      <c r="D62" t="inlineStr">
        <is>
          <t>uni/infra/accportprof-INTP_2ACI_LE_INGENIE_151/hports-INTS_PORT-12-typ-range/rsaccBas</t>
        </is>
      </c>
      <c r="E62">
        <f>_xlfn.TEXTBEFORE(_xlfn.TEXTAFTER(D62,"accportprof-"),"/")</f>
        <v/>
      </c>
      <c r="F62">
        <f>_xlfn.TEXTBEFORE(_xlfn.TEXTAFTER(D62,"hports-"),"-typ")</f>
        <v/>
      </c>
      <c r="G62" t="inlineStr">
        <is>
          <t>uni/infra/funcprof/accportgrp-PG_ACC_151_1.12</t>
        </is>
      </c>
      <c r="H62">
        <f>IFERROR(
 MID(G62, SEARCH("accportgrp-", LOWER(G62)) + 11, LEN(G62)),
 IFERROR(
  MID(G62, SEARCH("accbundle-", LOWER(G62)) + 10, LEN(G62)),
  IFERROR(
   MID(G62, SEARCH("brkoutportgrp-", LOWER(G62)) + 14, LEN(G62)),
   ""
  )
 )
)</f>
        <v/>
      </c>
    </row>
    <row r="63">
      <c r="A63">
        <f>TRIM(
  _xlfn.IFNA(
    _xlfn.TEXTBEFORE(_xlfn.TEXTAFTER(D63, "Leaf"), "/"),
    _xlfn.TEXTAFTER(
      MID(
        _xlfn.TEXTBEFORE(_xlfn.TEXTAFTER(D63, "INTP_"), "/"),
        16,
        LEN(_xlfn.TEXTBEFORE(_xlfn.TEXTAFTER(D63, "INTP_"), "/"))
      ),
      "_"
    )
  )
)</f>
        <v/>
      </c>
      <c r="B63">
        <f>_xlfn.CONCAT(
  "eth1/",
  _xlfn.IFNA(
    _xlfn.TEXTBEFORE(_xlfn.TEXTAFTER(LOWER(D63),"isel-1."),"-"),
    _xlfn.IFNA(
      _xlfn.TEXTBEFORE(_xlfn.TEXTAFTER(LOWER(D63),"ints_port-"),"-"),
      _xlfn.TEXTBEFORE(_xlfn.TEXTAFTER(LOWER(D63),"inst_port-"),"-")
    )
  )
)</f>
        <v/>
      </c>
      <c r="C63">
        <f>_xlfn.CONCAT(A63,B63)</f>
        <v/>
      </c>
      <c r="D63" t="inlineStr">
        <is>
          <t>uni/infra/accportprof-INTP_2ACI_LE_INGENIE_151/hports-INTS_PORT-23-typ-range/rsaccBas</t>
        </is>
      </c>
      <c r="E63">
        <f>_xlfn.TEXTBEFORE(_xlfn.TEXTAFTER(D63,"accportprof-"),"/")</f>
        <v/>
      </c>
      <c r="F63">
        <f>_xlfn.TEXTBEFORE(_xlfn.TEXTAFTER(D63,"hports-"),"-typ")</f>
        <v/>
      </c>
      <c r="G63" t="inlineStr">
        <is>
          <t>uni/infra/funcprof/accbundle-PG_PC_151_1.21-23_25</t>
        </is>
      </c>
      <c r="H63">
        <f>IFERROR(
 MID(G63, SEARCH("accportgrp-", LOWER(G63)) + 11, LEN(G63)),
 IFERROR(
  MID(G63, SEARCH("accbundle-", LOWER(G63)) + 10, LEN(G63)),
  IFERROR(
   MID(G63, SEARCH("brkoutportgrp-", LOWER(G63)) + 14, LEN(G63)),
   ""
  )
 )
)</f>
        <v/>
      </c>
    </row>
    <row r="64">
      <c r="A64">
        <f>TRIM(
  _xlfn.IFNA(
    _xlfn.TEXTBEFORE(_xlfn.TEXTAFTER(D64, "Leaf"), "/"),
    _xlfn.TEXTAFTER(
      MID(
        _xlfn.TEXTBEFORE(_xlfn.TEXTAFTER(D64, "INTP_"), "/"),
        16,
        LEN(_xlfn.TEXTBEFORE(_xlfn.TEXTAFTER(D64, "INTP_"), "/"))
      ),
      "_"
    )
  )
)</f>
        <v/>
      </c>
      <c r="B64">
        <f>_xlfn.CONCAT(
  "eth1/",
  _xlfn.IFNA(
    _xlfn.TEXTBEFORE(_xlfn.TEXTAFTER(LOWER(D64),"isel-1."),"-"),
    _xlfn.IFNA(
      _xlfn.TEXTBEFORE(_xlfn.TEXTAFTER(LOWER(D64),"ints_port-"),"-"),
      _xlfn.TEXTBEFORE(_xlfn.TEXTAFTER(LOWER(D64),"inst_port-"),"-")
    )
  )
)</f>
        <v/>
      </c>
      <c r="C64">
        <f>_xlfn.CONCAT(A64,B64)</f>
        <v/>
      </c>
      <c r="D64" t="inlineStr">
        <is>
          <t>uni/infra/accportprof-INTP_2ACI_LE_INGENIE_151/hports-INTS_PORT-5-typ-range/rsaccBase</t>
        </is>
      </c>
      <c r="E64">
        <f>_xlfn.TEXTBEFORE(_xlfn.TEXTAFTER(D64,"accportprof-"),"/")</f>
        <v/>
      </c>
      <c r="F64">
        <f>_xlfn.TEXTBEFORE(_xlfn.TEXTAFTER(D64,"hports-"),"-typ")</f>
        <v/>
      </c>
      <c r="G64" t="inlineStr">
        <is>
          <t>uni/infra/funcprof/accportgrp-PG_ACC_151_1.5</t>
        </is>
      </c>
      <c r="H64">
        <f>IFERROR(
 MID(G64, SEARCH("accportgrp-", LOWER(G64)) + 11, LEN(G64)),
 IFERROR(
  MID(G64, SEARCH("accbundle-", LOWER(G64)) + 10, LEN(G64)),
  IFERROR(
   MID(G64, SEARCH("brkoutportgrp-", LOWER(G64)) + 14, LEN(G64)),
   ""
  )
 )
)</f>
        <v/>
      </c>
    </row>
    <row r="65">
      <c r="A65">
        <f>TRIM(
  _xlfn.IFNA(
    _xlfn.TEXTBEFORE(_xlfn.TEXTAFTER(D65, "Leaf"), "/"),
    _xlfn.TEXTAFTER(
      MID(
        _xlfn.TEXTBEFORE(_xlfn.TEXTAFTER(D65, "INTP_"), "/"),
        16,
        LEN(_xlfn.TEXTBEFORE(_xlfn.TEXTAFTER(D65, "INTP_"), "/"))
      ),
      "_"
    )
  )
)</f>
        <v/>
      </c>
      <c r="B65">
        <f>_xlfn.CONCAT(
  "eth1/",
  _xlfn.IFNA(
    _xlfn.TEXTBEFORE(_xlfn.TEXTAFTER(LOWER(D65),"isel-1."),"-"),
    _xlfn.IFNA(
      _xlfn.TEXTBEFORE(_xlfn.TEXTAFTER(LOWER(D65),"ints_port-"),"-"),
      _xlfn.TEXTBEFORE(_xlfn.TEXTAFTER(LOWER(D65),"inst_port-"),"-")
    )
  )
)</f>
        <v/>
      </c>
      <c r="C65">
        <f>_xlfn.CONCAT(A65,B65)</f>
        <v/>
      </c>
      <c r="D65" t="inlineStr">
        <is>
          <t>uni/infra/accportprof-INTP_2ACI_LE_INGENIE_151/hports-INTS_PORT-34-typ-range/rsaccBas</t>
        </is>
      </c>
      <c r="E65">
        <f>_xlfn.TEXTBEFORE(_xlfn.TEXTAFTER(D65,"accportprof-"),"/")</f>
        <v/>
      </c>
      <c r="F65">
        <f>_xlfn.TEXTBEFORE(_xlfn.TEXTAFTER(D65,"hports-"),"-typ")</f>
        <v/>
      </c>
      <c r="G65" t="inlineStr">
        <is>
          <t>uni/infra/funcprof/accportgrp-PG_ACC_151_1.34</t>
        </is>
      </c>
      <c r="H65">
        <f>IFERROR(
 MID(G65, SEARCH("accportgrp-", LOWER(G65)) + 11, LEN(G65)),
 IFERROR(
  MID(G65, SEARCH("accbundle-", LOWER(G65)) + 10, LEN(G65)),
  IFERROR(
   MID(G65, SEARCH("brkoutportgrp-", LOWER(G65)) + 14, LEN(G65)),
   ""
  )
 )
)</f>
        <v/>
      </c>
    </row>
    <row r="66">
      <c r="A66">
        <f>TRIM(
  _xlfn.IFNA(
    _xlfn.TEXTBEFORE(_xlfn.TEXTAFTER(D66, "Leaf"), "/"),
    _xlfn.TEXTAFTER(
      MID(
        _xlfn.TEXTBEFORE(_xlfn.TEXTAFTER(D66, "INTP_"), "/"),
        16,
        LEN(_xlfn.TEXTBEFORE(_xlfn.TEXTAFTER(D66, "INTP_"), "/"))
      ),
      "_"
    )
  )
)</f>
        <v/>
      </c>
      <c r="B66">
        <f>_xlfn.CONCAT(
  "eth1/",
  _xlfn.IFNA(
    _xlfn.TEXTBEFORE(_xlfn.TEXTAFTER(LOWER(D66),"isel-1."),"-"),
    _xlfn.IFNA(
      _xlfn.TEXTBEFORE(_xlfn.TEXTAFTER(LOWER(D66),"ints_port-"),"-"),
      _xlfn.TEXTBEFORE(_xlfn.TEXTAFTER(LOWER(D66),"inst_port-"),"-")
    )
  )
)</f>
        <v/>
      </c>
      <c r="C66">
        <f>_xlfn.CONCAT(A66,B66)</f>
        <v/>
      </c>
      <c r="D66" t="inlineStr">
        <is>
          <t>uni/infra/accportprof-INTP_2ACI_LE_INGENIE_151/hports-INTS_PORT-14-typ-range/rsaccBas</t>
        </is>
      </c>
      <c r="E66">
        <f>_xlfn.TEXTBEFORE(_xlfn.TEXTAFTER(D66,"accportprof-"),"/")</f>
        <v/>
      </c>
      <c r="F66">
        <f>_xlfn.TEXTBEFORE(_xlfn.TEXTAFTER(D66,"hports-"),"-typ")</f>
        <v/>
      </c>
      <c r="G66" t="inlineStr">
        <is>
          <t>uni/infra/funcprof/accportgrp-PG_ACC_151_1.14</t>
        </is>
      </c>
      <c r="H66">
        <f>IFERROR(
 MID(G66, SEARCH("accportgrp-", LOWER(G66)) + 11, LEN(G66)),
 IFERROR(
  MID(G66, SEARCH("accbundle-", LOWER(G66)) + 10, LEN(G66)),
  IFERROR(
   MID(G66, SEARCH("brkoutportgrp-", LOWER(G66)) + 14, LEN(G66)),
   ""
  )
 )
)</f>
        <v/>
      </c>
    </row>
    <row r="67">
      <c r="A67">
        <f>TRIM(
  _xlfn.IFNA(
    _xlfn.TEXTBEFORE(_xlfn.TEXTAFTER(D67, "Leaf"), "/"),
    _xlfn.TEXTAFTER(
      MID(
        _xlfn.TEXTBEFORE(_xlfn.TEXTAFTER(D67, "INTP_"), "/"),
        16,
        LEN(_xlfn.TEXTBEFORE(_xlfn.TEXTAFTER(D67, "INTP_"), "/"))
      ),
      "_"
    )
  )
)</f>
        <v/>
      </c>
      <c r="B67">
        <f>_xlfn.CONCAT(
  "eth1/",
  _xlfn.IFNA(
    _xlfn.TEXTBEFORE(_xlfn.TEXTAFTER(LOWER(D67),"isel-1."),"-"),
    _xlfn.IFNA(
      _xlfn.TEXTBEFORE(_xlfn.TEXTAFTER(LOWER(D67),"ints_port-"),"-"),
      _xlfn.TEXTBEFORE(_xlfn.TEXTAFTER(LOWER(D67),"inst_port-"),"-")
    )
  )
)</f>
        <v/>
      </c>
      <c r="C67">
        <f>_xlfn.CONCAT(A67,B67)</f>
        <v/>
      </c>
      <c r="D67" t="inlineStr">
        <is>
          <t>uni/infra/accportprof-INTP_2ACI_LE_INGENIE_151/hports-INTS_PORT-9-typ-range/rsaccBase</t>
        </is>
      </c>
      <c r="E67">
        <f>_xlfn.TEXTBEFORE(_xlfn.TEXTAFTER(D67,"accportprof-"),"/")</f>
        <v/>
      </c>
      <c r="F67">
        <f>_xlfn.TEXTBEFORE(_xlfn.TEXTAFTER(D67,"hports-"),"-typ")</f>
        <v/>
      </c>
      <c r="G67" t="inlineStr">
        <is>
          <t>uni/infra/funcprof/accportgrp-PG_ACC_151_1.9</t>
        </is>
      </c>
      <c r="H67">
        <f>IFERROR(
 MID(G67, SEARCH("accportgrp-", LOWER(G67)) + 11, LEN(G67)),
 IFERROR(
  MID(G67, SEARCH("accbundle-", LOWER(G67)) + 10, LEN(G67)),
  IFERROR(
   MID(G67, SEARCH("brkoutportgrp-", LOWER(G67)) + 14, LEN(G67)),
   ""
  )
 )
)</f>
        <v/>
      </c>
    </row>
    <row r="68">
      <c r="A68">
        <f>TRIM(
  _xlfn.IFNA(
    _xlfn.TEXTBEFORE(_xlfn.TEXTAFTER(D68, "Leaf"), "/"),
    _xlfn.TEXTAFTER(
      MID(
        _xlfn.TEXTBEFORE(_xlfn.TEXTAFTER(D68, "INTP_"), "/"),
        16,
        LEN(_xlfn.TEXTBEFORE(_xlfn.TEXTAFTER(D68, "INTP_"), "/"))
      ),
      "_"
    )
  )
)</f>
        <v/>
      </c>
      <c r="B68">
        <f>_xlfn.CONCAT(
  "eth1/",
  _xlfn.IFNA(
    _xlfn.TEXTBEFORE(_xlfn.TEXTAFTER(LOWER(D68),"isel-1."),"-"),
    _xlfn.IFNA(
      _xlfn.TEXTBEFORE(_xlfn.TEXTAFTER(LOWER(D68),"ints_port-"),"-"),
      _xlfn.TEXTBEFORE(_xlfn.TEXTAFTER(LOWER(D68),"inst_port-"),"-")
    )
  )
)</f>
        <v/>
      </c>
      <c r="C68">
        <f>_xlfn.CONCAT(A68,B68)</f>
        <v/>
      </c>
      <c r="D68" t="inlineStr">
        <is>
          <t>uni/infra/accportprof-INTP_2ACI_LE_INGENIE_151/hports-INTS_PORT-16-typ-range/rsaccBas</t>
        </is>
      </c>
      <c r="E68">
        <f>_xlfn.TEXTBEFORE(_xlfn.TEXTAFTER(D68,"accportprof-"),"/")</f>
        <v/>
      </c>
      <c r="F68">
        <f>_xlfn.TEXTBEFORE(_xlfn.TEXTAFTER(D68,"hports-"),"-typ")</f>
        <v/>
      </c>
      <c r="G68" t="inlineStr">
        <is>
          <t>uni/infra/funcprof/accportgrp-PG_ACC_151_1.16</t>
        </is>
      </c>
      <c r="H68">
        <f>IFERROR(
 MID(G68, SEARCH("accportgrp-", LOWER(G68)) + 11, LEN(G68)),
 IFERROR(
  MID(G68, SEARCH("accbundle-", LOWER(G68)) + 10, LEN(G68)),
  IFERROR(
   MID(G68, SEARCH("brkoutportgrp-", LOWER(G68)) + 14, LEN(G68)),
   ""
  )
 )
)</f>
        <v/>
      </c>
    </row>
    <row r="69">
      <c r="A69">
        <f>TRIM(
  _xlfn.IFNA(
    _xlfn.TEXTBEFORE(_xlfn.TEXTAFTER(D69, "Leaf"), "/"),
    _xlfn.TEXTAFTER(
      MID(
        _xlfn.TEXTBEFORE(_xlfn.TEXTAFTER(D69, "INTP_"), "/"),
        16,
        LEN(_xlfn.TEXTBEFORE(_xlfn.TEXTAFTER(D69, "INTP_"), "/"))
      ),
      "_"
    )
  )
)</f>
        <v/>
      </c>
      <c r="B69">
        <f>_xlfn.CONCAT(
  "eth1/",
  _xlfn.IFNA(
    _xlfn.TEXTBEFORE(_xlfn.TEXTAFTER(LOWER(D69),"isel-1."),"-"),
    _xlfn.IFNA(
      _xlfn.TEXTBEFORE(_xlfn.TEXTAFTER(LOWER(D69),"ints_port-"),"-"),
      _xlfn.TEXTBEFORE(_xlfn.TEXTAFTER(LOWER(D69),"inst_port-"),"-")
    )
  )
)</f>
        <v/>
      </c>
      <c r="C69">
        <f>_xlfn.CONCAT(A69,B69)</f>
        <v/>
      </c>
      <c r="D69" t="inlineStr">
        <is>
          <t>uni/infra/accportprof-INTP_2ACI_LE_INGENIE_151/hports-INTS_PORT-25-typ-range/rsaccBas</t>
        </is>
      </c>
      <c r="E69">
        <f>_xlfn.TEXTBEFORE(_xlfn.TEXTAFTER(D69,"accportprof-"),"/")</f>
        <v/>
      </c>
      <c r="F69">
        <f>_xlfn.TEXTBEFORE(_xlfn.TEXTAFTER(D69,"hports-"),"-typ")</f>
        <v/>
      </c>
      <c r="G69" t="inlineStr">
        <is>
          <t>uni/infra/funcprof/accbundle-PG_PC_151_1.21-23_25</t>
        </is>
      </c>
      <c r="H69">
        <f>IFERROR(
 MID(G69, SEARCH("accportgrp-", LOWER(G69)) + 11, LEN(G69)),
 IFERROR(
  MID(G69, SEARCH("accbundle-", LOWER(G69)) + 10, LEN(G69)),
  IFERROR(
   MID(G69, SEARCH("brkoutportgrp-", LOWER(G69)) + 14, LEN(G69)),
   ""
  )
 )
)</f>
        <v/>
      </c>
    </row>
    <row r="70">
      <c r="A70">
        <f>TRIM(
  _xlfn.IFNA(
    _xlfn.TEXTBEFORE(_xlfn.TEXTAFTER(D70, "Leaf"), "/"),
    _xlfn.TEXTAFTER(
      MID(
        _xlfn.TEXTBEFORE(_xlfn.TEXTAFTER(D70, "INTP_"), "/"),
        16,
        LEN(_xlfn.TEXTBEFORE(_xlfn.TEXTAFTER(D70, "INTP_"), "/"))
      ),
      "_"
    )
  )
)</f>
        <v/>
      </c>
      <c r="B70">
        <f>_xlfn.CONCAT(
  "eth1/",
  _xlfn.IFNA(
    _xlfn.TEXTBEFORE(_xlfn.TEXTAFTER(LOWER(D70),"isel-1."),"-"),
    _xlfn.IFNA(
      _xlfn.TEXTBEFORE(_xlfn.TEXTAFTER(LOWER(D70),"ints_port-"),"-"),
      _xlfn.TEXTBEFORE(_xlfn.TEXTAFTER(LOWER(D70),"inst_port-"),"-")
    )
  )
)</f>
        <v/>
      </c>
      <c r="C70">
        <f>_xlfn.CONCAT(A70,B70)</f>
        <v/>
      </c>
      <c r="D70" t="inlineStr">
        <is>
          <t>uni/infra/accportprof-INTP_2ACI_LE_INGENIE_151/hports-INTS_PORT-46-typ-range/rsaccBas</t>
        </is>
      </c>
      <c r="E70">
        <f>_xlfn.TEXTBEFORE(_xlfn.TEXTAFTER(D70,"accportprof-"),"/")</f>
        <v/>
      </c>
      <c r="F70">
        <f>_xlfn.TEXTBEFORE(_xlfn.TEXTAFTER(D70,"hports-"),"-typ")</f>
        <v/>
      </c>
      <c r="G70" t="inlineStr">
        <is>
          <t>uni/infra/funcprof/accportgrp-PG_ACC_151_1.46</t>
        </is>
      </c>
      <c r="H70">
        <f>IFERROR(
 MID(G70, SEARCH("accportgrp-", LOWER(G70)) + 11, LEN(G70)),
 IFERROR(
  MID(G70, SEARCH("accbundle-", LOWER(G70)) + 10, LEN(G70)),
  IFERROR(
   MID(G70, SEARCH("brkoutportgrp-", LOWER(G70)) + 14, LEN(G70)),
   ""
  )
 )
)</f>
        <v/>
      </c>
    </row>
    <row r="71">
      <c r="A71">
        <f>TRIM(
  _xlfn.IFNA(
    _xlfn.TEXTBEFORE(_xlfn.TEXTAFTER(D71, "Leaf"), "/"),
    _xlfn.TEXTAFTER(
      MID(
        _xlfn.TEXTBEFORE(_xlfn.TEXTAFTER(D71, "INTP_"), "/"),
        16,
        LEN(_xlfn.TEXTBEFORE(_xlfn.TEXTAFTER(D71, "INTP_"), "/"))
      ),
      "_"
    )
  )
)</f>
        <v/>
      </c>
      <c r="B71">
        <f>_xlfn.CONCAT(
  "eth1/",
  _xlfn.IFNA(
    _xlfn.TEXTBEFORE(_xlfn.TEXTAFTER(LOWER(D71),"isel-1."),"-"),
    _xlfn.IFNA(
      _xlfn.TEXTBEFORE(_xlfn.TEXTAFTER(LOWER(D71),"ints_port-"),"-"),
      _xlfn.TEXTBEFORE(_xlfn.TEXTAFTER(LOWER(D71),"inst_port-"),"-")
    )
  )
)</f>
        <v/>
      </c>
      <c r="C71">
        <f>_xlfn.CONCAT(A71,B71)</f>
        <v/>
      </c>
      <c r="D71" t="inlineStr">
        <is>
          <t>uni/infra/accportprof-INTP_2ACI_LE_INGENIE_152/hports-INTS_PORT-47-typ-range/rsaccBas</t>
        </is>
      </c>
      <c r="E71">
        <f>_xlfn.TEXTBEFORE(_xlfn.TEXTAFTER(D71,"accportprof-"),"/")</f>
        <v/>
      </c>
      <c r="F71">
        <f>_xlfn.TEXTBEFORE(_xlfn.TEXTAFTER(D71,"hports-"),"-typ")</f>
        <v/>
      </c>
      <c r="G71" t="inlineStr">
        <is>
          <t>uni/infra/funcprof/accportgrp-PG_ACC_152_1.47</t>
        </is>
      </c>
      <c r="H71">
        <f>IFERROR(
 MID(G71, SEARCH("accportgrp-", LOWER(G71)) + 11, LEN(G71)),
 IFERROR(
  MID(G71, SEARCH("accbundle-", LOWER(G71)) + 10, LEN(G71)),
  IFERROR(
   MID(G71, SEARCH("brkoutportgrp-", LOWER(G71)) + 14, LEN(G71)),
   ""
  )
 )
)</f>
        <v/>
      </c>
    </row>
    <row r="72">
      <c r="A72">
        <f>TRIM(
  _xlfn.IFNA(
    _xlfn.TEXTBEFORE(_xlfn.TEXTAFTER(D72, "Leaf"), "/"),
    _xlfn.TEXTAFTER(
      MID(
        _xlfn.TEXTBEFORE(_xlfn.TEXTAFTER(D72, "INTP_"), "/"),
        16,
        LEN(_xlfn.TEXTBEFORE(_xlfn.TEXTAFTER(D72, "INTP_"), "/"))
      ),
      "_"
    )
  )
)</f>
        <v/>
      </c>
      <c r="B72">
        <f>_xlfn.CONCAT(
  "eth1/",
  _xlfn.IFNA(
    _xlfn.TEXTBEFORE(_xlfn.TEXTAFTER(LOWER(D72),"isel-1."),"-"),
    _xlfn.IFNA(
      _xlfn.TEXTBEFORE(_xlfn.TEXTAFTER(LOWER(D72),"ints_port-"),"-"),
      _xlfn.TEXTBEFORE(_xlfn.TEXTAFTER(LOWER(D72),"inst_port-"),"-")
    )
  )
)</f>
        <v/>
      </c>
      <c r="C72">
        <f>_xlfn.CONCAT(A72,B72)</f>
        <v/>
      </c>
      <c r="D72" t="inlineStr">
        <is>
          <t>uni/infra/accportprof-INTP_2ACI_LE_INGENIE_152/hports-INTS_PORT-8-typ-range/rsaccBase</t>
        </is>
      </c>
      <c r="E72">
        <f>_xlfn.TEXTBEFORE(_xlfn.TEXTAFTER(D72,"accportprof-"),"/")</f>
        <v/>
      </c>
      <c r="F72">
        <f>_xlfn.TEXTBEFORE(_xlfn.TEXTAFTER(D72,"hports-"),"-typ")</f>
        <v/>
      </c>
      <c r="G72" t="inlineStr">
        <is>
          <t>uni/infra/funcprof/accportgrp-PG_ACC_152_1.8</t>
        </is>
      </c>
      <c r="H72">
        <f>IFERROR(
 MID(G72, SEARCH("accportgrp-", LOWER(G72)) + 11, LEN(G72)),
 IFERROR(
  MID(G72, SEARCH("accbundle-", LOWER(G72)) + 10, LEN(G72)),
  IFERROR(
   MID(G72, SEARCH("brkoutportgrp-", LOWER(G72)) + 14, LEN(G72)),
   ""
  )
 )
)</f>
        <v/>
      </c>
    </row>
    <row r="73">
      <c r="A73">
        <f>TRIM(
  _xlfn.IFNA(
    _xlfn.TEXTBEFORE(_xlfn.TEXTAFTER(D73, "Leaf"), "/"),
    _xlfn.TEXTAFTER(
      MID(
        _xlfn.TEXTBEFORE(_xlfn.TEXTAFTER(D73, "INTP_"), "/"),
        16,
        LEN(_xlfn.TEXTBEFORE(_xlfn.TEXTAFTER(D73, "INTP_"), "/"))
      ),
      "_"
    )
  )
)</f>
        <v/>
      </c>
      <c r="B73">
        <f>_xlfn.CONCAT(
  "eth1/",
  _xlfn.IFNA(
    _xlfn.TEXTBEFORE(_xlfn.TEXTAFTER(LOWER(D73),"isel-1."),"-"),
    _xlfn.IFNA(
      _xlfn.TEXTBEFORE(_xlfn.TEXTAFTER(LOWER(D73),"ints_port-"),"-"),
      _xlfn.TEXTBEFORE(_xlfn.TEXTAFTER(LOWER(D73),"inst_port-"),"-")
    )
  )
)</f>
        <v/>
      </c>
      <c r="C73">
        <f>_xlfn.CONCAT(A73,B73)</f>
        <v/>
      </c>
      <c r="D73" t="inlineStr">
        <is>
          <t>uni/infra/accportprof-INTP_2ACI_LE_INGENIE_152/hports-INTS_PORT-4-typ-range/rsaccBase</t>
        </is>
      </c>
      <c r="E73">
        <f>_xlfn.TEXTBEFORE(_xlfn.TEXTAFTER(D73,"accportprof-"),"/")</f>
        <v/>
      </c>
      <c r="F73">
        <f>_xlfn.TEXTBEFORE(_xlfn.TEXTAFTER(D73,"hports-"),"-typ")</f>
        <v/>
      </c>
      <c r="G73" t="inlineStr">
        <is>
          <t>uni/infra/funcprof/accportgrp-PG_ACC_152_1.4</t>
        </is>
      </c>
      <c r="H73">
        <f>IFERROR(
 MID(G73, SEARCH("accportgrp-", LOWER(G73)) + 11, LEN(G73)),
 IFERROR(
  MID(G73, SEARCH("accbundle-", LOWER(G73)) + 10, LEN(G73)),
  IFERROR(
   MID(G73, SEARCH("brkoutportgrp-", LOWER(G73)) + 14, LEN(G73)),
   ""
  )
 )
)</f>
        <v/>
      </c>
    </row>
    <row r="74">
      <c r="A74">
        <f>TRIM(
  _xlfn.IFNA(
    _xlfn.TEXTBEFORE(_xlfn.TEXTAFTER(D74, "Leaf"), "/"),
    _xlfn.TEXTAFTER(
      MID(
        _xlfn.TEXTBEFORE(_xlfn.TEXTAFTER(D74, "INTP_"), "/"),
        16,
        LEN(_xlfn.TEXTBEFORE(_xlfn.TEXTAFTER(D74, "INTP_"), "/"))
      ),
      "_"
    )
  )
)</f>
        <v/>
      </c>
      <c r="B74">
        <f>_xlfn.CONCAT(
  "eth1/",
  _xlfn.IFNA(
    _xlfn.TEXTBEFORE(_xlfn.TEXTAFTER(LOWER(D74),"isel-1."),"-"),
    _xlfn.IFNA(
      _xlfn.TEXTBEFORE(_xlfn.TEXTAFTER(LOWER(D74),"ints_port-"),"-"),
      _xlfn.TEXTBEFORE(_xlfn.TEXTAFTER(LOWER(D74),"inst_port-"),"-")
    )
  )
)</f>
        <v/>
      </c>
      <c r="C74">
        <f>_xlfn.CONCAT(A74,B74)</f>
        <v/>
      </c>
      <c r="D74" t="inlineStr">
        <is>
          <t>uni/infra/accportprof-INTP_2ACI_LE_INGENIE_152/hports-INTS_PORT-3-typ-range/rsaccBase</t>
        </is>
      </c>
      <c r="E74">
        <f>_xlfn.TEXTBEFORE(_xlfn.TEXTAFTER(D74,"accportprof-"),"/")</f>
        <v/>
      </c>
      <c r="F74">
        <f>_xlfn.TEXTBEFORE(_xlfn.TEXTAFTER(D74,"hports-"),"-typ")</f>
        <v/>
      </c>
      <c r="G74" t="inlineStr">
        <is>
          <t>uni/infra/funcprof/accportgrp-PG_ACC_152_1.3</t>
        </is>
      </c>
      <c r="H74">
        <f>IFERROR(
 MID(G74, SEARCH("accportgrp-", LOWER(G74)) + 11, LEN(G74)),
 IFERROR(
  MID(G74, SEARCH("accbundle-", LOWER(G74)) + 10, LEN(G74)),
  IFERROR(
   MID(G74, SEARCH("brkoutportgrp-", LOWER(G74)) + 14, LEN(G74)),
   ""
  )
 )
)</f>
        <v/>
      </c>
    </row>
    <row r="75">
      <c r="A75">
        <f>TRIM(
  _xlfn.IFNA(
    _xlfn.TEXTBEFORE(_xlfn.TEXTAFTER(D75, "Leaf"), "/"),
    _xlfn.TEXTAFTER(
      MID(
        _xlfn.TEXTBEFORE(_xlfn.TEXTAFTER(D75, "INTP_"), "/"),
        16,
        LEN(_xlfn.TEXTBEFORE(_xlfn.TEXTAFTER(D75, "INTP_"), "/"))
      ),
      "_"
    )
  )
)</f>
        <v/>
      </c>
      <c r="B75">
        <f>_xlfn.CONCAT(
  "eth1/",
  _xlfn.IFNA(
    _xlfn.TEXTBEFORE(_xlfn.TEXTAFTER(LOWER(D75),"isel-1."),"-"),
    _xlfn.IFNA(
      _xlfn.TEXTBEFORE(_xlfn.TEXTAFTER(LOWER(D75),"ints_port-"),"-"),
      _xlfn.TEXTBEFORE(_xlfn.TEXTAFTER(LOWER(D75),"inst_port-"),"-")
    )
  )
)</f>
        <v/>
      </c>
      <c r="C75">
        <f>_xlfn.CONCAT(A75,B75)</f>
        <v/>
      </c>
      <c r="D75" t="inlineStr">
        <is>
          <t>uni/infra/accportprof-INTP_2ACI_LE_INGENIE_152/hports-INTS_PORT-21-typ-range/rsaccBas</t>
        </is>
      </c>
      <c r="E75">
        <f>_xlfn.TEXTBEFORE(_xlfn.TEXTAFTER(D75,"accportprof-"),"/")</f>
        <v/>
      </c>
      <c r="F75">
        <f>_xlfn.TEXTBEFORE(_xlfn.TEXTAFTER(D75,"hports-"),"-typ")</f>
        <v/>
      </c>
      <c r="G75" t="inlineStr">
        <is>
          <t>uni/infra/funcprof/accbundle-PG_PC_152_1.21-22_24</t>
        </is>
      </c>
      <c r="H75">
        <f>IFERROR(
 MID(G75, SEARCH("accportgrp-", LOWER(G75)) + 11, LEN(G75)),
 IFERROR(
  MID(G75, SEARCH("accbundle-", LOWER(G75)) + 10, LEN(G75)),
  IFERROR(
   MID(G75, SEARCH("brkoutportgrp-", LOWER(G75)) + 14, LEN(G75)),
   ""
  )
 )
)</f>
        <v/>
      </c>
    </row>
    <row r="76">
      <c r="A76">
        <f>TRIM(
  _xlfn.IFNA(
    _xlfn.TEXTBEFORE(_xlfn.TEXTAFTER(D76, "Leaf"), "/"),
    _xlfn.TEXTAFTER(
      MID(
        _xlfn.TEXTBEFORE(_xlfn.TEXTAFTER(D76, "INTP_"), "/"),
        16,
        LEN(_xlfn.TEXTBEFORE(_xlfn.TEXTAFTER(D76, "INTP_"), "/"))
      ),
      "_"
    )
  )
)</f>
        <v/>
      </c>
      <c r="B76">
        <f>_xlfn.CONCAT(
  "eth1/",
  _xlfn.IFNA(
    _xlfn.TEXTBEFORE(_xlfn.TEXTAFTER(LOWER(D76),"isel-1."),"-"),
    _xlfn.IFNA(
      _xlfn.TEXTBEFORE(_xlfn.TEXTAFTER(LOWER(D76),"ints_port-"),"-"),
      _xlfn.TEXTBEFORE(_xlfn.TEXTAFTER(LOWER(D76),"inst_port-"),"-")
    )
  )
)</f>
        <v/>
      </c>
      <c r="C76">
        <f>_xlfn.CONCAT(A76,B76)</f>
        <v/>
      </c>
      <c r="D76" t="inlineStr">
        <is>
          <t>uni/infra/accportprof-INTP_2ACI_LE_INGENIE_152/hports-INTS_PORT-18-typ-range/rsaccBas</t>
        </is>
      </c>
      <c r="E76">
        <f>_xlfn.TEXTBEFORE(_xlfn.TEXTAFTER(D76,"accportprof-"),"/")</f>
        <v/>
      </c>
      <c r="F76">
        <f>_xlfn.TEXTBEFORE(_xlfn.TEXTAFTER(D76,"hports-"),"-typ")</f>
        <v/>
      </c>
      <c r="G76" t="inlineStr">
        <is>
          <t>uni/infra/funcprof/accportgrp-PG_ACC_152_1.18</t>
        </is>
      </c>
      <c r="H76">
        <f>IFERROR(
 MID(G76, SEARCH("accportgrp-", LOWER(G76)) + 11, LEN(G76)),
 IFERROR(
  MID(G76, SEARCH("accbundle-", LOWER(G76)) + 10, LEN(G76)),
  IFERROR(
   MID(G76, SEARCH("brkoutportgrp-", LOWER(G76)) + 14, LEN(G76)),
   ""
  )
 )
)</f>
        <v/>
      </c>
    </row>
    <row r="77">
      <c r="A77">
        <f>TRIM(
  _xlfn.IFNA(
    _xlfn.TEXTBEFORE(_xlfn.TEXTAFTER(D77, "Leaf"), "/"),
    _xlfn.TEXTAFTER(
      MID(
        _xlfn.TEXTBEFORE(_xlfn.TEXTAFTER(D77, "INTP_"), "/"),
        16,
        LEN(_xlfn.TEXTBEFORE(_xlfn.TEXTAFTER(D77, "INTP_"), "/"))
      ),
      "_"
    )
  )
)</f>
        <v/>
      </c>
      <c r="B77">
        <f>_xlfn.CONCAT(
  "eth1/",
  _xlfn.IFNA(
    _xlfn.TEXTBEFORE(_xlfn.TEXTAFTER(LOWER(D77),"isel-1."),"-"),
    _xlfn.IFNA(
      _xlfn.TEXTBEFORE(_xlfn.TEXTAFTER(LOWER(D77),"ints_port-"),"-"),
      _xlfn.TEXTBEFORE(_xlfn.TEXTAFTER(LOWER(D77),"inst_port-"),"-")
    )
  )
)</f>
        <v/>
      </c>
      <c r="C77">
        <f>_xlfn.CONCAT(A77,B77)</f>
        <v/>
      </c>
      <c r="D77" t="inlineStr">
        <is>
          <t>uni/infra/accportprof-INTP_2ACI_LE_INGENIE_152/hports-INTS_PORT-22-typ-range/rsaccBas</t>
        </is>
      </c>
      <c r="E77">
        <f>_xlfn.TEXTBEFORE(_xlfn.TEXTAFTER(D77,"accportprof-"),"/")</f>
        <v/>
      </c>
      <c r="F77">
        <f>_xlfn.TEXTBEFORE(_xlfn.TEXTAFTER(D77,"hports-"),"-typ")</f>
        <v/>
      </c>
      <c r="G77" t="inlineStr">
        <is>
          <t>uni/infra/funcprof/accbundle-PG_PC_152_1.21-22_24</t>
        </is>
      </c>
      <c r="H77">
        <f>IFERROR(
 MID(G77, SEARCH("accportgrp-", LOWER(G77)) + 11, LEN(G77)),
 IFERROR(
  MID(G77, SEARCH("accbundle-", LOWER(G77)) + 10, LEN(G77)),
  IFERROR(
   MID(G77, SEARCH("brkoutportgrp-", LOWER(G77)) + 14, LEN(G77)),
   ""
  )
 )
)</f>
        <v/>
      </c>
    </row>
    <row r="78">
      <c r="A78">
        <f>TRIM(
  _xlfn.IFNA(
    _xlfn.TEXTBEFORE(_xlfn.TEXTAFTER(D78, "Leaf"), "/"),
    _xlfn.TEXTAFTER(
      MID(
        _xlfn.TEXTBEFORE(_xlfn.TEXTAFTER(D78, "INTP_"), "/"),
        16,
        LEN(_xlfn.TEXTBEFORE(_xlfn.TEXTAFTER(D78, "INTP_"), "/"))
      ),
      "_"
    )
  )
)</f>
        <v/>
      </c>
      <c r="B78">
        <f>_xlfn.CONCAT(
  "eth1/",
  _xlfn.IFNA(
    _xlfn.TEXTBEFORE(_xlfn.TEXTAFTER(LOWER(D78),"isel-1."),"-"),
    _xlfn.IFNA(
      _xlfn.TEXTBEFORE(_xlfn.TEXTAFTER(LOWER(D78),"ints_port-"),"-"),
      _xlfn.TEXTBEFORE(_xlfn.TEXTAFTER(LOWER(D78),"inst_port-"),"-")
    )
  )
)</f>
        <v/>
      </c>
      <c r="C78">
        <f>_xlfn.CONCAT(A78,B78)</f>
        <v/>
      </c>
      <c r="D78" t="inlineStr">
        <is>
          <t>uni/infra/accportprof-INTP_2ACI_LE_INGENIE_152/hports-INTS_PORT-12-typ-range/rsaccBas</t>
        </is>
      </c>
      <c r="E78">
        <f>_xlfn.TEXTBEFORE(_xlfn.TEXTAFTER(D78,"accportprof-"),"/")</f>
        <v/>
      </c>
      <c r="F78">
        <f>_xlfn.TEXTBEFORE(_xlfn.TEXTAFTER(D78,"hports-"),"-typ")</f>
        <v/>
      </c>
      <c r="G78" t="inlineStr">
        <is>
          <t>uni/infra/funcprof/accportgrp-PG_ACC_152_1.12</t>
        </is>
      </c>
      <c r="H78">
        <f>IFERROR(
 MID(G78, SEARCH("accportgrp-", LOWER(G78)) + 11, LEN(G78)),
 IFERROR(
  MID(G78, SEARCH("accbundle-", LOWER(G78)) + 10, LEN(G78)),
  IFERROR(
   MID(G78, SEARCH("brkoutportgrp-", LOWER(G78)) + 14, LEN(G78)),
   ""
  )
 )
)</f>
        <v/>
      </c>
    </row>
    <row r="79">
      <c r="A79">
        <f>TRIM(
  _xlfn.IFNA(
    _xlfn.TEXTBEFORE(_xlfn.TEXTAFTER(D79, "Leaf"), "/"),
    _xlfn.TEXTAFTER(
      MID(
        _xlfn.TEXTBEFORE(_xlfn.TEXTAFTER(D79, "INTP_"), "/"),
        16,
        LEN(_xlfn.TEXTBEFORE(_xlfn.TEXTAFTER(D79, "INTP_"), "/"))
      ),
      "_"
    )
  )
)</f>
        <v/>
      </c>
      <c r="B79">
        <f>_xlfn.CONCAT(
  "eth1/",
  _xlfn.IFNA(
    _xlfn.TEXTBEFORE(_xlfn.TEXTAFTER(LOWER(D79),"isel-1."),"-"),
    _xlfn.IFNA(
      _xlfn.TEXTBEFORE(_xlfn.TEXTAFTER(LOWER(D79),"ints_port-"),"-"),
      _xlfn.TEXTBEFORE(_xlfn.TEXTAFTER(LOWER(D79),"inst_port-"),"-")
    )
  )
)</f>
        <v/>
      </c>
      <c r="C79">
        <f>_xlfn.CONCAT(A79,B79)</f>
        <v/>
      </c>
      <c r="D79" t="inlineStr">
        <is>
          <t>uni/infra/accportprof-INTP_2ACI_LE_INGENIE_152/hports-INTS_PORT-5-typ-range/rsaccBase</t>
        </is>
      </c>
      <c r="E79">
        <f>_xlfn.TEXTBEFORE(_xlfn.TEXTAFTER(D79,"accportprof-"),"/")</f>
        <v/>
      </c>
      <c r="F79">
        <f>_xlfn.TEXTBEFORE(_xlfn.TEXTAFTER(D79,"hports-"),"-typ")</f>
        <v/>
      </c>
      <c r="G79" t="inlineStr">
        <is>
          <t>uni/infra/funcprof/accportgrp-PG_ACC_152_1.5</t>
        </is>
      </c>
      <c r="H79">
        <f>IFERROR(
 MID(G79, SEARCH("accportgrp-", LOWER(G79)) + 11, LEN(G79)),
 IFERROR(
  MID(G79, SEARCH("accbundle-", LOWER(G79)) + 10, LEN(G79)),
  IFERROR(
   MID(G79, SEARCH("brkoutportgrp-", LOWER(G79)) + 14, LEN(G79)),
   ""
  )
 )
)</f>
        <v/>
      </c>
    </row>
    <row r="80">
      <c r="A80">
        <f>TRIM(
  _xlfn.IFNA(
    _xlfn.TEXTBEFORE(_xlfn.TEXTAFTER(D80, "Leaf"), "/"),
    _xlfn.TEXTAFTER(
      MID(
        _xlfn.TEXTBEFORE(_xlfn.TEXTAFTER(D80, "INTP_"), "/"),
        16,
        LEN(_xlfn.TEXTBEFORE(_xlfn.TEXTAFTER(D80, "INTP_"), "/"))
      ),
      "_"
    )
  )
)</f>
        <v/>
      </c>
      <c r="B80">
        <f>_xlfn.CONCAT(
  "eth1/",
  _xlfn.IFNA(
    _xlfn.TEXTBEFORE(_xlfn.TEXTAFTER(LOWER(D80),"isel-1."),"-"),
    _xlfn.IFNA(
      _xlfn.TEXTBEFORE(_xlfn.TEXTAFTER(LOWER(D80),"ints_port-"),"-"),
      _xlfn.TEXTBEFORE(_xlfn.TEXTAFTER(LOWER(D80),"inst_port-"),"-")
    )
  )
)</f>
        <v/>
      </c>
      <c r="C80">
        <f>_xlfn.CONCAT(A80,B80)</f>
        <v/>
      </c>
      <c r="D80" t="inlineStr">
        <is>
          <t>uni/infra/accportprof-INTP_2ACI_LE_INGENIE_152/hports-INTS_PORT-1-typ-range/rsaccBase</t>
        </is>
      </c>
      <c r="E80">
        <f>_xlfn.TEXTBEFORE(_xlfn.TEXTAFTER(D80,"accportprof-"),"/")</f>
        <v/>
      </c>
      <c r="F80">
        <f>_xlfn.TEXTBEFORE(_xlfn.TEXTAFTER(D80,"hports-"),"-typ")</f>
        <v/>
      </c>
      <c r="G80" t="inlineStr">
        <is>
          <t>uni/infra/funcprof/accportgrp-PG_ACC_152_1.1</t>
        </is>
      </c>
      <c r="H80">
        <f>IFERROR(
 MID(G80, SEARCH("accportgrp-", LOWER(G80)) + 11, LEN(G80)),
 IFERROR(
  MID(G80, SEARCH("accbundle-", LOWER(G80)) + 10, LEN(G80)),
  IFERROR(
   MID(G80, SEARCH("brkoutportgrp-", LOWER(G80)) + 14, LEN(G80)),
   ""
  )
 )
)</f>
        <v/>
      </c>
    </row>
    <row r="81">
      <c r="A81">
        <f>TRIM(
  _xlfn.IFNA(
    _xlfn.TEXTBEFORE(_xlfn.TEXTAFTER(D81, "Leaf"), "/"),
    _xlfn.TEXTAFTER(
      MID(
        _xlfn.TEXTBEFORE(_xlfn.TEXTAFTER(D81, "INTP_"), "/"),
        16,
        LEN(_xlfn.TEXTBEFORE(_xlfn.TEXTAFTER(D81, "INTP_"), "/"))
      ),
      "_"
    )
  )
)</f>
        <v/>
      </c>
      <c r="B81">
        <f>_xlfn.CONCAT(
  "eth1/",
  _xlfn.IFNA(
    _xlfn.TEXTBEFORE(_xlfn.TEXTAFTER(LOWER(D81),"isel-1."),"-"),
    _xlfn.IFNA(
      _xlfn.TEXTBEFORE(_xlfn.TEXTAFTER(LOWER(D81),"ints_port-"),"-"),
      _xlfn.TEXTBEFORE(_xlfn.TEXTAFTER(LOWER(D81),"inst_port-"),"-")
    )
  )
)</f>
        <v/>
      </c>
      <c r="C81">
        <f>_xlfn.CONCAT(A81,B81)</f>
        <v/>
      </c>
      <c r="D81" t="inlineStr">
        <is>
          <t>uni/infra/accportprof-INTP_2ACI_LE_INGENIE_152/hports-INTS_PORT-14-typ-range/rsaccBas</t>
        </is>
      </c>
      <c r="E81">
        <f>_xlfn.TEXTBEFORE(_xlfn.TEXTAFTER(D81,"accportprof-"),"/")</f>
        <v/>
      </c>
      <c r="F81">
        <f>_xlfn.TEXTBEFORE(_xlfn.TEXTAFTER(D81,"hports-"),"-typ")</f>
        <v/>
      </c>
      <c r="G81" t="inlineStr">
        <is>
          <t>uni/infra/funcprof/accportgrp-PG_ACC_152_1.14</t>
        </is>
      </c>
      <c r="H81">
        <f>IFERROR(
 MID(G81, SEARCH("accportgrp-", LOWER(G81)) + 11, LEN(G81)),
 IFERROR(
  MID(G81, SEARCH("accbundle-", LOWER(G81)) + 10, LEN(G81)),
  IFERROR(
   MID(G81, SEARCH("brkoutportgrp-", LOWER(G81)) + 14, LEN(G81)),
   ""
  )
 )
)</f>
        <v/>
      </c>
    </row>
    <row r="82">
      <c r="A82">
        <f>TRIM(
  _xlfn.IFNA(
    _xlfn.TEXTBEFORE(_xlfn.TEXTAFTER(D82, "Leaf"), "/"),
    _xlfn.TEXTAFTER(
      MID(
        _xlfn.TEXTBEFORE(_xlfn.TEXTAFTER(D82, "INTP_"), "/"),
        16,
        LEN(_xlfn.TEXTBEFORE(_xlfn.TEXTAFTER(D82, "INTP_"), "/"))
      ),
      "_"
    )
  )
)</f>
        <v/>
      </c>
      <c r="B82">
        <f>_xlfn.CONCAT(
  "eth1/",
  _xlfn.IFNA(
    _xlfn.TEXTBEFORE(_xlfn.TEXTAFTER(LOWER(D82),"isel-1."),"-"),
    _xlfn.IFNA(
      _xlfn.TEXTBEFORE(_xlfn.TEXTAFTER(LOWER(D82),"ints_port-"),"-"),
      _xlfn.TEXTBEFORE(_xlfn.TEXTAFTER(LOWER(D82),"inst_port-"),"-")
    )
  )
)</f>
        <v/>
      </c>
      <c r="C82">
        <f>_xlfn.CONCAT(A82,B82)</f>
        <v/>
      </c>
      <c r="D82" t="inlineStr">
        <is>
          <t>uni/infra/accportprof-INTP_2ACI_LE_INGENIE_152/hports-INTS_PORT-11-typ-range/rsaccBas</t>
        </is>
      </c>
      <c r="E82">
        <f>_xlfn.TEXTBEFORE(_xlfn.TEXTAFTER(D82,"accportprof-"),"/")</f>
        <v/>
      </c>
      <c r="F82">
        <f>_xlfn.TEXTBEFORE(_xlfn.TEXTAFTER(D82,"hports-"),"-typ")</f>
        <v/>
      </c>
      <c r="G82" t="inlineStr">
        <is>
          <t>uni/infra/funcprof/accportgrp-PG_ACC_152_1.11</t>
        </is>
      </c>
      <c r="H82">
        <f>IFERROR(
 MID(G82, SEARCH("accportgrp-", LOWER(G82)) + 11, LEN(G82)),
 IFERROR(
  MID(G82, SEARCH("accbundle-", LOWER(G82)) + 10, LEN(G82)),
  IFERROR(
   MID(G82, SEARCH("brkoutportgrp-", LOWER(G82)) + 14, LEN(G82)),
   ""
  )
 )
)</f>
        <v/>
      </c>
    </row>
    <row r="83">
      <c r="A83">
        <f>TRIM(
  _xlfn.IFNA(
    _xlfn.TEXTBEFORE(_xlfn.TEXTAFTER(D83, "Leaf"), "/"),
    _xlfn.TEXTAFTER(
      MID(
        _xlfn.TEXTBEFORE(_xlfn.TEXTAFTER(D83, "INTP_"), "/"),
        16,
        LEN(_xlfn.TEXTBEFORE(_xlfn.TEXTAFTER(D83, "INTP_"), "/"))
      ),
      "_"
    )
  )
)</f>
        <v/>
      </c>
      <c r="B83">
        <f>_xlfn.CONCAT(
  "eth1/",
  _xlfn.IFNA(
    _xlfn.TEXTBEFORE(_xlfn.TEXTAFTER(LOWER(D83),"isel-1."),"-"),
    _xlfn.IFNA(
      _xlfn.TEXTBEFORE(_xlfn.TEXTAFTER(LOWER(D83),"ints_port-"),"-"),
      _xlfn.TEXTBEFORE(_xlfn.TEXTAFTER(LOWER(D83),"inst_port-"),"-")
    )
  )
)</f>
        <v/>
      </c>
      <c r="C83">
        <f>_xlfn.CONCAT(A83,B83)</f>
        <v/>
      </c>
      <c r="D83" t="inlineStr">
        <is>
          <t>uni/infra/accportprof-INTP_2ACI_LE_INGENIE_152/hports-INTS_PORT-9-typ-range/rsaccBase</t>
        </is>
      </c>
      <c r="E83">
        <f>_xlfn.TEXTBEFORE(_xlfn.TEXTAFTER(D83,"accportprof-"),"/")</f>
        <v/>
      </c>
      <c r="F83">
        <f>_xlfn.TEXTBEFORE(_xlfn.TEXTAFTER(D83,"hports-"),"-typ")</f>
        <v/>
      </c>
      <c r="G83" t="inlineStr">
        <is>
          <t>uni/infra/funcprof/accportgrp-PG_ACC_152_1.9</t>
        </is>
      </c>
      <c r="H83">
        <f>IFERROR(
 MID(G83, SEARCH("accportgrp-", LOWER(G83)) + 11, LEN(G83)),
 IFERROR(
  MID(G83, SEARCH("accbundle-", LOWER(G83)) + 10, LEN(G83)),
  IFERROR(
   MID(G83, SEARCH("brkoutportgrp-", LOWER(G83)) + 14, LEN(G83)),
   ""
  )
 )
)</f>
        <v/>
      </c>
    </row>
    <row r="84">
      <c r="A84">
        <f>TRIM(
  _xlfn.IFNA(
    _xlfn.TEXTBEFORE(_xlfn.TEXTAFTER(D84, "Leaf"), "/"),
    _xlfn.TEXTAFTER(
      MID(
        _xlfn.TEXTBEFORE(_xlfn.TEXTAFTER(D84, "INTP_"), "/"),
        16,
        LEN(_xlfn.TEXTBEFORE(_xlfn.TEXTAFTER(D84, "INTP_"), "/"))
      ),
      "_"
    )
  )
)</f>
        <v/>
      </c>
      <c r="B84">
        <f>_xlfn.CONCAT(
  "eth1/",
  _xlfn.IFNA(
    _xlfn.TEXTBEFORE(_xlfn.TEXTAFTER(LOWER(D84),"isel-1."),"-"),
    _xlfn.IFNA(
      _xlfn.TEXTBEFORE(_xlfn.TEXTAFTER(LOWER(D84),"ints_port-"),"-"),
      _xlfn.TEXTBEFORE(_xlfn.TEXTAFTER(LOWER(D84),"inst_port-"),"-")
    )
  )
)</f>
        <v/>
      </c>
      <c r="C84">
        <f>_xlfn.CONCAT(A84,B84)</f>
        <v/>
      </c>
      <c r="D84" t="inlineStr">
        <is>
          <t>uni/infra/accportprof-INTP_2ACI_LE_INGENIE_152/hports-INTS_PORT-24-typ-range/rsaccBas</t>
        </is>
      </c>
      <c r="E84">
        <f>_xlfn.TEXTBEFORE(_xlfn.TEXTAFTER(D84,"accportprof-"),"/")</f>
        <v/>
      </c>
      <c r="F84">
        <f>_xlfn.TEXTBEFORE(_xlfn.TEXTAFTER(D84,"hports-"),"-typ")</f>
        <v/>
      </c>
      <c r="G84" t="inlineStr">
        <is>
          <t>uni/infra/funcprof/accbundle-PG_PC_152_1.21-22_24</t>
        </is>
      </c>
      <c r="H84">
        <f>IFERROR(
 MID(G84, SEARCH("accportgrp-", LOWER(G84)) + 11, LEN(G84)),
 IFERROR(
  MID(G84, SEARCH("accbundle-", LOWER(G84)) + 10, LEN(G84)),
  IFERROR(
   MID(G84, SEARCH("brkoutportgrp-", LOWER(G84)) + 14, LEN(G84)),
   ""
  )
 )
)</f>
        <v/>
      </c>
    </row>
    <row r="85">
      <c r="A85">
        <f>TRIM(
  _xlfn.IFNA(
    _xlfn.TEXTBEFORE(_xlfn.TEXTAFTER(D85, "Leaf"), "/"),
    _xlfn.TEXTAFTER(
      MID(
        _xlfn.TEXTBEFORE(_xlfn.TEXTAFTER(D85, "INTP_"), "/"),
        16,
        LEN(_xlfn.TEXTBEFORE(_xlfn.TEXTAFTER(D85, "INTP_"), "/"))
      ),
      "_"
    )
  )
)</f>
        <v/>
      </c>
      <c r="B85">
        <f>_xlfn.CONCAT(
  "eth1/",
  _xlfn.IFNA(
    _xlfn.TEXTBEFORE(_xlfn.TEXTAFTER(LOWER(D85),"isel-1."),"-"),
    _xlfn.IFNA(
      _xlfn.TEXTBEFORE(_xlfn.TEXTAFTER(LOWER(D85),"ints_port-"),"-"),
      _xlfn.TEXTBEFORE(_xlfn.TEXTAFTER(LOWER(D85),"inst_port-"),"-")
    )
  )
)</f>
        <v/>
      </c>
      <c r="C85">
        <f>_xlfn.CONCAT(A85,B85)</f>
        <v/>
      </c>
      <c r="D85" t="inlineStr">
        <is>
          <t>uni/infra/accportprof-INTP_2ACI_LE_INGENIE_152/hports-INTS_PORT-46-typ-range/rsaccBas</t>
        </is>
      </c>
      <c r="E85">
        <f>_xlfn.TEXTBEFORE(_xlfn.TEXTAFTER(D85,"accportprof-"),"/")</f>
        <v/>
      </c>
      <c r="F85">
        <f>_xlfn.TEXTBEFORE(_xlfn.TEXTAFTER(D85,"hports-"),"-typ")</f>
        <v/>
      </c>
      <c r="G85" t="inlineStr">
        <is>
          <t>uni/infra/funcprof/accportgrp-PG_ACC_152_1.46</t>
        </is>
      </c>
      <c r="H85">
        <f>IFERROR(
 MID(G85, SEARCH("accportgrp-", LOWER(G85)) + 11, LEN(G85)),
 IFERROR(
  MID(G85, SEARCH("accbundle-", LOWER(G85)) + 10, LEN(G85)),
  IFERROR(
   MID(G85, SEARCH("brkoutportgrp-", LOWER(G85)) + 14, LEN(G85)),
   ""
  )
 )
)</f>
        <v/>
      </c>
    </row>
    <row r="86">
      <c r="A86">
        <f>TRIM(
  _xlfn.IFNA(
    _xlfn.TEXTBEFORE(_xlfn.TEXTAFTER(D86, "Leaf"), "/"),
    _xlfn.TEXTAFTER(
      MID(
        _xlfn.TEXTBEFORE(_xlfn.TEXTAFTER(D86, "INTP_"), "/"),
        16,
        LEN(_xlfn.TEXTBEFORE(_xlfn.TEXTAFTER(D86, "INTP_"), "/"))
      ),
      "_"
    )
  )
)</f>
        <v/>
      </c>
      <c r="B86">
        <f>_xlfn.CONCAT(
  "eth1/",
  _xlfn.IFNA(
    _xlfn.TEXTBEFORE(_xlfn.TEXTAFTER(LOWER(D86),"isel-1."),"-"),
    _xlfn.IFNA(
      _xlfn.TEXTBEFORE(_xlfn.TEXTAFTER(LOWER(D86),"ints_port-"),"-"),
      _xlfn.TEXTBEFORE(_xlfn.TEXTAFTER(LOWER(D86),"inst_port-"),"-")
    )
  )
)</f>
        <v/>
      </c>
      <c r="C86">
        <f>_xlfn.CONCAT(A86,B86)</f>
        <v/>
      </c>
      <c r="D86" t="inlineStr">
        <is>
          <t>uni/infra/accportprof-INTP_2ACI_LE_INGENIE_152/hports-INTS_PORT-48-typ-range/rsaccBas</t>
        </is>
      </c>
      <c r="E86">
        <f>_xlfn.TEXTBEFORE(_xlfn.TEXTAFTER(D86,"accportprof-"),"/")</f>
        <v/>
      </c>
      <c r="F86">
        <f>_xlfn.TEXTBEFORE(_xlfn.TEXTAFTER(D86,"hports-"),"-typ")</f>
        <v/>
      </c>
      <c r="G86" t="inlineStr">
        <is>
          <t>uni/infra/funcprof/accportgrp-PG_ACC_152_1.48</t>
        </is>
      </c>
      <c r="H86">
        <f>IFERROR(
 MID(G86, SEARCH("accportgrp-", LOWER(G86)) + 11, LEN(G86)),
 IFERROR(
  MID(G86, SEARCH("accbundle-", LOWER(G86)) + 10, LEN(G86)),
  IFERROR(
   MID(G86, SEARCH("brkoutportgrp-", LOWER(G86)) + 14, LEN(G86)),
   ""
  )
 )
)</f>
        <v/>
      </c>
    </row>
    <row r="87">
      <c r="A87">
        <f>TRIM(
  _xlfn.IFNA(
    _xlfn.TEXTBEFORE(_xlfn.TEXTAFTER(D87, "Leaf"), "/"),
    _xlfn.TEXTAFTER(
      MID(
        _xlfn.TEXTBEFORE(_xlfn.TEXTAFTER(D87, "INTP_"), "/"),
        16,
        LEN(_xlfn.TEXTBEFORE(_xlfn.TEXTAFTER(D87, "INTP_"), "/"))
      ),
      "_"
    )
  )
)</f>
        <v/>
      </c>
      <c r="B87">
        <f>_xlfn.CONCAT(
  "eth1/",
  _xlfn.IFNA(
    _xlfn.TEXTBEFORE(_xlfn.TEXTAFTER(LOWER(D87),"isel-1."),"-"),
    _xlfn.IFNA(
      _xlfn.TEXTBEFORE(_xlfn.TEXTAFTER(LOWER(D87),"ints_port-"),"-"),
      _xlfn.TEXTBEFORE(_xlfn.TEXTAFTER(LOWER(D87),"inst_port-"),"-")
    )
  )
)</f>
        <v/>
      </c>
      <c r="C87">
        <f>_xlfn.CONCAT(A87,B87)</f>
        <v/>
      </c>
      <c r="D87" t="inlineStr">
        <is>
          <t>uni/infra/accportprof-INTP_2ACI_LE_INGENIE_152/hports-INTS_PORT-28-typ-range/rsaccBas</t>
        </is>
      </c>
      <c r="E87">
        <f>_xlfn.TEXTBEFORE(_xlfn.TEXTAFTER(D87,"accportprof-"),"/")</f>
        <v/>
      </c>
      <c r="F87">
        <f>_xlfn.TEXTBEFORE(_xlfn.TEXTAFTER(D87,"hports-"),"-typ")</f>
        <v/>
      </c>
      <c r="G87" t="inlineStr">
        <is>
          <t>uni/infra/funcprof/accportgrp-PG_ACC_152_1.28</t>
        </is>
      </c>
      <c r="H87">
        <f>IFERROR(
 MID(G87, SEARCH("accportgrp-", LOWER(G87)) + 11, LEN(G87)),
 IFERROR(
  MID(G87, SEARCH("accbundle-", LOWER(G87)) + 10, LEN(G87)),
  IFERROR(
   MID(G87, SEARCH("brkoutportgrp-", LOWER(G87)) + 14, LEN(G87)),
   ""
  )
 )
)</f>
        <v/>
      </c>
    </row>
    <row r="88">
      <c r="A88">
        <f>TRIM(
  _xlfn.IFNA(
    _xlfn.TEXTBEFORE(_xlfn.TEXTAFTER(D88, "Leaf"), "/"),
    _xlfn.TEXTAFTER(
      MID(
        _xlfn.TEXTBEFORE(_xlfn.TEXTAFTER(D88, "INTP_"), "/"),
        16,
        LEN(_xlfn.TEXTBEFORE(_xlfn.TEXTAFTER(D88, "INTP_"), "/"))
      ),
      "_"
    )
  )
)</f>
        <v/>
      </c>
      <c r="B88">
        <f>_xlfn.CONCAT(
  "eth1/",
  _xlfn.IFNA(
    _xlfn.TEXTBEFORE(_xlfn.TEXTAFTER(LOWER(D88),"isel-1."),"-"),
    _xlfn.IFNA(
      _xlfn.TEXTBEFORE(_xlfn.TEXTAFTER(LOWER(D88),"ints_port-"),"-"),
      _xlfn.TEXTBEFORE(_xlfn.TEXTAFTER(LOWER(D88),"inst_port-"),"-")
    )
  )
)</f>
        <v/>
      </c>
      <c r="C88">
        <f>_xlfn.CONCAT(A88,B88)</f>
        <v/>
      </c>
      <c r="D88" t="inlineStr">
        <is>
          <t>uni/infra/accportprof-INTP_2ACI_LE_INGENIE_152/hports-INTS_PORT-29-typ-range/rsaccBas</t>
        </is>
      </c>
      <c r="E88">
        <f>_xlfn.TEXTBEFORE(_xlfn.TEXTAFTER(D88,"accportprof-"),"/")</f>
        <v/>
      </c>
      <c r="F88">
        <f>_xlfn.TEXTBEFORE(_xlfn.TEXTAFTER(D88,"hports-"),"-typ")</f>
        <v/>
      </c>
      <c r="G88" t="inlineStr">
        <is>
          <t>uni/infra/funcprof/accportgrp-PG_ACC_152_1.29</t>
        </is>
      </c>
      <c r="H88">
        <f>IFERROR(
 MID(G88, SEARCH("accportgrp-", LOWER(G88)) + 11, LEN(G88)),
 IFERROR(
  MID(G88, SEARCH("accbundle-", LOWER(G88)) + 10, LEN(G88)),
  IFERROR(
   MID(G88, SEARCH("brkoutportgrp-", LOWER(G88)) + 14, LEN(G88)),
   ""
  )
 )
)</f>
        <v/>
      </c>
    </row>
    <row r="89">
      <c r="A89">
        <f>TRIM(
  _xlfn.IFNA(
    _xlfn.TEXTBEFORE(_xlfn.TEXTAFTER(D89, "Leaf"), "/"),
    _xlfn.TEXTAFTER(
      MID(
        _xlfn.TEXTBEFORE(_xlfn.TEXTAFTER(D89, "INTP_"), "/"),
        16,
        LEN(_xlfn.TEXTBEFORE(_xlfn.TEXTAFTER(D89, "INTP_"), "/"))
      ),
      "_"
    )
  )
)</f>
        <v/>
      </c>
      <c r="B89">
        <f>_xlfn.CONCAT(
  "eth1/",
  _xlfn.IFNA(
    _xlfn.TEXTBEFORE(_xlfn.TEXTAFTER(LOWER(D89),"isel-1."),"-"),
    _xlfn.IFNA(
      _xlfn.TEXTBEFORE(_xlfn.TEXTAFTER(LOWER(D89),"ints_port-"),"-"),
      _xlfn.TEXTBEFORE(_xlfn.TEXTAFTER(LOWER(D89),"inst_port-"),"-")
    )
  )
)</f>
        <v/>
      </c>
      <c r="C89">
        <f>_xlfn.CONCAT(A89,B89)</f>
        <v/>
      </c>
      <c r="D89" t="inlineStr">
        <is>
          <t>uni/infra/accportprof-INTP_2ACI_LE_INGENIE_152/hports-INTS_PORT-15-typ-range/rsaccBas</t>
        </is>
      </c>
      <c r="E89">
        <f>_xlfn.TEXTBEFORE(_xlfn.TEXTAFTER(D89,"accportprof-"),"/")</f>
        <v/>
      </c>
      <c r="F89">
        <f>_xlfn.TEXTBEFORE(_xlfn.TEXTAFTER(D89,"hports-"),"-typ")</f>
        <v/>
      </c>
      <c r="G89" t="inlineStr">
        <is>
          <t>uni/infra/funcprof/accportgrp-PG_ACC_152_1.15</t>
        </is>
      </c>
      <c r="H89">
        <f>IFERROR(
 MID(G89, SEARCH("accportgrp-", LOWER(G89)) + 11, LEN(G89)),
 IFERROR(
  MID(G89, SEARCH("accbundle-", LOWER(G89)) + 10, LEN(G89)),
  IFERROR(
   MID(G89, SEARCH("brkoutportgrp-", LOWER(G89)) + 14, LEN(G89)),
   ""
  )
 )
)</f>
        <v/>
      </c>
    </row>
    <row r="90">
      <c r="A90">
        <f>TRIM(
  _xlfn.IFNA(
    _xlfn.TEXTBEFORE(_xlfn.TEXTAFTER(D90, "Leaf"), "/"),
    _xlfn.TEXTAFTER(
      MID(
        _xlfn.TEXTBEFORE(_xlfn.TEXTAFTER(D90, "INTP_"), "/"),
        16,
        LEN(_xlfn.TEXTBEFORE(_xlfn.TEXTAFTER(D90, "INTP_"), "/"))
      ),
      "_"
    )
  )
)</f>
        <v/>
      </c>
      <c r="B90">
        <f>_xlfn.CONCAT(
  "eth1/",
  _xlfn.IFNA(
    _xlfn.TEXTBEFORE(_xlfn.TEXTAFTER(LOWER(D90),"isel-1."),"-"),
    _xlfn.IFNA(
      _xlfn.TEXTBEFORE(_xlfn.TEXTAFTER(LOWER(D90),"ints_port-"),"-"),
      _xlfn.TEXTBEFORE(_xlfn.TEXTAFTER(LOWER(D90),"inst_port-"),"-")
    )
  )
)</f>
        <v/>
      </c>
      <c r="C90">
        <f>_xlfn.CONCAT(A90,B90)</f>
        <v/>
      </c>
      <c r="D90" t="inlineStr">
        <is>
          <t>uni/infra/accportprof-INTP_2ACI_LE_INGENIE_152/hports-INTS_PORT-20-typ-range/rsaccBas</t>
        </is>
      </c>
      <c r="E90">
        <f>_xlfn.TEXTBEFORE(_xlfn.TEXTAFTER(D90,"accportprof-"),"/")</f>
        <v/>
      </c>
      <c r="F90">
        <f>_xlfn.TEXTBEFORE(_xlfn.TEXTAFTER(D90,"hports-"),"-typ")</f>
        <v/>
      </c>
      <c r="G90" t="inlineStr">
        <is>
          <t>uni/infra/funcprof/accportgrp-PG_ACC_152_1.20</t>
        </is>
      </c>
      <c r="H90">
        <f>IFERROR(
 MID(G90, SEARCH("accportgrp-", LOWER(G90)) + 11, LEN(G90)),
 IFERROR(
  MID(G90, SEARCH("accbundle-", LOWER(G90)) + 10, LEN(G90)),
  IFERROR(
   MID(G90, SEARCH("brkoutportgrp-", LOWER(G90)) + 14, LEN(G90)),
   ""
  )
 )
)</f>
        <v/>
      </c>
    </row>
    <row r="91">
      <c r="A91">
        <f>TRIM(
  _xlfn.IFNA(
    _xlfn.TEXTBEFORE(_xlfn.TEXTAFTER(D91, "Leaf"), "/"),
    _xlfn.TEXTAFTER(
      MID(
        _xlfn.TEXTBEFORE(_xlfn.TEXTAFTER(D91, "INTP_"), "/"),
        16,
        LEN(_xlfn.TEXTBEFORE(_xlfn.TEXTAFTER(D91, "INTP_"), "/"))
      ),
      "_"
    )
  )
)</f>
        <v/>
      </c>
      <c r="B91">
        <f>_xlfn.CONCAT(
  "eth1/",
  _xlfn.IFNA(
    _xlfn.TEXTBEFORE(_xlfn.TEXTAFTER(LOWER(D91),"isel-1."),"-"),
    _xlfn.IFNA(
      _xlfn.TEXTBEFORE(_xlfn.TEXTAFTER(LOWER(D91),"ints_port-"),"-"),
      _xlfn.TEXTBEFORE(_xlfn.TEXTAFTER(LOWER(D91),"inst_port-"),"-")
    )
  )
)</f>
        <v/>
      </c>
      <c r="C91">
        <f>_xlfn.CONCAT(A91,B91)</f>
        <v/>
      </c>
      <c r="D91" t="inlineStr">
        <is>
          <t>uni/infra/accportprof-INTP_2ACI_LO_INGENIE_102/hports-INTS_PORT-41-typ-range/rsaccBas</t>
        </is>
      </c>
      <c r="E91">
        <f>_xlfn.TEXTBEFORE(_xlfn.TEXTAFTER(D91,"accportprof-"),"/")</f>
        <v/>
      </c>
      <c r="F91">
        <f>_xlfn.TEXTBEFORE(_xlfn.TEXTAFTER(D91,"hports-"),"-typ")</f>
        <v/>
      </c>
      <c r="G91" t="inlineStr">
        <is>
          <t>uni/infra/funcprof/accportgrp-PG_ACC_102_1.41</t>
        </is>
      </c>
      <c r="H91">
        <f>IFERROR(
 MID(G91, SEARCH("accportgrp-", LOWER(G91)) + 11, LEN(G91)),
 IFERROR(
  MID(G91, SEARCH("accbundle-", LOWER(G91)) + 10, LEN(G91)),
  IFERROR(
   MID(G91, SEARCH("brkoutportgrp-", LOWER(G91)) + 14, LEN(G91)),
   ""
  )
 )
)</f>
        <v/>
      </c>
    </row>
    <row r="92">
      <c r="A92">
        <f>TRIM(
  _xlfn.IFNA(
    _xlfn.TEXTBEFORE(_xlfn.TEXTAFTER(D92, "Leaf"), "/"),
    _xlfn.TEXTAFTER(
      MID(
        _xlfn.TEXTBEFORE(_xlfn.TEXTAFTER(D92, "INTP_"), "/"),
        16,
        LEN(_xlfn.TEXTBEFORE(_xlfn.TEXTAFTER(D92, "INTP_"), "/"))
      ),
      "_"
    )
  )
)</f>
        <v/>
      </c>
      <c r="B92">
        <f>_xlfn.CONCAT(
  "eth1/",
  _xlfn.IFNA(
    _xlfn.TEXTBEFORE(_xlfn.TEXTAFTER(LOWER(D92),"isel-1."),"-"),
    _xlfn.IFNA(
      _xlfn.TEXTBEFORE(_xlfn.TEXTAFTER(LOWER(D92),"ints_port-"),"-"),
      _xlfn.TEXTBEFORE(_xlfn.TEXTAFTER(LOWER(D92),"inst_port-"),"-")
    )
  )
)</f>
        <v/>
      </c>
      <c r="C92">
        <f>_xlfn.CONCAT(A92,B92)</f>
        <v/>
      </c>
      <c r="D92" t="inlineStr">
        <is>
          <t>uni/infra/accportprof-INTP_2ACI_LE_INGENIE_152/hports-INTS_PORT-23-typ-range/rsaccBas</t>
        </is>
      </c>
      <c r="E92">
        <f>_xlfn.TEXTBEFORE(_xlfn.TEXTAFTER(D92,"accportprof-"),"/")</f>
        <v/>
      </c>
      <c r="F92">
        <f>_xlfn.TEXTBEFORE(_xlfn.TEXTAFTER(D92,"hports-"),"-typ")</f>
        <v/>
      </c>
      <c r="G92" t="inlineStr">
        <is>
          <t>uni/infra/funcprof/accportgrp-PG_ACC_152_1.23</t>
        </is>
      </c>
      <c r="H92">
        <f>IFERROR(
 MID(G92, SEARCH("accportgrp-", LOWER(G92)) + 11, LEN(G92)),
 IFERROR(
  MID(G92, SEARCH("accbundle-", LOWER(G92)) + 10, LEN(G92)),
  IFERROR(
   MID(G92, SEARCH("brkoutportgrp-", LOWER(G92)) + 14, LEN(G92)),
   ""
  )
 )
)</f>
        <v/>
      </c>
    </row>
  </sheetData>
  <autoFilter ref="A1:H10175"/>
  <conditionalFormatting sqref="A2:F10175">
    <cfRule type="containsText" priority="1" operator="containsText" dxfId="47" text="#">
      <formula>NOT(ISERROR(SEARCH("#",A2)))</formula>
    </cfRule>
    <cfRule type="containsText" priority="2" operator="containsText" dxfId="38" text="tDn">
      <formula>NOT(ISERROR(SEARCH("tDn",A2)))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zoomScale="143" workbookViewId="0">
      <selection activeCell="A1" sqref="A1"/>
    </sheetView>
  </sheetViews>
  <sheetFormatPr baseColWidth="10" defaultColWidth="11" defaultRowHeight="16"/>
  <cols>
    <col width="9" bestFit="1" customWidth="1" style="22" min="1" max="1"/>
    <col width="5.1640625" bestFit="1" customWidth="1" style="22" min="2" max="2"/>
    <col width="10" bestFit="1" customWidth="1" style="22" min="3" max="3"/>
    <col width="16.83203125" bestFit="1" customWidth="1" style="22" min="4" max="4"/>
    <col width="13.6640625" bestFit="1" customWidth="1" style="22" min="5" max="5"/>
    <col width="15" bestFit="1" customWidth="1" style="22" min="6" max="6"/>
    <col width="17.1640625" bestFit="1" customWidth="1" style="22" min="7" max="7"/>
    <col width="17.6640625" bestFit="1" customWidth="1" style="22" min="8" max="8"/>
  </cols>
  <sheetData>
    <row r="1">
      <c r="A1" t="inlineStr">
        <is>
          <t>pod_id</t>
        </is>
      </c>
      <c r="B1" t="inlineStr">
        <is>
          <t>id</t>
        </is>
      </c>
      <c r="C1" t="inlineStr">
        <is>
          <t>pod_id2</t>
        </is>
      </c>
      <c r="D1" t="inlineStr">
        <is>
          <t>address</t>
        </is>
      </c>
      <c r="E1" t="inlineStr">
        <is>
          <t>version</t>
        </is>
      </c>
      <c r="F1" t="inlineStr">
        <is>
          <t>serialNumber</t>
        </is>
      </c>
      <c r="G1" t="inlineStr">
        <is>
          <t>name</t>
        </is>
      </c>
      <c r="H1" t="inlineStr">
        <is>
          <t>model</t>
        </is>
      </c>
    </row>
    <row r="2">
      <c r="A2" t="n">
        <v>1</v>
      </c>
      <c r="B2" t="n">
        <v>1</v>
      </c>
      <c r="C2">
        <f>Tabla4[[#This Row],[pod_id]]</f>
        <v/>
      </c>
      <c r="D2" t="inlineStr">
        <is>
          <t>172.30.32.1</t>
        </is>
      </c>
      <c r="E2" t="inlineStr">
        <is>
          <t>6.0(7e)</t>
        </is>
      </c>
      <c r="F2" t="inlineStr">
        <is>
          <t>WMP252301FT</t>
        </is>
      </c>
      <c r="G2" t="inlineStr">
        <is>
          <t>2ACIAPICINGENIE01</t>
        </is>
      </c>
      <c r="H2" t="inlineStr">
        <is>
          <t>APIC-SERVER-M3</t>
        </is>
      </c>
    </row>
    <row r="3">
      <c r="A3" t="n">
        <v>1</v>
      </c>
      <c r="B3" t="n">
        <v>2</v>
      </c>
      <c r="C3">
        <f>Tabla4[[#This Row],[pod_id]]</f>
        <v/>
      </c>
      <c r="D3" t="inlineStr">
        <is>
          <t>172.30.32.2</t>
        </is>
      </c>
      <c r="E3" t="inlineStr">
        <is>
          <t>6.0(7e)</t>
        </is>
      </c>
      <c r="F3" t="inlineStr">
        <is>
          <t>WMP2523015V</t>
        </is>
      </c>
      <c r="G3" t="inlineStr">
        <is>
          <t>2ACIAPICINGENIE02</t>
        </is>
      </c>
      <c r="H3" t="inlineStr">
        <is>
          <t>APIC-SERVER-M3</t>
        </is>
      </c>
    </row>
    <row r="4">
      <c r="A4" t="n">
        <v>1</v>
      </c>
      <c r="B4" t="n">
        <v>3</v>
      </c>
      <c r="C4">
        <f>Tabla4[[#This Row],[pod_id]]</f>
        <v/>
      </c>
      <c r="D4" t="inlineStr">
        <is>
          <t>172.30.32.3</t>
        </is>
      </c>
      <c r="E4" t="inlineStr">
        <is>
          <t>6.0(7e)</t>
        </is>
      </c>
      <c r="F4" t="inlineStr">
        <is>
          <t>WMP252301C6</t>
        </is>
      </c>
      <c r="G4" t="inlineStr">
        <is>
          <t>2ACIAPICINGENIE03</t>
        </is>
      </c>
      <c r="H4" t="inlineStr">
        <is>
          <t>APIC-SERVER-M3</t>
        </is>
      </c>
    </row>
    <row r="5">
      <c r="A5" t="n">
        <v>1</v>
      </c>
      <c r="B5" t="n">
        <v>101</v>
      </c>
      <c r="C5">
        <f>Tabla4[[#This Row],[pod_id]]</f>
        <v/>
      </c>
      <c r="D5" t="inlineStr">
        <is>
          <t>172.30.39.192</t>
        </is>
      </c>
      <c r="E5" t="inlineStr">
        <is>
          <t>n9000-16.0(7e)</t>
        </is>
      </c>
      <c r="F5" t="inlineStr">
        <is>
          <t>FDO261606U5</t>
        </is>
      </c>
      <c r="G5" t="inlineStr">
        <is>
          <t>2ACI_LO_INGENIE_101</t>
        </is>
      </c>
      <c r="H5" t="inlineStr">
        <is>
          <t>N9K-C93180YC-FX3</t>
        </is>
      </c>
    </row>
    <row r="6">
      <c r="A6" t="n">
        <v>1</v>
      </c>
      <c r="B6" t="n">
        <v>102</v>
      </c>
      <c r="C6">
        <f>Tabla4[[#This Row],[pod_id]]</f>
        <v/>
      </c>
      <c r="D6" t="inlineStr">
        <is>
          <t>172.30.39.195</t>
        </is>
      </c>
      <c r="E6" t="inlineStr">
        <is>
          <t>n9000-16.0(7e)</t>
        </is>
      </c>
      <c r="F6" t="inlineStr">
        <is>
          <t>FDO261627YU</t>
        </is>
      </c>
      <c r="G6" t="inlineStr">
        <is>
          <t>2ACI_LO_INGENIE_102</t>
        </is>
      </c>
      <c r="H6" t="inlineStr">
        <is>
          <t>N9K-C93180YC-FX3</t>
        </is>
      </c>
    </row>
    <row r="7">
      <c r="A7" t="n">
        <v>1</v>
      </c>
      <c r="B7" t="n">
        <v>151</v>
      </c>
      <c r="C7">
        <f>Tabla4[[#This Row],[pod_id]]</f>
        <v/>
      </c>
      <c r="D7" t="inlineStr">
        <is>
          <t>172.30.39.196</t>
        </is>
      </c>
      <c r="E7" t="inlineStr">
        <is>
          <t>n9000-16.0(7e)</t>
        </is>
      </c>
      <c r="F7" t="inlineStr">
        <is>
          <t>FLM262906WU</t>
        </is>
      </c>
      <c r="G7" t="inlineStr">
        <is>
          <t>2ACI_LE_INGENIE_151</t>
        </is>
      </c>
      <c r="H7" t="inlineStr">
        <is>
          <t>N9K-C9348GC-FXP</t>
        </is>
      </c>
    </row>
    <row r="8">
      <c r="A8" t="n">
        <v>1</v>
      </c>
      <c r="B8" t="n">
        <v>152</v>
      </c>
      <c r="C8">
        <f>Tabla4[[#This Row],[pod_id]]</f>
        <v/>
      </c>
      <c r="D8" t="inlineStr">
        <is>
          <t>172.30.39.197</t>
        </is>
      </c>
      <c r="E8" t="inlineStr">
        <is>
          <t>n9000-16.0(7e)</t>
        </is>
      </c>
      <c r="F8" t="inlineStr">
        <is>
          <t>FLM2629VR2H</t>
        </is>
      </c>
      <c r="G8" t="inlineStr">
        <is>
          <t>2ACI_LE_INGENIE_152</t>
        </is>
      </c>
      <c r="H8" t="inlineStr">
        <is>
          <t>N9K-C9348GC-FXP</t>
        </is>
      </c>
    </row>
    <row r="9">
      <c r="A9" t="n">
        <v>1</v>
      </c>
      <c r="B9" t="n">
        <v>201</v>
      </c>
      <c r="C9">
        <f>Tabla4[[#This Row],[pod_id]]</f>
        <v/>
      </c>
      <c r="D9" t="inlineStr">
        <is>
          <t>172.30.39.193</t>
        </is>
      </c>
      <c r="E9" t="inlineStr">
        <is>
          <t>n9000-16.0(7e)</t>
        </is>
      </c>
      <c r="F9" t="inlineStr">
        <is>
          <t>FLM253302M2</t>
        </is>
      </c>
      <c r="G9" t="inlineStr">
        <is>
          <t>2ACI_SP_INGENIE_201</t>
        </is>
      </c>
      <c r="H9" t="inlineStr">
        <is>
          <t>N9K-C9332C</t>
        </is>
      </c>
    </row>
    <row r="10">
      <c r="A10" t="n">
        <v>1</v>
      </c>
      <c r="B10" t="n">
        <v>202</v>
      </c>
      <c r="C10">
        <f>Tabla4[[#This Row],[pod_id]]</f>
        <v/>
      </c>
      <c r="D10" t="inlineStr">
        <is>
          <t>172.30.39.194</t>
        </is>
      </c>
      <c r="E10" t="inlineStr">
        <is>
          <t>n9000-16.0(7e)</t>
        </is>
      </c>
      <c r="F10" t="inlineStr">
        <is>
          <t>FLM25430G8T</t>
        </is>
      </c>
      <c r="G10" t="inlineStr">
        <is>
          <t>2ACI_SP_INGENIE_202</t>
        </is>
      </c>
      <c r="H10" t="inlineStr">
        <is>
          <t>N9K-C9332C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"/>
  <sheetViews>
    <sheetView zoomScale="125" workbookViewId="0">
      <selection activeCell="A2" sqref="A2"/>
    </sheetView>
  </sheetViews>
  <sheetFormatPr baseColWidth="10" defaultColWidth="15.5" defaultRowHeight="16"/>
  <cols>
    <col width="15.5" customWidth="1" style="22" min="1" max="1"/>
    <col width="12" bestFit="1" customWidth="1" style="22" min="2" max="2"/>
    <col width="10.5" bestFit="1" customWidth="1" style="22" min="3" max="3"/>
    <col width="17.5" bestFit="1" customWidth="1" style="22" min="4" max="4"/>
    <col width="17.6640625" customWidth="1" style="22" min="5" max="5"/>
    <col width="8" customWidth="1" style="22" min="6" max="6"/>
    <col width="18" customWidth="1" style="22" min="7" max="7"/>
    <col width="11.6640625" customWidth="1" style="22" min="8" max="8"/>
    <col width="15" customWidth="1" style="22" min="9" max="9"/>
    <col width="18.33203125" customWidth="1" style="22" min="10" max="10"/>
    <col width="11.6640625" customWidth="1" style="22" min="11" max="11"/>
    <col width="17.5" bestFit="1" customWidth="1" style="22" min="12" max="12"/>
    <col width="17.6640625" bestFit="1" customWidth="1" style="22" min="13" max="13"/>
    <col width="11.1640625" bestFit="1" customWidth="1" style="22" min="14" max="14"/>
    <col width="18.83203125" bestFit="1" customWidth="1" style="22" min="15" max="15"/>
    <col width="18" bestFit="1" customWidth="1" style="22" min="16" max="16"/>
    <col width="21.5" bestFit="1" customWidth="1" style="22" min="17" max="17"/>
    <col width="25" bestFit="1" customWidth="1" style="22" min="18" max="18"/>
    <col width="17.5" bestFit="1" customWidth="1" style="22" min="19" max="19"/>
  </cols>
  <sheetData>
    <row r="1" ht="17" customHeight="1" s="22" thickBot="1">
      <c r="A1" s="31" t="inlineStr">
        <is>
          <t>VPC</t>
        </is>
      </c>
      <c r="B1" s="32" t="n"/>
      <c r="C1" s="33" t="n"/>
      <c r="D1" s="34" t="inlineStr">
        <is>
          <t>LEAF 1</t>
        </is>
      </c>
      <c r="E1" s="35" t="n"/>
      <c r="F1" s="35" t="n"/>
      <c r="G1" s="35" t="n"/>
      <c r="H1" s="35" t="n"/>
      <c r="I1" s="35" t="n"/>
      <c r="J1" s="35" t="n"/>
      <c r="K1" s="36" t="n"/>
      <c r="L1" s="8" t="inlineStr">
        <is>
          <t>LEAF 2</t>
        </is>
      </c>
      <c r="M1" s="32" t="n"/>
      <c r="N1" s="32" t="n"/>
      <c r="O1" s="32" t="n"/>
      <c r="P1" s="32" t="n"/>
      <c r="Q1" s="32" t="n"/>
      <c r="R1" s="32" t="n"/>
      <c r="S1" s="33" t="n"/>
    </row>
    <row r="2" ht="17" customHeight="1" s="22" thickBot="1">
      <c r="A2" s="29" t="inlineStr">
        <is>
          <t>NAME</t>
        </is>
      </c>
      <c r="B2" s="18" t="inlineStr">
        <is>
          <t>VPC ID</t>
        </is>
      </c>
      <c r="C2" s="18" t="inlineStr">
        <is>
          <t>SALA</t>
        </is>
      </c>
      <c r="D2" s="8" t="inlineStr">
        <is>
          <t>HOSTNAME</t>
        </is>
      </c>
      <c r="E2" s="8" t="inlineStr">
        <is>
          <t>MODEL</t>
        </is>
      </c>
      <c r="F2" s="8" t="inlineStr">
        <is>
          <t>ID</t>
        </is>
      </c>
      <c r="G2" s="8" t="inlineStr">
        <is>
          <t>VPC_MEMBER</t>
        </is>
      </c>
      <c r="H2" s="8" t="inlineStr">
        <is>
          <t>UP_UP</t>
        </is>
      </c>
      <c r="I2" s="8" t="inlineStr">
        <is>
          <t>UP_DOWN</t>
        </is>
      </c>
      <c r="J2" s="9" t="inlineStr">
        <is>
          <t>DOWN_DOWN</t>
        </is>
      </c>
      <c r="K2" s="9" t="inlineStr">
        <is>
          <t>PORTS</t>
        </is>
      </c>
      <c r="L2" s="8" t="inlineStr">
        <is>
          <t>HOSTNAME_</t>
        </is>
      </c>
      <c r="M2" s="8" t="inlineStr">
        <is>
          <t>MODEL_</t>
        </is>
      </c>
      <c r="N2" s="8" t="inlineStr">
        <is>
          <t>ID_</t>
        </is>
      </c>
      <c r="O2" s="8" t="inlineStr">
        <is>
          <t>VPC_MEMBER_</t>
        </is>
      </c>
      <c r="P2" s="8" t="inlineStr">
        <is>
          <t>UP_UP_</t>
        </is>
      </c>
      <c r="Q2" s="8" t="inlineStr">
        <is>
          <t>UP_DOWN_</t>
        </is>
      </c>
      <c r="R2" s="9" t="inlineStr">
        <is>
          <t>DOWN_DOWN_</t>
        </is>
      </c>
      <c r="S2" s="9" t="inlineStr">
        <is>
          <t>PORTS_</t>
        </is>
      </c>
    </row>
    <row r="3">
      <c r="A3" s="30" t="inlineStr">
        <is>
          <t>VPC_151-152</t>
        </is>
      </c>
      <c r="B3">
        <f>VLOOKUP(Table1[[#This Row],[NAME]],VPC!A:B,2,0)</f>
        <v/>
      </c>
      <c r="C3">
        <f>VLOOKUP(VALUE(Table1[[#This Row],[ID]]),LEAF_INFO!B:C,2,0)</f>
        <v/>
      </c>
      <c r="D3">
        <f>VLOOKUP(VALUE(Table1[[#This Row],[ID]]),LEAF_INFO!B:G,6,0)</f>
        <v/>
      </c>
      <c r="E3">
        <f>VLOOKUP(VALUE(Table1[[#This Row],[ID]]),LEAF_INFO!B:H,7,0)</f>
        <v/>
      </c>
      <c r="F3">
        <f>IFERROR(
    --_xlfn.TEXTBEFORE(
        MID(LOWER(A3),
            SEARCH("vpc",LOWER(A3)) + 4 + IF(MID(LOWER(A3),SEARCH("vpc",LOWER(A3))+4,4)="leaf",4,0),
            20),
        "-"
    ),
"")</f>
        <v/>
      </c>
      <c r="G3">
        <f>Table1[[#This Row],[NAME]]</f>
        <v/>
      </c>
      <c r="H3">
        <f>COUNTIFS(PORTs!A:A,"up", PORTs!B:B,"up", PORTs!E:E,Table1[[#This Row],[ID]])</f>
        <v/>
      </c>
      <c r="I3">
        <f>COUNTIFS(PORTs!A:A,"up", PORTs!B:B,"down", PORTs!E:E,Table1[[#This Row],[ID]])</f>
        <v/>
      </c>
      <c r="J3">
        <f>COUNTIFS(PORTs!A:A,"down", PORTs!B:B,"down", PORTs!E:E,Table1[[#This Row],[ID]])</f>
        <v/>
      </c>
      <c r="K3">
        <f>Table1[[#This Row],[UP_UP]]+Table1[[#This Row],[UP_DOWN]]+Table1[[#This Row],[DOWN_DOWN]]</f>
        <v/>
      </c>
      <c r="L3">
        <f>VLOOKUP(VALUE(Table1[[#This Row],[ID_]]),LEAF_INFO!B:G,6,0)</f>
        <v/>
      </c>
      <c r="M3">
        <f>VLOOKUP(VALUE(Table1[[#This Row],[ID_]]),LEAF_INFO!B:H,7,0)</f>
        <v/>
      </c>
      <c r="N3">
        <f>_xlfn.LET(
_xlpm.txt, A3,
_xlpm.clean, SUBSTITUTE(SUBSTITUTE(_xlpm.txt, "_", "-"), "--", "-"),
_xlfn.TEXTAFTER(_xlpm.clean, "-", -1)
)</f>
        <v/>
      </c>
      <c r="O3">
        <f>Table1[[#This Row],[NAME]]</f>
        <v/>
      </c>
      <c r="P3">
        <f>COUNTIFS(PORTs!A:A,"up", PORTs!B:B,"up", PORTs!E:E,Table1[[#This Row],[ID_]])</f>
        <v/>
      </c>
      <c r="Q3">
        <f>COUNTIFS(PORTs!A:A,"up", PORTs!B:B,"down", PORTs!E:E,Table1[[#This Row],[ID_]])</f>
        <v/>
      </c>
      <c r="R3">
        <f>COUNTIFS(PORTs!A:A,"down", PORTs!B:B,"down", PORTs!E:E,Table1[[#This Row],[ID_]])</f>
        <v/>
      </c>
      <c r="S3" s="6">
        <f>Table1[[#This Row],[UP_UP_]]+Table1[[#This Row],[UP_DOWN_]]+Table1[[#This Row],[DOWN_DOWN_]]</f>
        <v/>
      </c>
    </row>
  </sheetData>
  <mergeCells count="3">
    <mergeCell ref="A1:C1"/>
    <mergeCell ref="L1:S1"/>
    <mergeCell ref="D1:K1"/>
  </mergeCells>
  <conditionalFormatting sqref="B3:B139 D3:E139">
    <cfRule type="containsText" priority="1" operator="containsText" dxfId="38" text="uid">
      <formula>NOT(ISERROR(SEARCH("uid",B3)))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zoomScale="150" workbookViewId="0">
      <selection activeCell="A1" sqref="A1"/>
    </sheetView>
  </sheetViews>
  <sheetFormatPr baseColWidth="10" defaultRowHeight="16"/>
  <cols>
    <col width="15.33203125" bestFit="1" customWidth="1" style="22" min="1" max="1"/>
    <col width="10.83203125" customWidth="1" style="22" min="2" max="2"/>
  </cols>
  <sheetData>
    <row r="1">
      <c r="A1" t="inlineStr">
        <is>
          <t>NAME</t>
        </is>
      </c>
      <c r="B1" t="inlineStr">
        <is>
          <t>VPC ID</t>
        </is>
      </c>
    </row>
    <row r="2">
      <c r="A2" t="inlineStr">
        <is>
          <t>VPC_151-152</t>
        </is>
      </c>
      <c r="B2" t="inlineStr">
        <is>
          <t>151</t>
        </is>
      </c>
    </row>
  </sheetData>
  <autoFilter ref="A1:B275"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5"/>
  <sheetViews>
    <sheetView zoomScale="165" zoomScaleNormal="165" workbookViewId="0">
      <selection activeCell="A1" sqref="A1"/>
    </sheetView>
  </sheetViews>
  <sheetFormatPr baseColWidth="10" defaultRowHeight="16"/>
  <cols>
    <col width="13.6640625" bestFit="1" customWidth="1" style="22" min="1" max="1"/>
    <col width="18" bestFit="1" customWidth="1" style="22" min="2" max="2"/>
    <col width="64.83203125" bestFit="1" customWidth="1" style="22" min="3" max="3"/>
    <col width="7.5" bestFit="1" customWidth="1" style="22" min="4" max="4"/>
    <col width="8.6640625" bestFit="1" customWidth="1" style="22" min="5" max="5"/>
    <col width="9.1640625" bestFit="1" customWidth="1" style="22" min="6" max="6"/>
  </cols>
  <sheetData>
    <row r="1">
      <c r="A1" t="inlineStr">
        <is>
          <t>Admin State</t>
        </is>
      </c>
      <c r="B1" t="inlineStr">
        <is>
          <t>Operational State</t>
        </is>
      </c>
      <c r="C1" t="inlineStr">
        <is>
          <t>Description</t>
        </is>
      </c>
      <c r="D1" t="inlineStr">
        <is>
          <t>POD</t>
        </is>
      </c>
      <c r="E1" t="inlineStr">
        <is>
          <t>NODE</t>
        </is>
      </c>
      <c r="F1" t="inlineStr">
        <is>
          <t>PORT</t>
        </is>
      </c>
    </row>
    <row r="2">
      <c r="A2" t="inlineStr">
        <is>
          <t>down</t>
        </is>
      </c>
      <c r="B2" t="inlineStr">
        <is>
          <t>down</t>
        </is>
      </c>
      <c r="C2" t="inlineStr"/>
      <c r="D2" t="inlineStr">
        <is>
          <t>1</t>
        </is>
      </c>
      <c r="E2" t="inlineStr">
        <is>
          <t>101</t>
        </is>
      </c>
      <c r="F2" t="inlineStr">
        <is>
          <t>eth1/33</t>
        </is>
      </c>
    </row>
    <row r="3">
      <c r="A3" t="inlineStr">
        <is>
          <t>down</t>
        </is>
      </c>
      <c r="B3" t="inlineStr">
        <is>
          <t>down</t>
        </is>
      </c>
      <c r="C3" t="inlineStr"/>
      <c r="D3" t="inlineStr">
        <is>
          <t>1</t>
        </is>
      </c>
      <c r="E3" t="inlineStr">
        <is>
          <t>101</t>
        </is>
      </c>
      <c r="F3" t="inlineStr">
        <is>
          <t>eth1/34</t>
        </is>
      </c>
    </row>
    <row r="4">
      <c r="A4" t="inlineStr">
        <is>
          <t>down</t>
        </is>
      </c>
      <c r="B4" t="inlineStr">
        <is>
          <t>down</t>
        </is>
      </c>
      <c r="C4" t="inlineStr"/>
      <c r="D4" t="inlineStr">
        <is>
          <t>1</t>
        </is>
      </c>
      <c r="E4" t="inlineStr">
        <is>
          <t>101</t>
        </is>
      </c>
      <c r="F4" t="inlineStr">
        <is>
          <t>eth1/35</t>
        </is>
      </c>
    </row>
    <row r="5">
      <c r="A5" t="inlineStr">
        <is>
          <t>up</t>
        </is>
      </c>
      <c r="B5" t="inlineStr">
        <is>
          <t>up</t>
        </is>
      </c>
      <c r="C5" t="inlineStr">
        <is>
          <t>B2B A SMAC1</t>
        </is>
      </c>
      <c r="D5" t="inlineStr">
        <is>
          <t>1</t>
        </is>
      </c>
      <c r="E5" t="inlineStr">
        <is>
          <t>101</t>
        </is>
      </c>
      <c r="F5" t="inlineStr">
        <is>
          <t>eth1/36</t>
        </is>
      </c>
    </row>
    <row r="6">
      <c r="A6" t="inlineStr">
        <is>
          <t>down</t>
        </is>
      </c>
      <c r="B6" t="inlineStr">
        <is>
          <t>down</t>
        </is>
      </c>
      <c r="C6" t="inlineStr"/>
      <c r="D6" t="inlineStr">
        <is>
          <t>1</t>
        </is>
      </c>
      <c r="E6" t="inlineStr">
        <is>
          <t>101</t>
        </is>
      </c>
      <c r="F6" t="inlineStr">
        <is>
          <t>eth1/37</t>
        </is>
      </c>
    </row>
    <row r="7">
      <c r="A7" t="inlineStr">
        <is>
          <t>up</t>
        </is>
      </c>
      <c r="B7" t="inlineStr">
        <is>
          <t>up</t>
        </is>
      </c>
      <c r="C7" t="inlineStr">
        <is>
          <t>HACIA RMAC1 BUNDLE110</t>
        </is>
      </c>
      <c r="D7" t="inlineStr">
        <is>
          <t>1</t>
        </is>
      </c>
      <c r="E7" t="inlineStr">
        <is>
          <t>101</t>
        </is>
      </c>
      <c r="F7" t="inlineStr">
        <is>
          <t>eth1/38</t>
        </is>
      </c>
    </row>
    <row r="8">
      <c r="A8" t="inlineStr">
        <is>
          <t>down</t>
        </is>
      </c>
      <c r="B8" t="inlineStr">
        <is>
          <t>down</t>
        </is>
      </c>
      <c r="C8" t="inlineStr"/>
      <c r="D8" t="inlineStr">
        <is>
          <t>1</t>
        </is>
      </c>
      <c r="E8" t="inlineStr">
        <is>
          <t>101</t>
        </is>
      </c>
      <c r="F8" t="inlineStr">
        <is>
          <t>eth1/39</t>
        </is>
      </c>
    </row>
    <row r="9">
      <c r="A9" t="inlineStr">
        <is>
          <t>up</t>
        </is>
      </c>
      <c r="B9" t="inlineStr">
        <is>
          <t>up</t>
        </is>
      </c>
      <c r="C9" t="inlineStr">
        <is>
          <t>A 2R_MAC_MXINGEN_1 | B2B | UP-LINK SERVICIOS</t>
        </is>
      </c>
      <c r="D9" t="inlineStr">
        <is>
          <t>1</t>
        </is>
      </c>
      <c r="E9" t="inlineStr">
        <is>
          <t>101</t>
        </is>
      </c>
      <c r="F9" t="inlineStr">
        <is>
          <t>eth1/40</t>
        </is>
      </c>
    </row>
    <row r="10">
      <c r="A10" t="inlineStr">
        <is>
          <t>up</t>
        </is>
      </c>
      <c r="B10" t="inlineStr">
        <is>
          <t>up</t>
        </is>
      </c>
      <c r="C10" t="inlineStr">
        <is>
          <t>LINK_GESTION</t>
        </is>
      </c>
      <c r="D10" t="inlineStr">
        <is>
          <t>1</t>
        </is>
      </c>
      <c r="E10" t="inlineStr">
        <is>
          <t>101</t>
        </is>
      </c>
      <c r="F10" t="inlineStr">
        <is>
          <t>eth1/41</t>
        </is>
      </c>
    </row>
    <row r="11">
      <c r="A11" t="inlineStr">
        <is>
          <t>down</t>
        </is>
      </c>
      <c r="B11" t="inlineStr">
        <is>
          <t>down</t>
        </is>
      </c>
      <c r="C11" t="inlineStr"/>
      <c r="D11" t="inlineStr">
        <is>
          <t>1</t>
        </is>
      </c>
      <c r="E11" t="inlineStr">
        <is>
          <t>101</t>
        </is>
      </c>
      <c r="F11" t="inlineStr">
        <is>
          <t>eth1/42</t>
        </is>
      </c>
    </row>
    <row r="12">
      <c r="A12" t="inlineStr">
        <is>
          <t>down</t>
        </is>
      </c>
      <c r="B12" t="inlineStr">
        <is>
          <t>down</t>
        </is>
      </c>
      <c r="C12" t="inlineStr"/>
      <c r="D12" t="inlineStr">
        <is>
          <t>1</t>
        </is>
      </c>
      <c r="E12" t="inlineStr">
        <is>
          <t>101</t>
        </is>
      </c>
      <c r="F12" t="inlineStr">
        <is>
          <t>eth1/43</t>
        </is>
      </c>
    </row>
    <row r="13">
      <c r="A13" t="inlineStr">
        <is>
          <t>down</t>
        </is>
      </c>
      <c r="B13" t="inlineStr">
        <is>
          <t>down</t>
        </is>
      </c>
      <c r="C13" t="inlineStr"/>
      <c r="D13" t="inlineStr">
        <is>
          <t>1</t>
        </is>
      </c>
      <c r="E13" t="inlineStr">
        <is>
          <t>101</t>
        </is>
      </c>
      <c r="F13" t="inlineStr">
        <is>
          <t>eth1/44</t>
        </is>
      </c>
    </row>
    <row r="14">
      <c r="A14" t="inlineStr">
        <is>
          <t>up</t>
        </is>
      </c>
      <c r="B14" t="inlineStr">
        <is>
          <t>up</t>
        </is>
      </c>
      <c r="C14" t="inlineStr">
        <is>
          <t>HACIA RMAC1 BUNDLE110</t>
        </is>
      </c>
      <c r="D14" t="inlineStr">
        <is>
          <t>1</t>
        </is>
      </c>
      <c r="E14" t="inlineStr">
        <is>
          <t>101</t>
        </is>
      </c>
      <c r="F14" t="inlineStr">
        <is>
          <t>eth1/45</t>
        </is>
      </c>
    </row>
    <row r="15">
      <c r="A15" t="inlineStr">
        <is>
          <t>up</t>
        </is>
      </c>
      <c r="B15" t="inlineStr">
        <is>
          <t>up</t>
        </is>
      </c>
      <c r="C15" t="inlineStr">
        <is>
          <t>LINK_HACIA_APIC</t>
        </is>
      </c>
      <c r="D15" t="inlineStr">
        <is>
          <t>1</t>
        </is>
      </c>
      <c r="E15" t="inlineStr">
        <is>
          <t>101</t>
        </is>
      </c>
      <c r="F15" t="inlineStr">
        <is>
          <t>eth1/46</t>
        </is>
      </c>
    </row>
    <row r="16">
      <c r="A16" t="inlineStr">
        <is>
          <t>up</t>
        </is>
      </c>
      <c r="B16" t="inlineStr">
        <is>
          <t>up</t>
        </is>
      </c>
      <c r="C16" t="inlineStr">
        <is>
          <t>LINK_HACIA_APIC</t>
        </is>
      </c>
      <c r="D16" t="inlineStr">
        <is>
          <t>1</t>
        </is>
      </c>
      <c r="E16" t="inlineStr">
        <is>
          <t>101</t>
        </is>
      </c>
      <c r="F16" t="inlineStr">
        <is>
          <t>eth1/47</t>
        </is>
      </c>
    </row>
    <row r="17">
      <c r="A17" t="inlineStr">
        <is>
          <t>up</t>
        </is>
      </c>
      <c r="B17" t="inlineStr">
        <is>
          <t>up</t>
        </is>
      </c>
      <c r="C17" t="inlineStr">
        <is>
          <t>LINK_HACIA_APIC</t>
        </is>
      </c>
      <c r="D17" t="inlineStr">
        <is>
          <t>1</t>
        </is>
      </c>
      <c r="E17" t="inlineStr">
        <is>
          <t>101</t>
        </is>
      </c>
      <c r="F17" t="inlineStr">
        <is>
          <t>eth1/48</t>
        </is>
      </c>
    </row>
    <row r="18">
      <c r="A18" t="inlineStr">
        <is>
          <t>down</t>
        </is>
      </c>
      <c r="B18" t="inlineStr">
        <is>
          <t>down</t>
        </is>
      </c>
      <c r="C18" t="inlineStr"/>
      <c r="D18" t="inlineStr">
        <is>
          <t>1</t>
        </is>
      </c>
      <c r="E18" t="inlineStr">
        <is>
          <t>101</t>
        </is>
      </c>
      <c r="F18" t="inlineStr">
        <is>
          <t>eth1/49</t>
        </is>
      </c>
    </row>
    <row r="19">
      <c r="A19" t="inlineStr">
        <is>
          <t>down</t>
        </is>
      </c>
      <c r="B19" t="inlineStr">
        <is>
          <t>down</t>
        </is>
      </c>
      <c r="C19" t="inlineStr"/>
      <c r="D19" t="inlineStr">
        <is>
          <t>1</t>
        </is>
      </c>
      <c r="E19" t="inlineStr">
        <is>
          <t>101</t>
        </is>
      </c>
      <c r="F19" t="inlineStr">
        <is>
          <t>eth1/50</t>
        </is>
      </c>
    </row>
    <row r="20">
      <c r="A20" t="inlineStr">
        <is>
          <t>down</t>
        </is>
      </c>
      <c r="B20" t="inlineStr">
        <is>
          <t>down</t>
        </is>
      </c>
      <c r="C20" t="inlineStr"/>
      <c r="D20" t="inlineStr">
        <is>
          <t>1</t>
        </is>
      </c>
      <c r="E20" t="inlineStr">
        <is>
          <t>101</t>
        </is>
      </c>
      <c r="F20" t="inlineStr">
        <is>
          <t>eth1/51</t>
        </is>
      </c>
    </row>
    <row r="21">
      <c r="A21" t="inlineStr">
        <is>
          <t>down</t>
        </is>
      </c>
      <c r="B21" t="inlineStr">
        <is>
          <t>down</t>
        </is>
      </c>
      <c r="C21" t="inlineStr"/>
      <c r="D21" t="inlineStr">
        <is>
          <t>1</t>
        </is>
      </c>
      <c r="E21" t="inlineStr">
        <is>
          <t>101</t>
        </is>
      </c>
      <c r="F21" t="inlineStr">
        <is>
          <t>eth1/52</t>
        </is>
      </c>
    </row>
    <row r="22">
      <c r="A22" t="inlineStr">
        <is>
          <t>up</t>
        </is>
      </c>
      <c r="B22" t="inlineStr">
        <is>
          <t>up</t>
        </is>
      </c>
      <c r="C22" t="inlineStr">
        <is>
          <t>LINK_HACIA_SPINE</t>
        </is>
      </c>
      <c r="D22" t="inlineStr">
        <is>
          <t>1</t>
        </is>
      </c>
      <c r="E22" t="inlineStr">
        <is>
          <t>101</t>
        </is>
      </c>
      <c r="F22" t="inlineStr">
        <is>
          <t>eth1/53</t>
        </is>
      </c>
    </row>
    <row r="23">
      <c r="A23" t="inlineStr">
        <is>
          <t>up</t>
        </is>
      </c>
      <c r="B23" t="inlineStr">
        <is>
          <t>up</t>
        </is>
      </c>
      <c r="C23" t="inlineStr">
        <is>
          <t>LINK_HACIA_SPINE</t>
        </is>
      </c>
      <c r="D23" t="inlineStr">
        <is>
          <t>1</t>
        </is>
      </c>
      <c r="E23" t="inlineStr">
        <is>
          <t>101</t>
        </is>
      </c>
      <c r="F23" t="inlineStr">
        <is>
          <t>eth1/54</t>
        </is>
      </c>
    </row>
    <row r="24">
      <c r="A24" t="inlineStr">
        <is>
          <t>down</t>
        </is>
      </c>
      <c r="B24" t="inlineStr">
        <is>
          <t>down</t>
        </is>
      </c>
      <c r="C24" t="inlineStr"/>
      <c r="D24" t="inlineStr">
        <is>
          <t>1</t>
        </is>
      </c>
      <c r="E24" t="inlineStr">
        <is>
          <t>101</t>
        </is>
      </c>
      <c r="F24" t="inlineStr">
        <is>
          <t>eth1/1</t>
        </is>
      </c>
    </row>
    <row r="25">
      <c r="A25" t="inlineStr">
        <is>
          <t>down</t>
        </is>
      </c>
      <c r="B25" t="inlineStr">
        <is>
          <t>down</t>
        </is>
      </c>
      <c r="C25" t="inlineStr"/>
      <c r="D25" t="inlineStr">
        <is>
          <t>1</t>
        </is>
      </c>
      <c r="E25" t="inlineStr">
        <is>
          <t>101</t>
        </is>
      </c>
      <c r="F25" t="inlineStr">
        <is>
          <t>eth1/2</t>
        </is>
      </c>
    </row>
    <row r="26">
      <c r="A26" t="inlineStr">
        <is>
          <t>down</t>
        </is>
      </c>
      <c r="B26" t="inlineStr">
        <is>
          <t>down</t>
        </is>
      </c>
      <c r="C26" t="inlineStr"/>
      <c r="D26" t="inlineStr">
        <is>
          <t>1</t>
        </is>
      </c>
      <c r="E26" t="inlineStr">
        <is>
          <t>101</t>
        </is>
      </c>
      <c r="F26" t="inlineStr">
        <is>
          <t>eth1/3</t>
        </is>
      </c>
    </row>
    <row r="27">
      <c r="A27" t="inlineStr">
        <is>
          <t>down</t>
        </is>
      </c>
      <c r="B27" t="inlineStr">
        <is>
          <t>down</t>
        </is>
      </c>
      <c r="C27" t="inlineStr"/>
      <c r="D27" t="inlineStr">
        <is>
          <t>1</t>
        </is>
      </c>
      <c r="E27" t="inlineStr">
        <is>
          <t>101</t>
        </is>
      </c>
      <c r="F27" t="inlineStr">
        <is>
          <t>eth1/4</t>
        </is>
      </c>
    </row>
    <row r="28">
      <c r="A28" t="inlineStr">
        <is>
          <t>down</t>
        </is>
      </c>
      <c r="B28" t="inlineStr">
        <is>
          <t>down</t>
        </is>
      </c>
      <c r="C28" t="inlineStr"/>
      <c r="D28" t="inlineStr">
        <is>
          <t>1</t>
        </is>
      </c>
      <c r="E28" t="inlineStr">
        <is>
          <t>101</t>
        </is>
      </c>
      <c r="F28" t="inlineStr">
        <is>
          <t>eth1/5</t>
        </is>
      </c>
    </row>
    <row r="29">
      <c r="A29" t="inlineStr">
        <is>
          <t>down</t>
        </is>
      </c>
      <c r="B29" t="inlineStr">
        <is>
          <t>down</t>
        </is>
      </c>
      <c r="C29" t="inlineStr"/>
      <c r="D29" t="inlineStr">
        <is>
          <t>1</t>
        </is>
      </c>
      <c r="E29" t="inlineStr">
        <is>
          <t>101</t>
        </is>
      </c>
      <c r="F29" t="inlineStr">
        <is>
          <t>eth1/6</t>
        </is>
      </c>
    </row>
    <row r="30">
      <c r="A30" t="inlineStr">
        <is>
          <t>up</t>
        </is>
      </c>
      <c r="B30" t="inlineStr">
        <is>
          <t>up</t>
        </is>
      </c>
      <c r="C30" t="inlineStr">
        <is>
          <t>To_BSC_ERICCSON_01</t>
        </is>
      </c>
      <c r="D30" t="inlineStr">
        <is>
          <t>1</t>
        </is>
      </c>
      <c r="E30" t="inlineStr">
        <is>
          <t>101</t>
        </is>
      </c>
      <c r="F30" t="inlineStr">
        <is>
          <t>eth1/7</t>
        </is>
      </c>
    </row>
    <row r="31">
      <c r="A31" t="inlineStr">
        <is>
          <t>down</t>
        </is>
      </c>
      <c r="B31" t="inlineStr">
        <is>
          <t>down</t>
        </is>
      </c>
      <c r="C31" t="inlineStr"/>
      <c r="D31" t="inlineStr">
        <is>
          <t>1</t>
        </is>
      </c>
      <c r="E31" t="inlineStr">
        <is>
          <t>101</t>
        </is>
      </c>
      <c r="F31" t="inlineStr">
        <is>
          <t>eth1/8</t>
        </is>
      </c>
    </row>
    <row r="32">
      <c r="A32" t="inlineStr">
        <is>
          <t>down</t>
        </is>
      </c>
      <c r="B32" t="inlineStr">
        <is>
          <t>down</t>
        </is>
      </c>
      <c r="C32" t="inlineStr"/>
      <c r="D32" t="inlineStr">
        <is>
          <t>1</t>
        </is>
      </c>
      <c r="E32" t="inlineStr">
        <is>
          <t>101</t>
        </is>
      </c>
      <c r="F32" t="inlineStr">
        <is>
          <t>eth1/9</t>
        </is>
      </c>
    </row>
    <row r="33">
      <c r="A33" t="inlineStr">
        <is>
          <t>down</t>
        </is>
      </c>
      <c r="B33" t="inlineStr">
        <is>
          <t>down</t>
        </is>
      </c>
      <c r="C33" t="inlineStr"/>
      <c r="D33" t="inlineStr">
        <is>
          <t>1</t>
        </is>
      </c>
      <c r="E33" t="inlineStr">
        <is>
          <t>101</t>
        </is>
      </c>
      <c r="F33" t="inlineStr">
        <is>
          <t>eth1/10</t>
        </is>
      </c>
    </row>
    <row r="34">
      <c r="A34" t="inlineStr">
        <is>
          <t>up</t>
        </is>
      </c>
      <c r="B34" t="inlineStr">
        <is>
          <t>up</t>
        </is>
      </c>
      <c r="C34" t="inlineStr">
        <is>
          <t>To_PTMP-UG0-1112-0066</t>
        </is>
      </c>
      <c r="D34" t="inlineStr">
        <is>
          <t>1</t>
        </is>
      </c>
      <c r="E34" t="inlineStr">
        <is>
          <t>101</t>
        </is>
      </c>
      <c r="F34" t="inlineStr">
        <is>
          <t>eth1/11</t>
        </is>
      </c>
    </row>
    <row r="35">
      <c r="A35" t="inlineStr">
        <is>
          <t>up</t>
        </is>
      </c>
      <c r="B35" t="inlineStr">
        <is>
          <t>up</t>
        </is>
      </c>
      <c r="C35" t="inlineStr">
        <is>
          <t>LINK_HACIA_To_PTMP-UG0-1112-0140</t>
        </is>
      </c>
      <c r="D35" t="inlineStr">
        <is>
          <t>1</t>
        </is>
      </c>
      <c r="E35" t="inlineStr">
        <is>
          <t>101</t>
        </is>
      </c>
      <c r="F35" t="inlineStr">
        <is>
          <t>eth1/12</t>
        </is>
      </c>
    </row>
    <row r="36">
      <c r="A36" t="inlineStr">
        <is>
          <t>up</t>
        </is>
      </c>
      <c r="B36" t="inlineStr">
        <is>
          <t>up</t>
        </is>
      </c>
      <c r="C36" t="inlineStr">
        <is>
          <t>To_EVO1_INGEV1</t>
        </is>
      </c>
      <c r="D36" t="inlineStr">
        <is>
          <t>1</t>
        </is>
      </c>
      <c r="E36" t="inlineStr">
        <is>
          <t>101</t>
        </is>
      </c>
      <c r="F36" t="inlineStr">
        <is>
          <t>eth1/13</t>
        </is>
      </c>
    </row>
    <row r="37">
      <c r="A37" t="inlineStr">
        <is>
          <t>up</t>
        </is>
      </c>
      <c r="B37" t="inlineStr">
        <is>
          <t>up</t>
        </is>
      </c>
      <c r="C37" t="inlineStr">
        <is>
          <t>Hacia NR 5G INGENIEROS</t>
        </is>
      </c>
      <c r="D37" t="inlineStr">
        <is>
          <t>1</t>
        </is>
      </c>
      <c r="E37" t="inlineStr">
        <is>
          <t>101</t>
        </is>
      </c>
      <c r="F37" t="inlineStr">
        <is>
          <t>eth1/14</t>
        </is>
      </c>
    </row>
    <row r="38">
      <c r="A38" t="inlineStr">
        <is>
          <t>down</t>
        </is>
      </c>
      <c r="B38" t="inlineStr">
        <is>
          <t>down</t>
        </is>
      </c>
      <c r="C38" t="inlineStr"/>
      <c r="D38" t="inlineStr">
        <is>
          <t>1</t>
        </is>
      </c>
      <c r="E38" t="inlineStr">
        <is>
          <t>101</t>
        </is>
      </c>
      <c r="F38" t="inlineStr">
        <is>
          <t>eth1/15</t>
        </is>
      </c>
    </row>
    <row r="39">
      <c r="A39" t="inlineStr">
        <is>
          <t>down</t>
        </is>
      </c>
      <c r="B39" t="inlineStr">
        <is>
          <t>down</t>
        </is>
      </c>
      <c r="C39" t="inlineStr"/>
      <c r="D39" t="inlineStr">
        <is>
          <t>1</t>
        </is>
      </c>
      <c r="E39" t="inlineStr">
        <is>
          <t>101</t>
        </is>
      </c>
      <c r="F39" t="inlineStr">
        <is>
          <t>eth1/16</t>
        </is>
      </c>
    </row>
    <row r="40">
      <c r="A40" t="inlineStr">
        <is>
          <t>down</t>
        </is>
      </c>
      <c r="B40" t="inlineStr">
        <is>
          <t>down</t>
        </is>
      </c>
      <c r="C40" t="inlineStr"/>
      <c r="D40" t="inlineStr">
        <is>
          <t>1</t>
        </is>
      </c>
      <c r="E40" t="inlineStr">
        <is>
          <t>101</t>
        </is>
      </c>
      <c r="F40" t="inlineStr">
        <is>
          <t>eth1/17</t>
        </is>
      </c>
    </row>
    <row r="41">
      <c r="A41" t="inlineStr">
        <is>
          <t>down</t>
        </is>
      </c>
      <c r="B41" t="inlineStr">
        <is>
          <t>down</t>
        </is>
      </c>
      <c r="C41" t="inlineStr"/>
      <c r="D41" t="inlineStr">
        <is>
          <t>1</t>
        </is>
      </c>
      <c r="E41" t="inlineStr">
        <is>
          <t>101</t>
        </is>
      </c>
      <c r="F41" t="inlineStr">
        <is>
          <t>eth1/18</t>
        </is>
      </c>
    </row>
    <row r="42">
      <c r="A42" t="inlineStr">
        <is>
          <t>down</t>
        </is>
      </c>
      <c r="B42" t="inlineStr">
        <is>
          <t>down</t>
        </is>
      </c>
      <c r="C42" t="inlineStr"/>
      <c r="D42" t="inlineStr">
        <is>
          <t>1</t>
        </is>
      </c>
      <c r="E42" t="inlineStr">
        <is>
          <t>101</t>
        </is>
      </c>
      <c r="F42" t="inlineStr">
        <is>
          <t>eth1/19</t>
        </is>
      </c>
    </row>
    <row r="43">
      <c r="A43" t="inlineStr">
        <is>
          <t>down</t>
        </is>
      </c>
      <c r="B43" t="inlineStr">
        <is>
          <t>down</t>
        </is>
      </c>
      <c r="C43" t="inlineStr"/>
      <c r="D43" t="inlineStr">
        <is>
          <t>1</t>
        </is>
      </c>
      <c r="E43" t="inlineStr">
        <is>
          <t>101</t>
        </is>
      </c>
      <c r="F43" t="inlineStr">
        <is>
          <t>eth1/20</t>
        </is>
      </c>
    </row>
    <row r="44">
      <c r="A44" t="inlineStr">
        <is>
          <t>down</t>
        </is>
      </c>
      <c r="B44" t="inlineStr">
        <is>
          <t>down</t>
        </is>
      </c>
      <c r="C44" t="inlineStr"/>
      <c r="D44" t="inlineStr">
        <is>
          <t>1</t>
        </is>
      </c>
      <c r="E44" t="inlineStr">
        <is>
          <t>101</t>
        </is>
      </c>
      <c r="F44" t="inlineStr">
        <is>
          <t>eth1/21</t>
        </is>
      </c>
    </row>
    <row r="45">
      <c r="A45" t="inlineStr">
        <is>
          <t>down</t>
        </is>
      </c>
      <c r="B45" t="inlineStr">
        <is>
          <t>down</t>
        </is>
      </c>
      <c r="C45" t="inlineStr"/>
      <c r="D45" t="inlineStr">
        <is>
          <t>1</t>
        </is>
      </c>
      <c r="E45" t="inlineStr">
        <is>
          <t>101</t>
        </is>
      </c>
      <c r="F45" t="inlineStr">
        <is>
          <t>eth1/22</t>
        </is>
      </c>
    </row>
    <row r="46">
      <c r="A46" t="inlineStr">
        <is>
          <t>down</t>
        </is>
      </c>
      <c r="B46" t="inlineStr">
        <is>
          <t>down</t>
        </is>
      </c>
      <c r="C46" t="inlineStr"/>
      <c r="D46" t="inlineStr">
        <is>
          <t>1</t>
        </is>
      </c>
      <c r="E46" t="inlineStr">
        <is>
          <t>101</t>
        </is>
      </c>
      <c r="F46" t="inlineStr">
        <is>
          <t>eth1/23</t>
        </is>
      </c>
    </row>
    <row r="47">
      <c r="A47" t="inlineStr">
        <is>
          <t>down</t>
        </is>
      </c>
      <c r="B47" t="inlineStr">
        <is>
          <t>down</t>
        </is>
      </c>
      <c r="C47" t="inlineStr"/>
      <c r="D47" t="inlineStr">
        <is>
          <t>1</t>
        </is>
      </c>
      <c r="E47" t="inlineStr">
        <is>
          <t>101</t>
        </is>
      </c>
      <c r="F47" t="inlineStr">
        <is>
          <t>eth1/24</t>
        </is>
      </c>
    </row>
    <row r="48">
      <c r="A48" t="inlineStr">
        <is>
          <t>down</t>
        </is>
      </c>
      <c r="B48" t="inlineStr">
        <is>
          <t>down</t>
        </is>
      </c>
      <c r="C48" t="inlineStr"/>
      <c r="D48" t="inlineStr">
        <is>
          <t>1</t>
        </is>
      </c>
      <c r="E48" t="inlineStr">
        <is>
          <t>101</t>
        </is>
      </c>
      <c r="F48" t="inlineStr">
        <is>
          <t>eth1/25</t>
        </is>
      </c>
    </row>
    <row r="49">
      <c r="A49" t="inlineStr">
        <is>
          <t>down</t>
        </is>
      </c>
      <c r="B49" t="inlineStr">
        <is>
          <t>down</t>
        </is>
      </c>
      <c r="C49" t="inlineStr"/>
      <c r="D49" t="inlineStr">
        <is>
          <t>1</t>
        </is>
      </c>
      <c r="E49" t="inlineStr">
        <is>
          <t>101</t>
        </is>
      </c>
      <c r="F49" t="inlineStr">
        <is>
          <t>eth1/26</t>
        </is>
      </c>
    </row>
    <row r="50">
      <c r="A50" t="inlineStr">
        <is>
          <t>down</t>
        </is>
      </c>
      <c r="B50" t="inlineStr">
        <is>
          <t>down</t>
        </is>
      </c>
      <c r="C50" t="inlineStr"/>
      <c r="D50" t="inlineStr">
        <is>
          <t>1</t>
        </is>
      </c>
      <c r="E50" t="inlineStr">
        <is>
          <t>101</t>
        </is>
      </c>
      <c r="F50" t="inlineStr">
        <is>
          <t>eth1/27</t>
        </is>
      </c>
    </row>
    <row r="51">
      <c r="A51" t="inlineStr">
        <is>
          <t>down</t>
        </is>
      </c>
      <c r="B51" t="inlineStr">
        <is>
          <t>down</t>
        </is>
      </c>
      <c r="C51" t="inlineStr"/>
      <c r="D51" t="inlineStr">
        <is>
          <t>1</t>
        </is>
      </c>
      <c r="E51" t="inlineStr">
        <is>
          <t>101</t>
        </is>
      </c>
      <c r="F51" t="inlineStr">
        <is>
          <t>eth1/28</t>
        </is>
      </c>
    </row>
    <row r="52">
      <c r="A52" t="inlineStr">
        <is>
          <t>down</t>
        </is>
      </c>
      <c r="B52" t="inlineStr">
        <is>
          <t>down</t>
        </is>
      </c>
      <c r="C52" t="inlineStr"/>
      <c r="D52" t="inlineStr">
        <is>
          <t>1</t>
        </is>
      </c>
      <c r="E52" t="inlineStr">
        <is>
          <t>101</t>
        </is>
      </c>
      <c r="F52" t="inlineStr">
        <is>
          <t>eth1/29</t>
        </is>
      </c>
    </row>
    <row r="53">
      <c r="A53" t="inlineStr">
        <is>
          <t>down</t>
        </is>
      </c>
      <c r="B53" t="inlineStr">
        <is>
          <t>down</t>
        </is>
      </c>
      <c r="C53" t="inlineStr"/>
      <c r="D53" t="inlineStr">
        <is>
          <t>1</t>
        </is>
      </c>
      <c r="E53" t="inlineStr">
        <is>
          <t>101</t>
        </is>
      </c>
      <c r="F53" t="inlineStr">
        <is>
          <t>eth1/30</t>
        </is>
      </c>
    </row>
    <row r="54">
      <c r="A54" t="inlineStr">
        <is>
          <t>down</t>
        </is>
      </c>
      <c r="B54" t="inlineStr">
        <is>
          <t>down</t>
        </is>
      </c>
      <c r="C54" t="inlineStr"/>
      <c r="D54" t="inlineStr">
        <is>
          <t>1</t>
        </is>
      </c>
      <c r="E54" t="inlineStr">
        <is>
          <t>101</t>
        </is>
      </c>
      <c r="F54" t="inlineStr">
        <is>
          <t>eth1/31</t>
        </is>
      </c>
    </row>
    <row r="55">
      <c r="A55" t="inlineStr">
        <is>
          <t>down</t>
        </is>
      </c>
      <c r="B55" t="inlineStr">
        <is>
          <t>down</t>
        </is>
      </c>
      <c r="C55" t="inlineStr"/>
      <c r="D55" t="inlineStr">
        <is>
          <t>1</t>
        </is>
      </c>
      <c r="E55" t="inlineStr">
        <is>
          <t>101</t>
        </is>
      </c>
      <c r="F55" t="inlineStr">
        <is>
          <t>eth1/32</t>
        </is>
      </c>
    </row>
    <row r="56">
      <c r="A56" t="inlineStr">
        <is>
          <t>down</t>
        </is>
      </c>
      <c r="B56" t="inlineStr">
        <is>
          <t>down</t>
        </is>
      </c>
      <c r="C56" t="inlineStr"/>
      <c r="D56" t="inlineStr">
        <is>
          <t>1</t>
        </is>
      </c>
      <c r="E56" t="inlineStr">
        <is>
          <t>102</t>
        </is>
      </c>
      <c r="F56" t="inlineStr">
        <is>
          <t>eth1/33</t>
        </is>
      </c>
    </row>
    <row r="57">
      <c r="A57" t="inlineStr">
        <is>
          <t>down</t>
        </is>
      </c>
      <c r="B57" t="inlineStr">
        <is>
          <t>down</t>
        </is>
      </c>
      <c r="C57" t="inlineStr"/>
      <c r="D57" t="inlineStr">
        <is>
          <t>1</t>
        </is>
      </c>
      <c r="E57" t="inlineStr">
        <is>
          <t>102</t>
        </is>
      </c>
      <c r="F57" t="inlineStr">
        <is>
          <t>eth1/34</t>
        </is>
      </c>
    </row>
    <row r="58">
      <c r="A58" t="inlineStr">
        <is>
          <t>down</t>
        </is>
      </c>
      <c r="B58" t="inlineStr">
        <is>
          <t>down</t>
        </is>
      </c>
      <c r="C58" t="inlineStr"/>
      <c r="D58" t="inlineStr">
        <is>
          <t>1</t>
        </is>
      </c>
      <c r="E58" t="inlineStr">
        <is>
          <t>102</t>
        </is>
      </c>
      <c r="F58" t="inlineStr">
        <is>
          <t>eth1/35</t>
        </is>
      </c>
    </row>
    <row r="59">
      <c r="A59" t="inlineStr">
        <is>
          <t>up</t>
        </is>
      </c>
      <c r="B59" t="inlineStr">
        <is>
          <t>up</t>
        </is>
      </c>
      <c r="C59" t="inlineStr">
        <is>
          <t>B2B A SMAC2</t>
        </is>
      </c>
      <c r="D59" t="inlineStr">
        <is>
          <t>1</t>
        </is>
      </c>
      <c r="E59" t="inlineStr">
        <is>
          <t>102</t>
        </is>
      </c>
      <c r="F59" t="inlineStr">
        <is>
          <t>eth1/36</t>
        </is>
      </c>
    </row>
    <row r="60">
      <c r="A60" t="inlineStr">
        <is>
          <t>down</t>
        </is>
      </c>
      <c r="B60" t="inlineStr">
        <is>
          <t>down</t>
        </is>
      </c>
      <c r="C60" t="inlineStr"/>
      <c r="D60" t="inlineStr">
        <is>
          <t>1</t>
        </is>
      </c>
      <c r="E60" t="inlineStr">
        <is>
          <t>102</t>
        </is>
      </c>
      <c r="F60" t="inlineStr">
        <is>
          <t>eth1/37</t>
        </is>
      </c>
    </row>
    <row r="61">
      <c r="A61" t="inlineStr">
        <is>
          <t>up</t>
        </is>
      </c>
      <c r="B61" t="inlineStr">
        <is>
          <t>up</t>
        </is>
      </c>
      <c r="C61" t="inlineStr">
        <is>
          <t>HACIA RMAC2 BUNDLE110</t>
        </is>
      </c>
      <c r="D61" t="inlineStr">
        <is>
          <t>1</t>
        </is>
      </c>
      <c r="E61" t="inlineStr">
        <is>
          <t>102</t>
        </is>
      </c>
      <c r="F61" t="inlineStr">
        <is>
          <t>eth1/38</t>
        </is>
      </c>
    </row>
    <row r="62">
      <c r="A62" t="inlineStr">
        <is>
          <t>down</t>
        </is>
      </c>
      <c r="B62" t="inlineStr">
        <is>
          <t>down</t>
        </is>
      </c>
      <c r="C62" t="inlineStr"/>
      <c r="D62" t="inlineStr">
        <is>
          <t>1</t>
        </is>
      </c>
      <c r="E62" t="inlineStr">
        <is>
          <t>102</t>
        </is>
      </c>
      <c r="F62" t="inlineStr">
        <is>
          <t>eth1/39</t>
        </is>
      </c>
    </row>
    <row r="63">
      <c r="A63" t="inlineStr">
        <is>
          <t>up</t>
        </is>
      </c>
      <c r="B63" t="inlineStr">
        <is>
          <t>up</t>
        </is>
      </c>
      <c r="C63" t="inlineStr">
        <is>
          <t>A 2R_MAC_MXINGEN_2 | B2B | UP-LINK SERVICIOS</t>
        </is>
      </c>
      <c r="D63" t="inlineStr">
        <is>
          <t>1</t>
        </is>
      </c>
      <c r="E63" t="inlineStr">
        <is>
          <t>102</t>
        </is>
      </c>
      <c r="F63" t="inlineStr">
        <is>
          <t>eth1/40</t>
        </is>
      </c>
    </row>
    <row r="64">
      <c r="A64" t="inlineStr">
        <is>
          <t>up</t>
        </is>
      </c>
      <c r="B64" t="inlineStr">
        <is>
          <t>up</t>
        </is>
      </c>
      <c r="C64" t="inlineStr">
        <is>
          <t>LINK_GESTION</t>
        </is>
      </c>
      <c r="D64" t="inlineStr">
        <is>
          <t>1</t>
        </is>
      </c>
      <c r="E64" t="inlineStr">
        <is>
          <t>102</t>
        </is>
      </c>
      <c r="F64" t="inlineStr">
        <is>
          <t>eth1/41</t>
        </is>
      </c>
    </row>
    <row r="65">
      <c r="A65" t="inlineStr">
        <is>
          <t>down</t>
        </is>
      </c>
      <c r="B65" t="inlineStr">
        <is>
          <t>down</t>
        </is>
      </c>
      <c r="C65" t="inlineStr"/>
      <c r="D65" t="inlineStr">
        <is>
          <t>1</t>
        </is>
      </c>
      <c r="E65" t="inlineStr">
        <is>
          <t>102</t>
        </is>
      </c>
      <c r="F65" t="inlineStr">
        <is>
          <t>eth1/42</t>
        </is>
      </c>
    </row>
    <row r="66">
      <c r="A66" t="inlineStr">
        <is>
          <t>down</t>
        </is>
      </c>
      <c r="B66" t="inlineStr">
        <is>
          <t>down</t>
        </is>
      </c>
      <c r="C66" t="inlineStr"/>
      <c r="D66" t="inlineStr">
        <is>
          <t>1</t>
        </is>
      </c>
      <c r="E66" t="inlineStr">
        <is>
          <t>102</t>
        </is>
      </c>
      <c r="F66" t="inlineStr">
        <is>
          <t>eth1/43</t>
        </is>
      </c>
    </row>
    <row r="67">
      <c r="A67" t="inlineStr">
        <is>
          <t>down</t>
        </is>
      </c>
      <c r="B67" t="inlineStr">
        <is>
          <t>down</t>
        </is>
      </c>
      <c r="C67" t="inlineStr"/>
      <c r="D67" t="inlineStr">
        <is>
          <t>1</t>
        </is>
      </c>
      <c r="E67" t="inlineStr">
        <is>
          <t>102</t>
        </is>
      </c>
      <c r="F67" t="inlineStr">
        <is>
          <t>eth1/44</t>
        </is>
      </c>
    </row>
    <row r="68">
      <c r="A68" t="inlineStr">
        <is>
          <t>up</t>
        </is>
      </c>
      <c r="B68" t="inlineStr">
        <is>
          <t>up</t>
        </is>
      </c>
      <c r="C68" t="inlineStr">
        <is>
          <t>HACIA RMAC2 BUNDLE110</t>
        </is>
      </c>
      <c r="D68" t="inlineStr">
        <is>
          <t>1</t>
        </is>
      </c>
      <c r="E68" t="inlineStr">
        <is>
          <t>102</t>
        </is>
      </c>
      <c r="F68" t="inlineStr">
        <is>
          <t>eth1/45</t>
        </is>
      </c>
    </row>
    <row r="69">
      <c r="A69" t="inlineStr">
        <is>
          <t>up</t>
        </is>
      </c>
      <c r="B69" t="inlineStr">
        <is>
          <t>up</t>
        </is>
      </c>
      <c r="C69" t="inlineStr">
        <is>
          <t>LINK_HACIA_APIC</t>
        </is>
      </c>
      <c r="D69" t="inlineStr">
        <is>
          <t>1</t>
        </is>
      </c>
      <c r="E69" t="inlineStr">
        <is>
          <t>102</t>
        </is>
      </c>
      <c r="F69" t="inlineStr">
        <is>
          <t>eth1/46</t>
        </is>
      </c>
    </row>
    <row r="70">
      <c r="A70" t="inlineStr">
        <is>
          <t>up</t>
        </is>
      </c>
      <c r="B70" t="inlineStr">
        <is>
          <t>up</t>
        </is>
      </c>
      <c r="C70" t="inlineStr">
        <is>
          <t>LINK_HACIA_APIC</t>
        </is>
      </c>
      <c r="D70" t="inlineStr">
        <is>
          <t>1</t>
        </is>
      </c>
      <c r="E70" t="inlineStr">
        <is>
          <t>102</t>
        </is>
      </c>
      <c r="F70" t="inlineStr">
        <is>
          <t>eth1/47</t>
        </is>
      </c>
    </row>
    <row r="71">
      <c r="A71" t="inlineStr">
        <is>
          <t>up</t>
        </is>
      </c>
      <c r="B71" t="inlineStr">
        <is>
          <t>up</t>
        </is>
      </c>
      <c r="C71" t="inlineStr">
        <is>
          <t>LINK_HACIA_APIC</t>
        </is>
      </c>
      <c r="D71" t="inlineStr">
        <is>
          <t>1</t>
        </is>
      </c>
      <c r="E71" t="inlineStr">
        <is>
          <t>102</t>
        </is>
      </c>
      <c r="F71" t="inlineStr">
        <is>
          <t>eth1/48</t>
        </is>
      </c>
    </row>
    <row r="72">
      <c r="A72" t="inlineStr">
        <is>
          <t>down</t>
        </is>
      </c>
      <c r="B72" t="inlineStr">
        <is>
          <t>down</t>
        </is>
      </c>
      <c r="C72" t="inlineStr"/>
      <c r="D72" t="inlineStr">
        <is>
          <t>1</t>
        </is>
      </c>
      <c r="E72" t="inlineStr">
        <is>
          <t>102</t>
        </is>
      </c>
      <c r="F72" t="inlineStr">
        <is>
          <t>eth1/49</t>
        </is>
      </c>
    </row>
    <row r="73">
      <c r="A73" t="inlineStr">
        <is>
          <t>down</t>
        </is>
      </c>
      <c r="B73" t="inlineStr">
        <is>
          <t>down</t>
        </is>
      </c>
      <c r="C73" t="inlineStr"/>
      <c r="D73" t="inlineStr">
        <is>
          <t>1</t>
        </is>
      </c>
      <c r="E73" t="inlineStr">
        <is>
          <t>102</t>
        </is>
      </c>
      <c r="F73" t="inlineStr">
        <is>
          <t>eth1/50</t>
        </is>
      </c>
    </row>
    <row r="74">
      <c r="A74" t="inlineStr">
        <is>
          <t>down</t>
        </is>
      </c>
      <c r="B74" t="inlineStr">
        <is>
          <t>down</t>
        </is>
      </c>
      <c r="C74" t="inlineStr"/>
      <c r="D74" t="inlineStr">
        <is>
          <t>1</t>
        </is>
      </c>
      <c r="E74" t="inlineStr">
        <is>
          <t>102</t>
        </is>
      </c>
      <c r="F74" t="inlineStr">
        <is>
          <t>eth1/51</t>
        </is>
      </c>
    </row>
    <row r="75">
      <c r="A75" t="inlineStr">
        <is>
          <t>down</t>
        </is>
      </c>
      <c r="B75" t="inlineStr">
        <is>
          <t>down</t>
        </is>
      </c>
      <c r="C75" t="inlineStr"/>
      <c r="D75" t="inlineStr">
        <is>
          <t>1</t>
        </is>
      </c>
      <c r="E75" t="inlineStr">
        <is>
          <t>102</t>
        </is>
      </c>
      <c r="F75" t="inlineStr">
        <is>
          <t>eth1/52</t>
        </is>
      </c>
    </row>
    <row r="76">
      <c r="A76" t="inlineStr">
        <is>
          <t>up</t>
        </is>
      </c>
      <c r="B76" t="inlineStr">
        <is>
          <t>up</t>
        </is>
      </c>
      <c r="C76" t="inlineStr">
        <is>
          <t>LINK_HACIA_SPINE</t>
        </is>
      </c>
      <c r="D76" t="inlineStr">
        <is>
          <t>1</t>
        </is>
      </c>
      <c r="E76" t="inlineStr">
        <is>
          <t>102</t>
        </is>
      </c>
      <c r="F76" t="inlineStr">
        <is>
          <t>eth1/53</t>
        </is>
      </c>
    </row>
    <row r="77">
      <c r="A77" t="inlineStr">
        <is>
          <t>up</t>
        </is>
      </c>
      <c r="B77" t="inlineStr">
        <is>
          <t>up</t>
        </is>
      </c>
      <c r="C77" t="inlineStr">
        <is>
          <t>LINK_HACIA_SPINE</t>
        </is>
      </c>
      <c r="D77" t="inlineStr">
        <is>
          <t>1</t>
        </is>
      </c>
      <c r="E77" t="inlineStr">
        <is>
          <t>102</t>
        </is>
      </c>
      <c r="F77" t="inlineStr">
        <is>
          <t>eth1/54</t>
        </is>
      </c>
    </row>
    <row r="78">
      <c r="A78" t="inlineStr">
        <is>
          <t>down</t>
        </is>
      </c>
      <c r="B78" t="inlineStr">
        <is>
          <t>down</t>
        </is>
      </c>
      <c r="C78" t="inlineStr"/>
      <c r="D78" t="inlineStr">
        <is>
          <t>1</t>
        </is>
      </c>
      <c r="E78" t="inlineStr">
        <is>
          <t>102</t>
        </is>
      </c>
      <c r="F78" t="inlineStr">
        <is>
          <t>eth1/1</t>
        </is>
      </c>
    </row>
    <row r="79">
      <c r="A79" t="inlineStr">
        <is>
          <t>down</t>
        </is>
      </c>
      <c r="B79" t="inlineStr">
        <is>
          <t>down</t>
        </is>
      </c>
      <c r="C79" t="inlineStr"/>
      <c r="D79" t="inlineStr">
        <is>
          <t>1</t>
        </is>
      </c>
      <c r="E79" t="inlineStr">
        <is>
          <t>102</t>
        </is>
      </c>
      <c r="F79" t="inlineStr">
        <is>
          <t>eth1/2</t>
        </is>
      </c>
    </row>
    <row r="80">
      <c r="A80" t="inlineStr">
        <is>
          <t>down</t>
        </is>
      </c>
      <c r="B80" t="inlineStr">
        <is>
          <t>down</t>
        </is>
      </c>
      <c r="C80" t="inlineStr"/>
      <c r="D80" t="inlineStr">
        <is>
          <t>1</t>
        </is>
      </c>
      <c r="E80" t="inlineStr">
        <is>
          <t>102</t>
        </is>
      </c>
      <c r="F80" t="inlineStr">
        <is>
          <t>eth1/3</t>
        </is>
      </c>
    </row>
    <row r="81">
      <c r="A81" t="inlineStr">
        <is>
          <t>down</t>
        </is>
      </c>
      <c r="B81" t="inlineStr">
        <is>
          <t>down</t>
        </is>
      </c>
      <c r="C81" t="inlineStr"/>
      <c r="D81" t="inlineStr">
        <is>
          <t>1</t>
        </is>
      </c>
      <c r="E81" t="inlineStr">
        <is>
          <t>102</t>
        </is>
      </c>
      <c r="F81" t="inlineStr">
        <is>
          <t>eth1/4</t>
        </is>
      </c>
    </row>
    <row r="82">
      <c r="A82" t="inlineStr">
        <is>
          <t>down</t>
        </is>
      </c>
      <c r="B82" t="inlineStr">
        <is>
          <t>down</t>
        </is>
      </c>
      <c r="C82" t="inlineStr"/>
      <c r="D82" t="inlineStr">
        <is>
          <t>1</t>
        </is>
      </c>
      <c r="E82" t="inlineStr">
        <is>
          <t>102</t>
        </is>
      </c>
      <c r="F82" t="inlineStr">
        <is>
          <t>eth1/5</t>
        </is>
      </c>
    </row>
    <row r="83">
      <c r="A83" t="inlineStr">
        <is>
          <t>up</t>
        </is>
      </c>
      <c r="B83" t="inlineStr">
        <is>
          <t>up</t>
        </is>
      </c>
      <c r="C83" t="inlineStr">
        <is>
          <t>To_BSC_ERICCSON_02</t>
        </is>
      </c>
      <c r="D83" t="inlineStr">
        <is>
          <t>1</t>
        </is>
      </c>
      <c r="E83" t="inlineStr">
        <is>
          <t>102</t>
        </is>
      </c>
      <c r="F83" t="inlineStr">
        <is>
          <t>eth1/6</t>
        </is>
      </c>
    </row>
    <row r="84">
      <c r="A84" t="inlineStr">
        <is>
          <t>up</t>
        </is>
      </c>
      <c r="B84" t="inlineStr">
        <is>
          <t>up</t>
        </is>
      </c>
      <c r="C84" t="inlineStr">
        <is>
          <t>To_PTMP-UG0-1710-0008</t>
        </is>
      </c>
      <c r="D84" t="inlineStr">
        <is>
          <t>1</t>
        </is>
      </c>
      <c r="E84" t="inlineStr">
        <is>
          <t>102</t>
        </is>
      </c>
      <c r="F84" t="inlineStr">
        <is>
          <t>eth1/7</t>
        </is>
      </c>
    </row>
    <row r="85">
      <c r="A85" t="inlineStr">
        <is>
          <t>up</t>
        </is>
      </c>
      <c r="B85" t="inlineStr">
        <is>
          <t>up</t>
        </is>
      </c>
      <c r="C85" t="inlineStr">
        <is>
          <t>To_PTMP-UG0-1507-0002</t>
        </is>
      </c>
      <c r="D85" t="inlineStr">
        <is>
          <t>1</t>
        </is>
      </c>
      <c r="E85" t="inlineStr">
        <is>
          <t>102</t>
        </is>
      </c>
      <c r="F85" t="inlineStr">
        <is>
          <t>eth1/8</t>
        </is>
      </c>
    </row>
    <row r="86">
      <c r="A86" t="inlineStr">
        <is>
          <t>up</t>
        </is>
      </c>
      <c r="B86" t="inlineStr">
        <is>
          <t>up</t>
        </is>
      </c>
      <c r="C86" t="inlineStr">
        <is>
          <t>LINK HACIA To_PTMP-UG0-1208-0008</t>
        </is>
      </c>
      <c r="D86" t="inlineStr">
        <is>
          <t>1</t>
        </is>
      </c>
      <c r="E86" t="inlineStr">
        <is>
          <t>102</t>
        </is>
      </c>
      <c r="F86" t="inlineStr">
        <is>
          <t>eth1/9</t>
        </is>
      </c>
    </row>
    <row r="87">
      <c r="A87" t="inlineStr">
        <is>
          <t>up</t>
        </is>
      </c>
      <c r="B87" t="inlineStr">
        <is>
          <t>up</t>
        </is>
      </c>
      <c r="C87" t="inlineStr">
        <is>
          <t>To_EVO1_INGEV1</t>
        </is>
      </c>
      <c r="D87" t="inlineStr">
        <is>
          <t>1</t>
        </is>
      </c>
      <c r="E87" t="inlineStr">
        <is>
          <t>102</t>
        </is>
      </c>
      <c r="F87" t="inlineStr">
        <is>
          <t>eth1/10</t>
        </is>
      </c>
    </row>
    <row r="88">
      <c r="A88" t="inlineStr">
        <is>
          <t>down</t>
        </is>
      </c>
      <c r="B88" t="inlineStr">
        <is>
          <t>down</t>
        </is>
      </c>
      <c r="C88" t="inlineStr"/>
      <c r="D88" t="inlineStr">
        <is>
          <t>1</t>
        </is>
      </c>
      <c r="E88" t="inlineStr">
        <is>
          <t>102</t>
        </is>
      </c>
      <c r="F88" t="inlineStr">
        <is>
          <t>eth1/11</t>
        </is>
      </c>
    </row>
    <row r="89">
      <c r="A89" t="inlineStr">
        <is>
          <t>down</t>
        </is>
      </c>
      <c r="B89" t="inlineStr">
        <is>
          <t>down</t>
        </is>
      </c>
      <c r="C89" t="inlineStr"/>
      <c r="D89" t="inlineStr">
        <is>
          <t>1</t>
        </is>
      </c>
      <c r="E89" t="inlineStr">
        <is>
          <t>102</t>
        </is>
      </c>
      <c r="F89" t="inlineStr">
        <is>
          <t>eth1/12</t>
        </is>
      </c>
    </row>
    <row r="90">
      <c r="A90" t="inlineStr">
        <is>
          <t>down</t>
        </is>
      </c>
      <c r="B90" t="inlineStr">
        <is>
          <t>down</t>
        </is>
      </c>
      <c r="C90" t="inlineStr"/>
      <c r="D90" t="inlineStr">
        <is>
          <t>1</t>
        </is>
      </c>
      <c r="E90" t="inlineStr">
        <is>
          <t>102</t>
        </is>
      </c>
      <c r="F90" t="inlineStr">
        <is>
          <t>eth1/13</t>
        </is>
      </c>
    </row>
    <row r="91">
      <c r="A91" t="inlineStr">
        <is>
          <t>down</t>
        </is>
      </c>
      <c r="B91" t="inlineStr">
        <is>
          <t>down</t>
        </is>
      </c>
      <c r="C91" t="inlineStr"/>
      <c r="D91" t="inlineStr">
        <is>
          <t>1</t>
        </is>
      </c>
      <c r="E91" t="inlineStr">
        <is>
          <t>102</t>
        </is>
      </c>
      <c r="F91" t="inlineStr">
        <is>
          <t>eth1/14</t>
        </is>
      </c>
    </row>
    <row r="92">
      <c r="A92" t="inlineStr">
        <is>
          <t>down</t>
        </is>
      </c>
      <c r="B92" t="inlineStr">
        <is>
          <t>down</t>
        </is>
      </c>
      <c r="C92" t="inlineStr"/>
      <c r="D92" t="inlineStr">
        <is>
          <t>1</t>
        </is>
      </c>
      <c r="E92" t="inlineStr">
        <is>
          <t>102</t>
        </is>
      </c>
      <c r="F92" t="inlineStr">
        <is>
          <t>eth1/15</t>
        </is>
      </c>
    </row>
    <row r="93">
      <c r="A93" t="inlineStr">
        <is>
          <t>down</t>
        </is>
      </c>
      <c r="B93" t="inlineStr">
        <is>
          <t>down</t>
        </is>
      </c>
      <c r="C93" t="inlineStr"/>
      <c r="D93" t="inlineStr">
        <is>
          <t>1</t>
        </is>
      </c>
      <c r="E93" t="inlineStr">
        <is>
          <t>102</t>
        </is>
      </c>
      <c r="F93" t="inlineStr">
        <is>
          <t>eth1/16</t>
        </is>
      </c>
    </row>
    <row r="94">
      <c r="A94" t="inlineStr">
        <is>
          <t>down</t>
        </is>
      </c>
      <c r="B94" t="inlineStr">
        <is>
          <t>down</t>
        </is>
      </c>
      <c r="C94" t="inlineStr"/>
      <c r="D94" t="inlineStr">
        <is>
          <t>1</t>
        </is>
      </c>
      <c r="E94" t="inlineStr">
        <is>
          <t>102</t>
        </is>
      </c>
      <c r="F94" t="inlineStr">
        <is>
          <t>eth1/17</t>
        </is>
      </c>
    </row>
    <row r="95">
      <c r="A95" t="inlineStr">
        <is>
          <t>down</t>
        </is>
      </c>
      <c r="B95" t="inlineStr">
        <is>
          <t>down</t>
        </is>
      </c>
      <c r="C95" t="inlineStr"/>
      <c r="D95" t="inlineStr">
        <is>
          <t>1</t>
        </is>
      </c>
      <c r="E95" t="inlineStr">
        <is>
          <t>102</t>
        </is>
      </c>
      <c r="F95" t="inlineStr">
        <is>
          <t>eth1/18</t>
        </is>
      </c>
    </row>
    <row r="96">
      <c r="A96" t="inlineStr">
        <is>
          <t>down</t>
        </is>
      </c>
      <c r="B96" t="inlineStr">
        <is>
          <t>down</t>
        </is>
      </c>
      <c r="C96" t="inlineStr"/>
      <c r="D96" t="inlineStr">
        <is>
          <t>1</t>
        </is>
      </c>
      <c r="E96" t="inlineStr">
        <is>
          <t>102</t>
        </is>
      </c>
      <c r="F96" t="inlineStr">
        <is>
          <t>eth1/19</t>
        </is>
      </c>
    </row>
    <row r="97">
      <c r="A97" t="inlineStr">
        <is>
          <t>down</t>
        </is>
      </c>
      <c r="B97" t="inlineStr">
        <is>
          <t>down</t>
        </is>
      </c>
      <c r="C97" t="inlineStr"/>
      <c r="D97" t="inlineStr">
        <is>
          <t>1</t>
        </is>
      </c>
      <c r="E97" t="inlineStr">
        <is>
          <t>102</t>
        </is>
      </c>
      <c r="F97" t="inlineStr">
        <is>
          <t>eth1/20</t>
        </is>
      </c>
    </row>
    <row r="98">
      <c r="A98" t="inlineStr">
        <is>
          <t>down</t>
        </is>
      </c>
      <c r="B98" t="inlineStr">
        <is>
          <t>down</t>
        </is>
      </c>
      <c r="C98" t="inlineStr"/>
      <c r="D98" t="inlineStr">
        <is>
          <t>1</t>
        </is>
      </c>
      <c r="E98" t="inlineStr">
        <is>
          <t>102</t>
        </is>
      </c>
      <c r="F98" t="inlineStr">
        <is>
          <t>eth1/21</t>
        </is>
      </c>
    </row>
    <row r="99">
      <c r="A99" t="inlineStr">
        <is>
          <t>down</t>
        </is>
      </c>
      <c r="B99" t="inlineStr">
        <is>
          <t>down</t>
        </is>
      </c>
      <c r="C99" t="inlineStr"/>
      <c r="D99" t="inlineStr">
        <is>
          <t>1</t>
        </is>
      </c>
      <c r="E99" t="inlineStr">
        <is>
          <t>102</t>
        </is>
      </c>
      <c r="F99" t="inlineStr">
        <is>
          <t>eth1/22</t>
        </is>
      </c>
    </row>
    <row r="100">
      <c r="A100" t="inlineStr">
        <is>
          <t>down</t>
        </is>
      </c>
      <c r="B100" t="inlineStr">
        <is>
          <t>down</t>
        </is>
      </c>
      <c r="C100" t="inlineStr"/>
      <c r="D100" t="inlineStr">
        <is>
          <t>1</t>
        </is>
      </c>
      <c r="E100" t="inlineStr">
        <is>
          <t>102</t>
        </is>
      </c>
      <c r="F100" t="inlineStr">
        <is>
          <t>eth1/23</t>
        </is>
      </c>
    </row>
    <row r="101">
      <c r="A101" t="inlineStr">
        <is>
          <t>down</t>
        </is>
      </c>
      <c r="B101" t="inlineStr">
        <is>
          <t>down</t>
        </is>
      </c>
      <c r="C101" t="inlineStr"/>
      <c r="D101" t="inlineStr">
        <is>
          <t>1</t>
        </is>
      </c>
      <c r="E101" t="inlineStr">
        <is>
          <t>102</t>
        </is>
      </c>
      <c r="F101" t="inlineStr">
        <is>
          <t>eth1/24</t>
        </is>
      </c>
    </row>
    <row r="102">
      <c r="A102" t="inlineStr">
        <is>
          <t>down</t>
        </is>
      </c>
      <c r="B102" t="inlineStr">
        <is>
          <t>down</t>
        </is>
      </c>
      <c r="C102" t="inlineStr"/>
      <c r="D102" t="inlineStr">
        <is>
          <t>1</t>
        </is>
      </c>
      <c r="E102" t="inlineStr">
        <is>
          <t>102</t>
        </is>
      </c>
      <c r="F102" t="inlineStr">
        <is>
          <t>eth1/25</t>
        </is>
      </c>
    </row>
    <row r="103">
      <c r="A103" t="inlineStr">
        <is>
          <t>down</t>
        </is>
      </c>
      <c r="B103" t="inlineStr">
        <is>
          <t>down</t>
        </is>
      </c>
      <c r="C103" t="inlineStr"/>
      <c r="D103" t="inlineStr">
        <is>
          <t>1</t>
        </is>
      </c>
      <c r="E103" t="inlineStr">
        <is>
          <t>102</t>
        </is>
      </c>
      <c r="F103" t="inlineStr">
        <is>
          <t>eth1/26</t>
        </is>
      </c>
    </row>
    <row r="104">
      <c r="A104" t="inlineStr">
        <is>
          <t>down</t>
        </is>
      </c>
      <c r="B104" t="inlineStr">
        <is>
          <t>down</t>
        </is>
      </c>
      <c r="C104" t="inlineStr"/>
      <c r="D104" t="inlineStr">
        <is>
          <t>1</t>
        </is>
      </c>
      <c r="E104" t="inlineStr">
        <is>
          <t>102</t>
        </is>
      </c>
      <c r="F104" t="inlineStr">
        <is>
          <t>eth1/27</t>
        </is>
      </c>
    </row>
    <row r="105">
      <c r="A105" t="inlineStr">
        <is>
          <t>down</t>
        </is>
      </c>
      <c r="B105" t="inlineStr">
        <is>
          <t>down</t>
        </is>
      </c>
      <c r="C105" t="inlineStr"/>
      <c r="D105" t="inlineStr">
        <is>
          <t>1</t>
        </is>
      </c>
      <c r="E105" t="inlineStr">
        <is>
          <t>102</t>
        </is>
      </c>
      <c r="F105" t="inlineStr">
        <is>
          <t>eth1/28</t>
        </is>
      </c>
    </row>
    <row r="106">
      <c r="A106" t="inlineStr">
        <is>
          <t>down</t>
        </is>
      </c>
      <c r="B106" t="inlineStr">
        <is>
          <t>down</t>
        </is>
      </c>
      <c r="C106" t="inlineStr"/>
      <c r="D106" t="inlineStr">
        <is>
          <t>1</t>
        </is>
      </c>
      <c r="E106" t="inlineStr">
        <is>
          <t>102</t>
        </is>
      </c>
      <c r="F106" t="inlineStr">
        <is>
          <t>eth1/29</t>
        </is>
      </c>
    </row>
    <row r="107">
      <c r="A107" t="inlineStr">
        <is>
          <t>down</t>
        </is>
      </c>
      <c r="B107" t="inlineStr">
        <is>
          <t>down</t>
        </is>
      </c>
      <c r="C107" t="inlineStr"/>
      <c r="D107" t="inlineStr">
        <is>
          <t>1</t>
        </is>
      </c>
      <c r="E107" t="inlineStr">
        <is>
          <t>102</t>
        </is>
      </c>
      <c r="F107" t="inlineStr">
        <is>
          <t>eth1/30</t>
        </is>
      </c>
    </row>
    <row r="108">
      <c r="A108" t="inlineStr">
        <is>
          <t>down</t>
        </is>
      </c>
      <c r="B108" t="inlineStr">
        <is>
          <t>down</t>
        </is>
      </c>
      <c r="C108" t="inlineStr"/>
      <c r="D108" t="inlineStr">
        <is>
          <t>1</t>
        </is>
      </c>
      <c r="E108" t="inlineStr">
        <is>
          <t>102</t>
        </is>
      </c>
      <c r="F108" t="inlineStr">
        <is>
          <t>eth1/31</t>
        </is>
      </c>
    </row>
    <row r="109">
      <c r="A109" t="inlineStr">
        <is>
          <t>down</t>
        </is>
      </c>
      <c r="B109" t="inlineStr">
        <is>
          <t>down</t>
        </is>
      </c>
      <c r="C109" t="inlineStr"/>
      <c r="D109" t="inlineStr">
        <is>
          <t>1</t>
        </is>
      </c>
      <c r="E109" t="inlineStr">
        <is>
          <t>102</t>
        </is>
      </c>
      <c r="F109" t="inlineStr">
        <is>
          <t>eth1/32</t>
        </is>
      </c>
    </row>
    <row r="110">
      <c r="A110" t="inlineStr">
        <is>
          <t>down</t>
        </is>
      </c>
      <c r="B110" t="inlineStr">
        <is>
          <t>down</t>
        </is>
      </c>
      <c r="C110" t="inlineStr"/>
      <c r="D110" t="inlineStr">
        <is>
          <t>1</t>
        </is>
      </c>
      <c r="E110" t="inlineStr">
        <is>
          <t>201</t>
        </is>
      </c>
      <c r="F110" t="inlineStr">
        <is>
          <t>eth1/33</t>
        </is>
      </c>
    </row>
    <row r="111">
      <c r="A111" t="inlineStr">
        <is>
          <t>down</t>
        </is>
      </c>
      <c r="B111" t="inlineStr">
        <is>
          <t>down</t>
        </is>
      </c>
      <c r="C111" t="inlineStr"/>
      <c r="D111" t="inlineStr">
        <is>
          <t>1</t>
        </is>
      </c>
      <c r="E111" t="inlineStr">
        <is>
          <t>201</t>
        </is>
      </c>
      <c r="F111" t="inlineStr">
        <is>
          <t>eth1/34</t>
        </is>
      </c>
    </row>
    <row r="112">
      <c r="A112" t="inlineStr">
        <is>
          <t>up</t>
        </is>
      </c>
      <c r="B112" t="inlineStr">
        <is>
          <t>up</t>
        </is>
      </c>
      <c r="C112" t="inlineStr">
        <is>
          <t>LINK_HACIA_LEAF</t>
        </is>
      </c>
      <c r="D112" t="inlineStr">
        <is>
          <t>1</t>
        </is>
      </c>
      <c r="E112" t="inlineStr">
        <is>
          <t>201</t>
        </is>
      </c>
      <c r="F112" t="inlineStr">
        <is>
          <t>eth1/1</t>
        </is>
      </c>
    </row>
    <row r="113">
      <c r="A113" t="inlineStr">
        <is>
          <t>up</t>
        </is>
      </c>
      <c r="B113" t="inlineStr">
        <is>
          <t>up</t>
        </is>
      </c>
      <c r="C113" t="inlineStr">
        <is>
          <t>LINK_HACIA_LEAF</t>
        </is>
      </c>
      <c r="D113" t="inlineStr">
        <is>
          <t>1</t>
        </is>
      </c>
      <c r="E113" t="inlineStr">
        <is>
          <t>201</t>
        </is>
      </c>
      <c r="F113" t="inlineStr">
        <is>
          <t>eth1/2</t>
        </is>
      </c>
    </row>
    <row r="114">
      <c r="A114" t="inlineStr">
        <is>
          <t>up</t>
        </is>
      </c>
      <c r="B114" t="inlineStr">
        <is>
          <t>up</t>
        </is>
      </c>
      <c r="C114" t="inlineStr">
        <is>
          <t>LINK_HACIA_LEAF</t>
        </is>
      </c>
      <c r="D114" t="inlineStr">
        <is>
          <t>1</t>
        </is>
      </c>
      <c r="E114" t="inlineStr">
        <is>
          <t>201</t>
        </is>
      </c>
      <c r="F114" t="inlineStr">
        <is>
          <t>eth1/3</t>
        </is>
      </c>
    </row>
    <row r="115">
      <c r="A115" t="inlineStr">
        <is>
          <t>up</t>
        </is>
      </c>
      <c r="B115" t="inlineStr">
        <is>
          <t>up</t>
        </is>
      </c>
      <c r="C115" t="inlineStr">
        <is>
          <t>LINK_HACIA_LEAF</t>
        </is>
      </c>
      <c r="D115" t="inlineStr">
        <is>
          <t>1</t>
        </is>
      </c>
      <c r="E115" t="inlineStr">
        <is>
          <t>201</t>
        </is>
      </c>
      <c r="F115" t="inlineStr">
        <is>
          <t>eth1/4</t>
        </is>
      </c>
    </row>
    <row r="116">
      <c r="A116" t="inlineStr">
        <is>
          <t>down</t>
        </is>
      </c>
      <c r="B116" t="inlineStr">
        <is>
          <t>down</t>
        </is>
      </c>
      <c r="C116" t="inlineStr"/>
      <c r="D116" t="inlineStr">
        <is>
          <t>1</t>
        </is>
      </c>
      <c r="E116" t="inlineStr">
        <is>
          <t>201</t>
        </is>
      </c>
      <c r="F116" t="inlineStr">
        <is>
          <t>eth1/5</t>
        </is>
      </c>
    </row>
    <row r="117">
      <c r="A117" t="inlineStr">
        <is>
          <t>down</t>
        </is>
      </c>
      <c r="B117" t="inlineStr">
        <is>
          <t>down</t>
        </is>
      </c>
      <c r="C117" t="inlineStr"/>
      <c r="D117" t="inlineStr">
        <is>
          <t>1</t>
        </is>
      </c>
      <c r="E117" t="inlineStr">
        <is>
          <t>201</t>
        </is>
      </c>
      <c r="F117" t="inlineStr">
        <is>
          <t>eth1/6</t>
        </is>
      </c>
    </row>
    <row r="118">
      <c r="A118" t="inlineStr">
        <is>
          <t>down</t>
        </is>
      </c>
      <c r="B118" t="inlineStr">
        <is>
          <t>down</t>
        </is>
      </c>
      <c r="C118" t="inlineStr"/>
      <c r="D118" t="inlineStr">
        <is>
          <t>1</t>
        </is>
      </c>
      <c r="E118" t="inlineStr">
        <is>
          <t>201</t>
        </is>
      </c>
      <c r="F118" t="inlineStr">
        <is>
          <t>eth1/7</t>
        </is>
      </c>
    </row>
    <row r="119">
      <c r="A119" t="inlineStr">
        <is>
          <t>down</t>
        </is>
      </c>
      <c r="B119" t="inlineStr">
        <is>
          <t>down</t>
        </is>
      </c>
      <c r="C119" t="inlineStr"/>
      <c r="D119" t="inlineStr">
        <is>
          <t>1</t>
        </is>
      </c>
      <c r="E119" t="inlineStr">
        <is>
          <t>201</t>
        </is>
      </c>
      <c r="F119" t="inlineStr">
        <is>
          <t>eth1/8</t>
        </is>
      </c>
    </row>
    <row r="120">
      <c r="A120" t="inlineStr">
        <is>
          <t>down</t>
        </is>
      </c>
      <c r="B120" t="inlineStr">
        <is>
          <t>down</t>
        </is>
      </c>
      <c r="C120" t="inlineStr"/>
      <c r="D120" t="inlineStr">
        <is>
          <t>1</t>
        </is>
      </c>
      <c r="E120" t="inlineStr">
        <is>
          <t>201</t>
        </is>
      </c>
      <c r="F120" t="inlineStr">
        <is>
          <t>eth1/9</t>
        </is>
      </c>
    </row>
    <row r="121">
      <c r="A121" t="inlineStr">
        <is>
          <t>down</t>
        </is>
      </c>
      <c r="B121" t="inlineStr">
        <is>
          <t>down</t>
        </is>
      </c>
      <c r="C121" t="inlineStr"/>
      <c r="D121" t="inlineStr">
        <is>
          <t>1</t>
        </is>
      </c>
      <c r="E121" t="inlineStr">
        <is>
          <t>201</t>
        </is>
      </c>
      <c r="F121" t="inlineStr">
        <is>
          <t>eth1/10</t>
        </is>
      </c>
    </row>
    <row r="122">
      <c r="A122" t="inlineStr">
        <is>
          <t>down</t>
        </is>
      </c>
      <c r="B122" t="inlineStr">
        <is>
          <t>down</t>
        </is>
      </c>
      <c r="C122" t="inlineStr"/>
      <c r="D122" t="inlineStr">
        <is>
          <t>1</t>
        </is>
      </c>
      <c r="E122" t="inlineStr">
        <is>
          <t>201</t>
        </is>
      </c>
      <c r="F122" t="inlineStr">
        <is>
          <t>eth1/11</t>
        </is>
      </c>
    </row>
    <row r="123">
      <c r="A123" t="inlineStr">
        <is>
          <t>down</t>
        </is>
      </c>
      <c r="B123" t="inlineStr">
        <is>
          <t>down</t>
        </is>
      </c>
      <c r="C123" t="inlineStr"/>
      <c r="D123" t="inlineStr">
        <is>
          <t>1</t>
        </is>
      </c>
      <c r="E123" t="inlineStr">
        <is>
          <t>201</t>
        </is>
      </c>
      <c r="F123" t="inlineStr">
        <is>
          <t>eth1/12</t>
        </is>
      </c>
    </row>
    <row r="124">
      <c r="A124" t="inlineStr">
        <is>
          <t>down</t>
        </is>
      </c>
      <c r="B124" t="inlineStr">
        <is>
          <t>down</t>
        </is>
      </c>
      <c r="C124" t="inlineStr"/>
      <c r="D124" t="inlineStr">
        <is>
          <t>1</t>
        </is>
      </c>
      <c r="E124" t="inlineStr">
        <is>
          <t>201</t>
        </is>
      </c>
      <c r="F124" t="inlineStr">
        <is>
          <t>eth1/13</t>
        </is>
      </c>
    </row>
    <row r="125">
      <c r="A125" t="inlineStr">
        <is>
          <t>down</t>
        </is>
      </c>
      <c r="B125" t="inlineStr">
        <is>
          <t>down</t>
        </is>
      </c>
      <c r="C125" t="inlineStr"/>
      <c r="D125" t="inlineStr">
        <is>
          <t>1</t>
        </is>
      </c>
      <c r="E125" t="inlineStr">
        <is>
          <t>201</t>
        </is>
      </c>
      <c r="F125" t="inlineStr">
        <is>
          <t>eth1/14</t>
        </is>
      </c>
    </row>
    <row r="126">
      <c r="A126" t="inlineStr">
        <is>
          <t>down</t>
        </is>
      </c>
      <c r="B126" t="inlineStr">
        <is>
          <t>down</t>
        </is>
      </c>
      <c r="C126" t="inlineStr"/>
      <c r="D126" t="inlineStr">
        <is>
          <t>1</t>
        </is>
      </c>
      <c r="E126" t="inlineStr">
        <is>
          <t>201</t>
        </is>
      </c>
      <c r="F126" t="inlineStr">
        <is>
          <t>eth1/15</t>
        </is>
      </c>
    </row>
    <row r="127">
      <c r="A127" t="inlineStr">
        <is>
          <t>down</t>
        </is>
      </c>
      <c r="B127" t="inlineStr">
        <is>
          <t>down</t>
        </is>
      </c>
      <c r="C127" t="inlineStr"/>
      <c r="D127" t="inlineStr">
        <is>
          <t>1</t>
        </is>
      </c>
      <c r="E127" t="inlineStr">
        <is>
          <t>201</t>
        </is>
      </c>
      <c r="F127" t="inlineStr">
        <is>
          <t>eth1/16</t>
        </is>
      </c>
    </row>
    <row r="128">
      <c r="A128" t="inlineStr">
        <is>
          <t>down</t>
        </is>
      </c>
      <c r="B128" t="inlineStr">
        <is>
          <t>down</t>
        </is>
      </c>
      <c r="C128" t="inlineStr"/>
      <c r="D128" t="inlineStr">
        <is>
          <t>1</t>
        </is>
      </c>
      <c r="E128" t="inlineStr">
        <is>
          <t>201</t>
        </is>
      </c>
      <c r="F128" t="inlineStr">
        <is>
          <t>eth1/17</t>
        </is>
      </c>
    </row>
    <row r="129">
      <c r="A129" t="inlineStr">
        <is>
          <t>down</t>
        </is>
      </c>
      <c r="B129" t="inlineStr">
        <is>
          <t>down</t>
        </is>
      </c>
      <c r="C129" t="inlineStr"/>
      <c r="D129" t="inlineStr">
        <is>
          <t>1</t>
        </is>
      </c>
      <c r="E129" t="inlineStr">
        <is>
          <t>201</t>
        </is>
      </c>
      <c r="F129" t="inlineStr">
        <is>
          <t>eth1/18</t>
        </is>
      </c>
    </row>
    <row r="130">
      <c r="A130" t="inlineStr">
        <is>
          <t>down</t>
        </is>
      </c>
      <c r="B130" t="inlineStr">
        <is>
          <t>down</t>
        </is>
      </c>
      <c r="C130" t="inlineStr"/>
      <c r="D130" t="inlineStr">
        <is>
          <t>1</t>
        </is>
      </c>
      <c r="E130" t="inlineStr">
        <is>
          <t>201</t>
        </is>
      </c>
      <c r="F130" t="inlineStr">
        <is>
          <t>eth1/19</t>
        </is>
      </c>
    </row>
    <row r="131">
      <c r="A131" t="inlineStr">
        <is>
          <t>down</t>
        </is>
      </c>
      <c r="B131" t="inlineStr">
        <is>
          <t>down</t>
        </is>
      </c>
      <c r="C131" t="inlineStr"/>
      <c r="D131" t="inlineStr">
        <is>
          <t>1</t>
        </is>
      </c>
      <c r="E131" t="inlineStr">
        <is>
          <t>201</t>
        </is>
      </c>
      <c r="F131" t="inlineStr">
        <is>
          <t>eth1/20</t>
        </is>
      </c>
    </row>
    <row r="132">
      <c r="A132" t="inlineStr">
        <is>
          <t>down</t>
        </is>
      </c>
      <c r="B132" t="inlineStr">
        <is>
          <t>down</t>
        </is>
      </c>
      <c r="C132" t="inlineStr"/>
      <c r="D132" t="inlineStr">
        <is>
          <t>1</t>
        </is>
      </c>
      <c r="E132" t="inlineStr">
        <is>
          <t>201</t>
        </is>
      </c>
      <c r="F132" t="inlineStr">
        <is>
          <t>eth1/21</t>
        </is>
      </c>
    </row>
    <row r="133">
      <c r="A133" t="inlineStr">
        <is>
          <t>down</t>
        </is>
      </c>
      <c r="B133" t="inlineStr">
        <is>
          <t>down</t>
        </is>
      </c>
      <c r="C133" t="inlineStr"/>
      <c r="D133" t="inlineStr">
        <is>
          <t>1</t>
        </is>
      </c>
      <c r="E133" t="inlineStr">
        <is>
          <t>201</t>
        </is>
      </c>
      <c r="F133" t="inlineStr">
        <is>
          <t>eth1/22</t>
        </is>
      </c>
    </row>
    <row r="134">
      <c r="A134" t="inlineStr">
        <is>
          <t>down</t>
        </is>
      </c>
      <c r="B134" t="inlineStr">
        <is>
          <t>down</t>
        </is>
      </c>
      <c r="C134" t="inlineStr"/>
      <c r="D134" t="inlineStr">
        <is>
          <t>1</t>
        </is>
      </c>
      <c r="E134" t="inlineStr">
        <is>
          <t>201</t>
        </is>
      </c>
      <c r="F134" t="inlineStr">
        <is>
          <t>eth1/23</t>
        </is>
      </c>
    </row>
    <row r="135">
      <c r="A135" t="inlineStr">
        <is>
          <t>down</t>
        </is>
      </c>
      <c r="B135" t="inlineStr">
        <is>
          <t>down</t>
        </is>
      </c>
      <c r="C135" t="inlineStr"/>
      <c r="D135" t="inlineStr">
        <is>
          <t>1</t>
        </is>
      </c>
      <c r="E135" t="inlineStr">
        <is>
          <t>201</t>
        </is>
      </c>
      <c r="F135" t="inlineStr">
        <is>
          <t>eth1/24</t>
        </is>
      </c>
    </row>
    <row r="136">
      <c r="A136" t="inlineStr">
        <is>
          <t>down</t>
        </is>
      </c>
      <c r="B136" t="inlineStr">
        <is>
          <t>down</t>
        </is>
      </c>
      <c r="C136" t="inlineStr"/>
      <c r="D136" t="inlineStr">
        <is>
          <t>1</t>
        </is>
      </c>
      <c r="E136" t="inlineStr">
        <is>
          <t>201</t>
        </is>
      </c>
      <c r="F136" t="inlineStr">
        <is>
          <t>eth1/25</t>
        </is>
      </c>
    </row>
    <row r="137">
      <c r="A137" t="inlineStr">
        <is>
          <t>down</t>
        </is>
      </c>
      <c r="B137" t="inlineStr">
        <is>
          <t>down</t>
        </is>
      </c>
      <c r="C137" t="inlineStr"/>
      <c r="D137" t="inlineStr">
        <is>
          <t>1</t>
        </is>
      </c>
      <c r="E137" t="inlineStr">
        <is>
          <t>201</t>
        </is>
      </c>
      <c r="F137" t="inlineStr">
        <is>
          <t>eth1/26</t>
        </is>
      </c>
    </row>
    <row r="138">
      <c r="A138" t="inlineStr">
        <is>
          <t>down</t>
        </is>
      </c>
      <c r="B138" t="inlineStr">
        <is>
          <t>down</t>
        </is>
      </c>
      <c r="C138" t="inlineStr"/>
      <c r="D138" t="inlineStr">
        <is>
          <t>1</t>
        </is>
      </c>
      <c r="E138" t="inlineStr">
        <is>
          <t>201</t>
        </is>
      </c>
      <c r="F138" t="inlineStr">
        <is>
          <t>eth1/27</t>
        </is>
      </c>
    </row>
    <row r="139">
      <c r="A139" t="inlineStr">
        <is>
          <t>down</t>
        </is>
      </c>
      <c r="B139" t="inlineStr">
        <is>
          <t>down</t>
        </is>
      </c>
      <c r="C139" t="inlineStr"/>
      <c r="D139" t="inlineStr">
        <is>
          <t>1</t>
        </is>
      </c>
      <c r="E139" t="inlineStr">
        <is>
          <t>201</t>
        </is>
      </c>
      <c r="F139" t="inlineStr">
        <is>
          <t>eth1/28</t>
        </is>
      </c>
    </row>
    <row r="140">
      <c r="A140" t="inlineStr">
        <is>
          <t>down</t>
        </is>
      </c>
      <c r="B140" t="inlineStr">
        <is>
          <t>down</t>
        </is>
      </c>
      <c r="C140" t="inlineStr"/>
      <c r="D140" t="inlineStr">
        <is>
          <t>1</t>
        </is>
      </c>
      <c r="E140" t="inlineStr">
        <is>
          <t>201</t>
        </is>
      </c>
      <c r="F140" t="inlineStr">
        <is>
          <t>eth1/29</t>
        </is>
      </c>
    </row>
    <row r="141">
      <c r="A141" t="inlineStr">
        <is>
          <t>down</t>
        </is>
      </c>
      <c r="B141" t="inlineStr">
        <is>
          <t>down</t>
        </is>
      </c>
      <c r="C141" t="inlineStr"/>
      <c r="D141" t="inlineStr">
        <is>
          <t>1</t>
        </is>
      </c>
      <c r="E141" t="inlineStr">
        <is>
          <t>201</t>
        </is>
      </c>
      <c r="F141" t="inlineStr">
        <is>
          <t>eth1/30</t>
        </is>
      </c>
    </row>
    <row r="142">
      <c r="A142" t="inlineStr">
        <is>
          <t>down</t>
        </is>
      </c>
      <c r="B142" t="inlineStr">
        <is>
          <t>down</t>
        </is>
      </c>
      <c r="C142" t="inlineStr"/>
      <c r="D142" t="inlineStr">
        <is>
          <t>1</t>
        </is>
      </c>
      <c r="E142" t="inlineStr">
        <is>
          <t>201</t>
        </is>
      </c>
      <c r="F142" t="inlineStr">
        <is>
          <t>eth1/31</t>
        </is>
      </c>
    </row>
    <row r="143">
      <c r="A143" t="inlineStr">
        <is>
          <t>down</t>
        </is>
      </c>
      <c r="B143" t="inlineStr">
        <is>
          <t>down</t>
        </is>
      </c>
      <c r="C143" t="inlineStr"/>
      <c r="D143" t="inlineStr">
        <is>
          <t>1</t>
        </is>
      </c>
      <c r="E143" t="inlineStr">
        <is>
          <t>201</t>
        </is>
      </c>
      <c r="F143" t="inlineStr">
        <is>
          <t>eth1/32</t>
        </is>
      </c>
    </row>
    <row r="144">
      <c r="A144" t="inlineStr">
        <is>
          <t>down</t>
        </is>
      </c>
      <c r="B144" t="inlineStr">
        <is>
          <t>down</t>
        </is>
      </c>
      <c r="C144" t="inlineStr"/>
      <c r="D144" t="inlineStr">
        <is>
          <t>1</t>
        </is>
      </c>
      <c r="E144" t="inlineStr">
        <is>
          <t>202</t>
        </is>
      </c>
      <c r="F144" t="inlineStr">
        <is>
          <t>eth1/33</t>
        </is>
      </c>
    </row>
    <row r="145">
      <c r="A145" t="inlineStr">
        <is>
          <t>down</t>
        </is>
      </c>
      <c r="B145" t="inlineStr">
        <is>
          <t>down</t>
        </is>
      </c>
      <c r="C145" t="inlineStr"/>
      <c r="D145" t="inlineStr">
        <is>
          <t>1</t>
        </is>
      </c>
      <c r="E145" t="inlineStr">
        <is>
          <t>202</t>
        </is>
      </c>
      <c r="F145" t="inlineStr">
        <is>
          <t>eth1/34</t>
        </is>
      </c>
    </row>
    <row r="146">
      <c r="A146" t="inlineStr">
        <is>
          <t>up</t>
        </is>
      </c>
      <c r="B146" t="inlineStr">
        <is>
          <t>up</t>
        </is>
      </c>
      <c r="C146" t="inlineStr">
        <is>
          <t>LINK_HACIA_LEAF</t>
        </is>
      </c>
      <c r="D146" t="inlineStr">
        <is>
          <t>1</t>
        </is>
      </c>
      <c r="E146" t="inlineStr">
        <is>
          <t>202</t>
        </is>
      </c>
      <c r="F146" t="inlineStr">
        <is>
          <t>eth1/1</t>
        </is>
      </c>
    </row>
    <row r="147">
      <c r="A147" t="inlineStr">
        <is>
          <t>up</t>
        </is>
      </c>
      <c r="B147" t="inlineStr">
        <is>
          <t>up</t>
        </is>
      </c>
      <c r="C147" t="inlineStr">
        <is>
          <t>LINK_HACIA_LEAF</t>
        </is>
      </c>
      <c r="D147" t="inlineStr">
        <is>
          <t>1</t>
        </is>
      </c>
      <c r="E147" t="inlineStr">
        <is>
          <t>202</t>
        </is>
      </c>
      <c r="F147" t="inlineStr">
        <is>
          <t>eth1/2</t>
        </is>
      </c>
    </row>
    <row r="148">
      <c r="A148" t="inlineStr">
        <is>
          <t>up</t>
        </is>
      </c>
      <c r="B148" t="inlineStr">
        <is>
          <t>up</t>
        </is>
      </c>
      <c r="C148" t="inlineStr">
        <is>
          <t>LINK_HACIA_LEAF</t>
        </is>
      </c>
      <c r="D148" t="inlineStr">
        <is>
          <t>1</t>
        </is>
      </c>
      <c r="E148" t="inlineStr">
        <is>
          <t>202</t>
        </is>
      </c>
      <c r="F148" t="inlineStr">
        <is>
          <t>eth1/3</t>
        </is>
      </c>
    </row>
    <row r="149">
      <c r="A149" t="inlineStr">
        <is>
          <t>up</t>
        </is>
      </c>
      <c r="B149" t="inlineStr">
        <is>
          <t>up</t>
        </is>
      </c>
      <c r="C149" t="inlineStr">
        <is>
          <t>LINK_HACIA_LEAF</t>
        </is>
      </c>
      <c r="D149" t="inlineStr">
        <is>
          <t>1</t>
        </is>
      </c>
      <c r="E149" t="inlineStr">
        <is>
          <t>202</t>
        </is>
      </c>
      <c r="F149" t="inlineStr">
        <is>
          <t>eth1/4</t>
        </is>
      </c>
    </row>
    <row r="150">
      <c r="A150" t="inlineStr">
        <is>
          <t>down</t>
        </is>
      </c>
      <c r="B150" t="inlineStr">
        <is>
          <t>down</t>
        </is>
      </c>
      <c r="C150" t="inlineStr"/>
      <c r="D150" t="inlineStr">
        <is>
          <t>1</t>
        </is>
      </c>
      <c r="E150" t="inlineStr">
        <is>
          <t>202</t>
        </is>
      </c>
      <c r="F150" t="inlineStr">
        <is>
          <t>eth1/5</t>
        </is>
      </c>
    </row>
    <row r="151">
      <c r="A151" t="inlineStr">
        <is>
          <t>down</t>
        </is>
      </c>
      <c r="B151" t="inlineStr">
        <is>
          <t>down</t>
        </is>
      </c>
      <c r="C151" t="inlineStr"/>
      <c r="D151" t="inlineStr">
        <is>
          <t>1</t>
        </is>
      </c>
      <c r="E151" t="inlineStr">
        <is>
          <t>202</t>
        </is>
      </c>
      <c r="F151" t="inlineStr">
        <is>
          <t>eth1/6</t>
        </is>
      </c>
    </row>
    <row r="152">
      <c r="A152" t="inlineStr">
        <is>
          <t>down</t>
        </is>
      </c>
      <c r="B152" t="inlineStr">
        <is>
          <t>down</t>
        </is>
      </c>
      <c r="C152" t="inlineStr"/>
      <c r="D152" t="inlineStr">
        <is>
          <t>1</t>
        </is>
      </c>
      <c r="E152" t="inlineStr">
        <is>
          <t>202</t>
        </is>
      </c>
      <c r="F152" t="inlineStr">
        <is>
          <t>eth1/7</t>
        </is>
      </c>
    </row>
    <row r="153">
      <c r="A153" t="inlineStr">
        <is>
          <t>down</t>
        </is>
      </c>
      <c r="B153" t="inlineStr">
        <is>
          <t>down</t>
        </is>
      </c>
      <c r="C153" t="inlineStr"/>
      <c r="D153" t="inlineStr">
        <is>
          <t>1</t>
        </is>
      </c>
      <c r="E153" t="inlineStr">
        <is>
          <t>202</t>
        </is>
      </c>
      <c r="F153" t="inlineStr">
        <is>
          <t>eth1/8</t>
        </is>
      </c>
    </row>
    <row r="154">
      <c r="A154" t="inlineStr">
        <is>
          <t>down</t>
        </is>
      </c>
      <c r="B154" t="inlineStr">
        <is>
          <t>down</t>
        </is>
      </c>
      <c r="C154" t="inlineStr"/>
      <c r="D154" t="inlineStr">
        <is>
          <t>1</t>
        </is>
      </c>
      <c r="E154" t="inlineStr">
        <is>
          <t>202</t>
        </is>
      </c>
      <c r="F154" t="inlineStr">
        <is>
          <t>eth1/9</t>
        </is>
      </c>
    </row>
    <row r="155">
      <c r="A155" t="inlineStr">
        <is>
          <t>down</t>
        </is>
      </c>
      <c r="B155" t="inlineStr">
        <is>
          <t>down</t>
        </is>
      </c>
      <c r="C155" t="inlineStr"/>
      <c r="D155" t="inlineStr">
        <is>
          <t>1</t>
        </is>
      </c>
      <c r="E155" t="inlineStr">
        <is>
          <t>202</t>
        </is>
      </c>
      <c r="F155" t="inlineStr">
        <is>
          <t>eth1/10</t>
        </is>
      </c>
    </row>
    <row r="156">
      <c r="A156" t="inlineStr">
        <is>
          <t>down</t>
        </is>
      </c>
      <c r="B156" t="inlineStr">
        <is>
          <t>down</t>
        </is>
      </c>
      <c r="C156" t="inlineStr"/>
      <c r="D156" t="inlineStr">
        <is>
          <t>1</t>
        </is>
      </c>
      <c r="E156" t="inlineStr">
        <is>
          <t>202</t>
        </is>
      </c>
      <c r="F156" t="inlineStr">
        <is>
          <t>eth1/11</t>
        </is>
      </c>
    </row>
    <row r="157">
      <c r="A157" t="inlineStr">
        <is>
          <t>down</t>
        </is>
      </c>
      <c r="B157" t="inlineStr">
        <is>
          <t>down</t>
        </is>
      </c>
      <c r="C157" t="inlineStr"/>
      <c r="D157" t="inlineStr">
        <is>
          <t>1</t>
        </is>
      </c>
      <c r="E157" t="inlineStr">
        <is>
          <t>202</t>
        </is>
      </c>
      <c r="F157" t="inlineStr">
        <is>
          <t>eth1/12</t>
        </is>
      </c>
    </row>
    <row r="158">
      <c r="A158" t="inlineStr">
        <is>
          <t>down</t>
        </is>
      </c>
      <c r="B158" t="inlineStr">
        <is>
          <t>down</t>
        </is>
      </c>
      <c r="C158" t="inlineStr"/>
      <c r="D158" t="inlineStr">
        <is>
          <t>1</t>
        </is>
      </c>
      <c r="E158" t="inlineStr">
        <is>
          <t>202</t>
        </is>
      </c>
      <c r="F158" t="inlineStr">
        <is>
          <t>eth1/13</t>
        </is>
      </c>
    </row>
    <row r="159">
      <c r="A159" t="inlineStr">
        <is>
          <t>down</t>
        </is>
      </c>
      <c r="B159" t="inlineStr">
        <is>
          <t>down</t>
        </is>
      </c>
      <c r="C159" t="inlineStr"/>
      <c r="D159" t="inlineStr">
        <is>
          <t>1</t>
        </is>
      </c>
      <c r="E159" t="inlineStr">
        <is>
          <t>202</t>
        </is>
      </c>
      <c r="F159" t="inlineStr">
        <is>
          <t>eth1/14</t>
        </is>
      </c>
    </row>
    <row r="160">
      <c r="A160" t="inlineStr">
        <is>
          <t>down</t>
        </is>
      </c>
      <c r="B160" t="inlineStr">
        <is>
          <t>down</t>
        </is>
      </c>
      <c r="C160" t="inlineStr"/>
      <c r="D160" t="inlineStr">
        <is>
          <t>1</t>
        </is>
      </c>
      <c r="E160" t="inlineStr">
        <is>
          <t>202</t>
        </is>
      </c>
      <c r="F160" t="inlineStr">
        <is>
          <t>eth1/15</t>
        </is>
      </c>
    </row>
    <row r="161">
      <c r="A161" t="inlineStr">
        <is>
          <t>down</t>
        </is>
      </c>
      <c r="B161" t="inlineStr">
        <is>
          <t>down</t>
        </is>
      </c>
      <c r="C161" t="inlineStr"/>
      <c r="D161" t="inlineStr">
        <is>
          <t>1</t>
        </is>
      </c>
      <c r="E161" t="inlineStr">
        <is>
          <t>202</t>
        </is>
      </c>
      <c r="F161" t="inlineStr">
        <is>
          <t>eth1/16</t>
        </is>
      </c>
    </row>
    <row r="162">
      <c r="A162" t="inlineStr">
        <is>
          <t>down</t>
        </is>
      </c>
      <c r="B162" t="inlineStr">
        <is>
          <t>down</t>
        </is>
      </c>
      <c r="C162" t="inlineStr"/>
      <c r="D162" t="inlineStr">
        <is>
          <t>1</t>
        </is>
      </c>
      <c r="E162" t="inlineStr">
        <is>
          <t>202</t>
        </is>
      </c>
      <c r="F162" t="inlineStr">
        <is>
          <t>eth1/17</t>
        </is>
      </c>
    </row>
    <row r="163">
      <c r="A163" t="inlineStr">
        <is>
          <t>down</t>
        </is>
      </c>
      <c r="B163" t="inlineStr">
        <is>
          <t>down</t>
        </is>
      </c>
      <c r="C163" t="inlineStr"/>
      <c r="D163" t="inlineStr">
        <is>
          <t>1</t>
        </is>
      </c>
      <c r="E163" t="inlineStr">
        <is>
          <t>202</t>
        </is>
      </c>
      <c r="F163" t="inlineStr">
        <is>
          <t>eth1/18</t>
        </is>
      </c>
    </row>
    <row r="164">
      <c r="A164" t="inlineStr">
        <is>
          <t>down</t>
        </is>
      </c>
      <c r="B164" t="inlineStr">
        <is>
          <t>down</t>
        </is>
      </c>
      <c r="C164" t="inlineStr"/>
      <c r="D164" t="inlineStr">
        <is>
          <t>1</t>
        </is>
      </c>
      <c r="E164" t="inlineStr">
        <is>
          <t>202</t>
        </is>
      </c>
      <c r="F164" t="inlineStr">
        <is>
          <t>eth1/19</t>
        </is>
      </c>
    </row>
    <row r="165">
      <c r="A165" t="inlineStr">
        <is>
          <t>down</t>
        </is>
      </c>
      <c r="B165" t="inlineStr">
        <is>
          <t>down</t>
        </is>
      </c>
      <c r="C165" t="inlineStr"/>
      <c r="D165" t="inlineStr">
        <is>
          <t>1</t>
        </is>
      </c>
      <c r="E165" t="inlineStr">
        <is>
          <t>202</t>
        </is>
      </c>
      <c r="F165" t="inlineStr">
        <is>
          <t>eth1/20</t>
        </is>
      </c>
    </row>
    <row r="166">
      <c r="A166" t="inlineStr">
        <is>
          <t>down</t>
        </is>
      </c>
      <c r="B166" t="inlineStr">
        <is>
          <t>down</t>
        </is>
      </c>
      <c r="C166" t="inlineStr"/>
      <c r="D166" t="inlineStr">
        <is>
          <t>1</t>
        </is>
      </c>
      <c r="E166" t="inlineStr">
        <is>
          <t>202</t>
        </is>
      </c>
      <c r="F166" t="inlineStr">
        <is>
          <t>eth1/21</t>
        </is>
      </c>
    </row>
    <row r="167">
      <c r="A167" t="inlineStr">
        <is>
          <t>down</t>
        </is>
      </c>
      <c r="B167" t="inlineStr">
        <is>
          <t>down</t>
        </is>
      </c>
      <c r="C167" t="inlineStr"/>
      <c r="D167" t="inlineStr">
        <is>
          <t>1</t>
        </is>
      </c>
      <c r="E167" t="inlineStr">
        <is>
          <t>202</t>
        </is>
      </c>
      <c r="F167" t="inlineStr">
        <is>
          <t>eth1/22</t>
        </is>
      </c>
    </row>
    <row r="168">
      <c r="A168" t="inlineStr">
        <is>
          <t>down</t>
        </is>
      </c>
      <c r="B168" t="inlineStr">
        <is>
          <t>down</t>
        </is>
      </c>
      <c r="C168" t="inlineStr"/>
      <c r="D168" t="inlineStr">
        <is>
          <t>1</t>
        </is>
      </c>
      <c r="E168" t="inlineStr">
        <is>
          <t>202</t>
        </is>
      </c>
      <c r="F168" t="inlineStr">
        <is>
          <t>eth1/23</t>
        </is>
      </c>
    </row>
    <row r="169">
      <c r="A169" t="inlineStr">
        <is>
          <t>down</t>
        </is>
      </c>
      <c r="B169" t="inlineStr">
        <is>
          <t>down</t>
        </is>
      </c>
      <c r="C169" t="inlineStr"/>
      <c r="D169" t="inlineStr">
        <is>
          <t>1</t>
        </is>
      </c>
      <c r="E169" t="inlineStr">
        <is>
          <t>202</t>
        </is>
      </c>
      <c r="F169" t="inlineStr">
        <is>
          <t>eth1/24</t>
        </is>
      </c>
    </row>
    <row r="170">
      <c r="A170" t="inlineStr">
        <is>
          <t>down</t>
        </is>
      </c>
      <c r="B170" t="inlineStr">
        <is>
          <t>down</t>
        </is>
      </c>
      <c r="C170" t="inlineStr"/>
      <c r="D170" t="inlineStr">
        <is>
          <t>1</t>
        </is>
      </c>
      <c r="E170" t="inlineStr">
        <is>
          <t>202</t>
        </is>
      </c>
      <c r="F170" t="inlineStr">
        <is>
          <t>eth1/25</t>
        </is>
      </c>
    </row>
    <row r="171">
      <c r="A171" t="inlineStr">
        <is>
          <t>down</t>
        </is>
      </c>
      <c r="B171" t="inlineStr">
        <is>
          <t>down</t>
        </is>
      </c>
      <c r="C171" t="inlineStr"/>
      <c r="D171" t="inlineStr">
        <is>
          <t>1</t>
        </is>
      </c>
      <c r="E171" t="inlineStr">
        <is>
          <t>202</t>
        </is>
      </c>
      <c r="F171" t="inlineStr">
        <is>
          <t>eth1/26</t>
        </is>
      </c>
    </row>
    <row r="172">
      <c r="A172" t="inlineStr">
        <is>
          <t>down</t>
        </is>
      </c>
      <c r="B172" t="inlineStr">
        <is>
          <t>down</t>
        </is>
      </c>
      <c r="C172" t="inlineStr"/>
      <c r="D172" t="inlineStr">
        <is>
          <t>1</t>
        </is>
      </c>
      <c r="E172" t="inlineStr">
        <is>
          <t>202</t>
        </is>
      </c>
      <c r="F172" t="inlineStr">
        <is>
          <t>eth1/27</t>
        </is>
      </c>
    </row>
    <row r="173">
      <c r="A173" t="inlineStr">
        <is>
          <t>down</t>
        </is>
      </c>
      <c r="B173" t="inlineStr">
        <is>
          <t>down</t>
        </is>
      </c>
      <c r="C173" t="inlineStr"/>
      <c r="D173" t="inlineStr">
        <is>
          <t>1</t>
        </is>
      </c>
      <c r="E173" t="inlineStr">
        <is>
          <t>202</t>
        </is>
      </c>
      <c r="F173" t="inlineStr">
        <is>
          <t>eth1/28</t>
        </is>
      </c>
    </row>
    <row r="174">
      <c r="A174" t="inlineStr">
        <is>
          <t>down</t>
        </is>
      </c>
      <c r="B174" t="inlineStr">
        <is>
          <t>down</t>
        </is>
      </c>
      <c r="C174" t="inlineStr"/>
      <c r="D174" t="inlineStr">
        <is>
          <t>1</t>
        </is>
      </c>
      <c r="E174" t="inlineStr">
        <is>
          <t>202</t>
        </is>
      </c>
      <c r="F174" t="inlineStr">
        <is>
          <t>eth1/29</t>
        </is>
      </c>
    </row>
    <row r="175">
      <c r="A175" t="inlineStr">
        <is>
          <t>down</t>
        </is>
      </c>
      <c r="B175" t="inlineStr">
        <is>
          <t>down</t>
        </is>
      </c>
      <c r="C175" t="inlineStr"/>
      <c r="D175" t="inlineStr">
        <is>
          <t>1</t>
        </is>
      </c>
      <c r="E175" t="inlineStr">
        <is>
          <t>202</t>
        </is>
      </c>
      <c r="F175" t="inlineStr">
        <is>
          <t>eth1/30</t>
        </is>
      </c>
    </row>
    <row r="176">
      <c r="A176" t="inlineStr">
        <is>
          <t>down</t>
        </is>
      </c>
      <c r="B176" t="inlineStr">
        <is>
          <t>down</t>
        </is>
      </c>
      <c r="C176" t="inlineStr"/>
      <c r="D176" t="inlineStr">
        <is>
          <t>1</t>
        </is>
      </c>
      <c r="E176" t="inlineStr">
        <is>
          <t>202</t>
        </is>
      </c>
      <c r="F176" t="inlineStr">
        <is>
          <t>eth1/31</t>
        </is>
      </c>
    </row>
    <row r="177">
      <c r="A177" t="inlineStr">
        <is>
          <t>down</t>
        </is>
      </c>
      <c r="B177" t="inlineStr">
        <is>
          <t>down</t>
        </is>
      </c>
      <c r="C177" t="inlineStr"/>
      <c r="D177" t="inlineStr">
        <is>
          <t>1</t>
        </is>
      </c>
      <c r="E177" t="inlineStr">
        <is>
          <t>202</t>
        </is>
      </c>
      <c r="F177" t="inlineStr">
        <is>
          <t>eth1/32</t>
        </is>
      </c>
    </row>
    <row r="178">
      <c r="A178" t="inlineStr">
        <is>
          <t>up</t>
        </is>
      </c>
      <c r="B178" t="inlineStr">
        <is>
          <t>up</t>
        </is>
      </c>
      <c r="C178" t="inlineStr">
        <is>
          <t>HACIA_SALA_OYM_CUBICULO4</t>
        </is>
      </c>
      <c r="D178" t="inlineStr">
        <is>
          <t>1</t>
        </is>
      </c>
      <c r="E178" t="inlineStr">
        <is>
          <t>151</t>
        </is>
      </c>
      <c r="F178" t="inlineStr">
        <is>
          <t>eth1/33</t>
        </is>
      </c>
    </row>
    <row r="179">
      <c r="A179" t="inlineStr">
        <is>
          <t>up</t>
        </is>
      </c>
      <c r="B179" t="inlineStr">
        <is>
          <t>up</t>
        </is>
      </c>
      <c r="C179" t="inlineStr">
        <is>
          <t>HACIA_SALA_OYM_CUBICULO1</t>
        </is>
      </c>
      <c r="D179" t="inlineStr">
        <is>
          <t>1</t>
        </is>
      </c>
      <c r="E179" t="inlineStr">
        <is>
          <t>151</t>
        </is>
      </c>
      <c r="F179" t="inlineStr">
        <is>
          <t>eth1/34</t>
        </is>
      </c>
    </row>
    <row r="180">
      <c r="A180" t="inlineStr">
        <is>
          <t>down</t>
        </is>
      </c>
      <c r="B180" t="inlineStr">
        <is>
          <t>down</t>
        </is>
      </c>
      <c r="C180" t="inlineStr"/>
      <c r="D180" t="inlineStr">
        <is>
          <t>1</t>
        </is>
      </c>
      <c r="E180" t="inlineStr">
        <is>
          <t>151</t>
        </is>
      </c>
      <c r="F180" t="inlineStr">
        <is>
          <t>eth1/35</t>
        </is>
      </c>
    </row>
    <row r="181">
      <c r="A181" t="inlineStr">
        <is>
          <t>down</t>
        </is>
      </c>
      <c r="B181" t="inlineStr">
        <is>
          <t>down</t>
        </is>
      </c>
      <c r="C181" t="inlineStr"/>
      <c r="D181" t="inlineStr">
        <is>
          <t>1</t>
        </is>
      </c>
      <c r="E181" t="inlineStr">
        <is>
          <t>151</t>
        </is>
      </c>
      <c r="F181" t="inlineStr">
        <is>
          <t>eth1/36</t>
        </is>
      </c>
    </row>
    <row r="182">
      <c r="A182" t="inlineStr">
        <is>
          <t>down</t>
        </is>
      </c>
      <c r="B182" t="inlineStr">
        <is>
          <t>down</t>
        </is>
      </c>
      <c r="C182" t="inlineStr"/>
      <c r="D182" t="inlineStr">
        <is>
          <t>1</t>
        </is>
      </c>
      <c r="E182" t="inlineStr">
        <is>
          <t>151</t>
        </is>
      </c>
      <c r="F182" t="inlineStr">
        <is>
          <t>eth1/37</t>
        </is>
      </c>
    </row>
    <row r="183">
      <c r="A183" t="inlineStr">
        <is>
          <t>down</t>
        </is>
      </c>
      <c r="B183" t="inlineStr">
        <is>
          <t>down</t>
        </is>
      </c>
      <c r="C183" t="inlineStr"/>
      <c r="D183" t="inlineStr">
        <is>
          <t>1</t>
        </is>
      </c>
      <c r="E183" t="inlineStr">
        <is>
          <t>151</t>
        </is>
      </c>
      <c r="F183" t="inlineStr">
        <is>
          <t>eth1/38</t>
        </is>
      </c>
    </row>
    <row r="184">
      <c r="A184" t="inlineStr">
        <is>
          <t>down</t>
        </is>
      </c>
      <c r="B184" t="inlineStr">
        <is>
          <t>down</t>
        </is>
      </c>
      <c r="C184" t="inlineStr"/>
      <c r="D184" t="inlineStr">
        <is>
          <t>1</t>
        </is>
      </c>
      <c r="E184" t="inlineStr">
        <is>
          <t>151</t>
        </is>
      </c>
      <c r="F184" t="inlineStr">
        <is>
          <t>eth1/39</t>
        </is>
      </c>
    </row>
    <row r="185">
      <c r="A185" t="inlineStr">
        <is>
          <t>down</t>
        </is>
      </c>
      <c r="B185" t="inlineStr">
        <is>
          <t>down</t>
        </is>
      </c>
      <c r="C185" t="inlineStr"/>
      <c r="D185" t="inlineStr">
        <is>
          <t>1</t>
        </is>
      </c>
      <c r="E185" t="inlineStr">
        <is>
          <t>151</t>
        </is>
      </c>
      <c r="F185" t="inlineStr">
        <is>
          <t>eth1/40</t>
        </is>
      </c>
    </row>
    <row r="186">
      <c r="A186" t="inlineStr">
        <is>
          <t>down</t>
        </is>
      </c>
      <c r="B186" t="inlineStr">
        <is>
          <t>down</t>
        </is>
      </c>
      <c r="C186" t="inlineStr"/>
      <c r="D186" t="inlineStr">
        <is>
          <t>1</t>
        </is>
      </c>
      <c r="E186" t="inlineStr">
        <is>
          <t>151</t>
        </is>
      </c>
      <c r="F186" t="inlineStr">
        <is>
          <t>eth1/41</t>
        </is>
      </c>
    </row>
    <row r="187">
      <c r="A187" t="inlineStr">
        <is>
          <t>down</t>
        </is>
      </c>
      <c r="B187" t="inlineStr">
        <is>
          <t>down</t>
        </is>
      </c>
      <c r="C187" t="inlineStr"/>
      <c r="D187" t="inlineStr">
        <is>
          <t>1</t>
        </is>
      </c>
      <c r="E187" t="inlineStr">
        <is>
          <t>151</t>
        </is>
      </c>
      <c r="F187" t="inlineStr">
        <is>
          <t>eth1/42</t>
        </is>
      </c>
    </row>
    <row r="188">
      <c r="A188" t="inlineStr">
        <is>
          <t>down</t>
        </is>
      </c>
      <c r="B188" t="inlineStr">
        <is>
          <t>down</t>
        </is>
      </c>
      <c r="C188" t="inlineStr"/>
      <c r="D188" t="inlineStr">
        <is>
          <t>1</t>
        </is>
      </c>
      <c r="E188" t="inlineStr">
        <is>
          <t>151</t>
        </is>
      </c>
      <c r="F188" t="inlineStr">
        <is>
          <t>eth1/43</t>
        </is>
      </c>
    </row>
    <row r="189">
      <c r="A189" t="inlineStr">
        <is>
          <t>down</t>
        </is>
      </c>
      <c r="B189" t="inlineStr">
        <is>
          <t>down</t>
        </is>
      </c>
      <c r="C189" t="inlineStr"/>
      <c r="D189" t="inlineStr">
        <is>
          <t>1</t>
        </is>
      </c>
      <c r="E189" t="inlineStr">
        <is>
          <t>151</t>
        </is>
      </c>
      <c r="F189" t="inlineStr">
        <is>
          <t>eth1/44</t>
        </is>
      </c>
    </row>
    <row r="190">
      <c r="A190" t="inlineStr">
        <is>
          <t>down</t>
        </is>
      </c>
      <c r="B190" t="inlineStr">
        <is>
          <t>down</t>
        </is>
      </c>
      <c r="C190" t="inlineStr"/>
      <c r="D190" t="inlineStr">
        <is>
          <t>1</t>
        </is>
      </c>
      <c r="E190" t="inlineStr">
        <is>
          <t>151</t>
        </is>
      </c>
      <c r="F190" t="inlineStr">
        <is>
          <t>eth1/45</t>
        </is>
      </c>
    </row>
    <row r="191">
      <c r="A191" t="inlineStr">
        <is>
          <t>down</t>
        </is>
      </c>
      <c r="B191" t="inlineStr">
        <is>
          <t>down</t>
        </is>
      </c>
      <c r="C191" t="inlineStr">
        <is>
          <t>TO_MGMT1_2ACIAPICINGENIE03</t>
        </is>
      </c>
      <c r="D191" t="inlineStr">
        <is>
          <t>1</t>
        </is>
      </c>
      <c r="E191" t="inlineStr">
        <is>
          <t>151</t>
        </is>
      </c>
      <c r="F191" t="inlineStr">
        <is>
          <t>eth1/46</t>
        </is>
      </c>
    </row>
    <row r="192">
      <c r="A192" t="inlineStr">
        <is>
          <t>down</t>
        </is>
      </c>
      <c r="B192" t="inlineStr">
        <is>
          <t>down</t>
        </is>
      </c>
      <c r="C192" t="inlineStr">
        <is>
          <t>TO_MGMT1_2ACIAPICINGENIE02</t>
        </is>
      </c>
      <c r="D192" t="inlineStr">
        <is>
          <t>1</t>
        </is>
      </c>
      <c r="E192" t="inlineStr">
        <is>
          <t>151</t>
        </is>
      </c>
      <c r="F192" t="inlineStr">
        <is>
          <t>eth1/47</t>
        </is>
      </c>
    </row>
    <row r="193">
      <c r="A193" t="inlineStr">
        <is>
          <t>down</t>
        </is>
      </c>
      <c r="B193" t="inlineStr">
        <is>
          <t>down</t>
        </is>
      </c>
      <c r="C193" t="inlineStr">
        <is>
          <t>TO_MGMT1_2ACIAPICINGENIE01</t>
        </is>
      </c>
      <c r="D193" t="inlineStr">
        <is>
          <t>1</t>
        </is>
      </c>
      <c r="E193" t="inlineStr">
        <is>
          <t>151</t>
        </is>
      </c>
      <c r="F193" t="inlineStr">
        <is>
          <t>eth1/48</t>
        </is>
      </c>
    </row>
    <row r="194">
      <c r="A194" t="inlineStr">
        <is>
          <t>down</t>
        </is>
      </c>
      <c r="B194" t="inlineStr">
        <is>
          <t>down</t>
        </is>
      </c>
      <c r="C194" t="inlineStr"/>
      <c r="D194" t="inlineStr">
        <is>
          <t>1</t>
        </is>
      </c>
      <c r="E194" t="inlineStr">
        <is>
          <t>151</t>
        </is>
      </c>
      <c r="F194" t="inlineStr">
        <is>
          <t>eth1/49</t>
        </is>
      </c>
    </row>
    <row r="195">
      <c r="A195" t="inlineStr">
        <is>
          <t>down</t>
        </is>
      </c>
      <c r="B195" t="inlineStr">
        <is>
          <t>down</t>
        </is>
      </c>
      <c r="C195" t="inlineStr"/>
      <c r="D195" t="inlineStr">
        <is>
          <t>1</t>
        </is>
      </c>
      <c r="E195" t="inlineStr">
        <is>
          <t>151</t>
        </is>
      </c>
      <c r="F195" t="inlineStr">
        <is>
          <t>eth1/50</t>
        </is>
      </c>
    </row>
    <row r="196">
      <c r="A196" t="inlineStr">
        <is>
          <t>down</t>
        </is>
      </c>
      <c r="B196" t="inlineStr">
        <is>
          <t>down</t>
        </is>
      </c>
      <c r="C196" t="inlineStr"/>
      <c r="D196" t="inlineStr">
        <is>
          <t>1</t>
        </is>
      </c>
      <c r="E196" t="inlineStr">
        <is>
          <t>151</t>
        </is>
      </c>
      <c r="F196" t="inlineStr">
        <is>
          <t>eth1/51</t>
        </is>
      </c>
    </row>
    <row r="197">
      <c r="A197" t="inlineStr">
        <is>
          <t>down</t>
        </is>
      </c>
      <c r="B197" t="inlineStr">
        <is>
          <t>down</t>
        </is>
      </c>
      <c r="C197" t="inlineStr"/>
      <c r="D197" t="inlineStr">
        <is>
          <t>1</t>
        </is>
      </c>
      <c r="E197" t="inlineStr">
        <is>
          <t>151</t>
        </is>
      </c>
      <c r="F197" t="inlineStr">
        <is>
          <t>eth1/52</t>
        </is>
      </c>
    </row>
    <row r="198">
      <c r="A198" t="inlineStr">
        <is>
          <t>up</t>
        </is>
      </c>
      <c r="B198" t="inlineStr">
        <is>
          <t>up</t>
        </is>
      </c>
      <c r="C198" t="inlineStr">
        <is>
          <t>LINK_HACIA_SPINE</t>
        </is>
      </c>
      <c r="D198" t="inlineStr">
        <is>
          <t>1</t>
        </is>
      </c>
      <c r="E198" t="inlineStr">
        <is>
          <t>151</t>
        </is>
      </c>
      <c r="F198" t="inlineStr">
        <is>
          <t>eth1/53</t>
        </is>
      </c>
    </row>
    <row r="199">
      <c r="A199" t="inlineStr">
        <is>
          <t>up</t>
        </is>
      </c>
      <c r="B199" t="inlineStr">
        <is>
          <t>up</t>
        </is>
      </c>
      <c r="C199" t="inlineStr">
        <is>
          <t>LINK_HACIA_SPINE</t>
        </is>
      </c>
      <c r="D199" t="inlineStr">
        <is>
          <t>1</t>
        </is>
      </c>
      <c r="E199" t="inlineStr">
        <is>
          <t>151</t>
        </is>
      </c>
      <c r="F199" t="inlineStr">
        <is>
          <t>eth1/54</t>
        </is>
      </c>
    </row>
    <row r="200">
      <c r="A200" t="inlineStr">
        <is>
          <t>down</t>
        </is>
      </c>
      <c r="B200" t="inlineStr">
        <is>
          <t>down</t>
        </is>
      </c>
      <c r="C200" t="inlineStr">
        <is>
          <t>HACIA_IP RAN</t>
        </is>
      </c>
      <c r="D200" t="inlineStr">
        <is>
          <t>1</t>
        </is>
      </c>
      <c r="E200" t="inlineStr">
        <is>
          <t>151</t>
        </is>
      </c>
      <c r="F200" t="inlineStr">
        <is>
          <t>eth1/1</t>
        </is>
      </c>
    </row>
    <row r="201">
      <c r="A201" t="inlineStr">
        <is>
          <t>up</t>
        </is>
      </c>
      <c r="B201" t="inlineStr">
        <is>
          <t>down</t>
        </is>
      </c>
      <c r="C201" t="inlineStr">
        <is>
          <t>HACIA _IP RAN ZTE</t>
        </is>
      </c>
      <c r="D201" t="inlineStr">
        <is>
          <t>1</t>
        </is>
      </c>
      <c r="E201" t="inlineStr">
        <is>
          <t>151</t>
        </is>
      </c>
      <c r="F201" t="inlineStr">
        <is>
          <t>eth1/2</t>
        </is>
      </c>
    </row>
    <row r="202">
      <c r="A202" t="inlineStr">
        <is>
          <t>down</t>
        </is>
      </c>
      <c r="B202" t="inlineStr">
        <is>
          <t>down</t>
        </is>
      </c>
      <c r="C202" t="inlineStr">
        <is>
          <t>HACIA_NODE-AP NO_CRITICO GES SINCRONIA 2NOGAXE1-NOGSSU SIN_REDUNDAN</t>
        </is>
      </c>
      <c r="D202" t="inlineStr">
        <is>
          <t>1</t>
        </is>
      </c>
      <c r="E202" t="inlineStr">
        <is>
          <t>151</t>
        </is>
      </c>
      <c r="F202" t="inlineStr">
        <is>
          <t>eth1/3</t>
        </is>
      </c>
    </row>
    <row r="203">
      <c r="A203" t="inlineStr">
        <is>
          <t>up</t>
        </is>
      </c>
      <c r="B203" t="inlineStr">
        <is>
          <t>up</t>
        </is>
      </c>
      <c r="C203" t="inlineStr">
        <is>
          <t>HACIA_INGMG1 -  ET-IPG206 Activo | MUTOA 3 Pos 10</t>
        </is>
      </c>
      <c r="D203" t="inlineStr">
        <is>
          <t>1</t>
        </is>
      </c>
      <c r="E203" t="inlineStr">
        <is>
          <t>151</t>
        </is>
      </c>
      <c r="F203" t="inlineStr">
        <is>
          <t>eth1/4</t>
        </is>
      </c>
    </row>
    <row r="204">
      <c r="A204" t="inlineStr">
        <is>
          <t>up</t>
        </is>
      </c>
      <c r="B204" t="inlineStr">
        <is>
          <t>up</t>
        </is>
      </c>
      <c r="C204" t="inlineStr">
        <is>
          <t>HACIA_INGMG1 -  ET-IPG223 Pasivo | MUTOA 3 Pos 11</t>
        </is>
      </c>
      <c r="D204" t="inlineStr">
        <is>
          <t>1</t>
        </is>
      </c>
      <c r="E204" t="inlineStr">
        <is>
          <t>151</t>
        </is>
      </c>
      <c r="F204" t="inlineStr">
        <is>
          <t>eth1/5</t>
        </is>
      </c>
    </row>
    <row r="205">
      <c r="A205" t="inlineStr">
        <is>
          <t>up</t>
        </is>
      </c>
      <c r="B205" t="inlineStr">
        <is>
          <t>up</t>
        </is>
      </c>
      <c r="C205" t="inlineStr">
        <is>
          <t>HACIA_GESTION EQUIPO DE SINCRONIA</t>
        </is>
      </c>
      <c r="D205" t="inlineStr">
        <is>
          <t>1</t>
        </is>
      </c>
      <c r="E205" t="inlineStr">
        <is>
          <t>151</t>
        </is>
      </c>
      <c r="F205" t="inlineStr">
        <is>
          <t>eth1/6</t>
        </is>
      </c>
    </row>
    <row r="206">
      <c r="A206" t="inlineStr">
        <is>
          <t>up</t>
        </is>
      </c>
      <c r="B206" t="inlineStr">
        <is>
          <t>up</t>
        </is>
      </c>
      <c r="C206" t="inlineStr">
        <is>
          <t>HACIA_RNC INGRN1 Trafico IuPS+Iur_CP1 PANEL 22 POSC 24</t>
        </is>
      </c>
      <c r="D206" t="inlineStr">
        <is>
          <t>1</t>
        </is>
      </c>
      <c r="E206" t="inlineStr">
        <is>
          <t>151</t>
        </is>
      </c>
      <c r="F206" t="inlineStr">
        <is>
          <t>eth1/7</t>
        </is>
      </c>
    </row>
    <row r="207">
      <c r="A207" t="inlineStr">
        <is>
          <t>up</t>
        </is>
      </c>
      <c r="B207" t="inlineStr">
        <is>
          <t>up</t>
        </is>
      </c>
      <c r="C207" t="inlineStr">
        <is>
          <t>HACIA_GESTION VOIP 10.25.104.4/29</t>
        </is>
      </c>
      <c r="D207" t="inlineStr">
        <is>
          <t>1</t>
        </is>
      </c>
      <c r="E207" t="inlineStr">
        <is>
          <t>151</t>
        </is>
      </c>
      <c r="F207" t="inlineStr">
        <is>
          <t>eth1/8</t>
        </is>
      </c>
    </row>
    <row r="208">
      <c r="A208" t="inlineStr">
        <is>
          <t>up</t>
        </is>
      </c>
      <c r="B208" t="inlineStr">
        <is>
          <t>up</t>
        </is>
      </c>
      <c r="C208" t="inlineStr">
        <is>
          <t>HACIA_INGMG1 Tarjeta O&amp;M Puerto 0 / Panel 21 Pos-29</t>
        </is>
      </c>
      <c r="D208" t="inlineStr">
        <is>
          <t>1</t>
        </is>
      </c>
      <c r="E208" t="inlineStr">
        <is>
          <t>151</t>
        </is>
      </c>
      <c r="F208" t="inlineStr">
        <is>
          <t>eth1/9</t>
        </is>
      </c>
    </row>
    <row r="209">
      <c r="A209" t="inlineStr">
        <is>
          <t>up</t>
        </is>
      </c>
      <c r="B209" t="inlineStr">
        <is>
          <t>up</t>
        </is>
      </c>
      <c r="C209" t="inlineStr">
        <is>
          <t>HACIA_INGMG1 Tarjeta ET-IPG1 Puerto Activo / Panel 22 Pos-30</t>
        </is>
      </c>
      <c r="D209" t="inlineStr">
        <is>
          <t>1</t>
        </is>
      </c>
      <c r="E209" t="inlineStr">
        <is>
          <t>151</t>
        </is>
      </c>
      <c r="F209" t="inlineStr">
        <is>
          <t>eth1/10</t>
        </is>
      </c>
    </row>
    <row r="210">
      <c r="A210" t="inlineStr">
        <is>
          <t>up</t>
        </is>
      </c>
      <c r="B210" t="inlineStr">
        <is>
          <t>up</t>
        </is>
      </c>
      <c r="C210" t="inlineStr">
        <is>
          <t>HACIA_EVO INGEV1 Trafico MUR / Panel 25 Pto31</t>
        </is>
      </c>
      <c r="D210" t="inlineStr">
        <is>
          <t>1</t>
        </is>
      </c>
      <c r="E210" t="inlineStr">
        <is>
          <t>151</t>
        </is>
      </c>
      <c r="F210" t="inlineStr">
        <is>
          <t>eth1/11</t>
        </is>
      </c>
    </row>
    <row r="211">
      <c r="A211" t="inlineStr">
        <is>
          <t>down</t>
        </is>
      </c>
      <c r="B211" t="inlineStr">
        <is>
          <t>down</t>
        </is>
      </c>
      <c r="C211" t="inlineStr">
        <is>
          <t>HACIA_HLR_LDAP</t>
        </is>
      </c>
      <c r="D211" t="inlineStr">
        <is>
          <t>1</t>
        </is>
      </c>
      <c r="E211" t="inlineStr">
        <is>
          <t>151</t>
        </is>
      </c>
      <c r="F211" t="inlineStr">
        <is>
          <t>eth1/12</t>
        </is>
      </c>
    </row>
    <row r="212">
      <c r="A212" t="inlineStr">
        <is>
          <t>down</t>
        </is>
      </c>
      <c r="B212" t="inlineStr">
        <is>
          <t>down</t>
        </is>
      </c>
      <c r="C212" t="inlineStr">
        <is>
          <t>HACIA_HLR_LDAP_Y_SOAP</t>
        </is>
      </c>
      <c r="D212" t="inlineStr">
        <is>
          <t>1</t>
        </is>
      </c>
      <c r="E212" t="inlineStr">
        <is>
          <t>151</t>
        </is>
      </c>
      <c r="F212" t="inlineStr">
        <is>
          <t>eth1/13</t>
        </is>
      </c>
    </row>
    <row r="213">
      <c r="A213" t="inlineStr">
        <is>
          <t>up</t>
        </is>
      </c>
      <c r="B213" t="inlineStr">
        <is>
          <t>down</t>
        </is>
      </c>
      <c r="C213" t="inlineStr">
        <is>
          <t>HACIA_HLR_SIG</t>
        </is>
      </c>
      <c r="D213" t="inlineStr">
        <is>
          <t>1</t>
        </is>
      </c>
      <c r="E213" t="inlineStr">
        <is>
          <t>151</t>
        </is>
      </c>
      <c r="F213" t="inlineStr">
        <is>
          <t>eth1/14</t>
        </is>
      </c>
    </row>
    <row r="214">
      <c r="A214" t="inlineStr">
        <is>
          <t>down</t>
        </is>
      </c>
      <c r="B214" t="inlineStr">
        <is>
          <t>down</t>
        </is>
      </c>
      <c r="C214" t="inlineStr">
        <is>
          <t>HACIA_HLR_OYM</t>
        </is>
      </c>
      <c r="D214" t="inlineStr">
        <is>
          <t>1</t>
        </is>
      </c>
      <c r="E214" t="inlineStr">
        <is>
          <t>151</t>
        </is>
      </c>
      <c r="F214" t="inlineStr">
        <is>
          <t>eth1/15</t>
        </is>
      </c>
    </row>
    <row r="215">
      <c r="A215" t="inlineStr">
        <is>
          <t>up</t>
        </is>
      </c>
      <c r="B215" t="inlineStr">
        <is>
          <t>up</t>
        </is>
      </c>
      <c r="C215" t="inlineStr">
        <is>
          <t>HACIA_2R_MSC_NOGALES Fa0/0 / LINK RED CORPORATIVA</t>
        </is>
      </c>
      <c r="D215" t="inlineStr">
        <is>
          <t>1</t>
        </is>
      </c>
      <c r="E215" t="inlineStr">
        <is>
          <t>151</t>
        </is>
      </c>
      <c r="F215" t="inlineStr">
        <is>
          <t>eth1/16</t>
        </is>
      </c>
    </row>
    <row r="216">
      <c r="A216" t="inlineStr">
        <is>
          <t>down</t>
        </is>
      </c>
      <c r="B216" t="inlineStr">
        <is>
          <t>down</t>
        </is>
      </c>
      <c r="C216" t="inlineStr">
        <is>
          <t>HACIA_2A_MSC_NOGALES</t>
        </is>
      </c>
      <c r="D216" t="inlineStr">
        <is>
          <t>1</t>
        </is>
      </c>
      <c r="E216" t="inlineStr">
        <is>
          <t>151</t>
        </is>
      </c>
      <c r="F216" t="inlineStr">
        <is>
          <t>eth1/17</t>
        </is>
      </c>
    </row>
    <row r="217">
      <c r="A217" t="inlineStr">
        <is>
          <t>up</t>
        </is>
      </c>
      <c r="B217" t="inlineStr">
        <is>
          <t>down</t>
        </is>
      </c>
      <c r="C217" t="inlineStr">
        <is>
          <t>HACIA_HUAWEI</t>
        </is>
      </c>
      <c r="D217" t="inlineStr">
        <is>
          <t>1</t>
        </is>
      </c>
      <c r="E217" t="inlineStr">
        <is>
          <t>151</t>
        </is>
      </c>
      <c r="F217" t="inlineStr">
        <is>
          <t>eth1/18</t>
        </is>
      </c>
    </row>
    <row r="218">
      <c r="A218" t="inlineStr">
        <is>
          <t>up</t>
        </is>
      </c>
      <c r="B218" t="inlineStr">
        <is>
          <t>up</t>
        </is>
      </c>
      <c r="C218" t="inlineStr">
        <is>
          <t>HACIA_CELTRO_NOGALES3_RESPALDO</t>
        </is>
      </c>
      <c r="D218" t="inlineStr">
        <is>
          <t>1</t>
        </is>
      </c>
      <c r="E218" t="inlineStr">
        <is>
          <t>151</t>
        </is>
      </c>
      <c r="F218" t="inlineStr">
        <is>
          <t>eth1/19</t>
        </is>
      </c>
    </row>
    <row r="219">
      <c r="A219" t="inlineStr">
        <is>
          <t>up</t>
        </is>
      </c>
      <c r="B219" t="inlineStr">
        <is>
          <t>up</t>
        </is>
      </c>
      <c r="C219" t="inlineStr">
        <is>
          <t>HACIA_EQUIPO ANRITSU</t>
        </is>
      </c>
      <c r="D219" t="inlineStr">
        <is>
          <t>1</t>
        </is>
      </c>
      <c r="E219" t="inlineStr">
        <is>
          <t>151</t>
        </is>
      </c>
      <c r="F219" t="inlineStr">
        <is>
          <t>eth1/20</t>
        </is>
      </c>
    </row>
    <row r="220">
      <c r="A220" t="inlineStr">
        <is>
          <t>down</t>
        </is>
      </c>
      <c r="B220" t="inlineStr">
        <is>
          <t>down</t>
        </is>
      </c>
      <c r="C220" t="inlineStr">
        <is>
          <t>HACIA_VMS NUEVO</t>
        </is>
      </c>
      <c r="D220" t="inlineStr">
        <is>
          <t>1</t>
        </is>
      </c>
      <c r="E220" t="inlineStr">
        <is>
          <t>151</t>
        </is>
      </c>
      <c r="F220" t="inlineStr">
        <is>
          <t>eth1/21</t>
        </is>
      </c>
    </row>
    <row r="221">
      <c r="A221" t="inlineStr">
        <is>
          <t>down</t>
        </is>
      </c>
      <c r="B221" t="inlineStr">
        <is>
          <t>down</t>
        </is>
      </c>
      <c r="C221" t="inlineStr">
        <is>
          <t>HACIA_VMS NUEVO</t>
        </is>
      </c>
      <c r="D221" t="inlineStr">
        <is>
          <t>1</t>
        </is>
      </c>
      <c r="E221" t="inlineStr">
        <is>
          <t>151</t>
        </is>
      </c>
      <c r="F221" t="inlineStr">
        <is>
          <t>eth1/22</t>
        </is>
      </c>
    </row>
    <row r="222">
      <c r="A222" t="inlineStr">
        <is>
          <t>down</t>
        </is>
      </c>
      <c r="B222" t="inlineStr">
        <is>
          <t>down</t>
        </is>
      </c>
      <c r="C222" t="inlineStr">
        <is>
          <t>HACIA_VMS NUEVO</t>
        </is>
      </c>
      <c r="D222" t="inlineStr">
        <is>
          <t>1</t>
        </is>
      </c>
      <c r="E222" t="inlineStr">
        <is>
          <t>151</t>
        </is>
      </c>
      <c r="F222" t="inlineStr">
        <is>
          <t>eth1/23</t>
        </is>
      </c>
    </row>
    <row r="223">
      <c r="A223" t="inlineStr">
        <is>
          <t>up</t>
        </is>
      </c>
      <c r="B223" t="inlineStr">
        <is>
          <t>up</t>
        </is>
      </c>
      <c r="C223" t="inlineStr">
        <is>
          <t>HACIA_INGMG1 Tarjeta ET-IPG2 Puerto Pasivo / Panel 26 Pos-30</t>
        </is>
      </c>
      <c r="D223" t="inlineStr">
        <is>
          <t>1</t>
        </is>
      </c>
      <c r="E223" t="inlineStr">
        <is>
          <t>151</t>
        </is>
      </c>
      <c r="F223" t="inlineStr">
        <is>
          <t>eth1/24</t>
        </is>
      </c>
    </row>
    <row r="224">
      <c r="A224" t="inlineStr">
        <is>
          <t>down</t>
        </is>
      </c>
      <c r="B224" t="inlineStr">
        <is>
          <t>down</t>
        </is>
      </c>
      <c r="C224" t="inlineStr">
        <is>
          <t>HACIA_VMS NUEVO</t>
        </is>
      </c>
      <c r="D224" t="inlineStr">
        <is>
          <t>1</t>
        </is>
      </c>
      <c r="E224" t="inlineStr">
        <is>
          <t>151</t>
        </is>
      </c>
      <c r="F224" t="inlineStr">
        <is>
          <t>eth1/25</t>
        </is>
      </c>
    </row>
    <row r="225">
      <c r="A225" t="inlineStr">
        <is>
          <t>down</t>
        </is>
      </c>
      <c r="B225" t="inlineStr">
        <is>
          <t>down</t>
        </is>
      </c>
      <c r="C225" t="inlineStr"/>
      <c r="D225" t="inlineStr">
        <is>
          <t>1</t>
        </is>
      </c>
      <c r="E225" t="inlineStr">
        <is>
          <t>151</t>
        </is>
      </c>
      <c r="F225" t="inlineStr">
        <is>
          <t>eth1/26</t>
        </is>
      </c>
    </row>
    <row r="226">
      <c r="A226" t="inlineStr">
        <is>
          <t>up</t>
        </is>
      </c>
      <c r="B226" t="inlineStr">
        <is>
          <t>up</t>
        </is>
      </c>
      <c r="C226" t="inlineStr">
        <is>
          <t>NB-Ingenieros</t>
        </is>
      </c>
      <c r="D226" t="inlineStr">
        <is>
          <t>1</t>
        </is>
      </c>
      <c r="E226" t="inlineStr">
        <is>
          <t>151</t>
        </is>
      </c>
      <c r="F226" t="inlineStr">
        <is>
          <t>eth1/27</t>
        </is>
      </c>
    </row>
    <row r="227">
      <c r="A227" t="inlineStr">
        <is>
          <t>up</t>
        </is>
      </c>
      <c r="B227" t="inlineStr">
        <is>
          <t>up</t>
        </is>
      </c>
      <c r="C227" t="inlineStr">
        <is>
          <t>To_NB-INGENIEROS_U1900</t>
        </is>
      </c>
      <c r="D227" t="inlineStr">
        <is>
          <t>1</t>
        </is>
      </c>
      <c r="E227" t="inlineStr">
        <is>
          <t>151</t>
        </is>
      </c>
      <c r="F227" t="inlineStr">
        <is>
          <t>eth1/28</t>
        </is>
      </c>
    </row>
    <row r="228">
      <c r="A228" t="inlineStr">
        <is>
          <t>up</t>
        </is>
      </c>
      <c r="B228" t="inlineStr">
        <is>
          <t>up</t>
        </is>
      </c>
      <c r="C228" t="inlineStr">
        <is>
          <t>LTE_PTP_SINCRONIA</t>
        </is>
      </c>
      <c r="D228" t="inlineStr">
        <is>
          <t>1</t>
        </is>
      </c>
      <c r="E228" t="inlineStr">
        <is>
          <t>151</t>
        </is>
      </c>
      <c r="F228" t="inlineStr">
        <is>
          <t>eth1/29</t>
        </is>
      </c>
    </row>
    <row r="229">
      <c r="A229" t="inlineStr">
        <is>
          <t>up</t>
        </is>
      </c>
      <c r="B229" t="inlineStr">
        <is>
          <t>up</t>
        </is>
      </c>
      <c r="C229" t="inlineStr">
        <is>
          <t>To_eNB_INGENIEROS</t>
        </is>
      </c>
      <c r="D229" t="inlineStr">
        <is>
          <t>1</t>
        </is>
      </c>
      <c r="E229" t="inlineStr">
        <is>
          <t>151</t>
        </is>
      </c>
      <c r="F229" t="inlineStr">
        <is>
          <t>eth1/30</t>
        </is>
      </c>
    </row>
    <row r="230">
      <c r="A230" t="inlineStr">
        <is>
          <t>up</t>
        </is>
      </c>
      <c r="B230" t="inlineStr">
        <is>
          <t>up</t>
        </is>
      </c>
      <c r="C230" t="inlineStr">
        <is>
          <t>Sync-Server_PTP5000</t>
        </is>
      </c>
      <c r="D230" t="inlineStr">
        <is>
          <t>1</t>
        </is>
      </c>
      <c r="E230" t="inlineStr">
        <is>
          <t>151</t>
        </is>
      </c>
      <c r="F230" t="inlineStr">
        <is>
          <t>eth1/31</t>
        </is>
      </c>
    </row>
    <row r="231">
      <c r="A231" t="inlineStr">
        <is>
          <t>down</t>
        </is>
      </c>
      <c r="B231" t="inlineStr">
        <is>
          <t>down</t>
        </is>
      </c>
      <c r="C231" t="inlineStr"/>
      <c r="D231" t="inlineStr">
        <is>
          <t>1</t>
        </is>
      </c>
      <c r="E231" t="inlineStr">
        <is>
          <t>151</t>
        </is>
      </c>
      <c r="F231" t="inlineStr">
        <is>
          <t>eth1/32</t>
        </is>
      </c>
    </row>
    <row r="232">
      <c r="A232" t="inlineStr">
        <is>
          <t>down</t>
        </is>
      </c>
      <c r="B232" t="inlineStr">
        <is>
          <t>down</t>
        </is>
      </c>
      <c r="C232" t="inlineStr"/>
      <c r="D232" t="inlineStr">
        <is>
          <t>1</t>
        </is>
      </c>
      <c r="E232" t="inlineStr">
        <is>
          <t>152</t>
        </is>
      </c>
      <c r="F232" t="inlineStr">
        <is>
          <t>eth1/33</t>
        </is>
      </c>
    </row>
    <row r="233">
      <c r="A233" t="inlineStr">
        <is>
          <t>down</t>
        </is>
      </c>
      <c r="B233" t="inlineStr">
        <is>
          <t>down</t>
        </is>
      </c>
      <c r="C233" t="inlineStr"/>
      <c r="D233" t="inlineStr">
        <is>
          <t>1</t>
        </is>
      </c>
      <c r="E233" t="inlineStr">
        <is>
          <t>152</t>
        </is>
      </c>
      <c r="F233" t="inlineStr">
        <is>
          <t>eth1/34</t>
        </is>
      </c>
    </row>
    <row r="234">
      <c r="A234" t="inlineStr">
        <is>
          <t>down</t>
        </is>
      </c>
      <c r="B234" t="inlineStr">
        <is>
          <t>down</t>
        </is>
      </c>
      <c r="C234" t="inlineStr"/>
      <c r="D234" t="inlineStr">
        <is>
          <t>1</t>
        </is>
      </c>
      <c r="E234" t="inlineStr">
        <is>
          <t>152</t>
        </is>
      </c>
      <c r="F234" t="inlineStr">
        <is>
          <t>eth1/35</t>
        </is>
      </c>
    </row>
    <row r="235">
      <c r="A235" t="inlineStr">
        <is>
          <t>down</t>
        </is>
      </c>
      <c r="B235" t="inlineStr">
        <is>
          <t>down</t>
        </is>
      </c>
      <c r="C235" t="inlineStr"/>
      <c r="D235" t="inlineStr">
        <is>
          <t>1</t>
        </is>
      </c>
      <c r="E235" t="inlineStr">
        <is>
          <t>152</t>
        </is>
      </c>
      <c r="F235" t="inlineStr">
        <is>
          <t>eth1/36</t>
        </is>
      </c>
    </row>
    <row r="236">
      <c r="A236" t="inlineStr">
        <is>
          <t>down</t>
        </is>
      </c>
      <c r="B236" t="inlineStr">
        <is>
          <t>down</t>
        </is>
      </c>
      <c r="C236" t="inlineStr"/>
      <c r="D236" t="inlineStr">
        <is>
          <t>1</t>
        </is>
      </c>
      <c r="E236" t="inlineStr">
        <is>
          <t>152</t>
        </is>
      </c>
      <c r="F236" t="inlineStr">
        <is>
          <t>eth1/37</t>
        </is>
      </c>
    </row>
    <row r="237">
      <c r="A237" t="inlineStr">
        <is>
          <t>down</t>
        </is>
      </c>
      <c r="B237" t="inlineStr">
        <is>
          <t>down</t>
        </is>
      </c>
      <c r="C237" t="inlineStr"/>
      <c r="D237" t="inlineStr">
        <is>
          <t>1</t>
        </is>
      </c>
      <c r="E237" t="inlineStr">
        <is>
          <t>152</t>
        </is>
      </c>
      <c r="F237" t="inlineStr">
        <is>
          <t>eth1/38</t>
        </is>
      </c>
    </row>
    <row r="238">
      <c r="A238" t="inlineStr">
        <is>
          <t>down</t>
        </is>
      </c>
      <c r="B238" t="inlineStr">
        <is>
          <t>down</t>
        </is>
      </c>
      <c r="C238" t="inlineStr"/>
      <c r="D238" t="inlineStr">
        <is>
          <t>1</t>
        </is>
      </c>
      <c r="E238" t="inlineStr">
        <is>
          <t>152</t>
        </is>
      </c>
      <c r="F238" t="inlineStr">
        <is>
          <t>eth1/39</t>
        </is>
      </c>
    </row>
    <row r="239">
      <c r="A239" t="inlineStr">
        <is>
          <t>down</t>
        </is>
      </c>
      <c r="B239" t="inlineStr">
        <is>
          <t>down</t>
        </is>
      </c>
      <c r="C239" t="inlineStr"/>
      <c r="D239" t="inlineStr">
        <is>
          <t>1</t>
        </is>
      </c>
      <c r="E239" t="inlineStr">
        <is>
          <t>152</t>
        </is>
      </c>
      <c r="F239" t="inlineStr">
        <is>
          <t>eth1/40</t>
        </is>
      </c>
    </row>
    <row r="240">
      <c r="A240" t="inlineStr">
        <is>
          <t>down</t>
        </is>
      </c>
      <c r="B240" t="inlineStr">
        <is>
          <t>down</t>
        </is>
      </c>
      <c r="C240" t="inlineStr"/>
      <c r="D240" t="inlineStr">
        <is>
          <t>1</t>
        </is>
      </c>
      <c r="E240" t="inlineStr">
        <is>
          <t>152</t>
        </is>
      </c>
      <c r="F240" t="inlineStr">
        <is>
          <t>eth1/41</t>
        </is>
      </c>
    </row>
    <row r="241">
      <c r="A241" t="inlineStr">
        <is>
          <t>down</t>
        </is>
      </c>
      <c r="B241" t="inlineStr">
        <is>
          <t>down</t>
        </is>
      </c>
      <c r="C241" t="inlineStr"/>
      <c r="D241" t="inlineStr">
        <is>
          <t>1</t>
        </is>
      </c>
      <c r="E241" t="inlineStr">
        <is>
          <t>152</t>
        </is>
      </c>
      <c r="F241" t="inlineStr">
        <is>
          <t>eth1/42</t>
        </is>
      </c>
    </row>
    <row r="242">
      <c r="A242" t="inlineStr">
        <is>
          <t>down</t>
        </is>
      </c>
      <c r="B242" t="inlineStr">
        <is>
          <t>down</t>
        </is>
      </c>
      <c r="C242" t="inlineStr"/>
      <c r="D242" t="inlineStr">
        <is>
          <t>1</t>
        </is>
      </c>
      <c r="E242" t="inlineStr">
        <is>
          <t>152</t>
        </is>
      </c>
      <c r="F242" t="inlineStr">
        <is>
          <t>eth1/43</t>
        </is>
      </c>
    </row>
    <row r="243">
      <c r="A243" t="inlineStr">
        <is>
          <t>down</t>
        </is>
      </c>
      <c r="B243" t="inlineStr">
        <is>
          <t>down</t>
        </is>
      </c>
      <c r="C243" t="inlineStr"/>
      <c r="D243" t="inlineStr">
        <is>
          <t>1</t>
        </is>
      </c>
      <c r="E243" t="inlineStr">
        <is>
          <t>152</t>
        </is>
      </c>
      <c r="F243" t="inlineStr">
        <is>
          <t>eth1/44</t>
        </is>
      </c>
    </row>
    <row r="244">
      <c r="A244" t="inlineStr">
        <is>
          <t>down</t>
        </is>
      </c>
      <c r="B244" t="inlineStr">
        <is>
          <t>down</t>
        </is>
      </c>
      <c r="C244" t="inlineStr"/>
      <c r="D244" t="inlineStr">
        <is>
          <t>1</t>
        </is>
      </c>
      <c r="E244" t="inlineStr">
        <is>
          <t>152</t>
        </is>
      </c>
      <c r="F244" t="inlineStr">
        <is>
          <t>eth1/45</t>
        </is>
      </c>
    </row>
    <row r="245">
      <c r="A245" t="inlineStr">
        <is>
          <t>up</t>
        </is>
      </c>
      <c r="B245" t="inlineStr">
        <is>
          <t>up</t>
        </is>
      </c>
      <c r="C245" t="inlineStr">
        <is>
          <t>TO_CIMC1_2ACIAPICINGENIE03</t>
        </is>
      </c>
      <c r="D245" t="inlineStr">
        <is>
          <t>1</t>
        </is>
      </c>
      <c r="E245" t="inlineStr">
        <is>
          <t>152</t>
        </is>
      </c>
      <c r="F245" t="inlineStr">
        <is>
          <t>eth1/46</t>
        </is>
      </c>
    </row>
    <row r="246">
      <c r="A246" t="inlineStr">
        <is>
          <t>up</t>
        </is>
      </c>
      <c r="B246" t="inlineStr">
        <is>
          <t>up</t>
        </is>
      </c>
      <c r="C246" t="inlineStr">
        <is>
          <t>TO_CIMC1_2ACIAPICINGENIE02</t>
        </is>
      </c>
      <c r="D246" t="inlineStr">
        <is>
          <t>1</t>
        </is>
      </c>
      <c r="E246" t="inlineStr">
        <is>
          <t>152</t>
        </is>
      </c>
      <c r="F246" t="inlineStr">
        <is>
          <t>eth1/47</t>
        </is>
      </c>
    </row>
    <row r="247">
      <c r="A247" t="inlineStr">
        <is>
          <t>up</t>
        </is>
      </c>
      <c r="B247" t="inlineStr">
        <is>
          <t>up</t>
        </is>
      </c>
      <c r="C247" t="inlineStr">
        <is>
          <t>TO_CIMC1_2ACIAPICINGENIE01</t>
        </is>
      </c>
      <c r="D247" t="inlineStr">
        <is>
          <t>1</t>
        </is>
      </c>
      <c r="E247" t="inlineStr">
        <is>
          <t>152</t>
        </is>
      </c>
      <c r="F247" t="inlineStr">
        <is>
          <t>eth1/48</t>
        </is>
      </c>
    </row>
    <row r="248">
      <c r="A248" t="inlineStr">
        <is>
          <t>down</t>
        </is>
      </c>
      <c r="B248" t="inlineStr">
        <is>
          <t>down</t>
        </is>
      </c>
      <c r="C248" t="inlineStr"/>
      <c r="D248" t="inlineStr">
        <is>
          <t>1</t>
        </is>
      </c>
      <c r="E248" t="inlineStr">
        <is>
          <t>152</t>
        </is>
      </c>
      <c r="F248" t="inlineStr">
        <is>
          <t>eth1/49</t>
        </is>
      </c>
    </row>
    <row r="249">
      <c r="A249" t="inlineStr">
        <is>
          <t>down</t>
        </is>
      </c>
      <c r="B249" t="inlineStr">
        <is>
          <t>down</t>
        </is>
      </c>
      <c r="C249" t="inlineStr"/>
      <c r="D249" t="inlineStr">
        <is>
          <t>1</t>
        </is>
      </c>
      <c r="E249" t="inlineStr">
        <is>
          <t>152</t>
        </is>
      </c>
      <c r="F249" t="inlineStr">
        <is>
          <t>eth1/50</t>
        </is>
      </c>
    </row>
    <row r="250">
      <c r="A250" t="inlineStr">
        <is>
          <t>down</t>
        </is>
      </c>
      <c r="B250" t="inlineStr">
        <is>
          <t>down</t>
        </is>
      </c>
      <c r="C250" t="inlineStr"/>
      <c r="D250" t="inlineStr">
        <is>
          <t>1</t>
        </is>
      </c>
      <c r="E250" t="inlineStr">
        <is>
          <t>152</t>
        </is>
      </c>
      <c r="F250" t="inlineStr">
        <is>
          <t>eth1/51</t>
        </is>
      </c>
    </row>
    <row r="251">
      <c r="A251" t="inlineStr">
        <is>
          <t>down</t>
        </is>
      </c>
      <c r="B251" t="inlineStr">
        <is>
          <t>down</t>
        </is>
      </c>
      <c r="C251" t="inlineStr"/>
      <c r="D251" t="inlineStr">
        <is>
          <t>1</t>
        </is>
      </c>
      <c r="E251" t="inlineStr">
        <is>
          <t>152</t>
        </is>
      </c>
      <c r="F251" t="inlineStr">
        <is>
          <t>eth1/52</t>
        </is>
      </c>
    </row>
    <row r="252">
      <c r="A252" t="inlineStr">
        <is>
          <t>up</t>
        </is>
      </c>
      <c r="B252" t="inlineStr">
        <is>
          <t>up</t>
        </is>
      </c>
      <c r="C252" t="inlineStr">
        <is>
          <t>LINK_HACIA_SPINE</t>
        </is>
      </c>
      <c r="D252" t="inlineStr">
        <is>
          <t>1</t>
        </is>
      </c>
      <c r="E252" t="inlineStr">
        <is>
          <t>152</t>
        </is>
      </c>
      <c r="F252" t="inlineStr">
        <is>
          <t>eth1/53</t>
        </is>
      </c>
    </row>
    <row r="253">
      <c r="A253" t="inlineStr">
        <is>
          <t>up</t>
        </is>
      </c>
      <c r="B253" t="inlineStr">
        <is>
          <t>up</t>
        </is>
      </c>
      <c r="C253" t="inlineStr">
        <is>
          <t>LINK_HACIA_SPINE</t>
        </is>
      </c>
      <c r="D253" t="inlineStr">
        <is>
          <t>1</t>
        </is>
      </c>
      <c r="E253" t="inlineStr">
        <is>
          <t>152</t>
        </is>
      </c>
      <c r="F253" t="inlineStr">
        <is>
          <t>eth1/54</t>
        </is>
      </c>
    </row>
    <row r="254">
      <c r="A254" t="inlineStr">
        <is>
          <t>down</t>
        </is>
      </c>
      <c r="B254" t="inlineStr">
        <is>
          <t>down</t>
        </is>
      </c>
      <c r="C254" t="inlineStr">
        <is>
          <t>HACIA_PLANTA3201_GABINETE1</t>
        </is>
      </c>
      <c r="D254" t="inlineStr">
        <is>
          <t>1</t>
        </is>
      </c>
      <c r="E254" t="inlineStr">
        <is>
          <t>152</t>
        </is>
      </c>
      <c r="F254" t="inlineStr">
        <is>
          <t>eth1/1</t>
        </is>
      </c>
    </row>
    <row r="255">
      <c r="A255" t="inlineStr">
        <is>
          <t>up</t>
        </is>
      </c>
      <c r="B255" t="inlineStr">
        <is>
          <t>up</t>
        </is>
      </c>
      <c r="C255" t="inlineStr">
        <is>
          <t>HACIA_CUBICULO_JEFATURA</t>
        </is>
      </c>
      <c r="D255" t="inlineStr">
        <is>
          <t>1</t>
        </is>
      </c>
      <c r="E255" t="inlineStr">
        <is>
          <t>152</t>
        </is>
      </c>
      <c r="F255" t="inlineStr">
        <is>
          <t>eth1/2</t>
        </is>
      </c>
    </row>
    <row r="256">
      <c r="A256" t="inlineStr">
        <is>
          <t>down</t>
        </is>
      </c>
      <c r="B256" t="inlineStr">
        <is>
          <t>down</t>
        </is>
      </c>
      <c r="C256" t="inlineStr">
        <is>
          <t>NODE-AP NO_CRITICO GES MUX-HUAWEI 31-Ingenieros SIN_REDUNDANCIA</t>
        </is>
      </c>
      <c r="D256" t="inlineStr">
        <is>
          <t>1</t>
        </is>
      </c>
      <c r="E256" t="inlineStr">
        <is>
          <t>152</t>
        </is>
      </c>
      <c r="F256" t="inlineStr">
        <is>
          <t>eth1/3</t>
        </is>
      </c>
    </row>
    <row r="257">
      <c r="A257" t="inlineStr">
        <is>
          <t>up</t>
        </is>
      </c>
      <c r="B257" t="inlineStr">
        <is>
          <t>up</t>
        </is>
      </c>
      <c r="C257" t="inlineStr">
        <is>
          <t>HACIA_HUAWEI</t>
        </is>
      </c>
      <c r="D257" t="inlineStr">
        <is>
          <t>1</t>
        </is>
      </c>
      <c r="E257" t="inlineStr">
        <is>
          <t>152</t>
        </is>
      </c>
      <c r="F257" t="inlineStr">
        <is>
          <t>eth1/4</t>
        </is>
      </c>
    </row>
    <row r="258">
      <c r="A258" t="inlineStr">
        <is>
          <t>up</t>
        </is>
      </c>
      <c r="B258" t="inlineStr">
        <is>
          <t>up</t>
        </is>
      </c>
      <c r="C258" t="inlineStr">
        <is>
          <t>HACIA_CELTRO_NOGALES2_RESPALDO</t>
        </is>
      </c>
      <c r="D258" t="inlineStr">
        <is>
          <t>1</t>
        </is>
      </c>
      <c r="E258" t="inlineStr">
        <is>
          <t>152</t>
        </is>
      </c>
      <c r="F258" t="inlineStr">
        <is>
          <t>eth1/5</t>
        </is>
      </c>
    </row>
    <row r="259">
      <c r="A259" t="inlineStr">
        <is>
          <t>down</t>
        </is>
      </c>
      <c r="B259" t="inlineStr">
        <is>
          <t>down</t>
        </is>
      </c>
      <c r="C259" t="inlineStr">
        <is>
          <t>HACIA_SALA_OYM_EXT_IMPRESORA</t>
        </is>
      </c>
      <c r="D259" t="inlineStr">
        <is>
          <t>1</t>
        </is>
      </c>
      <c r="E259" t="inlineStr">
        <is>
          <t>152</t>
        </is>
      </c>
      <c r="F259" t="inlineStr">
        <is>
          <t>eth1/6</t>
        </is>
      </c>
    </row>
    <row r="260">
      <c r="A260" t="inlineStr">
        <is>
          <t>up</t>
        </is>
      </c>
      <c r="B260" t="inlineStr">
        <is>
          <t>down</t>
        </is>
      </c>
      <c r="C260" t="inlineStr">
        <is>
          <t>HACIA_EXT_CHECADOR</t>
        </is>
      </c>
      <c r="D260" t="inlineStr">
        <is>
          <t>1</t>
        </is>
      </c>
      <c r="E260" t="inlineStr">
        <is>
          <t>152</t>
        </is>
      </c>
      <c r="F260" t="inlineStr">
        <is>
          <t>eth1/7</t>
        </is>
      </c>
    </row>
    <row r="261">
      <c r="A261" t="inlineStr">
        <is>
          <t>up</t>
        </is>
      </c>
      <c r="B261" t="inlineStr">
        <is>
          <t>down</t>
        </is>
      </c>
      <c r="C261" t="inlineStr">
        <is>
          <t>HACIA _IP RAN ZTE</t>
        </is>
      </c>
      <c r="D261" t="inlineStr">
        <is>
          <t>1</t>
        </is>
      </c>
      <c r="E261" t="inlineStr">
        <is>
          <t>152</t>
        </is>
      </c>
      <c r="F261" t="inlineStr">
        <is>
          <t>eth1/8</t>
        </is>
      </c>
    </row>
    <row r="262">
      <c r="A262" t="inlineStr">
        <is>
          <t>up</t>
        </is>
      </c>
      <c r="B262" t="inlineStr">
        <is>
          <t>up</t>
        </is>
      </c>
      <c r="C262" t="inlineStr">
        <is>
          <t>HACIA_RNC INGRN1 Trafico IuPS+Iur_CP1 / Panel 19 Pto 21 - MUTOA Sal</t>
        </is>
      </c>
      <c r="D262" t="inlineStr">
        <is>
          <t>1</t>
        </is>
      </c>
      <c r="E262" t="inlineStr">
        <is>
          <t>152</t>
        </is>
      </c>
      <c r="F262" t="inlineStr">
        <is>
          <t>eth1/9</t>
        </is>
      </c>
    </row>
    <row r="263">
      <c r="A263" t="inlineStr">
        <is>
          <t>up</t>
        </is>
      </c>
      <c r="B263" t="inlineStr">
        <is>
          <t>up</t>
        </is>
      </c>
      <c r="C263" t="inlineStr">
        <is>
          <t>HACIA_INGMG1 Tarjeta O&amp;M Puerto 1 / Panel 23 Pos-29</t>
        </is>
      </c>
      <c r="D263" t="inlineStr">
        <is>
          <t>1</t>
        </is>
      </c>
      <c r="E263" t="inlineStr">
        <is>
          <t>152</t>
        </is>
      </c>
      <c r="F263" t="inlineStr">
        <is>
          <t>eth1/10</t>
        </is>
      </c>
    </row>
    <row r="264">
      <c r="A264" t="inlineStr">
        <is>
          <t>up</t>
        </is>
      </c>
      <c r="B264" t="inlineStr">
        <is>
          <t>up</t>
        </is>
      </c>
      <c r="C264" t="inlineStr">
        <is>
          <t>HACIA_INGMG1 Tarjeta ET-IPG1 Puerto Pasivo / Panel 24 Pos-30</t>
        </is>
      </c>
      <c r="D264" t="inlineStr">
        <is>
          <t>1</t>
        </is>
      </c>
      <c r="E264" t="inlineStr">
        <is>
          <t>152</t>
        </is>
      </c>
      <c r="F264" t="inlineStr">
        <is>
          <t>eth1/11</t>
        </is>
      </c>
    </row>
    <row r="265">
      <c r="A265" t="inlineStr">
        <is>
          <t>up</t>
        </is>
      </c>
      <c r="B265" t="inlineStr">
        <is>
          <t>up</t>
        </is>
      </c>
      <c r="C265" t="inlineStr">
        <is>
          <t>HACIA_EVO INGEV1 Trafico MUR / Panel 28 Pto28</t>
        </is>
      </c>
      <c r="D265" t="inlineStr">
        <is>
          <t>1</t>
        </is>
      </c>
      <c r="E265" t="inlineStr">
        <is>
          <t>152</t>
        </is>
      </c>
      <c r="F265" t="inlineStr">
        <is>
          <t>eth1/12</t>
        </is>
      </c>
    </row>
    <row r="266">
      <c r="A266" t="inlineStr">
        <is>
          <t>up</t>
        </is>
      </c>
      <c r="B266" t="inlineStr">
        <is>
          <t>up</t>
        </is>
      </c>
      <c r="C266" t="inlineStr">
        <is>
          <t>HACIA_HLR_OYM</t>
        </is>
      </c>
      <c r="D266" t="inlineStr">
        <is>
          <t>1</t>
        </is>
      </c>
      <c r="E266" t="inlineStr">
        <is>
          <t>152</t>
        </is>
      </c>
      <c r="F266" t="inlineStr">
        <is>
          <t>eth1/13</t>
        </is>
      </c>
    </row>
    <row r="267">
      <c r="A267" t="inlineStr">
        <is>
          <t>up</t>
        </is>
      </c>
      <c r="B267" t="inlineStr">
        <is>
          <t>up</t>
        </is>
      </c>
      <c r="C267" t="inlineStr">
        <is>
          <t>HACIA_HLR_OYM</t>
        </is>
      </c>
      <c r="D267" t="inlineStr">
        <is>
          <t>1</t>
        </is>
      </c>
      <c r="E267" t="inlineStr">
        <is>
          <t>152</t>
        </is>
      </c>
      <c r="F267" t="inlineStr">
        <is>
          <t>eth1/14</t>
        </is>
      </c>
    </row>
    <row r="268">
      <c r="A268" t="inlineStr">
        <is>
          <t>up</t>
        </is>
      </c>
      <c r="B268" t="inlineStr">
        <is>
          <t>up</t>
        </is>
      </c>
      <c r="C268" t="inlineStr">
        <is>
          <t>HACIA_HLR_SIG</t>
        </is>
      </c>
      <c r="D268" t="inlineStr">
        <is>
          <t>1</t>
        </is>
      </c>
      <c r="E268" t="inlineStr">
        <is>
          <t>152</t>
        </is>
      </c>
      <c r="F268" t="inlineStr">
        <is>
          <t>eth1/15</t>
        </is>
      </c>
    </row>
    <row r="269">
      <c r="A269" t="inlineStr">
        <is>
          <t>up</t>
        </is>
      </c>
      <c r="B269" t="inlineStr">
        <is>
          <t>up</t>
        </is>
      </c>
      <c r="C269" t="inlineStr">
        <is>
          <t>HACIA_HLR_OYM</t>
        </is>
      </c>
      <c r="D269" t="inlineStr">
        <is>
          <t>1</t>
        </is>
      </c>
      <c r="E269" t="inlineStr">
        <is>
          <t>152</t>
        </is>
      </c>
      <c r="F269" t="inlineStr">
        <is>
          <t>eth1/16</t>
        </is>
      </c>
    </row>
    <row r="270">
      <c r="A270" t="inlineStr">
        <is>
          <t>down</t>
        </is>
      </c>
      <c r="B270" t="inlineStr">
        <is>
          <t>down</t>
        </is>
      </c>
      <c r="C270" t="inlineStr">
        <is>
          <t>HACIA-IP RAN</t>
        </is>
      </c>
      <c r="D270" t="inlineStr">
        <is>
          <t>1</t>
        </is>
      </c>
      <c r="E270" t="inlineStr">
        <is>
          <t>152</t>
        </is>
      </c>
      <c r="F270" t="inlineStr">
        <is>
          <t>eth1/17</t>
        </is>
      </c>
    </row>
    <row r="271">
      <c r="A271" t="inlineStr">
        <is>
          <t>up</t>
        </is>
      </c>
      <c r="B271" t="inlineStr">
        <is>
          <t>up</t>
        </is>
      </c>
      <c r="C271" t="inlineStr">
        <is>
          <t>HACIA_FZA_ELTEK</t>
        </is>
      </c>
      <c r="D271" t="inlineStr">
        <is>
          <t>1</t>
        </is>
      </c>
      <c r="E271" t="inlineStr">
        <is>
          <t>152</t>
        </is>
      </c>
      <c r="F271" t="inlineStr">
        <is>
          <t>eth1/18</t>
        </is>
      </c>
    </row>
    <row r="272">
      <c r="A272" t="inlineStr">
        <is>
          <t>up</t>
        </is>
      </c>
      <c r="B272" t="inlineStr">
        <is>
          <t>up</t>
        </is>
      </c>
      <c r="C272" t="inlineStr">
        <is>
          <t>HACIA_INGMG1 -  ET-IPG206 Pasivo | MUTOA 3 Pos 12</t>
        </is>
      </c>
      <c r="D272" t="inlineStr">
        <is>
          <t>1</t>
        </is>
      </c>
      <c r="E272" t="inlineStr">
        <is>
          <t>152</t>
        </is>
      </c>
      <c r="F272" t="inlineStr">
        <is>
          <t>eth1/19</t>
        </is>
      </c>
    </row>
    <row r="273">
      <c r="A273" t="inlineStr">
        <is>
          <t>up</t>
        </is>
      </c>
      <c r="B273" t="inlineStr">
        <is>
          <t>up</t>
        </is>
      </c>
      <c r="C273" t="inlineStr">
        <is>
          <t>HACIA_INGMG1 -  ET-IPG223 Activo | MUTOA 2 Pos 13</t>
        </is>
      </c>
      <c r="D273" t="inlineStr">
        <is>
          <t>1</t>
        </is>
      </c>
      <c r="E273" t="inlineStr">
        <is>
          <t>152</t>
        </is>
      </c>
      <c r="F273" t="inlineStr">
        <is>
          <t>eth1/20</t>
        </is>
      </c>
    </row>
    <row r="274">
      <c r="A274" t="inlineStr">
        <is>
          <t>down</t>
        </is>
      </c>
      <c r="B274" t="inlineStr">
        <is>
          <t>down</t>
        </is>
      </c>
      <c r="C274" t="inlineStr">
        <is>
          <t>HACIA_VMS NUEVO</t>
        </is>
      </c>
      <c r="D274" t="inlineStr">
        <is>
          <t>1</t>
        </is>
      </c>
      <c r="E274" t="inlineStr">
        <is>
          <t>152</t>
        </is>
      </c>
      <c r="F274" t="inlineStr">
        <is>
          <t>eth1/21</t>
        </is>
      </c>
    </row>
    <row r="275">
      <c r="A275" t="inlineStr">
        <is>
          <t>down</t>
        </is>
      </c>
      <c r="B275" t="inlineStr">
        <is>
          <t>down</t>
        </is>
      </c>
      <c r="C275" t="inlineStr">
        <is>
          <t>HACIA_VMS NUEVO</t>
        </is>
      </c>
      <c r="D275" t="inlineStr">
        <is>
          <t>1</t>
        </is>
      </c>
      <c r="E275" t="inlineStr">
        <is>
          <t>152</t>
        </is>
      </c>
      <c r="F275" t="inlineStr">
        <is>
          <t>eth1/22</t>
        </is>
      </c>
    </row>
    <row r="276">
      <c r="A276" t="inlineStr">
        <is>
          <t>up</t>
        </is>
      </c>
      <c r="B276" t="inlineStr">
        <is>
          <t>up</t>
        </is>
      </c>
      <c r="C276" t="inlineStr">
        <is>
          <t>HACIA_INGMG1 Tarjeta ET-IPG2 Puerto Activo / Panel 28 Pos-30</t>
        </is>
      </c>
      <c r="D276" t="inlineStr">
        <is>
          <t>1</t>
        </is>
      </c>
      <c r="E276" t="inlineStr">
        <is>
          <t>152</t>
        </is>
      </c>
      <c r="F276" t="inlineStr">
        <is>
          <t>eth1/23</t>
        </is>
      </c>
    </row>
    <row r="277">
      <c r="A277" t="inlineStr">
        <is>
          <t>down</t>
        </is>
      </c>
      <c r="B277" t="inlineStr">
        <is>
          <t>down</t>
        </is>
      </c>
      <c r="C277" t="inlineStr">
        <is>
          <t>HACIA_VMS NUEVO</t>
        </is>
      </c>
      <c r="D277" t="inlineStr">
        <is>
          <t>1</t>
        </is>
      </c>
      <c r="E277" t="inlineStr">
        <is>
          <t>152</t>
        </is>
      </c>
      <c r="F277" t="inlineStr">
        <is>
          <t>eth1/24</t>
        </is>
      </c>
    </row>
    <row r="278">
      <c r="A278" t="inlineStr">
        <is>
          <t>down</t>
        </is>
      </c>
      <c r="B278" t="inlineStr">
        <is>
          <t>down</t>
        </is>
      </c>
      <c r="C278" t="inlineStr"/>
      <c r="D278" t="inlineStr">
        <is>
          <t>1</t>
        </is>
      </c>
      <c r="E278" t="inlineStr">
        <is>
          <t>152</t>
        </is>
      </c>
      <c r="F278" t="inlineStr">
        <is>
          <t>eth1/25</t>
        </is>
      </c>
    </row>
    <row r="279">
      <c r="A279" t="inlineStr">
        <is>
          <t>up</t>
        </is>
      </c>
      <c r="B279" t="inlineStr">
        <is>
          <t>up</t>
        </is>
      </c>
      <c r="C279" t="inlineStr">
        <is>
          <t>LTE_PTP_SINCRONIA</t>
        </is>
      </c>
      <c r="D279" t="inlineStr">
        <is>
          <t>1</t>
        </is>
      </c>
      <c r="E279" t="inlineStr">
        <is>
          <t>152</t>
        </is>
      </c>
      <c r="F279" t="inlineStr">
        <is>
          <t>eth1/26</t>
        </is>
      </c>
    </row>
    <row r="280">
      <c r="A280" t="inlineStr">
        <is>
          <t>up</t>
        </is>
      </c>
      <c r="B280" t="inlineStr">
        <is>
          <t>up</t>
        </is>
      </c>
      <c r="C280" t="inlineStr">
        <is>
          <t>HACIA_SALA_OYM_CUBICULO5</t>
        </is>
      </c>
      <c r="D280" t="inlineStr">
        <is>
          <t>1</t>
        </is>
      </c>
      <c r="E280" t="inlineStr">
        <is>
          <t>152</t>
        </is>
      </c>
      <c r="F280" t="inlineStr">
        <is>
          <t>eth1/27</t>
        </is>
      </c>
    </row>
    <row r="281">
      <c r="A281" t="inlineStr">
        <is>
          <t>up</t>
        </is>
      </c>
      <c r="B281" t="inlineStr">
        <is>
          <t>up</t>
        </is>
      </c>
      <c r="C281" t="inlineStr">
        <is>
          <t>Sync-Server_PTP5000</t>
        </is>
      </c>
      <c r="D281" t="inlineStr">
        <is>
          <t>1</t>
        </is>
      </c>
      <c r="E281" t="inlineStr">
        <is>
          <t>152</t>
        </is>
      </c>
      <c r="F281" t="inlineStr">
        <is>
          <t>eth1/28</t>
        </is>
      </c>
    </row>
    <row r="282">
      <c r="A282" t="inlineStr">
        <is>
          <t>down</t>
        </is>
      </c>
      <c r="B282" t="inlineStr">
        <is>
          <t>down</t>
        </is>
      </c>
      <c r="C282" t="inlineStr"/>
      <c r="D282" t="inlineStr">
        <is>
          <t>1</t>
        </is>
      </c>
      <c r="E282" t="inlineStr">
        <is>
          <t>152</t>
        </is>
      </c>
      <c r="F282" t="inlineStr">
        <is>
          <t>eth1/29</t>
        </is>
      </c>
    </row>
    <row r="283">
      <c r="A283" t="inlineStr">
        <is>
          <t>down</t>
        </is>
      </c>
      <c r="B283" t="inlineStr">
        <is>
          <t>down</t>
        </is>
      </c>
      <c r="C283" t="inlineStr"/>
      <c r="D283" t="inlineStr">
        <is>
          <t>1</t>
        </is>
      </c>
      <c r="E283" t="inlineStr">
        <is>
          <t>152</t>
        </is>
      </c>
      <c r="F283" t="inlineStr">
        <is>
          <t>eth1/30</t>
        </is>
      </c>
    </row>
    <row r="284">
      <c r="A284" t="inlineStr">
        <is>
          <t>down</t>
        </is>
      </c>
      <c r="B284" t="inlineStr">
        <is>
          <t>down</t>
        </is>
      </c>
      <c r="C284" t="inlineStr"/>
      <c r="D284" t="inlineStr">
        <is>
          <t>1</t>
        </is>
      </c>
      <c r="E284" t="inlineStr">
        <is>
          <t>152</t>
        </is>
      </c>
      <c r="F284" t="inlineStr">
        <is>
          <t>eth1/31</t>
        </is>
      </c>
    </row>
    <row r="285">
      <c r="A285" t="inlineStr">
        <is>
          <t>down</t>
        </is>
      </c>
      <c r="B285" t="inlineStr">
        <is>
          <t>down</t>
        </is>
      </c>
      <c r="C285" t="inlineStr"/>
      <c r="D285" t="inlineStr">
        <is>
          <t>1</t>
        </is>
      </c>
      <c r="E285" t="inlineStr">
        <is>
          <t>152</t>
        </is>
      </c>
      <c r="F285" t="inlineStr">
        <is>
          <t>eth1/32</t>
        </is>
      </c>
    </row>
  </sheetData>
  <conditionalFormatting sqref="F1:F1048576">
    <cfRule type="containsText" priority="1" operator="containsText" dxfId="38" text="eth1/102">
      <formula>NOT(ISERROR(SEARCH("eth1/102",F1)))</formula>
    </cfRule>
    <cfRule type="containsText" priority="2" operator="containsText" dxfId="38" text="eth1/101">
      <formula>NOT(ISERROR(SEARCH("eth1/101",F1)))</formula>
    </cfRule>
    <cfRule type="containsText" priority="3" operator="containsText" dxfId="38" text="eth1/100">
      <formula>NOT(ISERROR(SEARCH("eth1/100",F1)))</formula>
    </cfRule>
    <cfRule type="containsText" priority="4" operator="containsText" dxfId="38" text="eth1/99">
      <formula>NOT(ISERROR(SEARCH("eth1/99",F1)))</formula>
    </cfRule>
    <cfRule type="containsText" priority="5" operator="containsText" dxfId="38" text="eth1/98">
      <formula>NOT(ISERROR(SEARCH("eth1/98",F1)))</formula>
    </cfRule>
    <cfRule type="containsText" priority="6" operator="containsText" dxfId="38" text="eth1/97">
      <formula>NOT(ISERROR(SEARCH("eth1/97",F1)))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54"/>
  <sheetViews>
    <sheetView zoomScale="138" workbookViewId="0">
      <selection activeCell="A1" sqref="A1"/>
    </sheetView>
  </sheetViews>
  <sheetFormatPr baseColWidth="10" defaultRowHeight="16"/>
  <cols>
    <col width="171" bestFit="1" customWidth="1" style="22" min="1" max="1"/>
    <col width="20.1640625" bestFit="1" customWidth="1" style="22" min="2" max="2"/>
    <col width="38.33203125" bestFit="1" customWidth="1" style="22" min="3" max="3"/>
    <col width="86.83203125" bestFit="1" customWidth="1" style="22" min="4" max="4"/>
    <col width="7.33203125" bestFit="1" customWidth="1" style="22" min="5" max="5"/>
    <col width="8.6640625" bestFit="1" customWidth="1" style="22" min="6" max="6"/>
    <col width="47.33203125" bestFit="1" customWidth="1" style="22" min="7" max="7"/>
    <col width="54.6640625" bestFit="1" customWidth="1" style="22" min="8" max="8"/>
    <col width="9.5" bestFit="1" customWidth="1" style="22" min="9" max="9"/>
    <col width="8.83203125" bestFit="1" customWidth="1" style="22" min="10" max="10"/>
  </cols>
  <sheetData>
    <row r="1">
      <c r="A1" t="inlineStr">
        <is>
          <t>dn</t>
        </is>
      </c>
      <c r="B1" t="inlineStr">
        <is>
          <t>AP</t>
        </is>
      </c>
      <c r="C1" t="inlineStr">
        <is>
          <t>EPG</t>
        </is>
      </c>
      <c r="D1" t="inlineStr">
        <is>
          <t>TOPOLOGY</t>
        </is>
      </c>
      <c r="E1" t="inlineStr">
        <is>
          <t>POD</t>
        </is>
      </c>
      <c r="F1" t="inlineStr">
        <is>
          <t>NODE</t>
        </is>
      </c>
      <c r="G1" t="inlineStr">
        <is>
          <t>PORT_INT</t>
        </is>
      </c>
      <c r="H1" t="inlineStr">
        <is>
          <t>CONCAT</t>
        </is>
      </c>
      <c r="I1" t="inlineStr">
        <is>
          <t>encap</t>
        </is>
      </c>
      <c r="J1" t="inlineStr">
        <is>
          <t>mode</t>
        </is>
      </c>
    </row>
    <row r="2">
      <c r="A2" t="inlineStr">
        <is>
          <t>uni/tn-TELCEL_TELCO_NETWORK/ap-AP_Voz_Nb_Ericsson/epg-EPG_VLAN_600/rspathAtt-[topolog</t>
        </is>
      </c>
      <c r="B2">
        <f>_xlfn.TEXTBEFORE(_xlfn.TEXTAFTER(A2, "ap-"), "/")</f>
        <v/>
      </c>
      <c r="C2">
        <f>_xlfn.TEXTBEFORE(_xlfn.TEXTAFTER(A2, "epg-"), "/")</f>
        <v/>
      </c>
      <c r="D2">
        <f>_xlfn.TEXTBEFORE(_xlfn.TEXTAFTER(A2, "rspathAtt-"), "]") &amp; "]]"</f>
        <v/>
      </c>
      <c r="E2">
        <f>_xlfn.TEXTBEFORE(_xlfn.TEXTAFTER(D2, "pod-"), "/")</f>
        <v/>
      </c>
      <c r="F2">
        <f>_xlfn.TEXTBEFORE(_xlfn.TEXTAFTER(D2, "paths-"), "/")</f>
        <v/>
      </c>
      <c r="G2">
        <f>_xlfn.TEXTBEFORE(_xlfn.TEXTAFTER(D2, "pathep-["), "]")</f>
        <v/>
      </c>
      <c r="H2">
        <f>_xlfn.CONCAT(F2,G2)</f>
        <v/>
      </c>
      <c r="I2" t="inlineStr">
        <is>
          <t>vlan-600</t>
        </is>
      </c>
      <c r="J2" t="inlineStr">
        <is>
          <t>regular</t>
        </is>
      </c>
    </row>
    <row r="3">
      <c r="A3" t="inlineStr">
        <is>
          <t>uni/tn-TELCEL_TELCO_NETWORK/ap-AP_Voz_Nb_Ericsson/epg-EPG_VLAN_600/rspathAtt-[topolog</t>
        </is>
      </c>
      <c r="B3">
        <f>_xlfn.TEXTBEFORE(_xlfn.TEXTAFTER(A3, "ap-"), "/")</f>
        <v/>
      </c>
      <c r="C3">
        <f>_xlfn.TEXTBEFORE(_xlfn.TEXTAFTER(A3, "epg-"), "/")</f>
        <v/>
      </c>
      <c r="D3">
        <f>_xlfn.TEXTBEFORE(_xlfn.TEXTAFTER(A3, "rspathAtt-"), "]") &amp; "]]"</f>
        <v/>
      </c>
      <c r="E3">
        <f>_xlfn.TEXTBEFORE(_xlfn.TEXTAFTER(D3, "pod-"), "/")</f>
        <v/>
      </c>
      <c r="F3">
        <f>_xlfn.TEXTBEFORE(_xlfn.TEXTAFTER(D3, "paths-"), "/")</f>
        <v/>
      </c>
      <c r="G3">
        <f>_xlfn.TEXTBEFORE(_xlfn.TEXTAFTER(D3, "pathep-["), "]")</f>
        <v/>
      </c>
      <c r="H3">
        <f>_xlfn.CONCAT(F3,G3)</f>
        <v/>
      </c>
      <c r="I3" t="inlineStr">
        <is>
          <t>vlan-600</t>
        </is>
      </c>
      <c r="J3" t="inlineStr">
        <is>
          <t>regular</t>
        </is>
      </c>
    </row>
    <row r="4">
      <c r="A4" t="inlineStr">
        <is>
          <t>uni/tn-TELCEL_TELCO_NETWORK/ap-AP_Voz_Nb_Ericsson/epg-EPG_VLAN_610/rspathAtt-[topolog</t>
        </is>
      </c>
      <c r="B4">
        <f>_xlfn.TEXTBEFORE(_xlfn.TEXTAFTER(A4, "ap-"), "/")</f>
        <v/>
      </c>
      <c r="C4">
        <f>_xlfn.TEXTBEFORE(_xlfn.TEXTAFTER(A4, "epg-"), "/")</f>
        <v/>
      </c>
      <c r="D4">
        <f>_xlfn.TEXTBEFORE(_xlfn.TEXTAFTER(A4, "rspathAtt-"), "]") &amp; "]]"</f>
        <v/>
      </c>
      <c r="E4">
        <f>_xlfn.TEXTBEFORE(_xlfn.TEXTAFTER(D4, "pod-"), "/")</f>
        <v/>
      </c>
      <c r="F4">
        <f>_xlfn.TEXTBEFORE(_xlfn.TEXTAFTER(D4, "paths-"), "/")</f>
        <v/>
      </c>
      <c r="G4">
        <f>_xlfn.TEXTBEFORE(_xlfn.TEXTAFTER(D4, "pathep-["), "]")</f>
        <v/>
      </c>
      <c r="H4">
        <f>_xlfn.CONCAT(F4,G4)</f>
        <v/>
      </c>
      <c r="I4" t="inlineStr">
        <is>
          <t>vlan-610</t>
        </is>
      </c>
      <c r="J4" t="inlineStr">
        <is>
          <t>regular</t>
        </is>
      </c>
    </row>
    <row r="5">
      <c r="A5" t="inlineStr">
        <is>
          <t>uni/tn-TELCEL_TELCO_NETWORK/ap-AP_Voz_Nb_Ericsson/epg-EPG_VLAN_610/rspathAtt-[topolog</t>
        </is>
      </c>
      <c r="B5">
        <f>_xlfn.TEXTBEFORE(_xlfn.TEXTAFTER(A5, "ap-"), "/")</f>
        <v/>
      </c>
      <c r="C5">
        <f>_xlfn.TEXTBEFORE(_xlfn.TEXTAFTER(A5, "epg-"), "/")</f>
        <v/>
      </c>
      <c r="D5">
        <f>_xlfn.TEXTBEFORE(_xlfn.TEXTAFTER(A5, "rspathAtt-"), "]") &amp; "]]"</f>
        <v/>
      </c>
      <c r="E5">
        <f>_xlfn.TEXTBEFORE(_xlfn.TEXTAFTER(D5, "pod-"), "/")</f>
        <v/>
      </c>
      <c r="F5">
        <f>_xlfn.TEXTBEFORE(_xlfn.TEXTAFTER(D5, "paths-"), "/")</f>
        <v/>
      </c>
      <c r="G5">
        <f>_xlfn.TEXTBEFORE(_xlfn.TEXTAFTER(D5, "pathep-["), "]")</f>
        <v/>
      </c>
      <c r="H5">
        <f>_xlfn.CONCAT(F5,G5)</f>
        <v/>
      </c>
      <c r="I5" t="inlineStr">
        <is>
          <t>vlan-610</t>
        </is>
      </c>
      <c r="J5" t="inlineStr">
        <is>
          <t>regular</t>
        </is>
      </c>
    </row>
    <row r="6">
      <c r="A6" t="inlineStr">
        <is>
          <t>uni/tn-TELCEL_TELCO_NETWORK/ap-AP_Voz_Nb_Ericsson/epg-EPG_VLAN_610/rspathAtt-[topolog</t>
        </is>
      </c>
      <c r="B6">
        <f>_xlfn.TEXTBEFORE(_xlfn.TEXTAFTER(A6, "ap-"), "/")</f>
        <v/>
      </c>
      <c r="C6">
        <f>_xlfn.TEXTBEFORE(_xlfn.TEXTAFTER(A6, "epg-"), "/")</f>
        <v/>
      </c>
      <c r="D6">
        <f>_xlfn.TEXTBEFORE(_xlfn.TEXTAFTER(A6, "rspathAtt-"), "]") &amp; "]]"</f>
        <v/>
      </c>
      <c r="E6">
        <f>_xlfn.TEXTBEFORE(_xlfn.TEXTAFTER(D6, "pod-"), "/")</f>
        <v/>
      </c>
      <c r="F6">
        <f>_xlfn.TEXTBEFORE(_xlfn.TEXTAFTER(D6, "paths-"), "/")</f>
        <v/>
      </c>
      <c r="G6">
        <f>_xlfn.TEXTBEFORE(_xlfn.TEXTAFTER(D6, "pathep-["), "]")</f>
        <v/>
      </c>
      <c r="H6">
        <f>_xlfn.CONCAT(F6,G6)</f>
        <v/>
      </c>
      <c r="I6" t="inlineStr">
        <is>
          <t>vlan-610</t>
        </is>
      </c>
      <c r="J6" t="inlineStr">
        <is>
          <t>regular</t>
        </is>
      </c>
    </row>
    <row r="7">
      <c r="A7" t="inlineStr">
        <is>
          <t>uni/tn-TELCEL_TELCO_NETWORK/ap-AP_Voz_Nb_Ericsson/epg-EPG_VLAN_610/rspathAtt-[topolog</t>
        </is>
      </c>
      <c r="B7">
        <f>_xlfn.TEXTBEFORE(_xlfn.TEXTAFTER(A7, "ap-"), "/")</f>
        <v/>
      </c>
      <c r="C7">
        <f>_xlfn.TEXTBEFORE(_xlfn.TEXTAFTER(A7, "epg-"), "/")</f>
        <v/>
      </c>
      <c r="D7">
        <f>_xlfn.TEXTBEFORE(_xlfn.TEXTAFTER(A7, "rspathAtt-"), "]") &amp; "]]"</f>
        <v/>
      </c>
      <c r="E7">
        <f>_xlfn.TEXTBEFORE(_xlfn.TEXTAFTER(D7, "pod-"), "/")</f>
        <v/>
      </c>
      <c r="F7">
        <f>_xlfn.TEXTBEFORE(_xlfn.TEXTAFTER(D7, "paths-"), "/")</f>
        <v/>
      </c>
      <c r="G7">
        <f>_xlfn.TEXTBEFORE(_xlfn.TEXTAFTER(D7, "pathep-["), "]")</f>
        <v/>
      </c>
      <c r="H7">
        <f>_xlfn.CONCAT(F7,G7)</f>
        <v/>
      </c>
      <c r="I7" t="inlineStr">
        <is>
          <t>vlan-610</t>
        </is>
      </c>
      <c r="J7" t="inlineStr">
        <is>
          <t>regular</t>
        </is>
      </c>
    </row>
    <row r="8">
      <c r="A8" t="inlineStr">
        <is>
          <t>uni/tn-TELCEL_TELCO_NETWORK/ap-AP_default/epg-EPG_VLAN_1/rspathAtt-[topology/pod-1/pa</t>
        </is>
      </c>
      <c r="B8">
        <f>_xlfn.TEXTBEFORE(_xlfn.TEXTAFTER(A8, "ap-"), "/")</f>
        <v/>
      </c>
      <c r="C8">
        <f>_xlfn.TEXTBEFORE(_xlfn.TEXTAFTER(A8, "epg-"), "/")</f>
        <v/>
      </c>
      <c r="D8">
        <f>_xlfn.TEXTBEFORE(_xlfn.TEXTAFTER(A8, "rspathAtt-"), "]") &amp; "]]"</f>
        <v/>
      </c>
      <c r="E8">
        <f>_xlfn.TEXTBEFORE(_xlfn.TEXTAFTER(D8, "pod-"), "/")</f>
        <v/>
      </c>
      <c r="F8">
        <f>_xlfn.TEXTBEFORE(_xlfn.TEXTAFTER(D8, "paths-"), "/")</f>
        <v/>
      </c>
      <c r="G8">
        <f>_xlfn.TEXTBEFORE(_xlfn.TEXTAFTER(D8, "pathep-["), "]")</f>
        <v/>
      </c>
      <c r="H8">
        <f>_xlfn.CONCAT(F8,G8)</f>
        <v/>
      </c>
      <c r="I8" t="inlineStr">
        <is>
          <t>vlan-1</t>
        </is>
      </c>
      <c r="J8" t="inlineStr">
        <is>
          <t>regular</t>
        </is>
      </c>
    </row>
    <row r="9">
      <c r="A9" t="inlineStr">
        <is>
          <t>uni/tn-TELCEL_TELCO_NETWORK/ap-AP_default/epg-EPG_VLAN_1/rspathAtt-[topology/pod-1/pa</t>
        </is>
      </c>
      <c r="B9">
        <f>_xlfn.TEXTBEFORE(_xlfn.TEXTAFTER(A9, "ap-"), "/")</f>
        <v/>
      </c>
      <c r="C9">
        <f>_xlfn.TEXTBEFORE(_xlfn.TEXTAFTER(A9, "epg-"), "/")</f>
        <v/>
      </c>
      <c r="D9">
        <f>_xlfn.TEXTBEFORE(_xlfn.TEXTAFTER(A9, "rspathAtt-"), "]") &amp; "]]"</f>
        <v/>
      </c>
      <c r="E9">
        <f>_xlfn.TEXTBEFORE(_xlfn.TEXTAFTER(D9, "pod-"), "/")</f>
        <v/>
      </c>
      <c r="F9">
        <f>_xlfn.TEXTBEFORE(_xlfn.TEXTAFTER(D9, "paths-"), "/")</f>
        <v/>
      </c>
      <c r="G9">
        <f>_xlfn.TEXTBEFORE(_xlfn.TEXTAFTER(D9, "pathep-["), "]")</f>
        <v/>
      </c>
      <c r="H9">
        <f>_xlfn.CONCAT(F9,G9)</f>
        <v/>
      </c>
      <c r="I9" t="inlineStr">
        <is>
          <t>vlan-1</t>
        </is>
      </c>
      <c r="J9" t="inlineStr">
        <is>
          <t>regular</t>
        </is>
      </c>
    </row>
    <row r="10">
      <c r="A10" t="inlineStr">
        <is>
          <t>uni/tn-TELCEL_TELCO_NETWORK/ap-AP_telcel_ipcorp/epg-EPG_VLAN_63/rspathAtt-[topology/p</t>
        </is>
      </c>
      <c r="B10">
        <f>_xlfn.TEXTBEFORE(_xlfn.TEXTAFTER(A10, "ap-"), "/")</f>
        <v/>
      </c>
      <c r="C10">
        <f>_xlfn.TEXTBEFORE(_xlfn.TEXTAFTER(A10, "epg-"), "/")</f>
        <v/>
      </c>
      <c r="D10">
        <f>_xlfn.TEXTBEFORE(_xlfn.TEXTAFTER(A10, "rspathAtt-"), "]") &amp; "]]"</f>
        <v/>
      </c>
      <c r="E10">
        <f>_xlfn.TEXTBEFORE(_xlfn.TEXTAFTER(D10, "pod-"), "/")</f>
        <v/>
      </c>
      <c r="F10">
        <f>_xlfn.TEXTBEFORE(_xlfn.TEXTAFTER(D10, "paths-"), "/")</f>
        <v/>
      </c>
      <c r="G10">
        <f>_xlfn.TEXTBEFORE(_xlfn.TEXTAFTER(D10, "pathep-["), "]")</f>
        <v/>
      </c>
      <c r="H10">
        <f>_xlfn.CONCAT(F10,G10)</f>
        <v/>
      </c>
      <c r="I10" t="inlineStr">
        <is>
          <t>vlan-63</t>
        </is>
      </c>
      <c r="J10" t="inlineStr">
        <is>
          <t>untagged</t>
        </is>
      </c>
    </row>
    <row r="11">
      <c r="A11" t="inlineStr">
        <is>
          <t>uni/tn-TELCEL_TELCO_NETWORK/ap-AP_telcel_ipcorp/epg-EPG_VLAN_63/rspathAtt-[topology/p</t>
        </is>
      </c>
      <c r="B11">
        <f>_xlfn.TEXTBEFORE(_xlfn.TEXTAFTER(A11, "ap-"), "/")</f>
        <v/>
      </c>
      <c r="C11">
        <f>_xlfn.TEXTBEFORE(_xlfn.TEXTAFTER(A11, "epg-"), "/")</f>
        <v/>
      </c>
      <c r="D11">
        <f>_xlfn.TEXTBEFORE(_xlfn.TEXTAFTER(A11, "rspathAtt-"), "]") &amp; "]]"</f>
        <v/>
      </c>
      <c r="E11">
        <f>_xlfn.TEXTBEFORE(_xlfn.TEXTAFTER(D11, "pod-"), "/")</f>
        <v/>
      </c>
      <c r="F11">
        <f>_xlfn.TEXTBEFORE(_xlfn.TEXTAFTER(D11, "paths-"), "/")</f>
        <v/>
      </c>
      <c r="G11">
        <f>_xlfn.TEXTBEFORE(_xlfn.TEXTAFTER(D11, "pathep-["), "]")</f>
        <v/>
      </c>
      <c r="H11">
        <f>_xlfn.CONCAT(F11,G11)</f>
        <v/>
      </c>
      <c r="I11" t="inlineStr">
        <is>
          <t>vlan-63</t>
        </is>
      </c>
      <c r="J11" t="inlineStr">
        <is>
          <t>untagged</t>
        </is>
      </c>
    </row>
    <row r="12">
      <c r="A12" t="inlineStr">
        <is>
          <t>uni/tn-TELCEL_TELCO_NETWORK/ap-AP_telcel_ipcorp/epg-EPG_VLAN_63/rspathAtt-[topology/p</t>
        </is>
      </c>
      <c r="B12">
        <f>_xlfn.TEXTBEFORE(_xlfn.TEXTAFTER(A12, "ap-"), "/")</f>
        <v/>
      </c>
      <c r="C12">
        <f>_xlfn.TEXTBEFORE(_xlfn.TEXTAFTER(A12, "epg-"), "/")</f>
        <v/>
      </c>
      <c r="D12">
        <f>_xlfn.TEXTBEFORE(_xlfn.TEXTAFTER(A12, "rspathAtt-"), "]") &amp; "]]"</f>
        <v/>
      </c>
      <c r="E12">
        <f>_xlfn.TEXTBEFORE(_xlfn.TEXTAFTER(D12, "pod-"), "/")</f>
        <v/>
      </c>
      <c r="F12">
        <f>_xlfn.TEXTBEFORE(_xlfn.TEXTAFTER(D12, "paths-"), "/")</f>
        <v/>
      </c>
      <c r="G12">
        <f>_xlfn.TEXTBEFORE(_xlfn.TEXTAFTER(D12, "pathep-["), "]")</f>
        <v/>
      </c>
      <c r="H12">
        <f>_xlfn.CONCAT(F12,G12)</f>
        <v/>
      </c>
      <c r="I12" t="inlineStr">
        <is>
          <t>vlan-63</t>
        </is>
      </c>
      <c r="J12" t="inlineStr">
        <is>
          <t>untagged</t>
        </is>
      </c>
    </row>
    <row r="13">
      <c r="A13" t="inlineStr">
        <is>
          <t>uni/tn-TELCEL_TELCO_NETWORK/ap-AP_telcel_ipcorp/epg-EPG_VLAN_63/rspathAtt-[topology/p</t>
        </is>
      </c>
      <c r="B13">
        <f>_xlfn.TEXTBEFORE(_xlfn.TEXTAFTER(A13, "ap-"), "/")</f>
        <v/>
      </c>
      <c r="C13">
        <f>_xlfn.TEXTBEFORE(_xlfn.TEXTAFTER(A13, "epg-"), "/")</f>
        <v/>
      </c>
      <c r="D13">
        <f>_xlfn.TEXTBEFORE(_xlfn.TEXTAFTER(A13, "rspathAtt-"), "]") &amp; "]]"</f>
        <v/>
      </c>
      <c r="E13">
        <f>_xlfn.TEXTBEFORE(_xlfn.TEXTAFTER(D13, "pod-"), "/")</f>
        <v/>
      </c>
      <c r="F13">
        <f>_xlfn.TEXTBEFORE(_xlfn.TEXTAFTER(D13, "paths-"), "/")</f>
        <v/>
      </c>
      <c r="G13">
        <f>_xlfn.TEXTBEFORE(_xlfn.TEXTAFTER(D13, "pathep-["), "]")</f>
        <v/>
      </c>
      <c r="H13">
        <f>_xlfn.CONCAT(F13,G13)</f>
        <v/>
      </c>
      <c r="I13" t="inlineStr">
        <is>
          <t>vlan-63</t>
        </is>
      </c>
      <c r="J13" t="inlineStr">
        <is>
          <t>regular</t>
        </is>
      </c>
    </row>
    <row r="14">
      <c r="A14" t="inlineStr">
        <is>
          <t>uni/tn-TELCEL_TELCO_NETWORK/ap-AP_telcel_ipcorp/epg-EPG_VLAN_63/rspathAtt-[topology/p</t>
        </is>
      </c>
      <c r="B14">
        <f>_xlfn.TEXTBEFORE(_xlfn.TEXTAFTER(A14, "ap-"), "/")</f>
        <v/>
      </c>
      <c r="C14">
        <f>_xlfn.TEXTBEFORE(_xlfn.TEXTAFTER(A14, "epg-"), "/")</f>
        <v/>
      </c>
      <c r="D14">
        <f>_xlfn.TEXTBEFORE(_xlfn.TEXTAFTER(A14, "rspathAtt-"), "]") &amp; "]]"</f>
        <v/>
      </c>
      <c r="E14">
        <f>_xlfn.TEXTBEFORE(_xlfn.TEXTAFTER(D14, "pod-"), "/")</f>
        <v/>
      </c>
      <c r="F14">
        <f>_xlfn.TEXTBEFORE(_xlfn.TEXTAFTER(D14, "paths-"), "/")</f>
        <v/>
      </c>
      <c r="G14">
        <f>_xlfn.TEXTBEFORE(_xlfn.TEXTAFTER(D14, "pathep-["), "]")</f>
        <v/>
      </c>
      <c r="H14">
        <f>_xlfn.CONCAT(F14,G14)</f>
        <v/>
      </c>
      <c r="I14" t="inlineStr">
        <is>
          <t>vlan-63</t>
        </is>
      </c>
      <c r="J14" t="inlineStr">
        <is>
          <t>regular</t>
        </is>
      </c>
    </row>
    <row r="15">
      <c r="A15" t="inlineStr">
        <is>
          <t>uni/tn-TELCEL_TELCO_NETWORK/ap-AP_telcel_ipcorp/epg-EPG_VLAN_102/rspathAtt-[topology/</t>
        </is>
      </c>
      <c r="B15">
        <f>_xlfn.TEXTBEFORE(_xlfn.TEXTAFTER(A15, "ap-"), "/")</f>
        <v/>
      </c>
      <c r="C15">
        <f>_xlfn.TEXTBEFORE(_xlfn.TEXTAFTER(A15, "epg-"), "/")</f>
        <v/>
      </c>
      <c r="D15">
        <f>_xlfn.TEXTBEFORE(_xlfn.TEXTAFTER(A15, "rspathAtt-"), "]") &amp; "]]"</f>
        <v/>
      </c>
      <c r="E15">
        <f>_xlfn.TEXTBEFORE(_xlfn.TEXTAFTER(D15, "pod-"), "/")</f>
        <v/>
      </c>
      <c r="F15">
        <f>_xlfn.TEXTBEFORE(_xlfn.TEXTAFTER(D15, "paths-"), "/")</f>
        <v/>
      </c>
      <c r="G15">
        <f>_xlfn.TEXTBEFORE(_xlfn.TEXTAFTER(D15, "pathep-["), "]")</f>
        <v/>
      </c>
      <c r="H15">
        <f>_xlfn.CONCAT(F15,G15)</f>
        <v/>
      </c>
      <c r="I15" t="inlineStr">
        <is>
          <t>vlan-102</t>
        </is>
      </c>
      <c r="J15" t="inlineStr">
        <is>
          <t>untagged</t>
        </is>
      </c>
    </row>
    <row r="16">
      <c r="A16" t="inlineStr">
        <is>
          <t>uni/tn-TELCEL_TELCO_NETWORK/ap-AP_telcel_ipcorp/epg-EPG_VLAN_102/rspathAtt-[topology/</t>
        </is>
      </c>
      <c r="B16">
        <f>_xlfn.TEXTBEFORE(_xlfn.TEXTAFTER(A16, "ap-"), "/")</f>
        <v/>
      </c>
      <c r="C16">
        <f>_xlfn.TEXTBEFORE(_xlfn.TEXTAFTER(A16, "epg-"), "/")</f>
        <v/>
      </c>
      <c r="D16">
        <f>_xlfn.TEXTBEFORE(_xlfn.TEXTAFTER(A16, "rspathAtt-"), "]") &amp; "]]"</f>
        <v/>
      </c>
      <c r="E16">
        <f>_xlfn.TEXTBEFORE(_xlfn.TEXTAFTER(D16, "pod-"), "/")</f>
        <v/>
      </c>
      <c r="F16">
        <f>_xlfn.TEXTBEFORE(_xlfn.TEXTAFTER(D16, "paths-"), "/")</f>
        <v/>
      </c>
      <c r="G16">
        <f>_xlfn.TEXTBEFORE(_xlfn.TEXTAFTER(D16, "pathep-["), "]")</f>
        <v/>
      </c>
      <c r="H16">
        <f>_xlfn.CONCAT(F16,G16)</f>
        <v/>
      </c>
      <c r="I16" t="inlineStr">
        <is>
          <t>vlan-102</t>
        </is>
      </c>
      <c r="J16" t="inlineStr">
        <is>
          <t>regular</t>
        </is>
      </c>
    </row>
    <row r="17">
      <c r="A17" t="inlineStr">
        <is>
          <t>uni/tn-TELCEL_TELCO_NETWORK/ap-AP_telcel_ipcorp/epg-EPG_VLAN_102/rspathAtt-[topology/</t>
        </is>
      </c>
      <c r="B17">
        <f>_xlfn.TEXTBEFORE(_xlfn.TEXTAFTER(A17, "ap-"), "/")</f>
        <v/>
      </c>
      <c r="C17">
        <f>_xlfn.TEXTBEFORE(_xlfn.TEXTAFTER(A17, "epg-"), "/")</f>
        <v/>
      </c>
      <c r="D17">
        <f>_xlfn.TEXTBEFORE(_xlfn.TEXTAFTER(A17, "rspathAtt-"), "]") &amp; "]]"</f>
        <v/>
      </c>
      <c r="E17">
        <f>_xlfn.TEXTBEFORE(_xlfn.TEXTAFTER(D17, "pod-"), "/")</f>
        <v/>
      </c>
      <c r="F17">
        <f>_xlfn.TEXTBEFORE(_xlfn.TEXTAFTER(D17, "paths-"), "/")</f>
        <v/>
      </c>
      <c r="G17">
        <f>_xlfn.TEXTBEFORE(_xlfn.TEXTAFTER(D17, "pathep-["), "]")</f>
        <v/>
      </c>
      <c r="H17">
        <f>_xlfn.CONCAT(F17,G17)</f>
        <v/>
      </c>
      <c r="I17" t="inlineStr">
        <is>
          <t>vlan-102</t>
        </is>
      </c>
      <c r="J17" t="inlineStr">
        <is>
          <t>regular</t>
        </is>
      </c>
    </row>
    <row r="18">
      <c r="A18" t="inlineStr">
        <is>
          <t>uni/tn-TELCEL_TELCO_NETWORK/ap-AP_telcel_ipcorp/epg-EPG_VLAN_102/rspathAtt-[topology/</t>
        </is>
      </c>
      <c r="B18">
        <f>_xlfn.TEXTBEFORE(_xlfn.TEXTAFTER(A18, "ap-"), "/")</f>
        <v/>
      </c>
      <c r="C18">
        <f>_xlfn.TEXTBEFORE(_xlfn.TEXTAFTER(A18, "epg-"), "/")</f>
        <v/>
      </c>
      <c r="D18">
        <f>_xlfn.TEXTBEFORE(_xlfn.TEXTAFTER(A18, "rspathAtt-"), "]") &amp; "]]"</f>
        <v/>
      </c>
      <c r="E18">
        <f>_xlfn.TEXTBEFORE(_xlfn.TEXTAFTER(D18, "pod-"), "/")</f>
        <v/>
      </c>
      <c r="F18">
        <f>_xlfn.TEXTBEFORE(_xlfn.TEXTAFTER(D18, "paths-"), "/")</f>
        <v/>
      </c>
      <c r="G18">
        <f>_xlfn.TEXTBEFORE(_xlfn.TEXTAFTER(D18, "pathep-["), "]")</f>
        <v/>
      </c>
      <c r="H18">
        <f>_xlfn.CONCAT(F18,G18)</f>
        <v/>
      </c>
      <c r="I18" t="inlineStr">
        <is>
          <t>vlan-102</t>
        </is>
      </c>
      <c r="J18" t="inlineStr">
        <is>
          <t>untagged</t>
        </is>
      </c>
    </row>
    <row r="19">
      <c r="A19" t="inlineStr">
        <is>
          <t>uni/tn-TELCEL_TELCO_NETWORK/ap-AP_telcel_ipcorp/epg-EPG_VLAN_102/rspathAtt-[topology/</t>
        </is>
      </c>
      <c r="B19">
        <f>_xlfn.TEXTBEFORE(_xlfn.TEXTAFTER(A19, "ap-"), "/")</f>
        <v/>
      </c>
      <c r="C19">
        <f>_xlfn.TEXTBEFORE(_xlfn.TEXTAFTER(A19, "epg-"), "/")</f>
        <v/>
      </c>
      <c r="D19">
        <f>_xlfn.TEXTBEFORE(_xlfn.TEXTAFTER(A19, "rspathAtt-"), "]") &amp; "]]"</f>
        <v/>
      </c>
      <c r="E19">
        <f>_xlfn.TEXTBEFORE(_xlfn.TEXTAFTER(D19, "pod-"), "/")</f>
        <v/>
      </c>
      <c r="F19">
        <f>_xlfn.TEXTBEFORE(_xlfn.TEXTAFTER(D19, "paths-"), "/")</f>
        <v/>
      </c>
      <c r="G19">
        <f>_xlfn.TEXTBEFORE(_xlfn.TEXTAFTER(D19, "pathep-["), "]")</f>
        <v/>
      </c>
      <c r="H19">
        <f>_xlfn.CONCAT(F19,G19)</f>
        <v/>
      </c>
      <c r="I19" t="inlineStr">
        <is>
          <t>vlan-102</t>
        </is>
      </c>
      <c r="J19" t="inlineStr">
        <is>
          <t>untagged</t>
        </is>
      </c>
    </row>
    <row r="20">
      <c r="A20" t="inlineStr">
        <is>
          <t>uni/tn-TELCEL_TELCO_NETWORK/ap-AP_telcel_ipcorp/epg-EPG_VLAN_102/rspathAtt-[topology/</t>
        </is>
      </c>
      <c r="B20">
        <f>_xlfn.TEXTBEFORE(_xlfn.TEXTAFTER(A20, "ap-"), "/")</f>
        <v/>
      </c>
      <c r="C20">
        <f>_xlfn.TEXTBEFORE(_xlfn.TEXTAFTER(A20, "epg-"), "/")</f>
        <v/>
      </c>
      <c r="D20">
        <f>_xlfn.TEXTBEFORE(_xlfn.TEXTAFTER(A20, "rspathAtt-"), "]") &amp; "]]"</f>
        <v/>
      </c>
      <c r="E20">
        <f>_xlfn.TEXTBEFORE(_xlfn.TEXTAFTER(D20, "pod-"), "/")</f>
        <v/>
      </c>
      <c r="F20">
        <f>_xlfn.TEXTBEFORE(_xlfn.TEXTAFTER(D20, "paths-"), "/")</f>
        <v/>
      </c>
      <c r="G20">
        <f>_xlfn.TEXTBEFORE(_xlfn.TEXTAFTER(D20, "pathep-["), "]")</f>
        <v/>
      </c>
      <c r="H20">
        <f>_xlfn.CONCAT(F20,G20)</f>
        <v/>
      </c>
      <c r="I20" t="inlineStr">
        <is>
          <t>vlan-102</t>
        </is>
      </c>
      <c r="J20" t="inlineStr">
        <is>
          <t>untagged</t>
        </is>
      </c>
    </row>
    <row r="21">
      <c r="A21" t="inlineStr">
        <is>
          <t>uni/tn-TELCEL_TELCO_NETWORK/ap-AP_telcel_ipcorp/epg-EPG_VLAN_102/rspathAtt-[topology/</t>
        </is>
      </c>
      <c r="B21">
        <f>_xlfn.TEXTBEFORE(_xlfn.TEXTAFTER(A21, "ap-"), "/")</f>
        <v/>
      </c>
      <c r="C21">
        <f>_xlfn.TEXTBEFORE(_xlfn.TEXTAFTER(A21, "epg-"), "/")</f>
        <v/>
      </c>
      <c r="D21">
        <f>_xlfn.TEXTBEFORE(_xlfn.TEXTAFTER(A21, "rspathAtt-"), "]") &amp; "]]"</f>
        <v/>
      </c>
      <c r="E21">
        <f>_xlfn.TEXTBEFORE(_xlfn.TEXTAFTER(D21, "pod-"), "/")</f>
        <v/>
      </c>
      <c r="F21">
        <f>_xlfn.TEXTBEFORE(_xlfn.TEXTAFTER(D21, "paths-"), "/")</f>
        <v/>
      </c>
      <c r="G21">
        <f>_xlfn.TEXTBEFORE(_xlfn.TEXTAFTER(D21, "pathep-["), "]")</f>
        <v/>
      </c>
      <c r="H21">
        <f>_xlfn.CONCAT(F21,G21)</f>
        <v/>
      </c>
      <c r="I21" t="inlineStr">
        <is>
          <t>vlan-102</t>
        </is>
      </c>
      <c r="J21" t="inlineStr">
        <is>
          <t>untagged</t>
        </is>
      </c>
    </row>
    <row r="22">
      <c r="A22" t="inlineStr">
        <is>
          <t>uni/tn-TELCEL_TELCO_NETWORK/ap-AP_telcel_ipcorp/epg-EPG_VLAN_102/rspathAtt-[topology/</t>
        </is>
      </c>
      <c r="B22">
        <f>_xlfn.TEXTBEFORE(_xlfn.TEXTAFTER(A22, "ap-"), "/")</f>
        <v/>
      </c>
      <c r="C22">
        <f>_xlfn.TEXTBEFORE(_xlfn.TEXTAFTER(A22, "epg-"), "/")</f>
        <v/>
      </c>
      <c r="D22">
        <f>_xlfn.TEXTBEFORE(_xlfn.TEXTAFTER(A22, "rspathAtt-"), "]") &amp; "]]"</f>
        <v/>
      </c>
      <c r="E22">
        <f>_xlfn.TEXTBEFORE(_xlfn.TEXTAFTER(D22, "pod-"), "/")</f>
        <v/>
      </c>
      <c r="F22">
        <f>_xlfn.TEXTBEFORE(_xlfn.TEXTAFTER(D22, "paths-"), "/")</f>
        <v/>
      </c>
      <c r="G22">
        <f>_xlfn.TEXTBEFORE(_xlfn.TEXTAFTER(D22, "pathep-["), "]")</f>
        <v/>
      </c>
      <c r="H22">
        <f>_xlfn.CONCAT(F22,G22)</f>
        <v/>
      </c>
      <c r="I22" t="inlineStr">
        <is>
          <t>vlan-102</t>
        </is>
      </c>
      <c r="J22" t="inlineStr">
        <is>
          <t>untagged</t>
        </is>
      </c>
    </row>
    <row r="23">
      <c r="A23" t="inlineStr">
        <is>
          <t>uni/tn-TELCEL_TELCO_NETWORK/ap-AP_telcel_ipcorp/epg-EPG_VLAN_102/rspathAtt-[topology/</t>
        </is>
      </c>
      <c r="B23">
        <f>_xlfn.TEXTBEFORE(_xlfn.TEXTAFTER(A23, "ap-"), "/")</f>
        <v/>
      </c>
      <c r="C23">
        <f>_xlfn.TEXTBEFORE(_xlfn.TEXTAFTER(A23, "epg-"), "/")</f>
        <v/>
      </c>
      <c r="D23">
        <f>_xlfn.TEXTBEFORE(_xlfn.TEXTAFTER(A23, "rspathAtt-"), "]") &amp; "]]"</f>
        <v/>
      </c>
      <c r="E23">
        <f>_xlfn.TEXTBEFORE(_xlfn.TEXTAFTER(D23, "pod-"), "/")</f>
        <v/>
      </c>
      <c r="F23">
        <f>_xlfn.TEXTBEFORE(_xlfn.TEXTAFTER(D23, "paths-"), "/")</f>
        <v/>
      </c>
      <c r="G23">
        <f>_xlfn.TEXTBEFORE(_xlfn.TEXTAFTER(D23, "pathep-["), "]")</f>
        <v/>
      </c>
      <c r="H23">
        <f>_xlfn.CONCAT(F23,G23)</f>
        <v/>
      </c>
      <c r="I23" t="inlineStr">
        <is>
          <t>vlan-102</t>
        </is>
      </c>
      <c r="J23" t="inlineStr">
        <is>
          <t>untagged</t>
        </is>
      </c>
    </row>
    <row r="24">
      <c r="A24" t="inlineStr">
        <is>
          <t>uni/tn-TELCEL_TELCO_NETWORK/ap-AP_telcel_ipcorp/epg-EPG_VLAN_102/rspathAtt-[topology/</t>
        </is>
      </c>
      <c r="B24">
        <f>_xlfn.TEXTBEFORE(_xlfn.TEXTAFTER(A24, "ap-"), "/")</f>
        <v/>
      </c>
      <c r="C24">
        <f>_xlfn.TEXTBEFORE(_xlfn.TEXTAFTER(A24, "epg-"), "/")</f>
        <v/>
      </c>
      <c r="D24">
        <f>_xlfn.TEXTBEFORE(_xlfn.TEXTAFTER(A24, "rspathAtt-"), "]") &amp; "]]"</f>
        <v/>
      </c>
      <c r="E24">
        <f>_xlfn.TEXTBEFORE(_xlfn.TEXTAFTER(D24, "pod-"), "/")</f>
        <v/>
      </c>
      <c r="F24">
        <f>_xlfn.TEXTBEFORE(_xlfn.TEXTAFTER(D24, "paths-"), "/")</f>
        <v/>
      </c>
      <c r="G24">
        <f>_xlfn.TEXTBEFORE(_xlfn.TEXTAFTER(D24, "pathep-["), "]")</f>
        <v/>
      </c>
      <c r="H24">
        <f>_xlfn.CONCAT(F24,G24)</f>
        <v/>
      </c>
      <c r="I24" t="inlineStr">
        <is>
          <t>vlan-102</t>
        </is>
      </c>
      <c r="J24" t="inlineStr">
        <is>
          <t>untagged</t>
        </is>
      </c>
    </row>
    <row r="25">
      <c r="A25" t="inlineStr">
        <is>
          <t>uni/tn-TELCEL_TELCO_NETWORK/ap-AP_telcel_ipcorp/epg-EPG_VLAN_102/rspathAtt-[topology/</t>
        </is>
      </c>
      <c r="B25">
        <f>_xlfn.TEXTBEFORE(_xlfn.TEXTAFTER(A25, "ap-"), "/")</f>
        <v/>
      </c>
      <c r="C25">
        <f>_xlfn.TEXTBEFORE(_xlfn.TEXTAFTER(A25, "epg-"), "/")</f>
        <v/>
      </c>
      <c r="D25">
        <f>_xlfn.TEXTBEFORE(_xlfn.TEXTAFTER(A25, "rspathAtt-"), "]") &amp; "]]"</f>
        <v/>
      </c>
      <c r="E25">
        <f>_xlfn.TEXTBEFORE(_xlfn.TEXTAFTER(D25, "pod-"), "/")</f>
        <v/>
      </c>
      <c r="F25">
        <f>_xlfn.TEXTBEFORE(_xlfn.TEXTAFTER(D25, "paths-"), "/")</f>
        <v/>
      </c>
      <c r="G25">
        <f>_xlfn.TEXTBEFORE(_xlfn.TEXTAFTER(D25, "pathep-["), "]")</f>
        <v/>
      </c>
      <c r="H25">
        <f>_xlfn.CONCAT(F25,G25)</f>
        <v/>
      </c>
      <c r="I25" t="inlineStr">
        <is>
          <t>vlan-102</t>
        </is>
      </c>
      <c r="J25" t="inlineStr">
        <is>
          <t>untagged</t>
        </is>
      </c>
    </row>
    <row r="26">
      <c r="A26" t="inlineStr">
        <is>
          <t>uni/tn-TELCEL_TELCO_NETWORK/ap-AP_telcel_ipcorp/epg-EPG_VLAN_102/rspathAtt-[topology/</t>
        </is>
      </c>
      <c r="B26">
        <f>_xlfn.TEXTBEFORE(_xlfn.TEXTAFTER(A26, "ap-"), "/")</f>
        <v/>
      </c>
      <c r="C26">
        <f>_xlfn.TEXTBEFORE(_xlfn.TEXTAFTER(A26, "epg-"), "/")</f>
        <v/>
      </c>
      <c r="D26">
        <f>_xlfn.TEXTBEFORE(_xlfn.TEXTAFTER(A26, "rspathAtt-"), "]") &amp; "]]"</f>
        <v/>
      </c>
      <c r="E26">
        <f>_xlfn.TEXTBEFORE(_xlfn.TEXTAFTER(D26, "pod-"), "/")</f>
        <v/>
      </c>
      <c r="F26">
        <f>_xlfn.TEXTBEFORE(_xlfn.TEXTAFTER(D26, "paths-"), "/")</f>
        <v/>
      </c>
      <c r="G26">
        <f>_xlfn.TEXTBEFORE(_xlfn.TEXTAFTER(D26, "pathep-["), "]")</f>
        <v/>
      </c>
      <c r="H26">
        <f>_xlfn.CONCAT(F26,G26)</f>
        <v/>
      </c>
      <c r="I26" t="inlineStr">
        <is>
          <t>vlan-102</t>
        </is>
      </c>
      <c r="J26" t="inlineStr">
        <is>
          <t>untagged</t>
        </is>
      </c>
    </row>
    <row r="27">
      <c r="A27" t="inlineStr">
        <is>
          <t>uni/tn-TELCEL_TELCO_NETWORK/ap-AP_telcel_ipcorp/epg-EPG_VLAN_304/rspathAtt-[topology/</t>
        </is>
      </c>
      <c r="B27">
        <f>_xlfn.TEXTBEFORE(_xlfn.TEXTAFTER(A27, "ap-"), "/")</f>
        <v/>
      </c>
      <c r="C27">
        <f>_xlfn.TEXTBEFORE(_xlfn.TEXTAFTER(A27, "epg-"), "/")</f>
        <v/>
      </c>
      <c r="D27">
        <f>_xlfn.TEXTBEFORE(_xlfn.TEXTAFTER(A27, "rspathAtt-"), "]") &amp; "]]"</f>
        <v/>
      </c>
      <c r="E27">
        <f>_xlfn.TEXTBEFORE(_xlfn.TEXTAFTER(D27, "pod-"), "/")</f>
        <v/>
      </c>
      <c r="F27">
        <f>_xlfn.TEXTBEFORE(_xlfn.TEXTAFTER(D27, "paths-"), "/")</f>
        <v/>
      </c>
      <c r="G27">
        <f>_xlfn.TEXTBEFORE(_xlfn.TEXTAFTER(D27, "pathep-["), "]")</f>
        <v/>
      </c>
      <c r="H27">
        <f>_xlfn.CONCAT(F27,G27)</f>
        <v/>
      </c>
      <c r="I27" t="inlineStr">
        <is>
          <t>vlan-304</t>
        </is>
      </c>
      <c r="J27" t="inlineStr">
        <is>
          <t>regular</t>
        </is>
      </c>
    </row>
    <row r="28">
      <c r="A28" t="inlineStr">
        <is>
          <t>uni/tn-TELCEL_TELCO_NETWORK/ap-AP_telcel_ipcorp/epg-EPG_VLAN_111_NR-INGENIEROS_OAM/rs</t>
        </is>
      </c>
      <c r="B28">
        <f>_xlfn.TEXTBEFORE(_xlfn.TEXTAFTER(A28, "ap-"), "/")</f>
        <v/>
      </c>
      <c r="C28">
        <f>_xlfn.TEXTBEFORE(_xlfn.TEXTAFTER(A28, "epg-"), "/")</f>
        <v/>
      </c>
      <c r="D28">
        <f>_xlfn.TEXTBEFORE(_xlfn.TEXTAFTER(A28, "rspathAtt-"), "]") &amp; "]]"</f>
        <v/>
      </c>
      <c r="E28">
        <f>_xlfn.TEXTBEFORE(_xlfn.TEXTAFTER(D28, "pod-"), "/")</f>
        <v/>
      </c>
      <c r="F28">
        <f>_xlfn.TEXTBEFORE(_xlfn.TEXTAFTER(D28, "paths-"), "/")</f>
        <v/>
      </c>
      <c r="G28">
        <f>_xlfn.TEXTBEFORE(_xlfn.TEXTAFTER(D28, "pathep-["), "]")</f>
        <v/>
      </c>
      <c r="H28">
        <f>_xlfn.CONCAT(F28,G28)</f>
        <v/>
      </c>
      <c r="I28" t="inlineStr">
        <is>
          <t>vlan-111</t>
        </is>
      </c>
      <c r="J28" t="inlineStr">
        <is>
          <t>regular</t>
        </is>
      </c>
    </row>
    <row r="29">
      <c r="A29" t="inlineStr">
        <is>
          <t>uni/tn-TELCEL_TELCO_NETWORK/ap-AP_telcel_ipcorp/epg-EPG_VLAN_106/rspathAtt-[topology/</t>
        </is>
      </c>
      <c r="B29">
        <f>_xlfn.TEXTBEFORE(_xlfn.TEXTAFTER(A29, "ap-"), "/")</f>
        <v/>
      </c>
      <c r="C29">
        <f>_xlfn.TEXTBEFORE(_xlfn.TEXTAFTER(A29, "epg-"), "/")</f>
        <v/>
      </c>
      <c r="D29">
        <f>_xlfn.TEXTBEFORE(_xlfn.TEXTAFTER(A29, "rspathAtt-"), "]") &amp; "]]"</f>
        <v/>
      </c>
      <c r="E29">
        <f>_xlfn.TEXTBEFORE(_xlfn.TEXTAFTER(D29, "pod-"), "/")</f>
        <v/>
      </c>
      <c r="F29">
        <f>_xlfn.TEXTBEFORE(_xlfn.TEXTAFTER(D29, "paths-"), "/")</f>
        <v/>
      </c>
      <c r="G29">
        <f>_xlfn.TEXTBEFORE(_xlfn.TEXTAFTER(D29, "pathep-["), "]")</f>
        <v/>
      </c>
      <c r="H29">
        <f>_xlfn.CONCAT(F29,G29)</f>
        <v/>
      </c>
      <c r="I29" t="inlineStr">
        <is>
          <t>vlan-106</t>
        </is>
      </c>
      <c r="J29" t="inlineStr">
        <is>
          <t>regular</t>
        </is>
      </c>
    </row>
    <row r="30">
      <c r="A30" t="inlineStr">
        <is>
          <t>uni/tn-TELCEL_TELCO_NETWORK/ap-AP_telcel_ipcorp/epg-EPG_VLAN_106/rspathAtt-[topology/</t>
        </is>
      </c>
      <c r="B30">
        <f>_xlfn.TEXTBEFORE(_xlfn.TEXTAFTER(A30, "ap-"), "/")</f>
        <v/>
      </c>
      <c r="C30">
        <f>_xlfn.TEXTBEFORE(_xlfn.TEXTAFTER(A30, "epg-"), "/")</f>
        <v/>
      </c>
      <c r="D30">
        <f>_xlfn.TEXTBEFORE(_xlfn.TEXTAFTER(A30, "rspathAtt-"), "]") &amp; "]]"</f>
        <v/>
      </c>
      <c r="E30">
        <f>_xlfn.TEXTBEFORE(_xlfn.TEXTAFTER(D30, "pod-"), "/")</f>
        <v/>
      </c>
      <c r="F30">
        <f>_xlfn.TEXTBEFORE(_xlfn.TEXTAFTER(D30, "paths-"), "/")</f>
        <v/>
      </c>
      <c r="G30">
        <f>_xlfn.TEXTBEFORE(_xlfn.TEXTAFTER(D30, "pathep-["), "]")</f>
        <v/>
      </c>
      <c r="H30">
        <f>_xlfn.CONCAT(F30,G30)</f>
        <v/>
      </c>
      <c r="I30" t="inlineStr">
        <is>
          <t>vlan-106</t>
        </is>
      </c>
      <c r="J30" t="inlineStr">
        <is>
          <t>untagged</t>
        </is>
      </c>
    </row>
    <row r="31">
      <c r="A31" t="inlineStr">
        <is>
          <t>uni/tn-TELCEL_TELCO_NETWORK/ap-AP_telcel_ipcorp/epg-EPG_VLAN_106/rspathAtt-[topology/</t>
        </is>
      </c>
      <c r="B31">
        <f>_xlfn.TEXTBEFORE(_xlfn.TEXTAFTER(A31, "ap-"), "/")</f>
        <v/>
      </c>
      <c r="C31">
        <f>_xlfn.TEXTBEFORE(_xlfn.TEXTAFTER(A31, "epg-"), "/")</f>
        <v/>
      </c>
      <c r="D31">
        <f>_xlfn.TEXTBEFORE(_xlfn.TEXTAFTER(A31, "rspathAtt-"), "]") &amp; "]]"</f>
        <v/>
      </c>
      <c r="E31">
        <f>_xlfn.TEXTBEFORE(_xlfn.TEXTAFTER(D31, "pod-"), "/")</f>
        <v/>
      </c>
      <c r="F31">
        <f>_xlfn.TEXTBEFORE(_xlfn.TEXTAFTER(D31, "paths-"), "/")</f>
        <v/>
      </c>
      <c r="G31">
        <f>_xlfn.TEXTBEFORE(_xlfn.TEXTAFTER(D31, "pathep-["), "]")</f>
        <v/>
      </c>
      <c r="H31">
        <f>_xlfn.CONCAT(F31,G31)</f>
        <v/>
      </c>
      <c r="I31" t="inlineStr">
        <is>
          <t>vlan-106</t>
        </is>
      </c>
      <c r="J31" t="inlineStr">
        <is>
          <t>untagged</t>
        </is>
      </c>
    </row>
    <row r="32">
      <c r="A32" t="inlineStr">
        <is>
          <t>uni/tn-TELCEL_TELCO_NETWORK/ap-AP_telcel_ipcorp/epg-EPG_VLAN_106/rspathAtt-[topology/</t>
        </is>
      </c>
      <c r="B32">
        <f>_xlfn.TEXTBEFORE(_xlfn.TEXTAFTER(A32, "ap-"), "/")</f>
        <v/>
      </c>
      <c r="C32">
        <f>_xlfn.TEXTBEFORE(_xlfn.TEXTAFTER(A32, "epg-"), "/")</f>
        <v/>
      </c>
      <c r="D32">
        <f>_xlfn.TEXTBEFORE(_xlfn.TEXTAFTER(A32, "rspathAtt-"), "]") &amp; "]]"</f>
        <v/>
      </c>
      <c r="E32">
        <f>_xlfn.TEXTBEFORE(_xlfn.TEXTAFTER(D32, "pod-"), "/")</f>
        <v/>
      </c>
      <c r="F32">
        <f>_xlfn.TEXTBEFORE(_xlfn.TEXTAFTER(D32, "paths-"), "/")</f>
        <v/>
      </c>
      <c r="G32">
        <f>_xlfn.TEXTBEFORE(_xlfn.TEXTAFTER(D32, "pathep-["), "]")</f>
        <v/>
      </c>
      <c r="H32">
        <f>_xlfn.CONCAT(F32,G32)</f>
        <v/>
      </c>
      <c r="I32" t="inlineStr">
        <is>
          <t>vlan-106</t>
        </is>
      </c>
      <c r="J32" t="inlineStr">
        <is>
          <t>regular</t>
        </is>
      </c>
    </row>
    <row r="33">
      <c r="A33" t="inlineStr">
        <is>
          <t>uni/tn-TELCEL_TELCO_NETWORK/ap-AP_telcel_ipcorp/epg-EPG_VLAN_901/rspathAtt-[topology/</t>
        </is>
      </c>
      <c r="B33">
        <f>_xlfn.TEXTBEFORE(_xlfn.TEXTAFTER(A33, "ap-"), "/")</f>
        <v/>
      </c>
      <c r="C33">
        <f>_xlfn.TEXTBEFORE(_xlfn.TEXTAFTER(A33, "epg-"), "/")</f>
        <v/>
      </c>
      <c r="D33">
        <f>_xlfn.TEXTBEFORE(_xlfn.TEXTAFTER(A33, "rspathAtt-"), "]") &amp; "]]"</f>
        <v/>
      </c>
      <c r="E33">
        <f>_xlfn.TEXTBEFORE(_xlfn.TEXTAFTER(D33, "pod-"), "/")</f>
        <v/>
      </c>
      <c r="F33">
        <f>_xlfn.TEXTBEFORE(_xlfn.TEXTAFTER(D33, "paths-"), "/")</f>
        <v/>
      </c>
      <c r="G33">
        <f>_xlfn.TEXTBEFORE(_xlfn.TEXTAFTER(D33, "pathep-["), "]")</f>
        <v/>
      </c>
      <c r="H33">
        <f>_xlfn.CONCAT(F33,G33)</f>
        <v/>
      </c>
      <c r="I33" t="inlineStr">
        <is>
          <t>vlan-901</t>
        </is>
      </c>
      <c r="J33" t="inlineStr">
        <is>
          <t>regular</t>
        </is>
      </c>
    </row>
    <row r="34">
      <c r="A34" t="inlineStr">
        <is>
          <t>uni/tn-TELCEL_TELCO_NETWORK/ap-AP_telcel_ipcorp/epg-EPG_VLAN_901/rspathAtt-[topology/</t>
        </is>
      </c>
      <c r="B34">
        <f>_xlfn.TEXTBEFORE(_xlfn.TEXTAFTER(A34, "ap-"), "/")</f>
        <v/>
      </c>
      <c r="C34">
        <f>_xlfn.TEXTBEFORE(_xlfn.TEXTAFTER(A34, "epg-"), "/")</f>
        <v/>
      </c>
      <c r="D34">
        <f>_xlfn.TEXTBEFORE(_xlfn.TEXTAFTER(A34, "rspathAtt-"), "]") &amp; "]]"</f>
        <v/>
      </c>
      <c r="E34">
        <f>_xlfn.TEXTBEFORE(_xlfn.TEXTAFTER(D34, "pod-"), "/")</f>
        <v/>
      </c>
      <c r="F34">
        <f>_xlfn.TEXTBEFORE(_xlfn.TEXTAFTER(D34, "paths-"), "/")</f>
        <v/>
      </c>
      <c r="G34">
        <f>_xlfn.TEXTBEFORE(_xlfn.TEXTAFTER(D34, "pathep-["), "]")</f>
        <v/>
      </c>
      <c r="H34">
        <f>_xlfn.CONCAT(F34,G34)</f>
        <v/>
      </c>
      <c r="I34" t="inlineStr">
        <is>
          <t>vlan-901</t>
        </is>
      </c>
      <c r="J34" t="inlineStr">
        <is>
          <t>regular</t>
        </is>
      </c>
    </row>
    <row r="35">
      <c r="A35" t="inlineStr">
        <is>
          <t>uni/tn-TELCEL_TELCO_NETWORK/ap-AP_telcel_ipcorp/epg-EPG_VLAN_105/rspathAtt-[topology/</t>
        </is>
      </c>
      <c r="B35">
        <f>_xlfn.TEXTBEFORE(_xlfn.TEXTAFTER(A35, "ap-"), "/")</f>
        <v/>
      </c>
      <c r="C35">
        <f>_xlfn.TEXTBEFORE(_xlfn.TEXTAFTER(A35, "epg-"), "/")</f>
        <v/>
      </c>
      <c r="D35">
        <f>_xlfn.TEXTBEFORE(_xlfn.TEXTAFTER(A35, "rspathAtt-"), "]") &amp; "]]"</f>
        <v/>
      </c>
      <c r="E35">
        <f>_xlfn.TEXTBEFORE(_xlfn.TEXTAFTER(D35, "pod-"), "/")</f>
        <v/>
      </c>
      <c r="F35">
        <f>_xlfn.TEXTBEFORE(_xlfn.TEXTAFTER(D35, "paths-"), "/")</f>
        <v/>
      </c>
      <c r="G35">
        <f>_xlfn.TEXTBEFORE(_xlfn.TEXTAFTER(D35, "pathep-["), "]")</f>
        <v/>
      </c>
      <c r="H35">
        <f>_xlfn.CONCAT(F35,G35)</f>
        <v/>
      </c>
      <c r="I35" t="inlineStr">
        <is>
          <t>vlan-105</t>
        </is>
      </c>
      <c r="J35" t="inlineStr">
        <is>
          <t>regular</t>
        </is>
      </c>
    </row>
    <row r="36">
      <c r="A36" t="inlineStr">
        <is>
          <t>uni/tn-TELCEL_TELCO_NETWORK/ap-AP_telcel_ipcorp/epg-EPG_VLAN_105/rspathAtt-[topology/</t>
        </is>
      </c>
      <c r="B36">
        <f>_xlfn.TEXTBEFORE(_xlfn.TEXTAFTER(A36, "ap-"), "/")</f>
        <v/>
      </c>
      <c r="C36">
        <f>_xlfn.TEXTBEFORE(_xlfn.TEXTAFTER(A36, "epg-"), "/")</f>
        <v/>
      </c>
      <c r="D36">
        <f>_xlfn.TEXTBEFORE(_xlfn.TEXTAFTER(A36, "rspathAtt-"), "]") &amp; "]]"</f>
        <v/>
      </c>
      <c r="E36">
        <f>_xlfn.TEXTBEFORE(_xlfn.TEXTAFTER(D36, "pod-"), "/")</f>
        <v/>
      </c>
      <c r="F36">
        <f>_xlfn.TEXTBEFORE(_xlfn.TEXTAFTER(D36, "paths-"), "/")</f>
        <v/>
      </c>
      <c r="G36">
        <f>_xlfn.TEXTBEFORE(_xlfn.TEXTAFTER(D36, "pathep-["), "]")</f>
        <v/>
      </c>
      <c r="H36">
        <f>_xlfn.CONCAT(F36,G36)</f>
        <v/>
      </c>
      <c r="I36" t="inlineStr">
        <is>
          <t>vlan-105</t>
        </is>
      </c>
      <c r="J36" t="inlineStr">
        <is>
          <t>untagged</t>
        </is>
      </c>
    </row>
    <row r="37">
      <c r="A37" t="inlineStr">
        <is>
          <t>uni/tn-TELCEL_TELCO_NETWORK/ap-AP_telcel_ipcorp/epg-EPG_VLAN_105/rspathAtt-[topology/</t>
        </is>
      </c>
      <c r="B37">
        <f>_xlfn.TEXTBEFORE(_xlfn.TEXTAFTER(A37, "ap-"), "/")</f>
        <v/>
      </c>
      <c r="C37">
        <f>_xlfn.TEXTBEFORE(_xlfn.TEXTAFTER(A37, "epg-"), "/")</f>
        <v/>
      </c>
      <c r="D37">
        <f>_xlfn.TEXTBEFORE(_xlfn.TEXTAFTER(A37, "rspathAtt-"), "]") &amp; "]]"</f>
        <v/>
      </c>
      <c r="E37">
        <f>_xlfn.TEXTBEFORE(_xlfn.TEXTAFTER(D37, "pod-"), "/")</f>
        <v/>
      </c>
      <c r="F37">
        <f>_xlfn.TEXTBEFORE(_xlfn.TEXTAFTER(D37, "paths-"), "/")</f>
        <v/>
      </c>
      <c r="G37">
        <f>_xlfn.TEXTBEFORE(_xlfn.TEXTAFTER(D37, "pathep-["), "]")</f>
        <v/>
      </c>
      <c r="H37">
        <f>_xlfn.CONCAT(F37,G37)</f>
        <v/>
      </c>
      <c r="I37" t="inlineStr">
        <is>
          <t>vlan-105</t>
        </is>
      </c>
      <c r="J37" t="inlineStr">
        <is>
          <t>regular</t>
        </is>
      </c>
    </row>
    <row r="38">
      <c r="A38" t="inlineStr">
        <is>
          <t>uni/tn-TELCEL_TELCO_NETWORK/ap-AP_telcel_ipcorp/epg-EPG_VLAN_105/rspathAtt-[topology/</t>
        </is>
      </c>
      <c r="B38">
        <f>_xlfn.TEXTBEFORE(_xlfn.TEXTAFTER(A38, "ap-"), "/")</f>
        <v/>
      </c>
      <c r="C38">
        <f>_xlfn.TEXTBEFORE(_xlfn.TEXTAFTER(A38, "epg-"), "/")</f>
        <v/>
      </c>
      <c r="D38">
        <f>_xlfn.TEXTBEFORE(_xlfn.TEXTAFTER(A38, "rspathAtt-"), "]") &amp; "]]"</f>
        <v/>
      </c>
      <c r="E38">
        <f>_xlfn.TEXTBEFORE(_xlfn.TEXTAFTER(D38, "pod-"), "/")</f>
        <v/>
      </c>
      <c r="F38">
        <f>_xlfn.TEXTBEFORE(_xlfn.TEXTAFTER(D38, "paths-"), "/")</f>
        <v/>
      </c>
      <c r="G38">
        <f>_xlfn.TEXTBEFORE(_xlfn.TEXTAFTER(D38, "pathep-["), "]")</f>
        <v/>
      </c>
      <c r="H38">
        <f>_xlfn.CONCAT(F38,G38)</f>
        <v/>
      </c>
      <c r="I38" t="inlineStr">
        <is>
          <t>vlan-105</t>
        </is>
      </c>
      <c r="J38" t="inlineStr">
        <is>
          <t>regular</t>
        </is>
      </c>
    </row>
    <row r="39">
      <c r="A39" t="inlineStr">
        <is>
          <t>uni/tn-TELCEL_TELCO_NETWORK/ap-AP_telcel_ipcorp/epg-EPG_VLAN_107/rspathAtt-[topology/</t>
        </is>
      </c>
      <c r="B39">
        <f>_xlfn.TEXTBEFORE(_xlfn.TEXTAFTER(A39, "ap-"), "/")</f>
        <v/>
      </c>
      <c r="C39">
        <f>_xlfn.TEXTBEFORE(_xlfn.TEXTAFTER(A39, "epg-"), "/")</f>
        <v/>
      </c>
      <c r="D39">
        <f>_xlfn.TEXTBEFORE(_xlfn.TEXTAFTER(A39, "rspathAtt-"), "]") &amp; "]]"</f>
        <v/>
      </c>
      <c r="E39">
        <f>_xlfn.TEXTBEFORE(_xlfn.TEXTAFTER(D39, "pod-"), "/")</f>
        <v/>
      </c>
      <c r="F39">
        <f>_xlfn.TEXTBEFORE(_xlfn.TEXTAFTER(D39, "paths-"), "/")</f>
        <v/>
      </c>
      <c r="G39">
        <f>_xlfn.TEXTBEFORE(_xlfn.TEXTAFTER(D39, "pathep-["), "]")</f>
        <v/>
      </c>
      <c r="H39">
        <f>_xlfn.CONCAT(F39,G39)</f>
        <v/>
      </c>
      <c r="I39" t="inlineStr">
        <is>
          <t>vlan-107</t>
        </is>
      </c>
      <c r="J39" t="inlineStr">
        <is>
          <t>untagged</t>
        </is>
      </c>
    </row>
    <row r="40">
      <c r="A40" t="inlineStr">
        <is>
          <t>uni/tn-TELCEL_TELCO_NETWORK/ap-AP_telcel_ipcorp/epg-EPG_VLAN_64/rspathAtt-[topology/p</t>
        </is>
      </c>
      <c r="B40">
        <f>_xlfn.TEXTBEFORE(_xlfn.TEXTAFTER(A40, "ap-"), "/")</f>
        <v/>
      </c>
      <c r="C40">
        <f>_xlfn.TEXTBEFORE(_xlfn.TEXTAFTER(A40, "epg-"), "/")</f>
        <v/>
      </c>
      <c r="D40">
        <f>_xlfn.TEXTBEFORE(_xlfn.TEXTAFTER(A40, "rspathAtt-"), "]") &amp; "]]"</f>
        <v/>
      </c>
      <c r="E40">
        <f>_xlfn.TEXTBEFORE(_xlfn.TEXTAFTER(D40, "pod-"), "/")</f>
        <v/>
      </c>
      <c r="F40">
        <f>_xlfn.TEXTBEFORE(_xlfn.TEXTAFTER(D40, "paths-"), "/")</f>
        <v/>
      </c>
      <c r="G40">
        <f>_xlfn.TEXTBEFORE(_xlfn.TEXTAFTER(D40, "pathep-["), "]")</f>
        <v/>
      </c>
      <c r="H40">
        <f>_xlfn.CONCAT(F40,G40)</f>
        <v/>
      </c>
      <c r="I40" t="inlineStr">
        <is>
          <t>vlan-64</t>
        </is>
      </c>
      <c r="J40" t="inlineStr">
        <is>
          <t>regular</t>
        </is>
      </c>
    </row>
    <row r="41">
      <c r="A41" t="inlineStr">
        <is>
          <t>uni/tn-TELCEL_TELCO_NETWORK/ap-AP_telcel_ipcorp/epg-EPG_VLAN_64/rspathAtt-[topology/p</t>
        </is>
      </c>
      <c r="B41">
        <f>_xlfn.TEXTBEFORE(_xlfn.TEXTAFTER(A41, "ap-"), "/")</f>
        <v/>
      </c>
      <c r="C41">
        <f>_xlfn.TEXTBEFORE(_xlfn.TEXTAFTER(A41, "epg-"), "/")</f>
        <v/>
      </c>
      <c r="D41">
        <f>_xlfn.TEXTBEFORE(_xlfn.TEXTAFTER(A41, "rspathAtt-"), "]") &amp; "]]"</f>
        <v/>
      </c>
      <c r="E41">
        <f>_xlfn.TEXTBEFORE(_xlfn.TEXTAFTER(D41, "pod-"), "/")</f>
        <v/>
      </c>
      <c r="F41">
        <f>_xlfn.TEXTBEFORE(_xlfn.TEXTAFTER(D41, "paths-"), "/")</f>
        <v/>
      </c>
      <c r="G41">
        <f>_xlfn.TEXTBEFORE(_xlfn.TEXTAFTER(D41, "pathep-["), "]")</f>
        <v/>
      </c>
      <c r="H41">
        <f>_xlfn.CONCAT(F41,G41)</f>
        <v/>
      </c>
      <c r="I41" t="inlineStr">
        <is>
          <t>vlan-64</t>
        </is>
      </c>
      <c r="J41" t="inlineStr">
        <is>
          <t>regular</t>
        </is>
      </c>
    </row>
    <row r="42">
      <c r="A42" t="inlineStr">
        <is>
          <t>uni/tn-TELCEL_TELCO_NETWORK/ap-AP_telcel_ipcorp/epg-EPG_VLAN_856_eNB_INGENIEROS-OAM/r</t>
        </is>
      </c>
      <c r="B42">
        <f>_xlfn.TEXTBEFORE(_xlfn.TEXTAFTER(A42, "ap-"), "/")</f>
        <v/>
      </c>
      <c r="C42">
        <f>_xlfn.TEXTBEFORE(_xlfn.TEXTAFTER(A42, "epg-"), "/")</f>
        <v/>
      </c>
      <c r="D42">
        <f>_xlfn.TEXTBEFORE(_xlfn.TEXTAFTER(A42, "rspathAtt-"), "]") &amp; "]]"</f>
        <v/>
      </c>
      <c r="E42">
        <f>_xlfn.TEXTBEFORE(_xlfn.TEXTAFTER(D42, "pod-"), "/")</f>
        <v/>
      </c>
      <c r="F42">
        <f>_xlfn.TEXTBEFORE(_xlfn.TEXTAFTER(D42, "paths-"), "/")</f>
        <v/>
      </c>
      <c r="G42">
        <f>_xlfn.TEXTBEFORE(_xlfn.TEXTAFTER(D42, "pathep-["), "]")</f>
        <v/>
      </c>
      <c r="H42">
        <f>_xlfn.CONCAT(F42,G42)</f>
        <v/>
      </c>
      <c r="I42" t="inlineStr">
        <is>
          <t>vlan-856</t>
        </is>
      </c>
      <c r="J42" t="inlineStr">
        <is>
          <t>regular</t>
        </is>
      </c>
    </row>
    <row r="43">
      <c r="A43" t="inlineStr">
        <is>
          <t>uni/tn-TELCEL_TELCO_NETWORK/ap-AP_telcel_ipcorp/epg-EPG_VLAN_103/rspathAtt-[topology/</t>
        </is>
      </c>
      <c r="B43">
        <f>_xlfn.TEXTBEFORE(_xlfn.TEXTAFTER(A43, "ap-"), "/")</f>
        <v/>
      </c>
      <c r="C43">
        <f>_xlfn.TEXTBEFORE(_xlfn.TEXTAFTER(A43, "epg-"), "/")</f>
        <v/>
      </c>
      <c r="D43">
        <f>_xlfn.TEXTBEFORE(_xlfn.TEXTAFTER(A43, "rspathAtt-"), "]") &amp; "]]"</f>
        <v/>
      </c>
      <c r="E43">
        <f>_xlfn.TEXTBEFORE(_xlfn.TEXTAFTER(D43, "pod-"), "/")</f>
        <v/>
      </c>
      <c r="F43">
        <f>_xlfn.TEXTBEFORE(_xlfn.TEXTAFTER(D43, "paths-"), "/")</f>
        <v/>
      </c>
      <c r="G43">
        <f>_xlfn.TEXTBEFORE(_xlfn.TEXTAFTER(D43, "pathep-["), "]")</f>
        <v/>
      </c>
      <c r="H43">
        <f>_xlfn.CONCAT(F43,G43)</f>
        <v/>
      </c>
      <c r="I43" t="inlineStr">
        <is>
          <t>vlan-103</t>
        </is>
      </c>
      <c r="J43" t="inlineStr">
        <is>
          <t>untagged</t>
        </is>
      </c>
    </row>
    <row r="44">
      <c r="A44" t="inlineStr">
        <is>
          <t>uni/tn-TELCEL_TELCO_NETWORK/ap-AP_telcel_ipcorp/epg-EPG_VLAN_103/rspathAtt-[topology/</t>
        </is>
      </c>
      <c r="B44">
        <f>_xlfn.TEXTBEFORE(_xlfn.TEXTAFTER(A44, "ap-"), "/")</f>
        <v/>
      </c>
      <c r="C44">
        <f>_xlfn.TEXTBEFORE(_xlfn.TEXTAFTER(A44, "epg-"), "/")</f>
        <v/>
      </c>
      <c r="D44">
        <f>_xlfn.TEXTBEFORE(_xlfn.TEXTAFTER(A44, "rspathAtt-"), "]") &amp; "]]"</f>
        <v/>
      </c>
      <c r="E44">
        <f>_xlfn.TEXTBEFORE(_xlfn.TEXTAFTER(D44, "pod-"), "/")</f>
        <v/>
      </c>
      <c r="F44">
        <f>_xlfn.TEXTBEFORE(_xlfn.TEXTAFTER(D44, "paths-"), "/")</f>
        <v/>
      </c>
      <c r="G44">
        <f>_xlfn.TEXTBEFORE(_xlfn.TEXTAFTER(D44, "pathep-["), "]")</f>
        <v/>
      </c>
      <c r="H44">
        <f>_xlfn.CONCAT(F44,G44)</f>
        <v/>
      </c>
      <c r="I44" t="inlineStr">
        <is>
          <t>vlan-103</t>
        </is>
      </c>
      <c r="J44" t="inlineStr">
        <is>
          <t>untagged</t>
        </is>
      </c>
    </row>
    <row r="45">
      <c r="A45" t="inlineStr">
        <is>
          <t>uni/tn-TELCEL_TELCO_NETWORK/ap-AP_telcel_ipcorp/epg-EPG_VLAN_103/rspathAtt-[topology/</t>
        </is>
      </c>
      <c r="B45">
        <f>_xlfn.TEXTBEFORE(_xlfn.TEXTAFTER(A45, "ap-"), "/")</f>
        <v/>
      </c>
      <c r="C45">
        <f>_xlfn.TEXTBEFORE(_xlfn.TEXTAFTER(A45, "epg-"), "/")</f>
        <v/>
      </c>
      <c r="D45">
        <f>_xlfn.TEXTBEFORE(_xlfn.TEXTAFTER(A45, "rspathAtt-"), "]") &amp; "]]"</f>
        <v/>
      </c>
      <c r="E45">
        <f>_xlfn.TEXTBEFORE(_xlfn.TEXTAFTER(D45, "pod-"), "/")</f>
        <v/>
      </c>
      <c r="F45">
        <f>_xlfn.TEXTBEFORE(_xlfn.TEXTAFTER(D45, "paths-"), "/")</f>
        <v/>
      </c>
      <c r="G45">
        <f>_xlfn.TEXTBEFORE(_xlfn.TEXTAFTER(D45, "pathep-["), "]")</f>
        <v/>
      </c>
      <c r="H45">
        <f>_xlfn.CONCAT(F45,G45)</f>
        <v/>
      </c>
      <c r="I45" t="inlineStr">
        <is>
          <t>vlan-103</t>
        </is>
      </c>
      <c r="J45" t="inlineStr">
        <is>
          <t>untagged</t>
        </is>
      </c>
    </row>
    <row r="46">
      <c r="A46" t="inlineStr">
        <is>
          <t>uni/tn-TELCEL_TELCO_NETWORK/ap-AP_telcel_ipcorp/epg-EPG_VLAN_103/rspathAtt-[topology/</t>
        </is>
      </c>
      <c r="B46">
        <f>_xlfn.TEXTBEFORE(_xlfn.TEXTAFTER(A46, "ap-"), "/")</f>
        <v/>
      </c>
      <c r="C46">
        <f>_xlfn.TEXTBEFORE(_xlfn.TEXTAFTER(A46, "epg-"), "/")</f>
        <v/>
      </c>
      <c r="D46">
        <f>_xlfn.TEXTBEFORE(_xlfn.TEXTAFTER(A46, "rspathAtt-"), "]") &amp; "]]"</f>
        <v/>
      </c>
      <c r="E46">
        <f>_xlfn.TEXTBEFORE(_xlfn.TEXTAFTER(D46, "pod-"), "/")</f>
        <v/>
      </c>
      <c r="F46">
        <f>_xlfn.TEXTBEFORE(_xlfn.TEXTAFTER(D46, "paths-"), "/")</f>
        <v/>
      </c>
      <c r="G46">
        <f>_xlfn.TEXTBEFORE(_xlfn.TEXTAFTER(D46, "pathep-["), "]")</f>
        <v/>
      </c>
      <c r="H46">
        <f>_xlfn.CONCAT(F46,G46)</f>
        <v/>
      </c>
      <c r="I46" t="inlineStr">
        <is>
          <t>vlan-103</t>
        </is>
      </c>
      <c r="J46" t="inlineStr">
        <is>
          <t>untagged</t>
        </is>
      </c>
    </row>
    <row r="47">
      <c r="A47" t="inlineStr">
        <is>
          <t>uni/tn-TELCEL_TELCO_NETWORK/ap-AP_telcel_ipcorp/epg-EPG_VLAN_103/rspathAtt-[topology/</t>
        </is>
      </c>
      <c r="B47">
        <f>_xlfn.TEXTBEFORE(_xlfn.TEXTAFTER(A47, "ap-"), "/")</f>
        <v/>
      </c>
      <c r="C47">
        <f>_xlfn.TEXTBEFORE(_xlfn.TEXTAFTER(A47, "epg-"), "/")</f>
        <v/>
      </c>
      <c r="D47">
        <f>_xlfn.TEXTBEFORE(_xlfn.TEXTAFTER(A47, "rspathAtt-"), "]") &amp; "]]"</f>
        <v/>
      </c>
      <c r="E47">
        <f>_xlfn.TEXTBEFORE(_xlfn.TEXTAFTER(D47, "pod-"), "/")</f>
        <v/>
      </c>
      <c r="F47">
        <f>_xlfn.TEXTBEFORE(_xlfn.TEXTAFTER(D47, "paths-"), "/")</f>
        <v/>
      </c>
      <c r="G47">
        <f>_xlfn.TEXTBEFORE(_xlfn.TEXTAFTER(D47, "pathep-["), "]")</f>
        <v/>
      </c>
      <c r="H47">
        <f>_xlfn.CONCAT(F47,G47)</f>
        <v/>
      </c>
      <c r="I47" t="inlineStr">
        <is>
          <t>vlan-103</t>
        </is>
      </c>
      <c r="J47" t="inlineStr">
        <is>
          <t>untagged</t>
        </is>
      </c>
    </row>
    <row r="48">
      <c r="A48" t="inlineStr">
        <is>
          <t>uni/tn-TELCEL_TELCO_NETWORK/ap-AP_telcel_ipcorp/epg-EPG_VLAN_103/rspathAtt-[topology/</t>
        </is>
      </c>
      <c r="B48">
        <f>_xlfn.TEXTBEFORE(_xlfn.TEXTAFTER(A48, "ap-"), "/")</f>
        <v/>
      </c>
      <c r="C48">
        <f>_xlfn.TEXTBEFORE(_xlfn.TEXTAFTER(A48, "epg-"), "/")</f>
        <v/>
      </c>
      <c r="D48">
        <f>_xlfn.TEXTBEFORE(_xlfn.TEXTAFTER(A48, "rspathAtt-"), "]") &amp; "]]"</f>
        <v/>
      </c>
      <c r="E48">
        <f>_xlfn.TEXTBEFORE(_xlfn.TEXTAFTER(D48, "pod-"), "/")</f>
        <v/>
      </c>
      <c r="F48">
        <f>_xlfn.TEXTBEFORE(_xlfn.TEXTAFTER(D48, "paths-"), "/")</f>
        <v/>
      </c>
      <c r="G48">
        <f>_xlfn.TEXTBEFORE(_xlfn.TEXTAFTER(D48, "pathep-["), "]")</f>
        <v/>
      </c>
      <c r="H48">
        <f>_xlfn.CONCAT(F48,G48)</f>
        <v/>
      </c>
      <c r="I48" t="inlineStr">
        <is>
          <t>vlan-103</t>
        </is>
      </c>
      <c r="J48" t="inlineStr">
        <is>
          <t>regular</t>
        </is>
      </c>
    </row>
    <row r="49">
      <c r="A49" t="inlineStr">
        <is>
          <t>uni/tn-TELCEL_TELCO_NETWORK/ap-AP_telcel_ipcorp/epg-EPG_VLAN_103/rspathAtt-[topology/</t>
        </is>
      </c>
      <c r="B49">
        <f>_xlfn.TEXTBEFORE(_xlfn.TEXTAFTER(A49, "ap-"), "/")</f>
        <v/>
      </c>
      <c r="C49">
        <f>_xlfn.TEXTBEFORE(_xlfn.TEXTAFTER(A49, "epg-"), "/")</f>
        <v/>
      </c>
      <c r="D49">
        <f>_xlfn.TEXTBEFORE(_xlfn.TEXTAFTER(A49, "rspathAtt-"), "]") &amp; "]]"</f>
        <v/>
      </c>
      <c r="E49">
        <f>_xlfn.TEXTBEFORE(_xlfn.TEXTAFTER(D49, "pod-"), "/")</f>
        <v/>
      </c>
      <c r="F49">
        <f>_xlfn.TEXTBEFORE(_xlfn.TEXTAFTER(D49, "paths-"), "/")</f>
        <v/>
      </c>
      <c r="G49">
        <f>_xlfn.TEXTBEFORE(_xlfn.TEXTAFTER(D49, "pathep-["), "]")</f>
        <v/>
      </c>
      <c r="H49">
        <f>_xlfn.CONCAT(F49,G49)</f>
        <v/>
      </c>
      <c r="I49" t="inlineStr">
        <is>
          <t>vlan-103</t>
        </is>
      </c>
      <c r="J49" t="inlineStr">
        <is>
          <t>regular</t>
        </is>
      </c>
    </row>
    <row r="50">
      <c r="A50" t="inlineStr">
        <is>
          <t>uni/tn-TELCEL_TELCO_NETWORK/ap-AP_telcel_ipcorp/epg-EPG_VLAN_103/rspathAtt-[topology/</t>
        </is>
      </c>
      <c r="B50">
        <f>_xlfn.TEXTBEFORE(_xlfn.TEXTAFTER(A50, "ap-"), "/")</f>
        <v/>
      </c>
      <c r="C50">
        <f>_xlfn.TEXTBEFORE(_xlfn.TEXTAFTER(A50, "epg-"), "/")</f>
        <v/>
      </c>
      <c r="D50">
        <f>_xlfn.TEXTBEFORE(_xlfn.TEXTAFTER(A50, "rspathAtt-"), "]") &amp; "]]"</f>
        <v/>
      </c>
      <c r="E50">
        <f>_xlfn.TEXTBEFORE(_xlfn.TEXTAFTER(D50, "pod-"), "/")</f>
        <v/>
      </c>
      <c r="F50">
        <f>_xlfn.TEXTBEFORE(_xlfn.TEXTAFTER(D50, "paths-"), "/")</f>
        <v/>
      </c>
      <c r="G50">
        <f>_xlfn.TEXTBEFORE(_xlfn.TEXTAFTER(D50, "pathep-["), "]")</f>
        <v/>
      </c>
      <c r="H50">
        <f>_xlfn.CONCAT(F50,G50)</f>
        <v/>
      </c>
      <c r="I50" t="inlineStr">
        <is>
          <t>vlan-103</t>
        </is>
      </c>
      <c r="J50" t="inlineStr">
        <is>
          <t>regular</t>
        </is>
      </c>
    </row>
    <row r="51">
      <c r="A51" t="inlineStr">
        <is>
          <t>uni/tn-TELCEL_TELCO_NETWORK/ap-AP_telcel_ipcorp/epg-EPG_VLAN_2022/rspathAtt-[topology</t>
        </is>
      </c>
      <c r="B51">
        <f>_xlfn.TEXTBEFORE(_xlfn.TEXTAFTER(A51, "ap-"), "/")</f>
        <v/>
      </c>
      <c r="C51">
        <f>_xlfn.TEXTBEFORE(_xlfn.TEXTAFTER(A51, "epg-"), "/")</f>
        <v/>
      </c>
      <c r="D51">
        <f>_xlfn.TEXTBEFORE(_xlfn.TEXTAFTER(A51, "rspathAtt-"), "]") &amp; "]]"</f>
        <v/>
      </c>
      <c r="E51">
        <f>_xlfn.TEXTBEFORE(_xlfn.TEXTAFTER(D51, "pod-"), "/")</f>
        <v/>
      </c>
      <c r="F51">
        <f>_xlfn.TEXTBEFORE(_xlfn.TEXTAFTER(D51, "paths-"), "/")</f>
        <v/>
      </c>
      <c r="G51">
        <f>_xlfn.TEXTBEFORE(_xlfn.TEXTAFTER(D51, "pathep-["), "]")</f>
        <v/>
      </c>
      <c r="H51">
        <f>_xlfn.CONCAT(F51,G51)</f>
        <v/>
      </c>
      <c r="I51" t="inlineStr">
        <is>
          <t>vlan-2022</t>
        </is>
      </c>
      <c r="J51" t="inlineStr">
        <is>
          <t>regular</t>
        </is>
      </c>
    </row>
    <row r="52">
      <c r="A52" t="inlineStr">
        <is>
          <t>uni/tn-TELCEL_TELCO_NETWORK/ap-AP_telcel_ipcorp/epg-EPG_VLAN_2022/rspathAtt-[topology</t>
        </is>
      </c>
      <c r="B52">
        <f>_xlfn.TEXTBEFORE(_xlfn.TEXTAFTER(A52, "ap-"), "/")</f>
        <v/>
      </c>
      <c r="C52">
        <f>_xlfn.TEXTBEFORE(_xlfn.TEXTAFTER(A52, "epg-"), "/")</f>
        <v/>
      </c>
      <c r="D52">
        <f>_xlfn.TEXTBEFORE(_xlfn.TEXTAFTER(A52, "rspathAtt-"), "]") &amp; "]]"</f>
        <v/>
      </c>
      <c r="E52">
        <f>_xlfn.TEXTBEFORE(_xlfn.TEXTAFTER(D52, "pod-"), "/")</f>
        <v/>
      </c>
      <c r="F52">
        <f>_xlfn.TEXTBEFORE(_xlfn.TEXTAFTER(D52, "paths-"), "/")</f>
        <v/>
      </c>
      <c r="G52">
        <f>_xlfn.TEXTBEFORE(_xlfn.TEXTAFTER(D52, "pathep-["), "]")</f>
        <v/>
      </c>
      <c r="H52">
        <f>_xlfn.CONCAT(F52,G52)</f>
        <v/>
      </c>
      <c r="I52" t="inlineStr">
        <is>
          <t>vlan-2022</t>
        </is>
      </c>
      <c r="J52" t="inlineStr">
        <is>
          <t>regular</t>
        </is>
      </c>
    </row>
    <row r="53">
      <c r="A53" t="inlineStr">
        <is>
          <t>uni/tn-TELCEL_TELCO_NETWORK/ap-AP_telcel_ipcorp/epg-EPG_VLAN_2022/rspathAtt-[topology</t>
        </is>
      </c>
      <c r="B53">
        <f>_xlfn.TEXTBEFORE(_xlfn.TEXTAFTER(A53, "ap-"), "/")</f>
        <v/>
      </c>
      <c r="C53">
        <f>_xlfn.TEXTBEFORE(_xlfn.TEXTAFTER(A53, "epg-"), "/")</f>
        <v/>
      </c>
      <c r="D53">
        <f>_xlfn.TEXTBEFORE(_xlfn.TEXTAFTER(A53, "rspathAtt-"), "]") &amp; "]]"</f>
        <v/>
      </c>
      <c r="E53">
        <f>_xlfn.TEXTBEFORE(_xlfn.TEXTAFTER(D53, "pod-"), "/")</f>
        <v/>
      </c>
      <c r="F53">
        <f>_xlfn.TEXTBEFORE(_xlfn.TEXTAFTER(D53, "paths-"), "/")</f>
        <v/>
      </c>
      <c r="G53">
        <f>_xlfn.TEXTBEFORE(_xlfn.TEXTAFTER(D53, "pathep-["), "]")</f>
        <v/>
      </c>
      <c r="H53">
        <f>_xlfn.CONCAT(F53,G53)</f>
        <v/>
      </c>
      <c r="I53" t="inlineStr">
        <is>
          <t>vlan-2022</t>
        </is>
      </c>
      <c r="J53" t="inlineStr">
        <is>
          <t>regular</t>
        </is>
      </c>
    </row>
    <row r="54">
      <c r="A54" t="inlineStr">
        <is>
          <t>uni/tn-TELCEL_TELCO_NETWORK/ap-AP_telcel_ipcorp/epg-EPG_VLAN_505_NB-INGENIEROS-OAM/rs</t>
        </is>
      </c>
      <c r="B54">
        <f>_xlfn.TEXTBEFORE(_xlfn.TEXTAFTER(A54, "ap-"), "/")</f>
        <v/>
      </c>
      <c r="C54">
        <f>_xlfn.TEXTBEFORE(_xlfn.TEXTAFTER(A54, "epg-"), "/")</f>
        <v/>
      </c>
      <c r="D54">
        <f>_xlfn.TEXTBEFORE(_xlfn.TEXTAFTER(A54, "rspathAtt-"), "]") &amp; "]]"</f>
        <v/>
      </c>
      <c r="E54">
        <f>_xlfn.TEXTBEFORE(_xlfn.TEXTAFTER(D54, "pod-"), "/")</f>
        <v/>
      </c>
      <c r="F54">
        <f>_xlfn.TEXTBEFORE(_xlfn.TEXTAFTER(D54, "paths-"), "/")</f>
        <v/>
      </c>
      <c r="G54">
        <f>_xlfn.TEXTBEFORE(_xlfn.TEXTAFTER(D54, "pathep-["), "]")</f>
        <v/>
      </c>
      <c r="H54">
        <f>_xlfn.CONCAT(F54,G54)</f>
        <v/>
      </c>
      <c r="I54" t="inlineStr">
        <is>
          <t>vlan-505</t>
        </is>
      </c>
      <c r="J54" t="inlineStr">
        <is>
          <t>regular</t>
        </is>
      </c>
    </row>
    <row r="55">
      <c r="A55" t="inlineStr">
        <is>
          <t>uni/tn-TELCEL_TELCO_NETWORK/ap-AP_telcel_ipcorp/epg-EPG_VLAN_643_NB-INGENIEROS_U1900-</t>
        </is>
      </c>
      <c r="B55">
        <f>_xlfn.TEXTBEFORE(_xlfn.TEXTAFTER(A55, "ap-"), "/")</f>
        <v/>
      </c>
      <c r="C55">
        <f>_xlfn.TEXTBEFORE(_xlfn.TEXTAFTER(A55, "epg-"), "/")</f>
        <v/>
      </c>
      <c r="D55">
        <f>_xlfn.TEXTBEFORE(_xlfn.TEXTAFTER(A55, "rspathAtt-"), "]") &amp; "]]"</f>
        <v/>
      </c>
      <c r="E55">
        <f>_xlfn.TEXTBEFORE(_xlfn.TEXTAFTER(D55, "pod-"), "/")</f>
        <v/>
      </c>
      <c r="F55">
        <f>_xlfn.TEXTBEFORE(_xlfn.TEXTAFTER(D55, "paths-"), "/")</f>
        <v/>
      </c>
      <c r="G55">
        <f>_xlfn.TEXTBEFORE(_xlfn.TEXTAFTER(D55, "pathep-["), "]")</f>
        <v/>
      </c>
      <c r="H55">
        <f>_xlfn.CONCAT(F55,G55)</f>
        <v/>
      </c>
      <c r="I55" t="inlineStr">
        <is>
          <t>vlan-643</t>
        </is>
      </c>
      <c r="J55" t="inlineStr">
        <is>
          <t>regular</t>
        </is>
      </c>
    </row>
    <row r="56">
      <c r="A56" t="inlineStr">
        <is>
          <t>uni/tn-TELCEL_TELCO_NETWORK/ap-AP_telcel_ipcorp/epg-EPG_VLAN_66_ESC_INGENIEROS-OAM/rs</t>
        </is>
      </c>
      <c r="B56">
        <f>_xlfn.TEXTBEFORE(_xlfn.TEXTAFTER(A56, "ap-"), "/")</f>
        <v/>
      </c>
      <c r="C56">
        <f>_xlfn.TEXTBEFORE(_xlfn.TEXTAFTER(A56, "epg-"), "/")</f>
        <v/>
      </c>
      <c r="D56">
        <f>_xlfn.TEXTBEFORE(_xlfn.TEXTAFTER(A56, "rspathAtt-"), "]") &amp; "]]"</f>
        <v/>
      </c>
      <c r="E56">
        <f>_xlfn.TEXTBEFORE(_xlfn.TEXTAFTER(D56, "pod-"), "/")</f>
        <v/>
      </c>
      <c r="F56">
        <f>_xlfn.TEXTBEFORE(_xlfn.TEXTAFTER(D56, "paths-"), "/")</f>
        <v/>
      </c>
      <c r="G56">
        <f>_xlfn.TEXTBEFORE(_xlfn.TEXTAFTER(D56, "pathep-["), "]")</f>
        <v/>
      </c>
      <c r="H56">
        <f>_xlfn.CONCAT(F56,G56)</f>
        <v/>
      </c>
      <c r="I56" t="inlineStr">
        <is>
          <t>vlan-66</t>
        </is>
      </c>
      <c r="J56" t="inlineStr">
        <is>
          <t>regular</t>
        </is>
      </c>
    </row>
    <row r="57">
      <c r="A57" t="inlineStr">
        <is>
          <t>uni/tn-TELCEL_TELCO_NETWORK/ap-AP_telcel_ipcorp/epg-EPG_VLAN_2021/rspathAtt-[topology</t>
        </is>
      </c>
      <c r="B57">
        <f>_xlfn.TEXTBEFORE(_xlfn.TEXTAFTER(A57, "ap-"), "/")</f>
        <v/>
      </c>
      <c r="C57">
        <f>_xlfn.TEXTBEFORE(_xlfn.TEXTAFTER(A57, "epg-"), "/")</f>
        <v/>
      </c>
      <c r="D57">
        <f>_xlfn.TEXTBEFORE(_xlfn.TEXTAFTER(A57, "rspathAtt-"), "]") &amp; "]]"</f>
        <v/>
      </c>
      <c r="E57">
        <f>_xlfn.TEXTBEFORE(_xlfn.TEXTAFTER(D57, "pod-"), "/")</f>
        <v/>
      </c>
      <c r="F57">
        <f>_xlfn.TEXTBEFORE(_xlfn.TEXTAFTER(D57, "paths-"), "/")</f>
        <v/>
      </c>
      <c r="G57">
        <f>_xlfn.TEXTBEFORE(_xlfn.TEXTAFTER(D57, "pathep-["), "]")</f>
        <v/>
      </c>
      <c r="H57">
        <f>_xlfn.CONCAT(F57,G57)</f>
        <v/>
      </c>
      <c r="I57" t="inlineStr">
        <is>
          <t>vlan-2021</t>
        </is>
      </c>
      <c r="J57" t="inlineStr">
        <is>
          <t>regular</t>
        </is>
      </c>
    </row>
    <row r="58">
      <c r="A58" t="inlineStr">
        <is>
          <t>uni/tn-TELCEL_TELCO_NETWORK/ap-AP_telcel_ipcorp/epg-EPG_VLAN_2021/rspathAtt-[topology</t>
        </is>
      </c>
      <c r="B58">
        <f>_xlfn.TEXTBEFORE(_xlfn.TEXTAFTER(A58, "ap-"), "/")</f>
        <v/>
      </c>
      <c r="C58">
        <f>_xlfn.TEXTBEFORE(_xlfn.TEXTAFTER(A58, "epg-"), "/")</f>
        <v/>
      </c>
      <c r="D58">
        <f>_xlfn.TEXTBEFORE(_xlfn.TEXTAFTER(A58, "rspathAtt-"), "]") &amp; "]]"</f>
        <v/>
      </c>
      <c r="E58">
        <f>_xlfn.TEXTBEFORE(_xlfn.TEXTAFTER(D58, "pod-"), "/")</f>
        <v/>
      </c>
      <c r="F58">
        <f>_xlfn.TEXTBEFORE(_xlfn.TEXTAFTER(D58, "paths-"), "/")</f>
        <v/>
      </c>
      <c r="G58">
        <f>_xlfn.TEXTBEFORE(_xlfn.TEXTAFTER(D58, "pathep-["), "]")</f>
        <v/>
      </c>
      <c r="H58">
        <f>_xlfn.CONCAT(F58,G58)</f>
        <v/>
      </c>
      <c r="I58" t="inlineStr">
        <is>
          <t>vlan-2021</t>
        </is>
      </c>
      <c r="J58" t="inlineStr">
        <is>
          <t>regular</t>
        </is>
      </c>
    </row>
    <row r="59">
      <c r="A59" t="inlineStr">
        <is>
          <t>uni/tn-TELCEL_TELCO_NETWORK/ap-AP_telcel_ipcorp/epg-EPG_VLAN_1316/rspathAtt-[topology</t>
        </is>
      </c>
      <c r="B59">
        <f>_xlfn.TEXTBEFORE(_xlfn.TEXTAFTER(A59, "ap-"), "/")</f>
        <v/>
      </c>
      <c r="C59">
        <f>_xlfn.TEXTBEFORE(_xlfn.TEXTAFTER(A59, "epg-"), "/")</f>
        <v/>
      </c>
      <c r="D59">
        <f>_xlfn.TEXTBEFORE(_xlfn.TEXTAFTER(A59, "rspathAtt-"), "]") &amp; "]]"</f>
        <v/>
      </c>
      <c r="E59">
        <f>_xlfn.TEXTBEFORE(_xlfn.TEXTAFTER(D59, "pod-"), "/")</f>
        <v/>
      </c>
      <c r="F59">
        <f>_xlfn.TEXTBEFORE(_xlfn.TEXTAFTER(D59, "paths-"), "/")</f>
        <v/>
      </c>
      <c r="G59">
        <f>_xlfn.TEXTBEFORE(_xlfn.TEXTAFTER(D59, "pathep-["), "]")</f>
        <v/>
      </c>
      <c r="H59">
        <f>_xlfn.CONCAT(F59,G59)</f>
        <v/>
      </c>
      <c r="I59" t="inlineStr">
        <is>
          <t>vlan-1316</t>
        </is>
      </c>
      <c r="J59" t="inlineStr">
        <is>
          <t>untagged</t>
        </is>
      </c>
    </row>
    <row r="60">
      <c r="A60" t="inlineStr">
        <is>
          <t>uni/tn-TELCEL_TELCO_NETWORK/ap-AP_telcel_ipcorp/epg-EPG_VLAN_1316/rspathAtt-[topology</t>
        </is>
      </c>
      <c r="B60">
        <f>_xlfn.TEXTBEFORE(_xlfn.TEXTAFTER(A60, "ap-"), "/")</f>
        <v/>
      </c>
      <c r="C60">
        <f>_xlfn.TEXTBEFORE(_xlfn.TEXTAFTER(A60, "epg-"), "/")</f>
        <v/>
      </c>
      <c r="D60">
        <f>_xlfn.TEXTBEFORE(_xlfn.TEXTAFTER(A60, "rspathAtt-"), "]") &amp; "]]"</f>
        <v/>
      </c>
      <c r="E60">
        <f>_xlfn.TEXTBEFORE(_xlfn.TEXTAFTER(D60, "pod-"), "/")</f>
        <v/>
      </c>
      <c r="F60">
        <f>_xlfn.TEXTBEFORE(_xlfn.TEXTAFTER(D60, "paths-"), "/")</f>
        <v/>
      </c>
      <c r="G60">
        <f>_xlfn.TEXTBEFORE(_xlfn.TEXTAFTER(D60, "pathep-["), "]")</f>
        <v/>
      </c>
      <c r="H60">
        <f>_xlfn.CONCAT(F60,G60)</f>
        <v/>
      </c>
      <c r="I60" t="inlineStr">
        <is>
          <t>vlan-1316</t>
        </is>
      </c>
      <c r="J60" t="inlineStr">
        <is>
          <t>untagged</t>
        </is>
      </c>
    </row>
    <row r="61">
      <c r="A61" t="inlineStr">
        <is>
          <t>uni/tn-TELCEL_TELCO_NETWORK/ap-AP_telcel_ipcorp/epg-EPG_VLAN_61/rspathAtt-[topology/p</t>
        </is>
      </c>
      <c r="B61">
        <f>_xlfn.TEXTBEFORE(_xlfn.TEXTAFTER(A61, "ap-"), "/")</f>
        <v/>
      </c>
      <c r="C61">
        <f>_xlfn.TEXTBEFORE(_xlfn.TEXTAFTER(A61, "epg-"), "/")</f>
        <v/>
      </c>
      <c r="D61">
        <f>_xlfn.TEXTBEFORE(_xlfn.TEXTAFTER(A61, "rspathAtt-"), "]") &amp; "]]"</f>
        <v/>
      </c>
      <c r="E61">
        <f>_xlfn.TEXTBEFORE(_xlfn.TEXTAFTER(D61, "pod-"), "/")</f>
        <v/>
      </c>
      <c r="F61">
        <f>_xlfn.TEXTBEFORE(_xlfn.TEXTAFTER(D61, "paths-"), "/")</f>
        <v/>
      </c>
      <c r="G61">
        <f>_xlfn.TEXTBEFORE(_xlfn.TEXTAFTER(D61, "pathep-["), "]")</f>
        <v/>
      </c>
      <c r="H61">
        <f>_xlfn.CONCAT(F61,G61)</f>
        <v/>
      </c>
      <c r="I61" t="inlineStr">
        <is>
          <t>vlan-61</t>
        </is>
      </c>
      <c r="J61" t="inlineStr">
        <is>
          <t>regular</t>
        </is>
      </c>
    </row>
    <row r="62">
      <c r="A62" t="inlineStr">
        <is>
          <t>uni/tn-TELCEL_TELCO_NETWORK/ap-AP_telcel_ipcorp/epg-EPG_VLAN_304/rspathAtt-[topology/</t>
        </is>
      </c>
      <c r="B62">
        <f>_xlfn.TEXTBEFORE(_xlfn.TEXTAFTER(A62, "ap-"), "/")</f>
        <v/>
      </c>
      <c r="C62">
        <f>_xlfn.TEXTBEFORE(_xlfn.TEXTAFTER(A62, "epg-"), "/")</f>
        <v/>
      </c>
      <c r="D62">
        <f>_xlfn.TEXTBEFORE(_xlfn.TEXTAFTER(A62, "rspathAtt-"), "]") &amp; "]]"</f>
        <v/>
      </c>
      <c r="E62">
        <f>_xlfn.TEXTBEFORE(_xlfn.TEXTAFTER(D62, "pod-"), "/")</f>
        <v/>
      </c>
      <c r="F62">
        <f>_xlfn.TEXTBEFORE(_xlfn.TEXTAFTER(D62, "paths-"), "/")</f>
        <v/>
      </c>
      <c r="G62">
        <f>_xlfn.TEXTBEFORE(_xlfn.TEXTAFTER(D62, "pathep-["), "]")</f>
        <v/>
      </c>
      <c r="H62">
        <f>_xlfn.CONCAT(F62,G62)</f>
        <v/>
      </c>
      <c r="I62" t="inlineStr">
        <is>
          <t>vlan-304</t>
        </is>
      </c>
      <c r="J62" t="inlineStr">
        <is>
          <t>regular</t>
        </is>
      </c>
    </row>
    <row r="63">
      <c r="A63" t="inlineStr">
        <is>
          <t>uni/tn-TELCEL_TELCO_NETWORK/ap-AP_telcel_ipcorp/epg-EPG_VLAN_61/rspathAtt-[topology/p</t>
        </is>
      </c>
      <c r="B63">
        <f>_xlfn.TEXTBEFORE(_xlfn.TEXTAFTER(A63, "ap-"), "/")</f>
        <v/>
      </c>
      <c r="C63">
        <f>_xlfn.TEXTBEFORE(_xlfn.TEXTAFTER(A63, "epg-"), "/")</f>
        <v/>
      </c>
      <c r="D63">
        <f>_xlfn.TEXTBEFORE(_xlfn.TEXTAFTER(A63, "rspathAtt-"), "]") &amp; "]]"</f>
        <v/>
      </c>
      <c r="E63">
        <f>_xlfn.TEXTBEFORE(_xlfn.TEXTAFTER(D63, "pod-"), "/")</f>
        <v/>
      </c>
      <c r="F63">
        <f>_xlfn.TEXTBEFORE(_xlfn.TEXTAFTER(D63, "paths-"), "/")</f>
        <v/>
      </c>
      <c r="G63">
        <f>_xlfn.TEXTBEFORE(_xlfn.TEXTAFTER(D63, "pathep-["), "]")</f>
        <v/>
      </c>
      <c r="H63">
        <f>_xlfn.CONCAT(F63,G63)</f>
        <v/>
      </c>
      <c r="I63" t="inlineStr">
        <is>
          <t>vlan-61</t>
        </is>
      </c>
      <c r="J63" t="inlineStr">
        <is>
          <t>untagged</t>
        </is>
      </c>
    </row>
    <row r="64">
      <c r="A64" t="inlineStr">
        <is>
          <t>uni/tn-TELCEL_TELCO_NETWORK/ap-AP_telcel_ipcorp/epg-EPG_VLAN_956/rspathAtt-[topology/</t>
        </is>
      </c>
      <c r="B64">
        <f>_xlfn.TEXTBEFORE(_xlfn.TEXTAFTER(A64, "ap-"), "/")</f>
        <v/>
      </c>
      <c r="C64">
        <f>_xlfn.TEXTBEFORE(_xlfn.TEXTAFTER(A64, "epg-"), "/")</f>
        <v/>
      </c>
      <c r="D64">
        <f>_xlfn.TEXTBEFORE(_xlfn.TEXTAFTER(A64, "rspathAtt-"), "]") &amp; "]]"</f>
        <v/>
      </c>
      <c r="E64">
        <f>_xlfn.TEXTBEFORE(_xlfn.TEXTAFTER(D64, "pod-"), "/")</f>
        <v/>
      </c>
      <c r="F64">
        <f>_xlfn.TEXTBEFORE(_xlfn.TEXTAFTER(D64, "paths-"), "/")</f>
        <v/>
      </c>
      <c r="G64">
        <f>_xlfn.TEXTBEFORE(_xlfn.TEXTAFTER(D64, "pathep-["), "]")</f>
        <v/>
      </c>
      <c r="H64">
        <f>_xlfn.CONCAT(F64,G64)</f>
        <v/>
      </c>
      <c r="I64" t="inlineStr">
        <is>
          <t>vlan-956</t>
        </is>
      </c>
      <c r="J64" t="inlineStr">
        <is>
          <t>regular</t>
        </is>
      </c>
    </row>
    <row r="65">
      <c r="A65" t="inlineStr">
        <is>
          <t>uni/tn-TELCEL_TELCO_NETWORK/ap-AP_telcel_ipcorp/epg-EPG_VLAN_956/rspathAtt-[topology/</t>
        </is>
      </c>
      <c r="B65">
        <f>_xlfn.TEXTBEFORE(_xlfn.TEXTAFTER(A65, "ap-"), "/")</f>
        <v/>
      </c>
      <c r="C65">
        <f>_xlfn.TEXTBEFORE(_xlfn.TEXTAFTER(A65, "epg-"), "/")</f>
        <v/>
      </c>
      <c r="D65">
        <f>_xlfn.TEXTBEFORE(_xlfn.TEXTAFTER(A65, "rspathAtt-"), "]") &amp; "]]"</f>
        <v/>
      </c>
      <c r="E65">
        <f>_xlfn.TEXTBEFORE(_xlfn.TEXTAFTER(D65, "pod-"), "/")</f>
        <v/>
      </c>
      <c r="F65">
        <f>_xlfn.TEXTBEFORE(_xlfn.TEXTAFTER(D65, "paths-"), "/")</f>
        <v/>
      </c>
      <c r="G65">
        <f>_xlfn.TEXTBEFORE(_xlfn.TEXTAFTER(D65, "pathep-["), "]")</f>
        <v/>
      </c>
      <c r="H65">
        <f>_xlfn.CONCAT(F65,G65)</f>
        <v/>
      </c>
      <c r="I65" t="inlineStr">
        <is>
          <t>vlan-956</t>
        </is>
      </c>
      <c r="J65" t="inlineStr">
        <is>
          <t>regular</t>
        </is>
      </c>
    </row>
    <row r="66">
      <c r="A66" t="inlineStr">
        <is>
          <t>uni/tn-TELCEL_TELCO_NETWORK/ap-AP_iub_us/epg-EPG_VLAN_205_NB-INGENIEROS/rspathAtt-[to</t>
        </is>
      </c>
      <c r="B66">
        <f>_xlfn.TEXTBEFORE(_xlfn.TEXTAFTER(A66, "ap-"), "/")</f>
        <v/>
      </c>
      <c r="C66">
        <f>_xlfn.TEXTBEFORE(_xlfn.TEXTAFTER(A66, "epg-"), "/")</f>
        <v/>
      </c>
      <c r="D66">
        <f>_xlfn.TEXTBEFORE(_xlfn.TEXTAFTER(A66, "rspathAtt-"), "]") &amp; "]]"</f>
        <v/>
      </c>
      <c r="E66">
        <f>_xlfn.TEXTBEFORE(_xlfn.TEXTAFTER(D66, "pod-"), "/")</f>
        <v/>
      </c>
      <c r="F66">
        <f>_xlfn.TEXTBEFORE(_xlfn.TEXTAFTER(D66, "paths-"), "/")</f>
        <v/>
      </c>
      <c r="G66">
        <f>_xlfn.TEXTBEFORE(_xlfn.TEXTAFTER(D66, "pathep-["), "]")</f>
        <v/>
      </c>
      <c r="H66">
        <f>_xlfn.CONCAT(F66,G66)</f>
        <v/>
      </c>
      <c r="I66" t="inlineStr">
        <is>
          <t>vlan-205</t>
        </is>
      </c>
      <c r="J66" t="inlineStr">
        <is>
          <t>regular</t>
        </is>
      </c>
    </row>
    <row r="67">
      <c r="A67" t="inlineStr">
        <is>
          <t>uni/tn-TELCEL_TELCO_NETWORK/ap-AP_iub_us/epg-EPG_VLAN_912/rspathAtt-[topology/pod-1/p</t>
        </is>
      </c>
      <c r="B67">
        <f>_xlfn.TEXTBEFORE(_xlfn.TEXTAFTER(A67, "ap-"), "/")</f>
        <v/>
      </c>
      <c r="C67">
        <f>_xlfn.TEXTBEFORE(_xlfn.TEXTAFTER(A67, "epg-"), "/")</f>
        <v/>
      </c>
      <c r="D67">
        <f>_xlfn.TEXTBEFORE(_xlfn.TEXTAFTER(A67, "rspathAtt-"), "]") &amp; "]]"</f>
        <v/>
      </c>
      <c r="E67">
        <f>_xlfn.TEXTBEFORE(_xlfn.TEXTAFTER(D67, "pod-"), "/")</f>
        <v/>
      </c>
      <c r="F67">
        <f>_xlfn.TEXTBEFORE(_xlfn.TEXTAFTER(D67, "paths-"), "/")</f>
        <v/>
      </c>
      <c r="G67">
        <f>_xlfn.TEXTBEFORE(_xlfn.TEXTAFTER(D67, "pathep-["), "]")</f>
        <v/>
      </c>
      <c r="H67">
        <f>_xlfn.CONCAT(F67,G67)</f>
        <v/>
      </c>
      <c r="I67" t="inlineStr">
        <is>
          <t>vlan-912</t>
        </is>
      </c>
      <c r="J67" t="inlineStr">
        <is>
          <t>regular</t>
        </is>
      </c>
    </row>
    <row r="68">
      <c r="A68" t="inlineStr">
        <is>
          <t>uni/tn-TELCEL_TELCO_NETWORK/ap-AP_iub_us/epg-EPG_VLAN_912/rspathAtt-[topology/pod-1/p</t>
        </is>
      </c>
      <c r="B68">
        <f>_xlfn.TEXTBEFORE(_xlfn.TEXTAFTER(A68, "ap-"), "/")</f>
        <v/>
      </c>
      <c r="C68">
        <f>_xlfn.TEXTBEFORE(_xlfn.TEXTAFTER(A68, "epg-"), "/")</f>
        <v/>
      </c>
      <c r="D68">
        <f>_xlfn.TEXTBEFORE(_xlfn.TEXTAFTER(A68, "rspathAtt-"), "]") &amp; "]]"</f>
        <v/>
      </c>
      <c r="E68">
        <f>_xlfn.TEXTBEFORE(_xlfn.TEXTAFTER(D68, "pod-"), "/")</f>
        <v/>
      </c>
      <c r="F68">
        <f>_xlfn.TEXTBEFORE(_xlfn.TEXTAFTER(D68, "paths-"), "/")</f>
        <v/>
      </c>
      <c r="G68">
        <f>_xlfn.TEXTBEFORE(_xlfn.TEXTAFTER(D68, "pathep-["), "]")</f>
        <v/>
      </c>
      <c r="H68">
        <f>_xlfn.CONCAT(F68,G68)</f>
        <v/>
      </c>
      <c r="I68" t="inlineStr">
        <is>
          <t>vlan-912</t>
        </is>
      </c>
      <c r="J68" t="inlineStr">
        <is>
          <t>regular</t>
        </is>
      </c>
    </row>
    <row r="69">
      <c r="A69" t="inlineStr">
        <is>
          <t>uni/tn-TELCEL_TELCO_NETWORK/ap-AP_red_gprs_Gn/epg-EPG_VLAN_1150/rspathAtt-[topology/p</t>
        </is>
      </c>
      <c r="B69">
        <f>_xlfn.TEXTBEFORE(_xlfn.TEXTAFTER(A69, "ap-"), "/")</f>
        <v/>
      </c>
      <c r="C69">
        <f>_xlfn.TEXTBEFORE(_xlfn.TEXTAFTER(A69, "epg-"), "/")</f>
        <v/>
      </c>
      <c r="D69">
        <f>_xlfn.TEXTBEFORE(_xlfn.TEXTAFTER(A69, "rspathAtt-"), "]") &amp; "]]"</f>
        <v/>
      </c>
      <c r="E69">
        <f>_xlfn.TEXTBEFORE(_xlfn.TEXTAFTER(D69, "pod-"), "/")</f>
        <v/>
      </c>
      <c r="F69">
        <f>_xlfn.TEXTBEFORE(_xlfn.TEXTAFTER(D69, "paths-"), "/")</f>
        <v/>
      </c>
      <c r="G69">
        <f>_xlfn.TEXTBEFORE(_xlfn.TEXTAFTER(D69, "pathep-["), "]")</f>
        <v/>
      </c>
      <c r="H69">
        <f>_xlfn.CONCAT(F69,G69)</f>
        <v/>
      </c>
      <c r="I69" t="inlineStr">
        <is>
          <t>vlan-1150</t>
        </is>
      </c>
      <c r="J69" t="inlineStr">
        <is>
          <t>regular</t>
        </is>
      </c>
    </row>
    <row r="70">
      <c r="A70" t="inlineStr">
        <is>
          <t>uni/tn-TELCEL_TELCO_NETWORK/ap-AP_red_gprs_Gn/epg-EPG_VLAN_816_eNB_INGENIEROS/rspathA</t>
        </is>
      </c>
      <c r="B70">
        <f>_xlfn.TEXTBEFORE(_xlfn.TEXTAFTER(A70, "ap-"), "/")</f>
        <v/>
      </c>
      <c r="C70">
        <f>_xlfn.TEXTBEFORE(_xlfn.TEXTAFTER(A70, "epg-"), "/")</f>
        <v/>
      </c>
      <c r="D70">
        <f>_xlfn.TEXTBEFORE(_xlfn.TEXTAFTER(A70, "rspathAtt-"), "]") &amp; "]]"</f>
        <v/>
      </c>
      <c r="E70">
        <f>_xlfn.TEXTBEFORE(_xlfn.TEXTAFTER(D70, "pod-"), "/")</f>
        <v/>
      </c>
      <c r="F70">
        <f>_xlfn.TEXTBEFORE(_xlfn.TEXTAFTER(D70, "paths-"), "/")</f>
        <v/>
      </c>
      <c r="G70">
        <f>_xlfn.TEXTBEFORE(_xlfn.TEXTAFTER(D70, "pathep-["), "]")</f>
        <v/>
      </c>
      <c r="H70">
        <f>_xlfn.CONCAT(F70,G70)</f>
        <v/>
      </c>
      <c r="I70" t="inlineStr">
        <is>
          <t>vlan-816</t>
        </is>
      </c>
      <c r="J70" t="inlineStr">
        <is>
          <t>regular</t>
        </is>
      </c>
    </row>
    <row r="71">
      <c r="A71" t="inlineStr">
        <is>
          <t>uni/tn-TELCEL_TELCO_NETWORK/ap-AP_red_gprs_Gn/epg-EPG_VLAN_903/rspathAtt-[topology/po</t>
        </is>
      </c>
      <c r="B71">
        <f>_xlfn.TEXTBEFORE(_xlfn.TEXTAFTER(A71, "ap-"), "/")</f>
        <v/>
      </c>
      <c r="C71">
        <f>_xlfn.TEXTBEFORE(_xlfn.TEXTAFTER(A71, "epg-"), "/")</f>
        <v/>
      </c>
      <c r="D71">
        <f>_xlfn.TEXTBEFORE(_xlfn.TEXTAFTER(A71, "rspathAtt-"), "]") &amp; "]]"</f>
        <v/>
      </c>
      <c r="E71">
        <f>_xlfn.TEXTBEFORE(_xlfn.TEXTAFTER(D71, "pod-"), "/")</f>
        <v/>
      </c>
      <c r="F71">
        <f>_xlfn.TEXTBEFORE(_xlfn.TEXTAFTER(D71, "paths-"), "/")</f>
        <v/>
      </c>
      <c r="G71">
        <f>_xlfn.TEXTBEFORE(_xlfn.TEXTAFTER(D71, "pathep-["), "]")</f>
        <v/>
      </c>
      <c r="H71">
        <f>_xlfn.CONCAT(F71,G71)</f>
        <v/>
      </c>
      <c r="I71" t="inlineStr">
        <is>
          <t>vlan-903</t>
        </is>
      </c>
      <c r="J71" t="inlineStr">
        <is>
          <t>regular</t>
        </is>
      </c>
    </row>
    <row r="72">
      <c r="A72" t="inlineStr">
        <is>
          <t>uni/tn-TELCEL_TELCO_NETWORK/ap-AP_telcel_ipcorp/epg-EPG_VLAN_901/rspathAtt-[topology/</t>
        </is>
      </c>
      <c r="B72">
        <f>_xlfn.TEXTBEFORE(_xlfn.TEXTAFTER(A72, "ap-"), "/")</f>
        <v/>
      </c>
      <c r="C72">
        <f>_xlfn.TEXTBEFORE(_xlfn.TEXTAFTER(A72, "epg-"), "/")</f>
        <v/>
      </c>
      <c r="D72">
        <f>_xlfn.TEXTBEFORE(_xlfn.TEXTAFTER(A72, "rspathAtt-"), "]") &amp; "]]"</f>
        <v/>
      </c>
      <c r="E72">
        <f>_xlfn.TEXTBEFORE(_xlfn.TEXTAFTER(D72, "pod-"), "/")</f>
        <v/>
      </c>
      <c r="F72">
        <f>_xlfn.TEXTBEFORE(_xlfn.TEXTAFTER(D72, "paths-"), "/")</f>
        <v/>
      </c>
      <c r="G72">
        <f>_xlfn.TEXTBEFORE(_xlfn.TEXTAFTER(D72, "pathep-["), "]")</f>
        <v/>
      </c>
      <c r="H72">
        <f>_xlfn.CONCAT(F72,G72)</f>
        <v/>
      </c>
      <c r="I72" t="inlineStr">
        <is>
          <t>vlan-901</t>
        </is>
      </c>
      <c r="J72" t="inlineStr">
        <is>
          <t>regular</t>
        </is>
      </c>
    </row>
    <row r="73">
      <c r="A73" t="inlineStr">
        <is>
          <t>uni/tn-TELCEL_TELCO_NETWORK/ap-AP_telcel_ipcorp/epg-EPG_VLAN_901/rspathAtt-[topology/</t>
        </is>
      </c>
      <c r="B73">
        <f>_xlfn.TEXTBEFORE(_xlfn.TEXTAFTER(A73, "ap-"), "/")</f>
        <v/>
      </c>
      <c r="C73">
        <f>_xlfn.TEXTBEFORE(_xlfn.TEXTAFTER(A73, "epg-"), "/")</f>
        <v/>
      </c>
      <c r="D73">
        <f>_xlfn.TEXTBEFORE(_xlfn.TEXTAFTER(A73, "rspathAtt-"), "]") &amp; "]]"</f>
        <v/>
      </c>
      <c r="E73">
        <f>_xlfn.TEXTBEFORE(_xlfn.TEXTAFTER(D73, "pod-"), "/")</f>
        <v/>
      </c>
      <c r="F73">
        <f>_xlfn.TEXTBEFORE(_xlfn.TEXTAFTER(D73, "paths-"), "/")</f>
        <v/>
      </c>
      <c r="G73">
        <f>_xlfn.TEXTBEFORE(_xlfn.TEXTAFTER(D73, "pathep-["), "]")</f>
        <v/>
      </c>
      <c r="H73">
        <f>_xlfn.CONCAT(F73,G73)</f>
        <v/>
      </c>
      <c r="I73" t="inlineStr">
        <is>
          <t>vlan-901</t>
        </is>
      </c>
      <c r="J73" t="inlineStr">
        <is>
          <t>regular</t>
        </is>
      </c>
    </row>
    <row r="74">
      <c r="A74" t="inlineStr">
        <is>
          <t>uni/tn-TELCEL_TELCO_NETWORK/ap-AP_red_gprs_Gn/epg-EPG_VLAN_913/rspathAtt-[topology/po</t>
        </is>
      </c>
      <c r="B74">
        <f>_xlfn.TEXTBEFORE(_xlfn.TEXTAFTER(A74, "ap-"), "/")</f>
        <v/>
      </c>
      <c r="C74">
        <f>_xlfn.TEXTBEFORE(_xlfn.TEXTAFTER(A74, "epg-"), "/")</f>
        <v/>
      </c>
      <c r="D74">
        <f>_xlfn.TEXTBEFORE(_xlfn.TEXTAFTER(A74, "rspathAtt-"), "]") &amp; "]]"</f>
        <v/>
      </c>
      <c r="E74">
        <f>_xlfn.TEXTBEFORE(_xlfn.TEXTAFTER(D74, "pod-"), "/")</f>
        <v/>
      </c>
      <c r="F74">
        <f>_xlfn.TEXTBEFORE(_xlfn.TEXTAFTER(D74, "paths-"), "/")</f>
        <v/>
      </c>
      <c r="G74">
        <f>_xlfn.TEXTBEFORE(_xlfn.TEXTAFTER(D74, "pathep-["), "]")</f>
        <v/>
      </c>
      <c r="H74">
        <f>_xlfn.CONCAT(F74,G74)</f>
        <v/>
      </c>
      <c r="I74" t="inlineStr">
        <is>
          <t>vlan-913</t>
        </is>
      </c>
      <c r="J74" t="inlineStr">
        <is>
          <t>regular</t>
        </is>
      </c>
    </row>
    <row r="75">
      <c r="A75" t="inlineStr">
        <is>
          <t>uni/tn-TELCEL_TELCO_NETWORK/ap-AP_red_gprs_Gn/epg-EPG_VLAN_101_NR-INGENIEROS/rspathAt</t>
        </is>
      </c>
      <c r="B75">
        <f>_xlfn.TEXTBEFORE(_xlfn.TEXTAFTER(A75, "ap-"), "/")</f>
        <v/>
      </c>
      <c r="C75">
        <f>_xlfn.TEXTBEFORE(_xlfn.TEXTAFTER(A75, "epg-"), "/")</f>
        <v/>
      </c>
      <c r="D75">
        <f>_xlfn.TEXTBEFORE(_xlfn.TEXTAFTER(A75, "rspathAtt-"), "]") &amp; "]]"</f>
        <v/>
      </c>
      <c r="E75">
        <f>_xlfn.TEXTBEFORE(_xlfn.TEXTAFTER(D75, "pod-"), "/")</f>
        <v/>
      </c>
      <c r="F75">
        <f>_xlfn.TEXTBEFORE(_xlfn.TEXTAFTER(D75, "paths-"), "/")</f>
        <v/>
      </c>
      <c r="G75">
        <f>_xlfn.TEXTBEFORE(_xlfn.TEXTAFTER(D75, "pathep-["), "]")</f>
        <v/>
      </c>
      <c r="H75">
        <f>_xlfn.CONCAT(F75,G75)</f>
        <v/>
      </c>
      <c r="I75" t="inlineStr">
        <is>
          <t>vlan-101</t>
        </is>
      </c>
      <c r="J75" t="inlineStr">
        <is>
          <t>regular</t>
        </is>
      </c>
    </row>
    <row r="76">
      <c r="A76" t="inlineStr">
        <is>
          <t>uni/tn-TELCEL_TELCO_NETWORK/ap-AP_red_sig_IP/epg-EPG_VLAN_1101/rspathAtt-[topology/po</t>
        </is>
      </c>
      <c r="B76">
        <f>_xlfn.TEXTBEFORE(_xlfn.TEXTAFTER(A76, "ap-"), "/")</f>
        <v/>
      </c>
      <c r="C76">
        <f>_xlfn.TEXTBEFORE(_xlfn.TEXTAFTER(A76, "epg-"), "/")</f>
        <v/>
      </c>
      <c r="D76">
        <f>_xlfn.TEXTBEFORE(_xlfn.TEXTAFTER(A76, "rspathAtt-"), "]") &amp; "]]"</f>
        <v/>
      </c>
      <c r="E76">
        <f>_xlfn.TEXTBEFORE(_xlfn.TEXTAFTER(D76, "pod-"), "/")</f>
        <v/>
      </c>
      <c r="F76">
        <f>_xlfn.TEXTBEFORE(_xlfn.TEXTAFTER(D76, "paths-"), "/")</f>
        <v/>
      </c>
      <c r="G76">
        <f>_xlfn.TEXTBEFORE(_xlfn.TEXTAFTER(D76, "pathep-["), "]")</f>
        <v/>
      </c>
      <c r="H76">
        <f>_xlfn.CONCAT(F76,G76)</f>
        <v/>
      </c>
      <c r="I76" t="inlineStr">
        <is>
          <t>vlan-1101</t>
        </is>
      </c>
      <c r="J76" t="inlineStr">
        <is>
          <t>regular</t>
        </is>
      </c>
    </row>
    <row r="77">
      <c r="A77" t="inlineStr">
        <is>
          <t>uni/tn-TELCEL_TELCO_NETWORK/ap-AP_red_sig_IP/epg-EPG_VLAN_450/rspathAtt-[topology/pod</t>
        </is>
      </c>
      <c r="B77">
        <f>_xlfn.TEXTBEFORE(_xlfn.TEXTAFTER(A77, "ap-"), "/")</f>
        <v/>
      </c>
      <c r="C77">
        <f>_xlfn.TEXTBEFORE(_xlfn.TEXTAFTER(A77, "epg-"), "/")</f>
        <v/>
      </c>
      <c r="D77">
        <f>_xlfn.TEXTBEFORE(_xlfn.TEXTAFTER(A77, "rspathAtt-"), "]") &amp; "]]"</f>
        <v/>
      </c>
      <c r="E77">
        <f>_xlfn.TEXTBEFORE(_xlfn.TEXTAFTER(D77, "pod-"), "/")</f>
        <v/>
      </c>
      <c r="F77">
        <f>_xlfn.TEXTBEFORE(_xlfn.TEXTAFTER(D77, "paths-"), "/")</f>
        <v/>
      </c>
      <c r="G77">
        <f>_xlfn.TEXTBEFORE(_xlfn.TEXTAFTER(D77, "pathep-["), "]")</f>
        <v/>
      </c>
      <c r="H77">
        <f>_xlfn.CONCAT(F77,G77)</f>
        <v/>
      </c>
      <c r="I77" t="inlineStr">
        <is>
          <t>vlan-450</t>
        </is>
      </c>
      <c r="J77" t="inlineStr">
        <is>
          <t>regular</t>
        </is>
      </c>
    </row>
    <row r="78">
      <c r="A78" t="inlineStr">
        <is>
          <t>uni/tn-TELCEL_TELCO_NETWORK/ap-AP_red_sig_IP/epg-EPG_VLAN_450/rspathAtt-[topology/pod</t>
        </is>
      </c>
      <c r="B78">
        <f>_xlfn.TEXTBEFORE(_xlfn.TEXTAFTER(A78, "ap-"), "/")</f>
        <v/>
      </c>
      <c r="C78">
        <f>_xlfn.TEXTBEFORE(_xlfn.TEXTAFTER(A78, "epg-"), "/")</f>
        <v/>
      </c>
      <c r="D78">
        <f>_xlfn.TEXTBEFORE(_xlfn.TEXTAFTER(A78, "rspathAtt-"), "]") &amp; "]]"</f>
        <v/>
      </c>
      <c r="E78">
        <f>_xlfn.TEXTBEFORE(_xlfn.TEXTAFTER(D78, "pod-"), "/")</f>
        <v/>
      </c>
      <c r="F78">
        <f>_xlfn.TEXTBEFORE(_xlfn.TEXTAFTER(D78, "paths-"), "/")</f>
        <v/>
      </c>
      <c r="G78">
        <f>_xlfn.TEXTBEFORE(_xlfn.TEXTAFTER(D78, "pathep-["), "]")</f>
        <v/>
      </c>
      <c r="H78">
        <f>_xlfn.CONCAT(F78,G78)</f>
        <v/>
      </c>
      <c r="I78" t="inlineStr">
        <is>
          <t>vlan-450</t>
        </is>
      </c>
      <c r="J78" t="inlineStr">
        <is>
          <t>regular</t>
        </is>
      </c>
    </row>
    <row r="79">
      <c r="A79" t="inlineStr">
        <is>
          <t>uni/tn-TELCEL_TELCO_NETWORK/ap-AP_red_sig_IP/epg-EPG_VLAN_2019/rspathAtt-[topology/po</t>
        </is>
      </c>
      <c r="B79">
        <f>_xlfn.TEXTBEFORE(_xlfn.TEXTAFTER(A79, "ap-"), "/")</f>
        <v/>
      </c>
      <c r="C79">
        <f>_xlfn.TEXTBEFORE(_xlfn.TEXTAFTER(A79, "epg-"), "/")</f>
        <v/>
      </c>
      <c r="D79">
        <f>_xlfn.TEXTBEFORE(_xlfn.TEXTAFTER(A79, "rspathAtt-"), "]") &amp; "]]"</f>
        <v/>
      </c>
      <c r="E79">
        <f>_xlfn.TEXTBEFORE(_xlfn.TEXTAFTER(D79, "pod-"), "/")</f>
        <v/>
      </c>
      <c r="F79">
        <f>_xlfn.TEXTBEFORE(_xlfn.TEXTAFTER(D79, "paths-"), "/")</f>
        <v/>
      </c>
      <c r="G79">
        <f>_xlfn.TEXTBEFORE(_xlfn.TEXTAFTER(D79, "pathep-["), "]")</f>
        <v/>
      </c>
      <c r="H79">
        <f>_xlfn.CONCAT(F79,G79)</f>
        <v/>
      </c>
      <c r="I79" t="inlineStr">
        <is>
          <t>vlan-2019</t>
        </is>
      </c>
      <c r="J79" t="inlineStr">
        <is>
          <t>regular</t>
        </is>
      </c>
    </row>
    <row r="80">
      <c r="A80" t="inlineStr">
        <is>
          <t>uni/tn-TELCEL_TELCO_NETWORK/ap-AP_telcel_ipcorp/epg-EPG_VLAN_61/rspathAtt-[topology/p</t>
        </is>
      </c>
      <c r="B80">
        <f>_xlfn.TEXTBEFORE(_xlfn.TEXTAFTER(A80, "ap-"), "/")</f>
        <v/>
      </c>
      <c r="C80">
        <f>_xlfn.TEXTBEFORE(_xlfn.TEXTAFTER(A80, "epg-"), "/")</f>
        <v/>
      </c>
      <c r="D80">
        <f>_xlfn.TEXTBEFORE(_xlfn.TEXTAFTER(A80, "rspathAtt-"), "]") &amp; "]]"</f>
        <v/>
      </c>
      <c r="E80">
        <f>_xlfn.TEXTBEFORE(_xlfn.TEXTAFTER(D80, "pod-"), "/")</f>
        <v/>
      </c>
      <c r="F80">
        <f>_xlfn.TEXTBEFORE(_xlfn.TEXTAFTER(D80, "paths-"), "/")</f>
        <v/>
      </c>
      <c r="G80">
        <f>_xlfn.TEXTBEFORE(_xlfn.TEXTAFTER(D80, "pathep-["), "]")</f>
        <v/>
      </c>
      <c r="H80">
        <f>_xlfn.CONCAT(F80,G80)</f>
        <v/>
      </c>
      <c r="I80" t="inlineStr">
        <is>
          <t>vlan-61</t>
        </is>
      </c>
      <c r="J80" t="inlineStr">
        <is>
          <t>untagged</t>
        </is>
      </c>
    </row>
    <row r="81">
      <c r="A81" t="inlineStr">
        <is>
          <t>uni/tn-TELCEL_TELCO_NETWORK/ap-AP_red_sig_IP/epg-EPG_VLAN_2020/rspathAtt-[topology/po</t>
        </is>
      </c>
      <c r="B81">
        <f>_xlfn.TEXTBEFORE(_xlfn.TEXTAFTER(A81, "ap-"), "/")</f>
        <v/>
      </c>
      <c r="C81">
        <f>_xlfn.TEXTBEFORE(_xlfn.TEXTAFTER(A81, "epg-"), "/")</f>
        <v/>
      </c>
      <c r="D81">
        <f>_xlfn.TEXTBEFORE(_xlfn.TEXTAFTER(A81, "rspathAtt-"), "]") &amp; "]]"</f>
        <v/>
      </c>
      <c r="E81">
        <f>_xlfn.TEXTBEFORE(_xlfn.TEXTAFTER(D81, "pod-"), "/")</f>
        <v/>
      </c>
      <c r="F81">
        <f>_xlfn.TEXTBEFORE(_xlfn.TEXTAFTER(D81, "paths-"), "/")</f>
        <v/>
      </c>
      <c r="G81">
        <f>_xlfn.TEXTBEFORE(_xlfn.TEXTAFTER(D81, "pathep-["), "]")</f>
        <v/>
      </c>
      <c r="H81">
        <f>_xlfn.CONCAT(F81,G81)</f>
        <v/>
      </c>
      <c r="I81" t="inlineStr">
        <is>
          <t>vlan-2020</t>
        </is>
      </c>
      <c r="J81" t="inlineStr">
        <is>
          <t>regular</t>
        </is>
      </c>
    </row>
    <row r="82">
      <c r="A82" t="inlineStr">
        <is>
          <t>uni/tn-TELCEL_TELCO_NETWORK/ap-AP_red_sig_IP/epg-EPG_VLAN_2018/rspathAtt-[topology/po</t>
        </is>
      </c>
      <c r="B82">
        <f>_xlfn.TEXTBEFORE(_xlfn.TEXTAFTER(A82, "ap-"), "/")</f>
        <v/>
      </c>
      <c r="C82">
        <f>_xlfn.TEXTBEFORE(_xlfn.TEXTAFTER(A82, "epg-"), "/")</f>
        <v/>
      </c>
      <c r="D82">
        <f>_xlfn.TEXTBEFORE(_xlfn.TEXTAFTER(A82, "rspathAtt-"), "]") &amp; "]]"</f>
        <v/>
      </c>
      <c r="E82">
        <f>_xlfn.TEXTBEFORE(_xlfn.TEXTAFTER(D82, "pod-"), "/")</f>
        <v/>
      </c>
      <c r="F82">
        <f>_xlfn.TEXTBEFORE(_xlfn.TEXTAFTER(D82, "paths-"), "/")</f>
        <v/>
      </c>
      <c r="G82">
        <f>_xlfn.TEXTBEFORE(_xlfn.TEXTAFTER(D82, "pathep-["), "]")</f>
        <v/>
      </c>
      <c r="H82">
        <f>_xlfn.CONCAT(F82,G82)</f>
        <v/>
      </c>
      <c r="I82" t="inlineStr">
        <is>
          <t>vlan-2018</t>
        </is>
      </c>
      <c r="J82" t="inlineStr">
        <is>
          <t>regular</t>
        </is>
      </c>
    </row>
    <row r="83">
      <c r="A83" t="inlineStr">
        <is>
          <t>uni/tn-TELCEL_TELCO_NETWORK/ap-AP_red_sig_IP/epg-EPG_VLAN_2018/rspathAtt-[topology/po</t>
        </is>
      </c>
      <c r="B83">
        <f>_xlfn.TEXTBEFORE(_xlfn.TEXTAFTER(A83, "ap-"), "/")</f>
        <v/>
      </c>
      <c r="C83">
        <f>_xlfn.TEXTBEFORE(_xlfn.TEXTAFTER(A83, "epg-"), "/")</f>
        <v/>
      </c>
      <c r="D83">
        <f>_xlfn.TEXTBEFORE(_xlfn.TEXTAFTER(A83, "rspathAtt-"), "]") &amp; "]]"</f>
        <v/>
      </c>
      <c r="E83">
        <f>_xlfn.TEXTBEFORE(_xlfn.TEXTAFTER(D83, "pod-"), "/")</f>
        <v/>
      </c>
      <c r="F83">
        <f>_xlfn.TEXTBEFORE(_xlfn.TEXTAFTER(D83, "paths-"), "/")</f>
        <v/>
      </c>
      <c r="G83">
        <f>_xlfn.TEXTBEFORE(_xlfn.TEXTAFTER(D83, "pathep-["), "]")</f>
        <v/>
      </c>
      <c r="H83">
        <f>_xlfn.CONCAT(F83,G83)</f>
        <v/>
      </c>
      <c r="I83" t="inlineStr">
        <is>
          <t>vlan-2018</t>
        </is>
      </c>
      <c r="J83" t="inlineStr">
        <is>
          <t>regular</t>
        </is>
      </c>
    </row>
    <row r="84">
      <c r="A84" t="inlineStr">
        <is>
          <t>uni/tn-TELCEL_TELCO_NETWORK/ap-AP_red_sig_IP/epg-EPG_VLAN_521/rspathAtt-[topology/pod</t>
        </is>
      </c>
      <c r="B84">
        <f>_xlfn.TEXTBEFORE(_xlfn.TEXTAFTER(A84, "ap-"), "/")</f>
        <v/>
      </c>
      <c r="C84">
        <f>_xlfn.TEXTBEFORE(_xlfn.TEXTAFTER(A84, "epg-"), "/")</f>
        <v/>
      </c>
      <c r="D84">
        <f>_xlfn.TEXTBEFORE(_xlfn.TEXTAFTER(A84, "rspathAtt-"), "]") &amp; "]]"</f>
        <v/>
      </c>
      <c r="E84">
        <f>_xlfn.TEXTBEFORE(_xlfn.TEXTAFTER(D84, "pod-"), "/")</f>
        <v/>
      </c>
      <c r="F84">
        <f>_xlfn.TEXTBEFORE(_xlfn.TEXTAFTER(D84, "paths-"), "/")</f>
        <v/>
      </c>
      <c r="G84">
        <f>_xlfn.TEXTBEFORE(_xlfn.TEXTAFTER(D84, "pathep-["), "]")</f>
        <v/>
      </c>
      <c r="H84">
        <f>_xlfn.CONCAT(F84,G84)</f>
        <v/>
      </c>
      <c r="I84" t="inlineStr">
        <is>
          <t>vlan-521</t>
        </is>
      </c>
      <c r="J84" t="inlineStr">
        <is>
          <t>regular</t>
        </is>
      </c>
    </row>
    <row r="85">
      <c r="A85" t="inlineStr">
        <is>
          <t>uni/tn-TELCEL_TELCO_NETWORK/ap-AP_red_sig_IP/epg-EPG_VLAN_522/rspathAtt-[topology/pod</t>
        </is>
      </c>
      <c r="B85">
        <f>_xlfn.TEXTBEFORE(_xlfn.TEXTAFTER(A85, "ap-"), "/")</f>
        <v/>
      </c>
      <c r="C85">
        <f>_xlfn.TEXTBEFORE(_xlfn.TEXTAFTER(A85, "epg-"), "/")</f>
        <v/>
      </c>
      <c r="D85">
        <f>_xlfn.TEXTBEFORE(_xlfn.TEXTAFTER(A85, "rspathAtt-"), "]") &amp; "]]"</f>
        <v/>
      </c>
      <c r="E85">
        <f>_xlfn.TEXTBEFORE(_xlfn.TEXTAFTER(D85, "pod-"), "/")</f>
        <v/>
      </c>
      <c r="F85">
        <f>_xlfn.TEXTBEFORE(_xlfn.TEXTAFTER(D85, "paths-"), "/")</f>
        <v/>
      </c>
      <c r="G85">
        <f>_xlfn.TEXTBEFORE(_xlfn.TEXTAFTER(D85, "pathep-["), "]")</f>
        <v/>
      </c>
      <c r="H85">
        <f>_xlfn.CONCAT(F85,G85)</f>
        <v/>
      </c>
      <c r="I85" t="inlineStr">
        <is>
          <t>vlan-522</t>
        </is>
      </c>
      <c r="J85" t="inlineStr">
        <is>
          <t>regular</t>
        </is>
      </c>
    </row>
    <row r="86">
      <c r="A86" t="inlineStr">
        <is>
          <t>uni/tn-TELCEL_TELCO_NETWORK/ap-AP_Abis_2G_IP/epg-EPG_VLAN_917_SIU_ERICSSON01-INGENIER</t>
        </is>
      </c>
      <c r="B86">
        <f>_xlfn.TEXTBEFORE(_xlfn.TEXTAFTER(A86, "ap-"), "/")</f>
        <v/>
      </c>
      <c r="C86">
        <f>_xlfn.TEXTBEFORE(_xlfn.TEXTAFTER(A86, "epg-"), "/")</f>
        <v/>
      </c>
      <c r="D86">
        <f>_xlfn.TEXTBEFORE(_xlfn.TEXTAFTER(A86, "rspathAtt-"), "]") &amp; "]]"</f>
        <v/>
      </c>
      <c r="E86">
        <f>_xlfn.TEXTBEFORE(_xlfn.TEXTAFTER(D86, "pod-"), "/")</f>
        <v/>
      </c>
      <c r="F86">
        <f>_xlfn.TEXTBEFORE(_xlfn.TEXTAFTER(D86, "paths-"), "/")</f>
        <v/>
      </c>
      <c r="G86">
        <f>_xlfn.TEXTBEFORE(_xlfn.TEXTAFTER(D86, "pathep-["), "]")</f>
        <v/>
      </c>
      <c r="H86">
        <f>_xlfn.CONCAT(F86,G86)</f>
        <v/>
      </c>
      <c r="I86" t="inlineStr">
        <is>
          <t>vlan-917</t>
        </is>
      </c>
      <c r="J86" t="inlineStr">
        <is>
          <t>regular</t>
        </is>
      </c>
    </row>
    <row r="87">
      <c r="A87" t="inlineStr">
        <is>
          <t>uni/tn-TELCEL_TELCO_NETWORK/ap-AP_Abis_2G_IP/epg-EPG_VLAN_911/rspathAtt-[topology/pod</t>
        </is>
      </c>
      <c r="B87">
        <f>_xlfn.TEXTBEFORE(_xlfn.TEXTAFTER(A87, "ap-"), "/")</f>
        <v/>
      </c>
      <c r="C87">
        <f>_xlfn.TEXTBEFORE(_xlfn.TEXTAFTER(A87, "epg-"), "/")</f>
        <v/>
      </c>
      <c r="D87">
        <f>_xlfn.TEXTBEFORE(_xlfn.TEXTAFTER(A87, "rspathAtt-"), "]") &amp; "]]"</f>
        <v/>
      </c>
      <c r="E87">
        <f>_xlfn.TEXTBEFORE(_xlfn.TEXTAFTER(D87, "pod-"), "/")</f>
        <v/>
      </c>
      <c r="F87">
        <f>_xlfn.TEXTBEFORE(_xlfn.TEXTAFTER(D87, "paths-"), "/")</f>
        <v/>
      </c>
      <c r="G87">
        <f>_xlfn.TEXTBEFORE(_xlfn.TEXTAFTER(D87, "pathep-["), "]")</f>
        <v/>
      </c>
      <c r="H87">
        <f>_xlfn.CONCAT(F87,G87)</f>
        <v/>
      </c>
      <c r="I87" t="inlineStr">
        <is>
          <t>vlan-911</t>
        </is>
      </c>
      <c r="J87" t="inlineStr">
        <is>
          <t>regular</t>
        </is>
      </c>
    </row>
    <row r="88">
      <c r="A88" t="inlineStr">
        <is>
          <t>uni/tn-TELCEL_TELCO_NETWORK/ap-AP_Abis_2G_IP/epg-EPG_VLAN_911/rspathAtt-[topology/pod</t>
        </is>
      </c>
      <c r="B88">
        <f>_xlfn.TEXTBEFORE(_xlfn.TEXTAFTER(A88, "ap-"), "/")</f>
        <v/>
      </c>
      <c r="C88">
        <f>_xlfn.TEXTBEFORE(_xlfn.TEXTAFTER(A88, "epg-"), "/")</f>
        <v/>
      </c>
      <c r="D88">
        <f>_xlfn.TEXTBEFORE(_xlfn.TEXTAFTER(A88, "rspathAtt-"), "]") &amp; "]]"</f>
        <v/>
      </c>
      <c r="E88">
        <f>_xlfn.TEXTBEFORE(_xlfn.TEXTAFTER(D88, "pod-"), "/")</f>
        <v/>
      </c>
      <c r="F88">
        <f>_xlfn.TEXTBEFORE(_xlfn.TEXTAFTER(D88, "paths-"), "/")</f>
        <v/>
      </c>
      <c r="G88">
        <f>_xlfn.TEXTBEFORE(_xlfn.TEXTAFTER(D88, "pathep-["), "]")</f>
        <v/>
      </c>
      <c r="H88">
        <f>_xlfn.CONCAT(F88,G88)</f>
        <v/>
      </c>
      <c r="I88" t="inlineStr">
        <is>
          <t>vlan-911</t>
        </is>
      </c>
      <c r="J88" t="inlineStr">
        <is>
          <t>regular</t>
        </is>
      </c>
    </row>
    <row r="89">
      <c r="A89" t="inlineStr">
        <is>
          <t>uni/tn-TELCEL_TELCO_NETWORK/ap-AP_Abis_2G_IP/epg-EPG_VLAN_911/rspathAtt-[topology/pod</t>
        </is>
      </c>
      <c r="B89">
        <f>_xlfn.TEXTBEFORE(_xlfn.TEXTAFTER(A89, "ap-"), "/")</f>
        <v/>
      </c>
      <c r="C89">
        <f>_xlfn.TEXTBEFORE(_xlfn.TEXTAFTER(A89, "epg-"), "/")</f>
        <v/>
      </c>
      <c r="D89">
        <f>_xlfn.TEXTBEFORE(_xlfn.TEXTAFTER(A89, "rspathAtt-"), "]") &amp; "]]"</f>
        <v/>
      </c>
      <c r="E89">
        <f>_xlfn.TEXTBEFORE(_xlfn.TEXTAFTER(D89, "pod-"), "/")</f>
        <v/>
      </c>
      <c r="F89">
        <f>_xlfn.TEXTBEFORE(_xlfn.TEXTAFTER(D89, "paths-"), "/")</f>
        <v/>
      </c>
      <c r="G89">
        <f>_xlfn.TEXTBEFORE(_xlfn.TEXTAFTER(D89, "pathep-["), "]")</f>
        <v/>
      </c>
      <c r="H89">
        <f>_xlfn.CONCAT(F89,G89)</f>
        <v/>
      </c>
      <c r="I89" t="inlineStr">
        <is>
          <t>vlan-911</t>
        </is>
      </c>
      <c r="J89" t="inlineStr">
        <is>
          <t>regular</t>
        </is>
      </c>
    </row>
    <row r="90">
      <c r="A90" t="inlineStr">
        <is>
          <t>uni/tn-TELCEL_TELCO_NETWORK/ap-AP_Abis_2G_IP/epg-EPG_VLAN_911/rspathAtt-[topology/pod</t>
        </is>
      </c>
      <c r="B90">
        <f>_xlfn.TEXTBEFORE(_xlfn.TEXTAFTER(A90, "ap-"), "/")</f>
        <v/>
      </c>
      <c r="C90">
        <f>_xlfn.TEXTBEFORE(_xlfn.TEXTAFTER(A90, "epg-"), "/")</f>
        <v/>
      </c>
      <c r="D90">
        <f>_xlfn.TEXTBEFORE(_xlfn.TEXTAFTER(A90, "rspathAtt-"), "]") &amp; "]]"</f>
        <v/>
      </c>
      <c r="E90">
        <f>_xlfn.TEXTBEFORE(_xlfn.TEXTAFTER(D90, "pod-"), "/")</f>
        <v/>
      </c>
      <c r="F90">
        <f>_xlfn.TEXTBEFORE(_xlfn.TEXTAFTER(D90, "paths-"), "/")</f>
        <v/>
      </c>
      <c r="G90">
        <f>_xlfn.TEXTBEFORE(_xlfn.TEXTAFTER(D90, "pathep-["), "]")</f>
        <v/>
      </c>
      <c r="H90">
        <f>_xlfn.CONCAT(F90,G90)</f>
        <v/>
      </c>
      <c r="I90" t="inlineStr">
        <is>
          <t>vlan-911</t>
        </is>
      </c>
      <c r="J90" t="inlineStr">
        <is>
          <t>regular</t>
        </is>
      </c>
    </row>
    <row r="91">
      <c r="A91" t="inlineStr">
        <is>
          <t>uni/tn-TELCEL_TELCO_NETWORK/ap-AP_red_sig_IP/epg-EPG_VLAN_522/rspathAtt-[topology/pod</t>
        </is>
      </c>
      <c r="B91">
        <f>_xlfn.TEXTBEFORE(_xlfn.TEXTAFTER(A91, "ap-"), "/")</f>
        <v/>
      </c>
      <c r="C91">
        <f>_xlfn.TEXTBEFORE(_xlfn.TEXTAFTER(A91, "epg-"), "/")</f>
        <v/>
      </c>
      <c r="D91">
        <f>_xlfn.TEXTBEFORE(_xlfn.TEXTAFTER(A91, "rspathAtt-"), "]") &amp; "]]"</f>
        <v/>
      </c>
      <c r="E91">
        <f>_xlfn.TEXTBEFORE(_xlfn.TEXTAFTER(D91, "pod-"), "/")</f>
        <v/>
      </c>
      <c r="F91">
        <f>_xlfn.TEXTBEFORE(_xlfn.TEXTAFTER(D91, "paths-"), "/")</f>
        <v/>
      </c>
      <c r="G91">
        <f>_xlfn.TEXTBEFORE(_xlfn.TEXTAFTER(D91, "pathep-["), "]")</f>
        <v/>
      </c>
      <c r="H91">
        <f>_xlfn.CONCAT(F91,G91)</f>
        <v/>
      </c>
      <c r="I91" t="inlineStr">
        <is>
          <t>vlan-522</t>
        </is>
      </c>
      <c r="J91" t="inlineStr">
        <is>
          <t>regular</t>
        </is>
      </c>
    </row>
    <row r="92">
      <c r="A92" t="inlineStr">
        <is>
          <t>uni/tn-TELCEL_TELCO_NETWORK/ap-AP_telcel_ipcorp/epg-EPG_VLAN_105/rspathAtt-[topology/</t>
        </is>
      </c>
      <c r="B92">
        <f>_xlfn.TEXTBEFORE(_xlfn.TEXTAFTER(A92, "ap-"), "/")</f>
        <v/>
      </c>
      <c r="C92">
        <f>_xlfn.TEXTBEFORE(_xlfn.TEXTAFTER(A92, "epg-"), "/")</f>
        <v/>
      </c>
      <c r="D92">
        <f>_xlfn.TEXTBEFORE(_xlfn.TEXTAFTER(A92, "rspathAtt-"), "]") &amp; "]]"</f>
        <v/>
      </c>
      <c r="E92">
        <f>_xlfn.TEXTBEFORE(_xlfn.TEXTAFTER(D92, "pod-"), "/")</f>
        <v/>
      </c>
      <c r="F92">
        <f>_xlfn.TEXTBEFORE(_xlfn.TEXTAFTER(D92, "paths-"), "/")</f>
        <v/>
      </c>
      <c r="G92">
        <f>_xlfn.TEXTBEFORE(_xlfn.TEXTAFTER(D92, "pathep-["), "]")</f>
        <v/>
      </c>
      <c r="H92">
        <f>_xlfn.CONCAT(F92,G92)</f>
        <v/>
      </c>
      <c r="I92" t="inlineStr">
        <is>
          <t>vlan-105</t>
        </is>
      </c>
      <c r="J92" t="inlineStr">
        <is>
          <t>untagged</t>
        </is>
      </c>
    </row>
    <row r="93">
      <c r="A93" t="inlineStr">
        <is>
          <t>uni/tn-TELCEL_TELCO_NETWORK/ap-AP_telcel_ipcorp/epg-EPG_VLAN_103/rspathAtt-[topology/</t>
        </is>
      </c>
      <c r="B93">
        <f>_xlfn.TEXTBEFORE(_xlfn.TEXTAFTER(A93, "ap-"), "/")</f>
        <v/>
      </c>
      <c r="C93">
        <f>_xlfn.TEXTBEFORE(_xlfn.TEXTAFTER(A93, "epg-"), "/")</f>
        <v/>
      </c>
      <c r="D93">
        <f>_xlfn.TEXTBEFORE(_xlfn.TEXTAFTER(A93, "rspathAtt-"), "]") &amp; "]]"</f>
        <v/>
      </c>
      <c r="E93">
        <f>_xlfn.TEXTBEFORE(_xlfn.TEXTAFTER(D93, "pod-"), "/")</f>
        <v/>
      </c>
      <c r="F93">
        <f>_xlfn.TEXTBEFORE(_xlfn.TEXTAFTER(D93, "paths-"), "/")</f>
        <v/>
      </c>
      <c r="G93">
        <f>_xlfn.TEXTBEFORE(_xlfn.TEXTAFTER(D93, "pathep-["), "]")</f>
        <v/>
      </c>
      <c r="H93">
        <f>_xlfn.CONCAT(F93,G93)</f>
        <v/>
      </c>
      <c r="I93" t="inlineStr">
        <is>
          <t>vlan-103</t>
        </is>
      </c>
      <c r="J93" t="inlineStr">
        <is>
          <t>untagged</t>
        </is>
      </c>
    </row>
    <row r="94">
      <c r="A94" t="inlineStr">
        <is>
          <t>uni/tn-TELCEL_TELCO_NETWORK/ap-AP_red_gprs_Gn/epg-EPG_VLAN_903/rspathAtt-[topology/po</t>
        </is>
      </c>
      <c r="B94">
        <f>_xlfn.TEXTBEFORE(_xlfn.TEXTAFTER(A94, "ap-"), "/")</f>
        <v/>
      </c>
      <c r="C94">
        <f>_xlfn.TEXTBEFORE(_xlfn.TEXTAFTER(A94, "epg-"), "/")</f>
        <v/>
      </c>
      <c r="D94">
        <f>_xlfn.TEXTBEFORE(_xlfn.TEXTAFTER(A94, "rspathAtt-"), "]") &amp; "]]"</f>
        <v/>
      </c>
      <c r="E94">
        <f>_xlfn.TEXTBEFORE(_xlfn.TEXTAFTER(D94, "pod-"), "/")</f>
        <v/>
      </c>
      <c r="F94">
        <f>_xlfn.TEXTBEFORE(_xlfn.TEXTAFTER(D94, "paths-"), "/")</f>
        <v/>
      </c>
      <c r="G94">
        <f>_xlfn.TEXTBEFORE(_xlfn.TEXTAFTER(D94, "pathep-["), "]")</f>
        <v/>
      </c>
      <c r="H94">
        <f>_xlfn.CONCAT(F94,G94)</f>
        <v/>
      </c>
      <c r="I94" t="inlineStr">
        <is>
          <t>vlan-903</t>
        </is>
      </c>
      <c r="J94" t="inlineStr">
        <is>
          <t>regular</t>
        </is>
      </c>
    </row>
    <row r="95">
      <c r="A95" t="inlineStr">
        <is>
          <t>uni/tn-TELCEL_TELCO_NETWORK/ap-AP_red_gprs_Gn/epg-EPG_VLAN_913/rspathAtt-[topology/po</t>
        </is>
      </c>
      <c r="B95">
        <f>_xlfn.TEXTBEFORE(_xlfn.TEXTAFTER(A95, "ap-"), "/")</f>
        <v/>
      </c>
      <c r="C95">
        <f>_xlfn.TEXTBEFORE(_xlfn.TEXTAFTER(A95, "epg-"), "/")</f>
        <v/>
      </c>
      <c r="D95">
        <f>_xlfn.TEXTBEFORE(_xlfn.TEXTAFTER(A95, "rspathAtt-"), "]") &amp; "]]"</f>
        <v/>
      </c>
      <c r="E95">
        <f>_xlfn.TEXTBEFORE(_xlfn.TEXTAFTER(D95, "pod-"), "/")</f>
        <v/>
      </c>
      <c r="F95">
        <f>_xlfn.TEXTBEFORE(_xlfn.TEXTAFTER(D95, "paths-"), "/")</f>
        <v/>
      </c>
      <c r="G95">
        <f>_xlfn.TEXTBEFORE(_xlfn.TEXTAFTER(D95, "pathep-["), "]")</f>
        <v/>
      </c>
      <c r="H95">
        <f>_xlfn.CONCAT(F95,G95)</f>
        <v/>
      </c>
      <c r="I95" t="inlineStr">
        <is>
          <t>vlan-913</t>
        </is>
      </c>
      <c r="J95" t="inlineStr">
        <is>
          <t>regular</t>
        </is>
      </c>
    </row>
    <row r="96">
      <c r="A96" t="inlineStr">
        <is>
          <t>uni/tn-TELCEL_TELCO_NETWORK/ap-AP_telcel_ipcorp/epg-EPG_VLAN_61/rspathAtt-[topology/p</t>
        </is>
      </c>
      <c r="B96">
        <f>_xlfn.TEXTBEFORE(_xlfn.TEXTAFTER(A96, "ap-"), "/")</f>
        <v/>
      </c>
      <c r="C96">
        <f>_xlfn.TEXTBEFORE(_xlfn.TEXTAFTER(A96, "epg-"), "/")</f>
        <v/>
      </c>
      <c r="D96">
        <f>_xlfn.TEXTBEFORE(_xlfn.TEXTAFTER(A96, "rspathAtt-"), "]") &amp; "]]"</f>
        <v/>
      </c>
      <c r="E96">
        <f>_xlfn.TEXTBEFORE(_xlfn.TEXTAFTER(D96, "pod-"), "/")</f>
        <v/>
      </c>
      <c r="F96">
        <f>_xlfn.TEXTBEFORE(_xlfn.TEXTAFTER(D96, "paths-"), "/")</f>
        <v/>
      </c>
      <c r="G96">
        <f>_xlfn.TEXTBEFORE(_xlfn.TEXTAFTER(D96, "pathep-["), "]")</f>
        <v/>
      </c>
      <c r="H96">
        <f>_xlfn.CONCAT(F96,G96)</f>
        <v/>
      </c>
      <c r="I96" t="inlineStr">
        <is>
          <t>vlan-61</t>
        </is>
      </c>
      <c r="J96" t="inlineStr">
        <is>
          <t>regular</t>
        </is>
      </c>
    </row>
    <row r="97">
      <c r="A97" t="inlineStr">
        <is>
          <t>uni/tn-TELCEL_TELCO_NETWORK/ap-AP_telcel_ipcorp/epg-EPG_VLAN_64/rspathAtt-[topology/p</t>
        </is>
      </c>
      <c r="B97">
        <f>_xlfn.TEXTBEFORE(_xlfn.TEXTAFTER(A97, "ap-"), "/")</f>
        <v/>
      </c>
      <c r="C97">
        <f>_xlfn.TEXTBEFORE(_xlfn.TEXTAFTER(A97, "epg-"), "/")</f>
        <v/>
      </c>
      <c r="D97">
        <f>_xlfn.TEXTBEFORE(_xlfn.TEXTAFTER(A97, "rspathAtt-"), "]") &amp; "]]"</f>
        <v/>
      </c>
      <c r="E97">
        <f>_xlfn.TEXTBEFORE(_xlfn.TEXTAFTER(D97, "pod-"), "/")</f>
        <v/>
      </c>
      <c r="F97">
        <f>_xlfn.TEXTBEFORE(_xlfn.TEXTAFTER(D97, "paths-"), "/")</f>
        <v/>
      </c>
      <c r="G97">
        <f>_xlfn.TEXTBEFORE(_xlfn.TEXTAFTER(D97, "pathep-["), "]")</f>
        <v/>
      </c>
      <c r="H97">
        <f>_xlfn.CONCAT(F97,G97)</f>
        <v/>
      </c>
      <c r="I97" t="inlineStr">
        <is>
          <t>vlan-64</t>
        </is>
      </c>
      <c r="J97" t="inlineStr">
        <is>
          <t>untagged</t>
        </is>
      </c>
    </row>
    <row r="98">
      <c r="A98" t="inlineStr">
        <is>
          <t>uni/tn-TELCEL_TELCO_NETWORK/ap-AP_red_sig_IP/epg-EPG_VLAN_450/rspathAtt-[topology/pod</t>
        </is>
      </c>
      <c r="B98">
        <f>_xlfn.TEXTBEFORE(_xlfn.TEXTAFTER(A98, "ap-"), "/")</f>
        <v/>
      </c>
      <c r="C98">
        <f>_xlfn.TEXTBEFORE(_xlfn.TEXTAFTER(A98, "epg-"), "/")</f>
        <v/>
      </c>
      <c r="D98">
        <f>_xlfn.TEXTBEFORE(_xlfn.TEXTAFTER(A98, "rspathAtt-"), "]") &amp; "]]"</f>
        <v/>
      </c>
      <c r="E98">
        <f>_xlfn.TEXTBEFORE(_xlfn.TEXTAFTER(D98, "pod-"), "/")</f>
        <v/>
      </c>
      <c r="F98">
        <f>_xlfn.TEXTBEFORE(_xlfn.TEXTAFTER(D98, "paths-"), "/")</f>
        <v/>
      </c>
      <c r="G98">
        <f>_xlfn.TEXTBEFORE(_xlfn.TEXTAFTER(D98, "pathep-["), "]")</f>
        <v/>
      </c>
      <c r="H98">
        <f>_xlfn.CONCAT(F98,G98)</f>
        <v/>
      </c>
      <c r="I98" t="inlineStr">
        <is>
          <t>vlan-450</t>
        </is>
      </c>
      <c r="J98" t="inlineStr">
        <is>
          <t>regular</t>
        </is>
      </c>
    </row>
    <row r="99">
      <c r="A99" t="inlineStr">
        <is>
          <t>uni/tn-TELCEL_TELCO_NETWORK/ap-AP_red_gprs_Gn/epg-EPG_VLAN_913/rspathAtt-[topology/po</t>
        </is>
      </c>
      <c r="B99">
        <f>_xlfn.TEXTBEFORE(_xlfn.TEXTAFTER(A99, "ap-"), "/")</f>
        <v/>
      </c>
      <c r="C99">
        <f>_xlfn.TEXTBEFORE(_xlfn.TEXTAFTER(A99, "epg-"), "/")</f>
        <v/>
      </c>
      <c r="D99">
        <f>_xlfn.TEXTBEFORE(_xlfn.TEXTAFTER(A99, "rspathAtt-"), "]") &amp; "]]"</f>
        <v/>
      </c>
      <c r="E99">
        <f>_xlfn.TEXTBEFORE(_xlfn.TEXTAFTER(D99, "pod-"), "/")</f>
        <v/>
      </c>
      <c r="F99">
        <f>_xlfn.TEXTBEFORE(_xlfn.TEXTAFTER(D99, "paths-"), "/")</f>
        <v/>
      </c>
      <c r="G99">
        <f>_xlfn.TEXTBEFORE(_xlfn.TEXTAFTER(D99, "pathep-["), "]")</f>
        <v/>
      </c>
      <c r="H99">
        <f>_xlfn.CONCAT(F99,G99)</f>
        <v/>
      </c>
      <c r="I99" t="inlineStr">
        <is>
          <t>vlan-913</t>
        </is>
      </c>
      <c r="J99" t="inlineStr">
        <is>
          <t>regular</t>
        </is>
      </c>
    </row>
    <row r="100">
      <c r="A100" t="inlineStr">
        <is>
          <t>uni/tn-TELCEL_TELCO_NETWORK/ap-AP_telcel_ipcorp/epg-EPG_VLAN_901/rspathAtt-[topology/</t>
        </is>
      </c>
      <c r="B100">
        <f>_xlfn.TEXTBEFORE(_xlfn.TEXTAFTER(A100, "ap-"), "/")</f>
        <v/>
      </c>
      <c r="C100">
        <f>_xlfn.TEXTBEFORE(_xlfn.TEXTAFTER(A100, "epg-"), "/")</f>
        <v/>
      </c>
      <c r="D100">
        <f>_xlfn.TEXTBEFORE(_xlfn.TEXTAFTER(A100, "rspathAtt-"), "]") &amp; "]]"</f>
        <v/>
      </c>
      <c r="E100">
        <f>_xlfn.TEXTBEFORE(_xlfn.TEXTAFTER(D100, "pod-"), "/")</f>
        <v/>
      </c>
      <c r="F100">
        <f>_xlfn.TEXTBEFORE(_xlfn.TEXTAFTER(D100, "paths-"), "/")</f>
        <v/>
      </c>
      <c r="G100">
        <f>_xlfn.TEXTBEFORE(_xlfn.TEXTAFTER(D100, "pathep-["), "]")</f>
        <v/>
      </c>
      <c r="H100">
        <f>_xlfn.CONCAT(F100,G100)</f>
        <v/>
      </c>
      <c r="I100" t="inlineStr">
        <is>
          <t>vlan-901</t>
        </is>
      </c>
      <c r="J100" t="inlineStr">
        <is>
          <t>regular</t>
        </is>
      </c>
    </row>
    <row r="101">
      <c r="A101" t="inlineStr">
        <is>
          <t>uni/tn-TELCEL_TELCO_NETWORK/ap-AP_telcel_ipcorp/epg-EPG_VLAN_956/rspathAtt-[topology/</t>
        </is>
      </c>
      <c r="B101">
        <f>_xlfn.TEXTBEFORE(_xlfn.TEXTAFTER(A101, "ap-"), "/")</f>
        <v/>
      </c>
      <c r="C101">
        <f>_xlfn.TEXTBEFORE(_xlfn.TEXTAFTER(A101, "epg-"), "/")</f>
        <v/>
      </c>
      <c r="D101">
        <f>_xlfn.TEXTBEFORE(_xlfn.TEXTAFTER(A101, "rspathAtt-"), "]") &amp; "]]"</f>
        <v/>
      </c>
      <c r="E101">
        <f>_xlfn.TEXTBEFORE(_xlfn.TEXTAFTER(D101, "pod-"), "/")</f>
        <v/>
      </c>
      <c r="F101">
        <f>_xlfn.TEXTBEFORE(_xlfn.TEXTAFTER(D101, "paths-"), "/")</f>
        <v/>
      </c>
      <c r="G101">
        <f>_xlfn.TEXTBEFORE(_xlfn.TEXTAFTER(D101, "pathep-["), "]")</f>
        <v/>
      </c>
      <c r="H101">
        <f>_xlfn.CONCAT(F101,G101)</f>
        <v/>
      </c>
      <c r="I101" t="inlineStr">
        <is>
          <t>vlan-956</t>
        </is>
      </c>
      <c r="J101" t="inlineStr">
        <is>
          <t>regular</t>
        </is>
      </c>
    </row>
    <row r="102">
      <c r="A102" t="inlineStr">
        <is>
          <t>uni/tn-TELCEL_TELCO_NETWORK/ap-AP_red_sig_IP/epg-EPG_VLAN_521/rspathAtt-[topology/pod</t>
        </is>
      </c>
      <c r="B102">
        <f>_xlfn.TEXTBEFORE(_xlfn.TEXTAFTER(A102, "ap-"), "/")</f>
        <v/>
      </c>
      <c r="C102">
        <f>_xlfn.TEXTBEFORE(_xlfn.TEXTAFTER(A102, "epg-"), "/")</f>
        <v/>
      </c>
      <c r="D102">
        <f>_xlfn.TEXTBEFORE(_xlfn.TEXTAFTER(A102, "rspathAtt-"), "]") &amp; "]]"</f>
        <v/>
      </c>
      <c r="E102">
        <f>_xlfn.TEXTBEFORE(_xlfn.TEXTAFTER(D102, "pod-"), "/")</f>
        <v/>
      </c>
      <c r="F102">
        <f>_xlfn.TEXTBEFORE(_xlfn.TEXTAFTER(D102, "paths-"), "/")</f>
        <v/>
      </c>
      <c r="G102">
        <f>_xlfn.TEXTBEFORE(_xlfn.TEXTAFTER(D102, "pathep-["), "]")</f>
        <v/>
      </c>
      <c r="H102">
        <f>_xlfn.CONCAT(F102,G102)</f>
        <v/>
      </c>
      <c r="I102" t="inlineStr">
        <is>
          <t>vlan-521</t>
        </is>
      </c>
      <c r="J102" t="inlineStr">
        <is>
          <t>regular</t>
        </is>
      </c>
    </row>
    <row r="103">
      <c r="A103" t="inlineStr">
        <is>
          <t>uni/tn-TELCEL_TELCO_NETWORK/ap-AP_red_sig_IP/epg-EPG_VLAN_2017/rspathAtt-[topology/po</t>
        </is>
      </c>
      <c r="B103">
        <f>_xlfn.TEXTBEFORE(_xlfn.TEXTAFTER(A103, "ap-"), "/")</f>
        <v/>
      </c>
      <c r="C103">
        <f>_xlfn.TEXTBEFORE(_xlfn.TEXTAFTER(A103, "epg-"), "/")</f>
        <v/>
      </c>
      <c r="D103">
        <f>_xlfn.TEXTBEFORE(_xlfn.TEXTAFTER(A103, "rspathAtt-"), "]") &amp; "]]"</f>
        <v/>
      </c>
      <c r="E103">
        <f>_xlfn.TEXTBEFORE(_xlfn.TEXTAFTER(D103, "pod-"), "/")</f>
        <v/>
      </c>
      <c r="F103">
        <f>_xlfn.TEXTBEFORE(_xlfn.TEXTAFTER(D103, "paths-"), "/")</f>
        <v/>
      </c>
      <c r="G103">
        <f>_xlfn.TEXTBEFORE(_xlfn.TEXTAFTER(D103, "pathep-["), "]")</f>
        <v/>
      </c>
      <c r="H103">
        <f>_xlfn.CONCAT(F103,G103)</f>
        <v/>
      </c>
      <c r="I103" t="inlineStr">
        <is>
          <t>vlan-2017</t>
        </is>
      </c>
      <c r="J103" t="inlineStr">
        <is>
          <t>regular</t>
        </is>
      </c>
    </row>
    <row r="104">
      <c r="A104" t="inlineStr">
        <is>
          <t>uni/tn-TELCEL_TELCO_NETWORK/ap-AP_telcel_ipcorp/epg-EPG_VLAN_64/rspathAtt-[topology/p</t>
        </is>
      </c>
      <c r="B104">
        <f>_xlfn.TEXTBEFORE(_xlfn.TEXTAFTER(A104, "ap-"), "/")</f>
        <v/>
      </c>
      <c r="C104">
        <f>_xlfn.TEXTBEFORE(_xlfn.TEXTAFTER(A104, "epg-"), "/")</f>
        <v/>
      </c>
      <c r="D104">
        <f>_xlfn.TEXTBEFORE(_xlfn.TEXTAFTER(A104, "rspathAtt-"), "]") &amp; "]]"</f>
        <v/>
      </c>
      <c r="E104">
        <f>_xlfn.TEXTBEFORE(_xlfn.TEXTAFTER(D104, "pod-"), "/")</f>
        <v/>
      </c>
      <c r="F104">
        <f>_xlfn.TEXTBEFORE(_xlfn.TEXTAFTER(D104, "paths-"), "/")</f>
        <v/>
      </c>
      <c r="G104">
        <f>_xlfn.TEXTBEFORE(_xlfn.TEXTAFTER(D104, "pathep-["), "]")</f>
        <v/>
      </c>
      <c r="H104">
        <f>_xlfn.CONCAT(F104,G104)</f>
        <v/>
      </c>
      <c r="I104" t="inlineStr">
        <is>
          <t>vlan-64</t>
        </is>
      </c>
      <c r="J104" t="inlineStr">
        <is>
          <t>untagged</t>
        </is>
      </c>
    </row>
    <row r="105">
      <c r="A105" t="inlineStr">
        <is>
          <t>uni/tn-TELCEL_TELCO_NETWORK/ap-AP_telcel_ipcorp/epg-EPG_VLAN_304/rspathAtt-[topology/</t>
        </is>
      </c>
      <c r="B105">
        <f>_xlfn.TEXTBEFORE(_xlfn.TEXTAFTER(A105, "ap-"), "/")</f>
        <v/>
      </c>
      <c r="C105">
        <f>_xlfn.TEXTBEFORE(_xlfn.TEXTAFTER(A105, "epg-"), "/")</f>
        <v/>
      </c>
      <c r="D105">
        <f>_xlfn.TEXTBEFORE(_xlfn.TEXTAFTER(A105, "rspathAtt-"), "]") &amp; "]]"</f>
        <v/>
      </c>
      <c r="E105">
        <f>_xlfn.TEXTBEFORE(_xlfn.TEXTAFTER(D105, "pod-"), "/")</f>
        <v/>
      </c>
      <c r="F105">
        <f>_xlfn.TEXTBEFORE(_xlfn.TEXTAFTER(D105, "paths-"), "/")</f>
        <v/>
      </c>
      <c r="G105">
        <f>_xlfn.TEXTBEFORE(_xlfn.TEXTAFTER(D105, "pathep-["), "]")</f>
        <v/>
      </c>
      <c r="H105">
        <f>_xlfn.CONCAT(F105,G105)</f>
        <v/>
      </c>
      <c r="I105" t="inlineStr">
        <is>
          <t>vlan-304</t>
        </is>
      </c>
      <c r="J105" t="inlineStr">
        <is>
          <t>regular</t>
        </is>
      </c>
    </row>
    <row r="106">
      <c r="A106" t="inlineStr">
        <is>
          <t>uni/tn-TELCEL_TELCO_NETWORK/ap-AP_red_gprs_Gn/epg-EPG_VLAN_903/rspathAtt-[topology/po</t>
        </is>
      </c>
      <c r="B106">
        <f>_xlfn.TEXTBEFORE(_xlfn.TEXTAFTER(A106, "ap-"), "/")</f>
        <v/>
      </c>
      <c r="C106">
        <f>_xlfn.TEXTBEFORE(_xlfn.TEXTAFTER(A106, "epg-"), "/")</f>
        <v/>
      </c>
      <c r="D106">
        <f>_xlfn.TEXTBEFORE(_xlfn.TEXTAFTER(A106, "rspathAtt-"), "]") &amp; "]]"</f>
        <v/>
      </c>
      <c r="E106">
        <f>_xlfn.TEXTBEFORE(_xlfn.TEXTAFTER(D106, "pod-"), "/")</f>
        <v/>
      </c>
      <c r="F106">
        <f>_xlfn.TEXTBEFORE(_xlfn.TEXTAFTER(D106, "paths-"), "/")</f>
        <v/>
      </c>
      <c r="G106">
        <f>_xlfn.TEXTBEFORE(_xlfn.TEXTAFTER(D106, "pathep-["), "]")</f>
        <v/>
      </c>
      <c r="H106">
        <f>_xlfn.CONCAT(F106,G106)</f>
        <v/>
      </c>
      <c r="I106" t="inlineStr">
        <is>
          <t>vlan-903</t>
        </is>
      </c>
      <c r="J106" t="inlineStr">
        <is>
          <t>regular</t>
        </is>
      </c>
    </row>
    <row r="107">
      <c r="A107" t="inlineStr">
        <is>
          <t>uni/tn-TELCEL_TELCO_NETWORK/ap-AP_red_gprs_Gn/epg-EPG_VLAN_1111/rspathAtt-[topology/p</t>
        </is>
      </c>
      <c r="B107">
        <f>_xlfn.TEXTBEFORE(_xlfn.TEXTAFTER(A107, "ap-"), "/")</f>
        <v/>
      </c>
      <c r="C107">
        <f>_xlfn.TEXTBEFORE(_xlfn.TEXTAFTER(A107, "epg-"), "/")</f>
        <v/>
      </c>
      <c r="D107">
        <f>_xlfn.TEXTBEFORE(_xlfn.TEXTAFTER(A107, "rspathAtt-"), "]") &amp; "]]"</f>
        <v/>
      </c>
      <c r="E107">
        <f>_xlfn.TEXTBEFORE(_xlfn.TEXTAFTER(D107, "pod-"), "/")</f>
        <v/>
      </c>
      <c r="F107">
        <f>_xlfn.TEXTBEFORE(_xlfn.TEXTAFTER(D107, "paths-"), "/")</f>
        <v/>
      </c>
      <c r="G107">
        <f>_xlfn.TEXTBEFORE(_xlfn.TEXTAFTER(D107, "pathep-["), "]")</f>
        <v/>
      </c>
      <c r="H107">
        <f>_xlfn.CONCAT(F107,G107)</f>
        <v/>
      </c>
      <c r="I107" t="inlineStr">
        <is>
          <t>vlan-1111</t>
        </is>
      </c>
      <c r="J107" t="inlineStr">
        <is>
          <t>regular</t>
        </is>
      </c>
    </row>
    <row r="108">
      <c r="A108" t="inlineStr">
        <is>
          <t>uni/tn-TELCEL_TELCO_NETWORK/ap-AP_red_gprs_Gn/epg-EPG_VLAN_913/rspathAtt-[topology/po</t>
        </is>
      </c>
      <c r="B108">
        <f>_xlfn.TEXTBEFORE(_xlfn.TEXTAFTER(A108, "ap-"), "/")</f>
        <v/>
      </c>
      <c r="C108">
        <f>_xlfn.TEXTBEFORE(_xlfn.TEXTAFTER(A108, "epg-"), "/")</f>
        <v/>
      </c>
      <c r="D108">
        <f>_xlfn.TEXTBEFORE(_xlfn.TEXTAFTER(A108, "rspathAtt-"), "]") &amp; "]]"</f>
        <v/>
      </c>
      <c r="E108">
        <f>_xlfn.TEXTBEFORE(_xlfn.TEXTAFTER(D108, "pod-"), "/")</f>
        <v/>
      </c>
      <c r="F108">
        <f>_xlfn.TEXTBEFORE(_xlfn.TEXTAFTER(D108, "paths-"), "/")</f>
        <v/>
      </c>
      <c r="G108">
        <f>_xlfn.TEXTBEFORE(_xlfn.TEXTAFTER(D108, "pathep-["), "]")</f>
        <v/>
      </c>
      <c r="H108">
        <f>_xlfn.CONCAT(F108,G108)</f>
        <v/>
      </c>
      <c r="I108" t="inlineStr">
        <is>
          <t>vlan-913</t>
        </is>
      </c>
      <c r="J108" t="inlineStr">
        <is>
          <t>regular</t>
        </is>
      </c>
    </row>
    <row r="109">
      <c r="A109" t="inlineStr">
        <is>
          <t>uni/tn-TELCEL_TELCO_NETWORK/ap-AP_red_sig_IP/epg-EPG_VLAN_2020/rspathAtt-[topology/po</t>
        </is>
      </c>
      <c r="B109">
        <f>_xlfn.TEXTBEFORE(_xlfn.TEXTAFTER(A109, "ap-"), "/")</f>
        <v/>
      </c>
      <c r="C109">
        <f>_xlfn.TEXTBEFORE(_xlfn.TEXTAFTER(A109, "epg-"), "/")</f>
        <v/>
      </c>
      <c r="D109">
        <f>_xlfn.TEXTBEFORE(_xlfn.TEXTAFTER(A109, "rspathAtt-"), "]") &amp; "]]"</f>
        <v/>
      </c>
      <c r="E109">
        <f>_xlfn.TEXTBEFORE(_xlfn.TEXTAFTER(D109, "pod-"), "/")</f>
        <v/>
      </c>
      <c r="F109">
        <f>_xlfn.TEXTBEFORE(_xlfn.TEXTAFTER(D109, "paths-"), "/")</f>
        <v/>
      </c>
      <c r="G109">
        <f>_xlfn.TEXTBEFORE(_xlfn.TEXTAFTER(D109, "pathep-["), "]")</f>
        <v/>
      </c>
      <c r="H109">
        <f>_xlfn.CONCAT(F109,G109)</f>
        <v/>
      </c>
      <c r="I109" t="inlineStr">
        <is>
          <t>vlan-2020</t>
        </is>
      </c>
      <c r="J109" t="inlineStr">
        <is>
          <t>regular</t>
        </is>
      </c>
    </row>
    <row r="110">
      <c r="A110" t="inlineStr">
        <is>
          <t>uni/tn-TELCEL_TELCO_NETWORK/ap-AP_red_gprs_Gn/epg-EPG_VLAN_1111/rspathAtt-[topology/p</t>
        </is>
      </c>
      <c r="B110">
        <f>_xlfn.TEXTBEFORE(_xlfn.TEXTAFTER(A110, "ap-"), "/")</f>
        <v/>
      </c>
      <c r="C110">
        <f>_xlfn.TEXTBEFORE(_xlfn.TEXTAFTER(A110, "epg-"), "/")</f>
        <v/>
      </c>
      <c r="D110">
        <f>_xlfn.TEXTBEFORE(_xlfn.TEXTAFTER(A110, "rspathAtt-"), "]") &amp; "]]"</f>
        <v/>
      </c>
      <c r="E110">
        <f>_xlfn.TEXTBEFORE(_xlfn.TEXTAFTER(D110, "pod-"), "/")</f>
        <v/>
      </c>
      <c r="F110">
        <f>_xlfn.TEXTBEFORE(_xlfn.TEXTAFTER(D110, "paths-"), "/")</f>
        <v/>
      </c>
      <c r="G110">
        <f>_xlfn.TEXTBEFORE(_xlfn.TEXTAFTER(D110, "pathep-["), "]")</f>
        <v/>
      </c>
      <c r="H110">
        <f>_xlfn.CONCAT(F110,G110)</f>
        <v/>
      </c>
      <c r="I110" t="inlineStr">
        <is>
          <t>vlan-1111</t>
        </is>
      </c>
      <c r="J110" t="inlineStr">
        <is>
          <t>regular</t>
        </is>
      </c>
    </row>
    <row r="111">
      <c r="A111" t="inlineStr">
        <is>
          <t>uni/tn-TELCEL_TELCO_NETWORK/ap-AP_telcel_ipcorp/epg-EPG_VLAN_976_SIU_SYNC-INGENIEROS/</t>
        </is>
      </c>
      <c r="B111">
        <f>_xlfn.TEXTBEFORE(_xlfn.TEXTAFTER(A111, "ap-"), "/")</f>
        <v/>
      </c>
      <c r="C111">
        <f>_xlfn.TEXTBEFORE(_xlfn.TEXTAFTER(A111, "epg-"), "/")</f>
        <v/>
      </c>
      <c r="D111">
        <f>_xlfn.TEXTBEFORE(_xlfn.TEXTAFTER(A111, "rspathAtt-"), "]") &amp; "]]"</f>
        <v/>
      </c>
      <c r="E111">
        <f>_xlfn.TEXTBEFORE(_xlfn.TEXTAFTER(D111, "pod-"), "/")</f>
        <v/>
      </c>
      <c r="F111">
        <f>_xlfn.TEXTBEFORE(_xlfn.TEXTAFTER(D111, "paths-"), "/")</f>
        <v/>
      </c>
      <c r="G111">
        <f>_xlfn.TEXTBEFORE(_xlfn.TEXTAFTER(D111, "pathep-["), "]")</f>
        <v/>
      </c>
      <c r="H111">
        <f>_xlfn.CONCAT(F111,G111)</f>
        <v/>
      </c>
      <c r="I111" t="inlineStr">
        <is>
          <t>vlan-976</t>
        </is>
      </c>
      <c r="J111" t="inlineStr">
        <is>
          <t>regular</t>
        </is>
      </c>
    </row>
    <row r="112">
      <c r="A112" t="inlineStr">
        <is>
          <t>uni/tn-TELCEL_TELCO_NETWORK/ap-AP_red_sig_IP/epg-EPG_VLAN_2019/rspathAtt-[topology/po</t>
        </is>
      </c>
      <c r="B112">
        <f>_xlfn.TEXTBEFORE(_xlfn.TEXTAFTER(A112, "ap-"), "/")</f>
        <v/>
      </c>
      <c r="C112">
        <f>_xlfn.TEXTBEFORE(_xlfn.TEXTAFTER(A112, "epg-"), "/")</f>
        <v/>
      </c>
      <c r="D112">
        <f>_xlfn.TEXTBEFORE(_xlfn.TEXTAFTER(A112, "rspathAtt-"), "]") &amp; "]]"</f>
        <v/>
      </c>
      <c r="E112">
        <f>_xlfn.TEXTBEFORE(_xlfn.TEXTAFTER(D112, "pod-"), "/")</f>
        <v/>
      </c>
      <c r="F112">
        <f>_xlfn.TEXTBEFORE(_xlfn.TEXTAFTER(D112, "paths-"), "/")</f>
        <v/>
      </c>
      <c r="G112">
        <f>_xlfn.TEXTBEFORE(_xlfn.TEXTAFTER(D112, "pathep-["), "]")</f>
        <v/>
      </c>
      <c r="H112">
        <f>_xlfn.CONCAT(F112,G112)</f>
        <v/>
      </c>
      <c r="I112" t="inlineStr">
        <is>
          <t>vlan-2019</t>
        </is>
      </c>
      <c r="J112" t="inlineStr">
        <is>
          <t>regular</t>
        </is>
      </c>
    </row>
    <row r="113">
      <c r="A113" t="inlineStr">
        <is>
          <t>uni/tn-TELCEL_TELCO_NETWORK/ap-AP_telcel_ipcorp/epg-EPG_VLAN_105/rspathAtt-[topology/</t>
        </is>
      </c>
      <c r="B113">
        <f>_xlfn.TEXTBEFORE(_xlfn.TEXTAFTER(A113, "ap-"), "/")</f>
        <v/>
      </c>
      <c r="C113">
        <f>_xlfn.TEXTBEFORE(_xlfn.TEXTAFTER(A113, "epg-"), "/")</f>
        <v/>
      </c>
      <c r="D113">
        <f>_xlfn.TEXTBEFORE(_xlfn.TEXTAFTER(A113, "rspathAtt-"), "]") &amp; "]]"</f>
        <v/>
      </c>
      <c r="E113">
        <f>_xlfn.TEXTBEFORE(_xlfn.TEXTAFTER(D113, "pod-"), "/")</f>
        <v/>
      </c>
      <c r="F113">
        <f>_xlfn.TEXTBEFORE(_xlfn.TEXTAFTER(D113, "paths-"), "/")</f>
        <v/>
      </c>
      <c r="G113">
        <f>_xlfn.TEXTBEFORE(_xlfn.TEXTAFTER(D113, "pathep-["), "]")</f>
        <v/>
      </c>
      <c r="H113">
        <f>_xlfn.CONCAT(F113,G113)</f>
        <v/>
      </c>
      <c r="I113" t="inlineStr">
        <is>
          <t>vlan-105</t>
        </is>
      </c>
      <c r="J113" t="inlineStr">
        <is>
          <t>untagged</t>
        </is>
      </c>
    </row>
    <row r="114">
      <c r="A114" t="inlineStr">
        <is>
          <t>uni/tn-TELCEL_TELCO_NETWORK/ap-AP_red_sig_IP/epg-EPG_VLAN_2019/rspathAtt-[topology/po</t>
        </is>
      </c>
      <c r="B114">
        <f>_xlfn.TEXTBEFORE(_xlfn.TEXTAFTER(A114, "ap-"), "/")</f>
        <v/>
      </c>
      <c r="C114">
        <f>_xlfn.TEXTBEFORE(_xlfn.TEXTAFTER(A114, "epg-"), "/")</f>
        <v/>
      </c>
      <c r="D114">
        <f>_xlfn.TEXTBEFORE(_xlfn.TEXTAFTER(A114, "rspathAtt-"), "]") &amp; "]]"</f>
        <v/>
      </c>
      <c r="E114">
        <f>_xlfn.TEXTBEFORE(_xlfn.TEXTAFTER(D114, "pod-"), "/")</f>
        <v/>
      </c>
      <c r="F114">
        <f>_xlfn.TEXTBEFORE(_xlfn.TEXTAFTER(D114, "paths-"), "/")</f>
        <v/>
      </c>
      <c r="G114">
        <f>_xlfn.TEXTBEFORE(_xlfn.TEXTAFTER(D114, "pathep-["), "]")</f>
        <v/>
      </c>
      <c r="H114">
        <f>_xlfn.CONCAT(F114,G114)</f>
        <v/>
      </c>
      <c r="I114" t="inlineStr">
        <is>
          <t>vlan-2019</t>
        </is>
      </c>
      <c r="J114" t="inlineStr">
        <is>
          <t>regular</t>
        </is>
      </c>
    </row>
    <row r="115">
      <c r="A115" t="inlineStr">
        <is>
          <t>uni/tn-TELCEL_TELCO_NETWORK/ap-AP_telcel_ipcorp/epg-EPG_VLAN_64/rspathAtt-[topology/p</t>
        </is>
      </c>
      <c r="B115">
        <f>_xlfn.TEXTBEFORE(_xlfn.TEXTAFTER(A115, "ap-"), "/")</f>
        <v/>
      </c>
      <c r="C115">
        <f>_xlfn.TEXTBEFORE(_xlfn.TEXTAFTER(A115, "epg-"), "/")</f>
        <v/>
      </c>
      <c r="D115">
        <f>_xlfn.TEXTBEFORE(_xlfn.TEXTAFTER(A115, "rspathAtt-"), "]") &amp; "]]"</f>
        <v/>
      </c>
      <c r="E115">
        <f>_xlfn.TEXTBEFORE(_xlfn.TEXTAFTER(D115, "pod-"), "/")</f>
        <v/>
      </c>
      <c r="F115">
        <f>_xlfn.TEXTBEFORE(_xlfn.TEXTAFTER(D115, "paths-"), "/")</f>
        <v/>
      </c>
      <c r="G115">
        <f>_xlfn.TEXTBEFORE(_xlfn.TEXTAFTER(D115, "pathep-["), "]")</f>
        <v/>
      </c>
      <c r="H115">
        <f>_xlfn.CONCAT(F115,G115)</f>
        <v/>
      </c>
      <c r="I115" t="inlineStr">
        <is>
          <t>vlan-64</t>
        </is>
      </c>
      <c r="J115" t="inlineStr">
        <is>
          <t>untagged</t>
        </is>
      </c>
    </row>
    <row r="116">
      <c r="A116" t="inlineStr">
        <is>
          <t>uni/tn-TELCEL_TELCO_NETWORK/ap-AP_telcel_ipcorp/epg-EPG_VLAN_966_Gestion_SIU_01-INGEN</t>
        </is>
      </c>
      <c r="B116">
        <f>_xlfn.TEXTBEFORE(_xlfn.TEXTAFTER(A116, "ap-"), "/")</f>
        <v/>
      </c>
      <c r="C116">
        <f>_xlfn.TEXTBEFORE(_xlfn.TEXTAFTER(A116, "epg-"), "/")</f>
        <v/>
      </c>
      <c r="D116">
        <f>_xlfn.TEXTBEFORE(_xlfn.TEXTAFTER(A116, "rspathAtt-"), "]") &amp; "]]"</f>
        <v/>
      </c>
      <c r="E116">
        <f>_xlfn.TEXTBEFORE(_xlfn.TEXTAFTER(D116, "pod-"), "/")</f>
        <v/>
      </c>
      <c r="F116">
        <f>_xlfn.TEXTBEFORE(_xlfn.TEXTAFTER(D116, "paths-"), "/")</f>
        <v/>
      </c>
      <c r="G116">
        <f>_xlfn.TEXTBEFORE(_xlfn.TEXTAFTER(D116, "pathep-["), "]")</f>
        <v/>
      </c>
      <c r="H116">
        <f>_xlfn.CONCAT(F116,G116)</f>
        <v/>
      </c>
      <c r="I116" t="inlineStr">
        <is>
          <t>vlan-966</t>
        </is>
      </c>
      <c r="J116" t="inlineStr">
        <is>
          <t>regular</t>
        </is>
      </c>
    </row>
    <row r="117">
      <c r="A117" t="inlineStr">
        <is>
          <t>uni/tn-TELCEL_TELCO_NETWORK/ap-AP_telcel_ipcorp/epg-EPG_VLAN_105/rspathAtt-[topology/</t>
        </is>
      </c>
      <c r="B117">
        <f>_xlfn.TEXTBEFORE(_xlfn.TEXTAFTER(A117, "ap-"), "/")</f>
        <v/>
      </c>
      <c r="C117">
        <f>_xlfn.TEXTBEFORE(_xlfn.TEXTAFTER(A117, "epg-"), "/")</f>
        <v/>
      </c>
      <c r="D117">
        <f>_xlfn.TEXTBEFORE(_xlfn.TEXTAFTER(A117, "rspathAtt-"), "]") &amp; "]]"</f>
        <v/>
      </c>
      <c r="E117">
        <f>_xlfn.TEXTBEFORE(_xlfn.TEXTAFTER(D117, "pod-"), "/")</f>
        <v/>
      </c>
      <c r="F117">
        <f>_xlfn.TEXTBEFORE(_xlfn.TEXTAFTER(D117, "paths-"), "/")</f>
        <v/>
      </c>
      <c r="G117">
        <f>_xlfn.TEXTBEFORE(_xlfn.TEXTAFTER(D117, "pathep-["), "]")</f>
        <v/>
      </c>
      <c r="H117">
        <f>_xlfn.CONCAT(F117,G117)</f>
        <v/>
      </c>
      <c r="I117" t="inlineStr">
        <is>
          <t>vlan-105</t>
        </is>
      </c>
      <c r="J117" t="inlineStr">
        <is>
          <t>untagged</t>
        </is>
      </c>
    </row>
    <row r="118">
      <c r="A118" t="inlineStr">
        <is>
          <t>uni/tn-TELCEL_TELCO_NETWORK/ap-AP_telcel_ipcorp/epg-EPG_VLAN_1316/rspathAtt-[topology</t>
        </is>
      </c>
      <c r="B118">
        <f>_xlfn.TEXTBEFORE(_xlfn.TEXTAFTER(A118, "ap-"), "/")</f>
        <v/>
      </c>
      <c r="C118">
        <f>_xlfn.TEXTBEFORE(_xlfn.TEXTAFTER(A118, "epg-"), "/")</f>
        <v/>
      </c>
      <c r="D118">
        <f>_xlfn.TEXTBEFORE(_xlfn.TEXTAFTER(A118, "rspathAtt-"), "]") &amp; "]]"</f>
        <v/>
      </c>
      <c r="E118">
        <f>_xlfn.TEXTBEFORE(_xlfn.TEXTAFTER(D118, "pod-"), "/")</f>
        <v/>
      </c>
      <c r="F118">
        <f>_xlfn.TEXTBEFORE(_xlfn.TEXTAFTER(D118, "paths-"), "/")</f>
        <v/>
      </c>
      <c r="G118">
        <f>_xlfn.TEXTBEFORE(_xlfn.TEXTAFTER(D118, "pathep-["), "]")</f>
        <v/>
      </c>
      <c r="H118">
        <f>_xlfn.CONCAT(F118,G118)</f>
        <v/>
      </c>
      <c r="I118" t="inlineStr">
        <is>
          <t>vlan-1316</t>
        </is>
      </c>
      <c r="J118" t="inlineStr">
        <is>
          <t>regular</t>
        </is>
      </c>
    </row>
    <row r="119">
      <c r="A119" t="inlineStr">
        <is>
          <t>uni/tn-TELCEL_TELCO_NETWORK/ap-AP_telcel_ipcorp/epg-EPG_VLAN_2021/rspathAtt-[topology</t>
        </is>
      </c>
      <c r="B119">
        <f>_xlfn.TEXTBEFORE(_xlfn.TEXTAFTER(A119, "ap-"), "/")</f>
        <v/>
      </c>
      <c r="C119">
        <f>_xlfn.TEXTBEFORE(_xlfn.TEXTAFTER(A119, "epg-"), "/")</f>
        <v/>
      </c>
      <c r="D119">
        <f>_xlfn.TEXTBEFORE(_xlfn.TEXTAFTER(A119, "rspathAtt-"), "]") &amp; "]]"</f>
        <v/>
      </c>
      <c r="E119">
        <f>_xlfn.TEXTBEFORE(_xlfn.TEXTAFTER(D119, "pod-"), "/")</f>
        <v/>
      </c>
      <c r="F119">
        <f>_xlfn.TEXTBEFORE(_xlfn.TEXTAFTER(D119, "paths-"), "/")</f>
        <v/>
      </c>
      <c r="G119">
        <f>_xlfn.TEXTBEFORE(_xlfn.TEXTAFTER(D119, "pathep-["), "]")</f>
        <v/>
      </c>
      <c r="H119">
        <f>_xlfn.CONCAT(F119,G119)</f>
        <v/>
      </c>
      <c r="I119" t="inlineStr">
        <is>
          <t>vlan-2021</t>
        </is>
      </c>
      <c r="J119" t="inlineStr">
        <is>
          <t>regular</t>
        </is>
      </c>
    </row>
    <row r="120">
      <c r="A120" t="inlineStr">
        <is>
          <t>uni/tn-TELCEL_TELCO_NETWORK/ap-AP_telcel_ipcorp/epg-EPG_VLAN_2021/rspathAtt-[topology</t>
        </is>
      </c>
      <c r="B120">
        <f>_xlfn.TEXTBEFORE(_xlfn.TEXTAFTER(A120, "ap-"), "/")</f>
        <v/>
      </c>
      <c r="C120">
        <f>_xlfn.TEXTBEFORE(_xlfn.TEXTAFTER(A120, "epg-"), "/")</f>
        <v/>
      </c>
      <c r="D120">
        <f>_xlfn.TEXTBEFORE(_xlfn.TEXTAFTER(A120, "rspathAtt-"), "]") &amp; "]]"</f>
        <v/>
      </c>
      <c r="E120">
        <f>_xlfn.TEXTBEFORE(_xlfn.TEXTAFTER(D120, "pod-"), "/")</f>
        <v/>
      </c>
      <c r="F120">
        <f>_xlfn.TEXTBEFORE(_xlfn.TEXTAFTER(D120, "paths-"), "/")</f>
        <v/>
      </c>
      <c r="G120">
        <f>_xlfn.TEXTBEFORE(_xlfn.TEXTAFTER(D120, "pathep-["), "]")</f>
        <v/>
      </c>
      <c r="H120">
        <f>_xlfn.CONCAT(F120,G120)</f>
        <v/>
      </c>
      <c r="I120" t="inlineStr">
        <is>
          <t>vlan-2021</t>
        </is>
      </c>
      <c r="J120" t="inlineStr">
        <is>
          <t>regular</t>
        </is>
      </c>
    </row>
    <row r="121">
      <c r="A121" t="inlineStr">
        <is>
          <t>uni/tn-TELCEL_TELCO_NETWORK/ap-AP_iub_us/epg-EPG_VLAN_343_NB-INGENIEROS_U1900/rspathA</t>
        </is>
      </c>
      <c r="B121">
        <f>_xlfn.TEXTBEFORE(_xlfn.TEXTAFTER(A121, "ap-"), "/")</f>
        <v/>
      </c>
      <c r="C121">
        <f>_xlfn.TEXTBEFORE(_xlfn.TEXTAFTER(A121, "epg-"), "/")</f>
        <v/>
      </c>
      <c r="D121">
        <f>_xlfn.TEXTBEFORE(_xlfn.TEXTAFTER(A121, "rspathAtt-"), "]") &amp; "]]"</f>
        <v/>
      </c>
      <c r="E121">
        <f>_xlfn.TEXTBEFORE(_xlfn.TEXTAFTER(D121, "pod-"), "/")</f>
        <v/>
      </c>
      <c r="F121">
        <f>_xlfn.TEXTBEFORE(_xlfn.TEXTAFTER(D121, "paths-"), "/")</f>
        <v/>
      </c>
      <c r="G121">
        <f>_xlfn.TEXTBEFORE(_xlfn.TEXTAFTER(D121, "pathep-["), "]")</f>
        <v/>
      </c>
      <c r="H121">
        <f>_xlfn.CONCAT(F121,G121)</f>
        <v/>
      </c>
      <c r="I121" t="inlineStr">
        <is>
          <t>vlan-343</t>
        </is>
      </c>
      <c r="J121" t="inlineStr">
        <is>
          <t>regular</t>
        </is>
      </c>
    </row>
    <row r="122">
      <c r="A122" t="inlineStr">
        <is>
          <t>uni/tn-TELCEL_TELCO_NETWORK/ap-AP_red_sig_IP/epg-EPG_VLAN_522/rspathAtt-[topology/pod</t>
        </is>
      </c>
      <c r="B122">
        <f>_xlfn.TEXTBEFORE(_xlfn.TEXTAFTER(A122, "ap-"), "/")</f>
        <v/>
      </c>
      <c r="C122">
        <f>_xlfn.TEXTBEFORE(_xlfn.TEXTAFTER(A122, "epg-"), "/")</f>
        <v/>
      </c>
      <c r="D122">
        <f>_xlfn.TEXTBEFORE(_xlfn.TEXTAFTER(A122, "rspathAtt-"), "]") &amp; "]]"</f>
        <v/>
      </c>
      <c r="E122">
        <f>_xlfn.TEXTBEFORE(_xlfn.TEXTAFTER(D122, "pod-"), "/")</f>
        <v/>
      </c>
      <c r="F122">
        <f>_xlfn.TEXTBEFORE(_xlfn.TEXTAFTER(D122, "paths-"), "/")</f>
        <v/>
      </c>
      <c r="G122">
        <f>_xlfn.TEXTBEFORE(_xlfn.TEXTAFTER(D122, "pathep-["), "]")</f>
        <v/>
      </c>
      <c r="H122">
        <f>_xlfn.CONCAT(F122,G122)</f>
        <v/>
      </c>
      <c r="I122" t="inlineStr">
        <is>
          <t>vlan-522</t>
        </is>
      </c>
      <c r="J122" t="inlineStr">
        <is>
          <t>regular</t>
        </is>
      </c>
    </row>
    <row r="123">
      <c r="A123" t="inlineStr">
        <is>
          <t>uni/tn-TELCEL_TELCO_NETWORK/ap-AP_red_sig_IP/epg-EPG_VLAN_2020/rspathAtt-[topology/po</t>
        </is>
      </c>
      <c r="B123">
        <f>_xlfn.TEXTBEFORE(_xlfn.TEXTAFTER(A123, "ap-"), "/")</f>
        <v/>
      </c>
      <c r="C123">
        <f>_xlfn.TEXTBEFORE(_xlfn.TEXTAFTER(A123, "epg-"), "/")</f>
        <v/>
      </c>
      <c r="D123">
        <f>_xlfn.TEXTBEFORE(_xlfn.TEXTAFTER(A123, "rspathAtt-"), "]") &amp; "]]"</f>
        <v/>
      </c>
      <c r="E123">
        <f>_xlfn.TEXTBEFORE(_xlfn.TEXTAFTER(D123, "pod-"), "/")</f>
        <v/>
      </c>
      <c r="F123">
        <f>_xlfn.TEXTBEFORE(_xlfn.TEXTAFTER(D123, "paths-"), "/")</f>
        <v/>
      </c>
      <c r="G123">
        <f>_xlfn.TEXTBEFORE(_xlfn.TEXTAFTER(D123, "pathep-["), "]")</f>
        <v/>
      </c>
      <c r="H123">
        <f>_xlfn.CONCAT(F123,G123)</f>
        <v/>
      </c>
      <c r="I123" t="inlineStr">
        <is>
          <t>vlan-2020</t>
        </is>
      </c>
      <c r="J123" t="inlineStr">
        <is>
          <t>regular</t>
        </is>
      </c>
    </row>
    <row r="124">
      <c r="A124" t="inlineStr">
        <is>
          <t>uni/tn-TELCEL_TELCO_NETWORK/ap-AP_red_sig_IP/epg-EPG_VLAN_2017/rspathAtt-[topology/po</t>
        </is>
      </c>
      <c r="B124">
        <f>_xlfn.TEXTBEFORE(_xlfn.TEXTAFTER(A124, "ap-"), "/")</f>
        <v/>
      </c>
      <c r="C124">
        <f>_xlfn.TEXTBEFORE(_xlfn.TEXTAFTER(A124, "epg-"), "/")</f>
        <v/>
      </c>
      <c r="D124">
        <f>_xlfn.TEXTBEFORE(_xlfn.TEXTAFTER(A124, "rspathAtt-"), "]") &amp; "]]"</f>
        <v/>
      </c>
      <c r="E124">
        <f>_xlfn.TEXTBEFORE(_xlfn.TEXTAFTER(D124, "pod-"), "/")</f>
        <v/>
      </c>
      <c r="F124">
        <f>_xlfn.TEXTBEFORE(_xlfn.TEXTAFTER(D124, "paths-"), "/")</f>
        <v/>
      </c>
      <c r="G124">
        <f>_xlfn.TEXTBEFORE(_xlfn.TEXTAFTER(D124, "pathep-["), "]")</f>
        <v/>
      </c>
      <c r="H124">
        <f>_xlfn.CONCAT(F124,G124)</f>
        <v/>
      </c>
      <c r="I124" t="inlineStr">
        <is>
          <t>vlan-2017</t>
        </is>
      </c>
      <c r="J124" t="inlineStr">
        <is>
          <t>regular</t>
        </is>
      </c>
    </row>
    <row r="125">
      <c r="A125" t="inlineStr">
        <is>
          <t>uni/tn-TELCEL_TELCO_NETWORK/ap-AP_red_gprs_Gn/epg-EPG_VLAN_903/rspathAtt-[topology/po</t>
        </is>
      </c>
      <c r="B125">
        <f>_xlfn.TEXTBEFORE(_xlfn.TEXTAFTER(A125, "ap-"), "/")</f>
        <v/>
      </c>
      <c r="C125">
        <f>_xlfn.TEXTBEFORE(_xlfn.TEXTAFTER(A125, "epg-"), "/")</f>
        <v/>
      </c>
      <c r="D125">
        <f>_xlfn.TEXTBEFORE(_xlfn.TEXTAFTER(A125, "rspathAtt-"), "]") &amp; "]]"</f>
        <v/>
      </c>
      <c r="E125">
        <f>_xlfn.TEXTBEFORE(_xlfn.TEXTAFTER(D125, "pod-"), "/")</f>
        <v/>
      </c>
      <c r="F125">
        <f>_xlfn.TEXTBEFORE(_xlfn.TEXTAFTER(D125, "paths-"), "/")</f>
        <v/>
      </c>
      <c r="G125">
        <f>_xlfn.TEXTBEFORE(_xlfn.TEXTAFTER(D125, "pathep-["), "]")</f>
        <v/>
      </c>
      <c r="H125">
        <f>_xlfn.CONCAT(F125,G125)</f>
        <v/>
      </c>
      <c r="I125" t="inlineStr">
        <is>
          <t>vlan-903</t>
        </is>
      </c>
      <c r="J125" t="inlineStr">
        <is>
          <t>regular</t>
        </is>
      </c>
    </row>
    <row r="126">
      <c r="A126" t="inlineStr">
        <is>
          <t>uni/tn-TELCEL_TELCO_NETWORK/ap-AP_telcel_ipcorp/epg-EPG_VLAN_1316/rspathAtt-[topology</t>
        </is>
      </c>
      <c r="B126">
        <f>_xlfn.TEXTBEFORE(_xlfn.TEXTAFTER(A126, "ap-"), "/")</f>
        <v/>
      </c>
      <c r="C126">
        <f>_xlfn.TEXTBEFORE(_xlfn.TEXTAFTER(A126, "epg-"), "/")</f>
        <v/>
      </c>
      <c r="D126">
        <f>_xlfn.TEXTBEFORE(_xlfn.TEXTAFTER(A126, "rspathAtt-"), "]") &amp; "]]"</f>
        <v/>
      </c>
      <c r="E126">
        <f>_xlfn.TEXTBEFORE(_xlfn.TEXTAFTER(D126, "pod-"), "/")</f>
        <v/>
      </c>
      <c r="F126">
        <f>_xlfn.TEXTBEFORE(_xlfn.TEXTAFTER(D126, "paths-"), "/")</f>
        <v/>
      </c>
      <c r="G126">
        <f>_xlfn.TEXTBEFORE(_xlfn.TEXTAFTER(D126, "pathep-["), "]")</f>
        <v/>
      </c>
      <c r="H126">
        <f>_xlfn.CONCAT(F126,G126)</f>
        <v/>
      </c>
      <c r="I126" t="inlineStr">
        <is>
          <t>vlan-1316</t>
        </is>
      </c>
      <c r="J126" t="inlineStr">
        <is>
          <t>regular</t>
        </is>
      </c>
    </row>
    <row r="127">
      <c r="A127" t="inlineStr">
        <is>
          <t>uni/tn-TELCEL_TELCO_NETWORK/ap-AP_red_sig_IP/epg-EPG_VLAN_450/rspathAtt-[topology/pod</t>
        </is>
      </c>
      <c r="B127">
        <f>_xlfn.TEXTBEFORE(_xlfn.TEXTAFTER(A127, "ap-"), "/")</f>
        <v/>
      </c>
      <c r="C127">
        <f>_xlfn.TEXTBEFORE(_xlfn.TEXTAFTER(A127, "epg-"), "/")</f>
        <v/>
      </c>
      <c r="D127">
        <f>_xlfn.TEXTBEFORE(_xlfn.TEXTAFTER(A127, "rspathAtt-"), "]") &amp; "]]"</f>
        <v/>
      </c>
      <c r="E127">
        <f>_xlfn.TEXTBEFORE(_xlfn.TEXTAFTER(D127, "pod-"), "/")</f>
        <v/>
      </c>
      <c r="F127">
        <f>_xlfn.TEXTBEFORE(_xlfn.TEXTAFTER(D127, "paths-"), "/")</f>
        <v/>
      </c>
      <c r="G127">
        <f>_xlfn.TEXTBEFORE(_xlfn.TEXTAFTER(D127, "pathep-["), "]")</f>
        <v/>
      </c>
      <c r="H127">
        <f>_xlfn.CONCAT(F127,G127)</f>
        <v/>
      </c>
      <c r="I127" t="inlineStr">
        <is>
          <t>vlan-450</t>
        </is>
      </c>
      <c r="J127" t="inlineStr">
        <is>
          <t>regular</t>
        </is>
      </c>
    </row>
    <row r="128">
      <c r="A128" t="inlineStr">
        <is>
          <t>uni/tn-TELCEL_TELCO_NETWORK/ap-AP_telcel_ipcorp/epg-EPG_VLAN_304/rspathAtt-[topology/</t>
        </is>
      </c>
      <c r="B128">
        <f>_xlfn.TEXTBEFORE(_xlfn.TEXTAFTER(A128, "ap-"), "/")</f>
        <v/>
      </c>
      <c r="C128">
        <f>_xlfn.TEXTBEFORE(_xlfn.TEXTAFTER(A128, "epg-"), "/")</f>
        <v/>
      </c>
      <c r="D128">
        <f>_xlfn.TEXTBEFORE(_xlfn.TEXTAFTER(A128, "rspathAtt-"), "]") &amp; "]]"</f>
        <v/>
      </c>
      <c r="E128">
        <f>_xlfn.TEXTBEFORE(_xlfn.TEXTAFTER(D128, "pod-"), "/")</f>
        <v/>
      </c>
      <c r="F128">
        <f>_xlfn.TEXTBEFORE(_xlfn.TEXTAFTER(D128, "paths-"), "/")</f>
        <v/>
      </c>
      <c r="G128">
        <f>_xlfn.TEXTBEFORE(_xlfn.TEXTAFTER(D128, "pathep-["), "]")</f>
        <v/>
      </c>
      <c r="H128">
        <f>_xlfn.CONCAT(F128,G128)</f>
        <v/>
      </c>
      <c r="I128" t="inlineStr">
        <is>
          <t>vlan-304</t>
        </is>
      </c>
      <c r="J128" t="inlineStr">
        <is>
          <t>regular</t>
        </is>
      </c>
    </row>
    <row r="129">
      <c r="A129" t="inlineStr">
        <is>
          <t>uni/tn-TELCEL_TELCO_NETWORK/ap-AP_red_gprs_Gn/epg-EPG_VLAN_1111/rspathAtt-[topology/p</t>
        </is>
      </c>
      <c r="B129">
        <f>_xlfn.TEXTBEFORE(_xlfn.TEXTAFTER(A129, "ap-"), "/")</f>
        <v/>
      </c>
      <c r="C129">
        <f>_xlfn.TEXTBEFORE(_xlfn.TEXTAFTER(A129, "epg-"), "/")</f>
        <v/>
      </c>
      <c r="D129">
        <f>_xlfn.TEXTBEFORE(_xlfn.TEXTAFTER(A129, "rspathAtt-"), "]") &amp; "]]"</f>
        <v/>
      </c>
      <c r="E129">
        <f>_xlfn.TEXTBEFORE(_xlfn.TEXTAFTER(D129, "pod-"), "/")</f>
        <v/>
      </c>
      <c r="F129">
        <f>_xlfn.TEXTBEFORE(_xlfn.TEXTAFTER(D129, "paths-"), "/")</f>
        <v/>
      </c>
      <c r="G129">
        <f>_xlfn.TEXTBEFORE(_xlfn.TEXTAFTER(D129, "pathep-["), "]")</f>
        <v/>
      </c>
      <c r="H129">
        <f>_xlfn.CONCAT(F129,G129)</f>
        <v/>
      </c>
      <c r="I129" t="inlineStr">
        <is>
          <t>vlan-1111</t>
        </is>
      </c>
      <c r="J129" t="inlineStr">
        <is>
          <t>regular</t>
        </is>
      </c>
    </row>
    <row r="130">
      <c r="A130" t="inlineStr">
        <is>
          <t>uni/tn-TELCEL_TELCO_NETWORK/ap-AP_red_gprs_Gn/epg-EPG_VLAN_1150/rspathAtt-[topology/p</t>
        </is>
      </c>
      <c r="B130">
        <f>_xlfn.TEXTBEFORE(_xlfn.TEXTAFTER(A130, "ap-"), "/")</f>
        <v/>
      </c>
      <c r="C130">
        <f>_xlfn.TEXTBEFORE(_xlfn.TEXTAFTER(A130, "epg-"), "/")</f>
        <v/>
      </c>
      <c r="D130">
        <f>_xlfn.TEXTBEFORE(_xlfn.TEXTAFTER(A130, "rspathAtt-"), "]") &amp; "]]"</f>
        <v/>
      </c>
      <c r="E130">
        <f>_xlfn.TEXTBEFORE(_xlfn.TEXTAFTER(D130, "pod-"), "/")</f>
        <v/>
      </c>
      <c r="F130">
        <f>_xlfn.TEXTBEFORE(_xlfn.TEXTAFTER(D130, "paths-"), "/")</f>
        <v/>
      </c>
      <c r="G130">
        <f>_xlfn.TEXTBEFORE(_xlfn.TEXTAFTER(D130, "pathep-["), "]")</f>
        <v/>
      </c>
      <c r="H130">
        <f>_xlfn.CONCAT(F130,G130)</f>
        <v/>
      </c>
      <c r="I130" t="inlineStr">
        <is>
          <t>vlan-1150</t>
        </is>
      </c>
      <c r="J130" t="inlineStr">
        <is>
          <t>regular</t>
        </is>
      </c>
    </row>
    <row r="131">
      <c r="A131" t="inlineStr">
        <is>
          <t>uni/tn-TELCEL_TELCO_NETWORK/ap-AP_red_gprs_Gn/epg-EPG_VLAN_1111/rspathAtt-[topology/p</t>
        </is>
      </c>
      <c r="B131">
        <f>_xlfn.TEXTBEFORE(_xlfn.TEXTAFTER(A131, "ap-"), "/")</f>
        <v/>
      </c>
      <c r="C131">
        <f>_xlfn.TEXTBEFORE(_xlfn.TEXTAFTER(A131, "epg-"), "/")</f>
        <v/>
      </c>
      <c r="D131">
        <f>_xlfn.TEXTBEFORE(_xlfn.TEXTAFTER(A131, "rspathAtt-"), "]") &amp; "]]"</f>
        <v/>
      </c>
      <c r="E131">
        <f>_xlfn.TEXTBEFORE(_xlfn.TEXTAFTER(D131, "pod-"), "/")</f>
        <v/>
      </c>
      <c r="F131">
        <f>_xlfn.TEXTBEFORE(_xlfn.TEXTAFTER(D131, "paths-"), "/")</f>
        <v/>
      </c>
      <c r="G131">
        <f>_xlfn.TEXTBEFORE(_xlfn.TEXTAFTER(D131, "pathep-["), "]")</f>
        <v/>
      </c>
      <c r="H131">
        <f>_xlfn.CONCAT(F131,G131)</f>
        <v/>
      </c>
      <c r="I131" t="inlineStr">
        <is>
          <t>vlan-1111</t>
        </is>
      </c>
      <c r="J131" t="inlineStr">
        <is>
          <t>regular</t>
        </is>
      </c>
    </row>
    <row r="132">
      <c r="A132" t="inlineStr">
        <is>
          <t>uni/tn-TELCEL_TELCO_NETWORK/ap-AP_red_sig_IP/epg-EPG_VLAN_2019/rspathAtt-[topology/po</t>
        </is>
      </c>
      <c r="B132">
        <f>_xlfn.TEXTBEFORE(_xlfn.TEXTAFTER(A132, "ap-"), "/")</f>
        <v/>
      </c>
      <c r="C132">
        <f>_xlfn.TEXTBEFORE(_xlfn.TEXTAFTER(A132, "epg-"), "/")</f>
        <v/>
      </c>
      <c r="D132">
        <f>_xlfn.TEXTBEFORE(_xlfn.TEXTAFTER(A132, "rspathAtt-"), "]") &amp; "]]"</f>
        <v/>
      </c>
      <c r="E132">
        <f>_xlfn.TEXTBEFORE(_xlfn.TEXTAFTER(D132, "pod-"), "/")</f>
        <v/>
      </c>
      <c r="F132">
        <f>_xlfn.TEXTBEFORE(_xlfn.TEXTAFTER(D132, "paths-"), "/")</f>
        <v/>
      </c>
      <c r="G132">
        <f>_xlfn.TEXTBEFORE(_xlfn.TEXTAFTER(D132, "pathep-["), "]")</f>
        <v/>
      </c>
      <c r="H132">
        <f>_xlfn.CONCAT(F132,G132)</f>
        <v/>
      </c>
      <c r="I132" t="inlineStr">
        <is>
          <t>vlan-2019</t>
        </is>
      </c>
      <c r="J132" t="inlineStr">
        <is>
          <t>regular</t>
        </is>
      </c>
    </row>
    <row r="133">
      <c r="A133" t="inlineStr">
        <is>
          <t>uni/tn-TELCEL_TELCO_NETWORK/ap-AP_red_gprs_Gn/epg-EPG_VLAN_1150/rspathAtt-[topology/p</t>
        </is>
      </c>
      <c r="B133">
        <f>_xlfn.TEXTBEFORE(_xlfn.TEXTAFTER(A133, "ap-"), "/")</f>
        <v/>
      </c>
      <c r="C133">
        <f>_xlfn.TEXTBEFORE(_xlfn.TEXTAFTER(A133, "epg-"), "/")</f>
        <v/>
      </c>
      <c r="D133">
        <f>_xlfn.TEXTBEFORE(_xlfn.TEXTAFTER(A133, "rspathAtt-"), "]") &amp; "]]"</f>
        <v/>
      </c>
      <c r="E133">
        <f>_xlfn.TEXTBEFORE(_xlfn.TEXTAFTER(D133, "pod-"), "/")</f>
        <v/>
      </c>
      <c r="F133">
        <f>_xlfn.TEXTBEFORE(_xlfn.TEXTAFTER(D133, "paths-"), "/")</f>
        <v/>
      </c>
      <c r="G133">
        <f>_xlfn.TEXTBEFORE(_xlfn.TEXTAFTER(D133, "pathep-["), "]")</f>
        <v/>
      </c>
      <c r="H133">
        <f>_xlfn.CONCAT(F133,G133)</f>
        <v/>
      </c>
      <c r="I133" t="inlineStr">
        <is>
          <t>vlan-1150</t>
        </is>
      </c>
      <c r="J133" t="inlineStr">
        <is>
          <t>regular</t>
        </is>
      </c>
    </row>
    <row r="134">
      <c r="A134" t="inlineStr">
        <is>
          <t>uni/tn-TELCEL_TELCO_NETWORK/ap-AP_red_sig_IP/epg-EPG_VLAN_1102/rspathAtt-[topology/po</t>
        </is>
      </c>
      <c r="B134">
        <f>_xlfn.TEXTBEFORE(_xlfn.TEXTAFTER(A134, "ap-"), "/")</f>
        <v/>
      </c>
      <c r="C134">
        <f>_xlfn.TEXTBEFORE(_xlfn.TEXTAFTER(A134, "epg-"), "/")</f>
        <v/>
      </c>
      <c r="D134">
        <f>_xlfn.TEXTBEFORE(_xlfn.TEXTAFTER(A134, "rspathAtt-"), "]") &amp; "]]"</f>
        <v/>
      </c>
      <c r="E134">
        <f>_xlfn.TEXTBEFORE(_xlfn.TEXTAFTER(D134, "pod-"), "/")</f>
        <v/>
      </c>
      <c r="F134">
        <f>_xlfn.TEXTBEFORE(_xlfn.TEXTAFTER(D134, "paths-"), "/")</f>
        <v/>
      </c>
      <c r="G134">
        <f>_xlfn.TEXTBEFORE(_xlfn.TEXTAFTER(D134, "pathep-["), "]")</f>
        <v/>
      </c>
      <c r="H134">
        <f>_xlfn.CONCAT(F134,G134)</f>
        <v/>
      </c>
      <c r="I134" t="inlineStr">
        <is>
          <t>vlan-1102</t>
        </is>
      </c>
      <c r="J134" t="inlineStr">
        <is>
          <t>regular</t>
        </is>
      </c>
    </row>
    <row r="135">
      <c r="A135" t="inlineStr">
        <is>
          <t>uni/tn-TELCEL_TELCO_NETWORK/ap-AP_red_sig_IP/epg-EPG_VLAN_2020/rspathAtt-[topology/po</t>
        </is>
      </c>
      <c r="B135">
        <f>_xlfn.TEXTBEFORE(_xlfn.TEXTAFTER(A135, "ap-"), "/")</f>
        <v/>
      </c>
      <c r="C135">
        <f>_xlfn.TEXTBEFORE(_xlfn.TEXTAFTER(A135, "epg-"), "/")</f>
        <v/>
      </c>
      <c r="D135">
        <f>_xlfn.TEXTBEFORE(_xlfn.TEXTAFTER(A135, "rspathAtt-"), "]") &amp; "]]"</f>
        <v/>
      </c>
      <c r="E135">
        <f>_xlfn.TEXTBEFORE(_xlfn.TEXTAFTER(D135, "pod-"), "/")</f>
        <v/>
      </c>
      <c r="F135">
        <f>_xlfn.TEXTBEFORE(_xlfn.TEXTAFTER(D135, "paths-"), "/")</f>
        <v/>
      </c>
      <c r="G135">
        <f>_xlfn.TEXTBEFORE(_xlfn.TEXTAFTER(D135, "pathep-["), "]")</f>
        <v/>
      </c>
      <c r="H135">
        <f>_xlfn.CONCAT(F135,G135)</f>
        <v/>
      </c>
      <c r="I135" t="inlineStr">
        <is>
          <t>vlan-2020</t>
        </is>
      </c>
      <c r="J135" t="inlineStr">
        <is>
          <t>regular</t>
        </is>
      </c>
    </row>
    <row r="136">
      <c r="A136" t="inlineStr">
        <is>
          <t>uni/tn-TELCEL_TELCO_NETWORK/ap-AP_iub_us/epg-EPG_VLAN_912/rspathAtt-[topology/pod-1/p</t>
        </is>
      </c>
      <c r="B136">
        <f>_xlfn.TEXTBEFORE(_xlfn.TEXTAFTER(A136, "ap-"), "/")</f>
        <v/>
      </c>
      <c r="C136">
        <f>_xlfn.TEXTBEFORE(_xlfn.TEXTAFTER(A136, "epg-"), "/")</f>
        <v/>
      </c>
      <c r="D136">
        <f>_xlfn.TEXTBEFORE(_xlfn.TEXTAFTER(A136, "rspathAtt-"), "]") &amp; "]]"</f>
        <v/>
      </c>
      <c r="E136">
        <f>_xlfn.TEXTBEFORE(_xlfn.TEXTAFTER(D136, "pod-"), "/")</f>
        <v/>
      </c>
      <c r="F136">
        <f>_xlfn.TEXTBEFORE(_xlfn.TEXTAFTER(D136, "paths-"), "/")</f>
        <v/>
      </c>
      <c r="G136">
        <f>_xlfn.TEXTBEFORE(_xlfn.TEXTAFTER(D136, "pathep-["), "]")</f>
        <v/>
      </c>
      <c r="H136">
        <f>_xlfn.CONCAT(F136,G136)</f>
        <v/>
      </c>
      <c r="I136" t="inlineStr">
        <is>
          <t>vlan-912</t>
        </is>
      </c>
      <c r="J136" t="inlineStr">
        <is>
          <t>regular</t>
        </is>
      </c>
    </row>
    <row r="137">
      <c r="A137" t="inlineStr">
        <is>
          <t>uni/tn-TELCEL_TELCO_NETWORK/ap-AP_red_sig_IP/epg-EPG_VLAN_1101/rspathAtt-[topology/po</t>
        </is>
      </c>
      <c r="B137">
        <f>_xlfn.TEXTBEFORE(_xlfn.TEXTAFTER(A137, "ap-"), "/")</f>
        <v/>
      </c>
      <c r="C137">
        <f>_xlfn.TEXTBEFORE(_xlfn.TEXTAFTER(A137, "epg-"), "/")</f>
        <v/>
      </c>
      <c r="D137">
        <f>_xlfn.TEXTBEFORE(_xlfn.TEXTAFTER(A137, "rspathAtt-"), "]") &amp; "]]"</f>
        <v/>
      </c>
      <c r="E137">
        <f>_xlfn.TEXTBEFORE(_xlfn.TEXTAFTER(D137, "pod-"), "/")</f>
        <v/>
      </c>
      <c r="F137">
        <f>_xlfn.TEXTBEFORE(_xlfn.TEXTAFTER(D137, "paths-"), "/")</f>
        <v/>
      </c>
      <c r="G137">
        <f>_xlfn.TEXTBEFORE(_xlfn.TEXTAFTER(D137, "pathep-["), "]")</f>
        <v/>
      </c>
      <c r="H137">
        <f>_xlfn.CONCAT(F137,G137)</f>
        <v/>
      </c>
      <c r="I137" t="inlineStr">
        <is>
          <t>vlan-1101</t>
        </is>
      </c>
      <c r="J137" t="inlineStr">
        <is>
          <t>regular</t>
        </is>
      </c>
    </row>
    <row r="138">
      <c r="A138" t="inlineStr">
        <is>
          <t>uni/tn-TELCEL_TELCO_NETWORK/ap-AP_telcel_ipcorp/epg-EPG_VLAN_2022/rspathAtt-[topology</t>
        </is>
      </c>
      <c r="B138">
        <f>_xlfn.TEXTBEFORE(_xlfn.TEXTAFTER(A138, "ap-"), "/")</f>
        <v/>
      </c>
      <c r="C138">
        <f>_xlfn.TEXTBEFORE(_xlfn.TEXTAFTER(A138, "epg-"), "/")</f>
        <v/>
      </c>
      <c r="D138">
        <f>_xlfn.TEXTBEFORE(_xlfn.TEXTAFTER(A138, "rspathAtt-"), "]") &amp; "]]"</f>
        <v/>
      </c>
      <c r="E138">
        <f>_xlfn.TEXTBEFORE(_xlfn.TEXTAFTER(D138, "pod-"), "/")</f>
        <v/>
      </c>
      <c r="F138">
        <f>_xlfn.TEXTBEFORE(_xlfn.TEXTAFTER(D138, "paths-"), "/")</f>
        <v/>
      </c>
      <c r="G138">
        <f>_xlfn.TEXTBEFORE(_xlfn.TEXTAFTER(D138, "pathep-["), "]")</f>
        <v/>
      </c>
      <c r="H138">
        <f>_xlfn.CONCAT(F138,G138)</f>
        <v/>
      </c>
      <c r="I138" t="inlineStr">
        <is>
          <t>vlan-2022</t>
        </is>
      </c>
      <c r="J138" t="inlineStr">
        <is>
          <t>regular</t>
        </is>
      </c>
    </row>
    <row r="139">
      <c r="A139" t="inlineStr">
        <is>
          <t>uni/tn-TELCEL_TELCO_NETWORK/ap-AP_red_sig_IP/epg-EPG_VLAN_521/rspathAtt-[topology/pod</t>
        </is>
      </c>
      <c r="B139">
        <f>_xlfn.TEXTBEFORE(_xlfn.TEXTAFTER(A139, "ap-"), "/")</f>
        <v/>
      </c>
      <c r="C139">
        <f>_xlfn.TEXTBEFORE(_xlfn.TEXTAFTER(A139, "epg-"), "/")</f>
        <v/>
      </c>
      <c r="D139">
        <f>_xlfn.TEXTBEFORE(_xlfn.TEXTAFTER(A139, "rspathAtt-"), "]") &amp; "]]"</f>
        <v/>
      </c>
      <c r="E139">
        <f>_xlfn.TEXTBEFORE(_xlfn.TEXTAFTER(D139, "pod-"), "/")</f>
        <v/>
      </c>
      <c r="F139">
        <f>_xlfn.TEXTBEFORE(_xlfn.TEXTAFTER(D139, "paths-"), "/")</f>
        <v/>
      </c>
      <c r="G139">
        <f>_xlfn.TEXTBEFORE(_xlfn.TEXTAFTER(D139, "pathep-["), "]")</f>
        <v/>
      </c>
      <c r="H139">
        <f>_xlfn.CONCAT(F139,G139)</f>
        <v/>
      </c>
      <c r="I139" t="inlineStr">
        <is>
          <t>vlan-521</t>
        </is>
      </c>
      <c r="J139" t="inlineStr">
        <is>
          <t>regular</t>
        </is>
      </c>
    </row>
    <row r="140">
      <c r="A140" t="inlineStr">
        <is>
          <t>uni/tn-TELCEL_TELCO_NETWORK/ap-AP_telcel_ipcorp/epg-EPG_VLAN_901/rspathAtt-[topology/</t>
        </is>
      </c>
      <c r="B140">
        <f>_xlfn.TEXTBEFORE(_xlfn.TEXTAFTER(A140, "ap-"), "/")</f>
        <v/>
      </c>
      <c r="C140">
        <f>_xlfn.TEXTBEFORE(_xlfn.TEXTAFTER(A140, "epg-"), "/")</f>
        <v/>
      </c>
      <c r="D140">
        <f>_xlfn.TEXTBEFORE(_xlfn.TEXTAFTER(A140, "rspathAtt-"), "]") &amp; "]]"</f>
        <v/>
      </c>
      <c r="E140">
        <f>_xlfn.TEXTBEFORE(_xlfn.TEXTAFTER(D140, "pod-"), "/")</f>
        <v/>
      </c>
      <c r="F140">
        <f>_xlfn.TEXTBEFORE(_xlfn.TEXTAFTER(D140, "paths-"), "/")</f>
        <v/>
      </c>
      <c r="G140">
        <f>_xlfn.TEXTBEFORE(_xlfn.TEXTAFTER(D140, "pathep-["), "]")</f>
        <v/>
      </c>
      <c r="H140">
        <f>_xlfn.CONCAT(F140,G140)</f>
        <v/>
      </c>
      <c r="I140" t="inlineStr">
        <is>
          <t>vlan-901</t>
        </is>
      </c>
      <c r="J140" t="inlineStr">
        <is>
          <t>regular</t>
        </is>
      </c>
    </row>
    <row r="141">
      <c r="A141" t="inlineStr">
        <is>
          <t>uni/tn-TELCEL_TELCO_NETWORK/ap-AP_telcel_ipcorp/epg-EPG_VLAN_956/rspathAtt-[topology/</t>
        </is>
      </c>
      <c r="B141">
        <f>_xlfn.TEXTBEFORE(_xlfn.TEXTAFTER(A141, "ap-"), "/")</f>
        <v/>
      </c>
      <c r="C141">
        <f>_xlfn.TEXTBEFORE(_xlfn.TEXTAFTER(A141, "epg-"), "/")</f>
        <v/>
      </c>
      <c r="D141">
        <f>_xlfn.TEXTBEFORE(_xlfn.TEXTAFTER(A141, "rspathAtt-"), "]") &amp; "]]"</f>
        <v/>
      </c>
      <c r="E141">
        <f>_xlfn.TEXTBEFORE(_xlfn.TEXTAFTER(D141, "pod-"), "/")</f>
        <v/>
      </c>
      <c r="F141">
        <f>_xlfn.TEXTBEFORE(_xlfn.TEXTAFTER(D141, "paths-"), "/")</f>
        <v/>
      </c>
      <c r="G141">
        <f>_xlfn.TEXTBEFORE(_xlfn.TEXTAFTER(D141, "pathep-["), "]")</f>
        <v/>
      </c>
      <c r="H141">
        <f>_xlfn.CONCAT(F141,G141)</f>
        <v/>
      </c>
      <c r="I141" t="inlineStr">
        <is>
          <t>vlan-956</t>
        </is>
      </c>
      <c r="J141" t="inlineStr">
        <is>
          <t>regular</t>
        </is>
      </c>
    </row>
    <row r="142">
      <c r="A142" t="inlineStr">
        <is>
          <t>uni/tn-TELCEL_TELCO_NETWORK/ap-AP_iub_us/epg-EPG_VLAN_912/rspathAtt-[topology/pod-1/p</t>
        </is>
      </c>
      <c r="B142">
        <f>_xlfn.TEXTBEFORE(_xlfn.TEXTAFTER(A142, "ap-"), "/")</f>
        <v/>
      </c>
      <c r="C142">
        <f>_xlfn.TEXTBEFORE(_xlfn.TEXTAFTER(A142, "epg-"), "/")</f>
        <v/>
      </c>
      <c r="D142">
        <f>_xlfn.TEXTBEFORE(_xlfn.TEXTAFTER(A142, "rspathAtt-"), "]") &amp; "]]"</f>
        <v/>
      </c>
      <c r="E142">
        <f>_xlfn.TEXTBEFORE(_xlfn.TEXTAFTER(D142, "pod-"), "/")</f>
        <v/>
      </c>
      <c r="F142">
        <f>_xlfn.TEXTBEFORE(_xlfn.TEXTAFTER(D142, "paths-"), "/")</f>
        <v/>
      </c>
      <c r="G142">
        <f>_xlfn.TEXTBEFORE(_xlfn.TEXTAFTER(D142, "pathep-["), "]")</f>
        <v/>
      </c>
      <c r="H142">
        <f>_xlfn.CONCAT(F142,G142)</f>
        <v/>
      </c>
      <c r="I142" t="inlineStr">
        <is>
          <t>vlan-912</t>
        </is>
      </c>
      <c r="J142" t="inlineStr">
        <is>
          <t>regular</t>
        </is>
      </c>
    </row>
    <row r="143">
      <c r="A143" t="inlineStr">
        <is>
          <t>uni/tn-TELCEL_TELCO_NETWORK/ap-AP_red_sig_IP/epg-EPG_VLAN_1102/rspathAtt-[topology/po</t>
        </is>
      </c>
      <c r="B143">
        <f>_xlfn.TEXTBEFORE(_xlfn.TEXTAFTER(A143, "ap-"), "/")</f>
        <v/>
      </c>
      <c r="C143">
        <f>_xlfn.TEXTBEFORE(_xlfn.TEXTAFTER(A143, "epg-"), "/")</f>
        <v/>
      </c>
      <c r="D143">
        <f>_xlfn.TEXTBEFORE(_xlfn.TEXTAFTER(A143, "rspathAtt-"), "]") &amp; "]]"</f>
        <v/>
      </c>
      <c r="E143">
        <f>_xlfn.TEXTBEFORE(_xlfn.TEXTAFTER(D143, "pod-"), "/")</f>
        <v/>
      </c>
      <c r="F143">
        <f>_xlfn.TEXTBEFORE(_xlfn.TEXTAFTER(D143, "paths-"), "/")</f>
        <v/>
      </c>
      <c r="G143">
        <f>_xlfn.TEXTBEFORE(_xlfn.TEXTAFTER(D143, "pathep-["), "]")</f>
        <v/>
      </c>
      <c r="H143">
        <f>_xlfn.CONCAT(F143,G143)</f>
        <v/>
      </c>
      <c r="I143" t="inlineStr">
        <is>
          <t>vlan-1102</t>
        </is>
      </c>
      <c r="J143" t="inlineStr">
        <is>
          <t>regular</t>
        </is>
      </c>
    </row>
    <row r="144">
      <c r="A144" t="inlineStr">
        <is>
          <t>uni/tn-TELCEL_TELCO_NETWORK/ap-AP_red_gprs_Gn/epg-EPG_VLAN_1150/rspathAtt-[topology/p</t>
        </is>
      </c>
      <c r="B144">
        <f>_xlfn.TEXTBEFORE(_xlfn.TEXTAFTER(A144, "ap-"), "/")</f>
        <v/>
      </c>
      <c r="C144">
        <f>_xlfn.TEXTBEFORE(_xlfn.TEXTAFTER(A144, "epg-"), "/")</f>
        <v/>
      </c>
      <c r="D144">
        <f>_xlfn.TEXTBEFORE(_xlfn.TEXTAFTER(A144, "rspathAtt-"), "]") &amp; "]]"</f>
        <v/>
      </c>
      <c r="E144">
        <f>_xlfn.TEXTBEFORE(_xlfn.TEXTAFTER(D144, "pod-"), "/")</f>
        <v/>
      </c>
      <c r="F144">
        <f>_xlfn.TEXTBEFORE(_xlfn.TEXTAFTER(D144, "paths-"), "/")</f>
        <v/>
      </c>
      <c r="G144">
        <f>_xlfn.TEXTBEFORE(_xlfn.TEXTAFTER(D144, "pathep-["), "]")</f>
        <v/>
      </c>
      <c r="H144">
        <f>_xlfn.CONCAT(F144,G144)</f>
        <v/>
      </c>
      <c r="I144" t="inlineStr">
        <is>
          <t>vlan-1150</t>
        </is>
      </c>
      <c r="J144" t="inlineStr">
        <is>
          <t>regular</t>
        </is>
      </c>
    </row>
    <row r="145">
      <c r="A145" t="inlineStr">
        <is>
          <t>uni/tn-TELCEL_TELCO_NETWORK/ap-AP_telcel_ipcorp/epg-EPG_VLAN_103/rspathAtt-[topology/</t>
        </is>
      </c>
      <c r="B145">
        <f>_xlfn.TEXTBEFORE(_xlfn.TEXTAFTER(A145, "ap-"), "/")</f>
        <v/>
      </c>
      <c r="C145">
        <f>_xlfn.TEXTBEFORE(_xlfn.TEXTAFTER(A145, "epg-"), "/")</f>
        <v/>
      </c>
      <c r="D145">
        <f>_xlfn.TEXTBEFORE(_xlfn.TEXTAFTER(A145, "rspathAtt-"), "]") &amp; "]]"</f>
        <v/>
      </c>
      <c r="E145">
        <f>_xlfn.TEXTBEFORE(_xlfn.TEXTAFTER(D145, "pod-"), "/")</f>
        <v/>
      </c>
      <c r="F145">
        <f>_xlfn.TEXTBEFORE(_xlfn.TEXTAFTER(D145, "paths-"), "/")</f>
        <v/>
      </c>
      <c r="G145">
        <f>_xlfn.TEXTBEFORE(_xlfn.TEXTAFTER(D145, "pathep-["), "]")</f>
        <v/>
      </c>
      <c r="H145">
        <f>_xlfn.CONCAT(F145,G145)</f>
        <v/>
      </c>
      <c r="I145" t="inlineStr">
        <is>
          <t>vlan-103</t>
        </is>
      </c>
      <c r="J145" t="inlineStr">
        <is>
          <t>regular</t>
        </is>
      </c>
    </row>
    <row r="146">
      <c r="A146" t="inlineStr">
        <is>
          <t>uni/tn-TELCEL_TELCO_NETWORK/ap-AP_telcel_ipcorp/epg-EPG_VLAN_107/rspathAtt-[topology/</t>
        </is>
      </c>
      <c r="B146">
        <f>_xlfn.TEXTBEFORE(_xlfn.TEXTAFTER(A146, "ap-"), "/")</f>
        <v/>
      </c>
      <c r="C146">
        <f>_xlfn.TEXTBEFORE(_xlfn.TEXTAFTER(A146, "epg-"), "/")</f>
        <v/>
      </c>
      <c r="D146">
        <f>_xlfn.TEXTBEFORE(_xlfn.TEXTAFTER(A146, "rspathAtt-"), "]") &amp; "]]"</f>
        <v/>
      </c>
      <c r="E146">
        <f>_xlfn.TEXTBEFORE(_xlfn.TEXTAFTER(D146, "pod-"), "/")</f>
        <v/>
      </c>
      <c r="F146">
        <f>_xlfn.TEXTBEFORE(_xlfn.TEXTAFTER(D146, "paths-"), "/")</f>
        <v/>
      </c>
      <c r="G146">
        <f>_xlfn.TEXTBEFORE(_xlfn.TEXTAFTER(D146, "pathep-["), "]")</f>
        <v/>
      </c>
      <c r="H146">
        <f>_xlfn.CONCAT(F146,G146)</f>
        <v/>
      </c>
      <c r="I146" t="inlineStr">
        <is>
          <t>vlan-107</t>
        </is>
      </c>
      <c r="J146" t="inlineStr">
        <is>
          <t>regular</t>
        </is>
      </c>
    </row>
    <row r="147">
      <c r="A147" t="inlineStr">
        <is>
          <t>uni/tn-TELCEL_TELCO_NETWORK/ap-AP_Voz_Nb_Ericsson/epg-EPG_VLAN_600/rspathAtt-[topolog</t>
        </is>
      </c>
      <c r="B147">
        <f>_xlfn.TEXTBEFORE(_xlfn.TEXTAFTER(A147, "ap-"), "/")</f>
        <v/>
      </c>
      <c r="C147">
        <f>_xlfn.TEXTBEFORE(_xlfn.TEXTAFTER(A147, "epg-"), "/")</f>
        <v/>
      </c>
      <c r="D147">
        <f>_xlfn.TEXTBEFORE(_xlfn.TEXTAFTER(A147, "rspathAtt-"), "]") &amp; "]]"</f>
        <v/>
      </c>
      <c r="E147">
        <f>_xlfn.TEXTBEFORE(_xlfn.TEXTAFTER(D147, "pod-"), "/")</f>
        <v/>
      </c>
      <c r="F147">
        <f>_xlfn.TEXTBEFORE(_xlfn.TEXTAFTER(D147, "paths-"), "/")</f>
        <v/>
      </c>
      <c r="G147">
        <f>_xlfn.TEXTBEFORE(_xlfn.TEXTAFTER(D147, "pathep-["), "]")</f>
        <v/>
      </c>
      <c r="H147">
        <f>_xlfn.CONCAT(F147,G147)</f>
        <v/>
      </c>
      <c r="I147" t="inlineStr">
        <is>
          <t>vlan-600</t>
        </is>
      </c>
      <c r="J147" t="inlineStr">
        <is>
          <t>regular</t>
        </is>
      </c>
    </row>
    <row r="148">
      <c r="A148" t="inlineStr">
        <is>
          <t>uni/tn-TELCEL_TELCO_NETWORK/ap-AP_Voz_Nb_Ericsson/epg-EPG_VLAN_600/rspathAtt-[topolog</t>
        </is>
      </c>
      <c r="B148">
        <f>_xlfn.TEXTBEFORE(_xlfn.TEXTAFTER(A148, "ap-"), "/")</f>
        <v/>
      </c>
      <c r="C148">
        <f>_xlfn.TEXTBEFORE(_xlfn.TEXTAFTER(A148, "epg-"), "/")</f>
        <v/>
      </c>
      <c r="D148">
        <f>_xlfn.TEXTBEFORE(_xlfn.TEXTAFTER(A148, "rspathAtt-"), "]") &amp; "]]"</f>
        <v/>
      </c>
      <c r="E148">
        <f>_xlfn.TEXTBEFORE(_xlfn.TEXTAFTER(D148, "pod-"), "/")</f>
        <v/>
      </c>
      <c r="F148">
        <f>_xlfn.TEXTBEFORE(_xlfn.TEXTAFTER(D148, "paths-"), "/")</f>
        <v/>
      </c>
      <c r="G148">
        <f>_xlfn.TEXTBEFORE(_xlfn.TEXTAFTER(D148, "pathep-["), "]")</f>
        <v/>
      </c>
      <c r="H148">
        <f>_xlfn.CONCAT(F148,G148)</f>
        <v/>
      </c>
      <c r="I148" t="inlineStr">
        <is>
          <t>vlan-600</t>
        </is>
      </c>
      <c r="J148" t="inlineStr">
        <is>
          <t>regular</t>
        </is>
      </c>
    </row>
    <row r="149">
      <c r="A149" t="inlineStr">
        <is>
          <t>uni/tn-TELCEL_TELCO_NETWORK/ap-AP_Voz_Nb_Ericsson/epg-EPG_VLAN_600/rspathAtt-[topolog</t>
        </is>
      </c>
      <c r="B149">
        <f>_xlfn.TEXTBEFORE(_xlfn.TEXTAFTER(A149, "ap-"), "/")</f>
        <v/>
      </c>
      <c r="C149">
        <f>_xlfn.TEXTBEFORE(_xlfn.TEXTAFTER(A149, "epg-"), "/")</f>
        <v/>
      </c>
      <c r="D149">
        <f>_xlfn.TEXTBEFORE(_xlfn.TEXTAFTER(A149, "rspathAtt-"), "]") &amp; "]]"</f>
        <v/>
      </c>
      <c r="E149">
        <f>_xlfn.TEXTBEFORE(_xlfn.TEXTAFTER(D149, "pod-"), "/")</f>
        <v/>
      </c>
      <c r="F149">
        <f>_xlfn.TEXTBEFORE(_xlfn.TEXTAFTER(D149, "paths-"), "/")</f>
        <v/>
      </c>
      <c r="G149">
        <f>_xlfn.TEXTBEFORE(_xlfn.TEXTAFTER(D149, "pathep-["), "]")</f>
        <v/>
      </c>
      <c r="H149">
        <f>_xlfn.CONCAT(F149,G149)</f>
        <v/>
      </c>
      <c r="I149" t="inlineStr">
        <is>
          <t>vlan-600</t>
        </is>
      </c>
      <c r="J149" t="inlineStr">
        <is>
          <t>regular</t>
        </is>
      </c>
    </row>
    <row r="150">
      <c r="A150" t="inlineStr">
        <is>
          <t>uni/tn-TELCEL_TELCO_NETWORK/ap-AP_Voz_Nb_Ericsson/epg-EPG_VLAN_600/rspathAtt-[topolog</t>
        </is>
      </c>
      <c r="B150">
        <f>_xlfn.TEXTBEFORE(_xlfn.TEXTAFTER(A150, "ap-"), "/")</f>
        <v/>
      </c>
      <c r="C150">
        <f>_xlfn.TEXTBEFORE(_xlfn.TEXTAFTER(A150, "epg-"), "/")</f>
        <v/>
      </c>
      <c r="D150">
        <f>_xlfn.TEXTBEFORE(_xlfn.TEXTAFTER(A150, "rspathAtt-"), "]") &amp; "]]"</f>
        <v/>
      </c>
      <c r="E150">
        <f>_xlfn.TEXTBEFORE(_xlfn.TEXTAFTER(D150, "pod-"), "/")</f>
        <v/>
      </c>
      <c r="F150">
        <f>_xlfn.TEXTBEFORE(_xlfn.TEXTAFTER(D150, "paths-"), "/")</f>
        <v/>
      </c>
      <c r="G150">
        <f>_xlfn.TEXTBEFORE(_xlfn.TEXTAFTER(D150, "pathep-["), "]")</f>
        <v/>
      </c>
      <c r="H150">
        <f>_xlfn.CONCAT(F150,G150)</f>
        <v/>
      </c>
      <c r="I150" t="inlineStr">
        <is>
          <t>vlan-600</t>
        </is>
      </c>
      <c r="J150" t="inlineStr">
        <is>
          <t>regular</t>
        </is>
      </c>
    </row>
    <row r="151">
      <c r="A151" t="inlineStr">
        <is>
          <t>uni/tn-TELCEL_TELCO_NETWORK/ap-AP_Voz_Nb_Ericsson/epg-EPG_VLAN_600/rspathAtt-[topolog</t>
        </is>
      </c>
      <c r="B151">
        <f>_xlfn.TEXTBEFORE(_xlfn.TEXTAFTER(A151, "ap-"), "/")</f>
        <v/>
      </c>
      <c r="C151">
        <f>_xlfn.TEXTBEFORE(_xlfn.TEXTAFTER(A151, "epg-"), "/")</f>
        <v/>
      </c>
      <c r="D151">
        <f>_xlfn.TEXTBEFORE(_xlfn.TEXTAFTER(A151, "rspathAtt-"), "]") &amp; "]]"</f>
        <v/>
      </c>
      <c r="E151">
        <f>_xlfn.TEXTBEFORE(_xlfn.TEXTAFTER(D151, "pod-"), "/")</f>
        <v/>
      </c>
      <c r="F151">
        <f>_xlfn.TEXTBEFORE(_xlfn.TEXTAFTER(D151, "paths-"), "/")</f>
        <v/>
      </c>
      <c r="G151">
        <f>_xlfn.TEXTBEFORE(_xlfn.TEXTAFTER(D151, "pathep-["), "]")</f>
        <v/>
      </c>
      <c r="H151">
        <f>_xlfn.CONCAT(F151,G151)</f>
        <v/>
      </c>
      <c r="I151" t="inlineStr">
        <is>
          <t>vlan-600</t>
        </is>
      </c>
      <c r="J151" t="inlineStr">
        <is>
          <t>regular</t>
        </is>
      </c>
    </row>
    <row r="152">
      <c r="A152" t="inlineStr">
        <is>
          <t>uni/tn-TELCEL_TELCO_NETWORK/ap-AP_Voz_Nb_Ericsson/epg-EPG_VLAN_600/rspathAtt-[topolog</t>
        </is>
      </c>
      <c r="B152">
        <f>_xlfn.TEXTBEFORE(_xlfn.TEXTAFTER(A152, "ap-"), "/")</f>
        <v/>
      </c>
      <c r="C152">
        <f>_xlfn.TEXTBEFORE(_xlfn.TEXTAFTER(A152, "epg-"), "/")</f>
        <v/>
      </c>
      <c r="D152">
        <f>_xlfn.TEXTBEFORE(_xlfn.TEXTAFTER(A152, "rspathAtt-"), "]") &amp; "]]"</f>
        <v/>
      </c>
      <c r="E152">
        <f>_xlfn.TEXTBEFORE(_xlfn.TEXTAFTER(D152, "pod-"), "/")</f>
        <v/>
      </c>
      <c r="F152">
        <f>_xlfn.TEXTBEFORE(_xlfn.TEXTAFTER(D152, "paths-"), "/")</f>
        <v/>
      </c>
      <c r="G152">
        <f>_xlfn.TEXTBEFORE(_xlfn.TEXTAFTER(D152, "pathep-["), "]")</f>
        <v/>
      </c>
      <c r="H152">
        <f>_xlfn.CONCAT(F152,G152)</f>
        <v/>
      </c>
      <c r="I152" t="inlineStr">
        <is>
          <t>vlan-600</t>
        </is>
      </c>
      <c r="J152" t="inlineStr">
        <is>
          <t>regular</t>
        </is>
      </c>
    </row>
    <row r="153">
      <c r="A153" t="inlineStr">
        <is>
          <t>uni/tn-TELCEL_TELCO_NETWORK/ap-AP_Voz_Nb_Ericsson/epg-EPG_VLAN_600/rspathAtt-[topolog</t>
        </is>
      </c>
      <c r="B153">
        <f>_xlfn.TEXTBEFORE(_xlfn.TEXTAFTER(A153, "ap-"), "/")</f>
        <v/>
      </c>
      <c r="C153">
        <f>_xlfn.TEXTBEFORE(_xlfn.TEXTAFTER(A153, "epg-"), "/")</f>
        <v/>
      </c>
      <c r="D153">
        <f>_xlfn.TEXTBEFORE(_xlfn.TEXTAFTER(A153, "rspathAtt-"), "]") &amp; "]]"</f>
        <v/>
      </c>
      <c r="E153">
        <f>_xlfn.TEXTBEFORE(_xlfn.TEXTAFTER(D153, "pod-"), "/")</f>
        <v/>
      </c>
      <c r="F153">
        <f>_xlfn.TEXTBEFORE(_xlfn.TEXTAFTER(D153, "paths-"), "/")</f>
        <v/>
      </c>
      <c r="G153">
        <f>_xlfn.TEXTBEFORE(_xlfn.TEXTAFTER(D153, "pathep-["), "]")</f>
        <v/>
      </c>
      <c r="H153">
        <f>_xlfn.CONCAT(F153,G153)</f>
        <v/>
      </c>
      <c r="I153" t="inlineStr">
        <is>
          <t>vlan-600</t>
        </is>
      </c>
      <c r="J153" t="inlineStr">
        <is>
          <t>regular</t>
        </is>
      </c>
    </row>
    <row r="154">
      <c r="A154" t="inlineStr">
        <is>
          <t>uni/tn-TELCEL_TELCO_NETWORK/ap-AP_Voz_Nb_Ericsson/epg-EPG_VLAN_600/rspathAtt-[topolog</t>
        </is>
      </c>
      <c r="B154">
        <f>_xlfn.TEXTBEFORE(_xlfn.TEXTAFTER(A154, "ap-"), "/")</f>
        <v/>
      </c>
      <c r="C154">
        <f>_xlfn.TEXTBEFORE(_xlfn.TEXTAFTER(A154, "epg-"), "/")</f>
        <v/>
      </c>
      <c r="D154">
        <f>_xlfn.TEXTBEFORE(_xlfn.TEXTAFTER(A154, "rspathAtt-"), "]") &amp; "]]"</f>
        <v/>
      </c>
      <c r="E154">
        <f>_xlfn.TEXTBEFORE(_xlfn.TEXTAFTER(D154, "pod-"), "/")</f>
        <v/>
      </c>
      <c r="F154">
        <f>_xlfn.TEXTBEFORE(_xlfn.TEXTAFTER(D154, "paths-"), "/")</f>
        <v/>
      </c>
      <c r="G154">
        <f>_xlfn.TEXTBEFORE(_xlfn.TEXTAFTER(D154, "pathep-["), "]")</f>
        <v/>
      </c>
      <c r="H154">
        <f>_xlfn.CONCAT(F154,G154)</f>
        <v/>
      </c>
      <c r="I154" t="inlineStr">
        <is>
          <t>vlan-600</t>
        </is>
      </c>
      <c r="J154" t="inlineStr">
        <is>
          <t>regular</t>
        </is>
      </c>
    </row>
  </sheetData>
  <autoFilter ref="A1:J17629"/>
  <conditionalFormatting sqref="F1:F1048576">
    <cfRule type="containsText" priority="1" operator="containsText" dxfId="38" text="_">
      <formula>NOT(ISERROR(SEARCH("_",F1)))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85"/>
  <sheetViews>
    <sheetView zoomScale="142" workbookViewId="0">
      <selection activeCell="A1" sqref="A1"/>
    </sheetView>
  </sheetViews>
  <sheetFormatPr baseColWidth="10" defaultColWidth="11" defaultRowHeight="16"/>
  <cols>
    <col width="12.1640625" customWidth="1" style="22" min="1" max="1"/>
    <col width="16.1640625" bestFit="1" customWidth="1" style="22" min="4" max="6"/>
    <col width="27.6640625" bestFit="1" customWidth="1" style="22" min="7" max="7"/>
    <col width="11" customWidth="1" style="22" min="8" max="8"/>
    <col width="54.83203125" bestFit="1" customWidth="1" style="22" min="9" max="9"/>
    <col width="17.6640625" bestFit="1" customWidth="1" style="22" min="10" max="10"/>
    <col width="5.83203125" bestFit="1" customWidth="1" style="22" min="11" max="11"/>
    <col width="8.83203125" bestFit="1" customWidth="1" style="22" min="12" max="12"/>
    <col width="54.83203125" customWidth="1" style="22" min="13" max="13"/>
    <col width="18.5" bestFit="1" customWidth="1" style="22" min="14" max="14"/>
    <col width="19.33203125" bestFit="1" customWidth="1" style="22" min="15" max="15"/>
    <col width="16.6640625" bestFit="1" customWidth="1" style="22" min="16" max="16"/>
    <col width="41.33203125" bestFit="1" customWidth="1" style="22" min="17" max="17"/>
  </cols>
  <sheetData>
    <row r="1">
      <c r="A1" t="inlineStr">
        <is>
          <t>concat</t>
        </is>
      </c>
      <c r="B1" t="inlineStr">
        <is>
          <t>node</t>
        </is>
      </c>
      <c r="C1" t="inlineStr">
        <is>
          <t>port</t>
        </is>
      </c>
      <c r="D1" t="inlineStr">
        <is>
          <t>duplex</t>
        </is>
      </c>
      <c r="E1" t="inlineStr">
        <is>
          <t>oper speed</t>
        </is>
      </c>
      <c r="F1" t="inlineStr">
        <is>
          <t>oper state</t>
        </is>
      </c>
      <c r="G1" t="inlineStr">
        <is>
          <t>oper st qual</t>
        </is>
      </c>
      <c r="H1" t="inlineStr">
        <is>
          <t>pod</t>
        </is>
      </c>
      <c r="I1" t="inlineStr">
        <is>
          <t>dn</t>
        </is>
      </c>
      <c r="J1" t="inlineStr">
        <is>
          <t>MODEL</t>
        </is>
      </c>
    </row>
    <row r="2">
      <c r="A2">
        <f>_xlfn.CONCAT(B2,C2)</f>
        <v/>
      </c>
      <c r="B2">
        <f>_xlfn.TEXTBEFORE(_xlfn.TEXTAFTER(I2, "node-"), "/")</f>
        <v/>
      </c>
      <c r="C2">
        <f>_xlfn.TEXTBEFORE(_xlfn.TEXTAFTER(I2, "phys-["), "]")</f>
        <v/>
      </c>
      <c r="D2" t="inlineStr">
        <is>
          <t>Unknown</t>
        </is>
      </c>
      <c r="E2" t="inlineStr">
        <is>
          <t>Unknown</t>
        </is>
      </c>
      <c r="F2" t="inlineStr">
        <is>
          <t>down</t>
        </is>
      </c>
      <c r="G2" t="inlineStr">
        <is>
          <t>sfp-missing</t>
        </is>
      </c>
      <c r="H2">
        <f>_xlfn.TEXTBEFORE(_xlfn.TEXTAFTER(I2, "pod-"), "/")</f>
        <v/>
      </c>
      <c r="I2" t="inlineStr">
        <is>
          <t>topology/pod-1/node-101/sys/phys-[eth1/33]/phys</t>
        </is>
      </c>
      <c r="J2">
        <f>VLOOKUP(VALUE(Table6[[#This Row],[node]]), LEAF_INFO!B:I, 7, 0)</f>
        <v/>
      </c>
    </row>
    <row r="3">
      <c r="A3">
        <f>_xlfn.CONCAT(B3,C3)</f>
        <v/>
      </c>
      <c r="B3">
        <f>_xlfn.TEXTBEFORE(_xlfn.TEXTAFTER(I3, "node-"), "/")</f>
        <v/>
      </c>
      <c r="C3">
        <f>_xlfn.TEXTBEFORE(_xlfn.TEXTAFTER(I3, "phys-["), "]")</f>
        <v/>
      </c>
      <c r="D3" t="inlineStr">
        <is>
          <t>Unknown</t>
        </is>
      </c>
      <c r="E3" t="inlineStr">
        <is>
          <t>Unknown</t>
        </is>
      </c>
      <c r="F3" t="inlineStr">
        <is>
          <t>down</t>
        </is>
      </c>
      <c r="G3" t="inlineStr">
        <is>
          <t>sfp-missing</t>
        </is>
      </c>
      <c r="H3">
        <f>_xlfn.TEXTBEFORE(_xlfn.TEXTAFTER(I3, "pod-"), "/")</f>
        <v/>
      </c>
      <c r="I3" t="inlineStr">
        <is>
          <t>topology/pod-1/node-101/sys/phys-[eth1/34]/phys</t>
        </is>
      </c>
      <c r="J3">
        <f>VLOOKUP(VALUE(Table6[[#This Row],[node]]), LEAF_INFO!B:I, 7, 0)</f>
        <v/>
      </c>
    </row>
    <row r="4">
      <c r="A4">
        <f>_xlfn.CONCAT(B4,C4)</f>
        <v/>
      </c>
      <c r="B4">
        <f>_xlfn.TEXTBEFORE(_xlfn.TEXTAFTER(I4, "node-"), "/")</f>
        <v/>
      </c>
      <c r="C4">
        <f>_xlfn.TEXTBEFORE(_xlfn.TEXTAFTER(I4, "phys-["), "]")</f>
        <v/>
      </c>
      <c r="D4" t="inlineStr">
        <is>
          <t>Unknown</t>
        </is>
      </c>
      <c r="E4" t="inlineStr">
        <is>
          <t>Unknown</t>
        </is>
      </c>
      <c r="F4" t="inlineStr">
        <is>
          <t>down</t>
        </is>
      </c>
      <c r="G4" t="inlineStr">
        <is>
          <t>sfp-missing</t>
        </is>
      </c>
      <c r="H4">
        <f>_xlfn.TEXTBEFORE(_xlfn.TEXTAFTER(I4, "pod-"), "/")</f>
        <v/>
      </c>
      <c r="I4" t="inlineStr">
        <is>
          <t>topology/pod-1/node-101/sys/phys-[eth1/35]/phys</t>
        </is>
      </c>
      <c r="J4">
        <f>VLOOKUP(VALUE(Table6[[#This Row],[node]]), LEAF_INFO!B:I, 7, 0)</f>
        <v/>
      </c>
    </row>
    <row r="5">
      <c r="A5">
        <f>_xlfn.CONCAT(B5,C5)</f>
        <v/>
      </c>
      <c r="B5">
        <f>_xlfn.TEXTBEFORE(_xlfn.TEXTAFTER(I5, "node-"), "/")</f>
        <v/>
      </c>
      <c r="C5">
        <f>_xlfn.TEXTBEFORE(_xlfn.TEXTAFTER(I5, "phys-["), "]")</f>
        <v/>
      </c>
      <c r="D5" t="inlineStr">
        <is>
          <t>Unknown</t>
        </is>
      </c>
      <c r="E5" t="inlineStr">
        <is>
          <t>Unknown</t>
        </is>
      </c>
      <c r="F5" t="inlineStr">
        <is>
          <t>up</t>
        </is>
      </c>
      <c r="G5" t="inlineStr">
        <is>
          <t>none</t>
        </is>
      </c>
      <c r="H5">
        <f>_xlfn.TEXTBEFORE(_xlfn.TEXTAFTER(I5, "pod-"), "/")</f>
        <v/>
      </c>
      <c r="I5" t="inlineStr">
        <is>
          <t>topology/pod-1/node-101/sys/phys-[eth1/36]/phys</t>
        </is>
      </c>
      <c r="J5">
        <f>VLOOKUP(VALUE(Table6[[#This Row],[node]]), LEAF_INFO!B:I, 7, 0)</f>
        <v/>
      </c>
    </row>
    <row r="6">
      <c r="A6">
        <f>_xlfn.CONCAT(B6,C6)</f>
        <v/>
      </c>
      <c r="B6">
        <f>_xlfn.TEXTBEFORE(_xlfn.TEXTAFTER(I6, "node-"), "/")</f>
        <v/>
      </c>
      <c r="C6">
        <f>_xlfn.TEXTBEFORE(_xlfn.TEXTAFTER(I6, "phys-["), "]")</f>
        <v/>
      </c>
      <c r="D6" t="inlineStr">
        <is>
          <t>Unknown</t>
        </is>
      </c>
      <c r="E6" t="inlineStr">
        <is>
          <t>Unknown</t>
        </is>
      </c>
      <c r="F6" t="inlineStr">
        <is>
          <t>down</t>
        </is>
      </c>
      <c r="G6" t="inlineStr">
        <is>
          <t>sfp-missing</t>
        </is>
      </c>
      <c r="H6">
        <f>_xlfn.TEXTBEFORE(_xlfn.TEXTAFTER(I6, "pod-"), "/")</f>
        <v/>
      </c>
      <c r="I6" t="inlineStr">
        <is>
          <t>topology/pod-1/node-101/sys/phys-[eth1/37]/phys</t>
        </is>
      </c>
      <c r="J6">
        <f>VLOOKUP(VALUE(Table6[[#This Row],[node]]), LEAF_INFO!B:I, 7, 0)</f>
        <v/>
      </c>
    </row>
    <row r="7">
      <c r="A7">
        <f>_xlfn.CONCAT(B7,C7)</f>
        <v/>
      </c>
      <c r="B7">
        <f>_xlfn.TEXTBEFORE(_xlfn.TEXTAFTER(I7, "node-"), "/")</f>
        <v/>
      </c>
      <c r="C7">
        <f>_xlfn.TEXTBEFORE(_xlfn.TEXTAFTER(I7, "phys-["), "]")</f>
        <v/>
      </c>
      <c r="D7" t="inlineStr">
        <is>
          <t>Unknown</t>
        </is>
      </c>
      <c r="E7" t="inlineStr">
        <is>
          <t>Unknown</t>
        </is>
      </c>
      <c r="F7" t="inlineStr">
        <is>
          <t>up</t>
        </is>
      </c>
      <c r="G7" t="inlineStr">
        <is>
          <t>none</t>
        </is>
      </c>
      <c r="H7">
        <f>_xlfn.TEXTBEFORE(_xlfn.TEXTAFTER(I7, "pod-"), "/")</f>
        <v/>
      </c>
      <c r="I7" t="inlineStr">
        <is>
          <t>topology/pod-1/node-101/sys/phys-[eth1/38]/phys</t>
        </is>
      </c>
      <c r="J7">
        <f>VLOOKUP(VALUE(Table6[[#This Row],[node]]), LEAF_INFO!B:I, 7, 0)</f>
        <v/>
      </c>
    </row>
    <row r="8">
      <c r="A8">
        <f>_xlfn.CONCAT(B8,C8)</f>
        <v/>
      </c>
      <c r="B8">
        <f>_xlfn.TEXTBEFORE(_xlfn.TEXTAFTER(I8, "node-"), "/")</f>
        <v/>
      </c>
      <c r="C8">
        <f>_xlfn.TEXTBEFORE(_xlfn.TEXTAFTER(I8, "phys-["), "]")</f>
        <v/>
      </c>
      <c r="D8" t="inlineStr">
        <is>
          <t>Unknown</t>
        </is>
      </c>
      <c r="E8" t="inlineStr">
        <is>
          <t>Unknown</t>
        </is>
      </c>
      <c r="F8" t="inlineStr">
        <is>
          <t>down</t>
        </is>
      </c>
      <c r="G8" t="inlineStr">
        <is>
          <t>sfp-missing</t>
        </is>
      </c>
      <c r="H8">
        <f>_xlfn.TEXTBEFORE(_xlfn.TEXTAFTER(I8, "pod-"), "/")</f>
        <v/>
      </c>
      <c r="I8" t="inlineStr">
        <is>
          <t>topology/pod-1/node-101/sys/phys-[eth1/39]/phys</t>
        </is>
      </c>
      <c r="J8">
        <f>VLOOKUP(VALUE(Table6[[#This Row],[node]]), LEAF_INFO!B:I, 7, 0)</f>
        <v/>
      </c>
    </row>
    <row r="9">
      <c r="A9">
        <f>_xlfn.CONCAT(B9,C9)</f>
        <v/>
      </c>
      <c r="B9">
        <f>_xlfn.TEXTBEFORE(_xlfn.TEXTAFTER(I9, "node-"), "/")</f>
        <v/>
      </c>
      <c r="C9">
        <f>_xlfn.TEXTBEFORE(_xlfn.TEXTAFTER(I9, "phys-["), "]")</f>
        <v/>
      </c>
      <c r="D9" t="inlineStr">
        <is>
          <t>Unknown</t>
        </is>
      </c>
      <c r="E9" t="inlineStr">
        <is>
          <t>Unknown</t>
        </is>
      </c>
      <c r="F9" t="inlineStr">
        <is>
          <t>up</t>
        </is>
      </c>
      <c r="G9" t="inlineStr">
        <is>
          <t>none</t>
        </is>
      </c>
      <c r="H9">
        <f>_xlfn.TEXTBEFORE(_xlfn.TEXTAFTER(I9, "pod-"), "/")</f>
        <v/>
      </c>
      <c r="I9" t="inlineStr">
        <is>
          <t>topology/pod-1/node-101/sys/phys-[eth1/40]/phys</t>
        </is>
      </c>
      <c r="J9">
        <f>VLOOKUP(VALUE(Table6[[#This Row],[node]]), LEAF_INFO!B:I, 7, 0)</f>
        <v/>
      </c>
    </row>
    <row r="10">
      <c r="A10">
        <f>_xlfn.CONCAT(B10,C10)</f>
        <v/>
      </c>
      <c r="B10">
        <f>_xlfn.TEXTBEFORE(_xlfn.TEXTAFTER(I10, "node-"), "/")</f>
        <v/>
      </c>
      <c r="C10">
        <f>_xlfn.TEXTBEFORE(_xlfn.TEXTAFTER(I10, "phys-["), "]")</f>
        <v/>
      </c>
      <c r="D10" t="inlineStr">
        <is>
          <t>Unknown</t>
        </is>
      </c>
      <c r="E10" t="inlineStr">
        <is>
          <t>Unknown</t>
        </is>
      </c>
      <c r="F10" t="inlineStr">
        <is>
          <t>up</t>
        </is>
      </c>
      <c r="G10" t="inlineStr">
        <is>
          <t>none</t>
        </is>
      </c>
      <c r="H10">
        <f>_xlfn.TEXTBEFORE(_xlfn.TEXTAFTER(I10, "pod-"), "/")</f>
        <v/>
      </c>
      <c r="I10" t="inlineStr">
        <is>
          <t>topology/pod-1/node-101/sys/phys-[eth1/41]/phys</t>
        </is>
      </c>
      <c r="J10">
        <f>VLOOKUP(VALUE(Table6[[#This Row],[node]]), LEAF_INFO!B:I, 7, 0)</f>
        <v/>
      </c>
    </row>
    <row r="11">
      <c r="A11">
        <f>_xlfn.CONCAT(B11,C11)</f>
        <v/>
      </c>
      <c r="B11">
        <f>_xlfn.TEXTBEFORE(_xlfn.TEXTAFTER(I11, "node-"), "/")</f>
        <v/>
      </c>
      <c r="C11">
        <f>_xlfn.TEXTBEFORE(_xlfn.TEXTAFTER(I11, "phys-["), "]")</f>
        <v/>
      </c>
      <c r="D11" t="inlineStr">
        <is>
          <t>Unknown</t>
        </is>
      </c>
      <c r="E11" t="inlineStr">
        <is>
          <t>Unknown</t>
        </is>
      </c>
      <c r="F11" t="inlineStr">
        <is>
          <t>down</t>
        </is>
      </c>
      <c r="G11" t="inlineStr">
        <is>
          <t>admin-down</t>
        </is>
      </c>
      <c r="H11">
        <f>_xlfn.TEXTBEFORE(_xlfn.TEXTAFTER(I11, "pod-"), "/")</f>
        <v/>
      </c>
      <c r="I11" t="inlineStr">
        <is>
          <t>topology/pod-1/node-101/sys/phys-[eth1/42]/phys</t>
        </is>
      </c>
      <c r="J11">
        <f>VLOOKUP(VALUE(Table6[[#This Row],[node]]), LEAF_INFO!B:I, 7, 0)</f>
        <v/>
      </c>
    </row>
    <row r="12">
      <c r="A12">
        <f>_xlfn.CONCAT(B12,C12)</f>
        <v/>
      </c>
      <c r="B12">
        <f>_xlfn.TEXTBEFORE(_xlfn.TEXTAFTER(I12, "node-"), "/")</f>
        <v/>
      </c>
      <c r="C12">
        <f>_xlfn.TEXTBEFORE(_xlfn.TEXTAFTER(I12, "phys-["), "]")</f>
        <v/>
      </c>
      <c r="D12" t="inlineStr">
        <is>
          <t>Unknown</t>
        </is>
      </c>
      <c r="E12" t="inlineStr">
        <is>
          <t>Unknown</t>
        </is>
      </c>
      <c r="F12" t="inlineStr">
        <is>
          <t>down</t>
        </is>
      </c>
      <c r="G12" t="inlineStr">
        <is>
          <t>admin-down</t>
        </is>
      </c>
      <c r="H12">
        <f>_xlfn.TEXTBEFORE(_xlfn.TEXTAFTER(I12, "pod-"), "/")</f>
        <v/>
      </c>
      <c r="I12" t="inlineStr">
        <is>
          <t>topology/pod-1/node-101/sys/phys-[eth1/43]/phys</t>
        </is>
      </c>
      <c r="J12">
        <f>VLOOKUP(VALUE(Table6[[#This Row],[node]]), LEAF_INFO!B:I, 7, 0)</f>
        <v/>
      </c>
    </row>
    <row r="13">
      <c r="A13">
        <f>_xlfn.CONCAT(B13,C13)</f>
        <v/>
      </c>
      <c r="B13">
        <f>_xlfn.TEXTBEFORE(_xlfn.TEXTAFTER(I13, "node-"), "/")</f>
        <v/>
      </c>
      <c r="C13">
        <f>_xlfn.TEXTBEFORE(_xlfn.TEXTAFTER(I13, "phys-["), "]")</f>
        <v/>
      </c>
      <c r="D13" t="inlineStr">
        <is>
          <t>Unknown</t>
        </is>
      </c>
      <c r="E13" t="inlineStr">
        <is>
          <t>Unknown</t>
        </is>
      </c>
      <c r="F13" t="inlineStr">
        <is>
          <t>down</t>
        </is>
      </c>
      <c r="G13" t="inlineStr">
        <is>
          <t>sfp-missing</t>
        </is>
      </c>
      <c r="H13">
        <f>_xlfn.TEXTBEFORE(_xlfn.TEXTAFTER(I13, "pod-"), "/")</f>
        <v/>
      </c>
      <c r="I13" t="inlineStr">
        <is>
          <t>topology/pod-1/node-101/sys/phys-[eth1/44]/phys</t>
        </is>
      </c>
      <c r="J13">
        <f>VLOOKUP(VALUE(Table6[[#This Row],[node]]), LEAF_INFO!B:I, 7, 0)</f>
        <v/>
      </c>
    </row>
    <row r="14">
      <c r="A14">
        <f>_xlfn.CONCAT(B14,C14)</f>
        <v/>
      </c>
      <c r="B14">
        <f>_xlfn.TEXTBEFORE(_xlfn.TEXTAFTER(I14, "node-"), "/")</f>
        <v/>
      </c>
      <c r="C14">
        <f>_xlfn.TEXTBEFORE(_xlfn.TEXTAFTER(I14, "phys-["), "]")</f>
        <v/>
      </c>
      <c r="D14" t="inlineStr">
        <is>
          <t>Unknown</t>
        </is>
      </c>
      <c r="E14" t="inlineStr">
        <is>
          <t>Unknown</t>
        </is>
      </c>
      <c r="F14" t="inlineStr">
        <is>
          <t>up</t>
        </is>
      </c>
      <c r="G14" t="inlineStr">
        <is>
          <t>none</t>
        </is>
      </c>
      <c r="H14">
        <f>_xlfn.TEXTBEFORE(_xlfn.TEXTAFTER(I14, "pod-"), "/")</f>
        <v/>
      </c>
      <c r="I14" t="inlineStr">
        <is>
          <t>topology/pod-1/node-101/sys/phys-[eth1/45]/phys</t>
        </is>
      </c>
      <c r="J14">
        <f>VLOOKUP(VALUE(Table6[[#This Row],[node]]), LEAF_INFO!B:I, 7, 0)</f>
        <v/>
      </c>
    </row>
    <row r="15">
      <c r="A15">
        <f>_xlfn.CONCAT(B15,C15)</f>
        <v/>
      </c>
      <c r="B15">
        <f>_xlfn.TEXTBEFORE(_xlfn.TEXTAFTER(I15, "node-"), "/")</f>
        <v/>
      </c>
      <c r="C15">
        <f>_xlfn.TEXTBEFORE(_xlfn.TEXTAFTER(I15, "phys-["), "]")</f>
        <v/>
      </c>
      <c r="D15" t="inlineStr">
        <is>
          <t>Unknown</t>
        </is>
      </c>
      <c r="E15" t="inlineStr">
        <is>
          <t>Unknown</t>
        </is>
      </c>
      <c r="F15" t="inlineStr">
        <is>
          <t>up</t>
        </is>
      </c>
      <c r="G15" t="inlineStr">
        <is>
          <t>none</t>
        </is>
      </c>
      <c r="H15">
        <f>_xlfn.TEXTBEFORE(_xlfn.TEXTAFTER(I15, "pod-"), "/")</f>
        <v/>
      </c>
      <c r="I15" t="inlineStr">
        <is>
          <t>topology/pod-1/node-101/sys/phys-[eth1/46]/phys</t>
        </is>
      </c>
      <c r="J15">
        <f>VLOOKUP(VALUE(Table6[[#This Row],[node]]), LEAF_INFO!B:I, 7, 0)</f>
        <v/>
      </c>
    </row>
    <row r="16">
      <c r="A16">
        <f>_xlfn.CONCAT(B16,C16)</f>
        <v/>
      </c>
      <c r="B16">
        <f>_xlfn.TEXTBEFORE(_xlfn.TEXTAFTER(I16, "node-"), "/")</f>
        <v/>
      </c>
      <c r="C16">
        <f>_xlfn.TEXTBEFORE(_xlfn.TEXTAFTER(I16, "phys-["), "]")</f>
        <v/>
      </c>
      <c r="D16" t="inlineStr">
        <is>
          <t>Unknown</t>
        </is>
      </c>
      <c r="E16" t="inlineStr">
        <is>
          <t>Unknown</t>
        </is>
      </c>
      <c r="F16" t="inlineStr">
        <is>
          <t>up</t>
        </is>
      </c>
      <c r="G16" t="inlineStr">
        <is>
          <t>none</t>
        </is>
      </c>
      <c r="H16">
        <f>_xlfn.TEXTBEFORE(_xlfn.TEXTAFTER(I16, "pod-"), "/")</f>
        <v/>
      </c>
      <c r="I16" t="inlineStr">
        <is>
          <t>topology/pod-1/node-101/sys/phys-[eth1/47]/phys</t>
        </is>
      </c>
      <c r="J16">
        <f>VLOOKUP(VALUE(Table6[[#This Row],[node]]), LEAF_INFO!B:I, 7, 0)</f>
        <v/>
      </c>
    </row>
    <row r="17">
      <c r="A17">
        <f>_xlfn.CONCAT(B17,C17)</f>
        <v/>
      </c>
      <c r="B17">
        <f>_xlfn.TEXTBEFORE(_xlfn.TEXTAFTER(I17, "node-"), "/")</f>
        <v/>
      </c>
      <c r="C17">
        <f>_xlfn.TEXTBEFORE(_xlfn.TEXTAFTER(I17, "phys-["), "]")</f>
        <v/>
      </c>
      <c r="D17" t="inlineStr">
        <is>
          <t>Unknown</t>
        </is>
      </c>
      <c r="E17" t="inlineStr">
        <is>
          <t>Unknown</t>
        </is>
      </c>
      <c r="F17" t="inlineStr">
        <is>
          <t>up</t>
        </is>
      </c>
      <c r="G17" t="inlineStr">
        <is>
          <t>none</t>
        </is>
      </c>
      <c r="H17">
        <f>_xlfn.TEXTBEFORE(_xlfn.TEXTAFTER(I17, "pod-"), "/")</f>
        <v/>
      </c>
      <c r="I17" t="inlineStr">
        <is>
          <t>topology/pod-1/node-101/sys/phys-[eth1/48]/phys</t>
        </is>
      </c>
      <c r="J17">
        <f>VLOOKUP(VALUE(Table6[[#This Row],[node]]), LEAF_INFO!B:I, 7, 0)</f>
        <v/>
      </c>
    </row>
    <row r="18">
      <c r="A18">
        <f>_xlfn.CONCAT(B18,C18)</f>
        <v/>
      </c>
      <c r="B18">
        <f>_xlfn.TEXTBEFORE(_xlfn.TEXTAFTER(I18, "node-"), "/")</f>
        <v/>
      </c>
      <c r="C18">
        <f>_xlfn.TEXTBEFORE(_xlfn.TEXTAFTER(I18, "phys-["), "]")</f>
        <v/>
      </c>
      <c r="D18" t="inlineStr">
        <is>
          <t>Unknown</t>
        </is>
      </c>
      <c r="E18" t="inlineStr">
        <is>
          <t>Unknown</t>
        </is>
      </c>
      <c r="F18" t="inlineStr">
        <is>
          <t>down</t>
        </is>
      </c>
      <c r="G18" t="inlineStr">
        <is>
          <t>sfp-missing</t>
        </is>
      </c>
      <c r="H18">
        <f>_xlfn.TEXTBEFORE(_xlfn.TEXTAFTER(I18, "pod-"), "/")</f>
        <v/>
      </c>
      <c r="I18" t="inlineStr">
        <is>
          <t>topology/pod-1/node-101/sys/phys-[eth1/49]/phys</t>
        </is>
      </c>
      <c r="J18">
        <f>VLOOKUP(VALUE(Table6[[#This Row],[node]]), LEAF_INFO!B:I, 7, 0)</f>
        <v/>
      </c>
    </row>
    <row r="19">
      <c r="A19">
        <f>_xlfn.CONCAT(B19,C19)</f>
        <v/>
      </c>
      <c r="B19">
        <f>_xlfn.TEXTBEFORE(_xlfn.TEXTAFTER(I19, "node-"), "/")</f>
        <v/>
      </c>
      <c r="C19">
        <f>_xlfn.TEXTBEFORE(_xlfn.TEXTAFTER(I19, "phys-["), "]")</f>
        <v/>
      </c>
      <c r="D19" t="inlineStr">
        <is>
          <t>Unknown</t>
        </is>
      </c>
      <c r="E19" t="inlineStr">
        <is>
          <t>Unknown</t>
        </is>
      </c>
      <c r="F19" t="inlineStr">
        <is>
          <t>down</t>
        </is>
      </c>
      <c r="G19" t="inlineStr">
        <is>
          <t>sfp-missing</t>
        </is>
      </c>
      <c r="H19">
        <f>_xlfn.TEXTBEFORE(_xlfn.TEXTAFTER(I19, "pod-"), "/")</f>
        <v/>
      </c>
      <c r="I19" t="inlineStr">
        <is>
          <t>topology/pod-1/node-101/sys/phys-[eth1/50]/phys</t>
        </is>
      </c>
      <c r="J19">
        <f>VLOOKUP(VALUE(Table6[[#This Row],[node]]), LEAF_INFO!B:I, 7, 0)</f>
        <v/>
      </c>
    </row>
    <row r="20">
      <c r="A20">
        <f>_xlfn.CONCAT(B20,C20)</f>
        <v/>
      </c>
      <c r="B20">
        <f>_xlfn.TEXTBEFORE(_xlfn.TEXTAFTER(I20, "node-"), "/")</f>
        <v/>
      </c>
      <c r="C20">
        <f>_xlfn.TEXTBEFORE(_xlfn.TEXTAFTER(I20, "phys-["), "]")</f>
        <v/>
      </c>
      <c r="D20" t="inlineStr">
        <is>
          <t>Unknown</t>
        </is>
      </c>
      <c r="E20" t="inlineStr">
        <is>
          <t>Unknown</t>
        </is>
      </c>
      <c r="F20" t="inlineStr">
        <is>
          <t>down</t>
        </is>
      </c>
      <c r="G20" t="inlineStr">
        <is>
          <t>sfp-missing</t>
        </is>
      </c>
      <c r="H20">
        <f>_xlfn.TEXTBEFORE(_xlfn.TEXTAFTER(I20, "pod-"), "/")</f>
        <v/>
      </c>
      <c r="I20" t="inlineStr">
        <is>
          <t>topology/pod-1/node-101/sys/phys-[eth1/51]/phys</t>
        </is>
      </c>
      <c r="J20">
        <f>VLOOKUP(VALUE(Table6[[#This Row],[node]]), LEAF_INFO!B:I, 7, 0)</f>
        <v/>
      </c>
    </row>
    <row r="21">
      <c r="A21">
        <f>_xlfn.CONCAT(B21,C21)</f>
        <v/>
      </c>
      <c r="B21">
        <f>_xlfn.TEXTBEFORE(_xlfn.TEXTAFTER(I21, "node-"), "/")</f>
        <v/>
      </c>
      <c r="C21">
        <f>_xlfn.TEXTBEFORE(_xlfn.TEXTAFTER(I21, "phys-["), "]")</f>
        <v/>
      </c>
      <c r="D21" t="inlineStr">
        <is>
          <t>Unknown</t>
        </is>
      </c>
      <c r="E21" t="inlineStr">
        <is>
          <t>Unknown</t>
        </is>
      </c>
      <c r="F21" t="inlineStr">
        <is>
          <t>down</t>
        </is>
      </c>
      <c r="G21" t="inlineStr">
        <is>
          <t>sfp-missing</t>
        </is>
      </c>
      <c r="H21">
        <f>_xlfn.TEXTBEFORE(_xlfn.TEXTAFTER(I21, "pod-"), "/")</f>
        <v/>
      </c>
      <c r="I21" t="inlineStr">
        <is>
          <t>topology/pod-1/node-101/sys/phys-[eth1/52]/phys</t>
        </is>
      </c>
      <c r="J21">
        <f>VLOOKUP(VALUE(Table6[[#This Row],[node]]), LEAF_INFO!B:I, 7, 0)</f>
        <v/>
      </c>
    </row>
    <row r="22">
      <c r="A22">
        <f>_xlfn.CONCAT(B22,C22)</f>
        <v/>
      </c>
      <c r="B22">
        <f>_xlfn.TEXTBEFORE(_xlfn.TEXTAFTER(I22, "node-"), "/")</f>
        <v/>
      </c>
      <c r="C22">
        <f>_xlfn.TEXTBEFORE(_xlfn.TEXTAFTER(I22, "phys-["), "]")</f>
        <v/>
      </c>
      <c r="D22" t="inlineStr">
        <is>
          <t>Unknown</t>
        </is>
      </c>
      <c r="E22" t="inlineStr">
        <is>
          <t>Unknown</t>
        </is>
      </c>
      <c r="F22" t="inlineStr">
        <is>
          <t>up</t>
        </is>
      </c>
      <c r="G22" t="inlineStr">
        <is>
          <t>none</t>
        </is>
      </c>
      <c r="H22">
        <f>_xlfn.TEXTBEFORE(_xlfn.TEXTAFTER(I22, "pod-"), "/")</f>
        <v/>
      </c>
      <c r="I22" t="inlineStr">
        <is>
          <t>topology/pod-1/node-101/sys/phys-[eth1/53]/phys</t>
        </is>
      </c>
      <c r="J22">
        <f>VLOOKUP(VALUE(Table6[[#This Row],[node]]), LEAF_INFO!B:I, 7, 0)</f>
        <v/>
      </c>
    </row>
    <row r="23">
      <c r="A23">
        <f>_xlfn.CONCAT(B23,C23)</f>
        <v/>
      </c>
      <c r="B23">
        <f>_xlfn.TEXTBEFORE(_xlfn.TEXTAFTER(I23, "node-"), "/")</f>
        <v/>
      </c>
      <c r="C23">
        <f>_xlfn.TEXTBEFORE(_xlfn.TEXTAFTER(I23, "phys-["), "]")</f>
        <v/>
      </c>
      <c r="D23" t="inlineStr">
        <is>
          <t>Unknown</t>
        </is>
      </c>
      <c r="E23" t="inlineStr">
        <is>
          <t>Unknown</t>
        </is>
      </c>
      <c r="F23" t="inlineStr">
        <is>
          <t>up</t>
        </is>
      </c>
      <c r="G23" t="inlineStr">
        <is>
          <t>none</t>
        </is>
      </c>
      <c r="H23">
        <f>_xlfn.TEXTBEFORE(_xlfn.TEXTAFTER(I23, "pod-"), "/")</f>
        <v/>
      </c>
      <c r="I23" t="inlineStr">
        <is>
          <t>topology/pod-1/node-101/sys/phys-[eth1/54]/phys</t>
        </is>
      </c>
      <c r="J23">
        <f>VLOOKUP(VALUE(Table6[[#This Row],[node]]), LEAF_INFO!B:I, 7, 0)</f>
        <v/>
      </c>
    </row>
    <row r="24">
      <c r="A24">
        <f>_xlfn.CONCAT(B24,C24)</f>
        <v/>
      </c>
      <c r="B24">
        <f>_xlfn.TEXTBEFORE(_xlfn.TEXTAFTER(I24, "node-"), "/")</f>
        <v/>
      </c>
      <c r="C24">
        <f>_xlfn.TEXTBEFORE(_xlfn.TEXTAFTER(I24, "phys-["), "]")</f>
        <v/>
      </c>
      <c r="D24" t="inlineStr">
        <is>
          <t>Unknown</t>
        </is>
      </c>
      <c r="E24" t="inlineStr">
        <is>
          <t>Unknown</t>
        </is>
      </c>
      <c r="F24" t="inlineStr">
        <is>
          <t>down</t>
        </is>
      </c>
      <c r="G24" t="inlineStr">
        <is>
          <t>admin-down</t>
        </is>
      </c>
      <c r="H24">
        <f>_xlfn.TEXTBEFORE(_xlfn.TEXTAFTER(I24, "pod-"), "/")</f>
        <v/>
      </c>
      <c r="I24" t="inlineStr">
        <is>
          <t>topology/pod-1/node-101/sys/phys-[eth1/1]/phys</t>
        </is>
      </c>
      <c r="J24">
        <f>VLOOKUP(VALUE(Table6[[#This Row],[node]]), LEAF_INFO!B:I, 7, 0)</f>
        <v/>
      </c>
    </row>
    <row r="25">
      <c r="A25">
        <f>_xlfn.CONCAT(B25,C25)</f>
        <v/>
      </c>
      <c r="B25">
        <f>_xlfn.TEXTBEFORE(_xlfn.TEXTAFTER(I25, "node-"), "/")</f>
        <v/>
      </c>
      <c r="C25">
        <f>_xlfn.TEXTBEFORE(_xlfn.TEXTAFTER(I25, "phys-["), "]")</f>
        <v/>
      </c>
      <c r="D25" t="inlineStr">
        <is>
          <t>Unknown</t>
        </is>
      </c>
      <c r="E25" t="inlineStr">
        <is>
          <t>Unknown</t>
        </is>
      </c>
      <c r="F25" t="inlineStr">
        <is>
          <t>down</t>
        </is>
      </c>
      <c r="G25" t="inlineStr">
        <is>
          <t>admin-down</t>
        </is>
      </c>
      <c r="H25">
        <f>_xlfn.TEXTBEFORE(_xlfn.TEXTAFTER(I25, "pod-"), "/")</f>
        <v/>
      </c>
      <c r="I25" t="inlineStr">
        <is>
          <t>topology/pod-1/node-101/sys/phys-[eth1/2]/phys</t>
        </is>
      </c>
      <c r="J25">
        <f>VLOOKUP(VALUE(Table6[[#This Row],[node]]), LEAF_INFO!B:I, 7, 0)</f>
        <v/>
      </c>
    </row>
    <row r="26">
      <c r="A26">
        <f>_xlfn.CONCAT(B26,C26)</f>
        <v/>
      </c>
      <c r="B26">
        <f>_xlfn.TEXTBEFORE(_xlfn.TEXTAFTER(I26, "node-"), "/")</f>
        <v/>
      </c>
      <c r="C26">
        <f>_xlfn.TEXTBEFORE(_xlfn.TEXTAFTER(I26, "phys-["), "]")</f>
        <v/>
      </c>
      <c r="D26" t="inlineStr">
        <is>
          <t>Unknown</t>
        </is>
      </c>
      <c r="E26" t="inlineStr">
        <is>
          <t>Unknown</t>
        </is>
      </c>
      <c r="F26" t="inlineStr">
        <is>
          <t>down</t>
        </is>
      </c>
      <c r="G26" t="inlineStr">
        <is>
          <t>admin-down</t>
        </is>
      </c>
      <c r="H26">
        <f>_xlfn.TEXTBEFORE(_xlfn.TEXTAFTER(I26, "pod-"), "/")</f>
        <v/>
      </c>
      <c r="I26" t="inlineStr">
        <is>
          <t>topology/pod-1/node-101/sys/phys-[eth1/3]/phys</t>
        </is>
      </c>
      <c r="J26">
        <f>VLOOKUP(VALUE(Table6[[#This Row],[node]]), LEAF_INFO!B:I, 7, 0)</f>
        <v/>
      </c>
    </row>
    <row r="27">
      <c r="A27">
        <f>_xlfn.CONCAT(B27,C27)</f>
        <v/>
      </c>
      <c r="B27">
        <f>_xlfn.TEXTBEFORE(_xlfn.TEXTAFTER(I27, "node-"), "/")</f>
        <v/>
      </c>
      <c r="C27">
        <f>_xlfn.TEXTBEFORE(_xlfn.TEXTAFTER(I27, "phys-["), "]")</f>
        <v/>
      </c>
      <c r="D27" t="inlineStr">
        <is>
          <t>Unknown</t>
        </is>
      </c>
      <c r="E27" t="inlineStr">
        <is>
          <t>Unknown</t>
        </is>
      </c>
      <c r="F27" t="inlineStr">
        <is>
          <t>down</t>
        </is>
      </c>
      <c r="G27" t="inlineStr">
        <is>
          <t>sfp-missing</t>
        </is>
      </c>
      <c r="H27">
        <f>_xlfn.TEXTBEFORE(_xlfn.TEXTAFTER(I27, "pod-"), "/")</f>
        <v/>
      </c>
      <c r="I27" t="inlineStr">
        <is>
          <t>topology/pod-1/node-101/sys/phys-[eth1/4]/phys</t>
        </is>
      </c>
      <c r="J27">
        <f>VLOOKUP(VALUE(Table6[[#This Row],[node]]), LEAF_INFO!B:I, 7, 0)</f>
        <v/>
      </c>
    </row>
    <row r="28">
      <c r="A28">
        <f>_xlfn.CONCAT(B28,C28)</f>
        <v/>
      </c>
      <c r="B28">
        <f>_xlfn.TEXTBEFORE(_xlfn.TEXTAFTER(I28, "node-"), "/")</f>
        <v/>
      </c>
      <c r="C28">
        <f>_xlfn.TEXTBEFORE(_xlfn.TEXTAFTER(I28, "phys-["), "]")</f>
        <v/>
      </c>
      <c r="D28" t="inlineStr">
        <is>
          <t>Unknown</t>
        </is>
      </c>
      <c r="E28" t="inlineStr">
        <is>
          <t>Unknown</t>
        </is>
      </c>
      <c r="F28" t="inlineStr">
        <is>
          <t>down</t>
        </is>
      </c>
      <c r="G28" t="inlineStr">
        <is>
          <t>sfp-missing</t>
        </is>
      </c>
      <c r="H28">
        <f>_xlfn.TEXTBEFORE(_xlfn.TEXTAFTER(I28, "pod-"), "/")</f>
        <v/>
      </c>
      <c r="I28" t="inlineStr">
        <is>
          <t>topology/pod-1/node-101/sys/phys-[eth1/5]/phys</t>
        </is>
      </c>
      <c r="J28">
        <f>VLOOKUP(VALUE(Table6[[#This Row],[node]]), LEAF_INFO!B:I, 7, 0)</f>
        <v/>
      </c>
    </row>
    <row r="29">
      <c r="A29">
        <f>_xlfn.CONCAT(B29,C29)</f>
        <v/>
      </c>
      <c r="B29">
        <f>_xlfn.TEXTBEFORE(_xlfn.TEXTAFTER(I29, "node-"), "/")</f>
        <v/>
      </c>
      <c r="C29">
        <f>_xlfn.TEXTBEFORE(_xlfn.TEXTAFTER(I29, "phys-["), "]")</f>
        <v/>
      </c>
      <c r="D29" t="inlineStr">
        <is>
          <t>Unknown</t>
        </is>
      </c>
      <c r="E29" t="inlineStr">
        <is>
          <t>Unknown</t>
        </is>
      </c>
      <c r="F29" t="inlineStr">
        <is>
          <t>down</t>
        </is>
      </c>
      <c r="G29" t="inlineStr">
        <is>
          <t>admin-down</t>
        </is>
      </c>
      <c r="H29">
        <f>_xlfn.TEXTBEFORE(_xlfn.TEXTAFTER(I29, "pod-"), "/")</f>
        <v/>
      </c>
      <c r="I29" t="inlineStr">
        <is>
          <t>topology/pod-1/node-101/sys/phys-[eth1/6]/phys</t>
        </is>
      </c>
      <c r="J29">
        <f>VLOOKUP(VALUE(Table6[[#This Row],[node]]), LEAF_INFO!B:I, 7, 0)</f>
        <v/>
      </c>
    </row>
    <row r="30">
      <c r="A30">
        <f>_xlfn.CONCAT(B30,C30)</f>
        <v/>
      </c>
      <c r="B30">
        <f>_xlfn.TEXTBEFORE(_xlfn.TEXTAFTER(I30, "node-"), "/")</f>
        <v/>
      </c>
      <c r="C30">
        <f>_xlfn.TEXTBEFORE(_xlfn.TEXTAFTER(I30, "phys-["), "]")</f>
        <v/>
      </c>
      <c r="D30" t="inlineStr">
        <is>
          <t>Unknown</t>
        </is>
      </c>
      <c r="E30" t="inlineStr">
        <is>
          <t>Unknown</t>
        </is>
      </c>
      <c r="F30" t="inlineStr">
        <is>
          <t>up</t>
        </is>
      </c>
      <c r="G30" t="inlineStr">
        <is>
          <t>none</t>
        </is>
      </c>
      <c r="H30">
        <f>_xlfn.TEXTBEFORE(_xlfn.TEXTAFTER(I30, "pod-"), "/")</f>
        <v/>
      </c>
      <c r="I30" t="inlineStr">
        <is>
          <t>topology/pod-1/node-101/sys/phys-[eth1/7]/phys</t>
        </is>
      </c>
      <c r="J30">
        <f>VLOOKUP(VALUE(Table6[[#This Row],[node]]), LEAF_INFO!B:I, 7, 0)</f>
        <v/>
      </c>
    </row>
    <row r="31">
      <c r="A31">
        <f>_xlfn.CONCAT(B31,C31)</f>
        <v/>
      </c>
      <c r="B31">
        <f>_xlfn.TEXTBEFORE(_xlfn.TEXTAFTER(I31, "node-"), "/")</f>
        <v/>
      </c>
      <c r="C31">
        <f>_xlfn.TEXTBEFORE(_xlfn.TEXTAFTER(I31, "phys-["), "]")</f>
        <v/>
      </c>
      <c r="D31" t="inlineStr">
        <is>
          <t>Unknown</t>
        </is>
      </c>
      <c r="E31" t="inlineStr">
        <is>
          <t>Unknown</t>
        </is>
      </c>
      <c r="F31" t="inlineStr">
        <is>
          <t>down</t>
        </is>
      </c>
      <c r="G31" t="inlineStr">
        <is>
          <t>sfp-missing</t>
        </is>
      </c>
      <c r="H31">
        <f>_xlfn.TEXTBEFORE(_xlfn.TEXTAFTER(I31, "pod-"), "/")</f>
        <v/>
      </c>
      <c r="I31" t="inlineStr">
        <is>
          <t>topology/pod-1/node-101/sys/phys-[eth1/8]/phys</t>
        </is>
      </c>
      <c r="J31">
        <f>VLOOKUP(VALUE(Table6[[#This Row],[node]]), LEAF_INFO!B:I, 7, 0)</f>
        <v/>
      </c>
    </row>
    <row r="32">
      <c r="A32">
        <f>_xlfn.CONCAT(B32,C32)</f>
        <v/>
      </c>
      <c r="B32">
        <f>_xlfn.TEXTBEFORE(_xlfn.TEXTAFTER(I32, "node-"), "/")</f>
        <v/>
      </c>
      <c r="C32">
        <f>_xlfn.TEXTBEFORE(_xlfn.TEXTAFTER(I32, "phys-["), "]")</f>
        <v/>
      </c>
      <c r="D32" t="inlineStr">
        <is>
          <t>Unknown</t>
        </is>
      </c>
      <c r="E32" t="inlineStr">
        <is>
          <t>Unknown</t>
        </is>
      </c>
      <c r="F32" t="inlineStr">
        <is>
          <t>down</t>
        </is>
      </c>
      <c r="G32" t="inlineStr">
        <is>
          <t>sfp-missing</t>
        </is>
      </c>
      <c r="H32">
        <f>_xlfn.TEXTBEFORE(_xlfn.TEXTAFTER(I32, "pod-"), "/")</f>
        <v/>
      </c>
      <c r="I32" t="inlineStr">
        <is>
          <t>topology/pod-1/node-101/sys/phys-[eth1/9]/phys</t>
        </is>
      </c>
      <c r="J32">
        <f>VLOOKUP(VALUE(Table6[[#This Row],[node]]), LEAF_INFO!B:I, 7, 0)</f>
        <v/>
      </c>
    </row>
    <row r="33">
      <c r="A33">
        <f>_xlfn.CONCAT(B33,C33)</f>
        <v/>
      </c>
      <c r="B33">
        <f>_xlfn.TEXTBEFORE(_xlfn.TEXTAFTER(I33, "node-"), "/")</f>
        <v/>
      </c>
      <c r="C33">
        <f>_xlfn.TEXTBEFORE(_xlfn.TEXTAFTER(I33, "phys-["), "]")</f>
        <v/>
      </c>
      <c r="D33" t="inlineStr">
        <is>
          <t>Unknown</t>
        </is>
      </c>
      <c r="E33" t="inlineStr">
        <is>
          <t>Unknown</t>
        </is>
      </c>
      <c r="F33" t="inlineStr">
        <is>
          <t>down</t>
        </is>
      </c>
      <c r="G33" t="inlineStr">
        <is>
          <t>admin-down</t>
        </is>
      </c>
      <c r="H33">
        <f>_xlfn.TEXTBEFORE(_xlfn.TEXTAFTER(I33, "pod-"), "/")</f>
        <v/>
      </c>
      <c r="I33" t="inlineStr">
        <is>
          <t>topology/pod-1/node-101/sys/phys-[eth1/10]/phys</t>
        </is>
      </c>
      <c r="J33">
        <f>VLOOKUP(VALUE(Table6[[#This Row],[node]]), LEAF_INFO!B:I, 7, 0)</f>
        <v/>
      </c>
    </row>
    <row r="34">
      <c r="A34">
        <f>_xlfn.CONCAT(B34,C34)</f>
        <v/>
      </c>
      <c r="B34">
        <f>_xlfn.TEXTBEFORE(_xlfn.TEXTAFTER(I34, "node-"), "/")</f>
        <v/>
      </c>
      <c r="C34">
        <f>_xlfn.TEXTBEFORE(_xlfn.TEXTAFTER(I34, "phys-["), "]")</f>
        <v/>
      </c>
      <c r="D34" t="inlineStr">
        <is>
          <t>Unknown</t>
        </is>
      </c>
      <c r="E34" t="inlineStr">
        <is>
          <t>Unknown</t>
        </is>
      </c>
      <c r="F34" t="inlineStr">
        <is>
          <t>up</t>
        </is>
      </c>
      <c r="G34" t="inlineStr">
        <is>
          <t>none</t>
        </is>
      </c>
      <c r="H34">
        <f>_xlfn.TEXTBEFORE(_xlfn.TEXTAFTER(I34, "pod-"), "/")</f>
        <v/>
      </c>
      <c r="I34" t="inlineStr">
        <is>
          <t>topology/pod-1/node-101/sys/phys-[eth1/11]/phys</t>
        </is>
      </c>
      <c r="J34">
        <f>VLOOKUP(VALUE(Table6[[#This Row],[node]]), LEAF_INFO!B:I, 7, 0)</f>
        <v/>
      </c>
    </row>
    <row r="35">
      <c r="A35">
        <f>_xlfn.CONCAT(B35,C35)</f>
        <v/>
      </c>
      <c r="B35">
        <f>_xlfn.TEXTBEFORE(_xlfn.TEXTAFTER(I35, "node-"), "/")</f>
        <v/>
      </c>
      <c r="C35">
        <f>_xlfn.TEXTBEFORE(_xlfn.TEXTAFTER(I35, "phys-["), "]")</f>
        <v/>
      </c>
      <c r="D35" t="inlineStr">
        <is>
          <t>Unknown</t>
        </is>
      </c>
      <c r="E35" t="inlineStr">
        <is>
          <t>Unknown</t>
        </is>
      </c>
      <c r="F35" t="inlineStr">
        <is>
          <t>up</t>
        </is>
      </c>
      <c r="G35" t="inlineStr">
        <is>
          <t>none</t>
        </is>
      </c>
      <c r="H35">
        <f>_xlfn.TEXTBEFORE(_xlfn.TEXTAFTER(I35, "pod-"), "/")</f>
        <v/>
      </c>
      <c r="I35" t="inlineStr">
        <is>
          <t>topology/pod-1/node-101/sys/phys-[eth1/12]/phys</t>
        </is>
      </c>
      <c r="J35">
        <f>VLOOKUP(VALUE(Table6[[#This Row],[node]]), LEAF_INFO!B:I, 7, 0)</f>
        <v/>
      </c>
    </row>
    <row r="36">
      <c r="A36">
        <f>_xlfn.CONCAT(B36,C36)</f>
        <v/>
      </c>
      <c r="B36">
        <f>_xlfn.TEXTBEFORE(_xlfn.TEXTAFTER(I36, "node-"), "/")</f>
        <v/>
      </c>
      <c r="C36">
        <f>_xlfn.TEXTBEFORE(_xlfn.TEXTAFTER(I36, "phys-["), "]")</f>
        <v/>
      </c>
      <c r="D36" t="inlineStr">
        <is>
          <t>Unknown</t>
        </is>
      </c>
      <c r="E36" t="inlineStr">
        <is>
          <t>Unknown</t>
        </is>
      </c>
      <c r="F36" t="inlineStr">
        <is>
          <t>up</t>
        </is>
      </c>
      <c r="G36" t="inlineStr">
        <is>
          <t>none</t>
        </is>
      </c>
      <c r="H36">
        <f>_xlfn.TEXTBEFORE(_xlfn.TEXTAFTER(I36, "pod-"), "/")</f>
        <v/>
      </c>
      <c r="I36" t="inlineStr">
        <is>
          <t>topology/pod-1/node-101/sys/phys-[eth1/13]/phys</t>
        </is>
      </c>
      <c r="J36">
        <f>VLOOKUP(VALUE(Table6[[#This Row],[node]]), LEAF_INFO!B:I, 7, 0)</f>
        <v/>
      </c>
    </row>
    <row r="37">
      <c r="A37">
        <f>_xlfn.CONCAT(B37,C37)</f>
        <v/>
      </c>
      <c r="B37">
        <f>_xlfn.TEXTBEFORE(_xlfn.TEXTAFTER(I37, "node-"), "/")</f>
        <v/>
      </c>
      <c r="C37">
        <f>_xlfn.TEXTBEFORE(_xlfn.TEXTAFTER(I37, "phys-["), "]")</f>
        <v/>
      </c>
      <c r="D37" t="inlineStr">
        <is>
          <t>Unknown</t>
        </is>
      </c>
      <c r="E37" t="inlineStr">
        <is>
          <t>Unknown</t>
        </is>
      </c>
      <c r="F37" t="inlineStr">
        <is>
          <t>up</t>
        </is>
      </c>
      <c r="G37" t="inlineStr">
        <is>
          <t>none</t>
        </is>
      </c>
      <c r="H37">
        <f>_xlfn.TEXTBEFORE(_xlfn.TEXTAFTER(I37, "pod-"), "/")</f>
        <v/>
      </c>
      <c r="I37" t="inlineStr">
        <is>
          <t>topology/pod-1/node-101/sys/phys-[eth1/14]/phys</t>
        </is>
      </c>
      <c r="J37">
        <f>VLOOKUP(VALUE(Table6[[#This Row],[node]]), LEAF_INFO!B:I, 7, 0)</f>
        <v/>
      </c>
    </row>
    <row r="38">
      <c r="A38">
        <f>_xlfn.CONCAT(B38,C38)</f>
        <v/>
      </c>
      <c r="B38">
        <f>_xlfn.TEXTBEFORE(_xlfn.TEXTAFTER(I38, "node-"), "/")</f>
        <v/>
      </c>
      <c r="C38">
        <f>_xlfn.TEXTBEFORE(_xlfn.TEXTAFTER(I38, "phys-["), "]")</f>
        <v/>
      </c>
      <c r="D38" t="inlineStr">
        <is>
          <t>Unknown</t>
        </is>
      </c>
      <c r="E38" t="inlineStr">
        <is>
          <t>Unknown</t>
        </is>
      </c>
      <c r="F38" t="inlineStr">
        <is>
          <t>down</t>
        </is>
      </c>
      <c r="G38" t="inlineStr">
        <is>
          <t>sfp-missing</t>
        </is>
      </c>
      <c r="H38">
        <f>_xlfn.TEXTBEFORE(_xlfn.TEXTAFTER(I38, "pod-"), "/")</f>
        <v/>
      </c>
      <c r="I38" t="inlineStr">
        <is>
          <t>topology/pod-1/node-101/sys/phys-[eth1/15]/phys</t>
        </is>
      </c>
      <c r="J38">
        <f>VLOOKUP(VALUE(Table6[[#This Row],[node]]), LEAF_INFO!B:I, 7, 0)</f>
        <v/>
      </c>
    </row>
    <row r="39">
      <c r="A39">
        <f>_xlfn.CONCAT(B39,C39)</f>
        <v/>
      </c>
      <c r="B39">
        <f>_xlfn.TEXTBEFORE(_xlfn.TEXTAFTER(I39, "node-"), "/")</f>
        <v/>
      </c>
      <c r="C39">
        <f>_xlfn.TEXTBEFORE(_xlfn.TEXTAFTER(I39, "phys-["), "]")</f>
        <v/>
      </c>
      <c r="D39" t="inlineStr">
        <is>
          <t>Unknown</t>
        </is>
      </c>
      <c r="E39" t="inlineStr">
        <is>
          <t>Unknown</t>
        </is>
      </c>
      <c r="F39" t="inlineStr">
        <is>
          <t>down</t>
        </is>
      </c>
      <c r="G39" t="inlineStr">
        <is>
          <t>sfp-missing</t>
        </is>
      </c>
      <c r="H39">
        <f>_xlfn.TEXTBEFORE(_xlfn.TEXTAFTER(I39, "pod-"), "/")</f>
        <v/>
      </c>
      <c r="I39" t="inlineStr">
        <is>
          <t>topology/pod-1/node-101/sys/phys-[eth1/16]/phys</t>
        </is>
      </c>
      <c r="J39">
        <f>VLOOKUP(VALUE(Table6[[#This Row],[node]]), LEAF_INFO!B:I, 7, 0)</f>
        <v/>
      </c>
    </row>
    <row r="40">
      <c r="A40">
        <f>_xlfn.CONCAT(B40,C40)</f>
        <v/>
      </c>
      <c r="B40">
        <f>_xlfn.TEXTBEFORE(_xlfn.TEXTAFTER(I40, "node-"), "/")</f>
        <v/>
      </c>
      <c r="C40">
        <f>_xlfn.TEXTBEFORE(_xlfn.TEXTAFTER(I40, "phys-["), "]")</f>
        <v/>
      </c>
      <c r="D40" t="inlineStr">
        <is>
          <t>Unknown</t>
        </is>
      </c>
      <c r="E40" t="inlineStr">
        <is>
          <t>Unknown</t>
        </is>
      </c>
      <c r="F40" t="inlineStr">
        <is>
          <t>down</t>
        </is>
      </c>
      <c r="G40" t="inlineStr">
        <is>
          <t>sfp-missing</t>
        </is>
      </c>
      <c r="H40">
        <f>_xlfn.TEXTBEFORE(_xlfn.TEXTAFTER(I40, "pod-"), "/")</f>
        <v/>
      </c>
      <c r="I40" t="inlineStr">
        <is>
          <t>topology/pod-1/node-101/sys/phys-[eth1/17]/phys</t>
        </is>
      </c>
      <c r="J40">
        <f>VLOOKUP(VALUE(Table6[[#This Row],[node]]), LEAF_INFO!B:I, 7, 0)</f>
        <v/>
      </c>
    </row>
    <row r="41">
      <c r="A41">
        <f>_xlfn.CONCAT(B41,C41)</f>
        <v/>
      </c>
      <c r="B41">
        <f>_xlfn.TEXTBEFORE(_xlfn.TEXTAFTER(I41, "node-"), "/")</f>
        <v/>
      </c>
      <c r="C41">
        <f>_xlfn.TEXTBEFORE(_xlfn.TEXTAFTER(I41, "phys-["), "]")</f>
        <v/>
      </c>
      <c r="D41" t="inlineStr">
        <is>
          <t>Unknown</t>
        </is>
      </c>
      <c r="E41" t="inlineStr">
        <is>
          <t>Unknown</t>
        </is>
      </c>
      <c r="F41" t="inlineStr">
        <is>
          <t>down</t>
        </is>
      </c>
      <c r="G41" t="inlineStr">
        <is>
          <t>sfp-missing</t>
        </is>
      </c>
      <c r="H41">
        <f>_xlfn.TEXTBEFORE(_xlfn.TEXTAFTER(I41, "pod-"), "/")</f>
        <v/>
      </c>
      <c r="I41" t="inlineStr">
        <is>
          <t>topology/pod-1/node-101/sys/phys-[eth1/18]/phys</t>
        </is>
      </c>
      <c r="J41">
        <f>VLOOKUP(VALUE(Table6[[#This Row],[node]]), LEAF_INFO!B:I, 7, 0)</f>
        <v/>
      </c>
    </row>
    <row r="42">
      <c r="A42">
        <f>_xlfn.CONCAT(B42,C42)</f>
        <v/>
      </c>
      <c r="B42">
        <f>_xlfn.TEXTBEFORE(_xlfn.TEXTAFTER(I42, "node-"), "/")</f>
        <v/>
      </c>
      <c r="C42">
        <f>_xlfn.TEXTBEFORE(_xlfn.TEXTAFTER(I42, "phys-["), "]")</f>
        <v/>
      </c>
      <c r="D42" t="inlineStr">
        <is>
          <t>Unknown</t>
        </is>
      </c>
      <c r="E42" t="inlineStr">
        <is>
          <t>Unknown</t>
        </is>
      </c>
      <c r="F42" t="inlineStr">
        <is>
          <t>down</t>
        </is>
      </c>
      <c r="G42" t="inlineStr">
        <is>
          <t>sfp-missing</t>
        </is>
      </c>
      <c r="H42">
        <f>_xlfn.TEXTBEFORE(_xlfn.TEXTAFTER(I42, "pod-"), "/")</f>
        <v/>
      </c>
      <c r="I42" t="inlineStr">
        <is>
          <t>topology/pod-1/node-101/sys/phys-[eth1/19]/phys</t>
        </is>
      </c>
      <c r="J42">
        <f>VLOOKUP(VALUE(Table6[[#This Row],[node]]), LEAF_INFO!B:I, 7, 0)</f>
        <v/>
      </c>
    </row>
    <row r="43">
      <c r="A43">
        <f>_xlfn.CONCAT(B43,C43)</f>
        <v/>
      </c>
      <c r="B43">
        <f>_xlfn.TEXTBEFORE(_xlfn.TEXTAFTER(I43, "node-"), "/")</f>
        <v/>
      </c>
      <c r="C43">
        <f>_xlfn.TEXTBEFORE(_xlfn.TEXTAFTER(I43, "phys-["), "]")</f>
        <v/>
      </c>
      <c r="D43" t="inlineStr">
        <is>
          <t>Unknown</t>
        </is>
      </c>
      <c r="E43" t="inlineStr">
        <is>
          <t>Unknown</t>
        </is>
      </c>
      <c r="F43" t="inlineStr">
        <is>
          <t>down</t>
        </is>
      </c>
      <c r="G43" t="inlineStr">
        <is>
          <t>sfp-missing</t>
        </is>
      </c>
      <c r="H43">
        <f>_xlfn.TEXTBEFORE(_xlfn.TEXTAFTER(I43, "pod-"), "/")</f>
        <v/>
      </c>
      <c r="I43" t="inlineStr">
        <is>
          <t>topology/pod-1/node-101/sys/phys-[eth1/20]/phys</t>
        </is>
      </c>
      <c r="J43">
        <f>VLOOKUP(VALUE(Table6[[#This Row],[node]]), LEAF_INFO!B:I, 7, 0)</f>
        <v/>
      </c>
    </row>
    <row r="44">
      <c r="A44">
        <f>_xlfn.CONCAT(B44,C44)</f>
        <v/>
      </c>
      <c r="B44">
        <f>_xlfn.TEXTBEFORE(_xlfn.TEXTAFTER(I44, "node-"), "/")</f>
        <v/>
      </c>
      <c r="C44">
        <f>_xlfn.TEXTBEFORE(_xlfn.TEXTAFTER(I44, "phys-["), "]")</f>
        <v/>
      </c>
      <c r="D44" t="inlineStr">
        <is>
          <t>Unknown</t>
        </is>
      </c>
      <c r="E44" t="inlineStr">
        <is>
          <t>Unknown</t>
        </is>
      </c>
      <c r="F44" t="inlineStr">
        <is>
          <t>down</t>
        </is>
      </c>
      <c r="G44" t="inlineStr">
        <is>
          <t>sfp-missing</t>
        </is>
      </c>
      <c r="H44">
        <f>_xlfn.TEXTBEFORE(_xlfn.TEXTAFTER(I44, "pod-"), "/")</f>
        <v/>
      </c>
      <c r="I44" t="inlineStr">
        <is>
          <t>topology/pod-1/node-101/sys/phys-[eth1/21]/phys</t>
        </is>
      </c>
      <c r="J44">
        <f>VLOOKUP(VALUE(Table6[[#This Row],[node]]), LEAF_INFO!B:I, 7, 0)</f>
        <v/>
      </c>
    </row>
    <row r="45">
      <c r="A45">
        <f>_xlfn.CONCAT(B45,C45)</f>
        <v/>
      </c>
      <c r="B45">
        <f>_xlfn.TEXTBEFORE(_xlfn.TEXTAFTER(I45, "node-"), "/")</f>
        <v/>
      </c>
      <c r="C45">
        <f>_xlfn.TEXTBEFORE(_xlfn.TEXTAFTER(I45, "phys-["), "]")</f>
        <v/>
      </c>
      <c r="D45" t="inlineStr">
        <is>
          <t>Unknown</t>
        </is>
      </c>
      <c r="E45" t="inlineStr">
        <is>
          <t>Unknown</t>
        </is>
      </c>
      <c r="F45" t="inlineStr">
        <is>
          <t>down</t>
        </is>
      </c>
      <c r="G45" t="inlineStr">
        <is>
          <t>sfp-missing</t>
        </is>
      </c>
      <c r="H45">
        <f>_xlfn.TEXTBEFORE(_xlfn.TEXTAFTER(I45, "pod-"), "/")</f>
        <v/>
      </c>
      <c r="I45" t="inlineStr">
        <is>
          <t>topology/pod-1/node-101/sys/phys-[eth1/22]/phys</t>
        </is>
      </c>
      <c r="J45">
        <f>VLOOKUP(VALUE(Table6[[#This Row],[node]]), LEAF_INFO!B:I, 7, 0)</f>
        <v/>
      </c>
    </row>
    <row r="46">
      <c r="A46">
        <f>_xlfn.CONCAT(B46,C46)</f>
        <v/>
      </c>
      <c r="B46">
        <f>_xlfn.TEXTBEFORE(_xlfn.TEXTAFTER(I46, "node-"), "/")</f>
        <v/>
      </c>
      <c r="C46">
        <f>_xlfn.TEXTBEFORE(_xlfn.TEXTAFTER(I46, "phys-["), "]")</f>
        <v/>
      </c>
      <c r="D46" t="inlineStr">
        <is>
          <t>Unknown</t>
        </is>
      </c>
      <c r="E46" t="inlineStr">
        <is>
          <t>Unknown</t>
        </is>
      </c>
      <c r="F46" t="inlineStr">
        <is>
          <t>down</t>
        </is>
      </c>
      <c r="G46" t="inlineStr">
        <is>
          <t>sfp-missing</t>
        </is>
      </c>
      <c r="H46">
        <f>_xlfn.TEXTBEFORE(_xlfn.TEXTAFTER(I46, "pod-"), "/")</f>
        <v/>
      </c>
      <c r="I46" t="inlineStr">
        <is>
          <t>topology/pod-1/node-101/sys/phys-[eth1/23]/phys</t>
        </is>
      </c>
      <c r="J46">
        <f>VLOOKUP(VALUE(Table6[[#This Row],[node]]), LEAF_INFO!B:I, 7, 0)</f>
        <v/>
      </c>
    </row>
    <row r="47">
      <c r="A47">
        <f>_xlfn.CONCAT(B47,C47)</f>
        <v/>
      </c>
      <c r="B47">
        <f>_xlfn.TEXTBEFORE(_xlfn.TEXTAFTER(I47, "node-"), "/")</f>
        <v/>
      </c>
      <c r="C47">
        <f>_xlfn.TEXTBEFORE(_xlfn.TEXTAFTER(I47, "phys-["), "]")</f>
        <v/>
      </c>
      <c r="D47" t="inlineStr">
        <is>
          <t>Unknown</t>
        </is>
      </c>
      <c r="E47" t="inlineStr">
        <is>
          <t>Unknown</t>
        </is>
      </c>
      <c r="F47" t="inlineStr">
        <is>
          <t>down</t>
        </is>
      </c>
      <c r="G47" t="inlineStr">
        <is>
          <t>sfp-missing</t>
        </is>
      </c>
      <c r="H47">
        <f>_xlfn.TEXTBEFORE(_xlfn.TEXTAFTER(I47, "pod-"), "/")</f>
        <v/>
      </c>
      <c r="I47" t="inlineStr">
        <is>
          <t>topology/pod-1/node-101/sys/phys-[eth1/24]/phys</t>
        </is>
      </c>
      <c r="J47">
        <f>VLOOKUP(VALUE(Table6[[#This Row],[node]]), LEAF_INFO!B:I, 7, 0)</f>
        <v/>
      </c>
    </row>
    <row r="48">
      <c r="A48">
        <f>_xlfn.CONCAT(B48,C48)</f>
        <v/>
      </c>
      <c r="B48">
        <f>_xlfn.TEXTBEFORE(_xlfn.TEXTAFTER(I48, "node-"), "/")</f>
        <v/>
      </c>
      <c r="C48">
        <f>_xlfn.TEXTBEFORE(_xlfn.TEXTAFTER(I48, "phys-["), "]")</f>
        <v/>
      </c>
      <c r="D48" t="inlineStr">
        <is>
          <t>Unknown</t>
        </is>
      </c>
      <c r="E48" t="inlineStr">
        <is>
          <t>Unknown</t>
        </is>
      </c>
      <c r="F48" t="inlineStr">
        <is>
          <t>down</t>
        </is>
      </c>
      <c r="G48" t="inlineStr">
        <is>
          <t>sfp-missing</t>
        </is>
      </c>
      <c r="H48">
        <f>_xlfn.TEXTBEFORE(_xlfn.TEXTAFTER(I48, "pod-"), "/")</f>
        <v/>
      </c>
      <c r="I48" t="inlineStr">
        <is>
          <t>topology/pod-1/node-101/sys/phys-[eth1/25]/phys</t>
        </is>
      </c>
      <c r="J48">
        <f>VLOOKUP(VALUE(Table6[[#This Row],[node]]), LEAF_INFO!B:I, 7, 0)</f>
        <v/>
      </c>
    </row>
    <row r="49">
      <c r="A49">
        <f>_xlfn.CONCAT(B49,C49)</f>
        <v/>
      </c>
      <c r="B49">
        <f>_xlfn.TEXTBEFORE(_xlfn.TEXTAFTER(I49, "node-"), "/")</f>
        <v/>
      </c>
      <c r="C49">
        <f>_xlfn.TEXTBEFORE(_xlfn.TEXTAFTER(I49, "phys-["), "]")</f>
        <v/>
      </c>
      <c r="D49" t="inlineStr">
        <is>
          <t>Unknown</t>
        </is>
      </c>
      <c r="E49" t="inlineStr">
        <is>
          <t>Unknown</t>
        </is>
      </c>
      <c r="F49" t="inlineStr">
        <is>
          <t>down</t>
        </is>
      </c>
      <c r="G49" t="inlineStr">
        <is>
          <t>sfp-missing</t>
        </is>
      </c>
      <c r="H49">
        <f>_xlfn.TEXTBEFORE(_xlfn.TEXTAFTER(I49, "pod-"), "/")</f>
        <v/>
      </c>
      <c r="I49" t="inlineStr">
        <is>
          <t>topology/pod-1/node-101/sys/phys-[eth1/26]/phys</t>
        </is>
      </c>
      <c r="J49">
        <f>VLOOKUP(VALUE(Table6[[#This Row],[node]]), LEAF_INFO!B:I, 7, 0)</f>
        <v/>
      </c>
    </row>
    <row r="50">
      <c r="A50">
        <f>_xlfn.CONCAT(B50,C50)</f>
        <v/>
      </c>
      <c r="B50">
        <f>_xlfn.TEXTBEFORE(_xlfn.TEXTAFTER(I50, "node-"), "/")</f>
        <v/>
      </c>
      <c r="C50">
        <f>_xlfn.TEXTBEFORE(_xlfn.TEXTAFTER(I50, "phys-["), "]")</f>
        <v/>
      </c>
      <c r="D50" t="inlineStr">
        <is>
          <t>Unknown</t>
        </is>
      </c>
      <c r="E50" t="inlineStr">
        <is>
          <t>Unknown</t>
        </is>
      </c>
      <c r="F50" t="inlineStr">
        <is>
          <t>down</t>
        </is>
      </c>
      <c r="G50" t="inlineStr">
        <is>
          <t>sfp-missing</t>
        </is>
      </c>
      <c r="H50">
        <f>_xlfn.TEXTBEFORE(_xlfn.TEXTAFTER(I50, "pod-"), "/")</f>
        <v/>
      </c>
      <c r="I50" t="inlineStr">
        <is>
          <t>topology/pod-1/node-101/sys/phys-[eth1/27]/phys</t>
        </is>
      </c>
      <c r="J50">
        <f>VLOOKUP(VALUE(Table6[[#This Row],[node]]), LEAF_INFO!B:I, 7, 0)</f>
        <v/>
      </c>
    </row>
    <row r="51">
      <c r="A51">
        <f>_xlfn.CONCAT(B51,C51)</f>
        <v/>
      </c>
      <c r="B51">
        <f>_xlfn.TEXTBEFORE(_xlfn.TEXTAFTER(I51, "node-"), "/")</f>
        <v/>
      </c>
      <c r="C51">
        <f>_xlfn.TEXTBEFORE(_xlfn.TEXTAFTER(I51, "phys-["), "]")</f>
        <v/>
      </c>
      <c r="D51" t="inlineStr">
        <is>
          <t>Unknown</t>
        </is>
      </c>
      <c r="E51" t="inlineStr">
        <is>
          <t>Unknown</t>
        </is>
      </c>
      <c r="F51" t="inlineStr">
        <is>
          <t>down</t>
        </is>
      </c>
      <c r="G51" t="inlineStr">
        <is>
          <t>sfp-missing</t>
        </is>
      </c>
      <c r="H51">
        <f>_xlfn.TEXTBEFORE(_xlfn.TEXTAFTER(I51, "pod-"), "/")</f>
        <v/>
      </c>
      <c r="I51" t="inlineStr">
        <is>
          <t>topology/pod-1/node-101/sys/phys-[eth1/28]/phys</t>
        </is>
      </c>
      <c r="J51">
        <f>VLOOKUP(VALUE(Table6[[#This Row],[node]]), LEAF_INFO!B:I, 7, 0)</f>
        <v/>
      </c>
    </row>
    <row r="52">
      <c r="A52">
        <f>_xlfn.CONCAT(B52,C52)</f>
        <v/>
      </c>
      <c r="B52">
        <f>_xlfn.TEXTBEFORE(_xlfn.TEXTAFTER(I52, "node-"), "/")</f>
        <v/>
      </c>
      <c r="C52">
        <f>_xlfn.TEXTBEFORE(_xlfn.TEXTAFTER(I52, "phys-["), "]")</f>
        <v/>
      </c>
      <c r="D52" t="inlineStr">
        <is>
          <t>Unknown</t>
        </is>
      </c>
      <c r="E52" t="inlineStr">
        <is>
          <t>Unknown</t>
        </is>
      </c>
      <c r="F52" t="inlineStr">
        <is>
          <t>down</t>
        </is>
      </c>
      <c r="G52" t="inlineStr">
        <is>
          <t>sfp-missing</t>
        </is>
      </c>
      <c r="H52">
        <f>_xlfn.TEXTBEFORE(_xlfn.TEXTAFTER(I52, "pod-"), "/")</f>
        <v/>
      </c>
      <c r="I52" t="inlineStr">
        <is>
          <t>topology/pod-1/node-101/sys/phys-[eth1/29]/phys</t>
        </is>
      </c>
      <c r="J52">
        <f>VLOOKUP(VALUE(Table6[[#This Row],[node]]), LEAF_INFO!B:I, 7, 0)</f>
        <v/>
      </c>
    </row>
    <row r="53">
      <c r="A53">
        <f>_xlfn.CONCAT(B53,C53)</f>
        <v/>
      </c>
      <c r="B53">
        <f>_xlfn.TEXTBEFORE(_xlfn.TEXTAFTER(I53, "node-"), "/")</f>
        <v/>
      </c>
      <c r="C53">
        <f>_xlfn.TEXTBEFORE(_xlfn.TEXTAFTER(I53, "phys-["), "]")</f>
        <v/>
      </c>
      <c r="D53" t="inlineStr">
        <is>
          <t>Unknown</t>
        </is>
      </c>
      <c r="E53" t="inlineStr">
        <is>
          <t>Unknown</t>
        </is>
      </c>
      <c r="F53" t="inlineStr">
        <is>
          <t>down</t>
        </is>
      </c>
      <c r="G53" t="inlineStr">
        <is>
          <t>sfp-missing</t>
        </is>
      </c>
      <c r="H53">
        <f>_xlfn.TEXTBEFORE(_xlfn.TEXTAFTER(I53, "pod-"), "/")</f>
        <v/>
      </c>
      <c r="I53" t="inlineStr">
        <is>
          <t>topology/pod-1/node-101/sys/phys-[eth1/30]/phys</t>
        </is>
      </c>
      <c r="J53">
        <f>VLOOKUP(VALUE(Table6[[#This Row],[node]]), LEAF_INFO!B:I, 7, 0)</f>
        <v/>
      </c>
    </row>
    <row r="54">
      <c r="A54">
        <f>_xlfn.CONCAT(B54,C54)</f>
        <v/>
      </c>
      <c r="B54">
        <f>_xlfn.TEXTBEFORE(_xlfn.TEXTAFTER(I54, "node-"), "/")</f>
        <v/>
      </c>
      <c r="C54">
        <f>_xlfn.TEXTBEFORE(_xlfn.TEXTAFTER(I54, "phys-["), "]")</f>
        <v/>
      </c>
      <c r="D54" t="inlineStr">
        <is>
          <t>Unknown</t>
        </is>
      </c>
      <c r="E54" t="inlineStr">
        <is>
          <t>Unknown</t>
        </is>
      </c>
      <c r="F54" t="inlineStr">
        <is>
          <t>down</t>
        </is>
      </c>
      <c r="G54" t="inlineStr">
        <is>
          <t>sfp-missing</t>
        </is>
      </c>
      <c r="H54">
        <f>_xlfn.TEXTBEFORE(_xlfn.TEXTAFTER(I54, "pod-"), "/")</f>
        <v/>
      </c>
      <c r="I54" t="inlineStr">
        <is>
          <t>topology/pod-1/node-101/sys/phys-[eth1/31]/phys</t>
        </is>
      </c>
      <c r="J54">
        <f>VLOOKUP(VALUE(Table6[[#This Row],[node]]), LEAF_INFO!B:I, 7, 0)</f>
        <v/>
      </c>
    </row>
    <row r="55">
      <c r="A55">
        <f>_xlfn.CONCAT(B55,C55)</f>
        <v/>
      </c>
      <c r="B55">
        <f>_xlfn.TEXTBEFORE(_xlfn.TEXTAFTER(I55, "node-"), "/")</f>
        <v/>
      </c>
      <c r="C55">
        <f>_xlfn.TEXTBEFORE(_xlfn.TEXTAFTER(I55, "phys-["), "]")</f>
        <v/>
      </c>
      <c r="D55" t="inlineStr">
        <is>
          <t>Unknown</t>
        </is>
      </c>
      <c r="E55" t="inlineStr">
        <is>
          <t>Unknown</t>
        </is>
      </c>
      <c r="F55" t="inlineStr">
        <is>
          <t>down</t>
        </is>
      </c>
      <c r="G55" t="inlineStr">
        <is>
          <t>sfp-missing</t>
        </is>
      </c>
      <c r="H55">
        <f>_xlfn.TEXTBEFORE(_xlfn.TEXTAFTER(I55, "pod-"), "/")</f>
        <v/>
      </c>
      <c r="I55" t="inlineStr">
        <is>
          <t>topology/pod-1/node-101/sys/phys-[eth1/32]/phys</t>
        </is>
      </c>
      <c r="J55">
        <f>VLOOKUP(VALUE(Table6[[#This Row],[node]]), LEAF_INFO!B:I, 7, 0)</f>
        <v/>
      </c>
    </row>
    <row r="56">
      <c r="A56">
        <f>_xlfn.CONCAT(B56,C56)</f>
        <v/>
      </c>
      <c r="B56">
        <f>_xlfn.TEXTBEFORE(_xlfn.TEXTAFTER(I56, "node-"), "/")</f>
        <v/>
      </c>
      <c r="C56">
        <f>_xlfn.TEXTBEFORE(_xlfn.TEXTAFTER(I56, "phys-["), "]")</f>
        <v/>
      </c>
      <c r="D56" t="inlineStr">
        <is>
          <t>Unknown</t>
        </is>
      </c>
      <c r="E56" t="inlineStr">
        <is>
          <t>Unknown</t>
        </is>
      </c>
      <c r="F56" t="inlineStr">
        <is>
          <t>down</t>
        </is>
      </c>
      <c r="G56" t="inlineStr">
        <is>
          <t>sfp-missing</t>
        </is>
      </c>
      <c r="H56">
        <f>_xlfn.TEXTBEFORE(_xlfn.TEXTAFTER(I56, "pod-"), "/")</f>
        <v/>
      </c>
      <c r="I56" t="inlineStr">
        <is>
          <t>topology/pod-1/node-102/sys/phys-[eth1/33]/phys</t>
        </is>
      </c>
      <c r="J56">
        <f>VLOOKUP(VALUE(Table6[[#This Row],[node]]), LEAF_INFO!B:I, 7, 0)</f>
        <v/>
      </c>
    </row>
    <row r="57">
      <c r="A57">
        <f>_xlfn.CONCAT(B57,C57)</f>
        <v/>
      </c>
      <c r="B57">
        <f>_xlfn.TEXTBEFORE(_xlfn.TEXTAFTER(I57, "node-"), "/")</f>
        <v/>
      </c>
      <c r="C57">
        <f>_xlfn.TEXTBEFORE(_xlfn.TEXTAFTER(I57, "phys-["), "]")</f>
        <v/>
      </c>
      <c r="D57" t="inlineStr">
        <is>
          <t>Unknown</t>
        </is>
      </c>
      <c r="E57" t="inlineStr">
        <is>
          <t>Unknown</t>
        </is>
      </c>
      <c r="F57" t="inlineStr">
        <is>
          <t>down</t>
        </is>
      </c>
      <c r="G57" t="inlineStr">
        <is>
          <t>sfp-missing</t>
        </is>
      </c>
      <c r="H57">
        <f>_xlfn.TEXTBEFORE(_xlfn.TEXTAFTER(I57, "pod-"), "/")</f>
        <v/>
      </c>
      <c r="I57" t="inlineStr">
        <is>
          <t>topology/pod-1/node-102/sys/phys-[eth1/34]/phys</t>
        </is>
      </c>
      <c r="J57">
        <f>VLOOKUP(VALUE(Table6[[#This Row],[node]]), LEAF_INFO!B:I, 7, 0)</f>
        <v/>
      </c>
    </row>
    <row r="58">
      <c r="A58">
        <f>_xlfn.CONCAT(B58,C58)</f>
        <v/>
      </c>
      <c r="B58">
        <f>_xlfn.TEXTBEFORE(_xlfn.TEXTAFTER(I58, "node-"), "/")</f>
        <v/>
      </c>
      <c r="C58">
        <f>_xlfn.TEXTBEFORE(_xlfn.TEXTAFTER(I58, "phys-["), "]")</f>
        <v/>
      </c>
      <c r="D58" t="inlineStr">
        <is>
          <t>Unknown</t>
        </is>
      </c>
      <c r="E58" t="inlineStr">
        <is>
          <t>Unknown</t>
        </is>
      </c>
      <c r="F58" t="inlineStr">
        <is>
          <t>down</t>
        </is>
      </c>
      <c r="G58" t="inlineStr">
        <is>
          <t>sfp-missing</t>
        </is>
      </c>
      <c r="H58">
        <f>_xlfn.TEXTBEFORE(_xlfn.TEXTAFTER(I58, "pod-"), "/")</f>
        <v/>
      </c>
      <c r="I58" t="inlineStr">
        <is>
          <t>topology/pod-1/node-102/sys/phys-[eth1/35]/phys</t>
        </is>
      </c>
      <c r="J58">
        <f>VLOOKUP(VALUE(Table6[[#This Row],[node]]), LEAF_INFO!B:I, 7, 0)</f>
        <v/>
      </c>
    </row>
    <row r="59">
      <c r="A59">
        <f>_xlfn.CONCAT(B59,C59)</f>
        <v/>
      </c>
      <c r="B59">
        <f>_xlfn.TEXTBEFORE(_xlfn.TEXTAFTER(I59, "node-"), "/")</f>
        <v/>
      </c>
      <c r="C59">
        <f>_xlfn.TEXTBEFORE(_xlfn.TEXTAFTER(I59, "phys-["), "]")</f>
        <v/>
      </c>
      <c r="D59" t="inlineStr">
        <is>
          <t>Unknown</t>
        </is>
      </c>
      <c r="E59" t="inlineStr">
        <is>
          <t>Unknown</t>
        </is>
      </c>
      <c r="F59" t="inlineStr">
        <is>
          <t>up</t>
        </is>
      </c>
      <c r="G59" t="inlineStr">
        <is>
          <t>none</t>
        </is>
      </c>
      <c r="H59">
        <f>_xlfn.TEXTBEFORE(_xlfn.TEXTAFTER(I59, "pod-"), "/")</f>
        <v/>
      </c>
      <c r="I59" t="inlineStr">
        <is>
          <t>topology/pod-1/node-102/sys/phys-[eth1/36]/phys</t>
        </is>
      </c>
      <c r="J59">
        <f>VLOOKUP(VALUE(Table6[[#This Row],[node]]), LEAF_INFO!B:I, 7, 0)</f>
        <v/>
      </c>
    </row>
    <row r="60">
      <c r="A60">
        <f>_xlfn.CONCAT(B60,C60)</f>
        <v/>
      </c>
      <c r="B60">
        <f>_xlfn.TEXTBEFORE(_xlfn.TEXTAFTER(I60, "node-"), "/")</f>
        <v/>
      </c>
      <c r="C60">
        <f>_xlfn.TEXTBEFORE(_xlfn.TEXTAFTER(I60, "phys-["), "]")</f>
        <v/>
      </c>
      <c r="D60" t="inlineStr">
        <is>
          <t>Unknown</t>
        </is>
      </c>
      <c r="E60" t="inlineStr">
        <is>
          <t>Unknown</t>
        </is>
      </c>
      <c r="F60" t="inlineStr">
        <is>
          <t>down</t>
        </is>
      </c>
      <c r="G60" t="inlineStr">
        <is>
          <t>sfp-missing</t>
        </is>
      </c>
      <c r="H60">
        <f>_xlfn.TEXTBEFORE(_xlfn.TEXTAFTER(I60, "pod-"), "/")</f>
        <v/>
      </c>
      <c r="I60" t="inlineStr">
        <is>
          <t>topology/pod-1/node-102/sys/phys-[eth1/37]/phys</t>
        </is>
      </c>
      <c r="J60">
        <f>VLOOKUP(VALUE(Table6[[#This Row],[node]]), LEAF_INFO!B:I, 7, 0)</f>
        <v/>
      </c>
    </row>
    <row r="61">
      <c r="A61">
        <f>_xlfn.CONCAT(B61,C61)</f>
        <v/>
      </c>
      <c r="B61">
        <f>_xlfn.TEXTBEFORE(_xlfn.TEXTAFTER(I61, "node-"), "/")</f>
        <v/>
      </c>
      <c r="C61">
        <f>_xlfn.TEXTBEFORE(_xlfn.TEXTAFTER(I61, "phys-["), "]")</f>
        <v/>
      </c>
      <c r="D61" t="inlineStr">
        <is>
          <t>Unknown</t>
        </is>
      </c>
      <c r="E61" t="inlineStr">
        <is>
          <t>Unknown</t>
        </is>
      </c>
      <c r="F61" t="inlineStr">
        <is>
          <t>up</t>
        </is>
      </c>
      <c r="G61" t="inlineStr">
        <is>
          <t>none</t>
        </is>
      </c>
      <c r="H61">
        <f>_xlfn.TEXTBEFORE(_xlfn.TEXTAFTER(I61, "pod-"), "/")</f>
        <v/>
      </c>
      <c r="I61" t="inlineStr">
        <is>
          <t>topology/pod-1/node-102/sys/phys-[eth1/38]/phys</t>
        </is>
      </c>
      <c r="J61">
        <f>VLOOKUP(VALUE(Table6[[#This Row],[node]]), LEAF_INFO!B:I, 7, 0)</f>
        <v/>
      </c>
    </row>
    <row r="62">
      <c r="A62">
        <f>_xlfn.CONCAT(B62,C62)</f>
        <v/>
      </c>
      <c r="B62">
        <f>_xlfn.TEXTBEFORE(_xlfn.TEXTAFTER(I62, "node-"), "/")</f>
        <v/>
      </c>
      <c r="C62">
        <f>_xlfn.TEXTBEFORE(_xlfn.TEXTAFTER(I62, "phys-["), "]")</f>
        <v/>
      </c>
      <c r="D62" t="inlineStr">
        <is>
          <t>Unknown</t>
        </is>
      </c>
      <c r="E62" t="inlineStr">
        <is>
          <t>Unknown</t>
        </is>
      </c>
      <c r="F62" t="inlineStr">
        <is>
          <t>down</t>
        </is>
      </c>
      <c r="G62" t="inlineStr">
        <is>
          <t>sfp-missing</t>
        </is>
      </c>
      <c r="H62">
        <f>_xlfn.TEXTBEFORE(_xlfn.TEXTAFTER(I62, "pod-"), "/")</f>
        <v/>
      </c>
      <c r="I62" t="inlineStr">
        <is>
          <t>topology/pod-1/node-102/sys/phys-[eth1/39]/phys</t>
        </is>
      </c>
      <c r="J62">
        <f>VLOOKUP(VALUE(Table6[[#This Row],[node]]), LEAF_INFO!B:I, 7, 0)</f>
        <v/>
      </c>
    </row>
    <row r="63">
      <c r="A63">
        <f>_xlfn.CONCAT(B63,C63)</f>
        <v/>
      </c>
      <c r="B63">
        <f>_xlfn.TEXTBEFORE(_xlfn.TEXTAFTER(I63, "node-"), "/")</f>
        <v/>
      </c>
      <c r="C63">
        <f>_xlfn.TEXTBEFORE(_xlfn.TEXTAFTER(I63, "phys-["), "]")</f>
        <v/>
      </c>
      <c r="D63" t="inlineStr">
        <is>
          <t>Unknown</t>
        </is>
      </c>
      <c r="E63" t="inlineStr">
        <is>
          <t>Unknown</t>
        </is>
      </c>
      <c r="F63" t="inlineStr">
        <is>
          <t>up</t>
        </is>
      </c>
      <c r="G63" t="inlineStr">
        <is>
          <t>none</t>
        </is>
      </c>
      <c r="H63">
        <f>_xlfn.TEXTBEFORE(_xlfn.TEXTAFTER(I63, "pod-"), "/")</f>
        <v/>
      </c>
      <c r="I63" t="inlineStr">
        <is>
          <t>topology/pod-1/node-102/sys/phys-[eth1/40]/phys</t>
        </is>
      </c>
      <c r="J63">
        <f>VLOOKUP(VALUE(Table6[[#This Row],[node]]), LEAF_INFO!B:I, 7, 0)</f>
        <v/>
      </c>
    </row>
    <row r="64">
      <c r="A64">
        <f>_xlfn.CONCAT(B64,C64)</f>
        <v/>
      </c>
      <c r="B64">
        <f>_xlfn.TEXTBEFORE(_xlfn.TEXTAFTER(I64, "node-"), "/")</f>
        <v/>
      </c>
      <c r="C64">
        <f>_xlfn.TEXTBEFORE(_xlfn.TEXTAFTER(I64, "phys-["), "]")</f>
        <v/>
      </c>
      <c r="D64" t="inlineStr">
        <is>
          <t>Unknown</t>
        </is>
      </c>
      <c r="E64" t="inlineStr">
        <is>
          <t>Unknown</t>
        </is>
      </c>
      <c r="F64" t="inlineStr">
        <is>
          <t>up</t>
        </is>
      </c>
      <c r="G64" t="inlineStr">
        <is>
          <t>none</t>
        </is>
      </c>
      <c r="H64">
        <f>_xlfn.TEXTBEFORE(_xlfn.TEXTAFTER(I64, "pod-"), "/")</f>
        <v/>
      </c>
      <c r="I64" t="inlineStr">
        <is>
          <t>topology/pod-1/node-102/sys/phys-[eth1/41]/phys</t>
        </is>
      </c>
      <c r="J64">
        <f>VLOOKUP(VALUE(Table6[[#This Row],[node]]), LEAF_INFO!B:I, 7, 0)</f>
        <v/>
      </c>
    </row>
    <row r="65">
      <c r="A65">
        <f>_xlfn.CONCAT(B65,C65)</f>
        <v/>
      </c>
      <c r="B65">
        <f>_xlfn.TEXTBEFORE(_xlfn.TEXTAFTER(I65, "node-"), "/")</f>
        <v/>
      </c>
      <c r="C65">
        <f>_xlfn.TEXTBEFORE(_xlfn.TEXTAFTER(I65, "phys-["), "]")</f>
        <v/>
      </c>
      <c r="D65" t="inlineStr">
        <is>
          <t>Unknown</t>
        </is>
      </c>
      <c r="E65" t="inlineStr">
        <is>
          <t>Unknown</t>
        </is>
      </c>
      <c r="F65" t="inlineStr">
        <is>
          <t>down</t>
        </is>
      </c>
      <c r="G65" t="inlineStr">
        <is>
          <t>admin-down</t>
        </is>
      </c>
      <c r="H65">
        <f>_xlfn.TEXTBEFORE(_xlfn.TEXTAFTER(I65, "pod-"), "/")</f>
        <v/>
      </c>
      <c r="I65" t="inlineStr">
        <is>
          <t>topology/pod-1/node-102/sys/phys-[eth1/42]/phys</t>
        </is>
      </c>
      <c r="J65">
        <f>VLOOKUP(VALUE(Table6[[#This Row],[node]]), LEAF_INFO!B:I, 7, 0)</f>
        <v/>
      </c>
    </row>
    <row r="66">
      <c r="A66">
        <f>_xlfn.CONCAT(B66,C66)</f>
        <v/>
      </c>
      <c r="B66">
        <f>_xlfn.TEXTBEFORE(_xlfn.TEXTAFTER(I66, "node-"), "/")</f>
        <v/>
      </c>
      <c r="C66">
        <f>_xlfn.TEXTBEFORE(_xlfn.TEXTAFTER(I66, "phys-["), "]")</f>
        <v/>
      </c>
      <c r="D66" t="inlineStr">
        <is>
          <t>Unknown</t>
        </is>
      </c>
      <c r="E66" t="inlineStr">
        <is>
          <t>Unknown</t>
        </is>
      </c>
      <c r="F66" t="inlineStr">
        <is>
          <t>down</t>
        </is>
      </c>
      <c r="G66" t="inlineStr">
        <is>
          <t>admin-down</t>
        </is>
      </c>
      <c r="H66">
        <f>_xlfn.TEXTBEFORE(_xlfn.TEXTAFTER(I66, "pod-"), "/")</f>
        <v/>
      </c>
      <c r="I66" t="inlineStr">
        <is>
          <t>topology/pod-1/node-102/sys/phys-[eth1/43]/phys</t>
        </is>
      </c>
      <c r="J66">
        <f>VLOOKUP(VALUE(Table6[[#This Row],[node]]), LEAF_INFO!B:I, 7, 0)</f>
        <v/>
      </c>
    </row>
    <row r="67">
      <c r="A67">
        <f>_xlfn.CONCAT(B67,C67)</f>
        <v/>
      </c>
      <c r="B67">
        <f>_xlfn.TEXTBEFORE(_xlfn.TEXTAFTER(I67, "node-"), "/")</f>
        <v/>
      </c>
      <c r="C67">
        <f>_xlfn.TEXTBEFORE(_xlfn.TEXTAFTER(I67, "phys-["), "]")</f>
        <v/>
      </c>
      <c r="D67" t="inlineStr">
        <is>
          <t>Unknown</t>
        </is>
      </c>
      <c r="E67" t="inlineStr">
        <is>
          <t>Unknown</t>
        </is>
      </c>
      <c r="F67" t="inlineStr">
        <is>
          <t>down</t>
        </is>
      </c>
      <c r="G67" t="inlineStr">
        <is>
          <t>sfp-missing</t>
        </is>
      </c>
      <c r="H67">
        <f>_xlfn.TEXTBEFORE(_xlfn.TEXTAFTER(I67, "pod-"), "/")</f>
        <v/>
      </c>
      <c r="I67" t="inlineStr">
        <is>
          <t>topology/pod-1/node-102/sys/phys-[eth1/44]/phys</t>
        </is>
      </c>
      <c r="J67">
        <f>VLOOKUP(VALUE(Table6[[#This Row],[node]]), LEAF_INFO!B:I, 7, 0)</f>
        <v/>
      </c>
    </row>
    <row r="68">
      <c r="A68">
        <f>_xlfn.CONCAT(B68,C68)</f>
        <v/>
      </c>
      <c r="B68">
        <f>_xlfn.TEXTBEFORE(_xlfn.TEXTAFTER(I68, "node-"), "/")</f>
        <v/>
      </c>
      <c r="C68">
        <f>_xlfn.TEXTBEFORE(_xlfn.TEXTAFTER(I68, "phys-["), "]")</f>
        <v/>
      </c>
      <c r="D68" t="inlineStr">
        <is>
          <t>Unknown</t>
        </is>
      </c>
      <c r="E68" t="inlineStr">
        <is>
          <t>Unknown</t>
        </is>
      </c>
      <c r="F68" t="inlineStr">
        <is>
          <t>up</t>
        </is>
      </c>
      <c r="G68" t="inlineStr">
        <is>
          <t>none</t>
        </is>
      </c>
      <c r="H68">
        <f>_xlfn.TEXTBEFORE(_xlfn.TEXTAFTER(I68, "pod-"), "/")</f>
        <v/>
      </c>
      <c r="I68" t="inlineStr">
        <is>
          <t>topology/pod-1/node-102/sys/phys-[eth1/45]/phys</t>
        </is>
      </c>
      <c r="J68">
        <f>VLOOKUP(VALUE(Table6[[#This Row],[node]]), LEAF_INFO!B:I, 7, 0)</f>
        <v/>
      </c>
    </row>
    <row r="69">
      <c r="A69">
        <f>_xlfn.CONCAT(B69,C69)</f>
        <v/>
      </c>
      <c r="B69">
        <f>_xlfn.TEXTBEFORE(_xlfn.TEXTAFTER(I69, "node-"), "/")</f>
        <v/>
      </c>
      <c r="C69">
        <f>_xlfn.TEXTBEFORE(_xlfn.TEXTAFTER(I69, "phys-["), "]")</f>
        <v/>
      </c>
      <c r="D69" t="inlineStr">
        <is>
          <t>Unknown</t>
        </is>
      </c>
      <c r="E69" t="inlineStr">
        <is>
          <t>Unknown</t>
        </is>
      </c>
      <c r="F69" t="inlineStr">
        <is>
          <t>up</t>
        </is>
      </c>
      <c r="G69" t="inlineStr">
        <is>
          <t>none</t>
        </is>
      </c>
      <c r="H69">
        <f>_xlfn.TEXTBEFORE(_xlfn.TEXTAFTER(I69, "pod-"), "/")</f>
        <v/>
      </c>
      <c r="I69" t="inlineStr">
        <is>
          <t>topology/pod-1/node-102/sys/phys-[eth1/46]/phys</t>
        </is>
      </c>
      <c r="J69">
        <f>VLOOKUP(VALUE(Table6[[#This Row],[node]]), LEAF_INFO!B:I, 7, 0)</f>
        <v/>
      </c>
    </row>
    <row r="70">
      <c r="A70">
        <f>_xlfn.CONCAT(B70,C70)</f>
        <v/>
      </c>
      <c r="B70">
        <f>_xlfn.TEXTBEFORE(_xlfn.TEXTAFTER(I70, "node-"), "/")</f>
        <v/>
      </c>
      <c r="C70">
        <f>_xlfn.TEXTBEFORE(_xlfn.TEXTAFTER(I70, "phys-["), "]")</f>
        <v/>
      </c>
      <c r="D70" t="inlineStr">
        <is>
          <t>Unknown</t>
        </is>
      </c>
      <c r="E70" t="inlineStr">
        <is>
          <t>Unknown</t>
        </is>
      </c>
      <c r="F70" t="inlineStr">
        <is>
          <t>up</t>
        </is>
      </c>
      <c r="G70" t="inlineStr">
        <is>
          <t>none</t>
        </is>
      </c>
      <c r="H70">
        <f>_xlfn.TEXTBEFORE(_xlfn.TEXTAFTER(I70, "pod-"), "/")</f>
        <v/>
      </c>
      <c r="I70" t="inlineStr">
        <is>
          <t>topology/pod-1/node-102/sys/phys-[eth1/47]/phys</t>
        </is>
      </c>
      <c r="J70">
        <f>VLOOKUP(VALUE(Table6[[#This Row],[node]]), LEAF_INFO!B:I, 7, 0)</f>
        <v/>
      </c>
    </row>
    <row r="71">
      <c r="A71">
        <f>_xlfn.CONCAT(B71,C71)</f>
        <v/>
      </c>
      <c r="B71">
        <f>_xlfn.TEXTBEFORE(_xlfn.TEXTAFTER(I71, "node-"), "/")</f>
        <v/>
      </c>
      <c r="C71">
        <f>_xlfn.TEXTBEFORE(_xlfn.TEXTAFTER(I71, "phys-["), "]")</f>
        <v/>
      </c>
      <c r="D71" t="inlineStr">
        <is>
          <t>Unknown</t>
        </is>
      </c>
      <c r="E71" t="inlineStr">
        <is>
          <t>Unknown</t>
        </is>
      </c>
      <c r="F71" t="inlineStr">
        <is>
          <t>up</t>
        </is>
      </c>
      <c r="G71" t="inlineStr">
        <is>
          <t>none</t>
        </is>
      </c>
      <c r="H71">
        <f>_xlfn.TEXTBEFORE(_xlfn.TEXTAFTER(I71, "pod-"), "/")</f>
        <v/>
      </c>
      <c r="I71" t="inlineStr">
        <is>
          <t>topology/pod-1/node-102/sys/phys-[eth1/48]/phys</t>
        </is>
      </c>
      <c r="J71">
        <f>VLOOKUP(VALUE(Table6[[#This Row],[node]]), LEAF_INFO!B:I, 7, 0)</f>
        <v/>
      </c>
    </row>
    <row r="72">
      <c r="A72">
        <f>_xlfn.CONCAT(B72,C72)</f>
        <v/>
      </c>
      <c r="B72">
        <f>_xlfn.TEXTBEFORE(_xlfn.TEXTAFTER(I72, "node-"), "/")</f>
        <v/>
      </c>
      <c r="C72">
        <f>_xlfn.TEXTBEFORE(_xlfn.TEXTAFTER(I72, "phys-["), "]")</f>
        <v/>
      </c>
      <c r="D72" t="inlineStr">
        <is>
          <t>Unknown</t>
        </is>
      </c>
      <c r="E72" t="inlineStr">
        <is>
          <t>Unknown</t>
        </is>
      </c>
      <c r="F72" t="inlineStr">
        <is>
          <t>down</t>
        </is>
      </c>
      <c r="G72" t="inlineStr">
        <is>
          <t>sfp-missing</t>
        </is>
      </c>
      <c r="H72">
        <f>_xlfn.TEXTBEFORE(_xlfn.TEXTAFTER(I72, "pod-"), "/")</f>
        <v/>
      </c>
      <c r="I72" t="inlineStr">
        <is>
          <t>topology/pod-1/node-102/sys/phys-[eth1/49]/phys</t>
        </is>
      </c>
      <c r="J72">
        <f>VLOOKUP(VALUE(Table6[[#This Row],[node]]), LEAF_INFO!B:I, 7, 0)</f>
        <v/>
      </c>
    </row>
    <row r="73">
      <c r="A73">
        <f>_xlfn.CONCAT(B73,C73)</f>
        <v/>
      </c>
      <c r="B73">
        <f>_xlfn.TEXTBEFORE(_xlfn.TEXTAFTER(I73, "node-"), "/")</f>
        <v/>
      </c>
      <c r="C73">
        <f>_xlfn.TEXTBEFORE(_xlfn.TEXTAFTER(I73, "phys-["), "]")</f>
        <v/>
      </c>
      <c r="D73" t="inlineStr">
        <is>
          <t>Unknown</t>
        </is>
      </c>
      <c r="E73" t="inlineStr">
        <is>
          <t>Unknown</t>
        </is>
      </c>
      <c r="F73" t="inlineStr">
        <is>
          <t>down</t>
        </is>
      </c>
      <c r="G73" t="inlineStr">
        <is>
          <t>sfp-missing</t>
        </is>
      </c>
      <c r="H73">
        <f>_xlfn.TEXTBEFORE(_xlfn.TEXTAFTER(I73, "pod-"), "/")</f>
        <v/>
      </c>
      <c r="I73" t="inlineStr">
        <is>
          <t>topology/pod-1/node-102/sys/phys-[eth1/50]/phys</t>
        </is>
      </c>
      <c r="J73">
        <f>VLOOKUP(VALUE(Table6[[#This Row],[node]]), LEAF_INFO!B:I, 7, 0)</f>
        <v/>
      </c>
    </row>
    <row r="74">
      <c r="A74">
        <f>_xlfn.CONCAT(B74,C74)</f>
        <v/>
      </c>
      <c r="B74">
        <f>_xlfn.TEXTBEFORE(_xlfn.TEXTAFTER(I74, "node-"), "/")</f>
        <v/>
      </c>
      <c r="C74">
        <f>_xlfn.TEXTBEFORE(_xlfn.TEXTAFTER(I74, "phys-["), "]")</f>
        <v/>
      </c>
      <c r="D74" t="inlineStr">
        <is>
          <t>Unknown</t>
        </is>
      </c>
      <c r="E74" t="inlineStr">
        <is>
          <t>Unknown</t>
        </is>
      </c>
      <c r="F74" t="inlineStr">
        <is>
          <t>down</t>
        </is>
      </c>
      <c r="G74" t="inlineStr">
        <is>
          <t>sfp-missing</t>
        </is>
      </c>
      <c r="H74">
        <f>_xlfn.TEXTBEFORE(_xlfn.TEXTAFTER(I74, "pod-"), "/")</f>
        <v/>
      </c>
      <c r="I74" t="inlineStr">
        <is>
          <t>topology/pod-1/node-102/sys/phys-[eth1/51]/phys</t>
        </is>
      </c>
      <c r="J74">
        <f>VLOOKUP(VALUE(Table6[[#This Row],[node]]), LEAF_INFO!B:I, 7, 0)</f>
        <v/>
      </c>
    </row>
    <row r="75">
      <c r="A75">
        <f>_xlfn.CONCAT(B75,C75)</f>
        <v/>
      </c>
      <c r="B75">
        <f>_xlfn.TEXTBEFORE(_xlfn.TEXTAFTER(I75, "node-"), "/")</f>
        <v/>
      </c>
      <c r="C75">
        <f>_xlfn.TEXTBEFORE(_xlfn.TEXTAFTER(I75, "phys-["), "]")</f>
        <v/>
      </c>
      <c r="D75" t="inlineStr">
        <is>
          <t>Unknown</t>
        </is>
      </c>
      <c r="E75" t="inlineStr">
        <is>
          <t>Unknown</t>
        </is>
      </c>
      <c r="F75" t="inlineStr">
        <is>
          <t>down</t>
        </is>
      </c>
      <c r="G75" t="inlineStr">
        <is>
          <t>sfp-missing</t>
        </is>
      </c>
      <c r="H75">
        <f>_xlfn.TEXTBEFORE(_xlfn.TEXTAFTER(I75, "pod-"), "/")</f>
        <v/>
      </c>
      <c r="I75" t="inlineStr">
        <is>
          <t>topology/pod-1/node-102/sys/phys-[eth1/52]/phys</t>
        </is>
      </c>
      <c r="J75">
        <f>VLOOKUP(VALUE(Table6[[#This Row],[node]]), LEAF_INFO!B:I, 7, 0)</f>
        <v/>
      </c>
    </row>
    <row r="76">
      <c r="A76">
        <f>_xlfn.CONCAT(B76,C76)</f>
        <v/>
      </c>
      <c r="B76">
        <f>_xlfn.TEXTBEFORE(_xlfn.TEXTAFTER(I76, "node-"), "/")</f>
        <v/>
      </c>
      <c r="C76">
        <f>_xlfn.TEXTBEFORE(_xlfn.TEXTAFTER(I76, "phys-["), "]")</f>
        <v/>
      </c>
      <c r="D76" t="inlineStr">
        <is>
          <t>Unknown</t>
        </is>
      </c>
      <c r="E76" t="inlineStr">
        <is>
          <t>Unknown</t>
        </is>
      </c>
      <c r="F76" t="inlineStr">
        <is>
          <t>up</t>
        </is>
      </c>
      <c r="G76" t="inlineStr">
        <is>
          <t>none</t>
        </is>
      </c>
      <c r="H76">
        <f>_xlfn.TEXTBEFORE(_xlfn.TEXTAFTER(I76, "pod-"), "/")</f>
        <v/>
      </c>
      <c r="I76" t="inlineStr">
        <is>
          <t>topology/pod-1/node-102/sys/phys-[eth1/53]/phys</t>
        </is>
      </c>
      <c r="J76">
        <f>VLOOKUP(VALUE(Table6[[#This Row],[node]]), LEAF_INFO!B:I, 7, 0)</f>
        <v/>
      </c>
    </row>
    <row r="77">
      <c r="A77">
        <f>_xlfn.CONCAT(B77,C77)</f>
        <v/>
      </c>
      <c r="B77">
        <f>_xlfn.TEXTBEFORE(_xlfn.TEXTAFTER(I77, "node-"), "/")</f>
        <v/>
      </c>
      <c r="C77">
        <f>_xlfn.TEXTBEFORE(_xlfn.TEXTAFTER(I77, "phys-["), "]")</f>
        <v/>
      </c>
      <c r="D77" t="inlineStr">
        <is>
          <t>Unknown</t>
        </is>
      </c>
      <c r="E77" t="inlineStr">
        <is>
          <t>Unknown</t>
        </is>
      </c>
      <c r="F77" t="inlineStr">
        <is>
          <t>up</t>
        </is>
      </c>
      <c r="G77" t="inlineStr">
        <is>
          <t>none</t>
        </is>
      </c>
      <c r="H77">
        <f>_xlfn.TEXTBEFORE(_xlfn.TEXTAFTER(I77, "pod-"), "/")</f>
        <v/>
      </c>
      <c r="I77" t="inlineStr">
        <is>
          <t>topology/pod-1/node-102/sys/phys-[eth1/54]/phys</t>
        </is>
      </c>
      <c r="J77">
        <f>VLOOKUP(VALUE(Table6[[#This Row],[node]]), LEAF_INFO!B:I, 7, 0)</f>
        <v/>
      </c>
    </row>
    <row r="78">
      <c r="A78">
        <f>_xlfn.CONCAT(B78,C78)</f>
        <v/>
      </c>
      <c r="B78">
        <f>_xlfn.TEXTBEFORE(_xlfn.TEXTAFTER(I78, "node-"), "/")</f>
        <v/>
      </c>
      <c r="C78">
        <f>_xlfn.TEXTBEFORE(_xlfn.TEXTAFTER(I78, "phys-["), "]")</f>
        <v/>
      </c>
      <c r="D78" t="inlineStr">
        <is>
          <t>Unknown</t>
        </is>
      </c>
      <c r="E78" t="inlineStr">
        <is>
          <t>Unknown</t>
        </is>
      </c>
      <c r="F78" t="inlineStr">
        <is>
          <t>down</t>
        </is>
      </c>
      <c r="G78" t="inlineStr">
        <is>
          <t>admin-down</t>
        </is>
      </c>
      <c r="H78">
        <f>_xlfn.TEXTBEFORE(_xlfn.TEXTAFTER(I78, "pod-"), "/")</f>
        <v/>
      </c>
      <c r="I78" t="inlineStr">
        <is>
          <t>topology/pod-1/node-102/sys/phys-[eth1/1]/phys</t>
        </is>
      </c>
      <c r="J78">
        <f>VLOOKUP(VALUE(Table6[[#This Row],[node]]), LEAF_INFO!B:I, 7, 0)</f>
        <v/>
      </c>
    </row>
    <row r="79">
      <c r="A79">
        <f>_xlfn.CONCAT(B79,C79)</f>
        <v/>
      </c>
      <c r="B79">
        <f>_xlfn.TEXTBEFORE(_xlfn.TEXTAFTER(I79, "node-"), "/")</f>
        <v/>
      </c>
      <c r="C79">
        <f>_xlfn.TEXTBEFORE(_xlfn.TEXTAFTER(I79, "phys-["), "]")</f>
        <v/>
      </c>
      <c r="D79" t="inlineStr">
        <is>
          <t>Unknown</t>
        </is>
      </c>
      <c r="E79" t="inlineStr">
        <is>
          <t>Unknown</t>
        </is>
      </c>
      <c r="F79" t="inlineStr">
        <is>
          <t>down</t>
        </is>
      </c>
      <c r="G79" t="inlineStr">
        <is>
          <t>sfp-missing</t>
        </is>
      </c>
      <c r="H79">
        <f>_xlfn.TEXTBEFORE(_xlfn.TEXTAFTER(I79, "pod-"), "/")</f>
        <v/>
      </c>
      <c r="I79" t="inlineStr">
        <is>
          <t>topology/pod-1/node-102/sys/phys-[eth1/2]/phys</t>
        </is>
      </c>
      <c r="J79">
        <f>VLOOKUP(VALUE(Table6[[#This Row],[node]]), LEAF_INFO!B:I, 7, 0)</f>
        <v/>
      </c>
    </row>
    <row r="80">
      <c r="A80">
        <f>_xlfn.CONCAT(B80,C80)</f>
        <v/>
      </c>
      <c r="B80">
        <f>_xlfn.TEXTBEFORE(_xlfn.TEXTAFTER(I80, "node-"), "/")</f>
        <v/>
      </c>
      <c r="C80">
        <f>_xlfn.TEXTBEFORE(_xlfn.TEXTAFTER(I80, "phys-["), "]")</f>
        <v/>
      </c>
      <c r="D80" t="inlineStr">
        <is>
          <t>Unknown</t>
        </is>
      </c>
      <c r="E80" t="inlineStr">
        <is>
          <t>Unknown</t>
        </is>
      </c>
      <c r="F80" t="inlineStr">
        <is>
          <t>down</t>
        </is>
      </c>
      <c r="G80" t="inlineStr">
        <is>
          <t>sfp-missing</t>
        </is>
      </c>
      <c r="H80">
        <f>_xlfn.TEXTBEFORE(_xlfn.TEXTAFTER(I80, "pod-"), "/")</f>
        <v/>
      </c>
      <c r="I80" t="inlineStr">
        <is>
          <t>topology/pod-1/node-102/sys/phys-[eth1/3]/phys</t>
        </is>
      </c>
      <c r="J80">
        <f>VLOOKUP(VALUE(Table6[[#This Row],[node]]), LEAF_INFO!B:I, 7, 0)</f>
        <v/>
      </c>
    </row>
    <row r="81">
      <c r="A81">
        <f>_xlfn.CONCAT(B81,C81)</f>
        <v/>
      </c>
      <c r="B81">
        <f>_xlfn.TEXTBEFORE(_xlfn.TEXTAFTER(I81, "node-"), "/")</f>
        <v/>
      </c>
      <c r="C81">
        <f>_xlfn.TEXTBEFORE(_xlfn.TEXTAFTER(I81, "phys-["), "]")</f>
        <v/>
      </c>
      <c r="D81" t="inlineStr">
        <is>
          <t>Unknown</t>
        </is>
      </c>
      <c r="E81" t="inlineStr">
        <is>
          <t>Unknown</t>
        </is>
      </c>
      <c r="F81" t="inlineStr">
        <is>
          <t>down</t>
        </is>
      </c>
      <c r="G81" t="inlineStr">
        <is>
          <t>sfp-missing</t>
        </is>
      </c>
      <c r="H81">
        <f>_xlfn.TEXTBEFORE(_xlfn.TEXTAFTER(I81, "pod-"), "/")</f>
        <v/>
      </c>
      <c r="I81" t="inlineStr">
        <is>
          <t>topology/pod-1/node-102/sys/phys-[eth1/4]/phys</t>
        </is>
      </c>
      <c r="J81">
        <f>VLOOKUP(VALUE(Table6[[#This Row],[node]]), LEAF_INFO!B:I, 7, 0)</f>
        <v/>
      </c>
    </row>
    <row r="82">
      <c r="A82">
        <f>_xlfn.CONCAT(B82,C82)</f>
        <v/>
      </c>
      <c r="B82">
        <f>_xlfn.TEXTBEFORE(_xlfn.TEXTAFTER(I82, "node-"), "/")</f>
        <v/>
      </c>
      <c r="C82">
        <f>_xlfn.TEXTBEFORE(_xlfn.TEXTAFTER(I82, "phys-["), "]")</f>
        <v/>
      </c>
      <c r="D82" t="inlineStr">
        <is>
          <t>Unknown</t>
        </is>
      </c>
      <c r="E82" t="inlineStr">
        <is>
          <t>Unknown</t>
        </is>
      </c>
      <c r="F82" t="inlineStr">
        <is>
          <t>down</t>
        </is>
      </c>
      <c r="G82" t="inlineStr">
        <is>
          <t>sfp-missing</t>
        </is>
      </c>
      <c r="H82">
        <f>_xlfn.TEXTBEFORE(_xlfn.TEXTAFTER(I82, "pod-"), "/")</f>
        <v/>
      </c>
      <c r="I82" t="inlineStr">
        <is>
          <t>topology/pod-1/node-102/sys/phys-[eth1/5]/phys</t>
        </is>
      </c>
      <c r="J82">
        <f>VLOOKUP(VALUE(Table6[[#This Row],[node]]), LEAF_INFO!B:I, 7, 0)</f>
        <v/>
      </c>
    </row>
    <row r="83">
      <c r="A83">
        <f>_xlfn.CONCAT(B83,C83)</f>
        <v/>
      </c>
      <c r="B83">
        <f>_xlfn.TEXTBEFORE(_xlfn.TEXTAFTER(I83, "node-"), "/")</f>
        <v/>
      </c>
      <c r="C83">
        <f>_xlfn.TEXTBEFORE(_xlfn.TEXTAFTER(I83, "phys-["), "]")</f>
        <v/>
      </c>
      <c r="D83" t="inlineStr">
        <is>
          <t>Unknown</t>
        </is>
      </c>
      <c r="E83" t="inlineStr">
        <is>
          <t>Unknown</t>
        </is>
      </c>
      <c r="F83" t="inlineStr">
        <is>
          <t>up</t>
        </is>
      </c>
      <c r="G83" t="inlineStr">
        <is>
          <t>none</t>
        </is>
      </c>
      <c r="H83">
        <f>_xlfn.TEXTBEFORE(_xlfn.TEXTAFTER(I83, "pod-"), "/")</f>
        <v/>
      </c>
      <c r="I83" t="inlineStr">
        <is>
          <t>topology/pod-1/node-102/sys/phys-[eth1/6]/phys</t>
        </is>
      </c>
      <c r="J83">
        <f>VLOOKUP(VALUE(Table6[[#This Row],[node]]), LEAF_INFO!B:I, 7, 0)</f>
        <v/>
      </c>
    </row>
    <row r="84">
      <c r="A84">
        <f>_xlfn.CONCAT(B84,C84)</f>
        <v/>
      </c>
      <c r="B84">
        <f>_xlfn.TEXTBEFORE(_xlfn.TEXTAFTER(I84, "node-"), "/")</f>
        <v/>
      </c>
      <c r="C84">
        <f>_xlfn.TEXTBEFORE(_xlfn.TEXTAFTER(I84, "phys-["), "]")</f>
        <v/>
      </c>
      <c r="D84" t="inlineStr">
        <is>
          <t>Unknown</t>
        </is>
      </c>
      <c r="E84" t="inlineStr">
        <is>
          <t>Unknown</t>
        </is>
      </c>
      <c r="F84" t="inlineStr">
        <is>
          <t>up</t>
        </is>
      </c>
      <c r="G84" t="inlineStr">
        <is>
          <t>none</t>
        </is>
      </c>
      <c r="H84">
        <f>_xlfn.TEXTBEFORE(_xlfn.TEXTAFTER(I84, "pod-"), "/")</f>
        <v/>
      </c>
      <c r="I84" t="inlineStr">
        <is>
          <t>topology/pod-1/node-102/sys/phys-[eth1/7]/phys</t>
        </is>
      </c>
      <c r="J84">
        <f>VLOOKUP(VALUE(Table6[[#This Row],[node]]), LEAF_INFO!B:I, 7, 0)</f>
        <v/>
      </c>
    </row>
    <row r="85">
      <c r="A85">
        <f>_xlfn.CONCAT(B85,C85)</f>
        <v/>
      </c>
      <c r="B85">
        <f>_xlfn.TEXTBEFORE(_xlfn.TEXTAFTER(I85, "node-"), "/")</f>
        <v/>
      </c>
      <c r="C85">
        <f>_xlfn.TEXTBEFORE(_xlfn.TEXTAFTER(I85, "phys-["), "]")</f>
        <v/>
      </c>
      <c r="D85" t="inlineStr">
        <is>
          <t>Unknown</t>
        </is>
      </c>
      <c r="E85" t="inlineStr">
        <is>
          <t>Unknown</t>
        </is>
      </c>
      <c r="F85" t="inlineStr">
        <is>
          <t>up</t>
        </is>
      </c>
      <c r="G85" t="inlineStr">
        <is>
          <t>none</t>
        </is>
      </c>
      <c r="H85">
        <f>_xlfn.TEXTBEFORE(_xlfn.TEXTAFTER(I85, "pod-"), "/")</f>
        <v/>
      </c>
      <c r="I85" t="inlineStr">
        <is>
          <t>topology/pod-1/node-102/sys/phys-[eth1/8]/phys</t>
        </is>
      </c>
      <c r="J85">
        <f>VLOOKUP(VALUE(Table6[[#This Row],[node]]), LEAF_INFO!B:I, 7, 0)</f>
        <v/>
      </c>
    </row>
    <row r="86">
      <c r="A86">
        <f>_xlfn.CONCAT(B86,C86)</f>
        <v/>
      </c>
      <c r="B86">
        <f>_xlfn.TEXTBEFORE(_xlfn.TEXTAFTER(I86, "node-"), "/")</f>
        <v/>
      </c>
      <c r="C86">
        <f>_xlfn.TEXTBEFORE(_xlfn.TEXTAFTER(I86, "phys-["), "]")</f>
        <v/>
      </c>
      <c r="D86" t="inlineStr">
        <is>
          <t>Unknown</t>
        </is>
      </c>
      <c r="E86" t="inlineStr">
        <is>
          <t>Unknown</t>
        </is>
      </c>
      <c r="F86" t="inlineStr">
        <is>
          <t>up</t>
        </is>
      </c>
      <c r="G86" t="inlineStr">
        <is>
          <t>none</t>
        </is>
      </c>
      <c r="H86">
        <f>_xlfn.TEXTBEFORE(_xlfn.TEXTAFTER(I86, "pod-"), "/")</f>
        <v/>
      </c>
      <c r="I86" t="inlineStr">
        <is>
          <t>topology/pod-1/node-102/sys/phys-[eth1/9]/phys</t>
        </is>
      </c>
      <c r="J86">
        <f>VLOOKUP(VALUE(Table6[[#This Row],[node]]), LEAF_INFO!B:I, 7, 0)</f>
        <v/>
      </c>
    </row>
    <row r="87">
      <c r="A87">
        <f>_xlfn.CONCAT(B87,C87)</f>
        <v/>
      </c>
      <c r="B87">
        <f>_xlfn.TEXTBEFORE(_xlfn.TEXTAFTER(I87, "node-"), "/")</f>
        <v/>
      </c>
      <c r="C87">
        <f>_xlfn.TEXTBEFORE(_xlfn.TEXTAFTER(I87, "phys-["), "]")</f>
        <v/>
      </c>
      <c r="D87" t="inlineStr">
        <is>
          <t>Unknown</t>
        </is>
      </c>
      <c r="E87" t="inlineStr">
        <is>
          <t>Unknown</t>
        </is>
      </c>
      <c r="F87" t="inlineStr">
        <is>
          <t>up</t>
        </is>
      </c>
      <c r="G87" t="inlineStr">
        <is>
          <t>none</t>
        </is>
      </c>
      <c r="H87">
        <f>_xlfn.TEXTBEFORE(_xlfn.TEXTAFTER(I87, "pod-"), "/")</f>
        <v/>
      </c>
      <c r="I87" t="inlineStr">
        <is>
          <t>topology/pod-1/node-102/sys/phys-[eth1/10]/phys</t>
        </is>
      </c>
      <c r="J87">
        <f>VLOOKUP(VALUE(Table6[[#This Row],[node]]), LEAF_INFO!B:I, 7, 0)</f>
        <v/>
      </c>
    </row>
    <row r="88">
      <c r="A88">
        <f>_xlfn.CONCAT(B88,C88)</f>
        <v/>
      </c>
      <c r="B88">
        <f>_xlfn.TEXTBEFORE(_xlfn.TEXTAFTER(I88, "node-"), "/")</f>
        <v/>
      </c>
      <c r="C88">
        <f>_xlfn.TEXTBEFORE(_xlfn.TEXTAFTER(I88, "phys-["), "]")</f>
        <v/>
      </c>
      <c r="D88" t="inlineStr">
        <is>
          <t>Unknown</t>
        </is>
      </c>
      <c r="E88" t="inlineStr">
        <is>
          <t>Unknown</t>
        </is>
      </c>
      <c r="F88" t="inlineStr">
        <is>
          <t>down</t>
        </is>
      </c>
      <c r="G88" t="inlineStr">
        <is>
          <t>sfp-missing</t>
        </is>
      </c>
      <c r="H88">
        <f>_xlfn.TEXTBEFORE(_xlfn.TEXTAFTER(I88, "pod-"), "/")</f>
        <v/>
      </c>
      <c r="I88" t="inlineStr">
        <is>
          <t>topology/pod-1/node-102/sys/phys-[eth1/11]/phys</t>
        </is>
      </c>
      <c r="J88">
        <f>VLOOKUP(VALUE(Table6[[#This Row],[node]]), LEAF_INFO!B:I, 7, 0)</f>
        <v/>
      </c>
    </row>
    <row r="89">
      <c r="A89">
        <f>_xlfn.CONCAT(B89,C89)</f>
        <v/>
      </c>
      <c r="B89">
        <f>_xlfn.TEXTBEFORE(_xlfn.TEXTAFTER(I89, "node-"), "/")</f>
        <v/>
      </c>
      <c r="C89">
        <f>_xlfn.TEXTBEFORE(_xlfn.TEXTAFTER(I89, "phys-["), "]")</f>
        <v/>
      </c>
      <c r="D89" t="inlineStr">
        <is>
          <t>Unknown</t>
        </is>
      </c>
      <c r="E89" t="inlineStr">
        <is>
          <t>Unknown</t>
        </is>
      </c>
      <c r="F89" t="inlineStr">
        <is>
          <t>down</t>
        </is>
      </c>
      <c r="G89" t="inlineStr">
        <is>
          <t>sfp-missing</t>
        </is>
      </c>
      <c r="H89">
        <f>_xlfn.TEXTBEFORE(_xlfn.TEXTAFTER(I89, "pod-"), "/")</f>
        <v/>
      </c>
      <c r="I89" t="inlineStr">
        <is>
          <t>topology/pod-1/node-102/sys/phys-[eth1/12]/phys</t>
        </is>
      </c>
      <c r="J89">
        <f>VLOOKUP(VALUE(Table6[[#This Row],[node]]), LEAF_INFO!B:I, 7, 0)</f>
        <v/>
      </c>
    </row>
    <row r="90">
      <c r="A90">
        <f>_xlfn.CONCAT(B90,C90)</f>
        <v/>
      </c>
      <c r="B90">
        <f>_xlfn.TEXTBEFORE(_xlfn.TEXTAFTER(I90, "node-"), "/")</f>
        <v/>
      </c>
      <c r="C90">
        <f>_xlfn.TEXTBEFORE(_xlfn.TEXTAFTER(I90, "phys-["), "]")</f>
        <v/>
      </c>
      <c r="D90" t="inlineStr">
        <is>
          <t>Unknown</t>
        </is>
      </c>
      <c r="E90" t="inlineStr">
        <is>
          <t>Unknown</t>
        </is>
      </c>
      <c r="F90" t="inlineStr">
        <is>
          <t>down</t>
        </is>
      </c>
      <c r="G90" t="inlineStr">
        <is>
          <t>sfp-missing</t>
        </is>
      </c>
      <c r="H90">
        <f>_xlfn.TEXTBEFORE(_xlfn.TEXTAFTER(I90, "pod-"), "/")</f>
        <v/>
      </c>
      <c r="I90" t="inlineStr">
        <is>
          <t>topology/pod-1/node-102/sys/phys-[eth1/13]/phys</t>
        </is>
      </c>
      <c r="J90">
        <f>VLOOKUP(VALUE(Table6[[#This Row],[node]]), LEAF_INFO!B:I, 7, 0)</f>
        <v/>
      </c>
    </row>
    <row r="91">
      <c r="A91">
        <f>_xlfn.CONCAT(B91,C91)</f>
        <v/>
      </c>
      <c r="B91">
        <f>_xlfn.TEXTBEFORE(_xlfn.TEXTAFTER(I91, "node-"), "/")</f>
        <v/>
      </c>
      <c r="C91">
        <f>_xlfn.TEXTBEFORE(_xlfn.TEXTAFTER(I91, "phys-["), "]")</f>
        <v/>
      </c>
      <c r="D91" t="inlineStr">
        <is>
          <t>Unknown</t>
        </is>
      </c>
      <c r="E91" t="inlineStr">
        <is>
          <t>Unknown</t>
        </is>
      </c>
      <c r="F91" t="inlineStr">
        <is>
          <t>down</t>
        </is>
      </c>
      <c r="G91" t="inlineStr">
        <is>
          <t>sfp-missing</t>
        </is>
      </c>
      <c r="H91">
        <f>_xlfn.TEXTBEFORE(_xlfn.TEXTAFTER(I91, "pod-"), "/")</f>
        <v/>
      </c>
      <c r="I91" t="inlineStr">
        <is>
          <t>topology/pod-1/node-102/sys/phys-[eth1/14]/phys</t>
        </is>
      </c>
      <c r="J91">
        <f>VLOOKUP(VALUE(Table6[[#This Row],[node]]), LEAF_INFO!B:I, 7, 0)</f>
        <v/>
      </c>
    </row>
    <row r="92">
      <c r="A92">
        <f>_xlfn.CONCAT(B92,C92)</f>
        <v/>
      </c>
      <c r="B92">
        <f>_xlfn.TEXTBEFORE(_xlfn.TEXTAFTER(I92, "node-"), "/")</f>
        <v/>
      </c>
      <c r="C92">
        <f>_xlfn.TEXTBEFORE(_xlfn.TEXTAFTER(I92, "phys-["), "]")</f>
        <v/>
      </c>
      <c r="D92" t="inlineStr">
        <is>
          <t>Unknown</t>
        </is>
      </c>
      <c r="E92" t="inlineStr">
        <is>
          <t>Unknown</t>
        </is>
      </c>
      <c r="F92" t="inlineStr">
        <is>
          <t>down</t>
        </is>
      </c>
      <c r="G92" t="inlineStr">
        <is>
          <t>sfp-missing</t>
        </is>
      </c>
      <c r="H92">
        <f>_xlfn.TEXTBEFORE(_xlfn.TEXTAFTER(I92, "pod-"), "/")</f>
        <v/>
      </c>
      <c r="I92" t="inlineStr">
        <is>
          <t>topology/pod-1/node-102/sys/phys-[eth1/15]/phys</t>
        </is>
      </c>
      <c r="J92">
        <f>VLOOKUP(VALUE(Table6[[#This Row],[node]]), LEAF_INFO!B:I, 7, 0)</f>
        <v/>
      </c>
    </row>
    <row r="93">
      <c r="A93">
        <f>_xlfn.CONCAT(B93,C93)</f>
        <v/>
      </c>
      <c r="B93">
        <f>_xlfn.TEXTBEFORE(_xlfn.TEXTAFTER(I93, "node-"), "/")</f>
        <v/>
      </c>
      <c r="C93">
        <f>_xlfn.TEXTBEFORE(_xlfn.TEXTAFTER(I93, "phys-["), "]")</f>
        <v/>
      </c>
      <c r="D93" t="inlineStr">
        <is>
          <t>Unknown</t>
        </is>
      </c>
      <c r="E93" t="inlineStr">
        <is>
          <t>Unknown</t>
        </is>
      </c>
      <c r="F93" t="inlineStr">
        <is>
          <t>down</t>
        </is>
      </c>
      <c r="G93" t="inlineStr">
        <is>
          <t>sfp-missing</t>
        </is>
      </c>
      <c r="H93">
        <f>_xlfn.TEXTBEFORE(_xlfn.TEXTAFTER(I93, "pod-"), "/")</f>
        <v/>
      </c>
      <c r="I93" t="inlineStr">
        <is>
          <t>topology/pod-1/node-102/sys/phys-[eth1/16]/phys</t>
        </is>
      </c>
      <c r="J93">
        <f>VLOOKUP(VALUE(Table6[[#This Row],[node]]), LEAF_INFO!B:I, 7, 0)</f>
        <v/>
      </c>
    </row>
    <row r="94">
      <c r="A94">
        <f>_xlfn.CONCAT(B94,C94)</f>
        <v/>
      </c>
      <c r="B94">
        <f>_xlfn.TEXTBEFORE(_xlfn.TEXTAFTER(I94, "node-"), "/")</f>
        <v/>
      </c>
      <c r="C94">
        <f>_xlfn.TEXTBEFORE(_xlfn.TEXTAFTER(I94, "phys-["), "]")</f>
        <v/>
      </c>
      <c r="D94" t="inlineStr">
        <is>
          <t>Unknown</t>
        </is>
      </c>
      <c r="E94" t="inlineStr">
        <is>
          <t>Unknown</t>
        </is>
      </c>
      <c r="F94" t="inlineStr">
        <is>
          <t>down</t>
        </is>
      </c>
      <c r="G94" t="inlineStr">
        <is>
          <t>sfp-missing</t>
        </is>
      </c>
      <c r="H94">
        <f>_xlfn.TEXTBEFORE(_xlfn.TEXTAFTER(I94, "pod-"), "/")</f>
        <v/>
      </c>
      <c r="I94" t="inlineStr">
        <is>
          <t>topology/pod-1/node-102/sys/phys-[eth1/17]/phys</t>
        </is>
      </c>
      <c r="J94">
        <f>VLOOKUP(VALUE(Table6[[#This Row],[node]]), LEAF_INFO!B:I, 7, 0)</f>
        <v/>
      </c>
    </row>
    <row r="95">
      <c r="A95">
        <f>_xlfn.CONCAT(B95,C95)</f>
        <v/>
      </c>
      <c r="B95">
        <f>_xlfn.TEXTBEFORE(_xlfn.TEXTAFTER(I95, "node-"), "/")</f>
        <v/>
      </c>
      <c r="C95">
        <f>_xlfn.TEXTBEFORE(_xlfn.TEXTAFTER(I95, "phys-["), "]")</f>
        <v/>
      </c>
      <c r="D95" t="inlineStr">
        <is>
          <t>Unknown</t>
        </is>
      </c>
      <c r="E95" t="inlineStr">
        <is>
          <t>Unknown</t>
        </is>
      </c>
      <c r="F95" t="inlineStr">
        <is>
          <t>down</t>
        </is>
      </c>
      <c r="G95" t="inlineStr">
        <is>
          <t>sfp-missing</t>
        </is>
      </c>
      <c r="H95">
        <f>_xlfn.TEXTBEFORE(_xlfn.TEXTAFTER(I95, "pod-"), "/")</f>
        <v/>
      </c>
      <c r="I95" t="inlineStr">
        <is>
          <t>topology/pod-1/node-102/sys/phys-[eth1/18]/phys</t>
        </is>
      </c>
      <c r="J95">
        <f>VLOOKUP(VALUE(Table6[[#This Row],[node]]), LEAF_INFO!B:I, 7, 0)</f>
        <v/>
      </c>
    </row>
    <row r="96">
      <c r="A96">
        <f>_xlfn.CONCAT(B96,C96)</f>
        <v/>
      </c>
      <c r="B96">
        <f>_xlfn.TEXTBEFORE(_xlfn.TEXTAFTER(I96, "node-"), "/")</f>
        <v/>
      </c>
      <c r="C96">
        <f>_xlfn.TEXTBEFORE(_xlfn.TEXTAFTER(I96, "phys-["), "]")</f>
        <v/>
      </c>
      <c r="D96" t="inlineStr">
        <is>
          <t>Unknown</t>
        </is>
      </c>
      <c r="E96" t="inlineStr">
        <is>
          <t>Unknown</t>
        </is>
      </c>
      <c r="F96" t="inlineStr">
        <is>
          <t>down</t>
        </is>
      </c>
      <c r="G96" t="inlineStr">
        <is>
          <t>sfp-missing</t>
        </is>
      </c>
      <c r="H96">
        <f>_xlfn.TEXTBEFORE(_xlfn.TEXTAFTER(I96, "pod-"), "/")</f>
        <v/>
      </c>
      <c r="I96" t="inlineStr">
        <is>
          <t>topology/pod-1/node-102/sys/phys-[eth1/19]/phys</t>
        </is>
      </c>
      <c r="J96">
        <f>VLOOKUP(VALUE(Table6[[#This Row],[node]]), LEAF_INFO!B:I, 7, 0)</f>
        <v/>
      </c>
    </row>
    <row r="97">
      <c r="A97">
        <f>_xlfn.CONCAT(B97,C97)</f>
        <v/>
      </c>
      <c r="B97">
        <f>_xlfn.TEXTBEFORE(_xlfn.TEXTAFTER(I97, "node-"), "/")</f>
        <v/>
      </c>
      <c r="C97">
        <f>_xlfn.TEXTBEFORE(_xlfn.TEXTAFTER(I97, "phys-["), "]")</f>
        <v/>
      </c>
      <c r="D97" t="inlineStr">
        <is>
          <t>Unknown</t>
        </is>
      </c>
      <c r="E97" t="inlineStr">
        <is>
          <t>Unknown</t>
        </is>
      </c>
      <c r="F97" t="inlineStr">
        <is>
          <t>down</t>
        </is>
      </c>
      <c r="G97" t="inlineStr">
        <is>
          <t>sfp-missing</t>
        </is>
      </c>
      <c r="H97">
        <f>_xlfn.TEXTBEFORE(_xlfn.TEXTAFTER(I97, "pod-"), "/")</f>
        <v/>
      </c>
      <c r="I97" t="inlineStr">
        <is>
          <t>topology/pod-1/node-102/sys/phys-[eth1/20]/phys</t>
        </is>
      </c>
      <c r="J97">
        <f>VLOOKUP(VALUE(Table6[[#This Row],[node]]), LEAF_INFO!B:I, 7, 0)</f>
        <v/>
      </c>
    </row>
    <row r="98">
      <c r="A98">
        <f>_xlfn.CONCAT(B98,C98)</f>
        <v/>
      </c>
      <c r="B98">
        <f>_xlfn.TEXTBEFORE(_xlfn.TEXTAFTER(I98, "node-"), "/")</f>
        <v/>
      </c>
      <c r="C98">
        <f>_xlfn.TEXTBEFORE(_xlfn.TEXTAFTER(I98, "phys-["), "]")</f>
        <v/>
      </c>
      <c r="D98" t="inlineStr">
        <is>
          <t>Unknown</t>
        </is>
      </c>
      <c r="E98" t="inlineStr">
        <is>
          <t>Unknown</t>
        </is>
      </c>
      <c r="F98" t="inlineStr">
        <is>
          <t>down</t>
        </is>
      </c>
      <c r="G98" t="inlineStr">
        <is>
          <t>sfp-missing</t>
        </is>
      </c>
      <c r="H98">
        <f>_xlfn.TEXTBEFORE(_xlfn.TEXTAFTER(I98, "pod-"), "/")</f>
        <v/>
      </c>
      <c r="I98" t="inlineStr">
        <is>
          <t>topology/pod-1/node-102/sys/phys-[eth1/21]/phys</t>
        </is>
      </c>
      <c r="J98">
        <f>VLOOKUP(VALUE(Table6[[#This Row],[node]]), LEAF_INFO!B:I, 7, 0)</f>
        <v/>
      </c>
    </row>
    <row r="99">
      <c r="A99">
        <f>_xlfn.CONCAT(B99,C99)</f>
        <v/>
      </c>
      <c r="B99">
        <f>_xlfn.TEXTBEFORE(_xlfn.TEXTAFTER(I99, "node-"), "/")</f>
        <v/>
      </c>
      <c r="C99">
        <f>_xlfn.TEXTBEFORE(_xlfn.TEXTAFTER(I99, "phys-["), "]")</f>
        <v/>
      </c>
      <c r="D99" t="inlineStr">
        <is>
          <t>Unknown</t>
        </is>
      </c>
      <c r="E99" t="inlineStr">
        <is>
          <t>Unknown</t>
        </is>
      </c>
      <c r="F99" t="inlineStr">
        <is>
          <t>down</t>
        </is>
      </c>
      <c r="G99" t="inlineStr">
        <is>
          <t>sfp-missing</t>
        </is>
      </c>
      <c r="H99">
        <f>_xlfn.TEXTBEFORE(_xlfn.TEXTAFTER(I99, "pod-"), "/")</f>
        <v/>
      </c>
      <c r="I99" t="inlineStr">
        <is>
          <t>topology/pod-1/node-102/sys/phys-[eth1/22]/phys</t>
        </is>
      </c>
      <c r="J99">
        <f>VLOOKUP(VALUE(Table6[[#This Row],[node]]), LEAF_INFO!B:I, 7, 0)</f>
        <v/>
      </c>
    </row>
    <row r="100">
      <c r="A100">
        <f>_xlfn.CONCAT(B100,C100)</f>
        <v/>
      </c>
      <c r="B100">
        <f>_xlfn.TEXTBEFORE(_xlfn.TEXTAFTER(I100, "node-"), "/")</f>
        <v/>
      </c>
      <c r="C100">
        <f>_xlfn.TEXTBEFORE(_xlfn.TEXTAFTER(I100, "phys-["), "]")</f>
        <v/>
      </c>
      <c r="D100" t="inlineStr">
        <is>
          <t>Unknown</t>
        </is>
      </c>
      <c r="E100" t="inlineStr">
        <is>
          <t>Unknown</t>
        </is>
      </c>
      <c r="F100" t="inlineStr">
        <is>
          <t>down</t>
        </is>
      </c>
      <c r="G100" t="inlineStr">
        <is>
          <t>sfp-missing</t>
        </is>
      </c>
      <c r="H100">
        <f>_xlfn.TEXTBEFORE(_xlfn.TEXTAFTER(I100, "pod-"), "/")</f>
        <v/>
      </c>
      <c r="I100" t="inlineStr">
        <is>
          <t>topology/pod-1/node-102/sys/phys-[eth1/23]/phys</t>
        </is>
      </c>
      <c r="J100">
        <f>VLOOKUP(VALUE(Table6[[#This Row],[node]]), LEAF_INFO!B:I, 7, 0)</f>
        <v/>
      </c>
    </row>
    <row r="101">
      <c r="A101">
        <f>_xlfn.CONCAT(B101,C101)</f>
        <v/>
      </c>
      <c r="B101">
        <f>_xlfn.TEXTBEFORE(_xlfn.TEXTAFTER(I101, "node-"), "/")</f>
        <v/>
      </c>
      <c r="C101">
        <f>_xlfn.TEXTBEFORE(_xlfn.TEXTAFTER(I101, "phys-["), "]")</f>
        <v/>
      </c>
      <c r="D101" t="inlineStr">
        <is>
          <t>Unknown</t>
        </is>
      </c>
      <c r="E101" t="inlineStr">
        <is>
          <t>Unknown</t>
        </is>
      </c>
      <c r="F101" t="inlineStr">
        <is>
          <t>down</t>
        </is>
      </c>
      <c r="G101" t="inlineStr">
        <is>
          <t>sfp-missing</t>
        </is>
      </c>
      <c r="H101">
        <f>_xlfn.TEXTBEFORE(_xlfn.TEXTAFTER(I101, "pod-"), "/")</f>
        <v/>
      </c>
      <c r="I101" t="inlineStr">
        <is>
          <t>topology/pod-1/node-102/sys/phys-[eth1/24]/phys</t>
        </is>
      </c>
      <c r="J101">
        <f>VLOOKUP(VALUE(Table6[[#This Row],[node]]), LEAF_INFO!B:I, 7, 0)</f>
        <v/>
      </c>
    </row>
    <row r="102">
      <c r="A102">
        <f>_xlfn.CONCAT(B102,C102)</f>
        <v/>
      </c>
      <c r="B102">
        <f>_xlfn.TEXTBEFORE(_xlfn.TEXTAFTER(I102, "node-"), "/")</f>
        <v/>
      </c>
      <c r="C102">
        <f>_xlfn.TEXTBEFORE(_xlfn.TEXTAFTER(I102, "phys-["), "]")</f>
        <v/>
      </c>
      <c r="D102" t="inlineStr">
        <is>
          <t>Unknown</t>
        </is>
      </c>
      <c r="E102" t="inlineStr">
        <is>
          <t>Unknown</t>
        </is>
      </c>
      <c r="F102" t="inlineStr">
        <is>
          <t>down</t>
        </is>
      </c>
      <c r="G102" t="inlineStr">
        <is>
          <t>sfp-missing</t>
        </is>
      </c>
      <c r="H102">
        <f>_xlfn.TEXTBEFORE(_xlfn.TEXTAFTER(I102, "pod-"), "/")</f>
        <v/>
      </c>
      <c r="I102" t="inlineStr">
        <is>
          <t>topology/pod-1/node-102/sys/phys-[eth1/25]/phys</t>
        </is>
      </c>
      <c r="J102">
        <f>VLOOKUP(VALUE(Table6[[#This Row],[node]]), LEAF_INFO!B:I, 7, 0)</f>
        <v/>
      </c>
    </row>
    <row r="103">
      <c r="A103">
        <f>_xlfn.CONCAT(B103,C103)</f>
        <v/>
      </c>
      <c r="B103">
        <f>_xlfn.TEXTBEFORE(_xlfn.TEXTAFTER(I103, "node-"), "/")</f>
        <v/>
      </c>
      <c r="C103">
        <f>_xlfn.TEXTBEFORE(_xlfn.TEXTAFTER(I103, "phys-["), "]")</f>
        <v/>
      </c>
      <c r="D103" t="inlineStr">
        <is>
          <t>Unknown</t>
        </is>
      </c>
      <c r="E103" t="inlineStr">
        <is>
          <t>Unknown</t>
        </is>
      </c>
      <c r="F103" t="inlineStr">
        <is>
          <t>down</t>
        </is>
      </c>
      <c r="G103" t="inlineStr">
        <is>
          <t>sfp-missing</t>
        </is>
      </c>
      <c r="H103">
        <f>_xlfn.TEXTBEFORE(_xlfn.TEXTAFTER(I103, "pod-"), "/")</f>
        <v/>
      </c>
      <c r="I103" t="inlineStr">
        <is>
          <t>topology/pod-1/node-102/sys/phys-[eth1/26]/phys</t>
        </is>
      </c>
      <c r="J103">
        <f>VLOOKUP(VALUE(Table6[[#This Row],[node]]), LEAF_INFO!B:I, 7, 0)</f>
        <v/>
      </c>
    </row>
    <row r="104">
      <c r="A104">
        <f>_xlfn.CONCAT(B104,C104)</f>
        <v/>
      </c>
      <c r="B104">
        <f>_xlfn.TEXTBEFORE(_xlfn.TEXTAFTER(I104, "node-"), "/")</f>
        <v/>
      </c>
      <c r="C104">
        <f>_xlfn.TEXTBEFORE(_xlfn.TEXTAFTER(I104, "phys-["), "]")</f>
        <v/>
      </c>
      <c r="D104" t="inlineStr">
        <is>
          <t>Unknown</t>
        </is>
      </c>
      <c r="E104" t="inlineStr">
        <is>
          <t>Unknown</t>
        </is>
      </c>
      <c r="F104" t="inlineStr">
        <is>
          <t>down</t>
        </is>
      </c>
      <c r="G104" t="inlineStr">
        <is>
          <t>sfp-missing</t>
        </is>
      </c>
      <c r="H104">
        <f>_xlfn.TEXTBEFORE(_xlfn.TEXTAFTER(I104, "pod-"), "/")</f>
        <v/>
      </c>
      <c r="I104" t="inlineStr">
        <is>
          <t>topology/pod-1/node-102/sys/phys-[eth1/27]/phys</t>
        </is>
      </c>
      <c r="J104">
        <f>VLOOKUP(VALUE(Table6[[#This Row],[node]]), LEAF_INFO!B:I, 7, 0)</f>
        <v/>
      </c>
    </row>
    <row r="105">
      <c r="A105">
        <f>_xlfn.CONCAT(B105,C105)</f>
        <v/>
      </c>
      <c r="B105">
        <f>_xlfn.TEXTBEFORE(_xlfn.TEXTAFTER(I105, "node-"), "/")</f>
        <v/>
      </c>
      <c r="C105">
        <f>_xlfn.TEXTBEFORE(_xlfn.TEXTAFTER(I105, "phys-["), "]")</f>
        <v/>
      </c>
      <c r="D105" t="inlineStr">
        <is>
          <t>Unknown</t>
        </is>
      </c>
      <c r="E105" t="inlineStr">
        <is>
          <t>Unknown</t>
        </is>
      </c>
      <c r="F105" t="inlineStr">
        <is>
          <t>down</t>
        </is>
      </c>
      <c r="G105" t="inlineStr">
        <is>
          <t>sfp-missing</t>
        </is>
      </c>
      <c r="H105">
        <f>_xlfn.TEXTBEFORE(_xlfn.TEXTAFTER(I105, "pod-"), "/")</f>
        <v/>
      </c>
      <c r="I105" t="inlineStr">
        <is>
          <t>topology/pod-1/node-102/sys/phys-[eth1/28]/phys</t>
        </is>
      </c>
      <c r="J105">
        <f>VLOOKUP(VALUE(Table6[[#This Row],[node]]), LEAF_INFO!B:I, 7, 0)</f>
        <v/>
      </c>
    </row>
    <row r="106">
      <c r="A106">
        <f>_xlfn.CONCAT(B106,C106)</f>
        <v/>
      </c>
      <c r="B106">
        <f>_xlfn.TEXTBEFORE(_xlfn.TEXTAFTER(I106, "node-"), "/")</f>
        <v/>
      </c>
      <c r="C106">
        <f>_xlfn.TEXTBEFORE(_xlfn.TEXTAFTER(I106, "phys-["), "]")</f>
        <v/>
      </c>
      <c r="D106" t="inlineStr">
        <is>
          <t>Unknown</t>
        </is>
      </c>
      <c r="E106" t="inlineStr">
        <is>
          <t>Unknown</t>
        </is>
      </c>
      <c r="F106" t="inlineStr">
        <is>
          <t>down</t>
        </is>
      </c>
      <c r="G106" t="inlineStr">
        <is>
          <t>sfp-missing</t>
        </is>
      </c>
      <c r="H106">
        <f>_xlfn.TEXTBEFORE(_xlfn.TEXTAFTER(I106, "pod-"), "/")</f>
        <v/>
      </c>
      <c r="I106" t="inlineStr">
        <is>
          <t>topology/pod-1/node-102/sys/phys-[eth1/29]/phys</t>
        </is>
      </c>
      <c r="J106">
        <f>VLOOKUP(VALUE(Table6[[#This Row],[node]]), LEAF_INFO!B:I, 7, 0)</f>
        <v/>
      </c>
    </row>
    <row r="107">
      <c r="A107">
        <f>_xlfn.CONCAT(B107,C107)</f>
        <v/>
      </c>
      <c r="B107">
        <f>_xlfn.TEXTBEFORE(_xlfn.TEXTAFTER(I107, "node-"), "/")</f>
        <v/>
      </c>
      <c r="C107">
        <f>_xlfn.TEXTBEFORE(_xlfn.TEXTAFTER(I107, "phys-["), "]")</f>
        <v/>
      </c>
      <c r="D107" t="inlineStr">
        <is>
          <t>Unknown</t>
        </is>
      </c>
      <c r="E107" t="inlineStr">
        <is>
          <t>Unknown</t>
        </is>
      </c>
      <c r="F107" t="inlineStr">
        <is>
          <t>down</t>
        </is>
      </c>
      <c r="G107" t="inlineStr">
        <is>
          <t>sfp-missing</t>
        </is>
      </c>
      <c r="H107">
        <f>_xlfn.TEXTBEFORE(_xlfn.TEXTAFTER(I107, "pod-"), "/")</f>
        <v/>
      </c>
      <c r="I107" t="inlineStr">
        <is>
          <t>topology/pod-1/node-102/sys/phys-[eth1/30]/phys</t>
        </is>
      </c>
      <c r="J107">
        <f>VLOOKUP(VALUE(Table6[[#This Row],[node]]), LEAF_INFO!B:I, 7, 0)</f>
        <v/>
      </c>
    </row>
    <row r="108">
      <c r="A108">
        <f>_xlfn.CONCAT(B108,C108)</f>
        <v/>
      </c>
      <c r="B108">
        <f>_xlfn.TEXTBEFORE(_xlfn.TEXTAFTER(I108, "node-"), "/")</f>
        <v/>
      </c>
      <c r="C108">
        <f>_xlfn.TEXTBEFORE(_xlfn.TEXTAFTER(I108, "phys-["), "]")</f>
        <v/>
      </c>
      <c r="D108" t="inlineStr">
        <is>
          <t>Unknown</t>
        </is>
      </c>
      <c r="E108" t="inlineStr">
        <is>
          <t>Unknown</t>
        </is>
      </c>
      <c r="F108" t="inlineStr">
        <is>
          <t>down</t>
        </is>
      </c>
      <c r="G108" t="inlineStr">
        <is>
          <t>sfp-missing</t>
        </is>
      </c>
      <c r="H108">
        <f>_xlfn.TEXTBEFORE(_xlfn.TEXTAFTER(I108, "pod-"), "/")</f>
        <v/>
      </c>
      <c r="I108" t="inlineStr">
        <is>
          <t>topology/pod-1/node-102/sys/phys-[eth1/31]/phys</t>
        </is>
      </c>
      <c r="J108">
        <f>VLOOKUP(VALUE(Table6[[#This Row],[node]]), LEAF_INFO!B:I, 7, 0)</f>
        <v/>
      </c>
    </row>
    <row r="109">
      <c r="A109">
        <f>_xlfn.CONCAT(B109,C109)</f>
        <v/>
      </c>
      <c r="B109">
        <f>_xlfn.TEXTBEFORE(_xlfn.TEXTAFTER(I109, "node-"), "/")</f>
        <v/>
      </c>
      <c r="C109">
        <f>_xlfn.TEXTBEFORE(_xlfn.TEXTAFTER(I109, "phys-["), "]")</f>
        <v/>
      </c>
      <c r="D109" t="inlineStr">
        <is>
          <t>Unknown</t>
        </is>
      </c>
      <c r="E109" t="inlineStr">
        <is>
          <t>Unknown</t>
        </is>
      </c>
      <c r="F109" t="inlineStr">
        <is>
          <t>down</t>
        </is>
      </c>
      <c r="G109" t="inlineStr">
        <is>
          <t>sfp-missing</t>
        </is>
      </c>
      <c r="H109">
        <f>_xlfn.TEXTBEFORE(_xlfn.TEXTAFTER(I109, "pod-"), "/")</f>
        <v/>
      </c>
      <c r="I109" t="inlineStr">
        <is>
          <t>topology/pod-1/node-102/sys/phys-[eth1/32]/phys</t>
        </is>
      </c>
      <c r="J109">
        <f>VLOOKUP(VALUE(Table6[[#This Row],[node]]), LEAF_INFO!B:I, 7, 0)</f>
        <v/>
      </c>
    </row>
    <row r="110">
      <c r="A110">
        <f>_xlfn.CONCAT(B110,C110)</f>
        <v/>
      </c>
      <c r="B110">
        <f>_xlfn.TEXTBEFORE(_xlfn.TEXTAFTER(I110, "node-"), "/")</f>
        <v/>
      </c>
      <c r="C110">
        <f>_xlfn.TEXTBEFORE(_xlfn.TEXTAFTER(I110, "phys-["), "]")</f>
        <v/>
      </c>
      <c r="D110" t="inlineStr">
        <is>
          <t>Unknown</t>
        </is>
      </c>
      <c r="E110" t="inlineStr">
        <is>
          <t>Unknown</t>
        </is>
      </c>
      <c r="F110" t="inlineStr">
        <is>
          <t>down</t>
        </is>
      </c>
      <c r="G110" t="inlineStr">
        <is>
          <t>sfp-missing</t>
        </is>
      </c>
      <c r="H110">
        <f>_xlfn.TEXTBEFORE(_xlfn.TEXTAFTER(I110, "pod-"), "/")</f>
        <v/>
      </c>
      <c r="I110" t="inlineStr">
        <is>
          <t>topology/pod-1/node-201/sys/phys-[eth1/33]/phys</t>
        </is>
      </c>
      <c r="J110">
        <f>VLOOKUP(VALUE(Table6[[#This Row],[node]]), LEAF_INFO!B:I, 7, 0)</f>
        <v/>
      </c>
    </row>
    <row r="111">
      <c r="A111">
        <f>_xlfn.CONCAT(B111,C111)</f>
        <v/>
      </c>
      <c r="B111">
        <f>_xlfn.TEXTBEFORE(_xlfn.TEXTAFTER(I111, "node-"), "/")</f>
        <v/>
      </c>
      <c r="C111">
        <f>_xlfn.TEXTBEFORE(_xlfn.TEXTAFTER(I111, "phys-["), "]")</f>
        <v/>
      </c>
      <c r="D111" t="inlineStr">
        <is>
          <t>Unknown</t>
        </is>
      </c>
      <c r="E111" t="inlineStr">
        <is>
          <t>Unknown</t>
        </is>
      </c>
      <c r="F111" t="inlineStr">
        <is>
          <t>down</t>
        </is>
      </c>
      <c r="G111" t="inlineStr">
        <is>
          <t>sfp-missing</t>
        </is>
      </c>
      <c r="H111">
        <f>_xlfn.TEXTBEFORE(_xlfn.TEXTAFTER(I111, "pod-"), "/")</f>
        <v/>
      </c>
      <c r="I111" t="inlineStr">
        <is>
          <t>topology/pod-1/node-201/sys/phys-[eth1/34]/phys</t>
        </is>
      </c>
      <c r="J111">
        <f>VLOOKUP(VALUE(Table6[[#This Row],[node]]), LEAF_INFO!B:I, 7, 0)</f>
        <v/>
      </c>
    </row>
    <row r="112">
      <c r="A112">
        <f>_xlfn.CONCAT(B112,C112)</f>
        <v/>
      </c>
      <c r="B112">
        <f>_xlfn.TEXTBEFORE(_xlfn.TEXTAFTER(I112, "node-"), "/")</f>
        <v/>
      </c>
      <c r="C112">
        <f>_xlfn.TEXTBEFORE(_xlfn.TEXTAFTER(I112, "phys-["), "]")</f>
        <v/>
      </c>
      <c r="D112" t="inlineStr">
        <is>
          <t>Unknown</t>
        </is>
      </c>
      <c r="E112" t="inlineStr">
        <is>
          <t>Unknown</t>
        </is>
      </c>
      <c r="F112" t="inlineStr">
        <is>
          <t>up</t>
        </is>
      </c>
      <c r="G112" t="inlineStr">
        <is>
          <t>none</t>
        </is>
      </c>
      <c r="H112">
        <f>_xlfn.TEXTBEFORE(_xlfn.TEXTAFTER(I112, "pod-"), "/")</f>
        <v/>
      </c>
      <c r="I112" t="inlineStr">
        <is>
          <t>topology/pod-1/node-201/sys/phys-[eth1/1]/phys</t>
        </is>
      </c>
      <c r="J112">
        <f>VLOOKUP(VALUE(Table6[[#This Row],[node]]), LEAF_INFO!B:I, 7, 0)</f>
        <v/>
      </c>
    </row>
    <row r="113">
      <c r="A113">
        <f>_xlfn.CONCAT(B113,C113)</f>
        <v/>
      </c>
      <c r="B113">
        <f>_xlfn.TEXTBEFORE(_xlfn.TEXTAFTER(I113, "node-"), "/")</f>
        <v/>
      </c>
      <c r="C113">
        <f>_xlfn.TEXTBEFORE(_xlfn.TEXTAFTER(I113, "phys-["), "]")</f>
        <v/>
      </c>
      <c r="D113" t="inlineStr">
        <is>
          <t>Unknown</t>
        </is>
      </c>
      <c r="E113" t="inlineStr">
        <is>
          <t>Unknown</t>
        </is>
      </c>
      <c r="F113" t="inlineStr">
        <is>
          <t>up</t>
        </is>
      </c>
      <c r="G113" t="inlineStr">
        <is>
          <t>none</t>
        </is>
      </c>
      <c r="H113">
        <f>_xlfn.TEXTBEFORE(_xlfn.TEXTAFTER(I113, "pod-"), "/")</f>
        <v/>
      </c>
      <c r="I113" t="inlineStr">
        <is>
          <t>topology/pod-1/node-201/sys/phys-[eth1/2]/phys</t>
        </is>
      </c>
      <c r="J113">
        <f>VLOOKUP(VALUE(Table6[[#This Row],[node]]), LEAF_INFO!B:I, 7, 0)</f>
        <v/>
      </c>
    </row>
    <row r="114">
      <c r="A114">
        <f>_xlfn.CONCAT(B114,C114)</f>
        <v/>
      </c>
      <c r="B114">
        <f>_xlfn.TEXTBEFORE(_xlfn.TEXTAFTER(I114, "node-"), "/")</f>
        <v/>
      </c>
      <c r="C114">
        <f>_xlfn.TEXTBEFORE(_xlfn.TEXTAFTER(I114, "phys-["), "]")</f>
        <v/>
      </c>
      <c r="D114" t="inlineStr">
        <is>
          <t>Unknown</t>
        </is>
      </c>
      <c r="E114" t="inlineStr">
        <is>
          <t>Unknown</t>
        </is>
      </c>
      <c r="F114" t="inlineStr">
        <is>
          <t>up</t>
        </is>
      </c>
      <c r="G114" t="inlineStr">
        <is>
          <t>none</t>
        </is>
      </c>
      <c r="H114">
        <f>_xlfn.TEXTBEFORE(_xlfn.TEXTAFTER(I114, "pod-"), "/")</f>
        <v/>
      </c>
      <c r="I114" t="inlineStr">
        <is>
          <t>topology/pod-1/node-201/sys/phys-[eth1/3]/phys</t>
        </is>
      </c>
      <c r="J114">
        <f>VLOOKUP(VALUE(Table6[[#This Row],[node]]), LEAF_INFO!B:I, 7, 0)</f>
        <v/>
      </c>
    </row>
    <row r="115">
      <c r="A115">
        <f>_xlfn.CONCAT(B115,C115)</f>
        <v/>
      </c>
      <c r="B115">
        <f>_xlfn.TEXTBEFORE(_xlfn.TEXTAFTER(I115, "node-"), "/")</f>
        <v/>
      </c>
      <c r="C115">
        <f>_xlfn.TEXTBEFORE(_xlfn.TEXTAFTER(I115, "phys-["), "]")</f>
        <v/>
      </c>
      <c r="D115" t="inlineStr">
        <is>
          <t>Unknown</t>
        </is>
      </c>
      <c r="E115" t="inlineStr">
        <is>
          <t>Unknown</t>
        </is>
      </c>
      <c r="F115" t="inlineStr">
        <is>
          <t>up</t>
        </is>
      </c>
      <c r="G115" t="inlineStr">
        <is>
          <t>none</t>
        </is>
      </c>
      <c r="H115">
        <f>_xlfn.TEXTBEFORE(_xlfn.TEXTAFTER(I115, "pod-"), "/")</f>
        <v/>
      </c>
      <c r="I115" t="inlineStr">
        <is>
          <t>topology/pod-1/node-201/sys/phys-[eth1/4]/phys</t>
        </is>
      </c>
      <c r="J115">
        <f>VLOOKUP(VALUE(Table6[[#This Row],[node]]), LEAF_INFO!B:I, 7, 0)</f>
        <v/>
      </c>
    </row>
    <row r="116">
      <c r="A116">
        <f>_xlfn.CONCAT(B116,C116)</f>
        <v/>
      </c>
      <c r="B116">
        <f>_xlfn.TEXTBEFORE(_xlfn.TEXTAFTER(I116, "node-"), "/")</f>
        <v/>
      </c>
      <c r="C116">
        <f>_xlfn.TEXTBEFORE(_xlfn.TEXTAFTER(I116, "phys-["), "]")</f>
        <v/>
      </c>
      <c r="D116" t="inlineStr">
        <is>
          <t>Unknown</t>
        </is>
      </c>
      <c r="E116" t="inlineStr">
        <is>
          <t>Unknown</t>
        </is>
      </c>
      <c r="F116" t="inlineStr">
        <is>
          <t>down</t>
        </is>
      </c>
      <c r="G116" t="inlineStr">
        <is>
          <t>sfp-missing</t>
        </is>
      </c>
      <c r="H116">
        <f>_xlfn.TEXTBEFORE(_xlfn.TEXTAFTER(I116, "pod-"), "/")</f>
        <v/>
      </c>
      <c r="I116" t="inlineStr">
        <is>
          <t>topology/pod-1/node-201/sys/phys-[eth1/5]/phys</t>
        </is>
      </c>
      <c r="J116">
        <f>VLOOKUP(VALUE(Table6[[#This Row],[node]]), LEAF_INFO!B:I, 7, 0)</f>
        <v/>
      </c>
    </row>
    <row r="117">
      <c r="A117">
        <f>_xlfn.CONCAT(B117,C117)</f>
        <v/>
      </c>
      <c r="B117">
        <f>_xlfn.TEXTBEFORE(_xlfn.TEXTAFTER(I117, "node-"), "/")</f>
        <v/>
      </c>
      <c r="C117">
        <f>_xlfn.TEXTBEFORE(_xlfn.TEXTAFTER(I117, "phys-["), "]")</f>
        <v/>
      </c>
      <c r="D117" t="inlineStr">
        <is>
          <t>Unknown</t>
        </is>
      </c>
      <c r="E117" t="inlineStr">
        <is>
          <t>Unknown</t>
        </is>
      </c>
      <c r="F117" t="inlineStr">
        <is>
          <t>down</t>
        </is>
      </c>
      <c r="G117" t="inlineStr">
        <is>
          <t>sfp-missing</t>
        </is>
      </c>
      <c r="H117">
        <f>_xlfn.TEXTBEFORE(_xlfn.TEXTAFTER(I117, "pod-"), "/")</f>
        <v/>
      </c>
      <c r="I117" t="inlineStr">
        <is>
          <t>topology/pod-1/node-201/sys/phys-[eth1/6]/phys</t>
        </is>
      </c>
      <c r="J117">
        <f>VLOOKUP(VALUE(Table6[[#This Row],[node]]), LEAF_INFO!B:I, 7, 0)</f>
        <v/>
      </c>
    </row>
    <row r="118">
      <c r="A118">
        <f>_xlfn.CONCAT(B118,C118)</f>
        <v/>
      </c>
      <c r="B118">
        <f>_xlfn.TEXTBEFORE(_xlfn.TEXTAFTER(I118, "node-"), "/")</f>
        <v/>
      </c>
      <c r="C118">
        <f>_xlfn.TEXTBEFORE(_xlfn.TEXTAFTER(I118, "phys-["), "]")</f>
        <v/>
      </c>
      <c r="D118" t="inlineStr">
        <is>
          <t>Unknown</t>
        </is>
      </c>
      <c r="E118" t="inlineStr">
        <is>
          <t>Unknown</t>
        </is>
      </c>
      <c r="F118" t="inlineStr">
        <is>
          <t>down</t>
        </is>
      </c>
      <c r="G118" t="inlineStr">
        <is>
          <t>sfp-missing</t>
        </is>
      </c>
      <c r="H118">
        <f>_xlfn.TEXTBEFORE(_xlfn.TEXTAFTER(I118, "pod-"), "/")</f>
        <v/>
      </c>
      <c r="I118" t="inlineStr">
        <is>
          <t>topology/pod-1/node-201/sys/phys-[eth1/7]/phys</t>
        </is>
      </c>
      <c r="J118">
        <f>VLOOKUP(VALUE(Table6[[#This Row],[node]]), LEAF_INFO!B:I, 7, 0)</f>
        <v/>
      </c>
    </row>
    <row r="119">
      <c r="A119">
        <f>_xlfn.CONCAT(B119,C119)</f>
        <v/>
      </c>
      <c r="B119">
        <f>_xlfn.TEXTBEFORE(_xlfn.TEXTAFTER(I119, "node-"), "/")</f>
        <v/>
      </c>
      <c r="C119">
        <f>_xlfn.TEXTBEFORE(_xlfn.TEXTAFTER(I119, "phys-["), "]")</f>
        <v/>
      </c>
      <c r="D119" t="inlineStr">
        <is>
          <t>Unknown</t>
        </is>
      </c>
      <c r="E119" t="inlineStr">
        <is>
          <t>Unknown</t>
        </is>
      </c>
      <c r="F119" t="inlineStr">
        <is>
          <t>down</t>
        </is>
      </c>
      <c r="G119" t="inlineStr">
        <is>
          <t>sfp-missing</t>
        </is>
      </c>
      <c r="H119">
        <f>_xlfn.TEXTBEFORE(_xlfn.TEXTAFTER(I119, "pod-"), "/")</f>
        <v/>
      </c>
      <c r="I119" t="inlineStr">
        <is>
          <t>topology/pod-1/node-201/sys/phys-[eth1/8]/phys</t>
        </is>
      </c>
      <c r="J119">
        <f>VLOOKUP(VALUE(Table6[[#This Row],[node]]), LEAF_INFO!B:I, 7, 0)</f>
        <v/>
      </c>
    </row>
    <row r="120">
      <c r="A120">
        <f>_xlfn.CONCAT(B120,C120)</f>
        <v/>
      </c>
      <c r="B120">
        <f>_xlfn.TEXTBEFORE(_xlfn.TEXTAFTER(I120, "node-"), "/")</f>
        <v/>
      </c>
      <c r="C120">
        <f>_xlfn.TEXTBEFORE(_xlfn.TEXTAFTER(I120, "phys-["), "]")</f>
        <v/>
      </c>
      <c r="D120" t="inlineStr">
        <is>
          <t>Unknown</t>
        </is>
      </c>
      <c r="E120" t="inlineStr">
        <is>
          <t>Unknown</t>
        </is>
      </c>
      <c r="F120" t="inlineStr">
        <is>
          <t>down</t>
        </is>
      </c>
      <c r="G120" t="inlineStr">
        <is>
          <t>sfp-missing</t>
        </is>
      </c>
      <c r="H120">
        <f>_xlfn.TEXTBEFORE(_xlfn.TEXTAFTER(I120, "pod-"), "/")</f>
        <v/>
      </c>
      <c r="I120" t="inlineStr">
        <is>
          <t>topology/pod-1/node-201/sys/phys-[eth1/9]/phys</t>
        </is>
      </c>
      <c r="J120">
        <f>VLOOKUP(VALUE(Table6[[#This Row],[node]]), LEAF_INFO!B:I, 7, 0)</f>
        <v/>
      </c>
    </row>
    <row r="121">
      <c r="A121">
        <f>_xlfn.CONCAT(B121,C121)</f>
        <v/>
      </c>
      <c r="B121">
        <f>_xlfn.TEXTBEFORE(_xlfn.TEXTAFTER(I121, "node-"), "/")</f>
        <v/>
      </c>
      <c r="C121">
        <f>_xlfn.TEXTBEFORE(_xlfn.TEXTAFTER(I121, "phys-["), "]")</f>
        <v/>
      </c>
      <c r="D121" t="inlineStr">
        <is>
          <t>Unknown</t>
        </is>
      </c>
      <c r="E121" t="inlineStr">
        <is>
          <t>Unknown</t>
        </is>
      </c>
      <c r="F121" t="inlineStr">
        <is>
          <t>down</t>
        </is>
      </c>
      <c r="G121" t="inlineStr">
        <is>
          <t>sfp-missing</t>
        </is>
      </c>
      <c r="H121">
        <f>_xlfn.TEXTBEFORE(_xlfn.TEXTAFTER(I121, "pod-"), "/")</f>
        <v/>
      </c>
      <c r="I121" t="inlineStr">
        <is>
          <t>topology/pod-1/node-201/sys/phys-[eth1/10]/phys</t>
        </is>
      </c>
      <c r="J121">
        <f>VLOOKUP(VALUE(Table6[[#This Row],[node]]), LEAF_INFO!B:I, 7, 0)</f>
        <v/>
      </c>
    </row>
    <row r="122">
      <c r="A122">
        <f>_xlfn.CONCAT(B122,C122)</f>
        <v/>
      </c>
      <c r="B122">
        <f>_xlfn.TEXTBEFORE(_xlfn.TEXTAFTER(I122, "node-"), "/")</f>
        <v/>
      </c>
      <c r="C122">
        <f>_xlfn.TEXTBEFORE(_xlfn.TEXTAFTER(I122, "phys-["), "]")</f>
        <v/>
      </c>
      <c r="D122" t="inlineStr">
        <is>
          <t>Unknown</t>
        </is>
      </c>
      <c r="E122" t="inlineStr">
        <is>
          <t>Unknown</t>
        </is>
      </c>
      <c r="F122" t="inlineStr">
        <is>
          <t>down</t>
        </is>
      </c>
      <c r="G122" t="inlineStr">
        <is>
          <t>sfp-missing</t>
        </is>
      </c>
      <c r="H122">
        <f>_xlfn.TEXTBEFORE(_xlfn.TEXTAFTER(I122, "pod-"), "/")</f>
        <v/>
      </c>
      <c r="I122" t="inlineStr">
        <is>
          <t>topology/pod-1/node-201/sys/phys-[eth1/11]/phys</t>
        </is>
      </c>
      <c r="J122">
        <f>VLOOKUP(VALUE(Table6[[#This Row],[node]]), LEAF_INFO!B:I, 7, 0)</f>
        <v/>
      </c>
    </row>
    <row r="123">
      <c r="A123">
        <f>_xlfn.CONCAT(B123,C123)</f>
        <v/>
      </c>
      <c r="B123">
        <f>_xlfn.TEXTBEFORE(_xlfn.TEXTAFTER(I123, "node-"), "/")</f>
        <v/>
      </c>
      <c r="C123">
        <f>_xlfn.TEXTBEFORE(_xlfn.TEXTAFTER(I123, "phys-["), "]")</f>
        <v/>
      </c>
      <c r="D123" t="inlineStr">
        <is>
          <t>Unknown</t>
        </is>
      </c>
      <c r="E123" t="inlineStr">
        <is>
          <t>Unknown</t>
        </is>
      </c>
      <c r="F123" t="inlineStr">
        <is>
          <t>down</t>
        </is>
      </c>
      <c r="G123" t="inlineStr">
        <is>
          <t>sfp-missing</t>
        </is>
      </c>
      <c r="H123">
        <f>_xlfn.TEXTBEFORE(_xlfn.TEXTAFTER(I123, "pod-"), "/")</f>
        <v/>
      </c>
      <c r="I123" t="inlineStr">
        <is>
          <t>topology/pod-1/node-201/sys/phys-[eth1/12]/phys</t>
        </is>
      </c>
      <c r="J123">
        <f>VLOOKUP(VALUE(Table6[[#This Row],[node]]), LEAF_INFO!B:I, 7, 0)</f>
        <v/>
      </c>
    </row>
    <row r="124">
      <c r="A124">
        <f>_xlfn.CONCAT(B124,C124)</f>
        <v/>
      </c>
      <c r="B124">
        <f>_xlfn.TEXTBEFORE(_xlfn.TEXTAFTER(I124, "node-"), "/")</f>
        <v/>
      </c>
      <c r="C124">
        <f>_xlfn.TEXTBEFORE(_xlfn.TEXTAFTER(I124, "phys-["), "]")</f>
        <v/>
      </c>
      <c r="D124" t="inlineStr">
        <is>
          <t>Unknown</t>
        </is>
      </c>
      <c r="E124" t="inlineStr">
        <is>
          <t>Unknown</t>
        </is>
      </c>
      <c r="F124" t="inlineStr">
        <is>
          <t>down</t>
        </is>
      </c>
      <c r="G124" t="inlineStr">
        <is>
          <t>sfp-missing</t>
        </is>
      </c>
      <c r="H124">
        <f>_xlfn.TEXTBEFORE(_xlfn.TEXTAFTER(I124, "pod-"), "/")</f>
        <v/>
      </c>
      <c r="I124" t="inlineStr">
        <is>
          <t>topology/pod-1/node-201/sys/phys-[eth1/13]/phys</t>
        </is>
      </c>
      <c r="J124">
        <f>VLOOKUP(VALUE(Table6[[#This Row],[node]]), LEAF_INFO!B:I, 7, 0)</f>
        <v/>
      </c>
    </row>
    <row r="125">
      <c r="A125">
        <f>_xlfn.CONCAT(B125,C125)</f>
        <v/>
      </c>
      <c r="B125">
        <f>_xlfn.TEXTBEFORE(_xlfn.TEXTAFTER(I125, "node-"), "/")</f>
        <v/>
      </c>
      <c r="C125">
        <f>_xlfn.TEXTBEFORE(_xlfn.TEXTAFTER(I125, "phys-["), "]")</f>
        <v/>
      </c>
      <c r="D125" t="inlineStr">
        <is>
          <t>Unknown</t>
        </is>
      </c>
      <c r="E125" t="inlineStr">
        <is>
          <t>Unknown</t>
        </is>
      </c>
      <c r="F125" t="inlineStr">
        <is>
          <t>down</t>
        </is>
      </c>
      <c r="G125" t="inlineStr">
        <is>
          <t>sfp-missing</t>
        </is>
      </c>
      <c r="H125">
        <f>_xlfn.TEXTBEFORE(_xlfn.TEXTAFTER(I125, "pod-"), "/")</f>
        <v/>
      </c>
      <c r="I125" t="inlineStr">
        <is>
          <t>topology/pod-1/node-201/sys/phys-[eth1/14]/phys</t>
        </is>
      </c>
      <c r="J125">
        <f>VLOOKUP(VALUE(Table6[[#This Row],[node]]), LEAF_INFO!B:I, 7, 0)</f>
        <v/>
      </c>
    </row>
    <row r="126">
      <c r="A126">
        <f>_xlfn.CONCAT(B126,C126)</f>
        <v/>
      </c>
      <c r="B126">
        <f>_xlfn.TEXTBEFORE(_xlfn.TEXTAFTER(I126, "node-"), "/")</f>
        <v/>
      </c>
      <c r="C126">
        <f>_xlfn.TEXTBEFORE(_xlfn.TEXTAFTER(I126, "phys-["), "]")</f>
        <v/>
      </c>
      <c r="D126" t="inlineStr">
        <is>
          <t>Unknown</t>
        </is>
      </c>
      <c r="E126" t="inlineStr">
        <is>
          <t>Unknown</t>
        </is>
      </c>
      <c r="F126" t="inlineStr">
        <is>
          <t>down</t>
        </is>
      </c>
      <c r="G126" t="inlineStr">
        <is>
          <t>sfp-missing</t>
        </is>
      </c>
      <c r="H126">
        <f>_xlfn.TEXTBEFORE(_xlfn.TEXTAFTER(I126, "pod-"), "/")</f>
        <v/>
      </c>
      <c r="I126" t="inlineStr">
        <is>
          <t>topology/pod-1/node-201/sys/phys-[eth1/15]/phys</t>
        </is>
      </c>
      <c r="J126">
        <f>VLOOKUP(VALUE(Table6[[#This Row],[node]]), LEAF_INFO!B:I, 7, 0)</f>
        <v/>
      </c>
    </row>
    <row r="127">
      <c r="A127">
        <f>_xlfn.CONCAT(B127,C127)</f>
        <v/>
      </c>
      <c r="B127">
        <f>_xlfn.TEXTBEFORE(_xlfn.TEXTAFTER(I127, "node-"), "/")</f>
        <v/>
      </c>
      <c r="C127">
        <f>_xlfn.TEXTBEFORE(_xlfn.TEXTAFTER(I127, "phys-["), "]")</f>
        <v/>
      </c>
      <c r="D127" t="inlineStr">
        <is>
          <t>Unknown</t>
        </is>
      </c>
      <c r="E127" t="inlineStr">
        <is>
          <t>Unknown</t>
        </is>
      </c>
      <c r="F127" t="inlineStr">
        <is>
          <t>down</t>
        </is>
      </c>
      <c r="G127" t="inlineStr">
        <is>
          <t>sfp-missing</t>
        </is>
      </c>
      <c r="H127">
        <f>_xlfn.TEXTBEFORE(_xlfn.TEXTAFTER(I127, "pod-"), "/")</f>
        <v/>
      </c>
      <c r="I127" t="inlineStr">
        <is>
          <t>topology/pod-1/node-201/sys/phys-[eth1/16]/phys</t>
        </is>
      </c>
      <c r="J127">
        <f>VLOOKUP(VALUE(Table6[[#This Row],[node]]), LEAF_INFO!B:I, 7, 0)</f>
        <v/>
      </c>
    </row>
    <row r="128">
      <c r="A128">
        <f>_xlfn.CONCAT(B128,C128)</f>
        <v/>
      </c>
      <c r="B128">
        <f>_xlfn.TEXTBEFORE(_xlfn.TEXTAFTER(I128, "node-"), "/")</f>
        <v/>
      </c>
      <c r="C128">
        <f>_xlfn.TEXTBEFORE(_xlfn.TEXTAFTER(I128, "phys-["), "]")</f>
        <v/>
      </c>
      <c r="D128" t="inlineStr">
        <is>
          <t>Unknown</t>
        </is>
      </c>
      <c r="E128" t="inlineStr">
        <is>
          <t>Unknown</t>
        </is>
      </c>
      <c r="F128" t="inlineStr">
        <is>
          <t>down</t>
        </is>
      </c>
      <c r="G128" t="inlineStr">
        <is>
          <t>sfp-missing</t>
        </is>
      </c>
      <c r="H128">
        <f>_xlfn.TEXTBEFORE(_xlfn.TEXTAFTER(I128, "pod-"), "/")</f>
        <v/>
      </c>
      <c r="I128" t="inlineStr">
        <is>
          <t>topology/pod-1/node-201/sys/phys-[eth1/17]/phys</t>
        </is>
      </c>
      <c r="J128">
        <f>VLOOKUP(VALUE(Table6[[#This Row],[node]]), LEAF_INFO!B:I, 7, 0)</f>
        <v/>
      </c>
    </row>
    <row r="129">
      <c r="A129">
        <f>_xlfn.CONCAT(B129,C129)</f>
        <v/>
      </c>
      <c r="B129">
        <f>_xlfn.TEXTBEFORE(_xlfn.TEXTAFTER(I129, "node-"), "/")</f>
        <v/>
      </c>
      <c r="C129">
        <f>_xlfn.TEXTBEFORE(_xlfn.TEXTAFTER(I129, "phys-["), "]")</f>
        <v/>
      </c>
      <c r="D129" t="inlineStr">
        <is>
          <t>Unknown</t>
        </is>
      </c>
      <c r="E129" t="inlineStr">
        <is>
          <t>Unknown</t>
        </is>
      </c>
      <c r="F129" t="inlineStr">
        <is>
          <t>down</t>
        </is>
      </c>
      <c r="G129" t="inlineStr">
        <is>
          <t>sfp-missing</t>
        </is>
      </c>
      <c r="H129">
        <f>_xlfn.TEXTBEFORE(_xlfn.TEXTAFTER(I129, "pod-"), "/")</f>
        <v/>
      </c>
      <c r="I129" t="inlineStr">
        <is>
          <t>topology/pod-1/node-201/sys/phys-[eth1/18]/phys</t>
        </is>
      </c>
      <c r="J129">
        <f>VLOOKUP(VALUE(Table6[[#This Row],[node]]), LEAF_INFO!B:I, 7, 0)</f>
        <v/>
      </c>
    </row>
    <row r="130">
      <c r="A130">
        <f>_xlfn.CONCAT(B130,C130)</f>
        <v/>
      </c>
      <c r="B130">
        <f>_xlfn.TEXTBEFORE(_xlfn.TEXTAFTER(I130, "node-"), "/")</f>
        <v/>
      </c>
      <c r="C130">
        <f>_xlfn.TEXTBEFORE(_xlfn.TEXTAFTER(I130, "phys-["), "]")</f>
        <v/>
      </c>
      <c r="D130" t="inlineStr">
        <is>
          <t>Unknown</t>
        </is>
      </c>
      <c r="E130" t="inlineStr">
        <is>
          <t>Unknown</t>
        </is>
      </c>
      <c r="F130" t="inlineStr">
        <is>
          <t>down</t>
        </is>
      </c>
      <c r="G130" t="inlineStr">
        <is>
          <t>sfp-missing</t>
        </is>
      </c>
      <c r="H130">
        <f>_xlfn.TEXTBEFORE(_xlfn.TEXTAFTER(I130, "pod-"), "/")</f>
        <v/>
      </c>
      <c r="I130" t="inlineStr">
        <is>
          <t>topology/pod-1/node-201/sys/phys-[eth1/19]/phys</t>
        </is>
      </c>
      <c r="J130">
        <f>VLOOKUP(VALUE(Table6[[#This Row],[node]]), LEAF_INFO!B:I, 7, 0)</f>
        <v/>
      </c>
    </row>
    <row r="131">
      <c r="A131">
        <f>_xlfn.CONCAT(B131,C131)</f>
        <v/>
      </c>
      <c r="B131">
        <f>_xlfn.TEXTBEFORE(_xlfn.TEXTAFTER(I131, "node-"), "/")</f>
        <v/>
      </c>
      <c r="C131">
        <f>_xlfn.TEXTBEFORE(_xlfn.TEXTAFTER(I131, "phys-["), "]")</f>
        <v/>
      </c>
      <c r="D131" t="inlineStr">
        <is>
          <t>Unknown</t>
        </is>
      </c>
      <c r="E131" t="inlineStr">
        <is>
          <t>Unknown</t>
        </is>
      </c>
      <c r="F131" t="inlineStr">
        <is>
          <t>down</t>
        </is>
      </c>
      <c r="G131" t="inlineStr">
        <is>
          <t>sfp-missing</t>
        </is>
      </c>
      <c r="H131">
        <f>_xlfn.TEXTBEFORE(_xlfn.TEXTAFTER(I131, "pod-"), "/")</f>
        <v/>
      </c>
      <c r="I131" t="inlineStr">
        <is>
          <t>topology/pod-1/node-201/sys/phys-[eth1/20]/phys</t>
        </is>
      </c>
      <c r="J131">
        <f>VLOOKUP(VALUE(Table6[[#This Row],[node]]), LEAF_INFO!B:I, 7, 0)</f>
        <v/>
      </c>
    </row>
    <row r="132">
      <c r="A132">
        <f>_xlfn.CONCAT(B132,C132)</f>
        <v/>
      </c>
      <c r="B132">
        <f>_xlfn.TEXTBEFORE(_xlfn.TEXTAFTER(I132, "node-"), "/")</f>
        <v/>
      </c>
      <c r="C132">
        <f>_xlfn.TEXTBEFORE(_xlfn.TEXTAFTER(I132, "phys-["), "]")</f>
        <v/>
      </c>
      <c r="D132" t="inlineStr">
        <is>
          <t>Unknown</t>
        </is>
      </c>
      <c r="E132" t="inlineStr">
        <is>
          <t>Unknown</t>
        </is>
      </c>
      <c r="F132" t="inlineStr">
        <is>
          <t>down</t>
        </is>
      </c>
      <c r="G132" t="inlineStr">
        <is>
          <t>sfp-missing</t>
        </is>
      </c>
      <c r="H132">
        <f>_xlfn.TEXTBEFORE(_xlfn.TEXTAFTER(I132, "pod-"), "/")</f>
        <v/>
      </c>
      <c r="I132" t="inlineStr">
        <is>
          <t>topology/pod-1/node-201/sys/phys-[eth1/21]/phys</t>
        </is>
      </c>
      <c r="J132">
        <f>VLOOKUP(VALUE(Table6[[#This Row],[node]]), LEAF_INFO!B:I, 7, 0)</f>
        <v/>
      </c>
    </row>
    <row r="133">
      <c r="A133">
        <f>_xlfn.CONCAT(B133,C133)</f>
        <v/>
      </c>
      <c r="B133">
        <f>_xlfn.TEXTBEFORE(_xlfn.TEXTAFTER(I133, "node-"), "/")</f>
        <v/>
      </c>
      <c r="C133">
        <f>_xlfn.TEXTBEFORE(_xlfn.TEXTAFTER(I133, "phys-["), "]")</f>
        <v/>
      </c>
      <c r="D133" t="inlineStr">
        <is>
          <t>Unknown</t>
        </is>
      </c>
      <c r="E133" t="inlineStr">
        <is>
          <t>Unknown</t>
        </is>
      </c>
      <c r="F133" t="inlineStr">
        <is>
          <t>down</t>
        </is>
      </c>
      <c r="G133" t="inlineStr">
        <is>
          <t>sfp-missing</t>
        </is>
      </c>
      <c r="H133">
        <f>_xlfn.TEXTBEFORE(_xlfn.TEXTAFTER(I133, "pod-"), "/")</f>
        <v/>
      </c>
      <c r="I133" t="inlineStr">
        <is>
          <t>topology/pod-1/node-201/sys/phys-[eth1/22]/phys</t>
        </is>
      </c>
      <c r="J133">
        <f>VLOOKUP(VALUE(Table6[[#This Row],[node]]), LEAF_INFO!B:I, 7, 0)</f>
        <v/>
      </c>
    </row>
    <row r="134">
      <c r="A134">
        <f>_xlfn.CONCAT(B134,C134)</f>
        <v/>
      </c>
      <c r="B134">
        <f>_xlfn.TEXTBEFORE(_xlfn.TEXTAFTER(I134, "node-"), "/")</f>
        <v/>
      </c>
      <c r="C134">
        <f>_xlfn.TEXTBEFORE(_xlfn.TEXTAFTER(I134, "phys-["), "]")</f>
        <v/>
      </c>
      <c r="D134" t="inlineStr">
        <is>
          <t>Unknown</t>
        </is>
      </c>
      <c r="E134" t="inlineStr">
        <is>
          <t>Unknown</t>
        </is>
      </c>
      <c r="F134" t="inlineStr">
        <is>
          <t>down</t>
        </is>
      </c>
      <c r="G134" t="inlineStr">
        <is>
          <t>sfp-missing</t>
        </is>
      </c>
      <c r="H134">
        <f>_xlfn.TEXTBEFORE(_xlfn.TEXTAFTER(I134, "pod-"), "/")</f>
        <v/>
      </c>
      <c r="I134" t="inlineStr">
        <is>
          <t>topology/pod-1/node-201/sys/phys-[eth1/23]/phys</t>
        </is>
      </c>
      <c r="J134">
        <f>VLOOKUP(VALUE(Table6[[#This Row],[node]]), LEAF_INFO!B:I, 7, 0)</f>
        <v/>
      </c>
    </row>
    <row r="135">
      <c r="A135">
        <f>_xlfn.CONCAT(B135,C135)</f>
        <v/>
      </c>
      <c r="B135">
        <f>_xlfn.TEXTBEFORE(_xlfn.TEXTAFTER(I135, "node-"), "/")</f>
        <v/>
      </c>
      <c r="C135">
        <f>_xlfn.TEXTBEFORE(_xlfn.TEXTAFTER(I135, "phys-["), "]")</f>
        <v/>
      </c>
      <c r="D135" t="inlineStr">
        <is>
          <t>Unknown</t>
        </is>
      </c>
      <c r="E135" t="inlineStr">
        <is>
          <t>Unknown</t>
        </is>
      </c>
      <c r="F135" t="inlineStr">
        <is>
          <t>down</t>
        </is>
      </c>
      <c r="G135" t="inlineStr">
        <is>
          <t>sfp-missing</t>
        </is>
      </c>
      <c r="H135">
        <f>_xlfn.TEXTBEFORE(_xlfn.TEXTAFTER(I135, "pod-"), "/")</f>
        <v/>
      </c>
      <c r="I135" t="inlineStr">
        <is>
          <t>topology/pod-1/node-201/sys/phys-[eth1/24]/phys</t>
        </is>
      </c>
      <c r="J135">
        <f>VLOOKUP(VALUE(Table6[[#This Row],[node]]), LEAF_INFO!B:I, 7, 0)</f>
        <v/>
      </c>
    </row>
    <row r="136">
      <c r="A136">
        <f>_xlfn.CONCAT(B136,C136)</f>
        <v/>
      </c>
      <c r="B136">
        <f>_xlfn.TEXTBEFORE(_xlfn.TEXTAFTER(I136, "node-"), "/")</f>
        <v/>
      </c>
      <c r="C136">
        <f>_xlfn.TEXTBEFORE(_xlfn.TEXTAFTER(I136, "phys-["), "]")</f>
        <v/>
      </c>
      <c r="D136" t="inlineStr">
        <is>
          <t>Unknown</t>
        </is>
      </c>
      <c r="E136" t="inlineStr">
        <is>
          <t>Unknown</t>
        </is>
      </c>
      <c r="F136" t="inlineStr">
        <is>
          <t>down</t>
        </is>
      </c>
      <c r="G136" t="inlineStr">
        <is>
          <t>sfp-missing</t>
        </is>
      </c>
      <c r="H136">
        <f>_xlfn.TEXTBEFORE(_xlfn.TEXTAFTER(I136, "pod-"), "/")</f>
        <v/>
      </c>
      <c r="I136" t="inlineStr">
        <is>
          <t>topology/pod-1/node-201/sys/phys-[eth1/25]/phys</t>
        </is>
      </c>
      <c r="J136">
        <f>VLOOKUP(VALUE(Table6[[#This Row],[node]]), LEAF_INFO!B:I, 7, 0)</f>
        <v/>
      </c>
    </row>
    <row r="137">
      <c r="A137">
        <f>_xlfn.CONCAT(B137,C137)</f>
        <v/>
      </c>
      <c r="B137">
        <f>_xlfn.TEXTBEFORE(_xlfn.TEXTAFTER(I137, "node-"), "/")</f>
        <v/>
      </c>
      <c r="C137">
        <f>_xlfn.TEXTBEFORE(_xlfn.TEXTAFTER(I137, "phys-["), "]")</f>
        <v/>
      </c>
      <c r="D137" t="inlineStr">
        <is>
          <t>Unknown</t>
        </is>
      </c>
      <c r="E137" t="inlineStr">
        <is>
          <t>Unknown</t>
        </is>
      </c>
      <c r="F137" t="inlineStr">
        <is>
          <t>down</t>
        </is>
      </c>
      <c r="G137" t="inlineStr">
        <is>
          <t>sfp-missing</t>
        </is>
      </c>
      <c r="H137">
        <f>_xlfn.TEXTBEFORE(_xlfn.TEXTAFTER(I137, "pod-"), "/")</f>
        <v/>
      </c>
      <c r="I137" t="inlineStr">
        <is>
          <t>topology/pod-1/node-201/sys/phys-[eth1/26]/phys</t>
        </is>
      </c>
      <c r="J137">
        <f>VLOOKUP(VALUE(Table6[[#This Row],[node]]), LEAF_INFO!B:I, 7, 0)</f>
        <v/>
      </c>
    </row>
    <row r="138">
      <c r="A138">
        <f>_xlfn.CONCAT(B138,C138)</f>
        <v/>
      </c>
      <c r="B138">
        <f>_xlfn.TEXTBEFORE(_xlfn.TEXTAFTER(I138, "node-"), "/")</f>
        <v/>
      </c>
      <c r="C138">
        <f>_xlfn.TEXTBEFORE(_xlfn.TEXTAFTER(I138, "phys-["), "]")</f>
        <v/>
      </c>
      <c r="D138" t="inlineStr">
        <is>
          <t>Unknown</t>
        </is>
      </c>
      <c r="E138" t="inlineStr">
        <is>
          <t>Unknown</t>
        </is>
      </c>
      <c r="F138" t="inlineStr">
        <is>
          <t>down</t>
        </is>
      </c>
      <c r="G138" t="inlineStr">
        <is>
          <t>sfp-missing</t>
        </is>
      </c>
      <c r="H138">
        <f>_xlfn.TEXTBEFORE(_xlfn.TEXTAFTER(I138, "pod-"), "/")</f>
        <v/>
      </c>
      <c r="I138" t="inlineStr">
        <is>
          <t>topology/pod-1/node-201/sys/phys-[eth1/27]/phys</t>
        </is>
      </c>
      <c r="J138">
        <f>VLOOKUP(VALUE(Table6[[#This Row],[node]]), LEAF_INFO!B:I, 7, 0)</f>
        <v/>
      </c>
    </row>
    <row r="139">
      <c r="A139">
        <f>_xlfn.CONCAT(B139,C139)</f>
        <v/>
      </c>
      <c r="B139">
        <f>_xlfn.TEXTBEFORE(_xlfn.TEXTAFTER(I139, "node-"), "/")</f>
        <v/>
      </c>
      <c r="C139">
        <f>_xlfn.TEXTBEFORE(_xlfn.TEXTAFTER(I139, "phys-["), "]")</f>
        <v/>
      </c>
      <c r="D139" t="inlineStr">
        <is>
          <t>Unknown</t>
        </is>
      </c>
      <c r="E139" t="inlineStr">
        <is>
          <t>Unknown</t>
        </is>
      </c>
      <c r="F139" t="inlineStr">
        <is>
          <t>down</t>
        </is>
      </c>
      <c r="G139" t="inlineStr">
        <is>
          <t>sfp-missing</t>
        </is>
      </c>
      <c r="H139">
        <f>_xlfn.TEXTBEFORE(_xlfn.TEXTAFTER(I139, "pod-"), "/")</f>
        <v/>
      </c>
      <c r="I139" t="inlineStr">
        <is>
          <t>topology/pod-1/node-201/sys/phys-[eth1/28]/phys</t>
        </is>
      </c>
      <c r="J139">
        <f>VLOOKUP(VALUE(Table6[[#This Row],[node]]), LEAF_INFO!B:I, 7, 0)</f>
        <v/>
      </c>
    </row>
    <row r="140">
      <c r="A140">
        <f>_xlfn.CONCAT(B140,C140)</f>
        <v/>
      </c>
      <c r="B140">
        <f>_xlfn.TEXTBEFORE(_xlfn.TEXTAFTER(I140, "node-"), "/")</f>
        <v/>
      </c>
      <c r="C140">
        <f>_xlfn.TEXTBEFORE(_xlfn.TEXTAFTER(I140, "phys-["), "]")</f>
        <v/>
      </c>
      <c r="D140" t="inlineStr">
        <is>
          <t>Unknown</t>
        </is>
      </c>
      <c r="E140" t="inlineStr">
        <is>
          <t>Unknown</t>
        </is>
      </c>
      <c r="F140" t="inlineStr">
        <is>
          <t>down</t>
        </is>
      </c>
      <c r="G140" t="inlineStr">
        <is>
          <t>sfp-missing</t>
        </is>
      </c>
      <c r="H140">
        <f>_xlfn.TEXTBEFORE(_xlfn.TEXTAFTER(I140, "pod-"), "/")</f>
        <v/>
      </c>
      <c r="I140" t="inlineStr">
        <is>
          <t>topology/pod-1/node-201/sys/phys-[eth1/29]/phys</t>
        </is>
      </c>
      <c r="J140">
        <f>VLOOKUP(VALUE(Table6[[#This Row],[node]]), LEAF_INFO!B:I, 7, 0)</f>
        <v/>
      </c>
    </row>
    <row r="141">
      <c r="A141">
        <f>_xlfn.CONCAT(B141,C141)</f>
        <v/>
      </c>
      <c r="B141">
        <f>_xlfn.TEXTBEFORE(_xlfn.TEXTAFTER(I141, "node-"), "/")</f>
        <v/>
      </c>
      <c r="C141">
        <f>_xlfn.TEXTBEFORE(_xlfn.TEXTAFTER(I141, "phys-["), "]")</f>
        <v/>
      </c>
      <c r="D141" t="inlineStr">
        <is>
          <t>Unknown</t>
        </is>
      </c>
      <c r="E141" t="inlineStr">
        <is>
          <t>Unknown</t>
        </is>
      </c>
      <c r="F141" t="inlineStr">
        <is>
          <t>down</t>
        </is>
      </c>
      <c r="G141" t="inlineStr">
        <is>
          <t>sfp-missing</t>
        </is>
      </c>
      <c r="H141">
        <f>_xlfn.TEXTBEFORE(_xlfn.TEXTAFTER(I141, "pod-"), "/")</f>
        <v/>
      </c>
      <c r="I141" t="inlineStr">
        <is>
          <t>topology/pod-1/node-201/sys/phys-[eth1/30]/phys</t>
        </is>
      </c>
      <c r="J141">
        <f>VLOOKUP(VALUE(Table6[[#This Row],[node]]), LEAF_INFO!B:I, 7, 0)</f>
        <v/>
      </c>
    </row>
    <row r="142">
      <c r="A142">
        <f>_xlfn.CONCAT(B142,C142)</f>
        <v/>
      </c>
      <c r="B142">
        <f>_xlfn.TEXTBEFORE(_xlfn.TEXTAFTER(I142, "node-"), "/")</f>
        <v/>
      </c>
      <c r="C142">
        <f>_xlfn.TEXTBEFORE(_xlfn.TEXTAFTER(I142, "phys-["), "]")</f>
        <v/>
      </c>
      <c r="D142" t="inlineStr">
        <is>
          <t>Unknown</t>
        </is>
      </c>
      <c r="E142" t="inlineStr">
        <is>
          <t>Unknown</t>
        </is>
      </c>
      <c r="F142" t="inlineStr">
        <is>
          <t>down</t>
        </is>
      </c>
      <c r="G142" t="inlineStr">
        <is>
          <t>sfp-missing</t>
        </is>
      </c>
      <c r="H142">
        <f>_xlfn.TEXTBEFORE(_xlfn.TEXTAFTER(I142, "pod-"), "/")</f>
        <v/>
      </c>
      <c r="I142" t="inlineStr">
        <is>
          <t>topology/pod-1/node-201/sys/phys-[eth1/31]/phys</t>
        </is>
      </c>
      <c r="J142">
        <f>VLOOKUP(VALUE(Table6[[#This Row],[node]]), LEAF_INFO!B:I, 7, 0)</f>
        <v/>
      </c>
    </row>
    <row r="143">
      <c r="A143">
        <f>_xlfn.CONCAT(B143,C143)</f>
        <v/>
      </c>
      <c r="B143">
        <f>_xlfn.TEXTBEFORE(_xlfn.TEXTAFTER(I143, "node-"), "/")</f>
        <v/>
      </c>
      <c r="C143">
        <f>_xlfn.TEXTBEFORE(_xlfn.TEXTAFTER(I143, "phys-["), "]")</f>
        <v/>
      </c>
      <c r="D143" t="inlineStr">
        <is>
          <t>Unknown</t>
        </is>
      </c>
      <c r="E143" t="inlineStr">
        <is>
          <t>Unknown</t>
        </is>
      </c>
      <c r="F143" t="inlineStr">
        <is>
          <t>down</t>
        </is>
      </c>
      <c r="G143" t="inlineStr">
        <is>
          <t>sfp-missing</t>
        </is>
      </c>
      <c r="H143">
        <f>_xlfn.TEXTBEFORE(_xlfn.TEXTAFTER(I143, "pod-"), "/")</f>
        <v/>
      </c>
      <c r="I143" t="inlineStr">
        <is>
          <t>topology/pod-1/node-201/sys/phys-[eth1/32]/phys</t>
        </is>
      </c>
      <c r="J143">
        <f>VLOOKUP(VALUE(Table6[[#This Row],[node]]), LEAF_INFO!B:I, 7, 0)</f>
        <v/>
      </c>
    </row>
    <row r="144">
      <c r="A144">
        <f>_xlfn.CONCAT(B144,C144)</f>
        <v/>
      </c>
      <c r="B144">
        <f>_xlfn.TEXTBEFORE(_xlfn.TEXTAFTER(I144, "node-"), "/")</f>
        <v/>
      </c>
      <c r="C144">
        <f>_xlfn.TEXTBEFORE(_xlfn.TEXTAFTER(I144, "phys-["), "]")</f>
        <v/>
      </c>
      <c r="D144" t="inlineStr">
        <is>
          <t>Unknown</t>
        </is>
      </c>
      <c r="E144" t="inlineStr">
        <is>
          <t>Unknown</t>
        </is>
      </c>
      <c r="F144" t="inlineStr">
        <is>
          <t>down</t>
        </is>
      </c>
      <c r="G144" t="inlineStr">
        <is>
          <t>sfp-missing</t>
        </is>
      </c>
      <c r="H144">
        <f>_xlfn.TEXTBEFORE(_xlfn.TEXTAFTER(I144, "pod-"), "/")</f>
        <v/>
      </c>
      <c r="I144" t="inlineStr">
        <is>
          <t>topology/pod-1/node-202/sys/phys-[eth1/33]/phys</t>
        </is>
      </c>
      <c r="J144">
        <f>VLOOKUP(VALUE(Table6[[#This Row],[node]]), LEAF_INFO!B:I, 7, 0)</f>
        <v/>
      </c>
    </row>
    <row r="145">
      <c r="A145">
        <f>_xlfn.CONCAT(B145,C145)</f>
        <v/>
      </c>
      <c r="B145">
        <f>_xlfn.TEXTBEFORE(_xlfn.TEXTAFTER(I145, "node-"), "/")</f>
        <v/>
      </c>
      <c r="C145">
        <f>_xlfn.TEXTBEFORE(_xlfn.TEXTAFTER(I145, "phys-["), "]")</f>
        <v/>
      </c>
      <c r="D145" t="inlineStr">
        <is>
          <t>Unknown</t>
        </is>
      </c>
      <c r="E145" t="inlineStr">
        <is>
          <t>Unknown</t>
        </is>
      </c>
      <c r="F145" t="inlineStr">
        <is>
          <t>down</t>
        </is>
      </c>
      <c r="G145" t="inlineStr">
        <is>
          <t>sfp-missing</t>
        </is>
      </c>
      <c r="H145">
        <f>_xlfn.TEXTBEFORE(_xlfn.TEXTAFTER(I145, "pod-"), "/")</f>
        <v/>
      </c>
      <c r="I145" t="inlineStr">
        <is>
          <t>topology/pod-1/node-202/sys/phys-[eth1/34]/phys</t>
        </is>
      </c>
      <c r="J145">
        <f>VLOOKUP(VALUE(Table6[[#This Row],[node]]), LEAF_INFO!B:I, 7, 0)</f>
        <v/>
      </c>
    </row>
    <row r="146">
      <c r="A146">
        <f>_xlfn.CONCAT(B146,C146)</f>
        <v/>
      </c>
      <c r="B146">
        <f>_xlfn.TEXTBEFORE(_xlfn.TEXTAFTER(I146, "node-"), "/")</f>
        <v/>
      </c>
      <c r="C146">
        <f>_xlfn.TEXTBEFORE(_xlfn.TEXTAFTER(I146, "phys-["), "]")</f>
        <v/>
      </c>
      <c r="D146" t="inlineStr">
        <is>
          <t>Unknown</t>
        </is>
      </c>
      <c r="E146" t="inlineStr">
        <is>
          <t>Unknown</t>
        </is>
      </c>
      <c r="F146" t="inlineStr">
        <is>
          <t>up</t>
        </is>
      </c>
      <c r="G146" t="inlineStr">
        <is>
          <t>none</t>
        </is>
      </c>
      <c r="H146">
        <f>_xlfn.TEXTBEFORE(_xlfn.TEXTAFTER(I146, "pod-"), "/")</f>
        <v/>
      </c>
      <c r="I146" t="inlineStr">
        <is>
          <t>topology/pod-1/node-202/sys/phys-[eth1/1]/phys</t>
        </is>
      </c>
      <c r="J146">
        <f>VLOOKUP(VALUE(Table6[[#This Row],[node]]), LEAF_INFO!B:I, 7, 0)</f>
        <v/>
      </c>
    </row>
    <row r="147">
      <c r="A147">
        <f>_xlfn.CONCAT(B147,C147)</f>
        <v/>
      </c>
      <c r="B147">
        <f>_xlfn.TEXTBEFORE(_xlfn.TEXTAFTER(I147, "node-"), "/")</f>
        <v/>
      </c>
      <c r="C147">
        <f>_xlfn.TEXTBEFORE(_xlfn.TEXTAFTER(I147, "phys-["), "]")</f>
        <v/>
      </c>
      <c r="D147" t="inlineStr">
        <is>
          <t>Unknown</t>
        </is>
      </c>
      <c r="E147" t="inlineStr">
        <is>
          <t>Unknown</t>
        </is>
      </c>
      <c r="F147" t="inlineStr">
        <is>
          <t>up</t>
        </is>
      </c>
      <c r="G147" t="inlineStr">
        <is>
          <t>none</t>
        </is>
      </c>
      <c r="H147">
        <f>_xlfn.TEXTBEFORE(_xlfn.TEXTAFTER(I147, "pod-"), "/")</f>
        <v/>
      </c>
      <c r="I147" t="inlineStr">
        <is>
          <t>topology/pod-1/node-202/sys/phys-[eth1/2]/phys</t>
        </is>
      </c>
      <c r="J147">
        <f>VLOOKUP(VALUE(Table6[[#This Row],[node]]), LEAF_INFO!B:I, 7, 0)</f>
        <v/>
      </c>
    </row>
    <row r="148">
      <c r="A148">
        <f>_xlfn.CONCAT(B148,C148)</f>
        <v/>
      </c>
      <c r="B148">
        <f>_xlfn.TEXTBEFORE(_xlfn.TEXTAFTER(I148, "node-"), "/")</f>
        <v/>
      </c>
      <c r="C148">
        <f>_xlfn.TEXTBEFORE(_xlfn.TEXTAFTER(I148, "phys-["), "]")</f>
        <v/>
      </c>
      <c r="D148" t="inlineStr">
        <is>
          <t>Unknown</t>
        </is>
      </c>
      <c r="E148" t="inlineStr">
        <is>
          <t>Unknown</t>
        </is>
      </c>
      <c r="F148" t="inlineStr">
        <is>
          <t>up</t>
        </is>
      </c>
      <c r="G148" t="inlineStr">
        <is>
          <t>none</t>
        </is>
      </c>
      <c r="H148">
        <f>_xlfn.TEXTBEFORE(_xlfn.TEXTAFTER(I148, "pod-"), "/")</f>
        <v/>
      </c>
      <c r="I148" t="inlineStr">
        <is>
          <t>topology/pod-1/node-202/sys/phys-[eth1/3]/phys</t>
        </is>
      </c>
      <c r="J148">
        <f>VLOOKUP(VALUE(Table6[[#This Row],[node]]), LEAF_INFO!B:I, 7, 0)</f>
        <v/>
      </c>
    </row>
    <row r="149">
      <c r="A149">
        <f>_xlfn.CONCAT(B149,C149)</f>
        <v/>
      </c>
      <c r="B149">
        <f>_xlfn.TEXTBEFORE(_xlfn.TEXTAFTER(I149, "node-"), "/")</f>
        <v/>
      </c>
      <c r="C149">
        <f>_xlfn.TEXTBEFORE(_xlfn.TEXTAFTER(I149, "phys-["), "]")</f>
        <v/>
      </c>
      <c r="D149" t="inlineStr">
        <is>
          <t>Unknown</t>
        </is>
      </c>
      <c r="E149" t="inlineStr">
        <is>
          <t>Unknown</t>
        </is>
      </c>
      <c r="F149" t="inlineStr">
        <is>
          <t>up</t>
        </is>
      </c>
      <c r="G149" t="inlineStr">
        <is>
          <t>none</t>
        </is>
      </c>
      <c r="H149">
        <f>_xlfn.TEXTBEFORE(_xlfn.TEXTAFTER(I149, "pod-"), "/")</f>
        <v/>
      </c>
      <c r="I149" t="inlineStr">
        <is>
          <t>topology/pod-1/node-202/sys/phys-[eth1/4]/phys</t>
        </is>
      </c>
      <c r="J149">
        <f>VLOOKUP(VALUE(Table6[[#This Row],[node]]), LEAF_INFO!B:I, 7, 0)</f>
        <v/>
      </c>
    </row>
    <row r="150">
      <c r="A150">
        <f>_xlfn.CONCAT(B150,C150)</f>
        <v/>
      </c>
      <c r="B150">
        <f>_xlfn.TEXTBEFORE(_xlfn.TEXTAFTER(I150, "node-"), "/")</f>
        <v/>
      </c>
      <c r="C150">
        <f>_xlfn.TEXTBEFORE(_xlfn.TEXTAFTER(I150, "phys-["), "]")</f>
        <v/>
      </c>
      <c r="D150" t="inlineStr">
        <is>
          <t>Unknown</t>
        </is>
      </c>
      <c r="E150" t="inlineStr">
        <is>
          <t>Unknown</t>
        </is>
      </c>
      <c r="F150" t="inlineStr">
        <is>
          <t>down</t>
        </is>
      </c>
      <c r="G150" t="inlineStr">
        <is>
          <t>sfp-missing</t>
        </is>
      </c>
      <c r="H150">
        <f>_xlfn.TEXTBEFORE(_xlfn.TEXTAFTER(I150, "pod-"), "/")</f>
        <v/>
      </c>
      <c r="I150" t="inlineStr">
        <is>
          <t>topology/pod-1/node-202/sys/phys-[eth1/5]/phys</t>
        </is>
      </c>
      <c r="J150">
        <f>VLOOKUP(VALUE(Table6[[#This Row],[node]]), LEAF_INFO!B:I, 7, 0)</f>
        <v/>
      </c>
    </row>
    <row r="151">
      <c r="A151">
        <f>_xlfn.CONCAT(B151,C151)</f>
        <v/>
      </c>
      <c r="B151">
        <f>_xlfn.TEXTBEFORE(_xlfn.TEXTAFTER(I151, "node-"), "/")</f>
        <v/>
      </c>
      <c r="C151">
        <f>_xlfn.TEXTBEFORE(_xlfn.TEXTAFTER(I151, "phys-["), "]")</f>
        <v/>
      </c>
      <c r="D151" t="inlineStr">
        <is>
          <t>Unknown</t>
        </is>
      </c>
      <c r="E151" t="inlineStr">
        <is>
          <t>Unknown</t>
        </is>
      </c>
      <c r="F151" t="inlineStr">
        <is>
          <t>down</t>
        </is>
      </c>
      <c r="G151" t="inlineStr">
        <is>
          <t>sfp-missing</t>
        </is>
      </c>
      <c r="H151">
        <f>_xlfn.TEXTBEFORE(_xlfn.TEXTAFTER(I151, "pod-"), "/")</f>
        <v/>
      </c>
      <c r="I151" t="inlineStr">
        <is>
          <t>topology/pod-1/node-202/sys/phys-[eth1/6]/phys</t>
        </is>
      </c>
      <c r="J151">
        <f>VLOOKUP(VALUE(Table6[[#This Row],[node]]), LEAF_INFO!B:I, 7, 0)</f>
        <v/>
      </c>
    </row>
    <row r="152">
      <c r="A152">
        <f>_xlfn.CONCAT(B152,C152)</f>
        <v/>
      </c>
      <c r="B152">
        <f>_xlfn.TEXTBEFORE(_xlfn.TEXTAFTER(I152, "node-"), "/")</f>
        <v/>
      </c>
      <c r="C152">
        <f>_xlfn.TEXTBEFORE(_xlfn.TEXTAFTER(I152, "phys-["), "]")</f>
        <v/>
      </c>
      <c r="D152" t="inlineStr">
        <is>
          <t>Unknown</t>
        </is>
      </c>
      <c r="E152" t="inlineStr">
        <is>
          <t>Unknown</t>
        </is>
      </c>
      <c r="F152" t="inlineStr">
        <is>
          <t>down</t>
        </is>
      </c>
      <c r="G152" t="inlineStr">
        <is>
          <t>sfp-missing</t>
        </is>
      </c>
      <c r="H152">
        <f>_xlfn.TEXTBEFORE(_xlfn.TEXTAFTER(I152, "pod-"), "/")</f>
        <v/>
      </c>
      <c r="I152" t="inlineStr">
        <is>
          <t>topology/pod-1/node-202/sys/phys-[eth1/7]/phys</t>
        </is>
      </c>
      <c r="J152">
        <f>VLOOKUP(VALUE(Table6[[#This Row],[node]]), LEAF_INFO!B:I, 7, 0)</f>
        <v/>
      </c>
    </row>
    <row r="153">
      <c r="A153">
        <f>_xlfn.CONCAT(B153,C153)</f>
        <v/>
      </c>
      <c r="B153">
        <f>_xlfn.TEXTBEFORE(_xlfn.TEXTAFTER(I153, "node-"), "/")</f>
        <v/>
      </c>
      <c r="C153">
        <f>_xlfn.TEXTBEFORE(_xlfn.TEXTAFTER(I153, "phys-["), "]")</f>
        <v/>
      </c>
      <c r="D153" t="inlineStr">
        <is>
          <t>Unknown</t>
        </is>
      </c>
      <c r="E153" t="inlineStr">
        <is>
          <t>Unknown</t>
        </is>
      </c>
      <c r="F153" t="inlineStr">
        <is>
          <t>down</t>
        </is>
      </c>
      <c r="G153" t="inlineStr">
        <is>
          <t>sfp-missing</t>
        </is>
      </c>
      <c r="H153">
        <f>_xlfn.TEXTBEFORE(_xlfn.TEXTAFTER(I153, "pod-"), "/")</f>
        <v/>
      </c>
      <c r="I153" t="inlineStr">
        <is>
          <t>topology/pod-1/node-202/sys/phys-[eth1/8]/phys</t>
        </is>
      </c>
      <c r="J153">
        <f>VLOOKUP(VALUE(Table6[[#This Row],[node]]), LEAF_INFO!B:I, 7, 0)</f>
        <v/>
      </c>
    </row>
    <row r="154">
      <c r="A154">
        <f>_xlfn.CONCAT(B154,C154)</f>
        <v/>
      </c>
      <c r="B154">
        <f>_xlfn.TEXTBEFORE(_xlfn.TEXTAFTER(I154, "node-"), "/")</f>
        <v/>
      </c>
      <c r="C154">
        <f>_xlfn.TEXTBEFORE(_xlfn.TEXTAFTER(I154, "phys-["), "]")</f>
        <v/>
      </c>
      <c r="D154" t="inlineStr">
        <is>
          <t>Unknown</t>
        </is>
      </c>
      <c r="E154" t="inlineStr">
        <is>
          <t>Unknown</t>
        </is>
      </c>
      <c r="F154" t="inlineStr">
        <is>
          <t>down</t>
        </is>
      </c>
      <c r="G154" t="inlineStr">
        <is>
          <t>sfp-missing</t>
        </is>
      </c>
      <c r="H154">
        <f>_xlfn.TEXTBEFORE(_xlfn.TEXTAFTER(I154, "pod-"), "/")</f>
        <v/>
      </c>
      <c r="I154" t="inlineStr">
        <is>
          <t>topology/pod-1/node-202/sys/phys-[eth1/9]/phys</t>
        </is>
      </c>
      <c r="J154">
        <f>VLOOKUP(VALUE(Table6[[#This Row],[node]]), LEAF_INFO!B:I, 7, 0)</f>
        <v/>
      </c>
    </row>
    <row r="155">
      <c r="A155">
        <f>_xlfn.CONCAT(B155,C155)</f>
        <v/>
      </c>
      <c r="B155">
        <f>_xlfn.TEXTBEFORE(_xlfn.TEXTAFTER(I155, "node-"), "/")</f>
        <v/>
      </c>
      <c r="C155">
        <f>_xlfn.TEXTBEFORE(_xlfn.TEXTAFTER(I155, "phys-["), "]")</f>
        <v/>
      </c>
      <c r="D155" t="inlineStr">
        <is>
          <t>Unknown</t>
        </is>
      </c>
      <c r="E155" t="inlineStr">
        <is>
          <t>Unknown</t>
        </is>
      </c>
      <c r="F155" t="inlineStr">
        <is>
          <t>down</t>
        </is>
      </c>
      <c r="G155" t="inlineStr">
        <is>
          <t>sfp-missing</t>
        </is>
      </c>
      <c r="H155">
        <f>_xlfn.TEXTBEFORE(_xlfn.TEXTAFTER(I155, "pod-"), "/")</f>
        <v/>
      </c>
      <c r="I155" t="inlineStr">
        <is>
          <t>topology/pod-1/node-202/sys/phys-[eth1/10]/phys</t>
        </is>
      </c>
      <c r="J155">
        <f>VLOOKUP(VALUE(Table6[[#This Row],[node]]), LEAF_INFO!B:I, 7, 0)</f>
        <v/>
      </c>
    </row>
    <row r="156">
      <c r="A156">
        <f>_xlfn.CONCAT(B156,C156)</f>
        <v/>
      </c>
      <c r="B156">
        <f>_xlfn.TEXTBEFORE(_xlfn.TEXTAFTER(I156, "node-"), "/")</f>
        <v/>
      </c>
      <c r="C156">
        <f>_xlfn.TEXTBEFORE(_xlfn.TEXTAFTER(I156, "phys-["), "]")</f>
        <v/>
      </c>
      <c r="D156" t="inlineStr">
        <is>
          <t>Unknown</t>
        </is>
      </c>
      <c r="E156" t="inlineStr">
        <is>
          <t>Unknown</t>
        </is>
      </c>
      <c r="F156" t="inlineStr">
        <is>
          <t>down</t>
        </is>
      </c>
      <c r="G156" t="inlineStr">
        <is>
          <t>sfp-missing</t>
        </is>
      </c>
      <c r="H156">
        <f>_xlfn.TEXTBEFORE(_xlfn.TEXTAFTER(I156, "pod-"), "/")</f>
        <v/>
      </c>
      <c r="I156" t="inlineStr">
        <is>
          <t>topology/pod-1/node-202/sys/phys-[eth1/11]/phys</t>
        </is>
      </c>
      <c r="J156">
        <f>VLOOKUP(VALUE(Table6[[#This Row],[node]]), LEAF_INFO!B:I, 7, 0)</f>
        <v/>
      </c>
    </row>
    <row r="157">
      <c r="A157">
        <f>_xlfn.CONCAT(B157,C157)</f>
        <v/>
      </c>
      <c r="B157">
        <f>_xlfn.TEXTBEFORE(_xlfn.TEXTAFTER(I157, "node-"), "/")</f>
        <v/>
      </c>
      <c r="C157">
        <f>_xlfn.TEXTBEFORE(_xlfn.TEXTAFTER(I157, "phys-["), "]")</f>
        <v/>
      </c>
      <c r="D157" t="inlineStr">
        <is>
          <t>Unknown</t>
        </is>
      </c>
      <c r="E157" t="inlineStr">
        <is>
          <t>Unknown</t>
        </is>
      </c>
      <c r="F157" t="inlineStr">
        <is>
          <t>down</t>
        </is>
      </c>
      <c r="G157" t="inlineStr">
        <is>
          <t>sfp-missing</t>
        </is>
      </c>
      <c r="H157">
        <f>_xlfn.TEXTBEFORE(_xlfn.TEXTAFTER(I157, "pod-"), "/")</f>
        <v/>
      </c>
      <c r="I157" t="inlineStr">
        <is>
          <t>topology/pod-1/node-202/sys/phys-[eth1/12]/phys</t>
        </is>
      </c>
      <c r="J157">
        <f>VLOOKUP(VALUE(Table6[[#This Row],[node]]), LEAF_INFO!B:I, 7, 0)</f>
        <v/>
      </c>
    </row>
    <row r="158">
      <c r="A158">
        <f>_xlfn.CONCAT(B158,C158)</f>
        <v/>
      </c>
      <c r="B158">
        <f>_xlfn.TEXTBEFORE(_xlfn.TEXTAFTER(I158, "node-"), "/")</f>
        <v/>
      </c>
      <c r="C158">
        <f>_xlfn.TEXTBEFORE(_xlfn.TEXTAFTER(I158, "phys-["), "]")</f>
        <v/>
      </c>
      <c r="D158" t="inlineStr">
        <is>
          <t>Unknown</t>
        </is>
      </c>
      <c r="E158" t="inlineStr">
        <is>
          <t>Unknown</t>
        </is>
      </c>
      <c r="F158" t="inlineStr">
        <is>
          <t>down</t>
        </is>
      </c>
      <c r="G158" t="inlineStr">
        <is>
          <t>sfp-missing</t>
        </is>
      </c>
      <c r="H158">
        <f>_xlfn.TEXTBEFORE(_xlfn.TEXTAFTER(I158, "pod-"), "/")</f>
        <v/>
      </c>
      <c r="I158" t="inlineStr">
        <is>
          <t>topology/pod-1/node-202/sys/phys-[eth1/13]/phys</t>
        </is>
      </c>
      <c r="J158">
        <f>VLOOKUP(VALUE(Table6[[#This Row],[node]]), LEAF_INFO!B:I, 7, 0)</f>
        <v/>
      </c>
    </row>
    <row r="159">
      <c r="A159">
        <f>_xlfn.CONCAT(B159,C159)</f>
        <v/>
      </c>
      <c r="B159">
        <f>_xlfn.TEXTBEFORE(_xlfn.TEXTAFTER(I159, "node-"), "/")</f>
        <v/>
      </c>
      <c r="C159">
        <f>_xlfn.TEXTBEFORE(_xlfn.TEXTAFTER(I159, "phys-["), "]")</f>
        <v/>
      </c>
      <c r="D159" t="inlineStr">
        <is>
          <t>Unknown</t>
        </is>
      </c>
      <c r="E159" t="inlineStr">
        <is>
          <t>Unknown</t>
        </is>
      </c>
      <c r="F159" t="inlineStr">
        <is>
          <t>down</t>
        </is>
      </c>
      <c r="G159" t="inlineStr">
        <is>
          <t>sfp-missing</t>
        </is>
      </c>
      <c r="H159">
        <f>_xlfn.TEXTBEFORE(_xlfn.TEXTAFTER(I159, "pod-"), "/")</f>
        <v/>
      </c>
      <c r="I159" t="inlineStr">
        <is>
          <t>topology/pod-1/node-202/sys/phys-[eth1/14]/phys</t>
        </is>
      </c>
      <c r="J159">
        <f>VLOOKUP(VALUE(Table6[[#This Row],[node]]), LEAF_INFO!B:I, 7, 0)</f>
        <v/>
      </c>
    </row>
    <row r="160">
      <c r="A160">
        <f>_xlfn.CONCAT(B160,C160)</f>
        <v/>
      </c>
      <c r="B160">
        <f>_xlfn.TEXTBEFORE(_xlfn.TEXTAFTER(I160, "node-"), "/")</f>
        <v/>
      </c>
      <c r="C160">
        <f>_xlfn.TEXTBEFORE(_xlfn.TEXTAFTER(I160, "phys-["), "]")</f>
        <v/>
      </c>
      <c r="D160" t="inlineStr">
        <is>
          <t>Unknown</t>
        </is>
      </c>
      <c r="E160" t="inlineStr">
        <is>
          <t>Unknown</t>
        </is>
      </c>
      <c r="F160" t="inlineStr">
        <is>
          <t>down</t>
        </is>
      </c>
      <c r="G160" t="inlineStr">
        <is>
          <t>sfp-missing</t>
        </is>
      </c>
      <c r="H160">
        <f>_xlfn.TEXTBEFORE(_xlfn.TEXTAFTER(I160, "pod-"), "/")</f>
        <v/>
      </c>
      <c r="I160" t="inlineStr">
        <is>
          <t>topology/pod-1/node-202/sys/phys-[eth1/15]/phys</t>
        </is>
      </c>
      <c r="J160">
        <f>VLOOKUP(VALUE(Table6[[#This Row],[node]]), LEAF_INFO!B:I, 7, 0)</f>
        <v/>
      </c>
    </row>
    <row r="161">
      <c r="A161">
        <f>_xlfn.CONCAT(B161,C161)</f>
        <v/>
      </c>
      <c r="B161">
        <f>_xlfn.TEXTBEFORE(_xlfn.TEXTAFTER(I161, "node-"), "/")</f>
        <v/>
      </c>
      <c r="C161">
        <f>_xlfn.TEXTBEFORE(_xlfn.TEXTAFTER(I161, "phys-["), "]")</f>
        <v/>
      </c>
      <c r="D161" t="inlineStr">
        <is>
          <t>Unknown</t>
        </is>
      </c>
      <c r="E161" t="inlineStr">
        <is>
          <t>Unknown</t>
        </is>
      </c>
      <c r="F161" t="inlineStr">
        <is>
          <t>down</t>
        </is>
      </c>
      <c r="G161" t="inlineStr">
        <is>
          <t>sfp-missing</t>
        </is>
      </c>
      <c r="H161">
        <f>_xlfn.TEXTBEFORE(_xlfn.TEXTAFTER(I161, "pod-"), "/")</f>
        <v/>
      </c>
      <c r="I161" t="inlineStr">
        <is>
          <t>topology/pod-1/node-202/sys/phys-[eth1/16]/phys</t>
        </is>
      </c>
      <c r="J161">
        <f>VLOOKUP(VALUE(Table6[[#This Row],[node]]), LEAF_INFO!B:I, 7, 0)</f>
        <v/>
      </c>
    </row>
    <row r="162">
      <c r="A162">
        <f>_xlfn.CONCAT(B162,C162)</f>
        <v/>
      </c>
      <c r="B162">
        <f>_xlfn.TEXTBEFORE(_xlfn.TEXTAFTER(I162, "node-"), "/")</f>
        <v/>
      </c>
      <c r="C162">
        <f>_xlfn.TEXTBEFORE(_xlfn.TEXTAFTER(I162, "phys-["), "]")</f>
        <v/>
      </c>
      <c r="D162" t="inlineStr">
        <is>
          <t>Unknown</t>
        </is>
      </c>
      <c r="E162" t="inlineStr">
        <is>
          <t>Unknown</t>
        </is>
      </c>
      <c r="F162" t="inlineStr">
        <is>
          <t>down</t>
        </is>
      </c>
      <c r="G162" t="inlineStr">
        <is>
          <t>sfp-missing</t>
        </is>
      </c>
      <c r="H162">
        <f>_xlfn.TEXTBEFORE(_xlfn.TEXTAFTER(I162, "pod-"), "/")</f>
        <v/>
      </c>
      <c r="I162" t="inlineStr">
        <is>
          <t>topology/pod-1/node-202/sys/phys-[eth1/17]/phys</t>
        </is>
      </c>
      <c r="J162">
        <f>VLOOKUP(VALUE(Table6[[#This Row],[node]]), LEAF_INFO!B:I, 7, 0)</f>
        <v/>
      </c>
    </row>
    <row r="163">
      <c r="A163">
        <f>_xlfn.CONCAT(B163,C163)</f>
        <v/>
      </c>
      <c r="B163">
        <f>_xlfn.TEXTBEFORE(_xlfn.TEXTAFTER(I163, "node-"), "/")</f>
        <v/>
      </c>
      <c r="C163">
        <f>_xlfn.TEXTBEFORE(_xlfn.TEXTAFTER(I163, "phys-["), "]")</f>
        <v/>
      </c>
      <c r="D163" t="inlineStr">
        <is>
          <t>Unknown</t>
        </is>
      </c>
      <c r="E163" t="inlineStr">
        <is>
          <t>Unknown</t>
        </is>
      </c>
      <c r="F163" t="inlineStr">
        <is>
          <t>down</t>
        </is>
      </c>
      <c r="G163" t="inlineStr">
        <is>
          <t>sfp-missing</t>
        </is>
      </c>
      <c r="H163">
        <f>_xlfn.TEXTBEFORE(_xlfn.TEXTAFTER(I163, "pod-"), "/")</f>
        <v/>
      </c>
      <c r="I163" t="inlineStr">
        <is>
          <t>topology/pod-1/node-202/sys/phys-[eth1/18]/phys</t>
        </is>
      </c>
      <c r="J163">
        <f>VLOOKUP(VALUE(Table6[[#This Row],[node]]), LEAF_INFO!B:I, 7, 0)</f>
        <v/>
      </c>
    </row>
    <row r="164">
      <c r="A164">
        <f>_xlfn.CONCAT(B164,C164)</f>
        <v/>
      </c>
      <c r="B164">
        <f>_xlfn.TEXTBEFORE(_xlfn.TEXTAFTER(I164, "node-"), "/")</f>
        <v/>
      </c>
      <c r="C164">
        <f>_xlfn.TEXTBEFORE(_xlfn.TEXTAFTER(I164, "phys-["), "]")</f>
        <v/>
      </c>
      <c r="D164" t="inlineStr">
        <is>
          <t>Unknown</t>
        </is>
      </c>
      <c r="E164" t="inlineStr">
        <is>
          <t>Unknown</t>
        </is>
      </c>
      <c r="F164" t="inlineStr">
        <is>
          <t>down</t>
        </is>
      </c>
      <c r="G164" t="inlineStr">
        <is>
          <t>sfp-missing</t>
        </is>
      </c>
      <c r="H164">
        <f>_xlfn.TEXTBEFORE(_xlfn.TEXTAFTER(I164, "pod-"), "/")</f>
        <v/>
      </c>
      <c r="I164" t="inlineStr">
        <is>
          <t>topology/pod-1/node-202/sys/phys-[eth1/19]/phys</t>
        </is>
      </c>
      <c r="J164">
        <f>VLOOKUP(VALUE(Table6[[#This Row],[node]]), LEAF_INFO!B:I, 7, 0)</f>
        <v/>
      </c>
    </row>
    <row r="165">
      <c r="A165">
        <f>_xlfn.CONCAT(B165,C165)</f>
        <v/>
      </c>
      <c r="B165">
        <f>_xlfn.TEXTBEFORE(_xlfn.TEXTAFTER(I165, "node-"), "/")</f>
        <v/>
      </c>
      <c r="C165">
        <f>_xlfn.TEXTBEFORE(_xlfn.TEXTAFTER(I165, "phys-["), "]")</f>
        <v/>
      </c>
      <c r="D165" t="inlineStr">
        <is>
          <t>Unknown</t>
        </is>
      </c>
      <c r="E165" t="inlineStr">
        <is>
          <t>Unknown</t>
        </is>
      </c>
      <c r="F165" t="inlineStr">
        <is>
          <t>down</t>
        </is>
      </c>
      <c r="G165" t="inlineStr">
        <is>
          <t>sfp-missing</t>
        </is>
      </c>
      <c r="H165">
        <f>_xlfn.TEXTBEFORE(_xlfn.TEXTAFTER(I165, "pod-"), "/")</f>
        <v/>
      </c>
      <c r="I165" t="inlineStr">
        <is>
          <t>topology/pod-1/node-202/sys/phys-[eth1/20]/phys</t>
        </is>
      </c>
      <c r="J165">
        <f>VLOOKUP(VALUE(Table6[[#This Row],[node]]), LEAF_INFO!B:I, 7, 0)</f>
        <v/>
      </c>
    </row>
    <row r="166">
      <c r="A166">
        <f>_xlfn.CONCAT(B166,C166)</f>
        <v/>
      </c>
      <c r="B166">
        <f>_xlfn.TEXTBEFORE(_xlfn.TEXTAFTER(I166, "node-"), "/")</f>
        <v/>
      </c>
      <c r="C166">
        <f>_xlfn.TEXTBEFORE(_xlfn.TEXTAFTER(I166, "phys-["), "]")</f>
        <v/>
      </c>
      <c r="D166" t="inlineStr">
        <is>
          <t>Unknown</t>
        </is>
      </c>
      <c r="E166" t="inlineStr">
        <is>
          <t>Unknown</t>
        </is>
      </c>
      <c r="F166" t="inlineStr">
        <is>
          <t>down</t>
        </is>
      </c>
      <c r="G166" t="inlineStr">
        <is>
          <t>sfp-missing</t>
        </is>
      </c>
      <c r="H166">
        <f>_xlfn.TEXTBEFORE(_xlfn.TEXTAFTER(I166, "pod-"), "/")</f>
        <v/>
      </c>
      <c r="I166" t="inlineStr">
        <is>
          <t>topology/pod-1/node-202/sys/phys-[eth1/21]/phys</t>
        </is>
      </c>
      <c r="J166">
        <f>VLOOKUP(VALUE(Table6[[#This Row],[node]]), LEAF_INFO!B:I, 7, 0)</f>
        <v/>
      </c>
    </row>
    <row r="167">
      <c r="A167">
        <f>_xlfn.CONCAT(B167,C167)</f>
        <v/>
      </c>
      <c r="B167">
        <f>_xlfn.TEXTBEFORE(_xlfn.TEXTAFTER(I167, "node-"), "/")</f>
        <v/>
      </c>
      <c r="C167">
        <f>_xlfn.TEXTBEFORE(_xlfn.TEXTAFTER(I167, "phys-["), "]")</f>
        <v/>
      </c>
      <c r="D167" t="inlineStr">
        <is>
          <t>Unknown</t>
        </is>
      </c>
      <c r="E167" t="inlineStr">
        <is>
          <t>Unknown</t>
        </is>
      </c>
      <c r="F167" t="inlineStr">
        <is>
          <t>down</t>
        </is>
      </c>
      <c r="G167" t="inlineStr">
        <is>
          <t>sfp-missing</t>
        </is>
      </c>
      <c r="H167">
        <f>_xlfn.TEXTBEFORE(_xlfn.TEXTAFTER(I167, "pod-"), "/")</f>
        <v/>
      </c>
      <c r="I167" t="inlineStr">
        <is>
          <t>topology/pod-1/node-202/sys/phys-[eth1/22]/phys</t>
        </is>
      </c>
      <c r="J167">
        <f>VLOOKUP(VALUE(Table6[[#This Row],[node]]), LEAF_INFO!B:I, 7, 0)</f>
        <v/>
      </c>
    </row>
    <row r="168">
      <c r="A168">
        <f>_xlfn.CONCAT(B168,C168)</f>
        <v/>
      </c>
      <c r="B168">
        <f>_xlfn.TEXTBEFORE(_xlfn.TEXTAFTER(I168, "node-"), "/")</f>
        <v/>
      </c>
      <c r="C168">
        <f>_xlfn.TEXTBEFORE(_xlfn.TEXTAFTER(I168, "phys-["), "]")</f>
        <v/>
      </c>
      <c r="D168" t="inlineStr">
        <is>
          <t>Unknown</t>
        </is>
      </c>
      <c r="E168" t="inlineStr">
        <is>
          <t>Unknown</t>
        </is>
      </c>
      <c r="F168" t="inlineStr">
        <is>
          <t>down</t>
        </is>
      </c>
      <c r="G168" t="inlineStr">
        <is>
          <t>sfp-missing</t>
        </is>
      </c>
      <c r="H168">
        <f>_xlfn.TEXTBEFORE(_xlfn.TEXTAFTER(I168, "pod-"), "/")</f>
        <v/>
      </c>
      <c r="I168" t="inlineStr">
        <is>
          <t>topology/pod-1/node-202/sys/phys-[eth1/23]/phys</t>
        </is>
      </c>
      <c r="J168">
        <f>VLOOKUP(VALUE(Table6[[#This Row],[node]]), LEAF_INFO!B:I, 7, 0)</f>
        <v/>
      </c>
    </row>
    <row r="169">
      <c r="A169">
        <f>_xlfn.CONCAT(B169,C169)</f>
        <v/>
      </c>
      <c r="B169">
        <f>_xlfn.TEXTBEFORE(_xlfn.TEXTAFTER(I169, "node-"), "/")</f>
        <v/>
      </c>
      <c r="C169">
        <f>_xlfn.TEXTBEFORE(_xlfn.TEXTAFTER(I169, "phys-["), "]")</f>
        <v/>
      </c>
      <c r="D169" t="inlineStr">
        <is>
          <t>Unknown</t>
        </is>
      </c>
      <c r="E169" t="inlineStr">
        <is>
          <t>Unknown</t>
        </is>
      </c>
      <c r="F169" t="inlineStr">
        <is>
          <t>down</t>
        </is>
      </c>
      <c r="G169" t="inlineStr">
        <is>
          <t>sfp-missing</t>
        </is>
      </c>
      <c r="H169">
        <f>_xlfn.TEXTBEFORE(_xlfn.TEXTAFTER(I169, "pod-"), "/")</f>
        <v/>
      </c>
      <c r="I169" t="inlineStr">
        <is>
          <t>topology/pod-1/node-202/sys/phys-[eth1/24]/phys</t>
        </is>
      </c>
      <c r="J169">
        <f>VLOOKUP(VALUE(Table6[[#This Row],[node]]), LEAF_INFO!B:I, 7, 0)</f>
        <v/>
      </c>
    </row>
    <row r="170">
      <c r="A170">
        <f>_xlfn.CONCAT(B170,C170)</f>
        <v/>
      </c>
      <c r="B170">
        <f>_xlfn.TEXTBEFORE(_xlfn.TEXTAFTER(I170, "node-"), "/")</f>
        <v/>
      </c>
      <c r="C170">
        <f>_xlfn.TEXTBEFORE(_xlfn.TEXTAFTER(I170, "phys-["), "]")</f>
        <v/>
      </c>
      <c r="D170" t="inlineStr">
        <is>
          <t>Unknown</t>
        </is>
      </c>
      <c r="E170" t="inlineStr">
        <is>
          <t>Unknown</t>
        </is>
      </c>
      <c r="F170" t="inlineStr">
        <is>
          <t>down</t>
        </is>
      </c>
      <c r="G170" t="inlineStr">
        <is>
          <t>sfp-missing</t>
        </is>
      </c>
      <c r="H170">
        <f>_xlfn.TEXTBEFORE(_xlfn.TEXTAFTER(I170, "pod-"), "/")</f>
        <v/>
      </c>
      <c r="I170" t="inlineStr">
        <is>
          <t>topology/pod-1/node-202/sys/phys-[eth1/25]/phys</t>
        </is>
      </c>
      <c r="J170">
        <f>VLOOKUP(VALUE(Table6[[#This Row],[node]]), LEAF_INFO!B:I, 7, 0)</f>
        <v/>
      </c>
    </row>
    <row r="171">
      <c r="A171">
        <f>_xlfn.CONCAT(B171,C171)</f>
        <v/>
      </c>
      <c r="B171">
        <f>_xlfn.TEXTBEFORE(_xlfn.TEXTAFTER(I171, "node-"), "/")</f>
        <v/>
      </c>
      <c r="C171">
        <f>_xlfn.TEXTBEFORE(_xlfn.TEXTAFTER(I171, "phys-["), "]")</f>
        <v/>
      </c>
      <c r="D171" t="inlineStr">
        <is>
          <t>Unknown</t>
        </is>
      </c>
      <c r="E171" t="inlineStr">
        <is>
          <t>Unknown</t>
        </is>
      </c>
      <c r="F171" t="inlineStr">
        <is>
          <t>down</t>
        </is>
      </c>
      <c r="G171" t="inlineStr">
        <is>
          <t>sfp-missing</t>
        </is>
      </c>
      <c r="H171">
        <f>_xlfn.TEXTBEFORE(_xlfn.TEXTAFTER(I171, "pod-"), "/")</f>
        <v/>
      </c>
      <c r="I171" t="inlineStr">
        <is>
          <t>topology/pod-1/node-202/sys/phys-[eth1/26]/phys</t>
        </is>
      </c>
      <c r="J171">
        <f>VLOOKUP(VALUE(Table6[[#This Row],[node]]), LEAF_INFO!B:I, 7, 0)</f>
        <v/>
      </c>
    </row>
    <row r="172">
      <c r="A172">
        <f>_xlfn.CONCAT(B172,C172)</f>
        <v/>
      </c>
      <c r="B172">
        <f>_xlfn.TEXTBEFORE(_xlfn.TEXTAFTER(I172, "node-"), "/")</f>
        <v/>
      </c>
      <c r="C172">
        <f>_xlfn.TEXTBEFORE(_xlfn.TEXTAFTER(I172, "phys-["), "]")</f>
        <v/>
      </c>
      <c r="D172" t="inlineStr">
        <is>
          <t>Unknown</t>
        </is>
      </c>
      <c r="E172" t="inlineStr">
        <is>
          <t>Unknown</t>
        </is>
      </c>
      <c r="F172" t="inlineStr">
        <is>
          <t>down</t>
        </is>
      </c>
      <c r="G172" t="inlineStr">
        <is>
          <t>sfp-missing</t>
        </is>
      </c>
      <c r="H172">
        <f>_xlfn.TEXTBEFORE(_xlfn.TEXTAFTER(I172, "pod-"), "/")</f>
        <v/>
      </c>
      <c r="I172" t="inlineStr">
        <is>
          <t>topology/pod-1/node-202/sys/phys-[eth1/27]/phys</t>
        </is>
      </c>
      <c r="J172">
        <f>VLOOKUP(VALUE(Table6[[#This Row],[node]]), LEAF_INFO!B:I, 7, 0)</f>
        <v/>
      </c>
    </row>
    <row r="173">
      <c r="A173">
        <f>_xlfn.CONCAT(B173,C173)</f>
        <v/>
      </c>
      <c r="B173">
        <f>_xlfn.TEXTBEFORE(_xlfn.TEXTAFTER(I173, "node-"), "/")</f>
        <v/>
      </c>
      <c r="C173">
        <f>_xlfn.TEXTBEFORE(_xlfn.TEXTAFTER(I173, "phys-["), "]")</f>
        <v/>
      </c>
      <c r="D173" t="inlineStr">
        <is>
          <t>Unknown</t>
        </is>
      </c>
      <c r="E173" t="inlineStr">
        <is>
          <t>Unknown</t>
        </is>
      </c>
      <c r="F173" t="inlineStr">
        <is>
          <t>down</t>
        </is>
      </c>
      <c r="G173" t="inlineStr">
        <is>
          <t>sfp-missing</t>
        </is>
      </c>
      <c r="H173">
        <f>_xlfn.TEXTBEFORE(_xlfn.TEXTAFTER(I173, "pod-"), "/")</f>
        <v/>
      </c>
      <c r="I173" t="inlineStr">
        <is>
          <t>topology/pod-1/node-202/sys/phys-[eth1/28]/phys</t>
        </is>
      </c>
      <c r="J173">
        <f>VLOOKUP(VALUE(Table6[[#This Row],[node]]), LEAF_INFO!B:I, 7, 0)</f>
        <v/>
      </c>
    </row>
    <row r="174">
      <c r="A174">
        <f>_xlfn.CONCAT(B174,C174)</f>
        <v/>
      </c>
      <c r="B174">
        <f>_xlfn.TEXTBEFORE(_xlfn.TEXTAFTER(I174, "node-"), "/")</f>
        <v/>
      </c>
      <c r="C174">
        <f>_xlfn.TEXTBEFORE(_xlfn.TEXTAFTER(I174, "phys-["), "]")</f>
        <v/>
      </c>
      <c r="D174" t="inlineStr">
        <is>
          <t>Unknown</t>
        </is>
      </c>
      <c r="E174" t="inlineStr">
        <is>
          <t>Unknown</t>
        </is>
      </c>
      <c r="F174" t="inlineStr">
        <is>
          <t>down</t>
        </is>
      </c>
      <c r="G174" t="inlineStr">
        <is>
          <t>sfp-missing</t>
        </is>
      </c>
      <c r="H174">
        <f>_xlfn.TEXTBEFORE(_xlfn.TEXTAFTER(I174, "pod-"), "/")</f>
        <v/>
      </c>
      <c r="I174" t="inlineStr">
        <is>
          <t>topology/pod-1/node-202/sys/phys-[eth1/29]/phys</t>
        </is>
      </c>
      <c r="J174">
        <f>VLOOKUP(VALUE(Table6[[#This Row],[node]]), LEAF_INFO!B:I, 7, 0)</f>
        <v/>
      </c>
    </row>
    <row r="175">
      <c r="A175">
        <f>_xlfn.CONCAT(B175,C175)</f>
        <v/>
      </c>
      <c r="B175">
        <f>_xlfn.TEXTBEFORE(_xlfn.TEXTAFTER(I175, "node-"), "/")</f>
        <v/>
      </c>
      <c r="C175">
        <f>_xlfn.TEXTBEFORE(_xlfn.TEXTAFTER(I175, "phys-["), "]")</f>
        <v/>
      </c>
      <c r="D175" t="inlineStr">
        <is>
          <t>Unknown</t>
        </is>
      </c>
      <c r="E175" t="inlineStr">
        <is>
          <t>Unknown</t>
        </is>
      </c>
      <c r="F175" t="inlineStr">
        <is>
          <t>down</t>
        </is>
      </c>
      <c r="G175" t="inlineStr">
        <is>
          <t>sfp-missing</t>
        </is>
      </c>
      <c r="H175">
        <f>_xlfn.TEXTBEFORE(_xlfn.TEXTAFTER(I175, "pod-"), "/")</f>
        <v/>
      </c>
      <c r="I175" t="inlineStr">
        <is>
          <t>topology/pod-1/node-202/sys/phys-[eth1/30]/phys</t>
        </is>
      </c>
      <c r="J175">
        <f>VLOOKUP(VALUE(Table6[[#This Row],[node]]), LEAF_INFO!B:I, 7, 0)</f>
        <v/>
      </c>
    </row>
    <row r="176">
      <c r="A176">
        <f>_xlfn.CONCAT(B176,C176)</f>
        <v/>
      </c>
      <c r="B176">
        <f>_xlfn.TEXTBEFORE(_xlfn.TEXTAFTER(I176, "node-"), "/")</f>
        <v/>
      </c>
      <c r="C176">
        <f>_xlfn.TEXTBEFORE(_xlfn.TEXTAFTER(I176, "phys-["), "]")</f>
        <v/>
      </c>
      <c r="D176" t="inlineStr">
        <is>
          <t>Unknown</t>
        </is>
      </c>
      <c r="E176" t="inlineStr">
        <is>
          <t>Unknown</t>
        </is>
      </c>
      <c r="F176" t="inlineStr">
        <is>
          <t>down</t>
        </is>
      </c>
      <c r="G176" t="inlineStr">
        <is>
          <t>sfp-missing</t>
        </is>
      </c>
      <c r="H176">
        <f>_xlfn.TEXTBEFORE(_xlfn.TEXTAFTER(I176, "pod-"), "/")</f>
        <v/>
      </c>
      <c r="I176" t="inlineStr">
        <is>
          <t>topology/pod-1/node-202/sys/phys-[eth1/31]/phys</t>
        </is>
      </c>
      <c r="J176">
        <f>VLOOKUP(VALUE(Table6[[#This Row],[node]]), LEAF_INFO!B:I, 7, 0)</f>
        <v/>
      </c>
    </row>
    <row r="177">
      <c r="A177">
        <f>_xlfn.CONCAT(B177,C177)</f>
        <v/>
      </c>
      <c r="B177">
        <f>_xlfn.TEXTBEFORE(_xlfn.TEXTAFTER(I177, "node-"), "/")</f>
        <v/>
      </c>
      <c r="C177">
        <f>_xlfn.TEXTBEFORE(_xlfn.TEXTAFTER(I177, "phys-["), "]")</f>
        <v/>
      </c>
      <c r="D177" t="inlineStr">
        <is>
          <t>Unknown</t>
        </is>
      </c>
      <c r="E177" t="inlineStr">
        <is>
          <t>Unknown</t>
        </is>
      </c>
      <c r="F177" t="inlineStr">
        <is>
          <t>down</t>
        </is>
      </c>
      <c r="G177" t="inlineStr">
        <is>
          <t>sfp-missing</t>
        </is>
      </c>
      <c r="H177">
        <f>_xlfn.TEXTBEFORE(_xlfn.TEXTAFTER(I177, "pod-"), "/")</f>
        <v/>
      </c>
      <c r="I177" t="inlineStr">
        <is>
          <t>topology/pod-1/node-202/sys/phys-[eth1/32]/phys</t>
        </is>
      </c>
      <c r="J177">
        <f>VLOOKUP(VALUE(Table6[[#This Row],[node]]), LEAF_INFO!B:I, 7, 0)</f>
        <v/>
      </c>
    </row>
    <row r="178">
      <c r="A178">
        <f>_xlfn.CONCAT(B178,C178)</f>
        <v/>
      </c>
      <c r="B178">
        <f>_xlfn.TEXTBEFORE(_xlfn.TEXTAFTER(I178, "node-"), "/")</f>
        <v/>
      </c>
      <c r="C178">
        <f>_xlfn.TEXTBEFORE(_xlfn.TEXTAFTER(I178, "phys-["), "]")</f>
        <v/>
      </c>
      <c r="D178" t="inlineStr">
        <is>
          <t>Unknown</t>
        </is>
      </c>
      <c r="E178" t="inlineStr">
        <is>
          <t>Unknown</t>
        </is>
      </c>
      <c r="F178" t="inlineStr">
        <is>
          <t>up</t>
        </is>
      </c>
      <c r="G178" t="inlineStr">
        <is>
          <t>none</t>
        </is>
      </c>
      <c r="H178">
        <f>_xlfn.TEXTBEFORE(_xlfn.TEXTAFTER(I178, "pod-"), "/")</f>
        <v/>
      </c>
      <c r="I178" t="inlineStr">
        <is>
          <t>topology/pod-1/node-151/sys/phys-[eth1/33]/phys</t>
        </is>
      </c>
      <c r="J178">
        <f>VLOOKUP(VALUE(Table6[[#This Row],[node]]), LEAF_INFO!B:I, 7, 0)</f>
        <v/>
      </c>
    </row>
    <row r="179">
      <c r="A179">
        <f>_xlfn.CONCAT(B179,C179)</f>
        <v/>
      </c>
      <c r="B179">
        <f>_xlfn.TEXTBEFORE(_xlfn.TEXTAFTER(I179, "node-"), "/")</f>
        <v/>
      </c>
      <c r="C179">
        <f>_xlfn.TEXTBEFORE(_xlfn.TEXTAFTER(I179, "phys-["), "]")</f>
        <v/>
      </c>
      <c r="D179" t="inlineStr">
        <is>
          <t>Unknown</t>
        </is>
      </c>
      <c r="E179" t="inlineStr">
        <is>
          <t>Unknown</t>
        </is>
      </c>
      <c r="F179" t="inlineStr">
        <is>
          <t>up</t>
        </is>
      </c>
      <c r="G179" t="inlineStr">
        <is>
          <t>none</t>
        </is>
      </c>
      <c r="H179">
        <f>_xlfn.TEXTBEFORE(_xlfn.TEXTAFTER(I179, "pod-"), "/")</f>
        <v/>
      </c>
      <c r="I179" t="inlineStr">
        <is>
          <t>topology/pod-1/node-151/sys/phys-[eth1/34]/phys</t>
        </is>
      </c>
      <c r="J179">
        <f>VLOOKUP(VALUE(Table6[[#This Row],[node]]), LEAF_INFO!B:I, 7, 0)</f>
        <v/>
      </c>
    </row>
    <row r="180">
      <c r="A180">
        <f>_xlfn.CONCAT(B180,C180)</f>
        <v/>
      </c>
      <c r="B180">
        <f>_xlfn.TEXTBEFORE(_xlfn.TEXTAFTER(I180, "node-"), "/")</f>
        <v/>
      </c>
      <c r="C180">
        <f>_xlfn.TEXTBEFORE(_xlfn.TEXTAFTER(I180, "phys-["), "]")</f>
        <v/>
      </c>
      <c r="D180" t="inlineStr">
        <is>
          <t>Unknown</t>
        </is>
      </c>
      <c r="E180" t="inlineStr">
        <is>
          <t>Unknown</t>
        </is>
      </c>
      <c r="F180" t="inlineStr">
        <is>
          <t>down</t>
        </is>
      </c>
      <c r="G180" t="inlineStr">
        <is>
          <t>admin-down</t>
        </is>
      </c>
      <c r="H180">
        <f>_xlfn.TEXTBEFORE(_xlfn.TEXTAFTER(I180, "pod-"), "/")</f>
        <v/>
      </c>
      <c r="I180" t="inlineStr">
        <is>
          <t>topology/pod-1/node-151/sys/phys-[eth1/35]/phys</t>
        </is>
      </c>
      <c r="J180">
        <f>VLOOKUP(VALUE(Table6[[#This Row],[node]]), LEAF_INFO!B:I, 7, 0)</f>
        <v/>
      </c>
    </row>
    <row r="181">
      <c r="A181">
        <f>_xlfn.CONCAT(B181,C181)</f>
        <v/>
      </c>
      <c r="B181">
        <f>_xlfn.TEXTBEFORE(_xlfn.TEXTAFTER(I181, "node-"), "/")</f>
        <v/>
      </c>
      <c r="C181">
        <f>_xlfn.TEXTBEFORE(_xlfn.TEXTAFTER(I181, "phys-["), "]")</f>
        <v/>
      </c>
      <c r="D181" t="inlineStr">
        <is>
          <t>Unknown</t>
        </is>
      </c>
      <c r="E181" t="inlineStr">
        <is>
          <t>Unknown</t>
        </is>
      </c>
      <c r="F181" t="inlineStr">
        <is>
          <t>down</t>
        </is>
      </c>
      <c r="G181" t="inlineStr">
        <is>
          <t>admin-down</t>
        </is>
      </c>
      <c r="H181">
        <f>_xlfn.TEXTBEFORE(_xlfn.TEXTAFTER(I181, "pod-"), "/")</f>
        <v/>
      </c>
      <c r="I181" t="inlineStr">
        <is>
          <t>topology/pod-1/node-151/sys/phys-[eth1/36]/phys</t>
        </is>
      </c>
      <c r="J181">
        <f>VLOOKUP(VALUE(Table6[[#This Row],[node]]), LEAF_INFO!B:I, 7, 0)</f>
        <v/>
      </c>
    </row>
    <row r="182">
      <c r="A182">
        <f>_xlfn.CONCAT(B182,C182)</f>
        <v/>
      </c>
      <c r="B182">
        <f>_xlfn.TEXTBEFORE(_xlfn.TEXTAFTER(I182, "node-"), "/")</f>
        <v/>
      </c>
      <c r="C182">
        <f>_xlfn.TEXTBEFORE(_xlfn.TEXTAFTER(I182, "phys-["), "]")</f>
        <v/>
      </c>
      <c r="D182" t="inlineStr">
        <is>
          <t>Unknown</t>
        </is>
      </c>
      <c r="E182" t="inlineStr">
        <is>
          <t>Unknown</t>
        </is>
      </c>
      <c r="F182" t="inlineStr">
        <is>
          <t>down</t>
        </is>
      </c>
      <c r="G182" t="inlineStr">
        <is>
          <t>admin-down</t>
        </is>
      </c>
      <c r="H182">
        <f>_xlfn.TEXTBEFORE(_xlfn.TEXTAFTER(I182, "pod-"), "/")</f>
        <v/>
      </c>
      <c r="I182" t="inlineStr">
        <is>
          <t>topology/pod-1/node-151/sys/phys-[eth1/37]/phys</t>
        </is>
      </c>
      <c r="J182">
        <f>VLOOKUP(VALUE(Table6[[#This Row],[node]]), LEAF_INFO!B:I, 7, 0)</f>
        <v/>
      </c>
    </row>
    <row r="183">
      <c r="A183">
        <f>_xlfn.CONCAT(B183,C183)</f>
        <v/>
      </c>
      <c r="B183">
        <f>_xlfn.TEXTBEFORE(_xlfn.TEXTAFTER(I183, "node-"), "/")</f>
        <v/>
      </c>
      <c r="C183">
        <f>_xlfn.TEXTBEFORE(_xlfn.TEXTAFTER(I183, "phys-["), "]")</f>
        <v/>
      </c>
      <c r="D183" t="inlineStr">
        <is>
          <t>Unknown</t>
        </is>
      </c>
      <c r="E183" t="inlineStr">
        <is>
          <t>Unknown</t>
        </is>
      </c>
      <c r="F183" t="inlineStr">
        <is>
          <t>down</t>
        </is>
      </c>
      <c r="G183" t="inlineStr">
        <is>
          <t>admin-down</t>
        </is>
      </c>
      <c r="H183">
        <f>_xlfn.TEXTBEFORE(_xlfn.TEXTAFTER(I183, "pod-"), "/")</f>
        <v/>
      </c>
      <c r="I183" t="inlineStr">
        <is>
          <t>topology/pod-1/node-151/sys/phys-[eth1/38]/phys</t>
        </is>
      </c>
      <c r="J183">
        <f>VLOOKUP(VALUE(Table6[[#This Row],[node]]), LEAF_INFO!B:I, 7, 0)</f>
        <v/>
      </c>
    </row>
    <row r="184">
      <c r="A184">
        <f>_xlfn.CONCAT(B184,C184)</f>
        <v/>
      </c>
      <c r="B184">
        <f>_xlfn.TEXTBEFORE(_xlfn.TEXTAFTER(I184, "node-"), "/")</f>
        <v/>
      </c>
      <c r="C184">
        <f>_xlfn.TEXTBEFORE(_xlfn.TEXTAFTER(I184, "phys-["), "]")</f>
        <v/>
      </c>
      <c r="D184" t="inlineStr">
        <is>
          <t>Unknown</t>
        </is>
      </c>
      <c r="E184" t="inlineStr">
        <is>
          <t>Unknown</t>
        </is>
      </c>
      <c r="F184" t="inlineStr">
        <is>
          <t>down</t>
        </is>
      </c>
      <c r="G184" t="inlineStr">
        <is>
          <t>admin-down</t>
        </is>
      </c>
      <c r="H184">
        <f>_xlfn.TEXTBEFORE(_xlfn.TEXTAFTER(I184, "pod-"), "/")</f>
        <v/>
      </c>
      <c r="I184" t="inlineStr">
        <is>
          <t>topology/pod-1/node-151/sys/phys-[eth1/39]/phys</t>
        </is>
      </c>
      <c r="J184">
        <f>VLOOKUP(VALUE(Table6[[#This Row],[node]]), LEAF_INFO!B:I, 7, 0)</f>
        <v/>
      </c>
    </row>
    <row r="185">
      <c r="A185">
        <f>_xlfn.CONCAT(B185,C185)</f>
        <v/>
      </c>
      <c r="B185">
        <f>_xlfn.TEXTBEFORE(_xlfn.TEXTAFTER(I185, "node-"), "/")</f>
        <v/>
      </c>
      <c r="C185">
        <f>_xlfn.TEXTBEFORE(_xlfn.TEXTAFTER(I185, "phys-["), "]")</f>
        <v/>
      </c>
      <c r="D185" t="inlineStr">
        <is>
          <t>Unknown</t>
        </is>
      </c>
      <c r="E185" t="inlineStr">
        <is>
          <t>Unknown</t>
        </is>
      </c>
      <c r="F185" t="inlineStr">
        <is>
          <t>down</t>
        </is>
      </c>
      <c r="G185" t="inlineStr">
        <is>
          <t>admin-down</t>
        </is>
      </c>
      <c r="H185">
        <f>_xlfn.TEXTBEFORE(_xlfn.TEXTAFTER(I185, "pod-"), "/")</f>
        <v/>
      </c>
      <c r="I185" t="inlineStr">
        <is>
          <t>topology/pod-1/node-151/sys/phys-[eth1/40]/phys</t>
        </is>
      </c>
      <c r="J185">
        <f>VLOOKUP(VALUE(Table6[[#This Row],[node]]), LEAF_INFO!B:I, 7, 0)</f>
        <v/>
      </c>
    </row>
    <row r="186">
      <c r="A186">
        <f>_xlfn.CONCAT(B186,C186)</f>
        <v/>
      </c>
      <c r="B186">
        <f>_xlfn.TEXTBEFORE(_xlfn.TEXTAFTER(I186, "node-"), "/")</f>
        <v/>
      </c>
      <c r="C186">
        <f>_xlfn.TEXTBEFORE(_xlfn.TEXTAFTER(I186, "phys-["), "]")</f>
        <v/>
      </c>
      <c r="D186" t="inlineStr">
        <is>
          <t>Unknown</t>
        </is>
      </c>
      <c r="E186" t="inlineStr">
        <is>
          <t>Unknown</t>
        </is>
      </c>
      <c r="F186" t="inlineStr">
        <is>
          <t>down</t>
        </is>
      </c>
      <c r="G186" t="inlineStr">
        <is>
          <t>admin-down</t>
        </is>
      </c>
      <c r="H186">
        <f>_xlfn.TEXTBEFORE(_xlfn.TEXTAFTER(I186, "pod-"), "/")</f>
        <v/>
      </c>
      <c r="I186" t="inlineStr">
        <is>
          <t>topology/pod-1/node-151/sys/phys-[eth1/41]/phys</t>
        </is>
      </c>
      <c r="J186">
        <f>VLOOKUP(VALUE(Table6[[#This Row],[node]]), LEAF_INFO!B:I, 7, 0)</f>
        <v/>
      </c>
    </row>
    <row r="187">
      <c r="A187">
        <f>_xlfn.CONCAT(B187,C187)</f>
        <v/>
      </c>
      <c r="B187">
        <f>_xlfn.TEXTBEFORE(_xlfn.TEXTAFTER(I187, "node-"), "/")</f>
        <v/>
      </c>
      <c r="C187">
        <f>_xlfn.TEXTBEFORE(_xlfn.TEXTAFTER(I187, "phys-["), "]")</f>
        <v/>
      </c>
      <c r="D187" t="inlineStr">
        <is>
          <t>Unknown</t>
        </is>
      </c>
      <c r="E187" t="inlineStr">
        <is>
          <t>Unknown</t>
        </is>
      </c>
      <c r="F187" t="inlineStr">
        <is>
          <t>down</t>
        </is>
      </c>
      <c r="G187" t="inlineStr">
        <is>
          <t>admin-down</t>
        </is>
      </c>
      <c r="H187">
        <f>_xlfn.TEXTBEFORE(_xlfn.TEXTAFTER(I187, "pod-"), "/")</f>
        <v/>
      </c>
      <c r="I187" t="inlineStr">
        <is>
          <t>topology/pod-1/node-151/sys/phys-[eth1/42]/phys</t>
        </is>
      </c>
      <c r="J187">
        <f>VLOOKUP(VALUE(Table6[[#This Row],[node]]), LEAF_INFO!B:I, 7, 0)</f>
        <v/>
      </c>
    </row>
    <row r="188">
      <c r="A188">
        <f>_xlfn.CONCAT(B188,C188)</f>
        <v/>
      </c>
      <c r="B188">
        <f>_xlfn.TEXTBEFORE(_xlfn.TEXTAFTER(I188, "node-"), "/")</f>
        <v/>
      </c>
      <c r="C188">
        <f>_xlfn.TEXTBEFORE(_xlfn.TEXTAFTER(I188, "phys-["), "]")</f>
        <v/>
      </c>
      <c r="D188" t="inlineStr">
        <is>
          <t>Unknown</t>
        </is>
      </c>
      <c r="E188" t="inlineStr">
        <is>
          <t>Unknown</t>
        </is>
      </c>
      <c r="F188" t="inlineStr">
        <is>
          <t>down</t>
        </is>
      </c>
      <c r="G188" t="inlineStr">
        <is>
          <t>admin-down</t>
        </is>
      </c>
      <c r="H188">
        <f>_xlfn.TEXTBEFORE(_xlfn.TEXTAFTER(I188, "pod-"), "/")</f>
        <v/>
      </c>
      <c r="I188" t="inlineStr">
        <is>
          <t>topology/pod-1/node-151/sys/phys-[eth1/43]/phys</t>
        </is>
      </c>
      <c r="J188">
        <f>VLOOKUP(VALUE(Table6[[#This Row],[node]]), LEAF_INFO!B:I, 7, 0)</f>
        <v/>
      </c>
    </row>
    <row r="189">
      <c r="A189">
        <f>_xlfn.CONCAT(B189,C189)</f>
        <v/>
      </c>
      <c r="B189">
        <f>_xlfn.TEXTBEFORE(_xlfn.TEXTAFTER(I189, "node-"), "/")</f>
        <v/>
      </c>
      <c r="C189">
        <f>_xlfn.TEXTBEFORE(_xlfn.TEXTAFTER(I189, "phys-["), "]")</f>
        <v/>
      </c>
      <c r="D189" t="inlineStr">
        <is>
          <t>Unknown</t>
        </is>
      </c>
      <c r="E189" t="inlineStr">
        <is>
          <t>Unknown</t>
        </is>
      </c>
      <c r="F189" t="inlineStr">
        <is>
          <t>down</t>
        </is>
      </c>
      <c r="G189" t="inlineStr">
        <is>
          <t>admin-down</t>
        </is>
      </c>
      <c r="H189">
        <f>_xlfn.TEXTBEFORE(_xlfn.TEXTAFTER(I189, "pod-"), "/")</f>
        <v/>
      </c>
      <c r="I189" t="inlineStr">
        <is>
          <t>topology/pod-1/node-151/sys/phys-[eth1/44]/phys</t>
        </is>
      </c>
      <c r="J189">
        <f>VLOOKUP(VALUE(Table6[[#This Row],[node]]), LEAF_INFO!B:I, 7, 0)</f>
        <v/>
      </c>
    </row>
    <row r="190">
      <c r="A190">
        <f>_xlfn.CONCAT(B190,C190)</f>
        <v/>
      </c>
      <c r="B190">
        <f>_xlfn.TEXTBEFORE(_xlfn.TEXTAFTER(I190, "node-"), "/")</f>
        <v/>
      </c>
      <c r="C190">
        <f>_xlfn.TEXTBEFORE(_xlfn.TEXTAFTER(I190, "phys-["), "]")</f>
        <v/>
      </c>
      <c r="D190" t="inlineStr">
        <is>
          <t>Unknown</t>
        </is>
      </c>
      <c r="E190" t="inlineStr">
        <is>
          <t>Unknown</t>
        </is>
      </c>
      <c r="F190" t="inlineStr">
        <is>
          <t>down</t>
        </is>
      </c>
      <c r="G190" t="inlineStr">
        <is>
          <t>admin-down</t>
        </is>
      </c>
      <c r="H190">
        <f>_xlfn.TEXTBEFORE(_xlfn.TEXTAFTER(I190, "pod-"), "/")</f>
        <v/>
      </c>
      <c r="I190" t="inlineStr">
        <is>
          <t>topology/pod-1/node-151/sys/phys-[eth1/45]/phys</t>
        </is>
      </c>
      <c r="J190">
        <f>VLOOKUP(VALUE(Table6[[#This Row],[node]]), LEAF_INFO!B:I, 7, 0)</f>
        <v/>
      </c>
    </row>
    <row r="191">
      <c r="A191">
        <f>_xlfn.CONCAT(B191,C191)</f>
        <v/>
      </c>
      <c r="B191">
        <f>_xlfn.TEXTBEFORE(_xlfn.TEXTAFTER(I191, "node-"), "/")</f>
        <v/>
      </c>
      <c r="C191">
        <f>_xlfn.TEXTBEFORE(_xlfn.TEXTAFTER(I191, "phys-["), "]")</f>
        <v/>
      </c>
      <c r="D191" t="inlineStr">
        <is>
          <t>Unknown</t>
        </is>
      </c>
      <c r="E191" t="inlineStr">
        <is>
          <t>Unknown</t>
        </is>
      </c>
      <c r="F191" t="inlineStr">
        <is>
          <t>down</t>
        </is>
      </c>
      <c r="G191" t="inlineStr">
        <is>
          <t>admin-down</t>
        </is>
      </c>
      <c r="H191">
        <f>_xlfn.TEXTBEFORE(_xlfn.TEXTAFTER(I191, "pod-"), "/")</f>
        <v/>
      </c>
      <c r="I191" t="inlineStr">
        <is>
          <t>topology/pod-1/node-151/sys/phys-[eth1/46]/phys</t>
        </is>
      </c>
      <c r="J191">
        <f>VLOOKUP(VALUE(Table6[[#This Row],[node]]), LEAF_INFO!B:I, 7, 0)</f>
        <v/>
      </c>
    </row>
    <row r="192">
      <c r="A192">
        <f>_xlfn.CONCAT(B192,C192)</f>
        <v/>
      </c>
      <c r="B192">
        <f>_xlfn.TEXTBEFORE(_xlfn.TEXTAFTER(I192, "node-"), "/")</f>
        <v/>
      </c>
      <c r="C192">
        <f>_xlfn.TEXTBEFORE(_xlfn.TEXTAFTER(I192, "phys-["), "]")</f>
        <v/>
      </c>
      <c r="D192" t="inlineStr">
        <is>
          <t>Unknown</t>
        </is>
      </c>
      <c r="E192" t="inlineStr">
        <is>
          <t>Unknown</t>
        </is>
      </c>
      <c r="F192" t="inlineStr">
        <is>
          <t>down</t>
        </is>
      </c>
      <c r="G192" t="inlineStr">
        <is>
          <t>admin-down</t>
        </is>
      </c>
      <c r="H192">
        <f>_xlfn.TEXTBEFORE(_xlfn.TEXTAFTER(I192, "pod-"), "/")</f>
        <v/>
      </c>
      <c r="I192" t="inlineStr">
        <is>
          <t>topology/pod-1/node-151/sys/phys-[eth1/47]/phys</t>
        </is>
      </c>
      <c r="J192">
        <f>VLOOKUP(VALUE(Table6[[#This Row],[node]]), LEAF_INFO!B:I, 7, 0)</f>
        <v/>
      </c>
    </row>
    <row r="193">
      <c r="A193">
        <f>_xlfn.CONCAT(B193,C193)</f>
        <v/>
      </c>
      <c r="B193">
        <f>_xlfn.TEXTBEFORE(_xlfn.TEXTAFTER(I193, "node-"), "/")</f>
        <v/>
      </c>
      <c r="C193">
        <f>_xlfn.TEXTBEFORE(_xlfn.TEXTAFTER(I193, "phys-["), "]")</f>
        <v/>
      </c>
      <c r="D193" t="inlineStr">
        <is>
          <t>Unknown</t>
        </is>
      </c>
      <c r="E193" t="inlineStr">
        <is>
          <t>Unknown</t>
        </is>
      </c>
      <c r="F193" t="inlineStr">
        <is>
          <t>down</t>
        </is>
      </c>
      <c r="G193" t="inlineStr">
        <is>
          <t>admin-down</t>
        </is>
      </c>
      <c r="H193">
        <f>_xlfn.TEXTBEFORE(_xlfn.TEXTAFTER(I193, "pod-"), "/")</f>
        <v/>
      </c>
      <c r="I193" t="inlineStr">
        <is>
          <t>topology/pod-1/node-151/sys/phys-[eth1/48]/phys</t>
        </is>
      </c>
      <c r="J193">
        <f>VLOOKUP(VALUE(Table6[[#This Row],[node]]), LEAF_INFO!B:I, 7, 0)</f>
        <v/>
      </c>
    </row>
    <row r="194">
      <c r="A194">
        <f>_xlfn.CONCAT(B194,C194)</f>
        <v/>
      </c>
      <c r="B194">
        <f>_xlfn.TEXTBEFORE(_xlfn.TEXTAFTER(I194, "node-"), "/")</f>
        <v/>
      </c>
      <c r="C194">
        <f>_xlfn.TEXTBEFORE(_xlfn.TEXTAFTER(I194, "phys-["), "]")</f>
        <v/>
      </c>
      <c r="D194" t="inlineStr">
        <is>
          <t>Unknown</t>
        </is>
      </c>
      <c r="E194" t="inlineStr">
        <is>
          <t>Unknown</t>
        </is>
      </c>
      <c r="F194" t="inlineStr">
        <is>
          <t>down</t>
        </is>
      </c>
      <c r="G194" t="inlineStr">
        <is>
          <t>sfp-missing</t>
        </is>
      </c>
      <c r="H194">
        <f>_xlfn.TEXTBEFORE(_xlfn.TEXTAFTER(I194, "pod-"), "/")</f>
        <v/>
      </c>
      <c r="I194" t="inlineStr">
        <is>
          <t>topology/pod-1/node-151/sys/phys-[eth1/49]/phys</t>
        </is>
      </c>
      <c r="J194">
        <f>VLOOKUP(VALUE(Table6[[#This Row],[node]]), LEAF_INFO!B:I, 7, 0)</f>
        <v/>
      </c>
    </row>
    <row r="195">
      <c r="A195">
        <f>_xlfn.CONCAT(B195,C195)</f>
        <v/>
      </c>
      <c r="B195">
        <f>_xlfn.TEXTBEFORE(_xlfn.TEXTAFTER(I195, "node-"), "/")</f>
        <v/>
      </c>
      <c r="C195">
        <f>_xlfn.TEXTBEFORE(_xlfn.TEXTAFTER(I195, "phys-["), "]")</f>
        <v/>
      </c>
      <c r="D195" t="inlineStr">
        <is>
          <t>Unknown</t>
        </is>
      </c>
      <c r="E195" t="inlineStr">
        <is>
          <t>Unknown</t>
        </is>
      </c>
      <c r="F195" t="inlineStr">
        <is>
          <t>down</t>
        </is>
      </c>
      <c r="G195" t="inlineStr">
        <is>
          <t>sfp-missing</t>
        </is>
      </c>
      <c r="H195">
        <f>_xlfn.TEXTBEFORE(_xlfn.TEXTAFTER(I195, "pod-"), "/")</f>
        <v/>
      </c>
      <c r="I195" t="inlineStr">
        <is>
          <t>topology/pod-1/node-151/sys/phys-[eth1/50]/phys</t>
        </is>
      </c>
      <c r="J195">
        <f>VLOOKUP(VALUE(Table6[[#This Row],[node]]), LEAF_INFO!B:I, 7, 0)</f>
        <v/>
      </c>
    </row>
    <row r="196">
      <c r="A196">
        <f>_xlfn.CONCAT(B196,C196)</f>
        <v/>
      </c>
      <c r="B196">
        <f>_xlfn.TEXTBEFORE(_xlfn.TEXTAFTER(I196, "node-"), "/")</f>
        <v/>
      </c>
      <c r="C196">
        <f>_xlfn.TEXTBEFORE(_xlfn.TEXTAFTER(I196, "phys-["), "]")</f>
        <v/>
      </c>
      <c r="D196" t="inlineStr">
        <is>
          <t>Unknown</t>
        </is>
      </c>
      <c r="E196" t="inlineStr">
        <is>
          <t>Unknown</t>
        </is>
      </c>
      <c r="F196" t="inlineStr">
        <is>
          <t>down</t>
        </is>
      </c>
      <c r="G196" t="inlineStr">
        <is>
          <t>sfp-missing</t>
        </is>
      </c>
      <c r="H196">
        <f>_xlfn.TEXTBEFORE(_xlfn.TEXTAFTER(I196, "pod-"), "/")</f>
        <v/>
      </c>
      <c r="I196" t="inlineStr">
        <is>
          <t>topology/pod-1/node-151/sys/phys-[eth1/51]/phys</t>
        </is>
      </c>
      <c r="J196">
        <f>VLOOKUP(VALUE(Table6[[#This Row],[node]]), LEAF_INFO!B:I, 7, 0)</f>
        <v/>
      </c>
    </row>
    <row r="197">
      <c r="A197">
        <f>_xlfn.CONCAT(B197,C197)</f>
        <v/>
      </c>
      <c r="B197">
        <f>_xlfn.TEXTBEFORE(_xlfn.TEXTAFTER(I197, "node-"), "/")</f>
        <v/>
      </c>
      <c r="C197">
        <f>_xlfn.TEXTBEFORE(_xlfn.TEXTAFTER(I197, "phys-["), "]")</f>
        <v/>
      </c>
      <c r="D197" t="inlineStr">
        <is>
          <t>Unknown</t>
        </is>
      </c>
      <c r="E197" t="inlineStr">
        <is>
          <t>Unknown</t>
        </is>
      </c>
      <c r="F197" t="inlineStr">
        <is>
          <t>down</t>
        </is>
      </c>
      <c r="G197" t="inlineStr">
        <is>
          <t>sfp-missing</t>
        </is>
      </c>
      <c r="H197">
        <f>_xlfn.TEXTBEFORE(_xlfn.TEXTAFTER(I197, "pod-"), "/")</f>
        <v/>
      </c>
      <c r="I197" t="inlineStr">
        <is>
          <t>topology/pod-1/node-151/sys/phys-[eth1/52]/phys</t>
        </is>
      </c>
      <c r="J197">
        <f>VLOOKUP(VALUE(Table6[[#This Row],[node]]), LEAF_INFO!B:I, 7, 0)</f>
        <v/>
      </c>
    </row>
    <row r="198">
      <c r="A198">
        <f>_xlfn.CONCAT(B198,C198)</f>
        <v/>
      </c>
      <c r="B198">
        <f>_xlfn.TEXTBEFORE(_xlfn.TEXTAFTER(I198, "node-"), "/")</f>
        <v/>
      </c>
      <c r="C198">
        <f>_xlfn.TEXTBEFORE(_xlfn.TEXTAFTER(I198, "phys-["), "]")</f>
        <v/>
      </c>
      <c r="D198" t="inlineStr">
        <is>
          <t>Unknown</t>
        </is>
      </c>
      <c r="E198" t="inlineStr">
        <is>
          <t>Unknown</t>
        </is>
      </c>
      <c r="F198" t="inlineStr">
        <is>
          <t>up</t>
        </is>
      </c>
      <c r="G198" t="inlineStr">
        <is>
          <t>none</t>
        </is>
      </c>
      <c r="H198">
        <f>_xlfn.TEXTBEFORE(_xlfn.TEXTAFTER(I198, "pod-"), "/")</f>
        <v/>
      </c>
      <c r="I198" t="inlineStr">
        <is>
          <t>topology/pod-1/node-151/sys/phys-[eth1/53]/phys</t>
        </is>
      </c>
      <c r="J198">
        <f>VLOOKUP(VALUE(Table6[[#This Row],[node]]), LEAF_INFO!B:I, 7, 0)</f>
        <v/>
      </c>
    </row>
    <row r="199">
      <c r="A199">
        <f>_xlfn.CONCAT(B199,C199)</f>
        <v/>
      </c>
      <c r="B199">
        <f>_xlfn.TEXTBEFORE(_xlfn.TEXTAFTER(I199, "node-"), "/")</f>
        <v/>
      </c>
      <c r="C199">
        <f>_xlfn.TEXTBEFORE(_xlfn.TEXTAFTER(I199, "phys-["), "]")</f>
        <v/>
      </c>
      <c r="D199" t="inlineStr">
        <is>
          <t>Unknown</t>
        </is>
      </c>
      <c r="E199" t="inlineStr">
        <is>
          <t>Unknown</t>
        </is>
      </c>
      <c r="F199" t="inlineStr">
        <is>
          <t>up</t>
        </is>
      </c>
      <c r="G199" t="inlineStr">
        <is>
          <t>none</t>
        </is>
      </c>
      <c r="H199">
        <f>_xlfn.TEXTBEFORE(_xlfn.TEXTAFTER(I199, "pod-"), "/")</f>
        <v/>
      </c>
      <c r="I199" t="inlineStr">
        <is>
          <t>topology/pod-1/node-151/sys/phys-[eth1/54]/phys</t>
        </is>
      </c>
      <c r="J199">
        <f>VLOOKUP(VALUE(Table6[[#This Row],[node]]), LEAF_INFO!B:I, 7, 0)</f>
        <v/>
      </c>
    </row>
    <row r="200">
      <c r="A200">
        <f>_xlfn.CONCAT(B200,C200)</f>
        <v/>
      </c>
      <c r="B200">
        <f>_xlfn.TEXTBEFORE(_xlfn.TEXTAFTER(I200, "node-"), "/")</f>
        <v/>
      </c>
      <c r="C200">
        <f>_xlfn.TEXTBEFORE(_xlfn.TEXTAFTER(I200, "phys-["), "]")</f>
        <v/>
      </c>
      <c r="D200" t="inlineStr">
        <is>
          <t>Unknown</t>
        </is>
      </c>
      <c r="E200" t="inlineStr">
        <is>
          <t>Unknown</t>
        </is>
      </c>
      <c r="F200" t="inlineStr">
        <is>
          <t>down</t>
        </is>
      </c>
      <c r="G200" t="inlineStr">
        <is>
          <t>admin-down</t>
        </is>
      </c>
      <c r="H200">
        <f>_xlfn.TEXTBEFORE(_xlfn.TEXTAFTER(I200, "pod-"), "/")</f>
        <v/>
      </c>
      <c r="I200" t="inlineStr">
        <is>
          <t>topology/pod-1/node-151/sys/phys-[eth1/1]/phys</t>
        </is>
      </c>
      <c r="J200">
        <f>VLOOKUP(VALUE(Table6[[#This Row],[node]]), LEAF_INFO!B:I, 7, 0)</f>
        <v/>
      </c>
    </row>
    <row r="201">
      <c r="A201">
        <f>_xlfn.CONCAT(B201,C201)</f>
        <v/>
      </c>
      <c r="B201">
        <f>_xlfn.TEXTBEFORE(_xlfn.TEXTAFTER(I201, "node-"), "/")</f>
        <v/>
      </c>
      <c r="C201">
        <f>_xlfn.TEXTBEFORE(_xlfn.TEXTAFTER(I201, "phys-["), "]")</f>
        <v/>
      </c>
      <c r="D201" t="inlineStr">
        <is>
          <t>Unknown</t>
        </is>
      </c>
      <c r="E201" t="inlineStr">
        <is>
          <t>Unknown</t>
        </is>
      </c>
      <c r="F201" t="inlineStr">
        <is>
          <t>down</t>
        </is>
      </c>
      <c r="G201" t="inlineStr">
        <is>
          <t>link-not-connected</t>
        </is>
      </c>
      <c r="H201">
        <f>_xlfn.TEXTBEFORE(_xlfn.TEXTAFTER(I201, "pod-"), "/")</f>
        <v/>
      </c>
      <c r="I201" t="inlineStr">
        <is>
          <t>topology/pod-1/node-151/sys/phys-[eth1/2]/phys</t>
        </is>
      </c>
      <c r="J201">
        <f>VLOOKUP(VALUE(Table6[[#This Row],[node]]), LEAF_INFO!B:I, 7, 0)</f>
        <v/>
      </c>
    </row>
    <row r="202">
      <c r="A202">
        <f>_xlfn.CONCAT(B202,C202)</f>
        <v/>
      </c>
      <c r="B202">
        <f>_xlfn.TEXTBEFORE(_xlfn.TEXTAFTER(I202, "node-"), "/")</f>
        <v/>
      </c>
      <c r="C202">
        <f>_xlfn.TEXTBEFORE(_xlfn.TEXTAFTER(I202, "phys-["), "]")</f>
        <v/>
      </c>
      <c r="D202" t="inlineStr">
        <is>
          <t>Unknown</t>
        </is>
      </c>
      <c r="E202" t="inlineStr">
        <is>
          <t>Unknown</t>
        </is>
      </c>
      <c r="F202" t="inlineStr">
        <is>
          <t>down</t>
        </is>
      </c>
      <c r="G202" t="inlineStr">
        <is>
          <t>admin-down</t>
        </is>
      </c>
      <c r="H202">
        <f>_xlfn.TEXTBEFORE(_xlfn.TEXTAFTER(I202, "pod-"), "/")</f>
        <v/>
      </c>
      <c r="I202" t="inlineStr">
        <is>
          <t>topology/pod-1/node-151/sys/phys-[eth1/3]/phys</t>
        </is>
      </c>
      <c r="J202">
        <f>VLOOKUP(VALUE(Table6[[#This Row],[node]]), LEAF_INFO!B:I, 7, 0)</f>
        <v/>
      </c>
    </row>
    <row r="203">
      <c r="A203">
        <f>_xlfn.CONCAT(B203,C203)</f>
        <v/>
      </c>
      <c r="B203">
        <f>_xlfn.TEXTBEFORE(_xlfn.TEXTAFTER(I203, "node-"), "/")</f>
        <v/>
      </c>
      <c r="C203">
        <f>_xlfn.TEXTBEFORE(_xlfn.TEXTAFTER(I203, "phys-["), "]")</f>
        <v/>
      </c>
      <c r="D203" t="inlineStr">
        <is>
          <t>Unknown</t>
        </is>
      </c>
      <c r="E203" t="inlineStr">
        <is>
          <t>Unknown</t>
        </is>
      </c>
      <c r="F203" t="inlineStr">
        <is>
          <t>up</t>
        </is>
      </c>
      <c r="G203" t="inlineStr">
        <is>
          <t>none</t>
        </is>
      </c>
      <c r="H203">
        <f>_xlfn.TEXTBEFORE(_xlfn.TEXTAFTER(I203, "pod-"), "/")</f>
        <v/>
      </c>
      <c r="I203" t="inlineStr">
        <is>
          <t>topology/pod-1/node-151/sys/phys-[eth1/4]/phys</t>
        </is>
      </c>
      <c r="J203">
        <f>VLOOKUP(VALUE(Table6[[#This Row],[node]]), LEAF_INFO!B:I, 7, 0)</f>
        <v/>
      </c>
    </row>
    <row r="204">
      <c r="A204">
        <f>_xlfn.CONCAT(B204,C204)</f>
        <v/>
      </c>
      <c r="B204">
        <f>_xlfn.TEXTBEFORE(_xlfn.TEXTAFTER(I204, "node-"), "/")</f>
        <v/>
      </c>
      <c r="C204">
        <f>_xlfn.TEXTBEFORE(_xlfn.TEXTAFTER(I204, "phys-["), "]")</f>
        <v/>
      </c>
      <c r="D204" t="inlineStr">
        <is>
          <t>Unknown</t>
        </is>
      </c>
      <c r="E204" t="inlineStr">
        <is>
          <t>Unknown</t>
        </is>
      </c>
      <c r="F204" t="inlineStr">
        <is>
          <t>up</t>
        </is>
      </c>
      <c r="G204" t="inlineStr">
        <is>
          <t>none</t>
        </is>
      </c>
      <c r="H204">
        <f>_xlfn.TEXTBEFORE(_xlfn.TEXTAFTER(I204, "pod-"), "/")</f>
        <v/>
      </c>
      <c r="I204" t="inlineStr">
        <is>
          <t>topology/pod-1/node-151/sys/phys-[eth1/5]/phys</t>
        </is>
      </c>
      <c r="J204">
        <f>VLOOKUP(VALUE(Table6[[#This Row],[node]]), LEAF_INFO!B:I, 7, 0)</f>
        <v/>
      </c>
    </row>
    <row r="205">
      <c r="A205">
        <f>_xlfn.CONCAT(B205,C205)</f>
        <v/>
      </c>
      <c r="B205">
        <f>_xlfn.TEXTBEFORE(_xlfn.TEXTAFTER(I205, "node-"), "/")</f>
        <v/>
      </c>
      <c r="C205">
        <f>_xlfn.TEXTBEFORE(_xlfn.TEXTAFTER(I205, "phys-["), "]")</f>
        <v/>
      </c>
      <c r="D205" t="inlineStr">
        <is>
          <t>Unknown</t>
        </is>
      </c>
      <c r="E205" t="inlineStr">
        <is>
          <t>Unknown</t>
        </is>
      </c>
      <c r="F205" t="inlineStr">
        <is>
          <t>up</t>
        </is>
      </c>
      <c r="G205" t="inlineStr">
        <is>
          <t>none</t>
        </is>
      </c>
      <c r="H205">
        <f>_xlfn.TEXTBEFORE(_xlfn.TEXTAFTER(I205, "pod-"), "/")</f>
        <v/>
      </c>
      <c r="I205" t="inlineStr">
        <is>
          <t>topology/pod-1/node-151/sys/phys-[eth1/6]/phys</t>
        </is>
      </c>
      <c r="J205">
        <f>VLOOKUP(VALUE(Table6[[#This Row],[node]]), LEAF_INFO!B:I, 7, 0)</f>
        <v/>
      </c>
    </row>
    <row r="206">
      <c r="A206">
        <f>_xlfn.CONCAT(B206,C206)</f>
        <v/>
      </c>
      <c r="B206">
        <f>_xlfn.TEXTBEFORE(_xlfn.TEXTAFTER(I206, "node-"), "/")</f>
        <v/>
      </c>
      <c r="C206">
        <f>_xlfn.TEXTBEFORE(_xlfn.TEXTAFTER(I206, "phys-["), "]")</f>
        <v/>
      </c>
      <c r="D206" t="inlineStr">
        <is>
          <t>Unknown</t>
        </is>
      </c>
      <c r="E206" t="inlineStr">
        <is>
          <t>Unknown</t>
        </is>
      </c>
      <c r="F206" t="inlineStr">
        <is>
          <t>up</t>
        </is>
      </c>
      <c r="G206" t="inlineStr">
        <is>
          <t>none</t>
        </is>
      </c>
      <c r="H206">
        <f>_xlfn.TEXTBEFORE(_xlfn.TEXTAFTER(I206, "pod-"), "/")</f>
        <v/>
      </c>
      <c r="I206" t="inlineStr">
        <is>
          <t>topology/pod-1/node-151/sys/phys-[eth1/7]/phys</t>
        </is>
      </c>
      <c r="J206">
        <f>VLOOKUP(VALUE(Table6[[#This Row],[node]]), LEAF_INFO!B:I, 7, 0)</f>
        <v/>
      </c>
    </row>
    <row r="207">
      <c r="A207">
        <f>_xlfn.CONCAT(B207,C207)</f>
        <v/>
      </c>
      <c r="B207">
        <f>_xlfn.TEXTBEFORE(_xlfn.TEXTAFTER(I207, "node-"), "/")</f>
        <v/>
      </c>
      <c r="C207">
        <f>_xlfn.TEXTBEFORE(_xlfn.TEXTAFTER(I207, "phys-["), "]")</f>
        <v/>
      </c>
      <c r="D207" t="inlineStr">
        <is>
          <t>Unknown</t>
        </is>
      </c>
      <c r="E207" t="inlineStr">
        <is>
          <t>Unknown</t>
        </is>
      </c>
      <c r="F207" t="inlineStr">
        <is>
          <t>up</t>
        </is>
      </c>
      <c r="G207" t="inlineStr">
        <is>
          <t>none</t>
        </is>
      </c>
      <c r="H207">
        <f>_xlfn.TEXTBEFORE(_xlfn.TEXTAFTER(I207, "pod-"), "/")</f>
        <v/>
      </c>
      <c r="I207" t="inlineStr">
        <is>
          <t>topology/pod-1/node-151/sys/phys-[eth1/8]/phys</t>
        </is>
      </c>
      <c r="J207">
        <f>VLOOKUP(VALUE(Table6[[#This Row],[node]]), LEAF_INFO!B:I, 7, 0)</f>
        <v/>
      </c>
    </row>
    <row r="208">
      <c r="A208">
        <f>_xlfn.CONCAT(B208,C208)</f>
        <v/>
      </c>
      <c r="B208">
        <f>_xlfn.TEXTBEFORE(_xlfn.TEXTAFTER(I208, "node-"), "/")</f>
        <v/>
      </c>
      <c r="C208">
        <f>_xlfn.TEXTBEFORE(_xlfn.TEXTAFTER(I208, "phys-["), "]")</f>
        <v/>
      </c>
      <c r="D208" t="inlineStr">
        <is>
          <t>Unknown</t>
        </is>
      </c>
      <c r="E208" t="inlineStr">
        <is>
          <t>Unknown</t>
        </is>
      </c>
      <c r="F208" t="inlineStr">
        <is>
          <t>up</t>
        </is>
      </c>
      <c r="G208" t="inlineStr">
        <is>
          <t>none</t>
        </is>
      </c>
      <c r="H208">
        <f>_xlfn.TEXTBEFORE(_xlfn.TEXTAFTER(I208, "pod-"), "/")</f>
        <v/>
      </c>
      <c r="I208" t="inlineStr">
        <is>
          <t>topology/pod-1/node-151/sys/phys-[eth1/9]/phys</t>
        </is>
      </c>
      <c r="J208">
        <f>VLOOKUP(VALUE(Table6[[#This Row],[node]]), LEAF_INFO!B:I, 7, 0)</f>
        <v/>
      </c>
    </row>
    <row r="209">
      <c r="A209">
        <f>_xlfn.CONCAT(B209,C209)</f>
        <v/>
      </c>
      <c r="B209">
        <f>_xlfn.TEXTBEFORE(_xlfn.TEXTAFTER(I209, "node-"), "/")</f>
        <v/>
      </c>
      <c r="C209">
        <f>_xlfn.TEXTBEFORE(_xlfn.TEXTAFTER(I209, "phys-["), "]")</f>
        <v/>
      </c>
      <c r="D209" t="inlineStr">
        <is>
          <t>Unknown</t>
        </is>
      </c>
      <c r="E209" t="inlineStr">
        <is>
          <t>Unknown</t>
        </is>
      </c>
      <c r="F209" t="inlineStr">
        <is>
          <t>up</t>
        </is>
      </c>
      <c r="G209" t="inlineStr">
        <is>
          <t>none</t>
        </is>
      </c>
      <c r="H209">
        <f>_xlfn.TEXTBEFORE(_xlfn.TEXTAFTER(I209, "pod-"), "/")</f>
        <v/>
      </c>
      <c r="I209" t="inlineStr">
        <is>
          <t>topology/pod-1/node-151/sys/phys-[eth1/10]/phys</t>
        </is>
      </c>
      <c r="J209">
        <f>VLOOKUP(VALUE(Table6[[#This Row],[node]]), LEAF_INFO!B:I, 7, 0)</f>
        <v/>
      </c>
    </row>
    <row r="210">
      <c r="A210">
        <f>_xlfn.CONCAT(B210,C210)</f>
        <v/>
      </c>
      <c r="B210">
        <f>_xlfn.TEXTBEFORE(_xlfn.TEXTAFTER(I210, "node-"), "/")</f>
        <v/>
      </c>
      <c r="C210">
        <f>_xlfn.TEXTBEFORE(_xlfn.TEXTAFTER(I210, "phys-["), "]")</f>
        <v/>
      </c>
      <c r="D210" t="inlineStr">
        <is>
          <t>Unknown</t>
        </is>
      </c>
      <c r="E210" t="inlineStr">
        <is>
          <t>Unknown</t>
        </is>
      </c>
      <c r="F210" t="inlineStr">
        <is>
          <t>up</t>
        </is>
      </c>
      <c r="G210" t="inlineStr">
        <is>
          <t>none</t>
        </is>
      </c>
      <c r="H210">
        <f>_xlfn.TEXTBEFORE(_xlfn.TEXTAFTER(I210, "pod-"), "/")</f>
        <v/>
      </c>
      <c r="I210" t="inlineStr">
        <is>
          <t>topology/pod-1/node-151/sys/phys-[eth1/11]/phys</t>
        </is>
      </c>
      <c r="J210">
        <f>VLOOKUP(VALUE(Table6[[#This Row],[node]]), LEAF_INFO!B:I, 7, 0)</f>
        <v/>
      </c>
    </row>
    <row r="211">
      <c r="A211">
        <f>_xlfn.CONCAT(B211,C211)</f>
        <v/>
      </c>
      <c r="B211">
        <f>_xlfn.TEXTBEFORE(_xlfn.TEXTAFTER(I211, "node-"), "/")</f>
        <v/>
      </c>
      <c r="C211">
        <f>_xlfn.TEXTBEFORE(_xlfn.TEXTAFTER(I211, "phys-["), "]")</f>
        <v/>
      </c>
      <c r="D211" t="inlineStr">
        <is>
          <t>Unknown</t>
        </is>
      </c>
      <c r="E211" t="inlineStr">
        <is>
          <t>Unknown</t>
        </is>
      </c>
      <c r="F211" t="inlineStr">
        <is>
          <t>down</t>
        </is>
      </c>
      <c r="G211" t="inlineStr">
        <is>
          <t>admin-down</t>
        </is>
      </c>
      <c r="H211">
        <f>_xlfn.TEXTBEFORE(_xlfn.TEXTAFTER(I211, "pod-"), "/")</f>
        <v/>
      </c>
      <c r="I211" t="inlineStr">
        <is>
          <t>topology/pod-1/node-151/sys/phys-[eth1/12]/phys</t>
        </is>
      </c>
      <c r="J211">
        <f>VLOOKUP(VALUE(Table6[[#This Row],[node]]), LEAF_INFO!B:I, 7, 0)</f>
        <v/>
      </c>
    </row>
    <row r="212">
      <c r="A212">
        <f>_xlfn.CONCAT(B212,C212)</f>
        <v/>
      </c>
      <c r="B212">
        <f>_xlfn.TEXTBEFORE(_xlfn.TEXTAFTER(I212, "node-"), "/")</f>
        <v/>
      </c>
      <c r="C212">
        <f>_xlfn.TEXTBEFORE(_xlfn.TEXTAFTER(I212, "phys-["), "]")</f>
        <v/>
      </c>
      <c r="D212" t="inlineStr">
        <is>
          <t>Unknown</t>
        </is>
      </c>
      <c r="E212" t="inlineStr">
        <is>
          <t>Unknown</t>
        </is>
      </c>
      <c r="F212" t="inlineStr">
        <is>
          <t>down</t>
        </is>
      </c>
      <c r="G212" t="inlineStr">
        <is>
          <t>admin-down</t>
        </is>
      </c>
      <c r="H212">
        <f>_xlfn.TEXTBEFORE(_xlfn.TEXTAFTER(I212, "pod-"), "/")</f>
        <v/>
      </c>
      <c r="I212" t="inlineStr">
        <is>
          <t>topology/pod-1/node-151/sys/phys-[eth1/13]/phys</t>
        </is>
      </c>
      <c r="J212">
        <f>VLOOKUP(VALUE(Table6[[#This Row],[node]]), LEAF_INFO!B:I, 7, 0)</f>
        <v/>
      </c>
    </row>
    <row r="213">
      <c r="A213">
        <f>_xlfn.CONCAT(B213,C213)</f>
        <v/>
      </c>
      <c r="B213">
        <f>_xlfn.TEXTBEFORE(_xlfn.TEXTAFTER(I213, "node-"), "/")</f>
        <v/>
      </c>
      <c r="C213">
        <f>_xlfn.TEXTBEFORE(_xlfn.TEXTAFTER(I213, "phys-["), "]")</f>
        <v/>
      </c>
      <c r="D213" t="inlineStr">
        <is>
          <t>Unknown</t>
        </is>
      </c>
      <c r="E213" t="inlineStr">
        <is>
          <t>Unknown</t>
        </is>
      </c>
      <c r="F213" t="inlineStr">
        <is>
          <t>down</t>
        </is>
      </c>
      <c r="G213" t="inlineStr">
        <is>
          <t>link-not-connected</t>
        </is>
      </c>
      <c r="H213">
        <f>_xlfn.TEXTBEFORE(_xlfn.TEXTAFTER(I213, "pod-"), "/")</f>
        <v/>
      </c>
      <c r="I213" t="inlineStr">
        <is>
          <t>topology/pod-1/node-151/sys/phys-[eth1/14]/phys</t>
        </is>
      </c>
      <c r="J213">
        <f>VLOOKUP(VALUE(Table6[[#This Row],[node]]), LEAF_INFO!B:I, 7, 0)</f>
        <v/>
      </c>
    </row>
    <row r="214">
      <c r="A214">
        <f>_xlfn.CONCAT(B214,C214)</f>
        <v/>
      </c>
      <c r="B214">
        <f>_xlfn.TEXTBEFORE(_xlfn.TEXTAFTER(I214, "node-"), "/")</f>
        <v/>
      </c>
      <c r="C214">
        <f>_xlfn.TEXTBEFORE(_xlfn.TEXTAFTER(I214, "phys-["), "]")</f>
        <v/>
      </c>
      <c r="D214" t="inlineStr">
        <is>
          <t>Unknown</t>
        </is>
      </c>
      <c r="E214" t="inlineStr">
        <is>
          <t>Unknown</t>
        </is>
      </c>
      <c r="F214" t="inlineStr">
        <is>
          <t>down</t>
        </is>
      </c>
      <c r="G214" t="inlineStr">
        <is>
          <t>admin-down</t>
        </is>
      </c>
      <c r="H214">
        <f>_xlfn.TEXTBEFORE(_xlfn.TEXTAFTER(I214, "pod-"), "/")</f>
        <v/>
      </c>
      <c r="I214" t="inlineStr">
        <is>
          <t>topology/pod-1/node-151/sys/phys-[eth1/15]/phys</t>
        </is>
      </c>
      <c r="J214">
        <f>VLOOKUP(VALUE(Table6[[#This Row],[node]]), LEAF_INFO!B:I, 7, 0)</f>
        <v/>
      </c>
    </row>
    <row r="215">
      <c r="A215">
        <f>_xlfn.CONCAT(B215,C215)</f>
        <v/>
      </c>
      <c r="B215">
        <f>_xlfn.TEXTBEFORE(_xlfn.TEXTAFTER(I215, "node-"), "/")</f>
        <v/>
      </c>
      <c r="C215">
        <f>_xlfn.TEXTBEFORE(_xlfn.TEXTAFTER(I215, "phys-["), "]")</f>
        <v/>
      </c>
      <c r="D215" t="inlineStr">
        <is>
          <t>Unknown</t>
        </is>
      </c>
      <c r="E215" t="inlineStr">
        <is>
          <t>Unknown</t>
        </is>
      </c>
      <c r="F215" t="inlineStr">
        <is>
          <t>up</t>
        </is>
      </c>
      <c r="G215" t="inlineStr">
        <is>
          <t>none</t>
        </is>
      </c>
      <c r="H215">
        <f>_xlfn.TEXTBEFORE(_xlfn.TEXTAFTER(I215, "pod-"), "/")</f>
        <v/>
      </c>
      <c r="I215" t="inlineStr">
        <is>
          <t>topology/pod-1/node-151/sys/phys-[eth1/16]/phys</t>
        </is>
      </c>
      <c r="J215">
        <f>VLOOKUP(VALUE(Table6[[#This Row],[node]]), LEAF_INFO!B:I, 7, 0)</f>
        <v/>
      </c>
    </row>
    <row r="216">
      <c r="A216">
        <f>_xlfn.CONCAT(B216,C216)</f>
        <v/>
      </c>
      <c r="B216">
        <f>_xlfn.TEXTBEFORE(_xlfn.TEXTAFTER(I216, "node-"), "/")</f>
        <v/>
      </c>
      <c r="C216">
        <f>_xlfn.TEXTBEFORE(_xlfn.TEXTAFTER(I216, "phys-["), "]")</f>
        <v/>
      </c>
      <c r="D216" t="inlineStr">
        <is>
          <t>Unknown</t>
        </is>
      </c>
      <c r="E216" t="inlineStr">
        <is>
          <t>Unknown</t>
        </is>
      </c>
      <c r="F216" t="inlineStr">
        <is>
          <t>down</t>
        </is>
      </c>
      <c r="G216" t="inlineStr">
        <is>
          <t>admin-down</t>
        </is>
      </c>
      <c r="H216">
        <f>_xlfn.TEXTBEFORE(_xlfn.TEXTAFTER(I216, "pod-"), "/")</f>
        <v/>
      </c>
      <c r="I216" t="inlineStr">
        <is>
          <t>topology/pod-1/node-151/sys/phys-[eth1/17]/phys</t>
        </is>
      </c>
      <c r="J216">
        <f>VLOOKUP(VALUE(Table6[[#This Row],[node]]), LEAF_INFO!B:I, 7, 0)</f>
        <v/>
      </c>
    </row>
    <row r="217">
      <c r="A217">
        <f>_xlfn.CONCAT(B217,C217)</f>
        <v/>
      </c>
      <c r="B217">
        <f>_xlfn.TEXTBEFORE(_xlfn.TEXTAFTER(I217, "node-"), "/")</f>
        <v/>
      </c>
      <c r="C217">
        <f>_xlfn.TEXTBEFORE(_xlfn.TEXTAFTER(I217, "phys-["), "]")</f>
        <v/>
      </c>
      <c r="D217" t="inlineStr">
        <is>
          <t>Unknown</t>
        </is>
      </c>
      <c r="E217" t="inlineStr">
        <is>
          <t>Unknown</t>
        </is>
      </c>
      <c r="F217" t="inlineStr">
        <is>
          <t>down</t>
        </is>
      </c>
      <c r="G217" t="inlineStr">
        <is>
          <t>link-not-connected</t>
        </is>
      </c>
      <c r="H217">
        <f>_xlfn.TEXTBEFORE(_xlfn.TEXTAFTER(I217, "pod-"), "/")</f>
        <v/>
      </c>
      <c r="I217" t="inlineStr">
        <is>
          <t>topology/pod-1/node-151/sys/phys-[eth1/18]/phys</t>
        </is>
      </c>
      <c r="J217">
        <f>VLOOKUP(VALUE(Table6[[#This Row],[node]]), LEAF_INFO!B:I, 7, 0)</f>
        <v/>
      </c>
    </row>
    <row r="218">
      <c r="A218">
        <f>_xlfn.CONCAT(B218,C218)</f>
        <v/>
      </c>
      <c r="B218">
        <f>_xlfn.TEXTBEFORE(_xlfn.TEXTAFTER(I218, "node-"), "/")</f>
        <v/>
      </c>
      <c r="C218">
        <f>_xlfn.TEXTBEFORE(_xlfn.TEXTAFTER(I218, "phys-["), "]")</f>
        <v/>
      </c>
      <c r="D218" t="inlineStr">
        <is>
          <t>Unknown</t>
        </is>
      </c>
      <c r="E218" t="inlineStr">
        <is>
          <t>Unknown</t>
        </is>
      </c>
      <c r="F218" t="inlineStr">
        <is>
          <t>up</t>
        </is>
      </c>
      <c r="G218" t="inlineStr">
        <is>
          <t>none</t>
        </is>
      </c>
      <c r="H218">
        <f>_xlfn.TEXTBEFORE(_xlfn.TEXTAFTER(I218, "pod-"), "/")</f>
        <v/>
      </c>
      <c r="I218" t="inlineStr">
        <is>
          <t>topology/pod-1/node-151/sys/phys-[eth1/19]/phys</t>
        </is>
      </c>
      <c r="J218">
        <f>VLOOKUP(VALUE(Table6[[#This Row],[node]]), LEAF_INFO!B:I, 7, 0)</f>
        <v/>
      </c>
    </row>
    <row r="219">
      <c r="A219">
        <f>_xlfn.CONCAT(B219,C219)</f>
        <v/>
      </c>
      <c r="B219">
        <f>_xlfn.TEXTBEFORE(_xlfn.TEXTAFTER(I219, "node-"), "/")</f>
        <v/>
      </c>
      <c r="C219">
        <f>_xlfn.TEXTBEFORE(_xlfn.TEXTAFTER(I219, "phys-["), "]")</f>
        <v/>
      </c>
      <c r="D219" t="inlineStr">
        <is>
          <t>Unknown</t>
        </is>
      </c>
      <c r="E219" t="inlineStr">
        <is>
          <t>Unknown</t>
        </is>
      </c>
      <c r="F219" t="inlineStr">
        <is>
          <t>up</t>
        </is>
      </c>
      <c r="G219" t="inlineStr">
        <is>
          <t>none</t>
        </is>
      </c>
      <c r="H219">
        <f>_xlfn.TEXTBEFORE(_xlfn.TEXTAFTER(I219, "pod-"), "/")</f>
        <v/>
      </c>
      <c r="I219" t="inlineStr">
        <is>
          <t>topology/pod-1/node-151/sys/phys-[eth1/20]/phys</t>
        </is>
      </c>
      <c r="J219">
        <f>VLOOKUP(VALUE(Table6[[#This Row],[node]]), LEAF_INFO!B:I, 7, 0)</f>
        <v/>
      </c>
    </row>
    <row r="220">
      <c r="A220">
        <f>_xlfn.CONCAT(B220,C220)</f>
        <v/>
      </c>
      <c r="B220">
        <f>_xlfn.TEXTBEFORE(_xlfn.TEXTAFTER(I220, "node-"), "/")</f>
        <v/>
      </c>
      <c r="C220">
        <f>_xlfn.TEXTBEFORE(_xlfn.TEXTAFTER(I220, "phys-["), "]")</f>
        <v/>
      </c>
      <c r="D220" t="inlineStr">
        <is>
          <t>Unknown</t>
        </is>
      </c>
      <c r="E220" t="inlineStr">
        <is>
          <t>Unknown</t>
        </is>
      </c>
      <c r="F220" t="inlineStr">
        <is>
          <t>down</t>
        </is>
      </c>
      <c r="G220" t="inlineStr">
        <is>
          <t>admin-down</t>
        </is>
      </c>
      <c r="H220">
        <f>_xlfn.TEXTBEFORE(_xlfn.TEXTAFTER(I220, "pod-"), "/")</f>
        <v/>
      </c>
      <c r="I220" t="inlineStr">
        <is>
          <t>topology/pod-1/node-151/sys/phys-[eth1/21]/phys</t>
        </is>
      </c>
      <c r="J220">
        <f>VLOOKUP(VALUE(Table6[[#This Row],[node]]), LEAF_INFO!B:I, 7, 0)</f>
        <v/>
      </c>
    </row>
    <row r="221">
      <c r="A221">
        <f>_xlfn.CONCAT(B221,C221)</f>
        <v/>
      </c>
      <c r="B221">
        <f>_xlfn.TEXTBEFORE(_xlfn.TEXTAFTER(I221, "node-"), "/")</f>
        <v/>
      </c>
      <c r="C221">
        <f>_xlfn.TEXTBEFORE(_xlfn.TEXTAFTER(I221, "phys-["), "]")</f>
        <v/>
      </c>
      <c r="D221" t="inlineStr">
        <is>
          <t>Unknown</t>
        </is>
      </c>
      <c r="E221" t="inlineStr">
        <is>
          <t>Unknown</t>
        </is>
      </c>
      <c r="F221" t="inlineStr">
        <is>
          <t>down</t>
        </is>
      </c>
      <c r="G221" t="inlineStr">
        <is>
          <t>admin-down</t>
        </is>
      </c>
      <c r="H221">
        <f>_xlfn.TEXTBEFORE(_xlfn.TEXTAFTER(I221, "pod-"), "/")</f>
        <v/>
      </c>
      <c r="I221" t="inlineStr">
        <is>
          <t>topology/pod-1/node-151/sys/phys-[eth1/22]/phys</t>
        </is>
      </c>
      <c r="J221">
        <f>VLOOKUP(VALUE(Table6[[#This Row],[node]]), LEAF_INFO!B:I, 7, 0)</f>
        <v/>
      </c>
    </row>
    <row r="222">
      <c r="A222">
        <f>_xlfn.CONCAT(B222,C222)</f>
        <v/>
      </c>
      <c r="B222">
        <f>_xlfn.TEXTBEFORE(_xlfn.TEXTAFTER(I222, "node-"), "/")</f>
        <v/>
      </c>
      <c r="C222">
        <f>_xlfn.TEXTBEFORE(_xlfn.TEXTAFTER(I222, "phys-["), "]")</f>
        <v/>
      </c>
      <c r="D222" t="inlineStr">
        <is>
          <t>Unknown</t>
        </is>
      </c>
      <c r="E222" t="inlineStr">
        <is>
          <t>Unknown</t>
        </is>
      </c>
      <c r="F222" t="inlineStr">
        <is>
          <t>down</t>
        </is>
      </c>
      <c r="G222" t="inlineStr">
        <is>
          <t>admin-down</t>
        </is>
      </c>
      <c r="H222">
        <f>_xlfn.TEXTBEFORE(_xlfn.TEXTAFTER(I222, "pod-"), "/")</f>
        <v/>
      </c>
      <c r="I222" t="inlineStr">
        <is>
          <t>topology/pod-1/node-151/sys/phys-[eth1/23]/phys</t>
        </is>
      </c>
      <c r="J222">
        <f>VLOOKUP(VALUE(Table6[[#This Row],[node]]), LEAF_INFO!B:I, 7, 0)</f>
        <v/>
      </c>
    </row>
    <row r="223">
      <c r="A223">
        <f>_xlfn.CONCAT(B223,C223)</f>
        <v/>
      </c>
      <c r="B223">
        <f>_xlfn.TEXTBEFORE(_xlfn.TEXTAFTER(I223, "node-"), "/")</f>
        <v/>
      </c>
      <c r="C223">
        <f>_xlfn.TEXTBEFORE(_xlfn.TEXTAFTER(I223, "phys-["), "]")</f>
        <v/>
      </c>
      <c r="D223" t="inlineStr">
        <is>
          <t>Unknown</t>
        </is>
      </c>
      <c r="E223" t="inlineStr">
        <is>
          <t>Unknown</t>
        </is>
      </c>
      <c r="F223" t="inlineStr">
        <is>
          <t>up</t>
        </is>
      </c>
      <c r="G223" t="inlineStr">
        <is>
          <t>none</t>
        </is>
      </c>
      <c r="H223">
        <f>_xlfn.TEXTBEFORE(_xlfn.TEXTAFTER(I223, "pod-"), "/")</f>
        <v/>
      </c>
      <c r="I223" t="inlineStr">
        <is>
          <t>topology/pod-1/node-151/sys/phys-[eth1/24]/phys</t>
        </is>
      </c>
      <c r="J223">
        <f>VLOOKUP(VALUE(Table6[[#This Row],[node]]), LEAF_INFO!B:I, 7, 0)</f>
        <v/>
      </c>
    </row>
    <row r="224">
      <c r="A224">
        <f>_xlfn.CONCAT(B224,C224)</f>
        <v/>
      </c>
      <c r="B224">
        <f>_xlfn.TEXTBEFORE(_xlfn.TEXTAFTER(I224, "node-"), "/")</f>
        <v/>
      </c>
      <c r="C224">
        <f>_xlfn.TEXTBEFORE(_xlfn.TEXTAFTER(I224, "phys-["), "]")</f>
        <v/>
      </c>
      <c r="D224" t="inlineStr">
        <is>
          <t>Unknown</t>
        </is>
      </c>
      <c r="E224" t="inlineStr">
        <is>
          <t>Unknown</t>
        </is>
      </c>
      <c r="F224" t="inlineStr">
        <is>
          <t>down</t>
        </is>
      </c>
      <c r="G224" t="inlineStr">
        <is>
          <t>admin-down</t>
        </is>
      </c>
      <c r="H224">
        <f>_xlfn.TEXTBEFORE(_xlfn.TEXTAFTER(I224, "pod-"), "/")</f>
        <v/>
      </c>
      <c r="I224" t="inlineStr">
        <is>
          <t>topology/pod-1/node-151/sys/phys-[eth1/25]/phys</t>
        </is>
      </c>
      <c r="J224">
        <f>VLOOKUP(VALUE(Table6[[#This Row],[node]]), LEAF_INFO!B:I, 7, 0)</f>
        <v/>
      </c>
    </row>
    <row r="225">
      <c r="A225">
        <f>_xlfn.CONCAT(B225,C225)</f>
        <v/>
      </c>
      <c r="B225">
        <f>_xlfn.TEXTBEFORE(_xlfn.TEXTAFTER(I225, "node-"), "/")</f>
        <v/>
      </c>
      <c r="C225">
        <f>_xlfn.TEXTBEFORE(_xlfn.TEXTAFTER(I225, "phys-["), "]")</f>
        <v/>
      </c>
      <c r="D225" t="inlineStr">
        <is>
          <t>Unknown</t>
        </is>
      </c>
      <c r="E225" t="inlineStr">
        <is>
          <t>Unknown</t>
        </is>
      </c>
      <c r="F225" t="inlineStr">
        <is>
          <t>down</t>
        </is>
      </c>
      <c r="G225" t="inlineStr">
        <is>
          <t>admin-down</t>
        </is>
      </c>
      <c r="H225">
        <f>_xlfn.TEXTBEFORE(_xlfn.TEXTAFTER(I225, "pod-"), "/")</f>
        <v/>
      </c>
      <c r="I225" t="inlineStr">
        <is>
          <t>topology/pod-1/node-151/sys/phys-[eth1/26]/phys</t>
        </is>
      </c>
      <c r="J225">
        <f>VLOOKUP(VALUE(Table6[[#This Row],[node]]), LEAF_INFO!B:I, 7, 0)</f>
        <v/>
      </c>
    </row>
    <row r="226">
      <c r="A226">
        <f>_xlfn.CONCAT(B226,C226)</f>
        <v/>
      </c>
      <c r="B226">
        <f>_xlfn.TEXTBEFORE(_xlfn.TEXTAFTER(I226, "node-"), "/")</f>
        <v/>
      </c>
      <c r="C226">
        <f>_xlfn.TEXTBEFORE(_xlfn.TEXTAFTER(I226, "phys-["), "]")</f>
        <v/>
      </c>
      <c r="D226" t="inlineStr">
        <is>
          <t>Unknown</t>
        </is>
      </c>
      <c r="E226" t="inlineStr">
        <is>
          <t>Unknown</t>
        </is>
      </c>
      <c r="F226" t="inlineStr">
        <is>
          <t>up</t>
        </is>
      </c>
      <c r="G226" t="inlineStr">
        <is>
          <t>none</t>
        </is>
      </c>
      <c r="H226">
        <f>_xlfn.TEXTBEFORE(_xlfn.TEXTAFTER(I226, "pod-"), "/")</f>
        <v/>
      </c>
      <c r="I226" t="inlineStr">
        <is>
          <t>topology/pod-1/node-151/sys/phys-[eth1/27]/phys</t>
        </is>
      </c>
      <c r="J226">
        <f>VLOOKUP(VALUE(Table6[[#This Row],[node]]), LEAF_INFO!B:I, 7, 0)</f>
        <v/>
      </c>
    </row>
    <row r="227">
      <c r="A227">
        <f>_xlfn.CONCAT(B227,C227)</f>
        <v/>
      </c>
      <c r="B227">
        <f>_xlfn.TEXTBEFORE(_xlfn.TEXTAFTER(I227, "node-"), "/")</f>
        <v/>
      </c>
      <c r="C227">
        <f>_xlfn.TEXTBEFORE(_xlfn.TEXTAFTER(I227, "phys-["), "]")</f>
        <v/>
      </c>
      <c r="D227" t="inlineStr">
        <is>
          <t>Unknown</t>
        </is>
      </c>
      <c r="E227" t="inlineStr">
        <is>
          <t>Unknown</t>
        </is>
      </c>
      <c r="F227" t="inlineStr">
        <is>
          <t>up</t>
        </is>
      </c>
      <c r="G227" t="inlineStr">
        <is>
          <t>none</t>
        </is>
      </c>
      <c r="H227">
        <f>_xlfn.TEXTBEFORE(_xlfn.TEXTAFTER(I227, "pod-"), "/")</f>
        <v/>
      </c>
      <c r="I227" t="inlineStr">
        <is>
          <t>topology/pod-1/node-151/sys/phys-[eth1/28]/phys</t>
        </is>
      </c>
      <c r="J227">
        <f>VLOOKUP(VALUE(Table6[[#This Row],[node]]), LEAF_INFO!B:I, 7, 0)</f>
        <v/>
      </c>
    </row>
    <row r="228">
      <c r="A228">
        <f>_xlfn.CONCAT(B228,C228)</f>
        <v/>
      </c>
      <c r="B228">
        <f>_xlfn.TEXTBEFORE(_xlfn.TEXTAFTER(I228, "node-"), "/")</f>
        <v/>
      </c>
      <c r="C228">
        <f>_xlfn.TEXTBEFORE(_xlfn.TEXTAFTER(I228, "phys-["), "]")</f>
        <v/>
      </c>
      <c r="D228" t="inlineStr">
        <is>
          <t>Unknown</t>
        </is>
      </c>
      <c r="E228" t="inlineStr">
        <is>
          <t>Unknown</t>
        </is>
      </c>
      <c r="F228" t="inlineStr">
        <is>
          <t>up</t>
        </is>
      </c>
      <c r="G228" t="inlineStr">
        <is>
          <t>none</t>
        </is>
      </c>
      <c r="H228">
        <f>_xlfn.TEXTBEFORE(_xlfn.TEXTAFTER(I228, "pod-"), "/")</f>
        <v/>
      </c>
      <c r="I228" t="inlineStr">
        <is>
          <t>topology/pod-1/node-151/sys/phys-[eth1/29]/phys</t>
        </is>
      </c>
      <c r="J228">
        <f>VLOOKUP(VALUE(Table6[[#This Row],[node]]), LEAF_INFO!B:I, 7, 0)</f>
        <v/>
      </c>
    </row>
    <row r="229">
      <c r="A229">
        <f>_xlfn.CONCAT(B229,C229)</f>
        <v/>
      </c>
      <c r="B229">
        <f>_xlfn.TEXTBEFORE(_xlfn.TEXTAFTER(I229, "node-"), "/")</f>
        <v/>
      </c>
      <c r="C229">
        <f>_xlfn.TEXTBEFORE(_xlfn.TEXTAFTER(I229, "phys-["), "]")</f>
        <v/>
      </c>
      <c r="D229" t="inlineStr">
        <is>
          <t>Unknown</t>
        </is>
      </c>
      <c r="E229" t="inlineStr">
        <is>
          <t>Unknown</t>
        </is>
      </c>
      <c r="F229" t="inlineStr">
        <is>
          <t>up</t>
        </is>
      </c>
      <c r="G229" t="inlineStr">
        <is>
          <t>none</t>
        </is>
      </c>
      <c r="H229">
        <f>_xlfn.TEXTBEFORE(_xlfn.TEXTAFTER(I229, "pod-"), "/")</f>
        <v/>
      </c>
      <c r="I229" t="inlineStr">
        <is>
          <t>topology/pod-1/node-151/sys/phys-[eth1/30]/phys</t>
        </is>
      </c>
      <c r="J229">
        <f>VLOOKUP(VALUE(Table6[[#This Row],[node]]), LEAF_INFO!B:I, 7, 0)</f>
        <v/>
      </c>
    </row>
    <row r="230">
      <c r="A230">
        <f>_xlfn.CONCAT(B230,C230)</f>
        <v/>
      </c>
      <c r="B230">
        <f>_xlfn.TEXTBEFORE(_xlfn.TEXTAFTER(I230, "node-"), "/")</f>
        <v/>
      </c>
      <c r="C230">
        <f>_xlfn.TEXTBEFORE(_xlfn.TEXTAFTER(I230, "phys-["), "]")</f>
        <v/>
      </c>
      <c r="D230" t="inlineStr">
        <is>
          <t>Unknown</t>
        </is>
      </c>
      <c r="E230" t="inlineStr">
        <is>
          <t>Unknown</t>
        </is>
      </c>
      <c r="F230" t="inlineStr">
        <is>
          <t>up</t>
        </is>
      </c>
      <c r="G230" t="inlineStr">
        <is>
          <t>none</t>
        </is>
      </c>
      <c r="H230">
        <f>_xlfn.TEXTBEFORE(_xlfn.TEXTAFTER(I230, "pod-"), "/")</f>
        <v/>
      </c>
      <c r="I230" t="inlineStr">
        <is>
          <t>topology/pod-1/node-151/sys/phys-[eth1/31]/phys</t>
        </is>
      </c>
      <c r="J230">
        <f>VLOOKUP(VALUE(Table6[[#This Row],[node]]), LEAF_INFO!B:I, 7, 0)</f>
        <v/>
      </c>
    </row>
    <row r="231">
      <c r="A231">
        <f>_xlfn.CONCAT(B231,C231)</f>
        <v/>
      </c>
      <c r="B231">
        <f>_xlfn.TEXTBEFORE(_xlfn.TEXTAFTER(I231, "node-"), "/")</f>
        <v/>
      </c>
      <c r="C231">
        <f>_xlfn.TEXTBEFORE(_xlfn.TEXTAFTER(I231, "phys-["), "]")</f>
        <v/>
      </c>
      <c r="D231" t="inlineStr">
        <is>
          <t>Unknown</t>
        </is>
      </c>
      <c r="E231" t="inlineStr">
        <is>
          <t>Unknown</t>
        </is>
      </c>
      <c r="F231" t="inlineStr">
        <is>
          <t>down</t>
        </is>
      </c>
      <c r="G231" t="inlineStr">
        <is>
          <t>admin-down</t>
        </is>
      </c>
      <c r="H231">
        <f>_xlfn.TEXTBEFORE(_xlfn.TEXTAFTER(I231, "pod-"), "/")</f>
        <v/>
      </c>
      <c r="I231" t="inlineStr">
        <is>
          <t>topology/pod-1/node-151/sys/phys-[eth1/32]/phys</t>
        </is>
      </c>
      <c r="J231">
        <f>VLOOKUP(VALUE(Table6[[#This Row],[node]]), LEAF_INFO!B:I, 7, 0)</f>
        <v/>
      </c>
    </row>
    <row r="232">
      <c r="A232">
        <f>_xlfn.CONCAT(B232,C232)</f>
        <v/>
      </c>
      <c r="B232">
        <f>_xlfn.TEXTBEFORE(_xlfn.TEXTAFTER(I232, "node-"), "/")</f>
        <v/>
      </c>
      <c r="C232">
        <f>_xlfn.TEXTBEFORE(_xlfn.TEXTAFTER(I232, "phys-["), "]")</f>
        <v/>
      </c>
      <c r="D232" t="inlineStr">
        <is>
          <t>Unknown</t>
        </is>
      </c>
      <c r="E232" t="inlineStr">
        <is>
          <t>Unknown</t>
        </is>
      </c>
      <c r="F232" t="inlineStr">
        <is>
          <t>down</t>
        </is>
      </c>
      <c r="G232" t="inlineStr">
        <is>
          <t>admin-down</t>
        </is>
      </c>
      <c r="H232">
        <f>_xlfn.TEXTBEFORE(_xlfn.TEXTAFTER(I232, "pod-"), "/")</f>
        <v/>
      </c>
      <c r="I232" t="inlineStr">
        <is>
          <t>topology/pod-1/node-152/sys/phys-[eth1/33]/phys</t>
        </is>
      </c>
      <c r="J232">
        <f>VLOOKUP(VALUE(Table6[[#This Row],[node]]), LEAF_INFO!B:I, 7, 0)</f>
        <v/>
      </c>
    </row>
    <row r="233">
      <c r="A233">
        <f>_xlfn.CONCAT(B233,C233)</f>
        <v/>
      </c>
      <c r="B233">
        <f>_xlfn.TEXTBEFORE(_xlfn.TEXTAFTER(I233, "node-"), "/")</f>
        <v/>
      </c>
      <c r="C233">
        <f>_xlfn.TEXTBEFORE(_xlfn.TEXTAFTER(I233, "phys-["), "]")</f>
        <v/>
      </c>
      <c r="D233" t="inlineStr">
        <is>
          <t>Unknown</t>
        </is>
      </c>
      <c r="E233" t="inlineStr">
        <is>
          <t>Unknown</t>
        </is>
      </c>
      <c r="F233" t="inlineStr">
        <is>
          <t>down</t>
        </is>
      </c>
      <c r="G233" t="inlineStr">
        <is>
          <t>admin-down</t>
        </is>
      </c>
      <c r="H233">
        <f>_xlfn.TEXTBEFORE(_xlfn.TEXTAFTER(I233, "pod-"), "/")</f>
        <v/>
      </c>
      <c r="I233" t="inlineStr">
        <is>
          <t>topology/pod-1/node-152/sys/phys-[eth1/34]/phys</t>
        </is>
      </c>
      <c r="J233">
        <f>VLOOKUP(VALUE(Table6[[#This Row],[node]]), LEAF_INFO!B:I, 7, 0)</f>
        <v/>
      </c>
    </row>
    <row r="234">
      <c r="A234">
        <f>_xlfn.CONCAT(B234,C234)</f>
        <v/>
      </c>
      <c r="B234">
        <f>_xlfn.TEXTBEFORE(_xlfn.TEXTAFTER(I234, "node-"), "/")</f>
        <v/>
      </c>
      <c r="C234">
        <f>_xlfn.TEXTBEFORE(_xlfn.TEXTAFTER(I234, "phys-["), "]")</f>
        <v/>
      </c>
      <c r="D234" t="inlineStr">
        <is>
          <t>Unknown</t>
        </is>
      </c>
      <c r="E234" t="inlineStr">
        <is>
          <t>Unknown</t>
        </is>
      </c>
      <c r="F234" t="inlineStr">
        <is>
          <t>down</t>
        </is>
      </c>
      <c r="G234" t="inlineStr">
        <is>
          <t>admin-down</t>
        </is>
      </c>
      <c r="H234">
        <f>_xlfn.TEXTBEFORE(_xlfn.TEXTAFTER(I234, "pod-"), "/")</f>
        <v/>
      </c>
      <c r="I234" t="inlineStr">
        <is>
          <t>topology/pod-1/node-152/sys/phys-[eth1/35]/phys</t>
        </is>
      </c>
      <c r="J234">
        <f>VLOOKUP(VALUE(Table6[[#This Row],[node]]), LEAF_INFO!B:I, 7, 0)</f>
        <v/>
      </c>
    </row>
    <row r="235">
      <c r="A235">
        <f>_xlfn.CONCAT(B235,C235)</f>
        <v/>
      </c>
      <c r="B235">
        <f>_xlfn.TEXTBEFORE(_xlfn.TEXTAFTER(I235, "node-"), "/")</f>
        <v/>
      </c>
      <c r="C235">
        <f>_xlfn.TEXTBEFORE(_xlfn.TEXTAFTER(I235, "phys-["), "]")</f>
        <v/>
      </c>
      <c r="D235" t="inlineStr">
        <is>
          <t>Unknown</t>
        </is>
      </c>
      <c r="E235" t="inlineStr">
        <is>
          <t>Unknown</t>
        </is>
      </c>
      <c r="F235" t="inlineStr">
        <is>
          <t>down</t>
        </is>
      </c>
      <c r="G235" t="inlineStr">
        <is>
          <t>admin-down</t>
        </is>
      </c>
      <c r="H235">
        <f>_xlfn.TEXTBEFORE(_xlfn.TEXTAFTER(I235, "pod-"), "/")</f>
        <v/>
      </c>
      <c r="I235" t="inlineStr">
        <is>
          <t>topology/pod-1/node-152/sys/phys-[eth1/36]/phys</t>
        </is>
      </c>
      <c r="J235">
        <f>VLOOKUP(VALUE(Table6[[#This Row],[node]]), LEAF_INFO!B:I, 7, 0)</f>
        <v/>
      </c>
    </row>
    <row r="236">
      <c r="A236">
        <f>_xlfn.CONCAT(B236,C236)</f>
        <v/>
      </c>
      <c r="B236">
        <f>_xlfn.TEXTBEFORE(_xlfn.TEXTAFTER(I236, "node-"), "/")</f>
        <v/>
      </c>
      <c r="C236">
        <f>_xlfn.TEXTBEFORE(_xlfn.TEXTAFTER(I236, "phys-["), "]")</f>
        <v/>
      </c>
      <c r="D236" t="inlineStr">
        <is>
          <t>Unknown</t>
        </is>
      </c>
      <c r="E236" t="inlineStr">
        <is>
          <t>Unknown</t>
        </is>
      </c>
      <c r="F236" t="inlineStr">
        <is>
          <t>down</t>
        </is>
      </c>
      <c r="G236" t="inlineStr">
        <is>
          <t>admin-down</t>
        </is>
      </c>
      <c r="H236">
        <f>_xlfn.TEXTBEFORE(_xlfn.TEXTAFTER(I236, "pod-"), "/")</f>
        <v/>
      </c>
      <c r="I236" t="inlineStr">
        <is>
          <t>topology/pod-1/node-152/sys/phys-[eth1/37]/phys</t>
        </is>
      </c>
      <c r="J236">
        <f>VLOOKUP(VALUE(Table6[[#This Row],[node]]), LEAF_INFO!B:I, 7, 0)</f>
        <v/>
      </c>
    </row>
    <row r="237">
      <c r="A237">
        <f>_xlfn.CONCAT(B237,C237)</f>
        <v/>
      </c>
      <c r="B237">
        <f>_xlfn.TEXTBEFORE(_xlfn.TEXTAFTER(I237, "node-"), "/")</f>
        <v/>
      </c>
      <c r="C237">
        <f>_xlfn.TEXTBEFORE(_xlfn.TEXTAFTER(I237, "phys-["), "]")</f>
        <v/>
      </c>
      <c r="D237" t="inlineStr">
        <is>
          <t>Unknown</t>
        </is>
      </c>
      <c r="E237" t="inlineStr">
        <is>
          <t>Unknown</t>
        </is>
      </c>
      <c r="F237" t="inlineStr">
        <is>
          <t>down</t>
        </is>
      </c>
      <c r="G237" t="inlineStr">
        <is>
          <t>admin-down</t>
        </is>
      </c>
      <c r="H237">
        <f>_xlfn.TEXTBEFORE(_xlfn.TEXTAFTER(I237, "pod-"), "/")</f>
        <v/>
      </c>
      <c r="I237" t="inlineStr">
        <is>
          <t>topology/pod-1/node-152/sys/phys-[eth1/38]/phys</t>
        </is>
      </c>
      <c r="J237">
        <f>VLOOKUP(VALUE(Table6[[#This Row],[node]]), LEAF_INFO!B:I, 7, 0)</f>
        <v/>
      </c>
    </row>
    <row r="238">
      <c r="A238">
        <f>_xlfn.CONCAT(B238,C238)</f>
        <v/>
      </c>
      <c r="B238">
        <f>_xlfn.TEXTBEFORE(_xlfn.TEXTAFTER(I238, "node-"), "/")</f>
        <v/>
      </c>
      <c r="C238">
        <f>_xlfn.TEXTBEFORE(_xlfn.TEXTAFTER(I238, "phys-["), "]")</f>
        <v/>
      </c>
      <c r="D238" t="inlineStr">
        <is>
          <t>Unknown</t>
        </is>
      </c>
      <c r="E238" t="inlineStr">
        <is>
          <t>Unknown</t>
        </is>
      </c>
      <c r="F238" t="inlineStr">
        <is>
          <t>down</t>
        </is>
      </c>
      <c r="G238" t="inlineStr">
        <is>
          <t>admin-down</t>
        </is>
      </c>
      <c r="H238">
        <f>_xlfn.TEXTBEFORE(_xlfn.TEXTAFTER(I238, "pod-"), "/")</f>
        <v/>
      </c>
      <c r="I238" t="inlineStr">
        <is>
          <t>topology/pod-1/node-152/sys/phys-[eth1/39]/phys</t>
        </is>
      </c>
      <c r="J238">
        <f>VLOOKUP(VALUE(Table6[[#This Row],[node]]), LEAF_INFO!B:I, 7, 0)</f>
        <v/>
      </c>
    </row>
    <row r="239">
      <c r="A239">
        <f>_xlfn.CONCAT(B239,C239)</f>
        <v/>
      </c>
      <c r="B239">
        <f>_xlfn.TEXTBEFORE(_xlfn.TEXTAFTER(I239, "node-"), "/")</f>
        <v/>
      </c>
      <c r="C239">
        <f>_xlfn.TEXTBEFORE(_xlfn.TEXTAFTER(I239, "phys-["), "]")</f>
        <v/>
      </c>
      <c r="D239" t="inlineStr">
        <is>
          <t>Unknown</t>
        </is>
      </c>
      <c r="E239" t="inlineStr">
        <is>
          <t>Unknown</t>
        </is>
      </c>
      <c r="F239" t="inlineStr">
        <is>
          <t>down</t>
        </is>
      </c>
      <c r="G239" t="inlineStr">
        <is>
          <t>admin-down</t>
        </is>
      </c>
      <c r="H239">
        <f>_xlfn.TEXTBEFORE(_xlfn.TEXTAFTER(I239, "pod-"), "/")</f>
        <v/>
      </c>
      <c r="I239" t="inlineStr">
        <is>
          <t>topology/pod-1/node-152/sys/phys-[eth1/40]/phys</t>
        </is>
      </c>
      <c r="J239">
        <f>VLOOKUP(VALUE(Table6[[#This Row],[node]]), LEAF_INFO!B:I, 7, 0)</f>
        <v/>
      </c>
    </row>
    <row r="240">
      <c r="A240">
        <f>_xlfn.CONCAT(B240,C240)</f>
        <v/>
      </c>
      <c r="B240">
        <f>_xlfn.TEXTBEFORE(_xlfn.TEXTAFTER(I240, "node-"), "/")</f>
        <v/>
      </c>
      <c r="C240">
        <f>_xlfn.TEXTBEFORE(_xlfn.TEXTAFTER(I240, "phys-["), "]")</f>
        <v/>
      </c>
      <c r="D240" t="inlineStr">
        <is>
          <t>Unknown</t>
        </is>
      </c>
      <c r="E240" t="inlineStr">
        <is>
          <t>Unknown</t>
        </is>
      </c>
      <c r="F240" t="inlineStr">
        <is>
          <t>down</t>
        </is>
      </c>
      <c r="G240" t="inlineStr">
        <is>
          <t>admin-down</t>
        </is>
      </c>
      <c r="H240">
        <f>_xlfn.TEXTBEFORE(_xlfn.TEXTAFTER(I240, "pod-"), "/")</f>
        <v/>
      </c>
      <c r="I240" t="inlineStr">
        <is>
          <t>topology/pod-1/node-152/sys/phys-[eth1/41]/phys</t>
        </is>
      </c>
      <c r="J240">
        <f>VLOOKUP(VALUE(Table6[[#This Row],[node]]), LEAF_INFO!B:I, 7, 0)</f>
        <v/>
      </c>
    </row>
    <row r="241">
      <c r="A241">
        <f>_xlfn.CONCAT(B241,C241)</f>
        <v/>
      </c>
      <c r="B241">
        <f>_xlfn.TEXTBEFORE(_xlfn.TEXTAFTER(I241, "node-"), "/")</f>
        <v/>
      </c>
      <c r="C241">
        <f>_xlfn.TEXTBEFORE(_xlfn.TEXTAFTER(I241, "phys-["), "]")</f>
        <v/>
      </c>
      <c r="D241" t="inlineStr">
        <is>
          <t>Unknown</t>
        </is>
      </c>
      <c r="E241" t="inlineStr">
        <is>
          <t>Unknown</t>
        </is>
      </c>
      <c r="F241" t="inlineStr">
        <is>
          <t>down</t>
        </is>
      </c>
      <c r="G241" t="inlineStr">
        <is>
          <t>admin-down</t>
        </is>
      </c>
      <c r="H241">
        <f>_xlfn.TEXTBEFORE(_xlfn.TEXTAFTER(I241, "pod-"), "/")</f>
        <v/>
      </c>
      <c r="I241" t="inlineStr">
        <is>
          <t>topology/pod-1/node-152/sys/phys-[eth1/42]/phys</t>
        </is>
      </c>
      <c r="J241">
        <f>VLOOKUP(VALUE(Table6[[#This Row],[node]]), LEAF_INFO!B:I, 7, 0)</f>
        <v/>
      </c>
    </row>
    <row r="242">
      <c r="A242">
        <f>_xlfn.CONCAT(B242,C242)</f>
        <v/>
      </c>
      <c r="B242">
        <f>_xlfn.TEXTBEFORE(_xlfn.TEXTAFTER(I242, "node-"), "/")</f>
        <v/>
      </c>
      <c r="C242">
        <f>_xlfn.TEXTBEFORE(_xlfn.TEXTAFTER(I242, "phys-["), "]")</f>
        <v/>
      </c>
      <c r="D242" t="inlineStr">
        <is>
          <t>Unknown</t>
        </is>
      </c>
      <c r="E242" t="inlineStr">
        <is>
          <t>Unknown</t>
        </is>
      </c>
      <c r="F242" t="inlineStr">
        <is>
          <t>down</t>
        </is>
      </c>
      <c r="G242" t="inlineStr">
        <is>
          <t>admin-down</t>
        </is>
      </c>
      <c r="H242">
        <f>_xlfn.TEXTBEFORE(_xlfn.TEXTAFTER(I242, "pod-"), "/")</f>
        <v/>
      </c>
      <c r="I242" t="inlineStr">
        <is>
          <t>topology/pod-1/node-152/sys/phys-[eth1/43]/phys</t>
        </is>
      </c>
      <c r="J242">
        <f>VLOOKUP(VALUE(Table6[[#This Row],[node]]), LEAF_INFO!B:I, 7, 0)</f>
        <v/>
      </c>
    </row>
    <row r="243">
      <c r="A243">
        <f>_xlfn.CONCAT(B243,C243)</f>
        <v/>
      </c>
      <c r="B243">
        <f>_xlfn.TEXTBEFORE(_xlfn.TEXTAFTER(I243, "node-"), "/")</f>
        <v/>
      </c>
      <c r="C243">
        <f>_xlfn.TEXTBEFORE(_xlfn.TEXTAFTER(I243, "phys-["), "]")</f>
        <v/>
      </c>
      <c r="D243" t="inlineStr">
        <is>
          <t>Unknown</t>
        </is>
      </c>
      <c r="E243" t="inlineStr">
        <is>
          <t>Unknown</t>
        </is>
      </c>
      <c r="F243" t="inlineStr">
        <is>
          <t>down</t>
        </is>
      </c>
      <c r="G243" t="inlineStr">
        <is>
          <t>admin-down</t>
        </is>
      </c>
      <c r="H243">
        <f>_xlfn.TEXTBEFORE(_xlfn.TEXTAFTER(I243, "pod-"), "/")</f>
        <v/>
      </c>
      <c r="I243" t="inlineStr">
        <is>
          <t>topology/pod-1/node-152/sys/phys-[eth1/44]/phys</t>
        </is>
      </c>
      <c r="J243">
        <f>VLOOKUP(VALUE(Table6[[#This Row],[node]]), LEAF_INFO!B:I, 7, 0)</f>
        <v/>
      </c>
    </row>
    <row r="244">
      <c r="A244">
        <f>_xlfn.CONCAT(B244,C244)</f>
        <v/>
      </c>
      <c r="B244">
        <f>_xlfn.TEXTBEFORE(_xlfn.TEXTAFTER(I244, "node-"), "/")</f>
        <v/>
      </c>
      <c r="C244">
        <f>_xlfn.TEXTBEFORE(_xlfn.TEXTAFTER(I244, "phys-["), "]")</f>
        <v/>
      </c>
      <c r="D244" t="inlineStr">
        <is>
          <t>Unknown</t>
        </is>
      </c>
      <c r="E244" t="inlineStr">
        <is>
          <t>Unknown</t>
        </is>
      </c>
      <c r="F244" t="inlineStr">
        <is>
          <t>down</t>
        </is>
      </c>
      <c r="G244" t="inlineStr">
        <is>
          <t>admin-down</t>
        </is>
      </c>
      <c r="H244">
        <f>_xlfn.TEXTBEFORE(_xlfn.TEXTAFTER(I244, "pod-"), "/")</f>
        <v/>
      </c>
      <c r="I244" t="inlineStr">
        <is>
          <t>topology/pod-1/node-152/sys/phys-[eth1/45]/phys</t>
        </is>
      </c>
      <c r="J244">
        <f>VLOOKUP(VALUE(Table6[[#This Row],[node]]), LEAF_INFO!B:I, 7, 0)</f>
        <v/>
      </c>
    </row>
    <row r="245">
      <c r="A245">
        <f>_xlfn.CONCAT(B245,C245)</f>
        <v/>
      </c>
      <c r="B245">
        <f>_xlfn.TEXTBEFORE(_xlfn.TEXTAFTER(I245, "node-"), "/")</f>
        <v/>
      </c>
      <c r="C245">
        <f>_xlfn.TEXTBEFORE(_xlfn.TEXTAFTER(I245, "phys-["), "]")</f>
        <v/>
      </c>
      <c r="D245" t="inlineStr">
        <is>
          <t>Unknown</t>
        </is>
      </c>
      <c r="E245" t="inlineStr">
        <is>
          <t>Unknown</t>
        </is>
      </c>
      <c r="F245" t="inlineStr">
        <is>
          <t>up</t>
        </is>
      </c>
      <c r="G245" t="inlineStr">
        <is>
          <t>none</t>
        </is>
      </c>
      <c r="H245">
        <f>_xlfn.TEXTBEFORE(_xlfn.TEXTAFTER(I245, "pod-"), "/")</f>
        <v/>
      </c>
      <c r="I245" t="inlineStr">
        <is>
          <t>topology/pod-1/node-152/sys/phys-[eth1/46]/phys</t>
        </is>
      </c>
      <c r="J245">
        <f>VLOOKUP(VALUE(Table6[[#This Row],[node]]), LEAF_INFO!B:I, 7, 0)</f>
        <v/>
      </c>
    </row>
    <row r="246">
      <c r="A246">
        <f>_xlfn.CONCAT(B246,C246)</f>
        <v/>
      </c>
      <c r="B246">
        <f>_xlfn.TEXTBEFORE(_xlfn.TEXTAFTER(I246, "node-"), "/")</f>
        <v/>
      </c>
      <c r="C246">
        <f>_xlfn.TEXTBEFORE(_xlfn.TEXTAFTER(I246, "phys-["), "]")</f>
        <v/>
      </c>
      <c r="D246" t="inlineStr">
        <is>
          <t>Unknown</t>
        </is>
      </c>
      <c r="E246" t="inlineStr">
        <is>
          <t>Unknown</t>
        </is>
      </c>
      <c r="F246" t="inlineStr">
        <is>
          <t>up</t>
        </is>
      </c>
      <c r="G246" t="inlineStr">
        <is>
          <t>none</t>
        </is>
      </c>
      <c r="H246">
        <f>_xlfn.TEXTBEFORE(_xlfn.TEXTAFTER(I246, "pod-"), "/")</f>
        <v/>
      </c>
      <c r="I246" t="inlineStr">
        <is>
          <t>topology/pod-1/node-152/sys/phys-[eth1/47]/phys</t>
        </is>
      </c>
      <c r="J246">
        <f>VLOOKUP(VALUE(Table6[[#This Row],[node]]), LEAF_INFO!B:I, 7, 0)</f>
        <v/>
      </c>
    </row>
    <row r="247">
      <c r="A247">
        <f>_xlfn.CONCAT(B247,C247)</f>
        <v/>
      </c>
      <c r="B247">
        <f>_xlfn.TEXTBEFORE(_xlfn.TEXTAFTER(I247, "node-"), "/")</f>
        <v/>
      </c>
      <c r="C247">
        <f>_xlfn.TEXTBEFORE(_xlfn.TEXTAFTER(I247, "phys-["), "]")</f>
        <v/>
      </c>
      <c r="D247" t="inlineStr">
        <is>
          <t>Unknown</t>
        </is>
      </c>
      <c r="E247" t="inlineStr">
        <is>
          <t>Unknown</t>
        </is>
      </c>
      <c r="F247" t="inlineStr">
        <is>
          <t>up</t>
        </is>
      </c>
      <c r="G247" t="inlineStr">
        <is>
          <t>none</t>
        </is>
      </c>
      <c r="H247">
        <f>_xlfn.TEXTBEFORE(_xlfn.TEXTAFTER(I247, "pod-"), "/")</f>
        <v/>
      </c>
      <c r="I247" t="inlineStr">
        <is>
          <t>topology/pod-1/node-152/sys/phys-[eth1/48]/phys</t>
        </is>
      </c>
      <c r="J247">
        <f>VLOOKUP(VALUE(Table6[[#This Row],[node]]), LEAF_INFO!B:I, 7, 0)</f>
        <v/>
      </c>
    </row>
    <row r="248">
      <c r="A248">
        <f>_xlfn.CONCAT(B248,C248)</f>
        <v/>
      </c>
      <c r="B248">
        <f>_xlfn.TEXTBEFORE(_xlfn.TEXTAFTER(I248, "node-"), "/")</f>
        <v/>
      </c>
      <c r="C248">
        <f>_xlfn.TEXTBEFORE(_xlfn.TEXTAFTER(I248, "phys-["), "]")</f>
        <v/>
      </c>
      <c r="D248" t="inlineStr">
        <is>
          <t>Unknown</t>
        </is>
      </c>
      <c r="E248" t="inlineStr">
        <is>
          <t>Unknown</t>
        </is>
      </c>
      <c r="F248" t="inlineStr">
        <is>
          <t>down</t>
        </is>
      </c>
      <c r="G248" t="inlineStr">
        <is>
          <t>sfp-missing</t>
        </is>
      </c>
      <c r="H248">
        <f>_xlfn.TEXTBEFORE(_xlfn.TEXTAFTER(I248, "pod-"), "/")</f>
        <v/>
      </c>
      <c r="I248" t="inlineStr">
        <is>
          <t>topology/pod-1/node-152/sys/phys-[eth1/49]/phys</t>
        </is>
      </c>
      <c r="J248">
        <f>VLOOKUP(VALUE(Table6[[#This Row],[node]]), LEAF_INFO!B:I, 7, 0)</f>
        <v/>
      </c>
    </row>
    <row r="249">
      <c r="A249">
        <f>_xlfn.CONCAT(B249,C249)</f>
        <v/>
      </c>
      <c r="B249">
        <f>_xlfn.TEXTBEFORE(_xlfn.TEXTAFTER(I249, "node-"), "/")</f>
        <v/>
      </c>
      <c r="C249">
        <f>_xlfn.TEXTBEFORE(_xlfn.TEXTAFTER(I249, "phys-["), "]")</f>
        <v/>
      </c>
      <c r="D249" t="inlineStr">
        <is>
          <t>Unknown</t>
        </is>
      </c>
      <c r="E249" t="inlineStr">
        <is>
          <t>Unknown</t>
        </is>
      </c>
      <c r="F249" t="inlineStr">
        <is>
          <t>down</t>
        </is>
      </c>
      <c r="G249" t="inlineStr">
        <is>
          <t>sfp-missing</t>
        </is>
      </c>
      <c r="H249">
        <f>_xlfn.TEXTBEFORE(_xlfn.TEXTAFTER(I249, "pod-"), "/")</f>
        <v/>
      </c>
      <c r="I249" t="inlineStr">
        <is>
          <t>topology/pod-1/node-152/sys/phys-[eth1/50]/phys</t>
        </is>
      </c>
      <c r="J249">
        <f>VLOOKUP(VALUE(Table6[[#This Row],[node]]), LEAF_INFO!B:I, 7, 0)</f>
        <v/>
      </c>
    </row>
    <row r="250">
      <c r="A250">
        <f>_xlfn.CONCAT(B250,C250)</f>
        <v/>
      </c>
      <c r="B250">
        <f>_xlfn.TEXTBEFORE(_xlfn.TEXTAFTER(I250, "node-"), "/")</f>
        <v/>
      </c>
      <c r="C250">
        <f>_xlfn.TEXTBEFORE(_xlfn.TEXTAFTER(I250, "phys-["), "]")</f>
        <v/>
      </c>
      <c r="D250" t="inlineStr">
        <is>
          <t>Unknown</t>
        </is>
      </c>
      <c r="E250" t="inlineStr">
        <is>
          <t>Unknown</t>
        </is>
      </c>
      <c r="F250" t="inlineStr">
        <is>
          <t>down</t>
        </is>
      </c>
      <c r="G250" t="inlineStr">
        <is>
          <t>sfp-missing</t>
        </is>
      </c>
      <c r="H250">
        <f>_xlfn.TEXTBEFORE(_xlfn.TEXTAFTER(I250, "pod-"), "/")</f>
        <v/>
      </c>
      <c r="I250" t="inlineStr">
        <is>
          <t>topology/pod-1/node-152/sys/phys-[eth1/51]/phys</t>
        </is>
      </c>
      <c r="J250">
        <f>VLOOKUP(VALUE(Table6[[#This Row],[node]]), LEAF_INFO!B:I, 7, 0)</f>
        <v/>
      </c>
    </row>
    <row r="251">
      <c r="A251">
        <f>_xlfn.CONCAT(B251,C251)</f>
        <v/>
      </c>
      <c r="B251">
        <f>_xlfn.TEXTBEFORE(_xlfn.TEXTAFTER(I251, "node-"), "/")</f>
        <v/>
      </c>
      <c r="C251">
        <f>_xlfn.TEXTBEFORE(_xlfn.TEXTAFTER(I251, "phys-["), "]")</f>
        <v/>
      </c>
      <c r="D251" t="inlineStr">
        <is>
          <t>Unknown</t>
        </is>
      </c>
      <c r="E251" t="inlineStr">
        <is>
          <t>Unknown</t>
        </is>
      </c>
      <c r="F251" t="inlineStr">
        <is>
          <t>down</t>
        </is>
      </c>
      <c r="G251" t="inlineStr">
        <is>
          <t>sfp-missing</t>
        </is>
      </c>
      <c r="H251">
        <f>_xlfn.TEXTBEFORE(_xlfn.TEXTAFTER(I251, "pod-"), "/")</f>
        <v/>
      </c>
      <c r="I251" t="inlineStr">
        <is>
          <t>topology/pod-1/node-152/sys/phys-[eth1/52]/phys</t>
        </is>
      </c>
      <c r="J251">
        <f>VLOOKUP(VALUE(Table6[[#This Row],[node]]), LEAF_INFO!B:I, 7, 0)</f>
        <v/>
      </c>
    </row>
    <row r="252">
      <c r="A252">
        <f>_xlfn.CONCAT(B252,C252)</f>
        <v/>
      </c>
      <c r="B252">
        <f>_xlfn.TEXTBEFORE(_xlfn.TEXTAFTER(I252, "node-"), "/")</f>
        <v/>
      </c>
      <c r="C252">
        <f>_xlfn.TEXTBEFORE(_xlfn.TEXTAFTER(I252, "phys-["), "]")</f>
        <v/>
      </c>
      <c r="D252" t="inlineStr">
        <is>
          <t>Unknown</t>
        </is>
      </c>
      <c r="E252" t="inlineStr">
        <is>
          <t>Unknown</t>
        </is>
      </c>
      <c r="F252" t="inlineStr">
        <is>
          <t>up</t>
        </is>
      </c>
      <c r="G252" t="inlineStr">
        <is>
          <t>none</t>
        </is>
      </c>
      <c r="H252">
        <f>_xlfn.TEXTBEFORE(_xlfn.TEXTAFTER(I252, "pod-"), "/")</f>
        <v/>
      </c>
      <c r="I252" t="inlineStr">
        <is>
          <t>topology/pod-1/node-152/sys/phys-[eth1/53]/phys</t>
        </is>
      </c>
      <c r="J252">
        <f>VLOOKUP(VALUE(Table6[[#This Row],[node]]), LEAF_INFO!B:I, 7, 0)</f>
        <v/>
      </c>
    </row>
    <row r="253">
      <c r="A253">
        <f>_xlfn.CONCAT(B253,C253)</f>
        <v/>
      </c>
      <c r="B253">
        <f>_xlfn.TEXTBEFORE(_xlfn.TEXTAFTER(I253, "node-"), "/")</f>
        <v/>
      </c>
      <c r="C253">
        <f>_xlfn.TEXTBEFORE(_xlfn.TEXTAFTER(I253, "phys-["), "]")</f>
        <v/>
      </c>
      <c r="D253" t="inlineStr">
        <is>
          <t>Unknown</t>
        </is>
      </c>
      <c r="E253" t="inlineStr">
        <is>
          <t>Unknown</t>
        </is>
      </c>
      <c r="F253" t="inlineStr">
        <is>
          <t>up</t>
        </is>
      </c>
      <c r="G253" t="inlineStr">
        <is>
          <t>none</t>
        </is>
      </c>
      <c r="H253">
        <f>_xlfn.TEXTBEFORE(_xlfn.TEXTAFTER(I253, "pod-"), "/")</f>
        <v/>
      </c>
      <c r="I253" t="inlineStr">
        <is>
          <t>topology/pod-1/node-152/sys/phys-[eth1/54]/phys</t>
        </is>
      </c>
      <c r="J253">
        <f>VLOOKUP(VALUE(Table6[[#This Row],[node]]), LEAF_INFO!B:I, 7, 0)</f>
        <v/>
      </c>
    </row>
    <row r="254">
      <c r="A254">
        <f>_xlfn.CONCAT(B254,C254)</f>
        <v/>
      </c>
      <c r="B254">
        <f>_xlfn.TEXTBEFORE(_xlfn.TEXTAFTER(I254, "node-"), "/")</f>
        <v/>
      </c>
      <c r="C254">
        <f>_xlfn.TEXTBEFORE(_xlfn.TEXTAFTER(I254, "phys-["), "]")</f>
        <v/>
      </c>
      <c r="D254" t="inlineStr">
        <is>
          <t>Unknown</t>
        </is>
      </c>
      <c r="E254" t="inlineStr">
        <is>
          <t>Unknown</t>
        </is>
      </c>
      <c r="F254" t="inlineStr">
        <is>
          <t>down</t>
        </is>
      </c>
      <c r="G254" t="inlineStr">
        <is>
          <t>admin-down</t>
        </is>
      </c>
      <c r="H254">
        <f>_xlfn.TEXTBEFORE(_xlfn.TEXTAFTER(I254, "pod-"), "/")</f>
        <v/>
      </c>
      <c r="I254" t="inlineStr">
        <is>
          <t>topology/pod-1/node-152/sys/phys-[eth1/1]/phys</t>
        </is>
      </c>
      <c r="J254">
        <f>VLOOKUP(VALUE(Table6[[#This Row],[node]]), LEAF_INFO!B:I, 7, 0)</f>
        <v/>
      </c>
    </row>
    <row r="255">
      <c r="A255">
        <f>_xlfn.CONCAT(B255,C255)</f>
        <v/>
      </c>
      <c r="B255">
        <f>_xlfn.TEXTBEFORE(_xlfn.TEXTAFTER(I255, "node-"), "/")</f>
        <v/>
      </c>
      <c r="C255">
        <f>_xlfn.TEXTBEFORE(_xlfn.TEXTAFTER(I255, "phys-["), "]")</f>
        <v/>
      </c>
      <c r="D255" t="inlineStr">
        <is>
          <t>Unknown</t>
        </is>
      </c>
      <c r="E255" t="inlineStr">
        <is>
          <t>Unknown</t>
        </is>
      </c>
      <c r="F255" t="inlineStr">
        <is>
          <t>up</t>
        </is>
      </c>
      <c r="G255" t="inlineStr">
        <is>
          <t>none</t>
        </is>
      </c>
      <c r="H255">
        <f>_xlfn.TEXTBEFORE(_xlfn.TEXTAFTER(I255, "pod-"), "/")</f>
        <v/>
      </c>
      <c r="I255" t="inlineStr">
        <is>
          <t>topology/pod-1/node-152/sys/phys-[eth1/2]/phys</t>
        </is>
      </c>
      <c r="J255">
        <f>VLOOKUP(VALUE(Table6[[#This Row],[node]]), LEAF_INFO!B:I, 7, 0)</f>
        <v/>
      </c>
    </row>
    <row r="256">
      <c r="A256">
        <f>_xlfn.CONCAT(B256,C256)</f>
        <v/>
      </c>
      <c r="B256">
        <f>_xlfn.TEXTBEFORE(_xlfn.TEXTAFTER(I256, "node-"), "/")</f>
        <v/>
      </c>
      <c r="C256">
        <f>_xlfn.TEXTBEFORE(_xlfn.TEXTAFTER(I256, "phys-["), "]")</f>
        <v/>
      </c>
      <c r="D256" t="inlineStr">
        <is>
          <t>Unknown</t>
        </is>
      </c>
      <c r="E256" t="inlineStr">
        <is>
          <t>Unknown</t>
        </is>
      </c>
      <c r="F256" t="inlineStr">
        <is>
          <t>down</t>
        </is>
      </c>
      <c r="G256" t="inlineStr">
        <is>
          <t>admin-down</t>
        </is>
      </c>
      <c r="H256">
        <f>_xlfn.TEXTBEFORE(_xlfn.TEXTAFTER(I256, "pod-"), "/")</f>
        <v/>
      </c>
      <c r="I256" t="inlineStr">
        <is>
          <t>topology/pod-1/node-152/sys/phys-[eth1/3]/phys</t>
        </is>
      </c>
      <c r="J256">
        <f>VLOOKUP(VALUE(Table6[[#This Row],[node]]), LEAF_INFO!B:I, 7, 0)</f>
        <v/>
      </c>
    </row>
    <row r="257">
      <c r="A257">
        <f>_xlfn.CONCAT(B257,C257)</f>
        <v/>
      </c>
      <c r="B257">
        <f>_xlfn.TEXTBEFORE(_xlfn.TEXTAFTER(I257, "node-"), "/")</f>
        <v/>
      </c>
      <c r="C257">
        <f>_xlfn.TEXTBEFORE(_xlfn.TEXTAFTER(I257, "phys-["), "]")</f>
        <v/>
      </c>
      <c r="D257" t="inlineStr">
        <is>
          <t>Unknown</t>
        </is>
      </c>
      <c r="E257" t="inlineStr">
        <is>
          <t>Unknown</t>
        </is>
      </c>
      <c r="F257" t="inlineStr">
        <is>
          <t>up</t>
        </is>
      </c>
      <c r="G257" t="inlineStr">
        <is>
          <t>none</t>
        </is>
      </c>
      <c r="H257">
        <f>_xlfn.TEXTBEFORE(_xlfn.TEXTAFTER(I257, "pod-"), "/")</f>
        <v/>
      </c>
      <c r="I257" t="inlineStr">
        <is>
          <t>topology/pod-1/node-152/sys/phys-[eth1/4]/phys</t>
        </is>
      </c>
      <c r="J257">
        <f>VLOOKUP(VALUE(Table6[[#This Row],[node]]), LEAF_INFO!B:I, 7, 0)</f>
        <v/>
      </c>
    </row>
    <row r="258">
      <c r="A258">
        <f>_xlfn.CONCAT(B258,C258)</f>
        <v/>
      </c>
      <c r="B258">
        <f>_xlfn.TEXTBEFORE(_xlfn.TEXTAFTER(I258, "node-"), "/")</f>
        <v/>
      </c>
      <c r="C258">
        <f>_xlfn.TEXTBEFORE(_xlfn.TEXTAFTER(I258, "phys-["), "]")</f>
        <v/>
      </c>
      <c r="D258" t="inlineStr">
        <is>
          <t>Unknown</t>
        </is>
      </c>
      <c r="E258" t="inlineStr">
        <is>
          <t>Unknown</t>
        </is>
      </c>
      <c r="F258" t="inlineStr">
        <is>
          <t>up</t>
        </is>
      </c>
      <c r="G258" t="inlineStr">
        <is>
          <t>none</t>
        </is>
      </c>
      <c r="H258">
        <f>_xlfn.TEXTBEFORE(_xlfn.TEXTAFTER(I258, "pod-"), "/")</f>
        <v/>
      </c>
      <c r="I258" t="inlineStr">
        <is>
          <t>topology/pod-1/node-152/sys/phys-[eth1/5]/phys</t>
        </is>
      </c>
      <c r="J258">
        <f>VLOOKUP(VALUE(Table6[[#This Row],[node]]), LEAF_INFO!B:I, 7, 0)</f>
        <v/>
      </c>
    </row>
    <row r="259">
      <c r="A259">
        <f>_xlfn.CONCAT(B259,C259)</f>
        <v/>
      </c>
      <c r="B259">
        <f>_xlfn.TEXTBEFORE(_xlfn.TEXTAFTER(I259, "node-"), "/")</f>
        <v/>
      </c>
      <c r="C259">
        <f>_xlfn.TEXTBEFORE(_xlfn.TEXTAFTER(I259, "phys-["), "]")</f>
        <v/>
      </c>
      <c r="D259" t="inlineStr">
        <is>
          <t>Unknown</t>
        </is>
      </c>
      <c r="E259" t="inlineStr">
        <is>
          <t>Unknown</t>
        </is>
      </c>
      <c r="F259" t="inlineStr">
        <is>
          <t>down</t>
        </is>
      </c>
      <c r="G259" t="inlineStr">
        <is>
          <t>admin-down</t>
        </is>
      </c>
      <c r="H259">
        <f>_xlfn.TEXTBEFORE(_xlfn.TEXTAFTER(I259, "pod-"), "/")</f>
        <v/>
      </c>
      <c r="I259" t="inlineStr">
        <is>
          <t>topology/pod-1/node-152/sys/phys-[eth1/6]/phys</t>
        </is>
      </c>
      <c r="J259">
        <f>VLOOKUP(VALUE(Table6[[#This Row],[node]]), LEAF_INFO!B:I, 7, 0)</f>
        <v/>
      </c>
    </row>
    <row r="260">
      <c r="A260">
        <f>_xlfn.CONCAT(B260,C260)</f>
        <v/>
      </c>
      <c r="B260">
        <f>_xlfn.TEXTBEFORE(_xlfn.TEXTAFTER(I260, "node-"), "/")</f>
        <v/>
      </c>
      <c r="C260">
        <f>_xlfn.TEXTBEFORE(_xlfn.TEXTAFTER(I260, "phys-["), "]")</f>
        <v/>
      </c>
      <c r="D260" t="inlineStr">
        <is>
          <t>Unknown</t>
        </is>
      </c>
      <c r="E260" t="inlineStr">
        <is>
          <t>Unknown</t>
        </is>
      </c>
      <c r="F260" t="inlineStr">
        <is>
          <t>down</t>
        </is>
      </c>
      <c r="G260" t="inlineStr">
        <is>
          <t>link-not-connected</t>
        </is>
      </c>
      <c r="H260">
        <f>_xlfn.TEXTBEFORE(_xlfn.TEXTAFTER(I260, "pod-"), "/")</f>
        <v/>
      </c>
      <c r="I260" t="inlineStr">
        <is>
          <t>topology/pod-1/node-152/sys/phys-[eth1/7]/phys</t>
        </is>
      </c>
      <c r="J260">
        <f>VLOOKUP(VALUE(Table6[[#This Row],[node]]), LEAF_INFO!B:I, 7, 0)</f>
        <v/>
      </c>
    </row>
    <row r="261">
      <c r="A261">
        <f>_xlfn.CONCAT(B261,C261)</f>
        <v/>
      </c>
      <c r="B261">
        <f>_xlfn.TEXTBEFORE(_xlfn.TEXTAFTER(I261, "node-"), "/")</f>
        <v/>
      </c>
      <c r="C261">
        <f>_xlfn.TEXTBEFORE(_xlfn.TEXTAFTER(I261, "phys-["), "]")</f>
        <v/>
      </c>
      <c r="D261" t="inlineStr">
        <is>
          <t>Unknown</t>
        </is>
      </c>
      <c r="E261" t="inlineStr">
        <is>
          <t>Unknown</t>
        </is>
      </c>
      <c r="F261" t="inlineStr">
        <is>
          <t>down</t>
        </is>
      </c>
      <c r="G261" t="inlineStr">
        <is>
          <t>link-not-connected</t>
        </is>
      </c>
      <c r="H261">
        <f>_xlfn.TEXTBEFORE(_xlfn.TEXTAFTER(I261, "pod-"), "/")</f>
        <v/>
      </c>
      <c r="I261" t="inlineStr">
        <is>
          <t>topology/pod-1/node-152/sys/phys-[eth1/8]/phys</t>
        </is>
      </c>
      <c r="J261">
        <f>VLOOKUP(VALUE(Table6[[#This Row],[node]]), LEAF_INFO!B:I, 7, 0)</f>
        <v/>
      </c>
    </row>
    <row r="262">
      <c r="A262">
        <f>_xlfn.CONCAT(B262,C262)</f>
        <v/>
      </c>
      <c r="B262">
        <f>_xlfn.TEXTBEFORE(_xlfn.TEXTAFTER(I262, "node-"), "/")</f>
        <v/>
      </c>
      <c r="C262">
        <f>_xlfn.TEXTBEFORE(_xlfn.TEXTAFTER(I262, "phys-["), "]")</f>
        <v/>
      </c>
      <c r="D262" t="inlineStr">
        <is>
          <t>Unknown</t>
        </is>
      </c>
      <c r="E262" t="inlineStr">
        <is>
          <t>Unknown</t>
        </is>
      </c>
      <c r="F262" t="inlineStr">
        <is>
          <t>up</t>
        </is>
      </c>
      <c r="G262" t="inlineStr">
        <is>
          <t>none</t>
        </is>
      </c>
      <c r="H262">
        <f>_xlfn.TEXTBEFORE(_xlfn.TEXTAFTER(I262, "pod-"), "/")</f>
        <v/>
      </c>
      <c r="I262" t="inlineStr">
        <is>
          <t>topology/pod-1/node-152/sys/phys-[eth1/9]/phys</t>
        </is>
      </c>
      <c r="J262">
        <f>VLOOKUP(VALUE(Table6[[#This Row],[node]]), LEAF_INFO!B:I, 7, 0)</f>
        <v/>
      </c>
    </row>
    <row r="263">
      <c r="A263">
        <f>_xlfn.CONCAT(B263,C263)</f>
        <v/>
      </c>
      <c r="B263">
        <f>_xlfn.TEXTBEFORE(_xlfn.TEXTAFTER(I263, "node-"), "/")</f>
        <v/>
      </c>
      <c r="C263">
        <f>_xlfn.TEXTBEFORE(_xlfn.TEXTAFTER(I263, "phys-["), "]")</f>
        <v/>
      </c>
      <c r="D263" t="inlineStr">
        <is>
          <t>Unknown</t>
        </is>
      </c>
      <c r="E263" t="inlineStr">
        <is>
          <t>Unknown</t>
        </is>
      </c>
      <c r="F263" t="inlineStr">
        <is>
          <t>up</t>
        </is>
      </c>
      <c r="G263" t="inlineStr">
        <is>
          <t>none</t>
        </is>
      </c>
      <c r="H263">
        <f>_xlfn.TEXTBEFORE(_xlfn.TEXTAFTER(I263, "pod-"), "/")</f>
        <v/>
      </c>
      <c r="I263" t="inlineStr">
        <is>
          <t>topology/pod-1/node-152/sys/phys-[eth1/10]/phys</t>
        </is>
      </c>
      <c r="J263">
        <f>VLOOKUP(VALUE(Table6[[#This Row],[node]]), LEAF_INFO!B:I, 7, 0)</f>
        <v/>
      </c>
    </row>
    <row r="264">
      <c r="A264">
        <f>_xlfn.CONCAT(B264,C264)</f>
        <v/>
      </c>
      <c r="B264">
        <f>_xlfn.TEXTBEFORE(_xlfn.TEXTAFTER(I264, "node-"), "/")</f>
        <v/>
      </c>
      <c r="C264">
        <f>_xlfn.TEXTBEFORE(_xlfn.TEXTAFTER(I264, "phys-["), "]")</f>
        <v/>
      </c>
      <c r="D264" t="inlineStr">
        <is>
          <t>Unknown</t>
        </is>
      </c>
      <c r="E264" t="inlineStr">
        <is>
          <t>Unknown</t>
        </is>
      </c>
      <c r="F264" t="inlineStr">
        <is>
          <t>up</t>
        </is>
      </c>
      <c r="G264" t="inlineStr">
        <is>
          <t>none</t>
        </is>
      </c>
      <c r="H264">
        <f>_xlfn.TEXTBEFORE(_xlfn.TEXTAFTER(I264, "pod-"), "/")</f>
        <v/>
      </c>
      <c r="I264" t="inlineStr">
        <is>
          <t>topology/pod-1/node-152/sys/phys-[eth1/11]/phys</t>
        </is>
      </c>
      <c r="J264">
        <f>VLOOKUP(VALUE(Table6[[#This Row],[node]]), LEAF_INFO!B:I, 7, 0)</f>
        <v/>
      </c>
    </row>
    <row r="265">
      <c r="A265">
        <f>_xlfn.CONCAT(B265,C265)</f>
        <v/>
      </c>
      <c r="B265">
        <f>_xlfn.TEXTBEFORE(_xlfn.TEXTAFTER(I265, "node-"), "/")</f>
        <v/>
      </c>
      <c r="C265">
        <f>_xlfn.TEXTBEFORE(_xlfn.TEXTAFTER(I265, "phys-["), "]")</f>
        <v/>
      </c>
      <c r="D265" t="inlineStr">
        <is>
          <t>Unknown</t>
        </is>
      </c>
      <c r="E265" t="inlineStr">
        <is>
          <t>Unknown</t>
        </is>
      </c>
      <c r="F265" t="inlineStr">
        <is>
          <t>up</t>
        </is>
      </c>
      <c r="G265" t="inlineStr">
        <is>
          <t>none</t>
        </is>
      </c>
      <c r="H265">
        <f>_xlfn.TEXTBEFORE(_xlfn.TEXTAFTER(I265, "pod-"), "/")</f>
        <v/>
      </c>
      <c r="I265" t="inlineStr">
        <is>
          <t>topology/pod-1/node-152/sys/phys-[eth1/12]/phys</t>
        </is>
      </c>
      <c r="J265">
        <f>VLOOKUP(VALUE(Table6[[#This Row],[node]]), LEAF_INFO!B:I, 7, 0)</f>
        <v/>
      </c>
    </row>
    <row r="266">
      <c r="A266">
        <f>_xlfn.CONCAT(B266,C266)</f>
        <v/>
      </c>
      <c r="B266">
        <f>_xlfn.TEXTBEFORE(_xlfn.TEXTAFTER(I266, "node-"), "/")</f>
        <v/>
      </c>
      <c r="C266">
        <f>_xlfn.TEXTBEFORE(_xlfn.TEXTAFTER(I266, "phys-["), "]")</f>
        <v/>
      </c>
      <c r="D266" t="inlineStr">
        <is>
          <t>Unknown</t>
        </is>
      </c>
      <c r="E266" t="inlineStr">
        <is>
          <t>Unknown</t>
        </is>
      </c>
      <c r="F266" t="inlineStr">
        <is>
          <t>up</t>
        </is>
      </c>
      <c r="G266" t="inlineStr">
        <is>
          <t>none</t>
        </is>
      </c>
      <c r="H266">
        <f>_xlfn.TEXTBEFORE(_xlfn.TEXTAFTER(I266, "pod-"), "/")</f>
        <v/>
      </c>
      <c r="I266" t="inlineStr">
        <is>
          <t>topology/pod-1/node-152/sys/phys-[eth1/13]/phys</t>
        </is>
      </c>
      <c r="J266">
        <f>VLOOKUP(VALUE(Table6[[#This Row],[node]]), LEAF_INFO!B:I, 7, 0)</f>
        <v/>
      </c>
    </row>
    <row r="267">
      <c r="A267">
        <f>_xlfn.CONCAT(B267,C267)</f>
        <v/>
      </c>
      <c r="B267">
        <f>_xlfn.TEXTBEFORE(_xlfn.TEXTAFTER(I267, "node-"), "/")</f>
        <v/>
      </c>
      <c r="C267">
        <f>_xlfn.TEXTBEFORE(_xlfn.TEXTAFTER(I267, "phys-["), "]")</f>
        <v/>
      </c>
      <c r="D267" t="inlineStr">
        <is>
          <t>Unknown</t>
        </is>
      </c>
      <c r="E267" t="inlineStr">
        <is>
          <t>Unknown</t>
        </is>
      </c>
      <c r="F267" t="inlineStr">
        <is>
          <t>up</t>
        </is>
      </c>
      <c r="G267" t="inlineStr">
        <is>
          <t>none</t>
        </is>
      </c>
      <c r="H267">
        <f>_xlfn.TEXTBEFORE(_xlfn.TEXTAFTER(I267, "pod-"), "/")</f>
        <v/>
      </c>
      <c r="I267" t="inlineStr">
        <is>
          <t>topology/pod-1/node-152/sys/phys-[eth1/14]/phys</t>
        </is>
      </c>
      <c r="J267">
        <f>VLOOKUP(VALUE(Table6[[#This Row],[node]]), LEAF_INFO!B:I, 7, 0)</f>
        <v/>
      </c>
    </row>
    <row r="268">
      <c r="A268">
        <f>_xlfn.CONCAT(B268,C268)</f>
        <v/>
      </c>
      <c r="B268">
        <f>_xlfn.TEXTBEFORE(_xlfn.TEXTAFTER(I268, "node-"), "/")</f>
        <v/>
      </c>
      <c r="C268">
        <f>_xlfn.TEXTBEFORE(_xlfn.TEXTAFTER(I268, "phys-["), "]")</f>
        <v/>
      </c>
      <c r="D268" t="inlineStr">
        <is>
          <t>Unknown</t>
        </is>
      </c>
      <c r="E268" t="inlineStr">
        <is>
          <t>Unknown</t>
        </is>
      </c>
      <c r="F268" t="inlineStr">
        <is>
          <t>up</t>
        </is>
      </c>
      <c r="G268" t="inlineStr">
        <is>
          <t>none</t>
        </is>
      </c>
      <c r="H268">
        <f>_xlfn.TEXTBEFORE(_xlfn.TEXTAFTER(I268, "pod-"), "/")</f>
        <v/>
      </c>
      <c r="I268" t="inlineStr">
        <is>
          <t>topology/pod-1/node-152/sys/phys-[eth1/15]/phys</t>
        </is>
      </c>
      <c r="J268">
        <f>VLOOKUP(VALUE(Table6[[#This Row],[node]]), LEAF_INFO!B:I, 7, 0)</f>
        <v/>
      </c>
    </row>
    <row r="269">
      <c r="A269">
        <f>_xlfn.CONCAT(B269,C269)</f>
        <v/>
      </c>
      <c r="B269">
        <f>_xlfn.TEXTBEFORE(_xlfn.TEXTAFTER(I269, "node-"), "/")</f>
        <v/>
      </c>
      <c r="C269">
        <f>_xlfn.TEXTBEFORE(_xlfn.TEXTAFTER(I269, "phys-["), "]")</f>
        <v/>
      </c>
      <c r="D269" t="inlineStr">
        <is>
          <t>Unknown</t>
        </is>
      </c>
      <c r="E269" t="inlineStr">
        <is>
          <t>Unknown</t>
        </is>
      </c>
      <c r="F269" t="inlineStr">
        <is>
          <t>up</t>
        </is>
      </c>
      <c r="G269" t="inlineStr">
        <is>
          <t>none</t>
        </is>
      </c>
      <c r="H269">
        <f>_xlfn.TEXTBEFORE(_xlfn.TEXTAFTER(I269, "pod-"), "/")</f>
        <v/>
      </c>
      <c r="I269" t="inlineStr">
        <is>
          <t>topology/pod-1/node-152/sys/phys-[eth1/16]/phys</t>
        </is>
      </c>
      <c r="J269">
        <f>VLOOKUP(VALUE(Table6[[#This Row],[node]]), LEAF_INFO!B:I, 7, 0)</f>
        <v/>
      </c>
    </row>
    <row r="270">
      <c r="A270">
        <f>_xlfn.CONCAT(B270,C270)</f>
        <v/>
      </c>
      <c r="B270">
        <f>_xlfn.TEXTBEFORE(_xlfn.TEXTAFTER(I270, "node-"), "/")</f>
        <v/>
      </c>
      <c r="C270">
        <f>_xlfn.TEXTBEFORE(_xlfn.TEXTAFTER(I270, "phys-["), "]")</f>
        <v/>
      </c>
      <c r="D270" t="inlineStr">
        <is>
          <t>Unknown</t>
        </is>
      </c>
      <c r="E270" t="inlineStr">
        <is>
          <t>Unknown</t>
        </is>
      </c>
      <c r="F270" t="inlineStr">
        <is>
          <t>down</t>
        </is>
      </c>
      <c r="G270" t="inlineStr">
        <is>
          <t>admin-down</t>
        </is>
      </c>
      <c r="H270">
        <f>_xlfn.TEXTBEFORE(_xlfn.TEXTAFTER(I270, "pod-"), "/")</f>
        <v/>
      </c>
      <c r="I270" t="inlineStr">
        <is>
          <t>topology/pod-1/node-152/sys/phys-[eth1/17]/phys</t>
        </is>
      </c>
      <c r="J270">
        <f>VLOOKUP(VALUE(Table6[[#This Row],[node]]), LEAF_INFO!B:I, 7, 0)</f>
        <v/>
      </c>
    </row>
    <row r="271">
      <c r="A271">
        <f>_xlfn.CONCAT(B271,C271)</f>
        <v/>
      </c>
      <c r="B271">
        <f>_xlfn.TEXTBEFORE(_xlfn.TEXTAFTER(I271, "node-"), "/")</f>
        <v/>
      </c>
      <c r="C271">
        <f>_xlfn.TEXTBEFORE(_xlfn.TEXTAFTER(I271, "phys-["), "]")</f>
        <v/>
      </c>
      <c r="D271" t="inlineStr">
        <is>
          <t>Unknown</t>
        </is>
      </c>
      <c r="E271" t="inlineStr">
        <is>
          <t>Unknown</t>
        </is>
      </c>
      <c r="F271" t="inlineStr">
        <is>
          <t>up</t>
        </is>
      </c>
      <c r="G271" t="inlineStr">
        <is>
          <t>none</t>
        </is>
      </c>
      <c r="H271">
        <f>_xlfn.TEXTBEFORE(_xlfn.TEXTAFTER(I271, "pod-"), "/")</f>
        <v/>
      </c>
      <c r="I271" t="inlineStr">
        <is>
          <t>topology/pod-1/node-152/sys/phys-[eth1/18]/phys</t>
        </is>
      </c>
      <c r="J271">
        <f>VLOOKUP(VALUE(Table6[[#This Row],[node]]), LEAF_INFO!B:I, 7, 0)</f>
        <v/>
      </c>
    </row>
    <row r="272">
      <c r="A272">
        <f>_xlfn.CONCAT(B272,C272)</f>
        <v/>
      </c>
      <c r="B272">
        <f>_xlfn.TEXTBEFORE(_xlfn.TEXTAFTER(I272, "node-"), "/")</f>
        <v/>
      </c>
      <c r="C272">
        <f>_xlfn.TEXTBEFORE(_xlfn.TEXTAFTER(I272, "phys-["), "]")</f>
        <v/>
      </c>
      <c r="D272" t="inlineStr">
        <is>
          <t>Unknown</t>
        </is>
      </c>
      <c r="E272" t="inlineStr">
        <is>
          <t>Unknown</t>
        </is>
      </c>
      <c r="F272" t="inlineStr">
        <is>
          <t>up</t>
        </is>
      </c>
      <c r="G272" t="inlineStr">
        <is>
          <t>none</t>
        </is>
      </c>
      <c r="H272">
        <f>_xlfn.TEXTBEFORE(_xlfn.TEXTAFTER(I272, "pod-"), "/")</f>
        <v/>
      </c>
      <c r="I272" t="inlineStr">
        <is>
          <t>topology/pod-1/node-152/sys/phys-[eth1/19]/phys</t>
        </is>
      </c>
      <c r="J272">
        <f>VLOOKUP(VALUE(Table6[[#This Row],[node]]), LEAF_INFO!B:I, 7, 0)</f>
        <v/>
      </c>
    </row>
    <row r="273">
      <c r="A273">
        <f>_xlfn.CONCAT(B273,C273)</f>
        <v/>
      </c>
      <c r="B273">
        <f>_xlfn.TEXTBEFORE(_xlfn.TEXTAFTER(I273, "node-"), "/")</f>
        <v/>
      </c>
      <c r="C273">
        <f>_xlfn.TEXTBEFORE(_xlfn.TEXTAFTER(I273, "phys-["), "]")</f>
        <v/>
      </c>
      <c r="D273" t="inlineStr">
        <is>
          <t>Unknown</t>
        </is>
      </c>
      <c r="E273" t="inlineStr">
        <is>
          <t>Unknown</t>
        </is>
      </c>
      <c r="F273" t="inlineStr">
        <is>
          <t>up</t>
        </is>
      </c>
      <c r="G273" t="inlineStr">
        <is>
          <t>none</t>
        </is>
      </c>
      <c r="H273">
        <f>_xlfn.TEXTBEFORE(_xlfn.TEXTAFTER(I273, "pod-"), "/")</f>
        <v/>
      </c>
      <c r="I273" t="inlineStr">
        <is>
          <t>topology/pod-1/node-152/sys/phys-[eth1/20]/phys</t>
        </is>
      </c>
      <c r="J273">
        <f>VLOOKUP(VALUE(Table6[[#This Row],[node]]), LEAF_INFO!B:I, 7, 0)</f>
        <v/>
      </c>
    </row>
    <row r="274">
      <c r="A274">
        <f>_xlfn.CONCAT(B274,C274)</f>
        <v/>
      </c>
      <c r="B274">
        <f>_xlfn.TEXTBEFORE(_xlfn.TEXTAFTER(I274, "node-"), "/")</f>
        <v/>
      </c>
      <c r="C274">
        <f>_xlfn.TEXTBEFORE(_xlfn.TEXTAFTER(I274, "phys-["), "]")</f>
        <v/>
      </c>
      <c r="D274" t="inlineStr">
        <is>
          <t>Unknown</t>
        </is>
      </c>
      <c r="E274" t="inlineStr">
        <is>
          <t>Unknown</t>
        </is>
      </c>
      <c r="F274" t="inlineStr">
        <is>
          <t>down</t>
        </is>
      </c>
      <c r="G274" t="inlineStr">
        <is>
          <t>admin-down</t>
        </is>
      </c>
      <c r="H274">
        <f>_xlfn.TEXTBEFORE(_xlfn.TEXTAFTER(I274, "pod-"), "/")</f>
        <v/>
      </c>
      <c r="I274" t="inlineStr">
        <is>
          <t>topology/pod-1/node-152/sys/phys-[eth1/21]/phys</t>
        </is>
      </c>
      <c r="J274">
        <f>VLOOKUP(VALUE(Table6[[#This Row],[node]]), LEAF_INFO!B:I, 7, 0)</f>
        <v/>
      </c>
    </row>
    <row r="275">
      <c r="A275">
        <f>_xlfn.CONCAT(B275,C275)</f>
        <v/>
      </c>
      <c r="B275">
        <f>_xlfn.TEXTBEFORE(_xlfn.TEXTAFTER(I275, "node-"), "/")</f>
        <v/>
      </c>
      <c r="C275">
        <f>_xlfn.TEXTBEFORE(_xlfn.TEXTAFTER(I275, "phys-["), "]")</f>
        <v/>
      </c>
      <c r="D275" t="inlineStr">
        <is>
          <t>Unknown</t>
        </is>
      </c>
      <c r="E275" t="inlineStr">
        <is>
          <t>Unknown</t>
        </is>
      </c>
      <c r="F275" t="inlineStr">
        <is>
          <t>down</t>
        </is>
      </c>
      <c r="G275" t="inlineStr">
        <is>
          <t>admin-down</t>
        </is>
      </c>
      <c r="H275">
        <f>_xlfn.TEXTBEFORE(_xlfn.TEXTAFTER(I275, "pod-"), "/")</f>
        <v/>
      </c>
      <c r="I275" t="inlineStr">
        <is>
          <t>topology/pod-1/node-152/sys/phys-[eth1/22]/phys</t>
        </is>
      </c>
      <c r="J275">
        <f>VLOOKUP(VALUE(Table6[[#This Row],[node]]), LEAF_INFO!B:I, 7, 0)</f>
        <v/>
      </c>
    </row>
    <row r="276">
      <c r="A276">
        <f>_xlfn.CONCAT(B276,C276)</f>
        <v/>
      </c>
      <c r="B276">
        <f>_xlfn.TEXTBEFORE(_xlfn.TEXTAFTER(I276, "node-"), "/")</f>
        <v/>
      </c>
      <c r="C276">
        <f>_xlfn.TEXTBEFORE(_xlfn.TEXTAFTER(I276, "phys-["), "]")</f>
        <v/>
      </c>
      <c r="D276" t="inlineStr">
        <is>
          <t>Unknown</t>
        </is>
      </c>
      <c r="E276" t="inlineStr">
        <is>
          <t>Unknown</t>
        </is>
      </c>
      <c r="F276" t="inlineStr">
        <is>
          <t>up</t>
        </is>
      </c>
      <c r="G276" t="inlineStr">
        <is>
          <t>none</t>
        </is>
      </c>
      <c r="H276">
        <f>_xlfn.TEXTBEFORE(_xlfn.TEXTAFTER(I276, "pod-"), "/")</f>
        <v/>
      </c>
      <c r="I276" t="inlineStr">
        <is>
          <t>topology/pod-1/node-152/sys/phys-[eth1/23]/phys</t>
        </is>
      </c>
      <c r="J276">
        <f>VLOOKUP(VALUE(Table6[[#This Row],[node]]), LEAF_INFO!B:I, 7, 0)</f>
        <v/>
      </c>
    </row>
    <row r="277">
      <c r="A277">
        <f>_xlfn.CONCAT(B277,C277)</f>
        <v/>
      </c>
      <c r="B277">
        <f>_xlfn.TEXTBEFORE(_xlfn.TEXTAFTER(I277, "node-"), "/")</f>
        <v/>
      </c>
      <c r="C277">
        <f>_xlfn.TEXTBEFORE(_xlfn.TEXTAFTER(I277, "phys-["), "]")</f>
        <v/>
      </c>
      <c r="D277" t="inlineStr">
        <is>
          <t>Unknown</t>
        </is>
      </c>
      <c r="E277" t="inlineStr">
        <is>
          <t>Unknown</t>
        </is>
      </c>
      <c r="F277" t="inlineStr">
        <is>
          <t>down</t>
        </is>
      </c>
      <c r="G277" t="inlineStr">
        <is>
          <t>admin-down</t>
        </is>
      </c>
      <c r="H277">
        <f>_xlfn.TEXTBEFORE(_xlfn.TEXTAFTER(I277, "pod-"), "/")</f>
        <v/>
      </c>
      <c r="I277" t="inlineStr">
        <is>
          <t>topology/pod-1/node-152/sys/phys-[eth1/24]/phys</t>
        </is>
      </c>
      <c r="J277">
        <f>VLOOKUP(VALUE(Table6[[#This Row],[node]]), LEAF_INFO!B:I, 7, 0)</f>
        <v/>
      </c>
    </row>
    <row r="278">
      <c r="A278">
        <f>_xlfn.CONCAT(B278,C278)</f>
        <v/>
      </c>
      <c r="B278">
        <f>_xlfn.TEXTBEFORE(_xlfn.TEXTAFTER(I278, "node-"), "/")</f>
        <v/>
      </c>
      <c r="C278">
        <f>_xlfn.TEXTBEFORE(_xlfn.TEXTAFTER(I278, "phys-["), "]")</f>
        <v/>
      </c>
      <c r="D278" t="inlineStr">
        <is>
          <t>Unknown</t>
        </is>
      </c>
      <c r="E278" t="inlineStr">
        <is>
          <t>Unknown</t>
        </is>
      </c>
      <c r="F278" t="inlineStr">
        <is>
          <t>down</t>
        </is>
      </c>
      <c r="G278" t="inlineStr">
        <is>
          <t>admin-down</t>
        </is>
      </c>
      <c r="H278">
        <f>_xlfn.TEXTBEFORE(_xlfn.TEXTAFTER(I278, "pod-"), "/")</f>
        <v/>
      </c>
      <c r="I278" t="inlineStr">
        <is>
          <t>topology/pod-1/node-152/sys/phys-[eth1/25]/phys</t>
        </is>
      </c>
      <c r="J278">
        <f>VLOOKUP(VALUE(Table6[[#This Row],[node]]), LEAF_INFO!B:I, 7, 0)</f>
        <v/>
      </c>
    </row>
    <row r="279">
      <c r="A279">
        <f>_xlfn.CONCAT(B279,C279)</f>
        <v/>
      </c>
      <c r="B279">
        <f>_xlfn.TEXTBEFORE(_xlfn.TEXTAFTER(I279, "node-"), "/")</f>
        <v/>
      </c>
      <c r="C279">
        <f>_xlfn.TEXTBEFORE(_xlfn.TEXTAFTER(I279, "phys-["), "]")</f>
        <v/>
      </c>
      <c r="D279" t="inlineStr">
        <is>
          <t>Unknown</t>
        </is>
      </c>
      <c r="E279" t="inlineStr">
        <is>
          <t>Unknown</t>
        </is>
      </c>
      <c r="F279" t="inlineStr">
        <is>
          <t>up</t>
        </is>
      </c>
      <c r="G279" t="inlineStr">
        <is>
          <t>none</t>
        </is>
      </c>
      <c r="H279">
        <f>_xlfn.TEXTBEFORE(_xlfn.TEXTAFTER(I279, "pod-"), "/")</f>
        <v/>
      </c>
      <c r="I279" t="inlineStr">
        <is>
          <t>topology/pod-1/node-152/sys/phys-[eth1/26]/phys</t>
        </is>
      </c>
      <c r="J279">
        <f>VLOOKUP(VALUE(Table6[[#This Row],[node]]), LEAF_INFO!B:I, 7, 0)</f>
        <v/>
      </c>
    </row>
    <row r="280">
      <c r="A280">
        <f>_xlfn.CONCAT(B280,C280)</f>
        <v/>
      </c>
      <c r="B280">
        <f>_xlfn.TEXTBEFORE(_xlfn.TEXTAFTER(I280, "node-"), "/")</f>
        <v/>
      </c>
      <c r="C280">
        <f>_xlfn.TEXTBEFORE(_xlfn.TEXTAFTER(I280, "phys-["), "]")</f>
        <v/>
      </c>
      <c r="D280" t="inlineStr">
        <is>
          <t>Unknown</t>
        </is>
      </c>
      <c r="E280" t="inlineStr">
        <is>
          <t>Unknown</t>
        </is>
      </c>
      <c r="F280" t="inlineStr">
        <is>
          <t>up</t>
        </is>
      </c>
      <c r="G280" t="inlineStr">
        <is>
          <t>none</t>
        </is>
      </c>
      <c r="H280">
        <f>_xlfn.TEXTBEFORE(_xlfn.TEXTAFTER(I280, "pod-"), "/")</f>
        <v/>
      </c>
      <c r="I280" t="inlineStr">
        <is>
          <t>topology/pod-1/node-152/sys/phys-[eth1/27]/phys</t>
        </is>
      </c>
      <c r="J280">
        <f>VLOOKUP(VALUE(Table6[[#This Row],[node]]), LEAF_INFO!B:I, 7, 0)</f>
        <v/>
      </c>
    </row>
    <row r="281">
      <c r="A281">
        <f>_xlfn.CONCAT(B281,C281)</f>
        <v/>
      </c>
      <c r="B281">
        <f>_xlfn.TEXTBEFORE(_xlfn.TEXTAFTER(I281, "node-"), "/")</f>
        <v/>
      </c>
      <c r="C281">
        <f>_xlfn.TEXTBEFORE(_xlfn.TEXTAFTER(I281, "phys-["), "]")</f>
        <v/>
      </c>
      <c r="D281" t="inlineStr">
        <is>
          <t>Unknown</t>
        </is>
      </c>
      <c r="E281" t="inlineStr">
        <is>
          <t>Unknown</t>
        </is>
      </c>
      <c r="F281" t="inlineStr">
        <is>
          <t>up</t>
        </is>
      </c>
      <c r="G281" t="inlineStr">
        <is>
          <t>none</t>
        </is>
      </c>
      <c r="H281">
        <f>_xlfn.TEXTBEFORE(_xlfn.TEXTAFTER(I281, "pod-"), "/")</f>
        <v/>
      </c>
      <c r="I281" t="inlineStr">
        <is>
          <t>topology/pod-1/node-152/sys/phys-[eth1/28]/phys</t>
        </is>
      </c>
      <c r="J281">
        <f>VLOOKUP(VALUE(Table6[[#This Row],[node]]), LEAF_INFO!B:I, 7, 0)</f>
        <v/>
      </c>
    </row>
    <row r="282">
      <c r="A282">
        <f>_xlfn.CONCAT(B282,C282)</f>
        <v/>
      </c>
      <c r="B282">
        <f>_xlfn.TEXTBEFORE(_xlfn.TEXTAFTER(I282, "node-"), "/")</f>
        <v/>
      </c>
      <c r="C282">
        <f>_xlfn.TEXTBEFORE(_xlfn.TEXTAFTER(I282, "phys-["), "]")</f>
        <v/>
      </c>
      <c r="D282" t="inlineStr">
        <is>
          <t>Unknown</t>
        </is>
      </c>
      <c r="E282" t="inlineStr">
        <is>
          <t>Unknown</t>
        </is>
      </c>
      <c r="F282" t="inlineStr">
        <is>
          <t>down</t>
        </is>
      </c>
      <c r="G282" t="inlineStr">
        <is>
          <t>admin-down</t>
        </is>
      </c>
      <c r="H282">
        <f>_xlfn.TEXTBEFORE(_xlfn.TEXTAFTER(I282, "pod-"), "/")</f>
        <v/>
      </c>
      <c r="I282" t="inlineStr">
        <is>
          <t>topology/pod-1/node-152/sys/phys-[eth1/29]/phys</t>
        </is>
      </c>
      <c r="J282">
        <f>VLOOKUP(VALUE(Table6[[#This Row],[node]]), LEAF_INFO!B:I, 7, 0)</f>
        <v/>
      </c>
    </row>
    <row r="283">
      <c r="A283">
        <f>_xlfn.CONCAT(B283,C283)</f>
        <v/>
      </c>
      <c r="B283">
        <f>_xlfn.TEXTBEFORE(_xlfn.TEXTAFTER(I283, "node-"), "/")</f>
        <v/>
      </c>
      <c r="C283">
        <f>_xlfn.TEXTBEFORE(_xlfn.TEXTAFTER(I283, "phys-["), "]")</f>
        <v/>
      </c>
      <c r="D283" t="inlineStr">
        <is>
          <t>Unknown</t>
        </is>
      </c>
      <c r="E283" t="inlineStr">
        <is>
          <t>Unknown</t>
        </is>
      </c>
      <c r="F283" t="inlineStr">
        <is>
          <t>down</t>
        </is>
      </c>
      <c r="G283" t="inlineStr">
        <is>
          <t>admin-down</t>
        </is>
      </c>
      <c r="H283">
        <f>_xlfn.TEXTBEFORE(_xlfn.TEXTAFTER(I283, "pod-"), "/")</f>
        <v/>
      </c>
      <c r="I283" t="inlineStr">
        <is>
          <t>topology/pod-1/node-152/sys/phys-[eth1/30]/phys</t>
        </is>
      </c>
      <c r="J283">
        <f>VLOOKUP(VALUE(Table6[[#This Row],[node]]), LEAF_INFO!B:I, 7, 0)</f>
        <v/>
      </c>
    </row>
    <row r="284">
      <c r="A284">
        <f>_xlfn.CONCAT(B284,C284)</f>
        <v/>
      </c>
      <c r="B284">
        <f>_xlfn.TEXTBEFORE(_xlfn.TEXTAFTER(I284, "node-"), "/")</f>
        <v/>
      </c>
      <c r="C284">
        <f>_xlfn.TEXTBEFORE(_xlfn.TEXTAFTER(I284, "phys-["), "]")</f>
        <v/>
      </c>
      <c r="D284" t="inlineStr">
        <is>
          <t>Unknown</t>
        </is>
      </c>
      <c r="E284" t="inlineStr">
        <is>
          <t>Unknown</t>
        </is>
      </c>
      <c r="F284" t="inlineStr">
        <is>
          <t>down</t>
        </is>
      </c>
      <c r="G284" t="inlineStr">
        <is>
          <t>admin-down</t>
        </is>
      </c>
      <c r="H284">
        <f>_xlfn.TEXTBEFORE(_xlfn.TEXTAFTER(I284, "pod-"), "/")</f>
        <v/>
      </c>
      <c r="I284" t="inlineStr">
        <is>
          <t>topology/pod-1/node-152/sys/phys-[eth1/31]/phys</t>
        </is>
      </c>
      <c r="J284">
        <f>VLOOKUP(VALUE(Table6[[#This Row],[node]]), LEAF_INFO!B:I, 7, 0)</f>
        <v/>
      </c>
    </row>
    <row r="285">
      <c r="A285">
        <f>_xlfn.CONCAT(B285,C285)</f>
        <v/>
      </c>
      <c r="B285">
        <f>_xlfn.TEXTBEFORE(_xlfn.TEXTAFTER(I285, "node-"), "/")</f>
        <v/>
      </c>
      <c r="C285">
        <f>_xlfn.TEXTBEFORE(_xlfn.TEXTAFTER(I285, "phys-["), "]")</f>
        <v/>
      </c>
      <c r="D285" t="inlineStr">
        <is>
          <t>Unknown</t>
        </is>
      </c>
      <c r="E285" t="inlineStr">
        <is>
          <t>Unknown</t>
        </is>
      </c>
      <c r="F285" t="inlineStr">
        <is>
          <t>down</t>
        </is>
      </c>
      <c r="G285" t="inlineStr">
        <is>
          <t>admin-down</t>
        </is>
      </c>
      <c r="H285">
        <f>_xlfn.TEXTBEFORE(_xlfn.TEXTAFTER(I285, "pod-"), "/")</f>
        <v/>
      </c>
      <c r="I285" t="inlineStr">
        <is>
          <t>topology/pod-1/node-152/sys/phys-[eth1/32]/phys</t>
        </is>
      </c>
      <c r="J285">
        <f>VLOOKUP(VALUE(Table6[[#This Row],[node]]), LEAF_INFO!B:I, 7, 0)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Rodriguez Arellano, Jose De Jesus</dc:creator>
  <dcterms:created xmlns:dcterms="http://purl.org/dc/terms/" xmlns:xsi="http://www.w3.org/2001/XMLSchema-instance" xsi:type="dcterms:W3CDTF">2025-06-02T23:39:32Z</dcterms:created>
  <dcterms:modified xmlns:dcterms="http://purl.org/dc/terms/" xmlns:xsi="http://www.w3.org/2001/XMLSchema-instance" xsi:type="dcterms:W3CDTF">2025-11-05T18:30:08Z</dcterms:modified>
  <cp:lastModifiedBy>Rodriguez Arellano, Jose De Jesus</cp:lastModifiedBy>
</cp:coreProperties>
</file>